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a212f0ddc91cf85/Documents/Business/BurdySetUp/Workings/"/>
    </mc:Choice>
  </mc:AlternateContent>
  <xr:revisionPtr revIDLastSave="356" documentId="8_{3CACB3D1-3070-4979-9F5C-9F0F2DA0E153}" xr6:coauthVersionLast="47" xr6:coauthVersionMax="47" xr10:uidLastSave="{C4CB8AA4-2377-4B20-BC9C-2C62AA1ED361}"/>
  <bookViews>
    <workbookView xWindow="-108" yWindow="-108" windowWidth="23256" windowHeight="12456" activeTab="2" xr2:uid="{00000000-000D-0000-FFFF-FFFF00000000}"/>
  </bookViews>
  <sheets>
    <sheet name="README" sheetId="1" r:id="rId1"/>
    <sheet name="Sources" sheetId="2" r:id="rId2"/>
    <sheet name="Supbase" sheetId="19" r:id="rId3"/>
    <sheet name="Population_Data" sheetId="3" r:id="rId4"/>
    <sheet name="Monthly_Pay_Model" sheetId="4" r:id="rId5"/>
    <sheet name="Weekly_Model" sheetId="5" r:id="rId6"/>
    <sheet name="Fortnightly_Model" sheetId="6" r:id="rId7"/>
    <sheet name="FourWeekly_Model" sheetId="7" r:id="rId8"/>
    <sheet name="Pension_Model" sheetId="18" r:id="rId9"/>
    <sheet name="Bank_Holidays" sheetId="8" r:id="rId10"/>
    <sheet name="Calendar" sheetId="9" r:id="rId11"/>
    <sheet name="Daily_Calculations" sheetId="10" r:id="rId12"/>
    <sheet name="Sensitivity" sheetId="11" r:id="rId13"/>
    <sheet name="Validation" sheetId="12" r:id="rId14"/>
    <sheet name="Charts" sheetId="13" r:id="rId15"/>
    <sheet name="Named_Ranges" sheetId="14" r:id="rId16"/>
    <sheet name="Formula_Spec" sheetId="15" r:id="rId17"/>
    <sheet name="Data_Lineage" sheetId="16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0" l="1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508" i="10"/>
  <c r="L509" i="10"/>
  <c r="L510" i="10"/>
  <c r="L511" i="10"/>
  <c r="L512" i="10"/>
  <c r="L513" i="10"/>
  <c r="L514" i="10"/>
  <c r="L515" i="10"/>
  <c r="L516" i="10"/>
  <c r="L517" i="10"/>
  <c r="L518" i="10"/>
  <c r="L519" i="10"/>
  <c r="L520" i="10"/>
  <c r="L521" i="10"/>
  <c r="L522" i="10"/>
  <c r="L523" i="10"/>
  <c r="L524" i="10"/>
  <c r="L525" i="10"/>
  <c r="L526" i="10"/>
  <c r="L527" i="10"/>
  <c r="L528" i="10"/>
  <c r="L529" i="10"/>
  <c r="L530" i="10"/>
  <c r="L531" i="10"/>
  <c r="L532" i="10"/>
  <c r="B2" i="19"/>
  <c r="A460" i="19"/>
  <c r="A461" i="19"/>
  <c r="A462" i="19"/>
  <c r="A463" i="19"/>
  <c r="A464" i="19"/>
  <c r="A465" i="19"/>
  <c r="A466" i="19"/>
  <c r="A467" i="19"/>
  <c r="A468" i="19"/>
  <c r="A469" i="19"/>
  <c r="A470" i="19"/>
  <c r="A471" i="19"/>
  <c r="A472" i="19"/>
  <c r="A473" i="19"/>
  <c r="A474" i="19"/>
  <c r="A475" i="19"/>
  <c r="A476" i="19"/>
  <c r="A477" i="19"/>
  <c r="A478" i="19"/>
  <c r="A479" i="19"/>
  <c r="A480" i="19"/>
  <c r="A481" i="19"/>
  <c r="A482" i="19"/>
  <c r="A483" i="19"/>
  <c r="A484" i="19"/>
  <c r="A485" i="19"/>
  <c r="A486" i="19"/>
  <c r="A487" i="19"/>
  <c r="A488" i="19"/>
  <c r="A489" i="19"/>
  <c r="A490" i="19"/>
  <c r="A491" i="19"/>
  <c r="A492" i="19"/>
  <c r="A493" i="19"/>
  <c r="A494" i="19"/>
  <c r="A495" i="19"/>
  <c r="A496" i="19"/>
  <c r="A497" i="19"/>
  <c r="A498" i="19"/>
  <c r="A499" i="19"/>
  <c r="A500" i="19"/>
  <c r="A501" i="19"/>
  <c r="A502" i="19"/>
  <c r="A503" i="19"/>
  <c r="A504" i="19"/>
  <c r="A505" i="19"/>
  <c r="A506" i="19"/>
  <c r="A507" i="19"/>
  <c r="A508" i="19"/>
  <c r="A509" i="19"/>
  <c r="A510" i="19"/>
  <c r="A511" i="19"/>
  <c r="A512" i="19"/>
  <c r="A513" i="19"/>
  <c r="A514" i="19"/>
  <c r="A515" i="19"/>
  <c r="A516" i="19"/>
  <c r="A517" i="19"/>
  <c r="A518" i="19"/>
  <c r="A519" i="19"/>
  <c r="A520" i="19"/>
  <c r="A521" i="19"/>
  <c r="A522" i="19"/>
  <c r="A523" i="19"/>
  <c r="A524" i="19"/>
  <c r="A525" i="19"/>
  <c r="A526" i="19"/>
  <c r="A527" i="19"/>
  <c r="A528" i="19"/>
  <c r="A529" i="19"/>
  <c r="A530" i="19"/>
  <c r="A531" i="19"/>
  <c r="A532" i="19"/>
  <c r="A3" i="19"/>
  <c r="A4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156" i="19"/>
  <c r="A157" i="19"/>
  <c r="A158" i="19"/>
  <c r="A159" i="19"/>
  <c r="A160" i="19"/>
  <c r="A161" i="19"/>
  <c r="A162" i="19"/>
  <c r="A163" i="19"/>
  <c r="A164" i="19"/>
  <c r="A165" i="19"/>
  <c r="A166" i="19"/>
  <c r="A167" i="19"/>
  <c r="A168" i="19"/>
  <c r="A169" i="19"/>
  <c r="A170" i="19"/>
  <c r="A171" i="19"/>
  <c r="A172" i="19"/>
  <c r="A173" i="19"/>
  <c r="A174" i="19"/>
  <c r="A175" i="19"/>
  <c r="A176" i="19"/>
  <c r="A177" i="19"/>
  <c r="A178" i="19"/>
  <c r="A179" i="19"/>
  <c r="A180" i="19"/>
  <c r="A181" i="19"/>
  <c r="A182" i="19"/>
  <c r="A183" i="19"/>
  <c r="A184" i="19"/>
  <c r="A185" i="19"/>
  <c r="A186" i="19"/>
  <c r="A187" i="19"/>
  <c r="A188" i="19"/>
  <c r="A189" i="19"/>
  <c r="A190" i="19"/>
  <c r="A191" i="19"/>
  <c r="A192" i="19"/>
  <c r="A193" i="19"/>
  <c r="A194" i="19"/>
  <c r="A195" i="19"/>
  <c r="A196" i="19"/>
  <c r="A197" i="19"/>
  <c r="A198" i="19"/>
  <c r="A199" i="19"/>
  <c r="A200" i="19"/>
  <c r="A201" i="19"/>
  <c r="A202" i="19"/>
  <c r="A203" i="19"/>
  <c r="A204" i="19"/>
  <c r="A205" i="19"/>
  <c r="A206" i="19"/>
  <c r="A207" i="19"/>
  <c r="A208" i="19"/>
  <c r="A209" i="19"/>
  <c r="A210" i="19"/>
  <c r="A211" i="19"/>
  <c r="A212" i="19"/>
  <c r="A213" i="19"/>
  <c r="A214" i="19"/>
  <c r="A215" i="19"/>
  <c r="A216" i="19"/>
  <c r="A217" i="19"/>
  <c r="A218" i="19"/>
  <c r="A219" i="19"/>
  <c r="A220" i="19"/>
  <c r="A221" i="19"/>
  <c r="A222" i="19"/>
  <c r="A223" i="19"/>
  <c r="A224" i="19"/>
  <c r="A225" i="19"/>
  <c r="A226" i="19"/>
  <c r="A227" i="19"/>
  <c r="A228" i="19"/>
  <c r="A229" i="19"/>
  <c r="A230" i="19"/>
  <c r="A231" i="19"/>
  <c r="A232" i="19"/>
  <c r="A233" i="19"/>
  <c r="A234" i="19"/>
  <c r="A235" i="19"/>
  <c r="A236" i="19"/>
  <c r="A237" i="19"/>
  <c r="A238" i="19"/>
  <c r="A239" i="19"/>
  <c r="A240" i="19"/>
  <c r="A241" i="19"/>
  <c r="A242" i="19"/>
  <c r="A243" i="19"/>
  <c r="A244" i="19"/>
  <c r="A245" i="19"/>
  <c r="A246" i="19"/>
  <c r="A247" i="19"/>
  <c r="A248" i="19"/>
  <c r="A249" i="19"/>
  <c r="A250" i="19"/>
  <c r="A251" i="19"/>
  <c r="A252" i="19"/>
  <c r="A253" i="19"/>
  <c r="A254" i="19"/>
  <c r="A255" i="19"/>
  <c r="A256" i="19"/>
  <c r="A257" i="19"/>
  <c r="A258" i="19"/>
  <c r="A259" i="19"/>
  <c r="A260" i="19"/>
  <c r="A261" i="19"/>
  <c r="A262" i="19"/>
  <c r="A263" i="19"/>
  <c r="A264" i="19"/>
  <c r="A265" i="19"/>
  <c r="A266" i="19"/>
  <c r="A267" i="19"/>
  <c r="A268" i="19"/>
  <c r="A269" i="19"/>
  <c r="A270" i="19"/>
  <c r="A271" i="19"/>
  <c r="A272" i="19"/>
  <c r="A273" i="19"/>
  <c r="A274" i="19"/>
  <c r="A275" i="19"/>
  <c r="A276" i="19"/>
  <c r="A277" i="19"/>
  <c r="A278" i="19"/>
  <c r="A279" i="19"/>
  <c r="A280" i="19"/>
  <c r="A281" i="19"/>
  <c r="A282" i="19"/>
  <c r="A283" i="19"/>
  <c r="A284" i="19"/>
  <c r="A285" i="19"/>
  <c r="A286" i="19"/>
  <c r="A287" i="19"/>
  <c r="A288" i="19"/>
  <c r="A289" i="19"/>
  <c r="A290" i="19"/>
  <c r="A291" i="19"/>
  <c r="A292" i="19"/>
  <c r="A293" i="19"/>
  <c r="A294" i="19"/>
  <c r="A295" i="19"/>
  <c r="A296" i="19"/>
  <c r="A297" i="19"/>
  <c r="A298" i="19"/>
  <c r="A299" i="19"/>
  <c r="A300" i="19"/>
  <c r="A301" i="19"/>
  <c r="A302" i="19"/>
  <c r="A303" i="19"/>
  <c r="A304" i="19"/>
  <c r="A305" i="19"/>
  <c r="A306" i="19"/>
  <c r="A307" i="19"/>
  <c r="A308" i="19"/>
  <c r="A309" i="19"/>
  <c r="A310" i="19"/>
  <c r="A311" i="19"/>
  <c r="A312" i="19"/>
  <c r="A313" i="19"/>
  <c r="A314" i="19"/>
  <c r="A315" i="19"/>
  <c r="A316" i="19"/>
  <c r="A317" i="19"/>
  <c r="A318" i="19"/>
  <c r="A319" i="19"/>
  <c r="A320" i="19"/>
  <c r="A321" i="19"/>
  <c r="A322" i="19"/>
  <c r="A323" i="19"/>
  <c r="A324" i="19"/>
  <c r="A325" i="19"/>
  <c r="A326" i="19"/>
  <c r="A327" i="19"/>
  <c r="A328" i="19"/>
  <c r="A329" i="19"/>
  <c r="A330" i="19"/>
  <c r="A331" i="19"/>
  <c r="A332" i="19"/>
  <c r="A333" i="19"/>
  <c r="A334" i="19"/>
  <c r="A335" i="19"/>
  <c r="A336" i="19"/>
  <c r="A337" i="19"/>
  <c r="A338" i="19"/>
  <c r="A339" i="19"/>
  <c r="A340" i="19"/>
  <c r="A341" i="19"/>
  <c r="A342" i="19"/>
  <c r="A343" i="19"/>
  <c r="A344" i="19"/>
  <c r="A345" i="19"/>
  <c r="A346" i="19"/>
  <c r="A347" i="19"/>
  <c r="A348" i="19"/>
  <c r="A349" i="19"/>
  <c r="A350" i="19"/>
  <c r="A351" i="19"/>
  <c r="A352" i="19"/>
  <c r="A353" i="19"/>
  <c r="A354" i="19"/>
  <c r="A355" i="19"/>
  <c r="A356" i="19"/>
  <c r="A357" i="19"/>
  <c r="A358" i="19"/>
  <c r="A359" i="19"/>
  <c r="A360" i="19"/>
  <c r="A361" i="19"/>
  <c r="A362" i="19"/>
  <c r="A363" i="19"/>
  <c r="A364" i="19"/>
  <c r="A365" i="19"/>
  <c r="A366" i="19"/>
  <c r="A367" i="19"/>
  <c r="A368" i="19"/>
  <c r="A369" i="19"/>
  <c r="A370" i="19"/>
  <c r="A371" i="19"/>
  <c r="A372" i="19"/>
  <c r="A373" i="19"/>
  <c r="A374" i="19"/>
  <c r="A375" i="19"/>
  <c r="A376" i="19"/>
  <c r="A377" i="19"/>
  <c r="A378" i="19"/>
  <c r="A379" i="19"/>
  <c r="A380" i="19"/>
  <c r="A381" i="19"/>
  <c r="A382" i="19"/>
  <c r="A383" i="19"/>
  <c r="A384" i="19"/>
  <c r="A385" i="19"/>
  <c r="A386" i="19"/>
  <c r="A387" i="19"/>
  <c r="A388" i="19"/>
  <c r="A389" i="19"/>
  <c r="A390" i="19"/>
  <c r="A391" i="19"/>
  <c r="A392" i="19"/>
  <c r="A393" i="19"/>
  <c r="A394" i="19"/>
  <c r="A395" i="19"/>
  <c r="A396" i="19"/>
  <c r="A397" i="19"/>
  <c r="A398" i="19"/>
  <c r="A399" i="19"/>
  <c r="A400" i="19"/>
  <c r="A401" i="19"/>
  <c r="A402" i="19"/>
  <c r="A403" i="19"/>
  <c r="A404" i="19"/>
  <c r="A405" i="19"/>
  <c r="A406" i="19"/>
  <c r="A407" i="19"/>
  <c r="A408" i="19"/>
  <c r="A409" i="19"/>
  <c r="A410" i="19"/>
  <c r="A411" i="19"/>
  <c r="A412" i="19"/>
  <c r="A413" i="19"/>
  <c r="A414" i="19"/>
  <c r="A415" i="19"/>
  <c r="A416" i="19"/>
  <c r="A417" i="19"/>
  <c r="A418" i="19"/>
  <c r="A419" i="19"/>
  <c r="A420" i="19"/>
  <c r="A421" i="19"/>
  <c r="A422" i="19"/>
  <c r="A423" i="19"/>
  <c r="A424" i="19"/>
  <c r="A425" i="19"/>
  <c r="A426" i="19"/>
  <c r="A427" i="19"/>
  <c r="A428" i="19"/>
  <c r="A429" i="19"/>
  <c r="A430" i="19"/>
  <c r="A431" i="19"/>
  <c r="A432" i="19"/>
  <c r="A433" i="19"/>
  <c r="A434" i="19"/>
  <c r="A435" i="19"/>
  <c r="A436" i="19"/>
  <c r="A437" i="19"/>
  <c r="A438" i="19"/>
  <c r="A439" i="19"/>
  <c r="A440" i="19"/>
  <c r="A441" i="19"/>
  <c r="A442" i="19"/>
  <c r="A443" i="19"/>
  <c r="A444" i="19"/>
  <c r="A445" i="19"/>
  <c r="A446" i="19"/>
  <c r="A447" i="19"/>
  <c r="A448" i="19"/>
  <c r="A449" i="19"/>
  <c r="A450" i="19"/>
  <c r="A451" i="19"/>
  <c r="A452" i="19"/>
  <c r="A453" i="19"/>
  <c r="A454" i="19"/>
  <c r="A455" i="19"/>
  <c r="A456" i="19"/>
  <c r="A457" i="19"/>
  <c r="A458" i="19"/>
  <c r="A459" i="19"/>
  <c r="A2" i="19"/>
  <c r="U2" i="10"/>
  <c r="S2" i="10"/>
  <c r="O2" i="10"/>
  <c r="N2" i="10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2" i="18"/>
  <c r="D4" i="7"/>
  <c r="C30" i="18"/>
  <c r="B13" i="4"/>
  <c r="D8" i="6"/>
  <c r="D15" i="6"/>
  <c r="Q1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B10" i="4"/>
  <c r="B11" i="4"/>
  <c r="B12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9" i="4"/>
  <c r="G7" i="4"/>
  <c r="D6" i="4"/>
  <c r="D3" i="4"/>
  <c r="D4" i="4"/>
  <c r="D5" i="4"/>
  <c r="D2" i="4"/>
  <c r="Q2" i="4" s="1"/>
  <c r="T2" i="9"/>
  <c r="S2" i="9"/>
  <c r="G2" i="10" s="1"/>
  <c r="A40" i="4"/>
  <c r="H2" i="10"/>
  <c r="A3" i="10"/>
  <c r="P3" i="10" s="1"/>
  <c r="Q3" i="10" s="1"/>
  <c r="Q3" i="9"/>
  <c r="E3" i="10" s="1"/>
  <c r="O3" i="9"/>
  <c r="C3" i="10" s="1"/>
  <c r="I3" i="9"/>
  <c r="F3" i="10" s="1"/>
  <c r="A3" i="9"/>
  <c r="Q2" i="9"/>
  <c r="P2" i="9"/>
  <c r="O2" i="9"/>
  <c r="C2" i="10" s="1"/>
  <c r="N2" i="9"/>
  <c r="M2" i="9"/>
  <c r="K2" i="9"/>
  <c r="I2" i="9"/>
  <c r="F2" i="10" s="1"/>
  <c r="H2" i="9"/>
  <c r="J2" i="9" s="1"/>
  <c r="L2" i="9" s="1"/>
  <c r="G2" i="9"/>
  <c r="F2" i="9"/>
  <c r="E2" i="9"/>
  <c r="D2" i="9"/>
  <c r="C2" i="9"/>
  <c r="B2" i="9"/>
  <c r="C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3" i="7"/>
  <c r="D2" i="7"/>
  <c r="C16" i="6"/>
  <c r="D14" i="6"/>
  <c r="D13" i="6"/>
  <c r="D12" i="6"/>
  <c r="D11" i="6"/>
  <c r="D10" i="6"/>
  <c r="D9" i="6"/>
  <c r="D7" i="6"/>
  <c r="D6" i="6"/>
  <c r="D5" i="6"/>
  <c r="D4" i="6"/>
  <c r="D3" i="6"/>
  <c r="D2" i="6"/>
  <c r="B9" i="5"/>
  <c r="D8" i="5"/>
  <c r="C8" i="5"/>
  <c r="D7" i="5"/>
  <c r="C7" i="5"/>
  <c r="D6" i="5"/>
  <c r="C6" i="5"/>
  <c r="D5" i="5"/>
  <c r="D9" i="5" s="1"/>
  <c r="C5" i="5"/>
  <c r="D4" i="5"/>
  <c r="C4" i="5"/>
  <c r="D3" i="5"/>
  <c r="C3" i="5"/>
  <c r="D2" i="5"/>
  <c r="C2" i="5"/>
  <c r="B12" i="3"/>
  <c r="B11" i="3"/>
  <c r="B13" i="3" s="1"/>
  <c r="B10" i="3"/>
  <c r="B9" i="3"/>
  <c r="E2" i="10"/>
  <c r="D2" i="10"/>
  <c r="A2" i="10"/>
  <c r="M2" i="10" s="1"/>
  <c r="P2" i="10" l="1"/>
  <c r="Q2" i="10" s="1"/>
  <c r="J2" i="10"/>
  <c r="D30" i="18"/>
  <c r="L2" i="10"/>
  <c r="I2" i="10"/>
  <c r="K2" i="10"/>
  <c r="B2" i="10"/>
  <c r="R2" i="9"/>
  <c r="T3" i="9"/>
  <c r="H3" i="10" s="1"/>
  <c r="S3" i="9"/>
  <c r="G3" i="10" s="1"/>
  <c r="C3" i="9"/>
  <c r="G3" i="9"/>
  <c r="H3" i="9"/>
  <c r="J3" i="9" s="1"/>
  <c r="D30" i="7"/>
  <c r="D16" i="6"/>
  <c r="A4" i="9"/>
  <c r="M3" i="9"/>
  <c r="E3" i="9"/>
  <c r="D3" i="9"/>
  <c r="K3" i="9"/>
  <c r="L3" i="9" s="1"/>
  <c r="B3" i="9"/>
  <c r="N3" i="9"/>
  <c r="F3" i="9"/>
  <c r="P3" i="9"/>
  <c r="D3" i="10" s="1"/>
  <c r="J3" i="10" l="1"/>
  <c r="S4" i="9"/>
  <c r="G4" i="10" s="1"/>
  <c r="T4" i="9"/>
  <c r="H4" i="10" s="1"/>
  <c r="A4" i="10"/>
  <c r="P4" i="10" s="1"/>
  <c r="Q4" i="10" s="1"/>
  <c r="R3" i="9"/>
  <c r="B3" i="10"/>
  <c r="D41" i="4"/>
  <c r="Q4" i="9"/>
  <c r="E4" i="10" s="1"/>
  <c r="I4" i="9"/>
  <c r="F4" i="10" s="1"/>
  <c r="P4" i="9"/>
  <c r="D4" i="10" s="1"/>
  <c r="H4" i="9"/>
  <c r="J4" i="9" s="1"/>
  <c r="G4" i="9"/>
  <c r="F4" i="9"/>
  <c r="O4" i="9"/>
  <c r="C4" i="10" s="1"/>
  <c r="E4" i="9"/>
  <c r="N4" i="9"/>
  <c r="D4" i="9"/>
  <c r="M4" i="9"/>
  <c r="C4" i="9"/>
  <c r="B4" i="9"/>
  <c r="A5" i="9"/>
  <c r="K4" i="9"/>
  <c r="I3" i="10" l="1"/>
  <c r="K3" i="10"/>
  <c r="M3" i="10"/>
  <c r="T5" i="9"/>
  <c r="H5" i="10" s="1"/>
  <c r="S5" i="9"/>
  <c r="G5" i="10" s="1"/>
  <c r="A5" i="10"/>
  <c r="P5" i="10" s="1"/>
  <c r="Q5" i="10" s="1"/>
  <c r="J4" i="10"/>
  <c r="A6" i="9"/>
  <c r="M5" i="9"/>
  <c r="E5" i="9"/>
  <c r="D5" i="9"/>
  <c r="I5" i="9"/>
  <c r="F5" i="10" s="1"/>
  <c r="H5" i="9"/>
  <c r="J5" i="9" s="1"/>
  <c r="Q5" i="9"/>
  <c r="E5" i="10" s="1"/>
  <c r="G5" i="9"/>
  <c r="P5" i="9"/>
  <c r="D5" i="10" s="1"/>
  <c r="F5" i="9"/>
  <c r="O5" i="9"/>
  <c r="C5" i="10" s="1"/>
  <c r="C5" i="9"/>
  <c r="N5" i="9"/>
  <c r="B5" i="9"/>
  <c r="K5" i="9"/>
  <c r="L4" i="9"/>
  <c r="N3" i="10" l="1"/>
  <c r="O3" i="10" s="1"/>
  <c r="S3" i="10" s="1"/>
  <c r="U3" i="10" s="1"/>
  <c r="B3" i="19" s="1"/>
  <c r="J5" i="10"/>
  <c r="B4" i="10"/>
  <c r="T6" i="9"/>
  <c r="H6" i="10" s="1"/>
  <c r="S6" i="9"/>
  <c r="G6" i="10" s="1"/>
  <c r="A6" i="10"/>
  <c r="P6" i="10" s="1"/>
  <c r="Q6" i="10" s="1"/>
  <c r="L5" i="9"/>
  <c r="Q6" i="9"/>
  <c r="E6" i="10" s="1"/>
  <c r="I6" i="9"/>
  <c r="F6" i="10" s="1"/>
  <c r="P6" i="9"/>
  <c r="D6" i="10" s="1"/>
  <c r="H6" i="9"/>
  <c r="J6" i="9" s="1"/>
  <c r="A7" i="9"/>
  <c r="K6" i="9"/>
  <c r="G6" i="9"/>
  <c r="F6" i="9"/>
  <c r="O6" i="9"/>
  <c r="C6" i="10" s="1"/>
  <c r="E6" i="9"/>
  <c r="N6" i="9"/>
  <c r="D6" i="9"/>
  <c r="M6" i="9"/>
  <c r="C6" i="9"/>
  <c r="B6" i="9"/>
  <c r="T7" i="9" l="1"/>
  <c r="H7" i="10" s="1"/>
  <c r="S7" i="9"/>
  <c r="G7" i="10" s="1"/>
  <c r="A7" i="10"/>
  <c r="P7" i="10" s="1"/>
  <c r="Q7" i="10" s="1"/>
  <c r="B5" i="10"/>
  <c r="J6" i="10"/>
  <c r="A8" i="9"/>
  <c r="M7" i="9"/>
  <c r="E7" i="9"/>
  <c r="D7" i="9"/>
  <c r="K7" i="9"/>
  <c r="I7" i="9"/>
  <c r="F7" i="10" s="1"/>
  <c r="H7" i="9"/>
  <c r="J7" i="9" s="1"/>
  <c r="Q7" i="9"/>
  <c r="E7" i="10" s="1"/>
  <c r="G7" i="9"/>
  <c r="P7" i="9"/>
  <c r="D7" i="10" s="1"/>
  <c r="F7" i="9"/>
  <c r="O7" i="9"/>
  <c r="C7" i="10" s="1"/>
  <c r="C7" i="9"/>
  <c r="N7" i="9"/>
  <c r="B7" i="9"/>
  <c r="L6" i="9"/>
  <c r="S8" i="9" l="1"/>
  <c r="G8" i="10" s="1"/>
  <c r="T8" i="9"/>
  <c r="H8" i="10" s="1"/>
  <c r="A8" i="10"/>
  <c r="J7" i="10"/>
  <c r="B6" i="10"/>
  <c r="L7" i="9"/>
  <c r="Q8" i="9"/>
  <c r="E8" i="10" s="1"/>
  <c r="I8" i="9"/>
  <c r="F8" i="10" s="1"/>
  <c r="P8" i="9"/>
  <c r="D8" i="10" s="1"/>
  <c r="H8" i="9"/>
  <c r="J8" i="9" s="1"/>
  <c r="M8" i="9"/>
  <c r="C8" i="9"/>
  <c r="B8" i="9"/>
  <c r="A9" i="9"/>
  <c r="K8" i="9"/>
  <c r="G8" i="9"/>
  <c r="F8" i="9"/>
  <c r="O8" i="9"/>
  <c r="C8" i="10" s="1"/>
  <c r="E8" i="9"/>
  <c r="N8" i="9"/>
  <c r="D8" i="9"/>
  <c r="T9" i="9" l="1"/>
  <c r="H9" i="10" s="1"/>
  <c r="S9" i="9"/>
  <c r="G9" i="10" s="1"/>
  <c r="A9" i="10"/>
  <c r="P9" i="10" s="1"/>
  <c r="Q9" i="10" s="1"/>
  <c r="B7" i="10"/>
  <c r="J8" i="10"/>
  <c r="L8" i="9"/>
  <c r="A10" i="9"/>
  <c r="M9" i="9"/>
  <c r="E9" i="9"/>
  <c r="D9" i="9"/>
  <c r="O9" i="9"/>
  <c r="C9" i="10" s="1"/>
  <c r="C9" i="9"/>
  <c r="N9" i="9"/>
  <c r="B9" i="9"/>
  <c r="K9" i="9"/>
  <c r="I9" i="9"/>
  <c r="F9" i="10" s="1"/>
  <c r="H9" i="9"/>
  <c r="J9" i="9" s="1"/>
  <c r="Q9" i="9"/>
  <c r="E9" i="10" s="1"/>
  <c r="G9" i="9"/>
  <c r="P9" i="9"/>
  <c r="D9" i="10" s="1"/>
  <c r="F9" i="9"/>
  <c r="B8" i="10" l="1"/>
  <c r="J9" i="10"/>
  <c r="T10" i="9"/>
  <c r="H10" i="10" s="1"/>
  <c r="P8" i="10" s="1"/>
  <c r="Q8" i="10" s="1"/>
  <c r="S10" i="9"/>
  <c r="G10" i="10" s="1"/>
  <c r="A10" i="10"/>
  <c r="P10" i="10" s="1"/>
  <c r="Q10" i="10" s="1"/>
  <c r="L9" i="9"/>
  <c r="Q10" i="9"/>
  <c r="E10" i="10" s="1"/>
  <c r="I10" i="9"/>
  <c r="F10" i="10" s="1"/>
  <c r="P10" i="9"/>
  <c r="D10" i="10" s="1"/>
  <c r="H10" i="9"/>
  <c r="J10" i="9" s="1"/>
  <c r="O10" i="9"/>
  <c r="C10" i="10" s="1"/>
  <c r="E10" i="9"/>
  <c r="N10" i="9"/>
  <c r="D10" i="9"/>
  <c r="M10" i="9"/>
  <c r="C10" i="9"/>
  <c r="B10" i="9"/>
  <c r="A11" i="9"/>
  <c r="K10" i="9"/>
  <c r="G10" i="9"/>
  <c r="F10" i="9"/>
  <c r="J10" i="10" l="1"/>
  <c r="T11" i="9"/>
  <c r="H11" i="10" s="1"/>
  <c r="S11" i="9"/>
  <c r="G11" i="10" s="1"/>
  <c r="A11" i="10"/>
  <c r="P11" i="10" s="1"/>
  <c r="Q11" i="10" s="1"/>
  <c r="R9" i="9"/>
  <c r="B9" i="10"/>
  <c r="R4" i="9"/>
  <c r="A12" i="9"/>
  <c r="M11" i="9"/>
  <c r="E11" i="9"/>
  <c r="D11" i="9"/>
  <c r="Q11" i="9"/>
  <c r="E11" i="10" s="1"/>
  <c r="G11" i="9"/>
  <c r="P11" i="9"/>
  <c r="D11" i="10" s="1"/>
  <c r="F11" i="9"/>
  <c r="O11" i="9"/>
  <c r="C11" i="10" s="1"/>
  <c r="C11" i="9"/>
  <c r="N11" i="9"/>
  <c r="B11" i="9"/>
  <c r="K11" i="9"/>
  <c r="I11" i="9"/>
  <c r="F11" i="10" s="1"/>
  <c r="H11" i="9"/>
  <c r="J11" i="9" s="1"/>
  <c r="L10" i="9"/>
  <c r="K4" i="10" l="1"/>
  <c r="M4" i="10"/>
  <c r="I4" i="10"/>
  <c r="N4" i="10" s="1"/>
  <c r="K9" i="10"/>
  <c r="M9" i="10"/>
  <c r="I9" i="10"/>
  <c r="J11" i="10"/>
  <c r="S12" i="9"/>
  <c r="G12" i="10" s="1"/>
  <c r="T12" i="9"/>
  <c r="H12" i="10" s="1"/>
  <c r="A12" i="10"/>
  <c r="P12" i="10" s="1"/>
  <c r="Q12" i="10" s="1"/>
  <c r="R10" i="9"/>
  <c r="B10" i="10"/>
  <c r="R5" i="9"/>
  <c r="L11" i="9"/>
  <c r="Q12" i="9"/>
  <c r="E12" i="10" s="1"/>
  <c r="I12" i="9"/>
  <c r="F12" i="10" s="1"/>
  <c r="P12" i="9"/>
  <c r="D12" i="10" s="1"/>
  <c r="H12" i="9"/>
  <c r="J12" i="9" s="1"/>
  <c r="G12" i="9"/>
  <c r="F12" i="9"/>
  <c r="O12" i="9"/>
  <c r="C12" i="10" s="1"/>
  <c r="E12" i="9"/>
  <c r="N12" i="9"/>
  <c r="D12" i="9"/>
  <c r="M12" i="9"/>
  <c r="C12" i="9"/>
  <c r="B12" i="9"/>
  <c r="A13" i="9"/>
  <c r="K12" i="9"/>
  <c r="N9" i="10" l="1"/>
  <c r="O9" i="10"/>
  <c r="S9" i="10" s="1"/>
  <c r="U9" i="10" s="1"/>
  <c r="B9" i="19" s="1"/>
  <c r="O4" i="10"/>
  <c r="S4" i="10" s="1"/>
  <c r="U4" i="10" s="1"/>
  <c r="B4" i="19" s="1"/>
  <c r="J12" i="10"/>
  <c r="M5" i="10"/>
  <c r="K5" i="10"/>
  <c r="I5" i="10"/>
  <c r="N5" i="10" s="1"/>
  <c r="B11" i="10"/>
  <c r="R6" i="9"/>
  <c r="T13" i="9"/>
  <c r="H13" i="10" s="1"/>
  <c r="S13" i="9"/>
  <c r="G13" i="10" s="1"/>
  <c r="A13" i="10"/>
  <c r="P13" i="10" s="1"/>
  <c r="Q13" i="10" s="1"/>
  <c r="K10" i="10"/>
  <c r="I10" i="10"/>
  <c r="M10" i="10"/>
  <c r="L12" i="9"/>
  <c r="A14" i="9"/>
  <c r="M13" i="9"/>
  <c r="E13" i="9"/>
  <c r="D13" i="9"/>
  <c r="I13" i="9"/>
  <c r="F13" i="10" s="1"/>
  <c r="H13" i="9"/>
  <c r="J13" i="9" s="1"/>
  <c r="Q13" i="9"/>
  <c r="E13" i="10" s="1"/>
  <c r="G13" i="9"/>
  <c r="P13" i="9"/>
  <c r="D13" i="10" s="1"/>
  <c r="F13" i="9"/>
  <c r="O13" i="9"/>
  <c r="C13" i="10" s="1"/>
  <c r="C13" i="9"/>
  <c r="N13" i="9"/>
  <c r="B13" i="9"/>
  <c r="K13" i="9"/>
  <c r="N10" i="10" l="1"/>
  <c r="J13" i="10"/>
  <c r="O5" i="10"/>
  <c r="S5" i="10" s="1"/>
  <c r="U5" i="10" s="1"/>
  <c r="B5" i="19" s="1"/>
  <c r="I6" i="10"/>
  <c r="N6" i="10" s="1"/>
  <c r="K6" i="10"/>
  <c r="M6" i="10"/>
  <c r="B12" i="10"/>
  <c r="R7" i="9"/>
  <c r="T14" i="9"/>
  <c r="H14" i="10" s="1"/>
  <c r="S14" i="9"/>
  <c r="G14" i="10" s="1"/>
  <c r="A14" i="10"/>
  <c r="P14" i="10" s="1"/>
  <c r="Q14" i="10" s="1"/>
  <c r="O10" i="10"/>
  <c r="S10" i="10" s="1"/>
  <c r="U10" i="10" s="1"/>
  <c r="B10" i="19" s="1"/>
  <c r="L13" i="9"/>
  <c r="Q14" i="9"/>
  <c r="E14" i="10" s="1"/>
  <c r="I14" i="9"/>
  <c r="F14" i="10" s="1"/>
  <c r="P14" i="9"/>
  <c r="D14" i="10" s="1"/>
  <c r="H14" i="9"/>
  <c r="J14" i="9" s="1"/>
  <c r="A15" i="9"/>
  <c r="K14" i="9"/>
  <c r="G14" i="9"/>
  <c r="F14" i="9"/>
  <c r="O14" i="9"/>
  <c r="C14" i="10" s="1"/>
  <c r="E14" i="9"/>
  <c r="N14" i="9"/>
  <c r="D14" i="9"/>
  <c r="M14" i="9"/>
  <c r="C14" i="9"/>
  <c r="B14" i="9"/>
  <c r="J14" i="10" l="1"/>
  <c r="B13" i="10"/>
  <c r="R8" i="9"/>
  <c r="K7" i="10"/>
  <c r="I7" i="10"/>
  <c r="M7" i="10"/>
  <c r="O6" i="10"/>
  <c r="S6" i="10" s="1"/>
  <c r="U6" i="10" s="1"/>
  <c r="B6" i="19" s="1"/>
  <c r="T15" i="9"/>
  <c r="H15" i="10" s="1"/>
  <c r="S15" i="9"/>
  <c r="G15" i="10" s="1"/>
  <c r="A15" i="10"/>
  <c r="O15" i="9"/>
  <c r="C15" i="10" s="1"/>
  <c r="G15" i="9"/>
  <c r="A16" i="9"/>
  <c r="M15" i="9"/>
  <c r="E15" i="9"/>
  <c r="D15" i="9"/>
  <c r="N15" i="9"/>
  <c r="K15" i="9"/>
  <c r="I15" i="9"/>
  <c r="F15" i="10" s="1"/>
  <c r="H15" i="9"/>
  <c r="J15" i="9" s="1"/>
  <c r="F15" i="9"/>
  <c r="Q15" i="9"/>
  <c r="E15" i="10" s="1"/>
  <c r="C15" i="9"/>
  <c r="B15" i="9"/>
  <c r="P15" i="9"/>
  <c r="D15" i="10" s="1"/>
  <c r="L14" i="9"/>
  <c r="N7" i="10" l="1"/>
  <c r="O7" i="10" s="1"/>
  <c r="S7" i="10" s="1"/>
  <c r="U7" i="10" s="1"/>
  <c r="B7" i="19" s="1"/>
  <c r="J15" i="10"/>
  <c r="M8" i="10"/>
  <c r="K8" i="10"/>
  <c r="I8" i="10"/>
  <c r="N8" i="10" s="1"/>
  <c r="B14" i="10"/>
  <c r="S16" i="9"/>
  <c r="G16" i="10" s="1"/>
  <c r="T16" i="9"/>
  <c r="H16" i="10" s="1"/>
  <c r="A16" i="10"/>
  <c r="P16" i="10" s="1"/>
  <c r="Q16" i="10" s="1"/>
  <c r="L15" i="9"/>
  <c r="K16" i="9"/>
  <c r="C16" i="9"/>
  <c r="Q16" i="9"/>
  <c r="E16" i="10" s="1"/>
  <c r="I16" i="9"/>
  <c r="F16" i="10" s="1"/>
  <c r="P16" i="9"/>
  <c r="D16" i="10" s="1"/>
  <c r="H16" i="9"/>
  <c r="J16" i="9" s="1"/>
  <c r="F16" i="9"/>
  <c r="E16" i="9"/>
  <c r="O16" i="9"/>
  <c r="C16" i="10" s="1"/>
  <c r="D16" i="9"/>
  <c r="N16" i="9"/>
  <c r="B16" i="9"/>
  <c r="M16" i="9"/>
  <c r="A17" i="9"/>
  <c r="G16" i="9"/>
  <c r="B15" i="10" l="1"/>
  <c r="J16" i="10"/>
  <c r="S17" i="9"/>
  <c r="G17" i="10" s="1"/>
  <c r="T17" i="9"/>
  <c r="H17" i="10" s="1"/>
  <c r="P15" i="10" s="1"/>
  <c r="Q15" i="10" s="1"/>
  <c r="A17" i="10"/>
  <c r="P17" i="10" s="1"/>
  <c r="Q17" i="10" s="1"/>
  <c r="L16" i="9"/>
  <c r="O8" i="10"/>
  <c r="S8" i="10" s="1"/>
  <c r="U8" i="10" s="1"/>
  <c r="B8" i="19" s="1"/>
  <c r="O17" i="9"/>
  <c r="C17" i="10" s="1"/>
  <c r="G17" i="9"/>
  <c r="A18" i="9"/>
  <c r="M17" i="9"/>
  <c r="E17" i="9"/>
  <c r="D17" i="9"/>
  <c r="K17" i="9"/>
  <c r="I17" i="9"/>
  <c r="F17" i="10" s="1"/>
  <c r="H17" i="9"/>
  <c r="J17" i="9" s="1"/>
  <c r="F17" i="9"/>
  <c r="Q17" i="9"/>
  <c r="E17" i="10" s="1"/>
  <c r="C17" i="9"/>
  <c r="P17" i="9"/>
  <c r="D17" i="10" s="1"/>
  <c r="B17" i="9"/>
  <c r="N17" i="9"/>
  <c r="R16" i="9" l="1"/>
  <c r="B16" i="10"/>
  <c r="R11" i="9"/>
  <c r="S18" i="9"/>
  <c r="G18" i="10" s="1"/>
  <c r="T18" i="9"/>
  <c r="H18" i="10" s="1"/>
  <c r="A18" i="10"/>
  <c r="P18" i="10" s="1"/>
  <c r="Q18" i="10" s="1"/>
  <c r="J17" i="10"/>
  <c r="L17" i="9"/>
  <c r="K18" i="9"/>
  <c r="C18" i="9"/>
  <c r="Q18" i="9"/>
  <c r="E18" i="10" s="1"/>
  <c r="I18" i="9"/>
  <c r="F18" i="10" s="1"/>
  <c r="P18" i="9"/>
  <c r="D18" i="10" s="1"/>
  <c r="H18" i="9"/>
  <c r="J18" i="9" s="1"/>
  <c r="E18" i="9"/>
  <c r="O18" i="9"/>
  <c r="C18" i="10" s="1"/>
  <c r="D18" i="9"/>
  <c r="N18" i="9"/>
  <c r="B18" i="9"/>
  <c r="M18" i="9"/>
  <c r="A19" i="9"/>
  <c r="G18" i="9"/>
  <c r="F18" i="9"/>
  <c r="M11" i="10" l="1"/>
  <c r="I11" i="10"/>
  <c r="N11" i="10" s="1"/>
  <c r="K11" i="10"/>
  <c r="J18" i="10"/>
  <c r="L18" i="9"/>
  <c r="R17" i="9"/>
  <c r="B17" i="10"/>
  <c r="R12" i="9"/>
  <c r="T19" i="9"/>
  <c r="H19" i="10" s="1"/>
  <c r="S19" i="9"/>
  <c r="G19" i="10" s="1"/>
  <c r="A19" i="10"/>
  <c r="P19" i="10" s="1"/>
  <c r="Q19" i="10" s="1"/>
  <c r="K16" i="10"/>
  <c r="I16" i="10"/>
  <c r="M16" i="10"/>
  <c r="O19" i="9"/>
  <c r="C19" i="10" s="1"/>
  <c r="G19" i="9"/>
  <c r="A20" i="9"/>
  <c r="M19" i="9"/>
  <c r="E19" i="9"/>
  <c r="D19" i="9"/>
  <c r="I19" i="9"/>
  <c r="F19" i="10" s="1"/>
  <c r="H19" i="9"/>
  <c r="J19" i="9" s="1"/>
  <c r="F19" i="9"/>
  <c r="Q19" i="9"/>
  <c r="E19" i="10" s="1"/>
  <c r="C19" i="9"/>
  <c r="P19" i="9"/>
  <c r="D19" i="10" s="1"/>
  <c r="B19" i="9"/>
  <c r="N19" i="9"/>
  <c r="K19" i="9"/>
  <c r="N16" i="10" l="1"/>
  <c r="O16" i="10" s="1"/>
  <c r="S16" i="10" s="1"/>
  <c r="U16" i="10" s="1"/>
  <c r="B16" i="19" s="1"/>
  <c r="O11" i="10"/>
  <c r="S11" i="10" s="1"/>
  <c r="U11" i="10" s="1"/>
  <c r="B11" i="19" s="1"/>
  <c r="M12" i="10"/>
  <c r="I12" i="10"/>
  <c r="N12" i="10" s="1"/>
  <c r="K12" i="10"/>
  <c r="K17" i="10"/>
  <c r="I17" i="10"/>
  <c r="M17" i="10"/>
  <c r="B18" i="10"/>
  <c r="R13" i="9"/>
  <c r="T20" i="9"/>
  <c r="H20" i="10" s="1"/>
  <c r="S20" i="9"/>
  <c r="G20" i="10" s="1"/>
  <c r="A20" i="10"/>
  <c r="P20" i="10" s="1"/>
  <c r="Q20" i="10" s="1"/>
  <c r="J19" i="10"/>
  <c r="K20" i="9"/>
  <c r="C20" i="9"/>
  <c r="Q20" i="9"/>
  <c r="E20" i="10" s="1"/>
  <c r="I20" i="9"/>
  <c r="F20" i="10" s="1"/>
  <c r="P20" i="9"/>
  <c r="D20" i="10" s="1"/>
  <c r="H20" i="9"/>
  <c r="J20" i="9" s="1"/>
  <c r="L20" i="9" s="1"/>
  <c r="O20" i="9"/>
  <c r="C20" i="10" s="1"/>
  <c r="D20" i="9"/>
  <c r="N20" i="9"/>
  <c r="B20" i="9"/>
  <c r="M20" i="9"/>
  <c r="A21" i="9"/>
  <c r="G20" i="9"/>
  <c r="F20" i="9"/>
  <c r="E20" i="9"/>
  <c r="L19" i="9"/>
  <c r="N17" i="10" l="1"/>
  <c r="B19" i="10"/>
  <c r="R14" i="9"/>
  <c r="K13" i="10"/>
  <c r="M13" i="10"/>
  <c r="I13" i="10"/>
  <c r="N13" i="10" s="1"/>
  <c r="O17" i="10"/>
  <c r="S17" i="10" s="1"/>
  <c r="U17" i="10" s="1"/>
  <c r="B17" i="19" s="1"/>
  <c r="J20" i="10"/>
  <c r="O12" i="10"/>
  <c r="S12" i="10" s="1"/>
  <c r="U12" i="10" s="1"/>
  <c r="B12" i="19" s="1"/>
  <c r="T21" i="9"/>
  <c r="H21" i="10" s="1"/>
  <c r="S21" i="9"/>
  <c r="G21" i="10" s="1"/>
  <c r="A21" i="10"/>
  <c r="P21" i="10" s="1"/>
  <c r="Q21" i="10" s="1"/>
  <c r="B20" i="10"/>
  <c r="R15" i="9"/>
  <c r="O21" i="9"/>
  <c r="C21" i="10" s="1"/>
  <c r="G21" i="9"/>
  <c r="A22" i="9"/>
  <c r="M21" i="9"/>
  <c r="E21" i="9"/>
  <c r="D21" i="9"/>
  <c r="I21" i="9"/>
  <c r="F21" i="10" s="1"/>
  <c r="H21" i="9"/>
  <c r="J21" i="9" s="1"/>
  <c r="F21" i="9"/>
  <c r="Q21" i="9"/>
  <c r="E21" i="10" s="1"/>
  <c r="C21" i="9"/>
  <c r="P21" i="9"/>
  <c r="D21" i="10" s="1"/>
  <c r="B21" i="9"/>
  <c r="N21" i="9"/>
  <c r="K21" i="9"/>
  <c r="O13" i="10" l="1"/>
  <c r="S13" i="10" s="1"/>
  <c r="U13" i="10" s="1"/>
  <c r="B13" i="19" s="1"/>
  <c r="K14" i="10"/>
  <c r="I14" i="10"/>
  <c r="M14" i="10"/>
  <c r="T22" i="9"/>
  <c r="H22" i="10" s="1"/>
  <c r="S22" i="9"/>
  <c r="G22" i="10" s="1"/>
  <c r="A22" i="10"/>
  <c r="J21" i="10"/>
  <c r="M15" i="10"/>
  <c r="K15" i="10"/>
  <c r="I15" i="10"/>
  <c r="N15" i="10" s="1"/>
  <c r="K22" i="9"/>
  <c r="C22" i="9"/>
  <c r="Q22" i="9"/>
  <c r="E22" i="10" s="1"/>
  <c r="I22" i="9"/>
  <c r="F22" i="10" s="1"/>
  <c r="P22" i="9"/>
  <c r="D22" i="10" s="1"/>
  <c r="H22" i="9"/>
  <c r="J22" i="9" s="1"/>
  <c r="L22" i="9" s="1"/>
  <c r="N22" i="9"/>
  <c r="B22" i="9"/>
  <c r="M22" i="9"/>
  <c r="A23" i="9"/>
  <c r="G22" i="9"/>
  <c r="F22" i="9"/>
  <c r="E22" i="9"/>
  <c r="D22" i="9"/>
  <c r="O22" i="9"/>
  <c r="C22" i="10" s="1"/>
  <c r="J22" i="10" s="1"/>
  <c r="L21" i="9"/>
  <c r="N14" i="10" l="1"/>
  <c r="O14" i="10" s="1"/>
  <c r="S14" i="10" s="1"/>
  <c r="U14" i="10" s="1"/>
  <c r="B14" i="19" s="1"/>
  <c r="O15" i="10"/>
  <c r="S15" i="10" s="1"/>
  <c r="U15" i="10" s="1"/>
  <c r="B15" i="19" s="1"/>
  <c r="B21" i="10"/>
  <c r="B22" i="10"/>
  <c r="T23" i="9"/>
  <c r="H23" i="10" s="1"/>
  <c r="S23" i="9"/>
  <c r="G23" i="10" s="1"/>
  <c r="A23" i="10"/>
  <c r="P23" i="10" s="1"/>
  <c r="Q23" i="10" s="1"/>
  <c r="O23" i="9"/>
  <c r="C23" i="10" s="1"/>
  <c r="G23" i="9"/>
  <c r="A24" i="9"/>
  <c r="M23" i="9"/>
  <c r="E23" i="9"/>
  <c r="D23" i="9"/>
  <c r="H23" i="9"/>
  <c r="J23" i="9" s="1"/>
  <c r="F23" i="9"/>
  <c r="Q23" i="9"/>
  <c r="E23" i="10" s="1"/>
  <c r="C23" i="9"/>
  <c r="P23" i="9"/>
  <c r="D23" i="10" s="1"/>
  <c r="B23" i="9"/>
  <c r="N23" i="9"/>
  <c r="K23" i="9"/>
  <c r="I23" i="9"/>
  <c r="F23" i="10" s="1"/>
  <c r="P22" i="10" l="1"/>
  <c r="Q22" i="10" s="1"/>
  <c r="J23" i="10"/>
  <c r="S24" i="9"/>
  <c r="G24" i="10" s="1"/>
  <c r="T24" i="9"/>
  <c r="H24" i="10" s="1"/>
  <c r="A24" i="10"/>
  <c r="P24" i="10" s="1"/>
  <c r="Q24" i="10" s="1"/>
  <c r="K24" i="9"/>
  <c r="C24" i="9"/>
  <c r="Q24" i="9"/>
  <c r="E24" i="10" s="1"/>
  <c r="I24" i="9"/>
  <c r="F24" i="10" s="1"/>
  <c r="P24" i="9"/>
  <c r="D24" i="10" s="1"/>
  <c r="H24" i="9"/>
  <c r="J24" i="9" s="1"/>
  <c r="L24" i="9" s="1"/>
  <c r="M24" i="9"/>
  <c r="A25" i="9"/>
  <c r="G24" i="9"/>
  <c r="F24" i="9"/>
  <c r="E24" i="9"/>
  <c r="O24" i="9"/>
  <c r="C24" i="10" s="1"/>
  <c r="D24" i="9"/>
  <c r="B24" i="9"/>
  <c r="N24" i="9"/>
  <c r="L23" i="9"/>
  <c r="I24" i="10" l="1"/>
  <c r="R23" i="9"/>
  <c r="B23" i="10"/>
  <c r="R18" i="9"/>
  <c r="S25" i="9"/>
  <c r="G25" i="10" s="1"/>
  <c r="T25" i="9"/>
  <c r="H25" i="10" s="1"/>
  <c r="A25" i="10"/>
  <c r="P25" i="10" s="1"/>
  <c r="Q25" i="10" s="1"/>
  <c r="R24" i="9"/>
  <c r="M24" i="10" s="1"/>
  <c r="B24" i="10"/>
  <c r="R19" i="9"/>
  <c r="J24" i="10"/>
  <c r="Q25" i="9"/>
  <c r="E25" i="10" s="1"/>
  <c r="I25" i="9"/>
  <c r="F25" i="10" s="1"/>
  <c r="P25" i="9"/>
  <c r="D25" i="10" s="1"/>
  <c r="H25" i="9"/>
  <c r="J25" i="9" s="1"/>
  <c r="O25" i="9"/>
  <c r="C25" i="10" s="1"/>
  <c r="G25" i="9"/>
  <c r="A26" i="9"/>
  <c r="M25" i="9"/>
  <c r="E25" i="9"/>
  <c r="D25" i="9"/>
  <c r="F25" i="9"/>
  <c r="C25" i="9"/>
  <c r="B25" i="9"/>
  <c r="N25" i="9"/>
  <c r="K25" i="9"/>
  <c r="I19" i="10" l="1"/>
  <c r="N19" i="10" s="1"/>
  <c r="M19" i="10"/>
  <c r="K19" i="10"/>
  <c r="M23" i="10"/>
  <c r="I23" i="10"/>
  <c r="K23" i="10"/>
  <c r="J25" i="10"/>
  <c r="K24" i="10"/>
  <c r="M18" i="10"/>
  <c r="K18" i="10"/>
  <c r="I18" i="10"/>
  <c r="N18" i="10" s="1"/>
  <c r="T26" i="9"/>
  <c r="H26" i="10" s="1"/>
  <c r="S26" i="9"/>
  <c r="G26" i="10" s="1"/>
  <c r="A26" i="10"/>
  <c r="A27" i="9"/>
  <c r="M26" i="9"/>
  <c r="E26" i="9"/>
  <c r="D26" i="9"/>
  <c r="K26" i="9"/>
  <c r="C26" i="9"/>
  <c r="Q26" i="9"/>
  <c r="E26" i="10" s="1"/>
  <c r="I26" i="9"/>
  <c r="F26" i="10" s="1"/>
  <c r="P26" i="9"/>
  <c r="D26" i="10" s="1"/>
  <c r="H26" i="9"/>
  <c r="J26" i="9" s="1"/>
  <c r="G26" i="9"/>
  <c r="F26" i="9"/>
  <c r="B26" i="9"/>
  <c r="O26" i="9"/>
  <c r="C26" i="10" s="1"/>
  <c r="N26" i="9"/>
  <c r="L25" i="9"/>
  <c r="N23" i="10" l="1"/>
  <c r="N24" i="10"/>
  <c r="O24" i="10" s="1"/>
  <c r="S24" i="10" s="1"/>
  <c r="U24" i="10" s="1"/>
  <c r="B24" i="19" s="1"/>
  <c r="P26" i="10"/>
  <c r="Q26" i="10" s="1"/>
  <c r="T27" i="9"/>
  <c r="H27" i="10" s="1"/>
  <c r="S27" i="9"/>
  <c r="G27" i="10" s="1"/>
  <c r="A27" i="10"/>
  <c r="B25" i="10"/>
  <c r="R20" i="9"/>
  <c r="J26" i="10"/>
  <c r="O18" i="10"/>
  <c r="S18" i="10" s="1"/>
  <c r="U18" i="10" s="1"/>
  <c r="B18" i="19" s="1"/>
  <c r="O23" i="10"/>
  <c r="S23" i="10" s="1"/>
  <c r="U23" i="10" s="1"/>
  <c r="B23" i="19" s="1"/>
  <c r="O19" i="10"/>
  <c r="S19" i="10" s="1"/>
  <c r="U19" i="10" s="1"/>
  <c r="B19" i="19" s="1"/>
  <c r="L26" i="9"/>
  <c r="Q27" i="9"/>
  <c r="E27" i="10" s="1"/>
  <c r="I27" i="9"/>
  <c r="F27" i="10" s="1"/>
  <c r="P27" i="9"/>
  <c r="D27" i="10" s="1"/>
  <c r="H27" i="9"/>
  <c r="J27" i="9" s="1"/>
  <c r="O27" i="9"/>
  <c r="C27" i="10" s="1"/>
  <c r="G27" i="9"/>
  <c r="A28" i="9"/>
  <c r="M27" i="9"/>
  <c r="E27" i="9"/>
  <c r="D27" i="9"/>
  <c r="F27" i="9"/>
  <c r="C27" i="9"/>
  <c r="B27" i="9"/>
  <c r="N27" i="9"/>
  <c r="K27" i="9"/>
  <c r="P27" i="10" l="1"/>
  <c r="Q27" i="10" s="1"/>
  <c r="B26" i="10"/>
  <c r="R21" i="9"/>
  <c r="M20" i="10"/>
  <c r="K20" i="10"/>
  <c r="I20" i="10"/>
  <c r="N20" i="10" s="1"/>
  <c r="J27" i="10"/>
  <c r="S28" i="9"/>
  <c r="G28" i="10" s="1"/>
  <c r="T28" i="9"/>
  <c r="H28" i="10" s="1"/>
  <c r="A28" i="10"/>
  <c r="P28" i="10" s="1"/>
  <c r="Q28" i="10" s="1"/>
  <c r="A29" i="9"/>
  <c r="M28" i="9"/>
  <c r="E28" i="9"/>
  <c r="D28" i="9"/>
  <c r="K28" i="9"/>
  <c r="C28" i="9"/>
  <c r="Q28" i="9"/>
  <c r="E28" i="10" s="1"/>
  <c r="I28" i="9"/>
  <c r="F28" i="10" s="1"/>
  <c r="P28" i="9"/>
  <c r="D28" i="10" s="1"/>
  <c r="H28" i="9"/>
  <c r="J28" i="9" s="1"/>
  <c r="G28" i="9"/>
  <c r="F28" i="9"/>
  <c r="B28" i="9"/>
  <c r="O28" i="9"/>
  <c r="C28" i="10" s="1"/>
  <c r="N28" i="9"/>
  <c r="L27" i="9"/>
  <c r="O20" i="10" l="1"/>
  <c r="S20" i="10" s="1"/>
  <c r="U20" i="10" s="1"/>
  <c r="B20" i="19" s="1"/>
  <c r="B27" i="10"/>
  <c r="R22" i="9"/>
  <c r="I21" i="10"/>
  <c r="N21" i="10" s="1"/>
  <c r="M21" i="10"/>
  <c r="K21" i="10"/>
  <c r="T29" i="9"/>
  <c r="H29" i="10" s="1"/>
  <c r="S29" i="9"/>
  <c r="G29" i="10" s="1"/>
  <c r="A29" i="10"/>
  <c r="J28" i="10"/>
  <c r="L28" i="9"/>
  <c r="Q29" i="9"/>
  <c r="E29" i="10" s="1"/>
  <c r="I29" i="9"/>
  <c r="F29" i="10" s="1"/>
  <c r="P29" i="9"/>
  <c r="D29" i="10" s="1"/>
  <c r="H29" i="9"/>
  <c r="J29" i="9" s="1"/>
  <c r="O29" i="9"/>
  <c r="C29" i="10" s="1"/>
  <c r="G29" i="9"/>
  <c r="A30" i="9"/>
  <c r="M29" i="9"/>
  <c r="E29" i="9"/>
  <c r="D29" i="9"/>
  <c r="K29" i="9"/>
  <c r="F29" i="9"/>
  <c r="C29" i="9"/>
  <c r="B29" i="9"/>
  <c r="N29" i="9"/>
  <c r="O21" i="10" l="1"/>
  <c r="S21" i="10" s="1"/>
  <c r="U21" i="10" s="1"/>
  <c r="B21" i="19" s="1"/>
  <c r="M22" i="10"/>
  <c r="K22" i="10"/>
  <c r="I22" i="10"/>
  <c r="N22" i="10" s="1"/>
  <c r="B28" i="10"/>
  <c r="T30" i="9"/>
  <c r="H30" i="10" s="1"/>
  <c r="S30" i="9"/>
  <c r="G30" i="10" s="1"/>
  <c r="A30" i="10"/>
  <c r="P30" i="10" s="1"/>
  <c r="Q30" i="10" s="1"/>
  <c r="J29" i="10"/>
  <c r="L29" i="9"/>
  <c r="A31" i="9"/>
  <c r="M30" i="9"/>
  <c r="E30" i="9"/>
  <c r="D30" i="9"/>
  <c r="K30" i="9"/>
  <c r="C30" i="9"/>
  <c r="Q30" i="9"/>
  <c r="E30" i="10" s="1"/>
  <c r="I30" i="9"/>
  <c r="F30" i="10" s="1"/>
  <c r="P30" i="9"/>
  <c r="D30" i="10" s="1"/>
  <c r="H30" i="9"/>
  <c r="J30" i="9" s="1"/>
  <c r="N30" i="9"/>
  <c r="G30" i="9"/>
  <c r="F30" i="9"/>
  <c r="B30" i="9"/>
  <c r="O30" i="9"/>
  <c r="C30" i="10" s="1"/>
  <c r="J30" i="10" l="1"/>
  <c r="O22" i="10"/>
  <c r="S22" i="10" s="1"/>
  <c r="U22" i="10" s="1"/>
  <c r="B22" i="19" s="1"/>
  <c r="B29" i="10"/>
  <c r="T31" i="9"/>
  <c r="H31" i="10" s="1"/>
  <c r="S31" i="9"/>
  <c r="G31" i="10" s="1"/>
  <c r="A31" i="10"/>
  <c r="P31" i="10" s="1"/>
  <c r="Q31" i="10" s="1"/>
  <c r="L30" i="9"/>
  <c r="Q31" i="9"/>
  <c r="E31" i="10" s="1"/>
  <c r="I31" i="9"/>
  <c r="F31" i="10" s="1"/>
  <c r="P31" i="9"/>
  <c r="D31" i="10" s="1"/>
  <c r="H31" i="9"/>
  <c r="J31" i="9" s="1"/>
  <c r="O31" i="9"/>
  <c r="C31" i="10" s="1"/>
  <c r="G31" i="9"/>
  <c r="A32" i="9"/>
  <c r="M31" i="9"/>
  <c r="E31" i="9"/>
  <c r="D31" i="9"/>
  <c r="N31" i="9"/>
  <c r="K31" i="9"/>
  <c r="F31" i="9"/>
  <c r="C31" i="9"/>
  <c r="B31" i="9"/>
  <c r="J31" i="10" l="1"/>
  <c r="R30" i="9"/>
  <c r="B30" i="10"/>
  <c r="R25" i="9"/>
  <c r="S32" i="9"/>
  <c r="G32" i="10" s="1"/>
  <c r="T32" i="9"/>
  <c r="H32" i="10" s="1"/>
  <c r="P29" i="10" s="1"/>
  <c r="Q29" i="10" s="1"/>
  <c r="A32" i="10"/>
  <c r="P32" i="10" s="1"/>
  <c r="Q32" i="10" s="1"/>
  <c r="A33" i="9"/>
  <c r="M32" i="9"/>
  <c r="E32" i="9"/>
  <c r="D32" i="9"/>
  <c r="K32" i="9"/>
  <c r="C32" i="9"/>
  <c r="Q32" i="9"/>
  <c r="E32" i="10" s="1"/>
  <c r="I32" i="9"/>
  <c r="F32" i="10" s="1"/>
  <c r="P32" i="9"/>
  <c r="D32" i="10" s="1"/>
  <c r="H32" i="9"/>
  <c r="J32" i="9" s="1"/>
  <c r="O32" i="9"/>
  <c r="C32" i="10" s="1"/>
  <c r="N32" i="9"/>
  <c r="G32" i="9"/>
  <c r="F32" i="9"/>
  <c r="B32" i="9"/>
  <c r="L31" i="9"/>
  <c r="J32" i="10" l="1"/>
  <c r="S33" i="9"/>
  <c r="G33" i="10" s="1"/>
  <c r="T33" i="9"/>
  <c r="H33" i="10" s="1"/>
  <c r="A33" i="10"/>
  <c r="P33" i="10" s="1"/>
  <c r="Q33" i="10" s="1"/>
  <c r="K25" i="10"/>
  <c r="I25" i="10"/>
  <c r="N25" i="10" s="1"/>
  <c r="M25" i="10"/>
  <c r="R31" i="9"/>
  <c r="B31" i="10"/>
  <c r="R26" i="9"/>
  <c r="M30" i="10"/>
  <c r="K30" i="10"/>
  <c r="I30" i="10"/>
  <c r="N30" i="10" s="1"/>
  <c r="L32" i="9"/>
  <c r="Q33" i="9"/>
  <c r="E33" i="10" s="1"/>
  <c r="I33" i="9"/>
  <c r="F33" i="10" s="1"/>
  <c r="P33" i="9"/>
  <c r="D33" i="10" s="1"/>
  <c r="H33" i="9"/>
  <c r="J33" i="9" s="1"/>
  <c r="O33" i="9"/>
  <c r="C33" i="10" s="1"/>
  <c r="J33" i="10" s="1"/>
  <c r="G33" i="9"/>
  <c r="A34" i="9"/>
  <c r="M33" i="9"/>
  <c r="E33" i="9"/>
  <c r="D33" i="9"/>
  <c r="N33" i="9"/>
  <c r="K33" i="9"/>
  <c r="F33" i="9"/>
  <c r="C33" i="9"/>
  <c r="B33" i="9"/>
  <c r="O25" i="10" l="1"/>
  <c r="S25" i="10" s="1"/>
  <c r="U25" i="10" s="1"/>
  <c r="B25" i="19" s="1"/>
  <c r="K26" i="10"/>
  <c r="M26" i="10"/>
  <c r="I26" i="10"/>
  <c r="N26" i="10" s="1"/>
  <c r="K31" i="10"/>
  <c r="I31" i="10"/>
  <c r="M31" i="10"/>
  <c r="R32" i="9"/>
  <c r="B32" i="10"/>
  <c r="R27" i="9"/>
  <c r="T34" i="9"/>
  <c r="H34" i="10" s="1"/>
  <c r="S34" i="9"/>
  <c r="G34" i="10" s="1"/>
  <c r="A34" i="10"/>
  <c r="P34" i="10" s="1"/>
  <c r="Q34" i="10" s="1"/>
  <c r="O30" i="10"/>
  <c r="S30" i="10" s="1"/>
  <c r="U30" i="10" s="1"/>
  <c r="B30" i="19" s="1"/>
  <c r="A35" i="9"/>
  <c r="M34" i="9"/>
  <c r="E34" i="9"/>
  <c r="D34" i="9"/>
  <c r="K34" i="9"/>
  <c r="C34" i="9"/>
  <c r="Q34" i="9"/>
  <c r="E34" i="10" s="1"/>
  <c r="I34" i="9"/>
  <c r="F34" i="10" s="1"/>
  <c r="P34" i="9"/>
  <c r="D34" i="10" s="1"/>
  <c r="H34" i="9"/>
  <c r="J34" i="9" s="1"/>
  <c r="O34" i="9"/>
  <c r="C34" i="10" s="1"/>
  <c r="N34" i="9"/>
  <c r="G34" i="9"/>
  <c r="F34" i="9"/>
  <c r="B34" i="9"/>
  <c r="L33" i="9"/>
  <c r="N31" i="10" l="1"/>
  <c r="O26" i="10"/>
  <c r="S26" i="10" s="1"/>
  <c r="U26" i="10" s="1"/>
  <c r="B26" i="19" s="1"/>
  <c r="M27" i="10"/>
  <c r="K27" i="10"/>
  <c r="I27" i="10"/>
  <c r="M32" i="10"/>
  <c r="K32" i="10"/>
  <c r="I32" i="10"/>
  <c r="B33" i="10"/>
  <c r="R28" i="9"/>
  <c r="J34" i="10"/>
  <c r="T35" i="9"/>
  <c r="H35" i="10" s="1"/>
  <c r="S35" i="9"/>
  <c r="G35" i="10" s="1"/>
  <c r="A35" i="10"/>
  <c r="P35" i="10" s="1"/>
  <c r="Q35" i="10" s="1"/>
  <c r="O31" i="10"/>
  <c r="S31" i="10" s="1"/>
  <c r="U31" i="10" s="1"/>
  <c r="B31" i="19" s="1"/>
  <c r="L34" i="9"/>
  <c r="Q35" i="9"/>
  <c r="E35" i="10" s="1"/>
  <c r="I35" i="9"/>
  <c r="F35" i="10" s="1"/>
  <c r="P35" i="9"/>
  <c r="D35" i="10" s="1"/>
  <c r="H35" i="9"/>
  <c r="J35" i="9" s="1"/>
  <c r="O35" i="9"/>
  <c r="C35" i="10" s="1"/>
  <c r="G35" i="9"/>
  <c r="A36" i="9"/>
  <c r="M35" i="9"/>
  <c r="E35" i="9"/>
  <c r="D35" i="9"/>
  <c r="N35" i="9"/>
  <c r="K35" i="9"/>
  <c r="F35" i="9"/>
  <c r="C35" i="9"/>
  <c r="B35" i="9"/>
  <c r="N32" i="10" l="1"/>
  <c r="N27" i="10"/>
  <c r="O32" i="10"/>
  <c r="S32" i="10" s="1"/>
  <c r="U32" i="10" s="1"/>
  <c r="B32" i="19" s="1"/>
  <c r="K28" i="10"/>
  <c r="M28" i="10"/>
  <c r="I28" i="10"/>
  <c r="N28" i="10" s="1"/>
  <c r="J35" i="10"/>
  <c r="B34" i="10"/>
  <c r="R29" i="9"/>
  <c r="S36" i="9"/>
  <c r="G36" i="10" s="1"/>
  <c r="T36" i="9"/>
  <c r="H36" i="10" s="1"/>
  <c r="A36" i="10"/>
  <c r="O27" i="10"/>
  <c r="S27" i="10" s="1"/>
  <c r="U27" i="10" s="1"/>
  <c r="B27" i="19" s="1"/>
  <c r="A37" i="9"/>
  <c r="M36" i="9"/>
  <c r="E36" i="9"/>
  <c r="D36" i="9"/>
  <c r="K36" i="9"/>
  <c r="C36" i="9"/>
  <c r="Q36" i="9"/>
  <c r="E36" i="10" s="1"/>
  <c r="I36" i="9"/>
  <c r="F36" i="10" s="1"/>
  <c r="P36" i="9"/>
  <c r="D36" i="10" s="1"/>
  <c r="H36" i="9"/>
  <c r="J36" i="9" s="1"/>
  <c r="O36" i="9"/>
  <c r="C36" i="10" s="1"/>
  <c r="N36" i="9"/>
  <c r="G36" i="9"/>
  <c r="F36" i="9"/>
  <c r="B36" i="9"/>
  <c r="L35" i="9"/>
  <c r="O28" i="10" l="1"/>
  <c r="S28" i="10" s="1"/>
  <c r="U28" i="10" s="1"/>
  <c r="B28" i="19" s="1"/>
  <c r="B35" i="10"/>
  <c r="J36" i="10"/>
  <c r="M29" i="10"/>
  <c r="K29" i="10"/>
  <c r="I29" i="10"/>
  <c r="N29" i="10" s="1"/>
  <c r="T37" i="9"/>
  <c r="H37" i="10" s="1"/>
  <c r="S37" i="9"/>
  <c r="G37" i="10" s="1"/>
  <c r="A37" i="10"/>
  <c r="P37" i="10" s="1"/>
  <c r="Q37" i="10" s="1"/>
  <c r="L36" i="9"/>
  <c r="Q37" i="9"/>
  <c r="E37" i="10" s="1"/>
  <c r="I37" i="9"/>
  <c r="F37" i="10" s="1"/>
  <c r="P37" i="9"/>
  <c r="D37" i="10" s="1"/>
  <c r="H37" i="9"/>
  <c r="J37" i="9" s="1"/>
  <c r="O37" i="9"/>
  <c r="C37" i="10" s="1"/>
  <c r="G37" i="9"/>
  <c r="A38" i="9"/>
  <c r="M37" i="9"/>
  <c r="E37" i="9"/>
  <c r="D37" i="9"/>
  <c r="B37" i="9"/>
  <c r="N37" i="9"/>
  <c r="K37" i="9"/>
  <c r="F37" i="9"/>
  <c r="C37" i="9"/>
  <c r="B36" i="10" l="1"/>
  <c r="T38" i="9"/>
  <c r="H38" i="10" s="1"/>
  <c r="P36" i="10" s="1"/>
  <c r="Q36" i="10" s="1"/>
  <c r="S38" i="9"/>
  <c r="G38" i="10" s="1"/>
  <c r="A38" i="10"/>
  <c r="P38" i="10" s="1"/>
  <c r="Q38" i="10" s="1"/>
  <c r="J37" i="10"/>
  <c r="O29" i="10"/>
  <c r="S29" i="10" s="1"/>
  <c r="U29" i="10" s="1"/>
  <c r="B29" i="19" s="1"/>
  <c r="A39" i="9"/>
  <c r="M38" i="9"/>
  <c r="E38" i="9"/>
  <c r="D38" i="9"/>
  <c r="K38" i="9"/>
  <c r="C38" i="9"/>
  <c r="Q38" i="9"/>
  <c r="E38" i="10" s="1"/>
  <c r="I38" i="9"/>
  <c r="F38" i="10" s="1"/>
  <c r="P38" i="9"/>
  <c r="D38" i="10" s="1"/>
  <c r="H38" i="9"/>
  <c r="J38" i="9" s="1"/>
  <c r="B38" i="9"/>
  <c r="O38" i="9"/>
  <c r="C38" i="10" s="1"/>
  <c r="N38" i="9"/>
  <c r="G38" i="9"/>
  <c r="F38" i="9"/>
  <c r="L37" i="9"/>
  <c r="J38" i="10" l="1"/>
  <c r="R37" i="9"/>
  <c r="B37" i="10"/>
  <c r="T39" i="9"/>
  <c r="H39" i="10" s="1"/>
  <c r="S39" i="9"/>
  <c r="G39" i="10" s="1"/>
  <c r="A39" i="10"/>
  <c r="P39" i="10" s="1"/>
  <c r="Q39" i="10" s="1"/>
  <c r="L38" i="9"/>
  <c r="Q39" i="9"/>
  <c r="E39" i="10" s="1"/>
  <c r="I39" i="9"/>
  <c r="F39" i="10" s="1"/>
  <c r="P39" i="9"/>
  <c r="D39" i="10" s="1"/>
  <c r="H39" i="9"/>
  <c r="J39" i="9" s="1"/>
  <c r="O39" i="9"/>
  <c r="C39" i="10" s="1"/>
  <c r="G39" i="9"/>
  <c r="A40" i="9"/>
  <c r="M39" i="9"/>
  <c r="E39" i="9"/>
  <c r="D39" i="9"/>
  <c r="C39" i="9"/>
  <c r="B39" i="9"/>
  <c r="N39" i="9"/>
  <c r="K39" i="9"/>
  <c r="F39" i="9"/>
  <c r="J39" i="10" l="1"/>
  <c r="R38" i="9"/>
  <c r="B38" i="10"/>
  <c r="R33" i="9"/>
  <c r="S40" i="9"/>
  <c r="G40" i="10" s="1"/>
  <c r="A40" i="10"/>
  <c r="P40" i="10" s="1"/>
  <c r="Q40" i="10" s="1"/>
  <c r="T40" i="9"/>
  <c r="H40" i="10" s="1"/>
  <c r="I37" i="10"/>
  <c r="N37" i="10" s="1"/>
  <c r="M37" i="10"/>
  <c r="K37" i="10"/>
  <c r="L39" i="9"/>
  <c r="A41" i="9"/>
  <c r="M40" i="9"/>
  <c r="E40" i="9"/>
  <c r="D40" i="9"/>
  <c r="K40" i="9"/>
  <c r="C40" i="9"/>
  <c r="Q40" i="9"/>
  <c r="E40" i="10" s="1"/>
  <c r="I40" i="9"/>
  <c r="F40" i="10" s="1"/>
  <c r="P40" i="9"/>
  <c r="D40" i="10" s="1"/>
  <c r="H40" i="9"/>
  <c r="J40" i="9" s="1"/>
  <c r="F40" i="9"/>
  <c r="B40" i="9"/>
  <c r="O40" i="9"/>
  <c r="C40" i="10" s="1"/>
  <c r="N40" i="9"/>
  <c r="G40" i="9"/>
  <c r="T41" i="9" l="1"/>
  <c r="H41" i="10" s="1"/>
  <c r="S41" i="9"/>
  <c r="G41" i="10" s="1"/>
  <c r="A41" i="10"/>
  <c r="P41" i="10" s="1"/>
  <c r="Q41" i="10" s="1"/>
  <c r="I38" i="10"/>
  <c r="M38" i="10"/>
  <c r="K38" i="10"/>
  <c r="O37" i="10"/>
  <c r="S37" i="10" s="1"/>
  <c r="U37" i="10" s="1"/>
  <c r="B37" i="19" s="1"/>
  <c r="M33" i="10"/>
  <c r="K33" i="10"/>
  <c r="I33" i="10"/>
  <c r="N33" i="10" s="1"/>
  <c r="J40" i="10"/>
  <c r="B39" i="10"/>
  <c r="R34" i="9"/>
  <c r="L40" i="9"/>
  <c r="Q41" i="9"/>
  <c r="E41" i="10" s="1"/>
  <c r="I41" i="9"/>
  <c r="F41" i="10" s="1"/>
  <c r="P41" i="9"/>
  <c r="D41" i="10" s="1"/>
  <c r="H41" i="9"/>
  <c r="J41" i="9" s="1"/>
  <c r="O41" i="9"/>
  <c r="C41" i="10" s="1"/>
  <c r="G41" i="9"/>
  <c r="A42" i="9"/>
  <c r="M41" i="9"/>
  <c r="E41" i="9"/>
  <c r="D41" i="9"/>
  <c r="F41" i="9"/>
  <c r="C41" i="9"/>
  <c r="B41" i="9"/>
  <c r="N41" i="9"/>
  <c r="K41" i="9"/>
  <c r="N38" i="10" l="1"/>
  <c r="O33" i="10"/>
  <c r="S33" i="10" s="1"/>
  <c r="U33" i="10" s="1"/>
  <c r="B33" i="19" s="1"/>
  <c r="K34" i="10"/>
  <c r="M34" i="10"/>
  <c r="I34" i="10"/>
  <c r="N34" i="10" s="1"/>
  <c r="T42" i="9"/>
  <c r="H42" i="10" s="1"/>
  <c r="A42" i="10"/>
  <c r="P42" i="10" s="1"/>
  <c r="Q42" i="10" s="1"/>
  <c r="S42" i="9"/>
  <c r="G42" i="10" s="1"/>
  <c r="O38" i="10"/>
  <c r="S38" i="10" s="1"/>
  <c r="U38" i="10" s="1"/>
  <c r="B38" i="19" s="1"/>
  <c r="B40" i="10"/>
  <c r="R35" i="9"/>
  <c r="J41" i="10"/>
  <c r="A43" i="9"/>
  <c r="M42" i="9"/>
  <c r="E42" i="9"/>
  <c r="D42" i="9"/>
  <c r="K42" i="9"/>
  <c r="C42" i="9"/>
  <c r="Q42" i="9"/>
  <c r="E42" i="10" s="1"/>
  <c r="I42" i="9"/>
  <c r="F42" i="10" s="1"/>
  <c r="P42" i="9"/>
  <c r="D42" i="10" s="1"/>
  <c r="H42" i="9"/>
  <c r="J42" i="9" s="1"/>
  <c r="G42" i="9"/>
  <c r="F42" i="9"/>
  <c r="B42" i="9"/>
  <c r="O42" i="9"/>
  <c r="C42" i="10" s="1"/>
  <c r="N42" i="9"/>
  <c r="L41" i="9"/>
  <c r="O34" i="10" l="1"/>
  <c r="S34" i="10" s="1"/>
  <c r="U34" i="10" s="1"/>
  <c r="B34" i="19" s="1"/>
  <c r="M35" i="10"/>
  <c r="K35" i="10"/>
  <c r="I35" i="10"/>
  <c r="N35" i="10" s="1"/>
  <c r="B41" i="10"/>
  <c r="R36" i="9"/>
  <c r="J42" i="10"/>
  <c r="T43" i="9"/>
  <c r="H43" i="10" s="1"/>
  <c r="S43" i="9"/>
  <c r="G43" i="10" s="1"/>
  <c r="A43" i="10"/>
  <c r="L42" i="9"/>
  <c r="Q43" i="9"/>
  <c r="E43" i="10" s="1"/>
  <c r="I43" i="9"/>
  <c r="F43" i="10" s="1"/>
  <c r="P43" i="9"/>
  <c r="D43" i="10" s="1"/>
  <c r="H43" i="9"/>
  <c r="J43" i="9" s="1"/>
  <c r="O43" i="9"/>
  <c r="C43" i="10" s="1"/>
  <c r="G43" i="9"/>
  <c r="A44" i="9"/>
  <c r="M43" i="9"/>
  <c r="E43" i="9"/>
  <c r="D43" i="9"/>
  <c r="F43" i="9"/>
  <c r="C43" i="9"/>
  <c r="B43" i="9"/>
  <c r="N43" i="9"/>
  <c r="K43" i="9"/>
  <c r="O35" i="10" l="1"/>
  <c r="S35" i="10" s="1"/>
  <c r="U35" i="10" s="1"/>
  <c r="B35" i="19" s="1"/>
  <c r="J43" i="10"/>
  <c r="M36" i="10"/>
  <c r="K36" i="10"/>
  <c r="I36" i="10"/>
  <c r="N36" i="10" s="1"/>
  <c r="S44" i="9"/>
  <c r="G44" i="10" s="1"/>
  <c r="T44" i="9"/>
  <c r="H44" i="10" s="1"/>
  <c r="A44" i="10"/>
  <c r="P44" i="10" s="1"/>
  <c r="Q44" i="10" s="1"/>
  <c r="B42" i="10"/>
  <c r="A45" i="9"/>
  <c r="M44" i="9"/>
  <c r="E44" i="9"/>
  <c r="D44" i="9"/>
  <c r="K44" i="9"/>
  <c r="C44" i="9"/>
  <c r="Q44" i="9"/>
  <c r="E44" i="10" s="1"/>
  <c r="I44" i="9"/>
  <c r="F44" i="10" s="1"/>
  <c r="P44" i="9"/>
  <c r="D44" i="10" s="1"/>
  <c r="H44" i="9"/>
  <c r="J44" i="9" s="1"/>
  <c r="G44" i="9"/>
  <c r="F44" i="9"/>
  <c r="B44" i="9"/>
  <c r="O44" i="9"/>
  <c r="C44" i="10" s="1"/>
  <c r="N44" i="9"/>
  <c r="L43" i="9"/>
  <c r="P43" i="10" l="1"/>
  <c r="Q43" i="10" s="1"/>
  <c r="T45" i="9"/>
  <c r="H45" i="10" s="1"/>
  <c r="S45" i="9"/>
  <c r="G45" i="10" s="1"/>
  <c r="A45" i="10"/>
  <c r="P45" i="10" s="1"/>
  <c r="Q45" i="10" s="1"/>
  <c r="J44" i="10"/>
  <c r="B43" i="10"/>
  <c r="O36" i="10"/>
  <c r="S36" i="10" s="1"/>
  <c r="U36" i="10" s="1"/>
  <c r="B36" i="19" s="1"/>
  <c r="L44" i="9"/>
  <c r="Q45" i="9"/>
  <c r="E45" i="10" s="1"/>
  <c r="I45" i="9"/>
  <c r="F45" i="10" s="1"/>
  <c r="P45" i="9"/>
  <c r="D45" i="10" s="1"/>
  <c r="H45" i="9"/>
  <c r="J45" i="9" s="1"/>
  <c r="O45" i="9"/>
  <c r="C45" i="10" s="1"/>
  <c r="G45" i="9"/>
  <c r="A46" i="9"/>
  <c r="M45" i="9"/>
  <c r="E45" i="9"/>
  <c r="D45" i="9"/>
  <c r="K45" i="9"/>
  <c r="F45" i="9"/>
  <c r="C45" i="9"/>
  <c r="B45" i="9"/>
  <c r="N45" i="9"/>
  <c r="T46" i="9" l="1"/>
  <c r="H46" i="10" s="1"/>
  <c r="S46" i="9"/>
  <c r="G46" i="10" s="1"/>
  <c r="A46" i="10"/>
  <c r="P46" i="10" s="1"/>
  <c r="Q46" i="10" s="1"/>
  <c r="R44" i="9"/>
  <c r="B44" i="10"/>
  <c r="R39" i="9"/>
  <c r="J45" i="10"/>
  <c r="A47" i="9"/>
  <c r="M46" i="9"/>
  <c r="E46" i="9"/>
  <c r="D46" i="9"/>
  <c r="K46" i="9"/>
  <c r="C46" i="9"/>
  <c r="Q46" i="9"/>
  <c r="E46" i="10" s="1"/>
  <c r="I46" i="9"/>
  <c r="F46" i="10" s="1"/>
  <c r="P46" i="9"/>
  <c r="D46" i="10" s="1"/>
  <c r="H46" i="9"/>
  <c r="J46" i="9" s="1"/>
  <c r="N46" i="9"/>
  <c r="G46" i="9"/>
  <c r="F46" i="9"/>
  <c r="B46" i="9"/>
  <c r="O46" i="9"/>
  <c r="C46" i="10" s="1"/>
  <c r="L45" i="9"/>
  <c r="K44" i="10" l="1"/>
  <c r="M44" i="10"/>
  <c r="I44" i="10"/>
  <c r="T47" i="9"/>
  <c r="H47" i="10" s="1"/>
  <c r="S47" i="9"/>
  <c r="G47" i="10" s="1"/>
  <c r="A47" i="10"/>
  <c r="P47" i="10" s="1"/>
  <c r="Q47" i="10" s="1"/>
  <c r="R45" i="9"/>
  <c r="B45" i="10"/>
  <c r="R40" i="9"/>
  <c r="J46" i="10"/>
  <c r="M39" i="10"/>
  <c r="K39" i="10"/>
  <c r="I39" i="10"/>
  <c r="N39" i="10" s="1"/>
  <c r="Q47" i="9"/>
  <c r="E47" i="10" s="1"/>
  <c r="I47" i="9"/>
  <c r="F47" i="10" s="1"/>
  <c r="P47" i="9"/>
  <c r="D47" i="10" s="1"/>
  <c r="H47" i="9"/>
  <c r="J47" i="9" s="1"/>
  <c r="O47" i="9"/>
  <c r="C47" i="10" s="1"/>
  <c r="G47" i="9"/>
  <c r="A48" i="9"/>
  <c r="M47" i="9"/>
  <c r="E47" i="9"/>
  <c r="D47" i="9"/>
  <c r="N47" i="9"/>
  <c r="K47" i="9"/>
  <c r="F47" i="9"/>
  <c r="C47" i="9"/>
  <c r="B47" i="9"/>
  <c r="L46" i="9"/>
  <c r="N44" i="10" l="1"/>
  <c r="J47" i="10"/>
  <c r="M45" i="10"/>
  <c r="K45" i="10"/>
  <c r="I45" i="10"/>
  <c r="N45" i="10" s="1"/>
  <c r="B46" i="10"/>
  <c r="R41" i="9"/>
  <c r="O44" i="10"/>
  <c r="S44" i="10" s="1"/>
  <c r="U44" i="10" s="1"/>
  <c r="B44" i="19" s="1"/>
  <c r="S48" i="9"/>
  <c r="G48" i="10" s="1"/>
  <c r="A48" i="10"/>
  <c r="P48" i="10" s="1"/>
  <c r="Q48" i="10" s="1"/>
  <c r="T48" i="9"/>
  <c r="H48" i="10" s="1"/>
  <c r="O39" i="10"/>
  <c r="S39" i="10" s="1"/>
  <c r="U39" i="10" s="1"/>
  <c r="B39" i="19" s="1"/>
  <c r="M40" i="10"/>
  <c r="K40" i="10"/>
  <c r="I40" i="10"/>
  <c r="A49" i="9"/>
  <c r="M48" i="9"/>
  <c r="E48" i="9"/>
  <c r="D48" i="9"/>
  <c r="K48" i="9"/>
  <c r="C48" i="9"/>
  <c r="Q48" i="9"/>
  <c r="E48" i="10" s="1"/>
  <c r="I48" i="9"/>
  <c r="F48" i="10" s="1"/>
  <c r="P48" i="9"/>
  <c r="D48" i="10" s="1"/>
  <c r="H48" i="9"/>
  <c r="J48" i="9" s="1"/>
  <c r="O48" i="9"/>
  <c r="C48" i="10" s="1"/>
  <c r="N48" i="9"/>
  <c r="G48" i="9"/>
  <c r="F48" i="9"/>
  <c r="B48" i="9"/>
  <c r="L47" i="9"/>
  <c r="N40" i="10" l="1"/>
  <c r="O45" i="10"/>
  <c r="S45" i="10" s="1"/>
  <c r="U45" i="10" s="1"/>
  <c r="B45" i="19" s="1"/>
  <c r="O40" i="10"/>
  <c r="S40" i="10" s="1"/>
  <c r="U40" i="10" s="1"/>
  <c r="B40" i="19" s="1"/>
  <c r="B47" i="10"/>
  <c r="R42" i="9"/>
  <c r="J48" i="10"/>
  <c r="S49" i="9"/>
  <c r="G49" i="10" s="1"/>
  <c r="T49" i="9"/>
  <c r="H49" i="10" s="1"/>
  <c r="A49" i="10"/>
  <c r="I41" i="10"/>
  <c r="N41" i="10" s="1"/>
  <c r="M41" i="10"/>
  <c r="K41" i="10"/>
  <c r="L48" i="9"/>
  <c r="Q49" i="9"/>
  <c r="E49" i="10" s="1"/>
  <c r="I49" i="9"/>
  <c r="F49" i="10" s="1"/>
  <c r="P49" i="9"/>
  <c r="D49" i="10" s="1"/>
  <c r="H49" i="9"/>
  <c r="J49" i="9" s="1"/>
  <c r="O49" i="9"/>
  <c r="C49" i="10" s="1"/>
  <c r="G49" i="9"/>
  <c r="A50" i="9"/>
  <c r="M49" i="9"/>
  <c r="E49" i="9"/>
  <c r="D49" i="9"/>
  <c r="N49" i="9"/>
  <c r="K49" i="9"/>
  <c r="F49" i="9"/>
  <c r="C49" i="9"/>
  <c r="B49" i="9"/>
  <c r="P49" i="10" l="1"/>
  <c r="Q49" i="10" s="1"/>
  <c r="J49" i="10"/>
  <c r="B48" i="10"/>
  <c r="R43" i="9"/>
  <c r="T50" i="9"/>
  <c r="H50" i="10" s="1"/>
  <c r="A50" i="10"/>
  <c r="S50" i="9"/>
  <c r="G50" i="10" s="1"/>
  <c r="O41" i="10"/>
  <c r="S41" i="10" s="1"/>
  <c r="U41" i="10" s="1"/>
  <c r="B41" i="19" s="1"/>
  <c r="K42" i="10"/>
  <c r="M42" i="10"/>
  <c r="I42" i="10"/>
  <c r="N42" i="10" s="1"/>
  <c r="L49" i="9"/>
  <c r="A51" i="9"/>
  <c r="M50" i="9"/>
  <c r="E50" i="9"/>
  <c r="D50" i="9"/>
  <c r="K50" i="9"/>
  <c r="C50" i="9"/>
  <c r="Q50" i="9"/>
  <c r="E50" i="10" s="1"/>
  <c r="I50" i="9"/>
  <c r="F50" i="10" s="1"/>
  <c r="P50" i="9"/>
  <c r="D50" i="10" s="1"/>
  <c r="H50" i="9"/>
  <c r="J50" i="9" s="1"/>
  <c r="O50" i="9"/>
  <c r="C50" i="10" s="1"/>
  <c r="N50" i="9"/>
  <c r="G50" i="9"/>
  <c r="F50" i="9"/>
  <c r="B50" i="9"/>
  <c r="B49" i="10" l="1"/>
  <c r="O42" i="10"/>
  <c r="S42" i="10" s="1"/>
  <c r="U42" i="10" s="1"/>
  <c r="B42" i="19" s="1"/>
  <c r="J50" i="10"/>
  <c r="M43" i="10"/>
  <c r="K43" i="10"/>
  <c r="I43" i="10"/>
  <c r="N43" i="10" s="1"/>
  <c r="T51" i="9"/>
  <c r="H51" i="10" s="1"/>
  <c r="S51" i="9"/>
  <c r="G51" i="10" s="1"/>
  <c r="A51" i="10"/>
  <c r="P51" i="10" s="1"/>
  <c r="Q51" i="10" s="1"/>
  <c r="L50" i="9"/>
  <c r="Q51" i="9"/>
  <c r="E51" i="10" s="1"/>
  <c r="I51" i="9"/>
  <c r="F51" i="10" s="1"/>
  <c r="P51" i="9"/>
  <c r="D51" i="10" s="1"/>
  <c r="H51" i="9"/>
  <c r="J51" i="9" s="1"/>
  <c r="O51" i="9"/>
  <c r="C51" i="10" s="1"/>
  <c r="J51" i="10" s="1"/>
  <c r="G51" i="9"/>
  <c r="A52" i="9"/>
  <c r="M51" i="9"/>
  <c r="E51" i="9"/>
  <c r="D51" i="9"/>
  <c r="N51" i="9"/>
  <c r="K51" i="9"/>
  <c r="F51" i="9"/>
  <c r="C51" i="9"/>
  <c r="B51" i="9"/>
  <c r="O43" i="10" l="1"/>
  <c r="S43" i="10" s="1"/>
  <c r="U43" i="10" s="1"/>
  <c r="B43" i="19" s="1"/>
  <c r="T52" i="9"/>
  <c r="H52" i="10" s="1"/>
  <c r="P50" i="10" s="1"/>
  <c r="Q50" i="10" s="1"/>
  <c r="S52" i="9"/>
  <c r="G52" i="10" s="1"/>
  <c r="A52" i="10"/>
  <c r="P52" i="10" s="1"/>
  <c r="Q52" i="10" s="1"/>
  <c r="B50" i="10"/>
  <c r="L51" i="9"/>
  <c r="A53" i="9"/>
  <c r="M52" i="9"/>
  <c r="E52" i="9"/>
  <c r="D52" i="9"/>
  <c r="K52" i="9"/>
  <c r="C52" i="9"/>
  <c r="Q52" i="9"/>
  <c r="E52" i="10" s="1"/>
  <c r="I52" i="9"/>
  <c r="F52" i="10" s="1"/>
  <c r="P52" i="9"/>
  <c r="D52" i="10" s="1"/>
  <c r="H52" i="9"/>
  <c r="J52" i="9" s="1"/>
  <c r="O52" i="9"/>
  <c r="C52" i="10" s="1"/>
  <c r="N52" i="9"/>
  <c r="G52" i="9"/>
  <c r="F52" i="9"/>
  <c r="B52" i="9"/>
  <c r="J52" i="10" l="1"/>
  <c r="R51" i="9"/>
  <c r="B51" i="10"/>
  <c r="R46" i="9"/>
  <c r="T53" i="9"/>
  <c r="H53" i="10" s="1"/>
  <c r="A53" i="10"/>
  <c r="P53" i="10" s="1"/>
  <c r="Q53" i="10" s="1"/>
  <c r="S53" i="9"/>
  <c r="G53" i="10" s="1"/>
  <c r="L52" i="9"/>
  <c r="Q53" i="9"/>
  <c r="E53" i="10" s="1"/>
  <c r="I53" i="9"/>
  <c r="F53" i="10" s="1"/>
  <c r="P53" i="9"/>
  <c r="D53" i="10" s="1"/>
  <c r="H53" i="9"/>
  <c r="J53" i="9" s="1"/>
  <c r="O53" i="9"/>
  <c r="C53" i="10" s="1"/>
  <c r="G53" i="9"/>
  <c r="A54" i="9"/>
  <c r="M53" i="9"/>
  <c r="E53" i="9"/>
  <c r="D53" i="9"/>
  <c r="B53" i="9"/>
  <c r="N53" i="9"/>
  <c r="K53" i="9"/>
  <c r="F53" i="9"/>
  <c r="C53" i="9"/>
  <c r="J53" i="10" l="1"/>
  <c r="M46" i="10"/>
  <c r="K46" i="10"/>
  <c r="I46" i="10"/>
  <c r="N46" i="10" s="1"/>
  <c r="T54" i="9"/>
  <c r="H54" i="10" s="1"/>
  <c r="S54" i="9"/>
  <c r="G54" i="10" s="1"/>
  <c r="A54" i="10"/>
  <c r="P54" i="10" s="1"/>
  <c r="Q54" i="10" s="1"/>
  <c r="R52" i="9"/>
  <c r="B52" i="10"/>
  <c r="R47" i="9"/>
  <c r="M51" i="10"/>
  <c r="K51" i="10"/>
  <c r="I51" i="10"/>
  <c r="A55" i="9"/>
  <c r="M54" i="9"/>
  <c r="E54" i="9"/>
  <c r="D54" i="9"/>
  <c r="K54" i="9"/>
  <c r="C54" i="9"/>
  <c r="Q54" i="9"/>
  <c r="E54" i="10" s="1"/>
  <c r="I54" i="9"/>
  <c r="F54" i="10" s="1"/>
  <c r="P54" i="9"/>
  <c r="D54" i="10" s="1"/>
  <c r="H54" i="9"/>
  <c r="J54" i="9" s="1"/>
  <c r="B54" i="9"/>
  <c r="O54" i="9"/>
  <c r="C54" i="10" s="1"/>
  <c r="N54" i="9"/>
  <c r="G54" i="9"/>
  <c r="F54" i="9"/>
  <c r="L53" i="9"/>
  <c r="N51" i="10" l="1"/>
  <c r="O46" i="10"/>
  <c r="S46" i="10" s="1"/>
  <c r="U46" i="10" s="1"/>
  <c r="B46" i="19" s="1"/>
  <c r="K47" i="10"/>
  <c r="M47" i="10"/>
  <c r="I47" i="10"/>
  <c r="N47" i="10" s="1"/>
  <c r="K52" i="10"/>
  <c r="M52" i="10"/>
  <c r="I52" i="10"/>
  <c r="T55" i="9"/>
  <c r="H55" i="10" s="1"/>
  <c r="S55" i="9"/>
  <c r="G55" i="10" s="1"/>
  <c r="A55" i="10"/>
  <c r="P55" i="10" s="1"/>
  <c r="Q55" i="10" s="1"/>
  <c r="J54" i="10"/>
  <c r="O51" i="10"/>
  <c r="S51" i="10" s="1"/>
  <c r="U51" i="10" s="1"/>
  <c r="B51" i="19" s="1"/>
  <c r="B53" i="10"/>
  <c r="R48" i="9"/>
  <c r="L54" i="9"/>
  <c r="Q55" i="9"/>
  <c r="E55" i="10" s="1"/>
  <c r="I55" i="9"/>
  <c r="F55" i="10" s="1"/>
  <c r="P55" i="9"/>
  <c r="D55" i="10" s="1"/>
  <c r="H55" i="9"/>
  <c r="J55" i="9" s="1"/>
  <c r="O55" i="9"/>
  <c r="C55" i="10" s="1"/>
  <c r="G55" i="9"/>
  <c r="A56" i="9"/>
  <c r="M55" i="9"/>
  <c r="E55" i="9"/>
  <c r="D55" i="9"/>
  <c r="C55" i="9"/>
  <c r="B55" i="9"/>
  <c r="N55" i="9"/>
  <c r="K55" i="9"/>
  <c r="F55" i="9"/>
  <c r="N52" i="10" l="1"/>
  <c r="O47" i="10"/>
  <c r="S47" i="10" s="1"/>
  <c r="U47" i="10" s="1"/>
  <c r="B47" i="19" s="1"/>
  <c r="O52" i="10"/>
  <c r="S52" i="10" s="1"/>
  <c r="U52" i="10" s="1"/>
  <c r="B52" i="19" s="1"/>
  <c r="B54" i="10"/>
  <c r="R49" i="9"/>
  <c r="S56" i="9"/>
  <c r="G56" i="10" s="1"/>
  <c r="T56" i="9"/>
  <c r="H56" i="10" s="1"/>
  <c r="A56" i="10"/>
  <c r="P56" i="10" s="1"/>
  <c r="Q56" i="10" s="1"/>
  <c r="I48" i="10"/>
  <c r="M48" i="10"/>
  <c r="K48" i="10"/>
  <c r="J55" i="10"/>
  <c r="A57" i="9"/>
  <c r="M56" i="9"/>
  <c r="E56" i="9"/>
  <c r="D56" i="9"/>
  <c r="K56" i="9"/>
  <c r="C56" i="9"/>
  <c r="Q56" i="9"/>
  <c r="E56" i="10" s="1"/>
  <c r="I56" i="9"/>
  <c r="F56" i="10" s="1"/>
  <c r="P56" i="9"/>
  <c r="D56" i="10" s="1"/>
  <c r="H56" i="9"/>
  <c r="J56" i="9" s="1"/>
  <c r="F56" i="9"/>
  <c r="B56" i="9"/>
  <c r="O56" i="9"/>
  <c r="C56" i="10" s="1"/>
  <c r="N56" i="9"/>
  <c r="G56" i="9"/>
  <c r="L55" i="9"/>
  <c r="N48" i="10" l="1"/>
  <c r="S57" i="9"/>
  <c r="G57" i="10" s="1"/>
  <c r="T57" i="9"/>
  <c r="H57" i="10" s="1"/>
  <c r="A57" i="10"/>
  <c r="O48" i="10"/>
  <c r="S48" i="10" s="1"/>
  <c r="U48" i="10" s="1"/>
  <c r="B48" i="19" s="1"/>
  <c r="B55" i="10"/>
  <c r="R50" i="9"/>
  <c r="K49" i="10"/>
  <c r="I49" i="10"/>
  <c r="M49" i="10"/>
  <c r="J56" i="10"/>
  <c r="L56" i="9"/>
  <c r="Q57" i="9"/>
  <c r="E57" i="10" s="1"/>
  <c r="I57" i="9"/>
  <c r="F57" i="10" s="1"/>
  <c r="P57" i="9"/>
  <c r="D57" i="10" s="1"/>
  <c r="H57" i="9"/>
  <c r="J57" i="9" s="1"/>
  <c r="O57" i="9"/>
  <c r="C57" i="10" s="1"/>
  <c r="G57" i="9"/>
  <c r="A58" i="9"/>
  <c r="M57" i="9"/>
  <c r="E57" i="9"/>
  <c r="D57" i="9"/>
  <c r="F57" i="9"/>
  <c r="C57" i="9"/>
  <c r="B57" i="9"/>
  <c r="N57" i="9"/>
  <c r="K57" i="9"/>
  <c r="N49" i="10" l="1"/>
  <c r="J57" i="10"/>
  <c r="O49" i="10"/>
  <c r="S49" i="10" s="1"/>
  <c r="U49" i="10" s="1"/>
  <c r="B49" i="19" s="1"/>
  <c r="S58" i="9"/>
  <c r="G58" i="10" s="1"/>
  <c r="T58" i="9"/>
  <c r="H58" i="10" s="1"/>
  <c r="A58" i="10"/>
  <c r="P58" i="10" s="1"/>
  <c r="Q58" i="10" s="1"/>
  <c r="I50" i="10"/>
  <c r="N50" i="10" s="1"/>
  <c r="K50" i="10"/>
  <c r="M50" i="10"/>
  <c r="B56" i="10"/>
  <c r="A59" i="9"/>
  <c r="M58" i="9"/>
  <c r="E58" i="9"/>
  <c r="D58" i="9"/>
  <c r="K58" i="9"/>
  <c r="C58" i="9"/>
  <c r="Q58" i="9"/>
  <c r="E58" i="10" s="1"/>
  <c r="I58" i="9"/>
  <c r="F58" i="10" s="1"/>
  <c r="P58" i="9"/>
  <c r="D58" i="10" s="1"/>
  <c r="H58" i="9"/>
  <c r="J58" i="9" s="1"/>
  <c r="G58" i="9"/>
  <c r="F58" i="9"/>
  <c r="B58" i="9"/>
  <c r="O58" i="9"/>
  <c r="C58" i="10" s="1"/>
  <c r="N58" i="9"/>
  <c r="L57" i="9"/>
  <c r="O50" i="10" l="1"/>
  <c r="S50" i="10" s="1"/>
  <c r="U50" i="10" s="1"/>
  <c r="B50" i="19" s="1"/>
  <c r="S59" i="9"/>
  <c r="G59" i="10" s="1"/>
  <c r="A59" i="10"/>
  <c r="P59" i="10" s="1"/>
  <c r="Q59" i="10" s="1"/>
  <c r="T59" i="9"/>
  <c r="H59" i="10" s="1"/>
  <c r="P57" i="10" s="1"/>
  <c r="Q57" i="10" s="1"/>
  <c r="B57" i="10"/>
  <c r="J58" i="10"/>
  <c r="Q59" i="9"/>
  <c r="E59" i="10" s="1"/>
  <c r="I59" i="9"/>
  <c r="F59" i="10" s="1"/>
  <c r="P59" i="9"/>
  <c r="D59" i="10" s="1"/>
  <c r="H59" i="9"/>
  <c r="J59" i="9" s="1"/>
  <c r="O59" i="9"/>
  <c r="C59" i="10" s="1"/>
  <c r="G59" i="9"/>
  <c r="A60" i="9"/>
  <c r="M59" i="9"/>
  <c r="E59" i="9"/>
  <c r="D59" i="9"/>
  <c r="F59" i="9"/>
  <c r="C59" i="9"/>
  <c r="B59" i="9"/>
  <c r="N59" i="9"/>
  <c r="K59" i="9"/>
  <c r="L58" i="9"/>
  <c r="J59" i="10" l="1"/>
  <c r="R58" i="9"/>
  <c r="B58" i="10"/>
  <c r="R53" i="9"/>
  <c r="S60" i="9"/>
  <c r="G60" i="10" s="1"/>
  <c r="A60" i="10"/>
  <c r="P60" i="10" s="1"/>
  <c r="Q60" i="10" s="1"/>
  <c r="T60" i="9"/>
  <c r="H60" i="10" s="1"/>
  <c r="A61" i="9"/>
  <c r="M60" i="9"/>
  <c r="E60" i="9"/>
  <c r="D60" i="9"/>
  <c r="K60" i="9"/>
  <c r="C60" i="9"/>
  <c r="Q60" i="9"/>
  <c r="E60" i="10" s="1"/>
  <c r="I60" i="9"/>
  <c r="F60" i="10" s="1"/>
  <c r="P60" i="9"/>
  <c r="D60" i="10" s="1"/>
  <c r="H60" i="9"/>
  <c r="J60" i="9" s="1"/>
  <c r="G60" i="9"/>
  <c r="F60" i="9"/>
  <c r="B60" i="9"/>
  <c r="O60" i="9"/>
  <c r="C60" i="10" s="1"/>
  <c r="N60" i="9"/>
  <c r="L59" i="9"/>
  <c r="T61" i="9" l="1"/>
  <c r="H61" i="10" s="1"/>
  <c r="S61" i="9"/>
  <c r="G61" i="10" s="1"/>
  <c r="A61" i="10"/>
  <c r="P61" i="10" s="1"/>
  <c r="Q61" i="10" s="1"/>
  <c r="K53" i="10"/>
  <c r="M53" i="10"/>
  <c r="I53" i="10"/>
  <c r="N53" i="10" s="1"/>
  <c r="K58" i="10"/>
  <c r="M58" i="10"/>
  <c r="I58" i="10"/>
  <c r="R59" i="9"/>
  <c r="B59" i="10"/>
  <c r="R54" i="9"/>
  <c r="J60" i="10"/>
  <c r="L60" i="9"/>
  <c r="Q61" i="9"/>
  <c r="E61" i="10" s="1"/>
  <c r="I61" i="9"/>
  <c r="F61" i="10" s="1"/>
  <c r="P61" i="9"/>
  <c r="D61" i="10" s="1"/>
  <c r="H61" i="9"/>
  <c r="J61" i="9" s="1"/>
  <c r="O61" i="9"/>
  <c r="C61" i="10" s="1"/>
  <c r="G61" i="9"/>
  <c r="A62" i="9"/>
  <c r="M61" i="9"/>
  <c r="E61" i="9"/>
  <c r="D61" i="9"/>
  <c r="K61" i="9"/>
  <c r="F61" i="9"/>
  <c r="C61" i="9"/>
  <c r="B61" i="9"/>
  <c r="N61" i="9"/>
  <c r="N58" i="10" l="1"/>
  <c r="O53" i="10"/>
  <c r="S53" i="10" s="1"/>
  <c r="U53" i="10" s="1"/>
  <c r="B53" i="19" s="1"/>
  <c r="K59" i="10"/>
  <c r="I59" i="10"/>
  <c r="M59" i="10"/>
  <c r="B60" i="10"/>
  <c r="R55" i="9"/>
  <c r="T62" i="9"/>
  <c r="H62" i="10" s="1"/>
  <c r="S62" i="9"/>
  <c r="G62" i="10" s="1"/>
  <c r="A62" i="10"/>
  <c r="I54" i="10"/>
  <c r="N54" i="10" s="1"/>
  <c r="K54" i="10"/>
  <c r="M54" i="10"/>
  <c r="O58" i="10"/>
  <c r="S58" i="10" s="1"/>
  <c r="U58" i="10" s="1"/>
  <c r="B58" i="19" s="1"/>
  <c r="J61" i="10"/>
  <c r="A63" i="9"/>
  <c r="M62" i="9"/>
  <c r="E62" i="9"/>
  <c r="D62" i="9"/>
  <c r="K62" i="9"/>
  <c r="C62" i="9"/>
  <c r="Q62" i="9"/>
  <c r="E62" i="10" s="1"/>
  <c r="I62" i="9"/>
  <c r="F62" i="10" s="1"/>
  <c r="P62" i="9"/>
  <c r="D62" i="10" s="1"/>
  <c r="H62" i="9"/>
  <c r="J62" i="9" s="1"/>
  <c r="N62" i="9"/>
  <c r="G62" i="9"/>
  <c r="F62" i="9"/>
  <c r="B62" i="9"/>
  <c r="O62" i="9"/>
  <c r="C62" i="10" s="1"/>
  <c r="L61" i="9"/>
  <c r="N59" i="10" l="1"/>
  <c r="P62" i="10"/>
  <c r="Q62" i="10" s="1"/>
  <c r="O54" i="10"/>
  <c r="S54" i="10" s="1"/>
  <c r="U54" i="10" s="1"/>
  <c r="B54" i="19" s="1"/>
  <c r="M55" i="10"/>
  <c r="K55" i="10"/>
  <c r="I55" i="10"/>
  <c r="N55" i="10" s="1"/>
  <c r="T63" i="9"/>
  <c r="H63" i="10" s="1"/>
  <c r="S63" i="9"/>
  <c r="G63" i="10" s="1"/>
  <c r="A63" i="10"/>
  <c r="O59" i="10"/>
  <c r="S59" i="10" s="1"/>
  <c r="U59" i="10" s="1"/>
  <c r="B59" i="19" s="1"/>
  <c r="B61" i="10"/>
  <c r="R56" i="9"/>
  <c r="J62" i="10"/>
  <c r="L62" i="9"/>
  <c r="Q63" i="9"/>
  <c r="E63" i="10" s="1"/>
  <c r="I63" i="9"/>
  <c r="F63" i="10" s="1"/>
  <c r="P63" i="9"/>
  <c r="D63" i="10" s="1"/>
  <c r="H63" i="9"/>
  <c r="J63" i="9" s="1"/>
  <c r="O63" i="9"/>
  <c r="C63" i="10" s="1"/>
  <c r="G63" i="9"/>
  <c r="A64" i="9"/>
  <c r="M63" i="9"/>
  <c r="E63" i="9"/>
  <c r="D63" i="9"/>
  <c r="N63" i="9"/>
  <c r="K63" i="9"/>
  <c r="F63" i="9"/>
  <c r="C63" i="9"/>
  <c r="B63" i="9"/>
  <c r="J63" i="10" l="1"/>
  <c r="P63" i="10"/>
  <c r="Q63" i="10" s="1"/>
  <c r="O55" i="10"/>
  <c r="S55" i="10" s="1"/>
  <c r="U55" i="10" s="1"/>
  <c r="B55" i="19" s="1"/>
  <c r="S64" i="9"/>
  <c r="G64" i="10" s="1"/>
  <c r="T64" i="9"/>
  <c r="H64" i="10" s="1"/>
  <c r="A64" i="10"/>
  <c r="I56" i="10"/>
  <c r="N56" i="10" s="1"/>
  <c r="M56" i="10"/>
  <c r="K56" i="10"/>
  <c r="B62" i="10"/>
  <c r="R57" i="9"/>
  <c r="L63" i="9"/>
  <c r="A65" i="9"/>
  <c r="M64" i="9"/>
  <c r="E64" i="9"/>
  <c r="D64" i="9"/>
  <c r="K64" i="9"/>
  <c r="C64" i="9"/>
  <c r="Q64" i="9"/>
  <c r="E64" i="10" s="1"/>
  <c r="I64" i="9"/>
  <c r="F64" i="10" s="1"/>
  <c r="P64" i="9"/>
  <c r="D64" i="10" s="1"/>
  <c r="H64" i="9"/>
  <c r="J64" i="9" s="1"/>
  <c r="O64" i="9"/>
  <c r="C64" i="10" s="1"/>
  <c r="N64" i="9"/>
  <c r="G64" i="9"/>
  <c r="F64" i="9"/>
  <c r="B64" i="9"/>
  <c r="O56" i="10" l="1"/>
  <c r="S56" i="10" s="1"/>
  <c r="U56" i="10" s="1"/>
  <c r="B56" i="19" s="1"/>
  <c r="B63" i="10"/>
  <c r="K57" i="10"/>
  <c r="I57" i="10"/>
  <c r="N57" i="10" s="1"/>
  <c r="M57" i="10"/>
  <c r="S65" i="9"/>
  <c r="G65" i="10" s="1"/>
  <c r="T65" i="9"/>
  <c r="H65" i="10" s="1"/>
  <c r="A65" i="10"/>
  <c r="P65" i="10" s="1"/>
  <c r="Q65" i="10" s="1"/>
  <c r="J64" i="10"/>
  <c r="L64" i="9"/>
  <c r="Q65" i="9"/>
  <c r="E65" i="10" s="1"/>
  <c r="I65" i="9"/>
  <c r="F65" i="10" s="1"/>
  <c r="P65" i="9"/>
  <c r="D65" i="10" s="1"/>
  <c r="H65" i="9"/>
  <c r="J65" i="9" s="1"/>
  <c r="O65" i="9"/>
  <c r="C65" i="10" s="1"/>
  <c r="G65" i="9"/>
  <c r="A66" i="9"/>
  <c r="M65" i="9"/>
  <c r="E65" i="9"/>
  <c r="D65" i="9"/>
  <c r="N65" i="9"/>
  <c r="K65" i="9"/>
  <c r="F65" i="9"/>
  <c r="C65" i="9"/>
  <c r="B65" i="9"/>
  <c r="P64" i="10" l="1"/>
  <c r="Q64" i="10" s="1"/>
  <c r="J65" i="10"/>
  <c r="O57" i="10"/>
  <c r="S57" i="10" s="1"/>
  <c r="U57" i="10" s="1"/>
  <c r="B57" i="19" s="1"/>
  <c r="B64" i="10"/>
  <c r="S66" i="9"/>
  <c r="G66" i="10" s="1"/>
  <c r="A66" i="10"/>
  <c r="P66" i="10" s="1"/>
  <c r="Q66" i="10" s="1"/>
  <c r="T66" i="9"/>
  <c r="H66" i="10" s="1"/>
  <c r="L65" i="9"/>
  <c r="A67" i="9"/>
  <c r="M66" i="9"/>
  <c r="E66" i="9"/>
  <c r="D66" i="9"/>
  <c r="K66" i="9"/>
  <c r="C66" i="9"/>
  <c r="Q66" i="9"/>
  <c r="E66" i="10" s="1"/>
  <c r="I66" i="9"/>
  <c r="F66" i="10" s="1"/>
  <c r="P66" i="9"/>
  <c r="D66" i="10" s="1"/>
  <c r="H66" i="9"/>
  <c r="J66" i="9" s="1"/>
  <c r="O66" i="9"/>
  <c r="C66" i="10" s="1"/>
  <c r="N66" i="9"/>
  <c r="G66" i="9"/>
  <c r="F66" i="9"/>
  <c r="B66" i="9"/>
  <c r="J66" i="10" l="1"/>
  <c r="T67" i="9"/>
  <c r="H67" i="10" s="1"/>
  <c r="S67" i="9"/>
  <c r="G67" i="10" s="1"/>
  <c r="A67" i="10"/>
  <c r="P67" i="10" s="1"/>
  <c r="Q67" i="10" s="1"/>
  <c r="R65" i="9"/>
  <c r="B65" i="10"/>
  <c r="R60" i="9"/>
  <c r="Q67" i="9"/>
  <c r="E67" i="10" s="1"/>
  <c r="I67" i="9"/>
  <c r="F67" i="10" s="1"/>
  <c r="P67" i="9"/>
  <c r="D67" i="10" s="1"/>
  <c r="H67" i="9"/>
  <c r="J67" i="9" s="1"/>
  <c r="O67" i="9"/>
  <c r="C67" i="10" s="1"/>
  <c r="G67" i="9"/>
  <c r="A68" i="9"/>
  <c r="M67" i="9"/>
  <c r="E67" i="9"/>
  <c r="D67" i="9"/>
  <c r="N67" i="9"/>
  <c r="K67" i="9"/>
  <c r="F67" i="9"/>
  <c r="C67" i="9"/>
  <c r="B67" i="9"/>
  <c r="L66" i="9"/>
  <c r="J67" i="10" l="1"/>
  <c r="I65" i="10"/>
  <c r="K65" i="10"/>
  <c r="M65" i="10"/>
  <c r="R66" i="9"/>
  <c r="B66" i="10"/>
  <c r="R61" i="9"/>
  <c r="M60" i="10"/>
  <c r="K60" i="10"/>
  <c r="I60" i="10"/>
  <c r="N60" i="10" s="1"/>
  <c r="S68" i="9"/>
  <c r="G68" i="10" s="1"/>
  <c r="T68" i="9"/>
  <c r="H68" i="10" s="1"/>
  <c r="A68" i="10"/>
  <c r="P68" i="10" s="1"/>
  <c r="Q68" i="10" s="1"/>
  <c r="A69" i="9"/>
  <c r="M68" i="9"/>
  <c r="E68" i="9"/>
  <c r="D68" i="9"/>
  <c r="K68" i="9"/>
  <c r="C68" i="9"/>
  <c r="Q68" i="9"/>
  <c r="E68" i="10" s="1"/>
  <c r="I68" i="9"/>
  <c r="F68" i="10" s="1"/>
  <c r="P68" i="9"/>
  <c r="D68" i="10" s="1"/>
  <c r="H68" i="9"/>
  <c r="J68" i="9" s="1"/>
  <c r="O68" i="9"/>
  <c r="C68" i="10" s="1"/>
  <c r="N68" i="9"/>
  <c r="G68" i="9"/>
  <c r="F68" i="9"/>
  <c r="B68" i="9"/>
  <c r="L67" i="9"/>
  <c r="N65" i="10" l="1"/>
  <c r="J68" i="10"/>
  <c r="T69" i="9"/>
  <c r="H69" i="10" s="1"/>
  <c r="S69" i="9"/>
  <c r="G69" i="10" s="1"/>
  <c r="A69" i="10"/>
  <c r="P69" i="10" s="1"/>
  <c r="Q69" i="10" s="1"/>
  <c r="M61" i="10"/>
  <c r="K61" i="10"/>
  <c r="I61" i="10"/>
  <c r="O60" i="10"/>
  <c r="S60" i="10" s="1"/>
  <c r="U60" i="10" s="1"/>
  <c r="B60" i="19" s="1"/>
  <c r="B67" i="10"/>
  <c r="R62" i="9"/>
  <c r="M66" i="10"/>
  <c r="K66" i="10"/>
  <c r="I66" i="10"/>
  <c r="N66" i="10" s="1"/>
  <c r="O65" i="10"/>
  <c r="S65" i="10" s="1"/>
  <c r="U65" i="10" s="1"/>
  <c r="B65" i="19" s="1"/>
  <c r="L68" i="9"/>
  <c r="Q69" i="9"/>
  <c r="E69" i="10" s="1"/>
  <c r="I69" i="9"/>
  <c r="F69" i="10" s="1"/>
  <c r="P69" i="9"/>
  <c r="D69" i="10" s="1"/>
  <c r="H69" i="9"/>
  <c r="J69" i="9" s="1"/>
  <c r="O69" i="9"/>
  <c r="C69" i="10" s="1"/>
  <c r="G69" i="9"/>
  <c r="A70" i="9"/>
  <c r="M69" i="9"/>
  <c r="E69" i="9"/>
  <c r="D69" i="9"/>
  <c r="B69" i="9"/>
  <c r="N69" i="9"/>
  <c r="K69" i="9"/>
  <c r="F69" i="9"/>
  <c r="C69" i="9"/>
  <c r="N61" i="10" l="1"/>
  <c r="O61" i="10" s="1"/>
  <c r="S61" i="10" s="1"/>
  <c r="U61" i="10" s="1"/>
  <c r="B61" i="19" s="1"/>
  <c r="T70" i="9"/>
  <c r="H70" i="10" s="1"/>
  <c r="S70" i="9"/>
  <c r="G70" i="10" s="1"/>
  <c r="A70" i="10"/>
  <c r="P70" i="10" s="1"/>
  <c r="Q70" i="10" s="1"/>
  <c r="O66" i="10"/>
  <c r="S66" i="10" s="1"/>
  <c r="U66" i="10" s="1"/>
  <c r="B66" i="19" s="1"/>
  <c r="I62" i="10"/>
  <c r="N62" i="10" s="1"/>
  <c r="K62" i="10"/>
  <c r="M62" i="10"/>
  <c r="B68" i="10"/>
  <c r="R63" i="9"/>
  <c r="J69" i="10"/>
  <c r="A71" i="9"/>
  <c r="M70" i="9"/>
  <c r="E70" i="9"/>
  <c r="D70" i="9"/>
  <c r="K70" i="9"/>
  <c r="C70" i="9"/>
  <c r="Q70" i="9"/>
  <c r="E70" i="10" s="1"/>
  <c r="I70" i="9"/>
  <c r="F70" i="10" s="1"/>
  <c r="P70" i="9"/>
  <c r="D70" i="10" s="1"/>
  <c r="H70" i="9"/>
  <c r="J70" i="9" s="1"/>
  <c r="B70" i="9"/>
  <c r="O70" i="9"/>
  <c r="C70" i="10" s="1"/>
  <c r="N70" i="9"/>
  <c r="G70" i="9"/>
  <c r="F70" i="9"/>
  <c r="L69" i="9"/>
  <c r="O62" i="10" l="1"/>
  <c r="S62" i="10" s="1"/>
  <c r="U62" i="10" s="1"/>
  <c r="B62" i="19" s="1"/>
  <c r="K63" i="10"/>
  <c r="M63" i="10"/>
  <c r="I63" i="10"/>
  <c r="N63" i="10" s="1"/>
  <c r="T71" i="9"/>
  <c r="H71" i="10" s="1"/>
  <c r="S71" i="9"/>
  <c r="G71" i="10" s="1"/>
  <c r="A71" i="10"/>
  <c r="J70" i="10"/>
  <c r="B69" i="10"/>
  <c r="R64" i="9"/>
  <c r="L70" i="9"/>
  <c r="Q71" i="9"/>
  <c r="E71" i="10" s="1"/>
  <c r="I71" i="9"/>
  <c r="F71" i="10" s="1"/>
  <c r="P71" i="9"/>
  <c r="D71" i="10" s="1"/>
  <c r="H71" i="9"/>
  <c r="J71" i="9" s="1"/>
  <c r="O71" i="9"/>
  <c r="C71" i="10" s="1"/>
  <c r="G71" i="9"/>
  <c r="A72" i="9"/>
  <c r="M71" i="9"/>
  <c r="E71" i="9"/>
  <c r="D71" i="9"/>
  <c r="C71" i="9"/>
  <c r="B71" i="9"/>
  <c r="N71" i="9"/>
  <c r="K71" i="9"/>
  <c r="F71" i="9"/>
  <c r="J71" i="10" l="1"/>
  <c r="O63" i="10"/>
  <c r="S63" i="10" s="1"/>
  <c r="U63" i="10" s="1"/>
  <c r="B63" i="19" s="1"/>
  <c r="K64" i="10"/>
  <c r="I64" i="10"/>
  <c r="N64" i="10" s="1"/>
  <c r="M64" i="10"/>
  <c r="B70" i="10"/>
  <c r="S72" i="9"/>
  <c r="G72" i="10" s="1"/>
  <c r="T72" i="9"/>
  <c r="H72" i="10" s="1"/>
  <c r="A72" i="10"/>
  <c r="P72" i="10" s="1"/>
  <c r="Q72" i="10" s="1"/>
  <c r="A73" i="9"/>
  <c r="M72" i="9"/>
  <c r="E72" i="9"/>
  <c r="D72" i="9"/>
  <c r="K72" i="9"/>
  <c r="C72" i="9"/>
  <c r="Q72" i="9"/>
  <c r="E72" i="10" s="1"/>
  <c r="I72" i="9"/>
  <c r="F72" i="10" s="1"/>
  <c r="P72" i="9"/>
  <c r="D72" i="10" s="1"/>
  <c r="H72" i="9"/>
  <c r="J72" i="9" s="1"/>
  <c r="F72" i="9"/>
  <c r="B72" i="9"/>
  <c r="O72" i="9"/>
  <c r="C72" i="10" s="1"/>
  <c r="J72" i="10" s="1"/>
  <c r="N72" i="9"/>
  <c r="G72" i="9"/>
  <c r="L71" i="9"/>
  <c r="O64" i="10" l="1"/>
  <c r="S64" i="10" s="1"/>
  <c r="U64" i="10" s="1"/>
  <c r="B64" i="19" s="1"/>
  <c r="T73" i="9"/>
  <c r="H73" i="10" s="1"/>
  <c r="P71" i="10" s="1"/>
  <c r="Q71" i="10" s="1"/>
  <c r="S73" i="9"/>
  <c r="G73" i="10" s="1"/>
  <c r="A73" i="10"/>
  <c r="P73" i="10" s="1"/>
  <c r="Q73" i="10" s="1"/>
  <c r="B71" i="10"/>
  <c r="L72" i="9"/>
  <c r="Q73" i="9"/>
  <c r="E73" i="10" s="1"/>
  <c r="I73" i="9"/>
  <c r="F73" i="10" s="1"/>
  <c r="P73" i="9"/>
  <c r="D73" i="10" s="1"/>
  <c r="H73" i="9"/>
  <c r="J73" i="9" s="1"/>
  <c r="L73" i="9" s="1"/>
  <c r="O73" i="9"/>
  <c r="C73" i="10" s="1"/>
  <c r="G73" i="9"/>
  <c r="A74" i="9"/>
  <c r="M73" i="9"/>
  <c r="E73" i="9"/>
  <c r="D73" i="9"/>
  <c r="F73" i="9"/>
  <c r="C73" i="9"/>
  <c r="B73" i="9"/>
  <c r="N73" i="9"/>
  <c r="K73" i="9"/>
  <c r="J73" i="10" l="1"/>
  <c r="R72" i="9"/>
  <c r="B72" i="10"/>
  <c r="R67" i="9"/>
  <c r="R73" i="9"/>
  <c r="B73" i="10"/>
  <c r="R68" i="9"/>
  <c r="T74" i="9"/>
  <c r="H74" i="10" s="1"/>
  <c r="S74" i="9"/>
  <c r="G74" i="10" s="1"/>
  <c r="A74" i="10"/>
  <c r="P74" i="10" s="1"/>
  <c r="Q74" i="10" s="1"/>
  <c r="A75" i="9"/>
  <c r="M74" i="9"/>
  <c r="E74" i="9"/>
  <c r="D74" i="9"/>
  <c r="K74" i="9"/>
  <c r="C74" i="9"/>
  <c r="Q74" i="9"/>
  <c r="E74" i="10" s="1"/>
  <c r="I74" i="9"/>
  <c r="F74" i="10" s="1"/>
  <c r="P74" i="9"/>
  <c r="D74" i="10" s="1"/>
  <c r="H74" i="9"/>
  <c r="J74" i="9" s="1"/>
  <c r="G74" i="9"/>
  <c r="F74" i="9"/>
  <c r="B74" i="9"/>
  <c r="O74" i="9"/>
  <c r="C74" i="10" s="1"/>
  <c r="N74" i="9"/>
  <c r="T75" i="9" l="1"/>
  <c r="H75" i="10" s="1"/>
  <c r="A75" i="10"/>
  <c r="P75" i="10" s="1"/>
  <c r="Q75" i="10" s="1"/>
  <c r="S75" i="9"/>
  <c r="G75" i="10" s="1"/>
  <c r="I72" i="10"/>
  <c r="M72" i="10"/>
  <c r="K72" i="10"/>
  <c r="I73" i="10"/>
  <c r="J74" i="10"/>
  <c r="M73" i="10"/>
  <c r="K68" i="10"/>
  <c r="I68" i="10"/>
  <c r="N68" i="10" s="1"/>
  <c r="M68" i="10"/>
  <c r="K73" i="10"/>
  <c r="M67" i="10"/>
  <c r="I67" i="10"/>
  <c r="K67" i="10"/>
  <c r="L74" i="9"/>
  <c r="Q75" i="9"/>
  <c r="E75" i="10" s="1"/>
  <c r="I75" i="9"/>
  <c r="F75" i="10" s="1"/>
  <c r="P75" i="9"/>
  <c r="D75" i="10" s="1"/>
  <c r="H75" i="9"/>
  <c r="J75" i="9" s="1"/>
  <c r="O75" i="9"/>
  <c r="C75" i="10" s="1"/>
  <c r="G75" i="9"/>
  <c r="A76" i="9"/>
  <c r="M75" i="9"/>
  <c r="E75" i="9"/>
  <c r="D75" i="9"/>
  <c r="F75" i="9"/>
  <c r="C75" i="9"/>
  <c r="B75" i="9"/>
  <c r="N75" i="9"/>
  <c r="K75" i="9"/>
  <c r="N73" i="10" l="1"/>
  <c r="N72" i="10"/>
  <c r="N67" i="10"/>
  <c r="O67" i="10" s="1"/>
  <c r="S67" i="10" s="1"/>
  <c r="U67" i="10" s="1"/>
  <c r="B67" i="19" s="1"/>
  <c r="J75" i="10"/>
  <c r="O73" i="10"/>
  <c r="S73" i="10" s="1"/>
  <c r="U73" i="10" s="1"/>
  <c r="B73" i="19" s="1"/>
  <c r="O72" i="10"/>
  <c r="S72" i="10" s="1"/>
  <c r="U72" i="10" s="1"/>
  <c r="B72" i="19" s="1"/>
  <c r="B74" i="10"/>
  <c r="R69" i="9"/>
  <c r="S76" i="9"/>
  <c r="G76" i="10" s="1"/>
  <c r="T76" i="9"/>
  <c r="H76" i="10" s="1"/>
  <c r="A76" i="10"/>
  <c r="P76" i="10" s="1"/>
  <c r="Q76" i="10" s="1"/>
  <c r="O68" i="10"/>
  <c r="S68" i="10" s="1"/>
  <c r="U68" i="10" s="1"/>
  <c r="B68" i="19" s="1"/>
  <c r="A77" i="9"/>
  <c r="M76" i="9"/>
  <c r="E76" i="9"/>
  <c r="D76" i="9"/>
  <c r="K76" i="9"/>
  <c r="C76" i="9"/>
  <c r="Q76" i="9"/>
  <c r="E76" i="10" s="1"/>
  <c r="I76" i="9"/>
  <c r="F76" i="10" s="1"/>
  <c r="P76" i="9"/>
  <c r="D76" i="10" s="1"/>
  <c r="H76" i="9"/>
  <c r="J76" i="9" s="1"/>
  <c r="G76" i="9"/>
  <c r="F76" i="9"/>
  <c r="B76" i="9"/>
  <c r="O76" i="9"/>
  <c r="C76" i="10" s="1"/>
  <c r="N76" i="9"/>
  <c r="L75" i="9"/>
  <c r="T77" i="9" l="1"/>
  <c r="H77" i="10" s="1"/>
  <c r="A77" i="10"/>
  <c r="P77" i="10" s="1"/>
  <c r="Q77" i="10" s="1"/>
  <c r="S77" i="9"/>
  <c r="G77" i="10" s="1"/>
  <c r="I69" i="10"/>
  <c r="M69" i="10"/>
  <c r="K69" i="10"/>
  <c r="B75" i="10"/>
  <c r="R70" i="9"/>
  <c r="J76" i="10"/>
  <c r="L76" i="9"/>
  <c r="Q77" i="9"/>
  <c r="E77" i="10" s="1"/>
  <c r="I77" i="9"/>
  <c r="F77" i="10" s="1"/>
  <c r="P77" i="9"/>
  <c r="D77" i="10" s="1"/>
  <c r="H77" i="9"/>
  <c r="J77" i="9" s="1"/>
  <c r="O77" i="9"/>
  <c r="C77" i="10" s="1"/>
  <c r="G77" i="9"/>
  <c r="A78" i="9"/>
  <c r="M77" i="9"/>
  <c r="E77" i="9"/>
  <c r="D77" i="9"/>
  <c r="K77" i="9"/>
  <c r="F77" i="9"/>
  <c r="C77" i="9"/>
  <c r="B77" i="9"/>
  <c r="N77" i="9"/>
  <c r="N69" i="10" l="1"/>
  <c r="O69" i="10"/>
  <c r="S69" i="10" s="1"/>
  <c r="U69" i="10" s="1"/>
  <c r="B69" i="19" s="1"/>
  <c r="B76" i="10"/>
  <c r="R71" i="9"/>
  <c r="T78" i="9"/>
  <c r="H78" i="10" s="1"/>
  <c r="A78" i="10"/>
  <c r="S78" i="9"/>
  <c r="G78" i="10" s="1"/>
  <c r="M70" i="10"/>
  <c r="K70" i="10"/>
  <c r="I70" i="10"/>
  <c r="N70" i="10" s="1"/>
  <c r="J77" i="10"/>
  <c r="L77" i="9"/>
  <c r="A79" i="9"/>
  <c r="M78" i="9"/>
  <c r="E78" i="9"/>
  <c r="D78" i="9"/>
  <c r="K78" i="9"/>
  <c r="C78" i="9"/>
  <c r="Q78" i="9"/>
  <c r="E78" i="10" s="1"/>
  <c r="I78" i="9"/>
  <c r="F78" i="10" s="1"/>
  <c r="P78" i="9"/>
  <c r="D78" i="10" s="1"/>
  <c r="H78" i="9"/>
  <c r="J78" i="9" s="1"/>
  <c r="N78" i="9"/>
  <c r="G78" i="9"/>
  <c r="F78" i="9"/>
  <c r="B78" i="9"/>
  <c r="O78" i="9"/>
  <c r="C78" i="10" s="1"/>
  <c r="J78" i="10" l="1"/>
  <c r="K71" i="10"/>
  <c r="M71" i="10"/>
  <c r="I71" i="10"/>
  <c r="N71" i="10" s="1"/>
  <c r="O70" i="10"/>
  <c r="S70" i="10" s="1"/>
  <c r="U70" i="10" s="1"/>
  <c r="B70" i="19" s="1"/>
  <c r="B77" i="10"/>
  <c r="T79" i="9"/>
  <c r="H79" i="10" s="1"/>
  <c r="S79" i="9"/>
  <c r="G79" i="10" s="1"/>
  <c r="A79" i="10"/>
  <c r="P79" i="10" s="1"/>
  <c r="Q79" i="10" s="1"/>
  <c r="Q79" i="9"/>
  <c r="E79" i="10" s="1"/>
  <c r="I79" i="9"/>
  <c r="F79" i="10" s="1"/>
  <c r="P79" i="9"/>
  <c r="D79" i="10" s="1"/>
  <c r="H79" i="9"/>
  <c r="J79" i="9" s="1"/>
  <c r="O79" i="9"/>
  <c r="C79" i="10" s="1"/>
  <c r="G79" i="9"/>
  <c r="A80" i="9"/>
  <c r="M79" i="9"/>
  <c r="E79" i="9"/>
  <c r="D79" i="9"/>
  <c r="N79" i="9"/>
  <c r="K79" i="9"/>
  <c r="F79" i="9"/>
  <c r="C79" i="9"/>
  <c r="B79" i="9"/>
  <c r="L78" i="9"/>
  <c r="P78" i="10" l="1"/>
  <c r="Q78" i="10" s="1"/>
  <c r="O71" i="10"/>
  <c r="S71" i="10" s="1"/>
  <c r="U71" i="10" s="1"/>
  <c r="B71" i="19" s="1"/>
  <c r="J79" i="10"/>
  <c r="B78" i="10"/>
  <c r="S80" i="9"/>
  <c r="G80" i="10" s="1"/>
  <c r="T80" i="9"/>
  <c r="H80" i="10" s="1"/>
  <c r="A80" i="10"/>
  <c r="P80" i="10" s="1"/>
  <c r="Q80" i="10" s="1"/>
  <c r="A81" i="9"/>
  <c r="M80" i="9"/>
  <c r="E80" i="9"/>
  <c r="D80" i="9"/>
  <c r="K80" i="9"/>
  <c r="C80" i="9"/>
  <c r="Q80" i="9"/>
  <c r="E80" i="10" s="1"/>
  <c r="I80" i="9"/>
  <c r="F80" i="10" s="1"/>
  <c r="P80" i="9"/>
  <c r="D80" i="10" s="1"/>
  <c r="H80" i="9"/>
  <c r="J80" i="9" s="1"/>
  <c r="O80" i="9"/>
  <c r="C80" i="10" s="1"/>
  <c r="N80" i="9"/>
  <c r="G80" i="9"/>
  <c r="F80" i="9"/>
  <c r="B80" i="9"/>
  <c r="L79" i="9"/>
  <c r="J80" i="10" l="1"/>
  <c r="S81" i="9"/>
  <c r="G81" i="10" s="1"/>
  <c r="T81" i="9"/>
  <c r="H81" i="10" s="1"/>
  <c r="A81" i="10"/>
  <c r="P81" i="10" s="1"/>
  <c r="Q81" i="10" s="1"/>
  <c r="R79" i="9"/>
  <c r="B79" i="10"/>
  <c r="R74" i="9"/>
  <c r="L80" i="9"/>
  <c r="Q81" i="9"/>
  <c r="E81" i="10" s="1"/>
  <c r="I81" i="9"/>
  <c r="F81" i="10" s="1"/>
  <c r="P81" i="9"/>
  <c r="D81" i="10" s="1"/>
  <c r="H81" i="9"/>
  <c r="J81" i="9" s="1"/>
  <c r="O81" i="9"/>
  <c r="C81" i="10" s="1"/>
  <c r="G81" i="9"/>
  <c r="A82" i="9"/>
  <c r="M81" i="9"/>
  <c r="E81" i="9"/>
  <c r="D81" i="9"/>
  <c r="N81" i="9"/>
  <c r="K81" i="9"/>
  <c r="F81" i="9"/>
  <c r="C81" i="9"/>
  <c r="B81" i="9"/>
  <c r="J81" i="10" l="1"/>
  <c r="M79" i="10"/>
  <c r="K79" i="10"/>
  <c r="I79" i="10"/>
  <c r="R80" i="9"/>
  <c r="B80" i="10"/>
  <c r="R75" i="9"/>
  <c r="I74" i="10"/>
  <c r="N74" i="10" s="1"/>
  <c r="K74" i="10"/>
  <c r="M74" i="10"/>
  <c r="S82" i="9"/>
  <c r="G82" i="10" s="1"/>
  <c r="T82" i="9"/>
  <c r="H82" i="10" s="1"/>
  <c r="A82" i="10"/>
  <c r="P82" i="10" s="1"/>
  <c r="Q82" i="10" s="1"/>
  <c r="A83" i="9"/>
  <c r="M82" i="9"/>
  <c r="E82" i="9"/>
  <c r="D82" i="9"/>
  <c r="K82" i="9"/>
  <c r="C82" i="9"/>
  <c r="Q82" i="9"/>
  <c r="E82" i="10" s="1"/>
  <c r="I82" i="9"/>
  <c r="F82" i="10" s="1"/>
  <c r="P82" i="9"/>
  <c r="D82" i="10" s="1"/>
  <c r="H82" i="9"/>
  <c r="J82" i="9" s="1"/>
  <c r="O82" i="9"/>
  <c r="C82" i="10" s="1"/>
  <c r="N82" i="9"/>
  <c r="G82" i="9"/>
  <c r="F82" i="9"/>
  <c r="B82" i="9"/>
  <c r="L81" i="9"/>
  <c r="N79" i="10" l="1"/>
  <c r="O79" i="10"/>
  <c r="S79" i="10" s="1"/>
  <c r="U79" i="10" s="1"/>
  <c r="B79" i="19" s="1"/>
  <c r="K80" i="10"/>
  <c r="M80" i="10"/>
  <c r="I80" i="10"/>
  <c r="O74" i="10"/>
  <c r="S74" i="10" s="1"/>
  <c r="U74" i="10" s="1"/>
  <c r="B74" i="19" s="1"/>
  <c r="T83" i="9"/>
  <c r="H83" i="10" s="1"/>
  <c r="S83" i="9"/>
  <c r="G83" i="10" s="1"/>
  <c r="A83" i="10"/>
  <c r="M75" i="10"/>
  <c r="K75" i="10"/>
  <c r="I75" i="10"/>
  <c r="N75" i="10" s="1"/>
  <c r="J82" i="10"/>
  <c r="B81" i="10"/>
  <c r="R76" i="9"/>
  <c r="L82" i="9"/>
  <c r="Q83" i="9"/>
  <c r="E83" i="10" s="1"/>
  <c r="I83" i="9"/>
  <c r="F83" i="10" s="1"/>
  <c r="P83" i="9"/>
  <c r="D83" i="10" s="1"/>
  <c r="H83" i="9"/>
  <c r="J83" i="9" s="1"/>
  <c r="O83" i="9"/>
  <c r="C83" i="10" s="1"/>
  <c r="G83" i="9"/>
  <c r="A84" i="9"/>
  <c r="M83" i="9"/>
  <c r="E83" i="9"/>
  <c r="D83" i="9"/>
  <c r="N83" i="9"/>
  <c r="K83" i="9"/>
  <c r="F83" i="9"/>
  <c r="C83" i="9"/>
  <c r="B83" i="9"/>
  <c r="N80" i="10" l="1"/>
  <c r="P83" i="10"/>
  <c r="Q83" i="10" s="1"/>
  <c r="T84" i="9"/>
  <c r="H84" i="10" s="1"/>
  <c r="S84" i="9"/>
  <c r="G84" i="10" s="1"/>
  <c r="A84" i="10"/>
  <c r="P84" i="10" s="1"/>
  <c r="Q84" i="10" s="1"/>
  <c r="B82" i="10"/>
  <c r="R77" i="9"/>
  <c r="M76" i="10"/>
  <c r="K76" i="10"/>
  <c r="I76" i="10"/>
  <c r="O75" i="10"/>
  <c r="S75" i="10" s="1"/>
  <c r="U75" i="10" s="1"/>
  <c r="B75" i="19" s="1"/>
  <c r="O80" i="10"/>
  <c r="S80" i="10" s="1"/>
  <c r="U80" i="10" s="1"/>
  <c r="B80" i="19" s="1"/>
  <c r="J83" i="10"/>
  <c r="A85" i="9"/>
  <c r="M84" i="9"/>
  <c r="E84" i="9"/>
  <c r="D84" i="9"/>
  <c r="K84" i="9"/>
  <c r="C84" i="9"/>
  <c r="Q84" i="9"/>
  <c r="E84" i="10" s="1"/>
  <c r="I84" i="9"/>
  <c r="F84" i="10" s="1"/>
  <c r="P84" i="9"/>
  <c r="D84" i="10" s="1"/>
  <c r="H84" i="9"/>
  <c r="J84" i="9" s="1"/>
  <c r="O84" i="9"/>
  <c r="C84" i="10" s="1"/>
  <c r="N84" i="9"/>
  <c r="G84" i="9"/>
  <c r="F84" i="9"/>
  <c r="B84" i="9"/>
  <c r="L83" i="9"/>
  <c r="N76" i="10" l="1"/>
  <c r="T85" i="9"/>
  <c r="H85" i="10" s="1"/>
  <c r="S85" i="9"/>
  <c r="G85" i="10" s="1"/>
  <c r="A85" i="10"/>
  <c r="O76" i="10"/>
  <c r="S76" i="10" s="1"/>
  <c r="U76" i="10" s="1"/>
  <c r="B76" i="19" s="1"/>
  <c r="I77" i="10"/>
  <c r="N77" i="10" s="1"/>
  <c r="M77" i="10"/>
  <c r="K77" i="10"/>
  <c r="J84" i="10"/>
  <c r="B83" i="10"/>
  <c r="R78" i="9"/>
  <c r="L84" i="9"/>
  <c r="Q85" i="9"/>
  <c r="E85" i="10" s="1"/>
  <c r="I85" i="9"/>
  <c r="F85" i="10" s="1"/>
  <c r="P85" i="9"/>
  <c r="D85" i="10" s="1"/>
  <c r="H85" i="9"/>
  <c r="J85" i="9" s="1"/>
  <c r="O85" i="9"/>
  <c r="C85" i="10" s="1"/>
  <c r="G85" i="9"/>
  <c r="A86" i="9"/>
  <c r="M85" i="9"/>
  <c r="E85" i="9"/>
  <c r="D85" i="9"/>
  <c r="B85" i="9"/>
  <c r="N85" i="9"/>
  <c r="K85" i="9"/>
  <c r="F85" i="9"/>
  <c r="C85" i="9"/>
  <c r="O77" i="10" l="1"/>
  <c r="S77" i="10" s="1"/>
  <c r="U77" i="10" s="1"/>
  <c r="B77" i="19" s="1"/>
  <c r="M78" i="10"/>
  <c r="K78" i="10"/>
  <c r="I78" i="10"/>
  <c r="N78" i="10" s="1"/>
  <c r="J85" i="10"/>
  <c r="B84" i="10"/>
  <c r="T86" i="9"/>
  <c r="H86" i="10" s="1"/>
  <c r="S86" i="9"/>
  <c r="G86" i="10" s="1"/>
  <c r="A86" i="10"/>
  <c r="P86" i="10" s="1"/>
  <c r="Q86" i="10" s="1"/>
  <c r="A87" i="9"/>
  <c r="M86" i="9"/>
  <c r="E86" i="9"/>
  <c r="D86" i="9"/>
  <c r="K86" i="9"/>
  <c r="C86" i="9"/>
  <c r="Q86" i="9"/>
  <c r="E86" i="10" s="1"/>
  <c r="I86" i="9"/>
  <c r="F86" i="10" s="1"/>
  <c r="P86" i="9"/>
  <c r="D86" i="10" s="1"/>
  <c r="H86" i="9"/>
  <c r="J86" i="9" s="1"/>
  <c r="B86" i="9"/>
  <c r="O86" i="9"/>
  <c r="C86" i="10" s="1"/>
  <c r="N86" i="9"/>
  <c r="G86" i="9"/>
  <c r="F86" i="9"/>
  <c r="L85" i="9"/>
  <c r="P85" i="10" l="1"/>
  <c r="Q85" i="10" s="1"/>
  <c r="O78" i="10"/>
  <c r="S78" i="10" s="1"/>
  <c r="U78" i="10" s="1"/>
  <c r="B78" i="19" s="1"/>
  <c r="T87" i="9"/>
  <c r="H87" i="10" s="1"/>
  <c r="S87" i="9"/>
  <c r="G87" i="10" s="1"/>
  <c r="A87" i="10"/>
  <c r="P87" i="10" s="1"/>
  <c r="Q87" i="10" s="1"/>
  <c r="B85" i="10"/>
  <c r="J86" i="10"/>
  <c r="L86" i="9"/>
  <c r="Q87" i="9"/>
  <c r="E87" i="10" s="1"/>
  <c r="I87" i="9"/>
  <c r="F87" i="10" s="1"/>
  <c r="P87" i="9"/>
  <c r="D87" i="10" s="1"/>
  <c r="H87" i="9"/>
  <c r="J87" i="9" s="1"/>
  <c r="O87" i="9"/>
  <c r="C87" i="10" s="1"/>
  <c r="G87" i="9"/>
  <c r="A88" i="9"/>
  <c r="M87" i="9"/>
  <c r="E87" i="9"/>
  <c r="D87" i="9"/>
  <c r="C87" i="9"/>
  <c r="B87" i="9"/>
  <c r="N87" i="9"/>
  <c r="K87" i="9"/>
  <c r="F87" i="9"/>
  <c r="J87" i="10" l="1"/>
  <c r="R86" i="9"/>
  <c r="B86" i="10"/>
  <c r="R81" i="9"/>
  <c r="S88" i="9"/>
  <c r="G88" i="10" s="1"/>
  <c r="A88" i="10"/>
  <c r="P88" i="10" s="1"/>
  <c r="Q88" i="10" s="1"/>
  <c r="T88" i="9"/>
  <c r="H88" i="10" s="1"/>
  <c r="A89" i="9"/>
  <c r="M88" i="9"/>
  <c r="E88" i="9"/>
  <c r="D88" i="9"/>
  <c r="K88" i="9"/>
  <c r="C88" i="9"/>
  <c r="Q88" i="9"/>
  <c r="E88" i="10" s="1"/>
  <c r="I88" i="9"/>
  <c r="F88" i="10" s="1"/>
  <c r="P88" i="9"/>
  <c r="D88" i="10" s="1"/>
  <c r="H88" i="9"/>
  <c r="J88" i="9" s="1"/>
  <c r="F88" i="9"/>
  <c r="B88" i="9"/>
  <c r="O88" i="9"/>
  <c r="C88" i="10" s="1"/>
  <c r="N88" i="9"/>
  <c r="G88" i="9"/>
  <c r="L87" i="9"/>
  <c r="J88" i="10" l="1"/>
  <c r="K81" i="10"/>
  <c r="M81" i="10"/>
  <c r="I81" i="10"/>
  <c r="N81" i="10" s="1"/>
  <c r="S89" i="9"/>
  <c r="G89" i="10" s="1"/>
  <c r="T89" i="9"/>
  <c r="H89" i="10" s="1"/>
  <c r="A89" i="10"/>
  <c r="P89" i="10" s="1"/>
  <c r="Q89" i="10" s="1"/>
  <c r="R87" i="9"/>
  <c r="B87" i="10"/>
  <c r="R82" i="9"/>
  <c r="I86" i="10"/>
  <c r="M86" i="10"/>
  <c r="K86" i="10"/>
  <c r="L88" i="9"/>
  <c r="Q89" i="9"/>
  <c r="E89" i="10" s="1"/>
  <c r="I89" i="9"/>
  <c r="F89" i="10" s="1"/>
  <c r="P89" i="9"/>
  <c r="D89" i="10" s="1"/>
  <c r="H89" i="9"/>
  <c r="J89" i="9" s="1"/>
  <c r="O89" i="9"/>
  <c r="C89" i="10" s="1"/>
  <c r="J89" i="10" s="1"/>
  <c r="G89" i="9"/>
  <c r="A90" i="9"/>
  <c r="M89" i="9"/>
  <c r="E89" i="9"/>
  <c r="D89" i="9"/>
  <c r="F89" i="9"/>
  <c r="C89" i="9"/>
  <c r="B89" i="9"/>
  <c r="N89" i="9"/>
  <c r="K89" i="9"/>
  <c r="N86" i="10" l="1"/>
  <c r="O86" i="10"/>
  <c r="S86" i="10" s="1"/>
  <c r="U86" i="10" s="1"/>
  <c r="B86" i="19" s="1"/>
  <c r="K87" i="10"/>
  <c r="I87" i="10"/>
  <c r="M87" i="10"/>
  <c r="O81" i="10"/>
  <c r="S81" i="10" s="1"/>
  <c r="U81" i="10" s="1"/>
  <c r="B81" i="19" s="1"/>
  <c r="B88" i="10"/>
  <c r="R83" i="9"/>
  <c r="S90" i="9"/>
  <c r="G90" i="10" s="1"/>
  <c r="A90" i="10"/>
  <c r="P90" i="10" s="1"/>
  <c r="Q90" i="10" s="1"/>
  <c r="T90" i="9"/>
  <c r="H90" i="10" s="1"/>
  <c r="I82" i="10"/>
  <c r="N82" i="10" s="1"/>
  <c r="K82" i="10"/>
  <c r="M82" i="10"/>
  <c r="A91" i="9"/>
  <c r="M90" i="9"/>
  <c r="E90" i="9"/>
  <c r="D90" i="9"/>
  <c r="K90" i="9"/>
  <c r="C90" i="9"/>
  <c r="Q90" i="9"/>
  <c r="E90" i="10" s="1"/>
  <c r="I90" i="9"/>
  <c r="F90" i="10" s="1"/>
  <c r="P90" i="9"/>
  <c r="D90" i="10" s="1"/>
  <c r="H90" i="9"/>
  <c r="J90" i="9" s="1"/>
  <c r="G90" i="9"/>
  <c r="F90" i="9"/>
  <c r="B90" i="9"/>
  <c r="O90" i="9"/>
  <c r="C90" i="10" s="1"/>
  <c r="N90" i="9"/>
  <c r="L89" i="9"/>
  <c r="N87" i="10" l="1"/>
  <c r="O82" i="10"/>
  <c r="S82" i="10" s="1"/>
  <c r="U82" i="10" s="1"/>
  <c r="B82" i="19" s="1"/>
  <c r="T91" i="9"/>
  <c r="H91" i="10" s="1"/>
  <c r="S91" i="9"/>
  <c r="G91" i="10" s="1"/>
  <c r="A91" i="10"/>
  <c r="P91" i="10" s="1"/>
  <c r="Q91" i="10" s="1"/>
  <c r="K83" i="10"/>
  <c r="I83" i="10"/>
  <c r="N83" i="10" s="1"/>
  <c r="M83" i="10"/>
  <c r="B89" i="10"/>
  <c r="R84" i="9"/>
  <c r="O87" i="10"/>
  <c r="S87" i="10" s="1"/>
  <c r="U87" i="10" s="1"/>
  <c r="B87" i="19" s="1"/>
  <c r="J90" i="10"/>
  <c r="L90" i="9"/>
  <c r="Q91" i="9"/>
  <c r="E91" i="10" s="1"/>
  <c r="I91" i="9"/>
  <c r="F91" i="10" s="1"/>
  <c r="P91" i="9"/>
  <c r="D91" i="10" s="1"/>
  <c r="H91" i="9"/>
  <c r="J91" i="9" s="1"/>
  <c r="O91" i="9"/>
  <c r="C91" i="10" s="1"/>
  <c r="G91" i="9"/>
  <c r="A92" i="9"/>
  <c r="M91" i="9"/>
  <c r="E91" i="9"/>
  <c r="D91" i="9"/>
  <c r="F91" i="9"/>
  <c r="C91" i="9"/>
  <c r="B91" i="9"/>
  <c r="N91" i="9"/>
  <c r="K91" i="9"/>
  <c r="J91" i="10" l="1"/>
  <c r="S92" i="9"/>
  <c r="G92" i="10" s="1"/>
  <c r="T92" i="9"/>
  <c r="H92" i="10" s="1"/>
  <c r="A92" i="10"/>
  <c r="M84" i="10"/>
  <c r="K84" i="10"/>
  <c r="I84" i="10"/>
  <c r="N84" i="10" s="1"/>
  <c r="O83" i="10"/>
  <c r="S83" i="10" s="1"/>
  <c r="U83" i="10" s="1"/>
  <c r="B83" i="19" s="1"/>
  <c r="B90" i="10"/>
  <c r="R85" i="9"/>
  <c r="A93" i="9"/>
  <c r="M92" i="9"/>
  <c r="E92" i="9"/>
  <c r="D92" i="9"/>
  <c r="K92" i="9"/>
  <c r="C92" i="9"/>
  <c r="Q92" i="9"/>
  <c r="E92" i="10" s="1"/>
  <c r="I92" i="9"/>
  <c r="F92" i="10" s="1"/>
  <c r="P92" i="9"/>
  <c r="D92" i="10" s="1"/>
  <c r="H92" i="9"/>
  <c r="J92" i="9" s="1"/>
  <c r="G92" i="9"/>
  <c r="F92" i="9"/>
  <c r="B92" i="9"/>
  <c r="O92" i="9"/>
  <c r="C92" i="10" s="1"/>
  <c r="N92" i="9"/>
  <c r="L91" i="9"/>
  <c r="O84" i="10" l="1"/>
  <c r="S84" i="10" s="1"/>
  <c r="U84" i="10" s="1"/>
  <c r="B84" i="19" s="1"/>
  <c r="T93" i="9"/>
  <c r="H93" i="10" s="1"/>
  <c r="A93" i="10"/>
  <c r="P93" i="10" s="1"/>
  <c r="Q93" i="10" s="1"/>
  <c r="S93" i="9"/>
  <c r="G93" i="10" s="1"/>
  <c r="B91" i="10"/>
  <c r="J92" i="10"/>
  <c r="K85" i="10"/>
  <c r="M85" i="10"/>
  <c r="I85" i="10"/>
  <c r="N85" i="10" s="1"/>
  <c r="L92" i="9"/>
  <c r="Q93" i="9"/>
  <c r="E93" i="10" s="1"/>
  <c r="I93" i="9"/>
  <c r="F93" i="10" s="1"/>
  <c r="P93" i="9"/>
  <c r="D93" i="10" s="1"/>
  <c r="H93" i="9"/>
  <c r="J93" i="9" s="1"/>
  <c r="O93" i="9"/>
  <c r="C93" i="10" s="1"/>
  <c r="G93" i="9"/>
  <c r="A94" i="9"/>
  <c r="M93" i="9"/>
  <c r="E93" i="9"/>
  <c r="D93" i="9"/>
  <c r="K93" i="9"/>
  <c r="F93" i="9"/>
  <c r="C93" i="9"/>
  <c r="B93" i="9"/>
  <c r="N93" i="9"/>
  <c r="O85" i="10" l="1"/>
  <c r="S85" i="10" s="1"/>
  <c r="U85" i="10" s="1"/>
  <c r="B85" i="19" s="1"/>
  <c r="B92" i="10"/>
  <c r="J93" i="10"/>
  <c r="T94" i="9"/>
  <c r="H94" i="10" s="1"/>
  <c r="P92" i="10" s="1"/>
  <c r="Q92" i="10" s="1"/>
  <c r="S94" i="9"/>
  <c r="G94" i="10" s="1"/>
  <c r="A94" i="10"/>
  <c r="P94" i="10" s="1"/>
  <c r="Q94" i="10" s="1"/>
  <c r="A95" i="9"/>
  <c r="M94" i="9"/>
  <c r="E94" i="9"/>
  <c r="D94" i="9"/>
  <c r="K94" i="9"/>
  <c r="C94" i="9"/>
  <c r="Q94" i="9"/>
  <c r="E94" i="10" s="1"/>
  <c r="I94" i="9"/>
  <c r="F94" i="10" s="1"/>
  <c r="P94" i="9"/>
  <c r="D94" i="10" s="1"/>
  <c r="H94" i="9"/>
  <c r="J94" i="9" s="1"/>
  <c r="N94" i="9"/>
  <c r="G94" i="9"/>
  <c r="F94" i="9"/>
  <c r="B94" i="9"/>
  <c r="O94" i="9"/>
  <c r="C94" i="10" s="1"/>
  <c r="L93" i="9"/>
  <c r="J94" i="10" l="1"/>
  <c r="T95" i="9"/>
  <c r="H95" i="10" s="1"/>
  <c r="S95" i="9"/>
  <c r="G95" i="10" s="1"/>
  <c r="A95" i="10"/>
  <c r="R93" i="9"/>
  <c r="B93" i="10"/>
  <c r="R88" i="9"/>
  <c r="L94" i="9"/>
  <c r="Q95" i="9"/>
  <c r="E95" i="10" s="1"/>
  <c r="I95" i="9"/>
  <c r="F95" i="10" s="1"/>
  <c r="P95" i="9"/>
  <c r="D95" i="10" s="1"/>
  <c r="H95" i="9"/>
  <c r="J95" i="9" s="1"/>
  <c r="O95" i="9"/>
  <c r="C95" i="10" s="1"/>
  <c r="J95" i="10" s="1"/>
  <c r="G95" i="9"/>
  <c r="A96" i="9"/>
  <c r="M95" i="9"/>
  <c r="E95" i="9"/>
  <c r="D95" i="9"/>
  <c r="N95" i="9"/>
  <c r="K95" i="9"/>
  <c r="F95" i="9"/>
  <c r="C95" i="9"/>
  <c r="B95" i="9"/>
  <c r="P95" i="10" l="1"/>
  <c r="Q95" i="10" s="1"/>
  <c r="R94" i="9"/>
  <c r="B94" i="10"/>
  <c r="R89" i="9"/>
  <c r="K93" i="10"/>
  <c r="I93" i="10"/>
  <c r="M93" i="10"/>
  <c r="S96" i="9"/>
  <c r="G96" i="10" s="1"/>
  <c r="T96" i="9"/>
  <c r="H96" i="10" s="1"/>
  <c r="A96" i="10"/>
  <c r="P96" i="10" s="1"/>
  <c r="Q96" i="10" s="1"/>
  <c r="M88" i="10"/>
  <c r="K88" i="10"/>
  <c r="I88" i="10"/>
  <c r="N88" i="10" s="1"/>
  <c r="L95" i="9"/>
  <c r="A97" i="9"/>
  <c r="M96" i="9"/>
  <c r="E96" i="9"/>
  <c r="D96" i="9"/>
  <c r="K96" i="9"/>
  <c r="C96" i="9"/>
  <c r="Q96" i="9"/>
  <c r="E96" i="10" s="1"/>
  <c r="I96" i="9"/>
  <c r="F96" i="10" s="1"/>
  <c r="P96" i="9"/>
  <c r="D96" i="10" s="1"/>
  <c r="H96" i="9"/>
  <c r="J96" i="9" s="1"/>
  <c r="O96" i="9"/>
  <c r="C96" i="10" s="1"/>
  <c r="N96" i="9"/>
  <c r="G96" i="9"/>
  <c r="F96" i="9"/>
  <c r="B96" i="9"/>
  <c r="N93" i="10" l="1"/>
  <c r="J96" i="10"/>
  <c r="I89" i="10"/>
  <c r="N89" i="10" s="1"/>
  <c r="M89" i="10"/>
  <c r="K89" i="10"/>
  <c r="M94" i="10"/>
  <c r="K94" i="10"/>
  <c r="I94" i="10"/>
  <c r="S97" i="9"/>
  <c r="G97" i="10" s="1"/>
  <c r="T97" i="9"/>
  <c r="H97" i="10" s="1"/>
  <c r="A97" i="10"/>
  <c r="P97" i="10" s="1"/>
  <c r="Q97" i="10" s="1"/>
  <c r="B95" i="10"/>
  <c r="R90" i="9"/>
  <c r="O88" i="10"/>
  <c r="S88" i="10" s="1"/>
  <c r="U88" i="10" s="1"/>
  <c r="B88" i="19" s="1"/>
  <c r="O93" i="10"/>
  <c r="S93" i="10" s="1"/>
  <c r="U93" i="10" s="1"/>
  <c r="B93" i="19" s="1"/>
  <c r="L96" i="9"/>
  <c r="Q97" i="9"/>
  <c r="E97" i="10" s="1"/>
  <c r="I97" i="9"/>
  <c r="F97" i="10" s="1"/>
  <c r="P97" i="9"/>
  <c r="D97" i="10" s="1"/>
  <c r="H97" i="9"/>
  <c r="J97" i="9" s="1"/>
  <c r="O97" i="9"/>
  <c r="C97" i="10" s="1"/>
  <c r="G97" i="9"/>
  <c r="A98" i="9"/>
  <c r="M97" i="9"/>
  <c r="E97" i="9"/>
  <c r="D97" i="9"/>
  <c r="N97" i="9"/>
  <c r="K97" i="9"/>
  <c r="F97" i="9"/>
  <c r="C97" i="9"/>
  <c r="B97" i="9"/>
  <c r="N94" i="10" l="1"/>
  <c r="B96" i="10"/>
  <c r="R91" i="9"/>
  <c r="O94" i="10"/>
  <c r="S94" i="10" s="1"/>
  <c r="U94" i="10" s="1"/>
  <c r="B94" i="19" s="1"/>
  <c r="T98" i="9"/>
  <c r="H98" i="10" s="1"/>
  <c r="S98" i="9"/>
  <c r="G98" i="10" s="1"/>
  <c r="A98" i="10"/>
  <c r="P98" i="10" s="1"/>
  <c r="Q98" i="10" s="1"/>
  <c r="J97" i="10"/>
  <c r="M90" i="10"/>
  <c r="K90" i="10"/>
  <c r="I90" i="10"/>
  <c r="N90" i="10" s="1"/>
  <c r="O89" i="10"/>
  <c r="S89" i="10" s="1"/>
  <c r="U89" i="10" s="1"/>
  <c r="B89" i="19" s="1"/>
  <c r="A99" i="9"/>
  <c r="M98" i="9"/>
  <c r="E98" i="9"/>
  <c r="D98" i="9"/>
  <c r="K98" i="9"/>
  <c r="C98" i="9"/>
  <c r="Q98" i="9"/>
  <c r="E98" i="10" s="1"/>
  <c r="I98" i="9"/>
  <c r="F98" i="10" s="1"/>
  <c r="P98" i="9"/>
  <c r="D98" i="10" s="1"/>
  <c r="H98" i="9"/>
  <c r="J98" i="9" s="1"/>
  <c r="O98" i="9"/>
  <c r="C98" i="10" s="1"/>
  <c r="N98" i="9"/>
  <c r="G98" i="9"/>
  <c r="F98" i="9"/>
  <c r="B98" i="9"/>
  <c r="L97" i="9"/>
  <c r="M91" i="10" l="1"/>
  <c r="K91" i="10"/>
  <c r="I91" i="10"/>
  <c r="N91" i="10" s="1"/>
  <c r="O90" i="10"/>
  <c r="S90" i="10" s="1"/>
  <c r="U90" i="10" s="1"/>
  <c r="B90" i="19" s="1"/>
  <c r="J98" i="10"/>
  <c r="T99" i="9"/>
  <c r="H99" i="10" s="1"/>
  <c r="S99" i="9"/>
  <c r="G99" i="10" s="1"/>
  <c r="A99" i="10"/>
  <c r="B97" i="10"/>
  <c r="R92" i="9"/>
  <c r="L98" i="9"/>
  <c r="Q99" i="9"/>
  <c r="E99" i="10" s="1"/>
  <c r="I99" i="9"/>
  <c r="F99" i="10" s="1"/>
  <c r="P99" i="9"/>
  <c r="D99" i="10" s="1"/>
  <c r="H99" i="9"/>
  <c r="J99" i="9" s="1"/>
  <c r="O99" i="9"/>
  <c r="C99" i="10" s="1"/>
  <c r="G99" i="9"/>
  <c r="A100" i="9"/>
  <c r="M99" i="9"/>
  <c r="E99" i="9"/>
  <c r="D99" i="9"/>
  <c r="N99" i="9"/>
  <c r="K99" i="9"/>
  <c r="F99" i="9"/>
  <c r="C99" i="9"/>
  <c r="B99" i="9"/>
  <c r="O91" i="10" l="1"/>
  <c r="S91" i="10" s="1"/>
  <c r="U91" i="10" s="1"/>
  <c r="B91" i="19" s="1"/>
  <c r="J99" i="10"/>
  <c r="S100" i="9"/>
  <c r="G100" i="10" s="1"/>
  <c r="T100" i="9"/>
  <c r="H100" i="10" s="1"/>
  <c r="A100" i="10"/>
  <c r="P100" i="10" s="1"/>
  <c r="Q100" i="10" s="1"/>
  <c r="I92" i="10"/>
  <c r="N92" i="10" s="1"/>
  <c r="M92" i="10"/>
  <c r="K92" i="10"/>
  <c r="B98" i="10"/>
  <c r="A101" i="9"/>
  <c r="M100" i="9"/>
  <c r="E100" i="9"/>
  <c r="D100" i="9"/>
  <c r="K100" i="9"/>
  <c r="C100" i="9"/>
  <c r="Q100" i="9"/>
  <c r="E100" i="10" s="1"/>
  <c r="I100" i="9"/>
  <c r="F100" i="10" s="1"/>
  <c r="P100" i="9"/>
  <c r="D100" i="10" s="1"/>
  <c r="H100" i="9"/>
  <c r="J100" i="9" s="1"/>
  <c r="O100" i="9"/>
  <c r="C100" i="10" s="1"/>
  <c r="N100" i="9"/>
  <c r="G100" i="9"/>
  <c r="F100" i="9"/>
  <c r="B100" i="9"/>
  <c r="L99" i="9"/>
  <c r="J100" i="10" l="1"/>
  <c r="T101" i="9"/>
  <c r="H101" i="10" s="1"/>
  <c r="P99" i="10" s="1"/>
  <c r="Q99" i="10" s="1"/>
  <c r="S101" i="9"/>
  <c r="G101" i="10" s="1"/>
  <c r="A101" i="10"/>
  <c r="P101" i="10" s="1"/>
  <c r="Q101" i="10" s="1"/>
  <c r="B99" i="10"/>
  <c r="O92" i="10"/>
  <c r="S92" i="10" s="1"/>
  <c r="U92" i="10" s="1"/>
  <c r="B92" i="19" s="1"/>
  <c r="L100" i="9"/>
  <c r="Q101" i="9"/>
  <c r="E101" i="10" s="1"/>
  <c r="I101" i="9"/>
  <c r="F101" i="10" s="1"/>
  <c r="P101" i="9"/>
  <c r="D101" i="10" s="1"/>
  <c r="H101" i="9"/>
  <c r="J101" i="9" s="1"/>
  <c r="O101" i="9"/>
  <c r="C101" i="10" s="1"/>
  <c r="G101" i="9"/>
  <c r="A102" i="9"/>
  <c r="M101" i="9"/>
  <c r="E101" i="9"/>
  <c r="D101" i="9"/>
  <c r="B101" i="9"/>
  <c r="N101" i="9"/>
  <c r="K101" i="9"/>
  <c r="F101" i="9"/>
  <c r="C101" i="9"/>
  <c r="J101" i="10" l="1"/>
  <c r="R100" i="9"/>
  <c r="B100" i="10"/>
  <c r="R95" i="9"/>
  <c r="T102" i="9"/>
  <c r="H102" i="10" s="1"/>
  <c r="A102" i="10"/>
  <c r="P102" i="10" s="1"/>
  <c r="Q102" i="10" s="1"/>
  <c r="S102" i="9"/>
  <c r="G102" i="10" s="1"/>
  <c r="A103" i="9"/>
  <c r="M102" i="9"/>
  <c r="E102" i="9"/>
  <c r="D102" i="9"/>
  <c r="K102" i="9"/>
  <c r="C102" i="9"/>
  <c r="Q102" i="9"/>
  <c r="E102" i="10" s="1"/>
  <c r="I102" i="9"/>
  <c r="F102" i="10" s="1"/>
  <c r="P102" i="9"/>
  <c r="D102" i="10" s="1"/>
  <c r="H102" i="9"/>
  <c r="J102" i="9" s="1"/>
  <c r="B102" i="9"/>
  <c r="O102" i="9"/>
  <c r="C102" i="10" s="1"/>
  <c r="N102" i="9"/>
  <c r="G102" i="9"/>
  <c r="F102" i="9"/>
  <c r="L101" i="9"/>
  <c r="J102" i="10" l="1"/>
  <c r="M100" i="10"/>
  <c r="K100" i="10"/>
  <c r="I100" i="10"/>
  <c r="N100" i="10" s="1"/>
  <c r="M95" i="10"/>
  <c r="K95" i="10"/>
  <c r="I95" i="10"/>
  <c r="T103" i="9"/>
  <c r="H103" i="10" s="1"/>
  <c r="S103" i="9"/>
  <c r="G103" i="10" s="1"/>
  <c r="A103" i="10"/>
  <c r="P103" i="10" s="1"/>
  <c r="Q103" i="10" s="1"/>
  <c r="B101" i="10"/>
  <c r="R101" i="9"/>
  <c r="R96" i="9"/>
  <c r="L102" i="9"/>
  <c r="Q103" i="9"/>
  <c r="E103" i="10" s="1"/>
  <c r="I103" i="9"/>
  <c r="F103" i="10" s="1"/>
  <c r="P103" i="9"/>
  <c r="D103" i="10" s="1"/>
  <c r="H103" i="9"/>
  <c r="J103" i="9" s="1"/>
  <c r="O103" i="9"/>
  <c r="C103" i="10" s="1"/>
  <c r="G103" i="9"/>
  <c r="A104" i="9"/>
  <c r="M103" i="9"/>
  <c r="E103" i="9"/>
  <c r="D103" i="9"/>
  <c r="C103" i="9"/>
  <c r="B103" i="9"/>
  <c r="N103" i="9"/>
  <c r="K103" i="9"/>
  <c r="F103" i="9"/>
  <c r="N95" i="10" l="1"/>
  <c r="J103" i="10"/>
  <c r="O95" i="10"/>
  <c r="S95" i="10" s="1"/>
  <c r="U95" i="10" s="1"/>
  <c r="B95" i="19" s="1"/>
  <c r="O100" i="10"/>
  <c r="S100" i="10" s="1"/>
  <c r="U100" i="10" s="1"/>
  <c r="B100" i="19" s="1"/>
  <c r="I96" i="10"/>
  <c r="K96" i="10"/>
  <c r="M96" i="10"/>
  <c r="B102" i="10"/>
  <c r="R97" i="9"/>
  <c r="M101" i="10"/>
  <c r="K101" i="10"/>
  <c r="I101" i="10"/>
  <c r="N101" i="10" s="1"/>
  <c r="S104" i="9"/>
  <c r="G104" i="10" s="1"/>
  <c r="A104" i="10"/>
  <c r="P104" i="10" s="1"/>
  <c r="Q104" i="10" s="1"/>
  <c r="T104" i="9"/>
  <c r="H104" i="10" s="1"/>
  <c r="A105" i="9"/>
  <c r="M104" i="9"/>
  <c r="E104" i="9"/>
  <c r="D104" i="9"/>
  <c r="K104" i="9"/>
  <c r="C104" i="9"/>
  <c r="Q104" i="9"/>
  <c r="E104" i="10" s="1"/>
  <c r="I104" i="9"/>
  <c r="F104" i="10" s="1"/>
  <c r="P104" i="9"/>
  <c r="D104" i="10" s="1"/>
  <c r="H104" i="9"/>
  <c r="J104" i="9" s="1"/>
  <c r="F104" i="9"/>
  <c r="B104" i="9"/>
  <c r="O104" i="9"/>
  <c r="C104" i="10" s="1"/>
  <c r="N104" i="9"/>
  <c r="G104" i="9"/>
  <c r="L103" i="9"/>
  <c r="N96" i="10" l="1"/>
  <c r="J104" i="10"/>
  <c r="O101" i="10"/>
  <c r="S101" i="10" s="1"/>
  <c r="U101" i="10" s="1"/>
  <c r="B101" i="19" s="1"/>
  <c r="O96" i="10"/>
  <c r="S96" i="10" s="1"/>
  <c r="U96" i="10" s="1"/>
  <c r="B96" i="19" s="1"/>
  <c r="T105" i="9"/>
  <c r="H105" i="10" s="1"/>
  <c r="S105" i="9"/>
  <c r="G105" i="10" s="1"/>
  <c r="A105" i="10"/>
  <c r="P105" i="10" s="1"/>
  <c r="Q105" i="10" s="1"/>
  <c r="M97" i="10"/>
  <c r="K97" i="10"/>
  <c r="I97" i="10"/>
  <c r="L104" i="9"/>
  <c r="B103" i="10"/>
  <c r="R98" i="9"/>
  <c r="Q105" i="9"/>
  <c r="E105" i="10" s="1"/>
  <c r="I105" i="9"/>
  <c r="F105" i="10" s="1"/>
  <c r="P105" i="9"/>
  <c r="D105" i="10" s="1"/>
  <c r="H105" i="9"/>
  <c r="J105" i="9" s="1"/>
  <c r="O105" i="9"/>
  <c r="C105" i="10" s="1"/>
  <c r="G105" i="9"/>
  <c r="A106" i="9"/>
  <c r="M105" i="9"/>
  <c r="E105" i="9"/>
  <c r="D105" i="9"/>
  <c r="F105" i="9"/>
  <c r="C105" i="9"/>
  <c r="B105" i="9"/>
  <c r="N105" i="9"/>
  <c r="K105" i="9"/>
  <c r="N97" i="10" l="1"/>
  <c r="O97" i="10"/>
  <c r="S97" i="10" s="1"/>
  <c r="U97" i="10" s="1"/>
  <c r="B97" i="19" s="1"/>
  <c r="J105" i="10"/>
  <c r="K98" i="10"/>
  <c r="M98" i="10"/>
  <c r="I98" i="10"/>
  <c r="N98" i="10" s="1"/>
  <c r="B104" i="10"/>
  <c r="R99" i="9"/>
  <c r="T106" i="9"/>
  <c r="H106" i="10" s="1"/>
  <c r="S106" i="9"/>
  <c r="G106" i="10" s="1"/>
  <c r="A106" i="10"/>
  <c r="A107" i="9"/>
  <c r="M106" i="9"/>
  <c r="E106" i="9"/>
  <c r="D106" i="9"/>
  <c r="K106" i="9"/>
  <c r="C106" i="9"/>
  <c r="Q106" i="9"/>
  <c r="E106" i="10" s="1"/>
  <c r="I106" i="9"/>
  <c r="F106" i="10" s="1"/>
  <c r="P106" i="9"/>
  <c r="D106" i="10" s="1"/>
  <c r="H106" i="9"/>
  <c r="J106" i="9" s="1"/>
  <c r="G106" i="9"/>
  <c r="F106" i="9"/>
  <c r="B106" i="9"/>
  <c r="O106" i="9"/>
  <c r="C106" i="10" s="1"/>
  <c r="N106" i="9"/>
  <c r="L105" i="9"/>
  <c r="T107" i="9" l="1"/>
  <c r="H107" i="10" s="1"/>
  <c r="S107" i="9"/>
  <c r="G107" i="10" s="1"/>
  <c r="A107" i="10"/>
  <c r="P107" i="10" s="1"/>
  <c r="Q107" i="10" s="1"/>
  <c r="B105" i="10"/>
  <c r="J106" i="10"/>
  <c r="O98" i="10"/>
  <c r="S98" i="10" s="1"/>
  <c r="U98" i="10" s="1"/>
  <c r="B98" i="19" s="1"/>
  <c r="M99" i="10"/>
  <c r="K99" i="10"/>
  <c r="I99" i="10"/>
  <c r="N99" i="10" s="1"/>
  <c r="L106" i="9"/>
  <c r="Q107" i="9"/>
  <c r="E107" i="10" s="1"/>
  <c r="I107" i="9"/>
  <c r="F107" i="10" s="1"/>
  <c r="P107" i="9"/>
  <c r="D107" i="10" s="1"/>
  <c r="H107" i="9"/>
  <c r="J107" i="9" s="1"/>
  <c r="O107" i="9"/>
  <c r="C107" i="10" s="1"/>
  <c r="G107" i="9"/>
  <c r="A108" i="9"/>
  <c r="M107" i="9"/>
  <c r="E107" i="9"/>
  <c r="D107" i="9"/>
  <c r="F107" i="9"/>
  <c r="C107" i="9"/>
  <c r="B107" i="9"/>
  <c r="N107" i="9"/>
  <c r="K107" i="9"/>
  <c r="O99" i="10" l="1"/>
  <c r="S99" i="10" s="1"/>
  <c r="U99" i="10" s="1"/>
  <c r="B99" i="19" s="1"/>
  <c r="J107" i="10"/>
  <c r="S108" i="9"/>
  <c r="G108" i="10" s="1"/>
  <c r="T108" i="9"/>
  <c r="H108" i="10" s="1"/>
  <c r="P106" i="10" s="1"/>
  <c r="Q106" i="10" s="1"/>
  <c r="A108" i="10"/>
  <c r="P108" i="10" s="1"/>
  <c r="Q108" i="10" s="1"/>
  <c r="B106" i="10"/>
  <c r="A109" i="9"/>
  <c r="M108" i="9"/>
  <c r="E108" i="9"/>
  <c r="D108" i="9"/>
  <c r="K108" i="9"/>
  <c r="C108" i="9"/>
  <c r="Q108" i="9"/>
  <c r="E108" i="10" s="1"/>
  <c r="I108" i="9"/>
  <c r="F108" i="10" s="1"/>
  <c r="P108" i="9"/>
  <c r="D108" i="10" s="1"/>
  <c r="H108" i="9"/>
  <c r="J108" i="9" s="1"/>
  <c r="G108" i="9"/>
  <c r="F108" i="9"/>
  <c r="B108" i="9"/>
  <c r="O108" i="9"/>
  <c r="C108" i="10" s="1"/>
  <c r="N108" i="9"/>
  <c r="L107" i="9"/>
  <c r="J108" i="10" l="1"/>
  <c r="T109" i="9"/>
  <c r="H109" i="10" s="1"/>
  <c r="S109" i="9"/>
  <c r="G109" i="10" s="1"/>
  <c r="A109" i="10"/>
  <c r="P109" i="10" s="1"/>
  <c r="Q109" i="10" s="1"/>
  <c r="R107" i="9"/>
  <c r="B107" i="10"/>
  <c r="R102" i="9"/>
  <c r="L108" i="9"/>
  <c r="Q109" i="9"/>
  <c r="E109" i="10" s="1"/>
  <c r="I109" i="9"/>
  <c r="F109" i="10" s="1"/>
  <c r="P109" i="9"/>
  <c r="D109" i="10" s="1"/>
  <c r="H109" i="9"/>
  <c r="J109" i="9" s="1"/>
  <c r="O109" i="9"/>
  <c r="C109" i="10" s="1"/>
  <c r="J109" i="10" s="1"/>
  <c r="G109" i="9"/>
  <c r="A110" i="9"/>
  <c r="M109" i="9"/>
  <c r="E109" i="9"/>
  <c r="D109" i="9"/>
  <c r="K109" i="9"/>
  <c r="F109" i="9"/>
  <c r="C109" i="9"/>
  <c r="B109" i="9"/>
  <c r="N109" i="9"/>
  <c r="R108" i="9" l="1"/>
  <c r="B108" i="10"/>
  <c r="R103" i="9"/>
  <c r="K102" i="10"/>
  <c r="I102" i="10"/>
  <c r="N102" i="10" s="1"/>
  <c r="M102" i="10"/>
  <c r="I107" i="10"/>
  <c r="N107" i="10" s="1"/>
  <c r="M107" i="10"/>
  <c r="K107" i="10"/>
  <c r="T110" i="9"/>
  <c r="H110" i="10" s="1"/>
  <c r="S110" i="9"/>
  <c r="G110" i="10" s="1"/>
  <c r="A110" i="10"/>
  <c r="P110" i="10" s="1"/>
  <c r="Q110" i="10" s="1"/>
  <c r="A111" i="9"/>
  <c r="M110" i="9"/>
  <c r="E110" i="9"/>
  <c r="D110" i="9"/>
  <c r="K110" i="9"/>
  <c r="C110" i="9"/>
  <c r="Q110" i="9"/>
  <c r="E110" i="10" s="1"/>
  <c r="I110" i="9"/>
  <c r="F110" i="10" s="1"/>
  <c r="P110" i="9"/>
  <c r="D110" i="10" s="1"/>
  <c r="H110" i="9"/>
  <c r="J110" i="9" s="1"/>
  <c r="N110" i="9"/>
  <c r="G110" i="9"/>
  <c r="F110" i="9"/>
  <c r="B110" i="9"/>
  <c r="O110" i="9"/>
  <c r="C110" i="10" s="1"/>
  <c r="L109" i="9"/>
  <c r="J110" i="10" l="1"/>
  <c r="O107" i="10"/>
  <c r="S107" i="10" s="1"/>
  <c r="U107" i="10" s="1"/>
  <c r="B107" i="19" s="1"/>
  <c r="T111" i="9"/>
  <c r="H111" i="10" s="1"/>
  <c r="S111" i="9"/>
  <c r="G111" i="10" s="1"/>
  <c r="A111" i="10"/>
  <c r="P111" i="10" s="1"/>
  <c r="Q111" i="10" s="1"/>
  <c r="M103" i="10"/>
  <c r="K103" i="10"/>
  <c r="I103" i="10"/>
  <c r="B109" i="10"/>
  <c r="R104" i="9"/>
  <c r="O102" i="10"/>
  <c r="S102" i="10" s="1"/>
  <c r="U102" i="10" s="1"/>
  <c r="B102" i="19" s="1"/>
  <c r="I108" i="10"/>
  <c r="M108" i="10"/>
  <c r="K108" i="10"/>
  <c r="L110" i="9"/>
  <c r="Q111" i="9"/>
  <c r="E111" i="10" s="1"/>
  <c r="I111" i="9"/>
  <c r="F111" i="10" s="1"/>
  <c r="P111" i="9"/>
  <c r="D111" i="10" s="1"/>
  <c r="H111" i="9"/>
  <c r="J111" i="9" s="1"/>
  <c r="O111" i="9"/>
  <c r="C111" i="10" s="1"/>
  <c r="G111" i="9"/>
  <c r="A112" i="9"/>
  <c r="M111" i="9"/>
  <c r="E111" i="9"/>
  <c r="D111" i="9"/>
  <c r="N111" i="9"/>
  <c r="K111" i="9"/>
  <c r="F111" i="9"/>
  <c r="C111" i="9"/>
  <c r="B111" i="9"/>
  <c r="N108" i="10" l="1"/>
  <c r="N103" i="10"/>
  <c r="O103" i="10"/>
  <c r="S103" i="10" s="1"/>
  <c r="U103" i="10" s="1"/>
  <c r="B103" i="19" s="1"/>
  <c r="O108" i="10"/>
  <c r="S108" i="10" s="1"/>
  <c r="U108" i="10" s="1"/>
  <c r="B108" i="19" s="1"/>
  <c r="B110" i="10"/>
  <c r="R105" i="9"/>
  <c r="S112" i="9"/>
  <c r="G112" i="10" s="1"/>
  <c r="T112" i="9"/>
  <c r="H112" i="10" s="1"/>
  <c r="A112" i="10"/>
  <c r="M104" i="10"/>
  <c r="K104" i="10"/>
  <c r="I104" i="10"/>
  <c r="N104" i="10" s="1"/>
  <c r="J111" i="10"/>
  <c r="L111" i="9"/>
  <c r="A113" i="9"/>
  <c r="M112" i="9"/>
  <c r="E112" i="9"/>
  <c r="D112" i="9"/>
  <c r="K112" i="9"/>
  <c r="C112" i="9"/>
  <c r="Q112" i="9"/>
  <c r="E112" i="10" s="1"/>
  <c r="I112" i="9"/>
  <c r="F112" i="10" s="1"/>
  <c r="P112" i="9"/>
  <c r="D112" i="10" s="1"/>
  <c r="H112" i="9"/>
  <c r="J112" i="9" s="1"/>
  <c r="O112" i="9"/>
  <c r="C112" i="10" s="1"/>
  <c r="N112" i="9"/>
  <c r="G112" i="9"/>
  <c r="F112" i="9"/>
  <c r="B112" i="9"/>
  <c r="P112" i="10" l="1"/>
  <c r="Q112" i="10" s="1"/>
  <c r="O104" i="10"/>
  <c r="S104" i="10" s="1"/>
  <c r="U104" i="10" s="1"/>
  <c r="B104" i="19" s="1"/>
  <c r="I105" i="10"/>
  <c r="M105" i="10"/>
  <c r="K105" i="10"/>
  <c r="J112" i="10"/>
  <c r="B111" i="10"/>
  <c r="R106" i="9"/>
  <c r="S113" i="9"/>
  <c r="G113" i="10" s="1"/>
  <c r="T113" i="9"/>
  <c r="H113" i="10" s="1"/>
  <c r="A113" i="10"/>
  <c r="L112" i="9"/>
  <c r="Q113" i="9"/>
  <c r="E113" i="10" s="1"/>
  <c r="I113" i="9"/>
  <c r="F113" i="10" s="1"/>
  <c r="P113" i="9"/>
  <c r="D113" i="10" s="1"/>
  <c r="H113" i="9"/>
  <c r="J113" i="9" s="1"/>
  <c r="O113" i="9"/>
  <c r="C113" i="10" s="1"/>
  <c r="G113" i="9"/>
  <c r="A114" i="9"/>
  <c r="M113" i="9"/>
  <c r="E113" i="9"/>
  <c r="D113" i="9"/>
  <c r="N113" i="9"/>
  <c r="K113" i="9"/>
  <c r="F113" i="9"/>
  <c r="C113" i="9"/>
  <c r="B113" i="9"/>
  <c r="N105" i="10" l="1"/>
  <c r="O105" i="10" s="1"/>
  <c r="S105" i="10" s="1"/>
  <c r="U105" i="10" s="1"/>
  <c r="B105" i="19" s="1"/>
  <c r="J113" i="10"/>
  <c r="I106" i="10"/>
  <c r="N106" i="10" s="1"/>
  <c r="M106" i="10"/>
  <c r="K106" i="10"/>
  <c r="T114" i="9"/>
  <c r="H114" i="10" s="1"/>
  <c r="S114" i="9"/>
  <c r="G114" i="10" s="1"/>
  <c r="A114" i="10"/>
  <c r="P114" i="10" s="1"/>
  <c r="Q114" i="10" s="1"/>
  <c r="B112" i="10"/>
  <c r="L113" i="9"/>
  <c r="A115" i="9"/>
  <c r="M114" i="9"/>
  <c r="E114" i="9"/>
  <c r="D114" i="9"/>
  <c r="K114" i="9"/>
  <c r="C114" i="9"/>
  <c r="Q114" i="9"/>
  <c r="E114" i="10" s="1"/>
  <c r="I114" i="9"/>
  <c r="F114" i="10" s="1"/>
  <c r="P114" i="9"/>
  <c r="D114" i="10" s="1"/>
  <c r="H114" i="9"/>
  <c r="J114" i="9" s="1"/>
  <c r="O114" i="9"/>
  <c r="C114" i="10" s="1"/>
  <c r="J114" i="10" s="1"/>
  <c r="N114" i="9"/>
  <c r="G114" i="9"/>
  <c r="F114" i="9"/>
  <c r="B114" i="9"/>
  <c r="O106" i="10" l="1"/>
  <c r="S106" i="10" s="1"/>
  <c r="U106" i="10" s="1"/>
  <c r="B106" i="19" s="1"/>
  <c r="T115" i="9"/>
  <c r="H115" i="10" s="1"/>
  <c r="P113" i="10" s="1"/>
  <c r="Q113" i="10" s="1"/>
  <c r="S115" i="9"/>
  <c r="G115" i="10" s="1"/>
  <c r="A115" i="10"/>
  <c r="P115" i="10" s="1"/>
  <c r="Q115" i="10" s="1"/>
  <c r="B113" i="10"/>
  <c r="L114" i="9"/>
  <c r="Q115" i="9"/>
  <c r="E115" i="10" s="1"/>
  <c r="I115" i="9"/>
  <c r="F115" i="10" s="1"/>
  <c r="P115" i="9"/>
  <c r="D115" i="10" s="1"/>
  <c r="H115" i="9"/>
  <c r="J115" i="9" s="1"/>
  <c r="O115" i="9"/>
  <c r="C115" i="10" s="1"/>
  <c r="G115" i="9"/>
  <c r="A116" i="9"/>
  <c r="M115" i="9"/>
  <c r="E115" i="9"/>
  <c r="D115" i="9"/>
  <c r="N115" i="9"/>
  <c r="K115" i="9"/>
  <c r="F115" i="9"/>
  <c r="C115" i="9"/>
  <c r="B115" i="9"/>
  <c r="J115" i="10" l="1"/>
  <c r="R114" i="9"/>
  <c r="B114" i="10"/>
  <c r="R109" i="9"/>
  <c r="T116" i="9"/>
  <c r="H116" i="10" s="1"/>
  <c r="S116" i="9"/>
  <c r="G116" i="10" s="1"/>
  <c r="A116" i="10"/>
  <c r="P116" i="10" s="1"/>
  <c r="Q116" i="10" s="1"/>
  <c r="L115" i="9"/>
  <c r="A117" i="9"/>
  <c r="M116" i="9"/>
  <c r="E116" i="9"/>
  <c r="D116" i="9"/>
  <c r="K116" i="9"/>
  <c r="C116" i="9"/>
  <c r="Q116" i="9"/>
  <c r="E116" i="10" s="1"/>
  <c r="I116" i="9"/>
  <c r="F116" i="10" s="1"/>
  <c r="P116" i="9"/>
  <c r="D116" i="10" s="1"/>
  <c r="H116" i="9"/>
  <c r="J116" i="9" s="1"/>
  <c r="O116" i="9"/>
  <c r="C116" i="10" s="1"/>
  <c r="N116" i="9"/>
  <c r="G116" i="9"/>
  <c r="F116" i="9"/>
  <c r="B116" i="9"/>
  <c r="J116" i="10" l="1"/>
  <c r="I114" i="10"/>
  <c r="K114" i="10"/>
  <c r="M114" i="10"/>
  <c r="I109" i="10"/>
  <c r="N109" i="10" s="1"/>
  <c r="K109" i="10"/>
  <c r="M109" i="10"/>
  <c r="R115" i="9"/>
  <c r="B115" i="10"/>
  <c r="R110" i="9"/>
  <c r="T117" i="9"/>
  <c r="H117" i="10" s="1"/>
  <c r="S117" i="9"/>
  <c r="G117" i="10" s="1"/>
  <c r="A117" i="10"/>
  <c r="P117" i="10" s="1"/>
  <c r="Q117" i="10" s="1"/>
  <c r="L116" i="9"/>
  <c r="Q117" i="9"/>
  <c r="E117" i="10" s="1"/>
  <c r="I117" i="9"/>
  <c r="F117" i="10" s="1"/>
  <c r="P117" i="9"/>
  <c r="D117" i="10" s="1"/>
  <c r="H117" i="9"/>
  <c r="J117" i="9" s="1"/>
  <c r="L117" i="9" s="1"/>
  <c r="O117" i="9"/>
  <c r="C117" i="10" s="1"/>
  <c r="G117" i="9"/>
  <c r="A118" i="9"/>
  <c r="M117" i="9"/>
  <c r="E117" i="9"/>
  <c r="D117" i="9"/>
  <c r="B117" i="9"/>
  <c r="N117" i="9"/>
  <c r="K117" i="9"/>
  <c r="F117" i="9"/>
  <c r="C117" i="9"/>
  <c r="N114" i="10" l="1"/>
  <c r="O109" i="10"/>
  <c r="S109" i="10" s="1"/>
  <c r="U109" i="10" s="1"/>
  <c r="B109" i="19" s="1"/>
  <c r="K110" i="10"/>
  <c r="M110" i="10"/>
  <c r="I110" i="10"/>
  <c r="N110" i="10" s="1"/>
  <c r="B116" i="10"/>
  <c r="R111" i="9"/>
  <c r="T118" i="9"/>
  <c r="H118" i="10" s="1"/>
  <c r="S118" i="9"/>
  <c r="G118" i="10" s="1"/>
  <c r="A118" i="10"/>
  <c r="B117" i="10"/>
  <c r="R112" i="9"/>
  <c r="I115" i="10"/>
  <c r="M115" i="10"/>
  <c r="K115" i="10"/>
  <c r="O114" i="10"/>
  <c r="S114" i="10" s="1"/>
  <c r="U114" i="10" s="1"/>
  <c r="B114" i="19" s="1"/>
  <c r="J117" i="10"/>
  <c r="A119" i="9"/>
  <c r="M118" i="9"/>
  <c r="E118" i="9"/>
  <c r="D118" i="9"/>
  <c r="K118" i="9"/>
  <c r="C118" i="9"/>
  <c r="Q118" i="9"/>
  <c r="E118" i="10" s="1"/>
  <c r="I118" i="9"/>
  <c r="F118" i="10" s="1"/>
  <c r="P118" i="9"/>
  <c r="D118" i="10" s="1"/>
  <c r="H118" i="9"/>
  <c r="J118" i="9" s="1"/>
  <c r="B118" i="9"/>
  <c r="O118" i="9"/>
  <c r="C118" i="10" s="1"/>
  <c r="N118" i="9"/>
  <c r="G118" i="9"/>
  <c r="F118" i="9"/>
  <c r="N115" i="10" l="1"/>
  <c r="P118" i="10"/>
  <c r="Q118" i="10" s="1"/>
  <c r="O110" i="10"/>
  <c r="S110" i="10" s="1"/>
  <c r="U110" i="10" s="1"/>
  <c r="B110" i="19" s="1"/>
  <c r="M111" i="10"/>
  <c r="I111" i="10"/>
  <c r="K111" i="10"/>
  <c r="O115" i="10"/>
  <c r="S115" i="10" s="1"/>
  <c r="U115" i="10" s="1"/>
  <c r="B115" i="19" s="1"/>
  <c r="J118" i="10"/>
  <c r="T119" i="9"/>
  <c r="H119" i="10" s="1"/>
  <c r="S119" i="9"/>
  <c r="G119" i="10" s="1"/>
  <c r="A119" i="10"/>
  <c r="M112" i="10"/>
  <c r="K112" i="10"/>
  <c r="I112" i="10"/>
  <c r="N112" i="10" s="1"/>
  <c r="L118" i="9"/>
  <c r="Q119" i="9"/>
  <c r="E119" i="10" s="1"/>
  <c r="I119" i="9"/>
  <c r="F119" i="10" s="1"/>
  <c r="P119" i="9"/>
  <c r="D119" i="10" s="1"/>
  <c r="H119" i="9"/>
  <c r="J119" i="9" s="1"/>
  <c r="O119" i="9"/>
  <c r="C119" i="10" s="1"/>
  <c r="G119" i="9"/>
  <c r="A120" i="9"/>
  <c r="M119" i="9"/>
  <c r="E119" i="9"/>
  <c r="D119" i="9"/>
  <c r="C119" i="9"/>
  <c r="B119" i="9"/>
  <c r="N119" i="9"/>
  <c r="K119" i="9"/>
  <c r="F119" i="9"/>
  <c r="N111" i="10" l="1"/>
  <c r="P119" i="10"/>
  <c r="Q119" i="10" s="1"/>
  <c r="O112" i="10"/>
  <c r="S112" i="10" s="1"/>
  <c r="U112" i="10" s="1"/>
  <c r="B112" i="19" s="1"/>
  <c r="J119" i="10"/>
  <c r="B118" i="10"/>
  <c r="R113" i="9"/>
  <c r="O111" i="10"/>
  <c r="S111" i="10" s="1"/>
  <c r="U111" i="10" s="1"/>
  <c r="B111" i="19" s="1"/>
  <c r="S120" i="9"/>
  <c r="G120" i="10" s="1"/>
  <c r="T120" i="9"/>
  <c r="H120" i="10" s="1"/>
  <c r="A120" i="10"/>
  <c r="A121" i="9"/>
  <c r="M120" i="9"/>
  <c r="E120" i="9"/>
  <c r="D120" i="9"/>
  <c r="K120" i="9"/>
  <c r="C120" i="9"/>
  <c r="Q120" i="9"/>
  <c r="E120" i="10" s="1"/>
  <c r="I120" i="9"/>
  <c r="F120" i="10" s="1"/>
  <c r="P120" i="9"/>
  <c r="D120" i="10" s="1"/>
  <c r="H120" i="9"/>
  <c r="J120" i="9" s="1"/>
  <c r="F120" i="9"/>
  <c r="B120" i="9"/>
  <c r="O120" i="9"/>
  <c r="C120" i="10" s="1"/>
  <c r="N120" i="9"/>
  <c r="G120" i="9"/>
  <c r="L119" i="9"/>
  <c r="S121" i="9" l="1"/>
  <c r="G121" i="10" s="1"/>
  <c r="T121" i="9"/>
  <c r="H121" i="10" s="1"/>
  <c r="A121" i="10"/>
  <c r="P121" i="10" s="1"/>
  <c r="Q121" i="10" s="1"/>
  <c r="B119" i="10"/>
  <c r="K113" i="10"/>
  <c r="M113" i="10"/>
  <c r="I113" i="10"/>
  <c r="N113" i="10" s="1"/>
  <c r="J120" i="10"/>
  <c r="L120" i="9"/>
  <c r="Q121" i="9"/>
  <c r="E121" i="10" s="1"/>
  <c r="I121" i="9"/>
  <c r="F121" i="10" s="1"/>
  <c r="P121" i="9"/>
  <c r="D121" i="10" s="1"/>
  <c r="H121" i="9"/>
  <c r="J121" i="9" s="1"/>
  <c r="O121" i="9"/>
  <c r="C121" i="10" s="1"/>
  <c r="G121" i="9"/>
  <c r="A122" i="9"/>
  <c r="M121" i="9"/>
  <c r="E121" i="9"/>
  <c r="D121" i="9"/>
  <c r="F121" i="9"/>
  <c r="C121" i="9"/>
  <c r="B121" i="9"/>
  <c r="N121" i="9"/>
  <c r="K121" i="9"/>
  <c r="O113" i="10" l="1"/>
  <c r="S113" i="10" s="1"/>
  <c r="U113" i="10" s="1"/>
  <c r="B113" i="19" s="1"/>
  <c r="B120" i="10"/>
  <c r="S122" i="9"/>
  <c r="G122" i="10" s="1"/>
  <c r="T122" i="9"/>
  <c r="H122" i="10" s="1"/>
  <c r="P120" i="10" s="1"/>
  <c r="Q120" i="10" s="1"/>
  <c r="A122" i="10"/>
  <c r="P122" i="10" s="1"/>
  <c r="Q122" i="10" s="1"/>
  <c r="J121" i="10"/>
  <c r="L121" i="9"/>
  <c r="A123" i="9"/>
  <c r="M122" i="9"/>
  <c r="E122" i="9"/>
  <c r="D122" i="9"/>
  <c r="K122" i="9"/>
  <c r="C122" i="9"/>
  <c r="Q122" i="9"/>
  <c r="E122" i="10" s="1"/>
  <c r="I122" i="9"/>
  <c r="F122" i="10" s="1"/>
  <c r="P122" i="9"/>
  <c r="D122" i="10" s="1"/>
  <c r="H122" i="9"/>
  <c r="J122" i="9" s="1"/>
  <c r="G122" i="9"/>
  <c r="F122" i="9"/>
  <c r="B122" i="9"/>
  <c r="O122" i="9"/>
  <c r="C122" i="10" s="1"/>
  <c r="N122" i="9"/>
  <c r="S123" i="9" l="1"/>
  <c r="G123" i="10" s="1"/>
  <c r="T123" i="9"/>
  <c r="H123" i="10" s="1"/>
  <c r="A123" i="10"/>
  <c r="P123" i="10" s="1"/>
  <c r="Q123" i="10" s="1"/>
  <c r="R121" i="9"/>
  <c r="B121" i="10"/>
  <c r="R116" i="9"/>
  <c r="J122" i="10"/>
  <c r="L122" i="9"/>
  <c r="Q123" i="9"/>
  <c r="E123" i="10" s="1"/>
  <c r="I123" i="9"/>
  <c r="F123" i="10" s="1"/>
  <c r="P123" i="9"/>
  <c r="D123" i="10" s="1"/>
  <c r="H123" i="9"/>
  <c r="J123" i="9" s="1"/>
  <c r="O123" i="9"/>
  <c r="C123" i="10" s="1"/>
  <c r="G123" i="9"/>
  <c r="A124" i="9"/>
  <c r="M123" i="9"/>
  <c r="E123" i="9"/>
  <c r="D123" i="9"/>
  <c r="F123" i="9"/>
  <c r="C123" i="9"/>
  <c r="B123" i="9"/>
  <c r="N123" i="9"/>
  <c r="K123" i="9"/>
  <c r="R122" i="9" l="1"/>
  <c r="B122" i="10"/>
  <c r="R117" i="9"/>
  <c r="K121" i="10"/>
  <c r="I121" i="10"/>
  <c r="M121" i="10"/>
  <c r="M116" i="10"/>
  <c r="K116" i="10"/>
  <c r="I116" i="10"/>
  <c r="S124" i="9"/>
  <c r="G124" i="10" s="1"/>
  <c r="T124" i="9"/>
  <c r="H124" i="10" s="1"/>
  <c r="A124" i="10"/>
  <c r="P124" i="10" s="1"/>
  <c r="Q124" i="10" s="1"/>
  <c r="J123" i="10"/>
  <c r="A125" i="9"/>
  <c r="M124" i="9"/>
  <c r="E124" i="9"/>
  <c r="D124" i="9"/>
  <c r="K124" i="9"/>
  <c r="C124" i="9"/>
  <c r="Q124" i="9"/>
  <c r="E124" i="10" s="1"/>
  <c r="I124" i="9"/>
  <c r="F124" i="10" s="1"/>
  <c r="P124" i="9"/>
  <c r="D124" i="10" s="1"/>
  <c r="H124" i="9"/>
  <c r="J124" i="9" s="1"/>
  <c r="G124" i="9"/>
  <c r="F124" i="9"/>
  <c r="B124" i="9"/>
  <c r="O124" i="9"/>
  <c r="C124" i="10" s="1"/>
  <c r="N124" i="9"/>
  <c r="L123" i="9"/>
  <c r="N116" i="10" l="1"/>
  <c r="N121" i="10"/>
  <c r="O121" i="10" s="1"/>
  <c r="S121" i="10" s="1"/>
  <c r="U121" i="10" s="1"/>
  <c r="B121" i="19" s="1"/>
  <c r="T125" i="9"/>
  <c r="H125" i="10" s="1"/>
  <c r="S125" i="9"/>
  <c r="G125" i="10" s="1"/>
  <c r="A125" i="10"/>
  <c r="P125" i="10" s="1"/>
  <c r="Q125" i="10" s="1"/>
  <c r="O116" i="10"/>
  <c r="S116" i="10" s="1"/>
  <c r="U116" i="10" s="1"/>
  <c r="B116" i="19" s="1"/>
  <c r="I117" i="10"/>
  <c r="M117" i="10"/>
  <c r="K117" i="10"/>
  <c r="B123" i="10"/>
  <c r="R118" i="9"/>
  <c r="J124" i="10"/>
  <c r="M122" i="10"/>
  <c r="K122" i="10"/>
  <c r="I122" i="10"/>
  <c r="L124" i="9"/>
  <c r="Q125" i="9"/>
  <c r="E125" i="10" s="1"/>
  <c r="I125" i="9"/>
  <c r="F125" i="10" s="1"/>
  <c r="P125" i="9"/>
  <c r="D125" i="10" s="1"/>
  <c r="H125" i="9"/>
  <c r="J125" i="9" s="1"/>
  <c r="O125" i="9"/>
  <c r="C125" i="10" s="1"/>
  <c r="G125" i="9"/>
  <c r="A126" i="9"/>
  <c r="M125" i="9"/>
  <c r="E125" i="9"/>
  <c r="D125" i="9"/>
  <c r="K125" i="9"/>
  <c r="F125" i="9"/>
  <c r="C125" i="9"/>
  <c r="B125" i="9"/>
  <c r="N125" i="9"/>
  <c r="N122" i="10" l="1"/>
  <c r="N117" i="10"/>
  <c r="T126" i="9"/>
  <c r="H126" i="10" s="1"/>
  <c r="A126" i="10"/>
  <c r="P126" i="10" s="1"/>
  <c r="Q126" i="10" s="1"/>
  <c r="S126" i="9"/>
  <c r="G126" i="10" s="1"/>
  <c r="K118" i="10"/>
  <c r="I118" i="10"/>
  <c r="N118" i="10" s="1"/>
  <c r="M118" i="10"/>
  <c r="B124" i="10"/>
  <c r="R119" i="9"/>
  <c r="O122" i="10"/>
  <c r="S122" i="10" s="1"/>
  <c r="U122" i="10" s="1"/>
  <c r="B122" i="19" s="1"/>
  <c r="J125" i="10"/>
  <c r="O117" i="10"/>
  <c r="S117" i="10" s="1"/>
  <c r="U117" i="10" s="1"/>
  <c r="B117" i="19" s="1"/>
  <c r="A127" i="9"/>
  <c r="M126" i="9"/>
  <c r="E126" i="9"/>
  <c r="D126" i="9"/>
  <c r="K126" i="9"/>
  <c r="C126" i="9"/>
  <c r="Q126" i="9"/>
  <c r="E126" i="10" s="1"/>
  <c r="I126" i="9"/>
  <c r="F126" i="10" s="1"/>
  <c r="P126" i="9"/>
  <c r="D126" i="10" s="1"/>
  <c r="H126" i="9"/>
  <c r="J126" i="9" s="1"/>
  <c r="N126" i="9"/>
  <c r="G126" i="9"/>
  <c r="F126" i="9"/>
  <c r="B126" i="9"/>
  <c r="O126" i="9"/>
  <c r="C126" i="10" s="1"/>
  <c r="L125" i="9"/>
  <c r="J126" i="10" l="1"/>
  <c r="M119" i="10"/>
  <c r="K119" i="10"/>
  <c r="I119" i="10"/>
  <c r="N119" i="10" s="1"/>
  <c r="T127" i="9"/>
  <c r="H127" i="10" s="1"/>
  <c r="S127" i="9"/>
  <c r="G127" i="10" s="1"/>
  <c r="A127" i="10"/>
  <c r="B125" i="10"/>
  <c r="R120" i="9"/>
  <c r="O118" i="10"/>
  <c r="S118" i="10" s="1"/>
  <c r="U118" i="10" s="1"/>
  <c r="B118" i="19" s="1"/>
  <c r="L126" i="9"/>
  <c r="Q127" i="9"/>
  <c r="E127" i="10" s="1"/>
  <c r="I127" i="9"/>
  <c r="F127" i="10" s="1"/>
  <c r="P127" i="9"/>
  <c r="D127" i="10" s="1"/>
  <c r="H127" i="9"/>
  <c r="J127" i="9" s="1"/>
  <c r="O127" i="9"/>
  <c r="C127" i="10" s="1"/>
  <c r="G127" i="9"/>
  <c r="A128" i="9"/>
  <c r="M127" i="9"/>
  <c r="E127" i="9"/>
  <c r="D127" i="9"/>
  <c r="N127" i="9"/>
  <c r="K127" i="9"/>
  <c r="F127" i="9"/>
  <c r="C127" i="9"/>
  <c r="B127" i="9"/>
  <c r="O119" i="10" l="1"/>
  <c r="S119" i="10" s="1"/>
  <c r="U119" i="10" s="1"/>
  <c r="B119" i="19" s="1"/>
  <c r="M120" i="10"/>
  <c r="K120" i="10"/>
  <c r="I120" i="10"/>
  <c r="N120" i="10" s="1"/>
  <c r="J127" i="10"/>
  <c r="B126" i="10"/>
  <c r="S128" i="9"/>
  <c r="G128" i="10" s="1"/>
  <c r="T128" i="9"/>
  <c r="H128" i="10" s="1"/>
  <c r="A128" i="10"/>
  <c r="P128" i="10" s="1"/>
  <c r="Q128" i="10" s="1"/>
  <c r="A129" i="9"/>
  <c r="M128" i="9"/>
  <c r="E128" i="9"/>
  <c r="D128" i="9"/>
  <c r="K128" i="9"/>
  <c r="C128" i="9"/>
  <c r="Q128" i="9"/>
  <c r="E128" i="10" s="1"/>
  <c r="I128" i="9"/>
  <c r="F128" i="10" s="1"/>
  <c r="P128" i="9"/>
  <c r="D128" i="10" s="1"/>
  <c r="H128" i="9"/>
  <c r="J128" i="9" s="1"/>
  <c r="O128" i="9"/>
  <c r="C128" i="10" s="1"/>
  <c r="J128" i="10" s="1"/>
  <c r="N128" i="9"/>
  <c r="G128" i="9"/>
  <c r="F128" i="9"/>
  <c r="B128" i="9"/>
  <c r="L127" i="9"/>
  <c r="O120" i="10" l="1"/>
  <c r="S120" i="10" s="1"/>
  <c r="U120" i="10" s="1"/>
  <c r="B120" i="19" s="1"/>
  <c r="S129" i="9"/>
  <c r="G129" i="10" s="1"/>
  <c r="T129" i="9"/>
  <c r="H129" i="10" s="1"/>
  <c r="P127" i="10" s="1"/>
  <c r="Q127" i="10" s="1"/>
  <c r="A129" i="10"/>
  <c r="P129" i="10" s="1"/>
  <c r="Q129" i="10" s="1"/>
  <c r="B127" i="10"/>
  <c r="L128" i="9"/>
  <c r="Q129" i="9"/>
  <c r="E129" i="10" s="1"/>
  <c r="I129" i="9"/>
  <c r="F129" i="10" s="1"/>
  <c r="P129" i="9"/>
  <c r="D129" i="10" s="1"/>
  <c r="H129" i="9"/>
  <c r="J129" i="9" s="1"/>
  <c r="O129" i="9"/>
  <c r="C129" i="10" s="1"/>
  <c r="G129" i="9"/>
  <c r="A130" i="9"/>
  <c r="M129" i="9"/>
  <c r="E129" i="9"/>
  <c r="D129" i="9"/>
  <c r="N129" i="9"/>
  <c r="K129" i="9"/>
  <c r="F129" i="9"/>
  <c r="C129" i="9"/>
  <c r="B129" i="9"/>
  <c r="J129" i="10" l="1"/>
  <c r="R128" i="9"/>
  <c r="B128" i="10"/>
  <c r="R123" i="9"/>
  <c r="T130" i="9"/>
  <c r="H130" i="10" s="1"/>
  <c r="A130" i="10"/>
  <c r="P130" i="10" s="1"/>
  <c r="Q130" i="10" s="1"/>
  <c r="S130" i="9"/>
  <c r="G130" i="10" s="1"/>
  <c r="L129" i="9"/>
  <c r="A131" i="9"/>
  <c r="M130" i="9"/>
  <c r="E130" i="9"/>
  <c r="D130" i="9"/>
  <c r="K130" i="9"/>
  <c r="C130" i="9"/>
  <c r="Q130" i="9"/>
  <c r="E130" i="10" s="1"/>
  <c r="I130" i="9"/>
  <c r="F130" i="10" s="1"/>
  <c r="P130" i="9"/>
  <c r="D130" i="10" s="1"/>
  <c r="H130" i="9"/>
  <c r="J130" i="9" s="1"/>
  <c r="O130" i="9"/>
  <c r="C130" i="10" s="1"/>
  <c r="N130" i="9"/>
  <c r="G130" i="9"/>
  <c r="F130" i="9"/>
  <c r="B130" i="9"/>
  <c r="R129" i="9" l="1"/>
  <c r="B129" i="10"/>
  <c r="R124" i="9"/>
  <c r="J130" i="10"/>
  <c r="M128" i="10"/>
  <c r="K128" i="10"/>
  <c r="I128" i="10"/>
  <c r="N128" i="10" s="1"/>
  <c r="T131" i="9"/>
  <c r="H131" i="10" s="1"/>
  <c r="S131" i="9"/>
  <c r="G131" i="10" s="1"/>
  <c r="A131" i="10"/>
  <c r="P131" i="10" s="1"/>
  <c r="Q131" i="10" s="1"/>
  <c r="K123" i="10"/>
  <c r="I123" i="10"/>
  <c r="N123" i="10" s="1"/>
  <c r="M123" i="10"/>
  <c r="L130" i="9"/>
  <c r="Q131" i="9"/>
  <c r="E131" i="10" s="1"/>
  <c r="I131" i="9"/>
  <c r="F131" i="10" s="1"/>
  <c r="P131" i="9"/>
  <c r="D131" i="10" s="1"/>
  <c r="H131" i="9"/>
  <c r="J131" i="9" s="1"/>
  <c r="O131" i="9"/>
  <c r="C131" i="10" s="1"/>
  <c r="G131" i="9"/>
  <c r="A132" i="9"/>
  <c r="M131" i="9"/>
  <c r="E131" i="9"/>
  <c r="D131" i="9"/>
  <c r="N131" i="9"/>
  <c r="K131" i="9"/>
  <c r="F131" i="9"/>
  <c r="C131" i="9"/>
  <c r="B131" i="9"/>
  <c r="O128" i="10" l="1"/>
  <c r="S128" i="10" s="1"/>
  <c r="U128" i="10" s="1"/>
  <c r="B128" i="19" s="1"/>
  <c r="S132" i="9"/>
  <c r="G132" i="10" s="1"/>
  <c r="T132" i="9"/>
  <c r="H132" i="10" s="1"/>
  <c r="A132" i="10"/>
  <c r="P132" i="10" s="1"/>
  <c r="Q132" i="10" s="1"/>
  <c r="K124" i="10"/>
  <c r="I124" i="10"/>
  <c r="N124" i="10" s="1"/>
  <c r="M124" i="10"/>
  <c r="B130" i="10"/>
  <c r="R125" i="9"/>
  <c r="O123" i="10"/>
  <c r="S123" i="10" s="1"/>
  <c r="U123" i="10" s="1"/>
  <c r="B123" i="19" s="1"/>
  <c r="J131" i="10"/>
  <c r="M129" i="10"/>
  <c r="I129" i="10"/>
  <c r="K129" i="10"/>
  <c r="L131" i="9"/>
  <c r="A133" i="9"/>
  <c r="M132" i="9"/>
  <c r="E132" i="9"/>
  <c r="D132" i="9"/>
  <c r="K132" i="9"/>
  <c r="C132" i="9"/>
  <c r="Q132" i="9"/>
  <c r="E132" i="10" s="1"/>
  <c r="I132" i="9"/>
  <c r="F132" i="10" s="1"/>
  <c r="P132" i="9"/>
  <c r="D132" i="10" s="1"/>
  <c r="H132" i="9"/>
  <c r="J132" i="9" s="1"/>
  <c r="O132" i="9"/>
  <c r="C132" i="10" s="1"/>
  <c r="N132" i="9"/>
  <c r="G132" i="9"/>
  <c r="F132" i="9"/>
  <c r="B132" i="9"/>
  <c r="N129" i="10" l="1"/>
  <c r="J132" i="10"/>
  <c r="T133" i="9"/>
  <c r="H133" i="10" s="1"/>
  <c r="S133" i="9"/>
  <c r="G133" i="10" s="1"/>
  <c r="A133" i="10"/>
  <c r="P133" i="10" s="1"/>
  <c r="Q133" i="10" s="1"/>
  <c r="M125" i="10"/>
  <c r="I125" i="10"/>
  <c r="N125" i="10" s="1"/>
  <c r="K125" i="10"/>
  <c r="B131" i="10"/>
  <c r="R126" i="9"/>
  <c r="O129" i="10"/>
  <c r="S129" i="10" s="1"/>
  <c r="U129" i="10" s="1"/>
  <c r="B129" i="19" s="1"/>
  <c r="O124" i="10"/>
  <c r="S124" i="10" s="1"/>
  <c r="U124" i="10" s="1"/>
  <c r="B124" i="19" s="1"/>
  <c r="L132" i="9"/>
  <c r="Q133" i="9"/>
  <c r="E133" i="10" s="1"/>
  <c r="I133" i="9"/>
  <c r="F133" i="10" s="1"/>
  <c r="P133" i="9"/>
  <c r="D133" i="10" s="1"/>
  <c r="H133" i="9"/>
  <c r="J133" i="9" s="1"/>
  <c r="O133" i="9"/>
  <c r="C133" i="10" s="1"/>
  <c r="G133" i="9"/>
  <c r="A134" i="9"/>
  <c r="M133" i="9"/>
  <c r="E133" i="9"/>
  <c r="D133" i="9"/>
  <c r="B133" i="9"/>
  <c r="N133" i="9"/>
  <c r="K133" i="9"/>
  <c r="F133" i="9"/>
  <c r="C133" i="9"/>
  <c r="J133" i="10" l="1"/>
  <c r="O125" i="10"/>
  <c r="S125" i="10" s="1"/>
  <c r="U125" i="10" s="1"/>
  <c r="B125" i="19" s="1"/>
  <c r="T134" i="9"/>
  <c r="H134" i="10" s="1"/>
  <c r="S134" i="9"/>
  <c r="G134" i="10" s="1"/>
  <c r="A134" i="10"/>
  <c r="M126" i="10"/>
  <c r="I126" i="10"/>
  <c r="N126" i="10" s="1"/>
  <c r="K126" i="10"/>
  <c r="B132" i="10"/>
  <c r="R127" i="9"/>
  <c r="A135" i="9"/>
  <c r="M134" i="9"/>
  <c r="E134" i="9"/>
  <c r="D134" i="9"/>
  <c r="K134" i="9"/>
  <c r="C134" i="9"/>
  <c r="Q134" i="9"/>
  <c r="E134" i="10" s="1"/>
  <c r="I134" i="9"/>
  <c r="F134" i="10" s="1"/>
  <c r="P134" i="9"/>
  <c r="D134" i="10" s="1"/>
  <c r="H134" i="9"/>
  <c r="J134" i="9" s="1"/>
  <c r="B134" i="9"/>
  <c r="O134" i="9"/>
  <c r="C134" i="10" s="1"/>
  <c r="N134" i="9"/>
  <c r="G134" i="9"/>
  <c r="F134" i="9"/>
  <c r="L133" i="9"/>
  <c r="J134" i="10" l="1"/>
  <c r="O126" i="10"/>
  <c r="S126" i="10" s="1"/>
  <c r="U126" i="10" s="1"/>
  <c r="B126" i="19" s="1"/>
  <c r="T135" i="9"/>
  <c r="H135" i="10" s="1"/>
  <c r="S135" i="9"/>
  <c r="G135" i="10" s="1"/>
  <c r="A135" i="10"/>
  <c r="P135" i="10" s="1"/>
  <c r="Q135" i="10" s="1"/>
  <c r="I127" i="10"/>
  <c r="N127" i="10" s="1"/>
  <c r="K127" i="10"/>
  <c r="M127" i="10"/>
  <c r="B133" i="10"/>
  <c r="L134" i="9"/>
  <c r="Q135" i="9"/>
  <c r="E135" i="10" s="1"/>
  <c r="I135" i="9"/>
  <c r="F135" i="10" s="1"/>
  <c r="P135" i="9"/>
  <c r="D135" i="10" s="1"/>
  <c r="H135" i="9"/>
  <c r="J135" i="9" s="1"/>
  <c r="O135" i="9"/>
  <c r="C135" i="10" s="1"/>
  <c r="G135" i="9"/>
  <c r="A136" i="9"/>
  <c r="M135" i="9"/>
  <c r="E135" i="9"/>
  <c r="D135" i="9"/>
  <c r="C135" i="9"/>
  <c r="B135" i="9"/>
  <c r="N135" i="9"/>
  <c r="K135" i="9"/>
  <c r="F135" i="9"/>
  <c r="B134" i="10" l="1"/>
  <c r="S136" i="9"/>
  <c r="G136" i="10" s="1"/>
  <c r="T136" i="9"/>
  <c r="H136" i="10" s="1"/>
  <c r="P134" i="10" s="1"/>
  <c r="Q134" i="10" s="1"/>
  <c r="A136" i="10"/>
  <c r="P136" i="10" s="1"/>
  <c r="Q136" i="10" s="1"/>
  <c r="J135" i="10"/>
  <c r="O127" i="10"/>
  <c r="S127" i="10" s="1"/>
  <c r="U127" i="10" s="1"/>
  <c r="B127" i="19" s="1"/>
  <c r="L135" i="9"/>
  <c r="A137" i="9"/>
  <c r="M136" i="9"/>
  <c r="E136" i="9"/>
  <c r="D136" i="9"/>
  <c r="K136" i="9"/>
  <c r="C136" i="9"/>
  <c r="Q136" i="9"/>
  <c r="E136" i="10" s="1"/>
  <c r="I136" i="9"/>
  <c r="F136" i="10" s="1"/>
  <c r="P136" i="9"/>
  <c r="D136" i="10" s="1"/>
  <c r="H136" i="9"/>
  <c r="J136" i="9" s="1"/>
  <c r="F136" i="9"/>
  <c r="B136" i="9"/>
  <c r="O136" i="9"/>
  <c r="C136" i="10" s="1"/>
  <c r="N136" i="9"/>
  <c r="G136" i="9"/>
  <c r="T137" i="9" l="1"/>
  <c r="H137" i="10" s="1"/>
  <c r="S137" i="9"/>
  <c r="G137" i="10" s="1"/>
  <c r="A137" i="10"/>
  <c r="P137" i="10" s="1"/>
  <c r="Q137" i="10" s="1"/>
  <c r="R135" i="9"/>
  <c r="B135" i="10"/>
  <c r="R130" i="9"/>
  <c r="J136" i="10"/>
  <c r="L136" i="9"/>
  <c r="Q137" i="9"/>
  <c r="E137" i="10" s="1"/>
  <c r="I137" i="9"/>
  <c r="F137" i="10" s="1"/>
  <c r="P137" i="9"/>
  <c r="D137" i="10" s="1"/>
  <c r="H137" i="9"/>
  <c r="J137" i="9" s="1"/>
  <c r="O137" i="9"/>
  <c r="C137" i="10" s="1"/>
  <c r="G137" i="9"/>
  <c r="A138" i="9"/>
  <c r="M137" i="9"/>
  <c r="E137" i="9"/>
  <c r="D137" i="9"/>
  <c r="F137" i="9"/>
  <c r="C137" i="9"/>
  <c r="B137" i="9"/>
  <c r="N137" i="9"/>
  <c r="K137" i="9"/>
  <c r="R136" i="9" l="1"/>
  <c r="B136" i="10"/>
  <c r="R131" i="9"/>
  <c r="M135" i="10"/>
  <c r="K135" i="10"/>
  <c r="I135" i="10"/>
  <c r="N135" i="10" s="1"/>
  <c r="T138" i="9"/>
  <c r="H138" i="10" s="1"/>
  <c r="S138" i="9"/>
  <c r="G138" i="10" s="1"/>
  <c r="A138" i="10"/>
  <c r="M130" i="10"/>
  <c r="K130" i="10"/>
  <c r="I130" i="10"/>
  <c r="N130" i="10" s="1"/>
  <c r="J137" i="10"/>
  <c r="L137" i="9"/>
  <c r="A139" i="9"/>
  <c r="M138" i="9"/>
  <c r="E138" i="9"/>
  <c r="D138" i="9"/>
  <c r="K138" i="9"/>
  <c r="C138" i="9"/>
  <c r="Q138" i="9"/>
  <c r="E138" i="10" s="1"/>
  <c r="I138" i="9"/>
  <c r="F138" i="10" s="1"/>
  <c r="P138" i="9"/>
  <c r="D138" i="10" s="1"/>
  <c r="H138" i="9"/>
  <c r="J138" i="9" s="1"/>
  <c r="G138" i="9"/>
  <c r="F138" i="9"/>
  <c r="B138" i="9"/>
  <c r="O138" i="9"/>
  <c r="C138" i="10" s="1"/>
  <c r="N138" i="9"/>
  <c r="P138" i="10" l="1"/>
  <c r="Q138" i="10" s="1"/>
  <c r="O135" i="10"/>
  <c r="S135" i="10" s="1"/>
  <c r="U135" i="10" s="1"/>
  <c r="B135" i="19" s="1"/>
  <c r="T139" i="9"/>
  <c r="H139" i="10" s="1"/>
  <c r="S139" i="9"/>
  <c r="G139" i="10" s="1"/>
  <c r="A139" i="10"/>
  <c r="P139" i="10" s="1"/>
  <c r="Q139" i="10" s="1"/>
  <c r="B137" i="10"/>
  <c r="R132" i="9"/>
  <c r="K131" i="10"/>
  <c r="I131" i="10"/>
  <c r="N131" i="10" s="1"/>
  <c r="M131" i="10"/>
  <c r="J138" i="10"/>
  <c r="O130" i="10"/>
  <c r="S130" i="10" s="1"/>
  <c r="U130" i="10" s="1"/>
  <c r="B130" i="19" s="1"/>
  <c r="K136" i="10"/>
  <c r="I136" i="10"/>
  <c r="M136" i="10"/>
  <c r="L138" i="9"/>
  <c r="Q139" i="9"/>
  <c r="E139" i="10" s="1"/>
  <c r="I139" i="9"/>
  <c r="F139" i="10" s="1"/>
  <c r="P139" i="9"/>
  <c r="D139" i="10" s="1"/>
  <c r="H139" i="9"/>
  <c r="J139" i="9" s="1"/>
  <c r="O139" i="9"/>
  <c r="C139" i="10" s="1"/>
  <c r="G139" i="9"/>
  <c r="A140" i="9"/>
  <c r="M139" i="9"/>
  <c r="E139" i="9"/>
  <c r="D139" i="9"/>
  <c r="F139" i="9"/>
  <c r="C139" i="9"/>
  <c r="B139" i="9"/>
  <c r="N139" i="9"/>
  <c r="K139" i="9"/>
  <c r="N136" i="10" l="1"/>
  <c r="S140" i="9"/>
  <c r="G140" i="10" s="1"/>
  <c r="T140" i="9"/>
  <c r="H140" i="10" s="1"/>
  <c r="A140" i="10"/>
  <c r="P140" i="10" s="1"/>
  <c r="Q140" i="10" s="1"/>
  <c r="O131" i="10"/>
  <c r="S131" i="10" s="1"/>
  <c r="U131" i="10" s="1"/>
  <c r="B131" i="19" s="1"/>
  <c r="M132" i="10"/>
  <c r="K132" i="10"/>
  <c r="I132" i="10"/>
  <c r="N132" i="10" s="1"/>
  <c r="B138" i="10"/>
  <c r="R133" i="9"/>
  <c r="J139" i="10"/>
  <c r="O136" i="10"/>
  <c r="S136" i="10" s="1"/>
  <c r="U136" i="10" s="1"/>
  <c r="B136" i="19" s="1"/>
  <c r="A141" i="9"/>
  <c r="M140" i="9"/>
  <c r="E140" i="9"/>
  <c r="D140" i="9"/>
  <c r="K140" i="9"/>
  <c r="C140" i="9"/>
  <c r="Q140" i="9"/>
  <c r="E140" i="10" s="1"/>
  <c r="I140" i="9"/>
  <c r="F140" i="10" s="1"/>
  <c r="P140" i="9"/>
  <c r="D140" i="10" s="1"/>
  <c r="H140" i="9"/>
  <c r="J140" i="9" s="1"/>
  <c r="G140" i="9"/>
  <c r="F140" i="9"/>
  <c r="B140" i="9"/>
  <c r="O140" i="9"/>
  <c r="C140" i="10" s="1"/>
  <c r="N140" i="9"/>
  <c r="L139" i="9"/>
  <c r="O132" i="10" l="1"/>
  <c r="S132" i="10" s="1"/>
  <c r="U132" i="10" s="1"/>
  <c r="B132" i="19" s="1"/>
  <c r="J140" i="10"/>
  <c r="M133" i="10"/>
  <c r="I133" i="10"/>
  <c r="N133" i="10" s="1"/>
  <c r="K133" i="10"/>
  <c r="T141" i="9"/>
  <c r="H141" i="10" s="1"/>
  <c r="S141" i="9"/>
  <c r="G141" i="10" s="1"/>
  <c r="A141" i="10"/>
  <c r="B139" i="10"/>
  <c r="R134" i="9"/>
  <c r="L140" i="9"/>
  <c r="Q141" i="9"/>
  <c r="E141" i="10" s="1"/>
  <c r="I141" i="9"/>
  <c r="F141" i="10" s="1"/>
  <c r="P141" i="9"/>
  <c r="D141" i="10" s="1"/>
  <c r="H141" i="9"/>
  <c r="J141" i="9" s="1"/>
  <c r="O141" i="9"/>
  <c r="C141" i="10" s="1"/>
  <c r="G141" i="9"/>
  <c r="A142" i="9"/>
  <c r="M141" i="9"/>
  <c r="E141" i="9"/>
  <c r="D141" i="9"/>
  <c r="K141" i="9"/>
  <c r="F141" i="9"/>
  <c r="C141" i="9"/>
  <c r="B141" i="9"/>
  <c r="N141" i="9"/>
  <c r="B140" i="10" l="1"/>
  <c r="T142" i="9"/>
  <c r="H142" i="10" s="1"/>
  <c r="S142" i="9"/>
  <c r="G142" i="10" s="1"/>
  <c r="A142" i="10"/>
  <c r="P142" i="10" s="1"/>
  <c r="Q142" i="10" s="1"/>
  <c r="K134" i="10"/>
  <c r="M134" i="10"/>
  <c r="I134" i="10"/>
  <c r="N134" i="10" s="1"/>
  <c r="O133" i="10"/>
  <c r="S133" i="10" s="1"/>
  <c r="U133" i="10" s="1"/>
  <c r="B133" i="19" s="1"/>
  <c r="J141" i="10"/>
  <c r="A143" i="9"/>
  <c r="M142" i="9"/>
  <c r="E142" i="9"/>
  <c r="D142" i="9"/>
  <c r="K142" i="9"/>
  <c r="C142" i="9"/>
  <c r="Q142" i="9"/>
  <c r="E142" i="10" s="1"/>
  <c r="I142" i="9"/>
  <c r="F142" i="10" s="1"/>
  <c r="P142" i="9"/>
  <c r="D142" i="10" s="1"/>
  <c r="H142" i="9"/>
  <c r="J142" i="9" s="1"/>
  <c r="N142" i="9"/>
  <c r="G142" i="9"/>
  <c r="F142" i="9"/>
  <c r="B142" i="9"/>
  <c r="O142" i="9"/>
  <c r="C142" i="10" s="1"/>
  <c r="L141" i="9"/>
  <c r="T143" i="9" l="1"/>
  <c r="H143" i="10" s="1"/>
  <c r="P141" i="10" s="1"/>
  <c r="Q141" i="10" s="1"/>
  <c r="S143" i="9"/>
  <c r="G143" i="10" s="1"/>
  <c r="A143" i="10"/>
  <c r="P143" i="10" s="1"/>
  <c r="Q143" i="10" s="1"/>
  <c r="B141" i="10"/>
  <c r="J142" i="10"/>
  <c r="O134" i="10"/>
  <c r="S134" i="10" s="1"/>
  <c r="U134" i="10" s="1"/>
  <c r="B134" i="19" s="1"/>
  <c r="L142" i="9"/>
  <c r="Q143" i="9"/>
  <c r="E143" i="10" s="1"/>
  <c r="I143" i="9"/>
  <c r="F143" i="10" s="1"/>
  <c r="P143" i="9"/>
  <c r="D143" i="10" s="1"/>
  <c r="H143" i="9"/>
  <c r="J143" i="9" s="1"/>
  <c r="O143" i="9"/>
  <c r="C143" i="10" s="1"/>
  <c r="G143" i="9"/>
  <c r="A144" i="9"/>
  <c r="M143" i="9"/>
  <c r="E143" i="9"/>
  <c r="D143" i="9"/>
  <c r="N143" i="9"/>
  <c r="K143" i="9"/>
  <c r="F143" i="9"/>
  <c r="C143" i="9"/>
  <c r="B143" i="9"/>
  <c r="R142" i="9" l="1"/>
  <c r="B142" i="10"/>
  <c r="R137" i="9"/>
  <c r="S144" i="9"/>
  <c r="G144" i="10" s="1"/>
  <c r="T144" i="9"/>
  <c r="H144" i="10" s="1"/>
  <c r="A144" i="10"/>
  <c r="P144" i="10" s="1"/>
  <c r="Q144" i="10" s="1"/>
  <c r="J143" i="10"/>
  <c r="L143" i="9"/>
  <c r="A145" i="9"/>
  <c r="M144" i="9"/>
  <c r="E144" i="9"/>
  <c r="D144" i="9"/>
  <c r="K144" i="9"/>
  <c r="C144" i="9"/>
  <c r="Q144" i="9"/>
  <c r="E144" i="10" s="1"/>
  <c r="I144" i="9"/>
  <c r="F144" i="10" s="1"/>
  <c r="P144" i="9"/>
  <c r="D144" i="10" s="1"/>
  <c r="H144" i="9"/>
  <c r="J144" i="9" s="1"/>
  <c r="O144" i="9"/>
  <c r="C144" i="10" s="1"/>
  <c r="N144" i="9"/>
  <c r="G144" i="9"/>
  <c r="F144" i="9"/>
  <c r="B144" i="9"/>
  <c r="J144" i="10" l="1"/>
  <c r="S145" i="9"/>
  <c r="G145" i="10" s="1"/>
  <c r="A145" i="10"/>
  <c r="P145" i="10" s="1"/>
  <c r="Q145" i="10" s="1"/>
  <c r="T145" i="9"/>
  <c r="H145" i="10" s="1"/>
  <c r="I142" i="10"/>
  <c r="M142" i="10"/>
  <c r="K142" i="10"/>
  <c r="R143" i="9"/>
  <c r="B143" i="10"/>
  <c r="R138" i="9"/>
  <c r="M137" i="10"/>
  <c r="K137" i="10"/>
  <c r="I137" i="10"/>
  <c r="N137" i="10" s="1"/>
  <c r="L144" i="9"/>
  <c r="Q145" i="9"/>
  <c r="E145" i="10" s="1"/>
  <c r="I145" i="9"/>
  <c r="F145" i="10" s="1"/>
  <c r="P145" i="9"/>
  <c r="D145" i="10" s="1"/>
  <c r="H145" i="9"/>
  <c r="J145" i="9" s="1"/>
  <c r="O145" i="9"/>
  <c r="C145" i="10" s="1"/>
  <c r="G145" i="9"/>
  <c r="A146" i="9"/>
  <c r="M145" i="9"/>
  <c r="E145" i="9"/>
  <c r="D145" i="9"/>
  <c r="N145" i="9"/>
  <c r="K145" i="9"/>
  <c r="F145" i="9"/>
  <c r="C145" i="9"/>
  <c r="B145" i="9"/>
  <c r="N142" i="10" l="1"/>
  <c r="O137" i="10"/>
  <c r="S137" i="10" s="1"/>
  <c r="U137" i="10" s="1"/>
  <c r="B137" i="19" s="1"/>
  <c r="S146" i="9"/>
  <c r="G146" i="10" s="1"/>
  <c r="A146" i="10"/>
  <c r="P146" i="10" s="1"/>
  <c r="Q146" i="10" s="1"/>
  <c r="T146" i="9"/>
  <c r="H146" i="10" s="1"/>
  <c r="I138" i="10"/>
  <c r="N138" i="10" s="1"/>
  <c r="K138" i="10"/>
  <c r="M138" i="10"/>
  <c r="O142" i="10"/>
  <c r="S142" i="10" s="1"/>
  <c r="U142" i="10" s="1"/>
  <c r="B142" i="19" s="1"/>
  <c r="B144" i="10"/>
  <c r="R139" i="9"/>
  <c r="J145" i="10"/>
  <c r="M143" i="10"/>
  <c r="K143" i="10"/>
  <c r="I143" i="10"/>
  <c r="A147" i="9"/>
  <c r="M146" i="9"/>
  <c r="E146" i="9"/>
  <c r="D146" i="9"/>
  <c r="K146" i="9"/>
  <c r="C146" i="9"/>
  <c r="Q146" i="9"/>
  <c r="E146" i="10" s="1"/>
  <c r="I146" i="9"/>
  <c r="F146" i="10" s="1"/>
  <c r="P146" i="9"/>
  <c r="D146" i="10" s="1"/>
  <c r="H146" i="9"/>
  <c r="J146" i="9" s="1"/>
  <c r="O146" i="9"/>
  <c r="C146" i="10" s="1"/>
  <c r="N146" i="9"/>
  <c r="G146" i="9"/>
  <c r="F146" i="9"/>
  <c r="B146" i="9"/>
  <c r="L145" i="9"/>
  <c r="N143" i="10" l="1"/>
  <c r="O143" i="10"/>
  <c r="S143" i="10" s="1"/>
  <c r="U143" i="10" s="1"/>
  <c r="B143" i="19" s="1"/>
  <c r="M139" i="10"/>
  <c r="K139" i="10"/>
  <c r="I139" i="10"/>
  <c r="N139" i="10" s="1"/>
  <c r="T147" i="9"/>
  <c r="H147" i="10" s="1"/>
  <c r="S147" i="9"/>
  <c r="G147" i="10" s="1"/>
  <c r="A147" i="10"/>
  <c r="J146" i="10"/>
  <c r="B145" i="10"/>
  <c r="R140" i="9"/>
  <c r="O138" i="10"/>
  <c r="S138" i="10" s="1"/>
  <c r="U138" i="10" s="1"/>
  <c r="B138" i="19" s="1"/>
  <c r="L146" i="9"/>
  <c r="Q147" i="9"/>
  <c r="E147" i="10" s="1"/>
  <c r="I147" i="9"/>
  <c r="F147" i="10" s="1"/>
  <c r="P147" i="9"/>
  <c r="D147" i="10" s="1"/>
  <c r="H147" i="9"/>
  <c r="J147" i="9" s="1"/>
  <c r="O147" i="9"/>
  <c r="C147" i="10" s="1"/>
  <c r="G147" i="9"/>
  <c r="A148" i="9"/>
  <c r="M147" i="9"/>
  <c r="E147" i="9"/>
  <c r="D147" i="9"/>
  <c r="N147" i="9"/>
  <c r="K147" i="9"/>
  <c r="F147" i="9"/>
  <c r="C147" i="9"/>
  <c r="B147" i="9"/>
  <c r="J147" i="10" l="1"/>
  <c r="I140" i="10"/>
  <c r="N140" i="10" s="1"/>
  <c r="M140" i="10"/>
  <c r="K140" i="10"/>
  <c r="T148" i="9"/>
  <c r="H148" i="10" s="1"/>
  <c r="S148" i="9"/>
  <c r="G148" i="10" s="1"/>
  <c r="A148" i="10"/>
  <c r="P148" i="10" s="1"/>
  <c r="Q148" i="10" s="1"/>
  <c r="O139" i="10"/>
  <c r="S139" i="10" s="1"/>
  <c r="U139" i="10" s="1"/>
  <c r="B139" i="19" s="1"/>
  <c r="B146" i="10"/>
  <c r="R141" i="9"/>
  <c r="L147" i="9"/>
  <c r="A149" i="9"/>
  <c r="M148" i="9"/>
  <c r="E148" i="9"/>
  <c r="D148" i="9"/>
  <c r="K148" i="9"/>
  <c r="C148" i="9"/>
  <c r="Q148" i="9"/>
  <c r="E148" i="10" s="1"/>
  <c r="I148" i="9"/>
  <c r="F148" i="10" s="1"/>
  <c r="P148" i="9"/>
  <c r="D148" i="10" s="1"/>
  <c r="H148" i="9"/>
  <c r="J148" i="9" s="1"/>
  <c r="O148" i="9"/>
  <c r="C148" i="10" s="1"/>
  <c r="N148" i="9"/>
  <c r="G148" i="9"/>
  <c r="F148" i="9"/>
  <c r="B148" i="9"/>
  <c r="B147" i="10" l="1"/>
  <c r="I141" i="10"/>
  <c r="N141" i="10" s="1"/>
  <c r="M141" i="10"/>
  <c r="K141" i="10"/>
  <c r="J148" i="10"/>
  <c r="T149" i="9"/>
  <c r="H149" i="10" s="1"/>
  <c r="S149" i="9"/>
  <c r="G149" i="10" s="1"/>
  <c r="A149" i="10"/>
  <c r="P149" i="10" s="1"/>
  <c r="Q149" i="10" s="1"/>
  <c r="O140" i="10"/>
  <c r="S140" i="10" s="1"/>
  <c r="U140" i="10" s="1"/>
  <c r="B140" i="19" s="1"/>
  <c r="L148" i="9"/>
  <c r="Q149" i="9"/>
  <c r="E149" i="10" s="1"/>
  <c r="I149" i="9"/>
  <c r="F149" i="10" s="1"/>
  <c r="P149" i="9"/>
  <c r="D149" i="10" s="1"/>
  <c r="H149" i="9"/>
  <c r="J149" i="9" s="1"/>
  <c r="O149" i="9"/>
  <c r="C149" i="10" s="1"/>
  <c r="G149" i="9"/>
  <c r="A150" i="9"/>
  <c r="M149" i="9"/>
  <c r="E149" i="9"/>
  <c r="D149" i="9"/>
  <c r="B149" i="9"/>
  <c r="N149" i="9"/>
  <c r="K149" i="9"/>
  <c r="F149" i="9"/>
  <c r="C149" i="9"/>
  <c r="J149" i="10" l="1"/>
  <c r="R148" i="9"/>
  <c r="B148" i="10"/>
  <c r="T150" i="9"/>
  <c r="H150" i="10" s="1"/>
  <c r="S150" i="9"/>
  <c r="G150" i="10" s="1"/>
  <c r="A150" i="10"/>
  <c r="P150" i="10" s="1"/>
  <c r="Q150" i="10" s="1"/>
  <c r="O141" i="10"/>
  <c r="S141" i="10" s="1"/>
  <c r="U141" i="10" s="1"/>
  <c r="B141" i="19" s="1"/>
  <c r="A151" i="9"/>
  <c r="M150" i="9"/>
  <c r="E150" i="9"/>
  <c r="D150" i="9"/>
  <c r="K150" i="9"/>
  <c r="C150" i="9"/>
  <c r="Q150" i="9"/>
  <c r="E150" i="10" s="1"/>
  <c r="I150" i="9"/>
  <c r="F150" i="10" s="1"/>
  <c r="P150" i="9"/>
  <c r="D150" i="10" s="1"/>
  <c r="H150" i="9"/>
  <c r="J150" i="9" s="1"/>
  <c r="B150" i="9"/>
  <c r="O150" i="9"/>
  <c r="C150" i="10" s="1"/>
  <c r="N150" i="9"/>
  <c r="G150" i="9"/>
  <c r="F150" i="9"/>
  <c r="L149" i="9"/>
  <c r="T151" i="9" l="1"/>
  <c r="H151" i="10" s="1"/>
  <c r="P147" i="10" s="1"/>
  <c r="Q147" i="10" s="1"/>
  <c r="A151" i="10"/>
  <c r="P151" i="10" s="1"/>
  <c r="Q151" i="10" s="1"/>
  <c r="S151" i="9"/>
  <c r="G151" i="10" s="1"/>
  <c r="R149" i="9"/>
  <c r="B149" i="10"/>
  <c r="R144" i="9"/>
  <c r="J150" i="10"/>
  <c r="M148" i="10"/>
  <c r="K148" i="10"/>
  <c r="I148" i="10"/>
  <c r="L150" i="9"/>
  <c r="Q151" i="9"/>
  <c r="E151" i="10" s="1"/>
  <c r="I151" i="9"/>
  <c r="F151" i="10" s="1"/>
  <c r="P151" i="9"/>
  <c r="D151" i="10" s="1"/>
  <c r="H151" i="9"/>
  <c r="J151" i="9" s="1"/>
  <c r="O151" i="9"/>
  <c r="C151" i="10" s="1"/>
  <c r="J151" i="10" s="1"/>
  <c r="G151" i="9"/>
  <c r="A152" i="9"/>
  <c r="M151" i="9"/>
  <c r="E151" i="9"/>
  <c r="D151" i="9"/>
  <c r="C151" i="9"/>
  <c r="B151" i="9"/>
  <c r="N151" i="9"/>
  <c r="K151" i="9"/>
  <c r="F151" i="9"/>
  <c r="N148" i="10" l="1"/>
  <c r="O148" i="10"/>
  <c r="S148" i="10" s="1"/>
  <c r="U148" i="10" s="1"/>
  <c r="B148" i="19" s="1"/>
  <c r="S152" i="9"/>
  <c r="G152" i="10" s="1"/>
  <c r="A152" i="10"/>
  <c r="P152" i="10" s="1"/>
  <c r="Q152" i="10" s="1"/>
  <c r="T152" i="9"/>
  <c r="H152" i="10" s="1"/>
  <c r="K144" i="10"/>
  <c r="M144" i="10"/>
  <c r="I144" i="10"/>
  <c r="N144" i="10" s="1"/>
  <c r="K149" i="10"/>
  <c r="M149" i="10"/>
  <c r="I149" i="10"/>
  <c r="N149" i="10" s="1"/>
  <c r="R150" i="9"/>
  <c r="B150" i="10"/>
  <c r="R145" i="9"/>
  <c r="A153" i="9"/>
  <c r="M152" i="9"/>
  <c r="E152" i="9"/>
  <c r="D152" i="9"/>
  <c r="K152" i="9"/>
  <c r="C152" i="9"/>
  <c r="Q152" i="9"/>
  <c r="E152" i="10" s="1"/>
  <c r="I152" i="9"/>
  <c r="F152" i="10" s="1"/>
  <c r="P152" i="9"/>
  <c r="D152" i="10" s="1"/>
  <c r="H152" i="9"/>
  <c r="J152" i="9" s="1"/>
  <c r="F152" i="9"/>
  <c r="B152" i="9"/>
  <c r="O152" i="9"/>
  <c r="C152" i="10" s="1"/>
  <c r="N152" i="9"/>
  <c r="G152" i="9"/>
  <c r="L151" i="9"/>
  <c r="I150" i="10" l="1"/>
  <c r="K150" i="10"/>
  <c r="M150" i="10"/>
  <c r="J152" i="10"/>
  <c r="S153" i="9"/>
  <c r="G153" i="10" s="1"/>
  <c r="T153" i="9"/>
  <c r="H153" i="10" s="1"/>
  <c r="A153" i="10"/>
  <c r="P153" i="10" s="1"/>
  <c r="Q153" i="10" s="1"/>
  <c r="K145" i="10"/>
  <c r="I145" i="10"/>
  <c r="N145" i="10" s="1"/>
  <c r="M145" i="10"/>
  <c r="O144" i="10"/>
  <c r="S144" i="10" s="1"/>
  <c r="U144" i="10" s="1"/>
  <c r="B144" i="19" s="1"/>
  <c r="O149" i="10"/>
  <c r="S149" i="10" s="1"/>
  <c r="U149" i="10" s="1"/>
  <c r="B149" i="19" s="1"/>
  <c r="R151" i="9"/>
  <c r="B151" i="10"/>
  <c r="R146" i="9"/>
  <c r="L152" i="9"/>
  <c r="Q153" i="9"/>
  <c r="E153" i="10" s="1"/>
  <c r="I153" i="9"/>
  <c r="F153" i="10" s="1"/>
  <c r="P153" i="9"/>
  <c r="D153" i="10" s="1"/>
  <c r="H153" i="9"/>
  <c r="J153" i="9" s="1"/>
  <c r="O153" i="9"/>
  <c r="C153" i="10" s="1"/>
  <c r="G153" i="9"/>
  <c r="A154" i="9"/>
  <c r="M153" i="9"/>
  <c r="E153" i="9"/>
  <c r="D153" i="9"/>
  <c r="F153" i="9"/>
  <c r="C153" i="9"/>
  <c r="B153" i="9"/>
  <c r="N153" i="9"/>
  <c r="K153" i="9"/>
  <c r="N150" i="10" l="1"/>
  <c r="B152" i="10"/>
  <c r="R147" i="9"/>
  <c r="T154" i="9"/>
  <c r="H154" i="10" s="1"/>
  <c r="A154" i="10"/>
  <c r="S154" i="9"/>
  <c r="G154" i="10" s="1"/>
  <c r="M146" i="10"/>
  <c r="K146" i="10"/>
  <c r="I146" i="10"/>
  <c r="J153" i="10"/>
  <c r="I151" i="10"/>
  <c r="M151" i="10"/>
  <c r="K151" i="10"/>
  <c r="O145" i="10"/>
  <c r="S145" i="10" s="1"/>
  <c r="U145" i="10" s="1"/>
  <c r="B145" i="19" s="1"/>
  <c r="O150" i="10"/>
  <c r="S150" i="10" s="1"/>
  <c r="U150" i="10" s="1"/>
  <c r="B150" i="19" s="1"/>
  <c r="A155" i="9"/>
  <c r="M154" i="9"/>
  <c r="E154" i="9"/>
  <c r="D154" i="9"/>
  <c r="K154" i="9"/>
  <c r="C154" i="9"/>
  <c r="Q154" i="9"/>
  <c r="E154" i="10" s="1"/>
  <c r="I154" i="9"/>
  <c r="F154" i="10" s="1"/>
  <c r="P154" i="9"/>
  <c r="D154" i="10" s="1"/>
  <c r="H154" i="9"/>
  <c r="J154" i="9" s="1"/>
  <c r="G154" i="9"/>
  <c r="F154" i="9"/>
  <c r="B154" i="9"/>
  <c r="O154" i="9"/>
  <c r="C154" i="10" s="1"/>
  <c r="N154" i="9"/>
  <c r="L153" i="9"/>
  <c r="N151" i="10" l="1"/>
  <c r="O151" i="10" s="1"/>
  <c r="S151" i="10" s="1"/>
  <c r="U151" i="10" s="1"/>
  <c r="B151" i="19" s="1"/>
  <c r="N146" i="10"/>
  <c r="M147" i="10"/>
  <c r="K147" i="10"/>
  <c r="I147" i="10"/>
  <c r="N147" i="10" s="1"/>
  <c r="B153" i="10"/>
  <c r="T155" i="9"/>
  <c r="H155" i="10" s="1"/>
  <c r="S155" i="9"/>
  <c r="G155" i="10" s="1"/>
  <c r="A155" i="10"/>
  <c r="P155" i="10" s="1"/>
  <c r="Q155" i="10" s="1"/>
  <c r="O146" i="10"/>
  <c r="S146" i="10" s="1"/>
  <c r="U146" i="10" s="1"/>
  <c r="B146" i="19" s="1"/>
  <c r="J154" i="10"/>
  <c r="L154" i="9"/>
  <c r="Q155" i="9"/>
  <c r="E155" i="10" s="1"/>
  <c r="I155" i="9"/>
  <c r="F155" i="10" s="1"/>
  <c r="P155" i="9"/>
  <c r="D155" i="10" s="1"/>
  <c r="H155" i="9"/>
  <c r="J155" i="9" s="1"/>
  <c r="O155" i="9"/>
  <c r="C155" i="10" s="1"/>
  <c r="G155" i="9"/>
  <c r="A156" i="9"/>
  <c r="M155" i="9"/>
  <c r="E155" i="9"/>
  <c r="D155" i="9"/>
  <c r="F155" i="9"/>
  <c r="C155" i="9"/>
  <c r="B155" i="9"/>
  <c r="N155" i="9"/>
  <c r="K155" i="9"/>
  <c r="O147" i="10" l="1"/>
  <c r="S147" i="10" s="1"/>
  <c r="U147" i="10" s="1"/>
  <c r="B147" i="19" s="1"/>
  <c r="B154" i="10"/>
  <c r="S156" i="9"/>
  <c r="G156" i="10" s="1"/>
  <c r="T156" i="9"/>
  <c r="H156" i="10" s="1"/>
  <c r="A156" i="10"/>
  <c r="P156" i="10" s="1"/>
  <c r="Q156" i="10" s="1"/>
  <c r="J155" i="10"/>
  <c r="A157" i="9"/>
  <c r="M156" i="9"/>
  <c r="E156" i="9"/>
  <c r="D156" i="9"/>
  <c r="K156" i="9"/>
  <c r="C156" i="9"/>
  <c r="Q156" i="9"/>
  <c r="E156" i="10" s="1"/>
  <c r="I156" i="9"/>
  <c r="F156" i="10" s="1"/>
  <c r="P156" i="9"/>
  <c r="D156" i="10" s="1"/>
  <c r="H156" i="9"/>
  <c r="J156" i="9" s="1"/>
  <c r="G156" i="9"/>
  <c r="F156" i="9"/>
  <c r="B156" i="9"/>
  <c r="O156" i="9"/>
  <c r="C156" i="10" s="1"/>
  <c r="N156" i="9"/>
  <c r="L155" i="9"/>
  <c r="J156" i="10" l="1"/>
  <c r="P154" i="10"/>
  <c r="Q154" i="10" s="1"/>
  <c r="T157" i="9"/>
  <c r="H157" i="10" s="1"/>
  <c r="S157" i="9"/>
  <c r="G157" i="10" s="1"/>
  <c r="A157" i="10"/>
  <c r="P157" i="10" s="1"/>
  <c r="Q157" i="10" s="1"/>
  <c r="R155" i="9"/>
  <c r="B155" i="10"/>
  <c r="L156" i="9"/>
  <c r="Q157" i="9"/>
  <c r="E157" i="10" s="1"/>
  <c r="I157" i="9"/>
  <c r="F157" i="10" s="1"/>
  <c r="P157" i="9"/>
  <c r="D157" i="10" s="1"/>
  <c r="H157" i="9"/>
  <c r="J157" i="9" s="1"/>
  <c r="O157" i="9"/>
  <c r="C157" i="10" s="1"/>
  <c r="J157" i="10" s="1"/>
  <c r="G157" i="9"/>
  <c r="A158" i="9"/>
  <c r="M157" i="9"/>
  <c r="E157" i="9"/>
  <c r="D157" i="9"/>
  <c r="K157" i="9"/>
  <c r="F157" i="9"/>
  <c r="C157" i="9"/>
  <c r="B157" i="9"/>
  <c r="N157" i="9"/>
  <c r="I155" i="10" l="1"/>
  <c r="M155" i="10"/>
  <c r="K155" i="10"/>
  <c r="R156" i="9"/>
  <c r="B156" i="10"/>
  <c r="T158" i="9"/>
  <c r="H158" i="10" s="1"/>
  <c r="S158" i="9"/>
  <c r="G158" i="10" s="1"/>
  <c r="A158" i="10"/>
  <c r="P158" i="10" s="1"/>
  <c r="Q158" i="10" s="1"/>
  <c r="A159" i="9"/>
  <c r="M158" i="9"/>
  <c r="E158" i="9"/>
  <c r="D158" i="9"/>
  <c r="K158" i="9"/>
  <c r="C158" i="9"/>
  <c r="Q158" i="9"/>
  <c r="E158" i="10" s="1"/>
  <c r="I158" i="9"/>
  <c r="F158" i="10" s="1"/>
  <c r="P158" i="9"/>
  <c r="D158" i="10" s="1"/>
  <c r="H158" i="9"/>
  <c r="J158" i="9" s="1"/>
  <c r="N158" i="9"/>
  <c r="G158" i="9"/>
  <c r="F158" i="9"/>
  <c r="B158" i="9"/>
  <c r="O158" i="9"/>
  <c r="C158" i="10" s="1"/>
  <c r="L157" i="9"/>
  <c r="N155" i="10" l="1"/>
  <c r="O155" i="10"/>
  <c r="S155" i="10" s="1"/>
  <c r="U155" i="10" s="1"/>
  <c r="B155" i="19" s="1"/>
  <c r="T159" i="9"/>
  <c r="H159" i="10" s="1"/>
  <c r="S159" i="9"/>
  <c r="G159" i="10" s="1"/>
  <c r="A159" i="10"/>
  <c r="P159" i="10" s="1"/>
  <c r="Q159" i="10" s="1"/>
  <c r="J158" i="10"/>
  <c r="R157" i="9"/>
  <c r="B157" i="10"/>
  <c r="R152" i="9"/>
  <c r="M156" i="10"/>
  <c r="K156" i="10"/>
  <c r="I156" i="10"/>
  <c r="N156" i="10" s="1"/>
  <c r="L158" i="9"/>
  <c r="Q159" i="9"/>
  <c r="E159" i="10" s="1"/>
  <c r="I159" i="9"/>
  <c r="F159" i="10" s="1"/>
  <c r="P159" i="9"/>
  <c r="D159" i="10" s="1"/>
  <c r="H159" i="9"/>
  <c r="J159" i="9" s="1"/>
  <c r="O159" i="9"/>
  <c r="C159" i="10" s="1"/>
  <c r="G159" i="9"/>
  <c r="A160" i="9"/>
  <c r="M159" i="9"/>
  <c r="E159" i="9"/>
  <c r="D159" i="9"/>
  <c r="N159" i="9"/>
  <c r="K159" i="9"/>
  <c r="F159" i="9"/>
  <c r="C159" i="9"/>
  <c r="B159" i="9"/>
  <c r="J159" i="10" l="1"/>
  <c r="O156" i="10"/>
  <c r="S156" i="10" s="1"/>
  <c r="U156" i="10" s="1"/>
  <c r="B156" i="19" s="1"/>
  <c r="B158" i="10"/>
  <c r="R153" i="9"/>
  <c r="M152" i="10"/>
  <c r="K152" i="10"/>
  <c r="I152" i="10"/>
  <c r="N152" i="10" s="1"/>
  <c r="S160" i="9"/>
  <c r="G160" i="10" s="1"/>
  <c r="T160" i="9"/>
  <c r="H160" i="10" s="1"/>
  <c r="A160" i="10"/>
  <c r="P160" i="10" s="1"/>
  <c r="Q160" i="10" s="1"/>
  <c r="M157" i="10"/>
  <c r="K157" i="10"/>
  <c r="I157" i="10"/>
  <c r="N157" i="10" s="1"/>
  <c r="A161" i="9"/>
  <c r="M160" i="9"/>
  <c r="E160" i="9"/>
  <c r="D160" i="9"/>
  <c r="K160" i="9"/>
  <c r="C160" i="9"/>
  <c r="Q160" i="9"/>
  <c r="E160" i="10" s="1"/>
  <c r="I160" i="9"/>
  <c r="F160" i="10" s="1"/>
  <c r="P160" i="9"/>
  <c r="D160" i="10" s="1"/>
  <c r="H160" i="9"/>
  <c r="J160" i="9" s="1"/>
  <c r="O160" i="9"/>
  <c r="C160" i="10" s="1"/>
  <c r="N160" i="9"/>
  <c r="G160" i="9"/>
  <c r="F160" i="9"/>
  <c r="B160" i="9"/>
  <c r="L159" i="9"/>
  <c r="O152" i="10" l="1"/>
  <c r="S152" i="10" s="1"/>
  <c r="U152" i="10" s="1"/>
  <c r="B152" i="19" s="1"/>
  <c r="J160" i="10"/>
  <c r="S161" i="9"/>
  <c r="G161" i="10" s="1"/>
  <c r="T161" i="9"/>
  <c r="H161" i="10" s="1"/>
  <c r="A161" i="10"/>
  <c r="P161" i="10" s="1"/>
  <c r="Q161" i="10" s="1"/>
  <c r="K153" i="10"/>
  <c r="M153" i="10"/>
  <c r="I153" i="10"/>
  <c r="N153" i="10" s="1"/>
  <c r="B159" i="10"/>
  <c r="R154" i="9"/>
  <c r="O157" i="10"/>
  <c r="S157" i="10" s="1"/>
  <c r="U157" i="10" s="1"/>
  <c r="B157" i="19" s="1"/>
  <c r="L160" i="9"/>
  <c r="Q161" i="9"/>
  <c r="E161" i="10" s="1"/>
  <c r="I161" i="9"/>
  <c r="F161" i="10" s="1"/>
  <c r="P161" i="9"/>
  <c r="D161" i="10" s="1"/>
  <c r="H161" i="9"/>
  <c r="J161" i="9" s="1"/>
  <c r="O161" i="9"/>
  <c r="C161" i="10" s="1"/>
  <c r="G161" i="9"/>
  <c r="A162" i="9"/>
  <c r="M161" i="9"/>
  <c r="E161" i="9"/>
  <c r="D161" i="9"/>
  <c r="N161" i="9"/>
  <c r="K161" i="9"/>
  <c r="F161" i="9"/>
  <c r="C161" i="9"/>
  <c r="B161" i="9"/>
  <c r="J161" i="10" l="1"/>
  <c r="O153" i="10"/>
  <c r="S153" i="10" s="1"/>
  <c r="U153" i="10" s="1"/>
  <c r="B153" i="19" s="1"/>
  <c r="M154" i="10"/>
  <c r="K154" i="10"/>
  <c r="I154" i="10"/>
  <c r="N154" i="10" s="1"/>
  <c r="T162" i="9"/>
  <c r="H162" i="10" s="1"/>
  <c r="S162" i="9"/>
  <c r="G162" i="10" s="1"/>
  <c r="A162" i="10"/>
  <c r="B160" i="10"/>
  <c r="A163" i="9"/>
  <c r="M162" i="9"/>
  <c r="E162" i="9"/>
  <c r="D162" i="9"/>
  <c r="K162" i="9"/>
  <c r="C162" i="9"/>
  <c r="Q162" i="9"/>
  <c r="E162" i="10" s="1"/>
  <c r="I162" i="9"/>
  <c r="F162" i="10" s="1"/>
  <c r="P162" i="9"/>
  <c r="D162" i="10" s="1"/>
  <c r="H162" i="9"/>
  <c r="J162" i="9" s="1"/>
  <c r="O162" i="9"/>
  <c r="C162" i="10" s="1"/>
  <c r="N162" i="9"/>
  <c r="G162" i="9"/>
  <c r="F162" i="9"/>
  <c r="B162" i="9"/>
  <c r="L161" i="9"/>
  <c r="J162" i="10" l="1"/>
  <c r="O154" i="10"/>
  <c r="S154" i="10" s="1"/>
  <c r="U154" i="10" s="1"/>
  <c r="B154" i="19" s="1"/>
  <c r="B161" i="10"/>
  <c r="T163" i="9"/>
  <c r="H163" i="10" s="1"/>
  <c r="S163" i="9"/>
  <c r="G163" i="10" s="1"/>
  <c r="A163" i="10"/>
  <c r="P163" i="10" s="1"/>
  <c r="Q163" i="10" s="1"/>
  <c r="L162" i="9"/>
  <c r="Q163" i="9"/>
  <c r="E163" i="10" s="1"/>
  <c r="I163" i="9"/>
  <c r="F163" i="10" s="1"/>
  <c r="P163" i="9"/>
  <c r="D163" i="10" s="1"/>
  <c r="H163" i="9"/>
  <c r="J163" i="9" s="1"/>
  <c r="O163" i="9"/>
  <c r="C163" i="10" s="1"/>
  <c r="G163" i="9"/>
  <c r="A164" i="9"/>
  <c r="M163" i="9"/>
  <c r="E163" i="9"/>
  <c r="D163" i="9"/>
  <c r="N163" i="9"/>
  <c r="K163" i="9"/>
  <c r="F163" i="9"/>
  <c r="C163" i="9"/>
  <c r="B163" i="9"/>
  <c r="J163" i="10" l="1"/>
  <c r="B162" i="10"/>
  <c r="S164" i="9"/>
  <c r="G164" i="10" s="1"/>
  <c r="T164" i="9"/>
  <c r="H164" i="10" s="1"/>
  <c r="P162" i="10" s="1"/>
  <c r="Q162" i="10" s="1"/>
  <c r="A164" i="10"/>
  <c r="P164" i="10" s="1"/>
  <c r="Q164" i="10" s="1"/>
  <c r="A165" i="9"/>
  <c r="M164" i="9"/>
  <c r="E164" i="9"/>
  <c r="D164" i="9"/>
  <c r="K164" i="9"/>
  <c r="C164" i="9"/>
  <c r="Q164" i="9"/>
  <c r="E164" i="10" s="1"/>
  <c r="I164" i="9"/>
  <c r="F164" i="10" s="1"/>
  <c r="P164" i="9"/>
  <c r="D164" i="10" s="1"/>
  <c r="H164" i="9"/>
  <c r="J164" i="9" s="1"/>
  <c r="O164" i="9"/>
  <c r="C164" i="10" s="1"/>
  <c r="N164" i="9"/>
  <c r="G164" i="9"/>
  <c r="F164" i="9"/>
  <c r="B164" i="9"/>
  <c r="L163" i="9"/>
  <c r="J164" i="10" l="1"/>
  <c r="T165" i="9"/>
  <c r="H165" i="10" s="1"/>
  <c r="S165" i="9"/>
  <c r="G165" i="10" s="1"/>
  <c r="A165" i="10"/>
  <c r="P165" i="10" s="1"/>
  <c r="Q165" i="10" s="1"/>
  <c r="R163" i="9"/>
  <c r="B163" i="10"/>
  <c r="R158" i="9"/>
  <c r="L164" i="9"/>
  <c r="Q165" i="9"/>
  <c r="E165" i="10" s="1"/>
  <c r="I165" i="9"/>
  <c r="F165" i="10" s="1"/>
  <c r="P165" i="9"/>
  <c r="D165" i="10" s="1"/>
  <c r="H165" i="9"/>
  <c r="J165" i="9" s="1"/>
  <c r="O165" i="9"/>
  <c r="C165" i="10" s="1"/>
  <c r="G165" i="9"/>
  <c r="A166" i="9"/>
  <c r="M165" i="9"/>
  <c r="E165" i="9"/>
  <c r="D165" i="9"/>
  <c r="B165" i="9"/>
  <c r="N165" i="9"/>
  <c r="K165" i="9"/>
  <c r="F165" i="9"/>
  <c r="C165" i="9"/>
  <c r="R164" i="9" l="1"/>
  <c r="B164" i="10"/>
  <c r="R159" i="9"/>
  <c r="K158" i="10"/>
  <c r="M158" i="10"/>
  <c r="I158" i="10"/>
  <c r="N158" i="10" s="1"/>
  <c r="T166" i="9"/>
  <c r="H166" i="10" s="1"/>
  <c r="S166" i="9"/>
  <c r="G166" i="10" s="1"/>
  <c r="A166" i="10"/>
  <c r="J165" i="10"/>
  <c r="I163" i="10"/>
  <c r="K163" i="10"/>
  <c r="M163" i="10"/>
  <c r="A167" i="9"/>
  <c r="M166" i="9"/>
  <c r="E166" i="9"/>
  <c r="D166" i="9"/>
  <c r="K166" i="9"/>
  <c r="C166" i="9"/>
  <c r="Q166" i="9"/>
  <c r="E166" i="10" s="1"/>
  <c r="I166" i="9"/>
  <c r="F166" i="10" s="1"/>
  <c r="P166" i="9"/>
  <c r="D166" i="10" s="1"/>
  <c r="H166" i="9"/>
  <c r="J166" i="9" s="1"/>
  <c r="B166" i="9"/>
  <c r="O166" i="9"/>
  <c r="C166" i="10" s="1"/>
  <c r="N166" i="9"/>
  <c r="G166" i="9"/>
  <c r="F166" i="9"/>
  <c r="L165" i="9"/>
  <c r="N163" i="10" l="1"/>
  <c r="P166" i="10"/>
  <c r="Q166" i="10" s="1"/>
  <c r="O158" i="10"/>
  <c r="S158" i="10" s="1"/>
  <c r="U158" i="10" s="1"/>
  <c r="B158" i="19" s="1"/>
  <c r="O163" i="10"/>
  <c r="S163" i="10" s="1"/>
  <c r="U163" i="10" s="1"/>
  <c r="B163" i="19" s="1"/>
  <c r="J166" i="10"/>
  <c r="K159" i="10"/>
  <c r="I159" i="10"/>
  <c r="M159" i="10"/>
  <c r="T167" i="9"/>
  <c r="H167" i="10" s="1"/>
  <c r="S167" i="9"/>
  <c r="G167" i="10" s="1"/>
  <c r="A167" i="10"/>
  <c r="P167" i="10" s="1"/>
  <c r="Q167" i="10" s="1"/>
  <c r="B165" i="10"/>
  <c r="R160" i="9"/>
  <c r="K164" i="10"/>
  <c r="I164" i="10"/>
  <c r="M164" i="10"/>
  <c r="L166" i="9"/>
  <c r="Q167" i="9"/>
  <c r="E167" i="10" s="1"/>
  <c r="I167" i="9"/>
  <c r="F167" i="10" s="1"/>
  <c r="P167" i="9"/>
  <c r="D167" i="10" s="1"/>
  <c r="H167" i="9"/>
  <c r="J167" i="9" s="1"/>
  <c r="O167" i="9"/>
  <c r="C167" i="10" s="1"/>
  <c r="G167" i="9"/>
  <c r="A168" i="9"/>
  <c r="M167" i="9"/>
  <c r="E167" i="9"/>
  <c r="D167" i="9"/>
  <c r="C167" i="9"/>
  <c r="B167" i="9"/>
  <c r="N167" i="9"/>
  <c r="K167" i="9"/>
  <c r="F167" i="9"/>
  <c r="N159" i="10" l="1"/>
  <c r="N164" i="10"/>
  <c r="M160" i="10"/>
  <c r="I160" i="10"/>
  <c r="N160" i="10" s="1"/>
  <c r="K160" i="10"/>
  <c r="O159" i="10"/>
  <c r="S159" i="10" s="1"/>
  <c r="U159" i="10" s="1"/>
  <c r="B159" i="19" s="1"/>
  <c r="S168" i="9"/>
  <c r="G168" i="10" s="1"/>
  <c r="T168" i="9"/>
  <c r="H168" i="10" s="1"/>
  <c r="A168" i="10"/>
  <c r="B166" i="10"/>
  <c r="R161" i="9"/>
  <c r="O164" i="10"/>
  <c r="S164" i="10" s="1"/>
  <c r="U164" i="10" s="1"/>
  <c r="B164" i="19" s="1"/>
  <c r="J167" i="10"/>
  <c r="A169" i="9"/>
  <c r="M168" i="9"/>
  <c r="E168" i="9"/>
  <c r="D168" i="9"/>
  <c r="K168" i="9"/>
  <c r="C168" i="9"/>
  <c r="Q168" i="9"/>
  <c r="E168" i="10" s="1"/>
  <c r="I168" i="9"/>
  <c r="F168" i="10" s="1"/>
  <c r="P168" i="9"/>
  <c r="D168" i="10" s="1"/>
  <c r="H168" i="9"/>
  <c r="J168" i="9" s="1"/>
  <c r="F168" i="9"/>
  <c r="B168" i="9"/>
  <c r="O168" i="9"/>
  <c r="C168" i="10" s="1"/>
  <c r="N168" i="9"/>
  <c r="G168" i="9"/>
  <c r="L167" i="9"/>
  <c r="P168" i="10" l="1"/>
  <c r="Q168" i="10" s="1"/>
  <c r="M161" i="10"/>
  <c r="K161" i="10"/>
  <c r="I161" i="10"/>
  <c r="N161" i="10" s="1"/>
  <c r="O160" i="10"/>
  <c r="S160" i="10" s="1"/>
  <c r="U160" i="10" s="1"/>
  <c r="B160" i="19" s="1"/>
  <c r="T169" i="9"/>
  <c r="H169" i="10" s="1"/>
  <c r="S169" i="9"/>
  <c r="G169" i="10" s="1"/>
  <c r="A169" i="10"/>
  <c r="J168" i="10"/>
  <c r="B167" i="10"/>
  <c r="R162" i="9"/>
  <c r="L168" i="9"/>
  <c r="Q169" i="9"/>
  <c r="E169" i="10" s="1"/>
  <c r="I169" i="9"/>
  <c r="F169" i="10" s="1"/>
  <c r="P169" i="9"/>
  <c r="D169" i="10" s="1"/>
  <c r="H169" i="9"/>
  <c r="J169" i="9" s="1"/>
  <c r="O169" i="9"/>
  <c r="C169" i="10" s="1"/>
  <c r="G169" i="9"/>
  <c r="A170" i="9"/>
  <c r="M169" i="9"/>
  <c r="E169" i="9"/>
  <c r="D169" i="9"/>
  <c r="F169" i="9"/>
  <c r="C169" i="9"/>
  <c r="B169" i="9"/>
  <c r="N169" i="9"/>
  <c r="K169" i="9"/>
  <c r="O161" i="10" l="1"/>
  <c r="S161" i="10" s="1"/>
  <c r="U161" i="10" s="1"/>
  <c r="B161" i="19" s="1"/>
  <c r="T170" i="9"/>
  <c r="H170" i="10" s="1"/>
  <c r="S170" i="9"/>
  <c r="G170" i="10" s="1"/>
  <c r="A170" i="10"/>
  <c r="P170" i="10" s="1"/>
  <c r="Q170" i="10" s="1"/>
  <c r="M162" i="10"/>
  <c r="K162" i="10"/>
  <c r="I162" i="10"/>
  <c r="N162" i="10" s="1"/>
  <c r="J169" i="10"/>
  <c r="B168" i="10"/>
  <c r="A171" i="9"/>
  <c r="M170" i="9"/>
  <c r="E170" i="9"/>
  <c r="D170" i="9"/>
  <c r="K170" i="9"/>
  <c r="C170" i="9"/>
  <c r="Q170" i="9"/>
  <c r="E170" i="10" s="1"/>
  <c r="I170" i="9"/>
  <c r="F170" i="10" s="1"/>
  <c r="P170" i="9"/>
  <c r="D170" i="10" s="1"/>
  <c r="H170" i="9"/>
  <c r="J170" i="9" s="1"/>
  <c r="G170" i="9"/>
  <c r="F170" i="9"/>
  <c r="B170" i="9"/>
  <c r="O170" i="9"/>
  <c r="C170" i="10" s="1"/>
  <c r="N170" i="9"/>
  <c r="L169" i="9"/>
  <c r="O162" i="10" l="1"/>
  <c r="S162" i="10" s="1"/>
  <c r="U162" i="10" s="1"/>
  <c r="B162" i="19" s="1"/>
  <c r="B169" i="10"/>
  <c r="J170" i="10"/>
  <c r="T171" i="9"/>
  <c r="H171" i="10" s="1"/>
  <c r="P169" i="10" s="1"/>
  <c r="Q169" i="10" s="1"/>
  <c r="S171" i="9"/>
  <c r="G171" i="10" s="1"/>
  <c r="A171" i="10"/>
  <c r="P171" i="10" s="1"/>
  <c r="Q171" i="10" s="1"/>
  <c r="L170" i="9"/>
  <c r="Q171" i="9"/>
  <c r="E171" i="10" s="1"/>
  <c r="I171" i="9"/>
  <c r="F171" i="10" s="1"/>
  <c r="P171" i="9"/>
  <c r="D171" i="10" s="1"/>
  <c r="H171" i="9"/>
  <c r="J171" i="9" s="1"/>
  <c r="O171" i="9"/>
  <c r="C171" i="10" s="1"/>
  <c r="G171" i="9"/>
  <c r="A172" i="9"/>
  <c r="M171" i="9"/>
  <c r="E171" i="9"/>
  <c r="D171" i="9"/>
  <c r="F171" i="9"/>
  <c r="C171" i="9"/>
  <c r="B171" i="9"/>
  <c r="N171" i="9"/>
  <c r="K171" i="9"/>
  <c r="J171" i="10" l="1"/>
  <c r="R170" i="9"/>
  <c r="B170" i="10"/>
  <c r="R165" i="9"/>
  <c r="S172" i="9"/>
  <c r="G172" i="10" s="1"/>
  <c r="T172" i="9"/>
  <c r="H172" i="10" s="1"/>
  <c r="A172" i="10"/>
  <c r="P172" i="10" s="1"/>
  <c r="Q172" i="10" s="1"/>
  <c r="A173" i="9"/>
  <c r="M172" i="9"/>
  <c r="E172" i="9"/>
  <c r="D172" i="9"/>
  <c r="K172" i="9"/>
  <c r="C172" i="9"/>
  <c r="Q172" i="9"/>
  <c r="E172" i="10" s="1"/>
  <c r="I172" i="9"/>
  <c r="F172" i="10" s="1"/>
  <c r="P172" i="9"/>
  <c r="D172" i="10" s="1"/>
  <c r="H172" i="9"/>
  <c r="J172" i="9" s="1"/>
  <c r="G172" i="9"/>
  <c r="F172" i="9"/>
  <c r="B172" i="9"/>
  <c r="O172" i="9"/>
  <c r="C172" i="10" s="1"/>
  <c r="N172" i="9"/>
  <c r="L171" i="9"/>
  <c r="J172" i="10" l="1"/>
  <c r="T173" i="9"/>
  <c r="H173" i="10" s="1"/>
  <c r="S173" i="9"/>
  <c r="G173" i="10" s="1"/>
  <c r="A173" i="10"/>
  <c r="P173" i="10" s="1"/>
  <c r="Q173" i="10" s="1"/>
  <c r="R171" i="9"/>
  <c r="B171" i="10"/>
  <c r="R166" i="9"/>
  <c r="M165" i="10"/>
  <c r="I165" i="10"/>
  <c r="K165" i="10"/>
  <c r="M170" i="10"/>
  <c r="I170" i="10"/>
  <c r="K170" i="10"/>
  <c r="L172" i="9"/>
  <c r="Q173" i="9"/>
  <c r="E173" i="10" s="1"/>
  <c r="I173" i="9"/>
  <c r="F173" i="10" s="1"/>
  <c r="P173" i="9"/>
  <c r="D173" i="10" s="1"/>
  <c r="H173" i="9"/>
  <c r="J173" i="9" s="1"/>
  <c r="O173" i="9"/>
  <c r="C173" i="10" s="1"/>
  <c r="G173" i="9"/>
  <c r="A174" i="9"/>
  <c r="M173" i="9"/>
  <c r="E173" i="9"/>
  <c r="D173" i="9"/>
  <c r="K173" i="9"/>
  <c r="F173" i="9"/>
  <c r="C173" i="9"/>
  <c r="B173" i="9"/>
  <c r="N173" i="9"/>
  <c r="N170" i="10" l="1"/>
  <c r="O170" i="10" s="1"/>
  <c r="S170" i="10" s="1"/>
  <c r="U170" i="10" s="1"/>
  <c r="B170" i="19" s="1"/>
  <c r="N165" i="10"/>
  <c r="J173" i="10"/>
  <c r="B172" i="10"/>
  <c r="R167" i="9"/>
  <c r="I171" i="10"/>
  <c r="M171" i="10"/>
  <c r="K171" i="10"/>
  <c r="O165" i="10"/>
  <c r="S165" i="10" s="1"/>
  <c r="U165" i="10" s="1"/>
  <c r="B165" i="19" s="1"/>
  <c r="T174" i="9"/>
  <c r="H174" i="10" s="1"/>
  <c r="S174" i="9"/>
  <c r="G174" i="10" s="1"/>
  <c r="A174" i="10"/>
  <c r="P174" i="10" s="1"/>
  <c r="Q174" i="10" s="1"/>
  <c r="I166" i="10"/>
  <c r="N166" i="10" s="1"/>
  <c r="K166" i="10"/>
  <c r="M166" i="10"/>
  <c r="A175" i="9"/>
  <c r="M174" i="9"/>
  <c r="E174" i="9"/>
  <c r="D174" i="9"/>
  <c r="K174" i="9"/>
  <c r="C174" i="9"/>
  <c r="Q174" i="9"/>
  <c r="E174" i="10" s="1"/>
  <c r="I174" i="9"/>
  <c r="F174" i="10" s="1"/>
  <c r="P174" i="9"/>
  <c r="D174" i="10" s="1"/>
  <c r="H174" i="9"/>
  <c r="J174" i="9" s="1"/>
  <c r="N174" i="9"/>
  <c r="G174" i="9"/>
  <c r="F174" i="9"/>
  <c r="B174" i="9"/>
  <c r="O174" i="9"/>
  <c r="C174" i="10" s="1"/>
  <c r="L173" i="9"/>
  <c r="N171" i="10" l="1"/>
  <c r="O166" i="10"/>
  <c r="S166" i="10" s="1"/>
  <c r="U166" i="10" s="1"/>
  <c r="B166" i="19" s="1"/>
  <c r="T175" i="9"/>
  <c r="H175" i="10" s="1"/>
  <c r="S175" i="9"/>
  <c r="G175" i="10" s="1"/>
  <c r="A175" i="10"/>
  <c r="P175" i="10" s="1"/>
  <c r="Q175" i="10" s="1"/>
  <c r="J174" i="10"/>
  <c r="O171" i="10"/>
  <c r="S171" i="10" s="1"/>
  <c r="U171" i="10" s="1"/>
  <c r="B171" i="19" s="1"/>
  <c r="B173" i="10"/>
  <c r="R168" i="9"/>
  <c r="M167" i="10"/>
  <c r="I167" i="10"/>
  <c r="K167" i="10"/>
  <c r="L174" i="9"/>
  <c r="Q175" i="9"/>
  <c r="E175" i="10" s="1"/>
  <c r="I175" i="9"/>
  <c r="F175" i="10" s="1"/>
  <c r="P175" i="9"/>
  <c r="D175" i="10" s="1"/>
  <c r="H175" i="9"/>
  <c r="J175" i="9" s="1"/>
  <c r="O175" i="9"/>
  <c r="C175" i="10" s="1"/>
  <c r="G175" i="9"/>
  <c r="A176" i="9"/>
  <c r="M175" i="9"/>
  <c r="E175" i="9"/>
  <c r="D175" i="9"/>
  <c r="N175" i="9"/>
  <c r="K175" i="9"/>
  <c r="F175" i="9"/>
  <c r="C175" i="9"/>
  <c r="B175" i="9"/>
  <c r="J175" i="10" l="1"/>
  <c r="N167" i="10"/>
  <c r="O167" i="10" s="1"/>
  <c r="S167" i="10" s="1"/>
  <c r="U167" i="10" s="1"/>
  <c r="B167" i="19" s="1"/>
  <c r="S176" i="9"/>
  <c r="G176" i="10" s="1"/>
  <c r="T176" i="9"/>
  <c r="H176" i="10" s="1"/>
  <c r="A176" i="10"/>
  <c r="M168" i="10"/>
  <c r="K168" i="10"/>
  <c r="I168" i="10"/>
  <c r="B174" i="10"/>
  <c r="R169" i="9"/>
  <c r="A177" i="9"/>
  <c r="M176" i="9"/>
  <c r="E176" i="9"/>
  <c r="D176" i="9"/>
  <c r="K176" i="9"/>
  <c r="C176" i="9"/>
  <c r="Q176" i="9"/>
  <c r="E176" i="10" s="1"/>
  <c r="I176" i="9"/>
  <c r="F176" i="10" s="1"/>
  <c r="P176" i="9"/>
  <c r="D176" i="10" s="1"/>
  <c r="H176" i="9"/>
  <c r="J176" i="9" s="1"/>
  <c r="O176" i="9"/>
  <c r="C176" i="10" s="1"/>
  <c r="J176" i="10" s="1"/>
  <c r="N176" i="9"/>
  <c r="G176" i="9"/>
  <c r="F176" i="9"/>
  <c r="B176" i="9"/>
  <c r="L175" i="9"/>
  <c r="N168" i="10" l="1"/>
  <c r="S177" i="9"/>
  <c r="G177" i="10" s="1"/>
  <c r="T177" i="9"/>
  <c r="H177" i="10" s="1"/>
  <c r="A177" i="10"/>
  <c r="P177" i="10" s="1"/>
  <c r="Q177" i="10" s="1"/>
  <c r="B175" i="10"/>
  <c r="M169" i="10"/>
  <c r="K169" i="10"/>
  <c r="I169" i="10"/>
  <c r="N169" i="10" s="1"/>
  <c r="O168" i="10"/>
  <c r="S168" i="10" s="1"/>
  <c r="U168" i="10" s="1"/>
  <c r="B168" i="19" s="1"/>
  <c r="L176" i="9"/>
  <c r="Q177" i="9"/>
  <c r="E177" i="10" s="1"/>
  <c r="I177" i="9"/>
  <c r="F177" i="10" s="1"/>
  <c r="P177" i="9"/>
  <c r="D177" i="10" s="1"/>
  <c r="H177" i="9"/>
  <c r="J177" i="9" s="1"/>
  <c r="O177" i="9"/>
  <c r="C177" i="10" s="1"/>
  <c r="G177" i="9"/>
  <c r="A178" i="9"/>
  <c r="M177" i="9"/>
  <c r="E177" i="9"/>
  <c r="D177" i="9"/>
  <c r="N177" i="9"/>
  <c r="K177" i="9"/>
  <c r="F177" i="9"/>
  <c r="C177" i="9"/>
  <c r="B177" i="9"/>
  <c r="T178" i="9" l="1"/>
  <c r="H178" i="10" s="1"/>
  <c r="P176" i="10" s="1"/>
  <c r="Q176" i="10" s="1"/>
  <c r="S178" i="9"/>
  <c r="G178" i="10" s="1"/>
  <c r="A178" i="10"/>
  <c r="P178" i="10" s="1"/>
  <c r="Q178" i="10" s="1"/>
  <c r="J177" i="10"/>
  <c r="B176" i="10"/>
  <c r="O169" i="10"/>
  <c r="S169" i="10" s="1"/>
  <c r="U169" i="10" s="1"/>
  <c r="B169" i="19" s="1"/>
  <c r="A179" i="9"/>
  <c r="M178" i="9"/>
  <c r="E178" i="9"/>
  <c r="D178" i="9"/>
  <c r="K178" i="9"/>
  <c r="C178" i="9"/>
  <c r="Q178" i="9"/>
  <c r="E178" i="10" s="1"/>
  <c r="I178" i="9"/>
  <c r="F178" i="10" s="1"/>
  <c r="P178" i="9"/>
  <c r="D178" i="10" s="1"/>
  <c r="H178" i="9"/>
  <c r="J178" i="9" s="1"/>
  <c r="O178" i="9"/>
  <c r="C178" i="10" s="1"/>
  <c r="N178" i="9"/>
  <c r="G178" i="9"/>
  <c r="F178" i="9"/>
  <c r="B178" i="9"/>
  <c r="L177" i="9"/>
  <c r="J178" i="10" l="1"/>
  <c r="T179" i="9"/>
  <c r="H179" i="10" s="1"/>
  <c r="A179" i="10"/>
  <c r="P179" i="10" s="1"/>
  <c r="Q179" i="10" s="1"/>
  <c r="S179" i="9"/>
  <c r="G179" i="10" s="1"/>
  <c r="R177" i="9"/>
  <c r="B177" i="10"/>
  <c r="R172" i="9"/>
  <c r="L178" i="9"/>
  <c r="Q179" i="9"/>
  <c r="E179" i="10" s="1"/>
  <c r="I179" i="9"/>
  <c r="F179" i="10" s="1"/>
  <c r="P179" i="9"/>
  <c r="D179" i="10" s="1"/>
  <c r="H179" i="9"/>
  <c r="J179" i="9" s="1"/>
  <c r="O179" i="9"/>
  <c r="C179" i="10" s="1"/>
  <c r="J179" i="10" s="1"/>
  <c r="G179" i="9"/>
  <c r="A180" i="9"/>
  <c r="M179" i="9"/>
  <c r="E179" i="9"/>
  <c r="D179" i="9"/>
  <c r="N179" i="9"/>
  <c r="K179" i="9"/>
  <c r="F179" i="9"/>
  <c r="C179" i="9"/>
  <c r="B179" i="9"/>
  <c r="M172" i="10" l="1"/>
  <c r="K172" i="10"/>
  <c r="I172" i="10"/>
  <c r="N172" i="10" s="1"/>
  <c r="M177" i="10"/>
  <c r="K177" i="10"/>
  <c r="I177" i="10"/>
  <c r="R178" i="9"/>
  <c r="B178" i="10"/>
  <c r="R173" i="9"/>
  <c r="T180" i="9"/>
  <c r="H180" i="10" s="1"/>
  <c r="S180" i="9"/>
  <c r="G180" i="10" s="1"/>
  <c r="A180" i="10"/>
  <c r="P180" i="10" s="1"/>
  <c r="Q180" i="10" s="1"/>
  <c r="A181" i="9"/>
  <c r="M180" i="9"/>
  <c r="E180" i="9"/>
  <c r="D180" i="9"/>
  <c r="K180" i="9"/>
  <c r="C180" i="9"/>
  <c r="Q180" i="9"/>
  <c r="E180" i="10" s="1"/>
  <c r="I180" i="9"/>
  <c r="F180" i="10" s="1"/>
  <c r="P180" i="9"/>
  <c r="D180" i="10" s="1"/>
  <c r="H180" i="9"/>
  <c r="J180" i="9" s="1"/>
  <c r="O180" i="9"/>
  <c r="C180" i="10" s="1"/>
  <c r="N180" i="9"/>
  <c r="G180" i="9"/>
  <c r="F180" i="9"/>
  <c r="B180" i="9"/>
  <c r="L179" i="9"/>
  <c r="N177" i="10" l="1"/>
  <c r="O177" i="10"/>
  <c r="S177" i="10" s="1"/>
  <c r="U177" i="10" s="1"/>
  <c r="B177" i="19" s="1"/>
  <c r="O172" i="10"/>
  <c r="S172" i="10" s="1"/>
  <c r="U172" i="10" s="1"/>
  <c r="B172" i="19" s="1"/>
  <c r="J180" i="10"/>
  <c r="T181" i="9"/>
  <c r="H181" i="10" s="1"/>
  <c r="A181" i="10"/>
  <c r="P181" i="10" s="1"/>
  <c r="Q181" i="10" s="1"/>
  <c r="S181" i="9"/>
  <c r="G181" i="10" s="1"/>
  <c r="K173" i="10"/>
  <c r="M173" i="10"/>
  <c r="I173" i="10"/>
  <c r="N173" i="10" s="1"/>
  <c r="B179" i="10"/>
  <c r="R174" i="9"/>
  <c r="K178" i="10"/>
  <c r="I178" i="10"/>
  <c r="N178" i="10" s="1"/>
  <c r="M178" i="10"/>
  <c r="L180" i="9"/>
  <c r="Q181" i="9"/>
  <c r="E181" i="10" s="1"/>
  <c r="I181" i="9"/>
  <c r="F181" i="10" s="1"/>
  <c r="P181" i="9"/>
  <c r="D181" i="10" s="1"/>
  <c r="H181" i="9"/>
  <c r="J181" i="9" s="1"/>
  <c r="O181" i="9"/>
  <c r="C181" i="10" s="1"/>
  <c r="G181" i="9"/>
  <c r="A182" i="9"/>
  <c r="M181" i="9"/>
  <c r="E181" i="9"/>
  <c r="D181" i="9"/>
  <c r="B181" i="9"/>
  <c r="N181" i="9"/>
  <c r="K181" i="9"/>
  <c r="F181" i="9"/>
  <c r="C181" i="9"/>
  <c r="O178" i="10" l="1"/>
  <c r="S178" i="10" s="1"/>
  <c r="U178" i="10" s="1"/>
  <c r="B178" i="19" s="1"/>
  <c r="O173" i="10"/>
  <c r="S173" i="10" s="1"/>
  <c r="U173" i="10" s="1"/>
  <c r="B173" i="19" s="1"/>
  <c r="T182" i="9"/>
  <c r="H182" i="10" s="1"/>
  <c r="S182" i="9"/>
  <c r="G182" i="10" s="1"/>
  <c r="A182" i="10"/>
  <c r="P182" i="10" s="1"/>
  <c r="Q182" i="10" s="1"/>
  <c r="J181" i="10"/>
  <c r="M174" i="10"/>
  <c r="I174" i="10"/>
  <c r="K174" i="10"/>
  <c r="B180" i="10"/>
  <c r="R175" i="9"/>
  <c r="A183" i="9"/>
  <c r="M182" i="9"/>
  <c r="E182" i="9"/>
  <c r="D182" i="9"/>
  <c r="K182" i="9"/>
  <c r="C182" i="9"/>
  <c r="Q182" i="9"/>
  <c r="E182" i="10" s="1"/>
  <c r="I182" i="9"/>
  <c r="F182" i="10" s="1"/>
  <c r="P182" i="9"/>
  <c r="D182" i="10" s="1"/>
  <c r="H182" i="9"/>
  <c r="J182" i="9" s="1"/>
  <c r="B182" i="9"/>
  <c r="O182" i="9"/>
  <c r="C182" i="10" s="1"/>
  <c r="N182" i="9"/>
  <c r="G182" i="9"/>
  <c r="F182" i="9"/>
  <c r="L181" i="9"/>
  <c r="N174" i="10" l="1"/>
  <c r="O174" i="10"/>
  <c r="S174" i="10" s="1"/>
  <c r="U174" i="10" s="1"/>
  <c r="B174" i="19" s="1"/>
  <c r="B181" i="10"/>
  <c r="R176" i="9"/>
  <c r="J182" i="10"/>
  <c r="T183" i="9"/>
  <c r="H183" i="10" s="1"/>
  <c r="S183" i="9"/>
  <c r="G183" i="10" s="1"/>
  <c r="A183" i="10"/>
  <c r="I175" i="10"/>
  <c r="M175" i="10"/>
  <c r="K175" i="10"/>
  <c r="L182" i="9"/>
  <c r="Q183" i="9"/>
  <c r="E183" i="10" s="1"/>
  <c r="I183" i="9"/>
  <c r="F183" i="10" s="1"/>
  <c r="P183" i="9"/>
  <c r="D183" i="10" s="1"/>
  <c r="H183" i="9"/>
  <c r="J183" i="9" s="1"/>
  <c r="O183" i="9"/>
  <c r="C183" i="10" s="1"/>
  <c r="J183" i="10" s="1"/>
  <c r="G183" i="9"/>
  <c r="A184" i="9"/>
  <c r="M183" i="9"/>
  <c r="E183" i="9"/>
  <c r="D183" i="9"/>
  <c r="C183" i="9"/>
  <c r="B183" i="9"/>
  <c r="N183" i="9"/>
  <c r="K183" i="9"/>
  <c r="F183" i="9"/>
  <c r="N175" i="10" l="1"/>
  <c r="O175" i="10"/>
  <c r="S175" i="10" s="1"/>
  <c r="U175" i="10" s="1"/>
  <c r="B175" i="19" s="1"/>
  <c r="B182" i="10"/>
  <c r="S184" i="9"/>
  <c r="G184" i="10" s="1"/>
  <c r="T184" i="9"/>
  <c r="H184" i="10" s="1"/>
  <c r="A184" i="10"/>
  <c r="P184" i="10" s="1"/>
  <c r="Q184" i="10" s="1"/>
  <c r="I176" i="10"/>
  <c r="N176" i="10" s="1"/>
  <c r="M176" i="10"/>
  <c r="K176" i="10"/>
  <c r="A185" i="9"/>
  <c r="M184" i="9"/>
  <c r="E184" i="9"/>
  <c r="D184" i="9"/>
  <c r="K184" i="9"/>
  <c r="C184" i="9"/>
  <c r="Q184" i="9"/>
  <c r="E184" i="10" s="1"/>
  <c r="I184" i="9"/>
  <c r="F184" i="10" s="1"/>
  <c r="P184" i="9"/>
  <c r="D184" i="10" s="1"/>
  <c r="H184" i="9"/>
  <c r="J184" i="9" s="1"/>
  <c r="F184" i="9"/>
  <c r="B184" i="9"/>
  <c r="O184" i="9"/>
  <c r="C184" i="10" s="1"/>
  <c r="N184" i="9"/>
  <c r="G184" i="9"/>
  <c r="L183" i="9"/>
  <c r="S185" i="9" l="1"/>
  <c r="G185" i="10" s="1"/>
  <c r="T185" i="9"/>
  <c r="H185" i="10" s="1"/>
  <c r="P183" i="10" s="1"/>
  <c r="Q183" i="10" s="1"/>
  <c r="A185" i="10"/>
  <c r="P185" i="10" s="1"/>
  <c r="Q185" i="10" s="1"/>
  <c r="B183" i="10"/>
  <c r="O176" i="10"/>
  <c r="S176" i="10" s="1"/>
  <c r="U176" i="10" s="1"/>
  <c r="B176" i="19" s="1"/>
  <c r="J184" i="10"/>
  <c r="L184" i="9"/>
  <c r="Q185" i="9"/>
  <c r="E185" i="10" s="1"/>
  <c r="I185" i="9"/>
  <c r="F185" i="10" s="1"/>
  <c r="P185" i="9"/>
  <c r="D185" i="10" s="1"/>
  <c r="H185" i="9"/>
  <c r="J185" i="9" s="1"/>
  <c r="O185" i="9"/>
  <c r="C185" i="10" s="1"/>
  <c r="G185" i="9"/>
  <c r="A186" i="9"/>
  <c r="M185" i="9"/>
  <c r="E185" i="9"/>
  <c r="D185" i="9"/>
  <c r="F185" i="9"/>
  <c r="C185" i="9"/>
  <c r="B185" i="9"/>
  <c r="N185" i="9"/>
  <c r="K185" i="9"/>
  <c r="R184" i="9" l="1"/>
  <c r="B184" i="10"/>
  <c r="R179" i="9"/>
  <c r="S186" i="9"/>
  <c r="G186" i="10" s="1"/>
  <c r="T186" i="9"/>
  <c r="H186" i="10" s="1"/>
  <c r="A186" i="10"/>
  <c r="P186" i="10" s="1"/>
  <c r="Q186" i="10" s="1"/>
  <c r="J185" i="10"/>
  <c r="A187" i="9"/>
  <c r="M186" i="9"/>
  <c r="E186" i="9"/>
  <c r="D186" i="9"/>
  <c r="K186" i="9"/>
  <c r="C186" i="9"/>
  <c r="Q186" i="9"/>
  <c r="E186" i="10" s="1"/>
  <c r="I186" i="9"/>
  <c r="F186" i="10" s="1"/>
  <c r="P186" i="9"/>
  <c r="D186" i="10" s="1"/>
  <c r="H186" i="9"/>
  <c r="J186" i="9" s="1"/>
  <c r="G186" i="9"/>
  <c r="F186" i="9"/>
  <c r="B186" i="9"/>
  <c r="O186" i="9"/>
  <c r="C186" i="10" s="1"/>
  <c r="N186" i="9"/>
  <c r="L185" i="9"/>
  <c r="K179" i="10" l="1"/>
  <c r="I179" i="10"/>
  <c r="N179" i="10" s="1"/>
  <c r="M179" i="10"/>
  <c r="S187" i="9"/>
  <c r="G187" i="10" s="1"/>
  <c r="A187" i="10"/>
  <c r="P187" i="10" s="1"/>
  <c r="Q187" i="10" s="1"/>
  <c r="T187" i="9"/>
  <c r="H187" i="10" s="1"/>
  <c r="R185" i="9"/>
  <c r="B185" i="10"/>
  <c r="R180" i="9"/>
  <c r="J186" i="10"/>
  <c r="K184" i="10"/>
  <c r="M184" i="10"/>
  <c r="I184" i="10"/>
  <c r="L186" i="9"/>
  <c r="Q187" i="9"/>
  <c r="E187" i="10" s="1"/>
  <c r="I187" i="9"/>
  <c r="F187" i="10" s="1"/>
  <c r="P187" i="9"/>
  <c r="D187" i="10" s="1"/>
  <c r="H187" i="9"/>
  <c r="J187" i="9" s="1"/>
  <c r="O187" i="9"/>
  <c r="C187" i="10" s="1"/>
  <c r="G187" i="9"/>
  <c r="A188" i="9"/>
  <c r="M187" i="9"/>
  <c r="E187" i="9"/>
  <c r="D187" i="9"/>
  <c r="F187" i="9"/>
  <c r="C187" i="9"/>
  <c r="B187" i="9"/>
  <c r="N187" i="9"/>
  <c r="K187" i="9"/>
  <c r="N184" i="10" l="1"/>
  <c r="M180" i="10"/>
  <c r="K180" i="10"/>
  <c r="I180" i="10"/>
  <c r="N180" i="10" s="1"/>
  <c r="S188" i="9"/>
  <c r="G188" i="10" s="1"/>
  <c r="T188" i="9"/>
  <c r="H188" i="10" s="1"/>
  <c r="A188" i="10"/>
  <c r="P188" i="10" s="1"/>
  <c r="Q188" i="10" s="1"/>
  <c r="O184" i="10"/>
  <c r="S184" i="10" s="1"/>
  <c r="U184" i="10" s="1"/>
  <c r="B184" i="19" s="1"/>
  <c r="O179" i="10"/>
  <c r="S179" i="10" s="1"/>
  <c r="U179" i="10" s="1"/>
  <c r="B179" i="19" s="1"/>
  <c r="B186" i="10"/>
  <c r="R181" i="9"/>
  <c r="K185" i="10"/>
  <c r="M185" i="10"/>
  <c r="I185" i="10"/>
  <c r="N185" i="10" s="1"/>
  <c r="J187" i="10"/>
  <c r="L187" i="9"/>
  <c r="A189" i="9"/>
  <c r="M188" i="9"/>
  <c r="E188" i="9"/>
  <c r="D188" i="9"/>
  <c r="K188" i="9"/>
  <c r="C188" i="9"/>
  <c r="Q188" i="9"/>
  <c r="E188" i="10" s="1"/>
  <c r="I188" i="9"/>
  <c r="F188" i="10" s="1"/>
  <c r="P188" i="9"/>
  <c r="D188" i="10" s="1"/>
  <c r="H188" i="9"/>
  <c r="J188" i="9" s="1"/>
  <c r="G188" i="9"/>
  <c r="F188" i="9"/>
  <c r="B188" i="9"/>
  <c r="O188" i="9"/>
  <c r="C188" i="10" s="1"/>
  <c r="N188" i="9"/>
  <c r="O185" i="10" l="1"/>
  <c r="S185" i="10" s="1"/>
  <c r="U185" i="10" s="1"/>
  <c r="B185" i="19" s="1"/>
  <c r="O180" i="10"/>
  <c r="S180" i="10" s="1"/>
  <c r="U180" i="10" s="1"/>
  <c r="B180" i="19" s="1"/>
  <c r="M181" i="10"/>
  <c r="K181" i="10"/>
  <c r="I181" i="10"/>
  <c r="N181" i="10" s="1"/>
  <c r="T189" i="9"/>
  <c r="H189" i="10" s="1"/>
  <c r="S189" i="9"/>
  <c r="G189" i="10" s="1"/>
  <c r="A189" i="10"/>
  <c r="B187" i="10"/>
  <c r="R182" i="9"/>
  <c r="J188" i="10"/>
  <c r="L188" i="9"/>
  <c r="Q189" i="9"/>
  <c r="E189" i="10" s="1"/>
  <c r="I189" i="9"/>
  <c r="F189" i="10" s="1"/>
  <c r="P189" i="9"/>
  <c r="D189" i="10" s="1"/>
  <c r="H189" i="9"/>
  <c r="J189" i="9" s="1"/>
  <c r="O189" i="9"/>
  <c r="C189" i="10" s="1"/>
  <c r="G189" i="9"/>
  <c r="A190" i="9"/>
  <c r="M189" i="9"/>
  <c r="E189" i="9"/>
  <c r="D189" i="9"/>
  <c r="K189" i="9"/>
  <c r="F189" i="9"/>
  <c r="C189" i="9"/>
  <c r="B189" i="9"/>
  <c r="N189" i="9"/>
  <c r="P189" i="10" l="1"/>
  <c r="Q189" i="10" s="1"/>
  <c r="O181" i="10"/>
  <c r="S181" i="10" s="1"/>
  <c r="U181" i="10" s="1"/>
  <c r="B181" i="19" s="1"/>
  <c r="T190" i="9"/>
  <c r="H190" i="10" s="1"/>
  <c r="S190" i="9"/>
  <c r="G190" i="10" s="1"/>
  <c r="A190" i="10"/>
  <c r="J189" i="10"/>
  <c r="B188" i="10"/>
  <c r="R183" i="9"/>
  <c r="K182" i="10"/>
  <c r="M182" i="10"/>
  <c r="I182" i="10"/>
  <c r="N182" i="10" s="1"/>
  <c r="A191" i="9"/>
  <c r="M190" i="9"/>
  <c r="E190" i="9"/>
  <c r="D190" i="9"/>
  <c r="K190" i="9"/>
  <c r="C190" i="9"/>
  <c r="Q190" i="9"/>
  <c r="E190" i="10" s="1"/>
  <c r="I190" i="9"/>
  <c r="F190" i="10" s="1"/>
  <c r="P190" i="9"/>
  <c r="D190" i="10" s="1"/>
  <c r="H190" i="9"/>
  <c r="J190" i="9" s="1"/>
  <c r="N190" i="9"/>
  <c r="G190" i="9"/>
  <c r="F190" i="9"/>
  <c r="B190" i="9"/>
  <c r="O190" i="9"/>
  <c r="C190" i="10" s="1"/>
  <c r="L189" i="9"/>
  <c r="O182" i="10" l="1"/>
  <c r="S182" i="10" s="1"/>
  <c r="U182" i="10" s="1"/>
  <c r="B182" i="19" s="1"/>
  <c r="T191" i="9"/>
  <c r="H191" i="10" s="1"/>
  <c r="S191" i="9"/>
  <c r="G191" i="10" s="1"/>
  <c r="A191" i="10"/>
  <c r="P191" i="10" s="1"/>
  <c r="Q191" i="10" s="1"/>
  <c r="M183" i="10"/>
  <c r="K183" i="10"/>
  <c r="I183" i="10"/>
  <c r="N183" i="10" s="1"/>
  <c r="B189" i="10"/>
  <c r="J190" i="10"/>
  <c r="L190" i="9"/>
  <c r="Q191" i="9"/>
  <c r="E191" i="10" s="1"/>
  <c r="I191" i="9"/>
  <c r="F191" i="10" s="1"/>
  <c r="P191" i="9"/>
  <c r="D191" i="10" s="1"/>
  <c r="H191" i="9"/>
  <c r="J191" i="9" s="1"/>
  <c r="O191" i="9"/>
  <c r="C191" i="10" s="1"/>
  <c r="G191" i="9"/>
  <c r="A192" i="9"/>
  <c r="M191" i="9"/>
  <c r="E191" i="9"/>
  <c r="D191" i="9"/>
  <c r="N191" i="9"/>
  <c r="K191" i="9"/>
  <c r="F191" i="9"/>
  <c r="C191" i="9"/>
  <c r="B191" i="9"/>
  <c r="O183" i="10" l="1"/>
  <c r="S183" i="10" s="1"/>
  <c r="U183" i="10" s="1"/>
  <c r="B183" i="19" s="1"/>
  <c r="S192" i="9"/>
  <c r="G192" i="10" s="1"/>
  <c r="T192" i="9"/>
  <c r="H192" i="10" s="1"/>
  <c r="P190" i="10" s="1"/>
  <c r="Q190" i="10" s="1"/>
  <c r="A192" i="10"/>
  <c r="P192" i="10" s="1"/>
  <c r="Q192" i="10" s="1"/>
  <c r="J191" i="10"/>
  <c r="B190" i="10"/>
  <c r="A193" i="9"/>
  <c r="M192" i="9"/>
  <c r="E192" i="9"/>
  <c r="D192" i="9"/>
  <c r="K192" i="9"/>
  <c r="C192" i="9"/>
  <c r="Q192" i="9"/>
  <c r="E192" i="10" s="1"/>
  <c r="I192" i="9"/>
  <c r="F192" i="10" s="1"/>
  <c r="P192" i="9"/>
  <c r="D192" i="10" s="1"/>
  <c r="H192" i="9"/>
  <c r="J192" i="9" s="1"/>
  <c r="O192" i="9"/>
  <c r="C192" i="10" s="1"/>
  <c r="N192" i="9"/>
  <c r="G192" i="9"/>
  <c r="F192" i="9"/>
  <c r="B192" i="9"/>
  <c r="L191" i="9"/>
  <c r="S193" i="9" l="1"/>
  <c r="G193" i="10" s="1"/>
  <c r="T193" i="9"/>
  <c r="H193" i="10" s="1"/>
  <c r="A193" i="10"/>
  <c r="P193" i="10" s="1"/>
  <c r="Q193" i="10" s="1"/>
  <c r="J192" i="10"/>
  <c r="R191" i="9"/>
  <c r="B191" i="10"/>
  <c r="R186" i="9"/>
  <c r="L192" i="9"/>
  <c r="Q193" i="9"/>
  <c r="E193" i="10" s="1"/>
  <c r="I193" i="9"/>
  <c r="F193" i="10" s="1"/>
  <c r="P193" i="9"/>
  <c r="D193" i="10" s="1"/>
  <c r="H193" i="9"/>
  <c r="J193" i="9" s="1"/>
  <c r="O193" i="9"/>
  <c r="C193" i="10" s="1"/>
  <c r="G193" i="9"/>
  <c r="A194" i="9"/>
  <c r="M193" i="9"/>
  <c r="E193" i="9"/>
  <c r="D193" i="9"/>
  <c r="N193" i="9"/>
  <c r="K193" i="9"/>
  <c r="F193" i="9"/>
  <c r="C193" i="9"/>
  <c r="B193" i="9"/>
  <c r="R192" i="9" l="1"/>
  <c r="B192" i="10"/>
  <c r="R187" i="9"/>
  <c r="S194" i="9"/>
  <c r="G194" i="10" s="1"/>
  <c r="T194" i="9"/>
  <c r="H194" i="10" s="1"/>
  <c r="A194" i="10"/>
  <c r="P194" i="10" s="1"/>
  <c r="Q194" i="10" s="1"/>
  <c r="M186" i="10"/>
  <c r="K186" i="10"/>
  <c r="I186" i="10"/>
  <c r="J193" i="10"/>
  <c r="M191" i="10"/>
  <c r="I191" i="10"/>
  <c r="K191" i="10"/>
  <c r="A195" i="9"/>
  <c r="M194" i="9"/>
  <c r="E194" i="9"/>
  <c r="D194" i="9"/>
  <c r="K194" i="9"/>
  <c r="C194" i="9"/>
  <c r="Q194" i="9"/>
  <c r="E194" i="10" s="1"/>
  <c r="I194" i="9"/>
  <c r="F194" i="10" s="1"/>
  <c r="P194" i="9"/>
  <c r="D194" i="10" s="1"/>
  <c r="H194" i="9"/>
  <c r="J194" i="9" s="1"/>
  <c r="O194" i="9"/>
  <c r="C194" i="10" s="1"/>
  <c r="N194" i="9"/>
  <c r="G194" i="9"/>
  <c r="F194" i="9"/>
  <c r="B194" i="9"/>
  <c r="L193" i="9"/>
  <c r="N191" i="10" l="1"/>
  <c r="N186" i="10"/>
  <c r="M187" i="10"/>
  <c r="I187" i="10"/>
  <c r="N187" i="10" s="1"/>
  <c r="K187" i="10"/>
  <c r="O186" i="10"/>
  <c r="S186" i="10" s="1"/>
  <c r="U186" i="10" s="1"/>
  <c r="B186" i="19" s="1"/>
  <c r="J194" i="10"/>
  <c r="T195" i="9"/>
  <c r="H195" i="10" s="1"/>
  <c r="S195" i="9"/>
  <c r="G195" i="10" s="1"/>
  <c r="A195" i="10"/>
  <c r="P195" i="10" s="1"/>
  <c r="Q195" i="10" s="1"/>
  <c r="B193" i="10"/>
  <c r="R188" i="9"/>
  <c r="O191" i="10"/>
  <c r="S191" i="10" s="1"/>
  <c r="U191" i="10" s="1"/>
  <c r="B191" i="19" s="1"/>
  <c r="I192" i="10"/>
  <c r="N192" i="10" s="1"/>
  <c r="K192" i="10"/>
  <c r="M192" i="10"/>
  <c r="L194" i="9"/>
  <c r="Q195" i="9"/>
  <c r="E195" i="10" s="1"/>
  <c r="I195" i="9"/>
  <c r="F195" i="10" s="1"/>
  <c r="P195" i="9"/>
  <c r="D195" i="10" s="1"/>
  <c r="H195" i="9"/>
  <c r="J195" i="9" s="1"/>
  <c r="O195" i="9"/>
  <c r="C195" i="10" s="1"/>
  <c r="G195" i="9"/>
  <c r="A196" i="9"/>
  <c r="M195" i="9"/>
  <c r="E195" i="9"/>
  <c r="D195" i="9"/>
  <c r="N195" i="9"/>
  <c r="K195" i="9"/>
  <c r="F195" i="9"/>
  <c r="C195" i="9"/>
  <c r="B195" i="9"/>
  <c r="O187" i="10" l="1"/>
  <c r="S187" i="10" s="1"/>
  <c r="U187" i="10" s="1"/>
  <c r="B187" i="19" s="1"/>
  <c r="J195" i="10"/>
  <c r="K188" i="10"/>
  <c r="I188" i="10"/>
  <c r="N188" i="10" s="1"/>
  <c r="M188" i="10"/>
  <c r="B194" i="10"/>
  <c r="R189" i="9"/>
  <c r="S196" i="9"/>
  <c r="G196" i="10" s="1"/>
  <c r="T196" i="9"/>
  <c r="H196" i="10" s="1"/>
  <c r="A196" i="10"/>
  <c r="P196" i="10" s="1"/>
  <c r="Q196" i="10" s="1"/>
  <c r="O192" i="10"/>
  <c r="S192" i="10" s="1"/>
  <c r="U192" i="10" s="1"/>
  <c r="B192" i="19" s="1"/>
  <c r="A197" i="9"/>
  <c r="M196" i="9"/>
  <c r="E196" i="9"/>
  <c r="D196" i="9"/>
  <c r="K196" i="9"/>
  <c r="C196" i="9"/>
  <c r="Q196" i="9"/>
  <c r="E196" i="10" s="1"/>
  <c r="I196" i="9"/>
  <c r="F196" i="10" s="1"/>
  <c r="P196" i="9"/>
  <c r="D196" i="10" s="1"/>
  <c r="H196" i="9"/>
  <c r="J196" i="9" s="1"/>
  <c r="O196" i="9"/>
  <c r="C196" i="10" s="1"/>
  <c r="N196" i="9"/>
  <c r="G196" i="9"/>
  <c r="F196" i="9"/>
  <c r="B196" i="9"/>
  <c r="L195" i="9"/>
  <c r="J196" i="10" l="1"/>
  <c r="T197" i="9"/>
  <c r="H197" i="10" s="1"/>
  <c r="S197" i="9"/>
  <c r="G197" i="10" s="1"/>
  <c r="A197" i="10"/>
  <c r="K189" i="10"/>
  <c r="I189" i="10"/>
  <c r="N189" i="10" s="1"/>
  <c r="M189" i="10"/>
  <c r="B195" i="10"/>
  <c r="R190" i="9"/>
  <c r="O188" i="10"/>
  <c r="S188" i="10" s="1"/>
  <c r="U188" i="10" s="1"/>
  <c r="B188" i="19" s="1"/>
  <c r="L196" i="9"/>
  <c r="Q197" i="9"/>
  <c r="E197" i="10" s="1"/>
  <c r="I197" i="9"/>
  <c r="F197" i="10" s="1"/>
  <c r="P197" i="9"/>
  <c r="D197" i="10" s="1"/>
  <c r="H197" i="9"/>
  <c r="J197" i="9" s="1"/>
  <c r="O197" i="9"/>
  <c r="C197" i="10" s="1"/>
  <c r="G197" i="9"/>
  <c r="A198" i="9"/>
  <c r="M197" i="9"/>
  <c r="E197" i="9"/>
  <c r="D197" i="9"/>
  <c r="B197" i="9"/>
  <c r="N197" i="9"/>
  <c r="K197" i="9"/>
  <c r="F197" i="9"/>
  <c r="C197" i="9"/>
  <c r="J197" i="10" l="1"/>
  <c r="I190" i="10"/>
  <c r="N190" i="10" s="1"/>
  <c r="M190" i="10"/>
  <c r="K190" i="10"/>
  <c r="T198" i="9"/>
  <c r="H198" i="10" s="1"/>
  <c r="S198" i="9"/>
  <c r="G198" i="10" s="1"/>
  <c r="A198" i="10"/>
  <c r="P198" i="10" s="1"/>
  <c r="Q198" i="10" s="1"/>
  <c r="O189" i="10"/>
  <c r="S189" i="10" s="1"/>
  <c r="U189" i="10" s="1"/>
  <c r="B189" i="19" s="1"/>
  <c r="B196" i="10"/>
  <c r="A199" i="9"/>
  <c r="M198" i="9"/>
  <c r="E198" i="9"/>
  <c r="D198" i="9"/>
  <c r="K198" i="9"/>
  <c r="C198" i="9"/>
  <c r="Q198" i="9"/>
  <c r="E198" i="10" s="1"/>
  <c r="I198" i="9"/>
  <c r="F198" i="10" s="1"/>
  <c r="P198" i="9"/>
  <c r="D198" i="10" s="1"/>
  <c r="H198" i="9"/>
  <c r="J198" i="9" s="1"/>
  <c r="B198" i="9"/>
  <c r="O198" i="9"/>
  <c r="C198" i="10" s="1"/>
  <c r="N198" i="9"/>
  <c r="G198" i="9"/>
  <c r="F198" i="9"/>
  <c r="L197" i="9"/>
  <c r="B197" i="10" l="1"/>
  <c r="O190" i="10"/>
  <c r="S190" i="10" s="1"/>
  <c r="U190" i="10" s="1"/>
  <c r="B190" i="19" s="1"/>
  <c r="T199" i="9"/>
  <c r="H199" i="10" s="1"/>
  <c r="P197" i="10" s="1"/>
  <c r="Q197" i="10" s="1"/>
  <c r="S199" i="9"/>
  <c r="G199" i="10" s="1"/>
  <c r="A199" i="10"/>
  <c r="P199" i="10" s="1"/>
  <c r="Q199" i="10" s="1"/>
  <c r="J198" i="10"/>
  <c r="L198" i="9"/>
  <c r="Q199" i="9"/>
  <c r="E199" i="10" s="1"/>
  <c r="I199" i="9"/>
  <c r="F199" i="10" s="1"/>
  <c r="P199" i="9"/>
  <c r="D199" i="10" s="1"/>
  <c r="H199" i="9"/>
  <c r="J199" i="9" s="1"/>
  <c r="O199" i="9"/>
  <c r="C199" i="10" s="1"/>
  <c r="G199" i="9"/>
  <c r="A200" i="9"/>
  <c r="M199" i="9"/>
  <c r="E199" i="9"/>
  <c r="D199" i="9"/>
  <c r="C199" i="9"/>
  <c r="B199" i="9"/>
  <c r="N199" i="9"/>
  <c r="K199" i="9"/>
  <c r="F199" i="9"/>
  <c r="S200" i="9" l="1"/>
  <c r="G200" i="10" s="1"/>
  <c r="T200" i="9"/>
  <c r="H200" i="10" s="1"/>
  <c r="A200" i="10"/>
  <c r="P200" i="10" s="1"/>
  <c r="Q200" i="10" s="1"/>
  <c r="R198" i="9"/>
  <c r="B198" i="10"/>
  <c r="R193" i="9"/>
  <c r="J199" i="10"/>
  <c r="A201" i="9"/>
  <c r="M200" i="9"/>
  <c r="E200" i="9"/>
  <c r="D200" i="9"/>
  <c r="K200" i="9"/>
  <c r="C200" i="9"/>
  <c r="Q200" i="9"/>
  <c r="E200" i="10" s="1"/>
  <c r="I200" i="9"/>
  <c r="F200" i="10" s="1"/>
  <c r="P200" i="9"/>
  <c r="D200" i="10" s="1"/>
  <c r="H200" i="9"/>
  <c r="J200" i="9" s="1"/>
  <c r="F200" i="9"/>
  <c r="B200" i="9"/>
  <c r="O200" i="9"/>
  <c r="C200" i="10" s="1"/>
  <c r="N200" i="9"/>
  <c r="G200" i="9"/>
  <c r="L199" i="9"/>
  <c r="J200" i="10" l="1"/>
  <c r="K193" i="10"/>
  <c r="I193" i="10"/>
  <c r="M193" i="10"/>
  <c r="T201" i="9"/>
  <c r="H201" i="10" s="1"/>
  <c r="S201" i="9"/>
  <c r="G201" i="10" s="1"/>
  <c r="A201" i="10"/>
  <c r="M198" i="10"/>
  <c r="I198" i="10"/>
  <c r="K198" i="10"/>
  <c r="R199" i="9"/>
  <c r="B199" i="10"/>
  <c r="R194" i="9"/>
  <c r="L200" i="9"/>
  <c r="Q201" i="9"/>
  <c r="E201" i="10" s="1"/>
  <c r="I201" i="9"/>
  <c r="F201" i="10" s="1"/>
  <c r="P201" i="9"/>
  <c r="D201" i="10" s="1"/>
  <c r="H201" i="9"/>
  <c r="J201" i="9" s="1"/>
  <c r="O201" i="9"/>
  <c r="C201" i="10" s="1"/>
  <c r="J201" i="10" s="1"/>
  <c r="G201" i="9"/>
  <c r="A202" i="9"/>
  <c r="M201" i="9"/>
  <c r="E201" i="9"/>
  <c r="D201" i="9"/>
  <c r="F201" i="9"/>
  <c r="C201" i="9"/>
  <c r="B201" i="9"/>
  <c r="N201" i="9"/>
  <c r="K201" i="9"/>
  <c r="N193" i="10" l="1"/>
  <c r="N198" i="10"/>
  <c r="P201" i="10"/>
  <c r="Q201" i="10" s="1"/>
  <c r="B200" i="10"/>
  <c r="R195" i="9"/>
  <c r="M194" i="10"/>
  <c r="K194" i="10"/>
  <c r="I194" i="10"/>
  <c r="K199" i="10"/>
  <c r="I199" i="10"/>
  <c r="M199" i="10"/>
  <c r="O193" i="10"/>
  <c r="S193" i="10" s="1"/>
  <c r="U193" i="10" s="1"/>
  <c r="B193" i="19" s="1"/>
  <c r="T202" i="9"/>
  <c r="H202" i="10" s="1"/>
  <c r="S202" i="9"/>
  <c r="G202" i="10" s="1"/>
  <c r="A202" i="10"/>
  <c r="P202" i="10" s="1"/>
  <c r="Q202" i="10" s="1"/>
  <c r="O198" i="10"/>
  <c r="S198" i="10" s="1"/>
  <c r="U198" i="10" s="1"/>
  <c r="B198" i="19" s="1"/>
  <c r="A203" i="9"/>
  <c r="M202" i="9"/>
  <c r="E202" i="9"/>
  <c r="D202" i="9"/>
  <c r="K202" i="9"/>
  <c r="C202" i="9"/>
  <c r="Q202" i="9"/>
  <c r="E202" i="10" s="1"/>
  <c r="I202" i="9"/>
  <c r="F202" i="10" s="1"/>
  <c r="P202" i="9"/>
  <c r="D202" i="10" s="1"/>
  <c r="H202" i="9"/>
  <c r="J202" i="9" s="1"/>
  <c r="G202" i="9"/>
  <c r="F202" i="9"/>
  <c r="B202" i="9"/>
  <c r="O202" i="9"/>
  <c r="C202" i="10" s="1"/>
  <c r="N202" i="9"/>
  <c r="L201" i="9"/>
  <c r="N194" i="10" l="1"/>
  <c r="N199" i="10"/>
  <c r="T203" i="9"/>
  <c r="H203" i="10" s="1"/>
  <c r="A203" i="10"/>
  <c r="P203" i="10" s="1"/>
  <c r="Q203" i="10" s="1"/>
  <c r="S203" i="9"/>
  <c r="G203" i="10" s="1"/>
  <c r="O199" i="10"/>
  <c r="S199" i="10" s="1"/>
  <c r="U199" i="10" s="1"/>
  <c r="B199" i="19" s="1"/>
  <c r="B201" i="10"/>
  <c r="R196" i="9"/>
  <c r="O194" i="10"/>
  <c r="S194" i="10" s="1"/>
  <c r="U194" i="10" s="1"/>
  <c r="B194" i="19" s="1"/>
  <c r="K195" i="10"/>
  <c r="M195" i="10"/>
  <c r="I195" i="10"/>
  <c r="N195" i="10" s="1"/>
  <c r="J202" i="10"/>
  <c r="L202" i="9"/>
  <c r="Q203" i="9"/>
  <c r="E203" i="10" s="1"/>
  <c r="I203" i="9"/>
  <c r="F203" i="10" s="1"/>
  <c r="P203" i="9"/>
  <c r="D203" i="10" s="1"/>
  <c r="H203" i="9"/>
  <c r="J203" i="9" s="1"/>
  <c r="O203" i="9"/>
  <c r="C203" i="10" s="1"/>
  <c r="G203" i="9"/>
  <c r="A204" i="9"/>
  <c r="M203" i="9"/>
  <c r="E203" i="9"/>
  <c r="D203" i="9"/>
  <c r="F203" i="9"/>
  <c r="C203" i="9"/>
  <c r="B203" i="9"/>
  <c r="N203" i="9"/>
  <c r="K203" i="9"/>
  <c r="O195" i="10" l="1"/>
  <c r="S195" i="10" s="1"/>
  <c r="U195" i="10" s="1"/>
  <c r="B195" i="19" s="1"/>
  <c r="J203" i="10"/>
  <c r="I196" i="10"/>
  <c r="N196" i="10" s="1"/>
  <c r="M196" i="10"/>
  <c r="K196" i="10"/>
  <c r="B202" i="10"/>
  <c r="R197" i="9"/>
  <c r="S204" i="9"/>
  <c r="G204" i="10" s="1"/>
  <c r="T204" i="9"/>
  <c r="H204" i="10" s="1"/>
  <c r="A204" i="10"/>
  <c r="A205" i="9"/>
  <c r="M204" i="9"/>
  <c r="E204" i="9"/>
  <c r="D204" i="9"/>
  <c r="K204" i="9"/>
  <c r="C204" i="9"/>
  <c r="Q204" i="9"/>
  <c r="E204" i="10" s="1"/>
  <c r="I204" i="9"/>
  <c r="F204" i="10" s="1"/>
  <c r="P204" i="9"/>
  <c r="D204" i="10" s="1"/>
  <c r="H204" i="9"/>
  <c r="J204" i="9" s="1"/>
  <c r="G204" i="9"/>
  <c r="F204" i="9"/>
  <c r="B204" i="9"/>
  <c r="O204" i="9"/>
  <c r="C204" i="10" s="1"/>
  <c r="N204" i="9"/>
  <c r="L203" i="9"/>
  <c r="T205" i="9" l="1"/>
  <c r="H205" i="10" s="1"/>
  <c r="A205" i="10"/>
  <c r="P205" i="10" s="1"/>
  <c r="Q205" i="10" s="1"/>
  <c r="S205" i="9"/>
  <c r="G205" i="10" s="1"/>
  <c r="B203" i="10"/>
  <c r="K197" i="10"/>
  <c r="M197" i="10"/>
  <c r="I197" i="10"/>
  <c r="N197" i="10" s="1"/>
  <c r="J204" i="10"/>
  <c r="O196" i="10"/>
  <c r="S196" i="10" s="1"/>
  <c r="U196" i="10" s="1"/>
  <c r="B196" i="19" s="1"/>
  <c r="L204" i="9"/>
  <c r="N205" i="9"/>
  <c r="F205" i="9"/>
  <c r="A206" i="9"/>
  <c r="M205" i="9"/>
  <c r="E205" i="9"/>
  <c r="K205" i="9"/>
  <c r="I205" i="9"/>
  <c r="F205" i="10" s="1"/>
  <c r="Q205" i="9"/>
  <c r="E205" i="10" s="1"/>
  <c r="G205" i="9"/>
  <c r="P205" i="9"/>
  <c r="D205" i="10" s="1"/>
  <c r="D205" i="9"/>
  <c r="O205" i="9"/>
  <c r="C205" i="10" s="1"/>
  <c r="H205" i="9"/>
  <c r="J205" i="9" s="1"/>
  <c r="C205" i="9"/>
  <c r="B205" i="9"/>
  <c r="O197" i="10" l="1"/>
  <c r="S197" i="10" s="1"/>
  <c r="U197" i="10" s="1"/>
  <c r="B197" i="19" s="1"/>
  <c r="B204" i="10"/>
  <c r="T206" i="9"/>
  <c r="H206" i="10" s="1"/>
  <c r="P204" i="10" s="1"/>
  <c r="Q204" i="10" s="1"/>
  <c r="A206" i="10"/>
  <c r="P206" i="10" s="1"/>
  <c r="Q206" i="10" s="1"/>
  <c r="S206" i="9"/>
  <c r="G206" i="10" s="1"/>
  <c r="L205" i="9"/>
  <c r="J205" i="10"/>
  <c r="B206" i="9"/>
  <c r="Q206" i="9"/>
  <c r="E206" i="10" s="1"/>
  <c r="I206" i="9"/>
  <c r="F206" i="10" s="1"/>
  <c r="M206" i="9"/>
  <c r="C206" i="9"/>
  <c r="A207" i="9"/>
  <c r="K206" i="9"/>
  <c r="G206" i="9"/>
  <c r="P206" i="9"/>
  <c r="D206" i="10" s="1"/>
  <c r="F206" i="9"/>
  <c r="O206" i="9"/>
  <c r="C206" i="10" s="1"/>
  <c r="N206" i="9"/>
  <c r="H206" i="9"/>
  <c r="J206" i="9" s="1"/>
  <c r="E206" i="9"/>
  <c r="D206" i="9"/>
  <c r="J206" i="10" l="1"/>
  <c r="R205" i="9"/>
  <c r="B205" i="10"/>
  <c r="R200" i="9"/>
  <c r="T207" i="9"/>
  <c r="H207" i="10" s="1"/>
  <c r="S207" i="9"/>
  <c r="G207" i="10" s="1"/>
  <c r="A207" i="10"/>
  <c r="P207" i="10" s="1"/>
  <c r="Q207" i="10" s="1"/>
  <c r="N207" i="9"/>
  <c r="F207" i="9"/>
  <c r="A208" i="9"/>
  <c r="M207" i="9"/>
  <c r="E207" i="9"/>
  <c r="O207" i="9"/>
  <c r="C207" i="10" s="1"/>
  <c r="C207" i="9"/>
  <c r="B207" i="9"/>
  <c r="K207" i="9"/>
  <c r="I207" i="9"/>
  <c r="F207" i="10" s="1"/>
  <c r="H207" i="9"/>
  <c r="J207" i="9" s="1"/>
  <c r="L207" i="9" s="1"/>
  <c r="D207" i="9"/>
  <c r="Q207" i="9"/>
  <c r="E207" i="10" s="1"/>
  <c r="P207" i="9"/>
  <c r="D207" i="10" s="1"/>
  <c r="G207" i="9"/>
  <c r="L206" i="9"/>
  <c r="M205" i="10" l="1"/>
  <c r="K205" i="10"/>
  <c r="I205" i="10"/>
  <c r="N205" i="10" s="1"/>
  <c r="J207" i="10"/>
  <c r="I200" i="10"/>
  <c r="N200" i="10" s="1"/>
  <c r="K200" i="10"/>
  <c r="M200" i="10"/>
  <c r="B207" i="10"/>
  <c r="R202" i="9"/>
  <c r="R206" i="9"/>
  <c r="B206" i="10"/>
  <c r="R201" i="9"/>
  <c r="S208" i="9"/>
  <c r="G208" i="10" s="1"/>
  <c r="T208" i="9"/>
  <c r="H208" i="10" s="1"/>
  <c r="A208" i="10"/>
  <c r="P208" i="10" s="1"/>
  <c r="Q208" i="10" s="1"/>
  <c r="B208" i="9"/>
  <c r="Q208" i="9"/>
  <c r="E208" i="10" s="1"/>
  <c r="I208" i="9"/>
  <c r="F208" i="10" s="1"/>
  <c r="O208" i="9"/>
  <c r="C208" i="10" s="1"/>
  <c r="E208" i="9"/>
  <c r="N208" i="9"/>
  <c r="D208" i="9"/>
  <c r="M208" i="9"/>
  <c r="C208" i="9"/>
  <c r="A209" i="9"/>
  <c r="K208" i="9"/>
  <c r="H208" i="9"/>
  <c r="J208" i="9" s="1"/>
  <c r="G208" i="9"/>
  <c r="F208" i="9"/>
  <c r="P208" i="9"/>
  <c r="D208" i="10" s="1"/>
  <c r="O205" i="10" l="1"/>
  <c r="S205" i="10" s="1"/>
  <c r="U205" i="10" s="1"/>
  <c r="B205" i="19" s="1"/>
  <c r="O200" i="10"/>
  <c r="S200" i="10" s="1"/>
  <c r="U200" i="10" s="1"/>
  <c r="B200" i="19" s="1"/>
  <c r="S209" i="9"/>
  <c r="G209" i="10" s="1"/>
  <c r="T209" i="9"/>
  <c r="H209" i="10" s="1"/>
  <c r="A209" i="10"/>
  <c r="P209" i="10" s="1"/>
  <c r="Q209" i="10" s="1"/>
  <c r="K201" i="10"/>
  <c r="I201" i="10"/>
  <c r="N201" i="10" s="1"/>
  <c r="M201" i="10"/>
  <c r="M206" i="10"/>
  <c r="K206" i="10"/>
  <c r="I206" i="10"/>
  <c r="N206" i="10" s="1"/>
  <c r="K202" i="10"/>
  <c r="M202" i="10"/>
  <c r="I202" i="10"/>
  <c r="N202" i="10" s="1"/>
  <c r="J208" i="10"/>
  <c r="L208" i="9"/>
  <c r="N209" i="9"/>
  <c r="F209" i="9"/>
  <c r="A210" i="9"/>
  <c r="M209" i="9"/>
  <c r="E209" i="9"/>
  <c r="Q209" i="9"/>
  <c r="E209" i="10" s="1"/>
  <c r="G209" i="9"/>
  <c r="P209" i="9"/>
  <c r="D209" i="10" s="1"/>
  <c r="D209" i="9"/>
  <c r="O209" i="9"/>
  <c r="C209" i="10" s="1"/>
  <c r="C209" i="9"/>
  <c r="K209" i="9"/>
  <c r="I209" i="9"/>
  <c r="F209" i="10" s="1"/>
  <c r="H209" i="9"/>
  <c r="J209" i="9" s="1"/>
  <c r="B209" i="9"/>
  <c r="J209" i="10" l="1"/>
  <c r="O202" i="10"/>
  <c r="S202" i="10" s="1"/>
  <c r="U202" i="10" s="1"/>
  <c r="B202" i="19" s="1"/>
  <c r="O206" i="10"/>
  <c r="S206" i="10" s="1"/>
  <c r="U206" i="10" s="1"/>
  <c r="B206" i="19" s="1"/>
  <c r="B208" i="10"/>
  <c r="R203" i="9"/>
  <c r="O201" i="10"/>
  <c r="S201" i="10" s="1"/>
  <c r="U201" i="10" s="1"/>
  <c r="B201" i="19" s="1"/>
  <c r="S210" i="9"/>
  <c r="G210" i="10" s="1"/>
  <c r="T210" i="9"/>
  <c r="H210" i="10" s="1"/>
  <c r="A210" i="10"/>
  <c r="P210" i="10" s="1"/>
  <c r="Q210" i="10" s="1"/>
  <c r="B210" i="9"/>
  <c r="Q210" i="9"/>
  <c r="E210" i="10" s="1"/>
  <c r="I210" i="9"/>
  <c r="F210" i="10" s="1"/>
  <c r="G210" i="9"/>
  <c r="P210" i="9"/>
  <c r="D210" i="10" s="1"/>
  <c r="F210" i="9"/>
  <c r="O210" i="9"/>
  <c r="C210" i="10" s="1"/>
  <c r="E210" i="9"/>
  <c r="M210" i="9"/>
  <c r="C210" i="9"/>
  <c r="A211" i="9"/>
  <c r="N210" i="9"/>
  <c r="K210" i="9"/>
  <c r="H210" i="9"/>
  <c r="J210" i="9" s="1"/>
  <c r="D210" i="9"/>
  <c r="L209" i="9"/>
  <c r="M203" i="10" l="1"/>
  <c r="K203" i="10"/>
  <c r="I203" i="10"/>
  <c r="N203" i="10" s="1"/>
  <c r="T211" i="9"/>
  <c r="H211" i="10" s="1"/>
  <c r="S211" i="9"/>
  <c r="G211" i="10" s="1"/>
  <c r="A211" i="10"/>
  <c r="B209" i="10"/>
  <c r="R204" i="9"/>
  <c r="J210" i="10"/>
  <c r="N211" i="9"/>
  <c r="F211" i="9"/>
  <c r="A212" i="9"/>
  <c r="M211" i="9"/>
  <c r="E211" i="9"/>
  <c r="I211" i="9"/>
  <c r="F211" i="10" s="1"/>
  <c r="H211" i="9"/>
  <c r="J211" i="9" s="1"/>
  <c r="Q211" i="9"/>
  <c r="E211" i="10" s="1"/>
  <c r="G211" i="9"/>
  <c r="O211" i="9"/>
  <c r="C211" i="10" s="1"/>
  <c r="C211" i="9"/>
  <c r="B211" i="9"/>
  <c r="D211" i="9"/>
  <c r="P211" i="9"/>
  <c r="D211" i="10" s="1"/>
  <c r="K211" i="9"/>
  <c r="L210" i="9"/>
  <c r="O203" i="10" l="1"/>
  <c r="S203" i="10" s="1"/>
  <c r="U203" i="10" s="1"/>
  <c r="B203" i="19" s="1"/>
  <c r="B210" i="10"/>
  <c r="T212" i="9"/>
  <c r="H212" i="10" s="1"/>
  <c r="S212" i="9"/>
  <c r="G212" i="10" s="1"/>
  <c r="A212" i="10"/>
  <c r="P212" i="10" s="1"/>
  <c r="Q212" i="10" s="1"/>
  <c r="I204" i="10"/>
  <c r="N204" i="10" s="1"/>
  <c r="M204" i="10"/>
  <c r="K204" i="10"/>
  <c r="J211" i="10"/>
  <c r="B212" i="9"/>
  <c r="Q212" i="9"/>
  <c r="E212" i="10" s="1"/>
  <c r="I212" i="9"/>
  <c r="F212" i="10" s="1"/>
  <c r="A213" i="9"/>
  <c r="K212" i="9"/>
  <c r="H212" i="9"/>
  <c r="J212" i="9" s="1"/>
  <c r="G212" i="9"/>
  <c r="O212" i="9"/>
  <c r="C212" i="10" s="1"/>
  <c r="E212" i="9"/>
  <c r="N212" i="9"/>
  <c r="D212" i="9"/>
  <c r="P212" i="9"/>
  <c r="D212" i="10" s="1"/>
  <c r="M212" i="9"/>
  <c r="F212" i="9"/>
  <c r="C212" i="9"/>
  <c r="L211" i="9"/>
  <c r="J212" i="10" l="1"/>
  <c r="B211" i="10"/>
  <c r="T213" i="9"/>
  <c r="H213" i="10" s="1"/>
  <c r="P211" i="10" s="1"/>
  <c r="Q211" i="10" s="1"/>
  <c r="S213" i="9"/>
  <c r="G213" i="10" s="1"/>
  <c r="A213" i="10"/>
  <c r="P213" i="10" s="1"/>
  <c r="Q213" i="10" s="1"/>
  <c r="O204" i="10"/>
  <c r="S204" i="10" s="1"/>
  <c r="U204" i="10" s="1"/>
  <c r="B204" i="19" s="1"/>
  <c r="L212" i="9"/>
  <c r="N213" i="9"/>
  <c r="F213" i="9"/>
  <c r="A214" i="9"/>
  <c r="M213" i="9"/>
  <c r="E213" i="9"/>
  <c r="K213" i="9"/>
  <c r="I213" i="9"/>
  <c r="F213" i="10" s="1"/>
  <c r="Q213" i="9"/>
  <c r="E213" i="10" s="1"/>
  <c r="G213" i="9"/>
  <c r="P213" i="9"/>
  <c r="D213" i="10" s="1"/>
  <c r="D213" i="9"/>
  <c r="O213" i="9"/>
  <c r="C213" i="10" s="1"/>
  <c r="H213" i="9"/>
  <c r="J213" i="9" s="1"/>
  <c r="C213" i="9"/>
  <c r="B213" i="9"/>
  <c r="J213" i="10" l="1"/>
  <c r="R212" i="9"/>
  <c r="B212" i="10"/>
  <c r="R207" i="9"/>
  <c r="T214" i="9"/>
  <c r="H214" i="10" s="1"/>
  <c r="S214" i="9"/>
  <c r="G214" i="10" s="1"/>
  <c r="A214" i="10"/>
  <c r="P214" i="10" s="1"/>
  <c r="Q214" i="10" s="1"/>
  <c r="B214" i="9"/>
  <c r="Q214" i="9"/>
  <c r="E214" i="10" s="1"/>
  <c r="I214" i="9"/>
  <c r="F214" i="10" s="1"/>
  <c r="M214" i="9"/>
  <c r="C214" i="9"/>
  <c r="A215" i="9"/>
  <c r="K214" i="9"/>
  <c r="G214" i="9"/>
  <c r="P214" i="9"/>
  <c r="D214" i="10" s="1"/>
  <c r="F214" i="9"/>
  <c r="E214" i="9"/>
  <c r="D214" i="9"/>
  <c r="O214" i="9"/>
  <c r="C214" i="10" s="1"/>
  <c r="N214" i="9"/>
  <c r="H214" i="9"/>
  <c r="J214" i="9" s="1"/>
  <c r="L213" i="9"/>
  <c r="T215" i="9" l="1"/>
  <c r="H215" i="10" s="1"/>
  <c r="S215" i="9"/>
  <c r="G215" i="10" s="1"/>
  <c r="A215" i="10"/>
  <c r="P215" i="10" s="1"/>
  <c r="Q215" i="10" s="1"/>
  <c r="M207" i="10"/>
  <c r="K207" i="10"/>
  <c r="I207" i="10"/>
  <c r="N207" i="10" s="1"/>
  <c r="R213" i="9"/>
  <c r="B213" i="10"/>
  <c r="R208" i="9"/>
  <c r="J214" i="10"/>
  <c r="I212" i="10"/>
  <c r="K212" i="10"/>
  <c r="M212" i="10"/>
  <c r="N215" i="9"/>
  <c r="F215" i="9"/>
  <c r="A216" i="9"/>
  <c r="M215" i="9"/>
  <c r="E215" i="9"/>
  <c r="O215" i="9"/>
  <c r="C215" i="10" s="1"/>
  <c r="C215" i="9"/>
  <c r="B215" i="9"/>
  <c r="K215" i="9"/>
  <c r="I215" i="9"/>
  <c r="F215" i="10" s="1"/>
  <c r="H215" i="9"/>
  <c r="J215" i="9" s="1"/>
  <c r="L215" i="9" s="1"/>
  <c r="P215" i="9"/>
  <c r="D215" i="10" s="1"/>
  <c r="G215" i="9"/>
  <c r="D215" i="9"/>
  <c r="Q215" i="9"/>
  <c r="E215" i="10" s="1"/>
  <c r="L214" i="9"/>
  <c r="N212" i="10" l="1"/>
  <c r="O207" i="10"/>
  <c r="S207" i="10" s="1"/>
  <c r="U207" i="10" s="1"/>
  <c r="B207" i="19" s="1"/>
  <c r="O212" i="10"/>
  <c r="S212" i="10" s="1"/>
  <c r="U212" i="10" s="1"/>
  <c r="B212" i="19" s="1"/>
  <c r="K213" i="10"/>
  <c r="I213" i="10"/>
  <c r="M213" i="10"/>
  <c r="B214" i="10"/>
  <c r="R209" i="9"/>
  <c r="B215" i="10"/>
  <c r="R210" i="9"/>
  <c r="S216" i="9"/>
  <c r="G216" i="10" s="1"/>
  <c r="T216" i="9"/>
  <c r="H216" i="10" s="1"/>
  <c r="A216" i="10"/>
  <c r="P216" i="10" s="1"/>
  <c r="Q216" i="10" s="1"/>
  <c r="I208" i="10"/>
  <c r="N208" i="10" s="1"/>
  <c r="K208" i="10"/>
  <c r="M208" i="10"/>
  <c r="J215" i="10"/>
  <c r="B216" i="9"/>
  <c r="Q216" i="9"/>
  <c r="E216" i="10" s="1"/>
  <c r="I216" i="9"/>
  <c r="F216" i="10" s="1"/>
  <c r="O216" i="9"/>
  <c r="C216" i="10" s="1"/>
  <c r="E216" i="9"/>
  <c r="N216" i="9"/>
  <c r="D216" i="9"/>
  <c r="M216" i="9"/>
  <c r="C216" i="9"/>
  <c r="A217" i="9"/>
  <c r="K216" i="9"/>
  <c r="H216" i="9"/>
  <c r="J216" i="9" s="1"/>
  <c r="P216" i="9"/>
  <c r="D216" i="10" s="1"/>
  <c r="G216" i="9"/>
  <c r="F216" i="9"/>
  <c r="N213" i="10" l="1"/>
  <c r="O213" i="10"/>
  <c r="S213" i="10" s="1"/>
  <c r="U213" i="10" s="1"/>
  <c r="B213" i="19" s="1"/>
  <c r="O208" i="10"/>
  <c r="S208" i="10" s="1"/>
  <c r="U208" i="10" s="1"/>
  <c r="B208" i="19" s="1"/>
  <c r="S217" i="9"/>
  <c r="G217" i="10" s="1"/>
  <c r="T217" i="9"/>
  <c r="H217" i="10" s="1"/>
  <c r="A217" i="10"/>
  <c r="P217" i="10" s="1"/>
  <c r="Q217" i="10" s="1"/>
  <c r="M209" i="10"/>
  <c r="K209" i="10"/>
  <c r="I209" i="10"/>
  <c r="J216" i="10"/>
  <c r="I210" i="10"/>
  <c r="K210" i="10"/>
  <c r="M210" i="10"/>
  <c r="L216" i="9"/>
  <c r="N217" i="9"/>
  <c r="F217" i="9"/>
  <c r="A218" i="9"/>
  <c r="M217" i="9"/>
  <c r="E217" i="9"/>
  <c r="Q217" i="9"/>
  <c r="E217" i="10" s="1"/>
  <c r="G217" i="9"/>
  <c r="P217" i="9"/>
  <c r="D217" i="10" s="1"/>
  <c r="D217" i="9"/>
  <c r="O217" i="9"/>
  <c r="C217" i="10" s="1"/>
  <c r="C217" i="9"/>
  <c r="K217" i="9"/>
  <c r="B217" i="9"/>
  <c r="I217" i="9"/>
  <c r="F217" i="10" s="1"/>
  <c r="H217" i="9"/>
  <c r="J217" i="9" s="1"/>
  <c r="N210" i="10" l="1"/>
  <c r="N209" i="10"/>
  <c r="O209" i="10"/>
  <c r="S209" i="10" s="1"/>
  <c r="U209" i="10" s="1"/>
  <c r="B209" i="19" s="1"/>
  <c r="O210" i="10"/>
  <c r="S210" i="10" s="1"/>
  <c r="U210" i="10" s="1"/>
  <c r="B210" i="19" s="1"/>
  <c r="S218" i="9"/>
  <c r="G218" i="10" s="1"/>
  <c r="T218" i="9"/>
  <c r="H218" i="10" s="1"/>
  <c r="A218" i="10"/>
  <c r="J217" i="10"/>
  <c r="B216" i="10"/>
  <c r="R211" i="9"/>
  <c r="B218" i="9"/>
  <c r="Q218" i="9"/>
  <c r="E218" i="10" s="1"/>
  <c r="I218" i="9"/>
  <c r="F218" i="10" s="1"/>
  <c r="G218" i="9"/>
  <c r="P218" i="9"/>
  <c r="D218" i="10" s="1"/>
  <c r="F218" i="9"/>
  <c r="O218" i="9"/>
  <c r="C218" i="10" s="1"/>
  <c r="E218" i="9"/>
  <c r="M218" i="9"/>
  <c r="C218" i="9"/>
  <c r="K218" i="9"/>
  <c r="H218" i="9"/>
  <c r="J218" i="9" s="1"/>
  <c r="D218" i="9"/>
  <c r="A219" i="9"/>
  <c r="N218" i="9"/>
  <c r="L217" i="9"/>
  <c r="B217" i="10" l="1"/>
  <c r="K211" i="10"/>
  <c r="I211" i="10"/>
  <c r="N211" i="10" s="1"/>
  <c r="M211" i="10"/>
  <c r="J218" i="10"/>
  <c r="T219" i="9"/>
  <c r="H219" i="10" s="1"/>
  <c r="S219" i="9"/>
  <c r="G219" i="10" s="1"/>
  <c r="A219" i="10"/>
  <c r="P219" i="10" s="1"/>
  <c r="Q219" i="10" s="1"/>
  <c r="L218" i="9"/>
  <c r="N219" i="9"/>
  <c r="F219" i="9"/>
  <c r="A220" i="9"/>
  <c r="M219" i="9"/>
  <c r="E219" i="9"/>
  <c r="I219" i="9"/>
  <c r="F219" i="10" s="1"/>
  <c r="H219" i="9"/>
  <c r="J219" i="9" s="1"/>
  <c r="Q219" i="9"/>
  <c r="E219" i="10" s="1"/>
  <c r="G219" i="9"/>
  <c r="O219" i="9"/>
  <c r="C219" i="10" s="1"/>
  <c r="C219" i="9"/>
  <c r="B219" i="9"/>
  <c r="P219" i="9"/>
  <c r="D219" i="10" s="1"/>
  <c r="K219" i="9"/>
  <c r="D219" i="9"/>
  <c r="O211" i="10" l="1"/>
  <c r="S211" i="10" s="1"/>
  <c r="U211" i="10" s="1"/>
  <c r="B211" i="19" s="1"/>
  <c r="B218" i="10"/>
  <c r="S220" i="9"/>
  <c r="G220" i="10" s="1"/>
  <c r="T220" i="9"/>
  <c r="H220" i="10" s="1"/>
  <c r="P218" i="10" s="1"/>
  <c r="Q218" i="10" s="1"/>
  <c r="A220" i="10"/>
  <c r="P220" i="10" s="1"/>
  <c r="Q220" i="10" s="1"/>
  <c r="J219" i="10"/>
  <c r="B220" i="9"/>
  <c r="Q220" i="9"/>
  <c r="E220" i="10" s="1"/>
  <c r="I220" i="9"/>
  <c r="F220" i="10" s="1"/>
  <c r="A221" i="9"/>
  <c r="K220" i="9"/>
  <c r="H220" i="9"/>
  <c r="J220" i="9" s="1"/>
  <c r="L220" i="9" s="1"/>
  <c r="G220" i="9"/>
  <c r="O220" i="9"/>
  <c r="C220" i="10" s="1"/>
  <c r="E220" i="9"/>
  <c r="N220" i="9"/>
  <c r="D220" i="9"/>
  <c r="P220" i="9"/>
  <c r="D220" i="10" s="1"/>
  <c r="M220" i="9"/>
  <c r="F220" i="9"/>
  <c r="C220" i="9"/>
  <c r="L219" i="9"/>
  <c r="T221" i="9" l="1"/>
  <c r="H221" i="10" s="1"/>
  <c r="S221" i="9"/>
  <c r="G221" i="10" s="1"/>
  <c r="A221" i="10"/>
  <c r="P221" i="10" s="1"/>
  <c r="Q221" i="10" s="1"/>
  <c r="R220" i="9"/>
  <c r="B220" i="10"/>
  <c r="R215" i="9"/>
  <c r="J220" i="10"/>
  <c r="M220" i="10"/>
  <c r="R219" i="9"/>
  <c r="B219" i="10"/>
  <c r="R214" i="9"/>
  <c r="N221" i="9"/>
  <c r="F221" i="9"/>
  <c r="A222" i="9"/>
  <c r="M221" i="9"/>
  <c r="E221" i="9"/>
  <c r="K221" i="9"/>
  <c r="I221" i="9"/>
  <c r="F221" i="10" s="1"/>
  <c r="Q221" i="9"/>
  <c r="E221" i="10" s="1"/>
  <c r="G221" i="9"/>
  <c r="P221" i="9"/>
  <c r="D221" i="10" s="1"/>
  <c r="D221" i="9"/>
  <c r="H221" i="9"/>
  <c r="J221" i="9" s="1"/>
  <c r="C221" i="9"/>
  <c r="B221" i="9"/>
  <c r="O221" i="9"/>
  <c r="C221" i="10" s="1"/>
  <c r="J221" i="10" l="1"/>
  <c r="I220" i="10"/>
  <c r="I214" i="10"/>
  <c r="N214" i="10" s="1"/>
  <c r="K214" i="10"/>
  <c r="M214" i="10"/>
  <c r="L221" i="9"/>
  <c r="K220" i="10"/>
  <c r="M215" i="10"/>
  <c r="K215" i="10"/>
  <c r="I215" i="10"/>
  <c r="N215" i="10" s="1"/>
  <c r="I219" i="10"/>
  <c r="K219" i="10"/>
  <c r="M219" i="10"/>
  <c r="T222" i="9"/>
  <c r="H222" i="10" s="1"/>
  <c r="S222" i="9"/>
  <c r="G222" i="10" s="1"/>
  <c r="A222" i="10"/>
  <c r="P222" i="10" s="1"/>
  <c r="Q222" i="10" s="1"/>
  <c r="B222" i="9"/>
  <c r="Q222" i="9"/>
  <c r="E222" i="10" s="1"/>
  <c r="I222" i="9"/>
  <c r="F222" i="10" s="1"/>
  <c r="M222" i="9"/>
  <c r="C222" i="9"/>
  <c r="A223" i="9"/>
  <c r="K222" i="9"/>
  <c r="G222" i="9"/>
  <c r="P222" i="9"/>
  <c r="D222" i="10" s="1"/>
  <c r="F222" i="9"/>
  <c r="O222" i="9"/>
  <c r="C222" i="10" s="1"/>
  <c r="N222" i="9"/>
  <c r="H222" i="9"/>
  <c r="J222" i="9" s="1"/>
  <c r="E222" i="9"/>
  <c r="D222" i="9"/>
  <c r="N219" i="10" l="1"/>
  <c r="N220" i="10"/>
  <c r="O219" i="10"/>
  <c r="S219" i="10" s="1"/>
  <c r="U219" i="10" s="1"/>
  <c r="B219" i="19" s="1"/>
  <c r="O215" i="10"/>
  <c r="S215" i="10" s="1"/>
  <c r="U215" i="10" s="1"/>
  <c r="B215" i="19" s="1"/>
  <c r="O214" i="10"/>
  <c r="S214" i="10" s="1"/>
  <c r="U214" i="10" s="1"/>
  <c r="B214" i="19" s="1"/>
  <c r="T223" i="9"/>
  <c r="H223" i="10" s="1"/>
  <c r="S223" i="9"/>
  <c r="G223" i="10" s="1"/>
  <c r="A223" i="10"/>
  <c r="P223" i="10" s="1"/>
  <c r="Q223" i="10" s="1"/>
  <c r="B221" i="10"/>
  <c r="R216" i="9"/>
  <c r="J222" i="10"/>
  <c r="O220" i="10"/>
  <c r="S220" i="10" s="1"/>
  <c r="U220" i="10" s="1"/>
  <c r="B220" i="19" s="1"/>
  <c r="L222" i="9"/>
  <c r="N223" i="9"/>
  <c r="F223" i="9"/>
  <c r="A224" i="9"/>
  <c r="M223" i="9"/>
  <c r="E223" i="9"/>
  <c r="O223" i="9"/>
  <c r="C223" i="10" s="1"/>
  <c r="C223" i="9"/>
  <c r="B223" i="9"/>
  <c r="K223" i="9"/>
  <c r="I223" i="9"/>
  <c r="F223" i="10" s="1"/>
  <c r="H223" i="9"/>
  <c r="J223" i="9" s="1"/>
  <c r="Q223" i="9"/>
  <c r="E223" i="10" s="1"/>
  <c r="P223" i="9"/>
  <c r="D223" i="10" s="1"/>
  <c r="G223" i="9"/>
  <c r="D223" i="9"/>
  <c r="B222" i="10" l="1"/>
  <c r="R217" i="9"/>
  <c r="J223" i="10"/>
  <c r="I216" i="10"/>
  <c r="K216" i="10"/>
  <c r="M216" i="10"/>
  <c r="S224" i="9"/>
  <c r="G224" i="10" s="1"/>
  <c r="T224" i="9"/>
  <c r="H224" i="10" s="1"/>
  <c r="A224" i="10"/>
  <c r="P224" i="10" s="1"/>
  <c r="Q224" i="10" s="1"/>
  <c r="B224" i="9"/>
  <c r="Q224" i="9"/>
  <c r="E224" i="10" s="1"/>
  <c r="I224" i="9"/>
  <c r="F224" i="10" s="1"/>
  <c r="O224" i="9"/>
  <c r="C224" i="10" s="1"/>
  <c r="E224" i="9"/>
  <c r="N224" i="9"/>
  <c r="D224" i="9"/>
  <c r="M224" i="9"/>
  <c r="C224" i="9"/>
  <c r="A225" i="9"/>
  <c r="K224" i="9"/>
  <c r="H224" i="9"/>
  <c r="J224" i="9" s="1"/>
  <c r="F224" i="9"/>
  <c r="P224" i="9"/>
  <c r="D224" i="10" s="1"/>
  <c r="G224" i="9"/>
  <c r="L223" i="9"/>
  <c r="N216" i="10" l="1"/>
  <c r="I217" i="10"/>
  <c r="M217" i="10"/>
  <c r="K217" i="10"/>
  <c r="L224" i="9"/>
  <c r="J224" i="10"/>
  <c r="B223" i="10"/>
  <c r="R218" i="9"/>
  <c r="S225" i="9"/>
  <c r="G225" i="10" s="1"/>
  <c r="T225" i="9"/>
  <c r="H225" i="10" s="1"/>
  <c r="A225" i="10"/>
  <c r="O216" i="10"/>
  <c r="S216" i="10" s="1"/>
  <c r="U216" i="10" s="1"/>
  <c r="B216" i="19" s="1"/>
  <c r="N225" i="9"/>
  <c r="F225" i="9"/>
  <c r="A226" i="9"/>
  <c r="M225" i="9"/>
  <c r="E225" i="9"/>
  <c r="Q225" i="9"/>
  <c r="E225" i="10" s="1"/>
  <c r="G225" i="9"/>
  <c r="P225" i="9"/>
  <c r="D225" i="10" s="1"/>
  <c r="D225" i="9"/>
  <c r="O225" i="9"/>
  <c r="C225" i="10" s="1"/>
  <c r="C225" i="9"/>
  <c r="K225" i="9"/>
  <c r="I225" i="9"/>
  <c r="F225" i="10" s="1"/>
  <c r="H225" i="9"/>
  <c r="J225" i="9" s="1"/>
  <c r="L225" i="9" s="1"/>
  <c r="B225" i="9"/>
  <c r="N217" i="10" l="1"/>
  <c r="J225" i="10"/>
  <c r="B225" i="10"/>
  <c r="B224" i="10"/>
  <c r="T226" i="9"/>
  <c r="H226" i="10" s="1"/>
  <c r="S226" i="9"/>
  <c r="G226" i="10" s="1"/>
  <c r="A226" i="10"/>
  <c r="P226" i="10" s="1"/>
  <c r="Q226" i="10" s="1"/>
  <c r="K218" i="10"/>
  <c r="M218" i="10"/>
  <c r="I218" i="10"/>
  <c r="O217" i="10"/>
  <c r="S217" i="10" s="1"/>
  <c r="U217" i="10" s="1"/>
  <c r="B217" i="19" s="1"/>
  <c r="B226" i="9"/>
  <c r="Q226" i="9"/>
  <c r="E226" i="10" s="1"/>
  <c r="I226" i="9"/>
  <c r="F226" i="10" s="1"/>
  <c r="G226" i="9"/>
  <c r="P226" i="9"/>
  <c r="D226" i="10" s="1"/>
  <c r="F226" i="9"/>
  <c r="O226" i="9"/>
  <c r="C226" i="10" s="1"/>
  <c r="J226" i="10" s="1"/>
  <c r="E226" i="9"/>
  <c r="M226" i="9"/>
  <c r="C226" i="9"/>
  <c r="A227" i="9"/>
  <c r="N226" i="9"/>
  <c r="K226" i="9"/>
  <c r="H226" i="9"/>
  <c r="J226" i="9" s="1"/>
  <c r="D226" i="9"/>
  <c r="N218" i="10" l="1"/>
  <c r="O218" i="10"/>
  <c r="S218" i="10" s="1"/>
  <c r="U218" i="10" s="1"/>
  <c r="B218" i="19" s="1"/>
  <c r="T227" i="9"/>
  <c r="H227" i="10" s="1"/>
  <c r="P225" i="10" s="1"/>
  <c r="Q225" i="10" s="1"/>
  <c r="S227" i="9"/>
  <c r="G227" i="10" s="1"/>
  <c r="A227" i="10"/>
  <c r="P227" i="10" s="1"/>
  <c r="Q227" i="10" s="1"/>
  <c r="N227" i="9"/>
  <c r="F227" i="9"/>
  <c r="A228" i="9"/>
  <c r="M227" i="9"/>
  <c r="E227" i="9"/>
  <c r="I227" i="9"/>
  <c r="F227" i="10" s="1"/>
  <c r="H227" i="9"/>
  <c r="J227" i="9" s="1"/>
  <c r="Q227" i="9"/>
  <c r="E227" i="10" s="1"/>
  <c r="G227" i="9"/>
  <c r="O227" i="9"/>
  <c r="C227" i="10" s="1"/>
  <c r="C227" i="9"/>
  <c r="B227" i="9"/>
  <c r="P227" i="9"/>
  <c r="D227" i="10" s="1"/>
  <c r="K227" i="9"/>
  <c r="D227" i="9"/>
  <c r="L226" i="9"/>
  <c r="R226" i="9" l="1"/>
  <c r="B226" i="10"/>
  <c r="R221" i="9"/>
  <c r="S228" i="9"/>
  <c r="G228" i="10" s="1"/>
  <c r="T228" i="9"/>
  <c r="H228" i="10" s="1"/>
  <c r="A228" i="10"/>
  <c r="P228" i="10" s="1"/>
  <c r="Q228" i="10" s="1"/>
  <c r="J227" i="10"/>
  <c r="B228" i="9"/>
  <c r="Q228" i="9"/>
  <c r="E228" i="10" s="1"/>
  <c r="I228" i="9"/>
  <c r="F228" i="10" s="1"/>
  <c r="A229" i="9"/>
  <c r="K228" i="9"/>
  <c r="H228" i="9"/>
  <c r="J228" i="9" s="1"/>
  <c r="G228" i="9"/>
  <c r="O228" i="9"/>
  <c r="C228" i="10" s="1"/>
  <c r="E228" i="9"/>
  <c r="N228" i="9"/>
  <c r="D228" i="9"/>
  <c r="F228" i="9"/>
  <c r="C228" i="9"/>
  <c r="P228" i="9"/>
  <c r="D228" i="10" s="1"/>
  <c r="M228" i="9"/>
  <c r="L227" i="9"/>
  <c r="M221" i="10" l="1"/>
  <c r="K221" i="10"/>
  <c r="I221" i="10"/>
  <c r="N221" i="10" s="1"/>
  <c r="K226" i="10"/>
  <c r="I226" i="10"/>
  <c r="M226" i="10"/>
  <c r="R227" i="9"/>
  <c r="B227" i="10"/>
  <c r="R222" i="9"/>
  <c r="T229" i="9"/>
  <c r="H229" i="10" s="1"/>
  <c r="A229" i="10"/>
  <c r="P229" i="10" s="1"/>
  <c r="Q229" i="10" s="1"/>
  <c r="S229" i="9"/>
  <c r="G229" i="10" s="1"/>
  <c r="J228" i="10"/>
  <c r="L228" i="9"/>
  <c r="Q229" i="9"/>
  <c r="E229" i="10" s="1"/>
  <c r="I229" i="9"/>
  <c r="F229" i="10" s="1"/>
  <c r="N229" i="9"/>
  <c r="F229" i="9"/>
  <c r="A230" i="9"/>
  <c r="M229" i="9"/>
  <c r="E229" i="9"/>
  <c r="O229" i="9"/>
  <c r="C229" i="10" s="1"/>
  <c r="K229" i="9"/>
  <c r="G229" i="9"/>
  <c r="D229" i="9"/>
  <c r="P229" i="9"/>
  <c r="D229" i="10" s="1"/>
  <c r="H229" i="9"/>
  <c r="J229" i="9" s="1"/>
  <c r="C229" i="9"/>
  <c r="B229" i="9"/>
  <c r="N226" i="10" l="1"/>
  <c r="O226" i="10" s="1"/>
  <c r="S226" i="10" s="1"/>
  <c r="U226" i="10" s="1"/>
  <c r="B226" i="19" s="1"/>
  <c r="O221" i="10"/>
  <c r="S221" i="10" s="1"/>
  <c r="U221" i="10" s="1"/>
  <c r="B221" i="19" s="1"/>
  <c r="J229" i="10"/>
  <c r="B228" i="10"/>
  <c r="R223" i="9"/>
  <c r="M222" i="10"/>
  <c r="K222" i="10"/>
  <c r="I222" i="10"/>
  <c r="T230" i="9"/>
  <c r="H230" i="10" s="1"/>
  <c r="S230" i="9"/>
  <c r="G230" i="10" s="1"/>
  <c r="A230" i="10"/>
  <c r="P230" i="10" s="1"/>
  <c r="Q230" i="10" s="1"/>
  <c r="M227" i="10"/>
  <c r="K227" i="10"/>
  <c r="I227" i="10"/>
  <c r="N227" i="10" s="1"/>
  <c r="N230" i="9"/>
  <c r="F230" i="9"/>
  <c r="A231" i="9"/>
  <c r="M230" i="9"/>
  <c r="E230" i="9"/>
  <c r="B230" i="9"/>
  <c r="Q230" i="9"/>
  <c r="E230" i="10" s="1"/>
  <c r="I230" i="9"/>
  <c r="F230" i="10" s="1"/>
  <c r="K230" i="9"/>
  <c r="H230" i="9"/>
  <c r="J230" i="9" s="1"/>
  <c r="G230" i="9"/>
  <c r="C230" i="9"/>
  <c r="P230" i="9"/>
  <c r="D230" i="10" s="1"/>
  <c r="D230" i="9"/>
  <c r="O230" i="9"/>
  <c r="C230" i="10" s="1"/>
  <c r="L229" i="9"/>
  <c r="N222" i="10" l="1"/>
  <c r="O227" i="10"/>
  <c r="S227" i="10" s="1"/>
  <c r="U227" i="10" s="1"/>
  <c r="B227" i="19" s="1"/>
  <c r="O222" i="10"/>
  <c r="S222" i="10" s="1"/>
  <c r="U222" i="10" s="1"/>
  <c r="B222" i="19" s="1"/>
  <c r="B229" i="10"/>
  <c r="R224" i="9"/>
  <c r="M223" i="10"/>
  <c r="K223" i="10"/>
  <c r="I223" i="10"/>
  <c r="T231" i="9"/>
  <c r="H231" i="10" s="1"/>
  <c r="S231" i="9"/>
  <c r="G231" i="10" s="1"/>
  <c r="A231" i="10"/>
  <c r="P231" i="10" s="1"/>
  <c r="Q231" i="10" s="1"/>
  <c r="J230" i="10"/>
  <c r="L230" i="9"/>
  <c r="B231" i="9"/>
  <c r="Q231" i="9"/>
  <c r="E231" i="10" s="1"/>
  <c r="I231" i="9"/>
  <c r="F231" i="10" s="1"/>
  <c r="N231" i="9"/>
  <c r="F231" i="9"/>
  <c r="A232" i="9"/>
  <c r="M231" i="9"/>
  <c r="E231" i="9"/>
  <c r="G231" i="9"/>
  <c r="D231" i="9"/>
  <c r="C231" i="9"/>
  <c r="O231" i="9"/>
  <c r="C231" i="10" s="1"/>
  <c r="P231" i="9"/>
  <c r="D231" i="10" s="1"/>
  <c r="K231" i="9"/>
  <c r="H231" i="9"/>
  <c r="J231" i="9" s="1"/>
  <c r="N223" i="10" l="1"/>
  <c r="O223" i="10"/>
  <c r="S223" i="10" s="1"/>
  <c r="U223" i="10" s="1"/>
  <c r="B223" i="19" s="1"/>
  <c r="J231" i="10"/>
  <c r="K224" i="10"/>
  <c r="M224" i="10"/>
  <c r="I224" i="10"/>
  <c r="N224" i="10" s="1"/>
  <c r="S232" i="9"/>
  <c r="G232" i="10" s="1"/>
  <c r="A232" i="10"/>
  <c r="T232" i="9"/>
  <c r="H232" i="10" s="1"/>
  <c r="B230" i="10"/>
  <c r="R225" i="9"/>
  <c r="N232" i="9"/>
  <c r="F232" i="9"/>
  <c r="A233" i="9"/>
  <c r="M232" i="9"/>
  <c r="E232" i="9"/>
  <c r="B232" i="9"/>
  <c r="Q232" i="9"/>
  <c r="E232" i="10" s="1"/>
  <c r="I232" i="9"/>
  <c r="F232" i="10" s="1"/>
  <c r="C232" i="9"/>
  <c r="P232" i="9"/>
  <c r="D232" i="10" s="1"/>
  <c r="O232" i="9"/>
  <c r="C232" i="10" s="1"/>
  <c r="K232" i="9"/>
  <c r="H232" i="9"/>
  <c r="J232" i="9" s="1"/>
  <c r="G232" i="9"/>
  <c r="D232" i="9"/>
  <c r="L231" i="9"/>
  <c r="O224" i="10" l="1"/>
  <c r="S224" i="10" s="1"/>
  <c r="U224" i="10" s="1"/>
  <c r="B224" i="19" s="1"/>
  <c r="J232" i="10"/>
  <c r="T233" i="9"/>
  <c r="H233" i="10" s="1"/>
  <c r="S233" i="9"/>
  <c r="G233" i="10" s="1"/>
  <c r="A233" i="10"/>
  <c r="P233" i="10" s="1"/>
  <c r="Q233" i="10" s="1"/>
  <c r="B231" i="10"/>
  <c r="M225" i="10"/>
  <c r="K225" i="10"/>
  <c r="I225" i="10"/>
  <c r="N225" i="10" s="1"/>
  <c r="L232" i="9"/>
  <c r="B233" i="9"/>
  <c r="Q233" i="9"/>
  <c r="E233" i="10" s="1"/>
  <c r="I233" i="9"/>
  <c r="F233" i="10" s="1"/>
  <c r="N233" i="9"/>
  <c r="F233" i="9"/>
  <c r="A234" i="9"/>
  <c r="M233" i="9"/>
  <c r="E233" i="9"/>
  <c r="O233" i="9"/>
  <c r="C233" i="10" s="1"/>
  <c r="K233" i="9"/>
  <c r="G233" i="9"/>
  <c r="D233" i="9"/>
  <c r="P233" i="9"/>
  <c r="D233" i="10" s="1"/>
  <c r="H233" i="9"/>
  <c r="J233" i="9" s="1"/>
  <c r="C233" i="9"/>
  <c r="J233" i="10" l="1"/>
  <c r="T234" i="9"/>
  <c r="H234" i="10" s="1"/>
  <c r="P232" i="10" s="1"/>
  <c r="Q232" i="10" s="1"/>
  <c r="S234" i="9"/>
  <c r="G234" i="10" s="1"/>
  <c r="A234" i="10"/>
  <c r="P234" i="10" s="1"/>
  <c r="Q234" i="10" s="1"/>
  <c r="O225" i="10"/>
  <c r="S225" i="10" s="1"/>
  <c r="U225" i="10" s="1"/>
  <c r="B225" i="19" s="1"/>
  <c r="B232" i="10"/>
  <c r="N234" i="9"/>
  <c r="F234" i="9"/>
  <c r="A235" i="9"/>
  <c r="M234" i="9"/>
  <c r="E234" i="9"/>
  <c r="B234" i="9"/>
  <c r="Q234" i="9"/>
  <c r="E234" i="10" s="1"/>
  <c r="I234" i="9"/>
  <c r="F234" i="10" s="1"/>
  <c r="K234" i="9"/>
  <c r="H234" i="9"/>
  <c r="J234" i="9" s="1"/>
  <c r="G234" i="9"/>
  <c r="C234" i="9"/>
  <c r="P234" i="9"/>
  <c r="D234" i="10" s="1"/>
  <c r="D234" i="9"/>
  <c r="O234" i="9"/>
  <c r="C234" i="10" s="1"/>
  <c r="L233" i="9"/>
  <c r="T235" i="9" l="1"/>
  <c r="H235" i="10" s="1"/>
  <c r="S235" i="9"/>
  <c r="G235" i="10" s="1"/>
  <c r="A235" i="10"/>
  <c r="P235" i="10" s="1"/>
  <c r="Q235" i="10" s="1"/>
  <c r="R233" i="9"/>
  <c r="B233" i="10"/>
  <c r="R228" i="9"/>
  <c r="J234" i="10"/>
  <c r="L234" i="9"/>
  <c r="B235" i="9"/>
  <c r="Q235" i="9"/>
  <c r="E235" i="10" s="1"/>
  <c r="I235" i="9"/>
  <c r="F235" i="10" s="1"/>
  <c r="N235" i="9"/>
  <c r="F235" i="9"/>
  <c r="A236" i="9"/>
  <c r="M235" i="9"/>
  <c r="E235" i="9"/>
  <c r="G235" i="9"/>
  <c r="D235" i="9"/>
  <c r="C235" i="9"/>
  <c r="O235" i="9"/>
  <c r="C235" i="10" s="1"/>
  <c r="P235" i="9"/>
  <c r="D235" i="10" s="1"/>
  <c r="K235" i="9"/>
  <c r="H235" i="9"/>
  <c r="J235" i="9" s="1"/>
  <c r="J235" i="10" l="1"/>
  <c r="R234" i="9"/>
  <c r="B234" i="10"/>
  <c r="R229" i="9"/>
  <c r="K233" i="10"/>
  <c r="M233" i="10"/>
  <c r="I233" i="10"/>
  <c r="M228" i="10"/>
  <c r="I228" i="10"/>
  <c r="N228" i="10" s="1"/>
  <c r="K228" i="10"/>
  <c r="S236" i="9"/>
  <c r="G236" i="10" s="1"/>
  <c r="T236" i="9"/>
  <c r="H236" i="10" s="1"/>
  <c r="A236" i="10"/>
  <c r="P236" i="10" s="1"/>
  <c r="Q236" i="10" s="1"/>
  <c r="N236" i="9"/>
  <c r="F236" i="9"/>
  <c r="A237" i="9"/>
  <c r="M236" i="9"/>
  <c r="E236" i="9"/>
  <c r="B236" i="9"/>
  <c r="Q236" i="9"/>
  <c r="E236" i="10" s="1"/>
  <c r="I236" i="9"/>
  <c r="F236" i="10" s="1"/>
  <c r="C236" i="9"/>
  <c r="P236" i="9"/>
  <c r="D236" i="10" s="1"/>
  <c r="O236" i="9"/>
  <c r="C236" i="10" s="1"/>
  <c r="K236" i="9"/>
  <c r="H236" i="9"/>
  <c r="J236" i="9" s="1"/>
  <c r="G236" i="9"/>
  <c r="D236" i="9"/>
  <c r="L235" i="9"/>
  <c r="N233" i="10" l="1"/>
  <c r="J236" i="10"/>
  <c r="I229" i="10"/>
  <c r="M229" i="10"/>
  <c r="K229" i="10"/>
  <c r="M234" i="10"/>
  <c r="K234" i="10"/>
  <c r="I234" i="10"/>
  <c r="O233" i="10"/>
  <c r="S233" i="10" s="1"/>
  <c r="U233" i="10" s="1"/>
  <c r="B233" i="19" s="1"/>
  <c r="O228" i="10"/>
  <c r="S228" i="10" s="1"/>
  <c r="U228" i="10" s="1"/>
  <c r="B228" i="19" s="1"/>
  <c r="T237" i="9"/>
  <c r="H237" i="10" s="1"/>
  <c r="S237" i="9"/>
  <c r="G237" i="10" s="1"/>
  <c r="A237" i="10"/>
  <c r="P237" i="10" s="1"/>
  <c r="Q237" i="10" s="1"/>
  <c r="B235" i="10"/>
  <c r="R230" i="9"/>
  <c r="L236" i="9"/>
  <c r="B237" i="9"/>
  <c r="Q237" i="9"/>
  <c r="E237" i="10" s="1"/>
  <c r="I237" i="9"/>
  <c r="F237" i="10" s="1"/>
  <c r="N237" i="9"/>
  <c r="F237" i="9"/>
  <c r="A238" i="9"/>
  <c r="M237" i="9"/>
  <c r="E237" i="9"/>
  <c r="O237" i="9"/>
  <c r="C237" i="10" s="1"/>
  <c r="K237" i="9"/>
  <c r="G237" i="9"/>
  <c r="D237" i="9"/>
  <c r="P237" i="9"/>
  <c r="D237" i="10" s="1"/>
  <c r="H237" i="9"/>
  <c r="J237" i="9" s="1"/>
  <c r="C237" i="9"/>
  <c r="N229" i="10" l="1"/>
  <c r="N234" i="10"/>
  <c r="O234" i="10" s="1"/>
  <c r="S234" i="10" s="1"/>
  <c r="U234" i="10" s="1"/>
  <c r="B234" i="19" s="1"/>
  <c r="K230" i="10"/>
  <c r="I230" i="10"/>
  <c r="N230" i="10" s="1"/>
  <c r="M230" i="10"/>
  <c r="J237" i="10"/>
  <c r="B236" i="10"/>
  <c r="R231" i="9"/>
  <c r="T238" i="9"/>
  <c r="H238" i="10" s="1"/>
  <c r="S238" i="9"/>
  <c r="G238" i="10" s="1"/>
  <c r="A238" i="10"/>
  <c r="O229" i="10"/>
  <c r="S229" i="10" s="1"/>
  <c r="U229" i="10" s="1"/>
  <c r="B229" i="19" s="1"/>
  <c r="N238" i="9"/>
  <c r="F238" i="9"/>
  <c r="A239" i="9"/>
  <c r="M238" i="9"/>
  <c r="E238" i="9"/>
  <c r="B238" i="9"/>
  <c r="Q238" i="9"/>
  <c r="E238" i="10" s="1"/>
  <c r="I238" i="9"/>
  <c r="F238" i="10" s="1"/>
  <c r="K238" i="9"/>
  <c r="H238" i="9"/>
  <c r="J238" i="9" s="1"/>
  <c r="G238" i="9"/>
  <c r="C238" i="9"/>
  <c r="P238" i="9"/>
  <c r="D238" i="10" s="1"/>
  <c r="O238" i="9"/>
  <c r="C238" i="10" s="1"/>
  <c r="D238" i="9"/>
  <c r="L237" i="9"/>
  <c r="B237" i="10" l="1"/>
  <c r="R232" i="9"/>
  <c r="T239" i="9"/>
  <c r="H239" i="10" s="1"/>
  <c r="S239" i="9"/>
  <c r="G239" i="10" s="1"/>
  <c r="A239" i="10"/>
  <c r="P239" i="10" s="1"/>
  <c r="Q239" i="10" s="1"/>
  <c r="O230" i="10"/>
  <c r="S230" i="10" s="1"/>
  <c r="U230" i="10" s="1"/>
  <c r="B230" i="19" s="1"/>
  <c r="I231" i="10"/>
  <c r="N231" i="10" s="1"/>
  <c r="M231" i="10"/>
  <c r="K231" i="10"/>
  <c r="J238" i="10"/>
  <c r="L238" i="9"/>
  <c r="B239" i="9"/>
  <c r="Q239" i="9"/>
  <c r="E239" i="10" s="1"/>
  <c r="I239" i="9"/>
  <c r="F239" i="10" s="1"/>
  <c r="P239" i="9"/>
  <c r="D239" i="10" s="1"/>
  <c r="H239" i="9"/>
  <c r="J239" i="9" s="1"/>
  <c r="O239" i="9"/>
  <c r="C239" i="10" s="1"/>
  <c r="N239" i="9"/>
  <c r="F239" i="9"/>
  <c r="A240" i="9"/>
  <c r="M239" i="9"/>
  <c r="E239" i="9"/>
  <c r="G239" i="9"/>
  <c r="D239" i="9"/>
  <c r="C239" i="9"/>
  <c r="K239" i="9"/>
  <c r="L239" i="9" l="1"/>
  <c r="K232" i="10"/>
  <c r="M232" i="10"/>
  <c r="I232" i="10"/>
  <c r="N232" i="10" s="1"/>
  <c r="S240" i="9"/>
  <c r="G240" i="10" s="1"/>
  <c r="T240" i="9"/>
  <c r="H240" i="10" s="1"/>
  <c r="A240" i="10"/>
  <c r="P240" i="10" s="1"/>
  <c r="Q240" i="10" s="1"/>
  <c r="J239" i="10"/>
  <c r="O231" i="10"/>
  <c r="S231" i="10" s="1"/>
  <c r="U231" i="10" s="1"/>
  <c r="B231" i="19" s="1"/>
  <c r="B238" i="10"/>
  <c r="N240" i="9"/>
  <c r="F240" i="9"/>
  <c r="A241" i="9"/>
  <c r="M240" i="9"/>
  <c r="E240" i="9"/>
  <c r="D240" i="9"/>
  <c r="K240" i="9"/>
  <c r="C240" i="9"/>
  <c r="B240" i="9"/>
  <c r="Q240" i="9"/>
  <c r="E240" i="10" s="1"/>
  <c r="I240" i="9"/>
  <c r="F240" i="10" s="1"/>
  <c r="P240" i="9"/>
  <c r="D240" i="10" s="1"/>
  <c r="O240" i="9"/>
  <c r="C240" i="10" s="1"/>
  <c r="J240" i="10" s="1"/>
  <c r="H240" i="9"/>
  <c r="J240" i="9" s="1"/>
  <c r="G240" i="9"/>
  <c r="O232" i="10" l="1"/>
  <c r="S232" i="10" s="1"/>
  <c r="U232" i="10" s="1"/>
  <c r="B232" i="19" s="1"/>
  <c r="L240" i="9"/>
  <c r="S241" i="9"/>
  <c r="G241" i="10" s="1"/>
  <c r="T241" i="9"/>
  <c r="H241" i="10" s="1"/>
  <c r="A241" i="10"/>
  <c r="P241" i="10" s="1"/>
  <c r="Q241" i="10" s="1"/>
  <c r="R239" i="9"/>
  <c r="B239" i="10"/>
  <c r="B241" i="9"/>
  <c r="Q241" i="9"/>
  <c r="E241" i="10" s="1"/>
  <c r="I241" i="9"/>
  <c r="F241" i="10" s="1"/>
  <c r="P241" i="9"/>
  <c r="D241" i="10" s="1"/>
  <c r="H241" i="9"/>
  <c r="J241" i="9" s="1"/>
  <c r="O241" i="9"/>
  <c r="C241" i="10" s="1"/>
  <c r="J241" i="10" s="1"/>
  <c r="G241" i="9"/>
  <c r="N241" i="9"/>
  <c r="F241" i="9"/>
  <c r="A242" i="9"/>
  <c r="M241" i="9"/>
  <c r="E241" i="9"/>
  <c r="K241" i="9"/>
  <c r="D241" i="9"/>
  <c r="C241" i="9"/>
  <c r="T242" i="9" l="1"/>
  <c r="H242" i="10" s="1"/>
  <c r="P238" i="10" s="1"/>
  <c r="Q238" i="10" s="1"/>
  <c r="S242" i="9"/>
  <c r="G242" i="10" s="1"/>
  <c r="A242" i="10"/>
  <c r="P242" i="10" s="1"/>
  <c r="Q242" i="10" s="1"/>
  <c r="I239" i="10"/>
  <c r="M239" i="10"/>
  <c r="K239" i="10"/>
  <c r="R240" i="9"/>
  <c r="B240" i="10"/>
  <c r="R235" i="9"/>
  <c r="L241" i="9"/>
  <c r="N242" i="9"/>
  <c r="F242" i="9"/>
  <c r="A243" i="9"/>
  <c r="M242" i="9"/>
  <c r="E242" i="9"/>
  <c r="D242" i="9"/>
  <c r="K242" i="9"/>
  <c r="C242" i="9"/>
  <c r="B242" i="9"/>
  <c r="Q242" i="9"/>
  <c r="E242" i="10" s="1"/>
  <c r="I242" i="9"/>
  <c r="F242" i="10" s="1"/>
  <c r="H242" i="9"/>
  <c r="J242" i="9" s="1"/>
  <c r="G242" i="9"/>
  <c r="O242" i="9"/>
  <c r="C242" i="10" s="1"/>
  <c r="P242" i="9"/>
  <c r="D242" i="10" s="1"/>
  <c r="N239" i="10" l="1"/>
  <c r="O239" i="10" s="1"/>
  <c r="S239" i="10" s="1"/>
  <c r="U239" i="10" s="1"/>
  <c r="B239" i="19" s="1"/>
  <c r="K240" i="10"/>
  <c r="M240" i="10"/>
  <c r="I240" i="10"/>
  <c r="N240" i="10" s="1"/>
  <c r="L242" i="9"/>
  <c r="R241" i="9"/>
  <c r="B241" i="10"/>
  <c r="R236" i="9"/>
  <c r="M235" i="10"/>
  <c r="K235" i="10"/>
  <c r="I235" i="10"/>
  <c r="N235" i="10" s="1"/>
  <c r="J242" i="10"/>
  <c r="T243" i="9"/>
  <c r="H243" i="10" s="1"/>
  <c r="S243" i="9"/>
  <c r="G243" i="10" s="1"/>
  <c r="A243" i="10"/>
  <c r="P243" i="10" s="1"/>
  <c r="Q243" i="10" s="1"/>
  <c r="B243" i="9"/>
  <c r="Q243" i="9"/>
  <c r="E243" i="10" s="1"/>
  <c r="I243" i="9"/>
  <c r="F243" i="10" s="1"/>
  <c r="P243" i="9"/>
  <c r="D243" i="10" s="1"/>
  <c r="H243" i="9"/>
  <c r="J243" i="9" s="1"/>
  <c r="O243" i="9"/>
  <c r="C243" i="10" s="1"/>
  <c r="G243" i="9"/>
  <c r="N243" i="9"/>
  <c r="F243" i="9"/>
  <c r="A244" i="9"/>
  <c r="M243" i="9"/>
  <c r="E243" i="9"/>
  <c r="D243" i="9"/>
  <c r="C243" i="9"/>
  <c r="K243" i="9"/>
  <c r="O235" i="10" l="1"/>
  <c r="S235" i="10" s="1"/>
  <c r="U235" i="10" s="1"/>
  <c r="B235" i="19" s="1"/>
  <c r="O240" i="10"/>
  <c r="S240" i="10" s="1"/>
  <c r="U240" i="10" s="1"/>
  <c r="B240" i="19" s="1"/>
  <c r="R242" i="9"/>
  <c r="B242" i="10"/>
  <c r="R237" i="9"/>
  <c r="M236" i="10"/>
  <c r="I236" i="10"/>
  <c r="N236" i="10" s="1"/>
  <c r="K236" i="10"/>
  <c r="J243" i="10"/>
  <c r="I241" i="10"/>
  <c r="K241" i="10"/>
  <c r="M241" i="10"/>
  <c r="T244" i="9"/>
  <c r="H244" i="10" s="1"/>
  <c r="S244" i="9"/>
  <c r="G244" i="10" s="1"/>
  <c r="A244" i="10"/>
  <c r="P244" i="10" s="1"/>
  <c r="Q244" i="10" s="1"/>
  <c r="L243" i="9"/>
  <c r="N244" i="9"/>
  <c r="F244" i="9"/>
  <c r="A245" i="9"/>
  <c r="M244" i="9"/>
  <c r="E244" i="9"/>
  <c r="D244" i="9"/>
  <c r="K244" i="9"/>
  <c r="C244" i="9"/>
  <c r="B244" i="9"/>
  <c r="Q244" i="9"/>
  <c r="E244" i="10" s="1"/>
  <c r="I244" i="9"/>
  <c r="F244" i="10" s="1"/>
  <c r="P244" i="9"/>
  <c r="D244" i="10" s="1"/>
  <c r="O244" i="9"/>
  <c r="C244" i="10" s="1"/>
  <c r="H244" i="9"/>
  <c r="J244" i="9" s="1"/>
  <c r="L244" i="9" s="1"/>
  <c r="G244" i="9"/>
  <c r="N241" i="10" l="1"/>
  <c r="O236" i="10"/>
  <c r="S236" i="10" s="1"/>
  <c r="U236" i="10" s="1"/>
  <c r="B236" i="19" s="1"/>
  <c r="M237" i="10"/>
  <c r="K237" i="10"/>
  <c r="I237" i="10"/>
  <c r="N237" i="10" s="1"/>
  <c r="T245" i="9"/>
  <c r="H245" i="10" s="1"/>
  <c r="S245" i="9"/>
  <c r="G245" i="10" s="1"/>
  <c r="A245" i="10"/>
  <c r="P245" i="10" s="1"/>
  <c r="Q245" i="10" s="1"/>
  <c r="B244" i="10"/>
  <c r="B243" i="10"/>
  <c r="R238" i="9"/>
  <c r="J244" i="10"/>
  <c r="O241" i="10"/>
  <c r="S241" i="10" s="1"/>
  <c r="U241" i="10" s="1"/>
  <c r="B241" i="19" s="1"/>
  <c r="I242" i="10"/>
  <c r="K242" i="10"/>
  <c r="M242" i="10"/>
  <c r="B245" i="9"/>
  <c r="Q245" i="9"/>
  <c r="E245" i="10" s="1"/>
  <c r="I245" i="9"/>
  <c r="F245" i="10" s="1"/>
  <c r="P245" i="9"/>
  <c r="D245" i="10" s="1"/>
  <c r="H245" i="9"/>
  <c r="J245" i="9" s="1"/>
  <c r="O245" i="9"/>
  <c r="C245" i="10" s="1"/>
  <c r="G245" i="9"/>
  <c r="N245" i="9"/>
  <c r="F245" i="9"/>
  <c r="A246" i="9"/>
  <c r="M245" i="9"/>
  <c r="E245" i="9"/>
  <c r="K245" i="9"/>
  <c r="D245" i="9"/>
  <c r="C245" i="9"/>
  <c r="N242" i="10" l="1"/>
  <c r="O237" i="10"/>
  <c r="S237" i="10" s="1"/>
  <c r="U237" i="10" s="1"/>
  <c r="B237" i="19" s="1"/>
  <c r="J245" i="10"/>
  <c r="O242" i="10"/>
  <c r="S242" i="10" s="1"/>
  <c r="U242" i="10" s="1"/>
  <c r="B242" i="19" s="1"/>
  <c r="T246" i="9"/>
  <c r="H246" i="10" s="1"/>
  <c r="S246" i="9"/>
  <c r="G246" i="10" s="1"/>
  <c r="A246" i="10"/>
  <c r="I238" i="10"/>
  <c r="N238" i="10" s="1"/>
  <c r="K238" i="10"/>
  <c r="M238" i="10"/>
  <c r="L245" i="9"/>
  <c r="N246" i="9"/>
  <c r="F246" i="9"/>
  <c r="A247" i="9"/>
  <c r="M246" i="9"/>
  <c r="E246" i="9"/>
  <c r="D246" i="9"/>
  <c r="K246" i="9"/>
  <c r="C246" i="9"/>
  <c r="B246" i="9"/>
  <c r="Q246" i="9"/>
  <c r="E246" i="10" s="1"/>
  <c r="I246" i="9"/>
  <c r="F246" i="10" s="1"/>
  <c r="P246" i="9"/>
  <c r="D246" i="10" s="1"/>
  <c r="H246" i="9"/>
  <c r="J246" i="9" s="1"/>
  <c r="G246" i="9"/>
  <c r="O246" i="9"/>
  <c r="C246" i="10" s="1"/>
  <c r="B245" i="10" l="1"/>
  <c r="J246" i="10"/>
  <c r="O238" i="10"/>
  <c r="S238" i="10" s="1"/>
  <c r="U238" i="10" s="1"/>
  <c r="B238" i="19" s="1"/>
  <c r="T247" i="9"/>
  <c r="H247" i="10" s="1"/>
  <c r="S247" i="9"/>
  <c r="G247" i="10" s="1"/>
  <c r="A247" i="10"/>
  <c r="P247" i="10" s="1"/>
  <c r="Q247" i="10" s="1"/>
  <c r="B247" i="9"/>
  <c r="Q247" i="9"/>
  <c r="E247" i="10" s="1"/>
  <c r="I247" i="9"/>
  <c r="F247" i="10" s="1"/>
  <c r="P247" i="9"/>
  <c r="D247" i="10" s="1"/>
  <c r="H247" i="9"/>
  <c r="J247" i="9" s="1"/>
  <c r="L247" i="9" s="1"/>
  <c r="O247" i="9"/>
  <c r="C247" i="10" s="1"/>
  <c r="G247" i="9"/>
  <c r="N247" i="9"/>
  <c r="F247" i="9"/>
  <c r="A248" i="9"/>
  <c r="M247" i="9"/>
  <c r="E247" i="9"/>
  <c r="D247" i="9"/>
  <c r="C247" i="9"/>
  <c r="K247" i="9"/>
  <c r="L246" i="9"/>
  <c r="R247" i="9" l="1"/>
  <c r="B247" i="10"/>
  <c r="M247" i="10"/>
  <c r="K247" i="10"/>
  <c r="I247" i="10"/>
  <c r="N247" i="10" s="1"/>
  <c r="B246" i="10"/>
  <c r="S248" i="9"/>
  <c r="G248" i="10" s="1"/>
  <c r="T248" i="9"/>
  <c r="H248" i="10" s="1"/>
  <c r="P246" i="10" s="1"/>
  <c r="Q246" i="10" s="1"/>
  <c r="A248" i="10"/>
  <c r="P248" i="10" s="1"/>
  <c r="Q248" i="10" s="1"/>
  <c r="J247" i="10"/>
  <c r="N248" i="9"/>
  <c r="F248" i="9"/>
  <c r="A249" i="9"/>
  <c r="M248" i="9"/>
  <c r="E248" i="9"/>
  <c r="D248" i="9"/>
  <c r="K248" i="9"/>
  <c r="C248" i="9"/>
  <c r="B248" i="9"/>
  <c r="Q248" i="9"/>
  <c r="E248" i="10" s="1"/>
  <c r="I248" i="9"/>
  <c r="F248" i="10" s="1"/>
  <c r="P248" i="9"/>
  <c r="D248" i="10" s="1"/>
  <c r="O248" i="9"/>
  <c r="C248" i="10" s="1"/>
  <c r="H248" i="9"/>
  <c r="J248" i="9" s="1"/>
  <c r="G248" i="9"/>
  <c r="O247" i="10" l="1"/>
  <c r="S247" i="10" s="1"/>
  <c r="U247" i="10" s="1"/>
  <c r="B247" i="19" s="1"/>
  <c r="S249" i="9"/>
  <c r="G249" i="10" s="1"/>
  <c r="T249" i="9"/>
  <c r="H249" i="10" s="1"/>
  <c r="A249" i="10"/>
  <c r="P249" i="10" s="1"/>
  <c r="Q249" i="10" s="1"/>
  <c r="L248" i="9"/>
  <c r="J248" i="10"/>
  <c r="B249" i="9"/>
  <c r="Q249" i="9"/>
  <c r="E249" i="10" s="1"/>
  <c r="I249" i="9"/>
  <c r="F249" i="10" s="1"/>
  <c r="P249" i="9"/>
  <c r="D249" i="10" s="1"/>
  <c r="H249" i="9"/>
  <c r="J249" i="9" s="1"/>
  <c r="O249" i="9"/>
  <c r="C249" i="10" s="1"/>
  <c r="G249" i="9"/>
  <c r="N249" i="9"/>
  <c r="F249" i="9"/>
  <c r="A250" i="9"/>
  <c r="M249" i="9"/>
  <c r="E249" i="9"/>
  <c r="K249" i="9"/>
  <c r="D249" i="9"/>
  <c r="C249" i="9"/>
  <c r="J249" i="10" l="1"/>
  <c r="R248" i="9"/>
  <c r="B248" i="10"/>
  <c r="R243" i="9"/>
  <c r="S250" i="9"/>
  <c r="G250" i="10" s="1"/>
  <c r="T250" i="9"/>
  <c r="H250" i="10" s="1"/>
  <c r="A250" i="10"/>
  <c r="P250" i="10" s="1"/>
  <c r="Q250" i="10" s="1"/>
  <c r="L249" i="9"/>
  <c r="N250" i="9"/>
  <c r="F250" i="9"/>
  <c r="A251" i="9"/>
  <c r="M250" i="9"/>
  <c r="E250" i="9"/>
  <c r="D250" i="9"/>
  <c r="K250" i="9"/>
  <c r="C250" i="9"/>
  <c r="B250" i="9"/>
  <c r="Q250" i="9"/>
  <c r="E250" i="10" s="1"/>
  <c r="I250" i="9"/>
  <c r="F250" i="10" s="1"/>
  <c r="H250" i="9"/>
  <c r="J250" i="9" s="1"/>
  <c r="L250" i="9" s="1"/>
  <c r="G250" i="9"/>
  <c r="P250" i="9"/>
  <c r="D250" i="10" s="1"/>
  <c r="O250" i="9"/>
  <c r="C250" i="10" s="1"/>
  <c r="J250" i="10" s="1"/>
  <c r="S251" i="9" l="1"/>
  <c r="G251" i="10" s="1"/>
  <c r="T251" i="9"/>
  <c r="H251" i="10" s="1"/>
  <c r="A251" i="10"/>
  <c r="P251" i="10" s="1"/>
  <c r="Q251" i="10" s="1"/>
  <c r="B249" i="10"/>
  <c r="R244" i="9"/>
  <c r="K243" i="10"/>
  <c r="M243" i="10"/>
  <c r="I243" i="10"/>
  <c r="B250" i="10"/>
  <c r="R245" i="9"/>
  <c r="I248" i="10"/>
  <c r="K248" i="10"/>
  <c r="M248" i="10"/>
  <c r="B251" i="9"/>
  <c r="Q251" i="9"/>
  <c r="E251" i="10" s="1"/>
  <c r="I251" i="9"/>
  <c r="F251" i="10" s="1"/>
  <c r="P251" i="9"/>
  <c r="D251" i="10" s="1"/>
  <c r="H251" i="9"/>
  <c r="J251" i="9" s="1"/>
  <c r="O251" i="9"/>
  <c r="C251" i="10" s="1"/>
  <c r="G251" i="9"/>
  <c r="N251" i="9"/>
  <c r="F251" i="9"/>
  <c r="A252" i="9"/>
  <c r="M251" i="9"/>
  <c r="E251" i="9"/>
  <c r="D251" i="9"/>
  <c r="C251" i="9"/>
  <c r="K251" i="9"/>
  <c r="N248" i="10" l="1"/>
  <c r="N243" i="10"/>
  <c r="O243" i="10"/>
  <c r="S243" i="10" s="1"/>
  <c r="U243" i="10" s="1"/>
  <c r="B243" i="19" s="1"/>
  <c r="T252" i="9"/>
  <c r="H252" i="10" s="1"/>
  <c r="S252" i="9"/>
  <c r="G252" i="10" s="1"/>
  <c r="A252" i="10"/>
  <c r="P252" i="10" s="1"/>
  <c r="Q252" i="10" s="1"/>
  <c r="J251" i="10"/>
  <c r="O248" i="10"/>
  <c r="S248" i="10" s="1"/>
  <c r="U248" i="10" s="1"/>
  <c r="B248" i="19" s="1"/>
  <c r="K244" i="10"/>
  <c r="M244" i="10"/>
  <c r="I244" i="10"/>
  <c r="N244" i="10" s="1"/>
  <c r="M245" i="10"/>
  <c r="I245" i="10"/>
  <c r="K245" i="10"/>
  <c r="L251" i="9"/>
  <c r="N252" i="9"/>
  <c r="F252" i="9"/>
  <c r="A253" i="9"/>
  <c r="M252" i="9"/>
  <c r="E252" i="9"/>
  <c r="D252" i="9"/>
  <c r="K252" i="9"/>
  <c r="C252" i="9"/>
  <c r="B252" i="9"/>
  <c r="Q252" i="9"/>
  <c r="E252" i="10" s="1"/>
  <c r="I252" i="9"/>
  <c r="F252" i="10" s="1"/>
  <c r="P252" i="9"/>
  <c r="D252" i="10" s="1"/>
  <c r="O252" i="9"/>
  <c r="C252" i="10" s="1"/>
  <c r="J252" i="10" s="1"/>
  <c r="H252" i="9"/>
  <c r="J252" i="9" s="1"/>
  <c r="L252" i="9" s="1"/>
  <c r="G252" i="9"/>
  <c r="N245" i="10" l="1"/>
  <c r="O244" i="10"/>
  <c r="S244" i="10" s="1"/>
  <c r="U244" i="10" s="1"/>
  <c r="B244" i="19" s="1"/>
  <c r="O245" i="10"/>
  <c r="S245" i="10" s="1"/>
  <c r="U245" i="10" s="1"/>
  <c r="B245" i="19" s="1"/>
  <c r="B252" i="10"/>
  <c r="B251" i="10"/>
  <c r="R246" i="9"/>
  <c r="T253" i="9"/>
  <c r="H253" i="10" s="1"/>
  <c r="A253" i="10"/>
  <c r="S253" i="9"/>
  <c r="G253" i="10" s="1"/>
  <c r="B253" i="9"/>
  <c r="Q253" i="9"/>
  <c r="E253" i="10" s="1"/>
  <c r="I253" i="9"/>
  <c r="F253" i="10" s="1"/>
  <c r="P253" i="9"/>
  <c r="D253" i="10" s="1"/>
  <c r="H253" i="9"/>
  <c r="J253" i="9" s="1"/>
  <c r="O253" i="9"/>
  <c r="C253" i="10" s="1"/>
  <c r="G253" i="9"/>
  <c r="N253" i="9"/>
  <c r="F253" i="9"/>
  <c r="A254" i="9"/>
  <c r="M253" i="9"/>
  <c r="E253" i="9"/>
  <c r="K253" i="9"/>
  <c r="D253" i="9"/>
  <c r="C253" i="9"/>
  <c r="J253" i="10" l="1"/>
  <c r="T254" i="9"/>
  <c r="H254" i="10" s="1"/>
  <c r="S254" i="9"/>
  <c r="G254" i="10" s="1"/>
  <c r="A254" i="10"/>
  <c r="P254" i="10" s="1"/>
  <c r="Q254" i="10" s="1"/>
  <c r="M246" i="10"/>
  <c r="I246" i="10"/>
  <c r="N246" i="10" s="1"/>
  <c r="K246" i="10"/>
  <c r="L253" i="9"/>
  <c r="N254" i="9"/>
  <c r="F254" i="9"/>
  <c r="A255" i="9"/>
  <c r="M254" i="9"/>
  <c r="E254" i="9"/>
  <c r="D254" i="9"/>
  <c r="K254" i="9"/>
  <c r="C254" i="9"/>
  <c r="B254" i="9"/>
  <c r="Q254" i="9"/>
  <c r="E254" i="10" s="1"/>
  <c r="I254" i="9"/>
  <c r="F254" i="10" s="1"/>
  <c r="P254" i="9"/>
  <c r="D254" i="10" s="1"/>
  <c r="H254" i="9"/>
  <c r="J254" i="9" s="1"/>
  <c r="G254" i="9"/>
  <c r="O254" i="9"/>
  <c r="C254" i="10" s="1"/>
  <c r="O246" i="10" l="1"/>
  <c r="S246" i="10" s="1"/>
  <c r="U246" i="10" s="1"/>
  <c r="B246" i="19" s="1"/>
  <c r="B253" i="10"/>
  <c r="J254" i="10"/>
  <c r="T255" i="9"/>
  <c r="H255" i="10" s="1"/>
  <c r="P253" i="10" s="1"/>
  <c r="Q253" i="10" s="1"/>
  <c r="S255" i="9"/>
  <c r="G255" i="10" s="1"/>
  <c r="A255" i="10"/>
  <c r="P255" i="10" s="1"/>
  <c r="Q255" i="10" s="1"/>
  <c r="B255" i="9"/>
  <c r="Q255" i="9"/>
  <c r="E255" i="10" s="1"/>
  <c r="I255" i="9"/>
  <c r="F255" i="10" s="1"/>
  <c r="P255" i="9"/>
  <c r="D255" i="10" s="1"/>
  <c r="H255" i="9"/>
  <c r="J255" i="9" s="1"/>
  <c r="O255" i="9"/>
  <c r="C255" i="10" s="1"/>
  <c r="G255" i="9"/>
  <c r="N255" i="9"/>
  <c r="F255" i="9"/>
  <c r="A256" i="9"/>
  <c r="M255" i="9"/>
  <c r="E255" i="9"/>
  <c r="D255" i="9"/>
  <c r="C255" i="9"/>
  <c r="K255" i="9"/>
  <c r="L254" i="9"/>
  <c r="J255" i="10" l="1"/>
  <c r="S256" i="9"/>
  <c r="G256" i="10" s="1"/>
  <c r="T256" i="9"/>
  <c r="H256" i="10" s="1"/>
  <c r="A256" i="10"/>
  <c r="P256" i="10" s="1"/>
  <c r="Q256" i="10" s="1"/>
  <c r="B254" i="10"/>
  <c r="R254" i="9"/>
  <c r="R249" i="9"/>
  <c r="L255" i="9"/>
  <c r="N256" i="9"/>
  <c r="F256" i="9"/>
  <c r="A257" i="9"/>
  <c r="M256" i="9"/>
  <c r="E256" i="9"/>
  <c r="D256" i="9"/>
  <c r="K256" i="9"/>
  <c r="C256" i="9"/>
  <c r="B256" i="9"/>
  <c r="Q256" i="9"/>
  <c r="E256" i="10" s="1"/>
  <c r="I256" i="9"/>
  <c r="F256" i="10" s="1"/>
  <c r="P256" i="9"/>
  <c r="D256" i="10" s="1"/>
  <c r="O256" i="9"/>
  <c r="C256" i="10" s="1"/>
  <c r="J256" i="10" s="1"/>
  <c r="H256" i="9"/>
  <c r="J256" i="9" s="1"/>
  <c r="G256" i="9"/>
  <c r="S257" i="9" l="1"/>
  <c r="G257" i="10" s="1"/>
  <c r="T257" i="9"/>
  <c r="H257" i="10" s="1"/>
  <c r="A257" i="10"/>
  <c r="P257" i="10" s="1"/>
  <c r="Q257" i="10" s="1"/>
  <c r="R255" i="9"/>
  <c r="B255" i="10"/>
  <c r="R250" i="9"/>
  <c r="K249" i="10"/>
  <c r="I249" i="10"/>
  <c r="N249" i="10" s="1"/>
  <c r="M249" i="10"/>
  <c r="L256" i="9"/>
  <c r="I254" i="10"/>
  <c r="K254" i="10"/>
  <c r="M254" i="10"/>
  <c r="B257" i="9"/>
  <c r="Q257" i="9"/>
  <c r="E257" i="10" s="1"/>
  <c r="I257" i="9"/>
  <c r="F257" i="10" s="1"/>
  <c r="P257" i="9"/>
  <c r="D257" i="10" s="1"/>
  <c r="H257" i="9"/>
  <c r="J257" i="9" s="1"/>
  <c r="O257" i="9"/>
  <c r="C257" i="10" s="1"/>
  <c r="G257" i="9"/>
  <c r="N257" i="9"/>
  <c r="F257" i="9"/>
  <c r="A258" i="9"/>
  <c r="M257" i="9"/>
  <c r="E257" i="9"/>
  <c r="K257" i="9"/>
  <c r="D257" i="9"/>
  <c r="C257" i="9"/>
  <c r="N254" i="10" l="1"/>
  <c r="O254" i="10"/>
  <c r="S254" i="10" s="1"/>
  <c r="U254" i="10" s="1"/>
  <c r="B254" i="19" s="1"/>
  <c r="B256" i="10"/>
  <c r="R251" i="9"/>
  <c r="K250" i="10"/>
  <c r="M250" i="10"/>
  <c r="I250" i="10"/>
  <c r="N250" i="10" s="1"/>
  <c r="M255" i="10"/>
  <c r="K255" i="10"/>
  <c r="I255" i="10"/>
  <c r="N255" i="10" s="1"/>
  <c r="S258" i="9"/>
  <c r="G258" i="10" s="1"/>
  <c r="T258" i="9"/>
  <c r="H258" i="10" s="1"/>
  <c r="A258" i="10"/>
  <c r="P258" i="10" s="1"/>
  <c r="Q258" i="10" s="1"/>
  <c r="O249" i="10"/>
  <c r="S249" i="10" s="1"/>
  <c r="U249" i="10" s="1"/>
  <c r="B249" i="19" s="1"/>
  <c r="J257" i="10"/>
  <c r="L257" i="9"/>
  <c r="N258" i="9"/>
  <c r="F258" i="9"/>
  <c r="A259" i="9"/>
  <c r="M258" i="9"/>
  <c r="E258" i="9"/>
  <c r="D258" i="9"/>
  <c r="K258" i="9"/>
  <c r="C258" i="9"/>
  <c r="B258" i="9"/>
  <c r="Q258" i="9"/>
  <c r="E258" i="10" s="1"/>
  <c r="I258" i="9"/>
  <c r="F258" i="10" s="1"/>
  <c r="H258" i="9"/>
  <c r="J258" i="9" s="1"/>
  <c r="L258" i="9" s="1"/>
  <c r="G258" i="9"/>
  <c r="P258" i="9"/>
  <c r="D258" i="10" s="1"/>
  <c r="O258" i="9"/>
  <c r="C258" i="10" s="1"/>
  <c r="O255" i="10" l="1"/>
  <c r="S255" i="10" s="1"/>
  <c r="U255" i="10" s="1"/>
  <c r="B255" i="19" s="1"/>
  <c r="J258" i="10"/>
  <c r="O250" i="10"/>
  <c r="S250" i="10" s="1"/>
  <c r="U250" i="10" s="1"/>
  <c r="B250" i="19" s="1"/>
  <c r="M251" i="10"/>
  <c r="K251" i="10"/>
  <c r="I251" i="10"/>
  <c r="N251" i="10" s="1"/>
  <c r="B258" i="10"/>
  <c r="R253" i="9"/>
  <c r="T259" i="9"/>
  <c r="H259" i="10" s="1"/>
  <c r="S259" i="9"/>
  <c r="G259" i="10" s="1"/>
  <c r="A259" i="10"/>
  <c r="P259" i="10" s="1"/>
  <c r="Q259" i="10" s="1"/>
  <c r="B257" i="10"/>
  <c r="R252" i="9"/>
  <c r="B259" i="9"/>
  <c r="Q259" i="9"/>
  <c r="E259" i="10" s="1"/>
  <c r="I259" i="9"/>
  <c r="F259" i="10" s="1"/>
  <c r="P259" i="9"/>
  <c r="D259" i="10" s="1"/>
  <c r="H259" i="9"/>
  <c r="J259" i="9" s="1"/>
  <c r="L259" i="9" s="1"/>
  <c r="O259" i="9"/>
  <c r="C259" i="10" s="1"/>
  <c r="G259" i="9"/>
  <c r="N259" i="9"/>
  <c r="F259" i="9"/>
  <c r="A260" i="9"/>
  <c r="M259" i="9"/>
  <c r="E259" i="9"/>
  <c r="D259" i="9"/>
  <c r="C259" i="9"/>
  <c r="K259" i="9"/>
  <c r="O251" i="10" l="1"/>
  <c r="S251" i="10" s="1"/>
  <c r="U251" i="10" s="1"/>
  <c r="B251" i="19" s="1"/>
  <c r="S260" i="9"/>
  <c r="G260" i="10" s="1"/>
  <c r="T260" i="9"/>
  <c r="H260" i="10" s="1"/>
  <c r="A260" i="10"/>
  <c r="B259" i="10"/>
  <c r="M252" i="10"/>
  <c r="K252" i="10"/>
  <c r="I252" i="10"/>
  <c r="J259" i="10"/>
  <c r="M253" i="10"/>
  <c r="I253" i="10"/>
  <c r="N253" i="10" s="1"/>
  <c r="K253" i="10"/>
  <c r="N260" i="9"/>
  <c r="F260" i="9"/>
  <c r="A261" i="9"/>
  <c r="M260" i="9"/>
  <c r="E260" i="9"/>
  <c r="D260" i="9"/>
  <c r="K260" i="9"/>
  <c r="C260" i="9"/>
  <c r="B260" i="9"/>
  <c r="Q260" i="9"/>
  <c r="E260" i="10" s="1"/>
  <c r="I260" i="9"/>
  <c r="F260" i="10" s="1"/>
  <c r="P260" i="9"/>
  <c r="D260" i="10" s="1"/>
  <c r="O260" i="9"/>
  <c r="C260" i="10" s="1"/>
  <c r="H260" i="9"/>
  <c r="J260" i="9" s="1"/>
  <c r="L260" i="9" s="1"/>
  <c r="G260" i="9"/>
  <c r="N252" i="10" l="1"/>
  <c r="J260" i="10"/>
  <c r="O253" i="10"/>
  <c r="S253" i="10" s="1"/>
  <c r="U253" i="10" s="1"/>
  <c r="B253" i="19" s="1"/>
  <c r="O252" i="10"/>
  <c r="S252" i="10" s="1"/>
  <c r="U252" i="10" s="1"/>
  <c r="B252" i="19" s="1"/>
  <c r="T261" i="9"/>
  <c r="H261" i="10" s="1"/>
  <c r="S261" i="9"/>
  <c r="G261" i="10" s="1"/>
  <c r="A261" i="10"/>
  <c r="P261" i="10" s="1"/>
  <c r="Q261" i="10" s="1"/>
  <c r="B260" i="10"/>
  <c r="B261" i="9"/>
  <c r="Q261" i="9"/>
  <c r="E261" i="10" s="1"/>
  <c r="I261" i="9"/>
  <c r="F261" i="10" s="1"/>
  <c r="P261" i="9"/>
  <c r="D261" i="10" s="1"/>
  <c r="H261" i="9"/>
  <c r="J261" i="9" s="1"/>
  <c r="O261" i="9"/>
  <c r="C261" i="10" s="1"/>
  <c r="J261" i="10" s="1"/>
  <c r="G261" i="9"/>
  <c r="N261" i="9"/>
  <c r="F261" i="9"/>
  <c r="A262" i="9"/>
  <c r="M261" i="9"/>
  <c r="E261" i="9"/>
  <c r="K261" i="9"/>
  <c r="D261" i="9"/>
  <c r="C261" i="9"/>
  <c r="T262" i="9" l="1"/>
  <c r="H262" i="10" s="1"/>
  <c r="P260" i="10" s="1"/>
  <c r="Q260" i="10" s="1"/>
  <c r="S262" i="9"/>
  <c r="G262" i="10" s="1"/>
  <c r="A262" i="10"/>
  <c r="P262" i="10" s="1"/>
  <c r="Q262" i="10" s="1"/>
  <c r="L261" i="9"/>
  <c r="N262" i="9"/>
  <c r="F262" i="9"/>
  <c r="A263" i="9"/>
  <c r="M262" i="9"/>
  <c r="E262" i="9"/>
  <c r="D262" i="9"/>
  <c r="K262" i="9"/>
  <c r="C262" i="9"/>
  <c r="B262" i="9"/>
  <c r="Q262" i="9"/>
  <c r="E262" i="10" s="1"/>
  <c r="I262" i="9"/>
  <c r="F262" i="10" s="1"/>
  <c r="P262" i="9"/>
  <c r="D262" i="10" s="1"/>
  <c r="H262" i="9"/>
  <c r="J262" i="9" s="1"/>
  <c r="G262" i="9"/>
  <c r="O262" i="9"/>
  <c r="C262" i="10" s="1"/>
  <c r="J262" i="10" l="1"/>
  <c r="R261" i="9"/>
  <c r="B261" i="10"/>
  <c r="R256" i="9"/>
  <c r="T263" i="9"/>
  <c r="H263" i="10" s="1"/>
  <c r="S263" i="9"/>
  <c r="G263" i="10" s="1"/>
  <c r="A263" i="10"/>
  <c r="P263" i="10" s="1"/>
  <c r="Q263" i="10" s="1"/>
  <c r="B263" i="9"/>
  <c r="Q263" i="9"/>
  <c r="E263" i="10" s="1"/>
  <c r="I263" i="9"/>
  <c r="F263" i="10" s="1"/>
  <c r="P263" i="9"/>
  <c r="D263" i="10" s="1"/>
  <c r="H263" i="9"/>
  <c r="J263" i="9" s="1"/>
  <c r="L263" i="9" s="1"/>
  <c r="O263" i="9"/>
  <c r="C263" i="10" s="1"/>
  <c r="G263" i="9"/>
  <c r="N263" i="9"/>
  <c r="F263" i="9"/>
  <c r="A264" i="9"/>
  <c r="M263" i="9"/>
  <c r="E263" i="9"/>
  <c r="D263" i="9"/>
  <c r="C263" i="9"/>
  <c r="K263" i="9"/>
  <c r="L262" i="9"/>
  <c r="J263" i="10" l="1"/>
  <c r="B263" i="10"/>
  <c r="R258" i="9"/>
  <c r="R262" i="9"/>
  <c r="B262" i="10"/>
  <c r="R257" i="9"/>
  <c r="M256" i="10"/>
  <c r="K256" i="10"/>
  <c r="I256" i="10"/>
  <c r="M261" i="10"/>
  <c r="K261" i="10"/>
  <c r="I261" i="10"/>
  <c r="N261" i="10" s="1"/>
  <c r="S264" i="9"/>
  <c r="G264" i="10" s="1"/>
  <c r="T264" i="9"/>
  <c r="H264" i="10" s="1"/>
  <c r="A264" i="10"/>
  <c r="P264" i="10" s="1"/>
  <c r="Q264" i="10" s="1"/>
  <c r="N264" i="9"/>
  <c r="F264" i="9"/>
  <c r="A265" i="9"/>
  <c r="M264" i="9"/>
  <c r="E264" i="9"/>
  <c r="D264" i="9"/>
  <c r="K264" i="9"/>
  <c r="C264" i="9"/>
  <c r="B264" i="9"/>
  <c r="Q264" i="9"/>
  <c r="E264" i="10" s="1"/>
  <c r="I264" i="9"/>
  <c r="F264" i="10" s="1"/>
  <c r="P264" i="9"/>
  <c r="D264" i="10" s="1"/>
  <c r="O264" i="9"/>
  <c r="C264" i="10" s="1"/>
  <c r="H264" i="9"/>
  <c r="J264" i="9" s="1"/>
  <c r="L264" i="9" s="1"/>
  <c r="G264" i="9"/>
  <c r="N256" i="10" l="1"/>
  <c r="O256" i="10"/>
  <c r="S256" i="10" s="1"/>
  <c r="U256" i="10" s="1"/>
  <c r="B256" i="19" s="1"/>
  <c r="M262" i="10"/>
  <c r="K262" i="10"/>
  <c r="I262" i="10"/>
  <c r="N262" i="10" s="1"/>
  <c r="K258" i="10"/>
  <c r="M258" i="10"/>
  <c r="I258" i="10"/>
  <c r="T265" i="9"/>
  <c r="H265" i="10" s="1"/>
  <c r="S265" i="9"/>
  <c r="G265" i="10" s="1"/>
  <c r="A265" i="10"/>
  <c r="P265" i="10" s="1"/>
  <c r="Q265" i="10" s="1"/>
  <c r="B264" i="10"/>
  <c r="R259" i="9"/>
  <c r="J264" i="10"/>
  <c r="O261" i="10"/>
  <c r="S261" i="10" s="1"/>
  <c r="U261" i="10" s="1"/>
  <c r="B261" i="19" s="1"/>
  <c r="K257" i="10"/>
  <c r="M257" i="10"/>
  <c r="I257" i="10"/>
  <c r="N257" i="10" s="1"/>
  <c r="B265" i="9"/>
  <c r="Q265" i="9"/>
  <c r="E265" i="10" s="1"/>
  <c r="I265" i="9"/>
  <c r="F265" i="10" s="1"/>
  <c r="P265" i="9"/>
  <c r="D265" i="10" s="1"/>
  <c r="H265" i="9"/>
  <c r="J265" i="9" s="1"/>
  <c r="O265" i="9"/>
  <c r="C265" i="10" s="1"/>
  <c r="G265" i="9"/>
  <c r="N265" i="9"/>
  <c r="F265" i="9"/>
  <c r="A266" i="9"/>
  <c r="M265" i="9"/>
  <c r="E265" i="9"/>
  <c r="K265" i="9"/>
  <c r="D265" i="9"/>
  <c r="C265" i="9"/>
  <c r="N258" i="10" l="1"/>
  <c r="O257" i="10"/>
  <c r="S257" i="10" s="1"/>
  <c r="U257" i="10" s="1"/>
  <c r="B257" i="19" s="1"/>
  <c r="O262" i="10"/>
  <c r="S262" i="10" s="1"/>
  <c r="U262" i="10" s="1"/>
  <c r="B262" i="19" s="1"/>
  <c r="J265" i="10"/>
  <c r="K259" i="10"/>
  <c r="M259" i="10"/>
  <c r="I259" i="10"/>
  <c r="N259" i="10" s="1"/>
  <c r="T266" i="9"/>
  <c r="H266" i="10" s="1"/>
  <c r="S266" i="9"/>
  <c r="G266" i="10" s="1"/>
  <c r="A266" i="10"/>
  <c r="P266" i="10" s="1"/>
  <c r="Q266" i="10" s="1"/>
  <c r="O258" i="10"/>
  <c r="S258" i="10" s="1"/>
  <c r="U258" i="10" s="1"/>
  <c r="B258" i="19" s="1"/>
  <c r="L265" i="9"/>
  <c r="N266" i="9"/>
  <c r="F266" i="9"/>
  <c r="A267" i="9"/>
  <c r="M266" i="9"/>
  <c r="E266" i="9"/>
  <c r="D266" i="9"/>
  <c r="K266" i="9"/>
  <c r="C266" i="9"/>
  <c r="B266" i="9"/>
  <c r="Q266" i="9"/>
  <c r="E266" i="10" s="1"/>
  <c r="I266" i="9"/>
  <c r="F266" i="10" s="1"/>
  <c r="H266" i="9"/>
  <c r="J266" i="9" s="1"/>
  <c r="G266" i="9"/>
  <c r="P266" i="9"/>
  <c r="D266" i="10" s="1"/>
  <c r="O266" i="9"/>
  <c r="C266" i="10" s="1"/>
  <c r="J266" i="10" l="1"/>
  <c r="O259" i="10"/>
  <c r="S259" i="10" s="1"/>
  <c r="U259" i="10" s="1"/>
  <c r="B259" i="19" s="1"/>
  <c r="B265" i="10"/>
  <c r="R260" i="9"/>
  <c r="L266" i="9"/>
  <c r="T267" i="9"/>
  <c r="H267" i="10" s="1"/>
  <c r="S267" i="9"/>
  <c r="G267" i="10" s="1"/>
  <c r="A267" i="10"/>
  <c r="B267" i="9"/>
  <c r="Q267" i="9"/>
  <c r="E267" i="10" s="1"/>
  <c r="I267" i="9"/>
  <c r="F267" i="10" s="1"/>
  <c r="P267" i="9"/>
  <c r="D267" i="10" s="1"/>
  <c r="H267" i="9"/>
  <c r="J267" i="9" s="1"/>
  <c r="L267" i="9" s="1"/>
  <c r="O267" i="9"/>
  <c r="C267" i="10" s="1"/>
  <c r="G267" i="9"/>
  <c r="N267" i="9"/>
  <c r="F267" i="9"/>
  <c r="A268" i="9"/>
  <c r="M267" i="9"/>
  <c r="E267" i="9"/>
  <c r="D267" i="9"/>
  <c r="C267" i="9"/>
  <c r="K267" i="9"/>
  <c r="B267" i="10" l="1"/>
  <c r="B266" i="10"/>
  <c r="I260" i="10"/>
  <c r="K260" i="10"/>
  <c r="M260" i="10"/>
  <c r="S268" i="9"/>
  <c r="G268" i="10" s="1"/>
  <c r="T268" i="9"/>
  <c r="H268" i="10" s="1"/>
  <c r="A268" i="10"/>
  <c r="P268" i="10" s="1"/>
  <c r="Q268" i="10" s="1"/>
  <c r="J267" i="10"/>
  <c r="N268" i="9"/>
  <c r="F268" i="9"/>
  <c r="A269" i="9"/>
  <c r="M268" i="9"/>
  <c r="E268" i="9"/>
  <c r="D268" i="9"/>
  <c r="K268" i="9"/>
  <c r="C268" i="9"/>
  <c r="B268" i="9"/>
  <c r="Q268" i="9"/>
  <c r="E268" i="10" s="1"/>
  <c r="I268" i="9"/>
  <c r="F268" i="10" s="1"/>
  <c r="P268" i="9"/>
  <c r="D268" i="10" s="1"/>
  <c r="O268" i="9"/>
  <c r="C268" i="10" s="1"/>
  <c r="J268" i="10" s="1"/>
  <c r="G268" i="9"/>
  <c r="H268" i="9"/>
  <c r="J268" i="9" s="1"/>
  <c r="N260" i="10" l="1"/>
  <c r="O260" i="10"/>
  <c r="S260" i="10" s="1"/>
  <c r="U260" i="10" s="1"/>
  <c r="B260" i="19" s="1"/>
  <c r="T269" i="9"/>
  <c r="H269" i="10" s="1"/>
  <c r="P267" i="10" s="1"/>
  <c r="Q267" i="10" s="1"/>
  <c r="S269" i="9"/>
  <c r="G269" i="10" s="1"/>
  <c r="A269" i="10"/>
  <c r="P269" i="10" s="1"/>
  <c r="Q269" i="10" s="1"/>
  <c r="B269" i="9"/>
  <c r="Q269" i="9"/>
  <c r="E269" i="10" s="1"/>
  <c r="I269" i="9"/>
  <c r="F269" i="10" s="1"/>
  <c r="P269" i="9"/>
  <c r="D269" i="10" s="1"/>
  <c r="H269" i="9"/>
  <c r="J269" i="9" s="1"/>
  <c r="O269" i="9"/>
  <c r="C269" i="10" s="1"/>
  <c r="G269" i="9"/>
  <c r="N269" i="9"/>
  <c r="F269" i="9"/>
  <c r="A270" i="9"/>
  <c r="M269" i="9"/>
  <c r="E269" i="9"/>
  <c r="K269" i="9"/>
  <c r="D269" i="9"/>
  <c r="C269" i="9"/>
  <c r="L268" i="9"/>
  <c r="R268" i="9" l="1"/>
  <c r="B268" i="10"/>
  <c r="R263" i="9"/>
  <c r="J269" i="10"/>
  <c r="T270" i="9"/>
  <c r="H270" i="10" s="1"/>
  <c r="S270" i="9"/>
  <c r="G270" i="10" s="1"/>
  <c r="A270" i="10"/>
  <c r="P270" i="10" s="1"/>
  <c r="Q270" i="10" s="1"/>
  <c r="L269" i="9"/>
  <c r="N270" i="9"/>
  <c r="F270" i="9"/>
  <c r="A271" i="9"/>
  <c r="M270" i="9"/>
  <c r="E270" i="9"/>
  <c r="D270" i="9"/>
  <c r="K270" i="9"/>
  <c r="C270" i="9"/>
  <c r="B270" i="9"/>
  <c r="Q270" i="9"/>
  <c r="E270" i="10" s="1"/>
  <c r="I270" i="9"/>
  <c r="F270" i="10" s="1"/>
  <c r="P270" i="9"/>
  <c r="D270" i="10" s="1"/>
  <c r="H270" i="9"/>
  <c r="J270" i="9" s="1"/>
  <c r="G270" i="9"/>
  <c r="O270" i="9"/>
  <c r="C270" i="10" s="1"/>
  <c r="R269" i="9" l="1"/>
  <c r="B269" i="10"/>
  <c r="R264" i="9"/>
  <c r="T271" i="9"/>
  <c r="H271" i="10" s="1"/>
  <c r="S271" i="9"/>
  <c r="G271" i="10" s="1"/>
  <c r="A271" i="10"/>
  <c r="P271" i="10" s="1"/>
  <c r="Q271" i="10" s="1"/>
  <c r="J270" i="10"/>
  <c r="K263" i="10"/>
  <c r="M263" i="10"/>
  <c r="I263" i="10"/>
  <c r="I268" i="10"/>
  <c r="K268" i="10"/>
  <c r="M268" i="10"/>
  <c r="B271" i="9"/>
  <c r="Q271" i="9"/>
  <c r="E271" i="10" s="1"/>
  <c r="I271" i="9"/>
  <c r="F271" i="10" s="1"/>
  <c r="P271" i="9"/>
  <c r="D271" i="10" s="1"/>
  <c r="H271" i="9"/>
  <c r="J271" i="9" s="1"/>
  <c r="O271" i="9"/>
  <c r="C271" i="10" s="1"/>
  <c r="G271" i="9"/>
  <c r="N271" i="9"/>
  <c r="F271" i="9"/>
  <c r="A272" i="9"/>
  <c r="M271" i="9"/>
  <c r="E271" i="9"/>
  <c r="D271" i="9"/>
  <c r="C271" i="9"/>
  <c r="K271" i="9"/>
  <c r="L270" i="9"/>
  <c r="N268" i="10" l="1"/>
  <c r="N263" i="10"/>
  <c r="J271" i="10"/>
  <c r="O268" i="10"/>
  <c r="S268" i="10" s="1"/>
  <c r="U268" i="10" s="1"/>
  <c r="B268" i="19" s="1"/>
  <c r="O263" i="10"/>
  <c r="S263" i="10" s="1"/>
  <c r="U263" i="10" s="1"/>
  <c r="B263" i="19" s="1"/>
  <c r="B270" i="10"/>
  <c r="R265" i="9"/>
  <c r="I264" i="10"/>
  <c r="M264" i="10"/>
  <c r="K264" i="10"/>
  <c r="S272" i="9"/>
  <c r="G272" i="10" s="1"/>
  <c r="T272" i="9"/>
  <c r="H272" i="10" s="1"/>
  <c r="A272" i="10"/>
  <c r="P272" i="10" s="1"/>
  <c r="Q272" i="10" s="1"/>
  <c r="M269" i="10"/>
  <c r="I269" i="10"/>
  <c r="K269" i="10"/>
  <c r="L271" i="9"/>
  <c r="N272" i="9"/>
  <c r="F272" i="9"/>
  <c r="A273" i="9"/>
  <c r="M272" i="9"/>
  <c r="E272" i="9"/>
  <c r="D272" i="9"/>
  <c r="K272" i="9"/>
  <c r="C272" i="9"/>
  <c r="B272" i="9"/>
  <c r="Q272" i="9"/>
  <c r="E272" i="10" s="1"/>
  <c r="I272" i="9"/>
  <c r="F272" i="10" s="1"/>
  <c r="P272" i="9"/>
  <c r="D272" i="10" s="1"/>
  <c r="O272" i="9"/>
  <c r="C272" i="10" s="1"/>
  <c r="J272" i="10" s="1"/>
  <c r="H272" i="9"/>
  <c r="J272" i="9" s="1"/>
  <c r="G272" i="9"/>
  <c r="N269" i="10" l="1"/>
  <c r="N264" i="10"/>
  <c r="O264" i="10" s="1"/>
  <c r="S264" i="10" s="1"/>
  <c r="U264" i="10" s="1"/>
  <c r="B264" i="19" s="1"/>
  <c r="B271" i="10"/>
  <c r="R266" i="9"/>
  <c r="K265" i="10"/>
  <c r="M265" i="10"/>
  <c r="I265" i="10"/>
  <c r="N265" i="10" s="1"/>
  <c r="S273" i="9"/>
  <c r="G273" i="10" s="1"/>
  <c r="T273" i="9"/>
  <c r="H273" i="10" s="1"/>
  <c r="A273" i="10"/>
  <c r="P273" i="10" s="1"/>
  <c r="Q273" i="10" s="1"/>
  <c r="L272" i="9"/>
  <c r="O269" i="10"/>
  <c r="S269" i="10" s="1"/>
  <c r="U269" i="10" s="1"/>
  <c r="B269" i="19" s="1"/>
  <c r="B273" i="9"/>
  <c r="Q273" i="9"/>
  <c r="E273" i="10" s="1"/>
  <c r="I273" i="9"/>
  <c r="F273" i="10" s="1"/>
  <c r="P273" i="9"/>
  <c r="D273" i="10" s="1"/>
  <c r="H273" i="9"/>
  <c r="J273" i="9" s="1"/>
  <c r="O273" i="9"/>
  <c r="C273" i="10" s="1"/>
  <c r="G273" i="9"/>
  <c r="N273" i="9"/>
  <c r="F273" i="9"/>
  <c r="A274" i="9"/>
  <c r="M273" i="9"/>
  <c r="E273" i="9"/>
  <c r="K273" i="9"/>
  <c r="D273" i="9"/>
  <c r="C273" i="9"/>
  <c r="J273" i="10" l="1"/>
  <c r="O265" i="10"/>
  <c r="S265" i="10" s="1"/>
  <c r="U265" i="10" s="1"/>
  <c r="B265" i="19" s="1"/>
  <c r="B272" i="10"/>
  <c r="R267" i="9"/>
  <c r="A274" i="10"/>
  <c r="T274" i="9"/>
  <c r="H274" i="10" s="1"/>
  <c r="S274" i="9"/>
  <c r="G274" i="10" s="1"/>
  <c r="M266" i="10"/>
  <c r="K266" i="10"/>
  <c r="I266" i="10"/>
  <c r="N266" i="10" s="1"/>
  <c r="N274" i="9"/>
  <c r="F274" i="9"/>
  <c r="A275" i="9"/>
  <c r="M274" i="9"/>
  <c r="E274" i="9"/>
  <c r="D274" i="9"/>
  <c r="K274" i="9"/>
  <c r="C274" i="9"/>
  <c r="B274" i="9"/>
  <c r="Q274" i="9"/>
  <c r="E274" i="10" s="1"/>
  <c r="I274" i="9"/>
  <c r="F274" i="10" s="1"/>
  <c r="H274" i="9"/>
  <c r="J274" i="9" s="1"/>
  <c r="L274" i="9" s="1"/>
  <c r="G274" i="9"/>
  <c r="P274" i="9"/>
  <c r="D274" i="10" s="1"/>
  <c r="O274" i="9"/>
  <c r="C274" i="10" s="1"/>
  <c r="L273" i="9"/>
  <c r="O266" i="10" l="1"/>
  <c r="S266" i="10" s="1"/>
  <c r="U266" i="10" s="1"/>
  <c r="B266" i="19" s="1"/>
  <c r="B273" i="10"/>
  <c r="B274" i="10"/>
  <c r="J274" i="10"/>
  <c r="K267" i="10"/>
  <c r="I267" i="10"/>
  <c r="N267" i="10" s="1"/>
  <c r="M267" i="10"/>
  <c r="T275" i="9"/>
  <c r="H275" i="10" s="1"/>
  <c r="A275" i="10"/>
  <c r="P275" i="10" s="1"/>
  <c r="Q275" i="10" s="1"/>
  <c r="S275" i="9"/>
  <c r="G275" i="10" s="1"/>
  <c r="B275" i="9"/>
  <c r="Q275" i="9"/>
  <c r="E275" i="10" s="1"/>
  <c r="I275" i="9"/>
  <c r="F275" i="10" s="1"/>
  <c r="P275" i="9"/>
  <c r="D275" i="10" s="1"/>
  <c r="H275" i="9"/>
  <c r="J275" i="9" s="1"/>
  <c r="O275" i="9"/>
  <c r="C275" i="10" s="1"/>
  <c r="G275" i="9"/>
  <c r="N275" i="9"/>
  <c r="F275" i="9"/>
  <c r="A276" i="9"/>
  <c r="M275" i="9"/>
  <c r="E275" i="9"/>
  <c r="D275" i="9"/>
  <c r="C275" i="9"/>
  <c r="K275" i="9"/>
  <c r="L275" i="9" l="1"/>
  <c r="J275" i="10"/>
  <c r="O267" i="10"/>
  <c r="S267" i="10" s="1"/>
  <c r="U267" i="10" s="1"/>
  <c r="B267" i="19" s="1"/>
  <c r="T276" i="9"/>
  <c r="H276" i="10" s="1"/>
  <c r="S276" i="9"/>
  <c r="G276" i="10" s="1"/>
  <c r="A276" i="10"/>
  <c r="P276" i="10" s="1"/>
  <c r="Q276" i="10" s="1"/>
  <c r="N276" i="9"/>
  <c r="F276" i="9"/>
  <c r="A277" i="9"/>
  <c r="M276" i="9"/>
  <c r="E276" i="9"/>
  <c r="D276" i="9"/>
  <c r="K276" i="9"/>
  <c r="C276" i="9"/>
  <c r="B276" i="9"/>
  <c r="Q276" i="9"/>
  <c r="E276" i="10" s="1"/>
  <c r="I276" i="9"/>
  <c r="F276" i="10" s="1"/>
  <c r="P276" i="9"/>
  <c r="D276" i="10" s="1"/>
  <c r="O276" i="9"/>
  <c r="C276" i="10" s="1"/>
  <c r="H276" i="9"/>
  <c r="J276" i="9" s="1"/>
  <c r="L276" i="9" s="1"/>
  <c r="G276" i="9"/>
  <c r="P274" i="10" l="1"/>
  <c r="Q274" i="10" s="1"/>
  <c r="J276" i="10"/>
  <c r="T277" i="9"/>
  <c r="H277" i="10" s="1"/>
  <c r="S277" i="9"/>
  <c r="G277" i="10" s="1"/>
  <c r="A277" i="10"/>
  <c r="P277" i="10" s="1"/>
  <c r="Q277" i="10" s="1"/>
  <c r="R276" i="9"/>
  <c r="K276" i="10" s="1"/>
  <c r="B276" i="10"/>
  <c r="R271" i="9"/>
  <c r="M276" i="10"/>
  <c r="R275" i="9"/>
  <c r="B275" i="10"/>
  <c r="R270" i="9"/>
  <c r="B277" i="9"/>
  <c r="Q277" i="9"/>
  <c r="E277" i="10" s="1"/>
  <c r="I277" i="9"/>
  <c r="F277" i="10" s="1"/>
  <c r="P277" i="9"/>
  <c r="D277" i="10" s="1"/>
  <c r="H277" i="9"/>
  <c r="J277" i="9" s="1"/>
  <c r="O277" i="9"/>
  <c r="C277" i="10" s="1"/>
  <c r="G277" i="9"/>
  <c r="N277" i="9"/>
  <c r="F277" i="9"/>
  <c r="A278" i="9"/>
  <c r="M277" i="9"/>
  <c r="E277" i="9"/>
  <c r="K277" i="9"/>
  <c r="D277" i="9"/>
  <c r="C277" i="9"/>
  <c r="M271" i="10" l="1"/>
  <c r="K271" i="10"/>
  <c r="I271" i="10"/>
  <c r="N271" i="10" s="1"/>
  <c r="J277" i="10"/>
  <c r="M275" i="10"/>
  <c r="I275" i="10"/>
  <c r="K275" i="10"/>
  <c r="S278" i="9"/>
  <c r="G278" i="10" s="1"/>
  <c r="T278" i="9"/>
  <c r="H278" i="10" s="1"/>
  <c r="A278" i="10"/>
  <c r="P278" i="10" s="1"/>
  <c r="Q278" i="10" s="1"/>
  <c r="I276" i="10"/>
  <c r="I270" i="10"/>
  <c r="K270" i="10"/>
  <c r="M270" i="10"/>
  <c r="L277" i="9"/>
  <c r="N278" i="9"/>
  <c r="F278" i="9"/>
  <c r="A279" i="9"/>
  <c r="M278" i="9"/>
  <c r="E278" i="9"/>
  <c r="D278" i="9"/>
  <c r="K278" i="9"/>
  <c r="C278" i="9"/>
  <c r="B278" i="9"/>
  <c r="Q278" i="9"/>
  <c r="E278" i="10" s="1"/>
  <c r="I278" i="9"/>
  <c r="F278" i="10" s="1"/>
  <c r="P278" i="9"/>
  <c r="D278" i="10" s="1"/>
  <c r="H278" i="9"/>
  <c r="J278" i="9" s="1"/>
  <c r="G278" i="9"/>
  <c r="O278" i="9"/>
  <c r="C278" i="10" s="1"/>
  <c r="N275" i="10" l="1"/>
  <c r="N270" i="10"/>
  <c r="O270" i="10" s="1"/>
  <c r="S270" i="10" s="1"/>
  <c r="U270" i="10" s="1"/>
  <c r="B270" i="19" s="1"/>
  <c r="N276" i="10"/>
  <c r="O276" i="10" s="1"/>
  <c r="S276" i="10" s="1"/>
  <c r="U276" i="10" s="1"/>
  <c r="B276" i="19" s="1"/>
  <c r="O271" i="10"/>
  <c r="S271" i="10" s="1"/>
  <c r="U271" i="10" s="1"/>
  <c r="B271" i="19" s="1"/>
  <c r="O275" i="10"/>
  <c r="S275" i="10" s="1"/>
  <c r="U275" i="10" s="1"/>
  <c r="B275" i="19" s="1"/>
  <c r="R277" i="9"/>
  <c r="B277" i="10"/>
  <c r="R272" i="9"/>
  <c r="J278" i="10"/>
  <c r="T279" i="9"/>
  <c r="H279" i="10" s="1"/>
  <c r="S279" i="9"/>
  <c r="G279" i="10" s="1"/>
  <c r="A279" i="10"/>
  <c r="P279" i="10" s="1"/>
  <c r="Q279" i="10" s="1"/>
  <c r="B279" i="9"/>
  <c r="Q279" i="9"/>
  <c r="E279" i="10" s="1"/>
  <c r="I279" i="9"/>
  <c r="F279" i="10" s="1"/>
  <c r="P279" i="9"/>
  <c r="D279" i="10" s="1"/>
  <c r="H279" i="9"/>
  <c r="J279" i="9" s="1"/>
  <c r="O279" i="9"/>
  <c r="C279" i="10" s="1"/>
  <c r="G279" i="9"/>
  <c r="N279" i="9"/>
  <c r="F279" i="9"/>
  <c r="A280" i="9"/>
  <c r="M279" i="9"/>
  <c r="E279" i="9"/>
  <c r="D279" i="9"/>
  <c r="C279" i="9"/>
  <c r="K279" i="9"/>
  <c r="L278" i="9"/>
  <c r="S280" i="9" l="1"/>
  <c r="G280" i="10" s="1"/>
  <c r="T280" i="9"/>
  <c r="H280" i="10" s="1"/>
  <c r="A280" i="10"/>
  <c r="P280" i="10" s="1"/>
  <c r="Q280" i="10" s="1"/>
  <c r="B278" i="10"/>
  <c r="R273" i="9"/>
  <c r="M272" i="10"/>
  <c r="K272" i="10"/>
  <c r="I272" i="10"/>
  <c r="J279" i="10"/>
  <c r="L279" i="9"/>
  <c r="M277" i="10"/>
  <c r="I277" i="10"/>
  <c r="K277" i="10"/>
  <c r="N280" i="9"/>
  <c r="F280" i="9"/>
  <c r="A281" i="9"/>
  <c r="M280" i="9"/>
  <c r="E280" i="9"/>
  <c r="D280" i="9"/>
  <c r="K280" i="9"/>
  <c r="C280" i="9"/>
  <c r="B280" i="9"/>
  <c r="Q280" i="9"/>
  <c r="E280" i="10" s="1"/>
  <c r="I280" i="9"/>
  <c r="F280" i="10" s="1"/>
  <c r="P280" i="9"/>
  <c r="D280" i="10" s="1"/>
  <c r="O280" i="9"/>
  <c r="C280" i="10" s="1"/>
  <c r="H280" i="9"/>
  <c r="J280" i="9" s="1"/>
  <c r="G280" i="9"/>
  <c r="N277" i="10" l="1"/>
  <c r="N272" i="10"/>
  <c r="O272" i="10" s="1"/>
  <c r="S272" i="10" s="1"/>
  <c r="U272" i="10" s="1"/>
  <c r="B272" i="19" s="1"/>
  <c r="L280" i="9"/>
  <c r="B279" i="10"/>
  <c r="R274" i="9"/>
  <c r="S281" i="9"/>
  <c r="G281" i="10" s="1"/>
  <c r="T281" i="9"/>
  <c r="H281" i="10" s="1"/>
  <c r="A281" i="10"/>
  <c r="K273" i="10"/>
  <c r="M273" i="10"/>
  <c r="I273" i="10"/>
  <c r="N273" i="10" s="1"/>
  <c r="O277" i="10"/>
  <c r="S277" i="10" s="1"/>
  <c r="U277" i="10" s="1"/>
  <c r="B277" i="19" s="1"/>
  <c r="J280" i="10"/>
  <c r="B281" i="9"/>
  <c r="Q281" i="9"/>
  <c r="E281" i="10" s="1"/>
  <c r="I281" i="9"/>
  <c r="F281" i="10" s="1"/>
  <c r="P281" i="9"/>
  <c r="D281" i="10" s="1"/>
  <c r="H281" i="9"/>
  <c r="J281" i="9" s="1"/>
  <c r="O281" i="9"/>
  <c r="C281" i="10" s="1"/>
  <c r="G281" i="9"/>
  <c r="N281" i="9"/>
  <c r="F281" i="9"/>
  <c r="A282" i="9"/>
  <c r="M281" i="9"/>
  <c r="E281" i="9"/>
  <c r="K281" i="9"/>
  <c r="C281" i="9"/>
  <c r="D281" i="9"/>
  <c r="J281" i="10" l="1"/>
  <c r="O273" i="10"/>
  <c r="S273" i="10" s="1"/>
  <c r="U273" i="10" s="1"/>
  <c r="B273" i="19" s="1"/>
  <c r="M274" i="10"/>
  <c r="K274" i="10"/>
  <c r="I274" i="10"/>
  <c r="N274" i="10" s="1"/>
  <c r="B280" i="10"/>
  <c r="T282" i="9"/>
  <c r="H282" i="10" s="1"/>
  <c r="S282" i="9"/>
  <c r="G282" i="10" s="1"/>
  <c r="A282" i="10"/>
  <c r="P282" i="10" s="1"/>
  <c r="Q282" i="10" s="1"/>
  <c r="L281" i="9"/>
  <c r="N282" i="9"/>
  <c r="F282" i="9"/>
  <c r="A283" i="9"/>
  <c r="M282" i="9"/>
  <c r="E282" i="9"/>
  <c r="D282" i="9"/>
  <c r="K282" i="9"/>
  <c r="C282" i="9"/>
  <c r="B282" i="9"/>
  <c r="Q282" i="9"/>
  <c r="E282" i="10" s="1"/>
  <c r="I282" i="9"/>
  <c r="F282" i="10" s="1"/>
  <c r="H282" i="9"/>
  <c r="J282" i="9" s="1"/>
  <c r="G282" i="9"/>
  <c r="P282" i="9"/>
  <c r="D282" i="10" s="1"/>
  <c r="O282" i="9"/>
  <c r="C282" i="10" s="1"/>
  <c r="O274" i="10" l="1"/>
  <c r="S274" i="10" s="1"/>
  <c r="U274" i="10" s="1"/>
  <c r="B274" i="19" s="1"/>
  <c r="B281" i="10"/>
  <c r="J282" i="10"/>
  <c r="L282" i="9"/>
  <c r="T283" i="9"/>
  <c r="H283" i="10" s="1"/>
  <c r="P281" i="10" s="1"/>
  <c r="Q281" i="10" s="1"/>
  <c r="S283" i="9"/>
  <c r="G283" i="10" s="1"/>
  <c r="A283" i="10"/>
  <c r="P283" i="10" s="1"/>
  <c r="Q283" i="10" s="1"/>
  <c r="B283" i="9"/>
  <c r="Q283" i="9"/>
  <c r="E283" i="10" s="1"/>
  <c r="I283" i="9"/>
  <c r="F283" i="10" s="1"/>
  <c r="P283" i="9"/>
  <c r="D283" i="10" s="1"/>
  <c r="H283" i="9"/>
  <c r="J283" i="9" s="1"/>
  <c r="L283" i="9" s="1"/>
  <c r="O283" i="9"/>
  <c r="C283" i="10" s="1"/>
  <c r="G283" i="9"/>
  <c r="N283" i="9"/>
  <c r="F283" i="9"/>
  <c r="A284" i="9"/>
  <c r="M283" i="9"/>
  <c r="E283" i="9"/>
  <c r="D283" i="9"/>
  <c r="C283" i="9"/>
  <c r="K283" i="9"/>
  <c r="T284" i="9" l="1"/>
  <c r="H284" i="10" s="1"/>
  <c r="S284" i="9"/>
  <c r="G284" i="10" s="1"/>
  <c r="A284" i="10"/>
  <c r="P284" i="10" s="1"/>
  <c r="Q284" i="10" s="1"/>
  <c r="I283" i="10"/>
  <c r="R283" i="9"/>
  <c r="K283" i="10" s="1"/>
  <c r="B283" i="10"/>
  <c r="R278" i="9"/>
  <c r="R282" i="9"/>
  <c r="B282" i="10"/>
  <c r="J283" i="10"/>
  <c r="N284" i="9"/>
  <c r="F284" i="9"/>
  <c r="A285" i="9"/>
  <c r="M284" i="9"/>
  <c r="E284" i="9"/>
  <c r="D284" i="9"/>
  <c r="K284" i="9"/>
  <c r="C284" i="9"/>
  <c r="B284" i="9"/>
  <c r="Q284" i="9"/>
  <c r="E284" i="10" s="1"/>
  <c r="I284" i="9"/>
  <c r="F284" i="10" s="1"/>
  <c r="P284" i="9"/>
  <c r="D284" i="10" s="1"/>
  <c r="O284" i="9"/>
  <c r="C284" i="10" s="1"/>
  <c r="H284" i="9"/>
  <c r="J284" i="9" s="1"/>
  <c r="G284" i="9"/>
  <c r="T285" i="9" l="1"/>
  <c r="H285" i="10" s="1"/>
  <c r="S285" i="9"/>
  <c r="G285" i="10" s="1"/>
  <c r="A285" i="10"/>
  <c r="P285" i="10" s="1"/>
  <c r="Q285" i="10" s="1"/>
  <c r="M283" i="10"/>
  <c r="L284" i="9"/>
  <c r="K282" i="10"/>
  <c r="M282" i="10"/>
  <c r="I282" i="10"/>
  <c r="J284" i="10"/>
  <c r="K278" i="10"/>
  <c r="M278" i="10"/>
  <c r="I278" i="10"/>
  <c r="N278" i="10" s="1"/>
  <c r="B285" i="9"/>
  <c r="Q285" i="9"/>
  <c r="E285" i="10" s="1"/>
  <c r="I285" i="9"/>
  <c r="F285" i="10" s="1"/>
  <c r="P285" i="9"/>
  <c r="D285" i="10" s="1"/>
  <c r="H285" i="9"/>
  <c r="J285" i="9" s="1"/>
  <c r="O285" i="9"/>
  <c r="C285" i="10" s="1"/>
  <c r="G285" i="9"/>
  <c r="N285" i="9"/>
  <c r="F285" i="9"/>
  <c r="A286" i="9"/>
  <c r="M285" i="9"/>
  <c r="E285" i="9"/>
  <c r="K285" i="9"/>
  <c r="D285" i="9"/>
  <c r="C285" i="9"/>
  <c r="N283" i="10" l="1"/>
  <c r="O283" i="10"/>
  <c r="S283" i="10" s="1"/>
  <c r="U283" i="10" s="1"/>
  <c r="B283" i="19" s="1"/>
  <c r="N282" i="10"/>
  <c r="O278" i="10"/>
  <c r="S278" i="10" s="1"/>
  <c r="U278" i="10" s="1"/>
  <c r="B278" i="19" s="1"/>
  <c r="T286" i="9"/>
  <c r="H286" i="10" s="1"/>
  <c r="S286" i="9"/>
  <c r="G286" i="10" s="1"/>
  <c r="A286" i="10"/>
  <c r="P286" i="10" s="1"/>
  <c r="Q286" i="10" s="1"/>
  <c r="O282" i="10"/>
  <c r="S282" i="10" s="1"/>
  <c r="U282" i="10" s="1"/>
  <c r="B282" i="19" s="1"/>
  <c r="B284" i="10"/>
  <c r="R279" i="9"/>
  <c r="J285" i="10"/>
  <c r="L285" i="9"/>
  <c r="N286" i="9"/>
  <c r="F286" i="9"/>
  <c r="A287" i="9"/>
  <c r="M286" i="9"/>
  <c r="E286" i="9"/>
  <c r="D286" i="9"/>
  <c r="K286" i="9"/>
  <c r="C286" i="9"/>
  <c r="B286" i="9"/>
  <c r="Q286" i="9"/>
  <c r="E286" i="10" s="1"/>
  <c r="I286" i="9"/>
  <c r="F286" i="10" s="1"/>
  <c r="P286" i="9"/>
  <c r="D286" i="10" s="1"/>
  <c r="H286" i="9"/>
  <c r="J286" i="9" s="1"/>
  <c r="G286" i="9"/>
  <c r="O286" i="9"/>
  <c r="C286" i="10" s="1"/>
  <c r="J286" i="10" l="1"/>
  <c r="K279" i="10"/>
  <c r="M279" i="10"/>
  <c r="I279" i="10"/>
  <c r="N279" i="10" s="1"/>
  <c r="T287" i="9"/>
  <c r="H287" i="10" s="1"/>
  <c r="S287" i="9"/>
  <c r="G287" i="10" s="1"/>
  <c r="A287" i="10"/>
  <c r="P287" i="10" s="1"/>
  <c r="Q287" i="10" s="1"/>
  <c r="B285" i="10"/>
  <c r="R280" i="9"/>
  <c r="B287" i="9"/>
  <c r="Q287" i="9"/>
  <c r="E287" i="10" s="1"/>
  <c r="I287" i="9"/>
  <c r="F287" i="10" s="1"/>
  <c r="P287" i="9"/>
  <c r="D287" i="10" s="1"/>
  <c r="H287" i="9"/>
  <c r="J287" i="9" s="1"/>
  <c r="O287" i="9"/>
  <c r="C287" i="10" s="1"/>
  <c r="G287" i="9"/>
  <c r="N287" i="9"/>
  <c r="F287" i="9"/>
  <c r="A288" i="9"/>
  <c r="M287" i="9"/>
  <c r="E287" i="9"/>
  <c r="D287" i="9"/>
  <c r="C287" i="9"/>
  <c r="K287" i="9"/>
  <c r="L286" i="9"/>
  <c r="O279" i="10" l="1"/>
  <c r="S279" i="10" s="1"/>
  <c r="U279" i="10" s="1"/>
  <c r="B279" i="19" s="1"/>
  <c r="M280" i="10"/>
  <c r="K280" i="10"/>
  <c r="I280" i="10"/>
  <c r="N280" i="10" s="1"/>
  <c r="J287" i="10"/>
  <c r="L287" i="9"/>
  <c r="B286" i="10"/>
  <c r="R281" i="9"/>
  <c r="S288" i="9"/>
  <c r="G288" i="10" s="1"/>
  <c r="T288" i="9"/>
  <c r="H288" i="10" s="1"/>
  <c r="A288" i="10"/>
  <c r="N288" i="9"/>
  <c r="F288" i="9"/>
  <c r="A289" i="9"/>
  <c r="M288" i="9"/>
  <c r="E288" i="9"/>
  <c r="D288" i="9"/>
  <c r="K288" i="9"/>
  <c r="C288" i="9"/>
  <c r="B288" i="9"/>
  <c r="Q288" i="9"/>
  <c r="E288" i="10" s="1"/>
  <c r="I288" i="9"/>
  <c r="F288" i="10" s="1"/>
  <c r="P288" i="9"/>
  <c r="D288" i="10" s="1"/>
  <c r="O288" i="9"/>
  <c r="C288" i="10" s="1"/>
  <c r="H288" i="9"/>
  <c r="J288" i="9" s="1"/>
  <c r="G288" i="9"/>
  <c r="J288" i="10" l="1"/>
  <c r="O280" i="10"/>
  <c r="S280" i="10" s="1"/>
  <c r="U280" i="10" s="1"/>
  <c r="B280" i="19" s="1"/>
  <c r="L288" i="9"/>
  <c r="M281" i="10"/>
  <c r="K281" i="10"/>
  <c r="I281" i="10"/>
  <c r="N281" i="10" s="1"/>
  <c r="S289" i="9"/>
  <c r="G289" i="10" s="1"/>
  <c r="T289" i="9"/>
  <c r="H289" i="10" s="1"/>
  <c r="A289" i="10"/>
  <c r="P289" i="10" s="1"/>
  <c r="Q289" i="10" s="1"/>
  <c r="B287" i="10"/>
  <c r="B289" i="9"/>
  <c r="Q289" i="9"/>
  <c r="E289" i="10" s="1"/>
  <c r="I289" i="9"/>
  <c r="F289" i="10" s="1"/>
  <c r="P289" i="9"/>
  <c r="D289" i="10" s="1"/>
  <c r="H289" i="9"/>
  <c r="J289" i="9" s="1"/>
  <c r="O289" i="9"/>
  <c r="C289" i="10" s="1"/>
  <c r="G289" i="9"/>
  <c r="N289" i="9"/>
  <c r="F289" i="9"/>
  <c r="A290" i="9"/>
  <c r="M289" i="9"/>
  <c r="E289" i="9"/>
  <c r="K289" i="9"/>
  <c r="D289" i="9"/>
  <c r="C289" i="9"/>
  <c r="O281" i="10" l="1"/>
  <c r="S281" i="10" s="1"/>
  <c r="U281" i="10" s="1"/>
  <c r="B281" i="19" s="1"/>
  <c r="J289" i="10"/>
  <c r="S290" i="9"/>
  <c r="G290" i="10" s="1"/>
  <c r="T290" i="9"/>
  <c r="H290" i="10" s="1"/>
  <c r="P288" i="10" s="1"/>
  <c r="Q288" i="10" s="1"/>
  <c r="A290" i="10"/>
  <c r="P290" i="10" s="1"/>
  <c r="Q290" i="10" s="1"/>
  <c r="B288" i="10"/>
  <c r="L289" i="9"/>
  <c r="N290" i="9"/>
  <c r="F290" i="9"/>
  <c r="A291" i="9"/>
  <c r="M290" i="9"/>
  <c r="E290" i="9"/>
  <c r="D290" i="9"/>
  <c r="K290" i="9"/>
  <c r="C290" i="9"/>
  <c r="B290" i="9"/>
  <c r="Q290" i="9"/>
  <c r="E290" i="10" s="1"/>
  <c r="I290" i="9"/>
  <c r="F290" i="10" s="1"/>
  <c r="H290" i="9"/>
  <c r="J290" i="9" s="1"/>
  <c r="L290" i="9" s="1"/>
  <c r="G290" i="9"/>
  <c r="P290" i="9"/>
  <c r="D290" i="10" s="1"/>
  <c r="O290" i="9"/>
  <c r="C290" i="10" s="1"/>
  <c r="R289" i="9" l="1"/>
  <c r="B289" i="10"/>
  <c r="R284" i="9"/>
  <c r="R290" i="9"/>
  <c r="B290" i="10"/>
  <c r="R285" i="9"/>
  <c r="J290" i="10"/>
  <c r="M290" i="10"/>
  <c r="T291" i="9"/>
  <c r="H291" i="10" s="1"/>
  <c r="S291" i="9"/>
  <c r="G291" i="10" s="1"/>
  <c r="A291" i="10"/>
  <c r="P291" i="10" s="1"/>
  <c r="Q291" i="10" s="1"/>
  <c r="B291" i="9"/>
  <c r="Q291" i="9"/>
  <c r="E291" i="10" s="1"/>
  <c r="I291" i="9"/>
  <c r="F291" i="10" s="1"/>
  <c r="P291" i="9"/>
  <c r="D291" i="10" s="1"/>
  <c r="H291" i="9"/>
  <c r="J291" i="9" s="1"/>
  <c r="O291" i="9"/>
  <c r="C291" i="10" s="1"/>
  <c r="G291" i="9"/>
  <c r="N291" i="9"/>
  <c r="F291" i="9"/>
  <c r="A292" i="9"/>
  <c r="M291" i="9"/>
  <c r="E291" i="9"/>
  <c r="D291" i="9"/>
  <c r="C291" i="9"/>
  <c r="K291" i="9"/>
  <c r="J291" i="10" l="1"/>
  <c r="L291" i="9"/>
  <c r="I290" i="10"/>
  <c r="I284" i="10"/>
  <c r="N284" i="10" s="1"/>
  <c r="M284" i="10"/>
  <c r="K284" i="10"/>
  <c r="M285" i="10"/>
  <c r="I285" i="10"/>
  <c r="K285" i="10"/>
  <c r="K290" i="10"/>
  <c r="T292" i="9"/>
  <c r="H292" i="10" s="1"/>
  <c r="S292" i="9"/>
  <c r="G292" i="10" s="1"/>
  <c r="A292" i="10"/>
  <c r="P292" i="10" s="1"/>
  <c r="Q292" i="10" s="1"/>
  <c r="M289" i="10"/>
  <c r="K289" i="10"/>
  <c r="I289" i="10"/>
  <c r="N292" i="9"/>
  <c r="F292" i="9"/>
  <c r="A293" i="9"/>
  <c r="M292" i="9"/>
  <c r="E292" i="9"/>
  <c r="D292" i="9"/>
  <c r="K292" i="9"/>
  <c r="C292" i="9"/>
  <c r="B292" i="9"/>
  <c r="Q292" i="9"/>
  <c r="E292" i="10" s="1"/>
  <c r="I292" i="9"/>
  <c r="F292" i="10" s="1"/>
  <c r="P292" i="9"/>
  <c r="D292" i="10" s="1"/>
  <c r="O292" i="9"/>
  <c r="C292" i="10" s="1"/>
  <c r="H292" i="9"/>
  <c r="J292" i="9" s="1"/>
  <c r="G292" i="9"/>
  <c r="N290" i="10" l="1"/>
  <c r="N289" i="10"/>
  <c r="N285" i="10"/>
  <c r="O289" i="10"/>
  <c r="S289" i="10" s="1"/>
  <c r="U289" i="10" s="1"/>
  <c r="B289" i="19" s="1"/>
  <c r="J292" i="10"/>
  <c r="O290" i="10"/>
  <c r="S290" i="10" s="1"/>
  <c r="U290" i="10" s="1"/>
  <c r="B290" i="19" s="1"/>
  <c r="L292" i="9"/>
  <c r="T293" i="9"/>
  <c r="H293" i="10" s="1"/>
  <c r="S293" i="9"/>
  <c r="G293" i="10" s="1"/>
  <c r="A293" i="10"/>
  <c r="P293" i="10" s="1"/>
  <c r="Q293" i="10" s="1"/>
  <c r="O285" i="10"/>
  <c r="S285" i="10" s="1"/>
  <c r="U285" i="10" s="1"/>
  <c r="B285" i="19" s="1"/>
  <c r="B291" i="10"/>
  <c r="R286" i="9"/>
  <c r="O284" i="10"/>
  <c r="S284" i="10" s="1"/>
  <c r="U284" i="10" s="1"/>
  <c r="B284" i="19" s="1"/>
  <c r="B293" i="9"/>
  <c r="Q293" i="9"/>
  <c r="E293" i="10" s="1"/>
  <c r="I293" i="9"/>
  <c r="F293" i="10" s="1"/>
  <c r="P293" i="9"/>
  <c r="D293" i="10" s="1"/>
  <c r="H293" i="9"/>
  <c r="J293" i="9" s="1"/>
  <c r="O293" i="9"/>
  <c r="C293" i="10" s="1"/>
  <c r="G293" i="9"/>
  <c r="N293" i="9"/>
  <c r="F293" i="9"/>
  <c r="A294" i="9"/>
  <c r="M293" i="9"/>
  <c r="E293" i="9"/>
  <c r="K293" i="9"/>
  <c r="D293" i="9"/>
  <c r="C293" i="9"/>
  <c r="B292" i="10" l="1"/>
  <c r="R287" i="9"/>
  <c r="J293" i="10"/>
  <c r="M286" i="10"/>
  <c r="I286" i="10"/>
  <c r="N286" i="10" s="1"/>
  <c r="K286" i="10"/>
  <c r="T294" i="9"/>
  <c r="H294" i="10" s="1"/>
  <c r="S294" i="9"/>
  <c r="G294" i="10" s="1"/>
  <c r="A294" i="10"/>
  <c r="P294" i="10" s="1"/>
  <c r="Q294" i="10" s="1"/>
  <c r="L293" i="9"/>
  <c r="N294" i="9"/>
  <c r="F294" i="9"/>
  <c r="A295" i="9"/>
  <c r="M294" i="9"/>
  <c r="E294" i="9"/>
  <c r="D294" i="9"/>
  <c r="K294" i="9"/>
  <c r="C294" i="9"/>
  <c r="B294" i="9"/>
  <c r="Q294" i="9"/>
  <c r="E294" i="10" s="1"/>
  <c r="I294" i="9"/>
  <c r="F294" i="10" s="1"/>
  <c r="P294" i="9"/>
  <c r="D294" i="10" s="1"/>
  <c r="H294" i="9"/>
  <c r="J294" i="9" s="1"/>
  <c r="G294" i="9"/>
  <c r="O294" i="9"/>
  <c r="C294" i="10" s="1"/>
  <c r="J294" i="10" l="1"/>
  <c r="O286" i="10"/>
  <c r="S286" i="10" s="1"/>
  <c r="U286" i="10" s="1"/>
  <c r="B286" i="19" s="1"/>
  <c r="T295" i="9"/>
  <c r="H295" i="10" s="1"/>
  <c r="S295" i="9"/>
  <c r="G295" i="10" s="1"/>
  <c r="A295" i="10"/>
  <c r="B293" i="10"/>
  <c r="R288" i="9"/>
  <c r="M287" i="10"/>
  <c r="I287" i="10"/>
  <c r="K287" i="10"/>
  <c r="B295" i="9"/>
  <c r="Q295" i="9"/>
  <c r="E295" i="10" s="1"/>
  <c r="I295" i="9"/>
  <c r="F295" i="10" s="1"/>
  <c r="P295" i="9"/>
  <c r="D295" i="10" s="1"/>
  <c r="H295" i="9"/>
  <c r="J295" i="9" s="1"/>
  <c r="O295" i="9"/>
  <c r="C295" i="10" s="1"/>
  <c r="G295" i="9"/>
  <c r="N295" i="9"/>
  <c r="F295" i="9"/>
  <c r="A296" i="9"/>
  <c r="M295" i="9"/>
  <c r="E295" i="9"/>
  <c r="D295" i="9"/>
  <c r="C295" i="9"/>
  <c r="K295" i="9"/>
  <c r="L294" i="9"/>
  <c r="N287" i="10" l="1"/>
  <c r="S296" i="9"/>
  <c r="G296" i="10" s="1"/>
  <c r="T296" i="9"/>
  <c r="H296" i="10" s="1"/>
  <c r="A296" i="10"/>
  <c r="P296" i="10" s="1"/>
  <c r="Q296" i="10" s="1"/>
  <c r="J295" i="10"/>
  <c r="O287" i="10"/>
  <c r="S287" i="10" s="1"/>
  <c r="U287" i="10" s="1"/>
  <c r="B287" i="19" s="1"/>
  <c r="B294" i="10"/>
  <c r="L295" i="9"/>
  <c r="M288" i="10"/>
  <c r="K288" i="10"/>
  <c r="I288" i="10"/>
  <c r="N288" i="10" s="1"/>
  <c r="N296" i="9"/>
  <c r="F296" i="9"/>
  <c r="A297" i="9"/>
  <c r="M296" i="9"/>
  <c r="E296" i="9"/>
  <c r="D296" i="9"/>
  <c r="K296" i="9"/>
  <c r="C296" i="9"/>
  <c r="B296" i="9"/>
  <c r="Q296" i="9"/>
  <c r="E296" i="10" s="1"/>
  <c r="I296" i="9"/>
  <c r="F296" i="10" s="1"/>
  <c r="P296" i="9"/>
  <c r="D296" i="10" s="1"/>
  <c r="O296" i="9"/>
  <c r="C296" i="10" s="1"/>
  <c r="J296" i="10" s="1"/>
  <c r="H296" i="9"/>
  <c r="J296" i="9" s="1"/>
  <c r="G296" i="9"/>
  <c r="O288" i="10" l="1"/>
  <c r="S288" i="10" s="1"/>
  <c r="U288" i="10" s="1"/>
  <c r="B288" i="19" s="1"/>
  <c r="S297" i="9"/>
  <c r="G297" i="10" s="1"/>
  <c r="T297" i="9"/>
  <c r="H297" i="10" s="1"/>
  <c r="P295" i="10" s="1"/>
  <c r="Q295" i="10" s="1"/>
  <c r="A297" i="10"/>
  <c r="P297" i="10" s="1"/>
  <c r="Q297" i="10" s="1"/>
  <c r="B295" i="10"/>
  <c r="L296" i="9"/>
  <c r="B297" i="9"/>
  <c r="Q297" i="9"/>
  <c r="E297" i="10" s="1"/>
  <c r="I297" i="9"/>
  <c r="F297" i="10" s="1"/>
  <c r="P297" i="9"/>
  <c r="D297" i="10" s="1"/>
  <c r="H297" i="9"/>
  <c r="J297" i="9" s="1"/>
  <c r="O297" i="9"/>
  <c r="C297" i="10" s="1"/>
  <c r="G297" i="9"/>
  <c r="N297" i="9"/>
  <c r="F297" i="9"/>
  <c r="A298" i="9"/>
  <c r="M297" i="9"/>
  <c r="E297" i="9"/>
  <c r="K297" i="9"/>
  <c r="D297" i="9"/>
  <c r="C297" i="9"/>
  <c r="J297" i="10" l="1"/>
  <c r="T298" i="9"/>
  <c r="H298" i="10" s="1"/>
  <c r="S298" i="9"/>
  <c r="G298" i="10" s="1"/>
  <c r="A298" i="10"/>
  <c r="P298" i="10" s="1"/>
  <c r="Q298" i="10" s="1"/>
  <c r="R296" i="9"/>
  <c r="B296" i="10"/>
  <c r="R291" i="9"/>
  <c r="L297" i="9"/>
  <c r="N298" i="9"/>
  <c r="F298" i="9"/>
  <c r="A299" i="9"/>
  <c r="M298" i="9"/>
  <c r="E298" i="9"/>
  <c r="D298" i="9"/>
  <c r="K298" i="9"/>
  <c r="C298" i="9"/>
  <c r="B298" i="9"/>
  <c r="Q298" i="9"/>
  <c r="E298" i="10" s="1"/>
  <c r="I298" i="9"/>
  <c r="F298" i="10" s="1"/>
  <c r="H298" i="9"/>
  <c r="J298" i="9" s="1"/>
  <c r="L298" i="9" s="1"/>
  <c r="G298" i="9"/>
  <c r="P298" i="9"/>
  <c r="D298" i="10" s="1"/>
  <c r="O298" i="9"/>
  <c r="C298" i="10" s="1"/>
  <c r="K296" i="10" l="1"/>
  <c r="I296" i="10"/>
  <c r="M296" i="10"/>
  <c r="R297" i="9"/>
  <c r="B297" i="10"/>
  <c r="R292" i="9"/>
  <c r="K291" i="10"/>
  <c r="M291" i="10"/>
  <c r="I291" i="10"/>
  <c r="N291" i="10" s="1"/>
  <c r="B298" i="10"/>
  <c r="R293" i="9"/>
  <c r="T299" i="9"/>
  <c r="H299" i="10" s="1"/>
  <c r="S299" i="9"/>
  <c r="G299" i="10" s="1"/>
  <c r="A299" i="10"/>
  <c r="P299" i="10" s="1"/>
  <c r="Q299" i="10" s="1"/>
  <c r="J298" i="10"/>
  <c r="B299" i="9"/>
  <c r="Q299" i="9"/>
  <c r="E299" i="10" s="1"/>
  <c r="I299" i="9"/>
  <c r="F299" i="10" s="1"/>
  <c r="P299" i="9"/>
  <c r="D299" i="10" s="1"/>
  <c r="H299" i="9"/>
  <c r="J299" i="9" s="1"/>
  <c r="O299" i="9"/>
  <c r="C299" i="10" s="1"/>
  <c r="G299" i="9"/>
  <c r="N299" i="9"/>
  <c r="F299" i="9"/>
  <c r="A300" i="9"/>
  <c r="M299" i="9"/>
  <c r="E299" i="9"/>
  <c r="D299" i="9"/>
  <c r="C299" i="9"/>
  <c r="K299" i="9"/>
  <c r="N296" i="10" l="1"/>
  <c r="O291" i="10"/>
  <c r="S291" i="10" s="1"/>
  <c r="U291" i="10" s="1"/>
  <c r="B291" i="19" s="1"/>
  <c r="I297" i="10"/>
  <c r="M297" i="10"/>
  <c r="K297" i="10"/>
  <c r="O296" i="10"/>
  <c r="S296" i="10" s="1"/>
  <c r="U296" i="10" s="1"/>
  <c r="B296" i="19" s="1"/>
  <c r="T300" i="9"/>
  <c r="H300" i="10" s="1"/>
  <c r="S300" i="9"/>
  <c r="G300" i="10" s="1"/>
  <c r="A300" i="10"/>
  <c r="M292" i="10"/>
  <c r="K292" i="10"/>
  <c r="I292" i="10"/>
  <c r="N292" i="10" s="1"/>
  <c r="J299" i="10"/>
  <c r="M293" i="10"/>
  <c r="I293" i="10"/>
  <c r="K293" i="10"/>
  <c r="L299" i="9"/>
  <c r="N300" i="9"/>
  <c r="F300" i="9"/>
  <c r="A301" i="9"/>
  <c r="M300" i="9"/>
  <c r="E300" i="9"/>
  <c r="D300" i="9"/>
  <c r="K300" i="9"/>
  <c r="C300" i="9"/>
  <c r="B300" i="9"/>
  <c r="Q300" i="9"/>
  <c r="E300" i="10" s="1"/>
  <c r="I300" i="9"/>
  <c r="F300" i="10" s="1"/>
  <c r="P300" i="9"/>
  <c r="D300" i="10" s="1"/>
  <c r="O300" i="9"/>
  <c r="C300" i="10" s="1"/>
  <c r="H300" i="9"/>
  <c r="J300" i="9" s="1"/>
  <c r="G300" i="9"/>
  <c r="N297" i="10" l="1"/>
  <c r="N293" i="10"/>
  <c r="P300" i="10"/>
  <c r="Q300" i="10" s="1"/>
  <c r="J300" i="10"/>
  <c r="O292" i="10"/>
  <c r="S292" i="10" s="1"/>
  <c r="U292" i="10" s="1"/>
  <c r="B292" i="19" s="1"/>
  <c r="O293" i="10"/>
  <c r="S293" i="10" s="1"/>
  <c r="U293" i="10" s="1"/>
  <c r="B293" i="19" s="1"/>
  <c r="B299" i="10"/>
  <c r="R294" i="9"/>
  <c r="O297" i="10"/>
  <c r="S297" i="10" s="1"/>
  <c r="U297" i="10" s="1"/>
  <c r="B297" i="19" s="1"/>
  <c r="T301" i="9"/>
  <c r="H301" i="10" s="1"/>
  <c r="S301" i="9"/>
  <c r="G301" i="10" s="1"/>
  <c r="A301" i="10"/>
  <c r="P301" i="10" s="1"/>
  <c r="Q301" i="10" s="1"/>
  <c r="B301" i="9"/>
  <c r="Q301" i="9"/>
  <c r="E301" i="10" s="1"/>
  <c r="I301" i="9"/>
  <c r="F301" i="10" s="1"/>
  <c r="P301" i="9"/>
  <c r="D301" i="10" s="1"/>
  <c r="H301" i="9"/>
  <c r="J301" i="9" s="1"/>
  <c r="O301" i="9"/>
  <c r="C301" i="10" s="1"/>
  <c r="G301" i="9"/>
  <c r="N301" i="9"/>
  <c r="F301" i="9"/>
  <c r="A302" i="9"/>
  <c r="M301" i="9"/>
  <c r="E301" i="9"/>
  <c r="K301" i="9"/>
  <c r="D301" i="9"/>
  <c r="C301" i="9"/>
  <c r="L300" i="9"/>
  <c r="B300" i="10" l="1"/>
  <c r="R295" i="9"/>
  <c r="T302" i="9"/>
  <c r="H302" i="10" s="1"/>
  <c r="S302" i="9"/>
  <c r="G302" i="10" s="1"/>
  <c r="A302" i="10"/>
  <c r="J301" i="10"/>
  <c r="M294" i="10"/>
  <c r="I294" i="10"/>
  <c r="K294" i="10"/>
  <c r="L301" i="9"/>
  <c r="N302" i="9"/>
  <c r="F302" i="9"/>
  <c r="A303" i="9"/>
  <c r="M302" i="9"/>
  <c r="E302" i="9"/>
  <c r="D302" i="9"/>
  <c r="K302" i="9"/>
  <c r="C302" i="9"/>
  <c r="B302" i="9"/>
  <c r="Q302" i="9"/>
  <c r="E302" i="10" s="1"/>
  <c r="I302" i="9"/>
  <c r="F302" i="10" s="1"/>
  <c r="P302" i="9"/>
  <c r="D302" i="10" s="1"/>
  <c r="H302" i="9"/>
  <c r="J302" i="9" s="1"/>
  <c r="G302" i="9"/>
  <c r="O302" i="9"/>
  <c r="C302" i="10" s="1"/>
  <c r="J302" i="10" s="1"/>
  <c r="N294" i="10" l="1"/>
  <c r="O294" i="10"/>
  <c r="S294" i="10" s="1"/>
  <c r="U294" i="10" s="1"/>
  <c r="B294" i="19" s="1"/>
  <c r="K295" i="10"/>
  <c r="I295" i="10"/>
  <c r="N295" i="10" s="1"/>
  <c r="M295" i="10"/>
  <c r="T303" i="9"/>
  <c r="H303" i="10" s="1"/>
  <c r="S303" i="9"/>
  <c r="G303" i="10" s="1"/>
  <c r="A303" i="10"/>
  <c r="P303" i="10" s="1"/>
  <c r="Q303" i="10" s="1"/>
  <c r="B301" i="10"/>
  <c r="B303" i="9"/>
  <c r="Q303" i="9"/>
  <c r="E303" i="10" s="1"/>
  <c r="I303" i="9"/>
  <c r="F303" i="10" s="1"/>
  <c r="P303" i="9"/>
  <c r="D303" i="10" s="1"/>
  <c r="H303" i="9"/>
  <c r="J303" i="9" s="1"/>
  <c r="O303" i="9"/>
  <c r="C303" i="10" s="1"/>
  <c r="G303" i="9"/>
  <c r="N303" i="9"/>
  <c r="F303" i="9"/>
  <c r="A304" i="9"/>
  <c r="M303" i="9"/>
  <c r="E303" i="9"/>
  <c r="D303" i="9"/>
  <c r="C303" i="9"/>
  <c r="K303" i="9"/>
  <c r="L302" i="9"/>
  <c r="O295" i="10" l="1"/>
  <c r="S295" i="10" s="1"/>
  <c r="U295" i="10" s="1"/>
  <c r="B295" i="19" s="1"/>
  <c r="S304" i="9"/>
  <c r="G304" i="10" s="1"/>
  <c r="T304" i="9"/>
  <c r="H304" i="10" s="1"/>
  <c r="A304" i="10"/>
  <c r="P304" i="10" s="1"/>
  <c r="Q304" i="10" s="1"/>
  <c r="B302" i="10"/>
  <c r="J303" i="10"/>
  <c r="L303" i="9"/>
  <c r="N304" i="9"/>
  <c r="F304" i="9"/>
  <c r="A305" i="9"/>
  <c r="M304" i="9"/>
  <c r="E304" i="9"/>
  <c r="D304" i="9"/>
  <c r="K304" i="9"/>
  <c r="C304" i="9"/>
  <c r="B304" i="9"/>
  <c r="Q304" i="9"/>
  <c r="E304" i="10" s="1"/>
  <c r="I304" i="9"/>
  <c r="F304" i="10" s="1"/>
  <c r="P304" i="9"/>
  <c r="D304" i="10" s="1"/>
  <c r="O304" i="9"/>
  <c r="C304" i="10" s="1"/>
  <c r="J304" i="10" s="1"/>
  <c r="H304" i="9"/>
  <c r="J304" i="9" s="1"/>
  <c r="L304" i="9" s="1"/>
  <c r="G304" i="9"/>
  <c r="P302" i="10" l="1"/>
  <c r="Q302" i="10" s="1"/>
  <c r="R303" i="9"/>
  <c r="B303" i="10"/>
  <c r="R298" i="9"/>
  <c r="K304" i="10"/>
  <c r="I304" i="10"/>
  <c r="R304" i="9"/>
  <c r="B304" i="10"/>
  <c r="R299" i="9"/>
  <c r="S305" i="9"/>
  <c r="G305" i="10" s="1"/>
  <c r="T305" i="9"/>
  <c r="H305" i="10" s="1"/>
  <c r="A305" i="10"/>
  <c r="P305" i="10" s="1"/>
  <c r="Q305" i="10" s="1"/>
  <c r="B305" i="9"/>
  <c r="Q305" i="9"/>
  <c r="E305" i="10" s="1"/>
  <c r="I305" i="9"/>
  <c r="F305" i="10" s="1"/>
  <c r="P305" i="9"/>
  <c r="D305" i="10" s="1"/>
  <c r="H305" i="9"/>
  <c r="J305" i="9" s="1"/>
  <c r="O305" i="9"/>
  <c r="C305" i="10" s="1"/>
  <c r="G305" i="9"/>
  <c r="N305" i="9"/>
  <c r="F305" i="9"/>
  <c r="A306" i="9"/>
  <c r="M305" i="9"/>
  <c r="E305" i="9"/>
  <c r="K305" i="9"/>
  <c r="D305" i="9"/>
  <c r="C305" i="9"/>
  <c r="M304" i="10" l="1"/>
  <c r="J305" i="10"/>
  <c r="M298" i="10"/>
  <c r="K298" i="10"/>
  <c r="I298" i="10"/>
  <c r="N298" i="10" s="1"/>
  <c r="M299" i="10"/>
  <c r="I299" i="10"/>
  <c r="K299" i="10"/>
  <c r="S306" i="9"/>
  <c r="G306" i="10" s="1"/>
  <c r="T306" i="9"/>
  <c r="H306" i="10" s="1"/>
  <c r="A306" i="10"/>
  <c r="P306" i="10" s="1"/>
  <c r="Q306" i="10" s="1"/>
  <c r="K303" i="10"/>
  <c r="M303" i="10"/>
  <c r="I303" i="10"/>
  <c r="L305" i="9"/>
  <c r="N306" i="9"/>
  <c r="F306" i="9"/>
  <c r="A307" i="9"/>
  <c r="M306" i="9"/>
  <c r="E306" i="9"/>
  <c r="D306" i="9"/>
  <c r="K306" i="9"/>
  <c r="C306" i="9"/>
  <c r="B306" i="9"/>
  <c r="Q306" i="9"/>
  <c r="E306" i="10" s="1"/>
  <c r="I306" i="9"/>
  <c r="F306" i="10" s="1"/>
  <c r="H306" i="9"/>
  <c r="J306" i="9" s="1"/>
  <c r="G306" i="9"/>
  <c r="O306" i="9"/>
  <c r="C306" i="10" s="1"/>
  <c r="P306" i="9"/>
  <c r="D306" i="10" s="1"/>
  <c r="N303" i="10" l="1"/>
  <c r="N299" i="10"/>
  <c r="N304" i="10"/>
  <c r="O304" i="10" s="1"/>
  <c r="S304" i="10" s="1"/>
  <c r="U304" i="10" s="1"/>
  <c r="B304" i="19" s="1"/>
  <c r="O303" i="10"/>
  <c r="S303" i="10" s="1"/>
  <c r="U303" i="10" s="1"/>
  <c r="B303" i="19" s="1"/>
  <c r="O299" i="10"/>
  <c r="S299" i="10" s="1"/>
  <c r="U299" i="10" s="1"/>
  <c r="B299" i="19" s="1"/>
  <c r="R305" i="9"/>
  <c r="B305" i="10"/>
  <c r="R300" i="9"/>
  <c r="L306" i="9"/>
  <c r="O298" i="10"/>
  <c r="S298" i="10" s="1"/>
  <c r="U298" i="10" s="1"/>
  <c r="B298" i="19" s="1"/>
  <c r="T307" i="9"/>
  <c r="H307" i="10" s="1"/>
  <c r="S307" i="9"/>
  <c r="G307" i="10" s="1"/>
  <c r="A307" i="10"/>
  <c r="P307" i="10" s="1"/>
  <c r="Q307" i="10" s="1"/>
  <c r="J306" i="10"/>
  <c r="B307" i="9"/>
  <c r="Q307" i="9"/>
  <c r="E307" i="10" s="1"/>
  <c r="I307" i="9"/>
  <c r="F307" i="10" s="1"/>
  <c r="P307" i="9"/>
  <c r="D307" i="10" s="1"/>
  <c r="H307" i="9"/>
  <c r="J307" i="9" s="1"/>
  <c r="O307" i="9"/>
  <c r="C307" i="10" s="1"/>
  <c r="G307" i="9"/>
  <c r="N307" i="9"/>
  <c r="F307" i="9"/>
  <c r="A308" i="9"/>
  <c r="M307" i="9"/>
  <c r="E307" i="9"/>
  <c r="D307" i="9"/>
  <c r="C307" i="9"/>
  <c r="K307" i="9"/>
  <c r="B306" i="10" l="1"/>
  <c r="R301" i="9"/>
  <c r="M300" i="10"/>
  <c r="K300" i="10"/>
  <c r="I300" i="10"/>
  <c r="N300" i="10" s="1"/>
  <c r="L307" i="9"/>
  <c r="J307" i="10"/>
  <c r="I305" i="10"/>
  <c r="K305" i="10"/>
  <c r="M305" i="10"/>
  <c r="T308" i="9"/>
  <c r="H308" i="10" s="1"/>
  <c r="S308" i="9"/>
  <c r="G308" i="10" s="1"/>
  <c r="A308" i="10"/>
  <c r="P308" i="10" s="1"/>
  <c r="Q308" i="10" s="1"/>
  <c r="N308" i="9"/>
  <c r="F308" i="9"/>
  <c r="A309" i="9"/>
  <c r="M308" i="9"/>
  <c r="E308" i="9"/>
  <c r="D308" i="9"/>
  <c r="K308" i="9"/>
  <c r="C308" i="9"/>
  <c r="B308" i="9"/>
  <c r="Q308" i="9"/>
  <c r="E308" i="10" s="1"/>
  <c r="I308" i="9"/>
  <c r="F308" i="10" s="1"/>
  <c r="P308" i="9"/>
  <c r="D308" i="10" s="1"/>
  <c r="O308" i="9"/>
  <c r="C308" i="10" s="1"/>
  <c r="H308" i="9"/>
  <c r="J308" i="9" s="1"/>
  <c r="G308" i="9"/>
  <c r="N305" i="10" l="1"/>
  <c r="O300" i="10"/>
  <c r="S300" i="10" s="1"/>
  <c r="U300" i="10" s="1"/>
  <c r="B300" i="19" s="1"/>
  <c r="B307" i="10"/>
  <c r="R302" i="9"/>
  <c r="O305" i="10"/>
  <c r="S305" i="10" s="1"/>
  <c r="U305" i="10" s="1"/>
  <c r="B305" i="19" s="1"/>
  <c r="I301" i="10"/>
  <c r="N301" i="10" s="1"/>
  <c r="K301" i="10"/>
  <c r="M301" i="10"/>
  <c r="T309" i="9"/>
  <c r="H309" i="10" s="1"/>
  <c r="S309" i="9"/>
  <c r="G309" i="10" s="1"/>
  <c r="A309" i="10"/>
  <c r="L308" i="9"/>
  <c r="J308" i="10"/>
  <c r="B309" i="9"/>
  <c r="Q309" i="9"/>
  <c r="E309" i="10" s="1"/>
  <c r="I309" i="9"/>
  <c r="F309" i="10" s="1"/>
  <c r="P309" i="9"/>
  <c r="D309" i="10" s="1"/>
  <c r="H309" i="9"/>
  <c r="J309" i="9" s="1"/>
  <c r="O309" i="9"/>
  <c r="C309" i="10" s="1"/>
  <c r="G309" i="9"/>
  <c r="N309" i="9"/>
  <c r="F309" i="9"/>
  <c r="A310" i="9"/>
  <c r="M309" i="9"/>
  <c r="E309" i="9"/>
  <c r="K309" i="9"/>
  <c r="D309" i="9"/>
  <c r="C309" i="9"/>
  <c r="J309" i="10" l="1"/>
  <c r="B308" i="10"/>
  <c r="M302" i="10"/>
  <c r="I302" i="10"/>
  <c r="K302" i="10"/>
  <c r="S310" i="9"/>
  <c r="G310" i="10" s="1"/>
  <c r="T310" i="9"/>
  <c r="H310" i="10" s="1"/>
  <c r="A310" i="10"/>
  <c r="P310" i="10" s="1"/>
  <c r="Q310" i="10" s="1"/>
  <c r="O301" i="10"/>
  <c r="S301" i="10" s="1"/>
  <c r="U301" i="10" s="1"/>
  <c r="B301" i="19" s="1"/>
  <c r="L309" i="9"/>
  <c r="N310" i="9"/>
  <c r="F310" i="9"/>
  <c r="A311" i="9"/>
  <c r="M310" i="9"/>
  <c r="E310" i="9"/>
  <c r="D310" i="9"/>
  <c r="K310" i="9"/>
  <c r="C310" i="9"/>
  <c r="B310" i="9"/>
  <c r="Q310" i="9"/>
  <c r="E310" i="10" s="1"/>
  <c r="I310" i="9"/>
  <c r="F310" i="10" s="1"/>
  <c r="P310" i="9"/>
  <c r="D310" i="10" s="1"/>
  <c r="H310" i="9"/>
  <c r="J310" i="9" s="1"/>
  <c r="G310" i="9"/>
  <c r="O310" i="9"/>
  <c r="C310" i="10" s="1"/>
  <c r="N302" i="10" l="1"/>
  <c r="O302" i="10"/>
  <c r="S302" i="10" s="1"/>
  <c r="U302" i="10" s="1"/>
  <c r="B302" i="19" s="1"/>
  <c r="J310" i="10"/>
  <c r="T311" i="9"/>
  <c r="H311" i="10" s="1"/>
  <c r="P309" i="10" s="1"/>
  <c r="Q309" i="10" s="1"/>
  <c r="S311" i="9"/>
  <c r="G311" i="10" s="1"/>
  <c r="A311" i="10"/>
  <c r="P311" i="10" s="1"/>
  <c r="Q311" i="10" s="1"/>
  <c r="B309" i="10"/>
  <c r="B311" i="9"/>
  <c r="Q311" i="9"/>
  <c r="E311" i="10" s="1"/>
  <c r="I311" i="9"/>
  <c r="F311" i="10" s="1"/>
  <c r="P311" i="9"/>
  <c r="D311" i="10" s="1"/>
  <c r="H311" i="9"/>
  <c r="J311" i="9" s="1"/>
  <c r="L311" i="9" s="1"/>
  <c r="O311" i="9"/>
  <c r="C311" i="10" s="1"/>
  <c r="G311" i="9"/>
  <c r="N311" i="9"/>
  <c r="F311" i="9"/>
  <c r="A312" i="9"/>
  <c r="M311" i="9"/>
  <c r="E311" i="9"/>
  <c r="D311" i="9"/>
  <c r="C311" i="9"/>
  <c r="K311" i="9"/>
  <c r="L310" i="9"/>
  <c r="J311" i="10" l="1"/>
  <c r="R311" i="9"/>
  <c r="B311" i="10"/>
  <c r="R306" i="9"/>
  <c r="S312" i="9"/>
  <c r="G312" i="10" s="1"/>
  <c r="T312" i="9"/>
  <c r="H312" i="10" s="1"/>
  <c r="A312" i="10"/>
  <c r="P312" i="10" s="1"/>
  <c r="Q312" i="10" s="1"/>
  <c r="R310" i="9"/>
  <c r="B310" i="10"/>
  <c r="M311" i="10"/>
  <c r="K311" i="10"/>
  <c r="I311" i="10"/>
  <c r="N311" i="10" s="1"/>
  <c r="N312" i="9"/>
  <c r="F312" i="9"/>
  <c r="A313" i="9"/>
  <c r="M312" i="9"/>
  <c r="E312" i="9"/>
  <c r="D312" i="9"/>
  <c r="K312" i="9"/>
  <c r="C312" i="9"/>
  <c r="B312" i="9"/>
  <c r="Q312" i="9"/>
  <c r="E312" i="10" s="1"/>
  <c r="I312" i="9"/>
  <c r="F312" i="10" s="1"/>
  <c r="P312" i="9"/>
  <c r="D312" i="10" s="1"/>
  <c r="O312" i="9"/>
  <c r="C312" i="10" s="1"/>
  <c r="H312" i="9"/>
  <c r="J312" i="9" s="1"/>
  <c r="G312" i="9"/>
  <c r="J312" i="10" l="1"/>
  <c r="O311" i="10"/>
  <c r="S311" i="10" s="1"/>
  <c r="U311" i="10" s="1"/>
  <c r="B311" i="19" s="1"/>
  <c r="S313" i="9"/>
  <c r="G313" i="10" s="1"/>
  <c r="T313" i="9"/>
  <c r="H313" i="10" s="1"/>
  <c r="A313" i="10"/>
  <c r="P313" i="10" s="1"/>
  <c r="Q313" i="10" s="1"/>
  <c r="M310" i="10"/>
  <c r="I310" i="10"/>
  <c r="K310" i="10"/>
  <c r="M306" i="10"/>
  <c r="K306" i="10"/>
  <c r="I306" i="10"/>
  <c r="N306" i="10" s="1"/>
  <c r="L312" i="9"/>
  <c r="B313" i="9"/>
  <c r="Q313" i="9"/>
  <c r="E313" i="10" s="1"/>
  <c r="I313" i="9"/>
  <c r="F313" i="10" s="1"/>
  <c r="P313" i="9"/>
  <c r="D313" i="10" s="1"/>
  <c r="H313" i="9"/>
  <c r="J313" i="9" s="1"/>
  <c r="O313" i="9"/>
  <c r="C313" i="10" s="1"/>
  <c r="G313" i="9"/>
  <c r="N313" i="9"/>
  <c r="F313" i="9"/>
  <c r="A314" i="9"/>
  <c r="M313" i="9"/>
  <c r="E313" i="9"/>
  <c r="K313" i="9"/>
  <c r="D313" i="9"/>
  <c r="C313" i="9"/>
  <c r="N310" i="10" l="1"/>
  <c r="O306" i="10"/>
  <c r="S306" i="10" s="1"/>
  <c r="U306" i="10" s="1"/>
  <c r="B306" i="19" s="1"/>
  <c r="O310" i="10"/>
  <c r="S310" i="10" s="1"/>
  <c r="U310" i="10" s="1"/>
  <c r="B310" i="19" s="1"/>
  <c r="B312" i="10"/>
  <c r="R307" i="9"/>
  <c r="J313" i="10"/>
  <c r="T314" i="9"/>
  <c r="H314" i="10" s="1"/>
  <c r="S314" i="9"/>
  <c r="G314" i="10" s="1"/>
  <c r="A314" i="10"/>
  <c r="P314" i="10" s="1"/>
  <c r="Q314" i="10" s="1"/>
  <c r="L313" i="9"/>
  <c r="N314" i="9"/>
  <c r="F314" i="9"/>
  <c r="A315" i="9"/>
  <c r="M314" i="9"/>
  <c r="E314" i="9"/>
  <c r="D314" i="9"/>
  <c r="K314" i="9"/>
  <c r="C314" i="9"/>
  <c r="B314" i="9"/>
  <c r="Q314" i="9"/>
  <c r="E314" i="10" s="1"/>
  <c r="I314" i="9"/>
  <c r="F314" i="10" s="1"/>
  <c r="H314" i="9"/>
  <c r="J314" i="9" s="1"/>
  <c r="G314" i="9"/>
  <c r="P314" i="9"/>
  <c r="D314" i="10" s="1"/>
  <c r="O314" i="9"/>
  <c r="C314" i="10" s="1"/>
  <c r="T315" i="9" l="1"/>
  <c r="H315" i="10" s="1"/>
  <c r="S315" i="9"/>
  <c r="G315" i="10" s="1"/>
  <c r="A315" i="10"/>
  <c r="P315" i="10" s="1"/>
  <c r="Q315" i="10" s="1"/>
  <c r="J314" i="10"/>
  <c r="M307" i="10"/>
  <c r="I307" i="10"/>
  <c r="N307" i="10" s="1"/>
  <c r="K307" i="10"/>
  <c r="B313" i="10"/>
  <c r="R308" i="9"/>
  <c r="L314" i="9"/>
  <c r="B315" i="9"/>
  <c r="Q315" i="9"/>
  <c r="E315" i="10" s="1"/>
  <c r="I315" i="9"/>
  <c r="F315" i="10" s="1"/>
  <c r="P315" i="9"/>
  <c r="D315" i="10" s="1"/>
  <c r="H315" i="9"/>
  <c r="J315" i="9" s="1"/>
  <c r="O315" i="9"/>
  <c r="C315" i="10" s="1"/>
  <c r="G315" i="9"/>
  <c r="N315" i="9"/>
  <c r="F315" i="9"/>
  <c r="A316" i="9"/>
  <c r="M315" i="9"/>
  <c r="E315" i="9"/>
  <c r="D315" i="9"/>
  <c r="C315" i="9"/>
  <c r="K315" i="9"/>
  <c r="B314" i="10" l="1"/>
  <c r="R309" i="9"/>
  <c r="M308" i="10"/>
  <c r="K308" i="10"/>
  <c r="I308" i="10"/>
  <c r="N308" i="10" s="1"/>
  <c r="O307" i="10"/>
  <c r="S307" i="10" s="1"/>
  <c r="U307" i="10" s="1"/>
  <c r="B307" i="19" s="1"/>
  <c r="J315" i="10"/>
  <c r="L315" i="9"/>
  <c r="T316" i="9"/>
  <c r="H316" i="10" s="1"/>
  <c r="S316" i="9"/>
  <c r="G316" i="10" s="1"/>
  <c r="A316" i="10"/>
  <c r="N316" i="9"/>
  <c r="F316" i="9"/>
  <c r="A317" i="9"/>
  <c r="M316" i="9"/>
  <c r="E316" i="9"/>
  <c r="D316" i="9"/>
  <c r="K316" i="9"/>
  <c r="C316" i="9"/>
  <c r="B316" i="9"/>
  <c r="Q316" i="9"/>
  <c r="E316" i="10" s="1"/>
  <c r="I316" i="9"/>
  <c r="F316" i="10" s="1"/>
  <c r="P316" i="9"/>
  <c r="D316" i="10" s="1"/>
  <c r="O316" i="9"/>
  <c r="C316" i="10" s="1"/>
  <c r="H316" i="9"/>
  <c r="J316" i="9" s="1"/>
  <c r="G316" i="9"/>
  <c r="J316" i="10" l="1"/>
  <c r="O308" i="10"/>
  <c r="S308" i="10" s="1"/>
  <c r="U308" i="10" s="1"/>
  <c r="B308" i="19" s="1"/>
  <c r="T317" i="9"/>
  <c r="H317" i="10" s="1"/>
  <c r="A317" i="10"/>
  <c r="P317" i="10" s="1"/>
  <c r="Q317" i="10" s="1"/>
  <c r="S317" i="9"/>
  <c r="G317" i="10" s="1"/>
  <c r="M309" i="10"/>
  <c r="I309" i="10"/>
  <c r="N309" i="10" s="1"/>
  <c r="K309" i="10"/>
  <c r="B315" i="10"/>
  <c r="L316" i="9"/>
  <c r="B317" i="9"/>
  <c r="Q317" i="9"/>
  <c r="E317" i="10" s="1"/>
  <c r="I317" i="9"/>
  <c r="F317" i="10" s="1"/>
  <c r="P317" i="9"/>
  <c r="D317" i="10" s="1"/>
  <c r="H317" i="9"/>
  <c r="J317" i="9" s="1"/>
  <c r="O317" i="9"/>
  <c r="C317" i="10" s="1"/>
  <c r="G317" i="9"/>
  <c r="N317" i="9"/>
  <c r="F317" i="9"/>
  <c r="A318" i="9"/>
  <c r="M317" i="9"/>
  <c r="E317" i="9"/>
  <c r="K317" i="9"/>
  <c r="D317" i="9"/>
  <c r="C317" i="9"/>
  <c r="O309" i="10" l="1"/>
  <c r="S309" i="10" s="1"/>
  <c r="U309" i="10" s="1"/>
  <c r="B309" i="19" s="1"/>
  <c r="T318" i="9"/>
  <c r="H318" i="10" s="1"/>
  <c r="P316" i="10" s="1"/>
  <c r="Q316" i="10" s="1"/>
  <c r="S318" i="9"/>
  <c r="G318" i="10" s="1"/>
  <c r="A318" i="10"/>
  <c r="P318" i="10" s="1"/>
  <c r="Q318" i="10" s="1"/>
  <c r="J317" i="10"/>
  <c r="B316" i="10"/>
  <c r="L317" i="9"/>
  <c r="N318" i="9"/>
  <c r="F318" i="9"/>
  <c r="A319" i="9"/>
  <c r="M318" i="9"/>
  <c r="E318" i="9"/>
  <c r="D318" i="9"/>
  <c r="K318" i="9"/>
  <c r="C318" i="9"/>
  <c r="B318" i="9"/>
  <c r="Q318" i="9"/>
  <c r="E318" i="10" s="1"/>
  <c r="I318" i="9"/>
  <c r="F318" i="10" s="1"/>
  <c r="P318" i="9"/>
  <c r="D318" i="10" s="1"/>
  <c r="H318" i="9"/>
  <c r="J318" i="9" s="1"/>
  <c r="G318" i="9"/>
  <c r="O318" i="9"/>
  <c r="C318" i="10" s="1"/>
  <c r="T319" i="9" l="1"/>
  <c r="H319" i="10" s="1"/>
  <c r="S319" i="9"/>
  <c r="G319" i="10" s="1"/>
  <c r="A319" i="10"/>
  <c r="P319" i="10" s="1"/>
  <c r="Q319" i="10" s="1"/>
  <c r="R317" i="9"/>
  <c r="B317" i="10"/>
  <c r="R312" i="9"/>
  <c r="J318" i="10"/>
  <c r="B319" i="9"/>
  <c r="Q319" i="9"/>
  <c r="E319" i="10" s="1"/>
  <c r="I319" i="9"/>
  <c r="F319" i="10" s="1"/>
  <c r="P319" i="9"/>
  <c r="D319" i="10" s="1"/>
  <c r="H319" i="9"/>
  <c r="J319" i="9" s="1"/>
  <c r="O319" i="9"/>
  <c r="C319" i="10" s="1"/>
  <c r="J319" i="10" s="1"/>
  <c r="G319" i="9"/>
  <c r="N319" i="9"/>
  <c r="F319" i="9"/>
  <c r="A320" i="9"/>
  <c r="M319" i="9"/>
  <c r="E319" i="9"/>
  <c r="D319" i="9"/>
  <c r="C319" i="9"/>
  <c r="K319" i="9"/>
  <c r="L318" i="9"/>
  <c r="S320" i="9" l="1"/>
  <c r="G320" i="10" s="1"/>
  <c r="T320" i="9"/>
  <c r="H320" i="10" s="1"/>
  <c r="A320" i="10"/>
  <c r="P320" i="10" s="1"/>
  <c r="Q320" i="10" s="1"/>
  <c r="I317" i="10"/>
  <c r="K317" i="10"/>
  <c r="M317" i="10"/>
  <c r="K312" i="10"/>
  <c r="I312" i="10"/>
  <c r="M312" i="10"/>
  <c r="R318" i="9"/>
  <c r="B318" i="10"/>
  <c r="R313" i="9"/>
  <c r="L319" i="9"/>
  <c r="N320" i="9"/>
  <c r="F320" i="9"/>
  <c r="A321" i="9"/>
  <c r="M320" i="9"/>
  <c r="E320" i="9"/>
  <c r="D320" i="9"/>
  <c r="K320" i="9"/>
  <c r="C320" i="9"/>
  <c r="B320" i="9"/>
  <c r="Q320" i="9"/>
  <c r="E320" i="10" s="1"/>
  <c r="I320" i="9"/>
  <c r="F320" i="10" s="1"/>
  <c r="P320" i="9"/>
  <c r="D320" i="10" s="1"/>
  <c r="O320" i="9"/>
  <c r="C320" i="10" s="1"/>
  <c r="H320" i="9"/>
  <c r="J320" i="9" s="1"/>
  <c r="G320" i="9"/>
  <c r="N317" i="10" l="1"/>
  <c r="N312" i="10"/>
  <c r="J320" i="10"/>
  <c r="O312" i="10"/>
  <c r="S312" i="10" s="1"/>
  <c r="U312" i="10" s="1"/>
  <c r="B312" i="19" s="1"/>
  <c r="S321" i="9"/>
  <c r="G321" i="10" s="1"/>
  <c r="T321" i="9"/>
  <c r="H321" i="10" s="1"/>
  <c r="A321" i="10"/>
  <c r="P321" i="10" s="1"/>
  <c r="Q321" i="10" s="1"/>
  <c r="K318" i="10"/>
  <c r="I318" i="10"/>
  <c r="M318" i="10"/>
  <c r="O317" i="10"/>
  <c r="S317" i="10" s="1"/>
  <c r="U317" i="10" s="1"/>
  <c r="B317" i="19" s="1"/>
  <c r="K313" i="10"/>
  <c r="M313" i="10"/>
  <c r="I313" i="10"/>
  <c r="N313" i="10" s="1"/>
  <c r="B319" i="10"/>
  <c r="R314" i="9"/>
  <c r="B321" i="9"/>
  <c r="Q321" i="9"/>
  <c r="E321" i="10" s="1"/>
  <c r="I321" i="9"/>
  <c r="F321" i="10" s="1"/>
  <c r="P321" i="9"/>
  <c r="D321" i="10" s="1"/>
  <c r="H321" i="9"/>
  <c r="J321" i="9" s="1"/>
  <c r="O321" i="9"/>
  <c r="C321" i="10" s="1"/>
  <c r="J321" i="10" s="1"/>
  <c r="G321" i="9"/>
  <c r="N321" i="9"/>
  <c r="F321" i="9"/>
  <c r="A322" i="9"/>
  <c r="M321" i="9"/>
  <c r="E321" i="9"/>
  <c r="K321" i="9"/>
  <c r="D321" i="9"/>
  <c r="C321" i="9"/>
  <c r="L320" i="9"/>
  <c r="N318" i="10" l="1"/>
  <c r="S322" i="9"/>
  <c r="G322" i="10" s="1"/>
  <c r="T322" i="9"/>
  <c r="H322" i="10" s="1"/>
  <c r="A322" i="10"/>
  <c r="P322" i="10" s="1"/>
  <c r="Q322" i="10" s="1"/>
  <c r="O318" i="10"/>
  <c r="S318" i="10" s="1"/>
  <c r="U318" i="10" s="1"/>
  <c r="B318" i="19" s="1"/>
  <c r="M314" i="10"/>
  <c r="K314" i="10"/>
  <c r="I314" i="10"/>
  <c r="O313" i="10"/>
  <c r="S313" i="10" s="1"/>
  <c r="U313" i="10" s="1"/>
  <c r="B313" i="19" s="1"/>
  <c r="B320" i="10"/>
  <c r="R315" i="9"/>
  <c r="L321" i="9"/>
  <c r="N322" i="9"/>
  <c r="F322" i="9"/>
  <c r="A323" i="9"/>
  <c r="M322" i="9"/>
  <c r="E322" i="9"/>
  <c r="D322" i="9"/>
  <c r="K322" i="9"/>
  <c r="C322" i="9"/>
  <c r="B322" i="9"/>
  <c r="Q322" i="9"/>
  <c r="E322" i="10" s="1"/>
  <c r="I322" i="9"/>
  <c r="F322" i="10" s="1"/>
  <c r="H322" i="9"/>
  <c r="J322" i="9" s="1"/>
  <c r="G322" i="9"/>
  <c r="P322" i="9"/>
  <c r="D322" i="10" s="1"/>
  <c r="O322" i="9"/>
  <c r="C322" i="10" s="1"/>
  <c r="N314" i="10" l="1"/>
  <c r="J322" i="10"/>
  <c r="O314" i="10"/>
  <c r="S314" i="10" s="1"/>
  <c r="U314" i="10" s="1"/>
  <c r="B314" i="19" s="1"/>
  <c r="M315" i="10"/>
  <c r="K315" i="10"/>
  <c r="I315" i="10"/>
  <c r="N315" i="10" s="1"/>
  <c r="L322" i="9"/>
  <c r="T323" i="9"/>
  <c r="H323" i="10" s="1"/>
  <c r="S323" i="9"/>
  <c r="G323" i="10" s="1"/>
  <c r="A323" i="10"/>
  <c r="B321" i="10"/>
  <c r="R316" i="9"/>
  <c r="B323" i="9"/>
  <c r="Q323" i="9"/>
  <c r="E323" i="10" s="1"/>
  <c r="I323" i="9"/>
  <c r="F323" i="10" s="1"/>
  <c r="P323" i="9"/>
  <c r="D323" i="10" s="1"/>
  <c r="H323" i="9"/>
  <c r="J323" i="9" s="1"/>
  <c r="O323" i="9"/>
  <c r="C323" i="10" s="1"/>
  <c r="G323" i="9"/>
  <c r="N323" i="9"/>
  <c r="F323" i="9"/>
  <c r="A324" i="9"/>
  <c r="M323" i="9"/>
  <c r="E323" i="9"/>
  <c r="D323" i="9"/>
  <c r="C323" i="9"/>
  <c r="K323" i="9"/>
  <c r="J323" i="10" l="1"/>
  <c r="O315" i="10"/>
  <c r="S315" i="10" s="1"/>
  <c r="U315" i="10" s="1"/>
  <c r="B315" i="19" s="1"/>
  <c r="K316" i="10"/>
  <c r="M316" i="10"/>
  <c r="I316" i="10"/>
  <c r="N316" i="10" s="1"/>
  <c r="B322" i="10"/>
  <c r="T324" i="9"/>
  <c r="H324" i="10" s="1"/>
  <c r="S324" i="9"/>
  <c r="G324" i="10" s="1"/>
  <c r="A324" i="10"/>
  <c r="P324" i="10" s="1"/>
  <c r="Q324" i="10" s="1"/>
  <c r="L323" i="9"/>
  <c r="N324" i="9"/>
  <c r="F324" i="9"/>
  <c r="A325" i="9"/>
  <c r="M324" i="9"/>
  <c r="E324" i="9"/>
  <c r="D324" i="9"/>
  <c r="K324" i="9"/>
  <c r="C324" i="9"/>
  <c r="B324" i="9"/>
  <c r="Q324" i="9"/>
  <c r="E324" i="10" s="1"/>
  <c r="I324" i="9"/>
  <c r="F324" i="10" s="1"/>
  <c r="P324" i="9"/>
  <c r="D324" i="10" s="1"/>
  <c r="O324" i="9"/>
  <c r="C324" i="10" s="1"/>
  <c r="H324" i="9"/>
  <c r="J324" i="9" s="1"/>
  <c r="L324" i="9" s="1"/>
  <c r="G324" i="9"/>
  <c r="B323" i="10" l="1"/>
  <c r="M324" i="10"/>
  <c r="K324" i="10"/>
  <c r="I324" i="10"/>
  <c r="N324" i="10" s="1"/>
  <c r="O316" i="10"/>
  <c r="S316" i="10" s="1"/>
  <c r="U316" i="10" s="1"/>
  <c r="B316" i="19" s="1"/>
  <c r="T325" i="9"/>
  <c r="H325" i="10" s="1"/>
  <c r="P323" i="10" s="1"/>
  <c r="Q323" i="10" s="1"/>
  <c r="S325" i="9"/>
  <c r="G325" i="10" s="1"/>
  <c r="A325" i="10"/>
  <c r="P325" i="10" s="1"/>
  <c r="Q325" i="10" s="1"/>
  <c r="R324" i="9"/>
  <c r="B324" i="10"/>
  <c r="R319" i="9"/>
  <c r="J324" i="10"/>
  <c r="B325" i="9"/>
  <c r="Q325" i="9"/>
  <c r="E325" i="10" s="1"/>
  <c r="I325" i="9"/>
  <c r="F325" i="10" s="1"/>
  <c r="P325" i="9"/>
  <c r="D325" i="10" s="1"/>
  <c r="H325" i="9"/>
  <c r="J325" i="9" s="1"/>
  <c r="O325" i="9"/>
  <c r="C325" i="10" s="1"/>
  <c r="G325" i="9"/>
  <c r="N325" i="9"/>
  <c r="F325" i="9"/>
  <c r="A326" i="9"/>
  <c r="M325" i="9"/>
  <c r="E325" i="9"/>
  <c r="K325" i="9"/>
  <c r="D325" i="9"/>
  <c r="C325" i="9"/>
  <c r="O324" i="10" l="1"/>
  <c r="S324" i="10" s="1"/>
  <c r="U324" i="10" s="1"/>
  <c r="B324" i="19" s="1"/>
  <c r="T326" i="9"/>
  <c r="H326" i="10" s="1"/>
  <c r="S326" i="9"/>
  <c r="G326" i="10" s="1"/>
  <c r="A326" i="10"/>
  <c r="P326" i="10" s="1"/>
  <c r="Q326" i="10" s="1"/>
  <c r="K319" i="10"/>
  <c r="I319" i="10"/>
  <c r="M319" i="10"/>
  <c r="J325" i="10"/>
  <c r="L325" i="9"/>
  <c r="N326" i="9"/>
  <c r="F326" i="9"/>
  <c r="A327" i="9"/>
  <c r="M326" i="9"/>
  <c r="E326" i="9"/>
  <c r="D326" i="9"/>
  <c r="K326" i="9"/>
  <c r="C326" i="9"/>
  <c r="B326" i="9"/>
  <c r="Q326" i="9"/>
  <c r="E326" i="10" s="1"/>
  <c r="I326" i="9"/>
  <c r="F326" i="10" s="1"/>
  <c r="P326" i="9"/>
  <c r="D326" i="10" s="1"/>
  <c r="H326" i="9"/>
  <c r="J326" i="9" s="1"/>
  <c r="G326" i="9"/>
  <c r="O326" i="9"/>
  <c r="C326" i="10" s="1"/>
  <c r="N319" i="10" l="1"/>
  <c r="R325" i="9"/>
  <c r="B325" i="10"/>
  <c r="R320" i="9"/>
  <c r="J326" i="10"/>
  <c r="O319" i="10"/>
  <c r="S319" i="10" s="1"/>
  <c r="U319" i="10" s="1"/>
  <c r="B319" i="19" s="1"/>
  <c r="T327" i="9"/>
  <c r="H327" i="10" s="1"/>
  <c r="S327" i="9"/>
  <c r="G327" i="10" s="1"/>
  <c r="A327" i="10"/>
  <c r="P327" i="10" s="1"/>
  <c r="Q327" i="10" s="1"/>
  <c r="B327" i="9"/>
  <c r="Q327" i="9"/>
  <c r="E327" i="10" s="1"/>
  <c r="I327" i="9"/>
  <c r="F327" i="10" s="1"/>
  <c r="P327" i="9"/>
  <c r="D327" i="10" s="1"/>
  <c r="H327" i="9"/>
  <c r="J327" i="9" s="1"/>
  <c r="O327" i="9"/>
  <c r="C327" i="10" s="1"/>
  <c r="G327" i="9"/>
  <c r="N327" i="9"/>
  <c r="F327" i="9"/>
  <c r="A328" i="9"/>
  <c r="M327" i="9"/>
  <c r="E327" i="9"/>
  <c r="D327" i="9"/>
  <c r="C327" i="9"/>
  <c r="K327" i="9"/>
  <c r="L326" i="9"/>
  <c r="J327" i="10" l="1"/>
  <c r="S328" i="9"/>
  <c r="G328" i="10" s="1"/>
  <c r="T328" i="9"/>
  <c r="H328" i="10" s="1"/>
  <c r="A328" i="10"/>
  <c r="P328" i="10" s="1"/>
  <c r="Q328" i="10" s="1"/>
  <c r="B326" i="10"/>
  <c r="R321" i="9"/>
  <c r="I320" i="10"/>
  <c r="N320" i="10" s="1"/>
  <c r="K320" i="10"/>
  <c r="M320" i="10"/>
  <c r="L327" i="9"/>
  <c r="K325" i="10"/>
  <c r="M325" i="10"/>
  <c r="I325" i="10"/>
  <c r="N328" i="9"/>
  <c r="F328" i="9"/>
  <c r="A329" i="9"/>
  <c r="M328" i="9"/>
  <c r="E328" i="9"/>
  <c r="D328" i="9"/>
  <c r="K328" i="9"/>
  <c r="C328" i="9"/>
  <c r="B328" i="9"/>
  <c r="Q328" i="9"/>
  <c r="E328" i="10" s="1"/>
  <c r="I328" i="9"/>
  <c r="F328" i="10" s="1"/>
  <c r="P328" i="9"/>
  <c r="D328" i="10" s="1"/>
  <c r="O328" i="9"/>
  <c r="C328" i="10" s="1"/>
  <c r="H328" i="9"/>
  <c r="J328" i="9" s="1"/>
  <c r="G328" i="9"/>
  <c r="N325" i="10" l="1"/>
  <c r="M321" i="10"/>
  <c r="I321" i="10"/>
  <c r="N321" i="10" s="1"/>
  <c r="K321" i="10"/>
  <c r="O320" i="10"/>
  <c r="S320" i="10" s="1"/>
  <c r="U320" i="10" s="1"/>
  <c r="B320" i="19" s="1"/>
  <c r="L328" i="9"/>
  <c r="B327" i="10"/>
  <c r="R322" i="9"/>
  <c r="T329" i="9"/>
  <c r="H329" i="10" s="1"/>
  <c r="S329" i="9"/>
  <c r="G329" i="10" s="1"/>
  <c r="A329" i="10"/>
  <c r="P329" i="10" s="1"/>
  <c r="Q329" i="10" s="1"/>
  <c r="O325" i="10"/>
  <c r="S325" i="10" s="1"/>
  <c r="U325" i="10" s="1"/>
  <c r="B325" i="19" s="1"/>
  <c r="J328" i="10"/>
  <c r="B329" i="9"/>
  <c r="Q329" i="9"/>
  <c r="E329" i="10" s="1"/>
  <c r="I329" i="9"/>
  <c r="F329" i="10" s="1"/>
  <c r="P329" i="9"/>
  <c r="D329" i="10" s="1"/>
  <c r="H329" i="9"/>
  <c r="J329" i="9" s="1"/>
  <c r="O329" i="9"/>
  <c r="C329" i="10" s="1"/>
  <c r="J329" i="10" s="1"/>
  <c r="G329" i="9"/>
  <c r="N329" i="9"/>
  <c r="F329" i="9"/>
  <c r="A330" i="9"/>
  <c r="M329" i="9"/>
  <c r="E329" i="9"/>
  <c r="K329" i="9"/>
  <c r="D329" i="9"/>
  <c r="C329" i="9"/>
  <c r="O321" i="10" l="1"/>
  <c r="S321" i="10" s="1"/>
  <c r="U321" i="10" s="1"/>
  <c r="B321" i="19" s="1"/>
  <c r="I322" i="10"/>
  <c r="N322" i="10" s="1"/>
  <c r="K322" i="10"/>
  <c r="M322" i="10"/>
  <c r="T330" i="9"/>
  <c r="H330" i="10" s="1"/>
  <c r="S330" i="9"/>
  <c r="G330" i="10" s="1"/>
  <c r="A330" i="10"/>
  <c r="B328" i="10"/>
  <c r="R323" i="9"/>
  <c r="L329" i="9"/>
  <c r="N330" i="9"/>
  <c r="F330" i="9"/>
  <c r="A331" i="9"/>
  <c r="M330" i="9"/>
  <c r="E330" i="9"/>
  <c r="D330" i="9"/>
  <c r="K330" i="9"/>
  <c r="C330" i="9"/>
  <c r="B330" i="9"/>
  <c r="Q330" i="9"/>
  <c r="E330" i="10" s="1"/>
  <c r="I330" i="9"/>
  <c r="F330" i="10" s="1"/>
  <c r="H330" i="9"/>
  <c r="J330" i="9" s="1"/>
  <c r="G330" i="9"/>
  <c r="P330" i="9"/>
  <c r="D330" i="10" s="1"/>
  <c r="O330" i="9"/>
  <c r="C330" i="10" s="1"/>
  <c r="J330" i="10" l="1"/>
  <c r="L330" i="9"/>
  <c r="B329" i="10"/>
  <c r="I323" i="10"/>
  <c r="N323" i="10" s="1"/>
  <c r="K323" i="10"/>
  <c r="M323" i="10"/>
  <c r="T331" i="9"/>
  <c r="H331" i="10" s="1"/>
  <c r="S331" i="9"/>
  <c r="G331" i="10" s="1"/>
  <c r="A331" i="10"/>
  <c r="P331" i="10" s="1"/>
  <c r="Q331" i="10" s="1"/>
  <c r="O322" i="10"/>
  <c r="S322" i="10" s="1"/>
  <c r="U322" i="10" s="1"/>
  <c r="B322" i="19" s="1"/>
  <c r="B331" i="9"/>
  <c r="Q331" i="9"/>
  <c r="E331" i="10" s="1"/>
  <c r="I331" i="9"/>
  <c r="F331" i="10" s="1"/>
  <c r="P331" i="9"/>
  <c r="D331" i="10" s="1"/>
  <c r="H331" i="9"/>
  <c r="J331" i="9" s="1"/>
  <c r="O331" i="9"/>
  <c r="C331" i="10" s="1"/>
  <c r="G331" i="9"/>
  <c r="N331" i="9"/>
  <c r="F331" i="9"/>
  <c r="A332" i="9"/>
  <c r="M331" i="9"/>
  <c r="E331" i="9"/>
  <c r="D331" i="9"/>
  <c r="C331" i="9"/>
  <c r="K331" i="9"/>
  <c r="O323" i="10" l="1"/>
  <c r="S323" i="10" s="1"/>
  <c r="U323" i="10" s="1"/>
  <c r="B323" i="19" s="1"/>
  <c r="L331" i="9"/>
  <c r="J331" i="10"/>
  <c r="T332" i="9"/>
  <c r="H332" i="10" s="1"/>
  <c r="P330" i="10" s="1"/>
  <c r="Q330" i="10" s="1"/>
  <c r="A332" i="10"/>
  <c r="P332" i="10" s="1"/>
  <c r="Q332" i="10" s="1"/>
  <c r="S332" i="9"/>
  <c r="G332" i="10" s="1"/>
  <c r="B330" i="10"/>
  <c r="N332" i="9"/>
  <c r="F332" i="9"/>
  <c r="A333" i="9"/>
  <c r="M332" i="9"/>
  <c r="E332" i="9"/>
  <c r="D332" i="9"/>
  <c r="K332" i="9"/>
  <c r="C332" i="9"/>
  <c r="B332" i="9"/>
  <c r="Q332" i="9"/>
  <c r="E332" i="10" s="1"/>
  <c r="I332" i="9"/>
  <c r="F332" i="10" s="1"/>
  <c r="P332" i="9"/>
  <c r="D332" i="10" s="1"/>
  <c r="O332" i="9"/>
  <c r="C332" i="10" s="1"/>
  <c r="J332" i="10" s="1"/>
  <c r="G332" i="9"/>
  <c r="H332" i="9"/>
  <c r="J332" i="9" s="1"/>
  <c r="T333" i="9" l="1"/>
  <c r="H333" i="10" s="1"/>
  <c r="A333" i="10"/>
  <c r="P333" i="10" s="1"/>
  <c r="Q333" i="10" s="1"/>
  <c r="S333" i="9"/>
  <c r="G333" i="10" s="1"/>
  <c r="R331" i="9"/>
  <c r="B331" i="10"/>
  <c r="R326" i="9"/>
  <c r="B333" i="9"/>
  <c r="Q333" i="9"/>
  <c r="E333" i="10" s="1"/>
  <c r="I333" i="9"/>
  <c r="F333" i="10" s="1"/>
  <c r="P333" i="9"/>
  <c r="D333" i="10" s="1"/>
  <c r="H333" i="9"/>
  <c r="J333" i="9" s="1"/>
  <c r="O333" i="9"/>
  <c r="C333" i="10" s="1"/>
  <c r="G333" i="9"/>
  <c r="N333" i="9"/>
  <c r="F333" i="9"/>
  <c r="A334" i="9"/>
  <c r="M333" i="9"/>
  <c r="E333" i="9"/>
  <c r="K333" i="9"/>
  <c r="D333" i="9"/>
  <c r="C333" i="9"/>
  <c r="L332" i="9"/>
  <c r="J333" i="10" l="1"/>
  <c r="K331" i="10"/>
  <c r="I331" i="10"/>
  <c r="M331" i="10"/>
  <c r="R332" i="9"/>
  <c r="B332" i="10"/>
  <c r="R327" i="9"/>
  <c r="M326" i="10"/>
  <c r="K326" i="10"/>
  <c r="I326" i="10"/>
  <c r="N326" i="10" s="1"/>
  <c r="T334" i="9"/>
  <c r="H334" i="10" s="1"/>
  <c r="S334" i="9"/>
  <c r="G334" i="10" s="1"/>
  <c r="A334" i="10"/>
  <c r="P334" i="10" s="1"/>
  <c r="Q334" i="10" s="1"/>
  <c r="L333" i="9"/>
  <c r="N334" i="9"/>
  <c r="F334" i="9"/>
  <c r="A335" i="9"/>
  <c r="M334" i="9"/>
  <c r="E334" i="9"/>
  <c r="D334" i="9"/>
  <c r="K334" i="9"/>
  <c r="C334" i="9"/>
  <c r="B334" i="9"/>
  <c r="Q334" i="9"/>
  <c r="E334" i="10" s="1"/>
  <c r="I334" i="9"/>
  <c r="F334" i="10" s="1"/>
  <c r="P334" i="9"/>
  <c r="D334" i="10" s="1"/>
  <c r="H334" i="9"/>
  <c r="J334" i="9" s="1"/>
  <c r="G334" i="9"/>
  <c r="O334" i="9"/>
  <c r="C334" i="10" s="1"/>
  <c r="N331" i="10" l="1"/>
  <c r="O326" i="10"/>
  <c r="S326" i="10" s="1"/>
  <c r="U326" i="10" s="1"/>
  <c r="B326" i="19" s="1"/>
  <c r="B333" i="10"/>
  <c r="R328" i="9"/>
  <c r="M327" i="10"/>
  <c r="K327" i="10"/>
  <c r="I327" i="10"/>
  <c r="O331" i="10"/>
  <c r="S331" i="10" s="1"/>
  <c r="U331" i="10" s="1"/>
  <c r="B331" i="19" s="1"/>
  <c r="J334" i="10"/>
  <c r="T335" i="9"/>
  <c r="H335" i="10" s="1"/>
  <c r="S335" i="9"/>
  <c r="G335" i="10" s="1"/>
  <c r="A335" i="10"/>
  <c r="P335" i="10" s="1"/>
  <c r="Q335" i="10" s="1"/>
  <c r="M332" i="10"/>
  <c r="K332" i="10"/>
  <c r="I332" i="10"/>
  <c r="B335" i="9"/>
  <c r="Q335" i="9"/>
  <c r="E335" i="10" s="1"/>
  <c r="I335" i="9"/>
  <c r="F335" i="10" s="1"/>
  <c r="P335" i="9"/>
  <c r="D335" i="10" s="1"/>
  <c r="H335" i="9"/>
  <c r="J335" i="9" s="1"/>
  <c r="O335" i="9"/>
  <c r="C335" i="10" s="1"/>
  <c r="G335" i="9"/>
  <c r="N335" i="9"/>
  <c r="F335" i="9"/>
  <c r="A336" i="9"/>
  <c r="M335" i="9"/>
  <c r="E335" i="9"/>
  <c r="D335" i="9"/>
  <c r="C335" i="9"/>
  <c r="K335" i="9"/>
  <c r="L334" i="9"/>
  <c r="N327" i="10" l="1"/>
  <c r="N332" i="10"/>
  <c r="O332" i="10" s="1"/>
  <c r="S332" i="10" s="1"/>
  <c r="U332" i="10" s="1"/>
  <c r="B332" i="19" s="1"/>
  <c r="S336" i="9"/>
  <c r="G336" i="10" s="1"/>
  <c r="T336" i="9"/>
  <c r="H336" i="10" s="1"/>
  <c r="A336" i="10"/>
  <c r="P336" i="10" s="1"/>
  <c r="Q336" i="10" s="1"/>
  <c r="O327" i="10"/>
  <c r="S327" i="10" s="1"/>
  <c r="U327" i="10" s="1"/>
  <c r="B327" i="19" s="1"/>
  <c r="I328" i="10"/>
  <c r="N328" i="10" s="1"/>
  <c r="M328" i="10"/>
  <c r="K328" i="10"/>
  <c r="B334" i="10"/>
  <c r="R329" i="9"/>
  <c r="J335" i="10"/>
  <c r="L335" i="9"/>
  <c r="N336" i="9"/>
  <c r="F336" i="9"/>
  <c r="A337" i="9"/>
  <c r="M336" i="9"/>
  <c r="E336" i="9"/>
  <c r="D336" i="9"/>
  <c r="K336" i="9"/>
  <c r="C336" i="9"/>
  <c r="B336" i="9"/>
  <c r="Q336" i="9"/>
  <c r="E336" i="10" s="1"/>
  <c r="I336" i="9"/>
  <c r="F336" i="10" s="1"/>
  <c r="P336" i="9"/>
  <c r="D336" i="10" s="1"/>
  <c r="O336" i="9"/>
  <c r="C336" i="10" s="1"/>
  <c r="H336" i="9"/>
  <c r="J336" i="9" s="1"/>
  <c r="G336" i="9"/>
  <c r="J336" i="10" l="1"/>
  <c r="M329" i="10"/>
  <c r="K329" i="10"/>
  <c r="I329" i="10"/>
  <c r="N329" i="10" s="1"/>
  <c r="S337" i="9"/>
  <c r="G337" i="10" s="1"/>
  <c r="T337" i="9"/>
  <c r="H337" i="10" s="1"/>
  <c r="A337" i="10"/>
  <c r="L336" i="9"/>
  <c r="B335" i="10"/>
  <c r="R330" i="9"/>
  <c r="O328" i="10"/>
  <c r="S328" i="10" s="1"/>
  <c r="U328" i="10" s="1"/>
  <c r="B328" i="19" s="1"/>
  <c r="B337" i="9"/>
  <c r="Q337" i="9"/>
  <c r="E337" i="10" s="1"/>
  <c r="I337" i="9"/>
  <c r="F337" i="10" s="1"/>
  <c r="P337" i="9"/>
  <c r="D337" i="10" s="1"/>
  <c r="H337" i="9"/>
  <c r="J337" i="9" s="1"/>
  <c r="O337" i="9"/>
  <c r="C337" i="10" s="1"/>
  <c r="G337" i="9"/>
  <c r="N337" i="9"/>
  <c r="F337" i="9"/>
  <c r="A338" i="9"/>
  <c r="M337" i="9"/>
  <c r="E337" i="9"/>
  <c r="K337" i="9"/>
  <c r="D337" i="9"/>
  <c r="C337" i="9"/>
  <c r="O329" i="10" l="1"/>
  <c r="S329" i="10" s="1"/>
  <c r="U329" i="10" s="1"/>
  <c r="B329" i="19" s="1"/>
  <c r="B336" i="10"/>
  <c r="J337" i="10"/>
  <c r="M330" i="10"/>
  <c r="K330" i="10"/>
  <c r="I330" i="10"/>
  <c r="N330" i="10" s="1"/>
  <c r="S338" i="9"/>
  <c r="G338" i="10" s="1"/>
  <c r="T338" i="9"/>
  <c r="H338" i="10" s="1"/>
  <c r="A338" i="10"/>
  <c r="P338" i="10" s="1"/>
  <c r="Q338" i="10" s="1"/>
  <c r="L337" i="9"/>
  <c r="N338" i="9"/>
  <c r="F338" i="9"/>
  <c r="A339" i="9"/>
  <c r="M338" i="9"/>
  <c r="E338" i="9"/>
  <c r="D338" i="9"/>
  <c r="K338" i="9"/>
  <c r="C338" i="9"/>
  <c r="B338" i="9"/>
  <c r="Q338" i="9"/>
  <c r="E338" i="10" s="1"/>
  <c r="I338" i="9"/>
  <c r="F338" i="10" s="1"/>
  <c r="H338" i="9"/>
  <c r="J338" i="9" s="1"/>
  <c r="G338" i="9"/>
  <c r="P338" i="9"/>
  <c r="D338" i="10" s="1"/>
  <c r="O338" i="9"/>
  <c r="C338" i="10" s="1"/>
  <c r="O330" i="10" l="1"/>
  <c r="S330" i="10" s="1"/>
  <c r="U330" i="10" s="1"/>
  <c r="B330" i="19" s="1"/>
  <c r="B337" i="10"/>
  <c r="J338" i="10"/>
  <c r="L338" i="9"/>
  <c r="T339" i="9"/>
  <c r="H339" i="10" s="1"/>
  <c r="P337" i="10" s="1"/>
  <c r="Q337" i="10" s="1"/>
  <c r="S339" i="9"/>
  <c r="G339" i="10" s="1"/>
  <c r="A339" i="10"/>
  <c r="P339" i="10" s="1"/>
  <c r="Q339" i="10" s="1"/>
  <c r="B339" i="9"/>
  <c r="Q339" i="9"/>
  <c r="E339" i="10" s="1"/>
  <c r="I339" i="9"/>
  <c r="F339" i="10" s="1"/>
  <c r="P339" i="9"/>
  <c r="D339" i="10" s="1"/>
  <c r="H339" i="9"/>
  <c r="J339" i="9" s="1"/>
  <c r="L339" i="9" s="1"/>
  <c r="O339" i="9"/>
  <c r="C339" i="10" s="1"/>
  <c r="G339" i="9"/>
  <c r="N339" i="9"/>
  <c r="F339" i="9"/>
  <c r="A340" i="9"/>
  <c r="M339" i="9"/>
  <c r="E339" i="9"/>
  <c r="D339" i="9"/>
  <c r="C339" i="9"/>
  <c r="K339" i="9"/>
  <c r="T340" i="9" l="1"/>
  <c r="H340" i="10" s="1"/>
  <c r="S340" i="9"/>
  <c r="G340" i="10" s="1"/>
  <c r="A340" i="10"/>
  <c r="P340" i="10" s="1"/>
  <c r="Q340" i="10" s="1"/>
  <c r="K339" i="10"/>
  <c r="I339" i="10"/>
  <c r="R339" i="9"/>
  <c r="B339" i="10"/>
  <c r="R334" i="9"/>
  <c r="R338" i="9"/>
  <c r="B338" i="10"/>
  <c r="R333" i="9"/>
  <c r="J339" i="10"/>
  <c r="N340" i="9"/>
  <c r="F340" i="9"/>
  <c r="A341" i="9"/>
  <c r="M340" i="9"/>
  <c r="E340" i="9"/>
  <c r="D340" i="9"/>
  <c r="K340" i="9"/>
  <c r="C340" i="9"/>
  <c r="B340" i="9"/>
  <c r="Q340" i="9"/>
  <c r="E340" i="10" s="1"/>
  <c r="I340" i="9"/>
  <c r="F340" i="10" s="1"/>
  <c r="P340" i="9"/>
  <c r="D340" i="10" s="1"/>
  <c r="O340" i="9"/>
  <c r="C340" i="10" s="1"/>
  <c r="H340" i="9"/>
  <c r="J340" i="9" s="1"/>
  <c r="G340" i="9"/>
  <c r="L340" i="9" l="1"/>
  <c r="M339" i="10"/>
  <c r="J340" i="10"/>
  <c r="I338" i="10"/>
  <c r="M338" i="10"/>
  <c r="K338" i="10"/>
  <c r="M333" i="10"/>
  <c r="I333" i="10"/>
  <c r="N333" i="10" s="1"/>
  <c r="K333" i="10"/>
  <c r="K334" i="10"/>
  <c r="M334" i="10"/>
  <c r="I334" i="10"/>
  <c r="N334" i="10" s="1"/>
  <c r="T341" i="9"/>
  <c r="H341" i="10" s="1"/>
  <c r="S341" i="9"/>
  <c r="G341" i="10" s="1"/>
  <c r="A341" i="10"/>
  <c r="B341" i="9"/>
  <c r="Q341" i="9"/>
  <c r="E341" i="10" s="1"/>
  <c r="I341" i="9"/>
  <c r="F341" i="10" s="1"/>
  <c r="P341" i="9"/>
  <c r="D341" i="10" s="1"/>
  <c r="H341" i="9"/>
  <c r="J341" i="9" s="1"/>
  <c r="O341" i="9"/>
  <c r="C341" i="10" s="1"/>
  <c r="G341" i="9"/>
  <c r="N341" i="9"/>
  <c r="F341" i="9"/>
  <c r="A342" i="9"/>
  <c r="M341" i="9"/>
  <c r="E341" i="9"/>
  <c r="K341" i="9"/>
  <c r="D341" i="9"/>
  <c r="C341" i="9"/>
  <c r="N338" i="10" l="1"/>
  <c r="N339" i="10"/>
  <c r="O339" i="10" s="1"/>
  <c r="S339" i="10" s="1"/>
  <c r="U339" i="10" s="1"/>
  <c r="B339" i="19" s="1"/>
  <c r="P341" i="10"/>
  <c r="Q341" i="10" s="1"/>
  <c r="O334" i="10"/>
  <c r="S334" i="10" s="1"/>
  <c r="U334" i="10" s="1"/>
  <c r="B334" i="19" s="1"/>
  <c r="J341" i="10"/>
  <c r="B340" i="10"/>
  <c r="R335" i="9"/>
  <c r="O333" i="10"/>
  <c r="S333" i="10" s="1"/>
  <c r="U333" i="10" s="1"/>
  <c r="B333" i="19" s="1"/>
  <c r="O338" i="10"/>
  <c r="S338" i="10" s="1"/>
  <c r="U338" i="10" s="1"/>
  <c r="B338" i="19" s="1"/>
  <c r="S342" i="9"/>
  <c r="G342" i="10" s="1"/>
  <c r="T342" i="9"/>
  <c r="H342" i="10" s="1"/>
  <c r="A342" i="10"/>
  <c r="P342" i="10" s="1"/>
  <c r="Q342" i="10" s="1"/>
  <c r="L341" i="9"/>
  <c r="N342" i="9"/>
  <c r="F342" i="9"/>
  <c r="A343" i="9"/>
  <c r="M342" i="9"/>
  <c r="E342" i="9"/>
  <c r="D342" i="9"/>
  <c r="K342" i="9"/>
  <c r="C342" i="9"/>
  <c r="B342" i="9"/>
  <c r="Q342" i="9"/>
  <c r="E342" i="10" s="1"/>
  <c r="I342" i="9"/>
  <c r="F342" i="10" s="1"/>
  <c r="P342" i="9"/>
  <c r="D342" i="10" s="1"/>
  <c r="H342" i="9"/>
  <c r="J342" i="9" s="1"/>
  <c r="G342" i="9"/>
  <c r="O342" i="9"/>
  <c r="C342" i="10" s="1"/>
  <c r="B341" i="10" l="1"/>
  <c r="R336" i="9"/>
  <c r="J342" i="10"/>
  <c r="M335" i="10"/>
  <c r="K335" i="10"/>
  <c r="I335" i="10"/>
  <c r="N335" i="10" s="1"/>
  <c r="T343" i="9"/>
  <c r="H343" i="10" s="1"/>
  <c r="S343" i="9"/>
  <c r="G343" i="10" s="1"/>
  <c r="A343" i="10"/>
  <c r="B343" i="9"/>
  <c r="Q343" i="9"/>
  <c r="E343" i="10" s="1"/>
  <c r="I343" i="9"/>
  <c r="F343" i="10" s="1"/>
  <c r="P343" i="9"/>
  <c r="D343" i="10" s="1"/>
  <c r="H343" i="9"/>
  <c r="J343" i="9" s="1"/>
  <c r="O343" i="9"/>
  <c r="C343" i="10" s="1"/>
  <c r="G343" i="9"/>
  <c r="N343" i="9"/>
  <c r="F343" i="9"/>
  <c r="A344" i="9"/>
  <c r="M343" i="9"/>
  <c r="E343" i="9"/>
  <c r="D343" i="9"/>
  <c r="C343" i="9"/>
  <c r="K343" i="9"/>
  <c r="L342" i="9"/>
  <c r="P343" i="10" l="1"/>
  <c r="Q343" i="10" s="1"/>
  <c r="O335" i="10"/>
  <c r="S335" i="10" s="1"/>
  <c r="U335" i="10" s="1"/>
  <c r="B335" i="19" s="1"/>
  <c r="B342" i="10"/>
  <c r="R337" i="9"/>
  <c r="K336" i="10"/>
  <c r="M336" i="10"/>
  <c r="I336" i="10"/>
  <c r="N336" i="10" s="1"/>
  <c r="L343" i="9"/>
  <c r="J343" i="10"/>
  <c r="S344" i="9"/>
  <c r="G344" i="10" s="1"/>
  <c r="T344" i="9"/>
  <c r="H344" i="10" s="1"/>
  <c r="A344" i="10"/>
  <c r="N344" i="9"/>
  <c r="F344" i="9"/>
  <c r="A345" i="9"/>
  <c r="M344" i="9"/>
  <c r="E344" i="9"/>
  <c r="D344" i="9"/>
  <c r="K344" i="9"/>
  <c r="C344" i="9"/>
  <c r="B344" i="9"/>
  <c r="Q344" i="9"/>
  <c r="E344" i="10" s="1"/>
  <c r="I344" i="9"/>
  <c r="F344" i="10" s="1"/>
  <c r="P344" i="9"/>
  <c r="D344" i="10" s="1"/>
  <c r="O344" i="9"/>
  <c r="C344" i="10" s="1"/>
  <c r="H344" i="9"/>
  <c r="J344" i="9" s="1"/>
  <c r="G344" i="9"/>
  <c r="J344" i="10" l="1"/>
  <c r="L344" i="9"/>
  <c r="O336" i="10"/>
  <c r="S336" i="10" s="1"/>
  <c r="U336" i="10" s="1"/>
  <c r="B336" i="19" s="1"/>
  <c r="T345" i="9"/>
  <c r="H345" i="10" s="1"/>
  <c r="S345" i="9"/>
  <c r="G345" i="10" s="1"/>
  <c r="A345" i="10"/>
  <c r="P345" i="10" s="1"/>
  <c r="Q345" i="10" s="1"/>
  <c r="B343" i="10"/>
  <c r="K337" i="10"/>
  <c r="M337" i="10"/>
  <c r="I337" i="10"/>
  <c r="B345" i="9"/>
  <c r="Q345" i="9"/>
  <c r="E345" i="10" s="1"/>
  <c r="I345" i="9"/>
  <c r="F345" i="10" s="1"/>
  <c r="P345" i="9"/>
  <c r="D345" i="10" s="1"/>
  <c r="H345" i="9"/>
  <c r="J345" i="9" s="1"/>
  <c r="O345" i="9"/>
  <c r="C345" i="10" s="1"/>
  <c r="G345" i="9"/>
  <c r="N345" i="9"/>
  <c r="F345" i="9"/>
  <c r="A346" i="9"/>
  <c r="M345" i="9"/>
  <c r="E345" i="9"/>
  <c r="K345" i="9"/>
  <c r="C345" i="9"/>
  <c r="D345" i="9"/>
  <c r="N337" i="10" l="1"/>
  <c r="B344" i="10"/>
  <c r="O337" i="10"/>
  <c r="S337" i="10" s="1"/>
  <c r="U337" i="10" s="1"/>
  <c r="B337" i="19" s="1"/>
  <c r="J345" i="10"/>
  <c r="T346" i="9"/>
  <c r="H346" i="10" s="1"/>
  <c r="P344" i="10" s="1"/>
  <c r="Q344" i="10" s="1"/>
  <c r="S346" i="9"/>
  <c r="G346" i="10" s="1"/>
  <c r="A346" i="10"/>
  <c r="P346" i="10" s="1"/>
  <c r="Q346" i="10" s="1"/>
  <c r="L345" i="9"/>
  <c r="N346" i="9"/>
  <c r="F346" i="9"/>
  <c r="A347" i="9"/>
  <c r="M346" i="9"/>
  <c r="E346" i="9"/>
  <c r="D346" i="9"/>
  <c r="K346" i="9"/>
  <c r="C346" i="9"/>
  <c r="B346" i="9"/>
  <c r="Q346" i="9"/>
  <c r="E346" i="10" s="1"/>
  <c r="I346" i="9"/>
  <c r="F346" i="10" s="1"/>
  <c r="H346" i="9"/>
  <c r="J346" i="9" s="1"/>
  <c r="L346" i="9" s="1"/>
  <c r="G346" i="9"/>
  <c r="P346" i="9"/>
  <c r="D346" i="10" s="1"/>
  <c r="O346" i="9"/>
  <c r="C346" i="10" s="1"/>
  <c r="T347" i="9" l="1"/>
  <c r="H347" i="10" s="1"/>
  <c r="S347" i="9"/>
  <c r="G347" i="10" s="1"/>
  <c r="A347" i="10"/>
  <c r="P347" i="10" s="1"/>
  <c r="Q347" i="10" s="1"/>
  <c r="M346" i="10"/>
  <c r="K346" i="10"/>
  <c r="I346" i="10"/>
  <c r="N346" i="10" s="1"/>
  <c r="R345" i="9"/>
  <c r="B345" i="10"/>
  <c r="R340" i="9"/>
  <c r="J346" i="10"/>
  <c r="R346" i="9"/>
  <c r="B346" i="10"/>
  <c r="R341" i="9"/>
  <c r="B347" i="9"/>
  <c r="Q347" i="9"/>
  <c r="E347" i="10" s="1"/>
  <c r="I347" i="9"/>
  <c r="F347" i="10" s="1"/>
  <c r="P347" i="9"/>
  <c r="D347" i="10" s="1"/>
  <c r="H347" i="9"/>
  <c r="J347" i="9" s="1"/>
  <c r="O347" i="9"/>
  <c r="C347" i="10" s="1"/>
  <c r="G347" i="9"/>
  <c r="N347" i="9"/>
  <c r="F347" i="9"/>
  <c r="A348" i="9"/>
  <c r="M347" i="9"/>
  <c r="E347" i="9"/>
  <c r="D347" i="9"/>
  <c r="C347" i="9"/>
  <c r="K347" i="9"/>
  <c r="O346" i="10" l="1"/>
  <c r="S346" i="10" s="1"/>
  <c r="U346" i="10" s="1"/>
  <c r="B346" i="19" s="1"/>
  <c r="T348" i="9"/>
  <c r="H348" i="10" s="1"/>
  <c r="S348" i="9"/>
  <c r="G348" i="10" s="1"/>
  <c r="A348" i="10"/>
  <c r="P348" i="10" s="1"/>
  <c r="Q348" i="10" s="1"/>
  <c r="K345" i="10"/>
  <c r="I345" i="10"/>
  <c r="N345" i="10" s="1"/>
  <c r="M345" i="10"/>
  <c r="M341" i="10"/>
  <c r="K341" i="10"/>
  <c r="I341" i="10"/>
  <c r="N341" i="10" s="1"/>
  <c r="L347" i="9"/>
  <c r="M340" i="10"/>
  <c r="K340" i="10"/>
  <c r="I340" i="10"/>
  <c r="N340" i="10" s="1"/>
  <c r="J347" i="10"/>
  <c r="N348" i="9"/>
  <c r="F348" i="9"/>
  <c r="A349" i="9"/>
  <c r="M348" i="9"/>
  <c r="E348" i="9"/>
  <c r="D348" i="9"/>
  <c r="K348" i="9"/>
  <c r="C348" i="9"/>
  <c r="B348" i="9"/>
  <c r="Q348" i="9"/>
  <c r="E348" i="10" s="1"/>
  <c r="I348" i="9"/>
  <c r="F348" i="10" s="1"/>
  <c r="P348" i="9"/>
  <c r="D348" i="10" s="1"/>
  <c r="O348" i="9"/>
  <c r="C348" i="10" s="1"/>
  <c r="H348" i="9"/>
  <c r="J348" i="9" s="1"/>
  <c r="G348" i="9"/>
  <c r="O340" i="10" l="1"/>
  <c r="S340" i="10" s="1"/>
  <c r="U340" i="10" s="1"/>
  <c r="B340" i="19" s="1"/>
  <c r="O341" i="10"/>
  <c r="S341" i="10" s="1"/>
  <c r="U341" i="10" s="1"/>
  <c r="B341" i="19" s="1"/>
  <c r="T349" i="9"/>
  <c r="H349" i="10" s="1"/>
  <c r="S349" i="9"/>
  <c r="G349" i="10" s="1"/>
  <c r="A349" i="10"/>
  <c r="P349" i="10" s="1"/>
  <c r="Q349" i="10" s="1"/>
  <c r="O345" i="10"/>
  <c r="S345" i="10" s="1"/>
  <c r="U345" i="10" s="1"/>
  <c r="B345" i="19" s="1"/>
  <c r="L348" i="9"/>
  <c r="J348" i="10"/>
  <c r="B347" i="10"/>
  <c r="R342" i="9"/>
  <c r="B349" i="9"/>
  <c r="Q349" i="9"/>
  <c r="E349" i="10" s="1"/>
  <c r="I349" i="9"/>
  <c r="F349" i="10" s="1"/>
  <c r="P349" i="9"/>
  <c r="D349" i="10" s="1"/>
  <c r="H349" i="9"/>
  <c r="J349" i="9" s="1"/>
  <c r="O349" i="9"/>
  <c r="C349" i="10" s="1"/>
  <c r="G349" i="9"/>
  <c r="N349" i="9"/>
  <c r="F349" i="9"/>
  <c r="A350" i="9"/>
  <c r="M349" i="9"/>
  <c r="E349" i="9"/>
  <c r="K349" i="9"/>
  <c r="D349" i="9"/>
  <c r="C349" i="9"/>
  <c r="T350" i="9" l="1"/>
  <c r="H350" i="10" s="1"/>
  <c r="S350" i="9"/>
  <c r="G350" i="10" s="1"/>
  <c r="A350" i="10"/>
  <c r="P350" i="10" s="1"/>
  <c r="Q350" i="10" s="1"/>
  <c r="M342" i="10"/>
  <c r="K342" i="10"/>
  <c r="I342" i="10"/>
  <c r="N342" i="10" s="1"/>
  <c r="J349" i="10"/>
  <c r="B348" i="10"/>
  <c r="R343" i="9"/>
  <c r="L349" i="9"/>
  <c r="N350" i="9"/>
  <c r="F350" i="9"/>
  <c r="A351" i="9"/>
  <c r="M350" i="9"/>
  <c r="E350" i="9"/>
  <c r="D350" i="9"/>
  <c r="K350" i="9"/>
  <c r="C350" i="9"/>
  <c r="B350" i="9"/>
  <c r="Q350" i="9"/>
  <c r="E350" i="10" s="1"/>
  <c r="I350" i="9"/>
  <c r="F350" i="10" s="1"/>
  <c r="P350" i="9"/>
  <c r="D350" i="10" s="1"/>
  <c r="H350" i="9"/>
  <c r="J350" i="9" s="1"/>
  <c r="G350" i="9"/>
  <c r="O350" i="9"/>
  <c r="C350" i="10" s="1"/>
  <c r="J350" i="10" l="1"/>
  <c r="T351" i="9"/>
  <c r="H351" i="10" s="1"/>
  <c r="S351" i="9"/>
  <c r="G351" i="10" s="1"/>
  <c r="A351" i="10"/>
  <c r="I343" i="10"/>
  <c r="N343" i="10" s="1"/>
  <c r="K343" i="10"/>
  <c r="M343" i="10"/>
  <c r="O342" i="10"/>
  <c r="S342" i="10" s="1"/>
  <c r="U342" i="10" s="1"/>
  <c r="B342" i="19" s="1"/>
  <c r="B349" i="10"/>
  <c r="R344" i="9"/>
  <c r="B351" i="9"/>
  <c r="Q351" i="9"/>
  <c r="E351" i="10" s="1"/>
  <c r="I351" i="9"/>
  <c r="F351" i="10" s="1"/>
  <c r="P351" i="9"/>
  <c r="D351" i="10" s="1"/>
  <c r="H351" i="9"/>
  <c r="J351" i="9" s="1"/>
  <c r="O351" i="9"/>
  <c r="C351" i="10" s="1"/>
  <c r="G351" i="9"/>
  <c r="N351" i="9"/>
  <c r="F351" i="9"/>
  <c r="A352" i="9"/>
  <c r="M351" i="9"/>
  <c r="E351" i="9"/>
  <c r="D351" i="9"/>
  <c r="C351" i="9"/>
  <c r="K351" i="9"/>
  <c r="L350" i="9"/>
  <c r="M344" i="10" l="1"/>
  <c r="K344" i="10"/>
  <c r="I344" i="10"/>
  <c r="N344" i="10" s="1"/>
  <c r="J351" i="10"/>
  <c r="B350" i="10"/>
  <c r="O343" i="10"/>
  <c r="S343" i="10" s="1"/>
  <c r="U343" i="10" s="1"/>
  <c r="B343" i="19" s="1"/>
  <c r="L351" i="9"/>
  <c r="S352" i="9"/>
  <c r="G352" i="10" s="1"/>
  <c r="T352" i="9"/>
  <c r="H352" i="10" s="1"/>
  <c r="A352" i="10"/>
  <c r="P352" i="10" s="1"/>
  <c r="Q352" i="10" s="1"/>
  <c r="N352" i="9"/>
  <c r="F352" i="9"/>
  <c r="A353" i="9"/>
  <c r="M352" i="9"/>
  <c r="E352" i="9"/>
  <c r="D352" i="9"/>
  <c r="K352" i="9"/>
  <c r="C352" i="9"/>
  <c r="B352" i="9"/>
  <c r="Q352" i="9"/>
  <c r="E352" i="10" s="1"/>
  <c r="I352" i="9"/>
  <c r="F352" i="10" s="1"/>
  <c r="P352" i="9"/>
  <c r="D352" i="10" s="1"/>
  <c r="O352" i="9"/>
  <c r="C352" i="10" s="1"/>
  <c r="H352" i="9"/>
  <c r="J352" i="9" s="1"/>
  <c r="G352" i="9"/>
  <c r="O344" i="10" l="1"/>
  <c r="S344" i="10" s="1"/>
  <c r="U344" i="10" s="1"/>
  <c r="B344" i="19" s="1"/>
  <c r="L352" i="9"/>
  <c r="S353" i="9"/>
  <c r="G353" i="10" s="1"/>
  <c r="T353" i="9"/>
  <c r="H353" i="10" s="1"/>
  <c r="P351" i="10" s="1"/>
  <c r="Q351" i="10" s="1"/>
  <c r="A353" i="10"/>
  <c r="P353" i="10" s="1"/>
  <c r="Q353" i="10" s="1"/>
  <c r="J352" i="10"/>
  <c r="B351" i="10"/>
  <c r="B353" i="9"/>
  <c r="Q353" i="9"/>
  <c r="E353" i="10" s="1"/>
  <c r="I353" i="9"/>
  <c r="F353" i="10" s="1"/>
  <c r="P353" i="9"/>
  <c r="D353" i="10" s="1"/>
  <c r="H353" i="9"/>
  <c r="J353" i="9" s="1"/>
  <c r="O353" i="9"/>
  <c r="C353" i="10" s="1"/>
  <c r="G353" i="9"/>
  <c r="N353" i="9"/>
  <c r="F353" i="9"/>
  <c r="A354" i="9"/>
  <c r="M353" i="9"/>
  <c r="E353" i="9"/>
  <c r="K353" i="9"/>
  <c r="D353" i="9"/>
  <c r="C353" i="9"/>
  <c r="S354" i="9" l="1"/>
  <c r="G354" i="10" s="1"/>
  <c r="T354" i="9"/>
  <c r="H354" i="10" s="1"/>
  <c r="A354" i="10"/>
  <c r="P354" i="10" s="1"/>
  <c r="Q354" i="10" s="1"/>
  <c r="R352" i="9"/>
  <c r="B352" i="10"/>
  <c r="R347" i="9"/>
  <c r="J353" i="10"/>
  <c r="L353" i="9"/>
  <c r="N354" i="9"/>
  <c r="F354" i="9"/>
  <c r="A355" i="9"/>
  <c r="M354" i="9"/>
  <c r="E354" i="9"/>
  <c r="D354" i="9"/>
  <c r="K354" i="9"/>
  <c r="C354" i="9"/>
  <c r="B354" i="9"/>
  <c r="Q354" i="9"/>
  <c r="E354" i="10" s="1"/>
  <c r="I354" i="9"/>
  <c r="F354" i="10" s="1"/>
  <c r="H354" i="9"/>
  <c r="J354" i="9" s="1"/>
  <c r="L354" i="9" s="1"/>
  <c r="G354" i="9"/>
  <c r="P354" i="9"/>
  <c r="D354" i="10" s="1"/>
  <c r="O354" i="9"/>
  <c r="C354" i="10" s="1"/>
  <c r="B354" i="10" l="1"/>
  <c r="R349" i="9"/>
  <c r="T355" i="9"/>
  <c r="H355" i="10" s="1"/>
  <c r="S355" i="9"/>
  <c r="G355" i="10" s="1"/>
  <c r="A355" i="10"/>
  <c r="P355" i="10" s="1"/>
  <c r="Q355" i="10" s="1"/>
  <c r="I347" i="10"/>
  <c r="N347" i="10" s="1"/>
  <c r="M347" i="10"/>
  <c r="K347" i="10"/>
  <c r="R353" i="9"/>
  <c r="B353" i="10"/>
  <c r="R348" i="9"/>
  <c r="M352" i="10"/>
  <c r="K352" i="10"/>
  <c r="I352" i="10"/>
  <c r="J354" i="10"/>
  <c r="B355" i="9"/>
  <c r="Q355" i="9"/>
  <c r="E355" i="10" s="1"/>
  <c r="I355" i="9"/>
  <c r="F355" i="10" s="1"/>
  <c r="P355" i="9"/>
  <c r="D355" i="10" s="1"/>
  <c r="H355" i="9"/>
  <c r="J355" i="9" s="1"/>
  <c r="O355" i="9"/>
  <c r="C355" i="10" s="1"/>
  <c r="G355" i="9"/>
  <c r="N355" i="9"/>
  <c r="F355" i="9"/>
  <c r="A356" i="9"/>
  <c r="M355" i="9"/>
  <c r="E355" i="9"/>
  <c r="D355" i="9"/>
  <c r="C355" i="9"/>
  <c r="K355" i="9"/>
  <c r="N352" i="10" l="1"/>
  <c r="O352" i="10"/>
  <c r="S352" i="10" s="1"/>
  <c r="U352" i="10" s="1"/>
  <c r="B352" i="19" s="1"/>
  <c r="T356" i="9"/>
  <c r="H356" i="10" s="1"/>
  <c r="S356" i="9"/>
  <c r="G356" i="10" s="1"/>
  <c r="A356" i="10"/>
  <c r="P356" i="10" s="1"/>
  <c r="Q356" i="10" s="1"/>
  <c r="O347" i="10"/>
  <c r="S347" i="10" s="1"/>
  <c r="U347" i="10" s="1"/>
  <c r="B347" i="19" s="1"/>
  <c r="M348" i="10"/>
  <c r="I348" i="10"/>
  <c r="N348" i="10" s="1"/>
  <c r="K348" i="10"/>
  <c r="J355" i="10"/>
  <c r="M353" i="10"/>
  <c r="I353" i="10"/>
  <c r="K353" i="10"/>
  <c r="M349" i="10"/>
  <c r="I349" i="10"/>
  <c r="N349" i="10" s="1"/>
  <c r="K349" i="10"/>
  <c r="L355" i="9"/>
  <c r="N356" i="9"/>
  <c r="F356" i="9"/>
  <c r="A357" i="9"/>
  <c r="M356" i="9"/>
  <c r="E356" i="9"/>
  <c r="D356" i="9"/>
  <c r="K356" i="9"/>
  <c r="C356" i="9"/>
  <c r="B356" i="9"/>
  <c r="Q356" i="9"/>
  <c r="E356" i="10" s="1"/>
  <c r="I356" i="9"/>
  <c r="F356" i="10" s="1"/>
  <c r="P356" i="9"/>
  <c r="D356" i="10" s="1"/>
  <c r="O356" i="9"/>
  <c r="C356" i="10" s="1"/>
  <c r="H356" i="9"/>
  <c r="J356" i="9" s="1"/>
  <c r="G356" i="9"/>
  <c r="N353" i="10" l="1"/>
  <c r="O353" i="10"/>
  <c r="S353" i="10" s="1"/>
  <c r="U353" i="10" s="1"/>
  <c r="B353" i="19" s="1"/>
  <c r="B355" i="10"/>
  <c r="R350" i="9"/>
  <c r="O349" i="10"/>
  <c r="S349" i="10" s="1"/>
  <c r="U349" i="10" s="1"/>
  <c r="B349" i="19" s="1"/>
  <c r="J356" i="10"/>
  <c r="O348" i="10"/>
  <c r="S348" i="10" s="1"/>
  <c r="U348" i="10" s="1"/>
  <c r="B348" i="19" s="1"/>
  <c r="L356" i="9"/>
  <c r="T357" i="9"/>
  <c r="H357" i="10" s="1"/>
  <c r="S357" i="9"/>
  <c r="G357" i="10" s="1"/>
  <c r="A357" i="10"/>
  <c r="P357" i="10" s="1"/>
  <c r="Q357" i="10" s="1"/>
  <c r="B357" i="9"/>
  <c r="Q357" i="9"/>
  <c r="E357" i="10" s="1"/>
  <c r="I357" i="9"/>
  <c r="F357" i="10" s="1"/>
  <c r="P357" i="9"/>
  <c r="D357" i="10" s="1"/>
  <c r="H357" i="9"/>
  <c r="J357" i="9" s="1"/>
  <c r="O357" i="9"/>
  <c r="C357" i="10" s="1"/>
  <c r="G357" i="9"/>
  <c r="N357" i="9"/>
  <c r="F357" i="9"/>
  <c r="A358" i="9"/>
  <c r="M357" i="9"/>
  <c r="E357" i="9"/>
  <c r="K357" i="9"/>
  <c r="D357" i="9"/>
  <c r="C357" i="9"/>
  <c r="J357" i="10" l="1"/>
  <c r="M350" i="10"/>
  <c r="I350" i="10"/>
  <c r="N350" i="10" s="1"/>
  <c r="K350" i="10"/>
  <c r="T358" i="9"/>
  <c r="H358" i="10" s="1"/>
  <c r="S358" i="9"/>
  <c r="G358" i="10" s="1"/>
  <c r="A358" i="10"/>
  <c r="B356" i="10"/>
  <c r="R351" i="9"/>
  <c r="L357" i="9"/>
  <c r="N358" i="9"/>
  <c r="F358" i="9"/>
  <c r="A359" i="9"/>
  <c r="M358" i="9"/>
  <c r="E358" i="9"/>
  <c r="D358" i="9"/>
  <c r="K358" i="9"/>
  <c r="C358" i="9"/>
  <c r="B358" i="9"/>
  <c r="Q358" i="9"/>
  <c r="E358" i="10" s="1"/>
  <c r="I358" i="9"/>
  <c r="F358" i="10" s="1"/>
  <c r="P358" i="9"/>
  <c r="D358" i="10" s="1"/>
  <c r="H358" i="9"/>
  <c r="J358" i="9" s="1"/>
  <c r="G358" i="9"/>
  <c r="O358" i="9"/>
  <c r="C358" i="10" s="1"/>
  <c r="J358" i="10" l="1"/>
  <c r="O350" i="10"/>
  <c r="S350" i="10" s="1"/>
  <c r="U350" i="10" s="1"/>
  <c r="B350" i="19" s="1"/>
  <c r="B357" i="10"/>
  <c r="M351" i="10"/>
  <c r="K351" i="10"/>
  <c r="I351" i="10"/>
  <c r="T359" i="9"/>
  <c r="H359" i="10" s="1"/>
  <c r="S359" i="9"/>
  <c r="G359" i="10" s="1"/>
  <c r="A359" i="10"/>
  <c r="P359" i="10" s="1"/>
  <c r="Q359" i="10" s="1"/>
  <c r="B359" i="9"/>
  <c r="Q359" i="9"/>
  <c r="E359" i="10" s="1"/>
  <c r="I359" i="9"/>
  <c r="F359" i="10" s="1"/>
  <c r="P359" i="9"/>
  <c r="D359" i="10" s="1"/>
  <c r="H359" i="9"/>
  <c r="J359" i="9" s="1"/>
  <c r="O359" i="9"/>
  <c r="C359" i="10" s="1"/>
  <c r="G359" i="9"/>
  <c r="N359" i="9"/>
  <c r="F359" i="9"/>
  <c r="A360" i="9"/>
  <c r="M359" i="9"/>
  <c r="E359" i="9"/>
  <c r="D359" i="9"/>
  <c r="C359" i="9"/>
  <c r="K359" i="9"/>
  <c r="L358" i="9"/>
  <c r="N351" i="10" l="1"/>
  <c r="O351" i="10"/>
  <c r="S351" i="10" s="1"/>
  <c r="U351" i="10" s="1"/>
  <c r="B351" i="19" s="1"/>
  <c r="S360" i="9"/>
  <c r="G360" i="10" s="1"/>
  <c r="T360" i="9"/>
  <c r="H360" i="10" s="1"/>
  <c r="P358" i="10" s="1"/>
  <c r="Q358" i="10" s="1"/>
  <c r="A360" i="10"/>
  <c r="P360" i="10" s="1"/>
  <c r="Q360" i="10" s="1"/>
  <c r="J359" i="10"/>
  <c r="B358" i="10"/>
  <c r="L359" i="9"/>
  <c r="N360" i="9"/>
  <c r="F360" i="9"/>
  <c r="A361" i="9"/>
  <c r="M360" i="9"/>
  <c r="E360" i="9"/>
  <c r="D360" i="9"/>
  <c r="K360" i="9"/>
  <c r="C360" i="9"/>
  <c r="B360" i="9"/>
  <c r="Q360" i="9"/>
  <c r="E360" i="10" s="1"/>
  <c r="I360" i="9"/>
  <c r="F360" i="10" s="1"/>
  <c r="P360" i="9"/>
  <c r="D360" i="10" s="1"/>
  <c r="O360" i="9"/>
  <c r="C360" i="10" s="1"/>
  <c r="J360" i="10" s="1"/>
  <c r="H360" i="9"/>
  <c r="J360" i="9" s="1"/>
  <c r="G360" i="9"/>
  <c r="R359" i="9" l="1"/>
  <c r="B359" i="10"/>
  <c r="R354" i="9"/>
  <c r="T361" i="9"/>
  <c r="H361" i="10" s="1"/>
  <c r="S361" i="9"/>
  <c r="G361" i="10" s="1"/>
  <c r="A361" i="10"/>
  <c r="P361" i="10" s="1"/>
  <c r="Q361" i="10" s="1"/>
  <c r="L360" i="9"/>
  <c r="B361" i="9"/>
  <c r="Q361" i="9"/>
  <c r="E361" i="10" s="1"/>
  <c r="I361" i="9"/>
  <c r="F361" i="10" s="1"/>
  <c r="P361" i="9"/>
  <c r="D361" i="10" s="1"/>
  <c r="H361" i="9"/>
  <c r="J361" i="9" s="1"/>
  <c r="O361" i="9"/>
  <c r="C361" i="10" s="1"/>
  <c r="G361" i="9"/>
  <c r="N361" i="9"/>
  <c r="F361" i="9"/>
  <c r="A362" i="9"/>
  <c r="M361" i="9"/>
  <c r="E361" i="9"/>
  <c r="K361" i="9"/>
  <c r="D361" i="9"/>
  <c r="C361" i="9"/>
  <c r="R360" i="9" l="1"/>
  <c r="B360" i="10"/>
  <c r="R355" i="9"/>
  <c r="T362" i="9"/>
  <c r="H362" i="10" s="1"/>
  <c r="S362" i="9"/>
  <c r="G362" i="10" s="1"/>
  <c r="A362" i="10"/>
  <c r="P362" i="10" s="1"/>
  <c r="Q362" i="10" s="1"/>
  <c r="I354" i="10"/>
  <c r="N354" i="10" s="1"/>
  <c r="M354" i="10"/>
  <c r="K354" i="10"/>
  <c r="J361" i="10"/>
  <c r="K359" i="10"/>
  <c r="M359" i="10"/>
  <c r="I359" i="10"/>
  <c r="N359" i="10" s="1"/>
  <c r="L361" i="9"/>
  <c r="N362" i="9"/>
  <c r="F362" i="9"/>
  <c r="A363" i="9"/>
  <c r="M362" i="9"/>
  <c r="E362" i="9"/>
  <c r="D362" i="9"/>
  <c r="K362" i="9"/>
  <c r="C362" i="9"/>
  <c r="B362" i="9"/>
  <c r="Q362" i="9"/>
  <c r="E362" i="10" s="1"/>
  <c r="I362" i="9"/>
  <c r="F362" i="10" s="1"/>
  <c r="H362" i="9"/>
  <c r="J362" i="9" s="1"/>
  <c r="L362" i="9" s="1"/>
  <c r="G362" i="9"/>
  <c r="P362" i="9"/>
  <c r="D362" i="10" s="1"/>
  <c r="O362" i="9"/>
  <c r="C362" i="10" s="1"/>
  <c r="J362" i="10" l="1"/>
  <c r="O359" i="10"/>
  <c r="S359" i="10" s="1"/>
  <c r="U359" i="10" s="1"/>
  <c r="B359" i="19" s="1"/>
  <c r="K355" i="10"/>
  <c r="M355" i="10"/>
  <c r="I355" i="10"/>
  <c r="N355" i="10" s="1"/>
  <c r="B362" i="10"/>
  <c r="R357" i="9"/>
  <c r="T363" i="9"/>
  <c r="H363" i="10" s="1"/>
  <c r="S363" i="9"/>
  <c r="G363" i="10" s="1"/>
  <c r="A363" i="10"/>
  <c r="P363" i="10" s="1"/>
  <c r="Q363" i="10" s="1"/>
  <c r="B361" i="10"/>
  <c r="R356" i="9"/>
  <c r="O354" i="10"/>
  <c r="S354" i="10" s="1"/>
  <c r="U354" i="10" s="1"/>
  <c r="B354" i="19" s="1"/>
  <c r="K360" i="10"/>
  <c r="I360" i="10"/>
  <c r="M360" i="10"/>
  <c r="B363" i="9"/>
  <c r="Q363" i="9"/>
  <c r="E363" i="10" s="1"/>
  <c r="I363" i="9"/>
  <c r="F363" i="10" s="1"/>
  <c r="P363" i="9"/>
  <c r="D363" i="10" s="1"/>
  <c r="H363" i="9"/>
  <c r="J363" i="9" s="1"/>
  <c r="O363" i="9"/>
  <c r="C363" i="10" s="1"/>
  <c r="G363" i="9"/>
  <c r="N363" i="9"/>
  <c r="F363" i="9"/>
  <c r="A364" i="9"/>
  <c r="M363" i="9"/>
  <c r="E363" i="9"/>
  <c r="D363" i="9"/>
  <c r="C363" i="9"/>
  <c r="K363" i="9"/>
  <c r="N360" i="10" l="1"/>
  <c r="O355" i="10"/>
  <c r="S355" i="10" s="1"/>
  <c r="U355" i="10" s="1"/>
  <c r="B355" i="19" s="1"/>
  <c r="J363" i="10"/>
  <c r="O360" i="10"/>
  <c r="S360" i="10" s="1"/>
  <c r="U360" i="10" s="1"/>
  <c r="B360" i="19" s="1"/>
  <c r="M357" i="10"/>
  <c r="I357" i="10"/>
  <c r="N357" i="10" s="1"/>
  <c r="K357" i="10"/>
  <c r="M356" i="10"/>
  <c r="I356" i="10"/>
  <c r="K356" i="10"/>
  <c r="T364" i="9"/>
  <c r="H364" i="10" s="1"/>
  <c r="S364" i="9"/>
  <c r="G364" i="10" s="1"/>
  <c r="A364" i="10"/>
  <c r="P364" i="10" s="1"/>
  <c r="Q364" i="10" s="1"/>
  <c r="L363" i="9"/>
  <c r="N364" i="9"/>
  <c r="F364" i="9"/>
  <c r="A365" i="9"/>
  <c r="M364" i="9"/>
  <c r="E364" i="9"/>
  <c r="D364" i="9"/>
  <c r="K364" i="9"/>
  <c r="C364" i="9"/>
  <c r="B364" i="9"/>
  <c r="Q364" i="9"/>
  <c r="E364" i="10" s="1"/>
  <c r="I364" i="9"/>
  <c r="F364" i="10" s="1"/>
  <c r="P364" i="9"/>
  <c r="D364" i="10" s="1"/>
  <c r="O364" i="9"/>
  <c r="C364" i="10" s="1"/>
  <c r="H364" i="9"/>
  <c r="J364" i="9" s="1"/>
  <c r="L364" i="9" s="1"/>
  <c r="G364" i="9"/>
  <c r="N356" i="10" l="1"/>
  <c r="J364" i="10"/>
  <c r="O356" i="10"/>
  <c r="S356" i="10" s="1"/>
  <c r="U356" i="10" s="1"/>
  <c r="B356" i="19" s="1"/>
  <c r="T365" i="9"/>
  <c r="H365" i="10" s="1"/>
  <c r="A365" i="10"/>
  <c r="S365" i="9"/>
  <c r="G365" i="10" s="1"/>
  <c r="B363" i="10"/>
  <c r="R358" i="9"/>
  <c r="B364" i="10"/>
  <c r="O357" i="10"/>
  <c r="S357" i="10" s="1"/>
  <c r="U357" i="10" s="1"/>
  <c r="B357" i="19" s="1"/>
  <c r="B365" i="9"/>
  <c r="Q365" i="9"/>
  <c r="E365" i="10" s="1"/>
  <c r="I365" i="9"/>
  <c r="F365" i="10" s="1"/>
  <c r="P365" i="9"/>
  <c r="D365" i="10" s="1"/>
  <c r="H365" i="9"/>
  <c r="J365" i="9" s="1"/>
  <c r="O365" i="9"/>
  <c r="C365" i="10" s="1"/>
  <c r="G365" i="9"/>
  <c r="N365" i="9"/>
  <c r="F365" i="9"/>
  <c r="A366" i="9"/>
  <c r="M365" i="9"/>
  <c r="E365" i="9"/>
  <c r="K365" i="9"/>
  <c r="D365" i="9"/>
  <c r="C365" i="9"/>
  <c r="T366" i="9" l="1"/>
  <c r="H366" i="10" s="1"/>
  <c r="S366" i="9"/>
  <c r="G366" i="10" s="1"/>
  <c r="A366" i="10"/>
  <c r="P366" i="10" s="1"/>
  <c r="Q366" i="10" s="1"/>
  <c r="K358" i="10"/>
  <c r="M358" i="10"/>
  <c r="I358" i="10"/>
  <c r="N358" i="10" s="1"/>
  <c r="J365" i="10"/>
  <c r="L365" i="9"/>
  <c r="N366" i="9"/>
  <c r="F366" i="9"/>
  <c r="A367" i="9"/>
  <c r="M366" i="9"/>
  <c r="E366" i="9"/>
  <c r="D366" i="9"/>
  <c r="K366" i="9"/>
  <c r="C366" i="9"/>
  <c r="B366" i="9"/>
  <c r="Q366" i="9"/>
  <c r="E366" i="10" s="1"/>
  <c r="I366" i="9"/>
  <c r="F366" i="10" s="1"/>
  <c r="P366" i="9"/>
  <c r="D366" i="10" s="1"/>
  <c r="H366" i="9"/>
  <c r="J366" i="9" s="1"/>
  <c r="G366" i="9"/>
  <c r="O366" i="9"/>
  <c r="C366" i="10" s="1"/>
  <c r="O358" i="10" l="1"/>
  <c r="S358" i="10" s="1"/>
  <c r="U358" i="10" s="1"/>
  <c r="B358" i="19" s="1"/>
  <c r="B365" i="10"/>
  <c r="J366" i="10"/>
  <c r="T367" i="9"/>
  <c r="H367" i="10" s="1"/>
  <c r="P365" i="10" s="1"/>
  <c r="Q365" i="10" s="1"/>
  <c r="S367" i="9"/>
  <c r="G367" i="10" s="1"/>
  <c r="A367" i="10"/>
  <c r="P367" i="10" s="1"/>
  <c r="Q367" i="10" s="1"/>
  <c r="B367" i="9"/>
  <c r="Q367" i="9"/>
  <c r="E367" i="10" s="1"/>
  <c r="I367" i="9"/>
  <c r="F367" i="10" s="1"/>
  <c r="P367" i="9"/>
  <c r="D367" i="10" s="1"/>
  <c r="H367" i="9"/>
  <c r="J367" i="9" s="1"/>
  <c r="O367" i="9"/>
  <c r="C367" i="10" s="1"/>
  <c r="G367" i="9"/>
  <c r="N367" i="9"/>
  <c r="F367" i="9"/>
  <c r="A368" i="9"/>
  <c r="M367" i="9"/>
  <c r="E367" i="9"/>
  <c r="D367" i="9"/>
  <c r="C367" i="9"/>
  <c r="K367" i="9"/>
  <c r="L366" i="9"/>
  <c r="J367" i="10" l="1"/>
  <c r="L367" i="9"/>
  <c r="S368" i="9"/>
  <c r="G368" i="10" s="1"/>
  <c r="T368" i="9"/>
  <c r="H368" i="10" s="1"/>
  <c r="A368" i="10"/>
  <c r="P368" i="10" s="1"/>
  <c r="Q368" i="10" s="1"/>
  <c r="B366" i="10"/>
  <c r="R366" i="9"/>
  <c r="R361" i="9"/>
  <c r="N368" i="9"/>
  <c r="F368" i="9"/>
  <c r="A369" i="9"/>
  <c r="M368" i="9"/>
  <c r="E368" i="9"/>
  <c r="D368" i="9"/>
  <c r="K368" i="9"/>
  <c r="C368" i="9"/>
  <c r="B368" i="9"/>
  <c r="Q368" i="9"/>
  <c r="E368" i="10" s="1"/>
  <c r="I368" i="9"/>
  <c r="F368" i="10" s="1"/>
  <c r="P368" i="9"/>
  <c r="D368" i="10" s="1"/>
  <c r="O368" i="9"/>
  <c r="C368" i="10" s="1"/>
  <c r="J368" i="10" s="1"/>
  <c r="H368" i="9"/>
  <c r="J368" i="9" s="1"/>
  <c r="G368" i="9"/>
  <c r="M361" i="10" l="1"/>
  <c r="K361" i="10"/>
  <c r="I361" i="10"/>
  <c r="N361" i="10" s="1"/>
  <c r="S369" i="9"/>
  <c r="G369" i="10" s="1"/>
  <c r="T369" i="9"/>
  <c r="H369" i="10" s="1"/>
  <c r="A369" i="10"/>
  <c r="P369" i="10" s="1"/>
  <c r="Q369" i="10" s="1"/>
  <c r="M366" i="10"/>
  <c r="I366" i="10"/>
  <c r="K366" i="10"/>
  <c r="L368" i="9"/>
  <c r="R367" i="9"/>
  <c r="B367" i="10"/>
  <c r="R362" i="9"/>
  <c r="B369" i="9"/>
  <c r="Q369" i="9"/>
  <c r="E369" i="10" s="1"/>
  <c r="I369" i="9"/>
  <c r="F369" i="10" s="1"/>
  <c r="P369" i="9"/>
  <c r="D369" i="10" s="1"/>
  <c r="H369" i="9"/>
  <c r="J369" i="9" s="1"/>
  <c r="O369" i="9"/>
  <c r="C369" i="10" s="1"/>
  <c r="G369" i="9"/>
  <c r="N369" i="9"/>
  <c r="F369" i="9"/>
  <c r="A370" i="9"/>
  <c r="M369" i="9"/>
  <c r="E369" i="9"/>
  <c r="K369" i="9"/>
  <c r="D369" i="9"/>
  <c r="C369" i="9"/>
  <c r="N366" i="10" l="1"/>
  <c r="O361" i="10"/>
  <c r="S361" i="10" s="1"/>
  <c r="U361" i="10" s="1"/>
  <c r="B361" i="19" s="1"/>
  <c r="B368" i="10"/>
  <c r="R363" i="9"/>
  <c r="O366" i="10"/>
  <c r="S366" i="10" s="1"/>
  <c r="U366" i="10" s="1"/>
  <c r="B366" i="19" s="1"/>
  <c r="K362" i="10"/>
  <c r="M362" i="10"/>
  <c r="I362" i="10"/>
  <c r="N362" i="10" s="1"/>
  <c r="S370" i="9"/>
  <c r="G370" i="10" s="1"/>
  <c r="A370" i="10"/>
  <c r="P370" i="10" s="1"/>
  <c r="Q370" i="10" s="1"/>
  <c r="T370" i="9"/>
  <c r="H370" i="10" s="1"/>
  <c r="J369" i="10"/>
  <c r="I367" i="10"/>
  <c r="K367" i="10"/>
  <c r="M367" i="10"/>
  <c r="L369" i="9"/>
  <c r="N370" i="9"/>
  <c r="F370" i="9"/>
  <c r="A371" i="9"/>
  <c r="M370" i="9"/>
  <c r="E370" i="9"/>
  <c r="D370" i="9"/>
  <c r="K370" i="9"/>
  <c r="C370" i="9"/>
  <c r="B370" i="9"/>
  <c r="Q370" i="9"/>
  <c r="E370" i="10" s="1"/>
  <c r="I370" i="9"/>
  <c r="F370" i="10" s="1"/>
  <c r="H370" i="9"/>
  <c r="J370" i="9" s="1"/>
  <c r="G370" i="9"/>
  <c r="O370" i="9"/>
  <c r="C370" i="10" s="1"/>
  <c r="P370" i="9"/>
  <c r="D370" i="10" s="1"/>
  <c r="N367" i="10" l="1"/>
  <c r="O367" i="10"/>
  <c r="S367" i="10" s="1"/>
  <c r="U367" i="10" s="1"/>
  <c r="B367" i="19" s="1"/>
  <c r="T371" i="9"/>
  <c r="H371" i="10" s="1"/>
  <c r="S371" i="9"/>
  <c r="G371" i="10" s="1"/>
  <c r="A371" i="10"/>
  <c r="P371" i="10" s="1"/>
  <c r="Q371" i="10" s="1"/>
  <c r="B369" i="10"/>
  <c r="R364" i="9"/>
  <c r="O362" i="10"/>
  <c r="S362" i="10" s="1"/>
  <c r="U362" i="10" s="1"/>
  <c r="B362" i="19" s="1"/>
  <c r="J370" i="10"/>
  <c r="M363" i="10"/>
  <c r="I363" i="10"/>
  <c r="N363" i="10" s="1"/>
  <c r="K363" i="10"/>
  <c r="L370" i="9"/>
  <c r="B371" i="9"/>
  <c r="Q371" i="9"/>
  <c r="E371" i="10" s="1"/>
  <c r="I371" i="9"/>
  <c r="F371" i="10" s="1"/>
  <c r="P371" i="9"/>
  <c r="D371" i="10" s="1"/>
  <c r="H371" i="9"/>
  <c r="J371" i="9" s="1"/>
  <c r="O371" i="9"/>
  <c r="C371" i="10" s="1"/>
  <c r="G371" i="9"/>
  <c r="N371" i="9"/>
  <c r="F371" i="9"/>
  <c r="A372" i="9"/>
  <c r="M371" i="9"/>
  <c r="E371" i="9"/>
  <c r="D371" i="9"/>
  <c r="C371" i="9"/>
  <c r="K371" i="9"/>
  <c r="J371" i="10" l="1"/>
  <c r="O363" i="10"/>
  <c r="S363" i="10" s="1"/>
  <c r="U363" i="10" s="1"/>
  <c r="B363" i="19" s="1"/>
  <c r="T372" i="9"/>
  <c r="H372" i="10" s="1"/>
  <c r="S372" i="9"/>
  <c r="G372" i="10" s="1"/>
  <c r="A372" i="10"/>
  <c r="M364" i="10"/>
  <c r="K364" i="10"/>
  <c r="I364" i="10"/>
  <c r="B370" i="10"/>
  <c r="R365" i="9"/>
  <c r="L371" i="9"/>
  <c r="N372" i="9"/>
  <c r="F372" i="9"/>
  <c r="A373" i="9"/>
  <c r="M372" i="9"/>
  <c r="E372" i="9"/>
  <c r="D372" i="9"/>
  <c r="K372" i="9"/>
  <c r="C372" i="9"/>
  <c r="B372" i="9"/>
  <c r="Q372" i="9"/>
  <c r="E372" i="10" s="1"/>
  <c r="I372" i="9"/>
  <c r="F372" i="10" s="1"/>
  <c r="P372" i="9"/>
  <c r="D372" i="10" s="1"/>
  <c r="O372" i="9"/>
  <c r="C372" i="10" s="1"/>
  <c r="J372" i="10" s="1"/>
  <c r="H372" i="9"/>
  <c r="J372" i="9" s="1"/>
  <c r="G372" i="9"/>
  <c r="N364" i="10" l="1"/>
  <c r="B371" i="10"/>
  <c r="M365" i="10"/>
  <c r="I365" i="10"/>
  <c r="N365" i="10" s="1"/>
  <c r="K365" i="10"/>
  <c r="L372" i="9"/>
  <c r="O364" i="10"/>
  <c r="S364" i="10" s="1"/>
  <c r="U364" i="10" s="1"/>
  <c r="B364" i="19" s="1"/>
  <c r="T373" i="9"/>
  <c r="H373" i="10" s="1"/>
  <c r="S373" i="9"/>
  <c r="G373" i="10" s="1"/>
  <c r="A373" i="10"/>
  <c r="P373" i="10" s="1"/>
  <c r="Q373" i="10" s="1"/>
  <c r="B373" i="9"/>
  <c r="Q373" i="9"/>
  <c r="E373" i="10" s="1"/>
  <c r="I373" i="9"/>
  <c r="F373" i="10" s="1"/>
  <c r="P373" i="9"/>
  <c r="D373" i="10" s="1"/>
  <c r="H373" i="9"/>
  <c r="J373" i="9" s="1"/>
  <c r="O373" i="9"/>
  <c r="C373" i="10" s="1"/>
  <c r="G373" i="9"/>
  <c r="N373" i="9"/>
  <c r="F373" i="9"/>
  <c r="A374" i="9"/>
  <c r="M373" i="9"/>
  <c r="E373" i="9"/>
  <c r="K373" i="9"/>
  <c r="D373" i="9"/>
  <c r="C373" i="9"/>
  <c r="B372" i="10" l="1"/>
  <c r="J373" i="10"/>
  <c r="O365" i="10"/>
  <c r="S365" i="10" s="1"/>
  <c r="U365" i="10" s="1"/>
  <c r="B365" i="19" s="1"/>
  <c r="S374" i="9"/>
  <c r="G374" i="10" s="1"/>
  <c r="T374" i="9"/>
  <c r="H374" i="10" s="1"/>
  <c r="P372" i="10" s="1"/>
  <c r="Q372" i="10" s="1"/>
  <c r="A374" i="10"/>
  <c r="P374" i="10" s="1"/>
  <c r="Q374" i="10" s="1"/>
  <c r="L373" i="9"/>
  <c r="N374" i="9"/>
  <c r="F374" i="9"/>
  <c r="A375" i="9"/>
  <c r="M374" i="9"/>
  <c r="E374" i="9"/>
  <c r="D374" i="9"/>
  <c r="K374" i="9"/>
  <c r="C374" i="9"/>
  <c r="B374" i="9"/>
  <c r="Q374" i="9"/>
  <c r="E374" i="10" s="1"/>
  <c r="I374" i="9"/>
  <c r="F374" i="10" s="1"/>
  <c r="P374" i="9"/>
  <c r="D374" i="10" s="1"/>
  <c r="H374" i="9"/>
  <c r="J374" i="9" s="1"/>
  <c r="G374" i="9"/>
  <c r="O374" i="9"/>
  <c r="C374" i="10" s="1"/>
  <c r="R373" i="9" l="1"/>
  <c r="B373" i="10"/>
  <c r="R368" i="9"/>
  <c r="T375" i="9"/>
  <c r="H375" i="10" s="1"/>
  <c r="S375" i="9"/>
  <c r="G375" i="10" s="1"/>
  <c r="A375" i="10"/>
  <c r="P375" i="10" s="1"/>
  <c r="Q375" i="10" s="1"/>
  <c r="J374" i="10"/>
  <c r="B375" i="9"/>
  <c r="Q375" i="9"/>
  <c r="E375" i="10" s="1"/>
  <c r="I375" i="9"/>
  <c r="F375" i="10" s="1"/>
  <c r="P375" i="9"/>
  <c r="D375" i="10" s="1"/>
  <c r="H375" i="9"/>
  <c r="J375" i="9" s="1"/>
  <c r="L375" i="9" s="1"/>
  <c r="O375" i="9"/>
  <c r="C375" i="10" s="1"/>
  <c r="G375" i="9"/>
  <c r="N375" i="9"/>
  <c r="F375" i="9"/>
  <c r="A376" i="9"/>
  <c r="M375" i="9"/>
  <c r="E375" i="9"/>
  <c r="D375" i="9"/>
  <c r="C375" i="9"/>
  <c r="K375" i="9"/>
  <c r="L374" i="9"/>
  <c r="B375" i="10" l="1"/>
  <c r="R370" i="9"/>
  <c r="R374" i="9"/>
  <c r="B374" i="10"/>
  <c r="R369" i="9"/>
  <c r="K368" i="10"/>
  <c r="I368" i="10"/>
  <c r="N368" i="10" s="1"/>
  <c r="M368" i="10"/>
  <c r="S376" i="9"/>
  <c r="G376" i="10" s="1"/>
  <c r="T376" i="9"/>
  <c r="H376" i="10" s="1"/>
  <c r="A376" i="10"/>
  <c r="P376" i="10" s="1"/>
  <c r="Q376" i="10" s="1"/>
  <c r="J375" i="10"/>
  <c r="M373" i="10"/>
  <c r="I373" i="10"/>
  <c r="K373" i="10"/>
  <c r="N376" i="9"/>
  <c r="F376" i="9"/>
  <c r="A377" i="9"/>
  <c r="M376" i="9"/>
  <c r="E376" i="9"/>
  <c r="D376" i="9"/>
  <c r="K376" i="9"/>
  <c r="C376" i="9"/>
  <c r="B376" i="9"/>
  <c r="Q376" i="9"/>
  <c r="E376" i="10" s="1"/>
  <c r="I376" i="9"/>
  <c r="F376" i="10" s="1"/>
  <c r="P376" i="9"/>
  <c r="D376" i="10" s="1"/>
  <c r="O376" i="9"/>
  <c r="C376" i="10" s="1"/>
  <c r="H376" i="9"/>
  <c r="J376" i="9" s="1"/>
  <c r="G376" i="9"/>
  <c r="N373" i="10" l="1"/>
  <c r="O368" i="10"/>
  <c r="S368" i="10" s="1"/>
  <c r="U368" i="10" s="1"/>
  <c r="B368" i="19" s="1"/>
  <c r="L376" i="9"/>
  <c r="O373" i="10"/>
  <c r="S373" i="10" s="1"/>
  <c r="U373" i="10" s="1"/>
  <c r="B373" i="19" s="1"/>
  <c r="M374" i="10"/>
  <c r="I374" i="10"/>
  <c r="K374" i="10"/>
  <c r="K369" i="10"/>
  <c r="M369" i="10"/>
  <c r="I369" i="10"/>
  <c r="N369" i="10" s="1"/>
  <c r="J376" i="10"/>
  <c r="K370" i="10"/>
  <c r="I370" i="10"/>
  <c r="N370" i="10" s="1"/>
  <c r="M370" i="10"/>
  <c r="T377" i="9"/>
  <c r="H377" i="10" s="1"/>
  <c r="S377" i="9"/>
  <c r="G377" i="10" s="1"/>
  <c r="A377" i="10"/>
  <c r="P377" i="10" s="1"/>
  <c r="Q377" i="10" s="1"/>
  <c r="B377" i="9"/>
  <c r="Q377" i="9"/>
  <c r="E377" i="10" s="1"/>
  <c r="I377" i="9"/>
  <c r="F377" i="10" s="1"/>
  <c r="P377" i="9"/>
  <c r="D377" i="10" s="1"/>
  <c r="H377" i="9"/>
  <c r="J377" i="9" s="1"/>
  <c r="O377" i="9"/>
  <c r="C377" i="10" s="1"/>
  <c r="G377" i="9"/>
  <c r="N377" i="9"/>
  <c r="F377" i="9"/>
  <c r="A378" i="9"/>
  <c r="M377" i="9"/>
  <c r="E377" i="9"/>
  <c r="K377" i="9"/>
  <c r="D377" i="9"/>
  <c r="C377" i="9"/>
  <c r="N374" i="10" l="1"/>
  <c r="T378" i="9"/>
  <c r="H378" i="10" s="1"/>
  <c r="S378" i="9"/>
  <c r="G378" i="10" s="1"/>
  <c r="A378" i="10"/>
  <c r="P378" i="10" s="1"/>
  <c r="Q378" i="10" s="1"/>
  <c r="O374" i="10"/>
  <c r="S374" i="10" s="1"/>
  <c r="U374" i="10" s="1"/>
  <c r="B374" i="19" s="1"/>
  <c r="O370" i="10"/>
  <c r="S370" i="10" s="1"/>
  <c r="U370" i="10" s="1"/>
  <c r="B370" i="19" s="1"/>
  <c r="O369" i="10"/>
  <c r="S369" i="10" s="1"/>
  <c r="U369" i="10" s="1"/>
  <c r="B369" i="19" s="1"/>
  <c r="J377" i="10"/>
  <c r="B376" i="10"/>
  <c r="R371" i="9"/>
  <c r="L377" i="9"/>
  <c r="N378" i="9"/>
  <c r="F378" i="9"/>
  <c r="A379" i="9"/>
  <c r="M378" i="9"/>
  <c r="E378" i="9"/>
  <c r="D378" i="9"/>
  <c r="K378" i="9"/>
  <c r="C378" i="9"/>
  <c r="B378" i="9"/>
  <c r="Q378" i="9"/>
  <c r="E378" i="10" s="1"/>
  <c r="I378" i="9"/>
  <c r="F378" i="10" s="1"/>
  <c r="H378" i="9"/>
  <c r="J378" i="9" s="1"/>
  <c r="G378" i="9"/>
  <c r="P378" i="9"/>
  <c r="D378" i="10" s="1"/>
  <c r="O378" i="9"/>
  <c r="C378" i="10" s="1"/>
  <c r="B377" i="10" l="1"/>
  <c r="R372" i="9"/>
  <c r="J378" i="10"/>
  <c r="L378" i="9"/>
  <c r="T379" i="9"/>
  <c r="H379" i="10" s="1"/>
  <c r="S379" i="9"/>
  <c r="G379" i="10" s="1"/>
  <c r="A379" i="10"/>
  <c r="I371" i="10"/>
  <c r="N371" i="10" s="1"/>
  <c r="M371" i="10"/>
  <c r="K371" i="10"/>
  <c r="B379" i="9"/>
  <c r="Q379" i="9"/>
  <c r="E379" i="10" s="1"/>
  <c r="I379" i="9"/>
  <c r="F379" i="10" s="1"/>
  <c r="P379" i="9"/>
  <c r="D379" i="10" s="1"/>
  <c r="H379" i="9"/>
  <c r="J379" i="9" s="1"/>
  <c r="O379" i="9"/>
  <c r="C379" i="10" s="1"/>
  <c r="G379" i="9"/>
  <c r="N379" i="9"/>
  <c r="F379" i="9"/>
  <c r="A380" i="9"/>
  <c r="M379" i="9"/>
  <c r="E379" i="9"/>
  <c r="D379" i="9"/>
  <c r="C379" i="9"/>
  <c r="K379" i="9"/>
  <c r="O371" i="10" l="1"/>
  <c r="S371" i="10" s="1"/>
  <c r="U371" i="10" s="1"/>
  <c r="B371" i="19" s="1"/>
  <c r="B378" i="10"/>
  <c r="M372" i="10"/>
  <c r="I372" i="10"/>
  <c r="N372" i="10" s="1"/>
  <c r="K372" i="10"/>
  <c r="L379" i="9"/>
  <c r="T380" i="9"/>
  <c r="H380" i="10" s="1"/>
  <c r="S380" i="9"/>
  <c r="G380" i="10" s="1"/>
  <c r="A380" i="10"/>
  <c r="P380" i="10" s="1"/>
  <c r="Q380" i="10" s="1"/>
  <c r="J379" i="10"/>
  <c r="N380" i="9"/>
  <c r="F380" i="9"/>
  <c r="A381" i="9"/>
  <c r="M380" i="9"/>
  <c r="E380" i="9"/>
  <c r="D380" i="9"/>
  <c r="K380" i="9"/>
  <c r="C380" i="9"/>
  <c r="B380" i="9"/>
  <c r="Q380" i="9"/>
  <c r="E380" i="10" s="1"/>
  <c r="I380" i="9"/>
  <c r="F380" i="10" s="1"/>
  <c r="P380" i="9"/>
  <c r="D380" i="10" s="1"/>
  <c r="O380" i="9"/>
  <c r="C380" i="10" s="1"/>
  <c r="J380" i="10" s="1"/>
  <c r="H380" i="9"/>
  <c r="J380" i="9" s="1"/>
  <c r="G380" i="9"/>
  <c r="L380" i="9" l="1"/>
  <c r="B379" i="10"/>
  <c r="O372" i="10"/>
  <c r="S372" i="10" s="1"/>
  <c r="U372" i="10" s="1"/>
  <c r="B372" i="19" s="1"/>
  <c r="T381" i="9"/>
  <c r="H381" i="10" s="1"/>
  <c r="P379" i="10" s="1"/>
  <c r="Q379" i="10" s="1"/>
  <c r="S381" i="9"/>
  <c r="G381" i="10" s="1"/>
  <c r="A381" i="10"/>
  <c r="P381" i="10" s="1"/>
  <c r="Q381" i="10" s="1"/>
  <c r="B381" i="9"/>
  <c r="Q381" i="9"/>
  <c r="E381" i="10" s="1"/>
  <c r="I381" i="9"/>
  <c r="F381" i="10" s="1"/>
  <c r="P381" i="9"/>
  <c r="D381" i="10" s="1"/>
  <c r="H381" i="9"/>
  <c r="J381" i="9" s="1"/>
  <c r="O381" i="9"/>
  <c r="C381" i="10" s="1"/>
  <c r="G381" i="9"/>
  <c r="N381" i="9"/>
  <c r="F381" i="9"/>
  <c r="A382" i="9"/>
  <c r="M381" i="9"/>
  <c r="E381" i="9"/>
  <c r="K381" i="9"/>
  <c r="D381" i="9"/>
  <c r="C381" i="9"/>
  <c r="T382" i="9" l="1"/>
  <c r="H382" i="10" s="1"/>
  <c r="S382" i="9"/>
  <c r="G382" i="10" s="1"/>
  <c r="A382" i="10"/>
  <c r="P382" i="10" s="1"/>
  <c r="Q382" i="10" s="1"/>
  <c r="J381" i="10"/>
  <c r="R380" i="9"/>
  <c r="B380" i="10"/>
  <c r="R375" i="9"/>
  <c r="L381" i="9"/>
  <c r="N382" i="9"/>
  <c r="F382" i="9"/>
  <c r="A383" i="9"/>
  <c r="M382" i="9"/>
  <c r="E382" i="9"/>
  <c r="D382" i="9"/>
  <c r="K382" i="9"/>
  <c r="C382" i="9"/>
  <c r="B382" i="9"/>
  <c r="Q382" i="9"/>
  <c r="E382" i="10" s="1"/>
  <c r="I382" i="9"/>
  <c r="F382" i="10" s="1"/>
  <c r="P382" i="9"/>
  <c r="D382" i="10" s="1"/>
  <c r="H382" i="9"/>
  <c r="J382" i="9" s="1"/>
  <c r="G382" i="9"/>
  <c r="O382" i="9"/>
  <c r="C382" i="10" s="1"/>
  <c r="J382" i="10" l="1"/>
  <c r="M375" i="10"/>
  <c r="K375" i="10"/>
  <c r="I375" i="10"/>
  <c r="N375" i="10" s="1"/>
  <c r="T383" i="9"/>
  <c r="H383" i="10" s="1"/>
  <c r="S383" i="9"/>
  <c r="G383" i="10" s="1"/>
  <c r="A383" i="10"/>
  <c r="P383" i="10" s="1"/>
  <c r="Q383" i="10" s="1"/>
  <c r="R381" i="9"/>
  <c r="B381" i="10"/>
  <c r="R376" i="9"/>
  <c r="K380" i="10"/>
  <c r="I380" i="10"/>
  <c r="M380" i="10"/>
  <c r="B383" i="9"/>
  <c r="Q383" i="9"/>
  <c r="E383" i="10" s="1"/>
  <c r="I383" i="9"/>
  <c r="F383" i="10" s="1"/>
  <c r="P383" i="9"/>
  <c r="D383" i="10" s="1"/>
  <c r="H383" i="9"/>
  <c r="J383" i="9" s="1"/>
  <c r="O383" i="9"/>
  <c r="C383" i="10" s="1"/>
  <c r="G383" i="9"/>
  <c r="N383" i="9"/>
  <c r="F383" i="9"/>
  <c r="A384" i="9"/>
  <c r="M383" i="9"/>
  <c r="E383" i="9"/>
  <c r="D383" i="9"/>
  <c r="C383" i="9"/>
  <c r="K383" i="9"/>
  <c r="L382" i="9"/>
  <c r="N380" i="10" l="1"/>
  <c r="O375" i="10"/>
  <c r="S375" i="10" s="1"/>
  <c r="U375" i="10" s="1"/>
  <c r="B375" i="19" s="1"/>
  <c r="K376" i="10"/>
  <c r="M376" i="10"/>
  <c r="I376" i="10"/>
  <c r="N376" i="10" s="1"/>
  <c r="S384" i="9"/>
  <c r="G384" i="10" s="1"/>
  <c r="T384" i="9"/>
  <c r="H384" i="10" s="1"/>
  <c r="A384" i="10"/>
  <c r="P384" i="10" s="1"/>
  <c r="Q384" i="10" s="1"/>
  <c r="M381" i="10"/>
  <c r="K381" i="10"/>
  <c r="I381" i="10"/>
  <c r="N381" i="10" s="1"/>
  <c r="B382" i="10"/>
  <c r="R377" i="9"/>
  <c r="J383" i="10"/>
  <c r="O380" i="10"/>
  <c r="S380" i="10" s="1"/>
  <c r="U380" i="10" s="1"/>
  <c r="B380" i="19" s="1"/>
  <c r="L383" i="9"/>
  <c r="N384" i="9"/>
  <c r="F384" i="9"/>
  <c r="A385" i="9"/>
  <c r="M384" i="9"/>
  <c r="E384" i="9"/>
  <c r="D384" i="9"/>
  <c r="K384" i="9"/>
  <c r="C384" i="9"/>
  <c r="B384" i="9"/>
  <c r="Q384" i="9"/>
  <c r="E384" i="10" s="1"/>
  <c r="I384" i="9"/>
  <c r="F384" i="10" s="1"/>
  <c r="P384" i="9"/>
  <c r="D384" i="10" s="1"/>
  <c r="O384" i="9"/>
  <c r="C384" i="10" s="1"/>
  <c r="H384" i="9"/>
  <c r="J384" i="9" s="1"/>
  <c r="G384" i="9"/>
  <c r="O376" i="10" l="1"/>
  <c r="S376" i="10" s="1"/>
  <c r="U376" i="10" s="1"/>
  <c r="B376" i="19" s="1"/>
  <c r="O381" i="10"/>
  <c r="S381" i="10" s="1"/>
  <c r="U381" i="10" s="1"/>
  <c r="B381" i="19" s="1"/>
  <c r="S385" i="9"/>
  <c r="G385" i="10" s="1"/>
  <c r="T385" i="9"/>
  <c r="H385" i="10" s="1"/>
  <c r="A385" i="10"/>
  <c r="P385" i="10" s="1"/>
  <c r="Q385" i="10" s="1"/>
  <c r="B383" i="10"/>
  <c r="R378" i="9"/>
  <c r="J384" i="10"/>
  <c r="I377" i="10"/>
  <c r="N377" i="10" s="1"/>
  <c r="M377" i="10"/>
  <c r="K377" i="10"/>
  <c r="B385" i="9"/>
  <c r="Q385" i="9"/>
  <c r="E385" i="10" s="1"/>
  <c r="I385" i="9"/>
  <c r="F385" i="10" s="1"/>
  <c r="P385" i="9"/>
  <c r="D385" i="10" s="1"/>
  <c r="H385" i="9"/>
  <c r="J385" i="9" s="1"/>
  <c r="O385" i="9"/>
  <c r="C385" i="10" s="1"/>
  <c r="G385" i="9"/>
  <c r="N385" i="9"/>
  <c r="F385" i="9"/>
  <c r="A386" i="9"/>
  <c r="M385" i="9"/>
  <c r="E385" i="9"/>
  <c r="K385" i="9"/>
  <c r="D385" i="9"/>
  <c r="C385" i="9"/>
  <c r="L384" i="9"/>
  <c r="O377" i="10" l="1"/>
  <c r="S377" i="10" s="1"/>
  <c r="U377" i="10" s="1"/>
  <c r="B377" i="19" s="1"/>
  <c r="S386" i="9"/>
  <c r="G386" i="10" s="1"/>
  <c r="T386" i="9"/>
  <c r="H386" i="10" s="1"/>
  <c r="A386" i="10"/>
  <c r="B384" i="10"/>
  <c r="R379" i="9"/>
  <c r="J385" i="10"/>
  <c r="I378" i="10"/>
  <c r="N378" i="10" s="1"/>
  <c r="M378" i="10"/>
  <c r="K378" i="10"/>
  <c r="L385" i="9"/>
  <c r="N386" i="9"/>
  <c r="F386" i="9"/>
  <c r="A387" i="9"/>
  <c r="M386" i="9"/>
  <c r="E386" i="9"/>
  <c r="D386" i="9"/>
  <c r="K386" i="9"/>
  <c r="C386" i="9"/>
  <c r="B386" i="9"/>
  <c r="Q386" i="9"/>
  <c r="E386" i="10" s="1"/>
  <c r="I386" i="9"/>
  <c r="F386" i="10" s="1"/>
  <c r="H386" i="9"/>
  <c r="J386" i="9" s="1"/>
  <c r="G386" i="9"/>
  <c r="P386" i="9"/>
  <c r="D386" i="10" s="1"/>
  <c r="O386" i="9"/>
  <c r="C386" i="10" s="1"/>
  <c r="J386" i="10" s="1"/>
  <c r="O378" i="10" l="1"/>
  <c r="S378" i="10" s="1"/>
  <c r="U378" i="10" s="1"/>
  <c r="B378" i="19" s="1"/>
  <c r="I379" i="10"/>
  <c r="N379" i="10" s="1"/>
  <c r="M379" i="10"/>
  <c r="K379" i="10"/>
  <c r="L386" i="9"/>
  <c r="T387" i="9"/>
  <c r="H387" i="10" s="1"/>
  <c r="S387" i="9"/>
  <c r="G387" i="10" s="1"/>
  <c r="A387" i="10"/>
  <c r="P387" i="10" s="1"/>
  <c r="Q387" i="10" s="1"/>
  <c r="B385" i="10"/>
  <c r="B387" i="9"/>
  <c r="Q387" i="9"/>
  <c r="E387" i="10" s="1"/>
  <c r="I387" i="9"/>
  <c r="F387" i="10" s="1"/>
  <c r="P387" i="9"/>
  <c r="D387" i="10" s="1"/>
  <c r="H387" i="9"/>
  <c r="J387" i="9" s="1"/>
  <c r="O387" i="9"/>
  <c r="C387" i="10" s="1"/>
  <c r="G387" i="9"/>
  <c r="N387" i="9"/>
  <c r="F387" i="9"/>
  <c r="A388" i="9"/>
  <c r="M387" i="9"/>
  <c r="E387" i="9"/>
  <c r="D387" i="9"/>
  <c r="C387" i="9"/>
  <c r="K387" i="9"/>
  <c r="B386" i="10" l="1"/>
  <c r="J387" i="10"/>
  <c r="O379" i="10"/>
  <c r="S379" i="10" s="1"/>
  <c r="U379" i="10" s="1"/>
  <c r="B379" i="19" s="1"/>
  <c r="L387" i="9"/>
  <c r="T388" i="9"/>
  <c r="H388" i="10" s="1"/>
  <c r="P386" i="10" s="1"/>
  <c r="Q386" i="10" s="1"/>
  <c r="S388" i="9"/>
  <c r="G388" i="10" s="1"/>
  <c r="A388" i="10"/>
  <c r="P388" i="10" s="1"/>
  <c r="Q388" i="10" s="1"/>
  <c r="N388" i="9"/>
  <c r="F388" i="9"/>
  <c r="A389" i="9"/>
  <c r="M388" i="9"/>
  <c r="E388" i="9"/>
  <c r="D388" i="9"/>
  <c r="K388" i="9"/>
  <c r="C388" i="9"/>
  <c r="B388" i="9"/>
  <c r="Q388" i="9"/>
  <c r="E388" i="10" s="1"/>
  <c r="I388" i="9"/>
  <c r="F388" i="10" s="1"/>
  <c r="P388" i="9"/>
  <c r="D388" i="10" s="1"/>
  <c r="O388" i="9"/>
  <c r="C388" i="10" s="1"/>
  <c r="H388" i="9"/>
  <c r="J388" i="9" s="1"/>
  <c r="L388" i="9" s="1"/>
  <c r="G388" i="9"/>
  <c r="T389" i="9" l="1"/>
  <c r="H389" i="10" s="1"/>
  <c r="S389" i="9"/>
  <c r="G389" i="10" s="1"/>
  <c r="A389" i="10"/>
  <c r="P389" i="10" s="1"/>
  <c r="Q389" i="10" s="1"/>
  <c r="R388" i="9"/>
  <c r="B388" i="10"/>
  <c r="R383" i="9"/>
  <c r="J388" i="10"/>
  <c r="R387" i="9"/>
  <c r="B387" i="10"/>
  <c r="R382" i="9"/>
  <c r="B389" i="9"/>
  <c r="Q389" i="9"/>
  <c r="E389" i="10" s="1"/>
  <c r="I389" i="9"/>
  <c r="F389" i="10" s="1"/>
  <c r="P389" i="9"/>
  <c r="D389" i="10" s="1"/>
  <c r="H389" i="9"/>
  <c r="J389" i="9" s="1"/>
  <c r="O389" i="9"/>
  <c r="C389" i="10" s="1"/>
  <c r="G389" i="9"/>
  <c r="N389" i="9"/>
  <c r="F389" i="9"/>
  <c r="A390" i="9"/>
  <c r="M389" i="9"/>
  <c r="E389" i="9"/>
  <c r="K389" i="9"/>
  <c r="D389" i="9"/>
  <c r="C389" i="9"/>
  <c r="J389" i="10" l="1"/>
  <c r="K387" i="10"/>
  <c r="M387" i="10"/>
  <c r="I387" i="10"/>
  <c r="I388" i="10"/>
  <c r="K388" i="10"/>
  <c r="M388" i="10"/>
  <c r="T390" i="9"/>
  <c r="H390" i="10" s="1"/>
  <c r="S390" i="9"/>
  <c r="G390" i="10" s="1"/>
  <c r="A390" i="10"/>
  <c r="P390" i="10" s="1"/>
  <c r="Q390" i="10" s="1"/>
  <c r="M382" i="10"/>
  <c r="K382" i="10"/>
  <c r="I382" i="10"/>
  <c r="N382" i="10" s="1"/>
  <c r="M383" i="10"/>
  <c r="K383" i="10"/>
  <c r="I383" i="10"/>
  <c r="L389" i="9"/>
  <c r="N390" i="9"/>
  <c r="F390" i="9"/>
  <c r="A391" i="9"/>
  <c r="M390" i="9"/>
  <c r="E390" i="9"/>
  <c r="D390" i="9"/>
  <c r="K390" i="9"/>
  <c r="C390" i="9"/>
  <c r="B390" i="9"/>
  <c r="Q390" i="9"/>
  <c r="E390" i="10" s="1"/>
  <c r="I390" i="9"/>
  <c r="F390" i="10" s="1"/>
  <c r="P390" i="9"/>
  <c r="D390" i="10" s="1"/>
  <c r="H390" i="9"/>
  <c r="J390" i="9" s="1"/>
  <c r="G390" i="9"/>
  <c r="O390" i="9"/>
  <c r="C390" i="10" s="1"/>
  <c r="N387" i="10" l="1"/>
  <c r="N388" i="10"/>
  <c r="N383" i="10"/>
  <c r="J390" i="10"/>
  <c r="O387" i="10"/>
  <c r="S387" i="10" s="1"/>
  <c r="U387" i="10" s="1"/>
  <c r="B387" i="19" s="1"/>
  <c r="O383" i="10"/>
  <c r="S383" i="10" s="1"/>
  <c r="U383" i="10" s="1"/>
  <c r="B383" i="19" s="1"/>
  <c r="O382" i="10"/>
  <c r="S382" i="10" s="1"/>
  <c r="U382" i="10" s="1"/>
  <c r="B382" i="19" s="1"/>
  <c r="B389" i="10"/>
  <c r="R384" i="9"/>
  <c r="T391" i="9"/>
  <c r="H391" i="10" s="1"/>
  <c r="S391" i="9"/>
  <c r="G391" i="10" s="1"/>
  <c r="A391" i="10"/>
  <c r="P391" i="10" s="1"/>
  <c r="Q391" i="10" s="1"/>
  <c r="O388" i="10"/>
  <c r="S388" i="10" s="1"/>
  <c r="U388" i="10" s="1"/>
  <c r="B388" i="19" s="1"/>
  <c r="B391" i="9"/>
  <c r="Q391" i="9"/>
  <c r="E391" i="10" s="1"/>
  <c r="I391" i="9"/>
  <c r="F391" i="10" s="1"/>
  <c r="P391" i="9"/>
  <c r="D391" i="10" s="1"/>
  <c r="H391" i="9"/>
  <c r="J391" i="9" s="1"/>
  <c r="O391" i="9"/>
  <c r="C391" i="10" s="1"/>
  <c r="G391" i="9"/>
  <c r="N391" i="9"/>
  <c r="F391" i="9"/>
  <c r="A392" i="9"/>
  <c r="M391" i="9"/>
  <c r="E391" i="9"/>
  <c r="D391" i="9"/>
  <c r="C391" i="9"/>
  <c r="K391" i="9"/>
  <c r="L390" i="9"/>
  <c r="B390" i="10" l="1"/>
  <c r="R385" i="9"/>
  <c r="K384" i="10"/>
  <c r="M384" i="10"/>
  <c r="I384" i="10"/>
  <c r="N384" i="10" s="1"/>
  <c r="J391" i="10"/>
  <c r="S392" i="9"/>
  <c r="G392" i="10" s="1"/>
  <c r="T392" i="9"/>
  <c r="H392" i="10" s="1"/>
  <c r="A392" i="10"/>
  <c r="P392" i="10" s="1"/>
  <c r="Q392" i="10" s="1"/>
  <c r="L391" i="9"/>
  <c r="N392" i="9"/>
  <c r="F392" i="9"/>
  <c r="A393" i="9"/>
  <c r="M392" i="9"/>
  <c r="E392" i="9"/>
  <c r="D392" i="9"/>
  <c r="K392" i="9"/>
  <c r="C392" i="9"/>
  <c r="B392" i="9"/>
  <c r="Q392" i="9"/>
  <c r="E392" i="10" s="1"/>
  <c r="I392" i="9"/>
  <c r="F392" i="10" s="1"/>
  <c r="P392" i="9"/>
  <c r="D392" i="10" s="1"/>
  <c r="O392" i="9"/>
  <c r="C392" i="10" s="1"/>
  <c r="J392" i="10" s="1"/>
  <c r="H392" i="9"/>
  <c r="J392" i="9" s="1"/>
  <c r="G392" i="9"/>
  <c r="O384" i="10" l="1"/>
  <c r="S384" i="10" s="1"/>
  <c r="U384" i="10" s="1"/>
  <c r="B384" i="19" s="1"/>
  <c r="L392" i="9"/>
  <c r="T393" i="9"/>
  <c r="H393" i="10" s="1"/>
  <c r="S393" i="9"/>
  <c r="G393" i="10" s="1"/>
  <c r="A393" i="10"/>
  <c r="M385" i="10"/>
  <c r="I385" i="10"/>
  <c r="N385" i="10" s="1"/>
  <c r="K385" i="10"/>
  <c r="B391" i="10"/>
  <c r="R386" i="9"/>
  <c r="B393" i="9"/>
  <c r="Q393" i="9"/>
  <c r="E393" i="10" s="1"/>
  <c r="I393" i="9"/>
  <c r="F393" i="10" s="1"/>
  <c r="P393" i="9"/>
  <c r="D393" i="10" s="1"/>
  <c r="H393" i="9"/>
  <c r="J393" i="9" s="1"/>
  <c r="O393" i="9"/>
  <c r="C393" i="10" s="1"/>
  <c r="G393" i="9"/>
  <c r="N393" i="9"/>
  <c r="F393" i="9"/>
  <c r="A394" i="9"/>
  <c r="M393" i="9"/>
  <c r="E393" i="9"/>
  <c r="K393" i="9"/>
  <c r="D393" i="9"/>
  <c r="C393" i="9"/>
  <c r="K386" i="10" l="1"/>
  <c r="I386" i="10"/>
  <c r="N386" i="10" s="1"/>
  <c r="M386" i="10"/>
  <c r="O385" i="10"/>
  <c r="S385" i="10" s="1"/>
  <c r="U385" i="10" s="1"/>
  <c r="B385" i="19" s="1"/>
  <c r="J393" i="10"/>
  <c r="T394" i="9"/>
  <c r="H394" i="10" s="1"/>
  <c r="S394" i="9"/>
  <c r="G394" i="10" s="1"/>
  <c r="A394" i="10"/>
  <c r="P394" i="10" s="1"/>
  <c r="Q394" i="10" s="1"/>
  <c r="B392" i="10"/>
  <c r="L393" i="9"/>
  <c r="N394" i="9"/>
  <c r="F394" i="9"/>
  <c r="A395" i="9"/>
  <c r="M394" i="9"/>
  <c r="E394" i="9"/>
  <c r="D394" i="9"/>
  <c r="K394" i="9"/>
  <c r="C394" i="9"/>
  <c r="B394" i="9"/>
  <c r="Q394" i="9"/>
  <c r="E394" i="10" s="1"/>
  <c r="I394" i="9"/>
  <c r="F394" i="10" s="1"/>
  <c r="H394" i="9"/>
  <c r="J394" i="9" s="1"/>
  <c r="G394" i="9"/>
  <c r="P394" i="9"/>
  <c r="D394" i="10" s="1"/>
  <c r="O394" i="9"/>
  <c r="C394" i="10" s="1"/>
  <c r="J394" i="10" l="1"/>
  <c r="B393" i="10"/>
  <c r="L394" i="9"/>
  <c r="T395" i="9"/>
  <c r="H395" i="10" s="1"/>
  <c r="S395" i="9"/>
  <c r="G395" i="10" s="1"/>
  <c r="A395" i="10"/>
  <c r="P395" i="10" s="1"/>
  <c r="Q395" i="10" s="1"/>
  <c r="O386" i="10"/>
  <c r="S386" i="10" s="1"/>
  <c r="U386" i="10" s="1"/>
  <c r="B386" i="19" s="1"/>
  <c r="B395" i="9"/>
  <c r="Q395" i="9"/>
  <c r="E395" i="10" s="1"/>
  <c r="I395" i="9"/>
  <c r="F395" i="10" s="1"/>
  <c r="P395" i="9"/>
  <c r="D395" i="10" s="1"/>
  <c r="H395" i="9"/>
  <c r="J395" i="9" s="1"/>
  <c r="L395" i="9" s="1"/>
  <c r="O395" i="9"/>
  <c r="C395" i="10" s="1"/>
  <c r="G395" i="9"/>
  <c r="N395" i="9"/>
  <c r="F395" i="9"/>
  <c r="A396" i="9"/>
  <c r="M395" i="9"/>
  <c r="E395" i="9"/>
  <c r="D395" i="9"/>
  <c r="C395" i="9"/>
  <c r="K395" i="9"/>
  <c r="P393" i="10" l="1"/>
  <c r="Q393" i="10" s="1"/>
  <c r="R395" i="9"/>
  <c r="B395" i="10"/>
  <c r="R390" i="9"/>
  <c r="T396" i="9"/>
  <c r="H396" i="10" s="1"/>
  <c r="S396" i="9"/>
  <c r="G396" i="10" s="1"/>
  <c r="A396" i="10"/>
  <c r="P396" i="10" s="1"/>
  <c r="Q396" i="10" s="1"/>
  <c r="M395" i="10"/>
  <c r="K395" i="10"/>
  <c r="I395" i="10"/>
  <c r="R394" i="9"/>
  <c r="B394" i="10"/>
  <c r="R389" i="9"/>
  <c r="J395" i="10"/>
  <c r="N396" i="9"/>
  <c r="F396" i="9"/>
  <c r="A397" i="9"/>
  <c r="M396" i="9"/>
  <c r="E396" i="9"/>
  <c r="D396" i="9"/>
  <c r="K396" i="9"/>
  <c r="C396" i="9"/>
  <c r="B396" i="9"/>
  <c r="Q396" i="9"/>
  <c r="E396" i="10" s="1"/>
  <c r="I396" i="9"/>
  <c r="F396" i="10" s="1"/>
  <c r="P396" i="9"/>
  <c r="D396" i="10" s="1"/>
  <c r="O396" i="9"/>
  <c r="C396" i="10" s="1"/>
  <c r="G396" i="9"/>
  <c r="H396" i="9"/>
  <c r="J396" i="9" s="1"/>
  <c r="N395" i="10" l="1"/>
  <c r="M389" i="10"/>
  <c r="K389" i="10"/>
  <c r="I389" i="10"/>
  <c r="N389" i="10" s="1"/>
  <c r="J396" i="10"/>
  <c r="I394" i="10"/>
  <c r="M394" i="10"/>
  <c r="K394" i="10"/>
  <c r="M390" i="10"/>
  <c r="K390" i="10"/>
  <c r="I390" i="10"/>
  <c r="N390" i="10" s="1"/>
  <c r="O395" i="10"/>
  <c r="S395" i="10" s="1"/>
  <c r="U395" i="10" s="1"/>
  <c r="B395" i="19" s="1"/>
  <c r="T397" i="9"/>
  <c r="H397" i="10" s="1"/>
  <c r="A397" i="10"/>
  <c r="S397" i="9"/>
  <c r="G397" i="10" s="1"/>
  <c r="B397" i="9"/>
  <c r="Q397" i="9"/>
  <c r="E397" i="10" s="1"/>
  <c r="I397" i="9"/>
  <c r="F397" i="10" s="1"/>
  <c r="P397" i="9"/>
  <c r="D397" i="10" s="1"/>
  <c r="H397" i="9"/>
  <c r="J397" i="9" s="1"/>
  <c r="O397" i="9"/>
  <c r="C397" i="10" s="1"/>
  <c r="G397" i="9"/>
  <c r="N397" i="9"/>
  <c r="F397" i="9"/>
  <c r="A398" i="9"/>
  <c r="M397" i="9"/>
  <c r="E397" i="9"/>
  <c r="K397" i="9"/>
  <c r="D397" i="9"/>
  <c r="C397" i="9"/>
  <c r="L396" i="9"/>
  <c r="N394" i="10" l="1"/>
  <c r="P397" i="10"/>
  <c r="Q397" i="10" s="1"/>
  <c r="O390" i="10"/>
  <c r="S390" i="10" s="1"/>
  <c r="U390" i="10" s="1"/>
  <c r="B390" i="19" s="1"/>
  <c r="O389" i="10"/>
  <c r="S389" i="10" s="1"/>
  <c r="U389" i="10" s="1"/>
  <c r="B389" i="19" s="1"/>
  <c r="J397" i="10"/>
  <c r="O394" i="10"/>
  <c r="S394" i="10" s="1"/>
  <c r="U394" i="10" s="1"/>
  <c r="B394" i="19" s="1"/>
  <c r="T398" i="9"/>
  <c r="H398" i="10" s="1"/>
  <c r="S398" i="9"/>
  <c r="G398" i="10" s="1"/>
  <c r="A398" i="10"/>
  <c r="P398" i="10" s="1"/>
  <c r="Q398" i="10" s="1"/>
  <c r="R396" i="9"/>
  <c r="B396" i="10"/>
  <c r="R391" i="9"/>
  <c r="L397" i="9"/>
  <c r="N398" i="9"/>
  <c r="F398" i="9"/>
  <c r="A399" i="9"/>
  <c r="M398" i="9"/>
  <c r="E398" i="9"/>
  <c r="D398" i="9"/>
  <c r="K398" i="9"/>
  <c r="C398" i="9"/>
  <c r="B398" i="9"/>
  <c r="Q398" i="9"/>
  <c r="E398" i="10" s="1"/>
  <c r="I398" i="9"/>
  <c r="F398" i="10" s="1"/>
  <c r="P398" i="9"/>
  <c r="D398" i="10" s="1"/>
  <c r="H398" i="9"/>
  <c r="J398" i="9" s="1"/>
  <c r="G398" i="9"/>
  <c r="O398" i="9"/>
  <c r="C398" i="10" s="1"/>
  <c r="T399" i="9" l="1"/>
  <c r="H399" i="10" s="1"/>
  <c r="S399" i="9"/>
  <c r="G399" i="10" s="1"/>
  <c r="A399" i="10"/>
  <c r="P399" i="10" s="1"/>
  <c r="Q399" i="10" s="1"/>
  <c r="J398" i="10"/>
  <c r="M391" i="10"/>
  <c r="I391" i="10"/>
  <c r="N391" i="10" s="1"/>
  <c r="K391" i="10"/>
  <c r="M396" i="10"/>
  <c r="K396" i="10"/>
  <c r="I396" i="10"/>
  <c r="B397" i="10"/>
  <c r="R392" i="9"/>
  <c r="B399" i="9"/>
  <c r="Q399" i="9"/>
  <c r="E399" i="10" s="1"/>
  <c r="I399" i="9"/>
  <c r="F399" i="10" s="1"/>
  <c r="P399" i="9"/>
  <c r="D399" i="10" s="1"/>
  <c r="H399" i="9"/>
  <c r="J399" i="9" s="1"/>
  <c r="O399" i="9"/>
  <c r="C399" i="10" s="1"/>
  <c r="G399" i="9"/>
  <c r="N399" i="9"/>
  <c r="F399" i="9"/>
  <c r="A400" i="9"/>
  <c r="M399" i="9"/>
  <c r="E399" i="9"/>
  <c r="D399" i="9"/>
  <c r="C399" i="9"/>
  <c r="K399" i="9"/>
  <c r="L398" i="9"/>
  <c r="N396" i="10" l="1"/>
  <c r="O391" i="10"/>
  <c r="S391" i="10" s="1"/>
  <c r="U391" i="10" s="1"/>
  <c r="B391" i="19" s="1"/>
  <c r="O396" i="10"/>
  <c r="S396" i="10" s="1"/>
  <c r="U396" i="10" s="1"/>
  <c r="B396" i="19" s="1"/>
  <c r="B398" i="10"/>
  <c r="R393" i="9"/>
  <c r="S400" i="9"/>
  <c r="G400" i="10" s="1"/>
  <c r="T400" i="9"/>
  <c r="H400" i="10" s="1"/>
  <c r="A400" i="10"/>
  <c r="M392" i="10"/>
  <c r="K392" i="10"/>
  <c r="I392" i="10"/>
  <c r="N392" i="10" s="1"/>
  <c r="J399" i="10"/>
  <c r="L399" i="9"/>
  <c r="N400" i="9"/>
  <c r="F400" i="9"/>
  <c r="A401" i="9"/>
  <c r="M400" i="9"/>
  <c r="E400" i="9"/>
  <c r="D400" i="9"/>
  <c r="K400" i="9"/>
  <c r="C400" i="9"/>
  <c r="B400" i="9"/>
  <c r="Q400" i="9"/>
  <c r="E400" i="10" s="1"/>
  <c r="I400" i="9"/>
  <c r="F400" i="10" s="1"/>
  <c r="P400" i="9"/>
  <c r="D400" i="10" s="1"/>
  <c r="O400" i="9"/>
  <c r="C400" i="10" s="1"/>
  <c r="H400" i="9"/>
  <c r="J400" i="9" s="1"/>
  <c r="G400" i="9"/>
  <c r="J400" i="10" l="1"/>
  <c r="O392" i="10"/>
  <c r="S392" i="10" s="1"/>
  <c r="U392" i="10" s="1"/>
  <c r="B392" i="19" s="1"/>
  <c r="S401" i="9"/>
  <c r="G401" i="10" s="1"/>
  <c r="T401" i="9"/>
  <c r="H401" i="10" s="1"/>
  <c r="A401" i="10"/>
  <c r="P401" i="10" s="1"/>
  <c r="Q401" i="10" s="1"/>
  <c r="M393" i="10"/>
  <c r="K393" i="10"/>
  <c r="I393" i="10"/>
  <c r="B399" i="10"/>
  <c r="B401" i="9"/>
  <c r="Q401" i="9"/>
  <c r="E401" i="10" s="1"/>
  <c r="I401" i="9"/>
  <c r="F401" i="10" s="1"/>
  <c r="P401" i="9"/>
  <c r="D401" i="10" s="1"/>
  <c r="H401" i="9"/>
  <c r="J401" i="9" s="1"/>
  <c r="O401" i="9"/>
  <c r="C401" i="10" s="1"/>
  <c r="G401" i="9"/>
  <c r="N401" i="9"/>
  <c r="F401" i="9"/>
  <c r="A402" i="9"/>
  <c r="M401" i="9"/>
  <c r="E401" i="9"/>
  <c r="K401" i="9"/>
  <c r="D401" i="9"/>
  <c r="C401" i="9"/>
  <c r="L400" i="9"/>
  <c r="N393" i="10" l="1"/>
  <c r="O393" i="10"/>
  <c r="S393" i="10" s="1"/>
  <c r="U393" i="10" s="1"/>
  <c r="B393" i="19" s="1"/>
  <c r="B400" i="10"/>
  <c r="S402" i="9"/>
  <c r="G402" i="10" s="1"/>
  <c r="T402" i="9"/>
  <c r="H402" i="10" s="1"/>
  <c r="P400" i="10" s="1"/>
  <c r="Q400" i="10" s="1"/>
  <c r="A402" i="10"/>
  <c r="P402" i="10" s="1"/>
  <c r="Q402" i="10" s="1"/>
  <c r="J401" i="10"/>
  <c r="L401" i="9"/>
  <c r="N402" i="9"/>
  <c r="F402" i="9"/>
  <c r="A403" i="9"/>
  <c r="M402" i="9"/>
  <c r="E402" i="9"/>
  <c r="D402" i="9"/>
  <c r="K402" i="9"/>
  <c r="C402" i="9"/>
  <c r="B402" i="9"/>
  <c r="Q402" i="9"/>
  <c r="E402" i="10" s="1"/>
  <c r="I402" i="9"/>
  <c r="F402" i="10" s="1"/>
  <c r="H402" i="9"/>
  <c r="J402" i="9" s="1"/>
  <c r="L402" i="9" s="1"/>
  <c r="G402" i="9"/>
  <c r="P402" i="9"/>
  <c r="D402" i="10" s="1"/>
  <c r="O402" i="9"/>
  <c r="C402" i="10" s="1"/>
  <c r="J402" i="10" s="1"/>
  <c r="T403" i="9" l="1"/>
  <c r="H403" i="10" s="1"/>
  <c r="S403" i="9"/>
  <c r="G403" i="10" s="1"/>
  <c r="A403" i="10"/>
  <c r="P403" i="10" s="1"/>
  <c r="Q403" i="10" s="1"/>
  <c r="M402" i="10"/>
  <c r="K402" i="10"/>
  <c r="I402" i="10"/>
  <c r="N402" i="10" s="1"/>
  <c r="R401" i="9"/>
  <c r="B401" i="10"/>
  <c r="R402" i="9"/>
  <c r="B402" i="10"/>
  <c r="R397" i="9"/>
  <c r="B403" i="9"/>
  <c r="Q403" i="9"/>
  <c r="E403" i="10" s="1"/>
  <c r="I403" i="9"/>
  <c r="F403" i="10" s="1"/>
  <c r="P403" i="9"/>
  <c r="D403" i="10" s="1"/>
  <c r="H403" i="9"/>
  <c r="J403" i="9" s="1"/>
  <c r="O403" i="9"/>
  <c r="C403" i="10" s="1"/>
  <c r="G403" i="9"/>
  <c r="N403" i="9"/>
  <c r="F403" i="9"/>
  <c r="A404" i="9"/>
  <c r="M403" i="9"/>
  <c r="E403" i="9"/>
  <c r="D403" i="9"/>
  <c r="C403" i="9"/>
  <c r="K403" i="9"/>
  <c r="O402" i="10" l="1"/>
  <c r="S402" i="10" s="1"/>
  <c r="U402" i="10" s="1"/>
  <c r="B402" i="19" s="1"/>
  <c r="I401" i="10"/>
  <c r="M401" i="10"/>
  <c r="K401" i="10"/>
  <c r="J403" i="10"/>
  <c r="T404" i="9"/>
  <c r="H404" i="10" s="1"/>
  <c r="S404" i="9"/>
  <c r="G404" i="10" s="1"/>
  <c r="A404" i="10"/>
  <c r="M397" i="10"/>
  <c r="I397" i="10"/>
  <c r="N397" i="10" s="1"/>
  <c r="K397" i="10"/>
  <c r="L403" i="9"/>
  <c r="N404" i="9"/>
  <c r="F404" i="9"/>
  <c r="A405" i="9"/>
  <c r="M404" i="9"/>
  <c r="E404" i="9"/>
  <c r="D404" i="9"/>
  <c r="K404" i="9"/>
  <c r="C404" i="9"/>
  <c r="B404" i="9"/>
  <c r="Q404" i="9"/>
  <c r="E404" i="10" s="1"/>
  <c r="I404" i="9"/>
  <c r="F404" i="10" s="1"/>
  <c r="P404" i="9"/>
  <c r="D404" i="10" s="1"/>
  <c r="O404" i="9"/>
  <c r="C404" i="10" s="1"/>
  <c r="H404" i="9"/>
  <c r="J404" i="9" s="1"/>
  <c r="G404" i="9"/>
  <c r="N401" i="10" l="1"/>
  <c r="J404" i="10"/>
  <c r="P404" i="10"/>
  <c r="Q404" i="10" s="1"/>
  <c r="O397" i="10"/>
  <c r="S397" i="10" s="1"/>
  <c r="U397" i="10" s="1"/>
  <c r="B397" i="19" s="1"/>
  <c r="O401" i="10"/>
  <c r="S401" i="10" s="1"/>
  <c r="U401" i="10" s="1"/>
  <c r="B401" i="19" s="1"/>
  <c r="T405" i="9"/>
  <c r="H405" i="10" s="1"/>
  <c r="S405" i="9"/>
  <c r="G405" i="10" s="1"/>
  <c r="A405" i="10"/>
  <c r="P405" i="10" s="1"/>
  <c r="Q405" i="10" s="1"/>
  <c r="L404" i="9"/>
  <c r="B403" i="10"/>
  <c r="R398" i="9"/>
  <c r="B405" i="9"/>
  <c r="Q405" i="9"/>
  <c r="E405" i="10" s="1"/>
  <c r="I405" i="9"/>
  <c r="F405" i="10" s="1"/>
  <c r="P405" i="9"/>
  <c r="D405" i="10" s="1"/>
  <c r="H405" i="9"/>
  <c r="J405" i="9" s="1"/>
  <c r="O405" i="9"/>
  <c r="C405" i="10" s="1"/>
  <c r="G405" i="9"/>
  <c r="N405" i="9"/>
  <c r="F405" i="9"/>
  <c r="A406" i="9"/>
  <c r="M405" i="9"/>
  <c r="E405" i="9"/>
  <c r="K405" i="9"/>
  <c r="D405" i="9"/>
  <c r="C405" i="9"/>
  <c r="I398" i="10" l="1"/>
  <c r="N398" i="10" s="1"/>
  <c r="M398" i="10"/>
  <c r="K398" i="10"/>
  <c r="J405" i="10"/>
  <c r="B404" i="10"/>
  <c r="R399" i="9"/>
  <c r="S406" i="9"/>
  <c r="G406" i="10" s="1"/>
  <c r="T406" i="9"/>
  <c r="H406" i="10" s="1"/>
  <c r="A406" i="10"/>
  <c r="P406" i="10" s="1"/>
  <c r="Q406" i="10" s="1"/>
  <c r="L405" i="9"/>
  <c r="N406" i="9"/>
  <c r="F406" i="9"/>
  <c r="A407" i="9"/>
  <c r="M406" i="9"/>
  <c r="E406" i="9"/>
  <c r="D406" i="9"/>
  <c r="K406" i="9"/>
  <c r="C406" i="9"/>
  <c r="B406" i="9"/>
  <c r="Q406" i="9"/>
  <c r="E406" i="10" s="1"/>
  <c r="I406" i="9"/>
  <c r="F406" i="10" s="1"/>
  <c r="P406" i="9"/>
  <c r="D406" i="10" s="1"/>
  <c r="H406" i="9"/>
  <c r="J406" i="9" s="1"/>
  <c r="G406" i="9"/>
  <c r="O406" i="9"/>
  <c r="C406" i="10" s="1"/>
  <c r="J406" i="10" s="1"/>
  <c r="I399" i="10" l="1"/>
  <c r="M399" i="10"/>
  <c r="K399" i="10"/>
  <c r="T407" i="9"/>
  <c r="H407" i="10" s="1"/>
  <c r="S407" i="9"/>
  <c r="G407" i="10" s="1"/>
  <c r="A407" i="10"/>
  <c r="O398" i="10"/>
  <c r="S398" i="10" s="1"/>
  <c r="U398" i="10" s="1"/>
  <c r="B398" i="19" s="1"/>
  <c r="B405" i="10"/>
  <c r="R400" i="9"/>
  <c r="B407" i="9"/>
  <c r="Q407" i="9"/>
  <c r="E407" i="10" s="1"/>
  <c r="I407" i="9"/>
  <c r="F407" i="10" s="1"/>
  <c r="P407" i="9"/>
  <c r="D407" i="10" s="1"/>
  <c r="H407" i="9"/>
  <c r="J407" i="9" s="1"/>
  <c r="O407" i="9"/>
  <c r="C407" i="10" s="1"/>
  <c r="G407" i="9"/>
  <c r="N407" i="9"/>
  <c r="F407" i="9"/>
  <c r="A408" i="9"/>
  <c r="M407" i="9"/>
  <c r="E407" i="9"/>
  <c r="D407" i="9"/>
  <c r="C407" i="9"/>
  <c r="K407" i="9"/>
  <c r="L406" i="9"/>
  <c r="N399" i="10" l="1"/>
  <c r="O399" i="10"/>
  <c r="S399" i="10" s="1"/>
  <c r="U399" i="10" s="1"/>
  <c r="B399" i="19" s="1"/>
  <c r="I400" i="10"/>
  <c r="M400" i="10"/>
  <c r="K400" i="10"/>
  <c r="J407" i="10"/>
  <c r="L407" i="9"/>
  <c r="B406" i="10"/>
  <c r="S408" i="9"/>
  <c r="G408" i="10" s="1"/>
  <c r="T408" i="9"/>
  <c r="H408" i="10" s="1"/>
  <c r="A408" i="10"/>
  <c r="P408" i="10" s="1"/>
  <c r="Q408" i="10" s="1"/>
  <c r="N408" i="9"/>
  <c r="F408" i="9"/>
  <c r="A409" i="9"/>
  <c r="M408" i="9"/>
  <c r="E408" i="9"/>
  <c r="D408" i="9"/>
  <c r="K408" i="9"/>
  <c r="C408" i="9"/>
  <c r="B408" i="9"/>
  <c r="Q408" i="9"/>
  <c r="E408" i="10" s="1"/>
  <c r="I408" i="9"/>
  <c r="F408" i="10" s="1"/>
  <c r="P408" i="9"/>
  <c r="D408" i="10" s="1"/>
  <c r="O408" i="9"/>
  <c r="C408" i="10" s="1"/>
  <c r="H408" i="9"/>
  <c r="J408" i="9" s="1"/>
  <c r="G408" i="9"/>
  <c r="N400" i="10" l="1"/>
  <c r="B407" i="10"/>
  <c r="L408" i="9"/>
  <c r="J408" i="10"/>
  <c r="T409" i="9"/>
  <c r="H409" i="10" s="1"/>
  <c r="P407" i="10" s="1"/>
  <c r="Q407" i="10" s="1"/>
  <c r="S409" i="9"/>
  <c r="G409" i="10" s="1"/>
  <c r="A409" i="10"/>
  <c r="P409" i="10" s="1"/>
  <c r="Q409" i="10" s="1"/>
  <c r="O400" i="10"/>
  <c r="S400" i="10" s="1"/>
  <c r="U400" i="10" s="1"/>
  <c r="B400" i="19" s="1"/>
  <c r="B409" i="9"/>
  <c r="Q409" i="9"/>
  <c r="E409" i="10" s="1"/>
  <c r="I409" i="9"/>
  <c r="F409" i="10" s="1"/>
  <c r="P409" i="9"/>
  <c r="D409" i="10" s="1"/>
  <c r="H409" i="9"/>
  <c r="J409" i="9" s="1"/>
  <c r="O409" i="9"/>
  <c r="C409" i="10" s="1"/>
  <c r="G409" i="9"/>
  <c r="N409" i="9"/>
  <c r="F409" i="9"/>
  <c r="A410" i="9"/>
  <c r="M409" i="9"/>
  <c r="E409" i="9"/>
  <c r="K409" i="9"/>
  <c r="C409" i="9"/>
  <c r="D409" i="9"/>
  <c r="R408" i="9" l="1"/>
  <c r="B408" i="10"/>
  <c r="R403" i="9"/>
  <c r="T410" i="9"/>
  <c r="H410" i="10" s="1"/>
  <c r="S410" i="9"/>
  <c r="G410" i="10" s="1"/>
  <c r="A410" i="10"/>
  <c r="P410" i="10" s="1"/>
  <c r="Q410" i="10" s="1"/>
  <c r="J409" i="10"/>
  <c r="L409" i="9"/>
  <c r="N410" i="9"/>
  <c r="F410" i="9"/>
  <c r="A411" i="9"/>
  <c r="M410" i="9"/>
  <c r="E410" i="9"/>
  <c r="D410" i="9"/>
  <c r="K410" i="9"/>
  <c r="C410" i="9"/>
  <c r="B410" i="9"/>
  <c r="Q410" i="9"/>
  <c r="E410" i="10" s="1"/>
  <c r="I410" i="9"/>
  <c r="F410" i="10" s="1"/>
  <c r="H410" i="9"/>
  <c r="J410" i="9" s="1"/>
  <c r="L410" i="9" s="1"/>
  <c r="G410" i="9"/>
  <c r="P410" i="9"/>
  <c r="D410" i="10" s="1"/>
  <c r="O410" i="9"/>
  <c r="C410" i="10" s="1"/>
  <c r="B410" i="10" l="1"/>
  <c r="R405" i="9"/>
  <c r="T411" i="9"/>
  <c r="H411" i="10" s="1"/>
  <c r="S411" i="9"/>
  <c r="G411" i="10" s="1"/>
  <c r="A411" i="10"/>
  <c r="P411" i="10" s="1"/>
  <c r="Q411" i="10" s="1"/>
  <c r="M403" i="10"/>
  <c r="K403" i="10"/>
  <c r="I403" i="10"/>
  <c r="N403" i="10" s="1"/>
  <c r="J410" i="10"/>
  <c r="K408" i="10"/>
  <c r="I408" i="10"/>
  <c r="M408" i="10"/>
  <c r="R409" i="9"/>
  <c r="B409" i="10"/>
  <c r="R404" i="9"/>
  <c r="B411" i="9"/>
  <c r="Q411" i="9"/>
  <c r="E411" i="10" s="1"/>
  <c r="I411" i="9"/>
  <c r="F411" i="10" s="1"/>
  <c r="P411" i="9"/>
  <c r="D411" i="10" s="1"/>
  <c r="H411" i="9"/>
  <c r="J411" i="9" s="1"/>
  <c r="O411" i="9"/>
  <c r="C411" i="10" s="1"/>
  <c r="G411" i="9"/>
  <c r="N411" i="9"/>
  <c r="F411" i="9"/>
  <c r="A412" i="9"/>
  <c r="M411" i="9"/>
  <c r="E411" i="9"/>
  <c r="D411" i="9"/>
  <c r="C411" i="9"/>
  <c r="K411" i="9"/>
  <c r="N408" i="10" l="1"/>
  <c r="M409" i="10"/>
  <c r="K409" i="10"/>
  <c r="I409" i="10"/>
  <c r="N409" i="10" s="1"/>
  <c r="O408" i="10"/>
  <c r="S408" i="10" s="1"/>
  <c r="U408" i="10" s="1"/>
  <c r="B408" i="19" s="1"/>
  <c r="L411" i="9"/>
  <c r="K405" i="10"/>
  <c r="I405" i="10"/>
  <c r="M405" i="10"/>
  <c r="T412" i="9"/>
  <c r="H412" i="10" s="1"/>
  <c r="S412" i="9"/>
  <c r="G412" i="10" s="1"/>
  <c r="A412" i="10"/>
  <c r="P412" i="10" s="1"/>
  <c r="Q412" i="10" s="1"/>
  <c r="I404" i="10"/>
  <c r="M404" i="10"/>
  <c r="K404" i="10"/>
  <c r="J411" i="10"/>
  <c r="O403" i="10"/>
  <c r="S403" i="10" s="1"/>
  <c r="U403" i="10" s="1"/>
  <c r="B403" i="19" s="1"/>
  <c r="N412" i="9"/>
  <c r="F412" i="9"/>
  <c r="A413" i="9"/>
  <c r="M412" i="9"/>
  <c r="E412" i="9"/>
  <c r="D412" i="9"/>
  <c r="K412" i="9"/>
  <c r="C412" i="9"/>
  <c r="B412" i="9"/>
  <c r="Q412" i="9"/>
  <c r="E412" i="10" s="1"/>
  <c r="I412" i="9"/>
  <c r="F412" i="10" s="1"/>
  <c r="P412" i="9"/>
  <c r="D412" i="10" s="1"/>
  <c r="O412" i="9"/>
  <c r="C412" i="10" s="1"/>
  <c r="H412" i="9"/>
  <c r="J412" i="9" s="1"/>
  <c r="G412" i="9"/>
  <c r="N404" i="10" l="1"/>
  <c r="N405" i="10"/>
  <c r="O405" i="10" s="1"/>
  <c r="S405" i="10" s="1"/>
  <c r="U405" i="10" s="1"/>
  <c r="B405" i="19" s="1"/>
  <c r="O409" i="10"/>
  <c r="S409" i="10" s="1"/>
  <c r="U409" i="10" s="1"/>
  <c r="B409" i="19" s="1"/>
  <c r="O404" i="10"/>
  <c r="S404" i="10" s="1"/>
  <c r="U404" i="10" s="1"/>
  <c r="B404" i="19" s="1"/>
  <c r="B411" i="10"/>
  <c r="R406" i="9"/>
  <c r="L412" i="9"/>
  <c r="J412" i="10"/>
  <c r="T413" i="9"/>
  <c r="H413" i="10" s="1"/>
  <c r="A413" i="10"/>
  <c r="P413" i="10" s="1"/>
  <c r="Q413" i="10" s="1"/>
  <c r="S413" i="9"/>
  <c r="G413" i="10" s="1"/>
  <c r="B413" i="9"/>
  <c r="Q413" i="9"/>
  <c r="E413" i="10" s="1"/>
  <c r="I413" i="9"/>
  <c r="F413" i="10" s="1"/>
  <c r="P413" i="9"/>
  <c r="D413" i="10" s="1"/>
  <c r="H413" i="9"/>
  <c r="J413" i="9" s="1"/>
  <c r="O413" i="9"/>
  <c r="C413" i="10" s="1"/>
  <c r="G413" i="9"/>
  <c r="N413" i="9"/>
  <c r="F413" i="9"/>
  <c r="A414" i="9"/>
  <c r="M413" i="9"/>
  <c r="E413" i="9"/>
  <c r="K413" i="9"/>
  <c r="D413" i="9"/>
  <c r="C413" i="9"/>
  <c r="T414" i="9" l="1"/>
  <c r="H414" i="10" s="1"/>
  <c r="S414" i="9"/>
  <c r="G414" i="10" s="1"/>
  <c r="A414" i="10"/>
  <c r="J413" i="10"/>
  <c r="I406" i="10"/>
  <c r="N406" i="10" s="1"/>
  <c r="M406" i="10"/>
  <c r="K406" i="10"/>
  <c r="B412" i="10"/>
  <c r="R407" i="9"/>
  <c r="L413" i="9"/>
  <c r="N414" i="9"/>
  <c r="F414" i="9"/>
  <c r="A415" i="9"/>
  <c r="M414" i="9"/>
  <c r="E414" i="9"/>
  <c r="D414" i="9"/>
  <c r="K414" i="9"/>
  <c r="C414" i="9"/>
  <c r="B414" i="9"/>
  <c r="Q414" i="9"/>
  <c r="E414" i="10" s="1"/>
  <c r="I414" i="9"/>
  <c r="F414" i="10" s="1"/>
  <c r="P414" i="9"/>
  <c r="D414" i="10" s="1"/>
  <c r="H414" i="9"/>
  <c r="J414" i="9" s="1"/>
  <c r="G414" i="9"/>
  <c r="O414" i="9"/>
  <c r="C414" i="10" s="1"/>
  <c r="J414" i="10" l="1"/>
  <c r="T415" i="9"/>
  <c r="H415" i="10" s="1"/>
  <c r="S415" i="9"/>
  <c r="G415" i="10" s="1"/>
  <c r="A415" i="10"/>
  <c r="P415" i="10" s="1"/>
  <c r="Q415" i="10" s="1"/>
  <c r="B413" i="10"/>
  <c r="M407" i="10"/>
  <c r="K407" i="10"/>
  <c r="I407" i="10"/>
  <c r="O406" i="10"/>
  <c r="S406" i="10" s="1"/>
  <c r="U406" i="10" s="1"/>
  <c r="B406" i="19" s="1"/>
  <c r="B415" i="9"/>
  <c r="Q415" i="9"/>
  <c r="E415" i="10" s="1"/>
  <c r="I415" i="9"/>
  <c r="F415" i="10" s="1"/>
  <c r="P415" i="9"/>
  <c r="D415" i="10" s="1"/>
  <c r="H415" i="9"/>
  <c r="J415" i="9" s="1"/>
  <c r="O415" i="9"/>
  <c r="C415" i="10" s="1"/>
  <c r="G415" i="9"/>
  <c r="N415" i="9"/>
  <c r="F415" i="9"/>
  <c r="A416" i="9"/>
  <c r="M415" i="9"/>
  <c r="E415" i="9"/>
  <c r="D415" i="9"/>
  <c r="C415" i="9"/>
  <c r="K415" i="9"/>
  <c r="L414" i="9"/>
  <c r="N407" i="10" l="1"/>
  <c r="O407" i="10"/>
  <c r="S407" i="10" s="1"/>
  <c r="U407" i="10" s="1"/>
  <c r="B407" i="19" s="1"/>
  <c r="S416" i="9"/>
  <c r="G416" i="10" s="1"/>
  <c r="T416" i="9"/>
  <c r="H416" i="10" s="1"/>
  <c r="P414" i="10" s="1"/>
  <c r="Q414" i="10" s="1"/>
  <c r="A416" i="10"/>
  <c r="P416" i="10" s="1"/>
  <c r="Q416" i="10" s="1"/>
  <c r="B414" i="10"/>
  <c r="L415" i="9"/>
  <c r="J415" i="10"/>
  <c r="N416" i="9"/>
  <c r="F416" i="9"/>
  <c r="A417" i="9"/>
  <c r="M416" i="9"/>
  <c r="E416" i="9"/>
  <c r="D416" i="9"/>
  <c r="K416" i="9"/>
  <c r="C416" i="9"/>
  <c r="B416" i="9"/>
  <c r="Q416" i="9"/>
  <c r="E416" i="10" s="1"/>
  <c r="I416" i="9"/>
  <c r="F416" i="10" s="1"/>
  <c r="P416" i="9"/>
  <c r="D416" i="10" s="1"/>
  <c r="O416" i="9"/>
  <c r="C416" i="10" s="1"/>
  <c r="J416" i="10" s="1"/>
  <c r="H416" i="9"/>
  <c r="J416" i="9" s="1"/>
  <c r="L416" i="9" s="1"/>
  <c r="G416" i="9"/>
  <c r="S417" i="9" l="1"/>
  <c r="G417" i="10" s="1"/>
  <c r="T417" i="9"/>
  <c r="H417" i="10" s="1"/>
  <c r="A417" i="10"/>
  <c r="P417" i="10" s="1"/>
  <c r="Q417" i="10" s="1"/>
  <c r="R415" i="9"/>
  <c r="B415" i="10"/>
  <c r="R410" i="9"/>
  <c r="M416" i="10"/>
  <c r="K416" i="10"/>
  <c r="I416" i="10"/>
  <c r="R416" i="9"/>
  <c r="B416" i="10"/>
  <c r="R411" i="9"/>
  <c r="B417" i="9"/>
  <c r="Q417" i="9"/>
  <c r="E417" i="10" s="1"/>
  <c r="I417" i="9"/>
  <c r="F417" i="10" s="1"/>
  <c r="P417" i="9"/>
  <c r="D417" i="10" s="1"/>
  <c r="H417" i="9"/>
  <c r="J417" i="9" s="1"/>
  <c r="O417" i="9"/>
  <c r="C417" i="10" s="1"/>
  <c r="G417" i="9"/>
  <c r="N417" i="9"/>
  <c r="F417" i="9"/>
  <c r="A418" i="9"/>
  <c r="M417" i="9"/>
  <c r="E417" i="9"/>
  <c r="K417" i="9"/>
  <c r="D417" i="9"/>
  <c r="C417" i="9"/>
  <c r="N416" i="10" l="1"/>
  <c r="I410" i="10"/>
  <c r="K410" i="10"/>
  <c r="M410" i="10"/>
  <c r="M411" i="10"/>
  <c r="K411" i="10"/>
  <c r="I411" i="10"/>
  <c r="K415" i="10"/>
  <c r="I415" i="10"/>
  <c r="M415" i="10"/>
  <c r="J417" i="10"/>
  <c r="S418" i="9"/>
  <c r="G418" i="10" s="1"/>
  <c r="T418" i="9"/>
  <c r="H418" i="10" s="1"/>
  <c r="A418" i="10"/>
  <c r="P418" i="10" s="1"/>
  <c r="Q418" i="10" s="1"/>
  <c r="O416" i="10"/>
  <c r="S416" i="10" s="1"/>
  <c r="U416" i="10" s="1"/>
  <c r="B416" i="19" s="1"/>
  <c r="L417" i="9"/>
  <c r="N418" i="9"/>
  <c r="F418" i="9"/>
  <c r="A419" i="9"/>
  <c r="M418" i="9"/>
  <c r="E418" i="9"/>
  <c r="D418" i="9"/>
  <c r="K418" i="9"/>
  <c r="C418" i="9"/>
  <c r="B418" i="9"/>
  <c r="Q418" i="9"/>
  <c r="E418" i="10" s="1"/>
  <c r="I418" i="9"/>
  <c r="F418" i="10" s="1"/>
  <c r="H418" i="9"/>
  <c r="J418" i="9" s="1"/>
  <c r="G418" i="9"/>
  <c r="P418" i="9"/>
  <c r="D418" i="10" s="1"/>
  <c r="O418" i="9"/>
  <c r="C418" i="10" s="1"/>
  <c r="N415" i="10" l="1"/>
  <c r="N410" i="10"/>
  <c r="N411" i="10"/>
  <c r="O411" i="10"/>
  <c r="S411" i="10" s="1"/>
  <c r="U411" i="10" s="1"/>
  <c r="B411" i="19" s="1"/>
  <c r="O415" i="10"/>
  <c r="S415" i="10" s="1"/>
  <c r="U415" i="10" s="1"/>
  <c r="B415" i="19" s="1"/>
  <c r="J418" i="10"/>
  <c r="L418" i="9"/>
  <c r="B417" i="10"/>
  <c r="R412" i="9"/>
  <c r="T419" i="9"/>
  <c r="H419" i="10" s="1"/>
  <c r="S419" i="9"/>
  <c r="G419" i="10" s="1"/>
  <c r="A419" i="10"/>
  <c r="P419" i="10" s="1"/>
  <c r="Q419" i="10" s="1"/>
  <c r="O410" i="10"/>
  <c r="S410" i="10" s="1"/>
  <c r="U410" i="10" s="1"/>
  <c r="B410" i="19" s="1"/>
  <c r="B419" i="9"/>
  <c r="Q419" i="9"/>
  <c r="E419" i="10" s="1"/>
  <c r="I419" i="9"/>
  <c r="F419" i="10" s="1"/>
  <c r="P419" i="9"/>
  <c r="D419" i="10" s="1"/>
  <c r="H419" i="9"/>
  <c r="J419" i="9" s="1"/>
  <c r="O419" i="9"/>
  <c r="C419" i="10" s="1"/>
  <c r="G419" i="9"/>
  <c r="N419" i="9"/>
  <c r="F419" i="9"/>
  <c r="A420" i="9"/>
  <c r="M419" i="9"/>
  <c r="E419" i="9"/>
  <c r="D419" i="9"/>
  <c r="C419" i="9"/>
  <c r="K419" i="9"/>
  <c r="M412" i="10" l="1"/>
  <c r="I412" i="10"/>
  <c r="N412" i="10" s="1"/>
  <c r="K412" i="10"/>
  <c r="J419" i="10"/>
  <c r="B418" i="10"/>
  <c r="R413" i="9"/>
  <c r="T420" i="9"/>
  <c r="H420" i="10" s="1"/>
  <c r="S420" i="9"/>
  <c r="G420" i="10" s="1"/>
  <c r="A420" i="10"/>
  <c r="P420" i="10" s="1"/>
  <c r="Q420" i="10" s="1"/>
  <c r="L419" i="9"/>
  <c r="N420" i="9"/>
  <c r="F420" i="9"/>
  <c r="A421" i="9"/>
  <c r="M420" i="9"/>
  <c r="E420" i="9"/>
  <c r="D420" i="9"/>
  <c r="K420" i="9"/>
  <c r="C420" i="9"/>
  <c r="B420" i="9"/>
  <c r="Q420" i="9"/>
  <c r="E420" i="10" s="1"/>
  <c r="I420" i="9"/>
  <c r="F420" i="10" s="1"/>
  <c r="P420" i="9"/>
  <c r="D420" i="10" s="1"/>
  <c r="O420" i="9"/>
  <c r="C420" i="10" s="1"/>
  <c r="J420" i="10" s="1"/>
  <c r="H420" i="9"/>
  <c r="J420" i="9" s="1"/>
  <c r="G420" i="9"/>
  <c r="M413" i="10" l="1"/>
  <c r="I413" i="10"/>
  <c r="N413" i="10" s="1"/>
  <c r="K413" i="10"/>
  <c r="B419" i="10"/>
  <c r="R414" i="9"/>
  <c r="O412" i="10"/>
  <c r="S412" i="10" s="1"/>
  <c r="U412" i="10" s="1"/>
  <c r="B412" i="19" s="1"/>
  <c r="T421" i="9"/>
  <c r="H421" i="10" s="1"/>
  <c r="S421" i="9"/>
  <c r="G421" i="10" s="1"/>
  <c r="A421" i="10"/>
  <c r="B421" i="9"/>
  <c r="Q421" i="9"/>
  <c r="E421" i="10" s="1"/>
  <c r="I421" i="9"/>
  <c r="F421" i="10" s="1"/>
  <c r="P421" i="9"/>
  <c r="D421" i="10" s="1"/>
  <c r="H421" i="9"/>
  <c r="J421" i="9" s="1"/>
  <c r="O421" i="9"/>
  <c r="C421" i="10" s="1"/>
  <c r="G421" i="9"/>
  <c r="N421" i="9"/>
  <c r="F421" i="9"/>
  <c r="A422" i="9"/>
  <c r="M421" i="9"/>
  <c r="E421" i="9"/>
  <c r="K421" i="9"/>
  <c r="D421" i="9"/>
  <c r="C421" i="9"/>
  <c r="L420" i="9"/>
  <c r="O413" i="10" l="1"/>
  <c r="S413" i="10" s="1"/>
  <c r="U413" i="10" s="1"/>
  <c r="B413" i="19" s="1"/>
  <c r="J421" i="10"/>
  <c r="B420" i="10"/>
  <c r="M414" i="10"/>
  <c r="I414" i="10"/>
  <c r="K414" i="10"/>
  <c r="T422" i="9"/>
  <c r="H422" i="10" s="1"/>
  <c r="S422" i="9"/>
  <c r="G422" i="10" s="1"/>
  <c r="A422" i="10"/>
  <c r="P422" i="10" s="1"/>
  <c r="Q422" i="10" s="1"/>
  <c r="L421" i="9"/>
  <c r="N422" i="9"/>
  <c r="F422" i="9"/>
  <c r="A423" i="9"/>
  <c r="M422" i="9"/>
  <c r="E422" i="9"/>
  <c r="D422" i="9"/>
  <c r="K422" i="9"/>
  <c r="C422" i="9"/>
  <c r="B422" i="9"/>
  <c r="Q422" i="9"/>
  <c r="E422" i="10" s="1"/>
  <c r="I422" i="9"/>
  <c r="F422" i="10" s="1"/>
  <c r="P422" i="9"/>
  <c r="D422" i="10" s="1"/>
  <c r="H422" i="9"/>
  <c r="J422" i="9" s="1"/>
  <c r="G422" i="9"/>
  <c r="O422" i="9"/>
  <c r="C422" i="10" s="1"/>
  <c r="N414" i="10" l="1"/>
  <c r="J422" i="10"/>
  <c r="T423" i="9"/>
  <c r="H423" i="10" s="1"/>
  <c r="P421" i="10" s="1"/>
  <c r="Q421" i="10" s="1"/>
  <c r="S423" i="9"/>
  <c r="G423" i="10" s="1"/>
  <c r="A423" i="10"/>
  <c r="P423" i="10" s="1"/>
  <c r="Q423" i="10" s="1"/>
  <c r="O414" i="10"/>
  <c r="S414" i="10" s="1"/>
  <c r="U414" i="10" s="1"/>
  <c r="B414" i="19" s="1"/>
  <c r="B421" i="10"/>
  <c r="B423" i="9"/>
  <c r="Q423" i="9"/>
  <c r="E423" i="10" s="1"/>
  <c r="I423" i="9"/>
  <c r="F423" i="10" s="1"/>
  <c r="P423" i="9"/>
  <c r="D423" i="10" s="1"/>
  <c r="H423" i="9"/>
  <c r="J423" i="9" s="1"/>
  <c r="L423" i="9" s="1"/>
  <c r="O423" i="9"/>
  <c r="C423" i="10" s="1"/>
  <c r="G423" i="9"/>
  <c r="N423" i="9"/>
  <c r="F423" i="9"/>
  <c r="A424" i="9"/>
  <c r="M423" i="9"/>
  <c r="E423" i="9"/>
  <c r="D423" i="9"/>
  <c r="C423" i="9"/>
  <c r="K423" i="9"/>
  <c r="L422" i="9"/>
  <c r="J423" i="10" l="1"/>
  <c r="R423" i="9"/>
  <c r="B423" i="10"/>
  <c r="R418" i="9"/>
  <c r="S424" i="9"/>
  <c r="G424" i="10" s="1"/>
  <c r="T424" i="9"/>
  <c r="H424" i="10" s="1"/>
  <c r="A424" i="10"/>
  <c r="P424" i="10" s="1"/>
  <c r="Q424" i="10" s="1"/>
  <c r="M423" i="10"/>
  <c r="K423" i="10"/>
  <c r="I423" i="10"/>
  <c r="R422" i="9"/>
  <c r="B422" i="10"/>
  <c r="R417" i="9"/>
  <c r="N424" i="9"/>
  <c r="F424" i="9"/>
  <c r="A425" i="9"/>
  <c r="M424" i="9"/>
  <c r="E424" i="9"/>
  <c r="D424" i="9"/>
  <c r="K424" i="9"/>
  <c r="C424" i="9"/>
  <c r="B424" i="9"/>
  <c r="Q424" i="9"/>
  <c r="E424" i="10" s="1"/>
  <c r="I424" i="9"/>
  <c r="F424" i="10" s="1"/>
  <c r="P424" i="9"/>
  <c r="D424" i="10" s="1"/>
  <c r="O424" i="9"/>
  <c r="C424" i="10" s="1"/>
  <c r="H424" i="9"/>
  <c r="J424" i="9" s="1"/>
  <c r="G424" i="9"/>
  <c r="N423" i="10" l="1"/>
  <c r="I417" i="10"/>
  <c r="N417" i="10" s="1"/>
  <c r="M417" i="10"/>
  <c r="K417" i="10"/>
  <c r="L424" i="9"/>
  <c r="M422" i="10"/>
  <c r="K422" i="10"/>
  <c r="I422" i="10"/>
  <c r="K418" i="10"/>
  <c r="I418" i="10"/>
  <c r="N418" i="10" s="1"/>
  <c r="M418" i="10"/>
  <c r="T425" i="9"/>
  <c r="H425" i="10" s="1"/>
  <c r="S425" i="9"/>
  <c r="G425" i="10" s="1"/>
  <c r="A425" i="10"/>
  <c r="J424" i="10"/>
  <c r="O423" i="10"/>
  <c r="S423" i="10" s="1"/>
  <c r="U423" i="10" s="1"/>
  <c r="B423" i="19" s="1"/>
  <c r="B425" i="9"/>
  <c r="Q425" i="9"/>
  <c r="E425" i="10" s="1"/>
  <c r="I425" i="9"/>
  <c r="F425" i="10" s="1"/>
  <c r="P425" i="9"/>
  <c r="D425" i="10" s="1"/>
  <c r="H425" i="9"/>
  <c r="J425" i="9" s="1"/>
  <c r="O425" i="9"/>
  <c r="C425" i="10" s="1"/>
  <c r="G425" i="9"/>
  <c r="N425" i="9"/>
  <c r="F425" i="9"/>
  <c r="A426" i="9"/>
  <c r="M425" i="9"/>
  <c r="E425" i="9"/>
  <c r="K425" i="9"/>
  <c r="D425" i="9"/>
  <c r="C425" i="9"/>
  <c r="N422" i="10" l="1"/>
  <c r="P425" i="10"/>
  <c r="Q425" i="10" s="1"/>
  <c r="O422" i="10"/>
  <c r="S422" i="10" s="1"/>
  <c r="U422" i="10" s="1"/>
  <c r="B422" i="19" s="1"/>
  <c r="O418" i="10"/>
  <c r="S418" i="10" s="1"/>
  <c r="U418" i="10" s="1"/>
  <c r="B418" i="19" s="1"/>
  <c r="T426" i="9"/>
  <c r="H426" i="10" s="1"/>
  <c r="S426" i="9"/>
  <c r="G426" i="10" s="1"/>
  <c r="A426" i="10"/>
  <c r="P426" i="10" s="1"/>
  <c r="Q426" i="10" s="1"/>
  <c r="J425" i="10"/>
  <c r="O417" i="10"/>
  <c r="S417" i="10" s="1"/>
  <c r="U417" i="10" s="1"/>
  <c r="B417" i="19" s="1"/>
  <c r="B424" i="10"/>
  <c r="R419" i="9"/>
  <c r="L425" i="9"/>
  <c r="N426" i="9"/>
  <c r="F426" i="9"/>
  <c r="A427" i="9"/>
  <c r="M426" i="9"/>
  <c r="E426" i="9"/>
  <c r="D426" i="9"/>
  <c r="K426" i="9"/>
  <c r="C426" i="9"/>
  <c r="B426" i="9"/>
  <c r="Q426" i="9"/>
  <c r="E426" i="10" s="1"/>
  <c r="I426" i="9"/>
  <c r="F426" i="10" s="1"/>
  <c r="H426" i="9"/>
  <c r="J426" i="9" s="1"/>
  <c r="G426" i="9"/>
  <c r="P426" i="9"/>
  <c r="D426" i="10" s="1"/>
  <c r="O426" i="9"/>
  <c r="C426" i="10" s="1"/>
  <c r="J426" i="10" l="1"/>
  <c r="L426" i="9"/>
  <c r="B425" i="10"/>
  <c r="R420" i="9"/>
  <c r="M419" i="10"/>
  <c r="I419" i="10"/>
  <c r="K419" i="10"/>
  <c r="T427" i="9"/>
  <c r="H427" i="10" s="1"/>
  <c r="S427" i="9"/>
  <c r="G427" i="10" s="1"/>
  <c r="A427" i="10"/>
  <c r="P427" i="10" s="1"/>
  <c r="Q427" i="10" s="1"/>
  <c r="B427" i="9"/>
  <c r="Q427" i="9"/>
  <c r="E427" i="10" s="1"/>
  <c r="I427" i="9"/>
  <c r="F427" i="10" s="1"/>
  <c r="P427" i="9"/>
  <c r="D427" i="10" s="1"/>
  <c r="H427" i="9"/>
  <c r="J427" i="9" s="1"/>
  <c r="O427" i="9"/>
  <c r="C427" i="10" s="1"/>
  <c r="G427" i="9"/>
  <c r="N427" i="9"/>
  <c r="F427" i="9"/>
  <c r="A428" i="9"/>
  <c r="M427" i="9"/>
  <c r="E427" i="9"/>
  <c r="D427" i="9"/>
  <c r="C427" i="9"/>
  <c r="K427" i="9"/>
  <c r="N419" i="10" l="1"/>
  <c r="J427" i="10"/>
  <c r="B426" i="10"/>
  <c r="R421" i="9"/>
  <c r="L427" i="9"/>
  <c r="O419" i="10"/>
  <c r="S419" i="10" s="1"/>
  <c r="U419" i="10" s="1"/>
  <c r="B419" i="19" s="1"/>
  <c r="T428" i="9"/>
  <c r="H428" i="10" s="1"/>
  <c r="S428" i="9"/>
  <c r="G428" i="10" s="1"/>
  <c r="A428" i="10"/>
  <c r="I420" i="10"/>
  <c r="K420" i="10"/>
  <c r="M420" i="10"/>
  <c r="N428" i="9"/>
  <c r="F428" i="9"/>
  <c r="A429" i="9"/>
  <c r="M428" i="9"/>
  <c r="E428" i="9"/>
  <c r="D428" i="9"/>
  <c r="K428" i="9"/>
  <c r="C428" i="9"/>
  <c r="B428" i="9"/>
  <c r="Q428" i="9"/>
  <c r="E428" i="10" s="1"/>
  <c r="I428" i="9"/>
  <c r="F428" i="10" s="1"/>
  <c r="P428" i="9"/>
  <c r="D428" i="10" s="1"/>
  <c r="O428" i="9"/>
  <c r="C428" i="10" s="1"/>
  <c r="H428" i="9"/>
  <c r="J428" i="9" s="1"/>
  <c r="G428" i="9"/>
  <c r="N420" i="10" l="1"/>
  <c r="J428" i="10"/>
  <c r="M421" i="10"/>
  <c r="K421" i="10"/>
  <c r="I421" i="10"/>
  <c r="N421" i="10" s="1"/>
  <c r="L428" i="9"/>
  <c r="T429" i="9"/>
  <c r="H429" i="10" s="1"/>
  <c r="S429" i="9"/>
  <c r="G429" i="10" s="1"/>
  <c r="A429" i="10"/>
  <c r="P429" i="10" s="1"/>
  <c r="Q429" i="10" s="1"/>
  <c r="O420" i="10"/>
  <c r="S420" i="10" s="1"/>
  <c r="U420" i="10" s="1"/>
  <c r="B420" i="19" s="1"/>
  <c r="B427" i="10"/>
  <c r="B429" i="9"/>
  <c r="Q429" i="9"/>
  <c r="E429" i="10" s="1"/>
  <c r="I429" i="9"/>
  <c r="F429" i="10" s="1"/>
  <c r="P429" i="9"/>
  <c r="D429" i="10" s="1"/>
  <c r="H429" i="9"/>
  <c r="J429" i="9" s="1"/>
  <c r="O429" i="9"/>
  <c r="C429" i="10" s="1"/>
  <c r="G429" i="9"/>
  <c r="N429" i="9"/>
  <c r="F429" i="9"/>
  <c r="A430" i="9"/>
  <c r="M429" i="9"/>
  <c r="E429" i="9"/>
  <c r="K429" i="9"/>
  <c r="D429" i="9"/>
  <c r="C429" i="9"/>
  <c r="O421" i="10" l="1"/>
  <c r="S421" i="10" s="1"/>
  <c r="U421" i="10" s="1"/>
  <c r="B421" i="19" s="1"/>
  <c r="J429" i="10"/>
  <c r="B428" i="10"/>
  <c r="T430" i="9"/>
  <c r="H430" i="10" s="1"/>
  <c r="P428" i="10" s="1"/>
  <c r="Q428" i="10" s="1"/>
  <c r="S430" i="9"/>
  <c r="G430" i="10" s="1"/>
  <c r="A430" i="10"/>
  <c r="P430" i="10" s="1"/>
  <c r="Q430" i="10" s="1"/>
  <c r="L429" i="9"/>
  <c r="N430" i="9"/>
  <c r="F430" i="9"/>
  <c r="A431" i="9"/>
  <c r="M430" i="9"/>
  <c r="E430" i="9"/>
  <c r="D430" i="9"/>
  <c r="K430" i="9"/>
  <c r="C430" i="9"/>
  <c r="B430" i="9"/>
  <c r="Q430" i="9"/>
  <c r="E430" i="10" s="1"/>
  <c r="I430" i="9"/>
  <c r="F430" i="10" s="1"/>
  <c r="P430" i="9"/>
  <c r="D430" i="10" s="1"/>
  <c r="H430" i="9"/>
  <c r="J430" i="9" s="1"/>
  <c r="G430" i="9"/>
  <c r="O430" i="9"/>
  <c r="C430" i="10" s="1"/>
  <c r="R429" i="9" l="1"/>
  <c r="B429" i="10"/>
  <c r="R424" i="9"/>
  <c r="T431" i="9"/>
  <c r="H431" i="10" s="1"/>
  <c r="S431" i="9"/>
  <c r="G431" i="10" s="1"/>
  <c r="A431" i="10"/>
  <c r="P431" i="10" s="1"/>
  <c r="Q431" i="10" s="1"/>
  <c r="J430" i="10"/>
  <c r="B431" i="9"/>
  <c r="Q431" i="9"/>
  <c r="E431" i="10" s="1"/>
  <c r="I431" i="9"/>
  <c r="F431" i="10" s="1"/>
  <c r="P431" i="9"/>
  <c r="D431" i="10" s="1"/>
  <c r="H431" i="9"/>
  <c r="J431" i="9" s="1"/>
  <c r="L431" i="9" s="1"/>
  <c r="O431" i="9"/>
  <c r="C431" i="10" s="1"/>
  <c r="G431" i="9"/>
  <c r="N431" i="9"/>
  <c r="F431" i="9"/>
  <c r="A432" i="9"/>
  <c r="M431" i="9"/>
  <c r="E431" i="9"/>
  <c r="D431" i="9"/>
  <c r="C431" i="9"/>
  <c r="K431" i="9"/>
  <c r="L430" i="9"/>
  <c r="S432" i="9" l="1"/>
  <c r="G432" i="10" s="1"/>
  <c r="T432" i="9"/>
  <c r="H432" i="10" s="1"/>
  <c r="A432" i="10"/>
  <c r="P432" i="10" s="1"/>
  <c r="Q432" i="10" s="1"/>
  <c r="R430" i="9"/>
  <c r="B430" i="10"/>
  <c r="R425" i="9"/>
  <c r="M424" i="10"/>
  <c r="K424" i="10"/>
  <c r="I424" i="10"/>
  <c r="B431" i="10"/>
  <c r="R426" i="9"/>
  <c r="J431" i="10"/>
  <c r="M429" i="10"/>
  <c r="I429" i="10"/>
  <c r="K429" i="10"/>
  <c r="N432" i="9"/>
  <c r="F432" i="9"/>
  <c r="A433" i="9"/>
  <c r="M432" i="9"/>
  <c r="E432" i="9"/>
  <c r="D432" i="9"/>
  <c r="K432" i="9"/>
  <c r="C432" i="9"/>
  <c r="B432" i="9"/>
  <c r="Q432" i="9"/>
  <c r="E432" i="10" s="1"/>
  <c r="I432" i="9"/>
  <c r="F432" i="10" s="1"/>
  <c r="P432" i="9"/>
  <c r="D432" i="10" s="1"/>
  <c r="O432" i="9"/>
  <c r="C432" i="10" s="1"/>
  <c r="H432" i="9"/>
  <c r="J432" i="9" s="1"/>
  <c r="G432" i="9"/>
  <c r="N429" i="10" l="1"/>
  <c r="N424" i="10"/>
  <c r="O424" i="10"/>
  <c r="S424" i="10" s="1"/>
  <c r="U424" i="10" s="1"/>
  <c r="B424" i="19" s="1"/>
  <c r="I430" i="10"/>
  <c r="K430" i="10"/>
  <c r="M430" i="10"/>
  <c r="L432" i="9"/>
  <c r="J432" i="10"/>
  <c r="S433" i="9"/>
  <c r="G433" i="10" s="1"/>
  <c r="T433" i="9"/>
  <c r="H433" i="10" s="1"/>
  <c r="A433" i="10"/>
  <c r="P433" i="10" s="1"/>
  <c r="Q433" i="10" s="1"/>
  <c r="M426" i="10"/>
  <c r="K426" i="10"/>
  <c r="I426" i="10"/>
  <c r="O429" i="10"/>
  <c r="S429" i="10" s="1"/>
  <c r="U429" i="10" s="1"/>
  <c r="B429" i="19" s="1"/>
  <c r="I425" i="10"/>
  <c r="K425" i="10"/>
  <c r="M425" i="10"/>
  <c r="B433" i="9"/>
  <c r="Q433" i="9"/>
  <c r="E433" i="10" s="1"/>
  <c r="I433" i="9"/>
  <c r="F433" i="10" s="1"/>
  <c r="P433" i="9"/>
  <c r="D433" i="10" s="1"/>
  <c r="H433" i="9"/>
  <c r="J433" i="9" s="1"/>
  <c r="O433" i="9"/>
  <c r="C433" i="10" s="1"/>
  <c r="G433" i="9"/>
  <c r="N433" i="9"/>
  <c r="F433" i="9"/>
  <c r="A434" i="9"/>
  <c r="M433" i="9"/>
  <c r="E433" i="9"/>
  <c r="K433" i="9"/>
  <c r="D433" i="9"/>
  <c r="C433" i="9"/>
  <c r="N425" i="10" l="1"/>
  <c r="N426" i="10"/>
  <c r="O426" i="10" s="1"/>
  <c r="S426" i="10" s="1"/>
  <c r="U426" i="10" s="1"/>
  <c r="B426" i="19" s="1"/>
  <c r="N430" i="10"/>
  <c r="J433" i="10"/>
  <c r="O425" i="10"/>
  <c r="S425" i="10" s="1"/>
  <c r="U425" i="10" s="1"/>
  <c r="B425" i="19" s="1"/>
  <c r="O430" i="10"/>
  <c r="S430" i="10" s="1"/>
  <c r="U430" i="10" s="1"/>
  <c r="B430" i="19" s="1"/>
  <c r="S434" i="9"/>
  <c r="G434" i="10" s="1"/>
  <c r="A434" i="10"/>
  <c r="P434" i="10" s="1"/>
  <c r="Q434" i="10" s="1"/>
  <c r="T434" i="9"/>
  <c r="H434" i="10" s="1"/>
  <c r="B432" i="10"/>
  <c r="R427" i="9"/>
  <c r="L433" i="9"/>
  <c r="N434" i="9"/>
  <c r="F434" i="9"/>
  <c r="A435" i="9"/>
  <c r="M434" i="9"/>
  <c r="E434" i="9"/>
  <c r="D434" i="9"/>
  <c r="K434" i="9"/>
  <c r="C434" i="9"/>
  <c r="B434" i="9"/>
  <c r="Q434" i="9"/>
  <c r="E434" i="10" s="1"/>
  <c r="I434" i="9"/>
  <c r="F434" i="10" s="1"/>
  <c r="H434" i="9"/>
  <c r="J434" i="9" s="1"/>
  <c r="G434" i="9"/>
  <c r="O434" i="9"/>
  <c r="C434" i="10" s="1"/>
  <c r="P434" i="9"/>
  <c r="D434" i="10" s="1"/>
  <c r="M427" i="10" l="1"/>
  <c r="I427" i="10"/>
  <c r="N427" i="10" s="1"/>
  <c r="K427" i="10"/>
  <c r="L434" i="9"/>
  <c r="T435" i="9"/>
  <c r="H435" i="10" s="1"/>
  <c r="S435" i="9"/>
  <c r="G435" i="10" s="1"/>
  <c r="A435" i="10"/>
  <c r="B433" i="10"/>
  <c r="R428" i="9"/>
  <c r="J434" i="10"/>
  <c r="B435" i="9"/>
  <c r="Q435" i="9"/>
  <c r="E435" i="10" s="1"/>
  <c r="I435" i="9"/>
  <c r="F435" i="10" s="1"/>
  <c r="P435" i="9"/>
  <c r="D435" i="10" s="1"/>
  <c r="H435" i="9"/>
  <c r="J435" i="9" s="1"/>
  <c r="O435" i="9"/>
  <c r="C435" i="10" s="1"/>
  <c r="G435" i="9"/>
  <c r="N435" i="9"/>
  <c r="F435" i="9"/>
  <c r="M435" i="9"/>
  <c r="E435" i="9"/>
  <c r="A436" i="9"/>
  <c r="D435" i="9"/>
  <c r="C435" i="9"/>
  <c r="K435" i="9"/>
  <c r="J435" i="10" l="1"/>
  <c r="K428" i="10"/>
  <c r="M428" i="10"/>
  <c r="I428" i="10"/>
  <c r="N428" i="10" s="1"/>
  <c r="O427" i="10"/>
  <c r="S427" i="10" s="1"/>
  <c r="U427" i="10" s="1"/>
  <c r="B427" i="19" s="1"/>
  <c r="L435" i="9"/>
  <c r="B434" i="10"/>
  <c r="T436" i="9"/>
  <c r="H436" i="10" s="1"/>
  <c r="S436" i="9"/>
  <c r="G436" i="10" s="1"/>
  <c r="A436" i="10"/>
  <c r="P436" i="10" s="1"/>
  <c r="Q436" i="10" s="1"/>
  <c r="N436" i="9"/>
  <c r="F436" i="9"/>
  <c r="Q436" i="9"/>
  <c r="E436" i="10" s="1"/>
  <c r="H436" i="9"/>
  <c r="J436" i="9" s="1"/>
  <c r="P436" i="9"/>
  <c r="D436" i="10" s="1"/>
  <c r="G436" i="9"/>
  <c r="O436" i="9"/>
  <c r="C436" i="10" s="1"/>
  <c r="E436" i="9"/>
  <c r="M436" i="9"/>
  <c r="D436" i="9"/>
  <c r="A437" i="9"/>
  <c r="C436" i="9"/>
  <c r="K436" i="9"/>
  <c r="B436" i="9"/>
  <c r="I436" i="9"/>
  <c r="F436" i="10" s="1"/>
  <c r="J436" i="10" l="1"/>
  <c r="O428" i="10"/>
  <c r="S428" i="10" s="1"/>
  <c r="U428" i="10" s="1"/>
  <c r="B428" i="19" s="1"/>
  <c r="B435" i="10"/>
  <c r="T437" i="9"/>
  <c r="H437" i="10" s="1"/>
  <c r="P435" i="10" s="1"/>
  <c r="Q435" i="10" s="1"/>
  <c r="S437" i="9"/>
  <c r="G437" i="10" s="1"/>
  <c r="A437" i="10"/>
  <c r="P437" i="10" s="1"/>
  <c r="Q437" i="10" s="1"/>
  <c r="L436" i="9"/>
  <c r="B437" i="9"/>
  <c r="O437" i="9"/>
  <c r="C437" i="10" s="1"/>
  <c r="F437" i="9"/>
  <c r="N437" i="9"/>
  <c r="E437" i="9"/>
  <c r="M437" i="9"/>
  <c r="D437" i="9"/>
  <c r="A438" i="9"/>
  <c r="C437" i="9"/>
  <c r="K437" i="9"/>
  <c r="I437" i="9"/>
  <c r="F437" i="10" s="1"/>
  <c r="Q437" i="9"/>
  <c r="E437" i="10" s="1"/>
  <c r="P437" i="9"/>
  <c r="D437" i="10" s="1"/>
  <c r="H437" i="9"/>
  <c r="J437" i="9" s="1"/>
  <c r="G437" i="9"/>
  <c r="J437" i="10" l="1"/>
  <c r="S438" i="9"/>
  <c r="G438" i="10" s="1"/>
  <c r="T438" i="9"/>
  <c r="H438" i="10" s="1"/>
  <c r="A438" i="10"/>
  <c r="P438" i="10" s="1"/>
  <c r="Q438" i="10" s="1"/>
  <c r="R436" i="9"/>
  <c r="B436" i="10"/>
  <c r="R431" i="9"/>
  <c r="L437" i="9"/>
  <c r="N438" i="9"/>
  <c r="F438" i="9"/>
  <c r="M438" i="9"/>
  <c r="D438" i="9"/>
  <c r="A439" i="9"/>
  <c r="C438" i="9"/>
  <c r="K438" i="9"/>
  <c r="B438" i="9"/>
  <c r="I438" i="9"/>
  <c r="F438" i="10" s="1"/>
  <c r="Q438" i="9"/>
  <c r="E438" i="10" s="1"/>
  <c r="H438" i="9"/>
  <c r="J438" i="9" s="1"/>
  <c r="L438" i="9" s="1"/>
  <c r="P438" i="9"/>
  <c r="D438" i="10" s="1"/>
  <c r="O438" i="9"/>
  <c r="C438" i="10" s="1"/>
  <c r="G438" i="9"/>
  <c r="E438" i="9"/>
  <c r="B438" i="10" l="1"/>
  <c r="R433" i="9"/>
  <c r="R437" i="9"/>
  <c r="B437" i="10"/>
  <c r="R432" i="9"/>
  <c r="M431" i="10"/>
  <c r="K431" i="10"/>
  <c r="I431" i="10"/>
  <c r="J438" i="10"/>
  <c r="T439" i="9"/>
  <c r="H439" i="10" s="1"/>
  <c r="S439" i="9"/>
  <c r="G439" i="10" s="1"/>
  <c r="A439" i="10"/>
  <c r="P439" i="10" s="1"/>
  <c r="Q439" i="10" s="1"/>
  <c r="I436" i="10"/>
  <c r="M436" i="10"/>
  <c r="K436" i="10"/>
  <c r="B439" i="9"/>
  <c r="A440" i="9"/>
  <c r="C439" i="9"/>
  <c r="K439" i="9"/>
  <c r="I439" i="9"/>
  <c r="F439" i="10" s="1"/>
  <c r="Q439" i="9"/>
  <c r="E439" i="10" s="1"/>
  <c r="H439" i="9"/>
  <c r="J439" i="9" s="1"/>
  <c r="P439" i="9"/>
  <c r="D439" i="10" s="1"/>
  <c r="G439" i="9"/>
  <c r="O439" i="9"/>
  <c r="C439" i="10" s="1"/>
  <c r="F439" i="9"/>
  <c r="N439" i="9"/>
  <c r="M439" i="9"/>
  <c r="E439" i="9"/>
  <c r="D439" i="9"/>
  <c r="N436" i="10" l="1"/>
  <c r="N431" i="10"/>
  <c r="J439" i="10"/>
  <c r="M437" i="10"/>
  <c r="I437" i="10"/>
  <c r="K437" i="10"/>
  <c r="M433" i="10"/>
  <c r="I433" i="10"/>
  <c r="K433" i="10"/>
  <c r="M432" i="10"/>
  <c r="K432" i="10"/>
  <c r="I432" i="10"/>
  <c r="N432" i="10" s="1"/>
  <c r="O431" i="10"/>
  <c r="S431" i="10" s="1"/>
  <c r="U431" i="10" s="1"/>
  <c r="B431" i="19" s="1"/>
  <c r="S440" i="9"/>
  <c r="G440" i="10" s="1"/>
  <c r="T440" i="9"/>
  <c r="H440" i="10" s="1"/>
  <c r="A440" i="10"/>
  <c r="P440" i="10" s="1"/>
  <c r="Q440" i="10" s="1"/>
  <c r="O436" i="10"/>
  <c r="S436" i="10" s="1"/>
  <c r="U436" i="10" s="1"/>
  <c r="B436" i="19" s="1"/>
  <c r="N440" i="9"/>
  <c r="F440" i="9"/>
  <c r="I440" i="9"/>
  <c r="F440" i="10" s="1"/>
  <c r="Q440" i="9"/>
  <c r="E440" i="10" s="1"/>
  <c r="H440" i="9"/>
  <c r="J440" i="9" s="1"/>
  <c r="P440" i="9"/>
  <c r="D440" i="10" s="1"/>
  <c r="G440" i="9"/>
  <c r="O440" i="9"/>
  <c r="C440" i="10" s="1"/>
  <c r="E440" i="9"/>
  <c r="M440" i="9"/>
  <c r="D440" i="9"/>
  <c r="A441" i="9"/>
  <c r="K440" i="9"/>
  <c r="C440" i="9"/>
  <c r="B440" i="9"/>
  <c r="L439" i="9"/>
  <c r="N437" i="10" l="1"/>
  <c r="N433" i="10"/>
  <c r="O433" i="10" s="1"/>
  <c r="S433" i="10" s="1"/>
  <c r="U433" i="10" s="1"/>
  <c r="B433" i="19" s="1"/>
  <c r="B439" i="10"/>
  <c r="R434" i="9"/>
  <c r="O432" i="10"/>
  <c r="S432" i="10" s="1"/>
  <c r="U432" i="10" s="1"/>
  <c r="B432" i="19" s="1"/>
  <c r="J440" i="10"/>
  <c r="O437" i="10"/>
  <c r="S437" i="10" s="1"/>
  <c r="U437" i="10" s="1"/>
  <c r="B437" i="19" s="1"/>
  <c r="T441" i="9"/>
  <c r="H441" i="10" s="1"/>
  <c r="S441" i="9"/>
  <c r="G441" i="10" s="1"/>
  <c r="A441" i="10"/>
  <c r="P441" i="10" s="1"/>
  <c r="Q441" i="10" s="1"/>
  <c r="L440" i="9"/>
  <c r="B441" i="9"/>
  <c r="Q441" i="9"/>
  <c r="E441" i="10" s="1"/>
  <c r="H441" i="9"/>
  <c r="J441" i="9" s="1"/>
  <c r="P441" i="9"/>
  <c r="D441" i="10" s="1"/>
  <c r="G441" i="9"/>
  <c r="O441" i="9"/>
  <c r="C441" i="10" s="1"/>
  <c r="F441" i="9"/>
  <c r="N441" i="9"/>
  <c r="E441" i="9"/>
  <c r="M441" i="9"/>
  <c r="D441" i="9"/>
  <c r="A442" i="9"/>
  <c r="C441" i="9"/>
  <c r="K441" i="9"/>
  <c r="I441" i="9"/>
  <c r="F441" i="10" s="1"/>
  <c r="B440" i="10" l="1"/>
  <c r="R435" i="9"/>
  <c r="M434" i="10"/>
  <c r="I434" i="10"/>
  <c r="K434" i="10"/>
  <c r="T442" i="9"/>
  <c r="H442" i="10" s="1"/>
  <c r="S442" i="9"/>
  <c r="G442" i="10" s="1"/>
  <c r="A442" i="10"/>
  <c r="J441" i="10"/>
  <c r="N442" i="9"/>
  <c r="F442" i="9"/>
  <c r="K442" i="9"/>
  <c r="G442" i="9"/>
  <c r="Q442" i="9"/>
  <c r="E442" i="10" s="1"/>
  <c r="E442" i="9"/>
  <c r="P442" i="9"/>
  <c r="D442" i="10" s="1"/>
  <c r="D442" i="9"/>
  <c r="O442" i="9"/>
  <c r="C442" i="10" s="1"/>
  <c r="C442" i="9"/>
  <c r="M442" i="9"/>
  <c r="B442" i="9"/>
  <c r="I442" i="9"/>
  <c r="F442" i="10" s="1"/>
  <c r="H442" i="9"/>
  <c r="J442" i="9" s="1"/>
  <c r="L442" i="9" s="1"/>
  <c r="A443" i="9"/>
  <c r="L441" i="9"/>
  <c r="N434" i="10" l="1"/>
  <c r="J442" i="10"/>
  <c r="K435" i="10"/>
  <c r="I435" i="10"/>
  <c r="N435" i="10" s="1"/>
  <c r="M435" i="10"/>
  <c r="T443" i="9"/>
  <c r="H443" i="10" s="1"/>
  <c r="S443" i="9"/>
  <c r="G443" i="10" s="1"/>
  <c r="A443" i="10"/>
  <c r="P443" i="10" s="1"/>
  <c r="Q443" i="10" s="1"/>
  <c r="B442" i="10"/>
  <c r="B441" i="10"/>
  <c r="O434" i="10"/>
  <c r="S434" i="10" s="1"/>
  <c r="U434" i="10" s="1"/>
  <c r="B434" i="19" s="1"/>
  <c r="B443" i="9"/>
  <c r="O443" i="9"/>
  <c r="C443" i="10" s="1"/>
  <c r="G443" i="9"/>
  <c r="N443" i="9"/>
  <c r="F443" i="9"/>
  <c r="K443" i="9"/>
  <c r="A444" i="9"/>
  <c r="I443" i="9"/>
  <c r="F443" i="10" s="1"/>
  <c r="H443" i="9"/>
  <c r="J443" i="9" s="1"/>
  <c r="E443" i="9"/>
  <c r="Q443" i="9"/>
  <c r="E443" i="10" s="1"/>
  <c r="D443" i="9"/>
  <c r="P443" i="9"/>
  <c r="D443" i="10" s="1"/>
  <c r="M443" i="9"/>
  <c r="C443" i="9"/>
  <c r="O435" i="10" l="1"/>
  <c r="S435" i="10" s="1"/>
  <c r="U435" i="10" s="1"/>
  <c r="B435" i="19" s="1"/>
  <c r="T444" i="9"/>
  <c r="H444" i="10" s="1"/>
  <c r="P442" i="10" s="1"/>
  <c r="Q442" i="10" s="1"/>
  <c r="S444" i="9"/>
  <c r="G444" i="10" s="1"/>
  <c r="A444" i="10"/>
  <c r="P444" i="10" s="1"/>
  <c r="Q444" i="10" s="1"/>
  <c r="J443" i="10"/>
  <c r="N444" i="9"/>
  <c r="F444" i="9"/>
  <c r="K444" i="9"/>
  <c r="C444" i="9"/>
  <c r="B444" i="9"/>
  <c r="Q444" i="9"/>
  <c r="E444" i="10" s="1"/>
  <c r="E444" i="9"/>
  <c r="P444" i="9"/>
  <c r="D444" i="10" s="1"/>
  <c r="D444" i="9"/>
  <c r="O444" i="9"/>
  <c r="C444" i="10" s="1"/>
  <c r="M444" i="9"/>
  <c r="I444" i="9"/>
  <c r="F444" i="10" s="1"/>
  <c r="A445" i="9"/>
  <c r="H444" i="9"/>
  <c r="J444" i="9" s="1"/>
  <c r="G444" i="9"/>
  <c r="L443" i="9"/>
  <c r="J444" i="10" l="1"/>
  <c r="R443" i="9"/>
  <c r="B443" i="10"/>
  <c r="R438" i="9"/>
  <c r="T445" i="9"/>
  <c r="H445" i="10" s="1"/>
  <c r="S445" i="9"/>
  <c r="G445" i="10" s="1"/>
  <c r="A445" i="10"/>
  <c r="P445" i="10" s="1"/>
  <c r="Q445" i="10" s="1"/>
  <c r="B445" i="9"/>
  <c r="Q445" i="9"/>
  <c r="E445" i="10" s="1"/>
  <c r="I445" i="9"/>
  <c r="F445" i="10" s="1"/>
  <c r="P445" i="9"/>
  <c r="D445" i="10" s="1"/>
  <c r="H445" i="9"/>
  <c r="J445" i="9" s="1"/>
  <c r="O445" i="9"/>
  <c r="C445" i="10" s="1"/>
  <c r="G445" i="9"/>
  <c r="N445" i="9"/>
  <c r="F445" i="9"/>
  <c r="M445" i="9"/>
  <c r="K445" i="9"/>
  <c r="E445" i="9"/>
  <c r="D445" i="9"/>
  <c r="A446" i="9"/>
  <c r="C445" i="9"/>
  <c r="L444" i="9"/>
  <c r="K443" i="10" l="1"/>
  <c r="M443" i="10"/>
  <c r="I443" i="10"/>
  <c r="R444" i="9"/>
  <c r="B444" i="10"/>
  <c r="R439" i="9"/>
  <c r="I438" i="10"/>
  <c r="N438" i="10" s="1"/>
  <c r="M438" i="10"/>
  <c r="K438" i="10"/>
  <c r="T446" i="9"/>
  <c r="H446" i="10" s="1"/>
  <c r="A446" i="10"/>
  <c r="P446" i="10" s="1"/>
  <c r="Q446" i="10" s="1"/>
  <c r="S446" i="9"/>
  <c r="G446" i="10" s="1"/>
  <c r="J445" i="10"/>
  <c r="L445" i="9"/>
  <c r="N446" i="9"/>
  <c r="F446" i="9"/>
  <c r="A447" i="9"/>
  <c r="M446" i="9"/>
  <c r="E446" i="9"/>
  <c r="D446" i="9"/>
  <c r="K446" i="9"/>
  <c r="C446" i="9"/>
  <c r="B446" i="9"/>
  <c r="P446" i="9"/>
  <c r="D446" i="10" s="1"/>
  <c r="O446" i="9"/>
  <c r="C446" i="10" s="1"/>
  <c r="J446" i="10" s="1"/>
  <c r="I446" i="9"/>
  <c r="F446" i="10" s="1"/>
  <c r="H446" i="9"/>
  <c r="J446" i="9" s="1"/>
  <c r="G446" i="9"/>
  <c r="Q446" i="9"/>
  <c r="E446" i="10" s="1"/>
  <c r="N443" i="10" l="1"/>
  <c r="T447" i="9"/>
  <c r="H447" i="10" s="1"/>
  <c r="S447" i="9"/>
  <c r="G447" i="10" s="1"/>
  <c r="A447" i="10"/>
  <c r="P447" i="10" s="1"/>
  <c r="Q447" i="10" s="1"/>
  <c r="M444" i="10"/>
  <c r="K444" i="10"/>
  <c r="I444" i="10"/>
  <c r="B445" i="10"/>
  <c r="R440" i="9"/>
  <c r="O438" i="10"/>
  <c r="S438" i="10" s="1"/>
  <c r="U438" i="10" s="1"/>
  <c r="B438" i="19" s="1"/>
  <c r="O443" i="10"/>
  <c r="S443" i="10" s="1"/>
  <c r="U443" i="10" s="1"/>
  <c r="B443" i="19" s="1"/>
  <c r="M439" i="10"/>
  <c r="K439" i="10"/>
  <c r="I439" i="10"/>
  <c r="N439" i="10" s="1"/>
  <c r="B447" i="9"/>
  <c r="Q447" i="9"/>
  <c r="E447" i="10" s="1"/>
  <c r="I447" i="9"/>
  <c r="F447" i="10" s="1"/>
  <c r="P447" i="9"/>
  <c r="D447" i="10" s="1"/>
  <c r="H447" i="9"/>
  <c r="J447" i="9" s="1"/>
  <c r="O447" i="9"/>
  <c r="C447" i="10" s="1"/>
  <c r="G447" i="9"/>
  <c r="N447" i="9"/>
  <c r="F447" i="9"/>
  <c r="M447" i="9"/>
  <c r="K447" i="9"/>
  <c r="E447" i="9"/>
  <c r="D447" i="9"/>
  <c r="C447" i="9"/>
  <c r="A448" i="9"/>
  <c r="L446" i="9"/>
  <c r="N444" i="10" l="1"/>
  <c r="O439" i="10"/>
  <c r="S439" i="10" s="1"/>
  <c r="U439" i="10" s="1"/>
  <c r="B439" i="19" s="1"/>
  <c r="O444" i="10"/>
  <c r="S444" i="10" s="1"/>
  <c r="U444" i="10" s="1"/>
  <c r="B444" i="19" s="1"/>
  <c r="B446" i="10"/>
  <c r="R441" i="9"/>
  <c r="S448" i="9"/>
  <c r="G448" i="10" s="1"/>
  <c r="T448" i="9"/>
  <c r="H448" i="10" s="1"/>
  <c r="A448" i="10"/>
  <c r="P448" i="10" s="1"/>
  <c r="Q448" i="10" s="1"/>
  <c r="J447" i="10"/>
  <c r="K440" i="10"/>
  <c r="M440" i="10"/>
  <c r="I440" i="10"/>
  <c r="N440" i="10" s="1"/>
  <c r="L447" i="9"/>
  <c r="N448" i="9"/>
  <c r="F448" i="9"/>
  <c r="A449" i="9"/>
  <c r="M448" i="9"/>
  <c r="E448" i="9"/>
  <c r="D448" i="9"/>
  <c r="K448" i="9"/>
  <c r="C448" i="9"/>
  <c r="B448" i="9"/>
  <c r="Q448" i="9"/>
  <c r="E448" i="10" s="1"/>
  <c r="P448" i="9"/>
  <c r="D448" i="10" s="1"/>
  <c r="O448" i="9"/>
  <c r="C448" i="10" s="1"/>
  <c r="I448" i="9"/>
  <c r="F448" i="10" s="1"/>
  <c r="H448" i="9"/>
  <c r="J448" i="9" s="1"/>
  <c r="G448" i="9"/>
  <c r="J448" i="10" l="1"/>
  <c r="O440" i="10"/>
  <c r="S440" i="10" s="1"/>
  <c r="U440" i="10" s="1"/>
  <c r="B440" i="19" s="1"/>
  <c r="B447" i="10"/>
  <c r="R442" i="9"/>
  <c r="S449" i="9"/>
  <c r="G449" i="10" s="1"/>
  <c r="T449" i="9"/>
  <c r="H449" i="10" s="1"/>
  <c r="A449" i="10"/>
  <c r="M441" i="10"/>
  <c r="I441" i="10"/>
  <c r="K441" i="10"/>
  <c r="B449" i="9"/>
  <c r="Q449" i="9"/>
  <c r="E449" i="10" s="1"/>
  <c r="I449" i="9"/>
  <c r="F449" i="10" s="1"/>
  <c r="P449" i="9"/>
  <c r="D449" i="10" s="1"/>
  <c r="H449" i="9"/>
  <c r="J449" i="9" s="1"/>
  <c r="O449" i="9"/>
  <c r="C449" i="10" s="1"/>
  <c r="G449" i="9"/>
  <c r="N449" i="9"/>
  <c r="F449" i="9"/>
  <c r="A450" i="9"/>
  <c r="M449" i="9"/>
  <c r="K449" i="9"/>
  <c r="E449" i="9"/>
  <c r="D449" i="9"/>
  <c r="C449" i="9"/>
  <c r="L448" i="9"/>
  <c r="N441" i="10" l="1"/>
  <c r="S450" i="9"/>
  <c r="G450" i="10" s="1"/>
  <c r="T450" i="9"/>
  <c r="H450" i="10" s="1"/>
  <c r="A450" i="10"/>
  <c r="P450" i="10" s="1"/>
  <c r="Q450" i="10" s="1"/>
  <c r="K442" i="10"/>
  <c r="M442" i="10"/>
  <c r="I442" i="10"/>
  <c r="B448" i="10"/>
  <c r="O441" i="10"/>
  <c r="S441" i="10" s="1"/>
  <c r="U441" i="10" s="1"/>
  <c r="B441" i="19" s="1"/>
  <c r="J449" i="10"/>
  <c r="L449" i="9"/>
  <c r="O450" i="9"/>
  <c r="C450" i="10" s="1"/>
  <c r="G450" i="9"/>
  <c r="N450" i="9"/>
  <c r="F450" i="9"/>
  <c r="A451" i="9"/>
  <c r="M450" i="9"/>
  <c r="E450" i="9"/>
  <c r="D450" i="9"/>
  <c r="K450" i="9"/>
  <c r="C450" i="9"/>
  <c r="B450" i="9"/>
  <c r="Q450" i="9"/>
  <c r="E450" i="10" s="1"/>
  <c r="P450" i="9"/>
  <c r="D450" i="10" s="1"/>
  <c r="I450" i="9"/>
  <c r="F450" i="10" s="1"/>
  <c r="H450" i="9"/>
  <c r="J450" i="9" s="1"/>
  <c r="N442" i="10" l="1"/>
  <c r="O442" i="10"/>
  <c r="S442" i="10" s="1"/>
  <c r="U442" i="10" s="1"/>
  <c r="B442" i="19" s="1"/>
  <c r="T451" i="9"/>
  <c r="H451" i="10" s="1"/>
  <c r="P449" i="10" s="1"/>
  <c r="Q449" i="10" s="1"/>
  <c r="S451" i="9"/>
  <c r="G451" i="10" s="1"/>
  <c r="A451" i="10"/>
  <c r="P451" i="10" s="1"/>
  <c r="Q451" i="10" s="1"/>
  <c r="B449" i="10"/>
  <c r="J450" i="10"/>
  <c r="K451" i="9"/>
  <c r="C451" i="9"/>
  <c r="B451" i="9"/>
  <c r="Q451" i="9"/>
  <c r="E451" i="10" s="1"/>
  <c r="I451" i="9"/>
  <c r="F451" i="10" s="1"/>
  <c r="P451" i="9"/>
  <c r="D451" i="10" s="1"/>
  <c r="H451" i="9"/>
  <c r="J451" i="9" s="1"/>
  <c r="O451" i="9"/>
  <c r="C451" i="10" s="1"/>
  <c r="G451" i="9"/>
  <c r="N451" i="9"/>
  <c r="F451" i="9"/>
  <c r="M451" i="9"/>
  <c r="E451" i="9"/>
  <c r="D451" i="9"/>
  <c r="A452" i="9"/>
  <c r="L450" i="9"/>
  <c r="R450" i="9" l="1"/>
  <c r="B450" i="10"/>
  <c r="R445" i="9"/>
  <c r="J451" i="10"/>
  <c r="T452" i="9"/>
  <c r="H452" i="10" s="1"/>
  <c r="S452" i="9"/>
  <c r="G452" i="10" s="1"/>
  <c r="A452" i="10"/>
  <c r="P452" i="10" s="1"/>
  <c r="Q452" i="10" s="1"/>
  <c r="O452" i="9"/>
  <c r="C452" i="10" s="1"/>
  <c r="G452" i="9"/>
  <c r="N452" i="9"/>
  <c r="F452" i="9"/>
  <c r="A453" i="9"/>
  <c r="M452" i="9"/>
  <c r="E452" i="9"/>
  <c r="D452" i="9"/>
  <c r="K452" i="9"/>
  <c r="C452" i="9"/>
  <c r="B452" i="9"/>
  <c r="Q452" i="9"/>
  <c r="E452" i="10" s="1"/>
  <c r="P452" i="9"/>
  <c r="D452" i="10" s="1"/>
  <c r="I452" i="9"/>
  <c r="F452" i="10" s="1"/>
  <c r="H452" i="9"/>
  <c r="J452" i="9" s="1"/>
  <c r="L451" i="9"/>
  <c r="T453" i="9" l="1"/>
  <c r="H453" i="10" s="1"/>
  <c r="S453" i="9"/>
  <c r="G453" i="10" s="1"/>
  <c r="A453" i="10"/>
  <c r="J452" i="10"/>
  <c r="R451" i="9"/>
  <c r="B451" i="10"/>
  <c r="R446" i="9"/>
  <c r="I450" i="10"/>
  <c r="M450" i="10"/>
  <c r="K450" i="10"/>
  <c r="I445" i="10"/>
  <c r="N445" i="10" s="1"/>
  <c r="K445" i="10"/>
  <c r="M445" i="10"/>
  <c r="K453" i="9"/>
  <c r="C453" i="9"/>
  <c r="B453" i="9"/>
  <c r="Q453" i="9"/>
  <c r="E453" i="10" s="1"/>
  <c r="I453" i="9"/>
  <c r="F453" i="10" s="1"/>
  <c r="P453" i="9"/>
  <c r="D453" i="10" s="1"/>
  <c r="H453" i="9"/>
  <c r="J453" i="9" s="1"/>
  <c r="O453" i="9"/>
  <c r="C453" i="10" s="1"/>
  <c r="G453" i="9"/>
  <c r="N453" i="9"/>
  <c r="F453" i="9"/>
  <c r="E453" i="9"/>
  <c r="D453" i="9"/>
  <c r="A454" i="9"/>
  <c r="M453" i="9"/>
  <c r="L452" i="9"/>
  <c r="N450" i="10" l="1"/>
  <c r="P453" i="10"/>
  <c r="Q453" i="10" s="1"/>
  <c r="M446" i="10"/>
  <c r="K446" i="10"/>
  <c r="I446" i="10"/>
  <c r="N446" i="10" s="1"/>
  <c r="O450" i="10"/>
  <c r="S450" i="10" s="1"/>
  <c r="U450" i="10" s="1"/>
  <c r="B450" i="19" s="1"/>
  <c r="M451" i="10"/>
  <c r="K451" i="10"/>
  <c r="I451" i="10"/>
  <c r="N451" i="10" s="1"/>
  <c r="B452" i="10"/>
  <c r="R447" i="9"/>
  <c r="J453" i="10"/>
  <c r="T454" i="9"/>
  <c r="H454" i="10" s="1"/>
  <c r="S454" i="9"/>
  <c r="G454" i="10" s="1"/>
  <c r="A454" i="10"/>
  <c r="P454" i="10" s="1"/>
  <c r="Q454" i="10" s="1"/>
  <c r="O445" i="10"/>
  <c r="S445" i="10" s="1"/>
  <c r="U445" i="10" s="1"/>
  <c r="B445" i="19" s="1"/>
  <c r="O454" i="9"/>
  <c r="C454" i="10" s="1"/>
  <c r="G454" i="9"/>
  <c r="N454" i="9"/>
  <c r="F454" i="9"/>
  <c r="A455" i="9"/>
  <c r="M454" i="9"/>
  <c r="E454" i="9"/>
  <c r="D454" i="9"/>
  <c r="K454" i="9"/>
  <c r="C454" i="9"/>
  <c r="B454" i="9"/>
  <c r="Q454" i="9"/>
  <c r="E454" i="10" s="1"/>
  <c r="P454" i="9"/>
  <c r="D454" i="10" s="1"/>
  <c r="I454" i="9"/>
  <c r="F454" i="10" s="1"/>
  <c r="H454" i="9"/>
  <c r="J454" i="9" s="1"/>
  <c r="L453" i="9"/>
  <c r="O446" i="10" l="1"/>
  <c r="S446" i="10" s="1"/>
  <c r="U446" i="10" s="1"/>
  <c r="B446" i="19" s="1"/>
  <c r="J454" i="10"/>
  <c r="K447" i="10"/>
  <c r="I447" i="10"/>
  <c r="N447" i="10" s="1"/>
  <c r="M447" i="10"/>
  <c r="T455" i="9"/>
  <c r="H455" i="10" s="1"/>
  <c r="S455" i="9"/>
  <c r="G455" i="10" s="1"/>
  <c r="A455" i="10"/>
  <c r="P455" i="10" s="1"/>
  <c r="Q455" i="10" s="1"/>
  <c r="B453" i="10"/>
  <c r="R448" i="9"/>
  <c r="O451" i="10"/>
  <c r="S451" i="10" s="1"/>
  <c r="U451" i="10" s="1"/>
  <c r="B451" i="19" s="1"/>
  <c r="K455" i="9"/>
  <c r="C455" i="9"/>
  <c r="B455" i="9"/>
  <c r="Q455" i="9"/>
  <c r="E455" i="10" s="1"/>
  <c r="I455" i="9"/>
  <c r="F455" i="10" s="1"/>
  <c r="P455" i="9"/>
  <c r="D455" i="10" s="1"/>
  <c r="H455" i="9"/>
  <c r="J455" i="9" s="1"/>
  <c r="O455" i="9"/>
  <c r="C455" i="10" s="1"/>
  <c r="G455" i="9"/>
  <c r="N455" i="9"/>
  <c r="F455" i="9"/>
  <c r="A456" i="9"/>
  <c r="M455" i="9"/>
  <c r="E455" i="9"/>
  <c r="D455" i="9"/>
  <c r="L454" i="9"/>
  <c r="J455" i="10" l="1"/>
  <c r="O447" i="10"/>
  <c r="S447" i="10" s="1"/>
  <c r="U447" i="10" s="1"/>
  <c r="B447" i="19" s="1"/>
  <c r="M448" i="10"/>
  <c r="K448" i="10"/>
  <c r="I448" i="10"/>
  <c r="N448" i="10" s="1"/>
  <c r="B454" i="10"/>
  <c r="R449" i="9"/>
  <c r="S456" i="9"/>
  <c r="G456" i="10" s="1"/>
  <c r="T456" i="9"/>
  <c r="H456" i="10" s="1"/>
  <c r="A456" i="10"/>
  <c r="O456" i="9"/>
  <c r="C456" i="10" s="1"/>
  <c r="G456" i="9"/>
  <c r="N456" i="9"/>
  <c r="F456" i="9"/>
  <c r="A457" i="9"/>
  <c r="M456" i="9"/>
  <c r="E456" i="9"/>
  <c r="D456" i="9"/>
  <c r="K456" i="9"/>
  <c r="C456" i="9"/>
  <c r="B456" i="9"/>
  <c r="I456" i="9"/>
  <c r="F456" i="10" s="1"/>
  <c r="H456" i="9"/>
  <c r="J456" i="9" s="1"/>
  <c r="Q456" i="9"/>
  <c r="E456" i="10" s="1"/>
  <c r="P456" i="9"/>
  <c r="D456" i="10" s="1"/>
  <c r="L455" i="9"/>
  <c r="O448" i="10" l="1"/>
  <c r="S448" i="10" s="1"/>
  <c r="U448" i="10" s="1"/>
  <c r="B448" i="19" s="1"/>
  <c r="J456" i="10"/>
  <c r="I449" i="10"/>
  <c r="N449" i="10" s="1"/>
  <c r="M449" i="10"/>
  <c r="K449" i="10"/>
  <c r="B455" i="10"/>
  <c r="L456" i="9"/>
  <c r="T457" i="9"/>
  <c r="H457" i="10" s="1"/>
  <c r="S457" i="9"/>
  <c r="G457" i="10" s="1"/>
  <c r="A457" i="10"/>
  <c r="P457" i="10" s="1"/>
  <c r="Q457" i="10" s="1"/>
  <c r="K457" i="9"/>
  <c r="C457" i="9"/>
  <c r="B457" i="9"/>
  <c r="Q457" i="9"/>
  <c r="E457" i="10" s="1"/>
  <c r="I457" i="9"/>
  <c r="F457" i="10" s="1"/>
  <c r="P457" i="9"/>
  <c r="D457" i="10" s="1"/>
  <c r="H457" i="9"/>
  <c r="J457" i="9" s="1"/>
  <c r="O457" i="9"/>
  <c r="C457" i="10" s="1"/>
  <c r="G457" i="9"/>
  <c r="N457" i="9"/>
  <c r="F457" i="9"/>
  <c r="A458" i="9"/>
  <c r="M457" i="9"/>
  <c r="E457" i="9"/>
  <c r="D457" i="9"/>
  <c r="B456" i="10" l="1"/>
  <c r="J457" i="10"/>
  <c r="O449" i="10"/>
  <c r="S449" i="10" s="1"/>
  <c r="U449" i="10" s="1"/>
  <c r="B449" i="19" s="1"/>
  <c r="T458" i="9"/>
  <c r="H458" i="10" s="1"/>
  <c r="P456" i="10" s="1"/>
  <c r="Q456" i="10" s="1"/>
  <c r="S458" i="9"/>
  <c r="G458" i="10" s="1"/>
  <c r="A458" i="10"/>
  <c r="P458" i="10" s="1"/>
  <c r="Q458" i="10" s="1"/>
  <c r="O458" i="9"/>
  <c r="C458" i="10" s="1"/>
  <c r="G458" i="9"/>
  <c r="N458" i="9"/>
  <c r="F458" i="9"/>
  <c r="A459" i="9"/>
  <c r="M458" i="9"/>
  <c r="E458" i="9"/>
  <c r="D458" i="9"/>
  <c r="K458" i="9"/>
  <c r="C458" i="9"/>
  <c r="B458" i="9"/>
  <c r="Q458" i="9"/>
  <c r="E458" i="10" s="1"/>
  <c r="P458" i="9"/>
  <c r="D458" i="10" s="1"/>
  <c r="I458" i="9"/>
  <c r="F458" i="10" s="1"/>
  <c r="H458" i="9"/>
  <c r="J458" i="9" s="1"/>
  <c r="L457" i="9"/>
  <c r="J458" i="10" l="1"/>
  <c r="T459" i="9"/>
  <c r="H459" i="10" s="1"/>
  <c r="S459" i="9"/>
  <c r="G459" i="10" s="1"/>
  <c r="A459" i="10"/>
  <c r="P459" i="10" s="1"/>
  <c r="Q459" i="10" s="1"/>
  <c r="R457" i="9"/>
  <c r="B457" i="10"/>
  <c r="R452" i="9"/>
  <c r="K459" i="9"/>
  <c r="C459" i="9"/>
  <c r="B459" i="9"/>
  <c r="Q459" i="9"/>
  <c r="E459" i="10" s="1"/>
  <c r="I459" i="9"/>
  <c r="F459" i="10" s="1"/>
  <c r="P459" i="9"/>
  <c r="D459" i="10" s="1"/>
  <c r="H459" i="9"/>
  <c r="J459" i="9" s="1"/>
  <c r="O459" i="9"/>
  <c r="C459" i="10" s="1"/>
  <c r="G459" i="9"/>
  <c r="N459" i="9"/>
  <c r="F459" i="9"/>
  <c r="M459" i="9"/>
  <c r="E459" i="9"/>
  <c r="D459" i="9"/>
  <c r="A460" i="9"/>
  <c r="L458" i="9"/>
  <c r="R458" i="9" l="1"/>
  <c r="B458" i="10"/>
  <c r="R453" i="9"/>
  <c r="J459" i="10"/>
  <c r="M452" i="10"/>
  <c r="K452" i="10"/>
  <c r="I452" i="10"/>
  <c r="N452" i="10" s="1"/>
  <c r="T460" i="9"/>
  <c r="H460" i="10" s="1"/>
  <c r="S460" i="9"/>
  <c r="G460" i="10" s="1"/>
  <c r="A460" i="10"/>
  <c r="P460" i="10" s="1"/>
  <c r="Q460" i="10" s="1"/>
  <c r="M457" i="10"/>
  <c r="I457" i="10"/>
  <c r="K457" i="10"/>
  <c r="O460" i="9"/>
  <c r="C460" i="10" s="1"/>
  <c r="J460" i="10" s="1"/>
  <c r="G460" i="9"/>
  <c r="N460" i="9"/>
  <c r="F460" i="9"/>
  <c r="A461" i="9"/>
  <c r="M460" i="9"/>
  <c r="E460" i="9"/>
  <c r="D460" i="9"/>
  <c r="K460" i="9"/>
  <c r="C460" i="9"/>
  <c r="B460" i="9"/>
  <c r="Q460" i="9"/>
  <c r="E460" i="10" s="1"/>
  <c r="P460" i="9"/>
  <c r="D460" i="10" s="1"/>
  <c r="I460" i="9"/>
  <c r="F460" i="10" s="1"/>
  <c r="H460" i="9"/>
  <c r="J460" i="9" s="1"/>
  <c r="L459" i="9"/>
  <c r="N457" i="10" l="1"/>
  <c r="T461" i="9"/>
  <c r="H461" i="10" s="1"/>
  <c r="S461" i="9"/>
  <c r="G461" i="10" s="1"/>
  <c r="A461" i="10"/>
  <c r="P461" i="10" s="1"/>
  <c r="Q461" i="10" s="1"/>
  <c r="K453" i="10"/>
  <c r="I453" i="10"/>
  <c r="N453" i="10" s="1"/>
  <c r="M453" i="10"/>
  <c r="M458" i="10"/>
  <c r="K458" i="10"/>
  <c r="I458" i="10"/>
  <c r="N458" i="10" s="1"/>
  <c r="O452" i="10"/>
  <c r="S452" i="10" s="1"/>
  <c r="U452" i="10" s="1"/>
  <c r="B452" i="19" s="1"/>
  <c r="B459" i="10"/>
  <c r="R454" i="9"/>
  <c r="O457" i="10"/>
  <c r="S457" i="10" s="1"/>
  <c r="U457" i="10" s="1"/>
  <c r="B457" i="19" s="1"/>
  <c r="K461" i="9"/>
  <c r="C461" i="9"/>
  <c r="B461" i="9"/>
  <c r="Q461" i="9"/>
  <c r="E461" i="10" s="1"/>
  <c r="I461" i="9"/>
  <c r="F461" i="10" s="1"/>
  <c r="P461" i="9"/>
  <c r="D461" i="10" s="1"/>
  <c r="H461" i="9"/>
  <c r="J461" i="9" s="1"/>
  <c r="O461" i="9"/>
  <c r="C461" i="10" s="1"/>
  <c r="G461" i="9"/>
  <c r="N461" i="9"/>
  <c r="F461" i="9"/>
  <c r="E461" i="9"/>
  <c r="D461" i="9"/>
  <c r="A462" i="9"/>
  <c r="M461" i="9"/>
  <c r="L460" i="9"/>
  <c r="O458" i="10" l="1"/>
  <c r="S458" i="10" s="1"/>
  <c r="U458" i="10" s="1"/>
  <c r="B458" i="19" s="1"/>
  <c r="J461" i="10"/>
  <c r="T462" i="9"/>
  <c r="H462" i="10" s="1"/>
  <c r="S462" i="9"/>
  <c r="G462" i="10" s="1"/>
  <c r="A462" i="10"/>
  <c r="P462" i="10" s="1"/>
  <c r="Q462" i="10" s="1"/>
  <c r="B460" i="10"/>
  <c r="R455" i="9"/>
  <c r="K454" i="10"/>
  <c r="I454" i="10"/>
  <c r="M454" i="10"/>
  <c r="O453" i="10"/>
  <c r="S453" i="10" s="1"/>
  <c r="U453" i="10" s="1"/>
  <c r="B453" i="19" s="1"/>
  <c r="O462" i="9"/>
  <c r="C462" i="10" s="1"/>
  <c r="G462" i="9"/>
  <c r="N462" i="9"/>
  <c r="F462" i="9"/>
  <c r="A463" i="9"/>
  <c r="M462" i="9"/>
  <c r="E462" i="9"/>
  <c r="D462" i="9"/>
  <c r="K462" i="9"/>
  <c r="C462" i="9"/>
  <c r="B462" i="9"/>
  <c r="Q462" i="9"/>
  <c r="E462" i="10" s="1"/>
  <c r="P462" i="9"/>
  <c r="D462" i="10" s="1"/>
  <c r="I462" i="9"/>
  <c r="F462" i="10" s="1"/>
  <c r="H462" i="9"/>
  <c r="J462" i="9" s="1"/>
  <c r="L461" i="9"/>
  <c r="N454" i="10" l="1"/>
  <c r="B461" i="10"/>
  <c r="R456" i="9"/>
  <c r="M455" i="10"/>
  <c r="K455" i="10"/>
  <c r="I455" i="10"/>
  <c r="N455" i="10" s="1"/>
  <c r="T463" i="9"/>
  <c r="H463" i="10" s="1"/>
  <c r="S463" i="9"/>
  <c r="G463" i="10" s="1"/>
  <c r="A463" i="10"/>
  <c r="O454" i="10"/>
  <c r="S454" i="10" s="1"/>
  <c r="U454" i="10" s="1"/>
  <c r="B454" i="19" s="1"/>
  <c r="J462" i="10"/>
  <c r="K463" i="9"/>
  <c r="C463" i="9"/>
  <c r="B463" i="9"/>
  <c r="Q463" i="9"/>
  <c r="E463" i="10" s="1"/>
  <c r="I463" i="9"/>
  <c r="F463" i="10" s="1"/>
  <c r="P463" i="9"/>
  <c r="D463" i="10" s="1"/>
  <c r="H463" i="9"/>
  <c r="J463" i="9" s="1"/>
  <c r="O463" i="9"/>
  <c r="C463" i="10" s="1"/>
  <c r="G463" i="9"/>
  <c r="N463" i="9"/>
  <c r="F463" i="9"/>
  <c r="A464" i="9"/>
  <c r="M463" i="9"/>
  <c r="E463" i="9"/>
  <c r="D463" i="9"/>
  <c r="L462" i="9"/>
  <c r="J463" i="10" l="1"/>
  <c r="O455" i="10"/>
  <c r="S455" i="10" s="1"/>
  <c r="U455" i="10" s="1"/>
  <c r="B455" i="19" s="1"/>
  <c r="B462" i="10"/>
  <c r="K456" i="10"/>
  <c r="I456" i="10"/>
  <c r="N456" i="10" s="1"/>
  <c r="M456" i="10"/>
  <c r="S464" i="9"/>
  <c r="G464" i="10" s="1"/>
  <c r="T464" i="9"/>
  <c r="H464" i="10" s="1"/>
  <c r="A464" i="10"/>
  <c r="P464" i="10" s="1"/>
  <c r="Q464" i="10" s="1"/>
  <c r="O464" i="9"/>
  <c r="C464" i="10" s="1"/>
  <c r="G464" i="9"/>
  <c r="N464" i="9"/>
  <c r="F464" i="9"/>
  <c r="A465" i="9"/>
  <c r="M464" i="9"/>
  <c r="E464" i="9"/>
  <c r="D464" i="9"/>
  <c r="K464" i="9"/>
  <c r="C464" i="9"/>
  <c r="B464" i="9"/>
  <c r="I464" i="9"/>
  <c r="F464" i="10" s="1"/>
  <c r="H464" i="9"/>
  <c r="J464" i="9" s="1"/>
  <c r="Q464" i="9"/>
  <c r="E464" i="10" s="1"/>
  <c r="P464" i="9"/>
  <c r="D464" i="10" s="1"/>
  <c r="L463" i="9"/>
  <c r="O456" i="10" l="1"/>
  <c r="S456" i="10" s="1"/>
  <c r="U456" i="10" s="1"/>
  <c r="B456" i="19" s="1"/>
  <c r="J464" i="10"/>
  <c r="B463" i="10"/>
  <c r="S465" i="9"/>
  <c r="G465" i="10" s="1"/>
  <c r="T465" i="9"/>
  <c r="H465" i="10" s="1"/>
  <c r="P463" i="10" s="1"/>
  <c r="Q463" i="10" s="1"/>
  <c r="A465" i="10"/>
  <c r="P465" i="10" s="1"/>
  <c r="Q465" i="10" s="1"/>
  <c r="L464" i="9"/>
  <c r="K465" i="9"/>
  <c r="C465" i="9"/>
  <c r="B465" i="9"/>
  <c r="Q465" i="9"/>
  <c r="E465" i="10" s="1"/>
  <c r="I465" i="9"/>
  <c r="F465" i="10" s="1"/>
  <c r="P465" i="9"/>
  <c r="D465" i="10" s="1"/>
  <c r="H465" i="9"/>
  <c r="J465" i="9" s="1"/>
  <c r="O465" i="9"/>
  <c r="C465" i="10" s="1"/>
  <c r="J465" i="10" s="1"/>
  <c r="G465" i="9"/>
  <c r="N465" i="9"/>
  <c r="F465" i="9"/>
  <c r="A466" i="9"/>
  <c r="M465" i="9"/>
  <c r="E465" i="9"/>
  <c r="D465" i="9"/>
  <c r="S466" i="9" l="1"/>
  <c r="G466" i="10" s="1"/>
  <c r="T466" i="9"/>
  <c r="H466" i="10" s="1"/>
  <c r="A466" i="10"/>
  <c r="P466" i="10" s="1"/>
  <c r="Q466" i="10" s="1"/>
  <c r="R464" i="9"/>
  <c r="B464" i="10"/>
  <c r="R459" i="9"/>
  <c r="O466" i="9"/>
  <c r="C466" i="10" s="1"/>
  <c r="G466" i="9"/>
  <c r="N466" i="9"/>
  <c r="F466" i="9"/>
  <c r="A467" i="9"/>
  <c r="M466" i="9"/>
  <c r="E466" i="9"/>
  <c r="D466" i="9"/>
  <c r="K466" i="9"/>
  <c r="C466" i="9"/>
  <c r="B466" i="9"/>
  <c r="Q466" i="9"/>
  <c r="E466" i="10" s="1"/>
  <c r="P466" i="9"/>
  <c r="D466" i="10" s="1"/>
  <c r="I466" i="9"/>
  <c r="F466" i="10" s="1"/>
  <c r="H466" i="9"/>
  <c r="J466" i="9" s="1"/>
  <c r="L465" i="9"/>
  <c r="M464" i="10" l="1"/>
  <c r="K464" i="10"/>
  <c r="I464" i="10"/>
  <c r="T467" i="9"/>
  <c r="H467" i="10" s="1"/>
  <c r="S467" i="9"/>
  <c r="G467" i="10" s="1"/>
  <c r="A467" i="10"/>
  <c r="P467" i="10" s="1"/>
  <c r="Q467" i="10" s="1"/>
  <c r="J466" i="10"/>
  <c r="M459" i="10"/>
  <c r="K459" i="10"/>
  <c r="I459" i="10"/>
  <c r="N459" i="10" s="1"/>
  <c r="R465" i="9"/>
  <c r="B465" i="10"/>
  <c r="R460" i="9"/>
  <c r="K467" i="9"/>
  <c r="C467" i="9"/>
  <c r="B467" i="9"/>
  <c r="Q467" i="9"/>
  <c r="E467" i="10" s="1"/>
  <c r="I467" i="9"/>
  <c r="F467" i="10" s="1"/>
  <c r="P467" i="9"/>
  <c r="D467" i="10" s="1"/>
  <c r="H467" i="9"/>
  <c r="J467" i="9" s="1"/>
  <c r="O467" i="9"/>
  <c r="C467" i="10" s="1"/>
  <c r="G467" i="9"/>
  <c r="N467" i="9"/>
  <c r="F467" i="9"/>
  <c r="M467" i="9"/>
  <c r="E467" i="9"/>
  <c r="D467" i="9"/>
  <c r="A468" i="9"/>
  <c r="L466" i="9"/>
  <c r="N464" i="10" l="1"/>
  <c r="O459" i="10"/>
  <c r="S459" i="10" s="1"/>
  <c r="U459" i="10" s="1"/>
  <c r="B459" i="19" s="1"/>
  <c r="J467" i="10"/>
  <c r="O464" i="10"/>
  <c r="S464" i="10" s="1"/>
  <c r="U464" i="10" s="1"/>
  <c r="B464" i="19" s="1"/>
  <c r="B466" i="10"/>
  <c r="R461" i="9"/>
  <c r="M460" i="10"/>
  <c r="I460" i="10"/>
  <c r="N460" i="10" s="1"/>
  <c r="K460" i="10"/>
  <c r="T468" i="9"/>
  <c r="H468" i="10" s="1"/>
  <c r="S468" i="9"/>
  <c r="G468" i="10" s="1"/>
  <c r="A468" i="10"/>
  <c r="P468" i="10" s="1"/>
  <c r="Q468" i="10" s="1"/>
  <c r="M465" i="10"/>
  <c r="K465" i="10"/>
  <c r="I465" i="10"/>
  <c r="N465" i="10" s="1"/>
  <c r="O468" i="9"/>
  <c r="C468" i="10" s="1"/>
  <c r="G468" i="9"/>
  <c r="N468" i="9"/>
  <c r="F468" i="9"/>
  <c r="A469" i="9"/>
  <c r="M468" i="9"/>
  <c r="E468" i="9"/>
  <c r="D468" i="9"/>
  <c r="K468" i="9"/>
  <c r="C468" i="9"/>
  <c r="B468" i="9"/>
  <c r="Q468" i="9"/>
  <c r="E468" i="10" s="1"/>
  <c r="P468" i="9"/>
  <c r="D468" i="10" s="1"/>
  <c r="I468" i="9"/>
  <c r="F468" i="10" s="1"/>
  <c r="H468" i="9"/>
  <c r="J468" i="9" s="1"/>
  <c r="L467" i="9"/>
  <c r="O460" i="10" l="1"/>
  <c r="S460" i="10" s="1"/>
  <c r="U460" i="10" s="1"/>
  <c r="B460" i="19" s="1"/>
  <c r="O465" i="10"/>
  <c r="S465" i="10" s="1"/>
  <c r="U465" i="10" s="1"/>
  <c r="B465" i="19" s="1"/>
  <c r="M461" i="10"/>
  <c r="I461" i="10"/>
  <c r="N461" i="10" s="1"/>
  <c r="K461" i="10"/>
  <c r="J468" i="10"/>
  <c r="B467" i="10"/>
  <c r="R462" i="9"/>
  <c r="T469" i="9"/>
  <c r="H469" i="10" s="1"/>
  <c r="S469" i="9"/>
  <c r="G469" i="10" s="1"/>
  <c r="A469" i="10"/>
  <c r="P469" i="10" s="1"/>
  <c r="Q469" i="10" s="1"/>
  <c r="K469" i="9"/>
  <c r="C469" i="9"/>
  <c r="B469" i="9"/>
  <c r="Q469" i="9"/>
  <c r="E469" i="10" s="1"/>
  <c r="I469" i="9"/>
  <c r="F469" i="10" s="1"/>
  <c r="P469" i="9"/>
  <c r="D469" i="10" s="1"/>
  <c r="H469" i="9"/>
  <c r="J469" i="9" s="1"/>
  <c r="O469" i="9"/>
  <c r="C469" i="10" s="1"/>
  <c r="G469" i="9"/>
  <c r="N469" i="9"/>
  <c r="F469" i="9"/>
  <c r="E469" i="9"/>
  <c r="D469" i="9"/>
  <c r="A470" i="9"/>
  <c r="M469" i="9"/>
  <c r="L468" i="9"/>
  <c r="J469" i="10" l="1"/>
  <c r="M462" i="10"/>
  <c r="I462" i="10"/>
  <c r="N462" i="10" s="1"/>
  <c r="K462" i="10"/>
  <c r="B468" i="10"/>
  <c r="R463" i="9"/>
  <c r="S470" i="9"/>
  <c r="G470" i="10" s="1"/>
  <c r="T470" i="9"/>
  <c r="H470" i="10" s="1"/>
  <c r="A470" i="10"/>
  <c r="O461" i="10"/>
  <c r="S461" i="10" s="1"/>
  <c r="U461" i="10" s="1"/>
  <c r="B461" i="19" s="1"/>
  <c r="O470" i="9"/>
  <c r="C470" i="10" s="1"/>
  <c r="G470" i="9"/>
  <c r="N470" i="9"/>
  <c r="F470" i="9"/>
  <c r="A471" i="9"/>
  <c r="M470" i="9"/>
  <c r="E470" i="9"/>
  <c r="D470" i="9"/>
  <c r="K470" i="9"/>
  <c r="C470" i="9"/>
  <c r="B470" i="9"/>
  <c r="Q470" i="9"/>
  <c r="E470" i="10" s="1"/>
  <c r="P470" i="9"/>
  <c r="D470" i="10" s="1"/>
  <c r="I470" i="9"/>
  <c r="F470" i="10" s="1"/>
  <c r="H470" i="9"/>
  <c r="J470" i="9" s="1"/>
  <c r="L469" i="9"/>
  <c r="B469" i="10" l="1"/>
  <c r="K463" i="10"/>
  <c r="I463" i="10"/>
  <c r="N463" i="10" s="1"/>
  <c r="M463" i="10"/>
  <c r="J470" i="10"/>
  <c r="T471" i="9"/>
  <c r="H471" i="10" s="1"/>
  <c r="S471" i="9"/>
  <c r="G471" i="10" s="1"/>
  <c r="A471" i="10"/>
  <c r="P471" i="10" s="1"/>
  <c r="Q471" i="10" s="1"/>
  <c r="O462" i="10"/>
  <c r="S462" i="10" s="1"/>
  <c r="U462" i="10" s="1"/>
  <c r="B462" i="19" s="1"/>
  <c r="K471" i="9"/>
  <c r="C471" i="9"/>
  <c r="B471" i="9"/>
  <c r="Q471" i="9"/>
  <c r="E471" i="10" s="1"/>
  <c r="I471" i="9"/>
  <c r="F471" i="10" s="1"/>
  <c r="P471" i="9"/>
  <c r="D471" i="10" s="1"/>
  <c r="H471" i="9"/>
  <c r="J471" i="9" s="1"/>
  <c r="O471" i="9"/>
  <c r="C471" i="10" s="1"/>
  <c r="J471" i="10" s="1"/>
  <c r="G471" i="9"/>
  <c r="N471" i="9"/>
  <c r="F471" i="9"/>
  <c r="A472" i="9"/>
  <c r="M471" i="9"/>
  <c r="E471" i="9"/>
  <c r="D471" i="9"/>
  <c r="L470" i="9"/>
  <c r="B470" i="10" l="1"/>
  <c r="O463" i="10"/>
  <c r="S463" i="10" s="1"/>
  <c r="U463" i="10" s="1"/>
  <c r="B463" i="19" s="1"/>
  <c r="S472" i="9"/>
  <c r="G472" i="10" s="1"/>
  <c r="T472" i="9"/>
  <c r="H472" i="10" s="1"/>
  <c r="P470" i="10" s="1"/>
  <c r="Q470" i="10" s="1"/>
  <c r="A472" i="10"/>
  <c r="P472" i="10" s="1"/>
  <c r="Q472" i="10" s="1"/>
  <c r="O472" i="9"/>
  <c r="C472" i="10" s="1"/>
  <c r="G472" i="9"/>
  <c r="N472" i="9"/>
  <c r="F472" i="9"/>
  <c r="A473" i="9"/>
  <c r="M472" i="9"/>
  <c r="E472" i="9"/>
  <c r="D472" i="9"/>
  <c r="K472" i="9"/>
  <c r="C472" i="9"/>
  <c r="B472" i="9"/>
  <c r="I472" i="9"/>
  <c r="F472" i="10" s="1"/>
  <c r="H472" i="9"/>
  <c r="J472" i="9" s="1"/>
  <c r="L472" i="9" s="1"/>
  <c r="Q472" i="9"/>
  <c r="E472" i="10" s="1"/>
  <c r="P472" i="9"/>
  <c r="D472" i="10" s="1"/>
  <c r="L471" i="9"/>
  <c r="J472" i="10" l="1"/>
  <c r="R472" i="9"/>
  <c r="B472" i="10"/>
  <c r="R467" i="9"/>
  <c r="R471" i="9"/>
  <c r="B471" i="10"/>
  <c r="R466" i="9"/>
  <c r="M472" i="10"/>
  <c r="K472" i="10"/>
  <c r="I472" i="10"/>
  <c r="T473" i="9"/>
  <c r="H473" i="10" s="1"/>
  <c r="S473" i="9"/>
  <c r="G473" i="10" s="1"/>
  <c r="A473" i="10"/>
  <c r="P473" i="10" s="1"/>
  <c r="Q473" i="10" s="1"/>
  <c r="K473" i="9"/>
  <c r="C473" i="9"/>
  <c r="B473" i="9"/>
  <c r="Q473" i="9"/>
  <c r="E473" i="10" s="1"/>
  <c r="I473" i="9"/>
  <c r="F473" i="10" s="1"/>
  <c r="P473" i="9"/>
  <c r="D473" i="10" s="1"/>
  <c r="H473" i="9"/>
  <c r="J473" i="9" s="1"/>
  <c r="O473" i="9"/>
  <c r="C473" i="10" s="1"/>
  <c r="G473" i="9"/>
  <c r="N473" i="9"/>
  <c r="F473" i="9"/>
  <c r="A474" i="9"/>
  <c r="M473" i="9"/>
  <c r="E473" i="9"/>
  <c r="D473" i="9"/>
  <c r="N472" i="10" l="1"/>
  <c r="I466" i="10"/>
  <c r="N466" i="10" s="1"/>
  <c r="K466" i="10"/>
  <c r="M466" i="10"/>
  <c r="I467" i="10"/>
  <c r="N467" i="10" s="1"/>
  <c r="K467" i="10"/>
  <c r="M467" i="10"/>
  <c r="I471" i="10"/>
  <c r="M471" i="10"/>
  <c r="K471" i="10"/>
  <c r="O472" i="10"/>
  <c r="S472" i="10" s="1"/>
  <c r="U472" i="10" s="1"/>
  <c r="B472" i="19" s="1"/>
  <c r="J473" i="10"/>
  <c r="T474" i="9"/>
  <c r="H474" i="10" s="1"/>
  <c r="S474" i="9"/>
  <c r="G474" i="10" s="1"/>
  <c r="A474" i="10"/>
  <c r="P474" i="10" s="1"/>
  <c r="Q474" i="10" s="1"/>
  <c r="O474" i="9"/>
  <c r="C474" i="10" s="1"/>
  <c r="G474" i="9"/>
  <c r="N474" i="9"/>
  <c r="F474" i="9"/>
  <c r="A475" i="9"/>
  <c r="M474" i="9"/>
  <c r="E474" i="9"/>
  <c r="D474" i="9"/>
  <c r="K474" i="9"/>
  <c r="C474" i="9"/>
  <c r="B474" i="9"/>
  <c r="Q474" i="9"/>
  <c r="E474" i="10" s="1"/>
  <c r="P474" i="9"/>
  <c r="D474" i="10" s="1"/>
  <c r="I474" i="9"/>
  <c r="F474" i="10" s="1"/>
  <c r="H474" i="9"/>
  <c r="J474" i="9" s="1"/>
  <c r="L473" i="9"/>
  <c r="N471" i="10" l="1"/>
  <c r="O471" i="10" s="1"/>
  <c r="S471" i="10" s="1"/>
  <c r="U471" i="10" s="1"/>
  <c r="B471" i="19" s="1"/>
  <c r="T475" i="9"/>
  <c r="H475" i="10" s="1"/>
  <c r="S475" i="9"/>
  <c r="G475" i="10" s="1"/>
  <c r="A475" i="10"/>
  <c r="P475" i="10" s="1"/>
  <c r="Q475" i="10" s="1"/>
  <c r="O466" i="10"/>
  <c r="S466" i="10" s="1"/>
  <c r="U466" i="10" s="1"/>
  <c r="B466" i="19" s="1"/>
  <c r="J474" i="10"/>
  <c r="B473" i="10"/>
  <c r="R468" i="9"/>
  <c r="O467" i="10"/>
  <c r="S467" i="10" s="1"/>
  <c r="U467" i="10" s="1"/>
  <c r="B467" i="19" s="1"/>
  <c r="K475" i="9"/>
  <c r="C475" i="9"/>
  <c r="B475" i="9"/>
  <c r="Q475" i="9"/>
  <c r="E475" i="10" s="1"/>
  <c r="I475" i="9"/>
  <c r="F475" i="10" s="1"/>
  <c r="P475" i="9"/>
  <c r="D475" i="10" s="1"/>
  <c r="H475" i="9"/>
  <c r="J475" i="9" s="1"/>
  <c r="O475" i="9"/>
  <c r="C475" i="10" s="1"/>
  <c r="G475" i="9"/>
  <c r="N475" i="9"/>
  <c r="F475" i="9"/>
  <c r="M475" i="9"/>
  <c r="E475" i="9"/>
  <c r="D475" i="9"/>
  <c r="A476" i="9"/>
  <c r="L474" i="9"/>
  <c r="J475" i="10" l="1"/>
  <c r="B474" i="10"/>
  <c r="R469" i="9"/>
  <c r="T476" i="9"/>
  <c r="H476" i="10" s="1"/>
  <c r="S476" i="9"/>
  <c r="G476" i="10" s="1"/>
  <c r="A476" i="10"/>
  <c r="P476" i="10" s="1"/>
  <c r="Q476" i="10" s="1"/>
  <c r="M468" i="10"/>
  <c r="K468" i="10"/>
  <c r="I468" i="10"/>
  <c r="O476" i="9"/>
  <c r="C476" i="10" s="1"/>
  <c r="G476" i="9"/>
  <c r="N476" i="9"/>
  <c r="F476" i="9"/>
  <c r="A477" i="9"/>
  <c r="M476" i="9"/>
  <c r="E476" i="9"/>
  <c r="D476" i="9"/>
  <c r="K476" i="9"/>
  <c r="C476" i="9"/>
  <c r="B476" i="9"/>
  <c r="Q476" i="9"/>
  <c r="E476" i="10" s="1"/>
  <c r="P476" i="9"/>
  <c r="D476" i="10" s="1"/>
  <c r="I476" i="9"/>
  <c r="F476" i="10" s="1"/>
  <c r="H476" i="9"/>
  <c r="J476" i="9" s="1"/>
  <c r="L475" i="9"/>
  <c r="N468" i="10" l="1"/>
  <c r="J476" i="10"/>
  <c r="O468" i="10"/>
  <c r="S468" i="10" s="1"/>
  <c r="U468" i="10" s="1"/>
  <c r="B468" i="19" s="1"/>
  <c r="I469" i="10"/>
  <c r="K469" i="10"/>
  <c r="M469" i="10"/>
  <c r="B475" i="10"/>
  <c r="R470" i="9"/>
  <c r="T477" i="9"/>
  <c r="H477" i="10" s="1"/>
  <c r="S477" i="9"/>
  <c r="G477" i="10" s="1"/>
  <c r="A477" i="10"/>
  <c r="K477" i="9"/>
  <c r="C477" i="9"/>
  <c r="B477" i="9"/>
  <c r="Q477" i="9"/>
  <c r="E477" i="10" s="1"/>
  <c r="I477" i="9"/>
  <c r="F477" i="10" s="1"/>
  <c r="P477" i="9"/>
  <c r="D477" i="10" s="1"/>
  <c r="H477" i="9"/>
  <c r="J477" i="9" s="1"/>
  <c r="O477" i="9"/>
  <c r="C477" i="10" s="1"/>
  <c r="G477" i="9"/>
  <c r="N477" i="9"/>
  <c r="F477" i="9"/>
  <c r="E477" i="9"/>
  <c r="D477" i="9"/>
  <c r="A478" i="9"/>
  <c r="M477" i="9"/>
  <c r="L476" i="9"/>
  <c r="N469" i="10" l="1"/>
  <c r="O469" i="10"/>
  <c r="S469" i="10" s="1"/>
  <c r="U469" i="10" s="1"/>
  <c r="B469" i="19" s="1"/>
  <c r="K470" i="10"/>
  <c r="M470" i="10"/>
  <c r="I470" i="10"/>
  <c r="N470" i="10" s="1"/>
  <c r="J477" i="10"/>
  <c r="B476" i="10"/>
  <c r="T478" i="9"/>
  <c r="H478" i="10" s="1"/>
  <c r="S478" i="9"/>
  <c r="G478" i="10" s="1"/>
  <c r="A478" i="10"/>
  <c r="P478" i="10" s="1"/>
  <c r="Q478" i="10" s="1"/>
  <c r="O478" i="9"/>
  <c r="C478" i="10" s="1"/>
  <c r="G478" i="9"/>
  <c r="N478" i="9"/>
  <c r="F478" i="9"/>
  <c r="A479" i="9"/>
  <c r="M478" i="9"/>
  <c r="E478" i="9"/>
  <c r="D478" i="9"/>
  <c r="K478" i="9"/>
  <c r="C478" i="9"/>
  <c r="B478" i="9"/>
  <c r="Q478" i="9"/>
  <c r="E478" i="10" s="1"/>
  <c r="P478" i="9"/>
  <c r="D478" i="10" s="1"/>
  <c r="I478" i="9"/>
  <c r="F478" i="10" s="1"/>
  <c r="H478" i="9"/>
  <c r="J478" i="9" s="1"/>
  <c r="L477" i="9"/>
  <c r="O470" i="10" l="1"/>
  <c r="S470" i="10" s="1"/>
  <c r="U470" i="10" s="1"/>
  <c r="B470" i="19" s="1"/>
  <c r="J478" i="10"/>
  <c r="B477" i="10"/>
  <c r="T479" i="9"/>
  <c r="H479" i="10" s="1"/>
  <c r="P477" i="10" s="1"/>
  <c r="Q477" i="10" s="1"/>
  <c r="S479" i="9"/>
  <c r="G479" i="10" s="1"/>
  <c r="A479" i="10"/>
  <c r="P479" i="10" s="1"/>
  <c r="Q479" i="10" s="1"/>
  <c r="K479" i="9"/>
  <c r="C479" i="9"/>
  <c r="B479" i="9"/>
  <c r="Q479" i="9"/>
  <c r="E479" i="10" s="1"/>
  <c r="I479" i="9"/>
  <c r="F479" i="10" s="1"/>
  <c r="P479" i="9"/>
  <c r="D479" i="10" s="1"/>
  <c r="H479" i="9"/>
  <c r="J479" i="9" s="1"/>
  <c r="O479" i="9"/>
  <c r="C479" i="10" s="1"/>
  <c r="G479" i="9"/>
  <c r="N479" i="9"/>
  <c r="F479" i="9"/>
  <c r="A480" i="9"/>
  <c r="M479" i="9"/>
  <c r="E479" i="9"/>
  <c r="D479" i="9"/>
  <c r="L478" i="9"/>
  <c r="R478" i="9" l="1"/>
  <c r="B478" i="10"/>
  <c r="R473" i="9"/>
  <c r="S480" i="9"/>
  <c r="G480" i="10" s="1"/>
  <c r="T480" i="9"/>
  <c r="H480" i="10" s="1"/>
  <c r="A480" i="10"/>
  <c r="P480" i="10" s="1"/>
  <c r="Q480" i="10" s="1"/>
  <c r="J479" i="10"/>
  <c r="O480" i="9"/>
  <c r="C480" i="10" s="1"/>
  <c r="G480" i="9"/>
  <c r="N480" i="9"/>
  <c r="F480" i="9"/>
  <c r="A481" i="9"/>
  <c r="M480" i="9"/>
  <c r="E480" i="9"/>
  <c r="D480" i="9"/>
  <c r="K480" i="9"/>
  <c r="C480" i="9"/>
  <c r="B480" i="9"/>
  <c r="I480" i="9"/>
  <c r="F480" i="10" s="1"/>
  <c r="H480" i="9"/>
  <c r="J480" i="9" s="1"/>
  <c r="L480" i="9" s="1"/>
  <c r="Q480" i="9"/>
  <c r="E480" i="10" s="1"/>
  <c r="P480" i="9"/>
  <c r="D480" i="10" s="1"/>
  <c r="L479" i="9"/>
  <c r="B480" i="10" l="1"/>
  <c r="R475" i="9"/>
  <c r="S481" i="9"/>
  <c r="G481" i="10" s="1"/>
  <c r="T481" i="9"/>
  <c r="H481" i="10" s="1"/>
  <c r="A481" i="10"/>
  <c r="P481" i="10" s="1"/>
  <c r="Q481" i="10" s="1"/>
  <c r="J480" i="10"/>
  <c r="R479" i="9"/>
  <c r="B479" i="10"/>
  <c r="R474" i="9"/>
  <c r="I473" i="10"/>
  <c r="M473" i="10"/>
  <c r="K473" i="10"/>
  <c r="M478" i="10"/>
  <c r="I478" i="10"/>
  <c r="K478" i="10"/>
  <c r="K481" i="9"/>
  <c r="C481" i="9"/>
  <c r="B481" i="9"/>
  <c r="Q481" i="9"/>
  <c r="E481" i="10" s="1"/>
  <c r="I481" i="9"/>
  <c r="F481" i="10" s="1"/>
  <c r="P481" i="9"/>
  <c r="D481" i="10" s="1"/>
  <c r="H481" i="9"/>
  <c r="J481" i="9" s="1"/>
  <c r="O481" i="9"/>
  <c r="C481" i="10" s="1"/>
  <c r="G481" i="9"/>
  <c r="N481" i="9"/>
  <c r="F481" i="9"/>
  <c r="A482" i="9"/>
  <c r="M481" i="9"/>
  <c r="E481" i="9"/>
  <c r="D481" i="9"/>
  <c r="N478" i="10" l="1"/>
  <c r="N473" i="10"/>
  <c r="O473" i="10" s="1"/>
  <c r="S473" i="10" s="1"/>
  <c r="U473" i="10" s="1"/>
  <c r="B473" i="19" s="1"/>
  <c r="O478" i="10"/>
  <c r="S478" i="10" s="1"/>
  <c r="U478" i="10" s="1"/>
  <c r="B478" i="19" s="1"/>
  <c r="J481" i="10"/>
  <c r="M474" i="10"/>
  <c r="K474" i="10"/>
  <c r="I474" i="10"/>
  <c r="N474" i="10" s="1"/>
  <c r="K479" i="10"/>
  <c r="I479" i="10"/>
  <c r="M479" i="10"/>
  <c r="K475" i="10"/>
  <c r="I475" i="10"/>
  <c r="N475" i="10" s="1"/>
  <c r="M475" i="10"/>
  <c r="S482" i="9"/>
  <c r="G482" i="10" s="1"/>
  <c r="T482" i="9"/>
  <c r="H482" i="10" s="1"/>
  <c r="A482" i="10"/>
  <c r="P482" i="10" s="1"/>
  <c r="Q482" i="10" s="1"/>
  <c r="O482" i="9"/>
  <c r="C482" i="10" s="1"/>
  <c r="G482" i="9"/>
  <c r="N482" i="9"/>
  <c r="F482" i="9"/>
  <c r="A483" i="9"/>
  <c r="M482" i="9"/>
  <c r="E482" i="9"/>
  <c r="D482" i="9"/>
  <c r="K482" i="9"/>
  <c r="C482" i="9"/>
  <c r="B482" i="9"/>
  <c r="Q482" i="9"/>
  <c r="E482" i="10" s="1"/>
  <c r="P482" i="9"/>
  <c r="D482" i="10" s="1"/>
  <c r="I482" i="9"/>
  <c r="F482" i="10" s="1"/>
  <c r="H482" i="9"/>
  <c r="J482" i="9" s="1"/>
  <c r="L481" i="9"/>
  <c r="N479" i="10" l="1"/>
  <c r="O474" i="10"/>
  <c r="S474" i="10" s="1"/>
  <c r="U474" i="10" s="1"/>
  <c r="B474" i="19" s="1"/>
  <c r="J482" i="10"/>
  <c r="B481" i="10"/>
  <c r="R476" i="9"/>
  <c r="O479" i="10"/>
  <c r="S479" i="10" s="1"/>
  <c r="U479" i="10" s="1"/>
  <c r="B479" i="19" s="1"/>
  <c r="T483" i="9"/>
  <c r="H483" i="10" s="1"/>
  <c r="S483" i="9"/>
  <c r="G483" i="10" s="1"/>
  <c r="A483" i="10"/>
  <c r="P483" i="10" s="1"/>
  <c r="Q483" i="10" s="1"/>
  <c r="O475" i="10"/>
  <c r="S475" i="10" s="1"/>
  <c r="U475" i="10" s="1"/>
  <c r="B475" i="19" s="1"/>
  <c r="K483" i="9"/>
  <c r="C483" i="9"/>
  <c r="B483" i="9"/>
  <c r="Q483" i="9"/>
  <c r="E483" i="10" s="1"/>
  <c r="I483" i="9"/>
  <c r="F483" i="10" s="1"/>
  <c r="P483" i="9"/>
  <c r="D483" i="10" s="1"/>
  <c r="H483" i="9"/>
  <c r="J483" i="9" s="1"/>
  <c r="O483" i="9"/>
  <c r="C483" i="10" s="1"/>
  <c r="G483" i="9"/>
  <c r="N483" i="9"/>
  <c r="F483" i="9"/>
  <c r="M483" i="9"/>
  <c r="E483" i="9"/>
  <c r="D483" i="9"/>
  <c r="A484" i="9"/>
  <c r="L482" i="9"/>
  <c r="J483" i="10" l="1"/>
  <c r="T484" i="9"/>
  <c r="H484" i="10" s="1"/>
  <c r="S484" i="9"/>
  <c r="G484" i="10" s="1"/>
  <c r="A484" i="10"/>
  <c r="K476" i="10"/>
  <c r="I476" i="10"/>
  <c r="N476" i="10" s="1"/>
  <c r="M476" i="10"/>
  <c r="B482" i="10"/>
  <c r="R477" i="9"/>
  <c r="O484" i="9"/>
  <c r="C484" i="10" s="1"/>
  <c r="G484" i="9"/>
  <c r="N484" i="9"/>
  <c r="F484" i="9"/>
  <c r="A485" i="9"/>
  <c r="M484" i="9"/>
  <c r="E484" i="9"/>
  <c r="D484" i="9"/>
  <c r="K484" i="9"/>
  <c r="C484" i="9"/>
  <c r="B484" i="9"/>
  <c r="Q484" i="9"/>
  <c r="E484" i="10" s="1"/>
  <c r="P484" i="9"/>
  <c r="D484" i="10" s="1"/>
  <c r="I484" i="9"/>
  <c r="F484" i="10" s="1"/>
  <c r="H484" i="9"/>
  <c r="J484" i="9" s="1"/>
  <c r="L483" i="9"/>
  <c r="J484" i="10" l="1"/>
  <c r="B483" i="10"/>
  <c r="K477" i="10"/>
  <c r="M477" i="10"/>
  <c r="I477" i="10"/>
  <c r="T485" i="9"/>
  <c r="H485" i="10" s="1"/>
  <c r="S485" i="9"/>
  <c r="G485" i="10" s="1"/>
  <c r="A485" i="10"/>
  <c r="P485" i="10" s="1"/>
  <c r="Q485" i="10" s="1"/>
  <c r="O476" i="10"/>
  <c r="S476" i="10" s="1"/>
  <c r="U476" i="10" s="1"/>
  <c r="B476" i="19" s="1"/>
  <c r="K485" i="9"/>
  <c r="C485" i="9"/>
  <c r="B485" i="9"/>
  <c r="Q485" i="9"/>
  <c r="E485" i="10" s="1"/>
  <c r="I485" i="9"/>
  <c r="F485" i="10" s="1"/>
  <c r="P485" i="9"/>
  <c r="D485" i="10" s="1"/>
  <c r="H485" i="9"/>
  <c r="J485" i="9" s="1"/>
  <c r="O485" i="9"/>
  <c r="C485" i="10" s="1"/>
  <c r="G485" i="9"/>
  <c r="N485" i="9"/>
  <c r="F485" i="9"/>
  <c r="E485" i="9"/>
  <c r="D485" i="9"/>
  <c r="A486" i="9"/>
  <c r="M485" i="9"/>
  <c r="L484" i="9"/>
  <c r="N477" i="10" l="1"/>
  <c r="J485" i="10"/>
  <c r="O477" i="10"/>
  <c r="S477" i="10" s="1"/>
  <c r="U477" i="10" s="1"/>
  <c r="B477" i="19" s="1"/>
  <c r="B484" i="10"/>
  <c r="T486" i="9"/>
  <c r="H486" i="10" s="1"/>
  <c r="P484" i="10" s="1"/>
  <c r="Q484" i="10" s="1"/>
  <c r="S486" i="9"/>
  <c r="G486" i="10" s="1"/>
  <c r="A486" i="10"/>
  <c r="P486" i="10" s="1"/>
  <c r="Q486" i="10" s="1"/>
  <c r="O486" i="9"/>
  <c r="C486" i="10" s="1"/>
  <c r="G486" i="9"/>
  <c r="N486" i="9"/>
  <c r="F486" i="9"/>
  <c r="A487" i="9"/>
  <c r="M486" i="9"/>
  <c r="E486" i="9"/>
  <c r="D486" i="9"/>
  <c r="K486" i="9"/>
  <c r="C486" i="9"/>
  <c r="B486" i="9"/>
  <c r="Q486" i="9"/>
  <c r="E486" i="10" s="1"/>
  <c r="P486" i="9"/>
  <c r="D486" i="10" s="1"/>
  <c r="I486" i="9"/>
  <c r="F486" i="10" s="1"/>
  <c r="H486" i="9"/>
  <c r="J486" i="9" s="1"/>
  <c r="L485" i="9"/>
  <c r="J486" i="10" l="1"/>
  <c r="B485" i="10"/>
  <c r="R485" i="9"/>
  <c r="R480" i="9"/>
  <c r="T487" i="9"/>
  <c r="H487" i="10" s="1"/>
  <c r="S487" i="9"/>
  <c r="G487" i="10" s="1"/>
  <c r="A487" i="10"/>
  <c r="P487" i="10" s="1"/>
  <c r="Q487" i="10" s="1"/>
  <c r="K487" i="9"/>
  <c r="C487" i="9"/>
  <c r="B487" i="9"/>
  <c r="Q487" i="9"/>
  <c r="E487" i="10" s="1"/>
  <c r="I487" i="9"/>
  <c r="F487" i="10" s="1"/>
  <c r="P487" i="9"/>
  <c r="D487" i="10" s="1"/>
  <c r="H487" i="9"/>
  <c r="J487" i="9" s="1"/>
  <c r="O487" i="9"/>
  <c r="C487" i="10" s="1"/>
  <c r="G487" i="9"/>
  <c r="N487" i="9"/>
  <c r="F487" i="9"/>
  <c r="A488" i="9"/>
  <c r="M487" i="9"/>
  <c r="E487" i="9"/>
  <c r="D487" i="9"/>
  <c r="L486" i="9"/>
  <c r="I485" i="10" l="1"/>
  <c r="K485" i="10"/>
  <c r="M485" i="10"/>
  <c r="I480" i="10"/>
  <c r="M480" i="10"/>
  <c r="K480" i="10"/>
  <c r="S488" i="9"/>
  <c r="G488" i="10" s="1"/>
  <c r="T488" i="9"/>
  <c r="H488" i="10" s="1"/>
  <c r="A488" i="10"/>
  <c r="P488" i="10" s="1"/>
  <c r="Q488" i="10" s="1"/>
  <c r="R486" i="9"/>
  <c r="B486" i="10"/>
  <c r="R481" i="9"/>
  <c r="J487" i="10"/>
  <c r="O488" i="9"/>
  <c r="C488" i="10" s="1"/>
  <c r="G488" i="9"/>
  <c r="N488" i="9"/>
  <c r="F488" i="9"/>
  <c r="A489" i="9"/>
  <c r="M488" i="9"/>
  <c r="E488" i="9"/>
  <c r="D488" i="9"/>
  <c r="K488" i="9"/>
  <c r="C488" i="9"/>
  <c r="B488" i="9"/>
  <c r="I488" i="9"/>
  <c r="F488" i="10" s="1"/>
  <c r="H488" i="9"/>
  <c r="J488" i="9" s="1"/>
  <c r="L488" i="9" s="1"/>
  <c r="Q488" i="9"/>
  <c r="E488" i="10" s="1"/>
  <c r="P488" i="9"/>
  <c r="D488" i="10" s="1"/>
  <c r="L487" i="9"/>
  <c r="N480" i="10" l="1"/>
  <c r="N485" i="10"/>
  <c r="O480" i="10"/>
  <c r="S480" i="10" s="1"/>
  <c r="U480" i="10" s="1"/>
  <c r="B480" i="19" s="1"/>
  <c r="J488" i="10"/>
  <c r="M486" i="10"/>
  <c r="I486" i="10"/>
  <c r="K486" i="10"/>
  <c r="B488" i="10"/>
  <c r="R483" i="9"/>
  <c r="T489" i="9"/>
  <c r="H489" i="10" s="1"/>
  <c r="S489" i="9"/>
  <c r="G489" i="10" s="1"/>
  <c r="A489" i="10"/>
  <c r="P489" i="10" s="1"/>
  <c r="Q489" i="10" s="1"/>
  <c r="I481" i="10"/>
  <c r="K481" i="10"/>
  <c r="M481" i="10"/>
  <c r="B487" i="10"/>
  <c r="R482" i="9"/>
  <c r="O485" i="10"/>
  <c r="S485" i="10" s="1"/>
  <c r="U485" i="10" s="1"/>
  <c r="B485" i="19" s="1"/>
  <c r="K489" i="9"/>
  <c r="C489" i="9"/>
  <c r="B489" i="9"/>
  <c r="Q489" i="9"/>
  <c r="E489" i="10" s="1"/>
  <c r="I489" i="9"/>
  <c r="F489" i="10" s="1"/>
  <c r="P489" i="9"/>
  <c r="D489" i="10" s="1"/>
  <c r="H489" i="9"/>
  <c r="J489" i="9" s="1"/>
  <c r="O489" i="9"/>
  <c r="C489" i="10" s="1"/>
  <c r="G489" i="9"/>
  <c r="N489" i="9"/>
  <c r="F489" i="9"/>
  <c r="A490" i="9"/>
  <c r="M489" i="9"/>
  <c r="E489" i="9"/>
  <c r="D489" i="9"/>
  <c r="N481" i="10" l="1"/>
  <c r="N486" i="10"/>
  <c r="J489" i="10"/>
  <c r="T490" i="9"/>
  <c r="H490" i="10" s="1"/>
  <c r="S490" i="9"/>
  <c r="G490" i="10" s="1"/>
  <c r="A490" i="10"/>
  <c r="P490" i="10" s="1"/>
  <c r="Q490" i="10" s="1"/>
  <c r="O481" i="10"/>
  <c r="S481" i="10" s="1"/>
  <c r="U481" i="10" s="1"/>
  <c r="B481" i="19" s="1"/>
  <c r="O486" i="10"/>
  <c r="S486" i="10" s="1"/>
  <c r="U486" i="10" s="1"/>
  <c r="B486" i="19" s="1"/>
  <c r="K482" i="10"/>
  <c r="M482" i="10"/>
  <c r="I482" i="10"/>
  <c r="N482" i="10" s="1"/>
  <c r="I483" i="10"/>
  <c r="N483" i="10" s="1"/>
  <c r="K483" i="10"/>
  <c r="M483" i="10"/>
  <c r="O490" i="9"/>
  <c r="C490" i="10" s="1"/>
  <c r="G490" i="9"/>
  <c r="N490" i="9"/>
  <c r="F490" i="9"/>
  <c r="A491" i="9"/>
  <c r="M490" i="9"/>
  <c r="E490" i="9"/>
  <c r="D490" i="9"/>
  <c r="K490" i="9"/>
  <c r="C490" i="9"/>
  <c r="B490" i="9"/>
  <c r="Q490" i="9"/>
  <c r="E490" i="10" s="1"/>
  <c r="P490" i="9"/>
  <c r="D490" i="10" s="1"/>
  <c r="I490" i="9"/>
  <c r="F490" i="10" s="1"/>
  <c r="H490" i="9"/>
  <c r="J490" i="9" s="1"/>
  <c r="L490" i="9" s="1"/>
  <c r="L489" i="9"/>
  <c r="O483" i="10" l="1"/>
  <c r="S483" i="10" s="1"/>
  <c r="U483" i="10" s="1"/>
  <c r="B483" i="19" s="1"/>
  <c r="O482" i="10"/>
  <c r="S482" i="10" s="1"/>
  <c r="U482" i="10" s="1"/>
  <c r="B482" i="19" s="1"/>
  <c r="T491" i="9"/>
  <c r="H491" i="10" s="1"/>
  <c r="S491" i="9"/>
  <c r="G491" i="10" s="1"/>
  <c r="A491" i="10"/>
  <c r="B490" i="10"/>
  <c r="J490" i="10"/>
  <c r="B489" i="10"/>
  <c r="R484" i="9"/>
  <c r="K491" i="9"/>
  <c r="C491" i="9"/>
  <c r="B491" i="9"/>
  <c r="Q491" i="9"/>
  <c r="E491" i="10" s="1"/>
  <c r="I491" i="9"/>
  <c r="F491" i="10" s="1"/>
  <c r="P491" i="9"/>
  <c r="D491" i="10" s="1"/>
  <c r="H491" i="9"/>
  <c r="J491" i="9" s="1"/>
  <c r="O491" i="9"/>
  <c r="C491" i="10" s="1"/>
  <c r="G491" i="9"/>
  <c r="N491" i="9"/>
  <c r="F491" i="9"/>
  <c r="M491" i="9"/>
  <c r="E491" i="9"/>
  <c r="D491" i="9"/>
  <c r="A492" i="9"/>
  <c r="J491" i="10" l="1"/>
  <c r="K484" i="10"/>
  <c r="M484" i="10"/>
  <c r="I484" i="10"/>
  <c r="N484" i="10" s="1"/>
  <c r="T492" i="9"/>
  <c r="H492" i="10" s="1"/>
  <c r="S492" i="9"/>
  <c r="G492" i="10" s="1"/>
  <c r="A492" i="10"/>
  <c r="P492" i="10" s="1"/>
  <c r="Q492" i="10" s="1"/>
  <c r="O492" i="9"/>
  <c r="C492" i="10" s="1"/>
  <c r="G492" i="9"/>
  <c r="N492" i="9"/>
  <c r="F492" i="9"/>
  <c r="A493" i="9"/>
  <c r="M492" i="9"/>
  <c r="E492" i="9"/>
  <c r="D492" i="9"/>
  <c r="K492" i="9"/>
  <c r="C492" i="9"/>
  <c r="B492" i="9"/>
  <c r="Q492" i="9"/>
  <c r="E492" i="10" s="1"/>
  <c r="P492" i="9"/>
  <c r="D492" i="10" s="1"/>
  <c r="I492" i="9"/>
  <c r="F492" i="10" s="1"/>
  <c r="H492" i="9"/>
  <c r="J492" i="9" s="1"/>
  <c r="L491" i="9"/>
  <c r="J492" i="10" l="1"/>
  <c r="T493" i="9"/>
  <c r="H493" i="10" s="1"/>
  <c r="P491" i="10" s="1"/>
  <c r="Q491" i="10" s="1"/>
  <c r="S493" i="9"/>
  <c r="G493" i="10" s="1"/>
  <c r="A493" i="10"/>
  <c r="P493" i="10" s="1"/>
  <c r="Q493" i="10" s="1"/>
  <c r="B491" i="10"/>
  <c r="O484" i="10"/>
  <c r="S484" i="10" s="1"/>
  <c r="U484" i="10" s="1"/>
  <c r="B484" i="19" s="1"/>
  <c r="K493" i="9"/>
  <c r="C493" i="9"/>
  <c r="B493" i="9"/>
  <c r="Q493" i="9"/>
  <c r="E493" i="10" s="1"/>
  <c r="I493" i="9"/>
  <c r="F493" i="10" s="1"/>
  <c r="P493" i="9"/>
  <c r="D493" i="10" s="1"/>
  <c r="H493" i="9"/>
  <c r="J493" i="9" s="1"/>
  <c r="O493" i="9"/>
  <c r="C493" i="10" s="1"/>
  <c r="G493" i="9"/>
  <c r="N493" i="9"/>
  <c r="F493" i="9"/>
  <c r="E493" i="9"/>
  <c r="D493" i="9"/>
  <c r="A494" i="9"/>
  <c r="M493" i="9"/>
  <c r="L492" i="9"/>
  <c r="T494" i="9" l="1"/>
  <c r="H494" i="10" s="1"/>
  <c r="S494" i="9"/>
  <c r="G494" i="10" s="1"/>
  <c r="A494" i="10"/>
  <c r="P494" i="10" s="1"/>
  <c r="Q494" i="10" s="1"/>
  <c r="R492" i="9"/>
  <c r="B492" i="10"/>
  <c r="R487" i="9"/>
  <c r="J493" i="10"/>
  <c r="O494" i="9"/>
  <c r="C494" i="10" s="1"/>
  <c r="G494" i="9"/>
  <c r="N494" i="9"/>
  <c r="F494" i="9"/>
  <c r="A495" i="9"/>
  <c r="M494" i="9"/>
  <c r="E494" i="9"/>
  <c r="D494" i="9"/>
  <c r="K494" i="9"/>
  <c r="C494" i="9"/>
  <c r="B494" i="9"/>
  <c r="Q494" i="9"/>
  <c r="E494" i="10" s="1"/>
  <c r="P494" i="9"/>
  <c r="D494" i="10" s="1"/>
  <c r="I494" i="9"/>
  <c r="F494" i="10" s="1"/>
  <c r="H494" i="9"/>
  <c r="J494" i="9" s="1"/>
  <c r="L493" i="9"/>
  <c r="T495" i="9" l="1"/>
  <c r="H495" i="10" s="1"/>
  <c r="S495" i="9"/>
  <c r="G495" i="10" s="1"/>
  <c r="A495" i="10"/>
  <c r="P495" i="10" s="1"/>
  <c r="Q495" i="10" s="1"/>
  <c r="I492" i="10"/>
  <c r="M492" i="10"/>
  <c r="K492" i="10"/>
  <c r="J494" i="10"/>
  <c r="R493" i="9"/>
  <c r="B493" i="10"/>
  <c r="R488" i="9"/>
  <c r="K487" i="10"/>
  <c r="I487" i="10"/>
  <c r="N487" i="10" s="1"/>
  <c r="M487" i="10"/>
  <c r="K495" i="9"/>
  <c r="C495" i="9"/>
  <c r="B495" i="9"/>
  <c r="Q495" i="9"/>
  <c r="E495" i="10" s="1"/>
  <c r="I495" i="9"/>
  <c r="F495" i="10" s="1"/>
  <c r="P495" i="9"/>
  <c r="D495" i="10" s="1"/>
  <c r="H495" i="9"/>
  <c r="J495" i="9" s="1"/>
  <c r="O495" i="9"/>
  <c r="C495" i="10" s="1"/>
  <c r="G495" i="9"/>
  <c r="N495" i="9"/>
  <c r="F495" i="9"/>
  <c r="A496" i="9"/>
  <c r="M495" i="9"/>
  <c r="E495" i="9"/>
  <c r="D495" i="9"/>
  <c r="L494" i="9"/>
  <c r="N492" i="10" l="1"/>
  <c r="O492" i="10"/>
  <c r="S492" i="10" s="1"/>
  <c r="U492" i="10" s="1"/>
  <c r="B492" i="19" s="1"/>
  <c r="J495" i="10"/>
  <c r="K488" i="10"/>
  <c r="M488" i="10"/>
  <c r="I488" i="10"/>
  <c r="N488" i="10" s="1"/>
  <c r="S496" i="9"/>
  <c r="G496" i="10" s="1"/>
  <c r="T496" i="9"/>
  <c r="H496" i="10" s="1"/>
  <c r="A496" i="10"/>
  <c r="B494" i="10"/>
  <c r="R489" i="9"/>
  <c r="O487" i="10"/>
  <c r="S487" i="10" s="1"/>
  <c r="U487" i="10" s="1"/>
  <c r="B487" i="19" s="1"/>
  <c r="I493" i="10"/>
  <c r="M493" i="10"/>
  <c r="K493" i="10"/>
  <c r="O496" i="9"/>
  <c r="C496" i="10" s="1"/>
  <c r="G496" i="9"/>
  <c r="N496" i="9"/>
  <c r="F496" i="9"/>
  <c r="A497" i="9"/>
  <c r="M496" i="9"/>
  <c r="E496" i="9"/>
  <c r="D496" i="9"/>
  <c r="K496" i="9"/>
  <c r="C496" i="9"/>
  <c r="B496" i="9"/>
  <c r="I496" i="9"/>
  <c r="F496" i="10" s="1"/>
  <c r="H496" i="9"/>
  <c r="J496" i="9" s="1"/>
  <c r="Q496" i="9"/>
  <c r="E496" i="10" s="1"/>
  <c r="P496" i="9"/>
  <c r="D496" i="10" s="1"/>
  <c r="L495" i="9"/>
  <c r="N493" i="10" l="1"/>
  <c r="P496" i="10"/>
  <c r="Q496" i="10" s="1"/>
  <c r="J496" i="10"/>
  <c r="O488" i="10"/>
  <c r="S488" i="10" s="1"/>
  <c r="U488" i="10" s="1"/>
  <c r="B488" i="19" s="1"/>
  <c r="M489" i="10"/>
  <c r="I489" i="10"/>
  <c r="N489" i="10" s="1"/>
  <c r="K489" i="10"/>
  <c r="B495" i="10"/>
  <c r="R490" i="9"/>
  <c r="S497" i="9"/>
  <c r="G497" i="10" s="1"/>
  <c r="T497" i="9"/>
  <c r="H497" i="10" s="1"/>
  <c r="A497" i="10"/>
  <c r="P497" i="10" s="1"/>
  <c r="Q497" i="10" s="1"/>
  <c r="O493" i="10"/>
  <c r="S493" i="10" s="1"/>
  <c r="U493" i="10" s="1"/>
  <c r="B493" i="19" s="1"/>
  <c r="K497" i="9"/>
  <c r="C497" i="9"/>
  <c r="B497" i="9"/>
  <c r="Q497" i="9"/>
  <c r="E497" i="10" s="1"/>
  <c r="I497" i="9"/>
  <c r="F497" i="10" s="1"/>
  <c r="P497" i="9"/>
  <c r="D497" i="10" s="1"/>
  <c r="H497" i="9"/>
  <c r="J497" i="9" s="1"/>
  <c r="O497" i="9"/>
  <c r="C497" i="10" s="1"/>
  <c r="G497" i="9"/>
  <c r="N497" i="9"/>
  <c r="F497" i="9"/>
  <c r="A498" i="9"/>
  <c r="M497" i="9"/>
  <c r="E497" i="9"/>
  <c r="D497" i="9"/>
  <c r="L496" i="9"/>
  <c r="J497" i="10" l="1"/>
  <c r="O489" i="10"/>
  <c r="S489" i="10" s="1"/>
  <c r="U489" i="10" s="1"/>
  <c r="B489" i="19" s="1"/>
  <c r="S498" i="9"/>
  <c r="G498" i="10" s="1"/>
  <c r="T498" i="9"/>
  <c r="H498" i="10" s="1"/>
  <c r="A498" i="10"/>
  <c r="I490" i="10"/>
  <c r="K490" i="10"/>
  <c r="M490" i="10"/>
  <c r="B496" i="10"/>
  <c r="R491" i="9"/>
  <c r="O498" i="9"/>
  <c r="C498" i="10" s="1"/>
  <c r="G498" i="9"/>
  <c r="N498" i="9"/>
  <c r="F498" i="9"/>
  <c r="A499" i="9"/>
  <c r="M498" i="9"/>
  <c r="E498" i="9"/>
  <c r="D498" i="9"/>
  <c r="K498" i="9"/>
  <c r="C498" i="9"/>
  <c r="B498" i="9"/>
  <c r="Q498" i="9"/>
  <c r="E498" i="10" s="1"/>
  <c r="P498" i="9"/>
  <c r="D498" i="10" s="1"/>
  <c r="I498" i="9"/>
  <c r="F498" i="10" s="1"/>
  <c r="H498" i="9"/>
  <c r="J498" i="9" s="1"/>
  <c r="L497" i="9"/>
  <c r="N490" i="10" l="1"/>
  <c r="T499" i="9"/>
  <c r="H499" i="10" s="1"/>
  <c r="S499" i="9"/>
  <c r="G499" i="10" s="1"/>
  <c r="A499" i="10"/>
  <c r="P499" i="10" s="1"/>
  <c r="Q499" i="10" s="1"/>
  <c r="J498" i="10"/>
  <c r="B497" i="10"/>
  <c r="I491" i="10"/>
  <c r="N491" i="10" s="1"/>
  <c r="M491" i="10"/>
  <c r="K491" i="10"/>
  <c r="O490" i="10"/>
  <c r="S490" i="10" s="1"/>
  <c r="U490" i="10" s="1"/>
  <c r="B490" i="19" s="1"/>
  <c r="K499" i="9"/>
  <c r="C499" i="9"/>
  <c r="B499" i="9"/>
  <c r="Q499" i="9"/>
  <c r="E499" i="10" s="1"/>
  <c r="I499" i="9"/>
  <c r="F499" i="10" s="1"/>
  <c r="P499" i="9"/>
  <c r="D499" i="10" s="1"/>
  <c r="H499" i="9"/>
  <c r="J499" i="9" s="1"/>
  <c r="O499" i="9"/>
  <c r="C499" i="10" s="1"/>
  <c r="G499" i="9"/>
  <c r="N499" i="9"/>
  <c r="F499" i="9"/>
  <c r="M499" i="9"/>
  <c r="E499" i="9"/>
  <c r="D499" i="9"/>
  <c r="A500" i="9"/>
  <c r="L498" i="9"/>
  <c r="J499" i="10" l="1"/>
  <c r="B498" i="10"/>
  <c r="O491" i="10"/>
  <c r="S491" i="10" s="1"/>
  <c r="U491" i="10" s="1"/>
  <c r="B491" i="19" s="1"/>
  <c r="T500" i="9"/>
  <c r="H500" i="10" s="1"/>
  <c r="P498" i="10" s="1"/>
  <c r="Q498" i="10" s="1"/>
  <c r="S500" i="9"/>
  <c r="G500" i="10" s="1"/>
  <c r="A500" i="10"/>
  <c r="P500" i="10" s="1"/>
  <c r="Q500" i="10" s="1"/>
  <c r="O500" i="9"/>
  <c r="C500" i="10" s="1"/>
  <c r="G500" i="9"/>
  <c r="N500" i="9"/>
  <c r="F500" i="9"/>
  <c r="A501" i="9"/>
  <c r="M500" i="9"/>
  <c r="E500" i="9"/>
  <c r="D500" i="9"/>
  <c r="K500" i="9"/>
  <c r="C500" i="9"/>
  <c r="B500" i="9"/>
  <c r="Q500" i="9"/>
  <c r="E500" i="10" s="1"/>
  <c r="P500" i="9"/>
  <c r="D500" i="10" s="1"/>
  <c r="I500" i="9"/>
  <c r="F500" i="10" s="1"/>
  <c r="H500" i="9"/>
  <c r="J500" i="9" s="1"/>
  <c r="L499" i="9"/>
  <c r="T501" i="9" l="1"/>
  <c r="H501" i="10" s="1"/>
  <c r="S501" i="9"/>
  <c r="G501" i="10" s="1"/>
  <c r="A501" i="10"/>
  <c r="P501" i="10" s="1"/>
  <c r="Q501" i="10" s="1"/>
  <c r="J500" i="10"/>
  <c r="R499" i="9"/>
  <c r="B499" i="10"/>
  <c r="R494" i="9"/>
  <c r="K501" i="9"/>
  <c r="C501" i="9"/>
  <c r="B501" i="9"/>
  <c r="Q501" i="9"/>
  <c r="E501" i="10" s="1"/>
  <c r="I501" i="9"/>
  <c r="F501" i="10" s="1"/>
  <c r="P501" i="9"/>
  <c r="D501" i="10" s="1"/>
  <c r="H501" i="9"/>
  <c r="J501" i="9" s="1"/>
  <c r="O501" i="9"/>
  <c r="C501" i="10" s="1"/>
  <c r="G501" i="9"/>
  <c r="N501" i="9"/>
  <c r="F501" i="9"/>
  <c r="E501" i="9"/>
  <c r="D501" i="9"/>
  <c r="A502" i="9"/>
  <c r="M501" i="9"/>
  <c r="L500" i="9"/>
  <c r="J501" i="10" l="1"/>
  <c r="I494" i="10"/>
  <c r="N494" i="10" s="1"/>
  <c r="M494" i="10"/>
  <c r="K494" i="10"/>
  <c r="R500" i="9"/>
  <c r="B500" i="10"/>
  <c r="R495" i="9"/>
  <c r="S502" i="9"/>
  <c r="G502" i="10" s="1"/>
  <c r="T502" i="9"/>
  <c r="H502" i="10" s="1"/>
  <c r="A502" i="10"/>
  <c r="P502" i="10" s="1"/>
  <c r="Q502" i="10" s="1"/>
  <c r="K499" i="10"/>
  <c r="I499" i="10"/>
  <c r="M499" i="10"/>
  <c r="O502" i="9"/>
  <c r="C502" i="10" s="1"/>
  <c r="G502" i="9"/>
  <c r="N502" i="9"/>
  <c r="F502" i="9"/>
  <c r="A503" i="9"/>
  <c r="M502" i="9"/>
  <c r="E502" i="9"/>
  <c r="D502" i="9"/>
  <c r="K502" i="9"/>
  <c r="C502" i="9"/>
  <c r="B502" i="9"/>
  <c r="Q502" i="9"/>
  <c r="E502" i="10" s="1"/>
  <c r="P502" i="9"/>
  <c r="D502" i="10" s="1"/>
  <c r="I502" i="9"/>
  <c r="F502" i="10" s="1"/>
  <c r="H502" i="9"/>
  <c r="J502" i="9" s="1"/>
  <c r="L501" i="9"/>
  <c r="N499" i="10" l="1"/>
  <c r="J502" i="10"/>
  <c r="K495" i="10"/>
  <c r="I495" i="10"/>
  <c r="M495" i="10"/>
  <c r="T503" i="9"/>
  <c r="H503" i="10" s="1"/>
  <c r="S503" i="9"/>
  <c r="G503" i="10" s="1"/>
  <c r="A503" i="10"/>
  <c r="P503" i="10" s="1"/>
  <c r="Q503" i="10" s="1"/>
  <c r="B501" i="10"/>
  <c r="R496" i="9"/>
  <c r="I500" i="10"/>
  <c r="K500" i="10"/>
  <c r="M500" i="10"/>
  <c r="O494" i="10"/>
  <c r="S494" i="10" s="1"/>
  <c r="U494" i="10" s="1"/>
  <c r="B494" i="19" s="1"/>
  <c r="O499" i="10"/>
  <c r="S499" i="10" s="1"/>
  <c r="U499" i="10" s="1"/>
  <c r="B499" i="19" s="1"/>
  <c r="K503" i="9"/>
  <c r="C503" i="9"/>
  <c r="B503" i="9"/>
  <c r="Q503" i="9"/>
  <c r="E503" i="10" s="1"/>
  <c r="I503" i="9"/>
  <c r="F503" i="10" s="1"/>
  <c r="P503" i="9"/>
  <c r="D503" i="10" s="1"/>
  <c r="H503" i="9"/>
  <c r="J503" i="9" s="1"/>
  <c r="O503" i="9"/>
  <c r="C503" i="10" s="1"/>
  <c r="G503" i="9"/>
  <c r="N503" i="9"/>
  <c r="F503" i="9"/>
  <c r="A504" i="9"/>
  <c r="M503" i="9"/>
  <c r="E503" i="9"/>
  <c r="D503" i="9"/>
  <c r="L502" i="9"/>
  <c r="N495" i="10" l="1"/>
  <c r="N500" i="10"/>
  <c r="O500" i="10" s="1"/>
  <c r="S500" i="10" s="1"/>
  <c r="U500" i="10" s="1"/>
  <c r="B500" i="19" s="1"/>
  <c r="O495" i="10"/>
  <c r="S495" i="10" s="1"/>
  <c r="U495" i="10" s="1"/>
  <c r="B495" i="19" s="1"/>
  <c r="J503" i="10"/>
  <c r="S504" i="9"/>
  <c r="G504" i="10" s="1"/>
  <c r="T504" i="9"/>
  <c r="H504" i="10" s="1"/>
  <c r="A504" i="10"/>
  <c r="P504" i="10" s="1"/>
  <c r="Q504" i="10" s="1"/>
  <c r="M496" i="10"/>
  <c r="K496" i="10"/>
  <c r="I496" i="10"/>
  <c r="B502" i="10"/>
  <c r="R497" i="9"/>
  <c r="O504" i="9"/>
  <c r="C504" i="10" s="1"/>
  <c r="G504" i="9"/>
  <c r="N504" i="9"/>
  <c r="F504" i="9"/>
  <c r="A505" i="9"/>
  <c r="M504" i="9"/>
  <c r="E504" i="9"/>
  <c r="D504" i="9"/>
  <c r="K504" i="9"/>
  <c r="C504" i="9"/>
  <c r="B504" i="9"/>
  <c r="I504" i="9"/>
  <c r="F504" i="10" s="1"/>
  <c r="H504" i="9"/>
  <c r="J504" i="9" s="1"/>
  <c r="Q504" i="9"/>
  <c r="E504" i="10" s="1"/>
  <c r="P504" i="9"/>
  <c r="D504" i="10" s="1"/>
  <c r="L503" i="9"/>
  <c r="N496" i="10" l="1"/>
  <c r="O496" i="10" s="1"/>
  <c r="S496" i="10" s="1"/>
  <c r="U496" i="10" s="1"/>
  <c r="B496" i="19" s="1"/>
  <c r="J504" i="10"/>
  <c r="M497" i="10"/>
  <c r="K497" i="10"/>
  <c r="I497" i="10"/>
  <c r="N497" i="10" s="1"/>
  <c r="B503" i="10"/>
  <c r="R498" i="9"/>
  <c r="L504" i="9"/>
  <c r="T505" i="9"/>
  <c r="H505" i="10" s="1"/>
  <c r="S505" i="9"/>
  <c r="G505" i="10" s="1"/>
  <c r="A505" i="10"/>
  <c r="K505" i="9"/>
  <c r="C505" i="9"/>
  <c r="B505" i="9"/>
  <c r="Q505" i="9"/>
  <c r="E505" i="10" s="1"/>
  <c r="I505" i="9"/>
  <c r="F505" i="10" s="1"/>
  <c r="P505" i="9"/>
  <c r="D505" i="10" s="1"/>
  <c r="H505" i="9"/>
  <c r="J505" i="9" s="1"/>
  <c r="O505" i="9"/>
  <c r="C505" i="10" s="1"/>
  <c r="G505" i="9"/>
  <c r="N505" i="9"/>
  <c r="F505" i="9"/>
  <c r="A506" i="9"/>
  <c r="M505" i="9"/>
  <c r="E505" i="9"/>
  <c r="D505" i="9"/>
  <c r="J505" i="10" l="1"/>
  <c r="O497" i="10"/>
  <c r="S497" i="10" s="1"/>
  <c r="U497" i="10" s="1"/>
  <c r="B497" i="19" s="1"/>
  <c r="M498" i="10"/>
  <c r="K498" i="10"/>
  <c r="I498" i="10"/>
  <c r="B504" i="10"/>
  <c r="T506" i="9"/>
  <c r="H506" i="10" s="1"/>
  <c r="S506" i="9"/>
  <c r="G506" i="10" s="1"/>
  <c r="A506" i="10"/>
  <c r="P506" i="10" s="1"/>
  <c r="Q506" i="10" s="1"/>
  <c r="O506" i="9"/>
  <c r="C506" i="10" s="1"/>
  <c r="G506" i="9"/>
  <c r="N506" i="9"/>
  <c r="F506" i="9"/>
  <c r="A507" i="9"/>
  <c r="M506" i="9"/>
  <c r="E506" i="9"/>
  <c r="D506" i="9"/>
  <c r="K506" i="9"/>
  <c r="C506" i="9"/>
  <c r="B506" i="9"/>
  <c r="Q506" i="9"/>
  <c r="E506" i="10" s="1"/>
  <c r="P506" i="9"/>
  <c r="D506" i="10" s="1"/>
  <c r="I506" i="9"/>
  <c r="F506" i="10" s="1"/>
  <c r="H506" i="9"/>
  <c r="J506" i="9" s="1"/>
  <c r="L505" i="9"/>
  <c r="N498" i="10" l="1"/>
  <c r="J506" i="10"/>
  <c r="B505" i="10"/>
  <c r="O498" i="10"/>
  <c r="S498" i="10" s="1"/>
  <c r="U498" i="10" s="1"/>
  <c r="B498" i="19" s="1"/>
  <c r="T507" i="9"/>
  <c r="H507" i="10" s="1"/>
  <c r="P505" i="10" s="1"/>
  <c r="Q505" i="10" s="1"/>
  <c r="S507" i="9"/>
  <c r="G507" i="10" s="1"/>
  <c r="A507" i="10"/>
  <c r="P507" i="10" s="1"/>
  <c r="Q507" i="10" s="1"/>
  <c r="K507" i="9"/>
  <c r="C507" i="9"/>
  <c r="B507" i="9"/>
  <c r="Q507" i="9"/>
  <c r="E507" i="10" s="1"/>
  <c r="I507" i="9"/>
  <c r="F507" i="10" s="1"/>
  <c r="P507" i="9"/>
  <c r="D507" i="10" s="1"/>
  <c r="H507" i="9"/>
  <c r="J507" i="9" s="1"/>
  <c r="O507" i="9"/>
  <c r="C507" i="10" s="1"/>
  <c r="G507" i="9"/>
  <c r="N507" i="9"/>
  <c r="F507" i="9"/>
  <c r="M507" i="9"/>
  <c r="E507" i="9"/>
  <c r="D507" i="9"/>
  <c r="A508" i="9"/>
  <c r="L506" i="9"/>
  <c r="R506" i="9" l="1"/>
  <c r="B506" i="10"/>
  <c r="R501" i="9"/>
  <c r="J507" i="10"/>
  <c r="T508" i="9"/>
  <c r="H508" i="10" s="1"/>
  <c r="S508" i="9"/>
  <c r="G508" i="10" s="1"/>
  <c r="A508" i="10"/>
  <c r="P508" i="10" s="1"/>
  <c r="Q508" i="10" s="1"/>
  <c r="O508" i="9"/>
  <c r="C508" i="10" s="1"/>
  <c r="G508" i="9"/>
  <c r="N508" i="9"/>
  <c r="F508" i="9"/>
  <c r="A509" i="9"/>
  <c r="M508" i="9"/>
  <c r="E508" i="9"/>
  <c r="D508" i="9"/>
  <c r="K508" i="9"/>
  <c r="C508" i="9"/>
  <c r="B508" i="9"/>
  <c r="Q508" i="9"/>
  <c r="E508" i="10" s="1"/>
  <c r="P508" i="9"/>
  <c r="D508" i="10" s="1"/>
  <c r="I508" i="9"/>
  <c r="F508" i="10" s="1"/>
  <c r="H508" i="9"/>
  <c r="J508" i="9" s="1"/>
  <c r="L507" i="9"/>
  <c r="T509" i="9" l="1"/>
  <c r="H509" i="10" s="1"/>
  <c r="S509" i="9"/>
  <c r="G509" i="10" s="1"/>
  <c r="A509" i="10"/>
  <c r="P509" i="10" s="1"/>
  <c r="Q509" i="10" s="1"/>
  <c r="J508" i="10"/>
  <c r="R507" i="9"/>
  <c r="B507" i="10"/>
  <c r="R502" i="9"/>
  <c r="K501" i="10"/>
  <c r="I501" i="10"/>
  <c r="M501" i="10"/>
  <c r="M506" i="10"/>
  <c r="I506" i="10"/>
  <c r="K506" i="10"/>
  <c r="K509" i="9"/>
  <c r="C509" i="9"/>
  <c r="B509" i="9"/>
  <c r="Q509" i="9"/>
  <c r="E509" i="10" s="1"/>
  <c r="I509" i="9"/>
  <c r="F509" i="10" s="1"/>
  <c r="P509" i="9"/>
  <c r="D509" i="10" s="1"/>
  <c r="H509" i="9"/>
  <c r="J509" i="9" s="1"/>
  <c r="O509" i="9"/>
  <c r="C509" i="10" s="1"/>
  <c r="G509" i="9"/>
  <c r="N509" i="9"/>
  <c r="F509" i="9"/>
  <c r="E509" i="9"/>
  <c r="D509" i="9"/>
  <c r="A510" i="9"/>
  <c r="M509" i="9"/>
  <c r="L508" i="9"/>
  <c r="N506" i="10" l="1"/>
  <c r="N501" i="10"/>
  <c r="O501" i="10"/>
  <c r="S501" i="10" s="1"/>
  <c r="U501" i="10" s="1"/>
  <c r="B501" i="19" s="1"/>
  <c r="J509" i="10"/>
  <c r="B508" i="10"/>
  <c r="R503" i="9"/>
  <c r="O506" i="10"/>
  <c r="S506" i="10" s="1"/>
  <c r="U506" i="10" s="1"/>
  <c r="B506" i="19" s="1"/>
  <c r="M502" i="10"/>
  <c r="I502" i="10"/>
  <c r="K502" i="10"/>
  <c r="K507" i="10"/>
  <c r="I507" i="10"/>
  <c r="M507" i="10"/>
  <c r="T510" i="9"/>
  <c r="H510" i="10" s="1"/>
  <c r="S510" i="9"/>
  <c r="G510" i="10" s="1"/>
  <c r="A510" i="10"/>
  <c r="P510" i="10" s="1"/>
  <c r="Q510" i="10" s="1"/>
  <c r="O510" i="9"/>
  <c r="C510" i="10" s="1"/>
  <c r="G510" i="9"/>
  <c r="N510" i="9"/>
  <c r="F510" i="9"/>
  <c r="A511" i="9"/>
  <c r="M510" i="9"/>
  <c r="E510" i="9"/>
  <c r="D510" i="9"/>
  <c r="K510" i="9"/>
  <c r="C510" i="9"/>
  <c r="B510" i="9"/>
  <c r="Q510" i="9"/>
  <c r="E510" i="10" s="1"/>
  <c r="P510" i="9"/>
  <c r="D510" i="10" s="1"/>
  <c r="I510" i="9"/>
  <c r="F510" i="10" s="1"/>
  <c r="H510" i="9"/>
  <c r="J510" i="9" s="1"/>
  <c r="L509" i="9"/>
  <c r="N507" i="10" l="1"/>
  <c r="N502" i="10"/>
  <c r="O502" i="10" s="1"/>
  <c r="S502" i="10" s="1"/>
  <c r="U502" i="10" s="1"/>
  <c r="B502" i="19" s="1"/>
  <c r="O507" i="10"/>
  <c r="S507" i="10" s="1"/>
  <c r="U507" i="10" s="1"/>
  <c r="B507" i="19" s="1"/>
  <c r="M503" i="10"/>
  <c r="K503" i="10"/>
  <c r="I503" i="10"/>
  <c r="J510" i="10"/>
  <c r="B509" i="10"/>
  <c r="R504" i="9"/>
  <c r="T511" i="9"/>
  <c r="H511" i="10" s="1"/>
  <c r="S511" i="9"/>
  <c r="G511" i="10" s="1"/>
  <c r="A511" i="10"/>
  <c r="P511" i="10" s="1"/>
  <c r="Q511" i="10" s="1"/>
  <c r="K511" i="9"/>
  <c r="C511" i="9"/>
  <c r="B511" i="9"/>
  <c r="Q511" i="9"/>
  <c r="E511" i="10" s="1"/>
  <c r="I511" i="9"/>
  <c r="F511" i="10" s="1"/>
  <c r="P511" i="9"/>
  <c r="D511" i="10" s="1"/>
  <c r="H511" i="9"/>
  <c r="J511" i="9" s="1"/>
  <c r="O511" i="9"/>
  <c r="C511" i="10" s="1"/>
  <c r="J511" i="10" s="1"/>
  <c r="G511" i="9"/>
  <c r="N511" i="9"/>
  <c r="F511" i="9"/>
  <c r="A512" i="9"/>
  <c r="M511" i="9"/>
  <c r="D511" i="9"/>
  <c r="E511" i="9"/>
  <c r="L510" i="9"/>
  <c r="N503" i="10" l="1"/>
  <c r="O503" i="10"/>
  <c r="S503" i="10" s="1"/>
  <c r="U503" i="10" s="1"/>
  <c r="B503" i="19" s="1"/>
  <c r="I504" i="10"/>
  <c r="M504" i="10"/>
  <c r="K504" i="10"/>
  <c r="S512" i="9"/>
  <c r="G512" i="10" s="1"/>
  <c r="T512" i="9"/>
  <c r="H512" i="10" s="1"/>
  <c r="A512" i="10"/>
  <c r="B510" i="10"/>
  <c r="R505" i="9"/>
  <c r="O512" i="9"/>
  <c r="C512" i="10" s="1"/>
  <c r="G512" i="9"/>
  <c r="N512" i="9"/>
  <c r="F512" i="9"/>
  <c r="A513" i="9"/>
  <c r="M512" i="9"/>
  <c r="E512" i="9"/>
  <c r="D512" i="9"/>
  <c r="K512" i="9"/>
  <c r="C512" i="9"/>
  <c r="B512" i="9"/>
  <c r="I512" i="9"/>
  <c r="F512" i="10" s="1"/>
  <c r="H512" i="9"/>
  <c r="J512" i="9" s="1"/>
  <c r="Q512" i="9"/>
  <c r="E512" i="10" s="1"/>
  <c r="P512" i="9"/>
  <c r="D512" i="10" s="1"/>
  <c r="L511" i="9"/>
  <c r="N504" i="10" l="1"/>
  <c r="B511" i="10"/>
  <c r="J512" i="10"/>
  <c r="K505" i="10"/>
  <c r="M505" i="10"/>
  <c r="I505" i="10"/>
  <c r="N505" i="10" s="1"/>
  <c r="S513" i="9"/>
  <c r="G513" i="10" s="1"/>
  <c r="T513" i="9"/>
  <c r="H513" i="10" s="1"/>
  <c r="A513" i="10"/>
  <c r="P513" i="10" s="1"/>
  <c r="Q513" i="10" s="1"/>
  <c r="O504" i="10"/>
  <c r="S504" i="10" s="1"/>
  <c r="U504" i="10" s="1"/>
  <c r="B504" i="19" s="1"/>
  <c r="K513" i="9"/>
  <c r="C513" i="9"/>
  <c r="B513" i="9"/>
  <c r="Q513" i="9"/>
  <c r="E513" i="10" s="1"/>
  <c r="I513" i="9"/>
  <c r="F513" i="10" s="1"/>
  <c r="P513" i="9"/>
  <c r="D513" i="10" s="1"/>
  <c r="H513" i="9"/>
  <c r="J513" i="9" s="1"/>
  <c r="O513" i="9"/>
  <c r="C513" i="10" s="1"/>
  <c r="G513" i="9"/>
  <c r="N513" i="9"/>
  <c r="F513" i="9"/>
  <c r="A514" i="9"/>
  <c r="M513" i="9"/>
  <c r="E513" i="9"/>
  <c r="D513" i="9"/>
  <c r="L512" i="9"/>
  <c r="J513" i="10" l="1"/>
  <c r="O505" i="10"/>
  <c r="S505" i="10" s="1"/>
  <c r="U505" i="10" s="1"/>
  <c r="B505" i="19" s="1"/>
  <c r="B512" i="10"/>
  <c r="S514" i="9"/>
  <c r="G514" i="10" s="1"/>
  <c r="T514" i="9"/>
  <c r="H514" i="10" s="1"/>
  <c r="A514" i="10"/>
  <c r="P514" i="10" s="1"/>
  <c r="Q514" i="10" s="1"/>
  <c r="O514" i="9"/>
  <c r="C514" i="10" s="1"/>
  <c r="G514" i="9"/>
  <c r="N514" i="9"/>
  <c r="F514" i="9"/>
  <c r="A515" i="9"/>
  <c r="M514" i="9"/>
  <c r="E514" i="9"/>
  <c r="D514" i="9"/>
  <c r="K514" i="9"/>
  <c r="C514" i="9"/>
  <c r="B514" i="9"/>
  <c r="Q514" i="9"/>
  <c r="E514" i="10" s="1"/>
  <c r="P514" i="9"/>
  <c r="D514" i="10" s="1"/>
  <c r="I514" i="9"/>
  <c r="F514" i="10" s="1"/>
  <c r="H514" i="9"/>
  <c r="J514" i="9" s="1"/>
  <c r="L513" i="9"/>
  <c r="R513" i="9" l="1"/>
  <c r="B513" i="10"/>
  <c r="R508" i="9"/>
  <c r="T515" i="9"/>
  <c r="H515" i="10" s="1"/>
  <c r="S515" i="9"/>
  <c r="G515" i="10" s="1"/>
  <c r="A515" i="10"/>
  <c r="P515" i="10" s="1"/>
  <c r="Q515" i="10" s="1"/>
  <c r="J514" i="10"/>
  <c r="K515" i="9"/>
  <c r="C515" i="9"/>
  <c r="B515" i="9"/>
  <c r="Q515" i="9"/>
  <c r="E515" i="10" s="1"/>
  <c r="I515" i="9"/>
  <c r="F515" i="10" s="1"/>
  <c r="P515" i="9"/>
  <c r="D515" i="10" s="1"/>
  <c r="H515" i="9"/>
  <c r="J515" i="9" s="1"/>
  <c r="O515" i="9"/>
  <c r="C515" i="10" s="1"/>
  <c r="G515" i="9"/>
  <c r="N515" i="9"/>
  <c r="F515" i="9"/>
  <c r="M515" i="9"/>
  <c r="E515" i="9"/>
  <c r="D515" i="9"/>
  <c r="A516" i="9"/>
  <c r="L514" i="9"/>
  <c r="J515" i="10" l="1"/>
  <c r="K508" i="10"/>
  <c r="I508" i="10"/>
  <c r="N508" i="10" s="1"/>
  <c r="M508" i="10"/>
  <c r="R514" i="9"/>
  <c r="B514" i="10"/>
  <c r="R509" i="9"/>
  <c r="T516" i="9"/>
  <c r="H516" i="10" s="1"/>
  <c r="P512" i="10" s="1"/>
  <c r="Q512" i="10" s="1"/>
  <c r="S516" i="9"/>
  <c r="G516" i="10" s="1"/>
  <c r="A516" i="10"/>
  <c r="P516" i="10" s="1"/>
  <c r="Q516" i="10" s="1"/>
  <c r="I513" i="10"/>
  <c r="M513" i="10"/>
  <c r="K513" i="10"/>
  <c r="O516" i="9"/>
  <c r="C516" i="10" s="1"/>
  <c r="G516" i="9"/>
  <c r="N516" i="9"/>
  <c r="F516" i="9"/>
  <c r="A517" i="9"/>
  <c r="M516" i="9"/>
  <c r="E516" i="9"/>
  <c r="D516" i="9"/>
  <c r="K516" i="9"/>
  <c r="C516" i="9"/>
  <c r="B516" i="9"/>
  <c r="Q516" i="9"/>
  <c r="E516" i="10" s="1"/>
  <c r="P516" i="9"/>
  <c r="D516" i="10" s="1"/>
  <c r="I516" i="9"/>
  <c r="F516" i="10" s="1"/>
  <c r="H516" i="9"/>
  <c r="J516" i="9" s="1"/>
  <c r="L515" i="9"/>
  <c r="N513" i="10" l="1"/>
  <c r="T517" i="9"/>
  <c r="H517" i="10" s="1"/>
  <c r="S517" i="9"/>
  <c r="G517" i="10" s="1"/>
  <c r="A517" i="10"/>
  <c r="P517" i="10" s="1"/>
  <c r="Q517" i="10" s="1"/>
  <c r="O513" i="10"/>
  <c r="S513" i="10" s="1"/>
  <c r="U513" i="10" s="1"/>
  <c r="B513" i="19" s="1"/>
  <c r="J516" i="10"/>
  <c r="O508" i="10"/>
  <c r="S508" i="10" s="1"/>
  <c r="U508" i="10" s="1"/>
  <c r="B508" i="19" s="1"/>
  <c r="M509" i="10"/>
  <c r="I509" i="10"/>
  <c r="K509" i="10"/>
  <c r="R515" i="9"/>
  <c r="B515" i="10"/>
  <c r="R510" i="9"/>
  <c r="K514" i="10"/>
  <c r="I514" i="10"/>
  <c r="N514" i="10" s="1"/>
  <c r="M514" i="10"/>
  <c r="K517" i="9"/>
  <c r="C517" i="9"/>
  <c r="B517" i="9"/>
  <c r="Q517" i="9"/>
  <c r="E517" i="10" s="1"/>
  <c r="I517" i="9"/>
  <c r="F517" i="10" s="1"/>
  <c r="P517" i="9"/>
  <c r="D517" i="10" s="1"/>
  <c r="H517" i="9"/>
  <c r="J517" i="9" s="1"/>
  <c r="O517" i="9"/>
  <c r="C517" i="10" s="1"/>
  <c r="G517" i="9"/>
  <c r="N517" i="9"/>
  <c r="F517" i="9"/>
  <c r="E517" i="9"/>
  <c r="D517" i="9"/>
  <c r="A518" i="9"/>
  <c r="M517" i="9"/>
  <c r="L516" i="9"/>
  <c r="N509" i="10" l="1"/>
  <c r="I515" i="10"/>
  <c r="M515" i="10"/>
  <c r="K515" i="10"/>
  <c r="O509" i="10"/>
  <c r="S509" i="10" s="1"/>
  <c r="U509" i="10" s="1"/>
  <c r="B509" i="19" s="1"/>
  <c r="R516" i="9"/>
  <c r="B516" i="10"/>
  <c r="R511" i="9"/>
  <c r="J517" i="10"/>
  <c r="T518" i="9"/>
  <c r="H518" i="10" s="1"/>
  <c r="S518" i="9"/>
  <c r="G518" i="10" s="1"/>
  <c r="A518" i="10"/>
  <c r="O514" i="10"/>
  <c r="S514" i="10" s="1"/>
  <c r="U514" i="10" s="1"/>
  <c r="B514" i="19" s="1"/>
  <c r="K510" i="10"/>
  <c r="M510" i="10"/>
  <c r="I510" i="10"/>
  <c r="N510" i="10" s="1"/>
  <c r="O518" i="9"/>
  <c r="C518" i="10" s="1"/>
  <c r="G518" i="9"/>
  <c r="N518" i="9"/>
  <c r="F518" i="9"/>
  <c r="A519" i="9"/>
  <c r="M518" i="9"/>
  <c r="E518" i="9"/>
  <c r="D518" i="9"/>
  <c r="K518" i="9"/>
  <c r="C518" i="9"/>
  <c r="B518" i="9"/>
  <c r="Q518" i="9"/>
  <c r="E518" i="10" s="1"/>
  <c r="P518" i="9"/>
  <c r="D518" i="10" s="1"/>
  <c r="I518" i="9"/>
  <c r="F518" i="10" s="1"/>
  <c r="H518" i="9"/>
  <c r="J518" i="9" s="1"/>
  <c r="L517" i="9"/>
  <c r="N515" i="10" l="1"/>
  <c r="P518" i="10"/>
  <c r="Q518" i="10" s="1"/>
  <c r="O510" i="10"/>
  <c r="S510" i="10" s="1"/>
  <c r="U510" i="10" s="1"/>
  <c r="B510" i="19" s="1"/>
  <c r="M511" i="10"/>
  <c r="K511" i="10"/>
  <c r="I511" i="10"/>
  <c r="N511" i="10" s="1"/>
  <c r="T519" i="9"/>
  <c r="H519" i="10" s="1"/>
  <c r="S519" i="9"/>
  <c r="G519" i="10" s="1"/>
  <c r="A519" i="10"/>
  <c r="J518" i="10"/>
  <c r="M516" i="10"/>
  <c r="K516" i="10"/>
  <c r="I516" i="10"/>
  <c r="N516" i="10" s="1"/>
  <c r="B517" i="10"/>
  <c r="R512" i="9"/>
  <c r="O515" i="10"/>
  <c r="S515" i="10" s="1"/>
  <c r="U515" i="10" s="1"/>
  <c r="B515" i="19" s="1"/>
  <c r="K519" i="9"/>
  <c r="C519" i="9"/>
  <c r="B519" i="9"/>
  <c r="Q519" i="9"/>
  <c r="E519" i="10" s="1"/>
  <c r="I519" i="9"/>
  <c r="F519" i="10" s="1"/>
  <c r="P519" i="9"/>
  <c r="D519" i="10" s="1"/>
  <c r="H519" i="9"/>
  <c r="J519" i="9" s="1"/>
  <c r="O519" i="9"/>
  <c r="C519" i="10" s="1"/>
  <c r="G519" i="9"/>
  <c r="N519" i="9"/>
  <c r="F519" i="9"/>
  <c r="A520" i="9"/>
  <c r="M519" i="9"/>
  <c r="E519" i="9"/>
  <c r="D519" i="9"/>
  <c r="L518" i="9"/>
  <c r="J519" i="10" l="1"/>
  <c r="O516" i="10"/>
  <c r="S516" i="10" s="1"/>
  <c r="U516" i="10" s="1"/>
  <c r="B516" i="19" s="1"/>
  <c r="O511" i="10"/>
  <c r="S511" i="10" s="1"/>
  <c r="U511" i="10" s="1"/>
  <c r="B511" i="19" s="1"/>
  <c r="S520" i="9"/>
  <c r="G520" i="10" s="1"/>
  <c r="T520" i="9"/>
  <c r="H520" i="10" s="1"/>
  <c r="A520" i="10"/>
  <c r="P520" i="10" s="1"/>
  <c r="Q520" i="10" s="1"/>
  <c r="B518" i="10"/>
  <c r="K512" i="10"/>
  <c r="M512" i="10"/>
  <c r="I512" i="10"/>
  <c r="N512" i="10" s="1"/>
  <c r="O520" i="9"/>
  <c r="C520" i="10" s="1"/>
  <c r="G520" i="9"/>
  <c r="N520" i="9"/>
  <c r="F520" i="9"/>
  <c r="A521" i="9"/>
  <c r="M520" i="9"/>
  <c r="E520" i="9"/>
  <c r="D520" i="9"/>
  <c r="K520" i="9"/>
  <c r="C520" i="9"/>
  <c r="B520" i="9"/>
  <c r="I520" i="9"/>
  <c r="F520" i="10" s="1"/>
  <c r="H520" i="9"/>
  <c r="J520" i="9" s="1"/>
  <c r="Q520" i="9"/>
  <c r="E520" i="10" s="1"/>
  <c r="P520" i="9"/>
  <c r="D520" i="10" s="1"/>
  <c r="L519" i="9"/>
  <c r="J520" i="10" l="1"/>
  <c r="O512" i="10"/>
  <c r="S512" i="10" s="1"/>
  <c r="U512" i="10" s="1"/>
  <c r="B512" i="19" s="1"/>
  <c r="B519" i="10"/>
  <c r="L520" i="9"/>
  <c r="T521" i="9"/>
  <c r="H521" i="10" s="1"/>
  <c r="S521" i="9"/>
  <c r="G521" i="10" s="1"/>
  <c r="A521" i="10"/>
  <c r="P521" i="10" s="1"/>
  <c r="Q521" i="10" s="1"/>
  <c r="K521" i="9"/>
  <c r="C521" i="9"/>
  <c r="B521" i="9"/>
  <c r="Q521" i="9"/>
  <c r="E521" i="10" s="1"/>
  <c r="I521" i="9"/>
  <c r="F521" i="10" s="1"/>
  <c r="P521" i="9"/>
  <c r="D521" i="10" s="1"/>
  <c r="H521" i="9"/>
  <c r="J521" i="9" s="1"/>
  <c r="O521" i="9"/>
  <c r="C521" i="10" s="1"/>
  <c r="G521" i="9"/>
  <c r="N521" i="9"/>
  <c r="F521" i="9"/>
  <c r="A522" i="9"/>
  <c r="M521" i="9"/>
  <c r="E521" i="9"/>
  <c r="D521" i="9"/>
  <c r="P519" i="10" l="1"/>
  <c r="Q519" i="10" s="1"/>
  <c r="R520" i="9"/>
  <c r="B520" i="10"/>
  <c r="T522" i="9"/>
  <c r="H522" i="10" s="1"/>
  <c r="S522" i="9"/>
  <c r="G522" i="10" s="1"/>
  <c r="A522" i="10"/>
  <c r="P522" i="10" s="1"/>
  <c r="Q522" i="10" s="1"/>
  <c r="J521" i="10"/>
  <c r="O522" i="9"/>
  <c r="C522" i="10" s="1"/>
  <c r="G522" i="9"/>
  <c r="N522" i="9"/>
  <c r="F522" i="9"/>
  <c r="A523" i="9"/>
  <c r="M522" i="9"/>
  <c r="E522" i="9"/>
  <c r="D522" i="9"/>
  <c r="K522" i="9"/>
  <c r="C522" i="9"/>
  <c r="B522" i="9"/>
  <c r="Q522" i="9"/>
  <c r="E522" i="10" s="1"/>
  <c r="P522" i="9"/>
  <c r="D522" i="10" s="1"/>
  <c r="I522" i="9"/>
  <c r="F522" i="10" s="1"/>
  <c r="H522" i="9"/>
  <c r="J522" i="9" s="1"/>
  <c r="L521" i="9"/>
  <c r="J522" i="10" l="1"/>
  <c r="R521" i="9"/>
  <c r="B521" i="10"/>
  <c r="T523" i="9"/>
  <c r="H523" i="10" s="1"/>
  <c r="S523" i="9"/>
  <c r="G523" i="10" s="1"/>
  <c r="A523" i="10"/>
  <c r="P523" i="10" s="1"/>
  <c r="Q523" i="10" s="1"/>
  <c r="M520" i="10"/>
  <c r="I520" i="10"/>
  <c r="K520" i="10"/>
  <c r="K523" i="9"/>
  <c r="C523" i="9"/>
  <c r="B523" i="9"/>
  <c r="Q523" i="9"/>
  <c r="E523" i="10" s="1"/>
  <c r="I523" i="9"/>
  <c r="F523" i="10" s="1"/>
  <c r="P523" i="9"/>
  <c r="D523" i="10" s="1"/>
  <c r="H523" i="9"/>
  <c r="J523" i="9" s="1"/>
  <c r="O523" i="9"/>
  <c r="C523" i="10" s="1"/>
  <c r="G523" i="9"/>
  <c r="N523" i="9"/>
  <c r="F523" i="9"/>
  <c r="M523" i="9"/>
  <c r="E523" i="9"/>
  <c r="D523" i="9"/>
  <c r="A524" i="9"/>
  <c r="L522" i="9"/>
  <c r="N520" i="10" l="1"/>
  <c r="R522" i="9"/>
  <c r="B522" i="10"/>
  <c r="R517" i="9"/>
  <c r="J523" i="10"/>
  <c r="K521" i="10"/>
  <c r="I521" i="10"/>
  <c r="M521" i="10"/>
  <c r="O520" i="10"/>
  <c r="S520" i="10" s="1"/>
  <c r="U520" i="10" s="1"/>
  <c r="B520" i="19" s="1"/>
  <c r="T524" i="9"/>
  <c r="H524" i="10" s="1"/>
  <c r="S524" i="9"/>
  <c r="G524" i="10" s="1"/>
  <c r="A524" i="10"/>
  <c r="P524" i="10" s="1"/>
  <c r="Q524" i="10" s="1"/>
  <c r="O524" i="9"/>
  <c r="C524" i="10" s="1"/>
  <c r="G524" i="9"/>
  <c r="N524" i="9"/>
  <c r="F524" i="9"/>
  <c r="A525" i="9"/>
  <c r="M524" i="9"/>
  <c r="E524" i="9"/>
  <c r="D524" i="9"/>
  <c r="K524" i="9"/>
  <c r="C524" i="9"/>
  <c r="B524" i="9"/>
  <c r="Q524" i="9"/>
  <c r="E524" i="10" s="1"/>
  <c r="P524" i="9"/>
  <c r="D524" i="10" s="1"/>
  <c r="I524" i="9"/>
  <c r="F524" i="10" s="1"/>
  <c r="H524" i="9"/>
  <c r="J524" i="9" s="1"/>
  <c r="L523" i="9"/>
  <c r="N521" i="10" l="1"/>
  <c r="J524" i="10"/>
  <c r="O521" i="10"/>
  <c r="S521" i="10" s="1"/>
  <c r="U521" i="10" s="1"/>
  <c r="B521" i="19" s="1"/>
  <c r="B523" i="10"/>
  <c r="R518" i="9"/>
  <c r="T525" i="9"/>
  <c r="H525" i="10" s="1"/>
  <c r="S525" i="9"/>
  <c r="G525" i="10" s="1"/>
  <c r="A525" i="10"/>
  <c r="P525" i="10" s="1"/>
  <c r="Q525" i="10" s="1"/>
  <c r="K517" i="10"/>
  <c r="M517" i="10"/>
  <c r="I517" i="10"/>
  <c r="N517" i="10" s="1"/>
  <c r="M522" i="10"/>
  <c r="K522" i="10"/>
  <c r="I522" i="10"/>
  <c r="N522" i="10" s="1"/>
  <c r="K525" i="9"/>
  <c r="C525" i="9"/>
  <c r="B525" i="9"/>
  <c r="Q525" i="9"/>
  <c r="E525" i="10" s="1"/>
  <c r="I525" i="9"/>
  <c r="F525" i="10" s="1"/>
  <c r="P525" i="9"/>
  <c r="D525" i="10" s="1"/>
  <c r="H525" i="9"/>
  <c r="J525" i="9" s="1"/>
  <c r="O525" i="9"/>
  <c r="C525" i="10" s="1"/>
  <c r="G525" i="9"/>
  <c r="N525" i="9"/>
  <c r="F525" i="9"/>
  <c r="E525" i="9"/>
  <c r="D525" i="9"/>
  <c r="A526" i="9"/>
  <c r="M525" i="9"/>
  <c r="L524" i="9"/>
  <c r="O517" i="10" l="1"/>
  <c r="S517" i="10" s="1"/>
  <c r="U517" i="10" s="1"/>
  <c r="B517" i="19" s="1"/>
  <c r="M518" i="10"/>
  <c r="I518" i="10"/>
  <c r="N518" i="10" s="1"/>
  <c r="K518" i="10"/>
  <c r="J525" i="10"/>
  <c r="O522" i="10"/>
  <c r="S522" i="10" s="1"/>
  <c r="U522" i="10" s="1"/>
  <c r="B522" i="19" s="1"/>
  <c r="B524" i="10"/>
  <c r="R519" i="9"/>
  <c r="T526" i="9"/>
  <c r="H526" i="10" s="1"/>
  <c r="S526" i="9"/>
  <c r="G526" i="10" s="1"/>
  <c r="A526" i="10"/>
  <c r="O526" i="9"/>
  <c r="C526" i="10" s="1"/>
  <c r="G526" i="9"/>
  <c r="N526" i="9"/>
  <c r="F526" i="9"/>
  <c r="A527" i="9"/>
  <c r="M526" i="9"/>
  <c r="E526" i="9"/>
  <c r="D526" i="9"/>
  <c r="K526" i="9"/>
  <c r="C526" i="9"/>
  <c r="B526" i="9"/>
  <c r="Q526" i="9"/>
  <c r="E526" i="10" s="1"/>
  <c r="P526" i="9"/>
  <c r="D526" i="10" s="1"/>
  <c r="I526" i="9"/>
  <c r="F526" i="10" s="1"/>
  <c r="H526" i="9"/>
  <c r="J526" i="9" s="1"/>
  <c r="L525" i="9"/>
  <c r="O518" i="10" l="1"/>
  <c r="S518" i="10" s="1"/>
  <c r="U518" i="10" s="1"/>
  <c r="B518" i="19" s="1"/>
  <c r="T527" i="9"/>
  <c r="H527" i="10" s="1"/>
  <c r="S527" i="9"/>
  <c r="G527" i="10" s="1"/>
  <c r="A527" i="10"/>
  <c r="P527" i="10" s="1"/>
  <c r="Q527" i="10" s="1"/>
  <c r="B525" i="10"/>
  <c r="J526" i="10"/>
  <c r="M519" i="10"/>
  <c r="K519" i="10"/>
  <c r="I519" i="10"/>
  <c r="N519" i="10" s="1"/>
  <c r="K527" i="9"/>
  <c r="C527" i="9"/>
  <c r="B527" i="9"/>
  <c r="Q527" i="9"/>
  <c r="E527" i="10" s="1"/>
  <c r="I527" i="9"/>
  <c r="F527" i="10" s="1"/>
  <c r="P527" i="9"/>
  <c r="D527" i="10" s="1"/>
  <c r="H527" i="9"/>
  <c r="J527" i="9" s="1"/>
  <c r="O527" i="9"/>
  <c r="C527" i="10" s="1"/>
  <c r="J527" i="10" s="1"/>
  <c r="G527" i="9"/>
  <c r="N527" i="9"/>
  <c r="F527" i="9"/>
  <c r="A528" i="9"/>
  <c r="M527" i="9"/>
  <c r="E527" i="9"/>
  <c r="D527" i="9"/>
  <c r="L526" i="9"/>
  <c r="O519" i="10" l="1"/>
  <c r="S519" i="10" s="1"/>
  <c r="U519" i="10" s="1"/>
  <c r="B519" i="19" s="1"/>
  <c r="B526" i="10"/>
  <c r="S528" i="9"/>
  <c r="G528" i="10" s="1"/>
  <c r="T528" i="9"/>
  <c r="H528" i="10" s="1"/>
  <c r="P526" i="10" s="1"/>
  <c r="Q526" i="10" s="1"/>
  <c r="A528" i="10"/>
  <c r="P528" i="10" s="1"/>
  <c r="Q528" i="10" s="1"/>
  <c r="O528" i="9"/>
  <c r="C528" i="10" s="1"/>
  <c r="G528" i="9"/>
  <c r="N528" i="9"/>
  <c r="F528" i="9"/>
  <c r="A529" i="9"/>
  <c r="M528" i="9"/>
  <c r="E528" i="9"/>
  <c r="D528" i="9"/>
  <c r="K528" i="9"/>
  <c r="C528" i="9"/>
  <c r="B528" i="9"/>
  <c r="I528" i="9"/>
  <c r="F528" i="10" s="1"/>
  <c r="H528" i="9"/>
  <c r="J528" i="9" s="1"/>
  <c r="Q528" i="9"/>
  <c r="E528" i="10" s="1"/>
  <c r="P528" i="9"/>
  <c r="D528" i="10" s="1"/>
  <c r="L527" i="9"/>
  <c r="L528" i="9" l="1"/>
  <c r="S529" i="9"/>
  <c r="G529" i="10" s="1"/>
  <c r="T529" i="9"/>
  <c r="H529" i="10" s="1"/>
  <c r="A529" i="10"/>
  <c r="P529" i="10" s="1"/>
  <c r="Q529" i="10" s="1"/>
  <c r="J528" i="10"/>
  <c r="R527" i="9"/>
  <c r="B527" i="10"/>
  <c r="K529" i="9"/>
  <c r="C529" i="9"/>
  <c r="B529" i="9"/>
  <c r="Q529" i="9"/>
  <c r="E529" i="10" s="1"/>
  <c r="I529" i="9"/>
  <c r="F529" i="10" s="1"/>
  <c r="P529" i="9"/>
  <c r="D529" i="10" s="1"/>
  <c r="H529" i="9"/>
  <c r="J529" i="9" s="1"/>
  <c r="O529" i="9"/>
  <c r="C529" i="10" s="1"/>
  <c r="G529" i="9"/>
  <c r="N529" i="9"/>
  <c r="F529" i="9"/>
  <c r="A530" i="9"/>
  <c r="M529" i="9"/>
  <c r="E529" i="9"/>
  <c r="D529" i="9"/>
  <c r="M527" i="10" l="1"/>
  <c r="K527" i="10"/>
  <c r="I527" i="10"/>
  <c r="S530" i="9"/>
  <c r="G530" i="10" s="1"/>
  <c r="A530" i="10"/>
  <c r="P530" i="10" s="1"/>
  <c r="Q530" i="10" s="1"/>
  <c r="T530" i="9"/>
  <c r="H530" i="10" s="1"/>
  <c r="J529" i="10"/>
  <c r="R528" i="9"/>
  <c r="B528" i="10"/>
  <c r="R523" i="9"/>
  <c r="O530" i="9"/>
  <c r="C530" i="10" s="1"/>
  <c r="G530" i="9"/>
  <c r="N530" i="9"/>
  <c r="F530" i="9"/>
  <c r="A531" i="9"/>
  <c r="M530" i="9"/>
  <c r="E530" i="9"/>
  <c r="D530" i="9"/>
  <c r="K530" i="9"/>
  <c r="C530" i="9"/>
  <c r="B530" i="9"/>
  <c r="Q530" i="9"/>
  <c r="E530" i="10" s="1"/>
  <c r="P530" i="9"/>
  <c r="D530" i="10" s="1"/>
  <c r="I530" i="9"/>
  <c r="F530" i="10" s="1"/>
  <c r="H530" i="9"/>
  <c r="J530" i="9" s="1"/>
  <c r="L529" i="9"/>
  <c r="N527" i="10" l="1"/>
  <c r="J530" i="10"/>
  <c r="M523" i="10"/>
  <c r="K523" i="10"/>
  <c r="I523" i="10"/>
  <c r="N523" i="10" s="1"/>
  <c r="K528" i="10"/>
  <c r="I528" i="10"/>
  <c r="M528" i="10"/>
  <c r="O527" i="10"/>
  <c r="S527" i="10" s="1"/>
  <c r="U527" i="10" s="1"/>
  <c r="B527" i="19" s="1"/>
  <c r="B529" i="10"/>
  <c r="R524" i="9"/>
  <c r="T531" i="9"/>
  <c r="H531" i="10" s="1"/>
  <c r="S531" i="9"/>
  <c r="G531" i="10" s="1"/>
  <c r="A531" i="10"/>
  <c r="P531" i="10" s="1"/>
  <c r="Q531" i="10" s="1"/>
  <c r="K531" i="9"/>
  <c r="C531" i="9"/>
  <c r="B531" i="9"/>
  <c r="Q531" i="9"/>
  <c r="E531" i="10" s="1"/>
  <c r="I531" i="9"/>
  <c r="F531" i="10" s="1"/>
  <c r="P531" i="9"/>
  <c r="D531" i="10" s="1"/>
  <c r="H531" i="9"/>
  <c r="J531" i="9" s="1"/>
  <c r="O531" i="9"/>
  <c r="C531" i="10" s="1"/>
  <c r="G531" i="9"/>
  <c r="N531" i="9"/>
  <c r="F531" i="9"/>
  <c r="M531" i="9"/>
  <c r="E531" i="9"/>
  <c r="D531" i="9"/>
  <c r="A532" i="9"/>
  <c r="L530" i="9"/>
  <c r="N528" i="10" l="1"/>
  <c r="O523" i="10"/>
  <c r="S523" i="10" s="1"/>
  <c r="U523" i="10" s="1"/>
  <c r="B523" i="19" s="1"/>
  <c r="O528" i="10"/>
  <c r="S528" i="10" s="1"/>
  <c r="U528" i="10" s="1"/>
  <c r="B528" i="19" s="1"/>
  <c r="J531" i="10"/>
  <c r="K524" i="10"/>
  <c r="M524" i="10"/>
  <c r="I524" i="10"/>
  <c r="N524" i="10" s="1"/>
  <c r="B530" i="10"/>
  <c r="R525" i="9"/>
  <c r="T532" i="9"/>
  <c r="H532" i="10" s="1"/>
  <c r="S532" i="9"/>
  <c r="G532" i="10" s="1"/>
  <c r="A532" i="10"/>
  <c r="P532" i="10" s="1"/>
  <c r="Q532" i="10" s="1"/>
  <c r="O532" i="9"/>
  <c r="C532" i="10" s="1"/>
  <c r="G532" i="9"/>
  <c r="N532" i="9"/>
  <c r="F532" i="9"/>
  <c r="A533" i="9"/>
  <c r="M532" i="9"/>
  <c r="E532" i="9"/>
  <c r="D532" i="9"/>
  <c r="K532" i="9"/>
  <c r="C532" i="9"/>
  <c r="B532" i="9"/>
  <c r="Q532" i="9"/>
  <c r="E532" i="10" s="1"/>
  <c r="P532" i="9"/>
  <c r="D532" i="10" s="1"/>
  <c r="I532" i="9"/>
  <c r="F532" i="10" s="1"/>
  <c r="H532" i="9"/>
  <c r="J532" i="9" s="1"/>
  <c r="L531" i="9"/>
  <c r="M525" i="10" l="1"/>
  <c r="I525" i="10"/>
  <c r="N525" i="10" s="1"/>
  <c r="K525" i="10"/>
  <c r="B531" i="10"/>
  <c r="R526" i="9"/>
  <c r="O524" i="10"/>
  <c r="S524" i="10" s="1"/>
  <c r="U524" i="10" s="1"/>
  <c r="B524" i="19" s="1"/>
  <c r="J532" i="10"/>
  <c r="Q533" i="9"/>
  <c r="K533" i="9"/>
  <c r="C533" i="9"/>
  <c r="B533" i="9"/>
  <c r="I533" i="9"/>
  <c r="P533" i="9"/>
  <c r="H533" i="9"/>
  <c r="J533" i="9" s="1"/>
  <c r="O533" i="9"/>
  <c r="G533" i="9"/>
  <c r="N533" i="9"/>
  <c r="F533" i="9"/>
  <c r="E533" i="9"/>
  <c r="D533" i="9"/>
  <c r="A534" i="9"/>
  <c r="M533" i="9"/>
  <c r="L532" i="9"/>
  <c r="M526" i="10" l="1"/>
  <c r="I526" i="10"/>
  <c r="N526" i="10" s="1"/>
  <c r="K526" i="10"/>
  <c r="B532" i="10"/>
  <c r="O525" i="10"/>
  <c r="S525" i="10" s="1"/>
  <c r="U525" i="10" s="1"/>
  <c r="B525" i="19" s="1"/>
  <c r="A535" i="9"/>
  <c r="M534" i="9"/>
  <c r="E534" i="9"/>
  <c r="I534" i="9"/>
  <c r="Q534" i="9"/>
  <c r="H534" i="9"/>
  <c r="J534" i="9" s="1"/>
  <c r="P534" i="9"/>
  <c r="G534" i="9"/>
  <c r="O534" i="9"/>
  <c r="F534" i="9"/>
  <c r="N534" i="9"/>
  <c r="D534" i="9"/>
  <c r="C534" i="9"/>
  <c r="K534" i="9"/>
  <c r="B534" i="9"/>
  <c r="L533" i="9"/>
  <c r="O526" i="10" l="1"/>
  <c r="S526" i="10" s="1"/>
  <c r="U526" i="10" s="1"/>
  <c r="B526" i="19" s="1"/>
  <c r="L534" i="9"/>
  <c r="Q535" i="9"/>
  <c r="I535" i="9"/>
  <c r="P535" i="9"/>
  <c r="G535" i="9"/>
  <c r="O535" i="9"/>
  <c r="F535" i="9"/>
  <c r="N535" i="9"/>
  <c r="E535" i="9"/>
  <c r="M535" i="9"/>
  <c r="D535" i="9"/>
  <c r="A536" i="9"/>
  <c r="C535" i="9"/>
  <c r="K535" i="9"/>
  <c r="B535" i="9"/>
  <c r="H535" i="9"/>
  <c r="J535" i="9" s="1"/>
  <c r="R534" i="9" l="1"/>
  <c r="R529" i="9"/>
  <c r="A537" i="9"/>
  <c r="M536" i="9"/>
  <c r="E536" i="9"/>
  <c r="O536" i="9"/>
  <c r="F536" i="9"/>
  <c r="N536" i="9"/>
  <c r="D536" i="9"/>
  <c r="C536" i="9"/>
  <c r="K536" i="9"/>
  <c r="B536" i="9"/>
  <c r="I536" i="9"/>
  <c r="Q536" i="9"/>
  <c r="P536" i="9"/>
  <c r="H536" i="9"/>
  <c r="J536" i="9" s="1"/>
  <c r="G536" i="9"/>
  <c r="L535" i="9"/>
  <c r="R535" i="9" l="1"/>
  <c r="R530" i="9"/>
  <c r="M529" i="10"/>
  <c r="K529" i="10"/>
  <c r="I529" i="10"/>
  <c r="N529" i="10" s="1"/>
  <c r="L536" i="9"/>
  <c r="Q537" i="9"/>
  <c r="I537" i="9"/>
  <c r="M537" i="9"/>
  <c r="D537" i="9"/>
  <c r="A538" i="9"/>
  <c r="C537" i="9"/>
  <c r="K537" i="9"/>
  <c r="B537" i="9"/>
  <c r="H537" i="9"/>
  <c r="J537" i="9" s="1"/>
  <c r="P537" i="9"/>
  <c r="G537" i="9"/>
  <c r="O537" i="9"/>
  <c r="N537" i="9"/>
  <c r="F537" i="9"/>
  <c r="E537" i="9"/>
  <c r="O529" i="10" l="1"/>
  <c r="S529" i="10" s="1"/>
  <c r="U529" i="10" s="1"/>
  <c r="B529" i="19" s="1"/>
  <c r="R531" i="9"/>
  <c r="L537" i="9"/>
  <c r="K530" i="10"/>
  <c r="I530" i="10"/>
  <c r="N530" i="10" s="1"/>
  <c r="M530" i="10"/>
  <c r="A539" i="9"/>
  <c r="M538" i="9"/>
  <c r="E538" i="9"/>
  <c r="K538" i="9"/>
  <c r="B538" i="9"/>
  <c r="I538" i="9"/>
  <c r="Q538" i="9"/>
  <c r="H538" i="9"/>
  <c r="J538" i="9" s="1"/>
  <c r="P538" i="9"/>
  <c r="G538" i="9"/>
  <c r="O538" i="9"/>
  <c r="F538" i="9"/>
  <c r="N538" i="9"/>
  <c r="D538" i="9"/>
  <c r="C538" i="9"/>
  <c r="O530" i="10" l="1"/>
  <c r="S530" i="10" s="1"/>
  <c r="U530" i="10" s="1"/>
  <c r="B530" i="19" s="1"/>
  <c r="R532" i="9"/>
  <c r="M531" i="10"/>
  <c r="K531" i="10"/>
  <c r="I531" i="10"/>
  <c r="N531" i="10" s="1"/>
  <c r="L538" i="9"/>
  <c r="Q539" i="9"/>
  <c r="I539" i="9"/>
  <c r="P539" i="9"/>
  <c r="H539" i="9"/>
  <c r="J539" i="9" s="1"/>
  <c r="O539" i="9"/>
  <c r="G539" i="9"/>
  <c r="N539" i="9"/>
  <c r="C539" i="9"/>
  <c r="M539" i="9"/>
  <c r="B539" i="9"/>
  <c r="K539" i="9"/>
  <c r="A540" i="9"/>
  <c r="F539" i="9"/>
  <c r="E539" i="9"/>
  <c r="D539" i="9"/>
  <c r="O531" i="10" l="1"/>
  <c r="S531" i="10" s="1"/>
  <c r="U531" i="10" s="1"/>
  <c r="B531" i="19" s="1"/>
  <c r="M532" i="10"/>
  <c r="K532" i="10"/>
  <c r="I532" i="10"/>
  <c r="N532" i="10" s="1"/>
  <c r="R533" i="9"/>
  <c r="A541" i="9"/>
  <c r="M540" i="9"/>
  <c r="E540" i="9"/>
  <c r="D540" i="9"/>
  <c r="K540" i="9"/>
  <c r="C540" i="9"/>
  <c r="H540" i="9"/>
  <c r="J540" i="9" s="1"/>
  <c r="G540" i="9"/>
  <c r="Q540" i="9"/>
  <c r="F540" i="9"/>
  <c r="P540" i="9"/>
  <c r="B540" i="9"/>
  <c r="O540" i="9"/>
  <c r="N540" i="9"/>
  <c r="I540" i="9"/>
  <c r="L539" i="9"/>
  <c r="O532" i="10" l="1"/>
  <c r="S532" i="10" s="1"/>
  <c r="U532" i="10" s="1"/>
  <c r="B532" i="19" s="1"/>
  <c r="L540" i="9"/>
  <c r="Q541" i="9"/>
  <c r="I541" i="9"/>
  <c r="P541" i="9"/>
  <c r="H541" i="9"/>
  <c r="J541" i="9" s="1"/>
  <c r="O541" i="9"/>
  <c r="G541" i="9"/>
  <c r="M541" i="9"/>
  <c r="B541" i="9"/>
  <c r="K541" i="9"/>
  <c r="A542" i="9"/>
  <c r="F541" i="9"/>
  <c r="E541" i="9"/>
  <c r="D541" i="9"/>
  <c r="C541" i="9"/>
  <c r="N541" i="9"/>
  <c r="L541" i="9" l="1"/>
  <c r="A543" i="9"/>
  <c r="M542" i="9"/>
  <c r="E542" i="9"/>
  <c r="D542" i="9"/>
  <c r="K542" i="9"/>
  <c r="C542" i="9"/>
  <c r="G542" i="9"/>
  <c r="Q542" i="9"/>
  <c r="F542" i="9"/>
  <c r="P542" i="9"/>
  <c r="B542" i="9"/>
  <c r="O542" i="9"/>
  <c r="N542" i="9"/>
  <c r="I542" i="9"/>
  <c r="H542" i="9"/>
  <c r="J542" i="9" s="1"/>
  <c r="R541" i="9" l="1"/>
  <c r="R536" i="9"/>
  <c r="L542" i="9"/>
  <c r="Q543" i="9"/>
  <c r="I543" i="9"/>
  <c r="P543" i="9"/>
  <c r="H543" i="9"/>
  <c r="J543" i="9" s="1"/>
  <c r="O543" i="9"/>
  <c r="G543" i="9"/>
  <c r="K543" i="9"/>
  <c r="A544" i="9"/>
  <c r="F543" i="9"/>
  <c r="E543" i="9"/>
  <c r="D543" i="9"/>
  <c r="N543" i="9"/>
  <c r="M543" i="9"/>
  <c r="C543" i="9"/>
  <c r="B543" i="9"/>
  <c r="L543" i="9" l="1"/>
  <c r="R542" i="9"/>
  <c r="R537" i="9"/>
  <c r="N544" i="9"/>
  <c r="F544" i="9"/>
  <c r="A545" i="9"/>
  <c r="M544" i="9"/>
  <c r="E544" i="9"/>
  <c r="D544" i="9"/>
  <c r="K544" i="9"/>
  <c r="C544" i="9"/>
  <c r="H544" i="9"/>
  <c r="J544" i="9" s="1"/>
  <c r="G544" i="9"/>
  <c r="B544" i="9"/>
  <c r="Q544" i="9"/>
  <c r="P544" i="9"/>
  <c r="O544" i="9"/>
  <c r="I544" i="9"/>
  <c r="L544" i="9" l="1"/>
  <c r="R538" i="9"/>
  <c r="B545" i="9"/>
  <c r="Q545" i="9"/>
  <c r="I545" i="9"/>
  <c r="P545" i="9"/>
  <c r="H545" i="9"/>
  <c r="J545" i="9" s="1"/>
  <c r="O545" i="9"/>
  <c r="G545" i="9"/>
  <c r="D545" i="9"/>
  <c r="C545" i="9"/>
  <c r="N545" i="9"/>
  <c r="M545" i="9"/>
  <c r="K545" i="9"/>
  <c r="A546" i="9"/>
  <c r="F545" i="9"/>
  <c r="E545" i="9"/>
  <c r="R539" i="9" l="1"/>
  <c r="L545" i="9"/>
  <c r="N546" i="9"/>
  <c r="F546" i="9"/>
  <c r="A547" i="9"/>
  <c r="M546" i="9"/>
  <c r="E546" i="9"/>
  <c r="D546" i="9"/>
  <c r="K546" i="9"/>
  <c r="C546" i="9"/>
  <c r="P546" i="9"/>
  <c r="O546" i="9"/>
  <c r="I546" i="9"/>
  <c r="H546" i="9"/>
  <c r="J546" i="9" s="1"/>
  <c r="L546" i="9" s="1"/>
  <c r="G546" i="9"/>
  <c r="Q546" i="9"/>
  <c r="B546" i="9"/>
  <c r="R540" i="9" l="1"/>
  <c r="B547" i="9"/>
  <c r="Q547" i="9"/>
  <c r="I547" i="9"/>
  <c r="P547" i="9"/>
  <c r="H547" i="9"/>
  <c r="J547" i="9" s="1"/>
  <c r="L547" i="9" s="1"/>
  <c r="O547" i="9"/>
  <c r="G547" i="9"/>
  <c r="K547" i="9"/>
  <c r="F547" i="9"/>
  <c r="A548" i="9"/>
  <c r="E547" i="9"/>
  <c r="D547" i="9"/>
  <c r="C547" i="9"/>
  <c r="N547" i="9"/>
  <c r="M547" i="9"/>
  <c r="N548" i="9" l="1"/>
  <c r="F548" i="9"/>
  <c r="A549" i="9"/>
  <c r="M548" i="9"/>
  <c r="E548" i="9"/>
  <c r="D548" i="9"/>
  <c r="K548" i="9"/>
  <c r="C548" i="9"/>
  <c r="H548" i="9"/>
  <c r="J548" i="9" s="1"/>
  <c r="G548" i="9"/>
  <c r="B548" i="9"/>
  <c r="Q548" i="9"/>
  <c r="P548" i="9"/>
  <c r="O548" i="9"/>
  <c r="I548" i="9"/>
  <c r="L548" i="9" l="1"/>
  <c r="B549" i="9"/>
  <c r="Q549" i="9"/>
  <c r="I549" i="9"/>
  <c r="P549" i="9"/>
  <c r="H549" i="9"/>
  <c r="J549" i="9" s="1"/>
  <c r="O549" i="9"/>
  <c r="G549" i="9"/>
  <c r="D549" i="9"/>
  <c r="C549" i="9"/>
  <c r="N549" i="9"/>
  <c r="M549" i="9"/>
  <c r="K549" i="9"/>
  <c r="A550" i="9"/>
  <c r="F549" i="9"/>
  <c r="E549" i="9"/>
  <c r="R548" i="9" l="1"/>
  <c r="R543" i="9"/>
  <c r="L549" i="9"/>
  <c r="N550" i="9"/>
  <c r="F550" i="9"/>
  <c r="A551" i="9"/>
  <c r="M550" i="9"/>
  <c r="E550" i="9"/>
  <c r="D550" i="9"/>
  <c r="K550" i="9"/>
  <c r="C550" i="9"/>
  <c r="P550" i="9"/>
  <c r="O550" i="9"/>
  <c r="I550" i="9"/>
  <c r="H550" i="9"/>
  <c r="J550" i="9" s="1"/>
  <c r="G550" i="9"/>
  <c r="B550" i="9"/>
  <c r="Q550" i="9"/>
  <c r="L550" i="9" l="1"/>
  <c r="R549" i="9"/>
  <c r="R544" i="9"/>
  <c r="B551" i="9"/>
  <c r="Q551" i="9"/>
  <c r="I551" i="9"/>
  <c r="P551" i="9"/>
  <c r="H551" i="9"/>
  <c r="J551" i="9" s="1"/>
  <c r="L551" i="9" s="1"/>
  <c r="O551" i="9"/>
  <c r="G551" i="9"/>
  <c r="K551" i="9"/>
  <c r="F551" i="9"/>
  <c r="A552" i="9"/>
  <c r="E551" i="9"/>
  <c r="D551" i="9"/>
  <c r="C551" i="9"/>
  <c r="N551" i="9"/>
  <c r="M551" i="9"/>
  <c r="R546" i="9" l="1"/>
  <c r="R545" i="9"/>
  <c r="N552" i="9"/>
  <c r="F552" i="9"/>
  <c r="A553" i="9"/>
  <c r="M552" i="9"/>
  <c r="E552" i="9"/>
  <c r="D552" i="9"/>
  <c r="K552" i="9"/>
  <c r="C552" i="9"/>
  <c r="H552" i="9"/>
  <c r="J552" i="9" s="1"/>
  <c r="G552" i="9"/>
  <c r="B552" i="9"/>
  <c r="Q552" i="9"/>
  <c r="P552" i="9"/>
  <c r="O552" i="9"/>
  <c r="I552" i="9"/>
  <c r="L552" i="9" l="1"/>
  <c r="B553" i="9"/>
  <c r="Q553" i="9"/>
  <c r="I553" i="9"/>
  <c r="P553" i="9"/>
  <c r="H553" i="9"/>
  <c r="J553" i="9" s="1"/>
  <c r="O553" i="9"/>
  <c r="G553" i="9"/>
  <c r="D553" i="9"/>
  <c r="C553" i="9"/>
  <c r="N553" i="9"/>
  <c r="M553" i="9"/>
  <c r="K553" i="9"/>
  <c r="F553" i="9"/>
  <c r="E553" i="9"/>
  <c r="A554" i="9"/>
  <c r="R547" i="9" l="1"/>
  <c r="L553" i="9"/>
  <c r="N554" i="9"/>
  <c r="F554" i="9"/>
  <c r="A555" i="9"/>
  <c r="M554" i="9"/>
  <c r="E554" i="9"/>
  <c r="D554" i="9"/>
  <c r="K554" i="9"/>
  <c r="C554" i="9"/>
  <c r="P554" i="9"/>
  <c r="O554" i="9"/>
  <c r="I554" i="9"/>
  <c r="H554" i="9"/>
  <c r="J554" i="9" s="1"/>
  <c r="G554" i="9"/>
  <c r="Q554" i="9"/>
  <c r="B554" i="9"/>
  <c r="L554" i="9" l="1"/>
  <c r="B555" i="9"/>
  <c r="Q555" i="9"/>
  <c r="I555" i="9"/>
  <c r="P555" i="9"/>
  <c r="H555" i="9"/>
  <c r="J555" i="9" s="1"/>
  <c r="O555" i="9"/>
  <c r="G555" i="9"/>
  <c r="K555" i="9"/>
  <c r="F555" i="9"/>
  <c r="A556" i="9"/>
  <c r="E555" i="9"/>
  <c r="D555" i="9"/>
  <c r="C555" i="9"/>
  <c r="N555" i="9"/>
  <c r="M555" i="9"/>
  <c r="L555" i="9" l="1"/>
  <c r="N556" i="9"/>
  <c r="F556" i="9"/>
  <c r="A557" i="9"/>
  <c r="M556" i="9"/>
  <c r="E556" i="9"/>
  <c r="D556" i="9"/>
  <c r="K556" i="9"/>
  <c r="C556" i="9"/>
  <c r="H556" i="9"/>
  <c r="J556" i="9" s="1"/>
  <c r="G556" i="9"/>
  <c r="B556" i="9"/>
  <c r="Q556" i="9"/>
  <c r="P556" i="9"/>
  <c r="O556" i="9"/>
  <c r="I556" i="9"/>
  <c r="R555" i="9" l="1"/>
  <c r="R550" i="9"/>
  <c r="L556" i="9"/>
  <c r="B557" i="9"/>
  <c r="Q557" i="9"/>
  <c r="I557" i="9"/>
  <c r="P557" i="9"/>
  <c r="H557" i="9"/>
  <c r="J557" i="9" s="1"/>
  <c r="O557" i="9"/>
  <c r="G557" i="9"/>
  <c r="D557" i="9"/>
  <c r="C557" i="9"/>
  <c r="N557" i="9"/>
  <c r="M557" i="9"/>
  <c r="K557" i="9"/>
  <c r="A558" i="9"/>
  <c r="F557" i="9"/>
  <c r="E557" i="9"/>
  <c r="R556" i="9" l="1"/>
  <c r="R551" i="9"/>
  <c r="L557" i="9"/>
  <c r="N558" i="9"/>
  <c r="F558" i="9"/>
  <c r="A559" i="9"/>
  <c r="M558" i="9"/>
  <c r="E558" i="9"/>
  <c r="D558" i="9"/>
  <c r="K558" i="9"/>
  <c r="C558" i="9"/>
  <c r="P558" i="9"/>
  <c r="O558" i="9"/>
  <c r="I558" i="9"/>
  <c r="H558" i="9"/>
  <c r="J558" i="9" s="1"/>
  <c r="G558" i="9"/>
  <c r="Q558" i="9"/>
  <c r="B558" i="9"/>
  <c r="L558" i="9" l="1"/>
  <c r="R552" i="9"/>
  <c r="B559" i="9"/>
  <c r="Q559" i="9"/>
  <c r="I559" i="9"/>
  <c r="P559" i="9"/>
  <c r="H559" i="9"/>
  <c r="J559" i="9" s="1"/>
  <c r="L559" i="9" s="1"/>
  <c r="O559" i="9"/>
  <c r="G559" i="9"/>
  <c r="K559" i="9"/>
  <c r="F559" i="9"/>
  <c r="A560" i="9"/>
  <c r="E559" i="9"/>
  <c r="D559" i="9"/>
  <c r="C559" i="9"/>
  <c r="N559" i="9"/>
  <c r="M559" i="9"/>
  <c r="R554" i="9" l="1"/>
  <c r="R553" i="9"/>
  <c r="N560" i="9"/>
  <c r="F560" i="9"/>
  <c r="A561" i="9"/>
  <c r="M560" i="9"/>
  <c r="E560" i="9"/>
  <c r="D560" i="9"/>
  <c r="K560" i="9"/>
  <c r="C560" i="9"/>
  <c r="H560" i="9"/>
  <c r="J560" i="9" s="1"/>
  <c r="L560" i="9" s="1"/>
  <c r="G560" i="9"/>
  <c r="B560" i="9"/>
  <c r="Q560" i="9"/>
  <c r="P560" i="9"/>
  <c r="O560" i="9"/>
  <c r="I560" i="9"/>
  <c r="B561" i="9" l="1"/>
  <c r="Q561" i="9"/>
  <c r="I561" i="9"/>
  <c r="P561" i="9"/>
  <c r="H561" i="9"/>
  <c r="J561" i="9" s="1"/>
  <c r="O561" i="9"/>
  <c r="G561" i="9"/>
  <c r="D561" i="9"/>
  <c r="C561" i="9"/>
  <c r="N561" i="9"/>
  <c r="M561" i="9"/>
  <c r="K561" i="9"/>
  <c r="A562" i="9"/>
  <c r="F561" i="9"/>
  <c r="E561" i="9"/>
  <c r="L561" i="9" l="1"/>
  <c r="N562" i="9"/>
  <c r="F562" i="9"/>
  <c r="A563" i="9"/>
  <c r="M562" i="9"/>
  <c r="E562" i="9"/>
  <c r="D562" i="9"/>
  <c r="K562" i="9"/>
  <c r="C562" i="9"/>
  <c r="P562" i="9"/>
  <c r="O562" i="9"/>
  <c r="I562" i="9"/>
  <c r="H562" i="9"/>
  <c r="J562" i="9" s="1"/>
  <c r="G562" i="9"/>
  <c r="Q562" i="9"/>
  <c r="B562" i="9"/>
  <c r="L562" i="9" l="1"/>
  <c r="B563" i="9"/>
  <c r="Q563" i="9"/>
  <c r="I563" i="9"/>
  <c r="P563" i="9"/>
  <c r="H563" i="9"/>
  <c r="J563" i="9" s="1"/>
  <c r="L563" i="9" s="1"/>
  <c r="O563" i="9"/>
  <c r="G563" i="9"/>
  <c r="K563" i="9"/>
  <c r="F563" i="9"/>
  <c r="A564" i="9"/>
  <c r="E563" i="9"/>
  <c r="D563" i="9"/>
  <c r="C563" i="9"/>
  <c r="N563" i="9"/>
  <c r="M563" i="9"/>
  <c r="R563" i="9" l="1"/>
  <c r="R558" i="9"/>
  <c r="R562" i="9"/>
  <c r="R557" i="9"/>
  <c r="N564" i="9"/>
  <c r="F564" i="9"/>
  <c r="A565" i="9"/>
  <c r="M564" i="9"/>
  <c r="E564" i="9"/>
  <c r="D564" i="9"/>
  <c r="K564" i="9"/>
  <c r="C564" i="9"/>
  <c r="H564" i="9"/>
  <c r="J564" i="9" s="1"/>
  <c r="G564" i="9"/>
  <c r="B564" i="9"/>
  <c r="Q564" i="9"/>
  <c r="P564" i="9"/>
  <c r="O564" i="9"/>
  <c r="I564" i="9"/>
  <c r="L564" i="9" l="1"/>
  <c r="B565" i="9"/>
  <c r="Q565" i="9"/>
  <c r="I565" i="9"/>
  <c r="P565" i="9"/>
  <c r="H565" i="9"/>
  <c r="J565" i="9" s="1"/>
  <c r="O565" i="9"/>
  <c r="G565" i="9"/>
  <c r="D565" i="9"/>
  <c r="C565" i="9"/>
  <c r="N565" i="9"/>
  <c r="M565" i="9"/>
  <c r="K565" i="9"/>
  <c r="A566" i="9"/>
  <c r="F565" i="9"/>
  <c r="E565" i="9"/>
  <c r="R559" i="9" l="1"/>
  <c r="L565" i="9"/>
  <c r="N566" i="9"/>
  <c r="F566" i="9"/>
  <c r="A567" i="9"/>
  <c r="M566" i="9"/>
  <c r="E566" i="9"/>
  <c r="D566" i="9"/>
  <c r="K566" i="9"/>
  <c r="C566" i="9"/>
  <c r="P566" i="9"/>
  <c r="O566" i="9"/>
  <c r="I566" i="9"/>
  <c r="H566" i="9"/>
  <c r="J566" i="9" s="1"/>
  <c r="G566" i="9"/>
  <c r="B566" i="9"/>
  <c r="Q566" i="9"/>
  <c r="L566" i="9" l="1"/>
  <c r="R560" i="9"/>
  <c r="B567" i="9"/>
  <c r="Q567" i="9"/>
  <c r="I567" i="9"/>
  <c r="P567" i="9"/>
  <c r="H567" i="9"/>
  <c r="J567" i="9" s="1"/>
  <c r="O567" i="9"/>
  <c r="G567" i="9"/>
  <c r="K567" i="9"/>
  <c r="F567" i="9"/>
  <c r="A568" i="9"/>
  <c r="E567" i="9"/>
  <c r="D567" i="9"/>
  <c r="C567" i="9"/>
  <c r="N567" i="9"/>
  <c r="M567" i="9"/>
  <c r="L567" i="9" l="1"/>
  <c r="R561" i="9"/>
  <c r="N568" i="9"/>
  <c r="F568" i="9"/>
  <c r="A569" i="9"/>
  <c r="M568" i="9"/>
  <c r="E568" i="9"/>
  <c r="D568" i="9"/>
  <c r="K568" i="9"/>
  <c r="C568" i="9"/>
  <c r="H568" i="9"/>
  <c r="J568" i="9" s="1"/>
  <c r="L568" i="9" s="1"/>
  <c r="G568" i="9"/>
  <c r="B568" i="9"/>
  <c r="Q568" i="9"/>
  <c r="P568" i="9"/>
  <c r="O568" i="9"/>
  <c r="I568" i="9"/>
  <c r="B569" i="9" l="1"/>
  <c r="Q569" i="9"/>
  <c r="I569" i="9"/>
  <c r="P569" i="9"/>
  <c r="H569" i="9"/>
  <c r="J569" i="9" s="1"/>
  <c r="O569" i="9"/>
  <c r="G569" i="9"/>
  <c r="D569" i="9"/>
  <c r="C569" i="9"/>
  <c r="N569" i="9"/>
  <c r="M569" i="9"/>
  <c r="K569" i="9"/>
  <c r="F569" i="9"/>
  <c r="E569" i="9"/>
  <c r="A570" i="9"/>
  <c r="L569" i="9" l="1"/>
  <c r="N570" i="9"/>
  <c r="F570" i="9"/>
  <c r="A571" i="9"/>
  <c r="M570" i="9"/>
  <c r="E570" i="9"/>
  <c r="D570" i="9"/>
  <c r="K570" i="9"/>
  <c r="C570" i="9"/>
  <c r="P570" i="9"/>
  <c r="O570" i="9"/>
  <c r="I570" i="9"/>
  <c r="H570" i="9"/>
  <c r="J570" i="9" s="1"/>
  <c r="G570" i="9"/>
  <c r="Q570" i="9"/>
  <c r="B570" i="9"/>
  <c r="L570" i="9" l="1"/>
  <c r="R569" i="9"/>
  <c r="R564" i="9"/>
  <c r="B571" i="9"/>
  <c r="Q571" i="9"/>
  <c r="I571" i="9"/>
  <c r="P571" i="9"/>
  <c r="H571" i="9"/>
  <c r="J571" i="9" s="1"/>
  <c r="L571" i="9" s="1"/>
  <c r="O571" i="9"/>
  <c r="G571" i="9"/>
  <c r="K571" i="9"/>
  <c r="F571" i="9"/>
  <c r="A572" i="9"/>
  <c r="E571" i="9"/>
  <c r="D571" i="9"/>
  <c r="C571" i="9"/>
  <c r="N571" i="9"/>
  <c r="M571" i="9"/>
  <c r="R566" i="9" l="1"/>
  <c r="R570" i="9"/>
  <c r="R565" i="9"/>
  <c r="N572" i="9"/>
  <c r="F572" i="9"/>
  <c r="A573" i="9"/>
  <c r="M572" i="9"/>
  <c r="E572" i="9"/>
  <c r="D572" i="9"/>
  <c r="K572" i="9"/>
  <c r="C572" i="9"/>
  <c r="H572" i="9"/>
  <c r="J572" i="9" s="1"/>
  <c r="G572" i="9"/>
  <c r="B572" i="9"/>
  <c r="Q572" i="9"/>
  <c r="P572" i="9"/>
  <c r="O572" i="9"/>
  <c r="I572" i="9"/>
  <c r="L572" i="9" l="1"/>
  <c r="B573" i="9"/>
  <c r="Q573" i="9"/>
  <c r="I573" i="9"/>
  <c r="P573" i="9"/>
  <c r="H573" i="9"/>
  <c r="J573" i="9" s="1"/>
  <c r="O573" i="9"/>
  <c r="G573" i="9"/>
  <c r="D573" i="9"/>
  <c r="C573" i="9"/>
  <c r="N573" i="9"/>
  <c r="M573" i="9"/>
  <c r="K573" i="9"/>
  <c r="A574" i="9"/>
  <c r="F573" i="9"/>
  <c r="E573" i="9"/>
  <c r="R567" i="9" l="1"/>
  <c r="L573" i="9"/>
  <c r="N574" i="9"/>
  <c r="F574" i="9"/>
  <c r="A575" i="9"/>
  <c r="M574" i="9"/>
  <c r="E574" i="9"/>
  <c r="D574" i="9"/>
  <c r="K574" i="9"/>
  <c r="C574" i="9"/>
  <c r="P574" i="9"/>
  <c r="O574" i="9"/>
  <c r="I574" i="9"/>
  <c r="H574" i="9"/>
  <c r="J574" i="9" s="1"/>
  <c r="G574" i="9"/>
  <c r="Q574" i="9"/>
  <c r="B574" i="9"/>
  <c r="L574" i="9" l="1"/>
  <c r="R568" i="9"/>
  <c r="B575" i="9"/>
  <c r="Q575" i="9"/>
  <c r="I575" i="9"/>
  <c r="P575" i="9"/>
  <c r="H575" i="9"/>
  <c r="J575" i="9" s="1"/>
  <c r="L575" i="9" s="1"/>
  <c r="O575" i="9"/>
  <c r="G575" i="9"/>
  <c r="K575" i="9"/>
  <c r="F575" i="9"/>
  <c r="A576" i="9"/>
  <c r="E575" i="9"/>
  <c r="D575" i="9"/>
  <c r="C575" i="9"/>
  <c r="N575" i="9"/>
  <c r="M575" i="9"/>
  <c r="N576" i="9" l="1"/>
  <c r="F576" i="9"/>
  <c r="A577" i="9"/>
  <c r="M576" i="9"/>
  <c r="E576" i="9"/>
  <c r="D576" i="9"/>
  <c r="K576" i="9"/>
  <c r="C576" i="9"/>
  <c r="H576" i="9"/>
  <c r="J576" i="9" s="1"/>
  <c r="G576" i="9"/>
  <c r="B576" i="9"/>
  <c r="Q576" i="9"/>
  <c r="P576" i="9"/>
  <c r="O576" i="9"/>
  <c r="I576" i="9"/>
  <c r="L576" i="9" l="1"/>
  <c r="B577" i="9"/>
  <c r="Q577" i="9"/>
  <c r="I577" i="9"/>
  <c r="P577" i="9"/>
  <c r="H577" i="9"/>
  <c r="J577" i="9" s="1"/>
  <c r="O577" i="9"/>
  <c r="G577" i="9"/>
  <c r="D577" i="9"/>
  <c r="C577" i="9"/>
  <c r="N577" i="9"/>
  <c r="M577" i="9"/>
  <c r="K577" i="9"/>
  <c r="A578" i="9"/>
  <c r="F577" i="9"/>
  <c r="E577" i="9"/>
  <c r="R576" i="9" l="1"/>
  <c r="R571" i="9"/>
  <c r="L577" i="9"/>
  <c r="N578" i="9"/>
  <c r="F578" i="9"/>
  <c r="A579" i="9"/>
  <c r="M578" i="9"/>
  <c r="E578" i="9"/>
  <c r="D578" i="9"/>
  <c r="K578" i="9"/>
  <c r="C578" i="9"/>
  <c r="P578" i="9"/>
  <c r="O578" i="9"/>
  <c r="I578" i="9"/>
  <c r="H578" i="9"/>
  <c r="J578" i="9" s="1"/>
  <c r="L578" i="9" s="1"/>
  <c r="G578" i="9"/>
  <c r="Q578" i="9"/>
  <c r="B578" i="9"/>
  <c r="R573" i="9" l="1"/>
  <c r="R577" i="9"/>
  <c r="R572" i="9"/>
  <c r="D579" i="9"/>
  <c r="K579" i="9"/>
  <c r="C579" i="9"/>
  <c r="B579" i="9"/>
  <c r="Q579" i="9"/>
  <c r="I579" i="9"/>
  <c r="P579" i="9"/>
  <c r="H579" i="9"/>
  <c r="J579" i="9" s="1"/>
  <c r="O579" i="9"/>
  <c r="G579" i="9"/>
  <c r="A580" i="9"/>
  <c r="N579" i="9"/>
  <c r="M579" i="9"/>
  <c r="F579" i="9"/>
  <c r="E579" i="9"/>
  <c r="P580" i="9" l="1"/>
  <c r="H580" i="9"/>
  <c r="J580" i="9" s="1"/>
  <c r="O580" i="9"/>
  <c r="G580" i="9"/>
  <c r="N580" i="9"/>
  <c r="F580" i="9"/>
  <c r="A581" i="9"/>
  <c r="M580" i="9"/>
  <c r="E580" i="9"/>
  <c r="D580" i="9"/>
  <c r="K580" i="9"/>
  <c r="C580" i="9"/>
  <c r="B580" i="9"/>
  <c r="Q580" i="9"/>
  <c r="I580" i="9"/>
  <c r="L579" i="9"/>
  <c r="R574" i="9" l="1"/>
  <c r="D581" i="9"/>
  <c r="K581" i="9"/>
  <c r="C581" i="9"/>
  <c r="B581" i="9"/>
  <c r="Q581" i="9"/>
  <c r="I581" i="9"/>
  <c r="P581" i="9"/>
  <c r="H581" i="9"/>
  <c r="J581" i="9" s="1"/>
  <c r="O581" i="9"/>
  <c r="G581" i="9"/>
  <c r="N581" i="9"/>
  <c r="M581" i="9"/>
  <c r="F581" i="9"/>
  <c r="E581" i="9"/>
  <c r="A582" i="9"/>
  <c r="L580" i="9"/>
  <c r="R575" i="9" l="1"/>
  <c r="L581" i="9"/>
  <c r="P582" i="9"/>
  <c r="H582" i="9"/>
  <c r="J582" i="9" s="1"/>
  <c r="O582" i="9"/>
  <c r="G582" i="9"/>
  <c r="N582" i="9"/>
  <c r="F582" i="9"/>
  <c r="A583" i="9"/>
  <c r="M582" i="9"/>
  <c r="E582" i="9"/>
  <c r="D582" i="9"/>
  <c r="K582" i="9"/>
  <c r="C582" i="9"/>
  <c r="Q582" i="9"/>
  <c r="I582" i="9"/>
  <c r="B582" i="9"/>
  <c r="D583" i="9" l="1"/>
  <c r="K583" i="9"/>
  <c r="C583" i="9"/>
  <c r="B583" i="9"/>
  <c r="Q583" i="9"/>
  <c r="I583" i="9"/>
  <c r="P583" i="9"/>
  <c r="H583" i="9"/>
  <c r="J583" i="9" s="1"/>
  <c r="O583" i="9"/>
  <c r="G583" i="9"/>
  <c r="F583" i="9"/>
  <c r="E583" i="9"/>
  <c r="A584" i="9"/>
  <c r="N583" i="9"/>
  <c r="M583" i="9"/>
  <c r="L582" i="9"/>
  <c r="P584" i="9" l="1"/>
  <c r="H584" i="9"/>
  <c r="J584" i="9" s="1"/>
  <c r="O584" i="9"/>
  <c r="G584" i="9"/>
  <c r="N584" i="9"/>
  <c r="F584" i="9"/>
  <c r="A585" i="9"/>
  <c r="M584" i="9"/>
  <c r="E584" i="9"/>
  <c r="D584" i="9"/>
  <c r="K584" i="9"/>
  <c r="C584" i="9"/>
  <c r="Q584" i="9"/>
  <c r="I584" i="9"/>
  <c r="B584" i="9"/>
  <c r="L583" i="9"/>
  <c r="R583" i="9" l="1"/>
  <c r="R578" i="9"/>
  <c r="D585" i="9"/>
  <c r="K585" i="9"/>
  <c r="C585" i="9"/>
  <c r="B585" i="9"/>
  <c r="Q585" i="9"/>
  <c r="I585" i="9"/>
  <c r="P585" i="9"/>
  <c r="H585" i="9"/>
  <c r="J585" i="9" s="1"/>
  <c r="O585" i="9"/>
  <c r="G585" i="9"/>
  <c r="A586" i="9"/>
  <c r="N585" i="9"/>
  <c r="M585" i="9"/>
  <c r="F585" i="9"/>
  <c r="E585" i="9"/>
  <c r="L584" i="9"/>
  <c r="R584" i="9" l="1"/>
  <c r="R579" i="9"/>
  <c r="P586" i="9"/>
  <c r="H586" i="9"/>
  <c r="J586" i="9" s="1"/>
  <c r="O586" i="9"/>
  <c r="G586" i="9"/>
  <c r="N586" i="9"/>
  <c r="F586" i="9"/>
  <c r="A587" i="9"/>
  <c r="M586" i="9"/>
  <c r="E586" i="9"/>
  <c r="D586" i="9"/>
  <c r="K586" i="9"/>
  <c r="C586" i="9"/>
  <c r="I586" i="9"/>
  <c r="B586" i="9"/>
  <c r="Q586" i="9"/>
  <c r="L585" i="9"/>
  <c r="R580" i="9" l="1"/>
  <c r="D587" i="9"/>
  <c r="K587" i="9"/>
  <c r="C587" i="9"/>
  <c r="B587" i="9"/>
  <c r="Q587" i="9"/>
  <c r="I587" i="9"/>
  <c r="P587" i="9"/>
  <c r="H587" i="9"/>
  <c r="J587" i="9" s="1"/>
  <c r="O587" i="9"/>
  <c r="G587" i="9"/>
  <c r="A588" i="9"/>
  <c r="N587" i="9"/>
  <c r="M587" i="9"/>
  <c r="F587" i="9"/>
  <c r="E587" i="9"/>
  <c r="L586" i="9"/>
  <c r="R581" i="9" l="1"/>
  <c r="P588" i="9"/>
  <c r="H588" i="9"/>
  <c r="J588" i="9" s="1"/>
  <c r="O588" i="9"/>
  <c r="G588" i="9"/>
  <c r="N588" i="9"/>
  <c r="F588" i="9"/>
  <c r="A589" i="9"/>
  <c r="M588" i="9"/>
  <c r="E588" i="9"/>
  <c r="D588" i="9"/>
  <c r="K588" i="9"/>
  <c r="C588" i="9"/>
  <c r="B588" i="9"/>
  <c r="Q588" i="9"/>
  <c r="I588" i="9"/>
  <c r="L587" i="9"/>
  <c r="R582" i="9" l="1"/>
  <c r="D589" i="9"/>
  <c r="K589" i="9"/>
  <c r="C589" i="9"/>
  <c r="B589" i="9"/>
  <c r="Q589" i="9"/>
  <c r="I589" i="9"/>
  <c r="P589" i="9"/>
  <c r="H589" i="9"/>
  <c r="J589" i="9" s="1"/>
  <c r="O589" i="9"/>
  <c r="G589" i="9"/>
  <c r="N589" i="9"/>
  <c r="M589" i="9"/>
  <c r="F589" i="9"/>
  <c r="E589" i="9"/>
  <c r="A590" i="9"/>
  <c r="L588" i="9"/>
  <c r="L589" i="9" l="1"/>
  <c r="P590" i="9"/>
  <c r="H590" i="9"/>
  <c r="J590" i="9" s="1"/>
  <c r="O590" i="9"/>
  <c r="G590" i="9"/>
  <c r="N590" i="9"/>
  <c r="F590" i="9"/>
  <c r="A591" i="9"/>
  <c r="M590" i="9"/>
  <c r="E590" i="9"/>
  <c r="D590" i="9"/>
  <c r="K590" i="9"/>
  <c r="C590" i="9"/>
  <c r="Q590" i="9"/>
  <c r="I590" i="9"/>
  <c r="B590" i="9"/>
  <c r="D591" i="9" l="1"/>
  <c r="K591" i="9"/>
  <c r="C591" i="9"/>
  <c r="B591" i="9"/>
  <c r="Q591" i="9"/>
  <c r="I591" i="9"/>
  <c r="P591" i="9"/>
  <c r="H591" i="9"/>
  <c r="J591" i="9" s="1"/>
  <c r="O591" i="9"/>
  <c r="G591" i="9"/>
  <c r="F591" i="9"/>
  <c r="E591" i="9"/>
  <c r="A592" i="9"/>
  <c r="N591" i="9"/>
  <c r="M591" i="9"/>
  <c r="L590" i="9"/>
  <c r="R590" i="9" l="1"/>
  <c r="R585" i="9"/>
  <c r="P592" i="9"/>
  <c r="H592" i="9"/>
  <c r="J592" i="9" s="1"/>
  <c r="O592" i="9"/>
  <c r="G592" i="9"/>
  <c r="N592" i="9"/>
  <c r="F592" i="9"/>
  <c r="A593" i="9"/>
  <c r="M592" i="9"/>
  <c r="E592" i="9"/>
  <c r="D592" i="9"/>
  <c r="K592" i="9"/>
  <c r="C592" i="9"/>
  <c r="Q592" i="9"/>
  <c r="I592" i="9"/>
  <c r="B592" i="9"/>
  <c r="L591" i="9"/>
  <c r="R591" i="9" l="1"/>
  <c r="R586" i="9"/>
  <c r="D593" i="9"/>
  <c r="K593" i="9"/>
  <c r="C593" i="9"/>
  <c r="B593" i="9"/>
  <c r="Q593" i="9"/>
  <c r="I593" i="9"/>
  <c r="P593" i="9"/>
  <c r="H593" i="9"/>
  <c r="J593" i="9" s="1"/>
  <c r="O593" i="9"/>
  <c r="G593" i="9"/>
  <c r="A594" i="9"/>
  <c r="N593" i="9"/>
  <c r="M593" i="9"/>
  <c r="E593" i="9"/>
  <c r="F593" i="9"/>
  <c r="L592" i="9"/>
  <c r="R587" i="9" l="1"/>
  <c r="P594" i="9"/>
  <c r="H594" i="9"/>
  <c r="J594" i="9" s="1"/>
  <c r="O594" i="9"/>
  <c r="G594" i="9"/>
  <c r="N594" i="9"/>
  <c r="F594" i="9"/>
  <c r="A595" i="9"/>
  <c r="M594" i="9"/>
  <c r="E594" i="9"/>
  <c r="D594" i="9"/>
  <c r="K594" i="9"/>
  <c r="C594" i="9"/>
  <c r="I594" i="9"/>
  <c r="B594" i="9"/>
  <c r="Q594" i="9"/>
  <c r="L593" i="9"/>
  <c r="R588" i="9" l="1"/>
  <c r="D595" i="9"/>
  <c r="K595" i="9"/>
  <c r="C595" i="9"/>
  <c r="B595" i="9"/>
  <c r="Q595" i="9"/>
  <c r="I595" i="9"/>
  <c r="P595" i="9"/>
  <c r="H595" i="9"/>
  <c r="J595" i="9" s="1"/>
  <c r="O595" i="9"/>
  <c r="G595" i="9"/>
  <c r="A596" i="9"/>
  <c r="N595" i="9"/>
  <c r="M595" i="9"/>
  <c r="F595" i="9"/>
  <c r="E595" i="9"/>
  <c r="L594" i="9"/>
  <c r="R589" i="9" l="1"/>
  <c r="P596" i="9"/>
  <c r="H596" i="9"/>
  <c r="J596" i="9" s="1"/>
  <c r="O596" i="9"/>
  <c r="G596" i="9"/>
  <c r="N596" i="9"/>
  <c r="F596" i="9"/>
  <c r="A597" i="9"/>
  <c r="M596" i="9"/>
  <c r="E596" i="9"/>
  <c r="D596" i="9"/>
  <c r="K596" i="9"/>
  <c r="C596" i="9"/>
  <c r="B596" i="9"/>
  <c r="Q596" i="9"/>
  <c r="I596" i="9"/>
  <c r="L595" i="9"/>
  <c r="D597" i="9" l="1"/>
  <c r="K597" i="9"/>
  <c r="C597" i="9"/>
  <c r="B597" i="9"/>
  <c r="Q597" i="9"/>
  <c r="I597" i="9"/>
  <c r="P597" i="9"/>
  <c r="H597" i="9"/>
  <c r="J597" i="9" s="1"/>
  <c r="O597" i="9"/>
  <c r="G597" i="9"/>
  <c r="N597" i="9"/>
  <c r="M597" i="9"/>
  <c r="F597" i="9"/>
  <c r="E597" i="9"/>
  <c r="A598" i="9"/>
  <c r="L596" i="9"/>
  <c r="P598" i="9" l="1"/>
  <c r="H598" i="9"/>
  <c r="J598" i="9" s="1"/>
  <c r="O598" i="9"/>
  <c r="G598" i="9"/>
  <c r="N598" i="9"/>
  <c r="F598" i="9"/>
  <c r="A599" i="9"/>
  <c r="M598" i="9"/>
  <c r="E598" i="9"/>
  <c r="D598" i="9"/>
  <c r="K598" i="9"/>
  <c r="C598" i="9"/>
  <c r="Q598" i="9"/>
  <c r="I598" i="9"/>
  <c r="B598" i="9"/>
  <c r="L597" i="9"/>
  <c r="R597" i="9" l="1"/>
  <c r="R592" i="9"/>
  <c r="D599" i="9"/>
  <c r="K599" i="9"/>
  <c r="C599" i="9"/>
  <c r="B599" i="9"/>
  <c r="Q599" i="9"/>
  <c r="I599" i="9"/>
  <c r="P599" i="9"/>
  <c r="H599" i="9"/>
  <c r="J599" i="9" s="1"/>
  <c r="O599" i="9"/>
  <c r="G599" i="9"/>
  <c r="F599" i="9"/>
  <c r="E599" i="9"/>
  <c r="A600" i="9"/>
  <c r="N599" i="9"/>
  <c r="M599" i="9"/>
  <c r="L598" i="9"/>
  <c r="R598" i="9" l="1"/>
  <c r="R593" i="9"/>
  <c r="L599" i="9"/>
  <c r="P600" i="9"/>
  <c r="H600" i="9"/>
  <c r="J600" i="9" s="1"/>
  <c r="O600" i="9"/>
  <c r="G600" i="9"/>
  <c r="N600" i="9"/>
  <c r="F600" i="9"/>
  <c r="A601" i="9"/>
  <c r="M600" i="9"/>
  <c r="E600" i="9"/>
  <c r="D600" i="9"/>
  <c r="K600" i="9"/>
  <c r="C600" i="9"/>
  <c r="Q600" i="9"/>
  <c r="I600" i="9"/>
  <c r="B600" i="9"/>
  <c r="R594" i="9" l="1"/>
  <c r="L600" i="9"/>
  <c r="D601" i="9"/>
  <c r="K601" i="9"/>
  <c r="C601" i="9"/>
  <c r="B601" i="9"/>
  <c r="Q601" i="9"/>
  <c r="I601" i="9"/>
  <c r="P601" i="9"/>
  <c r="H601" i="9"/>
  <c r="J601" i="9" s="1"/>
  <c r="O601" i="9"/>
  <c r="G601" i="9"/>
  <c r="A602" i="9"/>
  <c r="N601" i="9"/>
  <c r="M601" i="9"/>
  <c r="F601" i="9"/>
  <c r="E601" i="9"/>
  <c r="R595" i="9" l="1"/>
  <c r="P602" i="9"/>
  <c r="H602" i="9"/>
  <c r="J602" i="9" s="1"/>
  <c r="O602" i="9"/>
  <c r="G602" i="9"/>
  <c r="N602" i="9"/>
  <c r="F602" i="9"/>
  <c r="A603" i="9"/>
  <c r="M602" i="9"/>
  <c r="E602" i="9"/>
  <c r="D602" i="9"/>
  <c r="K602" i="9"/>
  <c r="C602" i="9"/>
  <c r="I602" i="9"/>
  <c r="B602" i="9"/>
  <c r="Q602" i="9"/>
  <c r="L601" i="9"/>
  <c r="R596" i="9" l="1"/>
  <c r="D603" i="9"/>
  <c r="K603" i="9"/>
  <c r="C603" i="9"/>
  <c r="B603" i="9"/>
  <c r="Q603" i="9"/>
  <c r="I603" i="9"/>
  <c r="P603" i="9"/>
  <c r="H603" i="9"/>
  <c r="J603" i="9" s="1"/>
  <c r="O603" i="9"/>
  <c r="G603" i="9"/>
  <c r="A604" i="9"/>
  <c r="N603" i="9"/>
  <c r="M603" i="9"/>
  <c r="F603" i="9"/>
  <c r="E603" i="9"/>
  <c r="L602" i="9"/>
  <c r="P604" i="9" l="1"/>
  <c r="H604" i="9"/>
  <c r="J604" i="9" s="1"/>
  <c r="O604" i="9"/>
  <c r="G604" i="9"/>
  <c r="N604" i="9"/>
  <c r="F604" i="9"/>
  <c r="A605" i="9"/>
  <c r="M604" i="9"/>
  <c r="E604" i="9"/>
  <c r="D604" i="9"/>
  <c r="K604" i="9"/>
  <c r="C604" i="9"/>
  <c r="B604" i="9"/>
  <c r="Q604" i="9"/>
  <c r="I604" i="9"/>
  <c r="L603" i="9"/>
  <c r="D605" i="9" l="1"/>
  <c r="K605" i="9"/>
  <c r="C605" i="9"/>
  <c r="B605" i="9"/>
  <c r="Q605" i="9"/>
  <c r="I605" i="9"/>
  <c r="P605" i="9"/>
  <c r="H605" i="9"/>
  <c r="J605" i="9" s="1"/>
  <c r="O605" i="9"/>
  <c r="G605" i="9"/>
  <c r="N605" i="9"/>
  <c r="M605" i="9"/>
  <c r="F605" i="9"/>
  <c r="E605" i="9"/>
  <c r="A606" i="9"/>
  <c r="L604" i="9"/>
  <c r="R604" i="9" l="1"/>
  <c r="R599" i="9"/>
  <c r="L605" i="9"/>
  <c r="P606" i="9"/>
  <c r="H606" i="9"/>
  <c r="J606" i="9" s="1"/>
  <c r="O606" i="9"/>
  <c r="G606" i="9"/>
  <c r="N606" i="9"/>
  <c r="F606" i="9"/>
  <c r="A607" i="9"/>
  <c r="M606" i="9"/>
  <c r="E606" i="9"/>
  <c r="D606" i="9"/>
  <c r="K606" i="9"/>
  <c r="C606" i="9"/>
  <c r="Q606" i="9"/>
  <c r="I606" i="9"/>
  <c r="B606" i="9"/>
  <c r="R605" i="9" l="1"/>
  <c r="R600" i="9"/>
  <c r="L606" i="9"/>
  <c r="D607" i="9"/>
  <c r="K607" i="9"/>
  <c r="C607" i="9"/>
  <c r="B607" i="9"/>
  <c r="Q607" i="9"/>
  <c r="I607" i="9"/>
  <c r="P607" i="9"/>
  <c r="H607" i="9"/>
  <c r="J607" i="9" s="1"/>
  <c r="O607" i="9"/>
  <c r="G607" i="9"/>
  <c r="F607" i="9"/>
  <c r="E607" i="9"/>
  <c r="A608" i="9"/>
  <c r="N607" i="9"/>
  <c r="M607" i="9"/>
  <c r="R601" i="9" l="1"/>
  <c r="L607" i="9"/>
  <c r="P608" i="9"/>
  <c r="H608" i="9"/>
  <c r="J608" i="9" s="1"/>
  <c r="O608" i="9"/>
  <c r="G608" i="9"/>
  <c r="N608" i="9"/>
  <c r="F608" i="9"/>
  <c r="A609" i="9"/>
  <c r="M608" i="9"/>
  <c r="E608" i="9"/>
  <c r="D608" i="9"/>
  <c r="K608" i="9"/>
  <c r="C608" i="9"/>
  <c r="Q608" i="9"/>
  <c r="I608" i="9"/>
  <c r="B608" i="9"/>
  <c r="R602" i="9" l="1"/>
  <c r="D609" i="9"/>
  <c r="K609" i="9"/>
  <c r="C609" i="9"/>
  <c r="B609" i="9"/>
  <c r="Q609" i="9"/>
  <c r="I609" i="9"/>
  <c r="P609" i="9"/>
  <c r="H609" i="9"/>
  <c r="J609" i="9" s="1"/>
  <c r="O609" i="9"/>
  <c r="G609" i="9"/>
  <c r="A610" i="9"/>
  <c r="N609" i="9"/>
  <c r="M609" i="9"/>
  <c r="F609" i="9"/>
  <c r="E609" i="9"/>
  <c r="L608" i="9"/>
  <c r="R603" i="9" l="1"/>
  <c r="P610" i="9"/>
  <c r="H610" i="9"/>
  <c r="J610" i="9" s="1"/>
  <c r="O610" i="9"/>
  <c r="G610" i="9"/>
  <c r="N610" i="9"/>
  <c r="F610" i="9"/>
  <c r="A611" i="9"/>
  <c r="M610" i="9"/>
  <c r="E610" i="9"/>
  <c r="D610" i="9"/>
  <c r="K610" i="9"/>
  <c r="C610" i="9"/>
  <c r="I610" i="9"/>
  <c r="B610" i="9"/>
  <c r="Q610" i="9"/>
  <c r="L609" i="9"/>
  <c r="D611" i="9" l="1"/>
  <c r="K611" i="9"/>
  <c r="C611" i="9"/>
  <c r="B611" i="9"/>
  <c r="Q611" i="9"/>
  <c r="I611" i="9"/>
  <c r="P611" i="9"/>
  <c r="H611" i="9"/>
  <c r="J611" i="9" s="1"/>
  <c r="O611" i="9"/>
  <c r="G611" i="9"/>
  <c r="A612" i="9"/>
  <c r="N611" i="9"/>
  <c r="M611" i="9"/>
  <c r="F611" i="9"/>
  <c r="E611" i="9"/>
  <c r="L610" i="9"/>
  <c r="P612" i="9" l="1"/>
  <c r="H612" i="9"/>
  <c r="J612" i="9" s="1"/>
  <c r="O612" i="9"/>
  <c r="G612" i="9"/>
  <c r="N612" i="9"/>
  <c r="F612" i="9"/>
  <c r="A613" i="9"/>
  <c r="M612" i="9"/>
  <c r="E612" i="9"/>
  <c r="D612" i="9"/>
  <c r="K612" i="9"/>
  <c r="C612" i="9"/>
  <c r="B612" i="9"/>
  <c r="Q612" i="9"/>
  <c r="I612" i="9"/>
  <c r="L611" i="9"/>
  <c r="R611" i="9" l="1"/>
  <c r="R606" i="9"/>
  <c r="D613" i="9"/>
  <c r="K613" i="9"/>
  <c r="C613" i="9"/>
  <c r="B613" i="9"/>
  <c r="Q613" i="9"/>
  <c r="I613" i="9"/>
  <c r="P613" i="9"/>
  <c r="H613" i="9"/>
  <c r="J613" i="9" s="1"/>
  <c r="O613" i="9"/>
  <c r="G613" i="9"/>
  <c r="N613" i="9"/>
  <c r="M613" i="9"/>
  <c r="F613" i="9"/>
  <c r="E613" i="9"/>
  <c r="A614" i="9"/>
  <c r="L612" i="9"/>
  <c r="R612" i="9" l="1"/>
  <c r="R607" i="9"/>
  <c r="L613" i="9"/>
  <c r="P614" i="9"/>
  <c r="H614" i="9"/>
  <c r="J614" i="9" s="1"/>
  <c r="O614" i="9"/>
  <c r="G614" i="9"/>
  <c r="N614" i="9"/>
  <c r="F614" i="9"/>
  <c r="A615" i="9"/>
  <c r="M614" i="9"/>
  <c r="E614" i="9"/>
  <c r="D614" i="9"/>
  <c r="K614" i="9"/>
  <c r="C614" i="9"/>
  <c r="Q614" i="9"/>
  <c r="I614" i="9"/>
  <c r="B614" i="9"/>
  <c r="R608" i="9" l="1"/>
  <c r="D615" i="9"/>
  <c r="K615" i="9"/>
  <c r="C615" i="9"/>
  <c r="B615" i="9"/>
  <c r="Q615" i="9"/>
  <c r="I615" i="9"/>
  <c r="P615" i="9"/>
  <c r="H615" i="9"/>
  <c r="J615" i="9" s="1"/>
  <c r="O615" i="9"/>
  <c r="G615" i="9"/>
  <c r="F615" i="9"/>
  <c r="E615" i="9"/>
  <c r="A616" i="9"/>
  <c r="N615" i="9"/>
  <c r="M615" i="9"/>
  <c r="L614" i="9"/>
  <c r="R609" i="9" l="1"/>
  <c r="P616" i="9"/>
  <c r="H616" i="9"/>
  <c r="J616" i="9" s="1"/>
  <c r="O616" i="9"/>
  <c r="G616" i="9"/>
  <c r="N616" i="9"/>
  <c r="F616" i="9"/>
  <c r="A617" i="9"/>
  <c r="M616" i="9"/>
  <c r="E616" i="9"/>
  <c r="D616" i="9"/>
  <c r="K616" i="9"/>
  <c r="C616" i="9"/>
  <c r="Q616" i="9"/>
  <c r="I616" i="9"/>
  <c r="B616" i="9"/>
  <c r="L615" i="9"/>
  <c r="R610" i="9" l="1"/>
  <c r="D617" i="9"/>
  <c r="K617" i="9"/>
  <c r="C617" i="9"/>
  <c r="B617" i="9"/>
  <c r="Q617" i="9"/>
  <c r="I617" i="9"/>
  <c r="P617" i="9"/>
  <c r="H617" i="9"/>
  <c r="J617" i="9" s="1"/>
  <c r="O617" i="9"/>
  <c r="G617" i="9"/>
  <c r="A618" i="9"/>
  <c r="N617" i="9"/>
  <c r="M617" i="9"/>
  <c r="F617" i="9"/>
  <c r="E617" i="9"/>
  <c r="L616" i="9"/>
  <c r="P618" i="9" l="1"/>
  <c r="H618" i="9"/>
  <c r="J618" i="9" s="1"/>
  <c r="O618" i="9"/>
  <c r="G618" i="9"/>
  <c r="N618" i="9"/>
  <c r="F618" i="9"/>
  <c r="A619" i="9"/>
  <c r="M618" i="9"/>
  <c r="E618" i="9"/>
  <c r="D618" i="9"/>
  <c r="K618" i="9"/>
  <c r="C618" i="9"/>
  <c r="I618" i="9"/>
  <c r="B618" i="9"/>
  <c r="Q618" i="9"/>
  <c r="L617" i="9"/>
  <c r="D619" i="9" l="1"/>
  <c r="K619" i="9"/>
  <c r="C619" i="9"/>
  <c r="B619" i="9"/>
  <c r="Q619" i="9"/>
  <c r="I619" i="9"/>
  <c r="P619" i="9"/>
  <c r="H619" i="9"/>
  <c r="J619" i="9" s="1"/>
  <c r="O619" i="9"/>
  <c r="G619" i="9"/>
  <c r="A620" i="9"/>
  <c r="N619" i="9"/>
  <c r="M619" i="9"/>
  <c r="F619" i="9"/>
  <c r="E619" i="9"/>
  <c r="L618" i="9"/>
  <c r="R618" i="9" l="1"/>
  <c r="R613" i="9"/>
  <c r="P620" i="9"/>
  <c r="H620" i="9"/>
  <c r="J620" i="9" s="1"/>
  <c r="O620" i="9"/>
  <c r="G620" i="9"/>
  <c r="N620" i="9"/>
  <c r="F620" i="9"/>
  <c r="A621" i="9"/>
  <c r="M620" i="9"/>
  <c r="E620" i="9"/>
  <c r="D620" i="9"/>
  <c r="K620" i="9"/>
  <c r="C620" i="9"/>
  <c r="B620" i="9"/>
  <c r="Q620" i="9"/>
  <c r="I620" i="9"/>
  <c r="L619" i="9"/>
  <c r="R619" i="9" l="1"/>
  <c r="R614" i="9"/>
  <c r="D621" i="9"/>
  <c r="K621" i="9"/>
  <c r="C621" i="9"/>
  <c r="B621" i="9"/>
  <c r="Q621" i="9"/>
  <c r="I621" i="9"/>
  <c r="P621" i="9"/>
  <c r="H621" i="9"/>
  <c r="J621" i="9" s="1"/>
  <c r="O621" i="9"/>
  <c r="G621" i="9"/>
  <c r="N621" i="9"/>
  <c r="M621" i="9"/>
  <c r="F621" i="9"/>
  <c r="E621" i="9"/>
  <c r="A622" i="9"/>
  <c r="L620" i="9"/>
  <c r="R615" i="9" l="1"/>
  <c r="L621" i="9"/>
  <c r="P622" i="9"/>
  <c r="H622" i="9"/>
  <c r="J622" i="9" s="1"/>
  <c r="O622" i="9"/>
  <c r="G622" i="9"/>
  <c r="N622" i="9"/>
  <c r="F622" i="9"/>
  <c r="A623" i="9"/>
  <c r="M622" i="9"/>
  <c r="E622" i="9"/>
  <c r="D622" i="9"/>
  <c r="K622" i="9"/>
  <c r="C622" i="9"/>
  <c r="Q622" i="9"/>
  <c r="I622" i="9"/>
  <c r="B622" i="9"/>
  <c r="R616" i="9" l="1"/>
  <c r="D623" i="9"/>
  <c r="K623" i="9"/>
  <c r="C623" i="9"/>
  <c r="B623" i="9"/>
  <c r="Q623" i="9"/>
  <c r="I623" i="9"/>
  <c r="P623" i="9"/>
  <c r="H623" i="9"/>
  <c r="J623" i="9" s="1"/>
  <c r="O623" i="9"/>
  <c r="G623" i="9"/>
  <c r="F623" i="9"/>
  <c r="E623" i="9"/>
  <c r="A624" i="9"/>
  <c r="N623" i="9"/>
  <c r="M623" i="9"/>
  <c r="L622" i="9"/>
  <c r="R617" i="9" l="1"/>
  <c r="L623" i="9"/>
  <c r="P624" i="9"/>
  <c r="H624" i="9"/>
  <c r="J624" i="9" s="1"/>
  <c r="O624" i="9"/>
  <c r="G624" i="9"/>
  <c r="N624" i="9"/>
  <c r="F624" i="9"/>
  <c r="A625" i="9"/>
  <c r="M624" i="9"/>
  <c r="E624" i="9"/>
  <c r="D624" i="9"/>
  <c r="K624" i="9"/>
  <c r="C624" i="9"/>
  <c r="Q624" i="9"/>
  <c r="I624" i="9"/>
  <c r="B624" i="9"/>
  <c r="A626" i="9" l="1"/>
  <c r="M625" i="9"/>
  <c r="D625" i="9"/>
  <c r="K625" i="9"/>
  <c r="C625" i="9"/>
  <c r="B625" i="9"/>
  <c r="I625" i="9"/>
  <c r="Q625" i="9"/>
  <c r="H625" i="9"/>
  <c r="J625" i="9" s="1"/>
  <c r="P625" i="9"/>
  <c r="G625" i="9"/>
  <c r="O625" i="9"/>
  <c r="N625" i="9"/>
  <c r="F625" i="9"/>
  <c r="E625" i="9"/>
  <c r="L624" i="9"/>
  <c r="R624" i="9" s="1"/>
  <c r="L625" i="9" l="1"/>
  <c r="Q626" i="9"/>
  <c r="I626" i="9"/>
  <c r="K626" i="9"/>
  <c r="B626" i="9"/>
  <c r="H626" i="9"/>
  <c r="J626" i="9" s="1"/>
  <c r="P626" i="9"/>
  <c r="G626" i="9"/>
  <c r="O626" i="9"/>
  <c r="F626" i="9"/>
  <c r="N626" i="9"/>
  <c r="E626" i="9"/>
  <c r="M626" i="9"/>
  <c r="D626" i="9"/>
  <c r="C626" i="9"/>
  <c r="A627" i="9"/>
  <c r="R625" i="9" l="1"/>
  <c r="R620" i="9"/>
  <c r="A628" i="9"/>
  <c r="M627" i="9"/>
  <c r="E627" i="9"/>
  <c r="I627" i="9"/>
  <c r="Q627" i="9"/>
  <c r="H627" i="9"/>
  <c r="J627" i="9" s="1"/>
  <c r="P627" i="9"/>
  <c r="G627" i="9"/>
  <c r="O627" i="9"/>
  <c r="F627" i="9"/>
  <c r="N627" i="9"/>
  <c r="D627" i="9"/>
  <c r="C627" i="9"/>
  <c r="K627" i="9"/>
  <c r="B627" i="9"/>
  <c r="L626" i="9"/>
  <c r="L627" i="9" l="1"/>
  <c r="R626" i="9"/>
  <c r="R621" i="9"/>
  <c r="Q628" i="9"/>
  <c r="I628" i="9"/>
  <c r="P628" i="9"/>
  <c r="G628" i="9"/>
  <c r="O628" i="9"/>
  <c r="F628" i="9"/>
  <c r="N628" i="9"/>
  <c r="E628" i="9"/>
  <c r="M628" i="9"/>
  <c r="D628" i="9"/>
  <c r="A629" i="9"/>
  <c r="C628" i="9"/>
  <c r="K628" i="9"/>
  <c r="B628" i="9"/>
  <c r="H628" i="9"/>
  <c r="J628" i="9" s="1"/>
  <c r="R627" i="9" l="1"/>
  <c r="R622" i="9"/>
  <c r="L628" i="9"/>
  <c r="A630" i="9"/>
  <c r="M629" i="9"/>
  <c r="E629" i="9"/>
  <c r="O629" i="9"/>
  <c r="F629" i="9"/>
  <c r="N629" i="9"/>
  <c r="D629" i="9"/>
  <c r="C629" i="9"/>
  <c r="K629" i="9"/>
  <c r="B629" i="9"/>
  <c r="I629" i="9"/>
  <c r="Q629" i="9"/>
  <c r="P629" i="9"/>
  <c r="H629" i="9"/>
  <c r="J629" i="9" s="1"/>
  <c r="G629" i="9"/>
  <c r="R623" i="9" l="1"/>
  <c r="L629" i="9"/>
  <c r="Q630" i="9"/>
  <c r="I630" i="9"/>
  <c r="M630" i="9"/>
  <c r="D630" i="9"/>
  <c r="A631" i="9"/>
  <c r="C630" i="9"/>
  <c r="K630" i="9"/>
  <c r="B630" i="9"/>
  <c r="H630" i="9"/>
  <c r="J630" i="9" s="1"/>
  <c r="L630" i="9" s="1"/>
  <c r="P630" i="9"/>
  <c r="G630" i="9"/>
  <c r="F630" i="9"/>
  <c r="E630" i="9"/>
  <c r="O630" i="9"/>
  <c r="N630" i="9"/>
  <c r="A632" i="9" l="1"/>
  <c r="M631" i="9"/>
  <c r="E631" i="9"/>
  <c r="K631" i="9"/>
  <c r="B631" i="9"/>
  <c r="I631" i="9"/>
  <c r="Q631" i="9"/>
  <c r="H631" i="9"/>
  <c r="J631" i="9" s="1"/>
  <c r="P631" i="9"/>
  <c r="G631" i="9"/>
  <c r="O631" i="9"/>
  <c r="F631" i="9"/>
  <c r="N631" i="9"/>
  <c r="D631" i="9"/>
  <c r="C631" i="9"/>
  <c r="L631" i="9" l="1"/>
  <c r="Q632" i="9"/>
  <c r="I632" i="9"/>
  <c r="A633" i="9"/>
  <c r="M632" i="9"/>
  <c r="H632" i="9"/>
  <c r="J632" i="9" s="1"/>
  <c r="G632" i="9"/>
  <c r="P632" i="9"/>
  <c r="F632" i="9"/>
  <c r="O632" i="9"/>
  <c r="E632" i="9"/>
  <c r="N632" i="9"/>
  <c r="D632" i="9"/>
  <c r="C632" i="9"/>
  <c r="B632" i="9"/>
  <c r="K632" i="9"/>
  <c r="L632" i="9" l="1"/>
  <c r="R632" i="9" s="1"/>
  <c r="A634" i="9"/>
  <c r="M633" i="9"/>
  <c r="E633" i="9"/>
  <c r="Q633" i="9"/>
  <c r="I633" i="9"/>
  <c r="P633" i="9"/>
  <c r="H633" i="9"/>
  <c r="J633" i="9" s="1"/>
  <c r="N633" i="9"/>
  <c r="B633" i="9"/>
  <c r="K633" i="9"/>
  <c r="G633" i="9"/>
  <c r="F633" i="9"/>
  <c r="O633" i="9"/>
  <c r="D633" i="9"/>
  <c r="C633" i="9"/>
  <c r="Q634" i="9" l="1"/>
  <c r="I634" i="9"/>
  <c r="P634" i="9"/>
  <c r="H634" i="9"/>
  <c r="J634" i="9" s="1"/>
  <c r="A635" i="9"/>
  <c r="M634" i="9"/>
  <c r="E634" i="9"/>
  <c r="D634" i="9"/>
  <c r="G634" i="9"/>
  <c r="F634" i="9"/>
  <c r="C634" i="9"/>
  <c r="B634" i="9"/>
  <c r="O634" i="9"/>
  <c r="N634" i="9"/>
  <c r="K634" i="9"/>
  <c r="L633" i="9"/>
  <c r="R633" i="9" l="1"/>
  <c r="R628" i="9"/>
  <c r="A636" i="9"/>
  <c r="M635" i="9"/>
  <c r="E635" i="9"/>
  <c r="D635" i="9"/>
  <c r="Q635" i="9"/>
  <c r="I635" i="9"/>
  <c r="P635" i="9"/>
  <c r="H635" i="9"/>
  <c r="J635" i="9" s="1"/>
  <c r="F635" i="9"/>
  <c r="C635" i="9"/>
  <c r="B635" i="9"/>
  <c r="O635" i="9"/>
  <c r="N635" i="9"/>
  <c r="K635" i="9"/>
  <c r="G635" i="9"/>
  <c r="L634" i="9"/>
  <c r="R629" i="9" l="1"/>
  <c r="L635" i="9"/>
  <c r="Q636" i="9"/>
  <c r="I636" i="9"/>
  <c r="P636" i="9"/>
  <c r="H636" i="9"/>
  <c r="J636" i="9" s="1"/>
  <c r="A637" i="9"/>
  <c r="M636" i="9"/>
  <c r="E636" i="9"/>
  <c r="D636" i="9"/>
  <c r="B636" i="9"/>
  <c r="O636" i="9"/>
  <c r="N636" i="9"/>
  <c r="K636" i="9"/>
  <c r="G636" i="9"/>
  <c r="F636" i="9"/>
  <c r="C636" i="9"/>
  <c r="R630" i="9" l="1"/>
  <c r="A638" i="9"/>
  <c r="M637" i="9"/>
  <c r="E637" i="9"/>
  <c r="D637" i="9"/>
  <c r="Q637" i="9"/>
  <c r="I637" i="9"/>
  <c r="P637" i="9"/>
  <c r="H637" i="9"/>
  <c r="J637" i="9" s="1"/>
  <c r="N637" i="9"/>
  <c r="K637" i="9"/>
  <c r="G637" i="9"/>
  <c r="F637" i="9"/>
  <c r="C637" i="9"/>
  <c r="O637" i="9"/>
  <c r="B637" i="9"/>
  <c r="L636" i="9"/>
  <c r="R631" i="9" l="1"/>
  <c r="L637" i="9"/>
  <c r="Q638" i="9"/>
  <c r="I638" i="9"/>
  <c r="P638" i="9"/>
  <c r="H638" i="9"/>
  <c r="J638" i="9" s="1"/>
  <c r="A639" i="9"/>
  <c r="M638" i="9"/>
  <c r="E638" i="9"/>
  <c r="D638" i="9"/>
  <c r="G638" i="9"/>
  <c r="F638" i="9"/>
  <c r="C638" i="9"/>
  <c r="B638" i="9"/>
  <c r="O638" i="9"/>
  <c r="N638" i="9"/>
  <c r="K638" i="9"/>
  <c r="A640" i="9" l="1"/>
  <c r="M639" i="9"/>
  <c r="E639" i="9"/>
  <c r="D639" i="9"/>
  <c r="Q639" i="9"/>
  <c r="I639" i="9"/>
  <c r="P639" i="9"/>
  <c r="H639" i="9"/>
  <c r="J639" i="9" s="1"/>
  <c r="F639" i="9"/>
  <c r="C639" i="9"/>
  <c r="B639" i="9"/>
  <c r="O639" i="9"/>
  <c r="N639" i="9"/>
  <c r="K639" i="9"/>
  <c r="G639" i="9"/>
  <c r="L638" i="9"/>
  <c r="L639" i="9" l="1"/>
  <c r="Q640" i="9"/>
  <c r="I640" i="9"/>
  <c r="P640" i="9"/>
  <c r="H640" i="9"/>
  <c r="J640" i="9" s="1"/>
  <c r="A641" i="9"/>
  <c r="M640" i="9"/>
  <c r="E640" i="9"/>
  <c r="D640" i="9"/>
  <c r="B640" i="9"/>
  <c r="O640" i="9"/>
  <c r="N640" i="9"/>
  <c r="K640" i="9"/>
  <c r="G640" i="9"/>
  <c r="F640" i="9"/>
  <c r="C640" i="9"/>
  <c r="R639" i="9" l="1"/>
  <c r="R634" i="9"/>
  <c r="A642" i="9"/>
  <c r="M641" i="9"/>
  <c r="E641" i="9"/>
  <c r="D641" i="9"/>
  <c r="B641" i="9"/>
  <c r="Q641" i="9"/>
  <c r="I641" i="9"/>
  <c r="P641" i="9"/>
  <c r="H641" i="9"/>
  <c r="J641" i="9" s="1"/>
  <c r="O641" i="9"/>
  <c r="N641" i="9"/>
  <c r="K641" i="9"/>
  <c r="G641" i="9"/>
  <c r="F641" i="9"/>
  <c r="C641" i="9"/>
  <c r="L640" i="9"/>
  <c r="R640" i="9" l="1"/>
  <c r="R635" i="9"/>
  <c r="L641" i="9"/>
  <c r="Q642" i="9"/>
  <c r="I642" i="9"/>
  <c r="P642" i="9"/>
  <c r="H642" i="9"/>
  <c r="J642" i="9" s="1"/>
  <c r="N642" i="9"/>
  <c r="F642" i="9"/>
  <c r="A643" i="9"/>
  <c r="M642" i="9"/>
  <c r="E642" i="9"/>
  <c r="D642" i="9"/>
  <c r="O642" i="9"/>
  <c r="K642" i="9"/>
  <c r="G642" i="9"/>
  <c r="C642" i="9"/>
  <c r="B642" i="9"/>
  <c r="R641" i="9" l="1"/>
  <c r="R636" i="9"/>
  <c r="L642" i="9"/>
  <c r="A644" i="9"/>
  <c r="M643" i="9"/>
  <c r="E643" i="9"/>
  <c r="D643" i="9"/>
  <c r="B643" i="9"/>
  <c r="Q643" i="9"/>
  <c r="I643" i="9"/>
  <c r="P643" i="9"/>
  <c r="H643" i="9"/>
  <c r="J643" i="9" s="1"/>
  <c r="O643" i="9"/>
  <c r="N643" i="9"/>
  <c r="K643" i="9"/>
  <c r="G643" i="9"/>
  <c r="F643" i="9"/>
  <c r="C643" i="9"/>
  <c r="R637" i="9" l="1"/>
  <c r="L643" i="9"/>
  <c r="Q644" i="9"/>
  <c r="I644" i="9"/>
  <c r="P644" i="9"/>
  <c r="H644" i="9"/>
  <c r="J644" i="9" s="1"/>
  <c r="N644" i="9"/>
  <c r="F644" i="9"/>
  <c r="A645" i="9"/>
  <c r="M644" i="9"/>
  <c r="E644" i="9"/>
  <c r="D644" i="9"/>
  <c r="B644" i="9"/>
  <c r="O644" i="9"/>
  <c r="K644" i="9"/>
  <c r="G644" i="9"/>
  <c r="C644" i="9"/>
  <c r="R638" i="9" l="1"/>
  <c r="L644" i="9"/>
  <c r="A646" i="9"/>
  <c r="M645" i="9"/>
  <c r="E645" i="9"/>
  <c r="D645" i="9"/>
  <c r="B645" i="9"/>
  <c r="Q645" i="9"/>
  <c r="I645" i="9"/>
  <c r="P645" i="9"/>
  <c r="H645" i="9"/>
  <c r="J645" i="9" s="1"/>
  <c r="C645" i="9"/>
  <c r="O645" i="9"/>
  <c r="N645" i="9"/>
  <c r="K645" i="9"/>
  <c r="G645" i="9"/>
  <c r="F645" i="9"/>
  <c r="L645" i="9" l="1"/>
  <c r="Q646" i="9"/>
  <c r="I646" i="9"/>
  <c r="P646" i="9"/>
  <c r="H646" i="9"/>
  <c r="J646" i="9" s="1"/>
  <c r="N646" i="9"/>
  <c r="F646" i="9"/>
  <c r="A647" i="9"/>
  <c r="M646" i="9"/>
  <c r="E646" i="9"/>
  <c r="D646" i="9"/>
  <c r="C646" i="9"/>
  <c r="B646" i="9"/>
  <c r="O646" i="9"/>
  <c r="K646" i="9"/>
  <c r="G646" i="9"/>
  <c r="A648" i="9" l="1"/>
  <c r="M647" i="9"/>
  <c r="E647" i="9"/>
  <c r="D647" i="9"/>
  <c r="B647" i="9"/>
  <c r="Q647" i="9"/>
  <c r="I647" i="9"/>
  <c r="P647" i="9"/>
  <c r="H647" i="9"/>
  <c r="J647" i="9" s="1"/>
  <c r="F647" i="9"/>
  <c r="C647" i="9"/>
  <c r="O647" i="9"/>
  <c r="N647" i="9"/>
  <c r="K647" i="9"/>
  <c r="G647" i="9"/>
  <c r="L646" i="9"/>
  <c r="R646" i="9" s="1"/>
  <c r="L647" i="9" l="1"/>
  <c r="Q648" i="9"/>
  <c r="I648" i="9"/>
  <c r="P648" i="9"/>
  <c r="H648" i="9"/>
  <c r="J648" i="9" s="1"/>
  <c r="N648" i="9"/>
  <c r="F648" i="9"/>
  <c r="A649" i="9"/>
  <c r="M648" i="9"/>
  <c r="E648" i="9"/>
  <c r="D648" i="9"/>
  <c r="G648" i="9"/>
  <c r="C648" i="9"/>
  <c r="B648" i="9"/>
  <c r="O648" i="9"/>
  <c r="K648" i="9"/>
  <c r="R647" i="9" l="1"/>
  <c r="R642" i="9"/>
  <c r="A650" i="9"/>
  <c r="M649" i="9"/>
  <c r="E649" i="9"/>
  <c r="D649" i="9"/>
  <c r="B649" i="9"/>
  <c r="Q649" i="9"/>
  <c r="I649" i="9"/>
  <c r="P649" i="9"/>
  <c r="H649" i="9"/>
  <c r="J649" i="9" s="1"/>
  <c r="G649" i="9"/>
  <c r="F649" i="9"/>
  <c r="C649" i="9"/>
  <c r="O649" i="9"/>
  <c r="N649" i="9"/>
  <c r="K649" i="9"/>
  <c r="L648" i="9"/>
  <c r="R643" i="9" l="1"/>
  <c r="L649" i="9"/>
  <c r="Q650" i="9"/>
  <c r="I650" i="9"/>
  <c r="P650" i="9"/>
  <c r="H650" i="9"/>
  <c r="J650" i="9" s="1"/>
  <c r="N650" i="9"/>
  <c r="F650" i="9"/>
  <c r="A651" i="9"/>
  <c r="M650" i="9"/>
  <c r="E650" i="9"/>
  <c r="D650" i="9"/>
  <c r="G650" i="9"/>
  <c r="C650" i="9"/>
  <c r="B650" i="9"/>
  <c r="O650" i="9"/>
  <c r="K650" i="9"/>
  <c r="R644" i="9" l="1"/>
  <c r="A652" i="9"/>
  <c r="M651" i="9"/>
  <c r="E651" i="9"/>
  <c r="D651" i="9"/>
  <c r="B651" i="9"/>
  <c r="Q651" i="9"/>
  <c r="I651" i="9"/>
  <c r="P651" i="9"/>
  <c r="H651" i="9"/>
  <c r="J651" i="9" s="1"/>
  <c r="K651" i="9"/>
  <c r="G651" i="9"/>
  <c r="F651" i="9"/>
  <c r="C651" i="9"/>
  <c r="O651" i="9"/>
  <c r="N651" i="9"/>
  <c r="L650" i="9"/>
  <c r="R645" i="9" l="1"/>
  <c r="L651" i="9"/>
  <c r="Q652" i="9"/>
  <c r="I652" i="9"/>
  <c r="P652" i="9"/>
  <c r="H652" i="9"/>
  <c r="J652" i="9" s="1"/>
  <c r="N652" i="9"/>
  <c r="F652" i="9"/>
  <c r="A653" i="9"/>
  <c r="M652" i="9"/>
  <c r="E652" i="9"/>
  <c r="D652" i="9"/>
  <c r="K652" i="9"/>
  <c r="G652" i="9"/>
  <c r="C652" i="9"/>
  <c r="B652" i="9"/>
  <c r="O652" i="9"/>
  <c r="L652" i="9" l="1"/>
  <c r="A654" i="9"/>
  <c r="M653" i="9"/>
  <c r="E653" i="9"/>
  <c r="D653" i="9"/>
  <c r="B653" i="9"/>
  <c r="Q653" i="9"/>
  <c r="I653" i="9"/>
  <c r="P653" i="9"/>
  <c r="H653" i="9"/>
  <c r="J653" i="9" s="1"/>
  <c r="N653" i="9"/>
  <c r="K653" i="9"/>
  <c r="G653" i="9"/>
  <c r="F653" i="9"/>
  <c r="C653" i="9"/>
  <c r="O653" i="9"/>
  <c r="L653" i="9" l="1"/>
  <c r="Q654" i="9"/>
  <c r="I654" i="9"/>
  <c r="P654" i="9"/>
  <c r="H654" i="9"/>
  <c r="J654" i="9" s="1"/>
  <c r="N654" i="9"/>
  <c r="F654" i="9"/>
  <c r="A655" i="9"/>
  <c r="M654" i="9"/>
  <c r="E654" i="9"/>
  <c r="D654" i="9"/>
  <c r="O654" i="9"/>
  <c r="K654" i="9"/>
  <c r="G654" i="9"/>
  <c r="C654" i="9"/>
  <c r="B654" i="9"/>
  <c r="R653" i="9" l="1"/>
  <c r="R648" i="9"/>
  <c r="L654" i="9"/>
  <c r="A656" i="9"/>
  <c r="M655" i="9"/>
  <c r="E655" i="9"/>
  <c r="D655" i="9"/>
  <c r="B655" i="9"/>
  <c r="Q655" i="9"/>
  <c r="I655" i="9"/>
  <c r="P655" i="9"/>
  <c r="H655" i="9"/>
  <c r="J655" i="9" s="1"/>
  <c r="O655" i="9"/>
  <c r="N655" i="9"/>
  <c r="K655" i="9"/>
  <c r="G655" i="9"/>
  <c r="F655" i="9"/>
  <c r="C655" i="9"/>
  <c r="R654" i="9" l="1"/>
  <c r="R649" i="9"/>
  <c r="L655" i="9"/>
  <c r="Q656" i="9"/>
  <c r="I656" i="9"/>
  <c r="P656" i="9"/>
  <c r="H656" i="9"/>
  <c r="J656" i="9" s="1"/>
  <c r="O656" i="9"/>
  <c r="N656" i="9"/>
  <c r="F656" i="9"/>
  <c r="A657" i="9"/>
  <c r="M656" i="9"/>
  <c r="E656" i="9"/>
  <c r="D656" i="9"/>
  <c r="K656" i="9"/>
  <c r="G656" i="9"/>
  <c r="C656" i="9"/>
  <c r="B656" i="9"/>
  <c r="R650" i="9" l="1"/>
  <c r="L656" i="9"/>
  <c r="A658" i="9"/>
  <c r="M657" i="9"/>
  <c r="E657" i="9"/>
  <c r="D657" i="9"/>
  <c r="K657" i="9"/>
  <c r="C657" i="9"/>
  <c r="B657" i="9"/>
  <c r="Q657" i="9"/>
  <c r="I657" i="9"/>
  <c r="P657" i="9"/>
  <c r="H657" i="9"/>
  <c r="J657" i="9" s="1"/>
  <c r="O657" i="9"/>
  <c r="N657" i="9"/>
  <c r="G657" i="9"/>
  <c r="F657" i="9"/>
  <c r="R651" i="9" l="1"/>
  <c r="Q658" i="9"/>
  <c r="I658" i="9"/>
  <c r="P658" i="9"/>
  <c r="H658" i="9"/>
  <c r="J658" i="9" s="1"/>
  <c r="O658" i="9"/>
  <c r="G658" i="9"/>
  <c r="N658" i="9"/>
  <c r="F658" i="9"/>
  <c r="A659" i="9"/>
  <c r="M658" i="9"/>
  <c r="E658" i="9"/>
  <c r="D658" i="9"/>
  <c r="K658" i="9"/>
  <c r="C658" i="9"/>
  <c r="B658" i="9"/>
  <c r="L657" i="9"/>
  <c r="R652" i="9" l="1"/>
  <c r="L658" i="9"/>
  <c r="A660" i="9"/>
  <c r="M659" i="9"/>
  <c r="E659" i="9"/>
  <c r="D659" i="9"/>
  <c r="K659" i="9"/>
  <c r="C659" i="9"/>
  <c r="B659" i="9"/>
  <c r="Q659" i="9"/>
  <c r="I659" i="9"/>
  <c r="P659" i="9"/>
  <c r="H659" i="9"/>
  <c r="J659" i="9" s="1"/>
  <c r="O659" i="9"/>
  <c r="N659" i="9"/>
  <c r="G659" i="9"/>
  <c r="F659" i="9"/>
  <c r="L659" i="9" l="1"/>
  <c r="Q660" i="9"/>
  <c r="I660" i="9"/>
  <c r="P660" i="9"/>
  <c r="H660" i="9"/>
  <c r="J660" i="9" s="1"/>
  <c r="O660" i="9"/>
  <c r="G660" i="9"/>
  <c r="N660" i="9"/>
  <c r="F660" i="9"/>
  <c r="A661" i="9"/>
  <c r="M660" i="9"/>
  <c r="E660" i="9"/>
  <c r="D660" i="9"/>
  <c r="C660" i="9"/>
  <c r="B660" i="9"/>
  <c r="K660" i="9"/>
  <c r="L660" i="9" l="1"/>
  <c r="A662" i="9"/>
  <c r="M661" i="9"/>
  <c r="E661" i="9"/>
  <c r="D661" i="9"/>
  <c r="K661" i="9"/>
  <c r="C661" i="9"/>
  <c r="B661" i="9"/>
  <c r="Q661" i="9"/>
  <c r="I661" i="9"/>
  <c r="P661" i="9"/>
  <c r="H661" i="9"/>
  <c r="J661" i="9" s="1"/>
  <c r="O661" i="9"/>
  <c r="N661" i="9"/>
  <c r="G661" i="9"/>
  <c r="F661" i="9"/>
  <c r="R660" i="9" l="1"/>
  <c r="R655" i="9"/>
  <c r="L661" i="9"/>
  <c r="Q662" i="9"/>
  <c r="I662" i="9"/>
  <c r="P662" i="9"/>
  <c r="H662" i="9"/>
  <c r="J662" i="9" s="1"/>
  <c r="O662" i="9"/>
  <c r="G662" i="9"/>
  <c r="N662" i="9"/>
  <c r="F662" i="9"/>
  <c r="A663" i="9"/>
  <c r="M662" i="9"/>
  <c r="E662" i="9"/>
  <c r="D662" i="9"/>
  <c r="K662" i="9"/>
  <c r="C662" i="9"/>
  <c r="B662" i="9"/>
  <c r="R661" i="9" l="1"/>
  <c r="R656" i="9"/>
  <c r="L662" i="9"/>
  <c r="A664" i="9"/>
  <c r="M663" i="9"/>
  <c r="E663" i="9"/>
  <c r="D663" i="9"/>
  <c r="K663" i="9"/>
  <c r="C663" i="9"/>
  <c r="B663" i="9"/>
  <c r="Q663" i="9"/>
  <c r="I663" i="9"/>
  <c r="P663" i="9"/>
  <c r="H663" i="9"/>
  <c r="J663" i="9" s="1"/>
  <c r="G663" i="9"/>
  <c r="F663" i="9"/>
  <c r="O663" i="9"/>
  <c r="N663" i="9"/>
  <c r="R657" i="9" l="1"/>
  <c r="L663" i="9"/>
  <c r="Q664" i="9"/>
  <c r="I664" i="9"/>
  <c r="P664" i="9"/>
  <c r="H664" i="9"/>
  <c r="J664" i="9" s="1"/>
  <c r="O664" i="9"/>
  <c r="G664" i="9"/>
  <c r="N664" i="9"/>
  <c r="F664" i="9"/>
  <c r="A665" i="9"/>
  <c r="M664" i="9"/>
  <c r="E664" i="9"/>
  <c r="D664" i="9"/>
  <c r="K664" i="9"/>
  <c r="C664" i="9"/>
  <c r="B664" i="9"/>
  <c r="R658" i="9" l="1"/>
  <c r="L664" i="9"/>
  <c r="A666" i="9"/>
  <c r="M665" i="9"/>
  <c r="E665" i="9"/>
  <c r="D665" i="9"/>
  <c r="K665" i="9"/>
  <c r="C665" i="9"/>
  <c r="B665" i="9"/>
  <c r="Q665" i="9"/>
  <c r="I665" i="9"/>
  <c r="P665" i="9"/>
  <c r="H665" i="9"/>
  <c r="J665" i="9" s="1"/>
  <c r="O665" i="9"/>
  <c r="N665" i="9"/>
  <c r="G665" i="9"/>
  <c r="F665" i="9"/>
  <c r="R659" i="9" l="1"/>
  <c r="L665" i="9"/>
  <c r="Q666" i="9"/>
  <c r="I666" i="9"/>
  <c r="P666" i="9"/>
  <c r="H666" i="9"/>
  <c r="J666" i="9" s="1"/>
  <c r="O666" i="9"/>
  <c r="G666" i="9"/>
  <c r="N666" i="9"/>
  <c r="F666" i="9"/>
  <c r="A667" i="9"/>
  <c r="M666" i="9"/>
  <c r="E666" i="9"/>
  <c r="D666" i="9"/>
  <c r="K666" i="9"/>
  <c r="C666" i="9"/>
  <c r="B666" i="9"/>
  <c r="L666" i="9" l="1"/>
  <c r="A668" i="9"/>
  <c r="M667" i="9"/>
  <c r="E667" i="9"/>
  <c r="D667" i="9"/>
  <c r="K667" i="9"/>
  <c r="C667" i="9"/>
  <c r="B667" i="9"/>
  <c r="Q667" i="9"/>
  <c r="I667" i="9"/>
  <c r="P667" i="9"/>
  <c r="H667" i="9"/>
  <c r="J667" i="9" s="1"/>
  <c r="O667" i="9"/>
  <c r="N667" i="9"/>
  <c r="G667" i="9"/>
  <c r="F667" i="9"/>
  <c r="L667" i="9" l="1"/>
  <c r="Q668" i="9"/>
  <c r="I668" i="9"/>
  <c r="P668" i="9"/>
  <c r="H668" i="9"/>
  <c r="J668" i="9" s="1"/>
  <c r="O668" i="9"/>
  <c r="G668" i="9"/>
  <c r="N668" i="9"/>
  <c r="F668" i="9"/>
  <c r="A669" i="9"/>
  <c r="M668" i="9"/>
  <c r="E668" i="9"/>
  <c r="D668" i="9"/>
  <c r="C668" i="9"/>
  <c r="B668" i="9"/>
  <c r="K668" i="9"/>
  <c r="R667" i="9" l="1"/>
  <c r="R662" i="9"/>
  <c r="L668" i="9"/>
  <c r="A670" i="9"/>
  <c r="M669" i="9"/>
  <c r="E669" i="9"/>
  <c r="D669" i="9"/>
  <c r="K669" i="9"/>
  <c r="C669" i="9"/>
  <c r="B669" i="9"/>
  <c r="Q669" i="9"/>
  <c r="I669" i="9"/>
  <c r="P669" i="9"/>
  <c r="H669" i="9"/>
  <c r="J669" i="9" s="1"/>
  <c r="O669" i="9"/>
  <c r="N669" i="9"/>
  <c r="G669" i="9"/>
  <c r="F669" i="9"/>
  <c r="R668" i="9" l="1"/>
  <c r="R663" i="9"/>
  <c r="L669" i="9"/>
  <c r="Q670" i="9"/>
  <c r="I670" i="9"/>
  <c r="P670" i="9"/>
  <c r="H670" i="9"/>
  <c r="J670" i="9" s="1"/>
  <c r="O670" i="9"/>
  <c r="G670" i="9"/>
  <c r="N670" i="9"/>
  <c r="F670" i="9"/>
  <c r="A671" i="9"/>
  <c r="M670" i="9"/>
  <c r="E670" i="9"/>
  <c r="D670" i="9"/>
  <c r="K670" i="9"/>
  <c r="C670" i="9"/>
  <c r="B670" i="9"/>
  <c r="L670" i="9" l="1"/>
  <c r="R669" i="9"/>
  <c r="R664" i="9"/>
  <c r="A672" i="9"/>
  <c r="M671" i="9"/>
  <c r="E671" i="9"/>
  <c r="D671" i="9"/>
  <c r="K671" i="9"/>
  <c r="C671" i="9"/>
  <c r="B671" i="9"/>
  <c r="Q671" i="9"/>
  <c r="I671" i="9"/>
  <c r="P671" i="9"/>
  <c r="H671" i="9"/>
  <c r="J671" i="9" s="1"/>
  <c r="G671" i="9"/>
  <c r="F671" i="9"/>
  <c r="O671" i="9"/>
  <c r="N671" i="9"/>
  <c r="R665" i="9" l="1"/>
  <c r="L671" i="9"/>
  <c r="Q672" i="9"/>
  <c r="I672" i="9"/>
  <c r="P672" i="9"/>
  <c r="H672" i="9"/>
  <c r="J672" i="9" s="1"/>
  <c r="O672" i="9"/>
  <c r="G672" i="9"/>
  <c r="N672" i="9"/>
  <c r="F672" i="9"/>
  <c r="A673" i="9"/>
  <c r="M672" i="9"/>
  <c r="E672" i="9"/>
  <c r="D672" i="9"/>
  <c r="K672" i="9"/>
  <c r="C672" i="9"/>
  <c r="B672" i="9"/>
  <c r="R666" i="9" l="1"/>
  <c r="L672" i="9"/>
  <c r="A674" i="9"/>
  <c r="M673" i="9"/>
  <c r="E673" i="9"/>
  <c r="D673" i="9"/>
  <c r="K673" i="9"/>
  <c r="C673" i="9"/>
  <c r="B673" i="9"/>
  <c r="Q673" i="9"/>
  <c r="I673" i="9"/>
  <c r="P673" i="9"/>
  <c r="H673" i="9"/>
  <c r="J673" i="9" s="1"/>
  <c r="O673" i="9"/>
  <c r="N673" i="9"/>
  <c r="G673" i="9"/>
  <c r="F673" i="9"/>
  <c r="L673" i="9" l="1"/>
  <c r="Q674" i="9"/>
  <c r="I674" i="9"/>
  <c r="P674" i="9"/>
  <c r="H674" i="9"/>
  <c r="J674" i="9" s="1"/>
  <c r="O674" i="9"/>
  <c r="G674" i="9"/>
  <c r="N674" i="9"/>
  <c r="F674" i="9"/>
  <c r="A675" i="9"/>
  <c r="M674" i="9"/>
  <c r="E674" i="9"/>
  <c r="D674" i="9"/>
  <c r="K674" i="9"/>
  <c r="C674" i="9"/>
  <c r="B674" i="9"/>
  <c r="L674" i="9" l="1"/>
  <c r="R674" i="9" s="1"/>
  <c r="A676" i="9"/>
  <c r="M675" i="9"/>
  <c r="E675" i="9"/>
  <c r="D675" i="9"/>
  <c r="K675" i="9"/>
  <c r="C675" i="9"/>
  <c r="B675" i="9"/>
  <c r="Q675" i="9"/>
  <c r="I675" i="9"/>
  <c r="P675" i="9"/>
  <c r="H675" i="9"/>
  <c r="J675" i="9" s="1"/>
  <c r="O675" i="9"/>
  <c r="N675" i="9"/>
  <c r="G675" i="9"/>
  <c r="F675" i="9"/>
  <c r="L675" i="9" l="1"/>
  <c r="Q676" i="9"/>
  <c r="I676" i="9"/>
  <c r="P676" i="9"/>
  <c r="H676" i="9"/>
  <c r="J676" i="9" s="1"/>
  <c r="O676" i="9"/>
  <c r="G676" i="9"/>
  <c r="N676" i="9"/>
  <c r="F676" i="9"/>
  <c r="A677" i="9"/>
  <c r="M676" i="9"/>
  <c r="E676" i="9"/>
  <c r="D676" i="9"/>
  <c r="C676" i="9"/>
  <c r="B676" i="9"/>
  <c r="K676" i="9"/>
  <c r="R675" i="9" l="1"/>
  <c r="R670" i="9"/>
  <c r="L676" i="9"/>
  <c r="A678" i="9"/>
  <c r="M677" i="9"/>
  <c r="E677" i="9"/>
  <c r="D677" i="9"/>
  <c r="K677" i="9"/>
  <c r="C677" i="9"/>
  <c r="B677" i="9"/>
  <c r="Q677" i="9"/>
  <c r="I677" i="9"/>
  <c r="P677" i="9"/>
  <c r="H677" i="9"/>
  <c r="J677" i="9" s="1"/>
  <c r="O677" i="9"/>
  <c r="N677" i="9"/>
  <c r="G677" i="9"/>
  <c r="F677" i="9"/>
  <c r="R671" i="9" l="1"/>
  <c r="L677" i="9"/>
  <c r="Q678" i="9"/>
  <c r="I678" i="9"/>
  <c r="P678" i="9"/>
  <c r="H678" i="9"/>
  <c r="J678" i="9" s="1"/>
  <c r="O678" i="9"/>
  <c r="G678" i="9"/>
  <c r="N678" i="9"/>
  <c r="F678" i="9"/>
  <c r="A679" i="9"/>
  <c r="M678" i="9"/>
  <c r="E678" i="9"/>
  <c r="D678" i="9"/>
  <c r="K678" i="9"/>
  <c r="C678" i="9"/>
  <c r="B678" i="9"/>
  <c r="L678" i="9" l="1"/>
  <c r="R672" i="9"/>
  <c r="A680" i="9"/>
  <c r="M679" i="9"/>
  <c r="E679" i="9"/>
  <c r="D679" i="9"/>
  <c r="K679" i="9"/>
  <c r="C679" i="9"/>
  <c r="B679" i="9"/>
  <c r="Q679" i="9"/>
  <c r="I679" i="9"/>
  <c r="P679" i="9"/>
  <c r="H679" i="9"/>
  <c r="J679" i="9" s="1"/>
  <c r="G679" i="9"/>
  <c r="F679" i="9"/>
  <c r="O679" i="9"/>
  <c r="N679" i="9"/>
  <c r="R673" i="9" l="1"/>
  <c r="L679" i="9"/>
  <c r="Q680" i="9"/>
  <c r="I680" i="9"/>
  <c r="P680" i="9"/>
  <c r="H680" i="9"/>
  <c r="J680" i="9" s="1"/>
  <c r="O680" i="9"/>
  <c r="G680" i="9"/>
  <c r="N680" i="9"/>
  <c r="F680" i="9"/>
  <c r="A681" i="9"/>
  <c r="M680" i="9"/>
  <c r="E680" i="9"/>
  <c r="D680" i="9"/>
  <c r="K680" i="9"/>
  <c r="C680" i="9"/>
  <c r="B680" i="9"/>
  <c r="L680" i="9" l="1"/>
  <c r="A682" i="9"/>
  <c r="M681" i="9"/>
  <c r="E681" i="9"/>
  <c r="D681" i="9"/>
  <c r="K681" i="9"/>
  <c r="C681" i="9"/>
  <c r="B681" i="9"/>
  <c r="Q681" i="9"/>
  <c r="I681" i="9"/>
  <c r="P681" i="9"/>
  <c r="H681" i="9"/>
  <c r="J681" i="9" s="1"/>
  <c r="O681" i="9"/>
  <c r="N681" i="9"/>
  <c r="G681" i="9"/>
  <c r="F681" i="9"/>
  <c r="L681" i="9" l="1"/>
  <c r="Q682" i="9"/>
  <c r="I682" i="9"/>
  <c r="P682" i="9"/>
  <c r="H682" i="9"/>
  <c r="J682" i="9" s="1"/>
  <c r="O682" i="9"/>
  <c r="G682" i="9"/>
  <c r="N682" i="9"/>
  <c r="F682" i="9"/>
  <c r="A683" i="9"/>
  <c r="M682" i="9"/>
  <c r="E682" i="9"/>
  <c r="D682" i="9"/>
  <c r="K682" i="9"/>
  <c r="C682" i="9"/>
  <c r="B682" i="9"/>
  <c r="R681" i="9" l="1"/>
  <c r="R676" i="9"/>
  <c r="L682" i="9"/>
  <c r="A684" i="9"/>
  <c r="M683" i="9"/>
  <c r="E683" i="9"/>
  <c r="D683" i="9"/>
  <c r="K683" i="9"/>
  <c r="C683" i="9"/>
  <c r="B683" i="9"/>
  <c r="Q683" i="9"/>
  <c r="I683" i="9"/>
  <c r="P683" i="9"/>
  <c r="H683" i="9"/>
  <c r="J683" i="9" s="1"/>
  <c r="O683" i="9"/>
  <c r="N683" i="9"/>
  <c r="G683" i="9"/>
  <c r="F683" i="9"/>
  <c r="R682" i="9" l="1"/>
  <c r="R677" i="9"/>
  <c r="Q684" i="9"/>
  <c r="I684" i="9"/>
  <c r="P684" i="9"/>
  <c r="H684" i="9"/>
  <c r="J684" i="9" s="1"/>
  <c r="O684" i="9"/>
  <c r="G684" i="9"/>
  <c r="N684" i="9"/>
  <c r="F684" i="9"/>
  <c r="A685" i="9"/>
  <c r="M684" i="9"/>
  <c r="E684" i="9"/>
  <c r="D684" i="9"/>
  <c r="C684" i="9"/>
  <c r="B684" i="9"/>
  <c r="K684" i="9"/>
  <c r="L683" i="9"/>
  <c r="R678" i="9" l="1"/>
  <c r="L684" i="9"/>
  <c r="A686" i="9"/>
  <c r="M685" i="9"/>
  <c r="E685" i="9"/>
  <c r="D685" i="9"/>
  <c r="K685" i="9"/>
  <c r="C685" i="9"/>
  <c r="B685" i="9"/>
  <c r="Q685" i="9"/>
  <c r="I685" i="9"/>
  <c r="P685" i="9"/>
  <c r="H685" i="9"/>
  <c r="J685" i="9" s="1"/>
  <c r="O685" i="9"/>
  <c r="N685" i="9"/>
  <c r="G685" i="9"/>
  <c r="F685" i="9"/>
  <c r="R679" i="9" l="1"/>
  <c r="L685" i="9"/>
  <c r="Q686" i="9"/>
  <c r="I686" i="9"/>
  <c r="P686" i="9"/>
  <c r="H686" i="9"/>
  <c r="J686" i="9" s="1"/>
  <c r="O686" i="9"/>
  <c r="G686" i="9"/>
  <c r="N686" i="9"/>
  <c r="F686" i="9"/>
  <c r="A687" i="9"/>
  <c r="M686" i="9"/>
  <c r="E686" i="9"/>
  <c r="D686" i="9"/>
  <c r="K686" i="9"/>
  <c r="C686" i="9"/>
  <c r="B686" i="9"/>
  <c r="L686" i="9" l="1"/>
  <c r="R680" i="9"/>
  <c r="A688" i="9"/>
  <c r="M687" i="9"/>
  <c r="E687" i="9"/>
  <c r="D687" i="9"/>
  <c r="K687" i="9"/>
  <c r="C687" i="9"/>
  <c r="B687" i="9"/>
  <c r="Q687" i="9"/>
  <c r="I687" i="9"/>
  <c r="P687" i="9"/>
  <c r="H687" i="9"/>
  <c r="J687" i="9" s="1"/>
  <c r="G687" i="9"/>
  <c r="F687" i="9"/>
  <c r="O687" i="9"/>
  <c r="N687" i="9"/>
  <c r="L687" i="9" l="1"/>
  <c r="Q688" i="9"/>
  <c r="I688" i="9"/>
  <c r="P688" i="9"/>
  <c r="H688" i="9"/>
  <c r="J688" i="9" s="1"/>
  <c r="O688" i="9"/>
  <c r="G688" i="9"/>
  <c r="N688" i="9"/>
  <c r="F688" i="9"/>
  <c r="A689" i="9"/>
  <c r="M688" i="9"/>
  <c r="E688" i="9"/>
  <c r="D688" i="9"/>
  <c r="K688" i="9"/>
  <c r="C688" i="9"/>
  <c r="B688" i="9"/>
  <c r="L688" i="9" l="1"/>
  <c r="A690" i="9"/>
  <c r="M689" i="9"/>
  <c r="E689" i="9"/>
  <c r="D689" i="9"/>
  <c r="K689" i="9"/>
  <c r="C689" i="9"/>
  <c r="B689" i="9"/>
  <c r="Q689" i="9"/>
  <c r="I689" i="9"/>
  <c r="P689" i="9"/>
  <c r="H689" i="9"/>
  <c r="J689" i="9" s="1"/>
  <c r="O689" i="9"/>
  <c r="N689" i="9"/>
  <c r="G689" i="9"/>
  <c r="F689" i="9"/>
  <c r="R688" i="9" l="1"/>
  <c r="R683" i="9"/>
  <c r="Q690" i="9"/>
  <c r="I690" i="9"/>
  <c r="P690" i="9"/>
  <c r="H690" i="9"/>
  <c r="J690" i="9" s="1"/>
  <c r="O690" i="9"/>
  <c r="G690" i="9"/>
  <c r="N690" i="9"/>
  <c r="F690" i="9"/>
  <c r="A691" i="9"/>
  <c r="M690" i="9"/>
  <c r="E690" i="9"/>
  <c r="D690" i="9"/>
  <c r="K690" i="9"/>
  <c r="C690" i="9"/>
  <c r="B690" i="9"/>
  <c r="L689" i="9"/>
  <c r="R689" i="9" l="1"/>
  <c r="R684" i="9"/>
  <c r="L690" i="9"/>
  <c r="A692" i="9"/>
  <c r="M691" i="9"/>
  <c r="E691" i="9"/>
  <c r="D691" i="9"/>
  <c r="K691" i="9"/>
  <c r="C691" i="9"/>
  <c r="B691" i="9"/>
  <c r="Q691" i="9"/>
  <c r="I691" i="9"/>
  <c r="P691" i="9"/>
  <c r="H691" i="9"/>
  <c r="J691" i="9" s="1"/>
  <c r="O691" i="9"/>
  <c r="N691" i="9"/>
  <c r="G691" i="9"/>
  <c r="F691" i="9"/>
  <c r="R685" i="9" l="1"/>
  <c r="L691" i="9"/>
  <c r="Q692" i="9"/>
  <c r="I692" i="9"/>
  <c r="P692" i="9"/>
  <c r="H692" i="9"/>
  <c r="J692" i="9" s="1"/>
  <c r="O692" i="9"/>
  <c r="G692" i="9"/>
  <c r="N692" i="9"/>
  <c r="F692" i="9"/>
  <c r="A693" i="9"/>
  <c r="M692" i="9"/>
  <c r="E692" i="9"/>
  <c r="D692" i="9"/>
  <c r="C692" i="9"/>
  <c r="B692" i="9"/>
  <c r="K692" i="9"/>
  <c r="R686" i="9" l="1"/>
  <c r="L692" i="9"/>
  <c r="A694" i="9"/>
  <c r="M693" i="9"/>
  <c r="E693" i="9"/>
  <c r="D693" i="9"/>
  <c r="K693" i="9"/>
  <c r="C693" i="9"/>
  <c r="B693" i="9"/>
  <c r="Q693" i="9"/>
  <c r="I693" i="9"/>
  <c r="P693" i="9"/>
  <c r="H693" i="9"/>
  <c r="J693" i="9" s="1"/>
  <c r="O693" i="9"/>
  <c r="N693" i="9"/>
  <c r="G693" i="9"/>
  <c r="F693" i="9"/>
  <c r="R687" i="9" l="1"/>
  <c r="L693" i="9"/>
  <c r="Q694" i="9"/>
  <c r="I694" i="9"/>
  <c r="P694" i="9"/>
  <c r="H694" i="9"/>
  <c r="J694" i="9" s="1"/>
  <c r="O694" i="9"/>
  <c r="G694" i="9"/>
  <c r="N694" i="9"/>
  <c r="F694" i="9"/>
  <c r="A695" i="9"/>
  <c r="M694" i="9"/>
  <c r="E694" i="9"/>
  <c r="D694" i="9"/>
  <c r="K694" i="9"/>
  <c r="C694" i="9"/>
  <c r="B694" i="9"/>
  <c r="L694" i="9" l="1"/>
  <c r="A696" i="9"/>
  <c r="M695" i="9"/>
  <c r="E695" i="9"/>
  <c r="D695" i="9"/>
  <c r="K695" i="9"/>
  <c r="C695" i="9"/>
  <c r="B695" i="9"/>
  <c r="Q695" i="9"/>
  <c r="I695" i="9"/>
  <c r="P695" i="9"/>
  <c r="H695" i="9"/>
  <c r="J695" i="9" s="1"/>
  <c r="G695" i="9"/>
  <c r="F695" i="9"/>
  <c r="O695" i="9"/>
  <c r="N695" i="9"/>
  <c r="L695" i="9" l="1"/>
  <c r="Q696" i="9"/>
  <c r="I696" i="9"/>
  <c r="P696" i="9"/>
  <c r="H696" i="9"/>
  <c r="J696" i="9" s="1"/>
  <c r="O696" i="9"/>
  <c r="G696" i="9"/>
  <c r="N696" i="9"/>
  <c r="F696" i="9"/>
  <c r="A697" i="9"/>
  <c r="M696" i="9"/>
  <c r="E696" i="9"/>
  <c r="D696" i="9"/>
  <c r="K696" i="9"/>
  <c r="C696" i="9"/>
  <c r="B696" i="9"/>
  <c r="R695" i="9" l="1"/>
  <c r="R690" i="9"/>
  <c r="L696" i="9"/>
  <c r="A698" i="9"/>
  <c r="M697" i="9"/>
  <c r="E697" i="9"/>
  <c r="D697" i="9"/>
  <c r="K697" i="9"/>
  <c r="C697" i="9"/>
  <c r="B697" i="9"/>
  <c r="Q697" i="9"/>
  <c r="I697" i="9"/>
  <c r="P697" i="9"/>
  <c r="H697" i="9"/>
  <c r="J697" i="9" s="1"/>
  <c r="O697" i="9"/>
  <c r="N697" i="9"/>
  <c r="G697" i="9"/>
  <c r="F697" i="9"/>
  <c r="R696" i="9" l="1"/>
  <c r="R691" i="9"/>
  <c r="L697" i="9"/>
  <c r="Q698" i="9"/>
  <c r="I698" i="9"/>
  <c r="P698" i="9"/>
  <c r="H698" i="9"/>
  <c r="J698" i="9" s="1"/>
  <c r="O698" i="9"/>
  <c r="G698" i="9"/>
  <c r="N698" i="9"/>
  <c r="F698" i="9"/>
  <c r="A699" i="9"/>
  <c r="M698" i="9"/>
  <c r="E698" i="9"/>
  <c r="D698" i="9"/>
  <c r="K698" i="9"/>
  <c r="C698" i="9"/>
  <c r="B698" i="9"/>
  <c r="R692" i="9" l="1"/>
  <c r="L698" i="9"/>
  <c r="A700" i="9"/>
  <c r="M699" i="9"/>
  <c r="E699" i="9"/>
  <c r="D699" i="9"/>
  <c r="K699" i="9"/>
  <c r="C699" i="9"/>
  <c r="B699" i="9"/>
  <c r="Q699" i="9"/>
  <c r="I699" i="9"/>
  <c r="P699" i="9"/>
  <c r="H699" i="9"/>
  <c r="J699" i="9" s="1"/>
  <c r="O699" i="9"/>
  <c r="N699" i="9"/>
  <c r="G699" i="9"/>
  <c r="F699" i="9"/>
  <c r="R693" i="9" l="1"/>
  <c r="L699" i="9"/>
  <c r="Q700" i="9"/>
  <c r="I700" i="9"/>
  <c r="P700" i="9"/>
  <c r="H700" i="9"/>
  <c r="J700" i="9" s="1"/>
  <c r="O700" i="9"/>
  <c r="G700" i="9"/>
  <c r="N700" i="9"/>
  <c r="F700" i="9"/>
  <c r="A701" i="9"/>
  <c r="M700" i="9"/>
  <c r="E700" i="9"/>
  <c r="D700" i="9"/>
  <c r="C700" i="9"/>
  <c r="B700" i="9"/>
  <c r="K700" i="9"/>
  <c r="R694" i="9" l="1"/>
  <c r="L700" i="9"/>
  <c r="A702" i="9"/>
  <c r="M701" i="9"/>
  <c r="E701" i="9"/>
  <c r="D701" i="9"/>
  <c r="K701" i="9"/>
  <c r="C701" i="9"/>
  <c r="B701" i="9"/>
  <c r="Q701" i="9"/>
  <c r="I701" i="9"/>
  <c r="P701" i="9"/>
  <c r="H701" i="9"/>
  <c r="J701" i="9" s="1"/>
  <c r="O701" i="9"/>
  <c r="N701" i="9"/>
  <c r="G701" i="9"/>
  <c r="F701" i="9"/>
  <c r="L701" i="9" l="1"/>
  <c r="Q702" i="9"/>
  <c r="I702" i="9"/>
  <c r="P702" i="9"/>
  <c r="H702" i="9"/>
  <c r="J702" i="9" s="1"/>
  <c r="O702" i="9"/>
  <c r="G702" i="9"/>
  <c r="N702" i="9"/>
  <c r="F702" i="9"/>
  <c r="A703" i="9"/>
  <c r="M702" i="9"/>
  <c r="E702" i="9"/>
  <c r="D702" i="9"/>
  <c r="K702" i="9"/>
  <c r="C702" i="9"/>
  <c r="B702" i="9"/>
  <c r="L702" i="9" l="1"/>
  <c r="A704" i="9"/>
  <c r="M703" i="9"/>
  <c r="E703" i="9"/>
  <c r="D703" i="9"/>
  <c r="K703" i="9"/>
  <c r="C703" i="9"/>
  <c r="B703" i="9"/>
  <c r="Q703" i="9"/>
  <c r="I703" i="9"/>
  <c r="P703" i="9"/>
  <c r="H703" i="9"/>
  <c r="J703" i="9" s="1"/>
  <c r="G703" i="9"/>
  <c r="F703" i="9"/>
  <c r="O703" i="9"/>
  <c r="N703" i="9"/>
  <c r="R702" i="9" l="1"/>
  <c r="R697" i="9"/>
  <c r="L703" i="9"/>
  <c r="Q704" i="9"/>
  <c r="I704" i="9"/>
  <c r="P704" i="9"/>
  <c r="H704" i="9"/>
  <c r="J704" i="9" s="1"/>
  <c r="O704" i="9"/>
  <c r="G704" i="9"/>
  <c r="N704" i="9"/>
  <c r="F704" i="9"/>
  <c r="A705" i="9"/>
  <c r="M704" i="9"/>
  <c r="E704" i="9"/>
  <c r="D704" i="9"/>
  <c r="K704" i="9"/>
  <c r="C704" i="9"/>
  <c r="B704" i="9"/>
  <c r="R703" i="9" l="1"/>
  <c r="R698" i="9"/>
  <c r="L704" i="9"/>
  <c r="A706" i="9"/>
  <c r="M705" i="9"/>
  <c r="E705" i="9"/>
  <c r="D705" i="9"/>
  <c r="K705" i="9"/>
  <c r="C705" i="9"/>
  <c r="B705" i="9"/>
  <c r="Q705" i="9"/>
  <c r="I705" i="9"/>
  <c r="P705" i="9"/>
  <c r="H705" i="9"/>
  <c r="J705" i="9" s="1"/>
  <c r="O705" i="9"/>
  <c r="N705" i="9"/>
  <c r="G705" i="9"/>
  <c r="F705" i="9"/>
  <c r="R699" i="9" l="1"/>
  <c r="L705" i="9"/>
  <c r="Q706" i="9"/>
  <c r="I706" i="9"/>
  <c r="P706" i="9"/>
  <c r="H706" i="9"/>
  <c r="J706" i="9" s="1"/>
  <c r="O706" i="9"/>
  <c r="G706" i="9"/>
  <c r="N706" i="9"/>
  <c r="F706" i="9"/>
  <c r="A707" i="9"/>
  <c r="M706" i="9"/>
  <c r="E706" i="9"/>
  <c r="D706" i="9"/>
  <c r="K706" i="9"/>
  <c r="C706" i="9"/>
  <c r="B706" i="9"/>
  <c r="R700" i="9" l="1"/>
  <c r="L706" i="9"/>
  <c r="A708" i="9"/>
  <c r="M707" i="9"/>
  <c r="E707" i="9"/>
  <c r="D707" i="9"/>
  <c r="K707" i="9"/>
  <c r="C707" i="9"/>
  <c r="B707" i="9"/>
  <c r="Q707" i="9"/>
  <c r="I707" i="9"/>
  <c r="P707" i="9"/>
  <c r="H707" i="9"/>
  <c r="J707" i="9" s="1"/>
  <c r="O707" i="9"/>
  <c r="N707" i="9"/>
  <c r="G707" i="9"/>
  <c r="F707" i="9"/>
  <c r="R701" i="9" l="1"/>
  <c r="Q708" i="9"/>
  <c r="I708" i="9"/>
  <c r="P708" i="9"/>
  <c r="H708" i="9"/>
  <c r="J708" i="9" s="1"/>
  <c r="O708" i="9"/>
  <c r="G708" i="9"/>
  <c r="N708" i="9"/>
  <c r="F708" i="9"/>
  <c r="A709" i="9"/>
  <c r="M708" i="9"/>
  <c r="E708" i="9"/>
  <c r="D708" i="9"/>
  <c r="C708" i="9"/>
  <c r="B708" i="9"/>
  <c r="K708" i="9"/>
  <c r="L707" i="9"/>
  <c r="L708" i="9" l="1"/>
  <c r="A710" i="9"/>
  <c r="M709" i="9"/>
  <c r="E709" i="9"/>
  <c r="D709" i="9"/>
  <c r="K709" i="9"/>
  <c r="C709" i="9"/>
  <c r="B709" i="9"/>
  <c r="Q709" i="9"/>
  <c r="I709" i="9"/>
  <c r="P709" i="9"/>
  <c r="H709" i="9"/>
  <c r="J709" i="9" s="1"/>
  <c r="O709" i="9"/>
  <c r="N709" i="9"/>
  <c r="G709" i="9"/>
  <c r="F709" i="9"/>
  <c r="L709" i="9" l="1"/>
  <c r="Q710" i="9"/>
  <c r="I710" i="9"/>
  <c r="P710" i="9"/>
  <c r="H710" i="9"/>
  <c r="J710" i="9" s="1"/>
  <c r="O710" i="9"/>
  <c r="G710" i="9"/>
  <c r="N710" i="9"/>
  <c r="F710" i="9"/>
  <c r="A711" i="9"/>
  <c r="M710" i="9"/>
  <c r="E710" i="9"/>
  <c r="D710" i="9"/>
  <c r="K710" i="9"/>
  <c r="C710" i="9"/>
  <c r="B710" i="9"/>
  <c r="R709" i="9" l="1"/>
  <c r="R704" i="9"/>
  <c r="L710" i="9"/>
  <c r="A712" i="9"/>
  <c r="M711" i="9"/>
  <c r="E711" i="9"/>
  <c r="D711" i="9"/>
  <c r="K711" i="9"/>
  <c r="C711" i="9"/>
  <c r="B711" i="9"/>
  <c r="Q711" i="9"/>
  <c r="I711" i="9"/>
  <c r="P711" i="9"/>
  <c r="H711" i="9"/>
  <c r="J711" i="9" s="1"/>
  <c r="G711" i="9"/>
  <c r="F711" i="9"/>
  <c r="O711" i="9"/>
  <c r="N711" i="9"/>
  <c r="R710" i="9" l="1"/>
  <c r="R705" i="9"/>
  <c r="L711" i="9"/>
  <c r="Q712" i="9"/>
  <c r="I712" i="9"/>
  <c r="P712" i="9"/>
  <c r="H712" i="9"/>
  <c r="J712" i="9" s="1"/>
  <c r="O712" i="9"/>
  <c r="G712" i="9"/>
  <c r="N712" i="9"/>
  <c r="F712" i="9"/>
  <c r="A713" i="9"/>
  <c r="M712" i="9"/>
  <c r="E712" i="9"/>
  <c r="D712" i="9"/>
  <c r="K712" i="9"/>
  <c r="C712" i="9"/>
  <c r="B712" i="9"/>
  <c r="R706" i="9" l="1"/>
  <c r="L712" i="9"/>
  <c r="A714" i="9"/>
  <c r="M713" i="9"/>
  <c r="E713" i="9"/>
  <c r="D713" i="9"/>
  <c r="K713" i="9"/>
  <c r="C713" i="9"/>
  <c r="B713" i="9"/>
  <c r="Q713" i="9"/>
  <c r="I713" i="9"/>
  <c r="P713" i="9"/>
  <c r="H713" i="9"/>
  <c r="J713" i="9" s="1"/>
  <c r="O713" i="9"/>
  <c r="N713" i="9"/>
  <c r="G713" i="9"/>
  <c r="F713" i="9"/>
  <c r="R707" i="9" l="1"/>
  <c r="L713" i="9"/>
  <c r="Q714" i="9"/>
  <c r="I714" i="9"/>
  <c r="P714" i="9"/>
  <c r="H714" i="9"/>
  <c r="J714" i="9" s="1"/>
  <c r="O714" i="9"/>
  <c r="G714" i="9"/>
  <c r="N714" i="9"/>
  <c r="F714" i="9"/>
  <c r="A715" i="9"/>
  <c r="M714" i="9"/>
  <c r="E714" i="9"/>
  <c r="D714" i="9"/>
  <c r="K714" i="9"/>
  <c r="C714" i="9"/>
  <c r="B714" i="9"/>
  <c r="R708" i="9" l="1"/>
  <c r="L714" i="9"/>
  <c r="A716" i="9"/>
  <c r="M715" i="9"/>
  <c r="E715" i="9"/>
  <c r="D715" i="9"/>
  <c r="K715" i="9"/>
  <c r="C715" i="9"/>
  <c r="B715" i="9"/>
  <c r="Q715" i="9"/>
  <c r="I715" i="9"/>
  <c r="P715" i="9"/>
  <c r="H715" i="9"/>
  <c r="J715" i="9" s="1"/>
  <c r="O715" i="9"/>
  <c r="N715" i="9"/>
  <c r="G715" i="9"/>
  <c r="F715" i="9"/>
  <c r="L715" i="9" l="1"/>
  <c r="Q716" i="9"/>
  <c r="I716" i="9"/>
  <c r="P716" i="9"/>
  <c r="H716" i="9"/>
  <c r="J716" i="9" s="1"/>
  <c r="O716" i="9"/>
  <c r="G716" i="9"/>
  <c r="N716" i="9"/>
  <c r="F716" i="9"/>
  <c r="A717" i="9"/>
  <c r="M716" i="9"/>
  <c r="E716" i="9"/>
  <c r="D716" i="9"/>
  <c r="C716" i="9"/>
  <c r="B716" i="9"/>
  <c r="K716" i="9"/>
  <c r="L716" i="9" l="1"/>
  <c r="A718" i="9"/>
  <c r="M717" i="9"/>
  <c r="E717" i="9"/>
  <c r="D717" i="9"/>
  <c r="K717" i="9"/>
  <c r="C717" i="9"/>
  <c r="B717" i="9"/>
  <c r="Q717" i="9"/>
  <c r="I717" i="9"/>
  <c r="P717" i="9"/>
  <c r="H717" i="9"/>
  <c r="J717" i="9" s="1"/>
  <c r="O717" i="9"/>
  <c r="N717" i="9"/>
  <c r="G717" i="9"/>
  <c r="F717" i="9"/>
  <c r="R716" i="9" l="1"/>
  <c r="R711" i="9"/>
  <c r="L717" i="9"/>
  <c r="Q718" i="9"/>
  <c r="I718" i="9"/>
  <c r="P718" i="9"/>
  <c r="H718" i="9"/>
  <c r="J718" i="9" s="1"/>
  <c r="O718" i="9"/>
  <c r="G718" i="9"/>
  <c r="N718" i="9"/>
  <c r="F718" i="9"/>
  <c r="A719" i="9"/>
  <c r="M718" i="9"/>
  <c r="E718" i="9"/>
  <c r="D718" i="9"/>
  <c r="K718" i="9"/>
  <c r="C718" i="9"/>
  <c r="B718" i="9"/>
  <c r="R717" i="9" l="1"/>
  <c r="R712" i="9"/>
  <c r="L718" i="9"/>
  <c r="A720" i="9"/>
  <c r="M719" i="9"/>
  <c r="E719" i="9"/>
  <c r="D719" i="9"/>
  <c r="K719" i="9"/>
  <c r="C719" i="9"/>
  <c r="B719" i="9"/>
  <c r="Q719" i="9"/>
  <c r="I719" i="9"/>
  <c r="P719" i="9"/>
  <c r="H719" i="9"/>
  <c r="J719" i="9" s="1"/>
  <c r="G719" i="9"/>
  <c r="F719" i="9"/>
  <c r="O719" i="9"/>
  <c r="N719" i="9"/>
  <c r="R713" i="9" l="1"/>
  <c r="L719" i="9"/>
  <c r="Q720" i="9"/>
  <c r="I720" i="9"/>
  <c r="P720" i="9"/>
  <c r="H720" i="9"/>
  <c r="J720" i="9" s="1"/>
  <c r="O720" i="9"/>
  <c r="G720" i="9"/>
  <c r="N720" i="9"/>
  <c r="F720" i="9"/>
  <c r="A721" i="9"/>
  <c r="M720" i="9"/>
  <c r="E720" i="9"/>
  <c r="D720" i="9"/>
  <c r="K720" i="9"/>
  <c r="C720" i="9"/>
  <c r="B720" i="9"/>
  <c r="R714" i="9" l="1"/>
  <c r="L720" i="9"/>
  <c r="A722" i="9"/>
  <c r="M721" i="9"/>
  <c r="E721" i="9"/>
  <c r="D721" i="9"/>
  <c r="K721" i="9"/>
  <c r="C721" i="9"/>
  <c r="B721" i="9"/>
  <c r="Q721" i="9"/>
  <c r="I721" i="9"/>
  <c r="P721" i="9"/>
  <c r="H721" i="9"/>
  <c r="J721" i="9" s="1"/>
  <c r="O721" i="9"/>
  <c r="N721" i="9"/>
  <c r="G721" i="9"/>
  <c r="F721" i="9"/>
  <c r="R715" i="9" l="1"/>
  <c r="L721" i="9"/>
  <c r="Q722" i="9"/>
  <c r="I722" i="9"/>
  <c r="P722" i="9"/>
  <c r="H722" i="9"/>
  <c r="J722" i="9" s="1"/>
  <c r="O722" i="9"/>
  <c r="G722" i="9"/>
  <c r="N722" i="9"/>
  <c r="F722" i="9"/>
  <c r="A723" i="9"/>
  <c r="M722" i="9"/>
  <c r="E722" i="9"/>
  <c r="D722" i="9"/>
  <c r="K722" i="9"/>
  <c r="C722" i="9"/>
  <c r="B722" i="9"/>
  <c r="L722" i="9" l="1"/>
  <c r="A724" i="9"/>
  <c r="M723" i="9"/>
  <c r="E723" i="9"/>
  <c r="D723" i="9"/>
  <c r="K723" i="9"/>
  <c r="C723" i="9"/>
  <c r="B723" i="9"/>
  <c r="Q723" i="9"/>
  <c r="I723" i="9"/>
  <c r="P723" i="9"/>
  <c r="H723" i="9"/>
  <c r="J723" i="9" s="1"/>
  <c r="O723" i="9"/>
  <c r="N723" i="9"/>
  <c r="G723" i="9"/>
  <c r="F723" i="9"/>
  <c r="L723" i="9" l="1"/>
  <c r="Q724" i="9"/>
  <c r="I724" i="9"/>
  <c r="P724" i="9"/>
  <c r="H724" i="9"/>
  <c r="J724" i="9" s="1"/>
  <c r="O724" i="9"/>
  <c r="G724" i="9"/>
  <c r="N724" i="9"/>
  <c r="F724" i="9"/>
  <c r="A725" i="9"/>
  <c r="M724" i="9"/>
  <c r="E724" i="9"/>
  <c r="D724" i="9"/>
  <c r="C724" i="9"/>
  <c r="B724" i="9"/>
  <c r="K724" i="9"/>
  <c r="R723" i="9" l="1"/>
  <c r="R718" i="9"/>
  <c r="L724" i="9"/>
  <c r="A726" i="9"/>
  <c r="M725" i="9"/>
  <c r="E725" i="9"/>
  <c r="D725" i="9"/>
  <c r="K725" i="9"/>
  <c r="C725" i="9"/>
  <c r="B725" i="9"/>
  <c r="Q725" i="9"/>
  <c r="I725" i="9"/>
  <c r="P725" i="9"/>
  <c r="H725" i="9"/>
  <c r="J725" i="9" s="1"/>
  <c r="O725" i="9"/>
  <c r="N725" i="9"/>
  <c r="G725" i="9"/>
  <c r="F725" i="9"/>
  <c r="R724" i="9" l="1"/>
  <c r="R719" i="9"/>
  <c r="L725" i="9"/>
  <c r="Q726" i="9"/>
  <c r="I726" i="9"/>
  <c r="P726" i="9"/>
  <c r="H726" i="9"/>
  <c r="J726" i="9" s="1"/>
  <c r="O726" i="9"/>
  <c r="G726" i="9"/>
  <c r="N726" i="9"/>
  <c r="F726" i="9"/>
  <c r="A727" i="9"/>
  <c r="M726" i="9"/>
  <c r="E726" i="9"/>
  <c r="D726" i="9"/>
  <c r="K726" i="9"/>
  <c r="C726" i="9"/>
  <c r="B726" i="9"/>
  <c r="R720" i="9" l="1"/>
  <c r="L726" i="9"/>
  <c r="A728" i="9"/>
  <c r="M727" i="9"/>
  <c r="E727" i="9"/>
  <c r="D727" i="9"/>
  <c r="K727" i="9"/>
  <c r="C727" i="9"/>
  <c r="B727" i="9"/>
  <c r="Q727" i="9"/>
  <c r="I727" i="9"/>
  <c r="P727" i="9"/>
  <c r="H727" i="9"/>
  <c r="J727" i="9" s="1"/>
  <c r="G727" i="9"/>
  <c r="F727" i="9"/>
  <c r="O727" i="9"/>
  <c r="N727" i="9"/>
  <c r="R721" i="9" l="1"/>
  <c r="L727" i="9"/>
  <c r="Q728" i="9"/>
  <c r="I728" i="9"/>
  <c r="P728" i="9"/>
  <c r="H728" i="9"/>
  <c r="J728" i="9" s="1"/>
  <c r="O728" i="9"/>
  <c r="G728" i="9"/>
  <c r="N728" i="9"/>
  <c r="F728" i="9"/>
  <c r="A729" i="9"/>
  <c r="M728" i="9"/>
  <c r="E728" i="9"/>
  <c r="D728" i="9"/>
  <c r="K728" i="9"/>
  <c r="C728" i="9"/>
  <c r="B728" i="9"/>
  <c r="R722" i="9" l="1"/>
  <c r="L728" i="9"/>
  <c r="A730" i="9"/>
  <c r="M729" i="9"/>
  <c r="E729" i="9"/>
  <c r="D729" i="9"/>
  <c r="K729" i="9"/>
  <c r="C729" i="9"/>
  <c r="B729" i="9"/>
  <c r="Q729" i="9"/>
  <c r="I729" i="9"/>
  <c r="P729" i="9"/>
  <c r="H729" i="9"/>
  <c r="J729" i="9" s="1"/>
  <c r="O729" i="9"/>
  <c r="N729" i="9"/>
  <c r="G729" i="9"/>
  <c r="F729" i="9"/>
  <c r="L729" i="9" l="1"/>
  <c r="Q730" i="9"/>
  <c r="I730" i="9"/>
  <c r="P730" i="9"/>
  <c r="H730" i="9"/>
  <c r="J730" i="9" s="1"/>
  <c r="O730" i="9"/>
  <c r="G730" i="9"/>
  <c r="N730" i="9"/>
  <c r="F730" i="9"/>
  <c r="A731" i="9"/>
  <c r="M730" i="9"/>
  <c r="E730" i="9"/>
  <c r="D730" i="9"/>
  <c r="K730" i="9"/>
  <c r="C730" i="9"/>
  <c r="B730" i="9"/>
  <c r="L730" i="9" l="1"/>
  <c r="A732" i="9"/>
  <c r="M731" i="9"/>
  <c r="E731" i="9"/>
  <c r="D731" i="9"/>
  <c r="K731" i="9"/>
  <c r="C731" i="9"/>
  <c r="B731" i="9"/>
  <c r="Q731" i="9"/>
  <c r="I731" i="9"/>
  <c r="P731" i="9"/>
  <c r="H731" i="9"/>
  <c r="J731" i="9" s="1"/>
  <c r="O731" i="9"/>
  <c r="N731" i="9"/>
  <c r="G731" i="9"/>
  <c r="F731" i="9"/>
  <c r="R730" i="9" l="1"/>
  <c r="R725" i="9"/>
  <c r="L731" i="9"/>
  <c r="Q732" i="9"/>
  <c r="I732" i="9"/>
  <c r="P732" i="9"/>
  <c r="H732" i="9"/>
  <c r="J732" i="9" s="1"/>
  <c r="O732" i="9"/>
  <c r="G732" i="9"/>
  <c r="N732" i="9"/>
  <c r="F732" i="9"/>
  <c r="A733" i="9"/>
  <c r="M732" i="9"/>
  <c r="E732" i="9"/>
  <c r="D732" i="9"/>
  <c r="C732" i="9"/>
  <c r="B732" i="9"/>
  <c r="K732" i="9"/>
  <c r="R731" i="9" l="1"/>
  <c r="R726" i="9"/>
  <c r="L732" i="9"/>
  <c r="A734" i="9"/>
  <c r="M733" i="9"/>
  <c r="E733" i="9"/>
  <c r="D733" i="9"/>
  <c r="K733" i="9"/>
  <c r="C733" i="9"/>
  <c r="B733" i="9"/>
  <c r="Q733" i="9"/>
  <c r="I733" i="9"/>
  <c r="P733" i="9"/>
  <c r="H733" i="9"/>
  <c r="J733" i="9" s="1"/>
  <c r="O733" i="9"/>
  <c r="N733" i="9"/>
  <c r="G733" i="9"/>
  <c r="F733" i="9"/>
  <c r="R727" i="9" l="1"/>
  <c r="L733" i="9"/>
  <c r="Q734" i="9"/>
  <c r="I734" i="9"/>
  <c r="P734" i="9"/>
  <c r="H734" i="9"/>
  <c r="J734" i="9" s="1"/>
  <c r="O734" i="9"/>
  <c r="G734" i="9"/>
  <c r="N734" i="9"/>
  <c r="F734" i="9"/>
  <c r="A735" i="9"/>
  <c r="M734" i="9"/>
  <c r="E734" i="9"/>
  <c r="D734" i="9"/>
  <c r="K734" i="9"/>
  <c r="C734" i="9"/>
  <c r="B734" i="9"/>
  <c r="L734" i="9" l="1"/>
  <c r="R728" i="9"/>
  <c r="A736" i="9"/>
  <c r="M735" i="9"/>
  <c r="E735" i="9"/>
  <c r="D735" i="9"/>
  <c r="K735" i="9"/>
  <c r="C735" i="9"/>
  <c r="B735" i="9"/>
  <c r="Q735" i="9"/>
  <c r="I735" i="9"/>
  <c r="P735" i="9"/>
  <c r="H735" i="9"/>
  <c r="J735" i="9" s="1"/>
  <c r="G735" i="9"/>
  <c r="F735" i="9"/>
  <c r="O735" i="9"/>
  <c r="N735" i="9"/>
  <c r="R729" i="9" l="1"/>
  <c r="L735" i="9"/>
  <c r="Q736" i="9"/>
  <c r="I736" i="9"/>
  <c r="P736" i="9"/>
  <c r="H736" i="9"/>
  <c r="J736" i="9" s="1"/>
  <c r="O736" i="9"/>
  <c r="G736" i="9"/>
  <c r="N736" i="9"/>
  <c r="F736" i="9"/>
  <c r="A737" i="9"/>
  <c r="M736" i="9"/>
  <c r="E736" i="9"/>
  <c r="D736" i="9"/>
  <c r="K736" i="9"/>
  <c r="C736" i="9"/>
  <c r="B736" i="9"/>
  <c r="L736" i="9" l="1"/>
  <c r="A738" i="9"/>
  <c r="M737" i="9"/>
  <c r="E737" i="9"/>
  <c r="D737" i="9"/>
  <c r="K737" i="9"/>
  <c r="C737" i="9"/>
  <c r="B737" i="9"/>
  <c r="Q737" i="9"/>
  <c r="I737" i="9"/>
  <c r="P737" i="9"/>
  <c r="H737" i="9"/>
  <c r="J737" i="9" s="1"/>
  <c r="O737" i="9"/>
  <c r="N737" i="9"/>
  <c r="G737" i="9"/>
  <c r="F737" i="9"/>
  <c r="L737" i="9" l="1"/>
  <c r="Q738" i="9"/>
  <c r="I738" i="9"/>
  <c r="P738" i="9"/>
  <c r="H738" i="9"/>
  <c r="J738" i="9" s="1"/>
  <c r="O738" i="9"/>
  <c r="G738" i="9"/>
  <c r="N738" i="9"/>
  <c r="F738" i="9"/>
  <c r="A739" i="9"/>
  <c r="M738" i="9"/>
  <c r="E738" i="9"/>
  <c r="D738" i="9"/>
  <c r="K738" i="9"/>
  <c r="C738" i="9"/>
  <c r="B738" i="9"/>
  <c r="R737" i="9" l="1"/>
  <c r="R732" i="9"/>
  <c r="L738" i="9"/>
  <c r="A740" i="9"/>
  <c r="M739" i="9"/>
  <c r="E739" i="9"/>
  <c r="D739" i="9"/>
  <c r="K739" i="9"/>
  <c r="C739" i="9"/>
  <c r="B739" i="9"/>
  <c r="Q739" i="9"/>
  <c r="I739" i="9"/>
  <c r="P739" i="9"/>
  <c r="H739" i="9"/>
  <c r="J739" i="9" s="1"/>
  <c r="O739" i="9"/>
  <c r="N739" i="9"/>
  <c r="G739" i="9"/>
  <c r="F739" i="9"/>
  <c r="R738" i="9" l="1"/>
  <c r="R733" i="9"/>
  <c r="L739" i="9"/>
  <c r="Q740" i="9"/>
  <c r="I740" i="9"/>
  <c r="P740" i="9"/>
  <c r="H740" i="9"/>
  <c r="J740" i="9" s="1"/>
  <c r="O740" i="9"/>
  <c r="G740" i="9"/>
  <c r="N740" i="9"/>
  <c r="F740" i="9"/>
  <c r="A741" i="9"/>
  <c r="M740" i="9"/>
  <c r="E740" i="9"/>
  <c r="D740" i="9"/>
  <c r="C740" i="9"/>
  <c r="B740" i="9"/>
  <c r="K740" i="9"/>
  <c r="R734" i="9" l="1"/>
  <c r="L740" i="9"/>
  <c r="A742" i="9"/>
  <c r="M741" i="9"/>
  <c r="E741" i="9"/>
  <c r="D741" i="9"/>
  <c r="K741" i="9"/>
  <c r="C741" i="9"/>
  <c r="B741" i="9"/>
  <c r="Q741" i="9"/>
  <c r="I741" i="9"/>
  <c r="P741" i="9"/>
  <c r="H741" i="9"/>
  <c r="J741" i="9" s="1"/>
  <c r="O741" i="9"/>
  <c r="N741" i="9"/>
  <c r="G741" i="9"/>
  <c r="F741" i="9"/>
  <c r="R735" i="9" l="1"/>
  <c r="L741" i="9"/>
  <c r="A743" i="9"/>
  <c r="Q742" i="9"/>
  <c r="I742" i="9"/>
  <c r="P742" i="9"/>
  <c r="H742" i="9"/>
  <c r="J742" i="9" s="1"/>
  <c r="O742" i="9"/>
  <c r="G742" i="9"/>
  <c r="N742" i="9"/>
  <c r="F742" i="9"/>
  <c r="M742" i="9"/>
  <c r="E742" i="9"/>
  <c r="D742" i="9"/>
  <c r="K742" i="9"/>
  <c r="C742" i="9"/>
  <c r="B742" i="9"/>
  <c r="R736" i="9" l="1"/>
  <c r="L742" i="9"/>
  <c r="Q743" i="9"/>
  <c r="I743" i="9"/>
  <c r="O743" i="9"/>
  <c r="F743" i="9"/>
  <c r="N743" i="9"/>
  <c r="E743" i="9"/>
  <c r="M743" i="9"/>
  <c r="D743" i="9"/>
  <c r="A744" i="9"/>
  <c r="C743" i="9"/>
  <c r="K743" i="9"/>
  <c r="B743" i="9"/>
  <c r="H743" i="9"/>
  <c r="J743" i="9" s="1"/>
  <c r="L743" i="9" s="1"/>
  <c r="G743" i="9"/>
  <c r="P743" i="9"/>
  <c r="A745" i="9" l="1"/>
  <c r="M744" i="9"/>
  <c r="E744" i="9"/>
  <c r="Q744" i="9"/>
  <c r="I744" i="9"/>
  <c r="P744" i="9"/>
  <c r="H744" i="9"/>
  <c r="J744" i="9" s="1"/>
  <c r="D744" i="9"/>
  <c r="O744" i="9"/>
  <c r="C744" i="9"/>
  <c r="N744" i="9"/>
  <c r="B744" i="9"/>
  <c r="K744" i="9"/>
  <c r="G744" i="9"/>
  <c r="F744" i="9"/>
  <c r="L744" i="9" l="1"/>
  <c r="Q745" i="9"/>
  <c r="I745" i="9"/>
  <c r="A746" i="9"/>
  <c r="M745" i="9"/>
  <c r="E745" i="9"/>
  <c r="D745" i="9"/>
  <c r="H745" i="9"/>
  <c r="J745" i="9" s="1"/>
  <c r="G745" i="9"/>
  <c r="F745" i="9"/>
  <c r="P745" i="9"/>
  <c r="C745" i="9"/>
  <c r="O745" i="9"/>
  <c r="B745" i="9"/>
  <c r="N745" i="9"/>
  <c r="K745" i="9"/>
  <c r="R744" i="9" l="1"/>
  <c r="R739" i="9"/>
  <c r="A747" i="9"/>
  <c r="M746" i="9"/>
  <c r="E746" i="9"/>
  <c r="Q746" i="9"/>
  <c r="I746" i="9"/>
  <c r="P746" i="9"/>
  <c r="H746" i="9"/>
  <c r="J746" i="9" s="1"/>
  <c r="C746" i="9"/>
  <c r="O746" i="9"/>
  <c r="B746" i="9"/>
  <c r="N746" i="9"/>
  <c r="K746" i="9"/>
  <c r="G746" i="9"/>
  <c r="F746" i="9"/>
  <c r="D746" i="9"/>
  <c r="L745" i="9"/>
  <c r="R745" i="9" l="1"/>
  <c r="R740" i="9"/>
  <c r="L746" i="9"/>
  <c r="Q747" i="9"/>
  <c r="I747" i="9"/>
  <c r="P747" i="9"/>
  <c r="H747" i="9"/>
  <c r="J747" i="9" s="1"/>
  <c r="N747" i="9"/>
  <c r="F747" i="9"/>
  <c r="A748" i="9"/>
  <c r="M747" i="9"/>
  <c r="E747" i="9"/>
  <c r="D747" i="9"/>
  <c r="O747" i="9"/>
  <c r="K747" i="9"/>
  <c r="G747" i="9"/>
  <c r="C747" i="9"/>
  <c r="B747" i="9"/>
  <c r="R741" i="9" l="1"/>
  <c r="L747" i="9"/>
  <c r="A749" i="9"/>
  <c r="M748" i="9"/>
  <c r="E748" i="9"/>
  <c r="D748" i="9"/>
  <c r="B748" i="9"/>
  <c r="Q748" i="9"/>
  <c r="I748" i="9"/>
  <c r="P748" i="9"/>
  <c r="H748" i="9"/>
  <c r="J748" i="9" s="1"/>
  <c r="O748" i="9"/>
  <c r="N748" i="9"/>
  <c r="K748" i="9"/>
  <c r="G748" i="9"/>
  <c r="F748" i="9"/>
  <c r="C748" i="9"/>
  <c r="R742" i="9" l="1"/>
  <c r="Q749" i="9"/>
  <c r="I749" i="9"/>
  <c r="P749" i="9"/>
  <c r="H749" i="9"/>
  <c r="J749" i="9" s="1"/>
  <c r="N749" i="9"/>
  <c r="F749" i="9"/>
  <c r="A750" i="9"/>
  <c r="M749" i="9"/>
  <c r="E749" i="9"/>
  <c r="D749" i="9"/>
  <c r="B749" i="9"/>
  <c r="O749" i="9"/>
  <c r="K749" i="9"/>
  <c r="G749" i="9"/>
  <c r="C749" i="9"/>
  <c r="L748" i="9"/>
  <c r="R743" i="9" l="1"/>
  <c r="A751" i="9"/>
  <c r="M750" i="9"/>
  <c r="E750" i="9"/>
  <c r="D750" i="9"/>
  <c r="B750" i="9"/>
  <c r="Q750" i="9"/>
  <c r="I750" i="9"/>
  <c r="P750" i="9"/>
  <c r="H750" i="9"/>
  <c r="J750" i="9" s="1"/>
  <c r="C750" i="9"/>
  <c r="O750" i="9"/>
  <c r="N750" i="9"/>
  <c r="K750" i="9"/>
  <c r="G750" i="9"/>
  <c r="F750" i="9"/>
  <c r="L749" i="9"/>
  <c r="L750" i="9" l="1"/>
  <c r="Q751" i="9"/>
  <c r="I751" i="9"/>
  <c r="P751" i="9"/>
  <c r="H751" i="9"/>
  <c r="J751" i="9" s="1"/>
  <c r="N751" i="9"/>
  <c r="F751" i="9"/>
  <c r="A752" i="9"/>
  <c r="M751" i="9"/>
  <c r="E751" i="9"/>
  <c r="D751" i="9"/>
  <c r="C751" i="9"/>
  <c r="B751" i="9"/>
  <c r="O751" i="9"/>
  <c r="K751" i="9"/>
  <c r="G751" i="9"/>
  <c r="A753" i="9" l="1"/>
  <c r="M752" i="9"/>
  <c r="E752" i="9"/>
  <c r="D752" i="9"/>
  <c r="B752" i="9"/>
  <c r="Q752" i="9"/>
  <c r="I752" i="9"/>
  <c r="P752" i="9"/>
  <c r="H752" i="9"/>
  <c r="J752" i="9" s="1"/>
  <c r="F752" i="9"/>
  <c r="C752" i="9"/>
  <c r="O752" i="9"/>
  <c r="N752" i="9"/>
  <c r="K752" i="9"/>
  <c r="G752" i="9"/>
  <c r="L751" i="9"/>
  <c r="R751" i="9" l="1"/>
  <c r="R746" i="9"/>
  <c r="L752" i="9"/>
  <c r="Q753" i="9"/>
  <c r="I753" i="9"/>
  <c r="P753" i="9"/>
  <c r="H753" i="9"/>
  <c r="J753" i="9" s="1"/>
  <c r="N753" i="9"/>
  <c r="F753" i="9"/>
  <c r="A754" i="9"/>
  <c r="M753" i="9"/>
  <c r="E753" i="9"/>
  <c r="D753" i="9"/>
  <c r="G753" i="9"/>
  <c r="C753" i="9"/>
  <c r="B753" i="9"/>
  <c r="O753" i="9"/>
  <c r="K753" i="9"/>
  <c r="R752" i="9" l="1"/>
  <c r="R747" i="9"/>
  <c r="A755" i="9"/>
  <c r="M754" i="9"/>
  <c r="E754" i="9"/>
  <c r="D754" i="9"/>
  <c r="B754" i="9"/>
  <c r="Q754" i="9"/>
  <c r="I754" i="9"/>
  <c r="P754" i="9"/>
  <c r="H754" i="9"/>
  <c r="J754" i="9" s="1"/>
  <c r="G754" i="9"/>
  <c r="F754" i="9"/>
  <c r="C754" i="9"/>
  <c r="O754" i="9"/>
  <c r="N754" i="9"/>
  <c r="K754" i="9"/>
  <c r="L753" i="9"/>
  <c r="R748" i="9" l="1"/>
  <c r="L754" i="9"/>
  <c r="Q755" i="9"/>
  <c r="I755" i="9"/>
  <c r="P755" i="9"/>
  <c r="H755" i="9"/>
  <c r="J755" i="9" s="1"/>
  <c r="N755" i="9"/>
  <c r="F755" i="9"/>
  <c r="A756" i="9"/>
  <c r="M755" i="9"/>
  <c r="E755" i="9"/>
  <c r="D755" i="9"/>
  <c r="G755" i="9"/>
  <c r="C755" i="9"/>
  <c r="B755" i="9"/>
  <c r="O755" i="9"/>
  <c r="K755" i="9"/>
  <c r="R749" i="9" l="1"/>
  <c r="A757" i="9"/>
  <c r="M756" i="9"/>
  <c r="E756" i="9"/>
  <c r="D756" i="9"/>
  <c r="B756" i="9"/>
  <c r="Q756" i="9"/>
  <c r="I756" i="9"/>
  <c r="P756" i="9"/>
  <c r="H756" i="9"/>
  <c r="J756" i="9" s="1"/>
  <c r="K756" i="9"/>
  <c r="G756" i="9"/>
  <c r="F756" i="9"/>
  <c r="C756" i="9"/>
  <c r="O756" i="9"/>
  <c r="N756" i="9"/>
  <c r="L755" i="9"/>
  <c r="R750" i="9" l="1"/>
  <c r="L756" i="9"/>
  <c r="Q757" i="9"/>
  <c r="I757" i="9"/>
  <c r="P757" i="9"/>
  <c r="H757" i="9"/>
  <c r="J757" i="9" s="1"/>
  <c r="N757" i="9"/>
  <c r="F757" i="9"/>
  <c r="A758" i="9"/>
  <c r="M757" i="9"/>
  <c r="E757" i="9"/>
  <c r="D757" i="9"/>
  <c r="K757" i="9"/>
  <c r="G757" i="9"/>
  <c r="C757" i="9"/>
  <c r="B757" i="9"/>
  <c r="O757" i="9"/>
  <c r="A759" i="9" l="1"/>
  <c r="M758" i="9"/>
  <c r="E758" i="9"/>
  <c r="D758" i="9"/>
  <c r="B758" i="9"/>
  <c r="Q758" i="9"/>
  <c r="I758" i="9"/>
  <c r="P758" i="9"/>
  <c r="H758" i="9"/>
  <c r="J758" i="9" s="1"/>
  <c r="N758" i="9"/>
  <c r="K758" i="9"/>
  <c r="G758" i="9"/>
  <c r="F758" i="9"/>
  <c r="C758" i="9"/>
  <c r="O758" i="9"/>
  <c r="L757" i="9"/>
  <c r="L758" i="9" l="1"/>
  <c r="Q759" i="9"/>
  <c r="I759" i="9"/>
  <c r="P759" i="9"/>
  <c r="H759" i="9"/>
  <c r="J759" i="9" s="1"/>
  <c r="N759" i="9"/>
  <c r="F759" i="9"/>
  <c r="A760" i="9"/>
  <c r="M759" i="9"/>
  <c r="E759" i="9"/>
  <c r="D759" i="9"/>
  <c r="O759" i="9"/>
  <c r="K759" i="9"/>
  <c r="G759" i="9"/>
  <c r="C759" i="9"/>
  <c r="B759" i="9"/>
  <c r="R758" i="9" l="1"/>
  <c r="R753" i="9"/>
  <c r="A761" i="9"/>
  <c r="M760" i="9"/>
  <c r="E760" i="9"/>
  <c r="D760" i="9"/>
  <c r="B760" i="9"/>
  <c r="Q760" i="9"/>
  <c r="I760" i="9"/>
  <c r="P760" i="9"/>
  <c r="H760" i="9"/>
  <c r="J760" i="9" s="1"/>
  <c r="O760" i="9"/>
  <c r="N760" i="9"/>
  <c r="K760" i="9"/>
  <c r="G760" i="9"/>
  <c r="F760" i="9"/>
  <c r="C760" i="9"/>
  <c r="L759" i="9"/>
  <c r="R759" i="9" l="1"/>
  <c r="R754" i="9"/>
  <c r="L760" i="9"/>
  <c r="Q761" i="9"/>
  <c r="I761" i="9"/>
  <c r="P761" i="9"/>
  <c r="H761" i="9"/>
  <c r="J761" i="9" s="1"/>
  <c r="N761" i="9"/>
  <c r="F761" i="9"/>
  <c r="A762" i="9"/>
  <c r="M761" i="9"/>
  <c r="E761" i="9"/>
  <c r="D761" i="9"/>
  <c r="O761" i="9"/>
  <c r="K761" i="9"/>
  <c r="G761" i="9"/>
  <c r="C761" i="9"/>
  <c r="B761" i="9"/>
  <c r="R760" i="9" l="1"/>
  <c r="R755" i="9"/>
  <c r="A763" i="9"/>
  <c r="M762" i="9"/>
  <c r="E762" i="9"/>
  <c r="D762" i="9"/>
  <c r="B762" i="9"/>
  <c r="Q762" i="9"/>
  <c r="I762" i="9"/>
  <c r="P762" i="9"/>
  <c r="H762" i="9"/>
  <c r="J762" i="9" s="1"/>
  <c r="O762" i="9"/>
  <c r="N762" i="9"/>
  <c r="K762" i="9"/>
  <c r="G762" i="9"/>
  <c r="F762" i="9"/>
  <c r="C762" i="9"/>
  <c r="L761" i="9"/>
  <c r="R756" i="9" l="1"/>
  <c r="L762" i="9"/>
  <c r="Q763" i="9"/>
  <c r="I763" i="9"/>
  <c r="P763" i="9"/>
  <c r="H763" i="9"/>
  <c r="J763" i="9" s="1"/>
  <c r="N763" i="9"/>
  <c r="F763" i="9"/>
  <c r="A764" i="9"/>
  <c r="M763" i="9"/>
  <c r="E763" i="9"/>
  <c r="D763" i="9"/>
  <c r="O763" i="9"/>
  <c r="K763" i="9"/>
  <c r="G763" i="9"/>
  <c r="C763" i="9"/>
  <c r="B763" i="9"/>
  <c r="R757" i="9" l="1"/>
  <c r="A765" i="9"/>
  <c r="M764" i="9"/>
  <c r="E764" i="9"/>
  <c r="D764" i="9"/>
  <c r="B764" i="9"/>
  <c r="Q764" i="9"/>
  <c r="I764" i="9"/>
  <c r="P764" i="9"/>
  <c r="H764" i="9"/>
  <c r="J764" i="9" s="1"/>
  <c r="O764" i="9"/>
  <c r="N764" i="9"/>
  <c r="K764" i="9"/>
  <c r="G764" i="9"/>
  <c r="F764" i="9"/>
  <c r="C764" i="9"/>
  <c r="L763" i="9"/>
  <c r="L764" i="9" l="1"/>
  <c r="Q765" i="9"/>
  <c r="I765" i="9"/>
  <c r="P765" i="9"/>
  <c r="H765" i="9"/>
  <c r="J765" i="9" s="1"/>
  <c r="N765" i="9"/>
  <c r="F765" i="9"/>
  <c r="A766" i="9"/>
  <c r="M765" i="9"/>
  <c r="E765" i="9"/>
  <c r="D765" i="9"/>
  <c r="B765" i="9"/>
  <c r="O765" i="9"/>
  <c r="K765" i="9"/>
  <c r="G765" i="9"/>
  <c r="C765" i="9"/>
  <c r="A767" i="9" l="1"/>
  <c r="M766" i="9"/>
  <c r="E766" i="9"/>
  <c r="D766" i="9"/>
  <c r="B766" i="9"/>
  <c r="Q766" i="9"/>
  <c r="I766" i="9"/>
  <c r="P766" i="9"/>
  <c r="H766" i="9"/>
  <c r="J766" i="9" s="1"/>
  <c r="C766" i="9"/>
  <c r="O766" i="9"/>
  <c r="N766" i="9"/>
  <c r="K766" i="9"/>
  <c r="G766" i="9"/>
  <c r="F766" i="9"/>
  <c r="L765" i="9"/>
  <c r="R765" i="9" s="1"/>
  <c r="L766" i="9" l="1"/>
  <c r="Q767" i="9"/>
  <c r="I767" i="9"/>
  <c r="P767" i="9"/>
  <c r="H767" i="9"/>
  <c r="J767" i="9" s="1"/>
  <c r="N767" i="9"/>
  <c r="F767" i="9"/>
  <c r="A768" i="9"/>
  <c r="M767" i="9"/>
  <c r="E767" i="9"/>
  <c r="D767" i="9"/>
  <c r="C767" i="9"/>
  <c r="B767" i="9"/>
  <c r="O767" i="9"/>
  <c r="K767" i="9"/>
  <c r="G767" i="9"/>
  <c r="R766" i="9" l="1"/>
  <c r="R761" i="9"/>
  <c r="A769" i="9"/>
  <c r="M768" i="9"/>
  <c r="E768" i="9"/>
  <c r="D768" i="9"/>
  <c r="B768" i="9"/>
  <c r="Q768" i="9"/>
  <c r="I768" i="9"/>
  <c r="P768" i="9"/>
  <c r="H768" i="9"/>
  <c r="J768" i="9" s="1"/>
  <c r="F768" i="9"/>
  <c r="C768" i="9"/>
  <c r="O768" i="9"/>
  <c r="N768" i="9"/>
  <c r="K768" i="9"/>
  <c r="G768" i="9"/>
  <c r="L767" i="9"/>
  <c r="L768" i="9" l="1"/>
  <c r="R762" i="9"/>
  <c r="Q769" i="9"/>
  <c r="I769" i="9"/>
  <c r="P769" i="9"/>
  <c r="H769" i="9"/>
  <c r="J769" i="9" s="1"/>
  <c r="N769" i="9"/>
  <c r="F769" i="9"/>
  <c r="A770" i="9"/>
  <c r="M769" i="9"/>
  <c r="E769" i="9"/>
  <c r="D769" i="9"/>
  <c r="G769" i="9"/>
  <c r="C769" i="9"/>
  <c r="B769" i="9"/>
  <c r="O769" i="9"/>
  <c r="K769" i="9"/>
  <c r="R763" i="9" l="1"/>
  <c r="A771" i="9"/>
  <c r="M770" i="9"/>
  <c r="E770" i="9"/>
  <c r="D770" i="9"/>
  <c r="B770" i="9"/>
  <c r="Q770" i="9"/>
  <c r="I770" i="9"/>
  <c r="P770" i="9"/>
  <c r="H770" i="9"/>
  <c r="J770" i="9" s="1"/>
  <c r="G770" i="9"/>
  <c r="F770" i="9"/>
  <c r="C770" i="9"/>
  <c r="O770" i="9"/>
  <c r="N770" i="9"/>
  <c r="K770" i="9"/>
  <c r="L769" i="9"/>
  <c r="R764" i="9" l="1"/>
  <c r="L770" i="9"/>
  <c r="Q771" i="9"/>
  <c r="I771" i="9"/>
  <c r="P771" i="9"/>
  <c r="H771" i="9"/>
  <c r="J771" i="9" s="1"/>
  <c r="N771" i="9"/>
  <c r="F771" i="9"/>
  <c r="A772" i="9"/>
  <c r="M771" i="9"/>
  <c r="E771" i="9"/>
  <c r="D771" i="9"/>
  <c r="G771" i="9"/>
  <c r="C771" i="9"/>
  <c r="B771" i="9"/>
  <c r="O771" i="9"/>
  <c r="K771" i="9"/>
  <c r="A773" i="9" l="1"/>
  <c r="M772" i="9"/>
  <c r="E772" i="9"/>
  <c r="D772" i="9"/>
  <c r="B772" i="9"/>
  <c r="Q772" i="9"/>
  <c r="I772" i="9"/>
  <c r="P772" i="9"/>
  <c r="H772" i="9"/>
  <c r="J772" i="9" s="1"/>
  <c r="K772" i="9"/>
  <c r="G772" i="9"/>
  <c r="F772" i="9"/>
  <c r="C772" i="9"/>
  <c r="O772" i="9"/>
  <c r="N772" i="9"/>
  <c r="L771" i="9"/>
  <c r="L772" i="9" l="1"/>
  <c r="Q773" i="9"/>
  <c r="I773" i="9"/>
  <c r="P773" i="9"/>
  <c r="H773" i="9"/>
  <c r="J773" i="9" s="1"/>
  <c r="N773" i="9"/>
  <c r="F773" i="9"/>
  <c r="A774" i="9"/>
  <c r="M773" i="9"/>
  <c r="E773" i="9"/>
  <c r="D773" i="9"/>
  <c r="K773" i="9"/>
  <c r="G773" i="9"/>
  <c r="C773" i="9"/>
  <c r="B773" i="9"/>
  <c r="O773" i="9"/>
  <c r="R772" i="9" l="1"/>
  <c r="R767" i="9"/>
  <c r="A775" i="9"/>
  <c r="M774" i="9"/>
  <c r="E774" i="9"/>
  <c r="D774" i="9"/>
  <c r="B774" i="9"/>
  <c r="Q774" i="9"/>
  <c r="I774" i="9"/>
  <c r="P774" i="9"/>
  <c r="H774" i="9"/>
  <c r="J774" i="9" s="1"/>
  <c r="N774" i="9"/>
  <c r="K774" i="9"/>
  <c r="G774" i="9"/>
  <c r="F774" i="9"/>
  <c r="C774" i="9"/>
  <c r="O774" i="9"/>
  <c r="L773" i="9"/>
  <c r="R773" i="9" l="1"/>
  <c r="R768" i="9"/>
  <c r="L774" i="9"/>
  <c r="Q775" i="9"/>
  <c r="I775" i="9"/>
  <c r="P775" i="9"/>
  <c r="H775" i="9"/>
  <c r="J775" i="9" s="1"/>
  <c r="N775" i="9"/>
  <c r="F775" i="9"/>
  <c r="A776" i="9"/>
  <c r="M775" i="9"/>
  <c r="E775" i="9"/>
  <c r="D775" i="9"/>
  <c r="O775" i="9"/>
  <c r="K775" i="9"/>
  <c r="G775" i="9"/>
  <c r="C775" i="9"/>
  <c r="B775" i="9"/>
  <c r="R769" i="9" l="1"/>
  <c r="L775" i="9"/>
  <c r="A777" i="9"/>
  <c r="M776" i="9"/>
  <c r="E776" i="9"/>
  <c r="D776" i="9"/>
  <c r="B776" i="9"/>
  <c r="Q776" i="9"/>
  <c r="I776" i="9"/>
  <c r="P776" i="9"/>
  <c r="H776" i="9"/>
  <c r="J776" i="9" s="1"/>
  <c r="O776" i="9"/>
  <c r="N776" i="9"/>
  <c r="K776" i="9"/>
  <c r="G776" i="9"/>
  <c r="F776" i="9"/>
  <c r="C776" i="9"/>
  <c r="R770" i="9" l="1"/>
  <c r="L776" i="9"/>
  <c r="Q777" i="9"/>
  <c r="I777" i="9"/>
  <c r="P777" i="9"/>
  <c r="H777" i="9"/>
  <c r="J777" i="9" s="1"/>
  <c r="N777" i="9"/>
  <c r="F777" i="9"/>
  <c r="A778" i="9"/>
  <c r="M777" i="9"/>
  <c r="E777" i="9"/>
  <c r="D777" i="9"/>
  <c r="O777" i="9"/>
  <c r="K777" i="9"/>
  <c r="G777" i="9"/>
  <c r="C777" i="9"/>
  <c r="B777" i="9"/>
  <c r="R771" i="9" l="1"/>
  <c r="A779" i="9"/>
  <c r="M778" i="9"/>
  <c r="E778" i="9"/>
  <c r="D778" i="9"/>
  <c r="B778" i="9"/>
  <c r="Q778" i="9"/>
  <c r="I778" i="9"/>
  <c r="P778" i="9"/>
  <c r="H778" i="9"/>
  <c r="J778" i="9" s="1"/>
  <c r="O778" i="9"/>
  <c r="N778" i="9"/>
  <c r="K778" i="9"/>
  <c r="G778" i="9"/>
  <c r="F778" i="9"/>
  <c r="C778" i="9"/>
  <c r="L777" i="9"/>
  <c r="L778" i="9" l="1"/>
  <c r="Q779" i="9"/>
  <c r="I779" i="9"/>
  <c r="P779" i="9"/>
  <c r="H779" i="9"/>
  <c r="J779" i="9" s="1"/>
  <c r="N779" i="9"/>
  <c r="F779" i="9"/>
  <c r="A780" i="9"/>
  <c r="M779" i="9"/>
  <c r="E779" i="9"/>
  <c r="D779" i="9"/>
  <c r="O779" i="9"/>
  <c r="K779" i="9"/>
  <c r="G779" i="9"/>
  <c r="C779" i="9"/>
  <c r="B779" i="9"/>
  <c r="A781" i="9" l="1"/>
  <c r="M780" i="9"/>
  <c r="E780" i="9"/>
  <c r="D780" i="9"/>
  <c r="B780" i="9"/>
  <c r="Q780" i="9"/>
  <c r="I780" i="9"/>
  <c r="P780" i="9"/>
  <c r="H780" i="9"/>
  <c r="J780" i="9" s="1"/>
  <c r="O780" i="9"/>
  <c r="N780" i="9"/>
  <c r="K780" i="9"/>
  <c r="G780" i="9"/>
  <c r="F780" i="9"/>
  <c r="C780" i="9"/>
  <c r="L779" i="9"/>
  <c r="R779" i="9" l="1"/>
  <c r="R774" i="9"/>
  <c r="L780" i="9"/>
  <c r="Q781" i="9"/>
  <c r="I781" i="9"/>
  <c r="P781" i="9"/>
  <c r="H781" i="9"/>
  <c r="J781" i="9" s="1"/>
  <c r="N781" i="9"/>
  <c r="F781" i="9"/>
  <c r="A782" i="9"/>
  <c r="M781" i="9"/>
  <c r="E781" i="9"/>
  <c r="D781" i="9"/>
  <c r="B781" i="9"/>
  <c r="O781" i="9"/>
  <c r="K781" i="9"/>
  <c r="G781" i="9"/>
  <c r="C781" i="9"/>
  <c r="R780" i="9" l="1"/>
  <c r="R775" i="9"/>
  <c r="A783" i="9"/>
  <c r="M782" i="9"/>
  <c r="E782" i="9"/>
  <c r="D782" i="9"/>
  <c r="B782" i="9"/>
  <c r="Q782" i="9"/>
  <c r="I782" i="9"/>
  <c r="P782" i="9"/>
  <c r="H782" i="9"/>
  <c r="J782" i="9" s="1"/>
  <c r="C782" i="9"/>
  <c r="O782" i="9"/>
  <c r="N782" i="9"/>
  <c r="K782" i="9"/>
  <c r="G782" i="9"/>
  <c r="F782" i="9"/>
  <c r="L781" i="9"/>
  <c r="R776" i="9" l="1"/>
  <c r="L782" i="9"/>
  <c r="Q783" i="9"/>
  <c r="I783" i="9"/>
  <c r="P783" i="9"/>
  <c r="H783" i="9"/>
  <c r="J783" i="9" s="1"/>
  <c r="N783" i="9"/>
  <c r="F783" i="9"/>
  <c r="A784" i="9"/>
  <c r="M783" i="9"/>
  <c r="E783" i="9"/>
  <c r="D783" i="9"/>
  <c r="C783" i="9"/>
  <c r="B783" i="9"/>
  <c r="O783" i="9"/>
  <c r="K783" i="9"/>
  <c r="G783" i="9"/>
  <c r="R777" i="9" l="1"/>
  <c r="Q784" i="9"/>
  <c r="I784" i="9"/>
  <c r="N784" i="9"/>
  <c r="E784" i="9"/>
  <c r="M784" i="9"/>
  <c r="D784" i="9"/>
  <c r="K784" i="9"/>
  <c r="B784" i="9"/>
  <c r="H784" i="9"/>
  <c r="J784" i="9" s="1"/>
  <c r="F784" i="9"/>
  <c r="C784" i="9"/>
  <c r="A785" i="9"/>
  <c r="P784" i="9"/>
  <c r="O784" i="9"/>
  <c r="G784" i="9"/>
  <c r="L783" i="9"/>
  <c r="R778" i="9" l="1"/>
  <c r="A786" i="9"/>
  <c r="M785" i="9"/>
  <c r="E785" i="9"/>
  <c r="C785" i="9"/>
  <c r="K785" i="9"/>
  <c r="B785" i="9"/>
  <c r="I785" i="9"/>
  <c r="Q785" i="9"/>
  <c r="H785" i="9"/>
  <c r="J785" i="9" s="1"/>
  <c r="P785" i="9"/>
  <c r="G785" i="9"/>
  <c r="F785" i="9"/>
  <c r="D785" i="9"/>
  <c r="O785" i="9"/>
  <c r="N785" i="9"/>
  <c r="L784" i="9"/>
  <c r="L785" i="9" l="1"/>
  <c r="Q786" i="9"/>
  <c r="I786" i="9"/>
  <c r="K786" i="9"/>
  <c r="B786" i="9"/>
  <c r="P786" i="9"/>
  <c r="G786" i="9"/>
  <c r="O786" i="9"/>
  <c r="F786" i="9"/>
  <c r="N786" i="9"/>
  <c r="E786" i="9"/>
  <c r="M786" i="9"/>
  <c r="H786" i="9"/>
  <c r="J786" i="9" s="1"/>
  <c r="D786" i="9"/>
  <c r="C786" i="9"/>
  <c r="A787" i="9"/>
  <c r="L786" i="9" l="1"/>
  <c r="A788" i="9"/>
  <c r="M787" i="9"/>
  <c r="E787" i="9"/>
  <c r="I787" i="9"/>
  <c r="Q787" i="9"/>
  <c r="H787" i="9"/>
  <c r="J787" i="9" s="1"/>
  <c r="O787" i="9"/>
  <c r="F787" i="9"/>
  <c r="N787" i="9"/>
  <c r="D787" i="9"/>
  <c r="C787" i="9"/>
  <c r="P787" i="9"/>
  <c r="K787" i="9"/>
  <c r="G787" i="9"/>
  <c r="B787" i="9"/>
  <c r="R786" i="9" l="1"/>
  <c r="R781" i="9"/>
  <c r="L787" i="9"/>
  <c r="Q788" i="9"/>
  <c r="I788" i="9"/>
  <c r="P788" i="9"/>
  <c r="G788" i="9"/>
  <c r="O788" i="9"/>
  <c r="F788" i="9"/>
  <c r="M788" i="9"/>
  <c r="D788" i="9"/>
  <c r="A789" i="9"/>
  <c r="C788" i="9"/>
  <c r="K788" i="9"/>
  <c r="B788" i="9"/>
  <c r="N788" i="9"/>
  <c r="H788" i="9"/>
  <c r="J788" i="9" s="1"/>
  <c r="E788" i="9"/>
  <c r="R787" i="9" l="1"/>
  <c r="R782" i="9"/>
  <c r="L788" i="9"/>
  <c r="A790" i="9"/>
  <c r="M789" i="9"/>
  <c r="E789" i="9"/>
  <c r="O789" i="9"/>
  <c r="F789" i="9"/>
  <c r="N789" i="9"/>
  <c r="D789" i="9"/>
  <c r="K789" i="9"/>
  <c r="B789" i="9"/>
  <c r="I789" i="9"/>
  <c r="C789" i="9"/>
  <c r="Q789" i="9"/>
  <c r="P789" i="9"/>
  <c r="H789" i="9"/>
  <c r="J789" i="9" s="1"/>
  <c r="G789" i="9"/>
  <c r="R783" i="9" l="1"/>
  <c r="L789" i="9"/>
  <c r="Q790" i="9"/>
  <c r="I790" i="9"/>
  <c r="M790" i="9"/>
  <c r="D790" i="9"/>
  <c r="A791" i="9"/>
  <c r="C790" i="9"/>
  <c r="H790" i="9"/>
  <c r="J790" i="9" s="1"/>
  <c r="P790" i="9"/>
  <c r="G790" i="9"/>
  <c r="F790" i="9"/>
  <c r="E790" i="9"/>
  <c r="B790" i="9"/>
  <c r="O790" i="9"/>
  <c r="N790" i="9"/>
  <c r="K790" i="9"/>
  <c r="R784" i="9" l="1"/>
  <c r="A792" i="9"/>
  <c r="M791" i="9"/>
  <c r="E791" i="9"/>
  <c r="K791" i="9"/>
  <c r="B791" i="9"/>
  <c r="Q791" i="9"/>
  <c r="H791" i="9"/>
  <c r="J791" i="9" s="1"/>
  <c r="P791" i="9"/>
  <c r="G791" i="9"/>
  <c r="O791" i="9"/>
  <c r="F791" i="9"/>
  <c r="I791" i="9"/>
  <c r="D791" i="9"/>
  <c r="C791" i="9"/>
  <c r="N791" i="9"/>
  <c r="L790" i="9"/>
  <c r="R785" i="9" l="1"/>
  <c r="L791" i="9"/>
  <c r="Q792" i="9"/>
  <c r="I792" i="9"/>
  <c r="H792" i="9"/>
  <c r="J792" i="9" s="1"/>
  <c r="O792" i="9"/>
  <c r="F792" i="9"/>
  <c r="N792" i="9"/>
  <c r="E792" i="9"/>
  <c r="M792" i="9"/>
  <c r="D792" i="9"/>
  <c r="P792" i="9"/>
  <c r="K792" i="9"/>
  <c r="G792" i="9"/>
  <c r="C792" i="9"/>
  <c r="B792" i="9"/>
  <c r="A793" i="9"/>
  <c r="L792" i="9" l="1"/>
  <c r="A794" i="9"/>
  <c r="M793" i="9"/>
  <c r="E793" i="9"/>
  <c r="Q793" i="9"/>
  <c r="H793" i="9"/>
  <c r="J793" i="9" s="1"/>
  <c r="P793" i="9"/>
  <c r="G793" i="9"/>
  <c r="N793" i="9"/>
  <c r="D793" i="9"/>
  <c r="C793" i="9"/>
  <c r="K793" i="9"/>
  <c r="B793" i="9"/>
  <c r="O793" i="9"/>
  <c r="I793" i="9"/>
  <c r="F793" i="9"/>
  <c r="L793" i="9" l="1"/>
  <c r="Q794" i="9"/>
  <c r="I794" i="9"/>
  <c r="N794" i="9"/>
  <c r="F794" i="9"/>
  <c r="A795" i="9"/>
  <c r="G794" i="9"/>
  <c r="E794" i="9"/>
  <c r="O794" i="9"/>
  <c r="C794" i="9"/>
  <c r="M794" i="9"/>
  <c r="B794" i="9"/>
  <c r="P794" i="9"/>
  <c r="K794" i="9"/>
  <c r="H794" i="9"/>
  <c r="J794" i="9" s="1"/>
  <c r="D794" i="9"/>
  <c r="L794" i="9" l="1"/>
  <c r="R793" i="9"/>
  <c r="R788" i="9"/>
  <c r="O795" i="9"/>
  <c r="G795" i="9"/>
  <c r="N795" i="9"/>
  <c r="F795" i="9"/>
  <c r="A796" i="9"/>
  <c r="M795" i="9"/>
  <c r="E795" i="9"/>
  <c r="K795" i="9"/>
  <c r="C795" i="9"/>
  <c r="B795" i="9"/>
  <c r="P795" i="9"/>
  <c r="I795" i="9"/>
  <c r="Q795" i="9"/>
  <c r="H795" i="9"/>
  <c r="J795" i="9" s="1"/>
  <c r="D795" i="9"/>
  <c r="R794" i="9" l="1"/>
  <c r="R789" i="9"/>
  <c r="L795" i="9"/>
  <c r="K796" i="9"/>
  <c r="C796" i="9"/>
  <c r="B796" i="9"/>
  <c r="Q796" i="9"/>
  <c r="I796" i="9"/>
  <c r="O796" i="9"/>
  <c r="G796" i="9"/>
  <c r="N796" i="9"/>
  <c r="F796" i="9"/>
  <c r="D796" i="9"/>
  <c r="A797" i="9"/>
  <c r="P796" i="9"/>
  <c r="M796" i="9"/>
  <c r="E796" i="9"/>
  <c r="H796" i="9"/>
  <c r="J796" i="9" s="1"/>
  <c r="R790" i="9" l="1"/>
  <c r="O797" i="9"/>
  <c r="G797" i="9"/>
  <c r="N797" i="9"/>
  <c r="F797" i="9"/>
  <c r="A798" i="9"/>
  <c r="M797" i="9"/>
  <c r="E797" i="9"/>
  <c r="K797" i="9"/>
  <c r="C797" i="9"/>
  <c r="B797" i="9"/>
  <c r="D797" i="9"/>
  <c r="Q797" i="9"/>
  <c r="P797" i="9"/>
  <c r="I797" i="9"/>
  <c r="H797" i="9"/>
  <c r="J797" i="9" s="1"/>
  <c r="L796" i="9"/>
  <c r="R791" i="9" l="1"/>
  <c r="K798" i="9"/>
  <c r="C798" i="9"/>
  <c r="B798" i="9"/>
  <c r="Q798" i="9"/>
  <c r="I798" i="9"/>
  <c r="O798" i="9"/>
  <c r="G798" i="9"/>
  <c r="N798" i="9"/>
  <c r="F798" i="9"/>
  <c r="E798" i="9"/>
  <c r="D798" i="9"/>
  <c r="P798" i="9"/>
  <c r="M798" i="9"/>
  <c r="A799" i="9"/>
  <c r="H798" i="9"/>
  <c r="J798" i="9" s="1"/>
  <c r="L797" i="9"/>
  <c r="R792" i="9" l="1"/>
  <c r="L798" i="9"/>
  <c r="O799" i="9"/>
  <c r="G799" i="9"/>
  <c r="N799" i="9"/>
  <c r="F799" i="9"/>
  <c r="A800" i="9"/>
  <c r="M799" i="9"/>
  <c r="E799" i="9"/>
  <c r="K799" i="9"/>
  <c r="C799" i="9"/>
  <c r="B799" i="9"/>
  <c r="H799" i="9"/>
  <c r="J799" i="9" s="1"/>
  <c r="D799" i="9"/>
  <c r="Q799" i="9"/>
  <c r="P799" i="9"/>
  <c r="I799" i="9"/>
  <c r="L799" i="9" l="1"/>
  <c r="K800" i="9"/>
  <c r="C800" i="9"/>
  <c r="B800" i="9"/>
  <c r="Q800" i="9"/>
  <c r="I800" i="9"/>
  <c r="O800" i="9"/>
  <c r="G800" i="9"/>
  <c r="N800" i="9"/>
  <c r="F800" i="9"/>
  <c r="H800" i="9"/>
  <c r="J800" i="9" s="1"/>
  <c r="L800" i="9" s="1"/>
  <c r="E800" i="9"/>
  <c r="A801" i="9"/>
  <c r="P800" i="9"/>
  <c r="M800" i="9"/>
  <c r="D800" i="9"/>
  <c r="R800" i="9" l="1"/>
  <c r="R795" i="9"/>
  <c r="O801" i="9"/>
  <c r="G801" i="9"/>
  <c r="N801" i="9"/>
  <c r="F801" i="9"/>
  <c r="A802" i="9"/>
  <c r="M801" i="9"/>
  <c r="E801" i="9"/>
  <c r="K801" i="9"/>
  <c r="C801" i="9"/>
  <c r="B801" i="9"/>
  <c r="I801" i="9"/>
  <c r="H801" i="9"/>
  <c r="J801" i="9" s="1"/>
  <c r="L801" i="9" s="1"/>
  <c r="Q801" i="9"/>
  <c r="P801" i="9"/>
  <c r="D801" i="9"/>
  <c r="R801" i="9" l="1"/>
  <c r="R796" i="9"/>
  <c r="K802" i="9"/>
  <c r="C802" i="9"/>
  <c r="B802" i="9"/>
  <c r="Q802" i="9"/>
  <c r="I802" i="9"/>
  <c r="O802" i="9"/>
  <c r="G802" i="9"/>
  <c r="N802" i="9"/>
  <c r="F802" i="9"/>
  <c r="H802" i="9"/>
  <c r="J802" i="9" s="1"/>
  <c r="D802" i="9"/>
  <c r="A803" i="9"/>
  <c r="P802" i="9"/>
  <c r="M802" i="9"/>
  <c r="E802" i="9"/>
  <c r="O803" i="9" l="1"/>
  <c r="G803" i="9"/>
  <c r="N803" i="9"/>
  <c r="F803" i="9"/>
  <c r="A804" i="9"/>
  <c r="M803" i="9"/>
  <c r="E803" i="9"/>
  <c r="K803" i="9"/>
  <c r="C803" i="9"/>
  <c r="B803" i="9"/>
  <c r="I803" i="9"/>
  <c r="D803" i="9"/>
  <c r="Q803" i="9"/>
  <c r="P803" i="9"/>
  <c r="H803" i="9"/>
  <c r="J803" i="9" s="1"/>
  <c r="L802" i="9"/>
  <c r="R797" i="9" l="1"/>
  <c r="K804" i="9"/>
  <c r="C804" i="9"/>
  <c r="B804" i="9"/>
  <c r="Q804" i="9"/>
  <c r="I804" i="9"/>
  <c r="O804" i="9"/>
  <c r="G804" i="9"/>
  <c r="N804" i="9"/>
  <c r="F804" i="9"/>
  <c r="M804" i="9"/>
  <c r="E804" i="9"/>
  <c r="D804" i="9"/>
  <c r="A805" i="9"/>
  <c r="P804" i="9"/>
  <c r="H804" i="9"/>
  <c r="J804" i="9" s="1"/>
  <c r="L803" i="9"/>
  <c r="R798" i="9" l="1"/>
  <c r="O805" i="9"/>
  <c r="G805" i="9"/>
  <c r="N805" i="9"/>
  <c r="F805" i="9"/>
  <c r="A806" i="9"/>
  <c r="M805" i="9"/>
  <c r="E805" i="9"/>
  <c r="K805" i="9"/>
  <c r="C805" i="9"/>
  <c r="B805" i="9"/>
  <c r="P805" i="9"/>
  <c r="H805" i="9"/>
  <c r="J805" i="9" s="1"/>
  <c r="D805" i="9"/>
  <c r="Q805" i="9"/>
  <c r="I805" i="9"/>
  <c r="L804" i="9"/>
  <c r="R799" i="9" l="1"/>
  <c r="L805" i="9"/>
  <c r="K806" i="9"/>
  <c r="C806" i="9"/>
  <c r="B806" i="9"/>
  <c r="Q806" i="9"/>
  <c r="I806" i="9"/>
  <c r="O806" i="9"/>
  <c r="G806" i="9"/>
  <c r="N806" i="9"/>
  <c r="F806" i="9"/>
  <c r="P806" i="9"/>
  <c r="M806" i="9"/>
  <c r="H806" i="9"/>
  <c r="J806" i="9" s="1"/>
  <c r="L806" i="9" s="1"/>
  <c r="E806" i="9"/>
  <c r="D806" i="9"/>
  <c r="A807" i="9"/>
  <c r="O807" i="9" l="1"/>
  <c r="G807" i="9"/>
  <c r="N807" i="9"/>
  <c r="F807" i="9"/>
  <c r="A808" i="9"/>
  <c r="M807" i="9"/>
  <c r="E807" i="9"/>
  <c r="K807" i="9"/>
  <c r="C807" i="9"/>
  <c r="B807" i="9"/>
  <c r="Q807" i="9"/>
  <c r="P807" i="9"/>
  <c r="I807" i="9"/>
  <c r="H807" i="9"/>
  <c r="J807" i="9" s="1"/>
  <c r="L807" i="9" s="1"/>
  <c r="D807" i="9"/>
  <c r="R807" i="9" l="1"/>
  <c r="R802" i="9"/>
  <c r="K808" i="9"/>
  <c r="C808" i="9"/>
  <c r="B808" i="9"/>
  <c r="Q808" i="9"/>
  <c r="I808" i="9"/>
  <c r="O808" i="9"/>
  <c r="G808" i="9"/>
  <c r="N808" i="9"/>
  <c r="F808" i="9"/>
  <c r="P808" i="9"/>
  <c r="H808" i="9"/>
  <c r="J808" i="9" s="1"/>
  <c r="E808" i="9"/>
  <c r="A809" i="9"/>
  <c r="M808" i="9"/>
  <c r="D808" i="9"/>
  <c r="O809" i="9" l="1"/>
  <c r="G809" i="9"/>
  <c r="N809" i="9"/>
  <c r="F809" i="9"/>
  <c r="A810" i="9"/>
  <c r="M809" i="9"/>
  <c r="E809" i="9"/>
  <c r="K809" i="9"/>
  <c r="C809" i="9"/>
  <c r="B809" i="9"/>
  <c r="Q809" i="9"/>
  <c r="I809" i="9"/>
  <c r="H809" i="9"/>
  <c r="J809" i="9" s="1"/>
  <c r="P809" i="9"/>
  <c r="D809" i="9"/>
  <c r="L808" i="9"/>
  <c r="R808" i="9" l="1"/>
  <c r="R803" i="9"/>
  <c r="K810" i="9"/>
  <c r="C810" i="9"/>
  <c r="B810" i="9"/>
  <c r="Q810" i="9"/>
  <c r="I810" i="9"/>
  <c r="O810" i="9"/>
  <c r="G810" i="9"/>
  <c r="N810" i="9"/>
  <c r="F810" i="9"/>
  <c r="A811" i="9"/>
  <c r="M810" i="9"/>
  <c r="H810" i="9"/>
  <c r="J810" i="9" s="1"/>
  <c r="L810" i="9" s="1"/>
  <c r="E810" i="9"/>
  <c r="D810" i="9"/>
  <c r="P810" i="9"/>
  <c r="L809" i="9"/>
  <c r="R804" i="9" l="1"/>
  <c r="R805" i="9"/>
  <c r="O811" i="9"/>
  <c r="G811" i="9"/>
  <c r="N811" i="9"/>
  <c r="F811" i="9"/>
  <c r="A812" i="9"/>
  <c r="M811" i="9"/>
  <c r="E811" i="9"/>
  <c r="K811" i="9"/>
  <c r="C811" i="9"/>
  <c r="B811" i="9"/>
  <c r="P811" i="9"/>
  <c r="I811" i="9"/>
  <c r="Q811" i="9"/>
  <c r="H811" i="9"/>
  <c r="J811" i="9" s="1"/>
  <c r="D811" i="9"/>
  <c r="L811" i="9" l="1"/>
  <c r="K812" i="9"/>
  <c r="C812" i="9"/>
  <c r="B812" i="9"/>
  <c r="Q812" i="9"/>
  <c r="I812" i="9"/>
  <c r="O812" i="9"/>
  <c r="G812" i="9"/>
  <c r="N812" i="9"/>
  <c r="F812" i="9"/>
  <c r="D812" i="9"/>
  <c r="A813" i="9"/>
  <c r="P812" i="9"/>
  <c r="M812" i="9"/>
  <c r="H812" i="9"/>
  <c r="J812" i="9" s="1"/>
  <c r="E812" i="9"/>
  <c r="R806" i="9" l="1"/>
  <c r="O813" i="9"/>
  <c r="G813" i="9"/>
  <c r="N813" i="9"/>
  <c r="F813" i="9"/>
  <c r="A814" i="9"/>
  <c r="M813" i="9"/>
  <c r="E813" i="9"/>
  <c r="K813" i="9"/>
  <c r="C813" i="9"/>
  <c r="B813" i="9"/>
  <c r="D813" i="9"/>
  <c r="Q813" i="9"/>
  <c r="P813" i="9"/>
  <c r="H813" i="9"/>
  <c r="J813" i="9" s="1"/>
  <c r="L813" i="9" s="1"/>
  <c r="I813" i="9"/>
  <c r="L812" i="9"/>
  <c r="K814" i="9" l="1"/>
  <c r="C814" i="9"/>
  <c r="B814" i="9"/>
  <c r="Q814" i="9"/>
  <c r="I814" i="9"/>
  <c r="O814" i="9"/>
  <c r="G814" i="9"/>
  <c r="N814" i="9"/>
  <c r="F814" i="9"/>
  <c r="E814" i="9"/>
  <c r="D814" i="9"/>
  <c r="P814" i="9"/>
  <c r="M814" i="9"/>
  <c r="A815" i="9"/>
  <c r="H814" i="9"/>
  <c r="J814" i="9" s="1"/>
  <c r="L814" i="9" l="1"/>
  <c r="O815" i="9"/>
  <c r="G815" i="9"/>
  <c r="N815" i="9"/>
  <c r="F815" i="9"/>
  <c r="A816" i="9"/>
  <c r="M815" i="9"/>
  <c r="E815" i="9"/>
  <c r="K815" i="9"/>
  <c r="C815" i="9"/>
  <c r="B815" i="9"/>
  <c r="H815" i="9"/>
  <c r="J815" i="9" s="1"/>
  <c r="D815" i="9"/>
  <c r="Q815" i="9"/>
  <c r="P815" i="9"/>
  <c r="I815" i="9"/>
  <c r="R814" i="9" l="1"/>
  <c r="R809" i="9"/>
  <c r="K816" i="9"/>
  <c r="C816" i="9"/>
  <c r="B816" i="9"/>
  <c r="Q816" i="9"/>
  <c r="I816" i="9"/>
  <c r="O816" i="9"/>
  <c r="G816" i="9"/>
  <c r="N816" i="9"/>
  <c r="F816" i="9"/>
  <c r="H816" i="9"/>
  <c r="J816" i="9" s="1"/>
  <c r="E816" i="9"/>
  <c r="A817" i="9"/>
  <c r="P816" i="9"/>
  <c r="D816" i="9"/>
  <c r="M816" i="9"/>
  <c r="L815" i="9"/>
  <c r="L816" i="9" l="1"/>
  <c r="R815" i="9"/>
  <c r="R810" i="9"/>
  <c r="O817" i="9"/>
  <c r="G817" i="9"/>
  <c r="N817" i="9"/>
  <c r="F817" i="9"/>
  <c r="A818" i="9"/>
  <c r="M817" i="9"/>
  <c r="E817" i="9"/>
  <c r="K817" i="9"/>
  <c r="C817" i="9"/>
  <c r="B817" i="9"/>
  <c r="I817" i="9"/>
  <c r="H817" i="9"/>
  <c r="J817" i="9" s="1"/>
  <c r="L817" i="9" s="1"/>
  <c r="D817" i="9"/>
  <c r="Q817" i="9"/>
  <c r="P817" i="9"/>
  <c r="R812" i="9" l="1"/>
  <c r="R811" i="9"/>
  <c r="K818" i="9"/>
  <c r="C818" i="9"/>
  <c r="B818" i="9"/>
  <c r="Q818" i="9"/>
  <c r="I818" i="9"/>
  <c r="O818" i="9"/>
  <c r="G818" i="9"/>
  <c r="N818" i="9"/>
  <c r="F818" i="9"/>
  <c r="H818" i="9"/>
  <c r="J818" i="9" s="1"/>
  <c r="E818" i="9"/>
  <c r="D818" i="9"/>
  <c r="A819" i="9"/>
  <c r="P818" i="9"/>
  <c r="M818" i="9"/>
  <c r="O819" i="9" l="1"/>
  <c r="G819" i="9"/>
  <c r="N819" i="9"/>
  <c r="F819" i="9"/>
  <c r="A820" i="9"/>
  <c r="M819" i="9"/>
  <c r="E819" i="9"/>
  <c r="K819" i="9"/>
  <c r="C819" i="9"/>
  <c r="B819" i="9"/>
  <c r="I819" i="9"/>
  <c r="H819" i="9"/>
  <c r="J819" i="9" s="1"/>
  <c r="D819" i="9"/>
  <c r="Q819" i="9"/>
  <c r="P819" i="9"/>
  <c r="L818" i="9"/>
  <c r="R813" i="9" l="1"/>
  <c r="L819" i="9"/>
  <c r="K820" i="9"/>
  <c r="C820" i="9"/>
  <c r="B820" i="9"/>
  <c r="Q820" i="9"/>
  <c r="I820" i="9"/>
  <c r="O820" i="9"/>
  <c r="G820" i="9"/>
  <c r="N820" i="9"/>
  <c r="F820" i="9"/>
  <c r="M820" i="9"/>
  <c r="H820" i="9"/>
  <c r="J820" i="9" s="1"/>
  <c r="L820" i="9" s="1"/>
  <c r="E820" i="9"/>
  <c r="D820" i="9"/>
  <c r="A821" i="9"/>
  <c r="P820" i="9"/>
  <c r="O821" i="9" l="1"/>
  <c r="G821" i="9"/>
  <c r="N821" i="9"/>
  <c r="F821" i="9"/>
  <c r="A822" i="9"/>
  <c r="M821" i="9"/>
  <c r="E821" i="9"/>
  <c r="K821" i="9"/>
  <c r="C821" i="9"/>
  <c r="B821" i="9"/>
  <c r="P821" i="9"/>
  <c r="I821" i="9"/>
  <c r="H821" i="9"/>
  <c r="J821" i="9" s="1"/>
  <c r="L821" i="9" s="1"/>
  <c r="D821" i="9"/>
  <c r="Q821" i="9"/>
  <c r="R821" i="9" l="1"/>
  <c r="R816" i="9"/>
  <c r="K822" i="9"/>
  <c r="C822" i="9"/>
  <c r="B822" i="9"/>
  <c r="Q822" i="9"/>
  <c r="I822" i="9"/>
  <c r="O822" i="9"/>
  <c r="G822" i="9"/>
  <c r="N822" i="9"/>
  <c r="F822" i="9"/>
  <c r="P822" i="9"/>
  <c r="M822" i="9"/>
  <c r="H822" i="9"/>
  <c r="J822" i="9" s="1"/>
  <c r="L822" i="9" s="1"/>
  <c r="E822" i="9"/>
  <c r="D822" i="9"/>
  <c r="A823" i="9"/>
  <c r="R822" i="9" l="1"/>
  <c r="R817" i="9"/>
  <c r="O823" i="9"/>
  <c r="G823" i="9"/>
  <c r="N823" i="9"/>
  <c r="F823" i="9"/>
  <c r="A824" i="9"/>
  <c r="M823" i="9"/>
  <c r="E823" i="9"/>
  <c r="K823" i="9"/>
  <c r="C823" i="9"/>
  <c r="B823" i="9"/>
  <c r="Q823" i="9"/>
  <c r="P823" i="9"/>
  <c r="I823" i="9"/>
  <c r="H823" i="9"/>
  <c r="J823" i="9" s="1"/>
  <c r="L823" i="9" s="1"/>
  <c r="D823" i="9"/>
  <c r="R818" i="9" l="1"/>
  <c r="K824" i="9"/>
  <c r="C824" i="9"/>
  <c r="B824" i="9"/>
  <c r="Q824" i="9"/>
  <c r="I824" i="9"/>
  <c r="O824" i="9"/>
  <c r="G824" i="9"/>
  <c r="N824" i="9"/>
  <c r="F824" i="9"/>
  <c r="P824" i="9"/>
  <c r="M824" i="9"/>
  <c r="H824" i="9"/>
  <c r="J824" i="9" s="1"/>
  <c r="L824" i="9" s="1"/>
  <c r="E824" i="9"/>
  <c r="D824" i="9"/>
  <c r="A825" i="9"/>
  <c r="R819" i="9" l="1"/>
  <c r="O825" i="9"/>
  <c r="G825" i="9"/>
  <c r="N825" i="9"/>
  <c r="F825" i="9"/>
  <c r="A826" i="9"/>
  <c r="M825" i="9"/>
  <c r="E825" i="9"/>
  <c r="K825" i="9"/>
  <c r="C825" i="9"/>
  <c r="B825" i="9"/>
  <c r="Q825" i="9"/>
  <c r="I825" i="9"/>
  <c r="P825" i="9"/>
  <c r="H825" i="9"/>
  <c r="J825" i="9" s="1"/>
  <c r="L825" i="9" s="1"/>
  <c r="D825" i="9"/>
  <c r="R820" i="9" l="1"/>
  <c r="K826" i="9"/>
  <c r="C826" i="9"/>
  <c r="B826" i="9"/>
  <c r="Q826" i="9"/>
  <c r="I826" i="9"/>
  <c r="O826" i="9"/>
  <c r="G826" i="9"/>
  <c r="N826" i="9"/>
  <c r="F826" i="9"/>
  <c r="A827" i="9"/>
  <c r="M826" i="9"/>
  <c r="E826" i="9"/>
  <c r="H826" i="9"/>
  <c r="J826" i="9" s="1"/>
  <c r="L826" i="9" s="1"/>
  <c r="D826" i="9"/>
  <c r="P826" i="9"/>
  <c r="O827" i="9" l="1"/>
  <c r="G827" i="9"/>
  <c r="N827" i="9"/>
  <c r="F827" i="9"/>
  <c r="A828" i="9"/>
  <c r="M827" i="9"/>
  <c r="E827" i="9"/>
  <c r="K827" i="9"/>
  <c r="C827" i="9"/>
  <c r="B827" i="9"/>
  <c r="Q827" i="9"/>
  <c r="I827" i="9"/>
  <c r="P827" i="9"/>
  <c r="H827" i="9"/>
  <c r="J827" i="9" s="1"/>
  <c r="L827" i="9" s="1"/>
  <c r="D827" i="9"/>
  <c r="K828" i="9" l="1"/>
  <c r="C828" i="9"/>
  <c r="B828" i="9"/>
  <c r="Q828" i="9"/>
  <c r="I828" i="9"/>
  <c r="O828" i="9"/>
  <c r="G828" i="9"/>
  <c r="N828" i="9"/>
  <c r="F828" i="9"/>
  <c r="A829" i="9"/>
  <c r="M828" i="9"/>
  <c r="E828" i="9"/>
  <c r="P828" i="9"/>
  <c r="H828" i="9"/>
  <c r="J828" i="9" s="1"/>
  <c r="D828" i="9"/>
  <c r="O829" i="9" l="1"/>
  <c r="G829" i="9"/>
  <c r="N829" i="9"/>
  <c r="F829" i="9"/>
  <c r="A830" i="9"/>
  <c r="M829" i="9"/>
  <c r="E829" i="9"/>
  <c r="K829" i="9"/>
  <c r="C829" i="9"/>
  <c r="B829" i="9"/>
  <c r="Q829" i="9"/>
  <c r="I829" i="9"/>
  <c r="H829" i="9"/>
  <c r="J829" i="9" s="1"/>
  <c r="D829" i="9"/>
  <c r="P829" i="9"/>
  <c r="L828" i="9"/>
  <c r="L829" i="9" l="1"/>
  <c r="R828" i="9"/>
  <c r="R823" i="9"/>
  <c r="K830" i="9"/>
  <c r="C830" i="9"/>
  <c r="B830" i="9"/>
  <c r="Q830" i="9"/>
  <c r="I830" i="9"/>
  <c r="O830" i="9"/>
  <c r="G830" i="9"/>
  <c r="N830" i="9"/>
  <c r="F830" i="9"/>
  <c r="A831" i="9"/>
  <c r="M830" i="9"/>
  <c r="E830" i="9"/>
  <c r="P830" i="9"/>
  <c r="H830" i="9"/>
  <c r="J830" i="9" s="1"/>
  <c r="D830" i="9"/>
  <c r="R829" i="9" l="1"/>
  <c r="R824" i="9"/>
  <c r="O831" i="9"/>
  <c r="G831" i="9"/>
  <c r="N831" i="9"/>
  <c r="F831" i="9"/>
  <c r="A832" i="9"/>
  <c r="M831" i="9"/>
  <c r="E831" i="9"/>
  <c r="K831" i="9"/>
  <c r="C831" i="9"/>
  <c r="B831" i="9"/>
  <c r="Q831" i="9"/>
  <c r="I831" i="9"/>
  <c r="D831" i="9"/>
  <c r="P831" i="9"/>
  <c r="H831" i="9"/>
  <c r="J831" i="9" s="1"/>
  <c r="L830" i="9"/>
  <c r="R825" i="9" l="1"/>
  <c r="K832" i="9"/>
  <c r="C832" i="9"/>
  <c r="B832" i="9"/>
  <c r="Q832" i="9"/>
  <c r="I832" i="9"/>
  <c r="O832" i="9"/>
  <c r="G832" i="9"/>
  <c r="N832" i="9"/>
  <c r="F832" i="9"/>
  <c r="A833" i="9"/>
  <c r="M832" i="9"/>
  <c r="E832" i="9"/>
  <c r="P832" i="9"/>
  <c r="H832" i="9"/>
  <c r="J832" i="9" s="1"/>
  <c r="D832" i="9"/>
  <c r="L831" i="9"/>
  <c r="L832" i="9" l="1"/>
  <c r="R826" i="9"/>
  <c r="O833" i="9"/>
  <c r="G833" i="9"/>
  <c r="N833" i="9"/>
  <c r="F833" i="9"/>
  <c r="A834" i="9"/>
  <c r="M833" i="9"/>
  <c r="E833" i="9"/>
  <c r="K833" i="9"/>
  <c r="C833" i="9"/>
  <c r="B833" i="9"/>
  <c r="Q833" i="9"/>
  <c r="I833" i="9"/>
  <c r="P833" i="9"/>
  <c r="H833" i="9"/>
  <c r="J833" i="9" s="1"/>
  <c r="D833" i="9"/>
  <c r="L833" i="9" l="1"/>
  <c r="R827" i="9"/>
  <c r="K834" i="9"/>
  <c r="C834" i="9"/>
  <c r="B834" i="9"/>
  <c r="Q834" i="9"/>
  <c r="I834" i="9"/>
  <c r="P834" i="9"/>
  <c r="H834" i="9"/>
  <c r="J834" i="9" s="1"/>
  <c r="O834" i="9"/>
  <c r="G834" i="9"/>
  <c r="N834" i="9"/>
  <c r="F834" i="9"/>
  <c r="A835" i="9"/>
  <c r="M834" i="9"/>
  <c r="E834" i="9"/>
  <c r="D834" i="9"/>
  <c r="O835" i="9" l="1"/>
  <c r="G835" i="9"/>
  <c r="N835" i="9"/>
  <c r="F835" i="9"/>
  <c r="A836" i="9"/>
  <c r="M835" i="9"/>
  <c r="E835" i="9"/>
  <c r="D835" i="9"/>
  <c r="K835" i="9"/>
  <c r="C835" i="9"/>
  <c r="B835" i="9"/>
  <c r="Q835" i="9"/>
  <c r="I835" i="9"/>
  <c r="H835" i="9"/>
  <c r="J835" i="9" s="1"/>
  <c r="L835" i="9" s="1"/>
  <c r="P835" i="9"/>
  <c r="L834" i="9"/>
  <c r="R835" i="9" l="1"/>
  <c r="R830" i="9"/>
  <c r="K836" i="9"/>
  <c r="C836" i="9"/>
  <c r="B836" i="9"/>
  <c r="Q836" i="9"/>
  <c r="I836" i="9"/>
  <c r="P836" i="9"/>
  <c r="H836" i="9"/>
  <c r="J836" i="9" s="1"/>
  <c r="O836" i="9"/>
  <c r="G836" i="9"/>
  <c r="N836" i="9"/>
  <c r="F836" i="9"/>
  <c r="A837" i="9"/>
  <c r="M836" i="9"/>
  <c r="E836" i="9"/>
  <c r="D836" i="9"/>
  <c r="O837" i="9" l="1"/>
  <c r="G837" i="9"/>
  <c r="N837" i="9"/>
  <c r="F837" i="9"/>
  <c r="A838" i="9"/>
  <c r="M837" i="9"/>
  <c r="E837" i="9"/>
  <c r="D837" i="9"/>
  <c r="K837" i="9"/>
  <c r="C837" i="9"/>
  <c r="B837" i="9"/>
  <c r="Q837" i="9"/>
  <c r="I837" i="9"/>
  <c r="P837" i="9"/>
  <c r="H837" i="9"/>
  <c r="J837" i="9" s="1"/>
  <c r="L836" i="9"/>
  <c r="R836" i="9" l="1"/>
  <c r="R831" i="9"/>
  <c r="K838" i="9"/>
  <c r="C838" i="9"/>
  <c r="B838" i="9"/>
  <c r="Q838" i="9"/>
  <c r="I838" i="9"/>
  <c r="P838" i="9"/>
  <c r="H838" i="9"/>
  <c r="J838" i="9" s="1"/>
  <c r="O838" i="9"/>
  <c r="G838" i="9"/>
  <c r="N838" i="9"/>
  <c r="F838" i="9"/>
  <c r="A839" i="9"/>
  <c r="M838" i="9"/>
  <c r="E838" i="9"/>
  <c r="D838" i="9"/>
  <c r="L837" i="9"/>
  <c r="R832" i="9" l="1"/>
  <c r="O839" i="9"/>
  <c r="G839" i="9"/>
  <c r="N839" i="9"/>
  <c r="F839" i="9"/>
  <c r="A840" i="9"/>
  <c r="M839" i="9"/>
  <c r="E839" i="9"/>
  <c r="D839" i="9"/>
  <c r="K839" i="9"/>
  <c r="C839" i="9"/>
  <c r="B839" i="9"/>
  <c r="Q839" i="9"/>
  <c r="I839" i="9"/>
  <c r="P839" i="9"/>
  <c r="H839" i="9"/>
  <c r="J839" i="9" s="1"/>
  <c r="L838" i="9"/>
  <c r="R833" i="9" l="1"/>
  <c r="K840" i="9"/>
  <c r="C840" i="9"/>
  <c r="B840" i="9"/>
  <c r="Q840" i="9"/>
  <c r="I840" i="9"/>
  <c r="P840" i="9"/>
  <c r="H840" i="9"/>
  <c r="J840" i="9" s="1"/>
  <c r="O840" i="9"/>
  <c r="G840" i="9"/>
  <c r="N840" i="9"/>
  <c r="F840" i="9"/>
  <c r="A841" i="9"/>
  <c r="M840" i="9"/>
  <c r="E840" i="9"/>
  <c r="D840" i="9"/>
  <c r="L839" i="9"/>
  <c r="R834" i="9" l="1"/>
  <c r="O841" i="9"/>
  <c r="G841" i="9"/>
  <c r="N841" i="9"/>
  <c r="F841" i="9"/>
  <c r="A842" i="9"/>
  <c r="M841" i="9"/>
  <c r="E841" i="9"/>
  <c r="D841" i="9"/>
  <c r="K841" i="9"/>
  <c r="C841" i="9"/>
  <c r="B841" i="9"/>
  <c r="Q841" i="9"/>
  <c r="I841" i="9"/>
  <c r="P841" i="9"/>
  <c r="H841" i="9"/>
  <c r="J841" i="9" s="1"/>
  <c r="L840" i="9"/>
  <c r="K842" i="9" l="1"/>
  <c r="C842" i="9"/>
  <c r="B842" i="9"/>
  <c r="Q842" i="9"/>
  <c r="I842" i="9"/>
  <c r="P842" i="9"/>
  <c r="H842" i="9"/>
  <c r="J842" i="9" s="1"/>
  <c r="O842" i="9"/>
  <c r="G842" i="9"/>
  <c r="N842" i="9"/>
  <c r="F842" i="9"/>
  <c r="A843" i="9"/>
  <c r="M842" i="9"/>
  <c r="E842" i="9"/>
  <c r="D842" i="9"/>
  <c r="L841" i="9"/>
  <c r="O843" i="9" l="1"/>
  <c r="G843" i="9"/>
  <c r="N843" i="9"/>
  <c r="F843" i="9"/>
  <c r="A844" i="9"/>
  <c r="M843" i="9"/>
  <c r="E843" i="9"/>
  <c r="D843" i="9"/>
  <c r="K843" i="9"/>
  <c r="C843" i="9"/>
  <c r="B843" i="9"/>
  <c r="Q843" i="9"/>
  <c r="I843" i="9"/>
  <c r="P843" i="9"/>
  <c r="H843" i="9"/>
  <c r="J843" i="9" s="1"/>
  <c r="L842" i="9"/>
  <c r="R842" i="9" l="1"/>
  <c r="R837" i="9"/>
  <c r="K844" i="9"/>
  <c r="C844" i="9"/>
  <c r="B844" i="9"/>
  <c r="Q844" i="9"/>
  <c r="I844" i="9"/>
  <c r="P844" i="9"/>
  <c r="H844" i="9"/>
  <c r="J844" i="9" s="1"/>
  <c r="O844" i="9"/>
  <c r="G844" i="9"/>
  <c r="N844" i="9"/>
  <c r="F844" i="9"/>
  <c r="A845" i="9"/>
  <c r="M844" i="9"/>
  <c r="E844" i="9"/>
  <c r="D844" i="9"/>
  <c r="L843" i="9"/>
  <c r="R843" i="9" l="1"/>
  <c r="R838" i="9"/>
  <c r="O845" i="9"/>
  <c r="G845" i="9"/>
  <c r="N845" i="9"/>
  <c r="F845" i="9"/>
  <c r="A846" i="9"/>
  <c r="M845" i="9"/>
  <c r="E845" i="9"/>
  <c r="D845" i="9"/>
  <c r="K845" i="9"/>
  <c r="C845" i="9"/>
  <c r="B845" i="9"/>
  <c r="Q845" i="9"/>
  <c r="I845" i="9"/>
  <c r="P845" i="9"/>
  <c r="H845" i="9"/>
  <c r="J845" i="9" s="1"/>
  <c r="L844" i="9"/>
  <c r="R839" i="9" l="1"/>
  <c r="K846" i="9"/>
  <c r="C846" i="9"/>
  <c r="B846" i="9"/>
  <c r="Q846" i="9"/>
  <c r="I846" i="9"/>
  <c r="P846" i="9"/>
  <c r="H846" i="9"/>
  <c r="J846" i="9" s="1"/>
  <c r="O846" i="9"/>
  <c r="G846" i="9"/>
  <c r="N846" i="9"/>
  <c r="F846" i="9"/>
  <c r="A847" i="9"/>
  <c r="M846" i="9"/>
  <c r="E846" i="9"/>
  <c r="D846" i="9"/>
  <c r="L845" i="9"/>
  <c r="R840" i="9" l="1"/>
  <c r="O847" i="9"/>
  <c r="G847" i="9"/>
  <c r="N847" i="9"/>
  <c r="F847" i="9"/>
  <c r="A848" i="9"/>
  <c r="M847" i="9"/>
  <c r="E847" i="9"/>
  <c r="D847" i="9"/>
  <c r="K847" i="9"/>
  <c r="C847" i="9"/>
  <c r="B847" i="9"/>
  <c r="Q847" i="9"/>
  <c r="I847" i="9"/>
  <c r="P847" i="9"/>
  <c r="H847" i="9"/>
  <c r="J847" i="9" s="1"/>
  <c r="L846" i="9"/>
  <c r="R841" i="9" l="1"/>
  <c r="K848" i="9"/>
  <c r="C848" i="9"/>
  <c r="B848" i="9"/>
  <c r="Q848" i="9"/>
  <c r="I848" i="9"/>
  <c r="P848" i="9"/>
  <c r="H848" i="9"/>
  <c r="J848" i="9" s="1"/>
  <c r="O848" i="9"/>
  <c r="G848" i="9"/>
  <c r="N848" i="9"/>
  <c r="F848" i="9"/>
  <c r="A849" i="9"/>
  <c r="M848" i="9"/>
  <c r="E848" i="9"/>
  <c r="D848" i="9"/>
  <c r="L847" i="9"/>
  <c r="O849" i="9" l="1"/>
  <c r="G849" i="9"/>
  <c r="N849" i="9"/>
  <c r="F849" i="9"/>
  <c r="A850" i="9"/>
  <c r="M849" i="9"/>
  <c r="E849" i="9"/>
  <c r="D849" i="9"/>
  <c r="K849" i="9"/>
  <c r="C849" i="9"/>
  <c r="B849" i="9"/>
  <c r="Q849" i="9"/>
  <c r="I849" i="9"/>
  <c r="P849" i="9"/>
  <c r="H849" i="9"/>
  <c r="J849" i="9" s="1"/>
  <c r="L848" i="9"/>
  <c r="K850" i="9" l="1"/>
  <c r="C850" i="9"/>
  <c r="B850" i="9"/>
  <c r="Q850" i="9"/>
  <c r="I850" i="9"/>
  <c r="P850" i="9"/>
  <c r="H850" i="9"/>
  <c r="J850" i="9" s="1"/>
  <c r="O850" i="9"/>
  <c r="G850" i="9"/>
  <c r="N850" i="9"/>
  <c r="F850" i="9"/>
  <c r="A851" i="9"/>
  <c r="M850" i="9"/>
  <c r="E850" i="9"/>
  <c r="D850" i="9"/>
  <c r="L849" i="9"/>
  <c r="R849" i="9" l="1"/>
  <c r="R844" i="9"/>
  <c r="N851" i="9"/>
  <c r="A852" i="9"/>
  <c r="B851" i="9"/>
  <c r="H851" i="9"/>
  <c r="J851" i="9" s="1"/>
  <c r="Q851" i="9"/>
  <c r="G851" i="9"/>
  <c r="P851" i="9"/>
  <c r="F851" i="9"/>
  <c r="O851" i="9"/>
  <c r="E851" i="9"/>
  <c r="M851" i="9"/>
  <c r="D851" i="9"/>
  <c r="C851" i="9"/>
  <c r="K851" i="9"/>
  <c r="I851" i="9"/>
  <c r="L850" i="9"/>
  <c r="L851" i="9" l="1"/>
  <c r="R850" i="9"/>
  <c r="R845" i="9"/>
  <c r="B852" i="9"/>
  <c r="Q852" i="9"/>
  <c r="I852" i="9"/>
  <c r="P852" i="9"/>
  <c r="H852" i="9"/>
  <c r="J852" i="9" s="1"/>
  <c r="N852" i="9"/>
  <c r="F852" i="9"/>
  <c r="A853" i="9"/>
  <c r="O852" i="9"/>
  <c r="M852" i="9"/>
  <c r="K852" i="9"/>
  <c r="G852" i="9"/>
  <c r="E852" i="9"/>
  <c r="D852" i="9"/>
  <c r="C852" i="9"/>
  <c r="R846" i="9" l="1"/>
  <c r="L852" i="9"/>
  <c r="N853" i="9"/>
  <c r="F853" i="9"/>
  <c r="A854" i="9"/>
  <c r="M853" i="9"/>
  <c r="E853" i="9"/>
  <c r="D853" i="9"/>
  <c r="B853" i="9"/>
  <c r="Q853" i="9"/>
  <c r="I853" i="9"/>
  <c r="P853" i="9"/>
  <c r="O853" i="9"/>
  <c r="K853" i="9"/>
  <c r="H853" i="9"/>
  <c r="J853" i="9" s="1"/>
  <c r="G853" i="9"/>
  <c r="C853" i="9"/>
  <c r="R847" i="9" l="1"/>
  <c r="L853" i="9"/>
  <c r="B854" i="9"/>
  <c r="Q854" i="9"/>
  <c r="I854" i="9"/>
  <c r="P854" i="9"/>
  <c r="H854" i="9"/>
  <c r="J854" i="9" s="1"/>
  <c r="N854" i="9"/>
  <c r="F854" i="9"/>
  <c r="A855" i="9"/>
  <c r="M854" i="9"/>
  <c r="E854" i="9"/>
  <c r="O854" i="9"/>
  <c r="K854" i="9"/>
  <c r="G854" i="9"/>
  <c r="D854" i="9"/>
  <c r="C854" i="9"/>
  <c r="R848" i="9" l="1"/>
  <c r="L854" i="9"/>
  <c r="N855" i="9"/>
  <c r="F855" i="9"/>
  <c r="A856" i="9"/>
  <c r="M855" i="9"/>
  <c r="E855" i="9"/>
  <c r="D855" i="9"/>
  <c r="B855" i="9"/>
  <c r="Q855" i="9"/>
  <c r="I855" i="9"/>
  <c r="P855" i="9"/>
  <c r="O855" i="9"/>
  <c r="K855" i="9"/>
  <c r="H855" i="9"/>
  <c r="J855" i="9" s="1"/>
  <c r="G855" i="9"/>
  <c r="C855" i="9"/>
  <c r="B856" i="9" l="1"/>
  <c r="Q856" i="9"/>
  <c r="I856" i="9"/>
  <c r="P856" i="9"/>
  <c r="H856" i="9"/>
  <c r="J856" i="9" s="1"/>
  <c r="N856" i="9"/>
  <c r="F856" i="9"/>
  <c r="A857" i="9"/>
  <c r="M856" i="9"/>
  <c r="E856" i="9"/>
  <c r="O856" i="9"/>
  <c r="K856" i="9"/>
  <c r="G856" i="9"/>
  <c r="D856" i="9"/>
  <c r="C856" i="9"/>
  <c r="L855" i="9"/>
  <c r="L856" i="9" l="1"/>
  <c r="N857" i="9"/>
  <c r="F857" i="9"/>
  <c r="A858" i="9"/>
  <c r="M857" i="9"/>
  <c r="E857" i="9"/>
  <c r="D857" i="9"/>
  <c r="B857" i="9"/>
  <c r="Q857" i="9"/>
  <c r="I857" i="9"/>
  <c r="P857" i="9"/>
  <c r="O857" i="9"/>
  <c r="K857" i="9"/>
  <c r="H857" i="9"/>
  <c r="J857" i="9" s="1"/>
  <c r="G857" i="9"/>
  <c r="C857" i="9"/>
  <c r="R856" i="9" l="1"/>
  <c r="R851" i="9"/>
  <c r="B858" i="9"/>
  <c r="Q858" i="9"/>
  <c r="I858" i="9"/>
  <c r="P858" i="9"/>
  <c r="H858" i="9"/>
  <c r="J858" i="9" s="1"/>
  <c r="N858" i="9"/>
  <c r="F858" i="9"/>
  <c r="A859" i="9"/>
  <c r="M858" i="9"/>
  <c r="E858" i="9"/>
  <c r="C858" i="9"/>
  <c r="O858" i="9"/>
  <c r="K858" i="9"/>
  <c r="G858" i="9"/>
  <c r="D858" i="9"/>
  <c r="L857" i="9"/>
  <c r="R857" i="9" l="1"/>
  <c r="R852" i="9"/>
  <c r="L858" i="9"/>
  <c r="N859" i="9"/>
  <c r="F859" i="9"/>
  <c r="A860" i="9"/>
  <c r="M859" i="9"/>
  <c r="E859" i="9"/>
  <c r="D859" i="9"/>
  <c r="B859" i="9"/>
  <c r="Q859" i="9"/>
  <c r="I859" i="9"/>
  <c r="C859" i="9"/>
  <c r="P859" i="9"/>
  <c r="O859" i="9"/>
  <c r="K859" i="9"/>
  <c r="H859" i="9"/>
  <c r="J859" i="9" s="1"/>
  <c r="G859" i="9"/>
  <c r="R853" i="9" l="1"/>
  <c r="L859" i="9"/>
  <c r="B860" i="9"/>
  <c r="Q860" i="9"/>
  <c r="I860" i="9"/>
  <c r="P860" i="9"/>
  <c r="H860" i="9"/>
  <c r="J860" i="9" s="1"/>
  <c r="L860" i="9" s="1"/>
  <c r="N860" i="9"/>
  <c r="F860" i="9"/>
  <c r="A861" i="9"/>
  <c r="M860" i="9"/>
  <c r="E860" i="9"/>
  <c r="D860" i="9"/>
  <c r="C860" i="9"/>
  <c r="O860" i="9"/>
  <c r="K860" i="9"/>
  <c r="G860" i="9"/>
  <c r="R854" i="9" l="1"/>
  <c r="R855" i="9"/>
  <c r="N861" i="9"/>
  <c r="F861" i="9"/>
  <c r="A862" i="9"/>
  <c r="M861" i="9"/>
  <c r="E861" i="9"/>
  <c r="D861" i="9"/>
  <c r="B861" i="9"/>
  <c r="Q861" i="9"/>
  <c r="I861" i="9"/>
  <c r="G861" i="9"/>
  <c r="C861" i="9"/>
  <c r="P861" i="9"/>
  <c r="O861" i="9"/>
  <c r="K861" i="9"/>
  <c r="H861" i="9"/>
  <c r="J861" i="9" s="1"/>
  <c r="L861" i="9" l="1"/>
  <c r="B862" i="9"/>
  <c r="Q862" i="9"/>
  <c r="I862" i="9"/>
  <c r="P862" i="9"/>
  <c r="H862" i="9"/>
  <c r="J862" i="9" s="1"/>
  <c r="N862" i="9"/>
  <c r="F862" i="9"/>
  <c r="A863" i="9"/>
  <c r="M862" i="9"/>
  <c r="E862" i="9"/>
  <c r="G862" i="9"/>
  <c r="D862" i="9"/>
  <c r="C862" i="9"/>
  <c r="O862" i="9"/>
  <c r="K862" i="9"/>
  <c r="L862" i="9" l="1"/>
  <c r="N863" i="9"/>
  <c r="F863" i="9"/>
  <c r="A864" i="9"/>
  <c r="M863" i="9"/>
  <c r="E863" i="9"/>
  <c r="D863" i="9"/>
  <c r="B863" i="9"/>
  <c r="Q863" i="9"/>
  <c r="I863" i="9"/>
  <c r="H863" i="9"/>
  <c r="J863" i="9" s="1"/>
  <c r="G863" i="9"/>
  <c r="C863" i="9"/>
  <c r="P863" i="9"/>
  <c r="O863" i="9"/>
  <c r="K863" i="9"/>
  <c r="L863" i="9" l="1"/>
  <c r="B864" i="9"/>
  <c r="Q864" i="9"/>
  <c r="I864" i="9"/>
  <c r="P864" i="9"/>
  <c r="H864" i="9"/>
  <c r="J864" i="9" s="1"/>
  <c r="N864" i="9"/>
  <c r="F864" i="9"/>
  <c r="A865" i="9"/>
  <c r="M864" i="9"/>
  <c r="E864" i="9"/>
  <c r="K864" i="9"/>
  <c r="G864" i="9"/>
  <c r="D864" i="9"/>
  <c r="C864" i="9"/>
  <c r="O864" i="9"/>
  <c r="R863" i="9" l="1"/>
  <c r="R858" i="9"/>
  <c r="L864" i="9"/>
  <c r="N865" i="9"/>
  <c r="F865" i="9"/>
  <c r="A866" i="9"/>
  <c r="M865" i="9"/>
  <c r="E865" i="9"/>
  <c r="D865" i="9"/>
  <c r="B865" i="9"/>
  <c r="Q865" i="9"/>
  <c r="I865" i="9"/>
  <c r="K865" i="9"/>
  <c r="H865" i="9"/>
  <c r="J865" i="9" s="1"/>
  <c r="G865" i="9"/>
  <c r="C865" i="9"/>
  <c r="P865" i="9"/>
  <c r="O865" i="9"/>
  <c r="R864" i="9" l="1"/>
  <c r="R859" i="9"/>
  <c r="B866" i="9"/>
  <c r="Q866" i="9"/>
  <c r="I866" i="9"/>
  <c r="P866" i="9"/>
  <c r="H866" i="9"/>
  <c r="J866" i="9" s="1"/>
  <c r="N866" i="9"/>
  <c r="F866" i="9"/>
  <c r="A867" i="9"/>
  <c r="M866" i="9"/>
  <c r="E866" i="9"/>
  <c r="K866" i="9"/>
  <c r="G866" i="9"/>
  <c r="D866" i="9"/>
  <c r="C866" i="9"/>
  <c r="O866" i="9"/>
  <c r="L865" i="9"/>
  <c r="R860" i="9" l="1"/>
  <c r="L866" i="9"/>
  <c r="N867" i="9"/>
  <c r="F867" i="9"/>
  <c r="A868" i="9"/>
  <c r="M867" i="9"/>
  <c r="E867" i="9"/>
  <c r="D867" i="9"/>
  <c r="B867" i="9"/>
  <c r="Q867" i="9"/>
  <c r="I867" i="9"/>
  <c r="O867" i="9"/>
  <c r="K867" i="9"/>
  <c r="H867" i="9"/>
  <c r="J867" i="9" s="1"/>
  <c r="G867" i="9"/>
  <c r="C867" i="9"/>
  <c r="P867" i="9"/>
  <c r="L867" i="9" l="1"/>
  <c r="R861" i="9"/>
  <c r="B868" i="9"/>
  <c r="Q868" i="9"/>
  <c r="I868" i="9"/>
  <c r="P868" i="9"/>
  <c r="H868" i="9"/>
  <c r="J868" i="9" s="1"/>
  <c r="N868" i="9"/>
  <c r="F868" i="9"/>
  <c r="A869" i="9"/>
  <c r="M868" i="9"/>
  <c r="E868" i="9"/>
  <c r="O868" i="9"/>
  <c r="K868" i="9"/>
  <c r="G868" i="9"/>
  <c r="D868" i="9"/>
  <c r="C868" i="9"/>
  <c r="R862" i="9" l="1"/>
  <c r="L868" i="9"/>
  <c r="N869" i="9"/>
  <c r="F869" i="9"/>
  <c r="A870" i="9"/>
  <c r="M869" i="9"/>
  <c r="E869" i="9"/>
  <c r="D869" i="9"/>
  <c r="B869" i="9"/>
  <c r="Q869" i="9"/>
  <c r="I869" i="9"/>
  <c r="P869" i="9"/>
  <c r="O869" i="9"/>
  <c r="K869" i="9"/>
  <c r="H869" i="9"/>
  <c r="J869" i="9" s="1"/>
  <c r="G869" i="9"/>
  <c r="C869" i="9"/>
  <c r="L869" i="9" l="1"/>
  <c r="B870" i="9"/>
  <c r="Q870" i="9"/>
  <c r="I870" i="9"/>
  <c r="P870" i="9"/>
  <c r="H870" i="9"/>
  <c r="J870" i="9" s="1"/>
  <c r="N870" i="9"/>
  <c r="F870" i="9"/>
  <c r="A871" i="9"/>
  <c r="M870" i="9"/>
  <c r="E870" i="9"/>
  <c r="O870" i="9"/>
  <c r="K870" i="9"/>
  <c r="G870" i="9"/>
  <c r="D870" i="9"/>
  <c r="C870" i="9"/>
  <c r="L870" i="9" l="1"/>
  <c r="N871" i="9"/>
  <c r="F871" i="9"/>
  <c r="A872" i="9"/>
  <c r="M871" i="9"/>
  <c r="E871" i="9"/>
  <c r="D871" i="9"/>
  <c r="B871" i="9"/>
  <c r="Q871" i="9"/>
  <c r="I871" i="9"/>
  <c r="P871" i="9"/>
  <c r="O871" i="9"/>
  <c r="K871" i="9"/>
  <c r="H871" i="9"/>
  <c r="J871" i="9" s="1"/>
  <c r="G871" i="9"/>
  <c r="C871" i="9"/>
  <c r="R870" i="9" l="1"/>
  <c r="R865" i="9"/>
  <c r="B872" i="9"/>
  <c r="Q872" i="9"/>
  <c r="I872" i="9"/>
  <c r="P872" i="9"/>
  <c r="H872" i="9"/>
  <c r="J872" i="9" s="1"/>
  <c r="N872" i="9"/>
  <c r="F872" i="9"/>
  <c r="A873" i="9"/>
  <c r="M872" i="9"/>
  <c r="E872" i="9"/>
  <c r="O872" i="9"/>
  <c r="K872" i="9"/>
  <c r="G872" i="9"/>
  <c r="D872" i="9"/>
  <c r="C872" i="9"/>
  <c r="L871" i="9"/>
  <c r="R871" i="9" l="1"/>
  <c r="R866" i="9"/>
  <c r="L872" i="9"/>
  <c r="N873" i="9"/>
  <c r="F873" i="9"/>
  <c r="A874" i="9"/>
  <c r="M873" i="9"/>
  <c r="E873" i="9"/>
  <c r="D873" i="9"/>
  <c r="B873" i="9"/>
  <c r="Q873" i="9"/>
  <c r="I873" i="9"/>
  <c r="P873" i="9"/>
  <c r="O873" i="9"/>
  <c r="K873" i="9"/>
  <c r="H873" i="9"/>
  <c r="J873" i="9" s="1"/>
  <c r="G873" i="9"/>
  <c r="C873" i="9"/>
  <c r="R867" i="9" l="1"/>
  <c r="B874" i="9"/>
  <c r="Q874" i="9"/>
  <c r="I874" i="9"/>
  <c r="P874" i="9"/>
  <c r="H874" i="9"/>
  <c r="J874" i="9" s="1"/>
  <c r="N874" i="9"/>
  <c r="F874" i="9"/>
  <c r="A875" i="9"/>
  <c r="M874" i="9"/>
  <c r="E874" i="9"/>
  <c r="C874" i="9"/>
  <c r="O874" i="9"/>
  <c r="K874" i="9"/>
  <c r="G874" i="9"/>
  <c r="D874" i="9"/>
  <c r="L873" i="9"/>
  <c r="R868" i="9" l="1"/>
  <c r="L874" i="9"/>
  <c r="N875" i="9"/>
  <c r="F875" i="9"/>
  <c r="A876" i="9"/>
  <c r="M875" i="9"/>
  <c r="E875" i="9"/>
  <c r="D875" i="9"/>
  <c r="B875" i="9"/>
  <c r="Q875" i="9"/>
  <c r="I875" i="9"/>
  <c r="C875" i="9"/>
  <c r="P875" i="9"/>
  <c r="O875" i="9"/>
  <c r="K875" i="9"/>
  <c r="H875" i="9"/>
  <c r="J875" i="9" s="1"/>
  <c r="G875" i="9"/>
  <c r="R869" i="9" l="1"/>
  <c r="B876" i="9"/>
  <c r="Q876" i="9"/>
  <c r="I876" i="9"/>
  <c r="P876" i="9"/>
  <c r="H876" i="9"/>
  <c r="J876" i="9" s="1"/>
  <c r="N876" i="9"/>
  <c r="F876" i="9"/>
  <c r="A877" i="9"/>
  <c r="M876" i="9"/>
  <c r="E876" i="9"/>
  <c r="D876" i="9"/>
  <c r="C876" i="9"/>
  <c r="O876" i="9"/>
  <c r="K876" i="9"/>
  <c r="G876" i="9"/>
  <c r="L875" i="9"/>
  <c r="L876" i="9" l="1"/>
  <c r="N877" i="9"/>
  <c r="F877" i="9"/>
  <c r="A878" i="9"/>
  <c r="M877" i="9"/>
  <c r="E877" i="9"/>
  <c r="D877" i="9"/>
  <c r="B877" i="9"/>
  <c r="Q877" i="9"/>
  <c r="I877" i="9"/>
  <c r="G877" i="9"/>
  <c r="C877" i="9"/>
  <c r="P877" i="9"/>
  <c r="O877" i="9"/>
  <c r="K877" i="9"/>
  <c r="H877" i="9"/>
  <c r="J877" i="9" s="1"/>
  <c r="L877" i="9" l="1"/>
  <c r="B878" i="9"/>
  <c r="Q878" i="9"/>
  <c r="I878" i="9"/>
  <c r="P878" i="9"/>
  <c r="H878" i="9"/>
  <c r="J878" i="9" s="1"/>
  <c r="N878" i="9"/>
  <c r="F878" i="9"/>
  <c r="A879" i="9"/>
  <c r="M878" i="9"/>
  <c r="E878" i="9"/>
  <c r="G878" i="9"/>
  <c r="D878" i="9"/>
  <c r="C878" i="9"/>
  <c r="O878" i="9"/>
  <c r="K878" i="9"/>
  <c r="R877" i="9" l="1"/>
  <c r="R872" i="9"/>
  <c r="L878" i="9"/>
  <c r="N879" i="9"/>
  <c r="F879" i="9"/>
  <c r="A880" i="9"/>
  <c r="M879" i="9"/>
  <c r="E879" i="9"/>
  <c r="D879" i="9"/>
  <c r="B879" i="9"/>
  <c r="Q879" i="9"/>
  <c r="I879" i="9"/>
  <c r="H879" i="9"/>
  <c r="J879" i="9" s="1"/>
  <c r="G879" i="9"/>
  <c r="C879" i="9"/>
  <c r="P879" i="9"/>
  <c r="O879" i="9"/>
  <c r="K879" i="9"/>
  <c r="R878" i="9" l="1"/>
  <c r="R873" i="9"/>
  <c r="L879" i="9"/>
  <c r="B880" i="9"/>
  <c r="Q880" i="9"/>
  <c r="I880" i="9"/>
  <c r="P880" i="9"/>
  <c r="H880" i="9"/>
  <c r="J880" i="9" s="1"/>
  <c r="N880" i="9"/>
  <c r="F880" i="9"/>
  <c r="A881" i="9"/>
  <c r="M880" i="9"/>
  <c r="E880" i="9"/>
  <c r="K880" i="9"/>
  <c r="G880" i="9"/>
  <c r="D880" i="9"/>
  <c r="C880" i="9"/>
  <c r="O880" i="9"/>
  <c r="R879" i="9" l="1"/>
  <c r="R874" i="9"/>
  <c r="L880" i="9"/>
  <c r="N881" i="9"/>
  <c r="F881" i="9"/>
  <c r="A882" i="9"/>
  <c r="M881" i="9"/>
  <c r="E881" i="9"/>
  <c r="D881" i="9"/>
  <c r="B881" i="9"/>
  <c r="Q881" i="9"/>
  <c r="I881" i="9"/>
  <c r="K881" i="9"/>
  <c r="H881" i="9"/>
  <c r="J881" i="9" s="1"/>
  <c r="G881" i="9"/>
  <c r="C881" i="9"/>
  <c r="P881" i="9"/>
  <c r="O881" i="9"/>
  <c r="L881" i="9" l="1"/>
  <c r="R880" i="9"/>
  <c r="R875" i="9"/>
  <c r="B882" i="9"/>
  <c r="Q882" i="9"/>
  <c r="I882" i="9"/>
  <c r="P882" i="9"/>
  <c r="H882" i="9"/>
  <c r="J882" i="9" s="1"/>
  <c r="N882" i="9"/>
  <c r="F882" i="9"/>
  <c r="A883" i="9"/>
  <c r="M882" i="9"/>
  <c r="E882" i="9"/>
  <c r="K882" i="9"/>
  <c r="G882" i="9"/>
  <c r="D882" i="9"/>
  <c r="C882" i="9"/>
  <c r="O882" i="9"/>
  <c r="R876" i="9" l="1"/>
  <c r="L882" i="9"/>
  <c r="N883" i="9"/>
  <c r="F883" i="9"/>
  <c r="A884" i="9"/>
  <c r="M883" i="9"/>
  <c r="E883" i="9"/>
  <c r="D883" i="9"/>
  <c r="B883" i="9"/>
  <c r="Q883" i="9"/>
  <c r="I883" i="9"/>
  <c r="O883" i="9"/>
  <c r="K883" i="9"/>
  <c r="H883" i="9"/>
  <c r="J883" i="9" s="1"/>
  <c r="G883" i="9"/>
  <c r="C883" i="9"/>
  <c r="P883" i="9"/>
  <c r="B884" i="9" l="1"/>
  <c r="Q884" i="9"/>
  <c r="I884" i="9"/>
  <c r="P884" i="9"/>
  <c r="H884" i="9"/>
  <c r="J884" i="9" s="1"/>
  <c r="N884" i="9"/>
  <c r="F884" i="9"/>
  <c r="A885" i="9"/>
  <c r="M884" i="9"/>
  <c r="E884" i="9"/>
  <c r="O884" i="9"/>
  <c r="K884" i="9"/>
  <c r="G884" i="9"/>
  <c r="D884" i="9"/>
  <c r="C884" i="9"/>
  <c r="L883" i="9"/>
  <c r="L884" i="9" l="1"/>
  <c r="R884" i="9" s="1"/>
  <c r="N885" i="9"/>
  <c r="F885" i="9"/>
  <c r="A886" i="9"/>
  <c r="M885" i="9"/>
  <c r="E885" i="9"/>
  <c r="D885" i="9"/>
  <c r="B885" i="9"/>
  <c r="Q885" i="9"/>
  <c r="I885" i="9"/>
  <c r="P885" i="9"/>
  <c r="O885" i="9"/>
  <c r="K885" i="9"/>
  <c r="H885" i="9"/>
  <c r="J885" i="9" s="1"/>
  <c r="G885" i="9"/>
  <c r="C885" i="9"/>
  <c r="B886" i="9" l="1"/>
  <c r="Q886" i="9"/>
  <c r="I886" i="9"/>
  <c r="P886" i="9"/>
  <c r="H886" i="9"/>
  <c r="J886" i="9" s="1"/>
  <c r="N886" i="9"/>
  <c r="F886" i="9"/>
  <c r="A887" i="9"/>
  <c r="M886" i="9"/>
  <c r="E886" i="9"/>
  <c r="O886" i="9"/>
  <c r="K886" i="9"/>
  <c r="G886" i="9"/>
  <c r="D886" i="9"/>
  <c r="C886" i="9"/>
  <c r="L885" i="9"/>
  <c r="R885" i="9" s="1"/>
  <c r="L886" i="9" l="1"/>
  <c r="N887" i="9"/>
  <c r="F887" i="9"/>
  <c r="A888" i="9"/>
  <c r="M887" i="9"/>
  <c r="E887" i="9"/>
  <c r="D887" i="9"/>
  <c r="B887" i="9"/>
  <c r="Q887" i="9"/>
  <c r="I887" i="9"/>
  <c r="P887" i="9"/>
  <c r="O887" i="9"/>
  <c r="K887" i="9"/>
  <c r="H887" i="9"/>
  <c r="J887" i="9" s="1"/>
  <c r="G887" i="9"/>
  <c r="C887" i="9"/>
  <c r="R881" i="9" l="1"/>
  <c r="B888" i="9"/>
  <c r="Q888" i="9"/>
  <c r="I888" i="9"/>
  <c r="P888" i="9"/>
  <c r="H888" i="9"/>
  <c r="J888" i="9" s="1"/>
  <c r="N888" i="9"/>
  <c r="F888" i="9"/>
  <c r="A889" i="9"/>
  <c r="M888" i="9"/>
  <c r="E888" i="9"/>
  <c r="O888" i="9"/>
  <c r="K888" i="9"/>
  <c r="G888" i="9"/>
  <c r="D888" i="9"/>
  <c r="C888" i="9"/>
  <c r="L887" i="9"/>
  <c r="R882" i="9" l="1"/>
  <c r="L888" i="9"/>
  <c r="N889" i="9"/>
  <c r="F889" i="9"/>
  <c r="A890" i="9"/>
  <c r="M889" i="9"/>
  <c r="E889" i="9"/>
  <c r="D889" i="9"/>
  <c r="B889" i="9"/>
  <c r="Q889" i="9"/>
  <c r="I889" i="9"/>
  <c r="P889" i="9"/>
  <c r="O889" i="9"/>
  <c r="K889" i="9"/>
  <c r="H889" i="9"/>
  <c r="J889" i="9" s="1"/>
  <c r="G889" i="9"/>
  <c r="C889" i="9"/>
  <c r="R883" i="9" l="1"/>
  <c r="B890" i="9"/>
  <c r="Q890" i="9"/>
  <c r="I890" i="9"/>
  <c r="P890" i="9"/>
  <c r="H890" i="9"/>
  <c r="J890" i="9" s="1"/>
  <c r="N890" i="9"/>
  <c r="F890" i="9"/>
  <c r="A891" i="9"/>
  <c r="M890" i="9"/>
  <c r="E890" i="9"/>
  <c r="C890" i="9"/>
  <c r="O890" i="9"/>
  <c r="K890" i="9"/>
  <c r="G890" i="9"/>
  <c r="D890" i="9"/>
  <c r="L889" i="9"/>
  <c r="L890" i="9" l="1"/>
  <c r="N891" i="9"/>
  <c r="F891" i="9"/>
  <c r="A892" i="9"/>
  <c r="M891" i="9"/>
  <c r="E891" i="9"/>
  <c r="D891" i="9"/>
  <c r="B891" i="9"/>
  <c r="Q891" i="9"/>
  <c r="I891" i="9"/>
  <c r="C891" i="9"/>
  <c r="P891" i="9"/>
  <c r="O891" i="9"/>
  <c r="K891" i="9"/>
  <c r="H891" i="9"/>
  <c r="J891" i="9" s="1"/>
  <c r="G891" i="9"/>
  <c r="B892" i="9" l="1"/>
  <c r="Q892" i="9"/>
  <c r="I892" i="9"/>
  <c r="P892" i="9"/>
  <c r="H892" i="9"/>
  <c r="J892" i="9" s="1"/>
  <c r="N892" i="9"/>
  <c r="F892" i="9"/>
  <c r="A893" i="9"/>
  <c r="M892" i="9"/>
  <c r="E892" i="9"/>
  <c r="D892" i="9"/>
  <c r="C892" i="9"/>
  <c r="O892" i="9"/>
  <c r="K892" i="9"/>
  <c r="G892" i="9"/>
  <c r="L891" i="9"/>
  <c r="L892" i="9" l="1"/>
  <c r="R891" i="9"/>
  <c r="R886" i="9"/>
  <c r="N893" i="9"/>
  <c r="F893" i="9"/>
  <c r="A894" i="9"/>
  <c r="M893" i="9"/>
  <c r="E893" i="9"/>
  <c r="D893" i="9"/>
  <c r="B893" i="9"/>
  <c r="Q893" i="9"/>
  <c r="I893" i="9"/>
  <c r="G893" i="9"/>
  <c r="C893" i="9"/>
  <c r="P893" i="9"/>
  <c r="O893" i="9"/>
  <c r="K893" i="9"/>
  <c r="H893" i="9"/>
  <c r="J893" i="9" s="1"/>
  <c r="L893" i="9" l="1"/>
  <c r="R892" i="9"/>
  <c r="R887" i="9"/>
  <c r="B894" i="9"/>
  <c r="Q894" i="9"/>
  <c r="I894" i="9"/>
  <c r="P894" i="9"/>
  <c r="H894" i="9"/>
  <c r="J894" i="9" s="1"/>
  <c r="L894" i="9" s="1"/>
  <c r="N894" i="9"/>
  <c r="F894" i="9"/>
  <c r="A895" i="9"/>
  <c r="M894" i="9"/>
  <c r="E894" i="9"/>
  <c r="G894" i="9"/>
  <c r="D894" i="9"/>
  <c r="C894" i="9"/>
  <c r="O894" i="9"/>
  <c r="K894" i="9"/>
  <c r="R889" i="9" l="1"/>
  <c r="R888" i="9"/>
  <c r="N895" i="9"/>
  <c r="F895" i="9"/>
  <c r="A896" i="9"/>
  <c r="M895" i="9"/>
  <c r="E895" i="9"/>
  <c r="D895" i="9"/>
  <c r="B895" i="9"/>
  <c r="Q895" i="9"/>
  <c r="I895" i="9"/>
  <c r="H895" i="9"/>
  <c r="J895" i="9" s="1"/>
  <c r="G895" i="9"/>
  <c r="C895" i="9"/>
  <c r="P895" i="9"/>
  <c r="O895" i="9"/>
  <c r="K895" i="9"/>
  <c r="L895" i="9" l="1"/>
  <c r="B896" i="9"/>
  <c r="Q896" i="9"/>
  <c r="I896" i="9"/>
  <c r="P896" i="9"/>
  <c r="H896" i="9"/>
  <c r="J896" i="9" s="1"/>
  <c r="N896" i="9"/>
  <c r="F896" i="9"/>
  <c r="A897" i="9"/>
  <c r="M896" i="9"/>
  <c r="E896" i="9"/>
  <c r="K896" i="9"/>
  <c r="G896" i="9"/>
  <c r="D896" i="9"/>
  <c r="C896" i="9"/>
  <c r="O896" i="9"/>
  <c r="R890" i="9" l="1"/>
  <c r="L896" i="9"/>
  <c r="N897" i="9"/>
  <c r="F897" i="9"/>
  <c r="A898" i="9"/>
  <c r="M897" i="9"/>
  <c r="E897" i="9"/>
  <c r="D897" i="9"/>
  <c r="B897" i="9"/>
  <c r="Q897" i="9"/>
  <c r="I897" i="9"/>
  <c r="K897" i="9"/>
  <c r="H897" i="9"/>
  <c r="J897" i="9" s="1"/>
  <c r="G897" i="9"/>
  <c r="C897" i="9"/>
  <c r="P897" i="9"/>
  <c r="O897" i="9"/>
  <c r="L897" i="9" l="1"/>
  <c r="B898" i="9"/>
  <c r="Q898" i="9"/>
  <c r="I898" i="9"/>
  <c r="P898" i="9"/>
  <c r="H898" i="9"/>
  <c r="J898" i="9" s="1"/>
  <c r="N898" i="9"/>
  <c r="F898" i="9"/>
  <c r="A899" i="9"/>
  <c r="M898" i="9"/>
  <c r="E898" i="9"/>
  <c r="K898" i="9"/>
  <c r="G898" i="9"/>
  <c r="D898" i="9"/>
  <c r="C898" i="9"/>
  <c r="O898" i="9"/>
  <c r="L898" i="9" l="1"/>
  <c r="N899" i="9"/>
  <c r="F899" i="9"/>
  <c r="A900" i="9"/>
  <c r="M899" i="9"/>
  <c r="E899" i="9"/>
  <c r="D899" i="9"/>
  <c r="B899" i="9"/>
  <c r="Q899" i="9"/>
  <c r="I899" i="9"/>
  <c r="O899" i="9"/>
  <c r="K899" i="9"/>
  <c r="H899" i="9"/>
  <c r="J899" i="9" s="1"/>
  <c r="G899" i="9"/>
  <c r="C899" i="9"/>
  <c r="P899" i="9"/>
  <c r="R898" i="9" l="1"/>
  <c r="R893" i="9"/>
  <c r="B900" i="9"/>
  <c r="Q900" i="9"/>
  <c r="I900" i="9"/>
  <c r="P900" i="9"/>
  <c r="H900" i="9"/>
  <c r="J900" i="9" s="1"/>
  <c r="N900" i="9"/>
  <c r="F900" i="9"/>
  <c r="A901" i="9"/>
  <c r="M900" i="9"/>
  <c r="E900" i="9"/>
  <c r="O900" i="9"/>
  <c r="K900" i="9"/>
  <c r="G900" i="9"/>
  <c r="D900" i="9"/>
  <c r="C900" i="9"/>
  <c r="L899" i="9"/>
  <c r="R899" i="9" l="1"/>
  <c r="R894" i="9"/>
  <c r="N901" i="9"/>
  <c r="F901" i="9"/>
  <c r="A902" i="9"/>
  <c r="M901" i="9"/>
  <c r="E901" i="9"/>
  <c r="D901" i="9"/>
  <c r="B901" i="9"/>
  <c r="Q901" i="9"/>
  <c r="I901" i="9"/>
  <c r="P901" i="9"/>
  <c r="O901" i="9"/>
  <c r="K901" i="9"/>
  <c r="H901" i="9"/>
  <c r="J901" i="9" s="1"/>
  <c r="G901" i="9"/>
  <c r="C901" i="9"/>
  <c r="L900" i="9"/>
  <c r="R895" i="9" l="1"/>
  <c r="L901" i="9"/>
  <c r="B902" i="9"/>
  <c r="Q902" i="9"/>
  <c r="I902" i="9"/>
  <c r="P902" i="9"/>
  <c r="H902" i="9"/>
  <c r="J902" i="9" s="1"/>
  <c r="N902" i="9"/>
  <c r="F902" i="9"/>
  <c r="A903" i="9"/>
  <c r="M902" i="9"/>
  <c r="E902" i="9"/>
  <c r="O902" i="9"/>
  <c r="K902" i="9"/>
  <c r="G902" i="9"/>
  <c r="D902" i="9"/>
  <c r="C902" i="9"/>
  <c r="R896" i="9" l="1"/>
  <c r="N903" i="9"/>
  <c r="F903" i="9"/>
  <c r="A904" i="9"/>
  <c r="M903" i="9"/>
  <c r="E903" i="9"/>
  <c r="D903" i="9"/>
  <c r="B903" i="9"/>
  <c r="Q903" i="9"/>
  <c r="I903" i="9"/>
  <c r="P903" i="9"/>
  <c r="O903" i="9"/>
  <c r="K903" i="9"/>
  <c r="H903" i="9"/>
  <c r="J903" i="9" s="1"/>
  <c r="G903" i="9"/>
  <c r="C903" i="9"/>
  <c r="L902" i="9"/>
  <c r="R897" i="9" l="1"/>
  <c r="B904" i="9"/>
  <c r="Q904" i="9"/>
  <c r="I904" i="9"/>
  <c r="P904" i="9"/>
  <c r="H904" i="9"/>
  <c r="J904" i="9" s="1"/>
  <c r="N904" i="9"/>
  <c r="F904" i="9"/>
  <c r="A905" i="9"/>
  <c r="M904" i="9"/>
  <c r="E904" i="9"/>
  <c r="O904" i="9"/>
  <c r="K904" i="9"/>
  <c r="G904" i="9"/>
  <c r="D904" i="9"/>
  <c r="C904" i="9"/>
  <c r="L903" i="9"/>
  <c r="L904" i="9" l="1"/>
  <c r="N905" i="9"/>
  <c r="F905" i="9"/>
  <c r="A906" i="9"/>
  <c r="M905" i="9"/>
  <c r="E905" i="9"/>
  <c r="D905" i="9"/>
  <c r="B905" i="9"/>
  <c r="Q905" i="9"/>
  <c r="I905" i="9"/>
  <c r="P905" i="9"/>
  <c r="O905" i="9"/>
  <c r="K905" i="9"/>
  <c r="H905" i="9"/>
  <c r="J905" i="9" s="1"/>
  <c r="G905" i="9"/>
  <c r="C905" i="9"/>
  <c r="B906" i="9" l="1"/>
  <c r="Q906" i="9"/>
  <c r="I906" i="9"/>
  <c r="P906" i="9"/>
  <c r="H906" i="9"/>
  <c r="J906" i="9" s="1"/>
  <c r="N906" i="9"/>
  <c r="F906" i="9"/>
  <c r="A907" i="9"/>
  <c r="M906" i="9"/>
  <c r="E906" i="9"/>
  <c r="C906" i="9"/>
  <c r="O906" i="9"/>
  <c r="K906" i="9"/>
  <c r="G906" i="9"/>
  <c r="D906" i="9"/>
  <c r="L905" i="9"/>
  <c r="R905" i="9" l="1"/>
  <c r="R900" i="9"/>
  <c r="L906" i="9"/>
  <c r="N907" i="9"/>
  <c r="F907" i="9"/>
  <c r="A908" i="9"/>
  <c r="M907" i="9"/>
  <c r="E907" i="9"/>
  <c r="D907" i="9"/>
  <c r="B907" i="9"/>
  <c r="Q907" i="9"/>
  <c r="I907" i="9"/>
  <c r="C907" i="9"/>
  <c r="P907" i="9"/>
  <c r="O907" i="9"/>
  <c r="K907" i="9"/>
  <c r="H907" i="9"/>
  <c r="J907" i="9" s="1"/>
  <c r="G907" i="9"/>
  <c r="R906" i="9" l="1"/>
  <c r="R901" i="9"/>
  <c r="B908" i="9"/>
  <c r="Q908" i="9"/>
  <c r="I908" i="9"/>
  <c r="P908" i="9"/>
  <c r="H908" i="9"/>
  <c r="J908" i="9" s="1"/>
  <c r="N908" i="9"/>
  <c r="F908" i="9"/>
  <c r="A909" i="9"/>
  <c r="M908" i="9"/>
  <c r="E908" i="9"/>
  <c r="D908" i="9"/>
  <c r="C908" i="9"/>
  <c r="O908" i="9"/>
  <c r="K908" i="9"/>
  <c r="G908" i="9"/>
  <c r="L907" i="9"/>
  <c r="R902" i="9" l="1"/>
  <c r="L908" i="9"/>
  <c r="N909" i="9"/>
  <c r="F909" i="9"/>
  <c r="A910" i="9"/>
  <c r="M909" i="9"/>
  <c r="E909" i="9"/>
  <c r="D909" i="9"/>
  <c r="B909" i="9"/>
  <c r="Q909" i="9"/>
  <c r="I909" i="9"/>
  <c r="G909" i="9"/>
  <c r="C909" i="9"/>
  <c r="P909" i="9"/>
  <c r="O909" i="9"/>
  <c r="K909" i="9"/>
  <c r="H909" i="9"/>
  <c r="J909" i="9" s="1"/>
  <c r="L909" i="9" l="1"/>
  <c r="R903" i="9"/>
  <c r="B910" i="9"/>
  <c r="Q910" i="9"/>
  <c r="I910" i="9"/>
  <c r="P910" i="9"/>
  <c r="H910" i="9"/>
  <c r="J910" i="9" s="1"/>
  <c r="L910" i="9" s="1"/>
  <c r="N910" i="9"/>
  <c r="F910" i="9"/>
  <c r="A911" i="9"/>
  <c r="M910" i="9"/>
  <c r="E910" i="9"/>
  <c r="G910" i="9"/>
  <c r="D910" i="9"/>
  <c r="C910" i="9"/>
  <c r="O910" i="9"/>
  <c r="K910" i="9"/>
  <c r="R904" i="9" l="1"/>
  <c r="N911" i="9"/>
  <c r="F911" i="9"/>
  <c r="A912" i="9"/>
  <c r="M911" i="9"/>
  <c r="E911" i="9"/>
  <c r="D911" i="9"/>
  <c r="B911" i="9"/>
  <c r="Q911" i="9"/>
  <c r="I911" i="9"/>
  <c r="H911" i="9"/>
  <c r="J911" i="9" s="1"/>
  <c r="G911" i="9"/>
  <c r="C911" i="9"/>
  <c r="P911" i="9"/>
  <c r="O911" i="9"/>
  <c r="K911" i="9"/>
  <c r="L911" i="9" l="1"/>
  <c r="B912" i="9"/>
  <c r="Q912" i="9"/>
  <c r="I912" i="9"/>
  <c r="P912" i="9"/>
  <c r="H912" i="9"/>
  <c r="J912" i="9" s="1"/>
  <c r="N912" i="9"/>
  <c r="F912" i="9"/>
  <c r="A913" i="9"/>
  <c r="M912" i="9"/>
  <c r="E912" i="9"/>
  <c r="K912" i="9"/>
  <c r="G912" i="9"/>
  <c r="D912" i="9"/>
  <c r="C912" i="9"/>
  <c r="O912" i="9"/>
  <c r="L912" i="9" l="1"/>
  <c r="N913" i="9"/>
  <c r="F913" i="9"/>
  <c r="A914" i="9"/>
  <c r="M913" i="9"/>
  <c r="E913" i="9"/>
  <c r="D913" i="9"/>
  <c r="B913" i="9"/>
  <c r="Q913" i="9"/>
  <c r="I913" i="9"/>
  <c r="K913" i="9"/>
  <c r="H913" i="9"/>
  <c r="J913" i="9" s="1"/>
  <c r="G913" i="9"/>
  <c r="C913" i="9"/>
  <c r="P913" i="9"/>
  <c r="O913" i="9"/>
  <c r="R912" i="9" l="1"/>
  <c r="R907" i="9"/>
  <c r="B914" i="9"/>
  <c r="Q914" i="9"/>
  <c r="I914" i="9"/>
  <c r="P914" i="9"/>
  <c r="H914" i="9"/>
  <c r="J914" i="9" s="1"/>
  <c r="N914" i="9"/>
  <c r="F914" i="9"/>
  <c r="A915" i="9"/>
  <c r="M914" i="9"/>
  <c r="E914" i="9"/>
  <c r="K914" i="9"/>
  <c r="G914" i="9"/>
  <c r="D914" i="9"/>
  <c r="C914" i="9"/>
  <c r="O914" i="9"/>
  <c r="L913" i="9"/>
  <c r="R913" i="9" l="1"/>
  <c r="R908" i="9"/>
  <c r="L914" i="9"/>
  <c r="N915" i="9"/>
  <c r="F915" i="9"/>
  <c r="A916" i="9"/>
  <c r="M915" i="9"/>
  <c r="E915" i="9"/>
  <c r="D915" i="9"/>
  <c r="B915" i="9"/>
  <c r="Q915" i="9"/>
  <c r="I915" i="9"/>
  <c r="O915" i="9"/>
  <c r="K915" i="9"/>
  <c r="H915" i="9"/>
  <c r="J915" i="9" s="1"/>
  <c r="G915" i="9"/>
  <c r="C915" i="9"/>
  <c r="P915" i="9"/>
  <c r="R909" i="9" l="1"/>
  <c r="L915" i="9"/>
  <c r="B916" i="9"/>
  <c r="Q916" i="9"/>
  <c r="I916" i="9"/>
  <c r="P916" i="9"/>
  <c r="H916" i="9"/>
  <c r="J916" i="9" s="1"/>
  <c r="N916" i="9"/>
  <c r="F916" i="9"/>
  <c r="A917" i="9"/>
  <c r="M916" i="9"/>
  <c r="E916" i="9"/>
  <c r="O916" i="9"/>
  <c r="K916" i="9"/>
  <c r="G916" i="9"/>
  <c r="D916" i="9"/>
  <c r="C916" i="9"/>
  <c r="R910" i="9" l="1"/>
  <c r="N917" i="9"/>
  <c r="F917" i="9"/>
  <c r="A918" i="9"/>
  <c r="M917" i="9"/>
  <c r="E917" i="9"/>
  <c r="D917" i="9"/>
  <c r="B917" i="9"/>
  <c r="Q917" i="9"/>
  <c r="I917" i="9"/>
  <c r="P917" i="9"/>
  <c r="O917" i="9"/>
  <c r="K917" i="9"/>
  <c r="H917" i="9"/>
  <c r="J917" i="9" s="1"/>
  <c r="G917" i="9"/>
  <c r="C917" i="9"/>
  <c r="L916" i="9"/>
  <c r="R911" i="9" l="1"/>
  <c r="L917" i="9"/>
  <c r="B918" i="9"/>
  <c r="Q918" i="9"/>
  <c r="I918" i="9"/>
  <c r="P918" i="9"/>
  <c r="H918" i="9"/>
  <c r="J918" i="9" s="1"/>
  <c r="N918" i="9"/>
  <c r="F918" i="9"/>
  <c r="A919" i="9"/>
  <c r="M918" i="9"/>
  <c r="E918" i="9"/>
  <c r="O918" i="9"/>
  <c r="K918" i="9"/>
  <c r="G918" i="9"/>
  <c r="D918" i="9"/>
  <c r="C918" i="9"/>
  <c r="L918" i="9" l="1"/>
  <c r="O919" i="9"/>
  <c r="F919" i="9"/>
  <c r="N919" i="9"/>
  <c r="E919" i="9"/>
  <c r="M919" i="9"/>
  <c r="D919" i="9"/>
  <c r="K919" i="9"/>
  <c r="B919" i="9"/>
  <c r="I919" i="9"/>
  <c r="A920" i="9"/>
  <c r="Q919" i="9"/>
  <c r="P919" i="9"/>
  <c r="H919" i="9"/>
  <c r="J919" i="9" s="1"/>
  <c r="G919" i="9"/>
  <c r="C919" i="9"/>
  <c r="N920" i="9" l="1"/>
  <c r="F920" i="9"/>
  <c r="M920" i="9"/>
  <c r="D920" i="9"/>
  <c r="A921" i="9"/>
  <c r="C920" i="9"/>
  <c r="K920" i="9"/>
  <c r="B920" i="9"/>
  <c r="I920" i="9"/>
  <c r="Q920" i="9"/>
  <c r="H920" i="9"/>
  <c r="J920" i="9" s="1"/>
  <c r="P920" i="9"/>
  <c r="O920" i="9"/>
  <c r="G920" i="9"/>
  <c r="E920" i="9"/>
  <c r="L919" i="9"/>
  <c r="R919" i="9" l="1"/>
  <c r="R914" i="9"/>
  <c r="L920" i="9"/>
  <c r="B921" i="9"/>
  <c r="A922" i="9"/>
  <c r="C921" i="9"/>
  <c r="K921" i="9"/>
  <c r="I921" i="9"/>
  <c r="P921" i="9"/>
  <c r="G921" i="9"/>
  <c r="O921" i="9"/>
  <c r="F921" i="9"/>
  <c r="E921" i="9"/>
  <c r="D921" i="9"/>
  <c r="Q921" i="9"/>
  <c r="N921" i="9"/>
  <c r="M921" i="9"/>
  <c r="H921" i="9"/>
  <c r="J921" i="9" s="1"/>
  <c r="R920" i="9" l="1"/>
  <c r="R915" i="9"/>
  <c r="N922" i="9"/>
  <c r="F922" i="9"/>
  <c r="I922" i="9"/>
  <c r="Q922" i="9"/>
  <c r="H922" i="9"/>
  <c r="J922" i="9" s="1"/>
  <c r="O922" i="9"/>
  <c r="E922" i="9"/>
  <c r="M922" i="9"/>
  <c r="D922" i="9"/>
  <c r="K922" i="9"/>
  <c r="G922" i="9"/>
  <c r="C922" i="9"/>
  <c r="B922" i="9"/>
  <c r="A923" i="9"/>
  <c r="P922" i="9"/>
  <c r="L921" i="9"/>
  <c r="R916" i="9" l="1"/>
  <c r="L922" i="9"/>
  <c r="B923" i="9"/>
  <c r="Q923" i="9"/>
  <c r="H923" i="9"/>
  <c r="J923" i="9" s="1"/>
  <c r="P923" i="9"/>
  <c r="G923" i="9"/>
  <c r="O923" i="9"/>
  <c r="F923" i="9"/>
  <c r="M923" i="9"/>
  <c r="D923" i="9"/>
  <c r="A924" i="9"/>
  <c r="C923" i="9"/>
  <c r="N923" i="9"/>
  <c r="K923" i="9"/>
  <c r="I923" i="9"/>
  <c r="E923" i="9"/>
  <c r="R917" i="9" l="1"/>
  <c r="L923" i="9"/>
  <c r="N924" i="9"/>
  <c r="F924" i="9"/>
  <c r="P924" i="9"/>
  <c r="G924" i="9"/>
  <c r="O924" i="9"/>
  <c r="E924" i="9"/>
  <c r="M924" i="9"/>
  <c r="D924" i="9"/>
  <c r="K924" i="9"/>
  <c r="B924" i="9"/>
  <c r="Q924" i="9"/>
  <c r="I924" i="9"/>
  <c r="H924" i="9"/>
  <c r="J924" i="9" s="1"/>
  <c r="C924" i="9"/>
  <c r="A925" i="9"/>
  <c r="R918" i="9" l="1"/>
  <c r="B925" i="9"/>
  <c r="Q925" i="9"/>
  <c r="N925" i="9"/>
  <c r="E925" i="9"/>
  <c r="M925" i="9"/>
  <c r="D925" i="9"/>
  <c r="C925" i="9"/>
  <c r="I925" i="9"/>
  <c r="H925" i="9"/>
  <c r="J925" i="9" s="1"/>
  <c r="A926" i="9"/>
  <c r="P925" i="9"/>
  <c r="O925" i="9"/>
  <c r="K925" i="9"/>
  <c r="G925" i="9"/>
  <c r="F925" i="9"/>
  <c r="L924" i="9"/>
  <c r="N926" i="9" l="1"/>
  <c r="F926" i="9"/>
  <c r="A927" i="9"/>
  <c r="M926" i="9"/>
  <c r="E926" i="9"/>
  <c r="P926" i="9"/>
  <c r="D926" i="9"/>
  <c r="O926" i="9"/>
  <c r="C926" i="9"/>
  <c r="B926" i="9"/>
  <c r="I926" i="9"/>
  <c r="G926" i="9"/>
  <c r="Q926" i="9"/>
  <c r="K926" i="9"/>
  <c r="H926" i="9"/>
  <c r="J926" i="9" s="1"/>
  <c r="L925" i="9"/>
  <c r="L926" i="9" l="1"/>
  <c r="B927" i="9"/>
  <c r="Q927" i="9"/>
  <c r="I927" i="9"/>
  <c r="P927" i="9"/>
  <c r="F927" i="9"/>
  <c r="O927" i="9"/>
  <c r="E927" i="9"/>
  <c r="N927" i="9"/>
  <c r="D927" i="9"/>
  <c r="A928" i="9"/>
  <c r="K927" i="9"/>
  <c r="M927" i="9"/>
  <c r="H927" i="9"/>
  <c r="J927" i="9" s="1"/>
  <c r="L927" i="9" s="1"/>
  <c r="G927" i="9"/>
  <c r="C927" i="9"/>
  <c r="R927" i="9" l="1"/>
  <c r="R922" i="9"/>
  <c r="R926" i="9"/>
  <c r="R921" i="9"/>
  <c r="N928" i="9"/>
  <c r="F928" i="9"/>
  <c r="A929" i="9"/>
  <c r="M928" i="9"/>
  <c r="E928" i="9"/>
  <c r="H928" i="9"/>
  <c r="J928" i="9" s="1"/>
  <c r="Q928" i="9"/>
  <c r="G928" i="9"/>
  <c r="P928" i="9"/>
  <c r="D928" i="9"/>
  <c r="B928" i="9"/>
  <c r="K928" i="9"/>
  <c r="O928" i="9"/>
  <c r="I928" i="9"/>
  <c r="C928" i="9"/>
  <c r="L928" i="9" l="1"/>
  <c r="B929" i="9"/>
  <c r="Q929" i="9"/>
  <c r="I929" i="9"/>
  <c r="H929" i="9"/>
  <c r="J929" i="9" s="1"/>
  <c r="G929" i="9"/>
  <c r="P929" i="9"/>
  <c r="F929" i="9"/>
  <c r="N929" i="9"/>
  <c r="D929" i="9"/>
  <c r="M929" i="9"/>
  <c r="C929" i="9"/>
  <c r="A930" i="9"/>
  <c r="O929" i="9"/>
  <c r="K929" i="9"/>
  <c r="E929" i="9"/>
  <c r="R923" i="9" l="1"/>
  <c r="N930" i="9"/>
  <c r="F930" i="9"/>
  <c r="A931" i="9"/>
  <c r="M930" i="9"/>
  <c r="E930" i="9"/>
  <c r="I930" i="9"/>
  <c r="H930" i="9"/>
  <c r="J930" i="9" s="1"/>
  <c r="P930" i="9"/>
  <c r="D930" i="9"/>
  <c r="O930" i="9"/>
  <c r="C930" i="9"/>
  <c r="K930" i="9"/>
  <c r="G930" i="9"/>
  <c r="B930" i="9"/>
  <c r="Q930" i="9"/>
  <c r="L929" i="9"/>
  <c r="R924" i="9" l="1"/>
  <c r="A932" i="9"/>
  <c r="B931" i="9"/>
  <c r="Q931" i="9"/>
  <c r="I931" i="9"/>
  <c r="K931" i="9"/>
  <c r="H931" i="9"/>
  <c r="J931" i="9" s="1"/>
  <c r="P931" i="9"/>
  <c r="F931" i="9"/>
  <c r="O931" i="9"/>
  <c r="E931" i="9"/>
  <c r="N931" i="9"/>
  <c r="M931" i="9"/>
  <c r="G931" i="9"/>
  <c r="D931" i="9"/>
  <c r="C931" i="9"/>
  <c r="L930" i="9"/>
  <c r="R925" i="9" l="1"/>
  <c r="L931" i="9"/>
  <c r="Q932" i="9"/>
  <c r="I932" i="9"/>
  <c r="N932" i="9"/>
  <c r="F932" i="9"/>
  <c r="A933" i="9"/>
  <c r="M932" i="9"/>
  <c r="E932" i="9"/>
  <c r="P932" i="9"/>
  <c r="C932" i="9"/>
  <c r="O932" i="9"/>
  <c r="B932" i="9"/>
  <c r="H932" i="9"/>
  <c r="J932" i="9" s="1"/>
  <c r="K932" i="9"/>
  <c r="G932" i="9"/>
  <c r="D932" i="9"/>
  <c r="A934" i="9" l="1"/>
  <c r="M933" i="9"/>
  <c r="E933" i="9"/>
  <c r="B933" i="9"/>
  <c r="Q933" i="9"/>
  <c r="I933" i="9"/>
  <c r="H933" i="9"/>
  <c r="J933" i="9" s="1"/>
  <c r="G933" i="9"/>
  <c r="F933" i="9"/>
  <c r="O933" i="9"/>
  <c r="C933" i="9"/>
  <c r="N933" i="9"/>
  <c r="K933" i="9"/>
  <c r="D933" i="9"/>
  <c r="P933" i="9"/>
  <c r="L932" i="9"/>
  <c r="L933" i="9" l="1"/>
  <c r="B934" i="9"/>
  <c r="Q934" i="9"/>
  <c r="I934" i="9"/>
  <c r="N934" i="9"/>
  <c r="F934" i="9"/>
  <c r="A935" i="9"/>
  <c r="M934" i="9"/>
  <c r="E934" i="9"/>
  <c r="C934" i="9"/>
  <c r="P934" i="9"/>
  <c r="O934" i="9"/>
  <c r="K934" i="9"/>
  <c r="H934" i="9"/>
  <c r="J934" i="9" s="1"/>
  <c r="G934" i="9"/>
  <c r="D934" i="9"/>
  <c r="R933" i="9" l="1"/>
  <c r="R928" i="9"/>
  <c r="L934" i="9"/>
  <c r="N935" i="9"/>
  <c r="F935" i="9"/>
  <c r="A936" i="9"/>
  <c r="M935" i="9"/>
  <c r="E935" i="9"/>
  <c r="B935" i="9"/>
  <c r="Q935" i="9"/>
  <c r="I935" i="9"/>
  <c r="O935" i="9"/>
  <c r="K935" i="9"/>
  <c r="G935" i="9"/>
  <c r="D935" i="9"/>
  <c r="P935" i="9"/>
  <c r="H935" i="9"/>
  <c r="J935" i="9" s="1"/>
  <c r="C935" i="9"/>
  <c r="R934" i="9" l="1"/>
  <c r="R929" i="9"/>
  <c r="B936" i="9"/>
  <c r="Q936" i="9"/>
  <c r="I936" i="9"/>
  <c r="N936" i="9"/>
  <c r="F936" i="9"/>
  <c r="A937" i="9"/>
  <c r="M936" i="9"/>
  <c r="E936" i="9"/>
  <c r="K936" i="9"/>
  <c r="H936" i="9"/>
  <c r="J936" i="9" s="1"/>
  <c r="G936" i="9"/>
  <c r="C936" i="9"/>
  <c r="P936" i="9"/>
  <c r="O936" i="9"/>
  <c r="D936" i="9"/>
  <c r="L935" i="9"/>
  <c r="L936" i="9" l="1"/>
  <c r="R930" i="9"/>
  <c r="N937" i="9"/>
  <c r="F937" i="9"/>
  <c r="A938" i="9"/>
  <c r="M937" i="9"/>
  <c r="E937" i="9"/>
  <c r="B937" i="9"/>
  <c r="Q937" i="9"/>
  <c r="I937" i="9"/>
  <c r="G937" i="9"/>
  <c r="D937" i="9"/>
  <c r="C937" i="9"/>
  <c r="O937" i="9"/>
  <c r="P937" i="9"/>
  <c r="K937" i="9"/>
  <c r="H937" i="9"/>
  <c r="J937" i="9" s="1"/>
  <c r="R931" i="9" l="1"/>
  <c r="B938" i="9"/>
  <c r="Q938" i="9"/>
  <c r="I938" i="9"/>
  <c r="N938" i="9"/>
  <c r="F938" i="9"/>
  <c r="A939" i="9"/>
  <c r="M938" i="9"/>
  <c r="E938" i="9"/>
  <c r="C938" i="9"/>
  <c r="P938" i="9"/>
  <c r="O938" i="9"/>
  <c r="K938" i="9"/>
  <c r="H938" i="9"/>
  <c r="J938" i="9" s="1"/>
  <c r="G938" i="9"/>
  <c r="D938" i="9"/>
  <c r="L937" i="9"/>
  <c r="R932" i="9" l="1"/>
  <c r="L938" i="9"/>
  <c r="N939" i="9"/>
  <c r="F939" i="9"/>
  <c r="A940" i="9"/>
  <c r="M939" i="9"/>
  <c r="E939" i="9"/>
  <c r="B939" i="9"/>
  <c r="Q939" i="9"/>
  <c r="I939" i="9"/>
  <c r="O939" i="9"/>
  <c r="K939" i="9"/>
  <c r="G939" i="9"/>
  <c r="D939" i="9"/>
  <c r="P939" i="9"/>
  <c r="H939" i="9"/>
  <c r="J939" i="9" s="1"/>
  <c r="C939" i="9"/>
  <c r="L939" i="9" l="1"/>
  <c r="B940" i="9"/>
  <c r="Q940" i="9"/>
  <c r="I940" i="9"/>
  <c r="N940" i="9"/>
  <c r="F940" i="9"/>
  <c r="A941" i="9"/>
  <c r="M940" i="9"/>
  <c r="E940" i="9"/>
  <c r="K940" i="9"/>
  <c r="H940" i="9"/>
  <c r="J940" i="9" s="1"/>
  <c r="L940" i="9" s="1"/>
  <c r="G940" i="9"/>
  <c r="C940" i="9"/>
  <c r="P940" i="9"/>
  <c r="O940" i="9"/>
  <c r="D940" i="9"/>
  <c r="R940" i="9" l="1"/>
  <c r="R935" i="9"/>
  <c r="N941" i="9"/>
  <c r="F941" i="9"/>
  <c r="A942" i="9"/>
  <c r="M941" i="9"/>
  <c r="E941" i="9"/>
  <c r="B941" i="9"/>
  <c r="Q941" i="9"/>
  <c r="I941" i="9"/>
  <c r="G941" i="9"/>
  <c r="D941" i="9"/>
  <c r="C941" i="9"/>
  <c r="O941" i="9"/>
  <c r="P941" i="9"/>
  <c r="K941" i="9"/>
  <c r="H941" i="9"/>
  <c r="J941" i="9" s="1"/>
  <c r="B942" i="9" l="1"/>
  <c r="Q942" i="9"/>
  <c r="I942" i="9"/>
  <c r="N942" i="9"/>
  <c r="F942" i="9"/>
  <c r="A943" i="9"/>
  <c r="M942" i="9"/>
  <c r="E942" i="9"/>
  <c r="C942" i="9"/>
  <c r="P942" i="9"/>
  <c r="O942" i="9"/>
  <c r="K942" i="9"/>
  <c r="H942" i="9"/>
  <c r="J942" i="9" s="1"/>
  <c r="D942" i="9"/>
  <c r="G942" i="9"/>
  <c r="L941" i="9"/>
  <c r="R941" i="9" l="1"/>
  <c r="R936" i="9"/>
  <c r="L942" i="9"/>
  <c r="N943" i="9"/>
  <c r="F943" i="9"/>
  <c r="A944" i="9"/>
  <c r="M943" i="9"/>
  <c r="E943" i="9"/>
  <c r="B943" i="9"/>
  <c r="Q943" i="9"/>
  <c r="I943" i="9"/>
  <c r="O943" i="9"/>
  <c r="K943" i="9"/>
  <c r="G943" i="9"/>
  <c r="D943" i="9"/>
  <c r="P943" i="9"/>
  <c r="H943" i="9"/>
  <c r="J943" i="9" s="1"/>
  <c r="C943" i="9"/>
  <c r="R937" i="9" l="1"/>
  <c r="B944" i="9"/>
  <c r="Q944" i="9"/>
  <c r="I944" i="9"/>
  <c r="N944" i="9"/>
  <c r="F944" i="9"/>
  <c r="A945" i="9"/>
  <c r="M944" i="9"/>
  <c r="E944" i="9"/>
  <c r="K944" i="9"/>
  <c r="H944" i="9"/>
  <c r="J944" i="9" s="1"/>
  <c r="G944" i="9"/>
  <c r="C944" i="9"/>
  <c r="P944" i="9"/>
  <c r="D944" i="9"/>
  <c r="O944" i="9"/>
  <c r="L943" i="9"/>
  <c r="L944" i="9" l="1"/>
  <c r="R938" i="9"/>
  <c r="N945" i="9"/>
  <c r="F945" i="9"/>
  <c r="A946" i="9"/>
  <c r="M945" i="9"/>
  <c r="E945" i="9"/>
  <c r="B945" i="9"/>
  <c r="Q945" i="9"/>
  <c r="I945" i="9"/>
  <c r="G945" i="9"/>
  <c r="D945" i="9"/>
  <c r="C945" i="9"/>
  <c r="O945" i="9"/>
  <c r="P945" i="9"/>
  <c r="K945" i="9"/>
  <c r="H945" i="9"/>
  <c r="J945" i="9" s="1"/>
  <c r="R939" i="9" l="1"/>
  <c r="B946" i="9"/>
  <c r="Q946" i="9"/>
  <c r="I946" i="9"/>
  <c r="N946" i="9"/>
  <c r="F946" i="9"/>
  <c r="A947" i="9"/>
  <c r="M946" i="9"/>
  <c r="E946" i="9"/>
  <c r="C946" i="9"/>
  <c r="P946" i="9"/>
  <c r="O946" i="9"/>
  <c r="K946" i="9"/>
  <c r="H946" i="9"/>
  <c r="J946" i="9" s="1"/>
  <c r="G946" i="9"/>
  <c r="D946" i="9"/>
  <c r="L945" i="9"/>
  <c r="L946" i="9" l="1"/>
  <c r="N947" i="9"/>
  <c r="F947" i="9"/>
  <c r="A948" i="9"/>
  <c r="M947" i="9"/>
  <c r="E947" i="9"/>
  <c r="B947" i="9"/>
  <c r="Q947" i="9"/>
  <c r="I947" i="9"/>
  <c r="O947" i="9"/>
  <c r="K947" i="9"/>
  <c r="G947" i="9"/>
  <c r="D947" i="9"/>
  <c r="P947" i="9"/>
  <c r="H947" i="9"/>
  <c r="J947" i="9" s="1"/>
  <c r="L947" i="9" s="1"/>
  <c r="C947" i="9"/>
  <c r="R947" i="9" l="1"/>
  <c r="R942" i="9"/>
  <c r="B948" i="9"/>
  <c r="Q948" i="9"/>
  <c r="I948" i="9"/>
  <c r="N948" i="9"/>
  <c r="F948" i="9"/>
  <c r="A949" i="9"/>
  <c r="M948" i="9"/>
  <c r="E948" i="9"/>
  <c r="K948" i="9"/>
  <c r="H948" i="9"/>
  <c r="J948" i="9" s="1"/>
  <c r="G948" i="9"/>
  <c r="C948" i="9"/>
  <c r="P948" i="9"/>
  <c r="D948" i="9"/>
  <c r="O948" i="9"/>
  <c r="L948" i="9" l="1"/>
  <c r="N949" i="9"/>
  <c r="F949" i="9"/>
  <c r="A950" i="9"/>
  <c r="M949" i="9"/>
  <c r="E949" i="9"/>
  <c r="B949" i="9"/>
  <c r="Q949" i="9"/>
  <c r="I949" i="9"/>
  <c r="G949" i="9"/>
  <c r="D949" i="9"/>
  <c r="C949" i="9"/>
  <c r="O949" i="9"/>
  <c r="P949" i="9"/>
  <c r="K949" i="9"/>
  <c r="H949" i="9"/>
  <c r="J949" i="9" s="1"/>
  <c r="R948" i="9" l="1"/>
  <c r="R943" i="9"/>
  <c r="B950" i="9"/>
  <c r="Q950" i="9"/>
  <c r="I950" i="9"/>
  <c r="N950" i="9"/>
  <c r="F950" i="9"/>
  <c r="A951" i="9"/>
  <c r="M950" i="9"/>
  <c r="E950" i="9"/>
  <c r="C950" i="9"/>
  <c r="P950" i="9"/>
  <c r="O950" i="9"/>
  <c r="K950" i="9"/>
  <c r="H950" i="9"/>
  <c r="J950" i="9" s="1"/>
  <c r="G950" i="9"/>
  <c r="D950" i="9"/>
  <c r="L949" i="9"/>
  <c r="R944" i="9" l="1"/>
  <c r="L950" i="9"/>
  <c r="N951" i="9"/>
  <c r="F951" i="9"/>
  <c r="A952" i="9"/>
  <c r="M951" i="9"/>
  <c r="E951" i="9"/>
  <c r="B951" i="9"/>
  <c r="Q951" i="9"/>
  <c r="I951" i="9"/>
  <c r="O951" i="9"/>
  <c r="K951" i="9"/>
  <c r="G951" i="9"/>
  <c r="D951" i="9"/>
  <c r="P951" i="9"/>
  <c r="H951" i="9"/>
  <c r="J951" i="9" s="1"/>
  <c r="C951" i="9"/>
  <c r="R945" i="9" l="1"/>
  <c r="L951" i="9"/>
  <c r="B952" i="9"/>
  <c r="Q952" i="9"/>
  <c r="I952" i="9"/>
  <c r="N952" i="9"/>
  <c r="F952" i="9"/>
  <c r="A953" i="9"/>
  <c r="M952" i="9"/>
  <c r="E952" i="9"/>
  <c r="K952" i="9"/>
  <c r="H952" i="9"/>
  <c r="J952" i="9" s="1"/>
  <c r="G952" i="9"/>
  <c r="C952" i="9"/>
  <c r="P952" i="9"/>
  <c r="O952" i="9"/>
  <c r="D952" i="9"/>
  <c r="R946" i="9" l="1"/>
  <c r="L952" i="9"/>
  <c r="N953" i="9"/>
  <c r="F953" i="9"/>
  <c r="A954" i="9"/>
  <c r="M953" i="9"/>
  <c r="E953" i="9"/>
  <c r="B953" i="9"/>
  <c r="Q953" i="9"/>
  <c r="I953" i="9"/>
  <c r="G953" i="9"/>
  <c r="D953" i="9"/>
  <c r="C953" i="9"/>
  <c r="O953" i="9"/>
  <c r="P953" i="9"/>
  <c r="K953" i="9"/>
  <c r="H953" i="9"/>
  <c r="J953" i="9" s="1"/>
  <c r="B954" i="9" l="1"/>
  <c r="Q954" i="9"/>
  <c r="I954" i="9"/>
  <c r="N954" i="9"/>
  <c r="F954" i="9"/>
  <c r="A955" i="9"/>
  <c r="M954" i="9"/>
  <c r="E954" i="9"/>
  <c r="C954" i="9"/>
  <c r="P954" i="9"/>
  <c r="O954" i="9"/>
  <c r="K954" i="9"/>
  <c r="H954" i="9"/>
  <c r="J954" i="9" s="1"/>
  <c r="G954" i="9"/>
  <c r="D954" i="9"/>
  <c r="L953" i="9"/>
  <c r="L954" i="9" l="1"/>
  <c r="N955" i="9"/>
  <c r="F955" i="9"/>
  <c r="A956" i="9"/>
  <c r="M955" i="9"/>
  <c r="E955" i="9"/>
  <c r="B955" i="9"/>
  <c r="Q955" i="9"/>
  <c r="I955" i="9"/>
  <c r="O955" i="9"/>
  <c r="K955" i="9"/>
  <c r="G955" i="9"/>
  <c r="D955" i="9"/>
  <c r="P955" i="9"/>
  <c r="H955" i="9"/>
  <c r="J955" i="9" s="1"/>
  <c r="C955" i="9"/>
  <c r="R954" i="9" l="1"/>
  <c r="R949" i="9"/>
  <c r="B956" i="9"/>
  <c r="Q956" i="9"/>
  <c r="I956" i="9"/>
  <c r="N956" i="9"/>
  <c r="F956" i="9"/>
  <c r="A957" i="9"/>
  <c r="M956" i="9"/>
  <c r="E956" i="9"/>
  <c r="K956" i="9"/>
  <c r="H956" i="9"/>
  <c r="J956" i="9" s="1"/>
  <c r="L956" i="9" s="1"/>
  <c r="G956" i="9"/>
  <c r="C956" i="9"/>
  <c r="P956" i="9"/>
  <c r="O956" i="9"/>
  <c r="D956" i="9"/>
  <c r="L955" i="9"/>
  <c r="R951" i="9" l="1"/>
  <c r="R955" i="9"/>
  <c r="R950" i="9"/>
  <c r="N957" i="9"/>
  <c r="F957" i="9"/>
  <c r="A958" i="9"/>
  <c r="M957" i="9"/>
  <c r="E957" i="9"/>
  <c r="B957" i="9"/>
  <c r="Q957" i="9"/>
  <c r="I957" i="9"/>
  <c r="G957" i="9"/>
  <c r="D957" i="9"/>
  <c r="C957" i="9"/>
  <c r="O957" i="9"/>
  <c r="P957" i="9"/>
  <c r="K957" i="9"/>
  <c r="H957" i="9"/>
  <c r="J957" i="9" s="1"/>
  <c r="B958" i="9" l="1"/>
  <c r="Q958" i="9"/>
  <c r="I958" i="9"/>
  <c r="N958" i="9"/>
  <c r="F958" i="9"/>
  <c r="A959" i="9"/>
  <c r="M958" i="9"/>
  <c r="E958" i="9"/>
  <c r="C958" i="9"/>
  <c r="P958" i="9"/>
  <c r="O958" i="9"/>
  <c r="K958" i="9"/>
  <c r="H958" i="9"/>
  <c r="J958" i="9" s="1"/>
  <c r="G958" i="9"/>
  <c r="D958" i="9"/>
  <c r="L957" i="9"/>
  <c r="R952" i="9" l="1"/>
  <c r="L958" i="9"/>
  <c r="N959" i="9"/>
  <c r="F959" i="9"/>
  <c r="A960" i="9"/>
  <c r="M959" i="9"/>
  <c r="E959" i="9"/>
  <c r="B959" i="9"/>
  <c r="Q959" i="9"/>
  <c r="I959" i="9"/>
  <c r="O959" i="9"/>
  <c r="K959" i="9"/>
  <c r="G959" i="9"/>
  <c r="D959" i="9"/>
  <c r="C959" i="9"/>
  <c r="P959" i="9"/>
  <c r="H959" i="9"/>
  <c r="J959" i="9" s="1"/>
  <c r="R953" i="9" l="1"/>
  <c r="L959" i="9"/>
  <c r="B960" i="9"/>
  <c r="Q960" i="9"/>
  <c r="I960" i="9"/>
  <c r="N960" i="9"/>
  <c r="F960" i="9"/>
  <c r="A961" i="9"/>
  <c r="M960" i="9"/>
  <c r="E960" i="9"/>
  <c r="K960" i="9"/>
  <c r="H960" i="9"/>
  <c r="J960" i="9" s="1"/>
  <c r="L960" i="9" s="1"/>
  <c r="G960" i="9"/>
  <c r="C960" i="9"/>
  <c r="P960" i="9"/>
  <c r="O960" i="9"/>
  <c r="D960" i="9"/>
  <c r="N961" i="9" l="1"/>
  <c r="F961" i="9"/>
  <c r="A962" i="9"/>
  <c r="M961" i="9"/>
  <c r="E961" i="9"/>
  <c r="B961" i="9"/>
  <c r="Q961" i="9"/>
  <c r="I961" i="9"/>
  <c r="G961" i="9"/>
  <c r="D961" i="9"/>
  <c r="C961" i="9"/>
  <c r="O961" i="9"/>
  <c r="H961" i="9"/>
  <c r="J961" i="9" s="1"/>
  <c r="P961" i="9"/>
  <c r="K961" i="9"/>
  <c r="L961" i="9" l="1"/>
  <c r="B962" i="9"/>
  <c r="Q962" i="9"/>
  <c r="I962" i="9"/>
  <c r="N962" i="9"/>
  <c r="F962" i="9"/>
  <c r="A963" i="9"/>
  <c r="M962" i="9"/>
  <c r="E962" i="9"/>
  <c r="C962" i="9"/>
  <c r="P962" i="9"/>
  <c r="O962" i="9"/>
  <c r="K962" i="9"/>
  <c r="H962" i="9"/>
  <c r="J962" i="9" s="1"/>
  <c r="G962" i="9"/>
  <c r="D962" i="9"/>
  <c r="R961" i="9" l="1"/>
  <c r="R956" i="9"/>
  <c r="L962" i="9"/>
  <c r="N963" i="9"/>
  <c r="F963" i="9"/>
  <c r="A964" i="9"/>
  <c r="M963" i="9"/>
  <c r="E963" i="9"/>
  <c r="B963" i="9"/>
  <c r="Q963" i="9"/>
  <c r="I963" i="9"/>
  <c r="O963" i="9"/>
  <c r="K963" i="9"/>
  <c r="G963" i="9"/>
  <c r="D963" i="9"/>
  <c r="H963" i="9"/>
  <c r="J963" i="9" s="1"/>
  <c r="C963" i="9"/>
  <c r="P963" i="9"/>
  <c r="L963" i="9" l="1"/>
  <c r="R962" i="9"/>
  <c r="R957" i="9"/>
  <c r="B964" i="9"/>
  <c r="Q964" i="9"/>
  <c r="I964" i="9"/>
  <c r="N964" i="9"/>
  <c r="F964" i="9"/>
  <c r="A965" i="9"/>
  <c r="M964" i="9"/>
  <c r="E964" i="9"/>
  <c r="K964" i="9"/>
  <c r="H964" i="9"/>
  <c r="J964" i="9" s="1"/>
  <c r="L964" i="9" s="1"/>
  <c r="G964" i="9"/>
  <c r="C964" i="9"/>
  <c r="P964" i="9"/>
  <c r="O964" i="9"/>
  <c r="D964" i="9"/>
  <c r="R959" i="9" l="1"/>
  <c r="R958" i="9"/>
  <c r="N965" i="9"/>
  <c r="F965" i="9"/>
  <c r="A966" i="9"/>
  <c r="M965" i="9"/>
  <c r="E965" i="9"/>
  <c r="B965" i="9"/>
  <c r="Q965" i="9"/>
  <c r="I965" i="9"/>
  <c r="G965" i="9"/>
  <c r="D965" i="9"/>
  <c r="C965" i="9"/>
  <c r="O965" i="9"/>
  <c r="K965" i="9"/>
  <c r="H965" i="9"/>
  <c r="J965" i="9" s="1"/>
  <c r="P965" i="9"/>
  <c r="B966" i="9" l="1"/>
  <c r="Q966" i="9"/>
  <c r="I966" i="9"/>
  <c r="N966" i="9"/>
  <c r="F966" i="9"/>
  <c r="A967" i="9"/>
  <c r="M966" i="9"/>
  <c r="E966" i="9"/>
  <c r="C966" i="9"/>
  <c r="P966" i="9"/>
  <c r="O966" i="9"/>
  <c r="K966" i="9"/>
  <c r="H966" i="9"/>
  <c r="J966" i="9" s="1"/>
  <c r="G966" i="9"/>
  <c r="D966" i="9"/>
  <c r="L965" i="9"/>
  <c r="R960" i="9" l="1"/>
  <c r="L966" i="9"/>
  <c r="N967" i="9"/>
  <c r="F967" i="9"/>
  <c r="A968" i="9"/>
  <c r="M967" i="9"/>
  <c r="E967" i="9"/>
  <c r="B967" i="9"/>
  <c r="Q967" i="9"/>
  <c r="I967" i="9"/>
  <c r="O967" i="9"/>
  <c r="K967" i="9"/>
  <c r="G967" i="9"/>
  <c r="D967" i="9"/>
  <c r="P967" i="9"/>
  <c r="H967" i="9"/>
  <c r="J967" i="9" s="1"/>
  <c r="C967" i="9"/>
  <c r="B968" i="9" l="1"/>
  <c r="Q968" i="9"/>
  <c r="I968" i="9"/>
  <c r="N968" i="9"/>
  <c r="F968" i="9"/>
  <c r="A969" i="9"/>
  <c r="M968" i="9"/>
  <c r="E968" i="9"/>
  <c r="K968" i="9"/>
  <c r="H968" i="9"/>
  <c r="J968" i="9" s="1"/>
  <c r="G968" i="9"/>
  <c r="C968" i="9"/>
  <c r="P968" i="9"/>
  <c r="O968" i="9"/>
  <c r="D968" i="9"/>
  <c r="L967" i="9"/>
  <c r="L968" i="9" l="1"/>
  <c r="N969" i="9"/>
  <c r="F969" i="9"/>
  <c r="A970" i="9"/>
  <c r="M969" i="9"/>
  <c r="E969" i="9"/>
  <c r="B969" i="9"/>
  <c r="Q969" i="9"/>
  <c r="I969" i="9"/>
  <c r="G969" i="9"/>
  <c r="D969" i="9"/>
  <c r="C969" i="9"/>
  <c r="O969" i="9"/>
  <c r="P969" i="9"/>
  <c r="K969" i="9"/>
  <c r="H969" i="9"/>
  <c r="J969" i="9" s="1"/>
  <c r="R968" i="9" l="1"/>
  <c r="R963" i="9"/>
  <c r="B970" i="9"/>
  <c r="Q970" i="9"/>
  <c r="I970" i="9"/>
  <c r="N970" i="9"/>
  <c r="F970" i="9"/>
  <c r="A971" i="9"/>
  <c r="M970" i="9"/>
  <c r="E970" i="9"/>
  <c r="C970" i="9"/>
  <c r="P970" i="9"/>
  <c r="O970" i="9"/>
  <c r="K970" i="9"/>
  <c r="H970" i="9"/>
  <c r="J970" i="9" s="1"/>
  <c r="G970" i="9"/>
  <c r="D970" i="9"/>
  <c r="L969" i="9"/>
  <c r="R969" i="9" l="1"/>
  <c r="R964" i="9"/>
  <c r="L970" i="9"/>
  <c r="N971" i="9"/>
  <c r="F971" i="9"/>
  <c r="A972" i="9"/>
  <c r="M971" i="9"/>
  <c r="E971" i="9"/>
  <c r="B971" i="9"/>
  <c r="Q971" i="9"/>
  <c r="I971" i="9"/>
  <c r="O971" i="9"/>
  <c r="K971" i="9"/>
  <c r="G971" i="9"/>
  <c r="D971" i="9"/>
  <c r="P971" i="9"/>
  <c r="H971" i="9"/>
  <c r="J971" i="9" s="1"/>
  <c r="C971" i="9"/>
  <c r="R965" i="9" l="1"/>
  <c r="L971" i="9"/>
  <c r="B972" i="9"/>
  <c r="Q972" i="9"/>
  <c r="I972" i="9"/>
  <c r="N972" i="9"/>
  <c r="F972" i="9"/>
  <c r="A973" i="9"/>
  <c r="M972" i="9"/>
  <c r="E972" i="9"/>
  <c r="K972" i="9"/>
  <c r="H972" i="9"/>
  <c r="J972" i="9" s="1"/>
  <c r="G972" i="9"/>
  <c r="D972" i="9"/>
  <c r="C972" i="9"/>
  <c r="P972" i="9"/>
  <c r="O972" i="9"/>
  <c r="R966" i="9" l="1"/>
  <c r="L972" i="9"/>
  <c r="N973" i="9"/>
  <c r="F973" i="9"/>
  <c r="A974" i="9"/>
  <c r="M973" i="9"/>
  <c r="E973" i="9"/>
  <c r="B973" i="9"/>
  <c r="Q973" i="9"/>
  <c r="I973" i="9"/>
  <c r="G973" i="9"/>
  <c r="D973" i="9"/>
  <c r="C973" i="9"/>
  <c r="P973" i="9"/>
  <c r="O973" i="9"/>
  <c r="K973" i="9"/>
  <c r="H973" i="9"/>
  <c r="J973" i="9" s="1"/>
  <c r="R967" i="9" l="1"/>
  <c r="B974" i="9"/>
  <c r="Q974" i="9"/>
  <c r="I974" i="9"/>
  <c r="N974" i="9"/>
  <c r="F974" i="9"/>
  <c r="A975" i="9"/>
  <c r="M974" i="9"/>
  <c r="E974" i="9"/>
  <c r="C974" i="9"/>
  <c r="P974" i="9"/>
  <c r="O974" i="9"/>
  <c r="K974" i="9"/>
  <c r="H974" i="9"/>
  <c r="J974" i="9" s="1"/>
  <c r="G974" i="9"/>
  <c r="D974" i="9"/>
  <c r="L973" i="9"/>
  <c r="L974" i="9" l="1"/>
  <c r="N975" i="9"/>
  <c r="F975" i="9"/>
  <c r="A976" i="9"/>
  <c r="M975" i="9"/>
  <c r="E975" i="9"/>
  <c r="B975" i="9"/>
  <c r="Q975" i="9"/>
  <c r="I975" i="9"/>
  <c r="O975" i="9"/>
  <c r="K975" i="9"/>
  <c r="H975" i="9"/>
  <c r="J975" i="9" s="1"/>
  <c r="G975" i="9"/>
  <c r="D975" i="9"/>
  <c r="C975" i="9"/>
  <c r="P975" i="9"/>
  <c r="L975" i="9" l="1"/>
  <c r="B976" i="9"/>
  <c r="Q976" i="9"/>
  <c r="I976" i="9"/>
  <c r="N976" i="9"/>
  <c r="F976" i="9"/>
  <c r="A977" i="9"/>
  <c r="M976" i="9"/>
  <c r="E976" i="9"/>
  <c r="K976" i="9"/>
  <c r="H976" i="9"/>
  <c r="J976" i="9" s="1"/>
  <c r="L976" i="9" s="1"/>
  <c r="G976" i="9"/>
  <c r="D976" i="9"/>
  <c r="C976" i="9"/>
  <c r="P976" i="9"/>
  <c r="O976" i="9"/>
  <c r="R976" i="9" l="1"/>
  <c r="R971" i="9"/>
  <c r="R975" i="9"/>
  <c r="R970" i="9"/>
  <c r="N977" i="9"/>
  <c r="F977" i="9"/>
  <c r="A978" i="9"/>
  <c r="M977" i="9"/>
  <c r="E977" i="9"/>
  <c r="B977" i="9"/>
  <c r="Q977" i="9"/>
  <c r="I977" i="9"/>
  <c r="G977" i="9"/>
  <c r="D977" i="9"/>
  <c r="C977" i="9"/>
  <c r="P977" i="9"/>
  <c r="O977" i="9"/>
  <c r="K977" i="9"/>
  <c r="H977" i="9"/>
  <c r="J977" i="9" s="1"/>
  <c r="B978" i="9" l="1"/>
  <c r="Q978" i="9"/>
  <c r="I978" i="9"/>
  <c r="N978" i="9"/>
  <c r="F978" i="9"/>
  <c r="A979" i="9"/>
  <c r="M978" i="9"/>
  <c r="E978" i="9"/>
  <c r="C978" i="9"/>
  <c r="P978" i="9"/>
  <c r="O978" i="9"/>
  <c r="K978" i="9"/>
  <c r="H978" i="9"/>
  <c r="J978" i="9" s="1"/>
  <c r="G978" i="9"/>
  <c r="D978" i="9"/>
  <c r="L977" i="9"/>
  <c r="R972" i="9" l="1"/>
  <c r="L978" i="9"/>
  <c r="N979" i="9"/>
  <c r="F979" i="9"/>
  <c r="A980" i="9"/>
  <c r="M979" i="9"/>
  <c r="E979" i="9"/>
  <c r="B979" i="9"/>
  <c r="Q979" i="9"/>
  <c r="I979" i="9"/>
  <c r="O979" i="9"/>
  <c r="K979" i="9"/>
  <c r="H979" i="9"/>
  <c r="J979" i="9" s="1"/>
  <c r="G979" i="9"/>
  <c r="D979" i="9"/>
  <c r="C979" i="9"/>
  <c r="P979" i="9"/>
  <c r="R973" i="9" l="1"/>
  <c r="L979" i="9"/>
  <c r="B980" i="9"/>
  <c r="Q980" i="9"/>
  <c r="I980" i="9"/>
  <c r="N980" i="9"/>
  <c r="F980" i="9"/>
  <c r="A981" i="9"/>
  <c r="M980" i="9"/>
  <c r="E980" i="9"/>
  <c r="K980" i="9"/>
  <c r="H980" i="9"/>
  <c r="J980" i="9" s="1"/>
  <c r="G980" i="9"/>
  <c r="D980" i="9"/>
  <c r="C980" i="9"/>
  <c r="P980" i="9"/>
  <c r="O980" i="9"/>
  <c r="L980" i="9" l="1"/>
  <c r="R974" i="9"/>
  <c r="N981" i="9"/>
  <c r="F981" i="9"/>
  <c r="A982" i="9"/>
  <c r="M981" i="9"/>
  <c r="E981" i="9"/>
  <c r="B981" i="9"/>
  <c r="Q981" i="9"/>
  <c r="I981" i="9"/>
  <c r="G981" i="9"/>
  <c r="D981" i="9"/>
  <c r="C981" i="9"/>
  <c r="P981" i="9"/>
  <c r="O981" i="9"/>
  <c r="K981" i="9"/>
  <c r="H981" i="9"/>
  <c r="J981" i="9" s="1"/>
  <c r="B982" i="9" l="1"/>
  <c r="Q982" i="9"/>
  <c r="I982" i="9"/>
  <c r="N982" i="9"/>
  <c r="F982" i="9"/>
  <c r="A983" i="9"/>
  <c r="M982" i="9"/>
  <c r="E982" i="9"/>
  <c r="C982" i="9"/>
  <c r="P982" i="9"/>
  <c r="O982" i="9"/>
  <c r="K982" i="9"/>
  <c r="H982" i="9"/>
  <c r="J982" i="9" s="1"/>
  <c r="G982" i="9"/>
  <c r="D982" i="9"/>
  <c r="L981" i="9"/>
  <c r="L982" i="9" l="1"/>
  <c r="N983" i="9"/>
  <c r="F983" i="9"/>
  <c r="A984" i="9"/>
  <c r="M983" i="9"/>
  <c r="E983" i="9"/>
  <c r="B983" i="9"/>
  <c r="Q983" i="9"/>
  <c r="I983" i="9"/>
  <c r="O983" i="9"/>
  <c r="K983" i="9"/>
  <c r="H983" i="9"/>
  <c r="J983" i="9" s="1"/>
  <c r="G983" i="9"/>
  <c r="D983" i="9"/>
  <c r="C983" i="9"/>
  <c r="P983" i="9"/>
  <c r="L983" i="9" l="1"/>
  <c r="R982" i="9"/>
  <c r="R977" i="9"/>
  <c r="B984" i="9"/>
  <c r="Q984" i="9"/>
  <c r="I984" i="9"/>
  <c r="N984" i="9"/>
  <c r="F984" i="9"/>
  <c r="A985" i="9"/>
  <c r="M984" i="9"/>
  <c r="E984" i="9"/>
  <c r="K984" i="9"/>
  <c r="H984" i="9"/>
  <c r="J984" i="9" s="1"/>
  <c r="G984" i="9"/>
  <c r="D984" i="9"/>
  <c r="C984" i="9"/>
  <c r="P984" i="9"/>
  <c r="O984" i="9"/>
  <c r="L984" i="9" l="1"/>
  <c r="R983" i="9"/>
  <c r="R978" i="9"/>
  <c r="N985" i="9"/>
  <c r="F985" i="9"/>
  <c r="A986" i="9"/>
  <c r="M985" i="9"/>
  <c r="E985" i="9"/>
  <c r="B985" i="9"/>
  <c r="Q985" i="9"/>
  <c r="I985" i="9"/>
  <c r="G985" i="9"/>
  <c r="D985" i="9"/>
  <c r="C985" i="9"/>
  <c r="P985" i="9"/>
  <c r="O985" i="9"/>
  <c r="K985" i="9"/>
  <c r="H985" i="9"/>
  <c r="J985" i="9" s="1"/>
  <c r="R979" i="9" l="1"/>
  <c r="B986" i="9"/>
  <c r="Q986" i="9"/>
  <c r="I986" i="9"/>
  <c r="N986" i="9"/>
  <c r="F986" i="9"/>
  <c r="A987" i="9"/>
  <c r="M986" i="9"/>
  <c r="E986" i="9"/>
  <c r="C986" i="9"/>
  <c r="P986" i="9"/>
  <c r="O986" i="9"/>
  <c r="K986" i="9"/>
  <c r="H986" i="9"/>
  <c r="J986" i="9" s="1"/>
  <c r="G986" i="9"/>
  <c r="D986" i="9"/>
  <c r="L985" i="9"/>
  <c r="R980" i="9" l="1"/>
  <c r="L986" i="9"/>
  <c r="N987" i="9"/>
  <c r="F987" i="9"/>
  <c r="A988" i="9"/>
  <c r="M987" i="9"/>
  <c r="E987" i="9"/>
  <c r="B987" i="9"/>
  <c r="Q987" i="9"/>
  <c r="I987" i="9"/>
  <c r="O987" i="9"/>
  <c r="K987" i="9"/>
  <c r="H987" i="9"/>
  <c r="J987" i="9" s="1"/>
  <c r="G987" i="9"/>
  <c r="D987" i="9"/>
  <c r="C987" i="9"/>
  <c r="P987" i="9"/>
  <c r="R981" i="9" l="1"/>
  <c r="L987" i="9"/>
  <c r="B988" i="9"/>
  <c r="Q988" i="9"/>
  <c r="I988" i="9"/>
  <c r="N988" i="9"/>
  <c r="F988" i="9"/>
  <c r="A989" i="9"/>
  <c r="M988" i="9"/>
  <c r="E988" i="9"/>
  <c r="K988" i="9"/>
  <c r="H988" i="9"/>
  <c r="J988" i="9" s="1"/>
  <c r="L988" i="9" s="1"/>
  <c r="G988" i="9"/>
  <c r="D988" i="9"/>
  <c r="C988" i="9"/>
  <c r="P988" i="9"/>
  <c r="O988" i="9"/>
  <c r="N989" i="9" l="1"/>
  <c r="F989" i="9"/>
  <c r="A990" i="9"/>
  <c r="M989" i="9"/>
  <c r="E989" i="9"/>
  <c r="B989" i="9"/>
  <c r="Q989" i="9"/>
  <c r="I989" i="9"/>
  <c r="G989" i="9"/>
  <c r="D989" i="9"/>
  <c r="C989" i="9"/>
  <c r="P989" i="9"/>
  <c r="O989" i="9"/>
  <c r="K989" i="9"/>
  <c r="H989" i="9"/>
  <c r="J989" i="9" s="1"/>
  <c r="B990" i="9" l="1"/>
  <c r="Q990" i="9"/>
  <c r="I990" i="9"/>
  <c r="N990" i="9"/>
  <c r="F990" i="9"/>
  <c r="A991" i="9"/>
  <c r="M990" i="9"/>
  <c r="E990" i="9"/>
  <c r="C990" i="9"/>
  <c r="P990" i="9"/>
  <c r="O990" i="9"/>
  <c r="K990" i="9"/>
  <c r="H990" i="9"/>
  <c r="J990" i="9" s="1"/>
  <c r="G990" i="9"/>
  <c r="D990" i="9"/>
  <c r="L989" i="9"/>
  <c r="R989" i="9" l="1"/>
  <c r="R984" i="9"/>
  <c r="L990" i="9"/>
  <c r="N991" i="9"/>
  <c r="F991" i="9"/>
  <c r="A992" i="9"/>
  <c r="M991" i="9"/>
  <c r="E991" i="9"/>
  <c r="B991" i="9"/>
  <c r="Q991" i="9"/>
  <c r="I991" i="9"/>
  <c r="O991" i="9"/>
  <c r="K991" i="9"/>
  <c r="H991" i="9"/>
  <c r="J991" i="9" s="1"/>
  <c r="G991" i="9"/>
  <c r="D991" i="9"/>
  <c r="C991" i="9"/>
  <c r="P991" i="9"/>
  <c r="L991" i="9" l="1"/>
  <c r="R990" i="9"/>
  <c r="R985" i="9"/>
  <c r="B992" i="9"/>
  <c r="Q992" i="9"/>
  <c r="I992" i="9"/>
  <c r="N992" i="9"/>
  <c r="F992" i="9"/>
  <c r="A993" i="9"/>
  <c r="M992" i="9"/>
  <c r="E992" i="9"/>
  <c r="K992" i="9"/>
  <c r="H992" i="9"/>
  <c r="J992" i="9" s="1"/>
  <c r="G992" i="9"/>
  <c r="D992" i="9"/>
  <c r="C992" i="9"/>
  <c r="P992" i="9"/>
  <c r="O992" i="9"/>
  <c r="L992" i="9" l="1"/>
  <c r="R986" i="9"/>
  <c r="N993" i="9"/>
  <c r="F993" i="9"/>
  <c r="A994" i="9"/>
  <c r="M993" i="9"/>
  <c r="E993" i="9"/>
  <c r="B993" i="9"/>
  <c r="Q993" i="9"/>
  <c r="I993" i="9"/>
  <c r="G993" i="9"/>
  <c r="D993" i="9"/>
  <c r="C993" i="9"/>
  <c r="P993" i="9"/>
  <c r="O993" i="9"/>
  <c r="K993" i="9"/>
  <c r="H993" i="9"/>
  <c r="J993" i="9" s="1"/>
  <c r="R987" i="9" l="1"/>
  <c r="B994" i="9"/>
  <c r="Q994" i="9"/>
  <c r="I994" i="9"/>
  <c r="N994" i="9"/>
  <c r="F994" i="9"/>
  <c r="A995" i="9"/>
  <c r="M994" i="9"/>
  <c r="E994" i="9"/>
  <c r="C994" i="9"/>
  <c r="P994" i="9"/>
  <c r="O994" i="9"/>
  <c r="K994" i="9"/>
  <c r="H994" i="9"/>
  <c r="J994" i="9" s="1"/>
  <c r="G994" i="9"/>
  <c r="D994" i="9"/>
  <c r="L993" i="9"/>
  <c r="R988" i="9" l="1"/>
  <c r="L994" i="9"/>
  <c r="N995" i="9"/>
  <c r="F995" i="9"/>
  <c r="A996" i="9"/>
  <c r="M995" i="9"/>
  <c r="E995" i="9"/>
  <c r="B995" i="9"/>
  <c r="Q995" i="9"/>
  <c r="I995" i="9"/>
  <c r="O995" i="9"/>
  <c r="K995" i="9"/>
  <c r="H995" i="9"/>
  <c r="J995" i="9" s="1"/>
  <c r="G995" i="9"/>
  <c r="D995" i="9"/>
  <c r="C995" i="9"/>
  <c r="P995" i="9"/>
  <c r="L995" i="9" l="1"/>
  <c r="B996" i="9"/>
  <c r="Q996" i="9"/>
  <c r="I996" i="9"/>
  <c r="N996" i="9"/>
  <c r="F996" i="9"/>
  <c r="A997" i="9"/>
  <c r="M996" i="9"/>
  <c r="E996" i="9"/>
  <c r="K996" i="9"/>
  <c r="H996" i="9"/>
  <c r="J996" i="9" s="1"/>
  <c r="L996" i="9" s="1"/>
  <c r="G996" i="9"/>
  <c r="D996" i="9"/>
  <c r="C996" i="9"/>
  <c r="P996" i="9"/>
  <c r="O996" i="9"/>
  <c r="R996" i="9" l="1"/>
  <c r="R991" i="9"/>
  <c r="N997" i="9"/>
  <c r="F997" i="9"/>
  <c r="A998" i="9"/>
  <c r="M997" i="9"/>
  <c r="E997" i="9"/>
  <c r="B997" i="9"/>
  <c r="Q997" i="9"/>
  <c r="I997" i="9"/>
  <c r="G997" i="9"/>
  <c r="D997" i="9"/>
  <c r="C997" i="9"/>
  <c r="P997" i="9"/>
  <c r="O997" i="9"/>
  <c r="K997" i="9"/>
  <c r="H997" i="9"/>
  <c r="J997" i="9" s="1"/>
  <c r="B998" i="9" l="1"/>
  <c r="Q998" i="9"/>
  <c r="I998" i="9"/>
  <c r="N998" i="9"/>
  <c r="F998" i="9"/>
  <c r="A999" i="9"/>
  <c r="M998" i="9"/>
  <c r="E998" i="9"/>
  <c r="C998" i="9"/>
  <c r="P998" i="9"/>
  <c r="O998" i="9"/>
  <c r="K998" i="9"/>
  <c r="H998" i="9"/>
  <c r="J998" i="9" s="1"/>
  <c r="G998" i="9"/>
  <c r="D998" i="9"/>
  <c r="L997" i="9"/>
  <c r="R997" i="9" l="1"/>
  <c r="R992" i="9"/>
  <c r="L998" i="9"/>
  <c r="N999" i="9"/>
  <c r="F999" i="9"/>
  <c r="A1000" i="9"/>
  <c r="M999" i="9"/>
  <c r="E999" i="9"/>
  <c r="B999" i="9"/>
  <c r="Q999" i="9"/>
  <c r="I999" i="9"/>
  <c r="O999" i="9"/>
  <c r="K999" i="9"/>
  <c r="H999" i="9"/>
  <c r="J999" i="9" s="1"/>
  <c r="G999" i="9"/>
  <c r="D999" i="9"/>
  <c r="C999" i="9"/>
  <c r="P999" i="9"/>
  <c r="L999" i="9" l="1"/>
  <c r="R993" i="9"/>
  <c r="B1000" i="9"/>
  <c r="Q1000" i="9"/>
  <c r="I1000" i="9"/>
  <c r="N1000" i="9"/>
  <c r="F1000" i="9"/>
  <c r="A1001" i="9"/>
  <c r="M1000" i="9"/>
  <c r="E1000" i="9"/>
  <c r="K1000" i="9"/>
  <c r="H1000" i="9"/>
  <c r="J1000" i="9" s="1"/>
  <c r="G1000" i="9"/>
  <c r="D1000" i="9"/>
  <c r="C1000" i="9"/>
  <c r="P1000" i="9"/>
  <c r="O1000" i="9"/>
  <c r="L1000" i="9" l="1"/>
  <c r="R994" i="9"/>
  <c r="N1001" i="9"/>
  <c r="F1001" i="9"/>
  <c r="A1002" i="9"/>
  <c r="M1001" i="9"/>
  <c r="E1001" i="9"/>
  <c r="B1001" i="9"/>
  <c r="Q1001" i="9"/>
  <c r="I1001" i="9"/>
  <c r="G1001" i="9"/>
  <c r="D1001" i="9"/>
  <c r="C1001" i="9"/>
  <c r="P1001" i="9"/>
  <c r="O1001" i="9"/>
  <c r="K1001" i="9"/>
  <c r="H1001" i="9"/>
  <c r="J1001" i="9" s="1"/>
  <c r="R995" i="9" l="1"/>
  <c r="B1002" i="9"/>
  <c r="Q1002" i="9"/>
  <c r="I1002" i="9"/>
  <c r="N1002" i="9"/>
  <c r="F1002" i="9"/>
  <c r="A1003" i="9"/>
  <c r="M1002" i="9"/>
  <c r="E1002" i="9"/>
  <c r="C1002" i="9"/>
  <c r="P1002" i="9"/>
  <c r="O1002" i="9"/>
  <c r="K1002" i="9"/>
  <c r="H1002" i="9"/>
  <c r="J1002" i="9" s="1"/>
  <c r="G1002" i="9"/>
  <c r="D1002" i="9"/>
  <c r="L1001" i="9"/>
  <c r="N1003" i="9" l="1"/>
  <c r="F1003" i="9"/>
  <c r="A1004" i="9"/>
  <c r="M1003" i="9"/>
  <c r="E1003" i="9"/>
  <c r="B1003" i="9"/>
  <c r="Q1003" i="9"/>
  <c r="I1003" i="9"/>
  <c r="O1003" i="9"/>
  <c r="K1003" i="9"/>
  <c r="H1003" i="9"/>
  <c r="J1003" i="9" s="1"/>
  <c r="G1003" i="9"/>
  <c r="D1003" i="9"/>
  <c r="C1003" i="9"/>
  <c r="P1003" i="9"/>
  <c r="L1002" i="9"/>
  <c r="L1003" i="9" l="1"/>
  <c r="B1004" i="9"/>
  <c r="Q1004" i="9"/>
  <c r="I1004" i="9"/>
  <c r="N1004" i="9"/>
  <c r="F1004" i="9"/>
  <c r="A1005" i="9"/>
  <c r="M1004" i="9"/>
  <c r="E1004" i="9"/>
  <c r="K1004" i="9"/>
  <c r="H1004" i="9"/>
  <c r="J1004" i="9" s="1"/>
  <c r="L1004" i="9" s="1"/>
  <c r="G1004" i="9"/>
  <c r="D1004" i="9"/>
  <c r="C1004" i="9"/>
  <c r="P1004" i="9"/>
  <c r="O1004" i="9"/>
  <c r="R1004" i="9" l="1"/>
  <c r="R999" i="9"/>
  <c r="R1003" i="9"/>
  <c r="R998" i="9"/>
  <c r="N1005" i="9"/>
  <c r="F1005" i="9"/>
  <c r="A1006" i="9"/>
  <c r="M1005" i="9"/>
  <c r="E1005" i="9"/>
  <c r="B1005" i="9"/>
  <c r="Q1005" i="9"/>
  <c r="I1005" i="9"/>
  <c r="G1005" i="9"/>
  <c r="D1005" i="9"/>
  <c r="C1005" i="9"/>
  <c r="P1005" i="9"/>
  <c r="O1005" i="9"/>
  <c r="K1005" i="9"/>
  <c r="H1005" i="9"/>
  <c r="J1005" i="9" s="1"/>
  <c r="B1006" i="9" l="1"/>
  <c r="Q1006" i="9"/>
  <c r="I1006" i="9"/>
  <c r="N1006" i="9"/>
  <c r="F1006" i="9"/>
  <c r="A1007" i="9"/>
  <c r="M1006" i="9"/>
  <c r="E1006" i="9"/>
  <c r="C1006" i="9"/>
  <c r="P1006" i="9"/>
  <c r="O1006" i="9"/>
  <c r="K1006" i="9"/>
  <c r="H1006" i="9"/>
  <c r="J1006" i="9" s="1"/>
  <c r="G1006" i="9"/>
  <c r="D1006" i="9"/>
  <c r="L1005" i="9"/>
  <c r="R1000" i="9" l="1"/>
  <c r="L1006" i="9"/>
  <c r="N1007" i="9"/>
  <c r="F1007" i="9"/>
  <c r="A1008" i="9"/>
  <c r="M1007" i="9"/>
  <c r="E1007" i="9"/>
  <c r="B1007" i="9"/>
  <c r="Q1007" i="9"/>
  <c r="I1007" i="9"/>
  <c r="O1007" i="9"/>
  <c r="K1007" i="9"/>
  <c r="H1007" i="9"/>
  <c r="J1007" i="9" s="1"/>
  <c r="G1007" i="9"/>
  <c r="D1007" i="9"/>
  <c r="C1007" i="9"/>
  <c r="P1007" i="9"/>
  <c r="R1001" i="9" l="1"/>
  <c r="B1008" i="9"/>
  <c r="Q1008" i="9"/>
  <c r="I1008" i="9"/>
  <c r="N1008" i="9"/>
  <c r="F1008" i="9"/>
  <c r="A1009" i="9"/>
  <c r="M1008" i="9"/>
  <c r="E1008" i="9"/>
  <c r="K1008" i="9"/>
  <c r="H1008" i="9"/>
  <c r="J1008" i="9" s="1"/>
  <c r="L1008" i="9" s="1"/>
  <c r="G1008" i="9"/>
  <c r="D1008" i="9"/>
  <c r="C1008" i="9"/>
  <c r="P1008" i="9"/>
  <c r="O1008" i="9"/>
  <c r="L1007" i="9"/>
  <c r="R1002" i="9" l="1"/>
  <c r="N1009" i="9"/>
  <c r="F1009" i="9"/>
  <c r="A1010" i="9"/>
  <c r="M1009" i="9"/>
  <c r="E1009" i="9"/>
  <c r="B1009" i="9"/>
  <c r="Q1009" i="9"/>
  <c r="I1009" i="9"/>
  <c r="G1009" i="9"/>
  <c r="D1009" i="9"/>
  <c r="C1009" i="9"/>
  <c r="P1009" i="9"/>
  <c r="O1009" i="9"/>
  <c r="K1009" i="9"/>
  <c r="H1009" i="9"/>
  <c r="J1009" i="9" s="1"/>
  <c r="B1010" i="9" l="1"/>
  <c r="Q1010" i="9"/>
  <c r="I1010" i="9"/>
  <c r="N1010" i="9"/>
  <c r="F1010" i="9"/>
  <c r="A1011" i="9"/>
  <c r="M1010" i="9"/>
  <c r="E1010" i="9"/>
  <c r="C1010" i="9"/>
  <c r="P1010" i="9"/>
  <c r="O1010" i="9"/>
  <c r="K1010" i="9"/>
  <c r="H1010" i="9"/>
  <c r="J1010" i="9" s="1"/>
  <c r="G1010" i="9"/>
  <c r="D1010" i="9"/>
  <c r="L1009" i="9"/>
  <c r="L1010" i="9" l="1"/>
  <c r="N1011" i="9"/>
  <c r="F1011" i="9"/>
  <c r="A1012" i="9"/>
  <c r="M1011" i="9"/>
  <c r="E1011" i="9"/>
  <c r="B1011" i="9"/>
  <c r="Q1011" i="9"/>
  <c r="I1011" i="9"/>
  <c r="O1011" i="9"/>
  <c r="K1011" i="9"/>
  <c r="H1011" i="9"/>
  <c r="J1011" i="9" s="1"/>
  <c r="G1011" i="9"/>
  <c r="D1011" i="9"/>
  <c r="C1011" i="9"/>
  <c r="P1011" i="9"/>
  <c r="L1011" i="9" l="1"/>
  <c r="R1010" i="9"/>
  <c r="R1005" i="9"/>
  <c r="B1012" i="9"/>
  <c r="Q1012" i="9"/>
  <c r="I1012" i="9"/>
  <c r="N1012" i="9"/>
  <c r="F1012" i="9"/>
  <c r="A1013" i="9"/>
  <c r="M1012" i="9"/>
  <c r="E1012" i="9"/>
  <c r="K1012" i="9"/>
  <c r="H1012" i="9"/>
  <c r="J1012" i="9" s="1"/>
  <c r="G1012" i="9"/>
  <c r="D1012" i="9"/>
  <c r="C1012" i="9"/>
  <c r="P1012" i="9"/>
  <c r="O1012" i="9"/>
  <c r="R1011" i="9" l="1"/>
  <c r="R1006" i="9"/>
  <c r="N1013" i="9"/>
  <c r="F1013" i="9"/>
  <c r="A1014" i="9"/>
  <c r="M1013" i="9"/>
  <c r="E1013" i="9"/>
  <c r="B1013" i="9"/>
  <c r="Q1013" i="9"/>
  <c r="I1013" i="9"/>
  <c r="G1013" i="9"/>
  <c r="D1013" i="9"/>
  <c r="C1013" i="9"/>
  <c r="P1013" i="9"/>
  <c r="O1013" i="9"/>
  <c r="K1013" i="9"/>
  <c r="H1013" i="9"/>
  <c r="J1013" i="9" s="1"/>
  <c r="L1012" i="9"/>
  <c r="R1007" i="9" l="1"/>
  <c r="B1014" i="9"/>
  <c r="Q1014" i="9"/>
  <c r="I1014" i="9"/>
  <c r="N1014" i="9"/>
  <c r="F1014" i="9"/>
  <c r="A1015" i="9"/>
  <c r="M1014" i="9"/>
  <c r="E1014" i="9"/>
  <c r="C1014" i="9"/>
  <c r="P1014" i="9"/>
  <c r="O1014" i="9"/>
  <c r="K1014" i="9"/>
  <c r="H1014" i="9"/>
  <c r="J1014" i="9" s="1"/>
  <c r="G1014" i="9"/>
  <c r="D1014" i="9"/>
  <c r="L1013" i="9"/>
  <c r="R1008" i="9" l="1"/>
  <c r="L1014" i="9"/>
  <c r="N1015" i="9"/>
  <c r="F1015" i="9"/>
  <c r="A1016" i="9"/>
  <c r="M1015" i="9"/>
  <c r="E1015" i="9"/>
  <c r="B1015" i="9"/>
  <c r="Q1015" i="9"/>
  <c r="I1015" i="9"/>
  <c r="O1015" i="9"/>
  <c r="K1015" i="9"/>
  <c r="H1015" i="9"/>
  <c r="J1015" i="9" s="1"/>
  <c r="G1015" i="9"/>
  <c r="D1015" i="9"/>
  <c r="C1015" i="9"/>
  <c r="P1015" i="9"/>
  <c r="R1009" i="9" l="1"/>
  <c r="L1015" i="9"/>
  <c r="B1016" i="9"/>
  <c r="Q1016" i="9"/>
  <c r="I1016" i="9"/>
  <c r="N1016" i="9"/>
  <c r="F1016" i="9"/>
  <c r="A1017" i="9"/>
  <c r="M1016" i="9"/>
  <c r="E1016" i="9"/>
  <c r="K1016" i="9"/>
  <c r="H1016" i="9"/>
  <c r="J1016" i="9" s="1"/>
  <c r="L1016" i="9" s="1"/>
  <c r="G1016" i="9"/>
  <c r="D1016" i="9"/>
  <c r="C1016" i="9"/>
  <c r="P1016" i="9"/>
  <c r="O1016" i="9"/>
  <c r="N1017" i="9" l="1"/>
  <c r="F1017" i="9"/>
  <c r="A1018" i="9"/>
  <c r="M1017" i="9"/>
  <c r="E1017" i="9"/>
  <c r="B1017" i="9"/>
  <c r="Q1017" i="9"/>
  <c r="I1017" i="9"/>
  <c r="G1017" i="9"/>
  <c r="D1017" i="9"/>
  <c r="C1017" i="9"/>
  <c r="P1017" i="9"/>
  <c r="O1017" i="9"/>
  <c r="K1017" i="9"/>
  <c r="H1017" i="9"/>
  <c r="J1017" i="9" s="1"/>
  <c r="B1018" i="9" l="1"/>
  <c r="Q1018" i="9"/>
  <c r="I1018" i="9"/>
  <c r="N1018" i="9"/>
  <c r="F1018" i="9"/>
  <c r="A1019" i="9"/>
  <c r="M1018" i="9"/>
  <c r="E1018" i="9"/>
  <c r="C1018" i="9"/>
  <c r="P1018" i="9"/>
  <c r="O1018" i="9"/>
  <c r="K1018" i="9"/>
  <c r="H1018" i="9"/>
  <c r="J1018" i="9" s="1"/>
  <c r="G1018" i="9"/>
  <c r="D1018" i="9"/>
  <c r="L1017" i="9"/>
  <c r="R1017" i="9" l="1"/>
  <c r="R1012" i="9"/>
  <c r="L1018" i="9"/>
  <c r="N1019" i="9"/>
  <c r="F1019" i="9"/>
  <c r="P1019" i="9"/>
  <c r="G1019" i="9"/>
  <c r="O1019" i="9"/>
  <c r="E1019" i="9"/>
  <c r="K1019" i="9"/>
  <c r="B1019" i="9"/>
  <c r="Q1019" i="9"/>
  <c r="M1019" i="9"/>
  <c r="I1019" i="9"/>
  <c r="H1019" i="9"/>
  <c r="J1019" i="9" s="1"/>
  <c r="L1019" i="9" s="1"/>
  <c r="D1019" i="9"/>
  <c r="A1020" i="9"/>
  <c r="C1019" i="9"/>
  <c r="R1018" i="9" l="1"/>
  <c r="R1013" i="9"/>
  <c r="R1014" i="9"/>
  <c r="B1020" i="9"/>
  <c r="N1020" i="9"/>
  <c r="E1020" i="9"/>
  <c r="M1020" i="9"/>
  <c r="D1020" i="9"/>
  <c r="I1020" i="9"/>
  <c r="Q1020" i="9"/>
  <c r="H1020" i="9"/>
  <c r="J1020" i="9" s="1"/>
  <c r="O1020" i="9"/>
  <c r="K1020" i="9"/>
  <c r="G1020" i="9"/>
  <c r="F1020" i="9"/>
  <c r="A1021" i="9"/>
  <c r="C1020" i="9"/>
  <c r="P1020" i="9"/>
  <c r="N1021" i="9" l="1"/>
  <c r="F1021" i="9"/>
  <c r="A1022" i="9"/>
  <c r="C1021" i="9"/>
  <c r="K1021" i="9"/>
  <c r="B1021" i="9"/>
  <c r="Q1021" i="9"/>
  <c r="H1021" i="9"/>
  <c r="J1021" i="9" s="1"/>
  <c r="P1021" i="9"/>
  <c r="G1021" i="9"/>
  <c r="M1021" i="9"/>
  <c r="I1021" i="9"/>
  <c r="E1021" i="9"/>
  <c r="D1021" i="9"/>
  <c r="O1021" i="9"/>
  <c r="L1020" i="9"/>
  <c r="R1015" i="9" l="1"/>
  <c r="B1022" i="9"/>
  <c r="K1022" i="9"/>
  <c r="I1022" i="9"/>
  <c r="O1022" i="9"/>
  <c r="F1022" i="9"/>
  <c r="N1022" i="9"/>
  <c r="E1022" i="9"/>
  <c r="H1022" i="9"/>
  <c r="J1022" i="9" s="1"/>
  <c r="G1022" i="9"/>
  <c r="D1022" i="9"/>
  <c r="A1023" i="9"/>
  <c r="C1022" i="9"/>
  <c r="Q1022" i="9"/>
  <c r="P1022" i="9"/>
  <c r="M1022" i="9"/>
  <c r="L1021" i="9"/>
  <c r="R1016" i="9" l="1"/>
  <c r="N1023" i="9"/>
  <c r="F1023" i="9"/>
  <c r="I1023" i="9"/>
  <c r="Q1023" i="9"/>
  <c r="H1023" i="9"/>
  <c r="J1023" i="9" s="1"/>
  <c r="M1023" i="9"/>
  <c r="D1023" i="9"/>
  <c r="A1024" i="9"/>
  <c r="C1023" i="9"/>
  <c r="G1023" i="9"/>
  <c r="E1023" i="9"/>
  <c r="B1023" i="9"/>
  <c r="P1023" i="9"/>
  <c r="O1023" i="9"/>
  <c r="K1023" i="9"/>
  <c r="L1022" i="9"/>
  <c r="L1023" i="9" l="1"/>
  <c r="B1024" i="9"/>
  <c r="Q1024" i="9"/>
  <c r="N1024" i="9"/>
  <c r="A1025" i="9"/>
  <c r="G1024" i="9"/>
  <c r="P1024" i="9"/>
  <c r="F1024" i="9"/>
  <c r="C1024" i="9"/>
  <c r="K1024" i="9"/>
  <c r="H1024" i="9"/>
  <c r="J1024" i="9" s="1"/>
  <c r="E1024" i="9"/>
  <c r="D1024" i="9"/>
  <c r="O1024" i="9"/>
  <c r="M1024" i="9"/>
  <c r="I1024" i="9"/>
  <c r="N1025" i="9" l="1"/>
  <c r="F1025" i="9"/>
  <c r="A1026" i="9"/>
  <c r="M1025" i="9"/>
  <c r="E1025" i="9"/>
  <c r="B1025" i="9"/>
  <c r="Q1025" i="9"/>
  <c r="I1025" i="9"/>
  <c r="O1025" i="9"/>
  <c r="G1025" i="9"/>
  <c r="D1025" i="9"/>
  <c r="P1025" i="9"/>
  <c r="K1025" i="9"/>
  <c r="H1025" i="9"/>
  <c r="J1025" i="9" s="1"/>
  <c r="C1025" i="9"/>
  <c r="L1024" i="9"/>
  <c r="R1024" i="9" l="1"/>
  <c r="R1019" i="9"/>
  <c r="L1025" i="9"/>
  <c r="B1026" i="9"/>
  <c r="Q1026" i="9"/>
  <c r="I1026" i="9"/>
  <c r="N1026" i="9"/>
  <c r="F1026" i="9"/>
  <c r="A1027" i="9"/>
  <c r="M1026" i="9"/>
  <c r="E1026" i="9"/>
  <c r="K1026" i="9"/>
  <c r="H1026" i="9"/>
  <c r="J1026" i="9" s="1"/>
  <c r="L1026" i="9" s="1"/>
  <c r="C1026" i="9"/>
  <c r="P1026" i="9"/>
  <c r="O1026" i="9"/>
  <c r="G1026" i="9"/>
  <c r="D1026" i="9"/>
  <c r="R1021" i="9" l="1"/>
  <c r="R1025" i="9"/>
  <c r="R1020" i="9"/>
  <c r="N1027" i="9"/>
  <c r="F1027" i="9"/>
  <c r="A1028" i="9"/>
  <c r="M1027" i="9"/>
  <c r="E1027" i="9"/>
  <c r="B1027" i="9"/>
  <c r="Q1027" i="9"/>
  <c r="I1027" i="9"/>
  <c r="G1027" i="9"/>
  <c r="D1027" i="9"/>
  <c r="O1027" i="9"/>
  <c r="H1027" i="9"/>
  <c r="J1027" i="9" s="1"/>
  <c r="C1027" i="9"/>
  <c r="P1027" i="9"/>
  <c r="K1027" i="9"/>
  <c r="L1027" i="9" l="1"/>
  <c r="B1028" i="9"/>
  <c r="Q1028" i="9"/>
  <c r="I1028" i="9"/>
  <c r="N1028" i="9"/>
  <c r="F1028" i="9"/>
  <c r="A1029" i="9"/>
  <c r="M1028" i="9"/>
  <c r="E1028" i="9"/>
  <c r="C1028" i="9"/>
  <c r="P1028" i="9"/>
  <c r="K1028" i="9"/>
  <c r="H1028" i="9"/>
  <c r="J1028" i="9" s="1"/>
  <c r="O1028" i="9"/>
  <c r="G1028" i="9"/>
  <c r="D1028" i="9"/>
  <c r="R1022" i="9" l="1"/>
  <c r="N1029" i="9"/>
  <c r="F1029" i="9"/>
  <c r="A1030" i="9"/>
  <c r="M1029" i="9"/>
  <c r="E1029" i="9"/>
  <c r="B1029" i="9"/>
  <c r="Q1029" i="9"/>
  <c r="I1029" i="9"/>
  <c r="O1029" i="9"/>
  <c r="G1029" i="9"/>
  <c r="D1029" i="9"/>
  <c r="P1029" i="9"/>
  <c r="K1029" i="9"/>
  <c r="H1029" i="9"/>
  <c r="J1029" i="9" s="1"/>
  <c r="C1029" i="9"/>
  <c r="L1028" i="9"/>
  <c r="R1023" i="9" l="1"/>
  <c r="B1030" i="9"/>
  <c r="Q1030" i="9"/>
  <c r="I1030" i="9"/>
  <c r="N1030" i="9"/>
  <c r="F1030" i="9"/>
  <c r="A1031" i="9"/>
  <c r="M1030" i="9"/>
  <c r="E1030" i="9"/>
  <c r="K1030" i="9"/>
  <c r="H1030" i="9"/>
  <c r="J1030" i="9" s="1"/>
  <c r="C1030" i="9"/>
  <c r="P1030" i="9"/>
  <c r="G1030" i="9"/>
  <c r="D1030" i="9"/>
  <c r="O1030" i="9"/>
  <c r="L1029" i="9"/>
  <c r="L1030" i="9" l="1"/>
  <c r="N1031" i="9"/>
  <c r="F1031" i="9"/>
  <c r="A1032" i="9"/>
  <c r="M1031" i="9"/>
  <c r="E1031" i="9"/>
  <c r="B1031" i="9"/>
  <c r="Q1031" i="9"/>
  <c r="I1031" i="9"/>
  <c r="G1031" i="9"/>
  <c r="D1031" i="9"/>
  <c r="O1031" i="9"/>
  <c r="P1031" i="9"/>
  <c r="K1031" i="9"/>
  <c r="H1031" i="9"/>
  <c r="J1031" i="9" s="1"/>
  <c r="C1031" i="9"/>
  <c r="B1032" i="9" l="1"/>
  <c r="Q1032" i="9"/>
  <c r="I1032" i="9"/>
  <c r="N1032" i="9"/>
  <c r="F1032" i="9"/>
  <c r="A1033" i="9"/>
  <c r="M1032" i="9"/>
  <c r="E1032" i="9"/>
  <c r="C1032" i="9"/>
  <c r="P1032" i="9"/>
  <c r="O1032" i="9"/>
  <c r="K1032" i="9"/>
  <c r="H1032" i="9"/>
  <c r="J1032" i="9" s="1"/>
  <c r="G1032" i="9"/>
  <c r="D1032" i="9"/>
  <c r="L1031" i="9"/>
  <c r="R1031" i="9" l="1"/>
  <c r="R1026" i="9"/>
  <c r="N1033" i="9"/>
  <c r="F1033" i="9"/>
  <c r="A1034" i="9"/>
  <c r="M1033" i="9"/>
  <c r="E1033" i="9"/>
  <c r="B1033" i="9"/>
  <c r="Q1033" i="9"/>
  <c r="I1033" i="9"/>
  <c r="O1033" i="9"/>
  <c r="K1033" i="9"/>
  <c r="G1033" i="9"/>
  <c r="D1033" i="9"/>
  <c r="P1033" i="9"/>
  <c r="H1033" i="9"/>
  <c r="J1033" i="9" s="1"/>
  <c r="C1033" i="9"/>
  <c r="L1032" i="9"/>
  <c r="R1032" i="9" l="1"/>
  <c r="R1027" i="9"/>
  <c r="B1034" i="9"/>
  <c r="Q1034" i="9"/>
  <c r="I1034" i="9"/>
  <c r="N1034" i="9"/>
  <c r="F1034" i="9"/>
  <c r="A1035" i="9"/>
  <c r="M1034" i="9"/>
  <c r="E1034" i="9"/>
  <c r="K1034" i="9"/>
  <c r="H1034" i="9"/>
  <c r="J1034" i="9" s="1"/>
  <c r="L1034" i="9" s="1"/>
  <c r="G1034" i="9"/>
  <c r="C1034" i="9"/>
  <c r="P1034" i="9"/>
  <c r="D1034" i="9"/>
  <c r="O1034" i="9"/>
  <c r="L1033" i="9"/>
  <c r="R1029" i="9" l="1"/>
  <c r="R1028" i="9"/>
  <c r="N1035" i="9"/>
  <c r="F1035" i="9"/>
  <c r="A1036" i="9"/>
  <c r="M1035" i="9"/>
  <c r="E1035" i="9"/>
  <c r="B1035" i="9"/>
  <c r="Q1035" i="9"/>
  <c r="I1035" i="9"/>
  <c r="G1035" i="9"/>
  <c r="D1035" i="9"/>
  <c r="C1035" i="9"/>
  <c r="O1035" i="9"/>
  <c r="P1035" i="9"/>
  <c r="K1035" i="9"/>
  <c r="H1035" i="9"/>
  <c r="J1035" i="9" s="1"/>
  <c r="B1036" i="9" l="1"/>
  <c r="Q1036" i="9"/>
  <c r="I1036" i="9"/>
  <c r="N1036" i="9"/>
  <c r="F1036" i="9"/>
  <c r="A1037" i="9"/>
  <c r="M1036" i="9"/>
  <c r="E1036" i="9"/>
  <c r="C1036" i="9"/>
  <c r="P1036" i="9"/>
  <c r="O1036" i="9"/>
  <c r="K1036" i="9"/>
  <c r="H1036" i="9"/>
  <c r="J1036" i="9" s="1"/>
  <c r="G1036" i="9"/>
  <c r="D1036" i="9"/>
  <c r="L1035" i="9"/>
  <c r="R1030" i="9" l="1"/>
  <c r="N1037" i="9"/>
  <c r="F1037" i="9"/>
  <c r="A1038" i="9"/>
  <c r="M1037" i="9"/>
  <c r="E1037" i="9"/>
  <c r="B1037" i="9"/>
  <c r="Q1037" i="9"/>
  <c r="I1037" i="9"/>
  <c r="O1037" i="9"/>
  <c r="K1037" i="9"/>
  <c r="G1037" i="9"/>
  <c r="D1037" i="9"/>
  <c r="P1037" i="9"/>
  <c r="H1037" i="9"/>
  <c r="J1037" i="9" s="1"/>
  <c r="L1037" i="9" s="1"/>
  <c r="C1037" i="9"/>
  <c r="L1036" i="9"/>
  <c r="B1038" i="9" l="1"/>
  <c r="Q1038" i="9"/>
  <c r="I1038" i="9"/>
  <c r="N1038" i="9"/>
  <c r="F1038" i="9"/>
  <c r="A1039" i="9"/>
  <c r="M1038" i="9"/>
  <c r="E1038" i="9"/>
  <c r="K1038" i="9"/>
  <c r="H1038" i="9"/>
  <c r="J1038" i="9" s="1"/>
  <c r="G1038" i="9"/>
  <c r="C1038" i="9"/>
  <c r="P1038" i="9"/>
  <c r="O1038" i="9"/>
  <c r="D1038" i="9"/>
  <c r="L1038" i="9" l="1"/>
  <c r="N1039" i="9"/>
  <c r="F1039" i="9"/>
  <c r="A1040" i="9"/>
  <c r="M1039" i="9"/>
  <c r="E1039" i="9"/>
  <c r="B1039" i="9"/>
  <c r="Q1039" i="9"/>
  <c r="I1039" i="9"/>
  <c r="G1039" i="9"/>
  <c r="D1039" i="9"/>
  <c r="C1039" i="9"/>
  <c r="O1039" i="9"/>
  <c r="P1039" i="9"/>
  <c r="K1039" i="9"/>
  <c r="H1039" i="9"/>
  <c r="J1039" i="9" s="1"/>
  <c r="R1038" i="9" l="1"/>
  <c r="R1033" i="9"/>
  <c r="B1040" i="9"/>
  <c r="Q1040" i="9"/>
  <c r="I1040" i="9"/>
  <c r="N1040" i="9"/>
  <c r="F1040" i="9"/>
  <c r="A1041" i="9"/>
  <c r="M1040" i="9"/>
  <c r="E1040" i="9"/>
  <c r="C1040" i="9"/>
  <c r="P1040" i="9"/>
  <c r="O1040" i="9"/>
  <c r="K1040" i="9"/>
  <c r="H1040" i="9"/>
  <c r="J1040" i="9" s="1"/>
  <c r="G1040" i="9"/>
  <c r="D1040" i="9"/>
  <c r="L1039" i="9"/>
  <c r="R1039" i="9" l="1"/>
  <c r="R1034" i="9"/>
  <c r="L1040" i="9"/>
  <c r="N1041" i="9"/>
  <c r="F1041" i="9"/>
  <c r="A1042" i="9"/>
  <c r="M1041" i="9"/>
  <c r="E1041" i="9"/>
  <c r="B1041" i="9"/>
  <c r="Q1041" i="9"/>
  <c r="I1041" i="9"/>
  <c r="O1041" i="9"/>
  <c r="K1041" i="9"/>
  <c r="G1041" i="9"/>
  <c r="D1041" i="9"/>
  <c r="P1041" i="9"/>
  <c r="H1041" i="9"/>
  <c r="J1041" i="9" s="1"/>
  <c r="C1041" i="9"/>
  <c r="R1035" i="9" l="1"/>
  <c r="L1041" i="9"/>
  <c r="B1042" i="9"/>
  <c r="Q1042" i="9"/>
  <c r="I1042" i="9"/>
  <c r="N1042" i="9"/>
  <c r="F1042" i="9"/>
  <c r="A1043" i="9"/>
  <c r="M1042" i="9"/>
  <c r="E1042" i="9"/>
  <c r="K1042" i="9"/>
  <c r="H1042" i="9"/>
  <c r="J1042" i="9" s="1"/>
  <c r="L1042" i="9" s="1"/>
  <c r="G1042" i="9"/>
  <c r="C1042" i="9"/>
  <c r="P1042" i="9"/>
  <c r="O1042" i="9"/>
  <c r="D1042" i="9"/>
  <c r="R1036" i="9" l="1"/>
  <c r="R1037" i="9"/>
  <c r="N1043" i="9"/>
  <c r="F1043" i="9"/>
  <c r="A1044" i="9"/>
  <c r="M1043" i="9"/>
  <c r="E1043" i="9"/>
  <c r="B1043" i="9"/>
  <c r="Q1043" i="9"/>
  <c r="I1043" i="9"/>
  <c r="G1043" i="9"/>
  <c r="D1043" i="9"/>
  <c r="C1043" i="9"/>
  <c r="O1043" i="9"/>
  <c r="P1043" i="9"/>
  <c r="K1043" i="9"/>
  <c r="H1043" i="9"/>
  <c r="J1043" i="9" s="1"/>
  <c r="B1044" i="9" l="1"/>
  <c r="Q1044" i="9"/>
  <c r="I1044" i="9"/>
  <c r="N1044" i="9"/>
  <c r="F1044" i="9"/>
  <c r="A1045" i="9"/>
  <c r="M1044" i="9"/>
  <c r="E1044" i="9"/>
  <c r="C1044" i="9"/>
  <c r="P1044" i="9"/>
  <c r="O1044" i="9"/>
  <c r="K1044" i="9"/>
  <c r="H1044" i="9"/>
  <c r="J1044" i="9" s="1"/>
  <c r="G1044" i="9"/>
  <c r="D1044" i="9"/>
  <c r="L1043" i="9"/>
  <c r="N1045" i="9" l="1"/>
  <c r="F1045" i="9"/>
  <c r="A1046" i="9"/>
  <c r="M1045" i="9"/>
  <c r="E1045" i="9"/>
  <c r="B1045" i="9"/>
  <c r="Q1045" i="9"/>
  <c r="I1045" i="9"/>
  <c r="O1045" i="9"/>
  <c r="K1045" i="9"/>
  <c r="G1045" i="9"/>
  <c r="D1045" i="9"/>
  <c r="C1045" i="9"/>
  <c r="P1045" i="9"/>
  <c r="H1045" i="9"/>
  <c r="J1045" i="9" s="1"/>
  <c r="L1045" i="9" s="1"/>
  <c r="L1044" i="9"/>
  <c r="R1045" i="9" l="1"/>
  <c r="R1040" i="9"/>
  <c r="B1046" i="9"/>
  <c r="Q1046" i="9"/>
  <c r="I1046" i="9"/>
  <c r="N1046" i="9"/>
  <c r="F1046" i="9"/>
  <c r="A1047" i="9"/>
  <c r="M1046" i="9"/>
  <c r="E1046" i="9"/>
  <c r="K1046" i="9"/>
  <c r="H1046" i="9"/>
  <c r="J1046" i="9" s="1"/>
  <c r="G1046" i="9"/>
  <c r="C1046" i="9"/>
  <c r="P1046" i="9"/>
  <c r="O1046" i="9"/>
  <c r="D1046" i="9"/>
  <c r="L1046" i="9" l="1"/>
  <c r="N1047" i="9"/>
  <c r="F1047" i="9"/>
  <c r="A1048" i="9"/>
  <c r="M1047" i="9"/>
  <c r="E1047" i="9"/>
  <c r="B1047" i="9"/>
  <c r="Q1047" i="9"/>
  <c r="I1047" i="9"/>
  <c r="G1047" i="9"/>
  <c r="D1047" i="9"/>
  <c r="C1047" i="9"/>
  <c r="O1047" i="9"/>
  <c r="H1047" i="9"/>
  <c r="J1047" i="9" s="1"/>
  <c r="P1047" i="9"/>
  <c r="K1047" i="9"/>
  <c r="R1046" i="9" l="1"/>
  <c r="R1041" i="9"/>
  <c r="L1047" i="9"/>
  <c r="B1048" i="9"/>
  <c r="Q1048" i="9"/>
  <c r="I1048" i="9"/>
  <c r="N1048" i="9"/>
  <c r="F1048" i="9"/>
  <c r="A1049" i="9"/>
  <c r="M1048" i="9"/>
  <c r="E1048" i="9"/>
  <c r="C1048" i="9"/>
  <c r="P1048" i="9"/>
  <c r="O1048" i="9"/>
  <c r="K1048" i="9"/>
  <c r="H1048" i="9"/>
  <c r="J1048" i="9" s="1"/>
  <c r="G1048" i="9"/>
  <c r="D1048" i="9"/>
  <c r="R1042" i="9" l="1"/>
  <c r="N1049" i="9"/>
  <c r="F1049" i="9"/>
  <c r="A1050" i="9"/>
  <c r="M1049" i="9"/>
  <c r="E1049" i="9"/>
  <c r="B1049" i="9"/>
  <c r="Q1049" i="9"/>
  <c r="I1049" i="9"/>
  <c r="O1049" i="9"/>
  <c r="K1049" i="9"/>
  <c r="G1049" i="9"/>
  <c r="D1049" i="9"/>
  <c r="H1049" i="9"/>
  <c r="J1049" i="9" s="1"/>
  <c r="C1049" i="9"/>
  <c r="P1049" i="9"/>
  <c r="L1048" i="9"/>
  <c r="L1049" i="9" l="1"/>
  <c r="R1043" i="9"/>
  <c r="B1050" i="9"/>
  <c r="Q1050" i="9"/>
  <c r="I1050" i="9"/>
  <c r="N1050" i="9"/>
  <c r="F1050" i="9"/>
  <c r="A1051" i="9"/>
  <c r="M1050" i="9"/>
  <c r="E1050" i="9"/>
  <c r="K1050" i="9"/>
  <c r="H1050" i="9"/>
  <c r="J1050" i="9" s="1"/>
  <c r="G1050" i="9"/>
  <c r="C1050" i="9"/>
  <c r="P1050" i="9"/>
  <c r="O1050" i="9"/>
  <c r="D1050" i="9"/>
  <c r="L1050" i="9" l="1"/>
  <c r="R1044" i="9"/>
  <c r="A1052" i="9"/>
  <c r="N1051" i="9"/>
  <c r="F1051" i="9"/>
  <c r="M1051" i="9"/>
  <c r="E1051" i="9"/>
  <c r="B1051" i="9"/>
  <c r="Q1051" i="9"/>
  <c r="I1051" i="9"/>
  <c r="G1051" i="9"/>
  <c r="D1051" i="9"/>
  <c r="C1051" i="9"/>
  <c r="O1051" i="9"/>
  <c r="K1051" i="9"/>
  <c r="H1051" i="9"/>
  <c r="J1051" i="9" s="1"/>
  <c r="P1051" i="9"/>
  <c r="L1051" i="9" l="1"/>
  <c r="Q1052" i="9"/>
  <c r="I1052" i="9"/>
  <c r="A1053" i="9"/>
  <c r="C1052" i="9"/>
  <c r="K1052" i="9"/>
  <c r="B1052" i="9"/>
  <c r="P1052" i="9"/>
  <c r="G1052" i="9"/>
  <c r="O1052" i="9"/>
  <c r="F1052" i="9"/>
  <c r="D1052" i="9"/>
  <c r="M1052" i="9"/>
  <c r="N1052" i="9"/>
  <c r="H1052" i="9"/>
  <c r="J1052" i="9" s="1"/>
  <c r="E1052" i="9"/>
  <c r="A1054" i="9" l="1"/>
  <c r="M1053" i="9"/>
  <c r="E1053" i="9"/>
  <c r="I1053" i="9"/>
  <c r="O1053" i="9"/>
  <c r="F1053" i="9"/>
  <c r="N1053" i="9"/>
  <c r="D1053" i="9"/>
  <c r="B1053" i="9"/>
  <c r="Q1053" i="9"/>
  <c r="P1053" i="9"/>
  <c r="K1053" i="9"/>
  <c r="H1053" i="9"/>
  <c r="J1053" i="9" s="1"/>
  <c r="G1053" i="9"/>
  <c r="C1053" i="9"/>
  <c r="L1052" i="9"/>
  <c r="R1052" i="9" l="1"/>
  <c r="R1047" i="9"/>
  <c r="L1053" i="9"/>
  <c r="Q1054" i="9"/>
  <c r="I1054" i="9"/>
  <c r="H1054" i="9"/>
  <c r="J1054" i="9" s="1"/>
  <c r="P1054" i="9"/>
  <c r="G1054" i="9"/>
  <c r="M1054" i="9"/>
  <c r="D1054" i="9"/>
  <c r="A1055" i="9"/>
  <c r="C1054" i="9"/>
  <c r="O1054" i="9"/>
  <c r="N1054" i="9"/>
  <c r="F1054" i="9"/>
  <c r="B1054" i="9"/>
  <c r="K1054" i="9"/>
  <c r="E1054" i="9"/>
  <c r="R1053" i="9" l="1"/>
  <c r="R1048" i="9"/>
  <c r="L1054" i="9"/>
  <c r="A1056" i="9"/>
  <c r="M1055" i="9"/>
  <c r="E1055" i="9"/>
  <c r="P1055" i="9"/>
  <c r="G1055" i="9"/>
  <c r="O1055" i="9"/>
  <c r="F1055" i="9"/>
  <c r="K1055" i="9"/>
  <c r="B1055" i="9"/>
  <c r="Q1055" i="9"/>
  <c r="N1055" i="9"/>
  <c r="H1055" i="9"/>
  <c r="J1055" i="9" s="1"/>
  <c r="L1055" i="9" s="1"/>
  <c r="D1055" i="9"/>
  <c r="I1055" i="9"/>
  <c r="C1055" i="9"/>
  <c r="R1050" i="9" l="1"/>
  <c r="R1049" i="9"/>
  <c r="Q1056" i="9"/>
  <c r="I1056" i="9"/>
  <c r="N1056" i="9"/>
  <c r="E1056" i="9"/>
  <c r="M1056" i="9"/>
  <c r="D1056" i="9"/>
  <c r="H1056" i="9"/>
  <c r="J1056" i="9" s="1"/>
  <c r="O1056" i="9"/>
  <c r="K1056" i="9"/>
  <c r="F1056" i="9"/>
  <c r="A1057" i="9"/>
  <c r="C1056" i="9"/>
  <c r="G1056" i="9"/>
  <c r="B1056" i="9"/>
  <c r="P1056" i="9"/>
  <c r="A1058" i="9" l="1"/>
  <c r="M1057" i="9"/>
  <c r="E1057" i="9"/>
  <c r="C1057" i="9"/>
  <c r="K1057" i="9"/>
  <c r="B1057" i="9"/>
  <c r="Q1057" i="9"/>
  <c r="H1057" i="9"/>
  <c r="J1057" i="9" s="1"/>
  <c r="P1057" i="9"/>
  <c r="G1057" i="9"/>
  <c r="N1057" i="9"/>
  <c r="I1057" i="9"/>
  <c r="D1057" i="9"/>
  <c r="O1057" i="9"/>
  <c r="F1057" i="9"/>
  <c r="L1056" i="9"/>
  <c r="R1051" i="9" l="1"/>
  <c r="L1057" i="9"/>
  <c r="Q1058" i="9"/>
  <c r="I1058" i="9"/>
  <c r="K1058" i="9"/>
  <c r="B1058" i="9"/>
  <c r="O1058" i="9"/>
  <c r="F1058" i="9"/>
  <c r="N1058" i="9"/>
  <c r="E1058" i="9"/>
  <c r="H1058" i="9"/>
  <c r="J1058" i="9" s="1"/>
  <c r="G1058" i="9"/>
  <c r="A1059" i="9"/>
  <c r="C1058" i="9"/>
  <c r="P1058" i="9"/>
  <c r="M1058" i="9"/>
  <c r="D1058" i="9"/>
  <c r="A1060" i="9" l="1"/>
  <c r="M1059" i="9"/>
  <c r="E1059" i="9"/>
  <c r="I1059" i="9"/>
  <c r="Q1059" i="9"/>
  <c r="H1059" i="9"/>
  <c r="J1059" i="9" s="1"/>
  <c r="N1059" i="9"/>
  <c r="D1059" i="9"/>
  <c r="C1059" i="9"/>
  <c r="G1059" i="9"/>
  <c r="F1059" i="9"/>
  <c r="P1059" i="9"/>
  <c r="O1059" i="9"/>
  <c r="K1059" i="9"/>
  <c r="B1059" i="9"/>
  <c r="L1058" i="9"/>
  <c r="L1059" i="9" l="1"/>
  <c r="Q1060" i="9"/>
  <c r="I1060" i="9"/>
  <c r="P1060" i="9"/>
  <c r="G1060" i="9"/>
  <c r="O1060" i="9"/>
  <c r="F1060" i="9"/>
  <c r="A1061" i="9"/>
  <c r="C1060" i="9"/>
  <c r="K1060" i="9"/>
  <c r="B1060" i="9"/>
  <c r="H1060" i="9"/>
  <c r="J1060" i="9" s="1"/>
  <c r="E1060" i="9"/>
  <c r="D1060" i="9"/>
  <c r="N1060" i="9"/>
  <c r="M1060" i="9"/>
  <c r="R1059" i="9" l="1"/>
  <c r="R1054" i="9"/>
  <c r="A1062" i="9"/>
  <c r="M1061" i="9"/>
  <c r="E1061" i="9"/>
  <c r="O1061" i="9"/>
  <c r="F1061" i="9"/>
  <c r="N1061" i="9"/>
  <c r="D1061" i="9"/>
  <c r="I1061" i="9"/>
  <c r="G1061" i="9"/>
  <c r="C1061" i="9"/>
  <c r="B1061" i="9"/>
  <c r="P1061" i="9"/>
  <c r="H1061" i="9"/>
  <c r="J1061" i="9" s="1"/>
  <c r="Q1061" i="9"/>
  <c r="K1061" i="9"/>
  <c r="L1060" i="9"/>
  <c r="R1060" i="9" l="1"/>
  <c r="R1055" i="9"/>
  <c r="L1061" i="9"/>
  <c r="Q1062" i="9"/>
  <c r="I1062" i="9"/>
  <c r="M1062" i="9"/>
  <c r="D1062" i="9"/>
  <c r="A1063" i="9"/>
  <c r="C1062" i="9"/>
  <c r="H1062" i="9"/>
  <c r="J1062" i="9" s="1"/>
  <c r="P1062" i="9"/>
  <c r="G1062" i="9"/>
  <c r="E1062" i="9"/>
  <c r="B1062" i="9"/>
  <c r="N1062" i="9"/>
  <c r="K1062" i="9"/>
  <c r="O1062" i="9"/>
  <c r="F1062" i="9"/>
  <c r="R1056" i="9" l="1"/>
  <c r="A1064" i="9"/>
  <c r="M1063" i="9"/>
  <c r="E1063" i="9"/>
  <c r="K1063" i="9"/>
  <c r="B1063" i="9"/>
  <c r="P1063" i="9"/>
  <c r="G1063" i="9"/>
  <c r="O1063" i="9"/>
  <c r="F1063" i="9"/>
  <c r="C1063" i="9"/>
  <c r="Q1063" i="9"/>
  <c r="I1063" i="9"/>
  <c r="N1063" i="9"/>
  <c r="H1063" i="9"/>
  <c r="J1063" i="9" s="1"/>
  <c r="D1063" i="9"/>
  <c r="L1062" i="9"/>
  <c r="R1057" i="9" l="1"/>
  <c r="L1063" i="9"/>
  <c r="Q1064" i="9"/>
  <c r="I1064" i="9"/>
  <c r="H1064" i="9"/>
  <c r="J1064" i="9" s="1"/>
  <c r="N1064" i="9"/>
  <c r="E1064" i="9"/>
  <c r="M1064" i="9"/>
  <c r="D1064" i="9"/>
  <c r="B1064" i="9"/>
  <c r="P1064" i="9"/>
  <c r="O1064" i="9"/>
  <c r="K1064" i="9"/>
  <c r="G1064" i="9"/>
  <c r="A1065" i="9"/>
  <c r="F1064" i="9"/>
  <c r="C1064" i="9"/>
  <c r="R1058" i="9" l="1"/>
  <c r="L1064" i="9"/>
  <c r="A1066" i="9"/>
  <c r="M1065" i="9"/>
  <c r="E1065" i="9"/>
  <c r="Q1065" i="9"/>
  <c r="H1065" i="9"/>
  <c r="J1065" i="9" s="1"/>
  <c r="L1065" i="9" s="1"/>
  <c r="P1065" i="9"/>
  <c r="G1065" i="9"/>
  <c r="C1065" i="9"/>
  <c r="K1065" i="9"/>
  <c r="B1065" i="9"/>
  <c r="O1065" i="9"/>
  <c r="N1065" i="9"/>
  <c r="I1065" i="9"/>
  <c r="F1065" i="9"/>
  <c r="D1065" i="9"/>
  <c r="Q1066" i="9" l="1"/>
  <c r="I1066" i="9"/>
  <c r="O1066" i="9"/>
  <c r="F1066" i="9"/>
  <c r="N1066" i="9"/>
  <c r="E1066" i="9"/>
  <c r="K1066" i="9"/>
  <c r="B1066" i="9"/>
  <c r="P1066" i="9"/>
  <c r="M1066" i="9"/>
  <c r="G1066" i="9"/>
  <c r="D1066" i="9"/>
  <c r="C1066" i="9"/>
  <c r="A1067" i="9"/>
  <c r="H1066" i="9"/>
  <c r="J1066" i="9" s="1"/>
  <c r="A1068" i="9" l="1"/>
  <c r="M1067" i="9"/>
  <c r="E1067" i="9"/>
  <c r="K1067" i="9"/>
  <c r="B1067" i="9"/>
  <c r="P1067" i="9"/>
  <c r="F1067" i="9"/>
  <c r="O1067" i="9"/>
  <c r="D1067" i="9"/>
  <c r="I1067" i="9"/>
  <c r="Q1067" i="9"/>
  <c r="N1067" i="9"/>
  <c r="G1067" i="9"/>
  <c r="C1067" i="9"/>
  <c r="H1067" i="9"/>
  <c r="J1067" i="9" s="1"/>
  <c r="L1066" i="9"/>
  <c r="R1066" i="9" l="1"/>
  <c r="R1061" i="9"/>
  <c r="L1067" i="9"/>
  <c r="Q1068" i="9"/>
  <c r="I1068" i="9"/>
  <c r="P1068" i="9"/>
  <c r="F1068" i="9"/>
  <c r="O1068" i="9"/>
  <c r="E1068" i="9"/>
  <c r="B1068" i="9"/>
  <c r="A1069" i="9"/>
  <c r="K1068" i="9"/>
  <c r="N1068" i="9"/>
  <c r="M1068" i="9"/>
  <c r="G1068" i="9"/>
  <c r="D1068" i="9"/>
  <c r="H1068" i="9"/>
  <c r="J1068" i="9" s="1"/>
  <c r="C1068" i="9"/>
  <c r="R1067" i="9" l="1"/>
  <c r="R1062" i="9"/>
  <c r="L1068" i="9"/>
  <c r="A1070" i="9"/>
  <c r="M1069" i="9"/>
  <c r="E1069" i="9"/>
  <c r="Q1069" i="9"/>
  <c r="H1069" i="9"/>
  <c r="J1069" i="9" s="1"/>
  <c r="G1069" i="9"/>
  <c r="P1069" i="9"/>
  <c r="F1069" i="9"/>
  <c r="B1069" i="9"/>
  <c r="K1069" i="9"/>
  <c r="O1069" i="9"/>
  <c r="N1069" i="9"/>
  <c r="I1069" i="9"/>
  <c r="D1069" i="9"/>
  <c r="C1069" i="9"/>
  <c r="R1063" i="9" l="1"/>
  <c r="L1069" i="9"/>
  <c r="Q1070" i="9"/>
  <c r="I1070" i="9"/>
  <c r="O1070" i="9"/>
  <c r="F1070" i="9"/>
  <c r="H1070" i="9"/>
  <c r="J1070" i="9" s="1"/>
  <c r="G1070" i="9"/>
  <c r="M1070" i="9"/>
  <c r="C1070" i="9"/>
  <c r="B1070" i="9"/>
  <c r="P1070" i="9"/>
  <c r="N1070" i="9"/>
  <c r="E1070" i="9"/>
  <c r="A1071" i="9"/>
  <c r="K1070" i="9"/>
  <c r="D1070" i="9"/>
  <c r="R1064" i="9" l="1"/>
  <c r="L1070" i="9"/>
  <c r="A1072" i="9"/>
  <c r="M1071" i="9"/>
  <c r="E1071" i="9"/>
  <c r="N1071" i="9"/>
  <c r="D1071" i="9"/>
  <c r="I1071" i="9"/>
  <c r="H1071" i="9"/>
  <c r="J1071" i="9" s="1"/>
  <c r="O1071" i="9"/>
  <c r="C1071" i="9"/>
  <c r="B1071" i="9"/>
  <c r="Q1071" i="9"/>
  <c r="P1071" i="9"/>
  <c r="G1071" i="9"/>
  <c r="K1071" i="9"/>
  <c r="F1071" i="9"/>
  <c r="R1065" i="9" l="1"/>
  <c r="L1071" i="9"/>
  <c r="Q1072" i="9"/>
  <c r="I1072" i="9"/>
  <c r="A1073" i="9"/>
  <c r="C1072" i="9"/>
  <c r="H1072" i="9"/>
  <c r="J1072" i="9" s="1"/>
  <c r="O1072" i="9"/>
  <c r="E1072" i="9"/>
  <c r="N1072" i="9"/>
  <c r="D1072" i="9"/>
  <c r="P1072" i="9"/>
  <c r="K1072" i="9"/>
  <c r="G1072" i="9"/>
  <c r="M1072" i="9"/>
  <c r="F1072" i="9"/>
  <c r="B1072" i="9"/>
  <c r="L1072" i="9" l="1"/>
  <c r="A1074" i="9"/>
  <c r="M1073" i="9"/>
  <c r="E1073" i="9"/>
  <c r="K1073" i="9"/>
  <c r="I1073" i="9"/>
  <c r="P1073" i="9"/>
  <c r="F1073" i="9"/>
  <c r="O1073" i="9"/>
  <c r="D1073" i="9"/>
  <c r="B1073" i="9"/>
  <c r="Q1073" i="9"/>
  <c r="H1073" i="9"/>
  <c r="J1073" i="9" s="1"/>
  <c r="N1073" i="9"/>
  <c r="G1073" i="9"/>
  <c r="C1073" i="9"/>
  <c r="L1073" i="9" l="1"/>
  <c r="Q1074" i="9"/>
  <c r="I1074" i="9"/>
  <c r="H1074" i="9"/>
  <c r="J1074" i="9" s="1"/>
  <c r="B1074" i="9"/>
  <c r="A1075" i="9"/>
  <c r="K1074" i="9"/>
  <c r="P1074" i="9"/>
  <c r="F1074" i="9"/>
  <c r="O1074" i="9"/>
  <c r="E1074" i="9"/>
  <c r="C1074" i="9"/>
  <c r="M1074" i="9"/>
  <c r="G1074" i="9"/>
  <c r="D1074" i="9"/>
  <c r="N1074" i="9"/>
  <c r="R1073" i="9" l="1"/>
  <c r="R1068" i="9"/>
  <c r="A1076" i="9"/>
  <c r="M1075" i="9"/>
  <c r="E1075" i="9"/>
  <c r="P1075" i="9"/>
  <c r="G1075" i="9"/>
  <c r="B1075" i="9"/>
  <c r="K1075" i="9"/>
  <c r="H1075" i="9"/>
  <c r="J1075" i="9" s="1"/>
  <c r="Q1075" i="9"/>
  <c r="F1075" i="9"/>
  <c r="C1075" i="9"/>
  <c r="N1075" i="9"/>
  <c r="O1075" i="9"/>
  <c r="I1075" i="9"/>
  <c r="D1075" i="9"/>
  <c r="L1074" i="9"/>
  <c r="R1074" i="9" l="1"/>
  <c r="R1069" i="9"/>
  <c r="L1075" i="9"/>
  <c r="Q1076" i="9"/>
  <c r="I1076" i="9"/>
  <c r="N1076" i="9"/>
  <c r="E1076" i="9"/>
  <c r="K1076" i="9"/>
  <c r="B1076" i="9"/>
  <c r="A1077" i="9"/>
  <c r="F1076" i="9"/>
  <c r="D1076" i="9"/>
  <c r="M1076" i="9"/>
  <c r="G1076" i="9"/>
  <c r="C1076" i="9"/>
  <c r="P1076" i="9"/>
  <c r="O1076" i="9"/>
  <c r="H1076" i="9"/>
  <c r="J1076" i="9" s="1"/>
  <c r="R1070" i="9" l="1"/>
  <c r="L1076" i="9"/>
  <c r="A1078" i="9"/>
  <c r="M1077" i="9"/>
  <c r="E1077" i="9"/>
  <c r="N1077" i="9"/>
  <c r="C1077" i="9"/>
  <c r="I1077" i="9"/>
  <c r="Q1077" i="9"/>
  <c r="H1077" i="9"/>
  <c r="J1077" i="9" s="1"/>
  <c r="P1077" i="9"/>
  <c r="O1077" i="9"/>
  <c r="G1077" i="9"/>
  <c r="F1077" i="9"/>
  <c r="K1077" i="9"/>
  <c r="B1077" i="9"/>
  <c r="D1077" i="9"/>
  <c r="R1071" i="9" l="1"/>
  <c r="L1077" i="9"/>
  <c r="Q1078" i="9"/>
  <c r="I1078" i="9"/>
  <c r="A1079" i="9"/>
  <c r="C1078" i="9"/>
  <c r="K1078" i="9"/>
  <c r="B1078" i="9"/>
  <c r="P1078" i="9"/>
  <c r="G1078" i="9"/>
  <c r="O1078" i="9"/>
  <c r="F1078" i="9"/>
  <c r="N1078" i="9"/>
  <c r="M1078" i="9"/>
  <c r="E1078" i="9"/>
  <c r="D1078" i="9"/>
  <c r="H1078" i="9"/>
  <c r="J1078" i="9" s="1"/>
  <c r="R1072" i="9" l="1"/>
  <c r="A1080" i="9"/>
  <c r="M1079" i="9"/>
  <c r="E1079" i="9"/>
  <c r="I1079" i="9"/>
  <c r="Q1079" i="9"/>
  <c r="H1079" i="9"/>
  <c r="J1079" i="9" s="1"/>
  <c r="O1079" i="9"/>
  <c r="F1079" i="9"/>
  <c r="N1079" i="9"/>
  <c r="D1079" i="9"/>
  <c r="P1079" i="9"/>
  <c r="C1079" i="9"/>
  <c r="B1079" i="9"/>
  <c r="K1079" i="9"/>
  <c r="G1079" i="9"/>
  <c r="L1078" i="9"/>
  <c r="L1079" i="9" l="1"/>
  <c r="Q1080" i="9"/>
  <c r="I1080" i="9"/>
  <c r="H1080" i="9"/>
  <c r="J1080" i="9" s="1"/>
  <c r="P1080" i="9"/>
  <c r="G1080" i="9"/>
  <c r="O1080" i="9"/>
  <c r="F1080" i="9"/>
  <c r="M1080" i="9"/>
  <c r="D1080" i="9"/>
  <c r="A1081" i="9"/>
  <c r="C1080" i="9"/>
  <c r="E1080" i="9"/>
  <c r="N1080" i="9"/>
  <c r="K1080" i="9"/>
  <c r="B1080" i="9"/>
  <c r="L1080" i="9" l="1"/>
  <c r="A1082" i="9"/>
  <c r="M1081" i="9"/>
  <c r="E1081" i="9"/>
  <c r="P1081" i="9"/>
  <c r="G1081" i="9"/>
  <c r="O1081" i="9"/>
  <c r="F1081" i="9"/>
  <c r="N1081" i="9"/>
  <c r="D1081" i="9"/>
  <c r="K1081" i="9"/>
  <c r="B1081" i="9"/>
  <c r="I1081" i="9"/>
  <c r="Q1081" i="9"/>
  <c r="C1081" i="9"/>
  <c r="H1081" i="9"/>
  <c r="J1081" i="9" s="1"/>
  <c r="R1080" i="9" l="1"/>
  <c r="R1075" i="9"/>
  <c r="L1081" i="9"/>
  <c r="Q1082" i="9"/>
  <c r="I1082" i="9"/>
  <c r="N1082" i="9"/>
  <c r="E1082" i="9"/>
  <c r="M1082" i="9"/>
  <c r="D1082" i="9"/>
  <c r="A1083" i="9"/>
  <c r="C1082" i="9"/>
  <c r="H1082" i="9"/>
  <c r="J1082" i="9" s="1"/>
  <c r="F1082" i="9"/>
  <c r="B1082" i="9"/>
  <c r="P1082" i="9"/>
  <c r="O1082" i="9"/>
  <c r="K1082" i="9"/>
  <c r="G1082" i="9"/>
  <c r="R1081" i="9" l="1"/>
  <c r="R1076" i="9"/>
  <c r="A1084" i="9"/>
  <c r="M1083" i="9"/>
  <c r="E1083" i="9"/>
  <c r="C1083" i="9"/>
  <c r="K1083" i="9"/>
  <c r="B1083" i="9"/>
  <c r="Q1083" i="9"/>
  <c r="H1083" i="9"/>
  <c r="J1083" i="9" s="1"/>
  <c r="P1083" i="9"/>
  <c r="G1083" i="9"/>
  <c r="I1083" i="9"/>
  <c r="F1083" i="9"/>
  <c r="D1083" i="9"/>
  <c r="O1083" i="9"/>
  <c r="N1083" i="9"/>
  <c r="L1082" i="9"/>
  <c r="R1077" i="9" l="1"/>
  <c r="L1083" i="9"/>
  <c r="Q1084" i="9"/>
  <c r="I1084" i="9"/>
  <c r="K1084" i="9"/>
  <c r="B1084" i="9"/>
  <c r="H1084" i="9"/>
  <c r="J1084" i="9" s="1"/>
  <c r="O1084" i="9"/>
  <c r="F1084" i="9"/>
  <c r="N1084" i="9"/>
  <c r="E1084" i="9"/>
  <c r="M1084" i="9"/>
  <c r="G1084" i="9"/>
  <c r="C1084" i="9"/>
  <c r="A1085" i="9"/>
  <c r="D1084" i="9"/>
  <c r="P1084" i="9"/>
  <c r="R1078" i="9" l="1"/>
  <c r="A1086" i="9"/>
  <c r="M1085" i="9"/>
  <c r="E1085" i="9"/>
  <c r="I1085" i="9"/>
  <c r="Q1085" i="9"/>
  <c r="H1085" i="9"/>
  <c r="J1085" i="9" s="1"/>
  <c r="P1085" i="9"/>
  <c r="G1085" i="9"/>
  <c r="N1085" i="9"/>
  <c r="D1085" i="9"/>
  <c r="C1085" i="9"/>
  <c r="O1085" i="9"/>
  <c r="K1085" i="9"/>
  <c r="F1085" i="9"/>
  <c r="B1085" i="9"/>
  <c r="L1084" i="9"/>
  <c r="R1079" i="9" l="1"/>
  <c r="L1085" i="9"/>
  <c r="Q1086" i="9"/>
  <c r="I1086" i="9"/>
  <c r="P1086" i="9"/>
  <c r="G1086" i="9"/>
  <c r="O1086" i="9"/>
  <c r="F1086" i="9"/>
  <c r="N1086" i="9"/>
  <c r="E1086" i="9"/>
  <c r="A1087" i="9"/>
  <c r="C1086" i="9"/>
  <c r="K1086" i="9"/>
  <c r="B1086" i="9"/>
  <c r="H1086" i="9"/>
  <c r="J1086" i="9" s="1"/>
  <c r="M1086" i="9"/>
  <c r="D1086" i="9"/>
  <c r="A1088" i="9" l="1"/>
  <c r="M1087" i="9"/>
  <c r="E1087" i="9"/>
  <c r="O1087" i="9"/>
  <c r="F1087" i="9"/>
  <c r="N1087" i="9"/>
  <c r="D1087" i="9"/>
  <c r="C1087" i="9"/>
  <c r="I1087" i="9"/>
  <c r="B1087" i="9"/>
  <c r="P1087" i="9"/>
  <c r="K1087" i="9"/>
  <c r="H1087" i="9"/>
  <c r="J1087" i="9" s="1"/>
  <c r="G1087" i="9"/>
  <c r="Q1087" i="9"/>
  <c r="L1086" i="9"/>
  <c r="L1087" i="9" l="1"/>
  <c r="Q1088" i="9"/>
  <c r="I1088" i="9"/>
  <c r="M1088" i="9"/>
  <c r="D1088" i="9"/>
  <c r="A1089" i="9"/>
  <c r="C1088" i="9"/>
  <c r="K1088" i="9"/>
  <c r="B1088" i="9"/>
  <c r="H1088" i="9"/>
  <c r="J1088" i="9" s="1"/>
  <c r="L1088" i="9" s="1"/>
  <c r="P1088" i="9"/>
  <c r="G1088" i="9"/>
  <c r="F1088" i="9"/>
  <c r="E1088" i="9"/>
  <c r="O1088" i="9"/>
  <c r="N1088" i="9"/>
  <c r="R1088" i="9" l="1"/>
  <c r="R1083" i="9"/>
  <c r="R1087" i="9"/>
  <c r="R1082" i="9"/>
  <c r="A1090" i="9"/>
  <c r="M1089" i="9"/>
  <c r="E1089" i="9"/>
  <c r="K1089" i="9"/>
  <c r="B1089" i="9"/>
  <c r="I1089" i="9"/>
  <c r="P1089" i="9"/>
  <c r="G1089" i="9"/>
  <c r="O1089" i="9"/>
  <c r="F1089" i="9"/>
  <c r="H1089" i="9"/>
  <c r="J1089" i="9" s="1"/>
  <c r="D1089" i="9"/>
  <c r="C1089" i="9"/>
  <c r="Q1089" i="9"/>
  <c r="N1089" i="9"/>
  <c r="L1089" i="9" l="1"/>
  <c r="Q1090" i="9"/>
  <c r="I1090" i="9"/>
  <c r="H1090" i="9"/>
  <c r="J1090" i="9" s="1"/>
  <c r="P1090" i="9"/>
  <c r="G1090" i="9"/>
  <c r="N1090" i="9"/>
  <c r="E1090" i="9"/>
  <c r="M1090" i="9"/>
  <c r="D1090" i="9"/>
  <c r="O1090" i="9"/>
  <c r="K1090" i="9"/>
  <c r="C1090" i="9"/>
  <c r="B1090" i="9"/>
  <c r="F1090" i="9"/>
  <c r="A1091" i="9"/>
  <c r="R1084" i="9" l="1"/>
  <c r="L1090" i="9"/>
  <c r="A1092" i="9"/>
  <c r="M1091" i="9"/>
  <c r="E1091" i="9"/>
  <c r="Q1091" i="9"/>
  <c r="H1091" i="9"/>
  <c r="J1091" i="9" s="1"/>
  <c r="P1091" i="9"/>
  <c r="G1091" i="9"/>
  <c r="O1091" i="9"/>
  <c r="F1091" i="9"/>
  <c r="C1091" i="9"/>
  <c r="K1091" i="9"/>
  <c r="B1091" i="9"/>
  <c r="N1091" i="9"/>
  <c r="I1091" i="9"/>
  <c r="D1091" i="9"/>
  <c r="R1085" i="9" l="1"/>
  <c r="L1091" i="9"/>
  <c r="Q1092" i="9"/>
  <c r="I1092" i="9"/>
  <c r="O1092" i="9"/>
  <c r="F1092" i="9"/>
  <c r="N1092" i="9"/>
  <c r="E1092" i="9"/>
  <c r="M1092" i="9"/>
  <c r="D1092" i="9"/>
  <c r="K1092" i="9"/>
  <c r="B1092" i="9"/>
  <c r="A1093" i="9"/>
  <c r="H1092" i="9"/>
  <c r="J1092" i="9" s="1"/>
  <c r="G1092" i="9"/>
  <c r="C1092" i="9"/>
  <c r="P1092" i="9"/>
  <c r="R1086" i="9" l="1"/>
  <c r="A1094" i="9"/>
  <c r="M1093" i="9"/>
  <c r="E1093" i="9"/>
  <c r="N1093" i="9"/>
  <c r="D1093" i="9"/>
  <c r="C1093" i="9"/>
  <c r="K1093" i="9"/>
  <c r="B1093" i="9"/>
  <c r="I1093" i="9"/>
  <c r="Q1093" i="9"/>
  <c r="H1093" i="9"/>
  <c r="J1093" i="9" s="1"/>
  <c r="F1093" i="9"/>
  <c r="P1093" i="9"/>
  <c r="O1093" i="9"/>
  <c r="G1093" i="9"/>
  <c r="L1092" i="9"/>
  <c r="L1093" i="9" l="1"/>
  <c r="Q1094" i="9"/>
  <c r="I1094" i="9"/>
  <c r="A1095" i="9"/>
  <c r="C1094" i="9"/>
  <c r="K1094" i="9"/>
  <c r="B1094" i="9"/>
  <c r="P1094" i="9"/>
  <c r="G1094" i="9"/>
  <c r="O1094" i="9"/>
  <c r="F1094" i="9"/>
  <c r="H1094" i="9"/>
  <c r="J1094" i="9" s="1"/>
  <c r="E1094" i="9"/>
  <c r="D1094" i="9"/>
  <c r="N1094" i="9"/>
  <c r="M1094" i="9"/>
  <c r="L1094" i="9" l="1"/>
  <c r="A1096" i="9"/>
  <c r="M1095" i="9"/>
  <c r="E1095" i="9"/>
  <c r="I1095" i="9"/>
  <c r="Q1095" i="9"/>
  <c r="H1095" i="9"/>
  <c r="J1095" i="9" s="1"/>
  <c r="O1095" i="9"/>
  <c r="F1095" i="9"/>
  <c r="N1095" i="9"/>
  <c r="D1095" i="9"/>
  <c r="K1095" i="9"/>
  <c r="G1095" i="9"/>
  <c r="B1095" i="9"/>
  <c r="P1095" i="9"/>
  <c r="C1095" i="9"/>
  <c r="R1094" i="9" l="1"/>
  <c r="R1089" i="9"/>
  <c r="Q1096" i="9"/>
  <c r="I1096" i="9"/>
  <c r="H1096" i="9"/>
  <c r="J1096" i="9" s="1"/>
  <c r="P1096" i="9"/>
  <c r="G1096" i="9"/>
  <c r="O1096" i="9"/>
  <c r="F1096" i="9"/>
  <c r="M1096" i="9"/>
  <c r="D1096" i="9"/>
  <c r="A1097" i="9"/>
  <c r="C1096" i="9"/>
  <c r="N1096" i="9"/>
  <c r="K1096" i="9"/>
  <c r="E1096" i="9"/>
  <c r="B1096" i="9"/>
  <c r="L1095" i="9"/>
  <c r="R1095" i="9" l="1"/>
  <c r="R1090" i="9"/>
  <c r="L1096" i="9"/>
  <c r="A1098" i="9"/>
  <c r="M1097" i="9"/>
  <c r="E1097" i="9"/>
  <c r="P1097" i="9"/>
  <c r="G1097" i="9"/>
  <c r="O1097" i="9"/>
  <c r="F1097" i="9"/>
  <c r="N1097" i="9"/>
  <c r="D1097" i="9"/>
  <c r="K1097" i="9"/>
  <c r="B1097" i="9"/>
  <c r="Q1097" i="9"/>
  <c r="I1097" i="9"/>
  <c r="H1097" i="9"/>
  <c r="J1097" i="9" s="1"/>
  <c r="C1097" i="9"/>
  <c r="R1091" i="9" l="1"/>
  <c r="Q1098" i="9"/>
  <c r="I1098" i="9"/>
  <c r="N1098" i="9"/>
  <c r="E1098" i="9"/>
  <c r="M1098" i="9"/>
  <c r="D1098" i="9"/>
  <c r="A1099" i="9"/>
  <c r="C1098" i="9"/>
  <c r="H1098" i="9"/>
  <c r="J1098" i="9" s="1"/>
  <c r="B1098" i="9"/>
  <c r="O1098" i="9"/>
  <c r="K1098" i="9"/>
  <c r="P1098" i="9"/>
  <c r="G1098" i="9"/>
  <c r="F1098" i="9"/>
  <c r="L1097" i="9"/>
  <c r="R1092" i="9" l="1"/>
  <c r="A1100" i="9"/>
  <c r="M1099" i="9"/>
  <c r="E1099" i="9"/>
  <c r="C1099" i="9"/>
  <c r="K1099" i="9"/>
  <c r="B1099" i="9"/>
  <c r="Q1099" i="9"/>
  <c r="H1099" i="9"/>
  <c r="J1099" i="9" s="1"/>
  <c r="P1099" i="9"/>
  <c r="G1099" i="9"/>
  <c r="F1099" i="9"/>
  <c r="D1099" i="9"/>
  <c r="O1099" i="9"/>
  <c r="N1099" i="9"/>
  <c r="I1099" i="9"/>
  <c r="L1098" i="9"/>
  <c r="R1093" i="9" l="1"/>
  <c r="L1099" i="9"/>
  <c r="Q1100" i="9"/>
  <c r="I1100" i="9"/>
  <c r="K1100" i="9"/>
  <c r="B1100" i="9"/>
  <c r="H1100" i="9"/>
  <c r="J1100" i="9" s="1"/>
  <c r="O1100" i="9"/>
  <c r="F1100" i="9"/>
  <c r="N1100" i="9"/>
  <c r="E1100" i="9"/>
  <c r="G1100" i="9"/>
  <c r="D1100" i="9"/>
  <c r="A1101" i="9"/>
  <c r="M1100" i="9"/>
  <c r="C1100" i="9"/>
  <c r="P1100" i="9"/>
  <c r="A1102" i="9" l="1"/>
  <c r="M1101" i="9"/>
  <c r="E1101" i="9"/>
  <c r="I1101" i="9"/>
  <c r="Q1101" i="9"/>
  <c r="H1101" i="9"/>
  <c r="J1101" i="9" s="1"/>
  <c r="P1101" i="9"/>
  <c r="G1101" i="9"/>
  <c r="N1101" i="9"/>
  <c r="D1101" i="9"/>
  <c r="C1101" i="9"/>
  <c r="O1101" i="9"/>
  <c r="K1101" i="9"/>
  <c r="B1101" i="9"/>
  <c r="F1101" i="9"/>
  <c r="L1100" i="9"/>
  <c r="L1101" i="9" l="1"/>
  <c r="Q1102" i="9"/>
  <c r="I1102" i="9"/>
  <c r="P1102" i="9"/>
  <c r="G1102" i="9"/>
  <c r="O1102" i="9"/>
  <c r="F1102" i="9"/>
  <c r="N1102" i="9"/>
  <c r="E1102" i="9"/>
  <c r="A1103" i="9"/>
  <c r="C1102" i="9"/>
  <c r="K1102" i="9"/>
  <c r="B1102" i="9"/>
  <c r="M1102" i="9"/>
  <c r="H1102" i="9"/>
  <c r="J1102" i="9" s="1"/>
  <c r="D1102" i="9"/>
  <c r="R1101" i="9" l="1"/>
  <c r="R1096" i="9"/>
  <c r="L1102" i="9"/>
  <c r="A1104" i="9"/>
  <c r="M1103" i="9"/>
  <c r="E1103" i="9"/>
  <c r="O1103" i="9"/>
  <c r="F1103" i="9"/>
  <c r="N1103" i="9"/>
  <c r="D1103" i="9"/>
  <c r="C1103" i="9"/>
  <c r="I1103" i="9"/>
  <c r="Q1103" i="9"/>
  <c r="K1103" i="9"/>
  <c r="H1103" i="9"/>
  <c r="J1103" i="9" s="1"/>
  <c r="P1103" i="9"/>
  <c r="G1103" i="9"/>
  <c r="B1103" i="9"/>
  <c r="R1102" i="9" l="1"/>
  <c r="R1097" i="9"/>
  <c r="L1103" i="9"/>
  <c r="Q1104" i="9"/>
  <c r="I1104" i="9"/>
  <c r="M1104" i="9"/>
  <c r="D1104" i="9"/>
  <c r="A1105" i="9"/>
  <c r="C1104" i="9"/>
  <c r="K1104" i="9"/>
  <c r="B1104" i="9"/>
  <c r="H1104" i="9"/>
  <c r="J1104" i="9" s="1"/>
  <c r="L1104" i="9" s="1"/>
  <c r="P1104" i="9"/>
  <c r="G1104" i="9"/>
  <c r="E1104" i="9"/>
  <c r="O1104" i="9"/>
  <c r="N1104" i="9"/>
  <c r="F1104" i="9"/>
  <c r="R1099" i="9" l="1"/>
  <c r="R1098" i="9"/>
  <c r="A1106" i="9"/>
  <c r="M1105" i="9"/>
  <c r="E1105" i="9"/>
  <c r="K1105" i="9"/>
  <c r="B1105" i="9"/>
  <c r="I1105" i="9"/>
  <c r="P1105" i="9"/>
  <c r="G1105" i="9"/>
  <c r="O1105" i="9"/>
  <c r="F1105" i="9"/>
  <c r="H1105" i="9"/>
  <c r="J1105" i="9" s="1"/>
  <c r="D1105" i="9"/>
  <c r="C1105" i="9"/>
  <c r="Q1105" i="9"/>
  <c r="N1105" i="9"/>
  <c r="L1105" i="9" l="1"/>
  <c r="Q1106" i="9"/>
  <c r="I1106" i="9"/>
  <c r="H1106" i="9"/>
  <c r="J1106" i="9" s="1"/>
  <c r="P1106" i="9"/>
  <c r="G1106" i="9"/>
  <c r="N1106" i="9"/>
  <c r="E1106" i="9"/>
  <c r="M1106" i="9"/>
  <c r="D1106" i="9"/>
  <c r="K1106" i="9"/>
  <c r="F1106" i="9"/>
  <c r="B1106" i="9"/>
  <c r="A1107" i="9"/>
  <c r="O1106" i="9"/>
  <c r="C1106" i="9"/>
  <c r="R1100" i="9" l="1"/>
  <c r="A1108" i="9"/>
  <c r="M1107" i="9"/>
  <c r="E1107" i="9"/>
  <c r="Q1107" i="9"/>
  <c r="H1107" i="9"/>
  <c r="J1107" i="9" s="1"/>
  <c r="P1107" i="9"/>
  <c r="G1107" i="9"/>
  <c r="O1107" i="9"/>
  <c r="F1107" i="9"/>
  <c r="C1107" i="9"/>
  <c r="K1107" i="9"/>
  <c r="B1107" i="9"/>
  <c r="N1107" i="9"/>
  <c r="D1107" i="9"/>
  <c r="I1107" i="9"/>
  <c r="L1106" i="9"/>
  <c r="L1107" i="9" l="1"/>
  <c r="Q1108" i="9"/>
  <c r="I1108" i="9"/>
  <c r="O1108" i="9"/>
  <c r="F1108" i="9"/>
  <c r="N1108" i="9"/>
  <c r="E1108" i="9"/>
  <c r="M1108" i="9"/>
  <c r="D1108" i="9"/>
  <c r="K1108" i="9"/>
  <c r="B1108" i="9"/>
  <c r="A1109" i="9"/>
  <c r="P1108" i="9"/>
  <c r="H1108" i="9"/>
  <c r="J1108" i="9" s="1"/>
  <c r="G1108" i="9"/>
  <c r="C1108" i="9"/>
  <c r="A1110" i="9" l="1"/>
  <c r="M1109" i="9"/>
  <c r="E1109" i="9"/>
  <c r="N1109" i="9"/>
  <c r="D1109" i="9"/>
  <c r="C1109" i="9"/>
  <c r="K1109" i="9"/>
  <c r="B1109" i="9"/>
  <c r="I1109" i="9"/>
  <c r="Q1109" i="9"/>
  <c r="H1109" i="9"/>
  <c r="J1109" i="9" s="1"/>
  <c r="O1109" i="9"/>
  <c r="P1109" i="9"/>
  <c r="G1109" i="9"/>
  <c r="F1109" i="9"/>
  <c r="L1108" i="9"/>
  <c r="R1108" i="9" l="1"/>
  <c r="R1103" i="9"/>
  <c r="L1109" i="9"/>
  <c r="Q1110" i="9"/>
  <c r="I1110" i="9"/>
  <c r="A1111" i="9"/>
  <c r="C1110" i="9"/>
  <c r="K1110" i="9"/>
  <c r="B1110" i="9"/>
  <c r="P1110" i="9"/>
  <c r="G1110" i="9"/>
  <c r="O1110" i="9"/>
  <c r="F1110" i="9"/>
  <c r="E1110" i="9"/>
  <c r="D1110" i="9"/>
  <c r="N1110" i="9"/>
  <c r="H1110" i="9"/>
  <c r="J1110" i="9" s="1"/>
  <c r="M1110" i="9"/>
  <c r="R1109" i="9" l="1"/>
  <c r="R1104" i="9"/>
  <c r="A1112" i="9"/>
  <c r="M1111" i="9"/>
  <c r="E1111" i="9"/>
  <c r="I1111" i="9"/>
  <c r="Q1111" i="9"/>
  <c r="H1111" i="9"/>
  <c r="J1111" i="9" s="1"/>
  <c r="L1111" i="9" s="1"/>
  <c r="O1111" i="9"/>
  <c r="F1111" i="9"/>
  <c r="N1111" i="9"/>
  <c r="D1111" i="9"/>
  <c r="K1111" i="9"/>
  <c r="G1111" i="9"/>
  <c r="C1111" i="9"/>
  <c r="P1111" i="9"/>
  <c r="B1111" i="9"/>
  <c r="L1110" i="9"/>
  <c r="R1106" i="9" l="1"/>
  <c r="R1105" i="9"/>
  <c r="Q1112" i="9"/>
  <c r="I1112" i="9"/>
  <c r="H1112" i="9"/>
  <c r="J1112" i="9" s="1"/>
  <c r="P1112" i="9"/>
  <c r="G1112" i="9"/>
  <c r="O1112" i="9"/>
  <c r="F1112" i="9"/>
  <c r="M1112" i="9"/>
  <c r="D1112" i="9"/>
  <c r="A1113" i="9"/>
  <c r="C1112" i="9"/>
  <c r="N1112" i="9"/>
  <c r="K1112" i="9"/>
  <c r="B1112" i="9"/>
  <c r="E1112" i="9"/>
  <c r="L1112" i="9" l="1"/>
  <c r="A1114" i="9"/>
  <c r="M1113" i="9"/>
  <c r="E1113" i="9"/>
  <c r="P1113" i="9"/>
  <c r="G1113" i="9"/>
  <c r="O1113" i="9"/>
  <c r="F1113" i="9"/>
  <c r="N1113" i="9"/>
  <c r="D1113" i="9"/>
  <c r="K1113" i="9"/>
  <c r="B1113" i="9"/>
  <c r="Q1113" i="9"/>
  <c r="H1113" i="9"/>
  <c r="J1113" i="9" s="1"/>
  <c r="C1113" i="9"/>
  <c r="I1113" i="9"/>
  <c r="R1107" i="9" l="1"/>
  <c r="Q1114" i="9"/>
  <c r="I1114" i="9"/>
  <c r="N1114" i="9"/>
  <c r="E1114" i="9"/>
  <c r="M1114" i="9"/>
  <c r="D1114" i="9"/>
  <c r="A1115" i="9"/>
  <c r="C1114" i="9"/>
  <c r="H1114" i="9"/>
  <c r="J1114" i="9" s="1"/>
  <c r="P1114" i="9"/>
  <c r="K1114" i="9"/>
  <c r="G1114" i="9"/>
  <c r="O1114" i="9"/>
  <c r="F1114" i="9"/>
  <c r="B1114" i="9"/>
  <c r="L1113" i="9"/>
  <c r="A1116" i="9" l="1"/>
  <c r="M1115" i="9"/>
  <c r="E1115" i="9"/>
  <c r="C1115" i="9"/>
  <c r="K1115" i="9"/>
  <c r="B1115" i="9"/>
  <c r="Q1115" i="9"/>
  <c r="H1115" i="9"/>
  <c r="J1115" i="9" s="1"/>
  <c r="P1115" i="9"/>
  <c r="G1115" i="9"/>
  <c r="D1115" i="9"/>
  <c r="O1115" i="9"/>
  <c r="N1115" i="9"/>
  <c r="F1115" i="9"/>
  <c r="I1115" i="9"/>
  <c r="L1114" i="9"/>
  <c r="L1115" i="9" l="1"/>
  <c r="Q1116" i="9"/>
  <c r="I1116" i="9"/>
  <c r="K1116" i="9"/>
  <c r="B1116" i="9"/>
  <c r="H1116" i="9"/>
  <c r="J1116" i="9" s="1"/>
  <c r="O1116" i="9"/>
  <c r="F1116" i="9"/>
  <c r="N1116" i="9"/>
  <c r="E1116" i="9"/>
  <c r="G1116" i="9"/>
  <c r="D1116" i="9"/>
  <c r="C1116" i="9"/>
  <c r="A1117" i="9"/>
  <c r="P1116" i="9"/>
  <c r="M1116" i="9"/>
  <c r="R1115" i="9" l="1"/>
  <c r="R1110" i="9"/>
  <c r="A1118" i="9"/>
  <c r="M1117" i="9"/>
  <c r="E1117" i="9"/>
  <c r="I1117" i="9"/>
  <c r="Q1117" i="9"/>
  <c r="H1117" i="9"/>
  <c r="J1117" i="9" s="1"/>
  <c r="P1117" i="9"/>
  <c r="G1117" i="9"/>
  <c r="N1117" i="9"/>
  <c r="D1117" i="9"/>
  <c r="C1117" i="9"/>
  <c r="K1117" i="9"/>
  <c r="F1117" i="9"/>
  <c r="O1117" i="9"/>
  <c r="B1117" i="9"/>
  <c r="L1116" i="9"/>
  <c r="R1116" i="9" l="1"/>
  <c r="R1111" i="9"/>
  <c r="L1117" i="9"/>
  <c r="Q1118" i="9"/>
  <c r="I1118" i="9"/>
  <c r="P1118" i="9"/>
  <c r="G1118" i="9"/>
  <c r="O1118" i="9"/>
  <c r="F1118" i="9"/>
  <c r="N1118" i="9"/>
  <c r="E1118" i="9"/>
  <c r="A1119" i="9"/>
  <c r="C1118" i="9"/>
  <c r="K1118" i="9"/>
  <c r="B1118" i="9"/>
  <c r="M1118" i="9"/>
  <c r="D1118" i="9"/>
  <c r="H1118" i="9"/>
  <c r="J1118" i="9" s="1"/>
  <c r="R1112" i="9" l="1"/>
  <c r="L1118" i="9"/>
  <c r="A1120" i="9"/>
  <c r="M1119" i="9"/>
  <c r="E1119" i="9"/>
  <c r="O1119" i="9"/>
  <c r="F1119" i="9"/>
  <c r="N1119" i="9"/>
  <c r="D1119" i="9"/>
  <c r="C1119" i="9"/>
  <c r="I1119" i="9"/>
  <c r="Q1119" i="9"/>
  <c r="P1119" i="9"/>
  <c r="H1119" i="9"/>
  <c r="J1119" i="9" s="1"/>
  <c r="L1119" i="9" s="1"/>
  <c r="G1119" i="9"/>
  <c r="K1119" i="9"/>
  <c r="B1119" i="9"/>
  <c r="R1113" i="9" l="1"/>
  <c r="R1114" i="9"/>
  <c r="Q1120" i="9"/>
  <c r="I1120" i="9"/>
  <c r="M1120" i="9"/>
  <c r="D1120" i="9"/>
  <c r="A1121" i="9"/>
  <c r="C1120" i="9"/>
  <c r="K1120" i="9"/>
  <c r="B1120" i="9"/>
  <c r="H1120" i="9"/>
  <c r="J1120" i="9" s="1"/>
  <c r="P1120" i="9"/>
  <c r="G1120" i="9"/>
  <c r="N1120" i="9"/>
  <c r="O1120" i="9"/>
  <c r="E1120" i="9"/>
  <c r="F1120" i="9"/>
  <c r="A1122" i="9" l="1"/>
  <c r="M1121" i="9"/>
  <c r="E1121" i="9"/>
  <c r="K1121" i="9"/>
  <c r="B1121" i="9"/>
  <c r="I1121" i="9"/>
  <c r="P1121" i="9"/>
  <c r="G1121" i="9"/>
  <c r="O1121" i="9"/>
  <c r="F1121" i="9"/>
  <c r="D1121" i="9"/>
  <c r="C1121" i="9"/>
  <c r="Q1121" i="9"/>
  <c r="N1121" i="9"/>
  <c r="H1121" i="9"/>
  <c r="J1121" i="9" s="1"/>
  <c r="L1120" i="9"/>
  <c r="L1121" i="9" l="1"/>
  <c r="Q1122" i="9"/>
  <c r="I1122" i="9"/>
  <c r="H1122" i="9"/>
  <c r="J1122" i="9" s="1"/>
  <c r="P1122" i="9"/>
  <c r="G1122" i="9"/>
  <c r="N1122" i="9"/>
  <c r="E1122" i="9"/>
  <c r="M1122" i="9"/>
  <c r="D1122" i="9"/>
  <c r="K1122" i="9"/>
  <c r="F1122" i="9"/>
  <c r="C1122" i="9"/>
  <c r="A1123" i="9"/>
  <c r="O1122" i="9"/>
  <c r="B1122" i="9"/>
  <c r="A1124" i="9" l="1"/>
  <c r="M1123" i="9"/>
  <c r="E1123" i="9"/>
  <c r="Q1123" i="9"/>
  <c r="H1123" i="9"/>
  <c r="J1123" i="9" s="1"/>
  <c r="P1123" i="9"/>
  <c r="G1123" i="9"/>
  <c r="O1123" i="9"/>
  <c r="F1123" i="9"/>
  <c r="C1123" i="9"/>
  <c r="K1123" i="9"/>
  <c r="B1123" i="9"/>
  <c r="N1123" i="9"/>
  <c r="I1123" i="9"/>
  <c r="D1123" i="9"/>
  <c r="L1122" i="9"/>
  <c r="R1122" i="9" l="1"/>
  <c r="R1117" i="9"/>
  <c r="L1123" i="9"/>
  <c r="Q1124" i="9"/>
  <c r="I1124" i="9"/>
  <c r="O1124" i="9"/>
  <c r="F1124" i="9"/>
  <c r="N1124" i="9"/>
  <c r="E1124" i="9"/>
  <c r="M1124" i="9"/>
  <c r="D1124" i="9"/>
  <c r="K1124" i="9"/>
  <c r="B1124" i="9"/>
  <c r="P1124" i="9"/>
  <c r="G1124" i="9"/>
  <c r="C1124" i="9"/>
  <c r="A1125" i="9"/>
  <c r="H1124" i="9"/>
  <c r="J1124" i="9" s="1"/>
  <c r="R1123" i="9" l="1"/>
  <c r="R1118" i="9"/>
  <c r="A1126" i="9"/>
  <c r="M1125" i="9"/>
  <c r="E1125" i="9"/>
  <c r="N1125" i="9"/>
  <c r="D1125" i="9"/>
  <c r="C1125" i="9"/>
  <c r="K1125" i="9"/>
  <c r="B1125" i="9"/>
  <c r="I1125" i="9"/>
  <c r="Q1125" i="9"/>
  <c r="H1125" i="9"/>
  <c r="J1125" i="9" s="1"/>
  <c r="P1125" i="9"/>
  <c r="G1125" i="9"/>
  <c r="O1125" i="9"/>
  <c r="F1125" i="9"/>
  <c r="L1124" i="9"/>
  <c r="R1119" i="9" l="1"/>
  <c r="L1125" i="9"/>
  <c r="Q1126" i="9"/>
  <c r="I1126" i="9"/>
  <c r="A1127" i="9"/>
  <c r="C1126" i="9"/>
  <c r="K1126" i="9"/>
  <c r="B1126" i="9"/>
  <c r="P1126" i="9"/>
  <c r="G1126" i="9"/>
  <c r="O1126" i="9"/>
  <c r="F1126" i="9"/>
  <c r="D1126" i="9"/>
  <c r="N1126" i="9"/>
  <c r="M1126" i="9"/>
  <c r="H1126" i="9"/>
  <c r="J1126" i="9" s="1"/>
  <c r="E1126" i="9"/>
  <c r="R1120" i="9" l="1"/>
  <c r="A1128" i="9"/>
  <c r="M1127" i="9"/>
  <c r="E1127" i="9"/>
  <c r="I1127" i="9"/>
  <c r="Q1127" i="9"/>
  <c r="H1127" i="9"/>
  <c r="J1127" i="9" s="1"/>
  <c r="P1127" i="9"/>
  <c r="G1127" i="9"/>
  <c r="O1127" i="9"/>
  <c r="F1127" i="9"/>
  <c r="N1127" i="9"/>
  <c r="D1127" i="9"/>
  <c r="K1127" i="9"/>
  <c r="C1127" i="9"/>
  <c r="B1127" i="9"/>
  <c r="L1126" i="9"/>
  <c r="R1121" i="9" l="1"/>
  <c r="L1127" i="9"/>
  <c r="Q1128" i="9"/>
  <c r="I1128" i="9"/>
  <c r="H1128" i="9"/>
  <c r="J1128" i="9" s="1"/>
  <c r="P1128" i="9"/>
  <c r="G1128" i="9"/>
  <c r="O1128" i="9"/>
  <c r="F1128" i="9"/>
  <c r="N1128" i="9"/>
  <c r="E1128" i="9"/>
  <c r="M1128" i="9"/>
  <c r="D1128" i="9"/>
  <c r="A1129" i="9"/>
  <c r="C1128" i="9"/>
  <c r="K1128" i="9"/>
  <c r="B1128" i="9"/>
  <c r="L1128" i="9" l="1"/>
  <c r="A1130" i="9"/>
  <c r="M1129" i="9"/>
  <c r="E1129" i="9"/>
  <c r="P1129" i="9"/>
  <c r="G1129" i="9"/>
  <c r="O1129" i="9"/>
  <c r="F1129" i="9"/>
  <c r="N1129" i="9"/>
  <c r="D1129" i="9"/>
  <c r="C1129" i="9"/>
  <c r="K1129" i="9"/>
  <c r="B1129" i="9"/>
  <c r="I1129" i="9"/>
  <c r="H1129" i="9"/>
  <c r="J1129" i="9" s="1"/>
  <c r="Q1129" i="9"/>
  <c r="L1129" i="9" l="1"/>
  <c r="Q1130" i="9"/>
  <c r="I1130" i="9"/>
  <c r="H1130" i="9"/>
  <c r="J1130" i="9" s="1"/>
  <c r="P1130" i="9"/>
  <c r="G1130" i="9"/>
  <c r="A1131" i="9"/>
  <c r="F1130" i="9"/>
  <c r="E1130" i="9"/>
  <c r="O1130" i="9"/>
  <c r="D1130" i="9"/>
  <c r="N1130" i="9"/>
  <c r="C1130" i="9"/>
  <c r="M1130" i="9"/>
  <c r="B1130" i="9"/>
  <c r="K1130" i="9"/>
  <c r="R1129" i="9" l="1"/>
  <c r="R1124" i="9"/>
  <c r="L1130" i="9"/>
  <c r="A1132" i="9"/>
  <c r="M1131" i="9"/>
  <c r="E1131" i="9"/>
  <c r="P1131" i="9"/>
  <c r="G1131" i="9"/>
  <c r="O1131" i="9"/>
  <c r="F1131" i="9"/>
  <c r="K1131" i="9"/>
  <c r="I1131" i="9"/>
  <c r="H1131" i="9"/>
  <c r="J1131" i="9" s="1"/>
  <c r="D1131" i="9"/>
  <c r="Q1131" i="9"/>
  <c r="N1131" i="9"/>
  <c r="C1131" i="9"/>
  <c r="B1131" i="9"/>
  <c r="L1131" i="9" l="1"/>
  <c r="R1130" i="9"/>
  <c r="R1125" i="9"/>
  <c r="Q1132" i="9"/>
  <c r="I1132" i="9"/>
  <c r="N1132" i="9"/>
  <c r="E1132" i="9"/>
  <c r="M1132" i="9"/>
  <c r="D1132" i="9"/>
  <c r="A1133" i="9"/>
  <c r="F1132" i="9"/>
  <c r="P1132" i="9"/>
  <c r="C1132" i="9"/>
  <c r="O1132" i="9"/>
  <c r="B1132" i="9"/>
  <c r="K1132" i="9"/>
  <c r="G1132" i="9"/>
  <c r="H1132" i="9"/>
  <c r="J1132" i="9" s="1"/>
  <c r="R1126" i="9" l="1"/>
  <c r="A1134" i="9"/>
  <c r="M1133" i="9"/>
  <c r="E1133" i="9"/>
  <c r="C1133" i="9"/>
  <c r="K1133" i="9"/>
  <c r="B1133" i="9"/>
  <c r="N1133" i="9"/>
  <c r="I1133" i="9"/>
  <c r="H1133" i="9"/>
  <c r="J1133" i="9" s="1"/>
  <c r="G1133" i="9"/>
  <c r="F1133" i="9"/>
  <c r="Q1133" i="9"/>
  <c r="D1133" i="9"/>
  <c r="P1133" i="9"/>
  <c r="O1133" i="9"/>
  <c r="L1132" i="9"/>
  <c r="R1127" i="9" l="1"/>
  <c r="L1133" i="9"/>
  <c r="Q1134" i="9"/>
  <c r="I1134" i="9"/>
  <c r="K1134" i="9"/>
  <c r="B1134" i="9"/>
  <c r="H1134" i="9"/>
  <c r="J1134" i="9" s="1"/>
  <c r="F1134" i="9"/>
  <c r="A1135" i="9"/>
  <c r="E1134" i="9"/>
  <c r="P1134" i="9"/>
  <c r="D1134" i="9"/>
  <c r="O1134" i="9"/>
  <c r="C1134" i="9"/>
  <c r="N1134" i="9"/>
  <c r="M1134" i="9"/>
  <c r="G1134" i="9"/>
  <c r="R1128" i="9" l="1"/>
  <c r="A1136" i="9"/>
  <c r="M1135" i="9"/>
  <c r="E1135" i="9"/>
  <c r="I1135" i="9"/>
  <c r="Q1135" i="9"/>
  <c r="H1135" i="9"/>
  <c r="J1135" i="9" s="1"/>
  <c r="P1135" i="9"/>
  <c r="G1135" i="9"/>
  <c r="O1135" i="9"/>
  <c r="B1135" i="9"/>
  <c r="N1135" i="9"/>
  <c r="K1135" i="9"/>
  <c r="F1135" i="9"/>
  <c r="D1135" i="9"/>
  <c r="C1135" i="9"/>
  <c r="L1134" i="9"/>
  <c r="L1135" i="9" l="1"/>
  <c r="Q1136" i="9"/>
  <c r="I1136" i="9"/>
  <c r="P1136" i="9"/>
  <c r="G1136" i="9"/>
  <c r="O1136" i="9"/>
  <c r="F1136" i="9"/>
  <c r="N1136" i="9"/>
  <c r="E1136" i="9"/>
  <c r="A1137" i="9"/>
  <c r="C1136" i="9"/>
  <c r="K1136" i="9"/>
  <c r="M1136" i="9"/>
  <c r="H1136" i="9"/>
  <c r="J1136" i="9" s="1"/>
  <c r="D1136" i="9"/>
  <c r="B1136" i="9"/>
  <c r="L1136" i="9" l="1"/>
  <c r="A1138" i="9"/>
  <c r="M1137" i="9"/>
  <c r="E1137" i="9"/>
  <c r="O1137" i="9"/>
  <c r="F1137" i="9"/>
  <c r="N1137" i="9"/>
  <c r="D1137" i="9"/>
  <c r="C1137" i="9"/>
  <c r="I1137" i="9"/>
  <c r="Q1137" i="9"/>
  <c r="P1137" i="9"/>
  <c r="K1137" i="9"/>
  <c r="H1137" i="9"/>
  <c r="J1137" i="9" s="1"/>
  <c r="G1137" i="9"/>
  <c r="B1137" i="9"/>
  <c r="R1136" i="9" l="1"/>
  <c r="R1131" i="9"/>
  <c r="Q1138" i="9"/>
  <c r="I1138" i="9"/>
  <c r="M1138" i="9"/>
  <c r="D1138" i="9"/>
  <c r="A1139" i="9"/>
  <c r="C1138" i="9"/>
  <c r="K1138" i="9"/>
  <c r="B1138" i="9"/>
  <c r="H1138" i="9"/>
  <c r="J1138" i="9" s="1"/>
  <c r="P1138" i="9"/>
  <c r="G1138" i="9"/>
  <c r="O1138" i="9"/>
  <c r="N1138" i="9"/>
  <c r="F1138" i="9"/>
  <c r="E1138" i="9"/>
  <c r="L1137" i="9"/>
  <c r="R1137" i="9" l="1"/>
  <c r="R1132" i="9"/>
  <c r="A1140" i="9"/>
  <c r="M1139" i="9"/>
  <c r="E1139" i="9"/>
  <c r="K1139" i="9"/>
  <c r="B1139" i="9"/>
  <c r="I1139" i="9"/>
  <c r="P1139" i="9"/>
  <c r="G1139" i="9"/>
  <c r="O1139" i="9"/>
  <c r="F1139" i="9"/>
  <c r="D1139" i="9"/>
  <c r="C1139" i="9"/>
  <c r="Q1139" i="9"/>
  <c r="N1139" i="9"/>
  <c r="H1139" i="9"/>
  <c r="J1139" i="9" s="1"/>
  <c r="L1138" i="9"/>
  <c r="R1133" i="9" l="1"/>
  <c r="L1139" i="9"/>
  <c r="Q1140" i="9"/>
  <c r="I1140" i="9"/>
  <c r="H1140" i="9"/>
  <c r="J1140" i="9" s="1"/>
  <c r="P1140" i="9"/>
  <c r="G1140" i="9"/>
  <c r="N1140" i="9"/>
  <c r="E1140" i="9"/>
  <c r="M1140" i="9"/>
  <c r="D1140" i="9"/>
  <c r="K1140" i="9"/>
  <c r="F1140" i="9"/>
  <c r="C1140" i="9"/>
  <c r="B1140" i="9"/>
  <c r="A1141" i="9"/>
  <c r="O1140" i="9"/>
  <c r="R1134" i="9" l="1"/>
  <c r="L1140" i="9"/>
  <c r="A1142" i="9"/>
  <c r="M1141" i="9"/>
  <c r="E1141" i="9"/>
  <c r="Q1141" i="9"/>
  <c r="H1141" i="9"/>
  <c r="J1141" i="9" s="1"/>
  <c r="P1141" i="9"/>
  <c r="G1141" i="9"/>
  <c r="O1141" i="9"/>
  <c r="F1141" i="9"/>
  <c r="N1141" i="9"/>
  <c r="D1141" i="9"/>
  <c r="C1141" i="9"/>
  <c r="K1141" i="9"/>
  <c r="B1141" i="9"/>
  <c r="I1141" i="9"/>
  <c r="R1135" i="9" l="1"/>
  <c r="L1141" i="9"/>
  <c r="Q1142" i="9"/>
  <c r="I1142" i="9"/>
  <c r="O1142" i="9"/>
  <c r="F1142" i="9"/>
  <c r="N1142" i="9"/>
  <c r="E1142" i="9"/>
  <c r="M1142" i="9"/>
  <c r="D1142" i="9"/>
  <c r="A1143" i="9"/>
  <c r="C1142" i="9"/>
  <c r="K1142" i="9"/>
  <c r="B1142" i="9"/>
  <c r="P1142" i="9"/>
  <c r="H1142" i="9"/>
  <c r="J1142" i="9" s="1"/>
  <c r="G1142" i="9"/>
  <c r="L1142" i="9" l="1"/>
  <c r="A1144" i="9"/>
  <c r="M1143" i="9"/>
  <c r="E1143" i="9"/>
  <c r="N1143" i="9"/>
  <c r="D1143" i="9"/>
  <c r="C1143" i="9"/>
  <c r="K1143" i="9"/>
  <c r="B1143" i="9"/>
  <c r="I1143" i="9"/>
  <c r="Q1143" i="9"/>
  <c r="H1143" i="9"/>
  <c r="J1143" i="9" s="1"/>
  <c r="L1143" i="9" s="1"/>
  <c r="P1143" i="9"/>
  <c r="O1143" i="9"/>
  <c r="G1143" i="9"/>
  <c r="F1143" i="9"/>
  <c r="R1143" i="9" l="1"/>
  <c r="R1138" i="9"/>
  <c r="Q1144" i="9"/>
  <c r="I1144" i="9"/>
  <c r="A1145" i="9"/>
  <c r="C1144" i="9"/>
  <c r="K1144" i="9"/>
  <c r="B1144" i="9"/>
  <c r="H1144" i="9"/>
  <c r="J1144" i="9" s="1"/>
  <c r="P1144" i="9"/>
  <c r="G1144" i="9"/>
  <c r="O1144" i="9"/>
  <c r="F1144" i="9"/>
  <c r="N1144" i="9"/>
  <c r="M1144" i="9"/>
  <c r="E1144" i="9"/>
  <c r="D1144" i="9"/>
  <c r="A1146" i="9" l="1"/>
  <c r="M1145" i="9"/>
  <c r="E1145" i="9"/>
  <c r="I1145" i="9"/>
  <c r="Q1145" i="9"/>
  <c r="H1145" i="9"/>
  <c r="J1145" i="9" s="1"/>
  <c r="P1145" i="9"/>
  <c r="G1145" i="9"/>
  <c r="O1145" i="9"/>
  <c r="F1145" i="9"/>
  <c r="N1145" i="9"/>
  <c r="D1145" i="9"/>
  <c r="K1145" i="9"/>
  <c r="C1145" i="9"/>
  <c r="B1145" i="9"/>
  <c r="L1144" i="9"/>
  <c r="R1144" i="9" l="1"/>
  <c r="R1139" i="9"/>
  <c r="L1145" i="9"/>
  <c r="Q1146" i="9"/>
  <c r="I1146" i="9"/>
  <c r="H1146" i="9"/>
  <c r="J1146" i="9" s="1"/>
  <c r="P1146" i="9"/>
  <c r="G1146" i="9"/>
  <c r="O1146" i="9"/>
  <c r="F1146" i="9"/>
  <c r="N1146" i="9"/>
  <c r="E1146" i="9"/>
  <c r="M1146" i="9"/>
  <c r="D1146" i="9"/>
  <c r="A1147" i="9"/>
  <c r="C1146" i="9"/>
  <c r="K1146" i="9"/>
  <c r="B1146" i="9"/>
  <c r="R1140" i="9" l="1"/>
  <c r="L1146" i="9"/>
  <c r="A1148" i="9"/>
  <c r="M1147" i="9"/>
  <c r="E1147" i="9"/>
  <c r="P1147" i="9"/>
  <c r="G1147" i="9"/>
  <c r="O1147" i="9"/>
  <c r="F1147" i="9"/>
  <c r="N1147" i="9"/>
  <c r="D1147" i="9"/>
  <c r="C1147" i="9"/>
  <c r="K1147" i="9"/>
  <c r="B1147" i="9"/>
  <c r="I1147" i="9"/>
  <c r="H1147" i="9"/>
  <c r="J1147" i="9" s="1"/>
  <c r="Q1147" i="9"/>
  <c r="R1141" i="9" l="1"/>
  <c r="Q1148" i="9"/>
  <c r="I1148" i="9"/>
  <c r="N1148" i="9"/>
  <c r="E1148" i="9"/>
  <c r="M1148" i="9"/>
  <c r="D1148" i="9"/>
  <c r="A1149" i="9"/>
  <c r="C1148" i="9"/>
  <c r="K1148" i="9"/>
  <c r="B1148" i="9"/>
  <c r="H1148" i="9"/>
  <c r="J1148" i="9" s="1"/>
  <c r="P1148" i="9"/>
  <c r="O1148" i="9"/>
  <c r="G1148" i="9"/>
  <c r="F1148" i="9"/>
  <c r="L1147" i="9"/>
  <c r="R1142" i="9" l="1"/>
  <c r="A1150" i="9"/>
  <c r="M1149" i="9"/>
  <c r="E1149" i="9"/>
  <c r="C1149" i="9"/>
  <c r="K1149" i="9"/>
  <c r="B1149" i="9"/>
  <c r="I1149" i="9"/>
  <c r="Q1149" i="9"/>
  <c r="H1149" i="9"/>
  <c r="J1149" i="9" s="1"/>
  <c r="P1149" i="9"/>
  <c r="G1149" i="9"/>
  <c r="F1149" i="9"/>
  <c r="D1149" i="9"/>
  <c r="O1149" i="9"/>
  <c r="N1149" i="9"/>
  <c r="L1148" i="9"/>
  <c r="L1149" i="9" l="1"/>
  <c r="Q1150" i="9"/>
  <c r="I1150" i="9"/>
  <c r="K1150" i="9"/>
  <c r="B1150" i="9"/>
  <c r="H1150" i="9"/>
  <c r="J1150" i="9" s="1"/>
  <c r="P1150" i="9"/>
  <c r="G1150" i="9"/>
  <c r="O1150" i="9"/>
  <c r="F1150" i="9"/>
  <c r="N1150" i="9"/>
  <c r="E1150" i="9"/>
  <c r="A1151" i="9"/>
  <c r="M1150" i="9"/>
  <c r="D1150" i="9"/>
  <c r="C1150" i="9"/>
  <c r="A1152" i="9" l="1"/>
  <c r="M1151" i="9"/>
  <c r="E1151" i="9"/>
  <c r="I1151" i="9"/>
  <c r="Q1151" i="9"/>
  <c r="H1151" i="9"/>
  <c r="J1151" i="9" s="1"/>
  <c r="P1151" i="9"/>
  <c r="G1151" i="9"/>
  <c r="O1151" i="9"/>
  <c r="F1151" i="9"/>
  <c r="N1151" i="9"/>
  <c r="D1151" i="9"/>
  <c r="C1151" i="9"/>
  <c r="B1151" i="9"/>
  <c r="K1151" i="9"/>
  <c r="L1150" i="9"/>
  <c r="R1150" i="9" l="1"/>
  <c r="R1145" i="9"/>
  <c r="L1151" i="9"/>
  <c r="Q1152" i="9"/>
  <c r="I1152" i="9"/>
  <c r="P1152" i="9"/>
  <c r="G1152" i="9"/>
  <c r="O1152" i="9"/>
  <c r="F1152" i="9"/>
  <c r="N1152" i="9"/>
  <c r="E1152" i="9"/>
  <c r="M1152" i="9"/>
  <c r="D1152" i="9"/>
  <c r="A1153" i="9"/>
  <c r="C1152" i="9"/>
  <c r="K1152" i="9"/>
  <c r="B1152" i="9"/>
  <c r="H1152" i="9"/>
  <c r="J1152" i="9" s="1"/>
  <c r="R1151" i="9" l="1"/>
  <c r="R1146" i="9"/>
  <c r="A1154" i="9"/>
  <c r="M1153" i="9"/>
  <c r="E1153" i="9"/>
  <c r="D1153" i="9"/>
  <c r="Q1153" i="9"/>
  <c r="G1153" i="9"/>
  <c r="P1153" i="9"/>
  <c r="F1153" i="9"/>
  <c r="O1153" i="9"/>
  <c r="C1153" i="9"/>
  <c r="N1153" i="9"/>
  <c r="B1153" i="9"/>
  <c r="K1153" i="9"/>
  <c r="H1153" i="9"/>
  <c r="J1153" i="9" s="1"/>
  <c r="I1153" i="9"/>
  <c r="L1152" i="9"/>
  <c r="R1147" i="9" l="1"/>
  <c r="L1153" i="9"/>
  <c r="Q1154" i="9"/>
  <c r="I1154" i="9"/>
  <c r="P1154" i="9"/>
  <c r="H1154" i="9"/>
  <c r="J1154" i="9" s="1"/>
  <c r="G1154" i="9"/>
  <c r="F1154" i="9"/>
  <c r="O1154" i="9"/>
  <c r="E1154" i="9"/>
  <c r="N1154" i="9"/>
  <c r="D1154" i="9"/>
  <c r="M1154" i="9"/>
  <c r="C1154" i="9"/>
  <c r="B1154" i="9"/>
  <c r="A1155" i="9"/>
  <c r="K1154" i="9"/>
  <c r="R1148" i="9" l="1"/>
  <c r="L1154" i="9"/>
  <c r="A1156" i="9"/>
  <c r="M1155" i="9"/>
  <c r="E1155" i="9"/>
  <c r="D1155" i="9"/>
  <c r="I1155" i="9"/>
  <c r="H1155" i="9"/>
  <c r="J1155" i="9" s="1"/>
  <c r="Q1155" i="9"/>
  <c r="G1155" i="9"/>
  <c r="P1155" i="9"/>
  <c r="F1155" i="9"/>
  <c r="O1155" i="9"/>
  <c r="C1155" i="9"/>
  <c r="N1155" i="9"/>
  <c r="B1155" i="9"/>
  <c r="K1155" i="9"/>
  <c r="R1149" i="9" l="1"/>
  <c r="Q1156" i="9"/>
  <c r="I1156" i="9"/>
  <c r="P1156" i="9"/>
  <c r="H1156" i="9"/>
  <c r="J1156" i="9" s="1"/>
  <c r="A1157" i="9"/>
  <c r="K1156" i="9"/>
  <c r="G1156" i="9"/>
  <c r="F1156" i="9"/>
  <c r="O1156" i="9"/>
  <c r="E1156" i="9"/>
  <c r="N1156" i="9"/>
  <c r="D1156" i="9"/>
  <c r="M1156" i="9"/>
  <c r="C1156" i="9"/>
  <c r="B1156" i="9"/>
  <c r="L1155" i="9"/>
  <c r="A1158" i="9" l="1"/>
  <c r="M1157" i="9"/>
  <c r="E1157" i="9"/>
  <c r="D1157" i="9"/>
  <c r="K1157" i="9"/>
  <c r="I1157" i="9"/>
  <c r="H1157" i="9"/>
  <c r="J1157" i="9" s="1"/>
  <c r="Q1157" i="9"/>
  <c r="G1157" i="9"/>
  <c r="P1157" i="9"/>
  <c r="F1157" i="9"/>
  <c r="C1157" i="9"/>
  <c r="B1157" i="9"/>
  <c r="O1157" i="9"/>
  <c r="N1157" i="9"/>
  <c r="L1156" i="9"/>
  <c r="L1157" i="9" l="1"/>
  <c r="Q1158" i="9"/>
  <c r="I1158" i="9"/>
  <c r="P1158" i="9"/>
  <c r="H1158" i="9"/>
  <c r="J1158" i="9" s="1"/>
  <c r="L1158" i="9" s="1"/>
  <c r="M1158" i="9"/>
  <c r="C1158" i="9"/>
  <c r="B1158" i="9"/>
  <c r="A1159" i="9"/>
  <c r="K1158" i="9"/>
  <c r="G1158" i="9"/>
  <c r="F1158" i="9"/>
  <c r="O1158" i="9"/>
  <c r="N1158" i="9"/>
  <c r="E1158" i="9"/>
  <c r="D1158" i="9"/>
  <c r="R1158" i="9" l="1"/>
  <c r="R1153" i="9"/>
  <c r="R1157" i="9"/>
  <c r="R1152" i="9"/>
  <c r="A1160" i="9"/>
  <c r="M1159" i="9"/>
  <c r="E1159" i="9"/>
  <c r="D1159" i="9"/>
  <c r="O1159" i="9"/>
  <c r="C1159" i="9"/>
  <c r="N1159" i="9"/>
  <c r="B1159" i="9"/>
  <c r="K1159" i="9"/>
  <c r="I1159" i="9"/>
  <c r="H1159" i="9"/>
  <c r="J1159" i="9" s="1"/>
  <c r="G1159" i="9"/>
  <c r="F1159" i="9"/>
  <c r="Q1159" i="9"/>
  <c r="P1159" i="9"/>
  <c r="L1159" i="9" l="1"/>
  <c r="Q1160" i="9"/>
  <c r="I1160" i="9"/>
  <c r="P1160" i="9"/>
  <c r="H1160" i="9"/>
  <c r="J1160" i="9" s="1"/>
  <c r="N1160" i="9"/>
  <c r="F1160" i="9"/>
  <c r="E1160" i="9"/>
  <c r="D1160" i="9"/>
  <c r="O1160" i="9"/>
  <c r="C1160" i="9"/>
  <c r="M1160" i="9"/>
  <c r="B1160" i="9"/>
  <c r="K1160" i="9"/>
  <c r="A1161" i="9"/>
  <c r="G1160" i="9"/>
  <c r="R1154" i="9" l="1"/>
  <c r="A1162" i="9"/>
  <c r="M1161" i="9"/>
  <c r="E1161" i="9"/>
  <c r="D1161" i="9"/>
  <c r="B1161" i="9"/>
  <c r="K1161" i="9"/>
  <c r="I1161" i="9"/>
  <c r="H1161" i="9"/>
  <c r="J1161" i="9" s="1"/>
  <c r="G1161" i="9"/>
  <c r="Q1161" i="9"/>
  <c r="F1161" i="9"/>
  <c r="P1161" i="9"/>
  <c r="C1161" i="9"/>
  <c r="O1161" i="9"/>
  <c r="N1161" i="9"/>
  <c r="L1160" i="9"/>
  <c r="R1155" i="9" l="1"/>
  <c r="L1161" i="9"/>
  <c r="Q1162" i="9"/>
  <c r="I1162" i="9"/>
  <c r="P1162" i="9"/>
  <c r="H1162" i="9"/>
  <c r="J1162" i="9" s="1"/>
  <c r="O1162" i="9"/>
  <c r="G1162" i="9"/>
  <c r="N1162" i="9"/>
  <c r="F1162" i="9"/>
  <c r="A1163" i="9"/>
  <c r="E1162" i="9"/>
  <c r="D1162" i="9"/>
  <c r="C1162" i="9"/>
  <c r="B1162" i="9"/>
  <c r="M1162" i="9"/>
  <c r="K1162" i="9"/>
  <c r="R1156" i="9" l="1"/>
  <c r="L1162" i="9"/>
  <c r="A1164" i="9"/>
  <c r="M1163" i="9"/>
  <c r="E1163" i="9"/>
  <c r="D1163" i="9"/>
  <c r="K1163" i="9"/>
  <c r="C1163" i="9"/>
  <c r="B1163" i="9"/>
  <c r="Q1163" i="9"/>
  <c r="P1163" i="9"/>
  <c r="O1163" i="9"/>
  <c r="N1163" i="9"/>
  <c r="I1163" i="9"/>
  <c r="H1163" i="9"/>
  <c r="J1163" i="9" s="1"/>
  <c r="G1163" i="9"/>
  <c r="F1163" i="9"/>
  <c r="Q1164" i="9" l="1"/>
  <c r="I1164" i="9"/>
  <c r="P1164" i="9"/>
  <c r="H1164" i="9"/>
  <c r="J1164" i="9" s="1"/>
  <c r="O1164" i="9"/>
  <c r="G1164" i="9"/>
  <c r="N1164" i="9"/>
  <c r="F1164" i="9"/>
  <c r="M1164" i="9"/>
  <c r="K1164" i="9"/>
  <c r="A1165" i="9"/>
  <c r="E1164" i="9"/>
  <c r="D1164" i="9"/>
  <c r="C1164" i="9"/>
  <c r="B1164" i="9"/>
  <c r="L1163" i="9"/>
  <c r="L1164" i="9" l="1"/>
  <c r="A1166" i="9"/>
  <c r="M1165" i="9"/>
  <c r="E1165" i="9"/>
  <c r="D1165" i="9"/>
  <c r="K1165" i="9"/>
  <c r="C1165" i="9"/>
  <c r="B1165" i="9"/>
  <c r="I1165" i="9"/>
  <c r="H1165" i="9"/>
  <c r="J1165" i="9" s="1"/>
  <c r="G1165" i="9"/>
  <c r="F1165" i="9"/>
  <c r="Q1165" i="9"/>
  <c r="P1165" i="9"/>
  <c r="O1165" i="9"/>
  <c r="N1165" i="9"/>
  <c r="R1164" i="9" l="1"/>
  <c r="R1159" i="9"/>
  <c r="Q1166" i="9"/>
  <c r="I1166" i="9"/>
  <c r="P1166" i="9"/>
  <c r="H1166" i="9"/>
  <c r="J1166" i="9" s="1"/>
  <c r="O1166" i="9"/>
  <c r="G1166" i="9"/>
  <c r="N1166" i="9"/>
  <c r="F1166" i="9"/>
  <c r="A1167" i="9"/>
  <c r="E1166" i="9"/>
  <c r="D1166" i="9"/>
  <c r="C1166" i="9"/>
  <c r="B1166" i="9"/>
  <c r="M1166" i="9"/>
  <c r="K1166" i="9"/>
  <c r="L1165" i="9"/>
  <c r="R1165" i="9" l="1"/>
  <c r="R1160" i="9"/>
  <c r="L1166" i="9"/>
  <c r="A1168" i="9"/>
  <c r="M1167" i="9"/>
  <c r="E1167" i="9"/>
  <c r="D1167" i="9"/>
  <c r="K1167" i="9"/>
  <c r="C1167" i="9"/>
  <c r="B1167" i="9"/>
  <c r="Q1167" i="9"/>
  <c r="P1167" i="9"/>
  <c r="O1167" i="9"/>
  <c r="N1167" i="9"/>
  <c r="I1167" i="9"/>
  <c r="H1167" i="9"/>
  <c r="J1167" i="9" s="1"/>
  <c r="G1167" i="9"/>
  <c r="F1167" i="9"/>
  <c r="R1161" i="9" l="1"/>
  <c r="Q1168" i="9"/>
  <c r="I1168" i="9"/>
  <c r="P1168" i="9"/>
  <c r="H1168" i="9"/>
  <c r="J1168" i="9" s="1"/>
  <c r="O1168" i="9"/>
  <c r="G1168" i="9"/>
  <c r="N1168" i="9"/>
  <c r="F1168" i="9"/>
  <c r="M1168" i="9"/>
  <c r="K1168" i="9"/>
  <c r="A1169" i="9"/>
  <c r="E1168" i="9"/>
  <c r="D1168" i="9"/>
  <c r="C1168" i="9"/>
  <c r="B1168" i="9"/>
  <c r="L1167" i="9"/>
  <c r="R1162" i="9" l="1"/>
  <c r="L1168" i="9"/>
  <c r="A1170" i="9"/>
  <c r="M1169" i="9"/>
  <c r="E1169" i="9"/>
  <c r="D1169" i="9"/>
  <c r="K1169" i="9"/>
  <c r="C1169" i="9"/>
  <c r="B1169" i="9"/>
  <c r="I1169" i="9"/>
  <c r="H1169" i="9"/>
  <c r="J1169" i="9" s="1"/>
  <c r="G1169" i="9"/>
  <c r="F1169" i="9"/>
  <c r="Q1169" i="9"/>
  <c r="P1169" i="9"/>
  <c r="O1169" i="9"/>
  <c r="N1169" i="9"/>
  <c r="R1163" i="9" l="1"/>
  <c r="L1169" i="9"/>
  <c r="Q1170" i="9"/>
  <c r="I1170" i="9"/>
  <c r="P1170" i="9"/>
  <c r="H1170" i="9"/>
  <c r="J1170" i="9" s="1"/>
  <c r="O1170" i="9"/>
  <c r="G1170" i="9"/>
  <c r="N1170" i="9"/>
  <c r="F1170" i="9"/>
  <c r="A1171" i="9"/>
  <c r="E1170" i="9"/>
  <c r="D1170" i="9"/>
  <c r="C1170" i="9"/>
  <c r="B1170" i="9"/>
  <c r="M1170" i="9"/>
  <c r="K1170" i="9"/>
  <c r="L1170" i="9" l="1"/>
  <c r="A1172" i="9"/>
  <c r="M1171" i="9"/>
  <c r="E1171" i="9"/>
  <c r="D1171" i="9"/>
  <c r="K1171" i="9"/>
  <c r="C1171" i="9"/>
  <c r="B1171" i="9"/>
  <c r="Q1171" i="9"/>
  <c r="P1171" i="9"/>
  <c r="O1171" i="9"/>
  <c r="N1171" i="9"/>
  <c r="I1171" i="9"/>
  <c r="H1171" i="9"/>
  <c r="J1171" i="9" s="1"/>
  <c r="G1171" i="9"/>
  <c r="F1171" i="9"/>
  <c r="Q1172" i="9" l="1"/>
  <c r="I1172" i="9"/>
  <c r="P1172" i="9"/>
  <c r="H1172" i="9"/>
  <c r="J1172" i="9" s="1"/>
  <c r="O1172" i="9"/>
  <c r="G1172" i="9"/>
  <c r="N1172" i="9"/>
  <c r="F1172" i="9"/>
  <c r="M1172" i="9"/>
  <c r="K1172" i="9"/>
  <c r="A1173" i="9"/>
  <c r="E1172" i="9"/>
  <c r="D1172" i="9"/>
  <c r="C1172" i="9"/>
  <c r="B1172" i="9"/>
  <c r="L1171" i="9"/>
  <c r="R1171" i="9" l="1"/>
  <c r="R1166" i="9"/>
  <c r="L1172" i="9"/>
  <c r="A1174" i="9"/>
  <c r="M1173" i="9"/>
  <c r="E1173" i="9"/>
  <c r="D1173" i="9"/>
  <c r="K1173" i="9"/>
  <c r="C1173" i="9"/>
  <c r="B1173" i="9"/>
  <c r="I1173" i="9"/>
  <c r="H1173" i="9"/>
  <c r="J1173" i="9" s="1"/>
  <c r="G1173" i="9"/>
  <c r="F1173" i="9"/>
  <c r="Q1173" i="9"/>
  <c r="P1173" i="9"/>
  <c r="O1173" i="9"/>
  <c r="N1173" i="9"/>
  <c r="R1172" i="9" l="1"/>
  <c r="R1167" i="9"/>
  <c r="L1173" i="9"/>
  <c r="Q1174" i="9"/>
  <c r="I1174" i="9"/>
  <c r="P1174" i="9"/>
  <c r="H1174" i="9"/>
  <c r="J1174" i="9" s="1"/>
  <c r="O1174" i="9"/>
  <c r="G1174" i="9"/>
  <c r="N1174" i="9"/>
  <c r="F1174" i="9"/>
  <c r="E1174" i="9"/>
  <c r="D1174" i="9"/>
  <c r="A1175" i="9"/>
  <c r="C1174" i="9"/>
  <c r="B1174" i="9"/>
  <c r="M1174" i="9"/>
  <c r="K1174" i="9"/>
  <c r="R1168" i="9" l="1"/>
  <c r="L1174" i="9"/>
  <c r="P1175" i="9"/>
  <c r="H1175" i="9"/>
  <c r="J1175" i="9" s="1"/>
  <c r="N1175" i="9"/>
  <c r="F1175" i="9"/>
  <c r="A1176" i="9"/>
  <c r="M1175" i="9"/>
  <c r="E1175" i="9"/>
  <c r="I1175" i="9"/>
  <c r="G1175" i="9"/>
  <c r="D1175" i="9"/>
  <c r="C1175" i="9"/>
  <c r="B1175" i="9"/>
  <c r="Q1175" i="9"/>
  <c r="O1175" i="9"/>
  <c r="K1175" i="9"/>
  <c r="R1169" i="9" l="1"/>
  <c r="D1176" i="9"/>
  <c r="K1176" i="9"/>
  <c r="B1176" i="9"/>
  <c r="Q1176" i="9"/>
  <c r="I1176" i="9"/>
  <c r="P1176" i="9"/>
  <c r="C1176" i="9"/>
  <c r="O1176" i="9"/>
  <c r="N1176" i="9"/>
  <c r="M1176" i="9"/>
  <c r="H1176" i="9"/>
  <c r="J1176" i="9" s="1"/>
  <c r="G1176" i="9"/>
  <c r="F1176" i="9"/>
  <c r="E1176" i="9"/>
  <c r="A1177" i="9"/>
  <c r="L1175" i="9"/>
  <c r="R1170" i="9" l="1"/>
  <c r="L1176" i="9"/>
  <c r="P1177" i="9"/>
  <c r="H1177" i="9"/>
  <c r="J1177" i="9" s="1"/>
  <c r="O1177" i="9"/>
  <c r="G1177" i="9"/>
  <c r="N1177" i="9"/>
  <c r="F1177" i="9"/>
  <c r="A1178" i="9"/>
  <c r="M1177" i="9"/>
  <c r="E1177" i="9"/>
  <c r="K1177" i="9"/>
  <c r="I1177" i="9"/>
  <c r="Q1177" i="9"/>
  <c r="D1177" i="9"/>
  <c r="C1177" i="9"/>
  <c r="B1177" i="9"/>
  <c r="D1178" i="9" l="1"/>
  <c r="K1178" i="9"/>
  <c r="C1178" i="9"/>
  <c r="B1178" i="9"/>
  <c r="Q1178" i="9"/>
  <c r="I1178" i="9"/>
  <c r="H1178" i="9"/>
  <c r="J1178" i="9" s="1"/>
  <c r="G1178" i="9"/>
  <c r="F1178" i="9"/>
  <c r="A1179" i="9"/>
  <c r="E1178" i="9"/>
  <c r="P1178" i="9"/>
  <c r="O1178" i="9"/>
  <c r="N1178" i="9"/>
  <c r="M1178" i="9"/>
  <c r="L1177" i="9"/>
  <c r="P1179" i="9" l="1"/>
  <c r="H1179" i="9"/>
  <c r="J1179" i="9" s="1"/>
  <c r="O1179" i="9"/>
  <c r="G1179" i="9"/>
  <c r="N1179" i="9"/>
  <c r="F1179" i="9"/>
  <c r="A1180" i="9"/>
  <c r="M1179" i="9"/>
  <c r="E1179" i="9"/>
  <c r="D1179" i="9"/>
  <c r="C1179" i="9"/>
  <c r="B1179" i="9"/>
  <c r="Q1179" i="9"/>
  <c r="K1179" i="9"/>
  <c r="I1179" i="9"/>
  <c r="L1178" i="9"/>
  <c r="R1178" i="9" l="1"/>
  <c r="R1173" i="9"/>
  <c r="D1180" i="9"/>
  <c r="K1180" i="9"/>
  <c r="C1180" i="9"/>
  <c r="B1180" i="9"/>
  <c r="Q1180" i="9"/>
  <c r="I1180" i="9"/>
  <c r="P1180" i="9"/>
  <c r="O1180" i="9"/>
  <c r="N1180" i="9"/>
  <c r="M1180" i="9"/>
  <c r="A1181" i="9"/>
  <c r="H1180" i="9"/>
  <c r="J1180" i="9" s="1"/>
  <c r="G1180" i="9"/>
  <c r="F1180" i="9"/>
  <c r="E1180" i="9"/>
  <c r="L1179" i="9"/>
  <c r="L1180" i="9" l="1"/>
  <c r="R1179" i="9"/>
  <c r="R1174" i="9"/>
  <c r="P1181" i="9"/>
  <c r="H1181" i="9"/>
  <c r="J1181" i="9" s="1"/>
  <c r="O1181" i="9"/>
  <c r="G1181" i="9"/>
  <c r="N1181" i="9"/>
  <c r="F1181" i="9"/>
  <c r="A1182" i="9"/>
  <c r="M1181" i="9"/>
  <c r="E1181" i="9"/>
  <c r="K1181" i="9"/>
  <c r="I1181" i="9"/>
  <c r="D1181" i="9"/>
  <c r="C1181" i="9"/>
  <c r="B1181" i="9"/>
  <c r="Q1181" i="9"/>
  <c r="R1175" i="9" l="1"/>
  <c r="D1182" i="9"/>
  <c r="K1182" i="9"/>
  <c r="C1182" i="9"/>
  <c r="B1182" i="9"/>
  <c r="Q1182" i="9"/>
  <c r="I1182" i="9"/>
  <c r="H1182" i="9"/>
  <c r="J1182" i="9" s="1"/>
  <c r="G1182" i="9"/>
  <c r="F1182" i="9"/>
  <c r="A1183" i="9"/>
  <c r="E1182" i="9"/>
  <c r="P1182" i="9"/>
  <c r="O1182" i="9"/>
  <c r="N1182" i="9"/>
  <c r="M1182" i="9"/>
  <c r="L1181" i="9"/>
  <c r="R1176" i="9" l="1"/>
  <c r="P1183" i="9"/>
  <c r="H1183" i="9"/>
  <c r="J1183" i="9" s="1"/>
  <c r="O1183" i="9"/>
  <c r="G1183" i="9"/>
  <c r="N1183" i="9"/>
  <c r="F1183" i="9"/>
  <c r="A1184" i="9"/>
  <c r="M1183" i="9"/>
  <c r="E1183" i="9"/>
  <c r="D1183" i="9"/>
  <c r="C1183" i="9"/>
  <c r="B1183" i="9"/>
  <c r="Q1183" i="9"/>
  <c r="K1183" i="9"/>
  <c r="I1183" i="9"/>
  <c r="L1182" i="9"/>
  <c r="R1177" i="9" l="1"/>
  <c r="D1184" i="9"/>
  <c r="K1184" i="9"/>
  <c r="C1184" i="9"/>
  <c r="B1184" i="9"/>
  <c r="Q1184" i="9"/>
  <c r="I1184" i="9"/>
  <c r="P1184" i="9"/>
  <c r="O1184" i="9"/>
  <c r="N1184" i="9"/>
  <c r="M1184" i="9"/>
  <c r="H1184" i="9"/>
  <c r="J1184" i="9" s="1"/>
  <c r="L1184" i="9" s="1"/>
  <c r="G1184" i="9"/>
  <c r="F1184" i="9"/>
  <c r="E1184" i="9"/>
  <c r="A1185" i="9"/>
  <c r="L1183" i="9"/>
  <c r="P1185" i="9" l="1"/>
  <c r="H1185" i="9"/>
  <c r="J1185" i="9" s="1"/>
  <c r="O1185" i="9"/>
  <c r="G1185" i="9"/>
  <c r="N1185" i="9"/>
  <c r="F1185" i="9"/>
  <c r="A1186" i="9"/>
  <c r="M1185" i="9"/>
  <c r="E1185" i="9"/>
  <c r="K1185" i="9"/>
  <c r="I1185" i="9"/>
  <c r="Q1185" i="9"/>
  <c r="D1185" i="9"/>
  <c r="C1185" i="9"/>
  <c r="B1185" i="9"/>
  <c r="D1186" i="9" l="1"/>
  <c r="K1186" i="9"/>
  <c r="C1186" i="9"/>
  <c r="B1186" i="9"/>
  <c r="Q1186" i="9"/>
  <c r="I1186" i="9"/>
  <c r="P1186" i="9"/>
  <c r="H1186" i="9"/>
  <c r="J1186" i="9" s="1"/>
  <c r="M1186" i="9"/>
  <c r="G1186" i="9"/>
  <c r="F1186" i="9"/>
  <c r="E1186" i="9"/>
  <c r="A1187" i="9"/>
  <c r="O1186" i="9"/>
  <c r="N1186" i="9"/>
  <c r="L1185" i="9"/>
  <c r="R1185" i="9" l="1"/>
  <c r="R1180" i="9"/>
  <c r="P1187" i="9"/>
  <c r="O1187" i="9"/>
  <c r="N1187" i="9"/>
  <c r="A1188" i="9"/>
  <c r="H1187" i="9"/>
  <c r="J1187" i="9" s="1"/>
  <c r="G1187" i="9"/>
  <c r="F1187" i="9"/>
  <c r="Q1187" i="9"/>
  <c r="E1187" i="9"/>
  <c r="M1187" i="9"/>
  <c r="D1187" i="9"/>
  <c r="K1187" i="9"/>
  <c r="I1187" i="9"/>
  <c r="C1187" i="9"/>
  <c r="B1187" i="9"/>
  <c r="L1186" i="9"/>
  <c r="R1186" i="9" l="1"/>
  <c r="R1181" i="9"/>
  <c r="L1187" i="9"/>
  <c r="D1188" i="9"/>
  <c r="K1188" i="9"/>
  <c r="C1188" i="9"/>
  <c r="B1188" i="9"/>
  <c r="P1188" i="9"/>
  <c r="H1188" i="9"/>
  <c r="J1188" i="9" s="1"/>
  <c r="Q1188" i="9"/>
  <c r="O1188" i="9"/>
  <c r="N1188" i="9"/>
  <c r="M1188" i="9"/>
  <c r="I1188" i="9"/>
  <c r="F1188" i="9"/>
  <c r="E1188" i="9"/>
  <c r="A1189" i="9"/>
  <c r="G1188" i="9"/>
  <c r="R1182" i="9" l="1"/>
  <c r="P1189" i="9"/>
  <c r="H1189" i="9"/>
  <c r="J1189" i="9" s="1"/>
  <c r="O1189" i="9"/>
  <c r="G1189" i="9"/>
  <c r="N1189" i="9"/>
  <c r="F1189" i="9"/>
  <c r="D1189" i="9"/>
  <c r="M1189" i="9"/>
  <c r="K1189" i="9"/>
  <c r="I1189" i="9"/>
  <c r="A1190" i="9"/>
  <c r="E1189" i="9"/>
  <c r="B1189" i="9"/>
  <c r="Q1189" i="9"/>
  <c r="C1189" i="9"/>
  <c r="L1188" i="9"/>
  <c r="R1183" i="9" l="1"/>
  <c r="D1190" i="9"/>
  <c r="K1190" i="9"/>
  <c r="C1190" i="9"/>
  <c r="B1190" i="9"/>
  <c r="P1190" i="9"/>
  <c r="H1190" i="9"/>
  <c r="J1190" i="9" s="1"/>
  <c r="I1190" i="9"/>
  <c r="G1190" i="9"/>
  <c r="F1190" i="9"/>
  <c r="A1191" i="9"/>
  <c r="E1190" i="9"/>
  <c r="Q1190" i="9"/>
  <c r="N1190" i="9"/>
  <c r="O1190" i="9"/>
  <c r="M1190" i="9"/>
  <c r="L1189" i="9"/>
  <c r="R1184" i="9" l="1"/>
  <c r="P1191" i="9"/>
  <c r="H1191" i="9"/>
  <c r="J1191" i="9" s="1"/>
  <c r="O1191" i="9"/>
  <c r="G1191" i="9"/>
  <c r="N1191" i="9"/>
  <c r="F1191" i="9"/>
  <c r="D1191" i="9"/>
  <c r="A1192" i="9"/>
  <c r="E1191" i="9"/>
  <c r="C1191" i="9"/>
  <c r="B1191" i="9"/>
  <c r="Q1191" i="9"/>
  <c r="M1191" i="9"/>
  <c r="I1191" i="9"/>
  <c r="K1191" i="9"/>
  <c r="L1190" i="9"/>
  <c r="L1191" i="9" l="1"/>
  <c r="D1192" i="9"/>
  <c r="K1192" i="9"/>
  <c r="C1192" i="9"/>
  <c r="B1192" i="9"/>
  <c r="P1192" i="9"/>
  <c r="H1192" i="9"/>
  <c r="J1192" i="9" s="1"/>
  <c r="Q1192" i="9"/>
  <c r="O1192" i="9"/>
  <c r="N1192" i="9"/>
  <c r="M1192" i="9"/>
  <c r="I1192" i="9"/>
  <c r="F1192" i="9"/>
  <c r="A1193" i="9"/>
  <c r="G1192" i="9"/>
  <c r="E1192" i="9"/>
  <c r="L1192" i="9" l="1"/>
  <c r="P1193" i="9"/>
  <c r="H1193" i="9"/>
  <c r="J1193" i="9" s="1"/>
  <c r="O1193" i="9"/>
  <c r="G1193" i="9"/>
  <c r="N1193" i="9"/>
  <c r="F1193" i="9"/>
  <c r="D1193" i="9"/>
  <c r="M1193" i="9"/>
  <c r="K1193" i="9"/>
  <c r="I1193" i="9"/>
  <c r="A1194" i="9"/>
  <c r="E1193" i="9"/>
  <c r="B1193" i="9"/>
  <c r="Q1193" i="9"/>
  <c r="C1193" i="9"/>
  <c r="R1192" i="9" l="1"/>
  <c r="R1187" i="9"/>
  <c r="D1194" i="9"/>
  <c r="K1194" i="9"/>
  <c r="C1194" i="9"/>
  <c r="B1194" i="9"/>
  <c r="P1194" i="9"/>
  <c r="H1194" i="9"/>
  <c r="J1194" i="9" s="1"/>
  <c r="I1194" i="9"/>
  <c r="G1194" i="9"/>
  <c r="F1194" i="9"/>
  <c r="A1195" i="9"/>
  <c r="E1194" i="9"/>
  <c r="Q1194" i="9"/>
  <c r="N1194" i="9"/>
  <c r="M1194" i="9"/>
  <c r="O1194" i="9"/>
  <c r="L1193" i="9"/>
  <c r="R1193" i="9" l="1"/>
  <c r="R1188" i="9"/>
  <c r="P1195" i="9"/>
  <c r="H1195" i="9"/>
  <c r="J1195" i="9" s="1"/>
  <c r="O1195" i="9"/>
  <c r="G1195" i="9"/>
  <c r="N1195" i="9"/>
  <c r="F1195" i="9"/>
  <c r="D1195" i="9"/>
  <c r="A1196" i="9"/>
  <c r="E1195" i="9"/>
  <c r="C1195" i="9"/>
  <c r="B1195" i="9"/>
  <c r="Q1195" i="9"/>
  <c r="M1195" i="9"/>
  <c r="K1195" i="9"/>
  <c r="I1195" i="9"/>
  <c r="L1194" i="9"/>
  <c r="R1189" i="9" l="1"/>
  <c r="L1195" i="9"/>
  <c r="D1196" i="9"/>
  <c r="K1196" i="9"/>
  <c r="C1196" i="9"/>
  <c r="B1196" i="9"/>
  <c r="P1196" i="9"/>
  <c r="H1196" i="9"/>
  <c r="J1196" i="9" s="1"/>
  <c r="Q1196" i="9"/>
  <c r="O1196" i="9"/>
  <c r="N1196" i="9"/>
  <c r="M1196" i="9"/>
  <c r="I1196" i="9"/>
  <c r="F1196" i="9"/>
  <c r="A1197" i="9"/>
  <c r="G1196" i="9"/>
  <c r="E1196" i="9"/>
  <c r="R1190" i="9" l="1"/>
  <c r="L1196" i="9"/>
  <c r="P1197" i="9"/>
  <c r="H1197" i="9"/>
  <c r="J1197" i="9" s="1"/>
  <c r="O1197" i="9"/>
  <c r="G1197" i="9"/>
  <c r="N1197" i="9"/>
  <c r="F1197" i="9"/>
  <c r="D1197" i="9"/>
  <c r="M1197" i="9"/>
  <c r="K1197" i="9"/>
  <c r="I1197" i="9"/>
  <c r="A1198" i="9"/>
  <c r="E1197" i="9"/>
  <c r="B1197" i="9"/>
  <c r="Q1197" i="9"/>
  <c r="C1197" i="9"/>
  <c r="R1191" i="9" l="1"/>
  <c r="D1198" i="9"/>
  <c r="K1198" i="9"/>
  <c r="C1198" i="9"/>
  <c r="B1198" i="9"/>
  <c r="P1198" i="9"/>
  <c r="H1198" i="9"/>
  <c r="J1198" i="9" s="1"/>
  <c r="I1198" i="9"/>
  <c r="G1198" i="9"/>
  <c r="F1198" i="9"/>
  <c r="A1199" i="9"/>
  <c r="E1198" i="9"/>
  <c r="Q1198" i="9"/>
  <c r="N1198" i="9"/>
  <c r="O1198" i="9"/>
  <c r="M1198" i="9"/>
  <c r="L1197" i="9"/>
  <c r="P1199" i="9" l="1"/>
  <c r="H1199" i="9"/>
  <c r="J1199" i="9" s="1"/>
  <c r="O1199" i="9"/>
  <c r="G1199" i="9"/>
  <c r="N1199" i="9"/>
  <c r="F1199" i="9"/>
  <c r="D1199" i="9"/>
  <c r="A1200" i="9"/>
  <c r="E1199" i="9"/>
  <c r="C1199" i="9"/>
  <c r="B1199" i="9"/>
  <c r="Q1199" i="9"/>
  <c r="M1199" i="9"/>
  <c r="K1199" i="9"/>
  <c r="I1199" i="9"/>
  <c r="L1198" i="9"/>
  <c r="L1199" i="9" l="1"/>
  <c r="D1200" i="9"/>
  <c r="K1200" i="9"/>
  <c r="C1200" i="9"/>
  <c r="B1200" i="9"/>
  <c r="P1200" i="9"/>
  <c r="H1200" i="9"/>
  <c r="J1200" i="9" s="1"/>
  <c r="Q1200" i="9"/>
  <c r="O1200" i="9"/>
  <c r="N1200" i="9"/>
  <c r="M1200" i="9"/>
  <c r="I1200" i="9"/>
  <c r="F1200" i="9"/>
  <c r="A1201" i="9"/>
  <c r="G1200" i="9"/>
  <c r="E1200" i="9"/>
  <c r="R1199" i="9" l="1"/>
  <c r="R1194" i="9"/>
  <c r="L1200" i="9"/>
  <c r="P1201" i="9"/>
  <c r="H1201" i="9"/>
  <c r="J1201" i="9" s="1"/>
  <c r="O1201" i="9"/>
  <c r="G1201" i="9"/>
  <c r="N1201" i="9"/>
  <c r="F1201" i="9"/>
  <c r="D1201" i="9"/>
  <c r="M1201" i="9"/>
  <c r="K1201" i="9"/>
  <c r="I1201" i="9"/>
  <c r="A1202" i="9"/>
  <c r="E1201" i="9"/>
  <c r="B1201" i="9"/>
  <c r="Q1201" i="9"/>
  <c r="C1201" i="9"/>
  <c r="R1200" i="9" l="1"/>
  <c r="R1195" i="9"/>
  <c r="D1202" i="9"/>
  <c r="K1202" i="9"/>
  <c r="C1202" i="9"/>
  <c r="B1202" i="9"/>
  <c r="P1202" i="9"/>
  <c r="H1202" i="9"/>
  <c r="J1202" i="9" s="1"/>
  <c r="I1202" i="9"/>
  <c r="G1202" i="9"/>
  <c r="F1202" i="9"/>
  <c r="A1203" i="9"/>
  <c r="E1202" i="9"/>
  <c r="Q1202" i="9"/>
  <c r="N1202" i="9"/>
  <c r="O1202" i="9"/>
  <c r="M1202" i="9"/>
  <c r="L1201" i="9"/>
  <c r="R1196" i="9" l="1"/>
  <c r="P1203" i="9"/>
  <c r="H1203" i="9"/>
  <c r="J1203" i="9" s="1"/>
  <c r="O1203" i="9"/>
  <c r="G1203" i="9"/>
  <c r="N1203" i="9"/>
  <c r="F1203" i="9"/>
  <c r="D1203" i="9"/>
  <c r="A1204" i="9"/>
  <c r="E1203" i="9"/>
  <c r="C1203" i="9"/>
  <c r="B1203" i="9"/>
  <c r="Q1203" i="9"/>
  <c r="M1203" i="9"/>
  <c r="K1203" i="9"/>
  <c r="I1203" i="9"/>
  <c r="L1202" i="9"/>
  <c r="R1197" i="9" l="1"/>
  <c r="L1203" i="9"/>
  <c r="D1204" i="9"/>
  <c r="K1204" i="9"/>
  <c r="C1204" i="9"/>
  <c r="B1204" i="9"/>
  <c r="P1204" i="9"/>
  <c r="H1204" i="9"/>
  <c r="J1204" i="9" s="1"/>
  <c r="Q1204" i="9"/>
  <c r="O1204" i="9"/>
  <c r="N1204" i="9"/>
  <c r="M1204" i="9"/>
  <c r="I1204" i="9"/>
  <c r="F1204" i="9"/>
  <c r="E1204" i="9"/>
  <c r="A1205" i="9"/>
  <c r="G1204" i="9"/>
  <c r="R1198" i="9" l="1"/>
  <c r="P1205" i="9"/>
  <c r="H1205" i="9"/>
  <c r="J1205" i="9" s="1"/>
  <c r="O1205" i="9"/>
  <c r="G1205" i="9"/>
  <c r="N1205" i="9"/>
  <c r="F1205" i="9"/>
  <c r="D1205" i="9"/>
  <c r="M1205" i="9"/>
  <c r="K1205" i="9"/>
  <c r="I1205" i="9"/>
  <c r="A1206" i="9"/>
  <c r="E1205" i="9"/>
  <c r="B1205" i="9"/>
  <c r="Q1205" i="9"/>
  <c r="C1205" i="9"/>
  <c r="L1204" i="9"/>
  <c r="D1206" i="9" l="1"/>
  <c r="K1206" i="9"/>
  <c r="C1206" i="9"/>
  <c r="B1206" i="9"/>
  <c r="P1206" i="9"/>
  <c r="H1206" i="9"/>
  <c r="J1206" i="9" s="1"/>
  <c r="I1206" i="9"/>
  <c r="G1206" i="9"/>
  <c r="F1206" i="9"/>
  <c r="A1207" i="9"/>
  <c r="E1206" i="9"/>
  <c r="Q1206" i="9"/>
  <c r="N1206" i="9"/>
  <c r="O1206" i="9"/>
  <c r="M1206" i="9"/>
  <c r="L1205" i="9"/>
  <c r="P1207" i="9" l="1"/>
  <c r="H1207" i="9"/>
  <c r="J1207" i="9" s="1"/>
  <c r="O1207" i="9"/>
  <c r="G1207" i="9"/>
  <c r="N1207" i="9"/>
  <c r="F1207" i="9"/>
  <c r="D1207" i="9"/>
  <c r="A1208" i="9"/>
  <c r="E1207" i="9"/>
  <c r="C1207" i="9"/>
  <c r="B1207" i="9"/>
  <c r="Q1207" i="9"/>
  <c r="M1207" i="9"/>
  <c r="I1207" i="9"/>
  <c r="K1207" i="9"/>
  <c r="L1206" i="9"/>
  <c r="R1206" i="9" l="1"/>
  <c r="R1201" i="9"/>
  <c r="L1207" i="9"/>
  <c r="D1208" i="9"/>
  <c r="K1208" i="9"/>
  <c r="C1208" i="9"/>
  <c r="B1208" i="9"/>
  <c r="P1208" i="9"/>
  <c r="H1208" i="9"/>
  <c r="J1208" i="9" s="1"/>
  <c r="Q1208" i="9"/>
  <c r="O1208" i="9"/>
  <c r="N1208" i="9"/>
  <c r="M1208" i="9"/>
  <c r="I1208" i="9"/>
  <c r="F1208" i="9"/>
  <c r="A1209" i="9"/>
  <c r="G1208" i="9"/>
  <c r="E1208" i="9"/>
  <c r="R1207" i="9" l="1"/>
  <c r="R1202" i="9"/>
  <c r="L1208" i="9"/>
  <c r="P1209" i="9"/>
  <c r="H1209" i="9"/>
  <c r="J1209" i="9" s="1"/>
  <c r="O1209" i="9"/>
  <c r="G1209" i="9"/>
  <c r="N1209" i="9"/>
  <c r="F1209" i="9"/>
  <c r="D1209" i="9"/>
  <c r="M1209" i="9"/>
  <c r="K1209" i="9"/>
  <c r="I1209" i="9"/>
  <c r="A1210" i="9"/>
  <c r="E1209" i="9"/>
  <c r="B1209" i="9"/>
  <c r="Q1209" i="9"/>
  <c r="C1209" i="9"/>
  <c r="R1203" i="9" l="1"/>
  <c r="D1210" i="9"/>
  <c r="K1210" i="9"/>
  <c r="C1210" i="9"/>
  <c r="B1210" i="9"/>
  <c r="P1210" i="9"/>
  <c r="H1210" i="9"/>
  <c r="J1210" i="9" s="1"/>
  <c r="I1210" i="9"/>
  <c r="G1210" i="9"/>
  <c r="F1210" i="9"/>
  <c r="A1211" i="9"/>
  <c r="E1210" i="9"/>
  <c r="Q1210" i="9"/>
  <c r="N1210" i="9"/>
  <c r="M1210" i="9"/>
  <c r="O1210" i="9"/>
  <c r="L1209" i="9"/>
  <c r="R1204" i="9" l="1"/>
  <c r="P1211" i="9"/>
  <c r="H1211" i="9"/>
  <c r="J1211" i="9" s="1"/>
  <c r="O1211" i="9"/>
  <c r="G1211" i="9"/>
  <c r="N1211" i="9"/>
  <c r="F1211" i="9"/>
  <c r="D1211" i="9"/>
  <c r="A1212" i="9"/>
  <c r="E1211" i="9"/>
  <c r="C1211" i="9"/>
  <c r="B1211" i="9"/>
  <c r="Q1211" i="9"/>
  <c r="M1211" i="9"/>
  <c r="K1211" i="9"/>
  <c r="I1211" i="9"/>
  <c r="L1210" i="9"/>
  <c r="R1205" i="9" l="1"/>
  <c r="L1211" i="9"/>
  <c r="D1212" i="9"/>
  <c r="K1212" i="9"/>
  <c r="C1212" i="9"/>
  <c r="B1212" i="9"/>
  <c r="P1212" i="9"/>
  <c r="H1212" i="9"/>
  <c r="J1212" i="9" s="1"/>
  <c r="Q1212" i="9"/>
  <c r="O1212" i="9"/>
  <c r="N1212" i="9"/>
  <c r="M1212" i="9"/>
  <c r="I1212" i="9"/>
  <c r="F1212" i="9"/>
  <c r="A1213" i="9"/>
  <c r="G1212" i="9"/>
  <c r="E1212" i="9"/>
  <c r="L1212" i="9" l="1"/>
  <c r="P1213" i="9"/>
  <c r="H1213" i="9"/>
  <c r="J1213" i="9" s="1"/>
  <c r="O1213" i="9"/>
  <c r="G1213" i="9"/>
  <c r="N1213" i="9"/>
  <c r="F1213" i="9"/>
  <c r="D1213" i="9"/>
  <c r="M1213" i="9"/>
  <c r="K1213" i="9"/>
  <c r="I1213" i="9"/>
  <c r="A1214" i="9"/>
  <c r="E1213" i="9"/>
  <c r="B1213" i="9"/>
  <c r="Q1213" i="9"/>
  <c r="C1213" i="9"/>
  <c r="D1214" i="9" l="1"/>
  <c r="K1214" i="9"/>
  <c r="C1214" i="9"/>
  <c r="B1214" i="9"/>
  <c r="P1214" i="9"/>
  <c r="H1214" i="9"/>
  <c r="J1214" i="9" s="1"/>
  <c r="I1214" i="9"/>
  <c r="G1214" i="9"/>
  <c r="F1214" i="9"/>
  <c r="A1215" i="9"/>
  <c r="E1214" i="9"/>
  <c r="Q1214" i="9"/>
  <c r="N1214" i="9"/>
  <c r="O1214" i="9"/>
  <c r="M1214" i="9"/>
  <c r="L1213" i="9"/>
  <c r="R1213" i="9" l="1"/>
  <c r="R1208" i="9"/>
  <c r="P1215" i="9"/>
  <c r="H1215" i="9"/>
  <c r="J1215" i="9" s="1"/>
  <c r="O1215" i="9"/>
  <c r="G1215" i="9"/>
  <c r="N1215" i="9"/>
  <c r="F1215" i="9"/>
  <c r="D1215" i="9"/>
  <c r="A1216" i="9"/>
  <c r="E1215" i="9"/>
  <c r="C1215" i="9"/>
  <c r="B1215" i="9"/>
  <c r="Q1215" i="9"/>
  <c r="M1215" i="9"/>
  <c r="K1215" i="9"/>
  <c r="I1215" i="9"/>
  <c r="L1214" i="9"/>
  <c r="R1214" i="9" l="1"/>
  <c r="R1209" i="9"/>
  <c r="L1215" i="9"/>
  <c r="D1216" i="9"/>
  <c r="K1216" i="9"/>
  <c r="C1216" i="9"/>
  <c r="B1216" i="9"/>
  <c r="P1216" i="9"/>
  <c r="H1216" i="9"/>
  <c r="J1216" i="9" s="1"/>
  <c r="Q1216" i="9"/>
  <c r="O1216" i="9"/>
  <c r="N1216" i="9"/>
  <c r="M1216" i="9"/>
  <c r="I1216" i="9"/>
  <c r="F1216" i="9"/>
  <c r="A1217" i="9"/>
  <c r="G1216" i="9"/>
  <c r="E1216" i="9"/>
  <c r="R1210" i="9" l="1"/>
  <c r="L1216" i="9"/>
  <c r="P1217" i="9"/>
  <c r="H1217" i="9"/>
  <c r="J1217" i="9" s="1"/>
  <c r="O1217" i="9"/>
  <c r="G1217" i="9"/>
  <c r="N1217" i="9"/>
  <c r="F1217" i="9"/>
  <c r="D1217" i="9"/>
  <c r="M1217" i="9"/>
  <c r="K1217" i="9"/>
  <c r="I1217" i="9"/>
  <c r="A1218" i="9"/>
  <c r="E1217" i="9"/>
  <c r="B1217" i="9"/>
  <c r="Q1217" i="9"/>
  <c r="C1217" i="9"/>
  <c r="R1211" i="9" l="1"/>
  <c r="D1218" i="9"/>
  <c r="K1218" i="9"/>
  <c r="C1218" i="9"/>
  <c r="B1218" i="9"/>
  <c r="P1218" i="9"/>
  <c r="H1218" i="9"/>
  <c r="J1218" i="9" s="1"/>
  <c r="I1218" i="9"/>
  <c r="G1218" i="9"/>
  <c r="F1218" i="9"/>
  <c r="A1219" i="9"/>
  <c r="E1218" i="9"/>
  <c r="Q1218" i="9"/>
  <c r="N1218" i="9"/>
  <c r="O1218" i="9"/>
  <c r="M1218" i="9"/>
  <c r="L1217" i="9"/>
  <c r="R1212" i="9" l="1"/>
  <c r="P1219" i="9"/>
  <c r="H1219" i="9"/>
  <c r="J1219" i="9" s="1"/>
  <c r="O1219" i="9"/>
  <c r="G1219" i="9"/>
  <c r="N1219" i="9"/>
  <c r="F1219" i="9"/>
  <c r="D1219" i="9"/>
  <c r="A1220" i="9"/>
  <c r="E1219" i="9"/>
  <c r="C1219" i="9"/>
  <c r="B1219" i="9"/>
  <c r="Q1219" i="9"/>
  <c r="M1219" i="9"/>
  <c r="K1219" i="9"/>
  <c r="I1219" i="9"/>
  <c r="L1218" i="9"/>
  <c r="L1219" i="9" l="1"/>
  <c r="D1220" i="9"/>
  <c r="K1220" i="9"/>
  <c r="C1220" i="9"/>
  <c r="B1220" i="9"/>
  <c r="P1220" i="9"/>
  <c r="H1220" i="9"/>
  <c r="J1220" i="9" s="1"/>
  <c r="Q1220" i="9"/>
  <c r="O1220" i="9"/>
  <c r="N1220" i="9"/>
  <c r="M1220" i="9"/>
  <c r="I1220" i="9"/>
  <c r="F1220" i="9"/>
  <c r="E1220" i="9"/>
  <c r="A1221" i="9"/>
  <c r="G1220" i="9"/>
  <c r="O1221" i="9" l="1"/>
  <c r="Q1221" i="9"/>
  <c r="H1221" i="9"/>
  <c r="J1221" i="9" s="1"/>
  <c r="P1221" i="9"/>
  <c r="G1221" i="9"/>
  <c r="N1221" i="9"/>
  <c r="F1221" i="9"/>
  <c r="A1222" i="9"/>
  <c r="D1221" i="9"/>
  <c r="M1221" i="9"/>
  <c r="K1221" i="9"/>
  <c r="I1221" i="9"/>
  <c r="E1221" i="9"/>
  <c r="B1221" i="9"/>
  <c r="C1221" i="9"/>
  <c r="L1220" i="9"/>
  <c r="R1220" i="9" l="1"/>
  <c r="R1215" i="9"/>
  <c r="K1222" i="9"/>
  <c r="C1222" i="9"/>
  <c r="Q1222" i="9"/>
  <c r="I1222" i="9"/>
  <c r="O1222" i="9"/>
  <c r="G1222" i="9"/>
  <c r="F1222" i="9"/>
  <c r="E1222" i="9"/>
  <c r="P1222" i="9"/>
  <c r="D1222" i="9"/>
  <c r="M1222" i="9"/>
  <c r="N1222" i="9"/>
  <c r="H1222" i="9"/>
  <c r="J1222" i="9" s="1"/>
  <c r="L1222" i="9" s="1"/>
  <c r="B1222" i="9"/>
  <c r="A1223" i="9"/>
  <c r="L1221" i="9"/>
  <c r="R1217" i="9" l="1"/>
  <c r="R1221" i="9"/>
  <c r="R1216" i="9"/>
  <c r="O1223" i="9"/>
  <c r="G1223" i="9"/>
  <c r="N1223" i="9"/>
  <c r="F1223" i="9"/>
  <c r="A1224" i="9"/>
  <c r="M1223" i="9"/>
  <c r="E1223" i="9"/>
  <c r="K1223" i="9"/>
  <c r="C1223" i="9"/>
  <c r="P1223" i="9"/>
  <c r="H1223" i="9"/>
  <c r="J1223" i="9" s="1"/>
  <c r="Q1223" i="9"/>
  <c r="I1223" i="9"/>
  <c r="B1223" i="9"/>
  <c r="D1223" i="9"/>
  <c r="K1224" i="9" l="1"/>
  <c r="C1224" i="9"/>
  <c r="B1224" i="9"/>
  <c r="Q1224" i="9"/>
  <c r="I1224" i="9"/>
  <c r="O1224" i="9"/>
  <c r="G1224" i="9"/>
  <c r="H1224" i="9"/>
  <c r="J1224" i="9" s="1"/>
  <c r="F1224" i="9"/>
  <c r="D1224" i="9"/>
  <c r="E1224" i="9"/>
  <c r="A1225" i="9"/>
  <c r="N1224" i="9"/>
  <c r="M1224" i="9"/>
  <c r="P1224" i="9"/>
  <c r="L1223" i="9"/>
  <c r="R1218" i="9" l="1"/>
  <c r="O1225" i="9"/>
  <c r="G1225" i="9"/>
  <c r="N1225" i="9"/>
  <c r="F1225" i="9"/>
  <c r="A1226" i="9"/>
  <c r="M1225" i="9"/>
  <c r="E1225" i="9"/>
  <c r="K1225" i="9"/>
  <c r="C1225" i="9"/>
  <c r="H1225" i="9"/>
  <c r="J1225" i="9" s="1"/>
  <c r="D1225" i="9"/>
  <c r="B1225" i="9"/>
  <c r="P1225" i="9"/>
  <c r="Q1225" i="9"/>
  <c r="I1225" i="9"/>
  <c r="L1224" i="9"/>
  <c r="R1219" i="9" l="1"/>
  <c r="K1226" i="9"/>
  <c r="C1226" i="9"/>
  <c r="B1226" i="9"/>
  <c r="Q1226" i="9"/>
  <c r="I1226" i="9"/>
  <c r="O1226" i="9"/>
  <c r="G1226" i="9"/>
  <c r="D1226" i="9"/>
  <c r="P1226" i="9"/>
  <c r="N1226" i="9"/>
  <c r="A1227" i="9"/>
  <c r="M1226" i="9"/>
  <c r="F1226" i="9"/>
  <c r="H1226" i="9"/>
  <c r="J1226" i="9" s="1"/>
  <c r="E1226" i="9"/>
  <c r="L1225" i="9"/>
  <c r="O1227" i="9" l="1"/>
  <c r="G1227" i="9"/>
  <c r="N1227" i="9"/>
  <c r="F1227" i="9"/>
  <c r="A1228" i="9"/>
  <c r="M1227" i="9"/>
  <c r="E1227" i="9"/>
  <c r="K1227" i="9"/>
  <c r="C1227" i="9"/>
  <c r="P1227" i="9"/>
  <c r="H1227" i="9"/>
  <c r="J1227" i="9" s="1"/>
  <c r="L1227" i="9" s="1"/>
  <c r="I1227" i="9"/>
  <c r="D1227" i="9"/>
  <c r="B1227" i="9"/>
  <c r="Q1227" i="9"/>
  <c r="L1226" i="9"/>
  <c r="R1227" i="9" l="1"/>
  <c r="R1222" i="9"/>
  <c r="K1228" i="9"/>
  <c r="C1228" i="9"/>
  <c r="B1228" i="9"/>
  <c r="Q1228" i="9"/>
  <c r="I1228" i="9"/>
  <c r="O1228" i="9"/>
  <c r="G1228" i="9"/>
  <c r="H1228" i="9"/>
  <c r="J1228" i="9" s="1"/>
  <c r="F1228" i="9"/>
  <c r="D1228" i="9"/>
  <c r="A1229" i="9"/>
  <c r="P1228" i="9"/>
  <c r="N1228" i="9"/>
  <c r="M1228" i="9"/>
  <c r="E1228" i="9"/>
  <c r="O1229" i="9" l="1"/>
  <c r="G1229" i="9"/>
  <c r="N1229" i="9"/>
  <c r="F1229" i="9"/>
  <c r="A1230" i="9"/>
  <c r="M1229" i="9"/>
  <c r="E1229" i="9"/>
  <c r="K1229" i="9"/>
  <c r="C1229" i="9"/>
  <c r="H1229" i="9"/>
  <c r="J1229" i="9" s="1"/>
  <c r="D1229" i="9"/>
  <c r="B1229" i="9"/>
  <c r="P1229" i="9"/>
  <c r="Q1229" i="9"/>
  <c r="I1229" i="9"/>
  <c r="L1228" i="9"/>
  <c r="R1228" i="9" l="1"/>
  <c r="R1223" i="9"/>
  <c r="K1230" i="9"/>
  <c r="C1230" i="9"/>
  <c r="B1230" i="9"/>
  <c r="Q1230" i="9"/>
  <c r="I1230" i="9"/>
  <c r="O1230" i="9"/>
  <c r="G1230" i="9"/>
  <c r="D1230" i="9"/>
  <c r="P1230" i="9"/>
  <c r="N1230" i="9"/>
  <c r="M1230" i="9"/>
  <c r="H1230" i="9"/>
  <c r="J1230" i="9" s="1"/>
  <c r="L1230" i="9" s="1"/>
  <c r="F1230" i="9"/>
  <c r="E1230" i="9"/>
  <c r="A1231" i="9"/>
  <c r="L1229" i="9"/>
  <c r="R1225" i="9" l="1"/>
  <c r="R1224" i="9"/>
  <c r="O1231" i="9"/>
  <c r="G1231" i="9"/>
  <c r="N1231" i="9"/>
  <c r="F1231" i="9"/>
  <c r="A1232" i="9"/>
  <c r="M1231" i="9"/>
  <c r="E1231" i="9"/>
  <c r="K1231" i="9"/>
  <c r="C1231" i="9"/>
  <c r="P1231" i="9"/>
  <c r="H1231" i="9"/>
  <c r="J1231" i="9" s="1"/>
  <c r="Q1231" i="9"/>
  <c r="I1231" i="9"/>
  <c r="B1231" i="9"/>
  <c r="D1231" i="9"/>
  <c r="K1232" i="9" l="1"/>
  <c r="C1232" i="9"/>
  <c r="B1232" i="9"/>
  <c r="Q1232" i="9"/>
  <c r="I1232" i="9"/>
  <c r="O1232" i="9"/>
  <c r="G1232" i="9"/>
  <c r="H1232" i="9"/>
  <c r="J1232" i="9" s="1"/>
  <c r="L1232" i="9" s="1"/>
  <c r="F1232" i="9"/>
  <c r="D1232" i="9"/>
  <c r="E1232" i="9"/>
  <c r="A1233" i="9"/>
  <c r="N1232" i="9"/>
  <c r="P1232" i="9"/>
  <c r="M1232" i="9"/>
  <c r="L1231" i="9"/>
  <c r="R1226" i="9" l="1"/>
  <c r="O1233" i="9"/>
  <c r="G1233" i="9"/>
  <c r="N1233" i="9"/>
  <c r="F1233" i="9"/>
  <c r="A1234" i="9"/>
  <c r="M1233" i="9"/>
  <c r="E1233" i="9"/>
  <c r="K1233" i="9"/>
  <c r="C1233" i="9"/>
  <c r="H1233" i="9"/>
  <c r="J1233" i="9" s="1"/>
  <c r="D1233" i="9"/>
  <c r="B1233" i="9"/>
  <c r="P1233" i="9"/>
  <c r="Q1233" i="9"/>
  <c r="I1233" i="9"/>
  <c r="K1234" i="9" l="1"/>
  <c r="C1234" i="9"/>
  <c r="B1234" i="9"/>
  <c r="Q1234" i="9"/>
  <c r="I1234" i="9"/>
  <c r="O1234" i="9"/>
  <c r="G1234" i="9"/>
  <c r="D1234" i="9"/>
  <c r="P1234" i="9"/>
  <c r="N1234" i="9"/>
  <c r="A1235" i="9"/>
  <c r="M1234" i="9"/>
  <c r="F1234" i="9"/>
  <c r="H1234" i="9"/>
  <c r="J1234" i="9" s="1"/>
  <c r="E1234" i="9"/>
  <c r="L1233" i="9"/>
  <c r="O1235" i="9" l="1"/>
  <c r="G1235" i="9"/>
  <c r="N1235" i="9"/>
  <c r="F1235" i="9"/>
  <c r="A1236" i="9"/>
  <c r="M1235" i="9"/>
  <c r="E1235" i="9"/>
  <c r="K1235" i="9"/>
  <c r="C1235" i="9"/>
  <c r="P1235" i="9"/>
  <c r="H1235" i="9"/>
  <c r="J1235" i="9" s="1"/>
  <c r="I1235" i="9"/>
  <c r="D1235" i="9"/>
  <c r="B1235" i="9"/>
  <c r="Q1235" i="9"/>
  <c r="L1234" i="9"/>
  <c r="R1234" i="9" l="1"/>
  <c r="R1229" i="9"/>
  <c r="K1236" i="9"/>
  <c r="C1236" i="9"/>
  <c r="B1236" i="9"/>
  <c r="Q1236" i="9"/>
  <c r="I1236" i="9"/>
  <c r="O1236" i="9"/>
  <c r="G1236" i="9"/>
  <c r="H1236" i="9"/>
  <c r="J1236" i="9" s="1"/>
  <c r="F1236" i="9"/>
  <c r="D1236" i="9"/>
  <c r="A1237" i="9"/>
  <c r="P1236" i="9"/>
  <c r="N1236" i="9"/>
  <c r="M1236" i="9"/>
  <c r="E1236" i="9"/>
  <c r="L1235" i="9"/>
  <c r="R1235" i="9" l="1"/>
  <c r="R1230" i="9"/>
  <c r="O1237" i="9"/>
  <c r="G1237" i="9"/>
  <c r="N1237" i="9"/>
  <c r="F1237" i="9"/>
  <c r="A1238" i="9"/>
  <c r="M1237" i="9"/>
  <c r="E1237" i="9"/>
  <c r="K1237" i="9"/>
  <c r="C1237" i="9"/>
  <c r="H1237" i="9"/>
  <c r="J1237" i="9" s="1"/>
  <c r="D1237" i="9"/>
  <c r="B1237" i="9"/>
  <c r="P1237" i="9"/>
  <c r="Q1237" i="9"/>
  <c r="I1237" i="9"/>
  <c r="L1236" i="9"/>
  <c r="R1231" i="9" l="1"/>
  <c r="K1238" i="9"/>
  <c r="C1238" i="9"/>
  <c r="B1238" i="9"/>
  <c r="Q1238" i="9"/>
  <c r="I1238" i="9"/>
  <c r="O1238" i="9"/>
  <c r="G1238" i="9"/>
  <c r="D1238" i="9"/>
  <c r="P1238" i="9"/>
  <c r="N1238" i="9"/>
  <c r="M1238" i="9"/>
  <c r="H1238" i="9"/>
  <c r="J1238" i="9" s="1"/>
  <c r="L1238" i="9" s="1"/>
  <c r="F1238" i="9"/>
  <c r="E1238" i="9"/>
  <c r="A1239" i="9"/>
  <c r="L1237" i="9"/>
  <c r="R1232" i="9" l="1"/>
  <c r="R1233" i="9"/>
  <c r="O1239" i="9"/>
  <c r="G1239" i="9"/>
  <c r="N1239" i="9"/>
  <c r="F1239" i="9"/>
  <c r="A1240" i="9"/>
  <c r="M1239" i="9"/>
  <c r="E1239" i="9"/>
  <c r="K1239" i="9"/>
  <c r="C1239" i="9"/>
  <c r="P1239" i="9"/>
  <c r="H1239" i="9"/>
  <c r="J1239" i="9" s="1"/>
  <c r="Q1239" i="9"/>
  <c r="I1239" i="9"/>
  <c r="D1239" i="9"/>
  <c r="B1239" i="9"/>
  <c r="K1240" i="9" l="1"/>
  <c r="C1240" i="9"/>
  <c r="B1240" i="9"/>
  <c r="Q1240" i="9"/>
  <c r="I1240" i="9"/>
  <c r="O1240" i="9"/>
  <c r="G1240" i="9"/>
  <c r="H1240" i="9"/>
  <c r="J1240" i="9" s="1"/>
  <c r="F1240" i="9"/>
  <c r="D1240" i="9"/>
  <c r="E1240" i="9"/>
  <c r="A1241" i="9"/>
  <c r="P1240" i="9"/>
  <c r="N1240" i="9"/>
  <c r="M1240" i="9"/>
  <c r="L1239" i="9"/>
  <c r="O1241" i="9" l="1"/>
  <c r="G1241" i="9"/>
  <c r="N1241" i="9"/>
  <c r="F1241" i="9"/>
  <c r="A1242" i="9"/>
  <c r="M1241" i="9"/>
  <c r="E1241" i="9"/>
  <c r="K1241" i="9"/>
  <c r="C1241" i="9"/>
  <c r="H1241" i="9"/>
  <c r="J1241" i="9" s="1"/>
  <c r="D1241" i="9"/>
  <c r="B1241" i="9"/>
  <c r="P1241" i="9"/>
  <c r="Q1241" i="9"/>
  <c r="I1241" i="9"/>
  <c r="L1240" i="9"/>
  <c r="K1242" i="9" l="1"/>
  <c r="C1242" i="9"/>
  <c r="B1242" i="9"/>
  <c r="Q1242" i="9"/>
  <c r="I1242" i="9"/>
  <c r="O1242" i="9"/>
  <c r="G1242" i="9"/>
  <c r="D1242" i="9"/>
  <c r="P1242" i="9"/>
  <c r="N1242" i="9"/>
  <c r="A1243" i="9"/>
  <c r="M1242" i="9"/>
  <c r="H1242" i="9"/>
  <c r="J1242" i="9" s="1"/>
  <c r="L1242" i="9" s="1"/>
  <c r="F1242" i="9"/>
  <c r="E1242" i="9"/>
  <c r="L1241" i="9"/>
  <c r="R1242" i="9" l="1"/>
  <c r="R1237" i="9"/>
  <c r="R1241" i="9"/>
  <c r="R1236" i="9"/>
  <c r="O1243" i="9"/>
  <c r="G1243" i="9"/>
  <c r="N1243" i="9"/>
  <c r="F1243" i="9"/>
  <c r="A1244" i="9"/>
  <c r="M1243" i="9"/>
  <c r="E1243" i="9"/>
  <c r="K1243" i="9"/>
  <c r="C1243" i="9"/>
  <c r="P1243" i="9"/>
  <c r="H1243" i="9"/>
  <c r="J1243" i="9" s="1"/>
  <c r="L1243" i="9" s="1"/>
  <c r="I1243" i="9"/>
  <c r="D1243" i="9"/>
  <c r="B1243" i="9"/>
  <c r="Q1243" i="9"/>
  <c r="R1238" i="9" l="1"/>
  <c r="K1244" i="9"/>
  <c r="C1244" i="9"/>
  <c r="B1244" i="9"/>
  <c r="Q1244" i="9"/>
  <c r="I1244" i="9"/>
  <c r="O1244" i="9"/>
  <c r="G1244" i="9"/>
  <c r="H1244" i="9"/>
  <c r="J1244" i="9" s="1"/>
  <c r="F1244" i="9"/>
  <c r="D1244" i="9"/>
  <c r="A1245" i="9"/>
  <c r="P1244" i="9"/>
  <c r="N1244" i="9"/>
  <c r="M1244" i="9"/>
  <c r="E1244" i="9"/>
  <c r="O1245" i="9" l="1"/>
  <c r="G1245" i="9"/>
  <c r="N1245" i="9"/>
  <c r="F1245" i="9"/>
  <c r="A1246" i="9"/>
  <c r="M1245" i="9"/>
  <c r="E1245" i="9"/>
  <c r="K1245" i="9"/>
  <c r="C1245" i="9"/>
  <c r="H1245" i="9"/>
  <c r="J1245" i="9" s="1"/>
  <c r="D1245" i="9"/>
  <c r="B1245" i="9"/>
  <c r="P1245" i="9"/>
  <c r="Q1245" i="9"/>
  <c r="I1245" i="9"/>
  <c r="L1244" i="9"/>
  <c r="R1239" i="9" l="1"/>
  <c r="K1246" i="9"/>
  <c r="C1246" i="9"/>
  <c r="B1246" i="9"/>
  <c r="Q1246" i="9"/>
  <c r="I1246" i="9"/>
  <c r="O1246" i="9"/>
  <c r="G1246" i="9"/>
  <c r="D1246" i="9"/>
  <c r="P1246" i="9"/>
  <c r="N1246" i="9"/>
  <c r="M1246" i="9"/>
  <c r="H1246" i="9"/>
  <c r="J1246" i="9" s="1"/>
  <c r="F1246" i="9"/>
  <c r="E1246" i="9"/>
  <c r="A1247" i="9"/>
  <c r="L1245" i="9"/>
  <c r="R1240" i="9" l="1"/>
  <c r="L1246" i="9"/>
  <c r="O1247" i="9"/>
  <c r="G1247" i="9"/>
  <c r="N1247" i="9"/>
  <c r="F1247" i="9"/>
  <c r="A1248" i="9"/>
  <c r="M1247" i="9"/>
  <c r="E1247" i="9"/>
  <c r="K1247" i="9"/>
  <c r="C1247" i="9"/>
  <c r="P1247" i="9"/>
  <c r="H1247" i="9"/>
  <c r="J1247" i="9" s="1"/>
  <c r="Q1247" i="9"/>
  <c r="I1247" i="9"/>
  <c r="D1247" i="9"/>
  <c r="B1247" i="9"/>
  <c r="K1248" i="9" l="1"/>
  <c r="C1248" i="9"/>
  <c r="B1248" i="9"/>
  <c r="Q1248" i="9"/>
  <c r="I1248" i="9"/>
  <c r="O1248" i="9"/>
  <c r="G1248" i="9"/>
  <c r="H1248" i="9"/>
  <c r="J1248" i="9" s="1"/>
  <c r="F1248" i="9"/>
  <c r="D1248" i="9"/>
  <c r="E1248" i="9"/>
  <c r="A1249" i="9"/>
  <c r="P1248" i="9"/>
  <c r="N1248" i="9"/>
  <c r="M1248" i="9"/>
  <c r="L1247" i="9"/>
  <c r="L1248" i="9" l="1"/>
  <c r="O1249" i="9"/>
  <c r="G1249" i="9"/>
  <c r="N1249" i="9"/>
  <c r="F1249" i="9"/>
  <c r="A1250" i="9"/>
  <c r="M1249" i="9"/>
  <c r="E1249" i="9"/>
  <c r="K1249" i="9"/>
  <c r="C1249" i="9"/>
  <c r="H1249" i="9"/>
  <c r="J1249" i="9" s="1"/>
  <c r="D1249" i="9"/>
  <c r="B1249" i="9"/>
  <c r="P1249" i="9"/>
  <c r="Q1249" i="9"/>
  <c r="I1249" i="9"/>
  <c r="R1248" i="9" l="1"/>
  <c r="R1243" i="9"/>
  <c r="K1250" i="9"/>
  <c r="C1250" i="9"/>
  <c r="B1250" i="9"/>
  <c r="Q1250" i="9"/>
  <c r="I1250" i="9"/>
  <c r="O1250" i="9"/>
  <c r="G1250" i="9"/>
  <c r="D1250" i="9"/>
  <c r="P1250" i="9"/>
  <c r="N1250" i="9"/>
  <c r="A1251" i="9"/>
  <c r="M1250" i="9"/>
  <c r="H1250" i="9"/>
  <c r="J1250" i="9" s="1"/>
  <c r="L1250" i="9" s="1"/>
  <c r="F1250" i="9"/>
  <c r="E1250" i="9"/>
  <c r="L1249" i="9"/>
  <c r="R1245" i="9" l="1"/>
  <c r="R1249" i="9"/>
  <c r="R1244" i="9"/>
  <c r="O1251" i="9"/>
  <c r="G1251" i="9"/>
  <c r="N1251" i="9"/>
  <c r="F1251" i="9"/>
  <c r="A1252" i="9"/>
  <c r="M1251" i="9"/>
  <c r="E1251" i="9"/>
  <c r="K1251" i="9"/>
  <c r="C1251" i="9"/>
  <c r="P1251" i="9"/>
  <c r="H1251" i="9"/>
  <c r="J1251" i="9" s="1"/>
  <c r="I1251" i="9"/>
  <c r="D1251" i="9"/>
  <c r="B1251" i="9"/>
  <c r="Q1251" i="9"/>
  <c r="K1252" i="9" l="1"/>
  <c r="C1252" i="9"/>
  <c r="B1252" i="9"/>
  <c r="Q1252" i="9"/>
  <c r="I1252" i="9"/>
  <c r="O1252" i="9"/>
  <c r="G1252" i="9"/>
  <c r="H1252" i="9"/>
  <c r="J1252" i="9" s="1"/>
  <c r="F1252" i="9"/>
  <c r="D1252" i="9"/>
  <c r="A1253" i="9"/>
  <c r="P1252" i="9"/>
  <c r="N1252" i="9"/>
  <c r="M1252" i="9"/>
  <c r="E1252" i="9"/>
  <c r="L1251" i="9"/>
  <c r="R1246" i="9" l="1"/>
  <c r="O1253" i="9"/>
  <c r="G1253" i="9"/>
  <c r="N1253" i="9"/>
  <c r="F1253" i="9"/>
  <c r="A1254" i="9"/>
  <c r="M1253" i="9"/>
  <c r="E1253" i="9"/>
  <c r="K1253" i="9"/>
  <c r="C1253" i="9"/>
  <c r="H1253" i="9"/>
  <c r="J1253" i="9" s="1"/>
  <c r="D1253" i="9"/>
  <c r="B1253" i="9"/>
  <c r="P1253" i="9"/>
  <c r="Q1253" i="9"/>
  <c r="I1253" i="9"/>
  <c r="L1252" i="9"/>
  <c r="R1247" i="9" l="1"/>
  <c r="K1254" i="9"/>
  <c r="C1254" i="9"/>
  <c r="B1254" i="9"/>
  <c r="Q1254" i="9"/>
  <c r="I1254" i="9"/>
  <c r="O1254" i="9"/>
  <c r="G1254" i="9"/>
  <c r="D1254" i="9"/>
  <c r="P1254" i="9"/>
  <c r="N1254" i="9"/>
  <c r="M1254" i="9"/>
  <c r="H1254" i="9"/>
  <c r="J1254" i="9" s="1"/>
  <c r="L1254" i="9" s="1"/>
  <c r="F1254" i="9"/>
  <c r="E1254" i="9"/>
  <c r="A1255" i="9"/>
  <c r="L1253" i="9"/>
  <c r="O1255" i="9" l="1"/>
  <c r="G1255" i="9"/>
  <c r="N1255" i="9"/>
  <c r="F1255" i="9"/>
  <c r="A1256" i="9"/>
  <c r="M1255" i="9"/>
  <c r="E1255" i="9"/>
  <c r="K1255" i="9"/>
  <c r="C1255" i="9"/>
  <c r="P1255" i="9"/>
  <c r="H1255" i="9"/>
  <c r="J1255" i="9" s="1"/>
  <c r="Q1255" i="9"/>
  <c r="I1255" i="9"/>
  <c r="D1255" i="9"/>
  <c r="B1255" i="9"/>
  <c r="K1256" i="9" l="1"/>
  <c r="C1256" i="9"/>
  <c r="B1256" i="9"/>
  <c r="Q1256" i="9"/>
  <c r="I1256" i="9"/>
  <c r="O1256" i="9"/>
  <c r="G1256" i="9"/>
  <c r="H1256" i="9"/>
  <c r="J1256" i="9" s="1"/>
  <c r="F1256" i="9"/>
  <c r="D1256" i="9"/>
  <c r="E1256" i="9"/>
  <c r="A1257" i="9"/>
  <c r="P1256" i="9"/>
  <c r="N1256" i="9"/>
  <c r="M1256" i="9"/>
  <c r="L1255" i="9"/>
  <c r="R1255" i="9" l="1"/>
  <c r="R1250" i="9"/>
  <c r="O1257" i="9"/>
  <c r="G1257" i="9"/>
  <c r="N1257" i="9"/>
  <c r="F1257" i="9"/>
  <c r="A1258" i="9"/>
  <c r="M1257" i="9"/>
  <c r="E1257" i="9"/>
  <c r="K1257" i="9"/>
  <c r="C1257" i="9"/>
  <c r="H1257" i="9"/>
  <c r="J1257" i="9" s="1"/>
  <c r="D1257" i="9"/>
  <c r="B1257" i="9"/>
  <c r="P1257" i="9"/>
  <c r="Q1257" i="9"/>
  <c r="I1257" i="9"/>
  <c r="L1256" i="9"/>
  <c r="R1256" i="9" l="1"/>
  <c r="R1251" i="9"/>
  <c r="K1258" i="9"/>
  <c r="C1258" i="9"/>
  <c r="B1258" i="9"/>
  <c r="Q1258" i="9"/>
  <c r="I1258" i="9"/>
  <c r="O1258" i="9"/>
  <c r="G1258" i="9"/>
  <c r="D1258" i="9"/>
  <c r="P1258" i="9"/>
  <c r="N1258" i="9"/>
  <c r="A1259" i="9"/>
  <c r="M1258" i="9"/>
  <c r="H1258" i="9"/>
  <c r="J1258" i="9" s="1"/>
  <c r="L1258" i="9" s="1"/>
  <c r="F1258" i="9"/>
  <c r="E1258" i="9"/>
  <c r="L1257" i="9"/>
  <c r="R1253" i="9" l="1"/>
  <c r="R1252" i="9"/>
  <c r="O1259" i="9"/>
  <c r="G1259" i="9"/>
  <c r="N1259" i="9"/>
  <c r="F1259" i="9"/>
  <c r="A1260" i="9"/>
  <c r="M1259" i="9"/>
  <c r="E1259" i="9"/>
  <c r="K1259" i="9"/>
  <c r="C1259" i="9"/>
  <c r="P1259" i="9"/>
  <c r="H1259" i="9"/>
  <c r="J1259" i="9" s="1"/>
  <c r="I1259" i="9"/>
  <c r="D1259" i="9"/>
  <c r="B1259" i="9"/>
  <c r="Q1259" i="9"/>
  <c r="K1260" i="9" l="1"/>
  <c r="C1260" i="9"/>
  <c r="B1260" i="9"/>
  <c r="Q1260" i="9"/>
  <c r="I1260" i="9"/>
  <c r="O1260" i="9"/>
  <c r="G1260" i="9"/>
  <c r="H1260" i="9"/>
  <c r="J1260" i="9" s="1"/>
  <c r="F1260" i="9"/>
  <c r="D1260" i="9"/>
  <c r="A1261" i="9"/>
  <c r="P1260" i="9"/>
  <c r="N1260" i="9"/>
  <c r="M1260" i="9"/>
  <c r="E1260" i="9"/>
  <c r="L1259" i="9"/>
  <c r="R1254" i="9" l="1"/>
  <c r="O1261" i="9"/>
  <c r="G1261" i="9"/>
  <c r="N1261" i="9"/>
  <c r="F1261" i="9"/>
  <c r="A1262" i="9"/>
  <c r="M1261" i="9"/>
  <c r="E1261" i="9"/>
  <c r="K1261" i="9"/>
  <c r="C1261" i="9"/>
  <c r="H1261" i="9"/>
  <c r="J1261" i="9" s="1"/>
  <c r="D1261" i="9"/>
  <c r="B1261" i="9"/>
  <c r="P1261" i="9"/>
  <c r="Q1261" i="9"/>
  <c r="I1261" i="9"/>
  <c r="L1260" i="9"/>
  <c r="K1262" i="9" l="1"/>
  <c r="C1262" i="9"/>
  <c r="B1262" i="9"/>
  <c r="Q1262" i="9"/>
  <c r="I1262" i="9"/>
  <c r="O1262" i="9"/>
  <c r="G1262" i="9"/>
  <c r="D1262" i="9"/>
  <c r="P1262" i="9"/>
  <c r="N1262" i="9"/>
  <c r="M1262" i="9"/>
  <c r="H1262" i="9"/>
  <c r="J1262" i="9" s="1"/>
  <c r="L1262" i="9" s="1"/>
  <c r="F1262" i="9"/>
  <c r="E1262" i="9"/>
  <c r="A1263" i="9"/>
  <c r="L1261" i="9"/>
  <c r="R1262" i="9" l="1"/>
  <c r="R1257" i="9"/>
  <c r="O1263" i="9"/>
  <c r="G1263" i="9"/>
  <c r="N1263" i="9"/>
  <c r="F1263" i="9"/>
  <c r="A1264" i="9"/>
  <c r="M1263" i="9"/>
  <c r="E1263" i="9"/>
  <c r="K1263" i="9"/>
  <c r="C1263" i="9"/>
  <c r="P1263" i="9"/>
  <c r="H1263" i="9"/>
  <c r="J1263" i="9" s="1"/>
  <c r="Q1263" i="9"/>
  <c r="I1263" i="9"/>
  <c r="D1263" i="9"/>
  <c r="B1263" i="9"/>
  <c r="K1264" i="9" l="1"/>
  <c r="C1264" i="9"/>
  <c r="B1264" i="9"/>
  <c r="Q1264" i="9"/>
  <c r="I1264" i="9"/>
  <c r="O1264" i="9"/>
  <c r="G1264" i="9"/>
  <c r="H1264" i="9"/>
  <c r="J1264" i="9" s="1"/>
  <c r="F1264" i="9"/>
  <c r="D1264" i="9"/>
  <c r="E1264" i="9"/>
  <c r="A1265" i="9"/>
  <c r="P1264" i="9"/>
  <c r="N1264" i="9"/>
  <c r="M1264" i="9"/>
  <c r="L1263" i="9"/>
  <c r="R1263" i="9" l="1"/>
  <c r="R1258" i="9"/>
  <c r="O1265" i="9"/>
  <c r="G1265" i="9"/>
  <c r="N1265" i="9"/>
  <c r="F1265" i="9"/>
  <c r="A1266" i="9"/>
  <c r="M1265" i="9"/>
  <c r="E1265" i="9"/>
  <c r="K1265" i="9"/>
  <c r="C1265" i="9"/>
  <c r="H1265" i="9"/>
  <c r="J1265" i="9" s="1"/>
  <c r="D1265" i="9"/>
  <c r="B1265" i="9"/>
  <c r="P1265" i="9"/>
  <c r="Q1265" i="9"/>
  <c r="I1265" i="9"/>
  <c r="L1264" i="9"/>
  <c r="R1259" i="9" l="1"/>
  <c r="L1265" i="9"/>
  <c r="A1267" i="9"/>
  <c r="M1266" i="9"/>
  <c r="C1266" i="9"/>
  <c r="K1266" i="9"/>
  <c r="B1266" i="9"/>
  <c r="I1266" i="9"/>
  <c r="Q1266" i="9"/>
  <c r="G1266" i="9"/>
  <c r="D1266" i="9"/>
  <c r="P1266" i="9"/>
  <c r="N1266" i="9"/>
  <c r="O1266" i="9"/>
  <c r="H1266" i="9"/>
  <c r="J1266" i="9" s="1"/>
  <c r="L1266" i="9" s="1"/>
  <c r="F1266" i="9"/>
  <c r="E1266" i="9"/>
  <c r="R1260" i="9" l="1"/>
  <c r="R1261" i="9"/>
  <c r="B1267" i="9"/>
  <c r="Q1267" i="9"/>
  <c r="I1267" i="9"/>
  <c r="N1267" i="9"/>
  <c r="F1267" i="9"/>
  <c r="P1267" i="9"/>
  <c r="D1267" i="9"/>
  <c r="O1267" i="9"/>
  <c r="C1267" i="9"/>
  <c r="M1267" i="9"/>
  <c r="K1267" i="9"/>
  <c r="E1267" i="9"/>
  <c r="A1268" i="9"/>
  <c r="H1267" i="9"/>
  <c r="J1267" i="9" s="1"/>
  <c r="G1267" i="9"/>
  <c r="N1268" i="9" l="1"/>
  <c r="F1268" i="9"/>
  <c r="A1269" i="9"/>
  <c r="M1268" i="9"/>
  <c r="E1268" i="9"/>
  <c r="B1268" i="9"/>
  <c r="I1268" i="9"/>
  <c r="H1268" i="9"/>
  <c r="J1268" i="9" s="1"/>
  <c r="G1268" i="9"/>
  <c r="P1268" i="9"/>
  <c r="C1268" i="9"/>
  <c r="K1268" i="9"/>
  <c r="D1268" i="9"/>
  <c r="Q1268" i="9"/>
  <c r="O1268" i="9"/>
  <c r="L1267" i="9"/>
  <c r="B1269" i="9" l="1"/>
  <c r="Q1269" i="9"/>
  <c r="I1269" i="9"/>
  <c r="N1269" i="9"/>
  <c r="F1269" i="9"/>
  <c r="O1269" i="9"/>
  <c r="C1269" i="9"/>
  <c r="M1269" i="9"/>
  <c r="A1270" i="9"/>
  <c r="H1269" i="9"/>
  <c r="J1269" i="9" s="1"/>
  <c r="P1269" i="9"/>
  <c r="K1269" i="9"/>
  <c r="G1269" i="9"/>
  <c r="D1269" i="9"/>
  <c r="E1269" i="9"/>
  <c r="L1268" i="9"/>
  <c r="N1270" i="9" l="1"/>
  <c r="F1270" i="9"/>
  <c r="A1271" i="9"/>
  <c r="M1270" i="9"/>
  <c r="E1270" i="9"/>
  <c r="D1270" i="9"/>
  <c r="B1270" i="9"/>
  <c r="I1270" i="9"/>
  <c r="H1270" i="9"/>
  <c r="J1270" i="9" s="1"/>
  <c r="G1270" i="9"/>
  <c r="Q1270" i="9"/>
  <c r="P1270" i="9"/>
  <c r="K1270" i="9"/>
  <c r="O1270" i="9"/>
  <c r="C1270" i="9"/>
  <c r="L1269" i="9"/>
  <c r="R1269" i="9" l="1"/>
  <c r="R1264" i="9"/>
  <c r="L1270" i="9"/>
  <c r="B1271" i="9"/>
  <c r="Q1271" i="9"/>
  <c r="I1271" i="9"/>
  <c r="P1271" i="9"/>
  <c r="H1271" i="9"/>
  <c r="J1271" i="9" s="1"/>
  <c r="L1271" i="9" s="1"/>
  <c r="N1271" i="9"/>
  <c r="F1271" i="9"/>
  <c r="A1272" i="9"/>
  <c r="E1271" i="9"/>
  <c r="D1271" i="9"/>
  <c r="C1271" i="9"/>
  <c r="M1271" i="9"/>
  <c r="G1271" i="9"/>
  <c r="O1271" i="9"/>
  <c r="K1271" i="9"/>
  <c r="R1270" i="9" l="1"/>
  <c r="R1265" i="9"/>
  <c r="R1266" i="9"/>
  <c r="N1272" i="9"/>
  <c r="F1272" i="9"/>
  <c r="A1273" i="9"/>
  <c r="M1272" i="9"/>
  <c r="E1272" i="9"/>
  <c r="D1272" i="9"/>
  <c r="B1272" i="9"/>
  <c r="Q1272" i="9"/>
  <c r="P1272" i="9"/>
  <c r="O1272" i="9"/>
  <c r="I1272" i="9"/>
  <c r="K1272" i="9"/>
  <c r="H1272" i="9"/>
  <c r="J1272" i="9" s="1"/>
  <c r="C1272" i="9"/>
  <c r="G1272" i="9"/>
  <c r="L1272" i="9" l="1"/>
  <c r="B1273" i="9"/>
  <c r="Q1273" i="9"/>
  <c r="I1273" i="9"/>
  <c r="P1273" i="9"/>
  <c r="H1273" i="9"/>
  <c r="J1273" i="9" s="1"/>
  <c r="L1273" i="9" s="1"/>
  <c r="N1273" i="9"/>
  <c r="F1273" i="9"/>
  <c r="M1273" i="9"/>
  <c r="K1273" i="9"/>
  <c r="A1274" i="9"/>
  <c r="E1273" i="9"/>
  <c r="O1273" i="9"/>
  <c r="G1273" i="9"/>
  <c r="D1273" i="9"/>
  <c r="C1273" i="9"/>
  <c r="R1268" i="9" l="1"/>
  <c r="R1267" i="9"/>
  <c r="N1274" i="9"/>
  <c r="F1274" i="9"/>
  <c r="A1275" i="9"/>
  <c r="M1274" i="9"/>
  <c r="E1274" i="9"/>
  <c r="D1274" i="9"/>
  <c r="B1274" i="9"/>
  <c r="I1274" i="9"/>
  <c r="H1274" i="9"/>
  <c r="J1274" i="9" s="1"/>
  <c r="G1274" i="9"/>
  <c r="Q1274" i="9"/>
  <c r="K1274" i="9"/>
  <c r="C1274" i="9"/>
  <c r="P1274" i="9"/>
  <c r="O1274" i="9"/>
  <c r="L1274" i="9" l="1"/>
  <c r="B1275" i="9"/>
  <c r="Q1275" i="9"/>
  <c r="I1275" i="9"/>
  <c r="P1275" i="9"/>
  <c r="H1275" i="9"/>
  <c r="J1275" i="9" s="1"/>
  <c r="N1275" i="9"/>
  <c r="F1275" i="9"/>
  <c r="A1276" i="9"/>
  <c r="E1275" i="9"/>
  <c r="D1275" i="9"/>
  <c r="C1275" i="9"/>
  <c r="M1275" i="9"/>
  <c r="O1275" i="9"/>
  <c r="G1275" i="9"/>
  <c r="K1275" i="9"/>
  <c r="L1275" i="9" l="1"/>
  <c r="N1276" i="9"/>
  <c r="F1276" i="9"/>
  <c r="A1277" i="9"/>
  <c r="M1276" i="9"/>
  <c r="E1276" i="9"/>
  <c r="D1276" i="9"/>
  <c r="B1276" i="9"/>
  <c r="Q1276" i="9"/>
  <c r="P1276" i="9"/>
  <c r="O1276" i="9"/>
  <c r="I1276" i="9"/>
  <c r="C1276" i="9"/>
  <c r="K1276" i="9"/>
  <c r="H1276" i="9"/>
  <c r="J1276" i="9" s="1"/>
  <c r="G1276" i="9"/>
  <c r="B1277" i="9" l="1"/>
  <c r="Q1277" i="9"/>
  <c r="I1277" i="9"/>
  <c r="P1277" i="9"/>
  <c r="H1277" i="9"/>
  <c r="J1277" i="9" s="1"/>
  <c r="L1277" i="9" s="1"/>
  <c r="N1277" i="9"/>
  <c r="F1277" i="9"/>
  <c r="M1277" i="9"/>
  <c r="K1277" i="9"/>
  <c r="A1278" i="9"/>
  <c r="E1277" i="9"/>
  <c r="O1277" i="9"/>
  <c r="G1277" i="9"/>
  <c r="D1277" i="9"/>
  <c r="C1277" i="9"/>
  <c r="L1276" i="9"/>
  <c r="R1277" i="9" l="1"/>
  <c r="R1272" i="9"/>
  <c r="R1276" i="9"/>
  <c r="R1271" i="9"/>
  <c r="N1278" i="9"/>
  <c r="F1278" i="9"/>
  <c r="A1279" i="9"/>
  <c r="M1278" i="9"/>
  <c r="E1278" i="9"/>
  <c r="D1278" i="9"/>
  <c r="B1278" i="9"/>
  <c r="I1278" i="9"/>
  <c r="H1278" i="9"/>
  <c r="J1278" i="9" s="1"/>
  <c r="G1278" i="9"/>
  <c r="Q1278" i="9"/>
  <c r="P1278" i="9"/>
  <c r="K1278" i="9"/>
  <c r="O1278" i="9"/>
  <c r="C1278" i="9"/>
  <c r="L1278" i="9" l="1"/>
  <c r="B1279" i="9"/>
  <c r="Q1279" i="9"/>
  <c r="I1279" i="9"/>
  <c r="P1279" i="9"/>
  <c r="H1279" i="9"/>
  <c r="J1279" i="9" s="1"/>
  <c r="N1279" i="9"/>
  <c r="F1279" i="9"/>
  <c r="A1280" i="9"/>
  <c r="E1279" i="9"/>
  <c r="D1279" i="9"/>
  <c r="C1279" i="9"/>
  <c r="M1279" i="9"/>
  <c r="G1279" i="9"/>
  <c r="O1279" i="9"/>
  <c r="K1279" i="9"/>
  <c r="L1279" i="9" l="1"/>
  <c r="R1273" i="9"/>
  <c r="N1280" i="9"/>
  <c r="F1280" i="9"/>
  <c r="A1281" i="9"/>
  <c r="M1280" i="9"/>
  <c r="E1280" i="9"/>
  <c r="D1280" i="9"/>
  <c r="B1280" i="9"/>
  <c r="Q1280" i="9"/>
  <c r="P1280" i="9"/>
  <c r="O1280" i="9"/>
  <c r="I1280" i="9"/>
  <c r="K1280" i="9"/>
  <c r="H1280" i="9"/>
  <c r="J1280" i="9" s="1"/>
  <c r="C1280" i="9"/>
  <c r="G1280" i="9"/>
  <c r="R1274" i="9" l="1"/>
  <c r="L1280" i="9"/>
  <c r="B1281" i="9"/>
  <c r="Q1281" i="9"/>
  <c r="I1281" i="9"/>
  <c r="P1281" i="9"/>
  <c r="H1281" i="9"/>
  <c r="J1281" i="9" s="1"/>
  <c r="L1281" i="9" s="1"/>
  <c r="N1281" i="9"/>
  <c r="F1281" i="9"/>
  <c r="M1281" i="9"/>
  <c r="K1281" i="9"/>
  <c r="A1282" i="9"/>
  <c r="E1281" i="9"/>
  <c r="O1281" i="9"/>
  <c r="G1281" i="9"/>
  <c r="D1281" i="9"/>
  <c r="C1281" i="9"/>
  <c r="R1275" i="9" l="1"/>
  <c r="N1282" i="9"/>
  <c r="F1282" i="9"/>
  <c r="A1283" i="9"/>
  <c r="M1282" i="9"/>
  <c r="E1282" i="9"/>
  <c r="D1282" i="9"/>
  <c r="B1282" i="9"/>
  <c r="I1282" i="9"/>
  <c r="H1282" i="9"/>
  <c r="J1282" i="9" s="1"/>
  <c r="G1282" i="9"/>
  <c r="Q1282" i="9"/>
  <c r="K1282" i="9"/>
  <c r="C1282" i="9"/>
  <c r="P1282" i="9"/>
  <c r="O1282" i="9"/>
  <c r="L1282" i="9" l="1"/>
  <c r="B1283" i="9"/>
  <c r="Q1283" i="9"/>
  <c r="I1283" i="9"/>
  <c r="P1283" i="9"/>
  <c r="H1283" i="9"/>
  <c r="J1283" i="9" s="1"/>
  <c r="N1283" i="9"/>
  <c r="F1283" i="9"/>
  <c r="A1284" i="9"/>
  <c r="E1283" i="9"/>
  <c r="D1283" i="9"/>
  <c r="C1283" i="9"/>
  <c r="M1283" i="9"/>
  <c r="O1283" i="9"/>
  <c r="G1283" i="9"/>
  <c r="K1283" i="9"/>
  <c r="L1283" i="9" l="1"/>
  <c r="N1284" i="9"/>
  <c r="F1284" i="9"/>
  <c r="A1285" i="9"/>
  <c r="M1284" i="9"/>
  <c r="E1284" i="9"/>
  <c r="D1284" i="9"/>
  <c r="B1284" i="9"/>
  <c r="Q1284" i="9"/>
  <c r="P1284" i="9"/>
  <c r="O1284" i="9"/>
  <c r="I1284" i="9"/>
  <c r="C1284" i="9"/>
  <c r="K1284" i="9"/>
  <c r="H1284" i="9"/>
  <c r="J1284" i="9" s="1"/>
  <c r="G1284" i="9"/>
  <c r="R1283" i="9" l="1"/>
  <c r="R1278" i="9"/>
  <c r="B1285" i="9"/>
  <c r="Q1285" i="9"/>
  <c r="I1285" i="9"/>
  <c r="P1285" i="9"/>
  <c r="H1285" i="9"/>
  <c r="J1285" i="9" s="1"/>
  <c r="L1285" i="9" s="1"/>
  <c r="N1285" i="9"/>
  <c r="F1285" i="9"/>
  <c r="M1285" i="9"/>
  <c r="K1285" i="9"/>
  <c r="A1286" i="9"/>
  <c r="E1285" i="9"/>
  <c r="O1285" i="9"/>
  <c r="G1285" i="9"/>
  <c r="D1285" i="9"/>
  <c r="C1285" i="9"/>
  <c r="L1284" i="9"/>
  <c r="R1280" i="9" l="1"/>
  <c r="R1284" i="9"/>
  <c r="R1279" i="9"/>
  <c r="N1286" i="9"/>
  <c r="F1286" i="9"/>
  <c r="A1287" i="9"/>
  <c r="M1286" i="9"/>
  <c r="E1286" i="9"/>
  <c r="D1286" i="9"/>
  <c r="B1286" i="9"/>
  <c r="I1286" i="9"/>
  <c r="H1286" i="9"/>
  <c r="J1286" i="9" s="1"/>
  <c r="G1286" i="9"/>
  <c r="Q1286" i="9"/>
  <c r="P1286" i="9"/>
  <c r="K1286" i="9"/>
  <c r="O1286" i="9"/>
  <c r="C1286" i="9"/>
  <c r="L1286" i="9" l="1"/>
  <c r="B1287" i="9"/>
  <c r="Q1287" i="9"/>
  <c r="I1287" i="9"/>
  <c r="P1287" i="9"/>
  <c r="H1287" i="9"/>
  <c r="J1287" i="9" s="1"/>
  <c r="O1287" i="9"/>
  <c r="N1287" i="9"/>
  <c r="F1287" i="9"/>
  <c r="E1287" i="9"/>
  <c r="A1288" i="9"/>
  <c r="D1287" i="9"/>
  <c r="C1287" i="9"/>
  <c r="M1287" i="9"/>
  <c r="G1287" i="9"/>
  <c r="K1287" i="9"/>
  <c r="L1287" i="9" l="1"/>
  <c r="R1281" i="9"/>
  <c r="N1288" i="9"/>
  <c r="F1288" i="9"/>
  <c r="A1289" i="9"/>
  <c r="M1288" i="9"/>
  <c r="E1288" i="9"/>
  <c r="D1288" i="9"/>
  <c r="K1288" i="9"/>
  <c r="C1288" i="9"/>
  <c r="B1288" i="9"/>
  <c r="G1288" i="9"/>
  <c r="P1288" i="9"/>
  <c r="Q1288" i="9"/>
  <c r="O1288" i="9"/>
  <c r="H1288" i="9"/>
  <c r="J1288" i="9" s="1"/>
  <c r="I1288" i="9"/>
  <c r="L1288" i="9" l="1"/>
  <c r="R1282" i="9"/>
  <c r="B1289" i="9"/>
  <c r="Q1289" i="9"/>
  <c r="I1289" i="9"/>
  <c r="P1289" i="9"/>
  <c r="H1289" i="9"/>
  <c r="J1289" i="9" s="1"/>
  <c r="O1289" i="9"/>
  <c r="G1289" i="9"/>
  <c r="N1289" i="9"/>
  <c r="F1289" i="9"/>
  <c r="E1289" i="9"/>
  <c r="D1289" i="9"/>
  <c r="A1290" i="9"/>
  <c r="C1289" i="9"/>
  <c r="K1289" i="9"/>
  <c r="M1289" i="9"/>
  <c r="L1289" i="9" l="1"/>
  <c r="N1290" i="9"/>
  <c r="F1290" i="9"/>
  <c r="A1291" i="9"/>
  <c r="M1290" i="9"/>
  <c r="E1290" i="9"/>
  <c r="D1290" i="9"/>
  <c r="K1290" i="9"/>
  <c r="C1290" i="9"/>
  <c r="B1290" i="9"/>
  <c r="H1290" i="9"/>
  <c r="J1290" i="9" s="1"/>
  <c r="L1290" i="9" s="1"/>
  <c r="G1290" i="9"/>
  <c r="Q1290" i="9"/>
  <c r="P1290" i="9"/>
  <c r="I1290" i="9"/>
  <c r="O1290" i="9"/>
  <c r="R1290" i="9" l="1"/>
  <c r="R1285" i="9"/>
  <c r="B1291" i="9"/>
  <c r="Q1291" i="9"/>
  <c r="I1291" i="9"/>
  <c r="P1291" i="9"/>
  <c r="H1291" i="9"/>
  <c r="J1291" i="9" s="1"/>
  <c r="L1291" i="9" s="1"/>
  <c r="O1291" i="9"/>
  <c r="G1291" i="9"/>
  <c r="N1291" i="9"/>
  <c r="F1291" i="9"/>
  <c r="K1291" i="9"/>
  <c r="E1291" i="9"/>
  <c r="D1291" i="9"/>
  <c r="A1292" i="9"/>
  <c r="C1291" i="9"/>
  <c r="M1291" i="9"/>
  <c r="R1291" i="9" l="1"/>
  <c r="R1286" i="9"/>
  <c r="N1292" i="9"/>
  <c r="F1292" i="9"/>
  <c r="Q1292" i="9"/>
  <c r="H1292" i="9"/>
  <c r="J1292" i="9" s="1"/>
  <c r="P1292" i="9"/>
  <c r="G1292" i="9"/>
  <c r="O1292" i="9"/>
  <c r="E1292" i="9"/>
  <c r="M1292" i="9"/>
  <c r="D1292" i="9"/>
  <c r="A1293" i="9"/>
  <c r="C1292" i="9"/>
  <c r="K1292" i="9"/>
  <c r="I1292" i="9"/>
  <c r="B1292" i="9"/>
  <c r="L1292" i="9" l="1"/>
  <c r="B1293" i="9"/>
  <c r="O1293" i="9"/>
  <c r="F1293" i="9"/>
  <c r="N1293" i="9"/>
  <c r="E1293" i="9"/>
  <c r="M1293" i="9"/>
  <c r="D1293" i="9"/>
  <c r="A1294" i="9"/>
  <c r="C1293" i="9"/>
  <c r="K1293" i="9"/>
  <c r="Q1293" i="9"/>
  <c r="P1293" i="9"/>
  <c r="I1293" i="9"/>
  <c r="G1293" i="9"/>
  <c r="H1293" i="9"/>
  <c r="J1293" i="9" s="1"/>
  <c r="R1287" i="9" l="1"/>
  <c r="L1293" i="9"/>
  <c r="N1294" i="9"/>
  <c r="F1294" i="9"/>
  <c r="M1294" i="9"/>
  <c r="D1294" i="9"/>
  <c r="A1295" i="9"/>
  <c r="C1294" i="9"/>
  <c r="K1294" i="9"/>
  <c r="B1294" i="9"/>
  <c r="I1294" i="9"/>
  <c r="Q1294" i="9"/>
  <c r="P1294" i="9"/>
  <c r="H1294" i="9"/>
  <c r="J1294" i="9" s="1"/>
  <c r="L1294" i="9" s="1"/>
  <c r="O1294" i="9"/>
  <c r="G1294" i="9"/>
  <c r="E1294" i="9"/>
  <c r="R1288" i="9" l="1"/>
  <c r="R1289" i="9"/>
  <c r="B1295" i="9"/>
  <c r="A1296" i="9"/>
  <c r="C1295" i="9"/>
  <c r="K1295" i="9"/>
  <c r="I1295" i="9"/>
  <c r="Q1295" i="9"/>
  <c r="H1295" i="9"/>
  <c r="J1295" i="9" s="1"/>
  <c r="P1295" i="9"/>
  <c r="G1295" i="9"/>
  <c r="D1295" i="9"/>
  <c r="N1295" i="9"/>
  <c r="O1295" i="9"/>
  <c r="M1295" i="9"/>
  <c r="E1295" i="9"/>
  <c r="F1295" i="9"/>
  <c r="N1296" i="9" l="1"/>
  <c r="F1296" i="9"/>
  <c r="I1296" i="9"/>
  <c r="Q1296" i="9"/>
  <c r="H1296" i="9"/>
  <c r="J1296" i="9" s="1"/>
  <c r="P1296" i="9"/>
  <c r="G1296" i="9"/>
  <c r="O1296" i="9"/>
  <c r="E1296" i="9"/>
  <c r="D1296" i="9"/>
  <c r="C1296" i="9"/>
  <c r="B1296" i="9"/>
  <c r="K1296" i="9"/>
  <c r="A1297" i="9"/>
  <c r="M1296" i="9"/>
  <c r="L1295" i="9"/>
  <c r="L1296" i="9" l="1"/>
  <c r="A1298" i="9"/>
  <c r="M1297" i="9"/>
  <c r="B1297" i="9"/>
  <c r="H1297" i="9"/>
  <c r="J1297" i="9" s="1"/>
  <c r="Q1297" i="9"/>
  <c r="G1297" i="9"/>
  <c r="P1297" i="9"/>
  <c r="F1297" i="9"/>
  <c r="O1297" i="9"/>
  <c r="E1297" i="9"/>
  <c r="N1297" i="9"/>
  <c r="D1297" i="9"/>
  <c r="K1297" i="9"/>
  <c r="I1297" i="9"/>
  <c r="C1297" i="9"/>
  <c r="L1297" i="9" l="1"/>
  <c r="Q1298" i="9"/>
  <c r="I1298" i="9"/>
  <c r="H1298" i="9"/>
  <c r="J1298" i="9" s="1"/>
  <c r="G1298" i="9"/>
  <c r="P1298" i="9"/>
  <c r="F1298" i="9"/>
  <c r="O1298" i="9"/>
  <c r="E1298" i="9"/>
  <c r="N1298" i="9"/>
  <c r="D1298" i="9"/>
  <c r="A1299" i="9"/>
  <c r="M1298" i="9"/>
  <c r="C1298" i="9"/>
  <c r="K1298" i="9"/>
  <c r="B1298" i="9"/>
  <c r="R1297" i="9" l="1"/>
  <c r="R1292" i="9"/>
  <c r="A1300" i="9"/>
  <c r="M1299" i="9"/>
  <c r="E1299" i="9"/>
  <c r="P1299" i="9"/>
  <c r="G1299" i="9"/>
  <c r="I1299" i="9"/>
  <c r="H1299" i="9"/>
  <c r="J1299" i="9" s="1"/>
  <c r="Q1299" i="9"/>
  <c r="F1299" i="9"/>
  <c r="O1299" i="9"/>
  <c r="D1299" i="9"/>
  <c r="B1299" i="9"/>
  <c r="N1299" i="9"/>
  <c r="K1299" i="9"/>
  <c r="C1299" i="9"/>
  <c r="L1298" i="9"/>
  <c r="R1298" i="9" l="1"/>
  <c r="R1293" i="9"/>
  <c r="L1299" i="9"/>
  <c r="Q1300" i="9"/>
  <c r="I1300" i="9"/>
  <c r="N1300" i="9"/>
  <c r="E1300" i="9"/>
  <c r="A1301" i="9"/>
  <c r="K1300" i="9"/>
  <c r="H1300" i="9"/>
  <c r="J1300" i="9" s="1"/>
  <c r="G1300" i="9"/>
  <c r="P1300" i="9"/>
  <c r="F1300" i="9"/>
  <c r="D1300" i="9"/>
  <c r="C1300" i="9"/>
  <c r="B1300" i="9"/>
  <c r="O1300" i="9"/>
  <c r="M1300" i="9"/>
  <c r="R1294" i="9" l="1"/>
  <c r="A1302" i="9"/>
  <c r="M1301" i="9"/>
  <c r="E1301" i="9"/>
  <c r="C1301" i="9"/>
  <c r="K1301" i="9"/>
  <c r="I1301" i="9"/>
  <c r="H1301" i="9"/>
  <c r="J1301" i="9" s="1"/>
  <c r="Q1301" i="9"/>
  <c r="G1301" i="9"/>
  <c r="O1301" i="9"/>
  <c r="N1301" i="9"/>
  <c r="F1301" i="9"/>
  <c r="B1301" i="9"/>
  <c r="P1301" i="9"/>
  <c r="D1301" i="9"/>
  <c r="L1300" i="9"/>
  <c r="R1295" i="9" l="1"/>
  <c r="L1301" i="9"/>
  <c r="Q1302" i="9"/>
  <c r="I1302" i="9"/>
  <c r="K1302" i="9"/>
  <c r="B1302" i="9"/>
  <c r="N1302" i="9"/>
  <c r="C1302" i="9"/>
  <c r="M1302" i="9"/>
  <c r="H1302" i="9"/>
  <c r="J1302" i="9" s="1"/>
  <c r="A1303" i="9"/>
  <c r="G1302" i="9"/>
  <c r="P1302" i="9"/>
  <c r="F1302" i="9"/>
  <c r="O1302" i="9"/>
  <c r="E1302" i="9"/>
  <c r="D1302" i="9"/>
  <c r="R1296" i="9" l="1"/>
  <c r="A1304" i="9"/>
  <c r="M1303" i="9"/>
  <c r="E1303" i="9"/>
  <c r="I1303" i="9"/>
  <c r="Q1303" i="9"/>
  <c r="H1303" i="9"/>
  <c r="J1303" i="9" s="1"/>
  <c r="F1303" i="9"/>
  <c r="P1303" i="9"/>
  <c r="D1303" i="9"/>
  <c r="O1303" i="9"/>
  <c r="C1303" i="9"/>
  <c r="N1303" i="9"/>
  <c r="B1303" i="9"/>
  <c r="G1303" i="9"/>
  <c r="K1303" i="9"/>
  <c r="L1302" i="9"/>
  <c r="L1303" i="9" l="1"/>
  <c r="Q1304" i="9"/>
  <c r="I1304" i="9"/>
  <c r="P1304" i="9"/>
  <c r="G1304" i="9"/>
  <c r="O1304" i="9"/>
  <c r="F1304" i="9"/>
  <c r="K1304" i="9"/>
  <c r="A1305" i="9"/>
  <c r="H1304" i="9"/>
  <c r="J1304" i="9" s="1"/>
  <c r="E1304" i="9"/>
  <c r="D1304" i="9"/>
  <c r="N1304" i="9"/>
  <c r="M1304" i="9"/>
  <c r="B1304" i="9"/>
  <c r="C1304" i="9"/>
  <c r="L1304" i="9" l="1"/>
  <c r="A1306" i="9"/>
  <c r="M1305" i="9"/>
  <c r="E1305" i="9"/>
  <c r="O1305" i="9"/>
  <c r="F1305" i="9"/>
  <c r="N1305" i="9"/>
  <c r="D1305" i="9"/>
  <c r="P1305" i="9"/>
  <c r="B1305" i="9"/>
  <c r="K1305" i="9"/>
  <c r="I1305" i="9"/>
  <c r="Q1305" i="9"/>
  <c r="C1305" i="9"/>
  <c r="H1305" i="9"/>
  <c r="J1305" i="9" s="1"/>
  <c r="G1305" i="9"/>
  <c r="R1304" i="9" l="1"/>
  <c r="R1299" i="9"/>
  <c r="L1305" i="9"/>
  <c r="Q1306" i="9"/>
  <c r="I1306" i="9"/>
  <c r="M1306" i="9"/>
  <c r="D1306" i="9"/>
  <c r="A1307" i="9"/>
  <c r="C1306" i="9"/>
  <c r="G1306" i="9"/>
  <c r="F1306" i="9"/>
  <c r="P1306" i="9"/>
  <c r="E1306" i="9"/>
  <c r="O1306" i="9"/>
  <c r="B1306" i="9"/>
  <c r="N1306" i="9"/>
  <c r="H1306" i="9"/>
  <c r="J1306" i="9" s="1"/>
  <c r="K1306" i="9"/>
  <c r="R1305" i="9" l="1"/>
  <c r="R1300" i="9"/>
  <c r="A1308" i="9"/>
  <c r="M1307" i="9"/>
  <c r="E1307" i="9"/>
  <c r="K1307" i="9"/>
  <c r="B1307" i="9"/>
  <c r="I1307" i="9"/>
  <c r="H1307" i="9"/>
  <c r="J1307" i="9" s="1"/>
  <c r="G1307" i="9"/>
  <c r="Q1307" i="9"/>
  <c r="F1307" i="9"/>
  <c r="P1307" i="9"/>
  <c r="O1307" i="9"/>
  <c r="D1307" i="9"/>
  <c r="N1307" i="9"/>
  <c r="C1307" i="9"/>
  <c r="L1306" i="9"/>
  <c r="R1301" i="9" l="1"/>
  <c r="L1307" i="9"/>
  <c r="Q1308" i="9"/>
  <c r="I1308" i="9"/>
  <c r="H1308" i="9"/>
  <c r="J1308" i="9" s="1"/>
  <c r="O1308" i="9"/>
  <c r="D1308" i="9"/>
  <c r="N1308" i="9"/>
  <c r="C1308" i="9"/>
  <c r="M1308" i="9"/>
  <c r="B1308" i="9"/>
  <c r="K1308" i="9"/>
  <c r="E1308" i="9"/>
  <c r="F1308" i="9"/>
  <c r="A1309" i="9"/>
  <c r="P1308" i="9"/>
  <c r="G1308" i="9"/>
  <c r="R1302" i="9" l="1"/>
  <c r="L1308" i="9"/>
  <c r="A1310" i="9"/>
  <c r="M1309" i="9"/>
  <c r="E1309" i="9"/>
  <c r="Q1309" i="9"/>
  <c r="H1309" i="9"/>
  <c r="J1309" i="9" s="1"/>
  <c r="L1309" i="9" s="1"/>
  <c r="P1309" i="9"/>
  <c r="G1309" i="9"/>
  <c r="I1309" i="9"/>
  <c r="F1309" i="9"/>
  <c r="D1309" i="9"/>
  <c r="O1309" i="9"/>
  <c r="C1309" i="9"/>
  <c r="N1309" i="9"/>
  <c r="B1309" i="9"/>
  <c r="K1309" i="9"/>
  <c r="R1303" i="9" l="1"/>
  <c r="Q1310" i="9"/>
  <c r="I1310" i="9"/>
  <c r="O1310" i="9"/>
  <c r="F1310" i="9"/>
  <c r="N1310" i="9"/>
  <c r="E1310" i="9"/>
  <c r="K1310" i="9"/>
  <c r="A1311" i="9"/>
  <c r="H1310" i="9"/>
  <c r="J1310" i="9" s="1"/>
  <c r="G1310" i="9"/>
  <c r="P1310" i="9"/>
  <c r="M1310" i="9"/>
  <c r="D1310" i="9"/>
  <c r="B1310" i="9"/>
  <c r="C1310" i="9"/>
  <c r="A1312" i="9" l="1"/>
  <c r="M1311" i="9"/>
  <c r="E1311" i="9"/>
  <c r="N1311" i="9"/>
  <c r="D1311" i="9"/>
  <c r="C1311" i="9"/>
  <c r="Q1311" i="9"/>
  <c r="F1311" i="9"/>
  <c r="P1311" i="9"/>
  <c r="B1311" i="9"/>
  <c r="O1311" i="9"/>
  <c r="K1311" i="9"/>
  <c r="H1311" i="9"/>
  <c r="J1311" i="9" s="1"/>
  <c r="G1311" i="9"/>
  <c r="I1311" i="9"/>
  <c r="L1310" i="9"/>
  <c r="L1311" i="9" l="1"/>
  <c r="Q1312" i="9"/>
  <c r="I1312" i="9"/>
  <c r="A1313" i="9"/>
  <c r="C1312" i="9"/>
  <c r="K1312" i="9"/>
  <c r="B1312" i="9"/>
  <c r="P1312" i="9"/>
  <c r="G1312" i="9"/>
  <c r="M1312" i="9"/>
  <c r="H1312" i="9"/>
  <c r="J1312" i="9" s="1"/>
  <c r="F1312" i="9"/>
  <c r="E1312" i="9"/>
  <c r="O1312" i="9"/>
  <c r="N1312" i="9"/>
  <c r="D1312" i="9"/>
  <c r="R1311" i="9" l="1"/>
  <c r="R1306" i="9"/>
  <c r="L1312" i="9"/>
  <c r="A1314" i="9"/>
  <c r="M1313" i="9"/>
  <c r="E1313" i="9"/>
  <c r="D1313" i="9"/>
  <c r="K1313" i="9"/>
  <c r="Q1313" i="9"/>
  <c r="G1313" i="9"/>
  <c r="H1313" i="9"/>
  <c r="J1313" i="9" s="1"/>
  <c r="F1313" i="9"/>
  <c r="C1313" i="9"/>
  <c r="B1313" i="9"/>
  <c r="P1313" i="9"/>
  <c r="I1313" i="9"/>
  <c r="O1313" i="9"/>
  <c r="N1313" i="9"/>
  <c r="R1312" i="9" l="1"/>
  <c r="R1307" i="9"/>
  <c r="L1313" i="9"/>
  <c r="Q1314" i="9"/>
  <c r="I1314" i="9"/>
  <c r="P1314" i="9"/>
  <c r="H1314" i="9"/>
  <c r="J1314" i="9" s="1"/>
  <c r="M1314" i="9"/>
  <c r="C1314" i="9"/>
  <c r="B1314" i="9"/>
  <c r="G1314" i="9"/>
  <c r="A1315" i="9"/>
  <c r="E1314" i="9"/>
  <c r="D1314" i="9"/>
  <c r="O1314" i="9"/>
  <c r="N1314" i="9"/>
  <c r="K1314" i="9"/>
  <c r="F1314" i="9"/>
  <c r="R1308" i="9" l="1"/>
  <c r="L1314" i="9"/>
  <c r="A1316" i="9"/>
  <c r="M1315" i="9"/>
  <c r="E1315" i="9"/>
  <c r="D1315" i="9"/>
  <c r="O1315" i="9"/>
  <c r="C1315" i="9"/>
  <c r="N1315" i="9"/>
  <c r="B1315" i="9"/>
  <c r="I1315" i="9"/>
  <c r="Q1315" i="9"/>
  <c r="P1315" i="9"/>
  <c r="K1315" i="9"/>
  <c r="H1315" i="9"/>
  <c r="J1315" i="9" s="1"/>
  <c r="G1315" i="9"/>
  <c r="F1315" i="9"/>
  <c r="R1309" i="9" l="1"/>
  <c r="Q1316" i="9"/>
  <c r="I1316" i="9"/>
  <c r="P1316" i="9"/>
  <c r="H1316" i="9"/>
  <c r="J1316" i="9" s="1"/>
  <c r="O1316" i="9"/>
  <c r="E1316" i="9"/>
  <c r="N1316" i="9"/>
  <c r="D1316" i="9"/>
  <c r="A1317" i="9"/>
  <c r="K1316" i="9"/>
  <c r="M1316" i="9"/>
  <c r="G1316" i="9"/>
  <c r="F1316" i="9"/>
  <c r="C1316" i="9"/>
  <c r="B1316" i="9"/>
  <c r="L1315" i="9"/>
  <c r="R1310" i="9" l="1"/>
  <c r="L1316" i="9"/>
  <c r="A1318" i="9"/>
  <c r="M1317" i="9"/>
  <c r="E1317" i="9"/>
  <c r="D1317" i="9"/>
  <c r="Q1317" i="9"/>
  <c r="G1317" i="9"/>
  <c r="P1317" i="9"/>
  <c r="F1317" i="9"/>
  <c r="K1317" i="9"/>
  <c r="N1317" i="9"/>
  <c r="I1317" i="9"/>
  <c r="H1317" i="9"/>
  <c r="J1317" i="9" s="1"/>
  <c r="C1317" i="9"/>
  <c r="O1317" i="9"/>
  <c r="B1317" i="9"/>
  <c r="L1317" i="9" l="1"/>
  <c r="Q1318" i="9"/>
  <c r="I1318" i="9"/>
  <c r="P1318" i="9"/>
  <c r="H1318" i="9"/>
  <c r="J1318" i="9" s="1"/>
  <c r="G1318" i="9"/>
  <c r="F1318" i="9"/>
  <c r="M1318" i="9"/>
  <c r="C1318" i="9"/>
  <c r="K1318" i="9"/>
  <c r="E1318" i="9"/>
  <c r="A1319" i="9"/>
  <c r="D1318" i="9"/>
  <c r="B1318" i="9"/>
  <c r="O1318" i="9"/>
  <c r="N1318" i="9"/>
  <c r="A1320" i="9" l="1"/>
  <c r="M1319" i="9"/>
  <c r="E1319" i="9"/>
  <c r="D1319" i="9"/>
  <c r="I1319" i="9"/>
  <c r="H1319" i="9"/>
  <c r="J1319" i="9" s="1"/>
  <c r="O1319" i="9"/>
  <c r="C1319" i="9"/>
  <c r="G1319" i="9"/>
  <c r="F1319" i="9"/>
  <c r="B1319" i="9"/>
  <c r="Q1319" i="9"/>
  <c r="P1319" i="9"/>
  <c r="N1319" i="9"/>
  <c r="K1319" i="9"/>
  <c r="L1318" i="9"/>
  <c r="R1318" i="9" l="1"/>
  <c r="R1313" i="9"/>
  <c r="L1319" i="9"/>
  <c r="Q1320" i="9"/>
  <c r="I1320" i="9"/>
  <c r="P1320" i="9"/>
  <c r="H1320" i="9"/>
  <c r="J1320" i="9" s="1"/>
  <c r="A1321" i="9"/>
  <c r="K1320" i="9"/>
  <c r="O1320" i="9"/>
  <c r="E1320" i="9"/>
  <c r="D1320" i="9"/>
  <c r="C1320" i="9"/>
  <c r="B1320" i="9"/>
  <c r="N1320" i="9"/>
  <c r="M1320" i="9"/>
  <c r="F1320" i="9"/>
  <c r="G1320" i="9"/>
  <c r="R1319" i="9" l="1"/>
  <c r="R1314" i="9"/>
  <c r="A1322" i="9"/>
  <c r="M1321" i="9"/>
  <c r="E1321" i="9"/>
  <c r="D1321" i="9"/>
  <c r="K1321" i="9"/>
  <c r="Q1321" i="9"/>
  <c r="G1321" i="9"/>
  <c r="P1321" i="9"/>
  <c r="B1321" i="9"/>
  <c r="O1321" i="9"/>
  <c r="N1321" i="9"/>
  <c r="I1321" i="9"/>
  <c r="H1321" i="9"/>
  <c r="J1321" i="9" s="1"/>
  <c r="F1321" i="9"/>
  <c r="C1321" i="9"/>
  <c r="L1320" i="9"/>
  <c r="L1321" i="9" l="1"/>
  <c r="R1315" i="9"/>
  <c r="Q1322" i="9"/>
  <c r="I1322" i="9"/>
  <c r="P1322" i="9"/>
  <c r="H1322" i="9"/>
  <c r="J1322" i="9" s="1"/>
  <c r="M1322" i="9"/>
  <c r="C1322" i="9"/>
  <c r="B1322" i="9"/>
  <c r="G1322" i="9"/>
  <c r="F1322" i="9"/>
  <c r="A1323" i="9"/>
  <c r="O1322" i="9"/>
  <c r="N1322" i="9"/>
  <c r="K1322" i="9"/>
  <c r="E1322" i="9"/>
  <c r="D1322" i="9"/>
  <c r="R1316" i="9" l="1"/>
  <c r="A1324" i="9"/>
  <c r="M1323" i="9"/>
  <c r="E1323" i="9"/>
  <c r="D1323" i="9"/>
  <c r="O1323" i="9"/>
  <c r="C1323" i="9"/>
  <c r="N1323" i="9"/>
  <c r="B1323" i="9"/>
  <c r="I1323" i="9"/>
  <c r="H1323" i="9"/>
  <c r="J1323" i="9" s="1"/>
  <c r="Q1323" i="9"/>
  <c r="P1323" i="9"/>
  <c r="K1323" i="9"/>
  <c r="G1323" i="9"/>
  <c r="F1323" i="9"/>
  <c r="L1322" i="9"/>
  <c r="R1317" i="9" l="1"/>
  <c r="L1323" i="9"/>
  <c r="Q1324" i="9"/>
  <c r="I1324" i="9"/>
  <c r="P1324" i="9"/>
  <c r="H1324" i="9"/>
  <c r="J1324" i="9" s="1"/>
  <c r="O1324" i="9"/>
  <c r="E1324" i="9"/>
  <c r="N1324" i="9"/>
  <c r="D1324" i="9"/>
  <c r="A1325" i="9"/>
  <c r="K1324" i="9"/>
  <c r="C1324" i="9"/>
  <c r="B1324" i="9"/>
  <c r="M1324" i="9"/>
  <c r="G1324" i="9"/>
  <c r="F1324" i="9"/>
  <c r="L1324" i="9" l="1"/>
  <c r="A1326" i="9"/>
  <c r="M1325" i="9"/>
  <c r="E1325" i="9"/>
  <c r="D1325" i="9"/>
  <c r="Q1325" i="9"/>
  <c r="G1325" i="9"/>
  <c r="P1325" i="9"/>
  <c r="F1325" i="9"/>
  <c r="K1325" i="9"/>
  <c r="C1325" i="9"/>
  <c r="B1325" i="9"/>
  <c r="O1325" i="9"/>
  <c r="I1325" i="9"/>
  <c r="H1325" i="9"/>
  <c r="J1325" i="9" s="1"/>
  <c r="N1325" i="9"/>
  <c r="L1325" i="9" l="1"/>
  <c r="Q1326" i="9"/>
  <c r="I1326" i="9"/>
  <c r="P1326" i="9"/>
  <c r="H1326" i="9"/>
  <c r="J1326" i="9" s="1"/>
  <c r="G1326" i="9"/>
  <c r="F1326" i="9"/>
  <c r="O1326" i="9"/>
  <c r="M1326" i="9"/>
  <c r="C1326" i="9"/>
  <c r="B1326" i="9"/>
  <c r="E1326" i="9"/>
  <c r="D1326" i="9"/>
  <c r="A1327" i="9"/>
  <c r="N1326" i="9"/>
  <c r="K1326" i="9"/>
  <c r="R1325" i="9" l="1"/>
  <c r="R1320" i="9"/>
  <c r="A1328" i="9"/>
  <c r="M1327" i="9"/>
  <c r="E1327" i="9"/>
  <c r="D1327" i="9"/>
  <c r="I1327" i="9"/>
  <c r="H1327" i="9"/>
  <c r="J1327" i="9" s="1"/>
  <c r="Q1327" i="9"/>
  <c r="G1327" i="9"/>
  <c r="O1327" i="9"/>
  <c r="C1327" i="9"/>
  <c r="N1327" i="9"/>
  <c r="B1327" i="9"/>
  <c r="K1327" i="9"/>
  <c r="F1327" i="9"/>
  <c r="P1327" i="9"/>
  <c r="L1326" i="9"/>
  <c r="R1326" i="9" l="1"/>
  <c r="R1321" i="9"/>
  <c r="L1327" i="9"/>
  <c r="Q1328" i="9"/>
  <c r="I1328" i="9"/>
  <c r="P1328" i="9"/>
  <c r="H1328" i="9"/>
  <c r="J1328" i="9" s="1"/>
  <c r="A1329" i="9"/>
  <c r="K1328" i="9"/>
  <c r="G1328" i="9"/>
  <c r="O1328" i="9"/>
  <c r="E1328" i="9"/>
  <c r="N1328" i="9"/>
  <c r="D1328" i="9"/>
  <c r="M1328" i="9"/>
  <c r="F1328" i="9"/>
  <c r="C1328" i="9"/>
  <c r="B1328" i="9"/>
  <c r="R1322" i="9" l="1"/>
  <c r="A1330" i="9"/>
  <c r="M1329" i="9"/>
  <c r="E1329" i="9"/>
  <c r="D1329" i="9"/>
  <c r="K1329" i="9"/>
  <c r="I1329" i="9"/>
  <c r="Q1329" i="9"/>
  <c r="G1329" i="9"/>
  <c r="P1329" i="9"/>
  <c r="F1329" i="9"/>
  <c r="B1329" i="9"/>
  <c r="O1329" i="9"/>
  <c r="C1329" i="9"/>
  <c r="H1329" i="9"/>
  <c r="J1329" i="9" s="1"/>
  <c r="N1329" i="9"/>
  <c r="L1328" i="9"/>
  <c r="R1323" i="9" l="1"/>
  <c r="L1329" i="9"/>
  <c r="Q1330" i="9"/>
  <c r="I1330" i="9"/>
  <c r="P1330" i="9"/>
  <c r="H1330" i="9"/>
  <c r="J1330" i="9" s="1"/>
  <c r="L1330" i="9" s="1"/>
  <c r="M1330" i="9"/>
  <c r="C1330" i="9"/>
  <c r="B1330" i="9"/>
  <c r="A1331" i="9"/>
  <c r="K1330" i="9"/>
  <c r="G1330" i="9"/>
  <c r="F1330" i="9"/>
  <c r="E1330" i="9"/>
  <c r="D1330" i="9"/>
  <c r="O1330" i="9"/>
  <c r="N1330" i="9"/>
  <c r="R1324" i="9" l="1"/>
  <c r="A1332" i="9"/>
  <c r="M1331" i="9"/>
  <c r="E1331" i="9"/>
  <c r="D1331" i="9"/>
  <c r="O1331" i="9"/>
  <c r="C1331" i="9"/>
  <c r="N1331" i="9"/>
  <c r="B1331" i="9"/>
  <c r="K1331" i="9"/>
  <c r="I1331" i="9"/>
  <c r="H1331" i="9"/>
  <c r="J1331" i="9" s="1"/>
  <c r="Q1331" i="9"/>
  <c r="P1331" i="9"/>
  <c r="G1331" i="9"/>
  <c r="F1331" i="9"/>
  <c r="L1331" i="9" l="1"/>
  <c r="Q1332" i="9"/>
  <c r="I1332" i="9"/>
  <c r="P1332" i="9"/>
  <c r="H1332" i="9"/>
  <c r="J1332" i="9" s="1"/>
  <c r="O1332" i="9"/>
  <c r="E1332" i="9"/>
  <c r="N1332" i="9"/>
  <c r="D1332" i="9"/>
  <c r="M1332" i="9"/>
  <c r="C1332" i="9"/>
  <c r="A1333" i="9"/>
  <c r="K1332" i="9"/>
  <c r="G1332" i="9"/>
  <c r="F1332" i="9"/>
  <c r="B1332" i="9"/>
  <c r="L1332" i="9" l="1"/>
  <c r="A1334" i="9"/>
  <c r="M1333" i="9"/>
  <c r="E1333" i="9"/>
  <c r="D1333" i="9"/>
  <c r="Q1333" i="9"/>
  <c r="G1333" i="9"/>
  <c r="P1333" i="9"/>
  <c r="F1333" i="9"/>
  <c r="O1333" i="9"/>
  <c r="C1333" i="9"/>
  <c r="K1333" i="9"/>
  <c r="H1333" i="9"/>
  <c r="J1333" i="9" s="1"/>
  <c r="B1333" i="9"/>
  <c r="N1333" i="9"/>
  <c r="I1333" i="9"/>
  <c r="R1332" i="9" l="1"/>
  <c r="R1327" i="9"/>
  <c r="L1333" i="9"/>
  <c r="Q1334" i="9"/>
  <c r="I1334" i="9"/>
  <c r="P1334" i="9"/>
  <c r="H1334" i="9"/>
  <c r="J1334" i="9" s="1"/>
  <c r="N1334" i="9"/>
  <c r="F1334" i="9"/>
  <c r="K1334" i="9"/>
  <c r="A1335" i="9"/>
  <c r="G1334" i="9"/>
  <c r="D1334" i="9"/>
  <c r="O1334" i="9"/>
  <c r="C1334" i="9"/>
  <c r="M1334" i="9"/>
  <c r="E1334" i="9"/>
  <c r="B1334" i="9"/>
  <c r="R1333" i="9" l="1"/>
  <c r="R1328" i="9"/>
  <c r="L1334" i="9"/>
  <c r="A1336" i="9"/>
  <c r="M1335" i="9"/>
  <c r="E1335" i="9"/>
  <c r="D1335" i="9"/>
  <c r="B1335" i="9"/>
  <c r="P1335" i="9"/>
  <c r="C1335" i="9"/>
  <c r="O1335" i="9"/>
  <c r="N1335" i="9"/>
  <c r="I1335" i="9"/>
  <c r="H1335" i="9"/>
  <c r="J1335" i="9" s="1"/>
  <c r="Q1335" i="9"/>
  <c r="K1335" i="9"/>
  <c r="G1335" i="9"/>
  <c r="F1335" i="9"/>
  <c r="R1329" i="9" l="1"/>
  <c r="L1335" i="9"/>
  <c r="Q1336" i="9"/>
  <c r="I1336" i="9"/>
  <c r="P1336" i="9"/>
  <c r="H1336" i="9"/>
  <c r="J1336" i="9" s="1"/>
  <c r="N1336" i="9"/>
  <c r="F1336" i="9"/>
  <c r="A1337" i="9"/>
  <c r="G1336" i="9"/>
  <c r="E1336" i="9"/>
  <c r="O1336" i="9"/>
  <c r="C1336" i="9"/>
  <c r="M1336" i="9"/>
  <c r="B1336" i="9"/>
  <c r="K1336" i="9"/>
  <c r="D1336" i="9"/>
  <c r="R1330" i="9" l="1"/>
  <c r="L1336" i="9"/>
  <c r="A1338" i="9"/>
  <c r="M1337" i="9"/>
  <c r="E1337" i="9"/>
  <c r="D1337" i="9"/>
  <c r="B1337" i="9"/>
  <c r="O1337" i="9"/>
  <c r="N1337" i="9"/>
  <c r="K1337" i="9"/>
  <c r="H1337" i="9"/>
  <c r="J1337" i="9" s="1"/>
  <c r="G1337" i="9"/>
  <c r="Q1337" i="9"/>
  <c r="P1337" i="9"/>
  <c r="I1337" i="9"/>
  <c r="C1337" i="9"/>
  <c r="F1337" i="9"/>
  <c r="R1331" i="9" l="1"/>
  <c r="L1337" i="9"/>
  <c r="Q1338" i="9"/>
  <c r="I1338" i="9"/>
  <c r="P1338" i="9"/>
  <c r="H1338" i="9"/>
  <c r="J1338" i="9" s="1"/>
  <c r="N1338" i="9"/>
  <c r="F1338" i="9"/>
  <c r="G1338" i="9"/>
  <c r="E1338" i="9"/>
  <c r="D1338" i="9"/>
  <c r="M1338" i="9"/>
  <c r="B1338" i="9"/>
  <c r="C1338" i="9"/>
  <c r="A1339" i="9"/>
  <c r="O1338" i="9"/>
  <c r="K1338" i="9"/>
  <c r="L1338" i="9" l="1"/>
  <c r="A1340" i="9"/>
  <c r="M1339" i="9"/>
  <c r="E1339" i="9"/>
  <c r="D1339" i="9"/>
  <c r="B1339" i="9"/>
  <c r="N1339" i="9"/>
  <c r="K1339" i="9"/>
  <c r="I1339" i="9"/>
  <c r="G1339" i="9"/>
  <c r="Q1339" i="9"/>
  <c r="F1339" i="9"/>
  <c r="P1339" i="9"/>
  <c r="O1339" i="9"/>
  <c r="H1339" i="9"/>
  <c r="J1339" i="9" s="1"/>
  <c r="L1339" i="9" s="1"/>
  <c r="C1339" i="9"/>
  <c r="R1339" i="9" l="1"/>
  <c r="R1334" i="9"/>
  <c r="Q1340" i="9"/>
  <c r="I1340" i="9"/>
  <c r="P1340" i="9"/>
  <c r="H1340" i="9"/>
  <c r="J1340" i="9" s="1"/>
  <c r="N1340" i="9"/>
  <c r="F1340" i="9"/>
  <c r="E1340" i="9"/>
  <c r="D1340" i="9"/>
  <c r="O1340" i="9"/>
  <c r="C1340" i="9"/>
  <c r="K1340" i="9"/>
  <c r="B1340" i="9"/>
  <c r="A1341" i="9"/>
  <c r="M1340" i="9"/>
  <c r="G1340" i="9"/>
  <c r="A1342" i="9" l="1"/>
  <c r="M1341" i="9"/>
  <c r="E1341" i="9"/>
  <c r="D1341" i="9"/>
  <c r="B1341" i="9"/>
  <c r="K1341" i="9"/>
  <c r="I1341" i="9"/>
  <c r="H1341" i="9"/>
  <c r="J1341" i="9" s="1"/>
  <c r="Q1341" i="9"/>
  <c r="F1341" i="9"/>
  <c r="P1341" i="9"/>
  <c r="C1341" i="9"/>
  <c r="O1341" i="9"/>
  <c r="N1341" i="9"/>
  <c r="G1341" i="9"/>
  <c r="L1340" i="9"/>
  <c r="R1340" i="9" l="1"/>
  <c r="R1335" i="9"/>
  <c r="L1341" i="9"/>
  <c r="Q1342" i="9"/>
  <c r="I1342" i="9"/>
  <c r="P1342" i="9"/>
  <c r="H1342" i="9"/>
  <c r="J1342" i="9" s="1"/>
  <c r="N1342" i="9"/>
  <c r="F1342" i="9"/>
  <c r="D1342" i="9"/>
  <c r="O1342" i="9"/>
  <c r="C1342" i="9"/>
  <c r="M1342" i="9"/>
  <c r="B1342" i="9"/>
  <c r="K1342" i="9"/>
  <c r="A1343" i="9"/>
  <c r="G1342" i="9"/>
  <c r="E1342" i="9"/>
  <c r="R1336" i="9" l="1"/>
  <c r="A1344" i="9"/>
  <c r="M1343" i="9"/>
  <c r="E1343" i="9"/>
  <c r="D1343" i="9"/>
  <c r="B1343" i="9"/>
  <c r="I1343" i="9"/>
  <c r="H1343" i="9"/>
  <c r="J1343" i="9" s="1"/>
  <c r="G1343" i="9"/>
  <c r="P1343" i="9"/>
  <c r="C1343" i="9"/>
  <c r="O1343" i="9"/>
  <c r="K1343" i="9"/>
  <c r="F1343" i="9"/>
  <c r="Q1343" i="9"/>
  <c r="N1343" i="9"/>
  <c r="L1342" i="9"/>
  <c r="R1337" i="9" l="1"/>
  <c r="L1343" i="9"/>
  <c r="P1344" i="9"/>
  <c r="H1344" i="9"/>
  <c r="J1344" i="9" s="1"/>
  <c r="O1344" i="9"/>
  <c r="G1344" i="9"/>
  <c r="N1344" i="9"/>
  <c r="F1344" i="9"/>
  <c r="K1344" i="9"/>
  <c r="I1344" i="9"/>
  <c r="A1345" i="9"/>
  <c r="C1344" i="9"/>
  <c r="B1344" i="9"/>
  <c r="M1344" i="9"/>
  <c r="Q1344" i="9"/>
  <c r="E1344" i="9"/>
  <c r="D1344" i="9"/>
  <c r="R1338" i="9" l="1"/>
  <c r="D1345" i="9"/>
  <c r="K1345" i="9"/>
  <c r="C1345" i="9"/>
  <c r="B1345" i="9"/>
  <c r="Q1345" i="9"/>
  <c r="F1345" i="9"/>
  <c r="P1345" i="9"/>
  <c r="E1345" i="9"/>
  <c r="N1345" i="9"/>
  <c r="A1346" i="9"/>
  <c r="M1345" i="9"/>
  <c r="I1345" i="9"/>
  <c r="O1345" i="9"/>
  <c r="H1345" i="9"/>
  <c r="J1345" i="9" s="1"/>
  <c r="G1345" i="9"/>
  <c r="L1344" i="9"/>
  <c r="P1346" i="9" l="1"/>
  <c r="H1346" i="9"/>
  <c r="J1346" i="9" s="1"/>
  <c r="O1346" i="9"/>
  <c r="G1346" i="9"/>
  <c r="N1346" i="9"/>
  <c r="F1346" i="9"/>
  <c r="K1346" i="9"/>
  <c r="A1347" i="9"/>
  <c r="E1346" i="9"/>
  <c r="C1346" i="9"/>
  <c r="B1346" i="9"/>
  <c r="M1346" i="9"/>
  <c r="Q1346" i="9"/>
  <c r="I1346" i="9"/>
  <c r="D1346" i="9"/>
  <c r="L1345" i="9"/>
  <c r="D1347" i="9" l="1"/>
  <c r="K1347" i="9"/>
  <c r="C1347" i="9"/>
  <c r="B1347" i="9"/>
  <c r="P1347" i="9"/>
  <c r="E1347" i="9"/>
  <c r="O1347" i="9"/>
  <c r="M1347" i="9"/>
  <c r="F1347" i="9"/>
  <c r="A1348" i="9"/>
  <c r="N1347" i="9"/>
  <c r="I1347" i="9"/>
  <c r="Q1347" i="9"/>
  <c r="H1347" i="9"/>
  <c r="J1347" i="9" s="1"/>
  <c r="G1347" i="9"/>
  <c r="L1346" i="9"/>
  <c r="R1346" i="9" l="1"/>
  <c r="R1341" i="9"/>
  <c r="P1348" i="9"/>
  <c r="H1348" i="9"/>
  <c r="J1348" i="9" s="1"/>
  <c r="O1348" i="9"/>
  <c r="G1348" i="9"/>
  <c r="N1348" i="9"/>
  <c r="F1348" i="9"/>
  <c r="A1349" i="9"/>
  <c r="I1348" i="9"/>
  <c r="D1348" i="9"/>
  <c r="C1348" i="9"/>
  <c r="B1348" i="9"/>
  <c r="M1348" i="9"/>
  <c r="K1348" i="9"/>
  <c r="E1348" i="9"/>
  <c r="Q1348" i="9"/>
  <c r="L1347" i="9"/>
  <c r="R1347" i="9" l="1"/>
  <c r="R1342" i="9"/>
  <c r="D1349" i="9"/>
  <c r="K1349" i="9"/>
  <c r="C1349" i="9"/>
  <c r="B1349" i="9"/>
  <c r="O1349" i="9"/>
  <c r="N1349" i="9"/>
  <c r="I1349" i="9"/>
  <c r="F1349" i="9"/>
  <c r="E1349" i="9"/>
  <c r="A1350" i="9"/>
  <c r="P1349" i="9"/>
  <c r="M1349" i="9"/>
  <c r="Q1349" i="9"/>
  <c r="H1349" i="9"/>
  <c r="J1349" i="9" s="1"/>
  <c r="G1349" i="9"/>
  <c r="L1348" i="9"/>
  <c r="R1343" i="9" l="1"/>
  <c r="P1350" i="9"/>
  <c r="H1350" i="9"/>
  <c r="J1350" i="9" s="1"/>
  <c r="O1350" i="9"/>
  <c r="G1350" i="9"/>
  <c r="N1350" i="9"/>
  <c r="F1350" i="9"/>
  <c r="I1350" i="9"/>
  <c r="E1350" i="9"/>
  <c r="Q1350" i="9"/>
  <c r="C1350" i="9"/>
  <c r="D1350" i="9"/>
  <c r="B1350" i="9"/>
  <c r="A1351" i="9"/>
  <c r="M1350" i="9"/>
  <c r="K1350" i="9"/>
  <c r="L1349" i="9"/>
  <c r="R1344" i="9" l="1"/>
  <c r="D1351" i="9"/>
  <c r="K1351" i="9"/>
  <c r="C1351" i="9"/>
  <c r="B1351" i="9"/>
  <c r="N1351" i="9"/>
  <c r="M1351" i="9"/>
  <c r="H1351" i="9"/>
  <c r="J1351" i="9" s="1"/>
  <c r="F1351" i="9"/>
  <c r="E1351" i="9"/>
  <c r="A1352" i="9"/>
  <c r="P1351" i="9"/>
  <c r="O1351" i="9"/>
  <c r="G1351" i="9"/>
  <c r="Q1351" i="9"/>
  <c r="I1351" i="9"/>
  <c r="L1350" i="9"/>
  <c r="R1345" i="9" l="1"/>
  <c r="P1352" i="9"/>
  <c r="H1352" i="9"/>
  <c r="J1352" i="9" s="1"/>
  <c r="O1352" i="9"/>
  <c r="G1352" i="9"/>
  <c r="N1352" i="9"/>
  <c r="F1352" i="9"/>
  <c r="E1352" i="9"/>
  <c r="D1352" i="9"/>
  <c r="M1352" i="9"/>
  <c r="B1352" i="9"/>
  <c r="I1352" i="9"/>
  <c r="C1352" i="9"/>
  <c r="A1353" i="9"/>
  <c r="Q1352" i="9"/>
  <c r="K1352" i="9"/>
  <c r="L1351" i="9"/>
  <c r="D1353" i="9" l="1"/>
  <c r="K1353" i="9"/>
  <c r="C1353" i="9"/>
  <c r="B1353" i="9"/>
  <c r="M1353" i="9"/>
  <c r="I1353" i="9"/>
  <c r="A1354" i="9"/>
  <c r="G1353" i="9"/>
  <c r="F1353" i="9"/>
  <c r="E1353" i="9"/>
  <c r="P1353" i="9"/>
  <c r="O1353" i="9"/>
  <c r="Q1353" i="9"/>
  <c r="N1353" i="9"/>
  <c r="H1353" i="9"/>
  <c r="J1353" i="9" s="1"/>
  <c r="L1353" i="9" s="1"/>
  <c r="L1352" i="9"/>
  <c r="R1353" i="9" l="1"/>
  <c r="R1348" i="9"/>
  <c r="P1354" i="9"/>
  <c r="H1354" i="9"/>
  <c r="J1354" i="9" s="1"/>
  <c r="O1354" i="9"/>
  <c r="G1354" i="9"/>
  <c r="N1354" i="9"/>
  <c r="F1354" i="9"/>
  <c r="D1354" i="9"/>
  <c r="Q1354" i="9"/>
  <c r="C1354" i="9"/>
  <c r="I1354" i="9"/>
  <c r="E1354" i="9"/>
  <c r="A1355" i="9"/>
  <c r="B1354" i="9"/>
  <c r="M1354" i="9"/>
  <c r="K1354" i="9"/>
  <c r="D1355" i="9" l="1"/>
  <c r="K1355" i="9"/>
  <c r="C1355" i="9"/>
  <c r="B1355" i="9"/>
  <c r="I1355" i="9"/>
  <c r="H1355" i="9"/>
  <c r="J1355" i="9" s="1"/>
  <c r="Q1355" i="9"/>
  <c r="F1355" i="9"/>
  <c r="G1355" i="9"/>
  <c r="E1355" i="9"/>
  <c r="P1355" i="9"/>
  <c r="O1355" i="9"/>
  <c r="A1356" i="9"/>
  <c r="N1355" i="9"/>
  <c r="M1355" i="9"/>
  <c r="L1354" i="9"/>
  <c r="R1354" i="9" l="1"/>
  <c r="R1349" i="9"/>
  <c r="P1356" i="9"/>
  <c r="H1356" i="9"/>
  <c r="J1356" i="9" s="1"/>
  <c r="O1356" i="9"/>
  <c r="G1356" i="9"/>
  <c r="N1356" i="9"/>
  <c r="F1356" i="9"/>
  <c r="Q1356" i="9"/>
  <c r="C1356" i="9"/>
  <c r="M1356" i="9"/>
  <c r="B1356" i="9"/>
  <c r="K1356" i="9"/>
  <c r="I1356" i="9"/>
  <c r="E1356" i="9"/>
  <c r="A1357" i="9"/>
  <c r="D1356" i="9"/>
  <c r="L1355" i="9"/>
  <c r="R1350" i="9" l="1"/>
  <c r="D1357" i="9"/>
  <c r="K1357" i="9"/>
  <c r="C1357" i="9"/>
  <c r="B1357" i="9"/>
  <c r="H1357" i="9"/>
  <c r="J1357" i="9" s="1"/>
  <c r="L1357" i="9" s="1"/>
  <c r="A1358" i="9"/>
  <c r="G1357" i="9"/>
  <c r="P1357" i="9"/>
  <c r="E1357" i="9"/>
  <c r="I1357" i="9"/>
  <c r="F1357" i="9"/>
  <c r="Q1357" i="9"/>
  <c r="O1357" i="9"/>
  <c r="N1357" i="9"/>
  <c r="M1357" i="9"/>
  <c r="L1356" i="9"/>
  <c r="R1352" i="9" l="1"/>
  <c r="R1351" i="9"/>
  <c r="P1358" i="9"/>
  <c r="H1358" i="9"/>
  <c r="J1358" i="9" s="1"/>
  <c r="O1358" i="9"/>
  <c r="G1358" i="9"/>
  <c r="N1358" i="9"/>
  <c r="F1358" i="9"/>
  <c r="M1358" i="9"/>
  <c r="B1358" i="9"/>
  <c r="A1359" i="9"/>
  <c r="I1358" i="9"/>
  <c r="E1358" i="9"/>
  <c r="D1358" i="9"/>
  <c r="Q1358" i="9"/>
  <c r="K1358" i="9"/>
  <c r="C1358" i="9"/>
  <c r="L1358" i="9" l="1"/>
  <c r="D1359" i="9"/>
  <c r="K1359" i="9"/>
  <c r="C1359" i="9"/>
  <c r="B1359" i="9"/>
  <c r="A1360" i="9"/>
  <c r="G1359" i="9"/>
  <c r="Q1359" i="9"/>
  <c r="F1359" i="9"/>
  <c r="O1359" i="9"/>
  <c r="N1359" i="9"/>
  <c r="I1359" i="9"/>
  <c r="H1359" i="9"/>
  <c r="J1359" i="9" s="1"/>
  <c r="L1359" i="9" s="1"/>
  <c r="E1359" i="9"/>
  <c r="M1359" i="9"/>
  <c r="P1359" i="9"/>
  <c r="P1360" i="9" l="1"/>
  <c r="H1360" i="9"/>
  <c r="J1360" i="9" s="1"/>
  <c r="O1360" i="9"/>
  <c r="G1360" i="9"/>
  <c r="N1360" i="9"/>
  <c r="F1360" i="9"/>
  <c r="K1360" i="9"/>
  <c r="I1360" i="9"/>
  <c r="E1360" i="9"/>
  <c r="Q1360" i="9"/>
  <c r="M1360" i="9"/>
  <c r="C1360" i="9"/>
  <c r="B1360" i="9"/>
  <c r="A1361" i="9"/>
  <c r="D1360" i="9"/>
  <c r="D1361" i="9" l="1"/>
  <c r="K1361" i="9"/>
  <c r="C1361" i="9"/>
  <c r="B1361" i="9"/>
  <c r="Q1361" i="9"/>
  <c r="F1361" i="9"/>
  <c r="P1361" i="9"/>
  <c r="E1361" i="9"/>
  <c r="N1361" i="9"/>
  <c r="M1361" i="9"/>
  <c r="A1362" i="9"/>
  <c r="O1361" i="9"/>
  <c r="H1361" i="9"/>
  <c r="J1361" i="9" s="1"/>
  <c r="L1361" i="9" s="1"/>
  <c r="G1361" i="9"/>
  <c r="I1361" i="9"/>
  <c r="L1360" i="9"/>
  <c r="R1360" i="9" l="1"/>
  <c r="R1355" i="9"/>
  <c r="R1361" i="9"/>
  <c r="R1356" i="9"/>
  <c r="P1362" i="9"/>
  <c r="H1362" i="9"/>
  <c r="J1362" i="9" s="1"/>
  <c r="O1362" i="9"/>
  <c r="G1362" i="9"/>
  <c r="N1362" i="9"/>
  <c r="F1362" i="9"/>
  <c r="K1362" i="9"/>
  <c r="A1363" i="9"/>
  <c r="E1362" i="9"/>
  <c r="D1362" i="9"/>
  <c r="B1362" i="9"/>
  <c r="M1362" i="9"/>
  <c r="Q1362" i="9"/>
  <c r="I1362" i="9"/>
  <c r="C1362" i="9"/>
  <c r="L1362" i="9" l="1"/>
  <c r="D1363" i="9"/>
  <c r="K1363" i="9"/>
  <c r="C1363" i="9"/>
  <c r="B1363" i="9"/>
  <c r="P1363" i="9"/>
  <c r="E1363" i="9"/>
  <c r="O1363" i="9"/>
  <c r="M1363" i="9"/>
  <c r="I1363" i="9"/>
  <c r="G1363" i="9"/>
  <c r="F1363" i="9"/>
  <c r="A1364" i="9"/>
  <c r="Q1363" i="9"/>
  <c r="H1363" i="9"/>
  <c r="J1363" i="9" s="1"/>
  <c r="N1363" i="9"/>
  <c r="R1357" i="9" l="1"/>
  <c r="P1364" i="9"/>
  <c r="H1364" i="9"/>
  <c r="J1364" i="9" s="1"/>
  <c r="O1364" i="9"/>
  <c r="G1364" i="9"/>
  <c r="N1364" i="9"/>
  <c r="F1364" i="9"/>
  <c r="A1365" i="9"/>
  <c r="I1364" i="9"/>
  <c r="D1364" i="9"/>
  <c r="Q1364" i="9"/>
  <c r="C1364" i="9"/>
  <c r="K1364" i="9"/>
  <c r="E1364" i="9"/>
  <c r="M1364" i="9"/>
  <c r="B1364" i="9"/>
  <c r="L1363" i="9"/>
  <c r="R1358" i="9" l="1"/>
  <c r="D1365" i="9"/>
  <c r="K1365" i="9"/>
  <c r="C1365" i="9"/>
  <c r="B1365" i="9"/>
  <c r="O1365" i="9"/>
  <c r="N1365" i="9"/>
  <c r="I1365" i="9"/>
  <c r="H1365" i="9"/>
  <c r="J1365" i="9" s="1"/>
  <c r="Q1365" i="9"/>
  <c r="P1365" i="9"/>
  <c r="M1365" i="9"/>
  <c r="F1365" i="9"/>
  <c r="E1365" i="9"/>
  <c r="A1366" i="9"/>
  <c r="G1365" i="9"/>
  <c r="L1364" i="9"/>
  <c r="R1359" i="9" l="1"/>
  <c r="L1365" i="9"/>
  <c r="P1366" i="9"/>
  <c r="H1366" i="9"/>
  <c r="J1366" i="9" s="1"/>
  <c r="O1366" i="9"/>
  <c r="G1366" i="9"/>
  <c r="N1366" i="9"/>
  <c r="F1366" i="9"/>
  <c r="I1366" i="9"/>
  <c r="E1366" i="9"/>
  <c r="Q1366" i="9"/>
  <c r="C1366" i="9"/>
  <c r="M1366" i="9"/>
  <c r="B1366" i="9"/>
  <c r="A1367" i="9"/>
  <c r="K1366" i="9"/>
  <c r="D1366" i="9"/>
  <c r="L1366" i="9" l="1"/>
  <c r="D1367" i="9"/>
  <c r="K1367" i="9"/>
  <c r="C1367" i="9"/>
  <c r="B1367" i="9"/>
  <c r="N1367" i="9"/>
  <c r="M1367" i="9"/>
  <c r="I1367" i="9"/>
  <c r="H1367" i="9"/>
  <c r="J1367" i="9" s="1"/>
  <c r="A1368" i="9"/>
  <c r="G1367" i="9"/>
  <c r="F1367" i="9"/>
  <c r="E1367" i="9"/>
  <c r="Q1367" i="9"/>
  <c r="P1367" i="9"/>
  <c r="O1367" i="9"/>
  <c r="P1368" i="9" l="1"/>
  <c r="H1368" i="9"/>
  <c r="J1368" i="9" s="1"/>
  <c r="O1368" i="9"/>
  <c r="G1368" i="9"/>
  <c r="N1368" i="9"/>
  <c r="F1368" i="9"/>
  <c r="E1368" i="9"/>
  <c r="D1368" i="9"/>
  <c r="Q1368" i="9"/>
  <c r="C1368" i="9"/>
  <c r="M1368" i="9"/>
  <c r="B1368" i="9"/>
  <c r="A1369" i="9"/>
  <c r="K1368" i="9"/>
  <c r="I1368" i="9"/>
  <c r="L1367" i="9"/>
  <c r="R1367" i="9" l="1"/>
  <c r="R1362" i="9"/>
  <c r="D1369" i="9"/>
  <c r="K1369" i="9"/>
  <c r="C1369" i="9"/>
  <c r="B1369" i="9"/>
  <c r="M1369" i="9"/>
  <c r="I1369" i="9"/>
  <c r="H1369" i="9"/>
  <c r="J1369" i="9" s="1"/>
  <c r="A1370" i="9"/>
  <c r="G1369" i="9"/>
  <c r="Q1369" i="9"/>
  <c r="F1369" i="9"/>
  <c r="P1369" i="9"/>
  <c r="O1369" i="9"/>
  <c r="N1369" i="9"/>
  <c r="E1369" i="9"/>
  <c r="L1368" i="9"/>
  <c r="R1368" i="9" l="1"/>
  <c r="R1363" i="9"/>
  <c r="P1370" i="9"/>
  <c r="H1370" i="9"/>
  <c r="J1370" i="9" s="1"/>
  <c r="O1370" i="9"/>
  <c r="G1370" i="9"/>
  <c r="N1370" i="9"/>
  <c r="F1370" i="9"/>
  <c r="D1370" i="9"/>
  <c r="Q1370" i="9"/>
  <c r="C1370" i="9"/>
  <c r="M1370" i="9"/>
  <c r="B1370" i="9"/>
  <c r="K1370" i="9"/>
  <c r="I1370" i="9"/>
  <c r="E1370" i="9"/>
  <c r="A1371" i="9"/>
  <c r="L1369" i="9"/>
  <c r="R1364" i="9" l="1"/>
  <c r="D1371" i="9"/>
  <c r="K1371" i="9"/>
  <c r="C1371" i="9"/>
  <c r="B1371" i="9"/>
  <c r="I1371" i="9"/>
  <c r="H1371" i="9"/>
  <c r="J1371" i="9" s="1"/>
  <c r="A1372" i="9"/>
  <c r="G1371" i="9"/>
  <c r="Q1371" i="9"/>
  <c r="F1371" i="9"/>
  <c r="P1371" i="9"/>
  <c r="E1371" i="9"/>
  <c r="N1371" i="9"/>
  <c r="M1371" i="9"/>
  <c r="O1371" i="9"/>
  <c r="L1370" i="9"/>
  <c r="R1365" i="9" l="1"/>
  <c r="P1372" i="9"/>
  <c r="H1372" i="9"/>
  <c r="J1372" i="9" s="1"/>
  <c r="O1372" i="9"/>
  <c r="G1372" i="9"/>
  <c r="N1372" i="9"/>
  <c r="F1372" i="9"/>
  <c r="Q1372" i="9"/>
  <c r="C1372" i="9"/>
  <c r="M1372" i="9"/>
  <c r="B1372" i="9"/>
  <c r="K1372" i="9"/>
  <c r="A1373" i="9"/>
  <c r="I1372" i="9"/>
  <c r="E1372" i="9"/>
  <c r="D1372" i="9"/>
  <c r="L1371" i="9"/>
  <c r="R1366" i="9" l="1"/>
  <c r="D1373" i="9"/>
  <c r="K1373" i="9"/>
  <c r="C1373" i="9"/>
  <c r="B1373" i="9"/>
  <c r="H1373" i="9"/>
  <c r="J1373" i="9" s="1"/>
  <c r="L1373" i="9" s="1"/>
  <c r="A1374" i="9"/>
  <c r="G1373" i="9"/>
  <c r="Q1373" i="9"/>
  <c r="F1373" i="9"/>
  <c r="P1373" i="9"/>
  <c r="E1373" i="9"/>
  <c r="O1373" i="9"/>
  <c r="N1373" i="9"/>
  <c r="M1373" i="9"/>
  <c r="I1373" i="9"/>
  <c r="L1372" i="9"/>
  <c r="P1374" i="9" l="1"/>
  <c r="H1374" i="9"/>
  <c r="J1374" i="9" s="1"/>
  <c r="O1374" i="9"/>
  <c r="G1374" i="9"/>
  <c r="N1374" i="9"/>
  <c r="F1374" i="9"/>
  <c r="M1374" i="9"/>
  <c r="B1374" i="9"/>
  <c r="K1374" i="9"/>
  <c r="A1375" i="9"/>
  <c r="I1374" i="9"/>
  <c r="D1374" i="9"/>
  <c r="C1374" i="9"/>
  <c r="Q1374" i="9"/>
  <c r="E1374" i="9"/>
  <c r="D1375" i="9" l="1"/>
  <c r="K1375" i="9"/>
  <c r="C1375" i="9"/>
  <c r="B1375" i="9"/>
  <c r="A1376" i="9"/>
  <c r="G1375" i="9"/>
  <c r="Q1375" i="9"/>
  <c r="F1375" i="9"/>
  <c r="P1375" i="9"/>
  <c r="E1375" i="9"/>
  <c r="O1375" i="9"/>
  <c r="N1375" i="9"/>
  <c r="M1375" i="9"/>
  <c r="I1375" i="9"/>
  <c r="H1375" i="9"/>
  <c r="J1375" i="9" s="1"/>
  <c r="L1375" i="9" s="1"/>
  <c r="L1374" i="9"/>
  <c r="R1374" i="9" l="1"/>
  <c r="R1369" i="9"/>
  <c r="R1375" i="9"/>
  <c r="R1370" i="9"/>
  <c r="P1376" i="9"/>
  <c r="H1376" i="9"/>
  <c r="J1376" i="9" s="1"/>
  <c r="O1376" i="9"/>
  <c r="G1376" i="9"/>
  <c r="N1376" i="9"/>
  <c r="F1376" i="9"/>
  <c r="K1376" i="9"/>
  <c r="A1377" i="9"/>
  <c r="I1376" i="9"/>
  <c r="E1376" i="9"/>
  <c r="B1376" i="9"/>
  <c r="Q1376" i="9"/>
  <c r="M1376" i="9"/>
  <c r="D1376" i="9"/>
  <c r="C1376" i="9"/>
  <c r="D1377" i="9" l="1"/>
  <c r="K1377" i="9"/>
  <c r="C1377" i="9"/>
  <c r="B1377" i="9"/>
  <c r="Q1377" i="9"/>
  <c r="F1377" i="9"/>
  <c r="P1377" i="9"/>
  <c r="E1377" i="9"/>
  <c r="O1377" i="9"/>
  <c r="N1377" i="9"/>
  <c r="M1377" i="9"/>
  <c r="I1377" i="9"/>
  <c r="H1377" i="9"/>
  <c r="J1377" i="9" s="1"/>
  <c r="G1377" i="9"/>
  <c r="L1376" i="9"/>
  <c r="L1377" i="9" l="1"/>
  <c r="R1376" i="9" s="1"/>
  <c r="R1371" i="9"/>
  <c r="R1377" i="9" l="1"/>
  <c r="R1373" i="9"/>
  <c r="R1372" i="9"/>
</calcChain>
</file>

<file path=xl/sharedStrings.xml><?xml version="1.0" encoding="utf-8"?>
<sst xmlns="http://schemas.openxmlformats.org/spreadsheetml/2006/main" count="686" uniqueCount="299">
  <si>
    <t>Date</t>
  </si>
  <si>
    <t>Working Day</t>
  </si>
  <si>
    <t>Last Working Day</t>
  </si>
  <si>
    <t>Last Friday</t>
  </si>
  <si>
    <t>Last Thursday</t>
  </si>
  <si>
    <t>Weekday</t>
  </si>
  <si>
    <t>Fortnight Offset</t>
  </si>
  <si>
    <t>FourWeek Offset</t>
  </si>
  <si>
    <t>Monthly %</t>
  </si>
  <si>
    <t>Weekly %</t>
  </si>
  <si>
    <t>Fortnightly %</t>
  </si>
  <si>
    <t>FourWeekly %</t>
  </si>
  <si>
    <t>UK Payday Probability Model Specification</t>
  </si>
  <si>
    <t>Purpose</t>
  </si>
  <si>
    <t>Blueprint workbook structure and specification</t>
  </si>
  <si>
    <t>Worksheet</t>
  </si>
  <si>
    <t>Description</t>
  </si>
  <si>
    <t>Sources</t>
  </si>
  <si>
    <t>Specification/data sheet for Sources</t>
  </si>
  <si>
    <t>Population_Data</t>
  </si>
  <si>
    <t>Specification/data sheet for Population_Data</t>
  </si>
  <si>
    <t>Monthly_Pay_Model</t>
  </si>
  <si>
    <t>Specification/data sheet for Monthly_Pay_Model</t>
  </si>
  <si>
    <t>Weekly_Model</t>
  </si>
  <si>
    <t>Specification/data sheet for Weekly_Model</t>
  </si>
  <si>
    <t>Fortnightly_Model</t>
  </si>
  <si>
    <t>Specification/data sheet for Fortnightly_Model</t>
  </si>
  <si>
    <t>FourWeekly_Model</t>
  </si>
  <si>
    <t>Specification/data sheet for FourWeekly_Model</t>
  </si>
  <si>
    <t>Bank_Holidays</t>
  </si>
  <si>
    <t>Specification/data sheet for Bank_Holidays</t>
  </si>
  <si>
    <t>Calendar</t>
  </si>
  <si>
    <t>Specification/data sheet for Calendar</t>
  </si>
  <si>
    <t>Daily_Calculations</t>
  </si>
  <si>
    <t>Specification/data sheet for Daily_Calculations</t>
  </si>
  <si>
    <t>Sensitivity</t>
  </si>
  <si>
    <t>Specification/data sheet for Sensitivity</t>
  </si>
  <si>
    <t>Validation</t>
  </si>
  <si>
    <t>Specification/data sheet for Validation</t>
  </si>
  <si>
    <t>Charts</t>
  </si>
  <si>
    <t>Specification/data sheet for Charts</t>
  </si>
  <si>
    <t>Named_Ranges</t>
  </si>
  <si>
    <t>Specification/data sheet for Named_Ranges</t>
  </si>
  <si>
    <t>Formula_Spec</t>
  </si>
  <si>
    <t>Specification/data sheet for Formula_Spec</t>
  </si>
  <si>
    <t>Data_Lineage</t>
  </si>
  <si>
    <t>Specification/data sheet for Data_Lineage</t>
  </si>
  <si>
    <t>Source ID</t>
  </si>
  <si>
    <t>Organisation</t>
  </si>
  <si>
    <t>Dataset</t>
  </si>
  <si>
    <t>Publication Date</t>
  </si>
  <si>
    <t>URL</t>
  </si>
  <si>
    <t>Statistic Used</t>
  </si>
  <si>
    <t>Confidence</t>
  </si>
  <si>
    <t>Notes</t>
  </si>
  <si>
    <t>SRC001</t>
  </si>
  <si>
    <t>ONS</t>
  </si>
  <si>
    <t>ASHE Pay Frequency</t>
  </si>
  <si>
    <t>Employee pay frequency</t>
  </si>
  <si>
    <t>SRC002</t>
  </si>
  <si>
    <t>HMRC</t>
  </si>
  <si>
    <t>PAYE RTI</t>
  </si>
  <si>
    <t>Payroll methodology</t>
  </si>
  <si>
    <t>SRC003</t>
  </si>
  <si>
    <t>GOV.UK</t>
  </si>
  <si>
    <t>Bank Holidays</t>
  </si>
  <si>
    <t>Holiday calendar</t>
  </si>
  <si>
    <t>Metric</t>
  </si>
  <si>
    <t>Value</t>
  </si>
  <si>
    <t>Unit</t>
  </si>
  <si>
    <t>Editable</t>
  </si>
  <si>
    <t>UK Employee Jobs</t>
  </si>
  <si>
    <t>Jobs</t>
  </si>
  <si>
    <t>No</t>
  </si>
  <si>
    <t>https://www.ons.gov.uk/employmentandlabourmarket/peopleinwork/employmentandemployeetypes/bulletins/uklabourmarket/june2026/pdf</t>
  </si>
  <si>
    <t>Monthly Pay Frequency</t>
  </si>
  <si>
    <t>%</t>
  </si>
  <si>
    <t>https://www.ons.gov.uk/file?uri=/employmentandlabourmarket/peopleinwork/earningsandworkinghours/adhocs/14237annualsurveyofhoursandearningsasheproportionofallemployeejobswithweeklyfortnightlyfourweeklyandmonthlypayperiodsukapril2021/k83payperiodproportion2021.xls</t>
  </si>
  <si>
    <t>Weekly Pay Frequency</t>
  </si>
  <si>
    <t>Fortnightly Pay Frequency</t>
  </si>
  <si>
    <t>Four-weekly Pay Frequency</t>
  </si>
  <si>
    <t>Other Pay Frequencies</t>
  </si>
  <si>
    <t>UK Employees (PAYE RTI latest)</t>
  </si>
  <si>
    <t>People</t>
  </si>
  <si>
    <t>https://www.ons.gov.uk/employmentandlabourmarket/peopleinwork/employmentandemployeetypes/bulletins/uklabourmarket/july2026/pdf</t>
  </si>
  <si>
    <t>Monthly Model Base</t>
  </si>
  <si>
    <t>Formula</t>
  </si>
  <si>
    <t>Yes</t>
  </si>
  <si>
    <t>Links to source</t>
  </si>
  <si>
    <t>Weekly Model Base</t>
  </si>
  <si>
    <t>Fortnightly Model Base</t>
  </si>
  <si>
    <t>Four-weekly Model Base</t>
  </si>
  <si>
    <t>Total Check</t>
  </si>
  <si>
    <t>Should equal 100%</t>
  </si>
  <si>
    <t>Pattern ID</t>
  </si>
  <si>
    <t>Payday Pattern</t>
  </si>
  <si>
    <t>Base Day</t>
  </si>
  <si>
    <t>Share of Monthly Employees</t>
  </si>
  <si>
    <t>Evidence</t>
  </si>
  <si>
    <t>MP01</t>
  </si>
  <si>
    <t>Variable</t>
  </si>
  <si>
    <t>Payroll Statistics Survey 2024</t>
  </si>
  <si>
    <t>Most common monthly payday (FlippingBook)</t>
  </si>
  <si>
    <t>MP02</t>
  </si>
  <si>
    <t>Last Day of Month</t>
  </si>
  <si>
    <t>Calendar month end (FlippingBook)</t>
  </si>
  <si>
    <t>MP03</t>
  </si>
  <si>
    <t>Common private-sector payroll (FlippingBook)</t>
  </si>
  <si>
    <t>MP07</t>
  </si>
  <si>
    <t>Published survey result (FlippingBook)</t>
  </si>
  <si>
    <t>Total Share</t>
  </si>
  <si>
    <t>Share of Weekly Paid Employees</t>
  </si>
  <si>
    <t>Weekly Frequency Formula</t>
  </si>
  <si>
    <t>Overall Population Formula</t>
  </si>
  <si>
    <t>Monday</t>
  </si>
  <si>
    <t>Assumption</t>
  </si>
  <si>
    <t>Equal weekday distribution</t>
  </si>
  <si>
    <t>Tuesday</t>
  </si>
  <si>
    <t>Wednesday</t>
  </si>
  <si>
    <t>Thursday</t>
  </si>
  <si>
    <t>Friday</t>
  </si>
  <si>
    <t>Saturday</t>
  </si>
  <si>
    <t>Rare payroll processing</t>
  </si>
  <si>
    <t>Sunday</t>
  </si>
  <si>
    <t>Total</t>
  </si>
  <si>
    <t>Should equal 100% of weekly-paid employees</t>
  </si>
  <si>
    <t>Cohort</t>
  </si>
  <si>
    <t>Anchor Offset (Days)</t>
  </si>
  <si>
    <t>Share of Fortnightly Employees</t>
  </si>
  <si>
    <t>F01</t>
  </si>
  <si>
    <t>Day 0 of cycle</t>
  </si>
  <si>
    <t>F02</t>
  </si>
  <si>
    <t>Day 1</t>
  </si>
  <si>
    <t>F03</t>
  </si>
  <si>
    <t>Day 2</t>
  </si>
  <si>
    <t>F04</t>
  </si>
  <si>
    <t>Day 3</t>
  </si>
  <si>
    <t>F05</t>
  </si>
  <si>
    <t>Day 4</t>
  </si>
  <si>
    <t>F06</t>
  </si>
  <si>
    <t>Day 5</t>
  </si>
  <si>
    <t>F07</t>
  </si>
  <si>
    <t>Day 6</t>
  </si>
  <si>
    <t>F08</t>
  </si>
  <si>
    <t>Day 7</t>
  </si>
  <si>
    <t>F09</t>
  </si>
  <si>
    <t>Day 8</t>
  </si>
  <si>
    <t>F10</t>
  </si>
  <si>
    <t>Day 9</t>
  </si>
  <si>
    <t>F11</t>
  </si>
  <si>
    <t>Day 10</t>
  </si>
  <si>
    <t>F12</t>
  </si>
  <si>
    <t>Day 11</t>
  </si>
  <si>
    <t>F13</t>
  </si>
  <si>
    <t>Day 12</t>
  </si>
  <si>
    <t>F14</t>
  </si>
  <si>
    <t>Day 13</t>
  </si>
  <si>
    <t>Offset (Days)</t>
  </si>
  <si>
    <t>Share of Four-Weekly Employees</t>
  </si>
  <si>
    <t>FW01</t>
  </si>
  <si>
    <t>Day 0</t>
  </si>
  <si>
    <t>FW02</t>
  </si>
  <si>
    <t>FW03</t>
  </si>
  <si>
    <t>FW04</t>
  </si>
  <si>
    <t>FW05</t>
  </si>
  <si>
    <t>FW06</t>
  </si>
  <si>
    <t>FW07</t>
  </si>
  <si>
    <t>FW08</t>
  </si>
  <si>
    <t>FW09</t>
  </si>
  <si>
    <t>FW10</t>
  </si>
  <si>
    <t>FW11</t>
  </si>
  <si>
    <t>FW12</t>
  </si>
  <si>
    <t>FW13</t>
  </si>
  <si>
    <t>FW14</t>
  </si>
  <si>
    <t>FW15</t>
  </si>
  <si>
    <t>Day 14</t>
  </si>
  <si>
    <t>FW16</t>
  </si>
  <si>
    <t>Day 15</t>
  </si>
  <si>
    <t>FW17</t>
  </si>
  <si>
    <t>Day 16</t>
  </si>
  <si>
    <t>FW18</t>
  </si>
  <si>
    <t>Day 17</t>
  </si>
  <si>
    <t>FW19</t>
  </si>
  <si>
    <t>Day 18</t>
  </si>
  <si>
    <t>FW20</t>
  </si>
  <si>
    <t>Day 19</t>
  </si>
  <si>
    <t>FW21</t>
  </si>
  <si>
    <t>Day 20</t>
  </si>
  <si>
    <t>FW22</t>
  </si>
  <si>
    <t>Day 21</t>
  </si>
  <si>
    <t>FW23</t>
  </si>
  <si>
    <t>Day 22</t>
  </si>
  <si>
    <t>FW24</t>
  </si>
  <si>
    <t>Day 23</t>
  </si>
  <si>
    <t>FW25</t>
  </si>
  <si>
    <t>Day 24</t>
  </si>
  <si>
    <t>FW26</t>
  </si>
  <si>
    <t>Day 25</t>
  </si>
  <si>
    <t>FW27</t>
  </si>
  <si>
    <t>Day 26</t>
  </si>
  <si>
    <t>FW28</t>
  </si>
  <si>
    <t>Day 27</t>
  </si>
  <si>
    <t>Holiday</t>
  </si>
  <si>
    <t>Nation</t>
  </si>
  <si>
    <t>Working Day?</t>
  </si>
  <si>
    <t>Adjustment Rule</t>
  </si>
  <si>
    <t>New Year's Day</t>
  </si>
  <si>
    <t>England &amp; Wales</t>
  </si>
  <si>
    <t>Previous Working Day</t>
  </si>
  <si>
    <t>Statutory</t>
  </si>
  <si>
    <t>Good Friday</t>
  </si>
  <si>
    <t>Easter Monday</t>
  </si>
  <si>
    <t>Early May Bank Holiday</t>
  </si>
  <si>
    <t>Spring Bank Holiday</t>
  </si>
  <si>
    <t>Summer Bank Holiday</t>
  </si>
  <si>
    <t>Christmas Day</t>
  </si>
  <si>
    <t>Boxing Day (Substitute)</t>
  </si>
  <si>
    <t>Christmas Day (Substitute)</t>
  </si>
  <si>
    <t>New Year's Day (Substitute)</t>
  </si>
  <si>
    <t>Boxing Day</t>
  </si>
  <si>
    <t>Year</t>
  </si>
  <si>
    <t>Month No</t>
  </si>
  <si>
    <t>Month</t>
  </si>
  <si>
    <t>Month-Year</t>
  </si>
  <si>
    <t>Quarter</t>
  </si>
  <si>
    <t>Day</t>
  </si>
  <si>
    <t>Weekday No</t>
  </si>
  <si>
    <t>Weekend?</t>
  </si>
  <si>
    <t>Bank Holiday?</t>
  </si>
  <si>
    <t>Week Number</t>
  </si>
  <si>
    <t>Month End?</t>
  </si>
  <si>
    <t>Last Working Day?</t>
  </si>
  <si>
    <t>Last Friday?</t>
  </si>
  <si>
    <t>Last Thursday?</t>
  </si>
  <si>
    <t>Default</t>
  </si>
  <si>
    <t>Low</t>
  </si>
  <si>
    <t>High</t>
  </si>
  <si>
    <t>Check</t>
  </si>
  <si>
    <t>Expected</t>
  </si>
  <si>
    <t>Status</t>
  </si>
  <si>
    <t>Chart</t>
  </si>
  <si>
    <t>Source Range</t>
  </si>
  <si>
    <t>Name</t>
  </si>
  <si>
    <t>Refers To</t>
  </si>
  <si>
    <t>Sheet</t>
  </si>
  <si>
    <t>Column</t>
  </si>
  <si>
    <t>Formula Logic</t>
  </si>
  <si>
    <t>Depends On</t>
  </si>
  <si>
    <t>Output</t>
  </si>
  <si>
    <t>Input Source</t>
  </si>
  <si>
    <t>Transformation</t>
  </si>
  <si>
    <t xml:space="preserve"> </t>
  </si>
  <si>
    <t>Monthly Date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</si>
  <si>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</si>
  <si>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</si>
  <si>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</si>
  <si>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</si>
  <si>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</si>
  <si>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</si>
  <si>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</si>
  <si>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</si>
  <si>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</si>
  <si>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</si>
  <si>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</si>
  <si>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</si>
  <si>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</si>
  <si>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</si>
  <si>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</si>
  <si>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</si>
  <si>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</si>
  <si>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</si>
  <si>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</si>
  <si>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</si>
  <si>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</si>
  <si>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</si>
  <si>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</si>
  <si>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</si>
  <si>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</si>
  <si>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</si>
  <si>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</si>
  <si>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</si>
  <si>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</si>
  <si>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</si>
  <si>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</si>
  <si>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How many Days Pay</t>
  </si>
  <si>
    <t>Share of UK total Employees</t>
  </si>
  <si>
    <t>Survey Total</t>
  </si>
  <si>
    <t>Day of Month</t>
  </si>
  <si>
    <t xml:space="preserve">Total Share of UK employees (split by </t>
  </si>
  <si>
    <t>Set Date of Week</t>
  </si>
  <si>
    <t>Distibuted to account for 20% of answers</t>
  </si>
  <si>
    <t>Estimated Employees Paid</t>
  </si>
  <si>
    <t>Pensioners</t>
  </si>
  <si>
    <t>Share of Pensioners</t>
  </si>
  <si>
    <t>Employee Total %</t>
  </si>
  <si>
    <t>Pensioners %</t>
  </si>
  <si>
    <t>Estimated Pensions Paid</t>
  </si>
  <si>
    <t>18+</t>
  </si>
  <si>
    <t>Disposable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</si>
</sst>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b/>
      <sz val="10"/>
      <color theme="1"/>
      <name val="Arial Unicode MS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9" fontId="9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10" fontId="4" fillId="0" borderId="0" xfId="0" applyNumberFormat="1" applyFont="1" applyAlignment="1">
      <alignment vertical="center"/>
    </xf>
    <xf numFmtId="9" fontId="4" fillId="0" borderId="0" xfId="0" applyNumberFormat="1" applyFont="1" applyAlignment="1">
      <alignment vertical="center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/>
    </xf>
    <xf numFmtId="0" fontId="6" fillId="0" borderId="0" xfId="1" applyAlignment="1">
      <alignment vertical="center"/>
    </xf>
    <xf numFmtId="10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10" fontId="7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/>
    <xf numFmtId="14" fontId="0" fillId="0" borderId="0" xfId="0" applyNumberFormat="1"/>
    <xf numFmtId="14" fontId="0" fillId="0" borderId="0" xfId="0" applyNumberFormat="1" applyAlignment="1">
      <alignment vertical="center"/>
    </xf>
    <xf numFmtId="164" fontId="0" fillId="0" borderId="0" xfId="2" applyNumberFormat="1" applyFont="1"/>
    <xf numFmtId="0" fontId="0" fillId="0" borderId="0" xfId="2" applyNumberFormat="1" applyFont="1"/>
    <xf numFmtId="49" fontId="0" fillId="0" borderId="0" xfId="0" applyNumberFormat="1"/>
    <xf numFmtId="9" fontId="0" fillId="0" borderId="0" xfId="0" applyNumberFormat="1"/>
    <xf numFmtId="10" fontId="0" fillId="0" borderId="0" xfId="2" applyNumberFormat="1" applyFont="1"/>
    <xf numFmtId="2" fontId="0" fillId="0" borderId="0" xfId="0" applyNumberFormat="1"/>
    <xf numFmtId="9" fontId="0" fillId="0" borderId="0" xfId="2" applyFont="1"/>
    <xf numFmtId="0" fontId="3" fillId="0" borderId="0" xfId="0" applyFont="1" applyAlignment="1">
      <alignment horizontal="right" vertical="center"/>
    </xf>
    <xf numFmtId="10" fontId="5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0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10" fontId="0" fillId="0" borderId="0" xfId="2" applyNumberFormat="1" applyFont="1" applyAlignment="1">
      <alignment horizontal="right" vertical="center" wrapText="1"/>
    </xf>
    <xf numFmtId="0" fontId="5" fillId="0" borderId="0" xfId="0" applyNumberFormat="1" applyFont="1" applyAlignment="1">
      <alignment vertical="center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online.flippingbook.com/view/28077653/11/?utm_source=chatgpt.com" TargetMode="External"/><Relationship Id="rId2" Type="http://schemas.openxmlformats.org/officeDocument/2006/relationships/hyperlink" Target="https://online.flippingbook.com/view/28077653/11/?utm_source=chatgpt.com" TargetMode="External"/><Relationship Id="rId1" Type="http://schemas.openxmlformats.org/officeDocument/2006/relationships/hyperlink" Target="https://online.flippingbook.com/view/28077653/11/?utm_source=chatgpt.com" TargetMode="External"/><Relationship Id="rId4" Type="http://schemas.openxmlformats.org/officeDocument/2006/relationships/hyperlink" Target="https://online.flippingbook.com/view/28077653/11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.4"/>
  <sheetData>
    <row r="1" spans="1:2" ht="18" customHeight="1">
      <c r="A1" s="1" t="s">
        <v>12</v>
      </c>
    </row>
    <row r="2" spans="1:2">
      <c r="A2" t="s">
        <v>13</v>
      </c>
      <c r="B2" t="s">
        <v>14</v>
      </c>
    </row>
    <row r="4" spans="1:2">
      <c r="A4" t="s">
        <v>15</v>
      </c>
      <c r="B4" t="s">
        <v>16</v>
      </c>
    </row>
    <row r="5" spans="1:2">
      <c r="A5" t="s">
        <v>17</v>
      </c>
      <c r="B5" t="s">
        <v>18</v>
      </c>
    </row>
    <row r="6" spans="1:2">
      <c r="A6" t="s">
        <v>19</v>
      </c>
      <c r="B6" t="s">
        <v>20</v>
      </c>
    </row>
    <row r="7" spans="1:2">
      <c r="A7" t="s">
        <v>21</v>
      </c>
      <c r="B7" t="s">
        <v>22</v>
      </c>
    </row>
    <row r="8" spans="1:2">
      <c r="A8" t="s">
        <v>23</v>
      </c>
      <c r="B8" t="s">
        <v>24</v>
      </c>
    </row>
    <row r="9" spans="1:2">
      <c r="A9" t="s">
        <v>25</v>
      </c>
      <c r="B9" t="s">
        <v>26</v>
      </c>
    </row>
    <row r="10" spans="1:2">
      <c r="A10" t="s">
        <v>27</v>
      </c>
      <c r="B10" t="s">
        <v>28</v>
      </c>
    </row>
    <row r="11" spans="1:2">
      <c r="A11" t="s">
        <v>29</v>
      </c>
      <c r="B11" t="s">
        <v>30</v>
      </c>
    </row>
    <row r="12" spans="1:2">
      <c r="A12" t="s">
        <v>31</v>
      </c>
      <c r="B12" t="s">
        <v>32</v>
      </c>
    </row>
    <row r="13" spans="1:2">
      <c r="A13" t="s">
        <v>33</v>
      </c>
      <c r="B13" t="s">
        <v>34</v>
      </c>
    </row>
    <row r="14" spans="1:2">
      <c r="A14" t="s">
        <v>35</v>
      </c>
      <c r="B14" t="s">
        <v>36</v>
      </c>
    </row>
    <row r="15" spans="1:2">
      <c r="A15" t="s">
        <v>37</v>
      </c>
      <c r="B15" t="s">
        <v>38</v>
      </c>
    </row>
    <row r="16" spans="1:2">
      <c r="A16" t="s">
        <v>39</v>
      </c>
      <c r="B16" t="s">
        <v>40</v>
      </c>
    </row>
    <row r="17" spans="1:2">
      <c r="A17" t="s">
        <v>41</v>
      </c>
      <c r="B17" t="s">
        <v>42</v>
      </c>
    </row>
    <row r="18" spans="1:2">
      <c r="A18" t="s">
        <v>43</v>
      </c>
      <c r="B18" t="s">
        <v>44</v>
      </c>
    </row>
    <row r="19" spans="1:2">
      <c r="A19" t="s">
        <v>45</v>
      </c>
      <c r="B19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defaultRowHeight="14.4"/>
  <sheetData>
    <row r="1" spans="1:8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</row>
    <row r="2" spans="1:8">
      <c r="A2" t="s">
        <v>55</v>
      </c>
      <c r="B2" t="s">
        <v>56</v>
      </c>
      <c r="C2" t="s">
        <v>57</v>
      </c>
      <c r="F2" t="s">
        <v>58</v>
      </c>
    </row>
    <row r="3" spans="1:8">
      <c r="A3" t="s">
        <v>59</v>
      </c>
      <c r="B3" t="s">
        <v>60</v>
      </c>
      <c r="C3" t="s">
        <v>61</v>
      </c>
      <c r="F3" t="s">
        <v>62</v>
      </c>
    </row>
    <row r="4" spans="1:8">
      <c r="A4" t="s">
        <v>63</v>
      </c>
      <c r="B4" t="s">
        <v>64</v>
      </c>
      <c r="C4" t="s">
        <v>65</v>
      </c>
      <c r="F4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0B4FA-520E-4C44-8678-D4639C19C14C}">
  <dimension ref="A1:B770"/>
  <sheetViews>
    <sheetView showGridLines="0" tabSelected="1" workbookViewId="0">
      <selection activeCell="C1" sqref="C1"/>
    </sheetView>
  </sheetViews>
  <sheetFormatPr defaultRowHeight="14.4"/>
  <cols>
    <col min="1" max="1" width="10.5546875" bestFit="1" customWidth="1"/>
    <col min="2" max="2" width="17.109375" customWidth="1"/>
  </cols>
  <sheetData>
    <row r="1" spans="1:2">
      <c r="A1" t="s">
        <v>0</v>
      </c>
      <c r="B1" t="s">
        <v>298</v>
      </c>
    </row>
    <row r="2" spans="1:2">
      <c r="A2" s="25">
        <f>Daily_Calculations!$A2</f>
        <v>46235</v>
      </c>
      <c r="B2" s="30">
        <f>Daily_Calculations!$U2</f>
        <v>0</v>
      </c>
    </row>
    <row r="3" spans="1:2">
      <c r="A3" s="25">
        <f>Daily_Calculations!$A3</f>
        <v>46236</v>
      </c>
      <c r="B3" s="30">
        <f>Daily_Calculations!$U3</f>
        <v>0</v>
      </c>
    </row>
    <row r="4" spans="1:2">
      <c r="A4" s="25">
        <f>Daily_Calculations!$A4</f>
        <v>46237</v>
      </c>
      <c r="B4" s="30">
        <f>Daily_Calculations!$U4</f>
        <v>2.7559498475367629E-2</v>
      </c>
    </row>
    <row r="5" spans="1:2">
      <c r="A5" s="25">
        <f>Daily_Calculations!$A5</f>
        <v>46238</v>
      </c>
      <c r="B5" s="30">
        <f>Daily_Calculations!$U5</f>
        <v>2.7559498475367629E-2</v>
      </c>
    </row>
    <row r="6" spans="1:2">
      <c r="A6" s="25">
        <f>Daily_Calculations!$A6</f>
        <v>46239</v>
      </c>
      <c r="B6" s="30">
        <f>Daily_Calculations!$U6</f>
        <v>3.1127720647004326E-2</v>
      </c>
    </row>
    <row r="7" spans="1:2">
      <c r="A7" s="25">
        <f>Daily_Calculations!$A7</f>
        <v>46240</v>
      </c>
      <c r="B7" s="30">
        <f>Daily_Calculations!$U7</f>
        <v>2.8897581789731393E-2</v>
      </c>
    </row>
    <row r="8" spans="1:2">
      <c r="A8" s="25">
        <f>Daily_Calculations!$A8</f>
        <v>46241</v>
      </c>
      <c r="B8" s="30">
        <f>Daily_Calculations!$U8</f>
        <v>3.4612230403890568E-2</v>
      </c>
    </row>
    <row r="9" spans="1:2">
      <c r="A9" s="25">
        <f>Daily_Calculations!$A9</f>
        <v>46242</v>
      </c>
      <c r="B9" s="30">
        <f>Daily_Calculations!$U9</f>
        <v>0</v>
      </c>
    </row>
    <row r="10" spans="1:2">
      <c r="A10" s="25">
        <f>Daily_Calculations!$A10</f>
        <v>46243</v>
      </c>
      <c r="B10" s="30">
        <f>Daily_Calculations!$U10</f>
        <v>0</v>
      </c>
    </row>
    <row r="11" spans="1:2">
      <c r="A11" s="25">
        <f>Daily_Calculations!$A11</f>
        <v>46244</v>
      </c>
      <c r="B11" s="30">
        <f>Daily_Calculations!$U11</f>
        <v>2.9789637332640562E-2</v>
      </c>
    </row>
    <row r="12" spans="1:2">
      <c r="A12" s="25">
        <f>Daily_Calculations!$A12</f>
        <v>46245</v>
      </c>
      <c r="B12" s="30">
        <f>Daily_Calculations!$U12</f>
        <v>2.7559498475367629E-2</v>
      </c>
    </row>
    <row r="13" spans="1:2">
      <c r="A13" s="25">
        <f>Daily_Calculations!$A13</f>
        <v>46246</v>
      </c>
      <c r="B13" s="30">
        <f>Daily_Calculations!$U13</f>
        <v>2.8005526246822218E-2</v>
      </c>
    </row>
    <row r="14" spans="1:2">
      <c r="A14" s="25">
        <f>Daily_Calculations!$A14</f>
        <v>46247</v>
      </c>
      <c r="B14" s="30">
        <f>Daily_Calculations!$U14</f>
        <v>2.7559498475367629E-2</v>
      </c>
    </row>
    <row r="15" spans="1:2">
      <c r="A15" s="25">
        <f>Daily_Calculations!$A15</f>
        <v>46248</v>
      </c>
      <c r="B15" s="30">
        <f>Daily_Calculations!$U15</f>
        <v>4.0410591432800201E-2</v>
      </c>
    </row>
    <row r="16" spans="1:2">
      <c r="A16" s="25">
        <f>Daily_Calculations!$A16</f>
        <v>46249</v>
      </c>
      <c r="B16" s="30">
        <f>Daily_Calculations!$U16</f>
        <v>0</v>
      </c>
    </row>
    <row r="17" spans="1:2">
      <c r="A17" s="25">
        <f>Daily_Calculations!$A17</f>
        <v>46250</v>
      </c>
      <c r="B17" s="30">
        <f>Daily_Calculations!$U17</f>
        <v>0</v>
      </c>
    </row>
    <row r="18" spans="1:2">
      <c r="A18" s="25">
        <f>Daily_Calculations!$A18</f>
        <v>46251</v>
      </c>
      <c r="B18" s="30">
        <f>Daily_Calculations!$U18</f>
        <v>2.7559498475367629E-2</v>
      </c>
    </row>
    <row r="19" spans="1:2">
      <c r="A19" s="25">
        <f>Daily_Calculations!$A19</f>
        <v>46252</v>
      </c>
      <c r="B19" s="30">
        <f>Daily_Calculations!$U19</f>
        <v>2.8451554018276808E-2</v>
      </c>
    </row>
    <row r="20" spans="1:2">
      <c r="A20" s="25">
        <f>Daily_Calculations!$A20</f>
        <v>46253</v>
      </c>
      <c r="B20" s="30">
        <f>Daily_Calculations!$U20</f>
        <v>2.8005526246822218E-2</v>
      </c>
    </row>
    <row r="21" spans="1:2">
      <c r="A21" s="25">
        <f>Daily_Calculations!$A21</f>
        <v>46254</v>
      </c>
      <c r="B21" s="30">
        <f>Daily_Calculations!$U21</f>
        <v>3.1573748418458912E-2</v>
      </c>
    </row>
    <row r="22" spans="1:2">
      <c r="A22" s="25">
        <f>Daily_Calculations!$A22</f>
        <v>46255</v>
      </c>
      <c r="B22" s="30">
        <f>Daily_Calculations!$U22</f>
        <v>3.8626480346981851E-2</v>
      </c>
    </row>
    <row r="23" spans="1:2">
      <c r="A23" s="25">
        <f>Daily_Calculations!$A23</f>
        <v>46256</v>
      </c>
      <c r="B23" s="30">
        <f>Daily_Calculations!$U23</f>
        <v>0</v>
      </c>
    </row>
    <row r="24" spans="1:2">
      <c r="A24" s="25">
        <f>Daily_Calculations!$A24</f>
        <v>46257</v>
      </c>
      <c r="B24" s="30">
        <f>Daily_Calculations!$U24</f>
        <v>0</v>
      </c>
    </row>
    <row r="25" spans="1:2">
      <c r="A25" s="25">
        <f>Daily_Calculations!$A25</f>
        <v>46258</v>
      </c>
      <c r="B25" s="30">
        <f>Daily_Calculations!$U25</f>
        <v>3.1127720647004326E-2</v>
      </c>
    </row>
    <row r="26" spans="1:2">
      <c r="A26" s="25">
        <f>Daily_Calculations!$A26</f>
        <v>46259</v>
      </c>
      <c r="B26" s="30">
        <f>Daily_Calculations!$U26</f>
        <v>3.9156220533186889E-2</v>
      </c>
    </row>
    <row r="27" spans="1:2">
      <c r="A27" s="25">
        <f>Daily_Calculations!$A27</f>
        <v>46260</v>
      </c>
      <c r="B27" s="30">
        <f>Daily_Calculations!$U27</f>
        <v>3.2465803961368084E-2</v>
      </c>
    </row>
    <row r="28" spans="1:2">
      <c r="A28" s="25">
        <f>Daily_Calculations!$A28</f>
        <v>46261</v>
      </c>
      <c r="B28" s="30">
        <f>Daily_Calculations!$U28</f>
        <v>6.228276048310722E-2</v>
      </c>
    </row>
    <row r="29" spans="1:2">
      <c r="A29" s="25">
        <f>Daily_Calculations!$A29</f>
        <v>46262</v>
      </c>
      <c r="B29" s="30">
        <f>Daily_Calculations!$U29</f>
        <v>0.32146997381438225</v>
      </c>
    </row>
    <row r="30" spans="1:2">
      <c r="A30" s="25">
        <f>Daily_Calculations!$A30</f>
        <v>46263</v>
      </c>
      <c r="B30" s="30">
        <f>Daily_Calculations!$U30</f>
        <v>0</v>
      </c>
    </row>
    <row r="31" spans="1:2">
      <c r="A31" s="25">
        <f>Daily_Calculations!$A31</f>
        <v>46264</v>
      </c>
      <c r="B31" s="30">
        <f>Daily_Calculations!$U31</f>
        <v>0</v>
      </c>
    </row>
    <row r="32" spans="1:2">
      <c r="A32" s="25">
        <f>Daily_Calculations!$A32</f>
        <v>46265</v>
      </c>
      <c r="B32" s="30">
        <f>Daily_Calculations!$U32</f>
        <v>6.8153043478260872E-2</v>
      </c>
    </row>
    <row r="33" spans="1:2">
      <c r="A33" s="25">
        <f>Daily_Calculations!$A33</f>
        <v>46266</v>
      </c>
      <c r="B33" s="30">
        <f>Daily_Calculations!$U33</f>
        <v>2.9343609561185979E-2</v>
      </c>
    </row>
    <row r="34" spans="1:2">
      <c r="A34" s="25">
        <f>Daily_Calculations!$A34</f>
        <v>46267</v>
      </c>
      <c r="B34" s="30">
        <f>Daily_Calculations!$U34</f>
        <v>2.7559498475367629E-2</v>
      </c>
    </row>
    <row r="35" spans="1:2">
      <c r="A35" s="25">
        <f>Daily_Calculations!$A35</f>
        <v>46268</v>
      </c>
      <c r="B35" s="30">
        <f>Daily_Calculations!$U35</f>
        <v>2.7559498475367629E-2</v>
      </c>
    </row>
    <row r="36" spans="1:2">
      <c r="A36" s="25">
        <f>Daily_Calculations!$A36</f>
        <v>46269</v>
      </c>
      <c r="B36" s="30">
        <f>Daily_Calculations!$U36</f>
        <v>3.8180452575527261E-2</v>
      </c>
    </row>
    <row r="37" spans="1:2">
      <c r="A37" s="25">
        <f>Daily_Calculations!$A37</f>
        <v>46270</v>
      </c>
      <c r="B37" s="30">
        <f>Daily_Calculations!$U37</f>
        <v>0</v>
      </c>
    </row>
    <row r="38" spans="1:2">
      <c r="A38" s="25">
        <f>Daily_Calculations!$A38</f>
        <v>46271</v>
      </c>
      <c r="B38" s="30">
        <f>Daily_Calculations!$U38</f>
        <v>0</v>
      </c>
    </row>
    <row r="39" spans="1:2">
      <c r="A39" s="25">
        <f>Daily_Calculations!$A39</f>
        <v>46272</v>
      </c>
      <c r="B39" s="30">
        <f>Daily_Calculations!$U39</f>
        <v>2.8451554018276808E-2</v>
      </c>
    </row>
    <row r="40" spans="1:2">
      <c r="A40" s="25">
        <f>Daily_Calculations!$A40</f>
        <v>46273</v>
      </c>
      <c r="B40" s="30">
        <f>Daily_Calculations!$U40</f>
        <v>2.8005526246822218E-2</v>
      </c>
    </row>
    <row r="41" spans="1:2">
      <c r="A41" s="25">
        <f>Daily_Calculations!$A41</f>
        <v>46274</v>
      </c>
      <c r="B41" s="30">
        <f>Daily_Calculations!$U41</f>
        <v>2.7559498475367629E-2</v>
      </c>
    </row>
    <row r="42" spans="1:2">
      <c r="A42" s="25">
        <f>Daily_Calculations!$A42</f>
        <v>46275</v>
      </c>
      <c r="B42" s="30">
        <f>Daily_Calculations!$U42</f>
        <v>2.9789637332640562E-2</v>
      </c>
    </row>
    <row r="43" spans="1:2">
      <c r="A43" s="25">
        <f>Daily_Calculations!$A43</f>
        <v>46276</v>
      </c>
      <c r="B43" s="30">
        <f>Daily_Calculations!$U43</f>
        <v>3.3720174860981396E-2</v>
      </c>
    </row>
    <row r="44" spans="1:2">
      <c r="A44" s="25">
        <f>Daily_Calculations!$A44</f>
        <v>46277</v>
      </c>
      <c r="B44" s="30">
        <f>Daily_Calculations!$U44</f>
        <v>0</v>
      </c>
    </row>
    <row r="45" spans="1:2">
      <c r="A45" s="25">
        <f>Daily_Calculations!$A45</f>
        <v>46278</v>
      </c>
      <c r="B45" s="30">
        <f>Daily_Calculations!$U45</f>
        <v>0</v>
      </c>
    </row>
    <row r="46" spans="1:2">
      <c r="A46" s="25">
        <f>Daily_Calculations!$A46</f>
        <v>46279</v>
      </c>
      <c r="B46" s="30">
        <f>Daily_Calculations!$U46</f>
        <v>2.7559498475367629E-2</v>
      </c>
    </row>
    <row r="47" spans="1:2">
      <c r="A47" s="25">
        <f>Daily_Calculations!$A47</f>
        <v>46280</v>
      </c>
      <c r="B47" s="30">
        <f>Daily_Calculations!$U47</f>
        <v>3.4249915047186434E-2</v>
      </c>
    </row>
    <row r="48" spans="1:2">
      <c r="A48" s="25">
        <f>Daily_Calculations!$A48</f>
        <v>46281</v>
      </c>
      <c r="B48" s="30">
        <f>Daily_Calculations!$U48</f>
        <v>2.8005526246822218E-2</v>
      </c>
    </row>
    <row r="49" spans="1:2">
      <c r="A49" s="25">
        <f>Daily_Calculations!$A49</f>
        <v>46282</v>
      </c>
      <c r="B49" s="30">
        <f>Daily_Calculations!$U49</f>
        <v>2.7559498475367629E-2</v>
      </c>
    </row>
    <row r="50" spans="1:2">
      <c r="A50" s="25">
        <f>Daily_Calculations!$A50</f>
        <v>46283</v>
      </c>
      <c r="B50" s="30">
        <f>Daily_Calculations!$U50</f>
        <v>3.8626480346981851E-2</v>
      </c>
    </row>
    <row r="51" spans="1:2">
      <c r="A51" s="25">
        <f>Daily_Calculations!$A51</f>
        <v>46284</v>
      </c>
      <c r="B51" s="30">
        <f>Daily_Calculations!$U51</f>
        <v>0</v>
      </c>
    </row>
    <row r="52" spans="1:2">
      <c r="A52" s="25">
        <f>Daily_Calculations!$A52</f>
        <v>46285</v>
      </c>
      <c r="B52" s="30">
        <f>Daily_Calculations!$U52</f>
        <v>0</v>
      </c>
    </row>
    <row r="53" spans="1:2">
      <c r="A53" s="25">
        <f>Daily_Calculations!$A53</f>
        <v>46286</v>
      </c>
      <c r="B53" s="30">
        <f>Daily_Calculations!$U53</f>
        <v>2.9789637332640562E-2</v>
      </c>
    </row>
    <row r="54" spans="1:2">
      <c r="A54" s="25">
        <f>Daily_Calculations!$A54</f>
        <v>46287</v>
      </c>
      <c r="B54" s="30">
        <f>Daily_Calculations!$U54</f>
        <v>2.8897581789731393E-2</v>
      </c>
    </row>
    <row r="55" spans="1:2">
      <c r="A55" s="25">
        <f>Daily_Calculations!$A55</f>
        <v>46288</v>
      </c>
      <c r="B55" s="30">
        <f>Daily_Calculations!$U55</f>
        <v>2.9343609561185979E-2</v>
      </c>
    </row>
    <row r="56" spans="1:2">
      <c r="A56" s="25">
        <f>Daily_Calculations!$A56</f>
        <v>46289</v>
      </c>
      <c r="B56" s="30">
        <f>Daily_Calculations!$U56</f>
        <v>6.0944677168743452E-2</v>
      </c>
    </row>
    <row r="57" spans="1:2">
      <c r="A57" s="25">
        <f>Daily_Calculations!$A57</f>
        <v>46290</v>
      </c>
      <c r="B57" s="30">
        <f>Daily_Calculations!$U57</f>
        <v>0.13987478446717305</v>
      </c>
    </row>
    <row r="58" spans="1:2">
      <c r="A58" s="25">
        <f>Daily_Calculations!$A58</f>
        <v>46291</v>
      </c>
      <c r="B58" s="30">
        <f>Daily_Calculations!$U58</f>
        <v>0</v>
      </c>
    </row>
    <row r="59" spans="1:2">
      <c r="A59" s="25">
        <f>Daily_Calculations!$A59</f>
        <v>46292</v>
      </c>
      <c r="B59" s="30">
        <f>Daily_Calculations!$U59</f>
        <v>0</v>
      </c>
    </row>
    <row r="60" spans="1:2">
      <c r="A60" s="25">
        <f>Daily_Calculations!$A60</f>
        <v>46293</v>
      </c>
      <c r="B60" s="30">
        <f>Daily_Calculations!$U60</f>
        <v>3.87101927617323E-2</v>
      </c>
    </row>
    <row r="61" spans="1:2">
      <c r="A61" s="25">
        <f>Daily_Calculations!$A61</f>
        <v>46294</v>
      </c>
      <c r="B61" s="30">
        <f>Daily_Calculations!$U61</f>
        <v>2.9343609561185979E-2</v>
      </c>
    </row>
    <row r="62" spans="1:2">
      <c r="A62" s="25">
        <f>Daily_Calculations!$A62</f>
        <v>46295</v>
      </c>
      <c r="B62" s="30">
        <f>Daily_Calculations!$U62</f>
        <v>0.25554659385437967</v>
      </c>
    </row>
    <row r="63" spans="1:2">
      <c r="A63" s="25">
        <f>Daily_Calculations!$A63</f>
        <v>46296</v>
      </c>
      <c r="B63" s="30">
        <f>Daily_Calculations!$U63</f>
        <v>2.9343609561185979E-2</v>
      </c>
    </row>
    <row r="64" spans="1:2">
      <c r="A64" s="25">
        <f>Daily_Calculations!$A64</f>
        <v>46297</v>
      </c>
      <c r="B64" s="30">
        <f>Daily_Calculations!$U64</f>
        <v>3.32741470895268E-2</v>
      </c>
    </row>
    <row r="65" spans="1:2">
      <c r="A65" s="25">
        <f>Daily_Calculations!$A65</f>
        <v>46298</v>
      </c>
      <c r="B65" s="30">
        <f>Daily_Calculations!$U65</f>
        <v>0</v>
      </c>
    </row>
    <row r="66" spans="1:2">
      <c r="A66" s="25">
        <f>Daily_Calculations!$A66</f>
        <v>46299</v>
      </c>
      <c r="B66" s="30">
        <f>Daily_Calculations!$U66</f>
        <v>0</v>
      </c>
    </row>
    <row r="67" spans="1:2">
      <c r="A67" s="25">
        <f>Daily_Calculations!$A67</f>
        <v>46300</v>
      </c>
      <c r="B67" s="30">
        <f>Daily_Calculations!$U67</f>
        <v>3.1127720647004326E-2</v>
      </c>
    </row>
    <row r="68" spans="1:2">
      <c r="A68" s="25">
        <f>Daily_Calculations!$A68</f>
        <v>46301</v>
      </c>
      <c r="B68" s="30">
        <f>Daily_Calculations!$U68</f>
        <v>2.8897581789731393E-2</v>
      </c>
    </row>
    <row r="69" spans="1:2">
      <c r="A69" s="25">
        <f>Daily_Calculations!$A69</f>
        <v>46302</v>
      </c>
      <c r="B69" s="30">
        <f>Daily_Calculations!$U69</f>
        <v>2.8451554018276808E-2</v>
      </c>
    </row>
    <row r="70" spans="1:2">
      <c r="A70" s="25">
        <f>Daily_Calculations!$A70</f>
        <v>46303</v>
      </c>
      <c r="B70" s="30">
        <f>Daily_Calculations!$U70</f>
        <v>2.8005526246822218E-2</v>
      </c>
    </row>
    <row r="71" spans="1:2">
      <c r="A71" s="25">
        <f>Daily_Calculations!$A71</f>
        <v>46304</v>
      </c>
      <c r="B71" s="30">
        <f>Daily_Calculations!$U71</f>
        <v>3.5504285946799739E-2</v>
      </c>
    </row>
    <row r="72" spans="1:2">
      <c r="A72" s="25">
        <f>Daily_Calculations!$A72</f>
        <v>46305</v>
      </c>
      <c r="B72" s="30">
        <f>Daily_Calculations!$U72</f>
        <v>0</v>
      </c>
    </row>
    <row r="73" spans="1:2">
      <c r="A73" s="25">
        <f>Daily_Calculations!$A73</f>
        <v>46306</v>
      </c>
      <c r="B73" s="30">
        <f>Daily_Calculations!$U73</f>
        <v>0</v>
      </c>
    </row>
    <row r="74" spans="1:2">
      <c r="A74" s="25">
        <f>Daily_Calculations!$A74</f>
        <v>46307</v>
      </c>
      <c r="B74" s="30">
        <f>Daily_Calculations!$U74</f>
        <v>2.8005526246822218E-2</v>
      </c>
    </row>
    <row r="75" spans="1:2">
      <c r="A75" s="25">
        <f>Daily_Calculations!$A75</f>
        <v>46308</v>
      </c>
      <c r="B75" s="30">
        <f>Daily_Calculations!$U75</f>
        <v>2.7559498475367629E-2</v>
      </c>
    </row>
    <row r="76" spans="1:2">
      <c r="A76" s="25">
        <f>Daily_Calculations!$A76</f>
        <v>46309</v>
      </c>
      <c r="B76" s="30">
        <f>Daily_Calculations!$U76</f>
        <v>2.7559498475367629E-2</v>
      </c>
    </row>
    <row r="77" spans="1:2">
      <c r="A77" s="25">
        <f>Daily_Calculations!$A77</f>
        <v>46310</v>
      </c>
      <c r="B77" s="30">
        <f>Daily_Calculations!$U77</f>
        <v>3.4249915047186434E-2</v>
      </c>
    </row>
    <row r="78" spans="1:2">
      <c r="A78" s="25">
        <f>Daily_Calculations!$A78</f>
        <v>46311</v>
      </c>
      <c r="B78" s="30">
        <f>Daily_Calculations!$U78</f>
        <v>3.4612230403890568E-2</v>
      </c>
    </row>
    <row r="79" spans="1:2">
      <c r="A79" s="25">
        <f>Daily_Calculations!$A79</f>
        <v>46312</v>
      </c>
      <c r="B79" s="30">
        <f>Daily_Calculations!$U79</f>
        <v>0</v>
      </c>
    </row>
    <row r="80" spans="1:2">
      <c r="A80" s="25">
        <f>Daily_Calculations!$A80</f>
        <v>46313</v>
      </c>
      <c r="B80" s="30">
        <f>Daily_Calculations!$U80</f>
        <v>0</v>
      </c>
    </row>
    <row r="81" spans="1:2">
      <c r="A81" s="25">
        <f>Daily_Calculations!$A81</f>
        <v>46314</v>
      </c>
      <c r="B81" s="30">
        <f>Daily_Calculations!$U81</f>
        <v>2.8005526246822218E-2</v>
      </c>
    </row>
    <row r="82" spans="1:2">
      <c r="A82" s="25">
        <f>Daily_Calculations!$A82</f>
        <v>46315</v>
      </c>
      <c r="B82" s="30">
        <f>Daily_Calculations!$U82</f>
        <v>3.1573748418458912E-2</v>
      </c>
    </row>
    <row r="83" spans="1:2">
      <c r="A83" s="25">
        <f>Daily_Calculations!$A83</f>
        <v>46316</v>
      </c>
      <c r="B83" s="30">
        <f>Daily_Calculations!$U83</f>
        <v>2.9789637332640562E-2</v>
      </c>
    </row>
    <row r="84" spans="1:2">
      <c r="A84" s="25">
        <f>Daily_Calculations!$A84</f>
        <v>46317</v>
      </c>
      <c r="B84" s="30">
        <f>Daily_Calculations!$U84</f>
        <v>2.8897581789731393E-2</v>
      </c>
    </row>
    <row r="85" spans="1:2">
      <c r="A85" s="25">
        <f>Daily_Calculations!$A85</f>
        <v>46318</v>
      </c>
      <c r="B85" s="30">
        <f>Daily_Calculations!$U85</f>
        <v>5.0223202404801097E-2</v>
      </c>
    </row>
    <row r="86" spans="1:2">
      <c r="A86" s="25">
        <f>Daily_Calculations!$A86</f>
        <v>46319</v>
      </c>
      <c r="B86" s="30">
        <f>Daily_Calculations!$U86</f>
        <v>0</v>
      </c>
    </row>
    <row r="87" spans="1:2">
      <c r="A87" s="25">
        <f>Daily_Calculations!$A87</f>
        <v>46320</v>
      </c>
      <c r="B87" s="30">
        <f>Daily_Calculations!$U87</f>
        <v>0</v>
      </c>
    </row>
    <row r="88" spans="1:2">
      <c r="A88" s="25">
        <f>Daily_Calculations!$A88</f>
        <v>46321</v>
      </c>
      <c r="B88" s="30">
        <f>Daily_Calculations!$U88</f>
        <v>3.2465803961368084E-2</v>
      </c>
    </row>
    <row r="89" spans="1:2">
      <c r="A89" s="25">
        <f>Daily_Calculations!$A89</f>
        <v>46322</v>
      </c>
      <c r="B89" s="30">
        <f>Daily_Calculations!$U89</f>
        <v>3.2465803961368084E-2</v>
      </c>
    </row>
    <row r="90" spans="1:2">
      <c r="A90" s="25">
        <f>Daily_Calculations!$A90</f>
        <v>46323</v>
      </c>
      <c r="B90" s="30">
        <f>Daily_Calculations!$U90</f>
        <v>3.87101927617323E-2</v>
      </c>
    </row>
    <row r="91" spans="1:2">
      <c r="A91" s="25">
        <f>Daily_Calculations!$A91</f>
        <v>46324</v>
      </c>
      <c r="B91" s="30">
        <f>Daily_Calculations!$U91</f>
        <v>5.9160566082925109E-2</v>
      </c>
    </row>
    <row r="92" spans="1:2">
      <c r="A92" s="25">
        <f>Daily_Calculations!$A92</f>
        <v>46325</v>
      </c>
      <c r="B92" s="30">
        <f>Daily_Calculations!$U92</f>
        <v>0.28275978105264998</v>
      </c>
    </row>
    <row r="93" spans="1:2">
      <c r="A93" s="25">
        <f>Daily_Calculations!$A93</f>
        <v>46326</v>
      </c>
      <c r="B93" s="30">
        <f>Daily_Calculations!$U93</f>
        <v>6.8153043478260872E-2</v>
      </c>
    </row>
    <row r="94" spans="1:2">
      <c r="A94" s="25">
        <f>Daily_Calculations!$A94</f>
        <v>46327</v>
      </c>
      <c r="B94" s="30">
        <f>Daily_Calculations!$U94</f>
        <v>0</v>
      </c>
    </row>
    <row r="95" spans="1:2">
      <c r="A95" s="25">
        <f>Daily_Calculations!$A95</f>
        <v>46328</v>
      </c>
      <c r="B95" s="30">
        <f>Daily_Calculations!$U95</f>
        <v>2.7559498475367629E-2</v>
      </c>
    </row>
    <row r="96" spans="1:2">
      <c r="A96" s="25">
        <f>Daily_Calculations!$A96</f>
        <v>46329</v>
      </c>
      <c r="B96" s="30">
        <f>Daily_Calculations!$U96</f>
        <v>2.7559498475367629E-2</v>
      </c>
    </row>
    <row r="97" spans="1:2">
      <c r="A97" s="25">
        <f>Daily_Calculations!$A97</f>
        <v>46330</v>
      </c>
      <c r="B97" s="30">
        <f>Daily_Calculations!$U97</f>
        <v>2.7559498475367629E-2</v>
      </c>
    </row>
    <row r="98" spans="1:2">
      <c r="A98" s="25">
        <f>Daily_Calculations!$A98</f>
        <v>46331</v>
      </c>
      <c r="B98" s="30">
        <f>Daily_Calculations!$U98</f>
        <v>3.1127720647004326E-2</v>
      </c>
    </row>
    <row r="99" spans="1:2">
      <c r="A99" s="25">
        <f>Daily_Calculations!$A99</f>
        <v>46332</v>
      </c>
      <c r="B99" s="30">
        <f>Daily_Calculations!$U99</f>
        <v>3.5950313718254329E-2</v>
      </c>
    </row>
    <row r="100" spans="1:2">
      <c r="A100" s="25">
        <f>Daily_Calculations!$A100</f>
        <v>46333</v>
      </c>
      <c r="B100" s="30">
        <f>Daily_Calculations!$U100</f>
        <v>0</v>
      </c>
    </row>
    <row r="101" spans="1:2">
      <c r="A101" s="25">
        <f>Daily_Calculations!$A101</f>
        <v>46334</v>
      </c>
      <c r="B101" s="30">
        <f>Daily_Calculations!$U101</f>
        <v>0</v>
      </c>
    </row>
    <row r="102" spans="1:2">
      <c r="A102" s="25">
        <f>Daily_Calculations!$A102</f>
        <v>46335</v>
      </c>
      <c r="B102" s="30">
        <f>Daily_Calculations!$U102</f>
        <v>2.7559498475367629E-2</v>
      </c>
    </row>
    <row r="103" spans="1:2">
      <c r="A103" s="25">
        <f>Daily_Calculations!$A103</f>
        <v>46336</v>
      </c>
      <c r="B103" s="30">
        <f>Daily_Calculations!$U103</f>
        <v>2.9789637332640562E-2</v>
      </c>
    </row>
    <row r="104" spans="1:2">
      <c r="A104" s="25">
        <f>Daily_Calculations!$A104</f>
        <v>46337</v>
      </c>
      <c r="B104" s="30">
        <f>Daily_Calculations!$U104</f>
        <v>2.7559498475367629E-2</v>
      </c>
    </row>
    <row r="105" spans="1:2">
      <c r="A105" s="25">
        <f>Daily_Calculations!$A105</f>
        <v>46338</v>
      </c>
      <c r="B105" s="30">
        <f>Daily_Calculations!$U105</f>
        <v>2.8005526246822218E-2</v>
      </c>
    </row>
    <row r="106" spans="1:2">
      <c r="A106" s="25">
        <f>Daily_Calculations!$A106</f>
        <v>46339</v>
      </c>
      <c r="B106" s="30">
        <f>Daily_Calculations!$U106</f>
        <v>3.9964563661345612E-2</v>
      </c>
    </row>
    <row r="107" spans="1:2">
      <c r="A107" s="25">
        <f>Daily_Calculations!$A107</f>
        <v>46340</v>
      </c>
      <c r="B107" s="30">
        <f>Daily_Calculations!$U107</f>
        <v>0</v>
      </c>
    </row>
    <row r="108" spans="1:2">
      <c r="A108" s="25">
        <f>Daily_Calculations!$A108</f>
        <v>46341</v>
      </c>
      <c r="B108" s="30">
        <f>Daily_Calculations!$U108</f>
        <v>0</v>
      </c>
    </row>
    <row r="109" spans="1:2">
      <c r="A109" s="25">
        <f>Daily_Calculations!$A109</f>
        <v>46342</v>
      </c>
      <c r="B109" s="30">
        <f>Daily_Calculations!$U109</f>
        <v>2.8005526246822218E-2</v>
      </c>
    </row>
    <row r="110" spans="1:2">
      <c r="A110" s="25">
        <f>Daily_Calculations!$A110</f>
        <v>46343</v>
      </c>
      <c r="B110" s="30">
        <f>Daily_Calculations!$U110</f>
        <v>2.7559498475367629E-2</v>
      </c>
    </row>
    <row r="111" spans="1:2">
      <c r="A111" s="25">
        <f>Daily_Calculations!$A111</f>
        <v>46344</v>
      </c>
      <c r="B111" s="30">
        <f>Daily_Calculations!$U111</f>
        <v>2.8451554018276808E-2</v>
      </c>
    </row>
    <row r="112" spans="1:2">
      <c r="A112" s="25">
        <f>Daily_Calculations!$A112</f>
        <v>46345</v>
      </c>
      <c r="B112" s="30">
        <f>Daily_Calculations!$U112</f>
        <v>2.8005526246822218E-2</v>
      </c>
    </row>
    <row r="113" spans="1:2">
      <c r="A113" s="25">
        <f>Daily_Calculations!$A113</f>
        <v>46346</v>
      </c>
      <c r="B113" s="30">
        <f>Daily_Calculations!$U113</f>
        <v>4.085661920425479E-2</v>
      </c>
    </row>
    <row r="114" spans="1:2">
      <c r="A114" s="25">
        <f>Daily_Calculations!$A114</f>
        <v>46347</v>
      </c>
      <c r="B114" s="30">
        <f>Daily_Calculations!$U114</f>
        <v>0</v>
      </c>
    </row>
    <row r="115" spans="1:2">
      <c r="A115" s="25">
        <f>Daily_Calculations!$A115</f>
        <v>46348</v>
      </c>
      <c r="B115" s="30">
        <f>Daily_Calculations!$U115</f>
        <v>0</v>
      </c>
    </row>
    <row r="116" spans="1:2">
      <c r="A116" s="25">
        <f>Daily_Calculations!$A116</f>
        <v>46349</v>
      </c>
      <c r="B116" s="30">
        <f>Daily_Calculations!$U116</f>
        <v>2.9343609561185979E-2</v>
      </c>
    </row>
    <row r="117" spans="1:2">
      <c r="A117" s="25">
        <f>Daily_Calculations!$A117</f>
        <v>46350</v>
      </c>
      <c r="B117" s="30">
        <f>Daily_Calculations!$U117</f>
        <v>3.1127720647004326E-2</v>
      </c>
    </row>
    <row r="118" spans="1:2">
      <c r="A118" s="25">
        <f>Daily_Calculations!$A118</f>
        <v>46351</v>
      </c>
      <c r="B118" s="30">
        <f>Daily_Calculations!$U118</f>
        <v>3.9156220533186889E-2</v>
      </c>
    </row>
    <row r="119" spans="1:2">
      <c r="A119" s="25">
        <f>Daily_Calculations!$A119</f>
        <v>46352</v>
      </c>
      <c r="B119" s="30">
        <f>Daily_Calculations!$U119</f>
        <v>6.228276048310722E-2</v>
      </c>
    </row>
    <row r="120" spans="1:2">
      <c r="A120" s="25">
        <f>Daily_Calculations!$A120</f>
        <v>46353</v>
      </c>
      <c r="B120" s="30">
        <f>Daily_Calculations!$U120</f>
        <v>0.13630656229553637</v>
      </c>
    </row>
    <row r="121" spans="1:2">
      <c r="A121" s="25">
        <f>Daily_Calculations!$A121</f>
        <v>46354</v>
      </c>
      <c r="B121" s="30">
        <f>Daily_Calculations!$U121</f>
        <v>0</v>
      </c>
    </row>
    <row r="122" spans="1:2">
      <c r="A122" s="25">
        <f>Daily_Calculations!$A122</f>
        <v>46355</v>
      </c>
      <c r="B122" s="30">
        <f>Daily_Calculations!$U122</f>
        <v>0</v>
      </c>
    </row>
    <row r="123" spans="1:2">
      <c r="A123" s="25">
        <f>Daily_Calculations!$A123</f>
        <v>46356</v>
      </c>
      <c r="B123" s="30">
        <f>Daily_Calculations!$U123</f>
        <v>0.25554659385437967</v>
      </c>
    </row>
    <row r="124" spans="1:2">
      <c r="A124" s="25">
        <f>Daily_Calculations!$A124</f>
        <v>46357</v>
      </c>
      <c r="B124" s="30">
        <f>Daily_Calculations!$U124</f>
        <v>2.9343609561185979E-2</v>
      </c>
    </row>
    <row r="125" spans="1:2">
      <c r="A125" s="25">
        <f>Daily_Calculations!$A125</f>
        <v>46358</v>
      </c>
      <c r="B125" s="30">
        <f>Daily_Calculations!$U125</f>
        <v>2.7559498475367629E-2</v>
      </c>
    </row>
    <row r="126" spans="1:2">
      <c r="A126" s="25">
        <f>Daily_Calculations!$A126</f>
        <v>46359</v>
      </c>
      <c r="B126" s="30">
        <f>Daily_Calculations!$U126</f>
        <v>2.7559498475367629E-2</v>
      </c>
    </row>
    <row r="127" spans="1:2">
      <c r="A127" s="25">
        <f>Daily_Calculations!$A127</f>
        <v>46360</v>
      </c>
      <c r="B127" s="30">
        <f>Daily_Calculations!$U127</f>
        <v>3.8180452575527261E-2</v>
      </c>
    </row>
    <row r="128" spans="1:2">
      <c r="A128" s="25">
        <f>Daily_Calculations!$A128</f>
        <v>46361</v>
      </c>
      <c r="B128" s="30">
        <f>Daily_Calculations!$U128</f>
        <v>0</v>
      </c>
    </row>
    <row r="129" spans="1:2">
      <c r="A129" s="25">
        <f>Daily_Calculations!$A129</f>
        <v>46362</v>
      </c>
      <c r="B129" s="30">
        <f>Daily_Calculations!$U129</f>
        <v>0</v>
      </c>
    </row>
    <row r="130" spans="1:2">
      <c r="A130" s="25">
        <f>Daily_Calculations!$A130</f>
        <v>46363</v>
      </c>
      <c r="B130" s="30">
        <f>Daily_Calculations!$U130</f>
        <v>2.8451554018276808E-2</v>
      </c>
    </row>
    <row r="131" spans="1:2">
      <c r="A131" s="25">
        <f>Daily_Calculations!$A131</f>
        <v>46364</v>
      </c>
      <c r="B131" s="30">
        <f>Daily_Calculations!$U131</f>
        <v>2.8005526246822218E-2</v>
      </c>
    </row>
    <row r="132" spans="1:2">
      <c r="A132" s="25">
        <f>Daily_Calculations!$A132</f>
        <v>46365</v>
      </c>
      <c r="B132" s="30">
        <f>Daily_Calculations!$U132</f>
        <v>2.7559498475367629E-2</v>
      </c>
    </row>
    <row r="133" spans="1:2">
      <c r="A133" s="25">
        <f>Daily_Calculations!$A133</f>
        <v>46366</v>
      </c>
      <c r="B133" s="30">
        <f>Daily_Calculations!$U133</f>
        <v>2.9789637332640562E-2</v>
      </c>
    </row>
    <row r="134" spans="1:2">
      <c r="A134" s="25">
        <f>Daily_Calculations!$A134</f>
        <v>46367</v>
      </c>
      <c r="B134" s="30">
        <f>Daily_Calculations!$U134</f>
        <v>3.3720174860981396E-2</v>
      </c>
    </row>
    <row r="135" spans="1:2">
      <c r="A135" s="25">
        <f>Daily_Calculations!$A135</f>
        <v>46368</v>
      </c>
      <c r="B135" s="30">
        <f>Daily_Calculations!$U135</f>
        <v>0</v>
      </c>
    </row>
    <row r="136" spans="1:2">
      <c r="A136" s="25">
        <f>Daily_Calculations!$A136</f>
        <v>46369</v>
      </c>
      <c r="B136" s="30">
        <f>Daily_Calculations!$U136</f>
        <v>0</v>
      </c>
    </row>
    <row r="137" spans="1:2">
      <c r="A137" s="25">
        <f>Daily_Calculations!$A137</f>
        <v>46370</v>
      </c>
      <c r="B137" s="30">
        <f>Daily_Calculations!$U137</f>
        <v>2.7559498475367629E-2</v>
      </c>
    </row>
    <row r="138" spans="1:2">
      <c r="A138" s="25">
        <f>Daily_Calculations!$A138</f>
        <v>46371</v>
      </c>
      <c r="B138" s="30">
        <f>Daily_Calculations!$U138</f>
        <v>3.4249915047186434E-2</v>
      </c>
    </row>
    <row r="139" spans="1:2">
      <c r="A139" s="25">
        <f>Daily_Calculations!$A139</f>
        <v>46372</v>
      </c>
      <c r="B139" s="30">
        <f>Daily_Calculations!$U139</f>
        <v>2.8005526246822218E-2</v>
      </c>
    </row>
    <row r="140" spans="1:2">
      <c r="A140" s="25">
        <f>Daily_Calculations!$A140</f>
        <v>46373</v>
      </c>
      <c r="B140" s="30">
        <f>Daily_Calculations!$U140</f>
        <v>2.7559498475367629E-2</v>
      </c>
    </row>
    <row r="141" spans="1:2">
      <c r="A141" s="25">
        <f>Daily_Calculations!$A141</f>
        <v>46374</v>
      </c>
      <c r="B141" s="30">
        <f>Daily_Calculations!$U141</f>
        <v>3.8626480346981851E-2</v>
      </c>
    </row>
    <row r="142" spans="1:2">
      <c r="A142" s="25">
        <f>Daily_Calculations!$A142</f>
        <v>46375</v>
      </c>
      <c r="B142" s="30">
        <f>Daily_Calculations!$U142</f>
        <v>0</v>
      </c>
    </row>
    <row r="143" spans="1:2">
      <c r="A143" s="25">
        <f>Daily_Calculations!$A143</f>
        <v>46376</v>
      </c>
      <c r="B143" s="30">
        <f>Daily_Calculations!$U143</f>
        <v>0</v>
      </c>
    </row>
    <row r="144" spans="1:2">
      <c r="A144" s="25">
        <f>Daily_Calculations!$A144</f>
        <v>46377</v>
      </c>
      <c r="B144" s="30">
        <f>Daily_Calculations!$U144</f>
        <v>2.9789637332640562E-2</v>
      </c>
    </row>
    <row r="145" spans="1:2">
      <c r="A145" s="25">
        <f>Daily_Calculations!$A145</f>
        <v>46378</v>
      </c>
      <c r="B145" s="30">
        <f>Daily_Calculations!$U145</f>
        <v>2.8897581789731393E-2</v>
      </c>
    </row>
    <row r="146" spans="1:2">
      <c r="A146" s="25">
        <f>Daily_Calculations!$A146</f>
        <v>46379</v>
      </c>
      <c r="B146" s="30">
        <f>Daily_Calculations!$U146</f>
        <v>2.9343609561185979E-2</v>
      </c>
    </row>
    <row r="147" spans="1:2">
      <c r="A147" s="25">
        <f>Daily_Calculations!$A147</f>
        <v>46380</v>
      </c>
      <c r="B147" s="30">
        <f>Daily_Calculations!$U147</f>
        <v>0.12452139352808358</v>
      </c>
    </row>
    <row r="148" spans="1:2">
      <c r="A148" s="25">
        <f>Daily_Calculations!$A148</f>
        <v>46381</v>
      </c>
      <c r="B148" s="30">
        <f>Daily_Calculations!$U148</f>
        <v>8.5191304347826083E-2</v>
      </c>
    </row>
    <row r="149" spans="1:2">
      <c r="A149" s="25">
        <f>Daily_Calculations!$A149</f>
        <v>46382</v>
      </c>
      <c r="B149" s="30">
        <f>Daily_Calculations!$U149</f>
        <v>0</v>
      </c>
    </row>
    <row r="150" spans="1:2">
      <c r="A150" s="25">
        <f>Daily_Calculations!$A150</f>
        <v>46383</v>
      </c>
      <c r="B150" s="30">
        <f>Daily_Calculations!$U150</f>
        <v>0</v>
      </c>
    </row>
    <row r="151" spans="1:2">
      <c r="A151" s="25">
        <f>Daily_Calculations!$A151</f>
        <v>46384</v>
      </c>
      <c r="B151" s="30">
        <f>Daily_Calculations!$U151</f>
        <v>0</v>
      </c>
    </row>
    <row r="152" spans="1:2">
      <c r="A152" s="25">
        <f>Daily_Calculations!$A152</f>
        <v>46385</v>
      </c>
      <c r="B152" s="30">
        <f>Daily_Calculations!$U152</f>
        <v>2.9343609561185979E-2</v>
      </c>
    </row>
    <row r="153" spans="1:2">
      <c r="A153" s="25">
        <f>Daily_Calculations!$A153</f>
        <v>46386</v>
      </c>
      <c r="B153" s="30">
        <f>Daily_Calculations!$U153</f>
        <v>2.9789637332640562E-2</v>
      </c>
    </row>
    <row r="154" spans="1:2">
      <c r="A154" s="25">
        <f>Daily_Calculations!$A154</f>
        <v>46387</v>
      </c>
      <c r="B154" s="30">
        <f>Daily_Calculations!$U154</f>
        <v>0.3208678363229186</v>
      </c>
    </row>
    <row r="155" spans="1:2">
      <c r="A155" s="25">
        <f>Daily_Calculations!$A155</f>
        <v>46388</v>
      </c>
      <c r="B155" s="30">
        <f>Daily_Calculations!$U155</f>
        <v>0</v>
      </c>
    </row>
    <row r="156" spans="1:2">
      <c r="A156" s="25">
        <f>Daily_Calculations!$A156</f>
        <v>46389</v>
      </c>
      <c r="B156" s="30">
        <f>Daily_Calculations!$U156</f>
        <v>0</v>
      </c>
    </row>
    <row r="157" spans="1:2">
      <c r="A157" s="25">
        <f>Daily_Calculations!$A157</f>
        <v>46390</v>
      </c>
      <c r="B157" s="30">
        <f>Daily_Calculations!$U157</f>
        <v>0</v>
      </c>
    </row>
    <row r="158" spans="1:2">
      <c r="A158" s="25">
        <f>Daily_Calculations!$A158</f>
        <v>46391</v>
      </c>
      <c r="B158" s="30">
        <f>Daily_Calculations!$U158</f>
        <v>2.7559498475367629E-2</v>
      </c>
    </row>
    <row r="159" spans="1:2">
      <c r="A159" s="25">
        <f>Daily_Calculations!$A159</f>
        <v>46392</v>
      </c>
      <c r="B159" s="30">
        <f>Daily_Calculations!$U159</f>
        <v>3.1127720647004326E-2</v>
      </c>
    </row>
    <row r="160" spans="1:2">
      <c r="A160" s="25">
        <f>Daily_Calculations!$A160</f>
        <v>46393</v>
      </c>
      <c r="B160" s="30">
        <f>Daily_Calculations!$U160</f>
        <v>2.8897581789731393E-2</v>
      </c>
    </row>
    <row r="161" spans="1:2">
      <c r="A161" s="25">
        <f>Daily_Calculations!$A161</f>
        <v>46394</v>
      </c>
      <c r="B161" s="30">
        <f>Daily_Calculations!$U161</f>
        <v>2.8451554018276808E-2</v>
      </c>
    </row>
    <row r="162" spans="1:2">
      <c r="A162" s="25">
        <f>Daily_Calculations!$A162</f>
        <v>46395</v>
      </c>
      <c r="B162" s="30">
        <f>Daily_Calculations!$U162</f>
        <v>3.5950313718254329E-2</v>
      </c>
    </row>
    <row r="163" spans="1:2">
      <c r="A163" s="25">
        <f>Daily_Calculations!$A163</f>
        <v>46396</v>
      </c>
      <c r="B163" s="30">
        <f>Daily_Calculations!$U163</f>
        <v>0</v>
      </c>
    </row>
    <row r="164" spans="1:2">
      <c r="A164" s="25">
        <f>Daily_Calculations!$A164</f>
        <v>46397</v>
      </c>
      <c r="B164" s="30">
        <f>Daily_Calculations!$U164</f>
        <v>0</v>
      </c>
    </row>
    <row r="165" spans="1:2">
      <c r="A165" s="25">
        <f>Daily_Calculations!$A165</f>
        <v>46398</v>
      </c>
      <c r="B165" s="30">
        <f>Daily_Calculations!$U165</f>
        <v>2.7559498475367629E-2</v>
      </c>
    </row>
    <row r="166" spans="1:2">
      <c r="A166" s="25">
        <f>Daily_Calculations!$A166</f>
        <v>46399</v>
      </c>
      <c r="B166" s="30">
        <f>Daily_Calculations!$U166</f>
        <v>2.8005526246822218E-2</v>
      </c>
    </row>
    <row r="167" spans="1:2">
      <c r="A167" s="25">
        <f>Daily_Calculations!$A167</f>
        <v>46400</v>
      </c>
      <c r="B167" s="30">
        <f>Daily_Calculations!$U167</f>
        <v>2.7559498475367629E-2</v>
      </c>
    </row>
    <row r="168" spans="1:2">
      <c r="A168" s="25">
        <f>Daily_Calculations!$A168</f>
        <v>46401</v>
      </c>
      <c r="B168" s="30">
        <f>Daily_Calculations!$U168</f>
        <v>2.7559498475367629E-2</v>
      </c>
    </row>
    <row r="169" spans="1:2">
      <c r="A169" s="25">
        <f>Daily_Calculations!$A169</f>
        <v>46402</v>
      </c>
      <c r="B169" s="30">
        <f>Daily_Calculations!$U169</f>
        <v>4.0410591432800201E-2</v>
      </c>
    </row>
    <row r="170" spans="1:2">
      <c r="A170" s="25">
        <f>Daily_Calculations!$A170</f>
        <v>46403</v>
      </c>
      <c r="B170" s="30">
        <f>Daily_Calculations!$U170</f>
        <v>0</v>
      </c>
    </row>
    <row r="171" spans="1:2">
      <c r="A171" s="25">
        <f>Daily_Calculations!$A171</f>
        <v>46404</v>
      </c>
      <c r="B171" s="30">
        <f>Daily_Calculations!$U171</f>
        <v>0</v>
      </c>
    </row>
    <row r="172" spans="1:2">
      <c r="A172" s="25">
        <f>Daily_Calculations!$A172</f>
        <v>46405</v>
      </c>
      <c r="B172" s="30">
        <f>Daily_Calculations!$U172</f>
        <v>2.8451554018276808E-2</v>
      </c>
    </row>
    <row r="173" spans="1:2">
      <c r="A173" s="25">
        <f>Daily_Calculations!$A173</f>
        <v>46406</v>
      </c>
      <c r="B173" s="30">
        <f>Daily_Calculations!$U173</f>
        <v>2.8005526246822218E-2</v>
      </c>
    </row>
    <row r="174" spans="1:2">
      <c r="A174" s="25">
        <f>Daily_Calculations!$A174</f>
        <v>46407</v>
      </c>
      <c r="B174" s="30">
        <f>Daily_Calculations!$U174</f>
        <v>3.1573748418458912E-2</v>
      </c>
    </row>
    <row r="175" spans="1:2">
      <c r="A175" s="25">
        <f>Daily_Calculations!$A175</f>
        <v>46408</v>
      </c>
      <c r="B175" s="30">
        <f>Daily_Calculations!$U175</f>
        <v>2.9789637332640562E-2</v>
      </c>
    </row>
    <row r="176" spans="1:2">
      <c r="A176" s="25">
        <f>Daily_Calculations!$A176</f>
        <v>46409</v>
      </c>
      <c r="B176" s="30">
        <f>Daily_Calculations!$U176</f>
        <v>3.9964563661345612E-2</v>
      </c>
    </row>
    <row r="177" spans="1:2">
      <c r="A177" s="25">
        <f>Daily_Calculations!$A177</f>
        <v>46410</v>
      </c>
      <c r="B177" s="30">
        <f>Daily_Calculations!$U177</f>
        <v>0</v>
      </c>
    </row>
    <row r="178" spans="1:2">
      <c r="A178" s="25">
        <f>Daily_Calculations!$A178</f>
        <v>46411</v>
      </c>
      <c r="B178" s="30">
        <f>Daily_Calculations!$U178</f>
        <v>0</v>
      </c>
    </row>
    <row r="179" spans="1:2">
      <c r="A179" s="25">
        <f>Daily_Calculations!$A179</f>
        <v>46412</v>
      </c>
      <c r="B179" s="30">
        <f>Daily_Calculations!$U179</f>
        <v>3.9156220533186889E-2</v>
      </c>
    </row>
    <row r="180" spans="1:2">
      <c r="A180" s="25">
        <f>Daily_Calculations!$A180</f>
        <v>46413</v>
      </c>
      <c r="B180" s="30">
        <f>Daily_Calculations!$U180</f>
        <v>3.2465803961368084E-2</v>
      </c>
    </row>
    <row r="181" spans="1:2">
      <c r="A181" s="25">
        <f>Daily_Calculations!$A181</f>
        <v>46414</v>
      </c>
      <c r="B181" s="30">
        <f>Daily_Calculations!$U181</f>
        <v>3.2465803961368084E-2</v>
      </c>
    </row>
    <row r="182" spans="1:2">
      <c r="A182" s="25">
        <f>Daily_Calculations!$A182</f>
        <v>46415</v>
      </c>
      <c r="B182" s="30">
        <f>Daily_Calculations!$U182</f>
        <v>6.8527149283471436E-2</v>
      </c>
    </row>
    <row r="183" spans="1:2">
      <c r="A183" s="25">
        <f>Daily_Calculations!$A183</f>
        <v>46416</v>
      </c>
      <c r="B183" s="30">
        <f>Daily_Calculations!$U183</f>
        <v>0.28275978105264998</v>
      </c>
    </row>
    <row r="184" spans="1:2">
      <c r="A184" s="25">
        <f>Daily_Calculations!$A184</f>
        <v>46417</v>
      </c>
      <c r="B184" s="30">
        <f>Daily_Calculations!$U184</f>
        <v>0</v>
      </c>
    </row>
    <row r="185" spans="1:2">
      <c r="A185" s="25">
        <f>Daily_Calculations!$A185</f>
        <v>46418</v>
      </c>
      <c r="B185" s="30">
        <f>Daily_Calculations!$U185</f>
        <v>6.8153043478260872E-2</v>
      </c>
    </row>
    <row r="186" spans="1:2">
      <c r="A186" s="25">
        <f>Daily_Calculations!$A186</f>
        <v>46419</v>
      </c>
      <c r="B186" s="30">
        <f>Daily_Calculations!$U186</f>
        <v>2.9343609561185979E-2</v>
      </c>
    </row>
    <row r="187" spans="1:2">
      <c r="A187" s="25">
        <f>Daily_Calculations!$A187</f>
        <v>46420</v>
      </c>
      <c r="B187" s="30">
        <f>Daily_Calculations!$U187</f>
        <v>2.7559498475367629E-2</v>
      </c>
    </row>
    <row r="188" spans="1:2">
      <c r="A188" s="25">
        <f>Daily_Calculations!$A188</f>
        <v>46421</v>
      </c>
      <c r="B188" s="30">
        <f>Daily_Calculations!$U188</f>
        <v>2.7559498475367629E-2</v>
      </c>
    </row>
    <row r="189" spans="1:2">
      <c r="A189" s="25">
        <f>Daily_Calculations!$A189</f>
        <v>46422</v>
      </c>
      <c r="B189" s="30">
        <f>Daily_Calculations!$U189</f>
        <v>2.7559498475367629E-2</v>
      </c>
    </row>
    <row r="190" spans="1:2">
      <c r="A190" s="25">
        <f>Daily_Calculations!$A190</f>
        <v>46423</v>
      </c>
      <c r="B190" s="30">
        <f>Daily_Calculations!$U190</f>
        <v>3.9072508118436433E-2</v>
      </c>
    </row>
    <row r="191" spans="1:2">
      <c r="A191" s="25">
        <f>Daily_Calculations!$A191</f>
        <v>46424</v>
      </c>
      <c r="B191" s="30">
        <f>Daily_Calculations!$U191</f>
        <v>0</v>
      </c>
    </row>
    <row r="192" spans="1:2">
      <c r="A192" s="25">
        <f>Daily_Calculations!$A192</f>
        <v>46425</v>
      </c>
      <c r="B192" s="30">
        <f>Daily_Calculations!$U192</f>
        <v>0</v>
      </c>
    </row>
    <row r="193" spans="1:2">
      <c r="A193" s="25">
        <f>Daily_Calculations!$A193</f>
        <v>46426</v>
      </c>
      <c r="B193" s="30">
        <f>Daily_Calculations!$U193</f>
        <v>2.8005526246822218E-2</v>
      </c>
    </row>
    <row r="194" spans="1:2">
      <c r="A194" s="25">
        <f>Daily_Calculations!$A194</f>
        <v>46427</v>
      </c>
      <c r="B194" s="30">
        <f>Daily_Calculations!$U194</f>
        <v>2.7559498475367629E-2</v>
      </c>
    </row>
    <row r="195" spans="1:2">
      <c r="A195" s="25">
        <f>Daily_Calculations!$A195</f>
        <v>46428</v>
      </c>
      <c r="B195" s="30">
        <f>Daily_Calculations!$U195</f>
        <v>2.9789637332640562E-2</v>
      </c>
    </row>
    <row r="196" spans="1:2">
      <c r="A196" s="25">
        <f>Daily_Calculations!$A196</f>
        <v>46429</v>
      </c>
      <c r="B196" s="30">
        <f>Daily_Calculations!$U196</f>
        <v>2.7559498475367629E-2</v>
      </c>
    </row>
    <row r="197" spans="1:2">
      <c r="A197" s="25">
        <f>Daily_Calculations!$A197</f>
        <v>46430</v>
      </c>
      <c r="B197" s="30">
        <f>Daily_Calculations!$U197</f>
        <v>3.3720174860981396E-2</v>
      </c>
    </row>
    <row r="198" spans="1:2">
      <c r="A198" s="25">
        <f>Daily_Calculations!$A198</f>
        <v>46431</v>
      </c>
      <c r="B198" s="30">
        <f>Daily_Calculations!$U198</f>
        <v>0</v>
      </c>
    </row>
    <row r="199" spans="1:2">
      <c r="A199" s="25">
        <f>Daily_Calculations!$A199</f>
        <v>46432</v>
      </c>
      <c r="B199" s="30">
        <f>Daily_Calculations!$U199</f>
        <v>0</v>
      </c>
    </row>
    <row r="200" spans="1:2">
      <c r="A200" s="25">
        <f>Daily_Calculations!$A200</f>
        <v>46433</v>
      </c>
      <c r="B200" s="30">
        <f>Daily_Calculations!$U200</f>
        <v>3.4249915047186434E-2</v>
      </c>
    </row>
    <row r="201" spans="1:2">
      <c r="A201" s="25">
        <f>Daily_Calculations!$A201</f>
        <v>46434</v>
      </c>
      <c r="B201" s="30">
        <f>Daily_Calculations!$U201</f>
        <v>2.8005526246822218E-2</v>
      </c>
    </row>
    <row r="202" spans="1:2">
      <c r="A202" s="25">
        <f>Daily_Calculations!$A202</f>
        <v>46435</v>
      </c>
      <c r="B202" s="30">
        <f>Daily_Calculations!$U202</f>
        <v>2.7559498475367629E-2</v>
      </c>
    </row>
    <row r="203" spans="1:2">
      <c r="A203" s="25">
        <f>Daily_Calculations!$A203</f>
        <v>46436</v>
      </c>
      <c r="B203" s="30">
        <f>Daily_Calculations!$U203</f>
        <v>2.8451554018276808E-2</v>
      </c>
    </row>
    <row r="204" spans="1:2">
      <c r="A204" s="25">
        <f>Daily_Calculations!$A204</f>
        <v>46437</v>
      </c>
      <c r="B204" s="30">
        <f>Daily_Calculations!$U204</f>
        <v>3.9964563661345612E-2</v>
      </c>
    </row>
    <row r="205" spans="1:2">
      <c r="A205" s="25">
        <f>Daily_Calculations!$A205</f>
        <v>46438</v>
      </c>
      <c r="B205" s="30">
        <f>Daily_Calculations!$U205</f>
        <v>0</v>
      </c>
    </row>
    <row r="206" spans="1:2">
      <c r="A206" s="25">
        <f>Daily_Calculations!$A206</f>
        <v>46439</v>
      </c>
      <c r="B206" s="30">
        <f>Daily_Calculations!$U206</f>
        <v>0</v>
      </c>
    </row>
    <row r="207" spans="1:2">
      <c r="A207" s="25">
        <f>Daily_Calculations!$A207</f>
        <v>46440</v>
      </c>
      <c r="B207" s="30">
        <f>Daily_Calculations!$U207</f>
        <v>2.8897581789731393E-2</v>
      </c>
    </row>
    <row r="208" spans="1:2">
      <c r="A208" s="25">
        <f>Daily_Calculations!$A208</f>
        <v>46441</v>
      </c>
      <c r="B208" s="30">
        <f>Daily_Calculations!$U208</f>
        <v>2.9343609561185979E-2</v>
      </c>
    </row>
    <row r="209" spans="1:2">
      <c r="A209" s="25">
        <f>Daily_Calculations!$A209</f>
        <v>46442</v>
      </c>
      <c r="B209" s="30">
        <f>Daily_Calculations!$U209</f>
        <v>3.1127720647004326E-2</v>
      </c>
    </row>
    <row r="210" spans="1:2">
      <c r="A210" s="25">
        <f>Daily_Calculations!$A210</f>
        <v>46443</v>
      </c>
      <c r="B210" s="30">
        <f>Daily_Calculations!$U210</f>
        <v>6.8973177054926019E-2</v>
      </c>
    </row>
    <row r="211" spans="1:2">
      <c r="A211" s="25">
        <f>Daily_Calculations!$A211</f>
        <v>46444</v>
      </c>
      <c r="B211" s="30">
        <f>Daily_Calculations!$U211</f>
        <v>0.29703266973919673</v>
      </c>
    </row>
    <row r="212" spans="1:2">
      <c r="A212" s="25">
        <f>Daily_Calculations!$A212</f>
        <v>46445</v>
      </c>
      <c r="B212" s="30">
        <f>Daily_Calculations!$U212</f>
        <v>0</v>
      </c>
    </row>
    <row r="213" spans="1:2">
      <c r="A213" s="25">
        <f>Daily_Calculations!$A213</f>
        <v>46446</v>
      </c>
      <c r="B213" s="30">
        <f>Daily_Calculations!$U213</f>
        <v>6.8153043478260872E-2</v>
      </c>
    </row>
    <row r="214" spans="1:2">
      <c r="A214" s="25">
        <f>Daily_Calculations!$A214</f>
        <v>46447</v>
      </c>
      <c r="B214" s="30">
        <f>Daily_Calculations!$U214</f>
        <v>2.9343609561185979E-2</v>
      </c>
    </row>
    <row r="215" spans="1:2">
      <c r="A215" s="25">
        <f>Daily_Calculations!$A215</f>
        <v>46448</v>
      </c>
      <c r="B215" s="30">
        <f>Daily_Calculations!$U215</f>
        <v>2.7559498475367629E-2</v>
      </c>
    </row>
    <row r="216" spans="1:2">
      <c r="A216" s="25">
        <f>Daily_Calculations!$A216</f>
        <v>46449</v>
      </c>
      <c r="B216" s="30">
        <f>Daily_Calculations!$U216</f>
        <v>2.7559498475367629E-2</v>
      </c>
    </row>
    <row r="217" spans="1:2">
      <c r="A217" s="25">
        <f>Daily_Calculations!$A217</f>
        <v>46450</v>
      </c>
      <c r="B217" s="30">
        <f>Daily_Calculations!$U217</f>
        <v>2.7559498475367629E-2</v>
      </c>
    </row>
    <row r="218" spans="1:2">
      <c r="A218" s="25">
        <f>Daily_Calculations!$A218</f>
        <v>46451</v>
      </c>
      <c r="B218" s="30">
        <f>Daily_Calculations!$U218</f>
        <v>3.9072508118436433E-2</v>
      </c>
    </row>
    <row r="219" spans="1:2">
      <c r="A219" s="25">
        <f>Daily_Calculations!$A219</f>
        <v>46452</v>
      </c>
      <c r="B219" s="30">
        <f>Daily_Calculations!$U219</f>
        <v>0</v>
      </c>
    </row>
    <row r="220" spans="1:2">
      <c r="A220" s="25">
        <f>Daily_Calculations!$A220</f>
        <v>46453</v>
      </c>
      <c r="B220" s="30">
        <f>Daily_Calculations!$U220</f>
        <v>0</v>
      </c>
    </row>
    <row r="221" spans="1:2">
      <c r="A221" s="25">
        <f>Daily_Calculations!$A221</f>
        <v>46454</v>
      </c>
      <c r="B221" s="30">
        <f>Daily_Calculations!$U221</f>
        <v>2.8005526246822218E-2</v>
      </c>
    </row>
    <row r="222" spans="1:2">
      <c r="A222" s="25">
        <f>Daily_Calculations!$A222</f>
        <v>46455</v>
      </c>
      <c r="B222" s="30">
        <f>Daily_Calculations!$U222</f>
        <v>2.7559498475367629E-2</v>
      </c>
    </row>
    <row r="223" spans="1:2">
      <c r="A223" s="25">
        <f>Daily_Calculations!$A223</f>
        <v>46456</v>
      </c>
      <c r="B223" s="30">
        <f>Daily_Calculations!$U223</f>
        <v>2.9789637332640562E-2</v>
      </c>
    </row>
    <row r="224" spans="1:2">
      <c r="A224" s="25">
        <f>Daily_Calculations!$A224</f>
        <v>46457</v>
      </c>
      <c r="B224" s="30">
        <f>Daily_Calculations!$U224</f>
        <v>2.7559498475367629E-2</v>
      </c>
    </row>
    <row r="225" spans="1:2">
      <c r="A225" s="25">
        <f>Daily_Calculations!$A225</f>
        <v>46458</v>
      </c>
      <c r="B225" s="30">
        <f>Daily_Calculations!$U225</f>
        <v>3.3720174860981396E-2</v>
      </c>
    </row>
    <row r="226" spans="1:2">
      <c r="A226" s="25">
        <f>Daily_Calculations!$A226</f>
        <v>46459</v>
      </c>
      <c r="B226" s="30">
        <f>Daily_Calculations!$U226</f>
        <v>0</v>
      </c>
    </row>
    <row r="227" spans="1:2">
      <c r="A227" s="25">
        <f>Daily_Calculations!$A227</f>
        <v>46460</v>
      </c>
      <c r="B227" s="30">
        <f>Daily_Calculations!$U227</f>
        <v>0</v>
      </c>
    </row>
    <row r="228" spans="1:2">
      <c r="A228" s="25">
        <f>Daily_Calculations!$A228</f>
        <v>46461</v>
      </c>
      <c r="B228" s="30">
        <f>Daily_Calculations!$U228</f>
        <v>3.4249915047186434E-2</v>
      </c>
    </row>
    <row r="229" spans="1:2">
      <c r="A229" s="25">
        <f>Daily_Calculations!$A229</f>
        <v>46462</v>
      </c>
      <c r="B229" s="30">
        <f>Daily_Calculations!$U229</f>
        <v>2.8005526246822218E-2</v>
      </c>
    </row>
    <row r="230" spans="1:2">
      <c r="A230" s="25">
        <f>Daily_Calculations!$A230</f>
        <v>46463</v>
      </c>
      <c r="B230" s="30">
        <f>Daily_Calculations!$U230</f>
        <v>2.7559498475367629E-2</v>
      </c>
    </row>
    <row r="231" spans="1:2">
      <c r="A231" s="25">
        <f>Daily_Calculations!$A231</f>
        <v>46464</v>
      </c>
      <c r="B231" s="30">
        <f>Daily_Calculations!$U231</f>
        <v>2.8451554018276808E-2</v>
      </c>
    </row>
    <row r="232" spans="1:2">
      <c r="A232" s="25">
        <f>Daily_Calculations!$A232</f>
        <v>46465</v>
      </c>
      <c r="B232" s="30">
        <f>Daily_Calculations!$U232</f>
        <v>3.9964563661345612E-2</v>
      </c>
    </row>
    <row r="233" spans="1:2">
      <c r="A233" s="25">
        <f>Daily_Calculations!$A233</f>
        <v>46466</v>
      </c>
      <c r="B233" s="30">
        <f>Daily_Calculations!$U233</f>
        <v>0</v>
      </c>
    </row>
    <row r="234" spans="1:2">
      <c r="A234" s="25">
        <f>Daily_Calculations!$A234</f>
        <v>46467</v>
      </c>
      <c r="B234" s="30">
        <f>Daily_Calculations!$U234</f>
        <v>0</v>
      </c>
    </row>
    <row r="235" spans="1:2">
      <c r="A235" s="25">
        <f>Daily_Calculations!$A235</f>
        <v>46468</v>
      </c>
      <c r="B235" s="30">
        <f>Daily_Calculations!$U235</f>
        <v>2.8897581789731393E-2</v>
      </c>
    </row>
    <row r="236" spans="1:2">
      <c r="A236" s="25">
        <f>Daily_Calculations!$A236</f>
        <v>46469</v>
      </c>
      <c r="B236" s="30">
        <f>Daily_Calculations!$U236</f>
        <v>2.9343609561185979E-2</v>
      </c>
    </row>
    <row r="237" spans="1:2">
      <c r="A237" s="25">
        <f>Daily_Calculations!$A237</f>
        <v>46470</v>
      </c>
      <c r="B237" s="30">
        <f>Daily_Calculations!$U237</f>
        <v>3.1127720647004326E-2</v>
      </c>
    </row>
    <row r="238" spans="1:2">
      <c r="A238" s="25">
        <f>Daily_Calculations!$A238</f>
        <v>46471</v>
      </c>
      <c r="B238" s="30">
        <f>Daily_Calculations!$U238</f>
        <v>0.15255423896400441</v>
      </c>
    </row>
    <row r="239" spans="1:2">
      <c r="A239" s="25">
        <f>Daily_Calculations!$A239</f>
        <v>46472</v>
      </c>
      <c r="B239" s="30">
        <f>Daily_Calculations!$U239</f>
        <v>8.5191304347826083E-2</v>
      </c>
    </row>
    <row r="240" spans="1:2">
      <c r="A240" s="25">
        <f>Daily_Calculations!$A240</f>
        <v>46473</v>
      </c>
      <c r="B240" s="30">
        <f>Daily_Calculations!$U240</f>
        <v>0</v>
      </c>
    </row>
    <row r="241" spans="1:2">
      <c r="A241" s="25">
        <f>Daily_Calculations!$A241</f>
        <v>46474</v>
      </c>
      <c r="B241" s="30">
        <f>Daily_Calculations!$U241</f>
        <v>0</v>
      </c>
    </row>
    <row r="242" spans="1:2">
      <c r="A242" s="25">
        <f>Daily_Calculations!$A242</f>
        <v>46475</v>
      </c>
      <c r="B242" s="30">
        <f>Daily_Calculations!$U242</f>
        <v>0</v>
      </c>
    </row>
    <row r="243" spans="1:2">
      <c r="A243" s="25">
        <f>Daily_Calculations!$A243</f>
        <v>46476</v>
      </c>
      <c r="B243" s="30">
        <f>Daily_Calculations!$U243</f>
        <v>2.9789637332640562E-2</v>
      </c>
    </row>
    <row r="244" spans="1:2">
      <c r="A244" s="25">
        <f>Daily_Calculations!$A244</f>
        <v>46477</v>
      </c>
      <c r="B244" s="30">
        <f>Daily_Calculations!$U244</f>
        <v>0.25599262162583425</v>
      </c>
    </row>
    <row r="245" spans="1:2">
      <c r="A245" s="25">
        <f>Daily_Calculations!$A245</f>
        <v>46478</v>
      </c>
      <c r="B245" s="30">
        <f>Daily_Calculations!$U245</f>
        <v>2.9343609561185979E-2</v>
      </c>
    </row>
    <row r="246" spans="1:2">
      <c r="A246" s="25">
        <f>Daily_Calculations!$A246</f>
        <v>46479</v>
      </c>
      <c r="B246" s="30">
        <f>Daily_Calculations!$U246</f>
        <v>3.32741470895268E-2</v>
      </c>
    </row>
    <row r="247" spans="1:2">
      <c r="A247" s="25">
        <f>Daily_Calculations!$A247</f>
        <v>46480</v>
      </c>
      <c r="B247" s="30">
        <f>Daily_Calculations!$U247</f>
        <v>0</v>
      </c>
    </row>
    <row r="248" spans="1:2">
      <c r="A248" s="25">
        <f>Daily_Calculations!$A248</f>
        <v>46481</v>
      </c>
      <c r="B248" s="30">
        <f>Daily_Calculations!$U248</f>
        <v>0</v>
      </c>
    </row>
    <row r="249" spans="1:2">
      <c r="A249" s="25">
        <f>Daily_Calculations!$A249</f>
        <v>46482</v>
      </c>
      <c r="B249" s="30">
        <f>Daily_Calculations!$U249</f>
        <v>3.1127720647004326E-2</v>
      </c>
    </row>
    <row r="250" spans="1:2">
      <c r="A250" s="25">
        <f>Daily_Calculations!$A250</f>
        <v>46483</v>
      </c>
      <c r="B250" s="30">
        <f>Daily_Calculations!$U250</f>
        <v>2.8897581789731393E-2</v>
      </c>
    </row>
    <row r="251" spans="1:2">
      <c r="A251" s="25">
        <f>Daily_Calculations!$A251</f>
        <v>46484</v>
      </c>
      <c r="B251" s="30">
        <f>Daily_Calculations!$U251</f>
        <v>2.8451554018276808E-2</v>
      </c>
    </row>
    <row r="252" spans="1:2">
      <c r="A252" s="25">
        <f>Daily_Calculations!$A252</f>
        <v>46485</v>
      </c>
      <c r="B252" s="30">
        <f>Daily_Calculations!$U252</f>
        <v>2.8005526246822218E-2</v>
      </c>
    </row>
    <row r="253" spans="1:2">
      <c r="A253" s="25">
        <f>Daily_Calculations!$A253</f>
        <v>46486</v>
      </c>
      <c r="B253" s="30">
        <f>Daily_Calculations!$U253</f>
        <v>3.5504285946799739E-2</v>
      </c>
    </row>
    <row r="254" spans="1:2">
      <c r="A254" s="25">
        <f>Daily_Calculations!$A254</f>
        <v>46487</v>
      </c>
      <c r="B254" s="30">
        <f>Daily_Calculations!$U254</f>
        <v>0</v>
      </c>
    </row>
    <row r="255" spans="1:2">
      <c r="A255" s="25">
        <f>Daily_Calculations!$A255</f>
        <v>46488</v>
      </c>
      <c r="B255" s="30">
        <f>Daily_Calculations!$U255</f>
        <v>0</v>
      </c>
    </row>
    <row r="256" spans="1:2">
      <c r="A256" s="25">
        <f>Daily_Calculations!$A256</f>
        <v>46489</v>
      </c>
      <c r="B256" s="30">
        <f>Daily_Calculations!$U256</f>
        <v>2.8005526246822218E-2</v>
      </c>
    </row>
    <row r="257" spans="1:2">
      <c r="A257" s="25">
        <f>Daily_Calculations!$A257</f>
        <v>46490</v>
      </c>
      <c r="B257" s="30">
        <f>Daily_Calculations!$U257</f>
        <v>2.7559498475367629E-2</v>
      </c>
    </row>
    <row r="258" spans="1:2">
      <c r="A258" s="25">
        <f>Daily_Calculations!$A258</f>
        <v>46491</v>
      </c>
      <c r="B258" s="30">
        <f>Daily_Calculations!$U258</f>
        <v>2.7559498475367629E-2</v>
      </c>
    </row>
    <row r="259" spans="1:2">
      <c r="A259" s="25">
        <f>Daily_Calculations!$A259</f>
        <v>46492</v>
      </c>
      <c r="B259" s="30">
        <f>Daily_Calculations!$U259</f>
        <v>3.4249915047186434E-2</v>
      </c>
    </row>
    <row r="260" spans="1:2">
      <c r="A260" s="25">
        <f>Daily_Calculations!$A260</f>
        <v>46493</v>
      </c>
      <c r="B260" s="30">
        <f>Daily_Calculations!$U260</f>
        <v>3.4612230403890568E-2</v>
      </c>
    </row>
    <row r="261" spans="1:2">
      <c r="A261" s="25">
        <f>Daily_Calculations!$A261</f>
        <v>46494</v>
      </c>
      <c r="B261" s="30">
        <f>Daily_Calculations!$U261</f>
        <v>0</v>
      </c>
    </row>
    <row r="262" spans="1:2">
      <c r="A262" s="25">
        <f>Daily_Calculations!$A262</f>
        <v>46495</v>
      </c>
      <c r="B262" s="30">
        <f>Daily_Calculations!$U262</f>
        <v>0</v>
      </c>
    </row>
    <row r="263" spans="1:2">
      <c r="A263" s="25">
        <f>Daily_Calculations!$A263</f>
        <v>46496</v>
      </c>
      <c r="B263" s="30">
        <f>Daily_Calculations!$U263</f>
        <v>2.8005526246822218E-2</v>
      </c>
    </row>
    <row r="264" spans="1:2">
      <c r="A264" s="25">
        <f>Daily_Calculations!$A264</f>
        <v>46497</v>
      </c>
      <c r="B264" s="30">
        <f>Daily_Calculations!$U264</f>
        <v>3.1573748418458912E-2</v>
      </c>
    </row>
    <row r="265" spans="1:2">
      <c r="A265" s="25">
        <f>Daily_Calculations!$A265</f>
        <v>46498</v>
      </c>
      <c r="B265" s="30">
        <f>Daily_Calculations!$U265</f>
        <v>2.9789637332640562E-2</v>
      </c>
    </row>
    <row r="266" spans="1:2">
      <c r="A266" s="25">
        <f>Daily_Calculations!$A266</f>
        <v>46499</v>
      </c>
      <c r="B266" s="30">
        <f>Daily_Calculations!$U266</f>
        <v>2.8897581789731393E-2</v>
      </c>
    </row>
    <row r="267" spans="1:2">
      <c r="A267" s="25">
        <f>Daily_Calculations!$A267</f>
        <v>46500</v>
      </c>
      <c r="B267" s="30">
        <f>Daily_Calculations!$U267</f>
        <v>5.0223202404801097E-2</v>
      </c>
    </row>
    <row r="268" spans="1:2">
      <c r="A268" s="25">
        <f>Daily_Calculations!$A268</f>
        <v>46501</v>
      </c>
      <c r="B268" s="30">
        <f>Daily_Calculations!$U268</f>
        <v>0</v>
      </c>
    </row>
    <row r="269" spans="1:2">
      <c r="A269" s="25">
        <f>Daily_Calculations!$A269</f>
        <v>46502</v>
      </c>
      <c r="B269" s="30">
        <f>Daily_Calculations!$U269</f>
        <v>0</v>
      </c>
    </row>
    <row r="270" spans="1:2">
      <c r="A270" s="25">
        <f>Daily_Calculations!$A270</f>
        <v>46503</v>
      </c>
      <c r="B270" s="30">
        <f>Daily_Calculations!$U270</f>
        <v>3.2465803961368084E-2</v>
      </c>
    </row>
    <row r="271" spans="1:2">
      <c r="A271" s="25">
        <f>Daily_Calculations!$A271</f>
        <v>46504</v>
      </c>
      <c r="B271" s="30">
        <f>Daily_Calculations!$U271</f>
        <v>3.2465803961368084E-2</v>
      </c>
    </row>
    <row r="272" spans="1:2">
      <c r="A272" s="25">
        <f>Daily_Calculations!$A272</f>
        <v>46505</v>
      </c>
      <c r="B272" s="30">
        <f>Daily_Calculations!$U272</f>
        <v>3.87101927617323E-2</v>
      </c>
    </row>
    <row r="273" spans="1:2">
      <c r="A273" s="25">
        <f>Daily_Calculations!$A273</f>
        <v>46506</v>
      </c>
      <c r="B273" s="30">
        <f>Daily_Calculations!$U273</f>
        <v>5.9160566082925109E-2</v>
      </c>
    </row>
    <row r="274" spans="1:2">
      <c r="A274" s="25">
        <f>Daily_Calculations!$A274</f>
        <v>46507</v>
      </c>
      <c r="B274" s="30">
        <f>Daily_Calculations!$U274</f>
        <v>0.37579615637755087</v>
      </c>
    </row>
    <row r="275" spans="1:2">
      <c r="A275" s="25">
        <f>Daily_Calculations!$A275</f>
        <v>46508</v>
      </c>
      <c r="B275" s="30">
        <f>Daily_Calculations!$U275</f>
        <v>0</v>
      </c>
    </row>
    <row r="276" spans="1:2">
      <c r="A276" s="25">
        <f>Daily_Calculations!$A276</f>
        <v>46509</v>
      </c>
      <c r="B276" s="30">
        <f>Daily_Calculations!$U276</f>
        <v>0</v>
      </c>
    </row>
    <row r="277" spans="1:2">
      <c r="A277" s="25">
        <f>Daily_Calculations!$A277</f>
        <v>46510</v>
      </c>
      <c r="B277" s="30">
        <f>Daily_Calculations!$U277</f>
        <v>0</v>
      </c>
    </row>
    <row r="278" spans="1:2">
      <c r="A278" s="25">
        <f>Daily_Calculations!$A278</f>
        <v>46511</v>
      </c>
      <c r="B278" s="30">
        <f>Daily_Calculations!$U278</f>
        <v>2.7559498475367629E-2</v>
      </c>
    </row>
    <row r="279" spans="1:2">
      <c r="A279" s="25">
        <f>Daily_Calculations!$A279</f>
        <v>46512</v>
      </c>
      <c r="B279" s="30">
        <f>Daily_Calculations!$U279</f>
        <v>3.1127720647004326E-2</v>
      </c>
    </row>
    <row r="280" spans="1:2">
      <c r="A280" s="25">
        <f>Daily_Calculations!$A280</f>
        <v>46513</v>
      </c>
      <c r="B280" s="30">
        <f>Daily_Calculations!$U280</f>
        <v>2.8897581789731393E-2</v>
      </c>
    </row>
    <row r="281" spans="1:2">
      <c r="A281" s="25">
        <f>Daily_Calculations!$A281</f>
        <v>46514</v>
      </c>
      <c r="B281" s="30">
        <f>Daily_Calculations!$U281</f>
        <v>3.4612230403890568E-2</v>
      </c>
    </row>
    <row r="282" spans="1:2">
      <c r="A282" s="25">
        <f>Daily_Calculations!$A282</f>
        <v>46515</v>
      </c>
      <c r="B282" s="30">
        <f>Daily_Calculations!$U282</f>
        <v>0</v>
      </c>
    </row>
    <row r="283" spans="1:2">
      <c r="A283" s="25">
        <f>Daily_Calculations!$A283</f>
        <v>46516</v>
      </c>
      <c r="B283" s="30">
        <f>Daily_Calculations!$U283</f>
        <v>0</v>
      </c>
    </row>
    <row r="284" spans="1:2">
      <c r="A284" s="25">
        <f>Daily_Calculations!$A284</f>
        <v>46517</v>
      </c>
      <c r="B284" s="30">
        <f>Daily_Calculations!$U284</f>
        <v>2.9789637332640562E-2</v>
      </c>
    </row>
    <row r="285" spans="1:2">
      <c r="A285" s="25">
        <f>Daily_Calculations!$A285</f>
        <v>46518</v>
      </c>
      <c r="B285" s="30">
        <f>Daily_Calculations!$U285</f>
        <v>2.7559498475367629E-2</v>
      </c>
    </row>
    <row r="286" spans="1:2">
      <c r="A286" s="25">
        <f>Daily_Calculations!$A286</f>
        <v>46519</v>
      </c>
      <c r="B286" s="30">
        <f>Daily_Calculations!$U286</f>
        <v>2.8005526246822218E-2</v>
      </c>
    </row>
    <row r="287" spans="1:2">
      <c r="A287" s="25">
        <f>Daily_Calculations!$A287</f>
        <v>46520</v>
      </c>
      <c r="B287" s="30">
        <f>Daily_Calculations!$U287</f>
        <v>2.7559498475367629E-2</v>
      </c>
    </row>
    <row r="288" spans="1:2">
      <c r="A288" s="25">
        <f>Daily_Calculations!$A288</f>
        <v>46521</v>
      </c>
      <c r="B288" s="30">
        <f>Daily_Calculations!$U288</f>
        <v>4.0410591432800201E-2</v>
      </c>
    </row>
    <row r="289" spans="1:2">
      <c r="A289" s="25">
        <f>Daily_Calculations!$A289</f>
        <v>46522</v>
      </c>
      <c r="B289" s="30">
        <f>Daily_Calculations!$U289</f>
        <v>0</v>
      </c>
    </row>
    <row r="290" spans="1:2">
      <c r="A290" s="25">
        <f>Daily_Calculations!$A290</f>
        <v>46523</v>
      </c>
      <c r="B290" s="30">
        <f>Daily_Calculations!$U290</f>
        <v>0</v>
      </c>
    </row>
    <row r="291" spans="1:2">
      <c r="A291" s="25">
        <f>Daily_Calculations!$A291</f>
        <v>46524</v>
      </c>
      <c r="B291" s="30">
        <f>Daily_Calculations!$U291</f>
        <v>2.7559498475367629E-2</v>
      </c>
    </row>
    <row r="292" spans="1:2">
      <c r="A292" s="25">
        <f>Daily_Calculations!$A292</f>
        <v>46525</v>
      </c>
      <c r="B292" s="30">
        <f>Daily_Calculations!$U292</f>
        <v>2.8451554018276808E-2</v>
      </c>
    </row>
    <row r="293" spans="1:2">
      <c r="A293" s="25">
        <f>Daily_Calculations!$A293</f>
        <v>46526</v>
      </c>
      <c r="B293" s="30">
        <f>Daily_Calculations!$U293</f>
        <v>2.8005526246822218E-2</v>
      </c>
    </row>
    <row r="294" spans="1:2">
      <c r="A294" s="25">
        <f>Daily_Calculations!$A294</f>
        <v>46527</v>
      </c>
      <c r="B294" s="30">
        <f>Daily_Calculations!$U294</f>
        <v>3.1573748418458912E-2</v>
      </c>
    </row>
    <row r="295" spans="1:2">
      <c r="A295" s="25">
        <f>Daily_Calculations!$A295</f>
        <v>46528</v>
      </c>
      <c r="B295" s="30">
        <f>Daily_Calculations!$U295</f>
        <v>3.8626480346981851E-2</v>
      </c>
    </row>
    <row r="296" spans="1:2">
      <c r="A296" s="25">
        <f>Daily_Calculations!$A296</f>
        <v>46529</v>
      </c>
      <c r="B296" s="30">
        <f>Daily_Calculations!$U296</f>
        <v>0</v>
      </c>
    </row>
    <row r="297" spans="1:2">
      <c r="A297" s="25">
        <f>Daily_Calculations!$A297</f>
        <v>46530</v>
      </c>
      <c r="B297" s="30">
        <f>Daily_Calculations!$U297</f>
        <v>0</v>
      </c>
    </row>
    <row r="298" spans="1:2">
      <c r="A298" s="25">
        <f>Daily_Calculations!$A298</f>
        <v>46531</v>
      </c>
      <c r="B298" s="30">
        <f>Daily_Calculations!$U298</f>
        <v>3.1127720647004326E-2</v>
      </c>
    </row>
    <row r="299" spans="1:2">
      <c r="A299" s="25">
        <f>Daily_Calculations!$A299</f>
        <v>46532</v>
      </c>
      <c r="B299" s="30">
        <f>Daily_Calculations!$U299</f>
        <v>3.9156220533186889E-2</v>
      </c>
    </row>
    <row r="300" spans="1:2">
      <c r="A300" s="25">
        <f>Daily_Calculations!$A300</f>
        <v>46533</v>
      </c>
      <c r="B300" s="30">
        <f>Daily_Calculations!$U300</f>
        <v>3.2465803961368084E-2</v>
      </c>
    </row>
    <row r="301" spans="1:2">
      <c r="A301" s="25">
        <f>Daily_Calculations!$A301</f>
        <v>46534</v>
      </c>
      <c r="B301" s="30">
        <f>Daily_Calculations!$U301</f>
        <v>6.228276048310722E-2</v>
      </c>
    </row>
    <row r="302" spans="1:2">
      <c r="A302" s="25">
        <f>Daily_Calculations!$A302</f>
        <v>46535</v>
      </c>
      <c r="B302" s="30">
        <f>Daily_Calculations!$U302</f>
        <v>0.32146997381438225</v>
      </c>
    </row>
    <row r="303" spans="1:2">
      <c r="A303" s="25">
        <f>Daily_Calculations!$A303</f>
        <v>46536</v>
      </c>
      <c r="B303" s="30">
        <f>Daily_Calculations!$U303</f>
        <v>0</v>
      </c>
    </row>
    <row r="304" spans="1:2">
      <c r="A304" s="25">
        <f>Daily_Calculations!$A304</f>
        <v>46537</v>
      </c>
      <c r="B304" s="30">
        <f>Daily_Calculations!$U304</f>
        <v>0</v>
      </c>
    </row>
    <row r="305" spans="1:2">
      <c r="A305" s="25">
        <f>Daily_Calculations!$A305</f>
        <v>46538</v>
      </c>
      <c r="B305" s="30">
        <f>Daily_Calculations!$U305</f>
        <v>6.8153043478260872E-2</v>
      </c>
    </row>
    <row r="306" spans="1:2">
      <c r="A306" s="25">
        <f>Daily_Calculations!$A306</f>
        <v>46539</v>
      </c>
      <c r="B306" s="30">
        <f>Daily_Calculations!$U306</f>
        <v>2.9343609561185979E-2</v>
      </c>
    </row>
    <row r="307" spans="1:2">
      <c r="A307" s="25">
        <f>Daily_Calculations!$A307</f>
        <v>46540</v>
      </c>
      <c r="B307" s="30">
        <f>Daily_Calculations!$U307</f>
        <v>2.7559498475367629E-2</v>
      </c>
    </row>
    <row r="308" spans="1:2">
      <c r="A308" s="25">
        <f>Daily_Calculations!$A308</f>
        <v>46541</v>
      </c>
      <c r="B308" s="30">
        <f>Daily_Calculations!$U308</f>
        <v>2.7559498475367629E-2</v>
      </c>
    </row>
    <row r="309" spans="1:2">
      <c r="A309" s="25">
        <f>Daily_Calculations!$A309</f>
        <v>46542</v>
      </c>
      <c r="B309" s="30">
        <f>Daily_Calculations!$U309</f>
        <v>3.8180452575527261E-2</v>
      </c>
    </row>
    <row r="310" spans="1:2">
      <c r="A310" s="25">
        <f>Daily_Calculations!$A310</f>
        <v>46543</v>
      </c>
      <c r="B310" s="30">
        <f>Daily_Calculations!$U310</f>
        <v>0</v>
      </c>
    </row>
    <row r="311" spans="1:2">
      <c r="A311" s="25">
        <f>Daily_Calculations!$A311</f>
        <v>46544</v>
      </c>
      <c r="B311" s="30">
        <f>Daily_Calculations!$U311</f>
        <v>0</v>
      </c>
    </row>
    <row r="312" spans="1:2">
      <c r="A312" s="25">
        <f>Daily_Calculations!$A312</f>
        <v>46545</v>
      </c>
      <c r="B312" s="30">
        <f>Daily_Calculations!$U312</f>
        <v>2.8451554018276808E-2</v>
      </c>
    </row>
    <row r="313" spans="1:2">
      <c r="A313" s="25">
        <f>Daily_Calculations!$A313</f>
        <v>46546</v>
      </c>
      <c r="B313" s="30">
        <f>Daily_Calculations!$U313</f>
        <v>2.8005526246822218E-2</v>
      </c>
    </row>
    <row r="314" spans="1:2">
      <c r="A314" s="25">
        <f>Daily_Calculations!$A314</f>
        <v>46547</v>
      </c>
      <c r="B314" s="30">
        <f>Daily_Calculations!$U314</f>
        <v>2.7559498475367629E-2</v>
      </c>
    </row>
    <row r="315" spans="1:2">
      <c r="A315" s="25">
        <f>Daily_Calculations!$A315</f>
        <v>46548</v>
      </c>
      <c r="B315" s="30">
        <f>Daily_Calculations!$U315</f>
        <v>2.9789637332640562E-2</v>
      </c>
    </row>
    <row r="316" spans="1:2">
      <c r="A316" s="25">
        <f>Daily_Calculations!$A316</f>
        <v>46549</v>
      </c>
      <c r="B316" s="30">
        <f>Daily_Calculations!$U316</f>
        <v>3.3720174860981396E-2</v>
      </c>
    </row>
    <row r="317" spans="1:2">
      <c r="A317" s="25">
        <f>Daily_Calculations!$A317</f>
        <v>46550</v>
      </c>
      <c r="B317" s="30">
        <f>Daily_Calculations!$U317</f>
        <v>0</v>
      </c>
    </row>
    <row r="318" spans="1:2">
      <c r="A318" s="25">
        <f>Daily_Calculations!$A318</f>
        <v>46551</v>
      </c>
      <c r="B318" s="30">
        <f>Daily_Calculations!$U318</f>
        <v>0</v>
      </c>
    </row>
    <row r="319" spans="1:2">
      <c r="A319" s="25">
        <f>Daily_Calculations!$A319</f>
        <v>46552</v>
      </c>
      <c r="B319" s="30">
        <f>Daily_Calculations!$U319</f>
        <v>2.7559498475367629E-2</v>
      </c>
    </row>
    <row r="320" spans="1:2">
      <c r="A320" s="25">
        <f>Daily_Calculations!$A320</f>
        <v>46553</v>
      </c>
      <c r="B320" s="30">
        <f>Daily_Calculations!$U320</f>
        <v>3.4249915047186434E-2</v>
      </c>
    </row>
    <row r="321" spans="1:2">
      <c r="A321" s="25">
        <f>Daily_Calculations!$A321</f>
        <v>46554</v>
      </c>
      <c r="B321" s="30">
        <f>Daily_Calculations!$U321</f>
        <v>2.8005526246822218E-2</v>
      </c>
    </row>
    <row r="322" spans="1:2">
      <c r="A322" s="25">
        <f>Daily_Calculations!$A322</f>
        <v>46555</v>
      </c>
      <c r="B322" s="30">
        <f>Daily_Calculations!$U322</f>
        <v>2.7559498475367629E-2</v>
      </c>
    </row>
    <row r="323" spans="1:2">
      <c r="A323" s="25">
        <f>Daily_Calculations!$A323</f>
        <v>46556</v>
      </c>
      <c r="B323" s="30">
        <f>Daily_Calculations!$U323</f>
        <v>3.8626480346981851E-2</v>
      </c>
    </row>
    <row r="324" spans="1:2">
      <c r="A324" s="25">
        <f>Daily_Calculations!$A324</f>
        <v>46557</v>
      </c>
      <c r="B324" s="30">
        <f>Daily_Calculations!$U324</f>
        <v>0</v>
      </c>
    </row>
    <row r="325" spans="1:2">
      <c r="A325" s="25">
        <f>Daily_Calculations!$A325</f>
        <v>46558</v>
      </c>
      <c r="B325" s="30">
        <f>Daily_Calculations!$U325</f>
        <v>0</v>
      </c>
    </row>
    <row r="326" spans="1:2">
      <c r="A326" s="25">
        <f>Daily_Calculations!$A326</f>
        <v>46559</v>
      </c>
      <c r="B326" s="30">
        <f>Daily_Calculations!$U326</f>
        <v>2.9789637332640562E-2</v>
      </c>
    </row>
    <row r="327" spans="1:2">
      <c r="A327" s="25">
        <f>Daily_Calculations!$A327</f>
        <v>46560</v>
      </c>
      <c r="B327" s="30">
        <f>Daily_Calculations!$U327</f>
        <v>2.8897581789731393E-2</v>
      </c>
    </row>
    <row r="328" spans="1:2">
      <c r="A328" s="25">
        <f>Daily_Calculations!$A328</f>
        <v>46561</v>
      </c>
      <c r="B328" s="30">
        <f>Daily_Calculations!$U328</f>
        <v>2.9343609561185979E-2</v>
      </c>
    </row>
    <row r="329" spans="1:2">
      <c r="A329" s="25">
        <f>Daily_Calculations!$A329</f>
        <v>46562</v>
      </c>
      <c r="B329" s="30">
        <f>Daily_Calculations!$U329</f>
        <v>6.0944677168743452E-2</v>
      </c>
    </row>
    <row r="330" spans="1:2">
      <c r="A330" s="25">
        <f>Daily_Calculations!$A330</f>
        <v>46563</v>
      </c>
      <c r="B330" s="30">
        <f>Daily_Calculations!$U330</f>
        <v>0.13987478446717305</v>
      </c>
    </row>
    <row r="331" spans="1:2">
      <c r="A331" s="25">
        <f>Daily_Calculations!$A331</f>
        <v>46564</v>
      </c>
      <c r="B331" s="30">
        <f>Daily_Calculations!$U331</f>
        <v>0</v>
      </c>
    </row>
    <row r="332" spans="1:2">
      <c r="A332" s="25">
        <f>Daily_Calculations!$A332</f>
        <v>46565</v>
      </c>
      <c r="B332" s="30">
        <f>Daily_Calculations!$U332</f>
        <v>0</v>
      </c>
    </row>
    <row r="333" spans="1:2">
      <c r="A333" s="25">
        <f>Daily_Calculations!$A333</f>
        <v>46566</v>
      </c>
      <c r="B333" s="30">
        <f>Daily_Calculations!$U333</f>
        <v>3.87101927617323E-2</v>
      </c>
    </row>
    <row r="334" spans="1:2">
      <c r="A334" s="25">
        <f>Daily_Calculations!$A334</f>
        <v>46567</v>
      </c>
      <c r="B334" s="30">
        <f>Daily_Calculations!$U334</f>
        <v>2.9343609561185979E-2</v>
      </c>
    </row>
    <row r="335" spans="1:2">
      <c r="A335" s="25">
        <f>Daily_Calculations!$A335</f>
        <v>46568</v>
      </c>
      <c r="B335" s="30">
        <f>Daily_Calculations!$U335</f>
        <v>0.25554659385437967</v>
      </c>
    </row>
    <row r="336" spans="1:2">
      <c r="A336" s="25">
        <f>Daily_Calculations!$A336</f>
        <v>46569</v>
      </c>
      <c r="B336" s="30">
        <f>Daily_Calculations!$U336</f>
        <v>2.9343609561185979E-2</v>
      </c>
    </row>
    <row r="337" spans="1:2">
      <c r="A337" s="25">
        <f>Daily_Calculations!$A337</f>
        <v>46570</v>
      </c>
      <c r="B337" s="30">
        <f>Daily_Calculations!$U337</f>
        <v>3.32741470895268E-2</v>
      </c>
    </row>
    <row r="338" spans="1:2">
      <c r="A338" s="25">
        <f>Daily_Calculations!$A338</f>
        <v>46571</v>
      </c>
      <c r="B338" s="30">
        <f>Daily_Calculations!$U338</f>
        <v>0</v>
      </c>
    </row>
    <row r="339" spans="1:2">
      <c r="A339" s="25">
        <f>Daily_Calculations!$A339</f>
        <v>46572</v>
      </c>
      <c r="B339" s="30">
        <f>Daily_Calculations!$U339</f>
        <v>0</v>
      </c>
    </row>
    <row r="340" spans="1:2">
      <c r="A340" s="25">
        <f>Daily_Calculations!$A340</f>
        <v>46573</v>
      </c>
      <c r="B340" s="30">
        <f>Daily_Calculations!$U340</f>
        <v>3.1127720647004326E-2</v>
      </c>
    </row>
    <row r="341" spans="1:2">
      <c r="A341" s="25">
        <f>Daily_Calculations!$A341</f>
        <v>46574</v>
      </c>
      <c r="B341" s="30">
        <f>Daily_Calculations!$U341</f>
        <v>2.8897581789731393E-2</v>
      </c>
    </row>
    <row r="342" spans="1:2">
      <c r="A342" s="25">
        <f>Daily_Calculations!$A342</f>
        <v>46575</v>
      </c>
      <c r="B342" s="30">
        <f>Daily_Calculations!$U342</f>
        <v>2.8451554018276808E-2</v>
      </c>
    </row>
    <row r="343" spans="1:2">
      <c r="A343" s="25">
        <f>Daily_Calculations!$A343</f>
        <v>46576</v>
      </c>
      <c r="B343" s="30">
        <f>Daily_Calculations!$U343</f>
        <v>2.8005526246822218E-2</v>
      </c>
    </row>
    <row r="344" spans="1:2">
      <c r="A344" s="25">
        <f>Daily_Calculations!$A344</f>
        <v>46577</v>
      </c>
      <c r="B344" s="30">
        <f>Daily_Calculations!$U344</f>
        <v>3.5504285946799739E-2</v>
      </c>
    </row>
    <row r="345" spans="1:2">
      <c r="A345" s="25">
        <f>Daily_Calculations!$A345</f>
        <v>46578</v>
      </c>
      <c r="B345" s="30">
        <f>Daily_Calculations!$U345</f>
        <v>0</v>
      </c>
    </row>
    <row r="346" spans="1:2">
      <c r="A346" s="25">
        <f>Daily_Calculations!$A346</f>
        <v>46579</v>
      </c>
      <c r="B346" s="30">
        <f>Daily_Calculations!$U346</f>
        <v>0</v>
      </c>
    </row>
    <row r="347" spans="1:2">
      <c r="A347" s="25">
        <f>Daily_Calculations!$A347</f>
        <v>46580</v>
      </c>
      <c r="B347" s="30">
        <f>Daily_Calculations!$U347</f>
        <v>2.8005526246822218E-2</v>
      </c>
    </row>
    <row r="348" spans="1:2">
      <c r="A348" s="25">
        <f>Daily_Calculations!$A348</f>
        <v>46581</v>
      </c>
      <c r="B348" s="30">
        <f>Daily_Calculations!$U348</f>
        <v>2.7559498475367629E-2</v>
      </c>
    </row>
    <row r="349" spans="1:2">
      <c r="A349" s="25">
        <f>Daily_Calculations!$A349</f>
        <v>46582</v>
      </c>
      <c r="B349" s="30">
        <f>Daily_Calculations!$U349</f>
        <v>2.7559498475367629E-2</v>
      </c>
    </row>
    <row r="350" spans="1:2">
      <c r="A350" s="25">
        <f>Daily_Calculations!$A350</f>
        <v>46583</v>
      </c>
      <c r="B350" s="30">
        <f>Daily_Calculations!$U350</f>
        <v>3.4249915047186434E-2</v>
      </c>
    </row>
    <row r="351" spans="1:2">
      <c r="A351" s="25">
        <f>Daily_Calculations!$A351</f>
        <v>46584</v>
      </c>
      <c r="B351" s="30">
        <f>Daily_Calculations!$U351</f>
        <v>3.4612230403890568E-2</v>
      </c>
    </row>
    <row r="352" spans="1:2">
      <c r="A352" s="25">
        <f>Daily_Calculations!$A352</f>
        <v>46585</v>
      </c>
      <c r="B352" s="30">
        <f>Daily_Calculations!$U352</f>
        <v>0</v>
      </c>
    </row>
    <row r="353" spans="1:2">
      <c r="A353" s="25">
        <f>Daily_Calculations!$A353</f>
        <v>46586</v>
      </c>
      <c r="B353" s="30">
        <f>Daily_Calculations!$U353</f>
        <v>0</v>
      </c>
    </row>
    <row r="354" spans="1:2">
      <c r="A354" s="25">
        <f>Daily_Calculations!$A354</f>
        <v>46587</v>
      </c>
      <c r="B354" s="30">
        <f>Daily_Calculations!$U354</f>
        <v>2.8005526246822218E-2</v>
      </c>
    </row>
    <row r="355" spans="1:2">
      <c r="A355" s="25">
        <f>Daily_Calculations!$A355</f>
        <v>46588</v>
      </c>
      <c r="B355" s="30">
        <f>Daily_Calculations!$U355</f>
        <v>3.1573748418458912E-2</v>
      </c>
    </row>
    <row r="356" spans="1:2">
      <c r="A356" s="25">
        <f>Daily_Calculations!$A356</f>
        <v>46589</v>
      </c>
      <c r="B356" s="30">
        <f>Daily_Calculations!$U356</f>
        <v>2.9789637332640562E-2</v>
      </c>
    </row>
    <row r="357" spans="1:2">
      <c r="A357" s="25">
        <f>Daily_Calculations!$A357</f>
        <v>46590</v>
      </c>
      <c r="B357" s="30">
        <f>Daily_Calculations!$U357</f>
        <v>2.8897581789731393E-2</v>
      </c>
    </row>
    <row r="358" spans="1:2">
      <c r="A358" s="25">
        <f>Daily_Calculations!$A358</f>
        <v>46591</v>
      </c>
      <c r="B358" s="30">
        <f>Daily_Calculations!$U358</f>
        <v>5.0223202404801097E-2</v>
      </c>
    </row>
    <row r="359" spans="1:2">
      <c r="A359" s="25">
        <f>Daily_Calculations!$A359</f>
        <v>46592</v>
      </c>
      <c r="B359" s="30">
        <f>Daily_Calculations!$U359</f>
        <v>0</v>
      </c>
    </row>
    <row r="360" spans="1:2">
      <c r="A360" s="25">
        <f>Daily_Calculations!$A360</f>
        <v>46593</v>
      </c>
      <c r="B360" s="30">
        <f>Daily_Calculations!$U360</f>
        <v>0</v>
      </c>
    </row>
    <row r="361" spans="1:2">
      <c r="A361" s="25">
        <f>Daily_Calculations!$A361</f>
        <v>46594</v>
      </c>
      <c r="B361" s="30">
        <f>Daily_Calculations!$U361</f>
        <v>3.2465803961368084E-2</v>
      </c>
    </row>
    <row r="362" spans="1:2">
      <c r="A362" s="25">
        <f>Daily_Calculations!$A362</f>
        <v>46595</v>
      </c>
      <c r="B362" s="30">
        <f>Daily_Calculations!$U362</f>
        <v>3.2465803961368084E-2</v>
      </c>
    </row>
    <row r="363" spans="1:2">
      <c r="A363" s="25">
        <f>Daily_Calculations!$A363</f>
        <v>46596</v>
      </c>
      <c r="B363" s="30">
        <f>Daily_Calculations!$U363</f>
        <v>3.87101927617323E-2</v>
      </c>
    </row>
    <row r="364" spans="1:2">
      <c r="A364" s="25">
        <f>Daily_Calculations!$A364</f>
        <v>46597</v>
      </c>
      <c r="B364" s="30">
        <f>Daily_Calculations!$U364</f>
        <v>5.9160566082925109E-2</v>
      </c>
    </row>
    <row r="365" spans="1:2">
      <c r="A365" s="25">
        <f>Daily_Calculations!$A365</f>
        <v>46598</v>
      </c>
      <c r="B365" s="30">
        <f>Daily_Calculations!$U365</f>
        <v>0.28275978105264998</v>
      </c>
    </row>
    <row r="366" spans="1:2">
      <c r="A366" s="25">
        <f>Daily_Calculations!$A366</f>
        <v>46599</v>
      </c>
      <c r="B366" s="30">
        <f>Daily_Calculations!$U366</f>
        <v>6.8153043478260872E-2</v>
      </c>
    </row>
    <row r="367" spans="1:2">
      <c r="A367" s="25">
        <f>Daily_Calculations!$A367</f>
        <v>46600</v>
      </c>
      <c r="B367" s="30">
        <f>Daily_Calculations!$U367</f>
        <v>0</v>
      </c>
    </row>
    <row r="368" spans="1:2">
      <c r="A368" s="25">
        <f>Daily_Calculations!$A368</f>
        <v>46601</v>
      </c>
      <c r="B368" s="30">
        <f>Daily_Calculations!$U368</f>
        <v>2.7559498475367629E-2</v>
      </c>
    </row>
    <row r="369" spans="1:2">
      <c r="A369" s="25">
        <f>Daily_Calculations!$A369</f>
        <v>46602</v>
      </c>
      <c r="B369" s="30">
        <f>Daily_Calculations!$U369</f>
        <v>2.7559498475367629E-2</v>
      </c>
    </row>
    <row r="370" spans="1:2">
      <c r="A370" s="25">
        <f>Daily_Calculations!$A370</f>
        <v>46603</v>
      </c>
      <c r="B370" s="30">
        <f>Daily_Calculations!$U370</f>
        <v>2.7559498475367629E-2</v>
      </c>
    </row>
    <row r="371" spans="1:2">
      <c r="A371" s="25">
        <f>Daily_Calculations!$A371</f>
        <v>46604</v>
      </c>
      <c r="B371" s="30">
        <f>Daily_Calculations!$U371</f>
        <v>3.1127720647004326E-2</v>
      </c>
    </row>
    <row r="372" spans="1:2">
      <c r="A372" s="25">
        <f>Daily_Calculations!$A372</f>
        <v>46605</v>
      </c>
      <c r="B372" s="30">
        <f>Daily_Calculations!$U372</f>
        <v>3.5950313718254329E-2</v>
      </c>
    </row>
    <row r="373" spans="1:2">
      <c r="A373" s="25">
        <f>Daily_Calculations!$A373</f>
        <v>46606</v>
      </c>
      <c r="B373" s="30">
        <f>Daily_Calculations!$U373</f>
        <v>0</v>
      </c>
    </row>
    <row r="374" spans="1:2">
      <c r="A374" s="25">
        <f>Daily_Calculations!$A374</f>
        <v>46607</v>
      </c>
      <c r="B374" s="30">
        <f>Daily_Calculations!$U374</f>
        <v>0</v>
      </c>
    </row>
    <row r="375" spans="1:2">
      <c r="A375" s="25">
        <f>Daily_Calculations!$A375</f>
        <v>46608</v>
      </c>
      <c r="B375" s="30">
        <f>Daily_Calculations!$U375</f>
        <v>2.7559498475367629E-2</v>
      </c>
    </row>
    <row r="376" spans="1:2">
      <c r="A376" s="25">
        <f>Daily_Calculations!$A376</f>
        <v>46609</v>
      </c>
      <c r="B376" s="30">
        <f>Daily_Calculations!$U376</f>
        <v>2.9789637332640562E-2</v>
      </c>
    </row>
    <row r="377" spans="1:2">
      <c r="A377" s="25">
        <f>Daily_Calculations!$A377</f>
        <v>46610</v>
      </c>
      <c r="B377" s="30">
        <f>Daily_Calculations!$U377</f>
        <v>2.7559498475367629E-2</v>
      </c>
    </row>
    <row r="378" spans="1:2">
      <c r="A378" s="25">
        <f>Daily_Calculations!$A378</f>
        <v>46611</v>
      </c>
      <c r="B378" s="30">
        <f>Daily_Calculations!$U378</f>
        <v>2.8005526246822218E-2</v>
      </c>
    </row>
    <row r="379" spans="1:2">
      <c r="A379" s="25">
        <f>Daily_Calculations!$A379</f>
        <v>46612</v>
      </c>
      <c r="B379" s="30">
        <f>Daily_Calculations!$U379</f>
        <v>3.9964563661345612E-2</v>
      </c>
    </row>
    <row r="380" spans="1:2">
      <c r="A380" s="25">
        <f>Daily_Calculations!$A380</f>
        <v>46613</v>
      </c>
      <c r="B380" s="30">
        <f>Daily_Calculations!$U380</f>
        <v>0</v>
      </c>
    </row>
    <row r="381" spans="1:2">
      <c r="A381" s="25">
        <f>Daily_Calculations!$A381</f>
        <v>46614</v>
      </c>
      <c r="B381" s="30">
        <f>Daily_Calculations!$U381</f>
        <v>0</v>
      </c>
    </row>
    <row r="382" spans="1:2">
      <c r="A382" s="25">
        <f>Daily_Calculations!$A382</f>
        <v>46615</v>
      </c>
      <c r="B382" s="30">
        <f>Daily_Calculations!$U382</f>
        <v>2.8005526246822218E-2</v>
      </c>
    </row>
    <row r="383" spans="1:2">
      <c r="A383" s="25">
        <f>Daily_Calculations!$A383</f>
        <v>46616</v>
      </c>
      <c r="B383" s="30">
        <f>Daily_Calculations!$U383</f>
        <v>2.7559498475367629E-2</v>
      </c>
    </row>
    <row r="384" spans="1:2">
      <c r="A384" s="25">
        <f>Daily_Calculations!$A384</f>
        <v>46617</v>
      </c>
      <c r="B384" s="30">
        <f>Daily_Calculations!$U384</f>
        <v>2.8451554018276808E-2</v>
      </c>
    </row>
    <row r="385" spans="1:2">
      <c r="A385" s="25">
        <f>Daily_Calculations!$A385</f>
        <v>46618</v>
      </c>
      <c r="B385" s="30">
        <f>Daily_Calculations!$U385</f>
        <v>2.8005526246822218E-2</v>
      </c>
    </row>
    <row r="386" spans="1:2">
      <c r="A386" s="25">
        <f>Daily_Calculations!$A386</f>
        <v>46619</v>
      </c>
      <c r="B386" s="30">
        <f>Daily_Calculations!$U386</f>
        <v>4.085661920425479E-2</v>
      </c>
    </row>
    <row r="387" spans="1:2">
      <c r="A387" s="25">
        <f>Daily_Calculations!$A387</f>
        <v>46620</v>
      </c>
      <c r="B387" s="30">
        <f>Daily_Calculations!$U387</f>
        <v>0</v>
      </c>
    </row>
    <row r="388" spans="1:2">
      <c r="A388" s="25">
        <f>Daily_Calculations!$A388</f>
        <v>46621</v>
      </c>
      <c r="B388" s="30">
        <f>Daily_Calculations!$U388</f>
        <v>0</v>
      </c>
    </row>
    <row r="389" spans="1:2">
      <c r="A389" s="25">
        <f>Daily_Calculations!$A389</f>
        <v>46622</v>
      </c>
      <c r="B389" s="30">
        <f>Daily_Calculations!$U389</f>
        <v>2.9343609561185979E-2</v>
      </c>
    </row>
    <row r="390" spans="1:2">
      <c r="A390" s="25">
        <f>Daily_Calculations!$A390</f>
        <v>46623</v>
      </c>
      <c r="B390" s="30">
        <f>Daily_Calculations!$U390</f>
        <v>3.1127720647004326E-2</v>
      </c>
    </row>
    <row r="391" spans="1:2">
      <c r="A391" s="25">
        <f>Daily_Calculations!$A391</f>
        <v>46624</v>
      </c>
      <c r="B391" s="30">
        <f>Daily_Calculations!$U391</f>
        <v>3.9156220533186889E-2</v>
      </c>
    </row>
    <row r="392" spans="1:2">
      <c r="A392" s="25">
        <f>Daily_Calculations!$A392</f>
        <v>46625</v>
      </c>
      <c r="B392" s="30">
        <f>Daily_Calculations!$U392</f>
        <v>6.228276048310722E-2</v>
      </c>
    </row>
    <row r="393" spans="1:2">
      <c r="A393" s="25">
        <f>Daily_Calculations!$A393</f>
        <v>46626</v>
      </c>
      <c r="B393" s="30">
        <f>Daily_Calculations!$U393</f>
        <v>0.16609619962817693</v>
      </c>
    </row>
    <row r="394" spans="1:2">
      <c r="A394" s="25">
        <f>Daily_Calculations!$A394</f>
        <v>46627</v>
      </c>
      <c r="B394" s="30">
        <f>Daily_Calculations!$U394</f>
        <v>0</v>
      </c>
    </row>
    <row r="395" spans="1:2">
      <c r="A395" s="25">
        <f>Daily_Calculations!$A395</f>
        <v>46628</v>
      </c>
      <c r="B395" s="30">
        <f>Daily_Calculations!$U395</f>
        <v>0</v>
      </c>
    </row>
    <row r="396" spans="1:2">
      <c r="A396" s="25">
        <f>Daily_Calculations!$A396</f>
        <v>46629</v>
      </c>
      <c r="B396" s="30">
        <f>Daily_Calculations!$U396</f>
        <v>0</v>
      </c>
    </row>
    <row r="397" spans="1:2">
      <c r="A397" s="25">
        <f>Daily_Calculations!$A397</f>
        <v>46630</v>
      </c>
      <c r="B397" s="30">
        <f>Daily_Calculations!$U397</f>
        <v>0.25599262162583425</v>
      </c>
    </row>
    <row r="398" spans="1:2">
      <c r="A398" s="25">
        <f>Daily_Calculations!$A398</f>
        <v>46631</v>
      </c>
      <c r="B398" s="30">
        <f>Daily_Calculations!$U398</f>
        <v>2.9343609561185979E-2</v>
      </c>
    </row>
    <row r="399" spans="1:2">
      <c r="A399" s="25">
        <f>Daily_Calculations!$A399</f>
        <v>46632</v>
      </c>
      <c r="B399" s="30">
        <f>Daily_Calculations!$U399</f>
        <v>2.7559498475367629E-2</v>
      </c>
    </row>
    <row r="400" spans="1:2">
      <c r="A400" s="25">
        <f>Daily_Calculations!$A400</f>
        <v>46633</v>
      </c>
      <c r="B400" s="30">
        <f>Daily_Calculations!$U400</f>
        <v>3.68423692611635E-2</v>
      </c>
    </row>
    <row r="401" spans="1:2">
      <c r="A401" s="25">
        <f>Daily_Calculations!$A401</f>
        <v>46634</v>
      </c>
      <c r="B401" s="30">
        <f>Daily_Calculations!$U401</f>
        <v>0</v>
      </c>
    </row>
    <row r="402" spans="1:2">
      <c r="A402" s="25">
        <f>Daily_Calculations!$A402</f>
        <v>46635</v>
      </c>
      <c r="B402" s="30">
        <f>Daily_Calculations!$U402</f>
        <v>0</v>
      </c>
    </row>
    <row r="403" spans="1:2">
      <c r="A403" s="25">
        <f>Daily_Calculations!$A403</f>
        <v>46636</v>
      </c>
      <c r="B403" s="30">
        <f>Daily_Calculations!$U403</f>
        <v>2.8897581789731393E-2</v>
      </c>
    </row>
    <row r="404" spans="1:2">
      <c r="A404" s="25">
        <f>Daily_Calculations!$A404</f>
        <v>46637</v>
      </c>
      <c r="B404" s="30">
        <f>Daily_Calculations!$U404</f>
        <v>2.8451554018276808E-2</v>
      </c>
    </row>
    <row r="405" spans="1:2">
      <c r="A405" s="25">
        <f>Daily_Calculations!$A405</f>
        <v>46638</v>
      </c>
      <c r="B405" s="30">
        <f>Daily_Calculations!$U405</f>
        <v>2.8005526246822218E-2</v>
      </c>
    </row>
    <row r="406" spans="1:2">
      <c r="A406" s="25">
        <f>Daily_Calculations!$A406</f>
        <v>46639</v>
      </c>
      <c r="B406" s="30">
        <f>Daily_Calculations!$U406</f>
        <v>2.7559498475367629E-2</v>
      </c>
    </row>
    <row r="407" spans="1:2">
      <c r="A407" s="25">
        <f>Daily_Calculations!$A407</f>
        <v>46640</v>
      </c>
      <c r="B407" s="30">
        <f>Daily_Calculations!$U407</f>
        <v>3.5950313718254329E-2</v>
      </c>
    </row>
    <row r="408" spans="1:2">
      <c r="A408" s="25">
        <f>Daily_Calculations!$A408</f>
        <v>46641</v>
      </c>
      <c r="B408" s="30">
        <f>Daily_Calculations!$U408</f>
        <v>0</v>
      </c>
    </row>
    <row r="409" spans="1:2">
      <c r="A409" s="25">
        <f>Daily_Calculations!$A409</f>
        <v>46642</v>
      </c>
      <c r="B409" s="30">
        <f>Daily_Calculations!$U409</f>
        <v>0</v>
      </c>
    </row>
    <row r="410" spans="1:2">
      <c r="A410" s="25">
        <f>Daily_Calculations!$A410</f>
        <v>46643</v>
      </c>
      <c r="B410" s="30">
        <f>Daily_Calculations!$U410</f>
        <v>2.7559498475367629E-2</v>
      </c>
    </row>
    <row r="411" spans="1:2">
      <c r="A411" s="25">
        <f>Daily_Calculations!$A411</f>
        <v>46644</v>
      </c>
      <c r="B411" s="30">
        <f>Daily_Calculations!$U411</f>
        <v>2.7559498475367629E-2</v>
      </c>
    </row>
    <row r="412" spans="1:2">
      <c r="A412" s="25">
        <f>Daily_Calculations!$A412</f>
        <v>46645</v>
      </c>
      <c r="B412" s="30">
        <f>Daily_Calculations!$U412</f>
        <v>3.4249915047186434E-2</v>
      </c>
    </row>
    <row r="413" spans="1:2">
      <c r="A413" s="25">
        <f>Daily_Calculations!$A413</f>
        <v>46646</v>
      </c>
      <c r="B413" s="30">
        <f>Daily_Calculations!$U413</f>
        <v>2.8005526246822218E-2</v>
      </c>
    </row>
    <row r="414" spans="1:2">
      <c r="A414" s="25">
        <f>Daily_Calculations!$A414</f>
        <v>46647</v>
      </c>
      <c r="B414" s="30">
        <f>Daily_Calculations!$U414</f>
        <v>3.4612230403890568E-2</v>
      </c>
    </row>
    <row r="415" spans="1:2">
      <c r="A415" s="25">
        <f>Daily_Calculations!$A415</f>
        <v>46648</v>
      </c>
      <c r="B415" s="30">
        <f>Daily_Calculations!$U415</f>
        <v>0</v>
      </c>
    </row>
    <row r="416" spans="1:2">
      <c r="A416" s="25">
        <f>Daily_Calculations!$A416</f>
        <v>46649</v>
      </c>
      <c r="B416" s="30">
        <f>Daily_Calculations!$U416</f>
        <v>0</v>
      </c>
    </row>
    <row r="417" spans="1:2">
      <c r="A417" s="25">
        <f>Daily_Calculations!$A417</f>
        <v>46650</v>
      </c>
      <c r="B417" s="30">
        <f>Daily_Calculations!$U417</f>
        <v>3.1573748418458912E-2</v>
      </c>
    </row>
    <row r="418" spans="1:2">
      <c r="A418" s="25">
        <f>Daily_Calculations!$A418</f>
        <v>46651</v>
      </c>
      <c r="B418" s="30">
        <f>Daily_Calculations!$U418</f>
        <v>2.9789637332640562E-2</v>
      </c>
    </row>
    <row r="419" spans="1:2">
      <c r="A419" s="25">
        <f>Daily_Calculations!$A419</f>
        <v>46652</v>
      </c>
      <c r="B419" s="30">
        <f>Daily_Calculations!$U419</f>
        <v>2.8897581789731393E-2</v>
      </c>
    </row>
    <row r="420" spans="1:2">
      <c r="A420" s="25">
        <f>Daily_Calculations!$A420</f>
        <v>46653</v>
      </c>
      <c r="B420" s="30">
        <f>Daily_Calculations!$U420</f>
        <v>2.9343609561185979E-2</v>
      </c>
    </row>
    <row r="421" spans="1:2">
      <c r="A421" s="25">
        <f>Daily_Calculations!$A421</f>
        <v>46654</v>
      </c>
      <c r="B421" s="30">
        <f>Daily_Calculations!$U421</f>
        <v>0.13853670115280931</v>
      </c>
    </row>
    <row r="422" spans="1:2">
      <c r="A422" s="25">
        <f>Daily_Calculations!$A422</f>
        <v>46655</v>
      </c>
      <c r="B422" s="30">
        <f>Daily_Calculations!$U422</f>
        <v>0</v>
      </c>
    </row>
    <row r="423" spans="1:2">
      <c r="A423" s="25">
        <f>Daily_Calculations!$A423</f>
        <v>46656</v>
      </c>
      <c r="B423" s="30">
        <f>Daily_Calculations!$U423</f>
        <v>0</v>
      </c>
    </row>
    <row r="424" spans="1:2">
      <c r="A424" s="25">
        <f>Daily_Calculations!$A424</f>
        <v>46657</v>
      </c>
      <c r="B424" s="30">
        <f>Daily_Calculations!$U424</f>
        <v>3.2465803961368084E-2</v>
      </c>
    </row>
    <row r="425" spans="1:2">
      <c r="A425" s="25">
        <f>Daily_Calculations!$A425</f>
        <v>46658</v>
      </c>
      <c r="B425" s="30">
        <f>Daily_Calculations!$U425</f>
        <v>3.87101927617323E-2</v>
      </c>
    </row>
    <row r="426" spans="1:2">
      <c r="A426" s="25">
        <f>Daily_Calculations!$A426</f>
        <v>46659</v>
      </c>
      <c r="B426" s="30">
        <f>Daily_Calculations!$U426</f>
        <v>2.9343609561185979E-2</v>
      </c>
    </row>
    <row r="427" spans="1:2">
      <c r="A427" s="25">
        <f>Daily_Calculations!$A427</f>
        <v>46660</v>
      </c>
      <c r="B427" s="30">
        <f>Daily_Calculations!$U427</f>
        <v>0.28536355037611882</v>
      </c>
    </row>
    <row r="428" spans="1:2">
      <c r="A428" s="25">
        <f>Daily_Calculations!$A428</f>
        <v>46661</v>
      </c>
      <c r="B428" s="30">
        <f>Daily_Calculations!$U428</f>
        <v>3.505825817534515E-2</v>
      </c>
    </row>
    <row r="429" spans="1:2">
      <c r="A429" s="25">
        <f>Daily_Calculations!$A429</f>
        <v>46662</v>
      </c>
      <c r="B429" s="30">
        <f>Daily_Calculations!$U429</f>
        <v>0</v>
      </c>
    </row>
    <row r="430" spans="1:2">
      <c r="A430" s="25">
        <f>Daily_Calculations!$A430</f>
        <v>46663</v>
      </c>
      <c r="B430" s="30">
        <f>Daily_Calculations!$U430</f>
        <v>0</v>
      </c>
    </row>
    <row r="431" spans="1:2">
      <c r="A431" s="25">
        <f>Daily_Calculations!$A431</f>
        <v>46664</v>
      </c>
      <c r="B431" s="30">
        <f>Daily_Calculations!$U431</f>
        <v>2.7559498475367629E-2</v>
      </c>
    </row>
    <row r="432" spans="1:2">
      <c r="A432" s="25">
        <f>Daily_Calculations!$A432</f>
        <v>46665</v>
      </c>
      <c r="B432" s="30">
        <f>Daily_Calculations!$U432</f>
        <v>3.1127720647004326E-2</v>
      </c>
    </row>
    <row r="433" spans="1:2">
      <c r="A433" s="25">
        <f>Daily_Calculations!$A433</f>
        <v>46666</v>
      </c>
      <c r="B433" s="30">
        <f>Daily_Calculations!$U433</f>
        <v>2.8897581789731393E-2</v>
      </c>
    </row>
    <row r="434" spans="1:2">
      <c r="A434" s="25">
        <f>Daily_Calculations!$A434</f>
        <v>46667</v>
      </c>
      <c r="B434" s="30">
        <f>Daily_Calculations!$U434</f>
        <v>2.8451554018276808E-2</v>
      </c>
    </row>
    <row r="435" spans="1:2">
      <c r="A435" s="25">
        <f>Daily_Calculations!$A435</f>
        <v>46668</v>
      </c>
      <c r="B435" s="30">
        <f>Daily_Calculations!$U435</f>
        <v>3.5950313718254329E-2</v>
      </c>
    </row>
    <row r="436" spans="1:2">
      <c r="A436" s="25">
        <f>Daily_Calculations!$A436</f>
        <v>46669</v>
      </c>
      <c r="B436" s="30">
        <f>Daily_Calculations!$U436</f>
        <v>0</v>
      </c>
    </row>
    <row r="437" spans="1:2">
      <c r="A437" s="25">
        <f>Daily_Calculations!$A437</f>
        <v>46670</v>
      </c>
      <c r="B437" s="30">
        <f>Daily_Calculations!$U437</f>
        <v>0</v>
      </c>
    </row>
    <row r="438" spans="1:2">
      <c r="A438" s="25">
        <f>Daily_Calculations!$A438</f>
        <v>46671</v>
      </c>
      <c r="B438" s="30">
        <f>Daily_Calculations!$U438</f>
        <v>2.7559498475367629E-2</v>
      </c>
    </row>
    <row r="439" spans="1:2">
      <c r="A439" s="25">
        <f>Daily_Calculations!$A439</f>
        <v>46672</v>
      </c>
      <c r="B439" s="30">
        <f>Daily_Calculations!$U439</f>
        <v>2.8005526246822218E-2</v>
      </c>
    </row>
    <row r="440" spans="1:2">
      <c r="A440" s="25">
        <f>Daily_Calculations!$A440</f>
        <v>46673</v>
      </c>
      <c r="B440" s="30">
        <f>Daily_Calculations!$U440</f>
        <v>2.7559498475367629E-2</v>
      </c>
    </row>
    <row r="441" spans="1:2">
      <c r="A441" s="25">
        <f>Daily_Calculations!$A441</f>
        <v>46674</v>
      </c>
      <c r="B441" s="30">
        <f>Daily_Calculations!$U441</f>
        <v>2.7559498475367629E-2</v>
      </c>
    </row>
    <row r="442" spans="1:2">
      <c r="A442" s="25">
        <f>Daily_Calculations!$A442</f>
        <v>46675</v>
      </c>
      <c r="B442" s="30">
        <f>Daily_Calculations!$U442</f>
        <v>4.0410591432800201E-2</v>
      </c>
    </row>
    <row r="443" spans="1:2">
      <c r="A443" s="25">
        <f>Daily_Calculations!$A443</f>
        <v>46676</v>
      </c>
      <c r="B443" s="30">
        <f>Daily_Calculations!$U443</f>
        <v>0</v>
      </c>
    </row>
    <row r="444" spans="1:2">
      <c r="A444" s="25">
        <f>Daily_Calculations!$A444</f>
        <v>46677</v>
      </c>
      <c r="B444" s="30">
        <f>Daily_Calculations!$U444</f>
        <v>0</v>
      </c>
    </row>
    <row r="445" spans="1:2">
      <c r="A445" s="25">
        <f>Daily_Calculations!$A445</f>
        <v>46678</v>
      </c>
      <c r="B445" s="30">
        <f>Daily_Calculations!$U445</f>
        <v>2.8451554018276808E-2</v>
      </c>
    </row>
    <row r="446" spans="1:2">
      <c r="A446" s="25">
        <f>Daily_Calculations!$A446</f>
        <v>46679</v>
      </c>
      <c r="B446" s="30">
        <f>Daily_Calculations!$U446</f>
        <v>2.8005526246822218E-2</v>
      </c>
    </row>
    <row r="447" spans="1:2">
      <c r="A447" s="25">
        <f>Daily_Calculations!$A447</f>
        <v>46680</v>
      </c>
      <c r="B447" s="30">
        <f>Daily_Calculations!$U447</f>
        <v>3.1573748418458912E-2</v>
      </c>
    </row>
    <row r="448" spans="1:2">
      <c r="A448" s="25">
        <f>Daily_Calculations!$A448</f>
        <v>46681</v>
      </c>
      <c r="B448" s="30">
        <f>Daily_Calculations!$U448</f>
        <v>2.9789637332640562E-2</v>
      </c>
    </row>
    <row r="449" spans="1:2">
      <c r="A449" s="25">
        <f>Daily_Calculations!$A449</f>
        <v>46682</v>
      </c>
      <c r="B449" s="30">
        <f>Daily_Calculations!$U449</f>
        <v>3.9964563661345612E-2</v>
      </c>
    </row>
    <row r="450" spans="1:2">
      <c r="A450" s="25">
        <f>Daily_Calculations!$A450</f>
        <v>46683</v>
      </c>
      <c r="B450" s="30">
        <f>Daily_Calculations!$U450</f>
        <v>0</v>
      </c>
    </row>
    <row r="451" spans="1:2">
      <c r="A451" s="25">
        <f>Daily_Calculations!$A451</f>
        <v>46684</v>
      </c>
      <c r="B451" s="30">
        <f>Daily_Calculations!$U451</f>
        <v>0</v>
      </c>
    </row>
    <row r="452" spans="1:2">
      <c r="A452" s="25">
        <f>Daily_Calculations!$A452</f>
        <v>46685</v>
      </c>
      <c r="B452" s="30">
        <f>Daily_Calculations!$U452</f>
        <v>3.9156220533186889E-2</v>
      </c>
    </row>
    <row r="453" spans="1:2">
      <c r="A453" s="25">
        <f>Daily_Calculations!$A453</f>
        <v>46686</v>
      </c>
      <c r="B453" s="30">
        <f>Daily_Calculations!$U453</f>
        <v>3.2465803961368084E-2</v>
      </c>
    </row>
    <row r="454" spans="1:2">
      <c r="A454" s="25">
        <f>Daily_Calculations!$A454</f>
        <v>46687</v>
      </c>
      <c r="B454" s="30">
        <f>Daily_Calculations!$U454</f>
        <v>3.2465803961368084E-2</v>
      </c>
    </row>
    <row r="455" spans="1:2">
      <c r="A455" s="25">
        <f>Daily_Calculations!$A455</f>
        <v>46688</v>
      </c>
      <c r="B455" s="30">
        <f>Daily_Calculations!$U455</f>
        <v>6.8527149283471436E-2</v>
      </c>
    </row>
    <row r="456" spans="1:2">
      <c r="A456" s="25">
        <f>Daily_Calculations!$A456</f>
        <v>46689</v>
      </c>
      <c r="B456" s="30">
        <f>Daily_Calculations!$U456</f>
        <v>0.28275978105264998</v>
      </c>
    </row>
    <row r="457" spans="1:2">
      <c r="A457" s="25">
        <f>Daily_Calculations!$A457</f>
        <v>46690</v>
      </c>
      <c r="B457" s="30">
        <f>Daily_Calculations!$U457</f>
        <v>0</v>
      </c>
    </row>
    <row r="458" spans="1:2">
      <c r="A458" s="25">
        <f>Daily_Calculations!$A458</f>
        <v>46691</v>
      </c>
      <c r="B458" s="30">
        <f>Daily_Calculations!$U458</f>
        <v>6.8153043478260872E-2</v>
      </c>
    </row>
    <row r="459" spans="1:2">
      <c r="A459" s="25">
        <f>Daily_Calculations!$A459</f>
        <v>46692</v>
      </c>
      <c r="B459" s="30">
        <f>Daily_Calculations!$U459</f>
        <v>2.9343609561185979E-2</v>
      </c>
    </row>
    <row r="460" spans="1:2">
      <c r="A460" s="25">
        <f>Daily_Calculations!$A460</f>
        <v>46693</v>
      </c>
      <c r="B460" s="30">
        <f>Daily_Calculations!$U460</f>
        <v>2.7559498475367629E-2</v>
      </c>
    </row>
    <row r="461" spans="1:2">
      <c r="A461" s="25">
        <f>Daily_Calculations!$A461</f>
        <v>46694</v>
      </c>
      <c r="B461" s="30">
        <f>Daily_Calculations!$U461</f>
        <v>2.7559498475367629E-2</v>
      </c>
    </row>
    <row r="462" spans="1:2">
      <c r="A462" s="25">
        <f>Daily_Calculations!$A462</f>
        <v>46695</v>
      </c>
      <c r="B462" s="30">
        <f>Daily_Calculations!$U462</f>
        <v>2.7559498475367629E-2</v>
      </c>
    </row>
    <row r="463" spans="1:2">
      <c r="A463" s="25">
        <f>Daily_Calculations!$A463</f>
        <v>46696</v>
      </c>
      <c r="B463" s="30">
        <f>Daily_Calculations!$U463</f>
        <v>3.9072508118436433E-2</v>
      </c>
    </row>
    <row r="464" spans="1:2">
      <c r="A464" s="25">
        <f>Daily_Calculations!$A464</f>
        <v>46697</v>
      </c>
      <c r="B464" s="30">
        <f>Daily_Calculations!$U464</f>
        <v>0</v>
      </c>
    </row>
    <row r="465" spans="1:2">
      <c r="A465" s="25">
        <f>Daily_Calculations!$A465</f>
        <v>46698</v>
      </c>
      <c r="B465" s="30">
        <f>Daily_Calculations!$U465</f>
        <v>0</v>
      </c>
    </row>
    <row r="466" spans="1:2">
      <c r="A466" s="25">
        <f>Daily_Calculations!$A466</f>
        <v>46699</v>
      </c>
      <c r="B466" s="30">
        <f>Daily_Calculations!$U466</f>
        <v>2.8005526246822218E-2</v>
      </c>
    </row>
    <row r="467" spans="1:2">
      <c r="A467" s="25">
        <f>Daily_Calculations!$A467</f>
        <v>46700</v>
      </c>
      <c r="B467" s="30">
        <f>Daily_Calculations!$U467</f>
        <v>2.7559498475367629E-2</v>
      </c>
    </row>
    <row r="468" spans="1:2">
      <c r="A468" s="25">
        <f>Daily_Calculations!$A468</f>
        <v>46701</v>
      </c>
      <c r="B468" s="30">
        <f>Daily_Calculations!$U468</f>
        <v>2.9789637332640562E-2</v>
      </c>
    </row>
    <row r="469" spans="1:2">
      <c r="A469" s="25">
        <f>Daily_Calculations!$A469</f>
        <v>46702</v>
      </c>
      <c r="B469" s="30">
        <f>Daily_Calculations!$U469</f>
        <v>2.7559498475367629E-2</v>
      </c>
    </row>
    <row r="470" spans="1:2">
      <c r="A470" s="25">
        <f>Daily_Calculations!$A470</f>
        <v>46703</v>
      </c>
      <c r="B470" s="30">
        <f>Daily_Calculations!$U470</f>
        <v>3.3720174860981396E-2</v>
      </c>
    </row>
    <row r="471" spans="1:2">
      <c r="A471" s="25">
        <f>Daily_Calculations!$A471</f>
        <v>46704</v>
      </c>
      <c r="B471" s="30">
        <f>Daily_Calculations!$U471</f>
        <v>0</v>
      </c>
    </row>
    <row r="472" spans="1:2">
      <c r="A472" s="25">
        <f>Daily_Calculations!$A472</f>
        <v>46705</v>
      </c>
      <c r="B472" s="30">
        <f>Daily_Calculations!$U472</f>
        <v>0</v>
      </c>
    </row>
    <row r="473" spans="1:2">
      <c r="A473" s="25">
        <f>Daily_Calculations!$A473</f>
        <v>46706</v>
      </c>
      <c r="B473" s="30">
        <f>Daily_Calculations!$U473</f>
        <v>3.4249915047186434E-2</v>
      </c>
    </row>
    <row r="474" spans="1:2">
      <c r="A474" s="25">
        <f>Daily_Calculations!$A474</f>
        <v>46707</v>
      </c>
      <c r="B474" s="30">
        <f>Daily_Calculations!$U474</f>
        <v>2.8005526246822218E-2</v>
      </c>
    </row>
    <row r="475" spans="1:2">
      <c r="A475" s="25">
        <f>Daily_Calculations!$A475</f>
        <v>46708</v>
      </c>
      <c r="B475" s="30">
        <f>Daily_Calculations!$U475</f>
        <v>2.7559498475367629E-2</v>
      </c>
    </row>
    <row r="476" spans="1:2">
      <c r="A476" s="25">
        <f>Daily_Calculations!$A476</f>
        <v>46709</v>
      </c>
      <c r="B476" s="30">
        <f>Daily_Calculations!$U476</f>
        <v>2.8451554018276808E-2</v>
      </c>
    </row>
    <row r="477" spans="1:2">
      <c r="A477" s="25">
        <f>Daily_Calculations!$A477</f>
        <v>46710</v>
      </c>
      <c r="B477" s="30">
        <f>Daily_Calculations!$U477</f>
        <v>3.9964563661345612E-2</v>
      </c>
    </row>
    <row r="478" spans="1:2">
      <c r="A478" s="25">
        <f>Daily_Calculations!$A478</f>
        <v>46711</v>
      </c>
      <c r="B478" s="30">
        <f>Daily_Calculations!$U478</f>
        <v>0</v>
      </c>
    </row>
    <row r="479" spans="1:2">
      <c r="A479" s="25">
        <f>Daily_Calculations!$A479</f>
        <v>46712</v>
      </c>
      <c r="B479" s="30">
        <f>Daily_Calculations!$U479</f>
        <v>0</v>
      </c>
    </row>
    <row r="480" spans="1:2">
      <c r="A480" s="25">
        <f>Daily_Calculations!$A480</f>
        <v>46713</v>
      </c>
      <c r="B480" s="30">
        <f>Daily_Calculations!$U480</f>
        <v>2.8897581789731393E-2</v>
      </c>
    </row>
    <row r="481" spans="1:2">
      <c r="A481" s="25">
        <f>Daily_Calculations!$A481</f>
        <v>46714</v>
      </c>
      <c r="B481" s="30">
        <f>Daily_Calculations!$U481</f>
        <v>2.9343609561185979E-2</v>
      </c>
    </row>
    <row r="482" spans="1:2">
      <c r="A482" s="25">
        <f>Daily_Calculations!$A482</f>
        <v>46715</v>
      </c>
      <c r="B482" s="30">
        <f>Daily_Calculations!$U482</f>
        <v>3.1127720647004326E-2</v>
      </c>
    </row>
    <row r="483" spans="1:2">
      <c r="A483" s="25">
        <f>Daily_Calculations!$A483</f>
        <v>46716</v>
      </c>
      <c r="B483" s="30">
        <f>Daily_Calculations!$U483</f>
        <v>6.8973177054926019E-2</v>
      </c>
    </row>
    <row r="484" spans="1:2">
      <c r="A484" s="25">
        <f>Daily_Calculations!$A484</f>
        <v>46717</v>
      </c>
      <c r="B484" s="30">
        <f>Daily_Calculations!$U484</f>
        <v>0.13942875669571847</v>
      </c>
    </row>
    <row r="485" spans="1:2">
      <c r="A485" s="25">
        <f>Daily_Calculations!$A485</f>
        <v>46718</v>
      </c>
      <c r="B485" s="30">
        <f>Daily_Calculations!$U485</f>
        <v>0</v>
      </c>
    </row>
    <row r="486" spans="1:2">
      <c r="A486" s="25">
        <f>Daily_Calculations!$A486</f>
        <v>46719</v>
      </c>
      <c r="B486" s="30">
        <f>Daily_Calculations!$U486</f>
        <v>0</v>
      </c>
    </row>
    <row r="487" spans="1:2">
      <c r="A487" s="25">
        <f>Daily_Calculations!$A487</f>
        <v>46720</v>
      </c>
      <c r="B487" s="30">
        <f>Daily_Calculations!$U487</f>
        <v>2.9343609561185979E-2</v>
      </c>
    </row>
    <row r="488" spans="1:2">
      <c r="A488" s="25">
        <f>Daily_Calculations!$A488</f>
        <v>46721</v>
      </c>
      <c r="B488" s="30">
        <f>Daily_Calculations!$U488</f>
        <v>0.25554659385437967</v>
      </c>
    </row>
    <row r="489" spans="1:2">
      <c r="A489" s="25">
        <f>Daily_Calculations!$A489</f>
        <v>46722</v>
      </c>
      <c r="B489" s="30">
        <f>Daily_Calculations!$U489</f>
        <v>2.9343609561185979E-2</v>
      </c>
    </row>
    <row r="490" spans="1:2">
      <c r="A490" s="25">
        <f>Daily_Calculations!$A490</f>
        <v>46723</v>
      </c>
      <c r="B490" s="30">
        <f>Daily_Calculations!$U490</f>
        <v>2.7559498475367629E-2</v>
      </c>
    </row>
    <row r="491" spans="1:2">
      <c r="A491" s="25">
        <f>Daily_Calculations!$A491</f>
        <v>46724</v>
      </c>
      <c r="B491" s="30">
        <f>Daily_Calculations!$U491</f>
        <v>3.68423692611635E-2</v>
      </c>
    </row>
    <row r="492" spans="1:2">
      <c r="A492" s="25">
        <f>Daily_Calculations!$A492</f>
        <v>46725</v>
      </c>
      <c r="B492" s="30">
        <f>Daily_Calculations!$U492</f>
        <v>0</v>
      </c>
    </row>
    <row r="493" spans="1:2">
      <c r="A493" s="25">
        <f>Daily_Calculations!$A493</f>
        <v>46726</v>
      </c>
      <c r="B493" s="30">
        <f>Daily_Calculations!$U493</f>
        <v>0</v>
      </c>
    </row>
    <row r="494" spans="1:2">
      <c r="A494" s="25">
        <f>Daily_Calculations!$A494</f>
        <v>46727</v>
      </c>
      <c r="B494" s="30">
        <f>Daily_Calculations!$U494</f>
        <v>2.8897581789731393E-2</v>
      </c>
    </row>
    <row r="495" spans="1:2">
      <c r="A495" s="25">
        <f>Daily_Calculations!$A495</f>
        <v>46728</v>
      </c>
      <c r="B495" s="30">
        <f>Daily_Calculations!$U495</f>
        <v>2.8451554018276808E-2</v>
      </c>
    </row>
    <row r="496" spans="1:2">
      <c r="A496" s="25">
        <f>Daily_Calculations!$A496</f>
        <v>46729</v>
      </c>
      <c r="B496" s="30">
        <f>Daily_Calculations!$U496</f>
        <v>2.8005526246822218E-2</v>
      </c>
    </row>
    <row r="497" spans="1:2">
      <c r="A497" s="25">
        <f>Daily_Calculations!$A497</f>
        <v>46730</v>
      </c>
      <c r="B497" s="30">
        <f>Daily_Calculations!$U497</f>
        <v>2.7559498475367629E-2</v>
      </c>
    </row>
    <row r="498" spans="1:2">
      <c r="A498" s="25">
        <f>Daily_Calculations!$A498</f>
        <v>46731</v>
      </c>
      <c r="B498" s="30">
        <f>Daily_Calculations!$U498</f>
        <v>3.5950313718254329E-2</v>
      </c>
    </row>
    <row r="499" spans="1:2">
      <c r="A499" s="25">
        <f>Daily_Calculations!$A499</f>
        <v>46732</v>
      </c>
      <c r="B499" s="30">
        <f>Daily_Calculations!$U499</f>
        <v>0</v>
      </c>
    </row>
    <row r="500" spans="1:2">
      <c r="A500" s="25">
        <f>Daily_Calculations!$A500</f>
        <v>46733</v>
      </c>
      <c r="B500" s="30">
        <f>Daily_Calculations!$U500</f>
        <v>0</v>
      </c>
    </row>
    <row r="501" spans="1:2">
      <c r="A501" s="25">
        <f>Daily_Calculations!$A501</f>
        <v>46734</v>
      </c>
      <c r="B501" s="30">
        <f>Daily_Calculations!$U501</f>
        <v>2.7559498475367629E-2</v>
      </c>
    </row>
    <row r="502" spans="1:2">
      <c r="A502" s="25">
        <f>Daily_Calculations!$A502</f>
        <v>46735</v>
      </c>
      <c r="B502" s="30">
        <f>Daily_Calculations!$U502</f>
        <v>2.7559498475367629E-2</v>
      </c>
    </row>
    <row r="503" spans="1:2">
      <c r="A503" s="25">
        <f>Daily_Calculations!$A503</f>
        <v>46736</v>
      </c>
      <c r="B503" s="30">
        <f>Daily_Calculations!$U503</f>
        <v>3.4249915047186434E-2</v>
      </c>
    </row>
    <row r="504" spans="1:2">
      <c r="A504" s="25">
        <f>Daily_Calculations!$A504</f>
        <v>46737</v>
      </c>
      <c r="B504" s="30">
        <f>Daily_Calculations!$U504</f>
        <v>2.8005526246822218E-2</v>
      </c>
    </row>
    <row r="505" spans="1:2">
      <c r="A505" s="25">
        <f>Daily_Calculations!$A505</f>
        <v>46738</v>
      </c>
      <c r="B505" s="30">
        <f>Daily_Calculations!$U505</f>
        <v>3.4612230403890568E-2</v>
      </c>
    </row>
    <row r="506" spans="1:2">
      <c r="A506" s="25">
        <f>Daily_Calculations!$A506</f>
        <v>46739</v>
      </c>
      <c r="B506" s="30">
        <f>Daily_Calculations!$U506</f>
        <v>0</v>
      </c>
    </row>
    <row r="507" spans="1:2">
      <c r="A507" s="25">
        <f>Daily_Calculations!$A507</f>
        <v>46740</v>
      </c>
      <c r="B507" s="30">
        <f>Daily_Calculations!$U507</f>
        <v>0</v>
      </c>
    </row>
    <row r="508" spans="1:2">
      <c r="A508" s="25">
        <f>Daily_Calculations!$A508</f>
        <v>46741</v>
      </c>
      <c r="B508" s="30">
        <f>Daily_Calculations!$U508</f>
        <v>3.1573748418458912E-2</v>
      </c>
    </row>
    <row r="509" spans="1:2">
      <c r="A509" s="25">
        <f>Daily_Calculations!$A509</f>
        <v>46742</v>
      </c>
      <c r="B509" s="30">
        <f>Daily_Calculations!$U509</f>
        <v>2.9789637332640562E-2</v>
      </c>
    </row>
    <row r="510" spans="1:2">
      <c r="A510" s="25">
        <f>Daily_Calculations!$A510</f>
        <v>46743</v>
      </c>
      <c r="B510" s="30">
        <f>Daily_Calculations!$U510</f>
        <v>2.8897581789731393E-2</v>
      </c>
    </row>
    <row r="511" spans="1:2">
      <c r="A511" s="25">
        <f>Daily_Calculations!$A511</f>
        <v>46744</v>
      </c>
      <c r="B511" s="30">
        <f>Daily_Calculations!$U511</f>
        <v>2.9343609561185979E-2</v>
      </c>
    </row>
    <row r="512" spans="1:2">
      <c r="A512" s="25">
        <f>Daily_Calculations!$A512</f>
        <v>46745</v>
      </c>
      <c r="B512" s="30">
        <f>Daily_Calculations!$U512</f>
        <v>0.12452139352808358</v>
      </c>
    </row>
    <row r="513" spans="1:2">
      <c r="A513" s="25">
        <f>Daily_Calculations!$A513</f>
        <v>46746</v>
      </c>
      <c r="B513" s="30">
        <f>Daily_Calculations!$U513</f>
        <v>0</v>
      </c>
    </row>
    <row r="514" spans="1:2">
      <c r="A514" s="25">
        <f>Daily_Calculations!$A514</f>
        <v>46747</v>
      </c>
      <c r="B514" s="30">
        <f>Daily_Calculations!$U514</f>
        <v>0</v>
      </c>
    </row>
    <row r="515" spans="1:2">
      <c r="A515" s="25">
        <f>Daily_Calculations!$A515</f>
        <v>46748</v>
      </c>
      <c r="B515" s="30">
        <f>Daily_Calculations!$U515</f>
        <v>0</v>
      </c>
    </row>
    <row r="516" spans="1:2">
      <c r="A516" s="25">
        <f>Daily_Calculations!$A516</f>
        <v>46749</v>
      </c>
      <c r="B516" s="30">
        <f>Daily_Calculations!$U516</f>
        <v>0</v>
      </c>
    </row>
    <row r="517" spans="1:2">
      <c r="A517" s="25">
        <f>Daily_Calculations!$A517</f>
        <v>46750</v>
      </c>
      <c r="B517" s="30">
        <f>Daily_Calculations!$U517</f>
        <v>2.9343609561185979E-2</v>
      </c>
    </row>
    <row r="518" spans="1:2">
      <c r="A518" s="25">
        <f>Daily_Calculations!$A518</f>
        <v>46751</v>
      </c>
      <c r="B518" s="30">
        <f>Daily_Calculations!$U518</f>
        <v>5.9606593854379698E-2</v>
      </c>
    </row>
    <row r="519" spans="1:2">
      <c r="A519" s="25">
        <f>Daily_Calculations!$A519</f>
        <v>46752</v>
      </c>
      <c r="B519" s="30">
        <f>Daily_Calculations!$U519</f>
        <v>0.37624218414900545</v>
      </c>
    </row>
    <row r="520" spans="1:2">
      <c r="A520" s="25">
        <f>Daily_Calculations!$A520</f>
        <v>46753</v>
      </c>
      <c r="B520" s="30">
        <f>Daily_Calculations!$U520</f>
        <v>0</v>
      </c>
    </row>
    <row r="521" spans="1:2">
      <c r="A521" s="25">
        <f>Daily_Calculations!$A521</f>
        <v>46754</v>
      </c>
      <c r="B521" s="30">
        <f>Daily_Calculations!$U521</f>
        <v>0</v>
      </c>
    </row>
    <row r="522" spans="1:2">
      <c r="A522" s="25">
        <f>Daily_Calculations!$A522</f>
        <v>46755</v>
      </c>
      <c r="B522" s="30">
        <f>Daily_Calculations!$U522</f>
        <v>0</v>
      </c>
    </row>
    <row r="523" spans="1:2">
      <c r="A523" s="25">
        <f>Daily_Calculations!$A523</f>
        <v>46756</v>
      </c>
      <c r="B523" s="30">
        <f>Daily_Calculations!$U523</f>
        <v>2.7559498475367629E-2</v>
      </c>
    </row>
    <row r="524" spans="1:2">
      <c r="A524" s="25">
        <f>Daily_Calculations!$A524</f>
        <v>46757</v>
      </c>
      <c r="B524" s="30">
        <f>Daily_Calculations!$U524</f>
        <v>3.1127720647004326E-2</v>
      </c>
    </row>
    <row r="525" spans="1:2">
      <c r="A525" s="25">
        <f>Daily_Calculations!$A525</f>
        <v>46758</v>
      </c>
      <c r="B525" s="30">
        <f>Daily_Calculations!$U525</f>
        <v>2.8897581789731393E-2</v>
      </c>
    </row>
    <row r="526" spans="1:2">
      <c r="A526" s="25">
        <f>Daily_Calculations!$A526</f>
        <v>46759</v>
      </c>
      <c r="B526" s="30">
        <f>Daily_Calculations!$U526</f>
        <v>3.4612230403890568E-2</v>
      </c>
    </row>
    <row r="527" spans="1:2">
      <c r="A527" s="25">
        <f>Daily_Calculations!$A527</f>
        <v>46760</v>
      </c>
      <c r="B527" s="30">
        <f>Daily_Calculations!$U527</f>
        <v>0</v>
      </c>
    </row>
    <row r="528" spans="1:2">
      <c r="A528" s="25">
        <f>Daily_Calculations!$A528</f>
        <v>46761</v>
      </c>
      <c r="B528" s="30">
        <f>Daily_Calculations!$U528</f>
        <v>0</v>
      </c>
    </row>
    <row r="529" spans="1:2">
      <c r="A529" s="25">
        <f>Daily_Calculations!$A529</f>
        <v>46762</v>
      </c>
      <c r="B529" s="30">
        <f>Daily_Calculations!$U529</f>
        <v>2.9789637332640562E-2</v>
      </c>
    </row>
    <row r="530" spans="1:2">
      <c r="A530" s="25">
        <f>Daily_Calculations!$A530</f>
        <v>46763</v>
      </c>
      <c r="B530" s="30">
        <f>Daily_Calculations!$U530</f>
        <v>2.7559498475367629E-2</v>
      </c>
    </row>
    <row r="531" spans="1:2">
      <c r="A531" s="25">
        <f>Daily_Calculations!$A531</f>
        <v>46764</v>
      </c>
      <c r="B531" s="30">
        <f>Daily_Calculations!$U531</f>
        <v>2.8005526246822218E-2</v>
      </c>
    </row>
    <row r="532" spans="1:2">
      <c r="A532" s="25">
        <f>Daily_Calculations!$A532</f>
        <v>46765</v>
      </c>
      <c r="B532" s="30">
        <f>Daily_Calculations!$U532</f>
        <v>2.7559498475367629E-2</v>
      </c>
    </row>
    <row r="533" spans="1:2">
      <c r="A533" s="25"/>
    </row>
    <row r="534" spans="1:2">
      <c r="A534" s="25"/>
    </row>
    <row r="535" spans="1:2">
      <c r="A535" s="25"/>
    </row>
    <row r="536" spans="1:2">
      <c r="A536" s="25"/>
    </row>
    <row r="537" spans="1:2">
      <c r="A537" s="25"/>
    </row>
    <row r="538" spans="1:2">
      <c r="A538" s="25"/>
    </row>
    <row r="539" spans="1:2">
      <c r="A539" s="25"/>
    </row>
    <row r="540" spans="1:2">
      <c r="A540" s="25"/>
    </row>
    <row r="541" spans="1:2">
      <c r="A541" s="25"/>
    </row>
    <row r="542" spans="1:2">
      <c r="A542" s="25"/>
    </row>
    <row r="543" spans="1:2">
      <c r="A543" s="25"/>
    </row>
    <row r="544" spans="1:2">
      <c r="A544" s="25"/>
    </row>
    <row r="545" spans="1:1">
      <c r="A545" s="25"/>
    </row>
    <row r="546" spans="1:1">
      <c r="A546" s="25"/>
    </row>
    <row r="547" spans="1:1">
      <c r="A547" s="25"/>
    </row>
    <row r="548" spans="1:1">
      <c r="A548" s="25"/>
    </row>
    <row r="549" spans="1:1">
      <c r="A549" s="25"/>
    </row>
    <row r="550" spans="1:1">
      <c r="A550" s="25"/>
    </row>
    <row r="551" spans="1:1">
      <c r="A551" s="25"/>
    </row>
    <row r="552" spans="1:1">
      <c r="A552" s="25"/>
    </row>
    <row r="553" spans="1:1">
      <c r="A553" s="25"/>
    </row>
    <row r="554" spans="1:1">
      <c r="A554" s="25"/>
    </row>
    <row r="555" spans="1:1">
      <c r="A555" s="25"/>
    </row>
    <row r="556" spans="1:1">
      <c r="A556" s="25"/>
    </row>
    <row r="557" spans="1:1">
      <c r="A557" s="25"/>
    </row>
    <row r="558" spans="1:1">
      <c r="A558" s="25"/>
    </row>
    <row r="559" spans="1:1">
      <c r="A559" s="25"/>
    </row>
    <row r="560" spans="1:1">
      <c r="A560" s="25"/>
    </row>
    <row r="561" spans="1:1">
      <c r="A561" s="25"/>
    </row>
    <row r="562" spans="1:1">
      <c r="A562" s="25"/>
    </row>
    <row r="563" spans="1:1">
      <c r="A563" s="25"/>
    </row>
    <row r="564" spans="1:1">
      <c r="A564" s="25"/>
    </row>
    <row r="565" spans="1:1">
      <c r="A565" s="25"/>
    </row>
    <row r="566" spans="1:1">
      <c r="A566" s="25"/>
    </row>
    <row r="567" spans="1:1">
      <c r="A567" s="25"/>
    </row>
    <row r="568" spans="1:1">
      <c r="A568" s="25"/>
    </row>
    <row r="569" spans="1:1">
      <c r="A569" s="25"/>
    </row>
    <row r="570" spans="1:1">
      <c r="A570" s="25"/>
    </row>
    <row r="571" spans="1:1">
      <c r="A571" s="25"/>
    </row>
    <row r="572" spans="1:1">
      <c r="A572" s="25"/>
    </row>
    <row r="573" spans="1:1">
      <c r="A573" s="25"/>
    </row>
    <row r="574" spans="1:1">
      <c r="A574" s="25"/>
    </row>
    <row r="575" spans="1:1">
      <c r="A575" s="25"/>
    </row>
    <row r="576" spans="1:1">
      <c r="A576" s="25"/>
    </row>
    <row r="577" spans="1:1">
      <c r="A577" s="25"/>
    </row>
    <row r="578" spans="1:1">
      <c r="A578" s="25"/>
    </row>
    <row r="579" spans="1:1">
      <c r="A579" s="25"/>
    </row>
    <row r="580" spans="1:1">
      <c r="A580" s="25"/>
    </row>
    <row r="581" spans="1:1">
      <c r="A581" s="25"/>
    </row>
    <row r="582" spans="1:1">
      <c r="A582" s="25"/>
    </row>
    <row r="583" spans="1:1">
      <c r="A583" s="25"/>
    </row>
    <row r="584" spans="1:1">
      <c r="A584" s="25"/>
    </row>
    <row r="585" spans="1:1">
      <c r="A585" s="25"/>
    </row>
    <row r="586" spans="1:1">
      <c r="A586" s="25"/>
    </row>
    <row r="587" spans="1:1">
      <c r="A587" s="25"/>
    </row>
    <row r="588" spans="1:1">
      <c r="A588" s="25"/>
    </row>
    <row r="589" spans="1:1">
      <c r="A589" s="25"/>
    </row>
    <row r="590" spans="1:1">
      <c r="A590" s="25"/>
    </row>
    <row r="591" spans="1:1">
      <c r="A591" s="25"/>
    </row>
    <row r="592" spans="1:1">
      <c r="A592" s="25"/>
    </row>
    <row r="593" spans="1:1">
      <c r="A593" s="25"/>
    </row>
    <row r="594" spans="1:1">
      <c r="A594" s="25"/>
    </row>
    <row r="595" spans="1:1">
      <c r="A595" s="25"/>
    </row>
    <row r="596" spans="1:1">
      <c r="A596" s="25"/>
    </row>
    <row r="597" spans="1:1">
      <c r="A597" s="25"/>
    </row>
    <row r="598" spans="1:1">
      <c r="A598" s="25"/>
    </row>
    <row r="599" spans="1:1">
      <c r="A599" s="25"/>
    </row>
    <row r="600" spans="1:1">
      <c r="A600" s="25"/>
    </row>
    <row r="601" spans="1:1">
      <c r="A601" s="25"/>
    </row>
    <row r="602" spans="1:1">
      <c r="A602" s="25"/>
    </row>
    <row r="603" spans="1:1">
      <c r="A603" s="25"/>
    </row>
    <row r="604" spans="1:1">
      <c r="A604" s="25"/>
    </row>
    <row r="605" spans="1:1">
      <c r="A605" s="25"/>
    </row>
    <row r="606" spans="1:1">
      <c r="A606" s="25"/>
    </row>
    <row r="607" spans="1:1">
      <c r="A607" s="25"/>
    </row>
    <row r="608" spans="1:1">
      <c r="A608" s="25"/>
    </row>
    <row r="609" spans="1:1">
      <c r="A609" s="25"/>
    </row>
    <row r="610" spans="1:1">
      <c r="A610" s="25"/>
    </row>
    <row r="611" spans="1:1">
      <c r="A611" s="25"/>
    </row>
    <row r="612" spans="1:1">
      <c r="A612" s="25"/>
    </row>
    <row r="613" spans="1:1">
      <c r="A613" s="25"/>
    </row>
    <row r="614" spans="1:1">
      <c r="A614" s="25"/>
    </row>
    <row r="615" spans="1:1">
      <c r="A615" s="25"/>
    </row>
    <row r="616" spans="1:1">
      <c r="A616" s="25"/>
    </row>
    <row r="617" spans="1:1">
      <c r="A617" s="25"/>
    </row>
    <row r="618" spans="1:1">
      <c r="A618" s="25"/>
    </row>
    <row r="619" spans="1:1">
      <c r="A619" s="25"/>
    </row>
    <row r="620" spans="1:1">
      <c r="A620" s="25"/>
    </row>
    <row r="621" spans="1:1">
      <c r="A621" s="25"/>
    </row>
    <row r="622" spans="1:1">
      <c r="A622" s="25"/>
    </row>
    <row r="623" spans="1:1">
      <c r="A623" s="25"/>
    </row>
    <row r="624" spans="1:1">
      <c r="A624" s="25"/>
    </row>
    <row r="625" spans="1:1">
      <c r="A625" s="25"/>
    </row>
    <row r="626" spans="1:1">
      <c r="A626" s="25"/>
    </row>
    <row r="627" spans="1:1">
      <c r="A627" s="25"/>
    </row>
    <row r="628" spans="1:1">
      <c r="A628" s="25"/>
    </row>
    <row r="629" spans="1:1">
      <c r="A629" s="25"/>
    </row>
    <row r="630" spans="1:1">
      <c r="A630" s="25"/>
    </row>
    <row r="631" spans="1:1">
      <c r="A631" s="25"/>
    </row>
    <row r="632" spans="1:1">
      <c r="A632" s="25"/>
    </row>
    <row r="633" spans="1:1">
      <c r="A633" s="25"/>
    </row>
    <row r="634" spans="1:1">
      <c r="A634" s="25"/>
    </row>
    <row r="635" spans="1:1">
      <c r="A635" s="25"/>
    </row>
    <row r="636" spans="1:1">
      <c r="A636" s="25"/>
    </row>
    <row r="637" spans="1:1">
      <c r="A637" s="25"/>
    </row>
    <row r="638" spans="1:1">
      <c r="A638" s="25"/>
    </row>
    <row r="639" spans="1:1">
      <c r="A639" s="25"/>
    </row>
    <row r="640" spans="1:1">
      <c r="A640" s="25"/>
    </row>
    <row r="641" spans="1:1">
      <c r="A641" s="25"/>
    </row>
    <row r="642" spans="1:1">
      <c r="A642" s="25"/>
    </row>
    <row r="643" spans="1:1">
      <c r="A643" s="25"/>
    </row>
    <row r="644" spans="1:1">
      <c r="A644" s="25"/>
    </row>
    <row r="645" spans="1:1">
      <c r="A645" s="25"/>
    </row>
    <row r="646" spans="1:1">
      <c r="A646" s="25"/>
    </row>
    <row r="647" spans="1:1">
      <c r="A647" s="25"/>
    </row>
    <row r="648" spans="1:1">
      <c r="A648" s="25"/>
    </row>
    <row r="649" spans="1:1">
      <c r="A649" s="25"/>
    </row>
    <row r="650" spans="1:1">
      <c r="A650" s="25"/>
    </row>
    <row r="651" spans="1:1">
      <c r="A651" s="25"/>
    </row>
    <row r="652" spans="1:1">
      <c r="A652" s="25"/>
    </row>
    <row r="653" spans="1:1">
      <c r="A653" s="25"/>
    </row>
    <row r="654" spans="1:1">
      <c r="A654" s="25"/>
    </row>
    <row r="655" spans="1:1">
      <c r="A655" s="25"/>
    </row>
    <row r="656" spans="1:1">
      <c r="A656" s="25"/>
    </row>
    <row r="657" spans="1:1">
      <c r="A657" s="25"/>
    </row>
    <row r="658" spans="1:1">
      <c r="A658" s="25"/>
    </row>
    <row r="659" spans="1:1">
      <c r="A659" s="25"/>
    </row>
    <row r="660" spans="1:1">
      <c r="A660" s="25"/>
    </row>
    <row r="661" spans="1:1">
      <c r="A661" s="25"/>
    </row>
    <row r="662" spans="1:1">
      <c r="A662" s="25"/>
    </row>
    <row r="663" spans="1:1">
      <c r="A663" s="25"/>
    </row>
    <row r="664" spans="1:1">
      <c r="A664" s="25"/>
    </row>
    <row r="665" spans="1:1">
      <c r="A665" s="25"/>
    </row>
    <row r="666" spans="1:1">
      <c r="A666" s="25"/>
    </row>
    <row r="667" spans="1:1">
      <c r="A667" s="25"/>
    </row>
    <row r="668" spans="1:1">
      <c r="A668" s="25"/>
    </row>
    <row r="669" spans="1:1">
      <c r="A669" s="25"/>
    </row>
    <row r="670" spans="1:1">
      <c r="A670" s="25"/>
    </row>
    <row r="671" spans="1:1">
      <c r="A671" s="25"/>
    </row>
    <row r="672" spans="1:1">
      <c r="A672" s="25"/>
    </row>
    <row r="673" spans="1:1">
      <c r="A673" s="25"/>
    </row>
    <row r="674" spans="1:1">
      <c r="A674" s="25"/>
    </row>
    <row r="675" spans="1:1">
      <c r="A675" s="25"/>
    </row>
    <row r="676" spans="1:1">
      <c r="A676" s="25"/>
    </row>
    <row r="677" spans="1:1">
      <c r="A677" s="25"/>
    </row>
    <row r="678" spans="1:1">
      <c r="A678" s="25"/>
    </row>
    <row r="679" spans="1:1">
      <c r="A679" s="25"/>
    </row>
    <row r="680" spans="1:1">
      <c r="A680" s="25"/>
    </row>
    <row r="681" spans="1:1">
      <c r="A681" s="25"/>
    </row>
    <row r="682" spans="1:1">
      <c r="A682" s="25"/>
    </row>
    <row r="683" spans="1:1">
      <c r="A683" s="25"/>
    </row>
    <row r="684" spans="1:1">
      <c r="A684" s="25"/>
    </row>
    <row r="685" spans="1:1">
      <c r="A685" s="25"/>
    </row>
    <row r="686" spans="1:1">
      <c r="A686" s="25"/>
    </row>
    <row r="687" spans="1:1">
      <c r="A687" s="25"/>
    </row>
    <row r="688" spans="1:1">
      <c r="A688" s="25"/>
    </row>
    <row r="689" spans="1:1">
      <c r="A689" s="25"/>
    </row>
    <row r="690" spans="1:1">
      <c r="A690" s="25"/>
    </row>
    <row r="691" spans="1:1">
      <c r="A691" s="25"/>
    </row>
    <row r="692" spans="1:1">
      <c r="A692" s="25"/>
    </row>
    <row r="693" spans="1:1">
      <c r="A693" s="25"/>
    </row>
    <row r="694" spans="1:1">
      <c r="A694" s="25"/>
    </row>
    <row r="695" spans="1:1">
      <c r="A695" s="25"/>
    </row>
    <row r="696" spans="1:1">
      <c r="A696" s="25"/>
    </row>
    <row r="697" spans="1:1">
      <c r="A697" s="25"/>
    </row>
    <row r="698" spans="1:1">
      <c r="A698" s="25"/>
    </row>
    <row r="699" spans="1:1">
      <c r="A699" s="25"/>
    </row>
    <row r="700" spans="1:1">
      <c r="A700" s="25"/>
    </row>
    <row r="701" spans="1:1">
      <c r="A701" s="25"/>
    </row>
    <row r="702" spans="1:1">
      <c r="A702" s="25"/>
    </row>
    <row r="703" spans="1:1">
      <c r="A703" s="25"/>
    </row>
    <row r="704" spans="1:1">
      <c r="A704" s="25"/>
    </row>
    <row r="705" spans="1:1">
      <c r="A705" s="25"/>
    </row>
    <row r="706" spans="1:1">
      <c r="A706" s="25"/>
    </row>
    <row r="707" spans="1:1">
      <c r="A707" s="25"/>
    </row>
    <row r="708" spans="1:1">
      <c r="A708" s="25"/>
    </row>
    <row r="709" spans="1:1">
      <c r="A709" s="25"/>
    </row>
    <row r="710" spans="1:1">
      <c r="A710" s="25"/>
    </row>
    <row r="711" spans="1:1">
      <c r="A711" s="25"/>
    </row>
    <row r="712" spans="1:1">
      <c r="A712" s="25"/>
    </row>
    <row r="713" spans="1:1">
      <c r="A713" s="25"/>
    </row>
    <row r="714" spans="1:1">
      <c r="A714" s="25"/>
    </row>
    <row r="715" spans="1:1">
      <c r="A715" s="25"/>
    </row>
    <row r="716" spans="1:1">
      <c r="A716" s="25"/>
    </row>
    <row r="717" spans="1:1">
      <c r="A717" s="25"/>
    </row>
    <row r="718" spans="1:1">
      <c r="A718" s="25"/>
    </row>
    <row r="719" spans="1:1">
      <c r="A719" s="25"/>
    </row>
    <row r="720" spans="1:1">
      <c r="A720" s="25"/>
    </row>
    <row r="721" spans="1:1">
      <c r="A721" s="25"/>
    </row>
    <row r="722" spans="1:1">
      <c r="A722" s="25"/>
    </row>
    <row r="723" spans="1:1">
      <c r="A723" s="25"/>
    </row>
    <row r="724" spans="1:1">
      <c r="A724" s="25"/>
    </row>
    <row r="725" spans="1:1">
      <c r="A725" s="25"/>
    </row>
    <row r="726" spans="1:1">
      <c r="A726" s="25"/>
    </row>
    <row r="727" spans="1:1">
      <c r="A727" s="25"/>
    </row>
    <row r="728" spans="1:1">
      <c r="A728" s="25"/>
    </row>
    <row r="729" spans="1:1">
      <c r="A729" s="25"/>
    </row>
    <row r="730" spans="1:1">
      <c r="A730" s="25"/>
    </row>
    <row r="731" spans="1:1">
      <c r="A731" s="25"/>
    </row>
    <row r="732" spans="1:1">
      <c r="A732" s="25"/>
    </row>
    <row r="733" spans="1:1">
      <c r="A733" s="25"/>
    </row>
    <row r="734" spans="1:1">
      <c r="A734" s="25"/>
    </row>
    <row r="735" spans="1:1">
      <c r="A735" s="25"/>
    </row>
    <row r="736" spans="1:1">
      <c r="A736" s="25"/>
    </row>
    <row r="737" spans="1:1">
      <c r="A737" s="25"/>
    </row>
    <row r="738" spans="1:1">
      <c r="A738" s="25"/>
    </row>
    <row r="739" spans="1:1">
      <c r="A739" s="25"/>
    </row>
    <row r="740" spans="1:1">
      <c r="A740" s="25"/>
    </row>
    <row r="741" spans="1:1">
      <c r="A741" s="25"/>
    </row>
    <row r="742" spans="1:1">
      <c r="A742" s="25"/>
    </row>
    <row r="743" spans="1:1">
      <c r="A743" s="25"/>
    </row>
    <row r="744" spans="1:1">
      <c r="A744" s="25"/>
    </row>
    <row r="745" spans="1:1">
      <c r="A745" s="25"/>
    </row>
    <row r="746" spans="1:1">
      <c r="A746" s="25"/>
    </row>
    <row r="747" spans="1:1">
      <c r="A747" s="25"/>
    </row>
    <row r="748" spans="1:1">
      <c r="A748" s="25"/>
    </row>
    <row r="749" spans="1:1">
      <c r="A749" s="25"/>
    </row>
    <row r="750" spans="1:1">
      <c r="A750" s="25"/>
    </row>
    <row r="751" spans="1:1">
      <c r="A751" s="25"/>
    </row>
    <row r="752" spans="1:1">
      <c r="A752" s="25"/>
    </row>
    <row r="753" spans="1:1">
      <c r="A753" s="25"/>
    </row>
    <row r="754" spans="1:1">
      <c r="A754" s="25"/>
    </row>
    <row r="755" spans="1:1">
      <c r="A755" s="25"/>
    </row>
    <row r="756" spans="1:1">
      <c r="A756" s="25"/>
    </row>
    <row r="757" spans="1:1">
      <c r="A757" s="25"/>
    </row>
    <row r="758" spans="1:1">
      <c r="A758" s="25"/>
    </row>
    <row r="759" spans="1:1">
      <c r="A759" s="25"/>
    </row>
    <row r="760" spans="1:1">
      <c r="A760" s="25"/>
    </row>
    <row r="761" spans="1:1">
      <c r="A761" s="25"/>
    </row>
    <row r="762" spans="1:1">
      <c r="A762" s="25"/>
    </row>
    <row r="763" spans="1:1">
      <c r="A763" s="25"/>
    </row>
    <row r="764" spans="1:1">
      <c r="A764" s="25"/>
    </row>
    <row r="765" spans="1:1">
      <c r="A765" s="25"/>
    </row>
    <row r="766" spans="1:1">
      <c r="A766" s="25"/>
    </row>
    <row r="767" spans="1:1">
      <c r="A767" s="25"/>
    </row>
    <row r="768" spans="1:1">
      <c r="A768" s="25"/>
    </row>
    <row r="769" spans="1:1">
      <c r="A769" s="25"/>
    </row>
    <row r="770" spans="1:1">
      <c r="A770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topLeftCell="A9" workbookViewId="0">
      <selection activeCell="B19" sqref="B19"/>
    </sheetView>
  </sheetViews>
  <sheetFormatPr defaultRowHeight="14.4"/>
  <cols>
    <col min="1" max="1" width="26.77734375" bestFit="1" customWidth="1"/>
    <col min="2" max="2" width="17" bestFit="1" customWidth="1"/>
    <col min="3" max="3" width="6.5546875" bestFit="1" customWidth="1"/>
    <col min="4" max="4" width="9" bestFit="1" customWidth="1"/>
    <col min="5" max="5" width="7.77734375" bestFit="1" customWidth="1"/>
    <col min="6" max="6" width="19.109375" bestFit="1" customWidth="1"/>
  </cols>
  <sheetData>
    <row r="1" spans="1:6">
      <c r="A1" s="6" t="s">
        <v>67</v>
      </c>
      <c r="B1" s="6" t="s">
        <v>68</v>
      </c>
      <c r="C1" s="6" t="s">
        <v>69</v>
      </c>
      <c r="D1" s="6" t="s">
        <v>47</v>
      </c>
      <c r="E1" s="6" t="s">
        <v>70</v>
      </c>
      <c r="F1" s="6" t="s">
        <v>54</v>
      </c>
    </row>
    <row r="2" spans="1:6">
      <c r="A2" s="7" t="s">
        <v>71</v>
      </c>
      <c r="B2" s="8">
        <v>36800000</v>
      </c>
      <c r="C2" s="7" t="s">
        <v>72</v>
      </c>
      <c r="D2" s="7" t="s">
        <v>55</v>
      </c>
      <c r="E2" s="7" t="s">
        <v>73</v>
      </c>
      <c r="F2" s="7" t="s">
        <v>74</v>
      </c>
    </row>
    <row r="3" spans="1:6">
      <c r="A3" s="7" t="s">
        <v>75</v>
      </c>
      <c r="B3" s="12">
        <v>0.77600000000000002</v>
      </c>
      <c r="C3" s="7" t="s">
        <v>76</v>
      </c>
      <c r="D3" s="7" t="s">
        <v>55</v>
      </c>
      <c r="E3" s="7" t="s">
        <v>73</v>
      </c>
      <c r="F3" s="7" t="s">
        <v>77</v>
      </c>
    </row>
    <row r="4" spans="1:6">
      <c r="A4" s="7" t="s">
        <v>78</v>
      </c>
      <c r="B4" s="12">
        <v>0.11600000000000001</v>
      </c>
      <c r="C4" s="7" t="s">
        <v>76</v>
      </c>
      <c r="D4" s="7" t="s">
        <v>55</v>
      </c>
      <c r="E4" s="7" t="s">
        <v>73</v>
      </c>
      <c r="F4" s="7" t="s">
        <v>77</v>
      </c>
    </row>
    <row r="5" spans="1:6">
      <c r="A5" s="7" t="s">
        <v>79</v>
      </c>
      <c r="B5" s="12">
        <v>1.4999999999999999E-2</v>
      </c>
      <c r="C5" s="7" t="s">
        <v>76</v>
      </c>
      <c r="D5" s="7" t="s">
        <v>55</v>
      </c>
      <c r="E5" s="7" t="s">
        <v>73</v>
      </c>
      <c r="F5" s="7" t="s">
        <v>77</v>
      </c>
    </row>
    <row r="6" spans="1:6">
      <c r="A6" s="7" t="s">
        <v>80</v>
      </c>
      <c r="B6" s="12">
        <v>9.2999999999999999E-2</v>
      </c>
      <c r="C6" s="7" t="s">
        <v>76</v>
      </c>
      <c r="D6" s="7" t="s">
        <v>55</v>
      </c>
      <c r="E6" s="7" t="s">
        <v>73</v>
      </c>
      <c r="F6" s="7" t="s">
        <v>77</v>
      </c>
    </row>
    <row r="7" spans="1:6">
      <c r="A7" s="7" t="s">
        <v>81</v>
      </c>
      <c r="B7" s="13">
        <v>0</v>
      </c>
      <c r="C7" s="7" t="s">
        <v>76</v>
      </c>
      <c r="D7" s="7" t="s">
        <v>55</v>
      </c>
      <c r="E7" s="7" t="s">
        <v>73</v>
      </c>
      <c r="F7" s="7" t="s">
        <v>77</v>
      </c>
    </row>
    <row r="8" spans="1:6">
      <c r="A8" s="7" t="s">
        <v>82</v>
      </c>
      <c r="B8" s="8">
        <v>30300000</v>
      </c>
      <c r="C8" s="7" t="s">
        <v>83</v>
      </c>
      <c r="D8" s="7" t="s">
        <v>59</v>
      </c>
      <c r="E8" s="7" t="s">
        <v>73</v>
      </c>
      <c r="F8" s="7" t="s">
        <v>84</v>
      </c>
    </row>
    <row r="9" spans="1:6">
      <c r="A9" s="7" t="s">
        <v>85</v>
      </c>
      <c r="B9" s="9">
        <f>B3</f>
        <v>0.77600000000000002</v>
      </c>
      <c r="C9" s="7" t="s">
        <v>76</v>
      </c>
      <c r="D9" s="7" t="s">
        <v>86</v>
      </c>
      <c r="E9" s="7" t="s">
        <v>87</v>
      </c>
      <c r="F9" s="7" t="s">
        <v>88</v>
      </c>
    </row>
    <row r="10" spans="1:6">
      <c r="A10" s="7" t="s">
        <v>89</v>
      </c>
      <c r="B10" s="9">
        <f>B4</f>
        <v>0.11600000000000001</v>
      </c>
      <c r="C10" s="7" t="s">
        <v>76</v>
      </c>
      <c r="D10" s="7" t="s">
        <v>86</v>
      </c>
      <c r="E10" s="7" t="s">
        <v>87</v>
      </c>
      <c r="F10" s="7" t="s">
        <v>88</v>
      </c>
    </row>
    <row r="11" spans="1:6">
      <c r="A11" s="7" t="s">
        <v>90</v>
      </c>
      <c r="B11" s="9">
        <f>B5</f>
        <v>1.4999999999999999E-2</v>
      </c>
      <c r="C11" s="7" t="s">
        <v>76</v>
      </c>
      <c r="D11" s="7" t="s">
        <v>86</v>
      </c>
      <c r="E11" s="7" t="s">
        <v>87</v>
      </c>
      <c r="F11" s="7" t="s">
        <v>88</v>
      </c>
    </row>
    <row r="12" spans="1:6">
      <c r="A12" s="10" t="s">
        <v>91</v>
      </c>
      <c r="B12" s="11">
        <f>B6</f>
        <v>9.2999999999999999E-2</v>
      </c>
      <c r="C12" s="10" t="s">
        <v>76</v>
      </c>
      <c r="D12" s="10" t="s">
        <v>86</v>
      </c>
      <c r="E12" s="10" t="s">
        <v>87</v>
      </c>
      <c r="F12" s="10" t="s">
        <v>88</v>
      </c>
    </row>
    <row r="13" spans="1:6">
      <c r="A13" s="7" t="s">
        <v>92</v>
      </c>
      <c r="B13" s="9">
        <f>SUM(B9:B12)</f>
        <v>1</v>
      </c>
      <c r="C13" s="7" t="s">
        <v>76</v>
      </c>
      <c r="D13" s="7" t="s">
        <v>86</v>
      </c>
      <c r="E13" s="7" t="s">
        <v>73</v>
      </c>
      <c r="F13" s="7" t="s">
        <v>93</v>
      </c>
    </row>
    <row r="15" spans="1:6">
      <c r="A15" s="7" t="s">
        <v>292</v>
      </c>
      <c r="B15">
        <v>13212000</v>
      </c>
    </row>
    <row r="16" spans="1:6">
      <c r="B16" s="30">
        <v>1</v>
      </c>
    </row>
    <row r="19" spans="1:2">
      <c r="A19" t="s">
        <v>297</v>
      </c>
      <c r="B19">
        <v>55200000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1"/>
  <sheetViews>
    <sheetView zoomScale="89" workbookViewId="0">
      <selection activeCell="B14" sqref="B14"/>
    </sheetView>
  </sheetViews>
  <sheetFormatPr defaultRowHeight="14.4"/>
  <cols>
    <col min="1" max="1" width="8.88671875" customWidth="1"/>
    <col min="2" max="2" width="16.109375" bestFit="1" customWidth="1"/>
    <col min="3" max="3" width="8.5546875" bestFit="1" customWidth="1"/>
    <col min="4" max="4" width="10.6640625" customWidth="1"/>
    <col min="5" max="5" width="11.21875" customWidth="1"/>
    <col min="6" max="6" width="8.88671875" customWidth="1"/>
    <col min="7" max="7" width="24.77734375" bestFit="1" customWidth="1"/>
    <col min="8" max="8" width="8.88671875" customWidth="1"/>
  </cols>
  <sheetData>
    <row r="1" spans="1:17" s="20" customFormat="1" ht="43.2" customHeight="1">
      <c r="A1" s="3" t="s">
        <v>94</v>
      </c>
      <c r="B1" s="3" t="s">
        <v>95</v>
      </c>
      <c r="C1" s="3" t="s">
        <v>96</v>
      </c>
      <c r="D1" s="15" t="s">
        <v>285</v>
      </c>
      <c r="E1" s="15" t="s">
        <v>97</v>
      </c>
      <c r="F1" s="3" t="s">
        <v>70</v>
      </c>
      <c r="G1" s="3" t="s">
        <v>98</v>
      </c>
      <c r="H1" s="3" t="s">
        <v>54</v>
      </c>
      <c r="N1" s="7" t="s">
        <v>110</v>
      </c>
      <c r="O1"/>
      <c r="P1"/>
      <c r="Q1" s="19">
        <f>SUM(E2:E6)</f>
        <v>1</v>
      </c>
    </row>
    <row r="2" spans="1:17">
      <c r="A2" s="7" t="s">
        <v>99</v>
      </c>
      <c r="B2" s="7" t="s">
        <v>2</v>
      </c>
      <c r="C2" s="7" t="s">
        <v>100</v>
      </c>
      <c r="D2" s="17">
        <f>E2*Population_Data!$B$3</f>
        <v>0.28711999999999999</v>
      </c>
      <c r="E2" s="17">
        <v>0.37</v>
      </c>
      <c r="F2" s="7" t="s">
        <v>87</v>
      </c>
      <c r="G2" s="7" t="s">
        <v>101</v>
      </c>
      <c r="H2" s="18" t="s">
        <v>102</v>
      </c>
      <c r="Q2" t="str">
        <f>IF(ABS(Q1-100%)&lt;0.0001,"PASS","CHECK")</f>
        <v>PASS</v>
      </c>
    </row>
    <row r="3" spans="1:17">
      <c r="A3" s="7" t="s">
        <v>103</v>
      </c>
      <c r="B3" s="7" t="s">
        <v>104</v>
      </c>
      <c r="C3" s="7" t="s">
        <v>100</v>
      </c>
      <c r="D3" s="17">
        <f>E3*Population_Data!$B$3</f>
        <v>0.12416000000000001</v>
      </c>
      <c r="E3" s="17">
        <v>0.16</v>
      </c>
      <c r="F3" s="7" t="s">
        <v>87</v>
      </c>
      <c r="G3" s="7" t="s">
        <v>101</v>
      </c>
      <c r="H3" s="18" t="s">
        <v>105</v>
      </c>
    </row>
    <row r="4" spans="1:17">
      <c r="A4" s="7" t="s">
        <v>106</v>
      </c>
      <c r="B4" s="7" t="s">
        <v>3</v>
      </c>
      <c r="C4" s="7" t="s">
        <v>100</v>
      </c>
      <c r="D4" s="17">
        <f>E4*Population_Data!$B$3</f>
        <v>0.1552</v>
      </c>
      <c r="E4" s="17">
        <v>0.2</v>
      </c>
      <c r="F4" s="7" t="s">
        <v>87</v>
      </c>
      <c r="G4" s="7" t="s">
        <v>101</v>
      </c>
      <c r="H4" s="18" t="s">
        <v>107</v>
      </c>
    </row>
    <row r="5" spans="1:17">
      <c r="A5" s="7" t="s">
        <v>108</v>
      </c>
      <c r="B5" s="7" t="s">
        <v>4</v>
      </c>
      <c r="C5" s="7" t="s">
        <v>100</v>
      </c>
      <c r="D5" s="17">
        <f>E5*Population_Data!$B$3</f>
        <v>5.4320000000000007E-2</v>
      </c>
      <c r="E5" s="17">
        <v>7.0000000000000007E-2</v>
      </c>
      <c r="F5" s="7" t="s">
        <v>87</v>
      </c>
      <c r="G5" s="7" t="s">
        <v>101</v>
      </c>
      <c r="H5" s="18" t="s">
        <v>109</v>
      </c>
    </row>
    <row r="6" spans="1:17">
      <c r="A6" s="7"/>
      <c r="B6" s="7" t="s">
        <v>289</v>
      </c>
      <c r="C6" s="7"/>
      <c r="D6" s="17">
        <f>E6*Population_Data!$B$3</f>
        <v>0.1552</v>
      </c>
      <c r="E6" s="17">
        <v>0.2</v>
      </c>
      <c r="F6" s="7"/>
      <c r="G6" s="7"/>
      <c r="H6" s="7"/>
    </row>
    <row r="7" spans="1:17">
      <c r="A7" s="7"/>
      <c r="B7" s="7"/>
      <c r="C7" s="7"/>
      <c r="D7" s="17"/>
      <c r="E7" s="17"/>
      <c r="F7" s="7"/>
      <c r="G7" s="7">
        <f>SUM(1/D6)</f>
        <v>6.4432989690721651</v>
      </c>
      <c r="H7" s="7"/>
    </row>
    <row r="8" spans="1:17">
      <c r="A8" s="7" t="s">
        <v>286</v>
      </c>
      <c r="B8" s="7" t="s">
        <v>290</v>
      </c>
      <c r="C8" s="7" t="s">
        <v>287</v>
      </c>
      <c r="D8" s="19" t="s">
        <v>288</v>
      </c>
    </row>
    <row r="9" spans="1:17">
      <c r="A9" s="17">
        <v>0.05</v>
      </c>
      <c r="B9" s="31">
        <f>(A9/$A$40)/$G$7</f>
        <v>4.0628272251308894E-3</v>
      </c>
      <c r="C9" s="29" t="s">
        <v>253</v>
      </c>
      <c r="D9" s="31">
        <f>(A9/$A$40)/$G$7</f>
        <v>4.0628272251308894E-3</v>
      </c>
      <c r="F9" s="7" t="s">
        <v>87</v>
      </c>
      <c r="G9" s="19"/>
    </row>
    <row r="10" spans="1:17">
      <c r="A10" s="17">
        <v>0.01</v>
      </c>
      <c r="B10" s="31">
        <f t="shared" ref="B10:B40" si="0">(A10/$A$40)/$G$7</f>
        <v>8.1256544502617792E-4</v>
      </c>
      <c r="C10" s="29" t="s">
        <v>254</v>
      </c>
      <c r="D10" s="31">
        <f t="shared" ref="D10:D39" si="1">(A10/$A$40)/$G$7</f>
        <v>8.1256544502617792E-4</v>
      </c>
      <c r="F10" s="7" t="s">
        <v>87</v>
      </c>
      <c r="G10" s="19"/>
    </row>
    <row r="11" spans="1:17">
      <c r="A11" s="17">
        <v>0.01</v>
      </c>
      <c r="B11" s="31">
        <f t="shared" si="0"/>
        <v>8.1256544502617792E-4</v>
      </c>
      <c r="C11" s="29" t="s">
        <v>255</v>
      </c>
      <c r="D11" s="31">
        <f t="shared" si="1"/>
        <v>8.1256544502617792E-4</v>
      </c>
      <c r="F11" s="7" t="s">
        <v>87</v>
      </c>
      <c r="G11" s="19"/>
    </row>
    <row r="12" spans="1:17">
      <c r="A12" s="17">
        <v>0.01</v>
      </c>
      <c r="B12" s="31">
        <f t="shared" si="0"/>
        <v>8.1256544502617792E-4</v>
      </c>
      <c r="C12" s="29" t="s">
        <v>256</v>
      </c>
      <c r="D12" s="31">
        <f t="shared" si="1"/>
        <v>8.1256544502617792E-4</v>
      </c>
      <c r="F12" s="7" t="s">
        <v>87</v>
      </c>
      <c r="G12" s="19"/>
    </row>
    <row r="13" spans="1:17">
      <c r="A13" s="17">
        <v>0.09</v>
      </c>
      <c r="B13" s="31">
        <f>(A13/$A$40)/$G$7</f>
        <v>7.3130890052356002E-3</v>
      </c>
      <c r="C13" s="29" t="s">
        <v>257</v>
      </c>
      <c r="D13" s="31">
        <f t="shared" si="1"/>
        <v>7.3130890052356002E-3</v>
      </c>
      <c r="F13" s="7" t="s">
        <v>87</v>
      </c>
      <c r="G13" s="19"/>
    </row>
    <row r="14" spans="1:17">
      <c r="A14" s="17">
        <v>0.04</v>
      </c>
      <c r="B14" s="31">
        <f t="shared" si="0"/>
        <v>3.2502617801047117E-3</v>
      </c>
      <c r="C14" s="29" t="s">
        <v>258</v>
      </c>
      <c r="D14" s="31">
        <f t="shared" si="1"/>
        <v>3.2502617801047117E-3</v>
      </c>
      <c r="F14" s="7" t="s">
        <v>87</v>
      </c>
      <c r="G14" s="19"/>
    </row>
    <row r="15" spans="1:17">
      <c r="A15" s="17">
        <v>0.03</v>
      </c>
      <c r="B15" s="31">
        <f t="shared" si="0"/>
        <v>2.4376963350785331E-3</v>
      </c>
      <c r="C15" s="29" t="s">
        <v>259</v>
      </c>
      <c r="D15" s="31">
        <f t="shared" si="1"/>
        <v>2.4376963350785331E-3</v>
      </c>
      <c r="F15" s="7" t="s">
        <v>87</v>
      </c>
      <c r="G15" s="19"/>
    </row>
    <row r="16" spans="1:17">
      <c r="A16" s="17">
        <v>0.02</v>
      </c>
      <c r="B16" s="31">
        <f t="shared" si="0"/>
        <v>1.6251308900523558E-3</v>
      </c>
      <c r="C16" s="29" t="s">
        <v>260</v>
      </c>
      <c r="D16" s="31">
        <f t="shared" si="1"/>
        <v>1.6251308900523558E-3</v>
      </c>
      <c r="F16" s="7" t="s">
        <v>87</v>
      </c>
      <c r="G16" s="19"/>
    </row>
    <row r="17" spans="1:7">
      <c r="A17" s="17">
        <v>0.01</v>
      </c>
      <c r="B17" s="31">
        <f t="shared" si="0"/>
        <v>8.1256544502617792E-4</v>
      </c>
      <c r="C17" s="29" t="s">
        <v>261</v>
      </c>
      <c r="D17" s="31">
        <f t="shared" si="1"/>
        <v>8.1256544502617792E-4</v>
      </c>
      <c r="F17" s="7" t="s">
        <v>87</v>
      </c>
      <c r="G17" s="19"/>
    </row>
    <row r="18" spans="1:7">
      <c r="A18" s="17">
        <v>0.06</v>
      </c>
      <c r="B18" s="31">
        <f t="shared" si="0"/>
        <v>4.8753926701570662E-3</v>
      </c>
      <c r="C18" s="29" t="s">
        <v>262</v>
      </c>
      <c r="D18" s="31">
        <f t="shared" si="1"/>
        <v>4.8753926701570662E-3</v>
      </c>
      <c r="F18" s="7" t="s">
        <v>87</v>
      </c>
      <c r="G18" s="19"/>
    </row>
    <row r="19" spans="1:7">
      <c r="A19" s="17">
        <v>0.01</v>
      </c>
      <c r="B19" s="31">
        <f t="shared" si="0"/>
        <v>8.1256544502617792E-4</v>
      </c>
      <c r="C19" s="29" t="s">
        <v>263</v>
      </c>
      <c r="D19" s="31">
        <f t="shared" si="1"/>
        <v>8.1256544502617792E-4</v>
      </c>
      <c r="F19" s="7" t="s">
        <v>87</v>
      </c>
      <c r="G19" s="19"/>
    </row>
    <row r="20" spans="1:7">
      <c r="A20" s="17">
        <v>0.02</v>
      </c>
      <c r="B20" s="31">
        <f t="shared" si="0"/>
        <v>1.6251308900523558E-3</v>
      </c>
      <c r="C20" s="29" t="s">
        <v>264</v>
      </c>
      <c r="D20" s="31">
        <f t="shared" si="1"/>
        <v>1.6251308900523558E-3</v>
      </c>
      <c r="F20" s="7" t="s">
        <v>87</v>
      </c>
      <c r="G20" s="19"/>
    </row>
    <row r="21" spans="1:7">
      <c r="A21" s="17">
        <v>0.01</v>
      </c>
      <c r="B21" s="31">
        <f t="shared" si="0"/>
        <v>8.1256544502617792E-4</v>
      </c>
      <c r="C21" s="29" t="s">
        <v>265</v>
      </c>
      <c r="D21" s="31">
        <f t="shared" si="1"/>
        <v>8.1256544502617792E-4</v>
      </c>
      <c r="F21" s="7" t="s">
        <v>87</v>
      </c>
      <c r="G21" s="19"/>
    </row>
    <row r="22" spans="1:7">
      <c r="A22" s="17">
        <v>0.01</v>
      </c>
      <c r="B22" s="31">
        <f t="shared" si="0"/>
        <v>8.1256544502617792E-4</v>
      </c>
      <c r="C22" s="29" t="s">
        <v>266</v>
      </c>
      <c r="D22" s="31">
        <f t="shared" si="1"/>
        <v>8.1256544502617792E-4</v>
      </c>
      <c r="F22" s="7" t="s">
        <v>87</v>
      </c>
      <c r="G22" s="19"/>
    </row>
    <row r="23" spans="1:7">
      <c r="A23" s="17">
        <v>0.16</v>
      </c>
      <c r="B23" s="31">
        <f t="shared" si="0"/>
        <v>1.3001047120418847E-2</v>
      </c>
      <c r="C23" s="29" t="s">
        <v>267</v>
      </c>
      <c r="D23" s="31">
        <f t="shared" si="1"/>
        <v>1.3001047120418847E-2</v>
      </c>
      <c r="F23" s="7" t="s">
        <v>87</v>
      </c>
      <c r="G23" s="19"/>
    </row>
    <row r="24" spans="1:7">
      <c r="A24" s="17">
        <v>0.02</v>
      </c>
      <c r="B24" s="31">
        <f t="shared" si="0"/>
        <v>1.6251308900523558E-3</v>
      </c>
      <c r="C24" s="29" t="s">
        <v>268</v>
      </c>
      <c r="D24" s="31">
        <f t="shared" si="1"/>
        <v>1.6251308900523558E-3</v>
      </c>
      <c r="F24" s="7" t="s">
        <v>87</v>
      </c>
      <c r="G24" s="19"/>
    </row>
    <row r="25" spans="1:7">
      <c r="A25" s="17">
        <v>0.01</v>
      </c>
      <c r="B25" s="31">
        <f t="shared" si="0"/>
        <v>8.1256544502617792E-4</v>
      </c>
      <c r="C25" s="29" t="s">
        <v>269</v>
      </c>
      <c r="D25" s="31">
        <f t="shared" si="1"/>
        <v>8.1256544502617792E-4</v>
      </c>
      <c r="F25" s="7" t="s">
        <v>87</v>
      </c>
      <c r="G25" s="19"/>
    </row>
    <row r="26" spans="1:7">
      <c r="A26" s="17">
        <v>0.03</v>
      </c>
      <c r="B26" s="31">
        <f t="shared" si="0"/>
        <v>2.4376963350785331E-3</v>
      </c>
      <c r="C26" s="29" t="s">
        <v>270</v>
      </c>
      <c r="D26" s="31">
        <f t="shared" si="1"/>
        <v>2.4376963350785331E-3</v>
      </c>
      <c r="F26" s="7" t="s">
        <v>87</v>
      </c>
      <c r="G26" s="19"/>
    </row>
    <row r="27" spans="1:7">
      <c r="A27" s="17">
        <v>0.02</v>
      </c>
      <c r="B27" s="31">
        <f t="shared" si="0"/>
        <v>1.6251308900523558E-3</v>
      </c>
      <c r="C27" s="29" t="s">
        <v>271</v>
      </c>
      <c r="D27" s="31">
        <f t="shared" si="1"/>
        <v>1.6251308900523558E-3</v>
      </c>
      <c r="F27" s="7" t="s">
        <v>87</v>
      </c>
      <c r="G27" s="19"/>
    </row>
    <row r="28" spans="1:7">
      <c r="A28" s="17">
        <v>0.1</v>
      </c>
      <c r="B28" s="31">
        <f t="shared" si="0"/>
        <v>8.1256544502617788E-3</v>
      </c>
      <c r="C28" s="29" t="s">
        <v>272</v>
      </c>
      <c r="D28" s="31">
        <f t="shared" si="1"/>
        <v>8.1256544502617788E-3</v>
      </c>
      <c r="F28" s="7" t="s">
        <v>87</v>
      </c>
      <c r="G28" s="19"/>
    </row>
    <row r="29" spans="1:7">
      <c r="A29" s="17">
        <v>0.06</v>
      </c>
      <c r="B29" s="31">
        <f t="shared" si="0"/>
        <v>4.8753926701570662E-3</v>
      </c>
      <c r="C29" s="29" t="s">
        <v>273</v>
      </c>
      <c r="D29" s="31">
        <f t="shared" si="1"/>
        <v>4.8753926701570662E-3</v>
      </c>
      <c r="F29" s="7" t="s">
        <v>87</v>
      </c>
      <c r="G29" s="19"/>
    </row>
    <row r="30" spans="1:7">
      <c r="A30" s="17">
        <v>0.04</v>
      </c>
      <c r="B30" s="31">
        <f t="shared" si="0"/>
        <v>3.2502617801047117E-3</v>
      </c>
      <c r="C30" s="29" t="s">
        <v>274</v>
      </c>
      <c r="D30" s="31">
        <f t="shared" si="1"/>
        <v>3.2502617801047117E-3</v>
      </c>
      <c r="F30" s="7" t="s">
        <v>87</v>
      </c>
      <c r="G30" s="19"/>
    </row>
    <row r="31" spans="1:7">
      <c r="A31" s="17">
        <v>0.05</v>
      </c>
      <c r="B31" s="31">
        <f t="shared" si="0"/>
        <v>4.0628272251308894E-3</v>
      </c>
      <c r="C31" s="29" t="s">
        <v>275</v>
      </c>
      <c r="D31" s="31">
        <f t="shared" si="1"/>
        <v>4.0628272251308894E-3</v>
      </c>
      <c r="F31" s="7" t="s">
        <v>87</v>
      </c>
      <c r="G31" s="19"/>
    </row>
    <row r="32" spans="1:7">
      <c r="A32" s="17">
        <v>0.09</v>
      </c>
      <c r="B32" s="31">
        <f t="shared" si="0"/>
        <v>7.3130890052356002E-3</v>
      </c>
      <c r="C32" s="29" t="s">
        <v>276</v>
      </c>
      <c r="D32" s="31">
        <f t="shared" si="1"/>
        <v>7.3130890052356002E-3</v>
      </c>
      <c r="F32" s="7" t="s">
        <v>87</v>
      </c>
      <c r="G32" s="19"/>
    </row>
    <row r="33" spans="1:7">
      <c r="A33" s="30">
        <v>0.27</v>
      </c>
      <c r="B33" s="31">
        <f t="shared" si="0"/>
        <v>2.1939267015706802E-2</v>
      </c>
      <c r="C33" s="29" t="s">
        <v>277</v>
      </c>
      <c r="D33" s="31">
        <f t="shared" si="1"/>
        <v>2.1939267015706802E-2</v>
      </c>
      <c r="F33" s="7" t="s">
        <v>87</v>
      </c>
      <c r="G33" s="19"/>
    </row>
    <row r="34" spans="1:7">
      <c r="A34" s="17">
        <v>0.12</v>
      </c>
      <c r="B34" s="31">
        <f t="shared" si="0"/>
        <v>9.7507853403141324E-3</v>
      </c>
      <c r="C34" s="29" t="s">
        <v>278</v>
      </c>
      <c r="D34" s="31">
        <f t="shared" si="1"/>
        <v>9.7507853403141324E-3</v>
      </c>
      <c r="F34" s="7" t="s">
        <v>87</v>
      </c>
      <c r="G34" s="19"/>
    </row>
    <row r="35" spans="1:7">
      <c r="A35" s="17">
        <v>0.12</v>
      </c>
      <c r="B35" s="31">
        <f t="shared" si="0"/>
        <v>9.7507853403141324E-3</v>
      </c>
      <c r="C35" s="29" t="s">
        <v>279</v>
      </c>
      <c r="D35" s="31">
        <f t="shared" si="1"/>
        <v>9.7507853403141324E-3</v>
      </c>
      <c r="F35" s="7" t="s">
        <v>87</v>
      </c>
      <c r="G35" s="19"/>
    </row>
    <row r="36" spans="1:7">
      <c r="A36" s="17">
        <v>0.26</v>
      </c>
      <c r="B36" s="31">
        <f t="shared" si="0"/>
        <v>2.1126701570680625E-2</v>
      </c>
      <c r="C36" s="29" t="s">
        <v>280</v>
      </c>
      <c r="D36" s="31">
        <f t="shared" si="1"/>
        <v>2.1126701570680625E-2</v>
      </c>
      <c r="F36" s="7" t="s">
        <v>87</v>
      </c>
      <c r="G36" s="19"/>
    </row>
    <row r="37" spans="1:7">
      <c r="A37" s="17">
        <v>0.05</v>
      </c>
      <c r="B37" s="31">
        <f t="shared" si="0"/>
        <v>4.0628272251308894E-3</v>
      </c>
      <c r="C37" s="29" t="s">
        <v>281</v>
      </c>
      <c r="D37" s="31">
        <f t="shared" si="1"/>
        <v>4.0628272251308894E-3</v>
      </c>
      <c r="F37" s="7" t="s">
        <v>87</v>
      </c>
      <c r="G37" s="19"/>
    </row>
    <row r="38" spans="1:7">
      <c r="A38" s="17">
        <v>0.06</v>
      </c>
      <c r="B38" s="31">
        <f t="shared" si="0"/>
        <v>4.8753926701570662E-3</v>
      </c>
      <c r="C38" s="29" t="s">
        <v>282</v>
      </c>
      <c r="D38" s="31">
        <f t="shared" si="1"/>
        <v>4.8753926701570662E-3</v>
      </c>
      <c r="F38" s="7" t="s">
        <v>87</v>
      </c>
      <c r="G38" s="19"/>
    </row>
    <row r="39" spans="1:7">
      <c r="A39" s="17">
        <v>7.0000000000000007E-2</v>
      </c>
      <c r="B39" s="31">
        <f t="shared" si="0"/>
        <v>5.6879581151832457E-3</v>
      </c>
      <c r="C39" s="29" t="s">
        <v>283</v>
      </c>
      <c r="D39" s="31">
        <f t="shared" si="1"/>
        <v>5.6879581151832457E-3</v>
      </c>
      <c r="F39" s="7" t="s">
        <v>87</v>
      </c>
      <c r="G39" s="19"/>
    </row>
    <row r="40" spans="1:7">
      <c r="A40" s="19">
        <f>SUM(A9:A39)</f>
        <v>1.9100000000000004</v>
      </c>
      <c r="B40" s="31">
        <f t="shared" si="0"/>
        <v>0.1552</v>
      </c>
    </row>
    <row r="41" spans="1:7">
      <c r="D41" s="19">
        <f>SUM(D9:D39)</f>
        <v>0.15519999999999998</v>
      </c>
      <c r="G41" s="19"/>
    </row>
  </sheetData>
  <phoneticPr fontId="10" type="noConversion"/>
  <hyperlinks>
    <hyperlink ref="H2" r:id="rId1" tooltip="Payslip Statistics Survey Report 2024 - Page 11" display="https://online.flippingbook.com/view/28077653/11/?utm_source=chatgpt.com" xr:uid="{00000000-0004-0000-0300-000000000000}"/>
    <hyperlink ref="H3" r:id="rId2" tooltip="Payslip Statistics Survey Report 2024 - Page 11" display="https://online.flippingbook.com/view/28077653/11/?utm_source=chatgpt.com" xr:uid="{00000000-0004-0000-0300-000001000000}"/>
    <hyperlink ref="H4" r:id="rId3" tooltip="Payslip Statistics Survey Report 2024 - Page 11" display="https://online.flippingbook.com/view/28077653/11/?utm_source=chatgpt.com" xr:uid="{00000000-0004-0000-0300-000002000000}"/>
    <hyperlink ref="H5" r:id="rId4" tooltip="Payslip Statistics Survey Report 2024 - Page 11" display="https://online.flippingbook.com/view/28077653/11/?utm_source=chatgpt.com" xr:uid="{00000000-0004-0000-0300-000003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topLeftCell="A3" workbookViewId="0">
      <selection sqref="A1:XFD1048576"/>
    </sheetView>
  </sheetViews>
  <sheetFormatPr defaultRowHeight="14.4"/>
  <sheetData>
    <row r="1" spans="1:7" ht="72" customHeight="1">
      <c r="A1" s="6" t="s">
        <v>5</v>
      </c>
      <c r="B1" s="34" t="s">
        <v>111</v>
      </c>
      <c r="C1" s="6" t="s">
        <v>112</v>
      </c>
      <c r="D1" s="6" t="s">
        <v>113</v>
      </c>
      <c r="E1" s="6" t="s">
        <v>70</v>
      </c>
      <c r="F1" s="6" t="s">
        <v>98</v>
      </c>
      <c r="G1" s="6" t="s">
        <v>54</v>
      </c>
    </row>
    <row r="2" spans="1:7" ht="57.6" customHeight="1">
      <c r="A2" s="7" t="s">
        <v>114</v>
      </c>
      <c r="B2" s="17">
        <v>0.2</v>
      </c>
      <c r="C2" s="35">
        <f t="shared" ref="C2:C8" si="0">B2</f>
        <v>0.2</v>
      </c>
      <c r="D2" s="9">
        <f>Population_Data!B4*B2</f>
        <v>2.3200000000000002E-2</v>
      </c>
      <c r="E2" s="7" t="s">
        <v>87</v>
      </c>
      <c r="F2" s="7" t="s">
        <v>115</v>
      </c>
      <c r="G2" s="7" t="s">
        <v>116</v>
      </c>
    </row>
    <row r="3" spans="1:7" ht="57.6" customHeight="1">
      <c r="A3" s="7" t="s">
        <v>117</v>
      </c>
      <c r="B3" s="17">
        <v>0.2</v>
      </c>
      <c r="C3" s="35">
        <f t="shared" si="0"/>
        <v>0.2</v>
      </c>
      <c r="D3" s="9">
        <f>Population_Data!B4*B3</f>
        <v>2.3200000000000002E-2</v>
      </c>
      <c r="E3" s="7" t="s">
        <v>87</v>
      </c>
      <c r="F3" s="7" t="s">
        <v>115</v>
      </c>
      <c r="G3" s="7" t="s">
        <v>116</v>
      </c>
    </row>
    <row r="4" spans="1:7" ht="57.6" customHeight="1">
      <c r="A4" s="7" t="s">
        <v>118</v>
      </c>
      <c r="B4" s="17">
        <v>0.2</v>
      </c>
      <c r="C4" s="35">
        <f t="shared" si="0"/>
        <v>0.2</v>
      </c>
      <c r="D4" s="9">
        <f>Population_Data!B4*B4</f>
        <v>2.3200000000000002E-2</v>
      </c>
      <c r="E4" s="7" t="s">
        <v>87</v>
      </c>
      <c r="F4" s="7" t="s">
        <v>115</v>
      </c>
      <c r="G4" s="7" t="s">
        <v>116</v>
      </c>
    </row>
    <row r="5" spans="1:7" ht="57.6" customHeight="1">
      <c r="A5" s="7" t="s">
        <v>119</v>
      </c>
      <c r="B5" s="17">
        <v>0.2</v>
      </c>
      <c r="C5" s="35">
        <f t="shared" si="0"/>
        <v>0.2</v>
      </c>
      <c r="D5" s="9">
        <f>Population_Data!B4*B5</f>
        <v>2.3200000000000002E-2</v>
      </c>
      <c r="E5" s="7" t="s">
        <v>87</v>
      </c>
      <c r="F5" s="7" t="s">
        <v>115</v>
      </c>
      <c r="G5" s="7" t="s">
        <v>116</v>
      </c>
    </row>
    <row r="6" spans="1:7" ht="57.6" customHeight="1">
      <c r="A6" s="7" t="s">
        <v>120</v>
      </c>
      <c r="B6" s="17">
        <v>0.2</v>
      </c>
      <c r="C6" s="35">
        <f t="shared" si="0"/>
        <v>0.2</v>
      </c>
      <c r="D6" s="9">
        <f>Population_Data!B4*B6</f>
        <v>2.3200000000000002E-2</v>
      </c>
      <c r="E6" s="7" t="s">
        <v>87</v>
      </c>
      <c r="F6" s="7" t="s">
        <v>115</v>
      </c>
      <c r="G6" s="7" t="s">
        <v>116</v>
      </c>
    </row>
    <row r="7" spans="1:7" ht="57.6" customHeight="1">
      <c r="A7" s="7" t="s">
        <v>121</v>
      </c>
      <c r="B7" s="17">
        <v>0</v>
      </c>
      <c r="C7" s="35">
        <f t="shared" si="0"/>
        <v>0</v>
      </c>
      <c r="D7" s="9">
        <f>Population_Data!B4*B7</f>
        <v>0</v>
      </c>
      <c r="E7" s="7" t="s">
        <v>87</v>
      </c>
      <c r="F7" s="7" t="s">
        <v>115</v>
      </c>
      <c r="G7" s="7" t="s">
        <v>122</v>
      </c>
    </row>
    <row r="8" spans="1:7" ht="57.6" customHeight="1">
      <c r="A8" s="7" t="s">
        <v>123</v>
      </c>
      <c r="B8" s="17">
        <v>0</v>
      </c>
      <c r="C8" s="35">
        <f t="shared" si="0"/>
        <v>0</v>
      </c>
      <c r="D8" s="9">
        <f>Population_Data!B4*B8</f>
        <v>0</v>
      </c>
      <c r="E8" s="7" t="s">
        <v>87</v>
      </c>
      <c r="F8" s="7" t="s">
        <v>115</v>
      </c>
      <c r="G8" s="7" t="s">
        <v>122</v>
      </c>
    </row>
    <row r="9" spans="1:7" ht="100.8" customHeight="1">
      <c r="A9" s="36" t="s">
        <v>124</v>
      </c>
      <c r="B9" s="37">
        <f>SUM(B2:B8)</f>
        <v>1</v>
      </c>
      <c r="C9" s="7"/>
      <c r="D9" s="38">
        <f>SUM(D2:D8)</f>
        <v>0.11600000000000001</v>
      </c>
      <c r="E9" s="7"/>
      <c r="F9" s="7"/>
      <c r="G9" s="7" t="s">
        <v>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topLeftCell="I1" workbookViewId="0">
      <selection activeCell="C11" sqref="C11"/>
    </sheetView>
  </sheetViews>
  <sheetFormatPr defaultRowHeight="14.4"/>
  <sheetData>
    <row r="1" spans="1:6" ht="72" customHeight="1">
      <c r="A1" s="3" t="s">
        <v>126</v>
      </c>
      <c r="B1" s="15" t="s">
        <v>127</v>
      </c>
      <c r="C1" s="15" t="s">
        <v>128</v>
      </c>
      <c r="D1" s="3" t="s">
        <v>113</v>
      </c>
      <c r="E1" s="3" t="s">
        <v>70</v>
      </c>
      <c r="F1" s="3" t="s">
        <v>54</v>
      </c>
    </row>
    <row r="2" spans="1:6" ht="28.8" customHeight="1">
      <c r="A2" s="4" t="s">
        <v>129</v>
      </c>
      <c r="B2" s="14">
        <v>0</v>
      </c>
      <c r="C2" s="16">
        <v>0</v>
      </c>
      <c r="D2" s="5">
        <f>Population_Data!B5*C2</f>
        <v>0</v>
      </c>
      <c r="E2" s="4" t="s">
        <v>87</v>
      </c>
      <c r="F2" s="4" t="s">
        <v>130</v>
      </c>
    </row>
    <row r="3" spans="1:6">
      <c r="A3" s="4" t="s">
        <v>131</v>
      </c>
      <c r="B3" s="14">
        <v>1</v>
      </c>
      <c r="C3" s="16">
        <v>0</v>
      </c>
      <c r="D3" s="5">
        <f>Population_Data!B5*C3</f>
        <v>0</v>
      </c>
      <c r="E3" s="4" t="s">
        <v>87</v>
      </c>
      <c r="F3" s="4" t="s">
        <v>132</v>
      </c>
    </row>
    <row r="4" spans="1:6">
      <c r="A4" s="4" t="s">
        <v>133</v>
      </c>
      <c r="B4" s="14">
        <v>2</v>
      </c>
      <c r="C4" s="16">
        <v>7.1428569999999997E-2</v>
      </c>
      <c r="D4" s="5">
        <f>Population_Data!B5*C4</f>
        <v>1.0714285499999999E-3</v>
      </c>
      <c r="E4" s="4" t="s">
        <v>87</v>
      </c>
      <c r="F4" s="4" t="s">
        <v>134</v>
      </c>
    </row>
    <row r="5" spans="1:6">
      <c r="A5" s="4" t="s">
        <v>135</v>
      </c>
      <c r="B5" s="14">
        <v>3</v>
      </c>
      <c r="C5" s="16">
        <v>7.1428569999999997E-2</v>
      </c>
      <c r="D5" s="5">
        <f>Population_Data!B5*C5</f>
        <v>1.0714285499999999E-3</v>
      </c>
      <c r="E5" s="4" t="s">
        <v>87</v>
      </c>
      <c r="F5" s="4" t="s">
        <v>136</v>
      </c>
    </row>
    <row r="6" spans="1:6">
      <c r="A6" s="4" t="s">
        <v>137</v>
      </c>
      <c r="B6" s="14">
        <v>4</v>
      </c>
      <c r="C6" s="16">
        <v>7.1428569999999997E-2</v>
      </c>
      <c r="D6" s="5">
        <f>Population_Data!B5*C6</f>
        <v>1.0714285499999999E-3</v>
      </c>
      <c r="E6" s="4" t="s">
        <v>87</v>
      </c>
      <c r="F6" s="4" t="s">
        <v>138</v>
      </c>
    </row>
    <row r="7" spans="1:6">
      <c r="A7" s="4" t="s">
        <v>139</v>
      </c>
      <c r="B7" s="14">
        <v>5</v>
      </c>
      <c r="C7" s="16">
        <v>7.1428569999999997E-2</v>
      </c>
      <c r="D7" s="5">
        <f>Population_Data!B5*C7</f>
        <v>1.0714285499999999E-3</v>
      </c>
      <c r="E7" s="4" t="s">
        <v>87</v>
      </c>
      <c r="F7" s="4" t="s">
        <v>140</v>
      </c>
    </row>
    <row r="8" spans="1:6">
      <c r="A8" s="4" t="s">
        <v>141</v>
      </c>
      <c r="B8" s="14">
        <v>6</v>
      </c>
      <c r="C8">
        <v>0.21428570999999999</v>
      </c>
      <c r="D8" s="5">
        <f>Population_Data!B5*C8</f>
        <v>3.2142856499999999E-3</v>
      </c>
      <c r="E8" s="4" t="s">
        <v>87</v>
      </c>
      <c r="F8" s="4" t="s">
        <v>142</v>
      </c>
    </row>
    <row r="9" spans="1:6">
      <c r="A9" s="4" t="s">
        <v>143</v>
      </c>
      <c r="B9" s="14">
        <v>7</v>
      </c>
      <c r="C9" s="16">
        <v>0</v>
      </c>
      <c r="D9" s="5">
        <f>Population_Data!B5*C9</f>
        <v>0</v>
      </c>
      <c r="E9" s="4" t="s">
        <v>87</v>
      </c>
      <c r="F9" s="4" t="s">
        <v>144</v>
      </c>
    </row>
    <row r="10" spans="1:6">
      <c r="A10" s="4" t="s">
        <v>145</v>
      </c>
      <c r="B10" s="14">
        <v>8</v>
      </c>
      <c r="C10" s="16">
        <v>0</v>
      </c>
      <c r="D10" s="5">
        <f>Population_Data!B5*C10</f>
        <v>0</v>
      </c>
      <c r="E10" s="4" t="s">
        <v>87</v>
      </c>
      <c r="F10" s="4" t="s">
        <v>146</v>
      </c>
    </row>
    <row r="11" spans="1:6">
      <c r="A11" s="4" t="s">
        <v>147</v>
      </c>
      <c r="B11" s="14">
        <v>9</v>
      </c>
      <c r="C11" s="16">
        <v>7.1428569999999997E-2</v>
      </c>
      <c r="D11" s="5">
        <f>Population_Data!B5*C11</f>
        <v>1.0714285499999999E-3</v>
      </c>
      <c r="E11" s="4" t="s">
        <v>87</v>
      </c>
      <c r="F11" s="4" t="s">
        <v>148</v>
      </c>
    </row>
    <row r="12" spans="1:6">
      <c r="A12" s="4" t="s">
        <v>149</v>
      </c>
      <c r="B12" s="14">
        <v>10</v>
      </c>
      <c r="C12" s="16">
        <v>7.1428569999999997E-2</v>
      </c>
      <c r="D12" s="5">
        <f>Population_Data!B5*C12</f>
        <v>1.0714285499999999E-3</v>
      </c>
      <c r="E12" s="4" t="s">
        <v>87</v>
      </c>
      <c r="F12" s="4" t="s">
        <v>150</v>
      </c>
    </row>
    <row r="13" spans="1:6">
      <c r="A13" s="4" t="s">
        <v>151</v>
      </c>
      <c r="B13" s="14">
        <v>11</v>
      </c>
      <c r="C13" s="16">
        <v>7.1428569999999997E-2</v>
      </c>
      <c r="D13" s="5">
        <f>Population_Data!B5*C13</f>
        <v>1.0714285499999999E-3</v>
      </c>
      <c r="E13" s="4" t="s">
        <v>87</v>
      </c>
      <c r="F13" s="4" t="s">
        <v>152</v>
      </c>
    </row>
    <row r="14" spans="1:6">
      <c r="A14" s="4" t="s">
        <v>153</v>
      </c>
      <c r="B14" s="14">
        <v>12</v>
      </c>
      <c r="C14" s="16">
        <v>7.1428569999999997E-2</v>
      </c>
      <c r="D14" s="5">
        <f>Population_Data!B5*C14</f>
        <v>1.0714285499999999E-3</v>
      </c>
      <c r="E14" s="4" t="s">
        <v>87</v>
      </c>
      <c r="F14" s="4" t="s">
        <v>154</v>
      </c>
    </row>
    <row r="15" spans="1:6">
      <c r="A15" s="4" t="s">
        <v>155</v>
      </c>
      <c r="B15" s="14">
        <v>13</v>
      </c>
      <c r="C15">
        <v>0.21428570999999999</v>
      </c>
      <c r="D15" s="5">
        <f>Population_Data!B5*C15</f>
        <v>3.2142856499999999E-3</v>
      </c>
      <c r="E15" s="4" t="s">
        <v>87</v>
      </c>
      <c r="F15" s="4" t="s">
        <v>156</v>
      </c>
    </row>
    <row r="16" spans="1:6" ht="43.2" customHeight="1">
      <c r="A16" s="21" t="s">
        <v>124</v>
      </c>
      <c r="B16" s="14"/>
      <c r="C16" s="22">
        <f>SUM(C2:C15)</f>
        <v>0.99999998000000001</v>
      </c>
      <c r="D16" s="23">
        <f>SUM(D2:D15)</f>
        <v>1.4999999699999999E-2</v>
      </c>
      <c r="E16" s="4"/>
      <c r="F16" s="4" t="s">
        <v>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0"/>
  <sheetViews>
    <sheetView workbookViewId="0">
      <selection activeCell="D4" sqref="D4"/>
    </sheetView>
  </sheetViews>
  <sheetFormatPr defaultRowHeight="14.4"/>
  <sheetData>
    <row r="1" spans="1:6" ht="72" customHeight="1">
      <c r="A1" s="3" t="s">
        <v>126</v>
      </c>
      <c r="B1" s="15" t="s">
        <v>157</v>
      </c>
      <c r="C1" s="15" t="s">
        <v>158</v>
      </c>
      <c r="D1" s="3" t="s">
        <v>113</v>
      </c>
      <c r="E1" s="3" t="s">
        <v>70</v>
      </c>
      <c r="F1" s="3" t="s">
        <v>54</v>
      </c>
    </row>
    <row r="2" spans="1:6">
      <c r="A2" s="4" t="s">
        <v>159</v>
      </c>
      <c r="B2" s="14">
        <v>0</v>
      </c>
      <c r="C2" s="39">
        <v>0</v>
      </c>
      <c r="D2" s="5">
        <f>Population_Data!B6*C2</f>
        <v>0</v>
      </c>
      <c r="E2" s="4" t="s">
        <v>87</v>
      </c>
      <c r="F2" s="4" t="s">
        <v>160</v>
      </c>
    </row>
    <row r="3" spans="1:6">
      <c r="A3" s="4" t="s">
        <v>161</v>
      </c>
      <c r="B3" s="14">
        <v>1</v>
      </c>
      <c r="C3" s="39">
        <v>0</v>
      </c>
      <c r="D3" s="5">
        <f>Population_Data!B6*C3</f>
        <v>0</v>
      </c>
      <c r="E3" s="4" t="s">
        <v>87</v>
      </c>
      <c r="F3" s="4" t="s">
        <v>132</v>
      </c>
    </row>
    <row r="4" spans="1:6">
      <c r="A4" s="4" t="s">
        <v>162</v>
      </c>
      <c r="B4" s="14">
        <v>2</v>
      </c>
      <c r="C4" s="39">
        <v>3.5714290000000003E-2</v>
      </c>
      <c r="D4" s="5">
        <f>Population_Data!B6*C4</f>
        <v>3.3214289700000004E-3</v>
      </c>
      <c r="E4" s="4" t="s">
        <v>87</v>
      </c>
      <c r="F4" s="4" t="s">
        <v>134</v>
      </c>
    </row>
    <row r="5" spans="1:6">
      <c r="A5" s="4" t="s">
        <v>163</v>
      </c>
      <c r="B5" s="14">
        <v>3</v>
      </c>
      <c r="C5" s="39">
        <v>3.5714290000000003E-2</v>
      </c>
      <c r="D5" s="5">
        <f>Population_Data!B6*C5</f>
        <v>3.3214289700000004E-3</v>
      </c>
      <c r="E5" s="4" t="s">
        <v>87</v>
      </c>
      <c r="F5" s="4" t="s">
        <v>136</v>
      </c>
    </row>
    <row r="6" spans="1:6">
      <c r="A6" s="4" t="s">
        <v>164</v>
      </c>
      <c r="B6" s="14">
        <v>4</v>
      </c>
      <c r="C6" s="39">
        <v>3.5714290000000003E-2</v>
      </c>
      <c r="D6" s="5">
        <f>Population_Data!B6*C6</f>
        <v>3.3214289700000004E-3</v>
      </c>
      <c r="E6" s="4" t="s">
        <v>87</v>
      </c>
      <c r="F6" s="4" t="s">
        <v>138</v>
      </c>
    </row>
    <row r="7" spans="1:6">
      <c r="A7" s="4" t="s">
        <v>165</v>
      </c>
      <c r="B7" s="14">
        <v>5</v>
      </c>
      <c r="C7" s="39">
        <v>3.5714290000000003E-2</v>
      </c>
      <c r="D7" s="5">
        <f>Population_Data!B6*C7</f>
        <v>3.3214289700000004E-3</v>
      </c>
      <c r="E7" s="4" t="s">
        <v>87</v>
      </c>
      <c r="F7" s="4" t="s">
        <v>140</v>
      </c>
    </row>
    <row r="8" spans="1:6">
      <c r="A8" s="4" t="s">
        <v>166</v>
      </c>
      <c r="B8" s="14">
        <v>6</v>
      </c>
      <c r="C8" s="31">
        <v>0.10714286000000001</v>
      </c>
      <c r="D8" s="5">
        <f>Population_Data!B6*C8</f>
        <v>9.9642859800000011E-3</v>
      </c>
      <c r="E8" s="4" t="s">
        <v>87</v>
      </c>
      <c r="F8" s="4" t="s">
        <v>142</v>
      </c>
    </row>
    <row r="9" spans="1:6">
      <c r="A9" s="4" t="s">
        <v>167</v>
      </c>
      <c r="B9" s="14">
        <v>7</v>
      </c>
      <c r="C9" s="39">
        <v>0</v>
      </c>
      <c r="D9" s="5">
        <f>Population_Data!B6*C9</f>
        <v>0</v>
      </c>
      <c r="E9" s="4" t="s">
        <v>87</v>
      </c>
      <c r="F9" s="4" t="s">
        <v>144</v>
      </c>
    </row>
    <row r="10" spans="1:6">
      <c r="A10" s="4" t="s">
        <v>168</v>
      </c>
      <c r="B10" s="14">
        <v>8</v>
      </c>
      <c r="C10" s="39">
        <v>0</v>
      </c>
      <c r="D10" s="5">
        <f>Population_Data!B6*C10</f>
        <v>0</v>
      </c>
      <c r="E10" s="4" t="s">
        <v>87</v>
      </c>
      <c r="F10" s="4" t="s">
        <v>146</v>
      </c>
    </row>
    <row r="11" spans="1:6">
      <c r="A11" s="4" t="s">
        <v>169</v>
      </c>
      <c r="B11" s="14">
        <v>9</v>
      </c>
      <c r="C11" s="39">
        <v>3.5714290000000003E-2</v>
      </c>
      <c r="D11" s="5">
        <f>Population_Data!B6*C11</f>
        <v>3.3214289700000004E-3</v>
      </c>
      <c r="E11" s="4" t="s">
        <v>87</v>
      </c>
      <c r="F11" s="4" t="s">
        <v>148</v>
      </c>
    </row>
    <row r="12" spans="1:6">
      <c r="A12" s="4" t="s">
        <v>170</v>
      </c>
      <c r="B12" s="14">
        <v>10</v>
      </c>
      <c r="C12" s="39">
        <v>3.5714290000000003E-2</v>
      </c>
      <c r="D12" s="5">
        <f>Population_Data!B6*C12</f>
        <v>3.3214289700000004E-3</v>
      </c>
      <c r="E12" s="4" t="s">
        <v>87</v>
      </c>
      <c r="F12" s="4" t="s">
        <v>150</v>
      </c>
    </row>
    <row r="13" spans="1:6">
      <c r="A13" s="4" t="s">
        <v>171</v>
      </c>
      <c r="B13" s="14">
        <v>11</v>
      </c>
      <c r="C13" s="39">
        <v>3.5714290000000003E-2</v>
      </c>
      <c r="D13" s="5">
        <f>Population_Data!B6*C13</f>
        <v>3.3214289700000004E-3</v>
      </c>
      <c r="E13" s="4" t="s">
        <v>87</v>
      </c>
      <c r="F13" s="4" t="s">
        <v>152</v>
      </c>
    </row>
    <row r="14" spans="1:6">
      <c r="A14" s="4" t="s">
        <v>172</v>
      </c>
      <c r="B14" s="14">
        <v>12</v>
      </c>
      <c r="C14" s="39">
        <v>3.5714290000000003E-2</v>
      </c>
      <c r="D14" s="5">
        <f>Population_Data!B6*C14</f>
        <v>3.3214289700000004E-3</v>
      </c>
      <c r="E14" s="4" t="s">
        <v>87</v>
      </c>
      <c r="F14" s="4" t="s">
        <v>154</v>
      </c>
    </row>
    <row r="15" spans="1:6">
      <c r="A15" s="4" t="s">
        <v>173</v>
      </c>
      <c r="B15" s="14">
        <v>13</v>
      </c>
      <c r="C15" s="31">
        <v>0.10714286000000001</v>
      </c>
      <c r="D15" s="5">
        <f>Population_Data!B6*C15</f>
        <v>9.9642859800000011E-3</v>
      </c>
      <c r="E15" s="4" t="s">
        <v>87</v>
      </c>
      <c r="F15" s="4" t="s">
        <v>156</v>
      </c>
    </row>
    <row r="16" spans="1:6">
      <c r="A16" s="4" t="s">
        <v>174</v>
      </c>
      <c r="B16" s="14">
        <v>14</v>
      </c>
      <c r="C16" s="39">
        <v>0</v>
      </c>
      <c r="D16" s="5">
        <f>Population_Data!B6*C16</f>
        <v>0</v>
      </c>
      <c r="E16" s="4" t="s">
        <v>87</v>
      </c>
      <c r="F16" s="4" t="s">
        <v>175</v>
      </c>
    </row>
    <row r="17" spans="1:6">
      <c r="A17" s="4" t="s">
        <v>176</v>
      </c>
      <c r="B17" s="14">
        <v>15</v>
      </c>
      <c r="C17" s="39">
        <v>0</v>
      </c>
      <c r="D17" s="5">
        <f>Population_Data!B6*C17</f>
        <v>0</v>
      </c>
      <c r="E17" s="4" t="s">
        <v>87</v>
      </c>
      <c r="F17" s="4" t="s">
        <v>177</v>
      </c>
    </row>
    <row r="18" spans="1:6">
      <c r="A18" s="4" t="s">
        <v>178</v>
      </c>
      <c r="B18" s="14">
        <v>16</v>
      </c>
      <c r="C18" s="39">
        <v>3.5714290000000003E-2</v>
      </c>
      <c r="D18" s="5">
        <f>Population_Data!B6*C18</f>
        <v>3.3214289700000004E-3</v>
      </c>
      <c r="E18" s="4" t="s">
        <v>87</v>
      </c>
      <c r="F18" s="4" t="s">
        <v>179</v>
      </c>
    </row>
    <row r="19" spans="1:6">
      <c r="A19" s="4" t="s">
        <v>180</v>
      </c>
      <c r="B19" s="14">
        <v>17</v>
      </c>
      <c r="C19" s="39">
        <v>3.5714290000000003E-2</v>
      </c>
      <c r="D19" s="5">
        <f>Population_Data!B6*C19</f>
        <v>3.3214289700000004E-3</v>
      </c>
      <c r="E19" s="4" t="s">
        <v>87</v>
      </c>
      <c r="F19" s="4" t="s">
        <v>181</v>
      </c>
    </row>
    <row r="20" spans="1:6">
      <c r="A20" s="4" t="s">
        <v>182</v>
      </c>
      <c r="B20" s="14">
        <v>18</v>
      </c>
      <c r="C20" s="39">
        <v>3.5714290000000003E-2</v>
      </c>
      <c r="D20" s="5">
        <f>Population_Data!B6*C20</f>
        <v>3.3214289700000004E-3</v>
      </c>
      <c r="E20" s="4" t="s">
        <v>87</v>
      </c>
      <c r="F20" s="4" t="s">
        <v>183</v>
      </c>
    </row>
    <row r="21" spans="1:6">
      <c r="A21" s="4" t="s">
        <v>184</v>
      </c>
      <c r="B21" s="14">
        <v>19</v>
      </c>
      <c r="C21" s="39">
        <v>3.5714290000000003E-2</v>
      </c>
      <c r="D21" s="5">
        <f>Population_Data!B6*C21</f>
        <v>3.3214289700000004E-3</v>
      </c>
      <c r="E21" s="4" t="s">
        <v>87</v>
      </c>
      <c r="F21" s="4" t="s">
        <v>185</v>
      </c>
    </row>
    <row r="22" spans="1:6">
      <c r="A22" s="4" t="s">
        <v>186</v>
      </c>
      <c r="B22" s="14">
        <v>20</v>
      </c>
      <c r="C22" s="31">
        <v>0.10714286000000001</v>
      </c>
      <c r="D22" s="5">
        <f>Population_Data!B6*C22</f>
        <v>9.9642859800000011E-3</v>
      </c>
      <c r="E22" s="4" t="s">
        <v>87</v>
      </c>
      <c r="F22" s="4" t="s">
        <v>187</v>
      </c>
    </row>
    <row r="23" spans="1:6">
      <c r="A23" s="4" t="s">
        <v>188</v>
      </c>
      <c r="B23" s="14">
        <v>21</v>
      </c>
      <c r="C23" s="39">
        <v>0</v>
      </c>
      <c r="D23" s="5">
        <f>Population_Data!B6*C23</f>
        <v>0</v>
      </c>
      <c r="E23" s="4" t="s">
        <v>87</v>
      </c>
      <c r="F23" s="4" t="s">
        <v>189</v>
      </c>
    </row>
    <row r="24" spans="1:6">
      <c r="A24" s="4" t="s">
        <v>190</v>
      </c>
      <c r="B24" s="14">
        <v>22</v>
      </c>
      <c r="C24" s="39">
        <v>0</v>
      </c>
      <c r="D24" s="5">
        <f>Population_Data!B6*C24</f>
        <v>0</v>
      </c>
      <c r="E24" s="4" t="s">
        <v>87</v>
      </c>
      <c r="F24" s="4" t="s">
        <v>191</v>
      </c>
    </row>
    <row r="25" spans="1:6">
      <c r="A25" s="4" t="s">
        <v>192</v>
      </c>
      <c r="B25" s="14">
        <v>23</v>
      </c>
      <c r="C25" s="39">
        <v>3.5714290000000003E-2</v>
      </c>
      <c r="D25" s="5">
        <f>Population_Data!B6*C25</f>
        <v>3.3214289700000004E-3</v>
      </c>
      <c r="E25" s="4" t="s">
        <v>87</v>
      </c>
      <c r="F25" s="4" t="s">
        <v>193</v>
      </c>
    </row>
    <row r="26" spans="1:6">
      <c r="A26" s="4" t="s">
        <v>194</v>
      </c>
      <c r="B26" s="14">
        <v>24</v>
      </c>
      <c r="C26" s="39">
        <v>3.5714290000000003E-2</v>
      </c>
      <c r="D26" s="5">
        <f>Population_Data!B6*C26</f>
        <v>3.3214289700000004E-3</v>
      </c>
      <c r="E26" s="4" t="s">
        <v>87</v>
      </c>
      <c r="F26" s="4" t="s">
        <v>195</v>
      </c>
    </row>
    <row r="27" spans="1:6">
      <c r="A27" s="4" t="s">
        <v>196</v>
      </c>
      <c r="B27" s="14">
        <v>25</v>
      </c>
      <c r="C27" s="39">
        <v>3.5714290000000003E-2</v>
      </c>
      <c r="D27" s="5">
        <f>Population_Data!B6*C27</f>
        <v>3.3214289700000004E-3</v>
      </c>
      <c r="E27" s="4" t="s">
        <v>87</v>
      </c>
      <c r="F27" s="4" t="s">
        <v>197</v>
      </c>
    </row>
    <row r="28" spans="1:6">
      <c r="A28" s="4" t="s">
        <v>198</v>
      </c>
      <c r="B28" s="14">
        <v>26</v>
      </c>
      <c r="C28" s="39">
        <v>3.5714290000000003E-2</v>
      </c>
      <c r="D28" s="5">
        <f>Population_Data!B6*C28</f>
        <v>3.3214289700000004E-3</v>
      </c>
      <c r="E28" s="4" t="s">
        <v>87</v>
      </c>
      <c r="F28" s="4" t="s">
        <v>199</v>
      </c>
    </row>
    <row r="29" spans="1:6">
      <c r="A29" s="4" t="s">
        <v>200</v>
      </c>
      <c r="B29" s="14">
        <v>27</v>
      </c>
      <c r="C29" s="31">
        <v>0.10714286000000001</v>
      </c>
      <c r="D29" s="5">
        <f>Population_Data!B6*C29</f>
        <v>9.9642859800000011E-3</v>
      </c>
      <c r="E29" s="4" t="s">
        <v>87</v>
      </c>
      <c r="F29" s="4" t="s">
        <v>201</v>
      </c>
    </row>
    <row r="30" spans="1:6" ht="43.2" customHeight="1">
      <c r="A30" s="21" t="s">
        <v>124</v>
      </c>
      <c r="B30" s="14"/>
      <c r="C30" s="22">
        <f>SUM(C2:C29)</f>
        <v>1.0000000800000002</v>
      </c>
      <c r="D30" s="23">
        <f>SUM(D2:D29)</f>
        <v>9.300000743999999E-2</v>
      </c>
      <c r="E30" s="4"/>
      <c r="F30" s="4" t="s">
        <v>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0304-4EAD-4372-8045-BD6E4D622D1E}">
  <dimension ref="A1:F30"/>
  <sheetViews>
    <sheetView workbookViewId="0">
      <selection activeCell="D2" sqref="D2:D29"/>
    </sheetView>
  </sheetViews>
  <sheetFormatPr defaultRowHeight="14.4"/>
  <sheetData>
    <row r="1" spans="1:6" ht="72" customHeight="1">
      <c r="A1" s="3" t="s">
        <v>126</v>
      </c>
      <c r="B1" s="15" t="s">
        <v>157</v>
      </c>
      <c r="C1" s="15" t="s">
        <v>293</v>
      </c>
      <c r="D1" s="3" t="s">
        <v>113</v>
      </c>
      <c r="E1" s="3" t="s">
        <v>70</v>
      </c>
      <c r="F1" s="3" t="s">
        <v>54</v>
      </c>
    </row>
    <row r="2" spans="1:6">
      <c r="A2" s="4" t="s">
        <v>159</v>
      </c>
      <c r="B2" s="14">
        <v>0</v>
      </c>
      <c r="C2" s="39">
        <v>0</v>
      </c>
      <c r="D2" s="40">
        <f>Population_Data!$B$16*C2</f>
        <v>0</v>
      </c>
      <c r="E2" s="4" t="s">
        <v>87</v>
      </c>
      <c r="F2" s="4" t="s">
        <v>160</v>
      </c>
    </row>
    <row r="3" spans="1:6">
      <c r="A3" s="4" t="s">
        <v>161</v>
      </c>
      <c r="B3" s="14">
        <v>1</v>
      </c>
      <c r="C3" s="39">
        <v>0</v>
      </c>
      <c r="D3" s="40">
        <f>Population_Data!$B$16*C3</f>
        <v>0</v>
      </c>
      <c r="E3" s="4" t="s">
        <v>87</v>
      </c>
      <c r="F3" s="4" t="s">
        <v>132</v>
      </c>
    </row>
    <row r="4" spans="1:6">
      <c r="A4" s="4" t="s">
        <v>162</v>
      </c>
      <c r="B4" s="14">
        <v>2</v>
      </c>
      <c r="C4" s="39">
        <v>0.05</v>
      </c>
      <c r="D4" s="40">
        <f>Population_Data!$B$16*C4</f>
        <v>0.05</v>
      </c>
      <c r="E4" s="4" t="s">
        <v>87</v>
      </c>
      <c r="F4" s="4" t="s">
        <v>134</v>
      </c>
    </row>
    <row r="5" spans="1:6">
      <c r="A5" s="4" t="s">
        <v>163</v>
      </c>
      <c r="B5" s="14">
        <v>3</v>
      </c>
      <c r="C5" s="39">
        <v>0.05</v>
      </c>
      <c r="D5" s="40">
        <f>Population_Data!$B$16*C5</f>
        <v>0.05</v>
      </c>
      <c r="E5" s="4" t="s">
        <v>87</v>
      </c>
      <c r="F5" s="4" t="s">
        <v>136</v>
      </c>
    </row>
    <row r="6" spans="1:6">
      <c r="A6" s="4" t="s">
        <v>164</v>
      </c>
      <c r="B6" s="14">
        <v>4</v>
      </c>
      <c r="C6" s="39">
        <v>0.05</v>
      </c>
      <c r="D6" s="40">
        <f>Population_Data!$B$16*C6</f>
        <v>0.05</v>
      </c>
      <c r="E6" s="4" t="s">
        <v>87</v>
      </c>
      <c r="F6" s="4" t="s">
        <v>138</v>
      </c>
    </row>
    <row r="7" spans="1:6">
      <c r="A7" s="4" t="s">
        <v>165</v>
      </c>
      <c r="B7" s="14">
        <v>5</v>
      </c>
      <c r="C7" s="39">
        <v>0.05</v>
      </c>
      <c r="D7" s="40">
        <f>Population_Data!$B$16*C7</f>
        <v>0.05</v>
      </c>
      <c r="E7" s="4" t="s">
        <v>87</v>
      </c>
      <c r="F7" s="4" t="s">
        <v>140</v>
      </c>
    </row>
    <row r="8" spans="1:6">
      <c r="A8" s="4" t="s">
        <v>166</v>
      </c>
      <c r="B8" s="14">
        <v>6</v>
      </c>
      <c r="C8" s="31">
        <v>0.05</v>
      </c>
      <c r="D8" s="40">
        <f>Population_Data!$B$16*C8</f>
        <v>0.05</v>
      </c>
      <c r="E8" s="4" t="s">
        <v>87</v>
      </c>
      <c r="F8" s="4" t="s">
        <v>142</v>
      </c>
    </row>
    <row r="9" spans="1:6">
      <c r="A9" s="4" t="s">
        <v>167</v>
      </c>
      <c r="B9" s="14">
        <v>7</v>
      </c>
      <c r="C9" s="39">
        <v>0</v>
      </c>
      <c r="D9" s="40">
        <f>Population_Data!$B$16*C9</f>
        <v>0</v>
      </c>
      <c r="E9" s="4" t="s">
        <v>87</v>
      </c>
      <c r="F9" s="4" t="s">
        <v>144</v>
      </c>
    </row>
    <row r="10" spans="1:6">
      <c r="A10" s="4" t="s">
        <v>168</v>
      </c>
      <c r="B10" s="14">
        <v>8</v>
      </c>
      <c r="C10" s="39">
        <v>0</v>
      </c>
      <c r="D10" s="40">
        <f>Population_Data!$B$16*C10</f>
        <v>0</v>
      </c>
      <c r="E10" s="4" t="s">
        <v>87</v>
      </c>
      <c r="F10" s="4" t="s">
        <v>146</v>
      </c>
    </row>
    <row r="11" spans="1:6">
      <c r="A11" s="4" t="s">
        <v>169</v>
      </c>
      <c r="B11" s="14">
        <v>9</v>
      </c>
      <c r="C11" s="39">
        <v>0.05</v>
      </c>
      <c r="D11" s="40">
        <f>Population_Data!$B$16*C11</f>
        <v>0.05</v>
      </c>
      <c r="E11" s="4" t="s">
        <v>87</v>
      </c>
      <c r="F11" s="4" t="s">
        <v>148</v>
      </c>
    </row>
    <row r="12" spans="1:6">
      <c r="A12" s="4" t="s">
        <v>170</v>
      </c>
      <c r="B12" s="14">
        <v>10</v>
      </c>
      <c r="C12" s="39">
        <v>0.05</v>
      </c>
      <c r="D12" s="40">
        <f>Population_Data!$B$16*C12</f>
        <v>0.05</v>
      </c>
      <c r="E12" s="4" t="s">
        <v>87</v>
      </c>
      <c r="F12" s="4" t="s">
        <v>150</v>
      </c>
    </row>
    <row r="13" spans="1:6">
      <c r="A13" s="4" t="s">
        <v>171</v>
      </c>
      <c r="B13" s="14">
        <v>11</v>
      </c>
      <c r="C13" s="39">
        <v>0.05</v>
      </c>
      <c r="D13" s="40">
        <f>Population_Data!$B$16*C13</f>
        <v>0.05</v>
      </c>
      <c r="E13" s="4" t="s">
        <v>87</v>
      </c>
      <c r="F13" s="4" t="s">
        <v>152</v>
      </c>
    </row>
    <row r="14" spans="1:6">
      <c r="A14" s="4" t="s">
        <v>172</v>
      </c>
      <c r="B14" s="14">
        <v>12</v>
      </c>
      <c r="C14" s="39">
        <v>0.05</v>
      </c>
      <c r="D14" s="40">
        <f>Population_Data!$B$16*C14</f>
        <v>0.05</v>
      </c>
      <c r="E14" s="4" t="s">
        <v>87</v>
      </c>
      <c r="F14" s="4" t="s">
        <v>154</v>
      </c>
    </row>
    <row r="15" spans="1:6">
      <c r="A15" s="4" t="s">
        <v>173</v>
      </c>
      <c r="B15" s="14">
        <v>13</v>
      </c>
      <c r="C15" s="31">
        <v>0.05</v>
      </c>
      <c r="D15" s="40">
        <f>Population_Data!$B$16*C15</f>
        <v>0.05</v>
      </c>
      <c r="E15" s="4" t="s">
        <v>87</v>
      </c>
      <c r="F15" s="4" t="s">
        <v>156</v>
      </c>
    </row>
    <row r="16" spans="1:6">
      <c r="A16" s="4" t="s">
        <v>174</v>
      </c>
      <c r="B16" s="14">
        <v>14</v>
      </c>
      <c r="C16" s="39">
        <v>0</v>
      </c>
      <c r="D16" s="40">
        <f>Population_Data!$B$16*C16</f>
        <v>0</v>
      </c>
      <c r="E16" s="4" t="s">
        <v>87</v>
      </c>
      <c r="F16" s="4" t="s">
        <v>175</v>
      </c>
    </row>
    <row r="17" spans="1:6">
      <c r="A17" s="4" t="s">
        <v>176</v>
      </c>
      <c r="B17" s="14">
        <v>15</v>
      </c>
      <c r="C17" s="39">
        <v>0</v>
      </c>
      <c r="D17" s="40">
        <f>Population_Data!$B$16*C17</f>
        <v>0</v>
      </c>
      <c r="E17" s="4" t="s">
        <v>87</v>
      </c>
      <c r="F17" s="4" t="s">
        <v>177</v>
      </c>
    </row>
    <row r="18" spans="1:6">
      <c r="A18" s="4" t="s">
        <v>178</v>
      </c>
      <c r="B18" s="14">
        <v>16</v>
      </c>
      <c r="C18" s="39">
        <v>0.05</v>
      </c>
      <c r="D18" s="40">
        <f>Population_Data!$B$16*C18</f>
        <v>0.05</v>
      </c>
      <c r="E18" s="4" t="s">
        <v>87</v>
      </c>
      <c r="F18" s="4" t="s">
        <v>179</v>
      </c>
    </row>
    <row r="19" spans="1:6">
      <c r="A19" s="4" t="s">
        <v>180</v>
      </c>
      <c r="B19" s="14">
        <v>17</v>
      </c>
      <c r="C19" s="39">
        <v>0.05</v>
      </c>
      <c r="D19" s="40">
        <f>Population_Data!$B$16*C19</f>
        <v>0.05</v>
      </c>
      <c r="E19" s="4" t="s">
        <v>87</v>
      </c>
      <c r="F19" s="4" t="s">
        <v>181</v>
      </c>
    </row>
    <row r="20" spans="1:6">
      <c r="A20" s="4" t="s">
        <v>182</v>
      </c>
      <c r="B20" s="14">
        <v>18</v>
      </c>
      <c r="C20" s="39">
        <v>0.05</v>
      </c>
      <c r="D20" s="40">
        <f>Population_Data!$B$16*C20</f>
        <v>0.05</v>
      </c>
      <c r="E20" s="4" t="s">
        <v>87</v>
      </c>
      <c r="F20" s="4" t="s">
        <v>183</v>
      </c>
    </row>
    <row r="21" spans="1:6">
      <c r="A21" s="4" t="s">
        <v>184</v>
      </c>
      <c r="B21" s="14">
        <v>19</v>
      </c>
      <c r="C21" s="39">
        <v>0.05</v>
      </c>
      <c r="D21" s="40">
        <f>Population_Data!$B$16*C21</f>
        <v>0.05</v>
      </c>
      <c r="E21" s="4" t="s">
        <v>87</v>
      </c>
      <c r="F21" s="4" t="s">
        <v>185</v>
      </c>
    </row>
    <row r="22" spans="1:6">
      <c r="A22" s="4" t="s">
        <v>186</v>
      </c>
      <c r="B22" s="14">
        <v>20</v>
      </c>
      <c r="C22" s="31">
        <v>0.05</v>
      </c>
      <c r="D22" s="40">
        <f>Population_Data!$B$16*C22</f>
        <v>0.05</v>
      </c>
      <c r="E22" s="4" t="s">
        <v>87</v>
      </c>
      <c r="F22" s="4" t="s">
        <v>187</v>
      </c>
    </row>
    <row r="23" spans="1:6">
      <c r="A23" s="4" t="s">
        <v>188</v>
      </c>
      <c r="B23" s="14">
        <v>21</v>
      </c>
      <c r="C23" s="39">
        <v>0</v>
      </c>
      <c r="D23" s="40">
        <f>Population_Data!$B$16*C23</f>
        <v>0</v>
      </c>
      <c r="E23" s="4" t="s">
        <v>87</v>
      </c>
      <c r="F23" s="4" t="s">
        <v>189</v>
      </c>
    </row>
    <row r="24" spans="1:6">
      <c r="A24" s="4" t="s">
        <v>190</v>
      </c>
      <c r="B24" s="14">
        <v>22</v>
      </c>
      <c r="C24" s="39">
        <v>0</v>
      </c>
      <c r="D24" s="40">
        <f>Population_Data!$B$16*C24</f>
        <v>0</v>
      </c>
      <c r="E24" s="4" t="s">
        <v>87</v>
      </c>
      <c r="F24" s="4" t="s">
        <v>191</v>
      </c>
    </row>
    <row r="25" spans="1:6">
      <c r="A25" s="4" t="s">
        <v>192</v>
      </c>
      <c r="B25" s="14">
        <v>23</v>
      </c>
      <c r="C25" s="39">
        <v>0.05</v>
      </c>
      <c r="D25" s="40">
        <f>Population_Data!$B$16*C25</f>
        <v>0.05</v>
      </c>
      <c r="E25" s="4" t="s">
        <v>87</v>
      </c>
      <c r="F25" s="4" t="s">
        <v>193</v>
      </c>
    </row>
    <row r="26" spans="1:6">
      <c r="A26" s="4" t="s">
        <v>194</v>
      </c>
      <c r="B26" s="14">
        <v>24</v>
      </c>
      <c r="C26" s="39">
        <v>0.05</v>
      </c>
      <c r="D26" s="40">
        <f>Population_Data!$B$16*C26</f>
        <v>0.05</v>
      </c>
      <c r="E26" s="4" t="s">
        <v>87</v>
      </c>
      <c r="F26" s="4" t="s">
        <v>195</v>
      </c>
    </row>
    <row r="27" spans="1:6">
      <c r="A27" s="4" t="s">
        <v>196</v>
      </c>
      <c r="B27" s="14">
        <v>25</v>
      </c>
      <c r="C27" s="39">
        <v>0.05</v>
      </c>
      <c r="D27" s="40">
        <f>Population_Data!$B$16*C27</f>
        <v>0.05</v>
      </c>
      <c r="E27" s="4" t="s">
        <v>87</v>
      </c>
      <c r="F27" s="4" t="s">
        <v>197</v>
      </c>
    </row>
    <row r="28" spans="1:6">
      <c r="A28" s="4" t="s">
        <v>198</v>
      </c>
      <c r="B28" s="14">
        <v>26</v>
      </c>
      <c r="C28" s="39">
        <v>0.05</v>
      </c>
      <c r="D28" s="40">
        <f>Population_Data!$B$16*C28</f>
        <v>0.05</v>
      </c>
      <c r="E28" s="4" t="s">
        <v>87</v>
      </c>
      <c r="F28" s="4" t="s">
        <v>199</v>
      </c>
    </row>
    <row r="29" spans="1:6">
      <c r="A29" s="4" t="s">
        <v>200</v>
      </c>
      <c r="B29" s="14">
        <v>27</v>
      </c>
      <c r="C29" s="31">
        <v>0.05</v>
      </c>
      <c r="D29" s="40">
        <f>Population_Data!$B$16*C29</f>
        <v>0.05</v>
      </c>
      <c r="E29" s="4" t="s">
        <v>87</v>
      </c>
      <c r="F29" s="4" t="s">
        <v>201</v>
      </c>
    </row>
    <row r="30" spans="1:6" ht="43.2" customHeight="1">
      <c r="A30" s="21" t="s">
        <v>124</v>
      </c>
      <c r="B30" s="14"/>
      <c r="C30" s="22">
        <f>SUM(C2:C29)</f>
        <v>1.0000000000000002</v>
      </c>
      <c r="D30" s="23">
        <f>SUM(D2:D29)</f>
        <v>1.0000000000000002</v>
      </c>
      <c r="E30" s="4"/>
      <c r="F30" s="4" t="s">
        <v>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"/>
  <sheetViews>
    <sheetView workbookViewId="0">
      <selection activeCell="H26" sqref="H26"/>
    </sheetView>
  </sheetViews>
  <sheetFormatPr defaultRowHeight="14.4"/>
  <cols>
    <col min="1" max="1" width="10.5546875" bestFit="1" customWidth="1"/>
    <col min="2" max="2" width="23.6640625" bestFit="1" customWidth="1"/>
    <col min="3" max="3" width="14.6640625" bestFit="1" customWidth="1"/>
    <col min="4" max="4" width="12.6640625" bestFit="1" customWidth="1"/>
    <col min="5" max="5" width="18.88671875" bestFit="1" customWidth="1"/>
    <col min="6" max="6" width="8.5546875" bestFit="1" customWidth="1"/>
  </cols>
  <sheetData>
    <row r="1" spans="1:6">
      <c r="A1" s="6" t="s">
        <v>0</v>
      </c>
      <c r="B1" s="6" t="s">
        <v>202</v>
      </c>
      <c r="C1" s="6" t="s">
        <v>203</v>
      </c>
      <c r="D1" s="6" t="s">
        <v>204</v>
      </c>
      <c r="E1" s="6" t="s">
        <v>205</v>
      </c>
      <c r="F1" s="6" t="s">
        <v>54</v>
      </c>
    </row>
    <row r="2" spans="1:6">
      <c r="A2" s="26">
        <v>46023</v>
      </c>
      <c r="B2" s="7" t="s">
        <v>206</v>
      </c>
      <c r="C2" s="7" t="s">
        <v>207</v>
      </c>
      <c r="D2" s="7" t="s">
        <v>73</v>
      </c>
      <c r="E2" s="7" t="s">
        <v>208</v>
      </c>
      <c r="F2" s="7" t="s">
        <v>209</v>
      </c>
    </row>
    <row r="3" spans="1:6">
      <c r="A3" s="26">
        <v>46115</v>
      </c>
      <c r="B3" s="7" t="s">
        <v>210</v>
      </c>
      <c r="C3" s="7" t="s">
        <v>207</v>
      </c>
      <c r="D3" s="7" t="s">
        <v>73</v>
      </c>
      <c r="E3" s="7" t="s">
        <v>208</v>
      </c>
      <c r="F3" s="7" t="s">
        <v>209</v>
      </c>
    </row>
    <row r="4" spans="1:6">
      <c r="A4" s="26">
        <v>46118</v>
      </c>
      <c r="B4" s="7" t="s">
        <v>211</v>
      </c>
      <c r="C4" s="7" t="s">
        <v>207</v>
      </c>
      <c r="D4" s="7" t="s">
        <v>73</v>
      </c>
      <c r="E4" s="7" t="s">
        <v>208</v>
      </c>
      <c r="F4" s="7" t="s">
        <v>209</v>
      </c>
    </row>
    <row r="5" spans="1:6">
      <c r="A5" s="26">
        <v>46146</v>
      </c>
      <c r="B5" s="7" t="s">
        <v>212</v>
      </c>
      <c r="C5" s="7" t="s">
        <v>207</v>
      </c>
      <c r="D5" s="7" t="s">
        <v>73</v>
      </c>
      <c r="E5" s="7" t="s">
        <v>208</v>
      </c>
      <c r="F5" s="7" t="s">
        <v>209</v>
      </c>
    </row>
    <row r="6" spans="1:6">
      <c r="A6" s="26">
        <v>46167</v>
      </c>
      <c r="B6" s="7" t="s">
        <v>213</v>
      </c>
      <c r="C6" s="7" t="s">
        <v>207</v>
      </c>
      <c r="D6" s="7" t="s">
        <v>73</v>
      </c>
      <c r="E6" s="7" t="s">
        <v>208</v>
      </c>
      <c r="F6" s="7" t="s">
        <v>209</v>
      </c>
    </row>
    <row r="7" spans="1:6">
      <c r="A7" s="26">
        <v>46265</v>
      </c>
      <c r="B7" s="7" t="s">
        <v>214</v>
      </c>
      <c r="C7" s="7" t="s">
        <v>207</v>
      </c>
      <c r="D7" s="7" t="s">
        <v>73</v>
      </c>
      <c r="E7" s="7" t="s">
        <v>208</v>
      </c>
      <c r="F7" s="7" t="s">
        <v>209</v>
      </c>
    </row>
    <row r="8" spans="1:6">
      <c r="A8" s="26">
        <v>46381</v>
      </c>
      <c r="B8" s="7" t="s">
        <v>215</v>
      </c>
      <c r="C8" s="7" t="s">
        <v>207</v>
      </c>
      <c r="D8" s="7" t="s">
        <v>73</v>
      </c>
      <c r="E8" s="7" t="s">
        <v>208</v>
      </c>
      <c r="F8" s="7" t="s">
        <v>209</v>
      </c>
    </row>
    <row r="9" spans="1:6">
      <c r="A9" s="26">
        <v>46384</v>
      </c>
      <c r="B9" s="7" t="s">
        <v>216</v>
      </c>
      <c r="C9" s="7" t="s">
        <v>207</v>
      </c>
      <c r="D9" s="7" t="s">
        <v>73</v>
      </c>
      <c r="E9" s="7" t="s">
        <v>208</v>
      </c>
      <c r="F9" s="7" t="s">
        <v>209</v>
      </c>
    </row>
    <row r="10" spans="1:6">
      <c r="A10" s="26">
        <v>46388</v>
      </c>
      <c r="B10" s="7" t="s">
        <v>206</v>
      </c>
      <c r="C10" s="7" t="s">
        <v>207</v>
      </c>
      <c r="D10" s="7" t="s">
        <v>73</v>
      </c>
      <c r="E10" s="7" t="s">
        <v>208</v>
      </c>
      <c r="F10" s="7" t="s">
        <v>209</v>
      </c>
    </row>
    <row r="11" spans="1:6">
      <c r="A11" s="26">
        <v>46472</v>
      </c>
      <c r="B11" s="7" t="s">
        <v>210</v>
      </c>
      <c r="C11" s="7" t="s">
        <v>207</v>
      </c>
      <c r="D11" s="7" t="s">
        <v>73</v>
      </c>
      <c r="E11" s="7" t="s">
        <v>208</v>
      </c>
      <c r="F11" s="7" t="s">
        <v>209</v>
      </c>
    </row>
    <row r="12" spans="1:6">
      <c r="A12" s="26">
        <v>46475</v>
      </c>
      <c r="B12" s="7" t="s">
        <v>211</v>
      </c>
      <c r="C12" s="7" t="s">
        <v>207</v>
      </c>
      <c r="D12" s="7" t="s">
        <v>73</v>
      </c>
      <c r="E12" s="7" t="s">
        <v>208</v>
      </c>
      <c r="F12" s="7" t="s">
        <v>209</v>
      </c>
    </row>
    <row r="13" spans="1:6">
      <c r="A13" s="26">
        <v>46510</v>
      </c>
      <c r="B13" s="7" t="s">
        <v>212</v>
      </c>
      <c r="C13" s="7" t="s">
        <v>207</v>
      </c>
      <c r="D13" s="7" t="s">
        <v>73</v>
      </c>
      <c r="E13" s="7" t="s">
        <v>208</v>
      </c>
      <c r="F13" s="7" t="s">
        <v>209</v>
      </c>
    </row>
    <row r="14" spans="1:6">
      <c r="A14" s="26">
        <v>46538</v>
      </c>
      <c r="B14" s="7" t="s">
        <v>213</v>
      </c>
      <c r="C14" s="7" t="s">
        <v>207</v>
      </c>
      <c r="D14" s="7" t="s">
        <v>73</v>
      </c>
      <c r="E14" s="7" t="s">
        <v>208</v>
      </c>
      <c r="F14" s="7" t="s">
        <v>209</v>
      </c>
    </row>
    <row r="15" spans="1:6">
      <c r="A15" s="26">
        <v>46629</v>
      </c>
      <c r="B15" s="7" t="s">
        <v>214</v>
      </c>
      <c r="C15" s="7" t="s">
        <v>207</v>
      </c>
      <c r="D15" s="7" t="s">
        <v>73</v>
      </c>
      <c r="E15" s="7" t="s">
        <v>208</v>
      </c>
      <c r="F15" s="7" t="s">
        <v>209</v>
      </c>
    </row>
    <row r="16" spans="1:6">
      <c r="A16" s="26">
        <v>46748</v>
      </c>
      <c r="B16" s="7" t="s">
        <v>217</v>
      </c>
      <c r="C16" s="7" t="s">
        <v>207</v>
      </c>
      <c r="D16" s="7" t="s">
        <v>73</v>
      </c>
      <c r="E16" s="7" t="s">
        <v>208</v>
      </c>
      <c r="F16" s="7" t="s">
        <v>209</v>
      </c>
    </row>
    <row r="17" spans="1:6">
      <c r="A17" s="26">
        <v>46749</v>
      </c>
      <c r="B17" s="7" t="s">
        <v>216</v>
      </c>
      <c r="C17" s="7" t="s">
        <v>207</v>
      </c>
      <c r="D17" s="7" t="s">
        <v>73</v>
      </c>
      <c r="E17" s="7" t="s">
        <v>208</v>
      </c>
      <c r="F17" s="7" t="s">
        <v>209</v>
      </c>
    </row>
    <row r="18" spans="1:6">
      <c r="A18" s="26">
        <v>46755</v>
      </c>
      <c r="B18" s="7" t="s">
        <v>218</v>
      </c>
      <c r="C18" s="7" t="s">
        <v>207</v>
      </c>
      <c r="D18" s="7" t="s">
        <v>73</v>
      </c>
      <c r="E18" s="7" t="s">
        <v>208</v>
      </c>
      <c r="F18" s="7" t="s">
        <v>209</v>
      </c>
    </row>
    <row r="19" spans="1:6">
      <c r="A19" s="26">
        <v>46857</v>
      </c>
      <c r="B19" s="7" t="s">
        <v>210</v>
      </c>
      <c r="C19" s="7" t="s">
        <v>207</v>
      </c>
      <c r="D19" s="7" t="s">
        <v>73</v>
      </c>
      <c r="E19" s="7" t="s">
        <v>208</v>
      </c>
      <c r="F19" s="7" t="s">
        <v>209</v>
      </c>
    </row>
    <row r="20" spans="1:6">
      <c r="A20" s="26">
        <v>46860</v>
      </c>
      <c r="B20" s="7" t="s">
        <v>211</v>
      </c>
      <c r="C20" s="7" t="s">
        <v>207</v>
      </c>
      <c r="D20" s="7" t="s">
        <v>73</v>
      </c>
      <c r="E20" s="7" t="s">
        <v>208</v>
      </c>
      <c r="F20" s="7" t="s">
        <v>209</v>
      </c>
    </row>
    <row r="21" spans="1:6">
      <c r="A21" s="26">
        <v>46874</v>
      </c>
      <c r="B21" s="7" t="s">
        <v>212</v>
      </c>
      <c r="C21" s="7" t="s">
        <v>207</v>
      </c>
      <c r="D21" s="7" t="s">
        <v>73</v>
      </c>
      <c r="E21" s="7" t="s">
        <v>208</v>
      </c>
      <c r="F21" s="7" t="s">
        <v>209</v>
      </c>
    </row>
    <row r="22" spans="1:6">
      <c r="A22" s="26">
        <v>46902</v>
      </c>
      <c r="B22" s="7" t="s">
        <v>213</v>
      </c>
      <c r="C22" s="7" t="s">
        <v>207</v>
      </c>
      <c r="D22" s="7" t="s">
        <v>73</v>
      </c>
      <c r="E22" s="7" t="s">
        <v>208</v>
      </c>
      <c r="F22" s="7" t="s">
        <v>209</v>
      </c>
    </row>
    <row r="23" spans="1:6">
      <c r="A23" s="26">
        <v>46993</v>
      </c>
      <c r="B23" s="7" t="s">
        <v>214</v>
      </c>
      <c r="C23" s="7" t="s">
        <v>207</v>
      </c>
      <c r="D23" s="7" t="s">
        <v>73</v>
      </c>
      <c r="E23" s="7" t="s">
        <v>208</v>
      </c>
      <c r="F23" s="7" t="s">
        <v>209</v>
      </c>
    </row>
    <row r="24" spans="1:6">
      <c r="A24" s="26">
        <v>47112</v>
      </c>
      <c r="B24" s="7" t="s">
        <v>215</v>
      </c>
      <c r="C24" s="7" t="s">
        <v>207</v>
      </c>
      <c r="D24" s="7" t="s">
        <v>73</v>
      </c>
      <c r="E24" s="7" t="s">
        <v>208</v>
      </c>
      <c r="F24" s="7" t="s">
        <v>209</v>
      </c>
    </row>
    <row r="25" spans="1:6">
      <c r="A25" s="26">
        <v>47113</v>
      </c>
      <c r="B25" s="7" t="s">
        <v>219</v>
      </c>
      <c r="C25" s="7" t="s">
        <v>207</v>
      </c>
      <c r="D25" s="7" t="s">
        <v>73</v>
      </c>
      <c r="E25" s="7" t="s">
        <v>208</v>
      </c>
      <c r="F25" s="7" t="s">
        <v>209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377"/>
  <sheetViews>
    <sheetView topLeftCell="H1" zoomScale="85" zoomScaleNormal="85" workbookViewId="0">
      <selection activeCell="F6" sqref="F6"/>
    </sheetView>
  </sheetViews>
  <sheetFormatPr defaultRowHeight="14.4"/>
  <cols>
    <col min="1" max="1" width="10.5546875" bestFit="1" customWidth="1"/>
    <col min="2" max="8" width="8.88671875" customWidth="1"/>
    <col min="9" max="9" width="11.88671875" customWidth="1"/>
    <col min="10" max="10" width="8.88671875" customWidth="1"/>
    <col min="19" max="19" width="14" bestFit="1" customWidth="1"/>
    <col min="20" max="20" width="10.77734375" bestFit="1" customWidth="1"/>
  </cols>
  <sheetData>
    <row r="1" spans="1:22" ht="43.2" customHeight="1">
      <c r="A1" s="2" t="s">
        <v>0</v>
      </c>
      <c r="B1" s="24" t="s">
        <v>220</v>
      </c>
      <c r="C1" s="24" t="s">
        <v>221</v>
      </c>
      <c r="D1" s="24" t="s">
        <v>222</v>
      </c>
      <c r="E1" s="24" t="s">
        <v>223</v>
      </c>
      <c r="F1" s="24" t="s">
        <v>224</v>
      </c>
      <c r="G1" s="24" t="s">
        <v>225</v>
      </c>
      <c r="H1" s="24" t="s">
        <v>226</v>
      </c>
      <c r="I1" s="24" t="s">
        <v>5</v>
      </c>
      <c r="J1" s="24" t="s">
        <v>227</v>
      </c>
      <c r="K1" s="4" t="s">
        <v>228</v>
      </c>
      <c r="L1" s="4" t="s">
        <v>204</v>
      </c>
      <c r="M1" s="4" t="s">
        <v>229</v>
      </c>
      <c r="N1" s="4" t="s">
        <v>230</v>
      </c>
      <c r="O1" s="4" t="s">
        <v>231</v>
      </c>
      <c r="P1" s="4" t="s">
        <v>232</v>
      </c>
      <c r="Q1" s="4" t="s">
        <v>233</v>
      </c>
      <c r="R1" s="4" t="s">
        <v>284</v>
      </c>
      <c r="S1" t="s">
        <v>6</v>
      </c>
      <c r="T1" t="s">
        <v>7</v>
      </c>
      <c r="U1" s="4" t="s">
        <v>251</v>
      </c>
      <c r="V1" s="4" t="s">
        <v>251</v>
      </c>
    </row>
    <row r="2" spans="1:22">
      <c r="A2" s="25">
        <v>46235</v>
      </c>
      <c r="B2">
        <f t="shared" ref="B2:B65" si="0">YEAR(A2)</f>
        <v>2026</v>
      </c>
      <c r="C2" s="9">
        <f t="shared" ref="C2:C65" si="1">MONTH(A2)</f>
        <v>8</v>
      </c>
      <c r="D2" s="9" t="str">
        <f t="shared" ref="D2:D65" si="2">TEXT(A2,"mmmm")</f>
        <v>August</v>
      </c>
      <c r="E2" s="9" t="str">
        <f t="shared" ref="E2:E65" si="3">TEXT(A2,"mmm-yy")</f>
        <v>Aug-26</v>
      </c>
      <c r="F2" s="9" t="str">
        <f t="shared" ref="F2:F65" si="4">"Q"&amp;ROUNDUP(MONTH($A2)/3,0)</f>
        <v>Q3</v>
      </c>
      <c r="G2" s="9">
        <f t="shared" ref="G2:G65" si="5">DAY($A2)</f>
        <v>1</v>
      </c>
      <c r="H2" s="9">
        <f t="shared" ref="H2:H65" si="6">WEEKDAY($A2,2)</f>
        <v>6</v>
      </c>
      <c r="I2" s="9" t="str">
        <f t="shared" ref="I2:I65" si="7">TEXT($A2,"dddd")</f>
        <v>Saturday</v>
      </c>
      <c r="J2" s="9" t="str">
        <f t="shared" ref="J2:J65" si="8">IF($H2&gt;5,"Yes","No")</f>
        <v>Yes</v>
      </c>
      <c r="K2" s="5" t="str">
        <f>IF(COUNTIF(Bank_Holidays!A:A,A2)&gt;0,"Yes","No")</f>
        <v>No</v>
      </c>
      <c r="L2" t="str">
        <f t="shared" ref="L2:L65" si="9">IF(AND(J2="No",K2="No"),"Yes","No")</f>
        <v>No</v>
      </c>
      <c r="M2">
        <f t="shared" ref="M2:M65" si="10">_xlfn.ISOWEEKNUM(A2)</f>
        <v>31</v>
      </c>
      <c r="N2" s="5" t="str">
        <f t="shared" ref="N2:N65" si="11">IF(A2=EOMONTH(A2,0),"Yes","No")</f>
        <v>No</v>
      </c>
      <c r="O2" t="str">
        <f>IF(A2=WORKDAY(EOMONTH(A2,0)+1,-1,Bank_Holidays!$A$2:$A$25),"Yes","No")</f>
        <v>No</v>
      </c>
      <c r="P2" t="str">
        <f t="shared" ref="P2:P65" si="12">IF(
AND(
TEXT(A2,"dddd")="Friday",
MONTH(A2+7)&lt;&gt;MONTH(A2)
),
"Yes",
"No"
)</f>
        <v>No</v>
      </c>
      <c r="Q2" t="str">
        <f t="shared" ref="Q2:Q65" si="13">IF(
AND(
TEXT(A2,"dddd")="Thursday",
MONTH(A2+7)&lt;&gt;MONTH(A2)
),
"Yes",
"No"
)</f>
        <v>No</v>
      </c>
      <c r="R2" s="5">
        <f>IF(L2="yes",1)+IF(L2="no",0,IF(AND(L7="no",L6="no",L5="no",L4="no",L3="no"),5,IF(AND(L6="no",L5="no",L4="no",L3="no"),4,IF(AND(L5="no",L4="no",L3="no"),3,IF(AND(L4="no",L3="no"),2,IF(L3="no",1))))))</f>
        <v>0</v>
      </c>
      <c r="S2">
        <f>MOD(A2-Fortnightly_Model!$M$1,14)</f>
        <v>7</v>
      </c>
      <c r="T2">
        <f>MOD(A2-FourWeekly_Model!$M$1,28)</f>
        <v>7</v>
      </c>
    </row>
    <row r="3" spans="1:22">
      <c r="A3" s="25">
        <f t="shared" ref="A3:A66" si="14">A2+1</f>
        <v>46236</v>
      </c>
      <c r="B3">
        <f t="shared" si="0"/>
        <v>2026</v>
      </c>
      <c r="C3" s="9">
        <f t="shared" si="1"/>
        <v>8</v>
      </c>
      <c r="D3" s="9" t="str">
        <f t="shared" si="2"/>
        <v>August</v>
      </c>
      <c r="E3" s="9" t="str">
        <f t="shared" si="3"/>
        <v>Aug-26</v>
      </c>
      <c r="F3" s="9" t="str">
        <f t="shared" si="4"/>
        <v>Q3</v>
      </c>
      <c r="G3" s="9">
        <f t="shared" si="5"/>
        <v>2</v>
      </c>
      <c r="H3" s="9">
        <f t="shared" si="6"/>
        <v>7</v>
      </c>
      <c r="I3" s="9" t="str">
        <f t="shared" si="7"/>
        <v>Sunday</v>
      </c>
      <c r="J3" s="9" t="str">
        <f t="shared" si="8"/>
        <v>Yes</v>
      </c>
      <c r="K3" s="5" t="str">
        <f>IF(COUNTIF(Bank_Holidays!A:A,A3)&gt;0,"Yes","No")</f>
        <v>No</v>
      </c>
      <c r="L3" t="str">
        <f t="shared" si="9"/>
        <v>No</v>
      </c>
      <c r="M3">
        <f t="shared" si="10"/>
        <v>31</v>
      </c>
      <c r="N3" s="5" t="str">
        <f t="shared" si="11"/>
        <v>No</v>
      </c>
      <c r="O3" t="str">
        <f>IF(A3=WORKDAY(EOMONTH(A3,0)+1,-1,Bank_Holidays!$A$2:$A$25),"Yes","No")</f>
        <v>No</v>
      </c>
      <c r="P3" t="str">
        <f t="shared" si="12"/>
        <v>No</v>
      </c>
      <c r="Q3" t="str">
        <f t="shared" si="13"/>
        <v>No</v>
      </c>
      <c r="R3" s="5">
        <f t="shared" ref="R3:R66" si="15">IF(L3="yes",1)+IF(L3="no",0,IF(AND(L8="no",L7="no",L6="no",L5="no",L4="no"),5,IF(AND(L7="no",L6="no",L5="no",L4="no"),4,IF(AND(L6="no",L5="no",L4="no"),3,IF(AND(L5="no",L4="no"),2,IF(L4="no",1))))))</f>
        <v>0</v>
      </c>
      <c r="S3">
        <f>MOD(A3-Fortnightly_Model!$M$1,14)</f>
        <v>8</v>
      </c>
      <c r="T3">
        <f>MOD(A3-FourWeekly_Model!$M$1,28)</f>
        <v>8</v>
      </c>
    </row>
    <row r="4" spans="1:22">
      <c r="A4" s="25">
        <f t="shared" si="14"/>
        <v>46237</v>
      </c>
      <c r="B4">
        <f t="shared" si="0"/>
        <v>2026</v>
      </c>
      <c r="C4" s="9">
        <f t="shared" si="1"/>
        <v>8</v>
      </c>
      <c r="D4" s="9" t="str">
        <f t="shared" si="2"/>
        <v>August</v>
      </c>
      <c r="E4" s="9" t="str">
        <f t="shared" si="3"/>
        <v>Aug-26</v>
      </c>
      <c r="F4" s="9" t="str">
        <f t="shared" si="4"/>
        <v>Q3</v>
      </c>
      <c r="G4" s="9">
        <f t="shared" si="5"/>
        <v>3</v>
      </c>
      <c r="H4" s="9">
        <f t="shared" si="6"/>
        <v>1</v>
      </c>
      <c r="I4" s="9" t="str">
        <f t="shared" si="7"/>
        <v>Monday</v>
      </c>
      <c r="J4" s="9" t="str">
        <f t="shared" si="8"/>
        <v>No</v>
      </c>
      <c r="K4" s="5" t="str">
        <f>IF(COUNTIF(Bank_Holidays!A:A,A4)&gt;0,"Yes","No")</f>
        <v>No</v>
      </c>
      <c r="L4" t="str">
        <f t="shared" si="9"/>
        <v>Yes</v>
      </c>
      <c r="M4">
        <f t="shared" si="10"/>
        <v>32</v>
      </c>
      <c r="N4" s="5" t="str">
        <f t="shared" si="11"/>
        <v>No</v>
      </c>
      <c r="O4" t="str">
        <f>IF(A4=WORKDAY(EOMONTH(A4,0)+1,-1,Bank_Holidays!$A$2:$A$25),"Yes","No")</f>
        <v>No</v>
      </c>
      <c r="P4" t="str">
        <f t="shared" si="12"/>
        <v>No</v>
      </c>
      <c r="Q4" t="str">
        <f t="shared" si="13"/>
        <v>No</v>
      </c>
      <c r="R4" s="5">
        <f t="shared" si="15"/>
        <v>1</v>
      </c>
      <c r="S4">
        <f>MOD(A4-Fortnightly_Model!$M$1,14)</f>
        <v>9</v>
      </c>
      <c r="T4">
        <f>MOD(A4-FourWeekly_Model!$M$1,28)</f>
        <v>9</v>
      </c>
    </row>
    <row r="5" spans="1:22">
      <c r="A5" s="25">
        <f t="shared" si="14"/>
        <v>46238</v>
      </c>
      <c r="B5">
        <f t="shared" si="0"/>
        <v>2026</v>
      </c>
      <c r="C5" s="9">
        <f t="shared" si="1"/>
        <v>8</v>
      </c>
      <c r="D5" s="9" t="str">
        <f t="shared" si="2"/>
        <v>August</v>
      </c>
      <c r="E5" s="9" t="str">
        <f t="shared" si="3"/>
        <v>Aug-26</v>
      </c>
      <c r="F5" s="9" t="str">
        <f t="shared" si="4"/>
        <v>Q3</v>
      </c>
      <c r="G5" s="9">
        <f t="shared" si="5"/>
        <v>4</v>
      </c>
      <c r="H5" s="9">
        <f t="shared" si="6"/>
        <v>2</v>
      </c>
      <c r="I5" s="9" t="str">
        <f t="shared" si="7"/>
        <v>Tuesday</v>
      </c>
      <c r="J5" s="9" t="str">
        <f t="shared" si="8"/>
        <v>No</v>
      </c>
      <c r="K5" s="5" t="str">
        <f>IF(COUNTIF(Bank_Holidays!A:A,A5)&gt;0,"Yes","No")</f>
        <v>No</v>
      </c>
      <c r="L5" t="str">
        <f t="shared" si="9"/>
        <v>Yes</v>
      </c>
      <c r="M5">
        <f t="shared" si="10"/>
        <v>32</v>
      </c>
      <c r="N5" s="5" t="str">
        <f t="shared" si="11"/>
        <v>No</v>
      </c>
      <c r="O5" t="str">
        <f>IF(A5=WORKDAY(EOMONTH(A5,0)+1,-1,Bank_Holidays!$A$2:$A$25),"Yes","No")</f>
        <v>No</v>
      </c>
      <c r="P5" t="str">
        <f t="shared" si="12"/>
        <v>No</v>
      </c>
      <c r="Q5" t="str">
        <f t="shared" si="13"/>
        <v>No</v>
      </c>
      <c r="R5" s="5">
        <f t="shared" si="15"/>
        <v>1</v>
      </c>
      <c r="S5">
        <f>MOD(A5-Fortnightly_Model!$M$1,14)</f>
        <v>10</v>
      </c>
      <c r="T5">
        <f>MOD(A5-FourWeekly_Model!$M$1,28)</f>
        <v>10</v>
      </c>
    </row>
    <row r="6" spans="1:22">
      <c r="A6" s="25">
        <f t="shared" si="14"/>
        <v>46239</v>
      </c>
      <c r="B6">
        <f t="shared" si="0"/>
        <v>2026</v>
      </c>
      <c r="C6" s="9">
        <f t="shared" si="1"/>
        <v>8</v>
      </c>
      <c r="D6" s="9" t="str">
        <f t="shared" si="2"/>
        <v>August</v>
      </c>
      <c r="E6" s="9" t="str">
        <f t="shared" si="3"/>
        <v>Aug-26</v>
      </c>
      <c r="F6" s="9" t="str">
        <f t="shared" si="4"/>
        <v>Q3</v>
      </c>
      <c r="G6" s="9">
        <f t="shared" si="5"/>
        <v>5</v>
      </c>
      <c r="H6" s="9">
        <f t="shared" si="6"/>
        <v>3</v>
      </c>
      <c r="I6" s="9" t="str">
        <f t="shared" si="7"/>
        <v>Wednesday</v>
      </c>
      <c r="J6" s="9" t="str">
        <f t="shared" si="8"/>
        <v>No</v>
      </c>
      <c r="K6" s="5" t="str">
        <f>IF(COUNTIF(Bank_Holidays!A:A,A6)&gt;0,"Yes","No")</f>
        <v>No</v>
      </c>
      <c r="L6" t="str">
        <f t="shared" si="9"/>
        <v>Yes</v>
      </c>
      <c r="M6">
        <f t="shared" si="10"/>
        <v>32</v>
      </c>
      <c r="N6" s="5" t="str">
        <f t="shared" si="11"/>
        <v>No</v>
      </c>
      <c r="O6" t="str">
        <f>IF(A6=WORKDAY(EOMONTH(A6,0)+1,-1,Bank_Holidays!$A$2:$A$25),"Yes","No")</f>
        <v>No</v>
      </c>
      <c r="P6" t="str">
        <f t="shared" si="12"/>
        <v>No</v>
      </c>
      <c r="Q6" t="str">
        <f t="shared" si="13"/>
        <v>No</v>
      </c>
      <c r="R6" s="5">
        <f t="shared" si="15"/>
        <v>1</v>
      </c>
      <c r="S6">
        <f>MOD(A6-Fortnightly_Model!$M$1,14)</f>
        <v>11</v>
      </c>
      <c r="T6">
        <f>MOD(A6-FourWeekly_Model!$M$1,28)</f>
        <v>11</v>
      </c>
    </row>
    <row r="7" spans="1:22">
      <c r="A7" s="25">
        <f t="shared" si="14"/>
        <v>46240</v>
      </c>
      <c r="B7">
        <f t="shared" si="0"/>
        <v>2026</v>
      </c>
      <c r="C7" s="9">
        <f t="shared" si="1"/>
        <v>8</v>
      </c>
      <c r="D7" s="9" t="str">
        <f t="shared" si="2"/>
        <v>August</v>
      </c>
      <c r="E7" s="9" t="str">
        <f t="shared" si="3"/>
        <v>Aug-26</v>
      </c>
      <c r="F7" s="9" t="str">
        <f t="shared" si="4"/>
        <v>Q3</v>
      </c>
      <c r="G7" s="9">
        <f t="shared" si="5"/>
        <v>6</v>
      </c>
      <c r="H7" s="9">
        <f t="shared" si="6"/>
        <v>4</v>
      </c>
      <c r="I7" s="9" t="str">
        <f t="shared" si="7"/>
        <v>Thursday</v>
      </c>
      <c r="J7" s="9" t="str">
        <f t="shared" si="8"/>
        <v>No</v>
      </c>
      <c r="K7" s="5" t="str">
        <f>IF(COUNTIF(Bank_Holidays!A:A,A7)&gt;0,"Yes","No")</f>
        <v>No</v>
      </c>
      <c r="L7" t="str">
        <f t="shared" si="9"/>
        <v>Yes</v>
      </c>
      <c r="M7">
        <f t="shared" si="10"/>
        <v>32</v>
      </c>
      <c r="N7" s="5" t="str">
        <f t="shared" si="11"/>
        <v>No</v>
      </c>
      <c r="O7" t="str">
        <f>IF(A7=WORKDAY(EOMONTH(A7,0)+1,-1,Bank_Holidays!$A$2:$A$25),"Yes","No")</f>
        <v>No</v>
      </c>
      <c r="P7" t="str">
        <f t="shared" si="12"/>
        <v>No</v>
      </c>
      <c r="Q7" t="str">
        <f t="shared" si="13"/>
        <v>No</v>
      </c>
      <c r="R7" s="5">
        <f t="shared" si="15"/>
        <v>1</v>
      </c>
      <c r="S7">
        <f>MOD(A7-Fortnightly_Model!$M$1,14)</f>
        <v>12</v>
      </c>
      <c r="T7">
        <f>MOD(A7-FourWeekly_Model!$M$1,28)</f>
        <v>12</v>
      </c>
    </row>
    <row r="8" spans="1:22">
      <c r="A8" s="25">
        <f t="shared" si="14"/>
        <v>46241</v>
      </c>
      <c r="B8">
        <f t="shared" si="0"/>
        <v>2026</v>
      </c>
      <c r="C8" s="9">
        <f t="shared" si="1"/>
        <v>8</v>
      </c>
      <c r="D8" s="9" t="str">
        <f t="shared" si="2"/>
        <v>August</v>
      </c>
      <c r="E8" s="9" t="str">
        <f t="shared" si="3"/>
        <v>Aug-26</v>
      </c>
      <c r="F8" s="9" t="str">
        <f t="shared" si="4"/>
        <v>Q3</v>
      </c>
      <c r="G8" s="9">
        <f t="shared" si="5"/>
        <v>7</v>
      </c>
      <c r="H8" s="9">
        <f t="shared" si="6"/>
        <v>5</v>
      </c>
      <c r="I8" s="9" t="str">
        <f t="shared" si="7"/>
        <v>Friday</v>
      </c>
      <c r="J8" s="9" t="str">
        <f t="shared" si="8"/>
        <v>No</v>
      </c>
      <c r="K8" s="5" t="str">
        <f>IF(COUNTIF(Bank_Holidays!A:A,A8)&gt;0,"Yes","No")</f>
        <v>No</v>
      </c>
      <c r="L8" t="str">
        <f t="shared" si="9"/>
        <v>Yes</v>
      </c>
      <c r="M8">
        <f t="shared" si="10"/>
        <v>32</v>
      </c>
      <c r="N8" s="5" t="str">
        <f t="shared" si="11"/>
        <v>No</v>
      </c>
      <c r="O8" t="str">
        <f>IF(A8=WORKDAY(EOMONTH(A8,0)+1,-1,Bank_Holidays!$A$2:$A$25),"Yes","No")</f>
        <v>No</v>
      </c>
      <c r="P8" t="str">
        <f t="shared" si="12"/>
        <v>No</v>
      </c>
      <c r="Q8" t="str">
        <f t="shared" si="13"/>
        <v>No</v>
      </c>
      <c r="R8" s="5">
        <f t="shared" si="15"/>
        <v>3</v>
      </c>
      <c r="S8">
        <f>MOD(A8-Fortnightly_Model!$M$1,14)</f>
        <v>13</v>
      </c>
      <c r="T8">
        <f>MOD(A8-FourWeekly_Model!$M$1,28)</f>
        <v>13</v>
      </c>
    </row>
    <row r="9" spans="1:22">
      <c r="A9" s="25">
        <f t="shared" si="14"/>
        <v>46242</v>
      </c>
      <c r="B9">
        <f t="shared" si="0"/>
        <v>2026</v>
      </c>
      <c r="C9" s="9">
        <f t="shared" si="1"/>
        <v>8</v>
      </c>
      <c r="D9" s="9" t="str">
        <f t="shared" si="2"/>
        <v>August</v>
      </c>
      <c r="E9" s="9" t="str">
        <f t="shared" si="3"/>
        <v>Aug-26</v>
      </c>
      <c r="F9" s="9" t="str">
        <f t="shared" si="4"/>
        <v>Q3</v>
      </c>
      <c r="G9" s="9">
        <f t="shared" si="5"/>
        <v>8</v>
      </c>
      <c r="H9" s="9">
        <f t="shared" si="6"/>
        <v>6</v>
      </c>
      <c r="I9" s="9" t="str">
        <f t="shared" si="7"/>
        <v>Saturday</v>
      </c>
      <c r="J9" s="9" t="str">
        <f t="shared" si="8"/>
        <v>Yes</v>
      </c>
      <c r="K9" s="5" t="str">
        <f>IF(COUNTIF(Bank_Holidays!A:A,A9)&gt;0,"Yes","No")</f>
        <v>No</v>
      </c>
      <c r="L9" t="str">
        <f t="shared" si="9"/>
        <v>No</v>
      </c>
      <c r="M9">
        <f t="shared" si="10"/>
        <v>32</v>
      </c>
      <c r="N9" s="5" t="str">
        <f t="shared" si="11"/>
        <v>No</v>
      </c>
      <c r="O9" t="str">
        <f>IF(A9=WORKDAY(EOMONTH(A9,0)+1,-1,Bank_Holidays!$A$2:$A$25),"Yes","No")</f>
        <v>No</v>
      </c>
      <c r="P9" t="str">
        <f t="shared" si="12"/>
        <v>No</v>
      </c>
      <c r="Q9" t="str">
        <f t="shared" si="13"/>
        <v>No</v>
      </c>
      <c r="R9" s="5">
        <f t="shared" si="15"/>
        <v>0</v>
      </c>
      <c r="S9">
        <f>MOD(A9-Fortnightly_Model!$M$1,14)</f>
        <v>0</v>
      </c>
      <c r="T9">
        <f>MOD(A9-FourWeekly_Model!$M$1,28)</f>
        <v>14</v>
      </c>
    </row>
    <row r="10" spans="1:22">
      <c r="A10" s="25">
        <f t="shared" si="14"/>
        <v>46243</v>
      </c>
      <c r="B10">
        <f t="shared" si="0"/>
        <v>2026</v>
      </c>
      <c r="C10" s="9">
        <f t="shared" si="1"/>
        <v>8</v>
      </c>
      <c r="D10" s="9" t="str">
        <f t="shared" si="2"/>
        <v>August</v>
      </c>
      <c r="E10" s="9" t="str">
        <f t="shared" si="3"/>
        <v>Aug-26</v>
      </c>
      <c r="F10" s="9" t="str">
        <f t="shared" si="4"/>
        <v>Q3</v>
      </c>
      <c r="G10" s="9">
        <f t="shared" si="5"/>
        <v>9</v>
      </c>
      <c r="H10" s="9">
        <f t="shared" si="6"/>
        <v>7</v>
      </c>
      <c r="I10" s="9" t="str">
        <f t="shared" si="7"/>
        <v>Sunday</v>
      </c>
      <c r="J10" s="9" t="str">
        <f t="shared" si="8"/>
        <v>Yes</v>
      </c>
      <c r="K10" s="5" t="str">
        <f>IF(COUNTIF(Bank_Holidays!A:A,A10)&gt;0,"Yes","No")</f>
        <v>No</v>
      </c>
      <c r="L10" t="str">
        <f t="shared" si="9"/>
        <v>No</v>
      </c>
      <c r="M10">
        <f t="shared" si="10"/>
        <v>32</v>
      </c>
      <c r="N10" s="5" t="str">
        <f t="shared" si="11"/>
        <v>No</v>
      </c>
      <c r="O10" t="str">
        <f>IF(A10=WORKDAY(EOMONTH(A10,0)+1,-1,Bank_Holidays!$A$2:$A$25),"Yes","No")</f>
        <v>No</v>
      </c>
      <c r="P10" t="str">
        <f t="shared" si="12"/>
        <v>No</v>
      </c>
      <c r="Q10" t="str">
        <f t="shared" si="13"/>
        <v>No</v>
      </c>
      <c r="R10" s="5">
        <f t="shared" si="15"/>
        <v>0</v>
      </c>
      <c r="S10">
        <f>MOD(A10-Fortnightly_Model!$M$1,14)</f>
        <v>1</v>
      </c>
      <c r="T10">
        <f>MOD(A10-FourWeekly_Model!$M$1,28)</f>
        <v>15</v>
      </c>
    </row>
    <row r="11" spans="1:22">
      <c r="A11" s="25">
        <f t="shared" si="14"/>
        <v>46244</v>
      </c>
      <c r="B11">
        <f t="shared" si="0"/>
        <v>2026</v>
      </c>
      <c r="C11" s="9">
        <f t="shared" si="1"/>
        <v>8</v>
      </c>
      <c r="D11" s="9" t="str">
        <f t="shared" si="2"/>
        <v>August</v>
      </c>
      <c r="E11" s="9" t="str">
        <f t="shared" si="3"/>
        <v>Aug-26</v>
      </c>
      <c r="F11" s="9" t="str">
        <f t="shared" si="4"/>
        <v>Q3</v>
      </c>
      <c r="G11" s="9">
        <f t="shared" si="5"/>
        <v>10</v>
      </c>
      <c r="H11" s="9">
        <f t="shared" si="6"/>
        <v>1</v>
      </c>
      <c r="I11" s="9" t="str">
        <f t="shared" si="7"/>
        <v>Monday</v>
      </c>
      <c r="J11" s="9" t="str">
        <f t="shared" si="8"/>
        <v>No</v>
      </c>
      <c r="K11" s="5" t="str">
        <f>IF(COUNTIF(Bank_Holidays!A:A,A11)&gt;0,"Yes","No")</f>
        <v>No</v>
      </c>
      <c r="L11" t="str">
        <f t="shared" si="9"/>
        <v>Yes</v>
      </c>
      <c r="M11">
        <f t="shared" si="10"/>
        <v>33</v>
      </c>
      <c r="N11" s="5" t="str">
        <f t="shared" si="11"/>
        <v>No</v>
      </c>
      <c r="O11" t="str">
        <f>IF(A11=WORKDAY(EOMONTH(A11,0)+1,-1,Bank_Holidays!$A$2:$A$25),"Yes","No")</f>
        <v>No</v>
      </c>
      <c r="P11" t="str">
        <f t="shared" si="12"/>
        <v>No</v>
      </c>
      <c r="Q11" t="str">
        <f t="shared" si="13"/>
        <v>No</v>
      </c>
      <c r="R11" s="5">
        <f t="shared" si="15"/>
        <v>1</v>
      </c>
      <c r="S11">
        <f>MOD(A11-Fortnightly_Model!$M$1,14)</f>
        <v>2</v>
      </c>
      <c r="T11">
        <f>MOD(A11-FourWeekly_Model!$M$1,28)</f>
        <v>16</v>
      </c>
    </row>
    <row r="12" spans="1:22">
      <c r="A12" s="25">
        <f t="shared" si="14"/>
        <v>46245</v>
      </c>
      <c r="B12">
        <f t="shared" si="0"/>
        <v>2026</v>
      </c>
      <c r="C12" s="9">
        <f t="shared" si="1"/>
        <v>8</v>
      </c>
      <c r="D12" s="9" t="str">
        <f t="shared" si="2"/>
        <v>August</v>
      </c>
      <c r="E12" s="9" t="str">
        <f t="shared" si="3"/>
        <v>Aug-26</v>
      </c>
      <c r="F12" s="9" t="str">
        <f t="shared" si="4"/>
        <v>Q3</v>
      </c>
      <c r="G12" s="9">
        <f t="shared" si="5"/>
        <v>11</v>
      </c>
      <c r="H12" s="9">
        <f t="shared" si="6"/>
        <v>2</v>
      </c>
      <c r="I12" s="9" t="str">
        <f t="shared" si="7"/>
        <v>Tuesday</v>
      </c>
      <c r="J12" s="9" t="str">
        <f t="shared" si="8"/>
        <v>No</v>
      </c>
      <c r="K12" s="5" t="str">
        <f>IF(COUNTIF(Bank_Holidays!A:A,A12)&gt;0,"Yes","No")</f>
        <v>No</v>
      </c>
      <c r="L12" t="str">
        <f t="shared" si="9"/>
        <v>Yes</v>
      </c>
      <c r="M12">
        <f t="shared" si="10"/>
        <v>33</v>
      </c>
      <c r="N12" s="5" t="str">
        <f t="shared" si="11"/>
        <v>No</v>
      </c>
      <c r="O12" t="str">
        <f>IF(A12=WORKDAY(EOMONTH(A12,0)+1,-1,Bank_Holidays!$A$2:$A$25),"Yes","No")</f>
        <v>No</v>
      </c>
      <c r="P12" t="str">
        <f t="shared" si="12"/>
        <v>No</v>
      </c>
      <c r="Q12" t="str">
        <f t="shared" si="13"/>
        <v>No</v>
      </c>
      <c r="R12" s="5">
        <f t="shared" si="15"/>
        <v>1</v>
      </c>
      <c r="S12">
        <f>MOD(A12-Fortnightly_Model!$M$1,14)</f>
        <v>3</v>
      </c>
      <c r="T12">
        <f>MOD(A12-FourWeekly_Model!$M$1,28)</f>
        <v>17</v>
      </c>
    </row>
    <row r="13" spans="1:22">
      <c r="A13" s="25">
        <f t="shared" si="14"/>
        <v>46246</v>
      </c>
      <c r="B13">
        <f t="shared" si="0"/>
        <v>2026</v>
      </c>
      <c r="C13" s="9">
        <f t="shared" si="1"/>
        <v>8</v>
      </c>
      <c r="D13" s="9" t="str">
        <f t="shared" si="2"/>
        <v>August</v>
      </c>
      <c r="E13" s="9" t="str">
        <f t="shared" si="3"/>
        <v>Aug-26</v>
      </c>
      <c r="F13" s="9" t="str">
        <f t="shared" si="4"/>
        <v>Q3</v>
      </c>
      <c r="G13" s="9">
        <f t="shared" si="5"/>
        <v>12</v>
      </c>
      <c r="H13" s="9">
        <f t="shared" si="6"/>
        <v>3</v>
      </c>
      <c r="I13" s="9" t="str">
        <f t="shared" si="7"/>
        <v>Wednesday</v>
      </c>
      <c r="J13" s="9" t="str">
        <f t="shared" si="8"/>
        <v>No</v>
      </c>
      <c r="K13" s="5" t="str">
        <f>IF(COUNTIF(Bank_Holidays!A:A,A13)&gt;0,"Yes","No")</f>
        <v>No</v>
      </c>
      <c r="L13" t="str">
        <f t="shared" si="9"/>
        <v>Yes</v>
      </c>
      <c r="M13">
        <f t="shared" si="10"/>
        <v>33</v>
      </c>
      <c r="N13" s="5" t="str">
        <f t="shared" si="11"/>
        <v>No</v>
      </c>
      <c r="O13" t="str">
        <f>IF(A13=WORKDAY(EOMONTH(A13,0)+1,-1,Bank_Holidays!$A$2:$A$25),"Yes","No")</f>
        <v>No</v>
      </c>
      <c r="P13" t="str">
        <f t="shared" si="12"/>
        <v>No</v>
      </c>
      <c r="Q13" t="str">
        <f t="shared" si="13"/>
        <v>No</v>
      </c>
      <c r="R13" s="5">
        <f t="shared" si="15"/>
        <v>1</v>
      </c>
      <c r="S13">
        <f>MOD(A13-Fortnightly_Model!$M$1,14)</f>
        <v>4</v>
      </c>
      <c r="T13">
        <f>MOD(A13-FourWeekly_Model!$M$1,28)</f>
        <v>18</v>
      </c>
    </row>
    <row r="14" spans="1:22">
      <c r="A14" s="25">
        <f t="shared" si="14"/>
        <v>46247</v>
      </c>
      <c r="B14">
        <f t="shared" si="0"/>
        <v>2026</v>
      </c>
      <c r="C14" s="9">
        <f t="shared" si="1"/>
        <v>8</v>
      </c>
      <c r="D14" s="9" t="str">
        <f t="shared" si="2"/>
        <v>August</v>
      </c>
      <c r="E14" s="9" t="str">
        <f t="shared" si="3"/>
        <v>Aug-26</v>
      </c>
      <c r="F14" s="9" t="str">
        <f t="shared" si="4"/>
        <v>Q3</v>
      </c>
      <c r="G14" s="9">
        <f t="shared" si="5"/>
        <v>13</v>
      </c>
      <c r="H14" s="9">
        <f t="shared" si="6"/>
        <v>4</v>
      </c>
      <c r="I14" s="9" t="str">
        <f t="shared" si="7"/>
        <v>Thursday</v>
      </c>
      <c r="J14" s="9" t="str">
        <f t="shared" si="8"/>
        <v>No</v>
      </c>
      <c r="K14" s="5" t="str">
        <f>IF(COUNTIF(Bank_Holidays!A:A,A14)&gt;0,"Yes","No")</f>
        <v>No</v>
      </c>
      <c r="L14" t="str">
        <f t="shared" si="9"/>
        <v>Yes</v>
      </c>
      <c r="M14">
        <f t="shared" si="10"/>
        <v>33</v>
      </c>
      <c r="N14" s="5" t="str">
        <f t="shared" si="11"/>
        <v>No</v>
      </c>
      <c r="O14" t="str">
        <f>IF(A14=WORKDAY(EOMONTH(A14,0)+1,-1,Bank_Holidays!$A$2:$A$25),"Yes","No")</f>
        <v>No</v>
      </c>
      <c r="P14" t="str">
        <f t="shared" si="12"/>
        <v>No</v>
      </c>
      <c r="Q14" t="str">
        <f t="shared" si="13"/>
        <v>No</v>
      </c>
      <c r="R14" s="5">
        <f t="shared" si="15"/>
        <v>1</v>
      </c>
      <c r="S14">
        <f>MOD(A14-Fortnightly_Model!$M$1,14)</f>
        <v>5</v>
      </c>
      <c r="T14">
        <f>MOD(A14-FourWeekly_Model!$M$1,28)</f>
        <v>19</v>
      </c>
    </row>
    <row r="15" spans="1:22">
      <c r="A15" s="25">
        <f t="shared" si="14"/>
        <v>46248</v>
      </c>
      <c r="B15">
        <f t="shared" si="0"/>
        <v>2026</v>
      </c>
      <c r="C15" s="9">
        <f t="shared" si="1"/>
        <v>8</v>
      </c>
      <c r="D15" s="9" t="str">
        <f t="shared" si="2"/>
        <v>August</v>
      </c>
      <c r="E15" s="9" t="str">
        <f t="shared" si="3"/>
        <v>Aug-26</v>
      </c>
      <c r="F15" s="9" t="str">
        <f t="shared" si="4"/>
        <v>Q3</v>
      </c>
      <c r="G15" s="9">
        <f t="shared" si="5"/>
        <v>14</v>
      </c>
      <c r="H15" s="9">
        <f t="shared" si="6"/>
        <v>5</v>
      </c>
      <c r="I15" s="9" t="str">
        <f t="shared" si="7"/>
        <v>Friday</v>
      </c>
      <c r="J15" s="9" t="str">
        <f t="shared" si="8"/>
        <v>No</v>
      </c>
      <c r="K15" s="5" t="str">
        <f>IF(COUNTIF(Bank_Holidays!A:A,A15)&gt;0,"Yes","No")</f>
        <v>No</v>
      </c>
      <c r="L15" t="str">
        <f t="shared" si="9"/>
        <v>Yes</v>
      </c>
      <c r="M15">
        <f t="shared" si="10"/>
        <v>33</v>
      </c>
      <c r="N15" s="5" t="str">
        <f t="shared" si="11"/>
        <v>No</v>
      </c>
      <c r="O15" t="str">
        <f>IF(A15=WORKDAY(EOMONTH(A15,0)+1,-1,Bank_Holidays!$A$2:$A$25),"Yes","No")</f>
        <v>No</v>
      </c>
      <c r="P15" t="str">
        <f t="shared" si="12"/>
        <v>No</v>
      </c>
      <c r="Q15" t="str">
        <f t="shared" si="13"/>
        <v>No</v>
      </c>
      <c r="R15" s="5">
        <f t="shared" si="15"/>
        <v>3</v>
      </c>
      <c r="S15">
        <f>MOD(A15-Fortnightly_Model!$M$1,14)</f>
        <v>6</v>
      </c>
      <c r="T15">
        <f>MOD(A15-FourWeekly_Model!$M$1,28)</f>
        <v>20</v>
      </c>
    </row>
    <row r="16" spans="1:22">
      <c r="A16" s="25">
        <f t="shared" si="14"/>
        <v>46249</v>
      </c>
      <c r="B16">
        <f t="shared" si="0"/>
        <v>2026</v>
      </c>
      <c r="C16" s="9">
        <f t="shared" si="1"/>
        <v>8</v>
      </c>
      <c r="D16" s="9" t="str">
        <f t="shared" si="2"/>
        <v>August</v>
      </c>
      <c r="E16" s="9" t="str">
        <f t="shared" si="3"/>
        <v>Aug-26</v>
      </c>
      <c r="F16" s="9" t="str">
        <f t="shared" si="4"/>
        <v>Q3</v>
      </c>
      <c r="G16" s="9">
        <f t="shared" si="5"/>
        <v>15</v>
      </c>
      <c r="H16" s="9">
        <f t="shared" si="6"/>
        <v>6</v>
      </c>
      <c r="I16" s="9" t="str">
        <f t="shared" si="7"/>
        <v>Saturday</v>
      </c>
      <c r="J16" s="9" t="str">
        <f t="shared" si="8"/>
        <v>Yes</v>
      </c>
      <c r="K16" s="5" t="str">
        <f>IF(COUNTIF(Bank_Holidays!A:A,A16)&gt;0,"Yes","No")</f>
        <v>No</v>
      </c>
      <c r="L16" t="str">
        <f t="shared" si="9"/>
        <v>No</v>
      </c>
      <c r="M16">
        <f t="shared" si="10"/>
        <v>33</v>
      </c>
      <c r="N16" s="5" t="str">
        <f t="shared" si="11"/>
        <v>No</v>
      </c>
      <c r="O16" t="str">
        <f>IF(A16=WORKDAY(EOMONTH(A16,0)+1,-1,Bank_Holidays!$A$2:$A$25),"Yes","No")</f>
        <v>No</v>
      </c>
      <c r="P16" t="str">
        <f t="shared" si="12"/>
        <v>No</v>
      </c>
      <c r="Q16" t="str">
        <f t="shared" si="13"/>
        <v>No</v>
      </c>
      <c r="R16" s="5">
        <f t="shared" si="15"/>
        <v>0</v>
      </c>
      <c r="S16">
        <f>MOD(A16-Fortnightly_Model!$M$1,14)</f>
        <v>7</v>
      </c>
      <c r="T16">
        <f>MOD(A16-FourWeekly_Model!$M$1,28)</f>
        <v>21</v>
      </c>
    </row>
    <row r="17" spans="1:21">
      <c r="A17" s="25">
        <f t="shared" si="14"/>
        <v>46250</v>
      </c>
      <c r="B17">
        <f t="shared" si="0"/>
        <v>2026</v>
      </c>
      <c r="C17" s="9">
        <f t="shared" si="1"/>
        <v>8</v>
      </c>
      <c r="D17" s="9" t="str">
        <f t="shared" si="2"/>
        <v>August</v>
      </c>
      <c r="E17" s="9" t="str">
        <f t="shared" si="3"/>
        <v>Aug-26</v>
      </c>
      <c r="F17" s="9" t="str">
        <f t="shared" si="4"/>
        <v>Q3</v>
      </c>
      <c r="G17" s="9">
        <f t="shared" si="5"/>
        <v>16</v>
      </c>
      <c r="H17" s="9">
        <f t="shared" si="6"/>
        <v>7</v>
      </c>
      <c r="I17" s="9" t="str">
        <f t="shared" si="7"/>
        <v>Sunday</v>
      </c>
      <c r="J17" s="9" t="str">
        <f t="shared" si="8"/>
        <v>Yes</v>
      </c>
      <c r="K17" s="5" t="str">
        <f>IF(COUNTIF(Bank_Holidays!A:A,A17)&gt;0,"Yes","No")</f>
        <v>No</v>
      </c>
      <c r="L17" t="str">
        <f t="shared" si="9"/>
        <v>No</v>
      </c>
      <c r="M17">
        <f t="shared" si="10"/>
        <v>33</v>
      </c>
      <c r="N17" s="5" t="str">
        <f t="shared" si="11"/>
        <v>No</v>
      </c>
      <c r="O17" t="str">
        <f>IF(A17=WORKDAY(EOMONTH(A17,0)+1,-1,Bank_Holidays!$A$2:$A$25),"Yes","No")</f>
        <v>No</v>
      </c>
      <c r="P17" t="str">
        <f t="shared" si="12"/>
        <v>No</v>
      </c>
      <c r="Q17" t="str">
        <f t="shared" si="13"/>
        <v>No</v>
      </c>
      <c r="R17" s="5">
        <f t="shared" si="15"/>
        <v>0</v>
      </c>
      <c r="S17">
        <f>MOD(A17-Fortnightly_Model!$M$1,14)</f>
        <v>8</v>
      </c>
      <c r="T17">
        <f>MOD(A17-FourWeekly_Model!$M$1,28)</f>
        <v>22</v>
      </c>
      <c r="U17" s="4"/>
    </row>
    <row r="18" spans="1:21">
      <c r="A18" s="25">
        <f t="shared" si="14"/>
        <v>46251</v>
      </c>
      <c r="B18">
        <f t="shared" si="0"/>
        <v>2026</v>
      </c>
      <c r="C18" s="9">
        <f t="shared" si="1"/>
        <v>8</v>
      </c>
      <c r="D18" s="9" t="str">
        <f t="shared" si="2"/>
        <v>August</v>
      </c>
      <c r="E18" s="9" t="str">
        <f t="shared" si="3"/>
        <v>Aug-26</v>
      </c>
      <c r="F18" s="9" t="str">
        <f t="shared" si="4"/>
        <v>Q3</v>
      </c>
      <c r="G18" s="9">
        <f t="shared" si="5"/>
        <v>17</v>
      </c>
      <c r="H18" s="9">
        <f t="shared" si="6"/>
        <v>1</v>
      </c>
      <c r="I18" s="9" t="str">
        <f t="shared" si="7"/>
        <v>Monday</v>
      </c>
      <c r="J18" s="9" t="str">
        <f t="shared" si="8"/>
        <v>No</v>
      </c>
      <c r="K18" s="5" t="str">
        <f>IF(COUNTIF(Bank_Holidays!A:A,A18)&gt;0,"Yes","No")</f>
        <v>No</v>
      </c>
      <c r="L18" t="str">
        <f t="shared" si="9"/>
        <v>Yes</v>
      </c>
      <c r="M18">
        <f t="shared" si="10"/>
        <v>34</v>
      </c>
      <c r="N18" s="5" t="str">
        <f t="shared" si="11"/>
        <v>No</v>
      </c>
      <c r="O18" t="str">
        <f>IF(A18=WORKDAY(EOMONTH(A18,0)+1,-1,Bank_Holidays!$A$2:$A$25),"Yes","No")</f>
        <v>No</v>
      </c>
      <c r="P18" t="str">
        <f t="shared" si="12"/>
        <v>No</v>
      </c>
      <c r="Q18" t="str">
        <f t="shared" si="13"/>
        <v>No</v>
      </c>
      <c r="R18" s="5">
        <f t="shared" si="15"/>
        <v>1</v>
      </c>
      <c r="S18">
        <f>MOD(A18-Fortnightly_Model!$M$1,14)</f>
        <v>9</v>
      </c>
      <c r="T18">
        <f>MOD(A18-FourWeekly_Model!$M$1,28)</f>
        <v>23</v>
      </c>
      <c r="U18" s="4"/>
    </row>
    <row r="19" spans="1:21">
      <c r="A19" s="25">
        <f t="shared" si="14"/>
        <v>46252</v>
      </c>
      <c r="B19">
        <f t="shared" si="0"/>
        <v>2026</v>
      </c>
      <c r="C19" s="9">
        <f t="shared" si="1"/>
        <v>8</v>
      </c>
      <c r="D19" s="9" t="str">
        <f t="shared" si="2"/>
        <v>August</v>
      </c>
      <c r="E19" s="9" t="str">
        <f t="shared" si="3"/>
        <v>Aug-26</v>
      </c>
      <c r="F19" s="9" t="str">
        <f t="shared" si="4"/>
        <v>Q3</v>
      </c>
      <c r="G19" s="9">
        <f t="shared" si="5"/>
        <v>18</v>
      </c>
      <c r="H19" s="9">
        <f t="shared" si="6"/>
        <v>2</v>
      </c>
      <c r="I19" s="9" t="str">
        <f t="shared" si="7"/>
        <v>Tuesday</v>
      </c>
      <c r="J19" s="9" t="str">
        <f t="shared" si="8"/>
        <v>No</v>
      </c>
      <c r="K19" s="5" t="str">
        <f>IF(COUNTIF(Bank_Holidays!A:A,A19)&gt;0,"Yes","No")</f>
        <v>No</v>
      </c>
      <c r="L19" t="str">
        <f t="shared" si="9"/>
        <v>Yes</v>
      </c>
      <c r="M19">
        <f t="shared" si="10"/>
        <v>34</v>
      </c>
      <c r="N19" s="5" t="str">
        <f t="shared" si="11"/>
        <v>No</v>
      </c>
      <c r="O19" t="str">
        <f>IF(A19=WORKDAY(EOMONTH(A19,0)+1,-1,Bank_Holidays!$A$2:$A$25),"Yes","No")</f>
        <v>No</v>
      </c>
      <c r="P19" t="str">
        <f t="shared" si="12"/>
        <v>No</v>
      </c>
      <c r="Q19" t="str">
        <f t="shared" si="13"/>
        <v>No</v>
      </c>
      <c r="R19" s="5">
        <f t="shared" si="15"/>
        <v>1</v>
      </c>
      <c r="S19">
        <f>MOD(A19-Fortnightly_Model!$M$1,14)</f>
        <v>10</v>
      </c>
      <c r="T19">
        <f>MOD(A19-FourWeekly_Model!$M$1,28)</f>
        <v>24</v>
      </c>
      <c r="U19" s="4"/>
    </row>
    <row r="20" spans="1:21">
      <c r="A20" s="25">
        <f t="shared" si="14"/>
        <v>46253</v>
      </c>
      <c r="B20">
        <f t="shared" si="0"/>
        <v>2026</v>
      </c>
      <c r="C20" s="9">
        <f t="shared" si="1"/>
        <v>8</v>
      </c>
      <c r="D20" s="9" t="str">
        <f t="shared" si="2"/>
        <v>August</v>
      </c>
      <c r="E20" s="9" t="str">
        <f t="shared" si="3"/>
        <v>Aug-26</v>
      </c>
      <c r="F20" s="9" t="str">
        <f t="shared" si="4"/>
        <v>Q3</v>
      </c>
      <c r="G20" s="9">
        <f t="shared" si="5"/>
        <v>19</v>
      </c>
      <c r="H20" s="9">
        <f t="shared" si="6"/>
        <v>3</v>
      </c>
      <c r="I20" s="9" t="str">
        <f t="shared" si="7"/>
        <v>Wednesday</v>
      </c>
      <c r="J20" s="9" t="str">
        <f t="shared" si="8"/>
        <v>No</v>
      </c>
      <c r="K20" s="5" t="str">
        <f>IF(COUNTIF(Bank_Holidays!A:A,A20)&gt;0,"Yes","No")</f>
        <v>No</v>
      </c>
      <c r="L20" t="str">
        <f t="shared" si="9"/>
        <v>Yes</v>
      </c>
      <c r="M20">
        <f t="shared" si="10"/>
        <v>34</v>
      </c>
      <c r="N20" s="5" t="str">
        <f t="shared" si="11"/>
        <v>No</v>
      </c>
      <c r="O20" t="str">
        <f>IF(A20=WORKDAY(EOMONTH(A20,0)+1,-1,Bank_Holidays!$A$2:$A$25),"Yes","No")</f>
        <v>No</v>
      </c>
      <c r="P20" t="str">
        <f t="shared" si="12"/>
        <v>No</v>
      </c>
      <c r="Q20" t="str">
        <f t="shared" si="13"/>
        <v>No</v>
      </c>
      <c r="R20" s="5">
        <f t="shared" si="15"/>
        <v>1</v>
      </c>
      <c r="S20">
        <f>MOD(A20-Fortnightly_Model!$M$1,14)</f>
        <v>11</v>
      </c>
      <c r="T20">
        <f>MOD(A20-FourWeekly_Model!$M$1,28)</f>
        <v>25</v>
      </c>
      <c r="U20" s="4"/>
    </row>
    <row r="21" spans="1:21">
      <c r="A21" s="25">
        <f t="shared" si="14"/>
        <v>46254</v>
      </c>
      <c r="B21">
        <f t="shared" si="0"/>
        <v>2026</v>
      </c>
      <c r="C21" s="9">
        <f t="shared" si="1"/>
        <v>8</v>
      </c>
      <c r="D21" s="9" t="str">
        <f t="shared" si="2"/>
        <v>August</v>
      </c>
      <c r="E21" s="9" t="str">
        <f t="shared" si="3"/>
        <v>Aug-26</v>
      </c>
      <c r="F21" s="9" t="str">
        <f t="shared" si="4"/>
        <v>Q3</v>
      </c>
      <c r="G21" s="9">
        <f t="shared" si="5"/>
        <v>20</v>
      </c>
      <c r="H21" s="9">
        <f t="shared" si="6"/>
        <v>4</v>
      </c>
      <c r="I21" s="9" t="str">
        <f t="shared" si="7"/>
        <v>Thursday</v>
      </c>
      <c r="J21" s="9" t="str">
        <f t="shared" si="8"/>
        <v>No</v>
      </c>
      <c r="K21" s="5" t="str">
        <f>IF(COUNTIF(Bank_Holidays!A:A,A21)&gt;0,"Yes","No")</f>
        <v>No</v>
      </c>
      <c r="L21" t="str">
        <f t="shared" si="9"/>
        <v>Yes</v>
      </c>
      <c r="M21">
        <f t="shared" si="10"/>
        <v>34</v>
      </c>
      <c r="N21" s="5" t="str">
        <f t="shared" si="11"/>
        <v>No</v>
      </c>
      <c r="O21" t="str">
        <f>IF(A21=WORKDAY(EOMONTH(A21,0)+1,-1,Bank_Holidays!$A$2:$A$25),"Yes","No")</f>
        <v>No</v>
      </c>
      <c r="P21" t="str">
        <f t="shared" si="12"/>
        <v>No</v>
      </c>
      <c r="Q21" t="str">
        <f t="shared" si="13"/>
        <v>No</v>
      </c>
      <c r="R21" s="5">
        <f t="shared" si="15"/>
        <v>1</v>
      </c>
      <c r="S21">
        <f>MOD(A21-Fortnightly_Model!$M$1,14)</f>
        <v>12</v>
      </c>
      <c r="T21">
        <f>MOD(A21-FourWeekly_Model!$M$1,28)</f>
        <v>26</v>
      </c>
      <c r="U21" s="4"/>
    </row>
    <row r="22" spans="1:21">
      <c r="A22" s="25">
        <f t="shared" si="14"/>
        <v>46255</v>
      </c>
      <c r="B22">
        <f t="shared" si="0"/>
        <v>2026</v>
      </c>
      <c r="C22" s="9">
        <f t="shared" si="1"/>
        <v>8</v>
      </c>
      <c r="D22" s="9" t="str">
        <f t="shared" si="2"/>
        <v>August</v>
      </c>
      <c r="E22" s="9" t="str">
        <f t="shared" si="3"/>
        <v>Aug-26</v>
      </c>
      <c r="F22" s="9" t="str">
        <f t="shared" si="4"/>
        <v>Q3</v>
      </c>
      <c r="G22" s="9">
        <f t="shared" si="5"/>
        <v>21</v>
      </c>
      <c r="H22" s="9">
        <f t="shared" si="6"/>
        <v>5</v>
      </c>
      <c r="I22" s="9" t="str">
        <f t="shared" si="7"/>
        <v>Friday</v>
      </c>
      <c r="J22" s="9" t="str">
        <f t="shared" si="8"/>
        <v>No</v>
      </c>
      <c r="K22" s="5" t="str">
        <f>IF(COUNTIF(Bank_Holidays!A:A,A22)&gt;0,"Yes","No")</f>
        <v>No</v>
      </c>
      <c r="L22" t="str">
        <f t="shared" si="9"/>
        <v>Yes</v>
      </c>
      <c r="M22">
        <f t="shared" si="10"/>
        <v>34</v>
      </c>
      <c r="N22" s="5" t="str">
        <f t="shared" si="11"/>
        <v>No</v>
      </c>
      <c r="O22" t="str">
        <f>IF(A22=WORKDAY(EOMONTH(A22,0)+1,-1,Bank_Holidays!$A$2:$A$25),"Yes","No")</f>
        <v>No</v>
      </c>
      <c r="P22" t="str">
        <f t="shared" si="12"/>
        <v>No</v>
      </c>
      <c r="Q22" t="str">
        <f t="shared" si="13"/>
        <v>No</v>
      </c>
      <c r="R22" s="5">
        <f t="shared" si="15"/>
        <v>3</v>
      </c>
      <c r="S22">
        <f>MOD(A22-Fortnightly_Model!$M$1,14)</f>
        <v>13</v>
      </c>
      <c r="T22">
        <f>MOD(A22-FourWeekly_Model!$M$1,28)</f>
        <v>27</v>
      </c>
      <c r="U22" s="4"/>
    </row>
    <row r="23" spans="1:21">
      <c r="A23" s="25">
        <f t="shared" si="14"/>
        <v>46256</v>
      </c>
      <c r="B23">
        <f t="shared" si="0"/>
        <v>2026</v>
      </c>
      <c r="C23" s="9">
        <f t="shared" si="1"/>
        <v>8</v>
      </c>
      <c r="D23" s="9" t="str">
        <f t="shared" si="2"/>
        <v>August</v>
      </c>
      <c r="E23" s="9" t="str">
        <f t="shared" si="3"/>
        <v>Aug-26</v>
      </c>
      <c r="F23" s="9" t="str">
        <f t="shared" si="4"/>
        <v>Q3</v>
      </c>
      <c r="G23" s="9">
        <f t="shared" si="5"/>
        <v>22</v>
      </c>
      <c r="H23" s="9">
        <f t="shared" si="6"/>
        <v>6</v>
      </c>
      <c r="I23" s="9" t="str">
        <f t="shared" si="7"/>
        <v>Saturday</v>
      </c>
      <c r="J23" s="9" t="str">
        <f t="shared" si="8"/>
        <v>Yes</v>
      </c>
      <c r="K23" s="5" t="str">
        <f>IF(COUNTIF(Bank_Holidays!A:A,A23)&gt;0,"Yes","No")</f>
        <v>No</v>
      </c>
      <c r="L23" t="str">
        <f t="shared" si="9"/>
        <v>No</v>
      </c>
      <c r="M23">
        <f t="shared" si="10"/>
        <v>34</v>
      </c>
      <c r="N23" s="5" t="str">
        <f t="shared" si="11"/>
        <v>No</v>
      </c>
      <c r="O23" t="str">
        <f>IF(A23=WORKDAY(EOMONTH(A23,0)+1,-1,Bank_Holidays!$A$2:$A$25),"Yes","No")</f>
        <v>No</v>
      </c>
      <c r="P23" t="str">
        <f t="shared" si="12"/>
        <v>No</v>
      </c>
      <c r="Q23" t="str">
        <f t="shared" si="13"/>
        <v>No</v>
      </c>
      <c r="R23" s="5">
        <f t="shared" si="15"/>
        <v>0</v>
      </c>
      <c r="S23">
        <f>MOD(A23-Fortnightly_Model!$M$1,14)</f>
        <v>0</v>
      </c>
      <c r="T23">
        <f>MOD(A23-FourWeekly_Model!$M$1,28)</f>
        <v>0</v>
      </c>
      <c r="U23" s="4"/>
    </row>
    <row r="24" spans="1:21">
      <c r="A24" s="25">
        <f t="shared" si="14"/>
        <v>46257</v>
      </c>
      <c r="B24">
        <f t="shared" si="0"/>
        <v>2026</v>
      </c>
      <c r="C24" s="9">
        <f t="shared" si="1"/>
        <v>8</v>
      </c>
      <c r="D24" s="9" t="str">
        <f t="shared" si="2"/>
        <v>August</v>
      </c>
      <c r="E24" s="9" t="str">
        <f t="shared" si="3"/>
        <v>Aug-26</v>
      </c>
      <c r="F24" s="9" t="str">
        <f t="shared" si="4"/>
        <v>Q3</v>
      </c>
      <c r="G24" s="9">
        <f t="shared" si="5"/>
        <v>23</v>
      </c>
      <c r="H24" s="9">
        <f t="shared" si="6"/>
        <v>7</v>
      </c>
      <c r="I24" s="9" t="str">
        <f t="shared" si="7"/>
        <v>Sunday</v>
      </c>
      <c r="J24" s="9" t="str">
        <f t="shared" si="8"/>
        <v>Yes</v>
      </c>
      <c r="K24" s="5" t="str">
        <f>IF(COUNTIF(Bank_Holidays!A:A,A24)&gt;0,"Yes","No")</f>
        <v>No</v>
      </c>
      <c r="L24" t="str">
        <f t="shared" si="9"/>
        <v>No</v>
      </c>
      <c r="M24">
        <f t="shared" si="10"/>
        <v>34</v>
      </c>
      <c r="N24" s="5" t="str">
        <f t="shared" si="11"/>
        <v>No</v>
      </c>
      <c r="O24" t="str">
        <f>IF(A24=WORKDAY(EOMONTH(A24,0)+1,-1,Bank_Holidays!$A$2:$A$25),"Yes","No")</f>
        <v>No</v>
      </c>
      <c r="P24" t="str">
        <f t="shared" si="12"/>
        <v>No</v>
      </c>
      <c r="Q24" t="str">
        <f t="shared" si="13"/>
        <v>No</v>
      </c>
      <c r="R24" s="5">
        <f t="shared" si="15"/>
        <v>0</v>
      </c>
      <c r="S24">
        <f>MOD(A24-Fortnightly_Model!$M$1,14)</f>
        <v>1</v>
      </c>
      <c r="T24">
        <f>MOD(A24-FourWeekly_Model!$M$1,28)</f>
        <v>1</v>
      </c>
    </row>
    <row r="25" spans="1:21">
      <c r="A25" s="25">
        <f t="shared" si="14"/>
        <v>46258</v>
      </c>
      <c r="B25">
        <f t="shared" si="0"/>
        <v>2026</v>
      </c>
      <c r="C25" s="9">
        <f t="shared" si="1"/>
        <v>8</v>
      </c>
      <c r="D25" s="9" t="str">
        <f t="shared" si="2"/>
        <v>August</v>
      </c>
      <c r="E25" s="9" t="str">
        <f t="shared" si="3"/>
        <v>Aug-26</v>
      </c>
      <c r="F25" s="9" t="str">
        <f t="shared" si="4"/>
        <v>Q3</v>
      </c>
      <c r="G25" s="9">
        <f t="shared" si="5"/>
        <v>24</v>
      </c>
      <c r="H25" s="9">
        <f t="shared" si="6"/>
        <v>1</v>
      </c>
      <c r="I25" s="9" t="str">
        <f t="shared" si="7"/>
        <v>Monday</v>
      </c>
      <c r="J25" s="9" t="str">
        <f t="shared" si="8"/>
        <v>No</v>
      </c>
      <c r="K25" s="5" t="str">
        <f>IF(COUNTIF(Bank_Holidays!A:A,A25)&gt;0,"Yes","No")</f>
        <v>No</v>
      </c>
      <c r="L25" t="str">
        <f t="shared" si="9"/>
        <v>Yes</v>
      </c>
      <c r="M25">
        <f t="shared" si="10"/>
        <v>35</v>
      </c>
      <c r="N25" s="5" t="str">
        <f t="shared" si="11"/>
        <v>No</v>
      </c>
      <c r="O25" t="str">
        <f>IF(A25=WORKDAY(EOMONTH(A25,0)+1,-1,Bank_Holidays!$A$2:$A$25),"Yes","No")</f>
        <v>No</v>
      </c>
      <c r="P25" t="str">
        <f t="shared" si="12"/>
        <v>No</v>
      </c>
      <c r="Q25" t="str">
        <f t="shared" si="13"/>
        <v>No</v>
      </c>
      <c r="R25" s="5">
        <f t="shared" si="15"/>
        <v>1</v>
      </c>
      <c r="S25">
        <f>MOD(A25-Fortnightly_Model!$M$1,14)</f>
        <v>2</v>
      </c>
      <c r="T25">
        <f>MOD(A25-FourWeekly_Model!$M$1,28)</f>
        <v>2</v>
      </c>
    </row>
    <row r="26" spans="1:21">
      <c r="A26" s="25">
        <f t="shared" si="14"/>
        <v>46259</v>
      </c>
      <c r="B26">
        <f t="shared" si="0"/>
        <v>2026</v>
      </c>
      <c r="C26" s="9">
        <f t="shared" si="1"/>
        <v>8</v>
      </c>
      <c r="D26" s="9" t="str">
        <f t="shared" si="2"/>
        <v>August</v>
      </c>
      <c r="E26" s="9" t="str">
        <f t="shared" si="3"/>
        <v>Aug-26</v>
      </c>
      <c r="F26" s="9" t="str">
        <f t="shared" si="4"/>
        <v>Q3</v>
      </c>
      <c r="G26" s="9">
        <f t="shared" si="5"/>
        <v>25</v>
      </c>
      <c r="H26" s="9">
        <f t="shared" si="6"/>
        <v>2</v>
      </c>
      <c r="I26" s="9" t="str">
        <f t="shared" si="7"/>
        <v>Tuesday</v>
      </c>
      <c r="J26" s="9" t="str">
        <f t="shared" si="8"/>
        <v>No</v>
      </c>
      <c r="K26" s="5" t="str">
        <f>IF(COUNTIF(Bank_Holidays!A:A,A26)&gt;0,"Yes","No")</f>
        <v>No</v>
      </c>
      <c r="L26" t="str">
        <f t="shared" si="9"/>
        <v>Yes</v>
      </c>
      <c r="M26">
        <f t="shared" si="10"/>
        <v>35</v>
      </c>
      <c r="N26" s="5" t="str">
        <f t="shared" si="11"/>
        <v>No</v>
      </c>
      <c r="O26" t="str">
        <f>IF(A26=WORKDAY(EOMONTH(A26,0)+1,-1,Bank_Holidays!$A$2:$A$25),"Yes","No")</f>
        <v>No</v>
      </c>
      <c r="P26" t="str">
        <f t="shared" si="12"/>
        <v>No</v>
      </c>
      <c r="Q26" t="str">
        <f t="shared" si="13"/>
        <v>No</v>
      </c>
      <c r="R26" s="5">
        <f t="shared" si="15"/>
        <v>1</v>
      </c>
      <c r="S26">
        <f>MOD(A26-Fortnightly_Model!$M$1,14)</f>
        <v>3</v>
      </c>
      <c r="T26">
        <f>MOD(A26-FourWeekly_Model!$M$1,28)</f>
        <v>3</v>
      </c>
    </row>
    <row r="27" spans="1:21">
      <c r="A27" s="25">
        <f t="shared" si="14"/>
        <v>46260</v>
      </c>
      <c r="B27">
        <f t="shared" si="0"/>
        <v>2026</v>
      </c>
      <c r="C27" s="9">
        <f t="shared" si="1"/>
        <v>8</v>
      </c>
      <c r="D27" s="9" t="str">
        <f t="shared" si="2"/>
        <v>August</v>
      </c>
      <c r="E27" s="9" t="str">
        <f t="shared" si="3"/>
        <v>Aug-26</v>
      </c>
      <c r="F27" s="9" t="str">
        <f t="shared" si="4"/>
        <v>Q3</v>
      </c>
      <c r="G27" s="9">
        <f t="shared" si="5"/>
        <v>26</v>
      </c>
      <c r="H27" s="9">
        <f t="shared" si="6"/>
        <v>3</v>
      </c>
      <c r="I27" s="9" t="str">
        <f t="shared" si="7"/>
        <v>Wednesday</v>
      </c>
      <c r="J27" s="9" t="str">
        <f t="shared" si="8"/>
        <v>No</v>
      </c>
      <c r="K27" s="5" t="str">
        <f>IF(COUNTIF(Bank_Holidays!A:A,A27)&gt;0,"Yes","No")</f>
        <v>No</v>
      </c>
      <c r="L27" t="str">
        <f t="shared" si="9"/>
        <v>Yes</v>
      </c>
      <c r="M27">
        <f t="shared" si="10"/>
        <v>35</v>
      </c>
      <c r="N27" s="5" t="str">
        <f t="shared" si="11"/>
        <v>No</v>
      </c>
      <c r="O27" t="str">
        <f>IF(A27=WORKDAY(EOMONTH(A27,0)+1,-1,Bank_Holidays!$A$2:$A$25),"Yes","No")</f>
        <v>No</v>
      </c>
      <c r="P27" t="str">
        <f t="shared" si="12"/>
        <v>No</v>
      </c>
      <c r="Q27" t="str">
        <f t="shared" si="13"/>
        <v>No</v>
      </c>
      <c r="R27" s="5">
        <f t="shared" si="15"/>
        <v>1</v>
      </c>
      <c r="S27">
        <f>MOD(A27-Fortnightly_Model!$M$1,14)</f>
        <v>4</v>
      </c>
      <c r="T27">
        <f>MOD(A27-FourWeekly_Model!$M$1,28)</f>
        <v>4</v>
      </c>
    </row>
    <row r="28" spans="1:21">
      <c r="A28" s="25">
        <f t="shared" si="14"/>
        <v>46261</v>
      </c>
      <c r="B28">
        <f t="shared" si="0"/>
        <v>2026</v>
      </c>
      <c r="C28" s="9">
        <f t="shared" si="1"/>
        <v>8</v>
      </c>
      <c r="D28" s="9" t="str">
        <f t="shared" si="2"/>
        <v>August</v>
      </c>
      <c r="E28" s="9" t="str">
        <f t="shared" si="3"/>
        <v>Aug-26</v>
      </c>
      <c r="F28" s="9" t="str">
        <f t="shared" si="4"/>
        <v>Q3</v>
      </c>
      <c r="G28" s="9">
        <f t="shared" si="5"/>
        <v>27</v>
      </c>
      <c r="H28" s="9">
        <f t="shared" si="6"/>
        <v>4</v>
      </c>
      <c r="I28" s="9" t="str">
        <f t="shared" si="7"/>
        <v>Thursday</v>
      </c>
      <c r="J28" s="9" t="str">
        <f t="shared" si="8"/>
        <v>No</v>
      </c>
      <c r="K28" s="5" t="str">
        <f>IF(COUNTIF(Bank_Holidays!A:A,A28)&gt;0,"Yes","No")</f>
        <v>No</v>
      </c>
      <c r="L28" t="str">
        <f t="shared" si="9"/>
        <v>Yes</v>
      </c>
      <c r="M28">
        <f t="shared" si="10"/>
        <v>35</v>
      </c>
      <c r="N28" s="5" t="str">
        <f t="shared" si="11"/>
        <v>No</v>
      </c>
      <c r="O28" t="str">
        <f>IF(A28=WORKDAY(EOMONTH(A28,0)+1,-1,Bank_Holidays!$A$2:$A$25),"Yes","No")</f>
        <v>No</v>
      </c>
      <c r="P28" t="str">
        <f t="shared" si="12"/>
        <v>No</v>
      </c>
      <c r="Q28" t="str">
        <f t="shared" si="13"/>
        <v>Yes</v>
      </c>
      <c r="R28" s="5">
        <f t="shared" si="15"/>
        <v>1</v>
      </c>
      <c r="S28">
        <f>MOD(A28-Fortnightly_Model!$M$1,14)</f>
        <v>5</v>
      </c>
      <c r="T28">
        <f>MOD(A28-FourWeekly_Model!$M$1,28)</f>
        <v>5</v>
      </c>
    </row>
    <row r="29" spans="1:21">
      <c r="A29" s="25">
        <f t="shared" si="14"/>
        <v>46262</v>
      </c>
      <c r="B29">
        <f t="shared" si="0"/>
        <v>2026</v>
      </c>
      <c r="C29" s="9">
        <f t="shared" si="1"/>
        <v>8</v>
      </c>
      <c r="D29" s="9" t="str">
        <f t="shared" si="2"/>
        <v>August</v>
      </c>
      <c r="E29" s="9" t="str">
        <f t="shared" si="3"/>
        <v>Aug-26</v>
      </c>
      <c r="F29" s="9" t="str">
        <f t="shared" si="4"/>
        <v>Q3</v>
      </c>
      <c r="G29" s="9">
        <f t="shared" si="5"/>
        <v>28</v>
      </c>
      <c r="H29" s="9">
        <f t="shared" si="6"/>
        <v>5</v>
      </c>
      <c r="I29" s="9" t="str">
        <f t="shared" si="7"/>
        <v>Friday</v>
      </c>
      <c r="J29" s="9" t="str">
        <f t="shared" si="8"/>
        <v>No</v>
      </c>
      <c r="K29" s="5" t="str">
        <f>IF(COUNTIF(Bank_Holidays!A:A,A29)&gt;0,"Yes","No")</f>
        <v>No</v>
      </c>
      <c r="L29" t="str">
        <f t="shared" si="9"/>
        <v>Yes</v>
      </c>
      <c r="M29">
        <f t="shared" si="10"/>
        <v>35</v>
      </c>
      <c r="N29" s="5" t="str">
        <f t="shared" si="11"/>
        <v>No</v>
      </c>
      <c r="O29" t="str">
        <f>IF(A29=WORKDAY(EOMONTH(A29,0)+1,-1,Bank_Holidays!$A$2:$A$25),"Yes","No")</f>
        <v>Yes</v>
      </c>
      <c r="P29" t="str">
        <f t="shared" si="12"/>
        <v>Yes</v>
      </c>
      <c r="Q29" t="str">
        <f t="shared" si="13"/>
        <v>No</v>
      </c>
      <c r="R29" s="5">
        <f t="shared" si="15"/>
        <v>4</v>
      </c>
      <c r="S29">
        <f>MOD(A29-Fortnightly_Model!$M$1,14)</f>
        <v>6</v>
      </c>
      <c r="T29">
        <f>MOD(A29-FourWeekly_Model!$M$1,28)</f>
        <v>6</v>
      </c>
    </row>
    <row r="30" spans="1:21">
      <c r="A30" s="25">
        <f t="shared" si="14"/>
        <v>46263</v>
      </c>
      <c r="B30">
        <f t="shared" si="0"/>
        <v>2026</v>
      </c>
      <c r="C30" s="9">
        <f t="shared" si="1"/>
        <v>8</v>
      </c>
      <c r="D30" s="9" t="str">
        <f t="shared" si="2"/>
        <v>August</v>
      </c>
      <c r="E30" s="9" t="str">
        <f t="shared" si="3"/>
        <v>Aug-26</v>
      </c>
      <c r="F30" s="9" t="str">
        <f t="shared" si="4"/>
        <v>Q3</v>
      </c>
      <c r="G30" s="9">
        <f t="shared" si="5"/>
        <v>29</v>
      </c>
      <c r="H30" s="9">
        <f t="shared" si="6"/>
        <v>6</v>
      </c>
      <c r="I30" s="9" t="str">
        <f t="shared" si="7"/>
        <v>Saturday</v>
      </c>
      <c r="J30" s="9" t="str">
        <f t="shared" si="8"/>
        <v>Yes</v>
      </c>
      <c r="K30" s="5" t="str">
        <f>IF(COUNTIF(Bank_Holidays!A:A,A30)&gt;0,"Yes","No")</f>
        <v>No</v>
      </c>
      <c r="L30" t="str">
        <f t="shared" si="9"/>
        <v>No</v>
      </c>
      <c r="M30">
        <f t="shared" si="10"/>
        <v>35</v>
      </c>
      <c r="N30" s="5" t="str">
        <f t="shared" si="11"/>
        <v>No</v>
      </c>
      <c r="O30" t="str">
        <f>IF(A30=WORKDAY(EOMONTH(A30,0)+1,-1,Bank_Holidays!$A$2:$A$25),"Yes","No")</f>
        <v>No</v>
      </c>
      <c r="P30" t="str">
        <f t="shared" si="12"/>
        <v>No</v>
      </c>
      <c r="Q30" t="str">
        <f t="shared" si="13"/>
        <v>No</v>
      </c>
      <c r="R30" s="5">
        <f t="shared" si="15"/>
        <v>0</v>
      </c>
      <c r="S30">
        <f>MOD(A30-Fortnightly_Model!$M$1,14)</f>
        <v>7</v>
      </c>
      <c r="T30">
        <f>MOD(A30-FourWeekly_Model!$M$1,28)</f>
        <v>7</v>
      </c>
    </row>
    <row r="31" spans="1:21">
      <c r="A31" s="25">
        <f t="shared" si="14"/>
        <v>46264</v>
      </c>
      <c r="B31">
        <f t="shared" si="0"/>
        <v>2026</v>
      </c>
      <c r="C31" s="9">
        <f t="shared" si="1"/>
        <v>8</v>
      </c>
      <c r="D31" s="9" t="str">
        <f t="shared" si="2"/>
        <v>August</v>
      </c>
      <c r="E31" s="9" t="str">
        <f t="shared" si="3"/>
        <v>Aug-26</v>
      </c>
      <c r="F31" s="9" t="str">
        <f t="shared" si="4"/>
        <v>Q3</v>
      </c>
      <c r="G31" s="9">
        <f t="shared" si="5"/>
        <v>30</v>
      </c>
      <c r="H31" s="9">
        <f t="shared" si="6"/>
        <v>7</v>
      </c>
      <c r="I31" s="9" t="str">
        <f t="shared" si="7"/>
        <v>Sunday</v>
      </c>
      <c r="J31" s="9" t="str">
        <f t="shared" si="8"/>
        <v>Yes</v>
      </c>
      <c r="K31" s="5" t="str">
        <f>IF(COUNTIF(Bank_Holidays!A:A,A31)&gt;0,"Yes","No")</f>
        <v>No</v>
      </c>
      <c r="L31" t="str">
        <f t="shared" si="9"/>
        <v>No</v>
      </c>
      <c r="M31">
        <f t="shared" si="10"/>
        <v>35</v>
      </c>
      <c r="N31" s="5" t="str">
        <f t="shared" si="11"/>
        <v>No</v>
      </c>
      <c r="O31" t="str">
        <f>IF(A31=WORKDAY(EOMONTH(A31,0)+1,-1,Bank_Holidays!$A$2:$A$25),"Yes","No")</f>
        <v>No</v>
      </c>
      <c r="P31" t="str">
        <f t="shared" si="12"/>
        <v>No</v>
      </c>
      <c r="Q31" t="str">
        <f t="shared" si="13"/>
        <v>No</v>
      </c>
      <c r="R31" s="5">
        <f t="shared" si="15"/>
        <v>0</v>
      </c>
      <c r="S31">
        <f>MOD(A31-Fortnightly_Model!$M$1,14)</f>
        <v>8</v>
      </c>
      <c r="T31">
        <f>MOD(A31-FourWeekly_Model!$M$1,28)</f>
        <v>8</v>
      </c>
    </row>
    <row r="32" spans="1:21">
      <c r="A32" s="25">
        <f t="shared" si="14"/>
        <v>46265</v>
      </c>
      <c r="B32">
        <f t="shared" si="0"/>
        <v>2026</v>
      </c>
      <c r="C32" s="9">
        <f t="shared" si="1"/>
        <v>8</v>
      </c>
      <c r="D32" s="9" t="str">
        <f t="shared" si="2"/>
        <v>August</v>
      </c>
      <c r="E32" s="9" t="str">
        <f t="shared" si="3"/>
        <v>Aug-26</v>
      </c>
      <c r="F32" s="9" t="str">
        <f t="shared" si="4"/>
        <v>Q3</v>
      </c>
      <c r="G32" s="9">
        <f t="shared" si="5"/>
        <v>31</v>
      </c>
      <c r="H32" s="9">
        <f t="shared" si="6"/>
        <v>1</v>
      </c>
      <c r="I32" s="9" t="str">
        <f t="shared" si="7"/>
        <v>Monday</v>
      </c>
      <c r="J32" s="9" t="str">
        <f t="shared" si="8"/>
        <v>No</v>
      </c>
      <c r="K32" s="5" t="str">
        <f>IF(COUNTIF(Bank_Holidays!A:A,A32)&gt;0,"Yes","No")</f>
        <v>Yes</v>
      </c>
      <c r="L32" t="str">
        <f t="shared" si="9"/>
        <v>No</v>
      </c>
      <c r="M32">
        <f t="shared" si="10"/>
        <v>36</v>
      </c>
      <c r="N32" s="5" t="str">
        <f t="shared" si="11"/>
        <v>Yes</v>
      </c>
      <c r="O32" t="str">
        <f>IF(A32=WORKDAY(EOMONTH(A32,0)+1,-1,Bank_Holidays!$A$2:$A$25),"Yes","No")</f>
        <v>No</v>
      </c>
      <c r="P32" t="str">
        <f t="shared" si="12"/>
        <v>No</v>
      </c>
      <c r="Q32" t="str">
        <f t="shared" si="13"/>
        <v>No</v>
      </c>
      <c r="R32" s="5">
        <f t="shared" si="15"/>
        <v>0</v>
      </c>
      <c r="S32">
        <f>MOD(A32-Fortnightly_Model!$M$1,14)</f>
        <v>9</v>
      </c>
      <c r="T32">
        <f>MOD(A32-FourWeekly_Model!$M$1,28)</f>
        <v>9</v>
      </c>
    </row>
    <row r="33" spans="1:20">
      <c r="A33" s="25">
        <f t="shared" si="14"/>
        <v>46266</v>
      </c>
      <c r="B33">
        <f t="shared" si="0"/>
        <v>2026</v>
      </c>
      <c r="C33" s="9">
        <f t="shared" si="1"/>
        <v>9</v>
      </c>
      <c r="D33" s="9" t="str">
        <f t="shared" si="2"/>
        <v>September</v>
      </c>
      <c r="E33" s="9" t="str">
        <f t="shared" si="3"/>
        <v>Sep-26</v>
      </c>
      <c r="F33" s="9" t="str">
        <f t="shared" si="4"/>
        <v>Q3</v>
      </c>
      <c r="G33" s="9">
        <f t="shared" si="5"/>
        <v>1</v>
      </c>
      <c r="H33" s="9">
        <f t="shared" si="6"/>
        <v>2</v>
      </c>
      <c r="I33" s="9" t="str">
        <f t="shared" si="7"/>
        <v>Tuesday</v>
      </c>
      <c r="J33" s="9" t="str">
        <f t="shared" si="8"/>
        <v>No</v>
      </c>
      <c r="K33" s="5" t="str">
        <f>IF(COUNTIF(Bank_Holidays!A:A,A33)&gt;0,"Yes","No")</f>
        <v>No</v>
      </c>
      <c r="L33" t="str">
        <f t="shared" si="9"/>
        <v>Yes</v>
      </c>
      <c r="M33">
        <f t="shared" si="10"/>
        <v>36</v>
      </c>
      <c r="N33" s="5" t="str">
        <f t="shared" si="11"/>
        <v>No</v>
      </c>
      <c r="O33" t="str">
        <f>IF(A33=WORKDAY(EOMONTH(A33,0)+1,-1,Bank_Holidays!$A$2:$A$25),"Yes","No")</f>
        <v>No</v>
      </c>
      <c r="P33" t="str">
        <f t="shared" si="12"/>
        <v>No</v>
      </c>
      <c r="Q33" t="str">
        <f t="shared" si="13"/>
        <v>No</v>
      </c>
      <c r="R33" s="5">
        <f t="shared" si="15"/>
        <v>1</v>
      </c>
      <c r="S33">
        <f>MOD(A33-Fortnightly_Model!$M$1,14)</f>
        <v>10</v>
      </c>
      <c r="T33">
        <f>MOD(A33-FourWeekly_Model!$M$1,28)</f>
        <v>10</v>
      </c>
    </row>
    <row r="34" spans="1:20">
      <c r="A34" s="25">
        <f t="shared" si="14"/>
        <v>46267</v>
      </c>
      <c r="B34">
        <f t="shared" si="0"/>
        <v>2026</v>
      </c>
      <c r="C34" s="9">
        <f t="shared" si="1"/>
        <v>9</v>
      </c>
      <c r="D34" s="9" t="str">
        <f t="shared" si="2"/>
        <v>September</v>
      </c>
      <c r="E34" s="9" t="str">
        <f t="shared" si="3"/>
        <v>Sep-26</v>
      </c>
      <c r="F34" s="9" t="str">
        <f t="shared" si="4"/>
        <v>Q3</v>
      </c>
      <c r="G34" s="9">
        <f t="shared" si="5"/>
        <v>2</v>
      </c>
      <c r="H34" s="9">
        <f t="shared" si="6"/>
        <v>3</v>
      </c>
      <c r="I34" s="9" t="str">
        <f t="shared" si="7"/>
        <v>Wednesday</v>
      </c>
      <c r="J34" s="9" t="str">
        <f t="shared" si="8"/>
        <v>No</v>
      </c>
      <c r="K34" s="5" t="str">
        <f>IF(COUNTIF(Bank_Holidays!A:A,A34)&gt;0,"Yes","No")</f>
        <v>No</v>
      </c>
      <c r="L34" t="str">
        <f t="shared" si="9"/>
        <v>Yes</v>
      </c>
      <c r="M34">
        <f t="shared" si="10"/>
        <v>36</v>
      </c>
      <c r="N34" s="5" t="str">
        <f t="shared" si="11"/>
        <v>No</v>
      </c>
      <c r="O34" t="str">
        <f>IF(A34=WORKDAY(EOMONTH(A34,0)+1,-1,Bank_Holidays!$A$2:$A$25),"Yes","No")</f>
        <v>No</v>
      </c>
      <c r="P34" t="str">
        <f t="shared" si="12"/>
        <v>No</v>
      </c>
      <c r="Q34" t="str">
        <f t="shared" si="13"/>
        <v>No</v>
      </c>
      <c r="R34" s="5">
        <f t="shared" si="15"/>
        <v>1</v>
      </c>
      <c r="S34">
        <f>MOD(A34-Fortnightly_Model!$M$1,14)</f>
        <v>11</v>
      </c>
      <c r="T34">
        <f>MOD(A34-FourWeekly_Model!$M$1,28)</f>
        <v>11</v>
      </c>
    </row>
    <row r="35" spans="1:20">
      <c r="A35" s="25">
        <f t="shared" si="14"/>
        <v>46268</v>
      </c>
      <c r="B35">
        <f t="shared" si="0"/>
        <v>2026</v>
      </c>
      <c r="C35" s="9">
        <f t="shared" si="1"/>
        <v>9</v>
      </c>
      <c r="D35" s="9" t="str">
        <f t="shared" si="2"/>
        <v>September</v>
      </c>
      <c r="E35" s="9" t="str">
        <f t="shared" si="3"/>
        <v>Sep-26</v>
      </c>
      <c r="F35" s="9" t="str">
        <f t="shared" si="4"/>
        <v>Q3</v>
      </c>
      <c r="G35" s="9">
        <f t="shared" si="5"/>
        <v>3</v>
      </c>
      <c r="H35" s="9">
        <f t="shared" si="6"/>
        <v>4</v>
      </c>
      <c r="I35" s="9" t="str">
        <f t="shared" si="7"/>
        <v>Thursday</v>
      </c>
      <c r="J35" s="9" t="str">
        <f t="shared" si="8"/>
        <v>No</v>
      </c>
      <c r="K35" s="5" t="str">
        <f>IF(COUNTIF(Bank_Holidays!A:A,A35)&gt;0,"Yes","No")</f>
        <v>No</v>
      </c>
      <c r="L35" t="str">
        <f t="shared" si="9"/>
        <v>Yes</v>
      </c>
      <c r="M35">
        <f t="shared" si="10"/>
        <v>36</v>
      </c>
      <c r="N35" s="5" t="str">
        <f t="shared" si="11"/>
        <v>No</v>
      </c>
      <c r="O35" t="str">
        <f>IF(A35=WORKDAY(EOMONTH(A35,0)+1,-1,Bank_Holidays!$A$2:$A$25),"Yes","No")</f>
        <v>No</v>
      </c>
      <c r="P35" t="str">
        <f t="shared" si="12"/>
        <v>No</v>
      </c>
      <c r="Q35" t="str">
        <f t="shared" si="13"/>
        <v>No</v>
      </c>
      <c r="R35" s="5">
        <f t="shared" si="15"/>
        <v>1</v>
      </c>
      <c r="S35">
        <f>MOD(A35-Fortnightly_Model!$M$1,14)</f>
        <v>12</v>
      </c>
      <c r="T35">
        <f>MOD(A35-FourWeekly_Model!$M$1,28)</f>
        <v>12</v>
      </c>
    </row>
    <row r="36" spans="1:20">
      <c r="A36" s="25">
        <f t="shared" si="14"/>
        <v>46269</v>
      </c>
      <c r="B36">
        <f t="shared" si="0"/>
        <v>2026</v>
      </c>
      <c r="C36" s="9">
        <f t="shared" si="1"/>
        <v>9</v>
      </c>
      <c r="D36" s="9" t="str">
        <f t="shared" si="2"/>
        <v>September</v>
      </c>
      <c r="E36" s="9" t="str">
        <f t="shared" si="3"/>
        <v>Sep-26</v>
      </c>
      <c r="F36" s="9" t="str">
        <f t="shared" si="4"/>
        <v>Q3</v>
      </c>
      <c r="G36" s="9">
        <f t="shared" si="5"/>
        <v>4</v>
      </c>
      <c r="H36" s="9">
        <f t="shared" si="6"/>
        <v>5</v>
      </c>
      <c r="I36" s="9" t="str">
        <f t="shared" si="7"/>
        <v>Friday</v>
      </c>
      <c r="J36" s="9" t="str">
        <f t="shared" si="8"/>
        <v>No</v>
      </c>
      <c r="K36" s="5" t="str">
        <f>IF(COUNTIF(Bank_Holidays!A:A,A36)&gt;0,"Yes","No")</f>
        <v>No</v>
      </c>
      <c r="L36" t="str">
        <f t="shared" si="9"/>
        <v>Yes</v>
      </c>
      <c r="M36">
        <f t="shared" si="10"/>
        <v>36</v>
      </c>
      <c r="N36" s="5" t="str">
        <f t="shared" si="11"/>
        <v>No</v>
      </c>
      <c r="O36" t="str">
        <f>IF(A36=WORKDAY(EOMONTH(A36,0)+1,-1,Bank_Holidays!$A$2:$A$25),"Yes","No")</f>
        <v>No</v>
      </c>
      <c r="P36" t="str">
        <f t="shared" si="12"/>
        <v>No</v>
      </c>
      <c r="Q36" t="str">
        <f t="shared" si="13"/>
        <v>No</v>
      </c>
      <c r="R36" s="5">
        <f t="shared" si="15"/>
        <v>3</v>
      </c>
      <c r="S36">
        <f>MOD(A36-Fortnightly_Model!$M$1,14)</f>
        <v>13</v>
      </c>
      <c r="T36">
        <f>MOD(A36-FourWeekly_Model!$M$1,28)</f>
        <v>13</v>
      </c>
    </row>
    <row r="37" spans="1:20">
      <c r="A37" s="25">
        <f t="shared" si="14"/>
        <v>46270</v>
      </c>
      <c r="B37">
        <f t="shared" si="0"/>
        <v>2026</v>
      </c>
      <c r="C37" s="9">
        <f t="shared" si="1"/>
        <v>9</v>
      </c>
      <c r="D37" s="9" t="str">
        <f t="shared" si="2"/>
        <v>September</v>
      </c>
      <c r="E37" s="9" t="str">
        <f t="shared" si="3"/>
        <v>Sep-26</v>
      </c>
      <c r="F37" s="9" t="str">
        <f t="shared" si="4"/>
        <v>Q3</v>
      </c>
      <c r="G37" s="9">
        <f t="shared" si="5"/>
        <v>5</v>
      </c>
      <c r="H37" s="9">
        <f t="shared" si="6"/>
        <v>6</v>
      </c>
      <c r="I37" s="9" t="str">
        <f t="shared" si="7"/>
        <v>Saturday</v>
      </c>
      <c r="J37" s="9" t="str">
        <f t="shared" si="8"/>
        <v>Yes</v>
      </c>
      <c r="K37" s="5" t="str">
        <f>IF(COUNTIF(Bank_Holidays!A:A,A37)&gt;0,"Yes","No")</f>
        <v>No</v>
      </c>
      <c r="L37" t="str">
        <f t="shared" si="9"/>
        <v>No</v>
      </c>
      <c r="M37">
        <f t="shared" si="10"/>
        <v>36</v>
      </c>
      <c r="N37" s="5" t="str">
        <f t="shared" si="11"/>
        <v>No</v>
      </c>
      <c r="O37" t="str">
        <f>IF(A37=WORKDAY(EOMONTH(A37,0)+1,-1,Bank_Holidays!$A$2:$A$25),"Yes","No")</f>
        <v>No</v>
      </c>
      <c r="P37" t="str">
        <f t="shared" si="12"/>
        <v>No</v>
      </c>
      <c r="Q37" t="str">
        <f t="shared" si="13"/>
        <v>No</v>
      </c>
      <c r="R37" s="5">
        <f t="shared" si="15"/>
        <v>0</v>
      </c>
      <c r="S37">
        <f>MOD(A37-Fortnightly_Model!$M$1,14)</f>
        <v>0</v>
      </c>
      <c r="T37">
        <f>MOD(A37-FourWeekly_Model!$M$1,28)</f>
        <v>14</v>
      </c>
    </row>
    <row r="38" spans="1:20">
      <c r="A38" s="25">
        <f t="shared" si="14"/>
        <v>46271</v>
      </c>
      <c r="B38">
        <f t="shared" si="0"/>
        <v>2026</v>
      </c>
      <c r="C38" s="9">
        <f t="shared" si="1"/>
        <v>9</v>
      </c>
      <c r="D38" s="9" t="str">
        <f t="shared" si="2"/>
        <v>September</v>
      </c>
      <c r="E38" s="9" t="str">
        <f t="shared" si="3"/>
        <v>Sep-26</v>
      </c>
      <c r="F38" s="9" t="str">
        <f t="shared" si="4"/>
        <v>Q3</v>
      </c>
      <c r="G38" s="9">
        <f t="shared" si="5"/>
        <v>6</v>
      </c>
      <c r="H38" s="9">
        <f t="shared" si="6"/>
        <v>7</v>
      </c>
      <c r="I38" s="9" t="str">
        <f t="shared" si="7"/>
        <v>Sunday</v>
      </c>
      <c r="J38" s="9" t="str">
        <f t="shared" si="8"/>
        <v>Yes</v>
      </c>
      <c r="K38" s="5" t="str">
        <f>IF(COUNTIF(Bank_Holidays!A:A,A38)&gt;0,"Yes","No")</f>
        <v>No</v>
      </c>
      <c r="L38" t="str">
        <f t="shared" si="9"/>
        <v>No</v>
      </c>
      <c r="M38">
        <f t="shared" si="10"/>
        <v>36</v>
      </c>
      <c r="N38" s="5" t="str">
        <f t="shared" si="11"/>
        <v>No</v>
      </c>
      <c r="O38" t="str">
        <f>IF(A38=WORKDAY(EOMONTH(A38,0)+1,-1,Bank_Holidays!$A$2:$A$25),"Yes","No")</f>
        <v>No</v>
      </c>
      <c r="P38" t="str">
        <f t="shared" si="12"/>
        <v>No</v>
      </c>
      <c r="Q38" t="str">
        <f t="shared" si="13"/>
        <v>No</v>
      </c>
      <c r="R38" s="5">
        <f t="shared" si="15"/>
        <v>0</v>
      </c>
      <c r="S38">
        <f>MOD(A38-Fortnightly_Model!$M$1,14)</f>
        <v>1</v>
      </c>
      <c r="T38">
        <f>MOD(A38-FourWeekly_Model!$M$1,28)</f>
        <v>15</v>
      </c>
    </row>
    <row r="39" spans="1:20">
      <c r="A39" s="25">
        <f t="shared" si="14"/>
        <v>46272</v>
      </c>
      <c r="B39">
        <f t="shared" si="0"/>
        <v>2026</v>
      </c>
      <c r="C39" s="9">
        <f t="shared" si="1"/>
        <v>9</v>
      </c>
      <c r="D39" s="9" t="str">
        <f t="shared" si="2"/>
        <v>September</v>
      </c>
      <c r="E39" s="9" t="str">
        <f t="shared" si="3"/>
        <v>Sep-26</v>
      </c>
      <c r="F39" s="9" t="str">
        <f t="shared" si="4"/>
        <v>Q3</v>
      </c>
      <c r="G39" s="9">
        <f t="shared" si="5"/>
        <v>7</v>
      </c>
      <c r="H39" s="9">
        <f t="shared" si="6"/>
        <v>1</v>
      </c>
      <c r="I39" s="9" t="str">
        <f t="shared" si="7"/>
        <v>Monday</v>
      </c>
      <c r="J39" s="9" t="str">
        <f t="shared" si="8"/>
        <v>No</v>
      </c>
      <c r="K39" s="5" t="str">
        <f>IF(COUNTIF(Bank_Holidays!A:A,A39)&gt;0,"Yes","No")</f>
        <v>No</v>
      </c>
      <c r="L39" t="str">
        <f t="shared" si="9"/>
        <v>Yes</v>
      </c>
      <c r="M39">
        <f t="shared" si="10"/>
        <v>37</v>
      </c>
      <c r="N39" s="5" t="str">
        <f t="shared" si="11"/>
        <v>No</v>
      </c>
      <c r="O39" t="str">
        <f>IF(A39=WORKDAY(EOMONTH(A39,0)+1,-1,Bank_Holidays!$A$2:$A$25),"Yes","No")</f>
        <v>No</v>
      </c>
      <c r="P39" t="str">
        <f t="shared" si="12"/>
        <v>No</v>
      </c>
      <c r="Q39" t="str">
        <f t="shared" si="13"/>
        <v>No</v>
      </c>
      <c r="R39" s="5">
        <f t="shared" si="15"/>
        <v>1</v>
      </c>
      <c r="S39">
        <f>MOD(A39-Fortnightly_Model!$M$1,14)</f>
        <v>2</v>
      </c>
      <c r="T39">
        <f>MOD(A39-FourWeekly_Model!$M$1,28)</f>
        <v>16</v>
      </c>
    </row>
    <row r="40" spans="1:20">
      <c r="A40" s="25">
        <f t="shared" si="14"/>
        <v>46273</v>
      </c>
      <c r="B40">
        <f t="shared" si="0"/>
        <v>2026</v>
      </c>
      <c r="C40" s="9">
        <f t="shared" si="1"/>
        <v>9</v>
      </c>
      <c r="D40" s="9" t="str">
        <f t="shared" si="2"/>
        <v>September</v>
      </c>
      <c r="E40" s="9" t="str">
        <f t="shared" si="3"/>
        <v>Sep-26</v>
      </c>
      <c r="F40" s="9" t="str">
        <f t="shared" si="4"/>
        <v>Q3</v>
      </c>
      <c r="G40" s="9">
        <f t="shared" si="5"/>
        <v>8</v>
      </c>
      <c r="H40" s="9">
        <f t="shared" si="6"/>
        <v>2</v>
      </c>
      <c r="I40" s="9" t="str">
        <f t="shared" si="7"/>
        <v>Tuesday</v>
      </c>
      <c r="J40" s="9" t="str">
        <f t="shared" si="8"/>
        <v>No</v>
      </c>
      <c r="K40" s="5" t="str">
        <f>IF(COUNTIF(Bank_Holidays!A:A,A40)&gt;0,"Yes","No")</f>
        <v>No</v>
      </c>
      <c r="L40" t="str">
        <f t="shared" si="9"/>
        <v>Yes</v>
      </c>
      <c r="M40">
        <f t="shared" si="10"/>
        <v>37</v>
      </c>
      <c r="N40" s="5" t="str">
        <f t="shared" si="11"/>
        <v>No</v>
      </c>
      <c r="O40" t="str">
        <f>IF(A40=WORKDAY(EOMONTH(A40,0)+1,-1,Bank_Holidays!$A$2:$A$25),"Yes","No")</f>
        <v>No</v>
      </c>
      <c r="P40" t="str">
        <f t="shared" si="12"/>
        <v>No</v>
      </c>
      <c r="Q40" t="str">
        <f t="shared" si="13"/>
        <v>No</v>
      </c>
      <c r="R40" s="5">
        <f t="shared" si="15"/>
        <v>1</v>
      </c>
      <c r="S40">
        <f>MOD(A40-Fortnightly_Model!$M$1,14)</f>
        <v>3</v>
      </c>
      <c r="T40">
        <f>MOD(A40-FourWeekly_Model!$M$1,28)</f>
        <v>17</v>
      </c>
    </row>
    <row r="41" spans="1:20">
      <c r="A41" s="25">
        <f t="shared" si="14"/>
        <v>46274</v>
      </c>
      <c r="B41">
        <f t="shared" si="0"/>
        <v>2026</v>
      </c>
      <c r="C41" s="9">
        <f t="shared" si="1"/>
        <v>9</v>
      </c>
      <c r="D41" s="9" t="str">
        <f t="shared" si="2"/>
        <v>September</v>
      </c>
      <c r="E41" s="9" t="str">
        <f t="shared" si="3"/>
        <v>Sep-26</v>
      </c>
      <c r="F41" s="9" t="str">
        <f t="shared" si="4"/>
        <v>Q3</v>
      </c>
      <c r="G41" s="9">
        <f t="shared" si="5"/>
        <v>9</v>
      </c>
      <c r="H41" s="9">
        <f t="shared" si="6"/>
        <v>3</v>
      </c>
      <c r="I41" s="9" t="str">
        <f t="shared" si="7"/>
        <v>Wednesday</v>
      </c>
      <c r="J41" s="9" t="str">
        <f t="shared" si="8"/>
        <v>No</v>
      </c>
      <c r="K41" s="5" t="str">
        <f>IF(COUNTIF(Bank_Holidays!A:A,A41)&gt;0,"Yes","No")</f>
        <v>No</v>
      </c>
      <c r="L41" t="str">
        <f t="shared" si="9"/>
        <v>Yes</v>
      </c>
      <c r="M41">
        <f t="shared" si="10"/>
        <v>37</v>
      </c>
      <c r="N41" s="5" t="str">
        <f t="shared" si="11"/>
        <v>No</v>
      </c>
      <c r="O41" t="str">
        <f>IF(A41=WORKDAY(EOMONTH(A41,0)+1,-1,Bank_Holidays!$A$2:$A$25),"Yes","No")</f>
        <v>No</v>
      </c>
      <c r="P41" t="str">
        <f t="shared" si="12"/>
        <v>No</v>
      </c>
      <c r="Q41" t="str">
        <f t="shared" si="13"/>
        <v>No</v>
      </c>
      <c r="R41" s="5">
        <f t="shared" si="15"/>
        <v>1</v>
      </c>
      <c r="S41">
        <f>MOD(A41-Fortnightly_Model!$M$1,14)</f>
        <v>4</v>
      </c>
      <c r="T41">
        <f>MOD(A41-FourWeekly_Model!$M$1,28)</f>
        <v>18</v>
      </c>
    </row>
    <row r="42" spans="1:20">
      <c r="A42" s="25">
        <f t="shared" si="14"/>
        <v>46275</v>
      </c>
      <c r="B42">
        <f t="shared" si="0"/>
        <v>2026</v>
      </c>
      <c r="C42" s="9">
        <f t="shared" si="1"/>
        <v>9</v>
      </c>
      <c r="D42" s="9" t="str">
        <f t="shared" si="2"/>
        <v>September</v>
      </c>
      <c r="E42" s="9" t="str">
        <f t="shared" si="3"/>
        <v>Sep-26</v>
      </c>
      <c r="F42" s="9" t="str">
        <f t="shared" si="4"/>
        <v>Q3</v>
      </c>
      <c r="G42" s="9">
        <f t="shared" si="5"/>
        <v>10</v>
      </c>
      <c r="H42" s="9">
        <f t="shared" si="6"/>
        <v>4</v>
      </c>
      <c r="I42" s="9" t="str">
        <f t="shared" si="7"/>
        <v>Thursday</v>
      </c>
      <c r="J42" s="9" t="str">
        <f t="shared" si="8"/>
        <v>No</v>
      </c>
      <c r="K42" s="5" t="str">
        <f>IF(COUNTIF(Bank_Holidays!A:A,A42)&gt;0,"Yes","No")</f>
        <v>No</v>
      </c>
      <c r="L42" t="str">
        <f t="shared" si="9"/>
        <v>Yes</v>
      </c>
      <c r="M42">
        <f t="shared" si="10"/>
        <v>37</v>
      </c>
      <c r="N42" s="5" t="str">
        <f t="shared" si="11"/>
        <v>No</v>
      </c>
      <c r="O42" t="str">
        <f>IF(A42=WORKDAY(EOMONTH(A42,0)+1,-1,Bank_Holidays!$A$2:$A$25),"Yes","No")</f>
        <v>No</v>
      </c>
      <c r="P42" t="str">
        <f t="shared" si="12"/>
        <v>No</v>
      </c>
      <c r="Q42" t="str">
        <f t="shared" si="13"/>
        <v>No</v>
      </c>
      <c r="R42" s="5">
        <f t="shared" si="15"/>
        <v>1</v>
      </c>
      <c r="S42">
        <f>MOD(A42-Fortnightly_Model!$M$1,14)</f>
        <v>5</v>
      </c>
      <c r="T42">
        <f>MOD(A42-FourWeekly_Model!$M$1,28)</f>
        <v>19</v>
      </c>
    </row>
    <row r="43" spans="1:20">
      <c r="A43" s="25">
        <f t="shared" si="14"/>
        <v>46276</v>
      </c>
      <c r="B43">
        <f t="shared" si="0"/>
        <v>2026</v>
      </c>
      <c r="C43" s="9">
        <f t="shared" si="1"/>
        <v>9</v>
      </c>
      <c r="D43" s="9" t="str">
        <f t="shared" si="2"/>
        <v>September</v>
      </c>
      <c r="E43" s="9" t="str">
        <f t="shared" si="3"/>
        <v>Sep-26</v>
      </c>
      <c r="F43" s="9" t="str">
        <f t="shared" si="4"/>
        <v>Q3</v>
      </c>
      <c r="G43" s="9">
        <f t="shared" si="5"/>
        <v>11</v>
      </c>
      <c r="H43" s="9">
        <f t="shared" si="6"/>
        <v>5</v>
      </c>
      <c r="I43" s="9" t="str">
        <f t="shared" si="7"/>
        <v>Friday</v>
      </c>
      <c r="J43" s="9" t="str">
        <f t="shared" si="8"/>
        <v>No</v>
      </c>
      <c r="K43" s="5" t="str">
        <f>IF(COUNTIF(Bank_Holidays!A:A,A43)&gt;0,"Yes","No")</f>
        <v>No</v>
      </c>
      <c r="L43" t="str">
        <f t="shared" si="9"/>
        <v>Yes</v>
      </c>
      <c r="M43">
        <f t="shared" si="10"/>
        <v>37</v>
      </c>
      <c r="N43" s="5" t="str">
        <f t="shared" si="11"/>
        <v>No</v>
      </c>
      <c r="O43" t="str">
        <f>IF(A43=WORKDAY(EOMONTH(A43,0)+1,-1,Bank_Holidays!$A$2:$A$25),"Yes","No")</f>
        <v>No</v>
      </c>
      <c r="P43" t="str">
        <f t="shared" si="12"/>
        <v>No</v>
      </c>
      <c r="Q43" t="str">
        <f t="shared" si="13"/>
        <v>No</v>
      </c>
      <c r="R43" s="5">
        <f t="shared" si="15"/>
        <v>3</v>
      </c>
      <c r="S43">
        <f>MOD(A43-Fortnightly_Model!$M$1,14)</f>
        <v>6</v>
      </c>
      <c r="T43">
        <f>MOD(A43-FourWeekly_Model!$M$1,28)</f>
        <v>20</v>
      </c>
    </row>
    <row r="44" spans="1:20">
      <c r="A44" s="25">
        <f t="shared" si="14"/>
        <v>46277</v>
      </c>
      <c r="B44">
        <f t="shared" si="0"/>
        <v>2026</v>
      </c>
      <c r="C44" s="9">
        <f t="shared" si="1"/>
        <v>9</v>
      </c>
      <c r="D44" s="9" t="str">
        <f t="shared" si="2"/>
        <v>September</v>
      </c>
      <c r="E44" s="9" t="str">
        <f t="shared" si="3"/>
        <v>Sep-26</v>
      </c>
      <c r="F44" s="9" t="str">
        <f t="shared" si="4"/>
        <v>Q3</v>
      </c>
      <c r="G44" s="9">
        <f t="shared" si="5"/>
        <v>12</v>
      </c>
      <c r="H44" s="9">
        <f t="shared" si="6"/>
        <v>6</v>
      </c>
      <c r="I44" s="9" t="str">
        <f t="shared" si="7"/>
        <v>Saturday</v>
      </c>
      <c r="J44" s="9" t="str">
        <f t="shared" si="8"/>
        <v>Yes</v>
      </c>
      <c r="K44" s="5" t="str">
        <f>IF(COUNTIF(Bank_Holidays!A:A,A44)&gt;0,"Yes","No")</f>
        <v>No</v>
      </c>
      <c r="L44" t="str">
        <f t="shared" si="9"/>
        <v>No</v>
      </c>
      <c r="M44">
        <f t="shared" si="10"/>
        <v>37</v>
      </c>
      <c r="N44" s="5" t="str">
        <f t="shared" si="11"/>
        <v>No</v>
      </c>
      <c r="O44" t="str">
        <f>IF(A44=WORKDAY(EOMONTH(A44,0)+1,-1,Bank_Holidays!$A$2:$A$25),"Yes","No")</f>
        <v>No</v>
      </c>
      <c r="P44" t="str">
        <f t="shared" si="12"/>
        <v>No</v>
      </c>
      <c r="Q44" t="str">
        <f t="shared" si="13"/>
        <v>No</v>
      </c>
      <c r="R44" s="5">
        <f t="shared" si="15"/>
        <v>0</v>
      </c>
      <c r="S44">
        <f>MOD(A44-Fortnightly_Model!$M$1,14)</f>
        <v>7</v>
      </c>
      <c r="T44">
        <f>MOD(A44-FourWeekly_Model!$M$1,28)</f>
        <v>21</v>
      </c>
    </row>
    <row r="45" spans="1:20">
      <c r="A45" s="25">
        <f t="shared" si="14"/>
        <v>46278</v>
      </c>
      <c r="B45">
        <f t="shared" si="0"/>
        <v>2026</v>
      </c>
      <c r="C45" s="9">
        <f t="shared" si="1"/>
        <v>9</v>
      </c>
      <c r="D45" s="9" t="str">
        <f t="shared" si="2"/>
        <v>September</v>
      </c>
      <c r="E45" s="9" t="str">
        <f t="shared" si="3"/>
        <v>Sep-26</v>
      </c>
      <c r="F45" s="9" t="str">
        <f t="shared" si="4"/>
        <v>Q3</v>
      </c>
      <c r="G45" s="9">
        <f t="shared" si="5"/>
        <v>13</v>
      </c>
      <c r="H45" s="9">
        <f t="shared" si="6"/>
        <v>7</v>
      </c>
      <c r="I45" s="9" t="str">
        <f t="shared" si="7"/>
        <v>Sunday</v>
      </c>
      <c r="J45" s="9" t="str">
        <f t="shared" si="8"/>
        <v>Yes</v>
      </c>
      <c r="K45" s="5" t="str">
        <f>IF(COUNTIF(Bank_Holidays!A:A,A45)&gt;0,"Yes","No")</f>
        <v>No</v>
      </c>
      <c r="L45" t="str">
        <f t="shared" si="9"/>
        <v>No</v>
      </c>
      <c r="M45">
        <f t="shared" si="10"/>
        <v>37</v>
      </c>
      <c r="N45" s="5" t="str">
        <f t="shared" si="11"/>
        <v>No</v>
      </c>
      <c r="O45" t="str">
        <f>IF(A45=WORKDAY(EOMONTH(A45,0)+1,-1,Bank_Holidays!$A$2:$A$25),"Yes","No")</f>
        <v>No</v>
      </c>
      <c r="P45" t="str">
        <f t="shared" si="12"/>
        <v>No</v>
      </c>
      <c r="Q45" t="str">
        <f t="shared" si="13"/>
        <v>No</v>
      </c>
      <c r="R45" s="5">
        <f t="shared" si="15"/>
        <v>0</v>
      </c>
      <c r="S45">
        <f>MOD(A45-Fortnightly_Model!$M$1,14)</f>
        <v>8</v>
      </c>
      <c r="T45">
        <f>MOD(A45-FourWeekly_Model!$M$1,28)</f>
        <v>22</v>
      </c>
    </row>
    <row r="46" spans="1:20">
      <c r="A46" s="25">
        <f t="shared" si="14"/>
        <v>46279</v>
      </c>
      <c r="B46">
        <f t="shared" si="0"/>
        <v>2026</v>
      </c>
      <c r="C46" s="9">
        <f t="shared" si="1"/>
        <v>9</v>
      </c>
      <c r="D46" s="9" t="str">
        <f t="shared" si="2"/>
        <v>September</v>
      </c>
      <c r="E46" s="9" t="str">
        <f t="shared" si="3"/>
        <v>Sep-26</v>
      </c>
      <c r="F46" s="9" t="str">
        <f t="shared" si="4"/>
        <v>Q3</v>
      </c>
      <c r="G46" s="9">
        <f t="shared" si="5"/>
        <v>14</v>
      </c>
      <c r="H46" s="9">
        <f t="shared" si="6"/>
        <v>1</v>
      </c>
      <c r="I46" s="9" t="str">
        <f t="shared" si="7"/>
        <v>Monday</v>
      </c>
      <c r="J46" s="9" t="str">
        <f t="shared" si="8"/>
        <v>No</v>
      </c>
      <c r="K46" s="5" t="str">
        <f>IF(COUNTIF(Bank_Holidays!A:A,A46)&gt;0,"Yes","No")</f>
        <v>No</v>
      </c>
      <c r="L46" t="str">
        <f t="shared" si="9"/>
        <v>Yes</v>
      </c>
      <c r="M46">
        <f t="shared" si="10"/>
        <v>38</v>
      </c>
      <c r="N46" s="5" t="str">
        <f t="shared" si="11"/>
        <v>No</v>
      </c>
      <c r="O46" t="str">
        <f>IF(A46=WORKDAY(EOMONTH(A46,0)+1,-1,Bank_Holidays!$A$2:$A$25),"Yes","No")</f>
        <v>No</v>
      </c>
      <c r="P46" t="str">
        <f t="shared" si="12"/>
        <v>No</v>
      </c>
      <c r="Q46" t="str">
        <f t="shared" si="13"/>
        <v>No</v>
      </c>
      <c r="R46" s="5">
        <f t="shared" si="15"/>
        <v>1</v>
      </c>
      <c r="S46">
        <f>MOD(A46-Fortnightly_Model!$M$1,14)</f>
        <v>9</v>
      </c>
      <c r="T46">
        <f>MOD(A46-FourWeekly_Model!$M$1,28)</f>
        <v>23</v>
      </c>
    </row>
    <row r="47" spans="1:20">
      <c r="A47" s="25">
        <f t="shared" si="14"/>
        <v>46280</v>
      </c>
      <c r="B47">
        <f t="shared" si="0"/>
        <v>2026</v>
      </c>
      <c r="C47" s="9">
        <f t="shared" si="1"/>
        <v>9</v>
      </c>
      <c r="D47" s="9" t="str">
        <f t="shared" si="2"/>
        <v>September</v>
      </c>
      <c r="E47" s="9" t="str">
        <f t="shared" si="3"/>
        <v>Sep-26</v>
      </c>
      <c r="F47" s="9" t="str">
        <f t="shared" si="4"/>
        <v>Q3</v>
      </c>
      <c r="G47" s="9">
        <f t="shared" si="5"/>
        <v>15</v>
      </c>
      <c r="H47" s="9">
        <f t="shared" si="6"/>
        <v>2</v>
      </c>
      <c r="I47" s="9" t="str">
        <f t="shared" si="7"/>
        <v>Tuesday</v>
      </c>
      <c r="J47" s="9" t="str">
        <f t="shared" si="8"/>
        <v>No</v>
      </c>
      <c r="K47" s="5" t="str">
        <f>IF(COUNTIF(Bank_Holidays!A:A,A47)&gt;0,"Yes","No")</f>
        <v>No</v>
      </c>
      <c r="L47" t="str">
        <f t="shared" si="9"/>
        <v>Yes</v>
      </c>
      <c r="M47">
        <f t="shared" si="10"/>
        <v>38</v>
      </c>
      <c r="N47" s="5" t="str">
        <f t="shared" si="11"/>
        <v>No</v>
      </c>
      <c r="O47" t="str">
        <f>IF(A47=WORKDAY(EOMONTH(A47,0)+1,-1,Bank_Holidays!$A$2:$A$25),"Yes","No")</f>
        <v>No</v>
      </c>
      <c r="P47" t="str">
        <f t="shared" si="12"/>
        <v>No</v>
      </c>
      <c r="Q47" t="str">
        <f t="shared" si="13"/>
        <v>No</v>
      </c>
      <c r="R47" s="5">
        <f t="shared" si="15"/>
        <v>1</v>
      </c>
      <c r="S47">
        <f>MOD(A47-Fortnightly_Model!$M$1,14)</f>
        <v>10</v>
      </c>
      <c r="T47">
        <f>MOD(A47-FourWeekly_Model!$M$1,28)</f>
        <v>24</v>
      </c>
    </row>
    <row r="48" spans="1:20">
      <c r="A48" s="25">
        <f t="shared" si="14"/>
        <v>46281</v>
      </c>
      <c r="B48">
        <f t="shared" si="0"/>
        <v>2026</v>
      </c>
      <c r="C48" s="9">
        <f t="shared" si="1"/>
        <v>9</v>
      </c>
      <c r="D48" s="9" t="str">
        <f t="shared" si="2"/>
        <v>September</v>
      </c>
      <c r="E48" s="9" t="str">
        <f t="shared" si="3"/>
        <v>Sep-26</v>
      </c>
      <c r="F48" s="9" t="str">
        <f t="shared" si="4"/>
        <v>Q3</v>
      </c>
      <c r="G48" s="9">
        <f t="shared" si="5"/>
        <v>16</v>
      </c>
      <c r="H48" s="9">
        <f t="shared" si="6"/>
        <v>3</v>
      </c>
      <c r="I48" s="9" t="str">
        <f t="shared" si="7"/>
        <v>Wednesday</v>
      </c>
      <c r="J48" s="9" t="str">
        <f t="shared" si="8"/>
        <v>No</v>
      </c>
      <c r="K48" s="5" t="str">
        <f>IF(COUNTIF(Bank_Holidays!A:A,A48)&gt;0,"Yes","No")</f>
        <v>No</v>
      </c>
      <c r="L48" t="str">
        <f t="shared" si="9"/>
        <v>Yes</v>
      </c>
      <c r="M48">
        <f t="shared" si="10"/>
        <v>38</v>
      </c>
      <c r="N48" s="5" t="str">
        <f t="shared" si="11"/>
        <v>No</v>
      </c>
      <c r="O48" t="str">
        <f>IF(A48=WORKDAY(EOMONTH(A48,0)+1,-1,Bank_Holidays!$A$2:$A$25),"Yes","No")</f>
        <v>No</v>
      </c>
      <c r="P48" t="str">
        <f t="shared" si="12"/>
        <v>No</v>
      </c>
      <c r="Q48" t="str">
        <f t="shared" si="13"/>
        <v>No</v>
      </c>
      <c r="R48" s="5">
        <f t="shared" si="15"/>
        <v>1</v>
      </c>
      <c r="S48">
        <f>MOD(A48-Fortnightly_Model!$M$1,14)</f>
        <v>11</v>
      </c>
      <c r="T48">
        <f>MOD(A48-FourWeekly_Model!$M$1,28)</f>
        <v>25</v>
      </c>
    </row>
    <row r="49" spans="1:20">
      <c r="A49" s="25">
        <f t="shared" si="14"/>
        <v>46282</v>
      </c>
      <c r="B49">
        <f t="shared" si="0"/>
        <v>2026</v>
      </c>
      <c r="C49" s="9">
        <f t="shared" si="1"/>
        <v>9</v>
      </c>
      <c r="D49" s="9" t="str">
        <f t="shared" si="2"/>
        <v>September</v>
      </c>
      <c r="E49" s="9" t="str">
        <f t="shared" si="3"/>
        <v>Sep-26</v>
      </c>
      <c r="F49" s="9" t="str">
        <f t="shared" si="4"/>
        <v>Q3</v>
      </c>
      <c r="G49" s="9">
        <f t="shared" si="5"/>
        <v>17</v>
      </c>
      <c r="H49" s="9">
        <f t="shared" si="6"/>
        <v>4</v>
      </c>
      <c r="I49" s="9" t="str">
        <f t="shared" si="7"/>
        <v>Thursday</v>
      </c>
      <c r="J49" s="9" t="str">
        <f t="shared" si="8"/>
        <v>No</v>
      </c>
      <c r="K49" s="5" t="str">
        <f>IF(COUNTIF(Bank_Holidays!A:A,A49)&gt;0,"Yes","No")</f>
        <v>No</v>
      </c>
      <c r="L49" t="str">
        <f t="shared" si="9"/>
        <v>Yes</v>
      </c>
      <c r="M49">
        <f t="shared" si="10"/>
        <v>38</v>
      </c>
      <c r="N49" s="5" t="str">
        <f t="shared" si="11"/>
        <v>No</v>
      </c>
      <c r="O49" t="str">
        <f>IF(A49=WORKDAY(EOMONTH(A49,0)+1,-1,Bank_Holidays!$A$2:$A$25),"Yes","No")</f>
        <v>No</v>
      </c>
      <c r="P49" t="str">
        <f t="shared" si="12"/>
        <v>No</v>
      </c>
      <c r="Q49" t="str">
        <f t="shared" si="13"/>
        <v>No</v>
      </c>
      <c r="R49" s="5">
        <f t="shared" si="15"/>
        <v>1</v>
      </c>
      <c r="S49">
        <f>MOD(A49-Fortnightly_Model!$M$1,14)</f>
        <v>12</v>
      </c>
      <c r="T49">
        <f>MOD(A49-FourWeekly_Model!$M$1,28)</f>
        <v>26</v>
      </c>
    </row>
    <row r="50" spans="1:20">
      <c r="A50" s="25">
        <f t="shared" si="14"/>
        <v>46283</v>
      </c>
      <c r="B50">
        <f t="shared" si="0"/>
        <v>2026</v>
      </c>
      <c r="C50" s="9">
        <f t="shared" si="1"/>
        <v>9</v>
      </c>
      <c r="D50" s="9" t="str">
        <f t="shared" si="2"/>
        <v>September</v>
      </c>
      <c r="E50" s="9" t="str">
        <f t="shared" si="3"/>
        <v>Sep-26</v>
      </c>
      <c r="F50" s="9" t="str">
        <f t="shared" si="4"/>
        <v>Q3</v>
      </c>
      <c r="G50" s="9">
        <f t="shared" si="5"/>
        <v>18</v>
      </c>
      <c r="H50" s="9">
        <f t="shared" si="6"/>
        <v>5</v>
      </c>
      <c r="I50" s="9" t="str">
        <f t="shared" si="7"/>
        <v>Friday</v>
      </c>
      <c r="J50" s="9" t="str">
        <f t="shared" si="8"/>
        <v>No</v>
      </c>
      <c r="K50" s="5" t="str">
        <f>IF(COUNTIF(Bank_Holidays!A:A,A50)&gt;0,"Yes","No")</f>
        <v>No</v>
      </c>
      <c r="L50" t="str">
        <f t="shared" si="9"/>
        <v>Yes</v>
      </c>
      <c r="M50">
        <f t="shared" si="10"/>
        <v>38</v>
      </c>
      <c r="N50" s="5" t="str">
        <f t="shared" si="11"/>
        <v>No</v>
      </c>
      <c r="O50" t="str">
        <f>IF(A50=WORKDAY(EOMONTH(A50,0)+1,-1,Bank_Holidays!$A$2:$A$25),"Yes","No")</f>
        <v>No</v>
      </c>
      <c r="P50" t="str">
        <f t="shared" si="12"/>
        <v>No</v>
      </c>
      <c r="Q50" t="str">
        <f t="shared" si="13"/>
        <v>No</v>
      </c>
      <c r="R50" s="5">
        <f t="shared" si="15"/>
        <v>3</v>
      </c>
      <c r="S50">
        <f>MOD(A50-Fortnightly_Model!$M$1,14)</f>
        <v>13</v>
      </c>
      <c r="T50">
        <f>MOD(A50-FourWeekly_Model!$M$1,28)</f>
        <v>27</v>
      </c>
    </row>
    <row r="51" spans="1:20">
      <c r="A51" s="25">
        <f t="shared" si="14"/>
        <v>46284</v>
      </c>
      <c r="B51">
        <f t="shared" si="0"/>
        <v>2026</v>
      </c>
      <c r="C51" s="9">
        <f t="shared" si="1"/>
        <v>9</v>
      </c>
      <c r="D51" s="9" t="str">
        <f t="shared" si="2"/>
        <v>September</v>
      </c>
      <c r="E51" s="9" t="str">
        <f t="shared" si="3"/>
        <v>Sep-26</v>
      </c>
      <c r="F51" s="9" t="str">
        <f t="shared" si="4"/>
        <v>Q3</v>
      </c>
      <c r="G51" s="9">
        <f t="shared" si="5"/>
        <v>19</v>
      </c>
      <c r="H51" s="9">
        <f t="shared" si="6"/>
        <v>6</v>
      </c>
      <c r="I51" s="9" t="str">
        <f t="shared" si="7"/>
        <v>Saturday</v>
      </c>
      <c r="J51" s="9" t="str">
        <f t="shared" si="8"/>
        <v>Yes</v>
      </c>
      <c r="K51" s="5" t="str">
        <f>IF(COUNTIF(Bank_Holidays!A:A,A51)&gt;0,"Yes","No")</f>
        <v>No</v>
      </c>
      <c r="L51" t="str">
        <f t="shared" si="9"/>
        <v>No</v>
      </c>
      <c r="M51">
        <f t="shared" si="10"/>
        <v>38</v>
      </c>
      <c r="N51" s="5" t="str">
        <f t="shared" si="11"/>
        <v>No</v>
      </c>
      <c r="O51" t="str">
        <f>IF(A51=WORKDAY(EOMONTH(A51,0)+1,-1,Bank_Holidays!$A$2:$A$25),"Yes","No")</f>
        <v>No</v>
      </c>
      <c r="P51" t="str">
        <f t="shared" si="12"/>
        <v>No</v>
      </c>
      <c r="Q51" t="str">
        <f t="shared" si="13"/>
        <v>No</v>
      </c>
      <c r="R51" s="5">
        <f t="shared" si="15"/>
        <v>0</v>
      </c>
      <c r="S51">
        <f>MOD(A51-Fortnightly_Model!$M$1,14)</f>
        <v>0</v>
      </c>
      <c r="T51">
        <f>MOD(A51-FourWeekly_Model!$M$1,28)</f>
        <v>0</v>
      </c>
    </row>
    <row r="52" spans="1:20">
      <c r="A52" s="25">
        <f t="shared" si="14"/>
        <v>46285</v>
      </c>
      <c r="B52">
        <f t="shared" si="0"/>
        <v>2026</v>
      </c>
      <c r="C52" s="9">
        <f t="shared" si="1"/>
        <v>9</v>
      </c>
      <c r="D52" s="9" t="str">
        <f t="shared" si="2"/>
        <v>September</v>
      </c>
      <c r="E52" s="9" t="str">
        <f t="shared" si="3"/>
        <v>Sep-26</v>
      </c>
      <c r="F52" s="9" t="str">
        <f t="shared" si="4"/>
        <v>Q3</v>
      </c>
      <c r="G52" s="9">
        <f t="shared" si="5"/>
        <v>20</v>
      </c>
      <c r="H52" s="9">
        <f t="shared" si="6"/>
        <v>7</v>
      </c>
      <c r="I52" s="9" t="str">
        <f t="shared" si="7"/>
        <v>Sunday</v>
      </c>
      <c r="J52" s="9" t="str">
        <f t="shared" si="8"/>
        <v>Yes</v>
      </c>
      <c r="K52" s="5" t="str">
        <f>IF(COUNTIF(Bank_Holidays!A:A,A52)&gt;0,"Yes","No")</f>
        <v>No</v>
      </c>
      <c r="L52" t="str">
        <f t="shared" si="9"/>
        <v>No</v>
      </c>
      <c r="M52">
        <f t="shared" si="10"/>
        <v>38</v>
      </c>
      <c r="N52" s="5" t="str">
        <f t="shared" si="11"/>
        <v>No</v>
      </c>
      <c r="O52" t="str">
        <f>IF(A52=WORKDAY(EOMONTH(A52,0)+1,-1,Bank_Holidays!$A$2:$A$25),"Yes","No")</f>
        <v>No</v>
      </c>
      <c r="P52" t="str">
        <f t="shared" si="12"/>
        <v>No</v>
      </c>
      <c r="Q52" t="str">
        <f t="shared" si="13"/>
        <v>No</v>
      </c>
      <c r="R52" s="5">
        <f t="shared" si="15"/>
        <v>0</v>
      </c>
      <c r="S52">
        <f>MOD(A52-Fortnightly_Model!$M$1,14)</f>
        <v>1</v>
      </c>
      <c r="T52">
        <f>MOD(A52-FourWeekly_Model!$M$1,28)</f>
        <v>1</v>
      </c>
    </row>
    <row r="53" spans="1:20">
      <c r="A53" s="25">
        <f t="shared" si="14"/>
        <v>46286</v>
      </c>
      <c r="B53">
        <f t="shared" si="0"/>
        <v>2026</v>
      </c>
      <c r="C53" s="9">
        <f t="shared" si="1"/>
        <v>9</v>
      </c>
      <c r="D53" s="9" t="str">
        <f t="shared" si="2"/>
        <v>September</v>
      </c>
      <c r="E53" s="9" t="str">
        <f t="shared" si="3"/>
        <v>Sep-26</v>
      </c>
      <c r="F53" s="9" t="str">
        <f t="shared" si="4"/>
        <v>Q3</v>
      </c>
      <c r="G53" s="9">
        <f t="shared" si="5"/>
        <v>21</v>
      </c>
      <c r="H53" s="9">
        <f t="shared" si="6"/>
        <v>1</v>
      </c>
      <c r="I53" s="9" t="str">
        <f t="shared" si="7"/>
        <v>Monday</v>
      </c>
      <c r="J53" s="9" t="str">
        <f t="shared" si="8"/>
        <v>No</v>
      </c>
      <c r="K53" s="5" t="str">
        <f>IF(COUNTIF(Bank_Holidays!A:A,A53)&gt;0,"Yes","No")</f>
        <v>No</v>
      </c>
      <c r="L53" t="str">
        <f t="shared" si="9"/>
        <v>Yes</v>
      </c>
      <c r="M53">
        <f t="shared" si="10"/>
        <v>39</v>
      </c>
      <c r="N53" s="5" t="str">
        <f t="shared" si="11"/>
        <v>No</v>
      </c>
      <c r="O53" t="str">
        <f>IF(A53=WORKDAY(EOMONTH(A53,0)+1,-1,Bank_Holidays!$A$2:$A$25),"Yes","No")</f>
        <v>No</v>
      </c>
      <c r="P53" t="str">
        <f t="shared" si="12"/>
        <v>No</v>
      </c>
      <c r="Q53" t="str">
        <f t="shared" si="13"/>
        <v>No</v>
      </c>
      <c r="R53" s="5">
        <f t="shared" si="15"/>
        <v>1</v>
      </c>
      <c r="S53">
        <f>MOD(A53-Fortnightly_Model!$M$1,14)</f>
        <v>2</v>
      </c>
      <c r="T53">
        <f>MOD(A53-FourWeekly_Model!$M$1,28)</f>
        <v>2</v>
      </c>
    </row>
    <row r="54" spans="1:20">
      <c r="A54" s="25">
        <f t="shared" si="14"/>
        <v>46287</v>
      </c>
      <c r="B54">
        <f t="shared" si="0"/>
        <v>2026</v>
      </c>
      <c r="C54" s="9">
        <f t="shared" si="1"/>
        <v>9</v>
      </c>
      <c r="D54" s="9" t="str">
        <f t="shared" si="2"/>
        <v>September</v>
      </c>
      <c r="E54" s="9" t="str">
        <f t="shared" si="3"/>
        <v>Sep-26</v>
      </c>
      <c r="F54" s="9" t="str">
        <f t="shared" si="4"/>
        <v>Q3</v>
      </c>
      <c r="G54" s="9">
        <f t="shared" si="5"/>
        <v>22</v>
      </c>
      <c r="H54" s="9">
        <f t="shared" si="6"/>
        <v>2</v>
      </c>
      <c r="I54" s="9" t="str">
        <f t="shared" si="7"/>
        <v>Tuesday</v>
      </c>
      <c r="J54" s="9" t="str">
        <f t="shared" si="8"/>
        <v>No</v>
      </c>
      <c r="K54" s="5" t="str">
        <f>IF(COUNTIF(Bank_Holidays!A:A,A54)&gt;0,"Yes","No")</f>
        <v>No</v>
      </c>
      <c r="L54" t="str">
        <f t="shared" si="9"/>
        <v>Yes</v>
      </c>
      <c r="M54">
        <f t="shared" si="10"/>
        <v>39</v>
      </c>
      <c r="N54" s="5" t="str">
        <f t="shared" si="11"/>
        <v>No</v>
      </c>
      <c r="O54" t="str">
        <f>IF(A54=WORKDAY(EOMONTH(A54,0)+1,-1,Bank_Holidays!$A$2:$A$25),"Yes","No")</f>
        <v>No</v>
      </c>
      <c r="P54" t="str">
        <f t="shared" si="12"/>
        <v>No</v>
      </c>
      <c r="Q54" t="str">
        <f t="shared" si="13"/>
        <v>No</v>
      </c>
      <c r="R54" s="5">
        <f t="shared" si="15"/>
        <v>1</v>
      </c>
      <c r="S54">
        <f>MOD(A54-Fortnightly_Model!$M$1,14)</f>
        <v>3</v>
      </c>
      <c r="T54">
        <f>MOD(A54-FourWeekly_Model!$M$1,28)</f>
        <v>3</v>
      </c>
    </row>
    <row r="55" spans="1:20">
      <c r="A55" s="25">
        <f t="shared" si="14"/>
        <v>46288</v>
      </c>
      <c r="B55">
        <f t="shared" si="0"/>
        <v>2026</v>
      </c>
      <c r="C55" s="9">
        <f t="shared" si="1"/>
        <v>9</v>
      </c>
      <c r="D55" s="9" t="str">
        <f t="shared" si="2"/>
        <v>September</v>
      </c>
      <c r="E55" s="9" t="str">
        <f t="shared" si="3"/>
        <v>Sep-26</v>
      </c>
      <c r="F55" s="9" t="str">
        <f t="shared" si="4"/>
        <v>Q3</v>
      </c>
      <c r="G55" s="9">
        <f t="shared" si="5"/>
        <v>23</v>
      </c>
      <c r="H55" s="9">
        <f t="shared" si="6"/>
        <v>3</v>
      </c>
      <c r="I55" s="9" t="str">
        <f t="shared" si="7"/>
        <v>Wednesday</v>
      </c>
      <c r="J55" s="9" t="str">
        <f t="shared" si="8"/>
        <v>No</v>
      </c>
      <c r="K55" s="5" t="str">
        <f>IF(COUNTIF(Bank_Holidays!A:A,A55)&gt;0,"Yes","No")</f>
        <v>No</v>
      </c>
      <c r="L55" t="str">
        <f t="shared" si="9"/>
        <v>Yes</v>
      </c>
      <c r="M55">
        <f t="shared" si="10"/>
        <v>39</v>
      </c>
      <c r="N55" s="5" t="str">
        <f t="shared" si="11"/>
        <v>No</v>
      </c>
      <c r="O55" t="str">
        <f>IF(A55=WORKDAY(EOMONTH(A55,0)+1,-1,Bank_Holidays!$A$2:$A$25),"Yes","No")</f>
        <v>No</v>
      </c>
      <c r="P55" t="str">
        <f t="shared" si="12"/>
        <v>No</v>
      </c>
      <c r="Q55" t="str">
        <f t="shared" si="13"/>
        <v>No</v>
      </c>
      <c r="R55" s="5">
        <f t="shared" si="15"/>
        <v>1</v>
      </c>
      <c r="S55">
        <f>MOD(A55-Fortnightly_Model!$M$1,14)</f>
        <v>4</v>
      </c>
      <c r="T55">
        <f>MOD(A55-FourWeekly_Model!$M$1,28)</f>
        <v>4</v>
      </c>
    </row>
    <row r="56" spans="1:20">
      <c r="A56" s="25">
        <f t="shared" si="14"/>
        <v>46289</v>
      </c>
      <c r="B56">
        <f t="shared" si="0"/>
        <v>2026</v>
      </c>
      <c r="C56" s="9">
        <f t="shared" si="1"/>
        <v>9</v>
      </c>
      <c r="D56" s="9" t="str">
        <f t="shared" si="2"/>
        <v>September</v>
      </c>
      <c r="E56" s="9" t="str">
        <f t="shared" si="3"/>
        <v>Sep-26</v>
      </c>
      <c r="F56" s="9" t="str">
        <f t="shared" si="4"/>
        <v>Q3</v>
      </c>
      <c r="G56" s="9">
        <f t="shared" si="5"/>
        <v>24</v>
      </c>
      <c r="H56" s="9">
        <f t="shared" si="6"/>
        <v>4</v>
      </c>
      <c r="I56" s="9" t="str">
        <f t="shared" si="7"/>
        <v>Thursday</v>
      </c>
      <c r="J56" s="9" t="str">
        <f t="shared" si="8"/>
        <v>No</v>
      </c>
      <c r="K56" s="5" t="str">
        <f>IF(COUNTIF(Bank_Holidays!A:A,A56)&gt;0,"Yes","No")</f>
        <v>No</v>
      </c>
      <c r="L56" t="str">
        <f t="shared" si="9"/>
        <v>Yes</v>
      </c>
      <c r="M56">
        <f t="shared" si="10"/>
        <v>39</v>
      </c>
      <c r="N56" s="5" t="str">
        <f t="shared" si="11"/>
        <v>No</v>
      </c>
      <c r="O56" t="str">
        <f>IF(A56=WORKDAY(EOMONTH(A56,0)+1,-1,Bank_Holidays!$A$2:$A$25),"Yes","No")</f>
        <v>No</v>
      </c>
      <c r="P56" t="str">
        <f t="shared" si="12"/>
        <v>No</v>
      </c>
      <c r="Q56" t="str">
        <f t="shared" si="13"/>
        <v>Yes</v>
      </c>
      <c r="R56" s="5">
        <f t="shared" si="15"/>
        <v>1</v>
      </c>
      <c r="S56">
        <f>MOD(A56-Fortnightly_Model!$M$1,14)</f>
        <v>5</v>
      </c>
      <c r="T56">
        <f>MOD(A56-FourWeekly_Model!$M$1,28)</f>
        <v>5</v>
      </c>
    </row>
    <row r="57" spans="1:20">
      <c r="A57" s="25">
        <f t="shared" si="14"/>
        <v>46290</v>
      </c>
      <c r="B57">
        <f t="shared" si="0"/>
        <v>2026</v>
      </c>
      <c r="C57" s="9">
        <f t="shared" si="1"/>
        <v>9</v>
      </c>
      <c r="D57" s="9" t="str">
        <f t="shared" si="2"/>
        <v>September</v>
      </c>
      <c r="E57" s="9" t="str">
        <f t="shared" si="3"/>
        <v>Sep-26</v>
      </c>
      <c r="F57" s="9" t="str">
        <f t="shared" si="4"/>
        <v>Q3</v>
      </c>
      <c r="G57" s="9">
        <f t="shared" si="5"/>
        <v>25</v>
      </c>
      <c r="H57" s="9">
        <f t="shared" si="6"/>
        <v>5</v>
      </c>
      <c r="I57" s="9" t="str">
        <f t="shared" si="7"/>
        <v>Friday</v>
      </c>
      <c r="J57" s="9" t="str">
        <f t="shared" si="8"/>
        <v>No</v>
      </c>
      <c r="K57" s="5" t="str">
        <f>IF(COUNTIF(Bank_Holidays!A:A,A57)&gt;0,"Yes","No")</f>
        <v>No</v>
      </c>
      <c r="L57" t="str">
        <f t="shared" si="9"/>
        <v>Yes</v>
      </c>
      <c r="M57">
        <f t="shared" si="10"/>
        <v>39</v>
      </c>
      <c r="N57" s="5" t="str">
        <f t="shared" si="11"/>
        <v>No</v>
      </c>
      <c r="O57" t="str">
        <f>IF(A57=WORKDAY(EOMONTH(A57,0)+1,-1,Bank_Holidays!$A$2:$A$25),"Yes","No")</f>
        <v>No</v>
      </c>
      <c r="P57" t="str">
        <f t="shared" si="12"/>
        <v>Yes</v>
      </c>
      <c r="Q57" t="str">
        <f t="shared" si="13"/>
        <v>No</v>
      </c>
      <c r="R57" s="5">
        <f t="shared" si="15"/>
        <v>3</v>
      </c>
      <c r="S57">
        <f>MOD(A57-Fortnightly_Model!$M$1,14)</f>
        <v>6</v>
      </c>
      <c r="T57">
        <f>MOD(A57-FourWeekly_Model!$M$1,28)</f>
        <v>6</v>
      </c>
    </row>
    <row r="58" spans="1:20">
      <c r="A58" s="25">
        <f t="shared" si="14"/>
        <v>46291</v>
      </c>
      <c r="B58">
        <f t="shared" si="0"/>
        <v>2026</v>
      </c>
      <c r="C58" s="9">
        <f t="shared" si="1"/>
        <v>9</v>
      </c>
      <c r="D58" s="9" t="str">
        <f t="shared" si="2"/>
        <v>September</v>
      </c>
      <c r="E58" s="9" t="str">
        <f t="shared" si="3"/>
        <v>Sep-26</v>
      </c>
      <c r="F58" s="9" t="str">
        <f t="shared" si="4"/>
        <v>Q3</v>
      </c>
      <c r="G58" s="9">
        <f t="shared" si="5"/>
        <v>26</v>
      </c>
      <c r="H58" s="9">
        <f t="shared" si="6"/>
        <v>6</v>
      </c>
      <c r="I58" s="9" t="str">
        <f t="shared" si="7"/>
        <v>Saturday</v>
      </c>
      <c r="J58" s="9" t="str">
        <f t="shared" si="8"/>
        <v>Yes</v>
      </c>
      <c r="K58" s="5" t="str">
        <f>IF(COUNTIF(Bank_Holidays!A:A,A58)&gt;0,"Yes","No")</f>
        <v>No</v>
      </c>
      <c r="L58" t="str">
        <f t="shared" si="9"/>
        <v>No</v>
      </c>
      <c r="M58">
        <f t="shared" si="10"/>
        <v>39</v>
      </c>
      <c r="N58" s="5" t="str">
        <f t="shared" si="11"/>
        <v>No</v>
      </c>
      <c r="O58" t="str">
        <f>IF(A58=WORKDAY(EOMONTH(A58,0)+1,-1,Bank_Holidays!$A$2:$A$25),"Yes","No")</f>
        <v>No</v>
      </c>
      <c r="P58" t="str">
        <f t="shared" si="12"/>
        <v>No</v>
      </c>
      <c r="Q58" t="str">
        <f t="shared" si="13"/>
        <v>No</v>
      </c>
      <c r="R58" s="5">
        <f t="shared" si="15"/>
        <v>0</v>
      </c>
      <c r="S58">
        <f>MOD(A58-Fortnightly_Model!$M$1,14)</f>
        <v>7</v>
      </c>
      <c r="T58">
        <f>MOD(A58-FourWeekly_Model!$M$1,28)</f>
        <v>7</v>
      </c>
    </row>
    <row r="59" spans="1:20">
      <c r="A59" s="25">
        <f t="shared" si="14"/>
        <v>46292</v>
      </c>
      <c r="B59">
        <f t="shared" si="0"/>
        <v>2026</v>
      </c>
      <c r="C59" s="9">
        <f t="shared" si="1"/>
        <v>9</v>
      </c>
      <c r="D59" s="9" t="str">
        <f t="shared" si="2"/>
        <v>September</v>
      </c>
      <c r="E59" s="9" t="str">
        <f t="shared" si="3"/>
        <v>Sep-26</v>
      </c>
      <c r="F59" s="9" t="str">
        <f t="shared" si="4"/>
        <v>Q3</v>
      </c>
      <c r="G59" s="9">
        <f t="shared" si="5"/>
        <v>27</v>
      </c>
      <c r="H59" s="9">
        <f t="shared" si="6"/>
        <v>7</v>
      </c>
      <c r="I59" s="9" t="str">
        <f t="shared" si="7"/>
        <v>Sunday</v>
      </c>
      <c r="J59" s="9" t="str">
        <f t="shared" si="8"/>
        <v>Yes</v>
      </c>
      <c r="K59" s="5" t="str">
        <f>IF(COUNTIF(Bank_Holidays!A:A,A59)&gt;0,"Yes","No")</f>
        <v>No</v>
      </c>
      <c r="L59" t="str">
        <f t="shared" si="9"/>
        <v>No</v>
      </c>
      <c r="M59">
        <f t="shared" si="10"/>
        <v>39</v>
      </c>
      <c r="N59" s="5" t="str">
        <f t="shared" si="11"/>
        <v>No</v>
      </c>
      <c r="O59" t="str">
        <f>IF(A59=WORKDAY(EOMONTH(A59,0)+1,-1,Bank_Holidays!$A$2:$A$25),"Yes","No")</f>
        <v>No</v>
      </c>
      <c r="P59" t="str">
        <f t="shared" si="12"/>
        <v>No</v>
      </c>
      <c r="Q59" t="str">
        <f t="shared" si="13"/>
        <v>No</v>
      </c>
      <c r="R59" s="5">
        <f t="shared" si="15"/>
        <v>0</v>
      </c>
      <c r="S59">
        <f>MOD(A59-Fortnightly_Model!$M$1,14)</f>
        <v>8</v>
      </c>
      <c r="T59">
        <f>MOD(A59-FourWeekly_Model!$M$1,28)</f>
        <v>8</v>
      </c>
    </row>
    <row r="60" spans="1:20">
      <c r="A60" s="25">
        <f t="shared" si="14"/>
        <v>46293</v>
      </c>
      <c r="B60">
        <f t="shared" si="0"/>
        <v>2026</v>
      </c>
      <c r="C60" s="9">
        <f t="shared" si="1"/>
        <v>9</v>
      </c>
      <c r="D60" s="9" t="str">
        <f t="shared" si="2"/>
        <v>September</v>
      </c>
      <c r="E60" s="9" t="str">
        <f t="shared" si="3"/>
        <v>Sep-26</v>
      </c>
      <c r="F60" s="9" t="str">
        <f t="shared" si="4"/>
        <v>Q3</v>
      </c>
      <c r="G60" s="9">
        <f t="shared" si="5"/>
        <v>28</v>
      </c>
      <c r="H60" s="9">
        <f t="shared" si="6"/>
        <v>1</v>
      </c>
      <c r="I60" s="9" t="str">
        <f t="shared" si="7"/>
        <v>Monday</v>
      </c>
      <c r="J60" s="9" t="str">
        <f t="shared" si="8"/>
        <v>No</v>
      </c>
      <c r="K60" s="5" t="str">
        <f>IF(COUNTIF(Bank_Holidays!A:A,A60)&gt;0,"Yes","No")</f>
        <v>No</v>
      </c>
      <c r="L60" t="str">
        <f t="shared" si="9"/>
        <v>Yes</v>
      </c>
      <c r="M60">
        <f t="shared" si="10"/>
        <v>40</v>
      </c>
      <c r="N60" s="5" t="str">
        <f t="shared" si="11"/>
        <v>No</v>
      </c>
      <c r="O60" t="str">
        <f>IF(A60=WORKDAY(EOMONTH(A60,0)+1,-1,Bank_Holidays!$A$2:$A$25),"Yes","No")</f>
        <v>No</v>
      </c>
      <c r="P60" t="str">
        <f t="shared" si="12"/>
        <v>No</v>
      </c>
      <c r="Q60" t="str">
        <f t="shared" si="13"/>
        <v>No</v>
      </c>
      <c r="R60" s="5">
        <f t="shared" si="15"/>
        <v>1</v>
      </c>
      <c r="S60">
        <f>MOD(A60-Fortnightly_Model!$M$1,14)</f>
        <v>9</v>
      </c>
      <c r="T60">
        <f>MOD(A60-FourWeekly_Model!$M$1,28)</f>
        <v>9</v>
      </c>
    </row>
    <row r="61" spans="1:20">
      <c r="A61" s="25">
        <f t="shared" si="14"/>
        <v>46294</v>
      </c>
      <c r="B61">
        <f t="shared" si="0"/>
        <v>2026</v>
      </c>
      <c r="C61" s="9">
        <f t="shared" si="1"/>
        <v>9</v>
      </c>
      <c r="D61" s="9" t="str">
        <f t="shared" si="2"/>
        <v>September</v>
      </c>
      <c r="E61" s="9" t="str">
        <f t="shared" si="3"/>
        <v>Sep-26</v>
      </c>
      <c r="F61" s="9" t="str">
        <f t="shared" si="4"/>
        <v>Q3</v>
      </c>
      <c r="G61" s="9">
        <f t="shared" si="5"/>
        <v>29</v>
      </c>
      <c r="H61" s="9">
        <f t="shared" si="6"/>
        <v>2</v>
      </c>
      <c r="I61" s="9" t="str">
        <f t="shared" si="7"/>
        <v>Tuesday</v>
      </c>
      <c r="J61" s="9" t="str">
        <f t="shared" si="8"/>
        <v>No</v>
      </c>
      <c r="K61" s="5" t="str">
        <f>IF(COUNTIF(Bank_Holidays!A:A,A61)&gt;0,"Yes","No")</f>
        <v>No</v>
      </c>
      <c r="L61" t="str">
        <f t="shared" si="9"/>
        <v>Yes</v>
      </c>
      <c r="M61">
        <f t="shared" si="10"/>
        <v>40</v>
      </c>
      <c r="N61" s="5" t="str">
        <f t="shared" si="11"/>
        <v>No</v>
      </c>
      <c r="O61" t="str">
        <f>IF(A61=WORKDAY(EOMONTH(A61,0)+1,-1,Bank_Holidays!$A$2:$A$25),"Yes","No")</f>
        <v>No</v>
      </c>
      <c r="P61" t="str">
        <f t="shared" si="12"/>
        <v>No</v>
      </c>
      <c r="Q61" t="str">
        <f t="shared" si="13"/>
        <v>No</v>
      </c>
      <c r="R61" s="5">
        <f t="shared" si="15"/>
        <v>1</v>
      </c>
      <c r="S61">
        <f>MOD(A61-Fortnightly_Model!$M$1,14)</f>
        <v>10</v>
      </c>
      <c r="T61">
        <f>MOD(A61-FourWeekly_Model!$M$1,28)</f>
        <v>10</v>
      </c>
    </row>
    <row r="62" spans="1:20">
      <c r="A62" s="25">
        <f t="shared" si="14"/>
        <v>46295</v>
      </c>
      <c r="B62">
        <f t="shared" si="0"/>
        <v>2026</v>
      </c>
      <c r="C62" s="9">
        <f t="shared" si="1"/>
        <v>9</v>
      </c>
      <c r="D62" s="9" t="str">
        <f t="shared" si="2"/>
        <v>September</v>
      </c>
      <c r="E62" s="9" t="str">
        <f t="shared" si="3"/>
        <v>Sep-26</v>
      </c>
      <c r="F62" s="9" t="str">
        <f t="shared" si="4"/>
        <v>Q3</v>
      </c>
      <c r="G62" s="9">
        <f t="shared" si="5"/>
        <v>30</v>
      </c>
      <c r="H62" s="9">
        <f t="shared" si="6"/>
        <v>3</v>
      </c>
      <c r="I62" s="9" t="str">
        <f t="shared" si="7"/>
        <v>Wednesday</v>
      </c>
      <c r="J62" s="9" t="str">
        <f t="shared" si="8"/>
        <v>No</v>
      </c>
      <c r="K62" s="5" t="str">
        <f>IF(COUNTIF(Bank_Holidays!A:A,A62)&gt;0,"Yes","No")</f>
        <v>No</v>
      </c>
      <c r="L62" t="str">
        <f t="shared" si="9"/>
        <v>Yes</v>
      </c>
      <c r="M62">
        <f t="shared" si="10"/>
        <v>40</v>
      </c>
      <c r="N62" s="5" t="str">
        <f t="shared" si="11"/>
        <v>Yes</v>
      </c>
      <c r="O62" t="str">
        <f>IF(A62=WORKDAY(EOMONTH(A62,0)+1,-1,Bank_Holidays!$A$2:$A$25),"Yes","No")</f>
        <v>Yes</v>
      </c>
      <c r="P62" t="str">
        <f t="shared" si="12"/>
        <v>No</v>
      </c>
      <c r="Q62" t="str">
        <f t="shared" si="13"/>
        <v>No</v>
      </c>
      <c r="R62" s="5">
        <f t="shared" si="15"/>
        <v>1</v>
      </c>
      <c r="S62">
        <f>MOD(A62-Fortnightly_Model!$M$1,14)</f>
        <v>11</v>
      </c>
      <c r="T62">
        <f>MOD(A62-FourWeekly_Model!$M$1,28)</f>
        <v>11</v>
      </c>
    </row>
    <row r="63" spans="1:20">
      <c r="A63" s="25">
        <f t="shared" si="14"/>
        <v>46296</v>
      </c>
      <c r="B63">
        <f t="shared" si="0"/>
        <v>2026</v>
      </c>
      <c r="C63" s="9">
        <f t="shared" si="1"/>
        <v>10</v>
      </c>
      <c r="D63" s="9" t="str">
        <f t="shared" si="2"/>
        <v>October</v>
      </c>
      <c r="E63" s="9" t="str">
        <f t="shared" si="3"/>
        <v>Oct-26</v>
      </c>
      <c r="F63" s="9" t="str">
        <f t="shared" si="4"/>
        <v>Q4</v>
      </c>
      <c r="G63" s="9">
        <f t="shared" si="5"/>
        <v>1</v>
      </c>
      <c r="H63" s="9">
        <f t="shared" si="6"/>
        <v>4</v>
      </c>
      <c r="I63" s="9" t="str">
        <f t="shared" si="7"/>
        <v>Thursday</v>
      </c>
      <c r="J63" s="9" t="str">
        <f t="shared" si="8"/>
        <v>No</v>
      </c>
      <c r="K63" s="5" t="str">
        <f>IF(COUNTIF(Bank_Holidays!A:A,A63)&gt;0,"Yes","No")</f>
        <v>No</v>
      </c>
      <c r="L63" t="str">
        <f t="shared" si="9"/>
        <v>Yes</v>
      </c>
      <c r="M63">
        <f t="shared" si="10"/>
        <v>40</v>
      </c>
      <c r="N63" s="5" t="str">
        <f t="shared" si="11"/>
        <v>No</v>
      </c>
      <c r="O63" t="str">
        <f>IF(A63=WORKDAY(EOMONTH(A63,0)+1,-1,Bank_Holidays!$A$2:$A$25),"Yes","No")</f>
        <v>No</v>
      </c>
      <c r="P63" t="str">
        <f t="shared" si="12"/>
        <v>No</v>
      </c>
      <c r="Q63" t="str">
        <f t="shared" si="13"/>
        <v>No</v>
      </c>
      <c r="R63" s="5">
        <f t="shared" si="15"/>
        <v>1</v>
      </c>
      <c r="S63">
        <f>MOD(A63-Fortnightly_Model!$M$1,14)</f>
        <v>12</v>
      </c>
      <c r="T63">
        <f>MOD(A63-FourWeekly_Model!$M$1,28)</f>
        <v>12</v>
      </c>
    </row>
    <row r="64" spans="1:20">
      <c r="A64" s="25">
        <f t="shared" si="14"/>
        <v>46297</v>
      </c>
      <c r="B64">
        <f t="shared" si="0"/>
        <v>2026</v>
      </c>
      <c r="C64" s="9">
        <f t="shared" si="1"/>
        <v>10</v>
      </c>
      <c r="D64" s="9" t="str">
        <f t="shared" si="2"/>
        <v>October</v>
      </c>
      <c r="E64" s="9" t="str">
        <f t="shared" si="3"/>
        <v>Oct-26</v>
      </c>
      <c r="F64" s="9" t="str">
        <f t="shared" si="4"/>
        <v>Q4</v>
      </c>
      <c r="G64" s="9">
        <f t="shared" si="5"/>
        <v>2</v>
      </c>
      <c r="H64" s="9">
        <f t="shared" si="6"/>
        <v>5</v>
      </c>
      <c r="I64" s="9" t="str">
        <f t="shared" si="7"/>
        <v>Friday</v>
      </c>
      <c r="J64" s="9" t="str">
        <f t="shared" si="8"/>
        <v>No</v>
      </c>
      <c r="K64" s="5" t="str">
        <f>IF(COUNTIF(Bank_Holidays!A:A,A64)&gt;0,"Yes","No")</f>
        <v>No</v>
      </c>
      <c r="L64" t="str">
        <f t="shared" si="9"/>
        <v>Yes</v>
      </c>
      <c r="M64">
        <f t="shared" si="10"/>
        <v>40</v>
      </c>
      <c r="N64" s="5" t="str">
        <f t="shared" si="11"/>
        <v>No</v>
      </c>
      <c r="O64" t="str">
        <f>IF(A64=WORKDAY(EOMONTH(A64,0)+1,-1,Bank_Holidays!$A$2:$A$25),"Yes","No")</f>
        <v>No</v>
      </c>
      <c r="P64" t="str">
        <f t="shared" si="12"/>
        <v>No</v>
      </c>
      <c r="Q64" t="str">
        <f t="shared" si="13"/>
        <v>No</v>
      </c>
      <c r="R64" s="5">
        <f t="shared" si="15"/>
        <v>3</v>
      </c>
      <c r="S64">
        <f>MOD(A64-Fortnightly_Model!$M$1,14)</f>
        <v>13</v>
      </c>
      <c r="T64">
        <f>MOD(A64-FourWeekly_Model!$M$1,28)</f>
        <v>13</v>
      </c>
    </row>
    <row r="65" spans="1:20">
      <c r="A65" s="25">
        <f t="shared" si="14"/>
        <v>46298</v>
      </c>
      <c r="B65">
        <f t="shared" si="0"/>
        <v>2026</v>
      </c>
      <c r="C65" s="9">
        <f t="shared" si="1"/>
        <v>10</v>
      </c>
      <c r="D65" s="9" t="str">
        <f t="shared" si="2"/>
        <v>October</v>
      </c>
      <c r="E65" s="9" t="str">
        <f t="shared" si="3"/>
        <v>Oct-26</v>
      </c>
      <c r="F65" s="9" t="str">
        <f t="shared" si="4"/>
        <v>Q4</v>
      </c>
      <c r="G65" s="9">
        <f t="shared" si="5"/>
        <v>3</v>
      </c>
      <c r="H65" s="9">
        <f t="shared" si="6"/>
        <v>6</v>
      </c>
      <c r="I65" s="9" t="str">
        <f t="shared" si="7"/>
        <v>Saturday</v>
      </c>
      <c r="J65" s="9" t="str">
        <f t="shared" si="8"/>
        <v>Yes</v>
      </c>
      <c r="K65" s="5" t="str">
        <f>IF(COUNTIF(Bank_Holidays!A:A,A65)&gt;0,"Yes","No")</f>
        <v>No</v>
      </c>
      <c r="L65" t="str">
        <f t="shared" si="9"/>
        <v>No</v>
      </c>
      <c r="M65">
        <f t="shared" si="10"/>
        <v>40</v>
      </c>
      <c r="N65" s="5" t="str">
        <f t="shared" si="11"/>
        <v>No</v>
      </c>
      <c r="O65" t="str">
        <f>IF(A65=WORKDAY(EOMONTH(A65,0)+1,-1,Bank_Holidays!$A$2:$A$25),"Yes","No")</f>
        <v>No</v>
      </c>
      <c r="P65" t="str">
        <f t="shared" si="12"/>
        <v>No</v>
      </c>
      <c r="Q65" t="str">
        <f t="shared" si="13"/>
        <v>No</v>
      </c>
      <c r="R65" s="5">
        <f t="shared" si="15"/>
        <v>0</v>
      </c>
      <c r="S65">
        <f>MOD(A65-Fortnightly_Model!$M$1,14)</f>
        <v>0</v>
      </c>
      <c r="T65">
        <f>MOD(A65-FourWeekly_Model!$M$1,28)</f>
        <v>14</v>
      </c>
    </row>
    <row r="66" spans="1:20">
      <c r="A66" s="25">
        <f t="shared" si="14"/>
        <v>46299</v>
      </c>
      <c r="B66">
        <f t="shared" ref="B66:B129" si="16">YEAR(A66)</f>
        <v>2026</v>
      </c>
      <c r="C66" s="9">
        <f t="shared" ref="C66:C129" si="17">MONTH(A66)</f>
        <v>10</v>
      </c>
      <c r="D66" s="9" t="str">
        <f t="shared" ref="D66:D129" si="18">TEXT(A66,"mmmm")</f>
        <v>October</v>
      </c>
      <c r="E66" s="9" t="str">
        <f t="shared" ref="E66:E129" si="19">TEXT(A66,"mmm-yy")</f>
        <v>Oct-26</v>
      </c>
      <c r="F66" s="9" t="str">
        <f t="shared" ref="F66:F129" si="20">"Q"&amp;ROUNDUP(MONTH($A66)/3,0)</f>
        <v>Q4</v>
      </c>
      <c r="G66" s="9">
        <f t="shared" ref="G66:G129" si="21">DAY($A66)</f>
        <v>4</v>
      </c>
      <c r="H66" s="9">
        <f t="shared" ref="H66:H129" si="22">WEEKDAY($A66,2)</f>
        <v>7</v>
      </c>
      <c r="I66" s="9" t="str">
        <f t="shared" ref="I66:I129" si="23">TEXT($A66,"dddd")</f>
        <v>Sunday</v>
      </c>
      <c r="J66" s="9" t="str">
        <f t="shared" ref="J66:J129" si="24">IF($H66&gt;5,"Yes","No")</f>
        <v>Yes</v>
      </c>
      <c r="K66" s="5" t="str">
        <f>IF(COUNTIF(Bank_Holidays!A:A,A66)&gt;0,"Yes","No")</f>
        <v>No</v>
      </c>
      <c r="L66" t="str">
        <f t="shared" ref="L66:L129" si="25">IF(AND(J66="No",K66="No"),"Yes","No")</f>
        <v>No</v>
      </c>
      <c r="M66">
        <f t="shared" ref="M66:M129" si="26">_xlfn.ISOWEEKNUM(A66)</f>
        <v>40</v>
      </c>
      <c r="N66" s="5" t="str">
        <f t="shared" ref="N66:N129" si="27">IF(A66=EOMONTH(A66,0),"Yes","No")</f>
        <v>No</v>
      </c>
      <c r="O66" t="str">
        <f>IF(A66=WORKDAY(EOMONTH(A66,0)+1,-1,Bank_Holidays!$A$2:$A$25),"Yes","No")</f>
        <v>No</v>
      </c>
      <c r="P66" t="str">
        <f t="shared" ref="P66:P129" si="28">IF(
AND(
TEXT(A66,"dddd")="Friday",
MONTH(A66+7)&lt;&gt;MONTH(A66)
),
"Yes",
"No"
)</f>
        <v>No</v>
      </c>
      <c r="Q66" t="str">
        <f t="shared" ref="Q66:Q129" si="29">IF(
AND(
TEXT(A66,"dddd")="Thursday",
MONTH(A66+7)&lt;&gt;MONTH(A66)
),
"Yes",
"No"
)</f>
        <v>No</v>
      </c>
      <c r="R66" s="5">
        <f t="shared" si="15"/>
        <v>0</v>
      </c>
      <c r="S66">
        <f>MOD(A66-Fortnightly_Model!$M$1,14)</f>
        <v>1</v>
      </c>
      <c r="T66">
        <f>MOD(A66-FourWeekly_Model!$M$1,28)</f>
        <v>15</v>
      </c>
    </row>
    <row r="67" spans="1:20">
      <c r="A67" s="25">
        <f t="shared" ref="A67:A130" si="30">A66+1</f>
        <v>46300</v>
      </c>
      <c r="B67">
        <f t="shared" si="16"/>
        <v>2026</v>
      </c>
      <c r="C67" s="9">
        <f t="shared" si="17"/>
        <v>10</v>
      </c>
      <c r="D67" s="9" t="str">
        <f t="shared" si="18"/>
        <v>October</v>
      </c>
      <c r="E67" s="9" t="str">
        <f t="shared" si="19"/>
        <v>Oct-26</v>
      </c>
      <c r="F67" s="9" t="str">
        <f t="shared" si="20"/>
        <v>Q4</v>
      </c>
      <c r="G67" s="9">
        <f t="shared" si="21"/>
        <v>5</v>
      </c>
      <c r="H67" s="9">
        <f t="shared" si="22"/>
        <v>1</v>
      </c>
      <c r="I67" s="9" t="str">
        <f t="shared" si="23"/>
        <v>Monday</v>
      </c>
      <c r="J67" s="9" t="str">
        <f t="shared" si="24"/>
        <v>No</v>
      </c>
      <c r="K67" s="5" t="str">
        <f>IF(COUNTIF(Bank_Holidays!A:A,A67)&gt;0,"Yes","No")</f>
        <v>No</v>
      </c>
      <c r="L67" t="str">
        <f t="shared" si="25"/>
        <v>Yes</v>
      </c>
      <c r="M67">
        <f t="shared" si="26"/>
        <v>41</v>
      </c>
      <c r="N67" s="5" t="str">
        <f t="shared" si="27"/>
        <v>No</v>
      </c>
      <c r="O67" t="str">
        <f>IF(A67=WORKDAY(EOMONTH(A67,0)+1,-1,Bank_Holidays!$A$2:$A$25),"Yes","No")</f>
        <v>No</v>
      </c>
      <c r="P67" t="str">
        <f t="shared" si="28"/>
        <v>No</v>
      </c>
      <c r="Q67" t="str">
        <f t="shared" si="29"/>
        <v>No</v>
      </c>
      <c r="R67" s="5">
        <f t="shared" ref="R67:R130" si="31">IF(L67="yes",1)+IF(L67="no",0,IF(AND(L72="no",L71="no",L70="no",L69="no",L68="no"),5,IF(AND(L71="no",L70="no",L69="no",L68="no"),4,IF(AND(L70="no",L69="no",L68="no"),3,IF(AND(L69="no",L68="no"),2,IF(L68="no",1))))))</f>
        <v>1</v>
      </c>
      <c r="S67">
        <f>MOD(A67-Fortnightly_Model!$M$1,14)</f>
        <v>2</v>
      </c>
      <c r="T67">
        <f>MOD(A67-FourWeekly_Model!$M$1,28)</f>
        <v>16</v>
      </c>
    </row>
    <row r="68" spans="1:20">
      <c r="A68" s="25">
        <f t="shared" si="30"/>
        <v>46301</v>
      </c>
      <c r="B68">
        <f t="shared" si="16"/>
        <v>2026</v>
      </c>
      <c r="C68" s="9">
        <f t="shared" si="17"/>
        <v>10</v>
      </c>
      <c r="D68" s="9" t="str">
        <f t="shared" si="18"/>
        <v>October</v>
      </c>
      <c r="E68" s="9" t="str">
        <f t="shared" si="19"/>
        <v>Oct-26</v>
      </c>
      <c r="F68" s="9" t="str">
        <f t="shared" si="20"/>
        <v>Q4</v>
      </c>
      <c r="G68" s="9">
        <f t="shared" si="21"/>
        <v>6</v>
      </c>
      <c r="H68" s="9">
        <f t="shared" si="22"/>
        <v>2</v>
      </c>
      <c r="I68" s="9" t="str">
        <f t="shared" si="23"/>
        <v>Tuesday</v>
      </c>
      <c r="J68" s="9" t="str">
        <f t="shared" si="24"/>
        <v>No</v>
      </c>
      <c r="K68" s="5" t="str">
        <f>IF(COUNTIF(Bank_Holidays!A:A,A68)&gt;0,"Yes","No")</f>
        <v>No</v>
      </c>
      <c r="L68" t="str">
        <f t="shared" si="25"/>
        <v>Yes</v>
      </c>
      <c r="M68">
        <f t="shared" si="26"/>
        <v>41</v>
      </c>
      <c r="N68" s="5" t="str">
        <f t="shared" si="27"/>
        <v>No</v>
      </c>
      <c r="O68" t="str">
        <f>IF(A68=WORKDAY(EOMONTH(A68,0)+1,-1,Bank_Holidays!$A$2:$A$25),"Yes","No")</f>
        <v>No</v>
      </c>
      <c r="P68" t="str">
        <f t="shared" si="28"/>
        <v>No</v>
      </c>
      <c r="Q68" t="str">
        <f t="shared" si="29"/>
        <v>No</v>
      </c>
      <c r="R68" s="5">
        <f t="shared" si="31"/>
        <v>1</v>
      </c>
      <c r="S68">
        <f>MOD(A68-Fortnightly_Model!$M$1,14)</f>
        <v>3</v>
      </c>
      <c r="T68">
        <f>MOD(A68-FourWeekly_Model!$M$1,28)</f>
        <v>17</v>
      </c>
    </row>
    <row r="69" spans="1:20">
      <c r="A69" s="25">
        <f t="shared" si="30"/>
        <v>46302</v>
      </c>
      <c r="B69">
        <f t="shared" si="16"/>
        <v>2026</v>
      </c>
      <c r="C69" s="9">
        <f t="shared" si="17"/>
        <v>10</v>
      </c>
      <c r="D69" s="9" t="str">
        <f t="shared" si="18"/>
        <v>October</v>
      </c>
      <c r="E69" s="9" t="str">
        <f t="shared" si="19"/>
        <v>Oct-26</v>
      </c>
      <c r="F69" s="9" t="str">
        <f t="shared" si="20"/>
        <v>Q4</v>
      </c>
      <c r="G69" s="9">
        <f t="shared" si="21"/>
        <v>7</v>
      </c>
      <c r="H69" s="9">
        <f t="shared" si="22"/>
        <v>3</v>
      </c>
      <c r="I69" s="9" t="str">
        <f t="shared" si="23"/>
        <v>Wednesday</v>
      </c>
      <c r="J69" s="9" t="str">
        <f t="shared" si="24"/>
        <v>No</v>
      </c>
      <c r="K69" s="5" t="str">
        <f>IF(COUNTIF(Bank_Holidays!A:A,A69)&gt;0,"Yes","No")</f>
        <v>No</v>
      </c>
      <c r="L69" t="str">
        <f t="shared" si="25"/>
        <v>Yes</v>
      </c>
      <c r="M69">
        <f t="shared" si="26"/>
        <v>41</v>
      </c>
      <c r="N69" s="5" t="str">
        <f t="shared" si="27"/>
        <v>No</v>
      </c>
      <c r="O69" t="str">
        <f>IF(A69=WORKDAY(EOMONTH(A69,0)+1,-1,Bank_Holidays!$A$2:$A$25),"Yes","No")</f>
        <v>No</v>
      </c>
      <c r="P69" t="str">
        <f t="shared" si="28"/>
        <v>No</v>
      </c>
      <c r="Q69" t="str">
        <f t="shared" si="29"/>
        <v>No</v>
      </c>
      <c r="R69" s="5">
        <f t="shared" si="31"/>
        <v>1</v>
      </c>
      <c r="S69">
        <f>MOD(A69-Fortnightly_Model!$M$1,14)</f>
        <v>4</v>
      </c>
      <c r="T69">
        <f>MOD(A69-FourWeekly_Model!$M$1,28)</f>
        <v>18</v>
      </c>
    </row>
    <row r="70" spans="1:20">
      <c r="A70" s="25">
        <f t="shared" si="30"/>
        <v>46303</v>
      </c>
      <c r="B70">
        <f t="shared" si="16"/>
        <v>2026</v>
      </c>
      <c r="C70" s="9">
        <f t="shared" si="17"/>
        <v>10</v>
      </c>
      <c r="D70" s="9" t="str">
        <f t="shared" si="18"/>
        <v>October</v>
      </c>
      <c r="E70" s="9" t="str">
        <f t="shared" si="19"/>
        <v>Oct-26</v>
      </c>
      <c r="F70" s="9" t="str">
        <f t="shared" si="20"/>
        <v>Q4</v>
      </c>
      <c r="G70" s="9">
        <f t="shared" si="21"/>
        <v>8</v>
      </c>
      <c r="H70" s="9">
        <f t="shared" si="22"/>
        <v>4</v>
      </c>
      <c r="I70" s="9" t="str">
        <f t="shared" si="23"/>
        <v>Thursday</v>
      </c>
      <c r="J70" s="9" t="str">
        <f t="shared" si="24"/>
        <v>No</v>
      </c>
      <c r="K70" s="5" t="str">
        <f>IF(COUNTIF(Bank_Holidays!A:A,A70)&gt;0,"Yes","No")</f>
        <v>No</v>
      </c>
      <c r="L70" t="str">
        <f t="shared" si="25"/>
        <v>Yes</v>
      </c>
      <c r="M70">
        <f t="shared" si="26"/>
        <v>41</v>
      </c>
      <c r="N70" s="5" t="str">
        <f t="shared" si="27"/>
        <v>No</v>
      </c>
      <c r="O70" t="str">
        <f>IF(A70=WORKDAY(EOMONTH(A70,0)+1,-1,Bank_Holidays!$A$2:$A$25),"Yes","No")</f>
        <v>No</v>
      </c>
      <c r="P70" t="str">
        <f t="shared" si="28"/>
        <v>No</v>
      </c>
      <c r="Q70" t="str">
        <f t="shared" si="29"/>
        <v>No</v>
      </c>
      <c r="R70" s="5">
        <f t="shared" si="31"/>
        <v>1</v>
      </c>
      <c r="S70">
        <f>MOD(A70-Fortnightly_Model!$M$1,14)</f>
        <v>5</v>
      </c>
      <c r="T70">
        <f>MOD(A70-FourWeekly_Model!$M$1,28)</f>
        <v>19</v>
      </c>
    </row>
    <row r="71" spans="1:20">
      <c r="A71" s="25">
        <f t="shared" si="30"/>
        <v>46304</v>
      </c>
      <c r="B71">
        <f t="shared" si="16"/>
        <v>2026</v>
      </c>
      <c r="C71" s="9">
        <f t="shared" si="17"/>
        <v>10</v>
      </c>
      <c r="D71" s="9" t="str">
        <f t="shared" si="18"/>
        <v>October</v>
      </c>
      <c r="E71" s="9" t="str">
        <f t="shared" si="19"/>
        <v>Oct-26</v>
      </c>
      <c r="F71" s="9" t="str">
        <f t="shared" si="20"/>
        <v>Q4</v>
      </c>
      <c r="G71" s="9">
        <f t="shared" si="21"/>
        <v>9</v>
      </c>
      <c r="H71" s="9">
        <f t="shared" si="22"/>
        <v>5</v>
      </c>
      <c r="I71" s="9" t="str">
        <f t="shared" si="23"/>
        <v>Friday</v>
      </c>
      <c r="J71" s="9" t="str">
        <f t="shared" si="24"/>
        <v>No</v>
      </c>
      <c r="K71" s="5" t="str">
        <f>IF(COUNTIF(Bank_Holidays!A:A,A71)&gt;0,"Yes","No")</f>
        <v>No</v>
      </c>
      <c r="L71" t="str">
        <f t="shared" si="25"/>
        <v>Yes</v>
      </c>
      <c r="M71">
        <f t="shared" si="26"/>
        <v>41</v>
      </c>
      <c r="N71" s="5" t="str">
        <f t="shared" si="27"/>
        <v>No</v>
      </c>
      <c r="O71" t="str">
        <f>IF(A71=WORKDAY(EOMONTH(A71,0)+1,-1,Bank_Holidays!$A$2:$A$25),"Yes","No")</f>
        <v>No</v>
      </c>
      <c r="P71" t="str">
        <f t="shared" si="28"/>
        <v>No</v>
      </c>
      <c r="Q71" t="str">
        <f t="shared" si="29"/>
        <v>No</v>
      </c>
      <c r="R71" s="5">
        <f t="shared" si="31"/>
        <v>3</v>
      </c>
      <c r="S71">
        <f>MOD(A71-Fortnightly_Model!$M$1,14)</f>
        <v>6</v>
      </c>
      <c r="T71">
        <f>MOD(A71-FourWeekly_Model!$M$1,28)</f>
        <v>20</v>
      </c>
    </row>
    <row r="72" spans="1:20">
      <c r="A72" s="25">
        <f t="shared" si="30"/>
        <v>46305</v>
      </c>
      <c r="B72">
        <f t="shared" si="16"/>
        <v>2026</v>
      </c>
      <c r="C72" s="9">
        <f t="shared" si="17"/>
        <v>10</v>
      </c>
      <c r="D72" s="9" t="str">
        <f t="shared" si="18"/>
        <v>October</v>
      </c>
      <c r="E72" s="9" t="str">
        <f t="shared" si="19"/>
        <v>Oct-26</v>
      </c>
      <c r="F72" s="9" t="str">
        <f t="shared" si="20"/>
        <v>Q4</v>
      </c>
      <c r="G72" s="9">
        <f t="shared" si="21"/>
        <v>10</v>
      </c>
      <c r="H72" s="9">
        <f t="shared" si="22"/>
        <v>6</v>
      </c>
      <c r="I72" s="9" t="str">
        <f t="shared" si="23"/>
        <v>Saturday</v>
      </c>
      <c r="J72" s="9" t="str">
        <f t="shared" si="24"/>
        <v>Yes</v>
      </c>
      <c r="K72" s="5" t="str">
        <f>IF(COUNTIF(Bank_Holidays!A:A,A72)&gt;0,"Yes","No")</f>
        <v>No</v>
      </c>
      <c r="L72" t="str">
        <f t="shared" si="25"/>
        <v>No</v>
      </c>
      <c r="M72">
        <f t="shared" si="26"/>
        <v>41</v>
      </c>
      <c r="N72" s="5" t="str">
        <f t="shared" si="27"/>
        <v>No</v>
      </c>
      <c r="O72" t="str">
        <f>IF(A72=WORKDAY(EOMONTH(A72,0)+1,-1,Bank_Holidays!$A$2:$A$25),"Yes","No")</f>
        <v>No</v>
      </c>
      <c r="P72" t="str">
        <f t="shared" si="28"/>
        <v>No</v>
      </c>
      <c r="Q72" t="str">
        <f t="shared" si="29"/>
        <v>No</v>
      </c>
      <c r="R72" s="5">
        <f t="shared" si="31"/>
        <v>0</v>
      </c>
      <c r="S72">
        <f>MOD(A72-Fortnightly_Model!$M$1,14)</f>
        <v>7</v>
      </c>
      <c r="T72">
        <f>MOD(A72-FourWeekly_Model!$M$1,28)</f>
        <v>21</v>
      </c>
    </row>
    <row r="73" spans="1:20">
      <c r="A73" s="25">
        <f t="shared" si="30"/>
        <v>46306</v>
      </c>
      <c r="B73">
        <f t="shared" si="16"/>
        <v>2026</v>
      </c>
      <c r="C73" s="9">
        <f t="shared" si="17"/>
        <v>10</v>
      </c>
      <c r="D73" s="9" t="str">
        <f t="shared" si="18"/>
        <v>October</v>
      </c>
      <c r="E73" s="9" t="str">
        <f t="shared" si="19"/>
        <v>Oct-26</v>
      </c>
      <c r="F73" s="9" t="str">
        <f t="shared" si="20"/>
        <v>Q4</v>
      </c>
      <c r="G73" s="9">
        <f t="shared" si="21"/>
        <v>11</v>
      </c>
      <c r="H73" s="9">
        <f t="shared" si="22"/>
        <v>7</v>
      </c>
      <c r="I73" s="9" t="str">
        <f t="shared" si="23"/>
        <v>Sunday</v>
      </c>
      <c r="J73" s="9" t="str">
        <f t="shared" si="24"/>
        <v>Yes</v>
      </c>
      <c r="K73" s="5" t="str">
        <f>IF(COUNTIF(Bank_Holidays!A:A,A73)&gt;0,"Yes","No")</f>
        <v>No</v>
      </c>
      <c r="L73" t="str">
        <f t="shared" si="25"/>
        <v>No</v>
      </c>
      <c r="M73">
        <f t="shared" si="26"/>
        <v>41</v>
      </c>
      <c r="N73" s="5" t="str">
        <f t="shared" si="27"/>
        <v>No</v>
      </c>
      <c r="O73" t="str">
        <f>IF(A73=WORKDAY(EOMONTH(A73,0)+1,-1,Bank_Holidays!$A$2:$A$25),"Yes","No")</f>
        <v>No</v>
      </c>
      <c r="P73" t="str">
        <f t="shared" si="28"/>
        <v>No</v>
      </c>
      <c r="Q73" t="str">
        <f t="shared" si="29"/>
        <v>No</v>
      </c>
      <c r="R73" s="5">
        <f t="shared" si="31"/>
        <v>0</v>
      </c>
      <c r="S73">
        <f>MOD(A73-Fortnightly_Model!$M$1,14)</f>
        <v>8</v>
      </c>
      <c r="T73">
        <f>MOD(A73-FourWeekly_Model!$M$1,28)</f>
        <v>22</v>
      </c>
    </row>
    <row r="74" spans="1:20">
      <c r="A74" s="25">
        <f t="shared" si="30"/>
        <v>46307</v>
      </c>
      <c r="B74">
        <f t="shared" si="16"/>
        <v>2026</v>
      </c>
      <c r="C74" s="9">
        <f t="shared" si="17"/>
        <v>10</v>
      </c>
      <c r="D74" s="9" t="str">
        <f t="shared" si="18"/>
        <v>October</v>
      </c>
      <c r="E74" s="9" t="str">
        <f t="shared" si="19"/>
        <v>Oct-26</v>
      </c>
      <c r="F74" s="9" t="str">
        <f t="shared" si="20"/>
        <v>Q4</v>
      </c>
      <c r="G74" s="9">
        <f t="shared" si="21"/>
        <v>12</v>
      </c>
      <c r="H74" s="9">
        <f t="shared" si="22"/>
        <v>1</v>
      </c>
      <c r="I74" s="9" t="str">
        <f t="shared" si="23"/>
        <v>Monday</v>
      </c>
      <c r="J74" s="9" t="str">
        <f t="shared" si="24"/>
        <v>No</v>
      </c>
      <c r="K74" s="5" t="str">
        <f>IF(COUNTIF(Bank_Holidays!A:A,A74)&gt;0,"Yes","No")</f>
        <v>No</v>
      </c>
      <c r="L74" t="str">
        <f t="shared" si="25"/>
        <v>Yes</v>
      </c>
      <c r="M74">
        <f t="shared" si="26"/>
        <v>42</v>
      </c>
      <c r="N74" s="5" t="str">
        <f t="shared" si="27"/>
        <v>No</v>
      </c>
      <c r="O74" t="str">
        <f>IF(A74=WORKDAY(EOMONTH(A74,0)+1,-1,Bank_Holidays!$A$2:$A$25),"Yes","No")</f>
        <v>No</v>
      </c>
      <c r="P74" t="str">
        <f t="shared" si="28"/>
        <v>No</v>
      </c>
      <c r="Q74" t="str">
        <f t="shared" si="29"/>
        <v>No</v>
      </c>
      <c r="R74" s="5">
        <f t="shared" si="31"/>
        <v>1</v>
      </c>
      <c r="S74">
        <f>MOD(A74-Fortnightly_Model!$M$1,14)</f>
        <v>9</v>
      </c>
      <c r="T74">
        <f>MOD(A74-FourWeekly_Model!$M$1,28)</f>
        <v>23</v>
      </c>
    </row>
    <row r="75" spans="1:20">
      <c r="A75" s="25">
        <f t="shared" si="30"/>
        <v>46308</v>
      </c>
      <c r="B75">
        <f t="shared" si="16"/>
        <v>2026</v>
      </c>
      <c r="C75" s="9">
        <f t="shared" si="17"/>
        <v>10</v>
      </c>
      <c r="D75" s="9" t="str">
        <f t="shared" si="18"/>
        <v>October</v>
      </c>
      <c r="E75" s="9" t="str">
        <f t="shared" si="19"/>
        <v>Oct-26</v>
      </c>
      <c r="F75" s="9" t="str">
        <f t="shared" si="20"/>
        <v>Q4</v>
      </c>
      <c r="G75" s="9">
        <f t="shared" si="21"/>
        <v>13</v>
      </c>
      <c r="H75" s="9">
        <f t="shared" si="22"/>
        <v>2</v>
      </c>
      <c r="I75" s="9" t="str">
        <f t="shared" si="23"/>
        <v>Tuesday</v>
      </c>
      <c r="J75" s="9" t="str">
        <f t="shared" si="24"/>
        <v>No</v>
      </c>
      <c r="K75" s="5" t="str">
        <f>IF(COUNTIF(Bank_Holidays!A:A,A75)&gt;0,"Yes","No")</f>
        <v>No</v>
      </c>
      <c r="L75" t="str">
        <f t="shared" si="25"/>
        <v>Yes</v>
      </c>
      <c r="M75">
        <f t="shared" si="26"/>
        <v>42</v>
      </c>
      <c r="N75" s="5" t="str">
        <f t="shared" si="27"/>
        <v>No</v>
      </c>
      <c r="O75" t="str">
        <f>IF(A75=WORKDAY(EOMONTH(A75,0)+1,-1,Bank_Holidays!$A$2:$A$25),"Yes","No")</f>
        <v>No</v>
      </c>
      <c r="P75" t="str">
        <f t="shared" si="28"/>
        <v>No</v>
      </c>
      <c r="Q75" t="str">
        <f t="shared" si="29"/>
        <v>No</v>
      </c>
      <c r="R75" s="5">
        <f t="shared" si="31"/>
        <v>1</v>
      </c>
      <c r="S75">
        <f>MOD(A75-Fortnightly_Model!$M$1,14)</f>
        <v>10</v>
      </c>
      <c r="T75">
        <f>MOD(A75-FourWeekly_Model!$M$1,28)</f>
        <v>24</v>
      </c>
    </row>
    <row r="76" spans="1:20">
      <c r="A76" s="25">
        <f t="shared" si="30"/>
        <v>46309</v>
      </c>
      <c r="B76">
        <f t="shared" si="16"/>
        <v>2026</v>
      </c>
      <c r="C76" s="9">
        <f t="shared" si="17"/>
        <v>10</v>
      </c>
      <c r="D76" s="9" t="str">
        <f t="shared" si="18"/>
        <v>October</v>
      </c>
      <c r="E76" s="9" t="str">
        <f t="shared" si="19"/>
        <v>Oct-26</v>
      </c>
      <c r="F76" s="9" t="str">
        <f t="shared" si="20"/>
        <v>Q4</v>
      </c>
      <c r="G76" s="9">
        <f t="shared" si="21"/>
        <v>14</v>
      </c>
      <c r="H76" s="9">
        <f t="shared" si="22"/>
        <v>3</v>
      </c>
      <c r="I76" s="9" t="str">
        <f t="shared" si="23"/>
        <v>Wednesday</v>
      </c>
      <c r="J76" s="9" t="str">
        <f t="shared" si="24"/>
        <v>No</v>
      </c>
      <c r="K76" s="5" t="str">
        <f>IF(COUNTIF(Bank_Holidays!A:A,A76)&gt;0,"Yes","No")</f>
        <v>No</v>
      </c>
      <c r="L76" t="str">
        <f t="shared" si="25"/>
        <v>Yes</v>
      </c>
      <c r="M76">
        <f t="shared" si="26"/>
        <v>42</v>
      </c>
      <c r="N76" s="5" t="str">
        <f t="shared" si="27"/>
        <v>No</v>
      </c>
      <c r="O76" t="str">
        <f>IF(A76=WORKDAY(EOMONTH(A76,0)+1,-1,Bank_Holidays!$A$2:$A$25),"Yes","No")</f>
        <v>No</v>
      </c>
      <c r="P76" t="str">
        <f t="shared" si="28"/>
        <v>No</v>
      </c>
      <c r="Q76" t="str">
        <f t="shared" si="29"/>
        <v>No</v>
      </c>
      <c r="R76" s="5">
        <f t="shared" si="31"/>
        <v>1</v>
      </c>
      <c r="S76">
        <f>MOD(A76-Fortnightly_Model!$M$1,14)</f>
        <v>11</v>
      </c>
      <c r="T76">
        <f>MOD(A76-FourWeekly_Model!$M$1,28)</f>
        <v>25</v>
      </c>
    </row>
    <row r="77" spans="1:20">
      <c r="A77" s="25">
        <f t="shared" si="30"/>
        <v>46310</v>
      </c>
      <c r="B77">
        <f t="shared" si="16"/>
        <v>2026</v>
      </c>
      <c r="C77" s="9">
        <f t="shared" si="17"/>
        <v>10</v>
      </c>
      <c r="D77" s="9" t="str">
        <f t="shared" si="18"/>
        <v>October</v>
      </c>
      <c r="E77" s="9" t="str">
        <f t="shared" si="19"/>
        <v>Oct-26</v>
      </c>
      <c r="F77" s="9" t="str">
        <f t="shared" si="20"/>
        <v>Q4</v>
      </c>
      <c r="G77" s="9">
        <f t="shared" si="21"/>
        <v>15</v>
      </c>
      <c r="H77" s="9">
        <f t="shared" si="22"/>
        <v>4</v>
      </c>
      <c r="I77" s="9" t="str">
        <f t="shared" si="23"/>
        <v>Thursday</v>
      </c>
      <c r="J77" s="9" t="str">
        <f t="shared" si="24"/>
        <v>No</v>
      </c>
      <c r="K77" s="5" t="str">
        <f>IF(COUNTIF(Bank_Holidays!A:A,A77)&gt;0,"Yes","No")</f>
        <v>No</v>
      </c>
      <c r="L77" t="str">
        <f t="shared" si="25"/>
        <v>Yes</v>
      </c>
      <c r="M77">
        <f t="shared" si="26"/>
        <v>42</v>
      </c>
      <c r="N77" s="5" t="str">
        <f t="shared" si="27"/>
        <v>No</v>
      </c>
      <c r="O77" t="str">
        <f>IF(A77=WORKDAY(EOMONTH(A77,0)+1,-1,Bank_Holidays!$A$2:$A$25),"Yes","No")</f>
        <v>No</v>
      </c>
      <c r="P77" t="str">
        <f t="shared" si="28"/>
        <v>No</v>
      </c>
      <c r="Q77" t="str">
        <f t="shared" si="29"/>
        <v>No</v>
      </c>
      <c r="R77" s="5">
        <f t="shared" si="31"/>
        <v>1</v>
      </c>
      <c r="S77">
        <f>MOD(A77-Fortnightly_Model!$M$1,14)</f>
        <v>12</v>
      </c>
      <c r="T77">
        <f>MOD(A77-FourWeekly_Model!$M$1,28)</f>
        <v>26</v>
      </c>
    </row>
    <row r="78" spans="1:20">
      <c r="A78" s="25">
        <f t="shared" si="30"/>
        <v>46311</v>
      </c>
      <c r="B78">
        <f t="shared" si="16"/>
        <v>2026</v>
      </c>
      <c r="C78" s="9">
        <f t="shared" si="17"/>
        <v>10</v>
      </c>
      <c r="D78" s="9" t="str">
        <f t="shared" si="18"/>
        <v>October</v>
      </c>
      <c r="E78" s="9" t="str">
        <f t="shared" si="19"/>
        <v>Oct-26</v>
      </c>
      <c r="F78" s="9" t="str">
        <f t="shared" si="20"/>
        <v>Q4</v>
      </c>
      <c r="G78" s="9">
        <f t="shared" si="21"/>
        <v>16</v>
      </c>
      <c r="H78" s="9">
        <f t="shared" si="22"/>
        <v>5</v>
      </c>
      <c r="I78" s="9" t="str">
        <f t="shared" si="23"/>
        <v>Friday</v>
      </c>
      <c r="J78" s="9" t="str">
        <f t="shared" si="24"/>
        <v>No</v>
      </c>
      <c r="K78" s="5" t="str">
        <f>IF(COUNTIF(Bank_Holidays!A:A,A78)&gt;0,"Yes","No")</f>
        <v>No</v>
      </c>
      <c r="L78" t="str">
        <f t="shared" si="25"/>
        <v>Yes</v>
      </c>
      <c r="M78">
        <f t="shared" si="26"/>
        <v>42</v>
      </c>
      <c r="N78" s="5" t="str">
        <f t="shared" si="27"/>
        <v>No</v>
      </c>
      <c r="O78" t="str">
        <f>IF(A78=WORKDAY(EOMONTH(A78,0)+1,-1,Bank_Holidays!$A$2:$A$25),"Yes","No")</f>
        <v>No</v>
      </c>
      <c r="P78" t="str">
        <f t="shared" si="28"/>
        <v>No</v>
      </c>
      <c r="Q78" t="str">
        <f t="shared" si="29"/>
        <v>No</v>
      </c>
      <c r="R78" s="5">
        <f t="shared" si="31"/>
        <v>3</v>
      </c>
      <c r="S78">
        <f>MOD(A78-Fortnightly_Model!$M$1,14)</f>
        <v>13</v>
      </c>
      <c r="T78">
        <f>MOD(A78-FourWeekly_Model!$M$1,28)</f>
        <v>27</v>
      </c>
    </row>
    <row r="79" spans="1:20">
      <c r="A79" s="25">
        <f t="shared" si="30"/>
        <v>46312</v>
      </c>
      <c r="B79">
        <f t="shared" si="16"/>
        <v>2026</v>
      </c>
      <c r="C79" s="9">
        <f t="shared" si="17"/>
        <v>10</v>
      </c>
      <c r="D79" s="9" t="str">
        <f t="shared" si="18"/>
        <v>October</v>
      </c>
      <c r="E79" s="9" t="str">
        <f t="shared" si="19"/>
        <v>Oct-26</v>
      </c>
      <c r="F79" s="9" t="str">
        <f t="shared" si="20"/>
        <v>Q4</v>
      </c>
      <c r="G79" s="9">
        <f t="shared" si="21"/>
        <v>17</v>
      </c>
      <c r="H79" s="9">
        <f t="shared" si="22"/>
        <v>6</v>
      </c>
      <c r="I79" s="9" t="str">
        <f t="shared" si="23"/>
        <v>Saturday</v>
      </c>
      <c r="J79" s="9" t="str">
        <f t="shared" si="24"/>
        <v>Yes</v>
      </c>
      <c r="K79" s="5" t="str">
        <f>IF(COUNTIF(Bank_Holidays!A:A,A79)&gt;0,"Yes","No")</f>
        <v>No</v>
      </c>
      <c r="L79" t="str">
        <f t="shared" si="25"/>
        <v>No</v>
      </c>
      <c r="M79">
        <f t="shared" si="26"/>
        <v>42</v>
      </c>
      <c r="N79" s="5" t="str">
        <f t="shared" si="27"/>
        <v>No</v>
      </c>
      <c r="O79" t="str">
        <f>IF(A79=WORKDAY(EOMONTH(A79,0)+1,-1,Bank_Holidays!$A$2:$A$25),"Yes","No")</f>
        <v>No</v>
      </c>
      <c r="P79" t="str">
        <f t="shared" si="28"/>
        <v>No</v>
      </c>
      <c r="Q79" t="str">
        <f t="shared" si="29"/>
        <v>No</v>
      </c>
      <c r="R79" s="5">
        <f t="shared" si="31"/>
        <v>0</v>
      </c>
      <c r="S79">
        <f>MOD(A79-Fortnightly_Model!$M$1,14)</f>
        <v>0</v>
      </c>
      <c r="T79">
        <f>MOD(A79-FourWeekly_Model!$M$1,28)</f>
        <v>0</v>
      </c>
    </row>
    <row r="80" spans="1:20">
      <c r="A80" s="25">
        <f t="shared" si="30"/>
        <v>46313</v>
      </c>
      <c r="B80">
        <f t="shared" si="16"/>
        <v>2026</v>
      </c>
      <c r="C80" s="9">
        <f t="shared" si="17"/>
        <v>10</v>
      </c>
      <c r="D80" s="9" t="str">
        <f t="shared" si="18"/>
        <v>October</v>
      </c>
      <c r="E80" s="9" t="str">
        <f t="shared" si="19"/>
        <v>Oct-26</v>
      </c>
      <c r="F80" s="9" t="str">
        <f t="shared" si="20"/>
        <v>Q4</v>
      </c>
      <c r="G80" s="9">
        <f t="shared" si="21"/>
        <v>18</v>
      </c>
      <c r="H80" s="9">
        <f t="shared" si="22"/>
        <v>7</v>
      </c>
      <c r="I80" s="9" t="str">
        <f t="shared" si="23"/>
        <v>Sunday</v>
      </c>
      <c r="J80" s="9" t="str">
        <f t="shared" si="24"/>
        <v>Yes</v>
      </c>
      <c r="K80" s="5" t="str">
        <f>IF(COUNTIF(Bank_Holidays!A:A,A80)&gt;0,"Yes","No")</f>
        <v>No</v>
      </c>
      <c r="L80" t="str">
        <f t="shared" si="25"/>
        <v>No</v>
      </c>
      <c r="M80">
        <f t="shared" si="26"/>
        <v>42</v>
      </c>
      <c r="N80" s="5" t="str">
        <f t="shared" si="27"/>
        <v>No</v>
      </c>
      <c r="O80" t="str">
        <f>IF(A80=WORKDAY(EOMONTH(A80,0)+1,-1,Bank_Holidays!$A$2:$A$25),"Yes","No")</f>
        <v>No</v>
      </c>
      <c r="P80" t="str">
        <f t="shared" si="28"/>
        <v>No</v>
      </c>
      <c r="Q80" t="str">
        <f t="shared" si="29"/>
        <v>No</v>
      </c>
      <c r="R80" s="5">
        <f t="shared" si="31"/>
        <v>0</v>
      </c>
      <c r="S80">
        <f>MOD(A80-Fortnightly_Model!$M$1,14)</f>
        <v>1</v>
      </c>
      <c r="T80">
        <f>MOD(A80-FourWeekly_Model!$M$1,28)</f>
        <v>1</v>
      </c>
    </row>
    <row r="81" spans="1:20">
      <c r="A81" s="25">
        <f t="shared" si="30"/>
        <v>46314</v>
      </c>
      <c r="B81">
        <f t="shared" si="16"/>
        <v>2026</v>
      </c>
      <c r="C81" s="9">
        <f t="shared" si="17"/>
        <v>10</v>
      </c>
      <c r="D81" s="9" t="str">
        <f t="shared" si="18"/>
        <v>October</v>
      </c>
      <c r="E81" s="9" t="str">
        <f t="shared" si="19"/>
        <v>Oct-26</v>
      </c>
      <c r="F81" s="9" t="str">
        <f t="shared" si="20"/>
        <v>Q4</v>
      </c>
      <c r="G81" s="9">
        <f t="shared" si="21"/>
        <v>19</v>
      </c>
      <c r="H81" s="9">
        <f t="shared" si="22"/>
        <v>1</v>
      </c>
      <c r="I81" s="9" t="str">
        <f t="shared" si="23"/>
        <v>Monday</v>
      </c>
      <c r="J81" s="9" t="str">
        <f t="shared" si="24"/>
        <v>No</v>
      </c>
      <c r="K81" s="5" t="str">
        <f>IF(COUNTIF(Bank_Holidays!A:A,A81)&gt;0,"Yes","No")</f>
        <v>No</v>
      </c>
      <c r="L81" t="str">
        <f t="shared" si="25"/>
        <v>Yes</v>
      </c>
      <c r="M81">
        <f t="shared" si="26"/>
        <v>43</v>
      </c>
      <c r="N81" s="5" t="str">
        <f t="shared" si="27"/>
        <v>No</v>
      </c>
      <c r="O81" t="str">
        <f>IF(A81=WORKDAY(EOMONTH(A81,0)+1,-1,Bank_Holidays!$A$2:$A$25),"Yes","No")</f>
        <v>No</v>
      </c>
      <c r="P81" t="str">
        <f t="shared" si="28"/>
        <v>No</v>
      </c>
      <c r="Q81" t="str">
        <f t="shared" si="29"/>
        <v>No</v>
      </c>
      <c r="R81" s="5">
        <f t="shared" si="31"/>
        <v>1</v>
      </c>
      <c r="S81">
        <f>MOD(A81-Fortnightly_Model!$M$1,14)</f>
        <v>2</v>
      </c>
      <c r="T81">
        <f>MOD(A81-FourWeekly_Model!$M$1,28)</f>
        <v>2</v>
      </c>
    </row>
    <row r="82" spans="1:20">
      <c r="A82" s="25">
        <f t="shared" si="30"/>
        <v>46315</v>
      </c>
      <c r="B82">
        <f t="shared" si="16"/>
        <v>2026</v>
      </c>
      <c r="C82" s="9">
        <f t="shared" si="17"/>
        <v>10</v>
      </c>
      <c r="D82" s="9" t="str">
        <f t="shared" si="18"/>
        <v>October</v>
      </c>
      <c r="E82" s="9" t="str">
        <f t="shared" si="19"/>
        <v>Oct-26</v>
      </c>
      <c r="F82" s="9" t="str">
        <f t="shared" si="20"/>
        <v>Q4</v>
      </c>
      <c r="G82" s="9">
        <f t="shared" si="21"/>
        <v>20</v>
      </c>
      <c r="H82" s="9">
        <f t="shared" si="22"/>
        <v>2</v>
      </c>
      <c r="I82" s="9" t="str">
        <f t="shared" si="23"/>
        <v>Tuesday</v>
      </c>
      <c r="J82" s="9" t="str">
        <f t="shared" si="24"/>
        <v>No</v>
      </c>
      <c r="K82" s="5" t="str">
        <f>IF(COUNTIF(Bank_Holidays!A:A,A82)&gt;0,"Yes","No")</f>
        <v>No</v>
      </c>
      <c r="L82" t="str">
        <f t="shared" si="25"/>
        <v>Yes</v>
      </c>
      <c r="M82">
        <f t="shared" si="26"/>
        <v>43</v>
      </c>
      <c r="N82" s="5" t="str">
        <f t="shared" si="27"/>
        <v>No</v>
      </c>
      <c r="O82" t="str">
        <f>IF(A82=WORKDAY(EOMONTH(A82,0)+1,-1,Bank_Holidays!$A$2:$A$25),"Yes","No")</f>
        <v>No</v>
      </c>
      <c r="P82" t="str">
        <f t="shared" si="28"/>
        <v>No</v>
      </c>
      <c r="Q82" t="str">
        <f t="shared" si="29"/>
        <v>No</v>
      </c>
      <c r="R82" s="5">
        <f t="shared" si="31"/>
        <v>1</v>
      </c>
      <c r="S82">
        <f>MOD(A82-Fortnightly_Model!$M$1,14)</f>
        <v>3</v>
      </c>
      <c r="T82">
        <f>MOD(A82-FourWeekly_Model!$M$1,28)</f>
        <v>3</v>
      </c>
    </row>
    <row r="83" spans="1:20">
      <c r="A83" s="25">
        <f t="shared" si="30"/>
        <v>46316</v>
      </c>
      <c r="B83">
        <f t="shared" si="16"/>
        <v>2026</v>
      </c>
      <c r="C83" s="9">
        <f t="shared" si="17"/>
        <v>10</v>
      </c>
      <c r="D83" s="9" t="str">
        <f t="shared" si="18"/>
        <v>October</v>
      </c>
      <c r="E83" s="9" t="str">
        <f t="shared" si="19"/>
        <v>Oct-26</v>
      </c>
      <c r="F83" s="9" t="str">
        <f t="shared" si="20"/>
        <v>Q4</v>
      </c>
      <c r="G83" s="9">
        <f t="shared" si="21"/>
        <v>21</v>
      </c>
      <c r="H83" s="9">
        <f t="shared" si="22"/>
        <v>3</v>
      </c>
      <c r="I83" s="9" t="str">
        <f t="shared" si="23"/>
        <v>Wednesday</v>
      </c>
      <c r="J83" s="9" t="str">
        <f t="shared" si="24"/>
        <v>No</v>
      </c>
      <c r="K83" s="5" t="str">
        <f>IF(COUNTIF(Bank_Holidays!A:A,A83)&gt;0,"Yes","No")</f>
        <v>No</v>
      </c>
      <c r="L83" t="str">
        <f t="shared" si="25"/>
        <v>Yes</v>
      </c>
      <c r="M83">
        <f t="shared" si="26"/>
        <v>43</v>
      </c>
      <c r="N83" s="5" t="str">
        <f t="shared" si="27"/>
        <v>No</v>
      </c>
      <c r="O83" t="str">
        <f>IF(A83=WORKDAY(EOMONTH(A83,0)+1,-1,Bank_Holidays!$A$2:$A$25),"Yes","No")</f>
        <v>No</v>
      </c>
      <c r="P83" t="str">
        <f t="shared" si="28"/>
        <v>No</v>
      </c>
      <c r="Q83" t="str">
        <f t="shared" si="29"/>
        <v>No</v>
      </c>
      <c r="R83" s="5">
        <f t="shared" si="31"/>
        <v>1</v>
      </c>
      <c r="S83">
        <f>MOD(A83-Fortnightly_Model!$M$1,14)</f>
        <v>4</v>
      </c>
      <c r="T83">
        <f>MOD(A83-FourWeekly_Model!$M$1,28)</f>
        <v>4</v>
      </c>
    </row>
    <row r="84" spans="1:20">
      <c r="A84" s="25">
        <f t="shared" si="30"/>
        <v>46317</v>
      </c>
      <c r="B84">
        <f t="shared" si="16"/>
        <v>2026</v>
      </c>
      <c r="C84" s="9">
        <f t="shared" si="17"/>
        <v>10</v>
      </c>
      <c r="D84" s="9" t="str">
        <f t="shared" si="18"/>
        <v>October</v>
      </c>
      <c r="E84" s="9" t="str">
        <f t="shared" si="19"/>
        <v>Oct-26</v>
      </c>
      <c r="F84" s="9" t="str">
        <f t="shared" si="20"/>
        <v>Q4</v>
      </c>
      <c r="G84" s="9">
        <f t="shared" si="21"/>
        <v>22</v>
      </c>
      <c r="H84" s="9">
        <f t="shared" si="22"/>
        <v>4</v>
      </c>
      <c r="I84" s="9" t="str">
        <f t="shared" si="23"/>
        <v>Thursday</v>
      </c>
      <c r="J84" s="9" t="str">
        <f t="shared" si="24"/>
        <v>No</v>
      </c>
      <c r="K84" s="5" t="str">
        <f>IF(COUNTIF(Bank_Holidays!A:A,A84)&gt;0,"Yes","No")</f>
        <v>No</v>
      </c>
      <c r="L84" t="str">
        <f t="shared" si="25"/>
        <v>Yes</v>
      </c>
      <c r="M84">
        <f t="shared" si="26"/>
        <v>43</v>
      </c>
      <c r="N84" s="5" t="str">
        <f t="shared" si="27"/>
        <v>No</v>
      </c>
      <c r="O84" t="str">
        <f>IF(A84=WORKDAY(EOMONTH(A84,0)+1,-1,Bank_Holidays!$A$2:$A$25),"Yes","No")</f>
        <v>No</v>
      </c>
      <c r="P84" t="str">
        <f t="shared" si="28"/>
        <v>No</v>
      </c>
      <c r="Q84" t="str">
        <f t="shared" si="29"/>
        <v>No</v>
      </c>
      <c r="R84" s="5">
        <f t="shared" si="31"/>
        <v>1</v>
      </c>
      <c r="S84">
        <f>MOD(A84-Fortnightly_Model!$M$1,14)</f>
        <v>5</v>
      </c>
      <c r="T84">
        <f>MOD(A84-FourWeekly_Model!$M$1,28)</f>
        <v>5</v>
      </c>
    </row>
    <row r="85" spans="1:20">
      <c r="A85" s="25">
        <f t="shared" si="30"/>
        <v>46318</v>
      </c>
      <c r="B85">
        <f t="shared" si="16"/>
        <v>2026</v>
      </c>
      <c r="C85" s="9">
        <f t="shared" si="17"/>
        <v>10</v>
      </c>
      <c r="D85" s="9" t="str">
        <f t="shared" si="18"/>
        <v>October</v>
      </c>
      <c r="E85" s="9" t="str">
        <f t="shared" si="19"/>
        <v>Oct-26</v>
      </c>
      <c r="F85" s="9" t="str">
        <f t="shared" si="20"/>
        <v>Q4</v>
      </c>
      <c r="G85" s="9">
        <f t="shared" si="21"/>
        <v>23</v>
      </c>
      <c r="H85" s="9">
        <f t="shared" si="22"/>
        <v>5</v>
      </c>
      <c r="I85" s="9" t="str">
        <f t="shared" si="23"/>
        <v>Friday</v>
      </c>
      <c r="J85" s="9" t="str">
        <f t="shared" si="24"/>
        <v>No</v>
      </c>
      <c r="K85" s="5" t="str">
        <f>IF(COUNTIF(Bank_Holidays!A:A,A85)&gt;0,"Yes","No")</f>
        <v>No</v>
      </c>
      <c r="L85" t="str">
        <f t="shared" si="25"/>
        <v>Yes</v>
      </c>
      <c r="M85">
        <f t="shared" si="26"/>
        <v>43</v>
      </c>
      <c r="N85" s="5" t="str">
        <f t="shared" si="27"/>
        <v>No</v>
      </c>
      <c r="O85" t="str">
        <f>IF(A85=WORKDAY(EOMONTH(A85,0)+1,-1,Bank_Holidays!$A$2:$A$25),"Yes","No")</f>
        <v>No</v>
      </c>
      <c r="P85" t="str">
        <f t="shared" si="28"/>
        <v>No</v>
      </c>
      <c r="Q85" t="str">
        <f t="shared" si="29"/>
        <v>No</v>
      </c>
      <c r="R85" s="5">
        <f t="shared" si="31"/>
        <v>3</v>
      </c>
      <c r="S85">
        <f>MOD(A85-Fortnightly_Model!$M$1,14)</f>
        <v>6</v>
      </c>
      <c r="T85">
        <f>MOD(A85-FourWeekly_Model!$M$1,28)</f>
        <v>6</v>
      </c>
    </row>
    <row r="86" spans="1:20">
      <c r="A86" s="25">
        <f t="shared" si="30"/>
        <v>46319</v>
      </c>
      <c r="B86">
        <f t="shared" si="16"/>
        <v>2026</v>
      </c>
      <c r="C86" s="9">
        <f t="shared" si="17"/>
        <v>10</v>
      </c>
      <c r="D86" s="9" t="str">
        <f t="shared" si="18"/>
        <v>October</v>
      </c>
      <c r="E86" s="9" t="str">
        <f t="shared" si="19"/>
        <v>Oct-26</v>
      </c>
      <c r="F86" s="9" t="str">
        <f t="shared" si="20"/>
        <v>Q4</v>
      </c>
      <c r="G86" s="9">
        <f t="shared" si="21"/>
        <v>24</v>
      </c>
      <c r="H86" s="9">
        <f t="shared" si="22"/>
        <v>6</v>
      </c>
      <c r="I86" s="9" t="str">
        <f t="shared" si="23"/>
        <v>Saturday</v>
      </c>
      <c r="J86" s="9" t="str">
        <f t="shared" si="24"/>
        <v>Yes</v>
      </c>
      <c r="K86" s="5" t="str">
        <f>IF(COUNTIF(Bank_Holidays!A:A,A86)&gt;0,"Yes","No")</f>
        <v>No</v>
      </c>
      <c r="L86" t="str">
        <f t="shared" si="25"/>
        <v>No</v>
      </c>
      <c r="M86">
        <f t="shared" si="26"/>
        <v>43</v>
      </c>
      <c r="N86" s="5" t="str">
        <f t="shared" si="27"/>
        <v>No</v>
      </c>
      <c r="O86" t="str">
        <f>IF(A86=WORKDAY(EOMONTH(A86,0)+1,-1,Bank_Holidays!$A$2:$A$25),"Yes","No")</f>
        <v>No</v>
      </c>
      <c r="P86" t="str">
        <f t="shared" si="28"/>
        <v>No</v>
      </c>
      <c r="Q86" t="str">
        <f t="shared" si="29"/>
        <v>No</v>
      </c>
      <c r="R86" s="5">
        <f t="shared" si="31"/>
        <v>0</v>
      </c>
      <c r="S86">
        <f>MOD(A86-Fortnightly_Model!$M$1,14)</f>
        <v>7</v>
      </c>
      <c r="T86">
        <f>MOD(A86-FourWeekly_Model!$M$1,28)</f>
        <v>7</v>
      </c>
    </row>
    <row r="87" spans="1:20">
      <c r="A87" s="25">
        <f t="shared" si="30"/>
        <v>46320</v>
      </c>
      <c r="B87">
        <f t="shared" si="16"/>
        <v>2026</v>
      </c>
      <c r="C87" s="9">
        <f t="shared" si="17"/>
        <v>10</v>
      </c>
      <c r="D87" s="9" t="str">
        <f t="shared" si="18"/>
        <v>October</v>
      </c>
      <c r="E87" s="9" t="str">
        <f t="shared" si="19"/>
        <v>Oct-26</v>
      </c>
      <c r="F87" s="9" t="str">
        <f t="shared" si="20"/>
        <v>Q4</v>
      </c>
      <c r="G87" s="9">
        <f t="shared" si="21"/>
        <v>25</v>
      </c>
      <c r="H87" s="9">
        <f t="shared" si="22"/>
        <v>7</v>
      </c>
      <c r="I87" s="9" t="str">
        <f t="shared" si="23"/>
        <v>Sunday</v>
      </c>
      <c r="J87" s="9" t="str">
        <f t="shared" si="24"/>
        <v>Yes</v>
      </c>
      <c r="K87" s="5" t="str">
        <f>IF(COUNTIF(Bank_Holidays!A:A,A87)&gt;0,"Yes","No")</f>
        <v>No</v>
      </c>
      <c r="L87" t="str">
        <f t="shared" si="25"/>
        <v>No</v>
      </c>
      <c r="M87">
        <f t="shared" si="26"/>
        <v>43</v>
      </c>
      <c r="N87" s="5" t="str">
        <f t="shared" si="27"/>
        <v>No</v>
      </c>
      <c r="O87" t="str">
        <f>IF(A87=WORKDAY(EOMONTH(A87,0)+1,-1,Bank_Holidays!$A$2:$A$25),"Yes","No")</f>
        <v>No</v>
      </c>
      <c r="P87" t="str">
        <f t="shared" si="28"/>
        <v>No</v>
      </c>
      <c r="Q87" t="str">
        <f t="shared" si="29"/>
        <v>No</v>
      </c>
      <c r="R87" s="5">
        <f t="shared" si="31"/>
        <v>0</v>
      </c>
      <c r="S87">
        <f>MOD(A87-Fortnightly_Model!$M$1,14)</f>
        <v>8</v>
      </c>
      <c r="T87">
        <f>MOD(A87-FourWeekly_Model!$M$1,28)</f>
        <v>8</v>
      </c>
    </row>
    <row r="88" spans="1:20">
      <c r="A88" s="25">
        <f t="shared" si="30"/>
        <v>46321</v>
      </c>
      <c r="B88">
        <f t="shared" si="16"/>
        <v>2026</v>
      </c>
      <c r="C88" s="9">
        <f t="shared" si="17"/>
        <v>10</v>
      </c>
      <c r="D88" s="9" t="str">
        <f t="shared" si="18"/>
        <v>October</v>
      </c>
      <c r="E88" s="9" t="str">
        <f t="shared" si="19"/>
        <v>Oct-26</v>
      </c>
      <c r="F88" s="9" t="str">
        <f t="shared" si="20"/>
        <v>Q4</v>
      </c>
      <c r="G88" s="9">
        <f t="shared" si="21"/>
        <v>26</v>
      </c>
      <c r="H88" s="9">
        <f t="shared" si="22"/>
        <v>1</v>
      </c>
      <c r="I88" s="9" t="str">
        <f t="shared" si="23"/>
        <v>Monday</v>
      </c>
      <c r="J88" s="9" t="str">
        <f t="shared" si="24"/>
        <v>No</v>
      </c>
      <c r="K88" s="5" t="str">
        <f>IF(COUNTIF(Bank_Holidays!A:A,A88)&gt;0,"Yes","No")</f>
        <v>No</v>
      </c>
      <c r="L88" t="str">
        <f t="shared" si="25"/>
        <v>Yes</v>
      </c>
      <c r="M88">
        <f t="shared" si="26"/>
        <v>44</v>
      </c>
      <c r="N88" s="5" t="str">
        <f t="shared" si="27"/>
        <v>No</v>
      </c>
      <c r="O88" t="str">
        <f>IF(A88=WORKDAY(EOMONTH(A88,0)+1,-1,Bank_Holidays!$A$2:$A$25),"Yes","No")</f>
        <v>No</v>
      </c>
      <c r="P88" t="str">
        <f t="shared" si="28"/>
        <v>No</v>
      </c>
      <c r="Q88" t="str">
        <f t="shared" si="29"/>
        <v>No</v>
      </c>
      <c r="R88" s="5">
        <f t="shared" si="31"/>
        <v>1</v>
      </c>
      <c r="S88">
        <f>MOD(A88-Fortnightly_Model!$M$1,14)</f>
        <v>9</v>
      </c>
      <c r="T88">
        <f>MOD(A88-FourWeekly_Model!$M$1,28)</f>
        <v>9</v>
      </c>
    </row>
    <row r="89" spans="1:20">
      <c r="A89" s="25">
        <f t="shared" si="30"/>
        <v>46322</v>
      </c>
      <c r="B89">
        <f t="shared" si="16"/>
        <v>2026</v>
      </c>
      <c r="C89" s="9">
        <f t="shared" si="17"/>
        <v>10</v>
      </c>
      <c r="D89" s="9" t="str">
        <f t="shared" si="18"/>
        <v>October</v>
      </c>
      <c r="E89" s="9" t="str">
        <f t="shared" si="19"/>
        <v>Oct-26</v>
      </c>
      <c r="F89" s="9" t="str">
        <f t="shared" si="20"/>
        <v>Q4</v>
      </c>
      <c r="G89" s="9">
        <f t="shared" si="21"/>
        <v>27</v>
      </c>
      <c r="H89" s="9">
        <f t="shared" si="22"/>
        <v>2</v>
      </c>
      <c r="I89" s="9" t="str">
        <f t="shared" si="23"/>
        <v>Tuesday</v>
      </c>
      <c r="J89" s="9" t="str">
        <f t="shared" si="24"/>
        <v>No</v>
      </c>
      <c r="K89" s="5" t="str">
        <f>IF(COUNTIF(Bank_Holidays!A:A,A89)&gt;0,"Yes","No")</f>
        <v>No</v>
      </c>
      <c r="L89" t="str">
        <f t="shared" si="25"/>
        <v>Yes</v>
      </c>
      <c r="M89">
        <f t="shared" si="26"/>
        <v>44</v>
      </c>
      <c r="N89" s="5" t="str">
        <f t="shared" si="27"/>
        <v>No</v>
      </c>
      <c r="O89" t="str">
        <f>IF(A89=WORKDAY(EOMONTH(A89,0)+1,-1,Bank_Holidays!$A$2:$A$25),"Yes","No")</f>
        <v>No</v>
      </c>
      <c r="P89" t="str">
        <f t="shared" si="28"/>
        <v>No</v>
      </c>
      <c r="Q89" t="str">
        <f t="shared" si="29"/>
        <v>No</v>
      </c>
      <c r="R89" s="5">
        <f t="shared" si="31"/>
        <v>1</v>
      </c>
      <c r="S89">
        <f>MOD(A89-Fortnightly_Model!$M$1,14)</f>
        <v>10</v>
      </c>
      <c r="T89">
        <f>MOD(A89-FourWeekly_Model!$M$1,28)</f>
        <v>10</v>
      </c>
    </row>
    <row r="90" spans="1:20">
      <c r="A90" s="25">
        <f t="shared" si="30"/>
        <v>46323</v>
      </c>
      <c r="B90">
        <f t="shared" si="16"/>
        <v>2026</v>
      </c>
      <c r="C90" s="9">
        <f t="shared" si="17"/>
        <v>10</v>
      </c>
      <c r="D90" s="9" t="str">
        <f t="shared" si="18"/>
        <v>October</v>
      </c>
      <c r="E90" s="9" t="str">
        <f t="shared" si="19"/>
        <v>Oct-26</v>
      </c>
      <c r="F90" s="9" t="str">
        <f t="shared" si="20"/>
        <v>Q4</v>
      </c>
      <c r="G90" s="9">
        <f t="shared" si="21"/>
        <v>28</v>
      </c>
      <c r="H90" s="9">
        <f t="shared" si="22"/>
        <v>3</v>
      </c>
      <c r="I90" s="9" t="str">
        <f t="shared" si="23"/>
        <v>Wednesday</v>
      </c>
      <c r="J90" s="9" t="str">
        <f t="shared" si="24"/>
        <v>No</v>
      </c>
      <c r="K90" s="5" t="str">
        <f>IF(COUNTIF(Bank_Holidays!A:A,A90)&gt;0,"Yes","No")</f>
        <v>No</v>
      </c>
      <c r="L90" t="str">
        <f t="shared" si="25"/>
        <v>Yes</v>
      </c>
      <c r="M90">
        <f t="shared" si="26"/>
        <v>44</v>
      </c>
      <c r="N90" s="5" t="str">
        <f t="shared" si="27"/>
        <v>No</v>
      </c>
      <c r="O90" t="str">
        <f>IF(A90=WORKDAY(EOMONTH(A90,0)+1,-1,Bank_Holidays!$A$2:$A$25),"Yes","No")</f>
        <v>No</v>
      </c>
      <c r="P90" t="str">
        <f t="shared" si="28"/>
        <v>No</v>
      </c>
      <c r="Q90" t="str">
        <f t="shared" si="29"/>
        <v>No</v>
      </c>
      <c r="R90" s="5">
        <f t="shared" si="31"/>
        <v>1</v>
      </c>
      <c r="S90">
        <f>MOD(A90-Fortnightly_Model!$M$1,14)</f>
        <v>11</v>
      </c>
      <c r="T90">
        <f>MOD(A90-FourWeekly_Model!$M$1,28)</f>
        <v>11</v>
      </c>
    </row>
    <row r="91" spans="1:20">
      <c r="A91" s="25">
        <f t="shared" si="30"/>
        <v>46324</v>
      </c>
      <c r="B91">
        <f t="shared" si="16"/>
        <v>2026</v>
      </c>
      <c r="C91" s="9">
        <f t="shared" si="17"/>
        <v>10</v>
      </c>
      <c r="D91" s="9" t="str">
        <f t="shared" si="18"/>
        <v>October</v>
      </c>
      <c r="E91" s="9" t="str">
        <f t="shared" si="19"/>
        <v>Oct-26</v>
      </c>
      <c r="F91" s="9" t="str">
        <f t="shared" si="20"/>
        <v>Q4</v>
      </c>
      <c r="G91" s="9">
        <f t="shared" si="21"/>
        <v>29</v>
      </c>
      <c r="H91" s="9">
        <f t="shared" si="22"/>
        <v>4</v>
      </c>
      <c r="I91" s="9" t="str">
        <f t="shared" si="23"/>
        <v>Thursday</v>
      </c>
      <c r="J91" s="9" t="str">
        <f t="shared" si="24"/>
        <v>No</v>
      </c>
      <c r="K91" s="5" t="str">
        <f>IF(COUNTIF(Bank_Holidays!A:A,A91)&gt;0,"Yes","No")</f>
        <v>No</v>
      </c>
      <c r="L91" t="str">
        <f t="shared" si="25"/>
        <v>Yes</v>
      </c>
      <c r="M91">
        <f t="shared" si="26"/>
        <v>44</v>
      </c>
      <c r="N91" s="5" t="str">
        <f t="shared" si="27"/>
        <v>No</v>
      </c>
      <c r="O91" t="str">
        <f>IF(A91=WORKDAY(EOMONTH(A91,0)+1,-1,Bank_Holidays!$A$2:$A$25),"Yes","No")</f>
        <v>No</v>
      </c>
      <c r="P91" t="str">
        <f t="shared" si="28"/>
        <v>No</v>
      </c>
      <c r="Q91" t="str">
        <f t="shared" si="29"/>
        <v>Yes</v>
      </c>
      <c r="R91" s="5">
        <f t="shared" si="31"/>
        <v>1</v>
      </c>
      <c r="S91">
        <f>MOD(A91-Fortnightly_Model!$M$1,14)</f>
        <v>12</v>
      </c>
      <c r="T91">
        <f>MOD(A91-FourWeekly_Model!$M$1,28)</f>
        <v>12</v>
      </c>
    </row>
    <row r="92" spans="1:20">
      <c r="A92" s="25">
        <f t="shared" si="30"/>
        <v>46325</v>
      </c>
      <c r="B92">
        <f t="shared" si="16"/>
        <v>2026</v>
      </c>
      <c r="C92" s="9">
        <f t="shared" si="17"/>
        <v>10</v>
      </c>
      <c r="D92" s="9" t="str">
        <f t="shared" si="18"/>
        <v>October</v>
      </c>
      <c r="E92" s="9" t="str">
        <f t="shared" si="19"/>
        <v>Oct-26</v>
      </c>
      <c r="F92" s="9" t="str">
        <f t="shared" si="20"/>
        <v>Q4</v>
      </c>
      <c r="G92" s="9">
        <f t="shared" si="21"/>
        <v>30</v>
      </c>
      <c r="H92" s="9">
        <f t="shared" si="22"/>
        <v>5</v>
      </c>
      <c r="I92" s="9" t="str">
        <f t="shared" si="23"/>
        <v>Friday</v>
      </c>
      <c r="J92" s="9" t="str">
        <f t="shared" si="24"/>
        <v>No</v>
      </c>
      <c r="K92" s="5" t="str">
        <f>IF(COUNTIF(Bank_Holidays!A:A,A92)&gt;0,"Yes","No")</f>
        <v>No</v>
      </c>
      <c r="L92" t="str">
        <f t="shared" si="25"/>
        <v>Yes</v>
      </c>
      <c r="M92">
        <f t="shared" si="26"/>
        <v>44</v>
      </c>
      <c r="N92" s="5" t="str">
        <f t="shared" si="27"/>
        <v>No</v>
      </c>
      <c r="O92" t="str">
        <f>IF(A92=WORKDAY(EOMONTH(A92,0)+1,-1,Bank_Holidays!$A$2:$A$25),"Yes","No")</f>
        <v>Yes</v>
      </c>
      <c r="P92" t="str">
        <f t="shared" si="28"/>
        <v>Yes</v>
      </c>
      <c r="Q92" t="str">
        <f t="shared" si="29"/>
        <v>No</v>
      </c>
      <c r="R92" s="5">
        <f t="shared" si="31"/>
        <v>3</v>
      </c>
      <c r="S92">
        <f>MOD(A92-Fortnightly_Model!$M$1,14)</f>
        <v>13</v>
      </c>
      <c r="T92">
        <f>MOD(A92-FourWeekly_Model!$M$1,28)</f>
        <v>13</v>
      </c>
    </row>
    <row r="93" spans="1:20">
      <c r="A93" s="25">
        <f t="shared" si="30"/>
        <v>46326</v>
      </c>
      <c r="B93">
        <f t="shared" si="16"/>
        <v>2026</v>
      </c>
      <c r="C93" s="9">
        <f t="shared" si="17"/>
        <v>10</v>
      </c>
      <c r="D93" s="9" t="str">
        <f t="shared" si="18"/>
        <v>October</v>
      </c>
      <c r="E93" s="9" t="str">
        <f t="shared" si="19"/>
        <v>Oct-26</v>
      </c>
      <c r="F93" s="9" t="str">
        <f t="shared" si="20"/>
        <v>Q4</v>
      </c>
      <c r="G93" s="9">
        <f t="shared" si="21"/>
        <v>31</v>
      </c>
      <c r="H93" s="9">
        <f t="shared" si="22"/>
        <v>6</v>
      </c>
      <c r="I93" s="9" t="str">
        <f t="shared" si="23"/>
        <v>Saturday</v>
      </c>
      <c r="J93" s="9" t="str">
        <f t="shared" si="24"/>
        <v>Yes</v>
      </c>
      <c r="K93" s="5" t="str">
        <f>IF(COUNTIF(Bank_Holidays!A:A,A93)&gt;0,"Yes","No")</f>
        <v>No</v>
      </c>
      <c r="L93" t="str">
        <f t="shared" si="25"/>
        <v>No</v>
      </c>
      <c r="M93">
        <f t="shared" si="26"/>
        <v>44</v>
      </c>
      <c r="N93" s="5" t="str">
        <f t="shared" si="27"/>
        <v>Yes</v>
      </c>
      <c r="O93" t="str">
        <f>IF(A93=WORKDAY(EOMONTH(A93,0)+1,-1,Bank_Holidays!$A$2:$A$25),"Yes","No")</f>
        <v>No</v>
      </c>
      <c r="P93" t="str">
        <f t="shared" si="28"/>
        <v>No</v>
      </c>
      <c r="Q93" t="str">
        <f t="shared" si="29"/>
        <v>No</v>
      </c>
      <c r="R93" s="5">
        <f t="shared" si="31"/>
        <v>0</v>
      </c>
      <c r="S93">
        <f>MOD(A93-Fortnightly_Model!$M$1,14)</f>
        <v>0</v>
      </c>
      <c r="T93">
        <f>MOD(A93-FourWeekly_Model!$M$1,28)</f>
        <v>14</v>
      </c>
    </row>
    <row r="94" spans="1:20">
      <c r="A94" s="25">
        <f t="shared" si="30"/>
        <v>46327</v>
      </c>
      <c r="B94">
        <f t="shared" si="16"/>
        <v>2026</v>
      </c>
      <c r="C94" s="9">
        <f t="shared" si="17"/>
        <v>11</v>
      </c>
      <c r="D94" s="9" t="str">
        <f t="shared" si="18"/>
        <v>November</v>
      </c>
      <c r="E94" s="9" t="str">
        <f t="shared" si="19"/>
        <v>Nov-26</v>
      </c>
      <c r="F94" s="9" t="str">
        <f t="shared" si="20"/>
        <v>Q4</v>
      </c>
      <c r="G94" s="9">
        <f t="shared" si="21"/>
        <v>1</v>
      </c>
      <c r="H94" s="9">
        <f t="shared" si="22"/>
        <v>7</v>
      </c>
      <c r="I94" s="9" t="str">
        <f t="shared" si="23"/>
        <v>Sunday</v>
      </c>
      <c r="J94" s="9" t="str">
        <f t="shared" si="24"/>
        <v>Yes</v>
      </c>
      <c r="K94" s="5" t="str">
        <f>IF(COUNTIF(Bank_Holidays!A:A,A94)&gt;0,"Yes","No")</f>
        <v>No</v>
      </c>
      <c r="L94" t="str">
        <f t="shared" si="25"/>
        <v>No</v>
      </c>
      <c r="M94">
        <f t="shared" si="26"/>
        <v>44</v>
      </c>
      <c r="N94" s="5" t="str">
        <f t="shared" si="27"/>
        <v>No</v>
      </c>
      <c r="O94" t="str">
        <f>IF(A94=WORKDAY(EOMONTH(A94,0)+1,-1,Bank_Holidays!$A$2:$A$25),"Yes","No")</f>
        <v>No</v>
      </c>
      <c r="P94" t="str">
        <f t="shared" si="28"/>
        <v>No</v>
      </c>
      <c r="Q94" t="str">
        <f t="shared" si="29"/>
        <v>No</v>
      </c>
      <c r="R94" s="5">
        <f t="shared" si="31"/>
        <v>0</v>
      </c>
      <c r="S94">
        <f>MOD(A94-Fortnightly_Model!$M$1,14)</f>
        <v>1</v>
      </c>
      <c r="T94">
        <f>MOD(A94-FourWeekly_Model!$M$1,28)</f>
        <v>15</v>
      </c>
    </row>
    <row r="95" spans="1:20">
      <c r="A95" s="25">
        <f t="shared" si="30"/>
        <v>46328</v>
      </c>
      <c r="B95">
        <f t="shared" si="16"/>
        <v>2026</v>
      </c>
      <c r="C95" s="9">
        <f t="shared" si="17"/>
        <v>11</v>
      </c>
      <c r="D95" s="9" t="str">
        <f t="shared" si="18"/>
        <v>November</v>
      </c>
      <c r="E95" s="9" t="str">
        <f t="shared" si="19"/>
        <v>Nov-26</v>
      </c>
      <c r="F95" s="9" t="str">
        <f t="shared" si="20"/>
        <v>Q4</v>
      </c>
      <c r="G95" s="9">
        <f t="shared" si="21"/>
        <v>2</v>
      </c>
      <c r="H95" s="9">
        <f t="shared" si="22"/>
        <v>1</v>
      </c>
      <c r="I95" s="9" t="str">
        <f t="shared" si="23"/>
        <v>Monday</v>
      </c>
      <c r="J95" s="9" t="str">
        <f t="shared" si="24"/>
        <v>No</v>
      </c>
      <c r="K95" s="5" t="str">
        <f>IF(COUNTIF(Bank_Holidays!A:A,A95)&gt;0,"Yes","No")</f>
        <v>No</v>
      </c>
      <c r="L95" t="str">
        <f t="shared" si="25"/>
        <v>Yes</v>
      </c>
      <c r="M95">
        <f t="shared" si="26"/>
        <v>45</v>
      </c>
      <c r="N95" s="5" t="str">
        <f t="shared" si="27"/>
        <v>No</v>
      </c>
      <c r="O95" t="str">
        <f>IF(A95=WORKDAY(EOMONTH(A95,0)+1,-1,Bank_Holidays!$A$2:$A$25),"Yes","No")</f>
        <v>No</v>
      </c>
      <c r="P95" t="str">
        <f t="shared" si="28"/>
        <v>No</v>
      </c>
      <c r="Q95" t="str">
        <f t="shared" si="29"/>
        <v>No</v>
      </c>
      <c r="R95" s="5">
        <f t="shared" si="31"/>
        <v>1</v>
      </c>
      <c r="S95">
        <f>MOD(A95-Fortnightly_Model!$M$1,14)</f>
        <v>2</v>
      </c>
      <c r="T95">
        <f>MOD(A95-FourWeekly_Model!$M$1,28)</f>
        <v>16</v>
      </c>
    </row>
    <row r="96" spans="1:20">
      <c r="A96" s="25">
        <f t="shared" si="30"/>
        <v>46329</v>
      </c>
      <c r="B96">
        <f t="shared" si="16"/>
        <v>2026</v>
      </c>
      <c r="C96" s="9">
        <f t="shared" si="17"/>
        <v>11</v>
      </c>
      <c r="D96" s="9" t="str">
        <f t="shared" si="18"/>
        <v>November</v>
      </c>
      <c r="E96" s="9" t="str">
        <f t="shared" si="19"/>
        <v>Nov-26</v>
      </c>
      <c r="F96" s="9" t="str">
        <f t="shared" si="20"/>
        <v>Q4</v>
      </c>
      <c r="G96" s="9">
        <f t="shared" si="21"/>
        <v>3</v>
      </c>
      <c r="H96" s="9">
        <f t="shared" si="22"/>
        <v>2</v>
      </c>
      <c r="I96" s="9" t="str">
        <f t="shared" si="23"/>
        <v>Tuesday</v>
      </c>
      <c r="J96" s="9" t="str">
        <f t="shared" si="24"/>
        <v>No</v>
      </c>
      <c r="K96" s="5" t="str">
        <f>IF(COUNTIF(Bank_Holidays!A:A,A96)&gt;0,"Yes","No")</f>
        <v>No</v>
      </c>
      <c r="L96" t="str">
        <f t="shared" si="25"/>
        <v>Yes</v>
      </c>
      <c r="M96">
        <f t="shared" si="26"/>
        <v>45</v>
      </c>
      <c r="N96" s="5" t="str">
        <f t="shared" si="27"/>
        <v>No</v>
      </c>
      <c r="O96" t="str">
        <f>IF(A96=WORKDAY(EOMONTH(A96,0)+1,-1,Bank_Holidays!$A$2:$A$25),"Yes","No")</f>
        <v>No</v>
      </c>
      <c r="P96" t="str">
        <f t="shared" si="28"/>
        <v>No</v>
      </c>
      <c r="Q96" t="str">
        <f t="shared" si="29"/>
        <v>No</v>
      </c>
      <c r="R96" s="5">
        <f t="shared" si="31"/>
        <v>1</v>
      </c>
      <c r="S96">
        <f>MOD(A96-Fortnightly_Model!$M$1,14)</f>
        <v>3</v>
      </c>
      <c r="T96">
        <f>MOD(A96-FourWeekly_Model!$M$1,28)</f>
        <v>17</v>
      </c>
    </row>
    <row r="97" spans="1:20">
      <c r="A97" s="25">
        <f t="shared" si="30"/>
        <v>46330</v>
      </c>
      <c r="B97">
        <f t="shared" si="16"/>
        <v>2026</v>
      </c>
      <c r="C97" s="9">
        <f t="shared" si="17"/>
        <v>11</v>
      </c>
      <c r="D97" s="9" t="str">
        <f t="shared" si="18"/>
        <v>November</v>
      </c>
      <c r="E97" s="9" t="str">
        <f t="shared" si="19"/>
        <v>Nov-26</v>
      </c>
      <c r="F97" s="9" t="str">
        <f t="shared" si="20"/>
        <v>Q4</v>
      </c>
      <c r="G97" s="9">
        <f t="shared" si="21"/>
        <v>4</v>
      </c>
      <c r="H97" s="9">
        <f t="shared" si="22"/>
        <v>3</v>
      </c>
      <c r="I97" s="9" t="str">
        <f t="shared" si="23"/>
        <v>Wednesday</v>
      </c>
      <c r="J97" s="9" t="str">
        <f t="shared" si="24"/>
        <v>No</v>
      </c>
      <c r="K97" s="5" t="str">
        <f>IF(COUNTIF(Bank_Holidays!A:A,A97)&gt;0,"Yes","No")</f>
        <v>No</v>
      </c>
      <c r="L97" t="str">
        <f t="shared" si="25"/>
        <v>Yes</v>
      </c>
      <c r="M97">
        <f t="shared" si="26"/>
        <v>45</v>
      </c>
      <c r="N97" s="5" t="str">
        <f t="shared" si="27"/>
        <v>No</v>
      </c>
      <c r="O97" t="str">
        <f>IF(A97=WORKDAY(EOMONTH(A97,0)+1,-1,Bank_Holidays!$A$2:$A$25),"Yes","No")</f>
        <v>No</v>
      </c>
      <c r="P97" t="str">
        <f t="shared" si="28"/>
        <v>No</v>
      </c>
      <c r="Q97" t="str">
        <f t="shared" si="29"/>
        <v>No</v>
      </c>
      <c r="R97" s="5">
        <f t="shared" si="31"/>
        <v>1</v>
      </c>
      <c r="S97">
        <f>MOD(A97-Fortnightly_Model!$M$1,14)</f>
        <v>4</v>
      </c>
      <c r="T97">
        <f>MOD(A97-FourWeekly_Model!$M$1,28)</f>
        <v>18</v>
      </c>
    </row>
    <row r="98" spans="1:20">
      <c r="A98" s="25">
        <f t="shared" si="30"/>
        <v>46331</v>
      </c>
      <c r="B98">
        <f t="shared" si="16"/>
        <v>2026</v>
      </c>
      <c r="C98" s="9">
        <f t="shared" si="17"/>
        <v>11</v>
      </c>
      <c r="D98" s="9" t="str">
        <f t="shared" si="18"/>
        <v>November</v>
      </c>
      <c r="E98" s="9" t="str">
        <f t="shared" si="19"/>
        <v>Nov-26</v>
      </c>
      <c r="F98" s="9" t="str">
        <f t="shared" si="20"/>
        <v>Q4</v>
      </c>
      <c r="G98" s="9">
        <f t="shared" si="21"/>
        <v>5</v>
      </c>
      <c r="H98" s="9">
        <f t="shared" si="22"/>
        <v>4</v>
      </c>
      <c r="I98" s="9" t="str">
        <f t="shared" si="23"/>
        <v>Thursday</v>
      </c>
      <c r="J98" s="9" t="str">
        <f t="shared" si="24"/>
        <v>No</v>
      </c>
      <c r="K98" s="5" t="str">
        <f>IF(COUNTIF(Bank_Holidays!A:A,A98)&gt;0,"Yes","No")</f>
        <v>No</v>
      </c>
      <c r="L98" t="str">
        <f t="shared" si="25"/>
        <v>Yes</v>
      </c>
      <c r="M98">
        <f t="shared" si="26"/>
        <v>45</v>
      </c>
      <c r="N98" s="5" t="str">
        <f t="shared" si="27"/>
        <v>No</v>
      </c>
      <c r="O98" t="str">
        <f>IF(A98=WORKDAY(EOMONTH(A98,0)+1,-1,Bank_Holidays!$A$2:$A$25),"Yes","No")</f>
        <v>No</v>
      </c>
      <c r="P98" t="str">
        <f t="shared" si="28"/>
        <v>No</v>
      </c>
      <c r="Q98" t="str">
        <f t="shared" si="29"/>
        <v>No</v>
      </c>
      <c r="R98" s="5">
        <f t="shared" si="31"/>
        <v>1</v>
      </c>
      <c r="S98">
        <f>MOD(A98-Fortnightly_Model!$M$1,14)</f>
        <v>5</v>
      </c>
      <c r="T98">
        <f>MOD(A98-FourWeekly_Model!$M$1,28)</f>
        <v>19</v>
      </c>
    </row>
    <row r="99" spans="1:20">
      <c r="A99" s="25">
        <f t="shared" si="30"/>
        <v>46332</v>
      </c>
      <c r="B99">
        <f t="shared" si="16"/>
        <v>2026</v>
      </c>
      <c r="C99" s="9">
        <f t="shared" si="17"/>
        <v>11</v>
      </c>
      <c r="D99" s="9" t="str">
        <f t="shared" si="18"/>
        <v>November</v>
      </c>
      <c r="E99" s="9" t="str">
        <f t="shared" si="19"/>
        <v>Nov-26</v>
      </c>
      <c r="F99" s="9" t="str">
        <f t="shared" si="20"/>
        <v>Q4</v>
      </c>
      <c r="G99" s="9">
        <f t="shared" si="21"/>
        <v>6</v>
      </c>
      <c r="H99" s="9">
        <f t="shared" si="22"/>
        <v>5</v>
      </c>
      <c r="I99" s="9" t="str">
        <f t="shared" si="23"/>
        <v>Friday</v>
      </c>
      <c r="J99" s="9" t="str">
        <f t="shared" si="24"/>
        <v>No</v>
      </c>
      <c r="K99" s="5" t="str">
        <f>IF(COUNTIF(Bank_Holidays!A:A,A99)&gt;0,"Yes","No")</f>
        <v>No</v>
      </c>
      <c r="L99" t="str">
        <f t="shared" si="25"/>
        <v>Yes</v>
      </c>
      <c r="M99">
        <f t="shared" si="26"/>
        <v>45</v>
      </c>
      <c r="N99" s="5" t="str">
        <f t="shared" si="27"/>
        <v>No</v>
      </c>
      <c r="O99" t="str">
        <f>IF(A99=WORKDAY(EOMONTH(A99,0)+1,-1,Bank_Holidays!$A$2:$A$25),"Yes","No")</f>
        <v>No</v>
      </c>
      <c r="P99" t="str">
        <f t="shared" si="28"/>
        <v>No</v>
      </c>
      <c r="Q99" t="str">
        <f t="shared" si="29"/>
        <v>No</v>
      </c>
      <c r="R99" s="5">
        <f t="shared" si="31"/>
        <v>3</v>
      </c>
      <c r="S99">
        <f>MOD(A99-Fortnightly_Model!$M$1,14)</f>
        <v>6</v>
      </c>
      <c r="T99">
        <f>MOD(A99-FourWeekly_Model!$M$1,28)</f>
        <v>20</v>
      </c>
    </row>
    <row r="100" spans="1:20">
      <c r="A100" s="25">
        <f t="shared" si="30"/>
        <v>46333</v>
      </c>
      <c r="B100">
        <f t="shared" si="16"/>
        <v>2026</v>
      </c>
      <c r="C100" s="9">
        <f t="shared" si="17"/>
        <v>11</v>
      </c>
      <c r="D100" s="9" t="str">
        <f t="shared" si="18"/>
        <v>November</v>
      </c>
      <c r="E100" s="9" t="str">
        <f t="shared" si="19"/>
        <v>Nov-26</v>
      </c>
      <c r="F100" s="9" t="str">
        <f t="shared" si="20"/>
        <v>Q4</v>
      </c>
      <c r="G100" s="9">
        <f t="shared" si="21"/>
        <v>7</v>
      </c>
      <c r="H100" s="9">
        <f t="shared" si="22"/>
        <v>6</v>
      </c>
      <c r="I100" s="9" t="str">
        <f t="shared" si="23"/>
        <v>Saturday</v>
      </c>
      <c r="J100" s="9" t="str">
        <f t="shared" si="24"/>
        <v>Yes</v>
      </c>
      <c r="K100" s="5" t="str">
        <f>IF(COUNTIF(Bank_Holidays!A:A,A100)&gt;0,"Yes","No")</f>
        <v>No</v>
      </c>
      <c r="L100" t="str">
        <f t="shared" si="25"/>
        <v>No</v>
      </c>
      <c r="M100">
        <f t="shared" si="26"/>
        <v>45</v>
      </c>
      <c r="N100" s="5" t="str">
        <f t="shared" si="27"/>
        <v>No</v>
      </c>
      <c r="O100" t="str">
        <f>IF(A100=WORKDAY(EOMONTH(A100,0)+1,-1,Bank_Holidays!$A$2:$A$25),"Yes","No")</f>
        <v>No</v>
      </c>
      <c r="P100" t="str">
        <f t="shared" si="28"/>
        <v>No</v>
      </c>
      <c r="Q100" t="str">
        <f t="shared" si="29"/>
        <v>No</v>
      </c>
      <c r="R100" s="5">
        <f t="shared" si="31"/>
        <v>0</v>
      </c>
      <c r="S100">
        <f>MOD(A100-Fortnightly_Model!$M$1,14)</f>
        <v>7</v>
      </c>
      <c r="T100">
        <f>MOD(A100-FourWeekly_Model!$M$1,28)</f>
        <v>21</v>
      </c>
    </row>
    <row r="101" spans="1:20">
      <c r="A101" s="25">
        <f t="shared" si="30"/>
        <v>46334</v>
      </c>
      <c r="B101">
        <f t="shared" si="16"/>
        <v>2026</v>
      </c>
      <c r="C101" s="9">
        <f t="shared" si="17"/>
        <v>11</v>
      </c>
      <c r="D101" s="9" t="str">
        <f t="shared" si="18"/>
        <v>November</v>
      </c>
      <c r="E101" s="9" t="str">
        <f t="shared" si="19"/>
        <v>Nov-26</v>
      </c>
      <c r="F101" s="9" t="str">
        <f t="shared" si="20"/>
        <v>Q4</v>
      </c>
      <c r="G101" s="9">
        <f t="shared" si="21"/>
        <v>8</v>
      </c>
      <c r="H101" s="9">
        <f t="shared" si="22"/>
        <v>7</v>
      </c>
      <c r="I101" s="9" t="str">
        <f t="shared" si="23"/>
        <v>Sunday</v>
      </c>
      <c r="J101" s="9" t="str">
        <f t="shared" si="24"/>
        <v>Yes</v>
      </c>
      <c r="K101" s="5" t="str">
        <f>IF(COUNTIF(Bank_Holidays!A:A,A101)&gt;0,"Yes","No")</f>
        <v>No</v>
      </c>
      <c r="L101" t="str">
        <f t="shared" si="25"/>
        <v>No</v>
      </c>
      <c r="M101">
        <f t="shared" si="26"/>
        <v>45</v>
      </c>
      <c r="N101" s="5" t="str">
        <f t="shared" si="27"/>
        <v>No</v>
      </c>
      <c r="O101" t="str">
        <f>IF(A101=WORKDAY(EOMONTH(A101,0)+1,-1,Bank_Holidays!$A$2:$A$25),"Yes","No")</f>
        <v>No</v>
      </c>
      <c r="P101" t="str">
        <f t="shared" si="28"/>
        <v>No</v>
      </c>
      <c r="Q101" t="str">
        <f t="shared" si="29"/>
        <v>No</v>
      </c>
      <c r="R101" s="5">
        <f t="shared" si="31"/>
        <v>0</v>
      </c>
      <c r="S101">
        <f>MOD(A101-Fortnightly_Model!$M$1,14)</f>
        <v>8</v>
      </c>
      <c r="T101">
        <f>MOD(A101-FourWeekly_Model!$M$1,28)</f>
        <v>22</v>
      </c>
    </row>
    <row r="102" spans="1:20">
      <c r="A102" s="25">
        <f t="shared" si="30"/>
        <v>46335</v>
      </c>
      <c r="B102">
        <f t="shared" si="16"/>
        <v>2026</v>
      </c>
      <c r="C102" s="9">
        <f t="shared" si="17"/>
        <v>11</v>
      </c>
      <c r="D102" s="9" t="str">
        <f t="shared" si="18"/>
        <v>November</v>
      </c>
      <c r="E102" s="9" t="str">
        <f t="shared" si="19"/>
        <v>Nov-26</v>
      </c>
      <c r="F102" s="9" t="str">
        <f t="shared" si="20"/>
        <v>Q4</v>
      </c>
      <c r="G102" s="9">
        <f t="shared" si="21"/>
        <v>9</v>
      </c>
      <c r="H102" s="9">
        <f t="shared" si="22"/>
        <v>1</v>
      </c>
      <c r="I102" s="9" t="str">
        <f t="shared" si="23"/>
        <v>Monday</v>
      </c>
      <c r="J102" s="9" t="str">
        <f t="shared" si="24"/>
        <v>No</v>
      </c>
      <c r="K102" s="5" t="str">
        <f>IF(COUNTIF(Bank_Holidays!A:A,A102)&gt;0,"Yes","No")</f>
        <v>No</v>
      </c>
      <c r="L102" t="str">
        <f t="shared" si="25"/>
        <v>Yes</v>
      </c>
      <c r="M102">
        <f t="shared" si="26"/>
        <v>46</v>
      </c>
      <c r="N102" s="5" t="str">
        <f t="shared" si="27"/>
        <v>No</v>
      </c>
      <c r="O102" t="str">
        <f>IF(A102=WORKDAY(EOMONTH(A102,0)+1,-1,Bank_Holidays!$A$2:$A$25),"Yes","No")</f>
        <v>No</v>
      </c>
      <c r="P102" t="str">
        <f t="shared" si="28"/>
        <v>No</v>
      </c>
      <c r="Q102" t="str">
        <f t="shared" si="29"/>
        <v>No</v>
      </c>
      <c r="R102" s="5">
        <f t="shared" si="31"/>
        <v>1</v>
      </c>
      <c r="S102">
        <f>MOD(A102-Fortnightly_Model!$M$1,14)</f>
        <v>9</v>
      </c>
      <c r="T102">
        <f>MOD(A102-FourWeekly_Model!$M$1,28)</f>
        <v>23</v>
      </c>
    </row>
    <row r="103" spans="1:20">
      <c r="A103" s="25">
        <f t="shared" si="30"/>
        <v>46336</v>
      </c>
      <c r="B103">
        <f t="shared" si="16"/>
        <v>2026</v>
      </c>
      <c r="C103" s="9">
        <f t="shared" si="17"/>
        <v>11</v>
      </c>
      <c r="D103" s="9" t="str">
        <f t="shared" si="18"/>
        <v>November</v>
      </c>
      <c r="E103" s="9" t="str">
        <f t="shared" si="19"/>
        <v>Nov-26</v>
      </c>
      <c r="F103" s="9" t="str">
        <f t="shared" si="20"/>
        <v>Q4</v>
      </c>
      <c r="G103" s="9">
        <f t="shared" si="21"/>
        <v>10</v>
      </c>
      <c r="H103" s="9">
        <f t="shared" si="22"/>
        <v>2</v>
      </c>
      <c r="I103" s="9" t="str">
        <f t="shared" si="23"/>
        <v>Tuesday</v>
      </c>
      <c r="J103" s="9" t="str">
        <f t="shared" si="24"/>
        <v>No</v>
      </c>
      <c r="K103" s="5" t="str">
        <f>IF(COUNTIF(Bank_Holidays!A:A,A103)&gt;0,"Yes","No")</f>
        <v>No</v>
      </c>
      <c r="L103" t="str">
        <f t="shared" si="25"/>
        <v>Yes</v>
      </c>
      <c r="M103">
        <f t="shared" si="26"/>
        <v>46</v>
      </c>
      <c r="N103" s="5" t="str">
        <f t="shared" si="27"/>
        <v>No</v>
      </c>
      <c r="O103" t="str">
        <f>IF(A103=WORKDAY(EOMONTH(A103,0)+1,-1,Bank_Holidays!$A$2:$A$25),"Yes","No")</f>
        <v>No</v>
      </c>
      <c r="P103" t="str">
        <f t="shared" si="28"/>
        <v>No</v>
      </c>
      <c r="Q103" t="str">
        <f t="shared" si="29"/>
        <v>No</v>
      </c>
      <c r="R103" s="5">
        <f t="shared" si="31"/>
        <v>1</v>
      </c>
      <c r="S103">
        <f>MOD(A103-Fortnightly_Model!$M$1,14)</f>
        <v>10</v>
      </c>
      <c r="T103">
        <f>MOD(A103-FourWeekly_Model!$M$1,28)</f>
        <v>24</v>
      </c>
    </row>
    <row r="104" spans="1:20">
      <c r="A104" s="25">
        <f t="shared" si="30"/>
        <v>46337</v>
      </c>
      <c r="B104">
        <f t="shared" si="16"/>
        <v>2026</v>
      </c>
      <c r="C104" s="9">
        <f t="shared" si="17"/>
        <v>11</v>
      </c>
      <c r="D104" s="9" t="str">
        <f t="shared" si="18"/>
        <v>November</v>
      </c>
      <c r="E104" s="9" t="str">
        <f t="shared" si="19"/>
        <v>Nov-26</v>
      </c>
      <c r="F104" s="9" t="str">
        <f t="shared" si="20"/>
        <v>Q4</v>
      </c>
      <c r="G104" s="9">
        <f t="shared" si="21"/>
        <v>11</v>
      </c>
      <c r="H104" s="9">
        <f t="shared" si="22"/>
        <v>3</v>
      </c>
      <c r="I104" s="9" t="str">
        <f t="shared" si="23"/>
        <v>Wednesday</v>
      </c>
      <c r="J104" s="9" t="str">
        <f t="shared" si="24"/>
        <v>No</v>
      </c>
      <c r="K104" s="5" t="str">
        <f>IF(COUNTIF(Bank_Holidays!A:A,A104)&gt;0,"Yes","No")</f>
        <v>No</v>
      </c>
      <c r="L104" t="str">
        <f t="shared" si="25"/>
        <v>Yes</v>
      </c>
      <c r="M104">
        <f t="shared" si="26"/>
        <v>46</v>
      </c>
      <c r="N104" s="5" t="str">
        <f t="shared" si="27"/>
        <v>No</v>
      </c>
      <c r="O104" t="str">
        <f>IF(A104=WORKDAY(EOMONTH(A104,0)+1,-1,Bank_Holidays!$A$2:$A$25),"Yes","No")</f>
        <v>No</v>
      </c>
      <c r="P104" t="str">
        <f t="shared" si="28"/>
        <v>No</v>
      </c>
      <c r="Q104" t="str">
        <f t="shared" si="29"/>
        <v>No</v>
      </c>
      <c r="R104" s="5">
        <f t="shared" si="31"/>
        <v>1</v>
      </c>
      <c r="S104">
        <f>MOD(A104-Fortnightly_Model!$M$1,14)</f>
        <v>11</v>
      </c>
      <c r="T104">
        <f>MOD(A104-FourWeekly_Model!$M$1,28)</f>
        <v>25</v>
      </c>
    </row>
    <row r="105" spans="1:20">
      <c r="A105" s="25">
        <f t="shared" si="30"/>
        <v>46338</v>
      </c>
      <c r="B105">
        <f t="shared" si="16"/>
        <v>2026</v>
      </c>
      <c r="C105" s="9">
        <f t="shared" si="17"/>
        <v>11</v>
      </c>
      <c r="D105" s="9" t="str">
        <f t="shared" si="18"/>
        <v>November</v>
      </c>
      <c r="E105" s="9" t="str">
        <f t="shared" si="19"/>
        <v>Nov-26</v>
      </c>
      <c r="F105" s="9" t="str">
        <f t="shared" si="20"/>
        <v>Q4</v>
      </c>
      <c r="G105" s="9">
        <f t="shared" si="21"/>
        <v>12</v>
      </c>
      <c r="H105" s="9">
        <f t="shared" si="22"/>
        <v>4</v>
      </c>
      <c r="I105" s="9" t="str">
        <f t="shared" si="23"/>
        <v>Thursday</v>
      </c>
      <c r="J105" s="9" t="str">
        <f t="shared" si="24"/>
        <v>No</v>
      </c>
      <c r="K105" s="5" t="str">
        <f>IF(COUNTIF(Bank_Holidays!A:A,A105)&gt;0,"Yes","No")</f>
        <v>No</v>
      </c>
      <c r="L105" t="str">
        <f t="shared" si="25"/>
        <v>Yes</v>
      </c>
      <c r="M105">
        <f t="shared" si="26"/>
        <v>46</v>
      </c>
      <c r="N105" s="5" t="str">
        <f t="shared" si="27"/>
        <v>No</v>
      </c>
      <c r="O105" t="str">
        <f>IF(A105=WORKDAY(EOMONTH(A105,0)+1,-1,Bank_Holidays!$A$2:$A$25),"Yes","No")</f>
        <v>No</v>
      </c>
      <c r="P105" t="str">
        <f t="shared" si="28"/>
        <v>No</v>
      </c>
      <c r="Q105" t="str">
        <f t="shared" si="29"/>
        <v>No</v>
      </c>
      <c r="R105" s="5">
        <f t="shared" si="31"/>
        <v>1</v>
      </c>
      <c r="S105">
        <f>MOD(A105-Fortnightly_Model!$M$1,14)</f>
        <v>12</v>
      </c>
      <c r="T105">
        <f>MOD(A105-FourWeekly_Model!$M$1,28)</f>
        <v>26</v>
      </c>
    </row>
    <row r="106" spans="1:20">
      <c r="A106" s="25">
        <f t="shared" si="30"/>
        <v>46339</v>
      </c>
      <c r="B106">
        <f t="shared" si="16"/>
        <v>2026</v>
      </c>
      <c r="C106" s="9">
        <f t="shared" si="17"/>
        <v>11</v>
      </c>
      <c r="D106" s="9" t="str">
        <f t="shared" si="18"/>
        <v>November</v>
      </c>
      <c r="E106" s="9" t="str">
        <f t="shared" si="19"/>
        <v>Nov-26</v>
      </c>
      <c r="F106" s="9" t="str">
        <f t="shared" si="20"/>
        <v>Q4</v>
      </c>
      <c r="G106" s="9">
        <f t="shared" si="21"/>
        <v>13</v>
      </c>
      <c r="H106" s="9">
        <f t="shared" si="22"/>
        <v>5</v>
      </c>
      <c r="I106" s="9" t="str">
        <f t="shared" si="23"/>
        <v>Friday</v>
      </c>
      <c r="J106" s="9" t="str">
        <f t="shared" si="24"/>
        <v>No</v>
      </c>
      <c r="K106" s="5" t="str">
        <f>IF(COUNTIF(Bank_Holidays!A:A,A106)&gt;0,"Yes","No")</f>
        <v>No</v>
      </c>
      <c r="L106" t="str">
        <f t="shared" si="25"/>
        <v>Yes</v>
      </c>
      <c r="M106">
        <f t="shared" si="26"/>
        <v>46</v>
      </c>
      <c r="N106" s="5" t="str">
        <f t="shared" si="27"/>
        <v>No</v>
      </c>
      <c r="O106" t="str">
        <f>IF(A106=WORKDAY(EOMONTH(A106,0)+1,-1,Bank_Holidays!$A$2:$A$25),"Yes","No")</f>
        <v>No</v>
      </c>
      <c r="P106" t="str">
        <f t="shared" si="28"/>
        <v>No</v>
      </c>
      <c r="Q106" t="str">
        <f t="shared" si="29"/>
        <v>No</v>
      </c>
      <c r="R106" s="5">
        <f t="shared" si="31"/>
        <v>3</v>
      </c>
      <c r="S106">
        <f>MOD(A106-Fortnightly_Model!$M$1,14)</f>
        <v>13</v>
      </c>
      <c r="T106">
        <f>MOD(A106-FourWeekly_Model!$M$1,28)</f>
        <v>27</v>
      </c>
    </row>
    <row r="107" spans="1:20">
      <c r="A107" s="25">
        <f t="shared" si="30"/>
        <v>46340</v>
      </c>
      <c r="B107">
        <f t="shared" si="16"/>
        <v>2026</v>
      </c>
      <c r="C107" s="9">
        <f t="shared" si="17"/>
        <v>11</v>
      </c>
      <c r="D107" s="9" t="str">
        <f t="shared" si="18"/>
        <v>November</v>
      </c>
      <c r="E107" s="9" t="str">
        <f t="shared" si="19"/>
        <v>Nov-26</v>
      </c>
      <c r="F107" s="9" t="str">
        <f t="shared" si="20"/>
        <v>Q4</v>
      </c>
      <c r="G107" s="9">
        <f t="shared" si="21"/>
        <v>14</v>
      </c>
      <c r="H107" s="9">
        <f t="shared" si="22"/>
        <v>6</v>
      </c>
      <c r="I107" s="9" t="str">
        <f t="shared" si="23"/>
        <v>Saturday</v>
      </c>
      <c r="J107" s="9" t="str">
        <f t="shared" si="24"/>
        <v>Yes</v>
      </c>
      <c r="K107" s="5" t="str">
        <f>IF(COUNTIF(Bank_Holidays!A:A,A107)&gt;0,"Yes","No")</f>
        <v>No</v>
      </c>
      <c r="L107" t="str">
        <f t="shared" si="25"/>
        <v>No</v>
      </c>
      <c r="M107">
        <f t="shared" si="26"/>
        <v>46</v>
      </c>
      <c r="N107" s="5" t="str">
        <f t="shared" si="27"/>
        <v>No</v>
      </c>
      <c r="O107" t="str">
        <f>IF(A107=WORKDAY(EOMONTH(A107,0)+1,-1,Bank_Holidays!$A$2:$A$25),"Yes","No")</f>
        <v>No</v>
      </c>
      <c r="P107" t="str">
        <f t="shared" si="28"/>
        <v>No</v>
      </c>
      <c r="Q107" t="str">
        <f t="shared" si="29"/>
        <v>No</v>
      </c>
      <c r="R107" s="5">
        <f t="shared" si="31"/>
        <v>0</v>
      </c>
      <c r="S107">
        <f>MOD(A107-Fortnightly_Model!$M$1,14)</f>
        <v>0</v>
      </c>
      <c r="T107">
        <f>MOD(A107-FourWeekly_Model!$M$1,28)</f>
        <v>0</v>
      </c>
    </row>
    <row r="108" spans="1:20">
      <c r="A108" s="25">
        <f t="shared" si="30"/>
        <v>46341</v>
      </c>
      <c r="B108">
        <f t="shared" si="16"/>
        <v>2026</v>
      </c>
      <c r="C108" s="9">
        <f t="shared" si="17"/>
        <v>11</v>
      </c>
      <c r="D108" s="9" t="str">
        <f t="shared" si="18"/>
        <v>November</v>
      </c>
      <c r="E108" s="9" t="str">
        <f t="shared" si="19"/>
        <v>Nov-26</v>
      </c>
      <c r="F108" s="9" t="str">
        <f t="shared" si="20"/>
        <v>Q4</v>
      </c>
      <c r="G108" s="9">
        <f t="shared" si="21"/>
        <v>15</v>
      </c>
      <c r="H108" s="9">
        <f t="shared" si="22"/>
        <v>7</v>
      </c>
      <c r="I108" s="9" t="str">
        <f t="shared" si="23"/>
        <v>Sunday</v>
      </c>
      <c r="J108" s="9" t="str">
        <f t="shared" si="24"/>
        <v>Yes</v>
      </c>
      <c r="K108" s="5" t="str">
        <f>IF(COUNTIF(Bank_Holidays!A:A,A108)&gt;0,"Yes","No")</f>
        <v>No</v>
      </c>
      <c r="L108" t="str">
        <f t="shared" si="25"/>
        <v>No</v>
      </c>
      <c r="M108">
        <f t="shared" si="26"/>
        <v>46</v>
      </c>
      <c r="N108" s="5" t="str">
        <f t="shared" si="27"/>
        <v>No</v>
      </c>
      <c r="O108" t="str">
        <f>IF(A108=WORKDAY(EOMONTH(A108,0)+1,-1,Bank_Holidays!$A$2:$A$25),"Yes","No")</f>
        <v>No</v>
      </c>
      <c r="P108" t="str">
        <f t="shared" si="28"/>
        <v>No</v>
      </c>
      <c r="Q108" t="str">
        <f t="shared" si="29"/>
        <v>No</v>
      </c>
      <c r="R108" s="5">
        <f t="shared" si="31"/>
        <v>0</v>
      </c>
      <c r="S108">
        <f>MOD(A108-Fortnightly_Model!$M$1,14)</f>
        <v>1</v>
      </c>
      <c r="T108">
        <f>MOD(A108-FourWeekly_Model!$M$1,28)</f>
        <v>1</v>
      </c>
    </row>
    <row r="109" spans="1:20">
      <c r="A109" s="25">
        <f t="shared" si="30"/>
        <v>46342</v>
      </c>
      <c r="B109">
        <f t="shared" si="16"/>
        <v>2026</v>
      </c>
      <c r="C109" s="9">
        <f t="shared" si="17"/>
        <v>11</v>
      </c>
      <c r="D109" s="9" t="str">
        <f t="shared" si="18"/>
        <v>November</v>
      </c>
      <c r="E109" s="9" t="str">
        <f t="shared" si="19"/>
        <v>Nov-26</v>
      </c>
      <c r="F109" s="9" t="str">
        <f t="shared" si="20"/>
        <v>Q4</v>
      </c>
      <c r="G109" s="9">
        <f t="shared" si="21"/>
        <v>16</v>
      </c>
      <c r="H109" s="9">
        <f t="shared" si="22"/>
        <v>1</v>
      </c>
      <c r="I109" s="9" t="str">
        <f t="shared" si="23"/>
        <v>Monday</v>
      </c>
      <c r="J109" s="9" t="str">
        <f t="shared" si="24"/>
        <v>No</v>
      </c>
      <c r="K109" s="5" t="str">
        <f>IF(COUNTIF(Bank_Holidays!A:A,A109)&gt;0,"Yes","No")</f>
        <v>No</v>
      </c>
      <c r="L109" t="str">
        <f t="shared" si="25"/>
        <v>Yes</v>
      </c>
      <c r="M109">
        <f t="shared" si="26"/>
        <v>47</v>
      </c>
      <c r="N109" s="5" t="str">
        <f t="shared" si="27"/>
        <v>No</v>
      </c>
      <c r="O109" t="str">
        <f>IF(A109=WORKDAY(EOMONTH(A109,0)+1,-1,Bank_Holidays!$A$2:$A$25),"Yes","No")</f>
        <v>No</v>
      </c>
      <c r="P109" t="str">
        <f t="shared" si="28"/>
        <v>No</v>
      </c>
      <c r="Q109" t="str">
        <f t="shared" si="29"/>
        <v>No</v>
      </c>
      <c r="R109" s="5">
        <f t="shared" si="31"/>
        <v>1</v>
      </c>
      <c r="S109">
        <f>MOD(A109-Fortnightly_Model!$M$1,14)</f>
        <v>2</v>
      </c>
      <c r="T109">
        <f>MOD(A109-FourWeekly_Model!$M$1,28)</f>
        <v>2</v>
      </c>
    </row>
    <row r="110" spans="1:20">
      <c r="A110" s="25">
        <f t="shared" si="30"/>
        <v>46343</v>
      </c>
      <c r="B110">
        <f t="shared" si="16"/>
        <v>2026</v>
      </c>
      <c r="C110" s="9">
        <f t="shared" si="17"/>
        <v>11</v>
      </c>
      <c r="D110" s="9" t="str">
        <f t="shared" si="18"/>
        <v>November</v>
      </c>
      <c r="E110" s="9" t="str">
        <f t="shared" si="19"/>
        <v>Nov-26</v>
      </c>
      <c r="F110" s="9" t="str">
        <f t="shared" si="20"/>
        <v>Q4</v>
      </c>
      <c r="G110" s="9">
        <f t="shared" si="21"/>
        <v>17</v>
      </c>
      <c r="H110" s="9">
        <f t="shared" si="22"/>
        <v>2</v>
      </c>
      <c r="I110" s="9" t="str">
        <f t="shared" si="23"/>
        <v>Tuesday</v>
      </c>
      <c r="J110" s="9" t="str">
        <f t="shared" si="24"/>
        <v>No</v>
      </c>
      <c r="K110" s="5" t="str">
        <f>IF(COUNTIF(Bank_Holidays!A:A,A110)&gt;0,"Yes","No")</f>
        <v>No</v>
      </c>
      <c r="L110" t="str">
        <f t="shared" si="25"/>
        <v>Yes</v>
      </c>
      <c r="M110">
        <f t="shared" si="26"/>
        <v>47</v>
      </c>
      <c r="N110" s="5" t="str">
        <f t="shared" si="27"/>
        <v>No</v>
      </c>
      <c r="O110" t="str">
        <f>IF(A110=WORKDAY(EOMONTH(A110,0)+1,-1,Bank_Holidays!$A$2:$A$25),"Yes","No")</f>
        <v>No</v>
      </c>
      <c r="P110" t="str">
        <f t="shared" si="28"/>
        <v>No</v>
      </c>
      <c r="Q110" t="str">
        <f t="shared" si="29"/>
        <v>No</v>
      </c>
      <c r="R110" s="5">
        <f t="shared" si="31"/>
        <v>1</v>
      </c>
      <c r="S110">
        <f>MOD(A110-Fortnightly_Model!$M$1,14)</f>
        <v>3</v>
      </c>
      <c r="T110">
        <f>MOD(A110-FourWeekly_Model!$M$1,28)</f>
        <v>3</v>
      </c>
    </row>
    <row r="111" spans="1:20">
      <c r="A111" s="25">
        <f t="shared" si="30"/>
        <v>46344</v>
      </c>
      <c r="B111">
        <f t="shared" si="16"/>
        <v>2026</v>
      </c>
      <c r="C111" s="9">
        <f t="shared" si="17"/>
        <v>11</v>
      </c>
      <c r="D111" s="9" t="str">
        <f t="shared" si="18"/>
        <v>November</v>
      </c>
      <c r="E111" s="9" t="str">
        <f t="shared" si="19"/>
        <v>Nov-26</v>
      </c>
      <c r="F111" s="9" t="str">
        <f t="shared" si="20"/>
        <v>Q4</v>
      </c>
      <c r="G111" s="9">
        <f t="shared" si="21"/>
        <v>18</v>
      </c>
      <c r="H111" s="9">
        <f t="shared" si="22"/>
        <v>3</v>
      </c>
      <c r="I111" s="9" t="str">
        <f t="shared" si="23"/>
        <v>Wednesday</v>
      </c>
      <c r="J111" s="9" t="str">
        <f t="shared" si="24"/>
        <v>No</v>
      </c>
      <c r="K111" s="5" t="str">
        <f>IF(COUNTIF(Bank_Holidays!A:A,A111)&gt;0,"Yes","No")</f>
        <v>No</v>
      </c>
      <c r="L111" t="str">
        <f t="shared" si="25"/>
        <v>Yes</v>
      </c>
      <c r="M111">
        <f t="shared" si="26"/>
        <v>47</v>
      </c>
      <c r="N111" s="5" t="str">
        <f t="shared" si="27"/>
        <v>No</v>
      </c>
      <c r="O111" t="str">
        <f>IF(A111=WORKDAY(EOMONTH(A111,0)+1,-1,Bank_Holidays!$A$2:$A$25),"Yes","No")</f>
        <v>No</v>
      </c>
      <c r="P111" t="str">
        <f t="shared" si="28"/>
        <v>No</v>
      </c>
      <c r="Q111" t="str">
        <f t="shared" si="29"/>
        <v>No</v>
      </c>
      <c r="R111" s="5">
        <f t="shared" si="31"/>
        <v>1</v>
      </c>
      <c r="S111">
        <f>MOD(A111-Fortnightly_Model!$M$1,14)</f>
        <v>4</v>
      </c>
      <c r="T111">
        <f>MOD(A111-FourWeekly_Model!$M$1,28)</f>
        <v>4</v>
      </c>
    </row>
    <row r="112" spans="1:20">
      <c r="A112" s="25">
        <f t="shared" si="30"/>
        <v>46345</v>
      </c>
      <c r="B112">
        <f t="shared" si="16"/>
        <v>2026</v>
      </c>
      <c r="C112" s="9">
        <f t="shared" si="17"/>
        <v>11</v>
      </c>
      <c r="D112" s="9" t="str">
        <f t="shared" si="18"/>
        <v>November</v>
      </c>
      <c r="E112" s="9" t="str">
        <f t="shared" si="19"/>
        <v>Nov-26</v>
      </c>
      <c r="F112" s="9" t="str">
        <f t="shared" si="20"/>
        <v>Q4</v>
      </c>
      <c r="G112" s="9">
        <f t="shared" si="21"/>
        <v>19</v>
      </c>
      <c r="H112" s="9">
        <f t="shared" si="22"/>
        <v>4</v>
      </c>
      <c r="I112" s="9" t="str">
        <f t="shared" si="23"/>
        <v>Thursday</v>
      </c>
      <c r="J112" s="9" t="str">
        <f t="shared" si="24"/>
        <v>No</v>
      </c>
      <c r="K112" s="5" t="str">
        <f>IF(COUNTIF(Bank_Holidays!A:A,A112)&gt;0,"Yes","No")</f>
        <v>No</v>
      </c>
      <c r="L112" t="str">
        <f t="shared" si="25"/>
        <v>Yes</v>
      </c>
      <c r="M112">
        <f t="shared" si="26"/>
        <v>47</v>
      </c>
      <c r="N112" s="5" t="str">
        <f t="shared" si="27"/>
        <v>No</v>
      </c>
      <c r="O112" t="str">
        <f>IF(A112=WORKDAY(EOMONTH(A112,0)+1,-1,Bank_Holidays!$A$2:$A$25),"Yes","No")</f>
        <v>No</v>
      </c>
      <c r="P112" t="str">
        <f t="shared" si="28"/>
        <v>No</v>
      </c>
      <c r="Q112" t="str">
        <f t="shared" si="29"/>
        <v>No</v>
      </c>
      <c r="R112" s="5">
        <f t="shared" si="31"/>
        <v>1</v>
      </c>
      <c r="S112">
        <f>MOD(A112-Fortnightly_Model!$M$1,14)</f>
        <v>5</v>
      </c>
      <c r="T112">
        <f>MOD(A112-FourWeekly_Model!$M$1,28)</f>
        <v>5</v>
      </c>
    </row>
    <row r="113" spans="1:20">
      <c r="A113" s="25">
        <f t="shared" si="30"/>
        <v>46346</v>
      </c>
      <c r="B113">
        <f t="shared" si="16"/>
        <v>2026</v>
      </c>
      <c r="C113" s="9">
        <f t="shared" si="17"/>
        <v>11</v>
      </c>
      <c r="D113" s="9" t="str">
        <f t="shared" si="18"/>
        <v>November</v>
      </c>
      <c r="E113" s="9" t="str">
        <f t="shared" si="19"/>
        <v>Nov-26</v>
      </c>
      <c r="F113" s="9" t="str">
        <f t="shared" si="20"/>
        <v>Q4</v>
      </c>
      <c r="G113" s="9">
        <f t="shared" si="21"/>
        <v>20</v>
      </c>
      <c r="H113" s="9">
        <f t="shared" si="22"/>
        <v>5</v>
      </c>
      <c r="I113" s="9" t="str">
        <f t="shared" si="23"/>
        <v>Friday</v>
      </c>
      <c r="J113" s="9" t="str">
        <f t="shared" si="24"/>
        <v>No</v>
      </c>
      <c r="K113" s="5" t="str">
        <f>IF(COUNTIF(Bank_Holidays!A:A,A113)&gt;0,"Yes","No")</f>
        <v>No</v>
      </c>
      <c r="L113" t="str">
        <f t="shared" si="25"/>
        <v>Yes</v>
      </c>
      <c r="M113">
        <f t="shared" si="26"/>
        <v>47</v>
      </c>
      <c r="N113" s="5" t="str">
        <f t="shared" si="27"/>
        <v>No</v>
      </c>
      <c r="O113" t="str">
        <f>IF(A113=WORKDAY(EOMONTH(A113,0)+1,-1,Bank_Holidays!$A$2:$A$25),"Yes","No")</f>
        <v>No</v>
      </c>
      <c r="P113" t="str">
        <f t="shared" si="28"/>
        <v>No</v>
      </c>
      <c r="Q113" t="str">
        <f t="shared" si="29"/>
        <v>No</v>
      </c>
      <c r="R113" s="5">
        <f t="shared" si="31"/>
        <v>3</v>
      </c>
      <c r="S113">
        <f>MOD(A113-Fortnightly_Model!$M$1,14)</f>
        <v>6</v>
      </c>
      <c r="T113">
        <f>MOD(A113-FourWeekly_Model!$M$1,28)</f>
        <v>6</v>
      </c>
    </row>
    <row r="114" spans="1:20">
      <c r="A114" s="25">
        <f t="shared" si="30"/>
        <v>46347</v>
      </c>
      <c r="B114">
        <f t="shared" si="16"/>
        <v>2026</v>
      </c>
      <c r="C114" s="9">
        <f t="shared" si="17"/>
        <v>11</v>
      </c>
      <c r="D114" s="9" t="str">
        <f t="shared" si="18"/>
        <v>November</v>
      </c>
      <c r="E114" s="9" t="str">
        <f t="shared" si="19"/>
        <v>Nov-26</v>
      </c>
      <c r="F114" s="9" t="str">
        <f t="shared" si="20"/>
        <v>Q4</v>
      </c>
      <c r="G114" s="9">
        <f t="shared" si="21"/>
        <v>21</v>
      </c>
      <c r="H114" s="9">
        <f t="shared" si="22"/>
        <v>6</v>
      </c>
      <c r="I114" s="9" t="str">
        <f t="shared" si="23"/>
        <v>Saturday</v>
      </c>
      <c r="J114" s="9" t="str">
        <f t="shared" si="24"/>
        <v>Yes</v>
      </c>
      <c r="K114" s="5" t="str">
        <f>IF(COUNTIF(Bank_Holidays!A:A,A114)&gt;0,"Yes","No")</f>
        <v>No</v>
      </c>
      <c r="L114" t="str">
        <f t="shared" si="25"/>
        <v>No</v>
      </c>
      <c r="M114">
        <f t="shared" si="26"/>
        <v>47</v>
      </c>
      <c r="N114" s="5" t="str">
        <f t="shared" si="27"/>
        <v>No</v>
      </c>
      <c r="O114" t="str">
        <f>IF(A114=WORKDAY(EOMONTH(A114,0)+1,-1,Bank_Holidays!$A$2:$A$25),"Yes","No")</f>
        <v>No</v>
      </c>
      <c r="P114" t="str">
        <f t="shared" si="28"/>
        <v>No</v>
      </c>
      <c r="Q114" t="str">
        <f t="shared" si="29"/>
        <v>No</v>
      </c>
      <c r="R114" s="5">
        <f t="shared" si="31"/>
        <v>0</v>
      </c>
      <c r="S114">
        <f>MOD(A114-Fortnightly_Model!$M$1,14)</f>
        <v>7</v>
      </c>
      <c r="T114">
        <f>MOD(A114-FourWeekly_Model!$M$1,28)</f>
        <v>7</v>
      </c>
    </row>
    <row r="115" spans="1:20">
      <c r="A115" s="25">
        <f t="shared" si="30"/>
        <v>46348</v>
      </c>
      <c r="B115">
        <f t="shared" si="16"/>
        <v>2026</v>
      </c>
      <c r="C115" s="9">
        <f t="shared" si="17"/>
        <v>11</v>
      </c>
      <c r="D115" s="9" t="str">
        <f t="shared" si="18"/>
        <v>November</v>
      </c>
      <c r="E115" s="9" t="str">
        <f t="shared" si="19"/>
        <v>Nov-26</v>
      </c>
      <c r="F115" s="9" t="str">
        <f t="shared" si="20"/>
        <v>Q4</v>
      </c>
      <c r="G115" s="9">
        <f t="shared" si="21"/>
        <v>22</v>
      </c>
      <c r="H115" s="9">
        <f t="shared" si="22"/>
        <v>7</v>
      </c>
      <c r="I115" s="9" t="str">
        <f t="shared" si="23"/>
        <v>Sunday</v>
      </c>
      <c r="J115" s="9" t="str">
        <f t="shared" si="24"/>
        <v>Yes</v>
      </c>
      <c r="K115" s="5" t="str">
        <f>IF(COUNTIF(Bank_Holidays!A:A,A115)&gt;0,"Yes","No")</f>
        <v>No</v>
      </c>
      <c r="L115" t="str">
        <f t="shared" si="25"/>
        <v>No</v>
      </c>
      <c r="M115">
        <f t="shared" si="26"/>
        <v>47</v>
      </c>
      <c r="N115" s="5" t="str">
        <f t="shared" si="27"/>
        <v>No</v>
      </c>
      <c r="O115" t="str">
        <f>IF(A115=WORKDAY(EOMONTH(A115,0)+1,-1,Bank_Holidays!$A$2:$A$25),"Yes","No")</f>
        <v>No</v>
      </c>
      <c r="P115" t="str">
        <f t="shared" si="28"/>
        <v>No</v>
      </c>
      <c r="Q115" t="str">
        <f t="shared" si="29"/>
        <v>No</v>
      </c>
      <c r="R115" s="5">
        <f t="shared" si="31"/>
        <v>0</v>
      </c>
      <c r="S115">
        <f>MOD(A115-Fortnightly_Model!$M$1,14)</f>
        <v>8</v>
      </c>
      <c r="T115">
        <f>MOD(A115-FourWeekly_Model!$M$1,28)</f>
        <v>8</v>
      </c>
    </row>
    <row r="116" spans="1:20">
      <c r="A116" s="25">
        <f t="shared" si="30"/>
        <v>46349</v>
      </c>
      <c r="B116">
        <f t="shared" si="16"/>
        <v>2026</v>
      </c>
      <c r="C116" s="9">
        <f t="shared" si="17"/>
        <v>11</v>
      </c>
      <c r="D116" s="9" t="str">
        <f t="shared" si="18"/>
        <v>November</v>
      </c>
      <c r="E116" s="9" t="str">
        <f t="shared" si="19"/>
        <v>Nov-26</v>
      </c>
      <c r="F116" s="9" t="str">
        <f t="shared" si="20"/>
        <v>Q4</v>
      </c>
      <c r="G116" s="9">
        <f t="shared" si="21"/>
        <v>23</v>
      </c>
      <c r="H116" s="9">
        <f t="shared" si="22"/>
        <v>1</v>
      </c>
      <c r="I116" s="9" t="str">
        <f t="shared" si="23"/>
        <v>Monday</v>
      </c>
      <c r="J116" s="9" t="str">
        <f t="shared" si="24"/>
        <v>No</v>
      </c>
      <c r="K116" s="5" t="str">
        <f>IF(COUNTIF(Bank_Holidays!A:A,A116)&gt;0,"Yes","No")</f>
        <v>No</v>
      </c>
      <c r="L116" t="str">
        <f t="shared" si="25"/>
        <v>Yes</v>
      </c>
      <c r="M116">
        <f t="shared" si="26"/>
        <v>48</v>
      </c>
      <c r="N116" s="5" t="str">
        <f t="shared" si="27"/>
        <v>No</v>
      </c>
      <c r="O116" t="str">
        <f>IF(A116=WORKDAY(EOMONTH(A116,0)+1,-1,Bank_Holidays!$A$2:$A$25),"Yes","No")</f>
        <v>No</v>
      </c>
      <c r="P116" t="str">
        <f t="shared" si="28"/>
        <v>No</v>
      </c>
      <c r="Q116" t="str">
        <f t="shared" si="29"/>
        <v>No</v>
      </c>
      <c r="R116" s="5">
        <f t="shared" si="31"/>
        <v>1</v>
      </c>
      <c r="S116">
        <f>MOD(A116-Fortnightly_Model!$M$1,14)</f>
        <v>9</v>
      </c>
      <c r="T116">
        <f>MOD(A116-FourWeekly_Model!$M$1,28)</f>
        <v>9</v>
      </c>
    </row>
    <row r="117" spans="1:20">
      <c r="A117" s="25">
        <f t="shared" si="30"/>
        <v>46350</v>
      </c>
      <c r="B117">
        <f t="shared" si="16"/>
        <v>2026</v>
      </c>
      <c r="C117" s="9">
        <f t="shared" si="17"/>
        <v>11</v>
      </c>
      <c r="D117" s="9" t="str">
        <f t="shared" si="18"/>
        <v>November</v>
      </c>
      <c r="E117" s="9" t="str">
        <f t="shared" si="19"/>
        <v>Nov-26</v>
      </c>
      <c r="F117" s="9" t="str">
        <f t="shared" si="20"/>
        <v>Q4</v>
      </c>
      <c r="G117" s="9">
        <f t="shared" si="21"/>
        <v>24</v>
      </c>
      <c r="H117" s="9">
        <f t="shared" si="22"/>
        <v>2</v>
      </c>
      <c r="I117" s="9" t="str">
        <f t="shared" si="23"/>
        <v>Tuesday</v>
      </c>
      <c r="J117" s="9" t="str">
        <f t="shared" si="24"/>
        <v>No</v>
      </c>
      <c r="K117" s="5" t="str">
        <f>IF(COUNTIF(Bank_Holidays!A:A,A117)&gt;0,"Yes","No")</f>
        <v>No</v>
      </c>
      <c r="L117" t="str">
        <f t="shared" si="25"/>
        <v>Yes</v>
      </c>
      <c r="M117">
        <f t="shared" si="26"/>
        <v>48</v>
      </c>
      <c r="N117" s="5" t="str">
        <f t="shared" si="27"/>
        <v>No</v>
      </c>
      <c r="O117" t="str">
        <f>IF(A117=WORKDAY(EOMONTH(A117,0)+1,-1,Bank_Holidays!$A$2:$A$25),"Yes","No")</f>
        <v>No</v>
      </c>
      <c r="P117" t="str">
        <f t="shared" si="28"/>
        <v>No</v>
      </c>
      <c r="Q117" t="str">
        <f t="shared" si="29"/>
        <v>No</v>
      </c>
      <c r="R117" s="5">
        <f t="shared" si="31"/>
        <v>1</v>
      </c>
      <c r="S117">
        <f>MOD(A117-Fortnightly_Model!$M$1,14)</f>
        <v>10</v>
      </c>
      <c r="T117">
        <f>MOD(A117-FourWeekly_Model!$M$1,28)</f>
        <v>10</v>
      </c>
    </row>
    <row r="118" spans="1:20">
      <c r="A118" s="25">
        <f t="shared" si="30"/>
        <v>46351</v>
      </c>
      <c r="B118">
        <f t="shared" si="16"/>
        <v>2026</v>
      </c>
      <c r="C118" s="9">
        <f t="shared" si="17"/>
        <v>11</v>
      </c>
      <c r="D118" s="9" t="str">
        <f t="shared" si="18"/>
        <v>November</v>
      </c>
      <c r="E118" s="9" t="str">
        <f t="shared" si="19"/>
        <v>Nov-26</v>
      </c>
      <c r="F118" s="9" t="str">
        <f t="shared" si="20"/>
        <v>Q4</v>
      </c>
      <c r="G118" s="9">
        <f t="shared" si="21"/>
        <v>25</v>
      </c>
      <c r="H118" s="9">
        <f t="shared" si="22"/>
        <v>3</v>
      </c>
      <c r="I118" s="9" t="str">
        <f t="shared" si="23"/>
        <v>Wednesday</v>
      </c>
      <c r="J118" s="9" t="str">
        <f t="shared" si="24"/>
        <v>No</v>
      </c>
      <c r="K118" s="5" t="str">
        <f>IF(COUNTIF(Bank_Holidays!A:A,A118)&gt;0,"Yes","No")</f>
        <v>No</v>
      </c>
      <c r="L118" t="str">
        <f t="shared" si="25"/>
        <v>Yes</v>
      </c>
      <c r="M118">
        <f t="shared" si="26"/>
        <v>48</v>
      </c>
      <c r="N118" s="5" t="str">
        <f t="shared" si="27"/>
        <v>No</v>
      </c>
      <c r="O118" t="str">
        <f>IF(A118=WORKDAY(EOMONTH(A118,0)+1,-1,Bank_Holidays!$A$2:$A$25),"Yes","No")</f>
        <v>No</v>
      </c>
      <c r="P118" t="str">
        <f t="shared" si="28"/>
        <v>No</v>
      </c>
      <c r="Q118" t="str">
        <f t="shared" si="29"/>
        <v>No</v>
      </c>
      <c r="R118" s="5">
        <f t="shared" si="31"/>
        <v>1</v>
      </c>
      <c r="S118">
        <f>MOD(A118-Fortnightly_Model!$M$1,14)</f>
        <v>11</v>
      </c>
      <c r="T118">
        <f>MOD(A118-FourWeekly_Model!$M$1,28)</f>
        <v>11</v>
      </c>
    </row>
    <row r="119" spans="1:20">
      <c r="A119" s="25">
        <f t="shared" si="30"/>
        <v>46352</v>
      </c>
      <c r="B119">
        <f t="shared" si="16"/>
        <v>2026</v>
      </c>
      <c r="C119" s="9">
        <f t="shared" si="17"/>
        <v>11</v>
      </c>
      <c r="D119" s="9" t="str">
        <f t="shared" si="18"/>
        <v>November</v>
      </c>
      <c r="E119" s="9" t="str">
        <f t="shared" si="19"/>
        <v>Nov-26</v>
      </c>
      <c r="F119" s="9" t="str">
        <f t="shared" si="20"/>
        <v>Q4</v>
      </c>
      <c r="G119" s="9">
        <f t="shared" si="21"/>
        <v>26</v>
      </c>
      <c r="H119" s="9">
        <f t="shared" si="22"/>
        <v>4</v>
      </c>
      <c r="I119" s="9" t="str">
        <f t="shared" si="23"/>
        <v>Thursday</v>
      </c>
      <c r="J119" s="9" t="str">
        <f t="shared" si="24"/>
        <v>No</v>
      </c>
      <c r="K119" s="5" t="str">
        <f>IF(COUNTIF(Bank_Holidays!A:A,A119)&gt;0,"Yes","No")</f>
        <v>No</v>
      </c>
      <c r="L119" t="str">
        <f t="shared" si="25"/>
        <v>Yes</v>
      </c>
      <c r="M119">
        <f t="shared" si="26"/>
        <v>48</v>
      </c>
      <c r="N119" s="5" t="str">
        <f t="shared" si="27"/>
        <v>No</v>
      </c>
      <c r="O119" t="str">
        <f>IF(A119=WORKDAY(EOMONTH(A119,0)+1,-1,Bank_Holidays!$A$2:$A$25),"Yes","No")</f>
        <v>No</v>
      </c>
      <c r="P119" t="str">
        <f t="shared" si="28"/>
        <v>No</v>
      </c>
      <c r="Q119" t="str">
        <f t="shared" si="29"/>
        <v>Yes</v>
      </c>
      <c r="R119" s="5">
        <f t="shared" si="31"/>
        <v>1</v>
      </c>
      <c r="S119">
        <f>MOD(A119-Fortnightly_Model!$M$1,14)</f>
        <v>12</v>
      </c>
      <c r="T119">
        <f>MOD(A119-FourWeekly_Model!$M$1,28)</f>
        <v>12</v>
      </c>
    </row>
    <row r="120" spans="1:20">
      <c r="A120" s="25">
        <f t="shared" si="30"/>
        <v>46353</v>
      </c>
      <c r="B120">
        <f t="shared" si="16"/>
        <v>2026</v>
      </c>
      <c r="C120" s="9">
        <f t="shared" si="17"/>
        <v>11</v>
      </c>
      <c r="D120" s="9" t="str">
        <f t="shared" si="18"/>
        <v>November</v>
      </c>
      <c r="E120" s="9" t="str">
        <f t="shared" si="19"/>
        <v>Nov-26</v>
      </c>
      <c r="F120" s="9" t="str">
        <f t="shared" si="20"/>
        <v>Q4</v>
      </c>
      <c r="G120" s="9">
        <f t="shared" si="21"/>
        <v>27</v>
      </c>
      <c r="H120" s="9">
        <f t="shared" si="22"/>
        <v>5</v>
      </c>
      <c r="I120" s="9" t="str">
        <f t="shared" si="23"/>
        <v>Friday</v>
      </c>
      <c r="J120" s="9" t="str">
        <f t="shared" si="24"/>
        <v>No</v>
      </c>
      <c r="K120" s="5" t="str">
        <f>IF(COUNTIF(Bank_Holidays!A:A,A120)&gt;0,"Yes","No")</f>
        <v>No</v>
      </c>
      <c r="L120" t="str">
        <f t="shared" si="25"/>
        <v>Yes</v>
      </c>
      <c r="M120">
        <f t="shared" si="26"/>
        <v>48</v>
      </c>
      <c r="N120" s="5" t="str">
        <f t="shared" si="27"/>
        <v>No</v>
      </c>
      <c r="O120" t="str">
        <f>IF(A120=WORKDAY(EOMONTH(A120,0)+1,-1,Bank_Holidays!$A$2:$A$25),"Yes","No")</f>
        <v>No</v>
      </c>
      <c r="P120" t="str">
        <f t="shared" si="28"/>
        <v>Yes</v>
      </c>
      <c r="Q120" t="str">
        <f t="shared" si="29"/>
        <v>No</v>
      </c>
      <c r="R120" s="5">
        <f t="shared" si="31"/>
        <v>3</v>
      </c>
      <c r="S120">
        <f>MOD(A120-Fortnightly_Model!$M$1,14)</f>
        <v>13</v>
      </c>
      <c r="T120">
        <f>MOD(A120-FourWeekly_Model!$M$1,28)</f>
        <v>13</v>
      </c>
    </row>
    <row r="121" spans="1:20">
      <c r="A121" s="25">
        <f t="shared" si="30"/>
        <v>46354</v>
      </c>
      <c r="B121">
        <f t="shared" si="16"/>
        <v>2026</v>
      </c>
      <c r="C121" s="9">
        <f t="shared" si="17"/>
        <v>11</v>
      </c>
      <c r="D121" s="9" t="str">
        <f t="shared" si="18"/>
        <v>November</v>
      </c>
      <c r="E121" s="9" t="str">
        <f t="shared" si="19"/>
        <v>Nov-26</v>
      </c>
      <c r="F121" s="9" t="str">
        <f t="shared" si="20"/>
        <v>Q4</v>
      </c>
      <c r="G121" s="9">
        <f t="shared" si="21"/>
        <v>28</v>
      </c>
      <c r="H121" s="9">
        <f t="shared" si="22"/>
        <v>6</v>
      </c>
      <c r="I121" s="9" t="str">
        <f t="shared" si="23"/>
        <v>Saturday</v>
      </c>
      <c r="J121" s="9" t="str">
        <f t="shared" si="24"/>
        <v>Yes</v>
      </c>
      <c r="K121" s="5" t="str">
        <f>IF(COUNTIF(Bank_Holidays!A:A,A121)&gt;0,"Yes","No")</f>
        <v>No</v>
      </c>
      <c r="L121" t="str">
        <f t="shared" si="25"/>
        <v>No</v>
      </c>
      <c r="M121">
        <f t="shared" si="26"/>
        <v>48</v>
      </c>
      <c r="N121" s="5" t="str">
        <f t="shared" si="27"/>
        <v>No</v>
      </c>
      <c r="O121" t="str">
        <f>IF(A121=WORKDAY(EOMONTH(A121,0)+1,-1,Bank_Holidays!$A$2:$A$25),"Yes","No")</f>
        <v>No</v>
      </c>
      <c r="P121" t="str">
        <f t="shared" si="28"/>
        <v>No</v>
      </c>
      <c r="Q121" t="str">
        <f t="shared" si="29"/>
        <v>No</v>
      </c>
      <c r="R121" s="5">
        <f t="shared" si="31"/>
        <v>0</v>
      </c>
      <c r="S121">
        <f>MOD(A121-Fortnightly_Model!$M$1,14)</f>
        <v>0</v>
      </c>
      <c r="T121">
        <f>MOD(A121-FourWeekly_Model!$M$1,28)</f>
        <v>14</v>
      </c>
    </row>
    <row r="122" spans="1:20">
      <c r="A122" s="25">
        <f t="shared" si="30"/>
        <v>46355</v>
      </c>
      <c r="B122">
        <f t="shared" si="16"/>
        <v>2026</v>
      </c>
      <c r="C122" s="9">
        <f t="shared" si="17"/>
        <v>11</v>
      </c>
      <c r="D122" s="9" t="str">
        <f t="shared" si="18"/>
        <v>November</v>
      </c>
      <c r="E122" s="9" t="str">
        <f t="shared" si="19"/>
        <v>Nov-26</v>
      </c>
      <c r="F122" s="9" t="str">
        <f t="shared" si="20"/>
        <v>Q4</v>
      </c>
      <c r="G122" s="9">
        <f t="shared" si="21"/>
        <v>29</v>
      </c>
      <c r="H122" s="9">
        <f t="shared" si="22"/>
        <v>7</v>
      </c>
      <c r="I122" s="9" t="str">
        <f t="shared" si="23"/>
        <v>Sunday</v>
      </c>
      <c r="J122" s="9" t="str">
        <f t="shared" si="24"/>
        <v>Yes</v>
      </c>
      <c r="K122" s="5" t="str">
        <f>IF(COUNTIF(Bank_Holidays!A:A,A122)&gt;0,"Yes","No")</f>
        <v>No</v>
      </c>
      <c r="L122" t="str">
        <f t="shared" si="25"/>
        <v>No</v>
      </c>
      <c r="M122">
        <f t="shared" si="26"/>
        <v>48</v>
      </c>
      <c r="N122" s="5" t="str">
        <f t="shared" si="27"/>
        <v>No</v>
      </c>
      <c r="O122" t="str">
        <f>IF(A122=WORKDAY(EOMONTH(A122,0)+1,-1,Bank_Holidays!$A$2:$A$25),"Yes","No")</f>
        <v>No</v>
      </c>
      <c r="P122" t="str">
        <f t="shared" si="28"/>
        <v>No</v>
      </c>
      <c r="Q122" t="str">
        <f t="shared" si="29"/>
        <v>No</v>
      </c>
      <c r="R122" s="5">
        <f t="shared" si="31"/>
        <v>0</v>
      </c>
      <c r="S122">
        <f>MOD(A122-Fortnightly_Model!$M$1,14)</f>
        <v>1</v>
      </c>
      <c r="T122">
        <f>MOD(A122-FourWeekly_Model!$M$1,28)</f>
        <v>15</v>
      </c>
    </row>
    <row r="123" spans="1:20">
      <c r="A123" s="25">
        <f t="shared" si="30"/>
        <v>46356</v>
      </c>
      <c r="B123">
        <f t="shared" si="16"/>
        <v>2026</v>
      </c>
      <c r="C123" s="9">
        <f t="shared" si="17"/>
        <v>11</v>
      </c>
      <c r="D123" s="9" t="str">
        <f t="shared" si="18"/>
        <v>November</v>
      </c>
      <c r="E123" s="9" t="str">
        <f t="shared" si="19"/>
        <v>Nov-26</v>
      </c>
      <c r="F123" s="9" t="str">
        <f t="shared" si="20"/>
        <v>Q4</v>
      </c>
      <c r="G123" s="9">
        <f t="shared" si="21"/>
        <v>30</v>
      </c>
      <c r="H123" s="9">
        <f t="shared" si="22"/>
        <v>1</v>
      </c>
      <c r="I123" s="9" t="str">
        <f t="shared" si="23"/>
        <v>Monday</v>
      </c>
      <c r="J123" s="9" t="str">
        <f t="shared" si="24"/>
        <v>No</v>
      </c>
      <c r="K123" s="5" t="str">
        <f>IF(COUNTIF(Bank_Holidays!A:A,A123)&gt;0,"Yes","No")</f>
        <v>No</v>
      </c>
      <c r="L123" t="str">
        <f t="shared" si="25"/>
        <v>Yes</v>
      </c>
      <c r="M123">
        <f t="shared" si="26"/>
        <v>49</v>
      </c>
      <c r="N123" s="5" t="str">
        <f t="shared" si="27"/>
        <v>Yes</v>
      </c>
      <c r="O123" t="str">
        <f>IF(A123=WORKDAY(EOMONTH(A123,0)+1,-1,Bank_Holidays!$A$2:$A$25),"Yes","No")</f>
        <v>Yes</v>
      </c>
      <c r="P123" t="str">
        <f t="shared" si="28"/>
        <v>No</v>
      </c>
      <c r="Q123" t="str">
        <f t="shared" si="29"/>
        <v>No</v>
      </c>
      <c r="R123" s="5">
        <f t="shared" si="31"/>
        <v>1</v>
      </c>
      <c r="S123">
        <f>MOD(A123-Fortnightly_Model!$M$1,14)</f>
        <v>2</v>
      </c>
      <c r="T123">
        <f>MOD(A123-FourWeekly_Model!$M$1,28)</f>
        <v>16</v>
      </c>
    </row>
    <row r="124" spans="1:20">
      <c r="A124" s="25">
        <f t="shared" si="30"/>
        <v>46357</v>
      </c>
      <c r="B124">
        <f t="shared" si="16"/>
        <v>2026</v>
      </c>
      <c r="C124" s="9">
        <f t="shared" si="17"/>
        <v>12</v>
      </c>
      <c r="D124" s="9" t="str">
        <f t="shared" si="18"/>
        <v>December</v>
      </c>
      <c r="E124" s="9" t="str">
        <f t="shared" si="19"/>
        <v>Dec-26</v>
      </c>
      <c r="F124" s="9" t="str">
        <f t="shared" si="20"/>
        <v>Q4</v>
      </c>
      <c r="G124" s="9">
        <f t="shared" si="21"/>
        <v>1</v>
      </c>
      <c r="H124" s="9">
        <f t="shared" si="22"/>
        <v>2</v>
      </c>
      <c r="I124" s="9" t="str">
        <f t="shared" si="23"/>
        <v>Tuesday</v>
      </c>
      <c r="J124" s="9" t="str">
        <f t="shared" si="24"/>
        <v>No</v>
      </c>
      <c r="K124" s="5" t="str">
        <f>IF(COUNTIF(Bank_Holidays!A:A,A124)&gt;0,"Yes","No")</f>
        <v>No</v>
      </c>
      <c r="L124" t="str">
        <f t="shared" si="25"/>
        <v>Yes</v>
      </c>
      <c r="M124">
        <f t="shared" si="26"/>
        <v>49</v>
      </c>
      <c r="N124" s="5" t="str">
        <f t="shared" si="27"/>
        <v>No</v>
      </c>
      <c r="O124" t="str">
        <f>IF(A124=WORKDAY(EOMONTH(A124,0)+1,-1,Bank_Holidays!$A$2:$A$25),"Yes","No")</f>
        <v>No</v>
      </c>
      <c r="P124" t="str">
        <f t="shared" si="28"/>
        <v>No</v>
      </c>
      <c r="Q124" t="str">
        <f t="shared" si="29"/>
        <v>No</v>
      </c>
      <c r="R124" s="5">
        <f t="shared" si="31"/>
        <v>1</v>
      </c>
      <c r="S124">
        <f>MOD(A124-Fortnightly_Model!$M$1,14)</f>
        <v>3</v>
      </c>
      <c r="T124">
        <f>MOD(A124-FourWeekly_Model!$M$1,28)</f>
        <v>17</v>
      </c>
    </row>
    <row r="125" spans="1:20">
      <c r="A125" s="25">
        <f t="shared" si="30"/>
        <v>46358</v>
      </c>
      <c r="B125">
        <f t="shared" si="16"/>
        <v>2026</v>
      </c>
      <c r="C125" s="9">
        <f t="shared" si="17"/>
        <v>12</v>
      </c>
      <c r="D125" s="9" t="str">
        <f t="shared" si="18"/>
        <v>December</v>
      </c>
      <c r="E125" s="9" t="str">
        <f t="shared" si="19"/>
        <v>Dec-26</v>
      </c>
      <c r="F125" s="9" t="str">
        <f t="shared" si="20"/>
        <v>Q4</v>
      </c>
      <c r="G125" s="9">
        <f t="shared" si="21"/>
        <v>2</v>
      </c>
      <c r="H125" s="9">
        <f t="shared" si="22"/>
        <v>3</v>
      </c>
      <c r="I125" s="9" t="str">
        <f t="shared" si="23"/>
        <v>Wednesday</v>
      </c>
      <c r="J125" s="9" t="str">
        <f t="shared" si="24"/>
        <v>No</v>
      </c>
      <c r="K125" s="5" t="str">
        <f>IF(COUNTIF(Bank_Holidays!A:A,A125)&gt;0,"Yes","No")</f>
        <v>No</v>
      </c>
      <c r="L125" t="str">
        <f t="shared" si="25"/>
        <v>Yes</v>
      </c>
      <c r="M125">
        <f t="shared" si="26"/>
        <v>49</v>
      </c>
      <c r="N125" s="5" t="str">
        <f t="shared" si="27"/>
        <v>No</v>
      </c>
      <c r="O125" t="str">
        <f>IF(A125=WORKDAY(EOMONTH(A125,0)+1,-1,Bank_Holidays!$A$2:$A$25),"Yes","No")</f>
        <v>No</v>
      </c>
      <c r="P125" t="str">
        <f t="shared" si="28"/>
        <v>No</v>
      </c>
      <c r="Q125" t="str">
        <f t="shared" si="29"/>
        <v>No</v>
      </c>
      <c r="R125" s="5">
        <f t="shared" si="31"/>
        <v>1</v>
      </c>
      <c r="S125">
        <f>MOD(A125-Fortnightly_Model!$M$1,14)</f>
        <v>4</v>
      </c>
      <c r="T125">
        <f>MOD(A125-FourWeekly_Model!$M$1,28)</f>
        <v>18</v>
      </c>
    </row>
    <row r="126" spans="1:20">
      <c r="A126" s="25">
        <f t="shared" si="30"/>
        <v>46359</v>
      </c>
      <c r="B126">
        <f t="shared" si="16"/>
        <v>2026</v>
      </c>
      <c r="C126" s="9">
        <f t="shared" si="17"/>
        <v>12</v>
      </c>
      <c r="D126" s="9" t="str">
        <f t="shared" si="18"/>
        <v>December</v>
      </c>
      <c r="E126" s="9" t="str">
        <f t="shared" si="19"/>
        <v>Dec-26</v>
      </c>
      <c r="F126" s="9" t="str">
        <f t="shared" si="20"/>
        <v>Q4</v>
      </c>
      <c r="G126" s="9">
        <f t="shared" si="21"/>
        <v>3</v>
      </c>
      <c r="H126" s="9">
        <f t="shared" si="22"/>
        <v>4</v>
      </c>
      <c r="I126" s="9" t="str">
        <f t="shared" si="23"/>
        <v>Thursday</v>
      </c>
      <c r="J126" s="9" t="str">
        <f t="shared" si="24"/>
        <v>No</v>
      </c>
      <c r="K126" s="5" t="str">
        <f>IF(COUNTIF(Bank_Holidays!A:A,A126)&gt;0,"Yes","No")</f>
        <v>No</v>
      </c>
      <c r="L126" t="str">
        <f t="shared" si="25"/>
        <v>Yes</v>
      </c>
      <c r="M126">
        <f t="shared" si="26"/>
        <v>49</v>
      </c>
      <c r="N126" s="5" t="str">
        <f t="shared" si="27"/>
        <v>No</v>
      </c>
      <c r="O126" t="str">
        <f>IF(A126=WORKDAY(EOMONTH(A126,0)+1,-1,Bank_Holidays!$A$2:$A$25),"Yes","No")</f>
        <v>No</v>
      </c>
      <c r="P126" t="str">
        <f t="shared" si="28"/>
        <v>No</v>
      </c>
      <c r="Q126" t="str">
        <f t="shared" si="29"/>
        <v>No</v>
      </c>
      <c r="R126" s="5">
        <f t="shared" si="31"/>
        <v>1</v>
      </c>
      <c r="S126">
        <f>MOD(A126-Fortnightly_Model!$M$1,14)</f>
        <v>5</v>
      </c>
      <c r="T126">
        <f>MOD(A126-FourWeekly_Model!$M$1,28)</f>
        <v>19</v>
      </c>
    </row>
    <row r="127" spans="1:20">
      <c r="A127" s="25">
        <f t="shared" si="30"/>
        <v>46360</v>
      </c>
      <c r="B127">
        <f t="shared" si="16"/>
        <v>2026</v>
      </c>
      <c r="C127" s="9">
        <f t="shared" si="17"/>
        <v>12</v>
      </c>
      <c r="D127" s="9" t="str">
        <f t="shared" si="18"/>
        <v>December</v>
      </c>
      <c r="E127" s="9" t="str">
        <f t="shared" si="19"/>
        <v>Dec-26</v>
      </c>
      <c r="F127" s="9" t="str">
        <f t="shared" si="20"/>
        <v>Q4</v>
      </c>
      <c r="G127" s="9">
        <f t="shared" si="21"/>
        <v>4</v>
      </c>
      <c r="H127" s="9">
        <f t="shared" si="22"/>
        <v>5</v>
      </c>
      <c r="I127" s="9" t="str">
        <f t="shared" si="23"/>
        <v>Friday</v>
      </c>
      <c r="J127" s="9" t="str">
        <f t="shared" si="24"/>
        <v>No</v>
      </c>
      <c r="K127" s="5" t="str">
        <f>IF(COUNTIF(Bank_Holidays!A:A,A127)&gt;0,"Yes","No")</f>
        <v>No</v>
      </c>
      <c r="L127" t="str">
        <f t="shared" si="25"/>
        <v>Yes</v>
      </c>
      <c r="M127">
        <f t="shared" si="26"/>
        <v>49</v>
      </c>
      <c r="N127" s="5" t="str">
        <f t="shared" si="27"/>
        <v>No</v>
      </c>
      <c r="O127" t="str">
        <f>IF(A127=WORKDAY(EOMONTH(A127,0)+1,-1,Bank_Holidays!$A$2:$A$25),"Yes","No")</f>
        <v>No</v>
      </c>
      <c r="P127" t="str">
        <f t="shared" si="28"/>
        <v>No</v>
      </c>
      <c r="Q127" t="str">
        <f t="shared" si="29"/>
        <v>No</v>
      </c>
      <c r="R127" s="5">
        <f t="shared" si="31"/>
        <v>3</v>
      </c>
      <c r="S127">
        <f>MOD(A127-Fortnightly_Model!$M$1,14)</f>
        <v>6</v>
      </c>
      <c r="T127">
        <f>MOD(A127-FourWeekly_Model!$M$1,28)</f>
        <v>20</v>
      </c>
    </row>
    <row r="128" spans="1:20">
      <c r="A128" s="25">
        <f t="shared" si="30"/>
        <v>46361</v>
      </c>
      <c r="B128">
        <f t="shared" si="16"/>
        <v>2026</v>
      </c>
      <c r="C128" s="9">
        <f t="shared" si="17"/>
        <v>12</v>
      </c>
      <c r="D128" s="9" t="str">
        <f t="shared" si="18"/>
        <v>December</v>
      </c>
      <c r="E128" s="9" t="str">
        <f t="shared" si="19"/>
        <v>Dec-26</v>
      </c>
      <c r="F128" s="9" t="str">
        <f t="shared" si="20"/>
        <v>Q4</v>
      </c>
      <c r="G128" s="9">
        <f t="shared" si="21"/>
        <v>5</v>
      </c>
      <c r="H128" s="9">
        <f t="shared" si="22"/>
        <v>6</v>
      </c>
      <c r="I128" s="9" t="str">
        <f t="shared" si="23"/>
        <v>Saturday</v>
      </c>
      <c r="J128" s="9" t="str">
        <f t="shared" si="24"/>
        <v>Yes</v>
      </c>
      <c r="K128" s="5" t="str">
        <f>IF(COUNTIF(Bank_Holidays!A:A,A128)&gt;0,"Yes","No")</f>
        <v>No</v>
      </c>
      <c r="L128" t="str">
        <f t="shared" si="25"/>
        <v>No</v>
      </c>
      <c r="M128">
        <f t="shared" si="26"/>
        <v>49</v>
      </c>
      <c r="N128" s="5" t="str">
        <f t="shared" si="27"/>
        <v>No</v>
      </c>
      <c r="O128" t="str">
        <f>IF(A128=WORKDAY(EOMONTH(A128,0)+1,-1,Bank_Holidays!$A$2:$A$25),"Yes","No")</f>
        <v>No</v>
      </c>
      <c r="P128" t="str">
        <f t="shared" si="28"/>
        <v>No</v>
      </c>
      <c r="Q128" t="str">
        <f t="shared" si="29"/>
        <v>No</v>
      </c>
      <c r="R128" s="5">
        <f t="shared" si="31"/>
        <v>0</v>
      </c>
      <c r="S128">
        <f>MOD(A128-Fortnightly_Model!$M$1,14)</f>
        <v>7</v>
      </c>
      <c r="T128">
        <f>MOD(A128-FourWeekly_Model!$M$1,28)</f>
        <v>21</v>
      </c>
    </row>
    <row r="129" spans="1:20">
      <c r="A129" s="25">
        <f t="shared" si="30"/>
        <v>46362</v>
      </c>
      <c r="B129">
        <f t="shared" si="16"/>
        <v>2026</v>
      </c>
      <c r="C129" s="9">
        <f t="shared" si="17"/>
        <v>12</v>
      </c>
      <c r="D129" s="9" t="str">
        <f t="shared" si="18"/>
        <v>December</v>
      </c>
      <c r="E129" s="9" t="str">
        <f t="shared" si="19"/>
        <v>Dec-26</v>
      </c>
      <c r="F129" s="9" t="str">
        <f t="shared" si="20"/>
        <v>Q4</v>
      </c>
      <c r="G129" s="9">
        <f t="shared" si="21"/>
        <v>6</v>
      </c>
      <c r="H129" s="9">
        <f t="shared" si="22"/>
        <v>7</v>
      </c>
      <c r="I129" s="9" t="str">
        <f t="shared" si="23"/>
        <v>Sunday</v>
      </c>
      <c r="J129" s="9" t="str">
        <f t="shared" si="24"/>
        <v>Yes</v>
      </c>
      <c r="K129" s="5" t="str">
        <f>IF(COUNTIF(Bank_Holidays!A:A,A129)&gt;0,"Yes","No")</f>
        <v>No</v>
      </c>
      <c r="L129" t="str">
        <f t="shared" si="25"/>
        <v>No</v>
      </c>
      <c r="M129">
        <f t="shared" si="26"/>
        <v>49</v>
      </c>
      <c r="N129" s="5" t="str">
        <f t="shared" si="27"/>
        <v>No</v>
      </c>
      <c r="O129" t="str">
        <f>IF(A129=WORKDAY(EOMONTH(A129,0)+1,-1,Bank_Holidays!$A$2:$A$25),"Yes","No")</f>
        <v>No</v>
      </c>
      <c r="P129" t="str">
        <f t="shared" si="28"/>
        <v>No</v>
      </c>
      <c r="Q129" t="str">
        <f t="shared" si="29"/>
        <v>No</v>
      </c>
      <c r="R129" s="5">
        <f t="shared" si="31"/>
        <v>0</v>
      </c>
      <c r="S129">
        <f>MOD(A129-Fortnightly_Model!$M$1,14)</f>
        <v>8</v>
      </c>
      <c r="T129">
        <f>MOD(A129-FourWeekly_Model!$M$1,28)</f>
        <v>22</v>
      </c>
    </row>
    <row r="130" spans="1:20">
      <c r="A130" s="25">
        <f t="shared" si="30"/>
        <v>46363</v>
      </c>
      <c r="B130">
        <f t="shared" ref="B130:B193" si="32">YEAR(A130)</f>
        <v>2026</v>
      </c>
      <c r="C130" s="9">
        <f t="shared" ref="C130:C193" si="33">MONTH(A130)</f>
        <v>12</v>
      </c>
      <c r="D130" s="9" t="str">
        <f t="shared" ref="D130:D193" si="34">TEXT(A130,"mmmm")</f>
        <v>December</v>
      </c>
      <c r="E130" s="9" t="str">
        <f t="shared" ref="E130:E193" si="35">TEXT(A130,"mmm-yy")</f>
        <v>Dec-26</v>
      </c>
      <c r="F130" s="9" t="str">
        <f t="shared" ref="F130:F193" si="36">"Q"&amp;ROUNDUP(MONTH($A130)/3,0)</f>
        <v>Q4</v>
      </c>
      <c r="G130" s="9">
        <f t="shared" ref="G130:G193" si="37">DAY($A130)</f>
        <v>7</v>
      </c>
      <c r="H130" s="9">
        <f t="shared" ref="H130:H193" si="38">WEEKDAY($A130,2)</f>
        <v>1</v>
      </c>
      <c r="I130" s="9" t="str">
        <f t="shared" ref="I130:I193" si="39">TEXT($A130,"dddd")</f>
        <v>Monday</v>
      </c>
      <c r="J130" s="9" t="str">
        <f t="shared" ref="J130:J193" si="40">IF($H130&gt;5,"Yes","No")</f>
        <v>No</v>
      </c>
      <c r="K130" s="5" t="str">
        <f>IF(COUNTIF(Bank_Holidays!A:A,A130)&gt;0,"Yes","No")</f>
        <v>No</v>
      </c>
      <c r="L130" t="str">
        <f t="shared" ref="L130:L193" si="41">IF(AND(J130="No",K130="No"),"Yes","No")</f>
        <v>Yes</v>
      </c>
      <c r="M130">
        <f t="shared" ref="M130:M193" si="42">_xlfn.ISOWEEKNUM(A130)</f>
        <v>50</v>
      </c>
      <c r="N130" s="5" t="str">
        <f t="shared" ref="N130:N193" si="43">IF(A130=EOMONTH(A130,0),"Yes","No")</f>
        <v>No</v>
      </c>
      <c r="O130" t="str">
        <f>IF(A130=WORKDAY(EOMONTH(A130,0)+1,-1,Bank_Holidays!$A$2:$A$25),"Yes","No")</f>
        <v>No</v>
      </c>
      <c r="P130" t="str">
        <f t="shared" ref="P130:P193" si="44">IF(
AND(
TEXT(A130,"dddd")="Friday",
MONTH(A130+7)&lt;&gt;MONTH(A130)
),
"Yes",
"No"
)</f>
        <v>No</v>
      </c>
      <c r="Q130" t="str">
        <f t="shared" ref="Q130:Q193" si="45">IF(
AND(
TEXT(A130,"dddd")="Thursday",
MONTH(A130+7)&lt;&gt;MONTH(A130)
),
"Yes",
"No"
)</f>
        <v>No</v>
      </c>
      <c r="R130" s="5">
        <f t="shared" si="31"/>
        <v>1</v>
      </c>
      <c r="S130">
        <f>MOD(A130-Fortnightly_Model!$M$1,14)</f>
        <v>9</v>
      </c>
      <c r="T130">
        <f>MOD(A130-FourWeekly_Model!$M$1,28)</f>
        <v>23</v>
      </c>
    </row>
    <row r="131" spans="1:20">
      <c r="A131" s="25">
        <f t="shared" ref="A131:A194" si="46">A130+1</f>
        <v>46364</v>
      </c>
      <c r="B131">
        <f t="shared" si="32"/>
        <v>2026</v>
      </c>
      <c r="C131" s="9">
        <f t="shared" si="33"/>
        <v>12</v>
      </c>
      <c r="D131" s="9" t="str">
        <f t="shared" si="34"/>
        <v>December</v>
      </c>
      <c r="E131" s="9" t="str">
        <f t="shared" si="35"/>
        <v>Dec-26</v>
      </c>
      <c r="F131" s="9" t="str">
        <f t="shared" si="36"/>
        <v>Q4</v>
      </c>
      <c r="G131" s="9">
        <f t="shared" si="37"/>
        <v>8</v>
      </c>
      <c r="H131" s="9">
        <f t="shared" si="38"/>
        <v>2</v>
      </c>
      <c r="I131" s="9" t="str">
        <f t="shared" si="39"/>
        <v>Tuesday</v>
      </c>
      <c r="J131" s="9" t="str">
        <f t="shared" si="40"/>
        <v>No</v>
      </c>
      <c r="K131" s="5" t="str">
        <f>IF(COUNTIF(Bank_Holidays!A:A,A131)&gt;0,"Yes","No")</f>
        <v>No</v>
      </c>
      <c r="L131" t="str">
        <f t="shared" si="41"/>
        <v>Yes</v>
      </c>
      <c r="M131">
        <f t="shared" si="42"/>
        <v>50</v>
      </c>
      <c r="N131" s="5" t="str">
        <f t="shared" si="43"/>
        <v>No</v>
      </c>
      <c r="O131" t="str">
        <f>IF(A131=WORKDAY(EOMONTH(A131,0)+1,-1,Bank_Holidays!$A$2:$A$25),"Yes","No")</f>
        <v>No</v>
      </c>
      <c r="P131" t="str">
        <f t="shared" si="44"/>
        <v>No</v>
      </c>
      <c r="Q131" t="str">
        <f t="shared" si="45"/>
        <v>No</v>
      </c>
      <c r="R131" s="5">
        <f t="shared" ref="R131:R194" si="47">IF(L131="yes",1)+IF(L131="no",0,IF(AND(L136="no",L135="no",L134="no",L133="no",L132="no"),5,IF(AND(L135="no",L134="no",L133="no",L132="no"),4,IF(AND(L134="no",L133="no",L132="no"),3,IF(AND(L133="no",L132="no"),2,IF(L132="no",1))))))</f>
        <v>1</v>
      </c>
      <c r="S131">
        <f>MOD(A131-Fortnightly_Model!$M$1,14)</f>
        <v>10</v>
      </c>
      <c r="T131">
        <f>MOD(A131-FourWeekly_Model!$M$1,28)</f>
        <v>24</v>
      </c>
    </row>
    <row r="132" spans="1:20">
      <c r="A132" s="25">
        <f t="shared" si="46"/>
        <v>46365</v>
      </c>
      <c r="B132">
        <f t="shared" si="32"/>
        <v>2026</v>
      </c>
      <c r="C132" s="9">
        <f t="shared" si="33"/>
        <v>12</v>
      </c>
      <c r="D132" s="9" t="str">
        <f t="shared" si="34"/>
        <v>December</v>
      </c>
      <c r="E132" s="9" t="str">
        <f t="shared" si="35"/>
        <v>Dec-26</v>
      </c>
      <c r="F132" s="9" t="str">
        <f t="shared" si="36"/>
        <v>Q4</v>
      </c>
      <c r="G132" s="9">
        <f t="shared" si="37"/>
        <v>9</v>
      </c>
      <c r="H132" s="9">
        <f t="shared" si="38"/>
        <v>3</v>
      </c>
      <c r="I132" s="9" t="str">
        <f t="shared" si="39"/>
        <v>Wednesday</v>
      </c>
      <c r="J132" s="9" t="str">
        <f t="shared" si="40"/>
        <v>No</v>
      </c>
      <c r="K132" s="5" t="str">
        <f>IF(COUNTIF(Bank_Holidays!A:A,A132)&gt;0,"Yes","No")</f>
        <v>No</v>
      </c>
      <c r="L132" t="str">
        <f t="shared" si="41"/>
        <v>Yes</v>
      </c>
      <c r="M132">
        <f t="shared" si="42"/>
        <v>50</v>
      </c>
      <c r="N132" s="5" t="str">
        <f t="shared" si="43"/>
        <v>No</v>
      </c>
      <c r="O132" t="str">
        <f>IF(A132=WORKDAY(EOMONTH(A132,0)+1,-1,Bank_Holidays!$A$2:$A$25),"Yes","No")</f>
        <v>No</v>
      </c>
      <c r="P132" t="str">
        <f t="shared" si="44"/>
        <v>No</v>
      </c>
      <c r="Q132" t="str">
        <f t="shared" si="45"/>
        <v>No</v>
      </c>
      <c r="R132" s="5">
        <f t="shared" si="47"/>
        <v>1</v>
      </c>
      <c r="S132">
        <f>MOD(A132-Fortnightly_Model!$M$1,14)</f>
        <v>11</v>
      </c>
      <c r="T132">
        <f>MOD(A132-FourWeekly_Model!$M$1,28)</f>
        <v>25</v>
      </c>
    </row>
    <row r="133" spans="1:20">
      <c r="A133" s="25">
        <f t="shared" si="46"/>
        <v>46366</v>
      </c>
      <c r="B133">
        <f t="shared" si="32"/>
        <v>2026</v>
      </c>
      <c r="C133" s="9">
        <f t="shared" si="33"/>
        <v>12</v>
      </c>
      <c r="D133" s="9" t="str">
        <f t="shared" si="34"/>
        <v>December</v>
      </c>
      <c r="E133" s="9" t="str">
        <f t="shared" si="35"/>
        <v>Dec-26</v>
      </c>
      <c r="F133" s="9" t="str">
        <f t="shared" si="36"/>
        <v>Q4</v>
      </c>
      <c r="G133" s="9">
        <f t="shared" si="37"/>
        <v>10</v>
      </c>
      <c r="H133" s="9">
        <f t="shared" si="38"/>
        <v>4</v>
      </c>
      <c r="I133" s="9" t="str">
        <f t="shared" si="39"/>
        <v>Thursday</v>
      </c>
      <c r="J133" s="9" t="str">
        <f t="shared" si="40"/>
        <v>No</v>
      </c>
      <c r="K133" s="5" t="str">
        <f>IF(COUNTIF(Bank_Holidays!A:A,A133)&gt;0,"Yes","No")</f>
        <v>No</v>
      </c>
      <c r="L133" t="str">
        <f t="shared" si="41"/>
        <v>Yes</v>
      </c>
      <c r="M133">
        <f t="shared" si="42"/>
        <v>50</v>
      </c>
      <c r="N133" s="5" t="str">
        <f t="shared" si="43"/>
        <v>No</v>
      </c>
      <c r="O133" t="str">
        <f>IF(A133=WORKDAY(EOMONTH(A133,0)+1,-1,Bank_Holidays!$A$2:$A$25),"Yes","No")</f>
        <v>No</v>
      </c>
      <c r="P133" t="str">
        <f t="shared" si="44"/>
        <v>No</v>
      </c>
      <c r="Q133" t="str">
        <f t="shared" si="45"/>
        <v>No</v>
      </c>
      <c r="R133" s="5">
        <f t="shared" si="47"/>
        <v>1</v>
      </c>
      <c r="S133">
        <f>MOD(A133-Fortnightly_Model!$M$1,14)</f>
        <v>12</v>
      </c>
      <c r="T133">
        <f>MOD(A133-FourWeekly_Model!$M$1,28)</f>
        <v>26</v>
      </c>
    </row>
    <row r="134" spans="1:20">
      <c r="A134" s="25">
        <f t="shared" si="46"/>
        <v>46367</v>
      </c>
      <c r="B134">
        <f t="shared" si="32"/>
        <v>2026</v>
      </c>
      <c r="C134" s="9">
        <f t="shared" si="33"/>
        <v>12</v>
      </c>
      <c r="D134" s="9" t="str">
        <f t="shared" si="34"/>
        <v>December</v>
      </c>
      <c r="E134" s="9" t="str">
        <f t="shared" si="35"/>
        <v>Dec-26</v>
      </c>
      <c r="F134" s="9" t="str">
        <f t="shared" si="36"/>
        <v>Q4</v>
      </c>
      <c r="G134" s="9">
        <f t="shared" si="37"/>
        <v>11</v>
      </c>
      <c r="H134" s="9">
        <f t="shared" si="38"/>
        <v>5</v>
      </c>
      <c r="I134" s="9" t="str">
        <f t="shared" si="39"/>
        <v>Friday</v>
      </c>
      <c r="J134" s="9" t="str">
        <f t="shared" si="40"/>
        <v>No</v>
      </c>
      <c r="K134" s="5" t="str">
        <f>IF(COUNTIF(Bank_Holidays!A:A,A134)&gt;0,"Yes","No")</f>
        <v>No</v>
      </c>
      <c r="L134" t="str">
        <f t="shared" si="41"/>
        <v>Yes</v>
      </c>
      <c r="M134">
        <f t="shared" si="42"/>
        <v>50</v>
      </c>
      <c r="N134" s="5" t="str">
        <f t="shared" si="43"/>
        <v>No</v>
      </c>
      <c r="O134" t="str">
        <f>IF(A134=WORKDAY(EOMONTH(A134,0)+1,-1,Bank_Holidays!$A$2:$A$25),"Yes","No")</f>
        <v>No</v>
      </c>
      <c r="P134" t="str">
        <f t="shared" si="44"/>
        <v>No</v>
      </c>
      <c r="Q134" t="str">
        <f t="shared" si="45"/>
        <v>No</v>
      </c>
      <c r="R134" s="5">
        <f t="shared" si="47"/>
        <v>3</v>
      </c>
      <c r="S134">
        <f>MOD(A134-Fortnightly_Model!$M$1,14)</f>
        <v>13</v>
      </c>
      <c r="T134">
        <f>MOD(A134-FourWeekly_Model!$M$1,28)</f>
        <v>27</v>
      </c>
    </row>
    <row r="135" spans="1:20">
      <c r="A135" s="25">
        <f t="shared" si="46"/>
        <v>46368</v>
      </c>
      <c r="B135">
        <f t="shared" si="32"/>
        <v>2026</v>
      </c>
      <c r="C135" s="9">
        <f t="shared" si="33"/>
        <v>12</v>
      </c>
      <c r="D135" s="9" t="str">
        <f t="shared" si="34"/>
        <v>December</v>
      </c>
      <c r="E135" s="9" t="str">
        <f t="shared" si="35"/>
        <v>Dec-26</v>
      </c>
      <c r="F135" s="9" t="str">
        <f t="shared" si="36"/>
        <v>Q4</v>
      </c>
      <c r="G135" s="9">
        <f t="shared" si="37"/>
        <v>12</v>
      </c>
      <c r="H135" s="9">
        <f t="shared" si="38"/>
        <v>6</v>
      </c>
      <c r="I135" s="9" t="str">
        <f t="shared" si="39"/>
        <v>Saturday</v>
      </c>
      <c r="J135" s="9" t="str">
        <f t="shared" si="40"/>
        <v>Yes</v>
      </c>
      <c r="K135" s="5" t="str">
        <f>IF(COUNTIF(Bank_Holidays!A:A,A135)&gt;0,"Yes","No")</f>
        <v>No</v>
      </c>
      <c r="L135" t="str">
        <f t="shared" si="41"/>
        <v>No</v>
      </c>
      <c r="M135">
        <f t="shared" si="42"/>
        <v>50</v>
      </c>
      <c r="N135" s="5" t="str">
        <f t="shared" si="43"/>
        <v>No</v>
      </c>
      <c r="O135" t="str">
        <f>IF(A135=WORKDAY(EOMONTH(A135,0)+1,-1,Bank_Holidays!$A$2:$A$25),"Yes","No")</f>
        <v>No</v>
      </c>
      <c r="P135" t="str">
        <f t="shared" si="44"/>
        <v>No</v>
      </c>
      <c r="Q135" t="str">
        <f t="shared" si="45"/>
        <v>No</v>
      </c>
      <c r="R135" s="5">
        <f t="shared" si="47"/>
        <v>0</v>
      </c>
      <c r="S135">
        <f>MOD(A135-Fortnightly_Model!$M$1,14)</f>
        <v>0</v>
      </c>
      <c r="T135">
        <f>MOD(A135-FourWeekly_Model!$M$1,28)</f>
        <v>0</v>
      </c>
    </row>
    <row r="136" spans="1:20">
      <c r="A136" s="25">
        <f t="shared" si="46"/>
        <v>46369</v>
      </c>
      <c r="B136">
        <f t="shared" si="32"/>
        <v>2026</v>
      </c>
      <c r="C136" s="9">
        <f t="shared" si="33"/>
        <v>12</v>
      </c>
      <c r="D136" s="9" t="str">
        <f t="shared" si="34"/>
        <v>December</v>
      </c>
      <c r="E136" s="9" t="str">
        <f t="shared" si="35"/>
        <v>Dec-26</v>
      </c>
      <c r="F136" s="9" t="str">
        <f t="shared" si="36"/>
        <v>Q4</v>
      </c>
      <c r="G136" s="9">
        <f t="shared" si="37"/>
        <v>13</v>
      </c>
      <c r="H136" s="9">
        <f t="shared" si="38"/>
        <v>7</v>
      </c>
      <c r="I136" s="9" t="str">
        <f t="shared" si="39"/>
        <v>Sunday</v>
      </c>
      <c r="J136" s="9" t="str">
        <f t="shared" si="40"/>
        <v>Yes</v>
      </c>
      <c r="K136" s="5" t="str">
        <f>IF(COUNTIF(Bank_Holidays!A:A,A136)&gt;0,"Yes","No")</f>
        <v>No</v>
      </c>
      <c r="L136" t="str">
        <f t="shared" si="41"/>
        <v>No</v>
      </c>
      <c r="M136">
        <f t="shared" si="42"/>
        <v>50</v>
      </c>
      <c r="N136" s="5" t="str">
        <f t="shared" si="43"/>
        <v>No</v>
      </c>
      <c r="O136" t="str">
        <f>IF(A136=WORKDAY(EOMONTH(A136,0)+1,-1,Bank_Holidays!$A$2:$A$25),"Yes","No")</f>
        <v>No</v>
      </c>
      <c r="P136" t="str">
        <f t="shared" si="44"/>
        <v>No</v>
      </c>
      <c r="Q136" t="str">
        <f t="shared" si="45"/>
        <v>No</v>
      </c>
      <c r="R136" s="5">
        <f t="shared" si="47"/>
        <v>0</v>
      </c>
      <c r="S136">
        <f>MOD(A136-Fortnightly_Model!$M$1,14)</f>
        <v>1</v>
      </c>
      <c r="T136">
        <f>MOD(A136-FourWeekly_Model!$M$1,28)</f>
        <v>1</v>
      </c>
    </row>
    <row r="137" spans="1:20">
      <c r="A137" s="25">
        <f t="shared" si="46"/>
        <v>46370</v>
      </c>
      <c r="B137">
        <f t="shared" si="32"/>
        <v>2026</v>
      </c>
      <c r="C137" s="9">
        <f t="shared" si="33"/>
        <v>12</v>
      </c>
      <c r="D137" s="9" t="str">
        <f t="shared" si="34"/>
        <v>December</v>
      </c>
      <c r="E137" s="9" t="str">
        <f t="shared" si="35"/>
        <v>Dec-26</v>
      </c>
      <c r="F137" s="9" t="str">
        <f t="shared" si="36"/>
        <v>Q4</v>
      </c>
      <c r="G137" s="9">
        <f t="shared" si="37"/>
        <v>14</v>
      </c>
      <c r="H137" s="9">
        <f t="shared" si="38"/>
        <v>1</v>
      </c>
      <c r="I137" s="9" t="str">
        <f t="shared" si="39"/>
        <v>Monday</v>
      </c>
      <c r="J137" s="9" t="str">
        <f t="shared" si="40"/>
        <v>No</v>
      </c>
      <c r="K137" s="5" t="str">
        <f>IF(COUNTIF(Bank_Holidays!A:A,A137)&gt;0,"Yes","No")</f>
        <v>No</v>
      </c>
      <c r="L137" t="str">
        <f t="shared" si="41"/>
        <v>Yes</v>
      </c>
      <c r="M137">
        <f t="shared" si="42"/>
        <v>51</v>
      </c>
      <c r="N137" s="5" t="str">
        <f t="shared" si="43"/>
        <v>No</v>
      </c>
      <c r="O137" t="str">
        <f>IF(A137=WORKDAY(EOMONTH(A137,0)+1,-1,Bank_Holidays!$A$2:$A$25),"Yes","No")</f>
        <v>No</v>
      </c>
      <c r="P137" t="str">
        <f t="shared" si="44"/>
        <v>No</v>
      </c>
      <c r="Q137" t="str">
        <f t="shared" si="45"/>
        <v>No</v>
      </c>
      <c r="R137" s="5">
        <f t="shared" si="47"/>
        <v>1</v>
      </c>
      <c r="S137">
        <f>MOD(A137-Fortnightly_Model!$M$1,14)</f>
        <v>2</v>
      </c>
      <c r="T137">
        <f>MOD(A137-FourWeekly_Model!$M$1,28)</f>
        <v>2</v>
      </c>
    </row>
    <row r="138" spans="1:20">
      <c r="A138" s="25">
        <f t="shared" si="46"/>
        <v>46371</v>
      </c>
      <c r="B138">
        <f t="shared" si="32"/>
        <v>2026</v>
      </c>
      <c r="C138" s="9">
        <f t="shared" si="33"/>
        <v>12</v>
      </c>
      <c r="D138" s="9" t="str">
        <f t="shared" si="34"/>
        <v>December</v>
      </c>
      <c r="E138" s="9" t="str">
        <f t="shared" si="35"/>
        <v>Dec-26</v>
      </c>
      <c r="F138" s="9" t="str">
        <f t="shared" si="36"/>
        <v>Q4</v>
      </c>
      <c r="G138" s="9">
        <f t="shared" si="37"/>
        <v>15</v>
      </c>
      <c r="H138" s="9">
        <f t="shared" si="38"/>
        <v>2</v>
      </c>
      <c r="I138" s="9" t="str">
        <f t="shared" si="39"/>
        <v>Tuesday</v>
      </c>
      <c r="J138" s="9" t="str">
        <f t="shared" si="40"/>
        <v>No</v>
      </c>
      <c r="K138" s="5" t="str">
        <f>IF(COUNTIF(Bank_Holidays!A:A,A138)&gt;0,"Yes","No")</f>
        <v>No</v>
      </c>
      <c r="L138" t="str">
        <f t="shared" si="41"/>
        <v>Yes</v>
      </c>
      <c r="M138">
        <f t="shared" si="42"/>
        <v>51</v>
      </c>
      <c r="N138" s="5" t="str">
        <f t="shared" si="43"/>
        <v>No</v>
      </c>
      <c r="O138" t="str">
        <f>IF(A138=WORKDAY(EOMONTH(A138,0)+1,-1,Bank_Holidays!$A$2:$A$25),"Yes","No")</f>
        <v>No</v>
      </c>
      <c r="P138" t="str">
        <f t="shared" si="44"/>
        <v>No</v>
      </c>
      <c r="Q138" t="str">
        <f t="shared" si="45"/>
        <v>No</v>
      </c>
      <c r="R138" s="5">
        <f t="shared" si="47"/>
        <v>1</v>
      </c>
      <c r="S138">
        <f>MOD(A138-Fortnightly_Model!$M$1,14)</f>
        <v>3</v>
      </c>
      <c r="T138">
        <f>MOD(A138-FourWeekly_Model!$M$1,28)</f>
        <v>3</v>
      </c>
    </row>
    <row r="139" spans="1:20">
      <c r="A139" s="25">
        <f t="shared" si="46"/>
        <v>46372</v>
      </c>
      <c r="B139">
        <f t="shared" si="32"/>
        <v>2026</v>
      </c>
      <c r="C139" s="9">
        <f t="shared" si="33"/>
        <v>12</v>
      </c>
      <c r="D139" s="9" t="str">
        <f t="shared" si="34"/>
        <v>December</v>
      </c>
      <c r="E139" s="9" t="str">
        <f t="shared" si="35"/>
        <v>Dec-26</v>
      </c>
      <c r="F139" s="9" t="str">
        <f t="shared" si="36"/>
        <v>Q4</v>
      </c>
      <c r="G139" s="9">
        <f t="shared" si="37"/>
        <v>16</v>
      </c>
      <c r="H139" s="9">
        <f t="shared" si="38"/>
        <v>3</v>
      </c>
      <c r="I139" s="9" t="str">
        <f t="shared" si="39"/>
        <v>Wednesday</v>
      </c>
      <c r="J139" s="9" t="str">
        <f t="shared" si="40"/>
        <v>No</v>
      </c>
      <c r="K139" s="5" t="str">
        <f>IF(COUNTIF(Bank_Holidays!A:A,A139)&gt;0,"Yes","No")</f>
        <v>No</v>
      </c>
      <c r="L139" t="str">
        <f t="shared" si="41"/>
        <v>Yes</v>
      </c>
      <c r="M139">
        <f t="shared" si="42"/>
        <v>51</v>
      </c>
      <c r="N139" s="5" t="str">
        <f t="shared" si="43"/>
        <v>No</v>
      </c>
      <c r="O139" t="str">
        <f>IF(A139=WORKDAY(EOMONTH(A139,0)+1,-1,Bank_Holidays!$A$2:$A$25),"Yes","No")</f>
        <v>No</v>
      </c>
      <c r="P139" t="str">
        <f t="shared" si="44"/>
        <v>No</v>
      </c>
      <c r="Q139" t="str">
        <f t="shared" si="45"/>
        <v>No</v>
      </c>
      <c r="R139" s="5">
        <f t="shared" si="47"/>
        <v>1</v>
      </c>
      <c r="S139">
        <f>MOD(A139-Fortnightly_Model!$M$1,14)</f>
        <v>4</v>
      </c>
      <c r="T139">
        <f>MOD(A139-FourWeekly_Model!$M$1,28)</f>
        <v>4</v>
      </c>
    </row>
    <row r="140" spans="1:20">
      <c r="A140" s="25">
        <f t="shared" si="46"/>
        <v>46373</v>
      </c>
      <c r="B140">
        <f t="shared" si="32"/>
        <v>2026</v>
      </c>
      <c r="C140" s="9">
        <f t="shared" si="33"/>
        <v>12</v>
      </c>
      <c r="D140" s="9" t="str">
        <f t="shared" si="34"/>
        <v>December</v>
      </c>
      <c r="E140" s="9" t="str">
        <f t="shared" si="35"/>
        <v>Dec-26</v>
      </c>
      <c r="F140" s="9" t="str">
        <f t="shared" si="36"/>
        <v>Q4</v>
      </c>
      <c r="G140" s="9">
        <f t="shared" si="37"/>
        <v>17</v>
      </c>
      <c r="H140" s="9">
        <f t="shared" si="38"/>
        <v>4</v>
      </c>
      <c r="I140" s="9" t="str">
        <f t="shared" si="39"/>
        <v>Thursday</v>
      </c>
      <c r="J140" s="9" t="str">
        <f t="shared" si="40"/>
        <v>No</v>
      </c>
      <c r="K140" s="5" t="str">
        <f>IF(COUNTIF(Bank_Holidays!A:A,A140)&gt;0,"Yes","No")</f>
        <v>No</v>
      </c>
      <c r="L140" t="str">
        <f t="shared" si="41"/>
        <v>Yes</v>
      </c>
      <c r="M140">
        <f t="shared" si="42"/>
        <v>51</v>
      </c>
      <c r="N140" s="5" t="str">
        <f t="shared" si="43"/>
        <v>No</v>
      </c>
      <c r="O140" t="str">
        <f>IF(A140=WORKDAY(EOMONTH(A140,0)+1,-1,Bank_Holidays!$A$2:$A$25),"Yes","No")</f>
        <v>No</v>
      </c>
      <c r="P140" t="str">
        <f t="shared" si="44"/>
        <v>No</v>
      </c>
      <c r="Q140" t="str">
        <f t="shared" si="45"/>
        <v>No</v>
      </c>
      <c r="R140" s="5">
        <f t="shared" si="47"/>
        <v>1</v>
      </c>
      <c r="S140">
        <f>MOD(A140-Fortnightly_Model!$M$1,14)</f>
        <v>5</v>
      </c>
      <c r="T140">
        <f>MOD(A140-FourWeekly_Model!$M$1,28)</f>
        <v>5</v>
      </c>
    </row>
    <row r="141" spans="1:20">
      <c r="A141" s="25">
        <f t="shared" si="46"/>
        <v>46374</v>
      </c>
      <c r="B141">
        <f t="shared" si="32"/>
        <v>2026</v>
      </c>
      <c r="C141" s="9">
        <f t="shared" si="33"/>
        <v>12</v>
      </c>
      <c r="D141" s="9" t="str">
        <f t="shared" si="34"/>
        <v>December</v>
      </c>
      <c r="E141" s="9" t="str">
        <f t="shared" si="35"/>
        <v>Dec-26</v>
      </c>
      <c r="F141" s="9" t="str">
        <f t="shared" si="36"/>
        <v>Q4</v>
      </c>
      <c r="G141" s="9">
        <f t="shared" si="37"/>
        <v>18</v>
      </c>
      <c r="H141" s="9">
        <f t="shared" si="38"/>
        <v>5</v>
      </c>
      <c r="I141" s="9" t="str">
        <f t="shared" si="39"/>
        <v>Friday</v>
      </c>
      <c r="J141" s="9" t="str">
        <f t="shared" si="40"/>
        <v>No</v>
      </c>
      <c r="K141" s="5" t="str">
        <f>IF(COUNTIF(Bank_Holidays!A:A,A141)&gt;0,"Yes","No")</f>
        <v>No</v>
      </c>
      <c r="L141" t="str">
        <f t="shared" si="41"/>
        <v>Yes</v>
      </c>
      <c r="M141">
        <f t="shared" si="42"/>
        <v>51</v>
      </c>
      <c r="N141" s="5" t="str">
        <f t="shared" si="43"/>
        <v>No</v>
      </c>
      <c r="O141" t="str">
        <f>IF(A141=WORKDAY(EOMONTH(A141,0)+1,-1,Bank_Holidays!$A$2:$A$25),"Yes","No")</f>
        <v>No</v>
      </c>
      <c r="P141" t="str">
        <f t="shared" si="44"/>
        <v>No</v>
      </c>
      <c r="Q141" t="str">
        <f t="shared" si="45"/>
        <v>No</v>
      </c>
      <c r="R141" s="5">
        <f t="shared" si="47"/>
        <v>3</v>
      </c>
      <c r="S141">
        <f>MOD(A141-Fortnightly_Model!$M$1,14)</f>
        <v>6</v>
      </c>
      <c r="T141">
        <f>MOD(A141-FourWeekly_Model!$M$1,28)</f>
        <v>6</v>
      </c>
    </row>
    <row r="142" spans="1:20">
      <c r="A142" s="25">
        <f t="shared" si="46"/>
        <v>46375</v>
      </c>
      <c r="B142">
        <f t="shared" si="32"/>
        <v>2026</v>
      </c>
      <c r="C142" s="9">
        <f t="shared" si="33"/>
        <v>12</v>
      </c>
      <c r="D142" s="9" t="str">
        <f t="shared" si="34"/>
        <v>December</v>
      </c>
      <c r="E142" s="9" t="str">
        <f t="shared" si="35"/>
        <v>Dec-26</v>
      </c>
      <c r="F142" s="9" t="str">
        <f t="shared" si="36"/>
        <v>Q4</v>
      </c>
      <c r="G142" s="9">
        <f t="shared" si="37"/>
        <v>19</v>
      </c>
      <c r="H142" s="9">
        <f t="shared" si="38"/>
        <v>6</v>
      </c>
      <c r="I142" s="9" t="str">
        <f t="shared" si="39"/>
        <v>Saturday</v>
      </c>
      <c r="J142" s="9" t="str">
        <f t="shared" si="40"/>
        <v>Yes</v>
      </c>
      <c r="K142" s="5" t="str">
        <f>IF(COUNTIF(Bank_Holidays!A:A,A142)&gt;0,"Yes","No")</f>
        <v>No</v>
      </c>
      <c r="L142" t="str">
        <f t="shared" si="41"/>
        <v>No</v>
      </c>
      <c r="M142">
        <f t="shared" si="42"/>
        <v>51</v>
      </c>
      <c r="N142" s="5" t="str">
        <f t="shared" si="43"/>
        <v>No</v>
      </c>
      <c r="O142" t="str">
        <f>IF(A142=WORKDAY(EOMONTH(A142,0)+1,-1,Bank_Holidays!$A$2:$A$25),"Yes","No")</f>
        <v>No</v>
      </c>
      <c r="P142" t="str">
        <f t="shared" si="44"/>
        <v>No</v>
      </c>
      <c r="Q142" t="str">
        <f t="shared" si="45"/>
        <v>No</v>
      </c>
      <c r="R142" s="5">
        <f t="shared" si="47"/>
        <v>0</v>
      </c>
      <c r="S142">
        <f>MOD(A142-Fortnightly_Model!$M$1,14)</f>
        <v>7</v>
      </c>
      <c r="T142">
        <f>MOD(A142-FourWeekly_Model!$M$1,28)</f>
        <v>7</v>
      </c>
    </row>
    <row r="143" spans="1:20">
      <c r="A143" s="25">
        <f t="shared" si="46"/>
        <v>46376</v>
      </c>
      <c r="B143">
        <f t="shared" si="32"/>
        <v>2026</v>
      </c>
      <c r="C143" s="9">
        <f t="shared" si="33"/>
        <v>12</v>
      </c>
      <c r="D143" s="9" t="str">
        <f t="shared" si="34"/>
        <v>December</v>
      </c>
      <c r="E143" s="9" t="str">
        <f t="shared" si="35"/>
        <v>Dec-26</v>
      </c>
      <c r="F143" s="9" t="str">
        <f t="shared" si="36"/>
        <v>Q4</v>
      </c>
      <c r="G143" s="9">
        <f t="shared" si="37"/>
        <v>20</v>
      </c>
      <c r="H143" s="9">
        <f t="shared" si="38"/>
        <v>7</v>
      </c>
      <c r="I143" s="9" t="str">
        <f t="shared" si="39"/>
        <v>Sunday</v>
      </c>
      <c r="J143" s="9" t="str">
        <f t="shared" si="40"/>
        <v>Yes</v>
      </c>
      <c r="K143" s="5" t="str">
        <f>IF(COUNTIF(Bank_Holidays!A:A,A143)&gt;0,"Yes","No")</f>
        <v>No</v>
      </c>
      <c r="L143" t="str">
        <f t="shared" si="41"/>
        <v>No</v>
      </c>
      <c r="M143">
        <f t="shared" si="42"/>
        <v>51</v>
      </c>
      <c r="N143" s="5" t="str">
        <f t="shared" si="43"/>
        <v>No</v>
      </c>
      <c r="O143" t="str">
        <f>IF(A143=WORKDAY(EOMONTH(A143,0)+1,-1,Bank_Holidays!$A$2:$A$25),"Yes","No")</f>
        <v>No</v>
      </c>
      <c r="P143" t="str">
        <f t="shared" si="44"/>
        <v>No</v>
      </c>
      <c r="Q143" t="str">
        <f t="shared" si="45"/>
        <v>No</v>
      </c>
      <c r="R143" s="5">
        <f t="shared" si="47"/>
        <v>0</v>
      </c>
      <c r="S143">
        <f>MOD(A143-Fortnightly_Model!$M$1,14)</f>
        <v>8</v>
      </c>
      <c r="T143">
        <f>MOD(A143-FourWeekly_Model!$M$1,28)</f>
        <v>8</v>
      </c>
    </row>
    <row r="144" spans="1:20">
      <c r="A144" s="25">
        <f t="shared" si="46"/>
        <v>46377</v>
      </c>
      <c r="B144">
        <f t="shared" si="32"/>
        <v>2026</v>
      </c>
      <c r="C144" s="9">
        <f t="shared" si="33"/>
        <v>12</v>
      </c>
      <c r="D144" s="9" t="str">
        <f t="shared" si="34"/>
        <v>December</v>
      </c>
      <c r="E144" s="9" t="str">
        <f t="shared" si="35"/>
        <v>Dec-26</v>
      </c>
      <c r="F144" s="9" t="str">
        <f t="shared" si="36"/>
        <v>Q4</v>
      </c>
      <c r="G144" s="9">
        <f t="shared" si="37"/>
        <v>21</v>
      </c>
      <c r="H144" s="9">
        <f t="shared" si="38"/>
        <v>1</v>
      </c>
      <c r="I144" s="9" t="str">
        <f t="shared" si="39"/>
        <v>Monday</v>
      </c>
      <c r="J144" s="9" t="str">
        <f t="shared" si="40"/>
        <v>No</v>
      </c>
      <c r="K144" s="5" t="str">
        <f>IF(COUNTIF(Bank_Holidays!A:A,A144)&gt;0,"Yes","No")</f>
        <v>No</v>
      </c>
      <c r="L144" t="str">
        <f t="shared" si="41"/>
        <v>Yes</v>
      </c>
      <c r="M144">
        <f t="shared" si="42"/>
        <v>52</v>
      </c>
      <c r="N144" s="5" t="str">
        <f t="shared" si="43"/>
        <v>No</v>
      </c>
      <c r="O144" t="str">
        <f>IF(A144=WORKDAY(EOMONTH(A144,0)+1,-1,Bank_Holidays!$A$2:$A$25),"Yes","No")</f>
        <v>No</v>
      </c>
      <c r="P144" t="str">
        <f t="shared" si="44"/>
        <v>No</v>
      </c>
      <c r="Q144" t="str">
        <f t="shared" si="45"/>
        <v>No</v>
      </c>
      <c r="R144" s="5">
        <f t="shared" si="47"/>
        <v>1</v>
      </c>
      <c r="S144">
        <f>MOD(A144-Fortnightly_Model!$M$1,14)</f>
        <v>9</v>
      </c>
      <c r="T144">
        <f>MOD(A144-FourWeekly_Model!$M$1,28)</f>
        <v>9</v>
      </c>
    </row>
    <row r="145" spans="1:20">
      <c r="A145" s="25">
        <f t="shared" si="46"/>
        <v>46378</v>
      </c>
      <c r="B145">
        <f t="shared" si="32"/>
        <v>2026</v>
      </c>
      <c r="C145" s="9">
        <f t="shared" si="33"/>
        <v>12</v>
      </c>
      <c r="D145" s="9" t="str">
        <f t="shared" si="34"/>
        <v>December</v>
      </c>
      <c r="E145" s="9" t="str">
        <f t="shared" si="35"/>
        <v>Dec-26</v>
      </c>
      <c r="F145" s="9" t="str">
        <f t="shared" si="36"/>
        <v>Q4</v>
      </c>
      <c r="G145" s="9">
        <f t="shared" si="37"/>
        <v>22</v>
      </c>
      <c r="H145" s="9">
        <f t="shared" si="38"/>
        <v>2</v>
      </c>
      <c r="I145" s="9" t="str">
        <f t="shared" si="39"/>
        <v>Tuesday</v>
      </c>
      <c r="J145" s="9" t="str">
        <f t="shared" si="40"/>
        <v>No</v>
      </c>
      <c r="K145" s="5" t="str">
        <f>IF(COUNTIF(Bank_Holidays!A:A,A145)&gt;0,"Yes","No")</f>
        <v>No</v>
      </c>
      <c r="L145" t="str">
        <f t="shared" si="41"/>
        <v>Yes</v>
      </c>
      <c r="M145">
        <f t="shared" si="42"/>
        <v>52</v>
      </c>
      <c r="N145" s="5" t="str">
        <f t="shared" si="43"/>
        <v>No</v>
      </c>
      <c r="O145" t="str">
        <f>IF(A145=WORKDAY(EOMONTH(A145,0)+1,-1,Bank_Holidays!$A$2:$A$25),"Yes","No")</f>
        <v>No</v>
      </c>
      <c r="P145" t="str">
        <f t="shared" si="44"/>
        <v>No</v>
      </c>
      <c r="Q145" t="str">
        <f t="shared" si="45"/>
        <v>No</v>
      </c>
      <c r="R145" s="5">
        <f t="shared" si="47"/>
        <v>1</v>
      </c>
      <c r="S145">
        <f>MOD(A145-Fortnightly_Model!$M$1,14)</f>
        <v>10</v>
      </c>
      <c r="T145">
        <f>MOD(A145-FourWeekly_Model!$M$1,28)</f>
        <v>10</v>
      </c>
    </row>
    <row r="146" spans="1:20">
      <c r="A146" s="25">
        <f t="shared" si="46"/>
        <v>46379</v>
      </c>
      <c r="B146">
        <f t="shared" si="32"/>
        <v>2026</v>
      </c>
      <c r="C146" s="9">
        <f t="shared" si="33"/>
        <v>12</v>
      </c>
      <c r="D146" s="9" t="str">
        <f t="shared" si="34"/>
        <v>December</v>
      </c>
      <c r="E146" s="9" t="str">
        <f t="shared" si="35"/>
        <v>Dec-26</v>
      </c>
      <c r="F146" s="9" t="str">
        <f t="shared" si="36"/>
        <v>Q4</v>
      </c>
      <c r="G146" s="9">
        <f t="shared" si="37"/>
        <v>23</v>
      </c>
      <c r="H146" s="9">
        <f t="shared" si="38"/>
        <v>3</v>
      </c>
      <c r="I146" s="9" t="str">
        <f t="shared" si="39"/>
        <v>Wednesday</v>
      </c>
      <c r="J146" s="9" t="str">
        <f t="shared" si="40"/>
        <v>No</v>
      </c>
      <c r="K146" s="5" t="str">
        <f>IF(COUNTIF(Bank_Holidays!A:A,A146)&gt;0,"Yes","No")</f>
        <v>No</v>
      </c>
      <c r="L146" t="str">
        <f t="shared" si="41"/>
        <v>Yes</v>
      </c>
      <c r="M146">
        <f t="shared" si="42"/>
        <v>52</v>
      </c>
      <c r="N146" s="5" t="str">
        <f t="shared" si="43"/>
        <v>No</v>
      </c>
      <c r="O146" t="str">
        <f>IF(A146=WORKDAY(EOMONTH(A146,0)+1,-1,Bank_Holidays!$A$2:$A$25),"Yes","No")</f>
        <v>No</v>
      </c>
      <c r="P146" t="str">
        <f t="shared" si="44"/>
        <v>No</v>
      </c>
      <c r="Q146" t="str">
        <f t="shared" si="45"/>
        <v>No</v>
      </c>
      <c r="R146" s="5">
        <f t="shared" si="47"/>
        <v>1</v>
      </c>
      <c r="S146">
        <f>MOD(A146-Fortnightly_Model!$M$1,14)</f>
        <v>11</v>
      </c>
      <c r="T146">
        <f>MOD(A146-FourWeekly_Model!$M$1,28)</f>
        <v>11</v>
      </c>
    </row>
    <row r="147" spans="1:20">
      <c r="A147" s="25">
        <f t="shared" si="46"/>
        <v>46380</v>
      </c>
      <c r="B147">
        <f t="shared" si="32"/>
        <v>2026</v>
      </c>
      <c r="C147" s="9">
        <f t="shared" si="33"/>
        <v>12</v>
      </c>
      <c r="D147" s="9" t="str">
        <f t="shared" si="34"/>
        <v>December</v>
      </c>
      <c r="E147" s="9" t="str">
        <f t="shared" si="35"/>
        <v>Dec-26</v>
      </c>
      <c r="F147" s="9" t="str">
        <f t="shared" si="36"/>
        <v>Q4</v>
      </c>
      <c r="G147" s="9">
        <f t="shared" si="37"/>
        <v>24</v>
      </c>
      <c r="H147" s="9">
        <f t="shared" si="38"/>
        <v>4</v>
      </c>
      <c r="I147" s="9" t="str">
        <f t="shared" si="39"/>
        <v>Thursday</v>
      </c>
      <c r="J147" s="9" t="str">
        <f t="shared" si="40"/>
        <v>No</v>
      </c>
      <c r="K147" s="5" t="str">
        <f>IF(COUNTIF(Bank_Holidays!A:A,A147)&gt;0,"Yes","No")</f>
        <v>No</v>
      </c>
      <c r="L147" t="str">
        <f t="shared" si="41"/>
        <v>Yes</v>
      </c>
      <c r="M147">
        <f t="shared" si="42"/>
        <v>52</v>
      </c>
      <c r="N147" s="5" t="str">
        <f t="shared" si="43"/>
        <v>No</v>
      </c>
      <c r="O147" t="str">
        <f>IF(A147=WORKDAY(EOMONTH(A147,0)+1,-1,Bank_Holidays!$A$2:$A$25),"Yes","No")</f>
        <v>No</v>
      </c>
      <c r="P147" t="str">
        <f t="shared" si="44"/>
        <v>No</v>
      </c>
      <c r="Q147" t="str">
        <f t="shared" si="45"/>
        <v>No</v>
      </c>
      <c r="R147" s="5">
        <f t="shared" si="47"/>
        <v>5</v>
      </c>
      <c r="S147">
        <f>MOD(A147-Fortnightly_Model!$M$1,14)</f>
        <v>12</v>
      </c>
      <c r="T147">
        <f>MOD(A147-FourWeekly_Model!$M$1,28)</f>
        <v>12</v>
      </c>
    </row>
    <row r="148" spans="1:20">
      <c r="A148" s="25">
        <f t="shared" si="46"/>
        <v>46381</v>
      </c>
      <c r="B148">
        <f t="shared" si="32"/>
        <v>2026</v>
      </c>
      <c r="C148" s="9">
        <f t="shared" si="33"/>
        <v>12</v>
      </c>
      <c r="D148" s="9" t="str">
        <f t="shared" si="34"/>
        <v>December</v>
      </c>
      <c r="E148" s="9" t="str">
        <f t="shared" si="35"/>
        <v>Dec-26</v>
      </c>
      <c r="F148" s="9" t="str">
        <f t="shared" si="36"/>
        <v>Q4</v>
      </c>
      <c r="G148" s="9">
        <f t="shared" si="37"/>
        <v>25</v>
      </c>
      <c r="H148" s="9">
        <f t="shared" si="38"/>
        <v>5</v>
      </c>
      <c r="I148" s="9" t="str">
        <f t="shared" si="39"/>
        <v>Friday</v>
      </c>
      <c r="J148" s="9" t="str">
        <f t="shared" si="40"/>
        <v>No</v>
      </c>
      <c r="K148" s="5" t="str">
        <f>IF(COUNTIF(Bank_Holidays!A:A,A148)&gt;0,"Yes","No")</f>
        <v>Yes</v>
      </c>
      <c r="L148" t="str">
        <f t="shared" si="41"/>
        <v>No</v>
      </c>
      <c r="M148">
        <f t="shared" si="42"/>
        <v>52</v>
      </c>
      <c r="N148" s="5" t="str">
        <f t="shared" si="43"/>
        <v>No</v>
      </c>
      <c r="O148" t="str">
        <f>IF(A148=WORKDAY(EOMONTH(A148,0)+1,-1,Bank_Holidays!$A$2:$A$25),"Yes","No")</f>
        <v>No</v>
      </c>
      <c r="P148" t="str">
        <f t="shared" si="44"/>
        <v>Yes</v>
      </c>
      <c r="Q148" t="str">
        <f t="shared" si="45"/>
        <v>No</v>
      </c>
      <c r="R148" s="5">
        <f t="shared" si="47"/>
        <v>0</v>
      </c>
      <c r="S148">
        <f>MOD(A148-Fortnightly_Model!$M$1,14)</f>
        <v>13</v>
      </c>
      <c r="T148">
        <f>MOD(A148-FourWeekly_Model!$M$1,28)</f>
        <v>13</v>
      </c>
    </row>
    <row r="149" spans="1:20">
      <c r="A149" s="25">
        <f t="shared" si="46"/>
        <v>46382</v>
      </c>
      <c r="B149">
        <f t="shared" si="32"/>
        <v>2026</v>
      </c>
      <c r="C149" s="9">
        <f t="shared" si="33"/>
        <v>12</v>
      </c>
      <c r="D149" s="9" t="str">
        <f t="shared" si="34"/>
        <v>December</v>
      </c>
      <c r="E149" s="9" t="str">
        <f t="shared" si="35"/>
        <v>Dec-26</v>
      </c>
      <c r="F149" s="9" t="str">
        <f t="shared" si="36"/>
        <v>Q4</v>
      </c>
      <c r="G149" s="9">
        <f t="shared" si="37"/>
        <v>26</v>
      </c>
      <c r="H149" s="9">
        <f t="shared" si="38"/>
        <v>6</v>
      </c>
      <c r="I149" s="9" t="str">
        <f t="shared" si="39"/>
        <v>Saturday</v>
      </c>
      <c r="J149" s="9" t="str">
        <f t="shared" si="40"/>
        <v>Yes</v>
      </c>
      <c r="K149" s="5" t="str">
        <f>IF(COUNTIF(Bank_Holidays!A:A,A149)&gt;0,"Yes","No")</f>
        <v>No</v>
      </c>
      <c r="L149" t="str">
        <f t="shared" si="41"/>
        <v>No</v>
      </c>
      <c r="M149">
        <f t="shared" si="42"/>
        <v>52</v>
      </c>
      <c r="N149" s="5" t="str">
        <f t="shared" si="43"/>
        <v>No</v>
      </c>
      <c r="O149" t="str">
        <f>IF(A149=WORKDAY(EOMONTH(A149,0)+1,-1,Bank_Holidays!$A$2:$A$25),"Yes","No")</f>
        <v>No</v>
      </c>
      <c r="P149" t="str">
        <f t="shared" si="44"/>
        <v>No</v>
      </c>
      <c r="Q149" t="str">
        <f t="shared" si="45"/>
        <v>No</v>
      </c>
      <c r="R149" s="5">
        <f t="shared" si="47"/>
        <v>0</v>
      </c>
      <c r="S149">
        <f>MOD(A149-Fortnightly_Model!$M$1,14)</f>
        <v>0</v>
      </c>
      <c r="T149">
        <f>MOD(A149-FourWeekly_Model!$M$1,28)</f>
        <v>14</v>
      </c>
    </row>
    <row r="150" spans="1:20">
      <c r="A150" s="25">
        <f t="shared" si="46"/>
        <v>46383</v>
      </c>
      <c r="B150">
        <f t="shared" si="32"/>
        <v>2026</v>
      </c>
      <c r="C150" s="9">
        <f t="shared" si="33"/>
        <v>12</v>
      </c>
      <c r="D150" s="9" t="str">
        <f t="shared" si="34"/>
        <v>December</v>
      </c>
      <c r="E150" s="9" t="str">
        <f t="shared" si="35"/>
        <v>Dec-26</v>
      </c>
      <c r="F150" s="9" t="str">
        <f t="shared" si="36"/>
        <v>Q4</v>
      </c>
      <c r="G150" s="9">
        <f t="shared" si="37"/>
        <v>27</v>
      </c>
      <c r="H150" s="9">
        <f t="shared" si="38"/>
        <v>7</v>
      </c>
      <c r="I150" s="9" t="str">
        <f t="shared" si="39"/>
        <v>Sunday</v>
      </c>
      <c r="J150" s="9" t="str">
        <f t="shared" si="40"/>
        <v>Yes</v>
      </c>
      <c r="K150" s="5" t="str">
        <f>IF(COUNTIF(Bank_Holidays!A:A,A150)&gt;0,"Yes","No")</f>
        <v>No</v>
      </c>
      <c r="L150" t="str">
        <f t="shared" si="41"/>
        <v>No</v>
      </c>
      <c r="M150">
        <f t="shared" si="42"/>
        <v>52</v>
      </c>
      <c r="N150" s="5" t="str">
        <f t="shared" si="43"/>
        <v>No</v>
      </c>
      <c r="O150" t="str">
        <f>IF(A150=WORKDAY(EOMONTH(A150,0)+1,-1,Bank_Holidays!$A$2:$A$25),"Yes","No")</f>
        <v>No</v>
      </c>
      <c r="P150" t="str">
        <f t="shared" si="44"/>
        <v>No</v>
      </c>
      <c r="Q150" t="str">
        <f t="shared" si="45"/>
        <v>No</v>
      </c>
      <c r="R150" s="5">
        <f t="shared" si="47"/>
        <v>0</v>
      </c>
      <c r="S150">
        <f>MOD(A150-Fortnightly_Model!$M$1,14)</f>
        <v>1</v>
      </c>
      <c r="T150">
        <f>MOD(A150-FourWeekly_Model!$M$1,28)</f>
        <v>15</v>
      </c>
    </row>
    <row r="151" spans="1:20">
      <c r="A151" s="25">
        <f t="shared" si="46"/>
        <v>46384</v>
      </c>
      <c r="B151">
        <f t="shared" si="32"/>
        <v>2026</v>
      </c>
      <c r="C151" s="9">
        <f t="shared" si="33"/>
        <v>12</v>
      </c>
      <c r="D151" s="9" t="str">
        <f t="shared" si="34"/>
        <v>December</v>
      </c>
      <c r="E151" s="9" t="str">
        <f t="shared" si="35"/>
        <v>Dec-26</v>
      </c>
      <c r="F151" s="9" t="str">
        <f t="shared" si="36"/>
        <v>Q4</v>
      </c>
      <c r="G151" s="9">
        <f t="shared" si="37"/>
        <v>28</v>
      </c>
      <c r="H151" s="9">
        <f t="shared" si="38"/>
        <v>1</v>
      </c>
      <c r="I151" s="9" t="str">
        <f t="shared" si="39"/>
        <v>Monday</v>
      </c>
      <c r="J151" s="9" t="str">
        <f t="shared" si="40"/>
        <v>No</v>
      </c>
      <c r="K151" s="5" t="str">
        <f>IF(COUNTIF(Bank_Holidays!A:A,A151)&gt;0,"Yes","No")</f>
        <v>Yes</v>
      </c>
      <c r="L151" t="str">
        <f t="shared" si="41"/>
        <v>No</v>
      </c>
      <c r="M151">
        <f t="shared" si="42"/>
        <v>53</v>
      </c>
      <c r="N151" s="5" t="str">
        <f t="shared" si="43"/>
        <v>No</v>
      </c>
      <c r="O151" t="str">
        <f>IF(A151=WORKDAY(EOMONTH(A151,0)+1,-1,Bank_Holidays!$A$2:$A$25),"Yes","No")</f>
        <v>No</v>
      </c>
      <c r="P151" t="str">
        <f t="shared" si="44"/>
        <v>No</v>
      </c>
      <c r="Q151" t="str">
        <f t="shared" si="45"/>
        <v>No</v>
      </c>
      <c r="R151" s="5">
        <f t="shared" si="47"/>
        <v>0</v>
      </c>
      <c r="S151">
        <f>MOD(A151-Fortnightly_Model!$M$1,14)</f>
        <v>2</v>
      </c>
      <c r="T151">
        <f>MOD(A151-FourWeekly_Model!$M$1,28)</f>
        <v>16</v>
      </c>
    </row>
    <row r="152" spans="1:20">
      <c r="A152" s="25">
        <f t="shared" si="46"/>
        <v>46385</v>
      </c>
      <c r="B152">
        <f t="shared" si="32"/>
        <v>2026</v>
      </c>
      <c r="C152" s="9">
        <f t="shared" si="33"/>
        <v>12</v>
      </c>
      <c r="D152" s="9" t="str">
        <f t="shared" si="34"/>
        <v>December</v>
      </c>
      <c r="E152" s="9" t="str">
        <f t="shared" si="35"/>
        <v>Dec-26</v>
      </c>
      <c r="F152" s="9" t="str">
        <f t="shared" si="36"/>
        <v>Q4</v>
      </c>
      <c r="G152" s="9">
        <f t="shared" si="37"/>
        <v>29</v>
      </c>
      <c r="H152" s="9">
        <f t="shared" si="38"/>
        <v>2</v>
      </c>
      <c r="I152" s="9" t="str">
        <f t="shared" si="39"/>
        <v>Tuesday</v>
      </c>
      <c r="J152" s="9" t="str">
        <f t="shared" si="40"/>
        <v>No</v>
      </c>
      <c r="K152" s="5" t="str">
        <f>IF(COUNTIF(Bank_Holidays!A:A,A152)&gt;0,"Yes","No")</f>
        <v>No</v>
      </c>
      <c r="L152" t="str">
        <f t="shared" si="41"/>
        <v>Yes</v>
      </c>
      <c r="M152">
        <f t="shared" si="42"/>
        <v>53</v>
      </c>
      <c r="N152" s="5" t="str">
        <f t="shared" si="43"/>
        <v>No</v>
      </c>
      <c r="O152" t="str">
        <f>IF(A152=WORKDAY(EOMONTH(A152,0)+1,-1,Bank_Holidays!$A$2:$A$25),"Yes","No")</f>
        <v>No</v>
      </c>
      <c r="P152" t="str">
        <f t="shared" si="44"/>
        <v>No</v>
      </c>
      <c r="Q152" t="str">
        <f t="shared" si="45"/>
        <v>No</v>
      </c>
      <c r="R152" s="5">
        <f t="shared" si="47"/>
        <v>1</v>
      </c>
      <c r="S152">
        <f>MOD(A152-Fortnightly_Model!$M$1,14)</f>
        <v>3</v>
      </c>
      <c r="T152">
        <f>MOD(A152-FourWeekly_Model!$M$1,28)</f>
        <v>17</v>
      </c>
    </row>
    <row r="153" spans="1:20">
      <c r="A153" s="25">
        <f t="shared" si="46"/>
        <v>46386</v>
      </c>
      <c r="B153">
        <f t="shared" si="32"/>
        <v>2026</v>
      </c>
      <c r="C153" s="9">
        <f t="shared" si="33"/>
        <v>12</v>
      </c>
      <c r="D153" s="9" t="str">
        <f t="shared" si="34"/>
        <v>December</v>
      </c>
      <c r="E153" s="9" t="str">
        <f t="shared" si="35"/>
        <v>Dec-26</v>
      </c>
      <c r="F153" s="9" t="str">
        <f t="shared" si="36"/>
        <v>Q4</v>
      </c>
      <c r="G153" s="9">
        <f t="shared" si="37"/>
        <v>30</v>
      </c>
      <c r="H153" s="9">
        <f t="shared" si="38"/>
        <v>3</v>
      </c>
      <c r="I153" s="9" t="str">
        <f t="shared" si="39"/>
        <v>Wednesday</v>
      </c>
      <c r="J153" s="9" t="str">
        <f t="shared" si="40"/>
        <v>No</v>
      </c>
      <c r="K153" s="5" t="str">
        <f>IF(COUNTIF(Bank_Holidays!A:A,A153)&gt;0,"Yes","No")</f>
        <v>No</v>
      </c>
      <c r="L153" t="str">
        <f t="shared" si="41"/>
        <v>Yes</v>
      </c>
      <c r="M153">
        <f t="shared" si="42"/>
        <v>53</v>
      </c>
      <c r="N153" s="5" t="str">
        <f t="shared" si="43"/>
        <v>No</v>
      </c>
      <c r="O153" t="str">
        <f>IF(A153=WORKDAY(EOMONTH(A153,0)+1,-1,Bank_Holidays!$A$2:$A$25),"Yes","No")</f>
        <v>No</v>
      </c>
      <c r="P153" t="str">
        <f t="shared" si="44"/>
        <v>No</v>
      </c>
      <c r="Q153" t="str">
        <f t="shared" si="45"/>
        <v>No</v>
      </c>
      <c r="R153" s="5">
        <f t="shared" si="47"/>
        <v>1</v>
      </c>
      <c r="S153">
        <f>MOD(A153-Fortnightly_Model!$M$1,14)</f>
        <v>4</v>
      </c>
      <c r="T153">
        <f>MOD(A153-FourWeekly_Model!$M$1,28)</f>
        <v>18</v>
      </c>
    </row>
    <row r="154" spans="1:20">
      <c r="A154" s="25">
        <f t="shared" si="46"/>
        <v>46387</v>
      </c>
      <c r="B154">
        <f t="shared" si="32"/>
        <v>2026</v>
      </c>
      <c r="C154" s="9">
        <f t="shared" si="33"/>
        <v>12</v>
      </c>
      <c r="D154" s="9" t="str">
        <f t="shared" si="34"/>
        <v>December</v>
      </c>
      <c r="E154" s="9" t="str">
        <f t="shared" si="35"/>
        <v>Dec-26</v>
      </c>
      <c r="F154" s="9" t="str">
        <f t="shared" si="36"/>
        <v>Q4</v>
      </c>
      <c r="G154" s="9">
        <f t="shared" si="37"/>
        <v>31</v>
      </c>
      <c r="H154" s="9">
        <f t="shared" si="38"/>
        <v>4</v>
      </c>
      <c r="I154" s="9" t="str">
        <f t="shared" si="39"/>
        <v>Thursday</v>
      </c>
      <c r="J154" s="9" t="str">
        <f t="shared" si="40"/>
        <v>No</v>
      </c>
      <c r="K154" s="5" t="str">
        <f>IF(COUNTIF(Bank_Holidays!A:A,A154)&gt;0,"Yes","No")</f>
        <v>No</v>
      </c>
      <c r="L154" t="str">
        <f t="shared" si="41"/>
        <v>Yes</v>
      </c>
      <c r="M154">
        <f t="shared" si="42"/>
        <v>53</v>
      </c>
      <c r="N154" s="5" t="str">
        <f t="shared" si="43"/>
        <v>Yes</v>
      </c>
      <c r="O154" t="str">
        <f>IF(A154=WORKDAY(EOMONTH(A154,0)+1,-1,Bank_Holidays!$A$2:$A$25),"Yes","No")</f>
        <v>Yes</v>
      </c>
      <c r="P154" t="str">
        <f t="shared" si="44"/>
        <v>No</v>
      </c>
      <c r="Q154" t="str">
        <f t="shared" si="45"/>
        <v>Yes</v>
      </c>
      <c r="R154" s="5">
        <f t="shared" si="47"/>
        <v>4</v>
      </c>
      <c r="S154">
        <f>MOD(A154-Fortnightly_Model!$M$1,14)</f>
        <v>5</v>
      </c>
      <c r="T154">
        <f>MOD(A154-FourWeekly_Model!$M$1,28)</f>
        <v>19</v>
      </c>
    </row>
    <row r="155" spans="1:20">
      <c r="A155" s="25">
        <f t="shared" si="46"/>
        <v>46388</v>
      </c>
      <c r="B155">
        <f t="shared" si="32"/>
        <v>2027</v>
      </c>
      <c r="C155" s="9">
        <f t="shared" si="33"/>
        <v>1</v>
      </c>
      <c r="D155" s="9" t="str">
        <f t="shared" si="34"/>
        <v>January</v>
      </c>
      <c r="E155" s="9" t="str">
        <f t="shared" si="35"/>
        <v>Jan-27</v>
      </c>
      <c r="F155" s="9" t="str">
        <f t="shared" si="36"/>
        <v>Q1</v>
      </c>
      <c r="G155" s="9">
        <f t="shared" si="37"/>
        <v>1</v>
      </c>
      <c r="H155" s="9">
        <f t="shared" si="38"/>
        <v>5</v>
      </c>
      <c r="I155" s="9" t="str">
        <f t="shared" si="39"/>
        <v>Friday</v>
      </c>
      <c r="J155" s="9" t="str">
        <f t="shared" si="40"/>
        <v>No</v>
      </c>
      <c r="K155" s="5" t="str">
        <f>IF(COUNTIF(Bank_Holidays!A:A,A155)&gt;0,"Yes","No")</f>
        <v>Yes</v>
      </c>
      <c r="L155" t="str">
        <f t="shared" si="41"/>
        <v>No</v>
      </c>
      <c r="M155">
        <f t="shared" si="42"/>
        <v>53</v>
      </c>
      <c r="N155" s="5" t="str">
        <f t="shared" si="43"/>
        <v>No</v>
      </c>
      <c r="O155" t="str">
        <f>IF(A155=WORKDAY(EOMONTH(A155,0)+1,-1,Bank_Holidays!$A$2:$A$25),"Yes","No")</f>
        <v>No</v>
      </c>
      <c r="P155" t="str">
        <f t="shared" si="44"/>
        <v>No</v>
      </c>
      <c r="Q155" t="str">
        <f t="shared" si="45"/>
        <v>No</v>
      </c>
      <c r="R155" s="5">
        <f t="shared" si="47"/>
        <v>0</v>
      </c>
      <c r="S155">
        <f>MOD(A155-Fortnightly_Model!$M$1,14)</f>
        <v>6</v>
      </c>
      <c r="T155">
        <f>MOD(A155-FourWeekly_Model!$M$1,28)</f>
        <v>20</v>
      </c>
    </row>
    <row r="156" spans="1:20">
      <c r="A156" s="25">
        <f t="shared" si="46"/>
        <v>46389</v>
      </c>
      <c r="B156">
        <f t="shared" si="32"/>
        <v>2027</v>
      </c>
      <c r="C156" s="9">
        <f t="shared" si="33"/>
        <v>1</v>
      </c>
      <c r="D156" s="9" t="str">
        <f t="shared" si="34"/>
        <v>January</v>
      </c>
      <c r="E156" s="9" t="str">
        <f t="shared" si="35"/>
        <v>Jan-27</v>
      </c>
      <c r="F156" s="9" t="str">
        <f t="shared" si="36"/>
        <v>Q1</v>
      </c>
      <c r="G156" s="9">
        <f t="shared" si="37"/>
        <v>2</v>
      </c>
      <c r="H156" s="9">
        <f t="shared" si="38"/>
        <v>6</v>
      </c>
      <c r="I156" s="9" t="str">
        <f t="shared" si="39"/>
        <v>Saturday</v>
      </c>
      <c r="J156" s="9" t="str">
        <f t="shared" si="40"/>
        <v>Yes</v>
      </c>
      <c r="K156" s="5" t="str">
        <f>IF(COUNTIF(Bank_Holidays!A:A,A156)&gt;0,"Yes","No")</f>
        <v>No</v>
      </c>
      <c r="L156" t="str">
        <f t="shared" si="41"/>
        <v>No</v>
      </c>
      <c r="M156">
        <f t="shared" si="42"/>
        <v>53</v>
      </c>
      <c r="N156" s="5" t="str">
        <f t="shared" si="43"/>
        <v>No</v>
      </c>
      <c r="O156" t="str">
        <f>IF(A156=WORKDAY(EOMONTH(A156,0)+1,-1,Bank_Holidays!$A$2:$A$25),"Yes","No")</f>
        <v>No</v>
      </c>
      <c r="P156" t="str">
        <f t="shared" si="44"/>
        <v>No</v>
      </c>
      <c r="Q156" t="str">
        <f t="shared" si="45"/>
        <v>No</v>
      </c>
      <c r="R156" s="5">
        <f t="shared" si="47"/>
        <v>0</v>
      </c>
      <c r="S156">
        <f>MOD(A156-Fortnightly_Model!$M$1,14)</f>
        <v>7</v>
      </c>
      <c r="T156">
        <f>MOD(A156-FourWeekly_Model!$M$1,28)</f>
        <v>21</v>
      </c>
    </row>
    <row r="157" spans="1:20">
      <c r="A157" s="25">
        <f t="shared" si="46"/>
        <v>46390</v>
      </c>
      <c r="B157">
        <f t="shared" si="32"/>
        <v>2027</v>
      </c>
      <c r="C157" s="9">
        <f t="shared" si="33"/>
        <v>1</v>
      </c>
      <c r="D157" s="9" t="str">
        <f t="shared" si="34"/>
        <v>January</v>
      </c>
      <c r="E157" s="9" t="str">
        <f t="shared" si="35"/>
        <v>Jan-27</v>
      </c>
      <c r="F157" s="9" t="str">
        <f t="shared" si="36"/>
        <v>Q1</v>
      </c>
      <c r="G157" s="9">
        <f t="shared" si="37"/>
        <v>3</v>
      </c>
      <c r="H157" s="9">
        <f t="shared" si="38"/>
        <v>7</v>
      </c>
      <c r="I157" s="9" t="str">
        <f t="shared" si="39"/>
        <v>Sunday</v>
      </c>
      <c r="J157" s="9" t="str">
        <f t="shared" si="40"/>
        <v>Yes</v>
      </c>
      <c r="K157" s="5" t="str">
        <f>IF(COUNTIF(Bank_Holidays!A:A,A157)&gt;0,"Yes","No")</f>
        <v>No</v>
      </c>
      <c r="L157" t="str">
        <f t="shared" si="41"/>
        <v>No</v>
      </c>
      <c r="M157">
        <f t="shared" si="42"/>
        <v>53</v>
      </c>
      <c r="N157" s="5" t="str">
        <f t="shared" si="43"/>
        <v>No</v>
      </c>
      <c r="O157" t="str">
        <f>IF(A157=WORKDAY(EOMONTH(A157,0)+1,-1,Bank_Holidays!$A$2:$A$25),"Yes","No")</f>
        <v>No</v>
      </c>
      <c r="P157" t="str">
        <f t="shared" si="44"/>
        <v>No</v>
      </c>
      <c r="Q157" t="str">
        <f t="shared" si="45"/>
        <v>No</v>
      </c>
      <c r="R157" s="5">
        <f t="shared" si="47"/>
        <v>0</v>
      </c>
      <c r="S157">
        <f>MOD(A157-Fortnightly_Model!$M$1,14)</f>
        <v>8</v>
      </c>
      <c r="T157">
        <f>MOD(A157-FourWeekly_Model!$M$1,28)</f>
        <v>22</v>
      </c>
    </row>
    <row r="158" spans="1:20">
      <c r="A158" s="25">
        <f t="shared" si="46"/>
        <v>46391</v>
      </c>
      <c r="B158">
        <f t="shared" si="32"/>
        <v>2027</v>
      </c>
      <c r="C158" s="9">
        <f t="shared" si="33"/>
        <v>1</v>
      </c>
      <c r="D158" s="9" t="str">
        <f t="shared" si="34"/>
        <v>January</v>
      </c>
      <c r="E158" s="9" t="str">
        <f t="shared" si="35"/>
        <v>Jan-27</v>
      </c>
      <c r="F158" s="9" t="str">
        <f t="shared" si="36"/>
        <v>Q1</v>
      </c>
      <c r="G158" s="9">
        <f t="shared" si="37"/>
        <v>4</v>
      </c>
      <c r="H158" s="9">
        <f t="shared" si="38"/>
        <v>1</v>
      </c>
      <c r="I158" s="9" t="str">
        <f t="shared" si="39"/>
        <v>Monday</v>
      </c>
      <c r="J158" s="9" t="str">
        <f t="shared" si="40"/>
        <v>No</v>
      </c>
      <c r="K158" s="5" t="str">
        <f>IF(COUNTIF(Bank_Holidays!A:A,A158)&gt;0,"Yes","No")</f>
        <v>No</v>
      </c>
      <c r="L158" t="str">
        <f t="shared" si="41"/>
        <v>Yes</v>
      </c>
      <c r="M158">
        <f t="shared" si="42"/>
        <v>1</v>
      </c>
      <c r="N158" s="5" t="str">
        <f t="shared" si="43"/>
        <v>No</v>
      </c>
      <c r="O158" t="str">
        <f>IF(A158=WORKDAY(EOMONTH(A158,0)+1,-1,Bank_Holidays!$A$2:$A$25),"Yes","No")</f>
        <v>No</v>
      </c>
      <c r="P158" t="str">
        <f t="shared" si="44"/>
        <v>No</v>
      </c>
      <c r="Q158" t="str">
        <f t="shared" si="45"/>
        <v>No</v>
      </c>
      <c r="R158" s="5">
        <f t="shared" si="47"/>
        <v>1</v>
      </c>
      <c r="S158">
        <f>MOD(A158-Fortnightly_Model!$M$1,14)</f>
        <v>9</v>
      </c>
      <c r="T158">
        <f>MOD(A158-FourWeekly_Model!$M$1,28)</f>
        <v>23</v>
      </c>
    </row>
    <row r="159" spans="1:20">
      <c r="A159" s="25">
        <f t="shared" si="46"/>
        <v>46392</v>
      </c>
      <c r="B159">
        <f t="shared" si="32"/>
        <v>2027</v>
      </c>
      <c r="C159" s="9">
        <f t="shared" si="33"/>
        <v>1</v>
      </c>
      <c r="D159" s="9" t="str">
        <f t="shared" si="34"/>
        <v>January</v>
      </c>
      <c r="E159" s="9" t="str">
        <f t="shared" si="35"/>
        <v>Jan-27</v>
      </c>
      <c r="F159" s="9" t="str">
        <f t="shared" si="36"/>
        <v>Q1</v>
      </c>
      <c r="G159" s="9">
        <f t="shared" si="37"/>
        <v>5</v>
      </c>
      <c r="H159" s="9">
        <f t="shared" si="38"/>
        <v>2</v>
      </c>
      <c r="I159" s="9" t="str">
        <f t="shared" si="39"/>
        <v>Tuesday</v>
      </c>
      <c r="J159" s="9" t="str">
        <f t="shared" si="40"/>
        <v>No</v>
      </c>
      <c r="K159" s="5" t="str">
        <f>IF(COUNTIF(Bank_Holidays!A:A,A159)&gt;0,"Yes","No")</f>
        <v>No</v>
      </c>
      <c r="L159" t="str">
        <f t="shared" si="41"/>
        <v>Yes</v>
      </c>
      <c r="M159">
        <f t="shared" si="42"/>
        <v>1</v>
      </c>
      <c r="N159" s="5" t="str">
        <f t="shared" si="43"/>
        <v>No</v>
      </c>
      <c r="O159" t="str">
        <f>IF(A159=WORKDAY(EOMONTH(A159,0)+1,-1,Bank_Holidays!$A$2:$A$25),"Yes","No")</f>
        <v>No</v>
      </c>
      <c r="P159" t="str">
        <f t="shared" si="44"/>
        <v>No</v>
      </c>
      <c r="Q159" t="str">
        <f t="shared" si="45"/>
        <v>No</v>
      </c>
      <c r="R159" s="5">
        <f t="shared" si="47"/>
        <v>1</v>
      </c>
      <c r="S159">
        <f>MOD(A159-Fortnightly_Model!$M$1,14)</f>
        <v>10</v>
      </c>
      <c r="T159">
        <f>MOD(A159-FourWeekly_Model!$M$1,28)</f>
        <v>24</v>
      </c>
    </row>
    <row r="160" spans="1:20">
      <c r="A160" s="25">
        <f t="shared" si="46"/>
        <v>46393</v>
      </c>
      <c r="B160">
        <f t="shared" si="32"/>
        <v>2027</v>
      </c>
      <c r="C160" s="9">
        <f t="shared" si="33"/>
        <v>1</v>
      </c>
      <c r="D160" s="9" t="str">
        <f t="shared" si="34"/>
        <v>January</v>
      </c>
      <c r="E160" s="9" t="str">
        <f t="shared" si="35"/>
        <v>Jan-27</v>
      </c>
      <c r="F160" s="9" t="str">
        <f t="shared" si="36"/>
        <v>Q1</v>
      </c>
      <c r="G160" s="9">
        <f t="shared" si="37"/>
        <v>6</v>
      </c>
      <c r="H160" s="9">
        <f t="shared" si="38"/>
        <v>3</v>
      </c>
      <c r="I160" s="9" t="str">
        <f t="shared" si="39"/>
        <v>Wednesday</v>
      </c>
      <c r="J160" s="9" t="str">
        <f t="shared" si="40"/>
        <v>No</v>
      </c>
      <c r="K160" s="5" t="str">
        <f>IF(COUNTIF(Bank_Holidays!A:A,A160)&gt;0,"Yes","No")</f>
        <v>No</v>
      </c>
      <c r="L160" t="str">
        <f t="shared" si="41"/>
        <v>Yes</v>
      </c>
      <c r="M160">
        <f t="shared" si="42"/>
        <v>1</v>
      </c>
      <c r="N160" s="5" t="str">
        <f t="shared" si="43"/>
        <v>No</v>
      </c>
      <c r="O160" t="str">
        <f>IF(A160=WORKDAY(EOMONTH(A160,0)+1,-1,Bank_Holidays!$A$2:$A$25),"Yes","No")</f>
        <v>No</v>
      </c>
      <c r="P160" t="str">
        <f t="shared" si="44"/>
        <v>No</v>
      </c>
      <c r="Q160" t="str">
        <f t="shared" si="45"/>
        <v>No</v>
      </c>
      <c r="R160" s="5">
        <f t="shared" si="47"/>
        <v>1</v>
      </c>
      <c r="S160">
        <f>MOD(A160-Fortnightly_Model!$M$1,14)</f>
        <v>11</v>
      </c>
      <c r="T160">
        <f>MOD(A160-FourWeekly_Model!$M$1,28)</f>
        <v>25</v>
      </c>
    </row>
    <row r="161" spans="1:20">
      <c r="A161" s="25">
        <f t="shared" si="46"/>
        <v>46394</v>
      </c>
      <c r="B161">
        <f t="shared" si="32"/>
        <v>2027</v>
      </c>
      <c r="C161" s="9">
        <f t="shared" si="33"/>
        <v>1</v>
      </c>
      <c r="D161" s="9" t="str">
        <f t="shared" si="34"/>
        <v>January</v>
      </c>
      <c r="E161" s="9" t="str">
        <f t="shared" si="35"/>
        <v>Jan-27</v>
      </c>
      <c r="F161" s="9" t="str">
        <f t="shared" si="36"/>
        <v>Q1</v>
      </c>
      <c r="G161" s="9">
        <f t="shared" si="37"/>
        <v>7</v>
      </c>
      <c r="H161" s="9">
        <f t="shared" si="38"/>
        <v>4</v>
      </c>
      <c r="I161" s="9" t="str">
        <f t="shared" si="39"/>
        <v>Thursday</v>
      </c>
      <c r="J161" s="9" t="str">
        <f t="shared" si="40"/>
        <v>No</v>
      </c>
      <c r="K161" s="5" t="str">
        <f>IF(COUNTIF(Bank_Holidays!A:A,A161)&gt;0,"Yes","No")</f>
        <v>No</v>
      </c>
      <c r="L161" t="str">
        <f t="shared" si="41"/>
        <v>Yes</v>
      </c>
      <c r="M161">
        <f t="shared" si="42"/>
        <v>1</v>
      </c>
      <c r="N161" s="5" t="str">
        <f t="shared" si="43"/>
        <v>No</v>
      </c>
      <c r="O161" t="str">
        <f>IF(A161=WORKDAY(EOMONTH(A161,0)+1,-1,Bank_Holidays!$A$2:$A$25),"Yes","No")</f>
        <v>No</v>
      </c>
      <c r="P161" t="str">
        <f t="shared" si="44"/>
        <v>No</v>
      </c>
      <c r="Q161" t="str">
        <f t="shared" si="45"/>
        <v>No</v>
      </c>
      <c r="R161" s="5">
        <f t="shared" si="47"/>
        <v>1</v>
      </c>
      <c r="S161">
        <f>MOD(A161-Fortnightly_Model!$M$1,14)</f>
        <v>12</v>
      </c>
      <c r="T161">
        <f>MOD(A161-FourWeekly_Model!$M$1,28)</f>
        <v>26</v>
      </c>
    </row>
    <row r="162" spans="1:20">
      <c r="A162" s="25">
        <f t="shared" si="46"/>
        <v>46395</v>
      </c>
      <c r="B162">
        <f t="shared" si="32"/>
        <v>2027</v>
      </c>
      <c r="C162" s="9">
        <f t="shared" si="33"/>
        <v>1</v>
      </c>
      <c r="D162" s="9" t="str">
        <f t="shared" si="34"/>
        <v>January</v>
      </c>
      <c r="E162" s="9" t="str">
        <f t="shared" si="35"/>
        <v>Jan-27</v>
      </c>
      <c r="F162" s="9" t="str">
        <f t="shared" si="36"/>
        <v>Q1</v>
      </c>
      <c r="G162" s="9">
        <f t="shared" si="37"/>
        <v>8</v>
      </c>
      <c r="H162" s="9">
        <f t="shared" si="38"/>
        <v>5</v>
      </c>
      <c r="I162" s="9" t="str">
        <f t="shared" si="39"/>
        <v>Friday</v>
      </c>
      <c r="J162" s="9" t="str">
        <f t="shared" si="40"/>
        <v>No</v>
      </c>
      <c r="K162" s="5" t="str">
        <f>IF(COUNTIF(Bank_Holidays!A:A,A162)&gt;0,"Yes","No")</f>
        <v>No</v>
      </c>
      <c r="L162" t="str">
        <f t="shared" si="41"/>
        <v>Yes</v>
      </c>
      <c r="M162">
        <f t="shared" si="42"/>
        <v>1</v>
      </c>
      <c r="N162" s="5" t="str">
        <f t="shared" si="43"/>
        <v>No</v>
      </c>
      <c r="O162" t="str">
        <f>IF(A162=WORKDAY(EOMONTH(A162,0)+1,-1,Bank_Holidays!$A$2:$A$25),"Yes","No")</f>
        <v>No</v>
      </c>
      <c r="P162" t="str">
        <f t="shared" si="44"/>
        <v>No</v>
      </c>
      <c r="Q162" t="str">
        <f t="shared" si="45"/>
        <v>No</v>
      </c>
      <c r="R162" s="5">
        <f t="shared" si="47"/>
        <v>3</v>
      </c>
      <c r="S162">
        <f>MOD(A162-Fortnightly_Model!$M$1,14)</f>
        <v>13</v>
      </c>
      <c r="T162">
        <f>MOD(A162-FourWeekly_Model!$M$1,28)</f>
        <v>27</v>
      </c>
    </row>
    <row r="163" spans="1:20">
      <c r="A163" s="25">
        <f t="shared" si="46"/>
        <v>46396</v>
      </c>
      <c r="B163">
        <f t="shared" si="32"/>
        <v>2027</v>
      </c>
      <c r="C163" s="9">
        <f t="shared" si="33"/>
        <v>1</v>
      </c>
      <c r="D163" s="9" t="str">
        <f t="shared" si="34"/>
        <v>January</v>
      </c>
      <c r="E163" s="9" t="str">
        <f t="shared" si="35"/>
        <v>Jan-27</v>
      </c>
      <c r="F163" s="9" t="str">
        <f t="shared" si="36"/>
        <v>Q1</v>
      </c>
      <c r="G163" s="9">
        <f t="shared" si="37"/>
        <v>9</v>
      </c>
      <c r="H163" s="9">
        <f t="shared" si="38"/>
        <v>6</v>
      </c>
      <c r="I163" s="9" t="str">
        <f t="shared" si="39"/>
        <v>Saturday</v>
      </c>
      <c r="J163" s="9" t="str">
        <f t="shared" si="40"/>
        <v>Yes</v>
      </c>
      <c r="K163" s="5" t="str">
        <f>IF(COUNTIF(Bank_Holidays!A:A,A163)&gt;0,"Yes","No")</f>
        <v>No</v>
      </c>
      <c r="L163" t="str">
        <f t="shared" si="41"/>
        <v>No</v>
      </c>
      <c r="M163">
        <f t="shared" si="42"/>
        <v>1</v>
      </c>
      <c r="N163" s="5" t="str">
        <f t="shared" si="43"/>
        <v>No</v>
      </c>
      <c r="O163" t="str">
        <f>IF(A163=WORKDAY(EOMONTH(A163,0)+1,-1,Bank_Holidays!$A$2:$A$25),"Yes","No")</f>
        <v>No</v>
      </c>
      <c r="P163" t="str">
        <f t="shared" si="44"/>
        <v>No</v>
      </c>
      <c r="Q163" t="str">
        <f t="shared" si="45"/>
        <v>No</v>
      </c>
      <c r="R163" s="5">
        <f t="shared" si="47"/>
        <v>0</v>
      </c>
      <c r="S163">
        <f>MOD(A163-Fortnightly_Model!$M$1,14)</f>
        <v>0</v>
      </c>
      <c r="T163">
        <f>MOD(A163-FourWeekly_Model!$M$1,28)</f>
        <v>0</v>
      </c>
    </row>
    <row r="164" spans="1:20">
      <c r="A164" s="25">
        <f t="shared" si="46"/>
        <v>46397</v>
      </c>
      <c r="B164">
        <f t="shared" si="32"/>
        <v>2027</v>
      </c>
      <c r="C164" s="9">
        <f t="shared" si="33"/>
        <v>1</v>
      </c>
      <c r="D164" s="9" t="str">
        <f t="shared" si="34"/>
        <v>January</v>
      </c>
      <c r="E164" s="9" t="str">
        <f t="shared" si="35"/>
        <v>Jan-27</v>
      </c>
      <c r="F164" s="9" t="str">
        <f t="shared" si="36"/>
        <v>Q1</v>
      </c>
      <c r="G164" s="9">
        <f t="shared" si="37"/>
        <v>10</v>
      </c>
      <c r="H164" s="9">
        <f t="shared" si="38"/>
        <v>7</v>
      </c>
      <c r="I164" s="9" t="str">
        <f t="shared" si="39"/>
        <v>Sunday</v>
      </c>
      <c r="J164" s="9" t="str">
        <f t="shared" si="40"/>
        <v>Yes</v>
      </c>
      <c r="K164" s="5" t="str">
        <f>IF(COUNTIF(Bank_Holidays!A:A,A164)&gt;0,"Yes","No")</f>
        <v>No</v>
      </c>
      <c r="L164" t="str">
        <f t="shared" si="41"/>
        <v>No</v>
      </c>
      <c r="M164">
        <f t="shared" si="42"/>
        <v>1</v>
      </c>
      <c r="N164" s="5" t="str">
        <f t="shared" si="43"/>
        <v>No</v>
      </c>
      <c r="O164" t="str">
        <f>IF(A164=WORKDAY(EOMONTH(A164,0)+1,-1,Bank_Holidays!$A$2:$A$25),"Yes","No")</f>
        <v>No</v>
      </c>
      <c r="P164" t="str">
        <f t="shared" si="44"/>
        <v>No</v>
      </c>
      <c r="Q164" t="str">
        <f t="shared" si="45"/>
        <v>No</v>
      </c>
      <c r="R164" s="5">
        <f t="shared" si="47"/>
        <v>0</v>
      </c>
      <c r="S164">
        <f>MOD(A164-Fortnightly_Model!$M$1,14)</f>
        <v>1</v>
      </c>
      <c r="T164">
        <f>MOD(A164-FourWeekly_Model!$M$1,28)</f>
        <v>1</v>
      </c>
    </row>
    <row r="165" spans="1:20">
      <c r="A165" s="25">
        <f t="shared" si="46"/>
        <v>46398</v>
      </c>
      <c r="B165">
        <f t="shared" si="32"/>
        <v>2027</v>
      </c>
      <c r="C165" s="9">
        <f t="shared" si="33"/>
        <v>1</v>
      </c>
      <c r="D165" s="9" t="str">
        <f t="shared" si="34"/>
        <v>January</v>
      </c>
      <c r="E165" s="9" t="str">
        <f t="shared" si="35"/>
        <v>Jan-27</v>
      </c>
      <c r="F165" s="9" t="str">
        <f t="shared" si="36"/>
        <v>Q1</v>
      </c>
      <c r="G165" s="9">
        <f t="shared" si="37"/>
        <v>11</v>
      </c>
      <c r="H165" s="9">
        <f t="shared" si="38"/>
        <v>1</v>
      </c>
      <c r="I165" s="9" t="str">
        <f t="shared" si="39"/>
        <v>Monday</v>
      </c>
      <c r="J165" s="9" t="str">
        <f t="shared" si="40"/>
        <v>No</v>
      </c>
      <c r="K165" s="5" t="str">
        <f>IF(COUNTIF(Bank_Holidays!A:A,A165)&gt;0,"Yes","No")</f>
        <v>No</v>
      </c>
      <c r="L165" t="str">
        <f t="shared" si="41"/>
        <v>Yes</v>
      </c>
      <c r="M165">
        <f t="shared" si="42"/>
        <v>2</v>
      </c>
      <c r="N165" s="5" t="str">
        <f t="shared" si="43"/>
        <v>No</v>
      </c>
      <c r="O165" t="str">
        <f>IF(A165=WORKDAY(EOMONTH(A165,0)+1,-1,Bank_Holidays!$A$2:$A$25),"Yes","No")</f>
        <v>No</v>
      </c>
      <c r="P165" t="str">
        <f t="shared" si="44"/>
        <v>No</v>
      </c>
      <c r="Q165" t="str">
        <f t="shared" si="45"/>
        <v>No</v>
      </c>
      <c r="R165" s="5">
        <f t="shared" si="47"/>
        <v>1</v>
      </c>
      <c r="S165">
        <f>MOD(A165-Fortnightly_Model!$M$1,14)</f>
        <v>2</v>
      </c>
      <c r="T165">
        <f>MOD(A165-FourWeekly_Model!$M$1,28)</f>
        <v>2</v>
      </c>
    </row>
    <row r="166" spans="1:20">
      <c r="A166" s="25">
        <f t="shared" si="46"/>
        <v>46399</v>
      </c>
      <c r="B166">
        <f t="shared" si="32"/>
        <v>2027</v>
      </c>
      <c r="C166" s="9">
        <f t="shared" si="33"/>
        <v>1</v>
      </c>
      <c r="D166" s="9" t="str">
        <f t="shared" si="34"/>
        <v>January</v>
      </c>
      <c r="E166" s="9" t="str">
        <f t="shared" si="35"/>
        <v>Jan-27</v>
      </c>
      <c r="F166" s="9" t="str">
        <f t="shared" si="36"/>
        <v>Q1</v>
      </c>
      <c r="G166" s="9">
        <f t="shared" si="37"/>
        <v>12</v>
      </c>
      <c r="H166" s="9">
        <f t="shared" si="38"/>
        <v>2</v>
      </c>
      <c r="I166" s="9" t="str">
        <f t="shared" si="39"/>
        <v>Tuesday</v>
      </c>
      <c r="J166" s="9" t="str">
        <f t="shared" si="40"/>
        <v>No</v>
      </c>
      <c r="K166" s="5" t="str">
        <f>IF(COUNTIF(Bank_Holidays!A:A,A166)&gt;0,"Yes","No")</f>
        <v>No</v>
      </c>
      <c r="L166" t="str">
        <f t="shared" si="41"/>
        <v>Yes</v>
      </c>
      <c r="M166">
        <f t="shared" si="42"/>
        <v>2</v>
      </c>
      <c r="N166" s="5" t="str">
        <f t="shared" si="43"/>
        <v>No</v>
      </c>
      <c r="O166" t="str">
        <f>IF(A166=WORKDAY(EOMONTH(A166,0)+1,-1,Bank_Holidays!$A$2:$A$25),"Yes","No")</f>
        <v>No</v>
      </c>
      <c r="P166" t="str">
        <f t="shared" si="44"/>
        <v>No</v>
      </c>
      <c r="Q166" t="str">
        <f t="shared" si="45"/>
        <v>No</v>
      </c>
      <c r="R166" s="5">
        <f t="shared" si="47"/>
        <v>1</v>
      </c>
      <c r="S166">
        <f>MOD(A166-Fortnightly_Model!$M$1,14)</f>
        <v>3</v>
      </c>
      <c r="T166">
        <f>MOD(A166-FourWeekly_Model!$M$1,28)</f>
        <v>3</v>
      </c>
    </row>
    <row r="167" spans="1:20">
      <c r="A167" s="25">
        <f t="shared" si="46"/>
        <v>46400</v>
      </c>
      <c r="B167">
        <f t="shared" si="32"/>
        <v>2027</v>
      </c>
      <c r="C167" s="9">
        <f t="shared" si="33"/>
        <v>1</v>
      </c>
      <c r="D167" s="9" t="str">
        <f t="shared" si="34"/>
        <v>January</v>
      </c>
      <c r="E167" s="9" t="str">
        <f t="shared" si="35"/>
        <v>Jan-27</v>
      </c>
      <c r="F167" s="9" t="str">
        <f t="shared" si="36"/>
        <v>Q1</v>
      </c>
      <c r="G167" s="9">
        <f t="shared" si="37"/>
        <v>13</v>
      </c>
      <c r="H167" s="9">
        <f t="shared" si="38"/>
        <v>3</v>
      </c>
      <c r="I167" s="9" t="str">
        <f t="shared" si="39"/>
        <v>Wednesday</v>
      </c>
      <c r="J167" s="9" t="str">
        <f t="shared" si="40"/>
        <v>No</v>
      </c>
      <c r="K167" s="5" t="str">
        <f>IF(COUNTIF(Bank_Holidays!A:A,A167)&gt;0,"Yes","No")</f>
        <v>No</v>
      </c>
      <c r="L167" t="str">
        <f t="shared" si="41"/>
        <v>Yes</v>
      </c>
      <c r="M167">
        <f t="shared" si="42"/>
        <v>2</v>
      </c>
      <c r="N167" s="5" t="str">
        <f t="shared" si="43"/>
        <v>No</v>
      </c>
      <c r="O167" t="str">
        <f>IF(A167=WORKDAY(EOMONTH(A167,0)+1,-1,Bank_Holidays!$A$2:$A$25),"Yes","No")</f>
        <v>No</v>
      </c>
      <c r="P167" t="str">
        <f t="shared" si="44"/>
        <v>No</v>
      </c>
      <c r="Q167" t="str">
        <f t="shared" si="45"/>
        <v>No</v>
      </c>
      <c r="R167" s="5">
        <f t="shared" si="47"/>
        <v>1</v>
      </c>
      <c r="S167">
        <f>MOD(A167-Fortnightly_Model!$M$1,14)</f>
        <v>4</v>
      </c>
      <c r="T167">
        <f>MOD(A167-FourWeekly_Model!$M$1,28)</f>
        <v>4</v>
      </c>
    </row>
    <row r="168" spans="1:20">
      <c r="A168" s="25">
        <f t="shared" si="46"/>
        <v>46401</v>
      </c>
      <c r="B168">
        <f t="shared" si="32"/>
        <v>2027</v>
      </c>
      <c r="C168" s="9">
        <f t="shared" si="33"/>
        <v>1</v>
      </c>
      <c r="D168" s="9" t="str">
        <f t="shared" si="34"/>
        <v>January</v>
      </c>
      <c r="E168" s="9" t="str">
        <f t="shared" si="35"/>
        <v>Jan-27</v>
      </c>
      <c r="F168" s="9" t="str">
        <f t="shared" si="36"/>
        <v>Q1</v>
      </c>
      <c r="G168" s="9">
        <f t="shared" si="37"/>
        <v>14</v>
      </c>
      <c r="H168" s="9">
        <f t="shared" si="38"/>
        <v>4</v>
      </c>
      <c r="I168" s="9" t="str">
        <f t="shared" si="39"/>
        <v>Thursday</v>
      </c>
      <c r="J168" s="9" t="str">
        <f t="shared" si="40"/>
        <v>No</v>
      </c>
      <c r="K168" s="5" t="str">
        <f>IF(COUNTIF(Bank_Holidays!A:A,A168)&gt;0,"Yes","No")</f>
        <v>No</v>
      </c>
      <c r="L168" t="str">
        <f t="shared" si="41"/>
        <v>Yes</v>
      </c>
      <c r="M168">
        <f t="shared" si="42"/>
        <v>2</v>
      </c>
      <c r="N168" s="5" t="str">
        <f t="shared" si="43"/>
        <v>No</v>
      </c>
      <c r="O168" t="str">
        <f>IF(A168=WORKDAY(EOMONTH(A168,0)+1,-1,Bank_Holidays!$A$2:$A$25),"Yes","No")</f>
        <v>No</v>
      </c>
      <c r="P168" t="str">
        <f t="shared" si="44"/>
        <v>No</v>
      </c>
      <c r="Q168" t="str">
        <f t="shared" si="45"/>
        <v>No</v>
      </c>
      <c r="R168" s="5">
        <f t="shared" si="47"/>
        <v>1</v>
      </c>
      <c r="S168">
        <f>MOD(A168-Fortnightly_Model!$M$1,14)</f>
        <v>5</v>
      </c>
      <c r="T168">
        <f>MOD(A168-FourWeekly_Model!$M$1,28)</f>
        <v>5</v>
      </c>
    </row>
    <row r="169" spans="1:20">
      <c r="A169" s="25">
        <f t="shared" si="46"/>
        <v>46402</v>
      </c>
      <c r="B169">
        <f t="shared" si="32"/>
        <v>2027</v>
      </c>
      <c r="C169" s="9">
        <f t="shared" si="33"/>
        <v>1</v>
      </c>
      <c r="D169" s="9" t="str">
        <f t="shared" si="34"/>
        <v>January</v>
      </c>
      <c r="E169" s="9" t="str">
        <f t="shared" si="35"/>
        <v>Jan-27</v>
      </c>
      <c r="F169" s="9" t="str">
        <f t="shared" si="36"/>
        <v>Q1</v>
      </c>
      <c r="G169" s="9">
        <f t="shared" si="37"/>
        <v>15</v>
      </c>
      <c r="H169" s="9">
        <f t="shared" si="38"/>
        <v>5</v>
      </c>
      <c r="I169" s="9" t="str">
        <f t="shared" si="39"/>
        <v>Friday</v>
      </c>
      <c r="J169" s="9" t="str">
        <f t="shared" si="40"/>
        <v>No</v>
      </c>
      <c r="K169" s="5" t="str">
        <f>IF(COUNTIF(Bank_Holidays!A:A,A169)&gt;0,"Yes","No")</f>
        <v>No</v>
      </c>
      <c r="L169" t="str">
        <f t="shared" si="41"/>
        <v>Yes</v>
      </c>
      <c r="M169">
        <f t="shared" si="42"/>
        <v>2</v>
      </c>
      <c r="N169" s="5" t="str">
        <f t="shared" si="43"/>
        <v>No</v>
      </c>
      <c r="O169" t="str">
        <f>IF(A169=WORKDAY(EOMONTH(A169,0)+1,-1,Bank_Holidays!$A$2:$A$25),"Yes","No")</f>
        <v>No</v>
      </c>
      <c r="P169" t="str">
        <f t="shared" si="44"/>
        <v>No</v>
      </c>
      <c r="Q169" t="str">
        <f t="shared" si="45"/>
        <v>No</v>
      </c>
      <c r="R169" s="5">
        <f t="shared" si="47"/>
        <v>3</v>
      </c>
      <c r="S169">
        <f>MOD(A169-Fortnightly_Model!$M$1,14)</f>
        <v>6</v>
      </c>
      <c r="T169">
        <f>MOD(A169-FourWeekly_Model!$M$1,28)</f>
        <v>6</v>
      </c>
    </row>
    <row r="170" spans="1:20">
      <c r="A170" s="25">
        <f t="shared" si="46"/>
        <v>46403</v>
      </c>
      <c r="B170">
        <f t="shared" si="32"/>
        <v>2027</v>
      </c>
      <c r="C170" s="9">
        <f t="shared" si="33"/>
        <v>1</v>
      </c>
      <c r="D170" s="9" t="str">
        <f t="shared" si="34"/>
        <v>January</v>
      </c>
      <c r="E170" s="9" t="str">
        <f t="shared" si="35"/>
        <v>Jan-27</v>
      </c>
      <c r="F170" s="9" t="str">
        <f t="shared" si="36"/>
        <v>Q1</v>
      </c>
      <c r="G170" s="9">
        <f t="shared" si="37"/>
        <v>16</v>
      </c>
      <c r="H170" s="9">
        <f t="shared" si="38"/>
        <v>6</v>
      </c>
      <c r="I170" s="9" t="str">
        <f t="shared" si="39"/>
        <v>Saturday</v>
      </c>
      <c r="J170" s="9" t="str">
        <f t="shared" si="40"/>
        <v>Yes</v>
      </c>
      <c r="K170" s="5" t="str">
        <f>IF(COUNTIF(Bank_Holidays!A:A,A170)&gt;0,"Yes","No")</f>
        <v>No</v>
      </c>
      <c r="L170" t="str">
        <f t="shared" si="41"/>
        <v>No</v>
      </c>
      <c r="M170">
        <f t="shared" si="42"/>
        <v>2</v>
      </c>
      <c r="N170" s="5" t="str">
        <f t="shared" si="43"/>
        <v>No</v>
      </c>
      <c r="O170" t="str">
        <f>IF(A170=WORKDAY(EOMONTH(A170,0)+1,-1,Bank_Holidays!$A$2:$A$25),"Yes","No")</f>
        <v>No</v>
      </c>
      <c r="P170" t="str">
        <f t="shared" si="44"/>
        <v>No</v>
      </c>
      <c r="Q170" t="str">
        <f t="shared" si="45"/>
        <v>No</v>
      </c>
      <c r="R170" s="5">
        <f t="shared" si="47"/>
        <v>0</v>
      </c>
      <c r="S170">
        <f>MOD(A170-Fortnightly_Model!$M$1,14)</f>
        <v>7</v>
      </c>
      <c r="T170">
        <f>MOD(A170-FourWeekly_Model!$M$1,28)</f>
        <v>7</v>
      </c>
    </row>
    <row r="171" spans="1:20">
      <c r="A171" s="25">
        <f t="shared" si="46"/>
        <v>46404</v>
      </c>
      <c r="B171">
        <f t="shared" si="32"/>
        <v>2027</v>
      </c>
      <c r="C171" s="9">
        <f t="shared" si="33"/>
        <v>1</v>
      </c>
      <c r="D171" s="9" t="str">
        <f t="shared" si="34"/>
        <v>January</v>
      </c>
      <c r="E171" s="9" t="str">
        <f t="shared" si="35"/>
        <v>Jan-27</v>
      </c>
      <c r="F171" s="9" t="str">
        <f t="shared" si="36"/>
        <v>Q1</v>
      </c>
      <c r="G171" s="9">
        <f t="shared" si="37"/>
        <v>17</v>
      </c>
      <c r="H171" s="9">
        <f t="shared" si="38"/>
        <v>7</v>
      </c>
      <c r="I171" s="9" t="str">
        <f t="shared" si="39"/>
        <v>Sunday</v>
      </c>
      <c r="J171" s="9" t="str">
        <f t="shared" si="40"/>
        <v>Yes</v>
      </c>
      <c r="K171" s="5" t="str">
        <f>IF(COUNTIF(Bank_Holidays!A:A,A171)&gt;0,"Yes","No")</f>
        <v>No</v>
      </c>
      <c r="L171" t="str">
        <f t="shared" si="41"/>
        <v>No</v>
      </c>
      <c r="M171">
        <f t="shared" si="42"/>
        <v>2</v>
      </c>
      <c r="N171" s="5" t="str">
        <f t="shared" si="43"/>
        <v>No</v>
      </c>
      <c r="O171" t="str">
        <f>IF(A171=WORKDAY(EOMONTH(A171,0)+1,-1,Bank_Holidays!$A$2:$A$25),"Yes","No")</f>
        <v>No</v>
      </c>
      <c r="P171" t="str">
        <f t="shared" si="44"/>
        <v>No</v>
      </c>
      <c r="Q171" t="str">
        <f t="shared" si="45"/>
        <v>No</v>
      </c>
      <c r="R171" s="5">
        <f t="shared" si="47"/>
        <v>0</v>
      </c>
      <c r="S171">
        <f>MOD(A171-Fortnightly_Model!$M$1,14)</f>
        <v>8</v>
      </c>
      <c r="T171">
        <f>MOD(A171-FourWeekly_Model!$M$1,28)</f>
        <v>8</v>
      </c>
    </row>
    <row r="172" spans="1:20">
      <c r="A172" s="25">
        <f t="shared" si="46"/>
        <v>46405</v>
      </c>
      <c r="B172">
        <f t="shared" si="32"/>
        <v>2027</v>
      </c>
      <c r="C172" s="9">
        <f t="shared" si="33"/>
        <v>1</v>
      </c>
      <c r="D172" s="9" t="str">
        <f t="shared" si="34"/>
        <v>January</v>
      </c>
      <c r="E172" s="9" t="str">
        <f t="shared" si="35"/>
        <v>Jan-27</v>
      </c>
      <c r="F172" s="9" t="str">
        <f t="shared" si="36"/>
        <v>Q1</v>
      </c>
      <c r="G172" s="9">
        <f t="shared" si="37"/>
        <v>18</v>
      </c>
      <c r="H172" s="9">
        <f t="shared" si="38"/>
        <v>1</v>
      </c>
      <c r="I172" s="9" t="str">
        <f t="shared" si="39"/>
        <v>Monday</v>
      </c>
      <c r="J172" s="9" t="str">
        <f t="shared" si="40"/>
        <v>No</v>
      </c>
      <c r="K172" s="5" t="str">
        <f>IF(COUNTIF(Bank_Holidays!A:A,A172)&gt;0,"Yes","No")</f>
        <v>No</v>
      </c>
      <c r="L172" t="str">
        <f t="shared" si="41"/>
        <v>Yes</v>
      </c>
      <c r="M172">
        <f t="shared" si="42"/>
        <v>3</v>
      </c>
      <c r="N172" s="5" t="str">
        <f t="shared" si="43"/>
        <v>No</v>
      </c>
      <c r="O172" t="str">
        <f>IF(A172=WORKDAY(EOMONTH(A172,0)+1,-1,Bank_Holidays!$A$2:$A$25),"Yes","No")</f>
        <v>No</v>
      </c>
      <c r="P172" t="str">
        <f t="shared" si="44"/>
        <v>No</v>
      </c>
      <c r="Q172" t="str">
        <f t="shared" si="45"/>
        <v>No</v>
      </c>
      <c r="R172" s="5">
        <f t="shared" si="47"/>
        <v>1</v>
      </c>
      <c r="S172">
        <f>MOD(A172-Fortnightly_Model!$M$1,14)</f>
        <v>9</v>
      </c>
      <c r="T172">
        <f>MOD(A172-FourWeekly_Model!$M$1,28)</f>
        <v>9</v>
      </c>
    </row>
    <row r="173" spans="1:20">
      <c r="A173" s="25">
        <f t="shared" si="46"/>
        <v>46406</v>
      </c>
      <c r="B173">
        <f t="shared" si="32"/>
        <v>2027</v>
      </c>
      <c r="C173" s="9">
        <f t="shared" si="33"/>
        <v>1</v>
      </c>
      <c r="D173" s="9" t="str">
        <f t="shared" si="34"/>
        <v>January</v>
      </c>
      <c r="E173" s="9" t="str">
        <f t="shared" si="35"/>
        <v>Jan-27</v>
      </c>
      <c r="F173" s="9" t="str">
        <f t="shared" si="36"/>
        <v>Q1</v>
      </c>
      <c r="G173" s="9">
        <f t="shared" si="37"/>
        <v>19</v>
      </c>
      <c r="H173" s="9">
        <f t="shared" si="38"/>
        <v>2</v>
      </c>
      <c r="I173" s="9" t="str">
        <f t="shared" si="39"/>
        <v>Tuesday</v>
      </c>
      <c r="J173" s="9" t="str">
        <f t="shared" si="40"/>
        <v>No</v>
      </c>
      <c r="K173" s="5" t="str">
        <f>IF(COUNTIF(Bank_Holidays!A:A,A173)&gt;0,"Yes","No")</f>
        <v>No</v>
      </c>
      <c r="L173" t="str">
        <f t="shared" si="41"/>
        <v>Yes</v>
      </c>
      <c r="M173">
        <f t="shared" si="42"/>
        <v>3</v>
      </c>
      <c r="N173" s="5" t="str">
        <f t="shared" si="43"/>
        <v>No</v>
      </c>
      <c r="O173" t="str">
        <f>IF(A173=WORKDAY(EOMONTH(A173,0)+1,-1,Bank_Holidays!$A$2:$A$25),"Yes","No")</f>
        <v>No</v>
      </c>
      <c r="P173" t="str">
        <f t="shared" si="44"/>
        <v>No</v>
      </c>
      <c r="Q173" t="str">
        <f t="shared" si="45"/>
        <v>No</v>
      </c>
      <c r="R173" s="5">
        <f t="shared" si="47"/>
        <v>1</v>
      </c>
      <c r="S173">
        <f>MOD(A173-Fortnightly_Model!$M$1,14)</f>
        <v>10</v>
      </c>
      <c r="T173">
        <f>MOD(A173-FourWeekly_Model!$M$1,28)</f>
        <v>10</v>
      </c>
    </row>
    <row r="174" spans="1:20">
      <c r="A174" s="25">
        <f t="shared" si="46"/>
        <v>46407</v>
      </c>
      <c r="B174">
        <f t="shared" si="32"/>
        <v>2027</v>
      </c>
      <c r="C174" s="9">
        <f t="shared" si="33"/>
        <v>1</v>
      </c>
      <c r="D174" s="9" t="str">
        <f t="shared" si="34"/>
        <v>January</v>
      </c>
      <c r="E174" s="9" t="str">
        <f t="shared" si="35"/>
        <v>Jan-27</v>
      </c>
      <c r="F174" s="9" t="str">
        <f t="shared" si="36"/>
        <v>Q1</v>
      </c>
      <c r="G174" s="9">
        <f t="shared" si="37"/>
        <v>20</v>
      </c>
      <c r="H174" s="9">
        <f t="shared" si="38"/>
        <v>3</v>
      </c>
      <c r="I174" s="9" t="str">
        <f t="shared" si="39"/>
        <v>Wednesday</v>
      </c>
      <c r="J174" s="9" t="str">
        <f t="shared" si="40"/>
        <v>No</v>
      </c>
      <c r="K174" s="5" t="str">
        <f>IF(COUNTIF(Bank_Holidays!A:A,A174)&gt;0,"Yes","No")</f>
        <v>No</v>
      </c>
      <c r="L174" t="str">
        <f t="shared" si="41"/>
        <v>Yes</v>
      </c>
      <c r="M174">
        <f t="shared" si="42"/>
        <v>3</v>
      </c>
      <c r="N174" s="5" t="str">
        <f t="shared" si="43"/>
        <v>No</v>
      </c>
      <c r="O174" t="str">
        <f>IF(A174=WORKDAY(EOMONTH(A174,0)+1,-1,Bank_Holidays!$A$2:$A$25),"Yes","No")</f>
        <v>No</v>
      </c>
      <c r="P174" t="str">
        <f t="shared" si="44"/>
        <v>No</v>
      </c>
      <c r="Q174" t="str">
        <f t="shared" si="45"/>
        <v>No</v>
      </c>
      <c r="R174" s="5">
        <f t="shared" si="47"/>
        <v>1</v>
      </c>
      <c r="S174">
        <f>MOD(A174-Fortnightly_Model!$M$1,14)</f>
        <v>11</v>
      </c>
      <c r="T174">
        <f>MOD(A174-FourWeekly_Model!$M$1,28)</f>
        <v>11</v>
      </c>
    </row>
    <row r="175" spans="1:20">
      <c r="A175" s="25">
        <f t="shared" si="46"/>
        <v>46408</v>
      </c>
      <c r="B175">
        <f t="shared" si="32"/>
        <v>2027</v>
      </c>
      <c r="C175" s="9">
        <f t="shared" si="33"/>
        <v>1</v>
      </c>
      <c r="D175" s="9" t="str">
        <f t="shared" si="34"/>
        <v>January</v>
      </c>
      <c r="E175" s="9" t="str">
        <f t="shared" si="35"/>
        <v>Jan-27</v>
      </c>
      <c r="F175" s="9" t="str">
        <f t="shared" si="36"/>
        <v>Q1</v>
      </c>
      <c r="G175" s="9">
        <f t="shared" si="37"/>
        <v>21</v>
      </c>
      <c r="H175" s="9">
        <f t="shared" si="38"/>
        <v>4</v>
      </c>
      <c r="I175" s="9" t="str">
        <f t="shared" si="39"/>
        <v>Thursday</v>
      </c>
      <c r="J175" s="9" t="str">
        <f t="shared" si="40"/>
        <v>No</v>
      </c>
      <c r="K175" s="5" t="str">
        <f>IF(COUNTIF(Bank_Holidays!A:A,A175)&gt;0,"Yes","No")</f>
        <v>No</v>
      </c>
      <c r="L175" t="str">
        <f t="shared" si="41"/>
        <v>Yes</v>
      </c>
      <c r="M175">
        <f t="shared" si="42"/>
        <v>3</v>
      </c>
      <c r="N175" s="5" t="str">
        <f t="shared" si="43"/>
        <v>No</v>
      </c>
      <c r="O175" t="str">
        <f>IF(A175=WORKDAY(EOMONTH(A175,0)+1,-1,Bank_Holidays!$A$2:$A$25),"Yes","No")</f>
        <v>No</v>
      </c>
      <c r="P175" t="str">
        <f t="shared" si="44"/>
        <v>No</v>
      </c>
      <c r="Q175" t="str">
        <f t="shared" si="45"/>
        <v>No</v>
      </c>
      <c r="R175" s="5">
        <f t="shared" si="47"/>
        <v>1</v>
      </c>
      <c r="S175">
        <f>MOD(A175-Fortnightly_Model!$M$1,14)</f>
        <v>12</v>
      </c>
      <c r="T175">
        <f>MOD(A175-FourWeekly_Model!$M$1,28)</f>
        <v>12</v>
      </c>
    </row>
    <row r="176" spans="1:20">
      <c r="A176" s="25">
        <f t="shared" si="46"/>
        <v>46409</v>
      </c>
      <c r="B176">
        <f t="shared" si="32"/>
        <v>2027</v>
      </c>
      <c r="C176" s="9">
        <f t="shared" si="33"/>
        <v>1</v>
      </c>
      <c r="D176" s="9" t="str">
        <f t="shared" si="34"/>
        <v>January</v>
      </c>
      <c r="E176" s="9" t="str">
        <f t="shared" si="35"/>
        <v>Jan-27</v>
      </c>
      <c r="F176" s="9" t="str">
        <f t="shared" si="36"/>
        <v>Q1</v>
      </c>
      <c r="G176" s="9">
        <f t="shared" si="37"/>
        <v>22</v>
      </c>
      <c r="H176" s="9">
        <f t="shared" si="38"/>
        <v>5</v>
      </c>
      <c r="I176" s="9" t="str">
        <f t="shared" si="39"/>
        <v>Friday</v>
      </c>
      <c r="J176" s="9" t="str">
        <f t="shared" si="40"/>
        <v>No</v>
      </c>
      <c r="K176" s="5" t="str">
        <f>IF(COUNTIF(Bank_Holidays!A:A,A176)&gt;0,"Yes","No")</f>
        <v>No</v>
      </c>
      <c r="L176" t="str">
        <f t="shared" si="41"/>
        <v>Yes</v>
      </c>
      <c r="M176">
        <f t="shared" si="42"/>
        <v>3</v>
      </c>
      <c r="N176" s="5" t="str">
        <f t="shared" si="43"/>
        <v>No</v>
      </c>
      <c r="O176" t="str">
        <f>IF(A176=WORKDAY(EOMONTH(A176,0)+1,-1,Bank_Holidays!$A$2:$A$25),"Yes","No")</f>
        <v>No</v>
      </c>
      <c r="P176" t="str">
        <f t="shared" si="44"/>
        <v>No</v>
      </c>
      <c r="Q176" t="str">
        <f t="shared" si="45"/>
        <v>No</v>
      </c>
      <c r="R176" s="5">
        <f t="shared" si="47"/>
        <v>3</v>
      </c>
      <c r="S176">
        <f>MOD(A176-Fortnightly_Model!$M$1,14)</f>
        <v>13</v>
      </c>
      <c r="T176">
        <f>MOD(A176-FourWeekly_Model!$M$1,28)</f>
        <v>13</v>
      </c>
    </row>
    <row r="177" spans="1:20">
      <c r="A177" s="25">
        <f t="shared" si="46"/>
        <v>46410</v>
      </c>
      <c r="B177">
        <f t="shared" si="32"/>
        <v>2027</v>
      </c>
      <c r="C177" s="9">
        <f t="shared" si="33"/>
        <v>1</v>
      </c>
      <c r="D177" s="9" t="str">
        <f t="shared" si="34"/>
        <v>January</v>
      </c>
      <c r="E177" s="9" t="str">
        <f t="shared" si="35"/>
        <v>Jan-27</v>
      </c>
      <c r="F177" s="9" t="str">
        <f t="shared" si="36"/>
        <v>Q1</v>
      </c>
      <c r="G177" s="9">
        <f t="shared" si="37"/>
        <v>23</v>
      </c>
      <c r="H177" s="9">
        <f t="shared" si="38"/>
        <v>6</v>
      </c>
      <c r="I177" s="9" t="str">
        <f t="shared" si="39"/>
        <v>Saturday</v>
      </c>
      <c r="J177" s="9" t="str">
        <f t="shared" si="40"/>
        <v>Yes</v>
      </c>
      <c r="K177" s="5" t="str">
        <f>IF(COUNTIF(Bank_Holidays!A:A,A177)&gt;0,"Yes","No")</f>
        <v>No</v>
      </c>
      <c r="L177" t="str">
        <f t="shared" si="41"/>
        <v>No</v>
      </c>
      <c r="M177">
        <f t="shared" si="42"/>
        <v>3</v>
      </c>
      <c r="N177" s="5" t="str">
        <f t="shared" si="43"/>
        <v>No</v>
      </c>
      <c r="O177" t="str">
        <f>IF(A177=WORKDAY(EOMONTH(A177,0)+1,-1,Bank_Holidays!$A$2:$A$25),"Yes","No")</f>
        <v>No</v>
      </c>
      <c r="P177" t="str">
        <f t="shared" si="44"/>
        <v>No</v>
      </c>
      <c r="Q177" t="str">
        <f t="shared" si="45"/>
        <v>No</v>
      </c>
      <c r="R177" s="5">
        <f t="shared" si="47"/>
        <v>0</v>
      </c>
      <c r="S177">
        <f>MOD(A177-Fortnightly_Model!$M$1,14)</f>
        <v>0</v>
      </c>
      <c r="T177">
        <f>MOD(A177-FourWeekly_Model!$M$1,28)</f>
        <v>14</v>
      </c>
    </row>
    <row r="178" spans="1:20">
      <c r="A178" s="25">
        <f t="shared" si="46"/>
        <v>46411</v>
      </c>
      <c r="B178">
        <f t="shared" si="32"/>
        <v>2027</v>
      </c>
      <c r="C178" s="9">
        <f t="shared" si="33"/>
        <v>1</v>
      </c>
      <c r="D178" s="9" t="str">
        <f t="shared" si="34"/>
        <v>January</v>
      </c>
      <c r="E178" s="9" t="str">
        <f t="shared" si="35"/>
        <v>Jan-27</v>
      </c>
      <c r="F178" s="9" t="str">
        <f t="shared" si="36"/>
        <v>Q1</v>
      </c>
      <c r="G178" s="9">
        <f t="shared" si="37"/>
        <v>24</v>
      </c>
      <c r="H178" s="9">
        <f t="shared" si="38"/>
        <v>7</v>
      </c>
      <c r="I178" s="9" t="str">
        <f t="shared" si="39"/>
        <v>Sunday</v>
      </c>
      <c r="J178" s="9" t="str">
        <f t="shared" si="40"/>
        <v>Yes</v>
      </c>
      <c r="K178" s="5" t="str">
        <f>IF(COUNTIF(Bank_Holidays!A:A,A178)&gt;0,"Yes","No")</f>
        <v>No</v>
      </c>
      <c r="L178" t="str">
        <f t="shared" si="41"/>
        <v>No</v>
      </c>
      <c r="M178">
        <f t="shared" si="42"/>
        <v>3</v>
      </c>
      <c r="N178" s="5" t="str">
        <f t="shared" si="43"/>
        <v>No</v>
      </c>
      <c r="O178" t="str">
        <f>IF(A178=WORKDAY(EOMONTH(A178,0)+1,-1,Bank_Holidays!$A$2:$A$25),"Yes","No")</f>
        <v>No</v>
      </c>
      <c r="P178" t="str">
        <f t="shared" si="44"/>
        <v>No</v>
      </c>
      <c r="Q178" t="str">
        <f t="shared" si="45"/>
        <v>No</v>
      </c>
      <c r="R178" s="5">
        <f t="shared" si="47"/>
        <v>0</v>
      </c>
      <c r="S178">
        <f>MOD(A178-Fortnightly_Model!$M$1,14)</f>
        <v>1</v>
      </c>
      <c r="T178">
        <f>MOD(A178-FourWeekly_Model!$M$1,28)</f>
        <v>15</v>
      </c>
    </row>
    <row r="179" spans="1:20">
      <c r="A179" s="25">
        <f t="shared" si="46"/>
        <v>46412</v>
      </c>
      <c r="B179">
        <f t="shared" si="32"/>
        <v>2027</v>
      </c>
      <c r="C179" s="9">
        <f t="shared" si="33"/>
        <v>1</v>
      </c>
      <c r="D179" s="9" t="str">
        <f t="shared" si="34"/>
        <v>January</v>
      </c>
      <c r="E179" s="9" t="str">
        <f t="shared" si="35"/>
        <v>Jan-27</v>
      </c>
      <c r="F179" s="9" t="str">
        <f t="shared" si="36"/>
        <v>Q1</v>
      </c>
      <c r="G179" s="9">
        <f t="shared" si="37"/>
        <v>25</v>
      </c>
      <c r="H179" s="9">
        <f t="shared" si="38"/>
        <v>1</v>
      </c>
      <c r="I179" s="9" t="str">
        <f t="shared" si="39"/>
        <v>Monday</v>
      </c>
      <c r="J179" s="9" t="str">
        <f t="shared" si="40"/>
        <v>No</v>
      </c>
      <c r="K179" s="5" t="str">
        <f>IF(COUNTIF(Bank_Holidays!A:A,A179)&gt;0,"Yes","No")</f>
        <v>No</v>
      </c>
      <c r="L179" t="str">
        <f t="shared" si="41"/>
        <v>Yes</v>
      </c>
      <c r="M179">
        <f t="shared" si="42"/>
        <v>4</v>
      </c>
      <c r="N179" s="5" t="str">
        <f t="shared" si="43"/>
        <v>No</v>
      </c>
      <c r="O179" t="str">
        <f>IF(A179=WORKDAY(EOMONTH(A179,0)+1,-1,Bank_Holidays!$A$2:$A$25),"Yes","No")</f>
        <v>No</v>
      </c>
      <c r="P179" t="str">
        <f t="shared" si="44"/>
        <v>No</v>
      </c>
      <c r="Q179" t="str">
        <f t="shared" si="45"/>
        <v>No</v>
      </c>
      <c r="R179" s="5">
        <f t="shared" si="47"/>
        <v>1</v>
      </c>
      <c r="S179">
        <f>MOD(A179-Fortnightly_Model!$M$1,14)</f>
        <v>2</v>
      </c>
      <c r="T179">
        <f>MOD(A179-FourWeekly_Model!$M$1,28)</f>
        <v>16</v>
      </c>
    </row>
    <row r="180" spans="1:20">
      <c r="A180" s="25">
        <f t="shared" si="46"/>
        <v>46413</v>
      </c>
      <c r="B180">
        <f t="shared" si="32"/>
        <v>2027</v>
      </c>
      <c r="C180" s="9">
        <f t="shared" si="33"/>
        <v>1</v>
      </c>
      <c r="D180" s="9" t="str">
        <f t="shared" si="34"/>
        <v>January</v>
      </c>
      <c r="E180" s="9" t="str">
        <f t="shared" si="35"/>
        <v>Jan-27</v>
      </c>
      <c r="F180" s="9" t="str">
        <f t="shared" si="36"/>
        <v>Q1</v>
      </c>
      <c r="G180" s="9">
        <f t="shared" si="37"/>
        <v>26</v>
      </c>
      <c r="H180" s="9">
        <f t="shared" si="38"/>
        <v>2</v>
      </c>
      <c r="I180" s="9" t="str">
        <f t="shared" si="39"/>
        <v>Tuesday</v>
      </c>
      <c r="J180" s="9" t="str">
        <f t="shared" si="40"/>
        <v>No</v>
      </c>
      <c r="K180" s="5" t="str">
        <f>IF(COUNTIF(Bank_Holidays!A:A,A180)&gt;0,"Yes","No")</f>
        <v>No</v>
      </c>
      <c r="L180" t="str">
        <f t="shared" si="41"/>
        <v>Yes</v>
      </c>
      <c r="M180">
        <f t="shared" si="42"/>
        <v>4</v>
      </c>
      <c r="N180" s="5" t="str">
        <f t="shared" si="43"/>
        <v>No</v>
      </c>
      <c r="O180" t="str">
        <f>IF(A180=WORKDAY(EOMONTH(A180,0)+1,-1,Bank_Holidays!$A$2:$A$25),"Yes","No")</f>
        <v>No</v>
      </c>
      <c r="P180" t="str">
        <f t="shared" si="44"/>
        <v>No</v>
      </c>
      <c r="Q180" t="str">
        <f t="shared" si="45"/>
        <v>No</v>
      </c>
      <c r="R180" s="5">
        <f t="shared" si="47"/>
        <v>1</v>
      </c>
      <c r="S180">
        <f>MOD(A180-Fortnightly_Model!$M$1,14)</f>
        <v>3</v>
      </c>
      <c r="T180">
        <f>MOD(A180-FourWeekly_Model!$M$1,28)</f>
        <v>17</v>
      </c>
    </row>
    <row r="181" spans="1:20">
      <c r="A181" s="25">
        <f t="shared" si="46"/>
        <v>46414</v>
      </c>
      <c r="B181">
        <f t="shared" si="32"/>
        <v>2027</v>
      </c>
      <c r="C181" s="9">
        <f t="shared" si="33"/>
        <v>1</v>
      </c>
      <c r="D181" s="9" t="str">
        <f t="shared" si="34"/>
        <v>January</v>
      </c>
      <c r="E181" s="9" t="str">
        <f t="shared" si="35"/>
        <v>Jan-27</v>
      </c>
      <c r="F181" s="9" t="str">
        <f t="shared" si="36"/>
        <v>Q1</v>
      </c>
      <c r="G181" s="9">
        <f t="shared" si="37"/>
        <v>27</v>
      </c>
      <c r="H181" s="9">
        <f t="shared" si="38"/>
        <v>3</v>
      </c>
      <c r="I181" s="9" t="str">
        <f t="shared" si="39"/>
        <v>Wednesday</v>
      </c>
      <c r="J181" s="9" t="str">
        <f t="shared" si="40"/>
        <v>No</v>
      </c>
      <c r="K181" s="5" t="str">
        <f>IF(COUNTIF(Bank_Holidays!A:A,A181)&gt;0,"Yes","No")</f>
        <v>No</v>
      </c>
      <c r="L181" t="str">
        <f t="shared" si="41"/>
        <v>Yes</v>
      </c>
      <c r="M181">
        <f t="shared" si="42"/>
        <v>4</v>
      </c>
      <c r="N181" s="5" t="str">
        <f t="shared" si="43"/>
        <v>No</v>
      </c>
      <c r="O181" t="str">
        <f>IF(A181=WORKDAY(EOMONTH(A181,0)+1,-1,Bank_Holidays!$A$2:$A$25),"Yes","No")</f>
        <v>No</v>
      </c>
      <c r="P181" t="str">
        <f t="shared" si="44"/>
        <v>No</v>
      </c>
      <c r="Q181" t="str">
        <f t="shared" si="45"/>
        <v>No</v>
      </c>
      <c r="R181" s="5">
        <f t="shared" si="47"/>
        <v>1</v>
      </c>
      <c r="S181">
        <f>MOD(A181-Fortnightly_Model!$M$1,14)</f>
        <v>4</v>
      </c>
      <c r="T181">
        <f>MOD(A181-FourWeekly_Model!$M$1,28)</f>
        <v>18</v>
      </c>
    </row>
    <row r="182" spans="1:20">
      <c r="A182" s="25">
        <f t="shared" si="46"/>
        <v>46415</v>
      </c>
      <c r="B182">
        <f t="shared" si="32"/>
        <v>2027</v>
      </c>
      <c r="C182" s="9">
        <f t="shared" si="33"/>
        <v>1</v>
      </c>
      <c r="D182" s="9" t="str">
        <f t="shared" si="34"/>
        <v>January</v>
      </c>
      <c r="E182" s="9" t="str">
        <f t="shared" si="35"/>
        <v>Jan-27</v>
      </c>
      <c r="F182" s="9" t="str">
        <f t="shared" si="36"/>
        <v>Q1</v>
      </c>
      <c r="G182" s="9">
        <f t="shared" si="37"/>
        <v>28</v>
      </c>
      <c r="H182" s="9">
        <f t="shared" si="38"/>
        <v>4</v>
      </c>
      <c r="I182" s="9" t="str">
        <f t="shared" si="39"/>
        <v>Thursday</v>
      </c>
      <c r="J182" s="9" t="str">
        <f t="shared" si="40"/>
        <v>No</v>
      </c>
      <c r="K182" s="5" t="str">
        <f>IF(COUNTIF(Bank_Holidays!A:A,A182)&gt;0,"Yes","No")</f>
        <v>No</v>
      </c>
      <c r="L182" t="str">
        <f t="shared" si="41"/>
        <v>Yes</v>
      </c>
      <c r="M182">
        <f t="shared" si="42"/>
        <v>4</v>
      </c>
      <c r="N182" s="5" t="str">
        <f t="shared" si="43"/>
        <v>No</v>
      </c>
      <c r="O182" t="str">
        <f>IF(A182=WORKDAY(EOMONTH(A182,0)+1,-1,Bank_Holidays!$A$2:$A$25),"Yes","No")</f>
        <v>No</v>
      </c>
      <c r="P182" t="str">
        <f t="shared" si="44"/>
        <v>No</v>
      </c>
      <c r="Q182" t="str">
        <f t="shared" si="45"/>
        <v>Yes</v>
      </c>
      <c r="R182" s="5">
        <f t="shared" si="47"/>
        <v>1</v>
      </c>
      <c r="S182">
        <f>MOD(A182-Fortnightly_Model!$M$1,14)</f>
        <v>5</v>
      </c>
      <c r="T182">
        <f>MOD(A182-FourWeekly_Model!$M$1,28)</f>
        <v>19</v>
      </c>
    </row>
    <row r="183" spans="1:20">
      <c r="A183" s="25">
        <f t="shared" si="46"/>
        <v>46416</v>
      </c>
      <c r="B183">
        <f t="shared" si="32"/>
        <v>2027</v>
      </c>
      <c r="C183" s="9">
        <f t="shared" si="33"/>
        <v>1</v>
      </c>
      <c r="D183" s="9" t="str">
        <f t="shared" si="34"/>
        <v>January</v>
      </c>
      <c r="E183" s="9" t="str">
        <f t="shared" si="35"/>
        <v>Jan-27</v>
      </c>
      <c r="F183" s="9" t="str">
        <f t="shared" si="36"/>
        <v>Q1</v>
      </c>
      <c r="G183" s="9">
        <f t="shared" si="37"/>
        <v>29</v>
      </c>
      <c r="H183" s="9">
        <f t="shared" si="38"/>
        <v>5</v>
      </c>
      <c r="I183" s="9" t="str">
        <f t="shared" si="39"/>
        <v>Friday</v>
      </c>
      <c r="J183" s="9" t="str">
        <f t="shared" si="40"/>
        <v>No</v>
      </c>
      <c r="K183" s="5" t="str">
        <f>IF(COUNTIF(Bank_Holidays!A:A,A183)&gt;0,"Yes","No")</f>
        <v>No</v>
      </c>
      <c r="L183" t="str">
        <f t="shared" si="41"/>
        <v>Yes</v>
      </c>
      <c r="M183">
        <f t="shared" si="42"/>
        <v>4</v>
      </c>
      <c r="N183" s="5" t="str">
        <f t="shared" si="43"/>
        <v>No</v>
      </c>
      <c r="O183" t="str">
        <f>IF(A183=WORKDAY(EOMONTH(A183,0)+1,-1,Bank_Holidays!$A$2:$A$25),"Yes","No")</f>
        <v>Yes</v>
      </c>
      <c r="P183" t="str">
        <f t="shared" si="44"/>
        <v>Yes</v>
      </c>
      <c r="Q183" t="str">
        <f t="shared" si="45"/>
        <v>No</v>
      </c>
      <c r="R183" s="5">
        <f t="shared" si="47"/>
        <v>3</v>
      </c>
      <c r="S183">
        <f>MOD(A183-Fortnightly_Model!$M$1,14)</f>
        <v>6</v>
      </c>
      <c r="T183">
        <f>MOD(A183-FourWeekly_Model!$M$1,28)</f>
        <v>20</v>
      </c>
    </row>
    <row r="184" spans="1:20">
      <c r="A184" s="25">
        <f t="shared" si="46"/>
        <v>46417</v>
      </c>
      <c r="B184">
        <f t="shared" si="32"/>
        <v>2027</v>
      </c>
      <c r="C184" s="9">
        <f t="shared" si="33"/>
        <v>1</v>
      </c>
      <c r="D184" s="9" t="str">
        <f t="shared" si="34"/>
        <v>January</v>
      </c>
      <c r="E184" s="9" t="str">
        <f t="shared" si="35"/>
        <v>Jan-27</v>
      </c>
      <c r="F184" s="9" t="str">
        <f t="shared" si="36"/>
        <v>Q1</v>
      </c>
      <c r="G184" s="9">
        <f t="shared" si="37"/>
        <v>30</v>
      </c>
      <c r="H184" s="9">
        <f t="shared" si="38"/>
        <v>6</v>
      </c>
      <c r="I184" s="9" t="str">
        <f t="shared" si="39"/>
        <v>Saturday</v>
      </c>
      <c r="J184" s="9" t="str">
        <f t="shared" si="40"/>
        <v>Yes</v>
      </c>
      <c r="K184" s="5" t="str">
        <f>IF(COUNTIF(Bank_Holidays!A:A,A184)&gt;0,"Yes","No")</f>
        <v>No</v>
      </c>
      <c r="L184" t="str">
        <f t="shared" si="41"/>
        <v>No</v>
      </c>
      <c r="M184">
        <f t="shared" si="42"/>
        <v>4</v>
      </c>
      <c r="N184" s="5" t="str">
        <f t="shared" si="43"/>
        <v>No</v>
      </c>
      <c r="O184" t="str">
        <f>IF(A184=WORKDAY(EOMONTH(A184,0)+1,-1,Bank_Holidays!$A$2:$A$25),"Yes","No")</f>
        <v>No</v>
      </c>
      <c r="P184" t="str">
        <f t="shared" si="44"/>
        <v>No</v>
      </c>
      <c r="Q184" t="str">
        <f t="shared" si="45"/>
        <v>No</v>
      </c>
      <c r="R184" s="5">
        <f t="shared" si="47"/>
        <v>0</v>
      </c>
      <c r="S184">
        <f>MOD(A184-Fortnightly_Model!$M$1,14)</f>
        <v>7</v>
      </c>
      <c r="T184">
        <f>MOD(A184-FourWeekly_Model!$M$1,28)</f>
        <v>21</v>
      </c>
    </row>
    <row r="185" spans="1:20">
      <c r="A185" s="25">
        <f t="shared" si="46"/>
        <v>46418</v>
      </c>
      <c r="B185">
        <f t="shared" si="32"/>
        <v>2027</v>
      </c>
      <c r="C185" s="9">
        <f t="shared" si="33"/>
        <v>1</v>
      </c>
      <c r="D185" s="9" t="str">
        <f t="shared" si="34"/>
        <v>January</v>
      </c>
      <c r="E185" s="9" t="str">
        <f t="shared" si="35"/>
        <v>Jan-27</v>
      </c>
      <c r="F185" s="9" t="str">
        <f t="shared" si="36"/>
        <v>Q1</v>
      </c>
      <c r="G185" s="9">
        <f t="shared" si="37"/>
        <v>31</v>
      </c>
      <c r="H185" s="9">
        <f t="shared" si="38"/>
        <v>7</v>
      </c>
      <c r="I185" s="9" t="str">
        <f t="shared" si="39"/>
        <v>Sunday</v>
      </c>
      <c r="J185" s="9" t="str">
        <f t="shared" si="40"/>
        <v>Yes</v>
      </c>
      <c r="K185" s="5" t="str">
        <f>IF(COUNTIF(Bank_Holidays!A:A,A185)&gt;0,"Yes","No")</f>
        <v>No</v>
      </c>
      <c r="L185" t="str">
        <f t="shared" si="41"/>
        <v>No</v>
      </c>
      <c r="M185">
        <f t="shared" si="42"/>
        <v>4</v>
      </c>
      <c r="N185" s="5" t="str">
        <f t="shared" si="43"/>
        <v>Yes</v>
      </c>
      <c r="O185" t="str">
        <f>IF(A185=WORKDAY(EOMONTH(A185,0)+1,-1,Bank_Holidays!$A$2:$A$25),"Yes","No")</f>
        <v>No</v>
      </c>
      <c r="P185" t="str">
        <f t="shared" si="44"/>
        <v>No</v>
      </c>
      <c r="Q185" t="str">
        <f t="shared" si="45"/>
        <v>No</v>
      </c>
      <c r="R185" s="5">
        <f t="shared" si="47"/>
        <v>0</v>
      </c>
      <c r="S185">
        <f>MOD(A185-Fortnightly_Model!$M$1,14)</f>
        <v>8</v>
      </c>
      <c r="T185">
        <f>MOD(A185-FourWeekly_Model!$M$1,28)</f>
        <v>22</v>
      </c>
    </row>
    <row r="186" spans="1:20">
      <c r="A186" s="25">
        <f t="shared" si="46"/>
        <v>46419</v>
      </c>
      <c r="B186">
        <f t="shared" si="32"/>
        <v>2027</v>
      </c>
      <c r="C186" s="9">
        <f t="shared" si="33"/>
        <v>2</v>
      </c>
      <c r="D186" s="9" t="str">
        <f t="shared" si="34"/>
        <v>February</v>
      </c>
      <c r="E186" s="9" t="str">
        <f t="shared" si="35"/>
        <v>Feb-27</v>
      </c>
      <c r="F186" s="9" t="str">
        <f t="shared" si="36"/>
        <v>Q1</v>
      </c>
      <c r="G186" s="9">
        <f t="shared" si="37"/>
        <v>1</v>
      </c>
      <c r="H186" s="9">
        <f t="shared" si="38"/>
        <v>1</v>
      </c>
      <c r="I186" s="9" t="str">
        <f t="shared" si="39"/>
        <v>Monday</v>
      </c>
      <c r="J186" s="9" t="str">
        <f t="shared" si="40"/>
        <v>No</v>
      </c>
      <c r="K186" s="5" t="str">
        <f>IF(COUNTIF(Bank_Holidays!A:A,A186)&gt;0,"Yes","No")</f>
        <v>No</v>
      </c>
      <c r="L186" t="str">
        <f t="shared" si="41"/>
        <v>Yes</v>
      </c>
      <c r="M186">
        <f t="shared" si="42"/>
        <v>5</v>
      </c>
      <c r="N186" s="5" t="str">
        <f t="shared" si="43"/>
        <v>No</v>
      </c>
      <c r="O186" t="str">
        <f>IF(A186=WORKDAY(EOMONTH(A186,0)+1,-1,Bank_Holidays!$A$2:$A$25),"Yes","No")</f>
        <v>No</v>
      </c>
      <c r="P186" t="str">
        <f t="shared" si="44"/>
        <v>No</v>
      </c>
      <c r="Q186" t="str">
        <f t="shared" si="45"/>
        <v>No</v>
      </c>
      <c r="R186" s="5">
        <f t="shared" si="47"/>
        <v>1</v>
      </c>
      <c r="S186">
        <f>MOD(A186-Fortnightly_Model!$M$1,14)</f>
        <v>9</v>
      </c>
      <c r="T186">
        <f>MOD(A186-FourWeekly_Model!$M$1,28)</f>
        <v>23</v>
      </c>
    </row>
    <row r="187" spans="1:20">
      <c r="A187" s="25">
        <f t="shared" si="46"/>
        <v>46420</v>
      </c>
      <c r="B187">
        <f t="shared" si="32"/>
        <v>2027</v>
      </c>
      <c r="C187" s="9">
        <f t="shared" si="33"/>
        <v>2</v>
      </c>
      <c r="D187" s="9" t="str">
        <f t="shared" si="34"/>
        <v>February</v>
      </c>
      <c r="E187" s="9" t="str">
        <f t="shared" si="35"/>
        <v>Feb-27</v>
      </c>
      <c r="F187" s="9" t="str">
        <f t="shared" si="36"/>
        <v>Q1</v>
      </c>
      <c r="G187" s="9">
        <f t="shared" si="37"/>
        <v>2</v>
      </c>
      <c r="H187" s="9">
        <f t="shared" si="38"/>
        <v>2</v>
      </c>
      <c r="I187" s="9" t="str">
        <f t="shared" si="39"/>
        <v>Tuesday</v>
      </c>
      <c r="J187" s="9" t="str">
        <f t="shared" si="40"/>
        <v>No</v>
      </c>
      <c r="K187" s="5" t="str">
        <f>IF(COUNTIF(Bank_Holidays!A:A,A187)&gt;0,"Yes","No")</f>
        <v>No</v>
      </c>
      <c r="L187" t="str">
        <f t="shared" si="41"/>
        <v>Yes</v>
      </c>
      <c r="M187">
        <f t="shared" si="42"/>
        <v>5</v>
      </c>
      <c r="N187" s="5" t="str">
        <f t="shared" si="43"/>
        <v>No</v>
      </c>
      <c r="O187" t="str">
        <f>IF(A187=WORKDAY(EOMONTH(A187,0)+1,-1,Bank_Holidays!$A$2:$A$25),"Yes","No")</f>
        <v>No</v>
      </c>
      <c r="P187" t="str">
        <f t="shared" si="44"/>
        <v>No</v>
      </c>
      <c r="Q187" t="str">
        <f t="shared" si="45"/>
        <v>No</v>
      </c>
      <c r="R187" s="5">
        <f t="shared" si="47"/>
        <v>1</v>
      </c>
      <c r="S187">
        <f>MOD(A187-Fortnightly_Model!$M$1,14)</f>
        <v>10</v>
      </c>
      <c r="T187">
        <f>MOD(A187-FourWeekly_Model!$M$1,28)</f>
        <v>24</v>
      </c>
    </row>
    <row r="188" spans="1:20">
      <c r="A188" s="25">
        <f t="shared" si="46"/>
        <v>46421</v>
      </c>
      <c r="B188">
        <f t="shared" si="32"/>
        <v>2027</v>
      </c>
      <c r="C188" s="9">
        <f t="shared" si="33"/>
        <v>2</v>
      </c>
      <c r="D188" s="9" t="str">
        <f t="shared" si="34"/>
        <v>February</v>
      </c>
      <c r="E188" s="9" t="str">
        <f t="shared" si="35"/>
        <v>Feb-27</v>
      </c>
      <c r="F188" s="9" t="str">
        <f t="shared" si="36"/>
        <v>Q1</v>
      </c>
      <c r="G188" s="9">
        <f t="shared" si="37"/>
        <v>3</v>
      </c>
      <c r="H188" s="9">
        <f t="shared" si="38"/>
        <v>3</v>
      </c>
      <c r="I188" s="9" t="str">
        <f t="shared" si="39"/>
        <v>Wednesday</v>
      </c>
      <c r="J188" s="9" t="str">
        <f t="shared" si="40"/>
        <v>No</v>
      </c>
      <c r="K188" s="5" t="str">
        <f>IF(COUNTIF(Bank_Holidays!A:A,A188)&gt;0,"Yes","No")</f>
        <v>No</v>
      </c>
      <c r="L188" t="str">
        <f t="shared" si="41"/>
        <v>Yes</v>
      </c>
      <c r="M188">
        <f t="shared" si="42"/>
        <v>5</v>
      </c>
      <c r="N188" s="5" t="str">
        <f t="shared" si="43"/>
        <v>No</v>
      </c>
      <c r="O188" t="str">
        <f>IF(A188=WORKDAY(EOMONTH(A188,0)+1,-1,Bank_Holidays!$A$2:$A$25),"Yes","No")</f>
        <v>No</v>
      </c>
      <c r="P188" t="str">
        <f t="shared" si="44"/>
        <v>No</v>
      </c>
      <c r="Q188" t="str">
        <f t="shared" si="45"/>
        <v>No</v>
      </c>
      <c r="R188" s="5">
        <f t="shared" si="47"/>
        <v>1</v>
      </c>
      <c r="S188">
        <f>MOD(A188-Fortnightly_Model!$M$1,14)</f>
        <v>11</v>
      </c>
      <c r="T188">
        <f>MOD(A188-FourWeekly_Model!$M$1,28)</f>
        <v>25</v>
      </c>
    </row>
    <row r="189" spans="1:20">
      <c r="A189" s="25">
        <f t="shared" si="46"/>
        <v>46422</v>
      </c>
      <c r="B189">
        <f t="shared" si="32"/>
        <v>2027</v>
      </c>
      <c r="C189" s="9">
        <f t="shared" si="33"/>
        <v>2</v>
      </c>
      <c r="D189" s="9" t="str">
        <f t="shared" si="34"/>
        <v>February</v>
      </c>
      <c r="E189" s="9" t="str">
        <f t="shared" si="35"/>
        <v>Feb-27</v>
      </c>
      <c r="F189" s="9" t="str">
        <f t="shared" si="36"/>
        <v>Q1</v>
      </c>
      <c r="G189" s="9">
        <f t="shared" si="37"/>
        <v>4</v>
      </c>
      <c r="H189" s="9">
        <f t="shared" si="38"/>
        <v>4</v>
      </c>
      <c r="I189" s="9" t="str">
        <f t="shared" si="39"/>
        <v>Thursday</v>
      </c>
      <c r="J189" s="9" t="str">
        <f t="shared" si="40"/>
        <v>No</v>
      </c>
      <c r="K189" s="5" t="str">
        <f>IF(COUNTIF(Bank_Holidays!A:A,A189)&gt;0,"Yes","No")</f>
        <v>No</v>
      </c>
      <c r="L189" t="str">
        <f t="shared" si="41"/>
        <v>Yes</v>
      </c>
      <c r="M189">
        <f t="shared" si="42"/>
        <v>5</v>
      </c>
      <c r="N189" s="5" t="str">
        <f t="shared" si="43"/>
        <v>No</v>
      </c>
      <c r="O189" t="str">
        <f>IF(A189=WORKDAY(EOMONTH(A189,0)+1,-1,Bank_Holidays!$A$2:$A$25),"Yes","No")</f>
        <v>No</v>
      </c>
      <c r="P189" t="str">
        <f t="shared" si="44"/>
        <v>No</v>
      </c>
      <c r="Q189" t="str">
        <f t="shared" si="45"/>
        <v>No</v>
      </c>
      <c r="R189" s="5">
        <f t="shared" si="47"/>
        <v>1</v>
      </c>
      <c r="S189">
        <f>MOD(A189-Fortnightly_Model!$M$1,14)</f>
        <v>12</v>
      </c>
      <c r="T189">
        <f>MOD(A189-FourWeekly_Model!$M$1,28)</f>
        <v>26</v>
      </c>
    </row>
    <row r="190" spans="1:20">
      <c r="A190" s="25">
        <f t="shared" si="46"/>
        <v>46423</v>
      </c>
      <c r="B190">
        <f t="shared" si="32"/>
        <v>2027</v>
      </c>
      <c r="C190" s="9">
        <f t="shared" si="33"/>
        <v>2</v>
      </c>
      <c r="D190" s="9" t="str">
        <f t="shared" si="34"/>
        <v>February</v>
      </c>
      <c r="E190" s="9" t="str">
        <f t="shared" si="35"/>
        <v>Feb-27</v>
      </c>
      <c r="F190" s="9" t="str">
        <f t="shared" si="36"/>
        <v>Q1</v>
      </c>
      <c r="G190" s="9">
        <f t="shared" si="37"/>
        <v>5</v>
      </c>
      <c r="H190" s="9">
        <f t="shared" si="38"/>
        <v>5</v>
      </c>
      <c r="I190" s="9" t="str">
        <f t="shared" si="39"/>
        <v>Friday</v>
      </c>
      <c r="J190" s="9" t="str">
        <f t="shared" si="40"/>
        <v>No</v>
      </c>
      <c r="K190" s="5" t="str">
        <f>IF(COUNTIF(Bank_Holidays!A:A,A190)&gt;0,"Yes","No")</f>
        <v>No</v>
      </c>
      <c r="L190" t="str">
        <f t="shared" si="41"/>
        <v>Yes</v>
      </c>
      <c r="M190">
        <f t="shared" si="42"/>
        <v>5</v>
      </c>
      <c r="N190" s="5" t="str">
        <f t="shared" si="43"/>
        <v>No</v>
      </c>
      <c r="O190" t="str">
        <f>IF(A190=WORKDAY(EOMONTH(A190,0)+1,-1,Bank_Holidays!$A$2:$A$25),"Yes","No")</f>
        <v>No</v>
      </c>
      <c r="P190" t="str">
        <f t="shared" si="44"/>
        <v>No</v>
      </c>
      <c r="Q190" t="str">
        <f t="shared" si="45"/>
        <v>No</v>
      </c>
      <c r="R190" s="5">
        <f t="shared" si="47"/>
        <v>3</v>
      </c>
      <c r="S190">
        <f>MOD(A190-Fortnightly_Model!$M$1,14)</f>
        <v>13</v>
      </c>
      <c r="T190">
        <f>MOD(A190-FourWeekly_Model!$M$1,28)</f>
        <v>27</v>
      </c>
    </row>
    <row r="191" spans="1:20">
      <c r="A191" s="25">
        <f t="shared" si="46"/>
        <v>46424</v>
      </c>
      <c r="B191">
        <f t="shared" si="32"/>
        <v>2027</v>
      </c>
      <c r="C191" s="9">
        <f t="shared" si="33"/>
        <v>2</v>
      </c>
      <c r="D191" s="9" t="str">
        <f t="shared" si="34"/>
        <v>February</v>
      </c>
      <c r="E191" s="9" t="str">
        <f t="shared" si="35"/>
        <v>Feb-27</v>
      </c>
      <c r="F191" s="9" t="str">
        <f t="shared" si="36"/>
        <v>Q1</v>
      </c>
      <c r="G191" s="9">
        <f t="shared" si="37"/>
        <v>6</v>
      </c>
      <c r="H191" s="9">
        <f t="shared" si="38"/>
        <v>6</v>
      </c>
      <c r="I191" s="9" t="str">
        <f t="shared" si="39"/>
        <v>Saturday</v>
      </c>
      <c r="J191" s="9" t="str">
        <f t="shared" si="40"/>
        <v>Yes</v>
      </c>
      <c r="K191" s="5" t="str">
        <f>IF(COUNTIF(Bank_Holidays!A:A,A191)&gt;0,"Yes","No")</f>
        <v>No</v>
      </c>
      <c r="L191" t="str">
        <f t="shared" si="41"/>
        <v>No</v>
      </c>
      <c r="M191">
        <f t="shared" si="42"/>
        <v>5</v>
      </c>
      <c r="N191" s="5" t="str">
        <f t="shared" si="43"/>
        <v>No</v>
      </c>
      <c r="O191" t="str">
        <f>IF(A191=WORKDAY(EOMONTH(A191,0)+1,-1,Bank_Holidays!$A$2:$A$25),"Yes","No")</f>
        <v>No</v>
      </c>
      <c r="P191" t="str">
        <f t="shared" si="44"/>
        <v>No</v>
      </c>
      <c r="Q191" t="str">
        <f t="shared" si="45"/>
        <v>No</v>
      </c>
      <c r="R191" s="5">
        <f t="shared" si="47"/>
        <v>0</v>
      </c>
      <c r="S191">
        <f>MOD(A191-Fortnightly_Model!$M$1,14)</f>
        <v>0</v>
      </c>
      <c r="T191">
        <f>MOD(A191-FourWeekly_Model!$M$1,28)</f>
        <v>0</v>
      </c>
    </row>
    <row r="192" spans="1:20">
      <c r="A192" s="25">
        <f t="shared" si="46"/>
        <v>46425</v>
      </c>
      <c r="B192">
        <f t="shared" si="32"/>
        <v>2027</v>
      </c>
      <c r="C192" s="9">
        <f t="shared" si="33"/>
        <v>2</v>
      </c>
      <c r="D192" s="9" t="str">
        <f t="shared" si="34"/>
        <v>February</v>
      </c>
      <c r="E192" s="9" t="str">
        <f t="shared" si="35"/>
        <v>Feb-27</v>
      </c>
      <c r="F192" s="9" t="str">
        <f t="shared" si="36"/>
        <v>Q1</v>
      </c>
      <c r="G192" s="9">
        <f t="shared" si="37"/>
        <v>7</v>
      </c>
      <c r="H192" s="9">
        <f t="shared" si="38"/>
        <v>7</v>
      </c>
      <c r="I192" s="9" t="str">
        <f t="shared" si="39"/>
        <v>Sunday</v>
      </c>
      <c r="J192" s="9" t="str">
        <f t="shared" si="40"/>
        <v>Yes</v>
      </c>
      <c r="K192" s="5" t="str">
        <f>IF(COUNTIF(Bank_Holidays!A:A,A192)&gt;0,"Yes","No")</f>
        <v>No</v>
      </c>
      <c r="L192" t="str">
        <f t="shared" si="41"/>
        <v>No</v>
      </c>
      <c r="M192">
        <f t="shared" si="42"/>
        <v>5</v>
      </c>
      <c r="N192" s="5" t="str">
        <f t="shared" si="43"/>
        <v>No</v>
      </c>
      <c r="O192" t="str">
        <f>IF(A192=WORKDAY(EOMONTH(A192,0)+1,-1,Bank_Holidays!$A$2:$A$25),"Yes","No")</f>
        <v>No</v>
      </c>
      <c r="P192" t="str">
        <f t="shared" si="44"/>
        <v>No</v>
      </c>
      <c r="Q192" t="str">
        <f t="shared" si="45"/>
        <v>No</v>
      </c>
      <c r="R192" s="5">
        <f t="shared" si="47"/>
        <v>0</v>
      </c>
      <c r="S192">
        <f>MOD(A192-Fortnightly_Model!$M$1,14)</f>
        <v>1</v>
      </c>
      <c r="T192">
        <f>MOD(A192-FourWeekly_Model!$M$1,28)</f>
        <v>1</v>
      </c>
    </row>
    <row r="193" spans="1:20">
      <c r="A193" s="25">
        <f t="shared" si="46"/>
        <v>46426</v>
      </c>
      <c r="B193">
        <f t="shared" si="32"/>
        <v>2027</v>
      </c>
      <c r="C193" s="9">
        <f t="shared" si="33"/>
        <v>2</v>
      </c>
      <c r="D193" s="9" t="str">
        <f t="shared" si="34"/>
        <v>February</v>
      </c>
      <c r="E193" s="9" t="str">
        <f t="shared" si="35"/>
        <v>Feb-27</v>
      </c>
      <c r="F193" s="9" t="str">
        <f t="shared" si="36"/>
        <v>Q1</v>
      </c>
      <c r="G193" s="9">
        <f t="shared" si="37"/>
        <v>8</v>
      </c>
      <c r="H193" s="9">
        <f t="shared" si="38"/>
        <v>1</v>
      </c>
      <c r="I193" s="9" t="str">
        <f t="shared" si="39"/>
        <v>Monday</v>
      </c>
      <c r="J193" s="9" t="str">
        <f t="shared" si="40"/>
        <v>No</v>
      </c>
      <c r="K193" s="5" t="str">
        <f>IF(COUNTIF(Bank_Holidays!A:A,A193)&gt;0,"Yes","No")</f>
        <v>No</v>
      </c>
      <c r="L193" t="str">
        <f t="shared" si="41"/>
        <v>Yes</v>
      </c>
      <c r="M193">
        <f t="shared" si="42"/>
        <v>6</v>
      </c>
      <c r="N193" s="5" t="str">
        <f t="shared" si="43"/>
        <v>No</v>
      </c>
      <c r="O193" t="str">
        <f>IF(A193=WORKDAY(EOMONTH(A193,0)+1,-1,Bank_Holidays!$A$2:$A$25),"Yes","No")</f>
        <v>No</v>
      </c>
      <c r="P193" t="str">
        <f t="shared" si="44"/>
        <v>No</v>
      </c>
      <c r="Q193" t="str">
        <f t="shared" si="45"/>
        <v>No</v>
      </c>
      <c r="R193" s="5">
        <f t="shared" si="47"/>
        <v>1</v>
      </c>
      <c r="S193">
        <f>MOD(A193-Fortnightly_Model!$M$1,14)</f>
        <v>2</v>
      </c>
      <c r="T193">
        <f>MOD(A193-FourWeekly_Model!$M$1,28)</f>
        <v>2</v>
      </c>
    </row>
    <row r="194" spans="1:20">
      <c r="A194" s="25">
        <f t="shared" si="46"/>
        <v>46427</v>
      </c>
      <c r="B194">
        <f t="shared" ref="B194:B257" si="48">YEAR(A194)</f>
        <v>2027</v>
      </c>
      <c r="C194" s="9">
        <f t="shared" ref="C194:C257" si="49">MONTH(A194)</f>
        <v>2</v>
      </c>
      <c r="D194" s="9" t="str">
        <f t="shared" ref="D194:D257" si="50">TEXT(A194,"mmmm")</f>
        <v>February</v>
      </c>
      <c r="E194" s="9" t="str">
        <f t="shared" ref="E194:E257" si="51">TEXT(A194,"mmm-yy")</f>
        <v>Feb-27</v>
      </c>
      <c r="F194" s="9" t="str">
        <f t="shared" ref="F194:F257" si="52">"Q"&amp;ROUNDUP(MONTH($A194)/3,0)</f>
        <v>Q1</v>
      </c>
      <c r="G194" s="9">
        <f t="shared" ref="G194:G257" si="53">DAY($A194)</f>
        <v>9</v>
      </c>
      <c r="H194" s="9">
        <f t="shared" ref="H194:H257" si="54">WEEKDAY($A194,2)</f>
        <v>2</v>
      </c>
      <c r="I194" s="9" t="str">
        <f t="shared" ref="I194:I257" si="55">TEXT($A194,"dddd")</f>
        <v>Tuesday</v>
      </c>
      <c r="J194" s="9" t="str">
        <f t="shared" ref="J194:J257" si="56">IF($H194&gt;5,"Yes","No")</f>
        <v>No</v>
      </c>
      <c r="K194" s="5" t="str">
        <f>IF(COUNTIF(Bank_Holidays!A:A,A194)&gt;0,"Yes","No")</f>
        <v>No</v>
      </c>
      <c r="L194" t="str">
        <f t="shared" ref="L194:L257" si="57">IF(AND(J194="No",K194="No"),"Yes","No")</f>
        <v>Yes</v>
      </c>
      <c r="M194">
        <f t="shared" ref="M194:M257" si="58">_xlfn.ISOWEEKNUM(A194)</f>
        <v>6</v>
      </c>
      <c r="N194" s="5" t="str">
        <f t="shared" ref="N194:N257" si="59">IF(A194=EOMONTH(A194,0),"Yes","No")</f>
        <v>No</v>
      </c>
      <c r="O194" t="str">
        <f>IF(A194=WORKDAY(EOMONTH(A194,0)+1,-1,Bank_Holidays!$A$2:$A$25),"Yes","No")</f>
        <v>No</v>
      </c>
      <c r="P194" t="str">
        <f t="shared" ref="P194:P257" si="60">IF(
AND(
TEXT(A194,"dddd")="Friday",
MONTH(A194+7)&lt;&gt;MONTH(A194)
),
"Yes",
"No"
)</f>
        <v>No</v>
      </c>
      <c r="Q194" t="str">
        <f t="shared" ref="Q194:Q257" si="61">IF(
AND(
TEXT(A194,"dddd")="Thursday",
MONTH(A194+7)&lt;&gt;MONTH(A194)
),
"Yes",
"No"
)</f>
        <v>No</v>
      </c>
      <c r="R194" s="5">
        <f t="shared" si="47"/>
        <v>1</v>
      </c>
      <c r="S194">
        <f>MOD(A194-Fortnightly_Model!$M$1,14)</f>
        <v>3</v>
      </c>
      <c r="T194">
        <f>MOD(A194-FourWeekly_Model!$M$1,28)</f>
        <v>3</v>
      </c>
    </row>
    <row r="195" spans="1:20">
      <c r="A195" s="25">
        <f t="shared" ref="A195:A258" si="62">A194+1</f>
        <v>46428</v>
      </c>
      <c r="B195">
        <f t="shared" si="48"/>
        <v>2027</v>
      </c>
      <c r="C195" s="9">
        <f t="shared" si="49"/>
        <v>2</v>
      </c>
      <c r="D195" s="9" t="str">
        <f t="shared" si="50"/>
        <v>February</v>
      </c>
      <c r="E195" s="9" t="str">
        <f t="shared" si="51"/>
        <v>Feb-27</v>
      </c>
      <c r="F195" s="9" t="str">
        <f t="shared" si="52"/>
        <v>Q1</v>
      </c>
      <c r="G195" s="9">
        <f t="shared" si="53"/>
        <v>10</v>
      </c>
      <c r="H195" s="9">
        <f t="shared" si="54"/>
        <v>3</v>
      </c>
      <c r="I195" s="9" t="str">
        <f t="shared" si="55"/>
        <v>Wednesday</v>
      </c>
      <c r="J195" s="9" t="str">
        <f t="shared" si="56"/>
        <v>No</v>
      </c>
      <c r="K195" s="5" t="str">
        <f>IF(COUNTIF(Bank_Holidays!A:A,A195)&gt;0,"Yes","No")</f>
        <v>No</v>
      </c>
      <c r="L195" t="str">
        <f t="shared" si="57"/>
        <v>Yes</v>
      </c>
      <c r="M195">
        <f t="shared" si="58"/>
        <v>6</v>
      </c>
      <c r="N195" s="5" t="str">
        <f t="shared" si="59"/>
        <v>No</v>
      </c>
      <c r="O195" t="str">
        <f>IF(A195=WORKDAY(EOMONTH(A195,0)+1,-1,Bank_Holidays!$A$2:$A$25),"Yes","No")</f>
        <v>No</v>
      </c>
      <c r="P195" t="str">
        <f t="shared" si="60"/>
        <v>No</v>
      </c>
      <c r="Q195" t="str">
        <f t="shared" si="61"/>
        <v>No</v>
      </c>
      <c r="R195" s="5">
        <f t="shared" ref="R195:R258" si="63">IF(L195="yes",1)+IF(L195="no",0,IF(AND(L200="no",L199="no",L198="no",L197="no",L196="no"),5,IF(AND(L199="no",L198="no",L197="no",L196="no"),4,IF(AND(L198="no",L197="no",L196="no"),3,IF(AND(L197="no",L196="no"),2,IF(L196="no",1))))))</f>
        <v>1</v>
      </c>
      <c r="S195">
        <f>MOD(A195-Fortnightly_Model!$M$1,14)</f>
        <v>4</v>
      </c>
      <c r="T195">
        <f>MOD(A195-FourWeekly_Model!$M$1,28)</f>
        <v>4</v>
      </c>
    </row>
    <row r="196" spans="1:20">
      <c r="A196" s="25">
        <f t="shared" si="62"/>
        <v>46429</v>
      </c>
      <c r="B196">
        <f t="shared" si="48"/>
        <v>2027</v>
      </c>
      <c r="C196" s="9">
        <f t="shared" si="49"/>
        <v>2</v>
      </c>
      <c r="D196" s="9" t="str">
        <f t="shared" si="50"/>
        <v>February</v>
      </c>
      <c r="E196" s="9" t="str">
        <f t="shared" si="51"/>
        <v>Feb-27</v>
      </c>
      <c r="F196" s="9" t="str">
        <f t="shared" si="52"/>
        <v>Q1</v>
      </c>
      <c r="G196" s="9">
        <f t="shared" si="53"/>
        <v>11</v>
      </c>
      <c r="H196" s="9">
        <f t="shared" si="54"/>
        <v>4</v>
      </c>
      <c r="I196" s="9" t="str">
        <f t="shared" si="55"/>
        <v>Thursday</v>
      </c>
      <c r="J196" s="9" t="str">
        <f t="shared" si="56"/>
        <v>No</v>
      </c>
      <c r="K196" s="5" t="str">
        <f>IF(COUNTIF(Bank_Holidays!A:A,A196)&gt;0,"Yes","No")</f>
        <v>No</v>
      </c>
      <c r="L196" t="str">
        <f t="shared" si="57"/>
        <v>Yes</v>
      </c>
      <c r="M196">
        <f t="shared" si="58"/>
        <v>6</v>
      </c>
      <c r="N196" s="5" t="str">
        <f t="shared" si="59"/>
        <v>No</v>
      </c>
      <c r="O196" t="str">
        <f>IF(A196=WORKDAY(EOMONTH(A196,0)+1,-1,Bank_Holidays!$A$2:$A$25),"Yes","No")</f>
        <v>No</v>
      </c>
      <c r="P196" t="str">
        <f t="shared" si="60"/>
        <v>No</v>
      </c>
      <c r="Q196" t="str">
        <f t="shared" si="61"/>
        <v>No</v>
      </c>
      <c r="R196" s="5">
        <f t="shared" si="63"/>
        <v>1</v>
      </c>
      <c r="S196">
        <f>MOD(A196-Fortnightly_Model!$M$1,14)</f>
        <v>5</v>
      </c>
      <c r="T196">
        <f>MOD(A196-FourWeekly_Model!$M$1,28)</f>
        <v>5</v>
      </c>
    </row>
    <row r="197" spans="1:20">
      <c r="A197" s="25">
        <f t="shared" si="62"/>
        <v>46430</v>
      </c>
      <c r="B197">
        <f t="shared" si="48"/>
        <v>2027</v>
      </c>
      <c r="C197" s="9">
        <f t="shared" si="49"/>
        <v>2</v>
      </c>
      <c r="D197" s="9" t="str">
        <f t="shared" si="50"/>
        <v>February</v>
      </c>
      <c r="E197" s="9" t="str">
        <f t="shared" si="51"/>
        <v>Feb-27</v>
      </c>
      <c r="F197" s="9" t="str">
        <f t="shared" si="52"/>
        <v>Q1</v>
      </c>
      <c r="G197" s="9">
        <f t="shared" si="53"/>
        <v>12</v>
      </c>
      <c r="H197" s="9">
        <f t="shared" si="54"/>
        <v>5</v>
      </c>
      <c r="I197" s="9" t="str">
        <f t="shared" si="55"/>
        <v>Friday</v>
      </c>
      <c r="J197" s="9" t="str">
        <f t="shared" si="56"/>
        <v>No</v>
      </c>
      <c r="K197" s="5" t="str">
        <f>IF(COUNTIF(Bank_Holidays!A:A,A197)&gt;0,"Yes","No")</f>
        <v>No</v>
      </c>
      <c r="L197" t="str">
        <f t="shared" si="57"/>
        <v>Yes</v>
      </c>
      <c r="M197">
        <f t="shared" si="58"/>
        <v>6</v>
      </c>
      <c r="N197" s="5" t="str">
        <f t="shared" si="59"/>
        <v>No</v>
      </c>
      <c r="O197" t="str">
        <f>IF(A197=WORKDAY(EOMONTH(A197,0)+1,-1,Bank_Holidays!$A$2:$A$25),"Yes","No")</f>
        <v>No</v>
      </c>
      <c r="P197" t="str">
        <f t="shared" si="60"/>
        <v>No</v>
      </c>
      <c r="Q197" t="str">
        <f t="shared" si="61"/>
        <v>No</v>
      </c>
      <c r="R197" s="5">
        <f t="shared" si="63"/>
        <v>3</v>
      </c>
      <c r="S197">
        <f>MOD(A197-Fortnightly_Model!$M$1,14)</f>
        <v>6</v>
      </c>
      <c r="T197">
        <f>MOD(A197-FourWeekly_Model!$M$1,28)</f>
        <v>6</v>
      </c>
    </row>
    <row r="198" spans="1:20">
      <c r="A198" s="25">
        <f t="shared" si="62"/>
        <v>46431</v>
      </c>
      <c r="B198">
        <f t="shared" si="48"/>
        <v>2027</v>
      </c>
      <c r="C198" s="9">
        <f t="shared" si="49"/>
        <v>2</v>
      </c>
      <c r="D198" s="9" t="str">
        <f t="shared" si="50"/>
        <v>February</v>
      </c>
      <c r="E198" s="9" t="str">
        <f t="shared" si="51"/>
        <v>Feb-27</v>
      </c>
      <c r="F198" s="9" t="str">
        <f t="shared" si="52"/>
        <v>Q1</v>
      </c>
      <c r="G198" s="9">
        <f t="shared" si="53"/>
        <v>13</v>
      </c>
      <c r="H198" s="9">
        <f t="shared" si="54"/>
        <v>6</v>
      </c>
      <c r="I198" s="9" t="str">
        <f t="shared" si="55"/>
        <v>Saturday</v>
      </c>
      <c r="J198" s="9" t="str">
        <f t="shared" si="56"/>
        <v>Yes</v>
      </c>
      <c r="K198" s="5" t="str">
        <f>IF(COUNTIF(Bank_Holidays!A:A,A198)&gt;0,"Yes","No")</f>
        <v>No</v>
      </c>
      <c r="L198" t="str">
        <f t="shared" si="57"/>
        <v>No</v>
      </c>
      <c r="M198">
        <f t="shared" si="58"/>
        <v>6</v>
      </c>
      <c r="N198" s="5" t="str">
        <f t="shared" si="59"/>
        <v>No</v>
      </c>
      <c r="O198" t="str">
        <f>IF(A198=WORKDAY(EOMONTH(A198,0)+1,-1,Bank_Holidays!$A$2:$A$25),"Yes","No")</f>
        <v>No</v>
      </c>
      <c r="P198" t="str">
        <f t="shared" si="60"/>
        <v>No</v>
      </c>
      <c r="Q198" t="str">
        <f t="shared" si="61"/>
        <v>No</v>
      </c>
      <c r="R198" s="5">
        <f t="shared" si="63"/>
        <v>0</v>
      </c>
      <c r="S198">
        <f>MOD(A198-Fortnightly_Model!$M$1,14)</f>
        <v>7</v>
      </c>
      <c r="T198">
        <f>MOD(A198-FourWeekly_Model!$M$1,28)</f>
        <v>7</v>
      </c>
    </row>
    <row r="199" spans="1:20">
      <c r="A199" s="25">
        <f t="shared" si="62"/>
        <v>46432</v>
      </c>
      <c r="B199">
        <f t="shared" si="48"/>
        <v>2027</v>
      </c>
      <c r="C199" s="9">
        <f t="shared" si="49"/>
        <v>2</v>
      </c>
      <c r="D199" s="9" t="str">
        <f t="shared" si="50"/>
        <v>February</v>
      </c>
      <c r="E199" s="9" t="str">
        <f t="shared" si="51"/>
        <v>Feb-27</v>
      </c>
      <c r="F199" s="9" t="str">
        <f t="shared" si="52"/>
        <v>Q1</v>
      </c>
      <c r="G199" s="9">
        <f t="shared" si="53"/>
        <v>14</v>
      </c>
      <c r="H199" s="9">
        <f t="shared" si="54"/>
        <v>7</v>
      </c>
      <c r="I199" s="9" t="str">
        <f t="shared" si="55"/>
        <v>Sunday</v>
      </c>
      <c r="J199" s="9" t="str">
        <f t="shared" si="56"/>
        <v>Yes</v>
      </c>
      <c r="K199" s="5" t="str">
        <f>IF(COUNTIF(Bank_Holidays!A:A,A199)&gt;0,"Yes","No")</f>
        <v>No</v>
      </c>
      <c r="L199" t="str">
        <f t="shared" si="57"/>
        <v>No</v>
      </c>
      <c r="M199">
        <f t="shared" si="58"/>
        <v>6</v>
      </c>
      <c r="N199" s="5" t="str">
        <f t="shared" si="59"/>
        <v>No</v>
      </c>
      <c r="O199" t="str">
        <f>IF(A199=WORKDAY(EOMONTH(A199,0)+1,-1,Bank_Holidays!$A$2:$A$25),"Yes","No")</f>
        <v>No</v>
      </c>
      <c r="P199" t="str">
        <f t="shared" si="60"/>
        <v>No</v>
      </c>
      <c r="Q199" t="str">
        <f t="shared" si="61"/>
        <v>No</v>
      </c>
      <c r="R199" s="5">
        <f t="shared" si="63"/>
        <v>0</v>
      </c>
      <c r="S199">
        <f>MOD(A199-Fortnightly_Model!$M$1,14)</f>
        <v>8</v>
      </c>
      <c r="T199">
        <f>MOD(A199-FourWeekly_Model!$M$1,28)</f>
        <v>8</v>
      </c>
    </row>
    <row r="200" spans="1:20">
      <c r="A200" s="25">
        <f t="shared" si="62"/>
        <v>46433</v>
      </c>
      <c r="B200">
        <f t="shared" si="48"/>
        <v>2027</v>
      </c>
      <c r="C200" s="9">
        <f t="shared" si="49"/>
        <v>2</v>
      </c>
      <c r="D200" s="9" t="str">
        <f t="shared" si="50"/>
        <v>February</v>
      </c>
      <c r="E200" s="9" t="str">
        <f t="shared" si="51"/>
        <v>Feb-27</v>
      </c>
      <c r="F200" s="9" t="str">
        <f t="shared" si="52"/>
        <v>Q1</v>
      </c>
      <c r="G200" s="9">
        <f t="shared" si="53"/>
        <v>15</v>
      </c>
      <c r="H200" s="9">
        <f t="shared" si="54"/>
        <v>1</v>
      </c>
      <c r="I200" s="9" t="str">
        <f t="shared" si="55"/>
        <v>Monday</v>
      </c>
      <c r="J200" s="9" t="str">
        <f t="shared" si="56"/>
        <v>No</v>
      </c>
      <c r="K200" s="5" t="str">
        <f>IF(COUNTIF(Bank_Holidays!A:A,A200)&gt;0,"Yes","No")</f>
        <v>No</v>
      </c>
      <c r="L200" t="str">
        <f t="shared" si="57"/>
        <v>Yes</v>
      </c>
      <c r="M200">
        <f t="shared" si="58"/>
        <v>7</v>
      </c>
      <c r="N200" s="5" t="str">
        <f t="shared" si="59"/>
        <v>No</v>
      </c>
      <c r="O200" t="str">
        <f>IF(A200=WORKDAY(EOMONTH(A200,0)+1,-1,Bank_Holidays!$A$2:$A$25),"Yes","No")</f>
        <v>No</v>
      </c>
      <c r="P200" t="str">
        <f t="shared" si="60"/>
        <v>No</v>
      </c>
      <c r="Q200" t="str">
        <f t="shared" si="61"/>
        <v>No</v>
      </c>
      <c r="R200" s="5">
        <f t="shared" si="63"/>
        <v>1</v>
      </c>
      <c r="S200">
        <f>MOD(A200-Fortnightly_Model!$M$1,14)</f>
        <v>9</v>
      </c>
      <c r="T200">
        <f>MOD(A200-FourWeekly_Model!$M$1,28)</f>
        <v>9</v>
      </c>
    </row>
    <row r="201" spans="1:20">
      <c r="A201" s="25">
        <f t="shared" si="62"/>
        <v>46434</v>
      </c>
      <c r="B201">
        <f t="shared" si="48"/>
        <v>2027</v>
      </c>
      <c r="C201" s="9">
        <f t="shared" si="49"/>
        <v>2</v>
      </c>
      <c r="D201" s="9" t="str">
        <f t="shared" si="50"/>
        <v>February</v>
      </c>
      <c r="E201" s="9" t="str">
        <f t="shared" si="51"/>
        <v>Feb-27</v>
      </c>
      <c r="F201" s="9" t="str">
        <f t="shared" si="52"/>
        <v>Q1</v>
      </c>
      <c r="G201" s="9">
        <f t="shared" si="53"/>
        <v>16</v>
      </c>
      <c r="H201" s="9">
        <f t="shared" si="54"/>
        <v>2</v>
      </c>
      <c r="I201" s="9" t="str">
        <f t="shared" si="55"/>
        <v>Tuesday</v>
      </c>
      <c r="J201" s="9" t="str">
        <f t="shared" si="56"/>
        <v>No</v>
      </c>
      <c r="K201" s="5" t="str">
        <f>IF(COUNTIF(Bank_Holidays!A:A,A201)&gt;0,"Yes","No")</f>
        <v>No</v>
      </c>
      <c r="L201" t="str">
        <f t="shared" si="57"/>
        <v>Yes</v>
      </c>
      <c r="M201">
        <f t="shared" si="58"/>
        <v>7</v>
      </c>
      <c r="N201" s="5" t="str">
        <f t="shared" si="59"/>
        <v>No</v>
      </c>
      <c r="O201" t="str">
        <f>IF(A201=WORKDAY(EOMONTH(A201,0)+1,-1,Bank_Holidays!$A$2:$A$25),"Yes","No")</f>
        <v>No</v>
      </c>
      <c r="P201" t="str">
        <f t="shared" si="60"/>
        <v>No</v>
      </c>
      <c r="Q201" t="str">
        <f t="shared" si="61"/>
        <v>No</v>
      </c>
      <c r="R201" s="5">
        <f t="shared" si="63"/>
        <v>1</v>
      </c>
      <c r="S201">
        <f>MOD(A201-Fortnightly_Model!$M$1,14)</f>
        <v>10</v>
      </c>
      <c r="T201">
        <f>MOD(A201-FourWeekly_Model!$M$1,28)</f>
        <v>10</v>
      </c>
    </row>
    <row r="202" spans="1:20">
      <c r="A202" s="25">
        <f t="shared" si="62"/>
        <v>46435</v>
      </c>
      <c r="B202">
        <f t="shared" si="48"/>
        <v>2027</v>
      </c>
      <c r="C202" s="9">
        <f t="shared" si="49"/>
        <v>2</v>
      </c>
      <c r="D202" s="9" t="str">
        <f t="shared" si="50"/>
        <v>February</v>
      </c>
      <c r="E202" s="9" t="str">
        <f t="shared" si="51"/>
        <v>Feb-27</v>
      </c>
      <c r="F202" s="9" t="str">
        <f t="shared" si="52"/>
        <v>Q1</v>
      </c>
      <c r="G202" s="9">
        <f t="shared" si="53"/>
        <v>17</v>
      </c>
      <c r="H202" s="9">
        <f t="shared" si="54"/>
        <v>3</v>
      </c>
      <c r="I202" s="9" t="str">
        <f t="shared" si="55"/>
        <v>Wednesday</v>
      </c>
      <c r="J202" s="9" t="str">
        <f t="shared" si="56"/>
        <v>No</v>
      </c>
      <c r="K202" s="5" t="str">
        <f>IF(COUNTIF(Bank_Holidays!A:A,A202)&gt;0,"Yes","No")</f>
        <v>No</v>
      </c>
      <c r="L202" t="str">
        <f t="shared" si="57"/>
        <v>Yes</v>
      </c>
      <c r="M202">
        <f t="shared" si="58"/>
        <v>7</v>
      </c>
      <c r="N202" s="5" t="str">
        <f t="shared" si="59"/>
        <v>No</v>
      </c>
      <c r="O202" t="str">
        <f>IF(A202=WORKDAY(EOMONTH(A202,0)+1,-1,Bank_Holidays!$A$2:$A$25),"Yes","No")</f>
        <v>No</v>
      </c>
      <c r="P202" t="str">
        <f t="shared" si="60"/>
        <v>No</v>
      </c>
      <c r="Q202" t="str">
        <f t="shared" si="61"/>
        <v>No</v>
      </c>
      <c r="R202" s="5">
        <f t="shared" si="63"/>
        <v>1</v>
      </c>
      <c r="S202">
        <f>MOD(A202-Fortnightly_Model!$M$1,14)</f>
        <v>11</v>
      </c>
      <c r="T202">
        <f>MOD(A202-FourWeekly_Model!$M$1,28)</f>
        <v>11</v>
      </c>
    </row>
    <row r="203" spans="1:20">
      <c r="A203" s="25">
        <f t="shared" si="62"/>
        <v>46436</v>
      </c>
      <c r="B203">
        <f t="shared" si="48"/>
        <v>2027</v>
      </c>
      <c r="C203" s="9">
        <f t="shared" si="49"/>
        <v>2</v>
      </c>
      <c r="D203" s="9" t="str">
        <f t="shared" si="50"/>
        <v>February</v>
      </c>
      <c r="E203" s="9" t="str">
        <f t="shared" si="51"/>
        <v>Feb-27</v>
      </c>
      <c r="F203" s="9" t="str">
        <f t="shared" si="52"/>
        <v>Q1</v>
      </c>
      <c r="G203" s="9">
        <f t="shared" si="53"/>
        <v>18</v>
      </c>
      <c r="H203" s="9">
        <f t="shared" si="54"/>
        <v>4</v>
      </c>
      <c r="I203" s="9" t="str">
        <f t="shared" si="55"/>
        <v>Thursday</v>
      </c>
      <c r="J203" s="9" t="str">
        <f t="shared" si="56"/>
        <v>No</v>
      </c>
      <c r="K203" s="5" t="str">
        <f>IF(COUNTIF(Bank_Holidays!A:A,A203)&gt;0,"Yes","No")</f>
        <v>No</v>
      </c>
      <c r="L203" t="str">
        <f t="shared" si="57"/>
        <v>Yes</v>
      </c>
      <c r="M203">
        <f t="shared" si="58"/>
        <v>7</v>
      </c>
      <c r="N203" s="5" t="str">
        <f t="shared" si="59"/>
        <v>No</v>
      </c>
      <c r="O203" t="str">
        <f>IF(A203=WORKDAY(EOMONTH(A203,0)+1,-1,Bank_Holidays!$A$2:$A$25),"Yes","No")</f>
        <v>No</v>
      </c>
      <c r="P203" t="str">
        <f t="shared" si="60"/>
        <v>No</v>
      </c>
      <c r="Q203" t="str">
        <f t="shared" si="61"/>
        <v>No</v>
      </c>
      <c r="R203" s="5">
        <f t="shared" si="63"/>
        <v>1</v>
      </c>
      <c r="S203">
        <f>MOD(A203-Fortnightly_Model!$M$1,14)</f>
        <v>12</v>
      </c>
      <c r="T203">
        <f>MOD(A203-FourWeekly_Model!$M$1,28)</f>
        <v>12</v>
      </c>
    </row>
    <row r="204" spans="1:20">
      <c r="A204" s="25">
        <f t="shared" si="62"/>
        <v>46437</v>
      </c>
      <c r="B204">
        <f t="shared" si="48"/>
        <v>2027</v>
      </c>
      <c r="C204" s="9">
        <f t="shared" si="49"/>
        <v>2</v>
      </c>
      <c r="D204" s="9" t="str">
        <f t="shared" si="50"/>
        <v>February</v>
      </c>
      <c r="E204" s="9" t="str">
        <f t="shared" si="51"/>
        <v>Feb-27</v>
      </c>
      <c r="F204" s="9" t="str">
        <f t="shared" si="52"/>
        <v>Q1</v>
      </c>
      <c r="G204" s="9">
        <f t="shared" si="53"/>
        <v>19</v>
      </c>
      <c r="H204" s="9">
        <f t="shared" si="54"/>
        <v>5</v>
      </c>
      <c r="I204" s="9" t="str">
        <f t="shared" si="55"/>
        <v>Friday</v>
      </c>
      <c r="J204" s="9" t="str">
        <f t="shared" si="56"/>
        <v>No</v>
      </c>
      <c r="K204" s="5" t="str">
        <f>IF(COUNTIF(Bank_Holidays!A:A,A204)&gt;0,"Yes","No")</f>
        <v>No</v>
      </c>
      <c r="L204" t="str">
        <f t="shared" si="57"/>
        <v>Yes</v>
      </c>
      <c r="M204">
        <f t="shared" si="58"/>
        <v>7</v>
      </c>
      <c r="N204" s="5" t="str">
        <f t="shared" si="59"/>
        <v>No</v>
      </c>
      <c r="O204" t="str">
        <f>IF(A204=WORKDAY(EOMONTH(A204,0)+1,-1,Bank_Holidays!$A$2:$A$25),"Yes","No")</f>
        <v>No</v>
      </c>
      <c r="P204" t="str">
        <f t="shared" si="60"/>
        <v>No</v>
      </c>
      <c r="Q204" t="str">
        <f t="shared" si="61"/>
        <v>No</v>
      </c>
      <c r="R204" s="5">
        <f t="shared" si="63"/>
        <v>3</v>
      </c>
      <c r="S204">
        <f>MOD(A204-Fortnightly_Model!$M$1,14)</f>
        <v>13</v>
      </c>
      <c r="T204">
        <f>MOD(A204-FourWeekly_Model!$M$1,28)</f>
        <v>13</v>
      </c>
    </row>
    <row r="205" spans="1:20">
      <c r="A205" s="25">
        <f t="shared" si="62"/>
        <v>46438</v>
      </c>
      <c r="B205">
        <f t="shared" si="48"/>
        <v>2027</v>
      </c>
      <c r="C205" s="9">
        <f t="shared" si="49"/>
        <v>2</v>
      </c>
      <c r="D205" s="9" t="str">
        <f t="shared" si="50"/>
        <v>February</v>
      </c>
      <c r="E205" s="9" t="str">
        <f t="shared" si="51"/>
        <v>Feb-27</v>
      </c>
      <c r="F205" s="9" t="str">
        <f t="shared" si="52"/>
        <v>Q1</v>
      </c>
      <c r="G205" s="9">
        <f t="shared" si="53"/>
        <v>20</v>
      </c>
      <c r="H205" s="9">
        <f t="shared" si="54"/>
        <v>6</v>
      </c>
      <c r="I205" s="9" t="str">
        <f t="shared" si="55"/>
        <v>Saturday</v>
      </c>
      <c r="J205" s="9" t="str">
        <f t="shared" si="56"/>
        <v>Yes</v>
      </c>
      <c r="K205" s="5" t="str">
        <f>IF(COUNTIF(Bank_Holidays!A:A,A205)&gt;0,"Yes","No")</f>
        <v>No</v>
      </c>
      <c r="L205" t="str">
        <f t="shared" si="57"/>
        <v>No</v>
      </c>
      <c r="M205">
        <f t="shared" si="58"/>
        <v>7</v>
      </c>
      <c r="N205" s="5" t="str">
        <f t="shared" si="59"/>
        <v>No</v>
      </c>
      <c r="O205" t="str">
        <f>IF(A205=WORKDAY(EOMONTH(A205,0)+1,-1,Bank_Holidays!$A$2:$A$25),"Yes","No")</f>
        <v>No</v>
      </c>
      <c r="P205" t="str">
        <f t="shared" si="60"/>
        <v>No</v>
      </c>
      <c r="Q205" t="str">
        <f t="shared" si="61"/>
        <v>No</v>
      </c>
      <c r="R205" s="5">
        <f t="shared" si="63"/>
        <v>0</v>
      </c>
      <c r="S205">
        <f>MOD(A205-Fortnightly_Model!$M$1,14)</f>
        <v>0</v>
      </c>
      <c r="T205">
        <f>MOD(A205-FourWeekly_Model!$M$1,28)</f>
        <v>14</v>
      </c>
    </row>
    <row r="206" spans="1:20">
      <c r="A206" s="25">
        <f t="shared" si="62"/>
        <v>46439</v>
      </c>
      <c r="B206">
        <f t="shared" si="48"/>
        <v>2027</v>
      </c>
      <c r="C206" s="9">
        <f t="shared" si="49"/>
        <v>2</v>
      </c>
      <c r="D206" s="9" t="str">
        <f t="shared" si="50"/>
        <v>February</v>
      </c>
      <c r="E206" s="9" t="str">
        <f t="shared" si="51"/>
        <v>Feb-27</v>
      </c>
      <c r="F206" s="9" t="str">
        <f t="shared" si="52"/>
        <v>Q1</v>
      </c>
      <c r="G206" s="9">
        <f t="shared" si="53"/>
        <v>21</v>
      </c>
      <c r="H206" s="9">
        <f t="shared" si="54"/>
        <v>7</v>
      </c>
      <c r="I206" s="9" t="str">
        <f t="shared" si="55"/>
        <v>Sunday</v>
      </c>
      <c r="J206" s="9" t="str">
        <f t="shared" si="56"/>
        <v>Yes</v>
      </c>
      <c r="K206" s="5" t="str">
        <f>IF(COUNTIF(Bank_Holidays!A:A,A206)&gt;0,"Yes","No")</f>
        <v>No</v>
      </c>
      <c r="L206" t="str">
        <f t="shared" si="57"/>
        <v>No</v>
      </c>
      <c r="M206">
        <f t="shared" si="58"/>
        <v>7</v>
      </c>
      <c r="N206" s="5" t="str">
        <f t="shared" si="59"/>
        <v>No</v>
      </c>
      <c r="O206" t="str">
        <f>IF(A206=WORKDAY(EOMONTH(A206,0)+1,-1,Bank_Holidays!$A$2:$A$25),"Yes","No")</f>
        <v>No</v>
      </c>
      <c r="P206" t="str">
        <f t="shared" si="60"/>
        <v>No</v>
      </c>
      <c r="Q206" t="str">
        <f t="shared" si="61"/>
        <v>No</v>
      </c>
      <c r="R206" s="5">
        <f t="shared" si="63"/>
        <v>0</v>
      </c>
      <c r="S206">
        <f>MOD(A206-Fortnightly_Model!$M$1,14)</f>
        <v>1</v>
      </c>
      <c r="T206">
        <f>MOD(A206-FourWeekly_Model!$M$1,28)</f>
        <v>15</v>
      </c>
    </row>
    <row r="207" spans="1:20">
      <c r="A207" s="25">
        <f t="shared" si="62"/>
        <v>46440</v>
      </c>
      <c r="B207">
        <f t="shared" si="48"/>
        <v>2027</v>
      </c>
      <c r="C207" s="9">
        <f t="shared" si="49"/>
        <v>2</v>
      </c>
      <c r="D207" s="9" t="str">
        <f t="shared" si="50"/>
        <v>February</v>
      </c>
      <c r="E207" s="9" t="str">
        <f t="shared" si="51"/>
        <v>Feb-27</v>
      </c>
      <c r="F207" s="9" t="str">
        <f t="shared" si="52"/>
        <v>Q1</v>
      </c>
      <c r="G207" s="9">
        <f t="shared" si="53"/>
        <v>22</v>
      </c>
      <c r="H207" s="9">
        <f t="shared" si="54"/>
        <v>1</v>
      </c>
      <c r="I207" s="9" t="str">
        <f t="shared" si="55"/>
        <v>Monday</v>
      </c>
      <c r="J207" s="9" t="str">
        <f t="shared" si="56"/>
        <v>No</v>
      </c>
      <c r="K207" s="5" t="str">
        <f>IF(COUNTIF(Bank_Holidays!A:A,A207)&gt;0,"Yes","No")</f>
        <v>No</v>
      </c>
      <c r="L207" t="str">
        <f t="shared" si="57"/>
        <v>Yes</v>
      </c>
      <c r="M207">
        <f t="shared" si="58"/>
        <v>8</v>
      </c>
      <c r="N207" s="5" t="str">
        <f t="shared" si="59"/>
        <v>No</v>
      </c>
      <c r="O207" t="str">
        <f>IF(A207=WORKDAY(EOMONTH(A207,0)+1,-1,Bank_Holidays!$A$2:$A$25),"Yes","No")</f>
        <v>No</v>
      </c>
      <c r="P207" t="str">
        <f t="shared" si="60"/>
        <v>No</v>
      </c>
      <c r="Q207" t="str">
        <f t="shared" si="61"/>
        <v>No</v>
      </c>
      <c r="R207" s="5">
        <f t="shared" si="63"/>
        <v>1</v>
      </c>
      <c r="S207">
        <f>MOD(A207-Fortnightly_Model!$M$1,14)</f>
        <v>2</v>
      </c>
      <c r="T207">
        <f>MOD(A207-FourWeekly_Model!$M$1,28)</f>
        <v>16</v>
      </c>
    </row>
    <row r="208" spans="1:20">
      <c r="A208" s="25">
        <f t="shared" si="62"/>
        <v>46441</v>
      </c>
      <c r="B208">
        <f t="shared" si="48"/>
        <v>2027</v>
      </c>
      <c r="C208" s="9">
        <f t="shared" si="49"/>
        <v>2</v>
      </c>
      <c r="D208" s="9" t="str">
        <f t="shared" si="50"/>
        <v>February</v>
      </c>
      <c r="E208" s="9" t="str">
        <f t="shared" si="51"/>
        <v>Feb-27</v>
      </c>
      <c r="F208" s="9" t="str">
        <f t="shared" si="52"/>
        <v>Q1</v>
      </c>
      <c r="G208" s="9">
        <f t="shared" si="53"/>
        <v>23</v>
      </c>
      <c r="H208" s="9">
        <f t="shared" si="54"/>
        <v>2</v>
      </c>
      <c r="I208" s="9" t="str">
        <f t="shared" si="55"/>
        <v>Tuesday</v>
      </c>
      <c r="J208" s="9" t="str">
        <f t="shared" si="56"/>
        <v>No</v>
      </c>
      <c r="K208" s="5" t="str">
        <f>IF(COUNTIF(Bank_Holidays!A:A,A208)&gt;0,"Yes","No")</f>
        <v>No</v>
      </c>
      <c r="L208" t="str">
        <f t="shared" si="57"/>
        <v>Yes</v>
      </c>
      <c r="M208">
        <f t="shared" si="58"/>
        <v>8</v>
      </c>
      <c r="N208" s="5" t="str">
        <f t="shared" si="59"/>
        <v>No</v>
      </c>
      <c r="O208" t="str">
        <f>IF(A208=WORKDAY(EOMONTH(A208,0)+1,-1,Bank_Holidays!$A$2:$A$25),"Yes","No")</f>
        <v>No</v>
      </c>
      <c r="P208" t="str">
        <f t="shared" si="60"/>
        <v>No</v>
      </c>
      <c r="Q208" t="str">
        <f t="shared" si="61"/>
        <v>No</v>
      </c>
      <c r="R208" s="5">
        <f t="shared" si="63"/>
        <v>1</v>
      </c>
      <c r="S208">
        <f>MOD(A208-Fortnightly_Model!$M$1,14)</f>
        <v>3</v>
      </c>
      <c r="T208">
        <f>MOD(A208-FourWeekly_Model!$M$1,28)</f>
        <v>17</v>
      </c>
    </row>
    <row r="209" spans="1:20">
      <c r="A209" s="25">
        <f t="shared" si="62"/>
        <v>46442</v>
      </c>
      <c r="B209">
        <f t="shared" si="48"/>
        <v>2027</v>
      </c>
      <c r="C209" s="9">
        <f t="shared" si="49"/>
        <v>2</v>
      </c>
      <c r="D209" s="9" t="str">
        <f t="shared" si="50"/>
        <v>February</v>
      </c>
      <c r="E209" s="9" t="str">
        <f t="shared" si="51"/>
        <v>Feb-27</v>
      </c>
      <c r="F209" s="9" t="str">
        <f t="shared" si="52"/>
        <v>Q1</v>
      </c>
      <c r="G209" s="9">
        <f t="shared" si="53"/>
        <v>24</v>
      </c>
      <c r="H209" s="9">
        <f t="shared" si="54"/>
        <v>3</v>
      </c>
      <c r="I209" s="9" t="str">
        <f t="shared" si="55"/>
        <v>Wednesday</v>
      </c>
      <c r="J209" s="9" t="str">
        <f t="shared" si="56"/>
        <v>No</v>
      </c>
      <c r="K209" s="5" t="str">
        <f>IF(COUNTIF(Bank_Holidays!A:A,A209)&gt;0,"Yes","No")</f>
        <v>No</v>
      </c>
      <c r="L209" t="str">
        <f t="shared" si="57"/>
        <v>Yes</v>
      </c>
      <c r="M209">
        <f t="shared" si="58"/>
        <v>8</v>
      </c>
      <c r="N209" s="5" t="str">
        <f t="shared" si="59"/>
        <v>No</v>
      </c>
      <c r="O209" t="str">
        <f>IF(A209=WORKDAY(EOMONTH(A209,0)+1,-1,Bank_Holidays!$A$2:$A$25),"Yes","No")</f>
        <v>No</v>
      </c>
      <c r="P209" t="str">
        <f t="shared" si="60"/>
        <v>No</v>
      </c>
      <c r="Q209" t="str">
        <f t="shared" si="61"/>
        <v>No</v>
      </c>
      <c r="R209" s="5">
        <f t="shared" si="63"/>
        <v>1</v>
      </c>
      <c r="S209">
        <f>MOD(A209-Fortnightly_Model!$M$1,14)</f>
        <v>4</v>
      </c>
      <c r="T209">
        <f>MOD(A209-FourWeekly_Model!$M$1,28)</f>
        <v>18</v>
      </c>
    </row>
    <row r="210" spans="1:20">
      <c r="A210" s="25">
        <f t="shared" si="62"/>
        <v>46443</v>
      </c>
      <c r="B210">
        <f t="shared" si="48"/>
        <v>2027</v>
      </c>
      <c r="C210" s="9">
        <f t="shared" si="49"/>
        <v>2</v>
      </c>
      <c r="D210" s="9" t="str">
        <f t="shared" si="50"/>
        <v>February</v>
      </c>
      <c r="E210" s="9" t="str">
        <f t="shared" si="51"/>
        <v>Feb-27</v>
      </c>
      <c r="F210" s="9" t="str">
        <f t="shared" si="52"/>
        <v>Q1</v>
      </c>
      <c r="G210" s="9">
        <f t="shared" si="53"/>
        <v>25</v>
      </c>
      <c r="H210" s="9">
        <f t="shared" si="54"/>
        <v>4</v>
      </c>
      <c r="I210" s="9" t="str">
        <f t="shared" si="55"/>
        <v>Thursday</v>
      </c>
      <c r="J210" s="9" t="str">
        <f t="shared" si="56"/>
        <v>No</v>
      </c>
      <c r="K210" s="5" t="str">
        <f>IF(COUNTIF(Bank_Holidays!A:A,A210)&gt;0,"Yes","No")</f>
        <v>No</v>
      </c>
      <c r="L210" t="str">
        <f t="shared" si="57"/>
        <v>Yes</v>
      </c>
      <c r="M210">
        <f t="shared" si="58"/>
        <v>8</v>
      </c>
      <c r="N210" s="5" t="str">
        <f t="shared" si="59"/>
        <v>No</v>
      </c>
      <c r="O210" t="str">
        <f>IF(A210=WORKDAY(EOMONTH(A210,0)+1,-1,Bank_Holidays!$A$2:$A$25),"Yes","No")</f>
        <v>No</v>
      </c>
      <c r="P210" t="str">
        <f t="shared" si="60"/>
        <v>No</v>
      </c>
      <c r="Q210" t="str">
        <f t="shared" si="61"/>
        <v>Yes</v>
      </c>
      <c r="R210" s="5">
        <f t="shared" si="63"/>
        <v>1</v>
      </c>
      <c r="S210">
        <f>MOD(A210-Fortnightly_Model!$M$1,14)</f>
        <v>5</v>
      </c>
      <c r="T210">
        <f>MOD(A210-FourWeekly_Model!$M$1,28)</f>
        <v>19</v>
      </c>
    </row>
    <row r="211" spans="1:20">
      <c r="A211" s="25">
        <f t="shared" si="62"/>
        <v>46444</v>
      </c>
      <c r="B211">
        <f t="shared" si="48"/>
        <v>2027</v>
      </c>
      <c r="C211" s="9">
        <f t="shared" si="49"/>
        <v>2</v>
      </c>
      <c r="D211" s="9" t="str">
        <f t="shared" si="50"/>
        <v>February</v>
      </c>
      <c r="E211" s="9" t="str">
        <f t="shared" si="51"/>
        <v>Feb-27</v>
      </c>
      <c r="F211" s="9" t="str">
        <f t="shared" si="52"/>
        <v>Q1</v>
      </c>
      <c r="G211" s="9">
        <f t="shared" si="53"/>
        <v>26</v>
      </c>
      <c r="H211" s="9">
        <f t="shared" si="54"/>
        <v>5</v>
      </c>
      <c r="I211" s="9" t="str">
        <f t="shared" si="55"/>
        <v>Friday</v>
      </c>
      <c r="J211" s="9" t="str">
        <f t="shared" si="56"/>
        <v>No</v>
      </c>
      <c r="K211" s="5" t="str">
        <f>IF(COUNTIF(Bank_Holidays!A:A,A211)&gt;0,"Yes","No")</f>
        <v>No</v>
      </c>
      <c r="L211" t="str">
        <f t="shared" si="57"/>
        <v>Yes</v>
      </c>
      <c r="M211">
        <f t="shared" si="58"/>
        <v>8</v>
      </c>
      <c r="N211" s="5" t="str">
        <f t="shared" si="59"/>
        <v>No</v>
      </c>
      <c r="O211" t="str">
        <f>IF(A211=WORKDAY(EOMONTH(A211,0)+1,-1,Bank_Holidays!$A$2:$A$25),"Yes","No")</f>
        <v>Yes</v>
      </c>
      <c r="P211" t="str">
        <f t="shared" si="60"/>
        <v>Yes</v>
      </c>
      <c r="Q211" t="str">
        <f t="shared" si="61"/>
        <v>No</v>
      </c>
      <c r="R211" s="5">
        <f t="shared" si="63"/>
        <v>3</v>
      </c>
      <c r="S211">
        <f>MOD(A211-Fortnightly_Model!$M$1,14)</f>
        <v>6</v>
      </c>
      <c r="T211">
        <f>MOD(A211-FourWeekly_Model!$M$1,28)</f>
        <v>20</v>
      </c>
    </row>
    <row r="212" spans="1:20">
      <c r="A212" s="25">
        <f t="shared" si="62"/>
        <v>46445</v>
      </c>
      <c r="B212">
        <f t="shared" si="48"/>
        <v>2027</v>
      </c>
      <c r="C212" s="9">
        <f t="shared" si="49"/>
        <v>2</v>
      </c>
      <c r="D212" s="9" t="str">
        <f t="shared" si="50"/>
        <v>February</v>
      </c>
      <c r="E212" s="9" t="str">
        <f t="shared" si="51"/>
        <v>Feb-27</v>
      </c>
      <c r="F212" s="9" t="str">
        <f t="shared" si="52"/>
        <v>Q1</v>
      </c>
      <c r="G212" s="9">
        <f t="shared" si="53"/>
        <v>27</v>
      </c>
      <c r="H212" s="9">
        <f t="shared" si="54"/>
        <v>6</v>
      </c>
      <c r="I212" s="9" t="str">
        <f t="shared" si="55"/>
        <v>Saturday</v>
      </c>
      <c r="J212" s="9" t="str">
        <f t="shared" si="56"/>
        <v>Yes</v>
      </c>
      <c r="K212" s="5" t="str">
        <f>IF(COUNTIF(Bank_Holidays!A:A,A212)&gt;0,"Yes","No")</f>
        <v>No</v>
      </c>
      <c r="L212" t="str">
        <f t="shared" si="57"/>
        <v>No</v>
      </c>
      <c r="M212">
        <f t="shared" si="58"/>
        <v>8</v>
      </c>
      <c r="N212" s="5" t="str">
        <f t="shared" si="59"/>
        <v>No</v>
      </c>
      <c r="O212" t="str">
        <f>IF(A212=WORKDAY(EOMONTH(A212,0)+1,-1,Bank_Holidays!$A$2:$A$25),"Yes","No")</f>
        <v>No</v>
      </c>
      <c r="P212" t="str">
        <f t="shared" si="60"/>
        <v>No</v>
      </c>
      <c r="Q212" t="str">
        <f t="shared" si="61"/>
        <v>No</v>
      </c>
      <c r="R212" s="5">
        <f t="shared" si="63"/>
        <v>0</v>
      </c>
      <c r="S212">
        <f>MOD(A212-Fortnightly_Model!$M$1,14)</f>
        <v>7</v>
      </c>
      <c r="T212">
        <f>MOD(A212-FourWeekly_Model!$M$1,28)</f>
        <v>21</v>
      </c>
    </row>
    <row r="213" spans="1:20">
      <c r="A213" s="25">
        <f t="shared" si="62"/>
        <v>46446</v>
      </c>
      <c r="B213">
        <f t="shared" si="48"/>
        <v>2027</v>
      </c>
      <c r="C213" s="9">
        <f t="shared" si="49"/>
        <v>2</v>
      </c>
      <c r="D213" s="9" t="str">
        <f t="shared" si="50"/>
        <v>February</v>
      </c>
      <c r="E213" s="9" t="str">
        <f t="shared" si="51"/>
        <v>Feb-27</v>
      </c>
      <c r="F213" s="9" t="str">
        <f t="shared" si="52"/>
        <v>Q1</v>
      </c>
      <c r="G213" s="9">
        <f t="shared" si="53"/>
        <v>28</v>
      </c>
      <c r="H213" s="9">
        <f t="shared" si="54"/>
        <v>7</v>
      </c>
      <c r="I213" s="9" t="str">
        <f t="shared" si="55"/>
        <v>Sunday</v>
      </c>
      <c r="J213" s="9" t="str">
        <f t="shared" si="56"/>
        <v>Yes</v>
      </c>
      <c r="K213" s="5" t="str">
        <f>IF(COUNTIF(Bank_Holidays!A:A,A213)&gt;0,"Yes","No")</f>
        <v>No</v>
      </c>
      <c r="L213" t="str">
        <f t="shared" si="57"/>
        <v>No</v>
      </c>
      <c r="M213">
        <f t="shared" si="58"/>
        <v>8</v>
      </c>
      <c r="N213" s="5" t="str">
        <f t="shared" si="59"/>
        <v>Yes</v>
      </c>
      <c r="O213" t="str">
        <f>IF(A213=WORKDAY(EOMONTH(A213,0)+1,-1,Bank_Holidays!$A$2:$A$25),"Yes","No")</f>
        <v>No</v>
      </c>
      <c r="P213" t="str">
        <f t="shared" si="60"/>
        <v>No</v>
      </c>
      <c r="Q213" t="str">
        <f t="shared" si="61"/>
        <v>No</v>
      </c>
      <c r="R213" s="5">
        <f t="shared" si="63"/>
        <v>0</v>
      </c>
      <c r="S213">
        <f>MOD(A213-Fortnightly_Model!$M$1,14)</f>
        <v>8</v>
      </c>
      <c r="T213">
        <f>MOD(A213-FourWeekly_Model!$M$1,28)</f>
        <v>22</v>
      </c>
    </row>
    <row r="214" spans="1:20">
      <c r="A214" s="25">
        <f t="shared" si="62"/>
        <v>46447</v>
      </c>
      <c r="B214">
        <f t="shared" si="48"/>
        <v>2027</v>
      </c>
      <c r="C214" s="9">
        <f t="shared" si="49"/>
        <v>3</v>
      </c>
      <c r="D214" s="9" t="str">
        <f t="shared" si="50"/>
        <v>March</v>
      </c>
      <c r="E214" s="9" t="str">
        <f t="shared" si="51"/>
        <v>Mar-27</v>
      </c>
      <c r="F214" s="9" t="str">
        <f t="shared" si="52"/>
        <v>Q1</v>
      </c>
      <c r="G214" s="9">
        <f t="shared" si="53"/>
        <v>1</v>
      </c>
      <c r="H214" s="9">
        <f t="shared" si="54"/>
        <v>1</v>
      </c>
      <c r="I214" s="9" t="str">
        <f t="shared" si="55"/>
        <v>Monday</v>
      </c>
      <c r="J214" s="9" t="str">
        <f t="shared" si="56"/>
        <v>No</v>
      </c>
      <c r="K214" s="5" t="str">
        <f>IF(COUNTIF(Bank_Holidays!A:A,A214)&gt;0,"Yes","No")</f>
        <v>No</v>
      </c>
      <c r="L214" t="str">
        <f t="shared" si="57"/>
        <v>Yes</v>
      </c>
      <c r="M214">
        <f t="shared" si="58"/>
        <v>9</v>
      </c>
      <c r="N214" s="5" t="str">
        <f t="shared" si="59"/>
        <v>No</v>
      </c>
      <c r="O214" t="str">
        <f>IF(A214=WORKDAY(EOMONTH(A214,0)+1,-1,Bank_Holidays!$A$2:$A$25),"Yes","No")</f>
        <v>No</v>
      </c>
      <c r="P214" t="str">
        <f t="shared" si="60"/>
        <v>No</v>
      </c>
      <c r="Q214" t="str">
        <f t="shared" si="61"/>
        <v>No</v>
      </c>
      <c r="R214" s="5">
        <f t="shared" si="63"/>
        <v>1</v>
      </c>
      <c r="S214">
        <f>MOD(A214-Fortnightly_Model!$M$1,14)</f>
        <v>9</v>
      </c>
      <c r="T214">
        <f>MOD(A214-FourWeekly_Model!$M$1,28)</f>
        <v>23</v>
      </c>
    </row>
    <row r="215" spans="1:20">
      <c r="A215" s="25">
        <f t="shared" si="62"/>
        <v>46448</v>
      </c>
      <c r="B215">
        <f t="shared" si="48"/>
        <v>2027</v>
      </c>
      <c r="C215" s="9">
        <f t="shared" si="49"/>
        <v>3</v>
      </c>
      <c r="D215" s="9" t="str">
        <f t="shared" si="50"/>
        <v>March</v>
      </c>
      <c r="E215" s="9" t="str">
        <f t="shared" si="51"/>
        <v>Mar-27</v>
      </c>
      <c r="F215" s="9" t="str">
        <f t="shared" si="52"/>
        <v>Q1</v>
      </c>
      <c r="G215" s="9">
        <f t="shared" si="53"/>
        <v>2</v>
      </c>
      <c r="H215" s="9">
        <f t="shared" si="54"/>
        <v>2</v>
      </c>
      <c r="I215" s="9" t="str">
        <f t="shared" si="55"/>
        <v>Tuesday</v>
      </c>
      <c r="J215" s="9" t="str">
        <f t="shared" si="56"/>
        <v>No</v>
      </c>
      <c r="K215" s="5" t="str">
        <f>IF(COUNTIF(Bank_Holidays!A:A,A215)&gt;0,"Yes","No")</f>
        <v>No</v>
      </c>
      <c r="L215" t="str">
        <f t="shared" si="57"/>
        <v>Yes</v>
      </c>
      <c r="M215">
        <f t="shared" si="58"/>
        <v>9</v>
      </c>
      <c r="N215" s="5" t="str">
        <f t="shared" si="59"/>
        <v>No</v>
      </c>
      <c r="O215" t="str">
        <f>IF(A215=WORKDAY(EOMONTH(A215,0)+1,-1,Bank_Holidays!$A$2:$A$25),"Yes","No")</f>
        <v>No</v>
      </c>
      <c r="P215" t="str">
        <f t="shared" si="60"/>
        <v>No</v>
      </c>
      <c r="Q215" t="str">
        <f t="shared" si="61"/>
        <v>No</v>
      </c>
      <c r="R215" s="5">
        <f t="shared" si="63"/>
        <v>1</v>
      </c>
      <c r="S215">
        <f>MOD(A215-Fortnightly_Model!$M$1,14)</f>
        <v>10</v>
      </c>
      <c r="T215">
        <f>MOD(A215-FourWeekly_Model!$M$1,28)</f>
        <v>24</v>
      </c>
    </row>
    <row r="216" spans="1:20">
      <c r="A216" s="25">
        <f t="shared" si="62"/>
        <v>46449</v>
      </c>
      <c r="B216">
        <f t="shared" si="48"/>
        <v>2027</v>
      </c>
      <c r="C216" s="9">
        <f t="shared" si="49"/>
        <v>3</v>
      </c>
      <c r="D216" s="9" t="str">
        <f t="shared" si="50"/>
        <v>March</v>
      </c>
      <c r="E216" s="9" t="str">
        <f t="shared" si="51"/>
        <v>Mar-27</v>
      </c>
      <c r="F216" s="9" t="str">
        <f t="shared" si="52"/>
        <v>Q1</v>
      </c>
      <c r="G216" s="9">
        <f t="shared" si="53"/>
        <v>3</v>
      </c>
      <c r="H216" s="9">
        <f t="shared" si="54"/>
        <v>3</v>
      </c>
      <c r="I216" s="9" t="str">
        <f t="shared" si="55"/>
        <v>Wednesday</v>
      </c>
      <c r="J216" s="9" t="str">
        <f t="shared" si="56"/>
        <v>No</v>
      </c>
      <c r="K216" s="5" t="str">
        <f>IF(COUNTIF(Bank_Holidays!A:A,A216)&gt;0,"Yes","No")</f>
        <v>No</v>
      </c>
      <c r="L216" t="str">
        <f t="shared" si="57"/>
        <v>Yes</v>
      </c>
      <c r="M216">
        <f t="shared" si="58"/>
        <v>9</v>
      </c>
      <c r="N216" s="5" t="str">
        <f t="shared" si="59"/>
        <v>No</v>
      </c>
      <c r="O216" t="str">
        <f>IF(A216=WORKDAY(EOMONTH(A216,0)+1,-1,Bank_Holidays!$A$2:$A$25),"Yes","No")</f>
        <v>No</v>
      </c>
      <c r="P216" t="str">
        <f t="shared" si="60"/>
        <v>No</v>
      </c>
      <c r="Q216" t="str">
        <f t="shared" si="61"/>
        <v>No</v>
      </c>
      <c r="R216" s="5">
        <f t="shared" si="63"/>
        <v>1</v>
      </c>
      <c r="S216">
        <f>MOD(A216-Fortnightly_Model!$M$1,14)</f>
        <v>11</v>
      </c>
      <c r="T216">
        <f>MOD(A216-FourWeekly_Model!$M$1,28)</f>
        <v>25</v>
      </c>
    </row>
    <row r="217" spans="1:20">
      <c r="A217" s="25">
        <f t="shared" si="62"/>
        <v>46450</v>
      </c>
      <c r="B217">
        <f t="shared" si="48"/>
        <v>2027</v>
      </c>
      <c r="C217" s="9">
        <f t="shared" si="49"/>
        <v>3</v>
      </c>
      <c r="D217" s="9" t="str">
        <f t="shared" si="50"/>
        <v>March</v>
      </c>
      <c r="E217" s="9" t="str">
        <f t="shared" si="51"/>
        <v>Mar-27</v>
      </c>
      <c r="F217" s="9" t="str">
        <f t="shared" si="52"/>
        <v>Q1</v>
      </c>
      <c r="G217" s="9">
        <f t="shared" si="53"/>
        <v>4</v>
      </c>
      <c r="H217" s="9">
        <f t="shared" si="54"/>
        <v>4</v>
      </c>
      <c r="I217" s="9" t="str">
        <f t="shared" si="55"/>
        <v>Thursday</v>
      </c>
      <c r="J217" s="9" t="str">
        <f t="shared" si="56"/>
        <v>No</v>
      </c>
      <c r="K217" s="5" t="str">
        <f>IF(COUNTIF(Bank_Holidays!A:A,A217)&gt;0,"Yes","No")</f>
        <v>No</v>
      </c>
      <c r="L217" t="str">
        <f t="shared" si="57"/>
        <v>Yes</v>
      </c>
      <c r="M217">
        <f t="shared" si="58"/>
        <v>9</v>
      </c>
      <c r="N217" s="5" t="str">
        <f t="shared" si="59"/>
        <v>No</v>
      </c>
      <c r="O217" t="str">
        <f>IF(A217=WORKDAY(EOMONTH(A217,0)+1,-1,Bank_Holidays!$A$2:$A$25),"Yes","No")</f>
        <v>No</v>
      </c>
      <c r="P217" t="str">
        <f t="shared" si="60"/>
        <v>No</v>
      </c>
      <c r="Q217" t="str">
        <f t="shared" si="61"/>
        <v>No</v>
      </c>
      <c r="R217" s="5">
        <f t="shared" si="63"/>
        <v>1</v>
      </c>
      <c r="S217">
        <f>MOD(A217-Fortnightly_Model!$M$1,14)</f>
        <v>12</v>
      </c>
      <c r="T217">
        <f>MOD(A217-FourWeekly_Model!$M$1,28)</f>
        <v>26</v>
      </c>
    </row>
    <row r="218" spans="1:20">
      <c r="A218" s="25">
        <f t="shared" si="62"/>
        <v>46451</v>
      </c>
      <c r="B218">
        <f t="shared" si="48"/>
        <v>2027</v>
      </c>
      <c r="C218" s="9">
        <f t="shared" si="49"/>
        <v>3</v>
      </c>
      <c r="D218" s="9" t="str">
        <f t="shared" si="50"/>
        <v>March</v>
      </c>
      <c r="E218" s="9" t="str">
        <f t="shared" si="51"/>
        <v>Mar-27</v>
      </c>
      <c r="F218" s="9" t="str">
        <f t="shared" si="52"/>
        <v>Q1</v>
      </c>
      <c r="G218" s="9">
        <f t="shared" si="53"/>
        <v>5</v>
      </c>
      <c r="H218" s="9">
        <f t="shared" si="54"/>
        <v>5</v>
      </c>
      <c r="I218" s="9" t="str">
        <f t="shared" si="55"/>
        <v>Friday</v>
      </c>
      <c r="J218" s="9" t="str">
        <f t="shared" si="56"/>
        <v>No</v>
      </c>
      <c r="K218" s="5" t="str">
        <f>IF(COUNTIF(Bank_Holidays!A:A,A218)&gt;0,"Yes","No")</f>
        <v>No</v>
      </c>
      <c r="L218" t="str">
        <f t="shared" si="57"/>
        <v>Yes</v>
      </c>
      <c r="M218">
        <f t="shared" si="58"/>
        <v>9</v>
      </c>
      <c r="N218" s="5" t="str">
        <f t="shared" si="59"/>
        <v>No</v>
      </c>
      <c r="O218" t="str">
        <f>IF(A218=WORKDAY(EOMONTH(A218,0)+1,-1,Bank_Holidays!$A$2:$A$25),"Yes","No")</f>
        <v>No</v>
      </c>
      <c r="P218" t="str">
        <f t="shared" si="60"/>
        <v>No</v>
      </c>
      <c r="Q218" t="str">
        <f t="shared" si="61"/>
        <v>No</v>
      </c>
      <c r="R218" s="5">
        <f t="shared" si="63"/>
        <v>3</v>
      </c>
      <c r="S218">
        <f>MOD(A218-Fortnightly_Model!$M$1,14)</f>
        <v>13</v>
      </c>
      <c r="T218">
        <f>MOD(A218-FourWeekly_Model!$M$1,28)</f>
        <v>27</v>
      </c>
    </row>
    <row r="219" spans="1:20">
      <c r="A219" s="25">
        <f t="shared" si="62"/>
        <v>46452</v>
      </c>
      <c r="B219">
        <f t="shared" si="48"/>
        <v>2027</v>
      </c>
      <c r="C219" s="9">
        <f t="shared" si="49"/>
        <v>3</v>
      </c>
      <c r="D219" s="9" t="str">
        <f t="shared" si="50"/>
        <v>March</v>
      </c>
      <c r="E219" s="9" t="str">
        <f t="shared" si="51"/>
        <v>Mar-27</v>
      </c>
      <c r="F219" s="9" t="str">
        <f t="shared" si="52"/>
        <v>Q1</v>
      </c>
      <c r="G219" s="9">
        <f t="shared" si="53"/>
        <v>6</v>
      </c>
      <c r="H219" s="9">
        <f t="shared" si="54"/>
        <v>6</v>
      </c>
      <c r="I219" s="9" t="str">
        <f t="shared" si="55"/>
        <v>Saturday</v>
      </c>
      <c r="J219" s="9" t="str">
        <f t="shared" si="56"/>
        <v>Yes</v>
      </c>
      <c r="K219" s="5" t="str">
        <f>IF(COUNTIF(Bank_Holidays!A:A,A219)&gt;0,"Yes","No")</f>
        <v>No</v>
      </c>
      <c r="L219" t="str">
        <f t="shared" si="57"/>
        <v>No</v>
      </c>
      <c r="M219">
        <f t="shared" si="58"/>
        <v>9</v>
      </c>
      <c r="N219" s="5" t="str">
        <f t="shared" si="59"/>
        <v>No</v>
      </c>
      <c r="O219" t="str">
        <f>IF(A219=WORKDAY(EOMONTH(A219,0)+1,-1,Bank_Holidays!$A$2:$A$25),"Yes","No")</f>
        <v>No</v>
      </c>
      <c r="P219" t="str">
        <f t="shared" si="60"/>
        <v>No</v>
      </c>
      <c r="Q219" t="str">
        <f t="shared" si="61"/>
        <v>No</v>
      </c>
      <c r="R219" s="5">
        <f t="shared" si="63"/>
        <v>0</v>
      </c>
      <c r="S219">
        <f>MOD(A219-Fortnightly_Model!$M$1,14)</f>
        <v>0</v>
      </c>
      <c r="T219">
        <f>MOD(A219-FourWeekly_Model!$M$1,28)</f>
        <v>0</v>
      </c>
    </row>
    <row r="220" spans="1:20">
      <c r="A220" s="25">
        <f t="shared" si="62"/>
        <v>46453</v>
      </c>
      <c r="B220">
        <f t="shared" si="48"/>
        <v>2027</v>
      </c>
      <c r="C220" s="9">
        <f t="shared" si="49"/>
        <v>3</v>
      </c>
      <c r="D220" s="9" t="str">
        <f t="shared" si="50"/>
        <v>March</v>
      </c>
      <c r="E220" s="9" t="str">
        <f t="shared" si="51"/>
        <v>Mar-27</v>
      </c>
      <c r="F220" s="9" t="str">
        <f t="shared" si="52"/>
        <v>Q1</v>
      </c>
      <c r="G220" s="9">
        <f t="shared" si="53"/>
        <v>7</v>
      </c>
      <c r="H220" s="9">
        <f t="shared" si="54"/>
        <v>7</v>
      </c>
      <c r="I220" s="9" t="str">
        <f t="shared" si="55"/>
        <v>Sunday</v>
      </c>
      <c r="J220" s="9" t="str">
        <f t="shared" si="56"/>
        <v>Yes</v>
      </c>
      <c r="K220" s="5" t="str">
        <f>IF(COUNTIF(Bank_Holidays!A:A,A220)&gt;0,"Yes","No")</f>
        <v>No</v>
      </c>
      <c r="L220" t="str">
        <f t="shared" si="57"/>
        <v>No</v>
      </c>
      <c r="M220">
        <f t="shared" si="58"/>
        <v>9</v>
      </c>
      <c r="N220" s="5" t="str">
        <f t="shared" si="59"/>
        <v>No</v>
      </c>
      <c r="O220" t="str">
        <f>IF(A220=WORKDAY(EOMONTH(A220,0)+1,-1,Bank_Holidays!$A$2:$A$25),"Yes","No")</f>
        <v>No</v>
      </c>
      <c r="P220" t="str">
        <f t="shared" si="60"/>
        <v>No</v>
      </c>
      <c r="Q220" t="str">
        <f t="shared" si="61"/>
        <v>No</v>
      </c>
      <c r="R220" s="5">
        <f t="shared" si="63"/>
        <v>0</v>
      </c>
      <c r="S220">
        <f>MOD(A220-Fortnightly_Model!$M$1,14)</f>
        <v>1</v>
      </c>
      <c r="T220">
        <f>MOD(A220-FourWeekly_Model!$M$1,28)</f>
        <v>1</v>
      </c>
    </row>
    <row r="221" spans="1:20">
      <c r="A221" s="25">
        <f t="shared" si="62"/>
        <v>46454</v>
      </c>
      <c r="B221">
        <f t="shared" si="48"/>
        <v>2027</v>
      </c>
      <c r="C221" s="9">
        <f t="shared" si="49"/>
        <v>3</v>
      </c>
      <c r="D221" s="9" t="str">
        <f t="shared" si="50"/>
        <v>March</v>
      </c>
      <c r="E221" s="9" t="str">
        <f t="shared" si="51"/>
        <v>Mar-27</v>
      </c>
      <c r="F221" s="9" t="str">
        <f t="shared" si="52"/>
        <v>Q1</v>
      </c>
      <c r="G221" s="9">
        <f t="shared" si="53"/>
        <v>8</v>
      </c>
      <c r="H221" s="9">
        <f t="shared" si="54"/>
        <v>1</v>
      </c>
      <c r="I221" s="9" t="str">
        <f t="shared" si="55"/>
        <v>Monday</v>
      </c>
      <c r="J221" s="9" t="str">
        <f t="shared" si="56"/>
        <v>No</v>
      </c>
      <c r="K221" s="5" t="str">
        <f>IF(COUNTIF(Bank_Holidays!A:A,A221)&gt;0,"Yes","No")</f>
        <v>No</v>
      </c>
      <c r="L221" t="str">
        <f t="shared" si="57"/>
        <v>Yes</v>
      </c>
      <c r="M221">
        <f t="shared" si="58"/>
        <v>10</v>
      </c>
      <c r="N221" s="5" t="str">
        <f t="shared" si="59"/>
        <v>No</v>
      </c>
      <c r="O221" t="str">
        <f>IF(A221=WORKDAY(EOMONTH(A221,0)+1,-1,Bank_Holidays!$A$2:$A$25),"Yes","No")</f>
        <v>No</v>
      </c>
      <c r="P221" t="str">
        <f t="shared" si="60"/>
        <v>No</v>
      </c>
      <c r="Q221" t="str">
        <f t="shared" si="61"/>
        <v>No</v>
      </c>
      <c r="R221" s="5">
        <f t="shared" si="63"/>
        <v>1</v>
      </c>
      <c r="S221">
        <f>MOD(A221-Fortnightly_Model!$M$1,14)</f>
        <v>2</v>
      </c>
      <c r="T221">
        <f>MOD(A221-FourWeekly_Model!$M$1,28)</f>
        <v>2</v>
      </c>
    </row>
    <row r="222" spans="1:20">
      <c r="A222" s="25">
        <f t="shared" si="62"/>
        <v>46455</v>
      </c>
      <c r="B222">
        <f t="shared" si="48"/>
        <v>2027</v>
      </c>
      <c r="C222" s="9">
        <f t="shared" si="49"/>
        <v>3</v>
      </c>
      <c r="D222" s="9" t="str">
        <f t="shared" si="50"/>
        <v>March</v>
      </c>
      <c r="E222" s="9" t="str">
        <f t="shared" si="51"/>
        <v>Mar-27</v>
      </c>
      <c r="F222" s="9" t="str">
        <f t="shared" si="52"/>
        <v>Q1</v>
      </c>
      <c r="G222" s="9">
        <f t="shared" si="53"/>
        <v>9</v>
      </c>
      <c r="H222" s="9">
        <f t="shared" si="54"/>
        <v>2</v>
      </c>
      <c r="I222" s="9" t="str">
        <f t="shared" si="55"/>
        <v>Tuesday</v>
      </c>
      <c r="J222" s="9" t="str">
        <f t="shared" si="56"/>
        <v>No</v>
      </c>
      <c r="K222" s="5" t="str">
        <f>IF(COUNTIF(Bank_Holidays!A:A,A222)&gt;0,"Yes","No")</f>
        <v>No</v>
      </c>
      <c r="L222" t="str">
        <f t="shared" si="57"/>
        <v>Yes</v>
      </c>
      <c r="M222">
        <f t="shared" si="58"/>
        <v>10</v>
      </c>
      <c r="N222" s="5" t="str">
        <f t="shared" si="59"/>
        <v>No</v>
      </c>
      <c r="O222" t="str">
        <f>IF(A222=WORKDAY(EOMONTH(A222,0)+1,-1,Bank_Holidays!$A$2:$A$25),"Yes","No")</f>
        <v>No</v>
      </c>
      <c r="P222" t="str">
        <f t="shared" si="60"/>
        <v>No</v>
      </c>
      <c r="Q222" t="str">
        <f t="shared" si="61"/>
        <v>No</v>
      </c>
      <c r="R222" s="5">
        <f t="shared" si="63"/>
        <v>1</v>
      </c>
      <c r="S222">
        <f>MOD(A222-Fortnightly_Model!$M$1,14)</f>
        <v>3</v>
      </c>
      <c r="T222">
        <f>MOD(A222-FourWeekly_Model!$M$1,28)</f>
        <v>3</v>
      </c>
    </row>
    <row r="223" spans="1:20">
      <c r="A223" s="25">
        <f t="shared" si="62"/>
        <v>46456</v>
      </c>
      <c r="B223">
        <f t="shared" si="48"/>
        <v>2027</v>
      </c>
      <c r="C223" s="9">
        <f t="shared" si="49"/>
        <v>3</v>
      </c>
      <c r="D223" s="9" t="str">
        <f t="shared" si="50"/>
        <v>March</v>
      </c>
      <c r="E223" s="9" t="str">
        <f t="shared" si="51"/>
        <v>Mar-27</v>
      </c>
      <c r="F223" s="9" t="str">
        <f t="shared" si="52"/>
        <v>Q1</v>
      </c>
      <c r="G223" s="9">
        <f t="shared" si="53"/>
        <v>10</v>
      </c>
      <c r="H223" s="9">
        <f t="shared" si="54"/>
        <v>3</v>
      </c>
      <c r="I223" s="9" t="str">
        <f t="shared" si="55"/>
        <v>Wednesday</v>
      </c>
      <c r="J223" s="9" t="str">
        <f t="shared" si="56"/>
        <v>No</v>
      </c>
      <c r="K223" s="5" t="str">
        <f>IF(COUNTIF(Bank_Holidays!A:A,A223)&gt;0,"Yes","No")</f>
        <v>No</v>
      </c>
      <c r="L223" t="str">
        <f t="shared" si="57"/>
        <v>Yes</v>
      </c>
      <c r="M223">
        <f t="shared" si="58"/>
        <v>10</v>
      </c>
      <c r="N223" s="5" t="str">
        <f t="shared" si="59"/>
        <v>No</v>
      </c>
      <c r="O223" t="str">
        <f>IF(A223=WORKDAY(EOMONTH(A223,0)+1,-1,Bank_Holidays!$A$2:$A$25),"Yes","No")</f>
        <v>No</v>
      </c>
      <c r="P223" t="str">
        <f t="shared" si="60"/>
        <v>No</v>
      </c>
      <c r="Q223" t="str">
        <f t="shared" si="61"/>
        <v>No</v>
      </c>
      <c r="R223" s="5">
        <f t="shared" si="63"/>
        <v>1</v>
      </c>
      <c r="S223">
        <f>MOD(A223-Fortnightly_Model!$M$1,14)</f>
        <v>4</v>
      </c>
      <c r="T223">
        <f>MOD(A223-FourWeekly_Model!$M$1,28)</f>
        <v>4</v>
      </c>
    </row>
    <row r="224" spans="1:20">
      <c r="A224" s="25">
        <f t="shared" si="62"/>
        <v>46457</v>
      </c>
      <c r="B224">
        <f t="shared" si="48"/>
        <v>2027</v>
      </c>
      <c r="C224" s="9">
        <f t="shared" si="49"/>
        <v>3</v>
      </c>
      <c r="D224" s="9" t="str">
        <f t="shared" si="50"/>
        <v>March</v>
      </c>
      <c r="E224" s="9" t="str">
        <f t="shared" si="51"/>
        <v>Mar-27</v>
      </c>
      <c r="F224" s="9" t="str">
        <f t="shared" si="52"/>
        <v>Q1</v>
      </c>
      <c r="G224" s="9">
        <f t="shared" si="53"/>
        <v>11</v>
      </c>
      <c r="H224" s="9">
        <f t="shared" si="54"/>
        <v>4</v>
      </c>
      <c r="I224" s="9" t="str">
        <f t="shared" si="55"/>
        <v>Thursday</v>
      </c>
      <c r="J224" s="9" t="str">
        <f t="shared" si="56"/>
        <v>No</v>
      </c>
      <c r="K224" s="5" t="str">
        <f>IF(COUNTIF(Bank_Holidays!A:A,A224)&gt;0,"Yes","No")</f>
        <v>No</v>
      </c>
      <c r="L224" t="str">
        <f t="shared" si="57"/>
        <v>Yes</v>
      </c>
      <c r="M224">
        <f t="shared" si="58"/>
        <v>10</v>
      </c>
      <c r="N224" s="5" t="str">
        <f t="shared" si="59"/>
        <v>No</v>
      </c>
      <c r="O224" t="str">
        <f>IF(A224=WORKDAY(EOMONTH(A224,0)+1,-1,Bank_Holidays!$A$2:$A$25),"Yes","No")</f>
        <v>No</v>
      </c>
      <c r="P224" t="str">
        <f t="shared" si="60"/>
        <v>No</v>
      </c>
      <c r="Q224" t="str">
        <f t="shared" si="61"/>
        <v>No</v>
      </c>
      <c r="R224" s="5">
        <f t="shared" si="63"/>
        <v>1</v>
      </c>
      <c r="S224">
        <f>MOD(A224-Fortnightly_Model!$M$1,14)</f>
        <v>5</v>
      </c>
      <c r="T224">
        <f>MOD(A224-FourWeekly_Model!$M$1,28)</f>
        <v>5</v>
      </c>
    </row>
    <row r="225" spans="1:20">
      <c r="A225" s="25">
        <f t="shared" si="62"/>
        <v>46458</v>
      </c>
      <c r="B225">
        <f t="shared" si="48"/>
        <v>2027</v>
      </c>
      <c r="C225" s="9">
        <f t="shared" si="49"/>
        <v>3</v>
      </c>
      <c r="D225" s="9" t="str">
        <f t="shared" si="50"/>
        <v>March</v>
      </c>
      <c r="E225" s="9" t="str">
        <f t="shared" si="51"/>
        <v>Mar-27</v>
      </c>
      <c r="F225" s="9" t="str">
        <f t="shared" si="52"/>
        <v>Q1</v>
      </c>
      <c r="G225" s="9">
        <f t="shared" si="53"/>
        <v>12</v>
      </c>
      <c r="H225" s="9">
        <f t="shared" si="54"/>
        <v>5</v>
      </c>
      <c r="I225" s="9" t="str">
        <f t="shared" si="55"/>
        <v>Friday</v>
      </c>
      <c r="J225" s="9" t="str">
        <f t="shared" si="56"/>
        <v>No</v>
      </c>
      <c r="K225" s="5" t="str">
        <f>IF(COUNTIF(Bank_Holidays!A:A,A225)&gt;0,"Yes","No")</f>
        <v>No</v>
      </c>
      <c r="L225" t="str">
        <f t="shared" si="57"/>
        <v>Yes</v>
      </c>
      <c r="M225">
        <f t="shared" si="58"/>
        <v>10</v>
      </c>
      <c r="N225" s="5" t="str">
        <f t="shared" si="59"/>
        <v>No</v>
      </c>
      <c r="O225" t="str">
        <f>IF(A225=WORKDAY(EOMONTH(A225,0)+1,-1,Bank_Holidays!$A$2:$A$25),"Yes","No")</f>
        <v>No</v>
      </c>
      <c r="P225" t="str">
        <f t="shared" si="60"/>
        <v>No</v>
      </c>
      <c r="Q225" t="str">
        <f t="shared" si="61"/>
        <v>No</v>
      </c>
      <c r="R225" s="5">
        <f t="shared" si="63"/>
        <v>3</v>
      </c>
      <c r="S225">
        <f>MOD(A225-Fortnightly_Model!$M$1,14)</f>
        <v>6</v>
      </c>
      <c r="T225">
        <f>MOD(A225-FourWeekly_Model!$M$1,28)</f>
        <v>6</v>
      </c>
    </row>
    <row r="226" spans="1:20">
      <c r="A226" s="25">
        <f t="shared" si="62"/>
        <v>46459</v>
      </c>
      <c r="B226">
        <f t="shared" si="48"/>
        <v>2027</v>
      </c>
      <c r="C226" s="9">
        <f t="shared" si="49"/>
        <v>3</v>
      </c>
      <c r="D226" s="9" t="str">
        <f t="shared" si="50"/>
        <v>March</v>
      </c>
      <c r="E226" s="9" t="str">
        <f t="shared" si="51"/>
        <v>Mar-27</v>
      </c>
      <c r="F226" s="9" t="str">
        <f t="shared" si="52"/>
        <v>Q1</v>
      </c>
      <c r="G226" s="9">
        <f t="shared" si="53"/>
        <v>13</v>
      </c>
      <c r="H226" s="9">
        <f t="shared" si="54"/>
        <v>6</v>
      </c>
      <c r="I226" s="9" t="str">
        <f t="shared" si="55"/>
        <v>Saturday</v>
      </c>
      <c r="J226" s="9" t="str">
        <f t="shared" si="56"/>
        <v>Yes</v>
      </c>
      <c r="K226" s="5" t="str">
        <f>IF(COUNTIF(Bank_Holidays!A:A,A226)&gt;0,"Yes","No")</f>
        <v>No</v>
      </c>
      <c r="L226" t="str">
        <f t="shared" si="57"/>
        <v>No</v>
      </c>
      <c r="M226">
        <f t="shared" si="58"/>
        <v>10</v>
      </c>
      <c r="N226" s="5" t="str">
        <f t="shared" si="59"/>
        <v>No</v>
      </c>
      <c r="O226" t="str">
        <f>IF(A226=WORKDAY(EOMONTH(A226,0)+1,-1,Bank_Holidays!$A$2:$A$25),"Yes","No")</f>
        <v>No</v>
      </c>
      <c r="P226" t="str">
        <f t="shared" si="60"/>
        <v>No</v>
      </c>
      <c r="Q226" t="str">
        <f t="shared" si="61"/>
        <v>No</v>
      </c>
      <c r="R226" s="5">
        <f t="shared" si="63"/>
        <v>0</v>
      </c>
      <c r="S226">
        <f>MOD(A226-Fortnightly_Model!$M$1,14)</f>
        <v>7</v>
      </c>
      <c r="T226">
        <f>MOD(A226-FourWeekly_Model!$M$1,28)</f>
        <v>7</v>
      </c>
    </row>
    <row r="227" spans="1:20">
      <c r="A227" s="25">
        <f t="shared" si="62"/>
        <v>46460</v>
      </c>
      <c r="B227">
        <f t="shared" si="48"/>
        <v>2027</v>
      </c>
      <c r="C227" s="9">
        <f t="shared" si="49"/>
        <v>3</v>
      </c>
      <c r="D227" s="9" t="str">
        <f t="shared" si="50"/>
        <v>March</v>
      </c>
      <c r="E227" s="9" t="str">
        <f t="shared" si="51"/>
        <v>Mar-27</v>
      </c>
      <c r="F227" s="9" t="str">
        <f t="shared" si="52"/>
        <v>Q1</v>
      </c>
      <c r="G227" s="9">
        <f t="shared" si="53"/>
        <v>14</v>
      </c>
      <c r="H227" s="9">
        <f t="shared" si="54"/>
        <v>7</v>
      </c>
      <c r="I227" s="9" t="str">
        <f t="shared" si="55"/>
        <v>Sunday</v>
      </c>
      <c r="J227" s="9" t="str">
        <f t="shared" si="56"/>
        <v>Yes</v>
      </c>
      <c r="K227" s="5" t="str">
        <f>IF(COUNTIF(Bank_Holidays!A:A,A227)&gt;0,"Yes","No")</f>
        <v>No</v>
      </c>
      <c r="L227" t="str">
        <f t="shared" si="57"/>
        <v>No</v>
      </c>
      <c r="M227">
        <f t="shared" si="58"/>
        <v>10</v>
      </c>
      <c r="N227" s="5" t="str">
        <f t="shared" si="59"/>
        <v>No</v>
      </c>
      <c r="O227" t="str">
        <f>IF(A227=WORKDAY(EOMONTH(A227,0)+1,-1,Bank_Holidays!$A$2:$A$25),"Yes","No")</f>
        <v>No</v>
      </c>
      <c r="P227" t="str">
        <f t="shared" si="60"/>
        <v>No</v>
      </c>
      <c r="Q227" t="str">
        <f t="shared" si="61"/>
        <v>No</v>
      </c>
      <c r="R227" s="5">
        <f t="shared" si="63"/>
        <v>0</v>
      </c>
      <c r="S227">
        <f>MOD(A227-Fortnightly_Model!$M$1,14)</f>
        <v>8</v>
      </c>
      <c r="T227">
        <f>MOD(A227-FourWeekly_Model!$M$1,28)</f>
        <v>8</v>
      </c>
    </row>
    <row r="228" spans="1:20">
      <c r="A228" s="25">
        <f t="shared" si="62"/>
        <v>46461</v>
      </c>
      <c r="B228">
        <f t="shared" si="48"/>
        <v>2027</v>
      </c>
      <c r="C228" s="9">
        <f t="shared" si="49"/>
        <v>3</v>
      </c>
      <c r="D228" s="9" t="str">
        <f t="shared" si="50"/>
        <v>March</v>
      </c>
      <c r="E228" s="9" t="str">
        <f t="shared" si="51"/>
        <v>Mar-27</v>
      </c>
      <c r="F228" s="9" t="str">
        <f t="shared" si="52"/>
        <v>Q1</v>
      </c>
      <c r="G228" s="9">
        <f t="shared" si="53"/>
        <v>15</v>
      </c>
      <c r="H228" s="9">
        <f t="shared" si="54"/>
        <v>1</v>
      </c>
      <c r="I228" s="9" t="str">
        <f t="shared" si="55"/>
        <v>Monday</v>
      </c>
      <c r="J228" s="9" t="str">
        <f t="shared" si="56"/>
        <v>No</v>
      </c>
      <c r="K228" s="5" t="str">
        <f>IF(COUNTIF(Bank_Holidays!A:A,A228)&gt;0,"Yes","No")</f>
        <v>No</v>
      </c>
      <c r="L228" t="str">
        <f t="shared" si="57"/>
        <v>Yes</v>
      </c>
      <c r="M228">
        <f t="shared" si="58"/>
        <v>11</v>
      </c>
      <c r="N228" s="5" t="str">
        <f t="shared" si="59"/>
        <v>No</v>
      </c>
      <c r="O228" t="str">
        <f>IF(A228=WORKDAY(EOMONTH(A228,0)+1,-1,Bank_Holidays!$A$2:$A$25),"Yes","No")</f>
        <v>No</v>
      </c>
      <c r="P228" t="str">
        <f t="shared" si="60"/>
        <v>No</v>
      </c>
      <c r="Q228" t="str">
        <f t="shared" si="61"/>
        <v>No</v>
      </c>
      <c r="R228" s="5">
        <f t="shared" si="63"/>
        <v>1</v>
      </c>
      <c r="S228">
        <f>MOD(A228-Fortnightly_Model!$M$1,14)</f>
        <v>9</v>
      </c>
      <c r="T228">
        <f>MOD(A228-FourWeekly_Model!$M$1,28)</f>
        <v>9</v>
      </c>
    </row>
    <row r="229" spans="1:20">
      <c r="A229" s="25">
        <f t="shared" si="62"/>
        <v>46462</v>
      </c>
      <c r="B229">
        <f t="shared" si="48"/>
        <v>2027</v>
      </c>
      <c r="C229" s="9">
        <f t="shared" si="49"/>
        <v>3</v>
      </c>
      <c r="D229" s="9" t="str">
        <f t="shared" si="50"/>
        <v>March</v>
      </c>
      <c r="E229" s="9" t="str">
        <f t="shared" si="51"/>
        <v>Mar-27</v>
      </c>
      <c r="F229" s="9" t="str">
        <f t="shared" si="52"/>
        <v>Q1</v>
      </c>
      <c r="G229" s="9">
        <f t="shared" si="53"/>
        <v>16</v>
      </c>
      <c r="H229" s="9">
        <f t="shared" si="54"/>
        <v>2</v>
      </c>
      <c r="I229" s="9" t="str">
        <f t="shared" si="55"/>
        <v>Tuesday</v>
      </c>
      <c r="J229" s="9" t="str">
        <f t="shared" si="56"/>
        <v>No</v>
      </c>
      <c r="K229" s="5" t="str">
        <f>IF(COUNTIF(Bank_Holidays!A:A,A229)&gt;0,"Yes","No")</f>
        <v>No</v>
      </c>
      <c r="L229" t="str">
        <f t="shared" si="57"/>
        <v>Yes</v>
      </c>
      <c r="M229">
        <f t="shared" si="58"/>
        <v>11</v>
      </c>
      <c r="N229" s="5" t="str">
        <f t="shared" si="59"/>
        <v>No</v>
      </c>
      <c r="O229" t="str">
        <f>IF(A229=WORKDAY(EOMONTH(A229,0)+1,-1,Bank_Holidays!$A$2:$A$25),"Yes","No")</f>
        <v>No</v>
      </c>
      <c r="P229" t="str">
        <f t="shared" si="60"/>
        <v>No</v>
      </c>
      <c r="Q229" t="str">
        <f t="shared" si="61"/>
        <v>No</v>
      </c>
      <c r="R229" s="5">
        <f t="shared" si="63"/>
        <v>1</v>
      </c>
      <c r="S229">
        <f>MOD(A229-Fortnightly_Model!$M$1,14)</f>
        <v>10</v>
      </c>
      <c r="T229">
        <f>MOD(A229-FourWeekly_Model!$M$1,28)</f>
        <v>10</v>
      </c>
    </row>
    <row r="230" spans="1:20">
      <c r="A230" s="25">
        <f t="shared" si="62"/>
        <v>46463</v>
      </c>
      <c r="B230">
        <f t="shared" si="48"/>
        <v>2027</v>
      </c>
      <c r="C230" s="9">
        <f t="shared" si="49"/>
        <v>3</v>
      </c>
      <c r="D230" s="9" t="str">
        <f t="shared" si="50"/>
        <v>March</v>
      </c>
      <c r="E230" s="9" t="str">
        <f t="shared" si="51"/>
        <v>Mar-27</v>
      </c>
      <c r="F230" s="9" t="str">
        <f t="shared" si="52"/>
        <v>Q1</v>
      </c>
      <c r="G230" s="9">
        <f t="shared" si="53"/>
        <v>17</v>
      </c>
      <c r="H230" s="9">
        <f t="shared" si="54"/>
        <v>3</v>
      </c>
      <c r="I230" s="9" t="str">
        <f t="shared" si="55"/>
        <v>Wednesday</v>
      </c>
      <c r="J230" s="9" t="str">
        <f t="shared" si="56"/>
        <v>No</v>
      </c>
      <c r="K230" s="5" t="str">
        <f>IF(COUNTIF(Bank_Holidays!A:A,A230)&gt;0,"Yes","No")</f>
        <v>No</v>
      </c>
      <c r="L230" t="str">
        <f t="shared" si="57"/>
        <v>Yes</v>
      </c>
      <c r="M230">
        <f t="shared" si="58"/>
        <v>11</v>
      </c>
      <c r="N230" s="5" t="str">
        <f t="shared" si="59"/>
        <v>No</v>
      </c>
      <c r="O230" t="str">
        <f>IF(A230=WORKDAY(EOMONTH(A230,0)+1,-1,Bank_Holidays!$A$2:$A$25),"Yes","No")</f>
        <v>No</v>
      </c>
      <c r="P230" t="str">
        <f t="shared" si="60"/>
        <v>No</v>
      </c>
      <c r="Q230" t="str">
        <f t="shared" si="61"/>
        <v>No</v>
      </c>
      <c r="R230" s="5">
        <f t="shared" si="63"/>
        <v>1</v>
      </c>
      <c r="S230">
        <f>MOD(A230-Fortnightly_Model!$M$1,14)</f>
        <v>11</v>
      </c>
      <c r="T230">
        <f>MOD(A230-FourWeekly_Model!$M$1,28)</f>
        <v>11</v>
      </c>
    </row>
    <row r="231" spans="1:20">
      <c r="A231" s="25">
        <f t="shared" si="62"/>
        <v>46464</v>
      </c>
      <c r="B231">
        <f t="shared" si="48"/>
        <v>2027</v>
      </c>
      <c r="C231" s="9">
        <f t="shared" si="49"/>
        <v>3</v>
      </c>
      <c r="D231" s="9" t="str">
        <f t="shared" si="50"/>
        <v>March</v>
      </c>
      <c r="E231" s="9" t="str">
        <f t="shared" si="51"/>
        <v>Mar-27</v>
      </c>
      <c r="F231" s="9" t="str">
        <f t="shared" si="52"/>
        <v>Q1</v>
      </c>
      <c r="G231" s="9">
        <f t="shared" si="53"/>
        <v>18</v>
      </c>
      <c r="H231" s="9">
        <f t="shared" si="54"/>
        <v>4</v>
      </c>
      <c r="I231" s="9" t="str">
        <f t="shared" si="55"/>
        <v>Thursday</v>
      </c>
      <c r="J231" s="9" t="str">
        <f t="shared" si="56"/>
        <v>No</v>
      </c>
      <c r="K231" s="5" t="str">
        <f>IF(COUNTIF(Bank_Holidays!A:A,A231)&gt;0,"Yes","No")</f>
        <v>No</v>
      </c>
      <c r="L231" t="str">
        <f t="shared" si="57"/>
        <v>Yes</v>
      </c>
      <c r="M231">
        <f t="shared" si="58"/>
        <v>11</v>
      </c>
      <c r="N231" s="5" t="str">
        <f t="shared" si="59"/>
        <v>No</v>
      </c>
      <c r="O231" t="str">
        <f>IF(A231=WORKDAY(EOMONTH(A231,0)+1,-1,Bank_Holidays!$A$2:$A$25),"Yes","No")</f>
        <v>No</v>
      </c>
      <c r="P231" t="str">
        <f t="shared" si="60"/>
        <v>No</v>
      </c>
      <c r="Q231" t="str">
        <f t="shared" si="61"/>
        <v>No</v>
      </c>
      <c r="R231" s="5">
        <f t="shared" si="63"/>
        <v>1</v>
      </c>
      <c r="S231">
        <f>MOD(A231-Fortnightly_Model!$M$1,14)</f>
        <v>12</v>
      </c>
      <c r="T231">
        <f>MOD(A231-FourWeekly_Model!$M$1,28)</f>
        <v>12</v>
      </c>
    </row>
    <row r="232" spans="1:20">
      <c r="A232" s="25">
        <f t="shared" si="62"/>
        <v>46465</v>
      </c>
      <c r="B232">
        <f t="shared" si="48"/>
        <v>2027</v>
      </c>
      <c r="C232" s="9">
        <f t="shared" si="49"/>
        <v>3</v>
      </c>
      <c r="D232" s="9" t="str">
        <f t="shared" si="50"/>
        <v>March</v>
      </c>
      <c r="E232" s="9" t="str">
        <f t="shared" si="51"/>
        <v>Mar-27</v>
      </c>
      <c r="F232" s="9" t="str">
        <f t="shared" si="52"/>
        <v>Q1</v>
      </c>
      <c r="G232" s="9">
        <f t="shared" si="53"/>
        <v>19</v>
      </c>
      <c r="H232" s="9">
        <f t="shared" si="54"/>
        <v>5</v>
      </c>
      <c r="I232" s="9" t="str">
        <f t="shared" si="55"/>
        <v>Friday</v>
      </c>
      <c r="J232" s="9" t="str">
        <f t="shared" si="56"/>
        <v>No</v>
      </c>
      <c r="K232" s="5" t="str">
        <f>IF(COUNTIF(Bank_Holidays!A:A,A232)&gt;0,"Yes","No")</f>
        <v>No</v>
      </c>
      <c r="L232" t="str">
        <f t="shared" si="57"/>
        <v>Yes</v>
      </c>
      <c r="M232">
        <f t="shared" si="58"/>
        <v>11</v>
      </c>
      <c r="N232" s="5" t="str">
        <f t="shared" si="59"/>
        <v>No</v>
      </c>
      <c r="O232" t="str">
        <f>IF(A232=WORKDAY(EOMONTH(A232,0)+1,-1,Bank_Holidays!$A$2:$A$25),"Yes","No")</f>
        <v>No</v>
      </c>
      <c r="P232" t="str">
        <f t="shared" si="60"/>
        <v>No</v>
      </c>
      <c r="Q232" t="str">
        <f t="shared" si="61"/>
        <v>No</v>
      </c>
      <c r="R232" s="5">
        <f t="shared" si="63"/>
        <v>3</v>
      </c>
      <c r="S232">
        <f>MOD(A232-Fortnightly_Model!$M$1,14)</f>
        <v>13</v>
      </c>
      <c r="T232">
        <f>MOD(A232-FourWeekly_Model!$M$1,28)</f>
        <v>13</v>
      </c>
    </row>
    <row r="233" spans="1:20">
      <c r="A233" s="25">
        <f t="shared" si="62"/>
        <v>46466</v>
      </c>
      <c r="B233">
        <f t="shared" si="48"/>
        <v>2027</v>
      </c>
      <c r="C233" s="9">
        <f t="shared" si="49"/>
        <v>3</v>
      </c>
      <c r="D233" s="9" t="str">
        <f t="shared" si="50"/>
        <v>March</v>
      </c>
      <c r="E233" s="9" t="str">
        <f t="shared" si="51"/>
        <v>Mar-27</v>
      </c>
      <c r="F233" s="9" t="str">
        <f t="shared" si="52"/>
        <v>Q1</v>
      </c>
      <c r="G233" s="9">
        <f t="shared" si="53"/>
        <v>20</v>
      </c>
      <c r="H233" s="9">
        <f t="shared" si="54"/>
        <v>6</v>
      </c>
      <c r="I233" s="9" t="str">
        <f t="shared" si="55"/>
        <v>Saturday</v>
      </c>
      <c r="J233" s="9" t="str">
        <f t="shared" si="56"/>
        <v>Yes</v>
      </c>
      <c r="K233" s="5" t="str">
        <f>IF(COUNTIF(Bank_Holidays!A:A,A233)&gt;0,"Yes","No")</f>
        <v>No</v>
      </c>
      <c r="L233" t="str">
        <f t="shared" si="57"/>
        <v>No</v>
      </c>
      <c r="M233">
        <f t="shared" si="58"/>
        <v>11</v>
      </c>
      <c r="N233" s="5" t="str">
        <f t="shared" si="59"/>
        <v>No</v>
      </c>
      <c r="O233" t="str">
        <f>IF(A233=WORKDAY(EOMONTH(A233,0)+1,-1,Bank_Holidays!$A$2:$A$25),"Yes","No")</f>
        <v>No</v>
      </c>
      <c r="P233" t="str">
        <f t="shared" si="60"/>
        <v>No</v>
      </c>
      <c r="Q233" t="str">
        <f t="shared" si="61"/>
        <v>No</v>
      </c>
      <c r="R233" s="5">
        <f t="shared" si="63"/>
        <v>0</v>
      </c>
      <c r="S233">
        <f>MOD(A233-Fortnightly_Model!$M$1,14)</f>
        <v>0</v>
      </c>
      <c r="T233">
        <f>MOD(A233-FourWeekly_Model!$M$1,28)</f>
        <v>14</v>
      </c>
    </row>
    <row r="234" spans="1:20">
      <c r="A234" s="25">
        <f t="shared" si="62"/>
        <v>46467</v>
      </c>
      <c r="B234">
        <f t="shared" si="48"/>
        <v>2027</v>
      </c>
      <c r="C234" s="9">
        <f t="shared" si="49"/>
        <v>3</v>
      </c>
      <c r="D234" s="9" t="str">
        <f t="shared" si="50"/>
        <v>March</v>
      </c>
      <c r="E234" s="9" t="str">
        <f t="shared" si="51"/>
        <v>Mar-27</v>
      </c>
      <c r="F234" s="9" t="str">
        <f t="shared" si="52"/>
        <v>Q1</v>
      </c>
      <c r="G234" s="9">
        <f t="shared" si="53"/>
        <v>21</v>
      </c>
      <c r="H234" s="9">
        <f t="shared" si="54"/>
        <v>7</v>
      </c>
      <c r="I234" s="9" t="str">
        <f t="shared" si="55"/>
        <v>Sunday</v>
      </c>
      <c r="J234" s="9" t="str">
        <f t="shared" si="56"/>
        <v>Yes</v>
      </c>
      <c r="K234" s="5" t="str">
        <f>IF(COUNTIF(Bank_Holidays!A:A,A234)&gt;0,"Yes","No")</f>
        <v>No</v>
      </c>
      <c r="L234" t="str">
        <f t="shared" si="57"/>
        <v>No</v>
      </c>
      <c r="M234">
        <f t="shared" si="58"/>
        <v>11</v>
      </c>
      <c r="N234" s="5" t="str">
        <f t="shared" si="59"/>
        <v>No</v>
      </c>
      <c r="O234" t="str">
        <f>IF(A234=WORKDAY(EOMONTH(A234,0)+1,-1,Bank_Holidays!$A$2:$A$25),"Yes","No")</f>
        <v>No</v>
      </c>
      <c r="P234" t="str">
        <f t="shared" si="60"/>
        <v>No</v>
      </c>
      <c r="Q234" t="str">
        <f t="shared" si="61"/>
        <v>No</v>
      </c>
      <c r="R234" s="5">
        <f t="shared" si="63"/>
        <v>0</v>
      </c>
      <c r="S234">
        <f>MOD(A234-Fortnightly_Model!$M$1,14)</f>
        <v>1</v>
      </c>
      <c r="T234">
        <f>MOD(A234-FourWeekly_Model!$M$1,28)</f>
        <v>15</v>
      </c>
    </row>
    <row r="235" spans="1:20">
      <c r="A235" s="25">
        <f t="shared" si="62"/>
        <v>46468</v>
      </c>
      <c r="B235">
        <f t="shared" si="48"/>
        <v>2027</v>
      </c>
      <c r="C235" s="9">
        <f t="shared" si="49"/>
        <v>3</v>
      </c>
      <c r="D235" s="9" t="str">
        <f t="shared" si="50"/>
        <v>March</v>
      </c>
      <c r="E235" s="9" t="str">
        <f t="shared" si="51"/>
        <v>Mar-27</v>
      </c>
      <c r="F235" s="9" t="str">
        <f t="shared" si="52"/>
        <v>Q1</v>
      </c>
      <c r="G235" s="9">
        <f t="shared" si="53"/>
        <v>22</v>
      </c>
      <c r="H235" s="9">
        <f t="shared" si="54"/>
        <v>1</v>
      </c>
      <c r="I235" s="9" t="str">
        <f t="shared" si="55"/>
        <v>Monday</v>
      </c>
      <c r="J235" s="9" t="str">
        <f t="shared" si="56"/>
        <v>No</v>
      </c>
      <c r="K235" s="5" t="str">
        <f>IF(COUNTIF(Bank_Holidays!A:A,A235)&gt;0,"Yes","No")</f>
        <v>No</v>
      </c>
      <c r="L235" t="str">
        <f t="shared" si="57"/>
        <v>Yes</v>
      </c>
      <c r="M235">
        <f t="shared" si="58"/>
        <v>12</v>
      </c>
      <c r="N235" s="5" t="str">
        <f t="shared" si="59"/>
        <v>No</v>
      </c>
      <c r="O235" t="str">
        <f>IF(A235=WORKDAY(EOMONTH(A235,0)+1,-1,Bank_Holidays!$A$2:$A$25),"Yes","No")</f>
        <v>No</v>
      </c>
      <c r="P235" t="str">
        <f t="shared" si="60"/>
        <v>No</v>
      </c>
      <c r="Q235" t="str">
        <f t="shared" si="61"/>
        <v>No</v>
      </c>
      <c r="R235" s="5">
        <f t="shared" si="63"/>
        <v>1</v>
      </c>
      <c r="S235">
        <f>MOD(A235-Fortnightly_Model!$M$1,14)</f>
        <v>2</v>
      </c>
      <c r="T235">
        <f>MOD(A235-FourWeekly_Model!$M$1,28)</f>
        <v>16</v>
      </c>
    </row>
    <row r="236" spans="1:20">
      <c r="A236" s="25">
        <f t="shared" si="62"/>
        <v>46469</v>
      </c>
      <c r="B236">
        <f t="shared" si="48"/>
        <v>2027</v>
      </c>
      <c r="C236" s="9">
        <f t="shared" si="49"/>
        <v>3</v>
      </c>
      <c r="D236" s="9" t="str">
        <f t="shared" si="50"/>
        <v>March</v>
      </c>
      <c r="E236" s="9" t="str">
        <f t="shared" si="51"/>
        <v>Mar-27</v>
      </c>
      <c r="F236" s="9" t="str">
        <f t="shared" si="52"/>
        <v>Q1</v>
      </c>
      <c r="G236" s="9">
        <f t="shared" si="53"/>
        <v>23</v>
      </c>
      <c r="H236" s="9">
        <f t="shared" si="54"/>
        <v>2</v>
      </c>
      <c r="I236" s="9" t="str">
        <f t="shared" si="55"/>
        <v>Tuesday</v>
      </c>
      <c r="J236" s="9" t="str">
        <f t="shared" si="56"/>
        <v>No</v>
      </c>
      <c r="K236" s="5" t="str">
        <f>IF(COUNTIF(Bank_Holidays!A:A,A236)&gt;0,"Yes","No")</f>
        <v>No</v>
      </c>
      <c r="L236" t="str">
        <f t="shared" si="57"/>
        <v>Yes</v>
      </c>
      <c r="M236">
        <f t="shared" si="58"/>
        <v>12</v>
      </c>
      <c r="N236" s="5" t="str">
        <f t="shared" si="59"/>
        <v>No</v>
      </c>
      <c r="O236" t="str">
        <f>IF(A236=WORKDAY(EOMONTH(A236,0)+1,-1,Bank_Holidays!$A$2:$A$25),"Yes","No")</f>
        <v>No</v>
      </c>
      <c r="P236" t="str">
        <f t="shared" si="60"/>
        <v>No</v>
      </c>
      <c r="Q236" t="str">
        <f t="shared" si="61"/>
        <v>No</v>
      </c>
      <c r="R236" s="5">
        <f t="shared" si="63"/>
        <v>1</v>
      </c>
      <c r="S236">
        <f>MOD(A236-Fortnightly_Model!$M$1,14)</f>
        <v>3</v>
      </c>
      <c r="T236">
        <f>MOD(A236-FourWeekly_Model!$M$1,28)</f>
        <v>17</v>
      </c>
    </row>
    <row r="237" spans="1:20">
      <c r="A237" s="25">
        <f t="shared" si="62"/>
        <v>46470</v>
      </c>
      <c r="B237">
        <f t="shared" si="48"/>
        <v>2027</v>
      </c>
      <c r="C237" s="9">
        <f t="shared" si="49"/>
        <v>3</v>
      </c>
      <c r="D237" s="9" t="str">
        <f t="shared" si="50"/>
        <v>March</v>
      </c>
      <c r="E237" s="9" t="str">
        <f t="shared" si="51"/>
        <v>Mar-27</v>
      </c>
      <c r="F237" s="9" t="str">
        <f t="shared" si="52"/>
        <v>Q1</v>
      </c>
      <c r="G237" s="9">
        <f t="shared" si="53"/>
        <v>24</v>
      </c>
      <c r="H237" s="9">
        <f t="shared" si="54"/>
        <v>3</v>
      </c>
      <c r="I237" s="9" t="str">
        <f t="shared" si="55"/>
        <v>Wednesday</v>
      </c>
      <c r="J237" s="9" t="str">
        <f t="shared" si="56"/>
        <v>No</v>
      </c>
      <c r="K237" s="5" t="str">
        <f>IF(COUNTIF(Bank_Holidays!A:A,A237)&gt;0,"Yes","No")</f>
        <v>No</v>
      </c>
      <c r="L237" t="str">
        <f t="shared" si="57"/>
        <v>Yes</v>
      </c>
      <c r="M237">
        <f t="shared" si="58"/>
        <v>12</v>
      </c>
      <c r="N237" s="5" t="str">
        <f t="shared" si="59"/>
        <v>No</v>
      </c>
      <c r="O237" t="str">
        <f>IF(A237=WORKDAY(EOMONTH(A237,0)+1,-1,Bank_Holidays!$A$2:$A$25),"Yes","No")</f>
        <v>No</v>
      </c>
      <c r="P237" t="str">
        <f t="shared" si="60"/>
        <v>No</v>
      </c>
      <c r="Q237" t="str">
        <f t="shared" si="61"/>
        <v>No</v>
      </c>
      <c r="R237" s="5">
        <f t="shared" si="63"/>
        <v>1</v>
      </c>
      <c r="S237">
        <f>MOD(A237-Fortnightly_Model!$M$1,14)</f>
        <v>4</v>
      </c>
      <c r="T237">
        <f>MOD(A237-FourWeekly_Model!$M$1,28)</f>
        <v>18</v>
      </c>
    </row>
    <row r="238" spans="1:20">
      <c r="A238" s="25">
        <f t="shared" si="62"/>
        <v>46471</v>
      </c>
      <c r="B238">
        <f t="shared" si="48"/>
        <v>2027</v>
      </c>
      <c r="C238" s="9">
        <f t="shared" si="49"/>
        <v>3</v>
      </c>
      <c r="D238" s="9" t="str">
        <f t="shared" si="50"/>
        <v>March</v>
      </c>
      <c r="E238" s="9" t="str">
        <f t="shared" si="51"/>
        <v>Mar-27</v>
      </c>
      <c r="F238" s="9" t="str">
        <f t="shared" si="52"/>
        <v>Q1</v>
      </c>
      <c r="G238" s="9">
        <f t="shared" si="53"/>
        <v>25</v>
      </c>
      <c r="H238" s="9">
        <f t="shared" si="54"/>
        <v>4</v>
      </c>
      <c r="I238" s="9" t="str">
        <f t="shared" si="55"/>
        <v>Thursday</v>
      </c>
      <c r="J238" s="9" t="str">
        <f t="shared" si="56"/>
        <v>No</v>
      </c>
      <c r="K238" s="5" t="str">
        <f>IF(COUNTIF(Bank_Holidays!A:A,A238)&gt;0,"Yes","No")</f>
        <v>No</v>
      </c>
      <c r="L238" t="str">
        <f t="shared" si="57"/>
        <v>Yes</v>
      </c>
      <c r="M238">
        <f t="shared" si="58"/>
        <v>12</v>
      </c>
      <c r="N238" s="5" t="str">
        <f t="shared" si="59"/>
        <v>No</v>
      </c>
      <c r="O238" t="str">
        <f>IF(A238=WORKDAY(EOMONTH(A238,0)+1,-1,Bank_Holidays!$A$2:$A$25),"Yes","No")</f>
        <v>No</v>
      </c>
      <c r="P238" t="str">
        <f t="shared" si="60"/>
        <v>No</v>
      </c>
      <c r="Q238" t="str">
        <f t="shared" si="61"/>
        <v>Yes</v>
      </c>
      <c r="R238" s="5">
        <f t="shared" si="63"/>
        <v>5</v>
      </c>
      <c r="S238">
        <f>MOD(A238-Fortnightly_Model!$M$1,14)</f>
        <v>5</v>
      </c>
      <c r="T238">
        <f>MOD(A238-FourWeekly_Model!$M$1,28)</f>
        <v>19</v>
      </c>
    </row>
    <row r="239" spans="1:20">
      <c r="A239" s="25">
        <f t="shared" si="62"/>
        <v>46472</v>
      </c>
      <c r="B239">
        <f t="shared" si="48"/>
        <v>2027</v>
      </c>
      <c r="C239" s="9">
        <f t="shared" si="49"/>
        <v>3</v>
      </c>
      <c r="D239" s="9" t="str">
        <f t="shared" si="50"/>
        <v>March</v>
      </c>
      <c r="E239" s="9" t="str">
        <f t="shared" si="51"/>
        <v>Mar-27</v>
      </c>
      <c r="F239" s="9" t="str">
        <f t="shared" si="52"/>
        <v>Q1</v>
      </c>
      <c r="G239" s="9">
        <f t="shared" si="53"/>
        <v>26</v>
      </c>
      <c r="H239" s="9">
        <f t="shared" si="54"/>
        <v>5</v>
      </c>
      <c r="I239" s="9" t="str">
        <f t="shared" si="55"/>
        <v>Friday</v>
      </c>
      <c r="J239" s="9" t="str">
        <f t="shared" si="56"/>
        <v>No</v>
      </c>
      <c r="K239" s="5" t="str">
        <f>IF(COUNTIF(Bank_Holidays!A:A,A239)&gt;0,"Yes","No")</f>
        <v>Yes</v>
      </c>
      <c r="L239" t="str">
        <f t="shared" si="57"/>
        <v>No</v>
      </c>
      <c r="M239">
        <f t="shared" si="58"/>
        <v>12</v>
      </c>
      <c r="N239" s="5" t="str">
        <f t="shared" si="59"/>
        <v>No</v>
      </c>
      <c r="O239" t="str">
        <f>IF(A239=WORKDAY(EOMONTH(A239,0)+1,-1,Bank_Holidays!$A$2:$A$25),"Yes","No")</f>
        <v>No</v>
      </c>
      <c r="P239" t="str">
        <f t="shared" si="60"/>
        <v>Yes</v>
      </c>
      <c r="Q239" t="str">
        <f t="shared" si="61"/>
        <v>No</v>
      </c>
      <c r="R239" s="5">
        <f t="shared" si="63"/>
        <v>0</v>
      </c>
      <c r="S239">
        <f>MOD(A239-Fortnightly_Model!$M$1,14)</f>
        <v>6</v>
      </c>
      <c r="T239">
        <f>MOD(A239-FourWeekly_Model!$M$1,28)</f>
        <v>20</v>
      </c>
    </row>
    <row r="240" spans="1:20">
      <c r="A240" s="25">
        <f t="shared" si="62"/>
        <v>46473</v>
      </c>
      <c r="B240">
        <f t="shared" si="48"/>
        <v>2027</v>
      </c>
      <c r="C240" s="9">
        <f t="shared" si="49"/>
        <v>3</v>
      </c>
      <c r="D240" s="9" t="str">
        <f t="shared" si="50"/>
        <v>March</v>
      </c>
      <c r="E240" s="9" t="str">
        <f t="shared" si="51"/>
        <v>Mar-27</v>
      </c>
      <c r="F240" s="9" t="str">
        <f t="shared" si="52"/>
        <v>Q1</v>
      </c>
      <c r="G240" s="9">
        <f t="shared" si="53"/>
        <v>27</v>
      </c>
      <c r="H240" s="9">
        <f t="shared" si="54"/>
        <v>6</v>
      </c>
      <c r="I240" s="9" t="str">
        <f t="shared" si="55"/>
        <v>Saturday</v>
      </c>
      <c r="J240" s="9" t="str">
        <f t="shared" si="56"/>
        <v>Yes</v>
      </c>
      <c r="K240" s="5" t="str">
        <f>IF(COUNTIF(Bank_Holidays!A:A,A240)&gt;0,"Yes","No")</f>
        <v>No</v>
      </c>
      <c r="L240" t="str">
        <f t="shared" si="57"/>
        <v>No</v>
      </c>
      <c r="M240">
        <f t="shared" si="58"/>
        <v>12</v>
      </c>
      <c r="N240" s="5" t="str">
        <f t="shared" si="59"/>
        <v>No</v>
      </c>
      <c r="O240" t="str">
        <f>IF(A240=WORKDAY(EOMONTH(A240,0)+1,-1,Bank_Holidays!$A$2:$A$25),"Yes","No")</f>
        <v>No</v>
      </c>
      <c r="P240" t="str">
        <f t="shared" si="60"/>
        <v>No</v>
      </c>
      <c r="Q240" t="str">
        <f t="shared" si="61"/>
        <v>No</v>
      </c>
      <c r="R240" s="5">
        <f t="shared" si="63"/>
        <v>0</v>
      </c>
      <c r="S240">
        <f>MOD(A240-Fortnightly_Model!$M$1,14)</f>
        <v>7</v>
      </c>
      <c r="T240">
        <f>MOD(A240-FourWeekly_Model!$M$1,28)</f>
        <v>21</v>
      </c>
    </row>
    <row r="241" spans="1:20">
      <c r="A241" s="25">
        <f t="shared" si="62"/>
        <v>46474</v>
      </c>
      <c r="B241">
        <f t="shared" si="48"/>
        <v>2027</v>
      </c>
      <c r="C241" s="9">
        <f t="shared" si="49"/>
        <v>3</v>
      </c>
      <c r="D241" s="9" t="str">
        <f t="shared" si="50"/>
        <v>March</v>
      </c>
      <c r="E241" s="9" t="str">
        <f t="shared" si="51"/>
        <v>Mar-27</v>
      </c>
      <c r="F241" s="9" t="str">
        <f t="shared" si="52"/>
        <v>Q1</v>
      </c>
      <c r="G241" s="9">
        <f t="shared" si="53"/>
        <v>28</v>
      </c>
      <c r="H241" s="9">
        <f t="shared" si="54"/>
        <v>7</v>
      </c>
      <c r="I241" s="9" t="str">
        <f t="shared" si="55"/>
        <v>Sunday</v>
      </c>
      <c r="J241" s="9" t="str">
        <f t="shared" si="56"/>
        <v>Yes</v>
      </c>
      <c r="K241" s="5" t="str">
        <f>IF(COUNTIF(Bank_Holidays!A:A,A241)&gt;0,"Yes","No")</f>
        <v>No</v>
      </c>
      <c r="L241" t="str">
        <f t="shared" si="57"/>
        <v>No</v>
      </c>
      <c r="M241">
        <f t="shared" si="58"/>
        <v>12</v>
      </c>
      <c r="N241" s="5" t="str">
        <f t="shared" si="59"/>
        <v>No</v>
      </c>
      <c r="O241" t="str">
        <f>IF(A241=WORKDAY(EOMONTH(A241,0)+1,-1,Bank_Holidays!$A$2:$A$25),"Yes","No")</f>
        <v>No</v>
      </c>
      <c r="P241" t="str">
        <f t="shared" si="60"/>
        <v>No</v>
      </c>
      <c r="Q241" t="str">
        <f t="shared" si="61"/>
        <v>No</v>
      </c>
      <c r="R241" s="5">
        <f t="shared" si="63"/>
        <v>0</v>
      </c>
      <c r="S241">
        <f>MOD(A241-Fortnightly_Model!$M$1,14)</f>
        <v>8</v>
      </c>
      <c r="T241">
        <f>MOD(A241-FourWeekly_Model!$M$1,28)</f>
        <v>22</v>
      </c>
    </row>
    <row r="242" spans="1:20">
      <c r="A242" s="25">
        <f t="shared" si="62"/>
        <v>46475</v>
      </c>
      <c r="B242">
        <f t="shared" si="48"/>
        <v>2027</v>
      </c>
      <c r="C242" s="9">
        <f t="shared" si="49"/>
        <v>3</v>
      </c>
      <c r="D242" s="9" t="str">
        <f t="shared" si="50"/>
        <v>March</v>
      </c>
      <c r="E242" s="9" t="str">
        <f t="shared" si="51"/>
        <v>Mar-27</v>
      </c>
      <c r="F242" s="9" t="str">
        <f t="shared" si="52"/>
        <v>Q1</v>
      </c>
      <c r="G242" s="9">
        <f t="shared" si="53"/>
        <v>29</v>
      </c>
      <c r="H242" s="9">
        <f t="shared" si="54"/>
        <v>1</v>
      </c>
      <c r="I242" s="9" t="str">
        <f t="shared" si="55"/>
        <v>Monday</v>
      </c>
      <c r="J242" s="9" t="str">
        <f t="shared" si="56"/>
        <v>No</v>
      </c>
      <c r="K242" s="5" t="str">
        <f>IF(COUNTIF(Bank_Holidays!A:A,A242)&gt;0,"Yes","No")</f>
        <v>Yes</v>
      </c>
      <c r="L242" t="str">
        <f t="shared" si="57"/>
        <v>No</v>
      </c>
      <c r="M242">
        <f t="shared" si="58"/>
        <v>13</v>
      </c>
      <c r="N242" s="5" t="str">
        <f t="shared" si="59"/>
        <v>No</v>
      </c>
      <c r="O242" t="str">
        <f>IF(A242=WORKDAY(EOMONTH(A242,0)+1,-1,Bank_Holidays!$A$2:$A$25),"Yes","No")</f>
        <v>No</v>
      </c>
      <c r="P242" t="str">
        <f t="shared" si="60"/>
        <v>No</v>
      </c>
      <c r="Q242" t="str">
        <f t="shared" si="61"/>
        <v>No</v>
      </c>
      <c r="R242" s="5">
        <f t="shared" si="63"/>
        <v>0</v>
      </c>
      <c r="S242">
        <f>MOD(A242-Fortnightly_Model!$M$1,14)</f>
        <v>9</v>
      </c>
      <c r="T242">
        <f>MOD(A242-FourWeekly_Model!$M$1,28)</f>
        <v>23</v>
      </c>
    </row>
    <row r="243" spans="1:20">
      <c r="A243" s="25">
        <f t="shared" si="62"/>
        <v>46476</v>
      </c>
      <c r="B243">
        <f t="shared" si="48"/>
        <v>2027</v>
      </c>
      <c r="C243" s="9">
        <f t="shared" si="49"/>
        <v>3</v>
      </c>
      <c r="D243" s="9" t="str">
        <f t="shared" si="50"/>
        <v>March</v>
      </c>
      <c r="E243" s="9" t="str">
        <f t="shared" si="51"/>
        <v>Mar-27</v>
      </c>
      <c r="F243" s="9" t="str">
        <f t="shared" si="52"/>
        <v>Q1</v>
      </c>
      <c r="G243" s="9">
        <f t="shared" si="53"/>
        <v>30</v>
      </c>
      <c r="H243" s="9">
        <f t="shared" si="54"/>
        <v>2</v>
      </c>
      <c r="I243" s="9" t="str">
        <f t="shared" si="55"/>
        <v>Tuesday</v>
      </c>
      <c r="J243" s="9" t="str">
        <f t="shared" si="56"/>
        <v>No</v>
      </c>
      <c r="K243" s="5" t="str">
        <f>IF(COUNTIF(Bank_Holidays!A:A,A243)&gt;0,"Yes","No")</f>
        <v>No</v>
      </c>
      <c r="L243" t="str">
        <f t="shared" si="57"/>
        <v>Yes</v>
      </c>
      <c r="M243">
        <f t="shared" si="58"/>
        <v>13</v>
      </c>
      <c r="N243" s="5" t="str">
        <f t="shared" si="59"/>
        <v>No</v>
      </c>
      <c r="O243" t="str">
        <f>IF(A243=WORKDAY(EOMONTH(A243,0)+1,-1,Bank_Holidays!$A$2:$A$25),"Yes","No")</f>
        <v>No</v>
      </c>
      <c r="P243" t="str">
        <f t="shared" si="60"/>
        <v>No</v>
      </c>
      <c r="Q243" t="str">
        <f t="shared" si="61"/>
        <v>No</v>
      </c>
      <c r="R243" s="5">
        <f t="shared" si="63"/>
        <v>1</v>
      </c>
      <c r="S243">
        <f>MOD(A243-Fortnightly_Model!$M$1,14)</f>
        <v>10</v>
      </c>
      <c r="T243">
        <f>MOD(A243-FourWeekly_Model!$M$1,28)</f>
        <v>24</v>
      </c>
    </row>
    <row r="244" spans="1:20">
      <c r="A244" s="25">
        <f t="shared" si="62"/>
        <v>46477</v>
      </c>
      <c r="B244">
        <f t="shared" si="48"/>
        <v>2027</v>
      </c>
      <c r="C244" s="9">
        <f t="shared" si="49"/>
        <v>3</v>
      </c>
      <c r="D244" s="9" t="str">
        <f t="shared" si="50"/>
        <v>March</v>
      </c>
      <c r="E244" s="9" t="str">
        <f t="shared" si="51"/>
        <v>Mar-27</v>
      </c>
      <c r="F244" s="9" t="str">
        <f t="shared" si="52"/>
        <v>Q1</v>
      </c>
      <c r="G244" s="9">
        <f t="shared" si="53"/>
        <v>31</v>
      </c>
      <c r="H244" s="9">
        <f t="shared" si="54"/>
        <v>3</v>
      </c>
      <c r="I244" s="9" t="str">
        <f t="shared" si="55"/>
        <v>Wednesday</v>
      </c>
      <c r="J244" s="9" t="str">
        <f t="shared" si="56"/>
        <v>No</v>
      </c>
      <c r="K244" s="5" t="str">
        <f>IF(COUNTIF(Bank_Holidays!A:A,A244)&gt;0,"Yes","No")</f>
        <v>No</v>
      </c>
      <c r="L244" t="str">
        <f t="shared" si="57"/>
        <v>Yes</v>
      </c>
      <c r="M244">
        <f t="shared" si="58"/>
        <v>13</v>
      </c>
      <c r="N244" s="5" t="str">
        <f t="shared" si="59"/>
        <v>Yes</v>
      </c>
      <c r="O244" t="str">
        <f>IF(A244=WORKDAY(EOMONTH(A244,0)+1,-1,Bank_Holidays!$A$2:$A$25),"Yes","No")</f>
        <v>Yes</v>
      </c>
      <c r="P244" t="str">
        <f t="shared" si="60"/>
        <v>No</v>
      </c>
      <c r="Q244" t="str">
        <f t="shared" si="61"/>
        <v>No</v>
      </c>
      <c r="R244" s="5">
        <f t="shared" si="63"/>
        <v>1</v>
      </c>
      <c r="S244">
        <f>MOD(A244-Fortnightly_Model!$M$1,14)</f>
        <v>11</v>
      </c>
      <c r="T244">
        <f>MOD(A244-FourWeekly_Model!$M$1,28)</f>
        <v>25</v>
      </c>
    </row>
    <row r="245" spans="1:20">
      <c r="A245" s="25">
        <f t="shared" si="62"/>
        <v>46478</v>
      </c>
      <c r="B245">
        <f t="shared" si="48"/>
        <v>2027</v>
      </c>
      <c r="C245" s="9">
        <f t="shared" si="49"/>
        <v>4</v>
      </c>
      <c r="D245" s="9" t="str">
        <f t="shared" si="50"/>
        <v>April</v>
      </c>
      <c r="E245" s="9" t="str">
        <f t="shared" si="51"/>
        <v>Apr-27</v>
      </c>
      <c r="F245" s="9" t="str">
        <f t="shared" si="52"/>
        <v>Q2</v>
      </c>
      <c r="G245" s="9">
        <f t="shared" si="53"/>
        <v>1</v>
      </c>
      <c r="H245" s="9">
        <f t="shared" si="54"/>
        <v>4</v>
      </c>
      <c r="I245" s="9" t="str">
        <f t="shared" si="55"/>
        <v>Thursday</v>
      </c>
      <c r="J245" s="9" t="str">
        <f t="shared" si="56"/>
        <v>No</v>
      </c>
      <c r="K245" s="5" t="str">
        <f>IF(COUNTIF(Bank_Holidays!A:A,A245)&gt;0,"Yes","No")</f>
        <v>No</v>
      </c>
      <c r="L245" t="str">
        <f t="shared" si="57"/>
        <v>Yes</v>
      </c>
      <c r="M245">
        <f t="shared" si="58"/>
        <v>13</v>
      </c>
      <c r="N245" s="5" t="str">
        <f t="shared" si="59"/>
        <v>No</v>
      </c>
      <c r="O245" t="str">
        <f>IF(A245=WORKDAY(EOMONTH(A245,0)+1,-1,Bank_Holidays!$A$2:$A$25),"Yes","No")</f>
        <v>No</v>
      </c>
      <c r="P245" t="str">
        <f t="shared" si="60"/>
        <v>No</v>
      </c>
      <c r="Q245" t="str">
        <f t="shared" si="61"/>
        <v>No</v>
      </c>
      <c r="R245" s="5">
        <f t="shared" si="63"/>
        <v>1</v>
      </c>
      <c r="S245">
        <f>MOD(A245-Fortnightly_Model!$M$1,14)</f>
        <v>12</v>
      </c>
      <c r="T245">
        <f>MOD(A245-FourWeekly_Model!$M$1,28)</f>
        <v>26</v>
      </c>
    </row>
    <row r="246" spans="1:20">
      <c r="A246" s="25">
        <f t="shared" si="62"/>
        <v>46479</v>
      </c>
      <c r="B246">
        <f t="shared" si="48"/>
        <v>2027</v>
      </c>
      <c r="C246" s="9">
        <f t="shared" si="49"/>
        <v>4</v>
      </c>
      <c r="D246" s="9" t="str">
        <f t="shared" si="50"/>
        <v>April</v>
      </c>
      <c r="E246" s="9" t="str">
        <f t="shared" si="51"/>
        <v>Apr-27</v>
      </c>
      <c r="F246" s="9" t="str">
        <f t="shared" si="52"/>
        <v>Q2</v>
      </c>
      <c r="G246" s="9">
        <f t="shared" si="53"/>
        <v>2</v>
      </c>
      <c r="H246" s="9">
        <f t="shared" si="54"/>
        <v>5</v>
      </c>
      <c r="I246" s="9" t="str">
        <f t="shared" si="55"/>
        <v>Friday</v>
      </c>
      <c r="J246" s="9" t="str">
        <f t="shared" si="56"/>
        <v>No</v>
      </c>
      <c r="K246" s="5" t="str">
        <f>IF(COUNTIF(Bank_Holidays!A:A,A246)&gt;0,"Yes","No")</f>
        <v>No</v>
      </c>
      <c r="L246" t="str">
        <f t="shared" si="57"/>
        <v>Yes</v>
      </c>
      <c r="M246">
        <f t="shared" si="58"/>
        <v>13</v>
      </c>
      <c r="N246" s="5" t="str">
        <f t="shared" si="59"/>
        <v>No</v>
      </c>
      <c r="O246" t="str">
        <f>IF(A246=WORKDAY(EOMONTH(A246,0)+1,-1,Bank_Holidays!$A$2:$A$25),"Yes","No")</f>
        <v>No</v>
      </c>
      <c r="P246" t="str">
        <f t="shared" si="60"/>
        <v>No</v>
      </c>
      <c r="Q246" t="str">
        <f t="shared" si="61"/>
        <v>No</v>
      </c>
      <c r="R246" s="5">
        <f t="shared" si="63"/>
        <v>3</v>
      </c>
      <c r="S246">
        <f>MOD(A246-Fortnightly_Model!$M$1,14)</f>
        <v>13</v>
      </c>
      <c r="T246">
        <f>MOD(A246-FourWeekly_Model!$M$1,28)</f>
        <v>27</v>
      </c>
    </row>
    <row r="247" spans="1:20">
      <c r="A247" s="25">
        <f t="shared" si="62"/>
        <v>46480</v>
      </c>
      <c r="B247">
        <f t="shared" si="48"/>
        <v>2027</v>
      </c>
      <c r="C247" s="9">
        <f t="shared" si="49"/>
        <v>4</v>
      </c>
      <c r="D247" s="9" t="str">
        <f t="shared" si="50"/>
        <v>April</v>
      </c>
      <c r="E247" s="9" t="str">
        <f t="shared" si="51"/>
        <v>Apr-27</v>
      </c>
      <c r="F247" s="9" t="str">
        <f t="shared" si="52"/>
        <v>Q2</v>
      </c>
      <c r="G247" s="9">
        <f t="shared" si="53"/>
        <v>3</v>
      </c>
      <c r="H247" s="9">
        <f t="shared" si="54"/>
        <v>6</v>
      </c>
      <c r="I247" s="9" t="str">
        <f t="shared" si="55"/>
        <v>Saturday</v>
      </c>
      <c r="J247" s="9" t="str">
        <f t="shared" si="56"/>
        <v>Yes</v>
      </c>
      <c r="K247" s="5" t="str">
        <f>IF(COUNTIF(Bank_Holidays!A:A,A247)&gt;0,"Yes","No")</f>
        <v>No</v>
      </c>
      <c r="L247" t="str">
        <f t="shared" si="57"/>
        <v>No</v>
      </c>
      <c r="M247">
        <f t="shared" si="58"/>
        <v>13</v>
      </c>
      <c r="N247" s="5" t="str">
        <f t="shared" si="59"/>
        <v>No</v>
      </c>
      <c r="O247" t="str">
        <f>IF(A247=WORKDAY(EOMONTH(A247,0)+1,-1,Bank_Holidays!$A$2:$A$25),"Yes","No")</f>
        <v>No</v>
      </c>
      <c r="P247" t="str">
        <f t="shared" si="60"/>
        <v>No</v>
      </c>
      <c r="Q247" t="str">
        <f t="shared" si="61"/>
        <v>No</v>
      </c>
      <c r="R247" s="5">
        <f t="shared" si="63"/>
        <v>0</v>
      </c>
      <c r="S247">
        <f>MOD(A247-Fortnightly_Model!$M$1,14)</f>
        <v>0</v>
      </c>
      <c r="T247">
        <f>MOD(A247-FourWeekly_Model!$M$1,28)</f>
        <v>0</v>
      </c>
    </row>
    <row r="248" spans="1:20">
      <c r="A248" s="25">
        <f t="shared" si="62"/>
        <v>46481</v>
      </c>
      <c r="B248">
        <f t="shared" si="48"/>
        <v>2027</v>
      </c>
      <c r="C248" s="9">
        <f t="shared" si="49"/>
        <v>4</v>
      </c>
      <c r="D248" s="9" t="str">
        <f t="shared" si="50"/>
        <v>April</v>
      </c>
      <c r="E248" s="9" t="str">
        <f t="shared" si="51"/>
        <v>Apr-27</v>
      </c>
      <c r="F248" s="9" t="str">
        <f t="shared" si="52"/>
        <v>Q2</v>
      </c>
      <c r="G248" s="9">
        <f t="shared" si="53"/>
        <v>4</v>
      </c>
      <c r="H248" s="9">
        <f t="shared" si="54"/>
        <v>7</v>
      </c>
      <c r="I248" s="9" t="str">
        <f t="shared" si="55"/>
        <v>Sunday</v>
      </c>
      <c r="J248" s="9" t="str">
        <f t="shared" si="56"/>
        <v>Yes</v>
      </c>
      <c r="K248" s="5" t="str">
        <f>IF(COUNTIF(Bank_Holidays!A:A,A248)&gt;0,"Yes","No")</f>
        <v>No</v>
      </c>
      <c r="L248" t="str">
        <f t="shared" si="57"/>
        <v>No</v>
      </c>
      <c r="M248">
        <f t="shared" si="58"/>
        <v>13</v>
      </c>
      <c r="N248" s="5" t="str">
        <f t="shared" si="59"/>
        <v>No</v>
      </c>
      <c r="O248" t="str">
        <f>IF(A248=WORKDAY(EOMONTH(A248,0)+1,-1,Bank_Holidays!$A$2:$A$25),"Yes","No")</f>
        <v>No</v>
      </c>
      <c r="P248" t="str">
        <f t="shared" si="60"/>
        <v>No</v>
      </c>
      <c r="Q248" t="str">
        <f t="shared" si="61"/>
        <v>No</v>
      </c>
      <c r="R248" s="5">
        <f t="shared" si="63"/>
        <v>0</v>
      </c>
      <c r="S248">
        <f>MOD(A248-Fortnightly_Model!$M$1,14)</f>
        <v>1</v>
      </c>
      <c r="T248">
        <f>MOD(A248-FourWeekly_Model!$M$1,28)</f>
        <v>1</v>
      </c>
    </row>
    <row r="249" spans="1:20">
      <c r="A249" s="25">
        <f t="shared" si="62"/>
        <v>46482</v>
      </c>
      <c r="B249">
        <f t="shared" si="48"/>
        <v>2027</v>
      </c>
      <c r="C249" s="9">
        <f t="shared" si="49"/>
        <v>4</v>
      </c>
      <c r="D249" s="9" t="str">
        <f t="shared" si="50"/>
        <v>April</v>
      </c>
      <c r="E249" s="9" t="str">
        <f t="shared" si="51"/>
        <v>Apr-27</v>
      </c>
      <c r="F249" s="9" t="str">
        <f t="shared" si="52"/>
        <v>Q2</v>
      </c>
      <c r="G249" s="9">
        <f t="shared" si="53"/>
        <v>5</v>
      </c>
      <c r="H249" s="9">
        <f t="shared" si="54"/>
        <v>1</v>
      </c>
      <c r="I249" s="9" t="str">
        <f t="shared" si="55"/>
        <v>Monday</v>
      </c>
      <c r="J249" s="9" t="str">
        <f t="shared" si="56"/>
        <v>No</v>
      </c>
      <c r="K249" s="5" t="str">
        <f>IF(COUNTIF(Bank_Holidays!A:A,A249)&gt;0,"Yes","No")</f>
        <v>No</v>
      </c>
      <c r="L249" t="str">
        <f t="shared" si="57"/>
        <v>Yes</v>
      </c>
      <c r="M249">
        <f t="shared" si="58"/>
        <v>14</v>
      </c>
      <c r="N249" s="5" t="str">
        <f t="shared" si="59"/>
        <v>No</v>
      </c>
      <c r="O249" t="str">
        <f>IF(A249=WORKDAY(EOMONTH(A249,0)+1,-1,Bank_Holidays!$A$2:$A$25),"Yes","No")</f>
        <v>No</v>
      </c>
      <c r="P249" t="str">
        <f t="shared" si="60"/>
        <v>No</v>
      </c>
      <c r="Q249" t="str">
        <f t="shared" si="61"/>
        <v>No</v>
      </c>
      <c r="R249" s="5">
        <f t="shared" si="63"/>
        <v>1</v>
      </c>
      <c r="S249">
        <f>MOD(A249-Fortnightly_Model!$M$1,14)</f>
        <v>2</v>
      </c>
      <c r="T249">
        <f>MOD(A249-FourWeekly_Model!$M$1,28)</f>
        <v>2</v>
      </c>
    </row>
    <row r="250" spans="1:20">
      <c r="A250" s="25">
        <f t="shared" si="62"/>
        <v>46483</v>
      </c>
      <c r="B250">
        <f t="shared" si="48"/>
        <v>2027</v>
      </c>
      <c r="C250" s="9">
        <f t="shared" si="49"/>
        <v>4</v>
      </c>
      <c r="D250" s="9" t="str">
        <f t="shared" si="50"/>
        <v>April</v>
      </c>
      <c r="E250" s="9" t="str">
        <f t="shared" si="51"/>
        <v>Apr-27</v>
      </c>
      <c r="F250" s="9" t="str">
        <f t="shared" si="52"/>
        <v>Q2</v>
      </c>
      <c r="G250" s="9">
        <f t="shared" si="53"/>
        <v>6</v>
      </c>
      <c r="H250" s="9">
        <f t="shared" si="54"/>
        <v>2</v>
      </c>
      <c r="I250" s="9" t="str">
        <f t="shared" si="55"/>
        <v>Tuesday</v>
      </c>
      <c r="J250" s="9" t="str">
        <f t="shared" si="56"/>
        <v>No</v>
      </c>
      <c r="K250" s="5" t="str">
        <f>IF(COUNTIF(Bank_Holidays!A:A,A250)&gt;0,"Yes","No")</f>
        <v>No</v>
      </c>
      <c r="L250" t="str">
        <f t="shared" si="57"/>
        <v>Yes</v>
      </c>
      <c r="M250">
        <f t="shared" si="58"/>
        <v>14</v>
      </c>
      <c r="N250" s="5" t="str">
        <f t="shared" si="59"/>
        <v>No</v>
      </c>
      <c r="O250" t="str">
        <f>IF(A250=WORKDAY(EOMONTH(A250,0)+1,-1,Bank_Holidays!$A$2:$A$25),"Yes","No")</f>
        <v>No</v>
      </c>
      <c r="P250" t="str">
        <f t="shared" si="60"/>
        <v>No</v>
      </c>
      <c r="Q250" t="str">
        <f t="shared" si="61"/>
        <v>No</v>
      </c>
      <c r="R250" s="5">
        <f t="shared" si="63"/>
        <v>1</v>
      </c>
      <c r="S250">
        <f>MOD(A250-Fortnightly_Model!$M$1,14)</f>
        <v>3</v>
      </c>
      <c r="T250">
        <f>MOD(A250-FourWeekly_Model!$M$1,28)</f>
        <v>3</v>
      </c>
    </row>
    <row r="251" spans="1:20">
      <c r="A251" s="25">
        <f t="shared" si="62"/>
        <v>46484</v>
      </c>
      <c r="B251">
        <f t="shared" si="48"/>
        <v>2027</v>
      </c>
      <c r="C251" s="9">
        <f t="shared" si="49"/>
        <v>4</v>
      </c>
      <c r="D251" s="9" t="str">
        <f t="shared" si="50"/>
        <v>April</v>
      </c>
      <c r="E251" s="9" t="str">
        <f t="shared" si="51"/>
        <v>Apr-27</v>
      </c>
      <c r="F251" s="9" t="str">
        <f t="shared" si="52"/>
        <v>Q2</v>
      </c>
      <c r="G251" s="9">
        <f t="shared" si="53"/>
        <v>7</v>
      </c>
      <c r="H251" s="9">
        <f t="shared" si="54"/>
        <v>3</v>
      </c>
      <c r="I251" s="9" t="str">
        <f t="shared" si="55"/>
        <v>Wednesday</v>
      </c>
      <c r="J251" s="9" t="str">
        <f t="shared" si="56"/>
        <v>No</v>
      </c>
      <c r="K251" s="5" t="str">
        <f>IF(COUNTIF(Bank_Holidays!A:A,A251)&gt;0,"Yes","No")</f>
        <v>No</v>
      </c>
      <c r="L251" t="str">
        <f t="shared" si="57"/>
        <v>Yes</v>
      </c>
      <c r="M251">
        <f t="shared" si="58"/>
        <v>14</v>
      </c>
      <c r="N251" s="5" t="str">
        <f t="shared" si="59"/>
        <v>No</v>
      </c>
      <c r="O251" t="str">
        <f>IF(A251=WORKDAY(EOMONTH(A251,0)+1,-1,Bank_Holidays!$A$2:$A$25),"Yes","No")</f>
        <v>No</v>
      </c>
      <c r="P251" t="str">
        <f t="shared" si="60"/>
        <v>No</v>
      </c>
      <c r="Q251" t="str">
        <f t="shared" si="61"/>
        <v>No</v>
      </c>
      <c r="R251" s="5">
        <f t="shared" si="63"/>
        <v>1</v>
      </c>
      <c r="S251">
        <f>MOD(A251-Fortnightly_Model!$M$1,14)</f>
        <v>4</v>
      </c>
      <c r="T251">
        <f>MOD(A251-FourWeekly_Model!$M$1,28)</f>
        <v>4</v>
      </c>
    </row>
    <row r="252" spans="1:20">
      <c r="A252" s="25">
        <f t="shared" si="62"/>
        <v>46485</v>
      </c>
      <c r="B252">
        <f t="shared" si="48"/>
        <v>2027</v>
      </c>
      <c r="C252" s="9">
        <f t="shared" si="49"/>
        <v>4</v>
      </c>
      <c r="D252" s="9" t="str">
        <f t="shared" si="50"/>
        <v>April</v>
      </c>
      <c r="E252" s="9" t="str">
        <f t="shared" si="51"/>
        <v>Apr-27</v>
      </c>
      <c r="F252" s="9" t="str">
        <f t="shared" si="52"/>
        <v>Q2</v>
      </c>
      <c r="G252" s="9">
        <f t="shared" si="53"/>
        <v>8</v>
      </c>
      <c r="H252" s="9">
        <f t="shared" si="54"/>
        <v>4</v>
      </c>
      <c r="I252" s="9" t="str">
        <f t="shared" si="55"/>
        <v>Thursday</v>
      </c>
      <c r="J252" s="9" t="str">
        <f t="shared" si="56"/>
        <v>No</v>
      </c>
      <c r="K252" s="5" t="str">
        <f>IF(COUNTIF(Bank_Holidays!A:A,A252)&gt;0,"Yes","No")</f>
        <v>No</v>
      </c>
      <c r="L252" t="str">
        <f t="shared" si="57"/>
        <v>Yes</v>
      </c>
      <c r="M252">
        <f t="shared" si="58"/>
        <v>14</v>
      </c>
      <c r="N252" s="5" t="str">
        <f t="shared" si="59"/>
        <v>No</v>
      </c>
      <c r="O252" t="str">
        <f>IF(A252=WORKDAY(EOMONTH(A252,0)+1,-1,Bank_Holidays!$A$2:$A$25),"Yes","No")</f>
        <v>No</v>
      </c>
      <c r="P252" t="str">
        <f t="shared" si="60"/>
        <v>No</v>
      </c>
      <c r="Q252" t="str">
        <f t="shared" si="61"/>
        <v>No</v>
      </c>
      <c r="R252" s="5">
        <f t="shared" si="63"/>
        <v>1</v>
      </c>
      <c r="S252">
        <f>MOD(A252-Fortnightly_Model!$M$1,14)</f>
        <v>5</v>
      </c>
      <c r="T252">
        <f>MOD(A252-FourWeekly_Model!$M$1,28)</f>
        <v>5</v>
      </c>
    </row>
    <row r="253" spans="1:20">
      <c r="A253" s="25">
        <f t="shared" si="62"/>
        <v>46486</v>
      </c>
      <c r="B253">
        <f t="shared" si="48"/>
        <v>2027</v>
      </c>
      <c r="C253" s="9">
        <f t="shared" si="49"/>
        <v>4</v>
      </c>
      <c r="D253" s="9" t="str">
        <f t="shared" si="50"/>
        <v>April</v>
      </c>
      <c r="E253" s="9" t="str">
        <f t="shared" si="51"/>
        <v>Apr-27</v>
      </c>
      <c r="F253" s="9" t="str">
        <f t="shared" si="52"/>
        <v>Q2</v>
      </c>
      <c r="G253" s="9">
        <f t="shared" si="53"/>
        <v>9</v>
      </c>
      <c r="H253" s="9">
        <f t="shared" si="54"/>
        <v>5</v>
      </c>
      <c r="I253" s="9" t="str">
        <f t="shared" si="55"/>
        <v>Friday</v>
      </c>
      <c r="J253" s="9" t="str">
        <f t="shared" si="56"/>
        <v>No</v>
      </c>
      <c r="K253" s="5" t="str">
        <f>IF(COUNTIF(Bank_Holidays!A:A,A253)&gt;0,"Yes","No")</f>
        <v>No</v>
      </c>
      <c r="L253" t="str">
        <f t="shared" si="57"/>
        <v>Yes</v>
      </c>
      <c r="M253">
        <f t="shared" si="58"/>
        <v>14</v>
      </c>
      <c r="N253" s="5" t="str">
        <f t="shared" si="59"/>
        <v>No</v>
      </c>
      <c r="O253" t="str">
        <f>IF(A253=WORKDAY(EOMONTH(A253,0)+1,-1,Bank_Holidays!$A$2:$A$25),"Yes","No")</f>
        <v>No</v>
      </c>
      <c r="P253" t="str">
        <f t="shared" si="60"/>
        <v>No</v>
      </c>
      <c r="Q253" t="str">
        <f t="shared" si="61"/>
        <v>No</v>
      </c>
      <c r="R253" s="5">
        <f t="shared" si="63"/>
        <v>3</v>
      </c>
      <c r="S253">
        <f>MOD(A253-Fortnightly_Model!$M$1,14)</f>
        <v>6</v>
      </c>
      <c r="T253">
        <f>MOD(A253-FourWeekly_Model!$M$1,28)</f>
        <v>6</v>
      </c>
    </row>
    <row r="254" spans="1:20">
      <c r="A254" s="25">
        <f t="shared" si="62"/>
        <v>46487</v>
      </c>
      <c r="B254">
        <f t="shared" si="48"/>
        <v>2027</v>
      </c>
      <c r="C254" s="9">
        <f t="shared" si="49"/>
        <v>4</v>
      </c>
      <c r="D254" s="9" t="str">
        <f t="shared" si="50"/>
        <v>April</v>
      </c>
      <c r="E254" s="9" t="str">
        <f t="shared" si="51"/>
        <v>Apr-27</v>
      </c>
      <c r="F254" s="9" t="str">
        <f t="shared" si="52"/>
        <v>Q2</v>
      </c>
      <c r="G254" s="9">
        <f t="shared" si="53"/>
        <v>10</v>
      </c>
      <c r="H254" s="9">
        <f t="shared" si="54"/>
        <v>6</v>
      </c>
      <c r="I254" s="9" t="str">
        <f t="shared" si="55"/>
        <v>Saturday</v>
      </c>
      <c r="J254" s="9" t="str">
        <f t="shared" si="56"/>
        <v>Yes</v>
      </c>
      <c r="K254" s="5" t="str">
        <f>IF(COUNTIF(Bank_Holidays!A:A,A254)&gt;0,"Yes","No")</f>
        <v>No</v>
      </c>
      <c r="L254" t="str">
        <f t="shared" si="57"/>
        <v>No</v>
      </c>
      <c r="M254">
        <f t="shared" si="58"/>
        <v>14</v>
      </c>
      <c r="N254" s="5" t="str">
        <f t="shared" si="59"/>
        <v>No</v>
      </c>
      <c r="O254" t="str">
        <f>IF(A254=WORKDAY(EOMONTH(A254,0)+1,-1,Bank_Holidays!$A$2:$A$25),"Yes","No")</f>
        <v>No</v>
      </c>
      <c r="P254" t="str">
        <f t="shared" si="60"/>
        <v>No</v>
      </c>
      <c r="Q254" t="str">
        <f t="shared" si="61"/>
        <v>No</v>
      </c>
      <c r="R254" s="5">
        <f t="shared" si="63"/>
        <v>0</v>
      </c>
      <c r="S254">
        <f>MOD(A254-Fortnightly_Model!$M$1,14)</f>
        <v>7</v>
      </c>
      <c r="T254">
        <f>MOD(A254-FourWeekly_Model!$M$1,28)</f>
        <v>7</v>
      </c>
    </row>
    <row r="255" spans="1:20">
      <c r="A255" s="25">
        <f t="shared" si="62"/>
        <v>46488</v>
      </c>
      <c r="B255">
        <f t="shared" si="48"/>
        <v>2027</v>
      </c>
      <c r="C255" s="9">
        <f t="shared" si="49"/>
        <v>4</v>
      </c>
      <c r="D255" s="9" t="str">
        <f t="shared" si="50"/>
        <v>April</v>
      </c>
      <c r="E255" s="9" t="str">
        <f t="shared" si="51"/>
        <v>Apr-27</v>
      </c>
      <c r="F255" s="9" t="str">
        <f t="shared" si="52"/>
        <v>Q2</v>
      </c>
      <c r="G255" s="9">
        <f t="shared" si="53"/>
        <v>11</v>
      </c>
      <c r="H255" s="9">
        <f t="shared" si="54"/>
        <v>7</v>
      </c>
      <c r="I255" s="9" t="str">
        <f t="shared" si="55"/>
        <v>Sunday</v>
      </c>
      <c r="J255" s="9" t="str">
        <f t="shared" si="56"/>
        <v>Yes</v>
      </c>
      <c r="K255" s="5" t="str">
        <f>IF(COUNTIF(Bank_Holidays!A:A,A255)&gt;0,"Yes","No")</f>
        <v>No</v>
      </c>
      <c r="L255" t="str">
        <f t="shared" si="57"/>
        <v>No</v>
      </c>
      <c r="M255">
        <f t="shared" si="58"/>
        <v>14</v>
      </c>
      <c r="N255" s="5" t="str">
        <f t="shared" si="59"/>
        <v>No</v>
      </c>
      <c r="O255" t="str">
        <f>IF(A255=WORKDAY(EOMONTH(A255,0)+1,-1,Bank_Holidays!$A$2:$A$25),"Yes","No")</f>
        <v>No</v>
      </c>
      <c r="P255" t="str">
        <f t="shared" si="60"/>
        <v>No</v>
      </c>
      <c r="Q255" t="str">
        <f t="shared" si="61"/>
        <v>No</v>
      </c>
      <c r="R255" s="5">
        <f t="shared" si="63"/>
        <v>0</v>
      </c>
      <c r="S255">
        <f>MOD(A255-Fortnightly_Model!$M$1,14)</f>
        <v>8</v>
      </c>
      <c r="T255">
        <f>MOD(A255-FourWeekly_Model!$M$1,28)</f>
        <v>8</v>
      </c>
    </row>
    <row r="256" spans="1:20">
      <c r="A256" s="25">
        <f t="shared" si="62"/>
        <v>46489</v>
      </c>
      <c r="B256">
        <f t="shared" si="48"/>
        <v>2027</v>
      </c>
      <c r="C256" s="9">
        <f t="shared" si="49"/>
        <v>4</v>
      </c>
      <c r="D256" s="9" t="str">
        <f t="shared" si="50"/>
        <v>April</v>
      </c>
      <c r="E256" s="9" t="str">
        <f t="shared" si="51"/>
        <v>Apr-27</v>
      </c>
      <c r="F256" s="9" t="str">
        <f t="shared" si="52"/>
        <v>Q2</v>
      </c>
      <c r="G256" s="9">
        <f t="shared" si="53"/>
        <v>12</v>
      </c>
      <c r="H256" s="9">
        <f t="shared" si="54"/>
        <v>1</v>
      </c>
      <c r="I256" s="9" t="str">
        <f t="shared" si="55"/>
        <v>Monday</v>
      </c>
      <c r="J256" s="9" t="str">
        <f t="shared" si="56"/>
        <v>No</v>
      </c>
      <c r="K256" s="5" t="str">
        <f>IF(COUNTIF(Bank_Holidays!A:A,A256)&gt;0,"Yes","No")</f>
        <v>No</v>
      </c>
      <c r="L256" t="str">
        <f t="shared" si="57"/>
        <v>Yes</v>
      </c>
      <c r="M256">
        <f t="shared" si="58"/>
        <v>15</v>
      </c>
      <c r="N256" s="5" t="str">
        <f t="shared" si="59"/>
        <v>No</v>
      </c>
      <c r="O256" t="str">
        <f>IF(A256=WORKDAY(EOMONTH(A256,0)+1,-1,Bank_Holidays!$A$2:$A$25),"Yes","No")</f>
        <v>No</v>
      </c>
      <c r="P256" t="str">
        <f t="shared" si="60"/>
        <v>No</v>
      </c>
      <c r="Q256" t="str">
        <f t="shared" si="61"/>
        <v>No</v>
      </c>
      <c r="R256" s="5">
        <f t="shared" si="63"/>
        <v>1</v>
      </c>
      <c r="S256">
        <f>MOD(A256-Fortnightly_Model!$M$1,14)</f>
        <v>9</v>
      </c>
      <c r="T256">
        <f>MOD(A256-FourWeekly_Model!$M$1,28)</f>
        <v>9</v>
      </c>
    </row>
    <row r="257" spans="1:20">
      <c r="A257" s="25">
        <f t="shared" si="62"/>
        <v>46490</v>
      </c>
      <c r="B257">
        <f t="shared" si="48"/>
        <v>2027</v>
      </c>
      <c r="C257" s="9">
        <f t="shared" si="49"/>
        <v>4</v>
      </c>
      <c r="D257" s="9" t="str">
        <f t="shared" si="50"/>
        <v>April</v>
      </c>
      <c r="E257" s="9" t="str">
        <f t="shared" si="51"/>
        <v>Apr-27</v>
      </c>
      <c r="F257" s="9" t="str">
        <f t="shared" si="52"/>
        <v>Q2</v>
      </c>
      <c r="G257" s="9">
        <f t="shared" si="53"/>
        <v>13</v>
      </c>
      <c r="H257" s="9">
        <f t="shared" si="54"/>
        <v>2</v>
      </c>
      <c r="I257" s="9" t="str">
        <f t="shared" si="55"/>
        <v>Tuesday</v>
      </c>
      <c r="J257" s="9" t="str">
        <f t="shared" si="56"/>
        <v>No</v>
      </c>
      <c r="K257" s="5" t="str">
        <f>IF(COUNTIF(Bank_Holidays!A:A,A257)&gt;0,"Yes","No")</f>
        <v>No</v>
      </c>
      <c r="L257" t="str">
        <f t="shared" si="57"/>
        <v>Yes</v>
      </c>
      <c r="M257">
        <f t="shared" si="58"/>
        <v>15</v>
      </c>
      <c r="N257" s="5" t="str">
        <f t="shared" si="59"/>
        <v>No</v>
      </c>
      <c r="O257" t="str">
        <f>IF(A257=WORKDAY(EOMONTH(A257,0)+1,-1,Bank_Holidays!$A$2:$A$25),"Yes","No")</f>
        <v>No</v>
      </c>
      <c r="P257" t="str">
        <f t="shared" si="60"/>
        <v>No</v>
      </c>
      <c r="Q257" t="str">
        <f t="shared" si="61"/>
        <v>No</v>
      </c>
      <c r="R257" s="5">
        <f t="shared" si="63"/>
        <v>1</v>
      </c>
      <c r="S257">
        <f>MOD(A257-Fortnightly_Model!$M$1,14)</f>
        <v>10</v>
      </c>
      <c r="T257">
        <f>MOD(A257-FourWeekly_Model!$M$1,28)</f>
        <v>10</v>
      </c>
    </row>
    <row r="258" spans="1:20">
      <c r="A258" s="25">
        <f t="shared" si="62"/>
        <v>46491</v>
      </c>
      <c r="B258">
        <f t="shared" ref="B258:B321" si="64">YEAR(A258)</f>
        <v>2027</v>
      </c>
      <c r="C258" s="9">
        <f t="shared" ref="C258:C321" si="65">MONTH(A258)</f>
        <v>4</v>
      </c>
      <c r="D258" s="9" t="str">
        <f t="shared" ref="D258:D321" si="66">TEXT(A258,"mmmm")</f>
        <v>April</v>
      </c>
      <c r="E258" s="9" t="str">
        <f t="shared" ref="E258:E321" si="67">TEXT(A258,"mmm-yy")</f>
        <v>Apr-27</v>
      </c>
      <c r="F258" s="9" t="str">
        <f t="shared" ref="F258:F321" si="68">"Q"&amp;ROUNDUP(MONTH($A258)/3,0)</f>
        <v>Q2</v>
      </c>
      <c r="G258" s="9">
        <f t="shared" ref="G258:G321" si="69">DAY($A258)</f>
        <v>14</v>
      </c>
      <c r="H258" s="9">
        <f t="shared" ref="H258:H321" si="70">WEEKDAY($A258,2)</f>
        <v>3</v>
      </c>
      <c r="I258" s="9" t="str">
        <f t="shared" ref="I258:I321" si="71">TEXT($A258,"dddd")</f>
        <v>Wednesday</v>
      </c>
      <c r="J258" s="9" t="str">
        <f t="shared" ref="J258:J321" si="72">IF($H258&gt;5,"Yes","No")</f>
        <v>No</v>
      </c>
      <c r="K258" s="5" t="str">
        <f>IF(COUNTIF(Bank_Holidays!A:A,A258)&gt;0,"Yes","No")</f>
        <v>No</v>
      </c>
      <c r="L258" t="str">
        <f t="shared" ref="L258:L321" si="73">IF(AND(J258="No",K258="No"),"Yes","No")</f>
        <v>Yes</v>
      </c>
      <c r="M258">
        <f t="shared" ref="M258:M321" si="74">_xlfn.ISOWEEKNUM(A258)</f>
        <v>15</v>
      </c>
      <c r="N258" s="5" t="str">
        <f t="shared" ref="N258:N321" si="75">IF(A258=EOMONTH(A258,0),"Yes","No")</f>
        <v>No</v>
      </c>
      <c r="O258" t="str">
        <f>IF(A258=WORKDAY(EOMONTH(A258,0)+1,-1,Bank_Holidays!$A$2:$A$25),"Yes","No")</f>
        <v>No</v>
      </c>
      <c r="P258" t="str">
        <f t="shared" ref="P258:P321" si="76">IF(
AND(
TEXT(A258,"dddd")="Friday",
MONTH(A258+7)&lt;&gt;MONTH(A258)
),
"Yes",
"No"
)</f>
        <v>No</v>
      </c>
      <c r="Q258" t="str">
        <f t="shared" ref="Q258:Q321" si="77">IF(
AND(
TEXT(A258,"dddd")="Thursday",
MONTH(A258+7)&lt;&gt;MONTH(A258)
),
"Yes",
"No"
)</f>
        <v>No</v>
      </c>
      <c r="R258" s="5">
        <f t="shared" si="63"/>
        <v>1</v>
      </c>
      <c r="S258">
        <f>MOD(A258-Fortnightly_Model!$M$1,14)</f>
        <v>11</v>
      </c>
      <c r="T258">
        <f>MOD(A258-FourWeekly_Model!$M$1,28)</f>
        <v>11</v>
      </c>
    </row>
    <row r="259" spans="1:20">
      <c r="A259" s="25">
        <f t="shared" ref="A259:A322" si="78">A258+1</f>
        <v>46492</v>
      </c>
      <c r="B259">
        <f t="shared" si="64"/>
        <v>2027</v>
      </c>
      <c r="C259" s="9">
        <f t="shared" si="65"/>
        <v>4</v>
      </c>
      <c r="D259" s="9" t="str">
        <f t="shared" si="66"/>
        <v>April</v>
      </c>
      <c r="E259" s="9" t="str">
        <f t="shared" si="67"/>
        <v>Apr-27</v>
      </c>
      <c r="F259" s="9" t="str">
        <f t="shared" si="68"/>
        <v>Q2</v>
      </c>
      <c r="G259" s="9">
        <f t="shared" si="69"/>
        <v>15</v>
      </c>
      <c r="H259" s="9">
        <f t="shared" si="70"/>
        <v>4</v>
      </c>
      <c r="I259" s="9" t="str">
        <f t="shared" si="71"/>
        <v>Thursday</v>
      </c>
      <c r="J259" s="9" t="str">
        <f t="shared" si="72"/>
        <v>No</v>
      </c>
      <c r="K259" s="5" t="str">
        <f>IF(COUNTIF(Bank_Holidays!A:A,A259)&gt;0,"Yes","No")</f>
        <v>No</v>
      </c>
      <c r="L259" t="str">
        <f t="shared" si="73"/>
        <v>Yes</v>
      </c>
      <c r="M259">
        <f t="shared" si="74"/>
        <v>15</v>
      </c>
      <c r="N259" s="5" t="str">
        <f t="shared" si="75"/>
        <v>No</v>
      </c>
      <c r="O259" t="str">
        <f>IF(A259=WORKDAY(EOMONTH(A259,0)+1,-1,Bank_Holidays!$A$2:$A$25),"Yes","No")</f>
        <v>No</v>
      </c>
      <c r="P259" t="str">
        <f t="shared" si="76"/>
        <v>No</v>
      </c>
      <c r="Q259" t="str">
        <f t="shared" si="77"/>
        <v>No</v>
      </c>
      <c r="R259" s="5">
        <f t="shared" ref="R259:R322" si="79">IF(L259="yes",1)+IF(L259="no",0,IF(AND(L264="no",L263="no",L262="no",L261="no",L260="no"),5,IF(AND(L263="no",L262="no",L261="no",L260="no"),4,IF(AND(L262="no",L261="no",L260="no"),3,IF(AND(L261="no",L260="no"),2,IF(L260="no",1))))))</f>
        <v>1</v>
      </c>
      <c r="S259">
        <f>MOD(A259-Fortnightly_Model!$M$1,14)</f>
        <v>12</v>
      </c>
      <c r="T259">
        <f>MOD(A259-FourWeekly_Model!$M$1,28)</f>
        <v>12</v>
      </c>
    </row>
    <row r="260" spans="1:20">
      <c r="A260" s="25">
        <f t="shared" si="78"/>
        <v>46493</v>
      </c>
      <c r="B260">
        <f t="shared" si="64"/>
        <v>2027</v>
      </c>
      <c r="C260" s="9">
        <f t="shared" si="65"/>
        <v>4</v>
      </c>
      <c r="D260" s="9" t="str">
        <f t="shared" si="66"/>
        <v>April</v>
      </c>
      <c r="E260" s="9" t="str">
        <f t="shared" si="67"/>
        <v>Apr-27</v>
      </c>
      <c r="F260" s="9" t="str">
        <f t="shared" si="68"/>
        <v>Q2</v>
      </c>
      <c r="G260" s="9">
        <f t="shared" si="69"/>
        <v>16</v>
      </c>
      <c r="H260" s="9">
        <f t="shared" si="70"/>
        <v>5</v>
      </c>
      <c r="I260" s="9" t="str">
        <f t="shared" si="71"/>
        <v>Friday</v>
      </c>
      <c r="J260" s="9" t="str">
        <f t="shared" si="72"/>
        <v>No</v>
      </c>
      <c r="K260" s="5" t="str">
        <f>IF(COUNTIF(Bank_Holidays!A:A,A260)&gt;0,"Yes","No")</f>
        <v>No</v>
      </c>
      <c r="L260" t="str">
        <f t="shared" si="73"/>
        <v>Yes</v>
      </c>
      <c r="M260">
        <f t="shared" si="74"/>
        <v>15</v>
      </c>
      <c r="N260" s="5" t="str">
        <f t="shared" si="75"/>
        <v>No</v>
      </c>
      <c r="O260" t="str">
        <f>IF(A260=WORKDAY(EOMONTH(A260,0)+1,-1,Bank_Holidays!$A$2:$A$25),"Yes","No")</f>
        <v>No</v>
      </c>
      <c r="P260" t="str">
        <f t="shared" si="76"/>
        <v>No</v>
      </c>
      <c r="Q260" t="str">
        <f t="shared" si="77"/>
        <v>No</v>
      </c>
      <c r="R260" s="5">
        <f t="shared" si="79"/>
        <v>3</v>
      </c>
      <c r="S260">
        <f>MOD(A260-Fortnightly_Model!$M$1,14)</f>
        <v>13</v>
      </c>
      <c r="T260">
        <f>MOD(A260-FourWeekly_Model!$M$1,28)</f>
        <v>13</v>
      </c>
    </row>
    <row r="261" spans="1:20">
      <c r="A261" s="25">
        <f t="shared" si="78"/>
        <v>46494</v>
      </c>
      <c r="B261">
        <f t="shared" si="64"/>
        <v>2027</v>
      </c>
      <c r="C261" s="9">
        <f t="shared" si="65"/>
        <v>4</v>
      </c>
      <c r="D261" s="9" t="str">
        <f t="shared" si="66"/>
        <v>April</v>
      </c>
      <c r="E261" s="9" t="str">
        <f t="shared" si="67"/>
        <v>Apr-27</v>
      </c>
      <c r="F261" s="9" t="str">
        <f t="shared" si="68"/>
        <v>Q2</v>
      </c>
      <c r="G261" s="9">
        <f t="shared" si="69"/>
        <v>17</v>
      </c>
      <c r="H261" s="9">
        <f t="shared" si="70"/>
        <v>6</v>
      </c>
      <c r="I261" s="9" t="str">
        <f t="shared" si="71"/>
        <v>Saturday</v>
      </c>
      <c r="J261" s="9" t="str">
        <f t="shared" si="72"/>
        <v>Yes</v>
      </c>
      <c r="K261" s="5" t="str">
        <f>IF(COUNTIF(Bank_Holidays!A:A,A261)&gt;0,"Yes","No")</f>
        <v>No</v>
      </c>
      <c r="L261" t="str">
        <f t="shared" si="73"/>
        <v>No</v>
      </c>
      <c r="M261">
        <f t="shared" si="74"/>
        <v>15</v>
      </c>
      <c r="N261" s="5" t="str">
        <f t="shared" si="75"/>
        <v>No</v>
      </c>
      <c r="O261" t="str">
        <f>IF(A261=WORKDAY(EOMONTH(A261,0)+1,-1,Bank_Holidays!$A$2:$A$25),"Yes","No")</f>
        <v>No</v>
      </c>
      <c r="P261" t="str">
        <f t="shared" si="76"/>
        <v>No</v>
      </c>
      <c r="Q261" t="str">
        <f t="shared" si="77"/>
        <v>No</v>
      </c>
      <c r="R261" s="5">
        <f t="shared" si="79"/>
        <v>0</v>
      </c>
      <c r="S261">
        <f>MOD(A261-Fortnightly_Model!$M$1,14)</f>
        <v>0</v>
      </c>
      <c r="T261">
        <f>MOD(A261-FourWeekly_Model!$M$1,28)</f>
        <v>14</v>
      </c>
    </row>
    <row r="262" spans="1:20">
      <c r="A262" s="25">
        <f t="shared" si="78"/>
        <v>46495</v>
      </c>
      <c r="B262">
        <f t="shared" si="64"/>
        <v>2027</v>
      </c>
      <c r="C262" s="9">
        <f t="shared" si="65"/>
        <v>4</v>
      </c>
      <c r="D262" s="9" t="str">
        <f t="shared" si="66"/>
        <v>April</v>
      </c>
      <c r="E262" s="9" t="str">
        <f t="shared" si="67"/>
        <v>Apr-27</v>
      </c>
      <c r="F262" s="9" t="str">
        <f t="shared" si="68"/>
        <v>Q2</v>
      </c>
      <c r="G262" s="9">
        <f t="shared" si="69"/>
        <v>18</v>
      </c>
      <c r="H262" s="9">
        <f t="shared" si="70"/>
        <v>7</v>
      </c>
      <c r="I262" s="9" t="str">
        <f t="shared" si="71"/>
        <v>Sunday</v>
      </c>
      <c r="J262" s="9" t="str">
        <f t="shared" si="72"/>
        <v>Yes</v>
      </c>
      <c r="K262" s="5" t="str">
        <f>IF(COUNTIF(Bank_Holidays!A:A,A262)&gt;0,"Yes","No")</f>
        <v>No</v>
      </c>
      <c r="L262" t="str">
        <f t="shared" si="73"/>
        <v>No</v>
      </c>
      <c r="M262">
        <f t="shared" si="74"/>
        <v>15</v>
      </c>
      <c r="N262" s="5" t="str">
        <f t="shared" si="75"/>
        <v>No</v>
      </c>
      <c r="O262" t="str">
        <f>IF(A262=WORKDAY(EOMONTH(A262,0)+1,-1,Bank_Holidays!$A$2:$A$25),"Yes","No")</f>
        <v>No</v>
      </c>
      <c r="P262" t="str">
        <f t="shared" si="76"/>
        <v>No</v>
      </c>
      <c r="Q262" t="str">
        <f t="shared" si="77"/>
        <v>No</v>
      </c>
      <c r="R262" s="5">
        <f t="shared" si="79"/>
        <v>0</v>
      </c>
      <c r="S262">
        <f>MOD(A262-Fortnightly_Model!$M$1,14)</f>
        <v>1</v>
      </c>
      <c r="T262">
        <f>MOD(A262-FourWeekly_Model!$M$1,28)</f>
        <v>15</v>
      </c>
    </row>
    <row r="263" spans="1:20">
      <c r="A263" s="25">
        <f t="shared" si="78"/>
        <v>46496</v>
      </c>
      <c r="B263">
        <f t="shared" si="64"/>
        <v>2027</v>
      </c>
      <c r="C263" s="9">
        <f t="shared" si="65"/>
        <v>4</v>
      </c>
      <c r="D263" s="9" t="str">
        <f t="shared" si="66"/>
        <v>April</v>
      </c>
      <c r="E263" s="9" t="str">
        <f t="shared" si="67"/>
        <v>Apr-27</v>
      </c>
      <c r="F263" s="9" t="str">
        <f t="shared" si="68"/>
        <v>Q2</v>
      </c>
      <c r="G263" s="9">
        <f t="shared" si="69"/>
        <v>19</v>
      </c>
      <c r="H263" s="9">
        <f t="shared" si="70"/>
        <v>1</v>
      </c>
      <c r="I263" s="9" t="str">
        <f t="shared" si="71"/>
        <v>Monday</v>
      </c>
      <c r="J263" s="9" t="str">
        <f t="shared" si="72"/>
        <v>No</v>
      </c>
      <c r="K263" s="5" t="str">
        <f>IF(COUNTIF(Bank_Holidays!A:A,A263)&gt;0,"Yes","No")</f>
        <v>No</v>
      </c>
      <c r="L263" t="str">
        <f t="shared" si="73"/>
        <v>Yes</v>
      </c>
      <c r="M263">
        <f t="shared" si="74"/>
        <v>16</v>
      </c>
      <c r="N263" s="5" t="str">
        <f t="shared" si="75"/>
        <v>No</v>
      </c>
      <c r="O263" t="str">
        <f>IF(A263=WORKDAY(EOMONTH(A263,0)+1,-1,Bank_Holidays!$A$2:$A$25),"Yes","No")</f>
        <v>No</v>
      </c>
      <c r="P263" t="str">
        <f t="shared" si="76"/>
        <v>No</v>
      </c>
      <c r="Q263" t="str">
        <f t="shared" si="77"/>
        <v>No</v>
      </c>
      <c r="R263" s="5">
        <f t="shared" si="79"/>
        <v>1</v>
      </c>
      <c r="S263">
        <f>MOD(A263-Fortnightly_Model!$M$1,14)</f>
        <v>2</v>
      </c>
      <c r="T263">
        <f>MOD(A263-FourWeekly_Model!$M$1,28)</f>
        <v>16</v>
      </c>
    </row>
    <row r="264" spans="1:20">
      <c r="A264" s="25">
        <f t="shared" si="78"/>
        <v>46497</v>
      </c>
      <c r="B264">
        <f t="shared" si="64"/>
        <v>2027</v>
      </c>
      <c r="C264" s="9">
        <f t="shared" si="65"/>
        <v>4</v>
      </c>
      <c r="D264" s="9" t="str">
        <f t="shared" si="66"/>
        <v>April</v>
      </c>
      <c r="E264" s="9" t="str">
        <f t="shared" si="67"/>
        <v>Apr-27</v>
      </c>
      <c r="F264" s="9" t="str">
        <f t="shared" si="68"/>
        <v>Q2</v>
      </c>
      <c r="G264" s="9">
        <f t="shared" si="69"/>
        <v>20</v>
      </c>
      <c r="H264" s="9">
        <f t="shared" si="70"/>
        <v>2</v>
      </c>
      <c r="I264" s="9" t="str">
        <f t="shared" si="71"/>
        <v>Tuesday</v>
      </c>
      <c r="J264" s="9" t="str">
        <f t="shared" si="72"/>
        <v>No</v>
      </c>
      <c r="K264" s="5" t="str">
        <f>IF(COUNTIF(Bank_Holidays!A:A,A264)&gt;0,"Yes","No")</f>
        <v>No</v>
      </c>
      <c r="L264" t="str">
        <f t="shared" si="73"/>
        <v>Yes</v>
      </c>
      <c r="M264">
        <f t="shared" si="74"/>
        <v>16</v>
      </c>
      <c r="N264" s="5" t="str">
        <f t="shared" si="75"/>
        <v>No</v>
      </c>
      <c r="O264" t="str">
        <f>IF(A264=WORKDAY(EOMONTH(A264,0)+1,-1,Bank_Holidays!$A$2:$A$25),"Yes","No")</f>
        <v>No</v>
      </c>
      <c r="P264" t="str">
        <f t="shared" si="76"/>
        <v>No</v>
      </c>
      <c r="Q264" t="str">
        <f t="shared" si="77"/>
        <v>No</v>
      </c>
      <c r="R264" s="5">
        <f t="shared" si="79"/>
        <v>1</v>
      </c>
      <c r="S264">
        <f>MOD(A264-Fortnightly_Model!$M$1,14)</f>
        <v>3</v>
      </c>
      <c r="T264">
        <f>MOD(A264-FourWeekly_Model!$M$1,28)</f>
        <v>17</v>
      </c>
    </row>
    <row r="265" spans="1:20">
      <c r="A265" s="25">
        <f t="shared" si="78"/>
        <v>46498</v>
      </c>
      <c r="B265">
        <f t="shared" si="64"/>
        <v>2027</v>
      </c>
      <c r="C265" s="9">
        <f t="shared" si="65"/>
        <v>4</v>
      </c>
      <c r="D265" s="9" t="str">
        <f t="shared" si="66"/>
        <v>April</v>
      </c>
      <c r="E265" s="9" t="str">
        <f t="shared" si="67"/>
        <v>Apr-27</v>
      </c>
      <c r="F265" s="9" t="str">
        <f t="shared" si="68"/>
        <v>Q2</v>
      </c>
      <c r="G265" s="9">
        <f t="shared" si="69"/>
        <v>21</v>
      </c>
      <c r="H265" s="9">
        <f t="shared" si="70"/>
        <v>3</v>
      </c>
      <c r="I265" s="9" t="str">
        <f t="shared" si="71"/>
        <v>Wednesday</v>
      </c>
      <c r="J265" s="9" t="str">
        <f t="shared" si="72"/>
        <v>No</v>
      </c>
      <c r="K265" s="5" t="str">
        <f>IF(COUNTIF(Bank_Holidays!A:A,A265)&gt;0,"Yes","No")</f>
        <v>No</v>
      </c>
      <c r="L265" t="str">
        <f t="shared" si="73"/>
        <v>Yes</v>
      </c>
      <c r="M265">
        <f t="shared" si="74"/>
        <v>16</v>
      </c>
      <c r="N265" s="5" t="str">
        <f t="shared" si="75"/>
        <v>No</v>
      </c>
      <c r="O265" t="str">
        <f>IF(A265=WORKDAY(EOMONTH(A265,0)+1,-1,Bank_Holidays!$A$2:$A$25),"Yes","No")</f>
        <v>No</v>
      </c>
      <c r="P265" t="str">
        <f t="shared" si="76"/>
        <v>No</v>
      </c>
      <c r="Q265" t="str">
        <f t="shared" si="77"/>
        <v>No</v>
      </c>
      <c r="R265" s="5">
        <f t="shared" si="79"/>
        <v>1</v>
      </c>
      <c r="S265">
        <f>MOD(A265-Fortnightly_Model!$M$1,14)</f>
        <v>4</v>
      </c>
      <c r="T265">
        <f>MOD(A265-FourWeekly_Model!$M$1,28)</f>
        <v>18</v>
      </c>
    </row>
    <row r="266" spans="1:20">
      <c r="A266" s="25">
        <f t="shared" si="78"/>
        <v>46499</v>
      </c>
      <c r="B266">
        <f t="shared" si="64"/>
        <v>2027</v>
      </c>
      <c r="C266" s="9">
        <f t="shared" si="65"/>
        <v>4</v>
      </c>
      <c r="D266" s="9" t="str">
        <f t="shared" si="66"/>
        <v>April</v>
      </c>
      <c r="E266" s="9" t="str">
        <f t="shared" si="67"/>
        <v>Apr-27</v>
      </c>
      <c r="F266" s="9" t="str">
        <f t="shared" si="68"/>
        <v>Q2</v>
      </c>
      <c r="G266" s="9">
        <f t="shared" si="69"/>
        <v>22</v>
      </c>
      <c r="H266" s="9">
        <f t="shared" si="70"/>
        <v>4</v>
      </c>
      <c r="I266" s="9" t="str">
        <f t="shared" si="71"/>
        <v>Thursday</v>
      </c>
      <c r="J266" s="9" t="str">
        <f t="shared" si="72"/>
        <v>No</v>
      </c>
      <c r="K266" s="5" t="str">
        <f>IF(COUNTIF(Bank_Holidays!A:A,A266)&gt;0,"Yes","No")</f>
        <v>No</v>
      </c>
      <c r="L266" t="str">
        <f t="shared" si="73"/>
        <v>Yes</v>
      </c>
      <c r="M266">
        <f t="shared" si="74"/>
        <v>16</v>
      </c>
      <c r="N266" s="5" t="str">
        <f t="shared" si="75"/>
        <v>No</v>
      </c>
      <c r="O266" t="str">
        <f>IF(A266=WORKDAY(EOMONTH(A266,0)+1,-1,Bank_Holidays!$A$2:$A$25),"Yes","No")</f>
        <v>No</v>
      </c>
      <c r="P266" t="str">
        <f t="shared" si="76"/>
        <v>No</v>
      </c>
      <c r="Q266" t="str">
        <f t="shared" si="77"/>
        <v>No</v>
      </c>
      <c r="R266" s="5">
        <f t="shared" si="79"/>
        <v>1</v>
      </c>
      <c r="S266">
        <f>MOD(A266-Fortnightly_Model!$M$1,14)</f>
        <v>5</v>
      </c>
      <c r="T266">
        <f>MOD(A266-FourWeekly_Model!$M$1,28)</f>
        <v>19</v>
      </c>
    </row>
    <row r="267" spans="1:20">
      <c r="A267" s="25">
        <f t="shared" si="78"/>
        <v>46500</v>
      </c>
      <c r="B267">
        <f t="shared" si="64"/>
        <v>2027</v>
      </c>
      <c r="C267" s="9">
        <f t="shared" si="65"/>
        <v>4</v>
      </c>
      <c r="D267" s="9" t="str">
        <f t="shared" si="66"/>
        <v>April</v>
      </c>
      <c r="E267" s="9" t="str">
        <f t="shared" si="67"/>
        <v>Apr-27</v>
      </c>
      <c r="F267" s="9" t="str">
        <f t="shared" si="68"/>
        <v>Q2</v>
      </c>
      <c r="G267" s="9">
        <f t="shared" si="69"/>
        <v>23</v>
      </c>
      <c r="H267" s="9">
        <f t="shared" si="70"/>
        <v>5</v>
      </c>
      <c r="I267" s="9" t="str">
        <f t="shared" si="71"/>
        <v>Friday</v>
      </c>
      <c r="J267" s="9" t="str">
        <f t="shared" si="72"/>
        <v>No</v>
      </c>
      <c r="K267" s="5" t="str">
        <f>IF(COUNTIF(Bank_Holidays!A:A,A267)&gt;0,"Yes","No")</f>
        <v>No</v>
      </c>
      <c r="L267" t="str">
        <f t="shared" si="73"/>
        <v>Yes</v>
      </c>
      <c r="M267">
        <f t="shared" si="74"/>
        <v>16</v>
      </c>
      <c r="N267" s="5" t="str">
        <f t="shared" si="75"/>
        <v>No</v>
      </c>
      <c r="O267" t="str">
        <f>IF(A267=WORKDAY(EOMONTH(A267,0)+1,-1,Bank_Holidays!$A$2:$A$25),"Yes","No")</f>
        <v>No</v>
      </c>
      <c r="P267" t="str">
        <f t="shared" si="76"/>
        <v>No</v>
      </c>
      <c r="Q267" t="str">
        <f t="shared" si="77"/>
        <v>No</v>
      </c>
      <c r="R267" s="5">
        <f t="shared" si="79"/>
        <v>3</v>
      </c>
      <c r="S267">
        <f>MOD(A267-Fortnightly_Model!$M$1,14)</f>
        <v>6</v>
      </c>
      <c r="T267">
        <f>MOD(A267-FourWeekly_Model!$M$1,28)</f>
        <v>20</v>
      </c>
    </row>
    <row r="268" spans="1:20">
      <c r="A268" s="25">
        <f t="shared" si="78"/>
        <v>46501</v>
      </c>
      <c r="B268">
        <f t="shared" si="64"/>
        <v>2027</v>
      </c>
      <c r="C268" s="9">
        <f t="shared" si="65"/>
        <v>4</v>
      </c>
      <c r="D268" s="9" t="str">
        <f t="shared" si="66"/>
        <v>April</v>
      </c>
      <c r="E268" s="9" t="str">
        <f t="shared" si="67"/>
        <v>Apr-27</v>
      </c>
      <c r="F268" s="9" t="str">
        <f t="shared" si="68"/>
        <v>Q2</v>
      </c>
      <c r="G268" s="9">
        <f t="shared" si="69"/>
        <v>24</v>
      </c>
      <c r="H268" s="9">
        <f t="shared" si="70"/>
        <v>6</v>
      </c>
      <c r="I268" s="9" t="str">
        <f t="shared" si="71"/>
        <v>Saturday</v>
      </c>
      <c r="J268" s="9" t="str">
        <f t="shared" si="72"/>
        <v>Yes</v>
      </c>
      <c r="K268" s="5" t="str">
        <f>IF(COUNTIF(Bank_Holidays!A:A,A268)&gt;0,"Yes","No")</f>
        <v>No</v>
      </c>
      <c r="L268" t="str">
        <f t="shared" si="73"/>
        <v>No</v>
      </c>
      <c r="M268">
        <f t="shared" si="74"/>
        <v>16</v>
      </c>
      <c r="N268" s="5" t="str">
        <f t="shared" si="75"/>
        <v>No</v>
      </c>
      <c r="O268" t="str">
        <f>IF(A268=WORKDAY(EOMONTH(A268,0)+1,-1,Bank_Holidays!$A$2:$A$25),"Yes","No")</f>
        <v>No</v>
      </c>
      <c r="P268" t="str">
        <f t="shared" si="76"/>
        <v>No</v>
      </c>
      <c r="Q268" t="str">
        <f t="shared" si="77"/>
        <v>No</v>
      </c>
      <c r="R268" s="5">
        <f t="shared" si="79"/>
        <v>0</v>
      </c>
      <c r="S268">
        <f>MOD(A268-Fortnightly_Model!$M$1,14)</f>
        <v>7</v>
      </c>
      <c r="T268">
        <f>MOD(A268-FourWeekly_Model!$M$1,28)</f>
        <v>21</v>
      </c>
    </row>
    <row r="269" spans="1:20">
      <c r="A269" s="25">
        <f t="shared" si="78"/>
        <v>46502</v>
      </c>
      <c r="B269">
        <f t="shared" si="64"/>
        <v>2027</v>
      </c>
      <c r="C269" s="9">
        <f t="shared" si="65"/>
        <v>4</v>
      </c>
      <c r="D269" s="9" t="str">
        <f t="shared" si="66"/>
        <v>April</v>
      </c>
      <c r="E269" s="9" t="str">
        <f t="shared" si="67"/>
        <v>Apr-27</v>
      </c>
      <c r="F269" s="9" t="str">
        <f t="shared" si="68"/>
        <v>Q2</v>
      </c>
      <c r="G269" s="9">
        <f t="shared" si="69"/>
        <v>25</v>
      </c>
      <c r="H269" s="9">
        <f t="shared" si="70"/>
        <v>7</v>
      </c>
      <c r="I269" s="9" t="str">
        <f t="shared" si="71"/>
        <v>Sunday</v>
      </c>
      <c r="J269" s="9" t="str">
        <f t="shared" si="72"/>
        <v>Yes</v>
      </c>
      <c r="K269" s="5" t="str">
        <f>IF(COUNTIF(Bank_Holidays!A:A,A269)&gt;0,"Yes","No")</f>
        <v>No</v>
      </c>
      <c r="L269" t="str">
        <f t="shared" si="73"/>
        <v>No</v>
      </c>
      <c r="M269">
        <f t="shared" si="74"/>
        <v>16</v>
      </c>
      <c r="N269" s="5" t="str">
        <f t="shared" si="75"/>
        <v>No</v>
      </c>
      <c r="O269" t="str">
        <f>IF(A269=WORKDAY(EOMONTH(A269,0)+1,-1,Bank_Holidays!$A$2:$A$25),"Yes","No")</f>
        <v>No</v>
      </c>
      <c r="P269" t="str">
        <f t="shared" si="76"/>
        <v>No</v>
      </c>
      <c r="Q269" t="str">
        <f t="shared" si="77"/>
        <v>No</v>
      </c>
      <c r="R269" s="5">
        <f t="shared" si="79"/>
        <v>0</v>
      </c>
      <c r="S269">
        <f>MOD(A269-Fortnightly_Model!$M$1,14)</f>
        <v>8</v>
      </c>
      <c r="T269">
        <f>MOD(A269-FourWeekly_Model!$M$1,28)</f>
        <v>22</v>
      </c>
    </row>
    <row r="270" spans="1:20">
      <c r="A270" s="25">
        <f t="shared" si="78"/>
        <v>46503</v>
      </c>
      <c r="B270">
        <f t="shared" si="64"/>
        <v>2027</v>
      </c>
      <c r="C270" s="9">
        <f t="shared" si="65"/>
        <v>4</v>
      </c>
      <c r="D270" s="9" t="str">
        <f t="shared" si="66"/>
        <v>April</v>
      </c>
      <c r="E270" s="9" t="str">
        <f t="shared" si="67"/>
        <v>Apr-27</v>
      </c>
      <c r="F270" s="9" t="str">
        <f t="shared" si="68"/>
        <v>Q2</v>
      </c>
      <c r="G270" s="9">
        <f t="shared" si="69"/>
        <v>26</v>
      </c>
      <c r="H270" s="9">
        <f t="shared" si="70"/>
        <v>1</v>
      </c>
      <c r="I270" s="9" t="str">
        <f t="shared" si="71"/>
        <v>Monday</v>
      </c>
      <c r="J270" s="9" t="str">
        <f t="shared" si="72"/>
        <v>No</v>
      </c>
      <c r="K270" s="5" t="str">
        <f>IF(COUNTIF(Bank_Holidays!A:A,A270)&gt;0,"Yes","No")</f>
        <v>No</v>
      </c>
      <c r="L270" t="str">
        <f t="shared" si="73"/>
        <v>Yes</v>
      </c>
      <c r="M270">
        <f t="shared" si="74"/>
        <v>17</v>
      </c>
      <c r="N270" s="5" t="str">
        <f t="shared" si="75"/>
        <v>No</v>
      </c>
      <c r="O270" t="str">
        <f>IF(A270=WORKDAY(EOMONTH(A270,0)+1,-1,Bank_Holidays!$A$2:$A$25),"Yes","No")</f>
        <v>No</v>
      </c>
      <c r="P270" t="str">
        <f t="shared" si="76"/>
        <v>No</v>
      </c>
      <c r="Q270" t="str">
        <f t="shared" si="77"/>
        <v>No</v>
      </c>
      <c r="R270" s="5">
        <f t="shared" si="79"/>
        <v>1</v>
      </c>
      <c r="S270">
        <f>MOD(A270-Fortnightly_Model!$M$1,14)</f>
        <v>9</v>
      </c>
      <c r="T270">
        <f>MOD(A270-FourWeekly_Model!$M$1,28)</f>
        <v>23</v>
      </c>
    </row>
    <row r="271" spans="1:20">
      <c r="A271" s="25">
        <f t="shared" si="78"/>
        <v>46504</v>
      </c>
      <c r="B271">
        <f t="shared" si="64"/>
        <v>2027</v>
      </c>
      <c r="C271" s="9">
        <f t="shared" si="65"/>
        <v>4</v>
      </c>
      <c r="D271" s="9" t="str">
        <f t="shared" si="66"/>
        <v>April</v>
      </c>
      <c r="E271" s="9" t="str">
        <f t="shared" si="67"/>
        <v>Apr-27</v>
      </c>
      <c r="F271" s="9" t="str">
        <f t="shared" si="68"/>
        <v>Q2</v>
      </c>
      <c r="G271" s="9">
        <f t="shared" si="69"/>
        <v>27</v>
      </c>
      <c r="H271" s="9">
        <f t="shared" si="70"/>
        <v>2</v>
      </c>
      <c r="I271" s="9" t="str">
        <f t="shared" si="71"/>
        <v>Tuesday</v>
      </c>
      <c r="J271" s="9" t="str">
        <f t="shared" si="72"/>
        <v>No</v>
      </c>
      <c r="K271" s="5" t="str">
        <f>IF(COUNTIF(Bank_Holidays!A:A,A271)&gt;0,"Yes","No")</f>
        <v>No</v>
      </c>
      <c r="L271" t="str">
        <f t="shared" si="73"/>
        <v>Yes</v>
      </c>
      <c r="M271">
        <f t="shared" si="74"/>
        <v>17</v>
      </c>
      <c r="N271" s="5" t="str">
        <f t="shared" si="75"/>
        <v>No</v>
      </c>
      <c r="O271" t="str">
        <f>IF(A271=WORKDAY(EOMONTH(A271,0)+1,-1,Bank_Holidays!$A$2:$A$25),"Yes","No")</f>
        <v>No</v>
      </c>
      <c r="P271" t="str">
        <f t="shared" si="76"/>
        <v>No</v>
      </c>
      <c r="Q271" t="str">
        <f t="shared" si="77"/>
        <v>No</v>
      </c>
      <c r="R271" s="5">
        <f t="shared" si="79"/>
        <v>1</v>
      </c>
      <c r="S271">
        <f>MOD(A271-Fortnightly_Model!$M$1,14)</f>
        <v>10</v>
      </c>
      <c r="T271">
        <f>MOD(A271-FourWeekly_Model!$M$1,28)</f>
        <v>24</v>
      </c>
    </row>
    <row r="272" spans="1:20">
      <c r="A272" s="25">
        <f t="shared" si="78"/>
        <v>46505</v>
      </c>
      <c r="B272">
        <f t="shared" si="64"/>
        <v>2027</v>
      </c>
      <c r="C272" s="9">
        <f t="shared" si="65"/>
        <v>4</v>
      </c>
      <c r="D272" s="9" t="str">
        <f t="shared" si="66"/>
        <v>April</v>
      </c>
      <c r="E272" s="9" t="str">
        <f t="shared" si="67"/>
        <v>Apr-27</v>
      </c>
      <c r="F272" s="9" t="str">
        <f t="shared" si="68"/>
        <v>Q2</v>
      </c>
      <c r="G272" s="9">
        <f t="shared" si="69"/>
        <v>28</v>
      </c>
      <c r="H272" s="9">
        <f t="shared" si="70"/>
        <v>3</v>
      </c>
      <c r="I272" s="9" t="str">
        <f t="shared" si="71"/>
        <v>Wednesday</v>
      </c>
      <c r="J272" s="9" t="str">
        <f t="shared" si="72"/>
        <v>No</v>
      </c>
      <c r="K272" s="5" t="str">
        <f>IF(COUNTIF(Bank_Holidays!A:A,A272)&gt;0,"Yes","No")</f>
        <v>No</v>
      </c>
      <c r="L272" t="str">
        <f t="shared" si="73"/>
        <v>Yes</v>
      </c>
      <c r="M272">
        <f t="shared" si="74"/>
        <v>17</v>
      </c>
      <c r="N272" s="5" t="str">
        <f t="shared" si="75"/>
        <v>No</v>
      </c>
      <c r="O272" t="str">
        <f>IF(A272=WORKDAY(EOMONTH(A272,0)+1,-1,Bank_Holidays!$A$2:$A$25),"Yes","No")</f>
        <v>No</v>
      </c>
      <c r="P272" t="str">
        <f t="shared" si="76"/>
        <v>No</v>
      </c>
      <c r="Q272" t="str">
        <f t="shared" si="77"/>
        <v>No</v>
      </c>
      <c r="R272" s="5">
        <f t="shared" si="79"/>
        <v>1</v>
      </c>
      <c r="S272">
        <f>MOD(A272-Fortnightly_Model!$M$1,14)</f>
        <v>11</v>
      </c>
      <c r="T272">
        <f>MOD(A272-FourWeekly_Model!$M$1,28)</f>
        <v>25</v>
      </c>
    </row>
    <row r="273" spans="1:20">
      <c r="A273" s="25">
        <f t="shared" si="78"/>
        <v>46506</v>
      </c>
      <c r="B273">
        <f t="shared" si="64"/>
        <v>2027</v>
      </c>
      <c r="C273" s="9">
        <f t="shared" si="65"/>
        <v>4</v>
      </c>
      <c r="D273" s="9" t="str">
        <f t="shared" si="66"/>
        <v>April</v>
      </c>
      <c r="E273" s="9" t="str">
        <f t="shared" si="67"/>
        <v>Apr-27</v>
      </c>
      <c r="F273" s="9" t="str">
        <f t="shared" si="68"/>
        <v>Q2</v>
      </c>
      <c r="G273" s="9">
        <f t="shared" si="69"/>
        <v>29</v>
      </c>
      <c r="H273" s="9">
        <f t="shared" si="70"/>
        <v>4</v>
      </c>
      <c r="I273" s="9" t="str">
        <f t="shared" si="71"/>
        <v>Thursday</v>
      </c>
      <c r="J273" s="9" t="str">
        <f t="shared" si="72"/>
        <v>No</v>
      </c>
      <c r="K273" s="5" t="str">
        <f>IF(COUNTIF(Bank_Holidays!A:A,A273)&gt;0,"Yes","No")</f>
        <v>No</v>
      </c>
      <c r="L273" t="str">
        <f t="shared" si="73"/>
        <v>Yes</v>
      </c>
      <c r="M273">
        <f t="shared" si="74"/>
        <v>17</v>
      </c>
      <c r="N273" s="5" t="str">
        <f t="shared" si="75"/>
        <v>No</v>
      </c>
      <c r="O273" t="str">
        <f>IF(A273=WORKDAY(EOMONTH(A273,0)+1,-1,Bank_Holidays!$A$2:$A$25),"Yes","No")</f>
        <v>No</v>
      </c>
      <c r="P273" t="str">
        <f t="shared" si="76"/>
        <v>No</v>
      </c>
      <c r="Q273" t="str">
        <f t="shared" si="77"/>
        <v>Yes</v>
      </c>
      <c r="R273" s="5">
        <f t="shared" si="79"/>
        <v>1</v>
      </c>
      <c r="S273">
        <f>MOD(A273-Fortnightly_Model!$M$1,14)</f>
        <v>12</v>
      </c>
      <c r="T273">
        <f>MOD(A273-FourWeekly_Model!$M$1,28)</f>
        <v>26</v>
      </c>
    </row>
    <row r="274" spans="1:20">
      <c r="A274" s="25">
        <f t="shared" si="78"/>
        <v>46507</v>
      </c>
      <c r="B274">
        <f t="shared" si="64"/>
        <v>2027</v>
      </c>
      <c r="C274" s="9">
        <f t="shared" si="65"/>
        <v>4</v>
      </c>
      <c r="D274" s="9" t="str">
        <f t="shared" si="66"/>
        <v>April</v>
      </c>
      <c r="E274" s="9" t="str">
        <f t="shared" si="67"/>
        <v>Apr-27</v>
      </c>
      <c r="F274" s="9" t="str">
        <f t="shared" si="68"/>
        <v>Q2</v>
      </c>
      <c r="G274" s="9">
        <f t="shared" si="69"/>
        <v>30</v>
      </c>
      <c r="H274" s="9">
        <f t="shared" si="70"/>
        <v>5</v>
      </c>
      <c r="I274" s="9" t="str">
        <f t="shared" si="71"/>
        <v>Friday</v>
      </c>
      <c r="J274" s="9" t="str">
        <f t="shared" si="72"/>
        <v>No</v>
      </c>
      <c r="K274" s="5" t="str">
        <f>IF(COUNTIF(Bank_Holidays!A:A,A274)&gt;0,"Yes","No")</f>
        <v>No</v>
      </c>
      <c r="L274" t="str">
        <f t="shared" si="73"/>
        <v>Yes</v>
      </c>
      <c r="M274">
        <f t="shared" si="74"/>
        <v>17</v>
      </c>
      <c r="N274" s="5" t="str">
        <f t="shared" si="75"/>
        <v>Yes</v>
      </c>
      <c r="O274" t="str">
        <f>IF(A274=WORKDAY(EOMONTH(A274,0)+1,-1,Bank_Holidays!$A$2:$A$25),"Yes","No")</f>
        <v>Yes</v>
      </c>
      <c r="P274" t="str">
        <f t="shared" si="76"/>
        <v>Yes</v>
      </c>
      <c r="Q274" t="str">
        <f t="shared" si="77"/>
        <v>No</v>
      </c>
      <c r="R274" s="5">
        <f t="shared" si="79"/>
        <v>4</v>
      </c>
      <c r="S274">
        <f>MOD(A274-Fortnightly_Model!$M$1,14)</f>
        <v>13</v>
      </c>
      <c r="T274">
        <f>MOD(A274-FourWeekly_Model!$M$1,28)</f>
        <v>27</v>
      </c>
    </row>
    <row r="275" spans="1:20">
      <c r="A275" s="25">
        <f t="shared" si="78"/>
        <v>46508</v>
      </c>
      <c r="B275">
        <f t="shared" si="64"/>
        <v>2027</v>
      </c>
      <c r="C275" s="9">
        <f t="shared" si="65"/>
        <v>5</v>
      </c>
      <c r="D275" s="9" t="str">
        <f t="shared" si="66"/>
        <v>May</v>
      </c>
      <c r="E275" s="9" t="str">
        <f t="shared" si="67"/>
        <v>May-27</v>
      </c>
      <c r="F275" s="9" t="str">
        <f t="shared" si="68"/>
        <v>Q2</v>
      </c>
      <c r="G275" s="9">
        <f t="shared" si="69"/>
        <v>1</v>
      </c>
      <c r="H275" s="9">
        <f t="shared" si="70"/>
        <v>6</v>
      </c>
      <c r="I275" s="9" t="str">
        <f t="shared" si="71"/>
        <v>Saturday</v>
      </c>
      <c r="J275" s="9" t="str">
        <f t="shared" si="72"/>
        <v>Yes</v>
      </c>
      <c r="K275" s="5" t="str">
        <f>IF(COUNTIF(Bank_Holidays!A:A,A275)&gt;0,"Yes","No")</f>
        <v>No</v>
      </c>
      <c r="L275" t="str">
        <f t="shared" si="73"/>
        <v>No</v>
      </c>
      <c r="M275">
        <f t="shared" si="74"/>
        <v>17</v>
      </c>
      <c r="N275" s="5" t="str">
        <f t="shared" si="75"/>
        <v>No</v>
      </c>
      <c r="O275" t="str">
        <f>IF(A275=WORKDAY(EOMONTH(A275,0)+1,-1,Bank_Holidays!$A$2:$A$25),"Yes","No")</f>
        <v>No</v>
      </c>
      <c r="P275" t="str">
        <f t="shared" si="76"/>
        <v>No</v>
      </c>
      <c r="Q275" t="str">
        <f t="shared" si="77"/>
        <v>No</v>
      </c>
      <c r="R275" s="5">
        <f t="shared" si="79"/>
        <v>0</v>
      </c>
      <c r="S275">
        <f>MOD(A275-Fortnightly_Model!$M$1,14)</f>
        <v>0</v>
      </c>
      <c r="T275">
        <f>MOD(A275-FourWeekly_Model!$M$1,28)</f>
        <v>0</v>
      </c>
    </row>
    <row r="276" spans="1:20">
      <c r="A276" s="25">
        <f t="shared" si="78"/>
        <v>46509</v>
      </c>
      <c r="B276">
        <f t="shared" si="64"/>
        <v>2027</v>
      </c>
      <c r="C276" s="9">
        <f t="shared" si="65"/>
        <v>5</v>
      </c>
      <c r="D276" s="9" t="str">
        <f t="shared" si="66"/>
        <v>May</v>
      </c>
      <c r="E276" s="9" t="str">
        <f t="shared" si="67"/>
        <v>May-27</v>
      </c>
      <c r="F276" s="9" t="str">
        <f t="shared" si="68"/>
        <v>Q2</v>
      </c>
      <c r="G276" s="9">
        <f t="shared" si="69"/>
        <v>2</v>
      </c>
      <c r="H276" s="9">
        <f t="shared" si="70"/>
        <v>7</v>
      </c>
      <c r="I276" s="9" t="str">
        <f t="shared" si="71"/>
        <v>Sunday</v>
      </c>
      <c r="J276" s="9" t="str">
        <f t="shared" si="72"/>
        <v>Yes</v>
      </c>
      <c r="K276" s="5" t="str">
        <f>IF(COUNTIF(Bank_Holidays!A:A,A276)&gt;0,"Yes","No")</f>
        <v>No</v>
      </c>
      <c r="L276" t="str">
        <f t="shared" si="73"/>
        <v>No</v>
      </c>
      <c r="M276">
        <f t="shared" si="74"/>
        <v>17</v>
      </c>
      <c r="N276" s="5" t="str">
        <f t="shared" si="75"/>
        <v>No</v>
      </c>
      <c r="O276" t="str">
        <f>IF(A276=WORKDAY(EOMONTH(A276,0)+1,-1,Bank_Holidays!$A$2:$A$25),"Yes","No")</f>
        <v>No</v>
      </c>
      <c r="P276" t="str">
        <f t="shared" si="76"/>
        <v>No</v>
      </c>
      <c r="Q276" t="str">
        <f t="shared" si="77"/>
        <v>No</v>
      </c>
      <c r="R276" s="5">
        <f t="shared" si="79"/>
        <v>0</v>
      </c>
      <c r="S276">
        <f>MOD(A276-Fortnightly_Model!$M$1,14)</f>
        <v>1</v>
      </c>
      <c r="T276">
        <f>MOD(A276-FourWeekly_Model!$M$1,28)</f>
        <v>1</v>
      </c>
    </row>
    <row r="277" spans="1:20">
      <c r="A277" s="25">
        <f t="shared" si="78"/>
        <v>46510</v>
      </c>
      <c r="B277">
        <f t="shared" si="64"/>
        <v>2027</v>
      </c>
      <c r="C277" s="9">
        <f t="shared" si="65"/>
        <v>5</v>
      </c>
      <c r="D277" s="9" t="str">
        <f t="shared" si="66"/>
        <v>May</v>
      </c>
      <c r="E277" s="9" t="str">
        <f t="shared" si="67"/>
        <v>May-27</v>
      </c>
      <c r="F277" s="9" t="str">
        <f t="shared" si="68"/>
        <v>Q2</v>
      </c>
      <c r="G277" s="9">
        <f t="shared" si="69"/>
        <v>3</v>
      </c>
      <c r="H277" s="9">
        <f t="shared" si="70"/>
        <v>1</v>
      </c>
      <c r="I277" s="9" t="str">
        <f t="shared" si="71"/>
        <v>Monday</v>
      </c>
      <c r="J277" s="9" t="str">
        <f t="shared" si="72"/>
        <v>No</v>
      </c>
      <c r="K277" s="5" t="str">
        <f>IF(COUNTIF(Bank_Holidays!A:A,A277)&gt;0,"Yes","No")</f>
        <v>Yes</v>
      </c>
      <c r="L277" t="str">
        <f t="shared" si="73"/>
        <v>No</v>
      </c>
      <c r="M277">
        <f t="shared" si="74"/>
        <v>18</v>
      </c>
      <c r="N277" s="5" t="str">
        <f t="shared" si="75"/>
        <v>No</v>
      </c>
      <c r="O277" t="str">
        <f>IF(A277=WORKDAY(EOMONTH(A277,0)+1,-1,Bank_Holidays!$A$2:$A$25),"Yes","No")</f>
        <v>No</v>
      </c>
      <c r="P277" t="str">
        <f t="shared" si="76"/>
        <v>No</v>
      </c>
      <c r="Q277" t="str">
        <f t="shared" si="77"/>
        <v>No</v>
      </c>
      <c r="R277" s="5">
        <f t="shared" si="79"/>
        <v>0</v>
      </c>
      <c r="S277">
        <f>MOD(A277-Fortnightly_Model!$M$1,14)</f>
        <v>2</v>
      </c>
      <c r="T277">
        <f>MOD(A277-FourWeekly_Model!$M$1,28)</f>
        <v>2</v>
      </c>
    </row>
    <row r="278" spans="1:20">
      <c r="A278" s="25">
        <f t="shared" si="78"/>
        <v>46511</v>
      </c>
      <c r="B278">
        <f t="shared" si="64"/>
        <v>2027</v>
      </c>
      <c r="C278" s="9">
        <f t="shared" si="65"/>
        <v>5</v>
      </c>
      <c r="D278" s="9" t="str">
        <f t="shared" si="66"/>
        <v>May</v>
      </c>
      <c r="E278" s="9" t="str">
        <f t="shared" si="67"/>
        <v>May-27</v>
      </c>
      <c r="F278" s="9" t="str">
        <f t="shared" si="68"/>
        <v>Q2</v>
      </c>
      <c r="G278" s="9">
        <f t="shared" si="69"/>
        <v>4</v>
      </c>
      <c r="H278" s="9">
        <f t="shared" si="70"/>
        <v>2</v>
      </c>
      <c r="I278" s="9" t="str">
        <f t="shared" si="71"/>
        <v>Tuesday</v>
      </c>
      <c r="J278" s="9" t="str">
        <f t="shared" si="72"/>
        <v>No</v>
      </c>
      <c r="K278" s="5" t="str">
        <f>IF(COUNTIF(Bank_Holidays!A:A,A278)&gt;0,"Yes","No")</f>
        <v>No</v>
      </c>
      <c r="L278" t="str">
        <f t="shared" si="73"/>
        <v>Yes</v>
      </c>
      <c r="M278">
        <f t="shared" si="74"/>
        <v>18</v>
      </c>
      <c r="N278" s="5" t="str">
        <f t="shared" si="75"/>
        <v>No</v>
      </c>
      <c r="O278" t="str">
        <f>IF(A278=WORKDAY(EOMONTH(A278,0)+1,-1,Bank_Holidays!$A$2:$A$25),"Yes","No")</f>
        <v>No</v>
      </c>
      <c r="P278" t="str">
        <f t="shared" si="76"/>
        <v>No</v>
      </c>
      <c r="Q278" t="str">
        <f t="shared" si="77"/>
        <v>No</v>
      </c>
      <c r="R278" s="5">
        <f t="shared" si="79"/>
        <v>1</v>
      </c>
      <c r="S278">
        <f>MOD(A278-Fortnightly_Model!$M$1,14)</f>
        <v>3</v>
      </c>
      <c r="T278">
        <f>MOD(A278-FourWeekly_Model!$M$1,28)</f>
        <v>3</v>
      </c>
    </row>
    <row r="279" spans="1:20">
      <c r="A279" s="25">
        <f t="shared" si="78"/>
        <v>46512</v>
      </c>
      <c r="B279">
        <f t="shared" si="64"/>
        <v>2027</v>
      </c>
      <c r="C279" s="9">
        <f t="shared" si="65"/>
        <v>5</v>
      </c>
      <c r="D279" s="9" t="str">
        <f t="shared" si="66"/>
        <v>May</v>
      </c>
      <c r="E279" s="9" t="str">
        <f t="shared" si="67"/>
        <v>May-27</v>
      </c>
      <c r="F279" s="9" t="str">
        <f t="shared" si="68"/>
        <v>Q2</v>
      </c>
      <c r="G279" s="9">
        <f t="shared" si="69"/>
        <v>5</v>
      </c>
      <c r="H279" s="9">
        <f t="shared" si="70"/>
        <v>3</v>
      </c>
      <c r="I279" s="9" t="str">
        <f t="shared" si="71"/>
        <v>Wednesday</v>
      </c>
      <c r="J279" s="9" t="str">
        <f t="shared" si="72"/>
        <v>No</v>
      </c>
      <c r="K279" s="5" t="str">
        <f>IF(COUNTIF(Bank_Holidays!A:A,A279)&gt;0,"Yes","No")</f>
        <v>No</v>
      </c>
      <c r="L279" t="str">
        <f t="shared" si="73"/>
        <v>Yes</v>
      </c>
      <c r="M279">
        <f t="shared" si="74"/>
        <v>18</v>
      </c>
      <c r="N279" s="5" t="str">
        <f t="shared" si="75"/>
        <v>No</v>
      </c>
      <c r="O279" t="str">
        <f>IF(A279=WORKDAY(EOMONTH(A279,0)+1,-1,Bank_Holidays!$A$2:$A$25),"Yes","No")</f>
        <v>No</v>
      </c>
      <c r="P279" t="str">
        <f t="shared" si="76"/>
        <v>No</v>
      </c>
      <c r="Q279" t="str">
        <f t="shared" si="77"/>
        <v>No</v>
      </c>
      <c r="R279" s="5">
        <f t="shared" si="79"/>
        <v>1</v>
      </c>
      <c r="S279">
        <f>MOD(A279-Fortnightly_Model!$M$1,14)</f>
        <v>4</v>
      </c>
      <c r="T279">
        <f>MOD(A279-FourWeekly_Model!$M$1,28)</f>
        <v>4</v>
      </c>
    </row>
    <row r="280" spans="1:20">
      <c r="A280" s="25">
        <f t="shared" si="78"/>
        <v>46513</v>
      </c>
      <c r="B280">
        <f t="shared" si="64"/>
        <v>2027</v>
      </c>
      <c r="C280" s="9">
        <f t="shared" si="65"/>
        <v>5</v>
      </c>
      <c r="D280" s="9" t="str">
        <f t="shared" si="66"/>
        <v>May</v>
      </c>
      <c r="E280" s="9" t="str">
        <f t="shared" si="67"/>
        <v>May-27</v>
      </c>
      <c r="F280" s="9" t="str">
        <f t="shared" si="68"/>
        <v>Q2</v>
      </c>
      <c r="G280" s="9">
        <f t="shared" si="69"/>
        <v>6</v>
      </c>
      <c r="H280" s="9">
        <f t="shared" si="70"/>
        <v>4</v>
      </c>
      <c r="I280" s="9" t="str">
        <f t="shared" si="71"/>
        <v>Thursday</v>
      </c>
      <c r="J280" s="9" t="str">
        <f t="shared" si="72"/>
        <v>No</v>
      </c>
      <c r="K280" s="5" t="str">
        <f>IF(COUNTIF(Bank_Holidays!A:A,A280)&gt;0,"Yes","No")</f>
        <v>No</v>
      </c>
      <c r="L280" t="str">
        <f t="shared" si="73"/>
        <v>Yes</v>
      </c>
      <c r="M280">
        <f t="shared" si="74"/>
        <v>18</v>
      </c>
      <c r="N280" s="5" t="str">
        <f t="shared" si="75"/>
        <v>No</v>
      </c>
      <c r="O280" t="str">
        <f>IF(A280=WORKDAY(EOMONTH(A280,0)+1,-1,Bank_Holidays!$A$2:$A$25),"Yes","No")</f>
        <v>No</v>
      </c>
      <c r="P280" t="str">
        <f t="shared" si="76"/>
        <v>No</v>
      </c>
      <c r="Q280" t="str">
        <f t="shared" si="77"/>
        <v>No</v>
      </c>
      <c r="R280" s="5">
        <f t="shared" si="79"/>
        <v>1</v>
      </c>
      <c r="S280">
        <f>MOD(A280-Fortnightly_Model!$M$1,14)</f>
        <v>5</v>
      </c>
      <c r="T280">
        <f>MOD(A280-FourWeekly_Model!$M$1,28)</f>
        <v>5</v>
      </c>
    </row>
    <row r="281" spans="1:20">
      <c r="A281" s="25">
        <f t="shared" si="78"/>
        <v>46514</v>
      </c>
      <c r="B281">
        <f t="shared" si="64"/>
        <v>2027</v>
      </c>
      <c r="C281" s="9">
        <f t="shared" si="65"/>
        <v>5</v>
      </c>
      <c r="D281" s="9" t="str">
        <f t="shared" si="66"/>
        <v>May</v>
      </c>
      <c r="E281" s="9" t="str">
        <f t="shared" si="67"/>
        <v>May-27</v>
      </c>
      <c r="F281" s="9" t="str">
        <f t="shared" si="68"/>
        <v>Q2</v>
      </c>
      <c r="G281" s="9">
        <f t="shared" si="69"/>
        <v>7</v>
      </c>
      <c r="H281" s="9">
        <f t="shared" si="70"/>
        <v>5</v>
      </c>
      <c r="I281" s="9" t="str">
        <f t="shared" si="71"/>
        <v>Friday</v>
      </c>
      <c r="J281" s="9" t="str">
        <f t="shared" si="72"/>
        <v>No</v>
      </c>
      <c r="K281" s="5" t="str">
        <f>IF(COUNTIF(Bank_Holidays!A:A,A281)&gt;0,"Yes","No")</f>
        <v>No</v>
      </c>
      <c r="L281" t="str">
        <f t="shared" si="73"/>
        <v>Yes</v>
      </c>
      <c r="M281">
        <f t="shared" si="74"/>
        <v>18</v>
      </c>
      <c r="N281" s="5" t="str">
        <f t="shared" si="75"/>
        <v>No</v>
      </c>
      <c r="O281" t="str">
        <f>IF(A281=WORKDAY(EOMONTH(A281,0)+1,-1,Bank_Holidays!$A$2:$A$25),"Yes","No")</f>
        <v>No</v>
      </c>
      <c r="P281" t="str">
        <f t="shared" si="76"/>
        <v>No</v>
      </c>
      <c r="Q281" t="str">
        <f t="shared" si="77"/>
        <v>No</v>
      </c>
      <c r="R281" s="5">
        <f t="shared" si="79"/>
        <v>3</v>
      </c>
      <c r="S281">
        <f>MOD(A281-Fortnightly_Model!$M$1,14)</f>
        <v>6</v>
      </c>
      <c r="T281">
        <f>MOD(A281-FourWeekly_Model!$M$1,28)</f>
        <v>6</v>
      </c>
    </row>
    <row r="282" spans="1:20">
      <c r="A282" s="25">
        <f t="shared" si="78"/>
        <v>46515</v>
      </c>
      <c r="B282">
        <f t="shared" si="64"/>
        <v>2027</v>
      </c>
      <c r="C282" s="9">
        <f t="shared" si="65"/>
        <v>5</v>
      </c>
      <c r="D282" s="9" t="str">
        <f t="shared" si="66"/>
        <v>May</v>
      </c>
      <c r="E282" s="9" t="str">
        <f t="shared" si="67"/>
        <v>May-27</v>
      </c>
      <c r="F282" s="9" t="str">
        <f t="shared" si="68"/>
        <v>Q2</v>
      </c>
      <c r="G282" s="9">
        <f t="shared" si="69"/>
        <v>8</v>
      </c>
      <c r="H282" s="9">
        <f t="shared" si="70"/>
        <v>6</v>
      </c>
      <c r="I282" s="9" t="str">
        <f t="shared" si="71"/>
        <v>Saturday</v>
      </c>
      <c r="J282" s="9" t="str">
        <f t="shared" si="72"/>
        <v>Yes</v>
      </c>
      <c r="K282" s="5" t="str">
        <f>IF(COUNTIF(Bank_Holidays!A:A,A282)&gt;0,"Yes","No")</f>
        <v>No</v>
      </c>
      <c r="L282" t="str">
        <f t="shared" si="73"/>
        <v>No</v>
      </c>
      <c r="M282">
        <f t="shared" si="74"/>
        <v>18</v>
      </c>
      <c r="N282" s="5" t="str">
        <f t="shared" si="75"/>
        <v>No</v>
      </c>
      <c r="O282" t="str">
        <f>IF(A282=WORKDAY(EOMONTH(A282,0)+1,-1,Bank_Holidays!$A$2:$A$25),"Yes","No")</f>
        <v>No</v>
      </c>
      <c r="P282" t="str">
        <f t="shared" si="76"/>
        <v>No</v>
      </c>
      <c r="Q282" t="str">
        <f t="shared" si="77"/>
        <v>No</v>
      </c>
      <c r="R282" s="5">
        <f t="shared" si="79"/>
        <v>0</v>
      </c>
      <c r="S282">
        <f>MOD(A282-Fortnightly_Model!$M$1,14)</f>
        <v>7</v>
      </c>
      <c r="T282">
        <f>MOD(A282-FourWeekly_Model!$M$1,28)</f>
        <v>7</v>
      </c>
    </row>
    <row r="283" spans="1:20">
      <c r="A283" s="25">
        <f t="shared" si="78"/>
        <v>46516</v>
      </c>
      <c r="B283">
        <f t="shared" si="64"/>
        <v>2027</v>
      </c>
      <c r="C283" s="9">
        <f t="shared" si="65"/>
        <v>5</v>
      </c>
      <c r="D283" s="9" t="str">
        <f t="shared" si="66"/>
        <v>May</v>
      </c>
      <c r="E283" s="9" t="str">
        <f t="shared" si="67"/>
        <v>May-27</v>
      </c>
      <c r="F283" s="9" t="str">
        <f t="shared" si="68"/>
        <v>Q2</v>
      </c>
      <c r="G283" s="9">
        <f t="shared" si="69"/>
        <v>9</v>
      </c>
      <c r="H283" s="9">
        <f t="shared" si="70"/>
        <v>7</v>
      </c>
      <c r="I283" s="9" t="str">
        <f t="shared" si="71"/>
        <v>Sunday</v>
      </c>
      <c r="J283" s="9" t="str">
        <f t="shared" si="72"/>
        <v>Yes</v>
      </c>
      <c r="K283" s="5" t="str">
        <f>IF(COUNTIF(Bank_Holidays!A:A,A283)&gt;0,"Yes","No")</f>
        <v>No</v>
      </c>
      <c r="L283" t="str">
        <f t="shared" si="73"/>
        <v>No</v>
      </c>
      <c r="M283">
        <f t="shared" si="74"/>
        <v>18</v>
      </c>
      <c r="N283" s="5" t="str">
        <f t="shared" si="75"/>
        <v>No</v>
      </c>
      <c r="O283" t="str">
        <f>IF(A283=WORKDAY(EOMONTH(A283,0)+1,-1,Bank_Holidays!$A$2:$A$25),"Yes","No")</f>
        <v>No</v>
      </c>
      <c r="P283" t="str">
        <f t="shared" si="76"/>
        <v>No</v>
      </c>
      <c r="Q283" t="str">
        <f t="shared" si="77"/>
        <v>No</v>
      </c>
      <c r="R283" s="5">
        <f t="shared" si="79"/>
        <v>0</v>
      </c>
      <c r="S283">
        <f>MOD(A283-Fortnightly_Model!$M$1,14)</f>
        <v>8</v>
      </c>
      <c r="T283">
        <f>MOD(A283-FourWeekly_Model!$M$1,28)</f>
        <v>8</v>
      </c>
    </row>
    <row r="284" spans="1:20">
      <c r="A284" s="25">
        <f t="shared" si="78"/>
        <v>46517</v>
      </c>
      <c r="B284">
        <f t="shared" si="64"/>
        <v>2027</v>
      </c>
      <c r="C284" s="9">
        <f t="shared" si="65"/>
        <v>5</v>
      </c>
      <c r="D284" s="9" t="str">
        <f t="shared" si="66"/>
        <v>May</v>
      </c>
      <c r="E284" s="9" t="str">
        <f t="shared" si="67"/>
        <v>May-27</v>
      </c>
      <c r="F284" s="9" t="str">
        <f t="shared" si="68"/>
        <v>Q2</v>
      </c>
      <c r="G284" s="9">
        <f t="shared" si="69"/>
        <v>10</v>
      </c>
      <c r="H284" s="9">
        <f t="shared" si="70"/>
        <v>1</v>
      </c>
      <c r="I284" s="9" t="str">
        <f t="shared" si="71"/>
        <v>Monday</v>
      </c>
      <c r="J284" s="9" t="str">
        <f t="shared" si="72"/>
        <v>No</v>
      </c>
      <c r="K284" s="5" t="str">
        <f>IF(COUNTIF(Bank_Holidays!A:A,A284)&gt;0,"Yes","No")</f>
        <v>No</v>
      </c>
      <c r="L284" t="str">
        <f t="shared" si="73"/>
        <v>Yes</v>
      </c>
      <c r="M284">
        <f t="shared" si="74"/>
        <v>19</v>
      </c>
      <c r="N284" s="5" t="str">
        <f t="shared" si="75"/>
        <v>No</v>
      </c>
      <c r="O284" t="str">
        <f>IF(A284=WORKDAY(EOMONTH(A284,0)+1,-1,Bank_Holidays!$A$2:$A$25),"Yes","No")</f>
        <v>No</v>
      </c>
      <c r="P284" t="str">
        <f t="shared" si="76"/>
        <v>No</v>
      </c>
      <c r="Q284" t="str">
        <f t="shared" si="77"/>
        <v>No</v>
      </c>
      <c r="R284" s="5">
        <f t="shared" si="79"/>
        <v>1</v>
      </c>
      <c r="S284">
        <f>MOD(A284-Fortnightly_Model!$M$1,14)</f>
        <v>9</v>
      </c>
      <c r="T284">
        <f>MOD(A284-FourWeekly_Model!$M$1,28)</f>
        <v>9</v>
      </c>
    </row>
    <row r="285" spans="1:20">
      <c r="A285" s="25">
        <f t="shared" si="78"/>
        <v>46518</v>
      </c>
      <c r="B285">
        <f t="shared" si="64"/>
        <v>2027</v>
      </c>
      <c r="C285" s="9">
        <f t="shared" si="65"/>
        <v>5</v>
      </c>
      <c r="D285" s="9" t="str">
        <f t="shared" si="66"/>
        <v>May</v>
      </c>
      <c r="E285" s="9" t="str">
        <f t="shared" si="67"/>
        <v>May-27</v>
      </c>
      <c r="F285" s="9" t="str">
        <f t="shared" si="68"/>
        <v>Q2</v>
      </c>
      <c r="G285" s="9">
        <f t="shared" si="69"/>
        <v>11</v>
      </c>
      <c r="H285" s="9">
        <f t="shared" si="70"/>
        <v>2</v>
      </c>
      <c r="I285" s="9" t="str">
        <f t="shared" si="71"/>
        <v>Tuesday</v>
      </c>
      <c r="J285" s="9" t="str">
        <f t="shared" si="72"/>
        <v>No</v>
      </c>
      <c r="K285" s="5" t="str">
        <f>IF(COUNTIF(Bank_Holidays!A:A,A285)&gt;0,"Yes","No")</f>
        <v>No</v>
      </c>
      <c r="L285" t="str">
        <f t="shared" si="73"/>
        <v>Yes</v>
      </c>
      <c r="M285">
        <f t="shared" si="74"/>
        <v>19</v>
      </c>
      <c r="N285" s="5" t="str">
        <f t="shared" si="75"/>
        <v>No</v>
      </c>
      <c r="O285" t="str">
        <f>IF(A285=WORKDAY(EOMONTH(A285,0)+1,-1,Bank_Holidays!$A$2:$A$25),"Yes","No")</f>
        <v>No</v>
      </c>
      <c r="P285" t="str">
        <f t="shared" si="76"/>
        <v>No</v>
      </c>
      <c r="Q285" t="str">
        <f t="shared" si="77"/>
        <v>No</v>
      </c>
      <c r="R285" s="5">
        <f t="shared" si="79"/>
        <v>1</v>
      </c>
      <c r="S285">
        <f>MOD(A285-Fortnightly_Model!$M$1,14)</f>
        <v>10</v>
      </c>
      <c r="T285">
        <f>MOD(A285-FourWeekly_Model!$M$1,28)</f>
        <v>10</v>
      </c>
    </row>
    <row r="286" spans="1:20">
      <c r="A286" s="25">
        <f t="shared" si="78"/>
        <v>46519</v>
      </c>
      <c r="B286">
        <f t="shared" si="64"/>
        <v>2027</v>
      </c>
      <c r="C286" s="9">
        <f t="shared" si="65"/>
        <v>5</v>
      </c>
      <c r="D286" s="9" t="str">
        <f t="shared" si="66"/>
        <v>May</v>
      </c>
      <c r="E286" s="9" t="str">
        <f t="shared" si="67"/>
        <v>May-27</v>
      </c>
      <c r="F286" s="9" t="str">
        <f t="shared" si="68"/>
        <v>Q2</v>
      </c>
      <c r="G286" s="9">
        <f t="shared" si="69"/>
        <v>12</v>
      </c>
      <c r="H286" s="9">
        <f t="shared" si="70"/>
        <v>3</v>
      </c>
      <c r="I286" s="9" t="str">
        <f t="shared" si="71"/>
        <v>Wednesday</v>
      </c>
      <c r="J286" s="9" t="str">
        <f t="shared" si="72"/>
        <v>No</v>
      </c>
      <c r="K286" s="5" t="str">
        <f>IF(COUNTIF(Bank_Holidays!A:A,A286)&gt;0,"Yes","No")</f>
        <v>No</v>
      </c>
      <c r="L286" t="str">
        <f t="shared" si="73"/>
        <v>Yes</v>
      </c>
      <c r="M286">
        <f t="shared" si="74"/>
        <v>19</v>
      </c>
      <c r="N286" s="5" t="str">
        <f t="shared" si="75"/>
        <v>No</v>
      </c>
      <c r="O286" t="str">
        <f>IF(A286=WORKDAY(EOMONTH(A286,0)+1,-1,Bank_Holidays!$A$2:$A$25),"Yes","No")</f>
        <v>No</v>
      </c>
      <c r="P286" t="str">
        <f t="shared" si="76"/>
        <v>No</v>
      </c>
      <c r="Q286" t="str">
        <f t="shared" si="77"/>
        <v>No</v>
      </c>
      <c r="R286" s="5">
        <f t="shared" si="79"/>
        <v>1</v>
      </c>
      <c r="S286">
        <f>MOD(A286-Fortnightly_Model!$M$1,14)</f>
        <v>11</v>
      </c>
      <c r="T286">
        <f>MOD(A286-FourWeekly_Model!$M$1,28)</f>
        <v>11</v>
      </c>
    </row>
    <row r="287" spans="1:20">
      <c r="A287" s="25">
        <f t="shared" si="78"/>
        <v>46520</v>
      </c>
      <c r="B287">
        <f t="shared" si="64"/>
        <v>2027</v>
      </c>
      <c r="C287" s="9">
        <f t="shared" si="65"/>
        <v>5</v>
      </c>
      <c r="D287" s="9" t="str">
        <f t="shared" si="66"/>
        <v>May</v>
      </c>
      <c r="E287" s="9" t="str">
        <f t="shared" si="67"/>
        <v>May-27</v>
      </c>
      <c r="F287" s="9" t="str">
        <f t="shared" si="68"/>
        <v>Q2</v>
      </c>
      <c r="G287" s="9">
        <f t="shared" si="69"/>
        <v>13</v>
      </c>
      <c r="H287" s="9">
        <f t="shared" si="70"/>
        <v>4</v>
      </c>
      <c r="I287" s="9" t="str">
        <f t="shared" si="71"/>
        <v>Thursday</v>
      </c>
      <c r="J287" s="9" t="str">
        <f t="shared" si="72"/>
        <v>No</v>
      </c>
      <c r="K287" s="5" t="str">
        <f>IF(COUNTIF(Bank_Holidays!A:A,A287)&gt;0,"Yes","No")</f>
        <v>No</v>
      </c>
      <c r="L287" t="str">
        <f t="shared" si="73"/>
        <v>Yes</v>
      </c>
      <c r="M287">
        <f t="shared" si="74"/>
        <v>19</v>
      </c>
      <c r="N287" s="5" t="str">
        <f t="shared" si="75"/>
        <v>No</v>
      </c>
      <c r="O287" t="str">
        <f>IF(A287=WORKDAY(EOMONTH(A287,0)+1,-1,Bank_Holidays!$A$2:$A$25),"Yes","No")</f>
        <v>No</v>
      </c>
      <c r="P287" t="str">
        <f t="shared" si="76"/>
        <v>No</v>
      </c>
      <c r="Q287" t="str">
        <f t="shared" si="77"/>
        <v>No</v>
      </c>
      <c r="R287" s="5">
        <f t="shared" si="79"/>
        <v>1</v>
      </c>
      <c r="S287">
        <f>MOD(A287-Fortnightly_Model!$M$1,14)</f>
        <v>12</v>
      </c>
      <c r="T287">
        <f>MOD(A287-FourWeekly_Model!$M$1,28)</f>
        <v>12</v>
      </c>
    </row>
    <row r="288" spans="1:20">
      <c r="A288" s="25">
        <f t="shared" si="78"/>
        <v>46521</v>
      </c>
      <c r="B288">
        <f t="shared" si="64"/>
        <v>2027</v>
      </c>
      <c r="C288" s="9">
        <f t="shared" si="65"/>
        <v>5</v>
      </c>
      <c r="D288" s="9" t="str">
        <f t="shared" si="66"/>
        <v>May</v>
      </c>
      <c r="E288" s="9" t="str">
        <f t="shared" si="67"/>
        <v>May-27</v>
      </c>
      <c r="F288" s="9" t="str">
        <f t="shared" si="68"/>
        <v>Q2</v>
      </c>
      <c r="G288" s="9">
        <f t="shared" si="69"/>
        <v>14</v>
      </c>
      <c r="H288" s="9">
        <f t="shared" si="70"/>
        <v>5</v>
      </c>
      <c r="I288" s="9" t="str">
        <f t="shared" si="71"/>
        <v>Friday</v>
      </c>
      <c r="J288" s="9" t="str">
        <f t="shared" si="72"/>
        <v>No</v>
      </c>
      <c r="K288" s="5" t="str">
        <f>IF(COUNTIF(Bank_Holidays!A:A,A288)&gt;0,"Yes","No")</f>
        <v>No</v>
      </c>
      <c r="L288" t="str">
        <f t="shared" si="73"/>
        <v>Yes</v>
      </c>
      <c r="M288">
        <f t="shared" si="74"/>
        <v>19</v>
      </c>
      <c r="N288" s="5" t="str">
        <f t="shared" si="75"/>
        <v>No</v>
      </c>
      <c r="O288" t="str">
        <f>IF(A288=WORKDAY(EOMONTH(A288,0)+1,-1,Bank_Holidays!$A$2:$A$25),"Yes","No")</f>
        <v>No</v>
      </c>
      <c r="P288" t="str">
        <f t="shared" si="76"/>
        <v>No</v>
      </c>
      <c r="Q288" t="str">
        <f t="shared" si="77"/>
        <v>No</v>
      </c>
      <c r="R288" s="5">
        <f t="shared" si="79"/>
        <v>3</v>
      </c>
      <c r="S288">
        <f>MOD(A288-Fortnightly_Model!$M$1,14)</f>
        <v>13</v>
      </c>
      <c r="T288">
        <f>MOD(A288-FourWeekly_Model!$M$1,28)</f>
        <v>13</v>
      </c>
    </row>
    <row r="289" spans="1:20">
      <c r="A289" s="25">
        <f t="shared" si="78"/>
        <v>46522</v>
      </c>
      <c r="B289">
        <f t="shared" si="64"/>
        <v>2027</v>
      </c>
      <c r="C289" s="9">
        <f t="shared" si="65"/>
        <v>5</v>
      </c>
      <c r="D289" s="9" t="str">
        <f t="shared" si="66"/>
        <v>May</v>
      </c>
      <c r="E289" s="9" t="str">
        <f t="shared" si="67"/>
        <v>May-27</v>
      </c>
      <c r="F289" s="9" t="str">
        <f t="shared" si="68"/>
        <v>Q2</v>
      </c>
      <c r="G289" s="9">
        <f t="shared" si="69"/>
        <v>15</v>
      </c>
      <c r="H289" s="9">
        <f t="shared" si="70"/>
        <v>6</v>
      </c>
      <c r="I289" s="9" t="str">
        <f t="shared" si="71"/>
        <v>Saturday</v>
      </c>
      <c r="J289" s="9" t="str">
        <f t="shared" si="72"/>
        <v>Yes</v>
      </c>
      <c r="K289" s="5" t="str">
        <f>IF(COUNTIF(Bank_Holidays!A:A,A289)&gt;0,"Yes","No")</f>
        <v>No</v>
      </c>
      <c r="L289" t="str">
        <f t="shared" si="73"/>
        <v>No</v>
      </c>
      <c r="M289">
        <f t="shared" si="74"/>
        <v>19</v>
      </c>
      <c r="N289" s="5" t="str">
        <f t="shared" si="75"/>
        <v>No</v>
      </c>
      <c r="O289" t="str">
        <f>IF(A289=WORKDAY(EOMONTH(A289,0)+1,-1,Bank_Holidays!$A$2:$A$25),"Yes","No")</f>
        <v>No</v>
      </c>
      <c r="P289" t="str">
        <f t="shared" si="76"/>
        <v>No</v>
      </c>
      <c r="Q289" t="str">
        <f t="shared" si="77"/>
        <v>No</v>
      </c>
      <c r="R289" s="5">
        <f t="shared" si="79"/>
        <v>0</v>
      </c>
      <c r="S289">
        <f>MOD(A289-Fortnightly_Model!$M$1,14)</f>
        <v>0</v>
      </c>
      <c r="T289">
        <f>MOD(A289-FourWeekly_Model!$M$1,28)</f>
        <v>14</v>
      </c>
    </row>
    <row r="290" spans="1:20">
      <c r="A290" s="25">
        <f t="shared" si="78"/>
        <v>46523</v>
      </c>
      <c r="B290">
        <f t="shared" si="64"/>
        <v>2027</v>
      </c>
      <c r="C290" s="9">
        <f t="shared" si="65"/>
        <v>5</v>
      </c>
      <c r="D290" s="9" t="str">
        <f t="shared" si="66"/>
        <v>May</v>
      </c>
      <c r="E290" s="9" t="str">
        <f t="shared" si="67"/>
        <v>May-27</v>
      </c>
      <c r="F290" s="9" t="str">
        <f t="shared" si="68"/>
        <v>Q2</v>
      </c>
      <c r="G290" s="9">
        <f t="shared" si="69"/>
        <v>16</v>
      </c>
      <c r="H290" s="9">
        <f t="shared" si="70"/>
        <v>7</v>
      </c>
      <c r="I290" s="9" t="str">
        <f t="shared" si="71"/>
        <v>Sunday</v>
      </c>
      <c r="J290" s="9" t="str">
        <f t="shared" si="72"/>
        <v>Yes</v>
      </c>
      <c r="K290" s="5" t="str">
        <f>IF(COUNTIF(Bank_Holidays!A:A,A290)&gt;0,"Yes","No")</f>
        <v>No</v>
      </c>
      <c r="L290" t="str">
        <f t="shared" si="73"/>
        <v>No</v>
      </c>
      <c r="M290">
        <f t="shared" si="74"/>
        <v>19</v>
      </c>
      <c r="N290" s="5" t="str">
        <f t="shared" si="75"/>
        <v>No</v>
      </c>
      <c r="O290" t="str">
        <f>IF(A290=WORKDAY(EOMONTH(A290,0)+1,-1,Bank_Holidays!$A$2:$A$25),"Yes","No")</f>
        <v>No</v>
      </c>
      <c r="P290" t="str">
        <f t="shared" si="76"/>
        <v>No</v>
      </c>
      <c r="Q290" t="str">
        <f t="shared" si="77"/>
        <v>No</v>
      </c>
      <c r="R290" s="5">
        <f t="shared" si="79"/>
        <v>0</v>
      </c>
      <c r="S290">
        <f>MOD(A290-Fortnightly_Model!$M$1,14)</f>
        <v>1</v>
      </c>
      <c r="T290">
        <f>MOD(A290-FourWeekly_Model!$M$1,28)</f>
        <v>15</v>
      </c>
    </row>
    <row r="291" spans="1:20">
      <c r="A291" s="25">
        <f t="shared" si="78"/>
        <v>46524</v>
      </c>
      <c r="B291">
        <f t="shared" si="64"/>
        <v>2027</v>
      </c>
      <c r="C291" s="9">
        <f t="shared" si="65"/>
        <v>5</v>
      </c>
      <c r="D291" s="9" t="str">
        <f t="shared" si="66"/>
        <v>May</v>
      </c>
      <c r="E291" s="9" t="str">
        <f t="shared" si="67"/>
        <v>May-27</v>
      </c>
      <c r="F291" s="9" t="str">
        <f t="shared" si="68"/>
        <v>Q2</v>
      </c>
      <c r="G291" s="9">
        <f t="shared" si="69"/>
        <v>17</v>
      </c>
      <c r="H291" s="9">
        <f t="shared" si="70"/>
        <v>1</v>
      </c>
      <c r="I291" s="9" t="str">
        <f t="shared" si="71"/>
        <v>Monday</v>
      </c>
      <c r="J291" s="9" t="str">
        <f t="shared" si="72"/>
        <v>No</v>
      </c>
      <c r="K291" s="5" t="str">
        <f>IF(COUNTIF(Bank_Holidays!A:A,A291)&gt;0,"Yes","No")</f>
        <v>No</v>
      </c>
      <c r="L291" t="str">
        <f t="shared" si="73"/>
        <v>Yes</v>
      </c>
      <c r="M291">
        <f t="shared" si="74"/>
        <v>20</v>
      </c>
      <c r="N291" s="5" t="str">
        <f t="shared" si="75"/>
        <v>No</v>
      </c>
      <c r="O291" t="str">
        <f>IF(A291=WORKDAY(EOMONTH(A291,0)+1,-1,Bank_Holidays!$A$2:$A$25),"Yes","No")</f>
        <v>No</v>
      </c>
      <c r="P291" t="str">
        <f t="shared" si="76"/>
        <v>No</v>
      </c>
      <c r="Q291" t="str">
        <f t="shared" si="77"/>
        <v>No</v>
      </c>
      <c r="R291" s="5">
        <f t="shared" si="79"/>
        <v>1</v>
      </c>
      <c r="S291">
        <f>MOD(A291-Fortnightly_Model!$M$1,14)</f>
        <v>2</v>
      </c>
      <c r="T291">
        <f>MOD(A291-FourWeekly_Model!$M$1,28)</f>
        <v>16</v>
      </c>
    </row>
    <row r="292" spans="1:20">
      <c r="A292" s="25">
        <f t="shared" si="78"/>
        <v>46525</v>
      </c>
      <c r="B292">
        <f t="shared" si="64"/>
        <v>2027</v>
      </c>
      <c r="C292" s="9">
        <f t="shared" si="65"/>
        <v>5</v>
      </c>
      <c r="D292" s="9" t="str">
        <f t="shared" si="66"/>
        <v>May</v>
      </c>
      <c r="E292" s="9" t="str">
        <f t="shared" si="67"/>
        <v>May-27</v>
      </c>
      <c r="F292" s="9" t="str">
        <f t="shared" si="68"/>
        <v>Q2</v>
      </c>
      <c r="G292" s="9">
        <f t="shared" si="69"/>
        <v>18</v>
      </c>
      <c r="H292" s="9">
        <f t="shared" si="70"/>
        <v>2</v>
      </c>
      <c r="I292" s="9" t="str">
        <f t="shared" si="71"/>
        <v>Tuesday</v>
      </c>
      <c r="J292" s="9" t="str">
        <f t="shared" si="72"/>
        <v>No</v>
      </c>
      <c r="K292" s="5" t="str">
        <f>IF(COUNTIF(Bank_Holidays!A:A,A292)&gt;0,"Yes","No")</f>
        <v>No</v>
      </c>
      <c r="L292" t="str">
        <f t="shared" si="73"/>
        <v>Yes</v>
      </c>
      <c r="M292">
        <f t="shared" si="74"/>
        <v>20</v>
      </c>
      <c r="N292" s="5" t="str">
        <f t="shared" si="75"/>
        <v>No</v>
      </c>
      <c r="O292" t="str">
        <f>IF(A292=WORKDAY(EOMONTH(A292,0)+1,-1,Bank_Holidays!$A$2:$A$25),"Yes","No")</f>
        <v>No</v>
      </c>
      <c r="P292" t="str">
        <f t="shared" si="76"/>
        <v>No</v>
      </c>
      <c r="Q292" t="str">
        <f t="shared" si="77"/>
        <v>No</v>
      </c>
      <c r="R292" s="5">
        <f t="shared" si="79"/>
        <v>1</v>
      </c>
      <c r="S292">
        <f>MOD(A292-Fortnightly_Model!$M$1,14)</f>
        <v>3</v>
      </c>
      <c r="T292">
        <f>MOD(A292-FourWeekly_Model!$M$1,28)</f>
        <v>17</v>
      </c>
    </row>
    <row r="293" spans="1:20">
      <c r="A293" s="25">
        <f t="shared" si="78"/>
        <v>46526</v>
      </c>
      <c r="B293">
        <f t="shared" si="64"/>
        <v>2027</v>
      </c>
      <c r="C293" s="9">
        <f t="shared" si="65"/>
        <v>5</v>
      </c>
      <c r="D293" s="9" t="str">
        <f t="shared" si="66"/>
        <v>May</v>
      </c>
      <c r="E293" s="9" t="str">
        <f t="shared" si="67"/>
        <v>May-27</v>
      </c>
      <c r="F293" s="9" t="str">
        <f t="shared" si="68"/>
        <v>Q2</v>
      </c>
      <c r="G293" s="9">
        <f t="shared" si="69"/>
        <v>19</v>
      </c>
      <c r="H293" s="9">
        <f t="shared" si="70"/>
        <v>3</v>
      </c>
      <c r="I293" s="9" t="str">
        <f t="shared" si="71"/>
        <v>Wednesday</v>
      </c>
      <c r="J293" s="9" t="str">
        <f t="shared" si="72"/>
        <v>No</v>
      </c>
      <c r="K293" s="5" t="str">
        <f>IF(COUNTIF(Bank_Holidays!A:A,A293)&gt;0,"Yes","No")</f>
        <v>No</v>
      </c>
      <c r="L293" t="str">
        <f t="shared" si="73"/>
        <v>Yes</v>
      </c>
      <c r="M293">
        <f t="shared" si="74"/>
        <v>20</v>
      </c>
      <c r="N293" s="5" t="str">
        <f t="shared" si="75"/>
        <v>No</v>
      </c>
      <c r="O293" t="str">
        <f>IF(A293=WORKDAY(EOMONTH(A293,0)+1,-1,Bank_Holidays!$A$2:$A$25),"Yes","No")</f>
        <v>No</v>
      </c>
      <c r="P293" t="str">
        <f t="shared" si="76"/>
        <v>No</v>
      </c>
      <c r="Q293" t="str">
        <f t="shared" si="77"/>
        <v>No</v>
      </c>
      <c r="R293" s="5">
        <f t="shared" si="79"/>
        <v>1</v>
      </c>
      <c r="S293">
        <f>MOD(A293-Fortnightly_Model!$M$1,14)</f>
        <v>4</v>
      </c>
      <c r="T293">
        <f>MOD(A293-FourWeekly_Model!$M$1,28)</f>
        <v>18</v>
      </c>
    </row>
    <row r="294" spans="1:20">
      <c r="A294" s="25">
        <f t="shared" si="78"/>
        <v>46527</v>
      </c>
      <c r="B294">
        <f t="shared" si="64"/>
        <v>2027</v>
      </c>
      <c r="C294" s="9">
        <f t="shared" si="65"/>
        <v>5</v>
      </c>
      <c r="D294" s="9" t="str">
        <f t="shared" si="66"/>
        <v>May</v>
      </c>
      <c r="E294" s="9" t="str">
        <f t="shared" si="67"/>
        <v>May-27</v>
      </c>
      <c r="F294" s="9" t="str">
        <f t="shared" si="68"/>
        <v>Q2</v>
      </c>
      <c r="G294" s="9">
        <f t="shared" si="69"/>
        <v>20</v>
      </c>
      <c r="H294" s="9">
        <f t="shared" si="70"/>
        <v>4</v>
      </c>
      <c r="I294" s="9" t="str">
        <f t="shared" si="71"/>
        <v>Thursday</v>
      </c>
      <c r="J294" s="9" t="str">
        <f t="shared" si="72"/>
        <v>No</v>
      </c>
      <c r="K294" s="5" t="str">
        <f>IF(COUNTIF(Bank_Holidays!A:A,A294)&gt;0,"Yes","No")</f>
        <v>No</v>
      </c>
      <c r="L294" t="str">
        <f t="shared" si="73"/>
        <v>Yes</v>
      </c>
      <c r="M294">
        <f t="shared" si="74"/>
        <v>20</v>
      </c>
      <c r="N294" s="5" t="str">
        <f t="shared" si="75"/>
        <v>No</v>
      </c>
      <c r="O294" t="str">
        <f>IF(A294=WORKDAY(EOMONTH(A294,0)+1,-1,Bank_Holidays!$A$2:$A$25),"Yes","No")</f>
        <v>No</v>
      </c>
      <c r="P294" t="str">
        <f t="shared" si="76"/>
        <v>No</v>
      </c>
      <c r="Q294" t="str">
        <f t="shared" si="77"/>
        <v>No</v>
      </c>
      <c r="R294" s="5">
        <f t="shared" si="79"/>
        <v>1</v>
      </c>
      <c r="S294">
        <f>MOD(A294-Fortnightly_Model!$M$1,14)</f>
        <v>5</v>
      </c>
      <c r="T294">
        <f>MOD(A294-FourWeekly_Model!$M$1,28)</f>
        <v>19</v>
      </c>
    </row>
    <row r="295" spans="1:20">
      <c r="A295" s="25">
        <f t="shared" si="78"/>
        <v>46528</v>
      </c>
      <c r="B295">
        <f t="shared" si="64"/>
        <v>2027</v>
      </c>
      <c r="C295" s="9">
        <f t="shared" si="65"/>
        <v>5</v>
      </c>
      <c r="D295" s="9" t="str">
        <f t="shared" si="66"/>
        <v>May</v>
      </c>
      <c r="E295" s="9" t="str">
        <f t="shared" si="67"/>
        <v>May-27</v>
      </c>
      <c r="F295" s="9" t="str">
        <f t="shared" si="68"/>
        <v>Q2</v>
      </c>
      <c r="G295" s="9">
        <f t="shared" si="69"/>
        <v>21</v>
      </c>
      <c r="H295" s="9">
        <f t="shared" si="70"/>
        <v>5</v>
      </c>
      <c r="I295" s="9" t="str">
        <f t="shared" si="71"/>
        <v>Friday</v>
      </c>
      <c r="J295" s="9" t="str">
        <f t="shared" si="72"/>
        <v>No</v>
      </c>
      <c r="K295" s="5" t="str">
        <f>IF(COUNTIF(Bank_Holidays!A:A,A295)&gt;0,"Yes","No")</f>
        <v>No</v>
      </c>
      <c r="L295" t="str">
        <f t="shared" si="73"/>
        <v>Yes</v>
      </c>
      <c r="M295">
        <f t="shared" si="74"/>
        <v>20</v>
      </c>
      <c r="N295" s="5" t="str">
        <f t="shared" si="75"/>
        <v>No</v>
      </c>
      <c r="O295" t="str">
        <f>IF(A295=WORKDAY(EOMONTH(A295,0)+1,-1,Bank_Holidays!$A$2:$A$25),"Yes","No")</f>
        <v>No</v>
      </c>
      <c r="P295" t="str">
        <f t="shared" si="76"/>
        <v>No</v>
      </c>
      <c r="Q295" t="str">
        <f t="shared" si="77"/>
        <v>No</v>
      </c>
      <c r="R295" s="5">
        <f t="shared" si="79"/>
        <v>3</v>
      </c>
      <c r="S295">
        <f>MOD(A295-Fortnightly_Model!$M$1,14)</f>
        <v>6</v>
      </c>
      <c r="T295">
        <f>MOD(A295-FourWeekly_Model!$M$1,28)</f>
        <v>20</v>
      </c>
    </row>
    <row r="296" spans="1:20">
      <c r="A296" s="25">
        <f t="shared" si="78"/>
        <v>46529</v>
      </c>
      <c r="B296">
        <f t="shared" si="64"/>
        <v>2027</v>
      </c>
      <c r="C296" s="9">
        <f t="shared" si="65"/>
        <v>5</v>
      </c>
      <c r="D296" s="9" t="str">
        <f t="shared" si="66"/>
        <v>May</v>
      </c>
      <c r="E296" s="9" t="str">
        <f t="shared" si="67"/>
        <v>May-27</v>
      </c>
      <c r="F296" s="9" t="str">
        <f t="shared" si="68"/>
        <v>Q2</v>
      </c>
      <c r="G296" s="9">
        <f t="shared" si="69"/>
        <v>22</v>
      </c>
      <c r="H296" s="9">
        <f t="shared" si="70"/>
        <v>6</v>
      </c>
      <c r="I296" s="9" t="str">
        <f t="shared" si="71"/>
        <v>Saturday</v>
      </c>
      <c r="J296" s="9" t="str">
        <f t="shared" si="72"/>
        <v>Yes</v>
      </c>
      <c r="K296" s="5" t="str">
        <f>IF(COUNTIF(Bank_Holidays!A:A,A296)&gt;0,"Yes","No")</f>
        <v>No</v>
      </c>
      <c r="L296" t="str">
        <f t="shared" si="73"/>
        <v>No</v>
      </c>
      <c r="M296">
        <f t="shared" si="74"/>
        <v>20</v>
      </c>
      <c r="N296" s="5" t="str">
        <f t="shared" si="75"/>
        <v>No</v>
      </c>
      <c r="O296" t="str">
        <f>IF(A296=WORKDAY(EOMONTH(A296,0)+1,-1,Bank_Holidays!$A$2:$A$25),"Yes","No")</f>
        <v>No</v>
      </c>
      <c r="P296" t="str">
        <f t="shared" si="76"/>
        <v>No</v>
      </c>
      <c r="Q296" t="str">
        <f t="shared" si="77"/>
        <v>No</v>
      </c>
      <c r="R296" s="5">
        <f t="shared" si="79"/>
        <v>0</v>
      </c>
      <c r="S296">
        <f>MOD(A296-Fortnightly_Model!$M$1,14)</f>
        <v>7</v>
      </c>
      <c r="T296">
        <f>MOD(A296-FourWeekly_Model!$M$1,28)</f>
        <v>21</v>
      </c>
    </row>
    <row r="297" spans="1:20">
      <c r="A297" s="25">
        <f t="shared" si="78"/>
        <v>46530</v>
      </c>
      <c r="B297">
        <f t="shared" si="64"/>
        <v>2027</v>
      </c>
      <c r="C297" s="9">
        <f t="shared" si="65"/>
        <v>5</v>
      </c>
      <c r="D297" s="9" t="str">
        <f t="shared" si="66"/>
        <v>May</v>
      </c>
      <c r="E297" s="9" t="str">
        <f t="shared" si="67"/>
        <v>May-27</v>
      </c>
      <c r="F297" s="9" t="str">
        <f t="shared" si="68"/>
        <v>Q2</v>
      </c>
      <c r="G297" s="9">
        <f t="shared" si="69"/>
        <v>23</v>
      </c>
      <c r="H297" s="9">
        <f t="shared" si="70"/>
        <v>7</v>
      </c>
      <c r="I297" s="9" t="str">
        <f t="shared" si="71"/>
        <v>Sunday</v>
      </c>
      <c r="J297" s="9" t="str">
        <f t="shared" si="72"/>
        <v>Yes</v>
      </c>
      <c r="K297" s="5" t="str">
        <f>IF(COUNTIF(Bank_Holidays!A:A,A297)&gt;0,"Yes","No")</f>
        <v>No</v>
      </c>
      <c r="L297" t="str">
        <f t="shared" si="73"/>
        <v>No</v>
      </c>
      <c r="M297">
        <f t="shared" si="74"/>
        <v>20</v>
      </c>
      <c r="N297" s="5" t="str">
        <f t="shared" si="75"/>
        <v>No</v>
      </c>
      <c r="O297" t="str">
        <f>IF(A297=WORKDAY(EOMONTH(A297,0)+1,-1,Bank_Holidays!$A$2:$A$25),"Yes","No")</f>
        <v>No</v>
      </c>
      <c r="P297" t="str">
        <f t="shared" si="76"/>
        <v>No</v>
      </c>
      <c r="Q297" t="str">
        <f t="shared" si="77"/>
        <v>No</v>
      </c>
      <c r="R297" s="5">
        <f t="shared" si="79"/>
        <v>0</v>
      </c>
      <c r="S297">
        <f>MOD(A297-Fortnightly_Model!$M$1,14)</f>
        <v>8</v>
      </c>
      <c r="T297">
        <f>MOD(A297-FourWeekly_Model!$M$1,28)</f>
        <v>22</v>
      </c>
    </row>
    <row r="298" spans="1:20">
      <c r="A298" s="25">
        <f t="shared" si="78"/>
        <v>46531</v>
      </c>
      <c r="B298">
        <f t="shared" si="64"/>
        <v>2027</v>
      </c>
      <c r="C298" s="9">
        <f t="shared" si="65"/>
        <v>5</v>
      </c>
      <c r="D298" s="9" t="str">
        <f t="shared" si="66"/>
        <v>May</v>
      </c>
      <c r="E298" s="9" t="str">
        <f t="shared" si="67"/>
        <v>May-27</v>
      </c>
      <c r="F298" s="9" t="str">
        <f t="shared" si="68"/>
        <v>Q2</v>
      </c>
      <c r="G298" s="9">
        <f t="shared" si="69"/>
        <v>24</v>
      </c>
      <c r="H298" s="9">
        <f t="shared" si="70"/>
        <v>1</v>
      </c>
      <c r="I298" s="9" t="str">
        <f t="shared" si="71"/>
        <v>Monday</v>
      </c>
      <c r="J298" s="9" t="str">
        <f t="shared" si="72"/>
        <v>No</v>
      </c>
      <c r="K298" s="5" t="str">
        <f>IF(COUNTIF(Bank_Holidays!A:A,A298)&gt;0,"Yes","No")</f>
        <v>No</v>
      </c>
      <c r="L298" t="str">
        <f t="shared" si="73"/>
        <v>Yes</v>
      </c>
      <c r="M298">
        <f t="shared" si="74"/>
        <v>21</v>
      </c>
      <c r="N298" s="5" t="str">
        <f t="shared" si="75"/>
        <v>No</v>
      </c>
      <c r="O298" t="str">
        <f>IF(A298=WORKDAY(EOMONTH(A298,0)+1,-1,Bank_Holidays!$A$2:$A$25),"Yes","No")</f>
        <v>No</v>
      </c>
      <c r="P298" t="str">
        <f t="shared" si="76"/>
        <v>No</v>
      </c>
      <c r="Q298" t="str">
        <f t="shared" si="77"/>
        <v>No</v>
      </c>
      <c r="R298" s="5">
        <f t="shared" si="79"/>
        <v>1</v>
      </c>
      <c r="S298">
        <f>MOD(A298-Fortnightly_Model!$M$1,14)</f>
        <v>9</v>
      </c>
      <c r="T298">
        <f>MOD(A298-FourWeekly_Model!$M$1,28)</f>
        <v>23</v>
      </c>
    </row>
    <row r="299" spans="1:20">
      <c r="A299" s="25">
        <f t="shared" si="78"/>
        <v>46532</v>
      </c>
      <c r="B299">
        <f t="shared" si="64"/>
        <v>2027</v>
      </c>
      <c r="C299" s="9">
        <f t="shared" si="65"/>
        <v>5</v>
      </c>
      <c r="D299" s="9" t="str">
        <f t="shared" si="66"/>
        <v>May</v>
      </c>
      <c r="E299" s="9" t="str">
        <f t="shared" si="67"/>
        <v>May-27</v>
      </c>
      <c r="F299" s="9" t="str">
        <f t="shared" si="68"/>
        <v>Q2</v>
      </c>
      <c r="G299" s="9">
        <f t="shared" si="69"/>
        <v>25</v>
      </c>
      <c r="H299" s="9">
        <f t="shared" si="70"/>
        <v>2</v>
      </c>
      <c r="I299" s="9" t="str">
        <f t="shared" si="71"/>
        <v>Tuesday</v>
      </c>
      <c r="J299" s="9" t="str">
        <f t="shared" si="72"/>
        <v>No</v>
      </c>
      <c r="K299" s="5" t="str">
        <f>IF(COUNTIF(Bank_Holidays!A:A,A299)&gt;0,"Yes","No")</f>
        <v>No</v>
      </c>
      <c r="L299" t="str">
        <f t="shared" si="73"/>
        <v>Yes</v>
      </c>
      <c r="M299">
        <f t="shared" si="74"/>
        <v>21</v>
      </c>
      <c r="N299" s="5" t="str">
        <f t="shared" si="75"/>
        <v>No</v>
      </c>
      <c r="O299" t="str">
        <f>IF(A299=WORKDAY(EOMONTH(A299,0)+1,-1,Bank_Holidays!$A$2:$A$25),"Yes","No")</f>
        <v>No</v>
      </c>
      <c r="P299" t="str">
        <f t="shared" si="76"/>
        <v>No</v>
      </c>
      <c r="Q299" t="str">
        <f t="shared" si="77"/>
        <v>No</v>
      </c>
      <c r="R299" s="5">
        <f t="shared" si="79"/>
        <v>1</v>
      </c>
      <c r="S299">
        <f>MOD(A299-Fortnightly_Model!$M$1,14)</f>
        <v>10</v>
      </c>
      <c r="T299">
        <f>MOD(A299-FourWeekly_Model!$M$1,28)</f>
        <v>24</v>
      </c>
    </row>
    <row r="300" spans="1:20">
      <c r="A300" s="25">
        <f t="shared" si="78"/>
        <v>46533</v>
      </c>
      <c r="B300">
        <f t="shared" si="64"/>
        <v>2027</v>
      </c>
      <c r="C300" s="9">
        <f t="shared" si="65"/>
        <v>5</v>
      </c>
      <c r="D300" s="9" t="str">
        <f t="shared" si="66"/>
        <v>May</v>
      </c>
      <c r="E300" s="9" t="str">
        <f t="shared" si="67"/>
        <v>May-27</v>
      </c>
      <c r="F300" s="9" t="str">
        <f t="shared" si="68"/>
        <v>Q2</v>
      </c>
      <c r="G300" s="9">
        <f t="shared" si="69"/>
        <v>26</v>
      </c>
      <c r="H300" s="9">
        <f t="shared" si="70"/>
        <v>3</v>
      </c>
      <c r="I300" s="9" t="str">
        <f t="shared" si="71"/>
        <v>Wednesday</v>
      </c>
      <c r="J300" s="9" t="str">
        <f t="shared" si="72"/>
        <v>No</v>
      </c>
      <c r="K300" s="5" t="str">
        <f>IF(COUNTIF(Bank_Holidays!A:A,A300)&gt;0,"Yes","No")</f>
        <v>No</v>
      </c>
      <c r="L300" t="str">
        <f t="shared" si="73"/>
        <v>Yes</v>
      </c>
      <c r="M300">
        <f t="shared" si="74"/>
        <v>21</v>
      </c>
      <c r="N300" s="5" t="str">
        <f t="shared" si="75"/>
        <v>No</v>
      </c>
      <c r="O300" t="str">
        <f>IF(A300=WORKDAY(EOMONTH(A300,0)+1,-1,Bank_Holidays!$A$2:$A$25),"Yes","No")</f>
        <v>No</v>
      </c>
      <c r="P300" t="str">
        <f t="shared" si="76"/>
        <v>No</v>
      </c>
      <c r="Q300" t="str">
        <f t="shared" si="77"/>
        <v>No</v>
      </c>
      <c r="R300" s="5">
        <f t="shared" si="79"/>
        <v>1</v>
      </c>
      <c r="S300">
        <f>MOD(A300-Fortnightly_Model!$M$1,14)</f>
        <v>11</v>
      </c>
      <c r="T300">
        <f>MOD(A300-FourWeekly_Model!$M$1,28)</f>
        <v>25</v>
      </c>
    </row>
    <row r="301" spans="1:20">
      <c r="A301" s="25">
        <f t="shared" si="78"/>
        <v>46534</v>
      </c>
      <c r="B301">
        <f t="shared" si="64"/>
        <v>2027</v>
      </c>
      <c r="C301" s="9">
        <f t="shared" si="65"/>
        <v>5</v>
      </c>
      <c r="D301" s="9" t="str">
        <f t="shared" si="66"/>
        <v>May</v>
      </c>
      <c r="E301" s="9" t="str">
        <f t="shared" si="67"/>
        <v>May-27</v>
      </c>
      <c r="F301" s="9" t="str">
        <f t="shared" si="68"/>
        <v>Q2</v>
      </c>
      <c r="G301" s="9">
        <f t="shared" si="69"/>
        <v>27</v>
      </c>
      <c r="H301" s="9">
        <f t="shared" si="70"/>
        <v>4</v>
      </c>
      <c r="I301" s="9" t="str">
        <f t="shared" si="71"/>
        <v>Thursday</v>
      </c>
      <c r="J301" s="9" t="str">
        <f t="shared" si="72"/>
        <v>No</v>
      </c>
      <c r="K301" s="5" t="str">
        <f>IF(COUNTIF(Bank_Holidays!A:A,A301)&gt;0,"Yes","No")</f>
        <v>No</v>
      </c>
      <c r="L301" t="str">
        <f t="shared" si="73"/>
        <v>Yes</v>
      </c>
      <c r="M301">
        <f t="shared" si="74"/>
        <v>21</v>
      </c>
      <c r="N301" s="5" t="str">
        <f t="shared" si="75"/>
        <v>No</v>
      </c>
      <c r="O301" t="str">
        <f>IF(A301=WORKDAY(EOMONTH(A301,0)+1,-1,Bank_Holidays!$A$2:$A$25),"Yes","No")</f>
        <v>No</v>
      </c>
      <c r="P301" t="str">
        <f t="shared" si="76"/>
        <v>No</v>
      </c>
      <c r="Q301" t="str">
        <f t="shared" si="77"/>
        <v>Yes</v>
      </c>
      <c r="R301" s="5">
        <f t="shared" si="79"/>
        <v>1</v>
      </c>
      <c r="S301">
        <f>MOD(A301-Fortnightly_Model!$M$1,14)</f>
        <v>12</v>
      </c>
      <c r="T301">
        <f>MOD(A301-FourWeekly_Model!$M$1,28)</f>
        <v>26</v>
      </c>
    </row>
    <row r="302" spans="1:20">
      <c r="A302" s="25">
        <f t="shared" si="78"/>
        <v>46535</v>
      </c>
      <c r="B302">
        <f t="shared" si="64"/>
        <v>2027</v>
      </c>
      <c r="C302" s="9">
        <f t="shared" si="65"/>
        <v>5</v>
      </c>
      <c r="D302" s="9" t="str">
        <f t="shared" si="66"/>
        <v>May</v>
      </c>
      <c r="E302" s="9" t="str">
        <f t="shared" si="67"/>
        <v>May-27</v>
      </c>
      <c r="F302" s="9" t="str">
        <f t="shared" si="68"/>
        <v>Q2</v>
      </c>
      <c r="G302" s="9">
        <f t="shared" si="69"/>
        <v>28</v>
      </c>
      <c r="H302" s="9">
        <f t="shared" si="70"/>
        <v>5</v>
      </c>
      <c r="I302" s="9" t="str">
        <f t="shared" si="71"/>
        <v>Friday</v>
      </c>
      <c r="J302" s="9" t="str">
        <f t="shared" si="72"/>
        <v>No</v>
      </c>
      <c r="K302" s="5" t="str">
        <f>IF(COUNTIF(Bank_Holidays!A:A,A302)&gt;0,"Yes","No")</f>
        <v>No</v>
      </c>
      <c r="L302" t="str">
        <f t="shared" si="73"/>
        <v>Yes</v>
      </c>
      <c r="M302">
        <f t="shared" si="74"/>
        <v>21</v>
      </c>
      <c r="N302" s="5" t="str">
        <f t="shared" si="75"/>
        <v>No</v>
      </c>
      <c r="O302" t="str">
        <f>IF(A302=WORKDAY(EOMONTH(A302,0)+1,-1,Bank_Holidays!$A$2:$A$25),"Yes","No")</f>
        <v>Yes</v>
      </c>
      <c r="P302" t="str">
        <f t="shared" si="76"/>
        <v>Yes</v>
      </c>
      <c r="Q302" t="str">
        <f t="shared" si="77"/>
        <v>No</v>
      </c>
      <c r="R302" s="5">
        <f t="shared" si="79"/>
        <v>4</v>
      </c>
      <c r="S302">
        <f>MOD(A302-Fortnightly_Model!$M$1,14)</f>
        <v>13</v>
      </c>
      <c r="T302">
        <f>MOD(A302-FourWeekly_Model!$M$1,28)</f>
        <v>27</v>
      </c>
    </row>
    <row r="303" spans="1:20">
      <c r="A303" s="25">
        <f t="shared" si="78"/>
        <v>46536</v>
      </c>
      <c r="B303">
        <f t="shared" si="64"/>
        <v>2027</v>
      </c>
      <c r="C303" s="9">
        <f t="shared" si="65"/>
        <v>5</v>
      </c>
      <c r="D303" s="9" t="str">
        <f t="shared" si="66"/>
        <v>May</v>
      </c>
      <c r="E303" s="9" t="str">
        <f t="shared" si="67"/>
        <v>May-27</v>
      </c>
      <c r="F303" s="9" t="str">
        <f t="shared" si="68"/>
        <v>Q2</v>
      </c>
      <c r="G303" s="9">
        <f t="shared" si="69"/>
        <v>29</v>
      </c>
      <c r="H303" s="9">
        <f t="shared" si="70"/>
        <v>6</v>
      </c>
      <c r="I303" s="9" t="str">
        <f t="shared" si="71"/>
        <v>Saturday</v>
      </c>
      <c r="J303" s="9" t="str">
        <f t="shared" si="72"/>
        <v>Yes</v>
      </c>
      <c r="K303" s="5" t="str">
        <f>IF(COUNTIF(Bank_Holidays!A:A,A303)&gt;0,"Yes","No")</f>
        <v>No</v>
      </c>
      <c r="L303" t="str">
        <f t="shared" si="73"/>
        <v>No</v>
      </c>
      <c r="M303">
        <f t="shared" si="74"/>
        <v>21</v>
      </c>
      <c r="N303" s="5" t="str">
        <f t="shared" si="75"/>
        <v>No</v>
      </c>
      <c r="O303" t="str">
        <f>IF(A303=WORKDAY(EOMONTH(A303,0)+1,-1,Bank_Holidays!$A$2:$A$25),"Yes","No")</f>
        <v>No</v>
      </c>
      <c r="P303" t="str">
        <f t="shared" si="76"/>
        <v>No</v>
      </c>
      <c r="Q303" t="str">
        <f t="shared" si="77"/>
        <v>No</v>
      </c>
      <c r="R303" s="5">
        <f t="shared" si="79"/>
        <v>0</v>
      </c>
      <c r="S303">
        <f>MOD(A303-Fortnightly_Model!$M$1,14)</f>
        <v>0</v>
      </c>
      <c r="T303">
        <f>MOD(A303-FourWeekly_Model!$M$1,28)</f>
        <v>0</v>
      </c>
    </row>
    <row r="304" spans="1:20">
      <c r="A304" s="25">
        <f t="shared" si="78"/>
        <v>46537</v>
      </c>
      <c r="B304">
        <f t="shared" si="64"/>
        <v>2027</v>
      </c>
      <c r="C304" s="9">
        <f t="shared" si="65"/>
        <v>5</v>
      </c>
      <c r="D304" s="9" t="str">
        <f t="shared" si="66"/>
        <v>May</v>
      </c>
      <c r="E304" s="9" t="str">
        <f t="shared" si="67"/>
        <v>May-27</v>
      </c>
      <c r="F304" s="9" t="str">
        <f t="shared" si="68"/>
        <v>Q2</v>
      </c>
      <c r="G304" s="9">
        <f t="shared" si="69"/>
        <v>30</v>
      </c>
      <c r="H304" s="9">
        <f t="shared" si="70"/>
        <v>7</v>
      </c>
      <c r="I304" s="9" t="str">
        <f t="shared" si="71"/>
        <v>Sunday</v>
      </c>
      <c r="J304" s="9" t="str">
        <f t="shared" si="72"/>
        <v>Yes</v>
      </c>
      <c r="K304" s="5" t="str">
        <f>IF(COUNTIF(Bank_Holidays!A:A,A304)&gt;0,"Yes","No")</f>
        <v>No</v>
      </c>
      <c r="L304" t="str">
        <f t="shared" si="73"/>
        <v>No</v>
      </c>
      <c r="M304">
        <f t="shared" si="74"/>
        <v>21</v>
      </c>
      <c r="N304" s="5" t="str">
        <f t="shared" si="75"/>
        <v>No</v>
      </c>
      <c r="O304" t="str">
        <f>IF(A304=WORKDAY(EOMONTH(A304,0)+1,-1,Bank_Holidays!$A$2:$A$25),"Yes","No")</f>
        <v>No</v>
      </c>
      <c r="P304" t="str">
        <f t="shared" si="76"/>
        <v>No</v>
      </c>
      <c r="Q304" t="str">
        <f t="shared" si="77"/>
        <v>No</v>
      </c>
      <c r="R304" s="5">
        <f t="shared" si="79"/>
        <v>0</v>
      </c>
      <c r="S304">
        <f>MOD(A304-Fortnightly_Model!$M$1,14)</f>
        <v>1</v>
      </c>
      <c r="T304">
        <f>MOD(A304-FourWeekly_Model!$M$1,28)</f>
        <v>1</v>
      </c>
    </row>
    <row r="305" spans="1:20">
      <c r="A305" s="25">
        <f t="shared" si="78"/>
        <v>46538</v>
      </c>
      <c r="B305">
        <f t="shared" si="64"/>
        <v>2027</v>
      </c>
      <c r="C305" s="9">
        <f t="shared" si="65"/>
        <v>5</v>
      </c>
      <c r="D305" s="9" t="str">
        <f t="shared" si="66"/>
        <v>May</v>
      </c>
      <c r="E305" s="9" t="str">
        <f t="shared" si="67"/>
        <v>May-27</v>
      </c>
      <c r="F305" s="9" t="str">
        <f t="shared" si="68"/>
        <v>Q2</v>
      </c>
      <c r="G305" s="9">
        <f t="shared" si="69"/>
        <v>31</v>
      </c>
      <c r="H305" s="9">
        <f t="shared" si="70"/>
        <v>1</v>
      </c>
      <c r="I305" s="9" t="str">
        <f t="shared" si="71"/>
        <v>Monday</v>
      </c>
      <c r="J305" s="9" t="str">
        <f t="shared" si="72"/>
        <v>No</v>
      </c>
      <c r="K305" s="5" t="str">
        <f>IF(COUNTIF(Bank_Holidays!A:A,A305)&gt;0,"Yes","No")</f>
        <v>Yes</v>
      </c>
      <c r="L305" t="str">
        <f t="shared" si="73"/>
        <v>No</v>
      </c>
      <c r="M305">
        <f t="shared" si="74"/>
        <v>22</v>
      </c>
      <c r="N305" s="5" t="str">
        <f t="shared" si="75"/>
        <v>Yes</v>
      </c>
      <c r="O305" t="str">
        <f>IF(A305=WORKDAY(EOMONTH(A305,0)+1,-1,Bank_Holidays!$A$2:$A$25),"Yes","No")</f>
        <v>No</v>
      </c>
      <c r="P305" t="str">
        <f t="shared" si="76"/>
        <v>No</v>
      </c>
      <c r="Q305" t="str">
        <f t="shared" si="77"/>
        <v>No</v>
      </c>
      <c r="R305" s="5">
        <f t="shared" si="79"/>
        <v>0</v>
      </c>
      <c r="S305">
        <f>MOD(A305-Fortnightly_Model!$M$1,14)</f>
        <v>2</v>
      </c>
      <c r="T305">
        <f>MOD(A305-FourWeekly_Model!$M$1,28)</f>
        <v>2</v>
      </c>
    </row>
    <row r="306" spans="1:20">
      <c r="A306" s="25">
        <f t="shared" si="78"/>
        <v>46539</v>
      </c>
      <c r="B306">
        <f t="shared" si="64"/>
        <v>2027</v>
      </c>
      <c r="C306" s="9">
        <f t="shared" si="65"/>
        <v>6</v>
      </c>
      <c r="D306" s="9" t="str">
        <f t="shared" si="66"/>
        <v>June</v>
      </c>
      <c r="E306" s="9" t="str">
        <f t="shared" si="67"/>
        <v>Jun-27</v>
      </c>
      <c r="F306" s="9" t="str">
        <f t="shared" si="68"/>
        <v>Q2</v>
      </c>
      <c r="G306" s="9">
        <f t="shared" si="69"/>
        <v>1</v>
      </c>
      <c r="H306" s="9">
        <f t="shared" si="70"/>
        <v>2</v>
      </c>
      <c r="I306" s="9" t="str">
        <f t="shared" si="71"/>
        <v>Tuesday</v>
      </c>
      <c r="J306" s="9" t="str">
        <f t="shared" si="72"/>
        <v>No</v>
      </c>
      <c r="K306" s="5" t="str">
        <f>IF(COUNTIF(Bank_Holidays!A:A,A306)&gt;0,"Yes","No")</f>
        <v>No</v>
      </c>
      <c r="L306" t="str">
        <f t="shared" si="73"/>
        <v>Yes</v>
      </c>
      <c r="M306">
        <f t="shared" si="74"/>
        <v>22</v>
      </c>
      <c r="N306" s="5" t="str">
        <f t="shared" si="75"/>
        <v>No</v>
      </c>
      <c r="O306" t="str">
        <f>IF(A306=WORKDAY(EOMONTH(A306,0)+1,-1,Bank_Holidays!$A$2:$A$25),"Yes","No")</f>
        <v>No</v>
      </c>
      <c r="P306" t="str">
        <f t="shared" si="76"/>
        <v>No</v>
      </c>
      <c r="Q306" t="str">
        <f t="shared" si="77"/>
        <v>No</v>
      </c>
      <c r="R306" s="5">
        <f t="shared" si="79"/>
        <v>1</v>
      </c>
      <c r="S306">
        <f>MOD(A306-Fortnightly_Model!$M$1,14)</f>
        <v>3</v>
      </c>
      <c r="T306">
        <f>MOD(A306-FourWeekly_Model!$M$1,28)</f>
        <v>3</v>
      </c>
    </row>
    <row r="307" spans="1:20">
      <c r="A307" s="25">
        <f t="shared" si="78"/>
        <v>46540</v>
      </c>
      <c r="B307">
        <f t="shared" si="64"/>
        <v>2027</v>
      </c>
      <c r="C307" s="9">
        <f t="shared" si="65"/>
        <v>6</v>
      </c>
      <c r="D307" s="9" t="str">
        <f t="shared" si="66"/>
        <v>June</v>
      </c>
      <c r="E307" s="9" t="str">
        <f t="shared" si="67"/>
        <v>Jun-27</v>
      </c>
      <c r="F307" s="9" t="str">
        <f t="shared" si="68"/>
        <v>Q2</v>
      </c>
      <c r="G307" s="9">
        <f t="shared" si="69"/>
        <v>2</v>
      </c>
      <c r="H307" s="9">
        <f t="shared" si="70"/>
        <v>3</v>
      </c>
      <c r="I307" s="9" t="str">
        <f t="shared" si="71"/>
        <v>Wednesday</v>
      </c>
      <c r="J307" s="9" t="str">
        <f t="shared" si="72"/>
        <v>No</v>
      </c>
      <c r="K307" s="5" t="str">
        <f>IF(COUNTIF(Bank_Holidays!A:A,A307)&gt;0,"Yes","No")</f>
        <v>No</v>
      </c>
      <c r="L307" t="str">
        <f t="shared" si="73"/>
        <v>Yes</v>
      </c>
      <c r="M307">
        <f t="shared" si="74"/>
        <v>22</v>
      </c>
      <c r="N307" s="5" t="str">
        <f t="shared" si="75"/>
        <v>No</v>
      </c>
      <c r="O307" t="str">
        <f>IF(A307=WORKDAY(EOMONTH(A307,0)+1,-1,Bank_Holidays!$A$2:$A$25),"Yes","No")</f>
        <v>No</v>
      </c>
      <c r="P307" t="str">
        <f t="shared" si="76"/>
        <v>No</v>
      </c>
      <c r="Q307" t="str">
        <f t="shared" si="77"/>
        <v>No</v>
      </c>
      <c r="R307" s="5">
        <f t="shared" si="79"/>
        <v>1</v>
      </c>
      <c r="S307">
        <f>MOD(A307-Fortnightly_Model!$M$1,14)</f>
        <v>4</v>
      </c>
      <c r="T307">
        <f>MOD(A307-FourWeekly_Model!$M$1,28)</f>
        <v>4</v>
      </c>
    </row>
    <row r="308" spans="1:20">
      <c r="A308" s="25">
        <f t="shared" si="78"/>
        <v>46541</v>
      </c>
      <c r="B308">
        <f t="shared" si="64"/>
        <v>2027</v>
      </c>
      <c r="C308" s="9">
        <f t="shared" si="65"/>
        <v>6</v>
      </c>
      <c r="D308" s="9" t="str">
        <f t="shared" si="66"/>
        <v>June</v>
      </c>
      <c r="E308" s="9" t="str">
        <f t="shared" si="67"/>
        <v>Jun-27</v>
      </c>
      <c r="F308" s="9" t="str">
        <f t="shared" si="68"/>
        <v>Q2</v>
      </c>
      <c r="G308" s="9">
        <f t="shared" si="69"/>
        <v>3</v>
      </c>
      <c r="H308" s="9">
        <f t="shared" si="70"/>
        <v>4</v>
      </c>
      <c r="I308" s="9" t="str">
        <f t="shared" si="71"/>
        <v>Thursday</v>
      </c>
      <c r="J308" s="9" t="str">
        <f t="shared" si="72"/>
        <v>No</v>
      </c>
      <c r="K308" s="5" t="str">
        <f>IF(COUNTIF(Bank_Holidays!A:A,A308)&gt;0,"Yes","No")</f>
        <v>No</v>
      </c>
      <c r="L308" t="str">
        <f t="shared" si="73"/>
        <v>Yes</v>
      </c>
      <c r="M308">
        <f t="shared" si="74"/>
        <v>22</v>
      </c>
      <c r="N308" s="5" t="str">
        <f t="shared" si="75"/>
        <v>No</v>
      </c>
      <c r="O308" t="str">
        <f>IF(A308=WORKDAY(EOMONTH(A308,0)+1,-1,Bank_Holidays!$A$2:$A$25),"Yes","No")</f>
        <v>No</v>
      </c>
      <c r="P308" t="str">
        <f t="shared" si="76"/>
        <v>No</v>
      </c>
      <c r="Q308" t="str">
        <f t="shared" si="77"/>
        <v>No</v>
      </c>
      <c r="R308" s="5">
        <f t="shared" si="79"/>
        <v>1</v>
      </c>
      <c r="S308">
        <f>MOD(A308-Fortnightly_Model!$M$1,14)</f>
        <v>5</v>
      </c>
      <c r="T308">
        <f>MOD(A308-FourWeekly_Model!$M$1,28)</f>
        <v>5</v>
      </c>
    </row>
    <row r="309" spans="1:20">
      <c r="A309" s="25">
        <f t="shared" si="78"/>
        <v>46542</v>
      </c>
      <c r="B309">
        <f t="shared" si="64"/>
        <v>2027</v>
      </c>
      <c r="C309" s="9">
        <f t="shared" si="65"/>
        <v>6</v>
      </c>
      <c r="D309" s="9" t="str">
        <f t="shared" si="66"/>
        <v>June</v>
      </c>
      <c r="E309" s="9" t="str">
        <f t="shared" si="67"/>
        <v>Jun-27</v>
      </c>
      <c r="F309" s="9" t="str">
        <f t="shared" si="68"/>
        <v>Q2</v>
      </c>
      <c r="G309" s="9">
        <f t="shared" si="69"/>
        <v>4</v>
      </c>
      <c r="H309" s="9">
        <f t="shared" si="70"/>
        <v>5</v>
      </c>
      <c r="I309" s="9" t="str">
        <f t="shared" si="71"/>
        <v>Friday</v>
      </c>
      <c r="J309" s="9" t="str">
        <f t="shared" si="72"/>
        <v>No</v>
      </c>
      <c r="K309" s="5" t="str">
        <f>IF(COUNTIF(Bank_Holidays!A:A,A309)&gt;0,"Yes","No")</f>
        <v>No</v>
      </c>
      <c r="L309" t="str">
        <f t="shared" si="73"/>
        <v>Yes</v>
      </c>
      <c r="M309">
        <f t="shared" si="74"/>
        <v>22</v>
      </c>
      <c r="N309" s="5" t="str">
        <f t="shared" si="75"/>
        <v>No</v>
      </c>
      <c r="O309" t="str">
        <f>IF(A309=WORKDAY(EOMONTH(A309,0)+1,-1,Bank_Holidays!$A$2:$A$25),"Yes","No")</f>
        <v>No</v>
      </c>
      <c r="P309" t="str">
        <f t="shared" si="76"/>
        <v>No</v>
      </c>
      <c r="Q309" t="str">
        <f t="shared" si="77"/>
        <v>No</v>
      </c>
      <c r="R309" s="5">
        <f t="shared" si="79"/>
        <v>3</v>
      </c>
      <c r="S309">
        <f>MOD(A309-Fortnightly_Model!$M$1,14)</f>
        <v>6</v>
      </c>
      <c r="T309">
        <f>MOD(A309-FourWeekly_Model!$M$1,28)</f>
        <v>6</v>
      </c>
    </row>
    <row r="310" spans="1:20">
      <c r="A310" s="25">
        <f t="shared" si="78"/>
        <v>46543</v>
      </c>
      <c r="B310">
        <f t="shared" si="64"/>
        <v>2027</v>
      </c>
      <c r="C310" s="9">
        <f t="shared" si="65"/>
        <v>6</v>
      </c>
      <c r="D310" s="9" t="str">
        <f t="shared" si="66"/>
        <v>June</v>
      </c>
      <c r="E310" s="9" t="str">
        <f t="shared" si="67"/>
        <v>Jun-27</v>
      </c>
      <c r="F310" s="9" t="str">
        <f t="shared" si="68"/>
        <v>Q2</v>
      </c>
      <c r="G310" s="9">
        <f t="shared" si="69"/>
        <v>5</v>
      </c>
      <c r="H310" s="9">
        <f t="shared" si="70"/>
        <v>6</v>
      </c>
      <c r="I310" s="9" t="str">
        <f t="shared" si="71"/>
        <v>Saturday</v>
      </c>
      <c r="J310" s="9" t="str">
        <f t="shared" si="72"/>
        <v>Yes</v>
      </c>
      <c r="K310" s="5" t="str">
        <f>IF(COUNTIF(Bank_Holidays!A:A,A310)&gt;0,"Yes","No")</f>
        <v>No</v>
      </c>
      <c r="L310" t="str">
        <f t="shared" si="73"/>
        <v>No</v>
      </c>
      <c r="M310">
        <f t="shared" si="74"/>
        <v>22</v>
      </c>
      <c r="N310" s="5" t="str">
        <f t="shared" si="75"/>
        <v>No</v>
      </c>
      <c r="O310" t="str">
        <f>IF(A310=WORKDAY(EOMONTH(A310,0)+1,-1,Bank_Holidays!$A$2:$A$25),"Yes","No")</f>
        <v>No</v>
      </c>
      <c r="P310" t="str">
        <f t="shared" si="76"/>
        <v>No</v>
      </c>
      <c r="Q310" t="str">
        <f t="shared" si="77"/>
        <v>No</v>
      </c>
      <c r="R310" s="5">
        <f t="shared" si="79"/>
        <v>0</v>
      </c>
      <c r="S310">
        <f>MOD(A310-Fortnightly_Model!$M$1,14)</f>
        <v>7</v>
      </c>
      <c r="T310">
        <f>MOD(A310-FourWeekly_Model!$M$1,28)</f>
        <v>7</v>
      </c>
    </row>
    <row r="311" spans="1:20">
      <c r="A311" s="25">
        <f t="shared" si="78"/>
        <v>46544</v>
      </c>
      <c r="B311">
        <f t="shared" si="64"/>
        <v>2027</v>
      </c>
      <c r="C311" s="9">
        <f t="shared" si="65"/>
        <v>6</v>
      </c>
      <c r="D311" s="9" t="str">
        <f t="shared" si="66"/>
        <v>June</v>
      </c>
      <c r="E311" s="9" t="str">
        <f t="shared" si="67"/>
        <v>Jun-27</v>
      </c>
      <c r="F311" s="9" t="str">
        <f t="shared" si="68"/>
        <v>Q2</v>
      </c>
      <c r="G311" s="9">
        <f t="shared" si="69"/>
        <v>6</v>
      </c>
      <c r="H311" s="9">
        <f t="shared" si="70"/>
        <v>7</v>
      </c>
      <c r="I311" s="9" t="str">
        <f t="shared" si="71"/>
        <v>Sunday</v>
      </c>
      <c r="J311" s="9" t="str">
        <f t="shared" si="72"/>
        <v>Yes</v>
      </c>
      <c r="K311" s="5" t="str">
        <f>IF(COUNTIF(Bank_Holidays!A:A,A311)&gt;0,"Yes","No")</f>
        <v>No</v>
      </c>
      <c r="L311" t="str">
        <f t="shared" si="73"/>
        <v>No</v>
      </c>
      <c r="M311">
        <f t="shared" si="74"/>
        <v>22</v>
      </c>
      <c r="N311" s="5" t="str">
        <f t="shared" si="75"/>
        <v>No</v>
      </c>
      <c r="O311" t="str">
        <f>IF(A311=WORKDAY(EOMONTH(A311,0)+1,-1,Bank_Holidays!$A$2:$A$25),"Yes","No")</f>
        <v>No</v>
      </c>
      <c r="P311" t="str">
        <f t="shared" si="76"/>
        <v>No</v>
      </c>
      <c r="Q311" t="str">
        <f t="shared" si="77"/>
        <v>No</v>
      </c>
      <c r="R311" s="5">
        <f t="shared" si="79"/>
        <v>0</v>
      </c>
      <c r="S311">
        <f>MOD(A311-Fortnightly_Model!$M$1,14)</f>
        <v>8</v>
      </c>
      <c r="T311">
        <f>MOD(A311-FourWeekly_Model!$M$1,28)</f>
        <v>8</v>
      </c>
    </row>
    <row r="312" spans="1:20">
      <c r="A312" s="25">
        <f t="shared" si="78"/>
        <v>46545</v>
      </c>
      <c r="B312">
        <f t="shared" si="64"/>
        <v>2027</v>
      </c>
      <c r="C312" s="9">
        <f t="shared" si="65"/>
        <v>6</v>
      </c>
      <c r="D312" s="9" t="str">
        <f t="shared" si="66"/>
        <v>June</v>
      </c>
      <c r="E312" s="9" t="str">
        <f t="shared" si="67"/>
        <v>Jun-27</v>
      </c>
      <c r="F312" s="9" t="str">
        <f t="shared" si="68"/>
        <v>Q2</v>
      </c>
      <c r="G312" s="9">
        <f t="shared" si="69"/>
        <v>7</v>
      </c>
      <c r="H312" s="9">
        <f t="shared" si="70"/>
        <v>1</v>
      </c>
      <c r="I312" s="9" t="str">
        <f t="shared" si="71"/>
        <v>Monday</v>
      </c>
      <c r="J312" s="9" t="str">
        <f t="shared" si="72"/>
        <v>No</v>
      </c>
      <c r="K312" s="5" t="str">
        <f>IF(COUNTIF(Bank_Holidays!A:A,A312)&gt;0,"Yes","No")</f>
        <v>No</v>
      </c>
      <c r="L312" t="str">
        <f t="shared" si="73"/>
        <v>Yes</v>
      </c>
      <c r="M312">
        <f t="shared" si="74"/>
        <v>23</v>
      </c>
      <c r="N312" s="5" t="str">
        <f t="shared" si="75"/>
        <v>No</v>
      </c>
      <c r="O312" t="str">
        <f>IF(A312=WORKDAY(EOMONTH(A312,0)+1,-1,Bank_Holidays!$A$2:$A$25),"Yes","No")</f>
        <v>No</v>
      </c>
      <c r="P312" t="str">
        <f t="shared" si="76"/>
        <v>No</v>
      </c>
      <c r="Q312" t="str">
        <f t="shared" si="77"/>
        <v>No</v>
      </c>
      <c r="R312" s="5">
        <f t="shared" si="79"/>
        <v>1</v>
      </c>
      <c r="S312">
        <f>MOD(A312-Fortnightly_Model!$M$1,14)</f>
        <v>9</v>
      </c>
      <c r="T312">
        <f>MOD(A312-FourWeekly_Model!$M$1,28)</f>
        <v>9</v>
      </c>
    </row>
    <row r="313" spans="1:20">
      <c r="A313" s="25">
        <f t="shared" si="78"/>
        <v>46546</v>
      </c>
      <c r="B313">
        <f t="shared" si="64"/>
        <v>2027</v>
      </c>
      <c r="C313" s="9">
        <f t="shared" si="65"/>
        <v>6</v>
      </c>
      <c r="D313" s="9" t="str">
        <f t="shared" si="66"/>
        <v>June</v>
      </c>
      <c r="E313" s="9" t="str">
        <f t="shared" si="67"/>
        <v>Jun-27</v>
      </c>
      <c r="F313" s="9" t="str">
        <f t="shared" si="68"/>
        <v>Q2</v>
      </c>
      <c r="G313" s="9">
        <f t="shared" si="69"/>
        <v>8</v>
      </c>
      <c r="H313" s="9">
        <f t="shared" si="70"/>
        <v>2</v>
      </c>
      <c r="I313" s="9" t="str">
        <f t="shared" si="71"/>
        <v>Tuesday</v>
      </c>
      <c r="J313" s="9" t="str">
        <f t="shared" si="72"/>
        <v>No</v>
      </c>
      <c r="K313" s="5" t="str">
        <f>IF(COUNTIF(Bank_Holidays!A:A,A313)&gt;0,"Yes","No")</f>
        <v>No</v>
      </c>
      <c r="L313" t="str">
        <f t="shared" si="73"/>
        <v>Yes</v>
      </c>
      <c r="M313">
        <f t="shared" si="74"/>
        <v>23</v>
      </c>
      <c r="N313" s="5" t="str">
        <f t="shared" si="75"/>
        <v>No</v>
      </c>
      <c r="O313" t="str">
        <f>IF(A313=WORKDAY(EOMONTH(A313,0)+1,-1,Bank_Holidays!$A$2:$A$25),"Yes","No")</f>
        <v>No</v>
      </c>
      <c r="P313" t="str">
        <f t="shared" si="76"/>
        <v>No</v>
      </c>
      <c r="Q313" t="str">
        <f t="shared" si="77"/>
        <v>No</v>
      </c>
      <c r="R313" s="5">
        <f t="shared" si="79"/>
        <v>1</v>
      </c>
      <c r="S313">
        <f>MOD(A313-Fortnightly_Model!$M$1,14)</f>
        <v>10</v>
      </c>
      <c r="T313">
        <f>MOD(A313-FourWeekly_Model!$M$1,28)</f>
        <v>10</v>
      </c>
    </row>
    <row r="314" spans="1:20">
      <c r="A314" s="25">
        <f t="shared" si="78"/>
        <v>46547</v>
      </c>
      <c r="B314">
        <f t="shared" si="64"/>
        <v>2027</v>
      </c>
      <c r="C314" s="9">
        <f t="shared" si="65"/>
        <v>6</v>
      </c>
      <c r="D314" s="9" t="str">
        <f t="shared" si="66"/>
        <v>June</v>
      </c>
      <c r="E314" s="9" t="str">
        <f t="shared" si="67"/>
        <v>Jun-27</v>
      </c>
      <c r="F314" s="9" t="str">
        <f t="shared" si="68"/>
        <v>Q2</v>
      </c>
      <c r="G314" s="9">
        <f t="shared" si="69"/>
        <v>9</v>
      </c>
      <c r="H314" s="9">
        <f t="shared" si="70"/>
        <v>3</v>
      </c>
      <c r="I314" s="9" t="str">
        <f t="shared" si="71"/>
        <v>Wednesday</v>
      </c>
      <c r="J314" s="9" t="str">
        <f t="shared" si="72"/>
        <v>No</v>
      </c>
      <c r="K314" s="5" t="str">
        <f>IF(COUNTIF(Bank_Holidays!A:A,A314)&gt;0,"Yes","No")</f>
        <v>No</v>
      </c>
      <c r="L314" t="str">
        <f t="shared" si="73"/>
        <v>Yes</v>
      </c>
      <c r="M314">
        <f t="shared" si="74"/>
        <v>23</v>
      </c>
      <c r="N314" s="5" t="str">
        <f t="shared" si="75"/>
        <v>No</v>
      </c>
      <c r="O314" t="str">
        <f>IF(A314=WORKDAY(EOMONTH(A314,0)+1,-1,Bank_Holidays!$A$2:$A$25),"Yes","No")</f>
        <v>No</v>
      </c>
      <c r="P314" t="str">
        <f t="shared" si="76"/>
        <v>No</v>
      </c>
      <c r="Q314" t="str">
        <f t="shared" si="77"/>
        <v>No</v>
      </c>
      <c r="R314" s="5">
        <f t="shared" si="79"/>
        <v>1</v>
      </c>
      <c r="S314">
        <f>MOD(A314-Fortnightly_Model!$M$1,14)</f>
        <v>11</v>
      </c>
      <c r="T314">
        <f>MOD(A314-FourWeekly_Model!$M$1,28)</f>
        <v>11</v>
      </c>
    </row>
    <row r="315" spans="1:20">
      <c r="A315" s="25">
        <f t="shared" si="78"/>
        <v>46548</v>
      </c>
      <c r="B315">
        <f t="shared" si="64"/>
        <v>2027</v>
      </c>
      <c r="C315" s="9">
        <f t="shared" si="65"/>
        <v>6</v>
      </c>
      <c r="D315" s="9" t="str">
        <f t="shared" si="66"/>
        <v>June</v>
      </c>
      <c r="E315" s="9" t="str">
        <f t="shared" si="67"/>
        <v>Jun-27</v>
      </c>
      <c r="F315" s="9" t="str">
        <f t="shared" si="68"/>
        <v>Q2</v>
      </c>
      <c r="G315" s="9">
        <f t="shared" si="69"/>
        <v>10</v>
      </c>
      <c r="H315" s="9">
        <f t="shared" si="70"/>
        <v>4</v>
      </c>
      <c r="I315" s="9" t="str">
        <f t="shared" si="71"/>
        <v>Thursday</v>
      </c>
      <c r="J315" s="9" t="str">
        <f t="shared" si="72"/>
        <v>No</v>
      </c>
      <c r="K315" s="5" t="str">
        <f>IF(COUNTIF(Bank_Holidays!A:A,A315)&gt;0,"Yes","No")</f>
        <v>No</v>
      </c>
      <c r="L315" t="str">
        <f t="shared" si="73"/>
        <v>Yes</v>
      </c>
      <c r="M315">
        <f t="shared" si="74"/>
        <v>23</v>
      </c>
      <c r="N315" s="5" t="str">
        <f t="shared" si="75"/>
        <v>No</v>
      </c>
      <c r="O315" t="str">
        <f>IF(A315=WORKDAY(EOMONTH(A315,0)+1,-1,Bank_Holidays!$A$2:$A$25),"Yes","No")</f>
        <v>No</v>
      </c>
      <c r="P315" t="str">
        <f t="shared" si="76"/>
        <v>No</v>
      </c>
      <c r="Q315" t="str">
        <f t="shared" si="77"/>
        <v>No</v>
      </c>
      <c r="R315" s="5">
        <f t="shared" si="79"/>
        <v>1</v>
      </c>
      <c r="S315">
        <f>MOD(A315-Fortnightly_Model!$M$1,14)</f>
        <v>12</v>
      </c>
      <c r="T315">
        <f>MOD(A315-FourWeekly_Model!$M$1,28)</f>
        <v>12</v>
      </c>
    </row>
    <row r="316" spans="1:20">
      <c r="A316" s="25">
        <f t="shared" si="78"/>
        <v>46549</v>
      </c>
      <c r="B316">
        <f t="shared" si="64"/>
        <v>2027</v>
      </c>
      <c r="C316" s="9">
        <f t="shared" si="65"/>
        <v>6</v>
      </c>
      <c r="D316" s="9" t="str">
        <f t="shared" si="66"/>
        <v>June</v>
      </c>
      <c r="E316" s="9" t="str">
        <f t="shared" si="67"/>
        <v>Jun-27</v>
      </c>
      <c r="F316" s="9" t="str">
        <f t="shared" si="68"/>
        <v>Q2</v>
      </c>
      <c r="G316" s="9">
        <f t="shared" si="69"/>
        <v>11</v>
      </c>
      <c r="H316" s="9">
        <f t="shared" si="70"/>
        <v>5</v>
      </c>
      <c r="I316" s="9" t="str">
        <f t="shared" si="71"/>
        <v>Friday</v>
      </c>
      <c r="J316" s="9" t="str">
        <f t="shared" si="72"/>
        <v>No</v>
      </c>
      <c r="K316" s="5" t="str">
        <f>IF(COUNTIF(Bank_Holidays!A:A,A316)&gt;0,"Yes","No")</f>
        <v>No</v>
      </c>
      <c r="L316" t="str">
        <f t="shared" si="73"/>
        <v>Yes</v>
      </c>
      <c r="M316">
        <f t="shared" si="74"/>
        <v>23</v>
      </c>
      <c r="N316" s="5" t="str">
        <f t="shared" si="75"/>
        <v>No</v>
      </c>
      <c r="O316" t="str">
        <f>IF(A316=WORKDAY(EOMONTH(A316,0)+1,-1,Bank_Holidays!$A$2:$A$25),"Yes","No")</f>
        <v>No</v>
      </c>
      <c r="P316" t="str">
        <f t="shared" si="76"/>
        <v>No</v>
      </c>
      <c r="Q316" t="str">
        <f t="shared" si="77"/>
        <v>No</v>
      </c>
      <c r="R316" s="5">
        <f t="shared" si="79"/>
        <v>3</v>
      </c>
      <c r="S316">
        <f>MOD(A316-Fortnightly_Model!$M$1,14)</f>
        <v>13</v>
      </c>
      <c r="T316">
        <f>MOD(A316-FourWeekly_Model!$M$1,28)</f>
        <v>13</v>
      </c>
    </row>
    <row r="317" spans="1:20">
      <c r="A317" s="25">
        <f t="shared" si="78"/>
        <v>46550</v>
      </c>
      <c r="B317">
        <f t="shared" si="64"/>
        <v>2027</v>
      </c>
      <c r="C317" s="9">
        <f t="shared" si="65"/>
        <v>6</v>
      </c>
      <c r="D317" s="9" t="str">
        <f t="shared" si="66"/>
        <v>June</v>
      </c>
      <c r="E317" s="9" t="str">
        <f t="shared" si="67"/>
        <v>Jun-27</v>
      </c>
      <c r="F317" s="9" t="str">
        <f t="shared" si="68"/>
        <v>Q2</v>
      </c>
      <c r="G317" s="9">
        <f t="shared" si="69"/>
        <v>12</v>
      </c>
      <c r="H317" s="9">
        <f t="shared" si="70"/>
        <v>6</v>
      </c>
      <c r="I317" s="9" t="str">
        <f t="shared" si="71"/>
        <v>Saturday</v>
      </c>
      <c r="J317" s="9" t="str">
        <f t="shared" si="72"/>
        <v>Yes</v>
      </c>
      <c r="K317" s="5" t="str">
        <f>IF(COUNTIF(Bank_Holidays!A:A,A317)&gt;0,"Yes","No")</f>
        <v>No</v>
      </c>
      <c r="L317" t="str">
        <f t="shared" si="73"/>
        <v>No</v>
      </c>
      <c r="M317">
        <f t="shared" si="74"/>
        <v>23</v>
      </c>
      <c r="N317" s="5" t="str">
        <f t="shared" si="75"/>
        <v>No</v>
      </c>
      <c r="O317" t="str">
        <f>IF(A317=WORKDAY(EOMONTH(A317,0)+1,-1,Bank_Holidays!$A$2:$A$25),"Yes","No")</f>
        <v>No</v>
      </c>
      <c r="P317" t="str">
        <f t="shared" si="76"/>
        <v>No</v>
      </c>
      <c r="Q317" t="str">
        <f t="shared" si="77"/>
        <v>No</v>
      </c>
      <c r="R317" s="5">
        <f t="shared" si="79"/>
        <v>0</v>
      </c>
      <c r="S317">
        <f>MOD(A317-Fortnightly_Model!$M$1,14)</f>
        <v>0</v>
      </c>
      <c r="T317">
        <f>MOD(A317-FourWeekly_Model!$M$1,28)</f>
        <v>14</v>
      </c>
    </row>
    <row r="318" spans="1:20">
      <c r="A318" s="25">
        <f t="shared" si="78"/>
        <v>46551</v>
      </c>
      <c r="B318">
        <f t="shared" si="64"/>
        <v>2027</v>
      </c>
      <c r="C318" s="9">
        <f t="shared" si="65"/>
        <v>6</v>
      </c>
      <c r="D318" s="9" t="str">
        <f t="shared" si="66"/>
        <v>June</v>
      </c>
      <c r="E318" s="9" t="str">
        <f t="shared" si="67"/>
        <v>Jun-27</v>
      </c>
      <c r="F318" s="9" t="str">
        <f t="shared" si="68"/>
        <v>Q2</v>
      </c>
      <c r="G318" s="9">
        <f t="shared" si="69"/>
        <v>13</v>
      </c>
      <c r="H318" s="9">
        <f t="shared" si="70"/>
        <v>7</v>
      </c>
      <c r="I318" s="9" t="str">
        <f t="shared" si="71"/>
        <v>Sunday</v>
      </c>
      <c r="J318" s="9" t="str">
        <f t="shared" si="72"/>
        <v>Yes</v>
      </c>
      <c r="K318" s="5" t="str">
        <f>IF(COUNTIF(Bank_Holidays!A:A,A318)&gt;0,"Yes","No")</f>
        <v>No</v>
      </c>
      <c r="L318" t="str">
        <f t="shared" si="73"/>
        <v>No</v>
      </c>
      <c r="M318">
        <f t="shared" si="74"/>
        <v>23</v>
      </c>
      <c r="N318" s="5" t="str">
        <f t="shared" si="75"/>
        <v>No</v>
      </c>
      <c r="O318" t="str">
        <f>IF(A318=WORKDAY(EOMONTH(A318,0)+1,-1,Bank_Holidays!$A$2:$A$25),"Yes","No")</f>
        <v>No</v>
      </c>
      <c r="P318" t="str">
        <f t="shared" si="76"/>
        <v>No</v>
      </c>
      <c r="Q318" t="str">
        <f t="shared" si="77"/>
        <v>No</v>
      </c>
      <c r="R318" s="5">
        <f t="shared" si="79"/>
        <v>0</v>
      </c>
      <c r="S318">
        <f>MOD(A318-Fortnightly_Model!$M$1,14)</f>
        <v>1</v>
      </c>
      <c r="T318">
        <f>MOD(A318-FourWeekly_Model!$M$1,28)</f>
        <v>15</v>
      </c>
    </row>
    <row r="319" spans="1:20">
      <c r="A319" s="25">
        <f t="shared" si="78"/>
        <v>46552</v>
      </c>
      <c r="B319">
        <f t="shared" si="64"/>
        <v>2027</v>
      </c>
      <c r="C319" s="9">
        <f t="shared" si="65"/>
        <v>6</v>
      </c>
      <c r="D319" s="9" t="str">
        <f t="shared" si="66"/>
        <v>June</v>
      </c>
      <c r="E319" s="9" t="str">
        <f t="shared" si="67"/>
        <v>Jun-27</v>
      </c>
      <c r="F319" s="9" t="str">
        <f t="shared" si="68"/>
        <v>Q2</v>
      </c>
      <c r="G319" s="9">
        <f t="shared" si="69"/>
        <v>14</v>
      </c>
      <c r="H319" s="9">
        <f t="shared" si="70"/>
        <v>1</v>
      </c>
      <c r="I319" s="9" t="str">
        <f t="shared" si="71"/>
        <v>Monday</v>
      </c>
      <c r="J319" s="9" t="str">
        <f t="shared" si="72"/>
        <v>No</v>
      </c>
      <c r="K319" s="5" t="str">
        <f>IF(COUNTIF(Bank_Holidays!A:A,A319)&gt;0,"Yes","No")</f>
        <v>No</v>
      </c>
      <c r="L319" t="str">
        <f t="shared" si="73"/>
        <v>Yes</v>
      </c>
      <c r="M319">
        <f t="shared" si="74"/>
        <v>24</v>
      </c>
      <c r="N319" s="5" t="str">
        <f t="shared" si="75"/>
        <v>No</v>
      </c>
      <c r="O319" t="str">
        <f>IF(A319=WORKDAY(EOMONTH(A319,0)+1,-1,Bank_Holidays!$A$2:$A$25),"Yes","No")</f>
        <v>No</v>
      </c>
      <c r="P319" t="str">
        <f t="shared" si="76"/>
        <v>No</v>
      </c>
      <c r="Q319" t="str">
        <f t="shared" si="77"/>
        <v>No</v>
      </c>
      <c r="R319" s="5">
        <f t="shared" si="79"/>
        <v>1</v>
      </c>
      <c r="S319">
        <f>MOD(A319-Fortnightly_Model!$M$1,14)</f>
        <v>2</v>
      </c>
      <c r="T319">
        <f>MOD(A319-FourWeekly_Model!$M$1,28)</f>
        <v>16</v>
      </c>
    </row>
    <row r="320" spans="1:20">
      <c r="A320" s="25">
        <f t="shared" si="78"/>
        <v>46553</v>
      </c>
      <c r="B320">
        <f t="shared" si="64"/>
        <v>2027</v>
      </c>
      <c r="C320" s="9">
        <f t="shared" si="65"/>
        <v>6</v>
      </c>
      <c r="D320" s="9" t="str">
        <f t="shared" si="66"/>
        <v>June</v>
      </c>
      <c r="E320" s="9" t="str">
        <f t="shared" si="67"/>
        <v>Jun-27</v>
      </c>
      <c r="F320" s="9" t="str">
        <f t="shared" si="68"/>
        <v>Q2</v>
      </c>
      <c r="G320" s="9">
        <f t="shared" si="69"/>
        <v>15</v>
      </c>
      <c r="H320" s="9">
        <f t="shared" si="70"/>
        <v>2</v>
      </c>
      <c r="I320" s="9" t="str">
        <f t="shared" si="71"/>
        <v>Tuesday</v>
      </c>
      <c r="J320" s="9" t="str">
        <f t="shared" si="72"/>
        <v>No</v>
      </c>
      <c r="K320" s="5" t="str">
        <f>IF(COUNTIF(Bank_Holidays!A:A,A320)&gt;0,"Yes","No")</f>
        <v>No</v>
      </c>
      <c r="L320" t="str">
        <f t="shared" si="73"/>
        <v>Yes</v>
      </c>
      <c r="M320">
        <f t="shared" si="74"/>
        <v>24</v>
      </c>
      <c r="N320" s="5" t="str">
        <f t="shared" si="75"/>
        <v>No</v>
      </c>
      <c r="O320" t="str">
        <f>IF(A320=WORKDAY(EOMONTH(A320,0)+1,-1,Bank_Holidays!$A$2:$A$25),"Yes","No")</f>
        <v>No</v>
      </c>
      <c r="P320" t="str">
        <f t="shared" si="76"/>
        <v>No</v>
      </c>
      <c r="Q320" t="str">
        <f t="shared" si="77"/>
        <v>No</v>
      </c>
      <c r="R320" s="5">
        <f t="shared" si="79"/>
        <v>1</v>
      </c>
      <c r="S320">
        <f>MOD(A320-Fortnightly_Model!$M$1,14)</f>
        <v>3</v>
      </c>
      <c r="T320">
        <f>MOD(A320-FourWeekly_Model!$M$1,28)</f>
        <v>17</v>
      </c>
    </row>
    <row r="321" spans="1:20">
      <c r="A321" s="25">
        <f t="shared" si="78"/>
        <v>46554</v>
      </c>
      <c r="B321">
        <f t="shared" si="64"/>
        <v>2027</v>
      </c>
      <c r="C321" s="9">
        <f t="shared" si="65"/>
        <v>6</v>
      </c>
      <c r="D321" s="9" t="str">
        <f t="shared" si="66"/>
        <v>June</v>
      </c>
      <c r="E321" s="9" t="str">
        <f t="shared" si="67"/>
        <v>Jun-27</v>
      </c>
      <c r="F321" s="9" t="str">
        <f t="shared" si="68"/>
        <v>Q2</v>
      </c>
      <c r="G321" s="9">
        <f t="shared" si="69"/>
        <v>16</v>
      </c>
      <c r="H321" s="9">
        <f t="shared" si="70"/>
        <v>3</v>
      </c>
      <c r="I321" s="9" t="str">
        <f t="shared" si="71"/>
        <v>Wednesday</v>
      </c>
      <c r="J321" s="9" t="str">
        <f t="shared" si="72"/>
        <v>No</v>
      </c>
      <c r="K321" s="5" t="str">
        <f>IF(COUNTIF(Bank_Holidays!A:A,A321)&gt;0,"Yes","No")</f>
        <v>No</v>
      </c>
      <c r="L321" t="str">
        <f t="shared" si="73"/>
        <v>Yes</v>
      </c>
      <c r="M321">
        <f t="shared" si="74"/>
        <v>24</v>
      </c>
      <c r="N321" s="5" t="str">
        <f t="shared" si="75"/>
        <v>No</v>
      </c>
      <c r="O321" t="str">
        <f>IF(A321=WORKDAY(EOMONTH(A321,0)+1,-1,Bank_Holidays!$A$2:$A$25),"Yes","No")</f>
        <v>No</v>
      </c>
      <c r="P321" t="str">
        <f t="shared" si="76"/>
        <v>No</v>
      </c>
      <c r="Q321" t="str">
        <f t="shared" si="77"/>
        <v>No</v>
      </c>
      <c r="R321" s="5">
        <f t="shared" si="79"/>
        <v>1</v>
      </c>
      <c r="S321">
        <f>MOD(A321-Fortnightly_Model!$M$1,14)</f>
        <v>4</v>
      </c>
      <c r="T321">
        <f>MOD(A321-FourWeekly_Model!$M$1,28)</f>
        <v>18</v>
      </c>
    </row>
    <row r="322" spans="1:20">
      <c r="A322" s="25">
        <f t="shared" si="78"/>
        <v>46555</v>
      </c>
      <c r="B322">
        <f t="shared" ref="B322:B385" si="80">YEAR(A322)</f>
        <v>2027</v>
      </c>
      <c r="C322" s="9">
        <f t="shared" ref="C322:C385" si="81">MONTH(A322)</f>
        <v>6</v>
      </c>
      <c r="D322" s="9" t="str">
        <f t="shared" ref="D322:D385" si="82">TEXT(A322,"mmmm")</f>
        <v>June</v>
      </c>
      <c r="E322" s="9" t="str">
        <f t="shared" ref="E322:E385" si="83">TEXT(A322,"mmm-yy")</f>
        <v>Jun-27</v>
      </c>
      <c r="F322" s="9" t="str">
        <f t="shared" ref="F322:F385" si="84">"Q"&amp;ROUNDUP(MONTH($A322)/3,0)</f>
        <v>Q2</v>
      </c>
      <c r="G322" s="9">
        <f t="shared" ref="G322:G385" si="85">DAY($A322)</f>
        <v>17</v>
      </c>
      <c r="H322" s="9">
        <f t="shared" ref="H322:H385" si="86">WEEKDAY($A322,2)</f>
        <v>4</v>
      </c>
      <c r="I322" s="9" t="str">
        <f t="shared" ref="I322:I385" si="87">TEXT($A322,"dddd")</f>
        <v>Thursday</v>
      </c>
      <c r="J322" s="9" t="str">
        <f t="shared" ref="J322:J385" si="88">IF($H322&gt;5,"Yes","No")</f>
        <v>No</v>
      </c>
      <c r="K322" s="5" t="str">
        <f>IF(COUNTIF(Bank_Holidays!A:A,A322)&gt;0,"Yes","No")</f>
        <v>No</v>
      </c>
      <c r="L322" t="str">
        <f t="shared" ref="L322:L385" si="89">IF(AND(J322="No",K322="No"),"Yes","No")</f>
        <v>Yes</v>
      </c>
      <c r="M322">
        <f t="shared" ref="M322:M385" si="90">_xlfn.ISOWEEKNUM(A322)</f>
        <v>24</v>
      </c>
      <c r="N322" s="5" t="str">
        <f t="shared" ref="N322:N385" si="91">IF(A322=EOMONTH(A322,0),"Yes","No")</f>
        <v>No</v>
      </c>
      <c r="O322" t="str">
        <f>IF(A322=WORKDAY(EOMONTH(A322,0)+1,-1,Bank_Holidays!$A$2:$A$25),"Yes","No")</f>
        <v>No</v>
      </c>
      <c r="P322" t="str">
        <f t="shared" ref="P322:P385" si="92">IF(
AND(
TEXT(A322,"dddd")="Friday",
MONTH(A322+7)&lt;&gt;MONTH(A322)
),
"Yes",
"No"
)</f>
        <v>No</v>
      </c>
      <c r="Q322" t="str">
        <f t="shared" ref="Q322:Q385" si="93">IF(
AND(
TEXT(A322,"dddd")="Thursday",
MONTH(A322+7)&lt;&gt;MONTH(A322)
),
"Yes",
"No"
)</f>
        <v>No</v>
      </c>
      <c r="R322" s="5">
        <f t="shared" si="79"/>
        <v>1</v>
      </c>
      <c r="S322">
        <f>MOD(A322-Fortnightly_Model!$M$1,14)</f>
        <v>5</v>
      </c>
      <c r="T322">
        <f>MOD(A322-FourWeekly_Model!$M$1,28)</f>
        <v>19</v>
      </c>
    </row>
    <row r="323" spans="1:20">
      <c r="A323" s="25">
        <f t="shared" ref="A323:A386" si="94">A322+1</f>
        <v>46556</v>
      </c>
      <c r="B323">
        <f t="shared" si="80"/>
        <v>2027</v>
      </c>
      <c r="C323" s="9">
        <f t="shared" si="81"/>
        <v>6</v>
      </c>
      <c r="D323" s="9" t="str">
        <f t="shared" si="82"/>
        <v>June</v>
      </c>
      <c r="E323" s="9" t="str">
        <f t="shared" si="83"/>
        <v>Jun-27</v>
      </c>
      <c r="F323" s="9" t="str">
        <f t="shared" si="84"/>
        <v>Q2</v>
      </c>
      <c r="G323" s="9">
        <f t="shared" si="85"/>
        <v>18</v>
      </c>
      <c r="H323" s="9">
        <f t="shared" si="86"/>
        <v>5</v>
      </c>
      <c r="I323" s="9" t="str">
        <f t="shared" si="87"/>
        <v>Friday</v>
      </c>
      <c r="J323" s="9" t="str">
        <f t="shared" si="88"/>
        <v>No</v>
      </c>
      <c r="K323" s="5" t="str">
        <f>IF(COUNTIF(Bank_Holidays!A:A,A323)&gt;0,"Yes","No")</f>
        <v>No</v>
      </c>
      <c r="L323" t="str">
        <f t="shared" si="89"/>
        <v>Yes</v>
      </c>
      <c r="M323">
        <f t="shared" si="90"/>
        <v>24</v>
      </c>
      <c r="N323" s="5" t="str">
        <f t="shared" si="91"/>
        <v>No</v>
      </c>
      <c r="O323" t="str">
        <f>IF(A323=WORKDAY(EOMONTH(A323,0)+1,-1,Bank_Holidays!$A$2:$A$25),"Yes","No")</f>
        <v>No</v>
      </c>
      <c r="P323" t="str">
        <f t="shared" si="92"/>
        <v>No</v>
      </c>
      <c r="Q323" t="str">
        <f t="shared" si="93"/>
        <v>No</v>
      </c>
      <c r="R323" s="5">
        <f t="shared" ref="R323:R386" si="95">IF(L323="yes",1)+IF(L323="no",0,IF(AND(L328="no",L327="no",L326="no",L325="no",L324="no"),5,IF(AND(L327="no",L326="no",L325="no",L324="no"),4,IF(AND(L326="no",L325="no",L324="no"),3,IF(AND(L325="no",L324="no"),2,IF(L324="no",1))))))</f>
        <v>3</v>
      </c>
      <c r="S323">
        <f>MOD(A323-Fortnightly_Model!$M$1,14)</f>
        <v>6</v>
      </c>
      <c r="T323">
        <f>MOD(A323-FourWeekly_Model!$M$1,28)</f>
        <v>20</v>
      </c>
    </row>
    <row r="324" spans="1:20">
      <c r="A324" s="25">
        <f t="shared" si="94"/>
        <v>46557</v>
      </c>
      <c r="B324">
        <f t="shared" si="80"/>
        <v>2027</v>
      </c>
      <c r="C324" s="9">
        <f t="shared" si="81"/>
        <v>6</v>
      </c>
      <c r="D324" s="9" t="str">
        <f t="shared" si="82"/>
        <v>June</v>
      </c>
      <c r="E324" s="9" t="str">
        <f t="shared" si="83"/>
        <v>Jun-27</v>
      </c>
      <c r="F324" s="9" t="str">
        <f t="shared" si="84"/>
        <v>Q2</v>
      </c>
      <c r="G324" s="9">
        <f t="shared" si="85"/>
        <v>19</v>
      </c>
      <c r="H324" s="9">
        <f t="shared" si="86"/>
        <v>6</v>
      </c>
      <c r="I324" s="9" t="str">
        <f t="shared" si="87"/>
        <v>Saturday</v>
      </c>
      <c r="J324" s="9" t="str">
        <f t="shared" si="88"/>
        <v>Yes</v>
      </c>
      <c r="K324" s="5" t="str">
        <f>IF(COUNTIF(Bank_Holidays!A:A,A324)&gt;0,"Yes","No")</f>
        <v>No</v>
      </c>
      <c r="L324" t="str">
        <f t="shared" si="89"/>
        <v>No</v>
      </c>
      <c r="M324">
        <f t="shared" si="90"/>
        <v>24</v>
      </c>
      <c r="N324" s="5" t="str">
        <f t="shared" si="91"/>
        <v>No</v>
      </c>
      <c r="O324" t="str">
        <f>IF(A324=WORKDAY(EOMONTH(A324,0)+1,-1,Bank_Holidays!$A$2:$A$25),"Yes","No")</f>
        <v>No</v>
      </c>
      <c r="P324" t="str">
        <f t="shared" si="92"/>
        <v>No</v>
      </c>
      <c r="Q324" t="str">
        <f t="shared" si="93"/>
        <v>No</v>
      </c>
      <c r="R324" s="5">
        <f t="shared" si="95"/>
        <v>0</v>
      </c>
      <c r="S324">
        <f>MOD(A324-Fortnightly_Model!$M$1,14)</f>
        <v>7</v>
      </c>
      <c r="T324">
        <f>MOD(A324-FourWeekly_Model!$M$1,28)</f>
        <v>21</v>
      </c>
    </row>
    <row r="325" spans="1:20">
      <c r="A325" s="25">
        <f t="shared" si="94"/>
        <v>46558</v>
      </c>
      <c r="B325">
        <f t="shared" si="80"/>
        <v>2027</v>
      </c>
      <c r="C325" s="9">
        <f t="shared" si="81"/>
        <v>6</v>
      </c>
      <c r="D325" s="9" t="str">
        <f t="shared" si="82"/>
        <v>June</v>
      </c>
      <c r="E325" s="9" t="str">
        <f t="shared" si="83"/>
        <v>Jun-27</v>
      </c>
      <c r="F325" s="9" t="str">
        <f t="shared" si="84"/>
        <v>Q2</v>
      </c>
      <c r="G325" s="9">
        <f t="shared" si="85"/>
        <v>20</v>
      </c>
      <c r="H325" s="9">
        <f t="shared" si="86"/>
        <v>7</v>
      </c>
      <c r="I325" s="9" t="str">
        <f t="shared" si="87"/>
        <v>Sunday</v>
      </c>
      <c r="J325" s="9" t="str">
        <f t="shared" si="88"/>
        <v>Yes</v>
      </c>
      <c r="K325" s="5" t="str">
        <f>IF(COUNTIF(Bank_Holidays!A:A,A325)&gt;0,"Yes","No")</f>
        <v>No</v>
      </c>
      <c r="L325" t="str">
        <f t="shared" si="89"/>
        <v>No</v>
      </c>
      <c r="M325">
        <f t="shared" si="90"/>
        <v>24</v>
      </c>
      <c r="N325" s="5" t="str">
        <f t="shared" si="91"/>
        <v>No</v>
      </c>
      <c r="O325" t="str">
        <f>IF(A325=WORKDAY(EOMONTH(A325,0)+1,-1,Bank_Holidays!$A$2:$A$25),"Yes","No")</f>
        <v>No</v>
      </c>
      <c r="P325" t="str">
        <f t="shared" si="92"/>
        <v>No</v>
      </c>
      <c r="Q325" t="str">
        <f t="shared" si="93"/>
        <v>No</v>
      </c>
      <c r="R325" s="5">
        <f t="shared" si="95"/>
        <v>0</v>
      </c>
      <c r="S325">
        <f>MOD(A325-Fortnightly_Model!$M$1,14)</f>
        <v>8</v>
      </c>
      <c r="T325">
        <f>MOD(A325-FourWeekly_Model!$M$1,28)</f>
        <v>22</v>
      </c>
    </row>
    <row r="326" spans="1:20">
      <c r="A326" s="25">
        <f t="shared" si="94"/>
        <v>46559</v>
      </c>
      <c r="B326">
        <f t="shared" si="80"/>
        <v>2027</v>
      </c>
      <c r="C326" s="9">
        <f t="shared" si="81"/>
        <v>6</v>
      </c>
      <c r="D326" s="9" t="str">
        <f t="shared" si="82"/>
        <v>June</v>
      </c>
      <c r="E326" s="9" t="str">
        <f t="shared" si="83"/>
        <v>Jun-27</v>
      </c>
      <c r="F326" s="9" t="str">
        <f t="shared" si="84"/>
        <v>Q2</v>
      </c>
      <c r="G326" s="9">
        <f t="shared" si="85"/>
        <v>21</v>
      </c>
      <c r="H326" s="9">
        <f t="shared" si="86"/>
        <v>1</v>
      </c>
      <c r="I326" s="9" t="str">
        <f t="shared" si="87"/>
        <v>Monday</v>
      </c>
      <c r="J326" s="9" t="str">
        <f t="shared" si="88"/>
        <v>No</v>
      </c>
      <c r="K326" s="5" t="str">
        <f>IF(COUNTIF(Bank_Holidays!A:A,A326)&gt;0,"Yes","No")</f>
        <v>No</v>
      </c>
      <c r="L326" t="str">
        <f t="shared" si="89"/>
        <v>Yes</v>
      </c>
      <c r="M326">
        <f t="shared" si="90"/>
        <v>25</v>
      </c>
      <c r="N326" s="5" t="str">
        <f t="shared" si="91"/>
        <v>No</v>
      </c>
      <c r="O326" t="str">
        <f>IF(A326=WORKDAY(EOMONTH(A326,0)+1,-1,Bank_Holidays!$A$2:$A$25),"Yes","No")</f>
        <v>No</v>
      </c>
      <c r="P326" t="str">
        <f t="shared" si="92"/>
        <v>No</v>
      </c>
      <c r="Q326" t="str">
        <f t="shared" si="93"/>
        <v>No</v>
      </c>
      <c r="R326" s="5">
        <f t="shared" si="95"/>
        <v>1</v>
      </c>
      <c r="S326">
        <f>MOD(A326-Fortnightly_Model!$M$1,14)</f>
        <v>9</v>
      </c>
      <c r="T326">
        <f>MOD(A326-FourWeekly_Model!$M$1,28)</f>
        <v>23</v>
      </c>
    </row>
    <row r="327" spans="1:20">
      <c r="A327" s="25">
        <f t="shared" si="94"/>
        <v>46560</v>
      </c>
      <c r="B327">
        <f t="shared" si="80"/>
        <v>2027</v>
      </c>
      <c r="C327" s="9">
        <f t="shared" si="81"/>
        <v>6</v>
      </c>
      <c r="D327" s="9" t="str">
        <f t="shared" si="82"/>
        <v>June</v>
      </c>
      <c r="E327" s="9" t="str">
        <f t="shared" si="83"/>
        <v>Jun-27</v>
      </c>
      <c r="F327" s="9" t="str">
        <f t="shared" si="84"/>
        <v>Q2</v>
      </c>
      <c r="G327" s="9">
        <f t="shared" si="85"/>
        <v>22</v>
      </c>
      <c r="H327" s="9">
        <f t="shared" si="86"/>
        <v>2</v>
      </c>
      <c r="I327" s="9" t="str">
        <f t="shared" si="87"/>
        <v>Tuesday</v>
      </c>
      <c r="J327" s="9" t="str">
        <f t="shared" si="88"/>
        <v>No</v>
      </c>
      <c r="K327" s="5" t="str">
        <f>IF(COUNTIF(Bank_Holidays!A:A,A327)&gt;0,"Yes","No")</f>
        <v>No</v>
      </c>
      <c r="L327" t="str">
        <f t="shared" si="89"/>
        <v>Yes</v>
      </c>
      <c r="M327">
        <f t="shared" si="90"/>
        <v>25</v>
      </c>
      <c r="N327" s="5" t="str">
        <f t="shared" si="91"/>
        <v>No</v>
      </c>
      <c r="O327" t="str">
        <f>IF(A327=WORKDAY(EOMONTH(A327,0)+1,-1,Bank_Holidays!$A$2:$A$25),"Yes","No")</f>
        <v>No</v>
      </c>
      <c r="P327" t="str">
        <f t="shared" si="92"/>
        <v>No</v>
      </c>
      <c r="Q327" t="str">
        <f t="shared" si="93"/>
        <v>No</v>
      </c>
      <c r="R327" s="5">
        <f t="shared" si="95"/>
        <v>1</v>
      </c>
      <c r="S327">
        <f>MOD(A327-Fortnightly_Model!$M$1,14)</f>
        <v>10</v>
      </c>
      <c r="T327">
        <f>MOD(A327-FourWeekly_Model!$M$1,28)</f>
        <v>24</v>
      </c>
    </row>
    <row r="328" spans="1:20">
      <c r="A328" s="25">
        <f t="shared" si="94"/>
        <v>46561</v>
      </c>
      <c r="B328">
        <f t="shared" si="80"/>
        <v>2027</v>
      </c>
      <c r="C328" s="9">
        <f t="shared" si="81"/>
        <v>6</v>
      </c>
      <c r="D328" s="9" t="str">
        <f t="shared" si="82"/>
        <v>June</v>
      </c>
      <c r="E328" s="9" t="str">
        <f t="shared" si="83"/>
        <v>Jun-27</v>
      </c>
      <c r="F328" s="9" t="str">
        <f t="shared" si="84"/>
        <v>Q2</v>
      </c>
      <c r="G328" s="9">
        <f t="shared" si="85"/>
        <v>23</v>
      </c>
      <c r="H328" s="9">
        <f t="shared" si="86"/>
        <v>3</v>
      </c>
      <c r="I328" s="9" t="str">
        <f t="shared" si="87"/>
        <v>Wednesday</v>
      </c>
      <c r="J328" s="9" t="str">
        <f t="shared" si="88"/>
        <v>No</v>
      </c>
      <c r="K328" s="5" t="str">
        <f>IF(COUNTIF(Bank_Holidays!A:A,A328)&gt;0,"Yes","No")</f>
        <v>No</v>
      </c>
      <c r="L328" t="str">
        <f t="shared" si="89"/>
        <v>Yes</v>
      </c>
      <c r="M328">
        <f t="shared" si="90"/>
        <v>25</v>
      </c>
      <c r="N328" s="5" t="str">
        <f t="shared" si="91"/>
        <v>No</v>
      </c>
      <c r="O328" t="str">
        <f>IF(A328=WORKDAY(EOMONTH(A328,0)+1,-1,Bank_Holidays!$A$2:$A$25),"Yes","No")</f>
        <v>No</v>
      </c>
      <c r="P328" t="str">
        <f t="shared" si="92"/>
        <v>No</v>
      </c>
      <c r="Q328" t="str">
        <f t="shared" si="93"/>
        <v>No</v>
      </c>
      <c r="R328" s="5">
        <f t="shared" si="95"/>
        <v>1</v>
      </c>
      <c r="S328">
        <f>MOD(A328-Fortnightly_Model!$M$1,14)</f>
        <v>11</v>
      </c>
      <c r="T328">
        <f>MOD(A328-FourWeekly_Model!$M$1,28)</f>
        <v>25</v>
      </c>
    </row>
    <row r="329" spans="1:20">
      <c r="A329" s="25">
        <f t="shared" si="94"/>
        <v>46562</v>
      </c>
      <c r="B329">
        <f t="shared" si="80"/>
        <v>2027</v>
      </c>
      <c r="C329" s="9">
        <f t="shared" si="81"/>
        <v>6</v>
      </c>
      <c r="D329" s="9" t="str">
        <f t="shared" si="82"/>
        <v>June</v>
      </c>
      <c r="E329" s="9" t="str">
        <f t="shared" si="83"/>
        <v>Jun-27</v>
      </c>
      <c r="F329" s="9" t="str">
        <f t="shared" si="84"/>
        <v>Q2</v>
      </c>
      <c r="G329" s="9">
        <f t="shared" si="85"/>
        <v>24</v>
      </c>
      <c r="H329" s="9">
        <f t="shared" si="86"/>
        <v>4</v>
      </c>
      <c r="I329" s="9" t="str">
        <f t="shared" si="87"/>
        <v>Thursday</v>
      </c>
      <c r="J329" s="9" t="str">
        <f t="shared" si="88"/>
        <v>No</v>
      </c>
      <c r="K329" s="5" t="str">
        <f>IF(COUNTIF(Bank_Holidays!A:A,A329)&gt;0,"Yes","No")</f>
        <v>No</v>
      </c>
      <c r="L329" t="str">
        <f t="shared" si="89"/>
        <v>Yes</v>
      </c>
      <c r="M329">
        <f t="shared" si="90"/>
        <v>25</v>
      </c>
      <c r="N329" s="5" t="str">
        <f t="shared" si="91"/>
        <v>No</v>
      </c>
      <c r="O329" t="str">
        <f>IF(A329=WORKDAY(EOMONTH(A329,0)+1,-1,Bank_Holidays!$A$2:$A$25),"Yes","No")</f>
        <v>No</v>
      </c>
      <c r="P329" t="str">
        <f t="shared" si="92"/>
        <v>No</v>
      </c>
      <c r="Q329" t="str">
        <f t="shared" si="93"/>
        <v>Yes</v>
      </c>
      <c r="R329" s="5">
        <f t="shared" si="95"/>
        <v>1</v>
      </c>
      <c r="S329">
        <f>MOD(A329-Fortnightly_Model!$M$1,14)</f>
        <v>12</v>
      </c>
      <c r="T329">
        <f>MOD(A329-FourWeekly_Model!$M$1,28)</f>
        <v>26</v>
      </c>
    </row>
    <row r="330" spans="1:20">
      <c r="A330" s="25">
        <f t="shared" si="94"/>
        <v>46563</v>
      </c>
      <c r="B330">
        <f t="shared" si="80"/>
        <v>2027</v>
      </c>
      <c r="C330" s="9">
        <f t="shared" si="81"/>
        <v>6</v>
      </c>
      <c r="D330" s="9" t="str">
        <f t="shared" si="82"/>
        <v>June</v>
      </c>
      <c r="E330" s="9" t="str">
        <f t="shared" si="83"/>
        <v>Jun-27</v>
      </c>
      <c r="F330" s="9" t="str">
        <f t="shared" si="84"/>
        <v>Q2</v>
      </c>
      <c r="G330" s="9">
        <f t="shared" si="85"/>
        <v>25</v>
      </c>
      <c r="H330" s="9">
        <f t="shared" si="86"/>
        <v>5</v>
      </c>
      <c r="I330" s="9" t="str">
        <f t="shared" si="87"/>
        <v>Friday</v>
      </c>
      <c r="J330" s="9" t="str">
        <f t="shared" si="88"/>
        <v>No</v>
      </c>
      <c r="K330" s="5" t="str">
        <f>IF(COUNTIF(Bank_Holidays!A:A,A330)&gt;0,"Yes","No")</f>
        <v>No</v>
      </c>
      <c r="L330" t="str">
        <f t="shared" si="89"/>
        <v>Yes</v>
      </c>
      <c r="M330">
        <f t="shared" si="90"/>
        <v>25</v>
      </c>
      <c r="N330" s="5" t="str">
        <f t="shared" si="91"/>
        <v>No</v>
      </c>
      <c r="O330" t="str">
        <f>IF(A330=WORKDAY(EOMONTH(A330,0)+1,-1,Bank_Holidays!$A$2:$A$25),"Yes","No")</f>
        <v>No</v>
      </c>
      <c r="P330" t="str">
        <f t="shared" si="92"/>
        <v>Yes</v>
      </c>
      <c r="Q330" t="str">
        <f t="shared" si="93"/>
        <v>No</v>
      </c>
      <c r="R330" s="5">
        <f t="shared" si="95"/>
        <v>3</v>
      </c>
      <c r="S330">
        <f>MOD(A330-Fortnightly_Model!$M$1,14)</f>
        <v>13</v>
      </c>
      <c r="T330">
        <f>MOD(A330-FourWeekly_Model!$M$1,28)</f>
        <v>27</v>
      </c>
    </row>
    <row r="331" spans="1:20">
      <c r="A331" s="25">
        <f t="shared" si="94"/>
        <v>46564</v>
      </c>
      <c r="B331">
        <f t="shared" si="80"/>
        <v>2027</v>
      </c>
      <c r="C331" s="9">
        <f t="shared" si="81"/>
        <v>6</v>
      </c>
      <c r="D331" s="9" t="str">
        <f t="shared" si="82"/>
        <v>June</v>
      </c>
      <c r="E331" s="9" t="str">
        <f t="shared" si="83"/>
        <v>Jun-27</v>
      </c>
      <c r="F331" s="9" t="str">
        <f t="shared" si="84"/>
        <v>Q2</v>
      </c>
      <c r="G331" s="9">
        <f t="shared" si="85"/>
        <v>26</v>
      </c>
      <c r="H331" s="9">
        <f t="shared" si="86"/>
        <v>6</v>
      </c>
      <c r="I331" s="9" t="str">
        <f t="shared" si="87"/>
        <v>Saturday</v>
      </c>
      <c r="J331" s="9" t="str">
        <f t="shared" si="88"/>
        <v>Yes</v>
      </c>
      <c r="K331" s="5" t="str">
        <f>IF(COUNTIF(Bank_Holidays!A:A,A331)&gt;0,"Yes","No")</f>
        <v>No</v>
      </c>
      <c r="L331" t="str">
        <f t="shared" si="89"/>
        <v>No</v>
      </c>
      <c r="M331">
        <f t="shared" si="90"/>
        <v>25</v>
      </c>
      <c r="N331" s="5" t="str">
        <f t="shared" si="91"/>
        <v>No</v>
      </c>
      <c r="O331" t="str">
        <f>IF(A331=WORKDAY(EOMONTH(A331,0)+1,-1,Bank_Holidays!$A$2:$A$25),"Yes","No")</f>
        <v>No</v>
      </c>
      <c r="P331" t="str">
        <f t="shared" si="92"/>
        <v>No</v>
      </c>
      <c r="Q331" t="str">
        <f t="shared" si="93"/>
        <v>No</v>
      </c>
      <c r="R331" s="5">
        <f t="shared" si="95"/>
        <v>0</v>
      </c>
      <c r="S331">
        <f>MOD(A331-Fortnightly_Model!$M$1,14)</f>
        <v>0</v>
      </c>
      <c r="T331">
        <f>MOD(A331-FourWeekly_Model!$M$1,28)</f>
        <v>0</v>
      </c>
    </row>
    <row r="332" spans="1:20">
      <c r="A332" s="25">
        <f t="shared" si="94"/>
        <v>46565</v>
      </c>
      <c r="B332">
        <f t="shared" si="80"/>
        <v>2027</v>
      </c>
      <c r="C332" s="9">
        <f t="shared" si="81"/>
        <v>6</v>
      </c>
      <c r="D332" s="9" t="str">
        <f t="shared" si="82"/>
        <v>June</v>
      </c>
      <c r="E332" s="9" t="str">
        <f t="shared" si="83"/>
        <v>Jun-27</v>
      </c>
      <c r="F332" s="9" t="str">
        <f t="shared" si="84"/>
        <v>Q2</v>
      </c>
      <c r="G332" s="9">
        <f t="shared" si="85"/>
        <v>27</v>
      </c>
      <c r="H332" s="9">
        <f t="shared" si="86"/>
        <v>7</v>
      </c>
      <c r="I332" s="9" t="str">
        <f t="shared" si="87"/>
        <v>Sunday</v>
      </c>
      <c r="J332" s="9" t="str">
        <f t="shared" si="88"/>
        <v>Yes</v>
      </c>
      <c r="K332" s="5" t="str">
        <f>IF(COUNTIF(Bank_Holidays!A:A,A332)&gt;0,"Yes","No")</f>
        <v>No</v>
      </c>
      <c r="L332" t="str">
        <f t="shared" si="89"/>
        <v>No</v>
      </c>
      <c r="M332">
        <f t="shared" si="90"/>
        <v>25</v>
      </c>
      <c r="N332" s="5" t="str">
        <f t="shared" si="91"/>
        <v>No</v>
      </c>
      <c r="O332" t="str">
        <f>IF(A332=WORKDAY(EOMONTH(A332,0)+1,-1,Bank_Holidays!$A$2:$A$25),"Yes","No")</f>
        <v>No</v>
      </c>
      <c r="P332" t="str">
        <f t="shared" si="92"/>
        <v>No</v>
      </c>
      <c r="Q332" t="str">
        <f t="shared" si="93"/>
        <v>No</v>
      </c>
      <c r="R332" s="5">
        <f t="shared" si="95"/>
        <v>0</v>
      </c>
      <c r="S332">
        <f>MOD(A332-Fortnightly_Model!$M$1,14)</f>
        <v>1</v>
      </c>
      <c r="T332">
        <f>MOD(A332-FourWeekly_Model!$M$1,28)</f>
        <v>1</v>
      </c>
    </row>
    <row r="333" spans="1:20">
      <c r="A333" s="25">
        <f t="shared" si="94"/>
        <v>46566</v>
      </c>
      <c r="B333">
        <f t="shared" si="80"/>
        <v>2027</v>
      </c>
      <c r="C333" s="9">
        <f t="shared" si="81"/>
        <v>6</v>
      </c>
      <c r="D333" s="9" t="str">
        <f t="shared" si="82"/>
        <v>June</v>
      </c>
      <c r="E333" s="9" t="str">
        <f t="shared" si="83"/>
        <v>Jun-27</v>
      </c>
      <c r="F333" s="9" t="str">
        <f t="shared" si="84"/>
        <v>Q2</v>
      </c>
      <c r="G333" s="9">
        <f t="shared" si="85"/>
        <v>28</v>
      </c>
      <c r="H333" s="9">
        <f t="shared" si="86"/>
        <v>1</v>
      </c>
      <c r="I333" s="9" t="str">
        <f t="shared" si="87"/>
        <v>Monday</v>
      </c>
      <c r="J333" s="9" t="str">
        <f t="shared" si="88"/>
        <v>No</v>
      </c>
      <c r="K333" s="5" t="str">
        <f>IF(COUNTIF(Bank_Holidays!A:A,A333)&gt;0,"Yes","No")</f>
        <v>No</v>
      </c>
      <c r="L333" t="str">
        <f t="shared" si="89"/>
        <v>Yes</v>
      </c>
      <c r="M333">
        <f t="shared" si="90"/>
        <v>26</v>
      </c>
      <c r="N333" s="5" t="str">
        <f t="shared" si="91"/>
        <v>No</v>
      </c>
      <c r="O333" t="str">
        <f>IF(A333=WORKDAY(EOMONTH(A333,0)+1,-1,Bank_Holidays!$A$2:$A$25),"Yes","No")</f>
        <v>No</v>
      </c>
      <c r="P333" t="str">
        <f t="shared" si="92"/>
        <v>No</v>
      </c>
      <c r="Q333" t="str">
        <f t="shared" si="93"/>
        <v>No</v>
      </c>
      <c r="R333" s="5">
        <f t="shared" si="95"/>
        <v>1</v>
      </c>
      <c r="S333">
        <f>MOD(A333-Fortnightly_Model!$M$1,14)</f>
        <v>2</v>
      </c>
      <c r="T333">
        <f>MOD(A333-FourWeekly_Model!$M$1,28)</f>
        <v>2</v>
      </c>
    </row>
    <row r="334" spans="1:20">
      <c r="A334" s="25">
        <f t="shared" si="94"/>
        <v>46567</v>
      </c>
      <c r="B334">
        <f t="shared" si="80"/>
        <v>2027</v>
      </c>
      <c r="C334" s="9">
        <f t="shared" si="81"/>
        <v>6</v>
      </c>
      <c r="D334" s="9" t="str">
        <f t="shared" si="82"/>
        <v>June</v>
      </c>
      <c r="E334" s="9" t="str">
        <f t="shared" si="83"/>
        <v>Jun-27</v>
      </c>
      <c r="F334" s="9" t="str">
        <f t="shared" si="84"/>
        <v>Q2</v>
      </c>
      <c r="G334" s="9">
        <f t="shared" si="85"/>
        <v>29</v>
      </c>
      <c r="H334" s="9">
        <f t="shared" si="86"/>
        <v>2</v>
      </c>
      <c r="I334" s="9" t="str">
        <f t="shared" si="87"/>
        <v>Tuesday</v>
      </c>
      <c r="J334" s="9" t="str">
        <f t="shared" si="88"/>
        <v>No</v>
      </c>
      <c r="K334" s="5" t="str">
        <f>IF(COUNTIF(Bank_Holidays!A:A,A334)&gt;0,"Yes","No")</f>
        <v>No</v>
      </c>
      <c r="L334" t="str">
        <f t="shared" si="89"/>
        <v>Yes</v>
      </c>
      <c r="M334">
        <f t="shared" si="90"/>
        <v>26</v>
      </c>
      <c r="N334" s="5" t="str">
        <f t="shared" si="91"/>
        <v>No</v>
      </c>
      <c r="O334" t="str">
        <f>IF(A334=WORKDAY(EOMONTH(A334,0)+1,-1,Bank_Holidays!$A$2:$A$25),"Yes","No")</f>
        <v>No</v>
      </c>
      <c r="P334" t="str">
        <f t="shared" si="92"/>
        <v>No</v>
      </c>
      <c r="Q334" t="str">
        <f t="shared" si="93"/>
        <v>No</v>
      </c>
      <c r="R334" s="5">
        <f t="shared" si="95"/>
        <v>1</v>
      </c>
      <c r="S334">
        <f>MOD(A334-Fortnightly_Model!$M$1,14)</f>
        <v>3</v>
      </c>
      <c r="T334">
        <f>MOD(A334-FourWeekly_Model!$M$1,28)</f>
        <v>3</v>
      </c>
    </row>
    <row r="335" spans="1:20">
      <c r="A335" s="25">
        <f t="shared" si="94"/>
        <v>46568</v>
      </c>
      <c r="B335">
        <f t="shared" si="80"/>
        <v>2027</v>
      </c>
      <c r="C335" s="9">
        <f t="shared" si="81"/>
        <v>6</v>
      </c>
      <c r="D335" s="9" t="str">
        <f t="shared" si="82"/>
        <v>June</v>
      </c>
      <c r="E335" s="9" t="str">
        <f t="shared" si="83"/>
        <v>Jun-27</v>
      </c>
      <c r="F335" s="9" t="str">
        <f t="shared" si="84"/>
        <v>Q2</v>
      </c>
      <c r="G335" s="9">
        <f t="shared" si="85"/>
        <v>30</v>
      </c>
      <c r="H335" s="9">
        <f t="shared" si="86"/>
        <v>3</v>
      </c>
      <c r="I335" s="9" t="str">
        <f t="shared" si="87"/>
        <v>Wednesday</v>
      </c>
      <c r="J335" s="9" t="str">
        <f t="shared" si="88"/>
        <v>No</v>
      </c>
      <c r="K335" s="5" t="str">
        <f>IF(COUNTIF(Bank_Holidays!A:A,A335)&gt;0,"Yes","No")</f>
        <v>No</v>
      </c>
      <c r="L335" t="str">
        <f t="shared" si="89"/>
        <v>Yes</v>
      </c>
      <c r="M335">
        <f t="shared" si="90"/>
        <v>26</v>
      </c>
      <c r="N335" s="5" t="str">
        <f t="shared" si="91"/>
        <v>Yes</v>
      </c>
      <c r="O335" t="str">
        <f>IF(A335=WORKDAY(EOMONTH(A335,0)+1,-1,Bank_Holidays!$A$2:$A$25),"Yes","No")</f>
        <v>Yes</v>
      </c>
      <c r="P335" t="str">
        <f t="shared" si="92"/>
        <v>No</v>
      </c>
      <c r="Q335" t="str">
        <f t="shared" si="93"/>
        <v>No</v>
      </c>
      <c r="R335" s="5">
        <f t="shared" si="95"/>
        <v>1</v>
      </c>
      <c r="S335">
        <f>MOD(A335-Fortnightly_Model!$M$1,14)</f>
        <v>4</v>
      </c>
      <c r="T335">
        <f>MOD(A335-FourWeekly_Model!$M$1,28)</f>
        <v>4</v>
      </c>
    </row>
    <row r="336" spans="1:20">
      <c r="A336" s="25">
        <f t="shared" si="94"/>
        <v>46569</v>
      </c>
      <c r="B336">
        <f t="shared" si="80"/>
        <v>2027</v>
      </c>
      <c r="C336" s="9">
        <f t="shared" si="81"/>
        <v>7</v>
      </c>
      <c r="D336" s="9" t="str">
        <f t="shared" si="82"/>
        <v>July</v>
      </c>
      <c r="E336" s="9" t="str">
        <f t="shared" si="83"/>
        <v>Jul-27</v>
      </c>
      <c r="F336" s="9" t="str">
        <f t="shared" si="84"/>
        <v>Q3</v>
      </c>
      <c r="G336" s="9">
        <f t="shared" si="85"/>
        <v>1</v>
      </c>
      <c r="H336" s="9">
        <f t="shared" si="86"/>
        <v>4</v>
      </c>
      <c r="I336" s="9" t="str">
        <f t="shared" si="87"/>
        <v>Thursday</v>
      </c>
      <c r="J336" s="9" t="str">
        <f t="shared" si="88"/>
        <v>No</v>
      </c>
      <c r="K336" s="5" t="str">
        <f>IF(COUNTIF(Bank_Holidays!A:A,A336)&gt;0,"Yes","No")</f>
        <v>No</v>
      </c>
      <c r="L336" t="str">
        <f t="shared" si="89"/>
        <v>Yes</v>
      </c>
      <c r="M336">
        <f t="shared" si="90"/>
        <v>26</v>
      </c>
      <c r="N336" s="5" t="str">
        <f t="shared" si="91"/>
        <v>No</v>
      </c>
      <c r="O336" t="str">
        <f>IF(A336=WORKDAY(EOMONTH(A336,0)+1,-1,Bank_Holidays!$A$2:$A$25),"Yes","No")</f>
        <v>No</v>
      </c>
      <c r="P336" t="str">
        <f t="shared" si="92"/>
        <v>No</v>
      </c>
      <c r="Q336" t="str">
        <f t="shared" si="93"/>
        <v>No</v>
      </c>
      <c r="R336" s="5">
        <f t="shared" si="95"/>
        <v>1</v>
      </c>
      <c r="S336">
        <f>MOD(A336-Fortnightly_Model!$M$1,14)</f>
        <v>5</v>
      </c>
      <c r="T336">
        <f>MOD(A336-FourWeekly_Model!$M$1,28)</f>
        <v>5</v>
      </c>
    </row>
    <row r="337" spans="1:20">
      <c r="A337" s="25">
        <f t="shared" si="94"/>
        <v>46570</v>
      </c>
      <c r="B337">
        <f t="shared" si="80"/>
        <v>2027</v>
      </c>
      <c r="C337" s="9">
        <f t="shared" si="81"/>
        <v>7</v>
      </c>
      <c r="D337" s="9" t="str">
        <f t="shared" si="82"/>
        <v>July</v>
      </c>
      <c r="E337" s="9" t="str">
        <f t="shared" si="83"/>
        <v>Jul-27</v>
      </c>
      <c r="F337" s="9" t="str">
        <f t="shared" si="84"/>
        <v>Q3</v>
      </c>
      <c r="G337" s="9">
        <f t="shared" si="85"/>
        <v>2</v>
      </c>
      <c r="H337" s="9">
        <f t="shared" si="86"/>
        <v>5</v>
      </c>
      <c r="I337" s="9" t="str">
        <f t="shared" si="87"/>
        <v>Friday</v>
      </c>
      <c r="J337" s="9" t="str">
        <f t="shared" si="88"/>
        <v>No</v>
      </c>
      <c r="K337" s="5" t="str">
        <f>IF(COUNTIF(Bank_Holidays!A:A,A337)&gt;0,"Yes","No")</f>
        <v>No</v>
      </c>
      <c r="L337" t="str">
        <f t="shared" si="89"/>
        <v>Yes</v>
      </c>
      <c r="M337">
        <f t="shared" si="90"/>
        <v>26</v>
      </c>
      <c r="N337" s="5" t="str">
        <f t="shared" si="91"/>
        <v>No</v>
      </c>
      <c r="O337" t="str">
        <f>IF(A337=WORKDAY(EOMONTH(A337,0)+1,-1,Bank_Holidays!$A$2:$A$25),"Yes","No")</f>
        <v>No</v>
      </c>
      <c r="P337" t="str">
        <f t="shared" si="92"/>
        <v>No</v>
      </c>
      <c r="Q337" t="str">
        <f t="shared" si="93"/>
        <v>No</v>
      </c>
      <c r="R337" s="5">
        <f t="shared" si="95"/>
        <v>3</v>
      </c>
      <c r="S337">
        <f>MOD(A337-Fortnightly_Model!$M$1,14)</f>
        <v>6</v>
      </c>
      <c r="T337">
        <f>MOD(A337-FourWeekly_Model!$M$1,28)</f>
        <v>6</v>
      </c>
    </row>
    <row r="338" spans="1:20">
      <c r="A338" s="25">
        <f t="shared" si="94"/>
        <v>46571</v>
      </c>
      <c r="B338">
        <f t="shared" si="80"/>
        <v>2027</v>
      </c>
      <c r="C338" s="9">
        <f t="shared" si="81"/>
        <v>7</v>
      </c>
      <c r="D338" s="9" t="str">
        <f t="shared" si="82"/>
        <v>July</v>
      </c>
      <c r="E338" s="9" t="str">
        <f t="shared" si="83"/>
        <v>Jul-27</v>
      </c>
      <c r="F338" s="9" t="str">
        <f t="shared" si="84"/>
        <v>Q3</v>
      </c>
      <c r="G338" s="9">
        <f t="shared" si="85"/>
        <v>3</v>
      </c>
      <c r="H338" s="9">
        <f t="shared" si="86"/>
        <v>6</v>
      </c>
      <c r="I338" s="9" t="str">
        <f t="shared" si="87"/>
        <v>Saturday</v>
      </c>
      <c r="J338" s="9" t="str">
        <f t="shared" si="88"/>
        <v>Yes</v>
      </c>
      <c r="K338" s="5" t="str">
        <f>IF(COUNTIF(Bank_Holidays!A:A,A338)&gt;0,"Yes","No")</f>
        <v>No</v>
      </c>
      <c r="L338" t="str">
        <f t="shared" si="89"/>
        <v>No</v>
      </c>
      <c r="M338">
        <f t="shared" si="90"/>
        <v>26</v>
      </c>
      <c r="N338" s="5" t="str">
        <f t="shared" si="91"/>
        <v>No</v>
      </c>
      <c r="O338" t="str">
        <f>IF(A338=WORKDAY(EOMONTH(A338,0)+1,-1,Bank_Holidays!$A$2:$A$25),"Yes","No")</f>
        <v>No</v>
      </c>
      <c r="P338" t="str">
        <f t="shared" si="92"/>
        <v>No</v>
      </c>
      <c r="Q338" t="str">
        <f t="shared" si="93"/>
        <v>No</v>
      </c>
      <c r="R338" s="5">
        <f t="shared" si="95"/>
        <v>0</v>
      </c>
      <c r="S338">
        <f>MOD(A338-Fortnightly_Model!$M$1,14)</f>
        <v>7</v>
      </c>
      <c r="T338">
        <f>MOD(A338-FourWeekly_Model!$M$1,28)</f>
        <v>7</v>
      </c>
    </row>
    <row r="339" spans="1:20">
      <c r="A339" s="25">
        <f t="shared" si="94"/>
        <v>46572</v>
      </c>
      <c r="B339">
        <f t="shared" si="80"/>
        <v>2027</v>
      </c>
      <c r="C339" s="9">
        <f t="shared" si="81"/>
        <v>7</v>
      </c>
      <c r="D339" s="9" t="str">
        <f t="shared" si="82"/>
        <v>July</v>
      </c>
      <c r="E339" s="9" t="str">
        <f t="shared" si="83"/>
        <v>Jul-27</v>
      </c>
      <c r="F339" s="9" t="str">
        <f t="shared" si="84"/>
        <v>Q3</v>
      </c>
      <c r="G339" s="9">
        <f t="shared" si="85"/>
        <v>4</v>
      </c>
      <c r="H339" s="9">
        <f t="shared" si="86"/>
        <v>7</v>
      </c>
      <c r="I339" s="9" t="str">
        <f t="shared" si="87"/>
        <v>Sunday</v>
      </c>
      <c r="J339" s="9" t="str">
        <f t="shared" si="88"/>
        <v>Yes</v>
      </c>
      <c r="K339" s="5" t="str">
        <f>IF(COUNTIF(Bank_Holidays!A:A,A339)&gt;0,"Yes","No")</f>
        <v>No</v>
      </c>
      <c r="L339" t="str">
        <f t="shared" si="89"/>
        <v>No</v>
      </c>
      <c r="M339">
        <f t="shared" si="90"/>
        <v>26</v>
      </c>
      <c r="N339" s="5" t="str">
        <f t="shared" si="91"/>
        <v>No</v>
      </c>
      <c r="O339" t="str">
        <f>IF(A339=WORKDAY(EOMONTH(A339,0)+1,-1,Bank_Holidays!$A$2:$A$25),"Yes","No")</f>
        <v>No</v>
      </c>
      <c r="P339" t="str">
        <f t="shared" si="92"/>
        <v>No</v>
      </c>
      <c r="Q339" t="str">
        <f t="shared" si="93"/>
        <v>No</v>
      </c>
      <c r="R339" s="5">
        <f t="shared" si="95"/>
        <v>0</v>
      </c>
      <c r="S339">
        <f>MOD(A339-Fortnightly_Model!$M$1,14)</f>
        <v>8</v>
      </c>
      <c r="T339">
        <f>MOD(A339-FourWeekly_Model!$M$1,28)</f>
        <v>8</v>
      </c>
    </row>
    <row r="340" spans="1:20">
      <c r="A340" s="25">
        <f t="shared" si="94"/>
        <v>46573</v>
      </c>
      <c r="B340">
        <f t="shared" si="80"/>
        <v>2027</v>
      </c>
      <c r="C340" s="9">
        <f t="shared" si="81"/>
        <v>7</v>
      </c>
      <c r="D340" s="9" t="str">
        <f t="shared" si="82"/>
        <v>July</v>
      </c>
      <c r="E340" s="9" t="str">
        <f t="shared" si="83"/>
        <v>Jul-27</v>
      </c>
      <c r="F340" s="9" t="str">
        <f t="shared" si="84"/>
        <v>Q3</v>
      </c>
      <c r="G340" s="9">
        <f t="shared" si="85"/>
        <v>5</v>
      </c>
      <c r="H340" s="9">
        <f t="shared" si="86"/>
        <v>1</v>
      </c>
      <c r="I340" s="9" t="str">
        <f t="shared" si="87"/>
        <v>Monday</v>
      </c>
      <c r="J340" s="9" t="str">
        <f t="shared" si="88"/>
        <v>No</v>
      </c>
      <c r="K340" s="5" t="str">
        <f>IF(COUNTIF(Bank_Holidays!A:A,A340)&gt;0,"Yes","No")</f>
        <v>No</v>
      </c>
      <c r="L340" t="str">
        <f t="shared" si="89"/>
        <v>Yes</v>
      </c>
      <c r="M340">
        <f t="shared" si="90"/>
        <v>27</v>
      </c>
      <c r="N340" s="5" t="str">
        <f t="shared" si="91"/>
        <v>No</v>
      </c>
      <c r="O340" t="str">
        <f>IF(A340=WORKDAY(EOMONTH(A340,0)+1,-1,Bank_Holidays!$A$2:$A$25),"Yes","No")</f>
        <v>No</v>
      </c>
      <c r="P340" t="str">
        <f t="shared" si="92"/>
        <v>No</v>
      </c>
      <c r="Q340" t="str">
        <f t="shared" si="93"/>
        <v>No</v>
      </c>
      <c r="R340" s="5">
        <f t="shared" si="95"/>
        <v>1</v>
      </c>
      <c r="S340">
        <f>MOD(A340-Fortnightly_Model!$M$1,14)</f>
        <v>9</v>
      </c>
      <c r="T340">
        <f>MOD(A340-FourWeekly_Model!$M$1,28)</f>
        <v>9</v>
      </c>
    </row>
    <row r="341" spans="1:20">
      <c r="A341" s="25">
        <f t="shared" si="94"/>
        <v>46574</v>
      </c>
      <c r="B341">
        <f t="shared" si="80"/>
        <v>2027</v>
      </c>
      <c r="C341" s="9">
        <f t="shared" si="81"/>
        <v>7</v>
      </c>
      <c r="D341" s="9" t="str">
        <f t="shared" si="82"/>
        <v>July</v>
      </c>
      <c r="E341" s="9" t="str">
        <f t="shared" si="83"/>
        <v>Jul-27</v>
      </c>
      <c r="F341" s="9" t="str">
        <f t="shared" si="84"/>
        <v>Q3</v>
      </c>
      <c r="G341" s="9">
        <f t="shared" si="85"/>
        <v>6</v>
      </c>
      <c r="H341" s="9">
        <f t="shared" si="86"/>
        <v>2</v>
      </c>
      <c r="I341" s="9" t="str">
        <f t="shared" si="87"/>
        <v>Tuesday</v>
      </c>
      <c r="J341" s="9" t="str">
        <f t="shared" si="88"/>
        <v>No</v>
      </c>
      <c r="K341" s="5" t="str">
        <f>IF(COUNTIF(Bank_Holidays!A:A,A341)&gt;0,"Yes","No")</f>
        <v>No</v>
      </c>
      <c r="L341" t="str">
        <f t="shared" si="89"/>
        <v>Yes</v>
      </c>
      <c r="M341">
        <f t="shared" si="90"/>
        <v>27</v>
      </c>
      <c r="N341" s="5" t="str">
        <f t="shared" si="91"/>
        <v>No</v>
      </c>
      <c r="O341" t="str">
        <f>IF(A341=WORKDAY(EOMONTH(A341,0)+1,-1,Bank_Holidays!$A$2:$A$25),"Yes","No")</f>
        <v>No</v>
      </c>
      <c r="P341" t="str">
        <f t="shared" si="92"/>
        <v>No</v>
      </c>
      <c r="Q341" t="str">
        <f t="shared" si="93"/>
        <v>No</v>
      </c>
      <c r="R341" s="5">
        <f t="shared" si="95"/>
        <v>1</v>
      </c>
      <c r="S341">
        <f>MOD(A341-Fortnightly_Model!$M$1,14)</f>
        <v>10</v>
      </c>
      <c r="T341">
        <f>MOD(A341-FourWeekly_Model!$M$1,28)</f>
        <v>10</v>
      </c>
    </row>
    <row r="342" spans="1:20">
      <c r="A342" s="25">
        <f t="shared" si="94"/>
        <v>46575</v>
      </c>
      <c r="B342">
        <f t="shared" si="80"/>
        <v>2027</v>
      </c>
      <c r="C342" s="9">
        <f t="shared" si="81"/>
        <v>7</v>
      </c>
      <c r="D342" s="9" t="str">
        <f t="shared" si="82"/>
        <v>July</v>
      </c>
      <c r="E342" s="9" t="str">
        <f t="shared" si="83"/>
        <v>Jul-27</v>
      </c>
      <c r="F342" s="9" t="str">
        <f t="shared" si="84"/>
        <v>Q3</v>
      </c>
      <c r="G342" s="9">
        <f t="shared" si="85"/>
        <v>7</v>
      </c>
      <c r="H342" s="9">
        <f t="shared" si="86"/>
        <v>3</v>
      </c>
      <c r="I342" s="9" t="str">
        <f t="shared" si="87"/>
        <v>Wednesday</v>
      </c>
      <c r="J342" s="9" t="str">
        <f t="shared" si="88"/>
        <v>No</v>
      </c>
      <c r="K342" s="5" t="str">
        <f>IF(COUNTIF(Bank_Holidays!A:A,A342)&gt;0,"Yes","No")</f>
        <v>No</v>
      </c>
      <c r="L342" t="str">
        <f t="shared" si="89"/>
        <v>Yes</v>
      </c>
      <c r="M342">
        <f t="shared" si="90"/>
        <v>27</v>
      </c>
      <c r="N342" s="5" t="str">
        <f t="shared" si="91"/>
        <v>No</v>
      </c>
      <c r="O342" t="str">
        <f>IF(A342=WORKDAY(EOMONTH(A342,0)+1,-1,Bank_Holidays!$A$2:$A$25),"Yes","No")</f>
        <v>No</v>
      </c>
      <c r="P342" t="str">
        <f t="shared" si="92"/>
        <v>No</v>
      </c>
      <c r="Q342" t="str">
        <f t="shared" si="93"/>
        <v>No</v>
      </c>
      <c r="R342" s="5">
        <f t="shared" si="95"/>
        <v>1</v>
      </c>
      <c r="S342">
        <f>MOD(A342-Fortnightly_Model!$M$1,14)</f>
        <v>11</v>
      </c>
      <c r="T342">
        <f>MOD(A342-FourWeekly_Model!$M$1,28)</f>
        <v>11</v>
      </c>
    </row>
    <row r="343" spans="1:20">
      <c r="A343" s="25">
        <f t="shared" si="94"/>
        <v>46576</v>
      </c>
      <c r="B343">
        <f t="shared" si="80"/>
        <v>2027</v>
      </c>
      <c r="C343" s="9">
        <f t="shared" si="81"/>
        <v>7</v>
      </c>
      <c r="D343" s="9" t="str">
        <f t="shared" si="82"/>
        <v>July</v>
      </c>
      <c r="E343" s="9" t="str">
        <f t="shared" si="83"/>
        <v>Jul-27</v>
      </c>
      <c r="F343" s="9" t="str">
        <f t="shared" si="84"/>
        <v>Q3</v>
      </c>
      <c r="G343" s="9">
        <f t="shared" si="85"/>
        <v>8</v>
      </c>
      <c r="H343" s="9">
        <f t="shared" si="86"/>
        <v>4</v>
      </c>
      <c r="I343" s="9" t="str">
        <f t="shared" si="87"/>
        <v>Thursday</v>
      </c>
      <c r="J343" s="9" t="str">
        <f t="shared" si="88"/>
        <v>No</v>
      </c>
      <c r="K343" s="5" t="str">
        <f>IF(COUNTIF(Bank_Holidays!A:A,A343)&gt;0,"Yes","No")</f>
        <v>No</v>
      </c>
      <c r="L343" t="str">
        <f t="shared" si="89"/>
        <v>Yes</v>
      </c>
      <c r="M343">
        <f t="shared" si="90"/>
        <v>27</v>
      </c>
      <c r="N343" s="5" t="str">
        <f t="shared" si="91"/>
        <v>No</v>
      </c>
      <c r="O343" t="str">
        <f>IF(A343=WORKDAY(EOMONTH(A343,0)+1,-1,Bank_Holidays!$A$2:$A$25),"Yes","No")</f>
        <v>No</v>
      </c>
      <c r="P343" t="str">
        <f t="shared" si="92"/>
        <v>No</v>
      </c>
      <c r="Q343" t="str">
        <f t="shared" si="93"/>
        <v>No</v>
      </c>
      <c r="R343" s="5">
        <f t="shared" si="95"/>
        <v>1</v>
      </c>
      <c r="S343">
        <f>MOD(A343-Fortnightly_Model!$M$1,14)</f>
        <v>12</v>
      </c>
      <c r="T343">
        <f>MOD(A343-FourWeekly_Model!$M$1,28)</f>
        <v>12</v>
      </c>
    </row>
    <row r="344" spans="1:20">
      <c r="A344" s="25">
        <f t="shared" si="94"/>
        <v>46577</v>
      </c>
      <c r="B344">
        <f t="shared" si="80"/>
        <v>2027</v>
      </c>
      <c r="C344" s="9">
        <f t="shared" si="81"/>
        <v>7</v>
      </c>
      <c r="D344" s="9" t="str">
        <f t="shared" si="82"/>
        <v>July</v>
      </c>
      <c r="E344" s="9" t="str">
        <f t="shared" si="83"/>
        <v>Jul-27</v>
      </c>
      <c r="F344" s="9" t="str">
        <f t="shared" si="84"/>
        <v>Q3</v>
      </c>
      <c r="G344" s="9">
        <f t="shared" si="85"/>
        <v>9</v>
      </c>
      <c r="H344" s="9">
        <f t="shared" si="86"/>
        <v>5</v>
      </c>
      <c r="I344" s="9" t="str">
        <f t="shared" si="87"/>
        <v>Friday</v>
      </c>
      <c r="J344" s="9" t="str">
        <f t="shared" si="88"/>
        <v>No</v>
      </c>
      <c r="K344" s="5" t="str">
        <f>IF(COUNTIF(Bank_Holidays!A:A,A344)&gt;0,"Yes","No")</f>
        <v>No</v>
      </c>
      <c r="L344" t="str">
        <f t="shared" si="89"/>
        <v>Yes</v>
      </c>
      <c r="M344">
        <f t="shared" si="90"/>
        <v>27</v>
      </c>
      <c r="N344" s="5" t="str">
        <f t="shared" si="91"/>
        <v>No</v>
      </c>
      <c r="O344" t="str">
        <f>IF(A344=WORKDAY(EOMONTH(A344,0)+1,-1,Bank_Holidays!$A$2:$A$25),"Yes","No")</f>
        <v>No</v>
      </c>
      <c r="P344" t="str">
        <f t="shared" si="92"/>
        <v>No</v>
      </c>
      <c r="Q344" t="str">
        <f t="shared" si="93"/>
        <v>No</v>
      </c>
      <c r="R344" s="5">
        <f t="shared" si="95"/>
        <v>3</v>
      </c>
      <c r="S344">
        <f>MOD(A344-Fortnightly_Model!$M$1,14)</f>
        <v>13</v>
      </c>
      <c r="T344">
        <f>MOD(A344-FourWeekly_Model!$M$1,28)</f>
        <v>13</v>
      </c>
    </row>
    <row r="345" spans="1:20">
      <c r="A345" s="25">
        <f t="shared" si="94"/>
        <v>46578</v>
      </c>
      <c r="B345">
        <f t="shared" si="80"/>
        <v>2027</v>
      </c>
      <c r="C345" s="9">
        <f t="shared" si="81"/>
        <v>7</v>
      </c>
      <c r="D345" s="9" t="str">
        <f t="shared" si="82"/>
        <v>July</v>
      </c>
      <c r="E345" s="9" t="str">
        <f t="shared" si="83"/>
        <v>Jul-27</v>
      </c>
      <c r="F345" s="9" t="str">
        <f t="shared" si="84"/>
        <v>Q3</v>
      </c>
      <c r="G345" s="9">
        <f t="shared" si="85"/>
        <v>10</v>
      </c>
      <c r="H345" s="9">
        <f t="shared" si="86"/>
        <v>6</v>
      </c>
      <c r="I345" s="9" t="str">
        <f t="shared" si="87"/>
        <v>Saturday</v>
      </c>
      <c r="J345" s="9" t="str">
        <f t="shared" si="88"/>
        <v>Yes</v>
      </c>
      <c r="K345" s="5" t="str">
        <f>IF(COUNTIF(Bank_Holidays!A:A,A345)&gt;0,"Yes","No")</f>
        <v>No</v>
      </c>
      <c r="L345" t="str">
        <f t="shared" si="89"/>
        <v>No</v>
      </c>
      <c r="M345">
        <f t="shared" si="90"/>
        <v>27</v>
      </c>
      <c r="N345" s="5" t="str">
        <f t="shared" si="91"/>
        <v>No</v>
      </c>
      <c r="O345" t="str">
        <f>IF(A345=WORKDAY(EOMONTH(A345,0)+1,-1,Bank_Holidays!$A$2:$A$25),"Yes","No")</f>
        <v>No</v>
      </c>
      <c r="P345" t="str">
        <f t="shared" si="92"/>
        <v>No</v>
      </c>
      <c r="Q345" t="str">
        <f t="shared" si="93"/>
        <v>No</v>
      </c>
      <c r="R345" s="5">
        <f t="shared" si="95"/>
        <v>0</v>
      </c>
      <c r="S345">
        <f>MOD(A345-Fortnightly_Model!$M$1,14)</f>
        <v>0</v>
      </c>
      <c r="T345">
        <f>MOD(A345-FourWeekly_Model!$M$1,28)</f>
        <v>14</v>
      </c>
    </row>
    <row r="346" spans="1:20">
      <c r="A346" s="25">
        <f t="shared" si="94"/>
        <v>46579</v>
      </c>
      <c r="B346">
        <f t="shared" si="80"/>
        <v>2027</v>
      </c>
      <c r="C346" s="9">
        <f t="shared" si="81"/>
        <v>7</v>
      </c>
      <c r="D346" s="9" t="str">
        <f t="shared" si="82"/>
        <v>July</v>
      </c>
      <c r="E346" s="9" t="str">
        <f t="shared" si="83"/>
        <v>Jul-27</v>
      </c>
      <c r="F346" s="9" t="str">
        <f t="shared" si="84"/>
        <v>Q3</v>
      </c>
      <c r="G346" s="9">
        <f t="shared" si="85"/>
        <v>11</v>
      </c>
      <c r="H346" s="9">
        <f t="shared" si="86"/>
        <v>7</v>
      </c>
      <c r="I346" s="9" t="str">
        <f t="shared" si="87"/>
        <v>Sunday</v>
      </c>
      <c r="J346" s="9" t="str">
        <f t="shared" si="88"/>
        <v>Yes</v>
      </c>
      <c r="K346" s="5" t="str">
        <f>IF(COUNTIF(Bank_Holidays!A:A,A346)&gt;0,"Yes","No")</f>
        <v>No</v>
      </c>
      <c r="L346" t="str">
        <f t="shared" si="89"/>
        <v>No</v>
      </c>
      <c r="M346">
        <f t="shared" si="90"/>
        <v>27</v>
      </c>
      <c r="N346" s="5" t="str">
        <f t="shared" si="91"/>
        <v>No</v>
      </c>
      <c r="O346" t="str">
        <f>IF(A346=WORKDAY(EOMONTH(A346,0)+1,-1,Bank_Holidays!$A$2:$A$25),"Yes","No")</f>
        <v>No</v>
      </c>
      <c r="P346" t="str">
        <f t="shared" si="92"/>
        <v>No</v>
      </c>
      <c r="Q346" t="str">
        <f t="shared" si="93"/>
        <v>No</v>
      </c>
      <c r="R346" s="5">
        <f t="shared" si="95"/>
        <v>0</v>
      </c>
      <c r="S346">
        <f>MOD(A346-Fortnightly_Model!$M$1,14)</f>
        <v>1</v>
      </c>
      <c r="T346">
        <f>MOD(A346-FourWeekly_Model!$M$1,28)</f>
        <v>15</v>
      </c>
    </row>
    <row r="347" spans="1:20">
      <c r="A347" s="25">
        <f t="shared" si="94"/>
        <v>46580</v>
      </c>
      <c r="B347">
        <f t="shared" si="80"/>
        <v>2027</v>
      </c>
      <c r="C347" s="9">
        <f t="shared" si="81"/>
        <v>7</v>
      </c>
      <c r="D347" s="9" t="str">
        <f t="shared" si="82"/>
        <v>July</v>
      </c>
      <c r="E347" s="9" t="str">
        <f t="shared" si="83"/>
        <v>Jul-27</v>
      </c>
      <c r="F347" s="9" t="str">
        <f t="shared" si="84"/>
        <v>Q3</v>
      </c>
      <c r="G347" s="9">
        <f t="shared" si="85"/>
        <v>12</v>
      </c>
      <c r="H347" s="9">
        <f t="shared" si="86"/>
        <v>1</v>
      </c>
      <c r="I347" s="9" t="str">
        <f t="shared" si="87"/>
        <v>Monday</v>
      </c>
      <c r="J347" s="9" t="str">
        <f t="shared" si="88"/>
        <v>No</v>
      </c>
      <c r="K347" s="5" t="str">
        <f>IF(COUNTIF(Bank_Holidays!A:A,A347)&gt;0,"Yes","No")</f>
        <v>No</v>
      </c>
      <c r="L347" t="str">
        <f t="shared" si="89"/>
        <v>Yes</v>
      </c>
      <c r="M347">
        <f t="shared" si="90"/>
        <v>28</v>
      </c>
      <c r="N347" s="5" t="str">
        <f t="shared" si="91"/>
        <v>No</v>
      </c>
      <c r="O347" t="str">
        <f>IF(A347=WORKDAY(EOMONTH(A347,0)+1,-1,Bank_Holidays!$A$2:$A$25),"Yes","No")</f>
        <v>No</v>
      </c>
      <c r="P347" t="str">
        <f t="shared" si="92"/>
        <v>No</v>
      </c>
      <c r="Q347" t="str">
        <f t="shared" si="93"/>
        <v>No</v>
      </c>
      <c r="R347" s="5">
        <f t="shared" si="95"/>
        <v>1</v>
      </c>
      <c r="S347">
        <f>MOD(A347-Fortnightly_Model!$M$1,14)</f>
        <v>2</v>
      </c>
      <c r="T347">
        <f>MOD(A347-FourWeekly_Model!$M$1,28)</f>
        <v>16</v>
      </c>
    </row>
    <row r="348" spans="1:20">
      <c r="A348" s="25">
        <f t="shared" si="94"/>
        <v>46581</v>
      </c>
      <c r="B348">
        <f t="shared" si="80"/>
        <v>2027</v>
      </c>
      <c r="C348" s="9">
        <f t="shared" si="81"/>
        <v>7</v>
      </c>
      <c r="D348" s="9" t="str">
        <f t="shared" si="82"/>
        <v>July</v>
      </c>
      <c r="E348" s="9" t="str">
        <f t="shared" si="83"/>
        <v>Jul-27</v>
      </c>
      <c r="F348" s="9" t="str">
        <f t="shared" si="84"/>
        <v>Q3</v>
      </c>
      <c r="G348" s="9">
        <f t="shared" si="85"/>
        <v>13</v>
      </c>
      <c r="H348" s="9">
        <f t="shared" si="86"/>
        <v>2</v>
      </c>
      <c r="I348" s="9" t="str">
        <f t="shared" si="87"/>
        <v>Tuesday</v>
      </c>
      <c r="J348" s="9" t="str">
        <f t="shared" si="88"/>
        <v>No</v>
      </c>
      <c r="K348" s="5" t="str">
        <f>IF(COUNTIF(Bank_Holidays!A:A,A348)&gt;0,"Yes","No")</f>
        <v>No</v>
      </c>
      <c r="L348" t="str">
        <f t="shared" si="89"/>
        <v>Yes</v>
      </c>
      <c r="M348">
        <f t="shared" si="90"/>
        <v>28</v>
      </c>
      <c r="N348" s="5" t="str">
        <f t="shared" si="91"/>
        <v>No</v>
      </c>
      <c r="O348" t="str">
        <f>IF(A348=WORKDAY(EOMONTH(A348,0)+1,-1,Bank_Holidays!$A$2:$A$25),"Yes","No")</f>
        <v>No</v>
      </c>
      <c r="P348" t="str">
        <f t="shared" si="92"/>
        <v>No</v>
      </c>
      <c r="Q348" t="str">
        <f t="shared" si="93"/>
        <v>No</v>
      </c>
      <c r="R348" s="5">
        <f t="shared" si="95"/>
        <v>1</v>
      </c>
      <c r="S348">
        <f>MOD(A348-Fortnightly_Model!$M$1,14)</f>
        <v>3</v>
      </c>
      <c r="T348">
        <f>MOD(A348-FourWeekly_Model!$M$1,28)</f>
        <v>17</v>
      </c>
    </row>
    <row r="349" spans="1:20">
      <c r="A349" s="25">
        <f t="shared" si="94"/>
        <v>46582</v>
      </c>
      <c r="B349">
        <f t="shared" si="80"/>
        <v>2027</v>
      </c>
      <c r="C349" s="9">
        <f t="shared" si="81"/>
        <v>7</v>
      </c>
      <c r="D349" s="9" t="str">
        <f t="shared" si="82"/>
        <v>July</v>
      </c>
      <c r="E349" s="9" t="str">
        <f t="shared" si="83"/>
        <v>Jul-27</v>
      </c>
      <c r="F349" s="9" t="str">
        <f t="shared" si="84"/>
        <v>Q3</v>
      </c>
      <c r="G349" s="9">
        <f t="shared" si="85"/>
        <v>14</v>
      </c>
      <c r="H349" s="9">
        <f t="shared" si="86"/>
        <v>3</v>
      </c>
      <c r="I349" s="9" t="str">
        <f t="shared" si="87"/>
        <v>Wednesday</v>
      </c>
      <c r="J349" s="9" t="str">
        <f t="shared" si="88"/>
        <v>No</v>
      </c>
      <c r="K349" s="5" t="str">
        <f>IF(COUNTIF(Bank_Holidays!A:A,A349)&gt;0,"Yes","No")</f>
        <v>No</v>
      </c>
      <c r="L349" t="str">
        <f t="shared" si="89"/>
        <v>Yes</v>
      </c>
      <c r="M349">
        <f t="shared" si="90"/>
        <v>28</v>
      </c>
      <c r="N349" s="5" t="str">
        <f t="shared" si="91"/>
        <v>No</v>
      </c>
      <c r="O349" t="str">
        <f>IF(A349=WORKDAY(EOMONTH(A349,0)+1,-1,Bank_Holidays!$A$2:$A$25),"Yes","No")</f>
        <v>No</v>
      </c>
      <c r="P349" t="str">
        <f t="shared" si="92"/>
        <v>No</v>
      </c>
      <c r="Q349" t="str">
        <f t="shared" si="93"/>
        <v>No</v>
      </c>
      <c r="R349" s="5">
        <f t="shared" si="95"/>
        <v>1</v>
      </c>
      <c r="S349">
        <f>MOD(A349-Fortnightly_Model!$M$1,14)</f>
        <v>4</v>
      </c>
      <c r="T349">
        <f>MOD(A349-FourWeekly_Model!$M$1,28)</f>
        <v>18</v>
      </c>
    </row>
    <row r="350" spans="1:20">
      <c r="A350" s="25">
        <f t="shared" si="94"/>
        <v>46583</v>
      </c>
      <c r="B350">
        <f t="shared" si="80"/>
        <v>2027</v>
      </c>
      <c r="C350" s="9">
        <f t="shared" si="81"/>
        <v>7</v>
      </c>
      <c r="D350" s="9" t="str">
        <f t="shared" si="82"/>
        <v>July</v>
      </c>
      <c r="E350" s="9" t="str">
        <f t="shared" si="83"/>
        <v>Jul-27</v>
      </c>
      <c r="F350" s="9" t="str">
        <f t="shared" si="84"/>
        <v>Q3</v>
      </c>
      <c r="G350" s="9">
        <f t="shared" si="85"/>
        <v>15</v>
      </c>
      <c r="H350" s="9">
        <f t="shared" si="86"/>
        <v>4</v>
      </c>
      <c r="I350" s="9" t="str">
        <f t="shared" si="87"/>
        <v>Thursday</v>
      </c>
      <c r="J350" s="9" t="str">
        <f t="shared" si="88"/>
        <v>No</v>
      </c>
      <c r="K350" s="5" t="str">
        <f>IF(COUNTIF(Bank_Holidays!A:A,A350)&gt;0,"Yes","No")</f>
        <v>No</v>
      </c>
      <c r="L350" t="str">
        <f t="shared" si="89"/>
        <v>Yes</v>
      </c>
      <c r="M350">
        <f t="shared" si="90"/>
        <v>28</v>
      </c>
      <c r="N350" s="5" t="str">
        <f t="shared" si="91"/>
        <v>No</v>
      </c>
      <c r="O350" t="str">
        <f>IF(A350=WORKDAY(EOMONTH(A350,0)+1,-1,Bank_Holidays!$A$2:$A$25),"Yes","No")</f>
        <v>No</v>
      </c>
      <c r="P350" t="str">
        <f t="shared" si="92"/>
        <v>No</v>
      </c>
      <c r="Q350" t="str">
        <f t="shared" si="93"/>
        <v>No</v>
      </c>
      <c r="R350" s="5">
        <f t="shared" si="95"/>
        <v>1</v>
      </c>
      <c r="S350">
        <f>MOD(A350-Fortnightly_Model!$M$1,14)</f>
        <v>5</v>
      </c>
      <c r="T350">
        <f>MOD(A350-FourWeekly_Model!$M$1,28)</f>
        <v>19</v>
      </c>
    </row>
    <row r="351" spans="1:20">
      <c r="A351" s="25">
        <f t="shared" si="94"/>
        <v>46584</v>
      </c>
      <c r="B351">
        <f t="shared" si="80"/>
        <v>2027</v>
      </c>
      <c r="C351" s="9">
        <f t="shared" si="81"/>
        <v>7</v>
      </c>
      <c r="D351" s="9" t="str">
        <f t="shared" si="82"/>
        <v>July</v>
      </c>
      <c r="E351" s="9" t="str">
        <f t="shared" si="83"/>
        <v>Jul-27</v>
      </c>
      <c r="F351" s="9" t="str">
        <f t="shared" si="84"/>
        <v>Q3</v>
      </c>
      <c r="G351" s="9">
        <f t="shared" si="85"/>
        <v>16</v>
      </c>
      <c r="H351" s="9">
        <f t="shared" si="86"/>
        <v>5</v>
      </c>
      <c r="I351" s="9" t="str">
        <f t="shared" si="87"/>
        <v>Friday</v>
      </c>
      <c r="J351" s="9" t="str">
        <f t="shared" si="88"/>
        <v>No</v>
      </c>
      <c r="K351" s="5" t="str">
        <f>IF(COUNTIF(Bank_Holidays!A:A,A351)&gt;0,"Yes","No")</f>
        <v>No</v>
      </c>
      <c r="L351" t="str">
        <f t="shared" si="89"/>
        <v>Yes</v>
      </c>
      <c r="M351">
        <f t="shared" si="90"/>
        <v>28</v>
      </c>
      <c r="N351" s="5" t="str">
        <f t="shared" si="91"/>
        <v>No</v>
      </c>
      <c r="O351" t="str">
        <f>IF(A351=WORKDAY(EOMONTH(A351,0)+1,-1,Bank_Holidays!$A$2:$A$25),"Yes","No")</f>
        <v>No</v>
      </c>
      <c r="P351" t="str">
        <f t="shared" si="92"/>
        <v>No</v>
      </c>
      <c r="Q351" t="str">
        <f t="shared" si="93"/>
        <v>No</v>
      </c>
      <c r="R351" s="5">
        <f t="shared" si="95"/>
        <v>3</v>
      </c>
      <c r="S351">
        <f>MOD(A351-Fortnightly_Model!$M$1,14)</f>
        <v>6</v>
      </c>
      <c r="T351">
        <f>MOD(A351-FourWeekly_Model!$M$1,28)</f>
        <v>20</v>
      </c>
    </row>
    <row r="352" spans="1:20">
      <c r="A352" s="25">
        <f t="shared" si="94"/>
        <v>46585</v>
      </c>
      <c r="B352">
        <f t="shared" si="80"/>
        <v>2027</v>
      </c>
      <c r="C352" s="9">
        <f t="shared" si="81"/>
        <v>7</v>
      </c>
      <c r="D352" s="9" t="str">
        <f t="shared" si="82"/>
        <v>July</v>
      </c>
      <c r="E352" s="9" t="str">
        <f t="shared" si="83"/>
        <v>Jul-27</v>
      </c>
      <c r="F352" s="9" t="str">
        <f t="shared" si="84"/>
        <v>Q3</v>
      </c>
      <c r="G352" s="9">
        <f t="shared" si="85"/>
        <v>17</v>
      </c>
      <c r="H352" s="9">
        <f t="shared" si="86"/>
        <v>6</v>
      </c>
      <c r="I352" s="9" t="str">
        <f t="shared" si="87"/>
        <v>Saturday</v>
      </c>
      <c r="J352" s="9" t="str">
        <f t="shared" si="88"/>
        <v>Yes</v>
      </c>
      <c r="K352" s="5" t="str">
        <f>IF(COUNTIF(Bank_Holidays!A:A,A352)&gt;0,"Yes","No")</f>
        <v>No</v>
      </c>
      <c r="L352" t="str">
        <f t="shared" si="89"/>
        <v>No</v>
      </c>
      <c r="M352">
        <f t="shared" si="90"/>
        <v>28</v>
      </c>
      <c r="N352" s="5" t="str">
        <f t="shared" si="91"/>
        <v>No</v>
      </c>
      <c r="O352" t="str">
        <f>IF(A352=WORKDAY(EOMONTH(A352,0)+1,-1,Bank_Holidays!$A$2:$A$25),"Yes","No")</f>
        <v>No</v>
      </c>
      <c r="P352" t="str">
        <f t="shared" si="92"/>
        <v>No</v>
      </c>
      <c r="Q352" t="str">
        <f t="shared" si="93"/>
        <v>No</v>
      </c>
      <c r="R352" s="5">
        <f t="shared" si="95"/>
        <v>0</v>
      </c>
      <c r="S352">
        <f>MOD(A352-Fortnightly_Model!$M$1,14)</f>
        <v>7</v>
      </c>
      <c r="T352">
        <f>MOD(A352-FourWeekly_Model!$M$1,28)</f>
        <v>21</v>
      </c>
    </row>
    <row r="353" spans="1:20">
      <c r="A353" s="25">
        <f t="shared" si="94"/>
        <v>46586</v>
      </c>
      <c r="B353">
        <f t="shared" si="80"/>
        <v>2027</v>
      </c>
      <c r="C353" s="9">
        <f t="shared" si="81"/>
        <v>7</v>
      </c>
      <c r="D353" s="9" t="str">
        <f t="shared" si="82"/>
        <v>July</v>
      </c>
      <c r="E353" s="9" t="str">
        <f t="shared" si="83"/>
        <v>Jul-27</v>
      </c>
      <c r="F353" s="9" t="str">
        <f t="shared" si="84"/>
        <v>Q3</v>
      </c>
      <c r="G353" s="9">
        <f t="shared" si="85"/>
        <v>18</v>
      </c>
      <c r="H353" s="9">
        <f t="shared" si="86"/>
        <v>7</v>
      </c>
      <c r="I353" s="9" t="str">
        <f t="shared" si="87"/>
        <v>Sunday</v>
      </c>
      <c r="J353" s="9" t="str">
        <f t="shared" si="88"/>
        <v>Yes</v>
      </c>
      <c r="K353" s="5" t="str">
        <f>IF(COUNTIF(Bank_Holidays!A:A,A353)&gt;0,"Yes","No")</f>
        <v>No</v>
      </c>
      <c r="L353" t="str">
        <f t="shared" si="89"/>
        <v>No</v>
      </c>
      <c r="M353">
        <f t="shared" si="90"/>
        <v>28</v>
      </c>
      <c r="N353" s="5" t="str">
        <f t="shared" si="91"/>
        <v>No</v>
      </c>
      <c r="O353" t="str">
        <f>IF(A353=WORKDAY(EOMONTH(A353,0)+1,-1,Bank_Holidays!$A$2:$A$25),"Yes","No")</f>
        <v>No</v>
      </c>
      <c r="P353" t="str">
        <f t="shared" si="92"/>
        <v>No</v>
      </c>
      <c r="Q353" t="str">
        <f t="shared" si="93"/>
        <v>No</v>
      </c>
      <c r="R353" s="5">
        <f t="shared" si="95"/>
        <v>0</v>
      </c>
      <c r="S353">
        <f>MOD(A353-Fortnightly_Model!$M$1,14)</f>
        <v>8</v>
      </c>
      <c r="T353">
        <f>MOD(A353-FourWeekly_Model!$M$1,28)</f>
        <v>22</v>
      </c>
    </row>
    <row r="354" spans="1:20">
      <c r="A354" s="25">
        <f t="shared" si="94"/>
        <v>46587</v>
      </c>
      <c r="B354">
        <f t="shared" si="80"/>
        <v>2027</v>
      </c>
      <c r="C354" s="9">
        <f t="shared" si="81"/>
        <v>7</v>
      </c>
      <c r="D354" s="9" t="str">
        <f t="shared" si="82"/>
        <v>July</v>
      </c>
      <c r="E354" s="9" t="str">
        <f t="shared" si="83"/>
        <v>Jul-27</v>
      </c>
      <c r="F354" s="9" t="str">
        <f t="shared" si="84"/>
        <v>Q3</v>
      </c>
      <c r="G354" s="9">
        <f t="shared" si="85"/>
        <v>19</v>
      </c>
      <c r="H354" s="9">
        <f t="shared" si="86"/>
        <v>1</v>
      </c>
      <c r="I354" s="9" t="str">
        <f t="shared" si="87"/>
        <v>Monday</v>
      </c>
      <c r="J354" s="9" t="str">
        <f t="shared" si="88"/>
        <v>No</v>
      </c>
      <c r="K354" s="5" t="str">
        <f>IF(COUNTIF(Bank_Holidays!A:A,A354)&gt;0,"Yes","No")</f>
        <v>No</v>
      </c>
      <c r="L354" t="str">
        <f t="shared" si="89"/>
        <v>Yes</v>
      </c>
      <c r="M354">
        <f t="shared" si="90"/>
        <v>29</v>
      </c>
      <c r="N354" s="5" t="str">
        <f t="shared" si="91"/>
        <v>No</v>
      </c>
      <c r="O354" t="str">
        <f>IF(A354=WORKDAY(EOMONTH(A354,0)+1,-1,Bank_Holidays!$A$2:$A$25),"Yes","No")</f>
        <v>No</v>
      </c>
      <c r="P354" t="str">
        <f t="shared" si="92"/>
        <v>No</v>
      </c>
      <c r="Q354" t="str">
        <f t="shared" si="93"/>
        <v>No</v>
      </c>
      <c r="R354" s="5">
        <f t="shared" si="95"/>
        <v>1</v>
      </c>
      <c r="S354">
        <f>MOD(A354-Fortnightly_Model!$M$1,14)</f>
        <v>9</v>
      </c>
      <c r="T354">
        <f>MOD(A354-FourWeekly_Model!$M$1,28)</f>
        <v>23</v>
      </c>
    </row>
    <row r="355" spans="1:20">
      <c r="A355" s="25">
        <f t="shared" si="94"/>
        <v>46588</v>
      </c>
      <c r="B355">
        <f t="shared" si="80"/>
        <v>2027</v>
      </c>
      <c r="C355" s="9">
        <f t="shared" si="81"/>
        <v>7</v>
      </c>
      <c r="D355" s="9" t="str">
        <f t="shared" si="82"/>
        <v>July</v>
      </c>
      <c r="E355" s="9" t="str">
        <f t="shared" si="83"/>
        <v>Jul-27</v>
      </c>
      <c r="F355" s="9" t="str">
        <f t="shared" si="84"/>
        <v>Q3</v>
      </c>
      <c r="G355" s="9">
        <f t="shared" si="85"/>
        <v>20</v>
      </c>
      <c r="H355" s="9">
        <f t="shared" si="86"/>
        <v>2</v>
      </c>
      <c r="I355" s="9" t="str">
        <f t="shared" si="87"/>
        <v>Tuesday</v>
      </c>
      <c r="J355" s="9" t="str">
        <f t="shared" si="88"/>
        <v>No</v>
      </c>
      <c r="K355" s="5" t="str">
        <f>IF(COUNTIF(Bank_Holidays!A:A,A355)&gt;0,"Yes","No")</f>
        <v>No</v>
      </c>
      <c r="L355" t="str">
        <f t="shared" si="89"/>
        <v>Yes</v>
      </c>
      <c r="M355">
        <f t="shared" si="90"/>
        <v>29</v>
      </c>
      <c r="N355" s="5" t="str">
        <f t="shared" si="91"/>
        <v>No</v>
      </c>
      <c r="O355" t="str">
        <f>IF(A355=WORKDAY(EOMONTH(A355,0)+1,-1,Bank_Holidays!$A$2:$A$25),"Yes","No")</f>
        <v>No</v>
      </c>
      <c r="P355" t="str">
        <f t="shared" si="92"/>
        <v>No</v>
      </c>
      <c r="Q355" t="str">
        <f t="shared" si="93"/>
        <v>No</v>
      </c>
      <c r="R355" s="5">
        <f t="shared" si="95"/>
        <v>1</v>
      </c>
      <c r="S355">
        <f>MOD(A355-Fortnightly_Model!$M$1,14)</f>
        <v>10</v>
      </c>
      <c r="T355">
        <f>MOD(A355-FourWeekly_Model!$M$1,28)</f>
        <v>24</v>
      </c>
    </row>
    <row r="356" spans="1:20">
      <c r="A356" s="25">
        <f t="shared" si="94"/>
        <v>46589</v>
      </c>
      <c r="B356">
        <f t="shared" si="80"/>
        <v>2027</v>
      </c>
      <c r="C356" s="9">
        <f t="shared" si="81"/>
        <v>7</v>
      </c>
      <c r="D356" s="9" t="str">
        <f t="shared" si="82"/>
        <v>July</v>
      </c>
      <c r="E356" s="9" t="str">
        <f t="shared" si="83"/>
        <v>Jul-27</v>
      </c>
      <c r="F356" s="9" t="str">
        <f t="shared" si="84"/>
        <v>Q3</v>
      </c>
      <c r="G356" s="9">
        <f t="shared" si="85"/>
        <v>21</v>
      </c>
      <c r="H356" s="9">
        <f t="shared" si="86"/>
        <v>3</v>
      </c>
      <c r="I356" s="9" t="str">
        <f t="shared" si="87"/>
        <v>Wednesday</v>
      </c>
      <c r="J356" s="9" t="str">
        <f t="shared" si="88"/>
        <v>No</v>
      </c>
      <c r="K356" s="5" t="str">
        <f>IF(COUNTIF(Bank_Holidays!A:A,A356)&gt;0,"Yes","No")</f>
        <v>No</v>
      </c>
      <c r="L356" t="str">
        <f t="shared" si="89"/>
        <v>Yes</v>
      </c>
      <c r="M356">
        <f t="shared" si="90"/>
        <v>29</v>
      </c>
      <c r="N356" s="5" t="str">
        <f t="shared" si="91"/>
        <v>No</v>
      </c>
      <c r="O356" t="str">
        <f>IF(A356=WORKDAY(EOMONTH(A356,0)+1,-1,Bank_Holidays!$A$2:$A$25),"Yes","No")</f>
        <v>No</v>
      </c>
      <c r="P356" t="str">
        <f t="shared" si="92"/>
        <v>No</v>
      </c>
      <c r="Q356" t="str">
        <f t="shared" si="93"/>
        <v>No</v>
      </c>
      <c r="R356" s="5">
        <f t="shared" si="95"/>
        <v>1</v>
      </c>
      <c r="S356">
        <f>MOD(A356-Fortnightly_Model!$M$1,14)</f>
        <v>11</v>
      </c>
      <c r="T356">
        <f>MOD(A356-FourWeekly_Model!$M$1,28)</f>
        <v>25</v>
      </c>
    </row>
    <row r="357" spans="1:20">
      <c r="A357" s="25">
        <f t="shared" si="94"/>
        <v>46590</v>
      </c>
      <c r="B357">
        <f t="shared" si="80"/>
        <v>2027</v>
      </c>
      <c r="C357" s="9">
        <f t="shared" si="81"/>
        <v>7</v>
      </c>
      <c r="D357" s="9" t="str">
        <f t="shared" si="82"/>
        <v>July</v>
      </c>
      <c r="E357" s="9" t="str">
        <f t="shared" si="83"/>
        <v>Jul-27</v>
      </c>
      <c r="F357" s="9" t="str">
        <f t="shared" si="84"/>
        <v>Q3</v>
      </c>
      <c r="G357" s="9">
        <f t="shared" si="85"/>
        <v>22</v>
      </c>
      <c r="H357" s="9">
        <f t="shared" si="86"/>
        <v>4</v>
      </c>
      <c r="I357" s="9" t="str">
        <f t="shared" si="87"/>
        <v>Thursday</v>
      </c>
      <c r="J357" s="9" t="str">
        <f t="shared" si="88"/>
        <v>No</v>
      </c>
      <c r="K357" s="5" t="str">
        <f>IF(COUNTIF(Bank_Holidays!A:A,A357)&gt;0,"Yes","No")</f>
        <v>No</v>
      </c>
      <c r="L357" t="str">
        <f t="shared" si="89"/>
        <v>Yes</v>
      </c>
      <c r="M357">
        <f t="shared" si="90"/>
        <v>29</v>
      </c>
      <c r="N357" s="5" t="str">
        <f t="shared" si="91"/>
        <v>No</v>
      </c>
      <c r="O357" t="str">
        <f>IF(A357=WORKDAY(EOMONTH(A357,0)+1,-1,Bank_Holidays!$A$2:$A$25),"Yes","No")</f>
        <v>No</v>
      </c>
      <c r="P357" t="str">
        <f t="shared" si="92"/>
        <v>No</v>
      </c>
      <c r="Q357" t="str">
        <f t="shared" si="93"/>
        <v>No</v>
      </c>
      <c r="R357" s="5">
        <f t="shared" si="95"/>
        <v>1</v>
      </c>
      <c r="S357">
        <f>MOD(A357-Fortnightly_Model!$M$1,14)</f>
        <v>12</v>
      </c>
      <c r="T357">
        <f>MOD(A357-FourWeekly_Model!$M$1,28)</f>
        <v>26</v>
      </c>
    </row>
    <row r="358" spans="1:20">
      <c r="A358" s="25">
        <f t="shared" si="94"/>
        <v>46591</v>
      </c>
      <c r="B358">
        <f t="shared" si="80"/>
        <v>2027</v>
      </c>
      <c r="C358" s="9">
        <f t="shared" si="81"/>
        <v>7</v>
      </c>
      <c r="D358" s="9" t="str">
        <f t="shared" si="82"/>
        <v>July</v>
      </c>
      <c r="E358" s="9" t="str">
        <f t="shared" si="83"/>
        <v>Jul-27</v>
      </c>
      <c r="F358" s="9" t="str">
        <f t="shared" si="84"/>
        <v>Q3</v>
      </c>
      <c r="G358" s="9">
        <f t="shared" si="85"/>
        <v>23</v>
      </c>
      <c r="H358" s="9">
        <f t="shared" si="86"/>
        <v>5</v>
      </c>
      <c r="I358" s="9" t="str">
        <f t="shared" si="87"/>
        <v>Friday</v>
      </c>
      <c r="J358" s="9" t="str">
        <f t="shared" si="88"/>
        <v>No</v>
      </c>
      <c r="K358" s="5" t="str">
        <f>IF(COUNTIF(Bank_Holidays!A:A,A358)&gt;0,"Yes","No")</f>
        <v>No</v>
      </c>
      <c r="L358" t="str">
        <f t="shared" si="89"/>
        <v>Yes</v>
      </c>
      <c r="M358">
        <f t="shared" si="90"/>
        <v>29</v>
      </c>
      <c r="N358" s="5" t="str">
        <f t="shared" si="91"/>
        <v>No</v>
      </c>
      <c r="O358" t="str">
        <f>IF(A358=WORKDAY(EOMONTH(A358,0)+1,-1,Bank_Holidays!$A$2:$A$25),"Yes","No")</f>
        <v>No</v>
      </c>
      <c r="P358" t="str">
        <f t="shared" si="92"/>
        <v>No</v>
      </c>
      <c r="Q358" t="str">
        <f t="shared" si="93"/>
        <v>No</v>
      </c>
      <c r="R358" s="5">
        <f t="shared" si="95"/>
        <v>3</v>
      </c>
      <c r="S358">
        <f>MOD(A358-Fortnightly_Model!$M$1,14)</f>
        <v>13</v>
      </c>
      <c r="T358">
        <f>MOD(A358-FourWeekly_Model!$M$1,28)</f>
        <v>27</v>
      </c>
    </row>
    <row r="359" spans="1:20">
      <c r="A359" s="25">
        <f t="shared" si="94"/>
        <v>46592</v>
      </c>
      <c r="B359">
        <f t="shared" si="80"/>
        <v>2027</v>
      </c>
      <c r="C359" s="9">
        <f t="shared" si="81"/>
        <v>7</v>
      </c>
      <c r="D359" s="9" t="str">
        <f t="shared" si="82"/>
        <v>July</v>
      </c>
      <c r="E359" s="9" t="str">
        <f t="shared" si="83"/>
        <v>Jul-27</v>
      </c>
      <c r="F359" s="9" t="str">
        <f t="shared" si="84"/>
        <v>Q3</v>
      </c>
      <c r="G359" s="9">
        <f t="shared" si="85"/>
        <v>24</v>
      </c>
      <c r="H359" s="9">
        <f t="shared" si="86"/>
        <v>6</v>
      </c>
      <c r="I359" s="9" t="str">
        <f t="shared" si="87"/>
        <v>Saturday</v>
      </c>
      <c r="J359" s="9" t="str">
        <f t="shared" si="88"/>
        <v>Yes</v>
      </c>
      <c r="K359" s="5" t="str">
        <f>IF(COUNTIF(Bank_Holidays!A:A,A359)&gt;0,"Yes","No")</f>
        <v>No</v>
      </c>
      <c r="L359" t="str">
        <f t="shared" si="89"/>
        <v>No</v>
      </c>
      <c r="M359">
        <f t="shared" si="90"/>
        <v>29</v>
      </c>
      <c r="N359" s="5" t="str">
        <f t="shared" si="91"/>
        <v>No</v>
      </c>
      <c r="O359" t="str">
        <f>IF(A359=WORKDAY(EOMONTH(A359,0)+1,-1,Bank_Holidays!$A$2:$A$25),"Yes","No")</f>
        <v>No</v>
      </c>
      <c r="P359" t="str">
        <f t="shared" si="92"/>
        <v>No</v>
      </c>
      <c r="Q359" t="str">
        <f t="shared" si="93"/>
        <v>No</v>
      </c>
      <c r="R359" s="5">
        <f t="shared" si="95"/>
        <v>0</v>
      </c>
      <c r="S359">
        <f>MOD(A359-Fortnightly_Model!$M$1,14)</f>
        <v>0</v>
      </c>
      <c r="T359">
        <f>MOD(A359-FourWeekly_Model!$M$1,28)</f>
        <v>0</v>
      </c>
    </row>
    <row r="360" spans="1:20">
      <c r="A360" s="25">
        <f t="shared" si="94"/>
        <v>46593</v>
      </c>
      <c r="B360">
        <f t="shared" si="80"/>
        <v>2027</v>
      </c>
      <c r="C360" s="9">
        <f t="shared" si="81"/>
        <v>7</v>
      </c>
      <c r="D360" s="9" t="str">
        <f t="shared" si="82"/>
        <v>July</v>
      </c>
      <c r="E360" s="9" t="str">
        <f t="shared" si="83"/>
        <v>Jul-27</v>
      </c>
      <c r="F360" s="9" t="str">
        <f t="shared" si="84"/>
        <v>Q3</v>
      </c>
      <c r="G360" s="9">
        <f t="shared" si="85"/>
        <v>25</v>
      </c>
      <c r="H360" s="9">
        <f t="shared" si="86"/>
        <v>7</v>
      </c>
      <c r="I360" s="9" t="str">
        <f t="shared" si="87"/>
        <v>Sunday</v>
      </c>
      <c r="J360" s="9" t="str">
        <f t="shared" si="88"/>
        <v>Yes</v>
      </c>
      <c r="K360" s="5" t="str">
        <f>IF(COUNTIF(Bank_Holidays!A:A,A360)&gt;0,"Yes","No")</f>
        <v>No</v>
      </c>
      <c r="L360" t="str">
        <f t="shared" si="89"/>
        <v>No</v>
      </c>
      <c r="M360">
        <f t="shared" si="90"/>
        <v>29</v>
      </c>
      <c r="N360" s="5" t="str">
        <f t="shared" si="91"/>
        <v>No</v>
      </c>
      <c r="O360" t="str">
        <f>IF(A360=WORKDAY(EOMONTH(A360,0)+1,-1,Bank_Holidays!$A$2:$A$25),"Yes","No")</f>
        <v>No</v>
      </c>
      <c r="P360" t="str">
        <f t="shared" si="92"/>
        <v>No</v>
      </c>
      <c r="Q360" t="str">
        <f t="shared" si="93"/>
        <v>No</v>
      </c>
      <c r="R360" s="5">
        <f t="shared" si="95"/>
        <v>0</v>
      </c>
      <c r="S360">
        <f>MOD(A360-Fortnightly_Model!$M$1,14)</f>
        <v>1</v>
      </c>
      <c r="T360">
        <f>MOD(A360-FourWeekly_Model!$M$1,28)</f>
        <v>1</v>
      </c>
    </row>
    <row r="361" spans="1:20">
      <c r="A361" s="25">
        <f t="shared" si="94"/>
        <v>46594</v>
      </c>
      <c r="B361">
        <f t="shared" si="80"/>
        <v>2027</v>
      </c>
      <c r="C361" s="9">
        <f t="shared" si="81"/>
        <v>7</v>
      </c>
      <c r="D361" s="9" t="str">
        <f t="shared" si="82"/>
        <v>July</v>
      </c>
      <c r="E361" s="9" t="str">
        <f t="shared" si="83"/>
        <v>Jul-27</v>
      </c>
      <c r="F361" s="9" t="str">
        <f t="shared" si="84"/>
        <v>Q3</v>
      </c>
      <c r="G361" s="9">
        <f t="shared" si="85"/>
        <v>26</v>
      </c>
      <c r="H361" s="9">
        <f t="shared" si="86"/>
        <v>1</v>
      </c>
      <c r="I361" s="9" t="str">
        <f t="shared" si="87"/>
        <v>Monday</v>
      </c>
      <c r="J361" s="9" t="str">
        <f t="shared" si="88"/>
        <v>No</v>
      </c>
      <c r="K361" s="5" t="str">
        <f>IF(COUNTIF(Bank_Holidays!A:A,A361)&gt;0,"Yes","No")</f>
        <v>No</v>
      </c>
      <c r="L361" t="str">
        <f t="shared" si="89"/>
        <v>Yes</v>
      </c>
      <c r="M361">
        <f t="shared" si="90"/>
        <v>30</v>
      </c>
      <c r="N361" s="5" t="str">
        <f t="shared" si="91"/>
        <v>No</v>
      </c>
      <c r="O361" t="str">
        <f>IF(A361=WORKDAY(EOMONTH(A361,0)+1,-1,Bank_Holidays!$A$2:$A$25),"Yes","No")</f>
        <v>No</v>
      </c>
      <c r="P361" t="str">
        <f t="shared" si="92"/>
        <v>No</v>
      </c>
      <c r="Q361" t="str">
        <f t="shared" si="93"/>
        <v>No</v>
      </c>
      <c r="R361" s="5">
        <f t="shared" si="95"/>
        <v>1</v>
      </c>
      <c r="S361">
        <f>MOD(A361-Fortnightly_Model!$M$1,14)</f>
        <v>2</v>
      </c>
      <c r="T361">
        <f>MOD(A361-FourWeekly_Model!$M$1,28)</f>
        <v>2</v>
      </c>
    </row>
    <row r="362" spans="1:20">
      <c r="A362" s="25">
        <f t="shared" si="94"/>
        <v>46595</v>
      </c>
      <c r="B362">
        <f t="shared" si="80"/>
        <v>2027</v>
      </c>
      <c r="C362" s="9">
        <f t="shared" si="81"/>
        <v>7</v>
      </c>
      <c r="D362" s="9" t="str">
        <f t="shared" si="82"/>
        <v>July</v>
      </c>
      <c r="E362" s="9" t="str">
        <f t="shared" si="83"/>
        <v>Jul-27</v>
      </c>
      <c r="F362" s="9" t="str">
        <f t="shared" si="84"/>
        <v>Q3</v>
      </c>
      <c r="G362" s="9">
        <f t="shared" si="85"/>
        <v>27</v>
      </c>
      <c r="H362" s="9">
        <f t="shared" si="86"/>
        <v>2</v>
      </c>
      <c r="I362" s="9" t="str">
        <f t="shared" si="87"/>
        <v>Tuesday</v>
      </c>
      <c r="J362" s="9" t="str">
        <f t="shared" si="88"/>
        <v>No</v>
      </c>
      <c r="K362" s="5" t="str">
        <f>IF(COUNTIF(Bank_Holidays!A:A,A362)&gt;0,"Yes","No")</f>
        <v>No</v>
      </c>
      <c r="L362" t="str">
        <f t="shared" si="89"/>
        <v>Yes</v>
      </c>
      <c r="M362">
        <f t="shared" si="90"/>
        <v>30</v>
      </c>
      <c r="N362" s="5" t="str">
        <f t="shared" si="91"/>
        <v>No</v>
      </c>
      <c r="O362" t="str">
        <f>IF(A362=WORKDAY(EOMONTH(A362,0)+1,-1,Bank_Holidays!$A$2:$A$25),"Yes","No")</f>
        <v>No</v>
      </c>
      <c r="P362" t="str">
        <f t="shared" si="92"/>
        <v>No</v>
      </c>
      <c r="Q362" t="str">
        <f t="shared" si="93"/>
        <v>No</v>
      </c>
      <c r="R362" s="5">
        <f t="shared" si="95"/>
        <v>1</v>
      </c>
      <c r="S362">
        <f>MOD(A362-Fortnightly_Model!$M$1,14)</f>
        <v>3</v>
      </c>
      <c r="T362">
        <f>MOD(A362-FourWeekly_Model!$M$1,28)</f>
        <v>3</v>
      </c>
    </row>
    <row r="363" spans="1:20">
      <c r="A363" s="25">
        <f t="shared" si="94"/>
        <v>46596</v>
      </c>
      <c r="B363">
        <f t="shared" si="80"/>
        <v>2027</v>
      </c>
      <c r="C363" s="9">
        <f t="shared" si="81"/>
        <v>7</v>
      </c>
      <c r="D363" s="9" t="str">
        <f t="shared" si="82"/>
        <v>July</v>
      </c>
      <c r="E363" s="9" t="str">
        <f t="shared" si="83"/>
        <v>Jul-27</v>
      </c>
      <c r="F363" s="9" t="str">
        <f t="shared" si="84"/>
        <v>Q3</v>
      </c>
      <c r="G363" s="9">
        <f t="shared" si="85"/>
        <v>28</v>
      </c>
      <c r="H363" s="9">
        <f t="shared" si="86"/>
        <v>3</v>
      </c>
      <c r="I363" s="9" t="str">
        <f t="shared" si="87"/>
        <v>Wednesday</v>
      </c>
      <c r="J363" s="9" t="str">
        <f t="shared" si="88"/>
        <v>No</v>
      </c>
      <c r="K363" s="5" t="str">
        <f>IF(COUNTIF(Bank_Holidays!A:A,A363)&gt;0,"Yes","No")</f>
        <v>No</v>
      </c>
      <c r="L363" t="str">
        <f t="shared" si="89"/>
        <v>Yes</v>
      </c>
      <c r="M363">
        <f t="shared" si="90"/>
        <v>30</v>
      </c>
      <c r="N363" s="5" t="str">
        <f t="shared" si="91"/>
        <v>No</v>
      </c>
      <c r="O363" t="str">
        <f>IF(A363=WORKDAY(EOMONTH(A363,0)+1,-1,Bank_Holidays!$A$2:$A$25),"Yes","No")</f>
        <v>No</v>
      </c>
      <c r="P363" t="str">
        <f t="shared" si="92"/>
        <v>No</v>
      </c>
      <c r="Q363" t="str">
        <f t="shared" si="93"/>
        <v>No</v>
      </c>
      <c r="R363" s="5">
        <f t="shared" si="95"/>
        <v>1</v>
      </c>
      <c r="S363">
        <f>MOD(A363-Fortnightly_Model!$M$1,14)</f>
        <v>4</v>
      </c>
      <c r="T363">
        <f>MOD(A363-FourWeekly_Model!$M$1,28)</f>
        <v>4</v>
      </c>
    </row>
    <row r="364" spans="1:20">
      <c r="A364" s="25">
        <f t="shared" si="94"/>
        <v>46597</v>
      </c>
      <c r="B364">
        <f t="shared" si="80"/>
        <v>2027</v>
      </c>
      <c r="C364" s="9">
        <f t="shared" si="81"/>
        <v>7</v>
      </c>
      <c r="D364" s="9" t="str">
        <f t="shared" si="82"/>
        <v>July</v>
      </c>
      <c r="E364" s="9" t="str">
        <f t="shared" si="83"/>
        <v>Jul-27</v>
      </c>
      <c r="F364" s="9" t="str">
        <f t="shared" si="84"/>
        <v>Q3</v>
      </c>
      <c r="G364" s="9">
        <f t="shared" si="85"/>
        <v>29</v>
      </c>
      <c r="H364" s="9">
        <f t="shared" si="86"/>
        <v>4</v>
      </c>
      <c r="I364" s="9" t="str">
        <f t="shared" si="87"/>
        <v>Thursday</v>
      </c>
      <c r="J364" s="9" t="str">
        <f t="shared" si="88"/>
        <v>No</v>
      </c>
      <c r="K364" s="5" t="str">
        <f>IF(COUNTIF(Bank_Holidays!A:A,A364)&gt;0,"Yes","No")</f>
        <v>No</v>
      </c>
      <c r="L364" t="str">
        <f t="shared" si="89"/>
        <v>Yes</v>
      </c>
      <c r="M364">
        <f t="shared" si="90"/>
        <v>30</v>
      </c>
      <c r="N364" s="5" t="str">
        <f t="shared" si="91"/>
        <v>No</v>
      </c>
      <c r="O364" t="str">
        <f>IF(A364=WORKDAY(EOMONTH(A364,0)+1,-1,Bank_Holidays!$A$2:$A$25),"Yes","No")</f>
        <v>No</v>
      </c>
      <c r="P364" t="str">
        <f t="shared" si="92"/>
        <v>No</v>
      </c>
      <c r="Q364" t="str">
        <f t="shared" si="93"/>
        <v>Yes</v>
      </c>
      <c r="R364" s="5">
        <f t="shared" si="95"/>
        <v>1</v>
      </c>
      <c r="S364">
        <f>MOD(A364-Fortnightly_Model!$M$1,14)</f>
        <v>5</v>
      </c>
      <c r="T364">
        <f>MOD(A364-FourWeekly_Model!$M$1,28)</f>
        <v>5</v>
      </c>
    </row>
    <row r="365" spans="1:20">
      <c r="A365" s="25">
        <f t="shared" si="94"/>
        <v>46598</v>
      </c>
      <c r="B365">
        <f t="shared" si="80"/>
        <v>2027</v>
      </c>
      <c r="C365" s="9">
        <f t="shared" si="81"/>
        <v>7</v>
      </c>
      <c r="D365" s="9" t="str">
        <f t="shared" si="82"/>
        <v>July</v>
      </c>
      <c r="E365" s="9" t="str">
        <f t="shared" si="83"/>
        <v>Jul-27</v>
      </c>
      <c r="F365" s="9" t="str">
        <f t="shared" si="84"/>
        <v>Q3</v>
      </c>
      <c r="G365" s="9">
        <f t="shared" si="85"/>
        <v>30</v>
      </c>
      <c r="H365" s="9">
        <f t="shared" si="86"/>
        <v>5</v>
      </c>
      <c r="I365" s="9" t="str">
        <f t="shared" si="87"/>
        <v>Friday</v>
      </c>
      <c r="J365" s="9" t="str">
        <f t="shared" si="88"/>
        <v>No</v>
      </c>
      <c r="K365" s="5" t="str">
        <f>IF(COUNTIF(Bank_Holidays!A:A,A365)&gt;0,"Yes","No")</f>
        <v>No</v>
      </c>
      <c r="L365" t="str">
        <f t="shared" si="89"/>
        <v>Yes</v>
      </c>
      <c r="M365">
        <f t="shared" si="90"/>
        <v>30</v>
      </c>
      <c r="N365" s="5" t="str">
        <f t="shared" si="91"/>
        <v>No</v>
      </c>
      <c r="O365" t="str">
        <f>IF(A365=WORKDAY(EOMONTH(A365,0)+1,-1,Bank_Holidays!$A$2:$A$25),"Yes","No")</f>
        <v>Yes</v>
      </c>
      <c r="P365" t="str">
        <f t="shared" si="92"/>
        <v>Yes</v>
      </c>
      <c r="Q365" t="str">
        <f t="shared" si="93"/>
        <v>No</v>
      </c>
      <c r="R365" s="5">
        <f t="shared" si="95"/>
        <v>3</v>
      </c>
      <c r="S365">
        <f>MOD(A365-Fortnightly_Model!$M$1,14)</f>
        <v>6</v>
      </c>
      <c r="T365">
        <f>MOD(A365-FourWeekly_Model!$M$1,28)</f>
        <v>6</v>
      </c>
    </row>
    <row r="366" spans="1:20">
      <c r="A366" s="25">
        <f t="shared" si="94"/>
        <v>46599</v>
      </c>
      <c r="B366">
        <f t="shared" si="80"/>
        <v>2027</v>
      </c>
      <c r="C366" s="9">
        <f t="shared" si="81"/>
        <v>7</v>
      </c>
      <c r="D366" s="9" t="str">
        <f t="shared" si="82"/>
        <v>July</v>
      </c>
      <c r="E366" s="9" t="str">
        <f t="shared" si="83"/>
        <v>Jul-27</v>
      </c>
      <c r="F366" s="9" t="str">
        <f t="shared" si="84"/>
        <v>Q3</v>
      </c>
      <c r="G366" s="9">
        <f t="shared" si="85"/>
        <v>31</v>
      </c>
      <c r="H366" s="9">
        <f t="shared" si="86"/>
        <v>6</v>
      </c>
      <c r="I366" s="9" t="str">
        <f t="shared" si="87"/>
        <v>Saturday</v>
      </c>
      <c r="J366" s="9" t="str">
        <f t="shared" si="88"/>
        <v>Yes</v>
      </c>
      <c r="K366" s="5" t="str">
        <f>IF(COUNTIF(Bank_Holidays!A:A,A366)&gt;0,"Yes","No")</f>
        <v>No</v>
      </c>
      <c r="L366" t="str">
        <f t="shared" si="89"/>
        <v>No</v>
      </c>
      <c r="M366">
        <f t="shared" si="90"/>
        <v>30</v>
      </c>
      <c r="N366" s="5" t="str">
        <f t="shared" si="91"/>
        <v>Yes</v>
      </c>
      <c r="O366" t="str">
        <f>IF(A366=WORKDAY(EOMONTH(A366,0)+1,-1,Bank_Holidays!$A$2:$A$25),"Yes","No")</f>
        <v>No</v>
      </c>
      <c r="P366" t="str">
        <f t="shared" si="92"/>
        <v>No</v>
      </c>
      <c r="Q366" t="str">
        <f t="shared" si="93"/>
        <v>No</v>
      </c>
      <c r="R366" s="5">
        <f t="shared" si="95"/>
        <v>0</v>
      </c>
      <c r="S366">
        <f>MOD(A366-Fortnightly_Model!$M$1,14)</f>
        <v>7</v>
      </c>
      <c r="T366">
        <f>MOD(A366-FourWeekly_Model!$M$1,28)</f>
        <v>7</v>
      </c>
    </row>
    <row r="367" spans="1:20">
      <c r="A367" s="25">
        <f t="shared" si="94"/>
        <v>46600</v>
      </c>
      <c r="B367">
        <f t="shared" si="80"/>
        <v>2027</v>
      </c>
      <c r="C367" s="9">
        <f t="shared" si="81"/>
        <v>8</v>
      </c>
      <c r="D367" s="9" t="str">
        <f t="shared" si="82"/>
        <v>August</v>
      </c>
      <c r="E367" s="9" t="str">
        <f t="shared" si="83"/>
        <v>Aug-27</v>
      </c>
      <c r="F367" s="9" t="str">
        <f t="shared" si="84"/>
        <v>Q3</v>
      </c>
      <c r="G367" s="9">
        <f t="shared" si="85"/>
        <v>1</v>
      </c>
      <c r="H367" s="9">
        <f t="shared" si="86"/>
        <v>7</v>
      </c>
      <c r="I367" s="9" t="str">
        <f t="shared" si="87"/>
        <v>Sunday</v>
      </c>
      <c r="J367" s="9" t="str">
        <f t="shared" si="88"/>
        <v>Yes</v>
      </c>
      <c r="K367" s="5" t="str">
        <f>IF(COUNTIF(Bank_Holidays!A:A,A367)&gt;0,"Yes","No")</f>
        <v>No</v>
      </c>
      <c r="L367" t="str">
        <f t="shared" si="89"/>
        <v>No</v>
      </c>
      <c r="M367">
        <f t="shared" si="90"/>
        <v>30</v>
      </c>
      <c r="N367" s="5" t="str">
        <f t="shared" si="91"/>
        <v>No</v>
      </c>
      <c r="O367" t="str">
        <f>IF(A367=WORKDAY(EOMONTH(A367,0)+1,-1,Bank_Holidays!$A$2:$A$25),"Yes","No")</f>
        <v>No</v>
      </c>
      <c r="P367" t="str">
        <f t="shared" si="92"/>
        <v>No</v>
      </c>
      <c r="Q367" t="str">
        <f t="shared" si="93"/>
        <v>No</v>
      </c>
      <c r="R367" s="5">
        <f t="shared" si="95"/>
        <v>0</v>
      </c>
      <c r="S367">
        <f>MOD(A367-Fortnightly_Model!$M$1,14)</f>
        <v>8</v>
      </c>
      <c r="T367">
        <f>MOD(A367-FourWeekly_Model!$M$1,28)</f>
        <v>8</v>
      </c>
    </row>
    <row r="368" spans="1:20">
      <c r="A368" s="25">
        <f t="shared" si="94"/>
        <v>46601</v>
      </c>
      <c r="B368">
        <f t="shared" si="80"/>
        <v>2027</v>
      </c>
      <c r="C368" s="9">
        <f t="shared" si="81"/>
        <v>8</v>
      </c>
      <c r="D368" s="9" t="str">
        <f t="shared" si="82"/>
        <v>August</v>
      </c>
      <c r="E368" s="9" t="str">
        <f t="shared" si="83"/>
        <v>Aug-27</v>
      </c>
      <c r="F368" s="9" t="str">
        <f t="shared" si="84"/>
        <v>Q3</v>
      </c>
      <c r="G368" s="9">
        <f t="shared" si="85"/>
        <v>2</v>
      </c>
      <c r="H368" s="9">
        <f t="shared" si="86"/>
        <v>1</v>
      </c>
      <c r="I368" s="9" t="str">
        <f t="shared" si="87"/>
        <v>Monday</v>
      </c>
      <c r="J368" s="9" t="str">
        <f t="shared" si="88"/>
        <v>No</v>
      </c>
      <c r="K368" s="5" t="str">
        <f>IF(COUNTIF(Bank_Holidays!A:A,A368)&gt;0,"Yes","No")</f>
        <v>No</v>
      </c>
      <c r="L368" t="str">
        <f t="shared" si="89"/>
        <v>Yes</v>
      </c>
      <c r="M368">
        <f t="shared" si="90"/>
        <v>31</v>
      </c>
      <c r="N368" s="5" t="str">
        <f t="shared" si="91"/>
        <v>No</v>
      </c>
      <c r="O368" t="str">
        <f>IF(A368=WORKDAY(EOMONTH(A368,0)+1,-1,Bank_Holidays!$A$2:$A$25),"Yes","No")</f>
        <v>No</v>
      </c>
      <c r="P368" t="str">
        <f t="shared" si="92"/>
        <v>No</v>
      </c>
      <c r="Q368" t="str">
        <f t="shared" si="93"/>
        <v>No</v>
      </c>
      <c r="R368" s="5">
        <f t="shared" si="95"/>
        <v>1</v>
      </c>
      <c r="S368">
        <f>MOD(A368-Fortnightly_Model!$M$1,14)</f>
        <v>9</v>
      </c>
      <c r="T368">
        <f>MOD(A368-FourWeekly_Model!$M$1,28)</f>
        <v>9</v>
      </c>
    </row>
    <row r="369" spans="1:20">
      <c r="A369" s="25">
        <f t="shared" si="94"/>
        <v>46602</v>
      </c>
      <c r="B369">
        <f t="shared" si="80"/>
        <v>2027</v>
      </c>
      <c r="C369" s="9">
        <f t="shared" si="81"/>
        <v>8</v>
      </c>
      <c r="D369" s="9" t="str">
        <f t="shared" si="82"/>
        <v>August</v>
      </c>
      <c r="E369" s="9" t="str">
        <f t="shared" si="83"/>
        <v>Aug-27</v>
      </c>
      <c r="F369" s="9" t="str">
        <f t="shared" si="84"/>
        <v>Q3</v>
      </c>
      <c r="G369" s="9">
        <f t="shared" si="85"/>
        <v>3</v>
      </c>
      <c r="H369" s="9">
        <f t="shared" si="86"/>
        <v>2</v>
      </c>
      <c r="I369" s="9" t="str">
        <f t="shared" si="87"/>
        <v>Tuesday</v>
      </c>
      <c r="J369" s="9" t="str">
        <f t="shared" si="88"/>
        <v>No</v>
      </c>
      <c r="K369" s="5" t="str">
        <f>IF(COUNTIF(Bank_Holidays!A:A,A369)&gt;0,"Yes","No")</f>
        <v>No</v>
      </c>
      <c r="L369" t="str">
        <f t="shared" si="89"/>
        <v>Yes</v>
      </c>
      <c r="M369">
        <f t="shared" si="90"/>
        <v>31</v>
      </c>
      <c r="N369" s="5" t="str">
        <f t="shared" si="91"/>
        <v>No</v>
      </c>
      <c r="O369" t="str">
        <f>IF(A369=WORKDAY(EOMONTH(A369,0)+1,-1,Bank_Holidays!$A$2:$A$25),"Yes","No")</f>
        <v>No</v>
      </c>
      <c r="P369" t="str">
        <f t="shared" si="92"/>
        <v>No</v>
      </c>
      <c r="Q369" t="str">
        <f t="shared" si="93"/>
        <v>No</v>
      </c>
      <c r="R369" s="5">
        <f t="shared" si="95"/>
        <v>1</v>
      </c>
      <c r="S369">
        <f>MOD(A369-Fortnightly_Model!$M$1,14)</f>
        <v>10</v>
      </c>
      <c r="T369">
        <f>MOD(A369-FourWeekly_Model!$M$1,28)</f>
        <v>10</v>
      </c>
    </row>
    <row r="370" spans="1:20">
      <c r="A370" s="25">
        <f t="shared" si="94"/>
        <v>46603</v>
      </c>
      <c r="B370">
        <f t="shared" si="80"/>
        <v>2027</v>
      </c>
      <c r="C370" s="9">
        <f t="shared" si="81"/>
        <v>8</v>
      </c>
      <c r="D370" s="9" t="str">
        <f t="shared" si="82"/>
        <v>August</v>
      </c>
      <c r="E370" s="9" t="str">
        <f t="shared" si="83"/>
        <v>Aug-27</v>
      </c>
      <c r="F370" s="9" t="str">
        <f t="shared" si="84"/>
        <v>Q3</v>
      </c>
      <c r="G370" s="9">
        <f t="shared" si="85"/>
        <v>4</v>
      </c>
      <c r="H370" s="9">
        <f t="shared" si="86"/>
        <v>3</v>
      </c>
      <c r="I370" s="9" t="str">
        <f t="shared" si="87"/>
        <v>Wednesday</v>
      </c>
      <c r="J370" s="9" t="str">
        <f t="shared" si="88"/>
        <v>No</v>
      </c>
      <c r="K370" s="5" t="str">
        <f>IF(COUNTIF(Bank_Holidays!A:A,A370)&gt;0,"Yes","No")</f>
        <v>No</v>
      </c>
      <c r="L370" t="str">
        <f t="shared" si="89"/>
        <v>Yes</v>
      </c>
      <c r="M370">
        <f t="shared" si="90"/>
        <v>31</v>
      </c>
      <c r="N370" s="5" t="str">
        <f t="shared" si="91"/>
        <v>No</v>
      </c>
      <c r="O370" t="str">
        <f>IF(A370=WORKDAY(EOMONTH(A370,0)+1,-1,Bank_Holidays!$A$2:$A$25),"Yes","No")</f>
        <v>No</v>
      </c>
      <c r="P370" t="str">
        <f t="shared" si="92"/>
        <v>No</v>
      </c>
      <c r="Q370" t="str">
        <f t="shared" si="93"/>
        <v>No</v>
      </c>
      <c r="R370" s="5">
        <f t="shared" si="95"/>
        <v>1</v>
      </c>
      <c r="S370">
        <f>MOD(A370-Fortnightly_Model!$M$1,14)</f>
        <v>11</v>
      </c>
      <c r="T370">
        <f>MOD(A370-FourWeekly_Model!$M$1,28)</f>
        <v>11</v>
      </c>
    </row>
    <row r="371" spans="1:20">
      <c r="A371" s="25">
        <f t="shared" si="94"/>
        <v>46604</v>
      </c>
      <c r="B371">
        <f t="shared" si="80"/>
        <v>2027</v>
      </c>
      <c r="C371" s="9">
        <f t="shared" si="81"/>
        <v>8</v>
      </c>
      <c r="D371" s="9" t="str">
        <f t="shared" si="82"/>
        <v>August</v>
      </c>
      <c r="E371" s="9" t="str">
        <f t="shared" si="83"/>
        <v>Aug-27</v>
      </c>
      <c r="F371" s="9" t="str">
        <f t="shared" si="84"/>
        <v>Q3</v>
      </c>
      <c r="G371" s="9">
        <f t="shared" si="85"/>
        <v>5</v>
      </c>
      <c r="H371" s="9">
        <f t="shared" si="86"/>
        <v>4</v>
      </c>
      <c r="I371" s="9" t="str">
        <f t="shared" si="87"/>
        <v>Thursday</v>
      </c>
      <c r="J371" s="9" t="str">
        <f t="shared" si="88"/>
        <v>No</v>
      </c>
      <c r="K371" s="5" t="str">
        <f>IF(COUNTIF(Bank_Holidays!A:A,A371)&gt;0,"Yes","No")</f>
        <v>No</v>
      </c>
      <c r="L371" t="str">
        <f t="shared" si="89"/>
        <v>Yes</v>
      </c>
      <c r="M371">
        <f t="shared" si="90"/>
        <v>31</v>
      </c>
      <c r="N371" s="5" t="str">
        <f t="shared" si="91"/>
        <v>No</v>
      </c>
      <c r="O371" t="str">
        <f>IF(A371=WORKDAY(EOMONTH(A371,0)+1,-1,Bank_Holidays!$A$2:$A$25),"Yes","No")</f>
        <v>No</v>
      </c>
      <c r="P371" t="str">
        <f t="shared" si="92"/>
        <v>No</v>
      </c>
      <c r="Q371" t="str">
        <f t="shared" si="93"/>
        <v>No</v>
      </c>
      <c r="R371" s="5">
        <f t="shared" si="95"/>
        <v>1</v>
      </c>
      <c r="S371">
        <f>MOD(A371-Fortnightly_Model!$M$1,14)</f>
        <v>12</v>
      </c>
      <c r="T371">
        <f>MOD(A371-FourWeekly_Model!$M$1,28)</f>
        <v>12</v>
      </c>
    </row>
    <row r="372" spans="1:20">
      <c r="A372" s="25">
        <f t="shared" si="94"/>
        <v>46605</v>
      </c>
      <c r="B372">
        <f t="shared" si="80"/>
        <v>2027</v>
      </c>
      <c r="C372" s="9">
        <f t="shared" si="81"/>
        <v>8</v>
      </c>
      <c r="D372" s="9" t="str">
        <f t="shared" si="82"/>
        <v>August</v>
      </c>
      <c r="E372" s="9" t="str">
        <f t="shared" si="83"/>
        <v>Aug-27</v>
      </c>
      <c r="F372" s="9" t="str">
        <f t="shared" si="84"/>
        <v>Q3</v>
      </c>
      <c r="G372" s="9">
        <f t="shared" si="85"/>
        <v>6</v>
      </c>
      <c r="H372" s="9">
        <f t="shared" si="86"/>
        <v>5</v>
      </c>
      <c r="I372" s="9" t="str">
        <f t="shared" si="87"/>
        <v>Friday</v>
      </c>
      <c r="J372" s="9" t="str">
        <f t="shared" si="88"/>
        <v>No</v>
      </c>
      <c r="K372" s="5" t="str">
        <f>IF(COUNTIF(Bank_Holidays!A:A,A372)&gt;0,"Yes","No")</f>
        <v>No</v>
      </c>
      <c r="L372" t="str">
        <f t="shared" si="89"/>
        <v>Yes</v>
      </c>
      <c r="M372">
        <f t="shared" si="90"/>
        <v>31</v>
      </c>
      <c r="N372" s="5" t="str">
        <f t="shared" si="91"/>
        <v>No</v>
      </c>
      <c r="O372" t="str">
        <f>IF(A372=WORKDAY(EOMONTH(A372,0)+1,-1,Bank_Holidays!$A$2:$A$25),"Yes","No")</f>
        <v>No</v>
      </c>
      <c r="P372" t="str">
        <f t="shared" si="92"/>
        <v>No</v>
      </c>
      <c r="Q372" t="str">
        <f t="shared" si="93"/>
        <v>No</v>
      </c>
      <c r="R372" s="5">
        <f t="shared" si="95"/>
        <v>3</v>
      </c>
      <c r="S372">
        <f>MOD(A372-Fortnightly_Model!$M$1,14)</f>
        <v>13</v>
      </c>
      <c r="T372">
        <f>MOD(A372-FourWeekly_Model!$M$1,28)</f>
        <v>13</v>
      </c>
    </row>
    <row r="373" spans="1:20">
      <c r="A373" s="25">
        <f t="shared" si="94"/>
        <v>46606</v>
      </c>
      <c r="B373">
        <f t="shared" si="80"/>
        <v>2027</v>
      </c>
      <c r="C373" s="9">
        <f t="shared" si="81"/>
        <v>8</v>
      </c>
      <c r="D373" s="9" t="str">
        <f t="shared" si="82"/>
        <v>August</v>
      </c>
      <c r="E373" s="9" t="str">
        <f t="shared" si="83"/>
        <v>Aug-27</v>
      </c>
      <c r="F373" s="9" t="str">
        <f t="shared" si="84"/>
        <v>Q3</v>
      </c>
      <c r="G373" s="9">
        <f t="shared" si="85"/>
        <v>7</v>
      </c>
      <c r="H373" s="9">
        <f t="shared" si="86"/>
        <v>6</v>
      </c>
      <c r="I373" s="9" t="str">
        <f t="shared" si="87"/>
        <v>Saturday</v>
      </c>
      <c r="J373" s="9" t="str">
        <f t="shared" si="88"/>
        <v>Yes</v>
      </c>
      <c r="K373" s="5" t="str">
        <f>IF(COUNTIF(Bank_Holidays!A:A,A373)&gt;0,"Yes","No")</f>
        <v>No</v>
      </c>
      <c r="L373" t="str">
        <f t="shared" si="89"/>
        <v>No</v>
      </c>
      <c r="M373">
        <f t="shared" si="90"/>
        <v>31</v>
      </c>
      <c r="N373" s="5" t="str">
        <f t="shared" si="91"/>
        <v>No</v>
      </c>
      <c r="O373" t="str">
        <f>IF(A373=WORKDAY(EOMONTH(A373,0)+1,-1,Bank_Holidays!$A$2:$A$25),"Yes","No")</f>
        <v>No</v>
      </c>
      <c r="P373" t="str">
        <f t="shared" si="92"/>
        <v>No</v>
      </c>
      <c r="Q373" t="str">
        <f t="shared" si="93"/>
        <v>No</v>
      </c>
      <c r="R373" s="5">
        <f t="shared" si="95"/>
        <v>0</v>
      </c>
      <c r="S373">
        <f>MOD(A373-Fortnightly_Model!$M$1,14)</f>
        <v>0</v>
      </c>
      <c r="T373">
        <f>MOD(A373-FourWeekly_Model!$M$1,28)</f>
        <v>14</v>
      </c>
    </row>
    <row r="374" spans="1:20">
      <c r="A374" s="25">
        <f t="shared" si="94"/>
        <v>46607</v>
      </c>
      <c r="B374">
        <f t="shared" si="80"/>
        <v>2027</v>
      </c>
      <c r="C374" s="9">
        <f t="shared" si="81"/>
        <v>8</v>
      </c>
      <c r="D374" s="9" t="str">
        <f t="shared" si="82"/>
        <v>August</v>
      </c>
      <c r="E374" s="9" t="str">
        <f t="shared" si="83"/>
        <v>Aug-27</v>
      </c>
      <c r="F374" s="9" t="str">
        <f t="shared" si="84"/>
        <v>Q3</v>
      </c>
      <c r="G374" s="9">
        <f t="shared" si="85"/>
        <v>8</v>
      </c>
      <c r="H374" s="9">
        <f t="shared" si="86"/>
        <v>7</v>
      </c>
      <c r="I374" s="9" t="str">
        <f t="shared" si="87"/>
        <v>Sunday</v>
      </c>
      <c r="J374" s="9" t="str">
        <f t="shared" si="88"/>
        <v>Yes</v>
      </c>
      <c r="K374" s="5" t="str">
        <f>IF(COUNTIF(Bank_Holidays!A:A,A374)&gt;0,"Yes","No")</f>
        <v>No</v>
      </c>
      <c r="L374" t="str">
        <f t="shared" si="89"/>
        <v>No</v>
      </c>
      <c r="M374">
        <f t="shared" si="90"/>
        <v>31</v>
      </c>
      <c r="N374" s="5" t="str">
        <f t="shared" si="91"/>
        <v>No</v>
      </c>
      <c r="O374" t="str">
        <f>IF(A374=WORKDAY(EOMONTH(A374,0)+1,-1,Bank_Holidays!$A$2:$A$25),"Yes","No")</f>
        <v>No</v>
      </c>
      <c r="P374" t="str">
        <f t="shared" si="92"/>
        <v>No</v>
      </c>
      <c r="Q374" t="str">
        <f t="shared" si="93"/>
        <v>No</v>
      </c>
      <c r="R374" s="5">
        <f t="shared" si="95"/>
        <v>0</v>
      </c>
      <c r="S374">
        <f>MOD(A374-Fortnightly_Model!$M$1,14)</f>
        <v>1</v>
      </c>
      <c r="T374">
        <f>MOD(A374-FourWeekly_Model!$M$1,28)</f>
        <v>15</v>
      </c>
    </row>
    <row r="375" spans="1:20">
      <c r="A375" s="25">
        <f t="shared" si="94"/>
        <v>46608</v>
      </c>
      <c r="B375">
        <f t="shared" si="80"/>
        <v>2027</v>
      </c>
      <c r="C375" s="9">
        <f t="shared" si="81"/>
        <v>8</v>
      </c>
      <c r="D375" s="9" t="str">
        <f t="shared" si="82"/>
        <v>August</v>
      </c>
      <c r="E375" s="9" t="str">
        <f t="shared" si="83"/>
        <v>Aug-27</v>
      </c>
      <c r="F375" s="9" t="str">
        <f t="shared" si="84"/>
        <v>Q3</v>
      </c>
      <c r="G375" s="9">
        <f t="shared" si="85"/>
        <v>9</v>
      </c>
      <c r="H375" s="9">
        <f t="shared" si="86"/>
        <v>1</v>
      </c>
      <c r="I375" s="9" t="str">
        <f t="shared" si="87"/>
        <v>Monday</v>
      </c>
      <c r="J375" s="9" t="str">
        <f t="shared" si="88"/>
        <v>No</v>
      </c>
      <c r="K375" s="5" t="str">
        <f>IF(COUNTIF(Bank_Holidays!A:A,A375)&gt;0,"Yes","No")</f>
        <v>No</v>
      </c>
      <c r="L375" t="str">
        <f t="shared" si="89"/>
        <v>Yes</v>
      </c>
      <c r="M375">
        <f t="shared" si="90"/>
        <v>32</v>
      </c>
      <c r="N375" s="5" t="str">
        <f t="shared" si="91"/>
        <v>No</v>
      </c>
      <c r="O375" t="str">
        <f>IF(A375=WORKDAY(EOMONTH(A375,0)+1,-1,Bank_Holidays!$A$2:$A$25),"Yes","No")</f>
        <v>No</v>
      </c>
      <c r="P375" t="str">
        <f t="shared" si="92"/>
        <v>No</v>
      </c>
      <c r="Q375" t="str">
        <f t="shared" si="93"/>
        <v>No</v>
      </c>
      <c r="R375" s="5">
        <f t="shared" si="95"/>
        <v>1</v>
      </c>
      <c r="S375">
        <f>MOD(A375-Fortnightly_Model!$M$1,14)</f>
        <v>2</v>
      </c>
      <c r="T375">
        <f>MOD(A375-FourWeekly_Model!$M$1,28)</f>
        <v>16</v>
      </c>
    </row>
    <row r="376" spans="1:20">
      <c r="A376" s="25">
        <f t="shared" si="94"/>
        <v>46609</v>
      </c>
      <c r="B376">
        <f t="shared" si="80"/>
        <v>2027</v>
      </c>
      <c r="C376" s="9">
        <f t="shared" si="81"/>
        <v>8</v>
      </c>
      <c r="D376" s="9" t="str">
        <f t="shared" si="82"/>
        <v>August</v>
      </c>
      <c r="E376" s="9" t="str">
        <f t="shared" si="83"/>
        <v>Aug-27</v>
      </c>
      <c r="F376" s="9" t="str">
        <f t="shared" si="84"/>
        <v>Q3</v>
      </c>
      <c r="G376" s="9">
        <f t="shared" si="85"/>
        <v>10</v>
      </c>
      <c r="H376" s="9">
        <f t="shared" si="86"/>
        <v>2</v>
      </c>
      <c r="I376" s="9" t="str">
        <f t="shared" si="87"/>
        <v>Tuesday</v>
      </c>
      <c r="J376" s="9" t="str">
        <f t="shared" si="88"/>
        <v>No</v>
      </c>
      <c r="K376" s="5" t="str">
        <f>IF(COUNTIF(Bank_Holidays!A:A,A376)&gt;0,"Yes","No")</f>
        <v>No</v>
      </c>
      <c r="L376" t="str">
        <f t="shared" si="89"/>
        <v>Yes</v>
      </c>
      <c r="M376">
        <f t="shared" si="90"/>
        <v>32</v>
      </c>
      <c r="N376" s="5" t="str">
        <f t="shared" si="91"/>
        <v>No</v>
      </c>
      <c r="O376" t="str">
        <f>IF(A376=WORKDAY(EOMONTH(A376,0)+1,-1,Bank_Holidays!$A$2:$A$25),"Yes","No")</f>
        <v>No</v>
      </c>
      <c r="P376" t="str">
        <f t="shared" si="92"/>
        <v>No</v>
      </c>
      <c r="Q376" t="str">
        <f t="shared" si="93"/>
        <v>No</v>
      </c>
      <c r="R376" s="5">
        <f t="shared" si="95"/>
        <v>1</v>
      </c>
      <c r="S376">
        <f>MOD(A376-Fortnightly_Model!$M$1,14)</f>
        <v>3</v>
      </c>
      <c r="T376">
        <f>MOD(A376-FourWeekly_Model!$M$1,28)</f>
        <v>17</v>
      </c>
    </row>
    <row r="377" spans="1:20">
      <c r="A377" s="25">
        <f t="shared" si="94"/>
        <v>46610</v>
      </c>
      <c r="B377">
        <f t="shared" si="80"/>
        <v>2027</v>
      </c>
      <c r="C377" s="9">
        <f t="shared" si="81"/>
        <v>8</v>
      </c>
      <c r="D377" s="9" t="str">
        <f t="shared" si="82"/>
        <v>August</v>
      </c>
      <c r="E377" s="9" t="str">
        <f t="shared" si="83"/>
        <v>Aug-27</v>
      </c>
      <c r="F377" s="9" t="str">
        <f t="shared" si="84"/>
        <v>Q3</v>
      </c>
      <c r="G377" s="9">
        <f t="shared" si="85"/>
        <v>11</v>
      </c>
      <c r="H377" s="9">
        <f t="shared" si="86"/>
        <v>3</v>
      </c>
      <c r="I377" s="9" t="str">
        <f t="shared" si="87"/>
        <v>Wednesday</v>
      </c>
      <c r="J377" s="9" t="str">
        <f t="shared" si="88"/>
        <v>No</v>
      </c>
      <c r="K377" s="5" t="str">
        <f>IF(COUNTIF(Bank_Holidays!A:A,A377)&gt;0,"Yes","No")</f>
        <v>No</v>
      </c>
      <c r="L377" t="str">
        <f t="shared" si="89"/>
        <v>Yes</v>
      </c>
      <c r="M377">
        <f t="shared" si="90"/>
        <v>32</v>
      </c>
      <c r="N377" s="5" t="str">
        <f t="shared" si="91"/>
        <v>No</v>
      </c>
      <c r="O377" t="str">
        <f>IF(A377=WORKDAY(EOMONTH(A377,0)+1,-1,Bank_Holidays!$A$2:$A$25),"Yes","No")</f>
        <v>No</v>
      </c>
      <c r="P377" t="str">
        <f t="shared" si="92"/>
        <v>No</v>
      </c>
      <c r="Q377" t="str">
        <f t="shared" si="93"/>
        <v>No</v>
      </c>
      <c r="R377" s="5">
        <f t="shared" si="95"/>
        <v>1</v>
      </c>
      <c r="S377">
        <f>MOD(A377-Fortnightly_Model!$M$1,14)</f>
        <v>4</v>
      </c>
      <c r="T377">
        <f>MOD(A377-FourWeekly_Model!$M$1,28)</f>
        <v>18</v>
      </c>
    </row>
    <row r="378" spans="1:20">
      <c r="A378" s="25">
        <f t="shared" si="94"/>
        <v>46611</v>
      </c>
      <c r="B378">
        <f t="shared" si="80"/>
        <v>2027</v>
      </c>
      <c r="C378" s="9">
        <f t="shared" si="81"/>
        <v>8</v>
      </c>
      <c r="D378" s="9" t="str">
        <f t="shared" si="82"/>
        <v>August</v>
      </c>
      <c r="E378" s="9" t="str">
        <f t="shared" si="83"/>
        <v>Aug-27</v>
      </c>
      <c r="F378" s="9" t="str">
        <f t="shared" si="84"/>
        <v>Q3</v>
      </c>
      <c r="G378" s="9">
        <f t="shared" si="85"/>
        <v>12</v>
      </c>
      <c r="H378" s="9">
        <f t="shared" si="86"/>
        <v>4</v>
      </c>
      <c r="I378" s="9" t="str">
        <f t="shared" si="87"/>
        <v>Thursday</v>
      </c>
      <c r="J378" s="9" t="str">
        <f t="shared" si="88"/>
        <v>No</v>
      </c>
      <c r="K378" s="5" t="str">
        <f>IF(COUNTIF(Bank_Holidays!A:A,A378)&gt;0,"Yes","No")</f>
        <v>No</v>
      </c>
      <c r="L378" t="str">
        <f t="shared" si="89"/>
        <v>Yes</v>
      </c>
      <c r="M378">
        <f t="shared" si="90"/>
        <v>32</v>
      </c>
      <c r="N378" s="5" t="str">
        <f t="shared" si="91"/>
        <v>No</v>
      </c>
      <c r="O378" t="str">
        <f>IF(A378=WORKDAY(EOMONTH(A378,0)+1,-1,Bank_Holidays!$A$2:$A$25),"Yes","No")</f>
        <v>No</v>
      </c>
      <c r="P378" t="str">
        <f t="shared" si="92"/>
        <v>No</v>
      </c>
      <c r="Q378" t="str">
        <f t="shared" si="93"/>
        <v>No</v>
      </c>
      <c r="R378" s="5">
        <f t="shared" si="95"/>
        <v>1</v>
      </c>
      <c r="S378">
        <f>MOD(A378-Fortnightly_Model!$M$1,14)</f>
        <v>5</v>
      </c>
      <c r="T378">
        <f>MOD(A378-FourWeekly_Model!$M$1,28)</f>
        <v>19</v>
      </c>
    </row>
    <row r="379" spans="1:20">
      <c r="A379" s="25">
        <f t="shared" si="94"/>
        <v>46612</v>
      </c>
      <c r="B379">
        <f t="shared" si="80"/>
        <v>2027</v>
      </c>
      <c r="C379" s="9">
        <f t="shared" si="81"/>
        <v>8</v>
      </c>
      <c r="D379" s="9" t="str">
        <f t="shared" si="82"/>
        <v>August</v>
      </c>
      <c r="E379" s="9" t="str">
        <f t="shared" si="83"/>
        <v>Aug-27</v>
      </c>
      <c r="F379" s="9" t="str">
        <f t="shared" si="84"/>
        <v>Q3</v>
      </c>
      <c r="G379" s="9">
        <f t="shared" si="85"/>
        <v>13</v>
      </c>
      <c r="H379" s="9">
        <f t="shared" si="86"/>
        <v>5</v>
      </c>
      <c r="I379" s="9" t="str">
        <f t="shared" si="87"/>
        <v>Friday</v>
      </c>
      <c r="J379" s="9" t="str">
        <f t="shared" si="88"/>
        <v>No</v>
      </c>
      <c r="K379" s="5" t="str">
        <f>IF(COUNTIF(Bank_Holidays!A:A,A379)&gt;0,"Yes","No")</f>
        <v>No</v>
      </c>
      <c r="L379" t="str">
        <f t="shared" si="89"/>
        <v>Yes</v>
      </c>
      <c r="M379">
        <f t="shared" si="90"/>
        <v>32</v>
      </c>
      <c r="N379" s="5" t="str">
        <f t="shared" si="91"/>
        <v>No</v>
      </c>
      <c r="O379" t="str">
        <f>IF(A379=WORKDAY(EOMONTH(A379,0)+1,-1,Bank_Holidays!$A$2:$A$25),"Yes","No")</f>
        <v>No</v>
      </c>
      <c r="P379" t="str">
        <f t="shared" si="92"/>
        <v>No</v>
      </c>
      <c r="Q379" t="str">
        <f t="shared" si="93"/>
        <v>No</v>
      </c>
      <c r="R379" s="5">
        <f t="shared" si="95"/>
        <v>3</v>
      </c>
      <c r="S379">
        <f>MOD(A379-Fortnightly_Model!$M$1,14)</f>
        <v>6</v>
      </c>
      <c r="T379">
        <f>MOD(A379-FourWeekly_Model!$M$1,28)</f>
        <v>20</v>
      </c>
    </row>
    <row r="380" spans="1:20">
      <c r="A380" s="25">
        <f t="shared" si="94"/>
        <v>46613</v>
      </c>
      <c r="B380">
        <f t="shared" si="80"/>
        <v>2027</v>
      </c>
      <c r="C380" s="9">
        <f t="shared" si="81"/>
        <v>8</v>
      </c>
      <c r="D380" s="9" t="str">
        <f t="shared" si="82"/>
        <v>August</v>
      </c>
      <c r="E380" s="9" t="str">
        <f t="shared" si="83"/>
        <v>Aug-27</v>
      </c>
      <c r="F380" s="9" t="str">
        <f t="shared" si="84"/>
        <v>Q3</v>
      </c>
      <c r="G380" s="9">
        <f t="shared" si="85"/>
        <v>14</v>
      </c>
      <c r="H380" s="9">
        <f t="shared" si="86"/>
        <v>6</v>
      </c>
      <c r="I380" s="9" t="str">
        <f t="shared" si="87"/>
        <v>Saturday</v>
      </c>
      <c r="J380" s="9" t="str">
        <f t="shared" si="88"/>
        <v>Yes</v>
      </c>
      <c r="K380" s="5" t="str">
        <f>IF(COUNTIF(Bank_Holidays!A:A,A380)&gt;0,"Yes","No")</f>
        <v>No</v>
      </c>
      <c r="L380" t="str">
        <f t="shared" si="89"/>
        <v>No</v>
      </c>
      <c r="M380">
        <f t="shared" si="90"/>
        <v>32</v>
      </c>
      <c r="N380" s="5" t="str">
        <f t="shared" si="91"/>
        <v>No</v>
      </c>
      <c r="O380" t="str">
        <f>IF(A380=WORKDAY(EOMONTH(A380,0)+1,-1,Bank_Holidays!$A$2:$A$25),"Yes","No")</f>
        <v>No</v>
      </c>
      <c r="P380" t="str">
        <f t="shared" si="92"/>
        <v>No</v>
      </c>
      <c r="Q380" t="str">
        <f t="shared" si="93"/>
        <v>No</v>
      </c>
      <c r="R380" s="5">
        <f t="shared" si="95"/>
        <v>0</v>
      </c>
      <c r="S380">
        <f>MOD(A380-Fortnightly_Model!$M$1,14)</f>
        <v>7</v>
      </c>
      <c r="T380">
        <f>MOD(A380-FourWeekly_Model!$M$1,28)</f>
        <v>21</v>
      </c>
    </row>
    <row r="381" spans="1:20">
      <c r="A381" s="25">
        <f t="shared" si="94"/>
        <v>46614</v>
      </c>
      <c r="B381">
        <f t="shared" si="80"/>
        <v>2027</v>
      </c>
      <c r="C381" s="9">
        <f t="shared" si="81"/>
        <v>8</v>
      </c>
      <c r="D381" s="9" t="str">
        <f t="shared" si="82"/>
        <v>August</v>
      </c>
      <c r="E381" s="9" t="str">
        <f t="shared" si="83"/>
        <v>Aug-27</v>
      </c>
      <c r="F381" s="9" t="str">
        <f t="shared" si="84"/>
        <v>Q3</v>
      </c>
      <c r="G381" s="9">
        <f t="shared" si="85"/>
        <v>15</v>
      </c>
      <c r="H381" s="9">
        <f t="shared" si="86"/>
        <v>7</v>
      </c>
      <c r="I381" s="9" t="str">
        <f t="shared" si="87"/>
        <v>Sunday</v>
      </c>
      <c r="J381" s="9" t="str">
        <f t="shared" si="88"/>
        <v>Yes</v>
      </c>
      <c r="K381" s="5" t="str">
        <f>IF(COUNTIF(Bank_Holidays!A:A,A381)&gt;0,"Yes","No")</f>
        <v>No</v>
      </c>
      <c r="L381" t="str">
        <f t="shared" si="89"/>
        <v>No</v>
      </c>
      <c r="M381">
        <f t="shared" si="90"/>
        <v>32</v>
      </c>
      <c r="N381" s="5" t="str">
        <f t="shared" si="91"/>
        <v>No</v>
      </c>
      <c r="O381" t="str">
        <f>IF(A381=WORKDAY(EOMONTH(A381,0)+1,-1,Bank_Holidays!$A$2:$A$25),"Yes","No")</f>
        <v>No</v>
      </c>
      <c r="P381" t="str">
        <f t="shared" si="92"/>
        <v>No</v>
      </c>
      <c r="Q381" t="str">
        <f t="shared" si="93"/>
        <v>No</v>
      </c>
      <c r="R381" s="5">
        <f t="shared" si="95"/>
        <v>0</v>
      </c>
      <c r="S381">
        <f>MOD(A381-Fortnightly_Model!$M$1,14)</f>
        <v>8</v>
      </c>
      <c r="T381">
        <f>MOD(A381-FourWeekly_Model!$M$1,28)</f>
        <v>22</v>
      </c>
    </row>
    <row r="382" spans="1:20">
      <c r="A382" s="25">
        <f t="shared" si="94"/>
        <v>46615</v>
      </c>
      <c r="B382">
        <f t="shared" si="80"/>
        <v>2027</v>
      </c>
      <c r="C382" s="9">
        <f t="shared" si="81"/>
        <v>8</v>
      </c>
      <c r="D382" s="9" t="str">
        <f t="shared" si="82"/>
        <v>August</v>
      </c>
      <c r="E382" s="9" t="str">
        <f t="shared" si="83"/>
        <v>Aug-27</v>
      </c>
      <c r="F382" s="9" t="str">
        <f t="shared" si="84"/>
        <v>Q3</v>
      </c>
      <c r="G382" s="9">
        <f t="shared" si="85"/>
        <v>16</v>
      </c>
      <c r="H382" s="9">
        <f t="shared" si="86"/>
        <v>1</v>
      </c>
      <c r="I382" s="9" t="str">
        <f t="shared" si="87"/>
        <v>Monday</v>
      </c>
      <c r="J382" s="9" t="str">
        <f t="shared" si="88"/>
        <v>No</v>
      </c>
      <c r="K382" s="5" t="str">
        <f>IF(COUNTIF(Bank_Holidays!A:A,A382)&gt;0,"Yes","No")</f>
        <v>No</v>
      </c>
      <c r="L382" t="str">
        <f t="shared" si="89"/>
        <v>Yes</v>
      </c>
      <c r="M382">
        <f t="shared" si="90"/>
        <v>33</v>
      </c>
      <c r="N382" s="5" t="str">
        <f t="shared" si="91"/>
        <v>No</v>
      </c>
      <c r="O382" t="str">
        <f>IF(A382=WORKDAY(EOMONTH(A382,0)+1,-1,Bank_Holidays!$A$2:$A$25),"Yes","No")</f>
        <v>No</v>
      </c>
      <c r="P382" t="str">
        <f t="shared" si="92"/>
        <v>No</v>
      </c>
      <c r="Q382" t="str">
        <f t="shared" si="93"/>
        <v>No</v>
      </c>
      <c r="R382" s="5">
        <f t="shared" si="95"/>
        <v>1</v>
      </c>
      <c r="S382">
        <f>MOD(A382-Fortnightly_Model!$M$1,14)</f>
        <v>9</v>
      </c>
      <c r="T382">
        <f>MOD(A382-FourWeekly_Model!$M$1,28)</f>
        <v>23</v>
      </c>
    </row>
    <row r="383" spans="1:20">
      <c r="A383" s="25">
        <f t="shared" si="94"/>
        <v>46616</v>
      </c>
      <c r="B383">
        <f t="shared" si="80"/>
        <v>2027</v>
      </c>
      <c r="C383" s="9">
        <f t="shared" si="81"/>
        <v>8</v>
      </c>
      <c r="D383" s="9" t="str">
        <f t="shared" si="82"/>
        <v>August</v>
      </c>
      <c r="E383" s="9" t="str">
        <f t="shared" si="83"/>
        <v>Aug-27</v>
      </c>
      <c r="F383" s="9" t="str">
        <f t="shared" si="84"/>
        <v>Q3</v>
      </c>
      <c r="G383" s="9">
        <f t="shared" si="85"/>
        <v>17</v>
      </c>
      <c r="H383" s="9">
        <f t="shared" si="86"/>
        <v>2</v>
      </c>
      <c r="I383" s="9" t="str">
        <f t="shared" si="87"/>
        <v>Tuesday</v>
      </c>
      <c r="J383" s="9" t="str">
        <f t="shared" si="88"/>
        <v>No</v>
      </c>
      <c r="K383" s="5" t="str">
        <f>IF(COUNTIF(Bank_Holidays!A:A,A383)&gt;0,"Yes","No")</f>
        <v>No</v>
      </c>
      <c r="L383" t="str">
        <f t="shared" si="89"/>
        <v>Yes</v>
      </c>
      <c r="M383">
        <f t="shared" si="90"/>
        <v>33</v>
      </c>
      <c r="N383" s="5" t="str">
        <f t="shared" si="91"/>
        <v>No</v>
      </c>
      <c r="O383" t="str">
        <f>IF(A383=WORKDAY(EOMONTH(A383,0)+1,-1,Bank_Holidays!$A$2:$A$25),"Yes","No")</f>
        <v>No</v>
      </c>
      <c r="P383" t="str">
        <f t="shared" si="92"/>
        <v>No</v>
      </c>
      <c r="Q383" t="str">
        <f t="shared" si="93"/>
        <v>No</v>
      </c>
      <c r="R383" s="5">
        <f t="shared" si="95"/>
        <v>1</v>
      </c>
      <c r="S383">
        <f>MOD(A383-Fortnightly_Model!$M$1,14)</f>
        <v>10</v>
      </c>
      <c r="T383">
        <f>MOD(A383-FourWeekly_Model!$M$1,28)</f>
        <v>24</v>
      </c>
    </row>
    <row r="384" spans="1:20">
      <c r="A384" s="25">
        <f t="shared" si="94"/>
        <v>46617</v>
      </c>
      <c r="B384">
        <f t="shared" si="80"/>
        <v>2027</v>
      </c>
      <c r="C384" s="9">
        <f t="shared" si="81"/>
        <v>8</v>
      </c>
      <c r="D384" s="9" t="str">
        <f t="shared" si="82"/>
        <v>August</v>
      </c>
      <c r="E384" s="9" t="str">
        <f t="shared" si="83"/>
        <v>Aug-27</v>
      </c>
      <c r="F384" s="9" t="str">
        <f t="shared" si="84"/>
        <v>Q3</v>
      </c>
      <c r="G384" s="9">
        <f t="shared" si="85"/>
        <v>18</v>
      </c>
      <c r="H384" s="9">
        <f t="shared" si="86"/>
        <v>3</v>
      </c>
      <c r="I384" s="9" t="str">
        <f t="shared" si="87"/>
        <v>Wednesday</v>
      </c>
      <c r="J384" s="9" t="str">
        <f t="shared" si="88"/>
        <v>No</v>
      </c>
      <c r="K384" s="5" t="str">
        <f>IF(COUNTIF(Bank_Holidays!A:A,A384)&gt;0,"Yes","No")</f>
        <v>No</v>
      </c>
      <c r="L384" t="str">
        <f t="shared" si="89"/>
        <v>Yes</v>
      </c>
      <c r="M384">
        <f t="shared" si="90"/>
        <v>33</v>
      </c>
      <c r="N384" s="5" t="str">
        <f t="shared" si="91"/>
        <v>No</v>
      </c>
      <c r="O384" t="str">
        <f>IF(A384=WORKDAY(EOMONTH(A384,0)+1,-1,Bank_Holidays!$A$2:$A$25),"Yes","No")</f>
        <v>No</v>
      </c>
      <c r="P384" t="str">
        <f t="shared" si="92"/>
        <v>No</v>
      </c>
      <c r="Q384" t="str">
        <f t="shared" si="93"/>
        <v>No</v>
      </c>
      <c r="R384" s="5">
        <f t="shared" si="95"/>
        <v>1</v>
      </c>
      <c r="S384">
        <f>MOD(A384-Fortnightly_Model!$M$1,14)</f>
        <v>11</v>
      </c>
      <c r="T384">
        <f>MOD(A384-FourWeekly_Model!$M$1,28)</f>
        <v>25</v>
      </c>
    </row>
    <row r="385" spans="1:20">
      <c r="A385" s="25">
        <f t="shared" si="94"/>
        <v>46618</v>
      </c>
      <c r="B385">
        <f t="shared" si="80"/>
        <v>2027</v>
      </c>
      <c r="C385" s="9">
        <f t="shared" si="81"/>
        <v>8</v>
      </c>
      <c r="D385" s="9" t="str">
        <f t="shared" si="82"/>
        <v>August</v>
      </c>
      <c r="E385" s="9" t="str">
        <f t="shared" si="83"/>
        <v>Aug-27</v>
      </c>
      <c r="F385" s="9" t="str">
        <f t="shared" si="84"/>
        <v>Q3</v>
      </c>
      <c r="G385" s="9">
        <f t="shared" si="85"/>
        <v>19</v>
      </c>
      <c r="H385" s="9">
        <f t="shared" si="86"/>
        <v>4</v>
      </c>
      <c r="I385" s="9" t="str">
        <f t="shared" si="87"/>
        <v>Thursday</v>
      </c>
      <c r="J385" s="9" t="str">
        <f t="shared" si="88"/>
        <v>No</v>
      </c>
      <c r="K385" s="5" t="str">
        <f>IF(COUNTIF(Bank_Holidays!A:A,A385)&gt;0,"Yes","No")</f>
        <v>No</v>
      </c>
      <c r="L385" t="str">
        <f t="shared" si="89"/>
        <v>Yes</v>
      </c>
      <c r="M385">
        <f t="shared" si="90"/>
        <v>33</v>
      </c>
      <c r="N385" s="5" t="str">
        <f t="shared" si="91"/>
        <v>No</v>
      </c>
      <c r="O385" t="str">
        <f>IF(A385=WORKDAY(EOMONTH(A385,0)+1,-1,Bank_Holidays!$A$2:$A$25),"Yes","No")</f>
        <v>No</v>
      </c>
      <c r="P385" t="str">
        <f t="shared" si="92"/>
        <v>No</v>
      </c>
      <c r="Q385" t="str">
        <f t="shared" si="93"/>
        <v>No</v>
      </c>
      <c r="R385" s="5">
        <f t="shared" si="95"/>
        <v>1</v>
      </c>
      <c r="S385">
        <f>MOD(A385-Fortnightly_Model!$M$1,14)</f>
        <v>12</v>
      </c>
      <c r="T385">
        <f>MOD(A385-FourWeekly_Model!$M$1,28)</f>
        <v>26</v>
      </c>
    </row>
    <row r="386" spans="1:20">
      <c r="A386" s="25">
        <f t="shared" si="94"/>
        <v>46619</v>
      </c>
      <c r="B386">
        <f t="shared" ref="B386:B449" si="96">YEAR(A386)</f>
        <v>2027</v>
      </c>
      <c r="C386" s="9">
        <f t="shared" ref="C386:C449" si="97">MONTH(A386)</f>
        <v>8</v>
      </c>
      <c r="D386" s="9" t="str">
        <f t="shared" ref="D386:D449" si="98">TEXT(A386,"mmmm")</f>
        <v>August</v>
      </c>
      <c r="E386" s="9" t="str">
        <f t="shared" ref="E386:E449" si="99">TEXT(A386,"mmm-yy")</f>
        <v>Aug-27</v>
      </c>
      <c r="F386" s="9" t="str">
        <f t="shared" ref="F386:F449" si="100">"Q"&amp;ROUNDUP(MONTH($A386)/3,0)</f>
        <v>Q3</v>
      </c>
      <c r="G386" s="9">
        <f t="shared" ref="G386:G449" si="101">DAY($A386)</f>
        <v>20</v>
      </c>
      <c r="H386" s="9">
        <f t="shared" ref="H386:H449" si="102">WEEKDAY($A386,2)</f>
        <v>5</v>
      </c>
      <c r="I386" s="9" t="str">
        <f t="shared" ref="I386:I449" si="103">TEXT($A386,"dddd")</f>
        <v>Friday</v>
      </c>
      <c r="J386" s="9" t="str">
        <f t="shared" ref="J386:J449" si="104">IF($H386&gt;5,"Yes","No")</f>
        <v>No</v>
      </c>
      <c r="K386" s="5" t="str">
        <f>IF(COUNTIF(Bank_Holidays!A:A,A386)&gt;0,"Yes","No")</f>
        <v>No</v>
      </c>
      <c r="L386" t="str">
        <f t="shared" ref="L386:L449" si="105">IF(AND(J386="No",K386="No"),"Yes","No")</f>
        <v>Yes</v>
      </c>
      <c r="M386">
        <f t="shared" ref="M386:M449" si="106">_xlfn.ISOWEEKNUM(A386)</f>
        <v>33</v>
      </c>
      <c r="N386" s="5" t="str">
        <f t="shared" ref="N386:N449" si="107">IF(A386=EOMONTH(A386,0),"Yes","No")</f>
        <v>No</v>
      </c>
      <c r="O386" t="str">
        <f>IF(A386=WORKDAY(EOMONTH(A386,0)+1,-1,Bank_Holidays!$A$2:$A$25),"Yes","No")</f>
        <v>No</v>
      </c>
      <c r="P386" t="str">
        <f t="shared" ref="P386:P449" si="108">IF(
AND(
TEXT(A386,"dddd")="Friday",
MONTH(A386+7)&lt;&gt;MONTH(A386)
),
"Yes",
"No"
)</f>
        <v>No</v>
      </c>
      <c r="Q386" t="str">
        <f t="shared" ref="Q386:Q449" si="109">IF(
AND(
TEXT(A386,"dddd")="Thursday",
MONTH(A386+7)&lt;&gt;MONTH(A386)
),
"Yes",
"No"
)</f>
        <v>No</v>
      </c>
      <c r="R386" s="5">
        <f t="shared" si="95"/>
        <v>3</v>
      </c>
      <c r="S386">
        <f>MOD(A386-Fortnightly_Model!$M$1,14)</f>
        <v>13</v>
      </c>
      <c r="T386">
        <f>MOD(A386-FourWeekly_Model!$M$1,28)</f>
        <v>27</v>
      </c>
    </row>
    <row r="387" spans="1:20">
      <c r="A387" s="25">
        <f t="shared" ref="A387:A450" si="110">A386+1</f>
        <v>46620</v>
      </c>
      <c r="B387">
        <f t="shared" si="96"/>
        <v>2027</v>
      </c>
      <c r="C387" s="9">
        <f t="shared" si="97"/>
        <v>8</v>
      </c>
      <c r="D387" s="9" t="str">
        <f t="shared" si="98"/>
        <v>August</v>
      </c>
      <c r="E387" s="9" t="str">
        <f t="shared" si="99"/>
        <v>Aug-27</v>
      </c>
      <c r="F387" s="9" t="str">
        <f t="shared" si="100"/>
        <v>Q3</v>
      </c>
      <c r="G387" s="9">
        <f t="shared" si="101"/>
        <v>21</v>
      </c>
      <c r="H387" s="9">
        <f t="shared" si="102"/>
        <v>6</v>
      </c>
      <c r="I387" s="9" t="str">
        <f t="shared" si="103"/>
        <v>Saturday</v>
      </c>
      <c r="J387" s="9" t="str">
        <f t="shared" si="104"/>
        <v>Yes</v>
      </c>
      <c r="K387" s="5" t="str">
        <f>IF(COUNTIF(Bank_Holidays!A:A,A387)&gt;0,"Yes","No")</f>
        <v>No</v>
      </c>
      <c r="L387" t="str">
        <f t="shared" si="105"/>
        <v>No</v>
      </c>
      <c r="M387">
        <f t="shared" si="106"/>
        <v>33</v>
      </c>
      <c r="N387" s="5" t="str">
        <f t="shared" si="107"/>
        <v>No</v>
      </c>
      <c r="O387" t="str">
        <f>IF(A387=WORKDAY(EOMONTH(A387,0)+1,-1,Bank_Holidays!$A$2:$A$25),"Yes","No")</f>
        <v>No</v>
      </c>
      <c r="P387" t="str">
        <f t="shared" si="108"/>
        <v>No</v>
      </c>
      <c r="Q387" t="str">
        <f t="shared" si="109"/>
        <v>No</v>
      </c>
      <c r="R387" s="5">
        <f t="shared" ref="R387:R450" si="111">IF(L387="yes",1)+IF(L387="no",0,IF(AND(L392="no",L391="no",L390="no",L389="no",L388="no"),5,IF(AND(L391="no",L390="no",L389="no",L388="no"),4,IF(AND(L390="no",L389="no",L388="no"),3,IF(AND(L389="no",L388="no"),2,IF(L388="no",1))))))</f>
        <v>0</v>
      </c>
      <c r="S387">
        <f>MOD(A387-Fortnightly_Model!$M$1,14)</f>
        <v>0</v>
      </c>
      <c r="T387">
        <f>MOD(A387-FourWeekly_Model!$M$1,28)</f>
        <v>0</v>
      </c>
    </row>
    <row r="388" spans="1:20">
      <c r="A388" s="25">
        <f t="shared" si="110"/>
        <v>46621</v>
      </c>
      <c r="B388">
        <f t="shared" si="96"/>
        <v>2027</v>
      </c>
      <c r="C388" s="9">
        <f t="shared" si="97"/>
        <v>8</v>
      </c>
      <c r="D388" s="9" t="str">
        <f t="shared" si="98"/>
        <v>August</v>
      </c>
      <c r="E388" s="9" t="str">
        <f t="shared" si="99"/>
        <v>Aug-27</v>
      </c>
      <c r="F388" s="9" t="str">
        <f t="shared" si="100"/>
        <v>Q3</v>
      </c>
      <c r="G388" s="9">
        <f t="shared" si="101"/>
        <v>22</v>
      </c>
      <c r="H388" s="9">
        <f t="shared" si="102"/>
        <v>7</v>
      </c>
      <c r="I388" s="9" t="str">
        <f t="shared" si="103"/>
        <v>Sunday</v>
      </c>
      <c r="J388" s="9" t="str">
        <f t="shared" si="104"/>
        <v>Yes</v>
      </c>
      <c r="K388" s="5" t="str">
        <f>IF(COUNTIF(Bank_Holidays!A:A,A388)&gt;0,"Yes","No")</f>
        <v>No</v>
      </c>
      <c r="L388" t="str">
        <f t="shared" si="105"/>
        <v>No</v>
      </c>
      <c r="M388">
        <f t="shared" si="106"/>
        <v>33</v>
      </c>
      <c r="N388" s="5" t="str">
        <f t="shared" si="107"/>
        <v>No</v>
      </c>
      <c r="O388" t="str">
        <f>IF(A388=WORKDAY(EOMONTH(A388,0)+1,-1,Bank_Holidays!$A$2:$A$25),"Yes","No")</f>
        <v>No</v>
      </c>
      <c r="P388" t="str">
        <f t="shared" si="108"/>
        <v>No</v>
      </c>
      <c r="Q388" t="str">
        <f t="shared" si="109"/>
        <v>No</v>
      </c>
      <c r="R388" s="5">
        <f t="shared" si="111"/>
        <v>0</v>
      </c>
      <c r="S388">
        <f>MOD(A388-Fortnightly_Model!$M$1,14)</f>
        <v>1</v>
      </c>
      <c r="T388">
        <f>MOD(A388-FourWeekly_Model!$M$1,28)</f>
        <v>1</v>
      </c>
    </row>
    <row r="389" spans="1:20">
      <c r="A389" s="25">
        <f t="shared" si="110"/>
        <v>46622</v>
      </c>
      <c r="B389">
        <f t="shared" si="96"/>
        <v>2027</v>
      </c>
      <c r="C389" s="9">
        <f t="shared" si="97"/>
        <v>8</v>
      </c>
      <c r="D389" s="9" t="str">
        <f t="shared" si="98"/>
        <v>August</v>
      </c>
      <c r="E389" s="9" t="str">
        <f t="shared" si="99"/>
        <v>Aug-27</v>
      </c>
      <c r="F389" s="9" t="str">
        <f t="shared" si="100"/>
        <v>Q3</v>
      </c>
      <c r="G389" s="9">
        <f t="shared" si="101"/>
        <v>23</v>
      </c>
      <c r="H389" s="9">
        <f t="shared" si="102"/>
        <v>1</v>
      </c>
      <c r="I389" s="9" t="str">
        <f t="shared" si="103"/>
        <v>Monday</v>
      </c>
      <c r="J389" s="9" t="str">
        <f t="shared" si="104"/>
        <v>No</v>
      </c>
      <c r="K389" s="5" t="str">
        <f>IF(COUNTIF(Bank_Holidays!A:A,A389)&gt;0,"Yes","No")</f>
        <v>No</v>
      </c>
      <c r="L389" t="str">
        <f t="shared" si="105"/>
        <v>Yes</v>
      </c>
      <c r="M389">
        <f t="shared" si="106"/>
        <v>34</v>
      </c>
      <c r="N389" s="5" t="str">
        <f t="shared" si="107"/>
        <v>No</v>
      </c>
      <c r="O389" t="str">
        <f>IF(A389=WORKDAY(EOMONTH(A389,0)+1,-1,Bank_Holidays!$A$2:$A$25),"Yes","No")</f>
        <v>No</v>
      </c>
      <c r="P389" t="str">
        <f t="shared" si="108"/>
        <v>No</v>
      </c>
      <c r="Q389" t="str">
        <f t="shared" si="109"/>
        <v>No</v>
      </c>
      <c r="R389" s="5">
        <f t="shared" si="111"/>
        <v>1</v>
      </c>
      <c r="S389">
        <f>MOD(A389-Fortnightly_Model!$M$1,14)</f>
        <v>2</v>
      </c>
      <c r="T389">
        <f>MOD(A389-FourWeekly_Model!$M$1,28)</f>
        <v>2</v>
      </c>
    </row>
    <row r="390" spans="1:20">
      <c r="A390" s="25">
        <f t="shared" si="110"/>
        <v>46623</v>
      </c>
      <c r="B390">
        <f t="shared" si="96"/>
        <v>2027</v>
      </c>
      <c r="C390" s="9">
        <f t="shared" si="97"/>
        <v>8</v>
      </c>
      <c r="D390" s="9" t="str">
        <f t="shared" si="98"/>
        <v>August</v>
      </c>
      <c r="E390" s="9" t="str">
        <f t="shared" si="99"/>
        <v>Aug-27</v>
      </c>
      <c r="F390" s="9" t="str">
        <f t="shared" si="100"/>
        <v>Q3</v>
      </c>
      <c r="G390" s="9">
        <f t="shared" si="101"/>
        <v>24</v>
      </c>
      <c r="H390" s="9">
        <f t="shared" si="102"/>
        <v>2</v>
      </c>
      <c r="I390" s="9" t="str">
        <f t="shared" si="103"/>
        <v>Tuesday</v>
      </c>
      <c r="J390" s="9" t="str">
        <f t="shared" si="104"/>
        <v>No</v>
      </c>
      <c r="K390" s="5" t="str">
        <f>IF(COUNTIF(Bank_Holidays!A:A,A390)&gt;0,"Yes","No")</f>
        <v>No</v>
      </c>
      <c r="L390" t="str">
        <f t="shared" si="105"/>
        <v>Yes</v>
      </c>
      <c r="M390">
        <f t="shared" si="106"/>
        <v>34</v>
      </c>
      <c r="N390" s="5" t="str">
        <f t="shared" si="107"/>
        <v>No</v>
      </c>
      <c r="O390" t="str">
        <f>IF(A390=WORKDAY(EOMONTH(A390,0)+1,-1,Bank_Holidays!$A$2:$A$25),"Yes","No")</f>
        <v>No</v>
      </c>
      <c r="P390" t="str">
        <f t="shared" si="108"/>
        <v>No</v>
      </c>
      <c r="Q390" t="str">
        <f t="shared" si="109"/>
        <v>No</v>
      </c>
      <c r="R390" s="5">
        <f t="shared" si="111"/>
        <v>1</v>
      </c>
      <c r="S390">
        <f>MOD(A390-Fortnightly_Model!$M$1,14)</f>
        <v>3</v>
      </c>
      <c r="T390">
        <f>MOD(A390-FourWeekly_Model!$M$1,28)</f>
        <v>3</v>
      </c>
    </row>
    <row r="391" spans="1:20">
      <c r="A391" s="25">
        <f t="shared" si="110"/>
        <v>46624</v>
      </c>
      <c r="B391">
        <f t="shared" si="96"/>
        <v>2027</v>
      </c>
      <c r="C391" s="9">
        <f t="shared" si="97"/>
        <v>8</v>
      </c>
      <c r="D391" s="9" t="str">
        <f t="shared" si="98"/>
        <v>August</v>
      </c>
      <c r="E391" s="9" t="str">
        <f t="shared" si="99"/>
        <v>Aug-27</v>
      </c>
      <c r="F391" s="9" t="str">
        <f t="shared" si="100"/>
        <v>Q3</v>
      </c>
      <c r="G391" s="9">
        <f t="shared" si="101"/>
        <v>25</v>
      </c>
      <c r="H391" s="9">
        <f t="shared" si="102"/>
        <v>3</v>
      </c>
      <c r="I391" s="9" t="str">
        <f t="shared" si="103"/>
        <v>Wednesday</v>
      </c>
      <c r="J391" s="9" t="str">
        <f t="shared" si="104"/>
        <v>No</v>
      </c>
      <c r="K391" s="5" t="str">
        <f>IF(COUNTIF(Bank_Holidays!A:A,A391)&gt;0,"Yes","No")</f>
        <v>No</v>
      </c>
      <c r="L391" t="str">
        <f t="shared" si="105"/>
        <v>Yes</v>
      </c>
      <c r="M391">
        <f t="shared" si="106"/>
        <v>34</v>
      </c>
      <c r="N391" s="5" t="str">
        <f t="shared" si="107"/>
        <v>No</v>
      </c>
      <c r="O391" t="str">
        <f>IF(A391=WORKDAY(EOMONTH(A391,0)+1,-1,Bank_Holidays!$A$2:$A$25),"Yes","No")</f>
        <v>No</v>
      </c>
      <c r="P391" t="str">
        <f t="shared" si="108"/>
        <v>No</v>
      </c>
      <c r="Q391" t="str">
        <f t="shared" si="109"/>
        <v>No</v>
      </c>
      <c r="R391" s="5">
        <f t="shared" si="111"/>
        <v>1</v>
      </c>
      <c r="S391">
        <f>MOD(A391-Fortnightly_Model!$M$1,14)</f>
        <v>4</v>
      </c>
      <c r="T391">
        <f>MOD(A391-FourWeekly_Model!$M$1,28)</f>
        <v>4</v>
      </c>
    </row>
    <row r="392" spans="1:20">
      <c r="A392" s="25">
        <f t="shared" si="110"/>
        <v>46625</v>
      </c>
      <c r="B392">
        <f t="shared" si="96"/>
        <v>2027</v>
      </c>
      <c r="C392" s="9">
        <f t="shared" si="97"/>
        <v>8</v>
      </c>
      <c r="D392" s="9" t="str">
        <f t="shared" si="98"/>
        <v>August</v>
      </c>
      <c r="E392" s="9" t="str">
        <f t="shared" si="99"/>
        <v>Aug-27</v>
      </c>
      <c r="F392" s="9" t="str">
        <f t="shared" si="100"/>
        <v>Q3</v>
      </c>
      <c r="G392" s="9">
        <f t="shared" si="101"/>
        <v>26</v>
      </c>
      <c r="H392" s="9">
        <f t="shared" si="102"/>
        <v>4</v>
      </c>
      <c r="I392" s="9" t="str">
        <f t="shared" si="103"/>
        <v>Thursday</v>
      </c>
      <c r="J392" s="9" t="str">
        <f t="shared" si="104"/>
        <v>No</v>
      </c>
      <c r="K392" s="5" t="str">
        <f>IF(COUNTIF(Bank_Holidays!A:A,A392)&gt;0,"Yes","No")</f>
        <v>No</v>
      </c>
      <c r="L392" t="str">
        <f t="shared" si="105"/>
        <v>Yes</v>
      </c>
      <c r="M392">
        <f t="shared" si="106"/>
        <v>34</v>
      </c>
      <c r="N392" s="5" t="str">
        <f t="shared" si="107"/>
        <v>No</v>
      </c>
      <c r="O392" t="str">
        <f>IF(A392=WORKDAY(EOMONTH(A392,0)+1,-1,Bank_Holidays!$A$2:$A$25),"Yes","No")</f>
        <v>No</v>
      </c>
      <c r="P392" t="str">
        <f t="shared" si="108"/>
        <v>No</v>
      </c>
      <c r="Q392" t="str">
        <f t="shared" si="109"/>
        <v>Yes</v>
      </c>
      <c r="R392" s="5">
        <f t="shared" si="111"/>
        <v>1</v>
      </c>
      <c r="S392">
        <f>MOD(A392-Fortnightly_Model!$M$1,14)</f>
        <v>5</v>
      </c>
      <c r="T392">
        <f>MOD(A392-FourWeekly_Model!$M$1,28)</f>
        <v>5</v>
      </c>
    </row>
    <row r="393" spans="1:20">
      <c r="A393" s="25">
        <f t="shared" si="110"/>
        <v>46626</v>
      </c>
      <c r="B393">
        <f t="shared" si="96"/>
        <v>2027</v>
      </c>
      <c r="C393" s="9">
        <f t="shared" si="97"/>
        <v>8</v>
      </c>
      <c r="D393" s="9" t="str">
        <f t="shared" si="98"/>
        <v>August</v>
      </c>
      <c r="E393" s="9" t="str">
        <f t="shared" si="99"/>
        <v>Aug-27</v>
      </c>
      <c r="F393" s="9" t="str">
        <f t="shared" si="100"/>
        <v>Q3</v>
      </c>
      <c r="G393" s="9">
        <f t="shared" si="101"/>
        <v>27</v>
      </c>
      <c r="H393" s="9">
        <f t="shared" si="102"/>
        <v>5</v>
      </c>
      <c r="I393" s="9" t="str">
        <f t="shared" si="103"/>
        <v>Friday</v>
      </c>
      <c r="J393" s="9" t="str">
        <f t="shared" si="104"/>
        <v>No</v>
      </c>
      <c r="K393" s="5" t="str">
        <f>IF(COUNTIF(Bank_Holidays!A:A,A393)&gt;0,"Yes","No")</f>
        <v>No</v>
      </c>
      <c r="L393" t="str">
        <f t="shared" si="105"/>
        <v>Yes</v>
      </c>
      <c r="M393">
        <f t="shared" si="106"/>
        <v>34</v>
      </c>
      <c r="N393" s="5" t="str">
        <f t="shared" si="107"/>
        <v>No</v>
      </c>
      <c r="O393" t="str">
        <f>IF(A393=WORKDAY(EOMONTH(A393,0)+1,-1,Bank_Holidays!$A$2:$A$25),"Yes","No")</f>
        <v>No</v>
      </c>
      <c r="P393" t="str">
        <f t="shared" si="108"/>
        <v>Yes</v>
      </c>
      <c r="Q393" t="str">
        <f t="shared" si="109"/>
        <v>No</v>
      </c>
      <c r="R393" s="5">
        <f t="shared" si="111"/>
        <v>4</v>
      </c>
      <c r="S393">
        <f>MOD(A393-Fortnightly_Model!$M$1,14)</f>
        <v>6</v>
      </c>
      <c r="T393">
        <f>MOD(A393-FourWeekly_Model!$M$1,28)</f>
        <v>6</v>
      </c>
    </row>
    <row r="394" spans="1:20">
      <c r="A394" s="25">
        <f t="shared" si="110"/>
        <v>46627</v>
      </c>
      <c r="B394">
        <f t="shared" si="96"/>
        <v>2027</v>
      </c>
      <c r="C394" s="9">
        <f t="shared" si="97"/>
        <v>8</v>
      </c>
      <c r="D394" s="9" t="str">
        <f t="shared" si="98"/>
        <v>August</v>
      </c>
      <c r="E394" s="9" t="str">
        <f t="shared" si="99"/>
        <v>Aug-27</v>
      </c>
      <c r="F394" s="9" t="str">
        <f t="shared" si="100"/>
        <v>Q3</v>
      </c>
      <c r="G394" s="9">
        <f t="shared" si="101"/>
        <v>28</v>
      </c>
      <c r="H394" s="9">
        <f t="shared" si="102"/>
        <v>6</v>
      </c>
      <c r="I394" s="9" t="str">
        <f t="shared" si="103"/>
        <v>Saturday</v>
      </c>
      <c r="J394" s="9" t="str">
        <f t="shared" si="104"/>
        <v>Yes</v>
      </c>
      <c r="K394" s="5" t="str">
        <f>IF(COUNTIF(Bank_Holidays!A:A,A394)&gt;0,"Yes","No")</f>
        <v>No</v>
      </c>
      <c r="L394" t="str">
        <f t="shared" si="105"/>
        <v>No</v>
      </c>
      <c r="M394">
        <f t="shared" si="106"/>
        <v>34</v>
      </c>
      <c r="N394" s="5" t="str">
        <f t="shared" si="107"/>
        <v>No</v>
      </c>
      <c r="O394" t="str">
        <f>IF(A394=WORKDAY(EOMONTH(A394,0)+1,-1,Bank_Holidays!$A$2:$A$25),"Yes","No")</f>
        <v>No</v>
      </c>
      <c r="P394" t="str">
        <f t="shared" si="108"/>
        <v>No</v>
      </c>
      <c r="Q394" t="str">
        <f t="shared" si="109"/>
        <v>No</v>
      </c>
      <c r="R394" s="5">
        <f t="shared" si="111"/>
        <v>0</v>
      </c>
      <c r="S394">
        <f>MOD(A394-Fortnightly_Model!$M$1,14)</f>
        <v>7</v>
      </c>
      <c r="T394">
        <f>MOD(A394-FourWeekly_Model!$M$1,28)</f>
        <v>7</v>
      </c>
    </row>
    <row r="395" spans="1:20">
      <c r="A395" s="25">
        <f t="shared" si="110"/>
        <v>46628</v>
      </c>
      <c r="B395">
        <f t="shared" si="96"/>
        <v>2027</v>
      </c>
      <c r="C395" s="9">
        <f t="shared" si="97"/>
        <v>8</v>
      </c>
      <c r="D395" s="9" t="str">
        <f t="shared" si="98"/>
        <v>August</v>
      </c>
      <c r="E395" s="9" t="str">
        <f t="shared" si="99"/>
        <v>Aug-27</v>
      </c>
      <c r="F395" s="9" t="str">
        <f t="shared" si="100"/>
        <v>Q3</v>
      </c>
      <c r="G395" s="9">
        <f t="shared" si="101"/>
        <v>29</v>
      </c>
      <c r="H395" s="9">
        <f t="shared" si="102"/>
        <v>7</v>
      </c>
      <c r="I395" s="9" t="str">
        <f t="shared" si="103"/>
        <v>Sunday</v>
      </c>
      <c r="J395" s="9" t="str">
        <f t="shared" si="104"/>
        <v>Yes</v>
      </c>
      <c r="K395" s="5" t="str">
        <f>IF(COUNTIF(Bank_Holidays!A:A,A395)&gt;0,"Yes","No")</f>
        <v>No</v>
      </c>
      <c r="L395" t="str">
        <f t="shared" si="105"/>
        <v>No</v>
      </c>
      <c r="M395">
        <f t="shared" si="106"/>
        <v>34</v>
      </c>
      <c r="N395" s="5" t="str">
        <f t="shared" si="107"/>
        <v>No</v>
      </c>
      <c r="O395" t="str">
        <f>IF(A395=WORKDAY(EOMONTH(A395,0)+1,-1,Bank_Holidays!$A$2:$A$25),"Yes","No")</f>
        <v>No</v>
      </c>
      <c r="P395" t="str">
        <f t="shared" si="108"/>
        <v>No</v>
      </c>
      <c r="Q395" t="str">
        <f t="shared" si="109"/>
        <v>No</v>
      </c>
      <c r="R395" s="5">
        <f t="shared" si="111"/>
        <v>0</v>
      </c>
      <c r="S395">
        <f>MOD(A395-Fortnightly_Model!$M$1,14)</f>
        <v>8</v>
      </c>
      <c r="T395">
        <f>MOD(A395-FourWeekly_Model!$M$1,28)</f>
        <v>8</v>
      </c>
    </row>
    <row r="396" spans="1:20">
      <c r="A396" s="25">
        <f t="shared" si="110"/>
        <v>46629</v>
      </c>
      <c r="B396">
        <f t="shared" si="96"/>
        <v>2027</v>
      </c>
      <c r="C396" s="9">
        <f t="shared" si="97"/>
        <v>8</v>
      </c>
      <c r="D396" s="9" t="str">
        <f t="shared" si="98"/>
        <v>August</v>
      </c>
      <c r="E396" s="9" t="str">
        <f t="shared" si="99"/>
        <v>Aug-27</v>
      </c>
      <c r="F396" s="9" t="str">
        <f t="shared" si="100"/>
        <v>Q3</v>
      </c>
      <c r="G396" s="9">
        <f t="shared" si="101"/>
        <v>30</v>
      </c>
      <c r="H396" s="9">
        <f t="shared" si="102"/>
        <v>1</v>
      </c>
      <c r="I396" s="9" t="str">
        <f t="shared" si="103"/>
        <v>Monday</v>
      </c>
      <c r="J396" s="9" t="str">
        <f t="shared" si="104"/>
        <v>No</v>
      </c>
      <c r="K396" s="5" t="str">
        <f>IF(COUNTIF(Bank_Holidays!A:A,A396)&gt;0,"Yes","No")</f>
        <v>Yes</v>
      </c>
      <c r="L396" t="str">
        <f t="shared" si="105"/>
        <v>No</v>
      </c>
      <c r="M396">
        <f t="shared" si="106"/>
        <v>35</v>
      </c>
      <c r="N396" s="5" t="str">
        <f t="shared" si="107"/>
        <v>No</v>
      </c>
      <c r="O396" t="str">
        <f>IF(A396=WORKDAY(EOMONTH(A396,0)+1,-1,Bank_Holidays!$A$2:$A$25),"Yes","No")</f>
        <v>No</v>
      </c>
      <c r="P396" t="str">
        <f t="shared" si="108"/>
        <v>No</v>
      </c>
      <c r="Q396" t="str">
        <f t="shared" si="109"/>
        <v>No</v>
      </c>
      <c r="R396" s="5">
        <f t="shared" si="111"/>
        <v>0</v>
      </c>
      <c r="S396">
        <f>MOD(A396-Fortnightly_Model!$M$1,14)</f>
        <v>9</v>
      </c>
      <c r="T396">
        <f>MOD(A396-FourWeekly_Model!$M$1,28)</f>
        <v>9</v>
      </c>
    </row>
    <row r="397" spans="1:20">
      <c r="A397" s="25">
        <f t="shared" si="110"/>
        <v>46630</v>
      </c>
      <c r="B397">
        <f t="shared" si="96"/>
        <v>2027</v>
      </c>
      <c r="C397" s="9">
        <f t="shared" si="97"/>
        <v>8</v>
      </c>
      <c r="D397" s="9" t="str">
        <f t="shared" si="98"/>
        <v>August</v>
      </c>
      <c r="E397" s="9" t="str">
        <f t="shared" si="99"/>
        <v>Aug-27</v>
      </c>
      <c r="F397" s="9" t="str">
        <f t="shared" si="100"/>
        <v>Q3</v>
      </c>
      <c r="G397" s="9">
        <f t="shared" si="101"/>
        <v>31</v>
      </c>
      <c r="H397" s="9">
        <f t="shared" si="102"/>
        <v>2</v>
      </c>
      <c r="I397" s="9" t="str">
        <f t="shared" si="103"/>
        <v>Tuesday</v>
      </c>
      <c r="J397" s="9" t="str">
        <f t="shared" si="104"/>
        <v>No</v>
      </c>
      <c r="K397" s="5" t="str">
        <f>IF(COUNTIF(Bank_Holidays!A:A,A397)&gt;0,"Yes","No")</f>
        <v>No</v>
      </c>
      <c r="L397" t="str">
        <f t="shared" si="105"/>
        <v>Yes</v>
      </c>
      <c r="M397">
        <f t="shared" si="106"/>
        <v>35</v>
      </c>
      <c r="N397" s="5" t="str">
        <f t="shared" si="107"/>
        <v>Yes</v>
      </c>
      <c r="O397" t="str">
        <f>IF(A397=WORKDAY(EOMONTH(A397,0)+1,-1,Bank_Holidays!$A$2:$A$25),"Yes","No")</f>
        <v>Yes</v>
      </c>
      <c r="P397" t="str">
        <f t="shared" si="108"/>
        <v>No</v>
      </c>
      <c r="Q397" t="str">
        <f t="shared" si="109"/>
        <v>No</v>
      </c>
      <c r="R397" s="5">
        <f t="shared" si="111"/>
        <v>1</v>
      </c>
      <c r="S397">
        <f>MOD(A397-Fortnightly_Model!$M$1,14)</f>
        <v>10</v>
      </c>
      <c r="T397">
        <f>MOD(A397-FourWeekly_Model!$M$1,28)</f>
        <v>10</v>
      </c>
    </row>
    <row r="398" spans="1:20">
      <c r="A398" s="25">
        <f t="shared" si="110"/>
        <v>46631</v>
      </c>
      <c r="B398">
        <f t="shared" si="96"/>
        <v>2027</v>
      </c>
      <c r="C398" s="9">
        <f t="shared" si="97"/>
        <v>9</v>
      </c>
      <c r="D398" s="9" t="str">
        <f t="shared" si="98"/>
        <v>September</v>
      </c>
      <c r="E398" s="9" t="str">
        <f t="shared" si="99"/>
        <v>Sep-27</v>
      </c>
      <c r="F398" s="9" t="str">
        <f t="shared" si="100"/>
        <v>Q3</v>
      </c>
      <c r="G398" s="9">
        <f t="shared" si="101"/>
        <v>1</v>
      </c>
      <c r="H398" s="9">
        <f t="shared" si="102"/>
        <v>3</v>
      </c>
      <c r="I398" s="9" t="str">
        <f t="shared" si="103"/>
        <v>Wednesday</v>
      </c>
      <c r="J398" s="9" t="str">
        <f t="shared" si="104"/>
        <v>No</v>
      </c>
      <c r="K398" s="5" t="str">
        <f>IF(COUNTIF(Bank_Holidays!A:A,A398)&gt;0,"Yes","No")</f>
        <v>No</v>
      </c>
      <c r="L398" t="str">
        <f t="shared" si="105"/>
        <v>Yes</v>
      </c>
      <c r="M398">
        <f t="shared" si="106"/>
        <v>35</v>
      </c>
      <c r="N398" s="5" t="str">
        <f t="shared" si="107"/>
        <v>No</v>
      </c>
      <c r="O398" t="str">
        <f>IF(A398=WORKDAY(EOMONTH(A398,0)+1,-1,Bank_Holidays!$A$2:$A$25),"Yes","No")</f>
        <v>No</v>
      </c>
      <c r="P398" t="str">
        <f t="shared" si="108"/>
        <v>No</v>
      </c>
      <c r="Q398" t="str">
        <f t="shared" si="109"/>
        <v>No</v>
      </c>
      <c r="R398" s="5">
        <f t="shared" si="111"/>
        <v>1</v>
      </c>
      <c r="S398">
        <f>MOD(A398-Fortnightly_Model!$M$1,14)</f>
        <v>11</v>
      </c>
      <c r="T398">
        <f>MOD(A398-FourWeekly_Model!$M$1,28)</f>
        <v>11</v>
      </c>
    </row>
    <row r="399" spans="1:20">
      <c r="A399" s="25">
        <f t="shared" si="110"/>
        <v>46632</v>
      </c>
      <c r="B399">
        <f t="shared" si="96"/>
        <v>2027</v>
      </c>
      <c r="C399" s="9">
        <f t="shared" si="97"/>
        <v>9</v>
      </c>
      <c r="D399" s="9" t="str">
        <f t="shared" si="98"/>
        <v>September</v>
      </c>
      <c r="E399" s="9" t="str">
        <f t="shared" si="99"/>
        <v>Sep-27</v>
      </c>
      <c r="F399" s="9" t="str">
        <f t="shared" si="100"/>
        <v>Q3</v>
      </c>
      <c r="G399" s="9">
        <f t="shared" si="101"/>
        <v>2</v>
      </c>
      <c r="H399" s="9">
        <f t="shared" si="102"/>
        <v>4</v>
      </c>
      <c r="I399" s="9" t="str">
        <f t="shared" si="103"/>
        <v>Thursday</v>
      </c>
      <c r="J399" s="9" t="str">
        <f t="shared" si="104"/>
        <v>No</v>
      </c>
      <c r="K399" s="5" t="str">
        <f>IF(COUNTIF(Bank_Holidays!A:A,A399)&gt;0,"Yes","No")</f>
        <v>No</v>
      </c>
      <c r="L399" t="str">
        <f t="shared" si="105"/>
        <v>Yes</v>
      </c>
      <c r="M399">
        <f t="shared" si="106"/>
        <v>35</v>
      </c>
      <c r="N399" s="5" t="str">
        <f t="shared" si="107"/>
        <v>No</v>
      </c>
      <c r="O399" t="str">
        <f>IF(A399=WORKDAY(EOMONTH(A399,0)+1,-1,Bank_Holidays!$A$2:$A$25),"Yes","No")</f>
        <v>No</v>
      </c>
      <c r="P399" t="str">
        <f t="shared" si="108"/>
        <v>No</v>
      </c>
      <c r="Q399" t="str">
        <f t="shared" si="109"/>
        <v>No</v>
      </c>
      <c r="R399" s="5">
        <f t="shared" si="111"/>
        <v>1</v>
      </c>
      <c r="S399">
        <f>MOD(A399-Fortnightly_Model!$M$1,14)</f>
        <v>12</v>
      </c>
      <c r="T399">
        <f>MOD(A399-FourWeekly_Model!$M$1,28)</f>
        <v>12</v>
      </c>
    </row>
    <row r="400" spans="1:20">
      <c r="A400" s="25">
        <f t="shared" si="110"/>
        <v>46633</v>
      </c>
      <c r="B400">
        <f t="shared" si="96"/>
        <v>2027</v>
      </c>
      <c r="C400" s="9">
        <f t="shared" si="97"/>
        <v>9</v>
      </c>
      <c r="D400" s="9" t="str">
        <f t="shared" si="98"/>
        <v>September</v>
      </c>
      <c r="E400" s="9" t="str">
        <f t="shared" si="99"/>
        <v>Sep-27</v>
      </c>
      <c r="F400" s="9" t="str">
        <f t="shared" si="100"/>
        <v>Q3</v>
      </c>
      <c r="G400" s="9">
        <f t="shared" si="101"/>
        <v>3</v>
      </c>
      <c r="H400" s="9">
        <f t="shared" si="102"/>
        <v>5</v>
      </c>
      <c r="I400" s="9" t="str">
        <f t="shared" si="103"/>
        <v>Friday</v>
      </c>
      <c r="J400" s="9" t="str">
        <f t="shared" si="104"/>
        <v>No</v>
      </c>
      <c r="K400" s="5" t="str">
        <f>IF(COUNTIF(Bank_Holidays!A:A,A400)&gt;0,"Yes","No")</f>
        <v>No</v>
      </c>
      <c r="L400" t="str">
        <f t="shared" si="105"/>
        <v>Yes</v>
      </c>
      <c r="M400">
        <f t="shared" si="106"/>
        <v>35</v>
      </c>
      <c r="N400" s="5" t="str">
        <f t="shared" si="107"/>
        <v>No</v>
      </c>
      <c r="O400" t="str">
        <f>IF(A400=WORKDAY(EOMONTH(A400,0)+1,-1,Bank_Holidays!$A$2:$A$25),"Yes","No")</f>
        <v>No</v>
      </c>
      <c r="P400" t="str">
        <f t="shared" si="108"/>
        <v>No</v>
      </c>
      <c r="Q400" t="str">
        <f t="shared" si="109"/>
        <v>No</v>
      </c>
      <c r="R400" s="5">
        <f t="shared" si="111"/>
        <v>3</v>
      </c>
      <c r="S400">
        <f>MOD(A400-Fortnightly_Model!$M$1,14)</f>
        <v>13</v>
      </c>
      <c r="T400">
        <f>MOD(A400-FourWeekly_Model!$M$1,28)</f>
        <v>13</v>
      </c>
    </row>
    <row r="401" spans="1:20">
      <c r="A401" s="25">
        <f t="shared" si="110"/>
        <v>46634</v>
      </c>
      <c r="B401">
        <f t="shared" si="96"/>
        <v>2027</v>
      </c>
      <c r="C401" s="9">
        <f t="shared" si="97"/>
        <v>9</v>
      </c>
      <c r="D401" s="9" t="str">
        <f t="shared" si="98"/>
        <v>September</v>
      </c>
      <c r="E401" s="9" t="str">
        <f t="shared" si="99"/>
        <v>Sep-27</v>
      </c>
      <c r="F401" s="9" t="str">
        <f t="shared" si="100"/>
        <v>Q3</v>
      </c>
      <c r="G401" s="9">
        <f t="shared" si="101"/>
        <v>4</v>
      </c>
      <c r="H401" s="9">
        <f t="shared" si="102"/>
        <v>6</v>
      </c>
      <c r="I401" s="9" t="str">
        <f t="shared" si="103"/>
        <v>Saturday</v>
      </c>
      <c r="J401" s="9" t="str">
        <f t="shared" si="104"/>
        <v>Yes</v>
      </c>
      <c r="K401" s="5" t="str">
        <f>IF(COUNTIF(Bank_Holidays!A:A,A401)&gt;0,"Yes","No")</f>
        <v>No</v>
      </c>
      <c r="L401" t="str">
        <f t="shared" si="105"/>
        <v>No</v>
      </c>
      <c r="M401">
        <f t="shared" si="106"/>
        <v>35</v>
      </c>
      <c r="N401" s="5" t="str">
        <f t="shared" si="107"/>
        <v>No</v>
      </c>
      <c r="O401" t="str">
        <f>IF(A401=WORKDAY(EOMONTH(A401,0)+1,-1,Bank_Holidays!$A$2:$A$25),"Yes","No")</f>
        <v>No</v>
      </c>
      <c r="P401" t="str">
        <f t="shared" si="108"/>
        <v>No</v>
      </c>
      <c r="Q401" t="str">
        <f t="shared" si="109"/>
        <v>No</v>
      </c>
      <c r="R401" s="5">
        <f t="shared" si="111"/>
        <v>0</v>
      </c>
      <c r="S401">
        <f>MOD(A401-Fortnightly_Model!$M$1,14)</f>
        <v>0</v>
      </c>
      <c r="T401">
        <f>MOD(A401-FourWeekly_Model!$M$1,28)</f>
        <v>14</v>
      </c>
    </row>
    <row r="402" spans="1:20">
      <c r="A402" s="25">
        <f t="shared" si="110"/>
        <v>46635</v>
      </c>
      <c r="B402">
        <f t="shared" si="96"/>
        <v>2027</v>
      </c>
      <c r="C402" s="9">
        <f t="shared" si="97"/>
        <v>9</v>
      </c>
      <c r="D402" s="9" t="str">
        <f t="shared" si="98"/>
        <v>September</v>
      </c>
      <c r="E402" s="9" t="str">
        <f t="shared" si="99"/>
        <v>Sep-27</v>
      </c>
      <c r="F402" s="9" t="str">
        <f t="shared" si="100"/>
        <v>Q3</v>
      </c>
      <c r="G402" s="9">
        <f t="shared" si="101"/>
        <v>5</v>
      </c>
      <c r="H402" s="9">
        <f t="shared" si="102"/>
        <v>7</v>
      </c>
      <c r="I402" s="9" t="str">
        <f t="shared" si="103"/>
        <v>Sunday</v>
      </c>
      <c r="J402" s="9" t="str">
        <f t="shared" si="104"/>
        <v>Yes</v>
      </c>
      <c r="K402" s="5" t="str">
        <f>IF(COUNTIF(Bank_Holidays!A:A,A402)&gt;0,"Yes","No")</f>
        <v>No</v>
      </c>
      <c r="L402" t="str">
        <f t="shared" si="105"/>
        <v>No</v>
      </c>
      <c r="M402">
        <f t="shared" si="106"/>
        <v>35</v>
      </c>
      <c r="N402" s="5" t="str">
        <f t="shared" si="107"/>
        <v>No</v>
      </c>
      <c r="O402" t="str">
        <f>IF(A402=WORKDAY(EOMONTH(A402,0)+1,-1,Bank_Holidays!$A$2:$A$25),"Yes","No")</f>
        <v>No</v>
      </c>
      <c r="P402" t="str">
        <f t="shared" si="108"/>
        <v>No</v>
      </c>
      <c r="Q402" t="str">
        <f t="shared" si="109"/>
        <v>No</v>
      </c>
      <c r="R402" s="5">
        <f t="shared" si="111"/>
        <v>0</v>
      </c>
      <c r="S402">
        <f>MOD(A402-Fortnightly_Model!$M$1,14)</f>
        <v>1</v>
      </c>
      <c r="T402">
        <f>MOD(A402-FourWeekly_Model!$M$1,28)</f>
        <v>15</v>
      </c>
    </row>
    <row r="403" spans="1:20">
      <c r="A403" s="25">
        <f t="shared" si="110"/>
        <v>46636</v>
      </c>
      <c r="B403">
        <f t="shared" si="96"/>
        <v>2027</v>
      </c>
      <c r="C403" s="9">
        <f t="shared" si="97"/>
        <v>9</v>
      </c>
      <c r="D403" s="9" t="str">
        <f t="shared" si="98"/>
        <v>September</v>
      </c>
      <c r="E403" s="9" t="str">
        <f t="shared" si="99"/>
        <v>Sep-27</v>
      </c>
      <c r="F403" s="9" t="str">
        <f t="shared" si="100"/>
        <v>Q3</v>
      </c>
      <c r="G403" s="9">
        <f t="shared" si="101"/>
        <v>6</v>
      </c>
      <c r="H403" s="9">
        <f t="shared" si="102"/>
        <v>1</v>
      </c>
      <c r="I403" s="9" t="str">
        <f t="shared" si="103"/>
        <v>Monday</v>
      </c>
      <c r="J403" s="9" t="str">
        <f t="shared" si="104"/>
        <v>No</v>
      </c>
      <c r="K403" s="5" t="str">
        <f>IF(COUNTIF(Bank_Holidays!A:A,A403)&gt;0,"Yes","No")</f>
        <v>No</v>
      </c>
      <c r="L403" t="str">
        <f t="shared" si="105"/>
        <v>Yes</v>
      </c>
      <c r="M403">
        <f t="shared" si="106"/>
        <v>36</v>
      </c>
      <c r="N403" s="5" t="str">
        <f t="shared" si="107"/>
        <v>No</v>
      </c>
      <c r="O403" t="str">
        <f>IF(A403=WORKDAY(EOMONTH(A403,0)+1,-1,Bank_Holidays!$A$2:$A$25),"Yes","No")</f>
        <v>No</v>
      </c>
      <c r="P403" t="str">
        <f t="shared" si="108"/>
        <v>No</v>
      </c>
      <c r="Q403" t="str">
        <f t="shared" si="109"/>
        <v>No</v>
      </c>
      <c r="R403" s="5">
        <f t="shared" si="111"/>
        <v>1</v>
      </c>
      <c r="S403">
        <f>MOD(A403-Fortnightly_Model!$M$1,14)</f>
        <v>2</v>
      </c>
      <c r="T403">
        <f>MOD(A403-FourWeekly_Model!$M$1,28)</f>
        <v>16</v>
      </c>
    </row>
    <row r="404" spans="1:20">
      <c r="A404" s="25">
        <f t="shared" si="110"/>
        <v>46637</v>
      </c>
      <c r="B404">
        <f t="shared" si="96"/>
        <v>2027</v>
      </c>
      <c r="C404" s="9">
        <f t="shared" si="97"/>
        <v>9</v>
      </c>
      <c r="D404" s="9" t="str">
        <f t="shared" si="98"/>
        <v>September</v>
      </c>
      <c r="E404" s="9" t="str">
        <f t="shared" si="99"/>
        <v>Sep-27</v>
      </c>
      <c r="F404" s="9" t="str">
        <f t="shared" si="100"/>
        <v>Q3</v>
      </c>
      <c r="G404" s="9">
        <f t="shared" si="101"/>
        <v>7</v>
      </c>
      <c r="H404" s="9">
        <f t="shared" si="102"/>
        <v>2</v>
      </c>
      <c r="I404" s="9" t="str">
        <f t="shared" si="103"/>
        <v>Tuesday</v>
      </c>
      <c r="J404" s="9" t="str">
        <f t="shared" si="104"/>
        <v>No</v>
      </c>
      <c r="K404" s="5" t="str">
        <f>IF(COUNTIF(Bank_Holidays!A:A,A404)&gt;0,"Yes","No")</f>
        <v>No</v>
      </c>
      <c r="L404" t="str">
        <f t="shared" si="105"/>
        <v>Yes</v>
      </c>
      <c r="M404">
        <f t="shared" si="106"/>
        <v>36</v>
      </c>
      <c r="N404" s="5" t="str">
        <f t="shared" si="107"/>
        <v>No</v>
      </c>
      <c r="O404" t="str">
        <f>IF(A404=WORKDAY(EOMONTH(A404,0)+1,-1,Bank_Holidays!$A$2:$A$25),"Yes","No")</f>
        <v>No</v>
      </c>
      <c r="P404" t="str">
        <f t="shared" si="108"/>
        <v>No</v>
      </c>
      <c r="Q404" t="str">
        <f t="shared" si="109"/>
        <v>No</v>
      </c>
      <c r="R404" s="5">
        <f t="shared" si="111"/>
        <v>1</v>
      </c>
      <c r="S404">
        <f>MOD(A404-Fortnightly_Model!$M$1,14)</f>
        <v>3</v>
      </c>
      <c r="T404">
        <f>MOD(A404-FourWeekly_Model!$M$1,28)</f>
        <v>17</v>
      </c>
    </row>
    <row r="405" spans="1:20">
      <c r="A405" s="25">
        <f t="shared" si="110"/>
        <v>46638</v>
      </c>
      <c r="B405">
        <f t="shared" si="96"/>
        <v>2027</v>
      </c>
      <c r="C405" s="9">
        <f t="shared" si="97"/>
        <v>9</v>
      </c>
      <c r="D405" s="9" t="str">
        <f t="shared" si="98"/>
        <v>September</v>
      </c>
      <c r="E405" s="9" t="str">
        <f t="shared" si="99"/>
        <v>Sep-27</v>
      </c>
      <c r="F405" s="9" t="str">
        <f t="shared" si="100"/>
        <v>Q3</v>
      </c>
      <c r="G405" s="9">
        <f t="shared" si="101"/>
        <v>8</v>
      </c>
      <c r="H405" s="9">
        <f t="shared" si="102"/>
        <v>3</v>
      </c>
      <c r="I405" s="9" t="str">
        <f t="shared" si="103"/>
        <v>Wednesday</v>
      </c>
      <c r="J405" s="9" t="str">
        <f t="shared" si="104"/>
        <v>No</v>
      </c>
      <c r="K405" s="5" t="str">
        <f>IF(COUNTIF(Bank_Holidays!A:A,A405)&gt;0,"Yes","No")</f>
        <v>No</v>
      </c>
      <c r="L405" t="str">
        <f t="shared" si="105"/>
        <v>Yes</v>
      </c>
      <c r="M405">
        <f t="shared" si="106"/>
        <v>36</v>
      </c>
      <c r="N405" s="5" t="str">
        <f t="shared" si="107"/>
        <v>No</v>
      </c>
      <c r="O405" t="str">
        <f>IF(A405=WORKDAY(EOMONTH(A405,0)+1,-1,Bank_Holidays!$A$2:$A$25),"Yes","No")</f>
        <v>No</v>
      </c>
      <c r="P405" t="str">
        <f t="shared" si="108"/>
        <v>No</v>
      </c>
      <c r="Q405" t="str">
        <f t="shared" si="109"/>
        <v>No</v>
      </c>
      <c r="R405" s="5">
        <f t="shared" si="111"/>
        <v>1</v>
      </c>
      <c r="S405">
        <f>MOD(A405-Fortnightly_Model!$M$1,14)</f>
        <v>4</v>
      </c>
      <c r="T405">
        <f>MOD(A405-FourWeekly_Model!$M$1,28)</f>
        <v>18</v>
      </c>
    </row>
    <row r="406" spans="1:20">
      <c r="A406" s="25">
        <f t="shared" si="110"/>
        <v>46639</v>
      </c>
      <c r="B406">
        <f t="shared" si="96"/>
        <v>2027</v>
      </c>
      <c r="C406" s="9">
        <f t="shared" si="97"/>
        <v>9</v>
      </c>
      <c r="D406" s="9" t="str">
        <f t="shared" si="98"/>
        <v>September</v>
      </c>
      <c r="E406" s="9" t="str">
        <f t="shared" si="99"/>
        <v>Sep-27</v>
      </c>
      <c r="F406" s="9" t="str">
        <f t="shared" si="100"/>
        <v>Q3</v>
      </c>
      <c r="G406" s="9">
        <f t="shared" si="101"/>
        <v>9</v>
      </c>
      <c r="H406" s="9">
        <f t="shared" si="102"/>
        <v>4</v>
      </c>
      <c r="I406" s="9" t="str">
        <f t="shared" si="103"/>
        <v>Thursday</v>
      </c>
      <c r="J406" s="9" t="str">
        <f t="shared" si="104"/>
        <v>No</v>
      </c>
      <c r="K406" s="5" t="str">
        <f>IF(COUNTIF(Bank_Holidays!A:A,A406)&gt;0,"Yes","No")</f>
        <v>No</v>
      </c>
      <c r="L406" t="str">
        <f t="shared" si="105"/>
        <v>Yes</v>
      </c>
      <c r="M406">
        <f t="shared" si="106"/>
        <v>36</v>
      </c>
      <c r="N406" s="5" t="str">
        <f t="shared" si="107"/>
        <v>No</v>
      </c>
      <c r="O406" t="str">
        <f>IF(A406=WORKDAY(EOMONTH(A406,0)+1,-1,Bank_Holidays!$A$2:$A$25),"Yes","No")</f>
        <v>No</v>
      </c>
      <c r="P406" t="str">
        <f t="shared" si="108"/>
        <v>No</v>
      </c>
      <c r="Q406" t="str">
        <f t="shared" si="109"/>
        <v>No</v>
      </c>
      <c r="R406" s="5">
        <f t="shared" si="111"/>
        <v>1</v>
      </c>
      <c r="S406">
        <f>MOD(A406-Fortnightly_Model!$M$1,14)</f>
        <v>5</v>
      </c>
      <c r="T406">
        <f>MOD(A406-FourWeekly_Model!$M$1,28)</f>
        <v>19</v>
      </c>
    </row>
    <row r="407" spans="1:20">
      <c r="A407" s="25">
        <f t="shared" si="110"/>
        <v>46640</v>
      </c>
      <c r="B407">
        <f t="shared" si="96"/>
        <v>2027</v>
      </c>
      <c r="C407" s="9">
        <f t="shared" si="97"/>
        <v>9</v>
      </c>
      <c r="D407" s="9" t="str">
        <f t="shared" si="98"/>
        <v>September</v>
      </c>
      <c r="E407" s="9" t="str">
        <f t="shared" si="99"/>
        <v>Sep-27</v>
      </c>
      <c r="F407" s="9" t="str">
        <f t="shared" si="100"/>
        <v>Q3</v>
      </c>
      <c r="G407" s="9">
        <f t="shared" si="101"/>
        <v>10</v>
      </c>
      <c r="H407" s="9">
        <f t="shared" si="102"/>
        <v>5</v>
      </c>
      <c r="I407" s="9" t="str">
        <f t="shared" si="103"/>
        <v>Friday</v>
      </c>
      <c r="J407" s="9" t="str">
        <f t="shared" si="104"/>
        <v>No</v>
      </c>
      <c r="K407" s="5" t="str">
        <f>IF(COUNTIF(Bank_Holidays!A:A,A407)&gt;0,"Yes","No")</f>
        <v>No</v>
      </c>
      <c r="L407" t="str">
        <f t="shared" si="105"/>
        <v>Yes</v>
      </c>
      <c r="M407">
        <f t="shared" si="106"/>
        <v>36</v>
      </c>
      <c r="N407" s="5" t="str">
        <f t="shared" si="107"/>
        <v>No</v>
      </c>
      <c r="O407" t="str">
        <f>IF(A407=WORKDAY(EOMONTH(A407,0)+1,-1,Bank_Holidays!$A$2:$A$25),"Yes","No")</f>
        <v>No</v>
      </c>
      <c r="P407" t="str">
        <f t="shared" si="108"/>
        <v>No</v>
      </c>
      <c r="Q407" t="str">
        <f t="shared" si="109"/>
        <v>No</v>
      </c>
      <c r="R407" s="5">
        <f t="shared" si="111"/>
        <v>3</v>
      </c>
      <c r="S407">
        <f>MOD(A407-Fortnightly_Model!$M$1,14)</f>
        <v>6</v>
      </c>
      <c r="T407">
        <f>MOD(A407-FourWeekly_Model!$M$1,28)</f>
        <v>20</v>
      </c>
    </row>
    <row r="408" spans="1:20">
      <c r="A408" s="25">
        <f t="shared" si="110"/>
        <v>46641</v>
      </c>
      <c r="B408">
        <f t="shared" si="96"/>
        <v>2027</v>
      </c>
      <c r="C408" s="9">
        <f t="shared" si="97"/>
        <v>9</v>
      </c>
      <c r="D408" s="9" t="str">
        <f t="shared" si="98"/>
        <v>September</v>
      </c>
      <c r="E408" s="9" t="str">
        <f t="shared" si="99"/>
        <v>Sep-27</v>
      </c>
      <c r="F408" s="9" t="str">
        <f t="shared" si="100"/>
        <v>Q3</v>
      </c>
      <c r="G408" s="9">
        <f t="shared" si="101"/>
        <v>11</v>
      </c>
      <c r="H408" s="9">
        <f t="shared" si="102"/>
        <v>6</v>
      </c>
      <c r="I408" s="9" t="str">
        <f t="shared" si="103"/>
        <v>Saturday</v>
      </c>
      <c r="J408" s="9" t="str">
        <f t="shared" si="104"/>
        <v>Yes</v>
      </c>
      <c r="K408" s="5" t="str">
        <f>IF(COUNTIF(Bank_Holidays!A:A,A408)&gt;0,"Yes","No")</f>
        <v>No</v>
      </c>
      <c r="L408" t="str">
        <f t="shared" si="105"/>
        <v>No</v>
      </c>
      <c r="M408">
        <f t="shared" si="106"/>
        <v>36</v>
      </c>
      <c r="N408" s="5" t="str">
        <f t="shared" si="107"/>
        <v>No</v>
      </c>
      <c r="O408" t="str">
        <f>IF(A408=WORKDAY(EOMONTH(A408,0)+1,-1,Bank_Holidays!$A$2:$A$25),"Yes","No")</f>
        <v>No</v>
      </c>
      <c r="P408" t="str">
        <f t="shared" si="108"/>
        <v>No</v>
      </c>
      <c r="Q408" t="str">
        <f t="shared" si="109"/>
        <v>No</v>
      </c>
      <c r="R408" s="5">
        <f t="shared" si="111"/>
        <v>0</v>
      </c>
      <c r="S408">
        <f>MOD(A408-Fortnightly_Model!$M$1,14)</f>
        <v>7</v>
      </c>
      <c r="T408">
        <f>MOD(A408-FourWeekly_Model!$M$1,28)</f>
        <v>21</v>
      </c>
    </row>
    <row r="409" spans="1:20">
      <c r="A409" s="25">
        <f t="shared" si="110"/>
        <v>46642</v>
      </c>
      <c r="B409">
        <f t="shared" si="96"/>
        <v>2027</v>
      </c>
      <c r="C409" s="9">
        <f t="shared" si="97"/>
        <v>9</v>
      </c>
      <c r="D409" s="9" t="str">
        <f t="shared" si="98"/>
        <v>September</v>
      </c>
      <c r="E409" s="9" t="str">
        <f t="shared" si="99"/>
        <v>Sep-27</v>
      </c>
      <c r="F409" s="9" t="str">
        <f t="shared" si="100"/>
        <v>Q3</v>
      </c>
      <c r="G409" s="9">
        <f t="shared" si="101"/>
        <v>12</v>
      </c>
      <c r="H409" s="9">
        <f t="shared" si="102"/>
        <v>7</v>
      </c>
      <c r="I409" s="9" t="str">
        <f t="shared" si="103"/>
        <v>Sunday</v>
      </c>
      <c r="J409" s="9" t="str">
        <f t="shared" si="104"/>
        <v>Yes</v>
      </c>
      <c r="K409" s="5" t="str">
        <f>IF(COUNTIF(Bank_Holidays!A:A,A409)&gt;0,"Yes","No")</f>
        <v>No</v>
      </c>
      <c r="L409" t="str">
        <f t="shared" si="105"/>
        <v>No</v>
      </c>
      <c r="M409">
        <f t="shared" si="106"/>
        <v>36</v>
      </c>
      <c r="N409" s="5" t="str">
        <f t="shared" si="107"/>
        <v>No</v>
      </c>
      <c r="O409" t="str">
        <f>IF(A409=WORKDAY(EOMONTH(A409,0)+1,-1,Bank_Holidays!$A$2:$A$25),"Yes","No")</f>
        <v>No</v>
      </c>
      <c r="P409" t="str">
        <f t="shared" si="108"/>
        <v>No</v>
      </c>
      <c r="Q409" t="str">
        <f t="shared" si="109"/>
        <v>No</v>
      </c>
      <c r="R409" s="5">
        <f t="shared" si="111"/>
        <v>0</v>
      </c>
      <c r="S409">
        <f>MOD(A409-Fortnightly_Model!$M$1,14)</f>
        <v>8</v>
      </c>
      <c r="T409">
        <f>MOD(A409-FourWeekly_Model!$M$1,28)</f>
        <v>22</v>
      </c>
    </row>
    <row r="410" spans="1:20">
      <c r="A410" s="25">
        <f t="shared" si="110"/>
        <v>46643</v>
      </c>
      <c r="B410">
        <f t="shared" si="96"/>
        <v>2027</v>
      </c>
      <c r="C410" s="9">
        <f t="shared" si="97"/>
        <v>9</v>
      </c>
      <c r="D410" s="9" t="str">
        <f t="shared" si="98"/>
        <v>September</v>
      </c>
      <c r="E410" s="9" t="str">
        <f t="shared" si="99"/>
        <v>Sep-27</v>
      </c>
      <c r="F410" s="9" t="str">
        <f t="shared" si="100"/>
        <v>Q3</v>
      </c>
      <c r="G410" s="9">
        <f t="shared" si="101"/>
        <v>13</v>
      </c>
      <c r="H410" s="9">
        <f t="shared" si="102"/>
        <v>1</v>
      </c>
      <c r="I410" s="9" t="str">
        <f t="shared" si="103"/>
        <v>Monday</v>
      </c>
      <c r="J410" s="9" t="str">
        <f t="shared" si="104"/>
        <v>No</v>
      </c>
      <c r="K410" s="5" t="str">
        <f>IF(COUNTIF(Bank_Holidays!A:A,A410)&gt;0,"Yes","No")</f>
        <v>No</v>
      </c>
      <c r="L410" t="str">
        <f t="shared" si="105"/>
        <v>Yes</v>
      </c>
      <c r="M410">
        <f t="shared" si="106"/>
        <v>37</v>
      </c>
      <c r="N410" s="5" t="str">
        <f t="shared" si="107"/>
        <v>No</v>
      </c>
      <c r="O410" t="str">
        <f>IF(A410=WORKDAY(EOMONTH(A410,0)+1,-1,Bank_Holidays!$A$2:$A$25),"Yes","No")</f>
        <v>No</v>
      </c>
      <c r="P410" t="str">
        <f t="shared" si="108"/>
        <v>No</v>
      </c>
      <c r="Q410" t="str">
        <f t="shared" si="109"/>
        <v>No</v>
      </c>
      <c r="R410" s="5">
        <f t="shared" si="111"/>
        <v>1</v>
      </c>
      <c r="S410">
        <f>MOD(A410-Fortnightly_Model!$M$1,14)</f>
        <v>9</v>
      </c>
      <c r="T410">
        <f>MOD(A410-FourWeekly_Model!$M$1,28)</f>
        <v>23</v>
      </c>
    </row>
    <row r="411" spans="1:20">
      <c r="A411" s="25">
        <f t="shared" si="110"/>
        <v>46644</v>
      </c>
      <c r="B411">
        <f t="shared" si="96"/>
        <v>2027</v>
      </c>
      <c r="C411" s="9">
        <f t="shared" si="97"/>
        <v>9</v>
      </c>
      <c r="D411" s="9" t="str">
        <f t="shared" si="98"/>
        <v>September</v>
      </c>
      <c r="E411" s="9" t="str">
        <f t="shared" si="99"/>
        <v>Sep-27</v>
      </c>
      <c r="F411" s="9" t="str">
        <f t="shared" si="100"/>
        <v>Q3</v>
      </c>
      <c r="G411" s="9">
        <f t="shared" si="101"/>
        <v>14</v>
      </c>
      <c r="H411" s="9">
        <f t="shared" si="102"/>
        <v>2</v>
      </c>
      <c r="I411" s="9" t="str">
        <f t="shared" si="103"/>
        <v>Tuesday</v>
      </c>
      <c r="J411" s="9" t="str">
        <f t="shared" si="104"/>
        <v>No</v>
      </c>
      <c r="K411" s="5" t="str">
        <f>IF(COUNTIF(Bank_Holidays!A:A,A411)&gt;0,"Yes","No")</f>
        <v>No</v>
      </c>
      <c r="L411" t="str">
        <f t="shared" si="105"/>
        <v>Yes</v>
      </c>
      <c r="M411">
        <f t="shared" si="106"/>
        <v>37</v>
      </c>
      <c r="N411" s="5" t="str">
        <f t="shared" si="107"/>
        <v>No</v>
      </c>
      <c r="O411" t="str">
        <f>IF(A411=WORKDAY(EOMONTH(A411,0)+1,-1,Bank_Holidays!$A$2:$A$25),"Yes","No")</f>
        <v>No</v>
      </c>
      <c r="P411" t="str">
        <f t="shared" si="108"/>
        <v>No</v>
      </c>
      <c r="Q411" t="str">
        <f t="shared" si="109"/>
        <v>No</v>
      </c>
      <c r="R411" s="5">
        <f t="shared" si="111"/>
        <v>1</v>
      </c>
      <c r="S411">
        <f>MOD(A411-Fortnightly_Model!$M$1,14)</f>
        <v>10</v>
      </c>
      <c r="T411">
        <f>MOD(A411-FourWeekly_Model!$M$1,28)</f>
        <v>24</v>
      </c>
    </row>
    <row r="412" spans="1:20">
      <c r="A412" s="25">
        <f t="shared" si="110"/>
        <v>46645</v>
      </c>
      <c r="B412">
        <f t="shared" si="96"/>
        <v>2027</v>
      </c>
      <c r="C412" s="9">
        <f t="shared" si="97"/>
        <v>9</v>
      </c>
      <c r="D412" s="9" t="str">
        <f t="shared" si="98"/>
        <v>September</v>
      </c>
      <c r="E412" s="9" t="str">
        <f t="shared" si="99"/>
        <v>Sep-27</v>
      </c>
      <c r="F412" s="9" t="str">
        <f t="shared" si="100"/>
        <v>Q3</v>
      </c>
      <c r="G412" s="9">
        <f t="shared" si="101"/>
        <v>15</v>
      </c>
      <c r="H412" s="9">
        <f t="shared" si="102"/>
        <v>3</v>
      </c>
      <c r="I412" s="9" t="str">
        <f t="shared" si="103"/>
        <v>Wednesday</v>
      </c>
      <c r="J412" s="9" t="str">
        <f t="shared" si="104"/>
        <v>No</v>
      </c>
      <c r="K412" s="5" t="str">
        <f>IF(COUNTIF(Bank_Holidays!A:A,A412)&gt;0,"Yes","No")</f>
        <v>No</v>
      </c>
      <c r="L412" t="str">
        <f t="shared" si="105"/>
        <v>Yes</v>
      </c>
      <c r="M412">
        <f t="shared" si="106"/>
        <v>37</v>
      </c>
      <c r="N412" s="5" t="str">
        <f t="shared" si="107"/>
        <v>No</v>
      </c>
      <c r="O412" t="str">
        <f>IF(A412=WORKDAY(EOMONTH(A412,0)+1,-1,Bank_Holidays!$A$2:$A$25),"Yes","No")</f>
        <v>No</v>
      </c>
      <c r="P412" t="str">
        <f t="shared" si="108"/>
        <v>No</v>
      </c>
      <c r="Q412" t="str">
        <f t="shared" si="109"/>
        <v>No</v>
      </c>
      <c r="R412" s="5">
        <f t="shared" si="111"/>
        <v>1</v>
      </c>
      <c r="S412">
        <f>MOD(A412-Fortnightly_Model!$M$1,14)</f>
        <v>11</v>
      </c>
      <c r="T412">
        <f>MOD(A412-FourWeekly_Model!$M$1,28)</f>
        <v>25</v>
      </c>
    </row>
    <row r="413" spans="1:20">
      <c r="A413" s="25">
        <f t="shared" si="110"/>
        <v>46646</v>
      </c>
      <c r="B413">
        <f t="shared" si="96"/>
        <v>2027</v>
      </c>
      <c r="C413" s="9">
        <f t="shared" si="97"/>
        <v>9</v>
      </c>
      <c r="D413" s="9" t="str">
        <f t="shared" si="98"/>
        <v>September</v>
      </c>
      <c r="E413" s="9" t="str">
        <f t="shared" si="99"/>
        <v>Sep-27</v>
      </c>
      <c r="F413" s="9" t="str">
        <f t="shared" si="100"/>
        <v>Q3</v>
      </c>
      <c r="G413" s="9">
        <f t="shared" si="101"/>
        <v>16</v>
      </c>
      <c r="H413" s="9">
        <f t="shared" si="102"/>
        <v>4</v>
      </c>
      <c r="I413" s="9" t="str">
        <f t="shared" si="103"/>
        <v>Thursday</v>
      </c>
      <c r="J413" s="9" t="str">
        <f t="shared" si="104"/>
        <v>No</v>
      </c>
      <c r="K413" s="5" t="str">
        <f>IF(COUNTIF(Bank_Holidays!A:A,A413)&gt;0,"Yes","No")</f>
        <v>No</v>
      </c>
      <c r="L413" t="str">
        <f t="shared" si="105"/>
        <v>Yes</v>
      </c>
      <c r="M413">
        <f t="shared" si="106"/>
        <v>37</v>
      </c>
      <c r="N413" s="5" t="str">
        <f t="shared" si="107"/>
        <v>No</v>
      </c>
      <c r="O413" t="str">
        <f>IF(A413=WORKDAY(EOMONTH(A413,0)+1,-1,Bank_Holidays!$A$2:$A$25),"Yes","No")</f>
        <v>No</v>
      </c>
      <c r="P413" t="str">
        <f t="shared" si="108"/>
        <v>No</v>
      </c>
      <c r="Q413" t="str">
        <f t="shared" si="109"/>
        <v>No</v>
      </c>
      <c r="R413" s="5">
        <f t="shared" si="111"/>
        <v>1</v>
      </c>
      <c r="S413">
        <f>MOD(A413-Fortnightly_Model!$M$1,14)</f>
        <v>12</v>
      </c>
      <c r="T413">
        <f>MOD(A413-FourWeekly_Model!$M$1,28)</f>
        <v>26</v>
      </c>
    </row>
    <row r="414" spans="1:20">
      <c r="A414" s="25">
        <f t="shared" si="110"/>
        <v>46647</v>
      </c>
      <c r="B414">
        <f t="shared" si="96"/>
        <v>2027</v>
      </c>
      <c r="C414" s="9">
        <f t="shared" si="97"/>
        <v>9</v>
      </c>
      <c r="D414" s="9" t="str">
        <f t="shared" si="98"/>
        <v>September</v>
      </c>
      <c r="E414" s="9" t="str">
        <f t="shared" si="99"/>
        <v>Sep-27</v>
      </c>
      <c r="F414" s="9" t="str">
        <f t="shared" si="100"/>
        <v>Q3</v>
      </c>
      <c r="G414" s="9">
        <f t="shared" si="101"/>
        <v>17</v>
      </c>
      <c r="H414" s="9">
        <f t="shared" si="102"/>
        <v>5</v>
      </c>
      <c r="I414" s="9" t="str">
        <f t="shared" si="103"/>
        <v>Friday</v>
      </c>
      <c r="J414" s="9" t="str">
        <f t="shared" si="104"/>
        <v>No</v>
      </c>
      <c r="K414" s="5" t="str">
        <f>IF(COUNTIF(Bank_Holidays!A:A,A414)&gt;0,"Yes","No")</f>
        <v>No</v>
      </c>
      <c r="L414" t="str">
        <f t="shared" si="105"/>
        <v>Yes</v>
      </c>
      <c r="M414">
        <f t="shared" si="106"/>
        <v>37</v>
      </c>
      <c r="N414" s="5" t="str">
        <f t="shared" si="107"/>
        <v>No</v>
      </c>
      <c r="O414" t="str">
        <f>IF(A414=WORKDAY(EOMONTH(A414,0)+1,-1,Bank_Holidays!$A$2:$A$25),"Yes","No")</f>
        <v>No</v>
      </c>
      <c r="P414" t="str">
        <f t="shared" si="108"/>
        <v>No</v>
      </c>
      <c r="Q414" t="str">
        <f t="shared" si="109"/>
        <v>No</v>
      </c>
      <c r="R414" s="5">
        <f t="shared" si="111"/>
        <v>3</v>
      </c>
      <c r="S414">
        <f>MOD(A414-Fortnightly_Model!$M$1,14)</f>
        <v>13</v>
      </c>
      <c r="T414">
        <f>MOD(A414-FourWeekly_Model!$M$1,28)</f>
        <v>27</v>
      </c>
    </row>
    <row r="415" spans="1:20">
      <c r="A415" s="25">
        <f t="shared" si="110"/>
        <v>46648</v>
      </c>
      <c r="B415">
        <f t="shared" si="96"/>
        <v>2027</v>
      </c>
      <c r="C415" s="9">
        <f t="shared" si="97"/>
        <v>9</v>
      </c>
      <c r="D415" s="9" t="str">
        <f t="shared" si="98"/>
        <v>September</v>
      </c>
      <c r="E415" s="9" t="str">
        <f t="shared" si="99"/>
        <v>Sep-27</v>
      </c>
      <c r="F415" s="9" t="str">
        <f t="shared" si="100"/>
        <v>Q3</v>
      </c>
      <c r="G415" s="9">
        <f t="shared" si="101"/>
        <v>18</v>
      </c>
      <c r="H415" s="9">
        <f t="shared" si="102"/>
        <v>6</v>
      </c>
      <c r="I415" s="9" t="str">
        <f t="shared" si="103"/>
        <v>Saturday</v>
      </c>
      <c r="J415" s="9" t="str">
        <f t="shared" si="104"/>
        <v>Yes</v>
      </c>
      <c r="K415" s="5" t="str">
        <f>IF(COUNTIF(Bank_Holidays!A:A,A415)&gt;0,"Yes","No")</f>
        <v>No</v>
      </c>
      <c r="L415" t="str">
        <f t="shared" si="105"/>
        <v>No</v>
      </c>
      <c r="M415">
        <f t="shared" si="106"/>
        <v>37</v>
      </c>
      <c r="N415" s="5" t="str">
        <f t="shared" si="107"/>
        <v>No</v>
      </c>
      <c r="O415" t="str">
        <f>IF(A415=WORKDAY(EOMONTH(A415,0)+1,-1,Bank_Holidays!$A$2:$A$25),"Yes","No")</f>
        <v>No</v>
      </c>
      <c r="P415" t="str">
        <f t="shared" si="108"/>
        <v>No</v>
      </c>
      <c r="Q415" t="str">
        <f t="shared" si="109"/>
        <v>No</v>
      </c>
      <c r="R415" s="5">
        <f t="shared" si="111"/>
        <v>0</v>
      </c>
      <c r="S415">
        <f>MOD(A415-Fortnightly_Model!$M$1,14)</f>
        <v>0</v>
      </c>
      <c r="T415">
        <f>MOD(A415-FourWeekly_Model!$M$1,28)</f>
        <v>0</v>
      </c>
    </row>
    <row r="416" spans="1:20">
      <c r="A416" s="25">
        <f t="shared" si="110"/>
        <v>46649</v>
      </c>
      <c r="B416">
        <f t="shared" si="96"/>
        <v>2027</v>
      </c>
      <c r="C416" s="9">
        <f t="shared" si="97"/>
        <v>9</v>
      </c>
      <c r="D416" s="9" t="str">
        <f t="shared" si="98"/>
        <v>September</v>
      </c>
      <c r="E416" s="9" t="str">
        <f t="shared" si="99"/>
        <v>Sep-27</v>
      </c>
      <c r="F416" s="9" t="str">
        <f t="shared" si="100"/>
        <v>Q3</v>
      </c>
      <c r="G416" s="9">
        <f t="shared" si="101"/>
        <v>19</v>
      </c>
      <c r="H416" s="9">
        <f t="shared" si="102"/>
        <v>7</v>
      </c>
      <c r="I416" s="9" t="str">
        <f t="shared" si="103"/>
        <v>Sunday</v>
      </c>
      <c r="J416" s="9" t="str">
        <f t="shared" si="104"/>
        <v>Yes</v>
      </c>
      <c r="K416" s="5" t="str">
        <f>IF(COUNTIF(Bank_Holidays!A:A,A416)&gt;0,"Yes","No")</f>
        <v>No</v>
      </c>
      <c r="L416" t="str">
        <f t="shared" si="105"/>
        <v>No</v>
      </c>
      <c r="M416">
        <f t="shared" si="106"/>
        <v>37</v>
      </c>
      <c r="N416" s="5" t="str">
        <f t="shared" si="107"/>
        <v>No</v>
      </c>
      <c r="O416" t="str">
        <f>IF(A416=WORKDAY(EOMONTH(A416,0)+1,-1,Bank_Holidays!$A$2:$A$25),"Yes","No")</f>
        <v>No</v>
      </c>
      <c r="P416" t="str">
        <f t="shared" si="108"/>
        <v>No</v>
      </c>
      <c r="Q416" t="str">
        <f t="shared" si="109"/>
        <v>No</v>
      </c>
      <c r="R416" s="5">
        <f t="shared" si="111"/>
        <v>0</v>
      </c>
      <c r="S416">
        <f>MOD(A416-Fortnightly_Model!$M$1,14)</f>
        <v>1</v>
      </c>
      <c r="T416">
        <f>MOD(A416-FourWeekly_Model!$M$1,28)</f>
        <v>1</v>
      </c>
    </row>
    <row r="417" spans="1:20">
      <c r="A417" s="25">
        <f t="shared" si="110"/>
        <v>46650</v>
      </c>
      <c r="B417">
        <f t="shared" si="96"/>
        <v>2027</v>
      </c>
      <c r="C417" s="9">
        <f t="shared" si="97"/>
        <v>9</v>
      </c>
      <c r="D417" s="9" t="str">
        <f t="shared" si="98"/>
        <v>September</v>
      </c>
      <c r="E417" s="9" t="str">
        <f t="shared" si="99"/>
        <v>Sep-27</v>
      </c>
      <c r="F417" s="9" t="str">
        <f t="shared" si="100"/>
        <v>Q3</v>
      </c>
      <c r="G417" s="9">
        <f t="shared" si="101"/>
        <v>20</v>
      </c>
      <c r="H417" s="9">
        <f t="shared" si="102"/>
        <v>1</v>
      </c>
      <c r="I417" s="9" t="str">
        <f t="shared" si="103"/>
        <v>Monday</v>
      </c>
      <c r="J417" s="9" t="str">
        <f t="shared" si="104"/>
        <v>No</v>
      </c>
      <c r="K417" s="5" t="str">
        <f>IF(COUNTIF(Bank_Holidays!A:A,A417)&gt;0,"Yes","No")</f>
        <v>No</v>
      </c>
      <c r="L417" t="str">
        <f t="shared" si="105"/>
        <v>Yes</v>
      </c>
      <c r="M417">
        <f t="shared" si="106"/>
        <v>38</v>
      </c>
      <c r="N417" s="5" t="str">
        <f t="shared" si="107"/>
        <v>No</v>
      </c>
      <c r="O417" t="str">
        <f>IF(A417=WORKDAY(EOMONTH(A417,0)+1,-1,Bank_Holidays!$A$2:$A$25),"Yes","No")</f>
        <v>No</v>
      </c>
      <c r="P417" t="str">
        <f t="shared" si="108"/>
        <v>No</v>
      </c>
      <c r="Q417" t="str">
        <f t="shared" si="109"/>
        <v>No</v>
      </c>
      <c r="R417" s="5">
        <f t="shared" si="111"/>
        <v>1</v>
      </c>
      <c r="S417">
        <f>MOD(A417-Fortnightly_Model!$M$1,14)</f>
        <v>2</v>
      </c>
      <c r="T417">
        <f>MOD(A417-FourWeekly_Model!$M$1,28)</f>
        <v>2</v>
      </c>
    </row>
    <row r="418" spans="1:20">
      <c r="A418" s="25">
        <f t="shared" si="110"/>
        <v>46651</v>
      </c>
      <c r="B418">
        <f t="shared" si="96"/>
        <v>2027</v>
      </c>
      <c r="C418" s="9">
        <f t="shared" si="97"/>
        <v>9</v>
      </c>
      <c r="D418" s="9" t="str">
        <f t="shared" si="98"/>
        <v>September</v>
      </c>
      <c r="E418" s="9" t="str">
        <f t="shared" si="99"/>
        <v>Sep-27</v>
      </c>
      <c r="F418" s="9" t="str">
        <f t="shared" si="100"/>
        <v>Q3</v>
      </c>
      <c r="G418" s="9">
        <f t="shared" si="101"/>
        <v>21</v>
      </c>
      <c r="H418" s="9">
        <f t="shared" si="102"/>
        <v>2</v>
      </c>
      <c r="I418" s="9" t="str">
        <f t="shared" si="103"/>
        <v>Tuesday</v>
      </c>
      <c r="J418" s="9" t="str">
        <f t="shared" si="104"/>
        <v>No</v>
      </c>
      <c r="K418" s="5" t="str">
        <f>IF(COUNTIF(Bank_Holidays!A:A,A418)&gt;0,"Yes","No")</f>
        <v>No</v>
      </c>
      <c r="L418" t="str">
        <f t="shared" si="105"/>
        <v>Yes</v>
      </c>
      <c r="M418">
        <f t="shared" si="106"/>
        <v>38</v>
      </c>
      <c r="N418" s="5" t="str">
        <f t="shared" si="107"/>
        <v>No</v>
      </c>
      <c r="O418" t="str">
        <f>IF(A418=WORKDAY(EOMONTH(A418,0)+1,-1,Bank_Holidays!$A$2:$A$25),"Yes","No")</f>
        <v>No</v>
      </c>
      <c r="P418" t="str">
        <f t="shared" si="108"/>
        <v>No</v>
      </c>
      <c r="Q418" t="str">
        <f t="shared" si="109"/>
        <v>No</v>
      </c>
      <c r="R418" s="5">
        <f t="shared" si="111"/>
        <v>1</v>
      </c>
      <c r="S418">
        <f>MOD(A418-Fortnightly_Model!$M$1,14)</f>
        <v>3</v>
      </c>
      <c r="T418">
        <f>MOD(A418-FourWeekly_Model!$M$1,28)</f>
        <v>3</v>
      </c>
    </row>
    <row r="419" spans="1:20">
      <c r="A419" s="25">
        <f t="shared" si="110"/>
        <v>46652</v>
      </c>
      <c r="B419">
        <f t="shared" si="96"/>
        <v>2027</v>
      </c>
      <c r="C419" s="9">
        <f t="shared" si="97"/>
        <v>9</v>
      </c>
      <c r="D419" s="9" t="str">
        <f t="shared" si="98"/>
        <v>September</v>
      </c>
      <c r="E419" s="9" t="str">
        <f t="shared" si="99"/>
        <v>Sep-27</v>
      </c>
      <c r="F419" s="9" t="str">
        <f t="shared" si="100"/>
        <v>Q3</v>
      </c>
      <c r="G419" s="9">
        <f t="shared" si="101"/>
        <v>22</v>
      </c>
      <c r="H419" s="9">
        <f t="shared" si="102"/>
        <v>3</v>
      </c>
      <c r="I419" s="9" t="str">
        <f t="shared" si="103"/>
        <v>Wednesday</v>
      </c>
      <c r="J419" s="9" t="str">
        <f t="shared" si="104"/>
        <v>No</v>
      </c>
      <c r="K419" s="5" t="str">
        <f>IF(COUNTIF(Bank_Holidays!A:A,A419)&gt;0,"Yes","No")</f>
        <v>No</v>
      </c>
      <c r="L419" t="str">
        <f t="shared" si="105"/>
        <v>Yes</v>
      </c>
      <c r="M419">
        <f t="shared" si="106"/>
        <v>38</v>
      </c>
      <c r="N419" s="5" t="str">
        <f t="shared" si="107"/>
        <v>No</v>
      </c>
      <c r="O419" t="str">
        <f>IF(A419=WORKDAY(EOMONTH(A419,0)+1,-1,Bank_Holidays!$A$2:$A$25),"Yes","No")</f>
        <v>No</v>
      </c>
      <c r="P419" t="str">
        <f t="shared" si="108"/>
        <v>No</v>
      </c>
      <c r="Q419" t="str">
        <f t="shared" si="109"/>
        <v>No</v>
      </c>
      <c r="R419" s="5">
        <f t="shared" si="111"/>
        <v>1</v>
      </c>
      <c r="S419">
        <f>MOD(A419-Fortnightly_Model!$M$1,14)</f>
        <v>4</v>
      </c>
      <c r="T419">
        <f>MOD(A419-FourWeekly_Model!$M$1,28)</f>
        <v>4</v>
      </c>
    </row>
    <row r="420" spans="1:20">
      <c r="A420" s="25">
        <f t="shared" si="110"/>
        <v>46653</v>
      </c>
      <c r="B420">
        <f t="shared" si="96"/>
        <v>2027</v>
      </c>
      <c r="C420" s="9">
        <f t="shared" si="97"/>
        <v>9</v>
      </c>
      <c r="D420" s="9" t="str">
        <f t="shared" si="98"/>
        <v>September</v>
      </c>
      <c r="E420" s="9" t="str">
        <f t="shared" si="99"/>
        <v>Sep-27</v>
      </c>
      <c r="F420" s="9" t="str">
        <f t="shared" si="100"/>
        <v>Q3</v>
      </c>
      <c r="G420" s="9">
        <f t="shared" si="101"/>
        <v>23</v>
      </c>
      <c r="H420" s="9">
        <f t="shared" si="102"/>
        <v>4</v>
      </c>
      <c r="I420" s="9" t="str">
        <f t="shared" si="103"/>
        <v>Thursday</v>
      </c>
      <c r="J420" s="9" t="str">
        <f t="shared" si="104"/>
        <v>No</v>
      </c>
      <c r="K420" s="5" t="str">
        <f>IF(COUNTIF(Bank_Holidays!A:A,A420)&gt;0,"Yes","No")</f>
        <v>No</v>
      </c>
      <c r="L420" t="str">
        <f t="shared" si="105"/>
        <v>Yes</v>
      </c>
      <c r="M420">
        <f t="shared" si="106"/>
        <v>38</v>
      </c>
      <c r="N420" s="5" t="str">
        <f t="shared" si="107"/>
        <v>No</v>
      </c>
      <c r="O420" t="str">
        <f>IF(A420=WORKDAY(EOMONTH(A420,0)+1,-1,Bank_Holidays!$A$2:$A$25),"Yes","No")</f>
        <v>No</v>
      </c>
      <c r="P420" t="str">
        <f t="shared" si="108"/>
        <v>No</v>
      </c>
      <c r="Q420" t="str">
        <f t="shared" si="109"/>
        <v>No</v>
      </c>
      <c r="R420" s="5">
        <f t="shared" si="111"/>
        <v>1</v>
      </c>
      <c r="S420">
        <f>MOD(A420-Fortnightly_Model!$M$1,14)</f>
        <v>5</v>
      </c>
      <c r="T420">
        <f>MOD(A420-FourWeekly_Model!$M$1,28)</f>
        <v>5</v>
      </c>
    </row>
    <row r="421" spans="1:20">
      <c r="A421" s="25">
        <f t="shared" si="110"/>
        <v>46654</v>
      </c>
      <c r="B421">
        <f t="shared" si="96"/>
        <v>2027</v>
      </c>
      <c r="C421" s="9">
        <f t="shared" si="97"/>
        <v>9</v>
      </c>
      <c r="D421" s="9" t="str">
        <f t="shared" si="98"/>
        <v>September</v>
      </c>
      <c r="E421" s="9" t="str">
        <f t="shared" si="99"/>
        <v>Sep-27</v>
      </c>
      <c r="F421" s="9" t="str">
        <f t="shared" si="100"/>
        <v>Q3</v>
      </c>
      <c r="G421" s="9">
        <f t="shared" si="101"/>
        <v>24</v>
      </c>
      <c r="H421" s="9">
        <f t="shared" si="102"/>
        <v>5</v>
      </c>
      <c r="I421" s="9" t="str">
        <f t="shared" si="103"/>
        <v>Friday</v>
      </c>
      <c r="J421" s="9" t="str">
        <f t="shared" si="104"/>
        <v>No</v>
      </c>
      <c r="K421" s="5" t="str">
        <f>IF(COUNTIF(Bank_Holidays!A:A,A421)&gt;0,"Yes","No")</f>
        <v>No</v>
      </c>
      <c r="L421" t="str">
        <f t="shared" si="105"/>
        <v>Yes</v>
      </c>
      <c r="M421">
        <f t="shared" si="106"/>
        <v>38</v>
      </c>
      <c r="N421" s="5" t="str">
        <f t="shared" si="107"/>
        <v>No</v>
      </c>
      <c r="O421" t="str">
        <f>IF(A421=WORKDAY(EOMONTH(A421,0)+1,-1,Bank_Holidays!$A$2:$A$25),"Yes","No")</f>
        <v>No</v>
      </c>
      <c r="P421" t="str">
        <f t="shared" si="108"/>
        <v>Yes</v>
      </c>
      <c r="Q421" t="str">
        <f t="shared" si="109"/>
        <v>No</v>
      </c>
      <c r="R421" s="5">
        <f t="shared" si="111"/>
        <v>3</v>
      </c>
      <c r="S421">
        <f>MOD(A421-Fortnightly_Model!$M$1,14)</f>
        <v>6</v>
      </c>
      <c r="T421">
        <f>MOD(A421-FourWeekly_Model!$M$1,28)</f>
        <v>6</v>
      </c>
    </row>
    <row r="422" spans="1:20">
      <c r="A422" s="25">
        <f t="shared" si="110"/>
        <v>46655</v>
      </c>
      <c r="B422">
        <f t="shared" si="96"/>
        <v>2027</v>
      </c>
      <c r="C422" s="9">
        <f t="shared" si="97"/>
        <v>9</v>
      </c>
      <c r="D422" s="9" t="str">
        <f t="shared" si="98"/>
        <v>September</v>
      </c>
      <c r="E422" s="9" t="str">
        <f t="shared" si="99"/>
        <v>Sep-27</v>
      </c>
      <c r="F422" s="9" t="str">
        <f t="shared" si="100"/>
        <v>Q3</v>
      </c>
      <c r="G422" s="9">
        <f t="shared" si="101"/>
        <v>25</v>
      </c>
      <c r="H422" s="9">
        <f t="shared" si="102"/>
        <v>6</v>
      </c>
      <c r="I422" s="9" t="str">
        <f t="shared" si="103"/>
        <v>Saturday</v>
      </c>
      <c r="J422" s="9" t="str">
        <f t="shared" si="104"/>
        <v>Yes</v>
      </c>
      <c r="K422" s="5" t="str">
        <f>IF(COUNTIF(Bank_Holidays!A:A,A422)&gt;0,"Yes","No")</f>
        <v>No</v>
      </c>
      <c r="L422" t="str">
        <f t="shared" si="105"/>
        <v>No</v>
      </c>
      <c r="M422">
        <f t="shared" si="106"/>
        <v>38</v>
      </c>
      <c r="N422" s="5" t="str">
        <f t="shared" si="107"/>
        <v>No</v>
      </c>
      <c r="O422" t="str">
        <f>IF(A422=WORKDAY(EOMONTH(A422,0)+1,-1,Bank_Holidays!$A$2:$A$25),"Yes","No")</f>
        <v>No</v>
      </c>
      <c r="P422" t="str">
        <f t="shared" si="108"/>
        <v>No</v>
      </c>
      <c r="Q422" t="str">
        <f t="shared" si="109"/>
        <v>No</v>
      </c>
      <c r="R422" s="5">
        <f t="shared" si="111"/>
        <v>0</v>
      </c>
      <c r="S422">
        <f>MOD(A422-Fortnightly_Model!$M$1,14)</f>
        <v>7</v>
      </c>
      <c r="T422">
        <f>MOD(A422-FourWeekly_Model!$M$1,28)</f>
        <v>7</v>
      </c>
    </row>
    <row r="423" spans="1:20">
      <c r="A423" s="25">
        <f t="shared" si="110"/>
        <v>46656</v>
      </c>
      <c r="B423">
        <f t="shared" si="96"/>
        <v>2027</v>
      </c>
      <c r="C423" s="9">
        <f t="shared" si="97"/>
        <v>9</v>
      </c>
      <c r="D423" s="9" t="str">
        <f t="shared" si="98"/>
        <v>September</v>
      </c>
      <c r="E423" s="9" t="str">
        <f t="shared" si="99"/>
        <v>Sep-27</v>
      </c>
      <c r="F423" s="9" t="str">
        <f t="shared" si="100"/>
        <v>Q3</v>
      </c>
      <c r="G423" s="9">
        <f t="shared" si="101"/>
        <v>26</v>
      </c>
      <c r="H423" s="9">
        <f t="shared" si="102"/>
        <v>7</v>
      </c>
      <c r="I423" s="9" t="str">
        <f t="shared" si="103"/>
        <v>Sunday</v>
      </c>
      <c r="J423" s="9" t="str">
        <f t="shared" si="104"/>
        <v>Yes</v>
      </c>
      <c r="K423" s="5" t="str">
        <f>IF(COUNTIF(Bank_Holidays!A:A,A423)&gt;0,"Yes","No")</f>
        <v>No</v>
      </c>
      <c r="L423" t="str">
        <f t="shared" si="105"/>
        <v>No</v>
      </c>
      <c r="M423">
        <f t="shared" si="106"/>
        <v>38</v>
      </c>
      <c r="N423" s="5" t="str">
        <f t="shared" si="107"/>
        <v>No</v>
      </c>
      <c r="O423" t="str">
        <f>IF(A423=WORKDAY(EOMONTH(A423,0)+1,-1,Bank_Holidays!$A$2:$A$25),"Yes","No")</f>
        <v>No</v>
      </c>
      <c r="P423" t="str">
        <f t="shared" si="108"/>
        <v>No</v>
      </c>
      <c r="Q423" t="str">
        <f t="shared" si="109"/>
        <v>No</v>
      </c>
      <c r="R423" s="5">
        <f t="shared" si="111"/>
        <v>0</v>
      </c>
      <c r="S423">
        <f>MOD(A423-Fortnightly_Model!$M$1,14)</f>
        <v>8</v>
      </c>
      <c r="T423">
        <f>MOD(A423-FourWeekly_Model!$M$1,28)</f>
        <v>8</v>
      </c>
    </row>
    <row r="424" spans="1:20">
      <c r="A424" s="25">
        <f t="shared" si="110"/>
        <v>46657</v>
      </c>
      <c r="B424">
        <f t="shared" si="96"/>
        <v>2027</v>
      </c>
      <c r="C424" s="9">
        <f t="shared" si="97"/>
        <v>9</v>
      </c>
      <c r="D424" s="9" t="str">
        <f t="shared" si="98"/>
        <v>September</v>
      </c>
      <c r="E424" s="9" t="str">
        <f t="shared" si="99"/>
        <v>Sep-27</v>
      </c>
      <c r="F424" s="9" t="str">
        <f t="shared" si="100"/>
        <v>Q3</v>
      </c>
      <c r="G424" s="9">
        <f t="shared" si="101"/>
        <v>27</v>
      </c>
      <c r="H424" s="9">
        <f t="shared" si="102"/>
        <v>1</v>
      </c>
      <c r="I424" s="9" t="str">
        <f t="shared" si="103"/>
        <v>Monday</v>
      </c>
      <c r="J424" s="9" t="str">
        <f t="shared" si="104"/>
        <v>No</v>
      </c>
      <c r="K424" s="5" t="str">
        <f>IF(COUNTIF(Bank_Holidays!A:A,A424)&gt;0,"Yes","No")</f>
        <v>No</v>
      </c>
      <c r="L424" t="str">
        <f t="shared" si="105"/>
        <v>Yes</v>
      </c>
      <c r="M424">
        <f t="shared" si="106"/>
        <v>39</v>
      </c>
      <c r="N424" s="5" t="str">
        <f t="shared" si="107"/>
        <v>No</v>
      </c>
      <c r="O424" t="str">
        <f>IF(A424=WORKDAY(EOMONTH(A424,0)+1,-1,Bank_Holidays!$A$2:$A$25),"Yes","No")</f>
        <v>No</v>
      </c>
      <c r="P424" t="str">
        <f t="shared" si="108"/>
        <v>No</v>
      </c>
      <c r="Q424" t="str">
        <f t="shared" si="109"/>
        <v>No</v>
      </c>
      <c r="R424" s="5">
        <f t="shared" si="111"/>
        <v>1</v>
      </c>
      <c r="S424">
        <f>MOD(A424-Fortnightly_Model!$M$1,14)</f>
        <v>9</v>
      </c>
      <c r="T424">
        <f>MOD(A424-FourWeekly_Model!$M$1,28)</f>
        <v>9</v>
      </c>
    </row>
    <row r="425" spans="1:20">
      <c r="A425" s="25">
        <f t="shared" si="110"/>
        <v>46658</v>
      </c>
      <c r="B425">
        <f t="shared" si="96"/>
        <v>2027</v>
      </c>
      <c r="C425" s="9">
        <f t="shared" si="97"/>
        <v>9</v>
      </c>
      <c r="D425" s="9" t="str">
        <f t="shared" si="98"/>
        <v>September</v>
      </c>
      <c r="E425" s="9" t="str">
        <f t="shared" si="99"/>
        <v>Sep-27</v>
      </c>
      <c r="F425" s="9" t="str">
        <f t="shared" si="100"/>
        <v>Q3</v>
      </c>
      <c r="G425" s="9">
        <f t="shared" si="101"/>
        <v>28</v>
      </c>
      <c r="H425" s="9">
        <f t="shared" si="102"/>
        <v>2</v>
      </c>
      <c r="I425" s="9" t="str">
        <f t="shared" si="103"/>
        <v>Tuesday</v>
      </c>
      <c r="J425" s="9" t="str">
        <f t="shared" si="104"/>
        <v>No</v>
      </c>
      <c r="K425" s="5" t="str">
        <f>IF(COUNTIF(Bank_Holidays!A:A,A425)&gt;0,"Yes","No")</f>
        <v>No</v>
      </c>
      <c r="L425" t="str">
        <f t="shared" si="105"/>
        <v>Yes</v>
      </c>
      <c r="M425">
        <f t="shared" si="106"/>
        <v>39</v>
      </c>
      <c r="N425" s="5" t="str">
        <f t="shared" si="107"/>
        <v>No</v>
      </c>
      <c r="O425" t="str">
        <f>IF(A425=WORKDAY(EOMONTH(A425,0)+1,-1,Bank_Holidays!$A$2:$A$25),"Yes","No")</f>
        <v>No</v>
      </c>
      <c r="P425" t="str">
        <f t="shared" si="108"/>
        <v>No</v>
      </c>
      <c r="Q425" t="str">
        <f t="shared" si="109"/>
        <v>No</v>
      </c>
      <c r="R425" s="5">
        <f t="shared" si="111"/>
        <v>1</v>
      </c>
      <c r="S425">
        <f>MOD(A425-Fortnightly_Model!$M$1,14)</f>
        <v>10</v>
      </c>
      <c r="T425">
        <f>MOD(A425-FourWeekly_Model!$M$1,28)</f>
        <v>10</v>
      </c>
    </row>
    <row r="426" spans="1:20">
      <c r="A426" s="25">
        <f t="shared" si="110"/>
        <v>46659</v>
      </c>
      <c r="B426">
        <f t="shared" si="96"/>
        <v>2027</v>
      </c>
      <c r="C426" s="9">
        <f t="shared" si="97"/>
        <v>9</v>
      </c>
      <c r="D426" s="9" t="str">
        <f t="shared" si="98"/>
        <v>September</v>
      </c>
      <c r="E426" s="9" t="str">
        <f t="shared" si="99"/>
        <v>Sep-27</v>
      </c>
      <c r="F426" s="9" t="str">
        <f t="shared" si="100"/>
        <v>Q3</v>
      </c>
      <c r="G426" s="9">
        <f t="shared" si="101"/>
        <v>29</v>
      </c>
      <c r="H426" s="9">
        <f t="shared" si="102"/>
        <v>3</v>
      </c>
      <c r="I426" s="9" t="str">
        <f t="shared" si="103"/>
        <v>Wednesday</v>
      </c>
      <c r="J426" s="9" t="str">
        <f t="shared" si="104"/>
        <v>No</v>
      </c>
      <c r="K426" s="5" t="str">
        <f>IF(COUNTIF(Bank_Holidays!A:A,A426)&gt;0,"Yes","No")</f>
        <v>No</v>
      </c>
      <c r="L426" t="str">
        <f t="shared" si="105"/>
        <v>Yes</v>
      </c>
      <c r="M426">
        <f t="shared" si="106"/>
        <v>39</v>
      </c>
      <c r="N426" s="5" t="str">
        <f t="shared" si="107"/>
        <v>No</v>
      </c>
      <c r="O426" t="str">
        <f>IF(A426=WORKDAY(EOMONTH(A426,0)+1,-1,Bank_Holidays!$A$2:$A$25),"Yes","No")</f>
        <v>No</v>
      </c>
      <c r="P426" t="str">
        <f t="shared" si="108"/>
        <v>No</v>
      </c>
      <c r="Q426" t="str">
        <f t="shared" si="109"/>
        <v>No</v>
      </c>
      <c r="R426" s="5">
        <f t="shared" si="111"/>
        <v>1</v>
      </c>
      <c r="S426">
        <f>MOD(A426-Fortnightly_Model!$M$1,14)</f>
        <v>11</v>
      </c>
      <c r="T426">
        <f>MOD(A426-FourWeekly_Model!$M$1,28)</f>
        <v>11</v>
      </c>
    </row>
    <row r="427" spans="1:20">
      <c r="A427" s="25">
        <f t="shared" si="110"/>
        <v>46660</v>
      </c>
      <c r="B427">
        <f t="shared" si="96"/>
        <v>2027</v>
      </c>
      <c r="C427" s="9">
        <f t="shared" si="97"/>
        <v>9</v>
      </c>
      <c r="D427" s="9" t="str">
        <f t="shared" si="98"/>
        <v>September</v>
      </c>
      <c r="E427" s="9" t="str">
        <f t="shared" si="99"/>
        <v>Sep-27</v>
      </c>
      <c r="F427" s="9" t="str">
        <f t="shared" si="100"/>
        <v>Q3</v>
      </c>
      <c r="G427" s="9">
        <f t="shared" si="101"/>
        <v>30</v>
      </c>
      <c r="H427" s="9">
        <f t="shared" si="102"/>
        <v>4</v>
      </c>
      <c r="I427" s="9" t="str">
        <f t="shared" si="103"/>
        <v>Thursday</v>
      </c>
      <c r="J427" s="9" t="str">
        <f t="shared" si="104"/>
        <v>No</v>
      </c>
      <c r="K427" s="5" t="str">
        <f>IF(COUNTIF(Bank_Holidays!A:A,A427)&gt;0,"Yes","No")</f>
        <v>No</v>
      </c>
      <c r="L427" t="str">
        <f t="shared" si="105"/>
        <v>Yes</v>
      </c>
      <c r="M427">
        <f t="shared" si="106"/>
        <v>39</v>
      </c>
      <c r="N427" s="5" t="str">
        <f t="shared" si="107"/>
        <v>Yes</v>
      </c>
      <c r="O427" t="str">
        <f>IF(A427=WORKDAY(EOMONTH(A427,0)+1,-1,Bank_Holidays!$A$2:$A$25),"Yes","No")</f>
        <v>Yes</v>
      </c>
      <c r="P427" t="str">
        <f t="shared" si="108"/>
        <v>No</v>
      </c>
      <c r="Q427" t="str">
        <f t="shared" si="109"/>
        <v>Yes</v>
      </c>
      <c r="R427" s="5">
        <f t="shared" si="111"/>
        <v>1</v>
      </c>
      <c r="S427">
        <f>MOD(A427-Fortnightly_Model!$M$1,14)</f>
        <v>12</v>
      </c>
      <c r="T427">
        <f>MOD(A427-FourWeekly_Model!$M$1,28)</f>
        <v>12</v>
      </c>
    </row>
    <row r="428" spans="1:20">
      <c r="A428" s="25">
        <f t="shared" si="110"/>
        <v>46661</v>
      </c>
      <c r="B428">
        <f t="shared" si="96"/>
        <v>2027</v>
      </c>
      <c r="C428" s="9">
        <f t="shared" si="97"/>
        <v>10</v>
      </c>
      <c r="D428" s="9" t="str">
        <f t="shared" si="98"/>
        <v>October</v>
      </c>
      <c r="E428" s="9" t="str">
        <f t="shared" si="99"/>
        <v>Oct-27</v>
      </c>
      <c r="F428" s="9" t="str">
        <f t="shared" si="100"/>
        <v>Q4</v>
      </c>
      <c r="G428" s="9">
        <f t="shared" si="101"/>
        <v>1</v>
      </c>
      <c r="H428" s="9">
        <f t="shared" si="102"/>
        <v>5</v>
      </c>
      <c r="I428" s="9" t="str">
        <f t="shared" si="103"/>
        <v>Friday</v>
      </c>
      <c r="J428" s="9" t="str">
        <f t="shared" si="104"/>
        <v>No</v>
      </c>
      <c r="K428" s="5" t="str">
        <f>IF(COUNTIF(Bank_Holidays!A:A,A428)&gt;0,"Yes","No")</f>
        <v>No</v>
      </c>
      <c r="L428" t="str">
        <f t="shared" si="105"/>
        <v>Yes</v>
      </c>
      <c r="M428">
        <f t="shared" si="106"/>
        <v>39</v>
      </c>
      <c r="N428" s="5" t="str">
        <f t="shared" si="107"/>
        <v>No</v>
      </c>
      <c r="O428" t="str">
        <f>IF(A428=WORKDAY(EOMONTH(A428,0)+1,-1,Bank_Holidays!$A$2:$A$25),"Yes","No")</f>
        <v>No</v>
      </c>
      <c r="P428" t="str">
        <f t="shared" si="108"/>
        <v>No</v>
      </c>
      <c r="Q428" t="str">
        <f t="shared" si="109"/>
        <v>No</v>
      </c>
      <c r="R428" s="5">
        <f t="shared" si="111"/>
        <v>3</v>
      </c>
      <c r="S428">
        <f>MOD(A428-Fortnightly_Model!$M$1,14)</f>
        <v>13</v>
      </c>
      <c r="T428">
        <f>MOD(A428-FourWeekly_Model!$M$1,28)</f>
        <v>13</v>
      </c>
    </row>
    <row r="429" spans="1:20">
      <c r="A429" s="25">
        <f t="shared" si="110"/>
        <v>46662</v>
      </c>
      <c r="B429">
        <f t="shared" si="96"/>
        <v>2027</v>
      </c>
      <c r="C429" s="9">
        <f t="shared" si="97"/>
        <v>10</v>
      </c>
      <c r="D429" s="9" t="str">
        <f t="shared" si="98"/>
        <v>October</v>
      </c>
      <c r="E429" s="9" t="str">
        <f t="shared" si="99"/>
        <v>Oct-27</v>
      </c>
      <c r="F429" s="9" t="str">
        <f t="shared" si="100"/>
        <v>Q4</v>
      </c>
      <c r="G429" s="9">
        <f t="shared" si="101"/>
        <v>2</v>
      </c>
      <c r="H429" s="9">
        <f t="shared" si="102"/>
        <v>6</v>
      </c>
      <c r="I429" s="9" t="str">
        <f t="shared" si="103"/>
        <v>Saturday</v>
      </c>
      <c r="J429" s="9" t="str">
        <f t="shared" si="104"/>
        <v>Yes</v>
      </c>
      <c r="K429" s="5" t="str">
        <f>IF(COUNTIF(Bank_Holidays!A:A,A429)&gt;0,"Yes","No")</f>
        <v>No</v>
      </c>
      <c r="L429" t="str">
        <f t="shared" si="105"/>
        <v>No</v>
      </c>
      <c r="M429">
        <f t="shared" si="106"/>
        <v>39</v>
      </c>
      <c r="N429" s="5" t="str">
        <f t="shared" si="107"/>
        <v>No</v>
      </c>
      <c r="O429" t="str">
        <f>IF(A429=WORKDAY(EOMONTH(A429,0)+1,-1,Bank_Holidays!$A$2:$A$25),"Yes","No")</f>
        <v>No</v>
      </c>
      <c r="P429" t="str">
        <f t="shared" si="108"/>
        <v>No</v>
      </c>
      <c r="Q429" t="str">
        <f t="shared" si="109"/>
        <v>No</v>
      </c>
      <c r="R429" s="5">
        <f t="shared" si="111"/>
        <v>0</v>
      </c>
      <c r="S429">
        <f>MOD(A429-Fortnightly_Model!$M$1,14)</f>
        <v>0</v>
      </c>
      <c r="T429">
        <f>MOD(A429-FourWeekly_Model!$M$1,28)</f>
        <v>14</v>
      </c>
    </row>
    <row r="430" spans="1:20">
      <c r="A430" s="25">
        <f t="shared" si="110"/>
        <v>46663</v>
      </c>
      <c r="B430">
        <f t="shared" si="96"/>
        <v>2027</v>
      </c>
      <c r="C430" s="9">
        <f t="shared" si="97"/>
        <v>10</v>
      </c>
      <c r="D430" s="9" t="str">
        <f t="shared" si="98"/>
        <v>October</v>
      </c>
      <c r="E430" s="9" t="str">
        <f t="shared" si="99"/>
        <v>Oct-27</v>
      </c>
      <c r="F430" s="9" t="str">
        <f t="shared" si="100"/>
        <v>Q4</v>
      </c>
      <c r="G430" s="9">
        <f t="shared" si="101"/>
        <v>3</v>
      </c>
      <c r="H430" s="9">
        <f t="shared" si="102"/>
        <v>7</v>
      </c>
      <c r="I430" s="9" t="str">
        <f t="shared" si="103"/>
        <v>Sunday</v>
      </c>
      <c r="J430" s="9" t="str">
        <f t="shared" si="104"/>
        <v>Yes</v>
      </c>
      <c r="K430" s="5" t="str">
        <f>IF(COUNTIF(Bank_Holidays!A:A,A430)&gt;0,"Yes","No")</f>
        <v>No</v>
      </c>
      <c r="L430" t="str">
        <f t="shared" si="105"/>
        <v>No</v>
      </c>
      <c r="M430">
        <f t="shared" si="106"/>
        <v>39</v>
      </c>
      <c r="N430" s="5" t="str">
        <f t="shared" si="107"/>
        <v>No</v>
      </c>
      <c r="O430" t="str">
        <f>IF(A430=WORKDAY(EOMONTH(A430,0)+1,-1,Bank_Holidays!$A$2:$A$25),"Yes","No")</f>
        <v>No</v>
      </c>
      <c r="P430" t="str">
        <f t="shared" si="108"/>
        <v>No</v>
      </c>
      <c r="Q430" t="str">
        <f t="shared" si="109"/>
        <v>No</v>
      </c>
      <c r="R430" s="5">
        <f t="shared" si="111"/>
        <v>0</v>
      </c>
      <c r="S430">
        <f>MOD(A430-Fortnightly_Model!$M$1,14)</f>
        <v>1</v>
      </c>
      <c r="T430">
        <f>MOD(A430-FourWeekly_Model!$M$1,28)</f>
        <v>15</v>
      </c>
    </row>
    <row r="431" spans="1:20">
      <c r="A431" s="25">
        <f t="shared" si="110"/>
        <v>46664</v>
      </c>
      <c r="B431">
        <f t="shared" si="96"/>
        <v>2027</v>
      </c>
      <c r="C431" s="9">
        <f t="shared" si="97"/>
        <v>10</v>
      </c>
      <c r="D431" s="9" t="str">
        <f t="shared" si="98"/>
        <v>October</v>
      </c>
      <c r="E431" s="9" t="str">
        <f t="shared" si="99"/>
        <v>Oct-27</v>
      </c>
      <c r="F431" s="9" t="str">
        <f t="shared" si="100"/>
        <v>Q4</v>
      </c>
      <c r="G431" s="9">
        <f t="shared" si="101"/>
        <v>4</v>
      </c>
      <c r="H431" s="9">
        <f t="shared" si="102"/>
        <v>1</v>
      </c>
      <c r="I431" s="9" t="str">
        <f t="shared" si="103"/>
        <v>Monday</v>
      </c>
      <c r="J431" s="9" t="str">
        <f t="shared" si="104"/>
        <v>No</v>
      </c>
      <c r="K431" s="5" t="str">
        <f>IF(COUNTIF(Bank_Holidays!A:A,A431)&gt;0,"Yes","No")</f>
        <v>No</v>
      </c>
      <c r="L431" t="str">
        <f t="shared" si="105"/>
        <v>Yes</v>
      </c>
      <c r="M431">
        <f t="shared" si="106"/>
        <v>40</v>
      </c>
      <c r="N431" s="5" t="str">
        <f t="shared" si="107"/>
        <v>No</v>
      </c>
      <c r="O431" t="str">
        <f>IF(A431=WORKDAY(EOMONTH(A431,0)+1,-1,Bank_Holidays!$A$2:$A$25),"Yes","No")</f>
        <v>No</v>
      </c>
      <c r="P431" t="str">
        <f t="shared" si="108"/>
        <v>No</v>
      </c>
      <c r="Q431" t="str">
        <f t="shared" si="109"/>
        <v>No</v>
      </c>
      <c r="R431" s="5">
        <f t="shared" si="111"/>
        <v>1</v>
      </c>
      <c r="S431">
        <f>MOD(A431-Fortnightly_Model!$M$1,14)</f>
        <v>2</v>
      </c>
      <c r="T431">
        <f>MOD(A431-FourWeekly_Model!$M$1,28)</f>
        <v>16</v>
      </c>
    </row>
    <row r="432" spans="1:20">
      <c r="A432" s="25">
        <f t="shared" si="110"/>
        <v>46665</v>
      </c>
      <c r="B432">
        <f t="shared" si="96"/>
        <v>2027</v>
      </c>
      <c r="C432" s="9">
        <f t="shared" si="97"/>
        <v>10</v>
      </c>
      <c r="D432" s="9" t="str">
        <f t="shared" si="98"/>
        <v>October</v>
      </c>
      <c r="E432" s="9" t="str">
        <f t="shared" si="99"/>
        <v>Oct-27</v>
      </c>
      <c r="F432" s="9" t="str">
        <f t="shared" si="100"/>
        <v>Q4</v>
      </c>
      <c r="G432" s="9">
        <f t="shared" si="101"/>
        <v>5</v>
      </c>
      <c r="H432" s="9">
        <f t="shared" si="102"/>
        <v>2</v>
      </c>
      <c r="I432" s="9" t="str">
        <f t="shared" si="103"/>
        <v>Tuesday</v>
      </c>
      <c r="J432" s="9" t="str">
        <f t="shared" si="104"/>
        <v>No</v>
      </c>
      <c r="K432" s="5" t="str">
        <f>IF(COUNTIF(Bank_Holidays!A:A,A432)&gt;0,"Yes","No")</f>
        <v>No</v>
      </c>
      <c r="L432" t="str">
        <f t="shared" si="105"/>
        <v>Yes</v>
      </c>
      <c r="M432">
        <f t="shared" si="106"/>
        <v>40</v>
      </c>
      <c r="N432" s="5" t="str">
        <f t="shared" si="107"/>
        <v>No</v>
      </c>
      <c r="O432" t="str">
        <f>IF(A432=WORKDAY(EOMONTH(A432,0)+1,-1,Bank_Holidays!$A$2:$A$25),"Yes","No")</f>
        <v>No</v>
      </c>
      <c r="P432" t="str">
        <f t="shared" si="108"/>
        <v>No</v>
      </c>
      <c r="Q432" t="str">
        <f t="shared" si="109"/>
        <v>No</v>
      </c>
      <c r="R432" s="5">
        <f t="shared" si="111"/>
        <v>1</v>
      </c>
      <c r="S432">
        <f>MOD(A432-Fortnightly_Model!$M$1,14)</f>
        <v>3</v>
      </c>
      <c r="T432">
        <f>MOD(A432-FourWeekly_Model!$M$1,28)</f>
        <v>17</v>
      </c>
    </row>
    <row r="433" spans="1:20">
      <c r="A433" s="25">
        <f t="shared" si="110"/>
        <v>46666</v>
      </c>
      <c r="B433">
        <f t="shared" si="96"/>
        <v>2027</v>
      </c>
      <c r="C433" s="9">
        <f t="shared" si="97"/>
        <v>10</v>
      </c>
      <c r="D433" s="9" t="str">
        <f t="shared" si="98"/>
        <v>October</v>
      </c>
      <c r="E433" s="9" t="str">
        <f t="shared" si="99"/>
        <v>Oct-27</v>
      </c>
      <c r="F433" s="9" t="str">
        <f t="shared" si="100"/>
        <v>Q4</v>
      </c>
      <c r="G433" s="9">
        <f t="shared" si="101"/>
        <v>6</v>
      </c>
      <c r="H433" s="9">
        <f t="shared" si="102"/>
        <v>3</v>
      </c>
      <c r="I433" s="9" t="str">
        <f t="shared" si="103"/>
        <v>Wednesday</v>
      </c>
      <c r="J433" s="9" t="str">
        <f t="shared" si="104"/>
        <v>No</v>
      </c>
      <c r="K433" s="5" t="str">
        <f>IF(COUNTIF(Bank_Holidays!A:A,A433)&gt;0,"Yes","No")</f>
        <v>No</v>
      </c>
      <c r="L433" t="str">
        <f t="shared" si="105"/>
        <v>Yes</v>
      </c>
      <c r="M433">
        <f t="shared" si="106"/>
        <v>40</v>
      </c>
      <c r="N433" s="5" t="str">
        <f t="shared" si="107"/>
        <v>No</v>
      </c>
      <c r="O433" t="str">
        <f>IF(A433=WORKDAY(EOMONTH(A433,0)+1,-1,Bank_Holidays!$A$2:$A$25),"Yes","No")</f>
        <v>No</v>
      </c>
      <c r="P433" t="str">
        <f t="shared" si="108"/>
        <v>No</v>
      </c>
      <c r="Q433" t="str">
        <f t="shared" si="109"/>
        <v>No</v>
      </c>
      <c r="R433" s="5">
        <f t="shared" si="111"/>
        <v>1</v>
      </c>
      <c r="S433">
        <f>MOD(A433-Fortnightly_Model!$M$1,14)</f>
        <v>4</v>
      </c>
      <c r="T433">
        <f>MOD(A433-FourWeekly_Model!$M$1,28)</f>
        <v>18</v>
      </c>
    </row>
    <row r="434" spans="1:20">
      <c r="A434" s="25">
        <f t="shared" si="110"/>
        <v>46667</v>
      </c>
      <c r="B434">
        <f t="shared" si="96"/>
        <v>2027</v>
      </c>
      <c r="C434" s="9">
        <f t="shared" si="97"/>
        <v>10</v>
      </c>
      <c r="D434" s="9" t="str">
        <f t="shared" si="98"/>
        <v>October</v>
      </c>
      <c r="E434" s="9" t="str">
        <f t="shared" si="99"/>
        <v>Oct-27</v>
      </c>
      <c r="F434" s="9" t="str">
        <f t="shared" si="100"/>
        <v>Q4</v>
      </c>
      <c r="G434" s="9">
        <f t="shared" si="101"/>
        <v>7</v>
      </c>
      <c r="H434" s="9">
        <f t="shared" si="102"/>
        <v>4</v>
      </c>
      <c r="I434" s="9" t="str">
        <f t="shared" si="103"/>
        <v>Thursday</v>
      </c>
      <c r="J434" s="9" t="str">
        <f t="shared" si="104"/>
        <v>No</v>
      </c>
      <c r="K434" s="5" t="str">
        <f>IF(COUNTIF(Bank_Holidays!A:A,A434)&gt;0,"Yes","No")</f>
        <v>No</v>
      </c>
      <c r="L434" t="str">
        <f t="shared" si="105"/>
        <v>Yes</v>
      </c>
      <c r="M434">
        <f t="shared" si="106"/>
        <v>40</v>
      </c>
      <c r="N434" s="5" t="str">
        <f t="shared" si="107"/>
        <v>No</v>
      </c>
      <c r="O434" t="str">
        <f>IF(A434=WORKDAY(EOMONTH(A434,0)+1,-1,Bank_Holidays!$A$2:$A$25),"Yes","No")</f>
        <v>No</v>
      </c>
      <c r="P434" t="str">
        <f t="shared" si="108"/>
        <v>No</v>
      </c>
      <c r="Q434" t="str">
        <f t="shared" si="109"/>
        <v>No</v>
      </c>
      <c r="R434" s="5">
        <f t="shared" si="111"/>
        <v>1</v>
      </c>
      <c r="S434">
        <f>MOD(A434-Fortnightly_Model!$M$1,14)</f>
        <v>5</v>
      </c>
      <c r="T434">
        <f>MOD(A434-FourWeekly_Model!$M$1,28)</f>
        <v>19</v>
      </c>
    </row>
    <row r="435" spans="1:20">
      <c r="A435" s="25">
        <f t="shared" si="110"/>
        <v>46668</v>
      </c>
      <c r="B435">
        <f t="shared" si="96"/>
        <v>2027</v>
      </c>
      <c r="C435" s="9">
        <f t="shared" si="97"/>
        <v>10</v>
      </c>
      <c r="D435" s="9" t="str">
        <f t="shared" si="98"/>
        <v>October</v>
      </c>
      <c r="E435" s="9" t="str">
        <f t="shared" si="99"/>
        <v>Oct-27</v>
      </c>
      <c r="F435" s="9" t="str">
        <f t="shared" si="100"/>
        <v>Q4</v>
      </c>
      <c r="G435" s="9">
        <f t="shared" si="101"/>
        <v>8</v>
      </c>
      <c r="H435" s="9">
        <f t="shared" si="102"/>
        <v>5</v>
      </c>
      <c r="I435" s="9" t="str">
        <f t="shared" si="103"/>
        <v>Friday</v>
      </c>
      <c r="J435" s="9" t="str">
        <f t="shared" si="104"/>
        <v>No</v>
      </c>
      <c r="K435" s="5" t="str">
        <f>IF(COUNTIF(Bank_Holidays!A:A,A435)&gt;0,"Yes","No")</f>
        <v>No</v>
      </c>
      <c r="L435" t="str">
        <f t="shared" si="105"/>
        <v>Yes</v>
      </c>
      <c r="M435">
        <f t="shared" si="106"/>
        <v>40</v>
      </c>
      <c r="N435" s="5" t="str">
        <f t="shared" si="107"/>
        <v>No</v>
      </c>
      <c r="O435" t="str">
        <f>IF(A435=WORKDAY(EOMONTH(A435,0)+1,-1,Bank_Holidays!$A$2:$A$25),"Yes","No")</f>
        <v>No</v>
      </c>
      <c r="P435" t="str">
        <f t="shared" si="108"/>
        <v>No</v>
      </c>
      <c r="Q435" t="str">
        <f t="shared" si="109"/>
        <v>No</v>
      </c>
      <c r="R435" s="5">
        <f t="shared" si="111"/>
        <v>3</v>
      </c>
      <c r="S435">
        <f>MOD(A435-Fortnightly_Model!$M$1,14)</f>
        <v>6</v>
      </c>
      <c r="T435">
        <f>MOD(A435-FourWeekly_Model!$M$1,28)</f>
        <v>20</v>
      </c>
    </row>
    <row r="436" spans="1:20">
      <c r="A436" s="25">
        <f t="shared" si="110"/>
        <v>46669</v>
      </c>
      <c r="B436">
        <f t="shared" si="96"/>
        <v>2027</v>
      </c>
      <c r="C436" s="9">
        <f t="shared" si="97"/>
        <v>10</v>
      </c>
      <c r="D436" s="9" t="str">
        <f t="shared" si="98"/>
        <v>October</v>
      </c>
      <c r="E436" s="9" t="str">
        <f t="shared" si="99"/>
        <v>Oct-27</v>
      </c>
      <c r="F436" s="9" t="str">
        <f t="shared" si="100"/>
        <v>Q4</v>
      </c>
      <c r="G436" s="9">
        <f t="shared" si="101"/>
        <v>9</v>
      </c>
      <c r="H436" s="9">
        <f t="shared" si="102"/>
        <v>6</v>
      </c>
      <c r="I436" s="9" t="str">
        <f t="shared" si="103"/>
        <v>Saturday</v>
      </c>
      <c r="J436" s="9" t="str">
        <f t="shared" si="104"/>
        <v>Yes</v>
      </c>
      <c r="K436" s="5" t="str">
        <f>IF(COUNTIF(Bank_Holidays!A:A,A436)&gt;0,"Yes","No")</f>
        <v>No</v>
      </c>
      <c r="L436" t="str">
        <f t="shared" si="105"/>
        <v>No</v>
      </c>
      <c r="M436">
        <f t="shared" si="106"/>
        <v>40</v>
      </c>
      <c r="N436" s="5" t="str">
        <f t="shared" si="107"/>
        <v>No</v>
      </c>
      <c r="O436" t="str">
        <f>IF(A436=WORKDAY(EOMONTH(A436,0)+1,-1,Bank_Holidays!$A$2:$A$25),"Yes","No")</f>
        <v>No</v>
      </c>
      <c r="P436" t="str">
        <f t="shared" si="108"/>
        <v>No</v>
      </c>
      <c r="Q436" t="str">
        <f t="shared" si="109"/>
        <v>No</v>
      </c>
      <c r="R436" s="5">
        <f t="shared" si="111"/>
        <v>0</v>
      </c>
      <c r="S436">
        <f>MOD(A436-Fortnightly_Model!$M$1,14)</f>
        <v>7</v>
      </c>
      <c r="T436">
        <f>MOD(A436-FourWeekly_Model!$M$1,28)</f>
        <v>21</v>
      </c>
    </row>
    <row r="437" spans="1:20">
      <c r="A437" s="25">
        <f t="shared" si="110"/>
        <v>46670</v>
      </c>
      <c r="B437">
        <f t="shared" si="96"/>
        <v>2027</v>
      </c>
      <c r="C437" s="9">
        <f t="shared" si="97"/>
        <v>10</v>
      </c>
      <c r="D437" s="9" t="str">
        <f t="shared" si="98"/>
        <v>October</v>
      </c>
      <c r="E437" s="9" t="str">
        <f t="shared" si="99"/>
        <v>Oct-27</v>
      </c>
      <c r="F437" s="9" t="str">
        <f t="shared" si="100"/>
        <v>Q4</v>
      </c>
      <c r="G437" s="9">
        <f t="shared" si="101"/>
        <v>10</v>
      </c>
      <c r="H437" s="9">
        <f t="shared" si="102"/>
        <v>7</v>
      </c>
      <c r="I437" s="9" t="str">
        <f t="shared" si="103"/>
        <v>Sunday</v>
      </c>
      <c r="J437" s="9" t="str">
        <f t="shared" si="104"/>
        <v>Yes</v>
      </c>
      <c r="K437" s="5" t="str">
        <f>IF(COUNTIF(Bank_Holidays!A:A,A437)&gt;0,"Yes","No")</f>
        <v>No</v>
      </c>
      <c r="L437" t="str">
        <f t="shared" si="105"/>
        <v>No</v>
      </c>
      <c r="M437">
        <f t="shared" si="106"/>
        <v>40</v>
      </c>
      <c r="N437" s="5" t="str">
        <f t="shared" si="107"/>
        <v>No</v>
      </c>
      <c r="O437" t="str">
        <f>IF(A437=WORKDAY(EOMONTH(A437,0)+1,-1,Bank_Holidays!$A$2:$A$25),"Yes","No")</f>
        <v>No</v>
      </c>
      <c r="P437" t="str">
        <f t="shared" si="108"/>
        <v>No</v>
      </c>
      <c r="Q437" t="str">
        <f t="shared" si="109"/>
        <v>No</v>
      </c>
      <c r="R437" s="5">
        <f t="shared" si="111"/>
        <v>0</v>
      </c>
      <c r="S437">
        <f>MOD(A437-Fortnightly_Model!$M$1,14)</f>
        <v>8</v>
      </c>
      <c r="T437">
        <f>MOD(A437-FourWeekly_Model!$M$1,28)</f>
        <v>22</v>
      </c>
    </row>
    <row r="438" spans="1:20">
      <c r="A438" s="25">
        <f t="shared" si="110"/>
        <v>46671</v>
      </c>
      <c r="B438">
        <f t="shared" si="96"/>
        <v>2027</v>
      </c>
      <c r="C438" s="9">
        <f t="shared" si="97"/>
        <v>10</v>
      </c>
      <c r="D438" s="9" t="str">
        <f t="shared" si="98"/>
        <v>October</v>
      </c>
      <c r="E438" s="9" t="str">
        <f t="shared" si="99"/>
        <v>Oct-27</v>
      </c>
      <c r="F438" s="9" t="str">
        <f t="shared" si="100"/>
        <v>Q4</v>
      </c>
      <c r="G438" s="9">
        <f t="shared" si="101"/>
        <v>11</v>
      </c>
      <c r="H438" s="9">
        <f t="shared" si="102"/>
        <v>1</v>
      </c>
      <c r="I438" s="9" t="str">
        <f t="shared" si="103"/>
        <v>Monday</v>
      </c>
      <c r="J438" s="9" t="str">
        <f t="shared" si="104"/>
        <v>No</v>
      </c>
      <c r="K438" s="5" t="str">
        <f>IF(COUNTIF(Bank_Holidays!A:A,A438)&gt;0,"Yes","No")</f>
        <v>No</v>
      </c>
      <c r="L438" t="str">
        <f t="shared" si="105"/>
        <v>Yes</v>
      </c>
      <c r="M438">
        <f t="shared" si="106"/>
        <v>41</v>
      </c>
      <c r="N438" s="5" t="str">
        <f t="shared" si="107"/>
        <v>No</v>
      </c>
      <c r="O438" t="str">
        <f>IF(A438=WORKDAY(EOMONTH(A438,0)+1,-1,Bank_Holidays!$A$2:$A$25),"Yes","No")</f>
        <v>No</v>
      </c>
      <c r="P438" t="str">
        <f t="shared" si="108"/>
        <v>No</v>
      </c>
      <c r="Q438" t="str">
        <f t="shared" si="109"/>
        <v>No</v>
      </c>
      <c r="R438" s="5">
        <f t="shared" si="111"/>
        <v>1</v>
      </c>
      <c r="S438">
        <f>MOD(A438-Fortnightly_Model!$M$1,14)</f>
        <v>9</v>
      </c>
      <c r="T438">
        <f>MOD(A438-FourWeekly_Model!$M$1,28)</f>
        <v>23</v>
      </c>
    </row>
    <row r="439" spans="1:20">
      <c r="A439" s="25">
        <f t="shared" si="110"/>
        <v>46672</v>
      </c>
      <c r="B439">
        <f t="shared" si="96"/>
        <v>2027</v>
      </c>
      <c r="C439" s="9">
        <f t="shared" si="97"/>
        <v>10</v>
      </c>
      <c r="D439" s="9" t="str">
        <f t="shared" si="98"/>
        <v>October</v>
      </c>
      <c r="E439" s="9" t="str">
        <f t="shared" si="99"/>
        <v>Oct-27</v>
      </c>
      <c r="F439" s="9" t="str">
        <f t="shared" si="100"/>
        <v>Q4</v>
      </c>
      <c r="G439" s="9">
        <f t="shared" si="101"/>
        <v>12</v>
      </c>
      <c r="H439" s="9">
        <f t="shared" si="102"/>
        <v>2</v>
      </c>
      <c r="I439" s="9" t="str">
        <f t="shared" si="103"/>
        <v>Tuesday</v>
      </c>
      <c r="J439" s="9" t="str">
        <f t="shared" si="104"/>
        <v>No</v>
      </c>
      <c r="K439" s="5" t="str">
        <f>IF(COUNTIF(Bank_Holidays!A:A,A439)&gt;0,"Yes","No")</f>
        <v>No</v>
      </c>
      <c r="L439" t="str">
        <f t="shared" si="105"/>
        <v>Yes</v>
      </c>
      <c r="M439">
        <f t="shared" si="106"/>
        <v>41</v>
      </c>
      <c r="N439" s="5" t="str">
        <f t="shared" si="107"/>
        <v>No</v>
      </c>
      <c r="O439" t="str">
        <f>IF(A439=WORKDAY(EOMONTH(A439,0)+1,-1,Bank_Holidays!$A$2:$A$25),"Yes","No")</f>
        <v>No</v>
      </c>
      <c r="P439" t="str">
        <f t="shared" si="108"/>
        <v>No</v>
      </c>
      <c r="Q439" t="str">
        <f t="shared" si="109"/>
        <v>No</v>
      </c>
      <c r="R439" s="5">
        <f t="shared" si="111"/>
        <v>1</v>
      </c>
      <c r="S439">
        <f>MOD(A439-Fortnightly_Model!$M$1,14)</f>
        <v>10</v>
      </c>
      <c r="T439">
        <f>MOD(A439-FourWeekly_Model!$M$1,28)</f>
        <v>24</v>
      </c>
    </row>
    <row r="440" spans="1:20">
      <c r="A440" s="25">
        <f t="shared" si="110"/>
        <v>46673</v>
      </c>
      <c r="B440">
        <f t="shared" si="96"/>
        <v>2027</v>
      </c>
      <c r="C440" s="9">
        <f t="shared" si="97"/>
        <v>10</v>
      </c>
      <c r="D440" s="9" t="str">
        <f t="shared" si="98"/>
        <v>October</v>
      </c>
      <c r="E440" s="9" t="str">
        <f t="shared" si="99"/>
        <v>Oct-27</v>
      </c>
      <c r="F440" s="9" t="str">
        <f t="shared" si="100"/>
        <v>Q4</v>
      </c>
      <c r="G440" s="9">
        <f t="shared" si="101"/>
        <v>13</v>
      </c>
      <c r="H440" s="9">
        <f t="shared" si="102"/>
        <v>3</v>
      </c>
      <c r="I440" s="9" t="str">
        <f t="shared" si="103"/>
        <v>Wednesday</v>
      </c>
      <c r="J440" s="9" t="str">
        <f t="shared" si="104"/>
        <v>No</v>
      </c>
      <c r="K440" s="5" t="str">
        <f>IF(COUNTIF(Bank_Holidays!A:A,A440)&gt;0,"Yes","No")</f>
        <v>No</v>
      </c>
      <c r="L440" t="str">
        <f t="shared" si="105"/>
        <v>Yes</v>
      </c>
      <c r="M440">
        <f t="shared" si="106"/>
        <v>41</v>
      </c>
      <c r="N440" s="5" t="str">
        <f t="shared" si="107"/>
        <v>No</v>
      </c>
      <c r="O440" t="str">
        <f>IF(A440=WORKDAY(EOMONTH(A440,0)+1,-1,Bank_Holidays!$A$2:$A$25),"Yes","No")</f>
        <v>No</v>
      </c>
      <c r="P440" t="str">
        <f t="shared" si="108"/>
        <v>No</v>
      </c>
      <c r="Q440" t="str">
        <f t="shared" si="109"/>
        <v>No</v>
      </c>
      <c r="R440" s="5">
        <f t="shared" si="111"/>
        <v>1</v>
      </c>
      <c r="S440">
        <f>MOD(A440-Fortnightly_Model!$M$1,14)</f>
        <v>11</v>
      </c>
      <c r="T440">
        <f>MOD(A440-FourWeekly_Model!$M$1,28)</f>
        <v>25</v>
      </c>
    </row>
    <row r="441" spans="1:20">
      <c r="A441" s="25">
        <f t="shared" si="110"/>
        <v>46674</v>
      </c>
      <c r="B441">
        <f t="shared" si="96"/>
        <v>2027</v>
      </c>
      <c r="C441" s="9">
        <f t="shared" si="97"/>
        <v>10</v>
      </c>
      <c r="D441" s="9" t="str">
        <f t="shared" si="98"/>
        <v>October</v>
      </c>
      <c r="E441" s="9" t="str">
        <f t="shared" si="99"/>
        <v>Oct-27</v>
      </c>
      <c r="F441" s="9" t="str">
        <f t="shared" si="100"/>
        <v>Q4</v>
      </c>
      <c r="G441" s="9">
        <f t="shared" si="101"/>
        <v>14</v>
      </c>
      <c r="H441" s="9">
        <f t="shared" si="102"/>
        <v>4</v>
      </c>
      <c r="I441" s="9" t="str">
        <f t="shared" si="103"/>
        <v>Thursday</v>
      </c>
      <c r="J441" s="9" t="str">
        <f t="shared" si="104"/>
        <v>No</v>
      </c>
      <c r="K441" s="5" t="str">
        <f>IF(COUNTIF(Bank_Holidays!A:A,A441)&gt;0,"Yes","No")</f>
        <v>No</v>
      </c>
      <c r="L441" t="str">
        <f t="shared" si="105"/>
        <v>Yes</v>
      </c>
      <c r="M441">
        <f t="shared" si="106"/>
        <v>41</v>
      </c>
      <c r="N441" s="5" t="str">
        <f t="shared" si="107"/>
        <v>No</v>
      </c>
      <c r="O441" t="str">
        <f>IF(A441=WORKDAY(EOMONTH(A441,0)+1,-1,Bank_Holidays!$A$2:$A$25),"Yes","No")</f>
        <v>No</v>
      </c>
      <c r="P441" t="str">
        <f t="shared" si="108"/>
        <v>No</v>
      </c>
      <c r="Q441" t="str">
        <f t="shared" si="109"/>
        <v>No</v>
      </c>
      <c r="R441" s="5">
        <f t="shared" si="111"/>
        <v>1</v>
      </c>
      <c r="S441">
        <f>MOD(A441-Fortnightly_Model!$M$1,14)</f>
        <v>12</v>
      </c>
      <c r="T441">
        <f>MOD(A441-FourWeekly_Model!$M$1,28)</f>
        <v>26</v>
      </c>
    </row>
    <row r="442" spans="1:20">
      <c r="A442" s="25">
        <f t="shared" si="110"/>
        <v>46675</v>
      </c>
      <c r="B442">
        <f t="shared" si="96"/>
        <v>2027</v>
      </c>
      <c r="C442" s="9">
        <f t="shared" si="97"/>
        <v>10</v>
      </c>
      <c r="D442" s="9" t="str">
        <f t="shared" si="98"/>
        <v>October</v>
      </c>
      <c r="E442" s="9" t="str">
        <f t="shared" si="99"/>
        <v>Oct-27</v>
      </c>
      <c r="F442" s="9" t="str">
        <f t="shared" si="100"/>
        <v>Q4</v>
      </c>
      <c r="G442" s="9">
        <f t="shared" si="101"/>
        <v>15</v>
      </c>
      <c r="H442" s="9">
        <f t="shared" si="102"/>
        <v>5</v>
      </c>
      <c r="I442" s="9" t="str">
        <f t="shared" si="103"/>
        <v>Friday</v>
      </c>
      <c r="J442" s="9" t="str">
        <f t="shared" si="104"/>
        <v>No</v>
      </c>
      <c r="K442" s="5" t="str">
        <f>IF(COUNTIF(Bank_Holidays!A:A,A442)&gt;0,"Yes","No")</f>
        <v>No</v>
      </c>
      <c r="L442" t="str">
        <f t="shared" si="105"/>
        <v>Yes</v>
      </c>
      <c r="M442">
        <f t="shared" si="106"/>
        <v>41</v>
      </c>
      <c r="N442" s="5" t="str">
        <f t="shared" si="107"/>
        <v>No</v>
      </c>
      <c r="O442" t="str">
        <f>IF(A442=WORKDAY(EOMONTH(A442,0)+1,-1,Bank_Holidays!$A$2:$A$25),"Yes","No")</f>
        <v>No</v>
      </c>
      <c r="P442" t="str">
        <f t="shared" si="108"/>
        <v>No</v>
      </c>
      <c r="Q442" t="str">
        <f t="shared" si="109"/>
        <v>No</v>
      </c>
      <c r="R442" s="5">
        <f t="shared" si="111"/>
        <v>3</v>
      </c>
      <c r="S442">
        <f>MOD(A442-Fortnightly_Model!$M$1,14)</f>
        <v>13</v>
      </c>
      <c r="T442">
        <f>MOD(A442-FourWeekly_Model!$M$1,28)</f>
        <v>27</v>
      </c>
    </row>
    <row r="443" spans="1:20">
      <c r="A443" s="25">
        <f t="shared" si="110"/>
        <v>46676</v>
      </c>
      <c r="B443">
        <f t="shared" si="96"/>
        <v>2027</v>
      </c>
      <c r="C443" s="9">
        <f t="shared" si="97"/>
        <v>10</v>
      </c>
      <c r="D443" s="9" t="str">
        <f t="shared" si="98"/>
        <v>October</v>
      </c>
      <c r="E443" s="9" t="str">
        <f t="shared" si="99"/>
        <v>Oct-27</v>
      </c>
      <c r="F443" s="9" t="str">
        <f t="shared" si="100"/>
        <v>Q4</v>
      </c>
      <c r="G443" s="9">
        <f t="shared" si="101"/>
        <v>16</v>
      </c>
      <c r="H443" s="9">
        <f t="shared" si="102"/>
        <v>6</v>
      </c>
      <c r="I443" s="9" t="str">
        <f t="shared" si="103"/>
        <v>Saturday</v>
      </c>
      <c r="J443" s="9" t="str">
        <f t="shared" si="104"/>
        <v>Yes</v>
      </c>
      <c r="K443" s="5" t="str">
        <f>IF(COUNTIF(Bank_Holidays!A:A,A443)&gt;0,"Yes","No")</f>
        <v>No</v>
      </c>
      <c r="L443" t="str">
        <f t="shared" si="105"/>
        <v>No</v>
      </c>
      <c r="M443">
        <f t="shared" si="106"/>
        <v>41</v>
      </c>
      <c r="N443" s="5" t="str">
        <f t="shared" si="107"/>
        <v>No</v>
      </c>
      <c r="O443" t="str">
        <f>IF(A443=WORKDAY(EOMONTH(A443,0)+1,-1,Bank_Holidays!$A$2:$A$25),"Yes","No")</f>
        <v>No</v>
      </c>
      <c r="P443" t="str">
        <f t="shared" si="108"/>
        <v>No</v>
      </c>
      <c r="Q443" t="str">
        <f t="shared" si="109"/>
        <v>No</v>
      </c>
      <c r="R443" s="5">
        <f t="shared" si="111"/>
        <v>0</v>
      </c>
      <c r="S443">
        <f>MOD(A443-Fortnightly_Model!$M$1,14)</f>
        <v>0</v>
      </c>
      <c r="T443">
        <f>MOD(A443-FourWeekly_Model!$M$1,28)</f>
        <v>0</v>
      </c>
    </row>
    <row r="444" spans="1:20">
      <c r="A444" s="25">
        <f t="shared" si="110"/>
        <v>46677</v>
      </c>
      <c r="B444">
        <f t="shared" si="96"/>
        <v>2027</v>
      </c>
      <c r="C444" s="9">
        <f t="shared" si="97"/>
        <v>10</v>
      </c>
      <c r="D444" s="9" t="str">
        <f t="shared" si="98"/>
        <v>October</v>
      </c>
      <c r="E444" s="9" t="str">
        <f t="shared" si="99"/>
        <v>Oct-27</v>
      </c>
      <c r="F444" s="9" t="str">
        <f t="shared" si="100"/>
        <v>Q4</v>
      </c>
      <c r="G444" s="9">
        <f t="shared" si="101"/>
        <v>17</v>
      </c>
      <c r="H444" s="9">
        <f t="shared" si="102"/>
        <v>7</v>
      </c>
      <c r="I444" s="9" t="str">
        <f t="shared" si="103"/>
        <v>Sunday</v>
      </c>
      <c r="J444" s="9" t="str">
        <f t="shared" si="104"/>
        <v>Yes</v>
      </c>
      <c r="K444" s="5" t="str">
        <f>IF(COUNTIF(Bank_Holidays!A:A,A444)&gt;0,"Yes","No")</f>
        <v>No</v>
      </c>
      <c r="L444" t="str">
        <f t="shared" si="105"/>
        <v>No</v>
      </c>
      <c r="M444">
        <f t="shared" si="106"/>
        <v>41</v>
      </c>
      <c r="N444" s="5" t="str">
        <f t="shared" si="107"/>
        <v>No</v>
      </c>
      <c r="O444" t="str">
        <f>IF(A444=WORKDAY(EOMONTH(A444,0)+1,-1,Bank_Holidays!$A$2:$A$25),"Yes","No")</f>
        <v>No</v>
      </c>
      <c r="P444" t="str">
        <f t="shared" si="108"/>
        <v>No</v>
      </c>
      <c r="Q444" t="str">
        <f t="shared" si="109"/>
        <v>No</v>
      </c>
      <c r="R444" s="5">
        <f t="shared" si="111"/>
        <v>0</v>
      </c>
      <c r="S444">
        <f>MOD(A444-Fortnightly_Model!$M$1,14)</f>
        <v>1</v>
      </c>
      <c r="T444">
        <f>MOD(A444-FourWeekly_Model!$M$1,28)</f>
        <v>1</v>
      </c>
    </row>
    <row r="445" spans="1:20">
      <c r="A445" s="25">
        <f t="shared" si="110"/>
        <v>46678</v>
      </c>
      <c r="B445">
        <f t="shared" si="96"/>
        <v>2027</v>
      </c>
      <c r="C445" s="9">
        <f t="shared" si="97"/>
        <v>10</v>
      </c>
      <c r="D445" s="9" t="str">
        <f t="shared" si="98"/>
        <v>October</v>
      </c>
      <c r="E445" s="9" t="str">
        <f t="shared" si="99"/>
        <v>Oct-27</v>
      </c>
      <c r="F445" s="9" t="str">
        <f t="shared" si="100"/>
        <v>Q4</v>
      </c>
      <c r="G445" s="9">
        <f t="shared" si="101"/>
        <v>18</v>
      </c>
      <c r="H445" s="9">
        <f t="shared" si="102"/>
        <v>1</v>
      </c>
      <c r="I445" s="9" t="str">
        <f t="shared" si="103"/>
        <v>Monday</v>
      </c>
      <c r="J445" s="9" t="str">
        <f t="shared" si="104"/>
        <v>No</v>
      </c>
      <c r="K445" s="5" t="str">
        <f>IF(COUNTIF(Bank_Holidays!A:A,A445)&gt;0,"Yes","No")</f>
        <v>No</v>
      </c>
      <c r="L445" t="str">
        <f t="shared" si="105"/>
        <v>Yes</v>
      </c>
      <c r="M445">
        <f t="shared" si="106"/>
        <v>42</v>
      </c>
      <c r="N445" s="5" t="str">
        <f t="shared" si="107"/>
        <v>No</v>
      </c>
      <c r="O445" t="str">
        <f>IF(A445=WORKDAY(EOMONTH(A445,0)+1,-1,Bank_Holidays!$A$2:$A$25),"Yes","No")</f>
        <v>No</v>
      </c>
      <c r="P445" t="str">
        <f t="shared" si="108"/>
        <v>No</v>
      </c>
      <c r="Q445" t="str">
        <f t="shared" si="109"/>
        <v>No</v>
      </c>
      <c r="R445" s="5">
        <f t="shared" si="111"/>
        <v>1</v>
      </c>
      <c r="S445">
        <f>MOD(A445-Fortnightly_Model!$M$1,14)</f>
        <v>2</v>
      </c>
      <c r="T445">
        <f>MOD(A445-FourWeekly_Model!$M$1,28)</f>
        <v>2</v>
      </c>
    </row>
    <row r="446" spans="1:20">
      <c r="A446" s="25">
        <f t="shared" si="110"/>
        <v>46679</v>
      </c>
      <c r="B446">
        <f t="shared" si="96"/>
        <v>2027</v>
      </c>
      <c r="C446" s="9">
        <f t="shared" si="97"/>
        <v>10</v>
      </c>
      <c r="D446" s="9" t="str">
        <f t="shared" si="98"/>
        <v>October</v>
      </c>
      <c r="E446" s="9" t="str">
        <f t="shared" si="99"/>
        <v>Oct-27</v>
      </c>
      <c r="F446" s="9" t="str">
        <f t="shared" si="100"/>
        <v>Q4</v>
      </c>
      <c r="G446" s="9">
        <f t="shared" si="101"/>
        <v>19</v>
      </c>
      <c r="H446" s="9">
        <f t="shared" si="102"/>
        <v>2</v>
      </c>
      <c r="I446" s="9" t="str">
        <f t="shared" si="103"/>
        <v>Tuesday</v>
      </c>
      <c r="J446" s="9" t="str">
        <f t="shared" si="104"/>
        <v>No</v>
      </c>
      <c r="K446" s="5" t="str">
        <f>IF(COUNTIF(Bank_Holidays!A:A,A446)&gt;0,"Yes","No")</f>
        <v>No</v>
      </c>
      <c r="L446" t="str">
        <f t="shared" si="105"/>
        <v>Yes</v>
      </c>
      <c r="M446">
        <f t="shared" si="106"/>
        <v>42</v>
      </c>
      <c r="N446" s="5" t="str">
        <f t="shared" si="107"/>
        <v>No</v>
      </c>
      <c r="O446" t="str">
        <f>IF(A446=WORKDAY(EOMONTH(A446,0)+1,-1,Bank_Holidays!$A$2:$A$25),"Yes","No")</f>
        <v>No</v>
      </c>
      <c r="P446" t="str">
        <f t="shared" si="108"/>
        <v>No</v>
      </c>
      <c r="Q446" t="str">
        <f t="shared" si="109"/>
        <v>No</v>
      </c>
      <c r="R446" s="5">
        <f t="shared" si="111"/>
        <v>1</v>
      </c>
      <c r="S446">
        <f>MOD(A446-Fortnightly_Model!$M$1,14)</f>
        <v>3</v>
      </c>
      <c r="T446">
        <f>MOD(A446-FourWeekly_Model!$M$1,28)</f>
        <v>3</v>
      </c>
    </row>
    <row r="447" spans="1:20">
      <c r="A447" s="25">
        <f t="shared" si="110"/>
        <v>46680</v>
      </c>
      <c r="B447">
        <f t="shared" si="96"/>
        <v>2027</v>
      </c>
      <c r="C447" s="9">
        <f t="shared" si="97"/>
        <v>10</v>
      </c>
      <c r="D447" s="9" t="str">
        <f t="shared" si="98"/>
        <v>October</v>
      </c>
      <c r="E447" s="9" t="str">
        <f t="shared" si="99"/>
        <v>Oct-27</v>
      </c>
      <c r="F447" s="9" t="str">
        <f t="shared" si="100"/>
        <v>Q4</v>
      </c>
      <c r="G447" s="9">
        <f t="shared" si="101"/>
        <v>20</v>
      </c>
      <c r="H447" s="9">
        <f t="shared" si="102"/>
        <v>3</v>
      </c>
      <c r="I447" s="9" t="str">
        <f t="shared" si="103"/>
        <v>Wednesday</v>
      </c>
      <c r="J447" s="9" t="str">
        <f t="shared" si="104"/>
        <v>No</v>
      </c>
      <c r="K447" s="5" t="str">
        <f>IF(COUNTIF(Bank_Holidays!A:A,A447)&gt;0,"Yes","No")</f>
        <v>No</v>
      </c>
      <c r="L447" t="str">
        <f t="shared" si="105"/>
        <v>Yes</v>
      </c>
      <c r="M447">
        <f t="shared" si="106"/>
        <v>42</v>
      </c>
      <c r="N447" s="5" t="str">
        <f t="shared" si="107"/>
        <v>No</v>
      </c>
      <c r="O447" t="str">
        <f>IF(A447=WORKDAY(EOMONTH(A447,0)+1,-1,Bank_Holidays!$A$2:$A$25),"Yes","No")</f>
        <v>No</v>
      </c>
      <c r="P447" t="str">
        <f t="shared" si="108"/>
        <v>No</v>
      </c>
      <c r="Q447" t="str">
        <f t="shared" si="109"/>
        <v>No</v>
      </c>
      <c r="R447" s="5">
        <f t="shared" si="111"/>
        <v>1</v>
      </c>
      <c r="S447">
        <f>MOD(A447-Fortnightly_Model!$M$1,14)</f>
        <v>4</v>
      </c>
      <c r="T447">
        <f>MOD(A447-FourWeekly_Model!$M$1,28)</f>
        <v>4</v>
      </c>
    </row>
    <row r="448" spans="1:20">
      <c r="A448" s="25">
        <f t="shared" si="110"/>
        <v>46681</v>
      </c>
      <c r="B448">
        <f t="shared" si="96"/>
        <v>2027</v>
      </c>
      <c r="C448" s="9">
        <f t="shared" si="97"/>
        <v>10</v>
      </c>
      <c r="D448" s="9" t="str">
        <f t="shared" si="98"/>
        <v>October</v>
      </c>
      <c r="E448" s="9" t="str">
        <f t="shared" si="99"/>
        <v>Oct-27</v>
      </c>
      <c r="F448" s="9" t="str">
        <f t="shared" si="100"/>
        <v>Q4</v>
      </c>
      <c r="G448" s="9">
        <f t="shared" si="101"/>
        <v>21</v>
      </c>
      <c r="H448" s="9">
        <f t="shared" si="102"/>
        <v>4</v>
      </c>
      <c r="I448" s="9" t="str">
        <f t="shared" si="103"/>
        <v>Thursday</v>
      </c>
      <c r="J448" s="9" t="str">
        <f t="shared" si="104"/>
        <v>No</v>
      </c>
      <c r="K448" s="5" t="str">
        <f>IF(COUNTIF(Bank_Holidays!A:A,A448)&gt;0,"Yes","No")</f>
        <v>No</v>
      </c>
      <c r="L448" t="str">
        <f t="shared" si="105"/>
        <v>Yes</v>
      </c>
      <c r="M448">
        <f t="shared" si="106"/>
        <v>42</v>
      </c>
      <c r="N448" s="5" t="str">
        <f t="shared" si="107"/>
        <v>No</v>
      </c>
      <c r="O448" t="str">
        <f>IF(A448=WORKDAY(EOMONTH(A448,0)+1,-1,Bank_Holidays!$A$2:$A$25),"Yes","No")</f>
        <v>No</v>
      </c>
      <c r="P448" t="str">
        <f t="shared" si="108"/>
        <v>No</v>
      </c>
      <c r="Q448" t="str">
        <f t="shared" si="109"/>
        <v>No</v>
      </c>
      <c r="R448" s="5">
        <f t="shared" si="111"/>
        <v>1</v>
      </c>
      <c r="S448">
        <f>MOD(A448-Fortnightly_Model!$M$1,14)</f>
        <v>5</v>
      </c>
      <c r="T448">
        <f>MOD(A448-FourWeekly_Model!$M$1,28)</f>
        <v>5</v>
      </c>
    </row>
    <row r="449" spans="1:20">
      <c r="A449" s="25">
        <f t="shared" si="110"/>
        <v>46682</v>
      </c>
      <c r="B449">
        <f t="shared" si="96"/>
        <v>2027</v>
      </c>
      <c r="C449" s="9">
        <f t="shared" si="97"/>
        <v>10</v>
      </c>
      <c r="D449" s="9" t="str">
        <f t="shared" si="98"/>
        <v>October</v>
      </c>
      <c r="E449" s="9" t="str">
        <f t="shared" si="99"/>
        <v>Oct-27</v>
      </c>
      <c r="F449" s="9" t="str">
        <f t="shared" si="100"/>
        <v>Q4</v>
      </c>
      <c r="G449" s="9">
        <f t="shared" si="101"/>
        <v>22</v>
      </c>
      <c r="H449" s="9">
        <f t="shared" si="102"/>
        <v>5</v>
      </c>
      <c r="I449" s="9" t="str">
        <f t="shared" si="103"/>
        <v>Friday</v>
      </c>
      <c r="J449" s="9" t="str">
        <f t="shared" si="104"/>
        <v>No</v>
      </c>
      <c r="K449" s="5" t="str">
        <f>IF(COUNTIF(Bank_Holidays!A:A,A449)&gt;0,"Yes","No")</f>
        <v>No</v>
      </c>
      <c r="L449" t="str">
        <f t="shared" si="105"/>
        <v>Yes</v>
      </c>
      <c r="M449">
        <f t="shared" si="106"/>
        <v>42</v>
      </c>
      <c r="N449" s="5" t="str">
        <f t="shared" si="107"/>
        <v>No</v>
      </c>
      <c r="O449" t="str">
        <f>IF(A449=WORKDAY(EOMONTH(A449,0)+1,-1,Bank_Holidays!$A$2:$A$25),"Yes","No")</f>
        <v>No</v>
      </c>
      <c r="P449" t="str">
        <f t="shared" si="108"/>
        <v>No</v>
      </c>
      <c r="Q449" t="str">
        <f t="shared" si="109"/>
        <v>No</v>
      </c>
      <c r="R449" s="5">
        <f t="shared" si="111"/>
        <v>3</v>
      </c>
      <c r="S449">
        <f>MOD(A449-Fortnightly_Model!$M$1,14)</f>
        <v>6</v>
      </c>
      <c r="T449">
        <f>MOD(A449-FourWeekly_Model!$M$1,28)</f>
        <v>6</v>
      </c>
    </row>
    <row r="450" spans="1:20">
      <c r="A450" s="25">
        <f t="shared" si="110"/>
        <v>46683</v>
      </c>
      <c r="B450">
        <f t="shared" ref="B450:B513" si="112">YEAR(A450)</f>
        <v>2027</v>
      </c>
      <c r="C450" s="9">
        <f t="shared" ref="C450:C513" si="113">MONTH(A450)</f>
        <v>10</v>
      </c>
      <c r="D450" s="9" t="str">
        <f t="shared" ref="D450:D513" si="114">TEXT(A450,"mmmm")</f>
        <v>October</v>
      </c>
      <c r="E450" s="9" t="str">
        <f t="shared" ref="E450:E513" si="115">TEXT(A450,"mmm-yy")</f>
        <v>Oct-27</v>
      </c>
      <c r="F450" s="9" t="str">
        <f t="shared" ref="F450:F513" si="116">"Q"&amp;ROUNDUP(MONTH($A450)/3,0)</f>
        <v>Q4</v>
      </c>
      <c r="G450" s="9">
        <f t="shared" ref="G450:G513" si="117">DAY($A450)</f>
        <v>23</v>
      </c>
      <c r="H450" s="9">
        <f t="shared" ref="H450:H513" si="118">WEEKDAY($A450,2)</f>
        <v>6</v>
      </c>
      <c r="I450" s="9" t="str">
        <f t="shared" ref="I450:I513" si="119">TEXT($A450,"dddd")</f>
        <v>Saturday</v>
      </c>
      <c r="J450" s="9" t="str">
        <f t="shared" ref="J450:J513" si="120">IF($H450&gt;5,"Yes","No")</f>
        <v>Yes</v>
      </c>
      <c r="K450" s="5" t="str">
        <f>IF(COUNTIF(Bank_Holidays!A:A,A450)&gt;0,"Yes","No")</f>
        <v>No</v>
      </c>
      <c r="L450" t="str">
        <f t="shared" ref="L450:L513" si="121">IF(AND(J450="No",K450="No"),"Yes","No")</f>
        <v>No</v>
      </c>
      <c r="M450">
        <f t="shared" ref="M450:M513" si="122">_xlfn.ISOWEEKNUM(A450)</f>
        <v>42</v>
      </c>
      <c r="N450" s="5" t="str">
        <f t="shared" ref="N450:N513" si="123">IF(A450=EOMONTH(A450,0),"Yes","No")</f>
        <v>No</v>
      </c>
      <c r="O450" t="str">
        <f>IF(A450=WORKDAY(EOMONTH(A450,0)+1,-1,Bank_Holidays!$A$2:$A$25),"Yes","No")</f>
        <v>No</v>
      </c>
      <c r="P450" t="str">
        <f t="shared" ref="P450:P513" si="124">IF(
AND(
TEXT(A450,"dddd")="Friday",
MONTH(A450+7)&lt;&gt;MONTH(A450)
),
"Yes",
"No"
)</f>
        <v>No</v>
      </c>
      <c r="Q450" t="str">
        <f t="shared" ref="Q450:Q513" si="125">IF(
AND(
TEXT(A450,"dddd")="Thursday",
MONTH(A450+7)&lt;&gt;MONTH(A450)
),
"Yes",
"No"
)</f>
        <v>No</v>
      </c>
      <c r="R450" s="5">
        <f t="shared" si="111"/>
        <v>0</v>
      </c>
      <c r="S450">
        <f>MOD(A450-Fortnightly_Model!$M$1,14)</f>
        <v>7</v>
      </c>
      <c r="T450">
        <f>MOD(A450-FourWeekly_Model!$M$1,28)</f>
        <v>7</v>
      </c>
    </row>
    <row r="451" spans="1:20">
      <c r="A451" s="25">
        <f t="shared" ref="A451:A514" si="126">A450+1</f>
        <v>46684</v>
      </c>
      <c r="B451">
        <f t="shared" si="112"/>
        <v>2027</v>
      </c>
      <c r="C451" s="9">
        <f t="shared" si="113"/>
        <v>10</v>
      </c>
      <c r="D451" s="9" t="str">
        <f t="shared" si="114"/>
        <v>October</v>
      </c>
      <c r="E451" s="9" t="str">
        <f t="shared" si="115"/>
        <v>Oct-27</v>
      </c>
      <c r="F451" s="9" t="str">
        <f t="shared" si="116"/>
        <v>Q4</v>
      </c>
      <c r="G451" s="9">
        <f t="shared" si="117"/>
        <v>24</v>
      </c>
      <c r="H451" s="9">
        <f t="shared" si="118"/>
        <v>7</v>
      </c>
      <c r="I451" s="9" t="str">
        <f t="shared" si="119"/>
        <v>Sunday</v>
      </c>
      <c r="J451" s="9" t="str">
        <f t="shared" si="120"/>
        <v>Yes</v>
      </c>
      <c r="K451" s="5" t="str">
        <f>IF(COUNTIF(Bank_Holidays!A:A,A451)&gt;0,"Yes","No")</f>
        <v>No</v>
      </c>
      <c r="L451" t="str">
        <f t="shared" si="121"/>
        <v>No</v>
      </c>
      <c r="M451">
        <f t="shared" si="122"/>
        <v>42</v>
      </c>
      <c r="N451" s="5" t="str">
        <f t="shared" si="123"/>
        <v>No</v>
      </c>
      <c r="O451" t="str">
        <f>IF(A451=WORKDAY(EOMONTH(A451,0)+1,-1,Bank_Holidays!$A$2:$A$25),"Yes","No")</f>
        <v>No</v>
      </c>
      <c r="P451" t="str">
        <f t="shared" si="124"/>
        <v>No</v>
      </c>
      <c r="Q451" t="str">
        <f t="shared" si="125"/>
        <v>No</v>
      </c>
      <c r="R451" s="5">
        <f t="shared" ref="R451:R514" si="127">IF(L451="yes",1)+IF(L451="no",0,IF(AND(L456="no",L455="no",L454="no",L453="no",L452="no"),5,IF(AND(L455="no",L454="no",L453="no",L452="no"),4,IF(AND(L454="no",L453="no",L452="no"),3,IF(AND(L453="no",L452="no"),2,IF(L452="no",1))))))</f>
        <v>0</v>
      </c>
      <c r="S451">
        <f>MOD(A451-Fortnightly_Model!$M$1,14)</f>
        <v>8</v>
      </c>
      <c r="T451">
        <f>MOD(A451-FourWeekly_Model!$M$1,28)</f>
        <v>8</v>
      </c>
    </row>
    <row r="452" spans="1:20">
      <c r="A452" s="25">
        <f t="shared" si="126"/>
        <v>46685</v>
      </c>
      <c r="B452">
        <f t="shared" si="112"/>
        <v>2027</v>
      </c>
      <c r="C452" s="9">
        <f t="shared" si="113"/>
        <v>10</v>
      </c>
      <c r="D452" s="9" t="str">
        <f t="shared" si="114"/>
        <v>October</v>
      </c>
      <c r="E452" s="9" t="str">
        <f t="shared" si="115"/>
        <v>Oct-27</v>
      </c>
      <c r="F452" s="9" t="str">
        <f t="shared" si="116"/>
        <v>Q4</v>
      </c>
      <c r="G452" s="9">
        <f t="shared" si="117"/>
        <v>25</v>
      </c>
      <c r="H452" s="9">
        <f t="shared" si="118"/>
        <v>1</v>
      </c>
      <c r="I452" s="9" t="str">
        <f t="shared" si="119"/>
        <v>Monday</v>
      </c>
      <c r="J452" s="9" t="str">
        <f t="shared" si="120"/>
        <v>No</v>
      </c>
      <c r="K452" s="5" t="str">
        <f>IF(COUNTIF(Bank_Holidays!A:A,A452)&gt;0,"Yes","No")</f>
        <v>No</v>
      </c>
      <c r="L452" t="str">
        <f t="shared" si="121"/>
        <v>Yes</v>
      </c>
      <c r="M452">
        <f t="shared" si="122"/>
        <v>43</v>
      </c>
      <c r="N452" s="5" t="str">
        <f t="shared" si="123"/>
        <v>No</v>
      </c>
      <c r="O452" t="str">
        <f>IF(A452=WORKDAY(EOMONTH(A452,0)+1,-1,Bank_Holidays!$A$2:$A$25),"Yes","No")</f>
        <v>No</v>
      </c>
      <c r="P452" t="str">
        <f t="shared" si="124"/>
        <v>No</v>
      </c>
      <c r="Q452" t="str">
        <f t="shared" si="125"/>
        <v>No</v>
      </c>
      <c r="R452" s="5">
        <f t="shared" si="127"/>
        <v>1</v>
      </c>
      <c r="S452">
        <f>MOD(A452-Fortnightly_Model!$M$1,14)</f>
        <v>9</v>
      </c>
      <c r="T452">
        <f>MOD(A452-FourWeekly_Model!$M$1,28)</f>
        <v>9</v>
      </c>
    </row>
    <row r="453" spans="1:20">
      <c r="A453" s="25">
        <f t="shared" si="126"/>
        <v>46686</v>
      </c>
      <c r="B453">
        <f t="shared" si="112"/>
        <v>2027</v>
      </c>
      <c r="C453" s="9">
        <f t="shared" si="113"/>
        <v>10</v>
      </c>
      <c r="D453" s="9" t="str">
        <f t="shared" si="114"/>
        <v>October</v>
      </c>
      <c r="E453" s="9" t="str">
        <f t="shared" si="115"/>
        <v>Oct-27</v>
      </c>
      <c r="F453" s="9" t="str">
        <f t="shared" si="116"/>
        <v>Q4</v>
      </c>
      <c r="G453" s="9">
        <f t="shared" si="117"/>
        <v>26</v>
      </c>
      <c r="H453" s="9">
        <f t="shared" si="118"/>
        <v>2</v>
      </c>
      <c r="I453" s="9" t="str">
        <f t="shared" si="119"/>
        <v>Tuesday</v>
      </c>
      <c r="J453" s="9" t="str">
        <f t="shared" si="120"/>
        <v>No</v>
      </c>
      <c r="K453" s="5" t="str">
        <f>IF(COUNTIF(Bank_Holidays!A:A,A453)&gt;0,"Yes","No")</f>
        <v>No</v>
      </c>
      <c r="L453" t="str">
        <f t="shared" si="121"/>
        <v>Yes</v>
      </c>
      <c r="M453">
        <f t="shared" si="122"/>
        <v>43</v>
      </c>
      <c r="N453" s="5" t="str">
        <f t="shared" si="123"/>
        <v>No</v>
      </c>
      <c r="O453" t="str">
        <f>IF(A453=WORKDAY(EOMONTH(A453,0)+1,-1,Bank_Holidays!$A$2:$A$25),"Yes","No")</f>
        <v>No</v>
      </c>
      <c r="P453" t="str">
        <f t="shared" si="124"/>
        <v>No</v>
      </c>
      <c r="Q453" t="str">
        <f t="shared" si="125"/>
        <v>No</v>
      </c>
      <c r="R453" s="5">
        <f t="shared" si="127"/>
        <v>1</v>
      </c>
      <c r="S453">
        <f>MOD(A453-Fortnightly_Model!$M$1,14)</f>
        <v>10</v>
      </c>
      <c r="T453">
        <f>MOD(A453-FourWeekly_Model!$M$1,28)</f>
        <v>10</v>
      </c>
    </row>
    <row r="454" spans="1:20">
      <c r="A454" s="25">
        <f t="shared" si="126"/>
        <v>46687</v>
      </c>
      <c r="B454">
        <f t="shared" si="112"/>
        <v>2027</v>
      </c>
      <c r="C454" s="9">
        <f t="shared" si="113"/>
        <v>10</v>
      </c>
      <c r="D454" s="9" t="str">
        <f t="shared" si="114"/>
        <v>October</v>
      </c>
      <c r="E454" s="9" t="str">
        <f t="shared" si="115"/>
        <v>Oct-27</v>
      </c>
      <c r="F454" s="9" t="str">
        <f t="shared" si="116"/>
        <v>Q4</v>
      </c>
      <c r="G454" s="9">
        <f t="shared" si="117"/>
        <v>27</v>
      </c>
      <c r="H454" s="9">
        <f t="shared" si="118"/>
        <v>3</v>
      </c>
      <c r="I454" s="9" t="str">
        <f t="shared" si="119"/>
        <v>Wednesday</v>
      </c>
      <c r="J454" s="9" t="str">
        <f t="shared" si="120"/>
        <v>No</v>
      </c>
      <c r="K454" s="5" t="str">
        <f>IF(COUNTIF(Bank_Holidays!A:A,A454)&gt;0,"Yes","No")</f>
        <v>No</v>
      </c>
      <c r="L454" t="str">
        <f t="shared" si="121"/>
        <v>Yes</v>
      </c>
      <c r="M454">
        <f t="shared" si="122"/>
        <v>43</v>
      </c>
      <c r="N454" s="5" t="str">
        <f t="shared" si="123"/>
        <v>No</v>
      </c>
      <c r="O454" t="str">
        <f>IF(A454=WORKDAY(EOMONTH(A454,0)+1,-1,Bank_Holidays!$A$2:$A$25),"Yes","No")</f>
        <v>No</v>
      </c>
      <c r="P454" t="str">
        <f t="shared" si="124"/>
        <v>No</v>
      </c>
      <c r="Q454" t="str">
        <f t="shared" si="125"/>
        <v>No</v>
      </c>
      <c r="R454" s="5">
        <f t="shared" si="127"/>
        <v>1</v>
      </c>
      <c r="S454">
        <f>MOD(A454-Fortnightly_Model!$M$1,14)</f>
        <v>11</v>
      </c>
      <c r="T454">
        <f>MOD(A454-FourWeekly_Model!$M$1,28)</f>
        <v>11</v>
      </c>
    </row>
    <row r="455" spans="1:20">
      <c r="A455" s="25">
        <f t="shared" si="126"/>
        <v>46688</v>
      </c>
      <c r="B455">
        <f t="shared" si="112"/>
        <v>2027</v>
      </c>
      <c r="C455" s="9">
        <f t="shared" si="113"/>
        <v>10</v>
      </c>
      <c r="D455" s="9" t="str">
        <f t="shared" si="114"/>
        <v>October</v>
      </c>
      <c r="E455" s="9" t="str">
        <f t="shared" si="115"/>
        <v>Oct-27</v>
      </c>
      <c r="F455" s="9" t="str">
        <f t="shared" si="116"/>
        <v>Q4</v>
      </c>
      <c r="G455" s="9">
        <f t="shared" si="117"/>
        <v>28</v>
      </c>
      <c r="H455" s="9">
        <f t="shared" si="118"/>
        <v>4</v>
      </c>
      <c r="I455" s="9" t="str">
        <f t="shared" si="119"/>
        <v>Thursday</v>
      </c>
      <c r="J455" s="9" t="str">
        <f t="shared" si="120"/>
        <v>No</v>
      </c>
      <c r="K455" s="5" t="str">
        <f>IF(COUNTIF(Bank_Holidays!A:A,A455)&gt;0,"Yes","No")</f>
        <v>No</v>
      </c>
      <c r="L455" t="str">
        <f t="shared" si="121"/>
        <v>Yes</v>
      </c>
      <c r="M455">
        <f t="shared" si="122"/>
        <v>43</v>
      </c>
      <c r="N455" s="5" t="str">
        <f t="shared" si="123"/>
        <v>No</v>
      </c>
      <c r="O455" t="str">
        <f>IF(A455=WORKDAY(EOMONTH(A455,0)+1,-1,Bank_Holidays!$A$2:$A$25),"Yes","No")</f>
        <v>No</v>
      </c>
      <c r="P455" t="str">
        <f t="shared" si="124"/>
        <v>No</v>
      </c>
      <c r="Q455" t="str">
        <f t="shared" si="125"/>
        <v>Yes</v>
      </c>
      <c r="R455" s="5">
        <f t="shared" si="127"/>
        <v>1</v>
      </c>
      <c r="S455">
        <f>MOD(A455-Fortnightly_Model!$M$1,14)</f>
        <v>12</v>
      </c>
      <c r="T455">
        <f>MOD(A455-FourWeekly_Model!$M$1,28)</f>
        <v>12</v>
      </c>
    </row>
    <row r="456" spans="1:20">
      <c r="A456" s="25">
        <f t="shared" si="126"/>
        <v>46689</v>
      </c>
      <c r="B456">
        <f t="shared" si="112"/>
        <v>2027</v>
      </c>
      <c r="C456" s="9">
        <f t="shared" si="113"/>
        <v>10</v>
      </c>
      <c r="D456" s="9" t="str">
        <f t="shared" si="114"/>
        <v>October</v>
      </c>
      <c r="E456" s="9" t="str">
        <f t="shared" si="115"/>
        <v>Oct-27</v>
      </c>
      <c r="F456" s="9" t="str">
        <f t="shared" si="116"/>
        <v>Q4</v>
      </c>
      <c r="G456" s="9">
        <f t="shared" si="117"/>
        <v>29</v>
      </c>
      <c r="H456" s="9">
        <f t="shared" si="118"/>
        <v>5</v>
      </c>
      <c r="I456" s="9" t="str">
        <f t="shared" si="119"/>
        <v>Friday</v>
      </c>
      <c r="J456" s="9" t="str">
        <f t="shared" si="120"/>
        <v>No</v>
      </c>
      <c r="K456" s="5" t="str">
        <f>IF(COUNTIF(Bank_Holidays!A:A,A456)&gt;0,"Yes","No")</f>
        <v>No</v>
      </c>
      <c r="L456" t="str">
        <f t="shared" si="121"/>
        <v>Yes</v>
      </c>
      <c r="M456">
        <f t="shared" si="122"/>
        <v>43</v>
      </c>
      <c r="N456" s="5" t="str">
        <f t="shared" si="123"/>
        <v>No</v>
      </c>
      <c r="O456" t="str">
        <f>IF(A456=WORKDAY(EOMONTH(A456,0)+1,-1,Bank_Holidays!$A$2:$A$25),"Yes","No")</f>
        <v>Yes</v>
      </c>
      <c r="P456" t="str">
        <f t="shared" si="124"/>
        <v>Yes</v>
      </c>
      <c r="Q456" t="str">
        <f t="shared" si="125"/>
        <v>No</v>
      </c>
      <c r="R456" s="5">
        <f t="shared" si="127"/>
        <v>3</v>
      </c>
      <c r="S456">
        <f>MOD(A456-Fortnightly_Model!$M$1,14)</f>
        <v>13</v>
      </c>
      <c r="T456">
        <f>MOD(A456-FourWeekly_Model!$M$1,28)</f>
        <v>13</v>
      </c>
    </row>
    <row r="457" spans="1:20">
      <c r="A457" s="25">
        <f t="shared" si="126"/>
        <v>46690</v>
      </c>
      <c r="B457">
        <f t="shared" si="112"/>
        <v>2027</v>
      </c>
      <c r="C457" s="9">
        <f t="shared" si="113"/>
        <v>10</v>
      </c>
      <c r="D457" s="9" t="str">
        <f t="shared" si="114"/>
        <v>October</v>
      </c>
      <c r="E457" s="9" t="str">
        <f t="shared" si="115"/>
        <v>Oct-27</v>
      </c>
      <c r="F457" s="9" t="str">
        <f t="shared" si="116"/>
        <v>Q4</v>
      </c>
      <c r="G457" s="9">
        <f t="shared" si="117"/>
        <v>30</v>
      </c>
      <c r="H457" s="9">
        <f t="shared" si="118"/>
        <v>6</v>
      </c>
      <c r="I457" s="9" t="str">
        <f t="shared" si="119"/>
        <v>Saturday</v>
      </c>
      <c r="J457" s="9" t="str">
        <f t="shared" si="120"/>
        <v>Yes</v>
      </c>
      <c r="K457" s="5" t="str">
        <f>IF(COUNTIF(Bank_Holidays!A:A,A457)&gt;0,"Yes","No")</f>
        <v>No</v>
      </c>
      <c r="L457" t="str">
        <f t="shared" si="121"/>
        <v>No</v>
      </c>
      <c r="M457">
        <f t="shared" si="122"/>
        <v>43</v>
      </c>
      <c r="N457" s="5" t="str">
        <f t="shared" si="123"/>
        <v>No</v>
      </c>
      <c r="O457" t="str">
        <f>IF(A457=WORKDAY(EOMONTH(A457,0)+1,-1,Bank_Holidays!$A$2:$A$25),"Yes","No")</f>
        <v>No</v>
      </c>
      <c r="P457" t="str">
        <f t="shared" si="124"/>
        <v>No</v>
      </c>
      <c r="Q457" t="str">
        <f t="shared" si="125"/>
        <v>No</v>
      </c>
      <c r="R457" s="5">
        <f t="shared" si="127"/>
        <v>0</v>
      </c>
      <c r="S457">
        <f>MOD(A457-Fortnightly_Model!$M$1,14)</f>
        <v>0</v>
      </c>
      <c r="T457">
        <f>MOD(A457-FourWeekly_Model!$M$1,28)</f>
        <v>14</v>
      </c>
    </row>
    <row r="458" spans="1:20">
      <c r="A458" s="25">
        <f t="shared" si="126"/>
        <v>46691</v>
      </c>
      <c r="B458">
        <f t="shared" si="112"/>
        <v>2027</v>
      </c>
      <c r="C458" s="9">
        <f t="shared" si="113"/>
        <v>10</v>
      </c>
      <c r="D458" s="9" t="str">
        <f t="shared" si="114"/>
        <v>October</v>
      </c>
      <c r="E458" s="9" t="str">
        <f t="shared" si="115"/>
        <v>Oct-27</v>
      </c>
      <c r="F458" s="9" t="str">
        <f t="shared" si="116"/>
        <v>Q4</v>
      </c>
      <c r="G458" s="9">
        <f t="shared" si="117"/>
        <v>31</v>
      </c>
      <c r="H458" s="9">
        <f t="shared" si="118"/>
        <v>7</v>
      </c>
      <c r="I458" s="9" t="str">
        <f t="shared" si="119"/>
        <v>Sunday</v>
      </c>
      <c r="J458" s="9" t="str">
        <f t="shared" si="120"/>
        <v>Yes</v>
      </c>
      <c r="K458" s="5" t="str">
        <f>IF(COUNTIF(Bank_Holidays!A:A,A458)&gt;0,"Yes","No")</f>
        <v>No</v>
      </c>
      <c r="L458" t="str">
        <f t="shared" si="121"/>
        <v>No</v>
      </c>
      <c r="M458">
        <f t="shared" si="122"/>
        <v>43</v>
      </c>
      <c r="N458" s="5" t="str">
        <f t="shared" si="123"/>
        <v>Yes</v>
      </c>
      <c r="O458" t="str">
        <f>IF(A458=WORKDAY(EOMONTH(A458,0)+1,-1,Bank_Holidays!$A$2:$A$25),"Yes","No")</f>
        <v>No</v>
      </c>
      <c r="P458" t="str">
        <f t="shared" si="124"/>
        <v>No</v>
      </c>
      <c r="Q458" t="str">
        <f t="shared" si="125"/>
        <v>No</v>
      </c>
      <c r="R458" s="5">
        <f t="shared" si="127"/>
        <v>0</v>
      </c>
      <c r="S458">
        <f>MOD(A458-Fortnightly_Model!$M$1,14)</f>
        <v>1</v>
      </c>
      <c r="T458">
        <f>MOD(A458-FourWeekly_Model!$M$1,28)</f>
        <v>15</v>
      </c>
    </row>
    <row r="459" spans="1:20">
      <c r="A459" s="25">
        <f t="shared" si="126"/>
        <v>46692</v>
      </c>
      <c r="B459">
        <f t="shared" si="112"/>
        <v>2027</v>
      </c>
      <c r="C459" s="9">
        <f t="shared" si="113"/>
        <v>11</v>
      </c>
      <c r="D459" s="9" t="str">
        <f t="shared" si="114"/>
        <v>November</v>
      </c>
      <c r="E459" s="9" t="str">
        <f t="shared" si="115"/>
        <v>Nov-27</v>
      </c>
      <c r="F459" s="9" t="str">
        <f t="shared" si="116"/>
        <v>Q4</v>
      </c>
      <c r="G459" s="9">
        <f t="shared" si="117"/>
        <v>1</v>
      </c>
      <c r="H459" s="9">
        <f t="shared" si="118"/>
        <v>1</v>
      </c>
      <c r="I459" s="9" t="str">
        <f t="shared" si="119"/>
        <v>Monday</v>
      </c>
      <c r="J459" s="9" t="str">
        <f t="shared" si="120"/>
        <v>No</v>
      </c>
      <c r="K459" s="5" t="str">
        <f>IF(COUNTIF(Bank_Holidays!A:A,A459)&gt;0,"Yes","No")</f>
        <v>No</v>
      </c>
      <c r="L459" t="str">
        <f t="shared" si="121"/>
        <v>Yes</v>
      </c>
      <c r="M459">
        <f t="shared" si="122"/>
        <v>44</v>
      </c>
      <c r="N459" s="5" t="str">
        <f t="shared" si="123"/>
        <v>No</v>
      </c>
      <c r="O459" t="str">
        <f>IF(A459=WORKDAY(EOMONTH(A459,0)+1,-1,Bank_Holidays!$A$2:$A$25),"Yes","No")</f>
        <v>No</v>
      </c>
      <c r="P459" t="str">
        <f t="shared" si="124"/>
        <v>No</v>
      </c>
      <c r="Q459" t="str">
        <f t="shared" si="125"/>
        <v>No</v>
      </c>
      <c r="R459" s="5">
        <f t="shared" si="127"/>
        <v>1</v>
      </c>
      <c r="S459">
        <f>MOD(A459-Fortnightly_Model!$M$1,14)</f>
        <v>2</v>
      </c>
      <c r="T459">
        <f>MOD(A459-FourWeekly_Model!$M$1,28)</f>
        <v>16</v>
      </c>
    </row>
    <row r="460" spans="1:20">
      <c r="A460" s="25">
        <f t="shared" si="126"/>
        <v>46693</v>
      </c>
      <c r="B460">
        <f t="shared" si="112"/>
        <v>2027</v>
      </c>
      <c r="C460" s="9">
        <f t="shared" si="113"/>
        <v>11</v>
      </c>
      <c r="D460" s="9" t="str">
        <f t="shared" si="114"/>
        <v>November</v>
      </c>
      <c r="E460" s="9" t="str">
        <f t="shared" si="115"/>
        <v>Nov-27</v>
      </c>
      <c r="F460" s="9" t="str">
        <f t="shared" si="116"/>
        <v>Q4</v>
      </c>
      <c r="G460" s="9">
        <f t="shared" si="117"/>
        <v>2</v>
      </c>
      <c r="H460" s="9">
        <f t="shared" si="118"/>
        <v>2</v>
      </c>
      <c r="I460" s="9" t="str">
        <f t="shared" si="119"/>
        <v>Tuesday</v>
      </c>
      <c r="J460" s="9" t="str">
        <f t="shared" si="120"/>
        <v>No</v>
      </c>
      <c r="K460" s="5" t="str">
        <f>IF(COUNTIF(Bank_Holidays!A:A,A460)&gt;0,"Yes","No")</f>
        <v>No</v>
      </c>
      <c r="L460" t="str">
        <f t="shared" si="121"/>
        <v>Yes</v>
      </c>
      <c r="M460">
        <f t="shared" si="122"/>
        <v>44</v>
      </c>
      <c r="N460" s="5" t="str">
        <f t="shared" si="123"/>
        <v>No</v>
      </c>
      <c r="O460" t="str">
        <f>IF(A460=WORKDAY(EOMONTH(A460,0)+1,-1,Bank_Holidays!$A$2:$A$25),"Yes","No")</f>
        <v>No</v>
      </c>
      <c r="P460" t="str">
        <f t="shared" si="124"/>
        <v>No</v>
      </c>
      <c r="Q460" t="str">
        <f t="shared" si="125"/>
        <v>No</v>
      </c>
      <c r="R460" s="5">
        <f t="shared" si="127"/>
        <v>1</v>
      </c>
      <c r="S460">
        <f>MOD(A460-Fortnightly_Model!$M$1,14)</f>
        <v>3</v>
      </c>
      <c r="T460">
        <f>MOD(A460-FourWeekly_Model!$M$1,28)</f>
        <v>17</v>
      </c>
    </row>
    <row r="461" spans="1:20">
      <c r="A461" s="25">
        <f t="shared" si="126"/>
        <v>46694</v>
      </c>
      <c r="B461">
        <f t="shared" si="112"/>
        <v>2027</v>
      </c>
      <c r="C461" s="9">
        <f t="shared" si="113"/>
        <v>11</v>
      </c>
      <c r="D461" s="9" t="str">
        <f t="shared" si="114"/>
        <v>November</v>
      </c>
      <c r="E461" s="9" t="str">
        <f t="shared" si="115"/>
        <v>Nov-27</v>
      </c>
      <c r="F461" s="9" t="str">
        <f t="shared" si="116"/>
        <v>Q4</v>
      </c>
      <c r="G461" s="9">
        <f t="shared" si="117"/>
        <v>3</v>
      </c>
      <c r="H461" s="9">
        <f t="shared" si="118"/>
        <v>3</v>
      </c>
      <c r="I461" s="9" t="str">
        <f t="shared" si="119"/>
        <v>Wednesday</v>
      </c>
      <c r="J461" s="9" t="str">
        <f t="shared" si="120"/>
        <v>No</v>
      </c>
      <c r="K461" s="5" t="str">
        <f>IF(COUNTIF(Bank_Holidays!A:A,A461)&gt;0,"Yes","No")</f>
        <v>No</v>
      </c>
      <c r="L461" t="str">
        <f t="shared" si="121"/>
        <v>Yes</v>
      </c>
      <c r="M461">
        <f t="shared" si="122"/>
        <v>44</v>
      </c>
      <c r="N461" s="5" t="str">
        <f t="shared" si="123"/>
        <v>No</v>
      </c>
      <c r="O461" t="str">
        <f>IF(A461=WORKDAY(EOMONTH(A461,0)+1,-1,Bank_Holidays!$A$2:$A$25),"Yes","No")</f>
        <v>No</v>
      </c>
      <c r="P461" t="str">
        <f t="shared" si="124"/>
        <v>No</v>
      </c>
      <c r="Q461" t="str">
        <f t="shared" si="125"/>
        <v>No</v>
      </c>
      <c r="R461" s="5">
        <f t="shared" si="127"/>
        <v>1</v>
      </c>
      <c r="S461">
        <f>MOD(A461-Fortnightly_Model!$M$1,14)</f>
        <v>4</v>
      </c>
      <c r="T461">
        <f>MOD(A461-FourWeekly_Model!$M$1,28)</f>
        <v>18</v>
      </c>
    </row>
    <row r="462" spans="1:20">
      <c r="A462" s="25">
        <f t="shared" si="126"/>
        <v>46695</v>
      </c>
      <c r="B462">
        <f t="shared" si="112"/>
        <v>2027</v>
      </c>
      <c r="C462" s="9">
        <f t="shared" si="113"/>
        <v>11</v>
      </c>
      <c r="D462" s="9" t="str">
        <f t="shared" si="114"/>
        <v>November</v>
      </c>
      <c r="E462" s="9" t="str">
        <f t="shared" si="115"/>
        <v>Nov-27</v>
      </c>
      <c r="F462" s="9" t="str">
        <f t="shared" si="116"/>
        <v>Q4</v>
      </c>
      <c r="G462" s="9">
        <f t="shared" si="117"/>
        <v>4</v>
      </c>
      <c r="H462" s="9">
        <f t="shared" si="118"/>
        <v>4</v>
      </c>
      <c r="I462" s="9" t="str">
        <f t="shared" si="119"/>
        <v>Thursday</v>
      </c>
      <c r="J462" s="9" t="str">
        <f t="shared" si="120"/>
        <v>No</v>
      </c>
      <c r="K462" s="5" t="str">
        <f>IF(COUNTIF(Bank_Holidays!A:A,A462)&gt;0,"Yes","No")</f>
        <v>No</v>
      </c>
      <c r="L462" t="str">
        <f t="shared" si="121"/>
        <v>Yes</v>
      </c>
      <c r="M462">
        <f t="shared" si="122"/>
        <v>44</v>
      </c>
      <c r="N462" s="5" t="str">
        <f t="shared" si="123"/>
        <v>No</v>
      </c>
      <c r="O462" t="str">
        <f>IF(A462=WORKDAY(EOMONTH(A462,0)+1,-1,Bank_Holidays!$A$2:$A$25),"Yes","No")</f>
        <v>No</v>
      </c>
      <c r="P462" t="str">
        <f t="shared" si="124"/>
        <v>No</v>
      </c>
      <c r="Q462" t="str">
        <f t="shared" si="125"/>
        <v>No</v>
      </c>
      <c r="R462" s="5">
        <f t="shared" si="127"/>
        <v>1</v>
      </c>
      <c r="S462">
        <f>MOD(A462-Fortnightly_Model!$M$1,14)</f>
        <v>5</v>
      </c>
      <c r="T462">
        <f>MOD(A462-FourWeekly_Model!$M$1,28)</f>
        <v>19</v>
      </c>
    </row>
    <row r="463" spans="1:20">
      <c r="A463" s="25">
        <f t="shared" si="126"/>
        <v>46696</v>
      </c>
      <c r="B463">
        <f t="shared" si="112"/>
        <v>2027</v>
      </c>
      <c r="C463" s="9">
        <f t="shared" si="113"/>
        <v>11</v>
      </c>
      <c r="D463" s="9" t="str">
        <f t="shared" si="114"/>
        <v>November</v>
      </c>
      <c r="E463" s="9" t="str">
        <f t="shared" si="115"/>
        <v>Nov-27</v>
      </c>
      <c r="F463" s="9" t="str">
        <f t="shared" si="116"/>
        <v>Q4</v>
      </c>
      <c r="G463" s="9">
        <f t="shared" si="117"/>
        <v>5</v>
      </c>
      <c r="H463" s="9">
        <f t="shared" si="118"/>
        <v>5</v>
      </c>
      <c r="I463" s="9" t="str">
        <f t="shared" si="119"/>
        <v>Friday</v>
      </c>
      <c r="J463" s="9" t="str">
        <f t="shared" si="120"/>
        <v>No</v>
      </c>
      <c r="K463" s="5" t="str">
        <f>IF(COUNTIF(Bank_Holidays!A:A,A463)&gt;0,"Yes","No")</f>
        <v>No</v>
      </c>
      <c r="L463" t="str">
        <f t="shared" si="121"/>
        <v>Yes</v>
      </c>
      <c r="M463">
        <f t="shared" si="122"/>
        <v>44</v>
      </c>
      <c r="N463" s="5" t="str">
        <f t="shared" si="123"/>
        <v>No</v>
      </c>
      <c r="O463" t="str">
        <f>IF(A463=WORKDAY(EOMONTH(A463,0)+1,-1,Bank_Holidays!$A$2:$A$25),"Yes","No")</f>
        <v>No</v>
      </c>
      <c r="P463" t="str">
        <f t="shared" si="124"/>
        <v>No</v>
      </c>
      <c r="Q463" t="str">
        <f t="shared" si="125"/>
        <v>No</v>
      </c>
      <c r="R463" s="5">
        <f t="shared" si="127"/>
        <v>3</v>
      </c>
      <c r="S463">
        <f>MOD(A463-Fortnightly_Model!$M$1,14)</f>
        <v>6</v>
      </c>
      <c r="T463">
        <f>MOD(A463-FourWeekly_Model!$M$1,28)</f>
        <v>20</v>
      </c>
    </row>
    <row r="464" spans="1:20">
      <c r="A464" s="25">
        <f t="shared" si="126"/>
        <v>46697</v>
      </c>
      <c r="B464">
        <f t="shared" si="112"/>
        <v>2027</v>
      </c>
      <c r="C464" s="9">
        <f t="shared" si="113"/>
        <v>11</v>
      </c>
      <c r="D464" s="9" t="str">
        <f t="shared" si="114"/>
        <v>November</v>
      </c>
      <c r="E464" s="9" t="str">
        <f t="shared" si="115"/>
        <v>Nov-27</v>
      </c>
      <c r="F464" s="9" t="str">
        <f t="shared" si="116"/>
        <v>Q4</v>
      </c>
      <c r="G464" s="9">
        <f t="shared" si="117"/>
        <v>6</v>
      </c>
      <c r="H464" s="9">
        <f t="shared" si="118"/>
        <v>6</v>
      </c>
      <c r="I464" s="9" t="str">
        <f t="shared" si="119"/>
        <v>Saturday</v>
      </c>
      <c r="J464" s="9" t="str">
        <f t="shared" si="120"/>
        <v>Yes</v>
      </c>
      <c r="K464" s="5" t="str">
        <f>IF(COUNTIF(Bank_Holidays!A:A,A464)&gt;0,"Yes","No")</f>
        <v>No</v>
      </c>
      <c r="L464" t="str">
        <f t="shared" si="121"/>
        <v>No</v>
      </c>
      <c r="M464">
        <f t="shared" si="122"/>
        <v>44</v>
      </c>
      <c r="N464" s="5" t="str">
        <f t="shared" si="123"/>
        <v>No</v>
      </c>
      <c r="O464" t="str">
        <f>IF(A464=WORKDAY(EOMONTH(A464,0)+1,-1,Bank_Holidays!$A$2:$A$25),"Yes","No")</f>
        <v>No</v>
      </c>
      <c r="P464" t="str">
        <f t="shared" si="124"/>
        <v>No</v>
      </c>
      <c r="Q464" t="str">
        <f t="shared" si="125"/>
        <v>No</v>
      </c>
      <c r="R464" s="5">
        <f t="shared" si="127"/>
        <v>0</v>
      </c>
      <c r="S464">
        <f>MOD(A464-Fortnightly_Model!$M$1,14)</f>
        <v>7</v>
      </c>
      <c r="T464">
        <f>MOD(A464-FourWeekly_Model!$M$1,28)</f>
        <v>21</v>
      </c>
    </row>
    <row r="465" spans="1:20">
      <c r="A465" s="25">
        <f t="shared" si="126"/>
        <v>46698</v>
      </c>
      <c r="B465">
        <f t="shared" si="112"/>
        <v>2027</v>
      </c>
      <c r="C465" s="9">
        <f t="shared" si="113"/>
        <v>11</v>
      </c>
      <c r="D465" s="9" t="str">
        <f t="shared" si="114"/>
        <v>November</v>
      </c>
      <c r="E465" s="9" t="str">
        <f t="shared" si="115"/>
        <v>Nov-27</v>
      </c>
      <c r="F465" s="9" t="str">
        <f t="shared" si="116"/>
        <v>Q4</v>
      </c>
      <c r="G465" s="9">
        <f t="shared" si="117"/>
        <v>7</v>
      </c>
      <c r="H465" s="9">
        <f t="shared" si="118"/>
        <v>7</v>
      </c>
      <c r="I465" s="9" t="str">
        <f t="shared" si="119"/>
        <v>Sunday</v>
      </c>
      <c r="J465" s="9" t="str">
        <f t="shared" si="120"/>
        <v>Yes</v>
      </c>
      <c r="K465" s="5" t="str">
        <f>IF(COUNTIF(Bank_Holidays!A:A,A465)&gt;0,"Yes","No")</f>
        <v>No</v>
      </c>
      <c r="L465" t="str">
        <f t="shared" si="121"/>
        <v>No</v>
      </c>
      <c r="M465">
        <f t="shared" si="122"/>
        <v>44</v>
      </c>
      <c r="N465" s="5" t="str">
        <f t="shared" si="123"/>
        <v>No</v>
      </c>
      <c r="O465" t="str">
        <f>IF(A465=WORKDAY(EOMONTH(A465,0)+1,-1,Bank_Holidays!$A$2:$A$25),"Yes","No")</f>
        <v>No</v>
      </c>
      <c r="P465" t="str">
        <f t="shared" si="124"/>
        <v>No</v>
      </c>
      <c r="Q465" t="str">
        <f t="shared" si="125"/>
        <v>No</v>
      </c>
      <c r="R465" s="5">
        <f t="shared" si="127"/>
        <v>0</v>
      </c>
      <c r="S465">
        <f>MOD(A465-Fortnightly_Model!$M$1,14)</f>
        <v>8</v>
      </c>
      <c r="T465">
        <f>MOD(A465-FourWeekly_Model!$M$1,28)</f>
        <v>22</v>
      </c>
    </row>
    <row r="466" spans="1:20">
      <c r="A466" s="25">
        <f t="shared" si="126"/>
        <v>46699</v>
      </c>
      <c r="B466">
        <f t="shared" si="112"/>
        <v>2027</v>
      </c>
      <c r="C466" s="9">
        <f t="shared" si="113"/>
        <v>11</v>
      </c>
      <c r="D466" s="9" t="str">
        <f t="shared" si="114"/>
        <v>November</v>
      </c>
      <c r="E466" s="9" t="str">
        <f t="shared" si="115"/>
        <v>Nov-27</v>
      </c>
      <c r="F466" s="9" t="str">
        <f t="shared" si="116"/>
        <v>Q4</v>
      </c>
      <c r="G466" s="9">
        <f t="shared" si="117"/>
        <v>8</v>
      </c>
      <c r="H466" s="9">
        <f t="shared" si="118"/>
        <v>1</v>
      </c>
      <c r="I466" s="9" t="str">
        <f t="shared" si="119"/>
        <v>Monday</v>
      </c>
      <c r="J466" s="9" t="str">
        <f t="shared" si="120"/>
        <v>No</v>
      </c>
      <c r="K466" s="5" t="str">
        <f>IF(COUNTIF(Bank_Holidays!A:A,A466)&gt;0,"Yes","No")</f>
        <v>No</v>
      </c>
      <c r="L466" t="str">
        <f t="shared" si="121"/>
        <v>Yes</v>
      </c>
      <c r="M466">
        <f t="shared" si="122"/>
        <v>45</v>
      </c>
      <c r="N466" s="5" t="str">
        <f t="shared" si="123"/>
        <v>No</v>
      </c>
      <c r="O466" t="str">
        <f>IF(A466=WORKDAY(EOMONTH(A466,0)+1,-1,Bank_Holidays!$A$2:$A$25),"Yes","No")</f>
        <v>No</v>
      </c>
      <c r="P466" t="str">
        <f t="shared" si="124"/>
        <v>No</v>
      </c>
      <c r="Q466" t="str">
        <f t="shared" si="125"/>
        <v>No</v>
      </c>
      <c r="R466" s="5">
        <f t="shared" si="127"/>
        <v>1</v>
      </c>
      <c r="S466">
        <f>MOD(A466-Fortnightly_Model!$M$1,14)</f>
        <v>9</v>
      </c>
      <c r="T466">
        <f>MOD(A466-FourWeekly_Model!$M$1,28)</f>
        <v>23</v>
      </c>
    </row>
    <row r="467" spans="1:20">
      <c r="A467" s="25">
        <f t="shared" si="126"/>
        <v>46700</v>
      </c>
      <c r="B467">
        <f t="shared" si="112"/>
        <v>2027</v>
      </c>
      <c r="C467" s="9">
        <f t="shared" si="113"/>
        <v>11</v>
      </c>
      <c r="D467" s="9" t="str">
        <f t="shared" si="114"/>
        <v>November</v>
      </c>
      <c r="E467" s="9" t="str">
        <f t="shared" si="115"/>
        <v>Nov-27</v>
      </c>
      <c r="F467" s="9" t="str">
        <f t="shared" si="116"/>
        <v>Q4</v>
      </c>
      <c r="G467" s="9">
        <f t="shared" si="117"/>
        <v>9</v>
      </c>
      <c r="H467" s="9">
        <f t="shared" si="118"/>
        <v>2</v>
      </c>
      <c r="I467" s="9" t="str">
        <f t="shared" si="119"/>
        <v>Tuesday</v>
      </c>
      <c r="J467" s="9" t="str">
        <f t="shared" si="120"/>
        <v>No</v>
      </c>
      <c r="K467" s="5" t="str">
        <f>IF(COUNTIF(Bank_Holidays!A:A,A467)&gt;0,"Yes","No")</f>
        <v>No</v>
      </c>
      <c r="L467" t="str">
        <f t="shared" si="121"/>
        <v>Yes</v>
      </c>
      <c r="M467">
        <f t="shared" si="122"/>
        <v>45</v>
      </c>
      <c r="N467" s="5" t="str">
        <f t="shared" si="123"/>
        <v>No</v>
      </c>
      <c r="O467" t="str">
        <f>IF(A467=WORKDAY(EOMONTH(A467,0)+1,-1,Bank_Holidays!$A$2:$A$25),"Yes","No")</f>
        <v>No</v>
      </c>
      <c r="P467" t="str">
        <f t="shared" si="124"/>
        <v>No</v>
      </c>
      <c r="Q467" t="str">
        <f t="shared" si="125"/>
        <v>No</v>
      </c>
      <c r="R467" s="5">
        <f t="shared" si="127"/>
        <v>1</v>
      </c>
      <c r="S467">
        <f>MOD(A467-Fortnightly_Model!$M$1,14)</f>
        <v>10</v>
      </c>
      <c r="T467">
        <f>MOD(A467-FourWeekly_Model!$M$1,28)</f>
        <v>24</v>
      </c>
    </row>
    <row r="468" spans="1:20">
      <c r="A468" s="25">
        <f t="shared" si="126"/>
        <v>46701</v>
      </c>
      <c r="B468">
        <f t="shared" si="112"/>
        <v>2027</v>
      </c>
      <c r="C468" s="9">
        <f t="shared" si="113"/>
        <v>11</v>
      </c>
      <c r="D468" s="9" t="str">
        <f t="shared" si="114"/>
        <v>November</v>
      </c>
      <c r="E468" s="9" t="str">
        <f t="shared" si="115"/>
        <v>Nov-27</v>
      </c>
      <c r="F468" s="9" t="str">
        <f t="shared" si="116"/>
        <v>Q4</v>
      </c>
      <c r="G468" s="9">
        <f t="shared" si="117"/>
        <v>10</v>
      </c>
      <c r="H468" s="9">
        <f t="shared" si="118"/>
        <v>3</v>
      </c>
      <c r="I468" s="9" t="str">
        <f t="shared" si="119"/>
        <v>Wednesday</v>
      </c>
      <c r="J468" s="9" t="str">
        <f t="shared" si="120"/>
        <v>No</v>
      </c>
      <c r="K468" s="5" t="str">
        <f>IF(COUNTIF(Bank_Holidays!A:A,A468)&gt;0,"Yes","No")</f>
        <v>No</v>
      </c>
      <c r="L468" t="str">
        <f t="shared" si="121"/>
        <v>Yes</v>
      </c>
      <c r="M468">
        <f t="shared" si="122"/>
        <v>45</v>
      </c>
      <c r="N468" s="5" t="str">
        <f t="shared" si="123"/>
        <v>No</v>
      </c>
      <c r="O468" t="str">
        <f>IF(A468=WORKDAY(EOMONTH(A468,0)+1,-1,Bank_Holidays!$A$2:$A$25),"Yes","No")</f>
        <v>No</v>
      </c>
      <c r="P468" t="str">
        <f t="shared" si="124"/>
        <v>No</v>
      </c>
      <c r="Q468" t="str">
        <f t="shared" si="125"/>
        <v>No</v>
      </c>
      <c r="R468" s="5">
        <f t="shared" si="127"/>
        <v>1</v>
      </c>
      <c r="S468">
        <f>MOD(A468-Fortnightly_Model!$M$1,14)</f>
        <v>11</v>
      </c>
      <c r="T468">
        <f>MOD(A468-FourWeekly_Model!$M$1,28)</f>
        <v>25</v>
      </c>
    </row>
    <row r="469" spans="1:20">
      <c r="A469" s="25">
        <f t="shared" si="126"/>
        <v>46702</v>
      </c>
      <c r="B469">
        <f t="shared" si="112"/>
        <v>2027</v>
      </c>
      <c r="C469" s="9">
        <f t="shared" si="113"/>
        <v>11</v>
      </c>
      <c r="D469" s="9" t="str">
        <f t="shared" si="114"/>
        <v>November</v>
      </c>
      <c r="E469" s="9" t="str">
        <f t="shared" si="115"/>
        <v>Nov-27</v>
      </c>
      <c r="F469" s="9" t="str">
        <f t="shared" si="116"/>
        <v>Q4</v>
      </c>
      <c r="G469" s="9">
        <f t="shared" si="117"/>
        <v>11</v>
      </c>
      <c r="H469" s="9">
        <f t="shared" si="118"/>
        <v>4</v>
      </c>
      <c r="I469" s="9" t="str">
        <f t="shared" si="119"/>
        <v>Thursday</v>
      </c>
      <c r="J469" s="9" t="str">
        <f t="shared" si="120"/>
        <v>No</v>
      </c>
      <c r="K469" s="5" t="str">
        <f>IF(COUNTIF(Bank_Holidays!A:A,A469)&gt;0,"Yes","No")</f>
        <v>No</v>
      </c>
      <c r="L469" t="str">
        <f t="shared" si="121"/>
        <v>Yes</v>
      </c>
      <c r="M469">
        <f t="shared" si="122"/>
        <v>45</v>
      </c>
      <c r="N469" s="5" t="str">
        <f t="shared" si="123"/>
        <v>No</v>
      </c>
      <c r="O469" t="str">
        <f>IF(A469=WORKDAY(EOMONTH(A469,0)+1,-1,Bank_Holidays!$A$2:$A$25),"Yes","No")</f>
        <v>No</v>
      </c>
      <c r="P469" t="str">
        <f t="shared" si="124"/>
        <v>No</v>
      </c>
      <c r="Q469" t="str">
        <f t="shared" si="125"/>
        <v>No</v>
      </c>
      <c r="R469" s="5">
        <f t="shared" si="127"/>
        <v>1</v>
      </c>
      <c r="S469">
        <f>MOD(A469-Fortnightly_Model!$M$1,14)</f>
        <v>12</v>
      </c>
      <c r="T469">
        <f>MOD(A469-FourWeekly_Model!$M$1,28)</f>
        <v>26</v>
      </c>
    </row>
    <row r="470" spans="1:20">
      <c r="A470" s="25">
        <f t="shared" si="126"/>
        <v>46703</v>
      </c>
      <c r="B470">
        <f t="shared" si="112"/>
        <v>2027</v>
      </c>
      <c r="C470" s="9">
        <f t="shared" si="113"/>
        <v>11</v>
      </c>
      <c r="D470" s="9" t="str">
        <f t="shared" si="114"/>
        <v>November</v>
      </c>
      <c r="E470" s="9" t="str">
        <f t="shared" si="115"/>
        <v>Nov-27</v>
      </c>
      <c r="F470" s="9" t="str">
        <f t="shared" si="116"/>
        <v>Q4</v>
      </c>
      <c r="G470" s="9">
        <f t="shared" si="117"/>
        <v>12</v>
      </c>
      <c r="H470" s="9">
        <f t="shared" si="118"/>
        <v>5</v>
      </c>
      <c r="I470" s="9" t="str">
        <f t="shared" si="119"/>
        <v>Friday</v>
      </c>
      <c r="J470" s="9" t="str">
        <f t="shared" si="120"/>
        <v>No</v>
      </c>
      <c r="K470" s="5" t="str">
        <f>IF(COUNTIF(Bank_Holidays!A:A,A470)&gt;0,"Yes","No")</f>
        <v>No</v>
      </c>
      <c r="L470" t="str">
        <f t="shared" si="121"/>
        <v>Yes</v>
      </c>
      <c r="M470">
        <f t="shared" si="122"/>
        <v>45</v>
      </c>
      <c r="N470" s="5" t="str">
        <f t="shared" si="123"/>
        <v>No</v>
      </c>
      <c r="O470" t="str">
        <f>IF(A470=WORKDAY(EOMONTH(A470,0)+1,-1,Bank_Holidays!$A$2:$A$25),"Yes","No")</f>
        <v>No</v>
      </c>
      <c r="P470" t="str">
        <f t="shared" si="124"/>
        <v>No</v>
      </c>
      <c r="Q470" t="str">
        <f t="shared" si="125"/>
        <v>No</v>
      </c>
      <c r="R470" s="5">
        <f t="shared" si="127"/>
        <v>3</v>
      </c>
      <c r="S470">
        <f>MOD(A470-Fortnightly_Model!$M$1,14)</f>
        <v>13</v>
      </c>
      <c r="T470">
        <f>MOD(A470-FourWeekly_Model!$M$1,28)</f>
        <v>27</v>
      </c>
    </row>
    <row r="471" spans="1:20">
      <c r="A471" s="25">
        <f t="shared" si="126"/>
        <v>46704</v>
      </c>
      <c r="B471">
        <f t="shared" si="112"/>
        <v>2027</v>
      </c>
      <c r="C471" s="9">
        <f t="shared" si="113"/>
        <v>11</v>
      </c>
      <c r="D471" s="9" t="str">
        <f t="shared" si="114"/>
        <v>November</v>
      </c>
      <c r="E471" s="9" t="str">
        <f t="shared" si="115"/>
        <v>Nov-27</v>
      </c>
      <c r="F471" s="9" t="str">
        <f t="shared" si="116"/>
        <v>Q4</v>
      </c>
      <c r="G471" s="9">
        <f t="shared" si="117"/>
        <v>13</v>
      </c>
      <c r="H471" s="9">
        <f t="shared" si="118"/>
        <v>6</v>
      </c>
      <c r="I471" s="9" t="str">
        <f t="shared" si="119"/>
        <v>Saturday</v>
      </c>
      <c r="J471" s="9" t="str">
        <f t="shared" si="120"/>
        <v>Yes</v>
      </c>
      <c r="K471" s="5" t="str">
        <f>IF(COUNTIF(Bank_Holidays!A:A,A471)&gt;0,"Yes","No")</f>
        <v>No</v>
      </c>
      <c r="L471" t="str">
        <f t="shared" si="121"/>
        <v>No</v>
      </c>
      <c r="M471">
        <f t="shared" si="122"/>
        <v>45</v>
      </c>
      <c r="N471" s="5" t="str">
        <f t="shared" si="123"/>
        <v>No</v>
      </c>
      <c r="O471" t="str">
        <f>IF(A471=WORKDAY(EOMONTH(A471,0)+1,-1,Bank_Holidays!$A$2:$A$25),"Yes","No")</f>
        <v>No</v>
      </c>
      <c r="P471" t="str">
        <f t="shared" si="124"/>
        <v>No</v>
      </c>
      <c r="Q471" t="str">
        <f t="shared" si="125"/>
        <v>No</v>
      </c>
      <c r="R471" s="5">
        <f t="shared" si="127"/>
        <v>0</v>
      </c>
      <c r="S471">
        <f>MOD(A471-Fortnightly_Model!$M$1,14)</f>
        <v>0</v>
      </c>
      <c r="T471">
        <f>MOD(A471-FourWeekly_Model!$M$1,28)</f>
        <v>0</v>
      </c>
    </row>
    <row r="472" spans="1:20">
      <c r="A472" s="25">
        <f t="shared" si="126"/>
        <v>46705</v>
      </c>
      <c r="B472">
        <f t="shared" si="112"/>
        <v>2027</v>
      </c>
      <c r="C472" s="9">
        <f t="shared" si="113"/>
        <v>11</v>
      </c>
      <c r="D472" s="9" t="str">
        <f t="shared" si="114"/>
        <v>November</v>
      </c>
      <c r="E472" s="9" t="str">
        <f t="shared" si="115"/>
        <v>Nov-27</v>
      </c>
      <c r="F472" s="9" t="str">
        <f t="shared" si="116"/>
        <v>Q4</v>
      </c>
      <c r="G472" s="9">
        <f t="shared" si="117"/>
        <v>14</v>
      </c>
      <c r="H472" s="9">
        <f t="shared" si="118"/>
        <v>7</v>
      </c>
      <c r="I472" s="9" t="str">
        <f t="shared" si="119"/>
        <v>Sunday</v>
      </c>
      <c r="J472" s="9" t="str">
        <f t="shared" si="120"/>
        <v>Yes</v>
      </c>
      <c r="K472" s="5" t="str">
        <f>IF(COUNTIF(Bank_Holidays!A:A,A472)&gt;0,"Yes","No")</f>
        <v>No</v>
      </c>
      <c r="L472" t="str">
        <f t="shared" si="121"/>
        <v>No</v>
      </c>
      <c r="M472">
        <f t="shared" si="122"/>
        <v>45</v>
      </c>
      <c r="N472" s="5" t="str">
        <f t="shared" si="123"/>
        <v>No</v>
      </c>
      <c r="O472" t="str">
        <f>IF(A472=WORKDAY(EOMONTH(A472,0)+1,-1,Bank_Holidays!$A$2:$A$25),"Yes","No")</f>
        <v>No</v>
      </c>
      <c r="P472" t="str">
        <f t="shared" si="124"/>
        <v>No</v>
      </c>
      <c r="Q472" t="str">
        <f t="shared" si="125"/>
        <v>No</v>
      </c>
      <c r="R472" s="5">
        <f t="shared" si="127"/>
        <v>0</v>
      </c>
      <c r="S472">
        <f>MOD(A472-Fortnightly_Model!$M$1,14)</f>
        <v>1</v>
      </c>
      <c r="T472">
        <f>MOD(A472-FourWeekly_Model!$M$1,28)</f>
        <v>1</v>
      </c>
    </row>
    <row r="473" spans="1:20">
      <c r="A473" s="25">
        <f t="shared" si="126"/>
        <v>46706</v>
      </c>
      <c r="B473">
        <f t="shared" si="112"/>
        <v>2027</v>
      </c>
      <c r="C473" s="9">
        <f t="shared" si="113"/>
        <v>11</v>
      </c>
      <c r="D473" s="9" t="str">
        <f t="shared" si="114"/>
        <v>November</v>
      </c>
      <c r="E473" s="9" t="str">
        <f t="shared" si="115"/>
        <v>Nov-27</v>
      </c>
      <c r="F473" s="9" t="str">
        <f t="shared" si="116"/>
        <v>Q4</v>
      </c>
      <c r="G473" s="9">
        <f t="shared" si="117"/>
        <v>15</v>
      </c>
      <c r="H473" s="9">
        <f t="shared" si="118"/>
        <v>1</v>
      </c>
      <c r="I473" s="9" t="str">
        <f t="shared" si="119"/>
        <v>Monday</v>
      </c>
      <c r="J473" s="9" t="str">
        <f t="shared" si="120"/>
        <v>No</v>
      </c>
      <c r="K473" s="5" t="str">
        <f>IF(COUNTIF(Bank_Holidays!A:A,A473)&gt;0,"Yes","No")</f>
        <v>No</v>
      </c>
      <c r="L473" t="str">
        <f t="shared" si="121"/>
        <v>Yes</v>
      </c>
      <c r="M473">
        <f t="shared" si="122"/>
        <v>46</v>
      </c>
      <c r="N473" s="5" t="str">
        <f t="shared" si="123"/>
        <v>No</v>
      </c>
      <c r="O473" t="str">
        <f>IF(A473=WORKDAY(EOMONTH(A473,0)+1,-1,Bank_Holidays!$A$2:$A$25),"Yes","No")</f>
        <v>No</v>
      </c>
      <c r="P473" t="str">
        <f t="shared" si="124"/>
        <v>No</v>
      </c>
      <c r="Q473" t="str">
        <f t="shared" si="125"/>
        <v>No</v>
      </c>
      <c r="R473" s="5">
        <f t="shared" si="127"/>
        <v>1</v>
      </c>
      <c r="S473">
        <f>MOD(A473-Fortnightly_Model!$M$1,14)</f>
        <v>2</v>
      </c>
      <c r="T473">
        <f>MOD(A473-FourWeekly_Model!$M$1,28)</f>
        <v>2</v>
      </c>
    </row>
    <row r="474" spans="1:20">
      <c r="A474" s="25">
        <f t="shared" si="126"/>
        <v>46707</v>
      </c>
      <c r="B474">
        <f t="shared" si="112"/>
        <v>2027</v>
      </c>
      <c r="C474" s="9">
        <f t="shared" si="113"/>
        <v>11</v>
      </c>
      <c r="D474" s="9" t="str">
        <f t="shared" si="114"/>
        <v>November</v>
      </c>
      <c r="E474" s="9" t="str">
        <f t="shared" si="115"/>
        <v>Nov-27</v>
      </c>
      <c r="F474" s="9" t="str">
        <f t="shared" si="116"/>
        <v>Q4</v>
      </c>
      <c r="G474" s="9">
        <f t="shared" si="117"/>
        <v>16</v>
      </c>
      <c r="H474" s="9">
        <f t="shared" si="118"/>
        <v>2</v>
      </c>
      <c r="I474" s="9" t="str">
        <f t="shared" si="119"/>
        <v>Tuesday</v>
      </c>
      <c r="J474" s="9" t="str">
        <f t="shared" si="120"/>
        <v>No</v>
      </c>
      <c r="K474" s="5" t="str">
        <f>IF(COUNTIF(Bank_Holidays!A:A,A474)&gt;0,"Yes","No")</f>
        <v>No</v>
      </c>
      <c r="L474" t="str">
        <f t="shared" si="121"/>
        <v>Yes</v>
      </c>
      <c r="M474">
        <f t="shared" si="122"/>
        <v>46</v>
      </c>
      <c r="N474" s="5" t="str">
        <f t="shared" si="123"/>
        <v>No</v>
      </c>
      <c r="O474" t="str">
        <f>IF(A474=WORKDAY(EOMONTH(A474,0)+1,-1,Bank_Holidays!$A$2:$A$25),"Yes","No")</f>
        <v>No</v>
      </c>
      <c r="P474" t="str">
        <f t="shared" si="124"/>
        <v>No</v>
      </c>
      <c r="Q474" t="str">
        <f t="shared" si="125"/>
        <v>No</v>
      </c>
      <c r="R474" s="5">
        <f t="shared" si="127"/>
        <v>1</v>
      </c>
      <c r="S474">
        <f>MOD(A474-Fortnightly_Model!$M$1,14)</f>
        <v>3</v>
      </c>
      <c r="T474">
        <f>MOD(A474-FourWeekly_Model!$M$1,28)</f>
        <v>3</v>
      </c>
    </row>
    <row r="475" spans="1:20">
      <c r="A475" s="25">
        <f t="shared" si="126"/>
        <v>46708</v>
      </c>
      <c r="B475">
        <f t="shared" si="112"/>
        <v>2027</v>
      </c>
      <c r="C475" s="9">
        <f t="shared" si="113"/>
        <v>11</v>
      </c>
      <c r="D475" s="9" t="str">
        <f t="shared" si="114"/>
        <v>November</v>
      </c>
      <c r="E475" s="9" t="str">
        <f t="shared" si="115"/>
        <v>Nov-27</v>
      </c>
      <c r="F475" s="9" t="str">
        <f t="shared" si="116"/>
        <v>Q4</v>
      </c>
      <c r="G475" s="9">
        <f t="shared" si="117"/>
        <v>17</v>
      </c>
      <c r="H475" s="9">
        <f t="shared" si="118"/>
        <v>3</v>
      </c>
      <c r="I475" s="9" t="str">
        <f t="shared" si="119"/>
        <v>Wednesday</v>
      </c>
      <c r="J475" s="9" t="str">
        <f t="shared" si="120"/>
        <v>No</v>
      </c>
      <c r="K475" s="5" t="str">
        <f>IF(COUNTIF(Bank_Holidays!A:A,A475)&gt;0,"Yes","No")</f>
        <v>No</v>
      </c>
      <c r="L475" t="str">
        <f t="shared" si="121"/>
        <v>Yes</v>
      </c>
      <c r="M475">
        <f t="shared" si="122"/>
        <v>46</v>
      </c>
      <c r="N475" s="5" t="str">
        <f t="shared" si="123"/>
        <v>No</v>
      </c>
      <c r="O475" t="str">
        <f>IF(A475=WORKDAY(EOMONTH(A475,0)+1,-1,Bank_Holidays!$A$2:$A$25),"Yes","No")</f>
        <v>No</v>
      </c>
      <c r="P475" t="str">
        <f t="shared" si="124"/>
        <v>No</v>
      </c>
      <c r="Q475" t="str">
        <f t="shared" si="125"/>
        <v>No</v>
      </c>
      <c r="R475" s="5">
        <f t="shared" si="127"/>
        <v>1</v>
      </c>
      <c r="S475">
        <f>MOD(A475-Fortnightly_Model!$M$1,14)</f>
        <v>4</v>
      </c>
      <c r="T475">
        <f>MOD(A475-FourWeekly_Model!$M$1,28)</f>
        <v>4</v>
      </c>
    </row>
    <row r="476" spans="1:20">
      <c r="A476" s="25">
        <f t="shared" si="126"/>
        <v>46709</v>
      </c>
      <c r="B476">
        <f t="shared" si="112"/>
        <v>2027</v>
      </c>
      <c r="C476" s="9">
        <f t="shared" si="113"/>
        <v>11</v>
      </c>
      <c r="D476" s="9" t="str">
        <f t="shared" si="114"/>
        <v>November</v>
      </c>
      <c r="E476" s="9" t="str">
        <f t="shared" si="115"/>
        <v>Nov-27</v>
      </c>
      <c r="F476" s="9" t="str">
        <f t="shared" si="116"/>
        <v>Q4</v>
      </c>
      <c r="G476" s="9">
        <f t="shared" si="117"/>
        <v>18</v>
      </c>
      <c r="H476" s="9">
        <f t="shared" si="118"/>
        <v>4</v>
      </c>
      <c r="I476" s="9" t="str">
        <f t="shared" si="119"/>
        <v>Thursday</v>
      </c>
      <c r="J476" s="9" t="str">
        <f t="shared" si="120"/>
        <v>No</v>
      </c>
      <c r="K476" s="5" t="str">
        <f>IF(COUNTIF(Bank_Holidays!A:A,A476)&gt;0,"Yes","No")</f>
        <v>No</v>
      </c>
      <c r="L476" t="str">
        <f t="shared" si="121"/>
        <v>Yes</v>
      </c>
      <c r="M476">
        <f t="shared" si="122"/>
        <v>46</v>
      </c>
      <c r="N476" s="5" t="str">
        <f t="shared" si="123"/>
        <v>No</v>
      </c>
      <c r="O476" t="str">
        <f>IF(A476=WORKDAY(EOMONTH(A476,0)+1,-1,Bank_Holidays!$A$2:$A$25),"Yes","No")</f>
        <v>No</v>
      </c>
      <c r="P476" t="str">
        <f t="shared" si="124"/>
        <v>No</v>
      </c>
      <c r="Q476" t="str">
        <f t="shared" si="125"/>
        <v>No</v>
      </c>
      <c r="R476" s="5">
        <f t="shared" si="127"/>
        <v>1</v>
      </c>
      <c r="S476">
        <f>MOD(A476-Fortnightly_Model!$M$1,14)</f>
        <v>5</v>
      </c>
      <c r="T476">
        <f>MOD(A476-FourWeekly_Model!$M$1,28)</f>
        <v>5</v>
      </c>
    </row>
    <row r="477" spans="1:20">
      <c r="A477" s="25">
        <f t="shared" si="126"/>
        <v>46710</v>
      </c>
      <c r="B477">
        <f t="shared" si="112"/>
        <v>2027</v>
      </c>
      <c r="C477" s="9">
        <f t="shared" si="113"/>
        <v>11</v>
      </c>
      <c r="D477" s="9" t="str">
        <f t="shared" si="114"/>
        <v>November</v>
      </c>
      <c r="E477" s="9" t="str">
        <f t="shared" si="115"/>
        <v>Nov-27</v>
      </c>
      <c r="F477" s="9" t="str">
        <f t="shared" si="116"/>
        <v>Q4</v>
      </c>
      <c r="G477" s="9">
        <f t="shared" si="117"/>
        <v>19</v>
      </c>
      <c r="H477" s="9">
        <f t="shared" si="118"/>
        <v>5</v>
      </c>
      <c r="I477" s="9" t="str">
        <f t="shared" si="119"/>
        <v>Friday</v>
      </c>
      <c r="J477" s="9" t="str">
        <f t="shared" si="120"/>
        <v>No</v>
      </c>
      <c r="K477" s="5" t="str">
        <f>IF(COUNTIF(Bank_Holidays!A:A,A477)&gt;0,"Yes","No")</f>
        <v>No</v>
      </c>
      <c r="L477" t="str">
        <f t="shared" si="121"/>
        <v>Yes</v>
      </c>
      <c r="M477">
        <f t="shared" si="122"/>
        <v>46</v>
      </c>
      <c r="N477" s="5" t="str">
        <f t="shared" si="123"/>
        <v>No</v>
      </c>
      <c r="O477" t="str">
        <f>IF(A477=WORKDAY(EOMONTH(A477,0)+1,-1,Bank_Holidays!$A$2:$A$25),"Yes","No")</f>
        <v>No</v>
      </c>
      <c r="P477" t="str">
        <f t="shared" si="124"/>
        <v>No</v>
      </c>
      <c r="Q477" t="str">
        <f t="shared" si="125"/>
        <v>No</v>
      </c>
      <c r="R477" s="5">
        <f t="shared" si="127"/>
        <v>3</v>
      </c>
      <c r="S477">
        <f>MOD(A477-Fortnightly_Model!$M$1,14)</f>
        <v>6</v>
      </c>
      <c r="T477">
        <f>MOD(A477-FourWeekly_Model!$M$1,28)</f>
        <v>6</v>
      </c>
    </row>
    <row r="478" spans="1:20">
      <c r="A478" s="25">
        <f t="shared" si="126"/>
        <v>46711</v>
      </c>
      <c r="B478">
        <f t="shared" si="112"/>
        <v>2027</v>
      </c>
      <c r="C478" s="9">
        <f t="shared" si="113"/>
        <v>11</v>
      </c>
      <c r="D478" s="9" t="str">
        <f t="shared" si="114"/>
        <v>November</v>
      </c>
      <c r="E478" s="9" t="str">
        <f t="shared" si="115"/>
        <v>Nov-27</v>
      </c>
      <c r="F478" s="9" t="str">
        <f t="shared" si="116"/>
        <v>Q4</v>
      </c>
      <c r="G478" s="9">
        <f t="shared" si="117"/>
        <v>20</v>
      </c>
      <c r="H478" s="9">
        <f t="shared" si="118"/>
        <v>6</v>
      </c>
      <c r="I478" s="9" t="str">
        <f t="shared" si="119"/>
        <v>Saturday</v>
      </c>
      <c r="J478" s="9" t="str">
        <f t="shared" si="120"/>
        <v>Yes</v>
      </c>
      <c r="K478" s="5" t="str">
        <f>IF(COUNTIF(Bank_Holidays!A:A,A478)&gt;0,"Yes","No")</f>
        <v>No</v>
      </c>
      <c r="L478" t="str">
        <f t="shared" si="121"/>
        <v>No</v>
      </c>
      <c r="M478">
        <f t="shared" si="122"/>
        <v>46</v>
      </c>
      <c r="N478" s="5" t="str">
        <f t="shared" si="123"/>
        <v>No</v>
      </c>
      <c r="O478" t="str">
        <f>IF(A478=WORKDAY(EOMONTH(A478,0)+1,-1,Bank_Holidays!$A$2:$A$25),"Yes","No")</f>
        <v>No</v>
      </c>
      <c r="P478" t="str">
        <f t="shared" si="124"/>
        <v>No</v>
      </c>
      <c r="Q478" t="str">
        <f t="shared" si="125"/>
        <v>No</v>
      </c>
      <c r="R478" s="5">
        <f t="shared" si="127"/>
        <v>0</v>
      </c>
      <c r="S478">
        <f>MOD(A478-Fortnightly_Model!$M$1,14)</f>
        <v>7</v>
      </c>
      <c r="T478">
        <f>MOD(A478-FourWeekly_Model!$M$1,28)</f>
        <v>7</v>
      </c>
    </row>
    <row r="479" spans="1:20">
      <c r="A479" s="25">
        <f t="shared" si="126"/>
        <v>46712</v>
      </c>
      <c r="B479">
        <f t="shared" si="112"/>
        <v>2027</v>
      </c>
      <c r="C479" s="9">
        <f t="shared" si="113"/>
        <v>11</v>
      </c>
      <c r="D479" s="9" t="str">
        <f t="shared" si="114"/>
        <v>November</v>
      </c>
      <c r="E479" s="9" t="str">
        <f t="shared" si="115"/>
        <v>Nov-27</v>
      </c>
      <c r="F479" s="9" t="str">
        <f t="shared" si="116"/>
        <v>Q4</v>
      </c>
      <c r="G479" s="9">
        <f t="shared" si="117"/>
        <v>21</v>
      </c>
      <c r="H479" s="9">
        <f t="shared" si="118"/>
        <v>7</v>
      </c>
      <c r="I479" s="9" t="str">
        <f t="shared" si="119"/>
        <v>Sunday</v>
      </c>
      <c r="J479" s="9" t="str">
        <f t="shared" si="120"/>
        <v>Yes</v>
      </c>
      <c r="K479" s="5" t="str">
        <f>IF(COUNTIF(Bank_Holidays!A:A,A479)&gt;0,"Yes","No")</f>
        <v>No</v>
      </c>
      <c r="L479" t="str">
        <f t="shared" si="121"/>
        <v>No</v>
      </c>
      <c r="M479">
        <f t="shared" si="122"/>
        <v>46</v>
      </c>
      <c r="N479" s="5" t="str">
        <f t="shared" si="123"/>
        <v>No</v>
      </c>
      <c r="O479" t="str">
        <f>IF(A479=WORKDAY(EOMONTH(A479,0)+1,-1,Bank_Holidays!$A$2:$A$25),"Yes","No")</f>
        <v>No</v>
      </c>
      <c r="P479" t="str">
        <f t="shared" si="124"/>
        <v>No</v>
      </c>
      <c r="Q479" t="str">
        <f t="shared" si="125"/>
        <v>No</v>
      </c>
      <c r="R479" s="5">
        <f t="shared" si="127"/>
        <v>0</v>
      </c>
      <c r="S479">
        <f>MOD(A479-Fortnightly_Model!$M$1,14)</f>
        <v>8</v>
      </c>
      <c r="T479">
        <f>MOD(A479-FourWeekly_Model!$M$1,28)</f>
        <v>8</v>
      </c>
    </row>
    <row r="480" spans="1:20">
      <c r="A480" s="25">
        <f t="shared" si="126"/>
        <v>46713</v>
      </c>
      <c r="B480">
        <f t="shared" si="112"/>
        <v>2027</v>
      </c>
      <c r="C480" s="9">
        <f t="shared" si="113"/>
        <v>11</v>
      </c>
      <c r="D480" s="9" t="str">
        <f t="shared" si="114"/>
        <v>November</v>
      </c>
      <c r="E480" s="9" t="str">
        <f t="shared" si="115"/>
        <v>Nov-27</v>
      </c>
      <c r="F480" s="9" t="str">
        <f t="shared" si="116"/>
        <v>Q4</v>
      </c>
      <c r="G480" s="9">
        <f t="shared" si="117"/>
        <v>22</v>
      </c>
      <c r="H480" s="9">
        <f t="shared" si="118"/>
        <v>1</v>
      </c>
      <c r="I480" s="9" t="str">
        <f t="shared" si="119"/>
        <v>Monday</v>
      </c>
      <c r="J480" s="9" t="str">
        <f t="shared" si="120"/>
        <v>No</v>
      </c>
      <c r="K480" s="5" t="str">
        <f>IF(COUNTIF(Bank_Holidays!A:A,A480)&gt;0,"Yes","No")</f>
        <v>No</v>
      </c>
      <c r="L480" t="str">
        <f t="shared" si="121"/>
        <v>Yes</v>
      </c>
      <c r="M480">
        <f t="shared" si="122"/>
        <v>47</v>
      </c>
      <c r="N480" s="5" t="str">
        <f t="shared" si="123"/>
        <v>No</v>
      </c>
      <c r="O480" t="str">
        <f>IF(A480=WORKDAY(EOMONTH(A480,0)+1,-1,Bank_Holidays!$A$2:$A$25),"Yes","No")</f>
        <v>No</v>
      </c>
      <c r="P480" t="str">
        <f t="shared" si="124"/>
        <v>No</v>
      </c>
      <c r="Q480" t="str">
        <f t="shared" si="125"/>
        <v>No</v>
      </c>
      <c r="R480" s="5">
        <f t="shared" si="127"/>
        <v>1</v>
      </c>
      <c r="S480">
        <f>MOD(A480-Fortnightly_Model!$M$1,14)</f>
        <v>9</v>
      </c>
      <c r="T480">
        <f>MOD(A480-FourWeekly_Model!$M$1,28)</f>
        <v>9</v>
      </c>
    </row>
    <row r="481" spans="1:20">
      <c r="A481" s="25">
        <f t="shared" si="126"/>
        <v>46714</v>
      </c>
      <c r="B481">
        <f t="shared" si="112"/>
        <v>2027</v>
      </c>
      <c r="C481" s="9">
        <f t="shared" si="113"/>
        <v>11</v>
      </c>
      <c r="D481" s="9" t="str">
        <f t="shared" si="114"/>
        <v>November</v>
      </c>
      <c r="E481" s="9" t="str">
        <f t="shared" si="115"/>
        <v>Nov-27</v>
      </c>
      <c r="F481" s="9" t="str">
        <f t="shared" si="116"/>
        <v>Q4</v>
      </c>
      <c r="G481" s="9">
        <f t="shared" si="117"/>
        <v>23</v>
      </c>
      <c r="H481" s="9">
        <f t="shared" si="118"/>
        <v>2</v>
      </c>
      <c r="I481" s="9" t="str">
        <f t="shared" si="119"/>
        <v>Tuesday</v>
      </c>
      <c r="J481" s="9" t="str">
        <f t="shared" si="120"/>
        <v>No</v>
      </c>
      <c r="K481" s="5" t="str">
        <f>IF(COUNTIF(Bank_Holidays!A:A,A481)&gt;0,"Yes","No")</f>
        <v>No</v>
      </c>
      <c r="L481" t="str">
        <f t="shared" si="121"/>
        <v>Yes</v>
      </c>
      <c r="M481">
        <f t="shared" si="122"/>
        <v>47</v>
      </c>
      <c r="N481" s="5" t="str">
        <f t="shared" si="123"/>
        <v>No</v>
      </c>
      <c r="O481" t="str">
        <f>IF(A481=WORKDAY(EOMONTH(A481,0)+1,-1,Bank_Holidays!$A$2:$A$25),"Yes","No")</f>
        <v>No</v>
      </c>
      <c r="P481" t="str">
        <f t="shared" si="124"/>
        <v>No</v>
      </c>
      <c r="Q481" t="str">
        <f t="shared" si="125"/>
        <v>No</v>
      </c>
      <c r="R481" s="5">
        <f t="shared" si="127"/>
        <v>1</v>
      </c>
      <c r="S481">
        <f>MOD(A481-Fortnightly_Model!$M$1,14)</f>
        <v>10</v>
      </c>
      <c r="T481">
        <f>MOD(A481-FourWeekly_Model!$M$1,28)</f>
        <v>10</v>
      </c>
    </row>
    <row r="482" spans="1:20">
      <c r="A482" s="25">
        <f t="shared" si="126"/>
        <v>46715</v>
      </c>
      <c r="B482">
        <f t="shared" si="112"/>
        <v>2027</v>
      </c>
      <c r="C482" s="9">
        <f t="shared" si="113"/>
        <v>11</v>
      </c>
      <c r="D482" s="9" t="str">
        <f t="shared" si="114"/>
        <v>November</v>
      </c>
      <c r="E482" s="9" t="str">
        <f t="shared" si="115"/>
        <v>Nov-27</v>
      </c>
      <c r="F482" s="9" t="str">
        <f t="shared" si="116"/>
        <v>Q4</v>
      </c>
      <c r="G482" s="9">
        <f t="shared" si="117"/>
        <v>24</v>
      </c>
      <c r="H482" s="9">
        <f t="shared" si="118"/>
        <v>3</v>
      </c>
      <c r="I482" s="9" t="str">
        <f t="shared" si="119"/>
        <v>Wednesday</v>
      </c>
      <c r="J482" s="9" t="str">
        <f t="shared" si="120"/>
        <v>No</v>
      </c>
      <c r="K482" s="5" t="str">
        <f>IF(COUNTIF(Bank_Holidays!A:A,A482)&gt;0,"Yes","No")</f>
        <v>No</v>
      </c>
      <c r="L482" t="str">
        <f t="shared" si="121"/>
        <v>Yes</v>
      </c>
      <c r="M482">
        <f t="shared" si="122"/>
        <v>47</v>
      </c>
      <c r="N482" s="5" t="str">
        <f t="shared" si="123"/>
        <v>No</v>
      </c>
      <c r="O482" t="str">
        <f>IF(A482=WORKDAY(EOMONTH(A482,0)+1,-1,Bank_Holidays!$A$2:$A$25),"Yes","No")</f>
        <v>No</v>
      </c>
      <c r="P482" t="str">
        <f t="shared" si="124"/>
        <v>No</v>
      </c>
      <c r="Q482" t="str">
        <f t="shared" si="125"/>
        <v>No</v>
      </c>
      <c r="R482" s="5">
        <f t="shared" si="127"/>
        <v>1</v>
      </c>
      <c r="S482">
        <f>MOD(A482-Fortnightly_Model!$M$1,14)</f>
        <v>11</v>
      </c>
      <c r="T482">
        <f>MOD(A482-FourWeekly_Model!$M$1,28)</f>
        <v>11</v>
      </c>
    </row>
    <row r="483" spans="1:20">
      <c r="A483" s="25">
        <f t="shared" si="126"/>
        <v>46716</v>
      </c>
      <c r="B483">
        <f t="shared" si="112"/>
        <v>2027</v>
      </c>
      <c r="C483" s="9">
        <f t="shared" si="113"/>
        <v>11</v>
      </c>
      <c r="D483" s="9" t="str">
        <f t="shared" si="114"/>
        <v>November</v>
      </c>
      <c r="E483" s="9" t="str">
        <f t="shared" si="115"/>
        <v>Nov-27</v>
      </c>
      <c r="F483" s="9" t="str">
        <f t="shared" si="116"/>
        <v>Q4</v>
      </c>
      <c r="G483" s="9">
        <f t="shared" si="117"/>
        <v>25</v>
      </c>
      <c r="H483" s="9">
        <f t="shared" si="118"/>
        <v>4</v>
      </c>
      <c r="I483" s="9" t="str">
        <f t="shared" si="119"/>
        <v>Thursday</v>
      </c>
      <c r="J483" s="9" t="str">
        <f t="shared" si="120"/>
        <v>No</v>
      </c>
      <c r="K483" s="5" t="str">
        <f>IF(COUNTIF(Bank_Holidays!A:A,A483)&gt;0,"Yes","No")</f>
        <v>No</v>
      </c>
      <c r="L483" t="str">
        <f t="shared" si="121"/>
        <v>Yes</v>
      </c>
      <c r="M483">
        <f t="shared" si="122"/>
        <v>47</v>
      </c>
      <c r="N483" s="5" t="str">
        <f t="shared" si="123"/>
        <v>No</v>
      </c>
      <c r="O483" t="str">
        <f>IF(A483=WORKDAY(EOMONTH(A483,0)+1,-1,Bank_Holidays!$A$2:$A$25),"Yes","No")</f>
        <v>No</v>
      </c>
      <c r="P483" t="str">
        <f t="shared" si="124"/>
        <v>No</v>
      </c>
      <c r="Q483" t="str">
        <f t="shared" si="125"/>
        <v>Yes</v>
      </c>
      <c r="R483" s="5">
        <f t="shared" si="127"/>
        <v>1</v>
      </c>
      <c r="S483">
        <f>MOD(A483-Fortnightly_Model!$M$1,14)</f>
        <v>12</v>
      </c>
      <c r="T483">
        <f>MOD(A483-FourWeekly_Model!$M$1,28)</f>
        <v>12</v>
      </c>
    </row>
    <row r="484" spans="1:20">
      <c r="A484" s="25">
        <f t="shared" si="126"/>
        <v>46717</v>
      </c>
      <c r="B484">
        <f t="shared" si="112"/>
        <v>2027</v>
      </c>
      <c r="C484" s="9">
        <f t="shared" si="113"/>
        <v>11</v>
      </c>
      <c r="D484" s="9" t="str">
        <f t="shared" si="114"/>
        <v>November</v>
      </c>
      <c r="E484" s="9" t="str">
        <f t="shared" si="115"/>
        <v>Nov-27</v>
      </c>
      <c r="F484" s="9" t="str">
        <f t="shared" si="116"/>
        <v>Q4</v>
      </c>
      <c r="G484" s="9">
        <f t="shared" si="117"/>
        <v>26</v>
      </c>
      <c r="H484" s="9">
        <f t="shared" si="118"/>
        <v>5</v>
      </c>
      <c r="I484" s="9" t="str">
        <f t="shared" si="119"/>
        <v>Friday</v>
      </c>
      <c r="J484" s="9" t="str">
        <f t="shared" si="120"/>
        <v>No</v>
      </c>
      <c r="K484" s="5" t="str">
        <f>IF(COUNTIF(Bank_Holidays!A:A,A484)&gt;0,"Yes","No")</f>
        <v>No</v>
      </c>
      <c r="L484" t="str">
        <f t="shared" si="121"/>
        <v>Yes</v>
      </c>
      <c r="M484">
        <f t="shared" si="122"/>
        <v>47</v>
      </c>
      <c r="N484" s="5" t="str">
        <f t="shared" si="123"/>
        <v>No</v>
      </c>
      <c r="O484" t="str">
        <f>IF(A484=WORKDAY(EOMONTH(A484,0)+1,-1,Bank_Holidays!$A$2:$A$25),"Yes","No")</f>
        <v>No</v>
      </c>
      <c r="P484" t="str">
        <f t="shared" si="124"/>
        <v>Yes</v>
      </c>
      <c r="Q484" t="str">
        <f t="shared" si="125"/>
        <v>No</v>
      </c>
      <c r="R484" s="5">
        <f t="shared" si="127"/>
        <v>3</v>
      </c>
      <c r="S484">
        <f>MOD(A484-Fortnightly_Model!$M$1,14)</f>
        <v>13</v>
      </c>
      <c r="T484">
        <f>MOD(A484-FourWeekly_Model!$M$1,28)</f>
        <v>13</v>
      </c>
    </row>
    <row r="485" spans="1:20">
      <c r="A485" s="25">
        <f t="shared" si="126"/>
        <v>46718</v>
      </c>
      <c r="B485">
        <f t="shared" si="112"/>
        <v>2027</v>
      </c>
      <c r="C485" s="9">
        <f t="shared" si="113"/>
        <v>11</v>
      </c>
      <c r="D485" s="9" t="str">
        <f t="shared" si="114"/>
        <v>November</v>
      </c>
      <c r="E485" s="9" t="str">
        <f t="shared" si="115"/>
        <v>Nov-27</v>
      </c>
      <c r="F485" s="9" t="str">
        <f t="shared" si="116"/>
        <v>Q4</v>
      </c>
      <c r="G485" s="9">
        <f t="shared" si="117"/>
        <v>27</v>
      </c>
      <c r="H485" s="9">
        <f t="shared" si="118"/>
        <v>6</v>
      </c>
      <c r="I485" s="9" t="str">
        <f t="shared" si="119"/>
        <v>Saturday</v>
      </c>
      <c r="J485" s="9" t="str">
        <f t="shared" si="120"/>
        <v>Yes</v>
      </c>
      <c r="K485" s="5" t="str">
        <f>IF(COUNTIF(Bank_Holidays!A:A,A485)&gt;0,"Yes","No")</f>
        <v>No</v>
      </c>
      <c r="L485" t="str">
        <f t="shared" si="121"/>
        <v>No</v>
      </c>
      <c r="M485">
        <f t="shared" si="122"/>
        <v>47</v>
      </c>
      <c r="N485" s="5" t="str">
        <f t="shared" si="123"/>
        <v>No</v>
      </c>
      <c r="O485" t="str">
        <f>IF(A485=WORKDAY(EOMONTH(A485,0)+1,-1,Bank_Holidays!$A$2:$A$25),"Yes","No")</f>
        <v>No</v>
      </c>
      <c r="P485" t="str">
        <f t="shared" si="124"/>
        <v>No</v>
      </c>
      <c r="Q485" t="str">
        <f t="shared" si="125"/>
        <v>No</v>
      </c>
      <c r="R485" s="5">
        <f t="shared" si="127"/>
        <v>0</v>
      </c>
      <c r="S485">
        <f>MOD(A485-Fortnightly_Model!$M$1,14)</f>
        <v>0</v>
      </c>
      <c r="T485">
        <f>MOD(A485-FourWeekly_Model!$M$1,28)</f>
        <v>14</v>
      </c>
    </row>
    <row r="486" spans="1:20">
      <c r="A486" s="25">
        <f t="shared" si="126"/>
        <v>46719</v>
      </c>
      <c r="B486">
        <f t="shared" si="112"/>
        <v>2027</v>
      </c>
      <c r="C486" s="9">
        <f t="shared" si="113"/>
        <v>11</v>
      </c>
      <c r="D486" s="9" t="str">
        <f t="shared" si="114"/>
        <v>November</v>
      </c>
      <c r="E486" s="9" t="str">
        <f t="shared" si="115"/>
        <v>Nov-27</v>
      </c>
      <c r="F486" s="9" t="str">
        <f t="shared" si="116"/>
        <v>Q4</v>
      </c>
      <c r="G486" s="9">
        <f t="shared" si="117"/>
        <v>28</v>
      </c>
      <c r="H486" s="9">
        <f t="shared" si="118"/>
        <v>7</v>
      </c>
      <c r="I486" s="9" t="str">
        <f t="shared" si="119"/>
        <v>Sunday</v>
      </c>
      <c r="J486" s="9" t="str">
        <f t="shared" si="120"/>
        <v>Yes</v>
      </c>
      <c r="K486" s="5" t="str">
        <f>IF(COUNTIF(Bank_Holidays!A:A,A486)&gt;0,"Yes","No")</f>
        <v>No</v>
      </c>
      <c r="L486" t="str">
        <f t="shared" si="121"/>
        <v>No</v>
      </c>
      <c r="M486">
        <f t="shared" si="122"/>
        <v>47</v>
      </c>
      <c r="N486" s="5" t="str">
        <f t="shared" si="123"/>
        <v>No</v>
      </c>
      <c r="O486" t="str">
        <f>IF(A486=WORKDAY(EOMONTH(A486,0)+1,-1,Bank_Holidays!$A$2:$A$25),"Yes","No")</f>
        <v>No</v>
      </c>
      <c r="P486" t="str">
        <f t="shared" si="124"/>
        <v>No</v>
      </c>
      <c r="Q486" t="str">
        <f t="shared" si="125"/>
        <v>No</v>
      </c>
      <c r="R486" s="5">
        <f t="shared" si="127"/>
        <v>0</v>
      </c>
      <c r="S486">
        <f>MOD(A486-Fortnightly_Model!$M$1,14)</f>
        <v>1</v>
      </c>
      <c r="T486">
        <f>MOD(A486-FourWeekly_Model!$M$1,28)</f>
        <v>15</v>
      </c>
    </row>
    <row r="487" spans="1:20">
      <c r="A487" s="25">
        <f t="shared" si="126"/>
        <v>46720</v>
      </c>
      <c r="B487">
        <f t="shared" si="112"/>
        <v>2027</v>
      </c>
      <c r="C487" s="9">
        <f t="shared" si="113"/>
        <v>11</v>
      </c>
      <c r="D487" s="9" t="str">
        <f t="shared" si="114"/>
        <v>November</v>
      </c>
      <c r="E487" s="9" t="str">
        <f t="shared" si="115"/>
        <v>Nov-27</v>
      </c>
      <c r="F487" s="9" t="str">
        <f t="shared" si="116"/>
        <v>Q4</v>
      </c>
      <c r="G487" s="9">
        <f t="shared" si="117"/>
        <v>29</v>
      </c>
      <c r="H487" s="9">
        <f t="shared" si="118"/>
        <v>1</v>
      </c>
      <c r="I487" s="9" t="str">
        <f t="shared" si="119"/>
        <v>Monday</v>
      </c>
      <c r="J487" s="9" t="str">
        <f t="shared" si="120"/>
        <v>No</v>
      </c>
      <c r="K487" s="5" t="str">
        <f>IF(COUNTIF(Bank_Holidays!A:A,A487)&gt;0,"Yes","No")</f>
        <v>No</v>
      </c>
      <c r="L487" t="str">
        <f t="shared" si="121"/>
        <v>Yes</v>
      </c>
      <c r="M487">
        <f t="shared" si="122"/>
        <v>48</v>
      </c>
      <c r="N487" s="5" t="str">
        <f t="shared" si="123"/>
        <v>No</v>
      </c>
      <c r="O487" t="str">
        <f>IF(A487=WORKDAY(EOMONTH(A487,0)+1,-1,Bank_Holidays!$A$2:$A$25),"Yes","No")</f>
        <v>No</v>
      </c>
      <c r="P487" t="str">
        <f t="shared" si="124"/>
        <v>No</v>
      </c>
      <c r="Q487" t="str">
        <f t="shared" si="125"/>
        <v>No</v>
      </c>
      <c r="R487" s="5">
        <f t="shared" si="127"/>
        <v>1</v>
      </c>
      <c r="S487">
        <f>MOD(A487-Fortnightly_Model!$M$1,14)</f>
        <v>2</v>
      </c>
      <c r="T487">
        <f>MOD(A487-FourWeekly_Model!$M$1,28)</f>
        <v>16</v>
      </c>
    </row>
    <row r="488" spans="1:20">
      <c r="A488" s="25">
        <f t="shared" si="126"/>
        <v>46721</v>
      </c>
      <c r="B488">
        <f t="shared" si="112"/>
        <v>2027</v>
      </c>
      <c r="C488" s="9">
        <f t="shared" si="113"/>
        <v>11</v>
      </c>
      <c r="D488" s="9" t="str">
        <f t="shared" si="114"/>
        <v>November</v>
      </c>
      <c r="E488" s="9" t="str">
        <f t="shared" si="115"/>
        <v>Nov-27</v>
      </c>
      <c r="F488" s="9" t="str">
        <f t="shared" si="116"/>
        <v>Q4</v>
      </c>
      <c r="G488" s="9">
        <f t="shared" si="117"/>
        <v>30</v>
      </c>
      <c r="H488" s="9">
        <f t="shared" si="118"/>
        <v>2</v>
      </c>
      <c r="I488" s="9" t="str">
        <f t="shared" si="119"/>
        <v>Tuesday</v>
      </c>
      <c r="J488" s="9" t="str">
        <f t="shared" si="120"/>
        <v>No</v>
      </c>
      <c r="K488" s="5" t="str">
        <f>IF(COUNTIF(Bank_Holidays!A:A,A488)&gt;0,"Yes","No")</f>
        <v>No</v>
      </c>
      <c r="L488" t="str">
        <f t="shared" si="121"/>
        <v>Yes</v>
      </c>
      <c r="M488">
        <f t="shared" si="122"/>
        <v>48</v>
      </c>
      <c r="N488" s="5" t="str">
        <f t="shared" si="123"/>
        <v>Yes</v>
      </c>
      <c r="O488" t="str">
        <f>IF(A488=WORKDAY(EOMONTH(A488,0)+1,-1,Bank_Holidays!$A$2:$A$25),"Yes","No")</f>
        <v>Yes</v>
      </c>
      <c r="P488" t="str">
        <f t="shared" si="124"/>
        <v>No</v>
      </c>
      <c r="Q488" t="str">
        <f t="shared" si="125"/>
        <v>No</v>
      </c>
      <c r="R488" s="5">
        <f t="shared" si="127"/>
        <v>1</v>
      </c>
      <c r="S488">
        <f>MOD(A488-Fortnightly_Model!$M$1,14)</f>
        <v>3</v>
      </c>
      <c r="T488">
        <f>MOD(A488-FourWeekly_Model!$M$1,28)</f>
        <v>17</v>
      </c>
    </row>
    <row r="489" spans="1:20">
      <c r="A489" s="25">
        <f t="shared" si="126"/>
        <v>46722</v>
      </c>
      <c r="B489">
        <f t="shared" si="112"/>
        <v>2027</v>
      </c>
      <c r="C489" s="9">
        <f t="shared" si="113"/>
        <v>12</v>
      </c>
      <c r="D489" s="9" t="str">
        <f t="shared" si="114"/>
        <v>December</v>
      </c>
      <c r="E489" s="9" t="str">
        <f t="shared" si="115"/>
        <v>Dec-27</v>
      </c>
      <c r="F489" s="9" t="str">
        <f t="shared" si="116"/>
        <v>Q4</v>
      </c>
      <c r="G489" s="9">
        <f t="shared" si="117"/>
        <v>1</v>
      </c>
      <c r="H489" s="9">
        <f t="shared" si="118"/>
        <v>3</v>
      </c>
      <c r="I489" s="9" t="str">
        <f t="shared" si="119"/>
        <v>Wednesday</v>
      </c>
      <c r="J489" s="9" t="str">
        <f t="shared" si="120"/>
        <v>No</v>
      </c>
      <c r="K489" s="5" t="str">
        <f>IF(COUNTIF(Bank_Holidays!A:A,A489)&gt;0,"Yes","No")</f>
        <v>No</v>
      </c>
      <c r="L489" t="str">
        <f t="shared" si="121"/>
        <v>Yes</v>
      </c>
      <c r="M489">
        <f t="shared" si="122"/>
        <v>48</v>
      </c>
      <c r="N489" s="5" t="str">
        <f t="shared" si="123"/>
        <v>No</v>
      </c>
      <c r="O489" t="str">
        <f>IF(A489=WORKDAY(EOMONTH(A489,0)+1,-1,Bank_Holidays!$A$2:$A$25),"Yes","No")</f>
        <v>No</v>
      </c>
      <c r="P489" t="str">
        <f t="shared" si="124"/>
        <v>No</v>
      </c>
      <c r="Q489" t="str">
        <f t="shared" si="125"/>
        <v>No</v>
      </c>
      <c r="R489" s="5">
        <f t="shared" si="127"/>
        <v>1</v>
      </c>
      <c r="S489">
        <f>MOD(A489-Fortnightly_Model!$M$1,14)</f>
        <v>4</v>
      </c>
      <c r="T489">
        <f>MOD(A489-FourWeekly_Model!$M$1,28)</f>
        <v>18</v>
      </c>
    </row>
    <row r="490" spans="1:20">
      <c r="A490" s="25">
        <f t="shared" si="126"/>
        <v>46723</v>
      </c>
      <c r="B490">
        <f t="shared" si="112"/>
        <v>2027</v>
      </c>
      <c r="C490" s="9">
        <f t="shared" si="113"/>
        <v>12</v>
      </c>
      <c r="D490" s="9" t="str">
        <f t="shared" si="114"/>
        <v>December</v>
      </c>
      <c r="E490" s="9" t="str">
        <f t="shared" si="115"/>
        <v>Dec-27</v>
      </c>
      <c r="F490" s="9" t="str">
        <f t="shared" si="116"/>
        <v>Q4</v>
      </c>
      <c r="G490" s="9">
        <f t="shared" si="117"/>
        <v>2</v>
      </c>
      <c r="H490" s="9">
        <f t="shared" si="118"/>
        <v>4</v>
      </c>
      <c r="I490" s="9" t="str">
        <f t="shared" si="119"/>
        <v>Thursday</v>
      </c>
      <c r="J490" s="9" t="str">
        <f t="shared" si="120"/>
        <v>No</v>
      </c>
      <c r="K490" s="5" t="str">
        <f>IF(COUNTIF(Bank_Holidays!A:A,A490)&gt;0,"Yes","No")</f>
        <v>No</v>
      </c>
      <c r="L490" t="str">
        <f t="shared" si="121"/>
        <v>Yes</v>
      </c>
      <c r="M490">
        <f t="shared" si="122"/>
        <v>48</v>
      </c>
      <c r="N490" s="5" t="str">
        <f t="shared" si="123"/>
        <v>No</v>
      </c>
      <c r="O490" t="str">
        <f>IF(A490=WORKDAY(EOMONTH(A490,0)+1,-1,Bank_Holidays!$A$2:$A$25),"Yes","No")</f>
        <v>No</v>
      </c>
      <c r="P490" t="str">
        <f t="shared" si="124"/>
        <v>No</v>
      </c>
      <c r="Q490" t="str">
        <f t="shared" si="125"/>
        <v>No</v>
      </c>
      <c r="R490" s="5">
        <f t="shared" si="127"/>
        <v>1</v>
      </c>
      <c r="S490">
        <f>MOD(A490-Fortnightly_Model!$M$1,14)</f>
        <v>5</v>
      </c>
      <c r="T490">
        <f>MOD(A490-FourWeekly_Model!$M$1,28)</f>
        <v>19</v>
      </c>
    </row>
    <row r="491" spans="1:20">
      <c r="A491" s="25">
        <f t="shared" si="126"/>
        <v>46724</v>
      </c>
      <c r="B491">
        <f t="shared" si="112"/>
        <v>2027</v>
      </c>
      <c r="C491" s="9">
        <f t="shared" si="113"/>
        <v>12</v>
      </c>
      <c r="D491" s="9" t="str">
        <f t="shared" si="114"/>
        <v>December</v>
      </c>
      <c r="E491" s="9" t="str">
        <f t="shared" si="115"/>
        <v>Dec-27</v>
      </c>
      <c r="F491" s="9" t="str">
        <f t="shared" si="116"/>
        <v>Q4</v>
      </c>
      <c r="G491" s="9">
        <f t="shared" si="117"/>
        <v>3</v>
      </c>
      <c r="H491" s="9">
        <f t="shared" si="118"/>
        <v>5</v>
      </c>
      <c r="I491" s="9" t="str">
        <f t="shared" si="119"/>
        <v>Friday</v>
      </c>
      <c r="J491" s="9" t="str">
        <f t="shared" si="120"/>
        <v>No</v>
      </c>
      <c r="K491" s="5" t="str">
        <f>IF(COUNTIF(Bank_Holidays!A:A,A491)&gt;0,"Yes","No")</f>
        <v>No</v>
      </c>
      <c r="L491" t="str">
        <f t="shared" si="121"/>
        <v>Yes</v>
      </c>
      <c r="M491">
        <f t="shared" si="122"/>
        <v>48</v>
      </c>
      <c r="N491" s="5" t="str">
        <f t="shared" si="123"/>
        <v>No</v>
      </c>
      <c r="O491" t="str">
        <f>IF(A491=WORKDAY(EOMONTH(A491,0)+1,-1,Bank_Holidays!$A$2:$A$25),"Yes","No")</f>
        <v>No</v>
      </c>
      <c r="P491" t="str">
        <f t="shared" si="124"/>
        <v>No</v>
      </c>
      <c r="Q491" t="str">
        <f t="shared" si="125"/>
        <v>No</v>
      </c>
      <c r="R491" s="5">
        <f t="shared" si="127"/>
        <v>3</v>
      </c>
      <c r="S491">
        <f>MOD(A491-Fortnightly_Model!$M$1,14)</f>
        <v>6</v>
      </c>
      <c r="T491">
        <f>MOD(A491-FourWeekly_Model!$M$1,28)</f>
        <v>20</v>
      </c>
    </row>
    <row r="492" spans="1:20">
      <c r="A492" s="25">
        <f t="shared" si="126"/>
        <v>46725</v>
      </c>
      <c r="B492">
        <f t="shared" si="112"/>
        <v>2027</v>
      </c>
      <c r="C492" s="9">
        <f t="shared" si="113"/>
        <v>12</v>
      </c>
      <c r="D492" s="9" t="str">
        <f t="shared" si="114"/>
        <v>December</v>
      </c>
      <c r="E492" s="9" t="str">
        <f t="shared" si="115"/>
        <v>Dec-27</v>
      </c>
      <c r="F492" s="9" t="str">
        <f t="shared" si="116"/>
        <v>Q4</v>
      </c>
      <c r="G492" s="9">
        <f t="shared" si="117"/>
        <v>4</v>
      </c>
      <c r="H492" s="9">
        <f t="shared" si="118"/>
        <v>6</v>
      </c>
      <c r="I492" s="9" t="str">
        <f t="shared" si="119"/>
        <v>Saturday</v>
      </c>
      <c r="J492" s="9" t="str">
        <f t="shared" si="120"/>
        <v>Yes</v>
      </c>
      <c r="K492" s="5" t="str">
        <f>IF(COUNTIF(Bank_Holidays!A:A,A492)&gt;0,"Yes","No")</f>
        <v>No</v>
      </c>
      <c r="L492" t="str">
        <f t="shared" si="121"/>
        <v>No</v>
      </c>
      <c r="M492">
        <f t="shared" si="122"/>
        <v>48</v>
      </c>
      <c r="N492" s="5" t="str">
        <f t="shared" si="123"/>
        <v>No</v>
      </c>
      <c r="O492" t="str">
        <f>IF(A492=WORKDAY(EOMONTH(A492,0)+1,-1,Bank_Holidays!$A$2:$A$25),"Yes","No")</f>
        <v>No</v>
      </c>
      <c r="P492" t="str">
        <f t="shared" si="124"/>
        <v>No</v>
      </c>
      <c r="Q492" t="str">
        <f t="shared" si="125"/>
        <v>No</v>
      </c>
      <c r="R492" s="5">
        <f t="shared" si="127"/>
        <v>0</v>
      </c>
      <c r="S492">
        <f>MOD(A492-Fortnightly_Model!$M$1,14)</f>
        <v>7</v>
      </c>
      <c r="T492">
        <f>MOD(A492-FourWeekly_Model!$M$1,28)</f>
        <v>21</v>
      </c>
    </row>
    <row r="493" spans="1:20">
      <c r="A493" s="25">
        <f t="shared" si="126"/>
        <v>46726</v>
      </c>
      <c r="B493">
        <f t="shared" si="112"/>
        <v>2027</v>
      </c>
      <c r="C493" s="9">
        <f t="shared" si="113"/>
        <v>12</v>
      </c>
      <c r="D493" s="9" t="str">
        <f t="shared" si="114"/>
        <v>December</v>
      </c>
      <c r="E493" s="9" t="str">
        <f t="shared" si="115"/>
        <v>Dec-27</v>
      </c>
      <c r="F493" s="9" t="str">
        <f t="shared" si="116"/>
        <v>Q4</v>
      </c>
      <c r="G493" s="9">
        <f t="shared" si="117"/>
        <v>5</v>
      </c>
      <c r="H493" s="9">
        <f t="shared" si="118"/>
        <v>7</v>
      </c>
      <c r="I493" s="9" t="str">
        <f t="shared" si="119"/>
        <v>Sunday</v>
      </c>
      <c r="J493" s="9" t="str">
        <f t="shared" si="120"/>
        <v>Yes</v>
      </c>
      <c r="K493" s="5" t="str">
        <f>IF(COUNTIF(Bank_Holidays!A:A,A493)&gt;0,"Yes","No")</f>
        <v>No</v>
      </c>
      <c r="L493" t="str">
        <f t="shared" si="121"/>
        <v>No</v>
      </c>
      <c r="M493">
        <f t="shared" si="122"/>
        <v>48</v>
      </c>
      <c r="N493" s="5" t="str">
        <f t="shared" si="123"/>
        <v>No</v>
      </c>
      <c r="O493" t="str">
        <f>IF(A493=WORKDAY(EOMONTH(A493,0)+1,-1,Bank_Holidays!$A$2:$A$25),"Yes","No")</f>
        <v>No</v>
      </c>
      <c r="P493" t="str">
        <f t="shared" si="124"/>
        <v>No</v>
      </c>
      <c r="Q493" t="str">
        <f t="shared" si="125"/>
        <v>No</v>
      </c>
      <c r="R493" s="5">
        <f t="shared" si="127"/>
        <v>0</v>
      </c>
      <c r="S493">
        <f>MOD(A493-Fortnightly_Model!$M$1,14)</f>
        <v>8</v>
      </c>
      <c r="T493">
        <f>MOD(A493-FourWeekly_Model!$M$1,28)</f>
        <v>22</v>
      </c>
    </row>
    <row r="494" spans="1:20">
      <c r="A494" s="25">
        <f t="shared" si="126"/>
        <v>46727</v>
      </c>
      <c r="B494">
        <f t="shared" si="112"/>
        <v>2027</v>
      </c>
      <c r="C494" s="9">
        <f t="shared" si="113"/>
        <v>12</v>
      </c>
      <c r="D494" s="9" t="str">
        <f t="shared" si="114"/>
        <v>December</v>
      </c>
      <c r="E494" s="9" t="str">
        <f t="shared" si="115"/>
        <v>Dec-27</v>
      </c>
      <c r="F494" s="9" t="str">
        <f t="shared" si="116"/>
        <v>Q4</v>
      </c>
      <c r="G494" s="9">
        <f t="shared" si="117"/>
        <v>6</v>
      </c>
      <c r="H494" s="9">
        <f t="shared" si="118"/>
        <v>1</v>
      </c>
      <c r="I494" s="9" t="str">
        <f t="shared" si="119"/>
        <v>Monday</v>
      </c>
      <c r="J494" s="9" t="str">
        <f t="shared" si="120"/>
        <v>No</v>
      </c>
      <c r="K494" s="5" t="str">
        <f>IF(COUNTIF(Bank_Holidays!A:A,A494)&gt;0,"Yes","No")</f>
        <v>No</v>
      </c>
      <c r="L494" t="str">
        <f t="shared" si="121"/>
        <v>Yes</v>
      </c>
      <c r="M494">
        <f t="shared" si="122"/>
        <v>49</v>
      </c>
      <c r="N494" s="5" t="str">
        <f t="shared" si="123"/>
        <v>No</v>
      </c>
      <c r="O494" t="str">
        <f>IF(A494=WORKDAY(EOMONTH(A494,0)+1,-1,Bank_Holidays!$A$2:$A$25),"Yes","No")</f>
        <v>No</v>
      </c>
      <c r="P494" t="str">
        <f t="shared" si="124"/>
        <v>No</v>
      </c>
      <c r="Q494" t="str">
        <f t="shared" si="125"/>
        <v>No</v>
      </c>
      <c r="R494" s="5">
        <f t="shared" si="127"/>
        <v>1</v>
      </c>
      <c r="S494">
        <f>MOD(A494-Fortnightly_Model!$M$1,14)</f>
        <v>9</v>
      </c>
      <c r="T494">
        <f>MOD(A494-FourWeekly_Model!$M$1,28)</f>
        <v>23</v>
      </c>
    </row>
    <row r="495" spans="1:20">
      <c r="A495" s="25">
        <f t="shared" si="126"/>
        <v>46728</v>
      </c>
      <c r="B495">
        <f t="shared" si="112"/>
        <v>2027</v>
      </c>
      <c r="C495" s="9">
        <f t="shared" si="113"/>
        <v>12</v>
      </c>
      <c r="D495" s="9" t="str">
        <f t="shared" si="114"/>
        <v>December</v>
      </c>
      <c r="E495" s="9" t="str">
        <f t="shared" si="115"/>
        <v>Dec-27</v>
      </c>
      <c r="F495" s="9" t="str">
        <f t="shared" si="116"/>
        <v>Q4</v>
      </c>
      <c r="G495" s="9">
        <f t="shared" si="117"/>
        <v>7</v>
      </c>
      <c r="H495" s="9">
        <f t="shared" si="118"/>
        <v>2</v>
      </c>
      <c r="I495" s="9" t="str">
        <f t="shared" si="119"/>
        <v>Tuesday</v>
      </c>
      <c r="J495" s="9" t="str">
        <f t="shared" si="120"/>
        <v>No</v>
      </c>
      <c r="K495" s="5" t="str">
        <f>IF(COUNTIF(Bank_Holidays!A:A,A495)&gt;0,"Yes","No")</f>
        <v>No</v>
      </c>
      <c r="L495" t="str">
        <f t="shared" si="121"/>
        <v>Yes</v>
      </c>
      <c r="M495">
        <f t="shared" si="122"/>
        <v>49</v>
      </c>
      <c r="N495" s="5" t="str">
        <f t="shared" si="123"/>
        <v>No</v>
      </c>
      <c r="O495" t="str">
        <f>IF(A495=WORKDAY(EOMONTH(A495,0)+1,-1,Bank_Holidays!$A$2:$A$25),"Yes","No")</f>
        <v>No</v>
      </c>
      <c r="P495" t="str">
        <f t="shared" si="124"/>
        <v>No</v>
      </c>
      <c r="Q495" t="str">
        <f t="shared" si="125"/>
        <v>No</v>
      </c>
      <c r="R495" s="5">
        <f t="shared" si="127"/>
        <v>1</v>
      </c>
      <c r="S495">
        <f>MOD(A495-Fortnightly_Model!$M$1,14)</f>
        <v>10</v>
      </c>
      <c r="T495">
        <f>MOD(A495-FourWeekly_Model!$M$1,28)</f>
        <v>24</v>
      </c>
    </row>
    <row r="496" spans="1:20">
      <c r="A496" s="25">
        <f t="shared" si="126"/>
        <v>46729</v>
      </c>
      <c r="B496">
        <f t="shared" si="112"/>
        <v>2027</v>
      </c>
      <c r="C496" s="9">
        <f t="shared" si="113"/>
        <v>12</v>
      </c>
      <c r="D496" s="9" t="str">
        <f t="shared" si="114"/>
        <v>December</v>
      </c>
      <c r="E496" s="9" t="str">
        <f t="shared" si="115"/>
        <v>Dec-27</v>
      </c>
      <c r="F496" s="9" t="str">
        <f t="shared" si="116"/>
        <v>Q4</v>
      </c>
      <c r="G496" s="9">
        <f t="shared" si="117"/>
        <v>8</v>
      </c>
      <c r="H496" s="9">
        <f t="shared" si="118"/>
        <v>3</v>
      </c>
      <c r="I496" s="9" t="str">
        <f t="shared" si="119"/>
        <v>Wednesday</v>
      </c>
      <c r="J496" s="9" t="str">
        <f t="shared" si="120"/>
        <v>No</v>
      </c>
      <c r="K496" s="5" t="str">
        <f>IF(COUNTIF(Bank_Holidays!A:A,A496)&gt;0,"Yes","No")</f>
        <v>No</v>
      </c>
      <c r="L496" t="str">
        <f t="shared" si="121"/>
        <v>Yes</v>
      </c>
      <c r="M496">
        <f t="shared" si="122"/>
        <v>49</v>
      </c>
      <c r="N496" s="5" t="str">
        <f t="shared" si="123"/>
        <v>No</v>
      </c>
      <c r="O496" t="str">
        <f>IF(A496=WORKDAY(EOMONTH(A496,0)+1,-1,Bank_Holidays!$A$2:$A$25),"Yes","No")</f>
        <v>No</v>
      </c>
      <c r="P496" t="str">
        <f t="shared" si="124"/>
        <v>No</v>
      </c>
      <c r="Q496" t="str">
        <f t="shared" si="125"/>
        <v>No</v>
      </c>
      <c r="R496" s="5">
        <f t="shared" si="127"/>
        <v>1</v>
      </c>
      <c r="S496">
        <f>MOD(A496-Fortnightly_Model!$M$1,14)</f>
        <v>11</v>
      </c>
      <c r="T496">
        <f>MOD(A496-FourWeekly_Model!$M$1,28)</f>
        <v>25</v>
      </c>
    </row>
    <row r="497" spans="1:20">
      <c r="A497" s="25">
        <f t="shared" si="126"/>
        <v>46730</v>
      </c>
      <c r="B497">
        <f t="shared" si="112"/>
        <v>2027</v>
      </c>
      <c r="C497" s="9">
        <f t="shared" si="113"/>
        <v>12</v>
      </c>
      <c r="D497" s="9" t="str">
        <f t="shared" si="114"/>
        <v>December</v>
      </c>
      <c r="E497" s="9" t="str">
        <f t="shared" si="115"/>
        <v>Dec-27</v>
      </c>
      <c r="F497" s="9" t="str">
        <f t="shared" si="116"/>
        <v>Q4</v>
      </c>
      <c r="G497" s="9">
        <f t="shared" si="117"/>
        <v>9</v>
      </c>
      <c r="H497" s="9">
        <f t="shared" si="118"/>
        <v>4</v>
      </c>
      <c r="I497" s="9" t="str">
        <f t="shared" si="119"/>
        <v>Thursday</v>
      </c>
      <c r="J497" s="9" t="str">
        <f t="shared" si="120"/>
        <v>No</v>
      </c>
      <c r="K497" s="5" t="str">
        <f>IF(COUNTIF(Bank_Holidays!A:A,A497)&gt;0,"Yes","No")</f>
        <v>No</v>
      </c>
      <c r="L497" t="str">
        <f t="shared" si="121"/>
        <v>Yes</v>
      </c>
      <c r="M497">
        <f t="shared" si="122"/>
        <v>49</v>
      </c>
      <c r="N497" s="5" t="str">
        <f t="shared" si="123"/>
        <v>No</v>
      </c>
      <c r="O497" t="str">
        <f>IF(A497=WORKDAY(EOMONTH(A497,0)+1,-1,Bank_Holidays!$A$2:$A$25),"Yes","No")</f>
        <v>No</v>
      </c>
      <c r="P497" t="str">
        <f t="shared" si="124"/>
        <v>No</v>
      </c>
      <c r="Q497" t="str">
        <f t="shared" si="125"/>
        <v>No</v>
      </c>
      <c r="R497" s="5">
        <f t="shared" si="127"/>
        <v>1</v>
      </c>
      <c r="S497">
        <f>MOD(A497-Fortnightly_Model!$M$1,14)</f>
        <v>12</v>
      </c>
      <c r="T497">
        <f>MOD(A497-FourWeekly_Model!$M$1,28)</f>
        <v>26</v>
      </c>
    </row>
    <row r="498" spans="1:20">
      <c r="A498" s="25">
        <f t="shared" si="126"/>
        <v>46731</v>
      </c>
      <c r="B498">
        <f t="shared" si="112"/>
        <v>2027</v>
      </c>
      <c r="C498" s="9">
        <f t="shared" si="113"/>
        <v>12</v>
      </c>
      <c r="D498" s="9" t="str">
        <f t="shared" si="114"/>
        <v>December</v>
      </c>
      <c r="E498" s="9" t="str">
        <f t="shared" si="115"/>
        <v>Dec-27</v>
      </c>
      <c r="F498" s="9" t="str">
        <f t="shared" si="116"/>
        <v>Q4</v>
      </c>
      <c r="G498" s="9">
        <f t="shared" si="117"/>
        <v>10</v>
      </c>
      <c r="H498" s="9">
        <f t="shared" si="118"/>
        <v>5</v>
      </c>
      <c r="I498" s="9" t="str">
        <f t="shared" si="119"/>
        <v>Friday</v>
      </c>
      <c r="J498" s="9" t="str">
        <f t="shared" si="120"/>
        <v>No</v>
      </c>
      <c r="K498" s="5" t="str">
        <f>IF(COUNTIF(Bank_Holidays!A:A,A498)&gt;0,"Yes","No")</f>
        <v>No</v>
      </c>
      <c r="L498" t="str">
        <f t="shared" si="121"/>
        <v>Yes</v>
      </c>
      <c r="M498">
        <f t="shared" si="122"/>
        <v>49</v>
      </c>
      <c r="N498" s="5" t="str">
        <f t="shared" si="123"/>
        <v>No</v>
      </c>
      <c r="O498" t="str">
        <f>IF(A498=WORKDAY(EOMONTH(A498,0)+1,-1,Bank_Holidays!$A$2:$A$25),"Yes","No")</f>
        <v>No</v>
      </c>
      <c r="P498" t="str">
        <f t="shared" si="124"/>
        <v>No</v>
      </c>
      <c r="Q498" t="str">
        <f t="shared" si="125"/>
        <v>No</v>
      </c>
      <c r="R498" s="5">
        <f t="shared" si="127"/>
        <v>3</v>
      </c>
      <c r="S498">
        <f>MOD(A498-Fortnightly_Model!$M$1,14)</f>
        <v>13</v>
      </c>
      <c r="T498">
        <f>MOD(A498-FourWeekly_Model!$M$1,28)</f>
        <v>27</v>
      </c>
    </row>
    <row r="499" spans="1:20">
      <c r="A499" s="25">
        <f t="shared" si="126"/>
        <v>46732</v>
      </c>
      <c r="B499">
        <f t="shared" si="112"/>
        <v>2027</v>
      </c>
      <c r="C499" s="9">
        <f t="shared" si="113"/>
        <v>12</v>
      </c>
      <c r="D499" s="9" t="str">
        <f t="shared" si="114"/>
        <v>December</v>
      </c>
      <c r="E499" s="9" t="str">
        <f t="shared" si="115"/>
        <v>Dec-27</v>
      </c>
      <c r="F499" s="9" t="str">
        <f t="shared" si="116"/>
        <v>Q4</v>
      </c>
      <c r="G499" s="9">
        <f t="shared" si="117"/>
        <v>11</v>
      </c>
      <c r="H499" s="9">
        <f t="shared" si="118"/>
        <v>6</v>
      </c>
      <c r="I499" s="9" t="str">
        <f t="shared" si="119"/>
        <v>Saturday</v>
      </c>
      <c r="J499" s="9" t="str">
        <f t="shared" si="120"/>
        <v>Yes</v>
      </c>
      <c r="K499" s="5" t="str">
        <f>IF(COUNTIF(Bank_Holidays!A:A,A499)&gt;0,"Yes","No")</f>
        <v>No</v>
      </c>
      <c r="L499" t="str">
        <f t="shared" si="121"/>
        <v>No</v>
      </c>
      <c r="M499">
        <f t="shared" si="122"/>
        <v>49</v>
      </c>
      <c r="N499" s="5" t="str">
        <f t="shared" si="123"/>
        <v>No</v>
      </c>
      <c r="O499" t="str">
        <f>IF(A499=WORKDAY(EOMONTH(A499,0)+1,-1,Bank_Holidays!$A$2:$A$25),"Yes","No")</f>
        <v>No</v>
      </c>
      <c r="P499" t="str">
        <f t="shared" si="124"/>
        <v>No</v>
      </c>
      <c r="Q499" t="str">
        <f t="shared" si="125"/>
        <v>No</v>
      </c>
      <c r="R499" s="5">
        <f t="shared" si="127"/>
        <v>0</v>
      </c>
      <c r="S499">
        <f>MOD(A499-Fortnightly_Model!$M$1,14)</f>
        <v>0</v>
      </c>
      <c r="T499">
        <f>MOD(A499-FourWeekly_Model!$M$1,28)</f>
        <v>0</v>
      </c>
    </row>
    <row r="500" spans="1:20">
      <c r="A500" s="25">
        <f t="shared" si="126"/>
        <v>46733</v>
      </c>
      <c r="B500">
        <f t="shared" si="112"/>
        <v>2027</v>
      </c>
      <c r="C500" s="9">
        <f t="shared" si="113"/>
        <v>12</v>
      </c>
      <c r="D500" s="9" t="str">
        <f t="shared" si="114"/>
        <v>December</v>
      </c>
      <c r="E500" s="9" t="str">
        <f t="shared" si="115"/>
        <v>Dec-27</v>
      </c>
      <c r="F500" s="9" t="str">
        <f t="shared" si="116"/>
        <v>Q4</v>
      </c>
      <c r="G500" s="9">
        <f t="shared" si="117"/>
        <v>12</v>
      </c>
      <c r="H500" s="9">
        <f t="shared" si="118"/>
        <v>7</v>
      </c>
      <c r="I500" s="9" t="str">
        <f t="shared" si="119"/>
        <v>Sunday</v>
      </c>
      <c r="J500" s="9" t="str">
        <f t="shared" si="120"/>
        <v>Yes</v>
      </c>
      <c r="K500" s="5" t="str">
        <f>IF(COUNTIF(Bank_Holidays!A:A,A500)&gt;0,"Yes","No")</f>
        <v>No</v>
      </c>
      <c r="L500" t="str">
        <f t="shared" si="121"/>
        <v>No</v>
      </c>
      <c r="M500">
        <f t="shared" si="122"/>
        <v>49</v>
      </c>
      <c r="N500" s="5" t="str">
        <f t="shared" si="123"/>
        <v>No</v>
      </c>
      <c r="O500" t="str">
        <f>IF(A500=WORKDAY(EOMONTH(A500,0)+1,-1,Bank_Holidays!$A$2:$A$25),"Yes","No")</f>
        <v>No</v>
      </c>
      <c r="P500" t="str">
        <f t="shared" si="124"/>
        <v>No</v>
      </c>
      <c r="Q500" t="str">
        <f t="shared" si="125"/>
        <v>No</v>
      </c>
      <c r="R500" s="5">
        <f t="shared" si="127"/>
        <v>0</v>
      </c>
      <c r="S500">
        <f>MOD(A500-Fortnightly_Model!$M$1,14)</f>
        <v>1</v>
      </c>
      <c r="T500">
        <f>MOD(A500-FourWeekly_Model!$M$1,28)</f>
        <v>1</v>
      </c>
    </row>
    <row r="501" spans="1:20">
      <c r="A501" s="25">
        <f t="shared" si="126"/>
        <v>46734</v>
      </c>
      <c r="B501">
        <f t="shared" si="112"/>
        <v>2027</v>
      </c>
      <c r="C501" s="9">
        <f t="shared" si="113"/>
        <v>12</v>
      </c>
      <c r="D501" s="9" t="str">
        <f t="shared" si="114"/>
        <v>December</v>
      </c>
      <c r="E501" s="9" t="str">
        <f t="shared" si="115"/>
        <v>Dec-27</v>
      </c>
      <c r="F501" s="9" t="str">
        <f t="shared" si="116"/>
        <v>Q4</v>
      </c>
      <c r="G501" s="9">
        <f t="shared" si="117"/>
        <v>13</v>
      </c>
      <c r="H501" s="9">
        <f t="shared" si="118"/>
        <v>1</v>
      </c>
      <c r="I501" s="9" t="str">
        <f t="shared" si="119"/>
        <v>Monday</v>
      </c>
      <c r="J501" s="9" t="str">
        <f t="shared" si="120"/>
        <v>No</v>
      </c>
      <c r="K501" s="5" t="str">
        <f>IF(COUNTIF(Bank_Holidays!A:A,A501)&gt;0,"Yes","No")</f>
        <v>No</v>
      </c>
      <c r="L501" t="str">
        <f t="shared" si="121"/>
        <v>Yes</v>
      </c>
      <c r="M501">
        <f t="shared" si="122"/>
        <v>50</v>
      </c>
      <c r="N501" s="5" t="str">
        <f t="shared" si="123"/>
        <v>No</v>
      </c>
      <c r="O501" t="str">
        <f>IF(A501=WORKDAY(EOMONTH(A501,0)+1,-1,Bank_Holidays!$A$2:$A$25),"Yes","No")</f>
        <v>No</v>
      </c>
      <c r="P501" t="str">
        <f t="shared" si="124"/>
        <v>No</v>
      </c>
      <c r="Q501" t="str">
        <f t="shared" si="125"/>
        <v>No</v>
      </c>
      <c r="R501" s="5">
        <f t="shared" si="127"/>
        <v>1</v>
      </c>
      <c r="S501">
        <f>MOD(A501-Fortnightly_Model!$M$1,14)</f>
        <v>2</v>
      </c>
      <c r="T501">
        <f>MOD(A501-FourWeekly_Model!$M$1,28)</f>
        <v>2</v>
      </c>
    </row>
    <row r="502" spans="1:20">
      <c r="A502" s="25">
        <f t="shared" si="126"/>
        <v>46735</v>
      </c>
      <c r="B502">
        <f t="shared" si="112"/>
        <v>2027</v>
      </c>
      <c r="C502" s="9">
        <f t="shared" si="113"/>
        <v>12</v>
      </c>
      <c r="D502" s="9" t="str">
        <f t="shared" si="114"/>
        <v>December</v>
      </c>
      <c r="E502" s="9" t="str">
        <f t="shared" si="115"/>
        <v>Dec-27</v>
      </c>
      <c r="F502" s="9" t="str">
        <f t="shared" si="116"/>
        <v>Q4</v>
      </c>
      <c r="G502" s="9">
        <f t="shared" si="117"/>
        <v>14</v>
      </c>
      <c r="H502" s="9">
        <f t="shared" si="118"/>
        <v>2</v>
      </c>
      <c r="I502" s="9" t="str">
        <f t="shared" si="119"/>
        <v>Tuesday</v>
      </c>
      <c r="J502" s="9" t="str">
        <f t="shared" si="120"/>
        <v>No</v>
      </c>
      <c r="K502" s="5" t="str">
        <f>IF(COUNTIF(Bank_Holidays!A:A,A502)&gt;0,"Yes","No")</f>
        <v>No</v>
      </c>
      <c r="L502" t="str">
        <f t="shared" si="121"/>
        <v>Yes</v>
      </c>
      <c r="M502">
        <f t="shared" si="122"/>
        <v>50</v>
      </c>
      <c r="N502" s="5" t="str">
        <f t="shared" si="123"/>
        <v>No</v>
      </c>
      <c r="O502" t="str">
        <f>IF(A502=WORKDAY(EOMONTH(A502,0)+1,-1,Bank_Holidays!$A$2:$A$25),"Yes","No")</f>
        <v>No</v>
      </c>
      <c r="P502" t="str">
        <f t="shared" si="124"/>
        <v>No</v>
      </c>
      <c r="Q502" t="str">
        <f t="shared" si="125"/>
        <v>No</v>
      </c>
      <c r="R502" s="5">
        <f t="shared" si="127"/>
        <v>1</v>
      </c>
      <c r="S502">
        <f>MOD(A502-Fortnightly_Model!$M$1,14)</f>
        <v>3</v>
      </c>
      <c r="T502">
        <f>MOD(A502-FourWeekly_Model!$M$1,28)</f>
        <v>3</v>
      </c>
    </row>
    <row r="503" spans="1:20">
      <c r="A503" s="25">
        <f t="shared" si="126"/>
        <v>46736</v>
      </c>
      <c r="B503">
        <f t="shared" si="112"/>
        <v>2027</v>
      </c>
      <c r="C503" s="9">
        <f t="shared" si="113"/>
        <v>12</v>
      </c>
      <c r="D503" s="9" t="str">
        <f t="shared" si="114"/>
        <v>December</v>
      </c>
      <c r="E503" s="9" t="str">
        <f t="shared" si="115"/>
        <v>Dec-27</v>
      </c>
      <c r="F503" s="9" t="str">
        <f t="shared" si="116"/>
        <v>Q4</v>
      </c>
      <c r="G503" s="9">
        <f t="shared" si="117"/>
        <v>15</v>
      </c>
      <c r="H503" s="9">
        <f t="shared" si="118"/>
        <v>3</v>
      </c>
      <c r="I503" s="9" t="str">
        <f t="shared" si="119"/>
        <v>Wednesday</v>
      </c>
      <c r="J503" s="9" t="str">
        <f t="shared" si="120"/>
        <v>No</v>
      </c>
      <c r="K503" s="5" t="str">
        <f>IF(COUNTIF(Bank_Holidays!A:A,A503)&gt;0,"Yes","No")</f>
        <v>No</v>
      </c>
      <c r="L503" t="str">
        <f t="shared" si="121"/>
        <v>Yes</v>
      </c>
      <c r="M503">
        <f t="shared" si="122"/>
        <v>50</v>
      </c>
      <c r="N503" s="5" t="str">
        <f t="shared" si="123"/>
        <v>No</v>
      </c>
      <c r="O503" t="str">
        <f>IF(A503=WORKDAY(EOMONTH(A503,0)+1,-1,Bank_Holidays!$A$2:$A$25),"Yes","No")</f>
        <v>No</v>
      </c>
      <c r="P503" t="str">
        <f t="shared" si="124"/>
        <v>No</v>
      </c>
      <c r="Q503" t="str">
        <f t="shared" si="125"/>
        <v>No</v>
      </c>
      <c r="R503" s="5">
        <f t="shared" si="127"/>
        <v>1</v>
      </c>
      <c r="S503">
        <f>MOD(A503-Fortnightly_Model!$M$1,14)</f>
        <v>4</v>
      </c>
      <c r="T503">
        <f>MOD(A503-FourWeekly_Model!$M$1,28)</f>
        <v>4</v>
      </c>
    </row>
    <row r="504" spans="1:20">
      <c r="A504" s="25">
        <f t="shared" si="126"/>
        <v>46737</v>
      </c>
      <c r="B504">
        <f t="shared" si="112"/>
        <v>2027</v>
      </c>
      <c r="C504" s="9">
        <f t="shared" si="113"/>
        <v>12</v>
      </c>
      <c r="D504" s="9" t="str">
        <f t="shared" si="114"/>
        <v>December</v>
      </c>
      <c r="E504" s="9" t="str">
        <f t="shared" si="115"/>
        <v>Dec-27</v>
      </c>
      <c r="F504" s="9" t="str">
        <f t="shared" si="116"/>
        <v>Q4</v>
      </c>
      <c r="G504" s="9">
        <f t="shared" si="117"/>
        <v>16</v>
      </c>
      <c r="H504" s="9">
        <f t="shared" si="118"/>
        <v>4</v>
      </c>
      <c r="I504" s="9" t="str">
        <f t="shared" si="119"/>
        <v>Thursday</v>
      </c>
      <c r="J504" s="9" t="str">
        <f t="shared" si="120"/>
        <v>No</v>
      </c>
      <c r="K504" s="5" t="str">
        <f>IF(COUNTIF(Bank_Holidays!A:A,A504)&gt;0,"Yes","No")</f>
        <v>No</v>
      </c>
      <c r="L504" t="str">
        <f t="shared" si="121"/>
        <v>Yes</v>
      </c>
      <c r="M504">
        <f t="shared" si="122"/>
        <v>50</v>
      </c>
      <c r="N504" s="5" t="str">
        <f t="shared" si="123"/>
        <v>No</v>
      </c>
      <c r="O504" t="str">
        <f>IF(A504=WORKDAY(EOMONTH(A504,0)+1,-1,Bank_Holidays!$A$2:$A$25),"Yes","No")</f>
        <v>No</v>
      </c>
      <c r="P504" t="str">
        <f t="shared" si="124"/>
        <v>No</v>
      </c>
      <c r="Q504" t="str">
        <f t="shared" si="125"/>
        <v>No</v>
      </c>
      <c r="R504" s="5">
        <f t="shared" si="127"/>
        <v>1</v>
      </c>
      <c r="S504">
        <f>MOD(A504-Fortnightly_Model!$M$1,14)</f>
        <v>5</v>
      </c>
      <c r="T504">
        <f>MOD(A504-FourWeekly_Model!$M$1,28)</f>
        <v>5</v>
      </c>
    </row>
    <row r="505" spans="1:20">
      <c r="A505" s="25">
        <f t="shared" si="126"/>
        <v>46738</v>
      </c>
      <c r="B505">
        <f t="shared" si="112"/>
        <v>2027</v>
      </c>
      <c r="C505" s="9">
        <f t="shared" si="113"/>
        <v>12</v>
      </c>
      <c r="D505" s="9" t="str">
        <f t="shared" si="114"/>
        <v>December</v>
      </c>
      <c r="E505" s="9" t="str">
        <f t="shared" si="115"/>
        <v>Dec-27</v>
      </c>
      <c r="F505" s="9" t="str">
        <f t="shared" si="116"/>
        <v>Q4</v>
      </c>
      <c r="G505" s="9">
        <f t="shared" si="117"/>
        <v>17</v>
      </c>
      <c r="H505" s="9">
        <f t="shared" si="118"/>
        <v>5</v>
      </c>
      <c r="I505" s="9" t="str">
        <f t="shared" si="119"/>
        <v>Friday</v>
      </c>
      <c r="J505" s="9" t="str">
        <f t="shared" si="120"/>
        <v>No</v>
      </c>
      <c r="K505" s="5" t="str">
        <f>IF(COUNTIF(Bank_Holidays!A:A,A505)&gt;0,"Yes","No")</f>
        <v>No</v>
      </c>
      <c r="L505" t="str">
        <f t="shared" si="121"/>
        <v>Yes</v>
      </c>
      <c r="M505">
        <f t="shared" si="122"/>
        <v>50</v>
      </c>
      <c r="N505" s="5" t="str">
        <f t="shared" si="123"/>
        <v>No</v>
      </c>
      <c r="O505" t="str">
        <f>IF(A505=WORKDAY(EOMONTH(A505,0)+1,-1,Bank_Holidays!$A$2:$A$25),"Yes","No")</f>
        <v>No</v>
      </c>
      <c r="P505" t="str">
        <f t="shared" si="124"/>
        <v>No</v>
      </c>
      <c r="Q505" t="str">
        <f t="shared" si="125"/>
        <v>No</v>
      </c>
      <c r="R505" s="5">
        <f t="shared" si="127"/>
        <v>3</v>
      </c>
      <c r="S505">
        <f>MOD(A505-Fortnightly_Model!$M$1,14)</f>
        <v>6</v>
      </c>
      <c r="T505">
        <f>MOD(A505-FourWeekly_Model!$M$1,28)</f>
        <v>6</v>
      </c>
    </row>
    <row r="506" spans="1:20">
      <c r="A506" s="25">
        <f t="shared" si="126"/>
        <v>46739</v>
      </c>
      <c r="B506">
        <f t="shared" si="112"/>
        <v>2027</v>
      </c>
      <c r="C506" s="9">
        <f t="shared" si="113"/>
        <v>12</v>
      </c>
      <c r="D506" s="9" t="str">
        <f t="shared" si="114"/>
        <v>December</v>
      </c>
      <c r="E506" s="9" t="str">
        <f t="shared" si="115"/>
        <v>Dec-27</v>
      </c>
      <c r="F506" s="9" t="str">
        <f t="shared" si="116"/>
        <v>Q4</v>
      </c>
      <c r="G506" s="9">
        <f t="shared" si="117"/>
        <v>18</v>
      </c>
      <c r="H506" s="9">
        <f t="shared" si="118"/>
        <v>6</v>
      </c>
      <c r="I506" s="9" t="str">
        <f t="shared" si="119"/>
        <v>Saturday</v>
      </c>
      <c r="J506" s="9" t="str">
        <f t="shared" si="120"/>
        <v>Yes</v>
      </c>
      <c r="K506" s="5" t="str">
        <f>IF(COUNTIF(Bank_Holidays!A:A,A506)&gt;0,"Yes","No")</f>
        <v>No</v>
      </c>
      <c r="L506" t="str">
        <f t="shared" si="121"/>
        <v>No</v>
      </c>
      <c r="M506">
        <f t="shared" si="122"/>
        <v>50</v>
      </c>
      <c r="N506" s="5" t="str">
        <f t="shared" si="123"/>
        <v>No</v>
      </c>
      <c r="O506" t="str">
        <f>IF(A506=WORKDAY(EOMONTH(A506,0)+1,-1,Bank_Holidays!$A$2:$A$25),"Yes","No")</f>
        <v>No</v>
      </c>
      <c r="P506" t="str">
        <f t="shared" si="124"/>
        <v>No</v>
      </c>
      <c r="Q506" t="str">
        <f t="shared" si="125"/>
        <v>No</v>
      </c>
      <c r="R506" s="5">
        <f t="shared" si="127"/>
        <v>0</v>
      </c>
      <c r="S506">
        <f>MOD(A506-Fortnightly_Model!$M$1,14)</f>
        <v>7</v>
      </c>
      <c r="T506">
        <f>MOD(A506-FourWeekly_Model!$M$1,28)</f>
        <v>7</v>
      </c>
    </row>
    <row r="507" spans="1:20">
      <c r="A507" s="25">
        <f t="shared" si="126"/>
        <v>46740</v>
      </c>
      <c r="B507">
        <f t="shared" si="112"/>
        <v>2027</v>
      </c>
      <c r="C507" s="9">
        <f t="shared" si="113"/>
        <v>12</v>
      </c>
      <c r="D507" s="9" t="str">
        <f t="shared" si="114"/>
        <v>December</v>
      </c>
      <c r="E507" s="9" t="str">
        <f t="shared" si="115"/>
        <v>Dec-27</v>
      </c>
      <c r="F507" s="9" t="str">
        <f t="shared" si="116"/>
        <v>Q4</v>
      </c>
      <c r="G507" s="9">
        <f t="shared" si="117"/>
        <v>19</v>
      </c>
      <c r="H507" s="9">
        <f t="shared" si="118"/>
        <v>7</v>
      </c>
      <c r="I507" s="9" t="str">
        <f t="shared" si="119"/>
        <v>Sunday</v>
      </c>
      <c r="J507" s="9" t="str">
        <f t="shared" si="120"/>
        <v>Yes</v>
      </c>
      <c r="K507" s="5" t="str">
        <f>IF(COUNTIF(Bank_Holidays!A:A,A507)&gt;0,"Yes","No")</f>
        <v>No</v>
      </c>
      <c r="L507" t="str">
        <f t="shared" si="121"/>
        <v>No</v>
      </c>
      <c r="M507">
        <f t="shared" si="122"/>
        <v>50</v>
      </c>
      <c r="N507" s="5" t="str">
        <f t="shared" si="123"/>
        <v>No</v>
      </c>
      <c r="O507" t="str">
        <f>IF(A507=WORKDAY(EOMONTH(A507,0)+1,-1,Bank_Holidays!$A$2:$A$25),"Yes","No")</f>
        <v>No</v>
      </c>
      <c r="P507" t="str">
        <f t="shared" si="124"/>
        <v>No</v>
      </c>
      <c r="Q507" t="str">
        <f t="shared" si="125"/>
        <v>No</v>
      </c>
      <c r="R507" s="5">
        <f t="shared" si="127"/>
        <v>0</v>
      </c>
      <c r="S507">
        <f>MOD(A507-Fortnightly_Model!$M$1,14)</f>
        <v>8</v>
      </c>
      <c r="T507">
        <f>MOD(A507-FourWeekly_Model!$M$1,28)</f>
        <v>8</v>
      </c>
    </row>
    <row r="508" spans="1:20">
      <c r="A508" s="25">
        <f t="shared" si="126"/>
        <v>46741</v>
      </c>
      <c r="B508">
        <f t="shared" si="112"/>
        <v>2027</v>
      </c>
      <c r="C508" s="9">
        <f t="shared" si="113"/>
        <v>12</v>
      </c>
      <c r="D508" s="9" t="str">
        <f t="shared" si="114"/>
        <v>December</v>
      </c>
      <c r="E508" s="9" t="str">
        <f t="shared" si="115"/>
        <v>Dec-27</v>
      </c>
      <c r="F508" s="9" t="str">
        <f t="shared" si="116"/>
        <v>Q4</v>
      </c>
      <c r="G508" s="9">
        <f t="shared" si="117"/>
        <v>20</v>
      </c>
      <c r="H508" s="9">
        <f t="shared" si="118"/>
        <v>1</v>
      </c>
      <c r="I508" s="9" t="str">
        <f t="shared" si="119"/>
        <v>Monday</v>
      </c>
      <c r="J508" s="9" t="str">
        <f t="shared" si="120"/>
        <v>No</v>
      </c>
      <c r="K508" s="5" t="str">
        <f>IF(COUNTIF(Bank_Holidays!A:A,A508)&gt;0,"Yes","No")</f>
        <v>No</v>
      </c>
      <c r="L508" t="str">
        <f t="shared" si="121"/>
        <v>Yes</v>
      </c>
      <c r="M508">
        <f t="shared" si="122"/>
        <v>51</v>
      </c>
      <c r="N508" s="5" t="str">
        <f t="shared" si="123"/>
        <v>No</v>
      </c>
      <c r="O508" t="str">
        <f>IF(A508=WORKDAY(EOMONTH(A508,0)+1,-1,Bank_Holidays!$A$2:$A$25),"Yes","No")</f>
        <v>No</v>
      </c>
      <c r="P508" t="str">
        <f t="shared" si="124"/>
        <v>No</v>
      </c>
      <c r="Q508" t="str">
        <f t="shared" si="125"/>
        <v>No</v>
      </c>
      <c r="R508" s="5">
        <f t="shared" si="127"/>
        <v>1</v>
      </c>
      <c r="S508">
        <f>MOD(A508-Fortnightly_Model!$M$1,14)</f>
        <v>9</v>
      </c>
      <c r="T508">
        <f>MOD(A508-FourWeekly_Model!$M$1,28)</f>
        <v>9</v>
      </c>
    </row>
    <row r="509" spans="1:20">
      <c r="A509" s="25">
        <f t="shared" si="126"/>
        <v>46742</v>
      </c>
      <c r="B509">
        <f t="shared" si="112"/>
        <v>2027</v>
      </c>
      <c r="C509" s="9">
        <f t="shared" si="113"/>
        <v>12</v>
      </c>
      <c r="D509" s="9" t="str">
        <f t="shared" si="114"/>
        <v>December</v>
      </c>
      <c r="E509" s="9" t="str">
        <f t="shared" si="115"/>
        <v>Dec-27</v>
      </c>
      <c r="F509" s="9" t="str">
        <f t="shared" si="116"/>
        <v>Q4</v>
      </c>
      <c r="G509" s="9">
        <f t="shared" si="117"/>
        <v>21</v>
      </c>
      <c r="H509" s="9">
        <f t="shared" si="118"/>
        <v>2</v>
      </c>
      <c r="I509" s="9" t="str">
        <f t="shared" si="119"/>
        <v>Tuesday</v>
      </c>
      <c r="J509" s="9" t="str">
        <f t="shared" si="120"/>
        <v>No</v>
      </c>
      <c r="K509" s="5" t="str">
        <f>IF(COUNTIF(Bank_Holidays!A:A,A509)&gt;0,"Yes","No")</f>
        <v>No</v>
      </c>
      <c r="L509" t="str">
        <f t="shared" si="121"/>
        <v>Yes</v>
      </c>
      <c r="M509">
        <f t="shared" si="122"/>
        <v>51</v>
      </c>
      <c r="N509" s="5" t="str">
        <f t="shared" si="123"/>
        <v>No</v>
      </c>
      <c r="O509" t="str">
        <f>IF(A509=WORKDAY(EOMONTH(A509,0)+1,-1,Bank_Holidays!$A$2:$A$25),"Yes","No")</f>
        <v>No</v>
      </c>
      <c r="P509" t="str">
        <f t="shared" si="124"/>
        <v>No</v>
      </c>
      <c r="Q509" t="str">
        <f t="shared" si="125"/>
        <v>No</v>
      </c>
      <c r="R509" s="5">
        <f t="shared" si="127"/>
        <v>1</v>
      </c>
      <c r="S509">
        <f>MOD(A509-Fortnightly_Model!$M$1,14)</f>
        <v>10</v>
      </c>
      <c r="T509">
        <f>MOD(A509-FourWeekly_Model!$M$1,28)</f>
        <v>10</v>
      </c>
    </row>
    <row r="510" spans="1:20">
      <c r="A510" s="25">
        <f t="shared" si="126"/>
        <v>46743</v>
      </c>
      <c r="B510">
        <f t="shared" si="112"/>
        <v>2027</v>
      </c>
      <c r="C510" s="9">
        <f t="shared" si="113"/>
        <v>12</v>
      </c>
      <c r="D510" s="9" t="str">
        <f t="shared" si="114"/>
        <v>December</v>
      </c>
      <c r="E510" s="9" t="str">
        <f t="shared" si="115"/>
        <v>Dec-27</v>
      </c>
      <c r="F510" s="9" t="str">
        <f t="shared" si="116"/>
        <v>Q4</v>
      </c>
      <c r="G510" s="9">
        <f t="shared" si="117"/>
        <v>22</v>
      </c>
      <c r="H510" s="9">
        <f t="shared" si="118"/>
        <v>3</v>
      </c>
      <c r="I510" s="9" t="str">
        <f t="shared" si="119"/>
        <v>Wednesday</v>
      </c>
      <c r="J510" s="9" t="str">
        <f t="shared" si="120"/>
        <v>No</v>
      </c>
      <c r="K510" s="5" t="str">
        <f>IF(COUNTIF(Bank_Holidays!A:A,A510)&gt;0,"Yes","No")</f>
        <v>No</v>
      </c>
      <c r="L510" t="str">
        <f t="shared" si="121"/>
        <v>Yes</v>
      </c>
      <c r="M510">
        <f t="shared" si="122"/>
        <v>51</v>
      </c>
      <c r="N510" s="5" t="str">
        <f t="shared" si="123"/>
        <v>No</v>
      </c>
      <c r="O510" t="str">
        <f>IF(A510=WORKDAY(EOMONTH(A510,0)+1,-1,Bank_Holidays!$A$2:$A$25),"Yes","No")</f>
        <v>No</v>
      </c>
      <c r="P510" t="str">
        <f t="shared" si="124"/>
        <v>No</v>
      </c>
      <c r="Q510" t="str">
        <f t="shared" si="125"/>
        <v>No</v>
      </c>
      <c r="R510" s="5">
        <f t="shared" si="127"/>
        <v>1</v>
      </c>
      <c r="S510">
        <f>MOD(A510-Fortnightly_Model!$M$1,14)</f>
        <v>11</v>
      </c>
      <c r="T510">
        <f>MOD(A510-FourWeekly_Model!$M$1,28)</f>
        <v>11</v>
      </c>
    </row>
    <row r="511" spans="1:20">
      <c r="A511" s="25">
        <f t="shared" si="126"/>
        <v>46744</v>
      </c>
      <c r="B511">
        <f t="shared" si="112"/>
        <v>2027</v>
      </c>
      <c r="C511" s="9">
        <f t="shared" si="113"/>
        <v>12</v>
      </c>
      <c r="D511" s="9" t="str">
        <f t="shared" si="114"/>
        <v>December</v>
      </c>
      <c r="E511" s="9" t="str">
        <f t="shared" si="115"/>
        <v>Dec-27</v>
      </c>
      <c r="F511" s="9" t="str">
        <f t="shared" si="116"/>
        <v>Q4</v>
      </c>
      <c r="G511" s="9">
        <f t="shared" si="117"/>
        <v>23</v>
      </c>
      <c r="H511" s="9">
        <f t="shared" si="118"/>
        <v>4</v>
      </c>
      <c r="I511" s="9" t="str">
        <f t="shared" si="119"/>
        <v>Thursday</v>
      </c>
      <c r="J511" s="9" t="str">
        <f t="shared" si="120"/>
        <v>No</v>
      </c>
      <c r="K511" s="5" t="str">
        <f>IF(COUNTIF(Bank_Holidays!A:A,A511)&gt;0,"Yes","No")</f>
        <v>No</v>
      </c>
      <c r="L511" t="str">
        <f t="shared" si="121"/>
        <v>Yes</v>
      </c>
      <c r="M511">
        <f t="shared" si="122"/>
        <v>51</v>
      </c>
      <c r="N511" s="5" t="str">
        <f t="shared" si="123"/>
        <v>No</v>
      </c>
      <c r="O511" t="str">
        <f>IF(A511=WORKDAY(EOMONTH(A511,0)+1,-1,Bank_Holidays!$A$2:$A$25),"Yes","No")</f>
        <v>No</v>
      </c>
      <c r="P511" t="str">
        <f t="shared" si="124"/>
        <v>No</v>
      </c>
      <c r="Q511" t="str">
        <f t="shared" si="125"/>
        <v>No</v>
      </c>
      <c r="R511" s="5">
        <f t="shared" si="127"/>
        <v>1</v>
      </c>
      <c r="S511">
        <f>MOD(A511-Fortnightly_Model!$M$1,14)</f>
        <v>12</v>
      </c>
      <c r="T511">
        <f>MOD(A511-FourWeekly_Model!$M$1,28)</f>
        <v>12</v>
      </c>
    </row>
    <row r="512" spans="1:20">
      <c r="A512" s="25">
        <f t="shared" si="126"/>
        <v>46745</v>
      </c>
      <c r="B512">
        <f t="shared" si="112"/>
        <v>2027</v>
      </c>
      <c r="C512" s="9">
        <f t="shared" si="113"/>
        <v>12</v>
      </c>
      <c r="D512" s="9" t="str">
        <f t="shared" si="114"/>
        <v>December</v>
      </c>
      <c r="E512" s="9" t="str">
        <f t="shared" si="115"/>
        <v>Dec-27</v>
      </c>
      <c r="F512" s="9" t="str">
        <f t="shared" si="116"/>
        <v>Q4</v>
      </c>
      <c r="G512" s="9">
        <f t="shared" si="117"/>
        <v>24</v>
      </c>
      <c r="H512" s="9">
        <f t="shared" si="118"/>
        <v>5</v>
      </c>
      <c r="I512" s="9" t="str">
        <f t="shared" si="119"/>
        <v>Friday</v>
      </c>
      <c r="J512" s="9" t="str">
        <f t="shared" si="120"/>
        <v>No</v>
      </c>
      <c r="K512" s="5" t="str">
        <f>IF(COUNTIF(Bank_Holidays!A:A,A512)&gt;0,"Yes","No")</f>
        <v>No</v>
      </c>
      <c r="L512" t="str">
        <f t="shared" si="121"/>
        <v>Yes</v>
      </c>
      <c r="M512">
        <f t="shared" si="122"/>
        <v>51</v>
      </c>
      <c r="N512" s="5" t="str">
        <f t="shared" si="123"/>
        <v>No</v>
      </c>
      <c r="O512" t="str">
        <f>IF(A512=WORKDAY(EOMONTH(A512,0)+1,-1,Bank_Holidays!$A$2:$A$25),"Yes","No")</f>
        <v>No</v>
      </c>
      <c r="P512" t="str">
        <f t="shared" si="124"/>
        <v>No</v>
      </c>
      <c r="Q512" t="str">
        <f t="shared" si="125"/>
        <v>No</v>
      </c>
      <c r="R512" s="5">
        <f t="shared" si="127"/>
        <v>5</v>
      </c>
      <c r="S512">
        <f>MOD(A512-Fortnightly_Model!$M$1,14)</f>
        <v>13</v>
      </c>
      <c r="T512">
        <f>MOD(A512-FourWeekly_Model!$M$1,28)</f>
        <v>13</v>
      </c>
    </row>
    <row r="513" spans="1:20">
      <c r="A513" s="25">
        <f t="shared" si="126"/>
        <v>46746</v>
      </c>
      <c r="B513">
        <f t="shared" si="112"/>
        <v>2027</v>
      </c>
      <c r="C513" s="9">
        <f t="shared" si="113"/>
        <v>12</v>
      </c>
      <c r="D513" s="9" t="str">
        <f t="shared" si="114"/>
        <v>December</v>
      </c>
      <c r="E513" s="9" t="str">
        <f t="shared" si="115"/>
        <v>Dec-27</v>
      </c>
      <c r="F513" s="9" t="str">
        <f t="shared" si="116"/>
        <v>Q4</v>
      </c>
      <c r="G513" s="9">
        <f t="shared" si="117"/>
        <v>25</v>
      </c>
      <c r="H513" s="9">
        <f t="shared" si="118"/>
        <v>6</v>
      </c>
      <c r="I513" s="9" t="str">
        <f t="shared" si="119"/>
        <v>Saturday</v>
      </c>
      <c r="J513" s="9" t="str">
        <f t="shared" si="120"/>
        <v>Yes</v>
      </c>
      <c r="K513" s="5" t="str">
        <f>IF(COUNTIF(Bank_Holidays!A:A,A513)&gt;0,"Yes","No")</f>
        <v>No</v>
      </c>
      <c r="L513" t="str">
        <f t="shared" si="121"/>
        <v>No</v>
      </c>
      <c r="M513">
        <f t="shared" si="122"/>
        <v>51</v>
      </c>
      <c r="N513" s="5" t="str">
        <f t="shared" si="123"/>
        <v>No</v>
      </c>
      <c r="O513" t="str">
        <f>IF(A513=WORKDAY(EOMONTH(A513,0)+1,-1,Bank_Holidays!$A$2:$A$25),"Yes","No")</f>
        <v>No</v>
      </c>
      <c r="P513" t="str">
        <f t="shared" si="124"/>
        <v>No</v>
      </c>
      <c r="Q513" t="str">
        <f t="shared" si="125"/>
        <v>No</v>
      </c>
      <c r="R513" s="5">
        <f t="shared" si="127"/>
        <v>0</v>
      </c>
      <c r="S513">
        <f>MOD(A513-Fortnightly_Model!$M$1,14)</f>
        <v>0</v>
      </c>
      <c r="T513">
        <f>MOD(A513-FourWeekly_Model!$M$1,28)</f>
        <v>14</v>
      </c>
    </row>
    <row r="514" spans="1:20">
      <c r="A514" s="25">
        <f t="shared" si="126"/>
        <v>46747</v>
      </c>
      <c r="B514">
        <f t="shared" ref="B514:B577" si="128">YEAR(A514)</f>
        <v>2027</v>
      </c>
      <c r="C514" s="9">
        <f t="shared" ref="C514:C577" si="129">MONTH(A514)</f>
        <v>12</v>
      </c>
      <c r="D514" s="9" t="str">
        <f t="shared" ref="D514:D577" si="130">TEXT(A514,"mmmm")</f>
        <v>December</v>
      </c>
      <c r="E514" s="9" t="str">
        <f t="shared" ref="E514:E577" si="131">TEXT(A514,"mmm-yy")</f>
        <v>Dec-27</v>
      </c>
      <c r="F514" s="9" t="str">
        <f t="shared" ref="F514:F577" si="132">"Q"&amp;ROUNDUP(MONTH($A514)/3,0)</f>
        <v>Q4</v>
      </c>
      <c r="G514" s="9">
        <f t="shared" ref="G514:G577" si="133">DAY($A514)</f>
        <v>26</v>
      </c>
      <c r="H514" s="9">
        <f t="shared" ref="H514:H577" si="134">WEEKDAY($A514,2)</f>
        <v>7</v>
      </c>
      <c r="I514" s="9" t="str">
        <f t="shared" ref="I514:I577" si="135">TEXT($A514,"dddd")</f>
        <v>Sunday</v>
      </c>
      <c r="J514" s="9" t="str">
        <f t="shared" ref="J514:J577" si="136">IF($H514&gt;5,"Yes","No")</f>
        <v>Yes</v>
      </c>
      <c r="K514" s="5" t="str">
        <f>IF(COUNTIF(Bank_Holidays!A:A,A514)&gt;0,"Yes","No")</f>
        <v>No</v>
      </c>
      <c r="L514" t="str">
        <f t="shared" ref="L514:L577" si="137">IF(AND(J514="No",K514="No"),"Yes","No")</f>
        <v>No</v>
      </c>
      <c r="M514">
        <f t="shared" ref="M514:M577" si="138">_xlfn.ISOWEEKNUM(A514)</f>
        <v>51</v>
      </c>
      <c r="N514" s="5" t="str">
        <f t="shared" ref="N514:N577" si="139">IF(A514=EOMONTH(A514,0),"Yes","No")</f>
        <v>No</v>
      </c>
      <c r="O514" t="str">
        <f>IF(A514=WORKDAY(EOMONTH(A514,0)+1,-1,Bank_Holidays!$A$2:$A$25),"Yes","No")</f>
        <v>No</v>
      </c>
      <c r="P514" t="str">
        <f t="shared" ref="P514:P577" si="140">IF(
AND(
TEXT(A514,"dddd")="Friday",
MONTH(A514+7)&lt;&gt;MONTH(A514)
),
"Yes",
"No"
)</f>
        <v>No</v>
      </c>
      <c r="Q514" t="str">
        <f t="shared" ref="Q514:Q577" si="141">IF(
AND(
TEXT(A514,"dddd")="Thursday",
MONTH(A514+7)&lt;&gt;MONTH(A514)
),
"Yes",
"No"
)</f>
        <v>No</v>
      </c>
      <c r="R514" s="5">
        <f t="shared" si="127"/>
        <v>0</v>
      </c>
      <c r="S514">
        <f>MOD(A514-Fortnightly_Model!$M$1,14)</f>
        <v>1</v>
      </c>
      <c r="T514">
        <f>MOD(A514-FourWeekly_Model!$M$1,28)</f>
        <v>15</v>
      </c>
    </row>
    <row r="515" spans="1:20">
      <c r="A515" s="25">
        <f t="shared" ref="A515:A578" si="142">A514+1</f>
        <v>46748</v>
      </c>
      <c r="B515">
        <f t="shared" si="128"/>
        <v>2027</v>
      </c>
      <c r="C515" s="9">
        <f t="shared" si="129"/>
        <v>12</v>
      </c>
      <c r="D515" s="9" t="str">
        <f t="shared" si="130"/>
        <v>December</v>
      </c>
      <c r="E515" s="9" t="str">
        <f t="shared" si="131"/>
        <v>Dec-27</v>
      </c>
      <c r="F515" s="9" t="str">
        <f t="shared" si="132"/>
        <v>Q4</v>
      </c>
      <c r="G515" s="9">
        <f t="shared" si="133"/>
        <v>27</v>
      </c>
      <c r="H515" s="9">
        <f t="shared" si="134"/>
        <v>1</v>
      </c>
      <c r="I515" s="9" t="str">
        <f t="shared" si="135"/>
        <v>Monday</v>
      </c>
      <c r="J515" s="9" t="str">
        <f t="shared" si="136"/>
        <v>No</v>
      </c>
      <c r="K515" s="5" t="str">
        <f>IF(COUNTIF(Bank_Holidays!A:A,A515)&gt;0,"Yes","No")</f>
        <v>Yes</v>
      </c>
      <c r="L515" t="str">
        <f t="shared" si="137"/>
        <v>No</v>
      </c>
      <c r="M515">
        <f t="shared" si="138"/>
        <v>52</v>
      </c>
      <c r="N515" s="5" t="str">
        <f t="shared" si="139"/>
        <v>No</v>
      </c>
      <c r="O515" t="str">
        <f>IF(A515=WORKDAY(EOMONTH(A515,0)+1,-1,Bank_Holidays!$A$2:$A$25),"Yes","No")</f>
        <v>No</v>
      </c>
      <c r="P515" t="str">
        <f t="shared" si="140"/>
        <v>No</v>
      </c>
      <c r="Q515" t="str">
        <f t="shared" si="141"/>
        <v>No</v>
      </c>
      <c r="R515" s="5">
        <f t="shared" ref="R515:R578" si="143">IF(L515="yes",1)+IF(L515="no",0,IF(AND(L520="no",L519="no",L518="no",L517="no",L516="no"),5,IF(AND(L519="no",L518="no",L517="no",L516="no"),4,IF(AND(L518="no",L517="no",L516="no"),3,IF(AND(L517="no",L516="no"),2,IF(L516="no",1))))))</f>
        <v>0</v>
      </c>
      <c r="S515">
        <f>MOD(A515-Fortnightly_Model!$M$1,14)</f>
        <v>2</v>
      </c>
      <c r="T515">
        <f>MOD(A515-FourWeekly_Model!$M$1,28)</f>
        <v>16</v>
      </c>
    </row>
    <row r="516" spans="1:20">
      <c r="A516" s="25">
        <f t="shared" si="142"/>
        <v>46749</v>
      </c>
      <c r="B516">
        <f t="shared" si="128"/>
        <v>2027</v>
      </c>
      <c r="C516" s="9">
        <f t="shared" si="129"/>
        <v>12</v>
      </c>
      <c r="D516" s="9" t="str">
        <f t="shared" si="130"/>
        <v>December</v>
      </c>
      <c r="E516" s="9" t="str">
        <f t="shared" si="131"/>
        <v>Dec-27</v>
      </c>
      <c r="F516" s="9" t="str">
        <f t="shared" si="132"/>
        <v>Q4</v>
      </c>
      <c r="G516" s="9">
        <f t="shared" si="133"/>
        <v>28</v>
      </c>
      <c r="H516" s="9">
        <f t="shared" si="134"/>
        <v>2</v>
      </c>
      <c r="I516" s="9" t="str">
        <f t="shared" si="135"/>
        <v>Tuesday</v>
      </c>
      <c r="J516" s="9" t="str">
        <f t="shared" si="136"/>
        <v>No</v>
      </c>
      <c r="K516" s="5" t="str">
        <f>IF(COUNTIF(Bank_Holidays!A:A,A516)&gt;0,"Yes","No")</f>
        <v>Yes</v>
      </c>
      <c r="L516" t="str">
        <f t="shared" si="137"/>
        <v>No</v>
      </c>
      <c r="M516">
        <f t="shared" si="138"/>
        <v>52</v>
      </c>
      <c r="N516" s="5" t="str">
        <f t="shared" si="139"/>
        <v>No</v>
      </c>
      <c r="O516" t="str">
        <f>IF(A516=WORKDAY(EOMONTH(A516,0)+1,-1,Bank_Holidays!$A$2:$A$25),"Yes","No")</f>
        <v>No</v>
      </c>
      <c r="P516" t="str">
        <f t="shared" si="140"/>
        <v>No</v>
      </c>
      <c r="Q516" t="str">
        <f t="shared" si="141"/>
        <v>No</v>
      </c>
      <c r="R516" s="5">
        <f t="shared" si="143"/>
        <v>0</v>
      </c>
      <c r="S516">
        <f>MOD(A516-Fortnightly_Model!$M$1,14)</f>
        <v>3</v>
      </c>
      <c r="T516">
        <f>MOD(A516-FourWeekly_Model!$M$1,28)</f>
        <v>17</v>
      </c>
    </row>
    <row r="517" spans="1:20">
      <c r="A517" s="25">
        <f t="shared" si="142"/>
        <v>46750</v>
      </c>
      <c r="B517">
        <f t="shared" si="128"/>
        <v>2027</v>
      </c>
      <c r="C517" s="9">
        <f t="shared" si="129"/>
        <v>12</v>
      </c>
      <c r="D517" s="9" t="str">
        <f t="shared" si="130"/>
        <v>December</v>
      </c>
      <c r="E517" s="9" t="str">
        <f t="shared" si="131"/>
        <v>Dec-27</v>
      </c>
      <c r="F517" s="9" t="str">
        <f t="shared" si="132"/>
        <v>Q4</v>
      </c>
      <c r="G517" s="9">
        <f t="shared" si="133"/>
        <v>29</v>
      </c>
      <c r="H517" s="9">
        <f t="shared" si="134"/>
        <v>3</v>
      </c>
      <c r="I517" s="9" t="str">
        <f t="shared" si="135"/>
        <v>Wednesday</v>
      </c>
      <c r="J517" s="9" t="str">
        <f t="shared" si="136"/>
        <v>No</v>
      </c>
      <c r="K517" s="5" t="str">
        <f>IF(COUNTIF(Bank_Holidays!A:A,A517)&gt;0,"Yes","No")</f>
        <v>No</v>
      </c>
      <c r="L517" t="str">
        <f t="shared" si="137"/>
        <v>Yes</v>
      </c>
      <c r="M517">
        <f t="shared" si="138"/>
        <v>52</v>
      </c>
      <c r="N517" s="5" t="str">
        <f t="shared" si="139"/>
        <v>No</v>
      </c>
      <c r="O517" t="str">
        <f>IF(A517=WORKDAY(EOMONTH(A517,0)+1,-1,Bank_Holidays!$A$2:$A$25),"Yes","No")</f>
        <v>No</v>
      </c>
      <c r="P517" t="str">
        <f t="shared" si="140"/>
        <v>No</v>
      </c>
      <c r="Q517" t="str">
        <f t="shared" si="141"/>
        <v>No</v>
      </c>
      <c r="R517" s="5">
        <f t="shared" si="143"/>
        <v>1</v>
      </c>
      <c r="S517">
        <f>MOD(A517-Fortnightly_Model!$M$1,14)</f>
        <v>4</v>
      </c>
      <c r="T517">
        <f>MOD(A517-FourWeekly_Model!$M$1,28)</f>
        <v>18</v>
      </c>
    </row>
    <row r="518" spans="1:20">
      <c r="A518" s="25">
        <f t="shared" si="142"/>
        <v>46751</v>
      </c>
      <c r="B518">
        <f t="shared" si="128"/>
        <v>2027</v>
      </c>
      <c r="C518" s="9">
        <f t="shared" si="129"/>
        <v>12</v>
      </c>
      <c r="D518" s="9" t="str">
        <f t="shared" si="130"/>
        <v>December</v>
      </c>
      <c r="E518" s="9" t="str">
        <f t="shared" si="131"/>
        <v>Dec-27</v>
      </c>
      <c r="F518" s="9" t="str">
        <f t="shared" si="132"/>
        <v>Q4</v>
      </c>
      <c r="G518" s="9">
        <f t="shared" si="133"/>
        <v>30</v>
      </c>
      <c r="H518" s="9">
        <f t="shared" si="134"/>
        <v>4</v>
      </c>
      <c r="I518" s="9" t="str">
        <f t="shared" si="135"/>
        <v>Thursday</v>
      </c>
      <c r="J518" s="9" t="str">
        <f t="shared" si="136"/>
        <v>No</v>
      </c>
      <c r="K518" s="5" t="str">
        <f>IF(COUNTIF(Bank_Holidays!A:A,A518)&gt;0,"Yes","No")</f>
        <v>No</v>
      </c>
      <c r="L518" t="str">
        <f t="shared" si="137"/>
        <v>Yes</v>
      </c>
      <c r="M518">
        <f t="shared" si="138"/>
        <v>52</v>
      </c>
      <c r="N518" s="5" t="str">
        <f t="shared" si="139"/>
        <v>No</v>
      </c>
      <c r="O518" t="str">
        <f>IF(A518=WORKDAY(EOMONTH(A518,0)+1,-1,Bank_Holidays!$A$2:$A$25),"Yes","No")</f>
        <v>No</v>
      </c>
      <c r="P518" t="str">
        <f t="shared" si="140"/>
        <v>No</v>
      </c>
      <c r="Q518" t="str">
        <f t="shared" si="141"/>
        <v>Yes</v>
      </c>
      <c r="R518" s="5">
        <f t="shared" si="143"/>
        <v>1</v>
      </c>
      <c r="S518">
        <f>MOD(A518-Fortnightly_Model!$M$1,14)</f>
        <v>5</v>
      </c>
      <c r="T518">
        <f>MOD(A518-FourWeekly_Model!$M$1,28)</f>
        <v>19</v>
      </c>
    </row>
    <row r="519" spans="1:20">
      <c r="A519" s="25">
        <f t="shared" si="142"/>
        <v>46752</v>
      </c>
      <c r="B519">
        <f t="shared" si="128"/>
        <v>2027</v>
      </c>
      <c r="C519" s="9">
        <f t="shared" si="129"/>
        <v>12</v>
      </c>
      <c r="D519" s="9" t="str">
        <f t="shared" si="130"/>
        <v>December</v>
      </c>
      <c r="E519" s="9" t="str">
        <f t="shared" si="131"/>
        <v>Dec-27</v>
      </c>
      <c r="F519" s="9" t="str">
        <f t="shared" si="132"/>
        <v>Q4</v>
      </c>
      <c r="G519" s="9">
        <f t="shared" si="133"/>
        <v>31</v>
      </c>
      <c r="H519" s="9">
        <f t="shared" si="134"/>
        <v>5</v>
      </c>
      <c r="I519" s="9" t="str">
        <f t="shared" si="135"/>
        <v>Friday</v>
      </c>
      <c r="J519" s="9" t="str">
        <f t="shared" si="136"/>
        <v>No</v>
      </c>
      <c r="K519" s="5" t="str">
        <f>IF(COUNTIF(Bank_Holidays!A:A,A519)&gt;0,"Yes","No")</f>
        <v>No</v>
      </c>
      <c r="L519" t="str">
        <f t="shared" si="137"/>
        <v>Yes</v>
      </c>
      <c r="M519">
        <f t="shared" si="138"/>
        <v>52</v>
      </c>
      <c r="N519" s="5" t="str">
        <f t="shared" si="139"/>
        <v>Yes</v>
      </c>
      <c r="O519" t="str">
        <f>IF(A519=WORKDAY(EOMONTH(A519,0)+1,-1,Bank_Holidays!$A$2:$A$25),"Yes","No")</f>
        <v>Yes</v>
      </c>
      <c r="P519" t="str">
        <f t="shared" si="140"/>
        <v>Yes</v>
      </c>
      <c r="Q519" t="str">
        <f t="shared" si="141"/>
        <v>No</v>
      </c>
      <c r="R519" s="5">
        <f t="shared" si="143"/>
        <v>4</v>
      </c>
      <c r="S519">
        <f>MOD(A519-Fortnightly_Model!$M$1,14)</f>
        <v>6</v>
      </c>
      <c r="T519">
        <f>MOD(A519-FourWeekly_Model!$M$1,28)</f>
        <v>20</v>
      </c>
    </row>
    <row r="520" spans="1:20">
      <c r="A520" s="25">
        <f t="shared" si="142"/>
        <v>46753</v>
      </c>
      <c r="B520">
        <f t="shared" si="128"/>
        <v>2028</v>
      </c>
      <c r="C520" s="9">
        <f t="shared" si="129"/>
        <v>1</v>
      </c>
      <c r="D520" s="9" t="str">
        <f t="shared" si="130"/>
        <v>January</v>
      </c>
      <c r="E520" s="9" t="str">
        <f t="shared" si="131"/>
        <v>Jan-28</v>
      </c>
      <c r="F520" s="9" t="str">
        <f t="shared" si="132"/>
        <v>Q1</v>
      </c>
      <c r="G520" s="9">
        <f t="shared" si="133"/>
        <v>1</v>
      </c>
      <c r="H520" s="9">
        <f t="shared" si="134"/>
        <v>6</v>
      </c>
      <c r="I520" s="9" t="str">
        <f t="shared" si="135"/>
        <v>Saturday</v>
      </c>
      <c r="J520" s="9" t="str">
        <f t="shared" si="136"/>
        <v>Yes</v>
      </c>
      <c r="K520" s="5" t="str">
        <f>IF(COUNTIF(Bank_Holidays!A:A,A520)&gt;0,"Yes","No")</f>
        <v>No</v>
      </c>
      <c r="L520" t="str">
        <f t="shared" si="137"/>
        <v>No</v>
      </c>
      <c r="M520">
        <f t="shared" si="138"/>
        <v>52</v>
      </c>
      <c r="N520" s="5" t="str">
        <f t="shared" si="139"/>
        <v>No</v>
      </c>
      <c r="O520" t="str">
        <f>IF(A520=WORKDAY(EOMONTH(A520,0)+1,-1,Bank_Holidays!$A$2:$A$25),"Yes","No")</f>
        <v>No</v>
      </c>
      <c r="P520" t="str">
        <f t="shared" si="140"/>
        <v>No</v>
      </c>
      <c r="Q520" t="str">
        <f t="shared" si="141"/>
        <v>No</v>
      </c>
      <c r="R520" s="5">
        <f t="shared" si="143"/>
        <v>0</v>
      </c>
      <c r="S520">
        <f>MOD(A520-Fortnightly_Model!$M$1,14)</f>
        <v>7</v>
      </c>
      <c r="T520">
        <f>MOD(A520-FourWeekly_Model!$M$1,28)</f>
        <v>21</v>
      </c>
    </row>
    <row r="521" spans="1:20">
      <c r="A521" s="25">
        <f t="shared" si="142"/>
        <v>46754</v>
      </c>
      <c r="B521">
        <f t="shared" si="128"/>
        <v>2028</v>
      </c>
      <c r="C521" s="9">
        <f t="shared" si="129"/>
        <v>1</v>
      </c>
      <c r="D521" s="9" t="str">
        <f t="shared" si="130"/>
        <v>January</v>
      </c>
      <c r="E521" s="9" t="str">
        <f t="shared" si="131"/>
        <v>Jan-28</v>
      </c>
      <c r="F521" s="9" t="str">
        <f t="shared" si="132"/>
        <v>Q1</v>
      </c>
      <c r="G521" s="9">
        <f t="shared" si="133"/>
        <v>2</v>
      </c>
      <c r="H521" s="9">
        <f t="shared" si="134"/>
        <v>7</v>
      </c>
      <c r="I521" s="9" t="str">
        <f t="shared" si="135"/>
        <v>Sunday</v>
      </c>
      <c r="J521" s="9" t="str">
        <f t="shared" si="136"/>
        <v>Yes</v>
      </c>
      <c r="K521" s="5" t="str">
        <f>IF(COUNTIF(Bank_Holidays!A:A,A521)&gt;0,"Yes","No")</f>
        <v>No</v>
      </c>
      <c r="L521" t="str">
        <f t="shared" si="137"/>
        <v>No</v>
      </c>
      <c r="M521">
        <f t="shared" si="138"/>
        <v>52</v>
      </c>
      <c r="N521" s="5" t="str">
        <f t="shared" si="139"/>
        <v>No</v>
      </c>
      <c r="O521" t="str">
        <f>IF(A521=WORKDAY(EOMONTH(A521,0)+1,-1,Bank_Holidays!$A$2:$A$25),"Yes","No")</f>
        <v>No</v>
      </c>
      <c r="P521" t="str">
        <f t="shared" si="140"/>
        <v>No</v>
      </c>
      <c r="Q521" t="str">
        <f t="shared" si="141"/>
        <v>No</v>
      </c>
      <c r="R521" s="5">
        <f t="shared" si="143"/>
        <v>0</v>
      </c>
      <c r="S521">
        <f>MOD(A521-Fortnightly_Model!$M$1,14)</f>
        <v>8</v>
      </c>
      <c r="T521">
        <f>MOD(A521-FourWeekly_Model!$M$1,28)</f>
        <v>22</v>
      </c>
    </row>
    <row r="522" spans="1:20">
      <c r="A522" s="25">
        <f t="shared" si="142"/>
        <v>46755</v>
      </c>
      <c r="B522">
        <f t="shared" si="128"/>
        <v>2028</v>
      </c>
      <c r="C522" s="9">
        <f t="shared" si="129"/>
        <v>1</v>
      </c>
      <c r="D522" s="9" t="str">
        <f t="shared" si="130"/>
        <v>January</v>
      </c>
      <c r="E522" s="9" t="str">
        <f t="shared" si="131"/>
        <v>Jan-28</v>
      </c>
      <c r="F522" s="9" t="str">
        <f t="shared" si="132"/>
        <v>Q1</v>
      </c>
      <c r="G522" s="9">
        <f t="shared" si="133"/>
        <v>3</v>
      </c>
      <c r="H522" s="9">
        <f t="shared" si="134"/>
        <v>1</v>
      </c>
      <c r="I522" s="9" t="str">
        <f t="shared" si="135"/>
        <v>Monday</v>
      </c>
      <c r="J522" s="9" t="str">
        <f t="shared" si="136"/>
        <v>No</v>
      </c>
      <c r="K522" s="5" t="str">
        <f>IF(COUNTIF(Bank_Holidays!A:A,A522)&gt;0,"Yes","No")</f>
        <v>Yes</v>
      </c>
      <c r="L522" t="str">
        <f t="shared" si="137"/>
        <v>No</v>
      </c>
      <c r="M522">
        <f t="shared" si="138"/>
        <v>1</v>
      </c>
      <c r="N522" s="5" t="str">
        <f t="shared" si="139"/>
        <v>No</v>
      </c>
      <c r="O522" t="str">
        <f>IF(A522=WORKDAY(EOMONTH(A522,0)+1,-1,Bank_Holidays!$A$2:$A$25),"Yes","No")</f>
        <v>No</v>
      </c>
      <c r="P522" t="str">
        <f t="shared" si="140"/>
        <v>No</v>
      </c>
      <c r="Q522" t="str">
        <f t="shared" si="141"/>
        <v>No</v>
      </c>
      <c r="R522" s="5">
        <f t="shared" si="143"/>
        <v>0</v>
      </c>
      <c r="S522">
        <f>MOD(A522-Fortnightly_Model!$M$1,14)</f>
        <v>9</v>
      </c>
      <c r="T522">
        <f>MOD(A522-FourWeekly_Model!$M$1,28)</f>
        <v>23</v>
      </c>
    </row>
    <row r="523" spans="1:20">
      <c r="A523" s="25">
        <f t="shared" si="142"/>
        <v>46756</v>
      </c>
      <c r="B523">
        <f t="shared" si="128"/>
        <v>2028</v>
      </c>
      <c r="C523" s="9">
        <f t="shared" si="129"/>
        <v>1</v>
      </c>
      <c r="D523" s="9" t="str">
        <f t="shared" si="130"/>
        <v>January</v>
      </c>
      <c r="E523" s="9" t="str">
        <f t="shared" si="131"/>
        <v>Jan-28</v>
      </c>
      <c r="F523" s="9" t="str">
        <f t="shared" si="132"/>
        <v>Q1</v>
      </c>
      <c r="G523" s="9">
        <f t="shared" si="133"/>
        <v>4</v>
      </c>
      <c r="H523" s="9">
        <f t="shared" si="134"/>
        <v>2</v>
      </c>
      <c r="I523" s="9" t="str">
        <f t="shared" si="135"/>
        <v>Tuesday</v>
      </c>
      <c r="J523" s="9" t="str">
        <f t="shared" si="136"/>
        <v>No</v>
      </c>
      <c r="K523" s="5" t="str">
        <f>IF(COUNTIF(Bank_Holidays!A:A,A523)&gt;0,"Yes","No")</f>
        <v>No</v>
      </c>
      <c r="L523" t="str">
        <f t="shared" si="137"/>
        <v>Yes</v>
      </c>
      <c r="M523">
        <f t="shared" si="138"/>
        <v>1</v>
      </c>
      <c r="N523" s="5" t="str">
        <f t="shared" si="139"/>
        <v>No</v>
      </c>
      <c r="O523" t="str">
        <f>IF(A523=WORKDAY(EOMONTH(A523,0)+1,-1,Bank_Holidays!$A$2:$A$25),"Yes","No")</f>
        <v>No</v>
      </c>
      <c r="P523" t="str">
        <f t="shared" si="140"/>
        <v>No</v>
      </c>
      <c r="Q523" t="str">
        <f t="shared" si="141"/>
        <v>No</v>
      </c>
      <c r="R523" s="5">
        <f t="shared" si="143"/>
        <v>1</v>
      </c>
      <c r="S523">
        <f>MOD(A523-Fortnightly_Model!$M$1,14)</f>
        <v>10</v>
      </c>
      <c r="T523">
        <f>MOD(A523-FourWeekly_Model!$M$1,28)</f>
        <v>24</v>
      </c>
    </row>
    <row r="524" spans="1:20">
      <c r="A524" s="25">
        <f t="shared" si="142"/>
        <v>46757</v>
      </c>
      <c r="B524">
        <f t="shared" si="128"/>
        <v>2028</v>
      </c>
      <c r="C524" s="9">
        <f t="shared" si="129"/>
        <v>1</v>
      </c>
      <c r="D524" s="9" t="str">
        <f t="shared" si="130"/>
        <v>January</v>
      </c>
      <c r="E524" s="9" t="str">
        <f t="shared" si="131"/>
        <v>Jan-28</v>
      </c>
      <c r="F524" s="9" t="str">
        <f t="shared" si="132"/>
        <v>Q1</v>
      </c>
      <c r="G524" s="9">
        <f t="shared" si="133"/>
        <v>5</v>
      </c>
      <c r="H524" s="9">
        <f t="shared" si="134"/>
        <v>3</v>
      </c>
      <c r="I524" s="9" t="str">
        <f t="shared" si="135"/>
        <v>Wednesday</v>
      </c>
      <c r="J524" s="9" t="str">
        <f t="shared" si="136"/>
        <v>No</v>
      </c>
      <c r="K524" s="5" t="str">
        <f>IF(COUNTIF(Bank_Holidays!A:A,A524)&gt;0,"Yes","No")</f>
        <v>No</v>
      </c>
      <c r="L524" t="str">
        <f t="shared" si="137"/>
        <v>Yes</v>
      </c>
      <c r="M524">
        <f t="shared" si="138"/>
        <v>1</v>
      </c>
      <c r="N524" s="5" t="str">
        <f t="shared" si="139"/>
        <v>No</v>
      </c>
      <c r="O524" t="str">
        <f>IF(A524=WORKDAY(EOMONTH(A524,0)+1,-1,Bank_Holidays!$A$2:$A$25),"Yes","No")</f>
        <v>No</v>
      </c>
      <c r="P524" t="str">
        <f t="shared" si="140"/>
        <v>No</v>
      </c>
      <c r="Q524" t="str">
        <f t="shared" si="141"/>
        <v>No</v>
      </c>
      <c r="R524" s="5">
        <f t="shared" si="143"/>
        <v>1</v>
      </c>
      <c r="S524">
        <f>MOD(A524-Fortnightly_Model!$M$1,14)</f>
        <v>11</v>
      </c>
      <c r="T524">
        <f>MOD(A524-FourWeekly_Model!$M$1,28)</f>
        <v>25</v>
      </c>
    </row>
    <row r="525" spans="1:20">
      <c r="A525" s="25">
        <f t="shared" si="142"/>
        <v>46758</v>
      </c>
      <c r="B525">
        <f t="shared" si="128"/>
        <v>2028</v>
      </c>
      <c r="C525" s="9">
        <f t="shared" si="129"/>
        <v>1</v>
      </c>
      <c r="D525" s="9" t="str">
        <f t="shared" si="130"/>
        <v>January</v>
      </c>
      <c r="E525" s="9" t="str">
        <f t="shared" si="131"/>
        <v>Jan-28</v>
      </c>
      <c r="F525" s="9" t="str">
        <f t="shared" si="132"/>
        <v>Q1</v>
      </c>
      <c r="G525" s="9">
        <f t="shared" si="133"/>
        <v>6</v>
      </c>
      <c r="H525" s="9">
        <f t="shared" si="134"/>
        <v>4</v>
      </c>
      <c r="I525" s="9" t="str">
        <f t="shared" si="135"/>
        <v>Thursday</v>
      </c>
      <c r="J525" s="9" t="str">
        <f t="shared" si="136"/>
        <v>No</v>
      </c>
      <c r="K525" s="5" t="str">
        <f>IF(COUNTIF(Bank_Holidays!A:A,A525)&gt;0,"Yes","No")</f>
        <v>No</v>
      </c>
      <c r="L525" t="str">
        <f t="shared" si="137"/>
        <v>Yes</v>
      </c>
      <c r="M525">
        <f t="shared" si="138"/>
        <v>1</v>
      </c>
      <c r="N525" s="5" t="str">
        <f t="shared" si="139"/>
        <v>No</v>
      </c>
      <c r="O525" t="str">
        <f>IF(A525=WORKDAY(EOMONTH(A525,0)+1,-1,Bank_Holidays!$A$2:$A$25),"Yes","No")</f>
        <v>No</v>
      </c>
      <c r="P525" t="str">
        <f t="shared" si="140"/>
        <v>No</v>
      </c>
      <c r="Q525" t="str">
        <f t="shared" si="141"/>
        <v>No</v>
      </c>
      <c r="R525" s="5">
        <f t="shared" si="143"/>
        <v>1</v>
      </c>
      <c r="S525">
        <f>MOD(A525-Fortnightly_Model!$M$1,14)</f>
        <v>12</v>
      </c>
      <c r="T525">
        <f>MOD(A525-FourWeekly_Model!$M$1,28)</f>
        <v>26</v>
      </c>
    </row>
    <row r="526" spans="1:20">
      <c r="A526" s="25">
        <f t="shared" si="142"/>
        <v>46759</v>
      </c>
      <c r="B526">
        <f t="shared" si="128"/>
        <v>2028</v>
      </c>
      <c r="C526" s="9">
        <f t="shared" si="129"/>
        <v>1</v>
      </c>
      <c r="D526" s="9" t="str">
        <f t="shared" si="130"/>
        <v>January</v>
      </c>
      <c r="E526" s="9" t="str">
        <f t="shared" si="131"/>
        <v>Jan-28</v>
      </c>
      <c r="F526" s="9" t="str">
        <f t="shared" si="132"/>
        <v>Q1</v>
      </c>
      <c r="G526" s="9">
        <f t="shared" si="133"/>
        <v>7</v>
      </c>
      <c r="H526" s="9">
        <f t="shared" si="134"/>
        <v>5</v>
      </c>
      <c r="I526" s="9" t="str">
        <f t="shared" si="135"/>
        <v>Friday</v>
      </c>
      <c r="J526" s="9" t="str">
        <f t="shared" si="136"/>
        <v>No</v>
      </c>
      <c r="K526" s="5" t="str">
        <f>IF(COUNTIF(Bank_Holidays!A:A,A526)&gt;0,"Yes","No")</f>
        <v>No</v>
      </c>
      <c r="L526" t="str">
        <f t="shared" si="137"/>
        <v>Yes</v>
      </c>
      <c r="M526">
        <f t="shared" si="138"/>
        <v>1</v>
      </c>
      <c r="N526" s="5" t="str">
        <f t="shared" si="139"/>
        <v>No</v>
      </c>
      <c r="O526" t="str">
        <f>IF(A526=WORKDAY(EOMONTH(A526,0)+1,-1,Bank_Holidays!$A$2:$A$25),"Yes","No")</f>
        <v>No</v>
      </c>
      <c r="P526" t="str">
        <f t="shared" si="140"/>
        <v>No</v>
      </c>
      <c r="Q526" t="str">
        <f t="shared" si="141"/>
        <v>No</v>
      </c>
      <c r="R526" s="5">
        <f t="shared" si="143"/>
        <v>3</v>
      </c>
      <c r="S526">
        <f>MOD(A526-Fortnightly_Model!$M$1,14)</f>
        <v>13</v>
      </c>
      <c r="T526">
        <f>MOD(A526-FourWeekly_Model!$M$1,28)</f>
        <v>27</v>
      </c>
    </row>
    <row r="527" spans="1:20">
      <c r="A527" s="25">
        <f t="shared" si="142"/>
        <v>46760</v>
      </c>
      <c r="B527">
        <f t="shared" si="128"/>
        <v>2028</v>
      </c>
      <c r="C527" s="9">
        <f t="shared" si="129"/>
        <v>1</v>
      </c>
      <c r="D527" s="9" t="str">
        <f t="shared" si="130"/>
        <v>January</v>
      </c>
      <c r="E527" s="9" t="str">
        <f t="shared" si="131"/>
        <v>Jan-28</v>
      </c>
      <c r="F527" s="9" t="str">
        <f t="shared" si="132"/>
        <v>Q1</v>
      </c>
      <c r="G527" s="9">
        <f t="shared" si="133"/>
        <v>8</v>
      </c>
      <c r="H527" s="9">
        <f t="shared" si="134"/>
        <v>6</v>
      </c>
      <c r="I527" s="9" t="str">
        <f t="shared" si="135"/>
        <v>Saturday</v>
      </c>
      <c r="J527" s="9" t="str">
        <f t="shared" si="136"/>
        <v>Yes</v>
      </c>
      <c r="K527" s="5" t="str">
        <f>IF(COUNTIF(Bank_Holidays!A:A,A527)&gt;0,"Yes","No")</f>
        <v>No</v>
      </c>
      <c r="L527" t="str">
        <f t="shared" si="137"/>
        <v>No</v>
      </c>
      <c r="M527">
        <f t="shared" si="138"/>
        <v>1</v>
      </c>
      <c r="N527" s="5" t="str">
        <f t="shared" si="139"/>
        <v>No</v>
      </c>
      <c r="O527" t="str">
        <f>IF(A527=WORKDAY(EOMONTH(A527,0)+1,-1,Bank_Holidays!$A$2:$A$25),"Yes","No")</f>
        <v>No</v>
      </c>
      <c r="P527" t="str">
        <f t="shared" si="140"/>
        <v>No</v>
      </c>
      <c r="Q527" t="str">
        <f t="shared" si="141"/>
        <v>No</v>
      </c>
      <c r="R527" s="5">
        <f t="shared" si="143"/>
        <v>0</v>
      </c>
      <c r="S527">
        <f>MOD(A527-Fortnightly_Model!$M$1,14)</f>
        <v>0</v>
      </c>
      <c r="T527">
        <f>MOD(A527-FourWeekly_Model!$M$1,28)</f>
        <v>0</v>
      </c>
    </row>
    <row r="528" spans="1:20">
      <c r="A528" s="25">
        <f t="shared" si="142"/>
        <v>46761</v>
      </c>
      <c r="B528">
        <f t="shared" si="128"/>
        <v>2028</v>
      </c>
      <c r="C528" s="9">
        <f t="shared" si="129"/>
        <v>1</v>
      </c>
      <c r="D528" s="9" t="str">
        <f t="shared" si="130"/>
        <v>January</v>
      </c>
      <c r="E528" s="9" t="str">
        <f t="shared" si="131"/>
        <v>Jan-28</v>
      </c>
      <c r="F528" s="9" t="str">
        <f t="shared" si="132"/>
        <v>Q1</v>
      </c>
      <c r="G528" s="9">
        <f t="shared" si="133"/>
        <v>9</v>
      </c>
      <c r="H528" s="9">
        <f t="shared" si="134"/>
        <v>7</v>
      </c>
      <c r="I528" s="9" t="str">
        <f t="shared" si="135"/>
        <v>Sunday</v>
      </c>
      <c r="J528" s="9" t="str">
        <f t="shared" si="136"/>
        <v>Yes</v>
      </c>
      <c r="K528" s="5" t="str">
        <f>IF(COUNTIF(Bank_Holidays!A:A,A528)&gt;0,"Yes","No")</f>
        <v>No</v>
      </c>
      <c r="L528" t="str">
        <f t="shared" si="137"/>
        <v>No</v>
      </c>
      <c r="M528">
        <f t="shared" si="138"/>
        <v>1</v>
      </c>
      <c r="N528" s="5" t="str">
        <f t="shared" si="139"/>
        <v>No</v>
      </c>
      <c r="O528" t="str">
        <f>IF(A528=WORKDAY(EOMONTH(A528,0)+1,-1,Bank_Holidays!$A$2:$A$25),"Yes","No")</f>
        <v>No</v>
      </c>
      <c r="P528" t="str">
        <f t="shared" si="140"/>
        <v>No</v>
      </c>
      <c r="Q528" t="str">
        <f t="shared" si="141"/>
        <v>No</v>
      </c>
      <c r="R528" s="5">
        <f t="shared" si="143"/>
        <v>0</v>
      </c>
      <c r="S528">
        <f>MOD(A528-Fortnightly_Model!$M$1,14)</f>
        <v>1</v>
      </c>
      <c r="T528">
        <f>MOD(A528-FourWeekly_Model!$M$1,28)</f>
        <v>1</v>
      </c>
    </row>
    <row r="529" spans="1:20">
      <c r="A529" s="25">
        <f t="shared" si="142"/>
        <v>46762</v>
      </c>
      <c r="B529">
        <f t="shared" si="128"/>
        <v>2028</v>
      </c>
      <c r="C529" s="9">
        <f t="shared" si="129"/>
        <v>1</v>
      </c>
      <c r="D529" s="9" t="str">
        <f t="shared" si="130"/>
        <v>January</v>
      </c>
      <c r="E529" s="9" t="str">
        <f t="shared" si="131"/>
        <v>Jan-28</v>
      </c>
      <c r="F529" s="9" t="str">
        <f t="shared" si="132"/>
        <v>Q1</v>
      </c>
      <c r="G529" s="9">
        <f t="shared" si="133"/>
        <v>10</v>
      </c>
      <c r="H529" s="9">
        <f t="shared" si="134"/>
        <v>1</v>
      </c>
      <c r="I529" s="9" t="str">
        <f t="shared" si="135"/>
        <v>Monday</v>
      </c>
      <c r="J529" s="9" t="str">
        <f t="shared" si="136"/>
        <v>No</v>
      </c>
      <c r="K529" s="5" t="str">
        <f>IF(COUNTIF(Bank_Holidays!A:A,A529)&gt;0,"Yes","No")</f>
        <v>No</v>
      </c>
      <c r="L529" t="str">
        <f t="shared" si="137"/>
        <v>Yes</v>
      </c>
      <c r="M529">
        <f t="shared" si="138"/>
        <v>2</v>
      </c>
      <c r="N529" s="5" t="str">
        <f t="shared" si="139"/>
        <v>No</v>
      </c>
      <c r="O529" t="str">
        <f>IF(A529=WORKDAY(EOMONTH(A529,0)+1,-1,Bank_Holidays!$A$2:$A$25),"Yes","No")</f>
        <v>No</v>
      </c>
      <c r="P529" t="str">
        <f t="shared" si="140"/>
        <v>No</v>
      </c>
      <c r="Q529" t="str">
        <f t="shared" si="141"/>
        <v>No</v>
      </c>
      <c r="R529" s="5">
        <f t="shared" si="143"/>
        <v>1</v>
      </c>
      <c r="S529">
        <f>MOD(A529-Fortnightly_Model!$M$1,14)</f>
        <v>2</v>
      </c>
      <c r="T529">
        <f>MOD(A529-FourWeekly_Model!$M$1,28)</f>
        <v>2</v>
      </c>
    </row>
    <row r="530" spans="1:20">
      <c r="A530" s="25">
        <f t="shared" si="142"/>
        <v>46763</v>
      </c>
      <c r="B530">
        <f t="shared" si="128"/>
        <v>2028</v>
      </c>
      <c r="C530" s="9">
        <f t="shared" si="129"/>
        <v>1</v>
      </c>
      <c r="D530" s="9" t="str">
        <f t="shared" si="130"/>
        <v>January</v>
      </c>
      <c r="E530" s="9" t="str">
        <f t="shared" si="131"/>
        <v>Jan-28</v>
      </c>
      <c r="F530" s="9" t="str">
        <f t="shared" si="132"/>
        <v>Q1</v>
      </c>
      <c r="G530" s="9">
        <f t="shared" si="133"/>
        <v>11</v>
      </c>
      <c r="H530" s="9">
        <f t="shared" si="134"/>
        <v>2</v>
      </c>
      <c r="I530" s="9" t="str">
        <f t="shared" si="135"/>
        <v>Tuesday</v>
      </c>
      <c r="J530" s="9" t="str">
        <f t="shared" si="136"/>
        <v>No</v>
      </c>
      <c r="K530" s="5" t="str">
        <f>IF(COUNTIF(Bank_Holidays!A:A,A530)&gt;0,"Yes","No")</f>
        <v>No</v>
      </c>
      <c r="L530" t="str">
        <f t="shared" si="137"/>
        <v>Yes</v>
      </c>
      <c r="M530">
        <f t="shared" si="138"/>
        <v>2</v>
      </c>
      <c r="N530" s="5" t="str">
        <f t="shared" si="139"/>
        <v>No</v>
      </c>
      <c r="O530" t="str">
        <f>IF(A530=WORKDAY(EOMONTH(A530,0)+1,-1,Bank_Holidays!$A$2:$A$25),"Yes","No")</f>
        <v>No</v>
      </c>
      <c r="P530" t="str">
        <f t="shared" si="140"/>
        <v>No</v>
      </c>
      <c r="Q530" t="str">
        <f t="shared" si="141"/>
        <v>No</v>
      </c>
      <c r="R530" s="5">
        <f t="shared" si="143"/>
        <v>1</v>
      </c>
      <c r="S530">
        <f>MOD(A530-Fortnightly_Model!$M$1,14)</f>
        <v>3</v>
      </c>
      <c r="T530">
        <f>MOD(A530-FourWeekly_Model!$M$1,28)</f>
        <v>3</v>
      </c>
    </row>
    <row r="531" spans="1:20">
      <c r="A531" s="25">
        <f t="shared" si="142"/>
        <v>46764</v>
      </c>
      <c r="B531">
        <f t="shared" si="128"/>
        <v>2028</v>
      </c>
      <c r="C531" s="9">
        <f t="shared" si="129"/>
        <v>1</v>
      </c>
      <c r="D531" s="9" t="str">
        <f t="shared" si="130"/>
        <v>January</v>
      </c>
      <c r="E531" s="9" t="str">
        <f t="shared" si="131"/>
        <v>Jan-28</v>
      </c>
      <c r="F531" s="9" t="str">
        <f t="shared" si="132"/>
        <v>Q1</v>
      </c>
      <c r="G531" s="9">
        <f t="shared" si="133"/>
        <v>12</v>
      </c>
      <c r="H531" s="9">
        <f t="shared" si="134"/>
        <v>3</v>
      </c>
      <c r="I531" s="9" t="str">
        <f t="shared" si="135"/>
        <v>Wednesday</v>
      </c>
      <c r="J531" s="9" t="str">
        <f t="shared" si="136"/>
        <v>No</v>
      </c>
      <c r="K531" s="5" t="str">
        <f>IF(COUNTIF(Bank_Holidays!A:A,A531)&gt;0,"Yes","No")</f>
        <v>No</v>
      </c>
      <c r="L531" t="str">
        <f t="shared" si="137"/>
        <v>Yes</v>
      </c>
      <c r="M531">
        <f t="shared" si="138"/>
        <v>2</v>
      </c>
      <c r="N531" s="5" t="str">
        <f t="shared" si="139"/>
        <v>No</v>
      </c>
      <c r="O531" t="str">
        <f>IF(A531=WORKDAY(EOMONTH(A531,0)+1,-1,Bank_Holidays!$A$2:$A$25),"Yes","No")</f>
        <v>No</v>
      </c>
      <c r="P531" t="str">
        <f t="shared" si="140"/>
        <v>No</v>
      </c>
      <c r="Q531" t="str">
        <f t="shared" si="141"/>
        <v>No</v>
      </c>
      <c r="R531" s="5">
        <f t="shared" si="143"/>
        <v>1</v>
      </c>
      <c r="S531">
        <f>MOD(A531-Fortnightly_Model!$M$1,14)</f>
        <v>4</v>
      </c>
      <c r="T531">
        <f>MOD(A531-FourWeekly_Model!$M$1,28)</f>
        <v>4</v>
      </c>
    </row>
    <row r="532" spans="1:20">
      <c r="A532" s="25">
        <f t="shared" si="142"/>
        <v>46765</v>
      </c>
      <c r="B532">
        <f t="shared" si="128"/>
        <v>2028</v>
      </c>
      <c r="C532" s="9">
        <f t="shared" si="129"/>
        <v>1</v>
      </c>
      <c r="D532" s="9" t="str">
        <f t="shared" si="130"/>
        <v>January</v>
      </c>
      <c r="E532" s="9" t="str">
        <f t="shared" si="131"/>
        <v>Jan-28</v>
      </c>
      <c r="F532" s="9" t="str">
        <f t="shared" si="132"/>
        <v>Q1</v>
      </c>
      <c r="G532" s="9">
        <f t="shared" si="133"/>
        <v>13</v>
      </c>
      <c r="H532" s="9">
        <f t="shared" si="134"/>
        <v>4</v>
      </c>
      <c r="I532" s="9" t="str">
        <f t="shared" si="135"/>
        <v>Thursday</v>
      </c>
      <c r="J532" s="9" t="str">
        <f t="shared" si="136"/>
        <v>No</v>
      </c>
      <c r="K532" s="5" t="str">
        <f>IF(COUNTIF(Bank_Holidays!A:A,A532)&gt;0,"Yes","No")</f>
        <v>No</v>
      </c>
      <c r="L532" t="str">
        <f t="shared" si="137"/>
        <v>Yes</v>
      </c>
      <c r="M532">
        <f t="shared" si="138"/>
        <v>2</v>
      </c>
      <c r="N532" s="5" t="str">
        <f t="shared" si="139"/>
        <v>No</v>
      </c>
      <c r="O532" t="str">
        <f>IF(A532=WORKDAY(EOMONTH(A532,0)+1,-1,Bank_Holidays!$A$2:$A$25),"Yes","No")</f>
        <v>No</v>
      </c>
      <c r="P532" t="str">
        <f t="shared" si="140"/>
        <v>No</v>
      </c>
      <c r="Q532" t="str">
        <f t="shared" si="141"/>
        <v>No</v>
      </c>
      <c r="R532" s="5">
        <f t="shared" si="143"/>
        <v>1</v>
      </c>
      <c r="S532">
        <f>MOD(A532-Fortnightly_Model!$M$1,14)</f>
        <v>5</v>
      </c>
      <c r="T532">
        <f>MOD(A532-FourWeekly_Model!$M$1,28)</f>
        <v>5</v>
      </c>
    </row>
    <row r="533" spans="1:20">
      <c r="A533" s="25">
        <f t="shared" si="142"/>
        <v>46766</v>
      </c>
      <c r="B533">
        <f t="shared" si="128"/>
        <v>2028</v>
      </c>
      <c r="C533" s="9">
        <f t="shared" si="129"/>
        <v>1</v>
      </c>
      <c r="D533" s="9" t="str">
        <f t="shared" si="130"/>
        <v>January</v>
      </c>
      <c r="E533" s="9" t="str">
        <f t="shared" si="131"/>
        <v>Jan-28</v>
      </c>
      <c r="F533" s="9" t="str">
        <f t="shared" si="132"/>
        <v>Q1</v>
      </c>
      <c r="G533" s="9">
        <f t="shared" si="133"/>
        <v>14</v>
      </c>
      <c r="H533" s="9">
        <f t="shared" si="134"/>
        <v>5</v>
      </c>
      <c r="I533" s="9" t="str">
        <f t="shared" si="135"/>
        <v>Friday</v>
      </c>
      <c r="J533" s="9" t="str">
        <f t="shared" si="136"/>
        <v>No</v>
      </c>
      <c r="K533" s="5" t="str">
        <f>IF(COUNTIF(Bank_Holidays!A:A,A533)&gt;0,"Yes","No")</f>
        <v>No</v>
      </c>
      <c r="L533" t="str">
        <f t="shared" si="137"/>
        <v>Yes</v>
      </c>
      <c r="M533">
        <f t="shared" si="138"/>
        <v>2</v>
      </c>
      <c r="N533" s="5" t="str">
        <f t="shared" si="139"/>
        <v>No</v>
      </c>
      <c r="O533" t="str">
        <f>IF(A533=WORKDAY(EOMONTH(A533,0)+1,-1,Bank_Holidays!$A$2:$A$25),"Yes","No")</f>
        <v>No</v>
      </c>
      <c r="P533" t="str">
        <f t="shared" si="140"/>
        <v>No</v>
      </c>
      <c r="Q533" t="str">
        <f t="shared" si="141"/>
        <v>No</v>
      </c>
      <c r="R533" s="5">
        <f t="shared" si="143"/>
        <v>3</v>
      </c>
    </row>
    <row r="534" spans="1:20">
      <c r="A534" s="25">
        <f t="shared" si="142"/>
        <v>46767</v>
      </c>
      <c r="B534">
        <f t="shared" si="128"/>
        <v>2028</v>
      </c>
      <c r="C534" s="9">
        <f t="shared" si="129"/>
        <v>1</v>
      </c>
      <c r="D534" s="9" t="str">
        <f t="shared" si="130"/>
        <v>January</v>
      </c>
      <c r="E534" s="9" t="str">
        <f t="shared" si="131"/>
        <v>Jan-28</v>
      </c>
      <c r="F534" s="9" t="str">
        <f t="shared" si="132"/>
        <v>Q1</v>
      </c>
      <c r="G534" s="9">
        <f t="shared" si="133"/>
        <v>15</v>
      </c>
      <c r="H534" s="9">
        <f t="shared" si="134"/>
        <v>6</v>
      </c>
      <c r="I534" s="9" t="str">
        <f t="shared" si="135"/>
        <v>Saturday</v>
      </c>
      <c r="J534" s="9" t="str">
        <f t="shared" si="136"/>
        <v>Yes</v>
      </c>
      <c r="K534" s="5" t="str">
        <f>IF(COUNTIF(Bank_Holidays!A:A,A534)&gt;0,"Yes","No")</f>
        <v>No</v>
      </c>
      <c r="L534" t="str">
        <f t="shared" si="137"/>
        <v>No</v>
      </c>
      <c r="M534">
        <f t="shared" si="138"/>
        <v>2</v>
      </c>
      <c r="N534" s="5" t="str">
        <f t="shared" si="139"/>
        <v>No</v>
      </c>
      <c r="O534" t="str">
        <f>IF(A534=WORKDAY(EOMONTH(A534,0)+1,-1,Bank_Holidays!$A$2:$A$25),"Yes","No")</f>
        <v>No</v>
      </c>
      <c r="P534" t="str">
        <f t="shared" si="140"/>
        <v>No</v>
      </c>
      <c r="Q534" t="str">
        <f t="shared" si="141"/>
        <v>No</v>
      </c>
      <c r="R534" s="5">
        <f t="shared" si="143"/>
        <v>0</v>
      </c>
    </row>
    <row r="535" spans="1:20">
      <c r="A535" s="25">
        <f t="shared" si="142"/>
        <v>46768</v>
      </c>
      <c r="B535">
        <f t="shared" si="128"/>
        <v>2028</v>
      </c>
      <c r="C535" s="9">
        <f t="shared" si="129"/>
        <v>1</v>
      </c>
      <c r="D535" s="9" t="str">
        <f t="shared" si="130"/>
        <v>January</v>
      </c>
      <c r="E535" s="9" t="str">
        <f t="shared" si="131"/>
        <v>Jan-28</v>
      </c>
      <c r="F535" s="9" t="str">
        <f t="shared" si="132"/>
        <v>Q1</v>
      </c>
      <c r="G535" s="9">
        <f t="shared" si="133"/>
        <v>16</v>
      </c>
      <c r="H535" s="9">
        <f t="shared" si="134"/>
        <v>7</v>
      </c>
      <c r="I535" s="9" t="str">
        <f t="shared" si="135"/>
        <v>Sunday</v>
      </c>
      <c r="J535" s="9" t="str">
        <f t="shared" si="136"/>
        <v>Yes</v>
      </c>
      <c r="K535" s="5" t="str">
        <f>IF(COUNTIF(Bank_Holidays!A:A,A535)&gt;0,"Yes","No")</f>
        <v>No</v>
      </c>
      <c r="L535" t="str">
        <f t="shared" si="137"/>
        <v>No</v>
      </c>
      <c r="M535">
        <f t="shared" si="138"/>
        <v>2</v>
      </c>
      <c r="N535" s="5" t="str">
        <f t="shared" si="139"/>
        <v>No</v>
      </c>
      <c r="O535" t="str">
        <f>IF(A535=WORKDAY(EOMONTH(A535,0)+1,-1,Bank_Holidays!$A$2:$A$25),"Yes","No")</f>
        <v>No</v>
      </c>
      <c r="P535" t="str">
        <f t="shared" si="140"/>
        <v>No</v>
      </c>
      <c r="Q535" t="str">
        <f t="shared" si="141"/>
        <v>No</v>
      </c>
      <c r="R535" s="5">
        <f t="shared" si="143"/>
        <v>0</v>
      </c>
    </row>
    <row r="536" spans="1:20">
      <c r="A536" s="25">
        <f t="shared" si="142"/>
        <v>46769</v>
      </c>
      <c r="B536">
        <f t="shared" si="128"/>
        <v>2028</v>
      </c>
      <c r="C536" s="9">
        <f t="shared" si="129"/>
        <v>1</v>
      </c>
      <c r="D536" s="9" t="str">
        <f t="shared" si="130"/>
        <v>January</v>
      </c>
      <c r="E536" s="9" t="str">
        <f t="shared" si="131"/>
        <v>Jan-28</v>
      </c>
      <c r="F536" s="9" t="str">
        <f t="shared" si="132"/>
        <v>Q1</v>
      </c>
      <c r="G536" s="9">
        <f t="shared" si="133"/>
        <v>17</v>
      </c>
      <c r="H536" s="9">
        <f t="shared" si="134"/>
        <v>1</v>
      </c>
      <c r="I536" s="9" t="str">
        <f t="shared" si="135"/>
        <v>Monday</v>
      </c>
      <c r="J536" s="9" t="str">
        <f t="shared" si="136"/>
        <v>No</v>
      </c>
      <c r="K536" s="5" t="str">
        <f>IF(COUNTIF(Bank_Holidays!A:A,A536)&gt;0,"Yes","No")</f>
        <v>No</v>
      </c>
      <c r="L536" t="str">
        <f t="shared" si="137"/>
        <v>Yes</v>
      </c>
      <c r="M536">
        <f t="shared" si="138"/>
        <v>3</v>
      </c>
      <c r="N536" s="5" t="str">
        <f t="shared" si="139"/>
        <v>No</v>
      </c>
      <c r="O536" t="str">
        <f>IF(A536=WORKDAY(EOMONTH(A536,0)+1,-1,Bank_Holidays!$A$2:$A$25),"Yes","No")</f>
        <v>No</v>
      </c>
      <c r="P536" t="str">
        <f t="shared" si="140"/>
        <v>No</v>
      </c>
      <c r="Q536" t="str">
        <f t="shared" si="141"/>
        <v>No</v>
      </c>
      <c r="R536" s="5">
        <f t="shared" si="143"/>
        <v>1</v>
      </c>
    </row>
    <row r="537" spans="1:20">
      <c r="A537" s="25">
        <f t="shared" si="142"/>
        <v>46770</v>
      </c>
      <c r="B537">
        <f t="shared" si="128"/>
        <v>2028</v>
      </c>
      <c r="C537" s="9">
        <f t="shared" si="129"/>
        <v>1</v>
      </c>
      <c r="D537" s="9" t="str">
        <f t="shared" si="130"/>
        <v>January</v>
      </c>
      <c r="E537" s="9" t="str">
        <f t="shared" si="131"/>
        <v>Jan-28</v>
      </c>
      <c r="F537" s="9" t="str">
        <f t="shared" si="132"/>
        <v>Q1</v>
      </c>
      <c r="G537" s="9">
        <f t="shared" si="133"/>
        <v>18</v>
      </c>
      <c r="H537" s="9">
        <f t="shared" si="134"/>
        <v>2</v>
      </c>
      <c r="I537" s="9" t="str">
        <f t="shared" si="135"/>
        <v>Tuesday</v>
      </c>
      <c r="J537" s="9" t="str">
        <f t="shared" si="136"/>
        <v>No</v>
      </c>
      <c r="K537" s="5" t="str">
        <f>IF(COUNTIF(Bank_Holidays!A:A,A537)&gt;0,"Yes","No")</f>
        <v>No</v>
      </c>
      <c r="L537" t="str">
        <f t="shared" si="137"/>
        <v>Yes</v>
      </c>
      <c r="M537">
        <f t="shared" si="138"/>
        <v>3</v>
      </c>
      <c r="N537" s="5" t="str">
        <f t="shared" si="139"/>
        <v>No</v>
      </c>
      <c r="O537" t="str">
        <f>IF(A537=WORKDAY(EOMONTH(A537,0)+1,-1,Bank_Holidays!$A$2:$A$25),"Yes","No")</f>
        <v>No</v>
      </c>
      <c r="P537" t="str">
        <f t="shared" si="140"/>
        <v>No</v>
      </c>
      <c r="Q537" t="str">
        <f t="shared" si="141"/>
        <v>No</v>
      </c>
      <c r="R537" s="5">
        <f t="shared" si="143"/>
        <v>1</v>
      </c>
    </row>
    <row r="538" spans="1:20">
      <c r="A538" s="25">
        <f t="shared" si="142"/>
        <v>46771</v>
      </c>
      <c r="B538">
        <f t="shared" si="128"/>
        <v>2028</v>
      </c>
      <c r="C538" s="9">
        <f t="shared" si="129"/>
        <v>1</v>
      </c>
      <c r="D538" s="9" t="str">
        <f t="shared" si="130"/>
        <v>January</v>
      </c>
      <c r="E538" s="9" t="str">
        <f t="shared" si="131"/>
        <v>Jan-28</v>
      </c>
      <c r="F538" s="9" t="str">
        <f t="shared" si="132"/>
        <v>Q1</v>
      </c>
      <c r="G538" s="9">
        <f t="shared" si="133"/>
        <v>19</v>
      </c>
      <c r="H538" s="9">
        <f t="shared" si="134"/>
        <v>3</v>
      </c>
      <c r="I538" s="9" t="str">
        <f t="shared" si="135"/>
        <v>Wednesday</v>
      </c>
      <c r="J538" s="9" t="str">
        <f t="shared" si="136"/>
        <v>No</v>
      </c>
      <c r="K538" s="5" t="str">
        <f>IF(COUNTIF(Bank_Holidays!A:A,A538)&gt;0,"Yes","No")</f>
        <v>No</v>
      </c>
      <c r="L538" t="str">
        <f t="shared" si="137"/>
        <v>Yes</v>
      </c>
      <c r="M538">
        <f t="shared" si="138"/>
        <v>3</v>
      </c>
      <c r="N538" s="5" t="str">
        <f t="shared" si="139"/>
        <v>No</v>
      </c>
      <c r="O538" t="str">
        <f>IF(A538=WORKDAY(EOMONTH(A538,0)+1,-1,Bank_Holidays!$A$2:$A$25),"Yes","No")</f>
        <v>No</v>
      </c>
      <c r="P538" t="str">
        <f t="shared" si="140"/>
        <v>No</v>
      </c>
      <c r="Q538" t="str">
        <f t="shared" si="141"/>
        <v>No</v>
      </c>
      <c r="R538" s="5">
        <f t="shared" si="143"/>
        <v>1</v>
      </c>
    </row>
    <row r="539" spans="1:20">
      <c r="A539" s="25">
        <f t="shared" si="142"/>
        <v>46772</v>
      </c>
      <c r="B539">
        <f t="shared" si="128"/>
        <v>2028</v>
      </c>
      <c r="C539" s="9">
        <f t="shared" si="129"/>
        <v>1</v>
      </c>
      <c r="D539" s="9" t="str">
        <f t="shared" si="130"/>
        <v>January</v>
      </c>
      <c r="E539" s="9" t="str">
        <f t="shared" si="131"/>
        <v>Jan-28</v>
      </c>
      <c r="F539" s="9" t="str">
        <f t="shared" si="132"/>
        <v>Q1</v>
      </c>
      <c r="G539" s="9">
        <f t="shared" si="133"/>
        <v>20</v>
      </c>
      <c r="H539" s="9">
        <f t="shared" si="134"/>
        <v>4</v>
      </c>
      <c r="I539" s="9" t="str">
        <f t="shared" si="135"/>
        <v>Thursday</v>
      </c>
      <c r="J539" s="9" t="str">
        <f t="shared" si="136"/>
        <v>No</v>
      </c>
      <c r="K539" s="5" t="str">
        <f>IF(COUNTIF(Bank_Holidays!A:A,A539)&gt;0,"Yes","No")</f>
        <v>No</v>
      </c>
      <c r="L539" t="str">
        <f t="shared" si="137"/>
        <v>Yes</v>
      </c>
      <c r="M539">
        <f t="shared" si="138"/>
        <v>3</v>
      </c>
      <c r="N539" s="5" t="str">
        <f t="shared" si="139"/>
        <v>No</v>
      </c>
      <c r="O539" t="str">
        <f>IF(A539=WORKDAY(EOMONTH(A539,0)+1,-1,Bank_Holidays!$A$2:$A$25),"Yes","No")</f>
        <v>No</v>
      </c>
      <c r="P539" t="str">
        <f t="shared" si="140"/>
        <v>No</v>
      </c>
      <c r="Q539" t="str">
        <f t="shared" si="141"/>
        <v>No</v>
      </c>
      <c r="R539" s="5">
        <f t="shared" si="143"/>
        <v>1</v>
      </c>
    </row>
    <row r="540" spans="1:20">
      <c r="A540" s="25">
        <f t="shared" si="142"/>
        <v>46773</v>
      </c>
      <c r="B540">
        <f t="shared" si="128"/>
        <v>2028</v>
      </c>
      <c r="C540" s="9">
        <f t="shared" si="129"/>
        <v>1</v>
      </c>
      <c r="D540" s="9" t="str">
        <f t="shared" si="130"/>
        <v>January</v>
      </c>
      <c r="E540" s="9" t="str">
        <f t="shared" si="131"/>
        <v>Jan-28</v>
      </c>
      <c r="F540" s="9" t="str">
        <f t="shared" si="132"/>
        <v>Q1</v>
      </c>
      <c r="G540" s="9">
        <f t="shared" si="133"/>
        <v>21</v>
      </c>
      <c r="H540" s="9">
        <f t="shared" si="134"/>
        <v>5</v>
      </c>
      <c r="I540" s="9" t="str">
        <f t="shared" si="135"/>
        <v>Friday</v>
      </c>
      <c r="J540" s="9" t="str">
        <f t="shared" si="136"/>
        <v>No</v>
      </c>
      <c r="K540" s="5" t="str">
        <f>IF(COUNTIF(Bank_Holidays!A:A,A540)&gt;0,"Yes","No")</f>
        <v>No</v>
      </c>
      <c r="L540" t="str">
        <f t="shared" si="137"/>
        <v>Yes</v>
      </c>
      <c r="M540">
        <f t="shared" si="138"/>
        <v>3</v>
      </c>
      <c r="N540" s="5" t="str">
        <f t="shared" si="139"/>
        <v>No</v>
      </c>
      <c r="O540" t="str">
        <f>IF(A540=WORKDAY(EOMONTH(A540,0)+1,-1,Bank_Holidays!$A$2:$A$25),"Yes","No")</f>
        <v>No</v>
      </c>
      <c r="P540" t="str">
        <f t="shared" si="140"/>
        <v>No</v>
      </c>
      <c r="Q540" t="str">
        <f t="shared" si="141"/>
        <v>No</v>
      </c>
      <c r="R540" s="5">
        <f t="shared" si="143"/>
        <v>3</v>
      </c>
    </row>
    <row r="541" spans="1:20">
      <c r="A541" s="25">
        <f t="shared" si="142"/>
        <v>46774</v>
      </c>
      <c r="B541">
        <f t="shared" si="128"/>
        <v>2028</v>
      </c>
      <c r="C541" s="9">
        <f t="shared" si="129"/>
        <v>1</v>
      </c>
      <c r="D541" s="9" t="str">
        <f t="shared" si="130"/>
        <v>January</v>
      </c>
      <c r="E541" s="9" t="str">
        <f t="shared" si="131"/>
        <v>Jan-28</v>
      </c>
      <c r="F541" s="9" t="str">
        <f t="shared" si="132"/>
        <v>Q1</v>
      </c>
      <c r="G541" s="9">
        <f t="shared" si="133"/>
        <v>22</v>
      </c>
      <c r="H541" s="9">
        <f t="shared" si="134"/>
        <v>6</v>
      </c>
      <c r="I541" s="9" t="str">
        <f t="shared" si="135"/>
        <v>Saturday</v>
      </c>
      <c r="J541" s="9" t="str">
        <f t="shared" si="136"/>
        <v>Yes</v>
      </c>
      <c r="K541" s="5" t="str">
        <f>IF(COUNTIF(Bank_Holidays!A:A,A541)&gt;0,"Yes","No")</f>
        <v>No</v>
      </c>
      <c r="L541" t="str">
        <f t="shared" si="137"/>
        <v>No</v>
      </c>
      <c r="M541">
        <f t="shared" si="138"/>
        <v>3</v>
      </c>
      <c r="N541" s="5" t="str">
        <f t="shared" si="139"/>
        <v>No</v>
      </c>
      <c r="O541" t="str">
        <f>IF(A541=WORKDAY(EOMONTH(A541,0)+1,-1,Bank_Holidays!$A$2:$A$25),"Yes","No")</f>
        <v>No</v>
      </c>
      <c r="P541" t="str">
        <f t="shared" si="140"/>
        <v>No</v>
      </c>
      <c r="Q541" t="str">
        <f t="shared" si="141"/>
        <v>No</v>
      </c>
      <c r="R541" s="5">
        <f t="shared" si="143"/>
        <v>0</v>
      </c>
    </row>
    <row r="542" spans="1:20">
      <c r="A542" s="25">
        <f t="shared" si="142"/>
        <v>46775</v>
      </c>
      <c r="B542">
        <f t="shared" si="128"/>
        <v>2028</v>
      </c>
      <c r="C542" s="9">
        <f t="shared" si="129"/>
        <v>1</v>
      </c>
      <c r="D542" s="9" t="str">
        <f t="shared" si="130"/>
        <v>January</v>
      </c>
      <c r="E542" s="9" t="str">
        <f t="shared" si="131"/>
        <v>Jan-28</v>
      </c>
      <c r="F542" s="9" t="str">
        <f t="shared" si="132"/>
        <v>Q1</v>
      </c>
      <c r="G542" s="9">
        <f t="shared" si="133"/>
        <v>23</v>
      </c>
      <c r="H542" s="9">
        <f t="shared" si="134"/>
        <v>7</v>
      </c>
      <c r="I542" s="9" t="str">
        <f t="shared" si="135"/>
        <v>Sunday</v>
      </c>
      <c r="J542" s="9" t="str">
        <f t="shared" si="136"/>
        <v>Yes</v>
      </c>
      <c r="K542" s="5" t="str">
        <f>IF(COUNTIF(Bank_Holidays!A:A,A542)&gt;0,"Yes","No")</f>
        <v>No</v>
      </c>
      <c r="L542" t="str">
        <f t="shared" si="137"/>
        <v>No</v>
      </c>
      <c r="M542">
        <f t="shared" si="138"/>
        <v>3</v>
      </c>
      <c r="N542" s="5" t="str">
        <f t="shared" si="139"/>
        <v>No</v>
      </c>
      <c r="O542" t="str">
        <f>IF(A542=WORKDAY(EOMONTH(A542,0)+1,-1,Bank_Holidays!$A$2:$A$25),"Yes","No")</f>
        <v>No</v>
      </c>
      <c r="P542" t="str">
        <f t="shared" si="140"/>
        <v>No</v>
      </c>
      <c r="Q542" t="str">
        <f t="shared" si="141"/>
        <v>No</v>
      </c>
      <c r="R542" s="5">
        <f t="shared" si="143"/>
        <v>0</v>
      </c>
    </row>
    <row r="543" spans="1:20">
      <c r="A543" s="25">
        <f t="shared" si="142"/>
        <v>46776</v>
      </c>
      <c r="B543">
        <f t="shared" si="128"/>
        <v>2028</v>
      </c>
      <c r="C543" s="9">
        <f t="shared" si="129"/>
        <v>1</v>
      </c>
      <c r="D543" s="9" t="str">
        <f t="shared" si="130"/>
        <v>January</v>
      </c>
      <c r="E543" s="9" t="str">
        <f t="shared" si="131"/>
        <v>Jan-28</v>
      </c>
      <c r="F543" s="9" t="str">
        <f t="shared" si="132"/>
        <v>Q1</v>
      </c>
      <c r="G543" s="9">
        <f t="shared" si="133"/>
        <v>24</v>
      </c>
      <c r="H543" s="9">
        <f t="shared" si="134"/>
        <v>1</v>
      </c>
      <c r="I543" s="9" t="str">
        <f t="shared" si="135"/>
        <v>Monday</v>
      </c>
      <c r="J543" s="9" t="str">
        <f t="shared" si="136"/>
        <v>No</v>
      </c>
      <c r="K543" s="5" t="str">
        <f>IF(COUNTIF(Bank_Holidays!A:A,A543)&gt;0,"Yes","No")</f>
        <v>No</v>
      </c>
      <c r="L543" t="str">
        <f t="shared" si="137"/>
        <v>Yes</v>
      </c>
      <c r="M543">
        <f t="shared" si="138"/>
        <v>4</v>
      </c>
      <c r="N543" s="5" t="str">
        <f t="shared" si="139"/>
        <v>No</v>
      </c>
      <c r="O543" t="str">
        <f>IF(A543=WORKDAY(EOMONTH(A543,0)+1,-1,Bank_Holidays!$A$2:$A$25),"Yes","No")</f>
        <v>No</v>
      </c>
      <c r="P543" t="str">
        <f t="shared" si="140"/>
        <v>No</v>
      </c>
      <c r="Q543" t="str">
        <f t="shared" si="141"/>
        <v>No</v>
      </c>
      <c r="R543" s="5">
        <f t="shared" si="143"/>
        <v>1</v>
      </c>
    </row>
    <row r="544" spans="1:20">
      <c r="A544" s="25">
        <f t="shared" si="142"/>
        <v>46777</v>
      </c>
      <c r="B544">
        <f t="shared" si="128"/>
        <v>2028</v>
      </c>
      <c r="C544" s="9">
        <f t="shared" si="129"/>
        <v>1</v>
      </c>
      <c r="D544" s="9" t="str">
        <f t="shared" si="130"/>
        <v>January</v>
      </c>
      <c r="E544" s="9" t="str">
        <f t="shared" si="131"/>
        <v>Jan-28</v>
      </c>
      <c r="F544" s="9" t="str">
        <f t="shared" si="132"/>
        <v>Q1</v>
      </c>
      <c r="G544" s="9">
        <f t="shared" si="133"/>
        <v>25</v>
      </c>
      <c r="H544" s="9">
        <f t="shared" si="134"/>
        <v>2</v>
      </c>
      <c r="I544" s="9" t="str">
        <f t="shared" si="135"/>
        <v>Tuesday</v>
      </c>
      <c r="J544" s="9" t="str">
        <f t="shared" si="136"/>
        <v>No</v>
      </c>
      <c r="K544" s="5" t="str">
        <f>IF(COUNTIF(Bank_Holidays!A:A,A544)&gt;0,"Yes","No")</f>
        <v>No</v>
      </c>
      <c r="L544" t="str">
        <f t="shared" si="137"/>
        <v>Yes</v>
      </c>
      <c r="M544">
        <f t="shared" si="138"/>
        <v>4</v>
      </c>
      <c r="N544" s="5" t="str">
        <f t="shared" si="139"/>
        <v>No</v>
      </c>
      <c r="O544" t="str">
        <f>IF(A544=WORKDAY(EOMONTH(A544,0)+1,-1,Bank_Holidays!$A$2:$A$25),"Yes","No")</f>
        <v>No</v>
      </c>
      <c r="P544" t="str">
        <f t="shared" si="140"/>
        <v>No</v>
      </c>
      <c r="Q544" t="str">
        <f t="shared" si="141"/>
        <v>No</v>
      </c>
      <c r="R544" s="5">
        <f t="shared" si="143"/>
        <v>1</v>
      </c>
    </row>
    <row r="545" spans="1:18">
      <c r="A545" s="25">
        <f t="shared" si="142"/>
        <v>46778</v>
      </c>
      <c r="B545">
        <f t="shared" si="128"/>
        <v>2028</v>
      </c>
      <c r="C545" s="9">
        <f t="shared" si="129"/>
        <v>1</v>
      </c>
      <c r="D545" s="9" t="str">
        <f t="shared" si="130"/>
        <v>January</v>
      </c>
      <c r="E545" s="9" t="str">
        <f t="shared" si="131"/>
        <v>Jan-28</v>
      </c>
      <c r="F545" s="9" t="str">
        <f t="shared" si="132"/>
        <v>Q1</v>
      </c>
      <c r="G545" s="9">
        <f t="shared" si="133"/>
        <v>26</v>
      </c>
      <c r="H545" s="9">
        <f t="shared" si="134"/>
        <v>3</v>
      </c>
      <c r="I545" s="9" t="str">
        <f t="shared" si="135"/>
        <v>Wednesday</v>
      </c>
      <c r="J545" s="9" t="str">
        <f t="shared" si="136"/>
        <v>No</v>
      </c>
      <c r="K545" s="5" t="str">
        <f>IF(COUNTIF(Bank_Holidays!A:A,A545)&gt;0,"Yes","No")</f>
        <v>No</v>
      </c>
      <c r="L545" t="str">
        <f t="shared" si="137"/>
        <v>Yes</v>
      </c>
      <c r="M545">
        <f t="shared" si="138"/>
        <v>4</v>
      </c>
      <c r="N545" s="5" t="str">
        <f t="shared" si="139"/>
        <v>No</v>
      </c>
      <c r="O545" t="str">
        <f>IF(A545=WORKDAY(EOMONTH(A545,0)+1,-1,Bank_Holidays!$A$2:$A$25),"Yes","No")</f>
        <v>No</v>
      </c>
      <c r="P545" t="str">
        <f t="shared" si="140"/>
        <v>No</v>
      </c>
      <c r="Q545" t="str">
        <f t="shared" si="141"/>
        <v>No</v>
      </c>
      <c r="R545" s="5">
        <f t="shared" si="143"/>
        <v>1</v>
      </c>
    </row>
    <row r="546" spans="1:18">
      <c r="A546" s="25">
        <f t="shared" si="142"/>
        <v>46779</v>
      </c>
      <c r="B546">
        <f t="shared" si="128"/>
        <v>2028</v>
      </c>
      <c r="C546" s="9">
        <f t="shared" si="129"/>
        <v>1</v>
      </c>
      <c r="D546" s="9" t="str">
        <f t="shared" si="130"/>
        <v>January</v>
      </c>
      <c r="E546" s="9" t="str">
        <f t="shared" si="131"/>
        <v>Jan-28</v>
      </c>
      <c r="F546" s="9" t="str">
        <f t="shared" si="132"/>
        <v>Q1</v>
      </c>
      <c r="G546" s="9">
        <f t="shared" si="133"/>
        <v>27</v>
      </c>
      <c r="H546" s="9">
        <f t="shared" si="134"/>
        <v>4</v>
      </c>
      <c r="I546" s="9" t="str">
        <f t="shared" si="135"/>
        <v>Thursday</v>
      </c>
      <c r="J546" s="9" t="str">
        <f t="shared" si="136"/>
        <v>No</v>
      </c>
      <c r="K546" s="5" t="str">
        <f>IF(COUNTIF(Bank_Holidays!A:A,A546)&gt;0,"Yes","No")</f>
        <v>No</v>
      </c>
      <c r="L546" t="str">
        <f t="shared" si="137"/>
        <v>Yes</v>
      </c>
      <c r="M546">
        <f t="shared" si="138"/>
        <v>4</v>
      </c>
      <c r="N546" s="5" t="str">
        <f t="shared" si="139"/>
        <v>No</v>
      </c>
      <c r="O546" t="str">
        <f>IF(A546=WORKDAY(EOMONTH(A546,0)+1,-1,Bank_Holidays!$A$2:$A$25),"Yes","No")</f>
        <v>No</v>
      </c>
      <c r="P546" t="str">
        <f t="shared" si="140"/>
        <v>No</v>
      </c>
      <c r="Q546" t="str">
        <f t="shared" si="141"/>
        <v>Yes</v>
      </c>
      <c r="R546" s="5">
        <f t="shared" si="143"/>
        <v>1</v>
      </c>
    </row>
    <row r="547" spans="1:18">
      <c r="A547" s="25">
        <f t="shared" si="142"/>
        <v>46780</v>
      </c>
      <c r="B547">
        <f t="shared" si="128"/>
        <v>2028</v>
      </c>
      <c r="C547" s="9">
        <f t="shared" si="129"/>
        <v>1</v>
      </c>
      <c r="D547" s="9" t="str">
        <f t="shared" si="130"/>
        <v>January</v>
      </c>
      <c r="E547" s="9" t="str">
        <f t="shared" si="131"/>
        <v>Jan-28</v>
      </c>
      <c r="F547" s="9" t="str">
        <f t="shared" si="132"/>
        <v>Q1</v>
      </c>
      <c r="G547" s="9">
        <f t="shared" si="133"/>
        <v>28</v>
      </c>
      <c r="H547" s="9">
        <f t="shared" si="134"/>
        <v>5</v>
      </c>
      <c r="I547" s="9" t="str">
        <f t="shared" si="135"/>
        <v>Friday</v>
      </c>
      <c r="J547" s="9" t="str">
        <f t="shared" si="136"/>
        <v>No</v>
      </c>
      <c r="K547" s="5" t="str">
        <f>IF(COUNTIF(Bank_Holidays!A:A,A547)&gt;0,"Yes","No")</f>
        <v>No</v>
      </c>
      <c r="L547" t="str">
        <f t="shared" si="137"/>
        <v>Yes</v>
      </c>
      <c r="M547">
        <f t="shared" si="138"/>
        <v>4</v>
      </c>
      <c r="N547" s="5" t="str">
        <f t="shared" si="139"/>
        <v>No</v>
      </c>
      <c r="O547" t="str">
        <f>IF(A547=WORKDAY(EOMONTH(A547,0)+1,-1,Bank_Holidays!$A$2:$A$25),"Yes","No")</f>
        <v>No</v>
      </c>
      <c r="P547" t="str">
        <f t="shared" si="140"/>
        <v>Yes</v>
      </c>
      <c r="Q547" t="str">
        <f t="shared" si="141"/>
        <v>No</v>
      </c>
      <c r="R547" s="5">
        <f t="shared" si="143"/>
        <v>3</v>
      </c>
    </row>
    <row r="548" spans="1:18">
      <c r="A548" s="25">
        <f t="shared" si="142"/>
        <v>46781</v>
      </c>
      <c r="B548">
        <f t="shared" si="128"/>
        <v>2028</v>
      </c>
      <c r="C548" s="9">
        <f t="shared" si="129"/>
        <v>1</v>
      </c>
      <c r="D548" s="9" t="str">
        <f t="shared" si="130"/>
        <v>January</v>
      </c>
      <c r="E548" s="9" t="str">
        <f t="shared" si="131"/>
        <v>Jan-28</v>
      </c>
      <c r="F548" s="9" t="str">
        <f t="shared" si="132"/>
        <v>Q1</v>
      </c>
      <c r="G548" s="9">
        <f t="shared" si="133"/>
        <v>29</v>
      </c>
      <c r="H548" s="9">
        <f t="shared" si="134"/>
        <v>6</v>
      </c>
      <c r="I548" s="9" t="str">
        <f t="shared" si="135"/>
        <v>Saturday</v>
      </c>
      <c r="J548" s="9" t="str">
        <f t="shared" si="136"/>
        <v>Yes</v>
      </c>
      <c r="K548" s="5" t="str">
        <f>IF(COUNTIF(Bank_Holidays!A:A,A548)&gt;0,"Yes","No")</f>
        <v>No</v>
      </c>
      <c r="L548" t="str">
        <f t="shared" si="137"/>
        <v>No</v>
      </c>
      <c r="M548">
        <f t="shared" si="138"/>
        <v>4</v>
      </c>
      <c r="N548" s="5" t="str">
        <f t="shared" si="139"/>
        <v>No</v>
      </c>
      <c r="O548" t="str">
        <f>IF(A548=WORKDAY(EOMONTH(A548,0)+1,-1,Bank_Holidays!$A$2:$A$25),"Yes","No")</f>
        <v>No</v>
      </c>
      <c r="P548" t="str">
        <f t="shared" si="140"/>
        <v>No</v>
      </c>
      <c r="Q548" t="str">
        <f t="shared" si="141"/>
        <v>No</v>
      </c>
      <c r="R548" s="5">
        <f t="shared" si="143"/>
        <v>0</v>
      </c>
    </row>
    <row r="549" spans="1:18">
      <c r="A549" s="25">
        <f t="shared" si="142"/>
        <v>46782</v>
      </c>
      <c r="B549">
        <f t="shared" si="128"/>
        <v>2028</v>
      </c>
      <c r="C549" s="9">
        <f t="shared" si="129"/>
        <v>1</v>
      </c>
      <c r="D549" s="9" t="str">
        <f t="shared" si="130"/>
        <v>January</v>
      </c>
      <c r="E549" s="9" t="str">
        <f t="shared" si="131"/>
        <v>Jan-28</v>
      </c>
      <c r="F549" s="9" t="str">
        <f t="shared" si="132"/>
        <v>Q1</v>
      </c>
      <c r="G549" s="9">
        <f t="shared" si="133"/>
        <v>30</v>
      </c>
      <c r="H549" s="9">
        <f t="shared" si="134"/>
        <v>7</v>
      </c>
      <c r="I549" s="9" t="str">
        <f t="shared" si="135"/>
        <v>Sunday</v>
      </c>
      <c r="J549" s="9" t="str">
        <f t="shared" si="136"/>
        <v>Yes</v>
      </c>
      <c r="K549" s="5" t="str">
        <f>IF(COUNTIF(Bank_Holidays!A:A,A549)&gt;0,"Yes","No")</f>
        <v>No</v>
      </c>
      <c r="L549" t="str">
        <f t="shared" si="137"/>
        <v>No</v>
      </c>
      <c r="M549">
        <f t="shared" si="138"/>
        <v>4</v>
      </c>
      <c r="N549" s="5" t="str">
        <f t="shared" si="139"/>
        <v>No</v>
      </c>
      <c r="O549" t="str">
        <f>IF(A549=WORKDAY(EOMONTH(A549,0)+1,-1,Bank_Holidays!$A$2:$A$25),"Yes","No")</f>
        <v>No</v>
      </c>
      <c r="P549" t="str">
        <f t="shared" si="140"/>
        <v>No</v>
      </c>
      <c r="Q549" t="str">
        <f t="shared" si="141"/>
        <v>No</v>
      </c>
      <c r="R549" s="5">
        <f t="shared" si="143"/>
        <v>0</v>
      </c>
    </row>
    <row r="550" spans="1:18">
      <c r="A550" s="25">
        <f t="shared" si="142"/>
        <v>46783</v>
      </c>
      <c r="B550">
        <f t="shared" si="128"/>
        <v>2028</v>
      </c>
      <c r="C550" s="9">
        <f t="shared" si="129"/>
        <v>1</v>
      </c>
      <c r="D550" s="9" t="str">
        <f t="shared" si="130"/>
        <v>January</v>
      </c>
      <c r="E550" s="9" t="str">
        <f t="shared" si="131"/>
        <v>Jan-28</v>
      </c>
      <c r="F550" s="9" t="str">
        <f t="shared" si="132"/>
        <v>Q1</v>
      </c>
      <c r="G550" s="9">
        <f t="shared" si="133"/>
        <v>31</v>
      </c>
      <c r="H550" s="9">
        <f t="shared" si="134"/>
        <v>1</v>
      </c>
      <c r="I550" s="9" t="str">
        <f t="shared" si="135"/>
        <v>Monday</v>
      </c>
      <c r="J550" s="9" t="str">
        <f t="shared" si="136"/>
        <v>No</v>
      </c>
      <c r="K550" s="5" t="str">
        <f>IF(COUNTIF(Bank_Holidays!A:A,A550)&gt;0,"Yes","No")</f>
        <v>No</v>
      </c>
      <c r="L550" t="str">
        <f t="shared" si="137"/>
        <v>Yes</v>
      </c>
      <c r="M550">
        <f t="shared" si="138"/>
        <v>5</v>
      </c>
      <c r="N550" s="5" t="str">
        <f t="shared" si="139"/>
        <v>Yes</v>
      </c>
      <c r="O550" t="str">
        <f>IF(A550=WORKDAY(EOMONTH(A550,0)+1,-1,Bank_Holidays!$A$2:$A$25),"Yes","No")</f>
        <v>Yes</v>
      </c>
      <c r="P550" t="str">
        <f t="shared" si="140"/>
        <v>No</v>
      </c>
      <c r="Q550" t="str">
        <f t="shared" si="141"/>
        <v>No</v>
      </c>
      <c r="R550" s="5">
        <f t="shared" si="143"/>
        <v>1</v>
      </c>
    </row>
    <row r="551" spans="1:18">
      <c r="A551" s="25">
        <f t="shared" si="142"/>
        <v>46784</v>
      </c>
      <c r="B551">
        <f t="shared" si="128"/>
        <v>2028</v>
      </c>
      <c r="C551" s="9">
        <f t="shared" si="129"/>
        <v>2</v>
      </c>
      <c r="D551" s="9" t="str">
        <f t="shared" si="130"/>
        <v>February</v>
      </c>
      <c r="E551" s="9" t="str">
        <f t="shared" si="131"/>
        <v>Feb-28</v>
      </c>
      <c r="F551" s="9" t="str">
        <f t="shared" si="132"/>
        <v>Q1</v>
      </c>
      <c r="G551" s="9">
        <f t="shared" si="133"/>
        <v>1</v>
      </c>
      <c r="H551" s="9">
        <f t="shared" si="134"/>
        <v>2</v>
      </c>
      <c r="I551" s="9" t="str">
        <f t="shared" si="135"/>
        <v>Tuesday</v>
      </c>
      <c r="J551" s="9" t="str">
        <f t="shared" si="136"/>
        <v>No</v>
      </c>
      <c r="K551" s="5" t="str">
        <f>IF(COUNTIF(Bank_Holidays!A:A,A551)&gt;0,"Yes","No")</f>
        <v>No</v>
      </c>
      <c r="L551" t="str">
        <f t="shared" si="137"/>
        <v>Yes</v>
      </c>
      <c r="M551">
        <f t="shared" si="138"/>
        <v>5</v>
      </c>
      <c r="N551" s="5" t="str">
        <f t="shared" si="139"/>
        <v>No</v>
      </c>
      <c r="O551" t="str">
        <f>IF(A551=WORKDAY(EOMONTH(A551,0)+1,-1,Bank_Holidays!$A$2:$A$25),"Yes","No")</f>
        <v>No</v>
      </c>
      <c r="P551" t="str">
        <f t="shared" si="140"/>
        <v>No</v>
      </c>
      <c r="Q551" t="str">
        <f t="shared" si="141"/>
        <v>No</v>
      </c>
      <c r="R551" s="5">
        <f t="shared" si="143"/>
        <v>1</v>
      </c>
    </row>
    <row r="552" spans="1:18">
      <c r="A552" s="25">
        <f t="shared" si="142"/>
        <v>46785</v>
      </c>
      <c r="B552">
        <f t="shared" si="128"/>
        <v>2028</v>
      </c>
      <c r="C552" s="9">
        <f t="shared" si="129"/>
        <v>2</v>
      </c>
      <c r="D552" s="9" t="str">
        <f t="shared" si="130"/>
        <v>February</v>
      </c>
      <c r="E552" s="9" t="str">
        <f t="shared" si="131"/>
        <v>Feb-28</v>
      </c>
      <c r="F552" s="9" t="str">
        <f t="shared" si="132"/>
        <v>Q1</v>
      </c>
      <c r="G552" s="9">
        <f t="shared" si="133"/>
        <v>2</v>
      </c>
      <c r="H552" s="9">
        <f t="shared" si="134"/>
        <v>3</v>
      </c>
      <c r="I552" s="9" t="str">
        <f t="shared" si="135"/>
        <v>Wednesday</v>
      </c>
      <c r="J552" s="9" t="str">
        <f t="shared" si="136"/>
        <v>No</v>
      </c>
      <c r="K552" s="5" t="str">
        <f>IF(COUNTIF(Bank_Holidays!A:A,A552)&gt;0,"Yes","No")</f>
        <v>No</v>
      </c>
      <c r="L552" t="str">
        <f t="shared" si="137"/>
        <v>Yes</v>
      </c>
      <c r="M552">
        <f t="shared" si="138"/>
        <v>5</v>
      </c>
      <c r="N552" s="5" t="str">
        <f t="shared" si="139"/>
        <v>No</v>
      </c>
      <c r="O552" t="str">
        <f>IF(A552=WORKDAY(EOMONTH(A552,0)+1,-1,Bank_Holidays!$A$2:$A$25),"Yes","No")</f>
        <v>No</v>
      </c>
      <c r="P552" t="str">
        <f t="shared" si="140"/>
        <v>No</v>
      </c>
      <c r="Q552" t="str">
        <f t="shared" si="141"/>
        <v>No</v>
      </c>
      <c r="R552" s="5">
        <f t="shared" si="143"/>
        <v>1</v>
      </c>
    </row>
    <row r="553" spans="1:18">
      <c r="A553" s="25">
        <f t="shared" si="142"/>
        <v>46786</v>
      </c>
      <c r="B553">
        <f t="shared" si="128"/>
        <v>2028</v>
      </c>
      <c r="C553" s="9">
        <f t="shared" si="129"/>
        <v>2</v>
      </c>
      <c r="D553" s="9" t="str">
        <f t="shared" si="130"/>
        <v>February</v>
      </c>
      <c r="E553" s="9" t="str">
        <f t="shared" si="131"/>
        <v>Feb-28</v>
      </c>
      <c r="F553" s="9" t="str">
        <f t="shared" si="132"/>
        <v>Q1</v>
      </c>
      <c r="G553" s="9">
        <f t="shared" si="133"/>
        <v>3</v>
      </c>
      <c r="H553" s="9">
        <f t="shared" si="134"/>
        <v>4</v>
      </c>
      <c r="I553" s="9" t="str">
        <f t="shared" si="135"/>
        <v>Thursday</v>
      </c>
      <c r="J553" s="9" t="str">
        <f t="shared" si="136"/>
        <v>No</v>
      </c>
      <c r="K553" s="5" t="str">
        <f>IF(COUNTIF(Bank_Holidays!A:A,A553)&gt;0,"Yes","No")</f>
        <v>No</v>
      </c>
      <c r="L553" t="str">
        <f t="shared" si="137"/>
        <v>Yes</v>
      </c>
      <c r="M553">
        <f t="shared" si="138"/>
        <v>5</v>
      </c>
      <c r="N553" s="5" t="str">
        <f t="shared" si="139"/>
        <v>No</v>
      </c>
      <c r="O553" t="str">
        <f>IF(A553=WORKDAY(EOMONTH(A553,0)+1,-1,Bank_Holidays!$A$2:$A$25),"Yes","No")</f>
        <v>No</v>
      </c>
      <c r="P553" t="str">
        <f t="shared" si="140"/>
        <v>No</v>
      </c>
      <c r="Q553" t="str">
        <f t="shared" si="141"/>
        <v>No</v>
      </c>
      <c r="R553" s="5">
        <f t="shared" si="143"/>
        <v>1</v>
      </c>
    </row>
    <row r="554" spans="1:18">
      <c r="A554" s="25">
        <f t="shared" si="142"/>
        <v>46787</v>
      </c>
      <c r="B554">
        <f t="shared" si="128"/>
        <v>2028</v>
      </c>
      <c r="C554" s="9">
        <f t="shared" si="129"/>
        <v>2</v>
      </c>
      <c r="D554" s="9" t="str">
        <f t="shared" si="130"/>
        <v>February</v>
      </c>
      <c r="E554" s="9" t="str">
        <f t="shared" si="131"/>
        <v>Feb-28</v>
      </c>
      <c r="F554" s="9" t="str">
        <f t="shared" si="132"/>
        <v>Q1</v>
      </c>
      <c r="G554" s="9">
        <f t="shared" si="133"/>
        <v>4</v>
      </c>
      <c r="H554" s="9">
        <f t="shared" si="134"/>
        <v>5</v>
      </c>
      <c r="I554" s="9" t="str">
        <f t="shared" si="135"/>
        <v>Friday</v>
      </c>
      <c r="J554" s="9" t="str">
        <f t="shared" si="136"/>
        <v>No</v>
      </c>
      <c r="K554" s="5" t="str">
        <f>IF(COUNTIF(Bank_Holidays!A:A,A554)&gt;0,"Yes","No")</f>
        <v>No</v>
      </c>
      <c r="L554" t="str">
        <f t="shared" si="137"/>
        <v>Yes</v>
      </c>
      <c r="M554">
        <f t="shared" si="138"/>
        <v>5</v>
      </c>
      <c r="N554" s="5" t="str">
        <f t="shared" si="139"/>
        <v>No</v>
      </c>
      <c r="O554" t="str">
        <f>IF(A554=WORKDAY(EOMONTH(A554,0)+1,-1,Bank_Holidays!$A$2:$A$25),"Yes","No")</f>
        <v>No</v>
      </c>
      <c r="P554" t="str">
        <f t="shared" si="140"/>
        <v>No</v>
      </c>
      <c r="Q554" t="str">
        <f t="shared" si="141"/>
        <v>No</v>
      </c>
      <c r="R554" s="5">
        <f t="shared" si="143"/>
        <v>3</v>
      </c>
    </row>
    <row r="555" spans="1:18">
      <c r="A555" s="25">
        <f t="shared" si="142"/>
        <v>46788</v>
      </c>
      <c r="B555">
        <f t="shared" si="128"/>
        <v>2028</v>
      </c>
      <c r="C555" s="9">
        <f t="shared" si="129"/>
        <v>2</v>
      </c>
      <c r="D555" s="9" t="str">
        <f t="shared" si="130"/>
        <v>February</v>
      </c>
      <c r="E555" s="9" t="str">
        <f t="shared" si="131"/>
        <v>Feb-28</v>
      </c>
      <c r="F555" s="9" t="str">
        <f t="shared" si="132"/>
        <v>Q1</v>
      </c>
      <c r="G555" s="9">
        <f t="shared" si="133"/>
        <v>5</v>
      </c>
      <c r="H555" s="9">
        <f t="shared" si="134"/>
        <v>6</v>
      </c>
      <c r="I555" s="9" t="str">
        <f t="shared" si="135"/>
        <v>Saturday</v>
      </c>
      <c r="J555" s="9" t="str">
        <f t="shared" si="136"/>
        <v>Yes</v>
      </c>
      <c r="K555" s="5" t="str">
        <f>IF(COUNTIF(Bank_Holidays!A:A,A555)&gt;0,"Yes","No")</f>
        <v>No</v>
      </c>
      <c r="L555" t="str">
        <f t="shared" si="137"/>
        <v>No</v>
      </c>
      <c r="M555">
        <f t="shared" si="138"/>
        <v>5</v>
      </c>
      <c r="N555" s="5" t="str">
        <f t="shared" si="139"/>
        <v>No</v>
      </c>
      <c r="O555" t="str">
        <f>IF(A555=WORKDAY(EOMONTH(A555,0)+1,-1,Bank_Holidays!$A$2:$A$25),"Yes","No")</f>
        <v>No</v>
      </c>
      <c r="P555" t="str">
        <f t="shared" si="140"/>
        <v>No</v>
      </c>
      <c r="Q555" t="str">
        <f t="shared" si="141"/>
        <v>No</v>
      </c>
      <c r="R555" s="5">
        <f t="shared" si="143"/>
        <v>0</v>
      </c>
    </row>
    <row r="556" spans="1:18">
      <c r="A556" s="25">
        <f t="shared" si="142"/>
        <v>46789</v>
      </c>
      <c r="B556">
        <f t="shared" si="128"/>
        <v>2028</v>
      </c>
      <c r="C556" s="9">
        <f t="shared" si="129"/>
        <v>2</v>
      </c>
      <c r="D556" s="9" t="str">
        <f t="shared" si="130"/>
        <v>February</v>
      </c>
      <c r="E556" s="9" t="str">
        <f t="shared" si="131"/>
        <v>Feb-28</v>
      </c>
      <c r="F556" s="9" t="str">
        <f t="shared" si="132"/>
        <v>Q1</v>
      </c>
      <c r="G556" s="9">
        <f t="shared" si="133"/>
        <v>6</v>
      </c>
      <c r="H556" s="9">
        <f t="shared" si="134"/>
        <v>7</v>
      </c>
      <c r="I556" s="9" t="str">
        <f t="shared" si="135"/>
        <v>Sunday</v>
      </c>
      <c r="J556" s="9" t="str">
        <f t="shared" si="136"/>
        <v>Yes</v>
      </c>
      <c r="K556" s="5" t="str">
        <f>IF(COUNTIF(Bank_Holidays!A:A,A556)&gt;0,"Yes","No")</f>
        <v>No</v>
      </c>
      <c r="L556" t="str">
        <f t="shared" si="137"/>
        <v>No</v>
      </c>
      <c r="M556">
        <f t="shared" si="138"/>
        <v>5</v>
      </c>
      <c r="N556" s="5" t="str">
        <f t="shared" si="139"/>
        <v>No</v>
      </c>
      <c r="O556" t="str">
        <f>IF(A556=WORKDAY(EOMONTH(A556,0)+1,-1,Bank_Holidays!$A$2:$A$25),"Yes","No")</f>
        <v>No</v>
      </c>
      <c r="P556" t="str">
        <f t="shared" si="140"/>
        <v>No</v>
      </c>
      <c r="Q556" t="str">
        <f t="shared" si="141"/>
        <v>No</v>
      </c>
      <c r="R556" s="5">
        <f t="shared" si="143"/>
        <v>0</v>
      </c>
    </row>
    <row r="557" spans="1:18">
      <c r="A557" s="25">
        <f t="shared" si="142"/>
        <v>46790</v>
      </c>
      <c r="B557">
        <f t="shared" si="128"/>
        <v>2028</v>
      </c>
      <c r="C557" s="9">
        <f t="shared" si="129"/>
        <v>2</v>
      </c>
      <c r="D557" s="9" t="str">
        <f t="shared" si="130"/>
        <v>February</v>
      </c>
      <c r="E557" s="9" t="str">
        <f t="shared" si="131"/>
        <v>Feb-28</v>
      </c>
      <c r="F557" s="9" t="str">
        <f t="shared" si="132"/>
        <v>Q1</v>
      </c>
      <c r="G557" s="9">
        <f t="shared" si="133"/>
        <v>7</v>
      </c>
      <c r="H557" s="9">
        <f t="shared" si="134"/>
        <v>1</v>
      </c>
      <c r="I557" s="9" t="str">
        <f t="shared" si="135"/>
        <v>Monday</v>
      </c>
      <c r="J557" s="9" t="str">
        <f t="shared" si="136"/>
        <v>No</v>
      </c>
      <c r="K557" s="5" t="str">
        <f>IF(COUNTIF(Bank_Holidays!A:A,A557)&gt;0,"Yes","No")</f>
        <v>No</v>
      </c>
      <c r="L557" t="str">
        <f t="shared" si="137"/>
        <v>Yes</v>
      </c>
      <c r="M557">
        <f t="shared" si="138"/>
        <v>6</v>
      </c>
      <c r="N557" s="5" t="str">
        <f t="shared" si="139"/>
        <v>No</v>
      </c>
      <c r="O557" t="str">
        <f>IF(A557=WORKDAY(EOMONTH(A557,0)+1,-1,Bank_Holidays!$A$2:$A$25),"Yes","No")</f>
        <v>No</v>
      </c>
      <c r="P557" t="str">
        <f t="shared" si="140"/>
        <v>No</v>
      </c>
      <c r="Q557" t="str">
        <f t="shared" si="141"/>
        <v>No</v>
      </c>
      <c r="R557" s="5">
        <f t="shared" si="143"/>
        <v>1</v>
      </c>
    </row>
    <row r="558" spans="1:18">
      <c r="A558" s="25">
        <f t="shared" si="142"/>
        <v>46791</v>
      </c>
      <c r="B558">
        <f t="shared" si="128"/>
        <v>2028</v>
      </c>
      <c r="C558" s="9">
        <f t="shared" si="129"/>
        <v>2</v>
      </c>
      <c r="D558" s="9" t="str">
        <f t="shared" si="130"/>
        <v>February</v>
      </c>
      <c r="E558" s="9" t="str">
        <f t="shared" si="131"/>
        <v>Feb-28</v>
      </c>
      <c r="F558" s="9" t="str">
        <f t="shared" si="132"/>
        <v>Q1</v>
      </c>
      <c r="G558" s="9">
        <f t="shared" si="133"/>
        <v>8</v>
      </c>
      <c r="H558" s="9">
        <f t="shared" si="134"/>
        <v>2</v>
      </c>
      <c r="I558" s="9" t="str">
        <f t="shared" si="135"/>
        <v>Tuesday</v>
      </c>
      <c r="J558" s="9" t="str">
        <f t="shared" si="136"/>
        <v>No</v>
      </c>
      <c r="K558" s="5" t="str">
        <f>IF(COUNTIF(Bank_Holidays!A:A,A558)&gt;0,"Yes","No")</f>
        <v>No</v>
      </c>
      <c r="L558" t="str">
        <f t="shared" si="137"/>
        <v>Yes</v>
      </c>
      <c r="M558">
        <f t="shared" si="138"/>
        <v>6</v>
      </c>
      <c r="N558" s="5" t="str">
        <f t="shared" si="139"/>
        <v>No</v>
      </c>
      <c r="O558" t="str">
        <f>IF(A558=WORKDAY(EOMONTH(A558,0)+1,-1,Bank_Holidays!$A$2:$A$25),"Yes","No")</f>
        <v>No</v>
      </c>
      <c r="P558" t="str">
        <f t="shared" si="140"/>
        <v>No</v>
      </c>
      <c r="Q558" t="str">
        <f t="shared" si="141"/>
        <v>No</v>
      </c>
      <c r="R558" s="5">
        <f t="shared" si="143"/>
        <v>1</v>
      </c>
    </row>
    <row r="559" spans="1:18">
      <c r="A559" s="25">
        <f t="shared" si="142"/>
        <v>46792</v>
      </c>
      <c r="B559">
        <f t="shared" si="128"/>
        <v>2028</v>
      </c>
      <c r="C559" s="9">
        <f t="shared" si="129"/>
        <v>2</v>
      </c>
      <c r="D559" s="9" t="str">
        <f t="shared" si="130"/>
        <v>February</v>
      </c>
      <c r="E559" s="9" t="str">
        <f t="shared" si="131"/>
        <v>Feb-28</v>
      </c>
      <c r="F559" s="9" t="str">
        <f t="shared" si="132"/>
        <v>Q1</v>
      </c>
      <c r="G559" s="9">
        <f t="shared" si="133"/>
        <v>9</v>
      </c>
      <c r="H559" s="9">
        <f t="shared" si="134"/>
        <v>3</v>
      </c>
      <c r="I559" s="9" t="str">
        <f t="shared" si="135"/>
        <v>Wednesday</v>
      </c>
      <c r="J559" s="9" t="str">
        <f t="shared" si="136"/>
        <v>No</v>
      </c>
      <c r="K559" s="5" t="str">
        <f>IF(COUNTIF(Bank_Holidays!A:A,A559)&gt;0,"Yes","No")</f>
        <v>No</v>
      </c>
      <c r="L559" t="str">
        <f t="shared" si="137"/>
        <v>Yes</v>
      </c>
      <c r="M559">
        <f t="shared" si="138"/>
        <v>6</v>
      </c>
      <c r="N559" s="5" t="str">
        <f t="shared" si="139"/>
        <v>No</v>
      </c>
      <c r="O559" t="str">
        <f>IF(A559=WORKDAY(EOMONTH(A559,0)+1,-1,Bank_Holidays!$A$2:$A$25),"Yes","No")</f>
        <v>No</v>
      </c>
      <c r="P559" t="str">
        <f t="shared" si="140"/>
        <v>No</v>
      </c>
      <c r="Q559" t="str">
        <f t="shared" si="141"/>
        <v>No</v>
      </c>
      <c r="R559" s="5">
        <f t="shared" si="143"/>
        <v>1</v>
      </c>
    </row>
    <row r="560" spans="1:18">
      <c r="A560" s="25">
        <f t="shared" si="142"/>
        <v>46793</v>
      </c>
      <c r="B560">
        <f t="shared" si="128"/>
        <v>2028</v>
      </c>
      <c r="C560" s="9">
        <f t="shared" si="129"/>
        <v>2</v>
      </c>
      <c r="D560" s="9" t="str">
        <f t="shared" si="130"/>
        <v>February</v>
      </c>
      <c r="E560" s="9" t="str">
        <f t="shared" si="131"/>
        <v>Feb-28</v>
      </c>
      <c r="F560" s="9" t="str">
        <f t="shared" si="132"/>
        <v>Q1</v>
      </c>
      <c r="G560" s="9">
        <f t="shared" si="133"/>
        <v>10</v>
      </c>
      <c r="H560" s="9">
        <f t="shared" si="134"/>
        <v>4</v>
      </c>
      <c r="I560" s="9" t="str">
        <f t="shared" si="135"/>
        <v>Thursday</v>
      </c>
      <c r="J560" s="9" t="str">
        <f t="shared" si="136"/>
        <v>No</v>
      </c>
      <c r="K560" s="5" t="str">
        <f>IF(COUNTIF(Bank_Holidays!A:A,A560)&gt;0,"Yes","No")</f>
        <v>No</v>
      </c>
      <c r="L560" t="str">
        <f t="shared" si="137"/>
        <v>Yes</v>
      </c>
      <c r="M560">
        <f t="shared" si="138"/>
        <v>6</v>
      </c>
      <c r="N560" s="5" t="str">
        <f t="shared" si="139"/>
        <v>No</v>
      </c>
      <c r="O560" t="str">
        <f>IF(A560=WORKDAY(EOMONTH(A560,0)+1,-1,Bank_Holidays!$A$2:$A$25),"Yes","No")</f>
        <v>No</v>
      </c>
      <c r="P560" t="str">
        <f t="shared" si="140"/>
        <v>No</v>
      </c>
      <c r="Q560" t="str">
        <f t="shared" si="141"/>
        <v>No</v>
      </c>
      <c r="R560" s="5">
        <f t="shared" si="143"/>
        <v>1</v>
      </c>
    </row>
    <row r="561" spans="1:18">
      <c r="A561" s="25">
        <f t="shared" si="142"/>
        <v>46794</v>
      </c>
      <c r="B561">
        <f t="shared" si="128"/>
        <v>2028</v>
      </c>
      <c r="C561" s="9">
        <f t="shared" si="129"/>
        <v>2</v>
      </c>
      <c r="D561" s="9" t="str">
        <f t="shared" si="130"/>
        <v>February</v>
      </c>
      <c r="E561" s="9" t="str">
        <f t="shared" si="131"/>
        <v>Feb-28</v>
      </c>
      <c r="F561" s="9" t="str">
        <f t="shared" si="132"/>
        <v>Q1</v>
      </c>
      <c r="G561" s="9">
        <f t="shared" si="133"/>
        <v>11</v>
      </c>
      <c r="H561" s="9">
        <f t="shared" si="134"/>
        <v>5</v>
      </c>
      <c r="I561" s="9" t="str">
        <f t="shared" si="135"/>
        <v>Friday</v>
      </c>
      <c r="J561" s="9" t="str">
        <f t="shared" si="136"/>
        <v>No</v>
      </c>
      <c r="K561" s="5" t="str">
        <f>IF(COUNTIF(Bank_Holidays!A:A,A561)&gt;0,"Yes","No")</f>
        <v>No</v>
      </c>
      <c r="L561" t="str">
        <f t="shared" si="137"/>
        <v>Yes</v>
      </c>
      <c r="M561">
        <f t="shared" si="138"/>
        <v>6</v>
      </c>
      <c r="N561" s="5" t="str">
        <f t="shared" si="139"/>
        <v>No</v>
      </c>
      <c r="O561" t="str">
        <f>IF(A561=WORKDAY(EOMONTH(A561,0)+1,-1,Bank_Holidays!$A$2:$A$25),"Yes","No")</f>
        <v>No</v>
      </c>
      <c r="P561" t="str">
        <f t="shared" si="140"/>
        <v>No</v>
      </c>
      <c r="Q561" t="str">
        <f t="shared" si="141"/>
        <v>No</v>
      </c>
      <c r="R561" s="5">
        <f t="shared" si="143"/>
        <v>3</v>
      </c>
    </row>
    <row r="562" spans="1:18">
      <c r="A562" s="25">
        <f t="shared" si="142"/>
        <v>46795</v>
      </c>
      <c r="B562">
        <f t="shared" si="128"/>
        <v>2028</v>
      </c>
      <c r="C562" s="9">
        <f t="shared" si="129"/>
        <v>2</v>
      </c>
      <c r="D562" s="9" t="str">
        <f t="shared" si="130"/>
        <v>February</v>
      </c>
      <c r="E562" s="9" t="str">
        <f t="shared" si="131"/>
        <v>Feb-28</v>
      </c>
      <c r="F562" s="9" t="str">
        <f t="shared" si="132"/>
        <v>Q1</v>
      </c>
      <c r="G562" s="9">
        <f t="shared" si="133"/>
        <v>12</v>
      </c>
      <c r="H562" s="9">
        <f t="shared" si="134"/>
        <v>6</v>
      </c>
      <c r="I562" s="9" t="str">
        <f t="shared" si="135"/>
        <v>Saturday</v>
      </c>
      <c r="J562" s="9" t="str">
        <f t="shared" si="136"/>
        <v>Yes</v>
      </c>
      <c r="K562" s="5" t="str">
        <f>IF(COUNTIF(Bank_Holidays!A:A,A562)&gt;0,"Yes","No")</f>
        <v>No</v>
      </c>
      <c r="L562" t="str">
        <f t="shared" si="137"/>
        <v>No</v>
      </c>
      <c r="M562">
        <f t="shared" si="138"/>
        <v>6</v>
      </c>
      <c r="N562" s="5" t="str">
        <f t="shared" si="139"/>
        <v>No</v>
      </c>
      <c r="O562" t="str">
        <f>IF(A562=WORKDAY(EOMONTH(A562,0)+1,-1,Bank_Holidays!$A$2:$A$25),"Yes","No")</f>
        <v>No</v>
      </c>
      <c r="P562" t="str">
        <f t="shared" si="140"/>
        <v>No</v>
      </c>
      <c r="Q562" t="str">
        <f t="shared" si="141"/>
        <v>No</v>
      </c>
      <c r="R562" s="5">
        <f t="shared" si="143"/>
        <v>0</v>
      </c>
    </row>
    <row r="563" spans="1:18">
      <c r="A563" s="25">
        <f t="shared" si="142"/>
        <v>46796</v>
      </c>
      <c r="B563">
        <f t="shared" si="128"/>
        <v>2028</v>
      </c>
      <c r="C563" s="9">
        <f t="shared" si="129"/>
        <v>2</v>
      </c>
      <c r="D563" s="9" t="str">
        <f t="shared" si="130"/>
        <v>February</v>
      </c>
      <c r="E563" s="9" t="str">
        <f t="shared" si="131"/>
        <v>Feb-28</v>
      </c>
      <c r="F563" s="9" t="str">
        <f t="shared" si="132"/>
        <v>Q1</v>
      </c>
      <c r="G563" s="9">
        <f t="shared" si="133"/>
        <v>13</v>
      </c>
      <c r="H563" s="9">
        <f t="shared" si="134"/>
        <v>7</v>
      </c>
      <c r="I563" s="9" t="str">
        <f t="shared" si="135"/>
        <v>Sunday</v>
      </c>
      <c r="J563" s="9" t="str">
        <f t="shared" si="136"/>
        <v>Yes</v>
      </c>
      <c r="K563" s="5" t="str">
        <f>IF(COUNTIF(Bank_Holidays!A:A,A563)&gt;0,"Yes","No")</f>
        <v>No</v>
      </c>
      <c r="L563" t="str">
        <f t="shared" si="137"/>
        <v>No</v>
      </c>
      <c r="M563">
        <f t="shared" si="138"/>
        <v>6</v>
      </c>
      <c r="N563" s="5" t="str">
        <f t="shared" si="139"/>
        <v>No</v>
      </c>
      <c r="O563" t="str">
        <f>IF(A563=WORKDAY(EOMONTH(A563,0)+1,-1,Bank_Holidays!$A$2:$A$25),"Yes","No")</f>
        <v>No</v>
      </c>
      <c r="P563" t="str">
        <f t="shared" si="140"/>
        <v>No</v>
      </c>
      <c r="Q563" t="str">
        <f t="shared" si="141"/>
        <v>No</v>
      </c>
      <c r="R563" s="5">
        <f t="shared" si="143"/>
        <v>0</v>
      </c>
    </row>
    <row r="564" spans="1:18">
      <c r="A564" s="25">
        <f t="shared" si="142"/>
        <v>46797</v>
      </c>
      <c r="B564">
        <f t="shared" si="128"/>
        <v>2028</v>
      </c>
      <c r="C564" s="9">
        <f t="shared" si="129"/>
        <v>2</v>
      </c>
      <c r="D564" s="9" t="str">
        <f t="shared" si="130"/>
        <v>February</v>
      </c>
      <c r="E564" s="9" t="str">
        <f t="shared" si="131"/>
        <v>Feb-28</v>
      </c>
      <c r="F564" s="9" t="str">
        <f t="shared" si="132"/>
        <v>Q1</v>
      </c>
      <c r="G564" s="9">
        <f t="shared" si="133"/>
        <v>14</v>
      </c>
      <c r="H564" s="9">
        <f t="shared" si="134"/>
        <v>1</v>
      </c>
      <c r="I564" s="9" t="str">
        <f t="shared" si="135"/>
        <v>Monday</v>
      </c>
      <c r="J564" s="9" t="str">
        <f t="shared" si="136"/>
        <v>No</v>
      </c>
      <c r="K564" s="5" t="str">
        <f>IF(COUNTIF(Bank_Holidays!A:A,A564)&gt;0,"Yes","No")</f>
        <v>No</v>
      </c>
      <c r="L564" t="str">
        <f t="shared" si="137"/>
        <v>Yes</v>
      </c>
      <c r="M564">
        <f t="shared" si="138"/>
        <v>7</v>
      </c>
      <c r="N564" s="5" t="str">
        <f t="shared" si="139"/>
        <v>No</v>
      </c>
      <c r="O564" t="str">
        <f>IF(A564=WORKDAY(EOMONTH(A564,0)+1,-1,Bank_Holidays!$A$2:$A$25),"Yes","No")</f>
        <v>No</v>
      </c>
      <c r="P564" t="str">
        <f t="shared" si="140"/>
        <v>No</v>
      </c>
      <c r="Q564" t="str">
        <f t="shared" si="141"/>
        <v>No</v>
      </c>
      <c r="R564" s="5">
        <f t="shared" si="143"/>
        <v>1</v>
      </c>
    </row>
    <row r="565" spans="1:18">
      <c r="A565" s="25">
        <f t="shared" si="142"/>
        <v>46798</v>
      </c>
      <c r="B565">
        <f t="shared" si="128"/>
        <v>2028</v>
      </c>
      <c r="C565" s="9">
        <f t="shared" si="129"/>
        <v>2</v>
      </c>
      <c r="D565" s="9" t="str">
        <f t="shared" si="130"/>
        <v>February</v>
      </c>
      <c r="E565" s="9" t="str">
        <f t="shared" si="131"/>
        <v>Feb-28</v>
      </c>
      <c r="F565" s="9" t="str">
        <f t="shared" si="132"/>
        <v>Q1</v>
      </c>
      <c r="G565" s="9">
        <f t="shared" si="133"/>
        <v>15</v>
      </c>
      <c r="H565" s="9">
        <f t="shared" si="134"/>
        <v>2</v>
      </c>
      <c r="I565" s="9" t="str">
        <f t="shared" si="135"/>
        <v>Tuesday</v>
      </c>
      <c r="J565" s="9" t="str">
        <f t="shared" si="136"/>
        <v>No</v>
      </c>
      <c r="K565" s="5" t="str">
        <f>IF(COUNTIF(Bank_Holidays!A:A,A565)&gt;0,"Yes","No")</f>
        <v>No</v>
      </c>
      <c r="L565" t="str">
        <f t="shared" si="137"/>
        <v>Yes</v>
      </c>
      <c r="M565">
        <f t="shared" si="138"/>
        <v>7</v>
      </c>
      <c r="N565" s="5" t="str">
        <f t="shared" si="139"/>
        <v>No</v>
      </c>
      <c r="O565" t="str">
        <f>IF(A565=WORKDAY(EOMONTH(A565,0)+1,-1,Bank_Holidays!$A$2:$A$25),"Yes","No")</f>
        <v>No</v>
      </c>
      <c r="P565" t="str">
        <f t="shared" si="140"/>
        <v>No</v>
      </c>
      <c r="Q565" t="str">
        <f t="shared" si="141"/>
        <v>No</v>
      </c>
      <c r="R565" s="5">
        <f t="shared" si="143"/>
        <v>1</v>
      </c>
    </row>
    <row r="566" spans="1:18">
      <c r="A566" s="25">
        <f t="shared" si="142"/>
        <v>46799</v>
      </c>
      <c r="B566">
        <f t="shared" si="128"/>
        <v>2028</v>
      </c>
      <c r="C566" s="9">
        <f t="shared" si="129"/>
        <v>2</v>
      </c>
      <c r="D566" s="9" t="str">
        <f t="shared" si="130"/>
        <v>February</v>
      </c>
      <c r="E566" s="9" t="str">
        <f t="shared" si="131"/>
        <v>Feb-28</v>
      </c>
      <c r="F566" s="9" t="str">
        <f t="shared" si="132"/>
        <v>Q1</v>
      </c>
      <c r="G566" s="9">
        <f t="shared" si="133"/>
        <v>16</v>
      </c>
      <c r="H566" s="9">
        <f t="shared" si="134"/>
        <v>3</v>
      </c>
      <c r="I566" s="9" t="str">
        <f t="shared" si="135"/>
        <v>Wednesday</v>
      </c>
      <c r="J566" s="9" t="str">
        <f t="shared" si="136"/>
        <v>No</v>
      </c>
      <c r="K566" s="5" t="str">
        <f>IF(COUNTIF(Bank_Holidays!A:A,A566)&gt;0,"Yes","No")</f>
        <v>No</v>
      </c>
      <c r="L566" t="str">
        <f t="shared" si="137"/>
        <v>Yes</v>
      </c>
      <c r="M566">
        <f t="shared" si="138"/>
        <v>7</v>
      </c>
      <c r="N566" s="5" t="str">
        <f t="shared" si="139"/>
        <v>No</v>
      </c>
      <c r="O566" t="str">
        <f>IF(A566=WORKDAY(EOMONTH(A566,0)+1,-1,Bank_Holidays!$A$2:$A$25),"Yes","No")</f>
        <v>No</v>
      </c>
      <c r="P566" t="str">
        <f t="shared" si="140"/>
        <v>No</v>
      </c>
      <c r="Q566" t="str">
        <f t="shared" si="141"/>
        <v>No</v>
      </c>
      <c r="R566" s="5">
        <f t="shared" si="143"/>
        <v>1</v>
      </c>
    </row>
    <row r="567" spans="1:18">
      <c r="A567" s="25">
        <f t="shared" si="142"/>
        <v>46800</v>
      </c>
      <c r="B567">
        <f t="shared" si="128"/>
        <v>2028</v>
      </c>
      <c r="C567" s="9">
        <f t="shared" si="129"/>
        <v>2</v>
      </c>
      <c r="D567" s="9" t="str">
        <f t="shared" si="130"/>
        <v>February</v>
      </c>
      <c r="E567" s="9" t="str">
        <f t="shared" si="131"/>
        <v>Feb-28</v>
      </c>
      <c r="F567" s="9" t="str">
        <f t="shared" si="132"/>
        <v>Q1</v>
      </c>
      <c r="G567" s="9">
        <f t="shared" si="133"/>
        <v>17</v>
      </c>
      <c r="H567" s="9">
        <f t="shared" si="134"/>
        <v>4</v>
      </c>
      <c r="I567" s="9" t="str">
        <f t="shared" si="135"/>
        <v>Thursday</v>
      </c>
      <c r="J567" s="9" t="str">
        <f t="shared" si="136"/>
        <v>No</v>
      </c>
      <c r="K567" s="5" t="str">
        <f>IF(COUNTIF(Bank_Holidays!A:A,A567)&gt;0,"Yes","No")</f>
        <v>No</v>
      </c>
      <c r="L567" t="str">
        <f t="shared" si="137"/>
        <v>Yes</v>
      </c>
      <c r="M567">
        <f t="shared" si="138"/>
        <v>7</v>
      </c>
      <c r="N567" s="5" t="str">
        <f t="shared" si="139"/>
        <v>No</v>
      </c>
      <c r="O567" t="str">
        <f>IF(A567=WORKDAY(EOMONTH(A567,0)+1,-1,Bank_Holidays!$A$2:$A$25),"Yes","No")</f>
        <v>No</v>
      </c>
      <c r="P567" t="str">
        <f t="shared" si="140"/>
        <v>No</v>
      </c>
      <c r="Q567" t="str">
        <f t="shared" si="141"/>
        <v>No</v>
      </c>
      <c r="R567" s="5">
        <f t="shared" si="143"/>
        <v>1</v>
      </c>
    </row>
    <row r="568" spans="1:18">
      <c r="A568" s="25">
        <f t="shared" si="142"/>
        <v>46801</v>
      </c>
      <c r="B568">
        <f t="shared" si="128"/>
        <v>2028</v>
      </c>
      <c r="C568" s="9">
        <f t="shared" si="129"/>
        <v>2</v>
      </c>
      <c r="D568" s="9" t="str">
        <f t="shared" si="130"/>
        <v>February</v>
      </c>
      <c r="E568" s="9" t="str">
        <f t="shared" si="131"/>
        <v>Feb-28</v>
      </c>
      <c r="F568" s="9" t="str">
        <f t="shared" si="132"/>
        <v>Q1</v>
      </c>
      <c r="G568" s="9">
        <f t="shared" si="133"/>
        <v>18</v>
      </c>
      <c r="H568" s="9">
        <f t="shared" si="134"/>
        <v>5</v>
      </c>
      <c r="I568" s="9" t="str">
        <f t="shared" si="135"/>
        <v>Friday</v>
      </c>
      <c r="J568" s="9" t="str">
        <f t="shared" si="136"/>
        <v>No</v>
      </c>
      <c r="K568" s="5" t="str">
        <f>IF(COUNTIF(Bank_Holidays!A:A,A568)&gt;0,"Yes","No")</f>
        <v>No</v>
      </c>
      <c r="L568" t="str">
        <f t="shared" si="137"/>
        <v>Yes</v>
      </c>
      <c r="M568">
        <f t="shared" si="138"/>
        <v>7</v>
      </c>
      <c r="N568" s="5" t="str">
        <f t="shared" si="139"/>
        <v>No</v>
      </c>
      <c r="O568" t="str">
        <f>IF(A568=WORKDAY(EOMONTH(A568,0)+1,-1,Bank_Holidays!$A$2:$A$25),"Yes","No")</f>
        <v>No</v>
      </c>
      <c r="P568" t="str">
        <f t="shared" si="140"/>
        <v>No</v>
      </c>
      <c r="Q568" t="str">
        <f t="shared" si="141"/>
        <v>No</v>
      </c>
      <c r="R568" s="5">
        <f t="shared" si="143"/>
        <v>3</v>
      </c>
    </row>
    <row r="569" spans="1:18">
      <c r="A569" s="25">
        <f t="shared" si="142"/>
        <v>46802</v>
      </c>
      <c r="B569">
        <f t="shared" si="128"/>
        <v>2028</v>
      </c>
      <c r="C569" s="9">
        <f t="shared" si="129"/>
        <v>2</v>
      </c>
      <c r="D569" s="9" t="str">
        <f t="shared" si="130"/>
        <v>February</v>
      </c>
      <c r="E569" s="9" t="str">
        <f t="shared" si="131"/>
        <v>Feb-28</v>
      </c>
      <c r="F569" s="9" t="str">
        <f t="shared" si="132"/>
        <v>Q1</v>
      </c>
      <c r="G569" s="9">
        <f t="shared" si="133"/>
        <v>19</v>
      </c>
      <c r="H569" s="9">
        <f t="shared" si="134"/>
        <v>6</v>
      </c>
      <c r="I569" s="9" t="str">
        <f t="shared" si="135"/>
        <v>Saturday</v>
      </c>
      <c r="J569" s="9" t="str">
        <f t="shared" si="136"/>
        <v>Yes</v>
      </c>
      <c r="K569" s="5" t="str">
        <f>IF(COUNTIF(Bank_Holidays!A:A,A569)&gt;0,"Yes","No")</f>
        <v>No</v>
      </c>
      <c r="L569" t="str">
        <f t="shared" si="137"/>
        <v>No</v>
      </c>
      <c r="M569">
        <f t="shared" si="138"/>
        <v>7</v>
      </c>
      <c r="N569" s="5" t="str">
        <f t="shared" si="139"/>
        <v>No</v>
      </c>
      <c r="O569" t="str">
        <f>IF(A569=WORKDAY(EOMONTH(A569,0)+1,-1,Bank_Holidays!$A$2:$A$25),"Yes","No")</f>
        <v>No</v>
      </c>
      <c r="P569" t="str">
        <f t="shared" si="140"/>
        <v>No</v>
      </c>
      <c r="Q569" t="str">
        <f t="shared" si="141"/>
        <v>No</v>
      </c>
      <c r="R569" s="5">
        <f t="shared" si="143"/>
        <v>0</v>
      </c>
    </row>
    <row r="570" spans="1:18">
      <c r="A570" s="25">
        <f t="shared" si="142"/>
        <v>46803</v>
      </c>
      <c r="B570">
        <f t="shared" si="128"/>
        <v>2028</v>
      </c>
      <c r="C570" s="9">
        <f t="shared" si="129"/>
        <v>2</v>
      </c>
      <c r="D570" s="9" t="str">
        <f t="shared" si="130"/>
        <v>February</v>
      </c>
      <c r="E570" s="9" t="str">
        <f t="shared" si="131"/>
        <v>Feb-28</v>
      </c>
      <c r="F570" s="9" t="str">
        <f t="shared" si="132"/>
        <v>Q1</v>
      </c>
      <c r="G570" s="9">
        <f t="shared" si="133"/>
        <v>20</v>
      </c>
      <c r="H570" s="9">
        <f t="shared" si="134"/>
        <v>7</v>
      </c>
      <c r="I570" s="9" t="str">
        <f t="shared" si="135"/>
        <v>Sunday</v>
      </c>
      <c r="J570" s="9" t="str">
        <f t="shared" si="136"/>
        <v>Yes</v>
      </c>
      <c r="K570" s="5" t="str">
        <f>IF(COUNTIF(Bank_Holidays!A:A,A570)&gt;0,"Yes","No")</f>
        <v>No</v>
      </c>
      <c r="L570" t="str">
        <f t="shared" si="137"/>
        <v>No</v>
      </c>
      <c r="M570">
        <f t="shared" si="138"/>
        <v>7</v>
      </c>
      <c r="N570" s="5" t="str">
        <f t="shared" si="139"/>
        <v>No</v>
      </c>
      <c r="O570" t="str">
        <f>IF(A570=WORKDAY(EOMONTH(A570,0)+1,-1,Bank_Holidays!$A$2:$A$25),"Yes","No")</f>
        <v>No</v>
      </c>
      <c r="P570" t="str">
        <f t="shared" si="140"/>
        <v>No</v>
      </c>
      <c r="Q570" t="str">
        <f t="shared" si="141"/>
        <v>No</v>
      </c>
      <c r="R570" s="5">
        <f t="shared" si="143"/>
        <v>0</v>
      </c>
    </row>
    <row r="571" spans="1:18">
      <c r="A571" s="25">
        <f t="shared" si="142"/>
        <v>46804</v>
      </c>
      <c r="B571">
        <f t="shared" si="128"/>
        <v>2028</v>
      </c>
      <c r="C571" s="9">
        <f t="shared" si="129"/>
        <v>2</v>
      </c>
      <c r="D571" s="9" t="str">
        <f t="shared" si="130"/>
        <v>February</v>
      </c>
      <c r="E571" s="9" t="str">
        <f t="shared" si="131"/>
        <v>Feb-28</v>
      </c>
      <c r="F571" s="9" t="str">
        <f t="shared" si="132"/>
        <v>Q1</v>
      </c>
      <c r="G571" s="9">
        <f t="shared" si="133"/>
        <v>21</v>
      </c>
      <c r="H571" s="9">
        <f t="shared" si="134"/>
        <v>1</v>
      </c>
      <c r="I571" s="9" t="str">
        <f t="shared" si="135"/>
        <v>Monday</v>
      </c>
      <c r="J571" s="9" t="str">
        <f t="shared" si="136"/>
        <v>No</v>
      </c>
      <c r="K571" s="5" t="str">
        <f>IF(COUNTIF(Bank_Holidays!A:A,A571)&gt;0,"Yes","No")</f>
        <v>No</v>
      </c>
      <c r="L571" t="str">
        <f t="shared" si="137"/>
        <v>Yes</v>
      </c>
      <c r="M571">
        <f t="shared" si="138"/>
        <v>8</v>
      </c>
      <c r="N571" s="5" t="str">
        <f t="shared" si="139"/>
        <v>No</v>
      </c>
      <c r="O571" t="str">
        <f>IF(A571=WORKDAY(EOMONTH(A571,0)+1,-1,Bank_Holidays!$A$2:$A$25),"Yes","No")</f>
        <v>No</v>
      </c>
      <c r="P571" t="str">
        <f t="shared" si="140"/>
        <v>No</v>
      </c>
      <c r="Q571" t="str">
        <f t="shared" si="141"/>
        <v>No</v>
      </c>
      <c r="R571" s="5">
        <f t="shared" si="143"/>
        <v>1</v>
      </c>
    </row>
    <row r="572" spans="1:18">
      <c r="A572" s="25">
        <f t="shared" si="142"/>
        <v>46805</v>
      </c>
      <c r="B572">
        <f t="shared" si="128"/>
        <v>2028</v>
      </c>
      <c r="C572" s="9">
        <f t="shared" si="129"/>
        <v>2</v>
      </c>
      <c r="D572" s="9" t="str">
        <f t="shared" si="130"/>
        <v>February</v>
      </c>
      <c r="E572" s="9" t="str">
        <f t="shared" si="131"/>
        <v>Feb-28</v>
      </c>
      <c r="F572" s="9" t="str">
        <f t="shared" si="132"/>
        <v>Q1</v>
      </c>
      <c r="G572" s="9">
        <f t="shared" si="133"/>
        <v>22</v>
      </c>
      <c r="H572" s="9">
        <f t="shared" si="134"/>
        <v>2</v>
      </c>
      <c r="I572" s="9" t="str">
        <f t="shared" si="135"/>
        <v>Tuesday</v>
      </c>
      <c r="J572" s="9" t="str">
        <f t="shared" si="136"/>
        <v>No</v>
      </c>
      <c r="K572" s="5" t="str">
        <f>IF(COUNTIF(Bank_Holidays!A:A,A572)&gt;0,"Yes","No")</f>
        <v>No</v>
      </c>
      <c r="L572" t="str">
        <f t="shared" si="137"/>
        <v>Yes</v>
      </c>
      <c r="M572">
        <f t="shared" si="138"/>
        <v>8</v>
      </c>
      <c r="N572" s="5" t="str">
        <f t="shared" si="139"/>
        <v>No</v>
      </c>
      <c r="O572" t="str">
        <f>IF(A572=WORKDAY(EOMONTH(A572,0)+1,-1,Bank_Holidays!$A$2:$A$25),"Yes","No")</f>
        <v>No</v>
      </c>
      <c r="P572" t="str">
        <f t="shared" si="140"/>
        <v>No</v>
      </c>
      <c r="Q572" t="str">
        <f t="shared" si="141"/>
        <v>No</v>
      </c>
      <c r="R572" s="5">
        <f t="shared" si="143"/>
        <v>1</v>
      </c>
    </row>
    <row r="573" spans="1:18">
      <c r="A573" s="25">
        <f t="shared" si="142"/>
        <v>46806</v>
      </c>
      <c r="B573">
        <f t="shared" si="128"/>
        <v>2028</v>
      </c>
      <c r="C573" s="9">
        <f t="shared" si="129"/>
        <v>2</v>
      </c>
      <c r="D573" s="9" t="str">
        <f t="shared" si="130"/>
        <v>February</v>
      </c>
      <c r="E573" s="9" t="str">
        <f t="shared" si="131"/>
        <v>Feb-28</v>
      </c>
      <c r="F573" s="9" t="str">
        <f t="shared" si="132"/>
        <v>Q1</v>
      </c>
      <c r="G573" s="9">
        <f t="shared" si="133"/>
        <v>23</v>
      </c>
      <c r="H573" s="9">
        <f t="shared" si="134"/>
        <v>3</v>
      </c>
      <c r="I573" s="9" t="str">
        <f t="shared" si="135"/>
        <v>Wednesday</v>
      </c>
      <c r="J573" s="9" t="str">
        <f t="shared" si="136"/>
        <v>No</v>
      </c>
      <c r="K573" s="5" t="str">
        <f>IF(COUNTIF(Bank_Holidays!A:A,A573)&gt;0,"Yes","No")</f>
        <v>No</v>
      </c>
      <c r="L573" t="str">
        <f t="shared" si="137"/>
        <v>Yes</v>
      </c>
      <c r="M573">
        <f t="shared" si="138"/>
        <v>8</v>
      </c>
      <c r="N573" s="5" t="str">
        <f t="shared" si="139"/>
        <v>No</v>
      </c>
      <c r="O573" t="str">
        <f>IF(A573=WORKDAY(EOMONTH(A573,0)+1,-1,Bank_Holidays!$A$2:$A$25),"Yes","No")</f>
        <v>No</v>
      </c>
      <c r="P573" t="str">
        <f t="shared" si="140"/>
        <v>No</v>
      </c>
      <c r="Q573" t="str">
        <f t="shared" si="141"/>
        <v>No</v>
      </c>
      <c r="R573" s="5">
        <f t="shared" si="143"/>
        <v>1</v>
      </c>
    </row>
    <row r="574" spans="1:18">
      <c r="A574" s="25">
        <f t="shared" si="142"/>
        <v>46807</v>
      </c>
      <c r="B574">
        <f t="shared" si="128"/>
        <v>2028</v>
      </c>
      <c r="C574" s="9">
        <f t="shared" si="129"/>
        <v>2</v>
      </c>
      <c r="D574" s="9" t="str">
        <f t="shared" si="130"/>
        <v>February</v>
      </c>
      <c r="E574" s="9" t="str">
        <f t="shared" si="131"/>
        <v>Feb-28</v>
      </c>
      <c r="F574" s="9" t="str">
        <f t="shared" si="132"/>
        <v>Q1</v>
      </c>
      <c r="G574" s="9">
        <f t="shared" si="133"/>
        <v>24</v>
      </c>
      <c r="H574" s="9">
        <f t="shared" si="134"/>
        <v>4</v>
      </c>
      <c r="I574" s="9" t="str">
        <f t="shared" si="135"/>
        <v>Thursday</v>
      </c>
      <c r="J574" s="9" t="str">
        <f t="shared" si="136"/>
        <v>No</v>
      </c>
      <c r="K574" s="5" t="str">
        <f>IF(COUNTIF(Bank_Holidays!A:A,A574)&gt;0,"Yes","No")</f>
        <v>No</v>
      </c>
      <c r="L574" t="str">
        <f t="shared" si="137"/>
        <v>Yes</v>
      </c>
      <c r="M574">
        <f t="shared" si="138"/>
        <v>8</v>
      </c>
      <c r="N574" s="5" t="str">
        <f t="shared" si="139"/>
        <v>No</v>
      </c>
      <c r="O574" t="str">
        <f>IF(A574=WORKDAY(EOMONTH(A574,0)+1,-1,Bank_Holidays!$A$2:$A$25),"Yes","No")</f>
        <v>No</v>
      </c>
      <c r="P574" t="str">
        <f t="shared" si="140"/>
        <v>No</v>
      </c>
      <c r="Q574" t="str">
        <f t="shared" si="141"/>
        <v>Yes</v>
      </c>
      <c r="R574" s="5">
        <f t="shared" si="143"/>
        <v>1</v>
      </c>
    </row>
    <row r="575" spans="1:18">
      <c r="A575" s="25">
        <f t="shared" si="142"/>
        <v>46808</v>
      </c>
      <c r="B575">
        <f t="shared" si="128"/>
        <v>2028</v>
      </c>
      <c r="C575" s="9">
        <f t="shared" si="129"/>
        <v>2</v>
      </c>
      <c r="D575" s="9" t="str">
        <f t="shared" si="130"/>
        <v>February</v>
      </c>
      <c r="E575" s="9" t="str">
        <f t="shared" si="131"/>
        <v>Feb-28</v>
      </c>
      <c r="F575" s="9" t="str">
        <f t="shared" si="132"/>
        <v>Q1</v>
      </c>
      <c r="G575" s="9">
        <f t="shared" si="133"/>
        <v>25</v>
      </c>
      <c r="H575" s="9">
        <f t="shared" si="134"/>
        <v>5</v>
      </c>
      <c r="I575" s="9" t="str">
        <f t="shared" si="135"/>
        <v>Friday</v>
      </c>
      <c r="J575" s="9" t="str">
        <f t="shared" si="136"/>
        <v>No</v>
      </c>
      <c r="K575" s="5" t="str">
        <f>IF(COUNTIF(Bank_Holidays!A:A,A575)&gt;0,"Yes","No")</f>
        <v>No</v>
      </c>
      <c r="L575" t="str">
        <f t="shared" si="137"/>
        <v>Yes</v>
      </c>
      <c r="M575">
        <f t="shared" si="138"/>
        <v>8</v>
      </c>
      <c r="N575" s="5" t="str">
        <f t="shared" si="139"/>
        <v>No</v>
      </c>
      <c r="O575" t="str">
        <f>IF(A575=WORKDAY(EOMONTH(A575,0)+1,-1,Bank_Holidays!$A$2:$A$25),"Yes","No")</f>
        <v>No</v>
      </c>
      <c r="P575" t="str">
        <f t="shared" si="140"/>
        <v>Yes</v>
      </c>
      <c r="Q575" t="str">
        <f t="shared" si="141"/>
        <v>No</v>
      </c>
      <c r="R575" s="5">
        <f t="shared" si="143"/>
        <v>3</v>
      </c>
    </row>
    <row r="576" spans="1:18">
      <c r="A576" s="25">
        <f t="shared" si="142"/>
        <v>46809</v>
      </c>
      <c r="B576">
        <f t="shared" si="128"/>
        <v>2028</v>
      </c>
      <c r="C576" s="9">
        <f t="shared" si="129"/>
        <v>2</v>
      </c>
      <c r="D576" s="9" t="str">
        <f t="shared" si="130"/>
        <v>February</v>
      </c>
      <c r="E576" s="9" t="str">
        <f t="shared" si="131"/>
        <v>Feb-28</v>
      </c>
      <c r="F576" s="9" t="str">
        <f t="shared" si="132"/>
        <v>Q1</v>
      </c>
      <c r="G576" s="9">
        <f t="shared" si="133"/>
        <v>26</v>
      </c>
      <c r="H576" s="9">
        <f t="shared" si="134"/>
        <v>6</v>
      </c>
      <c r="I576" s="9" t="str">
        <f t="shared" si="135"/>
        <v>Saturday</v>
      </c>
      <c r="J576" s="9" t="str">
        <f t="shared" si="136"/>
        <v>Yes</v>
      </c>
      <c r="K576" s="5" t="str">
        <f>IF(COUNTIF(Bank_Holidays!A:A,A576)&gt;0,"Yes","No")</f>
        <v>No</v>
      </c>
      <c r="L576" t="str">
        <f t="shared" si="137"/>
        <v>No</v>
      </c>
      <c r="M576">
        <f t="shared" si="138"/>
        <v>8</v>
      </c>
      <c r="N576" s="5" t="str">
        <f t="shared" si="139"/>
        <v>No</v>
      </c>
      <c r="O576" t="str">
        <f>IF(A576=WORKDAY(EOMONTH(A576,0)+1,-1,Bank_Holidays!$A$2:$A$25),"Yes","No")</f>
        <v>No</v>
      </c>
      <c r="P576" t="str">
        <f t="shared" si="140"/>
        <v>No</v>
      </c>
      <c r="Q576" t="str">
        <f t="shared" si="141"/>
        <v>No</v>
      </c>
      <c r="R576" s="5">
        <f t="shared" si="143"/>
        <v>0</v>
      </c>
    </row>
    <row r="577" spans="1:18">
      <c r="A577" s="25">
        <f t="shared" si="142"/>
        <v>46810</v>
      </c>
      <c r="B577">
        <f t="shared" si="128"/>
        <v>2028</v>
      </c>
      <c r="C577" s="9">
        <f t="shared" si="129"/>
        <v>2</v>
      </c>
      <c r="D577" s="9" t="str">
        <f t="shared" si="130"/>
        <v>February</v>
      </c>
      <c r="E577" s="9" t="str">
        <f t="shared" si="131"/>
        <v>Feb-28</v>
      </c>
      <c r="F577" s="9" t="str">
        <f t="shared" si="132"/>
        <v>Q1</v>
      </c>
      <c r="G577" s="9">
        <f t="shared" si="133"/>
        <v>27</v>
      </c>
      <c r="H577" s="9">
        <f t="shared" si="134"/>
        <v>7</v>
      </c>
      <c r="I577" s="9" t="str">
        <f t="shared" si="135"/>
        <v>Sunday</v>
      </c>
      <c r="J577" s="9" t="str">
        <f t="shared" si="136"/>
        <v>Yes</v>
      </c>
      <c r="K577" s="5" t="str">
        <f>IF(COUNTIF(Bank_Holidays!A:A,A577)&gt;0,"Yes","No")</f>
        <v>No</v>
      </c>
      <c r="L577" t="str">
        <f t="shared" si="137"/>
        <v>No</v>
      </c>
      <c r="M577">
        <f t="shared" si="138"/>
        <v>8</v>
      </c>
      <c r="N577" s="5" t="str">
        <f t="shared" si="139"/>
        <v>No</v>
      </c>
      <c r="O577" t="str">
        <f>IF(A577=WORKDAY(EOMONTH(A577,0)+1,-1,Bank_Holidays!$A$2:$A$25),"Yes","No")</f>
        <v>No</v>
      </c>
      <c r="P577" t="str">
        <f t="shared" si="140"/>
        <v>No</v>
      </c>
      <c r="Q577" t="str">
        <f t="shared" si="141"/>
        <v>No</v>
      </c>
      <c r="R577" s="5">
        <f t="shared" si="143"/>
        <v>0</v>
      </c>
    </row>
    <row r="578" spans="1:18">
      <c r="A578" s="25">
        <f t="shared" si="142"/>
        <v>46811</v>
      </c>
      <c r="B578">
        <f t="shared" ref="B578:B641" si="144">YEAR(A578)</f>
        <v>2028</v>
      </c>
      <c r="C578" s="9">
        <f t="shared" ref="C578:C641" si="145">MONTH(A578)</f>
        <v>2</v>
      </c>
      <c r="D578" s="9" t="str">
        <f t="shared" ref="D578:D641" si="146">TEXT(A578,"mmmm")</f>
        <v>February</v>
      </c>
      <c r="E578" s="9" t="str">
        <f t="shared" ref="E578:E641" si="147">TEXT(A578,"mmm-yy")</f>
        <v>Feb-28</v>
      </c>
      <c r="F578" s="9" t="str">
        <f t="shared" ref="F578:F641" si="148">"Q"&amp;ROUNDUP(MONTH($A578)/3,0)</f>
        <v>Q1</v>
      </c>
      <c r="G578" s="9">
        <f t="shared" ref="G578:G641" si="149">DAY($A578)</f>
        <v>28</v>
      </c>
      <c r="H578" s="9">
        <f t="shared" ref="H578:H641" si="150">WEEKDAY($A578,2)</f>
        <v>1</v>
      </c>
      <c r="I578" s="9" t="str">
        <f t="shared" ref="I578:I641" si="151">TEXT($A578,"dddd")</f>
        <v>Monday</v>
      </c>
      <c r="J578" s="9" t="str">
        <f t="shared" ref="J578:J641" si="152">IF($H578&gt;5,"Yes","No")</f>
        <v>No</v>
      </c>
      <c r="K578" s="5" t="str">
        <f>IF(COUNTIF(Bank_Holidays!A:A,A578)&gt;0,"Yes","No")</f>
        <v>No</v>
      </c>
      <c r="L578" t="str">
        <f t="shared" ref="L578:L641" si="153">IF(AND(J578="No",K578="No"),"Yes","No")</f>
        <v>Yes</v>
      </c>
      <c r="M578">
        <f t="shared" ref="M578:M641" si="154">_xlfn.ISOWEEKNUM(A578)</f>
        <v>9</v>
      </c>
      <c r="N578" s="5" t="str">
        <f t="shared" ref="N578:N641" si="155">IF(A578=EOMONTH(A578,0),"Yes","No")</f>
        <v>No</v>
      </c>
      <c r="O578" t="str">
        <f>IF(A578=WORKDAY(EOMONTH(A578,0)+1,-1,Bank_Holidays!$A$2:$A$25),"Yes","No")</f>
        <v>No</v>
      </c>
      <c r="P578" t="str">
        <f t="shared" ref="P578:P641" si="156">IF(
AND(
TEXT(A578,"dddd")="Friday",
MONTH(A578+7)&lt;&gt;MONTH(A578)
),
"Yes",
"No"
)</f>
        <v>No</v>
      </c>
      <c r="Q578" t="str">
        <f t="shared" ref="Q578:Q641" si="157">IF(
AND(
TEXT(A578,"dddd")="Thursday",
MONTH(A578+7)&lt;&gt;MONTH(A578)
),
"Yes",
"No"
)</f>
        <v>No</v>
      </c>
      <c r="R578" s="5">
        <f t="shared" si="143"/>
        <v>1</v>
      </c>
    </row>
    <row r="579" spans="1:18">
      <c r="A579" s="25">
        <f t="shared" ref="A579:A642" si="158">A578+1</f>
        <v>46812</v>
      </c>
      <c r="B579">
        <f t="shared" si="144"/>
        <v>2028</v>
      </c>
      <c r="C579" s="9">
        <f t="shared" si="145"/>
        <v>2</v>
      </c>
      <c r="D579" s="9" t="str">
        <f t="shared" si="146"/>
        <v>February</v>
      </c>
      <c r="E579" s="9" t="str">
        <f t="shared" si="147"/>
        <v>Feb-28</v>
      </c>
      <c r="F579" s="9" t="str">
        <f t="shared" si="148"/>
        <v>Q1</v>
      </c>
      <c r="G579" s="9">
        <f t="shared" si="149"/>
        <v>29</v>
      </c>
      <c r="H579" s="9">
        <f t="shared" si="150"/>
        <v>2</v>
      </c>
      <c r="I579" s="9" t="str">
        <f t="shared" si="151"/>
        <v>Tuesday</v>
      </c>
      <c r="J579" s="9" t="str">
        <f t="shared" si="152"/>
        <v>No</v>
      </c>
      <c r="K579" s="5" t="str">
        <f>IF(COUNTIF(Bank_Holidays!A:A,A579)&gt;0,"Yes","No")</f>
        <v>No</v>
      </c>
      <c r="L579" t="str">
        <f t="shared" si="153"/>
        <v>Yes</v>
      </c>
      <c r="M579">
        <f t="shared" si="154"/>
        <v>9</v>
      </c>
      <c r="N579" s="5" t="str">
        <f t="shared" si="155"/>
        <v>Yes</v>
      </c>
      <c r="O579" t="str">
        <f>IF(A579=WORKDAY(EOMONTH(A579,0)+1,-1,Bank_Holidays!$A$2:$A$25),"Yes","No")</f>
        <v>Yes</v>
      </c>
      <c r="P579" t="str">
        <f t="shared" si="156"/>
        <v>No</v>
      </c>
      <c r="Q579" t="str">
        <f t="shared" si="157"/>
        <v>No</v>
      </c>
      <c r="R579" s="5">
        <f t="shared" ref="R579:R642" si="159">IF(L579="yes",1)+IF(L579="no",0,IF(AND(L584="no",L583="no",L582="no",L581="no",L580="no"),5,IF(AND(L583="no",L582="no",L581="no",L580="no"),4,IF(AND(L582="no",L581="no",L580="no"),3,IF(AND(L581="no",L580="no"),2,IF(L580="no",1))))))</f>
        <v>1</v>
      </c>
    </row>
    <row r="580" spans="1:18">
      <c r="A580" s="25">
        <f t="shared" si="158"/>
        <v>46813</v>
      </c>
      <c r="B580">
        <f t="shared" si="144"/>
        <v>2028</v>
      </c>
      <c r="C580" s="9">
        <f t="shared" si="145"/>
        <v>3</v>
      </c>
      <c r="D580" s="9" t="str">
        <f t="shared" si="146"/>
        <v>March</v>
      </c>
      <c r="E580" s="9" t="str">
        <f t="shared" si="147"/>
        <v>Mar-28</v>
      </c>
      <c r="F580" s="9" t="str">
        <f t="shared" si="148"/>
        <v>Q1</v>
      </c>
      <c r="G580" s="9">
        <f t="shared" si="149"/>
        <v>1</v>
      </c>
      <c r="H580" s="9">
        <f t="shared" si="150"/>
        <v>3</v>
      </c>
      <c r="I580" s="9" t="str">
        <f t="shared" si="151"/>
        <v>Wednesday</v>
      </c>
      <c r="J580" s="9" t="str">
        <f t="shared" si="152"/>
        <v>No</v>
      </c>
      <c r="K580" s="5" t="str">
        <f>IF(COUNTIF(Bank_Holidays!A:A,A580)&gt;0,"Yes","No")</f>
        <v>No</v>
      </c>
      <c r="L580" t="str">
        <f t="shared" si="153"/>
        <v>Yes</v>
      </c>
      <c r="M580">
        <f t="shared" si="154"/>
        <v>9</v>
      </c>
      <c r="N580" s="5" t="str">
        <f t="shared" si="155"/>
        <v>No</v>
      </c>
      <c r="O580" t="str">
        <f>IF(A580=WORKDAY(EOMONTH(A580,0)+1,-1,Bank_Holidays!$A$2:$A$25),"Yes","No")</f>
        <v>No</v>
      </c>
      <c r="P580" t="str">
        <f t="shared" si="156"/>
        <v>No</v>
      </c>
      <c r="Q580" t="str">
        <f t="shared" si="157"/>
        <v>No</v>
      </c>
      <c r="R580" s="5">
        <f t="shared" si="159"/>
        <v>1</v>
      </c>
    </row>
    <row r="581" spans="1:18">
      <c r="A581" s="25">
        <f t="shared" si="158"/>
        <v>46814</v>
      </c>
      <c r="B581">
        <f t="shared" si="144"/>
        <v>2028</v>
      </c>
      <c r="C581" s="9">
        <f t="shared" si="145"/>
        <v>3</v>
      </c>
      <c r="D581" s="9" t="str">
        <f t="shared" si="146"/>
        <v>March</v>
      </c>
      <c r="E581" s="9" t="str">
        <f t="shared" si="147"/>
        <v>Mar-28</v>
      </c>
      <c r="F581" s="9" t="str">
        <f t="shared" si="148"/>
        <v>Q1</v>
      </c>
      <c r="G581" s="9">
        <f t="shared" si="149"/>
        <v>2</v>
      </c>
      <c r="H581" s="9">
        <f t="shared" si="150"/>
        <v>4</v>
      </c>
      <c r="I581" s="9" t="str">
        <f t="shared" si="151"/>
        <v>Thursday</v>
      </c>
      <c r="J581" s="9" t="str">
        <f t="shared" si="152"/>
        <v>No</v>
      </c>
      <c r="K581" s="5" t="str">
        <f>IF(COUNTIF(Bank_Holidays!A:A,A581)&gt;0,"Yes","No")</f>
        <v>No</v>
      </c>
      <c r="L581" t="str">
        <f t="shared" si="153"/>
        <v>Yes</v>
      </c>
      <c r="M581">
        <f t="shared" si="154"/>
        <v>9</v>
      </c>
      <c r="N581" s="5" t="str">
        <f t="shared" si="155"/>
        <v>No</v>
      </c>
      <c r="O581" t="str">
        <f>IF(A581=WORKDAY(EOMONTH(A581,0)+1,-1,Bank_Holidays!$A$2:$A$25),"Yes","No")</f>
        <v>No</v>
      </c>
      <c r="P581" t="str">
        <f t="shared" si="156"/>
        <v>No</v>
      </c>
      <c r="Q581" t="str">
        <f t="shared" si="157"/>
        <v>No</v>
      </c>
      <c r="R581" s="5">
        <f t="shared" si="159"/>
        <v>1</v>
      </c>
    </row>
    <row r="582" spans="1:18">
      <c r="A582" s="25">
        <f t="shared" si="158"/>
        <v>46815</v>
      </c>
      <c r="B582">
        <f t="shared" si="144"/>
        <v>2028</v>
      </c>
      <c r="C582" s="9">
        <f t="shared" si="145"/>
        <v>3</v>
      </c>
      <c r="D582" s="9" t="str">
        <f t="shared" si="146"/>
        <v>March</v>
      </c>
      <c r="E582" s="9" t="str">
        <f t="shared" si="147"/>
        <v>Mar-28</v>
      </c>
      <c r="F582" s="9" t="str">
        <f t="shared" si="148"/>
        <v>Q1</v>
      </c>
      <c r="G582" s="9">
        <f t="shared" si="149"/>
        <v>3</v>
      </c>
      <c r="H582" s="9">
        <f t="shared" si="150"/>
        <v>5</v>
      </c>
      <c r="I582" s="9" t="str">
        <f t="shared" si="151"/>
        <v>Friday</v>
      </c>
      <c r="J582" s="9" t="str">
        <f t="shared" si="152"/>
        <v>No</v>
      </c>
      <c r="K582" s="5" t="str">
        <f>IF(COUNTIF(Bank_Holidays!A:A,A582)&gt;0,"Yes","No")</f>
        <v>No</v>
      </c>
      <c r="L582" t="str">
        <f t="shared" si="153"/>
        <v>Yes</v>
      </c>
      <c r="M582">
        <f t="shared" si="154"/>
        <v>9</v>
      </c>
      <c r="N582" s="5" t="str">
        <f t="shared" si="155"/>
        <v>No</v>
      </c>
      <c r="O582" t="str">
        <f>IF(A582=WORKDAY(EOMONTH(A582,0)+1,-1,Bank_Holidays!$A$2:$A$25),"Yes","No")</f>
        <v>No</v>
      </c>
      <c r="P582" t="str">
        <f t="shared" si="156"/>
        <v>No</v>
      </c>
      <c r="Q582" t="str">
        <f t="shared" si="157"/>
        <v>No</v>
      </c>
      <c r="R582" s="5">
        <f t="shared" si="159"/>
        <v>3</v>
      </c>
    </row>
    <row r="583" spans="1:18">
      <c r="A583" s="25">
        <f t="shared" si="158"/>
        <v>46816</v>
      </c>
      <c r="B583">
        <f t="shared" si="144"/>
        <v>2028</v>
      </c>
      <c r="C583" s="9">
        <f t="shared" si="145"/>
        <v>3</v>
      </c>
      <c r="D583" s="9" t="str">
        <f t="shared" si="146"/>
        <v>March</v>
      </c>
      <c r="E583" s="9" t="str">
        <f t="shared" si="147"/>
        <v>Mar-28</v>
      </c>
      <c r="F583" s="9" t="str">
        <f t="shared" si="148"/>
        <v>Q1</v>
      </c>
      <c r="G583" s="9">
        <f t="shared" si="149"/>
        <v>4</v>
      </c>
      <c r="H583" s="9">
        <f t="shared" si="150"/>
        <v>6</v>
      </c>
      <c r="I583" s="9" t="str">
        <f t="shared" si="151"/>
        <v>Saturday</v>
      </c>
      <c r="J583" s="9" t="str">
        <f t="shared" si="152"/>
        <v>Yes</v>
      </c>
      <c r="K583" s="5" t="str">
        <f>IF(COUNTIF(Bank_Holidays!A:A,A583)&gt;0,"Yes","No")</f>
        <v>No</v>
      </c>
      <c r="L583" t="str">
        <f t="shared" si="153"/>
        <v>No</v>
      </c>
      <c r="M583">
        <f t="shared" si="154"/>
        <v>9</v>
      </c>
      <c r="N583" s="5" t="str">
        <f t="shared" si="155"/>
        <v>No</v>
      </c>
      <c r="O583" t="str">
        <f>IF(A583=WORKDAY(EOMONTH(A583,0)+1,-1,Bank_Holidays!$A$2:$A$25),"Yes","No")</f>
        <v>No</v>
      </c>
      <c r="P583" t="str">
        <f t="shared" si="156"/>
        <v>No</v>
      </c>
      <c r="Q583" t="str">
        <f t="shared" si="157"/>
        <v>No</v>
      </c>
      <c r="R583" s="5">
        <f t="shared" si="159"/>
        <v>0</v>
      </c>
    </row>
    <row r="584" spans="1:18">
      <c r="A584" s="25">
        <f t="shared" si="158"/>
        <v>46817</v>
      </c>
      <c r="B584">
        <f t="shared" si="144"/>
        <v>2028</v>
      </c>
      <c r="C584" s="9">
        <f t="shared" si="145"/>
        <v>3</v>
      </c>
      <c r="D584" s="9" t="str">
        <f t="shared" si="146"/>
        <v>March</v>
      </c>
      <c r="E584" s="9" t="str">
        <f t="shared" si="147"/>
        <v>Mar-28</v>
      </c>
      <c r="F584" s="9" t="str">
        <f t="shared" si="148"/>
        <v>Q1</v>
      </c>
      <c r="G584" s="9">
        <f t="shared" si="149"/>
        <v>5</v>
      </c>
      <c r="H584" s="9">
        <f t="shared" si="150"/>
        <v>7</v>
      </c>
      <c r="I584" s="9" t="str">
        <f t="shared" si="151"/>
        <v>Sunday</v>
      </c>
      <c r="J584" s="9" t="str">
        <f t="shared" si="152"/>
        <v>Yes</v>
      </c>
      <c r="K584" s="5" t="str">
        <f>IF(COUNTIF(Bank_Holidays!A:A,A584)&gt;0,"Yes","No")</f>
        <v>No</v>
      </c>
      <c r="L584" t="str">
        <f t="shared" si="153"/>
        <v>No</v>
      </c>
      <c r="M584">
        <f t="shared" si="154"/>
        <v>9</v>
      </c>
      <c r="N584" s="5" t="str">
        <f t="shared" si="155"/>
        <v>No</v>
      </c>
      <c r="O584" t="str">
        <f>IF(A584=WORKDAY(EOMONTH(A584,0)+1,-1,Bank_Holidays!$A$2:$A$25),"Yes","No")</f>
        <v>No</v>
      </c>
      <c r="P584" t="str">
        <f t="shared" si="156"/>
        <v>No</v>
      </c>
      <c r="Q584" t="str">
        <f t="shared" si="157"/>
        <v>No</v>
      </c>
      <c r="R584" s="5">
        <f t="shared" si="159"/>
        <v>0</v>
      </c>
    </row>
    <row r="585" spans="1:18">
      <c r="A585" s="25">
        <f t="shared" si="158"/>
        <v>46818</v>
      </c>
      <c r="B585">
        <f t="shared" si="144"/>
        <v>2028</v>
      </c>
      <c r="C585" s="9">
        <f t="shared" si="145"/>
        <v>3</v>
      </c>
      <c r="D585" s="9" t="str">
        <f t="shared" si="146"/>
        <v>March</v>
      </c>
      <c r="E585" s="9" t="str">
        <f t="shared" si="147"/>
        <v>Mar-28</v>
      </c>
      <c r="F585" s="9" t="str">
        <f t="shared" si="148"/>
        <v>Q1</v>
      </c>
      <c r="G585" s="9">
        <f t="shared" si="149"/>
        <v>6</v>
      </c>
      <c r="H585" s="9">
        <f t="shared" si="150"/>
        <v>1</v>
      </c>
      <c r="I585" s="9" t="str">
        <f t="shared" si="151"/>
        <v>Monday</v>
      </c>
      <c r="J585" s="9" t="str">
        <f t="shared" si="152"/>
        <v>No</v>
      </c>
      <c r="K585" s="5" t="str">
        <f>IF(COUNTIF(Bank_Holidays!A:A,A585)&gt;0,"Yes","No")</f>
        <v>No</v>
      </c>
      <c r="L585" t="str">
        <f t="shared" si="153"/>
        <v>Yes</v>
      </c>
      <c r="M585">
        <f t="shared" si="154"/>
        <v>10</v>
      </c>
      <c r="N585" s="5" t="str">
        <f t="shared" si="155"/>
        <v>No</v>
      </c>
      <c r="O585" t="str">
        <f>IF(A585=WORKDAY(EOMONTH(A585,0)+1,-1,Bank_Holidays!$A$2:$A$25),"Yes","No")</f>
        <v>No</v>
      </c>
      <c r="P585" t="str">
        <f t="shared" si="156"/>
        <v>No</v>
      </c>
      <c r="Q585" t="str">
        <f t="shared" si="157"/>
        <v>No</v>
      </c>
      <c r="R585" s="5">
        <f t="shared" si="159"/>
        <v>1</v>
      </c>
    </row>
    <row r="586" spans="1:18">
      <c r="A586" s="25">
        <f t="shared" si="158"/>
        <v>46819</v>
      </c>
      <c r="B586">
        <f t="shared" si="144"/>
        <v>2028</v>
      </c>
      <c r="C586" s="9">
        <f t="shared" si="145"/>
        <v>3</v>
      </c>
      <c r="D586" s="9" t="str">
        <f t="shared" si="146"/>
        <v>March</v>
      </c>
      <c r="E586" s="9" t="str">
        <f t="shared" si="147"/>
        <v>Mar-28</v>
      </c>
      <c r="F586" s="9" t="str">
        <f t="shared" si="148"/>
        <v>Q1</v>
      </c>
      <c r="G586" s="9">
        <f t="shared" si="149"/>
        <v>7</v>
      </c>
      <c r="H586" s="9">
        <f t="shared" si="150"/>
        <v>2</v>
      </c>
      <c r="I586" s="9" t="str">
        <f t="shared" si="151"/>
        <v>Tuesday</v>
      </c>
      <c r="J586" s="9" t="str">
        <f t="shared" si="152"/>
        <v>No</v>
      </c>
      <c r="K586" s="5" t="str">
        <f>IF(COUNTIF(Bank_Holidays!A:A,A586)&gt;0,"Yes","No")</f>
        <v>No</v>
      </c>
      <c r="L586" t="str">
        <f t="shared" si="153"/>
        <v>Yes</v>
      </c>
      <c r="M586">
        <f t="shared" si="154"/>
        <v>10</v>
      </c>
      <c r="N586" s="5" t="str">
        <f t="shared" si="155"/>
        <v>No</v>
      </c>
      <c r="O586" t="str">
        <f>IF(A586=WORKDAY(EOMONTH(A586,0)+1,-1,Bank_Holidays!$A$2:$A$25),"Yes","No")</f>
        <v>No</v>
      </c>
      <c r="P586" t="str">
        <f t="shared" si="156"/>
        <v>No</v>
      </c>
      <c r="Q586" t="str">
        <f t="shared" si="157"/>
        <v>No</v>
      </c>
      <c r="R586" s="5">
        <f t="shared" si="159"/>
        <v>1</v>
      </c>
    </row>
    <row r="587" spans="1:18">
      <c r="A587" s="25">
        <f t="shared" si="158"/>
        <v>46820</v>
      </c>
      <c r="B587">
        <f t="shared" si="144"/>
        <v>2028</v>
      </c>
      <c r="C587" s="9">
        <f t="shared" si="145"/>
        <v>3</v>
      </c>
      <c r="D587" s="9" t="str">
        <f t="shared" si="146"/>
        <v>March</v>
      </c>
      <c r="E587" s="9" t="str">
        <f t="shared" si="147"/>
        <v>Mar-28</v>
      </c>
      <c r="F587" s="9" t="str">
        <f t="shared" si="148"/>
        <v>Q1</v>
      </c>
      <c r="G587" s="9">
        <f t="shared" si="149"/>
        <v>8</v>
      </c>
      <c r="H587" s="9">
        <f t="shared" si="150"/>
        <v>3</v>
      </c>
      <c r="I587" s="9" t="str">
        <f t="shared" si="151"/>
        <v>Wednesday</v>
      </c>
      <c r="J587" s="9" t="str">
        <f t="shared" si="152"/>
        <v>No</v>
      </c>
      <c r="K587" s="5" t="str">
        <f>IF(COUNTIF(Bank_Holidays!A:A,A587)&gt;0,"Yes","No")</f>
        <v>No</v>
      </c>
      <c r="L587" t="str">
        <f t="shared" si="153"/>
        <v>Yes</v>
      </c>
      <c r="M587">
        <f t="shared" si="154"/>
        <v>10</v>
      </c>
      <c r="N587" s="5" t="str">
        <f t="shared" si="155"/>
        <v>No</v>
      </c>
      <c r="O587" t="str">
        <f>IF(A587=WORKDAY(EOMONTH(A587,0)+1,-1,Bank_Holidays!$A$2:$A$25),"Yes","No")</f>
        <v>No</v>
      </c>
      <c r="P587" t="str">
        <f t="shared" si="156"/>
        <v>No</v>
      </c>
      <c r="Q587" t="str">
        <f t="shared" si="157"/>
        <v>No</v>
      </c>
      <c r="R587" s="5">
        <f t="shared" si="159"/>
        <v>1</v>
      </c>
    </row>
    <row r="588" spans="1:18">
      <c r="A588" s="25">
        <f t="shared" si="158"/>
        <v>46821</v>
      </c>
      <c r="B588">
        <f t="shared" si="144"/>
        <v>2028</v>
      </c>
      <c r="C588" s="9">
        <f t="shared" si="145"/>
        <v>3</v>
      </c>
      <c r="D588" s="9" t="str">
        <f t="shared" si="146"/>
        <v>March</v>
      </c>
      <c r="E588" s="9" t="str">
        <f t="shared" si="147"/>
        <v>Mar-28</v>
      </c>
      <c r="F588" s="9" t="str">
        <f t="shared" si="148"/>
        <v>Q1</v>
      </c>
      <c r="G588" s="9">
        <f t="shared" si="149"/>
        <v>9</v>
      </c>
      <c r="H588" s="9">
        <f t="shared" si="150"/>
        <v>4</v>
      </c>
      <c r="I588" s="9" t="str">
        <f t="shared" si="151"/>
        <v>Thursday</v>
      </c>
      <c r="J588" s="9" t="str">
        <f t="shared" si="152"/>
        <v>No</v>
      </c>
      <c r="K588" s="5" t="str">
        <f>IF(COUNTIF(Bank_Holidays!A:A,A588)&gt;0,"Yes","No")</f>
        <v>No</v>
      </c>
      <c r="L588" t="str">
        <f t="shared" si="153"/>
        <v>Yes</v>
      </c>
      <c r="M588">
        <f t="shared" si="154"/>
        <v>10</v>
      </c>
      <c r="N588" s="5" t="str">
        <f t="shared" si="155"/>
        <v>No</v>
      </c>
      <c r="O588" t="str">
        <f>IF(A588=WORKDAY(EOMONTH(A588,0)+1,-1,Bank_Holidays!$A$2:$A$25),"Yes","No")</f>
        <v>No</v>
      </c>
      <c r="P588" t="str">
        <f t="shared" si="156"/>
        <v>No</v>
      </c>
      <c r="Q588" t="str">
        <f t="shared" si="157"/>
        <v>No</v>
      </c>
      <c r="R588" s="5">
        <f t="shared" si="159"/>
        <v>1</v>
      </c>
    </row>
    <row r="589" spans="1:18">
      <c r="A589" s="25">
        <f t="shared" si="158"/>
        <v>46822</v>
      </c>
      <c r="B589">
        <f t="shared" si="144"/>
        <v>2028</v>
      </c>
      <c r="C589" s="9">
        <f t="shared" si="145"/>
        <v>3</v>
      </c>
      <c r="D589" s="9" t="str">
        <f t="shared" si="146"/>
        <v>March</v>
      </c>
      <c r="E589" s="9" t="str">
        <f t="shared" si="147"/>
        <v>Mar-28</v>
      </c>
      <c r="F589" s="9" t="str">
        <f t="shared" si="148"/>
        <v>Q1</v>
      </c>
      <c r="G589" s="9">
        <f t="shared" si="149"/>
        <v>10</v>
      </c>
      <c r="H589" s="9">
        <f t="shared" si="150"/>
        <v>5</v>
      </c>
      <c r="I589" s="9" t="str">
        <f t="shared" si="151"/>
        <v>Friday</v>
      </c>
      <c r="J589" s="9" t="str">
        <f t="shared" si="152"/>
        <v>No</v>
      </c>
      <c r="K589" s="5" t="str">
        <f>IF(COUNTIF(Bank_Holidays!A:A,A589)&gt;0,"Yes","No")</f>
        <v>No</v>
      </c>
      <c r="L589" t="str">
        <f t="shared" si="153"/>
        <v>Yes</v>
      </c>
      <c r="M589">
        <f t="shared" si="154"/>
        <v>10</v>
      </c>
      <c r="N589" s="5" t="str">
        <f t="shared" si="155"/>
        <v>No</v>
      </c>
      <c r="O589" t="str">
        <f>IF(A589=WORKDAY(EOMONTH(A589,0)+1,-1,Bank_Holidays!$A$2:$A$25),"Yes","No")</f>
        <v>No</v>
      </c>
      <c r="P589" t="str">
        <f t="shared" si="156"/>
        <v>No</v>
      </c>
      <c r="Q589" t="str">
        <f t="shared" si="157"/>
        <v>No</v>
      </c>
      <c r="R589" s="5">
        <f t="shared" si="159"/>
        <v>3</v>
      </c>
    </row>
    <row r="590" spans="1:18">
      <c r="A590" s="25">
        <f t="shared" si="158"/>
        <v>46823</v>
      </c>
      <c r="B590">
        <f t="shared" si="144"/>
        <v>2028</v>
      </c>
      <c r="C590" s="9">
        <f t="shared" si="145"/>
        <v>3</v>
      </c>
      <c r="D590" s="9" t="str">
        <f t="shared" si="146"/>
        <v>March</v>
      </c>
      <c r="E590" s="9" t="str">
        <f t="shared" si="147"/>
        <v>Mar-28</v>
      </c>
      <c r="F590" s="9" t="str">
        <f t="shared" si="148"/>
        <v>Q1</v>
      </c>
      <c r="G590" s="9">
        <f t="shared" si="149"/>
        <v>11</v>
      </c>
      <c r="H590" s="9">
        <f t="shared" si="150"/>
        <v>6</v>
      </c>
      <c r="I590" s="9" t="str">
        <f t="shared" si="151"/>
        <v>Saturday</v>
      </c>
      <c r="J590" s="9" t="str">
        <f t="shared" si="152"/>
        <v>Yes</v>
      </c>
      <c r="K590" s="5" t="str">
        <f>IF(COUNTIF(Bank_Holidays!A:A,A590)&gt;0,"Yes","No")</f>
        <v>No</v>
      </c>
      <c r="L590" t="str">
        <f t="shared" si="153"/>
        <v>No</v>
      </c>
      <c r="M590">
        <f t="shared" si="154"/>
        <v>10</v>
      </c>
      <c r="N590" s="5" t="str">
        <f t="shared" si="155"/>
        <v>No</v>
      </c>
      <c r="O590" t="str">
        <f>IF(A590=WORKDAY(EOMONTH(A590,0)+1,-1,Bank_Holidays!$A$2:$A$25),"Yes","No")</f>
        <v>No</v>
      </c>
      <c r="P590" t="str">
        <f t="shared" si="156"/>
        <v>No</v>
      </c>
      <c r="Q590" t="str">
        <f t="shared" si="157"/>
        <v>No</v>
      </c>
      <c r="R590" s="5">
        <f t="shared" si="159"/>
        <v>0</v>
      </c>
    </row>
    <row r="591" spans="1:18">
      <c r="A591" s="25">
        <f t="shared" si="158"/>
        <v>46824</v>
      </c>
      <c r="B591">
        <f t="shared" si="144"/>
        <v>2028</v>
      </c>
      <c r="C591" s="9">
        <f t="shared" si="145"/>
        <v>3</v>
      </c>
      <c r="D591" s="9" t="str">
        <f t="shared" si="146"/>
        <v>March</v>
      </c>
      <c r="E591" s="9" t="str">
        <f t="shared" si="147"/>
        <v>Mar-28</v>
      </c>
      <c r="F591" s="9" t="str">
        <f t="shared" si="148"/>
        <v>Q1</v>
      </c>
      <c r="G591" s="9">
        <f t="shared" si="149"/>
        <v>12</v>
      </c>
      <c r="H591" s="9">
        <f t="shared" si="150"/>
        <v>7</v>
      </c>
      <c r="I591" s="9" t="str">
        <f t="shared" si="151"/>
        <v>Sunday</v>
      </c>
      <c r="J591" s="9" t="str">
        <f t="shared" si="152"/>
        <v>Yes</v>
      </c>
      <c r="K591" s="5" t="str">
        <f>IF(COUNTIF(Bank_Holidays!A:A,A591)&gt;0,"Yes","No")</f>
        <v>No</v>
      </c>
      <c r="L591" t="str">
        <f t="shared" si="153"/>
        <v>No</v>
      </c>
      <c r="M591">
        <f t="shared" si="154"/>
        <v>10</v>
      </c>
      <c r="N591" s="5" t="str">
        <f t="shared" si="155"/>
        <v>No</v>
      </c>
      <c r="O591" t="str">
        <f>IF(A591=WORKDAY(EOMONTH(A591,0)+1,-1,Bank_Holidays!$A$2:$A$25),"Yes","No")</f>
        <v>No</v>
      </c>
      <c r="P591" t="str">
        <f t="shared" si="156"/>
        <v>No</v>
      </c>
      <c r="Q591" t="str">
        <f t="shared" si="157"/>
        <v>No</v>
      </c>
      <c r="R591" s="5">
        <f t="shared" si="159"/>
        <v>0</v>
      </c>
    </row>
    <row r="592" spans="1:18">
      <c r="A592" s="25">
        <f t="shared" si="158"/>
        <v>46825</v>
      </c>
      <c r="B592">
        <f t="shared" si="144"/>
        <v>2028</v>
      </c>
      <c r="C592" s="9">
        <f t="shared" si="145"/>
        <v>3</v>
      </c>
      <c r="D592" s="9" t="str">
        <f t="shared" si="146"/>
        <v>March</v>
      </c>
      <c r="E592" s="9" t="str">
        <f t="shared" si="147"/>
        <v>Mar-28</v>
      </c>
      <c r="F592" s="9" t="str">
        <f t="shared" si="148"/>
        <v>Q1</v>
      </c>
      <c r="G592" s="9">
        <f t="shared" si="149"/>
        <v>13</v>
      </c>
      <c r="H592" s="9">
        <f t="shared" si="150"/>
        <v>1</v>
      </c>
      <c r="I592" s="9" t="str">
        <f t="shared" si="151"/>
        <v>Monday</v>
      </c>
      <c r="J592" s="9" t="str">
        <f t="shared" si="152"/>
        <v>No</v>
      </c>
      <c r="K592" s="5" t="str">
        <f>IF(COUNTIF(Bank_Holidays!A:A,A592)&gt;0,"Yes","No")</f>
        <v>No</v>
      </c>
      <c r="L592" t="str">
        <f t="shared" si="153"/>
        <v>Yes</v>
      </c>
      <c r="M592">
        <f t="shared" si="154"/>
        <v>11</v>
      </c>
      <c r="N592" s="5" t="str">
        <f t="shared" si="155"/>
        <v>No</v>
      </c>
      <c r="O592" t="str">
        <f>IF(A592=WORKDAY(EOMONTH(A592,0)+1,-1,Bank_Holidays!$A$2:$A$25),"Yes","No")</f>
        <v>No</v>
      </c>
      <c r="P592" t="str">
        <f t="shared" si="156"/>
        <v>No</v>
      </c>
      <c r="Q592" t="str">
        <f t="shared" si="157"/>
        <v>No</v>
      </c>
      <c r="R592" s="5">
        <f t="shared" si="159"/>
        <v>1</v>
      </c>
    </row>
    <row r="593" spans="1:18">
      <c r="A593" s="25">
        <f t="shared" si="158"/>
        <v>46826</v>
      </c>
      <c r="B593">
        <f t="shared" si="144"/>
        <v>2028</v>
      </c>
      <c r="C593" s="9">
        <f t="shared" si="145"/>
        <v>3</v>
      </c>
      <c r="D593" s="9" t="str">
        <f t="shared" si="146"/>
        <v>March</v>
      </c>
      <c r="E593" s="9" t="str">
        <f t="shared" si="147"/>
        <v>Mar-28</v>
      </c>
      <c r="F593" s="9" t="str">
        <f t="shared" si="148"/>
        <v>Q1</v>
      </c>
      <c r="G593" s="9">
        <f t="shared" si="149"/>
        <v>14</v>
      </c>
      <c r="H593" s="9">
        <f t="shared" si="150"/>
        <v>2</v>
      </c>
      <c r="I593" s="9" t="str">
        <f t="shared" si="151"/>
        <v>Tuesday</v>
      </c>
      <c r="J593" s="9" t="str">
        <f t="shared" si="152"/>
        <v>No</v>
      </c>
      <c r="K593" s="5" t="str">
        <f>IF(COUNTIF(Bank_Holidays!A:A,A593)&gt;0,"Yes","No")</f>
        <v>No</v>
      </c>
      <c r="L593" t="str">
        <f t="shared" si="153"/>
        <v>Yes</v>
      </c>
      <c r="M593">
        <f t="shared" si="154"/>
        <v>11</v>
      </c>
      <c r="N593" s="5" t="str">
        <f t="shared" si="155"/>
        <v>No</v>
      </c>
      <c r="O593" t="str">
        <f>IF(A593=WORKDAY(EOMONTH(A593,0)+1,-1,Bank_Holidays!$A$2:$A$25),"Yes","No")</f>
        <v>No</v>
      </c>
      <c r="P593" t="str">
        <f t="shared" si="156"/>
        <v>No</v>
      </c>
      <c r="Q593" t="str">
        <f t="shared" si="157"/>
        <v>No</v>
      </c>
      <c r="R593" s="5">
        <f t="shared" si="159"/>
        <v>1</v>
      </c>
    </row>
    <row r="594" spans="1:18">
      <c r="A594" s="25">
        <f t="shared" si="158"/>
        <v>46827</v>
      </c>
      <c r="B594">
        <f t="shared" si="144"/>
        <v>2028</v>
      </c>
      <c r="C594" s="9">
        <f t="shared" si="145"/>
        <v>3</v>
      </c>
      <c r="D594" s="9" t="str">
        <f t="shared" si="146"/>
        <v>March</v>
      </c>
      <c r="E594" s="9" t="str">
        <f t="shared" si="147"/>
        <v>Mar-28</v>
      </c>
      <c r="F594" s="9" t="str">
        <f t="shared" si="148"/>
        <v>Q1</v>
      </c>
      <c r="G594" s="9">
        <f t="shared" si="149"/>
        <v>15</v>
      </c>
      <c r="H594" s="9">
        <f t="shared" si="150"/>
        <v>3</v>
      </c>
      <c r="I594" s="9" t="str">
        <f t="shared" si="151"/>
        <v>Wednesday</v>
      </c>
      <c r="J594" s="9" t="str">
        <f t="shared" si="152"/>
        <v>No</v>
      </c>
      <c r="K594" s="5" t="str">
        <f>IF(COUNTIF(Bank_Holidays!A:A,A594)&gt;0,"Yes","No")</f>
        <v>No</v>
      </c>
      <c r="L594" t="str">
        <f t="shared" si="153"/>
        <v>Yes</v>
      </c>
      <c r="M594">
        <f t="shared" si="154"/>
        <v>11</v>
      </c>
      <c r="N594" s="5" t="str">
        <f t="shared" si="155"/>
        <v>No</v>
      </c>
      <c r="O594" t="str">
        <f>IF(A594=WORKDAY(EOMONTH(A594,0)+1,-1,Bank_Holidays!$A$2:$A$25),"Yes","No")</f>
        <v>No</v>
      </c>
      <c r="P594" t="str">
        <f t="shared" si="156"/>
        <v>No</v>
      </c>
      <c r="Q594" t="str">
        <f t="shared" si="157"/>
        <v>No</v>
      </c>
      <c r="R594" s="5">
        <f t="shared" si="159"/>
        <v>1</v>
      </c>
    </row>
    <row r="595" spans="1:18">
      <c r="A595" s="25">
        <f t="shared" si="158"/>
        <v>46828</v>
      </c>
      <c r="B595">
        <f t="shared" si="144"/>
        <v>2028</v>
      </c>
      <c r="C595" s="9">
        <f t="shared" si="145"/>
        <v>3</v>
      </c>
      <c r="D595" s="9" t="str">
        <f t="shared" si="146"/>
        <v>March</v>
      </c>
      <c r="E595" s="9" t="str">
        <f t="shared" si="147"/>
        <v>Mar-28</v>
      </c>
      <c r="F595" s="9" t="str">
        <f t="shared" si="148"/>
        <v>Q1</v>
      </c>
      <c r="G595" s="9">
        <f t="shared" si="149"/>
        <v>16</v>
      </c>
      <c r="H595" s="9">
        <f t="shared" si="150"/>
        <v>4</v>
      </c>
      <c r="I595" s="9" t="str">
        <f t="shared" si="151"/>
        <v>Thursday</v>
      </c>
      <c r="J595" s="9" t="str">
        <f t="shared" si="152"/>
        <v>No</v>
      </c>
      <c r="K595" s="5" t="str">
        <f>IF(COUNTIF(Bank_Holidays!A:A,A595)&gt;0,"Yes","No")</f>
        <v>No</v>
      </c>
      <c r="L595" t="str">
        <f t="shared" si="153"/>
        <v>Yes</v>
      </c>
      <c r="M595">
        <f t="shared" si="154"/>
        <v>11</v>
      </c>
      <c r="N595" s="5" t="str">
        <f t="shared" si="155"/>
        <v>No</v>
      </c>
      <c r="O595" t="str">
        <f>IF(A595=WORKDAY(EOMONTH(A595,0)+1,-1,Bank_Holidays!$A$2:$A$25),"Yes","No")</f>
        <v>No</v>
      </c>
      <c r="P595" t="str">
        <f t="shared" si="156"/>
        <v>No</v>
      </c>
      <c r="Q595" t="str">
        <f t="shared" si="157"/>
        <v>No</v>
      </c>
      <c r="R595" s="5">
        <f t="shared" si="159"/>
        <v>1</v>
      </c>
    </row>
    <row r="596" spans="1:18">
      <c r="A596" s="25">
        <f t="shared" si="158"/>
        <v>46829</v>
      </c>
      <c r="B596">
        <f t="shared" si="144"/>
        <v>2028</v>
      </c>
      <c r="C596" s="9">
        <f t="shared" si="145"/>
        <v>3</v>
      </c>
      <c r="D596" s="9" t="str">
        <f t="shared" si="146"/>
        <v>March</v>
      </c>
      <c r="E596" s="9" t="str">
        <f t="shared" si="147"/>
        <v>Mar-28</v>
      </c>
      <c r="F596" s="9" t="str">
        <f t="shared" si="148"/>
        <v>Q1</v>
      </c>
      <c r="G596" s="9">
        <f t="shared" si="149"/>
        <v>17</v>
      </c>
      <c r="H596" s="9">
        <f t="shared" si="150"/>
        <v>5</v>
      </c>
      <c r="I596" s="9" t="str">
        <f t="shared" si="151"/>
        <v>Friday</v>
      </c>
      <c r="J596" s="9" t="str">
        <f t="shared" si="152"/>
        <v>No</v>
      </c>
      <c r="K596" s="5" t="str">
        <f>IF(COUNTIF(Bank_Holidays!A:A,A596)&gt;0,"Yes","No")</f>
        <v>No</v>
      </c>
      <c r="L596" t="str">
        <f t="shared" si="153"/>
        <v>Yes</v>
      </c>
      <c r="M596">
        <f t="shared" si="154"/>
        <v>11</v>
      </c>
      <c r="N596" s="5" t="str">
        <f t="shared" si="155"/>
        <v>No</v>
      </c>
      <c r="O596" t="str">
        <f>IF(A596=WORKDAY(EOMONTH(A596,0)+1,-1,Bank_Holidays!$A$2:$A$25),"Yes","No")</f>
        <v>No</v>
      </c>
      <c r="P596" t="str">
        <f t="shared" si="156"/>
        <v>No</v>
      </c>
      <c r="Q596" t="str">
        <f t="shared" si="157"/>
        <v>No</v>
      </c>
      <c r="R596" s="5">
        <f t="shared" si="159"/>
        <v>3</v>
      </c>
    </row>
    <row r="597" spans="1:18">
      <c r="A597" s="25">
        <f t="shared" si="158"/>
        <v>46830</v>
      </c>
      <c r="B597">
        <f t="shared" si="144"/>
        <v>2028</v>
      </c>
      <c r="C597" s="9">
        <f t="shared" si="145"/>
        <v>3</v>
      </c>
      <c r="D597" s="9" t="str">
        <f t="shared" si="146"/>
        <v>March</v>
      </c>
      <c r="E597" s="9" t="str">
        <f t="shared" si="147"/>
        <v>Mar-28</v>
      </c>
      <c r="F597" s="9" t="str">
        <f t="shared" si="148"/>
        <v>Q1</v>
      </c>
      <c r="G597" s="9">
        <f t="shared" si="149"/>
        <v>18</v>
      </c>
      <c r="H597" s="9">
        <f t="shared" si="150"/>
        <v>6</v>
      </c>
      <c r="I597" s="9" t="str">
        <f t="shared" si="151"/>
        <v>Saturday</v>
      </c>
      <c r="J597" s="9" t="str">
        <f t="shared" si="152"/>
        <v>Yes</v>
      </c>
      <c r="K597" s="5" t="str">
        <f>IF(COUNTIF(Bank_Holidays!A:A,A597)&gt;0,"Yes","No")</f>
        <v>No</v>
      </c>
      <c r="L597" t="str">
        <f t="shared" si="153"/>
        <v>No</v>
      </c>
      <c r="M597">
        <f t="shared" si="154"/>
        <v>11</v>
      </c>
      <c r="N597" s="5" t="str">
        <f t="shared" si="155"/>
        <v>No</v>
      </c>
      <c r="O597" t="str">
        <f>IF(A597=WORKDAY(EOMONTH(A597,0)+1,-1,Bank_Holidays!$A$2:$A$25),"Yes","No")</f>
        <v>No</v>
      </c>
      <c r="P597" t="str">
        <f t="shared" si="156"/>
        <v>No</v>
      </c>
      <c r="Q597" t="str">
        <f t="shared" si="157"/>
        <v>No</v>
      </c>
      <c r="R597" s="5">
        <f t="shared" si="159"/>
        <v>0</v>
      </c>
    </row>
    <row r="598" spans="1:18">
      <c r="A598" s="25">
        <f t="shared" si="158"/>
        <v>46831</v>
      </c>
      <c r="B598">
        <f t="shared" si="144"/>
        <v>2028</v>
      </c>
      <c r="C598" s="9">
        <f t="shared" si="145"/>
        <v>3</v>
      </c>
      <c r="D598" s="9" t="str">
        <f t="shared" si="146"/>
        <v>March</v>
      </c>
      <c r="E598" s="9" t="str">
        <f t="shared" si="147"/>
        <v>Mar-28</v>
      </c>
      <c r="F598" s="9" t="str">
        <f t="shared" si="148"/>
        <v>Q1</v>
      </c>
      <c r="G598" s="9">
        <f t="shared" si="149"/>
        <v>19</v>
      </c>
      <c r="H598" s="9">
        <f t="shared" si="150"/>
        <v>7</v>
      </c>
      <c r="I598" s="9" t="str">
        <f t="shared" si="151"/>
        <v>Sunday</v>
      </c>
      <c r="J598" s="9" t="str">
        <f t="shared" si="152"/>
        <v>Yes</v>
      </c>
      <c r="K598" s="5" t="str">
        <f>IF(COUNTIF(Bank_Holidays!A:A,A598)&gt;0,"Yes","No")</f>
        <v>No</v>
      </c>
      <c r="L598" t="str">
        <f t="shared" si="153"/>
        <v>No</v>
      </c>
      <c r="M598">
        <f t="shared" si="154"/>
        <v>11</v>
      </c>
      <c r="N598" s="5" t="str">
        <f t="shared" si="155"/>
        <v>No</v>
      </c>
      <c r="O598" t="str">
        <f>IF(A598=WORKDAY(EOMONTH(A598,0)+1,-1,Bank_Holidays!$A$2:$A$25),"Yes","No")</f>
        <v>No</v>
      </c>
      <c r="P598" t="str">
        <f t="shared" si="156"/>
        <v>No</v>
      </c>
      <c r="Q598" t="str">
        <f t="shared" si="157"/>
        <v>No</v>
      </c>
      <c r="R598" s="5">
        <f t="shared" si="159"/>
        <v>0</v>
      </c>
    </row>
    <row r="599" spans="1:18">
      <c r="A599" s="25">
        <f t="shared" si="158"/>
        <v>46832</v>
      </c>
      <c r="B599">
        <f t="shared" si="144"/>
        <v>2028</v>
      </c>
      <c r="C599" s="9">
        <f t="shared" si="145"/>
        <v>3</v>
      </c>
      <c r="D599" s="9" t="str">
        <f t="shared" si="146"/>
        <v>March</v>
      </c>
      <c r="E599" s="9" t="str">
        <f t="shared" si="147"/>
        <v>Mar-28</v>
      </c>
      <c r="F599" s="9" t="str">
        <f t="shared" si="148"/>
        <v>Q1</v>
      </c>
      <c r="G599" s="9">
        <f t="shared" si="149"/>
        <v>20</v>
      </c>
      <c r="H599" s="9">
        <f t="shared" si="150"/>
        <v>1</v>
      </c>
      <c r="I599" s="9" t="str">
        <f t="shared" si="151"/>
        <v>Monday</v>
      </c>
      <c r="J599" s="9" t="str">
        <f t="shared" si="152"/>
        <v>No</v>
      </c>
      <c r="K599" s="5" t="str">
        <f>IF(COUNTIF(Bank_Holidays!A:A,A599)&gt;0,"Yes","No")</f>
        <v>No</v>
      </c>
      <c r="L599" t="str">
        <f t="shared" si="153"/>
        <v>Yes</v>
      </c>
      <c r="M599">
        <f t="shared" si="154"/>
        <v>12</v>
      </c>
      <c r="N599" s="5" t="str">
        <f t="shared" si="155"/>
        <v>No</v>
      </c>
      <c r="O599" t="str">
        <f>IF(A599=WORKDAY(EOMONTH(A599,0)+1,-1,Bank_Holidays!$A$2:$A$25),"Yes","No")</f>
        <v>No</v>
      </c>
      <c r="P599" t="str">
        <f t="shared" si="156"/>
        <v>No</v>
      </c>
      <c r="Q599" t="str">
        <f t="shared" si="157"/>
        <v>No</v>
      </c>
      <c r="R599" s="5">
        <f t="shared" si="159"/>
        <v>1</v>
      </c>
    </row>
    <row r="600" spans="1:18">
      <c r="A600" s="25">
        <f t="shared" si="158"/>
        <v>46833</v>
      </c>
      <c r="B600">
        <f t="shared" si="144"/>
        <v>2028</v>
      </c>
      <c r="C600" s="9">
        <f t="shared" si="145"/>
        <v>3</v>
      </c>
      <c r="D600" s="9" t="str">
        <f t="shared" si="146"/>
        <v>March</v>
      </c>
      <c r="E600" s="9" t="str">
        <f t="shared" si="147"/>
        <v>Mar-28</v>
      </c>
      <c r="F600" s="9" t="str">
        <f t="shared" si="148"/>
        <v>Q1</v>
      </c>
      <c r="G600" s="9">
        <f t="shared" si="149"/>
        <v>21</v>
      </c>
      <c r="H600" s="9">
        <f t="shared" si="150"/>
        <v>2</v>
      </c>
      <c r="I600" s="9" t="str">
        <f t="shared" si="151"/>
        <v>Tuesday</v>
      </c>
      <c r="J600" s="9" t="str">
        <f t="shared" si="152"/>
        <v>No</v>
      </c>
      <c r="K600" s="5" t="str">
        <f>IF(COUNTIF(Bank_Holidays!A:A,A600)&gt;0,"Yes","No")</f>
        <v>No</v>
      </c>
      <c r="L600" t="str">
        <f t="shared" si="153"/>
        <v>Yes</v>
      </c>
      <c r="M600">
        <f t="shared" si="154"/>
        <v>12</v>
      </c>
      <c r="N600" s="5" t="str">
        <f t="shared" si="155"/>
        <v>No</v>
      </c>
      <c r="O600" t="str">
        <f>IF(A600=WORKDAY(EOMONTH(A600,0)+1,-1,Bank_Holidays!$A$2:$A$25),"Yes","No")</f>
        <v>No</v>
      </c>
      <c r="P600" t="str">
        <f t="shared" si="156"/>
        <v>No</v>
      </c>
      <c r="Q600" t="str">
        <f t="shared" si="157"/>
        <v>No</v>
      </c>
      <c r="R600" s="5">
        <f t="shared" si="159"/>
        <v>1</v>
      </c>
    </row>
    <row r="601" spans="1:18">
      <c r="A601" s="25">
        <f t="shared" si="158"/>
        <v>46834</v>
      </c>
      <c r="B601">
        <f t="shared" si="144"/>
        <v>2028</v>
      </c>
      <c r="C601" s="9">
        <f t="shared" si="145"/>
        <v>3</v>
      </c>
      <c r="D601" s="9" t="str">
        <f t="shared" si="146"/>
        <v>March</v>
      </c>
      <c r="E601" s="9" t="str">
        <f t="shared" si="147"/>
        <v>Mar-28</v>
      </c>
      <c r="F601" s="9" t="str">
        <f t="shared" si="148"/>
        <v>Q1</v>
      </c>
      <c r="G601" s="9">
        <f t="shared" si="149"/>
        <v>22</v>
      </c>
      <c r="H601" s="9">
        <f t="shared" si="150"/>
        <v>3</v>
      </c>
      <c r="I601" s="9" t="str">
        <f t="shared" si="151"/>
        <v>Wednesday</v>
      </c>
      <c r="J601" s="9" t="str">
        <f t="shared" si="152"/>
        <v>No</v>
      </c>
      <c r="K601" s="5" t="str">
        <f>IF(COUNTIF(Bank_Holidays!A:A,A601)&gt;0,"Yes","No")</f>
        <v>No</v>
      </c>
      <c r="L601" t="str">
        <f t="shared" si="153"/>
        <v>Yes</v>
      </c>
      <c r="M601">
        <f t="shared" si="154"/>
        <v>12</v>
      </c>
      <c r="N601" s="5" t="str">
        <f t="shared" si="155"/>
        <v>No</v>
      </c>
      <c r="O601" t="str">
        <f>IF(A601=WORKDAY(EOMONTH(A601,0)+1,-1,Bank_Holidays!$A$2:$A$25),"Yes","No")</f>
        <v>No</v>
      </c>
      <c r="P601" t="str">
        <f t="shared" si="156"/>
        <v>No</v>
      </c>
      <c r="Q601" t="str">
        <f t="shared" si="157"/>
        <v>No</v>
      </c>
      <c r="R601" s="5">
        <f t="shared" si="159"/>
        <v>1</v>
      </c>
    </row>
    <row r="602" spans="1:18">
      <c r="A602" s="25">
        <f t="shared" si="158"/>
        <v>46835</v>
      </c>
      <c r="B602">
        <f t="shared" si="144"/>
        <v>2028</v>
      </c>
      <c r="C602" s="9">
        <f t="shared" si="145"/>
        <v>3</v>
      </c>
      <c r="D602" s="9" t="str">
        <f t="shared" si="146"/>
        <v>March</v>
      </c>
      <c r="E602" s="9" t="str">
        <f t="shared" si="147"/>
        <v>Mar-28</v>
      </c>
      <c r="F602" s="9" t="str">
        <f t="shared" si="148"/>
        <v>Q1</v>
      </c>
      <c r="G602" s="9">
        <f t="shared" si="149"/>
        <v>23</v>
      </c>
      <c r="H602" s="9">
        <f t="shared" si="150"/>
        <v>4</v>
      </c>
      <c r="I602" s="9" t="str">
        <f t="shared" si="151"/>
        <v>Thursday</v>
      </c>
      <c r="J602" s="9" t="str">
        <f t="shared" si="152"/>
        <v>No</v>
      </c>
      <c r="K602" s="5" t="str">
        <f>IF(COUNTIF(Bank_Holidays!A:A,A602)&gt;0,"Yes","No")</f>
        <v>No</v>
      </c>
      <c r="L602" t="str">
        <f t="shared" si="153"/>
        <v>Yes</v>
      </c>
      <c r="M602">
        <f t="shared" si="154"/>
        <v>12</v>
      </c>
      <c r="N602" s="5" t="str">
        <f t="shared" si="155"/>
        <v>No</v>
      </c>
      <c r="O602" t="str">
        <f>IF(A602=WORKDAY(EOMONTH(A602,0)+1,-1,Bank_Holidays!$A$2:$A$25),"Yes","No")</f>
        <v>No</v>
      </c>
      <c r="P602" t="str">
        <f t="shared" si="156"/>
        <v>No</v>
      </c>
      <c r="Q602" t="str">
        <f t="shared" si="157"/>
        <v>No</v>
      </c>
      <c r="R602" s="5">
        <f t="shared" si="159"/>
        <v>1</v>
      </c>
    </row>
    <row r="603" spans="1:18">
      <c r="A603" s="25">
        <f t="shared" si="158"/>
        <v>46836</v>
      </c>
      <c r="B603">
        <f t="shared" si="144"/>
        <v>2028</v>
      </c>
      <c r="C603" s="9">
        <f t="shared" si="145"/>
        <v>3</v>
      </c>
      <c r="D603" s="9" t="str">
        <f t="shared" si="146"/>
        <v>March</v>
      </c>
      <c r="E603" s="9" t="str">
        <f t="shared" si="147"/>
        <v>Mar-28</v>
      </c>
      <c r="F603" s="9" t="str">
        <f t="shared" si="148"/>
        <v>Q1</v>
      </c>
      <c r="G603" s="9">
        <f t="shared" si="149"/>
        <v>24</v>
      </c>
      <c r="H603" s="9">
        <f t="shared" si="150"/>
        <v>5</v>
      </c>
      <c r="I603" s="9" t="str">
        <f t="shared" si="151"/>
        <v>Friday</v>
      </c>
      <c r="J603" s="9" t="str">
        <f t="shared" si="152"/>
        <v>No</v>
      </c>
      <c r="K603" s="5" t="str">
        <f>IF(COUNTIF(Bank_Holidays!A:A,A603)&gt;0,"Yes","No")</f>
        <v>No</v>
      </c>
      <c r="L603" t="str">
        <f t="shared" si="153"/>
        <v>Yes</v>
      </c>
      <c r="M603">
        <f t="shared" si="154"/>
        <v>12</v>
      </c>
      <c r="N603" s="5" t="str">
        <f t="shared" si="155"/>
        <v>No</v>
      </c>
      <c r="O603" t="str">
        <f>IF(A603=WORKDAY(EOMONTH(A603,0)+1,-1,Bank_Holidays!$A$2:$A$25),"Yes","No")</f>
        <v>No</v>
      </c>
      <c r="P603" t="str">
        <f t="shared" si="156"/>
        <v>No</v>
      </c>
      <c r="Q603" t="str">
        <f t="shared" si="157"/>
        <v>No</v>
      </c>
      <c r="R603" s="5">
        <f t="shared" si="159"/>
        <v>3</v>
      </c>
    </row>
    <row r="604" spans="1:18">
      <c r="A604" s="25">
        <f t="shared" si="158"/>
        <v>46837</v>
      </c>
      <c r="B604">
        <f t="shared" si="144"/>
        <v>2028</v>
      </c>
      <c r="C604" s="9">
        <f t="shared" si="145"/>
        <v>3</v>
      </c>
      <c r="D604" s="9" t="str">
        <f t="shared" si="146"/>
        <v>March</v>
      </c>
      <c r="E604" s="9" t="str">
        <f t="shared" si="147"/>
        <v>Mar-28</v>
      </c>
      <c r="F604" s="9" t="str">
        <f t="shared" si="148"/>
        <v>Q1</v>
      </c>
      <c r="G604" s="9">
        <f t="shared" si="149"/>
        <v>25</v>
      </c>
      <c r="H604" s="9">
        <f t="shared" si="150"/>
        <v>6</v>
      </c>
      <c r="I604" s="9" t="str">
        <f t="shared" si="151"/>
        <v>Saturday</v>
      </c>
      <c r="J604" s="9" t="str">
        <f t="shared" si="152"/>
        <v>Yes</v>
      </c>
      <c r="K604" s="5" t="str">
        <f>IF(COUNTIF(Bank_Holidays!A:A,A604)&gt;0,"Yes","No")</f>
        <v>No</v>
      </c>
      <c r="L604" t="str">
        <f t="shared" si="153"/>
        <v>No</v>
      </c>
      <c r="M604">
        <f t="shared" si="154"/>
        <v>12</v>
      </c>
      <c r="N604" s="5" t="str">
        <f t="shared" si="155"/>
        <v>No</v>
      </c>
      <c r="O604" t="str">
        <f>IF(A604=WORKDAY(EOMONTH(A604,0)+1,-1,Bank_Holidays!$A$2:$A$25),"Yes","No")</f>
        <v>No</v>
      </c>
      <c r="P604" t="str">
        <f t="shared" si="156"/>
        <v>No</v>
      </c>
      <c r="Q604" t="str">
        <f t="shared" si="157"/>
        <v>No</v>
      </c>
      <c r="R604" s="5">
        <f t="shared" si="159"/>
        <v>0</v>
      </c>
    </row>
    <row r="605" spans="1:18">
      <c r="A605" s="25">
        <f t="shared" si="158"/>
        <v>46838</v>
      </c>
      <c r="B605">
        <f t="shared" si="144"/>
        <v>2028</v>
      </c>
      <c r="C605" s="9">
        <f t="shared" si="145"/>
        <v>3</v>
      </c>
      <c r="D605" s="9" t="str">
        <f t="shared" si="146"/>
        <v>March</v>
      </c>
      <c r="E605" s="9" t="str">
        <f t="shared" si="147"/>
        <v>Mar-28</v>
      </c>
      <c r="F605" s="9" t="str">
        <f t="shared" si="148"/>
        <v>Q1</v>
      </c>
      <c r="G605" s="9">
        <f t="shared" si="149"/>
        <v>26</v>
      </c>
      <c r="H605" s="9">
        <f t="shared" si="150"/>
        <v>7</v>
      </c>
      <c r="I605" s="9" t="str">
        <f t="shared" si="151"/>
        <v>Sunday</v>
      </c>
      <c r="J605" s="9" t="str">
        <f t="shared" si="152"/>
        <v>Yes</v>
      </c>
      <c r="K605" s="5" t="str">
        <f>IF(COUNTIF(Bank_Holidays!A:A,A605)&gt;0,"Yes","No")</f>
        <v>No</v>
      </c>
      <c r="L605" t="str">
        <f t="shared" si="153"/>
        <v>No</v>
      </c>
      <c r="M605">
        <f t="shared" si="154"/>
        <v>12</v>
      </c>
      <c r="N605" s="5" t="str">
        <f t="shared" si="155"/>
        <v>No</v>
      </c>
      <c r="O605" t="str">
        <f>IF(A605=WORKDAY(EOMONTH(A605,0)+1,-1,Bank_Holidays!$A$2:$A$25),"Yes","No")</f>
        <v>No</v>
      </c>
      <c r="P605" t="str">
        <f t="shared" si="156"/>
        <v>No</v>
      </c>
      <c r="Q605" t="str">
        <f t="shared" si="157"/>
        <v>No</v>
      </c>
      <c r="R605" s="5">
        <f t="shared" si="159"/>
        <v>0</v>
      </c>
    </row>
    <row r="606" spans="1:18">
      <c r="A606" s="25">
        <f t="shared" si="158"/>
        <v>46839</v>
      </c>
      <c r="B606">
        <f t="shared" si="144"/>
        <v>2028</v>
      </c>
      <c r="C606" s="9">
        <f t="shared" si="145"/>
        <v>3</v>
      </c>
      <c r="D606" s="9" t="str">
        <f t="shared" si="146"/>
        <v>March</v>
      </c>
      <c r="E606" s="9" t="str">
        <f t="shared" si="147"/>
        <v>Mar-28</v>
      </c>
      <c r="F606" s="9" t="str">
        <f t="shared" si="148"/>
        <v>Q1</v>
      </c>
      <c r="G606" s="9">
        <f t="shared" si="149"/>
        <v>27</v>
      </c>
      <c r="H606" s="9">
        <f t="shared" si="150"/>
        <v>1</v>
      </c>
      <c r="I606" s="9" t="str">
        <f t="shared" si="151"/>
        <v>Monday</v>
      </c>
      <c r="J606" s="9" t="str">
        <f t="shared" si="152"/>
        <v>No</v>
      </c>
      <c r="K606" s="5" t="str">
        <f>IF(COUNTIF(Bank_Holidays!A:A,A606)&gt;0,"Yes","No")</f>
        <v>No</v>
      </c>
      <c r="L606" t="str">
        <f t="shared" si="153"/>
        <v>Yes</v>
      </c>
      <c r="M606">
        <f t="shared" si="154"/>
        <v>13</v>
      </c>
      <c r="N606" s="5" t="str">
        <f t="shared" si="155"/>
        <v>No</v>
      </c>
      <c r="O606" t="str">
        <f>IF(A606=WORKDAY(EOMONTH(A606,0)+1,-1,Bank_Holidays!$A$2:$A$25),"Yes","No")</f>
        <v>No</v>
      </c>
      <c r="P606" t="str">
        <f t="shared" si="156"/>
        <v>No</v>
      </c>
      <c r="Q606" t="str">
        <f t="shared" si="157"/>
        <v>No</v>
      </c>
      <c r="R606" s="5">
        <f t="shared" si="159"/>
        <v>1</v>
      </c>
    </row>
    <row r="607" spans="1:18">
      <c r="A607" s="25">
        <f t="shared" si="158"/>
        <v>46840</v>
      </c>
      <c r="B607">
        <f t="shared" si="144"/>
        <v>2028</v>
      </c>
      <c r="C607" s="9">
        <f t="shared" si="145"/>
        <v>3</v>
      </c>
      <c r="D607" s="9" t="str">
        <f t="shared" si="146"/>
        <v>March</v>
      </c>
      <c r="E607" s="9" t="str">
        <f t="shared" si="147"/>
        <v>Mar-28</v>
      </c>
      <c r="F607" s="9" t="str">
        <f t="shared" si="148"/>
        <v>Q1</v>
      </c>
      <c r="G607" s="9">
        <f t="shared" si="149"/>
        <v>28</v>
      </c>
      <c r="H607" s="9">
        <f t="shared" si="150"/>
        <v>2</v>
      </c>
      <c r="I607" s="9" t="str">
        <f t="shared" si="151"/>
        <v>Tuesday</v>
      </c>
      <c r="J607" s="9" t="str">
        <f t="shared" si="152"/>
        <v>No</v>
      </c>
      <c r="K607" s="5" t="str">
        <f>IF(COUNTIF(Bank_Holidays!A:A,A607)&gt;0,"Yes","No")</f>
        <v>No</v>
      </c>
      <c r="L607" t="str">
        <f t="shared" si="153"/>
        <v>Yes</v>
      </c>
      <c r="M607">
        <f t="shared" si="154"/>
        <v>13</v>
      </c>
      <c r="N607" s="5" t="str">
        <f t="shared" si="155"/>
        <v>No</v>
      </c>
      <c r="O607" t="str">
        <f>IF(A607=WORKDAY(EOMONTH(A607,0)+1,-1,Bank_Holidays!$A$2:$A$25),"Yes","No")</f>
        <v>No</v>
      </c>
      <c r="P607" t="str">
        <f t="shared" si="156"/>
        <v>No</v>
      </c>
      <c r="Q607" t="str">
        <f t="shared" si="157"/>
        <v>No</v>
      </c>
      <c r="R607" s="5">
        <f t="shared" si="159"/>
        <v>1</v>
      </c>
    </row>
    <row r="608" spans="1:18">
      <c r="A608" s="25">
        <f t="shared" si="158"/>
        <v>46841</v>
      </c>
      <c r="B608">
        <f t="shared" si="144"/>
        <v>2028</v>
      </c>
      <c r="C608" s="9">
        <f t="shared" si="145"/>
        <v>3</v>
      </c>
      <c r="D608" s="9" t="str">
        <f t="shared" si="146"/>
        <v>March</v>
      </c>
      <c r="E608" s="9" t="str">
        <f t="shared" si="147"/>
        <v>Mar-28</v>
      </c>
      <c r="F608" s="9" t="str">
        <f t="shared" si="148"/>
        <v>Q1</v>
      </c>
      <c r="G608" s="9">
        <f t="shared" si="149"/>
        <v>29</v>
      </c>
      <c r="H608" s="9">
        <f t="shared" si="150"/>
        <v>3</v>
      </c>
      <c r="I608" s="9" t="str">
        <f t="shared" si="151"/>
        <v>Wednesday</v>
      </c>
      <c r="J608" s="9" t="str">
        <f t="shared" si="152"/>
        <v>No</v>
      </c>
      <c r="K608" s="5" t="str">
        <f>IF(COUNTIF(Bank_Holidays!A:A,A608)&gt;0,"Yes","No")</f>
        <v>No</v>
      </c>
      <c r="L608" t="str">
        <f t="shared" si="153"/>
        <v>Yes</v>
      </c>
      <c r="M608">
        <f t="shared" si="154"/>
        <v>13</v>
      </c>
      <c r="N608" s="5" t="str">
        <f t="shared" si="155"/>
        <v>No</v>
      </c>
      <c r="O608" t="str">
        <f>IF(A608=WORKDAY(EOMONTH(A608,0)+1,-1,Bank_Holidays!$A$2:$A$25),"Yes","No")</f>
        <v>No</v>
      </c>
      <c r="P608" t="str">
        <f t="shared" si="156"/>
        <v>No</v>
      </c>
      <c r="Q608" t="str">
        <f t="shared" si="157"/>
        <v>No</v>
      </c>
      <c r="R608" s="5">
        <f t="shared" si="159"/>
        <v>1</v>
      </c>
    </row>
    <row r="609" spans="1:18">
      <c r="A609" s="25">
        <f t="shared" si="158"/>
        <v>46842</v>
      </c>
      <c r="B609">
        <f t="shared" si="144"/>
        <v>2028</v>
      </c>
      <c r="C609" s="9">
        <f t="shared" si="145"/>
        <v>3</v>
      </c>
      <c r="D609" s="9" t="str">
        <f t="shared" si="146"/>
        <v>March</v>
      </c>
      <c r="E609" s="9" t="str">
        <f t="shared" si="147"/>
        <v>Mar-28</v>
      </c>
      <c r="F609" s="9" t="str">
        <f t="shared" si="148"/>
        <v>Q1</v>
      </c>
      <c r="G609" s="9">
        <f t="shared" si="149"/>
        <v>30</v>
      </c>
      <c r="H609" s="9">
        <f t="shared" si="150"/>
        <v>4</v>
      </c>
      <c r="I609" s="9" t="str">
        <f t="shared" si="151"/>
        <v>Thursday</v>
      </c>
      <c r="J609" s="9" t="str">
        <f t="shared" si="152"/>
        <v>No</v>
      </c>
      <c r="K609" s="5" t="str">
        <f>IF(COUNTIF(Bank_Holidays!A:A,A609)&gt;0,"Yes","No")</f>
        <v>No</v>
      </c>
      <c r="L609" t="str">
        <f t="shared" si="153"/>
        <v>Yes</v>
      </c>
      <c r="M609">
        <f t="shared" si="154"/>
        <v>13</v>
      </c>
      <c r="N609" s="5" t="str">
        <f t="shared" si="155"/>
        <v>No</v>
      </c>
      <c r="O609" t="str">
        <f>IF(A609=WORKDAY(EOMONTH(A609,0)+1,-1,Bank_Holidays!$A$2:$A$25),"Yes","No")</f>
        <v>No</v>
      </c>
      <c r="P609" t="str">
        <f t="shared" si="156"/>
        <v>No</v>
      </c>
      <c r="Q609" t="str">
        <f t="shared" si="157"/>
        <v>Yes</v>
      </c>
      <c r="R609" s="5">
        <f t="shared" si="159"/>
        <v>1</v>
      </c>
    </row>
    <row r="610" spans="1:18">
      <c r="A610" s="25">
        <f t="shared" si="158"/>
        <v>46843</v>
      </c>
      <c r="B610">
        <f t="shared" si="144"/>
        <v>2028</v>
      </c>
      <c r="C610" s="9">
        <f t="shared" si="145"/>
        <v>3</v>
      </c>
      <c r="D610" s="9" t="str">
        <f t="shared" si="146"/>
        <v>March</v>
      </c>
      <c r="E610" s="9" t="str">
        <f t="shared" si="147"/>
        <v>Mar-28</v>
      </c>
      <c r="F610" s="9" t="str">
        <f t="shared" si="148"/>
        <v>Q1</v>
      </c>
      <c r="G610" s="9">
        <f t="shared" si="149"/>
        <v>31</v>
      </c>
      <c r="H610" s="9">
        <f t="shared" si="150"/>
        <v>5</v>
      </c>
      <c r="I610" s="9" t="str">
        <f t="shared" si="151"/>
        <v>Friday</v>
      </c>
      <c r="J610" s="9" t="str">
        <f t="shared" si="152"/>
        <v>No</v>
      </c>
      <c r="K610" s="5" t="str">
        <f>IF(COUNTIF(Bank_Holidays!A:A,A610)&gt;0,"Yes","No")</f>
        <v>No</v>
      </c>
      <c r="L610" t="str">
        <f t="shared" si="153"/>
        <v>Yes</v>
      </c>
      <c r="M610">
        <f t="shared" si="154"/>
        <v>13</v>
      </c>
      <c r="N610" s="5" t="str">
        <f t="shared" si="155"/>
        <v>Yes</v>
      </c>
      <c r="O610" t="str">
        <f>IF(A610=WORKDAY(EOMONTH(A610,0)+1,-1,Bank_Holidays!$A$2:$A$25),"Yes","No")</f>
        <v>Yes</v>
      </c>
      <c r="P610" t="str">
        <f t="shared" si="156"/>
        <v>Yes</v>
      </c>
      <c r="Q610" t="str">
        <f t="shared" si="157"/>
        <v>No</v>
      </c>
      <c r="R610" s="5">
        <f t="shared" si="159"/>
        <v>3</v>
      </c>
    </row>
    <row r="611" spans="1:18">
      <c r="A611" s="25">
        <f t="shared" si="158"/>
        <v>46844</v>
      </c>
      <c r="B611">
        <f t="shared" si="144"/>
        <v>2028</v>
      </c>
      <c r="C611" s="9">
        <f t="shared" si="145"/>
        <v>4</v>
      </c>
      <c r="D611" s="9" t="str">
        <f t="shared" si="146"/>
        <v>April</v>
      </c>
      <c r="E611" s="9" t="str">
        <f t="shared" si="147"/>
        <v>Apr-28</v>
      </c>
      <c r="F611" s="9" t="str">
        <f t="shared" si="148"/>
        <v>Q2</v>
      </c>
      <c r="G611" s="9">
        <f t="shared" si="149"/>
        <v>1</v>
      </c>
      <c r="H611" s="9">
        <f t="shared" si="150"/>
        <v>6</v>
      </c>
      <c r="I611" s="9" t="str">
        <f t="shared" si="151"/>
        <v>Saturday</v>
      </c>
      <c r="J611" s="9" t="str">
        <f t="shared" si="152"/>
        <v>Yes</v>
      </c>
      <c r="K611" s="5" t="str">
        <f>IF(COUNTIF(Bank_Holidays!A:A,A611)&gt;0,"Yes","No")</f>
        <v>No</v>
      </c>
      <c r="L611" t="str">
        <f t="shared" si="153"/>
        <v>No</v>
      </c>
      <c r="M611">
        <f t="shared" si="154"/>
        <v>13</v>
      </c>
      <c r="N611" s="5" t="str">
        <f t="shared" si="155"/>
        <v>No</v>
      </c>
      <c r="O611" t="str">
        <f>IF(A611=WORKDAY(EOMONTH(A611,0)+1,-1,Bank_Holidays!$A$2:$A$25),"Yes","No")</f>
        <v>No</v>
      </c>
      <c r="P611" t="str">
        <f t="shared" si="156"/>
        <v>No</v>
      </c>
      <c r="Q611" t="str">
        <f t="shared" si="157"/>
        <v>No</v>
      </c>
      <c r="R611" s="5">
        <f t="shared" si="159"/>
        <v>0</v>
      </c>
    </row>
    <row r="612" spans="1:18">
      <c r="A612" s="25">
        <f t="shared" si="158"/>
        <v>46845</v>
      </c>
      <c r="B612">
        <f t="shared" si="144"/>
        <v>2028</v>
      </c>
      <c r="C612" s="9">
        <f t="shared" si="145"/>
        <v>4</v>
      </c>
      <c r="D612" s="9" t="str">
        <f t="shared" si="146"/>
        <v>April</v>
      </c>
      <c r="E612" s="9" t="str">
        <f t="shared" si="147"/>
        <v>Apr-28</v>
      </c>
      <c r="F612" s="9" t="str">
        <f t="shared" si="148"/>
        <v>Q2</v>
      </c>
      <c r="G612" s="9">
        <f t="shared" si="149"/>
        <v>2</v>
      </c>
      <c r="H612" s="9">
        <f t="shared" si="150"/>
        <v>7</v>
      </c>
      <c r="I612" s="9" t="str">
        <f t="shared" si="151"/>
        <v>Sunday</v>
      </c>
      <c r="J612" s="9" t="str">
        <f t="shared" si="152"/>
        <v>Yes</v>
      </c>
      <c r="K612" s="5" t="str">
        <f>IF(COUNTIF(Bank_Holidays!A:A,A612)&gt;0,"Yes","No")</f>
        <v>No</v>
      </c>
      <c r="L612" t="str">
        <f t="shared" si="153"/>
        <v>No</v>
      </c>
      <c r="M612">
        <f t="shared" si="154"/>
        <v>13</v>
      </c>
      <c r="N612" s="5" t="str">
        <f t="shared" si="155"/>
        <v>No</v>
      </c>
      <c r="O612" t="str">
        <f>IF(A612=WORKDAY(EOMONTH(A612,0)+1,-1,Bank_Holidays!$A$2:$A$25),"Yes","No")</f>
        <v>No</v>
      </c>
      <c r="P612" t="str">
        <f t="shared" si="156"/>
        <v>No</v>
      </c>
      <c r="Q612" t="str">
        <f t="shared" si="157"/>
        <v>No</v>
      </c>
      <c r="R612" s="5">
        <f t="shared" si="159"/>
        <v>0</v>
      </c>
    </row>
    <row r="613" spans="1:18">
      <c r="A613" s="25">
        <f t="shared" si="158"/>
        <v>46846</v>
      </c>
      <c r="B613">
        <f t="shared" si="144"/>
        <v>2028</v>
      </c>
      <c r="C613" s="9">
        <f t="shared" si="145"/>
        <v>4</v>
      </c>
      <c r="D613" s="9" t="str">
        <f t="shared" si="146"/>
        <v>April</v>
      </c>
      <c r="E613" s="9" t="str">
        <f t="shared" si="147"/>
        <v>Apr-28</v>
      </c>
      <c r="F613" s="9" t="str">
        <f t="shared" si="148"/>
        <v>Q2</v>
      </c>
      <c r="G613" s="9">
        <f t="shared" si="149"/>
        <v>3</v>
      </c>
      <c r="H613" s="9">
        <f t="shared" si="150"/>
        <v>1</v>
      </c>
      <c r="I613" s="9" t="str">
        <f t="shared" si="151"/>
        <v>Monday</v>
      </c>
      <c r="J613" s="9" t="str">
        <f t="shared" si="152"/>
        <v>No</v>
      </c>
      <c r="K613" s="5" t="str">
        <f>IF(COUNTIF(Bank_Holidays!A:A,A613)&gt;0,"Yes","No")</f>
        <v>No</v>
      </c>
      <c r="L613" t="str">
        <f t="shared" si="153"/>
        <v>Yes</v>
      </c>
      <c r="M613">
        <f t="shared" si="154"/>
        <v>14</v>
      </c>
      <c r="N613" s="5" t="str">
        <f t="shared" si="155"/>
        <v>No</v>
      </c>
      <c r="O613" t="str">
        <f>IF(A613=WORKDAY(EOMONTH(A613,0)+1,-1,Bank_Holidays!$A$2:$A$25),"Yes","No")</f>
        <v>No</v>
      </c>
      <c r="P613" t="str">
        <f t="shared" si="156"/>
        <v>No</v>
      </c>
      <c r="Q613" t="str">
        <f t="shared" si="157"/>
        <v>No</v>
      </c>
      <c r="R613" s="5">
        <f t="shared" si="159"/>
        <v>1</v>
      </c>
    </row>
    <row r="614" spans="1:18">
      <c r="A614" s="25">
        <f t="shared" si="158"/>
        <v>46847</v>
      </c>
      <c r="B614">
        <f t="shared" si="144"/>
        <v>2028</v>
      </c>
      <c r="C614" s="9">
        <f t="shared" si="145"/>
        <v>4</v>
      </c>
      <c r="D614" s="9" t="str">
        <f t="shared" si="146"/>
        <v>April</v>
      </c>
      <c r="E614" s="9" t="str">
        <f t="shared" si="147"/>
        <v>Apr-28</v>
      </c>
      <c r="F614" s="9" t="str">
        <f t="shared" si="148"/>
        <v>Q2</v>
      </c>
      <c r="G614" s="9">
        <f t="shared" si="149"/>
        <v>4</v>
      </c>
      <c r="H614" s="9">
        <f t="shared" si="150"/>
        <v>2</v>
      </c>
      <c r="I614" s="9" t="str">
        <f t="shared" si="151"/>
        <v>Tuesday</v>
      </c>
      <c r="J614" s="9" t="str">
        <f t="shared" si="152"/>
        <v>No</v>
      </c>
      <c r="K614" s="5" t="str">
        <f>IF(COUNTIF(Bank_Holidays!A:A,A614)&gt;0,"Yes","No")</f>
        <v>No</v>
      </c>
      <c r="L614" t="str">
        <f t="shared" si="153"/>
        <v>Yes</v>
      </c>
      <c r="M614">
        <f t="shared" si="154"/>
        <v>14</v>
      </c>
      <c r="N614" s="5" t="str">
        <f t="shared" si="155"/>
        <v>No</v>
      </c>
      <c r="O614" t="str">
        <f>IF(A614=WORKDAY(EOMONTH(A614,0)+1,-1,Bank_Holidays!$A$2:$A$25),"Yes","No")</f>
        <v>No</v>
      </c>
      <c r="P614" t="str">
        <f t="shared" si="156"/>
        <v>No</v>
      </c>
      <c r="Q614" t="str">
        <f t="shared" si="157"/>
        <v>No</v>
      </c>
      <c r="R614" s="5">
        <f t="shared" si="159"/>
        <v>1</v>
      </c>
    </row>
    <row r="615" spans="1:18">
      <c r="A615" s="25">
        <f t="shared" si="158"/>
        <v>46848</v>
      </c>
      <c r="B615">
        <f t="shared" si="144"/>
        <v>2028</v>
      </c>
      <c r="C615" s="9">
        <f t="shared" si="145"/>
        <v>4</v>
      </c>
      <c r="D615" s="9" t="str">
        <f t="shared" si="146"/>
        <v>April</v>
      </c>
      <c r="E615" s="9" t="str">
        <f t="shared" si="147"/>
        <v>Apr-28</v>
      </c>
      <c r="F615" s="9" t="str">
        <f t="shared" si="148"/>
        <v>Q2</v>
      </c>
      <c r="G615" s="9">
        <f t="shared" si="149"/>
        <v>5</v>
      </c>
      <c r="H615" s="9">
        <f t="shared" si="150"/>
        <v>3</v>
      </c>
      <c r="I615" s="9" t="str">
        <f t="shared" si="151"/>
        <v>Wednesday</v>
      </c>
      <c r="J615" s="9" t="str">
        <f t="shared" si="152"/>
        <v>No</v>
      </c>
      <c r="K615" s="5" t="str">
        <f>IF(COUNTIF(Bank_Holidays!A:A,A615)&gt;0,"Yes","No")</f>
        <v>No</v>
      </c>
      <c r="L615" t="str">
        <f t="shared" si="153"/>
        <v>Yes</v>
      </c>
      <c r="M615">
        <f t="shared" si="154"/>
        <v>14</v>
      </c>
      <c r="N615" s="5" t="str">
        <f t="shared" si="155"/>
        <v>No</v>
      </c>
      <c r="O615" t="str">
        <f>IF(A615=WORKDAY(EOMONTH(A615,0)+1,-1,Bank_Holidays!$A$2:$A$25),"Yes","No")</f>
        <v>No</v>
      </c>
      <c r="P615" t="str">
        <f t="shared" si="156"/>
        <v>No</v>
      </c>
      <c r="Q615" t="str">
        <f t="shared" si="157"/>
        <v>No</v>
      </c>
      <c r="R615" s="5">
        <f t="shared" si="159"/>
        <v>1</v>
      </c>
    </row>
    <row r="616" spans="1:18">
      <c r="A616" s="25">
        <f t="shared" si="158"/>
        <v>46849</v>
      </c>
      <c r="B616">
        <f t="shared" si="144"/>
        <v>2028</v>
      </c>
      <c r="C616" s="9">
        <f t="shared" si="145"/>
        <v>4</v>
      </c>
      <c r="D616" s="9" t="str">
        <f t="shared" si="146"/>
        <v>April</v>
      </c>
      <c r="E616" s="9" t="str">
        <f t="shared" si="147"/>
        <v>Apr-28</v>
      </c>
      <c r="F616" s="9" t="str">
        <f t="shared" si="148"/>
        <v>Q2</v>
      </c>
      <c r="G616" s="9">
        <f t="shared" si="149"/>
        <v>6</v>
      </c>
      <c r="H616" s="9">
        <f t="shared" si="150"/>
        <v>4</v>
      </c>
      <c r="I616" s="9" t="str">
        <f t="shared" si="151"/>
        <v>Thursday</v>
      </c>
      <c r="J616" s="9" t="str">
        <f t="shared" si="152"/>
        <v>No</v>
      </c>
      <c r="K616" s="5" t="str">
        <f>IF(COUNTIF(Bank_Holidays!A:A,A616)&gt;0,"Yes","No")</f>
        <v>No</v>
      </c>
      <c r="L616" t="str">
        <f t="shared" si="153"/>
        <v>Yes</v>
      </c>
      <c r="M616">
        <f t="shared" si="154"/>
        <v>14</v>
      </c>
      <c r="N616" s="5" t="str">
        <f t="shared" si="155"/>
        <v>No</v>
      </c>
      <c r="O616" t="str">
        <f>IF(A616=WORKDAY(EOMONTH(A616,0)+1,-1,Bank_Holidays!$A$2:$A$25),"Yes","No")</f>
        <v>No</v>
      </c>
      <c r="P616" t="str">
        <f t="shared" si="156"/>
        <v>No</v>
      </c>
      <c r="Q616" t="str">
        <f t="shared" si="157"/>
        <v>No</v>
      </c>
      <c r="R616" s="5">
        <f t="shared" si="159"/>
        <v>1</v>
      </c>
    </row>
    <row r="617" spans="1:18">
      <c r="A617" s="25">
        <f t="shared" si="158"/>
        <v>46850</v>
      </c>
      <c r="B617">
        <f t="shared" si="144"/>
        <v>2028</v>
      </c>
      <c r="C617" s="9">
        <f t="shared" si="145"/>
        <v>4</v>
      </c>
      <c r="D617" s="9" t="str">
        <f t="shared" si="146"/>
        <v>April</v>
      </c>
      <c r="E617" s="9" t="str">
        <f t="shared" si="147"/>
        <v>Apr-28</v>
      </c>
      <c r="F617" s="9" t="str">
        <f t="shared" si="148"/>
        <v>Q2</v>
      </c>
      <c r="G617" s="9">
        <f t="shared" si="149"/>
        <v>7</v>
      </c>
      <c r="H617" s="9">
        <f t="shared" si="150"/>
        <v>5</v>
      </c>
      <c r="I617" s="9" t="str">
        <f t="shared" si="151"/>
        <v>Friday</v>
      </c>
      <c r="J617" s="9" t="str">
        <f t="shared" si="152"/>
        <v>No</v>
      </c>
      <c r="K617" s="5" t="str">
        <f>IF(COUNTIF(Bank_Holidays!A:A,A617)&gt;0,"Yes","No")</f>
        <v>No</v>
      </c>
      <c r="L617" t="str">
        <f t="shared" si="153"/>
        <v>Yes</v>
      </c>
      <c r="M617">
        <f t="shared" si="154"/>
        <v>14</v>
      </c>
      <c r="N617" s="5" t="str">
        <f t="shared" si="155"/>
        <v>No</v>
      </c>
      <c r="O617" t="str">
        <f>IF(A617=WORKDAY(EOMONTH(A617,0)+1,-1,Bank_Holidays!$A$2:$A$25),"Yes","No")</f>
        <v>No</v>
      </c>
      <c r="P617" t="str">
        <f t="shared" si="156"/>
        <v>No</v>
      </c>
      <c r="Q617" t="str">
        <f t="shared" si="157"/>
        <v>No</v>
      </c>
      <c r="R617" s="5">
        <f t="shared" si="159"/>
        <v>3</v>
      </c>
    </row>
    <row r="618" spans="1:18">
      <c r="A618" s="25">
        <f t="shared" si="158"/>
        <v>46851</v>
      </c>
      <c r="B618">
        <f t="shared" si="144"/>
        <v>2028</v>
      </c>
      <c r="C618" s="9">
        <f t="shared" si="145"/>
        <v>4</v>
      </c>
      <c r="D618" s="9" t="str">
        <f t="shared" si="146"/>
        <v>April</v>
      </c>
      <c r="E618" s="9" t="str">
        <f t="shared" si="147"/>
        <v>Apr-28</v>
      </c>
      <c r="F618" s="9" t="str">
        <f t="shared" si="148"/>
        <v>Q2</v>
      </c>
      <c r="G618" s="9">
        <f t="shared" si="149"/>
        <v>8</v>
      </c>
      <c r="H618" s="9">
        <f t="shared" si="150"/>
        <v>6</v>
      </c>
      <c r="I618" s="9" t="str">
        <f t="shared" si="151"/>
        <v>Saturday</v>
      </c>
      <c r="J618" s="9" t="str">
        <f t="shared" si="152"/>
        <v>Yes</v>
      </c>
      <c r="K618" s="5" t="str">
        <f>IF(COUNTIF(Bank_Holidays!A:A,A618)&gt;0,"Yes","No")</f>
        <v>No</v>
      </c>
      <c r="L618" t="str">
        <f t="shared" si="153"/>
        <v>No</v>
      </c>
      <c r="M618">
        <f t="shared" si="154"/>
        <v>14</v>
      </c>
      <c r="N618" s="5" t="str">
        <f t="shared" si="155"/>
        <v>No</v>
      </c>
      <c r="O618" t="str">
        <f>IF(A618=WORKDAY(EOMONTH(A618,0)+1,-1,Bank_Holidays!$A$2:$A$25),"Yes","No")</f>
        <v>No</v>
      </c>
      <c r="P618" t="str">
        <f t="shared" si="156"/>
        <v>No</v>
      </c>
      <c r="Q618" t="str">
        <f t="shared" si="157"/>
        <v>No</v>
      </c>
      <c r="R618" s="5">
        <f t="shared" si="159"/>
        <v>0</v>
      </c>
    </row>
    <row r="619" spans="1:18">
      <c r="A619" s="25">
        <f t="shared" si="158"/>
        <v>46852</v>
      </c>
      <c r="B619">
        <f t="shared" si="144"/>
        <v>2028</v>
      </c>
      <c r="C619" s="9">
        <f t="shared" si="145"/>
        <v>4</v>
      </c>
      <c r="D619" s="9" t="str">
        <f t="shared" si="146"/>
        <v>April</v>
      </c>
      <c r="E619" s="9" t="str">
        <f t="shared" si="147"/>
        <v>Apr-28</v>
      </c>
      <c r="F619" s="9" t="str">
        <f t="shared" si="148"/>
        <v>Q2</v>
      </c>
      <c r="G619" s="9">
        <f t="shared" si="149"/>
        <v>9</v>
      </c>
      <c r="H619" s="9">
        <f t="shared" si="150"/>
        <v>7</v>
      </c>
      <c r="I619" s="9" t="str">
        <f t="shared" si="151"/>
        <v>Sunday</v>
      </c>
      <c r="J619" s="9" t="str">
        <f t="shared" si="152"/>
        <v>Yes</v>
      </c>
      <c r="K619" s="5" t="str">
        <f>IF(COUNTIF(Bank_Holidays!A:A,A619)&gt;0,"Yes","No")</f>
        <v>No</v>
      </c>
      <c r="L619" t="str">
        <f t="shared" si="153"/>
        <v>No</v>
      </c>
      <c r="M619">
        <f t="shared" si="154"/>
        <v>14</v>
      </c>
      <c r="N619" s="5" t="str">
        <f t="shared" si="155"/>
        <v>No</v>
      </c>
      <c r="O619" t="str">
        <f>IF(A619=WORKDAY(EOMONTH(A619,0)+1,-1,Bank_Holidays!$A$2:$A$25),"Yes","No")</f>
        <v>No</v>
      </c>
      <c r="P619" t="str">
        <f t="shared" si="156"/>
        <v>No</v>
      </c>
      <c r="Q619" t="str">
        <f t="shared" si="157"/>
        <v>No</v>
      </c>
      <c r="R619" s="5">
        <f t="shared" si="159"/>
        <v>0</v>
      </c>
    </row>
    <row r="620" spans="1:18">
      <c r="A620" s="25">
        <f t="shared" si="158"/>
        <v>46853</v>
      </c>
      <c r="B620">
        <f t="shared" si="144"/>
        <v>2028</v>
      </c>
      <c r="C620" s="9">
        <f t="shared" si="145"/>
        <v>4</v>
      </c>
      <c r="D620" s="9" t="str">
        <f t="shared" si="146"/>
        <v>April</v>
      </c>
      <c r="E620" s="9" t="str">
        <f t="shared" si="147"/>
        <v>Apr-28</v>
      </c>
      <c r="F620" s="9" t="str">
        <f t="shared" si="148"/>
        <v>Q2</v>
      </c>
      <c r="G620" s="9">
        <f t="shared" si="149"/>
        <v>10</v>
      </c>
      <c r="H620" s="9">
        <f t="shared" si="150"/>
        <v>1</v>
      </c>
      <c r="I620" s="9" t="str">
        <f t="shared" si="151"/>
        <v>Monday</v>
      </c>
      <c r="J620" s="9" t="str">
        <f t="shared" si="152"/>
        <v>No</v>
      </c>
      <c r="K620" s="5" t="str">
        <f>IF(COUNTIF(Bank_Holidays!A:A,A620)&gt;0,"Yes","No")</f>
        <v>No</v>
      </c>
      <c r="L620" t="str">
        <f t="shared" si="153"/>
        <v>Yes</v>
      </c>
      <c r="M620">
        <f t="shared" si="154"/>
        <v>15</v>
      </c>
      <c r="N620" s="5" t="str">
        <f t="shared" si="155"/>
        <v>No</v>
      </c>
      <c r="O620" t="str">
        <f>IF(A620=WORKDAY(EOMONTH(A620,0)+1,-1,Bank_Holidays!$A$2:$A$25),"Yes","No")</f>
        <v>No</v>
      </c>
      <c r="P620" t="str">
        <f t="shared" si="156"/>
        <v>No</v>
      </c>
      <c r="Q620" t="str">
        <f t="shared" si="157"/>
        <v>No</v>
      </c>
      <c r="R620" s="5">
        <f t="shared" si="159"/>
        <v>1</v>
      </c>
    </row>
    <row r="621" spans="1:18">
      <c r="A621" s="25">
        <f t="shared" si="158"/>
        <v>46854</v>
      </c>
      <c r="B621">
        <f t="shared" si="144"/>
        <v>2028</v>
      </c>
      <c r="C621" s="9">
        <f t="shared" si="145"/>
        <v>4</v>
      </c>
      <c r="D621" s="9" t="str">
        <f t="shared" si="146"/>
        <v>April</v>
      </c>
      <c r="E621" s="9" t="str">
        <f t="shared" si="147"/>
        <v>Apr-28</v>
      </c>
      <c r="F621" s="9" t="str">
        <f t="shared" si="148"/>
        <v>Q2</v>
      </c>
      <c r="G621" s="9">
        <f t="shared" si="149"/>
        <v>11</v>
      </c>
      <c r="H621" s="9">
        <f t="shared" si="150"/>
        <v>2</v>
      </c>
      <c r="I621" s="9" t="str">
        <f t="shared" si="151"/>
        <v>Tuesday</v>
      </c>
      <c r="J621" s="9" t="str">
        <f t="shared" si="152"/>
        <v>No</v>
      </c>
      <c r="K621" s="5" t="str">
        <f>IF(COUNTIF(Bank_Holidays!A:A,A621)&gt;0,"Yes","No")</f>
        <v>No</v>
      </c>
      <c r="L621" t="str">
        <f t="shared" si="153"/>
        <v>Yes</v>
      </c>
      <c r="M621">
        <f t="shared" si="154"/>
        <v>15</v>
      </c>
      <c r="N621" s="5" t="str">
        <f t="shared" si="155"/>
        <v>No</v>
      </c>
      <c r="O621" t="str">
        <f>IF(A621=WORKDAY(EOMONTH(A621,0)+1,-1,Bank_Holidays!$A$2:$A$25),"Yes","No")</f>
        <v>No</v>
      </c>
      <c r="P621" t="str">
        <f t="shared" si="156"/>
        <v>No</v>
      </c>
      <c r="Q621" t="str">
        <f t="shared" si="157"/>
        <v>No</v>
      </c>
      <c r="R621" s="5">
        <f t="shared" si="159"/>
        <v>1</v>
      </c>
    </row>
    <row r="622" spans="1:18">
      <c r="A622" s="25">
        <f t="shared" si="158"/>
        <v>46855</v>
      </c>
      <c r="B622">
        <f t="shared" si="144"/>
        <v>2028</v>
      </c>
      <c r="C622" s="9">
        <f t="shared" si="145"/>
        <v>4</v>
      </c>
      <c r="D622" s="9" t="str">
        <f t="shared" si="146"/>
        <v>April</v>
      </c>
      <c r="E622" s="9" t="str">
        <f t="shared" si="147"/>
        <v>Apr-28</v>
      </c>
      <c r="F622" s="9" t="str">
        <f t="shared" si="148"/>
        <v>Q2</v>
      </c>
      <c r="G622" s="9">
        <f t="shared" si="149"/>
        <v>12</v>
      </c>
      <c r="H622" s="9">
        <f t="shared" si="150"/>
        <v>3</v>
      </c>
      <c r="I622" s="9" t="str">
        <f t="shared" si="151"/>
        <v>Wednesday</v>
      </c>
      <c r="J622" s="9" t="str">
        <f t="shared" si="152"/>
        <v>No</v>
      </c>
      <c r="K622" s="5" t="str">
        <f>IF(COUNTIF(Bank_Holidays!A:A,A622)&gt;0,"Yes","No")</f>
        <v>No</v>
      </c>
      <c r="L622" t="str">
        <f t="shared" si="153"/>
        <v>Yes</v>
      </c>
      <c r="M622">
        <f t="shared" si="154"/>
        <v>15</v>
      </c>
      <c r="N622" s="5" t="str">
        <f t="shared" si="155"/>
        <v>No</v>
      </c>
      <c r="O622" t="str">
        <f>IF(A622=WORKDAY(EOMONTH(A622,0)+1,-1,Bank_Holidays!$A$2:$A$25),"Yes","No")</f>
        <v>No</v>
      </c>
      <c r="P622" t="str">
        <f t="shared" si="156"/>
        <v>No</v>
      </c>
      <c r="Q622" t="str">
        <f t="shared" si="157"/>
        <v>No</v>
      </c>
      <c r="R622" s="5">
        <f t="shared" si="159"/>
        <v>1</v>
      </c>
    </row>
    <row r="623" spans="1:18">
      <c r="A623" s="25">
        <f t="shared" si="158"/>
        <v>46856</v>
      </c>
      <c r="B623">
        <f t="shared" si="144"/>
        <v>2028</v>
      </c>
      <c r="C623" s="9">
        <f t="shared" si="145"/>
        <v>4</v>
      </c>
      <c r="D623" s="9" t="str">
        <f t="shared" si="146"/>
        <v>April</v>
      </c>
      <c r="E623" s="9" t="str">
        <f t="shared" si="147"/>
        <v>Apr-28</v>
      </c>
      <c r="F623" s="9" t="str">
        <f t="shared" si="148"/>
        <v>Q2</v>
      </c>
      <c r="G623" s="9">
        <f t="shared" si="149"/>
        <v>13</v>
      </c>
      <c r="H623" s="9">
        <f t="shared" si="150"/>
        <v>4</v>
      </c>
      <c r="I623" s="9" t="str">
        <f t="shared" si="151"/>
        <v>Thursday</v>
      </c>
      <c r="J623" s="9" t="str">
        <f t="shared" si="152"/>
        <v>No</v>
      </c>
      <c r="K623" s="5" t="str">
        <f>IF(COUNTIF(Bank_Holidays!A:A,A623)&gt;0,"Yes","No")</f>
        <v>No</v>
      </c>
      <c r="L623" t="str">
        <f t="shared" si="153"/>
        <v>Yes</v>
      </c>
      <c r="M623">
        <f t="shared" si="154"/>
        <v>15</v>
      </c>
      <c r="N623" s="5" t="str">
        <f t="shared" si="155"/>
        <v>No</v>
      </c>
      <c r="O623" t="str">
        <f>IF(A623=WORKDAY(EOMONTH(A623,0)+1,-1,Bank_Holidays!$A$2:$A$25),"Yes","No")</f>
        <v>No</v>
      </c>
      <c r="P623" t="str">
        <f t="shared" si="156"/>
        <v>No</v>
      </c>
      <c r="Q623" t="str">
        <f t="shared" si="157"/>
        <v>No</v>
      </c>
      <c r="R623" s="5">
        <f t="shared" si="159"/>
        <v>5</v>
      </c>
    </row>
    <row r="624" spans="1:18">
      <c r="A624" s="25">
        <f t="shared" si="158"/>
        <v>46857</v>
      </c>
      <c r="B624">
        <f t="shared" si="144"/>
        <v>2028</v>
      </c>
      <c r="C624" s="9">
        <f t="shared" si="145"/>
        <v>4</v>
      </c>
      <c r="D624" s="9" t="str">
        <f t="shared" si="146"/>
        <v>April</v>
      </c>
      <c r="E624" s="9" t="str">
        <f t="shared" si="147"/>
        <v>Apr-28</v>
      </c>
      <c r="F624" s="9" t="str">
        <f t="shared" si="148"/>
        <v>Q2</v>
      </c>
      <c r="G624" s="9">
        <f t="shared" si="149"/>
        <v>14</v>
      </c>
      <c r="H624" s="9">
        <f t="shared" si="150"/>
        <v>5</v>
      </c>
      <c r="I624" s="9" t="str">
        <f t="shared" si="151"/>
        <v>Friday</v>
      </c>
      <c r="J624" s="9" t="str">
        <f t="shared" si="152"/>
        <v>No</v>
      </c>
      <c r="K624" s="5" t="str">
        <f>IF(COUNTIF(Bank_Holidays!A:A,A624)&gt;0,"Yes","No")</f>
        <v>Yes</v>
      </c>
      <c r="L624" t="str">
        <f t="shared" si="153"/>
        <v>No</v>
      </c>
      <c r="M624">
        <f t="shared" si="154"/>
        <v>15</v>
      </c>
      <c r="N624" s="5" t="str">
        <f t="shared" si="155"/>
        <v>No</v>
      </c>
      <c r="O624" t="str">
        <f>IF(A624=WORKDAY(EOMONTH(A624,0)+1,-1,Bank_Holidays!$A$2:$A$25),"Yes","No")</f>
        <v>No</v>
      </c>
      <c r="P624" t="str">
        <f t="shared" si="156"/>
        <v>No</v>
      </c>
      <c r="Q624" t="str">
        <f t="shared" si="157"/>
        <v>No</v>
      </c>
      <c r="R624" s="5">
        <f t="shared" si="159"/>
        <v>0</v>
      </c>
    </row>
    <row r="625" spans="1:18">
      <c r="A625" s="25">
        <f t="shared" si="158"/>
        <v>46858</v>
      </c>
      <c r="B625">
        <f t="shared" si="144"/>
        <v>2028</v>
      </c>
      <c r="C625" s="9">
        <f t="shared" si="145"/>
        <v>4</v>
      </c>
      <c r="D625" s="9" t="str">
        <f t="shared" si="146"/>
        <v>April</v>
      </c>
      <c r="E625" s="9" t="str">
        <f t="shared" si="147"/>
        <v>Apr-28</v>
      </c>
      <c r="F625" s="9" t="str">
        <f t="shared" si="148"/>
        <v>Q2</v>
      </c>
      <c r="G625" s="9">
        <f t="shared" si="149"/>
        <v>15</v>
      </c>
      <c r="H625" s="9">
        <f t="shared" si="150"/>
        <v>6</v>
      </c>
      <c r="I625" s="9" t="str">
        <f t="shared" si="151"/>
        <v>Saturday</v>
      </c>
      <c r="J625" s="9" t="str">
        <f t="shared" si="152"/>
        <v>Yes</v>
      </c>
      <c r="K625" s="5" t="str">
        <f>IF(COUNTIF(Bank_Holidays!A:A,A625)&gt;0,"Yes","No")</f>
        <v>No</v>
      </c>
      <c r="L625" t="str">
        <f t="shared" si="153"/>
        <v>No</v>
      </c>
      <c r="M625">
        <f t="shared" si="154"/>
        <v>15</v>
      </c>
      <c r="N625" s="5" t="str">
        <f t="shared" si="155"/>
        <v>No</v>
      </c>
      <c r="O625" t="str">
        <f>IF(A625=WORKDAY(EOMONTH(A625,0)+1,-1,Bank_Holidays!$A$2:$A$25),"Yes","No")</f>
        <v>No</v>
      </c>
      <c r="P625" t="str">
        <f t="shared" si="156"/>
        <v>No</v>
      </c>
      <c r="Q625" t="str">
        <f t="shared" si="157"/>
        <v>No</v>
      </c>
      <c r="R625" s="5">
        <f t="shared" si="159"/>
        <v>0</v>
      </c>
    </row>
    <row r="626" spans="1:18">
      <c r="A626" s="25">
        <f t="shared" si="158"/>
        <v>46859</v>
      </c>
      <c r="B626">
        <f t="shared" si="144"/>
        <v>2028</v>
      </c>
      <c r="C626" s="9">
        <f t="shared" si="145"/>
        <v>4</v>
      </c>
      <c r="D626" s="9" t="str">
        <f t="shared" si="146"/>
        <v>April</v>
      </c>
      <c r="E626" s="9" t="str">
        <f t="shared" si="147"/>
        <v>Apr-28</v>
      </c>
      <c r="F626" s="9" t="str">
        <f t="shared" si="148"/>
        <v>Q2</v>
      </c>
      <c r="G626" s="9">
        <f t="shared" si="149"/>
        <v>16</v>
      </c>
      <c r="H626" s="9">
        <f t="shared" si="150"/>
        <v>7</v>
      </c>
      <c r="I626" s="9" t="str">
        <f t="shared" si="151"/>
        <v>Sunday</v>
      </c>
      <c r="J626" s="9" t="str">
        <f t="shared" si="152"/>
        <v>Yes</v>
      </c>
      <c r="K626" s="5" t="str">
        <f>IF(COUNTIF(Bank_Holidays!A:A,A626)&gt;0,"Yes","No")</f>
        <v>No</v>
      </c>
      <c r="L626" t="str">
        <f t="shared" si="153"/>
        <v>No</v>
      </c>
      <c r="M626">
        <f t="shared" si="154"/>
        <v>15</v>
      </c>
      <c r="N626" s="5" t="str">
        <f t="shared" si="155"/>
        <v>No</v>
      </c>
      <c r="O626" t="str">
        <f>IF(A626=WORKDAY(EOMONTH(A626,0)+1,-1,Bank_Holidays!$A$2:$A$25),"Yes","No")</f>
        <v>No</v>
      </c>
      <c r="P626" t="str">
        <f t="shared" si="156"/>
        <v>No</v>
      </c>
      <c r="Q626" t="str">
        <f t="shared" si="157"/>
        <v>No</v>
      </c>
      <c r="R626" s="5">
        <f t="shared" si="159"/>
        <v>0</v>
      </c>
    </row>
    <row r="627" spans="1:18">
      <c r="A627" s="25">
        <f t="shared" si="158"/>
        <v>46860</v>
      </c>
      <c r="B627">
        <f t="shared" si="144"/>
        <v>2028</v>
      </c>
      <c r="C627" s="9">
        <f t="shared" si="145"/>
        <v>4</v>
      </c>
      <c r="D627" s="9" t="str">
        <f t="shared" si="146"/>
        <v>April</v>
      </c>
      <c r="E627" s="9" t="str">
        <f t="shared" si="147"/>
        <v>Apr-28</v>
      </c>
      <c r="F627" s="9" t="str">
        <f t="shared" si="148"/>
        <v>Q2</v>
      </c>
      <c r="G627" s="9">
        <f t="shared" si="149"/>
        <v>17</v>
      </c>
      <c r="H627" s="9">
        <f t="shared" si="150"/>
        <v>1</v>
      </c>
      <c r="I627" s="9" t="str">
        <f t="shared" si="151"/>
        <v>Monday</v>
      </c>
      <c r="J627" s="9" t="str">
        <f t="shared" si="152"/>
        <v>No</v>
      </c>
      <c r="K627" s="5" t="str">
        <f>IF(COUNTIF(Bank_Holidays!A:A,A627)&gt;0,"Yes","No")</f>
        <v>Yes</v>
      </c>
      <c r="L627" t="str">
        <f t="shared" si="153"/>
        <v>No</v>
      </c>
      <c r="M627">
        <f t="shared" si="154"/>
        <v>16</v>
      </c>
      <c r="N627" s="5" t="str">
        <f t="shared" si="155"/>
        <v>No</v>
      </c>
      <c r="O627" t="str">
        <f>IF(A627=WORKDAY(EOMONTH(A627,0)+1,-1,Bank_Holidays!$A$2:$A$25),"Yes","No")</f>
        <v>No</v>
      </c>
      <c r="P627" t="str">
        <f t="shared" si="156"/>
        <v>No</v>
      </c>
      <c r="Q627" t="str">
        <f t="shared" si="157"/>
        <v>No</v>
      </c>
      <c r="R627" s="5">
        <f t="shared" si="159"/>
        <v>0</v>
      </c>
    </row>
    <row r="628" spans="1:18">
      <c r="A628" s="25">
        <f t="shared" si="158"/>
        <v>46861</v>
      </c>
      <c r="B628">
        <f t="shared" si="144"/>
        <v>2028</v>
      </c>
      <c r="C628" s="9">
        <f t="shared" si="145"/>
        <v>4</v>
      </c>
      <c r="D628" s="9" t="str">
        <f t="shared" si="146"/>
        <v>April</v>
      </c>
      <c r="E628" s="9" t="str">
        <f t="shared" si="147"/>
        <v>Apr-28</v>
      </c>
      <c r="F628" s="9" t="str">
        <f t="shared" si="148"/>
        <v>Q2</v>
      </c>
      <c r="G628" s="9">
        <f t="shared" si="149"/>
        <v>18</v>
      </c>
      <c r="H628" s="9">
        <f t="shared" si="150"/>
        <v>2</v>
      </c>
      <c r="I628" s="9" t="str">
        <f t="shared" si="151"/>
        <v>Tuesday</v>
      </c>
      <c r="J628" s="9" t="str">
        <f t="shared" si="152"/>
        <v>No</v>
      </c>
      <c r="K628" s="5" t="str">
        <f>IF(COUNTIF(Bank_Holidays!A:A,A628)&gt;0,"Yes","No")</f>
        <v>No</v>
      </c>
      <c r="L628" t="str">
        <f t="shared" si="153"/>
        <v>Yes</v>
      </c>
      <c r="M628">
        <f t="shared" si="154"/>
        <v>16</v>
      </c>
      <c r="N628" s="5" t="str">
        <f t="shared" si="155"/>
        <v>No</v>
      </c>
      <c r="O628" t="str">
        <f>IF(A628=WORKDAY(EOMONTH(A628,0)+1,-1,Bank_Holidays!$A$2:$A$25),"Yes","No")</f>
        <v>No</v>
      </c>
      <c r="P628" t="str">
        <f t="shared" si="156"/>
        <v>No</v>
      </c>
      <c r="Q628" t="str">
        <f t="shared" si="157"/>
        <v>No</v>
      </c>
      <c r="R628" s="5">
        <f t="shared" si="159"/>
        <v>1</v>
      </c>
    </row>
    <row r="629" spans="1:18">
      <c r="A629" s="25">
        <f t="shared" si="158"/>
        <v>46862</v>
      </c>
      <c r="B629">
        <f t="shared" si="144"/>
        <v>2028</v>
      </c>
      <c r="C629" s="9">
        <f t="shared" si="145"/>
        <v>4</v>
      </c>
      <c r="D629" s="9" t="str">
        <f t="shared" si="146"/>
        <v>April</v>
      </c>
      <c r="E629" s="9" t="str">
        <f t="shared" si="147"/>
        <v>Apr-28</v>
      </c>
      <c r="F629" s="9" t="str">
        <f t="shared" si="148"/>
        <v>Q2</v>
      </c>
      <c r="G629" s="9">
        <f t="shared" si="149"/>
        <v>19</v>
      </c>
      <c r="H629" s="9">
        <f t="shared" si="150"/>
        <v>3</v>
      </c>
      <c r="I629" s="9" t="str">
        <f t="shared" si="151"/>
        <v>Wednesday</v>
      </c>
      <c r="J629" s="9" t="str">
        <f t="shared" si="152"/>
        <v>No</v>
      </c>
      <c r="K629" s="5" t="str">
        <f>IF(COUNTIF(Bank_Holidays!A:A,A629)&gt;0,"Yes","No")</f>
        <v>No</v>
      </c>
      <c r="L629" t="str">
        <f t="shared" si="153"/>
        <v>Yes</v>
      </c>
      <c r="M629">
        <f t="shared" si="154"/>
        <v>16</v>
      </c>
      <c r="N629" s="5" t="str">
        <f t="shared" si="155"/>
        <v>No</v>
      </c>
      <c r="O629" t="str">
        <f>IF(A629=WORKDAY(EOMONTH(A629,0)+1,-1,Bank_Holidays!$A$2:$A$25),"Yes","No")</f>
        <v>No</v>
      </c>
      <c r="P629" t="str">
        <f t="shared" si="156"/>
        <v>No</v>
      </c>
      <c r="Q629" t="str">
        <f t="shared" si="157"/>
        <v>No</v>
      </c>
      <c r="R629" s="5">
        <f t="shared" si="159"/>
        <v>1</v>
      </c>
    </row>
    <row r="630" spans="1:18">
      <c r="A630" s="25">
        <f t="shared" si="158"/>
        <v>46863</v>
      </c>
      <c r="B630">
        <f t="shared" si="144"/>
        <v>2028</v>
      </c>
      <c r="C630" s="9">
        <f t="shared" si="145"/>
        <v>4</v>
      </c>
      <c r="D630" s="9" t="str">
        <f t="shared" si="146"/>
        <v>April</v>
      </c>
      <c r="E630" s="9" t="str">
        <f t="shared" si="147"/>
        <v>Apr-28</v>
      </c>
      <c r="F630" s="9" t="str">
        <f t="shared" si="148"/>
        <v>Q2</v>
      </c>
      <c r="G630" s="9">
        <f t="shared" si="149"/>
        <v>20</v>
      </c>
      <c r="H630" s="9">
        <f t="shared" si="150"/>
        <v>4</v>
      </c>
      <c r="I630" s="9" t="str">
        <f t="shared" si="151"/>
        <v>Thursday</v>
      </c>
      <c r="J630" s="9" t="str">
        <f t="shared" si="152"/>
        <v>No</v>
      </c>
      <c r="K630" s="5" t="str">
        <f>IF(COUNTIF(Bank_Holidays!A:A,A630)&gt;0,"Yes","No")</f>
        <v>No</v>
      </c>
      <c r="L630" t="str">
        <f t="shared" si="153"/>
        <v>Yes</v>
      </c>
      <c r="M630">
        <f t="shared" si="154"/>
        <v>16</v>
      </c>
      <c r="N630" s="5" t="str">
        <f t="shared" si="155"/>
        <v>No</v>
      </c>
      <c r="O630" t="str">
        <f>IF(A630=WORKDAY(EOMONTH(A630,0)+1,-1,Bank_Holidays!$A$2:$A$25),"Yes","No")</f>
        <v>No</v>
      </c>
      <c r="P630" t="str">
        <f t="shared" si="156"/>
        <v>No</v>
      </c>
      <c r="Q630" t="str">
        <f t="shared" si="157"/>
        <v>No</v>
      </c>
      <c r="R630" s="5">
        <f t="shared" si="159"/>
        <v>1</v>
      </c>
    </row>
    <row r="631" spans="1:18">
      <c r="A631" s="25">
        <f t="shared" si="158"/>
        <v>46864</v>
      </c>
      <c r="B631">
        <f t="shared" si="144"/>
        <v>2028</v>
      </c>
      <c r="C631" s="9">
        <f t="shared" si="145"/>
        <v>4</v>
      </c>
      <c r="D631" s="9" t="str">
        <f t="shared" si="146"/>
        <v>April</v>
      </c>
      <c r="E631" s="9" t="str">
        <f t="shared" si="147"/>
        <v>Apr-28</v>
      </c>
      <c r="F631" s="9" t="str">
        <f t="shared" si="148"/>
        <v>Q2</v>
      </c>
      <c r="G631" s="9">
        <f t="shared" si="149"/>
        <v>21</v>
      </c>
      <c r="H631" s="9">
        <f t="shared" si="150"/>
        <v>5</v>
      </c>
      <c r="I631" s="9" t="str">
        <f t="shared" si="151"/>
        <v>Friday</v>
      </c>
      <c r="J631" s="9" t="str">
        <f t="shared" si="152"/>
        <v>No</v>
      </c>
      <c r="K631" s="5" t="str">
        <f>IF(COUNTIF(Bank_Holidays!A:A,A631)&gt;0,"Yes","No")</f>
        <v>No</v>
      </c>
      <c r="L631" t="str">
        <f t="shared" si="153"/>
        <v>Yes</v>
      </c>
      <c r="M631">
        <f t="shared" si="154"/>
        <v>16</v>
      </c>
      <c r="N631" s="5" t="str">
        <f t="shared" si="155"/>
        <v>No</v>
      </c>
      <c r="O631" t="str">
        <f>IF(A631=WORKDAY(EOMONTH(A631,0)+1,-1,Bank_Holidays!$A$2:$A$25),"Yes","No")</f>
        <v>No</v>
      </c>
      <c r="P631" t="str">
        <f t="shared" si="156"/>
        <v>No</v>
      </c>
      <c r="Q631" t="str">
        <f t="shared" si="157"/>
        <v>No</v>
      </c>
      <c r="R631" s="5">
        <f t="shared" si="159"/>
        <v>3</v>
      </c>
    </row>
    <row r="632" spans="1:18">
      <c r="A632" s="25">
        <f t="shared" si="158"/>
        <v>46865</v>
      </c>
      <c r="B632">
        <f t="shared" si="144"/>
        <v>2028</v>
      </c>
      <c r="C632" s="9">
        <f t="shared" si="145"/>
        <v>4</v>
      </c>
      <c r="D632" s="9" t="str">
        <f t="shared" si="146"/>
        <v>April</v>
      </c>
      <c r="E632" s="9" t="str">
        <f t="shared" si="147"/>
        <v>Apr-28</v>
      </c>
      <c r="F632" s="9" t="str">
        <f t="shared" si="148"/>
        <v>Q2</v>
      </c>
      <c r="G632" s="9">
        <f t="shared" si="149"/>
        <v>22</v>
      </c>
      <c r="H632" s="9">
        <f t="shared" si="150"/>
        <v>6</v>
      </c>
      <c r="I632" s="9" t="str">
        <f t="shared" si="151"/>
        <v>Saturday</v>
      </c>
      <c r="J632" s="9" t="str">
        <f t="shared" si="152"/>
        <v>Yes</v>
      </c>
      <c r="K632" s="5" t="str">
        <f>IF(COUNTIF(Bank_Holidays!A:A,A632)&gt;0,"Yes","No")</f>
        <v>No</v>
      </c>
      <c r="L632" t="str">
        <f t="shared" si="153"/>
        <v>No</v>
      </c>
      <c r="M632">
        <f t="shared" si="154"/>
        <v>16</v>
      </c>
      <c r="N632" s="5" t="str">
        <f t="shared" si="155"/>
        <v>No</v>
      </c>
      <c r="O632" t="str">
        <f>IF(A632=WORKDAY(EOMONTH(A632,0)+1,-1,Bank_Holidays!$A$2:$A$25),"Yes","No")</f>
        <v>No</v>
      </c>
      <c r="P632" t="str">
        <f t="shared" si="156"/>
        <v>No</v>
      </c>
      <c r="Q632" t="str">
        <f t="shared" si="157"/>
        <v>No</v>
      </c>
      <c r="R632" s="5">
        <f t="shared" si="159"/>
        <v>0</v>
      </c>
    </row>
    <row r="633" spans="1:18">
      <c r="A633" s="25">
        <f t="shared" si="158"/>
        <v>46866</v>
      </c>
      <c r="B633">
        <f t="shared" si="144"/>
        <v>2028</v>
      </c>
      <c r="C633" s="9">
        <f t="shared" si="145"/>
        <v>4</v>
      </c>
      <c r="D633" s="9" t="str">
        <f t="shared" si="146"/>
        <v>April</v>
      </c>
      <c r="E633" s="9" t="str">
        <f t="shared" si="147"/>
        <v>Apr-28</v>
      </c>
      <c r="F633" s="9" t="str">
        <f t="shared" si="148"/>
        <v>Q2</v>
      </c>
      <c r="G633" s="9">
        <f t="shared" si="149"/>
        <v>23</v>
      </c>
      <c r="H633" s="9">
        <f t="shared" si="150"/>
        <v>7</v>
      </c>
      <c r="I633" s="9" t="str">
        <f t="shared" si="151"/>
        <v>Sunday</v>
      </c>
      <c r="J633" s="9" t="str">
        <f t="shared" si="152"/>
        <v>Yes</v>
      </c>
      <c r="K633" s="5" t="str">
        <f>IF(COUNTIF(Bank_Holidays!A:A,A633)&gt;0,"Yes","No")</f>
        <v>No</v>
      </c>
      <c r="L633" t="str">
        <f t="shared" si="153"/>
        <v>No</v>
      </c>
      <c r="M633">
        <f t="shared" si="154"/>
        <v>16</v>
      </c>
      <c r="N633" s="5" t="str">
        <f t="shared" si="155"/>
        <v>No</v>
      </c>
      <c r="O633" t="str">
        <f>IF(A633=WORKDAY(EOMONTH(A633,0)+1,-1,Bank_Holidays!$A$2:$A$25),"Yes","No")</f>
        <v>No</v>
      </c>
      <c r="P633" t="str">
        <f t="shared" si="156"/>
        <v>No</v>
      </c>
      <c r="Q633" t="str">
        <f t="shared" si="157"/>
        <v>No</v>
      </c>
      <c r="R633" s="5">
        <f t="shared" si="159"/>
        <v>0</v>
      </c>
    </row>
    <row r="634" spans="1:18">
      <c r="A634" s="25">
        <f t="shared" si="158"/>
        <v>46867</v>
      </c>
      <c r="B634">
        <f t="shared" si="144"/>
        <v>2028</v>
      </c>
      <c r="C634" s="9">
        <f t="shared" si="145"/>
        <v>4</v>
      </c>
      <c r="D634" s="9" t="str">
        <f t="shared" si="146"/>
        <v>April</v>
      </c>
      <c r="E634" s="9" t="str">
        <f t="shared" si="147"/>
        <v>Apr-28</v>
      </c>
      <c r="F634" s="9" t="str">
        <f t="shared" si="148"/>
        <v>Q2</v>
      </c>
      <c r="G634" s="9">
        <f t="shared" si="149"/>
        <v>24</v>
      </c>
      <c r="H634" s="9">
        <f t="shared" si="150"/>
        <v>1</v>
      </c>
      <c r="I634" s="9" t="str">
        <f t="shared" si="151"/>
        <v>Monday</v>
      </c>
      <c r="J634" s="9" t="str">
        <f t="shared" si="152"/>
        <v>No</v>
      </c>
      <c r="K634" s="5" t="str">
        <f>IF(COUNTIF(Bank_Holidays!A:A,A634)&gt;0,"Yes","No")</f>
        <v>No</v>
      </c>
      <c r="L634" t="str">
        <f t="shared" si="153"/>
        <v>Yes</v>
      </c>
      <c r="M634">
        <f t="shared" si="154"/>
        <v>17</v>
      </c>
      <c r="N634" s="5" t="str">
        <f t="shared" si="155"/>
        <v>No</v>
      </c>
      <c r="O634" t="str">
        <f>IF(A634=WORKDAY(EOMONTH(A634,0)+1,-1,Bank_Holidays!$A$2:$A$25),"Yes","No")</f>
        <v>No</v>
      </c>
      <c r="P634" t="str">
        <f t="shared" si="156"/>
        <v>No</v>
      </c>
      <c r="Q634" t="str">
        <f t="shared" si="157"/>
        <v>No</v>
      </c>
      <c r="R634" s="5">
        <f t="shared" si="159"/>
        <v>1</v>
      </c>
    </row>
    <row r="635" spans="1:18">
      <c r="A635" s="25">
        <f t="shared" si="158"/>
        <v>46868</v>
      </c>
      <c r="B635">
        <f t="shared" si="144"/>
        <v>2028</v>
      </c>
      <c r="C635" s="9">
        <f t="shared" si="145"/>
        <v>4</v>
      </c>
      <c r="D635" s="9" t="str">
        <f t="shared" si="146"/>
        <v>April</v>
      </c>
      <c r="E635" s="9" t="str">
        <f t="shared" si="147"/>
        <v>Apr-28</v>
      </c>
      <c r="F635" s="9" t="str">
        <f t="shared" si="148"/>
        <v>Q2</v>
      </c>
      <c r="G635" s="9">
        <f t="shared" si="149"/>
        <v>25</v>
      </c>
      <c r="H635" s="9">
        <f t="shared" si="150"/>
        <v>2</v>
      </c>
      <c r="I635" s="9" t="str">
        <f t="shared" si="151"/>
        <v>Tuesday</v>
      </c>
      <c r="J635" s="9" t="str">
        <f t="shared" si="152"/>
        <v>No</v>
      </c>
      <c r="K635" s="5" t="str">
        <f>IF(COUNTIF(Bank_Holidays!A:A,A635)&gt;0,"Yes","No")</f>
        <v>No</v>
      </c>
      <c r="L635" t="str">
        <f t="shared" si="153"/>
        <v>Yes</v>
      </c>
      <c r="M635">
        <f t="shared" si="154"/>
        <v>17</v>
      </c>
      <c r="N635" s="5" t="str">
        <f t="shared" si="155"/>
        <v>No</v>
      </c>
      <c r="O635" t="str">
        <f>IF(A635=WORKDAY(EOMONTH(A635,0)+1,-1,Bank_Holidays!$A$2:$A$25),"Yes","No")</f>
        <v>No</v>
      </c>
      <c r="P635" t="str">
        <f t="shared" si="156"/>
        <v>No</v>
      </c>
      <c r="Q635" t="str">
        <f t="shared" si="157"/>
        <v>No</v>
      </c>
      <c r="R635" s="5">
        <f t="shared" si="159"/>
        <v>1</v>
      </c>
    </row>
    <row r="636" spans="1:18">
      <c r="A636" s="25">
        <f t="shared" si="158"/>
        <v>46869</v>
      </c>
      <c r="B636">
        <f t="shared" si="144"/>
        <v>2028</v>
      </c>
      <c r="C636" s="9">
        <f t="shared" si="145"/>
        <v>4</v>
      </c>
      <c r="D636" s="9" t="str">
        <f t="shared" si="146"/>
        <v>April</v>
      </c>
      <c r="E636" s="9" t="str">
        <f t="shared" si="147"/>
        <v>Apr-28</v>
      </c>
      <c r="F636" s="9" t="str">
        <f t="shared" si="148"/>
        <v>Q2</v>
      </c>
      <c r="G636" s="9">
        <f t="shared" si="149"/>
        <v>26</v>
      </c>
      <c r="H636" s="9">
        <f t="shared" si="150"/>
        <v>3</v>
      </c>
      <c r="I636" s="9" t="str">
        <f t="shared" si="151"/>
        <v>Wednesday</v>
      </c>
      <c r="J636" s="9" t="str">
        <f t="shared" si="152"/>
        <v>No</v>
      </c>
      <c r="K636" s="5" t="str">
        <f>IF(COUNTIF(Bank_Holidays!A:A,A636)&gt;0,"Yes","No")</f>
        <v>No</v>
      </c>
      <c r="L636" t="str">
        <f t="shared" si="153"/>
        <v>Yes</v>
      </c>
      <c r="M636">
        <f t="shared" si="154"/>
        <v>17</v>
      </c>
      <c r="N636" s="5" t="str">
        <f t="shared" si="155"/>
        <v>No</v>
      </c>
      <c r="O636" t="str">
        <f>IF(A636=WORKDAY(EOMONTH(A636,0)+1,-1,Bank_Holidays!$A$2:$A$25),"Yes","No")</f>
        <v>No</v>
      </c>
      <c r="P636" t="str">
        <f t="shared" si="156"/>
        <v>No</v>
      </c>
      <c r="Q636" t="str">
        <f t="shared" si="157"/>
        <v>No</v>
      </c>
      <c r="R636" s="5">
        <f t="shared" si="159"/>
        <v>1</v>
      </c>
    </row>
    <row r="637" spans="1:18">
      <c r="A637" s="25">
        <f t="shared" si="158"/>
        <v>46870</v>
      </c>
      <c r="B637">
        <f t="shared" si="144"/>
        <v>2028</v>
      </c>
      <c r="C637" s="9">
        <f t="shared" si="145"/>
        <v>4</v>
      </c>
      <c r="D637" s="9" t="str">
        <f t="shared" si="146"/>
        <v>April</v>
      </c>
      <c r="E637" s="9" t="str">
        <f t="shared" si="147"/>
        <v>Apr-28</v>
      </c>
      <c r="F637" s="9" t="str">
        <f t="shared" si="148"/>
        <v>Q2</v>
      </c>
      <c r="G637" s="9">
        <f t="shared" si="149"/>
        <v>27</v>
      </c>
      <c r="H637" s="9">
        <f t="shared" si="150"/>
        <v>4</v>
      </c>
      <c r="I637" s="9" t="str">
        <f t="shared" si="151"/>
        <v>Thursday</v>
      </c>
      <c r="J637" s="9" t="str">
        <f t="shared" si="152"/>
        <v>No</v>
      </c>
      <c r="K637" s="5" t="str">
        <f>IF(COUNTIF(Bank_Holidays!A:A,A637)&gt;0,"Yes","No")</f>
        <v>No</v>
      </c>
      <c r="L637" t="str">
        <f t="shared" si="153"/>
        <v>Yes</v>
      </c>
      <c r="M637">
        <f t="shared" si="154"/>
        <v>17</v>
      </c>
      <c r="N637" s="5" t="str">
        <f t="shared" si="155"/>
        <v>No</v>
      </c>
      <c r="O637" t="str">
        <f>IF(A637=WORKDAY(EOMONTH(A637,0)+1,-1,Bank_Holidays!$A$2:$A$25),"Yes","No")</f>
        <v>No</v>
      </c>
      <c r="P637" t="str">
        <f t="shared" si="156"/>
        <v>No</v>
      </c>
      <c r="Q637" t="str">
        <f t="shared" si="157"/>
        <v>Yes</v>
      </c>
      <c r="R637" s="5">
        <f t="shared" si="159"/>
        <v>1</v>
      </c>
    </row>
    <row r="638" spans="1:18">
      <c r="A638" s="25">
        <f t="shared" si="158"/>
        <v>46871</v>
      </c>
      <c r="B638">
        <f t="shared" si="144"/>
        <v>2028</v>
      </c>
      <c r="C638" s="9">
        <f t="shared" si="145"/>
        <v>4</v>
      </c>
      <c r="D638" s="9" t="str">
        <f t="shared" si="146"/>
        <v>April</v>
      </c>
      <c r="E638" s="9" t="str">
        <f t="shared" si="147"/>
        <v>Apr-28</v>
      </c>
      <c r="F638" s="9" t="str">
        <f t="shared" si="148"/>
        <v>Q2</v>
      </c>
      <c r="G638" s="9">
        <f t="shared" si="149"/>
        <v>28</v>
      </c>
      <c r="H638" s="9">
        <f t="shared" si="150"/>
        <v>5</v>
      </c>
      <c r="I638" s="9" t="str">
        <f t="shared" si="151"/>
        <v>Friday</v>
      </c>
      <c r="J638" s="9" t="str">
        <f t="shared" si="152"/>
        <v>No</v>
      </c>
      <c r="K638" s="5" t="str">
        <f>IF(COUNTIF(Bank_Holidays!A:A,A638)&gt;0,"Yes","No")</f>
        <v>No</v>
      </c>
      <c r="L638" t="str">
        <f t="shared" si="153"/>
        <v>Yes</v>
      </c>
      <c r="M638">
        <f t="shared" si="154"/>
        <v>17</v>
      </c>
      <c r="N638" s="5" t="str">
        <f t="shared" si="155"/>
        <v>No</v>
      </c>
      <c r="O638" t="str">
        <f>IF(A638=WORKDAY(EOMONTH(A638,0)+1,-1,Bank_Holidays!$A$2:$A$25),"Yes","No")</f>
        <v>Yes</v>
      </c>
      <c r="P638" t="str">
        <f t="shared" si="156"/>
        <v>Yes</v>
      </c>
      <c r="Q638" t="str">
        <f t="shared" si="157"/>
        <v>No</v>
      </c>
      <c r="R638" s="5">
        <f t="shared" si="159"/>
        <v>4</v>
      </c>
    </row>
    <row r="639" spans="1:18">
      <c r="A639" s="25">
        <f t="shared" si="158"/>
        <v>46872</v>
      </c>
      <c r="B639">
        <f t="shared" si="144"/>
        <v>2028</v>
      </c>
      <c r="C639" s="9">
        <f t="shared" si="145"/>
        <v>4</v>
      </c>
      <c r="D639" s="9" t="str">
        <f t="shared" si="146"/>
        <v>April</v>
      </c>
      <c r="E639" s="9" t="str">
        <f t="shared" si="147"/>
        <v>Apr-28</v>
      </c>
      <c r="F639" s="9" t="str">
        <f t="shared" si="148"/>
        <v>Q2</v>
      </c>
      <c r="G639" s="9">
        <f t="shared" si="149"/>
        <v>29</v>
      </c>
      <c r="H639" s="9">
        <f t="shared" si="150"/>
        <v>6</v>
      </c>
      <c r="I639" s="9" t="str">
        <f t="shared" si="151"/>
        <v>Saturday</v>
      </c>
      <c r="J639" s="9" t="str">
        <f t="shared" si="152"/>
        <v>Yes</v>
      </c>
      <c r="K639" s="5" t="str">
        <f>IF(COUNTIF(Bank_Holidays!A:A,A639)&gt;0,"Yes","No")</f>
        <v>No</v>
      </c>
      <c r="L639" t="str">
        <f t="shared" si="153"/>
        <v>No</v>
      </c>
      <c r="M639">
        <f t="shared" si="154"/>
        <v>17</v>
      </c>
      <c r="N639" s="5" t="str">
        <f t="shared" si="155"/>
        <v>No</v>
      </c>
      <c r="O639" t="str">
        <f>IF(A639=WORKDAY(EOMONTH(A639,0)+1,-1,Bank_Holidays!$A$2:$A$25),"Yes","No")</f>
        <v>No</v>
      </c>
      <c r="P639" t="str">
        <f t="shared" si="156"/>
        <v>No</v>
      </c>
      <c r="Q639" t="str">
        <f t="shared" si="157"/>
        <v>No</v>
      </c>
      <c r="R639" s="5">
        <f t="shared" si="159"/>
        <v>0</v>
      </c>
    </row>
    <row r="640" spans="1:18">
      <c r="A640" s="25">
        <f t="shared" si="158"/>
        <v>46873</v>
      </c>
      <c r="B640">
        <f t="shared" si="144"/>
        <v>2028</v>
      </c>
      <c r="C640" s="9">
        <f t="shared" si="145"/>
        <v>4</v>
      </c>
      <c r="D640" s="9" t="str">
        <f t="shared" si="146"/>
        <v>April</v>
      </c>
      <c r="E640" s="9" t="str">
        <f t="shared" si="147"/>
        <v>Apr-28</v>
      </c>
      <c r="F640" s="9" t="str">
        <f t="shared" si="148"/>
        <v>Q2</v>
      </c>
      <c r="G640" s="9">
        <f t="shared" si="149"/>
        <v>30</v>
      </c>
      <c r="H640" s="9">
        <f t="shared" si="150"/>
        <v>7</v>
      </c>
      <c r="I640" s="9" t="str">
        <f t="shared" si="151"/>
        <v>Sunday</v>
      </c>
      <c r="J640" s="9" t="str">
        <f t="shared" si="152"/>
        <v>Yes</v>
      </c>
      <c r="K640" s="5" t="str">
        <f>IF(COUNTIF(Bank_Holidays!A:A,A640)&gt;0,"Yes","No")</f>
        <v>No</v>
      </c>
      <c r="L640" t="str">
        <f t="shared" si="153"/>
        <v>No</v>
      </c>
      <c r="M640">
        <f t="shared" si="154"/>
        <v>17</v>
      </c>
      <c r="N640" s="5" t="str">
        <f t="shared" si="155"/>
        <v>Yes</v>
      </c>
      <c r="O640" t="str">
        <f>IF(A640=WORKDAY(EOMONTH(A640,0)+1,-1,Bank_Holidays!$A$2:$A$25),"Yes","No")</f>
        <v>No</v>
      </c>
      <c r="P640" t="str">
        <f t="shared" si="156"/>
        <v>No</v>
      </c>
      <c r="Q640" t="str">
        <f t="shared" si="157"/>
        <v>No</v>
      </c>
      <c r="R640" s="5">
        <f t="shared" si="159"/>
        <v>0</v>
      </c>
    </row>
    <row r="641" spans="1:18">
      <c r="A641" s="25">
        <f t="shared" si="158"/>
        <v>46874</v>
      </c>
      <c r="B641">
        <f t="shared" si="144"/>
        <v>2028</v>
      </c>
      <c r="C641" s="9">
        <f t="shared" si="145"/>
        <v>5</v>
      </c>
      <c r="D641" s="9" t="str">
        <f t="shared" si="146"/>
        <v>May</v>
      </c>
      <c r="E641" s="9" t="str">
        <f t="shared" si="147"/>
        <v>May-28</v>
      </c>
      <c r="F641" s="9" t="str">
        <f t="shared" si="148"/>
        <v>Q2</v>
      </c>
      <c r="G641" s="9">
        <f t="shared" si="149"/>
        <v>1</v>
      </c>
      <c r="H641" s="9">
        <f t="shared" si="150"/>
        <v>1</v>
      </c>
      <c r="I641" s="9" t="str">
        <f t="shared" si="151"/>
        <v>Monday</v>
      </c>
      <c r="J641" s="9" t="str">
        <f t="shared" si="152"/>
        <v>No</v>
      </c>
      <c r="K641" s="5" t="str">
        <f>IF(COUNTIF(Bank_Holidays!A:A,A641)&gt;0,"Yes","No")</f>
        <v>Yes</v>
      </c>
      <c r="L641" t="str">
        <f t="shared" si="153"/>
        <v>No</v>
      </c>
      <c r="M641">
        <f t="shared" si="154"/>
        <v>18</v>
      </c>
      <c r="N641" s="5" t="str">
        <f t="shared" si="155"/>
        <v>No</v>
      </c>
      <c r="O641" t="str">
        <f>IF(A641=WORKDAY(EOMONTH(A641,0)+1,-1,Bank_Holidays!$A$2:$A$25),"Yes","No")</f>
        <v>No</v>
      </c>
      <c r="P641" t="str">
        <f t="shared" si="156"/>
        <v>No</v>
      </c>
      <c r="Q641" t="str">
        <f t="shared" si="157"/>
        <v>No</v>
      </c>
      <c r="R641" s="5">
        <f t="shared" si="159"/>
        <v>0</v>
      </c>
    </row>
    <row r="642" spans="1:18">
      <c r="A642" s="25">
        <f t="shared" si="158"/>
        <v>46875</v>
      </c>
      <c r="B642">
        <f t="shared" ref="B642:B705" si="160">YEAR(A642)</f>
        <v>2028</v>
      </c>
      <c r="C642" s="9">
        <f t="shared" ref="C642:C705" si="161">MONTH(A642)</f>
        <v>5</v>
      </c>
      <c r="D642" s="9" t="str">
        <f t="shared" ref="D642:D705" si="162">TEXT(A642,"mmmm")</f>
        <v>May</v>
      </c>
      <c r="E642" s="9" t="str">
        <f t="shared" ref="E642:E705" si="163">TEXT(A642,"mmm-yy")</f>
        <v>May-28</v>
      </c>
      <c r="F642" s="9" t="str">
        <f t="shared" ref="F642:F705" si="164">"Q"&amp;ROUNDUP(MONTH($A642)/3,0)</f>
        <v>Q2</v>
      </c>
      <c r="G642" s="9">
        <f t="shared" ref="G642:G705" si="165">DAY($A642)</f>
        <v>2</v>
      </c>
      <c r="H642" s="9">
        <f t="shared" ref="H642:H705" si="166">WEEKDAY($A642,2)</f>
        <v>2</v>
      </c>
      <c r="I642" s="9" t="str">
        <f t="shared" ref="I642:I705" si="167">TEXT($A642,"dddd")</f>
        <v>Tuesday</v>
      </c>
      <c r="J642" s="9" t="str">
        <f t="shared" ref="J642:J705" si="168">IF($H642&gt;5,"Yes","No")</f>
        <v>No</v>
      </c>
      <c r="K642" s="5" t="str">
        <f>IF(COUNTIF(Bank_Holidays!A:A,A642)&gt;0,"Yes","No")</f>
        <v>No</v>
      </c>
      <c r="L642" t="str">
        <f t="shared" ref="L642:L705" si="169">IF(AND(J642="No",K642="No"),"Yes","No")</f>
        <v>Yes</v>
      </c>
      <c r="M642">
        <f t="shared" ref="M642:M705" si="170">_xlfn.ISOWEEKNUM(A642)</f>
        <v>18</v>
      </c>
      <c r="N642" s="5" t="str">
        <f t="shared" ref="N642:N705" si="171">IF(A642=EOMONTH(A642,0),"Yes","No")</f>
        <v>No</v>
      </c>
      <c r="O642" t="str">
        <f>IF(A642=WORKDAY(EOMONTH(A642,0)+1,-1,Bank_Holidays!$A$2:$A$25),"Yes","No")</f>
        <v>No</v>
      </c>
      <c r="P642" t="str">
        <f t="shared" ref="P642:P705" si="172">IF(
AND(
TEXT(A642,"dddd")="Friday",
MONTH(A642+7)&lt;&gt;MONTH(A642)
),
"Yes",
"No"
)</f>
        <v>No</v>
      </c>
      <c r="Q642" t="str">
        <f t="shared" ref="Q642:Q705" si="173">IF(
AND(
TEXT(A642,"dddd")="Thursday",
MONTH(A642+7)&lt;&gt;MONTH(A642)
),
"Yes",
"No"
)</f>
        <v>No</v>
      </c>
      <c r="R642" s="5">
        <f t="shared" si="159"/>
        <v>1</v>
      </c>
    </row>
    <row r="643" spans="1:18">
      <c r="A643" s="25">
        <f t="shared" ref="A643:A706" si="174">A642+1</f>
        <v>46876</v>
      </c>
      <c r="B643">
        <f t="shared" si="160"/>
        <v>2028</v>
      </c>
      <c r="C643" s="9">
        <f t="shared" si="161"/>
        <v>5</v>
      </c>
      <c r="D643" s="9" t="str">
        <f t="shared" si="162"/>
        <v>May</v>
      </c>
      <c r="E643" s="9" t="str">
        <f t="shared" si="163"/>
        <v>May-28</v>
      </c>
      <c r="F643" s="9" t="str">
        <f t="shared" si="164"/>
        <v>Q2</v>
      </c>
      <c r="G643" s="9">
        <f t="shared" si="165"/>
        <v>3</v>
      </c>
      <c r="H643" s="9">
        <f t="shared" si="166"/>
        <v>3</v>
      </c>
      <c r="I643" s="9" t="str">
        <f t="shared" si="167"/>
        <v>Wednesday</v>
      </c>
      <c r="J643" s="9" t="str">
        <f t="shared" si="168"/>
        <v>No</v>
      </c>
      <c r="K643" s="5" t="str">
        <f>IF(COUNTIF(Bank_Holidays!A:A,A643)&gt;0,"Yes","No")</f>
        <v>No</v>
      </c>
      <c r="L643" t="str">
        <f t="shared" si="169"/>
        <v>Yes</v>
      </c>
      <c r="M643">
        <f t="shared" si="170"/>
        <v>18</v>
      </c>
      <c r="N643" s="5" t="str">
        <f t="shared" si="171"/>
        <v>No</v>
      </c>
      <c r="O643" t="str">
        <f>IF(A643=WORKDAY(EOMONTH(A643,0)+1,-1,Bank_Holidays!$A$2:$A$25),"Yes","No")</f>
        <v>No</v>
      </c>
      <c r="P643" t="str">
        <f t="shared" si="172"/>
        <v>No</v>
      </c>
      <c r="Q643" t="str">
        <f t="shared" si="173"/>
        <v>No</v>
      </c>
      <c r="R643" s="5">
        <f t="shared" ref="R643:R706" si="175">IF(L643="yes",1)+IF(L643="no",0,IF(AND(L648="no",L647="no",L646="no",L645="no",L644="no"),5,IF(AND(L647="no",L646="no",L645="no",L644="no"),4,IF(AND(L646="no",L645="no",L644="no"),3,IF(AND(L645="no",L644="no"),2,IF(L644="no",1))))))</f>
        <v>1</v>
      </c>
    </row>
    <row r="644" spans="1:18">
      <c r="A644" s="25">
        <f t="shared" si="174"/>
        <v>46877</v>
      </c>
      <c r="B644">
        <f t="shared" si="160"/>
        <v>2028</v>
      </c>
      <c r="C644" s="9">
        <f t="shared" si="161"/>
        <v>5</v>
      </c>
      <c r="D644" s="9" t="str">
        <f t="shared" si="162"/>
        <v>May</v>
      </c>
      <c r="E644" s="9" t="str">
        <f t="shared" si="163"/>
        <v>May-28</v>
      </c>
      <c r="F644" s="9" t="str">
        <f t="shared" si="164"/>
        <v>Q2</v>
      </c>
      <c r="G644" s="9">
        <f t="shared" si="165"/>
        <v>4</v>
      </c>
      <c r="H644" s="9">
        <f t="shared" si="166"/>
        <v>4</v>
      </c>
      <c r="I644" s="9" t="str">
        <f t="shared" si="167"/>
        <v>Thursday</v>
      </c>
      <c r="J644" s="9" t="str">
        <f t="shared" si="168"/>
        <v>No</v>
      </c>
      <c r="K644" s="5" t="str">
        <f>IF(COUNTIF(Bank_Holidays!A:A,A644)&gt;0,"Yes","No")</f>
        <v>No</v>
      </c>
      <c r="L644" t="str">
        <f t="shared" si="169"/>
        <v>Yes</v>
      </c>
      <c r="M644">
        <f t="shared" si="170"/>
        <v>18</v>
      </c>
      <c r="N644" s="5" t="str">
        <f t="shared" si="171"/>
        <v>No</v>
      </c>
      <c r="O644" t="str">
        <f>IF(A644=WORKDAY(EOMONTH(A644,0)+1,-1,Bank_Holidays!$A$2:$A$25),"Yes","No")</f>
        <v>No</v>
      </c>
      <c r="P644" t="str">
        <f t="shared" si="172"/>
        <v>No</v>
      </c>
      <c r="Q644" t="str">
        <f t="shared" si="173"/>
        <v>No</v>
      </c>
      <c r="R644" s="5">
        <f t="shared" si="175"/>
        <v>1</v>
      </c>
    </row>
    <row r="645" spans="1:18">
      <c r="A645" s="25">
        <f t="shared" si="174"/>
        <v>46878</v>
      </c>
      <c r="B645">
        <f t="shared" si="160"/>
        <v>2028</v>
      </c>
      <c r="C645" s="9">
        <f t="shared" si="161"/>
        <v>5</v>
      </c>
      <c r="D645" s="9" t="str">
        <f t="shared" si="162"/>
        <v>May</v>
      </c>
      <c r="E645" s="9" t="str">
        <f t="shared" si="163"/>
        <v>May-28</v>
      </c>
      <c r="F645" s="9" t="str">
        <f t="shared" si="164"/>
        <v>Q2</v>
      </c>
      <c r="G645" s="9">
        <f t="shared" si="165"/>
        <v>5</v>
      </c>
      <c r="H645" s="9">
        <f t="shared" si="166"/>
        <v>5</v>
      </c>
      <c r="I645" s="9" t="str">
        <f t="shared" si="167"/>
        <v>Friday</v>
      </c>
      <c r="J645" s="9" t="str">
        <f t="shared" si="168"/>
        <v>No</v>
      </c>
      <c r="K645" s="5" t="str">
        <f>IF(COUNTIF(Bank_Holidays!A:A,A645)&gt;0,"Yes","No")</f>
        <v>No</v>
      </c>
      <c r="L645" t="str">
        <f t="shared" si="169"/>
        <v>Yes</v>
      </c>
      <c r="M645">
        <f t="shared" si="170"/>
        <v>18</v>
      </c>
      <c r="N645" s="5" t="str">
        <f t="shared" si="171"/>
        <v>No</v>
      </c>
      <c r="O645" t="str">
        <f>IF(A645=WORKDAY(EOMONTH(A645,0)+1,-1,Bank_Holidays!$A$2:$A$25),"Yes","No")</f>
        <v>No</v>
      </c>
      <c r="P645" t="str">
        <f t="shared" si="172"/>
        <v>No</v>
      </c>
      <c r="Q645" t="str">
        <f t="shared" si="173"/>
        <v>No</v>
      </c>
      <c r="R645" s="5">
        <f t="shared" si="175"/>
        <v>3</v>
      </c>
    </row>
    <row r="646" spans="1:18">
      <c r="A646" s="25">
        <f t="shared" si="174"/>
        <v>46879</v>
      </c>
      <c r="B646">
        <f t="shared" si="160"/>
        <v>2028</v>
      </c>
      <c r="C646" s="9">
        <f t="shared" si="161"/>
        <v>5</v>
      </c>
      <c r="D646" s="9" t="str">
        <f t="shared" si="162"/>
        <v>May</v>
      </c>
      <c r="E646" s="9" t="str">
        <f t="shared" si="163"/>
        <v>May-28</v>
      </c>
      <c r="F646" s="9" t="str">
        <f t="shared" si="164"/>
        <v>Q2</v>
      </c>
      <c r="G646" s="9">
        <f t="shared" si="165"/>
        <v>6</v>
      </c>
      <c r="H646" s="9">
        <f t="shared" si="166"/>
        <v>6</v>
      </c>
      <c r="I646" s="9" t="str">
        <f t="shared" si="167"/>
        <v>Saturday</v>
      </c>
      <c r="J646" s="9" t="str">
        <f t="shared" si="168"/>
        <v>Yes</v>
      </c>
      <c r="K646" s="5" t="str">
        <f>IF(COUNTIF(Bank_Holidays!A:A,A646)&gt;0,"Yes","No")</f>
        <v>No</v>
      </c>
      <c r="L646" t="str">
        <f t="shared" si="169"/>
        <v>No</v>
      </c>
      <c r="M646">
        <f t="shared" si="170"/>
        <v>18</v>
      </c>
      <c r="N646" s="5" t="str">
        <f t="shared" si="171"/>
        <v>No</v>
      </c>
      <c r="O646" t="str">
        <f>IF(A646=WORKDAY(EOMONTH(A646,0)+1,-1,Bank_Holidays!$A$2:$A$25),"Yes","No")</f>
        <v>No</v>
      </c>
      <c r="P646" t="str">
        <f t="shared" si="172"/>
        <v>No</v>
      </c>
      <c r="Q646" t="str">
        <f t="shared" si="173"/>
        <v>No</v>
      </c>
      <c r="R646" s="5">
        <f t="shared" si="175"/>
        <v>0</v>
      </c>
    </row>
    <row r="647" spans="1:18">
      <c r="A647" s="25">
        <f t="shared" si="174"/>
        <v>46880</v>
      </c>
      <c r="B647">
        <f t="shared" si="160"/>
        <v>2028</v>
      </c>
      <c r="C647" s="9">
        <f t="shared" si="161"/>
        <v>5</v>
      </c>
      <c r="D647" s="9" t="str">
        <f t="shared" si="162"/>
        <v>May</v>
      </c>
      <c r="E647" s="9" t="str">
        <f t="shared" si="163"/>
        <v>May-28</v>
      </c>
      <c r="F647" s="9" t="str">
        <f t="shared" si="164"/>
        <v>Q2</v>
      </c>
      <c r="G647" s="9">
        <f t="shared" si="165"/>
        <v>7</v>
      </c>
      <c r="H647" s="9">
        <f t="shared" si="166"/>
        <v>7</v>
      </c>
      <c r="I647" s="9" t="str">
        <f t="shared" si="167"/>
        <v>Sunday</v>
      </c>
      <c r="J647" s="9" t="str">
        <f t="shared" si="168"/>
        <v>Yes</v>
      </c>
      <c r="K647" s="5" t="str">
        <f>IF(COUNTIF(Bank_Holidays!A:A,A647)&gt;0,"Yes","No")</f>
        <v>No</v>
      </c>
      <c r="L647" t="str">
        <f t="shared" si="169"/>
        <v>No</v>
      </c>
      <c r="M647">
        <f t="shared" si="170"/>
        <v>18</v>
      </c>
      <c r="N647" s="5" t="str">
        <f t="shared" si="171"/>
        <v>No</v>
      </c>
      <c r="O647" t="str">
        <f>IF(A647=WORKDAY(EOMONTH(A647,0)+1,-1,Bank_Holidays!$A$2:$A$25),"Yes","No")</f>
        <v>No</v>
      </c>
      <c r="P647" t="str">
        <f t="shared" si="172"/>
        <v>No</v>
      </c>
      <c r="Q647" t="str">
        <f t="shared" si="173"/>
        <v>No</v>
      </c>
      <c r="R647" s="5">
        <f t="shared" si="175"/>
        <v>0</v>
      </c>
    </row>
    <row r="648" spans="1:18">
      <c r="A648" s="25">
        <f t="shared" si="174"/>
        <v>46881</v>
      </c>
      <c r="B648">
        <f t="shared" si="160"/>
        <v>2028</v>
      </c>
      <c r="C648" s="9">
        <f t="shared" si="161"/>
        <v>5</v>
      </c>
      <c r="D648" s="9" t="str">
        <f t="shared" si="162"/>
        <v>May</v>
      </c>
      <c r="E648" s="9" t="str">
        <f t="shared" si="163"/>
        <v>May-28</v>
      </c>
      <c r="F648" s="9" t="str">
        <f t="shared" si="164"/>
        <v>Q2</v>
      </c>
      <c r="G648" s="9">
        <f t="shared" si="165"/>
        <v>8</v>
      </c>
      <c r="H648" s="9">
        <f t="shared" si="166"/>
        <v>1</v>
      </c>
      <c r="I648" s="9" t="str">
        <f t="shared" si="167"/>
        <v>Monday</v>
      </c>
      <c r="J648" s="9" t="str">
        <f t="shared" si="168"/>
        <v>No</v>
      </c>
      <c r="K648" s="5" t="str">
        <f>IF(COUNTIF(Bank_Holidays!A:A,A648)&gt;0,"Yes","No")</f>
        <v>No</v>
      </c>
      <c r="L648" t="str">
        <f t="shared" si="169"/>
        <v>Yes</v>
      </c>
      <c r="M648">
        <f t="shared" si="170"/>
        <v>19</v>
      </c>
      <c r="N648" s="5" t="str">
        <f t="shared" si="171"/>
        <v>No</v>
      </c>
      <c r="O648" t="str">
        <f>IF(A648=WORKDAY(EOMONTH(A648,0)+1,-1,Bank_Holidays!$A$2:$A$25),"Yes","No")</f>
        <v>No</v>
      </c>
      <c r="P648" t="str">
        <f t="shared" si="172"/>
        <v>No</v>
      </c>
      <c r="Q648" t="str">
        <f t="shared" si="173"/>
        <v>No</v>
      </c>
      <c r="R648" s="5">
        <f t="shared" si="175"/>
        <v>1</v>
      </c>
    </row>
    <row r="649" spans="1:18">
      <c r="A649" s="25">
        <f t="shared" si="174"/>
        <v>46882</v>
      </c>
      <c r="B649">
        <f t="shared" si="160"/>
        <v>2028</v>
      </c>
      <c r="C649" s="9">
        <f t="shared" si="161"/>
        <v>5</v>
      </c>
      <c r="D649" s="9" t="str">
        <f t="shared" si="162"/>
        <v>May</v>
      </c>
      <c r="E649" s="9" t="str">
        <f t="shared" si="163"/>
        <v>May-28</v>
      </c>
      <c r="F649" s="9" t="str">
        <f t="shared" si="164"/>
        <v>Q2</v>
      </c>
      <c r="G649" s="9">
        <f t="shared" si="165"/>
        <v>9</v>
      </c>
      <c r="H649" s="9">
        <f t="shared" si="166"/>
        <v>2</v>
      </c>
      <c r="I649" s="9" t="str">
        <f t="shared" si="167"/>
        <v>Tuesday</v>
      </c>
      <c r="J649" s="9" t="str">
        <f t="shared" si="168"/>
        <v>No</v>
      </c>
      <c r="K649" s="5" t="str">
        <f>IF(COUNTIF(Bank_Holidays!A:A,A649)&gt;0,"Yes","No")</f>
        <v>No</v>
      </c>
      <c r="L649" t="str">
        <f t="shared" si="169"/>
        <v>Yes</v>
      </c>
      <c r="M649">
        <f t="shared" si="170"/>
        <v>19</v>
      </c>
      <c r="N649" s="5" t="str">
        <f t="shared" si="171"/>
        <v>No</v>
      </c>
      <c r="O649" t="str">
        <f>IF(A649=WORKDAY(EOMONTH(A649,0)+1,-1,Bank_Holidays!$A$2:$A$25),"Yes","No")</f>
        <v>No</v>
      </c>
      <c r="P649" t="str">
        <f t="shared" si="172"/>
        <v>No</v>
      </c>
      <c r="Q649" t="str">
        <f t="shared" si="173"/>
        <v>No</v>
      </c>
      <c r="R649" s="5">
        <f t="shared" si="175"/>
        <v>1</v>
      </c>
    </row>
    <row r="650" spans="1:18">
      <c r="A650" s="25">
        <f t="shared" si="174"/>
        <v>46883</v>
      </c>
      <c r="B650">
        <f t="shared" si="160"/>
        <v>2028</v>
      </c>
      <c r="C650" s="9">
        <f t="shared" si="161"/>
        <v>5</v>
      </c>
      <c r="D650" s="9" t="str">
        <f t="shared" si="162"/>
        <v>May</v>
      </c>
      <c r="E650" s="9" t="str">
        <f t="shared" si="163"/>
        <v>May-28</v>
      </c>
      <c r="F650" s="9" t="str">
        <f t="shared" si="164"/>
        <v>Q2</v>
      </c>
      <c r="G650" s="9">
        <f t="shared" si="165"/>
        <v>10</v>
      </c>
      <c r="H650" s="9">
        <f t="shared" si="166"/>
        <v>3</v>
      </c>
      <c r="I650" s="9" t="str">
        <f t="shared" si="167"/>
        <v>Wednesday</v>
      </c>
      <c r="J650" s="9" t="str">
        <f t="shared" si="168"/>
        <v>No</v>
      </c>
      <c r="K650" s="5" t="str">
        <f>IF(COUNTIF(Bank_Holidays!A:A,A650)&gt;0,"Yes","No")</f>
        <v>No</v>
      </c>
      <c r="L650" t="str">
        <f t="shared" si="169"/>
        <v>Yes</v>
      </c>
      <c r="M650">
        <f t="shared" si="170"/>
        <v>19</v>
      </c>
      <c r="N650" s="5" t="str">
        <f t="shared" si="171"/>
        <v>No</v>
      </c>
      <c r="O650" t="str">
        <f>IF(A650=WORKDAY(EOMONTH(A650,0)+1,-1,Bank_Holidays!$A$2:$A$25),"Yes","No")</f>
        <v>No</v>
      </c>
      <c r="P650" t="str">
        <f t="shared" si="172"/>
        <v>No</v>
      </c>
      <c r="Q650" t="str">
        <f t="shared" si="173"/>
        <v>No</v>
      </c>
      <c r="R650" s="5">
        <f t="shared" si="175"/>
        <v>1</v>
      </c>
    </row>
    <row r="651" spans="1:18">
      <c r="A651" s="25">
        <f t="shared" si="174"/>
        <v>46884</v>
      </c>
      <c r="B651">
        <f t="shared" si="160"/>
        <v>2028</v>
      </c>
      <c r="C651" s="9">
        <f t="shared" si="161"/>
        <v>5</v>
      </c>
      <c r="D651" s="9" t="str">
        <f t="shared" si="162"/>
        <v>May</v>
      </c>
      <c r="E651" s="9" t="str">
        <f t="shared" si="163"/>
        <v>May-28</v>
      </c>
      <c r="F651" s="9" t="str">
        <f t="shared" si="164"/>
        <v>Q2</v>
      </c>
      <c r="G651" s="9">
        <f t="shared" si="165"/>
        <v>11</v>
      </c>
      <c r="H651" s="9">
        <f t="shared" si="166"/>
        <v>4</v>
      </c>
      <c r="I651" s="9" t="str">
        <f t="shared" si="167"/>
        <v>Thursday</v>
      </c>
      <c r="J651" s="9" t="str">
        <f t="shared" si="168"/>
        <v>No</v>
      </c>
      <c r="K651" s="5" t="str">
        <f>IF(COUNTIF(Bank_Holidays!A:A,A651)&gt;0,"Yes","No")</f>
        <v>No</v>
      </c>
      <c r="L651" t="str">
        <f t="shared" si="169"/>
        <v>Yes</v>
      </c>
      <c r="M651">
        <f t="shared" si="170"/>
        <v>19</v>
      </c>
      <c r="N651" s="5" t="str">
        <f t="shared" si="171"/>
        <v>No</v>
      </c>
      <c r="O651" t="str">
        <f>IF(A651=WORKDAY(EOMONTH(A651,0)+1,-1,Bank_Holidays!$A$2:$A$25),"Yes","No")</f>
        <v>No</v>
      </c>
      <c r="P651" t="str">
        <f t="shared" si="172"/>
        <v>No</v>
      </c>
      <c r="Q651" t="str">
        <f t="shared" si="173"/>
        <v>No</v>
      </c>
      <c r="R651" s="5">
        <f t="shared" si="175"/>
        <v>1</v>
      </c>
    </row>
    <row r="652" spans="1:18">
      <c r="A652" s="25">
        <f t="shared" si="174"/>
        <v>46885</v>
      </c>
      <c r="B652">
        <f t="shared" si="160"/>
        <v>2028</v>
      </c>
      <c r="C652" s="9">
        <f t="shared" si="161"/>
        <v>5</v>
      </c>
      <c r="D652" s="9" t="str">
        <f t="shared" si="162"/>
        <v>May</v>
      </c>
      <c r="E652" s="9" t="str">
        <f t="shared" si="163"/>
        <v>May-28</v>
      </c>
      <c r="F652" s="9" t="str">
        <f t="shared" si="164"/>
        <v>Q2</v>
      </c>
      <c r="G652" s="9">
        <f t="shared" si="165"/>
        <v>12</v>
      </c>
      <c r="H652" s="9">
        <f t="shared" si="166"/>
        <v>5</v>
      </c>
      <c r="I652" s="9" t="str">
        <f t="shared" si="167"/>
        <v>Friday</v>
      </c>
      <c r="J652" s="9" t="str">
        <f t="shared" si="168"/>
        <v>No</v>
      </c>
      <c r="K652" s="5" t="str">
        <f>IF(COUNTIF(Bank_Holidays!A:A,A652)&gt;0,"Yes","No")</f>
        <v>No</v>
      </c>
      <c r="L652" t="str">
        <f t="shared" si="169"/>
        <v>Yes</v>
      </c>
      <c r="M652">
        <f t="shared" si="170"/>
        <v>19</v>
      </c>
      <c r="N652" s="5" t="str">
        <f t="shared" si="171"/>
        <v>No</v>
      </c>
      <c r="O652" t="str">
        <f>IF(A652=WORKDAY(EOMONTH(A652,0)+1,-1,Bank_Holidays!$A$2:$A$25),"Yes","No")</f>
        <v>No</v>
      </c>
      <c r="P652" t="str">
        <f t="shared" si="172"/>
        <v>No</v>
      </c>
      <c r="Q652" t="str">
        <f t="shared" si="173"/>
        <v>No</v>
      </c>
      <c r="R652" s="5">
        <f t="shared" si="175"/>
        <v>3</v>
      </c>
    </row>
    <row r="653" spans="1:18">
      <c r="A653" s="25">
        <f t="shared" si="174"/>
        <v>46886</v>
      </c>
      <c r="B653">
        <f t="shared" si="160"/>
        <v>2028</v>
      </c>
      <c r="C653" s="9">
        <f t="shared" si="161"/>
        <v>5</v>
      </c>
      <c r="D653" s="9" t="str">
        <f t="shared" si="162"/>
        <v>May</v>
      </c>
      <c r="E653" s="9" t="str">
        <f t="shared" si="163"/>
        <v>May-28</v>
      </c>
      <c r="F653" s="9" t="str">
        <f t="shared" si="164"/>
        <v>Q2</v>
      </c>
      <c r="G653" s="9">
        <f t="shared" si="165"/>
        <v>13</v>
      </c>
      <c r="H653" s="9">
        <f t="shared" si="166"/>
        <v>6</v>
      </c>
      <c r="I653" s="9" t="str">
        <f t="shared" si="167"/>
        <v>Saturday</v>
      </c>
      <c r="J653" s="9" t="str">
        <f t="shared" si="168"/>
        <v>Yes</v>
      </c>
      <c r="K653" s="5" t="str">
        <f>IF(COUNTIF(Bank_Holidays!A:A,A653)&gt;0,"Yes","No")</f>
        <v>No</v>
      </c>
      <c r="L653" t="str">
        <f t="shared" si="169"/>
        <v>No</v>
      </c>
      <c r="M653">
        <f t="shared" si="170"/>
        <v>19</v>
      </c>
      <c r="N653" s="5" t="str">
        <f t="shared" si="171"/>
        <v>No</v>
      </c>
      <c r="O653" t="str">
        <f>IF(A653=WORKDAY(EOMONTH(A653,0)+1,-1,Bank_Holidays!$A$2:$A$25),"Yes","No")</f>
        <v>No</v>
      </c>
      <c r="P653" t="str">
        <f t="shared" si="172"/>
        <v>No</v>
      </c>
      <c r="Q653" t="str">
        <f t="shared" si="173"/>
        <v>No</v>
      </c>
      <c r="R653" s="5">
        <f t="shared" si="175"/>
        <v>0</v>
      </c>
    </row>
    <row r="654" spans="1:18">
      <c r="A654" s="25">
        <f t="shared" si="174"/>
        <v>46887</v>
      </c>
      <c r="B654">
        <f t="shared" si="160"/>
        <v>2028</v>
      </c>
      <c r="C654" s="9">
        <f t="shared" si="161"/>
        <v>5</v>
      </c>
      <c r="D654" s="9" t="str">
        <f t="shared" si="162"/>
        <v>May</v>
      </c>
      <c r="E654" s="9" t="str">
        <f t="shared" si="163"/>
        <v>May-28</v>
      </c>
      <c r="F654" s="9" t="str">
        <f t="shared" si="164"/>
        <v>Q2</v>
      </c>
      <c r="G654" s="9">
        <f t="shared" si="165"/>
        <v>14</v>
      </c>
      <c r="H654" s="9">
        <f t="shared" si="166"/>
        <v>7</v>
      </c>
      <c r="I654" s="9" t="str">
        <f t="shared" si="167"/>
        <v>Sunday</v>
      </c>
      <c r="J654" s="9" t="str">
        <f t="shared" si="168"/>
        <v>Yes</v>
      </c>
      <c r="K654" s="5" t="str">
        <f>IF(COUNTIF(Bank_Holidays!A:A,A654)&gt;0,"Yes","No")</f>
        <v>No</v>
      </c>
      <c r="L654" t="str">
        <f t="shared" si="169"/>
        <v>No</v>
      </c>
      <c r="M654">
        <f t="shared" si="170"/>
        <v>19</v>
      </c>
      <c r="N654" s="5" t="str">
        <f t="shared" si="171"/>
        <v>No</v>
      </c>
      <c r="O654" t="str">
        <f>IF(A654=WORKDAY(EOMONTH(A654,0)+1,-1,Bank_Holidays!$A$2:$A$25),"Yes","No")</f>
        <v>No</v>
      </c>
      <c r="P654" t="str">
        <f t="shared" si="172"/>
        <v>No</v>
      </c>
      <c r="Q654" t="str">
        <f t="shared" si="173"/>
        <v>No</v>
      </c>
      <c r="R654" s="5">
        <f t="shared" si="175"/>
        <v>0</v>
      </c>
    </row>
    <row r="655" spans="1:18">
      <c r="A655" s="25">
        <f t="shared" si="174"/>
        <v>46888</v>
      </c>
      <c r="B655">
        <f t="shared" si="160"/>
        <v>2028</v>
      </c>
      <c r="C655" s="9">
        <f t="shared" si="161"/>
        <v>5</v>
      </c>
      <c r="D655" s="9" t="str">
        <f t="shared" si="162"/>
        <v>May</v>
      </c>
      <c r="E655" s="9" t="str">
        <f t="shared" si="163"/>
        <v>May-28</v>
      </c>
      <c r="F655" s="9" t="str">
        <f t="shared" si="164"/>
        <v>Q2</v>
      </c>
      <c r="G655" s="9">
        <f t="shared" si="165"/>
        <v>15</v>
      </c>
      <c r="H655" s="9">
        <f t="shared" si="166"/>
        <v>1</v>
      </c>
      <c r="I655" s="9" t="str">
        <f t="shared" si="167"/>
        <v>Monday</v>
      </c>
      <c r="J655" s="9" t="str">
        <f t="shared" si="168"/>
        <v>No</v>
      </c>
      <c r="K655" s="5" t="str">
        <f>IF(COUNTIF(Bank_Holidays!A:A,A655)&gt;0,"Yes","No")</f>
        <v>No</v>
      </c>
      <c r="L655" t="str">
        <f t="shared" si="169"/>
        <v>Yes</v>
      </c>
      <c r="M655">
        <f t="shared" si="170"/>
        <v>20</v>
      </c>
      <c r="N655" s="5" t="str">
        <f t="shared" si="171"/>
        <v>No</v>
      </c>
      <c r="O655" t="str">
        <f>IF(A655=WORKDAY(EOMONTH(A655,0)+1,-1,Bank_Holidays!$A$2:$A$25),"Yes","No")</f>
        <v>No</v>
      </c>
      <c r="P655" t="str">
        <f t="shared" si="172"/>
        <v>No</v>
      </c>
      <c r="Q655" t="str">
        <f t="shared" si="173"/>
        <v>No</v>
      </c>
      <c r="R655" s="5">
        <f t="shared" si="175"/>
        <v>1</v>
      </c>
    </row>
    <row r="656" spans="1:18">
      <c r="A656" s="25">
        <f t="shared" si="174"/>
        <v>46889</v>
      </c>
      <c r="B656">
        <f t="shared" si="160"/>
        <v>2028</v>
      </c>
      <c r="C656" s="9">
        <f t="shared" si="161"/>
        <v>5</v>
      </c>
      <c r="D656" s="9" t="str">
        <f t="shared" si="162"/>
        <v>May</v>
      </c>
      <c r="E656" s="9" t="str">
        <f t="shared" si="163"/>
        <v>May-28</v>
      </c>
      <c r="F656" s="9" t="str">
        <f t="shared" si="164"/>
        <v>Q2</v>
      </c>
      <c r="G656" s="9">
        <f t="shared" si="165"/>
        <v>16</v>
      </c>
      <c r="H656" s="9">
        <f t="shared" si="166"/>
        <v>2</v>
      </c>
      <c r="I656" s="9" t="str">
        <f t="shared" si="167"/>
        <v>Tuesday</v>
      </c>
      <c r="J656" s="9" t="str">
        <f t="shared" si="168"/>
        <v>No</v>
      </c>
      <c r="K656" s="5" t="str">
        <f>IF(COUNTIF(Bank_Holidays!A:A,A656)&gt;0,"Yes","No")</f>
        <v>No</v>
      </c>
      <c r="L656" t="str">
        <f t="shared" si="169"/>
        <v>Yes</v>
      </c>
      <c r="M656">
        <f t="shared" si="170"/>
        <v>20</v>
      </c>
      <c r="N656" s="5" t="str">
        <f t="shared" si="171"/>
        <v>No</v>
      </c>
      <c r="O656" t="str">
        <f>IF(A656=WORKDAY(EOMONTH(A656,0)+1,-1,Bank_Holidays!$A$2:$A$25),"Yes","No")</f>
        <v>No</v>
      </c>
      <c r="P656" t="str">
        <f t="shared" si="172"/>
        <v>No</v>
      </c>
      <c r="Q656" t="str">
        <f t="shared" si="173"/>
        <v>No</v>
      </c>
      <c r="R656" s="5">
        <f t="shared" si="175"/>
        <v>1</v>
      </c>
    </row>
    <row r="657" spans="1:18">
      <c r="A657" s="25">
        <f t="shared" si="174"/>
        <v>46890</v>
      </c>
      <c r="B657">
        <f t="shared" si="160"/>
        <v>2028</v>
      </c>
      <c r="C657" s="9">
        <f t="shared" si="161"/>
        <v>5</v>
      </c>
      <c r="D657" s="9" t="str">
        <f t="shared" si="162"/>
        <v>May</v>
      </c>
      <c r="E657" s="9" t="str">
        <f t="shared" si="163"/>
        <v>May-28</v>
      </c>
      <c r="F657" s="9" t="str">
        <f t="shared" si="164"/>
        <v>Q2</v>
      </c>
      <c r="G657" s="9">
        <f t="shared" si="165"/>
        <v>17</v>
      </c>
      <c r="H657" s="9">
        <f t="shared" si="166"/>
        <v>3</v>
      </c>
      <c r="I657" s="9" t="str">
        <f t="shared" si="167"/>
        <v>Wednesday</v>
      </c>
      <c r="J657" s="9" t="str">
        <f t="shared" si="168"/>
        <v>No</v>
      </c>
      <c r="K657" s="5" t="str">
        <f>IF(COUNTIF(Bank_Holidays!A:A,A657)&gt;0,"Yes","No")</f>
        <v>No</v>
      </c>
      <c r="L657" t="str">
        <f t="shared" si="169"/>
        <v>Yes</v>
      </c>
      <c r="M657">
        <f t="shared" si="170"/>
        <v>20</v>
      </c>
      <c r="N657" s="5" t="str">
        <f t="shared" si="171"/>
        <v>No</v>
      </c>
      <c r="O657" t="str">
        <f>IF(A657=WORKDAY(EOMONTH(A657,0)+1,-1,Bank_Holidays!$A$2:$A$25),"Yes","No")</f>
        <v>No</v>
      </c>
      <c r="P657" t="str">
        <f t="shared" si="172"/>
        <v>No</v>
      </c>
      <c r="Q657" t="str">
        <f t="shared" si="173"/>
        <v>No</v>
      </c>
      <c r="R657" s="5">
        <f t="shared" si="175"/>
        <v>1</v>
      </c>
    </row>
    <row r="658" spans="1:18">
      <c r="A658" s="25">
        <f t="shared" si="174"/>
        <v>46891</v>
      </c>
      <c r="B658">
        <f t="shared" si="160"/>
        <v>2028</v>
      </c>
      <c r="C658" s="9">
        <f t="shared" si="161"/>
        <v>5</v>
      </c>
      <c r="D658" s="9" t="str">
        <f t="shared" si="162"/>
        <v>May</v>
      </c>
      <c r="E658" s="9" t="str">
        <f t="shared" si="163"/>
        <v>May-28</v>
      </c>
      <c r="F658" s="9" t="str">
        <f t="shared" si="164"/>
        <v>Q2</v>
      </c>
      <c r="G658" s="9">
        <f t="shared" si="165"/>
        <v>18</v>
      </c>
      <c r="H658" s="9">
        <f t="shared" si="166"/>
        <v>4</v>
      </c>
      <c r="I658" s="9" t="str">
        <f t="shared" si="167"/>
        <v>Thursday</v>
      </c>
      <c r="J658" s="9" t="str">
        <f t="shared" si="168"/>
        <v>No</v>
      </c>
      <c r="K658" s="5" t="str">
        <f>IF(COUNTIF(Bank_Holidays!A:A,A658)&gt;0,"Yes","No")</f>
        <v>No</v>
      </c>
      <c r="L658" t="str">
        <f t="shared" si="169"/>
        <v>Yes</v>
      </c>
      <c r="M658">
        <f t="shared" si="170"/>
        <v>20</v>
      </c>
      <c r="N658" s="5" t="str">
        <f t="shared" si="171"/>
        <v>No</v>
      </c>
      <c r="O658" t="str">
        <f>IF(A658=WORKDAY(EOMONTH(A658,0)+1,-1,Bank_Holidays!$A$2:$A$25),"Yes","No")</f>
        <v>No</v>
      </c>
      <c r="P658" t="str">
        <f t="shared" si="172"/>
        <v>No</v>
      </c>
      <c r="Q658" t="str">
        <f t="shared" si="173"/>
        <v>No</v>
      </c>
      <c r="R658" s="5">
        <f t="shared" si="175"/>
        <v>1</v>
      </c>
    </row>
    <row r="659" spans="1:18">
      <c r="A659" s="25">
        <f t="shared" si="174"/>
        <v>46892</v>
      </c>
      <c r="B659">
        <f t="shared" si="160"/>
        <v>2028</v>
      </c>
      <c r="C659" s="9">
        <f t="shared" si="161"/>
        <v>5</v>
      </c>
      <c r="D659" s="9" t="str">
        <f t="shared" si="162"/>
        <v>May</v>
      </c>
      <c r="E659" s="9" t="str">
        <f t="shared" si="163"/>
        <v>May-28</v>
      </c>
      <c r="F659" s="9" t="str">
        <f t="shared" si="164"/>
        <v>Q2</v>
      </c>
      <c r="G659" s="9">
        <f t="shared" si="165"/>
        <v>19</v>
      </c>
      <c r="H659" s="9">
        <f t="shared" si="166"/>
        <v>5</v>
      </c>
      <c r="I659" s="9" t="str">
        <f t="shared" si="167"/>
        <v>Friday</v>
      </c>
      <c r="J659" s="9" t="str">
        <f t="shared" si="168"/>
        <v>No</v>
      </c>
      <c r="K659" s="5" t="str">
        <f>IF(COUNTIF(Bank_Holidays!A:A,A659)&gt;0,"Yes","No")</f>
        <v>No</v>
      </c>
      <c r="L659" t="str">
        <f t="shared" si="169"/>
        <v>Yes</v>
      </c>
      <c r="M659">
        <f t="shared" si="170"/>
        <v>20</v>
      </c>
      <c r="N659" s="5" t="str">
        <f t="shared" si="171"/>
        <v>No</v>
      </c>
      <c r="O659" t="str">
        <f>IF(A659=WORKDAY(EOMONTH(A659,0)+1,-1,Bank_Holidays!$A$2:$A$25),"Yes","No")</f>
        <v>No</v>
      </c>
      <c r="P659" t="str">
        <f t="shared" si="172"/>
        <v>No</v>
      </c>
      <c r="Q659" t="str">
        <f t="shared" si="173"/>
        <v>No</v>
      </c>
      <c r="R659" s="5">
        <f t="shared" si="175"/>
        <v>3</v>
      </c>
    </row>
    <row r="660" spans="1:18">
      <c r="A660" s="25">
        <f t="shared" si="174"/>
        <v>46893</v>
      </c>
      <c r="B660">
        <f t="shared" si="160"/>
        <v>2028</v>
      </c>
      <c r="C660" s="9">
        <f t="shared" si="161"/>
        <v>5</v>
      </c>
      <c r="D660" s="9" t="str">
        <f t="shared" si="162"/>
        <v>May</v>
      </c>
      <c r="E660" s="9" t="str">
        <f t="shared" si="163"/>
        <v>May-28</v>
      </c>
      <c r="F660" s="9" t="str">
        <f t="shared" si="164"/>
        <v>Q2</v>
      </c>
      <c r="G660" s="9">
        <f t="shared" si="165"/>
        <v>20</v>
      </c>
      <c r="H660" s="9">
        <f t="shared" si="166"/>
        <v>6</v>
      </c>
      <c r="I660" s="9" t="str">
        <f t="shared" si="167"/>
        <v>Saturday</v>
      </c>
      <c r="J660" s="9" t="str">
        <f t="shared" si="168"/>
        <v>Yes</v>
      </c>
      <c r="K660" s="5" t="str">
        <f>IF(COUNTIF(Bank_Holidays!A:A,A660)&gt;0,"Yes","No")</f>
        <v>No</v>
      </c>
      <c r="L660" t="str">
        <f t="shared" si="169"/>
        <v>No</v>
      </c>
      <c r="M660">
        <f t="shared" si="170"/>
        <v>20</v>
      </c>
      <c r="N660" s="5" t="str">
        <f t="shared" si="171"/>
        <v>No</v>
      </c>
      <c r="O660" t="str">
        <f>IF(A660=WORKDAY(EOMONTH(A660,0)+1,-1,Bank_Holidays!$A$2:$A$25),"Yes","No")</f>
        <v>No</v>
      </c>
      <c r="P660" t="str">
        <f t="shared" si="172"/>
        <v>No</v>
      </c>
      <c r="Q660" t="str">
        <f t="shared" si="173"/>
        <v>No</v>
      </c>
      <c r="R660" s="5">
        <f t="shared" si="175"/>
        <v>0</v>
      </c>
    </row>
    <row r="661" spans="1:18">
      <c r="A661" s="25">
        <f t="shared" si="174"/>
        <v>46894</v>
      </c>
      <c r="B661">
        <f t="shared" si="160"/>
        <v>2028</v>
      </c>
      <c r="C661" s="9">
        <f t="shared" si="161"/>
        <v>5</v>
      </c>
      <c r="D661" s="9" t="str">
        <f t="shared" si="162"/>
        <v>May</v>
      </c>
      <c r="E661" s="9" t="str">
        <f t="shared" si="163"/>
        <v>May-28</v>
      </c>
      <c r="F661" s="9" t="str">
        <f t="shared" si="164"/>
        <v>Q2</v>
      </c>
      <c r="G661" s="9">
        <f t="shared" si="165"/>
        <v>21</v>
      </c>
      <c r="H661" s="9">
        <f t="shared" si="166"/>
        <v>7</v>
      </c>
      <c r="I661" s="9" t="str">
        <f t="shared" si="167"/>
        <v>Sunday</v>
      </c>
      <c r="J661" s="9" t="str">
        <f t="shared" si="168"/>
        <v>Yes</v>
      </c>
      <c r="K661" s="5" t="str">
        <f>IF(COUNTIF(Bank_Holidays!A:A,A661)&gt;0,"Yes","No")</f>
        <v>No</v>
      </c>
      <c r="L661" t="str">
        <f t="shared" si="169"/>
        <v>No</v>
      </c>
      <c r="M661">
        <f t="shared" si="170"/>
        <v>20</v>
      </c>
      <c r="N661" s="5" t="str">
        <f t="shared" si="171"/>
        <v>No</v>
      </c>
      <c r="O661" t="str">
        <f>IF(A661=WORKDAY(EOMONTH(A661,0)+1,-1,Bank_Holidays!$A$2:$A$25),"Yes","No")</f>
        <v>No</v>
      </c>
      <c r="P661" t="str">
        <f t="shared" si="172"/>
        <v>No</v>
      </c>
      <c r="Q661" t="str">
        <f t="shared" si="173"/>
        <v>No</v>
      </c>
      <c r="R661" s="5">
        <f t="shared" si="175"/>
        <v>0</v>
      </c>
    </row>
    <row r="662" spans="1:18">
      <c r="A662" s="25">
        <f t="shared" si="174"/>
        <v>46895</v>
      </c>
      <c r="B662">
        <f t="shared" si="160"/>
        <v>2028</v>
      </c>
      <c r="C662" s="9">
        <f t="shared" si="161"/>
        <v>5</v>
      </c>
      <c r="D662" s="9" t="str">
        <f t="shared" si="162"/>
        <v>May</v>
      </c>
      <c r="E662" s="9" t="str">
        <f t="shared" si="163"/>
        <v>May-28</v>
      </c>
      <c r="F662" s="9" t="str">
        <f t="shared" si="164"/>
        <v>Q2</v>
      </c>
      <c r="G662" s="9">
        <f t="shared" si="165"/>
        <v>22</v>
      </c>
      <c r="H662" s="9">
        <f t="shared" si="166"/>
        <v>1</v>
      </c>
      <c r="I662" s="9" t="str">
        <f t="shared" si="167"/>
        <v>Monday</v>
      </c>
      <c r="J662" s="9" t="str">
        <f t="shared" si="168"/>
        <v>No</v>
      </c>
      <c r="K662" s="5" t="str">
        <f>IF(COUNTIF(Bank_Holidays!A:A,A662)&gt;0,"Yes","No")</f>
        <v>No</v>
      </c>
      <c r="L662" t="str">
        <f t="shared" si="169"/>
        <v>Yes</v>
      </c>
      <c r="M662">
        <f t="shared" si="170"/>
        <v>21</v>
      </c>
      <c r="N662" s="5" t="str">
        <f t="shared" si="171"/>
        <v>No</v>
      </c>
      <c r="O662" t="str">
        <f>IF(A662=WORKDAY(EOMONTH(A662,0)+1,-1,Bank_Holidays!$A$2:$A$25),"Yes","No")</f>
        <v>No</v>
      </c>
      <c r="P662" t="str">
        <f t="shared" si="172"/>
        <v>No</v>
      </c>
      <c r="Q662" t="str">
        <f t="shared" si="173"/>
        <v>No</v>
      </c>
      <c r="R662" s="5">
        <f t="shared" si="175"/>
        <v>1</v>
      </c>
    </row>
    <row r="663" spans="1:18">
      <c r="A663" s="25">
        <f t="shared" si="174"/>
        <v>46896</v>
      </c>
      <c r="B663">
        <f t="shared" si="160"/>
        <v>2028</v>
      </c>
      <c r="C663" s="9">
        <f t="shared" si="161"/>
        <v>5</v>
      </c>
      <c r="D663" s="9" t="str">
        <f t="shared" si="162"/>
        <v>May</v>
      </c>
      <c r="E663" s="9" t="str">
        <f t="shared" si="163"/>
        <v>May-28</v>
      </c>
      <c r="F663" s="9" t="str">
        <f t="shared" si="164"/>
        <v>Q2</v>
      </c>
      <c r="G663" s="9">
        <f t="shared" si="165"/>
        <v>23</v>
      </c>
      <c r="H663" s="9">
        <f t="shared" si="166"/>
        <v>2</v>
      </c>
      <c r="I663" s="9" t="str">
        <f t="shared" si="167"/>
        <v>Tuesday</v>
      </c>
      <c r="J663" s="9" t="str">
        <f t="shared" si="168"/>
        <v>No</v>
      </c>
      <c r="K663" s="5" t="str">
        <f>IF(COUNTIF(Bank_Holidays!A:A,A663)&gt;0,"Yes","No")</f>
        <v>No</v>
      </c>
      <c r="L663" t="str">
        <f t="shared" si="169"/>
        <v>Yes</v>
      </c>
      <c r="M663">
        <f t="shared" si="170"/>
        <v>21</v>
      </c>
      <c r="N663" s="5" t="str">
        <f t="shared" si="171"/>
        <v>No</v>
      </c>
      <c r="O663" t="str">
        <f>IF(A663=WORKDAY(EOMONTH(A663,0)+1,-1,Bank_Holidays!$A$2:$A$25),"Yes","No")</f>
        <v>No</v>
      </c>
      <c r="P663" t="str">
        <f t="shared" si="172"/>
        <v>No</v>
      </c>
      <c r="Q663" t="str">
        <f t="shared" si="173"/>
        <v>No</v>
      </c>
      <c r="R663" s="5">
        <f t="shared" si="175"/>
        <v>1</v>
      </c>
    </row>
    <row r="664" spans="1:18">
      <c r="A664" s="25">
        <f t="shared" si="174"/>
        <v>46897</v>
      </c>
      <c r="B664">
        <f t="shared" si="160"/>
        <v>2028</v>
      </c>
      <c r="C664" s="9">
        <f t="shared" si="161"/>
        <v>5</v>
      </c>
      <c r="D664" s="9" t="str">
        <f t="shared" si="162"/>
        <v>May</v>
      </c>
      <c r="E664" s="9" t="str">
        <f t="shared" si="163"/>
        <v>May-28</v>
      </c>
      <c r="F664" s="9" t="str">
        <f t="shared" si="164"/>
        <v>Q2</v>
      </c>
      <c r="G664" s="9">
        <f t="shared" si="165"/>
        <v>24</v>
      </c>
      <c r="H664" s="9">
        <f t="shared" si="166"/>
        <v>3</v>
      </c>
      <c r="I664" s="9" t="str">
        <f t="shared" si="167"/>
        <v>Wednesday</v>
      </c>
      <c r="J664" s="9" t="str">
        <f t="shared" si="168"/>
        <v>No</v>
      </c>
      <c r="K664" s="5" t="str">
        <f>IF(COUNTIF(Bank_Holidays!A:A,A664)&gt;0,"Yes","No")</f>
        <v>No</v>
      </c>
      <c r="L664" t="str">
        <f t="shared" si="169"/>
        <v>Yes</v>
      </c>
      <c r="M664">
        <f t="shared" si="170"/>
        <v>21</v>
      </c>
      <c r="N664" s="5" t="str">
        <f t="shared" si="171"/>
        <v>No</v>
      </c>
      <c r="O664" t="str">
        <f>IF(A664=WORKDAY(EOMONTH(A664,0)+1,-1,Bank_Holidays!$A$2:$A$25),"Yes","No")</f>
        <v>No</v>
      </c>
      <c r="P664" t="str">
        <f t="shared" si="172"/>
        <v>No</v>
      </c>
      <c r="Q664" t="str">
        <f t="shared" si="173"/>
        <v>No</v>
      </c>
      <c r="R664" s="5">
        <f t="shared" si="175"/>
        <v>1</v>
      </c>
    </row>
    <row r="665" spans="1:18">
      <c r="A665" s="25">
        <f t="shared" si="174"/>
        <v>46898</v>
      </c>
      <c r="B665">
        <f t="shared" si="160"/>
        <v>2028</v>
      </c>
      <c r="C665" s="9">
        <f t="shared" si="161"/>
        <v>5</v>
      </c>
      <c r="D665" s="9" t="str">
        <f t="shared" si="162"/>
        <v>May</v>
      </c>
      <c r="E665" s="9" t="str">
        <f t="shared" si="163"/>
        <v>May-28</v>
      </c>
      <c r="F665" s="9" t="str">
        <f t="shared" si="164"/>
        <v>Q2</v>
      </c>
      <c r="G665" s="9">
        <f t="shared" si="165"/>
        <v>25</v>
      </c>
      <c r="H665" s="9">
        <f t="shared" si="166"/>
        <v>4</v>
      </c>
      <c r="I665" s="9" t="str">
        <f t="shared" si="167"/>
        <v>Thursday</v>
      </c>
      <c r="J665" s="9" t="str">
        <f t="shared" si="168"/>
        <v>No</v>
      </c>
      <c r="K665" s="5" t="str">
        <f>IF(COUNTIF(Bank_Holidays!A:A,A665)&gt;0,"Yes","No")</f>
        <v>No</v>
      </c>
      <c r="L665" t="str">
        <f t="shared" si="169"/>
        <v>Yes</v>
      </c>
      <c r="M665">
        <f t="shared" si="170"/>
        <v>21</v>
      </c>
      <c r="N665" s="5" t="str">
        <f t="shared" si="171"/>
        <v>No</v>
      </c>
      <c r="O665" t="str">
        <f>IF(A665=WORKDAY(EOMONTH(A665,0)+1,-1,Bank_Holidays!$A$2:$A$25),"Yes","No")</f>
        <v>No</v>
      </c>
      <c r="P665" t="str">
        <f t="shared" si="172"/>
        <v>No</v>
      </c>
      <c r="Q665" t="str">
        <f t="shared" si="173"/>
        <v>Yes</v>
      </c>
      <c r="R665" s="5">
        <f t="shared" si="175"/>
        <v>1</v>
      </c>
    </row>
    <row r="666" spans="1:18">
      <c r="A666" s="25">
        <f t="shared" si="174"/>
        <v>46899</v>
      </c>
      <c r="B666">
        <f t="shared" si="160"/>
        <v>2028</v>
      </c>
      <c r="C666" s="9">
        <f t="shared" si="161"/>
        <v>5</v>
      </c>
      <c r="D666" s="9" t="str">
        <f t="shared" si="162"/>
        <v>May</v>
      </c>
      <c r="E666" s="9" t="str">
        <f t="shared" si="163"/>
        <v>May-28</v>
      </c>
      <c r="F666" s="9" t="str">
        <f t="shared" si="164"/>
        <v>Q2</v>
      </c>
      <c r="G666" s="9">
        <f t="shared" si="165"/>
        <v>26</v>
      </c>
      <c r="H666" s="9">
        <f t="shared" si="166"/>
        <v>5</v>
      </c>
      <c r="I666" s="9" t="str">
        <f t="shared" si="167"/>
        <v>Friday</v>
      </c>
      <c r="J666" s="9" t="str">
        <f t="shared" si="168"/>
        <v>No</v>
      </c>
      <c r="K666" s="5" t="str">
        <f>IF(COUNTIF(Bank_Holidays!A:A,A666)&gt;0,"Yes","No")</f>
        <v>No</v>
      </c>
      <c r="L666" t="str">
        <f t="shared" si="169"/>
        <v>Yes</v>
      </c>
      <c r="M666">
        <f t="shared" si="170"/>
        <v>21</v>
      </c>
      <c r="N666" s="5" t="str">
        <f t="shared" si="171"/>
        <v>No</v>
      </c>
      <c r="O666" t="str">
        <f>IF(A666=WORKDAY(EOMONTH(A666,0)+1,-1,Bank_Holidays!$A$2:$A$25),"Yes","No")</f>
        <v>No</v>
      </c>
      <c r="P666" t="str">
        <f t="shared" si="172"/>
        <v>Yes</v>
      </c>
      <c r="Q666" t="str">
        <f t="shared" si="173"/>
        <v>No</v>
      </c>
      <c r="R666" s="5">
        <f t="shared" si="175"/>
        <v>4</v>
      </c>
    </row>
    <row r="667" spans="1:18">
      <c r="A667" s="25">
        <f t="shared" si="174"/>
        <v>46900</v>
      </c>
      <c r="B667">
        <f t="shared" si="160"/>
        <v>2028</v>
      </c>
      <c r="C667" s="9">
        <f t="shared" si="161"/>
        <v>5</v>
      </c>
      <c r="D667" s="9" t="str">
        <f t="shared" si="162"/>
        <v>May</v>
      </c>
      <c r="E667" s="9" t="str">
        <f t="shared" si="163"/>
        <v>May-28</v>
      </c>
      <c r="F667" s="9" t="str">
        <f t="shared" si="164"/>
        <v>Q2</v>
      </c>
      <c r="G667" s="9">
        <f t="shared" si="165"/>
        <v>27</v>
      </c>
      <c r="H667" s="9">
        <f t="shared" si="166"/>
        <v>6</v>
      </c>
      <c r="I667" s="9" t="str">
        <f t="shared" si="167"/>
        <v>Saturday</v>
      </c>
      <c r="J667" s="9" t="str">
        <f t="shared" si="168"/>
        <v>Yes</v>
      </c>
      <c r="K667" s="5" t="str">
        <f>IF(COUNTIF(Bank_Holidays!A:A,A667)&gt;0,"Yes","No")</f>
        <v>No</v>
      </c>
      <c r="L667" t="str">
        <f t="shared" si="169"/>
        <v>No</v>
      </c>
      <c r="M667">
        <f t="shared" si="170"/>
        <v>21</v>
      </c>
      <c r="N667" s="5" t="str">
        <f t="shared" si="171"/>
        <v>No</v>
      </c>
      <c r="O667" t="str">
        <f>IF(A667=WORKDAY(EOMONTH(A667,0)+1,-1,Bank_Holidays!$A$2:$A$25),"Yes","No")</f>
        <v>No</v>
      </c>
      <c r="P667" t="str">
        <f t="shared" si="172"/>
        <v>No</v>
      </c>
      <c r="Q667" t="str">
        <f t="shared" si="173"/>
        <v>No</v>
      </c>
      <c r="R667" s="5">
        <f t="shared" si="175"/>
        <v>0</v>
      </c>
    </row>
    <row r="668" spans="1:18">
      <c r="A668" s="25">
        <f t="shared" si="174"/>
        <v>46901</v>
      </c>
      <c r="B668">
        <f t="shared" si="160"/>
        <v>2028</v>
      </c>
      <c r="C668" s="9">
        <f t="shared" si="161"/>
        <v>5</v>
      </c>
      <c r="D668" s="9" t="str">
        <f t="shared" si="162"/>
        <v>May</v>
      </c>
      <c r="E668" s="9" t="str">
        <f t="shared" si="163"/>
        <v>May-28</v>
      </c>
      <c r="F668" s="9" t="str">
        <f t="shared" si="164"/>
        <v>Q2</v>
      </c>
      <c r="G668" s="9">
        <f t="shared" si="165"/>
        <v>28</v>
      </c>
      <c r="H668" s="9">
        <f t="shared" si="166"/>
        <v>7</v>
      </c>
      <c r="I668" s="9" t="str">
        <f t="shared" si="167"/>
        <v>Sunday</v>
      </c>
      <c r="J668" s="9" t="str">
        <f t="shared" si="168"/>
        <v>Yes</v>
      </c>
      <c r="K668" s="5" t="str">
        <f>IF(COUNTIF(Bank_Holidays!A:A,A668)&gt;0,"Yes","No")</f>
        <v>No</v>
      </c>
      <c r="L668" t="str">
        <f t="shared" si="169"/>
        <v>No</v>
      </c>
      <c r="M668">
        <f t="shared" si="170"/>
        <v>21</v>
      </c>
      <c r="N668" s="5" t="str">
        <f t="shared" si="171"/>
        <v>No</v>
      </c>
      <c r="O668" t="str">
        <f>IF(A668=WORKDAY(EOMONTH(A668,0)+1,-1,Bank_Holidays!$A$2:$A$25),"Yes","No")</f>
        <v>No</v>
      </c>
      <c r="P668" t="str">
        <f t="shared" si="172"/>
        <v>No</v>
      </c>
      <c r="Q668" t="str">
        <f t="shared" si="173"/>
        <v>No</v>
      </c>
      <c r="R668" s="5">
        <f t="shared" si="175"/>
        <v>0</v>
      </c>
    </row>
    <row r="669" spans="1:18">
      <c r="A669" s="25">
        <f t="shared" si="174"/>
        <v>46902</v>
      </c>
      <c r="B669">
        <f t="shared" si="160"/>
        <v>2028</v>
      </c>
      <c r="C669" s="9">
        <f t="shared" si="161"/>
        <v>5</v>
      </c>
      <c r="D669" s="9" t="str">
        <f t="shared" si="162"/>
        <v>May</v>
      </c>
      <c r="E669" s="9" t="str">
        <f t="shared" si="163"/>
        <v>May-28</v>
      </c>
      <c r="F669" s="9" t="str">
        <f t="shared" si="164"/>
        <v>Q2</v>
      </c>
      <c r="G669" s="9">
        <f t="shared" si="165"/>
        <v>29</v>
      </c>
      <c r="H669" s="9">
        <f t="shared" si="166"/>
        <v>1</v>
      </c>
      <c r="I669" s="9" t="str">
        <f t="shared" si="167"/>
        <v>Monday</v>
      </c>
      <c r="J669" s="9" t="str">
        <f t="shared" si="168"/>
        <v>No</v>
      </c>
      <c r="K669" s="5" t="str">
        <f>IF(COUNTIF(Bank_Holidays!A:A,A669)&gt;0,"Yes","No")</f>
        <v>Yes</v>
      </c>
      <c r="L669" t="str">
        <f t="shared" si="169"/>
        <v>No</v>
      </c>
      <c r="M669">
        <f t="shared" si="170"/>
        <v>22</v>
      </c>
      <c r="N669" s="5" t="str">
        <f t="shared" si="171"/>
        <v>No</v>
      </c>
      <c r="O669" t="str">
        <f>IF(A669=WORKDAY(EOMONTH(A669,0)+1,-1,Bank_Holidays!$A$2:$A$25),"Yes","No")</f>
        <v>No</v>
      </c>
      <c r="P669" t="str">
        <f t="shared" si="172"/>
        <v>No</v>
      </c>
      <c r="Q669" t="str">
        <f t="shared" si="173"/>
        <v>No</v>
      </c>
      <c r="R669" s="5">
        <f t="shared" si="175"/>
        <v>0</v>
      </c>
    </row>
    <row r="670" spans="1:18">
      <c r="A670" s="25">
        <f t="shared" si="174"/>
        <v>46903</v>
      </c>
      <c r="B670">
        <f t="shared" si="160"/>
        <v>2028</v>
      </c>
      <c r="C670" s="9">
        <f t="shared" si="161"/>
        <v>5</v>
      </c>
      <c r="D670" s="9" t="str">
        <f t="shared" si="162"/>
        <v>May</v>
      </c>
      <c r="E670" s="9" t="str">
        <f t="shared" si="163"/>
        <v>May-28</v>
      </c>
      <c r="F670" s="9" t="str">
        <f t="shared" si="164"/>
        <v>Q2</v>
      </c>
      <c r="G670" s="9">
        <f t="shared" si="165"/>
        <v>30</v>
      </c>
      <c r="H670" s="9">
        <f t="shared" si="166"/>
        <v>2</v>
      </c>
      <c r="I670" s="9" t="str">
        <f t="shared" si="167"/>
        <v>Tuesday</v>
      </c>
      <c r="J670" s="9" t="str">
        <f t="shared" si="168"/>
        <v>No</v>
      </c>
      <c r="K670" s="5" t="str">
        <f>IF(COUNTIF(Bank_Holidays!A:A,A670)&gt;0,"Yes","No")</f>
        <v>No</v>
      </c>
      <c r="L670" t="str">
        <f t="shared" si="169"/>
        <v>Yes</v>
      </c>
      <c r="M670">
        <f t="shared" si="170"/>
        <v>22</v>
      </c>
      <c r="N670" s="5" t="str">
        <f t="shared" si="171"/>
        <v>No</v>
      </c>
      <c r="O670" t="str">
        <f>IF(A670=WORKDAY(EOMONTH(A670,0)+1,-1,Bank_Holidays!$A$2:$A$25),"Yes","No")</f>
        <v>No</v>
      </c>
      <c r="P670" t="str">
        <f t="shared" si="172"/>
        <v>No</v>
      </c>
      <c r="Q670" t="str">
        <f t="shared" si="173"/>
        <v>No</v>
      </c>
      <c r="R670" s="5">
        <f t="shared" si="175"/>
        <v>1</v>
      </c>
    </row>
    <row r="671" spans="1:18">
      <c r="A671" s="25">
        <f t="shared" si="174"/>
        <v>46904</v>
      </c>
      <c r="B671">
        <f t="shared" si="160"/>
        <v>2028</v>
      </c>
      <c r="C671" s="9">
        <f t="shared" si="161"/>
        <v>5</v>
      </c>
      <c r="D671" s="9" t="str">
        <f t="shared" si="162"/>
        <v>May</v>
      </c>
      <c r="E671" s="9" t="str">
        <f t="shared" si="163"/>
        <v>May-28</v>
      </c>
      <c r="F671" s="9" t="str">
        <f t="shared" si="164"/>
        <v>Q2</v>
      </c>
      <c r="G671" s="9">
        <f t="shared" si="165"/>
        <v>31</v>
      </c>
      <c r="H671" s="9">
        <f t="shared" si="166"/>
        <v>3</v>
      </c>
      <c r="I671" s="9" t="str">
        <f t="shared" si="167"/>
        <v>Wednesday</v>
      </c>
      <c r="J671" s="9" t="str">
        <f t="shared" si="168"/>
        <v>No</v>
      </c>
      <c r="K671" s="5" t="str">
        <f>IF(COUNTIF(Bank_Holidays!A:A,A671)&gt;0,"Yes","No")</f>
        <v>No</v>
      </c>
      <c r="L671" t="str">
        <f t="shared" si="169"/>
        <v>Yes</v>
      </c>
      <c r="M671">
        <f t="shared" si="170"/>
        <v>22</v>
      </c>
      <c r="N671" s="5" t="str">
        <f t="shared" si="171"/>
        <v>Yes</v>
      </c>
      <c r="O671" t="str">
        <f>IF(A671=WORKDAY(EOMONTH(A671,0)+1,-1,Bank_Holidays!$A$2:$A$25),"Yes","No")</f>
        <v>Yes</v>
      </c>
      <c r="P671" t="str">
        <f t="shared" si="172"/>
        <v>No</v>
      </c>
      <c r="Q671" t="str">
        <f t="shared" si="173"/>
        <v>No</v>
      </c>
      <c r="R671" s="5">
        <f t="shared" si="175"/>
        <v>1</v>
      </c>
    </row>
    <row r="672" spans="1:18">
      <c r="A672" s="25">
        <f t="shared" si="174"/>
        <v>46905</v>
      </c>
      <c r="B672">
        <f t="shared" si="160"/>
        <v>2028</v>
      </c>
      <c r="C672" s="9">
        <f t="shared" si="161"/>
        <v>6</v>
      </c>
      <c r="D672" s="9" t="str">
        <f t="shared" si="162"/>
        <v>June</v>
      </c>
      <c r="E672" s="9" t="str">
        <f t="shared" si="163"/>
        <v>Jun-28</v>
      </c>
      <c r="F672" s="9" t="str">
        <f t="shared" si="164"/>
        <v>Q2</v>
      </c>
      <c r="G672" s="9">
        <f t="shared" si="165"/>
        <v>1</v>
      </c>
      <c r="H672" s="9">
        <f t="shared" si="166"/>
        <v>4</v>
      </c>
      <c r="I672" s="9" t="str">
        <f t="shared" si="167"/>
        <v>Thursday</v>
      </c>
      <c r="J672" s="9" t="str">
        <f t="shared" si="168"/>
        <v>No</v>
      </c>
      <c r="K672" s="5" t="str">
        <f>IF(COUNTIF(Bank_Holidays!A:A,A672)&gt;0,"Yes","No")</f>
        <v>No</v>
      </c>
      <c r="L672" t="str">
        <f t="shared" si="169"/>
        <v>Yes</v>
      </c>
      <c r="M672">
        <f t="shared" si="170"/>
        <v>22</v>
      </c>
      <c r="N672" s="5" t="str">
        <f t="shared" si="171"/>
        <v>No</v>
      </c>
      <c r="O672" t="str">
        <f>IF(A672=WORKDAY(EOMONTH(A672,0)+1,-1,Bank_Holidays!$A$2:$A$25),"Yes","No")</f>
        <v>No</v>
      </c>
      <c r="P672" t="str">
        <f t="shared" si="172"/>
        <v>No</v>
      </c>
      <c r="Q672" t="str">
        <f t="shared" si="173"/>
        <v>No</v>
      </c>
      <c r="R672" s="5">
        <f t="shared" si="175"/>
        <v>1</v>
      </c>
    </row>
    <row r="673" spans="1:18">
      <c r="A673" s="25">
        <f t="shared" si="174"/>
        <v>46906</v>
      </c>
      <c r="B673">
        <f t="shared" si="160"/>
        <v>2028</v>
      </c>
      <c r="C673" s="9">
        <f t="shared" si="161"/>
        <v>6</v>
      </c>
      <c r="D673" s="9" t="str">
        <f t="shared" si="162"/>
        <v>June</v>
      </c>
      <c r="E673" s="9" t="str">
        <f t="shared" si="163"/>
        <v>Jun-28</v>
      </c>
      <c r="F673" s="9" t="str">
        <f t="shared" si="164"/>
        <v>Q2</v>
      </c>
      <c r="G673" s="9">
        <f t="shared" si="165"/>
        <v>2</v>
      </c>
      <c r="H673" s="9">
        <f t="shared" si="166"/>
        <v>5</v>
      </c>
      <c r="I673" s="9" t="str">
        <f t="shared" si="167"/>
        <v>Friday</v>
      </c>
      <c r="J673" s="9" t="str">
        <f t="shared" si="168"/>
        <v>No</v>
      </c>
      <c r="K673" s="5" t="str">
        <f>IF(COUNTIF(Bank_Holidays!A:A,A673)&gt;0,"Yes","No")</f>
        <v>No</v>
      </c>
      <c r="L673" t="str">
        <f t="shared" si="169"/>
        <v>Yes</v>
      </c>
      <c r="M673">
        <f t="shared" si="170"/>
        <v>22</v>
      </c>
      <c r="N673" s="5" t="str">
        <f t="shared" si="171"/>
        <v>No</v>
      </c>
      <c r="O673" t="str">
        <f>IF(A673=WORKDAY(EOMONTH(A673,0)+1,-1,Bank_Holidays!$A$2:$A$25),"Yes","No")</f>
        <v>No</v>
      </c>
      <c r="P673" t="str">
        <f t="shared" si="172"/>
        <v>No</v>
      </c>
      <c r="Q673" t="str">
        <f t="shared" si="173"/>
        <v>No</v>
      </c>
      <c r="R673" s="5">
        <f t="shared" si="175"/>
        <v>3</v>
      </c>
    </row>
    <row r="674" spans="1:18">
      <c r="A674" s="25">
        <f t="shared" si="174"/>
        <v>46907</v>
      </c>
      <c r="B674">
        <f t="shared" si="160"/>
        <v>2028</v>
      </c>
      <c r="C674" s="9">
        <f t="shared" si="161"/>
        <v>6</v>
      </c>
      <c r="D674" s="9" t="str">
        <f t="shared" si="162"/>
        <v>June</v>
      </c>
      <c r="E674" s="9" t="str">
        <f t="shared" si="163"/>
        <v>Jun-28</v>
      </c>
      <c r="F674" s="9" t="str">
        <f t="shared" si="164"/>
        <v>Q2</v>
      </c>
      <c r="G674" s="9">
        <f t="shared" si="165"/>
        <v>3</v>
      </c>
      <c r="H674" s="9">
        <f t="shared" si="166"/>
        <v>6</v>
      </c>
      <c r="I674" s="9" t="str">
        <f t="shared" si="167"/>
        <v>Saturday</v>
      </c>
      <c r="J674" s="9" t="str">
        <f t="shared" si="168"/>
        <v>Yes</v>
      </c>
      <c r="K674" s="5" t="str">
        <f>IF(COUNTIF(Bank_Holidays!A:A,A674)&gt;0,"Yes","No")</f>
        <v>No</v>
      </c>
      <c r="L674" t="str">
        <f t="shared" si="169"/>
        <v>No</v>
      </c>
      <c r="M674">
        <f t="shared" si="170"/>
        <v>22</v>
      </c>
      <c r="N674" s="5" t="str">
        <f t="shared" si="171"/>
        <v>No</v>
      </c>
      <c r="O674" t="str">
        <f>IF(A674=WORKDAY(EOMONTH(A674,0)+1,-1,Bank_Holidays!$A$2:$A$25),"Yes","No")</f>
        <v>No</v>
      </c>
      <c r="P674" t="str">
        <f t="shared" si="172"/>
        <v>No</v>
      </c>
      <c r="Q674" t="str">
        <f t="shared" si="173"/>
        <v>No</v>
      </c>
      <c r="R674" s="5">
        <f t="shared" si="175"/>
        <v>0</v>
      </c>
    </row>
    <row r="675" spans="1:18">
      <c r="A675" s="25">
        <f t="shared" si="174"/>
        <v>46908</v>
      </c>
      <c r="B675">
        <f t="shared" si="160"/>
        <v>2028</v>
      </c>
      <c r="C675" s="9">
        <f t="shared" si="161"/>
        <v>6</v>
      </c>
      <c r="D675" s="9" t="str">
        <f t="shared" si="162"/>
        <v>June</v>
      </c>
      <c r="E675" s="9" t="str">
        <f t="shared" si="163"/>
        <v>Jun-28</v>
      </c>
      <c r="F675" s="9" t="str">
        <f t="shared" si="164"/>
        <v>Q2</v>
      </c>
      <c r="G675" s="9">
        <f t="shared" si="165"/>
        <v>4</v>
      </c>
      <c r="H675" s="9">
        <f t="shared" si="166"/>
        <v>7</v>
      </c>
      <c r="I675" s="9" t="str">
        <f t="shared" si="167"/>
        <v>Sunday</v>
      </c>
      <c r="J675" s="9" t="str">
        <f t="shared" si="168"/>
        <v>Yes</v>
      </c>
      <c r="K675" s="5" t="str">
        <f>IF(COUNTIF(Bank_Holidays!A:A,A675)&gt;0,"Yes","No")</f>
        <v>No</v>
      </c>
      <c r="L675" t="str">
        <f t="shared" si="169"/>
        <v>No</v>
      </c>
      <c r="M675">
        <f t="shared" si="170"/>
        <v>22</v>
      </c>
      <c r="N675" s="5" t="str">
        <f t="shared" si="171"/>
        <v>No</v>
      </c>
      <c r="O675" t="str">
        <f>IF(A675=WORKDAY(EOMONTH(A675,0)+1,-1,Bank_Holidays!$A$2:$A$25),"Yes","No")</f>
        <v>No</v>
      </c>
      <c r="P675" t="str">
        <f t="shared" si="172"/>
        <v>No</v>
      </c>
      <c r="Q675" t="str">
        <f t="shared" si="173"/>
        <v>No</v>
      </c>
      <c r="R675" s="5">
        <f t="shared" si="175"/>
        <v>0</v>
      </c>
    </row>
    <row r="676" spans="1:18">
      <c r="A676" s="25">
        <f t="shared" si="174"/>
        <v>46909</v>
      </c>
      <c r="B676">
        <f t="shared" si="160"/>
        <v>2028</v>
      </c>
      <c r="C676" s="9">
        <f t="shared" si="161"/>
        <v>6</v>
      </c>
      <c r="D676" s="9" t="str">
        <f t="shared" si="162"/>
        <v>June</v>
      </c>
      <c r="E676" s="9" t="str">
        <f t="shared" si="163"/>
        <v>Jun-28</v>
      </c>
      <c r="F676" s="9" t="str">
        <f t="shared" si="164"/>
        <v>Q2</v>
      </c>
      <c r="G676" s="9">
        <f t="shared" si="165"/>
        <v>5</v>
      </c>
      <c r="H676" s="9">
        <f t="shared" si="166"/>
        <v>1</v>
      </c>
      <c r="I676" s="9" t="str">
        <f t="shared" si="167"/>
        <v>Monday</v>
      </c>
      <c r="J676" s="9" t="str">
        <f t="shared" si="168"/>
        <v>No</v>
      </c>
      <c r="K676" s="5" t="str">
        <f>IF(COUNTIF(Bank_Holidays!A:A,A676)&gt;0,"Yes","No")</f>
        <v>No</v>
      </c>
      <c r="L676" t="str">
        <f t="shared" si="169"/>
        <v>Yes</v>
      </c>
      <c r="M676">
        <f t="shared" si="170"/>
        <v>23</v>
      </c>
      <c r="N676" s="5" t="str">
        <f t="shared" si="171"/>
        <v>No</v>
      </c>
      <c r="O676" t="str">
        <f>IF(A676=WORKDAY(EOMONTH(A676,0)+1,-1,Bank_Holidays!$A$2:$A$25),"Yes","No")</f>
        <v>No</v>
      </c>
      <c r="P676" t="str">
        <f t="shared" si="172"/>
        <v>No</v>
      </c>
      <c r="Q676" t="str">
        <f t="shared" si="173"/>
        <v>No</v>
      </c>
      <c r="R676" s="5">
        <f t="shared" si="175"/>
        <v>1</v>
      </c>
    </row>
    <row r="677" spans="1:18">
      <c r="A677" s="25">
        <f t="shared" si="174"/>
        <v>46910</v>
      </c>
      <c r="B677">
        <f t="shared" si="160"/>
        <v>2028</v>
      </c>
      <c r="C677" s="9">
        <f t="shared" si="161"/>
        <v>6</v>
      </c>
      <c r="D677" s="9" t="str">
        <f t="shared" si="162"/>
        <v>June</v>
      </c>
      <c r="E677" s="9" t="str">
        <f t="shared" si="163"/>
        <v>Jun-28</v>
      </c>
      <c r="F677" s="9" t="str">
        <f t="shared" si="164"/>
        <v>Q2</v>
      </c>
      <c r="G677" s="9">
        <f t="shared" si="165"/>
        <v>6</v>
      </c>
      <c r="H677" s="9">
        <f t="shared" si="166"/>
        <v>2</v>
      </c>
      <c r="I677" s="9" t="str">
        <f t="shared" si="167"/>
        <v>Tuesday</v>
      </c>
      <c r="J677" s="9" t="str">
        <f t="shared" si="168"/>
        <v>No</v>
      </c>
      <c r="K677" s="5" t="str">
        <f>IF(COUNTIF(Bank_Holidays!A:A,A677)&gt;0,"Yes","No")</f>
        <v>No</v>
      </c>
      <c r="L677" t="str">
        <f t="shared" si="169"/>
        <v>Yes</v>
      </c>
      <c r="M677">
        <f t="shared" si="170"/>
        <v>23</v>
      </c>
      <c r="N677" s="5" t="str">
        <f t="shared" si="171"/>
        <v>No</v>
      </c>
      <c r="O677" t="str">
        <f>IF(A677=WORKDAY(EOMONTH(A677,0)+1,-1,Bank_Holidays!$A$2:$A$25),"Yes","No")</f>
        <v>No</v>
      </c>
      <c r="P677" t="str">
        <f t="shared" si="172"/>
        <v>No</v>
      </c>
      <c r="Q677" t="str">
        <f t="shared" si="173"/>
        <v>No</v>
      </c>
      <c r="R677" s="5">
        <f t="shared" si="175"/>
        <v>1</v>
      </c>
    </row>
    <row r="678" spans="1:18">
      <c r="A678" s="25">
        <f t="shared" si="174"/>
        <v>46911</v>
      </c>
      <c r="B678">
        <f t="shared" si="160"/>
        <v>2028</v>
      </c>
      <c r="C678" s="9">
        <f t="shared" si="161"/>
        <v>6</v>
      </c>
      <c r="D678" s="9" t="str">
        <f t="shared" si="162"/>
        <v>June</v>
      </c>
      <c r="E678" s="9" t="str">
        <f t="shared" si="163"/>
        <v>Jun-28</v>
      </c>
      <c r="F678" s="9" t="str">
        <f t="shared" si="164"/>
        <v>Q2</v>
      </c>
      <c r="G678" s="9">
        <f t="shared" si="165"/>
        <v>7</v>
      </c>
      <c r="H678" s="9">
        <f t="shared" si="166"/>
        <v>3</v>
      </c>
      <c r="I678" s="9" t="str">
        <f t="shared" si="167"/>
        <v>Wednesday</v>
      </c>
      <c r="J678" s="9" t="str">
        <f t="shared" si="168"/>
        <v>No</v>
      </c>
      <c r="K678" s="5" t="str">
        <f>IF(COUNTIF(Bank_Holidays!A:A,A678)&gt;0,"Yes","No")</f>
        <v>No</v>
      </c>
      <c r="L678" t="str">
        <f t="shared" si="169"/>
        <v>Yes</v>
      </c>
      <c r="M678">
        <f t="shared" si="170"/>
        <v>23</v>
      </c>
      <c r="N678" s="5" t="str">
        <f t="shared" si="171"/>
        <v>No</v>
      </c>
      <c r="O678" t="str">
        <f>IF(A678=WORKDAY(EOMONTH(A678,0)+1,-1,Bank_Holidays!$A$2:$A$25),"Yes","No")</f>
        <v>No</v>
      </c>
      <c r="P678" t="str">
        <f t="shared" si="172"/>
        <v>No</v>
      </c>
      <c r="Q678" t="str">
        <f t="shared" si="173"/>
        <v>No</v>
      </c>
      <c r="R678" s="5">
        <f t="shared" si="175"/>
        <v>1</v>
      </c>
    </row>
    <row r="679" spans="1:18">
      <c r="A679" s="25">
        <f t="shared" si="174"/>
        <v>46912</v>
      </c>
      <c r="B679">
        <f t="shared" si="160"/>
        <v>2028</v>
      </c>
      <c r="C679" s="9">
        <f t="shared" si="161"/>
        <v>6</v>
      </c>
      <c r="D679" s="9" t="str">
        <f t="shared" si="162"/>
        <v>June</v>
      </c>
      <c r="E679" s="9" t="str">
        <f t="shared" si="163"/>
        <v>Jun-28</v>
      </c>
      <c r="F679" s="9" t="str">
        <f t="shared" si="164"/>
        <v>Q2</v>
      </c>
      <c r="G679" s="9">
        <f t="shared" si="165"/>
        <v>8</v>
      </c>
      <c r="H679" s="9">
        <f t="shared" si="166"/>
        <v>4</v>
      </c>
      <c r="I679" s="9" t="str">
        <f t="shared" si="167"/>
        <v>Thursday</v>
      </c>
      <c r="J679" s="9" t="str">
        <f t="shared" si="168"/>
        <v>No</v>
      </c>
      <c r="K679" s="5" t="str">
        <f>IF(COUNTIF(Bank_Holidays!A:A,A679)&gt;0,"Yes","No")</f>
        <v>No</v>
      </c>
      <c r="L679" t="str">
        <f t="shared" si="169"/>
        <v>Yes</v>
      </c>
      <c r="M679">
        <f t="shared" si="170"/>
        <v>23</v>
      </c>
      <c r="N679" s="5" t="str">
        <f t="shared" si="171"/>
        <v>No</v>
      </c>
      <c r="O679" t="str">
        <f>IF(A679=WORKDAY(EOMONTH(A679,0)+1,-1,Bank_Holidays!$A$2:$A$25),"Yes","No")</f>
        <v>No</v>
      </c>
      <c r="P679" t="str">
        <f t="shared" si="172"/>
        <v>No</v>
      </c>
      <c r="Q679" t="str">
        <f t="shared" si="173"/>
        <v>No</v>
      </c>
      <c r="R679" s="5">
        <f t="shared" si="175"/>
        <v>1</v>
      </c>
    </row>
    <row r="680" spans="1:18">
      <c r="A680" s="25">
        <f t="shared" si="174"/>
        <v>46913</v>
      </c>
      <c r="B680">
        <f t="shared" si="160"/>
        <v>2028</v>
      </c>
      <c r="C680" s="9">
        <f t="shared" si="161"/>
        <v>6</v>
      </c>
      <c r="D680" s="9" t="str">
        <f t="shared" si="162"/>
        <v>June</v>
      </c>
      <c r="E680" s="9" t="str">
        <f t="shared" si="163"/>
        <v>Jun-28</v>
      </c>
      <c r="F680" s="9" t="str">
        <f t="shared" si="164"/>
        <v>Q2</v>
      </c>
      <c r="G680" s="9">
        <f t="shared" si="165"/>
        <v>9</v>
      </c>
      <c r="H680" s="9">
        <f t="shared" si="166"/>
        <v>5</v>
      </c>
      <c r="I680" s="9" t="str">
        <f t="shared" si="167"/>
        <v>Friday</v>
      </c>
      <c r="J680" s="9" t="str">
        <f t="shared" si="168"/>
        <v>No</v>
      </c>
      <c r="K680" s="5" t="str">
        <f>IF(COUNTIF(Bank_Holidays!A:A,A680)&gt;0,"Yes","No")</f>
        <v>No</v>
      </c>
      <c r="L680" t="str">
        <f t="shared" si="169"/>
        <v>Yes</v>
      </c>
      <c r="M680">
        <f t="shared" si="170"/>
        <v>23</v>
      </c>
      <c r="N680" s="5" t="str">
        <f t="shared" si="171"/>
        <v>No</v>
      </c>
      <c r="O680" t="str">
        <f>IF(A680=WORKDAY(EOMONTH(A680,0)+1,-1,Bank_Holidays!$A$2:$A$25),"Yes","No")</f>
        <v>No</v>
      </c>
      <c r="P680" t="str">
        <f t="shared" si="172"/>
        <v>No</v>
      </c>
      <c r="Q680" t="str">
        <f t="shared" si="173"/>
        <v>No</v>
      </c>
      <c r="R680" s="5">
        <f t="shared" si="175"/>
        <v>3</v>
      </c>
    </row>
    <row r="681" spans="1:18">
      <c r="A681" s="25">
        <f t="shared" si="174"/>
        <v>46914</v>
      </c>
      <c r="B681">
        <f t="shared" si="160"/>
        <v>2028</v>
      </c>
      <c r="C681" s="9">
        <f t="shared" si="161"/>
        <v>6</v>
      </c>
      <c r="D681" s="9" t="str">
        <f t="shared" si="162"/>
        <v>June</v>
      </c>
      <c r="E681" s="9" t="str">
        <f t="shared" si="163"/>
        <v>Jun-28</v>
      </c>
      <c r="F681" s="9" t="str">
        <f t="shared" si="164"/>
        <v>Q2</v>
      </c>
      <c r="G681" s="9">
        <f t="shared" si="165"/>
        <v>10</v>
      </c>
      <c r="H681" s="9">
        <f t="shared" si="166"/>
        <v>6</v>
      </c>
      <c r="I681" s="9" t="str">
        <f t="shared" si="167"/>
        <v>Saturday</v>
      </c>
      <c r="J681" s="9" t="str">
        <f t="shared" si="168"/>
        <v>Yes</v>
      </c>
      <c r="K681" s="5" t="str">
        <f>IF(COUNTIF(Bank_Holidays!A:A,A681)&gt;0,"Yes","No")</f>
        <v>No</v>
      </c>
      <c r="L681" t="str">
        <f t="shared" si="169"/>
        <v>No</v>
      </c>
      <c r="M681">
        <f t="shared" si="170"/>
        <v>23</v>
      </c>
      <c r="N681" s="5" t="str">
        <f t="shared" si="171"/>
        <v>No</v>
      </c>
      <c r="O681" t="str">
        <f>IF(A681=WORKDAY(EOMONTH(A681,0)+1,-1,Bank_Holidays!$A$2:$A$25),"Yes","No")</f>
        <v>No</v>
      </c>
      <c r="P681" t="str">
        <f t="shared" si="172"/>
        <v>No</v>
      </c>
      <c r="Q681" t="str">
        <f t="shared" si="173"/>
        <v>No</v>
      </c>
      <c r="R681" s="5">
        <f t="shared" si="175"/>
        <v>0</v>
      </c>
    </row>
    <row r="682" spans="1:18">
      <c r="A682" s="25">
        <f t="shared" si="174"/>
        <v>46915</v>
      </c>
      <c r="B682">
        <f t="shared" si="160"/>
        <v>2028</v>
      </c>
      <c r="C682" s="9">
        <f t="shared" si="161"/>
        <v>6</v>
      </c>
      <c r="D682" s="9" t="str">
        <f t="shared" si="162"/>
        <v>June</v>
      </c>
      <c r="E682" s="9" t="str">
        <f t="shared" si="163"/>
        <v>Jun-28</v>
      </c>
      <c r="F682" s="9" t="str">
        <f t="shared" si="164"/>
        <v>Q2</v>
      </c>
      <c r="G682" s="9">
        <f t="shared" si="165"/>
        <v>11</v>
      </c>
      <c r="H682" s="9">
        <f t="shared" si="166"/>
        <v>7</v>
      </c>
      <c r="I682" s="9" t="str">
        <f t="shared" si="167"/>
        <v>Sunday</v>
      </c>
      <c r="J682" s="9" t="str">
        <f t="shared" si="168"/>
        <v>Yes</v>
      </c>
      <c r="K682" s="5" t="str">
        <f>IF(COUNTIF(Bank_Holidays!A:A,A682)&gt;0,"Yes","No")</f>
        <v>No</v>
      </c>
      <c r="L682" t="str">
        <f t="shared" si="169"/>
        <v>No</v>
      </c>
      <c r="M682">
        <f t="shared" si="170"/>
        <v>23</v>
      </c>
      <c r="N682" s="5" t="str">
        <f t="shared" si="171"/>
        <v>No</v>
      </c>
      <c r="O682" t="str">
        <f>IF(A682=WORKDAY(EOMONTH(A682,0)+1,-1,Bank_Holidays!$A$2:$A$25),"Yes","No")</f>
        <v>No</v>
      </c>
      <c r="P682" t="str">
        <f t="shared" si="172"/>
        <v>No</v>
      </c>
      <c r="Q682" t="str">
        <f t="shared" si="173"/>
        <v>No</v>
      </c>
      <c r="R682" s="5">
        <f t="shared" si="175"/>
        <v>0</v>
      </c>
    </row>
    <row r="683" spans="1:18">
      <c r="A683" s="25">
        <f t="shared" si="174"/>
        <v>46916</v>
      </c>
      <c r="B683">
        <f t="shared" si="160"/>
        <v>2028</v>
      </c>
      <c r="C683" s="9">
        <f t="shared" si="161"/>
        <v>6</v>
      </c>
      <c r="D683" s="9" t="str">
        <f t="shared" si="162"/>
        <v>June</v>
      </c>
      <c r="E683" s="9" t="str">
        <f t="shared" si="163"/>
        <v>Jun-28</v>
      </c>
      <c r="F683" s="9" t="str">
        <f t="shared" si="164"/>
        <v>Q2</v>
      </c>
      <c r="G683" s="9">
        <f t="shared" si="165"/>
        <v>12</v>
      </c>
      <c r="H683" s="9">
        <f t="shared" si="166"/>
        <v>1</v>
      </c>
      <c r="I683" s="9" t="str">
        <f t="shared" si="167"/>
        <v>Monday</v>
      </c>
      <c r="J683" s="9" t="str">
        <f t="shared" si="168"/>
        <v>No</v>
      </c>
      <c r="K683" s="5" t="str">
        <f>IF(COUNTIF(Bank_Holidays!A:A,A683)&gt;0,"Yes","No")</f>
        <v>No</v>
      </c>
      <c r="L683" t="str">
        <f t="shared" si="169"/>
        <v>Yes</v>
      </c>
      <c r="M683">
        <f t="shared" si="170"/>
        <v>24</v>
      </c>
      <c r="N683" s="5" t="str">
        <f t="shared" si="171"/>
        <v>No</v>
      </c>
      <c r="O683" t="str">
        <f>IF(A683=WORKDAY(EOMONTH(A683,0)+1,-1,Bank_Holidays!$A$2:$A$25),"Yes","No")</f>
        <v>No</v>
      </c>
      <c r="P683" t="str">
        <f t="shared" si="172"/>
        <v>No</v>
      </c>
      <c r="Q683" t="str">
        <f t="shared" si="173"/>
        <v>No</v>
      </c>
      <c r="R683" s="5">
        <f t="shared" si="175"/>
        <v>1</v>
      </c>
    </row>
    <row r="684" spans="1:18">
      <c r="A684" s="25">
        <f t="shared" si="174"/>
        <v>46917</v>
      </c>
      <c r="B684">
        <f t="shared" si="160"/>
        <v>2028</v>
      </c>
      <c r="C684" s="9">
        <f t="shared" si="161"/>
        <v>6</v>
      </c>
      <c r="D684" s="9" t="str">
        <f t="shared" si="162"/>
        <v>June</v>
      </c>
      <c r="E684" s="9" t="str">
        <f t="shared" si="163"/>
        <v>Jun-28</v>
      </c>
      <c r="F684" s="9" t="str">
        <f t="shared" si="164"/>
        <v>Q2</v>
      </c>
      <c r="G684" s="9">
        <f t="shared" si="165"/>
        <v>13</v>
      </c>
      <c r="H684" s="9">
        <f t="shared" si="166"/>
        <v>2</v>
      </c>
      <c r="I684" s="9" t="str">
        <f t="shared" si="167"/>
        <v>Tuesday</v>
      </c>
      <c r="J684" s="9" t="str">
        <f t="shared" si="168"/>
        <v>No</v>
      </c>
      <c r="K684" s="5" t="str">
        <f>IF(COUNTIF(Bank_Holidays!A:A,A684)&gt;0,"Yes","No")</f>
        <v>No</v>
      </c>
      <c r="L684" t="str">
        <f t="shared" si="169"/>
        <v>Yes</v>
      </c>
      <c r="M684">
        <f t="shared" si="170"/>
        <v>24</v>
      </c>
      <c r="N684" s="5" t="str">
        <f t="shared" si="171"/>
        <v>No</v>
      </c>
      <c r="O684" t="str">
        <f>IF(A684=WORKDAY(EOMONTH(A684,0)+1,-1,Bank_Holidays!$A$2:$A$25),"Yes","No")</f>
        <v>No</v>
      </c>
      <c r="P684" t="str">
        <f t="shared" si="172"/>
        <v>No</v>
      </c>
      <c r="Q684" t="str">
        <f t="shared" si="173"/>
        <v>No</v>
      </c>
      <c r="R684" s="5">
        <f t="shared" si="175"/>
        <v>1</v>
      </c>
    </row>
    <row r="685" spans="1:18">
      <c r="A685" s="25">
        <f t="shared" si="174"/>
        <v>46918</v>
      </c>
      <c r="B685">
        <f t="shared" si="160"/>
        <v>2028</v>
      </c>
      <c r="C685" s="9">
        <f t="shared" si="161"/>
        <v>6</v>
      </c>
      <c r="D685" s="9" t="str">
        <f t="shared" si="162"/>
        <v>June</v>
      </c>
      <c r="E685" s="9" t="str">
        <f t="shared" si="163"/>
        <v>Jun-28</v>
      </c>
      <c r="F685" s="9" t="str">
        <f t="shared" si="164"/>
        <v>Q2</v>
      </c>
      <c r="G685" s="9">
        <f t="shared" si="165"/>
        <v>14</v>
      </c>
      <c r="H685" s="9">
        <f t="shared" si="166"/>
        <v>3</v>
      </c>
      <c r="I685" s="9" t="str">
        <f t="shared" si="167"/>
        <v>Wednesday</v>
      </c>
      <c r="J685" s="9" t="str">
        <f t="shared" si="168"/>
        <v>No</v>
      </c>
      <c r="K685" s="5" t="str">
        <f>IF(COUNTIF(Bank_Holidays!A:A,A685)&gt;0,"Yes","No")</f>
        <v>No</v>
      </c>
      <c r="L685" t="str">
        <f t="shared" si="169"/>
        <v>Yes</v>
      </c>
      <c r="M685">
        <f t="shared" si="170"/>
        <v>24</v>
      </c>
      <c r="N685" s="5" t="str">
        <f t="shared" si="171"/>
        <v>No</v>
      </c>
      <c r="O685" t="str">
        <f>IF(A685=WORKDAY(EOMONTH(A685,0)+1,-1,Bank_Holidays!$A$2:$A$25),"Yes","No")</f>
        <v>No</v>
      </c>
      <c r="P685" t="str">
        <f t="shared" si="172"/>
        <v>No</v>
      </c>
      <c r="Q685" t="str">
        <f t="shared" si="173"/>
        <v>No</v>
      </c>
      <c r="R685" s="5">
        <f t="shared" si="175"/>
        <v>1</v>
      </c>
    </row>
    <row r="686" spans="1:18">
      <c r="A686" s="25">
        <f t="shared" si="174"/>
        <v>46919</v>
      </c>
      <c r="B686">
        <f t="shared" si="160"/>
        <v>2028</v>
      </c>
      <c r="C686" s="9">
        <f t="shared" si="161"/>
        <v>6</v>
      </c>
      <c r="D686" s="9" t="str">
        <f t="shared" si="162"/>
        <v>June</v>
      </c>
      <c r="E686" s="9" t="str">
        <f t="shared" si="163"/>
        <v>Jun-28</v>
      </c>
      <c r="F686" s="9" t="str">
        <f t="shared" si="164"/>
        <v>Q2</v>
      </c>
      <c r="G686" s="9">
        <f t="shared" si="165"/>
        <v>15</v>
      </c>
      <c r="H686" s="9">
        <f t="shared" si="166"/>
        <v>4</v>
      </c>
      <c r="I686" s="9" t="str">
        <f t="shared" si="167"/>
        <v>Thursday</v>
      </c>
      <c r="J686" s="9" t="str">
        <f t="shared" si="168"/>
        <v>No</v>
      </c>
      <c r="K686" s="5" t="str">
        <f>IF(COUNTIF(Bank_Holidays!A:A,A686)&gt;0,"Yes","No")</f>
        <v>No</v>
      </c>
      <c r="L686" t="str">
        <f t="shared" si="169"/>
        <v>Yes</v>
      </c>
      <c r="M686">
        <f t="shared" si="170"/>
        <v>24</v>
      </c>
      <c r="N686" s="5" t="str">
        <f t="shared" si="171"/>
        <v>No</v>
      </c>
      <c r="O686" t="str">
        <f>IF(A686=WORKDAY(EOMONTH(A686,0)+1,-1,Bank_Holidays!$A$2:$A$25),"Yes","No")</f>
        <v>No</v>
      </c>
      <c r="P686" t="str">
        <f t="shared" si="172"/>
        <v>No</v>
      </c>
      <c r="Q686" t="str">
        <f t="shared" si="173"/>
        <v>No</v>
      </c>
      <c r="R686" s="5">
        <f t="shared" si="175"/>
        <v>1</v>
      </c>
    </row>
    <row r="687" spans="1:18">
      <c r="A687" s="25">
        <f t="shared" si="174"/>
        <v>46920</v>
      </c>
      <c r="B687">
        <f t="shared" si="160"/>
        <v>2028</v>
      </c>
      <c r="C687" s="9">
        <f t="shared" si="161"/>
        <v>6</v>
      </c>
      <c r="D687" s="9" t="str">
        <f t="shared" si="162"/>
        <v>June</v>
      </c>
      <c r="E687" s="9" t="str">
        <f t="shared" si="163"/>
        <v>Jun-28</v>
      </c>
      <c r="F687" s="9" t="str">
        <f t="shared" si="164"/>
        <v>Q2</v>
      </c>
      <c r="G687" s="9">
        <f t="shared" si="165"/>
        <v>16</v>
      </c>
      <c r="H687" s="9">
        <f t="shared" si="166"/>
        <v>5</v>
      </c>
      <c r="I687" s="9" t="str">
        <f t="shared" si="167"/>
        <v>Friday</v>
      </c>
      <c r="J687" s="9" t="str">
        <f t="shared" si="168"/>
        <v>No</v>
      </c>
      <c r="K687" s="5" t="str">
        <f>IF(COUNTIF(Bank_Holidays!A:A,A687)&gt;0,"Yes","No")</f>
        <v>No</v>
      </c>
      <c r="L687" t="str">
        <f t="shared" si="169"/>
        <v>Yes</v>
      </c>
      <c r="M687">
        <f t="shared" si="170"/>
        <v>24</v>
      </c>
      <c r="N687" s="5" t="str">
        <f t="shared" si="171"/>
        <v>No</v>
      </c>
      <c r="O687" t="str">
        <f>IF(A687=WORKDAY(EOMONTH(A687,0)+1,-1,Bank_Holidays!$A$2:$A$25),"Yes","No")</f>
        <v>No</v>
      </c>
      <c r="P687" t="str">
        <f t="shared" si="172"/>
        <v>No</v>
      </c>
      <c r="Q687" t="str">
        <f t="shared" si="173"/>
        <v>No</v>
      </c>
      <c r="R687" s="5">
        <f t="shared" si="175"/>
        <v>3</v>
      </c>
    </row>
    <row r="688" spans="1:18">
      <c r="A688" s="25">
        <f t="shared" si="174"/>
        <v>46921</v>
      </c>
      <c r="B688">
        <f t="shared" si="160"/>
        <v>2028</v>
      </c>
      <c r="C688" s="9">
        <f t="shared" si="161"/>
        <v>6</v>
      </c>
      <c r="D688" s="9" t="str">
        <f t="shared" si="162"/>
        <v>June</v>
      </c>
      <c r="E688" s="9" t="str">
        <f t="shared" si="163"/>
        <v>Jun-28</v>
      </c>
      <c r="F688" s="9" t="str">
        <f t="shared" si="164"/>
        <v>Q2</v>
      </c>
      <c r="G688" s="9">
        <f t="shared" si="165"/>
        <v>17</v>
      </c>
      <c r="H688" s="9">
        <f t="shared" si="166"/>
        <v>6</v>
      </c>
      <c r="I688" s="9" t="str">
        <f t="shared" si="167"/>
        <v>Saturday</v>
      </c>
      <c r="J688" s="9" t="str">
        <f t="shared" si="168"/>
        <v>Yes</v>
      </c>
      <c r="K688" s="5" t="str">
        <f>IF(COUNTIF(Bank_Holidays!A:A,A688)&gt;0,"Yes","No")</f>
        <v>No</v>
      </c>
      <c r="L688" t="str">
        <f t="shared" si="169"/>
        <v>No</v>
      </c>
      <c r="M688">
        <f t="shared" si="170"/>
        <v>24</v>
      </c>
      <c r="N688" s="5" t="str">
        <f t="shared" si="171"/>
        <v>No</v>
      </c>
      <c r="O688" t="str">
        <f>IF(A688=WORKDAY(EOMONTH(A688,0)+1,-1,Bank_Holidays!$A$2:$A$25),"Yes","No")</f>
        <v>No</v>
      </c>
      <c r="P688" t="str">
        <f t="shared" si="172"/>
        <v>No</v>
      </c>
      <c r="Q688" t="str">
        <f t="shared" si="173"/>
        <v>No</v>
      </c>
      <c r="R688" s="5">
        <f t="shared" si="175"/>
        <v>0</v>
      </c>
    </row>
    <row r="689" spans="1:18">
      <c r="A689" s="25">
        <f t="shared" si="174"/>
        <v>46922</v>
      </c>
      <c r="B689">
        <f t="shared" si="160"/>
        <v>2028</v>
      </c>
      <c r="C689" s="9">
        <f t="shared" si="161"/>
        <v>6</v>
      </c>
      <c r="D689" s="9" t="str">
        <f t="shared" si="162"/>
        <v>June</v>
      </c>
      <c r="E689" s="9" t="str">
        <f t="shared" si="163"/>
        <v>Jun-28</v>
      </c>
      <c r="F689" s="9" t="str">
        <f t="shared" si="164"/>
        <v>Q2</v>
      </c>
      <c r="G689" s="9">
        <f t="shared" si="165"/>
        <v>18</v>
      </c>
      <c r="H689" s="9">
        <f t="shared" si="166"/>
        <v>7</v>
      </c>
      <c r="I689" s="9" t="str">
        <f t="shared" si="167"/>
        <v>Sunday</v>
      </c>
      <c r="J689" s="9" t="str">
        <f t="shared" si="168"/>
        <v>Yes</v>
      </c>
      <c r="K689" s="5" t="str">
        <f>IF(COUNTIF(Bank_Holidays!A:A,A689)&gt;0,"Yes","No")</f>
        <v>No</v>
      </c>
      <c r="L689" t="str">
        <f t="shared" si="169"/>
        <v>No</v>
      </c>
      <c r="M689">
        <f t="shared" si="170"/>
        <v>24</v>
      </c>
      <c r="N689" s="5" t="str">
        <f t="shared" si="171"/>
        <v>No</v>
      </c>
      <c r="O689" t="str">
        <f>IF(A689=WORKDAY(EOMONTH(A689,0)+1,-1,Bank_Holidays!$A$2:$A$25),"Yes","No")</f>
        <v>No</v>
      </c>
      <c r="P689" t="str">
        <f t="shared" si="172"/>
        <v>No</v>
      </c>
      <c r="Q689" t="str">
        <f t="shared" si="173"/>
        <v>No</v>
      </c>
      <c r="R689" s="5">
        <f t="shared" si="175"/>
        <v>0</v>
      </c>
    </row>
    <row r="690" spans="1:18">
      <c r="A690" s="25">
        <f t="shared" si="174"/>
        <v>46923</v>
      </c>
      <c r="B690">
        <f t="shared" si="160"/>
        <v>2028</v>
      </c>
      <c r="C690" s="9">
        <f t="shared" si="161"/>
        <v>6</v>
      </c>
      <c r="D690" s="9" t="str">
        <f t="shared" si="162"/>
        <v>June</v>
      </c>
      <c r="E690" s="9" t="str">
        <f t="shared" si="163"/>
        <v>Jun-28</v>
      </c>
      <c r="F690" s="9" t="str">
        <f t="shared" si="164"/>
        <v>Q2</v>
      </c>
      <c r="G690" s="9">
        <f t="shared" si="165"/>
        <v>19</v>
      </c>
      <c r="H690" s="9">
        <f t="shared" si="166"/>
        <v>1</v>
      </c>
      <c r="I690" s="9" t="str">
        <f t="shared" si="167"/>
        <v>Monday</v>
      </c>
      <c r="J690" s="9" t="str">
        <f t="shared" si="168"/>
        <v>No</v>
      </c>
      <c r="K690" s="5" t="str">
        <f>IF(COUNTIF(Bank_Holidays!A:A,A690)&gt;0,"Yes","No")</f>
        <v>No</v>
      </c>
      <c r="L690" t="str">
        <f t="shared" si="169"/>
        <v>Yes</v>
      </c>
      <c r="M690">
        <f t="shared" si="170"/>
        <v>25</v>
      </c>
      <c r="N690" s="5" t="str">
        <f t="shared" si="171"/>
        <v>No</v>
      </c>
      <c r="O690" t="str">
        <f>IF(A690=WORKDAY(EOMONTH(A690,0)+1,-1,Bank_Holidays!$A$2:$A$25),"Yes","No")</f>
        <v>No</v>
      </c>
      <c r="P690" t="str">
        <f t="shared" si="172"/>
        <v>No</v>
      </c>
      <c r="Q690" t="str">
        <f t="shared" si="173"/>
        <v>No</v>
      </c>
      <c r="R690" s="5">
        <f t="shared" si="175"/>
        <v>1</v>
      </c>
    </row>
    <row r="691" spans="1:18">
      <c r="A691" s="25">
        <f t="shared" si="174"/>
        <v>46924</v>
      </c>
      <c r="B691">
        <f t="shared" si="160"/>
        <v>2028</v>
      </c>
      <c r="C691" s="9">
        <f t="shared" si="161"/>
        <v>6</v>
      </c>
      <c r="D691" s="9" t="str">
        <f t="shared" si="162"/>
        <v>June</v>
      </c>
      <c r="E691" s="9" t="str">
        <f t="shared" si="163"/>
        <v>Jun-28</v>
      </c>
      <c r="F691" s="9" t="str">
        <f t="shared" si="164"/>
        <v>Q2</v>
      </c>
      <c r="G691" s="9">
        <f t="shared" si="165"/>
        <v>20</v>
      </c>
      <c r="H691" s="9">
        <f t="shared" si="166"/>
        <v>2</v>
      </c>
      <c r="I691" s="9" t="str">
        <f t="shared" si="167"/>
        <v>Tuesday</v>
      </c>
      <c r="J691" s="9" t="str">
        <f t="shared" si="168"/>
        <v>No</v>
      </c>
      <c r="K691" s="5" t="str">
        <f>IF(COUNTIF(Bank_Holidays!A:A,A691)&gt;0,"Yes","No")</f>
        <v>No</v>
      </c>
      <c r="L691" t="str">
        <f t="shared" si="169"/>
        <v>Yes</v>
      </c>
      <c r="M691">
        <f t="shared" si="170"/>
        <v>25</v>
      </c>
      <c r="N691" s="5" t="str">
        <f t="shared" si="171"/>
        <v>No</v>
      </c>
      <c r="O691" t="str">
        <f>IF(A691=WORKDAY(EOMONTH(A691,0)+1,-1,Bank_Holidays!$A$2:$A$25),"Yes","No")</f>
        <v>No</v>
      </c>
      <c r="P691" t="str">
        <f t="shared" si="172"/>
        <v>No</v>
      </c>
      <c r="Q691" t="str">
        <f t="shared" si="173"/>
        <v>No</v>
      </c>
      <c r="R691" s="5">
        <f t="shared" si="175"/>
        <v>1</v>
      </c>
    </row>
    <row r="692" spans="1:18">
      <c r="A692" s="25">
        <f t="shared" si="174"/>
        <v>46925</v>
      </c>
      <c r="B692">
        <f t="shared" si="160"/>
        <v>2028</v>
      </c>
      <c r="C692" s="9">
        <f t="shared" si="161"/>
        <v>6</v>
      </c>
      <c r="D692" s="9" t="str">
        <f t="shared" si="162"/>
        <v>June</v>
      </c>
      <c r="E692" s="9" t="str">
        <f t="shared" si="163"/>
        <v>Jun-28</v>
      </c>
      <c r="F692" s="9" t="str">
        <f t="shared" si="164"/>
        <v>Q2</v>
      </c>
      <c r="G692" s="9">
        <f t="shared" si="165"/>
        <v>21</v>
      </c>
      <c r="H692" s="9">
        <f t="shared" si="166"/>
        <v>3</v>
      </c>
      <c r="I692" s="9" t="str">
        <f t="shared" si="167"/>
        <v>Wednesday</v>
      </c>
      <c r="J692" s="9" t="str">
        <f t="shared" si="168"/>
        <v>No</v>
      </c>
      <c r="K692" s="5" t="str">
        <f>IF(COUNTIF(Bank_Holidays!A:A,A692)&gt;0,"Yes","No")</f>
        <v>No</v>
      </c>
      <c r="L692" t="str">
        <f t="shared" si="169"/>
        <v>Yes</v>
      </c>
      <c r="M692">
        <f t="shared" si="170"/>
        <v>25</v>
      </c>
      <c r="N692" s="5" t="str">
        <f t="shared" si="171"/>
        <v>No</v>
      </c>
      <c r="O692" t="str">
        <f>IF(A692=WORKDAY(EOMONTH(A692,0)+1,-1,Bank_Holidays!$A$2:$A$25),"Yes","No")</f>
        <v>No</v>
      </c>
      <c r="P692" t="str">
        <f t="shared" si="172"/>
        <v>No</v>
      </c>
      <c r="Q692" t="str">
        <f t="shared" si="173"/>
        <v>No</v>
      </c>
      <c r="R692" s="5">
        <f t="shared" si="175"/>
        <v>1</v>
      </c>
    </row>
    <row r="693" spans="1:18">
      <c r="A693" s="25">
        <f t="shared" si="174"/>
        <v>46926</v>
      </c>
      <c r="B693">
        <f t="shared" si="160"/>
        <v>2028</v>
      </c>
      <c r="C693" s="9">
        <f t="shared" si="161"/>
        <v>6</v>
      </c>
      <c r="D693" s="9" t="str">
        <f t="shared" si="162"/>
        <v>June</v>
      </c>
      <c r="E693" s="9" t="str">
        <f t="shared" si="163"/>
        <v>Jun-28</v>
      </c>
      <c r="F693" s="9" t="str">
        <f t="shared" si="164"/>
        <v>Q2</v>
      </c>
      <c r="G693" s="9">
        <f t="shared" si="165"/>
        <v>22</v>
      </c>
      <c r="H693" s="9">
        <f t="shared" si="166"/>
        <v>4</v>
      </c>
      <c r="I693" s="9" t="str">
        <f t="shared" si="167"/>
        <v>Thursday</v>
      </c>
      <c r="J693" s="9" t="str">
        <f t="shared" si="168"/>
        <v>No</v>
      </c>
      <c r="K693" s="5" t="str">
        <f>IF(COUNTIF(Bank_Holidays!A:A,A693)&gt;0,"Yes","No")</f>
        <v>No</v>
      </c>
      <c r="L693" t="str">
        <f t="shared" si="169"/>
        <v>Yes</v>
      </c>
      <c r="M693">
        <f t="shared" si="170"/>
        <v>25</v>
      </c>
      <c r="N693" s="5" t="str">
        <f t="shared" si="171"/>
        <v>No</v>
      </c>
      <c r="O693" t="str">
        <f>IF(A693=WORKDAY(EOMONTH(A693,0)+1,-1,Bank_Holidays!$A$2:$A$25),"Yes","No")</f>
        <v>No</v>
      </c>
      <c r="P693" t="str">
        <f t="shared" si="172"/>
        <v>No</v>
      </c>
      <c r="Q693" t="str">
        <f t="shared" si="173"/>
        <v>No</v>
      </c>
      <c r="R693" s="5">
        <f t="shared" si="175"/>
        <v>1</v>
      </c>
    </row>
    <row r="694" spans="1:18">
      <c r="A694" s="25">
        <f t="shared" si="174"/>
        <v>46927</v>
      </c>
      <c r="B694">
        <f t="shared" si="160"/>
        <v>2028</v>
      </c>
      <c r="C694" s="9">
        <f t="shared" si="161"/>
        <v>6</v>
      </c>
      <c r="D694" s="9" t="str">
        <f t="shared" si="162"/>
        <v>June</v>
      </c>
      <c r="E694" s="9" t="str">
        <f t="shared" si="163"/>
        <v>Jun-28</v>
      </c>
      <c r="F694" s="9" t="str">
        <f t="shared" si="164"/>
        <v>Q2</v>
      </c>
      <c r="G694" s="9">
        <f t="shared" si="165"/>
        <v>23</v>
      </c>
      <c r="H694" s="9">
        <f t="shared" si="166"/>
        <v>5</v>
      </c>
      <c r="I694" s="9" t="str">
        <f t="shared" si="167"/>
        <v>Friday</v>
      </c>
      <c r="J694" s="9" t="str">
        <f t="shared" si="168"/>
        <v>No</v>
      </c>
      <c r="K694" s="5" t="str">
        <f>IF(COUNTIF(Bank_Holidays!A:A,A694)&gt;0,"Yes","No")</f>
        <v>No</v>
      </c>
      <c r="L694" t="str">
        <f t="shared" si="169"/>
        <v>Yes</v>
      </c>
      <c r="M694">
        <f t="shared" si="170"/>
        <v>25</v>
      </c>
      <c r="N694" s="5" t="str">
        <f t="shared" si="171"/>
        <v>No</v>
      </c>
      <c r="O694" t="str">
        <f>IF(A694=WORKDAY(EOMONTH(A694,0)+1,-1,Bank_Holidays!$A$2:$A$25),"Yes","No")</f>
        <v>No</v>
      </c>
      <c r="P694" t="str">
        <f t="shared" si="172"/>
        <v>No</v>
      </c>
      <c r="Q694" t="str">
        <f t="shared" si="173"/>
        <v>No</v>
      </c>
      <c r="R694" s="5">
        <f t="shared" si="175"/>
        <v>3</v>
      </c>
    </row>
    <row r="695" spans="1:18">
      <c r="A695" s="25">
        <f t="shared" si="174"/>
        <v>46928</v>
      </c>
      <c r="B695">
        <f t="shared" si="160"/>
        <v>2028</v>
      </c>
      <c r="C695" s="9">
        <f t="shared" si="161"/>
        <v>6</v>
      </c>
      <c r="D695" s="9" t="str">
        <f t="shared" si="162"/>
        <v>June</v>
      </c>
      <c r="E695" s="9" t="str">
        <f t="shared" si="163"/>
        <v>Jun-28</v>
      </c>
      <c r="F695" s="9" t="str">
        <f t="shared" si="164"/>
        <v>Q2</v>
      </c>
      <c r="G695" s="9">
        <f t="shared" si="165"/>
        <v>24</v>
      </c>
      <c r="H695" s="9">
        <f t="shared" si="166"/>
        <v>6</v>
      </c>
      <c r="I695" s="9" t="str">
        <f t="shared" si="167"/>
        <v>Saturday</v>
      </c>
      <c r="J695" s="9" t="str">
        <f t="shared" si="168"/>
        <v>Yes</v>
      </c>
      <c r="K695" s="5" t="str">
        <f>IF(COUNTIF(Bank_Holidays!A:A,A695)&gt;0,"Yes","No")</f>
        <v>No</v>
      </c>
      <c r="L695" t="str">
        <f t="shared" si="169"/>
        <v>No</v>
      </c>
      <c r="M695">
        <f t="shared" si="170"/>
        <v>25</v>
      </c>
      <c r="N695" s="5" t="str">
        <f t="shared" si="171"/>
        <v>No</v>
      </c>
      <c r="O695" t="str">
        <f>IF(A695=WORKDAY(EOMONTH(A695,0)+1,-1,Bank_Holidays!$A$2:$A$25),"Yes","No")</f>
        <v>No</v>
      </c>
      <c r="P695" t="str">
        <f t="shared" si="172"/>
        <v>No</v>
      </c>
      <c r="Q695" t="str">
        <f t="shared" si="173"/>
        <v>No</v>
      </c>
      <c r="R695" s="5">
        <f t="shared" si="175"/>
        <v>0</v>
      </c>
    </row>
    <row r="696" spans="1:18">
      <c r="A696" s="25">
        <f t="shared" si="174"/>
        <v>46929</v>
      </c>
      <c r="B696">
        <f t="shared" si="160"/>
        <v>2028</v>
      </c>
      <c r="C696" s="9">
        <f t="shared" si="161"/>
        <v>6</v>
      </c>
      <c r="D696" s="9" t="str">
        <f t="shared" si="162"/>
        <v>June</v>
      </c>
      <c r="E696" s="9" t="str">
        <f t="shared" si="163"/>
        <v>Jun-28</v>
      </c>
      <c r="F696" s="9" t="str">
        <f t="shared" si="164"/>
        <v>Q2</v>
      </c>
      <c r="G696" s="9">
        <f t="shared" si="165"/>
        <v>25</v>
      </c>
      <c r="H696" s="9">
        <f t="shared" si="166"/>
        <v>7</v>
      </c>
      <c r="I696" s="9" t="str">
        <f t="shared" si="167"/>
        <v>Sunday</v>
      </c>
      <c r="J696" s="9" t="str">
        <f t="shared" si="168"/>
        <v>Yes</v>
      </c>
      <c r="K696" s="5" t="str">
        <f>IF(COUNTIF(Bank_Holidays!A:A,A696)&gt;0,"Yes","No")</f>
        <v>No</v>
      </c>
      <c r="L696" t="str">
        <f t="shared" si="169"/>
        <v>No</v>
      </c>
      <c r="M696">
        <f t="shared" si="170"/>
        <v>25</v>
      </c>
      <c r="N696" s="5" t="str">
        <f t="shared" si="171"/>
        <v>No</v>
      </c>
      <c r="O696" t="str">
        <f>IF(A696=WORKDAY(EOMONTH(A696,0)+1,-1,Bank_Holidays!$A$2:$A$25),"Yes","No")</f>
        <v>No</v>
      </c>
      <c r="P696" t="str">
        <f t="shared" si="172"/>
        <v>No</v>
      </c>
      <c r="Q696" t="str">
        <f t="shared" si="173"/>
        <v>No</v>
      </c>
      <c r="R696" s="5">
        <f t="shared" si="175"/>
        <v>0</v>
      </c>
    </row>
    <row r="697" spans="1:18">
      <c r="A697" s="25">
        <f t="shared" si="174"/>
        <v>46930</v>
      </c>
      <c r="B697">
        <f t="shared" si="160"/>
        <v>2028</v>
      </c>
      <c r="C697" s="9">
        <f t="shared" si="161"/>
        <v>6</v>
      </c>
      <c r="D697" s="9" t="str">
        <f t="shared" si="162"/>
        <v>June</v>
      </c>
      <c r="E697" s="9" t="str">
        <f t="shared" si="163"/>
        <v>Jun-28</v>
      </c>
      <c r="F697" s="9" t="str">
        <f t="shared" si="164"/>
        <v>Q2</v>
      </c>
      <c r="G697" s="9">
        <f t="shared" si="165"/>
        <v>26</v>
      </c>
      <c r="H697" s="9">
        <f t="shared" si="166"/>
        <v>1</v>
      </c>
      <c r="I697" s="9" t="str">
        <f t="shared" si="167"/>
        <v>Monday</v>
      </c>
      <c r="J697" s="9" t="str">
        <f t="shared" si="168"/>
        <v>No</v>
      </c>
      <c r="K697" s="5" t="str">
        <f>IF(COUNTIF(Bank_Holidays!A:A,A697)&gt;0,"Yes","No")</f>
        <v>No</v>
      </c>
      <c r="L697" t="str">
        <f t="shared" si="169"/>
        <v>Yes</v>
      </c>
      <c r="M697">
        <f t="shared" si="170"/>
        <v>26</v>
      </c>
      <c r="N697" s="5" t="str">
        <f t="shared" si="171"/>
        <v>No</v>
      </c>
      <c r="O697" t="str">
        <f>IF(A697=WORKDAY(EOMONTH(A697,0)+1,-1,Bank_Holidays!$A$2:$A$25),"Yes","No")</f>
        <v>No</v>
      </c>
      <c r="P697" t="str">
        <f t="shared" si="172"/>
        <v>No</v>
      </c>
      <c r="Q697" t="str">
        <f t="shared" si="173"/>
        <v>No</v>
      </c>
      <c r="R697" s="5">
        <f t="shared" si="175"/>
        <v>1</v>
      </c>
    </row>
    <row r="698" spans="1:18">
      <c r="A698" s="25">
        <f t="shared" si="174"/>
        <v>46931</v>
      </c>
      <c r="B698">
        <f t="shared" si="160"/>
        <v>2028</v>
      </c>
      <c r="C698" s="9">
        <f t="shared" si="161"/>
        <v>6</v>
      </c>
      <c r="D698" s="9" t="str">
        <f t="shared" si="162"/>
        <v>June</v>
      </c>
      <c r="E698" s="9" t="str">
        <f t="shared" si="163"/>
        <v>Jun-28</v>
      </c>
      <c r="F698" s="9" t="str">
        <f t="shared" si="164"/>
        <v>Q2</v>
      </c>
      <c r="G698" s="9">
        <f t="shared" si="165"/>
        <v>27</v>
      </c>
      <c r="H698" s="9">
        <f t="shared" si="166"/>
        <v>2</v>
      </c>
      <c r="I698" s="9" t="str">
        <f t="shared" si="167"/>
        <v>Tuesday</v>
      </c>
      <c r="J698" s="9" t="str">
        <f t="shared" si="168"/>
        <v>No</v>
      </c>
      <c r="K698" s="5" t="str">
        <f>IF(COUNTIF(Bank_Holidays!A:A,A698)&gt;0,"Yes","No")</f>
        <v>No</v>
      </c>
      <c r="L698" t="str">
        <f t="shared" si="169"/>
        <v>Yes</v>
      </c>
      <c r="M698">
        <f t="shared" si="170"/>
        <v>26</v>
      </c>
      <c r="N698" s="5" t="str">
        <f t="shared" si="171"/>
        <v>No</v>
      </c>
      <c r="O698" t="str">
        <f>IF(A698=WORKDAY(EOMONTH(A698,0)+1,-1,Bank_Holidays!$A$2:$A$25),"Yes","No")</f>
        <v>No</v>
      </c>
      <c r="P698" t="str">
        <f t="shared" si="172"/>
        <v>No</v>
      </c>
      <c r="Q698" t="str">
        <f t="shared" si="173"/>
        <v>No</v>
      </c>
      <c r="R698" s="5">
        <f t="shared" si="175"/>
        <v>1</v>
      </c>
    </row>
    <row r="699" spans="1:18">
      <c r="A699" s="25">
        <f t="shared" si="174"/>
        <v>46932</v>
      </c>
      <c r="B699">
        <f t="shared" si="160"/>
        <v>2028</v>
      </c>
      <c r="C699" s="9">
        <f t="shared" si="161"/>
        <v>6</v>
      </c>
      <c r="D699" s="9" t="str">
        <f t="shared" si="162"/>
        <v>June</v>
      </c>
      <c r="E699" s="9" t="str">
        <f t="shared" si="163"/>
        <v>Jun-28</v>
      </c>
      <c r="F699" s="9" t="str">
        <f t="shared" si="164"/>
        <v>Q2</v>
      </c>
      <c r="G699" s="9">
        <f t="shared" si="165"/>
        <v>28</v>
      </c>
      <c r="H699" s="9">
        <f t="shared" si="166"/>
        <v>3</v>
      </c>
      <c r="I699" s="9" t="str">
        <f t="shared" si="167"/>
        <v>Wednesday</v>
      </c>
      <c r="J699" s="9" t="str">
        <f t="shared" si="168"/>
        <v>No</v>
      </c>
      <c r="K699" s="5" t="str">
        <f>IF(COUNTIF(Bank_Holidays!A:A,A699)&gt;0,"Yes","No")</f>
        <v>No</v>
      </c>
      <c r="L699" t="str">
        <f t="shared" si="169"/>
        <v>Yes</v>
      </c>
      <c r="M699">
        <f t="shared" si="170"/>
        <v>26</v>
      </c>
      <c r="N699" s="5" t="str">
        <f t="shared" si="171"/>
        <v>No</v>
      </c>
      <c r="O699" t="str">
        <f>IF(A699=WORKDAY(EOMONTH(A699,0)+1,-1,Bank_Holidays!$A$2:$A$25),"Yes","No")</f>
        <v>No</v>
      </c>
      <c r="P699" t="str">
        <f t="shared" si="172"/>
        <v>No</v>
      </c>
      <c r="Q699" t="str">
        <f t="shared" si="173"/>
        <v>No</v>
      </c>
      <c r="R699" s="5">
        <f t="shared" si="175"/>
        <v>1</v>
      </c>
    </row>
    <row r="700" spans="1:18">
      <c r="A700" s="25">
        <f t="shared" si="174"/>
        <v>46933</v>
      </c>
      <c r="B700">
        <f t="shared" si="160"/>
        <v>2028</v>
      </c>
      <c r="C700" s="9">
        <f t="shared" si="161"/>
        <v>6</v>
      </c>
      <c r="D700" s="9" t="str">
        <f t="shared" si="162"/>
        <v>June</v>
      </c>
      <c r="E700" s="9" t="str">
        <f t="shared" si="163"/>
        <v>Jun-28</v>
      </c>
      <c r="F700" s="9" t="str">
        <f t="shared" si="164"/>
        <v>Q2</v>
      </c>
      <c r="G700" s="9">
        <f t="shared" si="165"/>
        <v>29</v>
      </c>
      <c r="H700" s="9">
        <f t="shared" si="166"/>
        <v>4</v>
      </c>
      <c r="I700" s="9" t="str">
        <f t="shared" si="167"/>
        <v>Thursday</v>
      </c>
      <c r="J700" s="9" t="str">
        <f t="shared" si="168"/>
        <v>No</v>
      </c>
      <c r="K700" s="5" t="str">
        <f>IF(COUNTIF(Bank_Holidays!A:A,A700)&gt;0,"Yes","No")</f>
        <v>No</v>
      </c>
      <c r="L700" t="str">
        <f t="shared" si="169"/>
        <v>Yes</v>
      </c>
      <c r="M700">
        <f t="shared" si="170"/>
        <v>26</v>
      </c>
      <c r="N700" s="5" t="str">
        <f t="shared" si="171"/>
        <v>No</v>
      </c>
      <c r="O700" t="str">
        <f>IF(A700=WORKDAY(EOMONTH(A700,0)+1,-1,Bank_Holidays!$A$2:$A$25),"Yes","No")</f>
        <v>No</v>
      </c>
      <c r="P700" t="str">
        <f t="shared" si="172"/>
        <v>No</v>
      </c>
      <c r="Q700" t="str">
        <f t="shared" si="173"/>
        <v>Yes</v>
      </c>
      <c r="R700" s="5">
        <f t="shared" si="175"/>
        <v>1</v>
      </c>
    </row>
    <row r="701" spans="1:18">
      <c r="A701" s="25">
        <f t="shared" si="174"/>
        <v>46934</v>
      </c>
      <c r="B701">
        <f t="shared" si="160"/>
        <v>2028</v>
      </c>
      <c r="C701" s="9">
        <f t="shared" si="161"/>
        <v>6</v>
      </c>
      <c r="D701" s="9" t="str">
        <f t="shared" si="162"/>
        <v>June</v>
      </c>
      <c r="E701" s="9" t="str">
        <f t="shared" si="163"/>
        <v>Jun-28</v>
      </c>
      <c r="F701" s="9" t="str">
        <f t="shared" si="164"/>
        <v>Q2</v>
      </c>
      <c r="G701" s="9">
        <f t="shared" si="165"/>
        <v>30</v>
      </c>
      <c r="H701" s="9">
        <f t="shared" si="166"/>
        <v>5</v>
      </c>
      <c r="I701" s="9" t="str">
        <f t="shared" si="167"/>
        <v>Friday</v>
      </c>
      <c r="J701" s="9" t="str">
        <f t="shared" si="168"/>
        <v>No</v>
      </c>
      <c r="K701" s="5" t="str">
        <f>IF(COUNTIF(Bank_Holidays!A:A,A701)&gt;0,"Yes","No")</f>
        <v>No</v>
      </c>
      <c r="L701" t="str">
        <f t="shared" si="169"/>
        <v>Yes</v>
      </c>
      <c r="M701">
        <f t="shared" si="170"/>
        <v>26</v>
      </c>
      <c r="N701" s="5" t="str">
        <f t="shared" si="171"/>
        <v>Yes</v>
      </c>
      <c r="O701" t="str">
        <f>IF(A701=WORKDAY(EOMONTH(A701,0)+1,-1,Bank_Holidays!$A$2:$A$25),"Yes","No")</f>
        <v>Yes</v>
      </c>
      <c r="P701" t="str">
        <f t="shared" si="172"/>
        <v>Yes</v>
      </c>
      <c r="Q701" t="str">
        <f t="shared" si="173"/>
        <v>No</v>
      </c>
      <c r="R701" s="5">
        <f t="shared" si="175"/>
        <v>3</v>
      </c>
    </row>
    <row r="702" spans="1:18">
      <c r="A702" s="25">
        <f t="shared" si="174"/>
        <v>46935</v>
      </c>
      <c r="B702">
        <f t="shared" si="160"/>
        <v>2028</v>
      </c>
      <c r="C702" s="9">
        <f t="shared" si="161"/>
        <v>7</v>
      </c>
      <c r="D702" s="9" t="str">
        <f t="shared" si="162"/>
        <v>July</v>
      </c>
      <c r="E702" s="9" t="str">
        <f t="shared" si="163"/>
        <v>Jul-28</v>
      </c>
      <c r="F702" s="9" t="str">
        <f t="shared" si="164"/>
        <v>Q3</v>
      </c>
      <c r="G702" s="9">
        <f t="shared" si="165"/>
        <v>1</v>
      </c>
      <c r="H702" s="9">
        <f t="shared" si="166"/>
        <v>6</v>
      </c>
      <c r="I702" s="9" t="str">
        <f t="shared" si="167"/>
        <v>Saturday</v>
      </c>
      <c r="J702" s="9" t="str">
        <f t="shared" si="168"/>
        <v>Yes</v>
      </c>
      <c r="K702" s="5" t="str">
        <f>IF(COUNTIF(Bank_Holidays!A:A,A702)&gt;0,"Yes","No")</f>
        <v>No</v>
      </c>
      <c r="L702" t="str">
        <f t="shared" si="169"/>
        <v>No</v>
      </c>
      <c r="M702">
        <f t="shared" si="170"/>
        <v>26</v>
      </c>
      <c r="N702" s="5" t="str">
        <f t="shared" si="171"/>
        <v>No</v>
      </c>
      <c r="O702" t="str">
        <f>IF(A702=WORKDAY(EOMONTH(A702,0)+1,-1,Bank_Holidays!$A$2:$A$25),"Yes","No")</f>
        <v>No</v>
      </c>
      <c r="P702" t="str">
        <f t="shared" si="172"/>
        <v>No</v>
      </c>
      <c r="Q702" t="str">
        <f t="shared" si="173"/>
        <v>No</v>
      </c>
      <c r="R702" s="5">
        <f t="shared" si="175"/>
        <v>0</v>
      </c>
    </row>
    <row r="703" spans="1:18">
      <c r="A703" s="25">
        <f t="shared" si="174"/>
        <v>46936</v>
      </c>
      <c r="B703">
        <f t="shared" si="160"/>
        <v>2028</v>
      </c>
      <c r="C703" s="9">
        <f t="shared" si="161"/>
        <v>7</v>
      </c>
      <c r="D703" s="9" t="str">
        <f t="shared" si="162"/>
        <v>July</v>
      </c>
      <c r="E703" s="9" t="str">
        <f t="shared" si="163"/>
        <v>Jul-28</v>
      </c>
      <c r="F703" s="9" t="str">
        <f t="shared" si="164"/>
        <v>Q3</v>
      </c>
      <c r="G703" s="9">
        <f t="shared" si="165"/>
        <v>2</v>
      </c>
      <c r="H703" s="9">
        <f t="shared" si="166"/>
        <v>7</v>
      </c>
      <c r="I703" s="9" t="str">
        <f t="shared" si="167"/>
        <v>Sunday</v>
      </c>
      <c r="J703" s="9" t="str">
        <f t="shared" si="168"/>
        <v>Yes</v>
      </c>
      <c r="K703" s="5" t="str">
        <f>IF(COUNTIF(Bank_Holidays!A:A,A703)&gt;0,"Yes","No")</f>
        <v>No</v>
      </c>
      <c r="L703" t="str">
        <f t="shared" si="169"/>
        <v>No</v>
      </c>
      <c r="M703">
        <f t="shared" si="170"/>
        <v>26</v>
      </c>
      <c r="N703" s="5" t="str">
        <f t="shared" si="171"/>
        <v>No</v>
      </c>
      <c r="O703" t="str">
        <f>IF(A703=WORKDAY(EOMONTH(A703,0)+1,-1,Bank_Holidays!$A$2:$A$25),"Yes","No")</f>
        <v>No</v>
      </c>
      <c r="P703" t="str">
        <f t="shared" si="172"/>
        <v>No</v>
      </c>
      <c r="Q703" t="str">
        <f t="shared" si="173"/>
        <v>No</v>
      </c>
      <c r="R703" s="5">
        <f t="shared" si="175"/>
        <v>0</v>
      </c>
    </row>
    <row r="704" spans="1:18">
      <c r="A704" s="25">
        <f t="shared" si="174"/>
        <v>46937</v>
      </c>
      <c r="B704">
        <f t="shared" si="160"/>
        <v>2028</v>
      </c>
      <c r="C704" s="9">
        <f t="shared" si="161"/>
        <v>7</v>
      </c>
      <c r="D704" s="9" t="str">
        <f t="shared" si="162"/>
        <v>July</v>
      </c>
      <c r="E704" s="9" t="str">
        <f t="shared" si="163"/>
        <v>Jul-28</v>
      </c>
      <c r="F704" s="9" t="str">
        <f t="shared" si="164"/>
        <v>Q3</v>
      </c>
      <c r="G704" s="9">
        <f t="shared" si="165"/>
        <v>3</v>
      </c>
      <c r="H704" s="9">
        <f t="shared" si="166"/>
        <v>1</v>
      </c>
      <c r="I704" s="9" t="str">
        <f t="shared" si="167"/>
        <v>Monday</v>
      </c>
      <c r="J704" s="9" t="str">
        <f t="shared" si="168"/>
        <v>No</v>
      </c>
      <c r="K704" s="5" t="str">
        <f>IF(COUNTIF(Bank_Holidays!A:A,A704)&gt;0,"Yes","No")</f>
        <v>No</v>
      </c>
      <c r="L704" t="str">
        <f t="shared" si="169"/>
        <v>Yes</v>
      </c>
      <c r="M704">
        <f t="shared" si="170"/>
        <v>27</v>
      </c>
      <c r="N704" s="5" t="str">
        <f t="shared" si="171"/>
        <v>No</v>
      </c>
      <c r="O704" t="str">
        <f>IF(A704=WORKDAY(EOMONTH(A704,0)+1,-1,Bank_Holidays!$A$2:$A$25),"Yes","No")</f>
        <v>No</v>
      </c>
      <c r="P704" t="str">
        <f t="shared" si="172"/>
        <v>No</v>
      </c>
      <c r="Q704" t="str">
        <f t="shared" si="173"/>
        <v>No</v>
      </c>
      <c r="R704" s="5">
        <f t="shared" si="175"/>
        <v>1</v>
      </c>
    </row>
    <row r="705" spans="1:18">
      <c r="A705" s="25">
        <f t="shared" si="174"/>
        <v>46938</v>
      </c>
      <c r="B705">
        <f t="shared" si="160"/>
        <v>2028</v>
      </c>
      <c r="C705" s="9">
        <f t="shared" si="161"/>
        <v>7</v>
      </c>
      <c r="D705" s="9" t="str">
        <f t="shared" si="162"/>
        <v>July</v>
      </c>
      <c r="E705" s="9" t="str">
        <f t="shared" si="163"/>
        <v>Jul-28</v>
      </c>
      <c r="F705" s="9" t="str">
        <f t="shared" si="164"/>
        <v>Q3</v>
      </c>
      <c r="G705" s="9">
        <f t="shared" si="165"/>
        <v>4</v>
      </c>
      <c r="H705" s="9">
        <f t="shared" si="166"/>
        <v>2</v>
      </c>
      <c r="I705" s="9" t="str">
        <f t="shared" si="167"/>
        <v>Tuesday</v>
      </c>
      <c r="J705" s="9" t="str">
        <f t="shared" si="168"/>
        <v>No</v>
      </c>
      <c r="K705" s="5" t="str">
        <f>IF(COUNTIF(Bank_Holidays!A:A,A705)&gt;0,"Yes","No")</f>
        <v>No</v>
      </c>
      <c r="L705" t="str">
        <f t="shared" si="169"/>
        <v>Yes</v>
      </c>
      <c r="M705">
        <f t="shared" si="170"/>
        <v>27</v>
      </c>
      <c r="N705" s="5" t="str">
        <f t="shared" si="171"/>
        <v>No</v>
      </c>
      <c r="O705" t="str">
        <f>IF(A705=WORKDAY(EOMONTH(A705,0)+1,-1,Bank_Holidays!$A$2:$A$25),"Yes","No")</f>
        <v>No</v>
      </c>
      <c r="P705" t="str">
        <f t="shared" si="172"/>
        <v>No</v>
      </c>
      <c r="Q705" t="str">
        <f t="shared" si="173"/>
        <v>No</v>
      </c>
      <c r="R705" s="5">
        <f t="shared" si="175"/>
        <v>1</v>
      </c>
    </row>
    <row r="706" spans="1:18">
      <c r="A706" s="25">
        <f t="shared" si="174"/>
        <v>46939</v>
      </c>
      <c r="B706">
        <f t="shared" ref="B706:B769" si="176">YEAR(A706)</f>
        <v>2028</v>
      </c>
      <c r="C706" s="9">
        <f t="shared" ref="C706:C769" si="177">MONTH(A706)</f>
        <v>7</v>
      </c>
      <c r="D706" s="9" t="str">
        <f t="shared" ref="D706:D769" si="178">TEXT(A706,"mmmm")</f>
        <v>July</v>
      </c>
      <c r="E706" s="9" t="str">
        <f t="shared" ref="E706:E769" si="179">TEXT(A706,"mmm-yy")</f>
        <v>Jul-28</v>
      </c>
      <c r="F706" s="9" t="str">
        <f t="shared" ref="F706:F769" si="180">"Q"&amp;ROUNDUP(MONTH($A706)/3,0)</f>
        <v>Q3</v>
      </c>
      <c r="G706" s="9">
        <f t="shared" ref="G706:G769" si="181">DAY($A706)</f>
        <v>5</v>
      </c>
      <c r="H706" s="9">
        <f t="shared" ref="H706:H769" si="182">WEEKDAY($A706,2)</f>
        <v>3</v>
      </c>
      <c r="I706" s="9" t="str">
        <f t="shared" ref="I706:I769" si="183">TEXT($A706,"dddd")</f>
        <v>Wednesday</v>
      </c>
      <c r="J706" s="9" t="str">
        <f t="shared" ref="J706:J769" si="184">IF($H706&gt;5,"Yes","No")</f>
        <v>No</v>
      </c>
      <c r="K706" s="5" t="str">
        <f>IF(COUNTIF(Bank_Holidays!A:A,A706)&gt;0,"Yes","No")</f>
        <v>No</v>
      </c>
      <c r="L706" t="str">
        <f t="shared" ref="L706:L769" si="185">IF(AND(J706="No",K706="No"),"Yes","No")</f>
        <v>Yes</v>
      </c>
      <c r="M706">
        <f t="shared" ref="M706:M769" si="186">_xlfn.ISOWEEKNUM(A706)</f>
        <v>27</v>
      </c>
      <c r="N706" s="5" t="str">
        <f t="shared" ref="N706:N769" si="187">IF(A706=EOMONTH(A706,0),"Yes","No")</f>
        <v>No</v>
      </c>
      <c r="O706" t="str">
        <f>IF(A706=WORKDAY(EOMONTH(A706,0)+1,-1,Bank_Holidays!$A$2:$A$25),"Yes","No")</f>
        <v>No</v>
      </c>
      <c r="P706" t="str">
        <f t="shared" ref="P706:P769" si="188">IF(
AND(
TEXT(A706,"dddd")="Friday",
MONTH(A706+7)&lt;&gt;MONTH(A706)
),
"Yes",
"No"
)</f>
        <v>No</v>
      </c>
      <c r="Q706" t="str">
        <f t="shared" ref="Q706:Q769" si="189">IF(
AND(
TEXT(A706,"dddd")="Thursday",
MONTH(A706+7)&lt;&gt;MONTH(A706)
),
"Yes",
"No"
)</f>
        <v>No</v>
      </c>
      <c r="R706" s="5">
        <f t="shared" si="175"/>
        <v>1</v>
      </c>
    </row>
    <row r="707" spans="1:18">
      <c r="A707" s="25">
        <f t="shared" ref="A707:A770" si="190">A706+1</f>
        <v>46940</v>
      </c>
      <c r="B707">
        <f t="shared" si="176"/>
        <v>2028</v>
      </c>
      <c r="C707" s="9">
        <f t="shared" si="177"/>
        <v>7</v>
      </c>
      <c r="D707" s="9" t="str">
        <f t="shared" si="178"/>
        <v>July</v>
      </c>
      <c r="E707" s="9" t="str">
        <f t="shared" si="179"/>
        <v>Jul-28</v>
      </c>
      <c r="F707" s="9" t="str">
        <f t="shared" si="180"/>
        <v>Q3</v>
      </c>
      <c r="G707" s="9">
        <f t="shared" si="181"/>
        <v>6</v>
      </c>
      <c r="H707" s="9">
        <f t="shared" si="182"/>
        <v>4</v>
      </c>
      <c r="I707" s="9" t="str">
        <f t="shared" si="183"/>
        <v>Thursday</v>
      </c>
      <c r="J707" s="9" t="str">
        <f t="shared" si="184"/>
        <v>No</v>
      </c>
      <c r="K707" s="5" t="str">
        <f>IF(COUNTIF(Bank_Holidays!A:A,A707)&gt;0,"Yes","No")</f>
        <v>No</v>
      </c>
      <c r="L707" t="str">
        <f t="shared" si="185"/>
        <v>Yes</v>
      </c>
      <c r="M707">
        <f t="shared" si="186"/>
        <v>27</v>
      </c>
      <c r="N707" s="5" t="str">
        <f t="shared" si="187"/>
        <v>No</v>
      </c>
      <c r="O707" t="str">
        <f>IF(A707=WORKDAY(EOMONTH(A707,0)+1,-1,Bank_Holidays!$A$2:$A$25),"Yes","No")</f>
        <v>No</v>
      </c>
      <c r="P707" t="str">
        <f t="shared" si="188"/>
        <v>No</v>
      </c>
      <c r="Q707" t="str">
        <f t="shared" si="189"/>
        <v>No</v>
      </c>
      <c r="R707" s="5">
        <f t="shared" ref="R707:R770" si="191">IF(L707="yes",1)+IF(L707="no",0,IF(AND(L712="no",L711="no",L710="no",L709="no",L708="no"),5,IF(AND(L711="no",L710="no",L709="no",L708="no"),4,IF(AND(L710="no",L709="no",L708="no"),3,IF(AND(L709="no",L708="no"),2,IF(L708="no",1))))))</f>
        <v>1</v>
      </c>
    </row>
    <row r="708" spans="1:18">
      <c r="A708" s="25">
        <f t="shared" si="190"/>
        <v>46941</v>
      </c>
      <c r="B708">
        <f t="shared" si="176"/>
        <v>2028</v>
      </c>
      <c r="C708" s="9">
        <f t="shared" si="177"/>
        <v>7</v>
      </c>
      <c r="D708" s="9" t="str">
        <f t="shared" si="178"/>
        <v>July</v>
      </c>
      <c r="E708" s="9" t="str">
        <f t="shared" si="179"/>
        <v>Jul-28</v>
      </c>
      <c r="F708" s="9" t="str">
        <f t="shared" si="180"/>
        <v>Q3</v>
      </c>
      <c r="G708" s="9">
        <f t="shared" si="181"/>
        <v>7</v>
      </c>
      <c r="H708" s="9">
        <f t="shared" si="182"/>
        <v>5</v>
      </c>
      <c r="I708" s="9" t="str">
        <f t="shared" si="183"/>
        <v>Friday</v>
      </c>
      <c r="J708" s="9" t="str">
        <f t="shared" si="184"/>
        <v>No</v>
      </c>
      <c r="K708" s="5" t="str">
        <f>IF(COUNTIF(Bank_Holidays!A:A,A708)&gt;0,"Yes","No")</f>
        <v>No</v>
      </c>
      <c r="L708" t="str">
        <f t="shared" si="185"/>
        <v>Yes</v>
      </c>
      <c r="M708">
        <f t="shared" si="186"/>
        <v>27</v>
      </c>
      <c r="N708" s="5" t="str">
        <f t="shared" si="187"/>
        <v>No</v>
      </c>
      <c r="O708" t="str">
        <f>IF(A708=WORKDAY(EOMONTH(A708,0)+1,-1,Bank_Holidays!$A$2:$A$25),"Yes","No")</f>
        <v>No</v>
      </c>
      <c r="P708" t="str">
        <f t="shared" si="188"/>
        <v>No</v>
      </c>
      <c r="Q708" t="str">
        <f t="shared" si="189"/>
        <v>No</v>
      </c>
      <c r="R708" s="5">
        <f t="shared" si="191"/>
        <v>3</v>
      </c>
    </row>
    <row r="709" spans="1:18">
      <c r="A709" s="25">
        <f t="shared" si="190"/>
        <v>46942</v>
      </c>
      <c r="B709">
        <f t="shared" si="176"/>
        <v>2028</v>
      </c>
      <c r="C709" s="9">
        <f t="shared" si="177"/>
        <v>7</v>
      </c>
      <c r="D709" s="9" t="str">
        <f t="shared" si="178"/>
        <v>July</v>
      </c>
      <c r="E709" s="9" t="str">
        <f t="shared" si="179"/>
        <v>Jul-28</v>
      </c>
      <c r="F709" s="9" t="str">
        <f t="shared" si="180"/>
        <v>Q3</v>
      </c>
      <c r="G709" s="9">
        <f t="shared" si="181"/>
        <v>8</v>
      </c>
      <c r="H709" s="9">
        <f t="shared" si="182"/>
        <v>6</v>
      </c>
      <c r="I709" s="9" t="str">
        <f t="shared" si="183"/>
        <v>Saturday</v>
      </c>
      <c r="J709" s="9" t="str">
        <f t="shared" si="184"/>
        <v>Yes</v>
      </c>
      <c r="K709" s="5" t="str">
        <f>IF(COUNTIF(Bank_Holidays!A:A,A709)&gt;0,"Yes","No")</f>
        <v>No</v>
      </c>
      <c r="L709" t="str">
        <f t="shared" si="185"/>
        <v>No</v>
      </c>
      <c r="M709">
        <f t="shared" si="186"/>
        <v>27</v>
      </c>
      <c r="N709" s="5" t="str">
        <f t="shared" si="187"/>
        <v>No</v>
      </c>
      <c r="O709" t="str">
        <f>IF(A709=WORKDAY(EOMONTH(A709,0)+1,-1,Bank_Holidays!$A$2:$A$25),"Yes","No")</f>
        <v>No</v>
      </c>
      <c r="P709" t="str">
        <f t="shared" si="188"/>
        <v>No</v>
      </c>
      <c r="Q709" t="str">
        <f t="shared" si="189"/>
        <v>No</v>
      </c>
      <c r="R709" s="5">
        <f t="shared" si="191"/>
        <v>0</v>
      </c>
    </row>
    <row r="710" spans="1:18">
      <c r="A710" s="25">
        <f t="shared" si="190"/>
        <v>46943</v>
      </c>
      <c r="B710">
        <f t="shared" si="176"/>
        <v>2028</v>
      </c>
      <c r="C710" s="9">
        <f t="shared" si="177"/>
        <v>7</v>
      </c>
      <c r="D710" s="9" t="str">
        <f t="shared" si="178"/>
        <v>July</v>
      </c>
      <c r="E710" s="9" t="str">
        <f t="shared" si="179"/>
        <v>Jul-28</v>
      </c>
      <c r="F710" s="9" t="str">
        <f t="shared" si="180"/>
        <v>Q3</v>
      </c>
      <c r="G710" s="9">
        <f t="shared" si="181"/>
        <v>9</v>
      </c>
      <c r="H710" s="9">
        <f t="shared" si="182"/>
        <v>7</v>
      </c>
      <c r="I710" s="9" t="str">
        <f t="shared" si="183"/>
        <v>Sunday</v>
      </c>
      <c r="J710" s="9" t="str">
        <f t="shared" si="184"/>
        <v>Yes</v>
      </c>
      <c r="K710" s="5" t="str">
        <f>IF(COUNTIF(Bank_Holidays!A:A,A710)&gt;0,"Yes","No")</f>
        <v>No</v>
      </c>
      <c r="L710" t="str">
        <f t="shared" si="185"/>
        <v>No</v>
      </c>
      <c r="M710">
        <f t="shared" si="186"/>
        <v>27</v>
      </c>
      <c r="N710" s="5" t="str">
        <f t="shared" si="187"/>
        <v>No</v>
      </c>
      <c r="O710" t="str">
        <f>IF(A710=WORKDAY(EOMONTH(A710,0)+1,-1,Bank_Holidays!$A$2:$A$25),"Yes","No")</f>
        <v>No</v>
      </c>
      <c r="P710" t="str">
        <f t="shared" si="188"/>
        <v>No</v>
      </c>
      <c r="Q710" t="str">
        <f t="shared" si="189"/>
        <v>No</v>
      </c>
      <c r="R710" s="5">
        <f t="shared" si="191"/>
        <v>0</v>
      </c>
    </row>
    <row r="711" spans="1:18">
      <c r="A711" s="25">
        <f t="shared" si="190"/>
        <v>46944</v>
      </c>
      <c r="B711">
        <f t="shared" si="176"/>
        <v>2028</v>
      </c>
      <c r="C711" s="9">
        <f t="shared" si="177"/>
        <v>7</v>
      </c>
      <c r="D711" s="9" t="str">
        <f t="shared" si="178"/>
        <v>July</v>
      </c>
      <c r="E711" s="9" t="str">
        <f t="shared" si="179"/>
        <v>Jul-28</v>
      </c>
      <c r="F711" s="9" t="str">
        <f t="shared" si="180"/>
        <v>Q3</v>
      </c>
      <c r="G711" s="9">
        <f t="shared" si="181"/>
        <v>10</v>
      </c>
      <c r="H711" s="9">
        <f t="shared" si="182"/>
        <v>1</v>
      </c>
      <c r="I711" s="9" t="str">
        <f t="shared" si="183"/>
        <v>Monday</v>
      </c>
      <c r="J711" s="9" t="str">
        <f t="shared" si="184"/>
        <v>No</v>
      </c>
      <c r="K711" s="5" t="str">
        <f>IF(COUNTIF(Bank_Holidays!A:A,A711)&gt;0,"Yes","No")</f>
        <v>No</v>
      </c>
      <c r="L711" t="str">
        <f t="shared" si="185"/>
        <v>Yes</v>
      </c>
      <c r="M711">
        <f t="shared" si="186"/>
        <v>28</v>
      </c>
      <c r="N711" s="5" t="str">
        <f t="shared" si="187"/>
        <v>No</v>
      </c>
      <c r="O711" t="str">
        <f>IF(A711=WORKDAY(EOMONTH(A711,0)+1,-1,Bank_Holidays!$A$2:$A$25),"Yes","No")</f>
        <v>No</v>
      </c>
      <c r="P711" t="str">
        <f t="shared" si="188"/>
        <v>No</v>
      </c>
      <c r="Q711" t="str">
        <f t="shared" si="189"/>
        <v>No</v>
      </c>
      <c r="R711" s="5">
        <f t="shared" si="191"/>
        <v>1</v>
      </c>
    </row>
    <row r="712" spans="1:18">
      <c r="A712" s="25">
        <f t="shared" si="190"/>
        <v>46945</v>
      </c>
      <c r="B712">
        <f t="shared" si="176"/>
        <v>2028</v>
      </c>
      <c r="C712" s="9">
        <f t="shared" si="177"/>
        <v>7</v>
      </c>
      <c r="D712" s="9" t="str">
        <f t="shared" si="178"/>
        <v>July</v>
      </c>
      <c r="E712" s="9" t="str">
        <f t="shared" si="179"/>
        <v>Jul-28</v>
      </c>
      <c r="F712" s="9" t="str">
        <f t="shared" si="180"/>
        <v>Q3</v>
      </c>
      <c r="G712" s="9">
        <f t="shared" si="181"/>
        <v>11</v>
      </c>
      <c r="H712" s="9">
        <f t="shared" si="182"/>
        <v>2</v>
      </c>
      <c r="I712" s="9" t="str">
        <f t="shared" si="183"/>
        <v>Tuesday</v>
      </c>
      <c r="J712" s="9" t="str">
        <f t="shared" si="184"/>
        <v>No</v>
      </c>
      <c r="K712" s="5" t="str">
        <f>IF(COUNTIF(Bank_Holidays!A:A,A712)&gt;0,"Yes","No")</f>
        <v>No</v>
      </c>
      <c r="L712" t="str">
        <f t="shared" si="185"/>
        <v>Yes</v>
      </c>
      <c r="M712">
        <f t="shared" si="186"/>
        <v>28</v>
      </c>
      <c r="N712" s="5" t="str">
        <f t="shared" si="187"/>
        <v>No</v>
      </c>
      <c r="O712" t="str">
        <f>IF(A712=WORKDAY(EOMONTH(A712,0)+1,-1,Bank_Holidays!$A$2:$A$25),"Yes","No")</f>
        <v>No</v>
      </c>
      <c r="P712" t="str">
        <f t="shared" si="188"/>
        <v>No</v>
      </c>
      <c r="Q712" t="str">
        <f t="shared" si="189"/>
        <v>No</v>
      </c>
      <c r="R712" s="5">
        <f t="shared" si="191"/>
        <v>1</v>
      </c>
    </row>
    <row r="713" spans="1:18">
      <c r="A713" s="25">
        <f t="shared" si="190"/>
        <v>46946</v>
      </c>
      <c r="B713">
        <f t="shared" si="176"/>
        <v>2028</v>
      </c>
      <c r="C713" s="9">
        <f t="shared" si="177"/>
        <v>7</v>
      </c>
      <c r="D713" s="9" t="str">
        <f t="shared" si="178"/>
        <v>July</v>
      </c>
      <c r="E713" s="9" t="str">
        <f t="shared" si="179"/>
        <v>Jul-28</v>
      </c>
      <c r="F713" s="9" t="str">
        <f t="shared" si="180"/>
        <v>Q3</v>
      </c>
      <c r="G713" s="9">
        <f t="shared" si="181"/>
        <v>12</v>
      </c>
      <c r="H713" s="9">
        <f t="shared" si="182"/>
        <v>3</v>
      </c>
      <c r="I713" s="9" t="str">
        <f t="shared" si="183"/>
        <v>Wednesday</v>
      </c>
      <c r="J713" s="9" t="str">
        <f t="shared" si="184"/>
        <v>No</v>
      </c>
      <c r="K713" s="5" t="str">
        <f>IF(COUNTIF(Bank_Holidays!A:A,A713)&gt;0,"Yes","No")</f>
        <v>No</v>
      </c>
      <c r="L713" t="str">
        <f t="shared" si="185"/>
        <v>Yes</v>
      </c>
      <c r="M713">
        <f t="shared" si="186"/>
        <v>28</v>
      </c>
      <c r="N713" s="5" t="str">
        <f t="shared" si="187"/>
        <v>No</v>
      </c>
      <c r="O713" t="str">
        <f>IF(A713=WORKDAY(EOMONTH(A713,0)+1,-1,Bank_Holidays!$A$2:$A$25),"Yes","No")</f>
        <v>No</v>
      </c>
      <c r="P713" t="str">
        <f t="shared" si="188"/>
        <v>No</v>
      </c>
      <c r="Q713" t="str">
        <f t="shared" si="189"/>
        <v>No</v>
      </c>
      <c r="R713" s="5">
        <f t="shared" si="191"/>
        <v>1</v>
      </c>
    </row>
    <row r="714" spans="1:18">
      <c r="A714" s="25">
        <f t="shared" si="190"/>
        <v>46947</v>
      </c>
      <c r="B714">
        <f t="shared" si="176"/>
        <v>2028</v>
      </c>
      <c r="C714" s="9">
        <f t="shared" si="177"/>
        <v>7</v>
      </c>
      <c r="D714" s="9" t="str">
        <f t="shared" si="178"/>
        <v>July</v>
      </c>
      <c r="E714" s="9" t="str">
        <f t="shared" si="179"/>
        <v>Jul-28</v>
      </c>
      <c r="F714" s="9" t="str">
        <f t="shared" si="180"/>
        <v>Q3</v>
      </c>
      <c r="G714" s="9">
        <f t="shared" si="181"/>
        <v>13</v>
      </c>
      <c r="H714" s="9">
        <f t="shared" si="182"/>
        <v>4</v>
      </c>
      <c r="I714" s="9" t="str">
        <f t="shared" si="183"/>
        <v>Thursday</v>
      </c>
      <c r="J714" s="9" t="str">
        <f t="shared" si="184"/>
        <v>No</v>
      </c>
      <c r="K714" s="5" t="str">
        <f>IF(COUNTIF(Bank_Holidays!A:A,A714)&gt;0,"Yes","No")</f>
        <v>No</v>
      </c>
      <c r="L714" t="str">
        <f t="shared" si="185"/>
        <v>Yes</v>
      </c>
      <c r="M714">
        <f t="shared" si="186"/>
        <v>28</v>
      </c>
      <c r="N714" s="5" t="str">
        <f t="shared" si="187"/>
        <v>No</v>
      </c>
      <c r="O714" t="str">
        <f>IF(A714=WORKDAY(EOMONTH(A714,0)+1,-1,Bank_Holidays!$A$2:$A$25),"Yes","No")</f>
        <v>No</v>
      </c>
      <c r="P714" t="str">
        <f t="shared" si="188"/>
        <v>No</v>
      </c>
      <c r="Q714" t="str">
        <f t="shared" si="189"/>
        <v>No</v>
      </c>
      <c r="R714" s="5">
        <f t="shared" si="191"/>
        <v>1</v>
      </c>
    </row>
    <row r="715" spans="1:18">
      <c r="A715" s="25">
        <f t="shared" si="190"/>
        <v>46948</v>
      </c>
      <c r="B715">
        <f t="shared" si="176"/>
        <v>2028</v>
      </c>
      <c r="C715" s="9">
        <f t="shared" si="177"/>
        <v>7</v>
      </c>
      <c r="D715" s="9" t="str">
        <f t="shared" si="178"/>
        <v>July</v>
      </c>
      <c r="E715" s="9" t="str">
        <f t="shared" si="179"/>
        <v>Jul-28</v>
      </c>
      <c r="F715" s="9" t="str">
        <f t="shared" si="180"/>
        <v>Q3</v>
      </c>
      <c r="G715" s="9">
        <f t="shared" si="181"/>
        <v>14</v>
      </c>
      <c r="H715" s="9">
        <f t="shared" si="182"/>
        <v>5</v>
      </c>
      <c r="I715" s="9" t="str">
        <f t="shared" si="183"/>
        <v>Friday</v>
      </c>
      <c r="J715" s="9" t="str">
        <f t="shared" si="184"/>
        <v>No</v>
      </c>
      <c r="K715" s="5" t="str">
        <f>IF(COUNTIF(Bank_Holidays!A:A,A715)&gt;0,"Yes","No")</f>
        <v>No</v>
      </c>
      <c r="L715" t="str">
        <f t="shared" si="185"/>
        <v>Yes</v>
      </c>
      <c r="M715">
        <f t="shared" si="186"/>
        <v>28</v>
      </c>
      <c r="N715" s="5" t="str">
        <f t="shared" si="187"/>
        <v>No</v>
      </c>
      <c r="O715" t="str">
        <f>IF(A715=WORKDAY(EOMONTH(A715,0)+1,-1,Bank_Holidays!$A$2:$A$25),"Yes","No")</f>
        <v>No</v>
      </c>
      <c r="P715" t="str">
        <f t="shared" si="188"/>
        <v>No</v>
      </c>
      <c r="Q715" t="str">
        <f t="shared" si="189"/>
        <v>No</v>
      </c>
      <c r="R715" s="5">
        <f t="shared" si="191"/>
        <v>3</v>
      </c>
    </row>
    <row r="716" spans="1:18">
      <c r="A716" s="25">
        <f t="shared" si="190"/>
        <v>46949</v>
      </c>
      <c r="B716">
        <f t="shared" si="176"/>
        <v>2028</v>
      </c>
      <c r="C716" s="9">
        <f t="shared" si="177"/>
        <v>7</v>
      </c>
      <c r="D716" s="9" t="str">
        <f t="shared" si="178"/>
        <v>July</v>
      </c>
      <c r="E716" s="9" t="str">
        <f t="shared" si="179"/>
        <v>Jul-28</v>
      </c>
      <c r="F716" s="9" t="str">
        <f t="shared" si="180"/>
        <v>Q3</v>
      </c>
      <c r="G716" s="9">
        <f t="shared" si="181"/>
        <v>15</v>
      </c>
      <c r="H716" s="9">
        <f t="shared" si="182"/>
        <v>6</v>
      </c>
      <c r="I716" s="9" t="str">
        <f t="shared" si="183"/>
        <v>Saturday</v>
      </c>
      <c r="J716" s="9" t="str">
        <f t="shared" si="184"/>
        <v>Yes</v>
      </c>
      <c r="K716" s="5" t="str">
        <f>IF(COUNTIF(Bank_Holidays!A:A,A716)&gt;0,"Yes","No")</f>
        <v>No</v>
      </c>
      <c r="L716" t="str">
        <f t="shared" si="185"/>
        <v>No</v>
      </c>
      <c r="M716">
        <f t="shared" si="186"/>
        <v>28</v>
      </c>
      <c r="N716" s="5" t="str">
        <f t="shared" si="187"/>
        <v>No</v>
      </c>
      <c r="O716" t="str">
        <f>IF(A716=WORKDAY(EOMONTH(A716,0)+1,-1,Bank_Holidays!$A$2:$A$25),"Yes","No")</f>
        <v>No</v>
      </c>
      <c r="P716" t="str">
        <f t="shared" si="188"/>
        <v>No</v>
      </c>
      <c r="Q716" t="str">
        <f t="shared" si="189"/>
        <v>No</v>
      </c>
      <c r="R716" s="5">
        <f t="shared" si="191"/>
        <v>0</v>
      </c>
    </row>
    <row r="717" spans="1:18">
      <c r="A717" s="25">
        <f t="shared" si="190"/>
        <v>46950</v>
      </c>
      <c r="B717">
        <f t="shared" si="176"/>
        <v>2028</v>
      </c>
      <c r="C717" s="9">
        <f t="shared" si="177"/>
        <v>7</v>
      </c>
      <c r="D717" s="9" t="str">
        <f t="shared" si="178"/>
        <v>July</v>
      </c>
      <c r="E717" s="9" t="str">
        <f t="shared" si="179"/>
        <v>Jul-28</v>
      </c>
      <c r="F717" s="9" t="str">
        <f t="shared" si="180"/>
        <v>Q3</v>
      </c>
      <c r="G717" s="9">
        <f t="shared" si="181"/>
        <v>16</v>
      </c>
      <c r="H717" s="9">
        <f t="shared" si="182"/>
        <v>7</v>
      </c>
      <c r="I717" s="9" t="str">
        <f t="shared" si="183"/>
        <v>Sunday</v>
      </c>
      <c r="J717" s="9" t="str">
        <f t="shared" si="184"/>
        <v>Yes</v>
      </c>
      <c r="K717" s="5" t="str">
        <f>IF(COUNTIF(Bank_Holidays!A:A,A717)&gt;0,"Yes","No")</f>
        <v>No</v>
      </c>
      <c r="L717" t="str">
        <f t="shared" si="185"/>
        <v>No</v>
      </c>
      <c r="M717">
        <f t="shared" si="186"/>
        <v>28</v>
      </c>
      <c r="N717" s="5" t="str">
        <f t="shared" si="187"/>
        <v>No</v>
      </c>
      <c r="O717" t="str">
        <f>IF(A717=WORKDAY(EOMONTH(A717,0)+1,-1,Bank_Holidays!$A$2:$A$25),"Yes","No")</f>
        <v>No</v>
      </c>
      <c r="P717" t="str">
        <f t="shared" si="188"/>
        <v>No</v>
      </c>
      <c r="Q717" t="str">
        <f t="shared" si="189"/>
        <v>No</v>
      </c>
      <c r="R717" s="5">
        <f t="shared" si="191"/>
        <v>0</v>
      </c>
    </row>
    <row r="718" spans="1:18">
      <c r="A718" s="25">
        <f t="shared" si="190"/>
        <v>46951</v>
      </c>
      <c r="B718">
        <f t="shared" si="176"/>
        <v>2028</v>
      </c>
      <c r="C718" s="9">
        <f t="shared" si="177"/>
        <v>7</v>
      </c>
      <c r="D718" s="9" t="str">
        <f t="shared" si="178"/>
        <v>July</v>
      </c>
      <c r="E718" s="9" t="str">
        <f t="shared" si="179"/>
        <v>Jul-28</v>
      </c>
      <c r="F718" s="9" t="str">
        <f t="shared" si="180"/>
        <v>Q3</v>
      </c>
      <c r="G718" s="9">
        <f t="shared" si="181"/>
        <v>17</v>
      </c>
      <c r="H718" s="9">
        <f t="shared" si="182"/>
        <v>1</v>
      </c>
      <c r="I718" s="9" t="str">
        <f t="shared" si="183"/>
        <v>Monday</v>
      </c>
      <c r="J718" s="9" t="str">
        <f t="shared" si="184"/>
        <v>No</v>
      </c>
      <c r="K718" s="5" t="str">
        <f>IF(COUNTIF(Bank_Holidays!A:A,A718)&gt;0,"Yes","No")</f>
        <v>No</v>
      </c>
      <c r="L718" t="str">
        <f t="shared" si="185"/>
        <v>Yes</v>
      </c>
      <c r="M718">
        <f t="shared" si="186"/>
        <v>29</v>
      </c>
      <c r="N718" s="5" t="str">
        <f t="shared" si="187"/>
        <v>No</v>
      </c>
      <c r="O718" t="str">
        <f>IF(A718=WORKDAY(EOMONTH(A718,0)+1,-1,Bank_Holidays!$A$2:$A$25),"Yes","No")</f>
        <v>No</v>
      </c>
      <c r="P718" t="str">
        <f t="shared" si="188"/>
        <v>No</v>
      </c>
      <c r="Q718" t="str">
        <f t="shared" si="189"/>
        <v>No</v>
      </c>
      <c r="R718" s="5">
        <f t="shared" si="191"/>
        <v>1</v>
      </c>
    </row>
    <row r="719" spans="1:18">
      <c r="A719" s="25">
        <f t="shared" si="190"/>
        <v>46952</v>
      </c>
      <c r="B719">
        <f t="shared" si="176"/>
        <v>2028</v>
      </c>
      <c r="C719" s="9">
        <f t="shared" si="177"/>
        <v>7</v>
      </c>
      <c r="D719" s="9" t="str">
        <f t="shared" si="178"/>
        <v>July</v>
      </c>
      <c r="E719" s="9" t="str">
        <f t="shared" si="179"/>
        <v>Jul-28</v>
      </c>
      <c r="F719" s="9" t="str">
        <f t="shared" si="180"/>
        <v>Q3</v>
      </c>
      <c r="G719" s="9">
        <f t="shared" si="181"/>
        <v>18</v>
      </c>
      <c r="H719" s="9">
        <f t="shared" si="182"/>
        <v>2</v>
      </c>
      <c r="I719" s="9" t="str">
        <f t="shared" si="183"/>
        <v>Tuesday</v>
      </c>
      <c r="J719" s="9" t="str">
        <f t="shared" si="184"/>
        <v>No</v>
      </c>
      <c r="K719" s="5" t="str">
        <f>IF(COUNTIF(Bank_Holidays!A:A,A719)&gt;0,"Yes","No")</f>
        <v>No</v>
      </c>
      <c r="L719" t="str">
        <f t="shared" si="185"/>
        <v>Yes</v>
      </c>
      <c r="M719">
        <f t="shared" si="186"/>
        <v>29</v>
      </c>
      <c r="N719" s="5" t="str">
        <f t="shared" si="187"/>
        <v>No</v>
      </c>
      <c r="O719" t="str">
        <f>IF(A719=WORKDAY(EOMONTH(A719,0)+1,-1,Bank_Holidays!$A$2:$A$25),"Yes","No")</f>
        <v>No</v>
      </c>
      <c r="P719" t="str">
        <f t="shared" si="188"/>
        <v>No</v>
      </c>
      <c r="Q719" t="str">
        <f t="shared" si="189"/>
        <v>No</v>
      </c>
      <c r="R719" s="5">
        <f t="shared" si="191"/>
        <v>1</v>
      </c>
    </row>
    <row r="720" spans="1:18">
      <c r="A720" s="25">
        <f t="shared" si="190"/>
        <v>46953</v>
      </c>
      <c r="B720">
        <f t="shared" si="176"/>
        <v>2028</v>
      </c>
      <c r="C720" s="9">
        <f t="shared" si="177"/>
        <v>7</v>
      </c>
      <c r="D720" s="9" t="str">
        <f t="shared" si="178"/>
        <v>July</v>
      </c>
      <c r="E720" s="9" t="str">
        <f t="shared" si="179"/>
        <v>Jul-28</v>
      </c>
      <c r="F720" s="9" t="str">
        <f t="shared" si="180"/>
        <v>Q3</v>
      </c>
      <c r="G720" s="9">
        <f t="shared" si="181"/>
        <v>19</v>
      </c>
      <c r="H720" s="9">
        <f t="shared" si="182"/>
        <v>3</v>
      </c>
      <c r="I720" s="9" t="str">
        <f t="shared" si="183"/>
        <v>Wednesday</v>
      </c>
      <c r="J720" s="9" t="str">
        <f t="shared" si="184"/>
        <v>No</v>
      </c>
      <c r="K720" s="5" t="str">
        <f>IF(COUNTIF(Bank_Holidays!A:A,A720)&gt;0,"Yes","No")</f>
        <v>No</v>
      </c>
      <c r="L720" t="str">
        <f t="shared" si="185"/>
        <v>Yes</v>
      </c>
      <c r="M720">
        <f t="shared" si="186"/>
        <v>29</v>
      </c>
      <c r="N720" s="5" t="str">
        <f t="shared" si="187"/>
        <v>No</v>
      </c>
      <c r="O720" t="str">
        <f>IF(A720=WORKDAY(EOMONTH(A720,0)+1,-1,Bank_Holidays!$A$2:$A$25),"Yes","No")</f>
        <v>No</v>
      </c>
      <c r="P720" t="str">
        <f t="shared" si="188"/>
        <v>No</v>
      </c>
      <c r="Q720" t="str">
        <f t="shared" si="189"/>
        <v>No</v>
      </c>
      <c r="R720" s="5">
        <f t="shared" si="191"/>
        <v>1</v>
      </c>
    </row>
    <row r="721" spans="1:18">
      <c r="A721" s="25">
        <f t="shared" si="190"/>
        <v>46954</v>
      </c>
      <c r="B721">
        <f t="shared" si="176"/>
        <v>2028</v>
      </c>
      <c r="C721" s="9">
        <f t="shared" si="177"/>
        <v>7</v>
      </c>
      <c r="D721" s="9" t="str">
        <f t="shared" si="178"/>
        <v>July</v>
      </c>
      <c r="E721" s="9" t="str">
        <f t="shared" si="179"/>
        <v>Jul-28</v>
      </c>
      <c r="F721" s="9" t="str">
        <f t="shared" si="180"/>
        <v>Q3</v>
      </c>
      <c r="G721" s="9">
        <f t="shared" si="181"/>
        <v>20</v>
      </c>
      <c r="H721" s="9">
        <f t="shared" si="182"/>
        <v>4</v>
      </c>
      <c r="I721" s="9" t="str">
        <f t="shared" si="183"/>
        <v>Thursday</v>
      </c>
      <c r="J721" s="9" t="str">
        <f t="shared" si="184"/>
        <v>No</v>
      </c>
      <c r="K721" s="5" t="str">
        <f>IF(COUNTIF(Bank_Holidays!A:A,A721)&gt;0,"Yes","No")</f>
        <v>No</v>
      </c>
      <c r="L721" t="str">
        <f t="shared" si="185"/>
        <v>Yes</v>
      </c>
      <c r="M721">
        <f t="shared" si="186"/>
        <v>29</v>
      </c>
      <c r="N721" s="5" t="str">
        <f t="shared" si="187"/>
        <v>No</v>
      </c>
      <c r="O721" t="str">
        <f>IF(A721=WORKDAY(EOMONTH(A721,0)+1,-1,Bank_Holidays!$A$2:$A$25),"Yes","No")</f>
        <v>No</v>
      </c>
      <c r="P721" t="str">
        <f t="shared" si="188"/>
        <v>No</v>
      </c>
      <c r="Q721" t="str">
        <f t="shared" si="189"/>
        <v>No</v>
      </c>
      <c r="R721" s="5">
        <f t="shared" si="191"/>
        <v>1</v>
      </c>
    </row>
    <row r="722" spans="1:18">
      <c r="A722" s="25">
        <f t="shared" si="190"/>
        <v>46955</v>
      </c>
      <c r="B722">
        <f t="shared" si="176"/>
        <v>2028</v>
      </c>
      <c r="C722" s="9">
        <f t="shared" si="177"/>
        <v>7</v>
      </c>
      <c r="D722" s="9" t="str">
        <f t="shared" si="178"/>
        <v>July</v>
      </c>
      <c r="E722" s="9" t="str">
        <f t="shared" si="179"/>
        <v>Jul-28</v>
      </c>
      <c r="F722" s="9" t="str">
        <f t="shared" si="180"/>
        <v>Q3</v>
      </c>
      <c r="G722" s="9">
        <f t="shared" si="181"/>
        <v>21</v>
      </c>
      <c r="H722" s="9">
        <f t="shared" si="182"/>
        <v>5</v>
      </c>
      <c r="I722" s="9" t="str">
        <f t="shared" si="183"/>
        <v>Friday</v>
      </c>
      <c r="J722" s="9" t="str">
        <f t="shared" si="184"/>
        <v>No</v>
      </c>
      <c r="K722" s="5" t="str">
        <f>IF(COUNTIF(Bank_Holidays!A:A,A722)&gt;0,"Yes","No")</f>
        <v>No</v>
      </c>
      <c r="L722" t="str">
        <f t="shared" si="185"/>
        <v>Yes</v>
      </c>
      <c r="M722">
        <f t="shared" si="186"/>
        <v>29</v>
      </c>
      <c r="N722" s="5" t="str">
        <f t="shared" si="187"/>
        <v>No</v>
      </c>
      <c r="O722" t="str">
        <f>IF(A722=WORKDAY(EOMONTH(A722,0)+1,-1,Bank_Holidays!$A$2:$A$25),"Yes","No")</f>
        <v>No</v>
      </c>
      <c r="P722" t="str">
        <f t="shared" si="188"/>
        <v>No</v>
      </c>
      <c r="Q722" t="str">
        <f t="shared" si="189"/>
        <v>No</v>
      </c>
      <c r="R722" s="5">
        <f t="shared" si="191"/>
        <v>3</v>
      </c>
    </row>
    <row r="723" spans="1:18">
      <c r="A723" s="25">
        <f t="shared" si="190"/>
        <v>46956</v>
      </c>
      <c r="B723">
        <f t="shared" si="176"/>
        <v>2028</v>
      </c>
      <c r="C723" s="9">
        <f t="shared" si="177"/>
        <v>7</v>
      </c>
      <c r="D723" s="9" t="str">
        <f t="shared" si="178"/>
        <v>July</v>
      </c>
      <c r="E723" s="9" t="str">
        <f t="shared" si="179"/>
        <v>Jul-28</v>
      </c>
      <c r="F723" s="9" t="str">
        <f t="shared" si="180"/>
        <v>Q3</v>
      </c>
      <c r="G723" s="9">
        <f t="shared" si="181"/>
        <v>22</v>
      </c>
      <c r="H723" s="9">
        <f t="shared" si="182"/>
        <v>6</v>
      </c>
      <c r="I723" s="9" t="str">
        <f t="shared" si="183"/>
        <v>Saturday</v>
      </c>
      <c r="J723" s="9" t="str">
        <f t="shared" si="184"/>
        <v>Yes</v>
      </c>
      <c r="K723" s="5" t="str">
        <f>IF(COUNTIF(Bank_Holidays!A:A,A723)&gt;0,"Yes","No")</f>
        <v>No</v>
      </c>
      <c r="L723" t="str">
        <f t="shared" si="185"/>
        <v>No</v>
      </c>
      <c r="M723">
        <f t="shared" si="186"/>
        <v>29</v>
      </c>
      <c r="N723" s="5" t="str">
        <f t="shared" si="187"/>
        <v>No</v>
      </c>
      <c r="O723" t="str">
        <f>IF(A723=WORKDAY(EOMONTH(A723,0)+1,-1,Bank_Holidays!$A$2:$A$25),"Yes","No")</f>
        <v>No</v>
      </c>
      <c r="P723" t="str">
        <f t="shared" si="188"/>
        <v>No</v>
      </c>
      <c r="Q723" t="str">
        <f t="shared" si="189"/>
        <v>No</v>
      </c>
      <c r="R723" s="5">
        <f t="shared" si="191"/>
        <v>0</v>
      </c>
    </row>
    <row r="724" spans="1:18">
      <c r="A724" s="25">
        <f t="shared" si="190"/>
        <v>46957</v>
      </c>
      <c r="B724">
        <f t="shared" si="176"/>
        <v>2028</v>
      </c>
      <c r="C724" s="9">
        <f t="shared" si="177"/>
        <v>7</v>
      </c>
      <c r="D724" s="9" t="str">
        <f t="shared" si="178"/>
        <v>July</v>
      </c>
      <c r="E724" s="9" t="str">
        <f t="shared" si="179"/>
        <v>Jul-28</v>
      </c>
      <c r="F724" s="9" t="str">
        <f t="shared" si="180"/>
        <v>Q3</v>
      </c>
      <c r="G724" s="9">
        <f t="shared" si="181"/>
        <v>23</v>
      </c>
      <c r="H724" s="9">
        <f t="shared" si="182"/>
        <v>7</v>
      </c>
      <c r="I724" s="9" t="str">
        <f t="shared" si="183"/>
        <v>Sunday</v>
      </c>
      <c r="J724" s="9" t="str">
        <f t="shared" si="184"/>
        <v>Yes</v>
      </c>
      <c r="K724" s="5" t="str">
        <f>IF(COUNTIF(Bank_Holidays!A:A,A724)&gt;0,"Yes","No")</f>
        <v>No</v>
      </c>
      <c r="L724" t="str">
        <f t="shared" si="185"/>
        <v>No</v>
      </c>
      <c r="M724">
        <f t="shared" si="186"/>
        <v>29</v>
      </c>
      <c r="N724" s="5" t="str">
        <f t="shared" si="187"/>
        <v>No</v>
      </c>
      <c r="O724" t="str">
        <f>IF(A724=WORKDAY(EOMONTH(A724,0)+1,-1,Bank_Holidays!$A$2:$A$25),"Yes","No")</f>
        <v>No</v>
      </c>
      <c r="P724" t="str">
        <f t="shared" si="188"/>
        <v>No</v>
      </c>
      <c r="Q724" t="str">
        <f t="shared" si="189"/>
        <v>No</v>
      </c>
      <c r="R724" s="5">
        <f t="shared" si="191"/>
        <v>0</v>
      </c>
    </row>
    <row r="725" spans="1:18">
      <c r="A725" s="25">
        <f t="shared" si="190"/>
        <v>46958</v>
      </c>
      <c r="B725">
        <f t="shared" si="176"/>
        <v>2028</v>
      </c>
      <c r="C725" s="9">
        <f t="shared" si="177"/>
        <v>7</v>
      </c>
      <c r="D725" s="9" t="str">
        <f t="shared" si="178"/>
        <v>July</v>
      </c>
      <c r="E725" s="9" t="str">
        <f t="shared" si="179"/>
        <v>Jul-28</v>
      </c>
      <c r="F725" s="9" t="str">
        <f t="shared" si="180"/>
        <v>Q3</v>
      </c>
      <c r="G725" s="9">
        <f t="shared" si="181"/>
        <v>24</v>
      </c>
      <c r="H725" s="9">
        <f t="shared" si="182"/>
        <v>1</v>
      </c>
      <c r="I725" s="9" t="str">
        <f t="shared" si="183"/>
        <v>Monday</v>
      </c>
      <c r="J725" s="9" t="str">
        <f t="shared" si="184"/>
        <v>No</v>
      </c>
      <c r="K725" s="5" t="str">
        <f>IF(COUNTIF(Bank_Holidays!A:A,A725)&gt;0,"Yes","No")</f>
        <v>No</v>
      </c>
      <c r="L725" t="str">
        <f t="shared" si="185"/>
        <v>Yes</v>
      </c>
      <c r="M725">
        <f t="shared" si="186"/>
        <v>30</v>
      </c>
      <c r="N725" s="5" t="str">
        <f t="shared" si="187"/>
        <v>No</v>
      </c>
      <c r="O725" t="str">
        <f>IF(A725=WORKDAY(EOMONTH(A725,0)+1,-1,Bank_Holidays!$A$2:$A$25),"Yes","No")</f>
        <v>No</v>
      </c>
      <c r="P725" t="str">
        <f t="shared" si="188"/>
        <v>No</v>
      </c>
      <c r="Q725" t="str">
        <f t="shared" si="189"/>
        <v>No</v>
      </c>
      <c r="R725" s="5">
        <f t="shared" si="191"/>
        <v>1</v>
      </c>
    </row>
    <row r="726" spans="1:18">
      <c r="A726" s="25">
        <f t="shared" si="190"/>
        <v>46959</v>
      </c>
      <c r="B726">
        <f t="shared" si="176"/>
        <v>2028</v>
      </c>
      <c r="C726" s="9">
        <f t="shared" si="177"/>
        <v>7</v>
      </c>
      <c r="D726" s="9" t="str">
        <f t="shared" si="178"/>
        <v>July</v>
      </c>
      <c r="E726" s="9" t="str">
        <f t="shared" si="179"/>
        <v>Jul-28</v>
      </c>
      <c r="F726" s="9" t="str">
        <f t="shared" si="180"/>
        <v>Q3</v>
      </c>
      <c r="G726" s="9">
        <f t="shared" si="181"/>
        <v>25</v>
      </c>
      <c r="H726" s="9">
        <f t="shared" si="182"/>
        <v>2</v>
      </c>
      <c r="I726" s="9" t="str">
        <f t="shared" si="183"/>
        <v>Tuesday</v>
      </c>
      <c r="J726" s="9" t="str">
        <f t="shared" si="184"/>
        <v>No</v>
      </c>
      <c r="K726" s="5" t="str">
        <f>IF(COUNTIF(Bank_Holidays!A:A,A726)&gt;0,"Yes","No")</f>
        <v>No</v>
      </c>
      <c r="L726" t="str">
        <f t="shared" si="185"/>
        <v>Yes</v>
      </c>
      <c r="M726">
        <f t="shared" si="186"/>
        <v>30</v>
      </c>
      <c r="N726" s="5" t="str">
        <f t="shared" si="187"/>
        <v>No</v>
      </c>
      <c r="O726" t="str">
        <f>IF(A726=WORKDAY(EOMONTH(A726,0)+1,-1,Bank_Holidays!$A$2:$A$25),"Yes","No")</f>
        <v>No</v>
      </c>
      <c r="P726" t="str">
        <f t="shared" si="188"/>
        <v>No</v>
      </c>
      <c r="Q726" t="str">
        <f t="shared" si="189"/>
        <v>No</v>
      </c>
      <c r="R726" s="5">
        <f t="shared" si="191"/>
        <v>1</v>
      </c>
    </row>
    <row r="727" spans="1:18">
      <c r="A727" s="25">
        <f t="shared" si="190"/>
        <v>46960</v>
      </c>
      <c r="B727">
        <f t="shared" si="176"/>
        <v>2028</v>
      </c>
      <c r="C727" s="9">
        <f t="shared" si="177"/>
        <v>7</v>
      </c>
      <c r="D727" s="9" t="str">
        <f t="shared" si="178"/>
        <v>July</v>
      </c>
      <c r="E727" s="9" t="str">
        <f t="shared" si="179"/>
        <v>Jul-28</v>
      </c>
      <c r="F727" s="9" t="str">
        <f t="shared" si="180"/>
        <v>Q3</v>
      </c>
      <c r="G727" s="9">
        <f t="shared" si="181"/>
        <v>26</v>
      </c>
      <c r="H727" s="9">
        <f t="shared" si="182"/>
        <v>3</v>
      </c>
      <c r="I727" s="9" t="str">
        <f t="shared" si="183"/>
        <v>Wednesday</v>
      </c>
      <c r="J727" s="9" t="str">
        <f t="shared" si="184"/>
        <v>No</v>
      </c>
      <c r="K727" s="5" t="str">
        <f>IF(COUNTIF(Bank_Holidays!A:A,A727)&gt;0,"Yes","No")</f>
        <v>No</v>
      </c>
      <c r="L727" t="str">
        <f t="shared" si="185"/>
        <v>Yes</v>
      </c>
      <c r="M727">
        <f t="shared" si="186"/>
        <v>30</v>
      </c>
      <c r="N727" s="5" t="str">
        <f t="shared" si="187"/>
        <v>No</v>
      </c>
      <c r="O727" t="str">
        <f>IF(A727=WORKDAY(EOMONTH(A727,0)+1,-1,Bank_Holidays!$A$2:$A$25),"Yes","No")</f>
        <v>No</v>
      </c>
      <c r="P727" t="str">
        <f t="shared" si="188"/>
        <v>No</v>
      </c>
      <c r="Q727" t="str">
        <f t="shared" si="189"/>
        <v>No</v>
      </c>
      <c r="R727" s="5">
        <f t="shared" si="191"/>
        <v>1</v>
      </c>
    </row>
    <row r="728" spans="1:18">
      <c r="A728" s="25">
        <f t="shared" si="190"/>
        <v>46961</v>
      </c>
      <c r="B728">
        <f t="shared" si="176"/>
        <v>2028</v>
      </c>
      <c r="C728" s="9">
        <f t="shared" si="177"/>
        <v>7</v>
      </c>
      <c r="D728" s="9" t="str">
        <f t="shared" si="178"/>
        <v>July</v>
      </c>
      <c r="E728" s="9" t="str">
        <f t="shared" si="179"/>
        <v>Jul-28</v>
      </c>
      <c r="F728" s="9" t="str">
        <f t="shared" si="180"/>
        <v>Q3</v>
      </c>
      <c r="G728" s="9">
        <f t="shared" si="181"/>
        <v>27</v>
      </c>
      <c r="H728" s="9">
        <f t="shared" si="182"/>
        <v>4</v>
      </c>
      <c r="I728" s="9" t="str">
        <f t="shared" si="183"/>
        <v>Thursday</v>
      </c>
      <c r="J728" s="9" t="str">
        <f t="shared" si="184"/>
        <v>No</v>
      </c>
      <c r="K728" s="5" t="str">
        <f>IF(COUNTIF(Bank_Holidays!A:A,A728)&gt;0,"Yes","No")</f>
        <v>No</v>
      </c>
      <c r="L728" t="str">
        <f t="shared" si="185"/>
        <v>Yes</v>
      </c>
      <c r="M728">
        <f t="shared" si="186"/>
        <v>30</v>
      </c>
      <c r="N728" s="5" t="str">
        <f t="shared" si="187"/>
        <v>No</v>
      </c>
      <c r="O728" t="str">
        <f>IF(A728=WORKDAY(EOMONTH(A728,0)+1,-1,Bank_Holidays!$A$2:$A$25),"Yes","No")</f>
        <v>No</v>
      </c>
      <c r="P728" t="str">
        <f t="shared" si="188"/>
        <v>No</v>
      </c>
      <c r="Q728" t="str">
        <f t="shared" si="189"/>
        <v>Yes</v>
      </c>
      <c r="R728" s="5">
        <f t="shared" si="191"/>
        <v>1</v>
      </c>
    </row>
    <row r="729" spans="1:18">
      <c r="A729" s="25">
        <f t="shared" si="190"/>
        <v>46962</v>
      </c>
      <c r="B729">
        <f t="shared" si="176"/>
        <v>2028</v>
      </c>
      <c r="C729" s="9">
        <f t="shared" si="177"/>
        <v>7</v>
      </c>
      <c r="D729" s="9" t="str">
        <f t="shared" si="178"/>
        <v>July</v>
      </c>
      <c r="E729" s="9" t="str">
        <f t="shared" si="179"/>
        <v>Jul-28</v>
      </c>
      <c r="F729" s="9" t="str">
        <f t="shared" si="180"/>
        <v>Q3</v>
      </c>
      <c r="G729" s="9">
        <f t="shared" si="181"/>
        <v>28</v>
      </c>
      <c r="H729" s="9">
        <f t="shared" si="182"/>
        <v>5</v>
      </c>
      <c r="I729" s="9" t="str">
        <f t="shared" si="183"/>
        <v>Friday</v>
      </c>
      <c r="J729" s="9" t="str">
        <f t="shared" si="184"/>
        <v>No</v>
      </c>
      <c r="K729" s="5" t="str">
        <f>IF(COUNTIF(Bank_Holidays!A:A,A729)&gt;0,"Yes","No")</f>
        <v>No</v>
      </c>
      <c r="L729" t="str">
        <f t="shared" si="185"/>
        <v>Yes</v>
      </c>
      <c r="M729">
        <f t="shared" si="186"/>
        <v>30</v>
      </c>
      <c r="N729" s="5" t="str">
        <f t="shared" si="187"/>
        <v>No</v>
      </c>
      <c r="O729" t="str">
        <f>IF(A729=WORKDAY(EOMONTH(A729,0)+1,-1,Bank_Holidays!$A$2:$A$25),"Yes","No")</f>
        <v>No</v>
      </c>
      <c r="P729" t="str">
        <f t="shared" si="188"/>
        <v>Yes</v>
      </c>
      <c r="Q729" t="str">
        <f t="shared" si="189"/>
        <v>No</v>
      </c>
      <c r="R729" s="5">
        <f t="shared" si="191"/>
        <v>3</v>
      </c>
    </row>
    <row r="730" spans="1:18">
      <c r="A730" s="25">
        <f t="shared" si="190"/>
        <v>46963</v>
      </c>
      <c r="B730">
        <f t="shared" si="176"/>
        <v>2028</v>
      </c>
      <c r="C730" s="9">
        <f t="shared" si="177"/>
        <v>7</v>
      </c>
      <c r="D730" s="9" t="str">
        <f t="shared" si="178"/>
        <v>July</v>
      </c>
      <c r="E730" s="9" t="str">
        <f t="shared" si="179"/>
        <v>Jul-28</v>
      </c>
      <c r="F730" s="9" t="str">
        <f t="shared" si="180"/>
        <v>Q3</v>
      </c>
      <c r="G730" s="9">
        <f t="shared" si="181"/>
        <v>29</v>
      </c>
      <c r="H730" s="9">
        <f t="shared" si="182"/>
        <v>6</v>
      </c>
      <c r="I730" s="9" t="str">
        <f t="shared" si="183"/>
        <v>Saturday</v>
      </c>
      <c r="J730" s="9" t="str">
        <f t="shared" si="184"/>
        <v>Yes</v>
      </c>
      <c r="K730" s="5" t="str">
        <f>IF(COUNTIF(Bank_Holidays!A:A,A730)&gt;0,"Yes","No")</f>
        <v>No</v>
      </c>
      <c r="L730" t="str">
        <f t="shared" si="185"/>
        <v>No</v>
      </c>
      <c r="M730">
        <f t="shared" si="186"/>
        <v>30</v>
      </c>
      <c r="N730" s="5" t="str">
        <f t="shared" si="187"/>
        <v>No</v>
      </c>
      <c r="O730" t="str">
        <f>IF(A730=WORKDAY(EOMONTH(A730,0)+1,-1,Bank_Holidays!$A$2:$A$25),"Yes","No")</f>
        <v>No</v>
      </c>
      <c r="P730" t="str">
        <f t="shared" si="188"/>
        <v>No</v>
      </c>
      <c r="Q730" t="str">
        <f t="shared" si="189"/>
        <v>No</v>
      </c>
      <c r="R730" s="5">
        <f t="shared" si="191"/>
        <v>0</v>
      </c>
    </row>
    <row r="731" spans="1:18">
      <c r="A731" s="25">
        <f t="shared" si="190"/>
        <v>46964</v>
      </c>
      <c r="B731">
        <f t="shared" si="176"/>
        <v>2028</v>
      </c>
      <c r="C731" s="9">
        <f t="shared" si="177"/>
        <v>7</v>
      </c>
      <c r="D731" s="9" t="str">
        <f t="shared" si="178"/>
        <v>July</v>
      </c>
      <c r="E731" s="9" t="str">
        <f t="shared" si="179"/>
        <v>Jul-28</v>
      </c>
      <c r="F731" s="9" t="str">
        <f t="shared" si="180"/>
        <v>Q3</v>
      </c>
      <c r="G731" s="9">
        <f t="shared" si="181"/>
        <v>30</v>
      </c>
      <c r="H731" s="9">
        <f t="shared" si="182"/>
        <v>7</v>
      </c>
      <c r="I731" s="9" t="str">
        <f t="shared" si="183"/>
        <v>Sunday</v>
      </c>
      <c r="J731" s="9" t="str">
        <f t="shared" si="184"/>
        <v>Yes</v>
      </c>
      <c r="K731" s="5" t="str">
        <f>IF(COUNTIF(Bank_Holidays!A:A,A731)&gt;0,"Yes","No")</f>
        <v>No</v>
      </c>
      <c r="L731" t="str">
        <f t="shared" si="185"/>
        <v>No</v>
      </c>
      <c r="M731">
        <f t="shared" si="186"/>
        <v>30</v>
      </c>
      <c r="N731" s="5" t="str">
        <f t="shared" si="187"/>
        <v>No</v>
      </c>
      <c r="O731" t="str">
        <f>IF(A731=WORKDAY(EOMONTH(A731,0)+1,-1,Bank_Holidays!$A$2:$A$25),"Yes","No")</f>
        <v>No</v>
      </c>
      <c r="P731" t="str">
        <f t="shared" si="188"/>
        <v>No</v>
      </c>
      <c r="Q731" t="str">
        <f t="shared" si="189"/>
        <v>No</v>
      </c>
      <c r="R731" s="5">
        <f t="shared" si="191"/>
        <v>0</v>
      </c>
    </row>
    <row r="732" spans="1:18">
      <c r="A732" s="25">
        <f t="shared" si="190"/>
        <v>46965</v>
      </c>
      <c r="B732">
        <f t="shared" si="176"/>
        <v>2028</v>
      </c>
      <c r="C732" s="9">
        <f t="shared" si="177"/>
        <v>7</v>
      </c>
      <c r="D732" s="9" t="str">
        <f t="shared" si="178"/>
        <v>July</v>
      </c>
      <c r="E732" s="9" t="str">
        <f t="shared" si="179"/>
        <v>Jul-28</v>
      </c>
      <c r="F732" s="9" t="str">
        <f t="shared" si="180"/>
        <v>Q3</v>
      </c>
      <c r="G732" s="9">
        <f t="shared" si="181"/>
        <v>31</v>
      </c>
      <c r="H732" s="9">
        <f t="shared" si="182"/>
        <v>1</v>
      </c>
      <c r="I732" s="9" t="str">
        <f t="shared" si="183"/>
        <v>Monday</v>
      </c>
      <c r="J732" s="9" t="str">
        <f t="shared" si="184"/>
        <v>No</v>
      </c>
      <c r="K732" s="5" t="str">
        <f>IF(COUNTIF(Bank_Holidays!A:A,A732)&gt;0,"Yes","No")</f>
        <v>No</v>
      </c>
      <c r="L732" t="str">
        <f t="shared" si="185"/>
        <v>Yes</v>
      </c>
      <c r="M732">
        <f t="shared" si="186"/>
        <v>31</v>
      </c>
      <c r="N732" s="5" t="str">
        <f t="shared" si="187"/>
        <v>Yes</v>
      </c>
      <c r="O732" t="str">
        <f>IF(A732=WORKDAY(EOMONTH(A732,0)+1,-1,Bank_Holidays!$A$2:$A$25),"Yes","No")</f>
        <v>Yes</v>
      </c>
      <c r="P732" t="str">
        <f t="shared" si="188"/>
        <v>No</v>
      </c>
      <c r="Q732" t="str">
        <f t="shared" si="189"/>
        <v>No</v>
      </c>
      <c r="R732" s="5">
        <f t="shared" si="191"/>
        <v>1</v>
      </c>
    </row>
    <row r="733" spans="1:18">
      <c r="A733" s="25">
        <f t="shared" si="190"/>
        <v>46966</v>
      </c>
      <c r="B733">
        <f t="shared" si="176"/>
        <v>2028</v>
      </c>
      <c r="C733" s="9">
        <f t="shared" si="177"/>
        <v>8</v>
      </c>
      <c r="D733" s="9" t="str">
        <f t="shared" si="178"/>
        <v>August</v>
      </c>
      <c r="E733" s="9" t="str">
        <f t="shared" si="179"/>
        <v>Aug-28</v>
      </c>
      <c r="F733" s="9" t="str">
        <f t="shared" si="180"/>
        <v>Q3</v>
      </c>
      <c r="G733" s="9">
        <f t="shared" si="181"/>
        <v>1</v>
      </c>
      <c r="H733" s="9">
        <f t="shared" si="182"/>
        <v>2</v>
      </c>
      <c r="I733" s="9" t="str">
        <f t="shared" si="183"/>
        <v>Tuesday</v>
      </c>
      <c r="J733" s="9" t="str">
        <f t="shared" si="184"/>
        <v>No</v>
      </c>
      <c r="K733" s="5" t="str">
        <f>IF(COUNTIF(Bank_Holidays!A:A,A733)&gt;0,"Yes","No")</f>
        <v>No</v>
      </c>
      <c r="L733" t="str">
        <f t="shared" si="185"/>
        <v>Yes</v>
      </c>
      <c r="M733">
        <f t="shared" si="186"/>
        <v>31</v>
      </c>
      <c r="N733" s="5" t="str">
        <f t="shared" si="187"/>
        <v>No</v>
      </c>
      <c r="O733" t="str">
        <f>IF(A733=WORKDAY(EOMONTH(A733,0)+1,-1,Bank_Holidays!$A$2:$A$25),"Yes","No")</f>
        <v>No</v>
      </c>
      <c r="P733" t="str">
        <f t="shared" si="188"/>
        <v>No</v>
      </c>
      <c r="Q733" t="str">
        <f t="shared" si="189"/>
        <v>No</v>
      </c>
      <c r="R733" s="5">
        <f t="shared" si="191"/>
        <v>1</v>
      </c>
    </row>
    <row r="734" spans="1:18">
      <c r="A734" s="25">
        <f t="shared" si="190"/>
        <v>46967</v>
      </c>
      <c r="B734">
        <f t="shared" si="176"/>
        <v>2028</v>
      </c>
      <c r="C734" s="9">
        <f t="shared" si="177"/>
        <v>8</v>
      </c>
      <c r="D734" s="9" t="str">
        <f t="shared" si="178"/>
        <v>August</v>
      </c>
      <c r="E734" s="9" t="str">
        <f t="shared" si="179"/>
        <v>Aug-28</v>
      </c>
      <c r="F734" s="9" t="str">
        <f t="shared" si="180"/>
        <v>Q3</v>
      </c>
      <c r="G734" s="9">
        <f t="shared" si="181"/>
        <v>2</v>
      </c>
      <c r="H734" s="9">
        <f t="shared" si="182"/>
        <v>3</v>
      </c>
      <c r="I734" s="9" t="str">
        <f t="shared" si="183"/>
        <v>Wednesday</v>
      </c>
      <c r="J734" s="9" t="str">
        <f t="shared" si="184"/>
        <v>No</v>
      </c>
      <c r="K734" s="5" t="str">
        <f>IF(COUNTIF(Bank_Holidays!A:A,A734)&gt;0,"Yes","No")</f>
        <v>No</v>
      </c>
      <c r="L734" t="str">
        <f t="shared" si="185"/>
        <v>Yes</v>
      </c>
      <c r="M734">
        <f t="shared" si="186"/>
        <v>31</v>
      </c>
      <c r="N734" s="5" t="str">
        <f t="shared" si="187"/>
        <v>No</v>
      </c>
      <c r="O734" t="str">
        <f>IF(A734=WORKDAY(EOMONTH(A734,0)+1,-1,Bank_Holidays!$A$2:$A$25),"Yes","No")</f>
        <v>No</v>
      </c>
      <c r="P734" t="str">
        <f t="shared" si="188"/>
        <v>No</v>
      </c>
      <c r="Q734" t="str">
        <f t="shared" si="189"/>
        <v>No</v>
      </c>
      <c r="R734" s="5">
        <f t="shared" si="191"/>
        <v>1</v>
      </c>
    </row>
    <row r="735" spans="1:18">
      <c r="A735" s="25">
        <f t="shared" si="190"/>
        <v>46968</v>
      </c>
      <c r="B735">
        <f t="shared" si="176"/>
        <v>2028</v>
      </c>
      <c r="C735" s="9">
        <f t="shared" si="177"/>
        <v>8</v>
      </c>
      <c r="D735" s="9" t="str">
        <f t="shared" si="178"/>
        <v>August</v>
      </c>
      <c r="E735" s="9" t="str">
        <f t="shared" si="179"/>
        <v>Aug-28</v>
      </c>
      <c r="F735" s="9" t="str">
        <f t="shared" si="180"/>
        <v>Q3</v>
      </c>
      <c r="G735" s="9">
        <f t="shared" si="181"/>
        <v>3</v>
      </c>
      <c r="H735" s="9">
        <f t="shared" si="182"/>
        <v>4</v>
      </c>
      <c r="I735" s="9" t="str">
        <f t="shared" si="183"/>
        <v>Thursday</v>
      </c>
      <c r="J735" s="9" t="str">
        <f t="shared" si="184"/>
        <v>No</v>
      </c>
      <c r="K735" s="5" t="str">
        <f>IF(COUNTIF(Bank_Holidays!A:A,A735)&gt;0,"Yes","No")</f>
        <v>No</v>
      </c>
      <c r="L735" t="str">
        <f t="shared" si="185"/>
        <v>Yes</v>
      </c>
      <c r="M735">
        <f t="shared" si="186"/>
        <v>31</v>
      </c>
      <c r="N735" s="5" t="str">
        <f t="shared" si="187"/>
        <v>No</v>
      </c>
      <c r="O735" t="str">
        <f>IF(A735=WORKDAY(EOMONTH(A735,0)+1,-1,Bank_Holidays!$A$2:$A$25),"Yes","No")</f>
        <v>No</v>
      </c>
      <c r="P735" t="str">
        <f t="shared" si="188"/>
        <v>No</v>
      </c>
      <c r="Q735" t="str">
        <f t="shared" si="189"/>
        <v>No</v>
      </c>
      <c r="R735" s="5">
        <f t="shared" si="191"/>
        <v>1</v>
      </c>
    </row>
    <row r="736" spans="1:18">
      <c r="A736" s="25">
        <f t="shared" si="190"/>
        <v>46969</v>
      </c>
      <c r="B736">
        <f t="shared" si="176"/>
        <v>2028</v>
      </c>
      <c r="C736" s="9">
        <f t="shared" si="177"/>
        <v>8</v>
      </c>
      <c r="D736" s="9" t="str">
        <f t="shared" si="178"/>
        <v>August</v>
      </c>
      <c r="E736" s="9" t="str">
        <f t="shared" si="179"/>
        <v>Aug-28</v>
      </c>
      <c r="F736" s="9" t="str">
        <f t="shared" si="180"/>
        <v>Q3</v>
      </c>
      <c r="G736" s="9">
        <f t="shared" si="181"/>
        <v>4</v>
      </c>
      <c r="H736" s="9">
        <f t="shared" si="182"/>
        <v>5</v>
      </c>
      <c r="I736" s="9" t="str">
        <f t="shared" si="183"/>
        <v>Friday</v>
      </c>
      <c r="J736" s="9" t="str">
        <f t="shared" si="184"/>
        <v>No</v>
      </c>
      <c r="K736" s="5" t="str">
        <f>IF(COUNTIF(Bank_Holidays!A:A,A736)&gt;0,"Yes","No")</f>
        <v>No</v>
      </c>
      <c r="L736" t="str">
        <f t="shared" si="185"/>
        <v>Yes</v>
      </c>
      <c r="M736">
        <f t="shared" si="186"/>
        <v>31</v>
      </c>
      <c r="N736" s="5" t="str">
        <f t="shared" si="187"/>
        <v>No</v>
      </c>
      <c r="O736" t="str">
        <f>IF(A736=WORKDAY(EOMONTH(A736,0)+1,-1,Bank_Holidays!$A$2:$A$25),"Yes","No")</f>
        <v>No</v>
      </c>
      <c r="P736" t="str">
        <f t="shared" si="188"/>
        <v>No</v>
      </c>
      <c r="Q736" t="str">
        <f t="shared" si="189"/>
        <v>No</v>
      </c>
      <c r="R736" s="5">
        <f t="shared" si="191"/>
        <v>3</v>
      </c>
    </row>
    <row r="737" spans="1:18">
      <c r="A737" s="25">
        <f t="shared" si="190"/>
        <v>46970</v>
      </c>
      <c r="B737">
        <f t="shared" si="176"/>
        <v>2028</v>
      </c>
      <c r="C737" s="9">
        <f t="shared" si="177"/>
        <v>8</v>
      </c>
      <c r="D737" s="9" t="str">
        <f t="shared" si="178"/>
        <v>August</v>
      </c>
      <c r="E737" s="9" t="str">
        <f t="shared" si="179"/>
        <v>Aug-28</v>
      </c>
      <c r="F737" s="9" t="str">
        <f t="shared" si="180"/>
        <v>Q3</v>
      </c>
      <c r="G737" s="9">
        <f t="shared" si="181"/>
        <v>5</v>
      </c>
      <c r="H737" s="9">
        <f t="shared" si="182"/>
        <v>6</v>
      </c>
      <c r="I737" s="9" t="str">
        <f t="shared" si="183"/>
        <v>Saturday</v>
      </c>
      <c r="J737" s="9" t="str">
        <f t="shared" si="184"/>
        <v>Yes</v>
      </c>
      <c r="K737" s="5" t="str">
        <f>IF(COUNTIF(Bank_Holidays!A:A,A737)&gt;0,"Yes","No")</f>
        <v>No</v>
      </c>
      <c r="L737" t="str">
        <f t="shared" si="185"/>
        <v>No</v>
      </c>
      <c r="M737">
        <f t="shared" si="186"/>
        <v>31</v>
      </c>
      <c r="N737" s="5" t="str">
        <f t="shared" si="187"/>
        <v>No</v>
      </c>
      <c r="O737" t="str">
        <f>IF(A737=WORKDAY(EOMONTH(A737,0)+1,-1,Bank_Holidays!$A$2:$A$25),"Yes","No")</f>
        <v>No</v>
      </c>
      <c r="P737" t="str">
        <f t="shared" si="188"/>
        <v>No</v>
      </c>
      <c r="Q737" t="str">
        <f t="shared" si="189"/>
        <v>No</v>
      </c>
      <c r="R737" s="5">
        <f t="shared" si="191"/>
        <v>0</v>
      </c>
    </row>
    <row r="738" spans="1:18">
      <c r="A738" s="25">
        <f t="shared" si="190"/>
        <v>46971</v>
      </c>
      <c r="B738">
        <f t="shared" si="176"/>
        <v>2028</v>
      </c>
      <c r="C738" s="9">
        <f t="shared" si="177"/>
        <v>8</v>
      </c>
      <c r="D738" s="9" t="str">
        <f t="shared" si="178"/>
        <v>August</v>
      </c>
      <c r="E738" s="9" t="str">
        <f t="shared" si="179"/>
        <v>Aug-28</v>
      </c>
      <c r="F738" s="9" t="str">
        <f t="shared" si="180"/>
        <v>Q3</v>
      </c>
      <c r="G738" s="9">
        <f t="shared" si="181"/>
        <v>6</v>
      </c>
      <c r="H738" s="9">
        <f t="shared" si="182"/>
        <v>7</v>
      </c>
      <c r="I738" s="9" t="str">
        <f t="shared" si="183"/>
        <v>Sunday</v>
      </c>
      <c r="J738" s="9" t="str">
        <f t="shared" si="184"/>
        <v>Yes</v>
      </c>
      <c r="K738" s="5" t="str">
        <f>IF(COUNTIF(Bank_Holidays!A:A,A738)&gt;0,"Yes","No")</f>
        <v>No</v>
      </c>
      <c r="L738" t="str">
        <f t="shared" si="185"/>
        <v>No</v>
      </c>
      <c r="M738">
        <f t="shared" si="186"/>
        <v>31</v>
      </c>
      <c r="N738" s="5" t="str">
        <f t="shared" si="187"/>
        <v>No</v>
      </c>
      <c r="O738" t="str">
        <f>IF(A738=WORKDAY(EOMONTH(A738,0)+1,-1,Bank_Holidays!$A$2:$A$25),"Yes","No")</f>
        <v>No</v>
      </c>
      <c r="P738" t="str">
        <f t="shared" si="188"/>
        <v>No</v>
      </c>
      <c r="Q738" t="str">
        <f t="shared" si="189"/>
        <v>No</v>
      </c>
      <c r="R738" s="5">
        <f t="shared" si="191"/>
        <v>0</v>
      </c>
    </row>
    <row r="739" spans="1:18">
      <c r="A739" s="25">
        <f t="shared" si="190"/>
        <v>46972</v>
      </c>
      <c r="B739">
        <f t="shared" si="176"/>
        <v>2028</v>
      </c>
      <c r="C739" s="9">
        <f t="shared" si="177"/>
        <v>8</v>
      </c>
      <c r="D739" s="9" t="str">
        <f t="shared" si="178"/>
        <v>August</v>
      </c>
      <c r="E739" s="9" t="str">
        <f t="shared" si="179"/>
        <v>Aug-28</v>
      </c>
      <c r="F739" s="9" t="str">
        <f t="shared" si="180"/>
        <v>Q3</v>
      </c>
      <c r="G739" s="9">
        <f t="shared" si="181"/>
        <v>7</v>
      </c>
      <c r="H739" s="9">
        <f t="shared" si="182"/>
        <v>1</v>
      </c>
      <c r="I739" s="9" t="str">
        <f t="shared" si="183"/>
        <v>Monday</v>
      </c>
      <c r="J739" s="9" t="str">
        <f t="shared" si="184"/>
        <v>No</v>
      </c>
      <c r="K739" s="5" t="str">
        <f>IF(COUNTIF(Bank_Holidays!A:A,A739)&gt;0,"Yes","No")</f>
        <v>No</v>
      </c>
      <c r="L739" t="str">
        <f t="shared" si="185"/>
        <v>Yes</v>
      </c>
      <c r="M739">
        <f t="shared" si="186"/>
        <v>32</v>
      </c>
      <c r="N739" s="5" t="str">
        <f t="shared" si="187"/>
        <v>No</v>
      </c>
      <c r="O739" t="str">
        <f>IF(A739=WORKDAY(EOMONTH(A739,0)+1,-1,Bank_Holidays!$A$2:$A$25),"Yes","No")</f>
        <v>No</v>
      </c>
      <c r="P739" t="str">
        <f t="shared" si="188"/>
        <v>No</v>
      </c>
      <c r="Q739" t="str">
        <f t="shared" si="189"/>
        <v>No</v>
      </c>
      <c r="R739" s="5">
        <f t="shared" si="191"/>
        <v>1</v>
      </c>
    </row>
    <row r="740" spans="1:18">
      <c r="A740" s="25">
        <f t="shared" si="190"/>
        <v>46973</v>
      </c>
      <c r="B740">
        <f t="shared" si="176"/>
        <v>2028</v>
      </c>
      <c r="C740" s="9">
        <f t="shared" si="177"/>
        <v>8</v>
      </c>
      <c r="D740" s="9" t="str">
        <f t="shared" si="178"/>
        <v>August</v>
      </c>
      <c r="E740" s="9" t="str">
        <f t="shared" si="179"/>
        <v>Aug-28</v>
      </c>
      <c r="F740" s="9" t="str">
        <f t="shared" si="180"/>
        <v>Q3</v>
      </c>
      <c r="G740" s="9">
        <f t="shared" si="181"/>
        <v>8</v>
      </c>
      <c r="H740" s="9">
        <f t="shared" si="182"/>
        <v>2</v>
      </c>
      <c r="I740" s="9" t="str">
        <f t="shared" si="183"/>
        <v>Tuesday</v>
      </c>
      <c r="J740" s="9" t="str">
        <f t="shared" si="184"/>
        <v>No</v>
      </c>
      <c r="K740" s="5" t="str">
        <f>IF(COUNTIF(Bank_Holidays!A:A,A740)&gt;0,"Yes","No")</f>
        <v>No</v>
      </c>
      <c r="L740" t="str">
        <f t="shared" si="185"/>
        <v>Yes</v>
      </c>
      <c r="M740">
        <f t="shared" si="186"/>
        <v>32</v>
      </c>
      <c r="N740" s="5" t="str">
        <f t="shared" si="187"/>
        <v>No</v>
      </c>
      <c r="O740" t="str">
        <f>IF(A740=WORKDAY(EOMONTH(A740,0)+1,-1,Bank_Holidays!$A$2:$A$25),"Yes","No")</f>
        <v>No</v>
      </c>
      <c r="P740" t="str">
        <f t="shared" si="188"/>
        <v>No</v>
      </c>
      <c r="Q740" t="str">
        <f t="shared" si="189"/>
        <v>No</v>
      </c>
      <c r="R740" s="5">
        <f t="shared" si="191"/>
        <v>1</v>
      </c>
    </row>
    <row r="741" spans="1:18">
      <c r="A741" s="25">
        <f t="shared" si="190"/>
        <v>46974</v>
      </c>
      <c r="B741">
        <f t="shared" si="176"/>
        <v>2028</v>
      </c>
      <c r="C741" s="9">
        <f t="shared" si="177"/>
        <v>8</v>
      </c>
      <c r="D741" s="9" t="str">
        <f t="shared" si="178"/>
        <v>August</v>
      </c>
      <c r="E741" s="9" t="str">
        <f t="shared" si="179"/>
        <v>Aug-28</v>
      </c>
      <c r="F741" s="9" t="str">
        <f t="shared" si="180"/>
        <v>Q3</v>
      </c>
      <c r="G741" s="9">
        <f t="shared" si="181"/>
        <v>9</v>
      </c>
      <c r="H741" s="9">
        <f t="shared" si="182"/>
        <v>3</v>
      </c>
      <c r="I741" s="9" t="str">
        <f t="shared" si="183"/>
        <v>Wednesday</v>
      </c>
      <c r="J741" s="9" t="str">
        <f t="shared" si="184"/>
        <v>No</v>
      </c>
      <c r="K741" s="5" t="str">
        <f>IF(COUNTIF(Bank_Holidays!A:A,A741)&gt;0,"Yes","No")</f>
        <v>No</v>
      </c>
      <c r="L741" t="str">
        <f t="shared" si="185"/>
        <v>Yes</v>
      </c>
      <c r="M741">
        <f t="shared" si="186"/>
        <v>32</v>
      </c>
      <c r="N741" s="5" t="str">
        <f t="shared" si="187"/>
        <v>No</v>
      </c>
      <c r="O741" t="str">
        <f>IF(A741=WORKDAY(EOMONTH(A741,0)+1,-1,Bank_Holidays!$A$2:$A$25),"Yes","No")</f>
        <v>No</v>
      </c>
      <c r="P741" t="str">
        <f t="shared" si="188"/>
        <v>No</v>
      </c>
      <c r="Q741" t="str">
        <f t="shared" si="189"/>
        <v>No</v>
      </c>
      <c r="R741" s="5">
        <f t="shared" si="191"/>
        <v>1</v>
      </c>
    </row>
    <row r="742" spans="1:18">
      <c r="A742" s="25">
        <f t="shared" si="190"/>
        <v>46975</v>
      </c>
      <c r="B742">
        <f t="shared" si="176"/>
        <v>2028</v>
      </c>
      <c r="C742" s="9">
        <f t="shared" si="177"/>
        <v>8</v>
      </c>
      <c r="D742" s="9" t="str">
        <f t="shared" si="178"/>
        <v>August</v>
      </c>
      <c r="E742" s="9" t="str">
        <f t="shared" si="179"/>
        <v>Aug-28</v>
      </c>
      <c r="F742" s="9" t="str">
        <f t="shared" si="180"/>
        <v>Q3</v>
      </c>
      <c r="G742" s="9">
        <f t="shared" si="181"/>
        <v>10</v>
      </c>
      <c r="H742" s="9">
        <f t="shared" si="182"/>
        <v>4</v>
      </c>
      <c r="I742" s="9" t="str">
        <f t="shared" si="183"/>
        <v>Thursday</v>
      </c>
      <c r="J742" s="9" t="str">
        <f t="shared" si="184"/>
        <v>No</v>
      </c>
      <c r="K742" s="5" t="str">
        <f>IF(COUNTIF(Bank_Holidays!A:A,A742)&gt;0,"Yes","No")</f>
        <v>No</v>
      </c>
      <c r="L742" t="str">
        <f t="shared" si="185"/>
        <v>Yes</v>
      </c>
      <c r="M742">
        <f t="shared" si="186"/>
        <v>32</v>
      </c>
      <c r="N742" s="5" t="str">
        <f t="shared" si="187"/>
        <v>No</v>
      </c>
      <c r="O742" t="str">
        <f>IF(A742=WORKDAY(EOMONTH(A742,0)+1,-1,Bank_Holidays!$A$2:$A$25),"Yes","No")</f>
        <v>No</v>
      </c>
      <c r="P742" t="str">
        <f t="shared" si="188"/>
        <v>No</v>
      </c>
      <c r="Q742" t="str">
        <f t="shared" si="189"/>
        <v>No</v>
      </c>
      <c r="R742" s="5">
        <f t="shared" si="191"/>
        <v>1</v>
      </c>
    </row>
    <row r="743" spans="1:18">
      <c r="A743" s="25">
        <f t="shared" si="190"/>
        <v>46976</v>
      </c>
      <c r="B743">
        <f t="shared" si="176"/>
        <v>2028</v>
      </c>
      <c r="C743" s="9">
        <f t="shared" si="177"/>
        <v>8</v>
      </c>
      <c r="D743" s="9" t="str">
        <f t="shared" si="178"/>
        <v>August</v>
      </c>
      <c r="E743" s="9" t="str">
        <f t="shared" si="179"/>
        <v>Aug-28</v>
      </c>
      <c r="F743" s="9" t="str">
        <f t="shared" si="180"/>
        <v>Q3</v>
      </c>
      <c r="G743" s="9">
        <f t="shared" si="181"/>
        <v>11</v>
      </c>
      <c r="H743" s="9">
        <f t="shared" si="182"/>
        <v>5</v>
      </c>
      <c r="I743" s="9" t="str">
        <f t="shared" si="183"/>
        <v>Friday</v>
      </c>
      <c r="J743" s="9" t="str">
        <f t="shared" si="184"/>
        <v>No</v>
      </c>
      <c r="K743" s="5" t="str">
        <f>IF(COUNTIF(Bank_Holidays!A:A,A743)&gt;0,"Yes","No")</f>
        <v>No</v>
      </c>
      <c r="L743" t="str">
        <f t="shared" si="185"/>
        <v>Yes</v>
      </c>
      <c r="M743">
        <f t="shared" si="186"/>
        <v>32</v>
      </c>
      <c r="N743" s="5" t="str">
        <f t="shared" si="187"/>
        <v>No</v>
      </c>
      <c r="O743" t="str">
        <f>IF(A743=WORKDAY(EOMONTH(A743,0)+1,-1,Bank_Holidays!$A$2:$A$25),"Yes","No")</f>
        <v>No</v>
      </c>
      <c r="P743" t="str">
        <f t="shared" si="188"/>
        <v>No</v>
      </c>
      <c r="Q743" t="str">
        <f t="shared" si="189"/>
        <v>No</v>
      </c>
      <c r="R743" s="5">
        <f t="shared" si="191"/>
        <v>3</v>
      </c>
    </row>
    <row r="744" spans="1:18">
      <c r="A744" s="25">
        <f t="shared" si="190"/>
        <v>46977</v>
      </c>
      <c r="B744">
        <f t="shared" si="176"/>
        <v>2028</v>
      </c>
      <c r="C744" s="9">
        <f t="shared" si="177"/>
        <v>8</v>
      </c>
      <c r="D744" s="9" t="str">
        <f t="shared" si="178"/>
        <v>August</v>
      </c>
      <c r="E744" s="9" t="str">
        <f t="shared" si="179"/>
        <v>Aug-28</v>
      </c>
      <c r="F744" s="9" t="str">
        <f t="shared" si="180"/>
        <v>Q3</v>
      </c>
      <c r="G744" s="9">
        <f t="shared" si="181"/>
        <v>12</v>
      </c>
      <c r="H744" s="9">
        <f t="shared" si="182"/>
        <v>6</v>
      </c>
      <c r="I744" s="9" t="str">
        <f t="shared" si="183"/>
        <v>Saturday</v>
      </c>
      <c r="J744" s="9" t="str">
        <f t="shared" si="184"/>
        <v>Yes</v>
      </c>
      <c r="K744" s="5" t="str">
        <f>IF(COUNTIF(Bank_Holidays!A:A,A744)&gt;0,"Yes","No")</f>
        <v>No</v>
      </c>
      <c r="L744" t="str">
        <f t="shared" si="185"/>
        <v>No</v>
      </c>
      <c r="M744">
        <f t="shared" si="186"/>
        <v>32</v>
      </c>
      <c r="N744" s="5" t="str">
        <f t="shared" si="187"/>
        <v>No</v>
      </c>
      <c r="O744" t="str">
        <f>IF(A744=WORKDAY(EOMONTH(A744,0)+1,-1,Bank_Holidays!$A$2:$A$25),"Yes","No")</f>
        <v>No</v>
      </c>
      <c r="P744" t="str">
        <f t="shared" si="188"/>
        <v>No</v>
      </c>
      <c r="Q744" t="str">
        <f t="shared" si="189"/>
        <v>No</v>
      </c>
      <c r="R744" s="5">
        <f t="shared" si="191"/>
        <v>0</v>
      </c>
    </row>
    <row r="745" spans="1:18">
      <c r="A745" s="25">
        <f t="shared" si="190"/>
        <v>46978</v>
      </c>
      <c r="B745">
        <f t="shared" si="176"/>
        <v>2028</v>
      </c>
      <c r="C745" s="9">
        <f t="shared" si="177"/>
        <v>8</v>
      </c>
      <c r="D745" s="9" t="str">
        <f t="shared" si="178"/>
        <v>August</v>
      </c>
      <c r="E745" s="9" t="str">
        <f t="shared" si="179"/>
        <v>Aug-28</v>
      </c>
      <c r="F745" s="9" t="str">
        <f t="shared" si="180"/>
        <v>Q3</v>
      </c>
      <c r="G745" s="9">
        <f t="shared" si="181"/>
        <v>13</v>
      </c>
      <c r="H745" s="9">
        <f t="shared" si="182"/>
        <v>7</v>
      </c>
      <c r="I745" s="9" t="str">
        <f t="shared" si="183"/>
        <v>Sunday</v>
      </c>
      <c r="J745" s="9" t="str">
        <f t="shared" si="184"/>
        <v>Yes</v>
      </c>
      <c r="K745" s="5" t="str">
        <f>IF(COUNTIF(Bank_Holidays!A:A,A745)&gt;0,"Yes","No")</f>
        <v>No</v>
      </c>
      <c r="L745" t="str">
        <f t="shared" si="185"/>
        <v>No</v>
      </c>
      <c r="M745">
        <f t="shared" si="186"/>
        <v>32</v>
      </c>
      <c r="N745" s="5" t="str">
        <f t="shared" si="187"/>
        <v>No</v>
      </c>
      <c r="O745" t="str">
        <f>IF(A745=WORKDAY(EOMONTH(A745,0)+1,-1,Bank_Holidays!$A$2:$A$25),"Yes","No")</f>
        <v>No</v>
      </c>
      <c r="P745" t="str">
        <f t="shared" si="188"/>
        <v>No</v>
      </c>
      <c r="Q745" t="str">
        <f t="shared" si="189"/>
        <v>No</v>
      </c>
      <c r="R745" s="5">
        <f t="shared" si="191"/>
        <v>0</v>
      </c>
    </row>
    <row r="746" spans="1:18">
      <c r="A746" s="25">
        <f t="shared" si="190"/>
        <v>46979</v>
      </c>
      <c r="B746">
        <f t="shared" si="176"/>
        <v>2028</v>
      </c>
      <c r="C746" s="9">
        <f t="shared" si="177"/>
        <v>8</v>
      </c>
      <c r="D746" s="9" t="str">
        <f t="shared" si="178"/>
        <v>August</v>
      </c>
      <c r="E746" s="9" t="str">
        <f t="shared" si="179"/>
        <v>Aug-28</v>
      </c>
      <c r="F746" s="9" t="str">
        <f t="shared" si="180"/>
        <v>Q3</v>
      </c>
      <c r="G746" s="9">
        <f t="shared" si="181"/>
        <v>14</v>
      </c>
      <c r="H746" s="9">
        <f t="shared" si="182"/>
        <v>1</v>
      </c>
      <c r="I746" s="9" t="str">
        <f t="shared" si="183"/>
        <v>Monday</v>
      </c>
      <c r="J746" s="9" t="str">
        <f t="shared" si="184"/>
        <v>No</v>
      </c>
      <c r="K746" s="5" t="str">
        <f>IF(COUNTIF(Bank_Holidays!A:A,A746)&gt;0,"Yes","No")</f>
        <v>No</v>
      </c>
      <c r="L746" t="str">
        <f t="shared" si="185"/>
        <v>Yes</v>
      </c>
      <c r="M746">
        <f t="shared" si="186"/>
        <v>33</v>
      </c>
      <c r="N746" s="5" t="str">
        <f t="shared" si="187"/>
        <v>No</v>
      </c>
      <c r="O746" t="str">
        <f>IF(A746=WORKDAY(EOMONTH(A746,0)+1,-1,Bank_Holidays!$A$2:$A$25),"Yes","No")</f>
        <v>No</v>
      </c>
      <c r="P746" t="str">
        <f t="shared" si="188"/>
        <v>No</v>
      </c>
      <c r="Q746" t="str">
        <f t="shared" si="189"/>
        <v>No</v>
      </c>
      <c r="R746" s="5">
        <f t="shared" si="191"/>
        <v>1</v>
      </c>
    </row>
    <row r="747" spans="1:18">
      <c r="A747" s="25">
        <f t="shared" si="190"/>
        <v>46980</v>
      </c>
      <c r="B747">
        <f t="shared" si="176"/>
        <v>2028</v>
      </c>
      <c r="C747" s="9">
        <f t="shared" si="177"/>
        <v>8</v>
      </c>
      <c r="D747" s="9" t="str">
        <f t="shared" si="178"/>
        <v>August</v>
      </c>
      <c r="E747" s="9" t="str">
        <f t="shared" si="179"/>
        <v>Aug-28</v>
      </c>
      <c r="F747" s="9" t="str">
        <f t="shared" si="180"/>
        <v>Q3</v>
      </c>
      <c r="G747" s="9">
        <f t="shared" si="181"/>
        <v>15</v>
      </c>
      <c r="H747" s="9">
        <f t="shared" si="182"/>
        <v>2</v>
      </c>
      <c r="I747" s="9" t="str">
        <f t="shared" si="183"/>
        <v>Tuesday</v>
      </c>
      <c r="J747" s="9" t="str">
        <f t="shared" si="184"/>
        <v>No</v>
      </c>
      <c r="K747" s="5" t="str">
        <f>IF(COUNTIF(Bank_Holidays!A:A,A747)&gt;0,"Yes","No")</f>
        <v>No</v>
      </c>
      <c r="L747" t="str">
        <f t="shared" si="185"/>
        <v>Yes</v>
      </c>
      <c r="M747">
        <f t="shared" si="186"/>
        <v>33</v>
      </c>
      <c r="N747" s="5" t="str">
        <f t="shared" si="187"/>
        <v>No</v>
      </c>
      <c r="O747" t="str">
        <f>IF(A747=WORKDAY(EOMONTH(A747,0)+1,-1,Bank_Holidays!$A$2:$A$25),"Yes","No")</f>
        <v>No</v>
      </c>
      <c r="P747" t="str">
        <f t="shared" si="188"/>
        <v>No</v>
      </c>
      <c r="Q747" t="str">
        <f t="shared" si="189"/>
        <v>No</v>
      </c>
      <c r="R747" s="5">
        <f t="shared" si="191"/>
        <v>1</v>
      </c>
    </row>
    <row r="748" spans="1:18">
      <c r="A748" s="25">
        <f t="shared" si="190"/>
        <v>46981</v>
      </c>
      <c r="B748">
        <f t="shared" si="176"/>
        <v>2028</v>
      </c>
      <c r="C748" s="9">
        <f t="shared" si="177"/>
        <v>8</v>
      </c>
      <c r="D748" s="9" t="str">
        <f t="shared" si="178"/>
        <v>August</v>
      </c>
      <c r="E748" s="9" t="str">
        <f t="shared" si="179"/>
        <v>Aug-28</v>
      </c>
      <c r="F748" s="9" t="str">
        <f t="shared" si="180"/>
        <v>Q3</v>
      </c>
      <c r="G748" s="9">
        <f t="shared" si="181"/>
        <v>16</v>
      </c>
      <c r="H748" s="9">
        <f t="shared" si="182"/>
        <v>3</v>
      </c>
      <c r="I748" s="9" t="str">
        <f t="shared" si="183"/>
        <v>Wednesday</v>
      </c>
      <c r="J748" s="9" t="str">
        <f t="shared" si="184"/>
        <v>No</v>
      </c>
      <c r="K748" s="5" t="str">
        <f>IF(COUNTIF(Bank_Holidays!A:A,A748)&gt;0,"Yes","No")</f>
        <v>No</v>
      </c>
      <c r="L748" t="str">
        <f t="shared" si="185"/>
        <v>Yes</v>
      </c>
      <c r="M748">
        <f t="shared" si="186"/>
        <v>33</v>
      </c>
      <c r="N748" s="5" t="str">
        <f t="shared" si="187"/>
        <v>No</v>
      </c>
      <c r="O748" t="str">
        <f>IF(A748=WORKDAY(EOMONTH(A748,0)+1,-1,Bank_Holidays!$A$2:$A$25),"Yes","No")</f>
        <v>No</v>
      </c>
      <c r="P748" t="str">
        <f t="shared" si="188"/>
        <v>No</v>
      </c>
      <c r="Q748" t="str">
        <f t="shared" si="189"/>
        <v>No</v>
      </c>
      <c r="R748" s="5">
        <f t="shared" si="191"/>
        <v>1</v>
      </c>
    </row>
    <row r="749" spans="1:18">
      <c r="A749" s="25">
        <f t="shared" si="190"/>
        <v>46982</v>
      </c>
      <c r="B749">
        <f t="shared" si="176"/>
        <v>2028</v>
      </c>
      <c r="C749" s="9">
        <f t="shared" si="177"/>
        <v>8</v>
      </c>
      <c r="D749" s="9" t="str">
        <f t="shared" si="178"/>
        <v>August</v>
      </c>
      <c r="E749" s="9" t="str">
        <f t="shared" si="179"/>
        <v>Aug-28</v>
      </c>
      <c r="F749" s="9" t="str">
        <f t="shared" si="180"/>
        <v>Q3</v>
      </c>
      <c r="G749" s="9">
        <f t="shared" si="181"/>
        <v>17</v>
      </c>
      <c r="H749" s="9">
        <f t="shared" si="182"/>
        <v>4</v>
      </c>
      <c r="I749" s="9" t="str">
        <f t="shared" si="183"/>
        <v>Thursday</v>
      </c>
      <c r="J749" s="9" t="str">
        <f t="shared" si="184"/>
        <v>No</v>
      </c>
      <c r="K749" s="5" t="str">
        <f>IF(COUNTIF(Bank_Holidays!A:A,A749)&gt;0,"Yes","No")</f>
        <v>No</v>
      </c>
      <c r="L749" t="str">
        <f t="shared" si="185"/>
        <v>Yes</v>
      </c>
      <c r="M749">
        <f t="shared" si="186"/>
        <v>33</v>
      </c>
      <c r="N749" s="5" t="str">
        <f t="shared" si="187"/>
        <v>No</v>
      </c>
      <c r="O749" t="str">
        <f>IF(A749=WORKDAY(EOMONTH(A749,0)+1,-1,Bank_Holidays!$A$2:$A$25),"Yes","No")</f>
        <v>No</v>
      </c>
      <c r="P749" t="str">
        <f t="shared" si="188"/>
        <v>No</v>
      </c>
      <c r="Q749" t="str">
        <f t="shared" si="189"/>
        <v>No</v>
      </c>
      <c r="R749" s="5">
        <f t="shared" si="191"/>
        <v>1</v>
      </c>
    </row>
    <row r="750" spans="1:18">
      <c r="A750" s="25">
        <f t="shared" si="190"/>
        <v>46983</v>
      </c>
      <c r="B750">
        <f t="shared" si="176"/>
        <v>2028</v>
      </c>
      <c r="C750" s="9">
        <f t="shared" si="177"/>
        <v>8</v>
      </c>
      <c r="D750" s="9" t="str">
        <f t="shared" si="178"/>
        <v>August</v>
      </c>
      <c r="E750" s="9" t="str">
        <f t="shared" si="179"/>
        <v>Aug-28</v>
      </c>
      <c r="F750" s="9" t="str">
        <f t="shared" si="180"/>
        <v>Q3</v>
      </c>
      <c r="G750" s="9">
        <f t="shared" si="181"/>
        <v>18</v>
      </c>
      <c r="H750" s="9">
        <f t="shared" si="182"/>
        <v>5</v>
      </c>
      <c r="I750" s="9" t="str">
        <f t="shared" si="183"/>
        <v>Friday</v>
      </c>
      <c r="J750" s="9" t="str">
        <f t="shared" si="184"/>
        <v>No</v>
      </c>
      <c r="K750" s="5" t="str">
        <f>IF(COUNTIF(Bank_Holidays!A:A,A750)&gt;0,"Yes","No")</f>
        <v>No</v>
      </c>
      <c r="L750" t="str">
        <f t="shared" si="185"/>
        <v>Yes</v>
      </c>
      <c r="M750">
        <f t="shared" si="186"/>
        <v>33</v>
      </c>
      <c r="N750" s="5" t="str">
        <f t="shared" si="187"/>
        <v>No</v>
      </c>
      <c r="O750" t="str">
        <f>IF(A750=WORKDAY(EOMONTH(A750,0)+1,-1,Bank_Holidays!$A$2:$A$25),"Yes","No")</f>
        <v>No</v>
      </c>
      <c r="P750" t="str">
        <f t="shared" si="188"/>
        <v>No</v>
      </c>
      <c r="Q750" t="str">
        <f t="shared" si="189"/>
        <v>No</v>
      </c>
      <c r="R750" s="5">
        <f t="shared" si="191"/>
        <v>3</v>
      </c>
    </row>
    <row r="751" spans="1:18">
      <c r="A751" s="25">
        <f t="shared" si="190"/>
        <v>46984</v>
      </c>
      <c r="B751">
        <f t="shared" si="176"/>
        <v>2028</v>
      </c>
      <c r="C751" s="9">
        <f t="shared" si="177"/>
        <v>8</v>
      </c>
      <c r="D751" s="9" t="str">
        <f t="shared" si="178"/>
        <v>August</v>
      </c>
      <c r="E751" s="9" t="str">
        <f t="shared" si="179"/>
        <v>Aug-28</v>
      </c>
      <c r="F751" s="9" t="str">
        <f t="shared" si="180"/>
        <v>Q3</v>
      </c>
      <c r="G751" s="9">
        <f t="shared" si="181"/>
        <v>19</v>
      </c>
      <c r="H751" s="9">
        <f t="shared" si="182"/>
        <v>6</v>
      </c>
      <c r="I751" s="9" t="str">
        <f t="shared" si="183"/>
        <v>Saturday</v>
      </c>
      <c r="J751" s="9" t="str">
        <f t="shared" si="184"/>
        <v>Yes</v>
      </c>
      <c r="K751" s="5" t="str">
        <f>IF(COUNTIF(Bank_Holidays!A:A,A751)&gt;0,"Yes","No")</f>
        <v>No</v>
      </c>
      <c r="L751" t="str">
        <f t="shared" si="185"/>
        <v>No</v>
      </c>
      <c r="M751">
        <f t="shared" si="186"/>
        <v>33</v>
      </c>
      <c r="N751" s="5" t="str">
        <f t="shared" si="187"/>
        <v>No</v>
      </c>
      <c r="O751" t="str">
        <f>IF(A751=WORKDAY(EOMONTH(A751,0)+1,-1,Bank_Holidays!$A$2:$A$25),"Yes","No")</f>
        <v>No</v>
      </c>
      <c r="P751" t="str">
        <f t="shared" si="188"/>
        <v>No</v>
      </c>
      <c r="Q751" t="str">
        <f t="shared" si="189"/>
        <v>No</v>
      </c>
      <c r="R751" s="5">
        <f t="shared" si="191"/>
        <v>0</v>
      </c>
    </row>
    <row r="752" spans="1:18">
      <c r="A752" s="25">
        <f t="shared" si="190"/>
        <v>46985</v>
      </c>
      <c r="B752">
        <f t="shared" si="176"/>
        <v>2028</v>
      </c>
      <c r="C752" s="9">
        <f t="shared" si="177"/>
        <v>8</v>
      </c>
      <c r="D752" s="9" t="str">
        <f t="shared" si="178"/>
        <v>August</v>
      </c>
      <c r="E752" s="9" t="str">
        <f t="shared" si="179"/>
        <v>Aug-28</v>
      </c>
      <c r="F752" s="9" t="str">
        <f t="shared" si="180"/>
        <v>Q3</v>
      </c>
      <c r="G752" s="9">
        <f t="shared" si="181"/>
        <v>20</v>
      </c>
      <c r="H752" s="9">
        <f t="shared" si="182"/>
        <v>7</v>
      </c>
      <c r="I752" s="9" t="str">
        <f t="shared" si="183"/>
        <v>Sunday</v>
      </c>
      <c r="J752" s="9" t="str">
        <f t="shared" si="184"/>
        <v>Yes</v>
      </c>
      <c r="K752" s="5" t="str">
        <f>IF(COUNTIF(Bank_Holidays!A:A,A752)&gt;0,"Yes","No")</f>
        <v>No</v>
      </c>
      <c r="L752" t="str">
        <f t="shared" si="185"/>
        <v>No</v>
      </c>
      <c r="M752">
        <f t="shared" si="186"/>
        <v>33</v>
      </c>
      <c r="N752" s="5" t="str">
        <f t="shared" si="187"/>
        <v>No</v>
      </c>
      <c r="O752" t="str">
        <f>IF(A752=WORKDAY(EOMONTH(A752,0)+1,-1,Bank_Holidays!$A$2:$A$25),"Yes","No")</f>
        <v>No</v>
      </c>
      <c r="P752" t="str">
        <f t="shared" si="188"/>
        <v>No</v>
      </c>
      <c r="Q752" t="str">
        <f t="shared" si="189"/>
        <v>No</v>
      </c>
      <c r="R752" s="5">
        <f t="shared" si="191"/>
        <v>0</v>
      </c>
    </row>
    <row r="753" spans="1:18">
      <c r="A753" s="25">
        <f t="shared" si="190"/>
        <v>46986</v>
      </c>
      <c r="B753">
        <f t="shared" si="176"/>
        <v>2028</v>
      </c>
      <c r="C753" s="9">
        <f t="shared" si="177"/>
        <v>8</v>
      </c>
      <c r="D753" s="9" t="str">
        <f t="shared" si="178"/>
        <v>August</v>
      </c>
      <c r="E753" s="9" t="str">
        <f t="shared" si="179"/>
        <v>Aug-28</v>
      </c>
      <c r="F753" s="9" t="str">
        <f t="shared" si="180"/>
        <v>Q3</v>
      </c>
      <c r="G753" s="9">
        <f t="shared" si="181"/>
        <v>21</v>
      </c>
      <c r="H753" s="9">
        <f t="shared" si="182"/>
        <v>1</v>
      </c>
      <c r="I753" s="9" t="str">
        <f t="shared" si="183"/>
        <v>Monday</v>
      </c>
      <c r="J753" s="9" t="str">
        <f t="shared" si="184"/>
        <v>No</v>
      </c>
      <c r="K753" s="5" t="str">
        <f>IF(COUNTIF(Bank_Holidays!A:A,A753)&gt;0,"Yes","No")</f>
        <v>No</v>
      </c>
      <c r="L753" t="str">
        <f t="shared" si="185"/>
        <v>Yes</v>
      </c>
      <c r="M753">
        <f t="shared" si="186"/>
        <v>34</v>
      </c>
      <c r="N753" s="5" t="str">
        <f t="shared" si="187"/>
        <v>No</v>
      </c>
      <c r="O753" t="str">
        <f>IF(A753=WORKDAY(EOMONTH(A753,0)+1,-1,Bank_Holidays!$A$2:$A$25),"Yes","No")</f>
        <v>No</v>
      </c>
      <c r="P753" t="str">
        <f t="shared" si="188"/>
        <v>No</v>
      </c>
      <c r="Q753" t="str">
        <f t="shared" si="189"/>
        <v>No</v>
      </c>
      <c r="R753" s="5">
        <f t="shared" si="191"/>
        <v>1</v>
      </c>
    </row>
    <row r="754" spans="1:18">
      <c r="A754" s="25">
        <f t="shared" si="190"/>
        <v>46987</v>
      </c>
      <c r="B754">
        <f t="shared" si="176"/>
        <v>2028</v>
      </c>
      <c r="C754" s="9">
        <f t="shared" si="177"/>
        <v>8</v>
      </c>
      <c r="D754" s="9" t="str">
        <f t="shared" si="178"/>
        <v>August</v>
      </c>
      <c r="E754" s="9" t="str">
        <f t="shared" si="179"/>
        <v>Aug-28</v>
      </c>
      <c r="F754" s="9" t="str">
        <f t="shared" si="180"/>
        <v>Q3</v>
      </c>
      <c r="G754" s="9">
        <f t="shared" si="181"/>
        <v>22</v>
      </c>
      <c r="H754" s="9">
        <f t="shared" si="182"/>
        <v>2</v>
      </c>
      <c r="I754" s="9" t="str">
        <f t="shared" si="183"/>
        <v>Tuesday</v>
      </c>
      <c r="J754" s="9" t="str">
        <f t="shared" si="184"/>
        <v>No</v>
      </c>
      <c r="K754" s="5" t="str">
        <f>IF(COUNTIF(Bank_Holidays!A:A,A754)&gt;0,"Yes","No")</f>
        <v>No</v>
      </c>
      <c r="L754" t="str">
        <f t="shared" si="185"/>
        <v>Yes</v>
      </c>
      <c r="M754">
        <f t="shared" si="186"/>
        <v>34</v>
      </c>
      <c r="N754" s="5" t="str">
        <f t="shared" si="187"/>
        <v>No</v>
      </c>
      <c r="O754" t="str">
        <f>IF(A754=WORKDAY(EOMONTH(A754,0)+1,-1,Bank_Holidays!$A$2:$A$25),"Yes","No")</f>
        <v>No</v>
      </c>
      <c r="P754" t="str">
        <f t="shared" si="188"/>
        <v>No</v>
      </c>
      <c r="Q754" t="str">
        <f t="shared" si="189"/>
        <v>No</v>
      </c>
      <c r="R754" s="5">
        <f t="shared" si="191"/>
        <v>1</v>
      </c>
    </row>
    <row r="755" spans="1:18">
      <c r="A755" s="25">
        <f t="shared" si="190"/>
        <v>46988</v>
      </c>
      <c r="B755">
        <f t="shared" si="176"/>
        <v>2028</v>
      </c>
      <c r="C755" s="9">
        <f t="shared" si="177"/>
        <v>8</v>
      </c>
      <c r="D755" s="9" t="str">
        <f t="shared" si="178"/>
        <v>August</v>
      </c>
      <c r="E755" s="9" t="str">
        <f t="shared" si="179"/>
        <v>Aug-28</v>
      </c>
      <c r="F755" s="9" t="str">
        <f t="shared" si="180"/>
        <v>Q3</v>
      </c>
      <c r="G755" s="9">
        <f t="shared" si="181"/>
        <v>23</v>
      </c>
      <c r="H755" s="9">
        <f t="shared" si="182"/>
        <v>3</v>
      </c>
      <c r="I755" s="9" t="str">
        <f t="shared" si="183"/>
        <v>Wednesday</v>
      </c>
      <c r="J755" s="9" t="str">
        <f t="shared" si="184"/>
        <v>No</v>
      </c>
      <c r="K755" s="5" t="str">
        <f>IF(COUNTIF(Bank_Holidays!A:A,A755)&gt;0,"Yes","No")</f>
        <v>No</v>
      </c>
      <c r="L755" t="str">
        <f t="shared" si="185"/>
        <v>Yes</v>
      </c>
      <c r="M755">
        <f t="shared" si="186"/>
        <v>34</v>
      </c>
      <c r="N755" s="5" t="str">
        <f t="shared" si="187"/>
        <v>No</v>
      </c>
      <c r="O755" t="str">
        <f>IF(A755=WORKDAY(EOMONTH(A755,0)+1,-1,Bank_Holidays!$A$2:$A$25),"Yes","No")</f>
        <v>No</v>
      </c>
      <c r="P755" t="str">
        <f t="shared" si="188"/>
        <v>No</v>
      </c>
      <c r="Q755" t="str">
        <f t="shared" si="189"/>
        <v>No</v>
      </c>
      <c r="R755" s="5">
        <f t="shared" si="191"/>
        <v>1</v>
      </c>
    </row>
    <row r="756" spans="1:18">
      <c r="A756" s="25">
        <f t="shared" si="190"/>
        <v>46989</v>
      </c>
      <c r="B756">
        <f t="shared" si="176"/>
        <v>2028</v>
      </c>
      <c r="C756" s="9">
        <f t="shared" si="177"/>
        <v>8</v>
      </c>
      <c r="D756" s="9" t="str">
        <f t="shared" si="178"/>
        <v>August</v>
      </c>
      <c r="E756" s="9" t="str">
        <f t="shared" si="179"/>
        <v>Aug-28</v>
      </c>
      <c r="F756" s="9" t="str">
        <f t="shared" si="180"/>
        <v>Q3</v>
      </c>
      <c r="G756" s="9">
        <f t="shared" si="181"/>
        <v>24</v>
      </c>
      <c r="H756" s="9">
        <f t="shared" si="182"/>
        <v>4</v>
      </c>
      <c r="I756" s="9" t="str">
        <f t="shared" si="183"/>
        <v>Thursday</v>
      </c>
      <c r="J756" s="9" t="str">
        <f t="shared" si="184"/>
        <v>No</v>
      </c>
      <c r="K756" s="5" t="str">
        <f>IF(COUNTIF(Bank_Holidays!A:A,A756)&gt;0,"Yes","No")</f>
        <v>No</v>
      </c>
      <c r="L756" t="str">
        <f t="shared" si="185"/>
        <v>Yes</v>
      </c>
      <c r="M756">
        <f t="shared" si="186"/>
        <v>34</v>
      </c>
      <c r="N756" s="5" t="str">
        <f t="shared" si="187"/>
        <v>No</v>
      </c>
      <c r="O756" t="str">
        <f>IF(A756=WORKDAY(EOMONTH(A756,0)+1,-1,Bank_Holidays!$A$2:$A$25),"Yes","No")</f>
        <v>No</v>
      </c>
      <c r="P756" t="str">
        <f t="shared" si="188"/>
        <v>No</v>
      </c>
      <c r="Q756" t="str">
        <f t="shared" si="189"/>
        <v>No</v>
      </c>
      <c r="R756" s="5">
        <f t="shared" si="191"/>
        <v>1</v>
      </c>
    </row>
    <row r="757" spans="1:18">
      <c r="A757" s="25">
        <f t="shared" si="190"/>
        <v>46990</v>
      </c>
      <c r="B757">
        <f t="shared" si="176"/>
        <v>2028</v>
      </c>
      <c r="C757" s="9">
        <f t="shared" si="177"/>
        <v>8</v>
      </c>
      <c r="D757" s="9" t="str">
        <f t="shared" si="178"/>
        <v>August</v>
      </c>
      <c r="E757" s="9" t="str">
        <f t="shared" si="179"/>
        <v>Aug-28</v>
      </c>
      <c r="F757" s="9" t="str">
        <f t="shared" si="180"/>
        <v>Q3</v>
      </c>
      <c r="G757" s="9">
        <f t="shared" si="181"/>
        <v>25</v>
      </c>
      <c r="H757" s="9">
        <f t="shared" si="182"/>
        <v>5</v>
      </c>
      <c r="I757" s="9" t="str">
        <f t="shared" si="183"/>
        <v>Friday</v>
      </c>
      <c r="J757" s="9" t="str">
        <f t="shared" si="184"/>
        <v>No</v>
      </c>
      <c r="K757" s="5" t="str">
        <f>IF(COUNTIF(Bank_Holidays!A:A,A757)&gt;0,"Yes","No")</f>
        <v>No</v>
      </c>
      <c r="L757" t="str">
        <f t="shared" si="185"/>
        <v>Yes</v>
      </c>
      <c r="M757">
        <f t="shared" si="186"/>
        <v>34</v>
      </c>
      <c r="N757" s="5" t="str">
        <f t="shared" si="187"/>
        <v>No</v>
      </c>
      <c r="O757" t="str">
        <f>IF(A757=WORKDAY(EOMONTH(A757,0)+1,-1,Bank_Holidays!$A$2:$A$25),"Yes","No")</f>
        <v>No</v>
      </c>
      <c r="P757" t="str">
        <f t="shared" si="188"/>
        <v>Yes</v>
      </c>
      <c r="Q757" t="str">
        <f t="shared" si="189"/>
        <v>No</v>
      </c>
      <c r="R757" s="5">
        <f t="shared" si="191"/>
        <v>4</v>
      </c>
    </row>
    <row r="758" spans="1:18">
      <c r="A758" s="25">
        <f t="shared" si="190"/>
        <v>46991</v>
      </c>
      <c r="B758">
        <f t="shared" si="176"/>
        <v>2028</v>
      </c>
      <c r="C758" s="9">
        <f t="shared" si="177"/>
        <v>8</v>
      </c>
      <c r="D758" s="9" t="str">
        <f t="shared" si="178"/>
        <v>August</v>
      </c>
      <c r="E758" s="9" t="str">
        <f t="shared" si="179"/>
        <v>Aug-28</v>
      </c>
      <c r="F758" s="9" t="str">
        <f t="shared" si="180"/>
        <v>Q3</v>
      </c>
      <c r="G758" s="9">
        <f t="shared" si="181"/>
        <v>26</v>
      </c>
      <c r="H758" s="9">
        <f t="shared" si="182"/>
        <v>6</v>
      </c>
      <c r="I758" s="9" t="str">
        <f t="shared" si="183"/>
        <v>Saturday</v>
      </c>
      <c r="J758" s="9" t="str">
        <f t="shared" si="184"/>
        <v>Yes</v>
      </c>
      <c r="K758" s="5" t="str">
        <f>IF(COUNTIF(Bank_Holidays!A:A,A758)&gt;0,"Yes","No")</f>
        <v>No</v>
      </c>
      <c r="L758" t="str">
        <f t="shared" si="185"/>
        <v>No</v>
      </c>
      <c r="M758">
        <f t="shared" si="186"/>
        <v>34</v>
      </c>
      <c r="N758" s="5" t="str">
        <f t="shared" si="187"/>
        <v>No</v>
      </c>
      <c r="O758" t="str">
        <f>IF(A758=WORKDAY(EOMONTH(A758,0)+1,-1,Bank_Holidays!$A$2:$A$25),"Yes","No")</f>
        <v>No</v>
      </c>
      <c r="P758" t="str">
        <f t="shared" si="188"/>
        <v>No</v>
      </c>
      <c r="Q758" t="str">
        <f t="shared" si="189"/>
        <v>No</v>
      </c>
      <c r="R758" s="5">
        <f t="shared" si="191"/>
        <v>0</v>
      </c>
    </row>
    <row r="759" spans="1:18">
      <c r="A759" s="25">
        <f t="shared" si="190"/>
        <v>46992</v>
      </c>
      <c r="B759">
        <f t="shared" si="176"/>
        <v>2028</v>
      </c>
      <c r="C759" s="9">
        <f t="shared" si="177"/>
        <v>8</v>
      </c>
      <c r="D759" s="9" t="str">
        <f t="shared" si="178"/>
        <v>August</v>
      </c>
      <c r="E759" s="9" t="str">
        <f t="shared" si="179"/>
        <v>Aug-28</v>
      </c>
      <c r="F759" s="9" t="str">
        <f t="shared" si="180"/>
        <v>Q3</v>
      </c>
      <c r="G759" s="9">
        <f t="shared" si="181"/>
        <v>27</v>
      </c>
      <c r="H759" s="9">
        <f t="shared" si="182"/>
        <v>7</v>
      </c>
      <c r="I759" s="9" t="str">
        <f t="shared" si="183"/>
        <v>Sunday</v>
      </c>
      <c r="J759" s="9" t="str">
        <f t="shared" si="184"/>
        <v>Yes</v>
      </c>
      <c r="K759" s="5" t="str">
        <f>IF(COUNTIF(Bank_Holidays!A:A,A759)&gt;0,"Yes","No")</f>
        <v>No</v>
      </c>
      <c r="L759" t="str">
        <f t="shared" si="185"/>
        <v>No</v>
      </c>
      <c r="M759">
        <f t="shared" si="186"/>
        <v>34</v>
      </c>
      <c r="N759" s="5" t="str">
        <f t="shared" si="187"/>
        <v>No</v>
      </c>
      <c r="O759" t="str">
        <f>IF(A759=WORKDAY(EOMONTH(A759,0)+1,-1,Bank_Holidays!$A$2:$A$25),"Yes","No")</f>
        <v>No</v>
      </c>
      <c r="P759" t="str">
        <f t="shared" si="188"/>
        <v>No</v>
      </c>
      <c r="Q759" t="str">
        <f t="shared" si="189"/>
        <v>No</v>
      </c>
      <c r="R759" s="5">
        <f t="shared" si="191"/>
        <v>0</v>
      </c>
    </row>
    <row r="760" spans="1:18">
      <c r="A760" s="25">
        <f t="shared" si="190"/>
        <v>46993</v>
      </c>
      <c r="B760">
        <f t="shared" si="176"/>
        <v>2028</v>
      </c>
      <c r="C760" s="9">
        <f t="shared" si="177"/>
        <v>8</v>
      </c>
      <c r="D760" s="9" t="str">
        <f t="shared" si="178"/>
        <v>August</v>
      </c>
      <c r="E760" s="9" t="str">
        <f t="shared" si="179"/>
        <v>Aug-28</v>
      </c>
      <c r="F760" s="9" t="str">
        <f t="shared" si="180"/>
        <v>Q3</v>
      </c>
      <c r="G760" s="9">
        <f t="shared" si="181"/>
        <v>28</v>
      </c>
      <c r="H760" s="9">
        <f t="shared" si="182"/>
        <v>1</v>
      </c>
      <c r="I760" s="9" t="str">
        <f t="shared" si="183"/>
        <v>Monday</v>
      </c>
      <c r="J760" s="9" t="str">
        <f t="shared" si="184"/>
        <v>No</v>
      </c>
      <c r="K760" s="5" t="str">
        <f>IF(COUNTIF(Bank_Holidays!A:A,A760)&gt;0,"Yes","No")</f>
        <v>Yes</v>
      </c>
      <c r="L760" t="str">
        <f t="shared" si="185"/>
        <v>No</v>
      </c>
      <c r="M760">
        <f t="shared" si="186"/>
        <v>35</v>
      </c>
      <c r="N760" s="5" t="str">
        <f t="shared" si="187"/>
        <v>No</v>
      </c>
      <c r="O760" t="str">
        <f>IF(A760=WORKDAY(EOMONTH(A760,0)+1,-1,Bank_Holidays!$A$2:$A$25),"Yes","No")</f>
        <v>No</v>
      </c>
      <c r="P760" t="str">
        <f t="shared" si="188"/>
        <v>No</v>
      </c>
      <c r="Q760" t="str">
        <f t="shared" si="189"/>
        <v>No</v>
      </c>
      <c r="R760" s="5">
        <f t="shared" si="191"/>
        <v>0</v>
      </c>
    </row>
    <row r="761" spans="1:18">
      <c r="A761" s="25">
        <f t="shared" si="190"/>
        <v>46994</v>
      </c>
      <c r="B761">
        <f t="shared" si="176"/>
        <v>2028</v>
      </c>
      <c r="C761" s="9">
        <f t="shared" si="177"/>
        <v>8</v>
      </c>
      <c r="D761" s="9" t="str">
        <f t="shared" si="178"/>
        <v>August</v>
      </c>
      <c r="E761" s="9" t="str">
        <f t="shared" si="179"/>
        <v>Aug-28</v>
      </c>
      <c r="F761" s="9" t="str">
        <f t="shared" si="180"/>
        <v>Q3</v>
      </c>
      <c r="G761" s="9">
        <f t="shared" si="181"/>
        <v>29</v>
      </c>
      <c r="H761" s="9">
        <f t="shared" si="182"/>
        <v>2</v>
      </c>
      <c r="I761" s="9" t="str">
        <f t="shared" si="183"/>
        <v>Tuesday</v>
      </c>
      <c r="J761" s="9" t="str">
        <f t="shared" si="184"/>
        <v>No</v>
      </c>
      <c r="K761" s="5" t="str">
        <f>IF(COUNTIF(Bank_Holidays!A:A,A761)&gt;0,"Yes","No")</f>
        <v>No</v>
      </c>
      <c r="L761" t="str">
        <f t="shared" si="185"/>
        <v>Yes</v>
      </c>
      <c r="M761">
        <f t="shared" si="186"/>
        <v>35</v>
      </c>
      <c r="N761" s="5" t="str">
        <f t="shared" si="187"/>
        <v>No</v>
      </c>
      <c r="O761" t="str">
        <f>IF(A761=WORKDAY(EOMONTH(A761,0)+1,-1,Bank_Holidays!$A$2:$A$25),"Yes","No")</f>
        <v>No</v>
      </c>
      <c r="P761" t="str">
        <f t="shared" si="188"/>
        <v>No</v>
      </c>
      <c r="Q761" t="str">
        <f t="shared" si="189"/>
        <v>No</v>
      </c>
      <c r="R761" s="5">
        <f t="shared" si="191"/>
        <v>1</v>
      </c>
    </row>
    <row r="762" spans="1:18">
      <c r="A762" s="25">
        <f t="shared" si="190"/>
        <v>46995</v>
      </c>
      <c r="B762">
        <f t="shared" si="176"/>
        <v>2028</v>
      </c>
      <c r="C762" s="9">
        <f t="shared" si="177"/>
        <v>8</v>
      </c>
      <c r="D762" s="9" t="str">
        <f t="shared" si="178"/>
        <v>August</v>
      </c>
      <c r="E762" s="9" t="str">
        <f t="shared" si="179"/>
        <v>Aug-28</v>
      </c>
      <c r="F762" s="9" t="str">
        <f t="shared" si="180"/>
        <v>Q3</v>
      </c>
      <c r="G762" s="9">
        <f t="shared" si="181"/>
        <v>30</v>
      </c>
      <c r="H762" s="9">
        <f t="shared" si="182"/>
        <v>3</v>
      </c>
      <c r="I762" s="9" t="str">
        <f t="shared" si="183"/>
        <v>Wednesday</v>
      </c>
      <c r="J762" s="9" t="str">
        <f t="shared" si="184"/>
        <v>No</v>
      </c>
      <c r="K762" s="5" t="str">
        <f>IF(COUNTIF(Bank_Holidays!A:A,A762)&gt;0,"Yes","No")</f>
        <v>No</v>
      </c>
      <c r="L762" t="str">
        <f t="shared" si="185"/>
        <v>Yes</v>
      </c>
      <c r="M762">
        <f t="shared" si="186"/>
        <v>35</v>
      </c>
      <c r="N762" s="5" t="str">
        <f t="shared" si="187"/>
        <v>No</v>
      </c>
      <c r="O762" t="str">
        <f>IF(A762=WORKDAY(EOMONTH(A762,0)+1,-1,Bank_Holidays!$A$2:$A$25),"Yes","No")</f>
        <v>No</v>
      </c>
      <c r="P762" t="str">
        <f t="shared" si="188"/>
        <v>No</v>
      </c>
      <c r="Q762" t="str">
        <f t="shared" si="189"/>
        <v>No</v>
      </c>
      <c r="R762" s="5">
        <f t="shared" si="191"/>
        <v>1</v>
      </c>
    </row>
    <row r="763" spans="1:18">
      <c r="A763" s="25">
        <f t="shared" si="190"/>
        <v>46996</v>
      </c>
      <c r="B763">
        <f t="shared" si="176"/>
        <v>2028</v>
      </c>
      <c r="C763" s="9">
        <f t="shared" si="177"/>
        <v>8</v>
      </c>
      <c r="D763" s="9" t="str">
        <f t="shared" si="178"/>
        <v>August</v>
      </c>
      <c r="E763" s="9" t="str">
        <f t="shared" si="179"/>
        <v>Aug-28</v>
      </c>
      <c r="F763" s="9" t="str">
        <f t="shared" si="180"/>
        <v>Q3</v>
      </c>
      <c r="G763" s="9">
        <f t="shared" si="181"/>
        <v>31</v>
      </c>
      <c r="H763" s="9">
        <f t="shared" si="182"/>
        <v>4</v>
      </c>
      <c r="I763" s="9" t="str">
        <f t="shared" si="183"/>
        <v>Thursday</v>
      </c>
      <c r="J763" s="9" t="str">
        <f t="shared" si="184"/>
        <v>No</v>
      </c>
      <c r="K763" s="5" t="str">
        <f>IF(COUNTIF(Bank_Holidays!A:A,A763)&gt;0,"Yes","No")</f>
        <v>No</v>
      </c>
      <c r="L763" t="str">
        <f t="shared" si="185"/>
        <v>Yes</v>
      </c>
      <c r="M763">
        <f t="shared" si="186"/>
        <v>35</v>
      </c>
      <c r="N763" s="5" t="str">
        <f t="shared" si="187"/>
        <v>Yes</v>
      </c>
      <c r="O763" t="str">
        <f>IF(A763=WORKDAY(EOMONTH(A763,0)+1,-1,Bank_Holidays!$A$2:$A$25),"Yes","No")</f>
        <v>Yes</v>
      </c>
      <c r="P763" t="str">
        <f t="shared" si="188"/>
        <v>No</v>
      </c>
      <c r="Q763" t="str">
        <f t="shared" si="189"/>
        <v>Yes</v>
      </c>
      <c r="R763" s="5">
        <f t="shared" si="191"/>
        <v>1</v>
      </c>
    </row>
    <row r="764" spans="1:18">
      <c r="A764" s="25">
        <f t="shared" si="190"/>
        <v>46997</v>
      </c>
      <c r="B764">
        <f t="shared" si="176"/>
        <v>2028</v>
      </c>
      <c r="C764" s="9">
        <f t="shared" si="177"/>
        <v>9</v>
      </c>
      <c r="D764" s="9" t="str">
        <f t="shared" si="178"/>
        <v>September</v>
      </c>
      <c r="E764" s="9" t="str">
        <f t="shared" si="179"/>
        <v>Sep-28</v>
      </c>
      <c r="F764" s="9" t="str">
        <f t="shared" si="180"/>
        <v>Q3</v>
      </c>
      <c r="G764" s="9">
        <f t="shared" si="181"/>
        <v>1</v>
      </c>
      <c r="H764" s="9">
        <f t="shared" si="182"/>
        <v>5</v>
      </c>
      <c r="I764" s="9" t="str">
        <f t="shared" si="183"/>
        <v>Friday</v>
      </c>
      <c r="J764" s="9" t="str">
        <f t="shared" si="184"/>
        <v>No</v>
      </c>
      <c r="K764" s="5" t="str">
        <f>IF(COUNTIF(Bank_Holidays!A:A,A764)&gt;0,"Yes","No")</f>
        <v>No</v>
      </c>
      <c r="L764" t="str">
        <f t="shared" si="185"/>
        <v>Yes</v>
      </c>
      <c r="M764">
        <f t="shared" si="186"/>
        <v>35</v>
      </c>
      <c r="N764" s="5" t="str">
        <f t="shared" si="187"/>
        <v>No</v>
      </c>
      <c r="O764" t="str">
        <f>IF(A764=WORKDAY(EOMONTH(A764,0)+1,-1,Bank_Holidays!$A$2:$A$25),"Yes","No")</f>
        <v>No</v>
      </c>
      <c r="P764" t="str">
        <f t="shared" si="188"/>
        <v>No</v>
      </c>
      <c r="Q764" t="str">
        <f t="shared" si="189"/>
        <v>No</v>
      </c>
      <c r="R764" s="5">
        <f t="shared" si="191"/>
        <v>3</v>
      </c>
    </row>
    <row r="765" spans="1:18">
      <c r="A765" s="25">
        <f t="shared" si="190"/>
        <v>46998</v>
      </c>
      <c r="B765">
        <f t="shared" si="176"/>
        <v>2028</v>
      </c>
      <c r="C765" s="9">
        <f t="shared" si="177"/>
        <v>9</v>
      </c>
      <c r="D765" s="9" t="str">
        <f t="shared" si="178"/>
        <v>September</v>
      </c>
      <c r="E765" s="9" t="str">
        <f t="shared" si="179"/>
        <v>Sep-28</v>
      </c>
      <c r="F765" s="9" t="str">
        <f t="shared" si="180"/>
        <v>Q3</v>
      </c>
      <c r="G765" s="9">
        <f t="shared" si="181"/>
        <v>2</v>
      </c>
      <c r="H765" s="9">
        <f t="shared" si="182"/>
        <v>6</v>
      </c>
      <c r="I765" s="9" t="str">
        <f t="shared" si="183"/>
        <v>Saturday</v>
      </c>
      <c r="J765" s="9" t="str">
        <f t="shared" si="184"/>
        <v>Yes</v>
      </c>
      <c r="K765" s="5" t="str">
        <f>IF(COUNTIF(Bank_Holidays!A:A,A765)&gt;0,"Yes","No")</f>
        <v>No</v>
      </c>
      <c r="L765" t="str">
        <f t="shared" si="185"/>
        <v>No</v>
      </c>
      <c r="M765">
        <f t="shared" si="186"/>
        <v>35</v>
      </c>
      <c r="N765" s="5" t="str">
        <f t="shared" si="187"/>
        <v>No</v>
      </c>
      <c r="O765" t="str">
        <f>IF(A765=WORKDAY(EOMONTH(A765,0)+1,-1,Bank_Holidays!$A$2:$A$25),"Yes","No")</f>
        <v>No</v>
      </c>
      <c r="P765" t="str">
        <f t="shared" si="188"/>
        <v>No</v>
      </c>
      <c r="Q765" t="str">
        <f t="shared" si="189"/>
        <v>No</v>
      </c>
      <c r="R765" s="5">
        <f t="shared" si="191"/>
        <v>0</v>
      </c>
    </row>
    <row r="766" spans="1:18">
      <c r="A766" s="25">
        <f t="shared" si="190"/>
        <v>46999</v>
      </c>
      <c r="B766">
        <f t="shared" si="176"/>
        <v>2028</v>
      </c>
      <c r="C766" s="9">
        <f t="shared" si="177"/>
        <v>9</v>
      </c>
      <c r="D766" s="9" t="str">
        <f t="shared" si="178"/>
        <v>September</v>
      </c>
      <c r="E766" s="9" t="str">
        <f t="shared" si="179"/>
        <v>Sep-28</v>
      </c>
      <c r="F766" s="9" t="str">
        <f t="shared" si="180"/>
        <v>Q3</v>
      </c>
      <c r="G766" s="9">
        <f t="shared" si="181"/>
        <v>3</v>
      </c>
      <c r="H766" s="9">
        <f t="shared" si="182"/>
        <v>7</v>
      </c>
      <c r="I766" s="9" t="str">
        <f t="shared" si="183"/>
        <v>Sunday</v>
      </c>
      <c r="J766" s="9" t="str">
        <f t="shared" si="184"/>
        <v>Yes</v>
      </c>
      <c r="K766" s="5" t="str">
        <f>IF(COUNTIF(Bank_Holidays!A:A,A766)&gt;0,"Yes","No")</f>
        <v>No</v>
      </c>
      <c r="L766" t="str">
        <f t="shared" si="185"/>
        <v>No</v>
      </c>
      <c r="M766">
        <f t="shared" si="186"/>
        <v>35</v>
      </c>
      <c r="N766" s="5" t="str">
        <f t="shared" si="187"/>
        <v>No</v>
      </c>
      <c r="O766" t="str">
        <f>IF(A766=WORKDAY(EOMONTH(A766,0)+1,-1,Bank_Holidays!$A$2:$A$25),"Yes","No")</f>
        <v>No</v>
      </c>
      <c r="P766" t="str">
        <f t="shared" si="188"/>
        <v>No</v>
      </c>
      <c r="Q766" t="str">
        <f t="shared" si="189"/>
        <v>No</v>
      </c>
      <c r="R766" s="5">
        <f t="shared" si="191"/>
        <v>0</v>
      </c>
    </row>
    <row r="767" spans="1:18">
      <c r="A767" s="25">
        <f t="shared" si="190"/>
        <v>47000</v>
      </c>
      <c r="B767">
        <f t="shared" si="176"/>
        <v>2028</v>
      </c>
      <c r="C767" s="9">
        <f t="shared" si="177"/>
        <v>9</v>
      </c>
      <c r="D767" s="9" t="str">
        <f t="shared" si="178"/>
        <v>September</v>
      </c>
      <c r="E767" s="9" t="str">
        <f t="shared" si="179"/>
        <v>Sep-28</v>
      </c>
      <c r="F767" s="9" t="str">
        <f t="shared" si="180"/>
        <v>Q3</v>
      </c>
      <c r="G767" s="9">
        <f t="shared" si="181"/>
        <v>4</v>
      </c>
      <c r="H767" s="9">
        <f t="shared" si="182"/>
        <v>1</v>
      </c>
      <c r="I767" s="9" t="str">
        <f t="shared" si="183"/>
        <v>Monday</v>
      </c>
      <c r="J767" s="9" t="str">
        <f t="shared" si="184"/>
        <v>No</v>
      </c>
      <c r="K767" s="5" t="str">
        <f>IF(COUNTIF(Bank_Holidays!A:A,A767)&gt;0,"Yes","No")</f>
        <v>No</v>
      </c>
      <c r="L767" t="str">
        <f t="shared" si="185"/>
        <v>Yes</v>
      </c>
      <c r="M767">
        <f t="shared" si="186"/>
        <v>36</v>
      </c>
      <c r="N767" s="5" t="str">
        <f t="shared" si="187"/>
        <v>No</v>
      </c>
      <c r="O767" t="str">
        <f>IF(A767=WORKDAY(EOMONTH(A767,0)+1,-1,Bank_Holidays!$A$2:$A$25),"Yes","No")</f>
        <v>No</v>
      </c>
      <c r="P767" t="str">
        <f t="shared" si="188"/>
        <v>No</v>
      </c>
      <c r="Q767" t="str">
        <f t="shared" si="189"/>
        <v>No</v>
      </c>
      <c r="R767" s="5">
        <f t="shared" si="191"/>
        <v>1</v>
      </c>
    </row>
    <row r="768" spans="1:18">
      <c r="A768" s="25">
        <f t="shared" si="190"/>
        <v>47001</v>
      </c>
      <c r="B768">
        <f t="shared" si="176"/>
        <v>2028</v>
      </c>
      <c r="C768" s="9">
        <f t="shared" si="177"/>
        <v>9</v>
      </c>
      <c r="D768" s="9" t="str">
        <f t="shared" si="178"/>
        <v>September</v>
      </c>
      <c r="E768" s="9" t="str">
        <f t="shared" si="179"/>
        <v>Sep-28</v>
      </c>
      <c r="F768" s="9" t="str">
        <f t="shared" si="180"/>
        <v>Q3</v>
      </c>
      <c r="G768" s="9">
        <f t="shared" si="181"/>
        <v>5</v>
      </c>
      <c r="H768" s="9">
        <f t="shared" si="182"/>
        <v>2</v>
      </c>
      <c r="I768" s="9" t="str">
        <f t="shared" si="183"/>
        <v>Tuesday</v>
      </c>
      <c r="J768" s="9" t="str">
        <f t="shared" si="184"/>
        <v>No</v>
      </c>
      <c r="K768" s="5" t="str">
        <f>IF(COUNTIF(Bank_Holidays!A:A,A768)&gt;0,"Yes","No")</f>
        <v>No</v>
      </c>
      <c r="L768" t="str">
        <f t="shared" si="185"/>
        <v>Yes</v>
      </c>
      <c r="M768">
        <f t="shared" si="186"/>
        <v>36</v>
      </c>
      <c r="N768" s="5" t="str">
        <f t="shared" si="187"/>
        <v>No</v>
      </c>
      <c r="O768" t="str">
        <f>IF(A768=WORKDAY(EOMONTH(A768,0)+1,-1,Bank_Holidays!$A$2:$A$25),"Yes","No")</f>
        <v>No</v>
      </c>
      <c r="P768" t="str">
        <f t="shared" si="188"/>
        <v>No</v>
      </c>
      <c r="Q768" t="str">
        <f t="shared" si="189"/>
        <v>No</v>
      </c>
      <c r="R768" s="5">
        <f t="shared" si="191"/>
        <v>1</v>
      </c>
    </row>
    <row r="769" spans="1:18">
      <c r="A769" s="25">
        <f t="shared" si="190"/>
        <v>47002</v>
      </c>
      <c r="B769">
        <f t="shared" si="176"/>
        <v>2028</v>
      </c>
      <c r="C769" s="9">
        <f t="shared" si="177"/>
        <v>9</v>
      </c>
      <c r="D769" s="9" t="str">
        <f t="shared" si="178"/>
        <v>September</v>
      </c>
      <c r="E769" s="9" t="str">
        <f t="shared" si="179"/>
        <v>Sep-28</v>
      </c>
      <c r="F769" s="9" t="str">
        <f t="shared" si="180"/>
        <v>Q3</v>
      </c>
      <c r="G769" s="9">
        <f t="shared" si="181"/>
        <v>6</v>
      </c>
      <c r="H769" s="9">
        <f t="shared" si="182"/>
        <v>3</v>
      </c>
      <c r="I769" s="9" t="str">
        <f t="shared" si="183"/>
        <v>Wednesday</v>
      </c>
      <c r="J769" s="9" t="str">
        <f t="shared" si="184"/>
        <v>No</v>
      </c>
      <c r="K769" s="5" t="str">
        <f>IF(COUNTIF(Bank_Holidays!A:A,A769)&gt;0,"Yes","No")</f>
        <v>No</v>
      </c>
      <c r="L769" t="str">
        <f t="shared" si="185"/>
        <v>Yes</v>
      </c>
      <c r="M769">
        <f t="shared" si="186"/>
        <v>36</v>
      </c>
      <c r="N769" s="5" t="str">
        <f t="shared" si="187"/>
        <v>No</v>
      </c>
      <c r="O769" t="str">
        <f>IF(A769=WORKDAY(EOMONTH(A769,0)+1,-1,Bank_Holidays!$A$2:$A$25),"Yes","No")</f>
        <v>No</v>
      </c>
      <c r="P769" t="str">
        <f t="shared" si="188"/>
        <v>No</v>
      </c>
      <c r="Q769" t="str">
        <f t="shared" si="189"/>
        <v>No</v>
      </c>
      <c r="R769" s="5">
        <f t="shared" si="191"/>
        <v>1</v>
      </c>
    </row>
    <row r="770" spans="1:18">
      <c r="A770" s="25">
        <f t="shared" si="190"/>
        <v>47003</v>
      </c>
      <c r="B770">
        <f t="shared" ref="B770:B833" si="192">YEAR(A770)</f>
        <v>2028</v>
      </c>
      <c r="C770" s="9">
        <f t="shared" ref="C770:C833" si="193">MONTH(A770)</f>
        <v>9</v>
      </c>
      <c r="D770" s="9" t="str">
        <f t="shared" ref="D770:D833" si="194">TEXT(A770,"mmmm")</f>
        <v>September</v>
      </c>
      <c r="E770" s="9" t="str">
        <f t="shared" ref="E770:E833" si="195">TEXT(A770,"mmm-yy")</f>
        <v>Sep-28</v>
      </c>
      <c r="F770" s="9" t="str">
        <f t="shared" ref="F770:F833" si="196">"Q"&amp;ROUNDUP(MONTH($A770)/3,0)</f>
        <v>Q3</v>
      </c>
      <c r="G770" s="9">
        <f t="shared" ref="G770:G833" si="197">DAY($A770)</f>
        <v>7</v>
      </c>
      <c r="H770" s="9">
        <f t="shared" ref="H770:H833" si="198">WEEKDAY($A770,2)</f>
        <v>4</v>
      </c>
      <c r="I770" s="9" t="str">
        <f t="shared" ref="I770:I833" si="199">TEXT($A770,"dddd")</f>
        <v>Thursday</v>
      </c>
      <c r="J770" s="9" t="str">
        <f t="shared" ref="J770:J833" si="200">IF($H770&gt;5,"Yes","No")</f>
        <v>No</v>
      </c>
      <c r="K770" s="5" t="str">
        <f>IF(COUNTIF(Bank_Holidays!A:A,A770)&gt;0,"Yes","No")</f>
        <v>No</v>
      </c>
      <c r="L770" t="str">
        <f t="shared" ref="L770:L833" si="201">IF(AND(J770="No",K770="No"),"Yes","No")</f>
        <v>Yes</v>
      </c>
      <c r="M770">
        <f t="shared" ref="M770:M833" si="202">_xlfn.ISOWEEKNUM(A770)</f>
        <v>36</v>
      </c>
      <c r="N770" s="5" t="str">
        <f t="shared" ref="N770:N833" si="203">IF(A770=EOMONTH(A770,0),"Yes","No")</f>
        <v>No</v>
      </c>
      <c r="O770" t="str">
        <f>IF(A770=WORKDAY(EOMONTH(A770,0)+1,-1,Bank_Holidays!$A$2:$A$25),"Yes","No")</f>
        <v>No</v>
      </c>
      <c r="P770" t="str">
        <f t="shared" ref="P770:P833" si="204">IF(
AND(
TEXT(A770,"dddd")="Friday",
MONTH(A770+7)&lt;&gt;MONTH(A770)
),
"Yes",
"No"
)</f>
        <v>No</v>
      </c>
      <c r="Q770" t="str">
        <f t="shared" ref="Q770:Q833" si="205">IF(
AND(
TEXT(A770,"dddd")="Thursday",
MONTH(A770+7)&lt;&gt;MONTH(A770)
),
"Yes",
"No"
)</f>
        <v>No</v>
      </c>
      <c r="R770" s="5">
        <f t="shared" si="191"/>
        <v>1</v>
      </c>
    </row>
    <row r="771" spans="1:18">
      <c r="A771" s="25">
        <f t="shared" ref="A771:A834" si="206">A770+1</f>
        <v>47004</v>
      </c>
      <c r="B771">
        <f t="shared" si="192"/>
        <v>2028</v>
      </c>
      <c r="C771" s="9">
        <f t="shared" si="193"/>
        <v>9</v>
      </c>
      <c r="D771" s="9" t="str">
        <f t="shared" si="194"/>
        <v>September</v>
      </c>
      <c r="E771" s="9" t="str">
        <f t="shared" si="195"/>
        <v>Sep-28</v>
      </c>
      <c r="F771" s="9" t="str">
        <f t="shared" si="196"/>
        <v>Q3</v>
      </c>
      <c r="G771" s="9">
        <f t="shared" si="197"/>
        <v>8</v>
      </c>
      <c r="H771" s="9">
        <f t="shared" si="198"/>
        <v>5</v>
      </c>
      <c r="I771" s="9" t="str">
        <f t="shared" si="199"/>
        <v>Friday</v>
      </c>
      <c r="J771" s="9" t="str">
        <f t="shared" si="200"/>
        <v>No</v>
      </c>
      <c r="K771" s="5" t="str">
        <f>IF(COUNTIF(Bank_Holidays!A:A,A771)&gt;0,"Yes","No")</f>
        <v>No</v>
      </c>
      <c r="L771" t="str">
        <f t="shared" si="201"/>
        <v>Yes</v>
      </c>
      <c r="M771">
        <f t="shared" si="202"/>
        <v>36</v>
      </c>
      <c r="N771" s="5" t="str">
        <f t="shared" si="203"/>
        <v>No</v>
      </c>
      <c r="O771" t="str">
        <f>IF(A771=WORKDAY(EOMONTH(A771,0)+1,-1,Bank_Holidays!$A$2:$A$25),"Yes","No")</f>
        <v>No</v>
      </c>
      <c r="P771" t="str">
        <f t="shared" si="204"/>
        <v>No</v>
      </c>
      <c r="Q771" t="str">
        <f t="shared" si="205"/>
        <v>No</v>
      </c>
      <c r="R771" s="5">
        <f t="shared" ref="R771:R834" si="207">IF(L771="yes",1)+IF(L771="no",0,IF(AND(L776="no",L775="no",L774="no",L773="no",L772="no"),5,IF(AND(L775="no",L774="no",L773="no",L772="no"),4,IF(AND(L774="no",L773="no",L772="no"),3,IF(AND(L773="no",L772="no"),2,IF(L772="no",1))))))</f>
        <v>3</v>
      </c>
    </row>
    <row r="772" spans="1:18">
      <c r="A772" s="25">
        <f t="shared" si="206"/>
        <v>47005</v>
      </c>
      <c r="B772">
        <f t="shared" si="192"/>
        <v>2028</v>
      </c>
      <c r="C772" s="9">
        <f t="shared" si="193"/>
        <v>9</v>
      </c>
      <c r="D772" s="9" t="str">
        <f t="shared" si="194"/>
        <v>September</v>
      </c>
      <c r="E772" s="9" t="str">
        <f t="shared" si="195"/>
        <v>Sep-28</v>
      </c>
      <c r="F772" s="9" t="str">
        <f t="shared" si="196"/>
        <v>Q3</v>
      </c>
      <c r="G772" s="9">
        <f t="shared" si="197"/>
        <v>9</v>
      </c>
      <c r="H772" s="9">
        <f t="shared" si="198"/>
        <v>6</v>
      </c>
      <c r="I772" s="9" t="str">
        <f t="shared" si="199"/>
        <v>Saturday</v>
      </c>
      <c r="J772" s="9" t="str">
        <f t="shared" si="200"/>
        <v>Yes</v>
      </c>
      <c r="K772" s="5" t="str">
        <f>IF(COUNTIF(Bank_Holidays!A:A,A772)&gt;0,"Yes","No")</f>
        <v>No</v>
      </c>
      <c r="L772" t="str">
        <f t="shared" si="201"/>
        <v>No</v>
      </c>
      <c r="M772">
        <f t="shared" si="202"/>
        <v>36</v>
      </c>
      <c r="N772" s="5" t="str">
        <f t="shared" si="203"/>
        <v>No</v>
      </c>
      <c r="O772" t="str">
        <f>IF(A772=WORKDAY(EOMONTH(A772,0)+1,-1,Bank_Holidays!$A$2:$A$25),"Yes","No")</f>
        <v>No</v>
      </c>
      <c r="P772" t="str">
        <f t="shared" si="204"/>
        <v>No</v>
      </c>
      <c r="Q772" t="str">
        <f t="shared" si="205"/>
        <v>No</v>
      </c>
      <c r="R772" s="5">
        <f t="shared" si="207"/>
        <v>0</v>
      </c>
    </row>
    <row r="773" spans="1:18">
      <c r="A773" s="25">
        <f t="shared" si="206"/>
        <v>47006</v>
      </c>
      <c r="B773">
        <f t="shared" si="192"/>
        <v>2028</v>
      </c>
      <c r="C773" s="9">
        <f t="shared" si="193"/>
        <v>9</v>
      </c>
      <c r="D773" s="9" t="str">
        <f t="shared" si="194"/>
        <v>September</v>
      </c>
      <c r="E773" s="9" t="str">
        <f t="shared" si="195"/>
        <v>Sep-28</v>
      </c>
      <c r="F773" s="9" t="str">
        <f t="shared" si="196"/>
        <v>Q3</v>
      </c>
      <c r="G773" s="9">
        <f t="shared" si="197"/>
        <v>10</v>
      </c>
      <c r="H773" s="9">
        <f t="shared" si="198"/>
        <v>7</v>
      </c>
      <c r="I773" s="9" t="str">
        <f t="shared" si="199"/>
        <v>Sunday</v>
      </c>
      <c r="J773" s="9" t="str">
        <f t="shared" si="200"/>
        <v>Yes</v>
      </c>
      <c r="K773" s="5" t="str">
        <f>IF(COUNTIF(Bank_Holidays!A:A,A773)&gt;0,"Yes","No")</f>
        <v>No</v>
      </c>
      <c r="L773" t="str">
        <f t="shared" si="201"/>
        <v>No</v>
      </c>
      <c r="M773">
        <f t="shared" si="202"/>
        <v>36</v>
      </c>
      <c r="N773" s="5" t="str">
        <f t="shared" si="203"/>
        <v>No</v>
      </c>
      <c r="O773" t="str">
        <f>IF(A773=WORKDAY(EOMONTH(A773,0)+1,-1,Bank_Holidays!$A$2:$A$25),"Yes","No")</f>
        <v>No</v>
      </c>
      <c r="P773" t="str">
        <f t="shared" si="204"/>
        <v>No</v>
      </c>
      <c r="Q773" t="str">
        <f t="shared" si="205"/>
        <v>No</v>
      </c>
      <c r="R773" s="5">
        <f t="shared" si="207"/>
        <v>0</v>
      </c>
    </row>
    <row r="774" spans="1:18">
      <c r="A774" s="25">
        <f t="shared" si="206"/>
        <v>47007</v>
      </c>
      <c r="B774">
        <f t="shared" si="192"/>
        <v>2028</v>
      </c>
      <c r="C774" s="9">
        <f t="shared" si="193"/>
        <v>9</v>
      </c>
      <c r="D774" s="9" t="str">
        <f t="shared" si="194"/>
        <v>September</v>
      </c>
      <c r="E774" s="9" t="str">
        <f t="shared" si="195"/>
        <v>Sep-28</v>
      </c>
      <c r="F774" s="9" t="str">
        <f t="shared" si="196"/>
        <v>Q3</v>
      </c>
      <c r="G774" s="9">
        <f t="shared" si="197"/>
        <v>11</v>
      </c>
      <c r="H774" s="9">
        <f t="shared" si="198"/>
        <v>1</v>
      </c>
      <c r="I774" s="9" t="str">
        <f t="shared" si="199"/>
        <v>Monday</v>
      </c>
      <c r="J774" s="9" t="str">
        <f t="shared" si="200"/>
        <v>No</v>
      </c>
      <c r="K774" s="5" t="str">
        <f>IF(COUNTIF(Bank_Holidays!A:A,A774)&gt;0,"Yes","No")</f>
        <v>No</v>
      </c>
      <c r="L774" t="str">
        <f t="shared" si="201"/>
        <v>Yes</v>
      </c>
      <c r="M774">
        <f t="shared" si="202"/>
        <v>37</v>
      </c>
      <c r="N774" s="5" t="str">
        <f t="shared" si="203"/>
        <v>No</v>
      </c>
      <c r="O774" t="str">
        <f>IF(A774=WORKDAY(EOMONTH(A774,0)+1,-1,Bank_Holidays!$A$2:$A$25),"Yes","No")</f>
        <v>No</v>
      </c>
      <c r="P774" t="str">
        <f t="shared" si="204"/>
        <v>No</v>
      </c>
      <c r="Q774" t="str">
        <f t="shared" si="205"/>
        <v>No</v>
      </c>
      <c r="R774" s="5">
        <f t="shared" si="207"/>
        <v>1</v>
      </c>
    </row>
    <row r="775" spans="1:18">
      <c r="A775" s="25">
        <f t="shared" si="206"/>
        <v>47008</v>
      </c>
      <c r="B775">
        <f t="shared" si="192"/>
        <v>2028</v>
      </c>
      <c r="C775" s="9">
        <f t="shared" si="193"/>
        <v>9</v>
      </c>
      <c r="D775" s="9" t="str">
        <f t="shared" si="194"/>
        <v>September</v>
      </c>
      <c r="E775" s="9" t="str">
        <f t="shared" si="195"/>
        <v>Sep-28</v>
      </c>
      <c r="F775" s="9" t="str">
        <f t="shared" si="196"/>
        <v>Q3</v>
      </c>
      <c r="G775" s="9">
        <f t="shared" si="197"/>
        <v>12</v>
      </c>
      <c r="H775" s="9">
        <f t="shared" si="198"/>
        <v>2</v>
      </c>
      <c r="I775" s="9" t="str">
        <f t="shared" si="199"/>
        <v>Tuesday</v>
      </c>
      <c r="J775" s="9" t="str">
        <f t="shared" si="200"/>
        <v>No</v>
      </c>
      <c r="K775" s="5" t="str">
        <f>IF(COUNTIF(Bank_Holidays!A:A,A775)&gt;0,"Yes","No")</f>
        <v>No</v>
      </c>
      <c r="L775" t="str">
        <f t="shared" si="201"/>
        <v>Yes</v>
      </c>
      <c r="M775">
        <f t="shared" si="202"/>
        <v>37</v>
      </c>
      <c r="N775" s="5" t="str">
        <f t="shared" si="203"/>
        <v>No</v>
      </c>
      <c r="O775" t="str">
        <f>IF(A775=WORKDAY(EOMONTH(A775,0)+1,-1,Bank_Holidays!$A$2:$A$25),"Yes","No")</f>
        <v>No</v>
      </c>
      <c r="P775" t="str">
        <f t="shared" si="204"/>
        <v>No</v>
      </c>
      <c r="Q775" t="str">
        <f t="shared" si="205"/>
        <v>No</v>
      </c>
      <c r="R775" s="5">
        <f t="shared" si="207"/>
        <v>1</v>
      </c>
    </row>
    <row r="776" spans="1:18">
      <c r="A776" s="25">
        <f t="shared" si="206"/>
        <v>47009</v>
      </c>
      <c r="B776">
        <f t="shared" si="192"/>
        <v>2028</v>
      </c>
      <c r="C776" s="9">
        <f t="shared" si="193"/>
        <v>9</v>
      </c>
      <c r="D776" s="9" t="str">
        <f t="shared" si="194"/>
        <v>September</v>
      </c>
      <c r="E776" s="9" t="str">
        <f t="shared" si="195"/>
        <v>Sep-28</v>
      </c>
      <c r="F776" s="9" t="str">
        <f t="shared" si="196"/>
        <v>Q3</v>
      </c>
      <c r="G776" s="9">
        <f t="shared" si="197"/>
        <v>13</v>
      </c>
      <c r="H776" s="9">
        <f t="shared" si="198"/>
        <v>3</v>
      </c>
      <c r="I776" s="9" t="str">
        <f t="shared" si="199"/>
        <v>Wednesday</v>
      </c>
      <c r="J776" s="9" t="str">
        <f t="shared" si="200"/>
        <v>No</v>
      </c>
      <c r="K776" s="5" t="str">
        <f>IF(COUNTIF(Bank_Holidays!A:A,A776)&gt;0,"Yes","No")</f>
        <v>No</v>
      </c>
      <c r="L776" t="str">
        <f t="shared" si="201"/>
        <v>Yes</v>
      </c>
      <c r="M776">
        <f t="shared" si="202"/>
        <v>37</v>
      </c>
      <c r="N776" s="5" t="str">
        <f t="shared" si="203"/>
        <v>No</v>
      </c>
      <c r="O776" t="str">
        <f>IF(A776=WORKDAY(EOMONTH(A776,0)+1,-1,Bank_Holidays!$A$2:$A$25),"Yes","No")</f>
        <v>No</v>
      </c>
      <c r="P776" t="str">
        <f t="shared" si="204"/>
        <v>No</v>
      </c>
      <c r="Q776" t="str">
        <f t="shared" si="205"/>
        <v>No</v>
      </c>
      <c r="R776" s="5">
        <f t="shared" si="207"/>
        <v>1</v>
      </c>
    </row>
    <row r="777" spans="1:18">
      <c r="A777" s="25">
        <f t="shared" si="206"/>
        <v>47010</v>
      </c>
      <c r="B777">
        <f t="shared" si="192"/>
        <v>2028</v>
      </c>
      <c r="C777" s="9">
        <f t="shared" si="193"/>
        <v>9</v>
      </c>
      <c r="D777" s="9" t="str">
        <f t="shared" si="194"/>
        <v>September</v>
      </c>
      <c r="E777" s="9" t="str">
        <f t="shared" si="195"/>
        <v>Sep-28</v>
      </c>
      <c r="F777" s="9" t="str">
        <f t="shared" si="196"/>
        <v>Q3</v>
      </c>
      <c r="G777" s="9">
        <f t="shared" si="197"/>
        <v>14</v>
      </c>
      <c r="H777" s="9">
        <f t="shared" si="198"/>
        <v>4</v>
      </c>
      <c r="I777" s="9" t="str">
        <f t="shared" si="199"/>
        <v>Thursday</v>
      </c>
      <c r="J777" s="9" t="str">
        <f t="shared" si="200"/>
        <v>No</v>
      </c>
      <c r="K777" s="5" t="str">
        <f>IF(COUNTIF(Bank_Holidays!A:A,A777)&gt;0,"Yes","No")</f>
        <v>No</v>
      </c>
      <c r="L777" t="str">
        <f t="shared" si="201"/>
        <v>Yes</v>
      </c>
      <c r="M777">
        <f t="shared" si="202"/>
        <v>37</v>
      </c>
      <c r="N777" s="5" t="str">
        <f t="shared" si="203"/>
        <v>No</v>
      </c>
      <c r="O777" t="str">
        <f>IF(A777=WORKDAY(EOMONTH(A777,0)+1,-1,Bank_Holidays!$A$2:$A$25),"Yes","No")</f>
        <v>No</v>
      </c>
      <c r="P777" t="str">
        <f t="shared" si="204"/>
        <v>No</v>
      </c>
      <c r="Q777" t="str">
        <f t="shared" si="205"/>
        <v>No</v>
      </c>
      <c r="R777" s="5">
        <f t="shared" si="207"/>
        <v>1</v>
      </c>
    </row>
    <row r="778" spans="1:18">
      <c r="A778" s="25">
        <f t="shared" si="206"/>
        <v>47011</v>
      </c>
      <c r="B778">
        <f t="shared" si="192"/>
        <v>2028</v>
      </c>
      <c r="C778" s="9">
        <f t="shared" si="193"/>
        <v>9</v>
      </c>
      <c r="D778" s="9" t="str">
        <f t="shared" si="194"/>
        <v>September</v>
      </c>
      <c r="E778" s="9" t="str">
        <f t="shared" si="195"/>
        <v>Sep-28</v>
      </c>
      <c r="F778" s="9" t="str">
        <f t="shared" si="196"/>
        <v>Q3</v>
      </c>
      <c r="G778" s="9">
        <f t="shared" si="197"/>
        <v>15</v>
      </c>
      <c r="H778" s="9">
        <f t="shared" si="198"/>
        <v>5</v>
      </c>
      <c r="I778" s="9" t="str">
        <f t="shared" si="199"/>
        <v>Friday</v>
      </c>
      <c r="J778" s="9" t="str">
        <f t="shared" si="200"/>
        <v>No</v>
      </c>
      <c r="K778" s="5" t="str">
        <f>IF(COUNTIF(Bank_Holidays!A:A,A778)&gt;0,"Yes","No")</f>
        <v>No</v>
      </c>
      <c r="L778" t="str">
        <f t="shared" si="201"/>
        <v>Yes</v>
      </c>
      <c r="M778">
        <f t="shared" si="202"/>
        <v>37</v>
      </c>
      <c r="N778" s="5" t="str">
        <f t="shared" si="203"/>
        <v>No</v>
      </c>
      <c r="O778" t="str">
        <f>IF(A778=WORKDAY(EOMONTH(A778,0)+1,-1,Bank_Holidays!$A$2:$A$25),"Yes","No")</f>
        <v>No</v>
      </c>
      <c r="P778" t="str">
        <f t="shared" si="204"/>
        <v>No</v>
      </c>
      <c r="Q778" t="str">
        <f t="shared" si="205"/>
        <v>No</v>
      </c>
      <c r="R778" s="5">
        <f t="shared" si="207"/>
        <v>3</v>
      </c>
    </row>
    <row r="779" spans="1:18">
      <c r="A779" s="25">
        <f t="shared" si="206"/>
        <v>47012</v>
      </c>
      <c r="B779">
        <f t="shared" si="192"/>
        <v>2028</v>
      </c>
      <c r="C779" s="9">
        <f t="shared" si="193"/>
        <v>9</v>
      </c>
      <c r="D779" s="9" t="str">
        <f t="shared" si="194"/>
        <v>September</v>
      </c>
      <c r="E779" s="9" t="str">
        <f t="shared" si="195"/>
        <v>Sep-28</v>
      </c>
      <c r="F779" s="9" t="str">
        <f t="shared" si="196"/>
        <v>Q3</v>
      </c>
      <c r="G779" s="9">
        <f t="shared" si="197"/>
        <v>16</v>
      </c>
      <c r="H779" s="9">
        <f t="shared" si="198"/>
        <v>6</v>
      </c>
      <c r="I779" s="9" t="str">
        <f t="shared" si="199"/>
        <v>Saturday</v>
      </c>
      <c r="J779" s="9" t="str">
        <f t="shared" si="200"/>
        <v>Yes</v>
      </c>
      <c r="K779" s="5" t="str">
        <f>IF(COUNTIF(Bank_Holidays!A:A,A779)&gt;0,"Yes","No")</f>
        <v>No</v>
      </c>
      <c r="L779" t="str">
        <f t="shared" si="201"/>
        <v>No</v>
      </c>
      <c r="M779">
        <f t="shared" si="202"/>
        <v>37</v>
      </c>
      <c r="N779" s="5" t="str">
        <f t="shared" si="203"/>
        <v>No</v>
      </c>
      <c r="O779" t="str">
        <f>IF(A779=WORKDAY(EOMONTH(A779,0)+1,-1,Bank_Holidays!$A$2:$A$25),"Yes","No")</f>
        <v>No</v>
      </c>
      <c r="P779" t="str">
        <f t="shared" si="204"/>
        <v>No</v>
      </c>
      <c r="Q779" t="str">
        <f t="shared" si="205"/>
        <v>No</v>
      </c>
      <c r="R779" s="5">
        <f t="shared" si="207"/>
        <v>0</v>
      </c>
    </row>
    <row r="780" spans="1:18">
      <c r="A780" s="25">
        <f t="shared" si="206"/>
        <v>47013</v>
      </c>
      <c r="B780">
        <f t="shared" si="192"/>
        <v>2028</v>
      </c>
      <c r="C780" s="9">
        <f t="shared" si="193"/>
        <v>9</v>
      </c>
      <c r="D780" s="9" t="str">
        <f t="shared" si="194"/>
        <v>September</v>
      </c>
      <c r="E780" s="9" t="str">
        <f t="shared" si="195"/>
        <v>Sep-28</v>
      </c>
      <c r="F780" s="9" t="str">
        <f t="shared" si="196"/>
        <v>Q3</v>
      </c>
      <c r="G780" s="9">
        <f t="shared" si="197"/>
        <v>17</v>
      </c>
      <c r="H780" s="9">
        <f t="shared" si="198"/>
        <v>7</v>
      </c>
      <c r="I780" s="9" t="str">
        <f t="shared" si="199"/>
        <v>Sunday</v>
      </c>
      <c r="J780" s="9" t="str">
        <f t="shared" si="200"/>
        <v>Yes</v>
      </c>
      <c r="K780" s="5" t="str">
        <f>IF(COUNTIF(Bank_Holidays!A:A,A780)&gt;0,"Yes","No")</f>
        <v>No</v>
      </c>
      <c r="L780" t="str">
        <f t="shared" si="201"/>
        <v>No</v>
      </c>
      <c r="M780">
        <f t="shared" si="202"/>
        <v>37</v>
      </c>
      <c r="N780" s="5" t="str">
        <f t="shared" si="203"/>
        <v>No</v>
      </c>
      <c r="O780" t="str">
        <f>IF(A780=WORKDAY(EOMONTH(A780,0)+1,-1,Bank_Holidays!$A$2:$A$25),"Yes","No")</f>
        <v>No</v>
      </c>
      <c r="P780" t="str">
        <f t="shared" si="204"/>
        <v>No</v>
      </c>
      <c r="Q780" t="str">
        <f t="shared" si="205"/>
        <v>No</v>
      </c>
      <c r="R780" s="5">
        <f t="shared" si="207"/>
        <v>0</v>
      </c>
    </row>
    <row r="781" spans="1:18">
      <c r="A781" s="25">
        <f t="shared" si="206"/>
        <v>47014</v>
      </c>
      <c r="B781">
        <f t="shared" si="192"/>
        <v>2028</v>
      </c>
      <c r="C781" s="9">
        <f t="shared" si="193"/>
        <v>9</v>
      </c>
      <c r="D781" s="9" t="str">
        <f t="shared" si="194"/>
        <v>September</v>
      </c>
      <c r="E781" s="9" t="str">
        <f t="shared" si="195"/>
        <v>Sep-28</v>
      </c>
      <c r="F781" s="9" t="str">
        <f t="shared" si="196"/>
        <v>Q3</v>
      </c>
      <c r="G781" s="9">
        <f t="shared" si="197"/>
        <v>18</v>
      </c>
      <c r="H781" s="9">
        <f t="shared" si="198"/>
        <v>1</v>
      </c>
      <c r="I781" s="9" t="str">
        <f t="shared" si="199"/>
        <v>Monday</v>
      </c>
      <c r="J781" s="9" t="str">
        <f t="shared" si="200"/>
        <v>No</v>
      </c>
      <c r="K781" s="5" t="str">
        <f>IF(COUNTIF(Bank_Holidays!A:A,A781)&gt;0,"Yes","No")</f>
        <v>No</v>
      </c>
      <c r="L781" t="str">
        <f t="shared" si="201"/>
        <v>Yes</v>
      </c>
      <c r="M781">
        <f t="shared" si="202"/>
        <v>38</v>
      </c>
      <c r="N781" s="5" t="str">
        <f t="shared" si="203"/>
        <v>No</v>
      </c>
      <c r="O781" t="str">
        <f>IF(A781=WORKDAY(EOMONTH(A781,0)+1,-1,Bank_Holidays!$A$2:$A$25),"Yes","No")</f>
        <v>No</v>
      </c>
      <c r="P781" t="str">
        <f t="shared" si="204"/>
        <v>No</v>
      </c>
      <c r="Q781" t="str">
        <f t="shared" si="205"/>
        <v>No</v>
      </c>
      <c r="R781" s="5">
        <f t="shared" si="207"/>
        <v>1</v>
      </c>
    </row>
    <row r="782" spans="1:18">
      <c r="A782" s="25">
        <f t="shared" si="206"/>
        <v>47015</v>
      </c>
      <c r="B782">
        <f t="shared" si="192"/>
        <v>2028</v>
      </c>
      <c r="C782" s="9">
        <f t="shared" si="193"/>
        <v>9</v>
      </c>
      <c r="D782" s="9" t="str">
        <f t="shared" si="194"/>
        <v>September</v>
      </c>
      <c r="E782" s="9" t="str">
        <f t="shared" si="195"/>
        <v>Sep-28</v>
      </c>
      <c r="F782" s="9" t="str">
        <f t="shared" si="196"/>
        <v>Q3</v>
      </c>
      <c r="G782" s="9">
        <f t="shared" si="197"/>
        <v>19</v>
      </c>
      <c r="H782" s="9">
        <f t="shared" si="198"/>
        <v>2</v>
      </c>
      <c r="I782" s="9" t="str">
        <f t="shared" si="199"/>
        <v>Tuesday</v>
      </c>
      <c r="J782" s="9" t="str">
        <f t="shared" si="200"/>
        <v>No</v>
      </c>
      <c r="K782" s="5" t="str">
        <f>IF(COUNTIF(Bank_Holidays!A:A,A782)&gt;0,"Yes","No")</f>
        <v>No</v>
      </c>
      <c r="L782" t="str">
        <f t="shared" si="201"/>
        <v>Yes</v>
      </c>
      <c r="M782">
        <f t="shared" si="202"/>
        <v>38</v>
      </c>
      <c r="N782" s="5" t="str">
        <f t="shared" si="203"/>
        <v>No</v>
      </c>
      <c r="O782" t="str">
        <f>IF(A782=WORKDAY(EOMONTH(A782,0)+1,-1,Bank_Holidays!$A$2:$A$25),"Yes","No")</f>
        <v>No</v>
      </c>
      <c r="P782" t="str">
        <f t="shared" si="204"/>
        <v>No</v>
      </c>
      <c r="Q782" t="str">
        <f t="shared" si="205"/>
        <v>No</v>
      </c>
      <c r="R782" s="5">
        <f t="shared" si="207"/>
        <v>1</v>
      </c>
    </row>
    <row r="783" spans="1:18">
      <c r="A783" s="25">
        <f t="shared" si="206"/>
        <v>47016</v>
      </c>
      <c r="B783">
        <f t="shared" si="192"/>
        <v>2028</v>
      </c>
      <c r="C783" s="9">
        <f t="shared" si="193"/>
        <v>9</v>
      </c>
      <c r="D783" s="9" t="str">
        <f t="shared" si="194"/>
        <v>September</v>
      </c>
      <c r="E783" s="9" t="str">
        <f t="shared" si="195"/>
        <v>Sep-28</v>
      </c>
      <c r="F783" s="9" t="str">
        <f t="shared" si="196"/>
        <v>Q3</v>
      </c>
      <c r="G783" s="9">
        <f t="shared" si="197"/>
        <v>20</v>
      </c>
      <c r="H783" s="9">
        <f t="shared" si="198"/>
        <v>3</v>
      </c>
      <c r="I783" s="9" t="str">
        <f t="shared" si="199"/>
        <v>Wednesday</v>
      </c>
      <c r="J783" s="9" t="str">
        <f t="shared" si="200"/>
        <v>No</v>
      </c>
      <c r="K783" s="5" t="str">
        <f>IF(COUNTIF(Bank_Holidays!A:A,A783)&gt;0,"Yes","No")</f>
        <v>No</v>
      </c>
      <c r="L783" t="str">
        <f t="shared" si="201"/>
        <v>Yes</v>
      </c>
      <c r="M783">
        <f t="shared" si="202"/>
        <v>38</v>
      </c>
      <c r="N783" s="5" t="str">
        <f t="shared" si="203"/>
        <v>No</v>
      </c>
      <c r="O783" t="str">
        <f>IF(A783=WORKDAY(EOMONTH(A783,0)+1,-1,Bank_Holidays!$A$2:$A$25),"Yes","No")</f>
        <v>No</v>
      </c>
      <c r="P783" t="str">
        <f t="shared" si="204"/>
        <v>No</v>
      </c>
      <c r="Q783" t="str">
        <f t="shared" si="205"/>
        <v>No</v>
      </c>
      <c r="R783" s="5">
        <f t="shared" si="207"/>
        <v>1</v>
      </c>
    </row>
    <row r="784" spans="1:18">
      <c r="A784" s="25">
        <f t="shared" si="206"/>
        <v>47017</v>
      </c>
      <c r="B784">
        <f t="shared" si="192"/>
        <v>2028</v>
      </c>
      <c r="C784" s="9">
        <f t="shared" si="193"/>
        <v>9</v>
      </c>
      <c r="D784" s="9" t="str">
        <f t="shared" si="194"/>
        <v>September</v>
      </c>
      <c r="E784" s="9" t="str">
        <f t="shared" si="195"/>
        <v>Sep-28</v>
      </c>
      <c r="F784" s="9" t="str">
        <f t="shared" si="196"/>
        <v>Q3</v>
      </c>
      <c r="G784" s="9">
        <f t="shared" si="197"/>
        <v>21</v>
      </c>
      <c r="H784" s="9">
        <f t="shared" si="198"/>
        <v>4</v>
      </c>
      <c r="I784" s="9" t="str">
        <f t="shared" si="199"/>
        <v>Thursday</v>
      </c>
      <c r="J784" s="9" t="str">
        <f t="shared" si="200"/>
        <v>No</v>
      </c>
      <c r="K784" s="5" t="str">
        <f>IF(COUNTIF(Bank_Holidays!A:A,A784)&gt;0,"Yes","No")</f>
        <v>No</v>
      </c>
      <c r="L784" t="str">
        <f t="shared" si="201"/>
        <v>Yes</v>
      </c>
      <c r="M784">
        <f t="shared" si="202"/>
        <v>38</v>
      </c>
      <c r="N784" s="5" t="str">
        <f t="shared" si="203"/>
        <v>No</v>
      </c>
      <c r="O784" t="str">
        <f>IF(A784=WORKDAY(EOMONTH(A784,0)+1,-1,Bank_Holidays!$A$2:$A$25),"Yes","No")</f>
        <v>No</v>
      </c>
      <c r="P784" t="str">
        <f t="shared" si="204"/>
        <v>No</v>
      </c>
      <c r="Q784" t="str">
        <f t="shared" si="205"/>
        <v>No</v>
      </c>
      <c r="R784" s="5">
        <f t="shared" si="207"/>
        <v>1</v>
      </c>
    </row>
    <row r="785" spans="1:18">
      <c r="A785" s="25">
        <f t="shared" si="206"/>
        <v>47018</v>
      </c>
      <c r="B785">
        <f t="shared" si="192"/>
        <v>2028</v>
      </c>
      <c r="C785" s="9">
        <f t="shared" si="193"/>
        <v>9</v>
      </c>
      <c r="D785" s="9" t="str">
        <f t="shared" si="194"/>
        <v>September</v>
      </c>
      <c r="E785" s="9" t="str">
        <f t="shared" si="195"/>
        <v>Sep-28</v>
      </c>
      <c r="F785" s="9" t="str">
        <f t="shared" si="196"/>
        <v>Q3</v>
      </c>
      <c r="G785" s="9">
        <f t="shared" si="197"/>
        <v>22</v>
      </c>
      <c r="H785" s="9">
        <f t="shared" si="198"/>
        <v>5</v>
      </c>
      <c r="I785" s="9" t="str">
        <f t="shared" si="199"/>
        <v>Friday</v>
      </c>
      <c r="J785" s="9" t="str">
        <f t="shared" si="200"/>
        <v>No</v>
      </c>
      <c r="K785" s="5" t="str">
        <f>IF(COUNTIF(Bank_Holidays!A:A,A785)&gt;0,"Yes","No")</f>
        <v>No</v>
      </c>
      <c r="L785" t="str">
        <f t="shared" si="201"/>
        <v>Yes</v>
      </c>
      <c r="M785">
        <f t="shared" si="202"/>
        <v>38</v>
      </c>
      <c r="N785" s="5" t="str">
        <f t="shared" si="203"/>
        <v>No</v>
      </c>
      <c r="O785" t="str">
        <f>IF(A785=WORKDAY(EOMONTH(A785,0)+1,-1,Bank_Holidays!$A$2:$A$25),"Yes","No")</f>
        <v>No</v>
      </c>
      <c r="P785" t="str">
        <f t="shared" si="204"/>
        <v>No</v>
      </c>
      <c r="Q785" t="str">
        <f t="shared" si="205"/>
        <v>No</v>
      </c>
      <c r="R785" s="5">
        <f t="shared" si="207"/>
        <v>3</v>
      </c>
    </row>
    <row r="786" spans="1:18">
      <c r="A786" s="25">
        <f t="shared" si="206"/>
        <v>47019</v>
      </c>
      <c r="B786">
        <f t="shared" si="192"/>
        <v>2028</v>
      </c>
      <c r="C786" s="9">
        <f t="shared" si="193"/>
        <v>9</v>
      </c>
      <c r="D786" s="9" t="str">
        <f t="shared" si="194"/>
        <v>September</v>
      </c>
      <c r="E786" s="9" t="str">
        <f t="shared" si="195"/>
        <v>Sep-28</v>
      </c>
      <c r="F786" s="9" t="str">
        <f t="shared" si="196"/>
        <v>Q3</v>
      </c>
      <c r="G786" s="9">
        <f t="shared" si="197"/>
        <v>23</v>
      </c>
      <c r="H786" s="9">
        <f t="shared" si="198"/>
        <v>6</v>
      </c>
      <c r="I786" s="9" t="str">
        <f t="shared" si="199"/>
        <v>Saturday</v>
      </c>
      <c r="J786" s="9" t="str">
        <f t="shared" si="200"/>
        <v>Yes</v>
      </c>
      <c r="K786" s="5" t="str">
        <f>IF(COUNTIF(Bank_Holidays!A:A,A786)&gt;0,"Yes","No")</f>
        <v>No</v>
      </c>
      <c r="L786" t="str">
        <f t="shared" si="201"/>
        <v>No</v>
      </c>
      <c r="M786">
        <f t="shared" si="202"/>
        <v>38</v>
      </c>
      <c r="N786" s="5" t="str">
        <f t="shared" si="203"/>
        <v>No</v>
      </c>
      <c r="O786" t="str">
        <f>IF(A786=WORKDAY(EOMONTH(A786,0)+1,-1,Bank_Holidays!$A$2:$A$25),"Yes","No")</f>
        <v>No</v>
      </c>
      <c r="P786" t="str">
        <f t="shared" si="204"/>
        <v>No</v>
      </c>
      <c r="Q786" t="str">
        <f t="shared" si="205"/>
        <v>No</v>
      </c>
      <c r="R786" s="5">
        <f t="shared" si="207"/>
        <v>0</v>
      </c>
    </row>
    <row r="787" spans="1:18">
      <c r="A787" s="25">
        <f t="shared" si="206"/>
        <v>47020</v>
      </c>
      <c r="B787">
        <f t="shared" si="192"/>
        <v>2028</v>
      </c>
      <c r="C787" s="9">
        <f t="shared" si="193"/>
        <v>9</v>
      </c>
      <c r="D787" s="9" t="str">
        <f t="shared" si="194"/>
        <v>September</v>
      </c>
      <c r="E787" s="9" t="str">
        <f t="shared" si="195"/>
        <v>Sep-28</v>
      </c>
      <c r="F787" s="9" t="str">
        <f t="shared" si="196"/>
        <v>Q3</v>
      </c>
      <c r="G787" s="9">
        <f t="shared" si="197"/>
        <v>24</v>
      </c>
      <c r="H787" s="9">
        <f t="shared" si="198"/>
        <v>7</v>
      </c>
      <c r="I787" s="9" t="str">
        <f t="shared" si="199"/>
        <v>Sunday</v>
      </c>
      <c r="J787" s="9" t="str">
        <f t="shared" si="200"/>
        <v>Yes</v>
      </c>
      <c r="K787" s="5" t="str">
        <f>IF(COUNTIF(Bank_Holidays!A:A,A787)&gt;0,"Yes","No")</f>
        <v>No</v>
      </c>
      <c r="L787" t="str">
        <f t="shared" si="201"/>
        <v>No</v>
      </c>
      <c r="M787">
        <f t="shared" si="202"/>
        <v>38</v>
      </c>
      <c r="N787" s="5" t="str">
        <f t="shared" si="203"/>
        <v>No</v>
      </c>
      <c r="O787" t="str">
        <f>IF(A787=WORKDAY(EOMONTH(A787,0)+1,-1,Bank_Holidays!$A$2:$A$25),"Yes","No")</f>
        <v>No</v>
      </c>
      <c r="P787" t="str">
        <f t="shared" si="204"/>
        <v>No</v>
      </c>
      <c r="Q787" t="str">
        <f t="shared" si="205"/>
        <v>No</v>
      </c>
      <c r="R787" s="5">
        <f t="shared" si="207"/>
        <v>0</v>
      </c>
    </row>
    <row r="788" spans="1:18">
      <c r="A788" s="25">
        <f t="shared" si="206"/>
        <v>47021</v>
      </c>
      <c r="B788">
        <f t="shared" si="192"/>
        <v>2028</v>
      </c>
      <c r="C788" s="9">
        <f t="shared" si="193"/>
        <v>9</v>
      </c>
      <c r="D788" s="9" t="str">
        <f t="shared" si="194"/>
        <v>September</v>
      </c>
      <c r="E788" s="9" t="str">
        <f t="shared" si="195"/>
        <v>Sep-28</v>
      </c>
      <c r="F788" s="9" t="str">
        <f t="shared" si="196"/>
        <v>Q3</v>
      </c>
      <c r="G788" s="9">
        <f t="shared" si="197"/>
        <v>25</v>
      </c>
      <c r="H788" s="9">
        <f t="shared" si="198"/>
        <v>1</v>
      </c>
      <c r="I788" s="9" t="str">
        <f t="shared" si="199"/>
        <v>Monday</v>
      </c>
      <c r="J788" s="9" t="str">
        <f t="shared" si="200"/>
        <v>No</v>
      </c>
      <c r="K788" s="5" t="str">
        <f>IF(COUNTIF(Bank_Holidays!A:A,A788)&gt;0,"Yes","No")</f>
        <v>No</v>
      </c>
      <c r="L788" t="str">
        <f t="shared" si="201"/>
        <v>Yes</v>
      </c>
      <c r="M788">
        <f t="shared" si="202"/>
        <v>39</v>
      </c>
      <c r="N788" s="5" t="str">
        <f t="shared" si="203"/>
        <v>No</v>
      </c>
      <c r="O788" t="str">
        <f>IF(A788=WORKDAY(EOMONTH(A788,0)+1,-1,Bank_Holidays!$A$2:$A$25),"Yes","No")</f>
        <v>No</v>
      </c>
      <c r="P788" t="str">
        <f t="shared" si="204"/>
        <v>No</v>
      </c>
      <c r="Q788" t="str">
        <f t="shared" si="205"/>
        <v>No</v>
      </c>
      <c r="R788" s="5">
        <f t="shared" si="207"/>
        <v>1</v>
      </c>
    </row>
    <row r="789" spans="1:18">
      <c r="A789" s="25">
        <f t="shared" si="206"/>
        <v>47022</v>
      </c>
      <c r="B789">
        <f t="shared" si="192"/>
        <v>2028</v>
      </c>
      <c r="C789" s="9">
        <f t="shared" si="193"/>
        <v>9</v>
      </c>
      <c r="D789" s="9" t="str">
        <f t="shared" si="194"/>
        <v>September</v>
      </c>
      <c r="E789" s="9" t="str">
        <f t="shared" si="195"/>
        <v>Sep-28</v>
      </c>
      <c r="F789" s="9" t="str">
        <f t="shared" si="196"/>
        <v>Q3</v>
      </c>
      <c r="G789" s="9">
        <f t="shared" si="197"/>
        <v>26</v>
      </c>
      <c r="H789" s="9">
        <f t="shared" si="198"/>
        <v>2</v>
      </c>
      <c r="I789" s="9" t="str">
        <f t="shared" si="199"/>
        <v>Tuesday</v>
      </c>
      <c r="J789" s="9" t="str">
        <f t="shared" si="200"/>
        <v>No</v>
      </c>
      <c r="K789" s="5" t="str">
        <f>IF(COUNTIF(Bank_Holidays!A:A,A789)&gt;0,"Yes","No")</f>
        <v>No</v>
      </c>
      <c r="L789" t="str">
        <f t="shared" si="201"/>
        <v>Yes</v>
      </c>
      <c r="M789">
        <f t="shared" si="202"/>
        <v>39</v>
      </c>
      <c r="N789" s="5" t="str">
        <f t="shared" si="203"/>
        <v>No</v>
      </c>
      <c r="O789" t="str">
        <f>IF(A789=WORKDAY(EOMONTH(A789,0)+1,-1,Bank_Holidays!$A$2:$A$25),"Yes","No")</f>
        <v>No</v>
      </c>
      <c r="P789" t="str">
        <f t="shared" si="204"/>
        <v>No</v>
      </c>
      <c r="Q789" t="str">
        <f t="shared" si="205"/>
        <v>No</v>
      </c>
      <c r="R789" s="5">
        <f t="shared" si="207"/>
        <v>1</v>
      </c>
    </row>
    <row r="790" spans="1:18">
      <c r="A790" s="25">
        <f t="shared" si="206"/>
        <v>47023</v>
      </c>
      <c r="B790">
        <f t="shared" si="192"/>
        <v>2028</v>
      </c>
      <c r="C790" s="9">
        <f t="shared" si="193"/>
        <v>9</v>
      </c>
      <c r="D790" s="9" t="str">
        <f t="shared" si="194"/>
        <v>September</v>
      </c>
      <c r="E790" s="9" t="str">
        <f t="shared" si="195"/>
        <v>Sep-28</v>
      </c>
      <c r="F790" s="9" t="str">
        <f t="shared" si="196"/>
        <v>Q3</v>
      </c>
      <c r="G790" s="9">
        <f t="shared" si="197"/>
        <v>27</v>
      </c>
      <c r="H790" s="9">
        <f t="shared" si="198"/>
        <v>3</v>
      </c>
      <c r="I790" s="9" t="str">
        <f t="shared" si="199"/>
        <v>Wednesday</v>
      </c>
      <c r="J790" s="9" t="str">
        <f t="shared" si="200"/>
        <v>No</v>
      </c>
      <c r="K790" s="5" t="str">
        <f>IF(COUNTIF(Bank_Holidays!A:A,A790)&gt;0,"Yes","No")</f>
        <v>No</v>
      </c>
      <c r="L790" t="str">
        <f t="shared" si="201"/>
        <v>Yes</v>
      </c>
      <c r="M790">
        <f t="shared" si="202"/>
        <v>39</v>
      </c>
      <c r="N790" s="5" t="str">
        <f t="shared" si="203"/>
        <v>No</v>
      </c>
      <c r="O790" t="str">
        <f>IF(A790=WORKDAY(EOMONTH(A790,0)+1,-1,Bank_Holidays!$A$2:$A$25),"Yes","No")</f>
        <v>No</v>
      </c>
      <c r="P790" t="str">
        <f t="shared" si="204"/>
        <v>No</v>
      </c>
      <c r="Q790" t="str">
        <f t="shared" si="205"/>
        <v>No</v>
      </c>
      <c r="R790" s="5">
        <f t="shared" si="207"/>
        <v>1</v>
      </c>
    </row>
    <row r="791" spans="1:18">
      <c r="A791" s="25">
        <f t="shared" si="206"/>
        <v>47024</v>
      </c>
      <c r="B791">
        <f t="shared" si="192"/>
        <v>2028</v>
      </c>
      <c r="C791" s="9">
        <f t="shared" si="193"/>
        <v>9</v>
      </c>
      <c r="D791" s="9" t="str">
        <f t="shared" si="194"/>
        <v>September</v>
      </c>
      <c r="E791" s="9" t="str">
        <f t="shared" si="195"/>
        <v>Sep-28</v>
      </c>
      <c r="F791" s="9" t="str">
        <f t="shared" si="196"/>
        <v>Q3</v>
      </c>
      <c r="G791" s="9">
        <f t="shared" si="197"/>
        <v>28</v>
      </c>
      <c r="H791" s="9">
        <f t="shared" si="198"/>
        <v>4</v>
      </c>
      <c r="I791" s="9" t="str">
        <f t="shared" si="199"/>
        <v>Thursday</v>
      </c>
      <c r="J791" s="9" t="str">
        <f t="shared" si="200"/>
        <v>No</v>
      </c>
      <c r="K791" s="5" t="str">
        <f>IF(COUNTIF(Bank_Holidays!A:A,A791)&gt;0,"Yes","No")</f>
        <v>No</v>
      </c>
      <c r="L791" t="str">
        <f t="shared" si="201"/>
        <v>Yes</v>
      </c>
      <c r="M791">
        <f t="shared" si="202"/>
        <v>39</v>
      </c>
      <c r="N791" s="5" t="str">
        <f t="shared" si="203"/>
        <v>No</v>
      </c>
      <c r="O791" t="str">
        <f>IF(A791=WORKDAY(EOMONTH(A791,0)+1,-1,Bank_Holidays!$A$2:$A$25),"Yes","No")</f>
        <v>No</v>
      </c>
      <c r="P791" t="str">
        <f t="shared" si="204"/>
        <v>No</v>
      </c>
      <c r="Q791" t="str">
        <f t="shared" si="205"/>
        <v>Yes</v>
      </c>
      <c r="R791" s="5">
        <f t="shared" si="207"/>
        <v>1</v>
      </c>
    </row>
    <row r="792" spans="1:18">
      <c r="A792" s="25">
        <f t="shared" si="206"/>
        <v>47025</v>
      </c>
      <c r="B792">
        <f t="shared" si="192"/>
        <v>2028</v>
      </c>
      <c r="C792" s="9">
        <f t="shared" si="193"/>
        <v>9</v>
      </c>
      <c r="D792" s="9" t="str">
        <f t="shared" si="194"/>
        <v>September</v>
      </c>
      <c r="E792" s="9" t="str">
        <f t="shared" si="195"/>
        <v>Sep-28</v>
      </c>
      <c r="F792" s="9" t="str">
        <f t="shared" si="196"/>
        <v>Q3</v>
      </c>
      <c r="G792" s="9">
        <f t="shared" si="197"/>
        <v>29</v>
      </c>
      <c r="H792" s="9">
        <f t="shared" si="198"/>
        <v>5</v>
      </c>
      <c r="I792" s="9" t="str">
        <f t="shared" si="199"/>
        <v>Friday</v>
      </c>
      <c r="J792" s="9" t="str">
        <f t="shared" si="200"/>
        <v>No</v>
      </c>
      <c r="K792" s="5" t="str">
        <f>IF(COUNTIF(Bank_Holidays!A:A,A792)&gt;0,"Yes","No")</f>
        <v>No</v>
      </c>
      <c r="L792" t="str">
        <f t="shared" si="201"/>
        <v>Yes</v>
      </c>
      <c r="M792">
        <f t="shared" si="202"/>
        <v>39</v>
      </c>
      <c r="N792" s="5" t="str">
        <f t="shared" si="203"/>
        <v>No</v>
      </c>
      <c r="O792" t="str">
        <f>IF(A792=WORKDAY(EOMONTH(A792,0)+1,-1,Bank_Holidays!$A$2:$A$25),"Yes","No")</f>
        <v>Yes</v>
      </c>
      <c r="P792" t="str">
        <f t="shared" si="204"/>
        <v>Yes</v>
      </c>
      <c r="Q792" t="str">
        <f t="shared" si="205"/>
        <v>No</v>
      </c>
      <c r="R792" s="5">
        <f t="shared" si="207"/>
        <v>3</v>
      </c>
    </row>
    <row r="793" spans="1:18">
      <c r="A793" s="25">
        <f t="shared" si="206"/>
        <v>47026</v>
      </c>
      <c r="B793">
        <f t="shared" si="192"/>
        <v>2028</v>
      </c>
      <c r="C793" s="9">
        <f t="shared" si="193"/>
        <v>9</v>
      </c>
      <c r="D793" s="9" t="str">
        <f t="shared" si="194"/>
        <v>September</v>
      </c>
      <c r="E793" s="9" t="str">
        <f t="shared" si="195"/>
        <v>Sep-28</v>
      </c>
      <c r="F793" s="9" t="str">
        <f t="shared" si="196"/>
        <v>Q3</v>
      </c>
      <c r="G793" s="9">
        <f t="shared" si="197"/>
        <v>30</v>
      </c>
      <c r="H793" s="9">
        <f t="shared" si="198"/>
        <v>6</v>
      </c>
      <c r="I793" s="9" t="str">
        <f t="shared" si="199"/>
        <v>Saturday</v>
      </c>
      <c r="J793" s="9" t="str">
        <f t="shared" si="200"/>
        <v>Yes</v>
      </c>
      <c r="K793" s="5" t="str">
        <f>IF(COUNTIF(Bank_Holidays!A:A,A793)&gt;0,"Yes","No")</f>
        <v>No</v>
      </c>
      <c r="L793" t="str">
        <f t="shared" si="201"/>
        <v>No</v>
      </c>
      <c r="M793">
        <f t="shared" si="202"/>
        <v>39</v>
      </c>
      <c r="N793" s="5" t="str">
        <f t="shared" si="203"/>
        <v>Yes</v>
      </c>
      <c r="O793" t="str">
        <f>IF(A793=WORKDAY(EOMONTH(A793,0)+1,-1,Bank_Holidays!$A$2:$A$25),"Yes","No")</f>
        <v>No</v>
      </c>
      <c r="P793" t="str">
        <f t="shared" si="204"/>
        <v>No</v>
      </c>
      <c r="Q793" t="str">
        <f t="shared" si="205"/>
        <v>No</v>
      </c>
      <c r="R793" s="5">
        <f t="shared" si="207"/>
        <v>0</v>
      </c>
    </row>
    <row r="794" spans="1:18">
      <c r="A794" s="25">
        <f t="shared" si="206"/>
        <v>47027</v>
      </c>
      <c r="B794">
        <f t="shared" si="192"/>
        <v>2028</v>
      </c>
      <c r="C794" s="9">
        <f t="shared" si="193"/>
        <v>10</v>
      </c>
      <c r="D794" s="9" t="str">
        <f t="shared" si="194"/>
        <v>October</v>
      </c>
      <c r="E794" s="9" t="str">
        <f t="shared" si="195"/>
        <v>Oct-28</v>
      </c>
      <c r="F794" s="9" t="str">
        <f t="shared" si="196"/>
        <v>Q4</v>
      </c>
      <c r="G794" s="9">
        <f t="shared" si="197"/>
        <v>1</v>
      </c>
      <c r="H794" s="9">
        <f t="shared" si="198"/>
        <v>7</v>
      </c>
      <c r="I794" s="9" t="str">
        <f t="shared" si="199"/>
        <v>Sunday</v>
      </c>
      <c r="J794" s="9" t="str">
        <f t="shared" si="200"/>
        <v>Yes</v>
      </c>
      <c r="K794" s="5" t="str">
        <f>IF(COUNTIF(Bank_Holidays!A:A,A794)&gt;0,"Yes","No")</f>
        <v>No</v>
      </c>
      <c r="L794" t="str">
        <f t="shared" si="201"/>
        <v>No</v>
      </c>
      <c r="M794">
        <f t="shared" si="202"/>
        <v>39</v>
      </c>
      <c r="N794" s="5" t="str">
        <f t="shared" si="203"/>
        <v>No</v>
      </c>
      <c r="O794" t="str">
        <f>IF(A794=WORKDAY(EOMONTH(A794,0)+1,-1,Bank_Holidays!$A$2:$A$25),"Yes","No")</f>
        <v>No</v>
      </c>
      <c r="P794" t="str">
        <f t="shared" si="204"/>
        <v>No</v>
      </c>
      <c r="Q794" t="str">
        <f t="shared" si="205"/>
        <v>No</v>
      </c>
      <c r="R794" s="5">
        <f t="shared" si="207"/>
        <v>0</v>
      </c>
    </row>
    <row r="795" spans="1:18">
      <c r="A795" s="25">
        <f t="shared" si="206"/>
        <v>47028</v>
      </c>
      <c r="B795">
        <f t="shared" si="192"/>
        <v>2028</v>
      </c>
      <c r="C795" s="9">
        <f t="shared" si="193"/>
        <v>10</v>
      </c>
      <c r="D795" s="9" t="str">
        <f t="shared" si="194"/>
        <v>October</v>
      </c>
      <c r="E795" s="9" t="str">
        <f t="shared" si="195"/>
        <v>Oct-28</v>
      </c>
      <c r="F795" s="9" t="str">
        <f t="shared" si="196"/>
        <v>Q4</v>
      </c>
      <c r="G795" s="9">
        <f t="shared" si="197"/>
        <v>2</v>
      </c>
      <c r="H795" s="9">
        <f t="shared" si="198"/>
        <v>1</v>
      </c>
      <c r="I795" s="9" t="str">
        <f t="shared" si="199"/>
        <v>Monday</v>
      </c>
      <c r="J795" s="9" t="str">
        <f t="shared" si="200"/>
        <v>No</v>
      </c>
      <c r="K795" s="5" t="str">
        <f>IF(COUNTIF(Bank_Holidays!A:A,A795)&gt;0,"Yes","No")</f>
        <v>No</v>
      </c>
      <c r="L795" t="str">
        <f t="shared" si="201"/>
        <v>Yes</v>
      </c>
      <c r="M795">
        <f t="shared" si="202"/>
        <v>40</v>
      </c>
      <c r="N795" s="5" t="str">
        <f t="shared" si="203"/>
        <v>No</v>
      </c>
      <c r="O795" t="str">
        <f>IF(A795=WORKDAY(EOMONTH(A795,0)+1,-1,Bank_Holidays!$A$2:$A$25),"Yes","No")</f>
        <v>No</v>
      </c>
      <c r="P795" t="str">
        <f t="shared" si="204"/>
        <v>No</v>
      </c>
      <c r="Q795" t="str">
        <f t="shared" si="205"/>
        <v>No</v>
      </c>
      <c r="R795" s="5">
        <f t="shared" si="207"/>
        <v>1</v>
      </c>
    </row>
    <row r="796" spans="1:18">
      <c r="A796" s="25">
        <f t="shared" si="206"/>
        <v>47029</v>
      </c>
      <c r="B796">
        <f t="shared" si="192"/>
        <v>2028</v>
      </c>
      <c r="C796" s="9">
        <f t="shared" si="193"/>
        <v>10</v>
      </c>
      <c r="D796" s="9" t="str">
        <f t="shared" si="194"/>
        <v>October</v>
      </c>
      <c r="E796" s="9" t="str">
        <f t="shared" si="195"/>
        <v>Oct-28</v>
      </c>
      <c r="F796" s="9" t="str">
        <f t="shared" si="196"/>
        <v>Q4</v>
      </c>
      <c r="G796" s="9">
        <f t="shared" si="197"/>
        <v>3</v>
      </c>
      <c r="H796" s="9">
        <f t="shared" si="198"/>
        <v>2</v>
      </c>
      <c r="I796" s="9" t="str">
        <f t="shared" si="199"/>
        <v>Tuesday</v>
      </c>
      <c r="J796" s="9" t="str">
        <f t="shared" si="200"/>
        <v>No</v>
      </c>
      <c r="K796" s="5" t="str">
        <f>IF(COUNTIF(Bank_Holidays!A:A,A796)&gt;0,"Yes","No")</f>
        <v>No</v>
      </c>
      <c r="L796" t="str">
        <f t="shared" si="201"/>
        <v>Yes</v>
      </c>
      <c r="M796">
        <f t="shared" si="202"/>
        <v>40</v>
      </c>
      <c r="N796" s="5" t="str">
        <f t="shared" si="203"/>
        <v>No</v>
      </c>
      <c r="O796" t="str">
        <f>IF(A796=WORKDAY(EOMONTH(A796,0)+1,-1,Bank_Holidays!$A$2:$A$25),"Yes","No")</f>
        <v>No</v>
      </c>
      <c r="P796" t="str">
        <f t="shared" si="204"/>
        <v>No</v>
      </c>
      <c r="Q796" t="str">
        <f t="shared" si="205"/>
        <v>No</v>
      </c>
      <c r="R796" s="5">
        <f t="shared" si="207"/>
        <v>1</v>
      </c>
    </row>
    <row r="797" spans="1:18">
      <c r="A797" s="25">
        <f t="shared" si="206"/>
        <v>47030</v>
      </c>
      <c r="B797">
        <f t="shared" si="192"/>
        <v>2028</v>
      </c>
      <c r="C797" s="9">
        <f t="shared" si="193"/>
        <v>10</v>
      </c>
      <c r="D797" s="9" t="str">
        <f t="shared" si="194"/>
        <v>October</v>
      </c>
      <c r="E797" s="9" t="str">
        <f t="shared" si="195"/>
        <v>Oct-28</v>
      </c>
      <c r="F797" s="9" t="str">
        <f t="shared" si="196"/>
        <v>Q4</v>
      </c>
      <c r="G797" s="9">
        <f t="shared" si="197"/>
        <v>4</v>
      </c>
      <c r="H797" s="9">
        <f t="shared" si="198"/>
        <v>3</v>
      </c>
      <c r="I797" s="9" t="str">
        <f t="shared" si="199"/>
        <v>Wednesday</v>
      </c>
      <c r="J797" s="9" t="str">
        <f t="shared" si="200"/>
        <v>No</v>
      </c>
      <c r="K797" s="5" t="str">
        <f>IF(COUNTIF(Bank_Holidays!A:A,A797)&gt;0,"Yes","No")</f>
        <v>No</v>
      </c>
      <c r="L797" t="str">
        <f t="shared" si="201"/>
        <v>Yes</v>
      </c>
      <c r="M797">
        <f t="shared" si="202"/>
        <v>40</v>
      </c>
      <c r="N797" s="5" t="str">
        <f t="shared" si="203"/>
        <v>No</v>
      </c>
      <c r="O797" t="str">
        <f>IF(A797=WORKDAY(EOMONTH(A797,0)+1,-1,Bank_Holidays!$A$2:$A$25),"Yes","No")</f>
        <v>No</v>
      </c>
      <c r="P797" t="str">
        <f t="shared" si="204"/>
        <v>No</v>
      </c>
      <c r="Q797" t="str">
        <f t="shared" si="205"/>
        <v>No</v>
      </c>
      <c r="R797" s="5">
        <f t="shared" si="207"/>
        <v>1</v>
      </c>
    </row>
    <row r="798" spans="1:18">
      <c r="A798" s="25">
        <f t="shared" si="206"/>
        <v>47031</v>
      </c>
      <c r="B798">
        <f t="shared" si="192"/>
        <v>2028</v>
      </c>
      <c r="C798" s="9">
        <f t="shared" si="193"/>
        <v>10</v>
      </c>
      <c r="D798" s="9" t="str">
        <f t="shared" si="194"/>
        <v>October</v>
      </c>
      <c r="E798" s="9" t="str">
        <f t="shared" si="195"/>
        <v>Oct-28</v>
      </c>
      <c r="F798" s="9" t="str">
        <f t="shared" si="196"/>
        <v>Q4</v>
      </c>
      <c r="G798" s="9">
        <f t="shared" si="197"/>
        <v>5</v>
      </c>
      <c r="H798" s="9">
        <f t="shared" si="198"/>
        <v>4</v>
      </c>
      <c r="I798" s="9" t="str">
        <f t="shared" si="199"/>
        <v>Thursday</v>
      </c>
      <c r="J798" s="9" t="str">
        <f t="shared" si="200"/>
        <v>No</v>
      </c>
      <c r="K798" s="5" t="str">
        <f>IF(COUNTIF(Bank_Holidays!A:A,A798)&gt;0,"Yes","No")</f>
        <v>No</v>
      </c>
      <c r="L798" t="str">
        <f t="shared" si="201"/>
        <v>Yes</v>
      </c>
      <c r="M798">
        <f t="shared" si="202"/>
        <v>40</v>
      </c>
      <c r="N798" s="5" t="str">
        <f t="shared" si="203"/>
        <v>No</v>
      </c>
      <c r="O798" t="str">
        <f>IF(A798=WORKDAY(EOMONTH(A798,0)+1,-1,Bank_Holidays!$A$2:$A$25),"Yes","No")</f>
        <v>No</v>
      </c>
      <c r="P798" t="str">
        <f t="shared" si="204"/>
        <v>No</v>
      </c>
      <c r="Q798" t="str">
        <f t="shared" si="205"/>
        <v>No</v>
      </c>
      <c r="R798" s="5">
        <f t="shared" si="207"/>
        <v>1</v>
      </c>
    </row>
    <row r="799" spans="1:18">
      <c r="A799" s="25">
        <f t="shared" si="206"/>
        <v>47032</v>
      </c>
      <c r="B799">
        <f t="shared" si="192"/>
        <v>2028</v>
      </c>
      <c r="C799" s="9">
        <f t="shared" si="193"/>
        <v>10</v>
      </c>
      <c r="D799" s="9" t="str">
        <f t="shared" si="194"/>
        <v>October</v>
      </c>
      <c r="E799" s="9" t="str">
        <f t="shared" si="195"/>
        <v>Oct-28</v>
      </c>
      <c r="F799" s="9" t="str">
        <f t="shared" si="196"/>
        <v>Q4</v>
      </c>
      <c r="G799" s="9">
        <f t="shared" si="197"/>
        <v>6</v>
      </c>
      <c r="H799" s="9">
        <f t="shared" si="198"/>
        <v>5</v>
      </c>
      <c r="I799" s="9" t="str">
        <f t="shared" si="199"/>
        <v>Friday</v>
      </c>
      <c r="J799" s="9" t="str">
        <f t="shared" si="200"/>
        <v>No</v>
      </c>
      <c r="K799" s="5" t="str">
        <f>IF(COUNTIF(Bank_Holidays!A:A,A799)&gt;0,"Yes","No")</f>
        <v>No</v>
      </c>
      <c r="L799" t="str">
        <f t="shared" si="201"/>
        <v>Yes</v>
      </c>
      <c r="M799">
        <f t="shared" si="202"/>
        <v>40</v>
      </c>
      <c r="N799" s="5" t="str">
        <f t="shared" si="203"/>
        <v>No</v>
      </c>
      <c r="O799" t="str">
        <f>IF(A799=WORKDAY(EOMONTH(A799,0)+1,-1,Bank_Holidays!$A$2:$A$25),"Yes","No")</f>
        <v>No</v>
      </c>
      <c r="P799" t="str">
        <f t="shared" si="204"/>
        <v>No</v>
      </c>
      <c r="Q799" t="str">
        <f t="shared" si="205"/>
        <v>No</v>
      </c>
      <c r="R799" s="5">
        <f t="shared" si="207"/>
        <v>3</v>
      </c>
    </row>
    <row r="800" spans="1:18">
      <c r="A800" s="25">
        <f t="shared" si="206"/>
        <v>47033</v>
      </c>
      <c r="B800">
        <f t="shared" si="192"/>
        <v>2028</v>
      </c>
      <c r="C800" s="9">
        <f t="shared" si="193"/>
        <v>10</v>
      </c>
      <c r="D800" s="9" t="str">
        <f t="shared" si="194"/>
        <v>October</v>
      </c>
      <c r="E800" s="9" t="str">
        <f t="shared" si="195"/>
        <v>Oct-28</v>
      </c>
      <c r="F800" s="9" t="str">
        <f t="shared" si="196"/>
        <v>Q4</v>
      </c>
      <c r="G800" s="9">
        <f t="shared" si="197"/>
        <v>7</v>
      </c>
      <c r="H800" s="9">
        <f t="shared" si="198"/>
        <v>6</v>
      </c>
      <c r="I800" s="9" t="str">
        <f t="shared" si="199"/>
        <v>Saturday</v>
      </c>
      <c r="J800" s="9" t="str">
        <f t="shared" si="200"/>
        <v>Yes</v>
      </c>
      <c r="K800" s="5" t="str">
        <f>IF(COUNTIF(Bank_Holidays!A:A,A800)&gt;0,"Yes","No")</f>
        <v>No</v>
      </c>
      <c r="L800" t="str">
        <f t="shared" si="201"/>
        <v>No</v>
      </c>
      <c r="M800">
        <f t="shared" si="202"/>
        <v>40</v>
      </c>
      <c r="N800" s="5" t="str">
        <f t="shared" si="203"/>
        <v>No</v>
      </c>
      <c r="O800" t="str">
        <f>IF(A800=WORKDAY(EOMONTH(A800,0)+1,-1,Bank_Holidays!$A$2:$A$25),"Yes","No")</f>
        <v>No</v>
      </c>
      <c r="P800" t="str">
        <f t="shared" si="204"/>
        <v>No</v>
      </c>
      <c r="Q800" t="str">
        <f t="shared" si="205"/>
        <v>No</v>
      </c>
      <c r="R800" s="5">
        <f t="shared" si="207"/>
        <v>0</v>
      </c>
    </row>
    <row r="801" spans="1:18">
      <c r="A801" s="25">
        <f t="shared" si="206"/>
        <v>47034</v>
      </c>
      <c r="B801">
        <f t="shared" si="192"/>
        <v>2028</v>
      </c>
      <c r="C801" s="9">
        <f t="shared" si="193"/>
        <v>10</v>
      </c>
      <c r="D801" s="9" t="str">
        <f t="shared" si="194"/>
        <v>October</v>
      </c>
      <c r="E801" s="9" t="str">
        <f t="shared" si="195"/>
        <v>Oct-28</v>
      </c>
      <c r="F801" s="9" t="str">
        <f t="shared" si="196"/>
        <v>Q4</v>
      </c>
      <c r="G801" s="9">
        <f t="shared" si="197"/>
        <v>8</v>
      </c>
      <c r="H801" s="9">
        <f t="shared" si="198"/>
        <v>7</v>
      </c>
      <c r="I801" s="9" t="str">
        <f t="shared" si="199"/>
        <v>Sunday</v>
      </c>
      <c r="J801" s="9" t="str">
        <f t="shared" si="200"/>
        <v>Yes</v>
      </c>
      <c r="K801" s="5" t="str">
        <f>IF(COUNTIF(Bank_Holidays!A:A,A801)&gt;0,"Yes","No")</f>
        <v>No</v>
      </c>
      <c r="L801" t="str">
        <f t="shared" si="201"/>
        <v>No</v>
      </c>
      <c r="M801">
        <f t="shared" si="202"/>
        <v>40</v>
      </c>
      <c r="N801" s="5" t="str">
        <f t="shared" si="203"/>
        <v>No</v>
      </c>
      <c r="O801" t="str">
        <f>IF(A801=WORKDAY(EOMONTH(A801,0)+1,-1,Bank_Holidays!$A$2:$A$25),"Yes","No")</f>
        <v>No</v>
      </c>
      <c r="P801" t="str">
        <f t="shared" si="204"/>
        <v>No</v>
      </c>
      <c r="Q801" t="str">
        <f t="shared" si="205"/>
        <v>No</v>
      </c>
      <c r="R801" s="5">
        <f t="shared" si="207"/>
        <v>0</v>
      </c>
    </row>
    <row r="802" spans="1:18">
      <c r="A802" s="25">
        <f t="shared" si="206"/>
        <v>47035</v>
      </c>
      <c r="B802">
        <f t="shared" si="192"/>
        <v>2028</v>
      </c>
      <c r="C802" s="9">
        <f t="shared" si="193"/>
        <v>10</v>
      </c>
      <c r="D802" s="9" t="str">
        <f t="shared" si="194"/>
        <v>October</v>
      </c>
      <c r="E802" s="9" t="str">
        <f t="shared" si="195"/>
        <v>Oct-28</v>
      </c>
      <c r="F802" s="9" t="str">
        <f t="shared" si="196"/>
        <v>Q4</v>
      </c>
      <c r="G802" s="9">
        <f t="shared" si="197"/>
        <v>9</v>
      </c>
      <c r="H802" s="9">
        <f t="shared" si="198"/>
        <v>1</v>
      </c>
      <c r="I802" s="9" t="str">
        <f t="shared" si="199"/>
        <v>Monday</v>
      </c>
      <c r="J802" s="9" t="str">
        <f t="shared" si="200"/>
        <v>No</v>
      </c>
      <c r="K802" s="5" t="str">
        <f>IF(COUNTIF(Bank_Holidays!A:A,A802)&gt;0,"Yes","No")</f>
        <v>No</v>
      </c>
      <c r="L802" t="str">
        <f t="shared" si="201"/>
        <v>Yes</v>
      </c>
      <c r="M802">
        <f t="shared" si="202"/>
        <v>41</v>
      </c>
      <c r="N802" s="5" t="str">
        <f t="shared" si="203"/>
        <v>No</v>
      </c>
      <c r="O802" t="str">
        <f>IF(A802=WORKDAY(EOMONTH(A802,0)+1,-1,Bank_Holidays!$A$2:$A$25),"Yes","No")</f>
        <v>No</v>
      </c>
      <c r="P802" t="str">
        <f t="shared" si="204"/>
        <v>No</v>
      </c>
      <c r="Q802" t="str">
        <f t="shared" si="205"/>
        <v>No</v>
      </c>
      <c r="R802" s="5">
        <f t="shared" si="207"/>
        <v>1</v>
      </c>
    </row>
    <row r="803" spans="1:18">
      <c r="A803" s="25">
        <f t="shared" si="206"/>
        <v>47036</v>
      </c>
      <c r="B803">
        <f t="shared" si="192"/>
        <v>2028</v>
      </c>
      <c r="C803" s="9">
        <f t="shared" si="193"/>
        <v>10</v>
      </c>
      <c r="D803" s="9" t="str">
        <f t="shared" si="194"/>
        <v>October</v>
      </c>
      <c r="E803" s="9" t="str">
        <f t="shared" si="195"/>
        <v>Oct-28</v>
      </c>
      <c r="F803" s="9" t="str">
        <f t="shared" si="196"/>
        <v>Q4</v>
      </c>
      <c r="G803" s="9">
        <f t="shared" si="197"/>
        <v>10</v>
      </c>
      <c r="H803" s="9">
        <f t="shared" si="198"/>
        <v>2</v>
      </c>
      <c r="I803" s="9" t="str">
        <f t="shared" si="199"/>
        <v>Tuesday</v>
      </c>
      <c r="J803" s="9" t="str">
        <f t="shared" si="200"/>
        <v>No</v>
      </c>
      <c r="K803" s="5" t="str">
        <f>IF(COUNTIF(Bank_Holidays!A:A,A803)&gt;0,"Yes","No")</f>
        <v>No</v>
      </c>
      <c r="L803" t="str">
        <f t="shared" si="201"/>
        <v>Yes</v>
      </c>
      <c r="M803">
        <f t="shared" si="202"/>
        <v>41</v>
      </c>
      <c r="N803" s="5" t="str">
        <f t="shared" si="203"/>
        <v>No</v>
      </c>
      <c r="O803" t="str">
        <f>IF(A803=WORKDAY(EOMONTH(A803,0)+1,-1,Bank_Holidays!$A$2:$A$25),"Yes","No")</f>
        <v>No</v>
      </c>
      <c r="P803" t="str">
        <f t="shared" si="204"/>
        <v>No</v>
      </c>
      <c r="Q803" t="str">
        <f t="shared" si="205"/>
        <v>No</v>
      </c>
      <c r="R803" s="5">
        <f t="shared" si="207"/>
        <v>1</v>
      </c>
    </row>
    <row r="804" spans="1:18">
      <c r="A804" s="25">
        <f t="shared" si="206"/>
        <v>47037</v>
      </c>
      <c r="B804">
        <f t="shared" si="192"/>
        <v>2028</v>
      </c>
      <c r="C804" s="9">
        <f t="shared" si="193"/>
        <v>10</v>
      </c>
      <c r="D804" s="9" t="str">
        <f t="shared" si="194"/>
        <v>October</v>
      </c>
      <c r="E804" s="9" t="str">
        <f t="shared" si="195"/>
        <v>Oct-28</v>
      </c>
      <c r="F804" s="9" t="str">
        <f t="shared" si="196"/>
        <v>Q4</v>
      </c>
      <c r="G804" s="9">
        <f t="shared" si="197"/>
        <v>11</v>
      </c>
      <c r="H804" s="9">
        <f t="shared" si="198"/>
        <v>3</v>
      </c>
      <c r="I804" s="9" t="str">
        <f t="shared" si="199"/>
        <v>Wednesday</v>
      </c>
      <c r="J804" s="9" t="str">
        <f t="shared" si="200"/>
        <v>No</v>
      </c>
      <c r="K804" s="5" t="str">
        <f>IF(COUNTIF(Bank_Holidays!A:A,A804)&gt;0,"Yes","No")</f>
        <v>No</v>
      </c>
      <c r="L804" t="str">
        <f t="shared" si="201"/>
        <v>Yes</v>
      </c>
      <c r="M804">
        <f t="shared" si="202"/>
        <v>41</v>
      </c>
      <c r="N804" s="5" t="str">
        <f t="shared" si="203"/>
        <v>No</v>
      </c>
      <c r="O804" t="str">
        <f>IF(A804=WORKDAY(EOMONTH(A804,0)+1,-1,Bank_Holidays!$A$2:$A$25),"Yes","No")</f>
        <v>No</v>
      </c>
      <c r="P804" t="str">
        <f t="shared" si="204"/>
        <v>No</v>
      </c>
      <c r="Q804" t="str">
        <f t="shared" si="205"/>
        <v>No</v>
      </c>
      <c r="R804" s="5">
        <f t="shared" si="207"/>
        <v>1</v>
      </c>
    </row>
    <row r="805" spans="1:18">
      <c r="A805" s="25">
        <f t="shared" si="206"/>
        <v>47038</v>
      </c>
      <c r="B805">
        <f t="shared" si="192"/>
        <v>2028</v>
      </c>
      <c r="C805" s="9">
        <f t="shared" si="193"/>
        <v>10</v>
      </c>
      <c r="D805" s="9" t="str">
        <f t="shared" si="194"/>
        <v>October</v>
      </c>
      <c r="E805" s="9" t="str">
        <f t="shared" si="195"/>
        <v>Oct-28</v>
      </c>
      <c r="F805" s="9" t="str">
        <f t="shared" si="196"/>
        <v>Q4</v>
      </c>
      <c r="G805" s="9">
        <f t="shared" si="197"/>
        <v>12</v>
      </c>
      <c r="H805" s="9">
        <f t="shared" si="198"/>
        <v>4</v>
      </c>
      <c r="I805" s="9" t="str">
        <f t="shared" si="199"/>
        <v>Thursday</v>
      </c>
      <c r="J805" s="9" t="str">
        <f t="shared" si="200"/>
        <v>No</v>
      </c>
      <c r="K805" s="5" t="str">
        <f>IF(COUNTIF(Bank_Holidays!A:A,A805)&gt;0,"Yes","No")</f>
        <v>No</v>
      </c>
      <c r="L805" t="str">
        <f t="shared" si="201"/>
        <v>Yes</v>
      </c>
      <c r="M805">
        <f t="shared" si="202"/>
        <v>41</v>
      </c>
      <c r="N805" s="5" t="str">
        <f t="shared" si="203"/>
        <v>No</v>
      </c>
      <c r="O805" t="str">
        <f>IF(A805=WORKDAY(EOMONTH(A805,0)+1,-1,Bank_Holidays!$A$2:$A$25),"Yes","No")</f>
        <v>No</v>
      </c>
      <c r="P805" t="str">
        <f t="shared" si="204"/>
        <v>No</v>
      </c>
      <c r="Q805" t="str">
        <f t="shared" si="205"/>
        <v>No</v>
      </c>
      <c r="R805" s="5">
        <f t="shared" si="207"/>
        <v>1</v>
      </c>
    </row>
    <row r="806" spans="1:18">
      <c r="A806" s="25">
        <f t="shared" si="206"/>
        <v>47039</v>
      </c>
      <c r="B806">
        <f t="shared" si="192"/>
        <v>2028</v>
      </c>
      <c r="C806" s="9">
        <f t="shared" si="193"/>
        <v>10</v>
      </c>
      <c r="D806" s="9" t="str">
        <f t="shared" si="194"/>
        <v>October</v>
      </c>
      <c r="E806" s="9" t="str">
        <f t="shared" si="195"/>
        <v>Oct-28</v>
      </c>
      <c r="F806" s="9" t="str">
        <f t="shared" si="196"/>
        <v>Q4</v>
      </c>
      <c r="G806" s="9">
        <f t="shared" si="197"/>
        <v>13</v>
      </c>
      <c r="H806" s="9">
        <f t="shared" si="198"/>
        <v>5</v>
      </c>
      <c r="I806" s="9" t="str">
        <f t="shared" si="199"/>
        <v>Friday</v>
      </c>
      <c r="J806" s="9" t="str">
        <f t="shared" si="200"/>
        <v>No</v>
      </c>
      <c r="K806" s="5" t="str">
        <f>IF(COUNTIF(Bank_Holidays!A:A,A806)&gt;0,"Yes","No")</f>
        <v>No</v>
      </c>
      <c r="L806" t="str">
        <f t="shared" si="201"/>
        <v>Yes</v>
      </c>
      <c r="M806">
        <f t="shared" si="202"/>
        <v>41</v>
      </c>
      <c r="N806" s="5" t="str">
        <f t="shared" si="203"/>
        <v>No</v>
      </c>
      <c r="O806" t="str">
        <f>IF(A806=WORKDAY(EOMONTH(A806,0)+1,-1,Bank_Holidays!$A$2:$A$25),"Yes","No")</f>
        <v>No</v>
      </c>
      <c r="P806" t="str">
        <f t="shared" si="204"/>
        <v>No</v>
      </c>
      <c r="Q806" t="str">
        <f t="shared" si="205"/>
        <v>No</v>
      </c>
      <c r="R806" s="5">
        <f t="shared" si="207"/>
        <v>3</v>
      </c>
    </row>
    <row r="807" spans="1:18">
      <c r="A807" s="25">
        <f t="shared" si="206"/>
        <v>47040</v>
      </c>
      <c r="B807">
        <f t="shared" si="192"/>
        <v>2028</v>
      </c>
      <c r="C807" s="9">
        <f t="shared" si="193"/>
        <v>10</v>
      </c>
      <c r="D807" s="9" t="str">
        <f t="shared" si="194"/>
        <v>October</v>
      </c>
      <c r="E807" s="9" t="str">
        <f t="shared" si="195"/>
        <v>Oct-28</v>
      </c>
      <c r="F807" s="9" t="str">
        <f t="shared" si="196"/>
        <v>Q4</v>
      </c>
      <c r="G807" s="9">
        <f t="shared" si="197"/>
        <v>14</v>
      </c>
      <c r="H807" s="9">
        <f t="shared" si="198"/>
        <v>6</v>
      </c>
      <c r="I807" s="9" t="str">
        <f t="shared" si="199"/>
        <v>Saturday</v>
      </c>
      <c r="J807" s="9" t="str">
        <f t="shared" si="200"/>
        <v>Yes</v>
      </c>
      <c r="K807" s="5" t="str">
        <f>IF(COUNTIF(Bank_Holidays!A:A,A807)&gt;0,"Yes","No")</f>
        <v>No</v>
      </c>
      <c r="L807" t="str">
        <f t="shared" si="201"/>
        <v>No</v>
      </c>
      <c r="M807">
        <f t="shared" si="202"/>
        <v>41</v>
      </c>
      <c r="N807" s="5" t="str">
        <f t="shared" si="203"/>
        <v>No</v>
      </c>
      <c r="O807" t="str">
        <f>IF(A807=WORKDAY(EOMONTH(A807,0)+1,-1,Bank_Holidays!$A$2:$A$25),"Yes","No")</f>
        <v>No</v>
      </c>
      <c r="P807" t="str">
        <f t="shared" si="204"/>
        <v>No</v>
      </c>
      <c r="Q807" t="str">
        <f t="shared" si="205"/>
        <v>No</v>
      </c>
      <c r="R807" s="5">
        <f t="shared" si="207"/>
        <v>0</v>
      </c>
    </row>
    <row r="808" spans="1:18">
      <c r="A808" s="25">
        <f t="shared" si="206"/>
        <v>47041</v>
      </c>
      <c r="B808">
        <f t="shared" si="192"/>
        <v>2028</v>
      </c>
      <c r="C808" s="9">
        <f t="shared" si="193"/>
        <v>10</v>
      </c>
      <c r="D808" s="9" t="str">
        <f t="shared" si="194"/>
        <v>October</v>
      </c>
      <c r="E808" s="9" t="str">
        <f t="shared" si="195"/>
        <v>Oct-28</v>
      </c>
      <c r="F808" s="9" t="str">
        <f t="shared" si="196"/>
        <v>Q4</v>
      </c>
      <c r="G808" s="9">
        <f t="shared" si="197"/>
        <v>15</v>
      </c>
      <c r="H808" s="9">
        <f t="shared" si="198"/>
        <v>7</v>
      </c>
      <c r="I808" s="9" t="str">
        <f t="shared" si="199"/>
        <v>Sunday</v>
      </c>
      <c r="J808" s="9" t="str">
        <f t="shared" si="200"/>
        <v>Yes</v>
      </c>
      <c r="K808" s="5" t="str">
        <f>IF(COUNTIF(Bank_Holidays!A:A,A808)&gt;0,"Yes","No")</f>
        <v>No</v>
      </c>
      <c r="L808" t="str">
        <f t="shared" si="201"/>
        <v>No</v>
      </c>
      <c r="M808">
        <f t="shared" si="202"/>
        <v>41</v>
      </c>
      <c r="N808" s="5" t="str">
        <f t="shared" si="203"/>
        <v>No</v>
      </c>
      <c r="O808" t="str">
        <f>IF(A808=WORKDAY(EOMONTH(A808,0)+1,-1,Bank_Holidays!$A$2:$A$25),"Yes","No")</f>
        <v>No</v>
      </c>
      <c r="P808" t="str">
        <f t="shared" si="204"/>
        <v>No</v>
      </c>
      <c r="Q808" t="str">
        <f t="shared" si="205"/>
        <v>No</v>
      </c>
      <c r="R808" s="5">
        <f t="shared" si="207"/>
        <v>0</v>
      </c>
    </row>
    <row r="809" spans="1:18">
      <c r="A809" s="25">
        <f t="shared" si="206"/>
        <v>47042</v>
      </c>
      <c r="B809">
        <f t="shared" si="192"/>
        <v>2028</v>
      </c>
      <c r="C809" s="9">
        <f t="shared" si="193"/>
        <v>10</v>
      </c>
      <c r="D809" s="9" t="str">
        <f t="shared" si="194"/>
        <v>October</v>
      </c>
      <c r="E809" s="9" t="str">
        <f t="shared" si="195"/>
        <v>Oct-28</v>
      </c>
      <c r="F809" s="9" t="str">
        <f t="shared" si="196"/>
        <v>Q4</v>
      </c>
      <c r="G809" s="9">
        <f t="shared" si="197"/>
        <v>16</v>
      </c>
      <c r="H809" s="9">
        <f t="shared" si="198"/>
        <v>1</v>
      </c>
      <c r="I809" s="9" t="str">
        <f t="shared" si="199"/>
        <v>Monday</v>
      </c>
      <c r="J809" s="9" t="str">
        <f t="shared" si="200"/>
        <v>No</v>
      </c>
      <c r="K809" s="5" t="str">
        <f>IF(COUNTIF(Bank_Holidays!A:A,A809)&gt;0,"Yes","No")</f>
        <v>No</v>
      </c>
      <c r="L809" t="str">
        <f t="shared" si="201"/>
        <v>Yes</v>
      </c>
      <c r="M809">
        <f t="shared" si="202"/>
        <v>42</v>
      </c>
      <c r="N809" s="5" t="str">
        <f t="shared" si="203"/>
        <v>No</v>
      </c>
      <c r="O809" t="str">
        <f>IF(A809=WORKDAY(EOMONTH(A809,0)+1,-1,Bank_Holidays!$A$2:$A$25),"Yes","No")</f>
        <v>No</v>
      </c>
      <c r="P809" t="str">
        <f t="shared" si="204"/>
        <v>No</v>
      </c>
      <c r="Q809" t="str">
        <f t="shared" si="205"/>
        <v>No</v>
      </c>
      <c r="R809" s="5">
        <f t="shared" si="207"/>
        <v>1</v>
      </c>
    </row>
    <row r="810" spans="1:18">
      <c r="A810" s="25">
        <f t="shared" si="206"/>
        <v>47043</v>
      </c>
      <c r="B810">
        <f t="shared" si="192"/>
        <v>2028</v>
      </c>
      <c r="C810" s="9">
        <f t="shared" si="193"/>
        <v>10</v>
      </c>
      <c r="D810" s="9" t="str">
        <f t="shared" si="194"/>
        <v>October</v>
      </c>
      <c r="E810" s="9" t="str">
        <f t="shared" si="195"/>
        <v>Oct-28</v>
      </c>
      <c r="F810" s="9" t="str">
        <f t="shared" si="196"/>
        <v>Q4</v>
      </c>
      <c r="G810" s="9">
        <f t="shared" si="197"/>
        <v>17</v>
      </c>
      <c r="H810" s="9">
        <f t="shared" si="198"/>
        <v>2</v>
      </c>
      <c r="I810" s="9" t="str">
        <f t="shared" si="199"/>
        <v>Tuesday</v>
      </c>
      <c r="J810" s="9" t="str">
        <f t="shared" si="200"/>
        <v>No</v>
      </c>
      <c r="K810" s="5" t="str">
        <f>IF(COUNTIF(Bank_Holidays!A:A,A810)&gt;0,"Yes","No")</f>
        <v>No</v>
      </c>
      <c r="L810" t="str">
        <f t="shared" si="201"/>
        <v>Yes</v>
      </c>
      <c r="M810">
        <f t="shared" si="202"/>
        <v>42</v>
      </c>
      <c r="N810" s="5" t="str">
        <f t="shared" si="203"/>
        <v>No</v>
      </c>
      <c r="O810" t="str">
        <f>IF(A810=WORKDAY(EOMONTH(A810,0)+1,-1,Bank_Holidays!$A$2:$A$25),"Yes","No")</f>
        <v>No</v>
      </c>
      <c r="P810" t="str">
        <f t="shared" si="204"/>
        <v>No</v>
      </c>
      <c r="Q810" t="str">
        <f t="shared" si="205"/>
        <v>No</v>
      </c>
      <c r="R810" s="5">
        <f t="shared" si="207"/>
        <v>1</v>
      </c>
    </row>
    <row r="811" spans="1:18">
      <c r="A811" s="25">
        <f t="shared" si="206"/>
        <v>47044</v>
      </c>
      <c r="B811">
        <f t="shared" si="192"/>
        <v>2028</v>
      </c>
      <c r="C811" s="9">
        <f t="shared" si="193"/>
        <v>10</v>
      </c>
      <c r="D811" s="9" t="str">
        <f t="shared" si="194"/>
        <v>October</v>
      </c>
      <c r="E811" s="9" t="str">
        <f t="shared" si="195"/>
        <v>Oct-28</v>
      </c>
      <c r="F811" s="9" t="str">
        <f t="shared" si="196"/>
        <v>Q4</v>
      </c>
      <c r="G811" s="9">
        <f t="shared" si="197"/>
        <v>18</v>
      </c>
      <c r="H811" s="9">
        <f t="shared" si="198"/>
        <v>3</v>
      </c>
      <c r="I811" s="9" t="str">
        <f t="shared" si="199"/>
        <v>Wednesday</v>
      </c>
      <c r="J811" s="9" t="str">
        <f t="shared" si="200"/>
        <v>No</v>
      </c>
      <c r="K811" s="5" t="str">
        <f>IF(COUNTIF(Bank_Holidays!A:A,A811)&gt;0,"Yes","No")</f>
        <v>No</v>
      </c>
      <c r="L811" t="str">
        <f t="shared" si="201"/>
        <v>Yes</v>
      </c>
      <c r="M811">
        <f t="shared" si="202"/>
        <v>42</v>
      </c>
      <c r="N811" s="5" t="str">
        <f t="shared" si="203"/>
        <v>No</v>
      </c>
      <c r="O811" t="str">
        <f>IF(A811=WORKDAY(EOMONTH(A811,0)+1,-1,Bank_Holidays!$A$2:$A$25),"Yes","No")</f>
        <v>No</v>
      </c>
      <c r="P811" t="str">
        <f t="shared" si="204"/>
        <v>No</v>
      </c>
      <c r="Q811" t="str">
        <f t="shared" si="205"/>
        <v>No</v>
      </c>
      <c r="R811" s="5">
        <f t="shared" si="207"/>
        <v>1</v>
      </c>
    </row>
    <row r="812" spans="1:18">
      <c r="A812" s="25">
        <f t="shared" si="206"/>
        <v>47045</v>
      </c>
      <c r="B812">
        <f t="shared" si="192"/>
        <v>2028</v>
      </c>
      <c r="C812" s="9">
        <f t="shared" si="193"/>
        <v>10</v>
      </c>
      <c r="D812" s="9" t="str">
        <f t="shared" si="194"/>
        <v>October</v>
      </c>
      <c r="E812" s="9" t="str">
        <f t="shared" si="195"/>
        <v>Oct-28</v>
      </c>
      <c r="F812" s="9" t="str">
        <f t="shared" si="196"/>
        <v>Q4</v>
      </c>
      <c r="G812" s="9">
        <f t="shared" si="197"/>
        <v>19</v>
      </c>
      <c r="H812" s="9">
        <f t="shared" si="198"/>
        <v>4</v>
      </c>
      <c r="I812" s="9" t="str">
        <f t="shared" si="199"/>
        <v>Thursday</v>
      </c>
      <c r="J812" s="9" t="str">
        <f t="shared" si="200"/>
        <v>No</v>
      </c>
      <c r="K812" s="5" t="str">
        <f>IF(COUNTIF(Bank_Holidays!A:A,A812)&gt;0,"Yes","No")</f>
        <v>No</v>
      </c>
      <c r="L812" t="str">
        <f t="shared" si="201"/>
        <v>Yes</v>
      </c>
      <c r="M812">
        <f t="shared" si="202"/>
        <v>42</v>
      </c>
      <c r="N812" s="5" t="str">
        <f t="shared" si="203"/>
        <v>No</v>
      </c>
      <c r="O812" t="str">
        <f>IF(A812=WORKDAY(EOMONTH(A812,0)+1,-1,Bank_Holidays!$A$2:$A$25),"Yes","No")</f>
        <v>No</v>
      </c>
      <c r="P812" t="str">
        <f t="shared" si="204"/>
        <v>No</v>
      </c>
      <c r="Q812" t="str">
        <f t="shared" si="205"/>
        <v>No</v>
      </c>
      <c r="R812" s="5">
        <f t="shared" si="207"/>
        <v>1</v>
      </c>
    </row>
    <row r="813" spans="1:18">
      <c r="A813" s="25">
        <f t="shared" si="206"/>
        <v>47046</v>
      </c>
      <c r="B813">
        <f t="shared" si="192"/>
        <v>2028</v>
      </c>
      <c r="C813" s="9">
        <f t="shared" si="193"/>
        <v>10</v>
      </c>
      <c r="D813" s="9" t="str">
        <f t="shared" si="194"/>
        <v>October</v>
      </c>
      <c r="E813" s="9" t="str">
        <f t="shared" si="195"/>
        <v>Oct-28</v>
      </c>
      <c r="F813" s="9" t="str">
        <f t="shared" si="196"/>
        <v>Q4</v>
      </c>
      <c r="G813" s="9">
        <f t="shared" si="197"/>
        <v>20</v>
      </c>
      <c r="H813" s="9">
        <f t="shared" si="198"/>
        <v>5</v>
      </c>
      <c r="I813" s="9" t="str">
        <f t="shared" si="199"/>
        <v>Friday</v>
      </c>
      <c r="J813" s="9" t="str">
        <f t="shared" si="200"/>
        <v>No</v>
      </c>
      <c r="K813" s="5" t="str">
        <f>IF(COUNTIF(Bank_Holidays!A:A,A813)&gt;0,"Yes","No")</f>
        <v>No</v>
      </c>
      <c r="L813" t="str">
        <f t="shared" si="201"/>
        <v>Yes</v>
      </c>
      <c r="M813">
        <f t="shared" si="202"/>
        <v>42</v>
      </c>
      <c r="N813" s="5" t="str">
        <f t="shared" si="203"/>
        <v>No</v>
      </c>
      <c r="O813" t="str">
        <f>IF(A813=WORKDAY(EOMONTH(A813,0)+1,-1,Bank_Holidays!$A$2:$A$25),"Yes","No")</f>
        <v>No</v>
      </c>
      <c r="P813" t="str">
        <f t="shared" si="204"/>
        <v>No</v>
      </c>
      <c r="Q813" t="str">
        <f t="shared" si="205"/>
        <v>No</v>
      </c>
      <c r="R813" s="5">
        <f t="shared" si="207"/>
        <v>3</v>
      </c>
    </row>
    <row r="814" spans="1:18">
      <c r="A814" s="25">
        <f t="shared" si="206"/>
        <v>47047</v>
      </c>
      <c r="B814">
        <f t="shared" si="192"/>
        <v>2028</v>
      </c>
      <c r="C814" s="9">
        <f t="shared" si="193"/>
        <v>10</v>
      </c>
      <c r="D814" s="9" t="str">
        <f t="shared" si="194"/>
        <v>October</v>
      </c>
      <c r="E814" s="9" t="str">
        <f t="shared" si="195"/>
        <v>Oct-28</v>
      </c>
      <c r="F814" s="9" t="str">
        <f t="shared" si="196"/>
        <v>Q4</v>
      </c>
      <c r="G814" s="9">
        <f t="shared" si="197"/>
        <v>21</v>
      </c>
      <c r="H814" s="9">
        <f t="shared" si="198"/>
        <v>6</v>
      </c>
      <c r="I814" s="9" t="str">
        <f t="shared" si="199"/>
        <v>Saturday</v>
      </c>
      <c r="J814" s="9" t="str">
        <f t="shared" si="200"/>
        <v>Yes</v>
      </c>
      <c r="K814" s="5" t="str">
        <f>IF(COUNTIF(Bank_Holidays!A:A,A814)&gt;0,"Yes","No")</f>
        <v>No</v>
      </c>
      <c r="L814" t="str">
        <f t="shared" si="201"/>
        <v>No</v>
      </c>
      <c r="M814">
        <f t="shared" si="202"/>
        <v>42</v>
      </c>
      <c r="N814" s="5" t="str">
        <f t="shared" si="203"/>
        <v>No</v>
      </c>
      <c r="O814" t="str">
        <f>IF(A814=WORKDAY(EOMONTH(A814,0)+1,-1,Bank_Holidays!$A$2:$A$25),"Yes","No")</f>
        <v>No</v>
      </c>
      <c r="P814" t="str">
        <f t="shared" si="204"/>
        <v>No</v>
      </c>
      <c r="Q814" t="str">
        <f t="shared" si="205"/>
        <v>No</v>
      </c>
      <c r="R814" s="5">
        <f t="shared" si="207"/>
        <v>0</v>
      </c>
    </row>
    <row r="815" spans="1:18">
      <c r="A815" s="25">
        <f t="shared" si="206"/>
        <v>47048</v>
      </c>
      <c r="B815">
        <f t="shared" si="192"/>
        <v>2028</v>
      </c>
      <c r="C815" s="9">
        <f t="shared" si="193"/>
        <v>10</v>
      </c>
      <c r="D815" s="9" t="str">
        <f t="shared" si="194"/>
        <v>October</v>
      </c>
      <c r="E815" s="9" t="str">
        <f t="shared" si="195"/>
        <v>Oct-28</v>
      </c>
      <c r="F815" s="9" t="str">
        <f t="shared" si="196"/>
        <v>Q4</v>
      </c>
      <c r="G815" s="9">
        <f t="shared" si="197"/>
        <v>22</v>
      </c>
      <c r="H815" s="9">
        <f t="shared" si="198"/>
        <v>7</v>
      </c>
      <c r="I815" s="9" t="str">
        <f t="shared" si="199"/>
        <v>Sunday</v>
      </c>
      <c r="J815" s="9" t="str">
        <f t="shared" si="200"/>
        <v>Yes</v>
      </c>
      <c r="K815" s="5" t="str">
        <f>IF(COUNTIF(Bank_Holidays!A:A,A815)&gt;0,"Yes","No")</f>
        <v>No</v>
      </c>
      <c r="L815" t="str">
        <f t="shared" si="201"/>
        <v>No</v>
      </c>
      <c r="M815">
        <f t="shared" si="202"/>
        <v>42</v>
      </c>
      <c r="N815" s="5" t="str">
        <f t="shared" si="203"/>
        <v>No</v>
      </c>
      <c r="O815" t="str">
        <f>IF(A815=WORKDAY(EOMONTH(A815,0)+1,-1,Bank_Holidays!$A$2:$A$25),"Yes","No")</f>
        <v>No</v>
      </c>
      <c r="P815" t="str">
        <f t="shared" si="204"/>
        <v>No</v>
      </c>
      <c r="Q815" t="str">
        <f t="shared" si="205"/>
        <v>No</v>
      </c>
      <c r="R815" s="5">
        <f t="shared" si="207"/>
        <v>0</v>
      </c>
    </row>
    <row r="816" spans="1:18">
      <c r="A816" s="25">
        <f t="shared" si="206"/>
        <v>47049</v>
      </c>
      <c r="B816">
        <f t="shared" si="192"/>
        <v>2028</v>
      </c>
      <c r="C816" s="9">
        <f t="shared" si="193"/>
        <v>10</v>
      </c>
      <c r="D816" s="9" t="str">
        <f t="shared" si="194"/>
        <v>October</v>
      </c>
      <c r="E816" s="9" t="str">
        <f t="shared" si="195"/>
        <v>Oct-28</v>
      </c>
      <c r="F816" s="9" t="str">
        <f t="shared" si="196"/>
        <v>Q4</v>
      </c>
      <c r="G816" s="9">
        <f t="shared" si="197"/>
        <v>23</v>
      </c>
      <c r="H816" s="9">
        <f t="shared" si="198"/>
        <v>1</v>
      </c>
      <c r="I816" s="9" t="str">
        <f t="shared" si="199"/>
        <v>Monday</v>
      </c>
      <c r="J816" s="9" t="str">
        <f t="shared" si="200"/>
        <v>No</v>
      </c>
      <c r="K816" s="5" t="str">
        <f>IF(COUNTIF(Bank_Holidays!A:A,A816)&gt;0,"Yes","No")</f>
        <v>No</v>
      </c>
      <c r="L816" t="str">
        <f t="shared" si="201"/>
        <v>Yes</v>
      </c>
      <c r="M816">
        <f t="shared" si="202"/>
        <v>43</v>
      </c>
      <c r="N816" s="5" t="str">
        <f t="shared" si="203"/>
        <v>No</v>
      </c>
      <c r="O816" t="str">
        <f>IF(A816=WORKDAY(EOMONTH(A816,0)+1,-1,Bank_Holidays!$A$2:$A$25),"Yes","No")</f>
        <v>No</v>
      </c>
      <c r="P816" t="str">
        <f t="shared" si="204"/>
        <v>No</v>
      </c>
      <c r="Q816" t="str">
        <f t="shared" si="205"/>
        <v>No</v>
      </c>
      <c r="R816" s="5">
        <f t="shared" si="207"/>
        <v>1</v>
      </c>
    </row>
    <row r="817" spans="1:18">
      <c r="A817" s="25">
        <f t="shared" si="206"/>
        <v>47050</v>
      </c>
      <c r="B817">
        <f t="shared" si="192"/>
        <v>2028</v>
      </c>
      <c r="C817" s="9">
        <f t="shared" si="193"/>
        <v>10</v>
      </c>
      <c r="D817" s="9" t="str">
        <f t="shared" si="194"/>
        <v>October</v>
      </c>
      <c r="E817" s="9" t="str">
        <f t="shared" si="195"/>
        <v>Oct-28</v>
      </c>
      <c r="F817" s="9" t="str">
        <f t="shared" si="196"/>
        <v>Q4</v>
      </c>
      <c r="G817" s="9">
        <f t="shared" si="197"/>
        <v>24</v>
      </c>
      <c r="H817" s="9">
        <f t="shared" si="198"/>
        <v>2</v>
      </c>
      <c r="I817" s="9" t="str">
        <f t="shared" si="199"/>
        <v>Tuesday</v>
      </c>
      <c r="J817" s="9" t="str">
        <f t="shared" si="200"/>
        <v>No</v>
      </c>
      <c r="K817" s="5" t="str">
        <f>IF(COUNTIF(Bank_Holidays!A:A,A817)&gt;0,"Yes","No")</f>
        <v>No</v>
      </c>
      <c r="L817" t="str">
        <f t="shared" si="201"/>
        <v>Yes</v>
      </c>
      <c r="M817">
        <f t="shared" si="202"/>
        <v>43</v>
      </c>
      <c r="N817" s="5" t="str">
        <f t="shared" si="203"/>
        <v>No</v>
      </c>
      <c r="O817" t="str">
        <f>IF(A817=WORKDAY(EOMONTH(A817,0)+1,-1,Bank_Holidays!$A$2:$A$25),"Yes","No")</f>
        <v>No</v>
      </c>
      <c r="P817" t="str">
        <f t="shared" si="204"/>
        <v>No</v>
      </c>
      <c r="Q817" t="str">
        <f t="shared" si="205"/>
        <v>No</v>
      </c>
      <c r="R817" s="5">
        <f t="shared" si="207"/>
        <v>1</v>
      </c>
    </row>
    <row r="818" spans="1:18">
      <c r="A818" s="25">
        <f t="shared" si="206"/>
        <v>47051</v>
      </c>
      <c r="B818">
        <f t="shared" si="192"/>
        <v>2028</v>
      </c>
      <c r="C818" s="9">
        <f t="shared" si="193"/>
        <v>10</v>
      </c>
      <c r="D818" s="9" t="str">
        <f t="shared" si="194"/>
        <v>October</v>
      </c>
      <c r="E818" s="9" t="str">
        <f t="shared" si="195"/>
        <v>Oct-28</v>
      </c>
      <c r="F818" s="9" t="str">
        <f t="shared" si="196"/>
        <v>Q4</v>
      </c>
      <c r="G818" s="9">
        <f t="shared" si="197"/>
        <v>25</v>
      </c>
      <c r="H818" s="9">
        <f t="shared" si="198"/>
        <v>3</v>
      </c>
      <c r="I818" s="9" t="str">
        <f t="shared" si="199"/>
        <v>Wednesday</v>
      </c>
      <c r="J818" s="9" t="str">
        <f t="shared" si="200"/>
        <v>No</v>
      </c>
      <c r="K818" s="5" t="str">
        <f>IF(COUNTIF(Bank_Holidays!A:A,A818)&gt;0,"Yes","No")</f>
        <v>No</v>
      </c>
      <c r="L818" t="str">
        <f t="shared" si="201"/>
        <v>Yes</v>
      </c>
      <c r="M818">
        <f t="shared" si="202"/>
        <v>43</v>
      </c>
      <c r="N818" s="5" t="str">
        <f t="shared" si="203"/>
        <v>No</v>
      </c>
      <c r="O818" t="str">
        <f>IF(A818=WORKDAY(EOMONTH(A818,0)+1,-1,Bank_Holidays!$A$2:$A$25),"Yes","No")</f>
        <v>No</v>
      </c>
      <c r="P818" t="str">
        <f t="shared" si="204"/>
        <v>No</v>
      </c>
      <c r="Q818" t="str">
        <f t="shared" si="205"/>
        <v>No</v>
      </c>
      <c r="R818" s="5">
        <f t="shared" si="207"/>
        <v>1</v>
      </c>
    </row>
    <row r="819" spans="1:18">
      <c r="A819" s="25">
        <f t="shared" si="206"/>
        <v>47052</v>
      </c>
      <c r="B819">
        <f t="shared" si="192"/>
        <v>2028</v>
      </c>
      <c r="C819" s="9">
        <f t="shared" si="193"/>
        <v>10</v>
      </c>
      <c r="D819" s="9" t="str">
        <f t="shared" si="194"/>
        <v>October</v>
      </c>
      <c r="E819" s="9" t="str">
        <f t="shared" si="195"/>
        <v>Oct-28</v>
      </c>
      <c r="F819" s="9" t="str">
        <f t="shared" si="196"/>
        <v>Q4</v>
      </c>
      <c r="G819" s="9">
        <f t="shared" si="197"/>
        <v>26</v>
      </c>
      <c r="H819" s="9">
        <f t="shared" si="198"/>
        <v>4</v>
      </c>
      <c r="I819" s="9" t="str">
        <f t="shared" si="199"/>
        <v>Thursday</v>
      </c>
      <c r="J819" s="9" t="str">
        <f t="shared" si="200"/>
        <v>No</v>
      </c>
      <c r="K819" s="5" t="str">
        <f>IF(COUNTIF(Bank_Holidays!A:A,A819)&gt;0,"Yes","No")</f>
        <v>No</v>
      </c>
      <c r="L819" t="str">
        <f t="shared" si="201"/>
        <v>Yes</v>
      </c>
      <c r="M819">
        <f t="shared" si="202"/>
        <v>43</v>
      </c>
      <c r="N819" s="5" t="str">
        <f t="shared" si="203"/>
        <v>No</v>
      </c>
      <c r="O819" t="str">
        <f>IF(A819=WORKDAY(EOMONTH(A819,0)+1,-1,Bank_Holidays!$A$2:$A$25),"Yes","No")</f>
        <v>No</v>
      </c>
      <c r="P819" t="str">
        <f t="shared" si="204"/>
        <v>No</v>
      </c>
      <c r="Q819" t="str">
        <f t="shared" si="205"/>
        <v>Yes</v>
      </c>
      <c r="R819" s="5">
        <f t="shared" si="207"/>
        <v>1</v>
      </c>
    </row>
    <row r="820" spans="1:18">
      <c r="A820" s="25">
        <f t="shared" si="206"/>
        <v>47053</v>
      </c>
      <c r="B820">
        <f t="shared" si="192"/>
        <v>2028</v>
      </c>
      <c r="C820" s="9">
        <f t="shared" si="193"/>
        <v>10</v>
      </c>
      <c r="D820" s="9" t="str">
        <f t="shared" si="194"/>
        <v>October</v>
      </c>
      <c r="E820" s="9" t="str">
        <f t="shared" si="195"/>
        <v>Oct-28</v>
      </c>
      <c r="F820" s="9" t="str">
        <f t="shared" si="196"/>
        <v>Q4</v>
      </c>
      <c r="G820" s="9">
        <f t="shared" si="197"/>
        <v>27</v>
      </c>
      <c r="H820" s="9">
        <f t="shared" si="198"/>
        <v>5</v>
      </c>
      <c r="I820" s="9" t="str">
        <f t="shared" si="199"/>
        <v>Friday</v>
      </c>
      <c r="J820" s="9" t="str">
        <f t="shared" si="200"/>
        <v>No</v>
      </c>
      <c r="K820" s="5" t="str">
        <f>IF(COUNTIF(Bank_Holidays!A:A,A820)&gt;0,"Yes","No")</f>
        <v>No</v>
      </c>
      <c r="L820" t="str">
        <f t="shared" si="201"/>
        <v>Yes</v>
      </c>
      <c r="M820">
        <f t="shared" si="202"/>
        <v>43</v>
      </c>
      <c r="N820" s="5" t="str">
        <f t="shared" si="203"/>
        <v>No</v>
      </c>
      <c r="O820" t="str">
        <f>IF(A820=WORKDAY(EOMONTH(A820,0)+1,-1,Bank_Holidays!$A$2:$A$25),"Yes","No")</f>
        <v>No</v>
      </c>
      <c r="P820" t="str">
        <f t="shared" si="204"/>
        <v>Yes</v>
      </c>
      <c r="Q820" t="str">
        <f t="shared" si="205"/>
        <v>No</v>
      </c>
      <c r="R820" s="5">
        <f t="shared" si="207"/>
        <v>3</v>
      </c>
    </row>
    <row r="821" spans="1:18">
      <c r="A821" s="25">
        <f t="shared" si="206"/>
        <v>47054</v>
      </c>
      <c r="B821">
        <f t="shared" si="192"/>
        <v>2028</v>
      </c>
      <c r="C821" s="9">
        <f t="shared" si="193"/>
        <v>10</v>
      </c>
      <c r="D821" s="9" t="str">
        <f t="shared" si="194"/>
        <v>October</v>
      </c>
      <c r="E821" s="9" t="str">
        <f t="shared" si="195"/>
        <v>Oct-28</v>
      </c>
      <c r="F821" s="9" t="str">
        <f t="shared" si="196"/>
        <v>Q4</v>
      </c>
      <c r="G821" s="9">
        <f t="shared" si="197"/>
        <v>28</v>
      </c>
      <c r="H821" s="9">
        <f t="shared" si="198"/>
        <v>6</v>
      </c>
      <c r="I821" s="9" t="str">
        <f t="shared" si="199"/>
        <v>Saturday</v>
      </c>
      <c r="J821" s="9" t="str">
        <f t="shared" si="200"/>
        <v>Yes</v>
      </c>
      <c r="K821" s="5" t="str">
        <f>IF(COUNTIF(Bank_Holidays!A:A,A821)&gt;0,"Yes","No")</f>
        <v>No</v>
      </c>
      <c r="L821" t="str">
        <f t="shared" si="201"/>
        <v>No</v>
      </c>
      <c r="M821">
        <f t="shared" si="202"/>
        <v>43</v>
      </c>
      <c r="N821" s="5" t="str">
        <f t="shared" si="203"/>
        <v>No</v>
      </c>
      <c r="O821" t="str">
        <f>IF(A821=WORKDAY(EOMONTH(A821,0)+1,-1,Bank_Holidays!$A$2:$A$25),"Yes","No")</f>
        <v>No</v>
      </c>
      <c r="P821" t="str">
        <f t="shared" si="204"/>
        <v>No</v>
      </c>
      <c r="Q821" t="str">
        <f t="shared" si="205"/>
        <v>No</v>
      </c>
      <c r="R821" s="5">
        <f t="shared" si="207"/>
        <v>0</v>
      </c>
    </row>
    <row r="822" spans="1:18">
      <c r="A822" s="25">
        <f t="shared" si="206"/>
        <v>47055</v>
      </c>
      <c r="B822">
        <f t="shared" si="192"/>
        <v>2028</v>
      </c>
      <c r="C822" s="9">
        <f t="shared" si="193"/>
        <v>10</v>
      </c>
      <c r="D822" s="9" t="str">
        <f t="shared" si="194"/>
        <v>October</v>
      </c>
      <c r="E822" s="9" t="str">
        <f t="shared" si="195"/>
        <v>Oct-28</v>
      </c>
      <c r="F822" s="9" t="str">
        <f t="shared" si="196"/>
        <v>Q4</v>
      </c>
      <c r="G822" s="9">
        <f t="shared" si="197"/>
        <v>29</v>
      </c>
      <c r="H822" s="9">
        <f t="shared" si="198"/>
        <v>7</v>
      </c>
      <c r="I822" s="9" t="str">
        <f t="shared" si="199"/>
        <v>Sunday</v>
      </c>
      <c r="J822" s="9" t="str">
        <f t="shared" si="200"/>
        <v>Yes</v>
      </c>
      <c r="K822" s="5" t="str">
        <f>IF(COUNTIF(Bank_Holidays!A:A,A822)&gt;0,"Yes","No")</f>
        <v>No</v>
      </c>
      <c r="L822" t="str">
        <f t="shared" si="201"/>
        <v>No</v>
      </c>
      <c r="M822">
        <f t="shared" si="202"/>
        <v>43</v>
      </c>
      <c r="N822" s="5" t="str">
        <f t="shared" si="203"/>
        <v>No</v>
      </c>
      <c r="O822" t="str">
        <f>IF(A822=WORKDAY(EOMONTH(A822,0)+1,-1,Bank_Holidays!$A$2:$A$25),"Yes","No")</f>
        <v>No</v>
      </c>
      <c r="P822" t="str">
        <f t="shared" si="204"/>
        <v>No</v>
      </c>
      <c r="Q822" t="str">
        <f t="shared" si="205"/>
        <v>No</v>
      </c>
      <c r="R822" s="5">
        <f t="shared" si="207"/>
        <v>0</v>
      </c>
    </row>
    <row r="823" spans="1:18">
      <c r="A823" s="25">
        <f t="shared" si="206"/>
        <v>47056</v>
      </c>
      <c r="B823">
        <f t="shared" si="192"/>
        <v>2028</v>
      </c>
      <c r="C823" s="9">
        <f t="shared" si="193"/>
        <v>10</v>
      </c>
      <c r="D823" s="9" t="str">
        <f t="shared" si="194"/>
        <v>October</v>
      </c>
      <c r="E823" s="9" t="str">
        <f t="shared" si="195"/>
        <v>Oct-28</v>
      </c>
      <c r="F823" s="9" t="str">
        <f t="shared" si="196"/>
        <v>Q4</v>
      </c>
      <c r="G823" s="9">
        <f t="shared" si="197"/>
        <v>30</v>
      </c>
      <c r="H823" s="9">
        <f t="shared" si="198"/>
        <v>1</v>
      </c>
      <c r="I823" s="9" t="str">
        <f t="shared" si="199"/>
        <v>Monday</v>
      </c>
      <c r="J823" s="9" t="str">
        <f t="shared" si="200"/>
        <v>No</v>
      </c>
      <c r="K823" s="5" t="str">
        <f>IF(COUNTIF(Bank_Holidays!A:A,A823)&gt;0,"Yes","No")</f>
        <v>No</v>
      </c>
      <c r="L823" t="str">
        <f t="shared" si="201"/>
        <v>Yes</v>
      </c>
      <c r="M823">
        <f t="shared" si="202"/>
        <v>44</v>
      </c>
      <c r="N823" s="5" t="str">
        <f t="shared" si="203"/>
        <v>No</v>
      </c>
      <c r="O823" t="str">
        <f>IF(A823=WORKDAY(EOMONTH(A823,0)+1,-1,Bank_Holidays!$A$2:$A$25),"Yes","No")</f>
        <v>No</v>
      </c>
      <c r="P823" t="str">
        <f t="shared" si="204"/>
        <v>No</v>
      </c>
      <c r="Q823" t="str">
        <f t="shared" si="205"/>
        <v>No</v>
      </c>
      <c r="R823" s="5">
        <f t="shared" si="207"/>
        <v>1</v>
      </c>
    </row>
    <row r="824" spans="1:18">
      <c r="A824" s="25">
        <f t="shared" si="206"/>
        <v>47057</v>
      </c>
      <c r="B824">
        <f t="shared" si="192"/>
        <v>2028</v>
      </c>
      <c r="C824" s="9">
        <f t="shared" si="193"/>
        <v>10</v>
      </c>
      <c r="D824" s="9" t="str">
        <f t="shared" si="194"/>
        <v>October</v>
      </c>
      <c r="E824" s="9" t="str">
        <f t="shared" si="195"/>
        <v>Oct-28</v>
      </c>
      <c r="F824" s="9" t="str">
        <f t="shared" si="196"/>
        <v>Q4</v>
      </c>
      <c r="G824" s="9">
        <f t="shared" si="197"/>
        <v>31</v>
      </c>
      <c r="H824" s="9">
        <f t="shared" si="198"/>
        <v>2</v>
      </c>
      <c r="I824" s="9" t="str">
        <f t="shared" si="199"/>
        <v>Tuesday</v>
      </c>
      <c r="J824" s="9" t="str">
        <f t="shared" si="200"/>
        <v>No</v>
      </c>
      <c r="K824" s="5" t="str">
        <f>IF(COUNTIF(Bank_Holidays!A:A,A824)&gt;0,"Yes","No")</f>
        <v>No</v>
      </c>
      <c r="L824" t="str">
        <f t="shared" si="201"/>
        <v>Yes</v>
      </c>
      <c r="M824">
        <f t="shared" si="202"/>
        <v>44</v>
      </c>
      <c r="N824" s="5" t="str">
        <f t="shared" si="203"/>
        <v>Yes</v>
      </c>
      <c r="O824" t="str">
        <f>IF(A824=WORKDAY(EOMONTH(A824,0)+1,-1,Bank_Holidays!$A$2:$A$25),"Yes","No")</f>
        <v>Yes</v>
      </c>
      <c r="P824" t="str">
        <f t="shared" si="204"/>
        <v>No</v>
      </c>
      <c r="Q824" t="str">
        <f t="shared" si="205"/>
        <v>No</v>
      </c>
      <c r="R824" s="5">
        <f t="shared" si="207"/>
        <v>1</v>
      </c>
    </row>
    <row r="825" spans="1:18">
      <c r="A825" s="25">
        <f t="shared" si="206"/>
        <v>47058</v>
      </c>
      <c r="B825">
        <f t="shared" si="192"/>
        <v>2028</v>
      </c>
      <c r="C825" s="9">
        <f t="shared" si="193"/>
        <v>11</v>
      </c>
      <c r="D825" s="9" t="str">
        <f t="shared" si="194"/>
        <v>November</v>
      </c>
      <c r="E825" s="9" t="str">
        <f t="shared" si="195"/>
        <v>Nov-28</v>
      </c>
      <c r="F825" s="9" t="str">
        <f t="shared" si="196"/>
        <v>Q4</v>
      </c>
      <c r="G825" s="9">
        <f t="shared" si="197"/>
        <v>1</v>
      </c>
      <c r="H825" s="9">
        <f t="shared" si="198"/>
        <v>3</v>
      </c>
      <c r="I825" s="9" t="str">
        <f t="shared" si="199"/>
        <v>Wednesday</v>
      </c>
      <c r="J825" s="9" t="str">
        <f t="shared" si="200"/>
        <v>No</v>
      </c>
      <c r="K825" s="5" t="str">
        <f>IF(COUNTIF(Bank_Holidays!A:A,A825)&gt;0,"Yes","No")</f>
        <v>No</v>
      </c>
      <c r="L825" t="str">
        <f t="shared" si="201"/>
        <v>Yes</v>
      </c>
      <c r="M825">
        <f t="shared" si="202"/>
        <v>44</v>
      </c>
      <c r="N825" s="5" t="str">
        <f t="shared" si="203"/>
        <v>No</v>
      </c>
      <c r="O825" t="str">
        <f>IF(A825=WORKDAY(EOMONTH(A825,0)+1,-1,Bank_Holidays!$A$2:$A$25),"Yes","No")</f>
        <v>No</v>
      </c>
      <c r="P825" t="str">
        <f t="shared" si="204"/>
        <v>No</v>
      </c>
      <c r="Q825" t="str">
        <f t="shared" si="205"/>
        <v>No</v>
      </c>
      <c r="R825" s="5">
        <f t="shared" si="207"/>
        <v>1</v>
      </c>
    </row>
    <row r="826" spans="1:18">
      <c r="A826" s="25">
        <f t="shared" si="206"/>
        <v>47059</v>
      </c>
      <c r="B826">
        <f t="shared" si="192"/>
        <v>2028</v>
      </c>
      <c r="C826" s="9">
        <f t="shared" si="193"/>
        <v>11</v>
      </c>
      <c r="D826" s="9" t="str">
        <f t="shared" si="194"/>
        <v>November</v>
      </c>
      <c r="E826" s="9" t="str">
        <f t="shared" si="195"/>
        <v>Nov-28</v>
      </c>
      <c r="F826" s="9" t="str">
        <f t="shared" si="196"/>
        <v>Q4</v>
      </c>
      <c r="G826" s="9">
        <f t="shared" si="197"/>
        <v>2</v>
      </c>
      <c r="H826" s="9">
        <f t="shared" si="198"/>
        <v>4</v>
      </c>
      <c r="I826" s="9" t="str">
        <f t="shared" si="199"/>
        <v>Thursday</v>
      </c>
      <c r="J826" s="9" t="str">
        <f t="shared" si="200"/>
        <v>No</v>
      </c>
      <c r="K826" s="5" t="str">
        <f>IF(COUNTIF(Bank_Holidays!A:A,A826)&gt;0,"Yes","No")</f>
        <v>No</v>
      </c>
      <c r="L826" t="str">
        <f t="shared" si="201"/>
        <v>Yes</v>
      </c>
      <c r="M826">
        <f t="shared" si="202"/>
        <v>44</v>
      </c>
      <c r="N826" s="5" t="str">
        <f t="shared" si="203"/>
        <v>No</v>
      </c>
      <c r="O826" t="str">
        <f>IF(A826=WORKDAY(EOMONTH(A826,0)+1,-1,Bank_Holidays!$A$2:$A$25),"Yes","No")</f>
        <v>No</v>
      </c>
      <c r="P826" t="str">
        <f t="shared" si="204"/>
        <v>No</v>
      </c>
      <c r="Q826" t="str">
        <f t="shared" si="205"/>
        <v>No</v>
      </c>
      <c r="R826" s="5">
        <f t="shared" si="207"/>
        <v>1</v>
      </c>
    </row>
    <row r="827" spans="1:18">
      <c r="A827" s="25">
        <f t="shared" si="206"/>
        <v>47060</v>
      </c>
      <c r="B827">
        <f t="shared" si="192"/>
        <v>2028</v>
      </c>
      <c r="C827" s="9">
        <f t="shared" si="193"/>
        <v>11</v>
      </c>
      <c r="D827" s="9" t="str">
        <f t="shared" si="194"/>
        <v>November</v>
      </c>
      <c r="E827" s="9" t="str">
        <f t="shared" si="195"/>
        <v>Nov-28</v>
      </c>
      <c r="F827" s="9" t="str">
        <f t="shared" si="196"/>
        <v>Q4</v>
      </c>
      <c r="G827" s="9">
        <f t="shared" si="197"/>
        <v>3</v>
      </c>
      <c r="H827" s="9">
        <f t="shared" si="198"/>
        <v>5</v>
      </c>
      <c r="I827" s="9" t="str">
        <f t="shared" si="199"/>
        <v>Friday</v>
      </c>
      <c r="J827" s="9" t="str">
        <f t="shared" si="200"/>
        <v>No</v>
      </c>
      <c r="K827" s="5" t="str">
        <f>IF(COUNTIF(Bank_Holidays!A:A,A827)&gt;0,"Yes","No")</f>
        <v>No</v>
      </c>
      <c r="L827" t="str">
        <f t="shared" si="201"/>
        <v>Yes</v>
      </c>
      <c r="M827">
        <f t="shared" si="202"/>
        <v>44</v>
      </c>
      <c r="N827" s="5" t="str">
        <f t="shared" si="203"/>
        <v>No</v>
      </c>
      <c r="O827" t="str">
        <f>IF(A827=WORKDAY(EOMONTH(A827,0)+1,-1,Bank_Holidays!$A$2:$A$25),"Yes","No")</f>
        <v>No</v>
      </c>
      <c r="P827" t="str">
        <f t="shared" si="204"/>
        <v>No</v>
      </c>
      <c r="Q827" t="str">
        <f t="shared" si="205"/>
        <v>No</v>
      </c>
      <c r="R827" s="5">
        <f t="shared" si="207"/>
        <v>3</v>
      </c>
    </row>
    <row r="828" spans="1:18">
      <c r="A828" s="25">
        <f t="shared" si="206"/>
        <v>47061</v>
      </c>
      <c r="B828">
        <f t="shared" si="192"/>
        <v>2028</v>
      </c>
      <c r="C828" s="9">
        <f t="shared" si="193"/>
        <v>11</v>
      </c>
      <c r="D828" s="9" t="str">
        <f t="shared" si="194"/>
        <v>November</v>
      </c>
      <c r="E828" s="9" t="str">
        <f t="shared" si="195"/>
        <v>Nov-28</v>
      </c>
      <c r="F828" s="9" t="str">
        <f t="shared" si="196"/>
        <v>Q4</v>
      </c>
      <c r="G828" s="9">
        <f t="shared" si="197"/>
        <v>4</v>
      </c>
      <c r="H828" s="9">
        <f t="shared" si="198"/>
        <v>6</v>
      </c>
      <c r="I828" s="9" t="str">
        <f t="shared" si="199"/>
        <v>Saturday</v>
      </c>
      <c r="J828" s="9" t="str">
        <f t="shared" si="200"/>
        <v>Yes</v>
      </c>
      <c r="K828" s="5" t="str">
        <f>IF(COUNTIF(Bank_Holidays!A:A,A828)&gt;0,"Yes","No")</f>
        <v>No</v>
      </c>
      <c r="L828" t="str">
        <f t="shared" si="201"/>
        <v>No</v>
      </c>
      <c r="M828">
        <f t="shared" si="202"/>
        <v>44</v>
      </c>
      <c r="N828" s="5" t="str">
        <f t="shared" si="203"/>
        <v>No</v>
      </c>
      <c r="O828" t="str">
        <f>IF(A828=WORKDAY(EOMONTH(A828,0)+1,-1,Bank_Holidays!$A$2:$A$25),"Yes","No")</f>
        <v>No</v>
      </c>
      <c r="P828" t="str">
        <f t="shared" si="204"/>
        <v>No</v>
      </c>
      <c r="Q828" t="str">
        <f t="shared" si="205"/>
        <v>No</v>
      </c>
      <c r="R828" s="5">
        <f t="shared" si="207"/>
        <v>0</v>
      </c>
    </row>
    <row r="829" spans="1:18">
      <c r="A829" s="25">
        <f t="shared" si="206"/>
        <v>47062</v>
      </c>
      <c r="B829">
        <f t="shared" si="192"/>
        <v>2028</v>
      </c>
      <c r="C829" s="9">
        <f t="shared" si="193"/>
        <v>11</v>
      </c>
      <c r="D829" s="9" t="str">
        <f t="shared" si="194"/>
        <v>November</v>
      </c>
      <c r="E829" s="9" t="str">
        <f t="shared" si="195"/>
        <v>Nov-28</v>
      </c>
      <c r="F829" s="9" t="str">
        <f t="shared" si="196"/>
        <v>Q4</v>
      </c>
      <c r="G829" s="9">
        <f t="shared" si="197"/>
        <v>5</v>
      </c>
      <c r="H829" s="9">
        <f t="shared" si="198"/>
        <v>7</v>
      </c>
      <c r="I829" s="9" t="str">
        <f t="shared" si="199"/>
        <v>Sunday</v>
      </c>
      <c r="J829" s="9" t="str">
        <f t="shared" si="200"/>
        <v>Yes</v>
      </c>
      <c r="K829" s="5" t="str">
        <f>IF(COUNTIF(Bank_Holidays!A:A,A829)&gt;0,"Yes","No")</f>
        <v>No</v>
      </c>
      <c r="L829" t="str">
        <f t="shared" si="201"/>
        <v>No</v>
      </c>
      <c r="M829">
        <f t="shared" si="202"/>
        <v>44</v>
      </c>
      <c r="N829" s="5" t="str">
        <f t="shared" si="203"/>
        <v>No</v>
      </c>
      <c r="O829" t="str">
        <f>IF(A829=WORKDAY(EOMONTH(A829,0)+1,-1,Bank_Holidays!$A$2:$A$25),"Yes","No")</f>
        <v>No</v>
      </c>
      <c r="P829" t="str">
        <f t="shared" si="204"/>
        <v>No</v>
      </c>
      <c r="Q829" t="str">
        <f t="shared" si="205"/>
        <v>No</v>
      </c>
      <c r="R829" s="5">
        <f t="shared" si="207"/>
        <v>0</v>
      </c>
    </row>
    <row r="830" spans="1:18">
      <c r="A830" s="25">
        <f t="shared" si="206"/>
        <v>47063</v>
      </c>
      <c r="B830">
        <f t="shared" si="192"/>
        <v>2028</v>
      </c>
      <c r="C830" s="9">
        <f t="shared" si="193"/>
        <v>11</v>
      </c>
      <c r="D830" s="9" t="str">
        <f t="shared" si="194"/>
        <v>November</v>
      </c>
      <c r="E830" s="9" t="str">
        <f t="shared" si="195"/>
        <v>Nov-28</v>
      </c>
      <c r="F830" s="9" t="str">
        <f t="shared" si="196"/>
        <v>Q4</v>
      </c>
      <c r="G830" s="9">
        <f t="shared" si="197"/>
        <v>6</v>
      </c>
      <c r="H830" s="9">
        <f t="shared" si="198"/>
        <v>1</v>
      </c>
      <c r="I830" s="9" t="str">
        <f t="shared" si="199"/>
        <v>Monday</v>
      </c>
      <c r="J830" s="9" t="str">
        <f t="shared" si="200"/>
        <v>No</v>
      </c>
      <c r="K830" s="5" t="str">
        <f>IF(COUNTIF(Bank_Holidays!A:A,A830)&gt;0,"Yes","No")</f>
        <v>No</v>
      </c>
      <c r="L830" t="str">
        <f t="shared" si="201"/>
        <v>Yes</v>
      </c>
      <c r="M830">
        <f t="shared" si="202"/>
        <v>45</v>
      </c>
      <c r="N830" s="5" t="str">
        <f t="shared" si="203"/>
        <v>No</v>
      </c>
      <c r="O830" t="str">
        <f>IF(A830=WORKDAY(EOMONTH(A830,0)+1,-1,Bank_Holidays!$A$2:$A$25),"Yes","No")</f>
        <v>No</v>
      </c>
      <c r="P830" t="str">
        <f t="shared" si="204"/>
        <v>No</v>
      </c>
      <c r="Q830" t="str">
        <f t="shared" si="205"/>
        <v>No</v>
      </c>
      <c r="R830" s="5">
        <f t="shared" si="207"/>
        <v>1</v>
      </c>
    </row>
    <row r="831" spans="1:18">
      <c r="A831" s="25">
        <f t="shared" si="206"/>
        <v>47064</v>
      </c>
      <c r="B831">
        <f t="shared" si="192"/>
        <v>2028</v>
      </c>
      <c r="C831" s="9">
        <f t="shared" si="193"/>
        <v>11</v>
      </c>
      <c r="D831" s="9" t="str">
        <f t="shared" si="194"/>
        <v>November</v>
      </c>
      <c r="E831" s="9" t="str">
        <f t="shared" si="195"/>
        <v>Nov-28</v>
      </c>
      <c r="F831" s="9" t="str">
        <f t="shared" si="196"/>
        <v>Q4</v>
      </c>
      <c r="G831" s="9">
        <f t="shared" si="197"/>
        <v>7</v>
      </c>
      <c r="H831" s="9">
        <f t="shared" si="198"/>
        <v>2</v>
      </c>
      <c r="I831" s="9" t="str">
        <f t="shared" si="199"/>
        <v>Tuesday</v>
      </c>
      <c r="J831" s="9" t="str">
        <f t="shared" si="200"/>
        <v>No</v>
      </c>
      <c r="K831" s="5" t="str">
        <f>IF(COUNTIF(Bank_Holidays!A:A,A831)&gt;0,"Yes","No")</f>
        <v>No</v>
      </c>
      <c r="L831" t="str">
        <f t="shared" si="201"/>
        <v>Yes</v>
      </c>
      <c r="M831">
        <f t="shared" si="202"/>
        <v>45</v>
      </c>
      <c r="N831" s="5" t="str">
        <f t="shared" si="203"/>
        <v>No</v>
      </c>
      <c r="O831" t="str">
        <f>IF(A831=WORKDAY(EOMONTH(A831,0)+1,-1,Bank_Holidays!$A$2:$A$25),"Yes","No")</f>
        <v>No</v>
      </c>
      <c r="P831" t="str">
        <f t="shared" si="204"/>
        <v>No</v>
      </c>
      <c r="Q831" t="str">
        <f t="shared" si="205"/>
        <v>No</v>
      </c>
      <c r="R831" s="5">
        <f t="shared" si="207"/>
        <v>1</v>
      </c>
    </row>
    <row r="832" spans="1:18">
      <c r="A832" s="25">
        <f t="shared" si="206"/>
        <v>47065</v>
      </c>
      <c r="B832">
        <f t="shared" si="192"/>
        <v>2028</v>
      </c>
      <c r="C832" s="9">
        <f t="shared" si="193"/>
        <v>11</v>
      </c>
      <c r="D832" s="9" t="str">
        <f t="shared" si="194"/>
        <v>November</v>
      </c>
      <c r="E832" s="9" t="str">
        <f t="shared" si="195"/>
        <v>Nov-28</v>
      </c>
      <c r="F832" s="9" t="str">
        <f t="shared" si="196"/>
        <v>Q4</v>
      </c>
      <c r="G832" s="9">
        <f t="shared" si="197"/>
        <v>8</v>
      </c>
      <c r="H832" s="9">
        <f t="shared" si="198"/>
        <v>3</v>
      </c>
      <c r="I832" s="9" t="str">
        <f t="shared" si="199"/>
        <v>Wednesday</v>
      </c>
      <c r="J832" s="9" t="str">
        <f t="shared" si="200"/>
        <v>No</v>
      </c>
      <c r="K832" s="5" t="str">
        <f>IF(COUNTIF(Bank_Holidays!A:A,A832)&gt;0,"Yes","No")</f>
        <v>No</v>
      </c>
      <c r="L832" t="str">
        <f t="shared" si="201"/>
        <v>Yes</v>
      </c>
      <c r="M832">
        <f t="shared" si="202"/>
        <v>45</v>
      </c>
      <c r="N832" s="5" t="str">
        <f t="shared" si="203"/>
        <v>No</v>
      </c>
      <c r="O832" t="str">
        <f>IF(A832=WORKDAY(EOMONTH(A832,0)+1,-1,Bank_Holidays!$A$2:$A$25),"Yes","No")</f>
        <v>No</v>
      </c>
      <c r="P832" t="str">
        <f t="shared" si="204"/>
        <v>No</v>
      </c>
      <c r="Q832" t="str">
        <f t="shared" si="205"/>
        <v>No</v>
      </c>
      <c r="R832" s="5">
        <f t="shared" si="207"/>
        <v>1</v>
      </c>
    </row>
    <row r="833" spans="1:18">
      <c r="A833" s="25">
        <f t="shared" si="206"/>
        <v>47066</v>
      </c>
      <c r="B833">
        <f t="shared" si="192"/>
        <v>2028</v>
      </c>
      <c r="C833" s="9">
        <f t="shared" si="193"/>
        <v>11</v>
      </c>
      <c r="D833" s="9" t="str">
        <f t="shared" si="194"/>
        <v>November</v>
      </c>
      <c r="E833" s="9" t="str">
        <f t="shared" si="195"/>
        <v>Nov-28</v>
      </c>
      <c r="F833" s="9" t="str">
        <f t="shared" si="196"/>
        <v>Q4</v>
      </c>
      <c r="G833" s="9">
        <f t="shared" si="197"/>
        <v>9</v>
      </c>
      <c r="H833" s="9">
        <f t="shared" si="198"/>
        <v>4</v>
      </c>
      <c r="I833" s="9" t="str">
        <f t="shared" si="199"/>
        <v>Thursday</v>
      </c>
      <c r="J833" s="9" t="str">
        <f t="shared" si="200"/>
        <v>No</v>
      </c>
      <c r="K833" s="5" t="str">
        <f>IF(COUNTIF(Bank_Holidays!A:A,A833)&gt;0,"Yes","No")</f>
        <v>No</v>
      </c>
      <c r="L833" t="str">
        <f t="shared" si="201"/>
        <v>Yes</v>
      </c>
      <c r="M833">
        <f t="shared" si="202"/>
        <v>45</v>
      </c>
      <c r="N833" s="5" t="str">
        <f t="shared" si="203"/>
        <v>No</v>
      </c>
      <c r="O833" t="str">
        <f>IF(A833=WORKDAY(EOMONTH(A833,0)+1,-1,Bank_Holidays!$A$2:$A$25),"Yes","No")</f>
        <v>No</v>
      </c>
      <c r="P833" t="str">
        <f t="shared" si="204"/>
        <v>No</v>
      </c>
      <c r="Q833" t="str">
        <f t="shared" si="205"/>
        <v>No</v>
      </c>
      <c r="R833" s="5">
        <f t="shared" si="207"/>
        <v>1</v>
      </c>
    </row>
    <row r="834" spans="1:18">
      <c r="A834" s="25">
        <f t="shared" si="206"/>
        <v>47067</v>
      </c>
      <c r="B834">
        <f t="shared" ref="B834:B897" si="208">YEAR(A834)</f>
        <v>2028</v>
      </c>
      <c r="C834" s="9">
        <f t="shared" ref="C834:C897" si="209">MONTH(A834)</f>
        <v>11</v>
      </c>
      <c r="D834" s="9" t="str">
        <f t="shared" ref="D834:D897" si="210">TEXT(A834,"mmmm")</f>
        <v>November</v>
      </c>
      <c r="E834" s="9" t="str">
        <f t="shared" ref="E834:E897" si="211">TEXT(A834,"mmm-yy")</f>
        <v>Nov-28</v>
      </c>
      <c r="F834" s="9" t="str">
        <f t="shared" ref="F834:F897" si="212">"Q"&amp;ROUNDUP(MONTH($A834)/3,0)</f>
        <v>Q4</v>
      </c>
      <c r="G834" s="9">
        <f t="shared" ref="G834:G897" si="213">DAY($A834)</f>
        <v>10</v>
      </c>
      <c r="H834" s="9">
        <f t="shared" ref="H834:H897" si="214">WEEKDAY($A834,2)</f>
        <v>5</v>
      </c>
      <c r="I834" s="9" t="str">
        <f t="shared" ref="I834:I897" si="215">TEXT($A834,"dddd")</f>
        <v>Friday</v>
      </c>
      <c r="J834" s="9" t="str">
        <f t="shared" ref="J834:J897" si="216">IF($H834&gt;5,"Yes","No")</f>
        <v>No</v>
      </c>
      <c r="K834" s="5" t="str">
        <f>IF(COUNTIF(Bank_Holidays!A:A,A834)&gt;0,"Yes","No")</f>
        <v>No</v>
      </c>
      <c r="L834" t="str">
        <f t="shared" ref="L834:L897" si="217">IF(AND(J834="No",K834="No"),"Yes","No")</f>
        <v>Yes</v>
      </c>
      <c r="M834">
        <f t="shared" ref="M834:M897" si="218">_xlfn.ISOWEEKNUM(A834)</f>
        <v>45</v>
      </c>
      <c r="N834" s="5" t="str">
        <f t="shared" ref="N834:N897" si="219">IF(A834=EOMONTH(A834,0),"Yes","No")</f>
        <v>No</v>
      </c>
      <c r="O834" t="str">
        <f>IF(A834=WORKDAY(EOMONTH(A834,0)+1,-1,Bank_Holidays!$A$2:$A$25),"Yes","No")</f>
        <v>No</v>
      </c>
      <c r="P834" t="str">
        <f t="shared" ref="P834:P897" si="220">IF(
AND(
TEXT(A834,"dddd")="Friday",
MONTH(A834+7)&lt;&gt;MONTH(A834)
),
"Yes",
"No"
)</f>
        <v>No</v>
      </c>
      <c r="Q834" t="str">
        <f t="shared" ref="Q834:Q897" si="221">IF(
AND(
TEXT(A834,"dddd")="Thursday",
MONTH(A834+7)&lt;&gt;MONTH(A834)
),
"Yes",
"No"
)</f>
        <v>No</v>
      </c>
      <c r="R834" s="5">
        <f t="shared" si="207"/>
        <v>3</v>
      </c>
    </row>
    <row r="835" spans="1:18">
      <c r="A835" s="25">
        <f t="shared" ref="A835:A898" si="222">A834+1</f>
        <v>47068</v>
      </c>
      <c r="B835">
        <f t="shared" si="208"/>
        <v>2028</v>
      </c>
      <c r="C835" s="9">
        <f t="shared" si="209"/>
        <v>11</v>
      </c>
      <c r="D835" s="9" t="str">
        <f t="shared" si="210"/>
        <v>November</v>
      </c>
      <c r="E835" s="9" t="str">
        <f t="shared" si="211"/>
        <v>Nov-28</v>
      </c>
      <c r="F835" s="9" t="str">
        <f t="shared" si="212"/>
        <v>Q4</v>
      </c>
      <c r="G835" s="9">
        <f t="shared" si="213"/>
        <v>11</v>
      </c>
      <c r="H835" s="9">
        <f t="shared" si="214"/>
        <v>6</v>
      </c>
      <c r="I835" s="9" t="str">
        <f t="shared" si="215"/>
        <v>Saturday</v>
      </c>
      <c r="J835" s="9" t="str">
        <f t="shared" si="216"/>
        <v>Yes</v>
      </c>
      <c r="K835" s="5" t="str">
        <f>IF(COUNTIF(Bank_Holidays!A:A,A835)&gt;0,"Yes","No")</f>
        <v>No</v>
      </c>
      <c r="L835" t="str">
        <f t="shared" si="217"/>
        <v>No</v>
      </c>
      <c r="M835">
        <f t="shared" si="218"/>
        <v>45</v>
      </c>
      <c r="N835" s="5" t="str">
        <f t="shared" si="219"/>
        <v>No</v>
      </c>
      <c r="O835" t="str">
        <f>IF(A835=WORKDAY(EOMONTH(A835,0)+1,-1,Bank_Holidays!$A$2:$A$25),"Yes","No")</f>
        <v>No</v>
      </c>
      <c r="P835" t="str">
        <f t="shared" si="220"/>
        <v>No</v>
      </c>
      <c r="Q835" t="str">
        <f t="shared" si="221"/>
        <v>No</v>
      </c>
      <c r="R835" s="5">
        <f t="shared" ref="R835:R898" si="223">IF(L835="yes",1)+IF(L835="no",0,IF(AND(L840="no",L839="no",L838="no",L837="no",L836="no"),5,IF(AND(L839="no",L838="no",L837="no",L836="no"),4,IF(AND(L838="no",L837="no",L836="no"),3,IF(AND(L837="no",L836="no"),2,IF(L836="no",1))))))</f>
        <v>0</v>
      </c>
    </row>
    <row r="836" spans="1:18">
      <c r="A836" s="25">
        <f t="shared" si="222"/>
        <v>47069</v>
      </c>
      <c r="B836">
        <f t="shared" si="208"/>
        <v>2028</v>
      </c>
      <c r="C836" s="9">
        <f t="shared" si="209"/>
        <v>11</v>
      </c>
      <c r="D836" s="9" t="str">
        <f t="shared" si="210"/>
        <v>November</v>
      </c>
      <c r="E836" s="9" t="str">
        <f t="shared" si="211"/>
        <v>Nov-28</v>
      </c>
      <c r="F836" s="9" t="str">
        <f t="shared" si="212"/>
        <v>Q4</v>
      </c>
      <c r="G836" s="9">
        <f t="shared" si="213"/>
        <v>12</v>
      </c>
      <c r="H836" s="9">
        <f t="shared" si="214"/>
        <v>7</v>
      </c>
      <c r="I836" s="9" t="str">
        <f t="shared" si="215"/>
        <v>Sunday</v>
      </c>
      <c r="J836" s="9" t="str">
        <f t="shared" si="216"/>
        <v>Yes</v>
      </c>
      <c r="K836" s="5" t="str">
        <f>IF(COUNTIF(Bank_Holidays!A:A,A836)&gt;0,"Yes","No")</f>
        <v>No</v>
      </c>
      <c r="L836" t="str">
        <f t="shared" si="217"/>
        <v>No</v>
      </c>
      <c r="M836">
        <f t="shared" si="218"/>
        <v>45</v>
      </c>
      <c r="N836" s="5" t="str">
        <f t="shared" si="219"/>
        <v>No</v>
      </c>
      <c r="O836" t="str">
        <f>IF(A836=WORKDAY(EOMONTH(A836,0)+1,-1,Bank_Holidays!$A$2:$A$25),"Yes","No")</f>
        <v>No</v>
      </c>
      <c r="P836" t="str">
        <f t="shared" si="220"/>
        <v>No</v>
      </c>
      <c r="Q836" t="str">
        <f t="shared" si="221"/>
        <v>No</v>
      </c>
      <c r="R836" s="5">
        <f t="shared" si="223"/>
        <v>0</v>
      </c>
    </row>
    <row r="837" spans="1:18">
      <c r="A837" s="25">
        <f t="shared" si="222"/>
        <v>47070</v>
      </c>
      <c r="B837">
        <f t="shared" si="208"/>
        <v>2028</v>
      </c>
      <c r="C837" s="9">
        <f t="shared" si="209"/>
        <v>11</v>
      </c>
      <c r="D837" s="9" t="str">
        <f t="shared" si="210"/>
        <v>November</v>
      </c>
      <c r="E837" s="9" t="str">
        <f t="shared" si="211"/>
        <v>Nov-28</v>
      </c>
      <c r="F837" s="9" t="str">
        <f t="shared" si="212"/>
        <v>Q4</v>
      </c>
      <c r="G837" s="9">
        <f t="shared" si="213"/>
        <v>13</v>
      </c>
      <c r="H837" s="9">
        <f t="shared" si="214"/>
        <v>1</v>
      </c>
      <c r="I837" s="9" t="str">
        <f t="shared" si="215"/>
        <v>Monday</v>
      </c>
      <c r="J837" s="9" t="str">
        <f t="shared" si="216"/>
        <v>No</v>
      </c>
      <c r="K837" s="5" t="str">
        <f>IF(COUNTIF(Bank_Holidays!A:A,A837)&gt;0,"Yes","No")</f>
        <v>No</v>
      </c>
      <c r="L837" t="str">
        <f t="shared" si="217"/>
        <v>Yes</v>
      </c>
      <c r="M837">
        <f t="shared" si="218"/>
        <v>46</v>
      </c>
      <c r="N837" s="5" t="str">
        <f t="shared" si="219"/>
        <v>No</v>
      </c>
      <c r="O837" t="str">
        <f>IF(A837=WORKDAY(EOMONTH(A837,0)+1,-1,Bank_Holidays!$A$2:$A$25),"Yes","No")</f>
        <v>No</v>
      </c>
      <c r="P837" t="str">
        <f t="shared" si="220"/>
        <v>No</v>
      </c>
      <c r="Q837" t="str">
        <f t="shared" si="221"/>
        <v>No</v>
      </c>
      <c r="R837" s="5">
        <f t="shared" si="223"/>
        <v>1</v>
      </c>
    </row>
    <row r="838" spans="1:18">
      <c r="A838" s="25">
        <f t="shared" si="222"/>
        <v>47071</v>
      </c>
      <c r="B838">
        <f t="shared" si="208"/>
        <v>2028</v>
      </c>
      <c r="C838" s="9">
        <f t="shared" si="209"/>
        <v>11</v>
      </c>
      <c r="D838" s="9" t="str">
        <f t="shared" si="210"/>
        <v>November</v>
      </c>
      <c r="E838" s="9" t="str">
        <f t="shared" si="211"/>
        <v>Nov-28</v>
      </c>
      <c r="F838" s="9" t="str">
        <f t="shared" si="212"/>
        <v>Q4</v>
      </c>
      <c r="G838" s="9">
        <f t="shared" si="213"/>
        <v>14</v>
      </c>
      <c r="H838" s="9">
        <f t="shared" si="214"/>
        <v>2</v>
      </c>
      <c r="I838" s="9" t="str">
        <f t="shared" si="215"/>
        <v>Tuesday</v>
      </c>
      <c r="J838" s="9" t="str">
        <f t="shared" si="216"/>
        <v>No</v>
      </c>
      <c r="K838" s="5" t="str">
        <f>IF(COUNTIF(Bank_Holidays!A:A,A838)&gt;0,"Yes","No")</f>
        <v>No</v>
      </c>
      <c r="L838" t="str">
        <f t="shared" si="217"/>
        <v>Yes</v>
      </c>
      <c r="M838">
        <f t="shared" si="218"/>
        <v>46</v>
      </c>
      <c r="N838" s="5" t="str">
        <f t="shared" si="219"/>
        <v>No</v>
      </c>
      <c r="O838" t="str">
        <f>IF(A838=WORKDAY(EOMONTH(A838,0)+1,-1,Bank_Holidays!$A$2:$A$25),"Yes","No")</f>
        <v>No</v>
      </c>
      <c r="P838" t="str">
        <f t="shared" si="220"/>
        <v>No</v>
      </c>
      <c r="Q838" t="str">
        <f t="shared" si="221"/>
        <v>No</v>
      </c>
      <c r="R838" s="5">
        <f t="shared" si="223"/>
        <v>1</v>
      </c>
    </row>
    <row r="839" spans="1:18">
      <c r="A839" s="25">
        <f t="shared" si="222"/>
        <v>47072</v>
      </c>
      <c r="B839">
        <f t="shared" si="208"/>
        <v>2028</v>
      </c>
      <c r="C839" s="9">
        <f t="shared" si="209"/>
        <v>11</v>
      </c>
      <c r="D839" s="9" t="str">
        <f t="shared" si="210"/>
        <v>November</v>
      </c>
      <c r="E839" s="9" t="str">
        <f t="shared" si="211"/>
        <v>Nov-28</v>
      </c>
      <c r="F839" s="9" t="str">
        <f t="shared" si="212"/>
        <v>Q4</v>
      </c>
      <c r="G839" s="9">
        <f t="shared" si="213"/>
        <v>15</v>
      </c>
      <c r="H839" s="9">
        <f t="shared" si="214"/>
        <v>3</v>
      </c>
      <c r="I839" s="9" t="str">
        <f t="shared" si="215"/>
        <v>Wednesday</v>
      </c>
      <c r="J839" s="9" t="str">
        <f t="shared" si="216"/>
        <v>No</v>
      </c>
      <c r="K839" s="5" t="str">
        <f>IF(COUNTIF(Bank_Holidays!A:A,A839)&gt;0,"Yes","No")</f>
        <v>No</v>
      </c>
      <c r="L839" t="str">
        <f t="shared" si="217"/>
        <v>Yes</v>
      </c>
      <c r="M839">
        <f t="shared" si="218"/>
        <v>46</v>
      </c>
      <c r="N839" s="5" t="str">
        <f t="shared" si="219"/>
        <v>No</v>
      </c>
      <c r="O839" t="str">
        <f>IF(A839=WORKDAY(EOMONTH(A839,0)+1,-1,Bank_Holidays!$A$2:$A$25),"Yes","No")</f>
        <v>No</v>
      </c>
      <c r="P839" t="str">
        <f t="shared" si="220"/>
        <v>No</v>
      </c>
      <c r="Q839" t="str">
        <f t="shared" si="221"/>
        <v>No</v>
      </c>
      <c r="R839" s="5">
        <f t="shared" si="223"/>
        <v>1</v>
      </c>
    </row>
    <row r="840" spans="1:18">
      <c r="A840" s="25">
        <f t="shared" si="222"/>
        <v>47073</v>
      </c>
      <c r="B840">
        <f t="shared" si="208"/>
        <v>2028</v>
      </c>
      <c r="C840" s="9">
        <f t="shared" si="209"/>
        <v>11</v>
      </c>
      <c r="D840" s="9" t="str">
        <f t="shared" si="210"/>
        <v>November</v>
      </c>
      <c r="E840" s="9" t="str">
        <f t="shared" si="211"/>
        <v>Nov-28</v>
      </c>
      <c r="F840" s="9" t="str">
        <f t="shared" si="212"/>
        <v>Q4</v>
      </c>
      <c r="G840" s="9">
        <f t="shared" si="213"/>
        <v>16</v>
      </c>
      <c r="H840" s="9">
        <f t="shared" si="214"/>
        <v>4</v>
      </c>
      <c r="I840" s="9" t="str">
        <f t="shared" si="215"/>
        <v>Thursday</v>
      </c>
      <c r="J840" s="9" t="str">
        <f t="shared" si="216"/>
        <v>No</v>
      </c>
      <c r="K840" s="5" t="str">
        <f>IF(COUNTIF(Bank_Holidays!A:A,A840)&gt;0,"Yes","No")</f>
        <v>No</v>
      </c>
      <c r="L840" t="str">
        <f t="shared" si="217"/>
        <v>Yes</v>
      </c>
      <c r="M840">
        <f t="shared" si="218"/>
        <v>46</v>
      </c>
      <c r="N840" s="5" t="str">
        <f t="shared" si="219"/>
        <v>No</v>
      </c>
      <c r="O840" t="str">
        <f>IF(A840=WORKDAY(EOMONTH(A840,0)+1,-1,Bank_Holidays!$A$2:$A$25),"Yes","No")</f>
        <v>No</v>
      </c>
      <c r="P840" t="str">
        <f t="shared" si="220"/>
        <v>No</v>
      </c>
      <c r="Q840" t="str">
        <f t="shared" si="221"/>
        <v>No</v>
      </c>
      <c r="R840" s="5">
        <f t="shared" si="223"/>
        <v>1</v>
      </c>
    </row>
    <row r="841" spans="1:18">
      <c r="A841" s="25">
        <f t="shared" si="222"/>
        <v>47074</v>
      </c>
      <c r="B841">
        <f t="shared" si="208"/>
        <v>2028</v>
      </c>
      <c r="C841" s="9">
        <f t="shared" si="209"/>
        <v>11</v>
      </c>
      <c r="D841" s="9" t="str">
        <f t="shared" si="210"/>
        <v>November</v>
      </c>
      <c r="E841" s="9" t="str">
        <f t="shared" si="211"/>
        <v>Nov-28</v>
      </c>
      <c r="F841" s="9" t="str">
        <f t="shared" si="212"/>
        <v>Q4</v>
      </c>
      <c r="G841" s="9">
        <f t="shared" si="213"/>
        <v>17</v>
      </c>
      <c r="H841" s="9">
        <f t="shared" si="214"/>
        <v>5</v>
      </c>
      <c r="I841" s="9" t="str">
        <f t="shared" si="215"/>
        <v>Friday</v>
      </c>
      <c r="J841" s="9" t="str">
        <f t="shared" si="216"/>
        <v>No</v>
      </c>
      <c r="K841" s="5" t="str">
        <f>IF(COUNTIF(Bank_Holidays!A:A,A841)&gt;0,"Yes","No")</f>
        <v>No</v>
      </c>
      <c r="L841" t="str">
        <f t="shared" si="217"/>
        <v>Yes</v>
      </c>
      <c r="M841">
        <f t="shared" si="218"/>
        <v>46</v>
      </c>
      <c r="N841" s="5" t="str">
        <f t="shared" si="219"/>
        <v>No</v>
      </c>
      <c r="O841" t="str">
        <f>IF(A841=WORKDAY(EOMONTH(A841,0)+1,-1,Bank_Holidays!$A$2:$A$25),"Yes","No")</f>
        <v>No</v>
      </c>
      <c r="P841" t="str">
        <f t="shared" si="220"/>
        <v>No</v>
      </c>
      <c r="Q841" t="str">
        <f t="shared" si="221"/>
        <v>No</v>
      </c>
      <c r="R841" s="5">
        <f t="shared" si="223"/>
        <v>3</v>
      </c>
    </row>
    <row r="842" spans="1:18">
      <c r="A842" s="25">
        <f t="shared" si="222"/>
        <v>47075</v>
      </c>
      <c r="B842">
        <f t="shared" si="208"/>
        <v>2028</v>
      </c>
      <c r="C842" s="9">
        <f t="shared" si="209"/>
        <v>11</v>
      </c>
      <c r="D842" s="9" t="str">
        <f t="shared" si="210"/>
        <v>November</v>
      </c>
      <c r="E842" s="9" t="str">
        <f t="shared" si="211"/>
        <v>Nov-28</v>
      </c>
      <c r="F842" s="9" t="str">
        <f t="shared" si="212"/>
        <v>Q4</v>
      </c>
      <c r="G842" s="9">
        <f t="shared" si="213"/>
        <v>18</v>
      </c>
      <c r="H842" s="9">
        <f t="shared" si="214"/>
        <v>6</v>
      </c>
      <c r="I842" s="9" t="str">
        <f t="shared" si="215"/>
        <v>Saturday</v>
      </c>
      <c r="J842" s="9" t="str">
        <f t="shared" si="216"/>
        <v>Yes</v>
      </c>
      <c r="K842" s="5" t="str">
        <f>IF(COUNTIF(Bank_Holidays!A:A,A842)&gt;0,"Yes","No")</f>
        <v>No</v>
      </c>
      <c r="L842" t="str">
        <f t="shared" si="217"/>
        <v>No</v>
      </c>
      <c r="M842">
        <f t="shared" si="218"/>
        <v>46</v>
      </c>
      <c r="N842" s="5" t="str">
        <f t="shared" si="219"/>
        <v>No</v>
      </c>
      <c r="O842" t="str">
        <f>IF(A842=WORKDAY(EOMONTH(A842,0)+1,-1,Bank_Holidays!$A$2:$A$25),"Yes","No")</f>
        <v>No</v>
      </c>
      <c r="P842" t="str">
        <f t="shared" si="220"/>
        <v>No</v>
      </c>
      <c r="Q842" t="str">
        <f t="shared" si="221"/>
        <v>No</v>
      </c>
      <c r="R842" s="5">
        <f t="shared" si="223"/>
        <v>0</v>
      </c>
    </row>
    <row r="843" spans="1:18">
      <c r="A843" s="25">
        <f t="shared" si="222"/>
        <v>47076</v>
      </c>
      <c r="B843">
        <f t="shared" si="208"/>
        <v>2028</v>
      </c>
      <c r="C843" s="9">
        <f t="shared" si="209"/>
        <v>11</v>
      </c>
      <c r="D843" s="9" t="str">
        <f t="shared" si="210"/>
        <v>November</v>
      </c>
      <c r="E843" s="9" t="str">
        <f t="shared" si="211"/>
        <v>Nov-28</v>
      </c>
      <c r="F843" s="9" t="str">
        <f t="shared" si="212"/>
        <v>Q4</v>
      </c>
      <c r="G843" s="9">
        <f t="shared" si="213"/>
        <v>19</v>
      </c>
      <c r="H843" s="9">
        <f t="shared" si="214"/>
        <v>7</v>
      </c>
      <c r="I843" s="9" t="str">
        <f t="shared" si="215"/>
        <v>Sunday</v>
      </c>
      <c r="J843" s="9" t="str">
        <f t="shared" si="216"/>
        <v>Yes</v>
      </c>
      <c r="K843" s="5" t="str">
        <f>IF(COUNTIF(Bank_Holidays!A:A,A843)&gt;0,"Yes","No")</f>
        <v>No</v>
      </c>
      <c r="L843" t="str">
        <f t="shared" si="217"/>
        <v>No</v>
      </c>
      <c r="M843">
        <f t="shared" si="218"/>
        <v>46</v>
      </c>
      <c r="N843" s="5" t="str">
        <f t="shared" si="219"/>
        <v>No</v>
      </c>
      <c r="O843" t="str">
        <f>IF(A843=WORKDAY(EOMONTH(A843,0)+1,-1,Bank_Holidays!$A$2:$A$25),"Yes","No")</f>
        <v>No</v>
      </c>
      <c r="P843" t="str">
        <f t="shared" si="220"/>
        <v>No</v>
      </c>
      <c r="Q843" t="str">
        <f t="shared" si="221"/>
        <v>No</v>
      </c>
      <c r="R843" s="5">
        <f t="shared" si="223"/>
        <v>0</v>
      </c>
    </row>
    <row r="844" spans="1:18">
      <c r="A844" s="25">
        <f t="shared" si="222"/>
        <v>47077</v>
      </c>
      <c r="B844">
        <f t="shared" si="208"/>
        <v>2028</v>
      </c>
      <c r="C844" s="9">
        <f t="shared" si="209"/>
        <v>11</v>
      </c>
      <c r="D844" s="9" t="str">
        <f t="shared" si="210"/>
        <v>November</v>
      </c>
      <c r="E844" s="9" t="str">
        <f t="shared" si="211"/>
        <v>Nov-28</v>
      </c>
      <c r="F844" s="9" t="str">
        <f t="shared" si="212"/>
        <v>Q4</v>
      </c>
      <c r="G844" s="9">
        <f t="shared" si="213"/>
        <v>20</v>
      </c>
      <c r="H844" s="9">
        <f t="shared" si="214"/>
        <v>1</v>
      </c>
      <c r="I844" s="9" t="str">
        <f t="shared" si="215"/>
        <v>Monday</v>
      </c>
      <c r="J844" s="9" t="str">
        <f t="shared" si="216"/>
        <v>No</v>
      </c>
      <c r="K844" s="5" t="str">
        <f>IF(COUNTIF(Bank_Holidays!A:A,A844)&gt;0,"Yes","No")</f>
        <v>No</v>
      </c>
      <c r="L844" t="str">
        <f t="shared" si="217"/>
        <v>Yes</v>
      </c>
      <c r="M844">
        <f t="shared" si="218"/>
        <v>47</v>
      </c>
      <c r="N844" s="5" t="str">
        <f t="shared" si="219"/>
        <v>No</v>
      </c>
      <c r="O844" t="str">
        <f>IF(A844=WORKDAY(EOMONTH(A844,0)+1,-1,Bank_Holidays!$A$2:$A$25),"Yes","No")</f>
        <v>No</v>
      </c>
      <c r="P844" t="str">
        <f t="shared" si="220"/>
        <v>No</v>
      </c>
      <c r="Q844" t="str">
        <f t="shared" si="221"/>
        <v>No</v>
      </c>
      <c r="R844" s="5">
        <f t="shared" si="223"/>
        <v>1</v>
      </c>
    </row>
    <row r="845" spans="1:18">
      <c r="A845" s="25">
        <f t="shared" si="222"/>
        <v>47078</v>
      </c>
      <c r="B845">
        <f t="shared" si="208"/>
        <v>2028</v>
      </c>
      <c r="C845" s="9">
        <f t="shared" si="209"/>
        <v>11</v>
      </c>
      <c r="D845" s="9" t="str">
        <f t="shared" si="210"/>
        <v>November</v>
      </c>
      <c r="E845" s="9" t="str">
        <f t="shared" si="211"/>
        <v>Nov-28</v>
      </c>
      <c r="F845" s="9" t="str">
        <f t="shared" si="212"/>
        <v>Q4</v>
      </c>
      <c r="G845" s="9">
        <f t="shared" si="213"/>
        <v>21</v>
      </c>
      <c r="H845" s="9">
        <f t="shared" si="214"/>
        <v>2</v>
      </c>
      <c r="I845" s="9" t="str">
        <f t="shared" si="215"/>
        <v>Tuesday</v>
      </c>
      <c r="J845" s="9" t="str">
        <f t="shared" si="216"/>
        <v>No</v>
      </c>
      <c r="K845" s="5" t="str">
        <f>IF(COUNTIF(Bank_Holidays!A:A,A845)&gt;0,"Yes","No")</f>
        <v>No</v>
      </c>
      <c r="L845" t="str">
        <f t="shared" si="217"/>
        <v>Yes</v>
      </c>
      <c r="M845">
        <f t="shared" si="218"/>
        <v>47</v>
      </c>
      <c r="N845" s="5" t="str">
        <f t="shared" si="219"/>
        <v>No</v>
      </c>
      <c r="O845" t="str">
        <f>IF(A845=WORKDAY(EOMONTH(A845,0)+1,-1,Bank_Holidays!$A$2:$A$25),"Yes","No")</f>
        <v>No</v>
      </c>
      <c r="P845" t="str">
        <f t="shared" si="220"/>
        <v>No</v>
      </c>
      <c r="Q845" t="str">
        <f t="shared" si="221"/>
        <v>No</v>
      </c>
      <c r="R845" s="5">
        <f t="shared" si="223"/>
        <v>1</v>
      </c>
    </row>
    <row r="846" spans="1:18">
      <c r="A846" s="25">
        <f t="shared" si="222"/>
        <v>47079</v>
      </c>
      <c r="B846">
        <f t="shared" si="208"/>
        <v>2028</v>
      </c>
      <c r="C846" s="9">
        <f t="shared" si="209"/>
        <v>11</v>
      </c>
      <c r="D846" s="9" t="str">
        <f t="shared" si="210"/>
        <v>November</v>
      </c>
      <c r="E846" s="9" t="str">
        <f t="shared" si="211"/>
        <v>Nov-28</v>
      </c>
      <c r="F846" s="9" t="str">
        <f t="shared" si="212"/>
        <v>Q4</v>
      </c>
      <c r="G846" s="9">
        <f t="shared" si="213"/>
        <v>22</v>
      </c>
      <c r="H846" s="9">
        <f t="shared" si="214"/>
        <v>3</v>
      </c>
      <c r="I846" s="9" t="str">
        <f t="shared" si="215"/>
        <v>Wednesday</v>
      </c>
      <c r="J846" s="9" t="str">
        <f t="shared" si="216"/>
        <v>No</v>
      </c>
      <c r="K846" s="5" t="str">
        <f>IF(COUNTIF(Bank_Holidays!A:A,A846)&gt;0,"Yes","No")</f>
        <v>No</v>
      </c>
      <c r="L846" t="str">
        <f t="shared" si="217"/>
        <v>Yes</v>
      </c>
      <c r="M846">
        <f t="shared" si="218"/>
        <v>47</v>
      </c>
      <c r="N846" s="5" t="str">
        <f t="shared" si="219"/>
        <v>No</v>
      </c>
      <c r="O846" t="str">
        <f>IF(A846=WORKDAY(EOMONTH(A846,0)+1,-1,Bank_Holidays!$A$2:$A$25),"Yes","No")</f>
        <v>No</v>
      </c>
      <c r="P846" t="str">
        <f t="shared" si="220"/>
        <v>No</v>
      </c>
      <c r="Q846" t="str">
        <f t="shared" si="221"/>
        <v>No</v>
      </c>
      <c r="R846" s="5">
        <f t="shared" si="223"/>
        <v>1</v>
      </c>
    </row>
    <row r="847" spans="1:18">
      <c r="A847" s="25">
        <f t="shared" si="222"/>
        <v>47080</v>
      </c>
      <c r="B847">
        <f t="shared" si="208"/>
        <v>2028</v>
      </c>
      <c r="C847" s="9">
        <f t="shared" si="209"/>
        <v>11</v>
      </c>
      <c r="D847" s="9" t="str">
        <f t="shared" si="210"/>
        <v>November</v>
      </c>
      <c r="E847" s="9" t="str">
        <f t="shared" si="211"/>
        <v>Nov-28</v>
      </c>
      <c r="F847" s="9" t="str">
        <f t="shared" si="212"/>
        <v>Q4</v>
      </c>
      <c r="G847" s="9">
        <f t="shared" si="213"/>
        <v>23</v>
      </c>
      <c r="H847" s="9">
        <f t="shared" si="214"/>
        <v>4</v>
      </c>
      <c r="I847" s="9" t="str">
        <f t="shared" si="215"/>
        <v>Thursday</v>
      </c>
      <c r="J847" s="9" t="str">
        <f t="shared" si="216"/>
        <v>No</v>
      </c>
      <c r="K847" s="5" t="str">
        <f>IF(COUNTIF(Bank_Holidays!A:A,A847)&gt;0,"Yes","No")</f>
        <v>No</v>
      </c>
      <c r="L847" t="str">
        <f t="shared" si="217"/>
        <v>Yes</v>
      </c>
      <c r="M847">
        <f t="shared" si="218"/>
        <v>47</v>
      </c>
      <c r="N847" s="5" t="str">
        <f t="shared" si="219"/>
        <v>No</v>
      </c>
      <c r="O847" t="str">
        <f>IF(A847=WORKDAY(EOMONTH(A847,0)+1,-1,Bank_Holidays!$A$2:$A$25),"Yes","No")</f>
        <v>No</v>
      </c>
      <c r="P847" t="str">
        <f t="shared" si="220"/>
        <v>No</v>
      </c>
      <c r="Q847" t="str">
        <f t="shared" si="221"/>
        <v>No</v>
      </c>
      <c r="R847" s="5">
        <f t="shared" si="223"/>
        <v>1</v>
      </c>
    </row>
    <row r="848" spans="1:18">
      <c r="A848" s="25">
        <f t="shared" si="222"/>
        <v>47081</v>
      </c>
      <c r="B848">
        <f t="shared" si="208"/>
        <v>2028</v>
      </c>
      <c r="C848" s="9">
        <f t="shared" si="209"/>
        <v>11</v>
      </c>
      <c r="D848" s="9" t="str">
        <f t="shared" si="210"/>
        <v>November</v>
      </c>
      <c r="E848" s="9" t="str">
        <f t="shared" si="211"/>
        <v>Nov-28</v>
      </c>
      <c r="F848" s="9" t="str">
        <f t="shared" si="212"/>
        <v>Q4</v>
      </c>
      <c r="G848" s="9">
        <f t="shared" si="213"/>
        <v>24</v>
      </c>
      <c r="H848" s="9">
        <f t="shared" si="214"/>
        <v>5</v>
      </c>
      <c r="I848" s="9" t="str">
        <f t="shared" si="215"/>
        <v>Friday</v>
      </c>
      <c r="J848" s="9" t="str">
        <f t="shared" si="216"/>
        <v>No</v>
      </c>
      <c r="K848" s="5" t="str">
        <f>IF(COUNTIF(Bank_Holidays!A:A,A848)&gt;0,"Yes","No")</f>
        <v>No</v>
      </c>
      <c r="L848" t="str">
        <f t="shared" si="217"/>
        <v>Yes</v>
      </c>
      <c r="M848">
        <f t="shared" si="218"/>
        <v>47</v>
      </c>
      <c r="N848" s="5" t="str">
        <f t="shared" si="219"/>
        <v>No</v>
      </c>
      <c r="O848" t="str">
        <f>IF(A848=WORKDAY(EOMONTH(A848,0)+1,-1,Bank_Holidays!$A$2:$A$25),"Yes","No")</f>
        <v>No</v>
      </c>
      <c r="P848" t="str">
        <f t="shared" si="220"/>
        <v>Yes</v>
      </c>
      <c r="Q848" t="str">
        <f t="shared" si="221"/>
        <v>No</v>
      </c>
      <c r="R848" s="5">
        <f t="shared" si="223"/>
        <v>3</v>
      </c>
    </row>
    <row r="849" spans="1:18">
      <c r="A849" s="25">
        <f t="shared" si="222"/>
        <v>47082</v>
      </c>
      <c r="B849">
        <f t="shared" si="208"/>
        <v>2028</v>
      </c>
      <c r="C849" s="9">
        <f t="shared" si="209"/>
        <v>11</v>
      </c>
      <c r="D849" s="9" t="str">
        <f t="shared" si="210"/>
        <v>November</v>
      </c>
      <c r="E849" s="9" t="str">
        <f t="shared" si="211"/>
        <v>Nov-28</v>
      </c>
      <c r="F849" s="9" t="str">
        <f t="shared" si="212"/>
        <v>Q4</v>
      </c>
      <c r="G849" s="9">
        <f t="shared" si="213"/>
        <v>25</v>
      </c>
      <c r="H849" s="9">
        <f t="shared" si="214"/>
        <v>6</v>
      </c>
      <c r="I849" s="9" t="str">
        <f t="shared" si="215"/>
        <v>Saturday</v>
      </c>
      <c r="J849" s="9" t="str">
        <f t="shared" si="216"/>
        <v>Yes</v>
      </c>
      <c r="K849" s="5" t="str">
        <f>IF(COUNTIF(Bank_Holidays!A:A,A849)&gt;0,"Yes","No")</f>
        <v>No</v>
      </c>
      <c r="L849" t="str">
        <f t="shared" si="217"/>
        <v>No</v>
      </c>
      <c r="M849">
        <f t="shared" si="218"/>
        <v>47</v>
      </c>
      <c r="N849" s="5" t="str">
        <f t="shared" si="219"/>
        <v>No</v>
      </c>
      <c r="O849" t="str">
        <f>IF(A849=WORKDAY(EOMONTH(A849,0)+1,-1,Bank_Holidays!$A$2:$A$25),"Yes","No")</f>
        <v>No</v>
      </c>
      <c r="P849" t="str">
        <f t="shared" si="220"/>
        <v>No</v>
      </c>
      <c r="Q849" t="str">
        <f t="shared" si="221"/>
        <v>No</v>
      </c>
      <c r="R849" s="5">
        <f t="shared" si="223"/>
        <v>0</v>
      </c>
    </row>
    <row r="850" spans="1:18">
      <c r="A850" s="25">
        <f t="shared" si="222"/>
        <v>47083</v>
      </c>
      <c r="B850">
        <f t="shared" si="208"/>
        <v>2028</v>
      </c>
      <c r="C850" s="9">
        <f t="shared" si="209"/>
        <v>11</v>
      </c>
      <c r="D850" s="9" t="str">
        <f t="shared" si="210"/>
        <v>November</v>
      </c>
      <c r="E850" s="9" t="str">
        <f t="shared" si="211"/>
        <v>Nov-28</v>
      </c>
      <c r="F850" s="9" t="str">
        <f t="shared" si="212"/>
        <v>Q4</v>
      </c>
      <c r="G850" s="9">
        <f t="shared" si="213"/>
        <v>26</v>
      </c>
      <c r="H850" s="9">
        <f t="shared" si="214"/>
        <v>7</v>
      </c>
      <c r="I850" s="9" t="str">
        <f t="shared" si="215"/>
        <v>Sunday</v>
      </c>
      <c r="J850" s="9" t="str">
        <f t="shared" si="216"/>
        <v>Yes</v>
      </c>
      <c r="K850" s="5" t="str">
        <f>IF(COUNTIF(Bank_Holidays!A:A,A850)&gt;0,"Yes","No")</f>
        <v>No</v>
      </c>
      <c r="L850" t="str">
        <f t="shared" si="217"/>
        <v>No</v>
      </c>
      <c r="M850">
        <f t="shared" si="218"/>
        <v>47</v>
      </c>
      <c r="N850" s="5" t="str">
        <f t="shared" si="219"/>
        <v>No</v>
      </c>
      <c r="O850" t="str">
        <f>IF(A850=WORKDAY(EOMONTH(A850,0)+1,-1,Bank_Holidays!$A$2:$A$25),"Yes","No")</f>
        <v>No</v>
      </c>
      <c r="P850" t="str">
        <f t="shared" si="220"/>
        <v>No</v>
      </c>
      <c r="Q850" t="str">
        <f t="shared" si="221"/>
        <v>No</v>
      </c>
      <c r="R850" s="5">
        <f t="shared" si="223"/>
        <v>0</v>
      </c>
    </row>
    <row r="851" spans="1:18">
      <c r="A851" s="25">
        <f t="shared" si="222"/>
        <v>47084</v>
      </c>
      <c r="B851">
        <f t="shared" si="208"/>
        <v>2028</v>
      </c>
      <c r="C851" s="9">
        <f t="shared" si="209"/>
        <v>11</v>
      </c>
      <c r="D851" s="9" t="str">
        <f t="shared" si="210"/>
        <v>November</v>
      </c>
      <c r="E851" s="9" t="str">
        <f t="shared" si="211"/>
        <v>Nov-28</v>
      </c>
      <c r="F851" s="9" t="str">
        <f t="shared" si="212"/>
        <v>Q4</v>
      </c>
      <c r="G851" s="9">
        <f t="shared" si="213"/>
        <v>27</v>
      </c>
      <c r="H851" s="9">
        <f t="shared" si="214"/>
        <v>1</v>
      </c>
      <c r="I851" s="9" t="str">
        <f t="shared" si="215"/>
        <v>Monday</v>
      </c>
      <c r="J851" s="9" t="str">
        <f t="shared" si="216"/>
        <v>No</v>
      </c>
      <c r="K851" s="5" t="str">
        <f>IF(COUNTIF(Bank_Holidays!A:A,A851)&gt;0,"Yes","No")</f>
        <v>No</v>
      </c>
      <c r="L851" t="str">
        <f t="shared" si="217"/>
        <v>Yes</v>
      </c>
      <c r="M851">
        <f t="shared" si="218"/>
        <v>48</v>
      </c>
      <c r="N851" s="5" t="str">
        <f t="shared" si="219"/>
        <v>No</v>
      </c>
      <c r="O851" t="str">
        <f>IF(A851=WORKDAY(EOMONTH(A851,0)+1,-1,Bank_Holidays!$A$2:$A$25),"Yes","No")</f>
        <v>No</v>
      </c>
      <c r="P851" t="str">
        <f t="shared" si="220"/>
        <v>No</v>
      </c>
      <c r="Q851" t="str">
        <f t="shared" si="221"/>
        <v>No</v>
      </c>
      <c r="R851" s="5">
        <f t="shared" si="223"/>
        <v>1</v>
      </c>
    </row>
    <row r="852" spans="1:18">
      <c r="A852" s="25">
        <f t="shared" si="222"/>
        <v>47085</v>
      </c>
      <c r="B852">
        <f t="shared" si="208"/>
        <v>2028</v>
      </c>
      <c r="C852" s="9">
        <f t="shared" si="209"/>
        <v>11</v>
      </c>
      <c r="D852" s="9" t="str">
        <f t="shared" si="210"/>
        <v>November</v>
      </c>
      <c r="E852" s="9" t="str">
        <f t="shared" si="211"/>
        <v>Nov-28</v>
      </c>
      <c r="F852" s="9" t="str">
        <f t="shared" si="212"/>
        <v>Q4</v>
      </c>
      <c r="G852" s="9">
        <f t="shared" si="213"/>
        <v>28</v>
      </c>
      <c r="H852" s="9">
        <f t="shared" si="214"/>
        <v>2</v>
      </c>
      <c r="I852" s="9" t="str">
        <f t="shared" si="215"/>
        <v>Tuesday</v>
      </c>
      <c r="J852" s="9" t="str">
        <f t="shared" si="216"/>
        <v>No</v>
      </c>
      <c r="K852" s="5" t="str">
        <f>IF(COUNTIF(Bank_Holidays!A:A,A852)&gt;0,"Yes","No")</f>
        <v>No</v>
      </c>
      <c r="L852" t="str">
        <f t="shared" si="217"/>
        <v>Yes</v>
      </c>
      <c r="M852">
        <f t="shared" si="218"/>
        <v>48</v>
      </c>
      <c r="N852" s="5" t="str">
        <f t="shared" si="219"/>
        <v>No</v>
      </c>
      <c r="O852" t="str">
        <f>IF(A852=WORKDAY(EOMONTH(A852,0)+1,-1,Bank_Holidays!$A$2:$A$25),"Yes","No")</f>
        <v>No</v>
      </c>
      <c r="P852" t="str">
        <f t="shared" si="220"/>
        <v>No</v>
      </c>
      <c r="Q852" t="str">
        <f t="shared" si="221"/>
        <v>No</v>
      </c>
      <c r="R852" s="5">
        <f t="shared" si="223"/>
        <v>1</v>
      </c>
    </row>
    <row r="853" spans="1:18">
      <c r="A853" s="25">
        <f t="shared" si="222"/>
        <v>47086</v>
      </c>
      <c r="B853">
        <f t="shared" si="208"/>
        <v>2028</v>
      </c>
      <c r="C853" s="9">
        <f t="shared" si="209"/>
        <v>11</v>
      </c>
      <c r="D853" s="9" t="str">
        <f t="shared" si="210"/>
        <v>November</v>
      </c>
      <c r="E853" s="9" t="str">
        <f t="shared" si="211"/>
        <v>Nov-28</v>
      </c>
      <c r="F853" s="9" t="str">
        <f t="shared" si="212"/>
        <v>Q4</v>
      </c>
      <c r="G853" s="9">
        <f t="shared" si="213"/>
        <v>29</v>
      </c>
      <c r="H853" s="9">
        <f t="shared" si="214"/>
        <v>3</v>
      </c>
      <c r="I853" s="9" t="str">
        <f t="shared" si="215"/>
        <v>Wednesday</v>
      </c>
      <c r="J853" s="9" t="str">
        <f t="shared" si="216"/>
        <v>No</v>
      </c>
      <c r="K853" s="5" t="str">
        <f>IF(COUNTIF(Bank_Holidays!A:A,A853)&gt;0,"Yes","No")</f>
        <v>No</v>
      </c>
      <c r="L853" t="str">
        <f t="shared" si="217"/>
        <v>Yes</v>
      </c>
      <c r="M853">
        <f t="shared" si="218"/>
        <v>48</v>
      </c>
      <c r="N853" s="5" t="str">
        <f t="shared" si="219"/>
        <v>No</v>
      </c>
      <c r="O853" t="str">
        <f>IF(A853=WORKDAY(EOMONTH(A853,0)+1,-1,Bank_Holidays!$A$2:$A$25),"Yes","No")</f>
        <v>No</v>
      </c>
      <c r="P853" t="str">
        <f t="shared" si="220"/>
        <v>No</v>
      </c>
      <c r="Q853" t="str">
        <f t="shared" si="221"/>
        <v>No</v>
      </c>
      <c r="R853" s="5">
        <f t="shared" si="223"/>
        <v>1</v>
      </c>
    </row>
    <row r="854" spans="1:18">
      <c r="A854" s="25">
        <f t="shared" si="222"/>
        <v>47087</v>
      </c>
      <c r="B854">
        <f t="shared" si="208"/>
        <v>2028</v>
      </c>
      <c r="C854" s="9">
        <f t="shared" si="209"/>
        <v>11</v>
      </c>
      <c r="D854" s="9" t="str">
        <f t="shared" si="210"/>
        <v>November</v>
      </c>
      <c r="E854" s="9" t="str">
        <f t="shared" si="211"/>
        <v>Nov-28</v>
      </c>
      <c r="F854" s="9" t="str">
        <f t="shared" si="212"/>
        <v>Q4</v>
      </c>
      <c r="G854" s="9">
        <f t="shared" si="213"/>
        <v>30</v>
      </c>
      <c r="H854" s="9">
        <f t="shared" si="214"/>
        <v>4</v>
      </c>
      <c r="I854" s="9" t="str">
        <f t="shared" si="215"/>
        <v>Thursday</v>
      </c>
      <c r="J854" s="9" t="str">
        <f t="shared" si="216"/>
        <v>No</v>
      </c>
      <c r="K854" s="5" t="str">
        <f>IF(COUNTIF(Bank_Holidays!A:A,A854)&gt;0,"Yes","No")</f>
        <v>No</v>
      </c>
      <c r="L854" t="str">
        <f t="shared" si="217"/>
        <v>Yes</v>
      </c>
      <c r="M854">
        <f t="shared" si="218"/>
        <v>48</v>
      </c>
      <c r="N854" s="5" t="str">
        <f t="shared" si="219"/>
        <v>Yes</v>
      </c>
      <c r="O854" t="str">
        <f>IF(A854=WORKDAY(EOMONTH(A854,0)+1,-1,Bank_Holidays!$A$2:$A$25),"Yes","No")</f>
        <v>Yes</v>
      </c>
      <c r="P854" t="str">
        <f t="shared" si="220"/>
        <v>No</v>
      </c>
      <c r="Q854" t="str">
        <f t="shared" si="221"/>
        <v>Yes</v>
      </c>
      <c r="R854" s="5">
        <f t="shared" si="223"/>
        <v>1</v>
      </c>
    </row>
    <row r="855" spans="1:18">
      <c r="A855" s="25">
        <f t="shared" si="222"/>
        <v>47088</v>
      </c>
      <c r="B855">
        <f t="shared" si="208"/>
        <v>2028</v>
      </c>
      <c r="C855" s="9">
        <f t="shared" si="209"/>
        <v>12</v>
      </c>
      <c r="D855" s="9" t="str">
        <f t="shared" si="210"/>
        <v>December</v>
      </c>
      <c r="E855" s="9" t="str">
        <f t="shared" si="211"/>
        <v>Dec-28</v>
      </c>
      <c r="F855" s="9" t="str">
        <f t="shared" si="212"/>
        <v>Q4</v>
      </c>
      <c r="G855" s="9">
        <f t="shared" si="213"/>
        <v>1</v>
      </c>
      <c r="H855" s="9">
        <f t="shared" si="214"/>
        <v>5</v>
      </c>
      <c r="I855" s="9" t="str">
        <f t="shared" si="215"/>
        <v>Friday</v>
      </c>
      <c r="J855" s="9" t="str">
        <f t="shared" si="216"/>
        <v>No</v>
      </c>
      <c r="K855" s="5" t="str">
        <f>IF(COUNTIF(Bank_Holidays!A:A,A855)&gt;0,"Yes","No")</f>
        <v>No</v>
      </c>
      <c r="L855" t="str">
        <f t="shared" si="217"/>
        <v>Yes</v>
      </c>
      <c r="M855">
        <f t="shared" si="218"/>
        <v>48</v>
      </c>
      <c r="N855" s="5" t="str">
        <f t="shared" si="219"/>
        <v>No</v>
      </c>
      <c r="O855" t="str">
        <f>IF(A855=WORKDAY(EOMONTH(A855,0)+1,-1,Bank_Holidays!$A$2:$A$25),"Yes","No")</f>
        <v>No</v>
      </c>
      <c r="P855" t="str">
        <f t="shared" si="220"/>
        <v>No</v>
      </c>
      <c r="Q855" t="str">
        <f t="shared" si="221"/>
        <v>No</v>
      </c>
      <c r="R855" s="5">
        <f t="shared" si="223"/>
        <v>3</v>
      </c>
    </row>
    <row r="856" spans="1:18">
      <c r="A856" s="25">
        <f t="shared" si="222"/>
        <v>47089</v>
      </c>
      <c r="B856">
        <f t="shared" si="208"/>
        <v>2028</v>
      </c>
      <c r="C856" s="9">
        <f t="shared" si="209"/>
        <v>12</v>
      </c>
      <c r="D856" s="9" t="str">
        <f t="shared" si="210"/>
        <v>December</v>
      </c>
      <c r="E856" s="9" t="str">
        <f t="shared" si="211"/>
        <v>Dec-28</v>
      </c>
      <c r="F856" s="9" t="str">
        <f t="shared" si="212"/>
        <v>Q4</v>
      </c>
      <c r="G856" s="9">
        <f t="shared" si="213"/>
        <v>2</v>
      </c>
      <c r="H856" s="9">
        <f t="shared" si="214"/>
        <v>6</v>
      </c>
      <c r="I856" s="9" t="str">
        <f t="shared" si="215"/>
        <v>Saturday</v>
      </c>
      <c r="J856" s="9" t="str">
        <f t="shared" si="216"/>
        <v>Yes</v>
      </c>
      <c r="K856" s="5" t="str">
        <f>IF(COUNTIF(Bank_Holidays!A:A,A856)&gt;0,"Yes","No")</f>
        <v>No</v>
      </c>
      <c r="L856" t="str">
        <f t="shared" si="217"/>
        <v>No</v>
      </c>
      <c r="M856">
        <f t="shared" si="218"/>
        <v>48</v>
      </c>
      <c r="N856" s="5" t="str">
        <f t="shared" si="219"/>
        <v>No</v>
      </c>
      <c r="O856" t="str">
        <f>IF(A856=WORKDAY(EOMONTH(A856,0)+1,-1,Bank_Holidays!$A$2:$A$25),"Yes","No")</f>
        <v>No</v>
      </c>
      <c r="P856" t="str">
        <f t="shared" si="220"/>
        <v>No</v>
      </c>
      <c r="Q856" t="str">
        <f t="shared" si="221"/>
        <v>No</v>
      </c>
      <c r="R856" s="5">
        <f t="shared" si="223"/>
        <v>0</v>
      </c>
    </row>
    <row r="857" spans="1:18">
      <c r="A857" s="25">
        <f t="shared" si="222"/>
        <v>47090</v>
      </c>
      <c r="B857">
        <f t="shared" si="208"/>
        <v>2028</v>
      </c>
      <c r="C857" s="9">
        <f t="shared" si="209"/>
        <v>12</v>
      </c>
      <c r="D857" s="9" t="str">
        <f t="shared" si="210"/>
        <v>December</v>
      </c>
      <c r="E857" s="9" t="str">
        <f t="shared" si="211"/>
        <v>Dec-28</v>
      </c>
      <c r="F857" s="9" t="str">
        <f t="shared" si="212"/>
        <v>Q4</v>
      </c>
      <c r="G857" s="9">
        <f t="shared" si="213"/>
        <v>3</v>
      </c>
      <c r="H857" s="9">
        <f t="shared" si="214"/>
        <v>7</v>
      </c>
      <c r="I857" s="9" t="str">
        <f t="shared" si="215"/>
        <v>Sunday</v>
      </c>
      <c r="J857" s="9" t="str">
        <f t="shared" si="216"/>
        <v>Yes</v>
      </c>
      <c r="K857" s="5" t="str">
        <f>IF(COUNTIF(Bank_Holidays!A:A,A857)&gt;0,"Yes","No")</f>
        <v>No</v>
      </c>
      <c r="L857" t="str">
        <f t="shared" si="217"/>
        <v>No</v>
      </c>
      <c r="M857">
        <f t="shared" si="218"/>
        <v>48</v>
      </c>
      <c r="N857" s="5" t="str">
        <f t="shared" si="219"/>
        <v>No</v>
      </c>
      <c r="O857" t="str">
        <f>IF(A857=WORKDAY(EOMONTH(A857,0)+1,-1,Bank_Holidays!$A$2:$A$25),"Yes","No")</f>
        <v>No</v>
      </c>
      <c r="P857" t="str">
        <f t="shared" si="220"/>
        <v>No</v>
      </c>
      <c r="Q857" t="str">
        <f t="shared" si="221"/>
        <v>No</v>
      </c>
      <c r="R857" s="5">
        <f t="shared" si="223"/>
        <v>0</v>
      </c>
    </row>
    <row r="858" spans="1:18">
      <c r="A858" s="25">
        <f t="shared" si="222"/>
        <v>47091</v>
      </c>
      <c r="B858">
        <f t="shared" si="208"/>
        <v>2028</v>
      </c>
      <c r="C858" s="9">
        <f t="shared" si="209"/>
        <v>12</v>
      </c>
      <c r="D858" s="9" t="str">
        <f t="shared" si="210"/>
        <v>December</v>
      </c>
      <c r="E858" s="9" t="str">
        <f t="shared" si="211"/>
        <v>Dec-28</v>
      </c>
      <c r="F858" s="9" t="str">
        <f t="shared" si="212"/>
        <v>Q4</v>
      </c>
      <c r="G858" s="9">
        <f t="shared" si="213"/>
        <v>4</v>
      </c>
      <c r="H858" s="9">
        <f t="shared" si="214"/>
        <v>1</v>
      </c>
      <c r="I858" s="9" t="str">
        <f t="shared" si="215"/>
        <v>Monday</v>
      </c>
      <c r="J858" s="9" t="str">
        <f t="shared" si="216"/>
        <v>No</v>
      </c>
      <c r="K858" s="5" t="str">
        <f>IF(COUNTIF(Bank_Holidays!A:A,A858)&gt;0,"Yes","No")</f>
        <v>No</v>
      </c>
      <c r="L858" t="str">
        <f t="shared" si="217"/>
        <v>Yes</v>
      </c>
      <c r="M858">
        <f t="shared" si="218"/>
        <v>49</v>
      </c>
      <c r="N858" s="5" t="str">
        <f t="shared" si="219"/>
        <v>No</v>
      </c>
      <c r="O858" t="str">
        <f>IF(A858=WORKDAY(EOMONTH(A858,0)+1,-1,Bank_Holidays!$A$2:$A$25),"Yes","No")</f>
        <v>No</v>
      </c>
      <c r="P858" t="str">
        <f t="shared" si="220"/>
        <v>No</v>
      </c>
      <c r="Q858" t="str">
        <f t="shared" si="221"/>
        <v>No</v>
      </c>
      <c r="R858" s="5">
        <f t="shared" si="223"/>
        <v>1</v>
      </c>
    </row>
    <row r="859" spans="1:18">
      <c r="A859" s="25">
        <f t="shared" si="222"/>
        <v>47092</v>
      </c>
      <c r="B859">
        <f t="shared" si="208"/>
        <v>2028</v>
      </c>
      <c r="C859" s="9">
        <f t="shared" si="209"/>
        <v>12</v>
      </c>
      <c r="D859" s="9" t="str">
        <f t="shared" si="210"/>
        <v>December</v>
      </c>
      <c r="E859" s="9" t="str">
        <f t="shared" si="211"/>
        <v>Dec-28</v>
      </c>
      <c r="F859" s="9" t="str">
        <f t="shared" si="212"/>
        <v>Q4</v>
      </c>
      <c r="G859" s="9">
        <f t="shared" si="213"/>
        <v>5</v>
      </c>
      <c r="H859" s="9">
        <f t="shared" si="214"/>
        <v>2</v>
      </c>
      <c r="I859" s="9" t="str">
        <f t="shared" si="215"/>
        <v>Tuesday</v>
      </c>
      <c r="J859" s="9" t="str">
        <f t="shared" si="216"/>
        <v>No</v>
      </c>
      <c r="K859" s="5" t="str">
        <f>IF(COUNTIF(Bank_Holidays!A:A,A859)&gt;0,"Yes","No")</f>
        <v>No</v>
      </c>
      <c r="L859" t="str">
        <f t="shared" si="217"/>
        <v>Yes</v>
      </c>
      <c r="M859">
        <f t="shared" si="218"/>
        <v>49</v>
      </c>
      <c r="N859" s="5" t="str">
        <f t="shared" si="219"/>
        <v>No</v>
      </c>
      <c r="O859" t="str">
        <f>IF(A859=WORKDAY(EOMONTH(A859,0)+1,-1,Bank_Holidays!$A$2:$A$25),"Yes","No")</f>
        <v>No</v>
      </c>
      <c r="P859" t="str">
        <f t="shared" si="220"/>
        <v>No</v>
      </c>
      <c r="Q859" t="str">
        <f t="shared" si="221"/>
        <v>No</v>
      </c>
      <c r="R859" s="5">
        <f t="shared" si="223"/>
        <v>1</v>
      </c>
    </row>
    <row r="860" spans="1:18">
      <c r="A860" s="25">
        <f t="shared" si="222"/>
        <v>47093</v>
      </c>
      <c r="B860">
        <f t="shared" si="208"/>
        <v>2028</v>
      </c>
      <c r="C860" s="9">
        <f t="shared" si="209"/>
        <v>12</v>
      </c>
      <c r="D860" s="9" t="str">
        <f t="shared" si="210"/>
        <v>December</v>
      </c>
      <c r="E860" s="9" t="str">
        <f t="shared" si="211"/>
        <v>Dec-28</v>
      </c>
      <c r="F860" s="9" t="str">
        <f t="shared" si="212"/>
        <v>Q4</v>
      </c>
      <c r="G860" s="9">
        <f t="shared" si="213"/>
        <v>6</v>
      </c>
      <c r="H860" s="9">
        <f t="shared" si="214"/>
        <v>3</v>
      </c>
      <c r="I860" s="9" t="str">
        <f t="shared" si="215"/>
        <v>Wednesday</v>
      </c>
      <c r="J860" s="9" t="str">
        <f t="shared" si="216"/>
        <v>No</v>
      </c>
      <c r="K860" s="5" t="str">
        <f>IF(COUNTIF(Bank_Holidays!A:A,A860)&gt;0,"Yes","No")</f>
        <v>No</v>
      </c>
      <c r="L860" t="str">
        <f t="shared" si="217"/>
        <v>Yes</v>
      </c>
      <c r="M860">
        <f t="shared" si="218"/>
        <v>49</v>
      </c>
      <c r="N860" s="5" t="str">
        <f t="shared" si="219"/>
        <v>No</v>
      </c>
      <c r="O860" t="str">
        <f>IF(A860=WORKDAY(EOMONTH(A860,0)+1,-1,Bank_Holidays!$A$2:$A$25),"Yes","No")</f>
        <v>No</v>
      </c>
      <c r="P860" t="str">
        <f t="shared" si="220"/>
        <v>No</v>
      </c>
      <c r="Q860" t="str">
        <f t="shared" si="221"/>
        <v>No</v>
      </c>
      <c r="R860" s="5">
        <f t="shared" si="223"/>
        <v>1</v>
      </c>
    </row>
    <row r="861" spans="1:18">
      <c r="A861" s="25">
        <f t="shared" si="222"/>
        <v>47094</v>
      </c>
      <c r="B861">
        <f t="shared" si="208"/>
        <v>2028</v>
      </c>
      <c r="C861" s="9">
        <f t="shared" si="209"/>
        <v>12</v>
      </c>
      <c r="D861" s="9" t="str">
        <f t="shared" si="210"/>
        <v>December</v>
      </c>
      <c r="E861" s="9" t="str">
        <f t="shared" si="211"/>
        <v>Dec-28</v>
      </c>
      <c r="F861" s="9" t="str">
        <f t="shared" si="212"/>
        <v>Q4</v>
      </c>
      <c r="G861" s="9">
        <f t="shared" si="213"/>
        <v>7</v>
      </c>
      <c r="H861" s="9">
        <f t="shared" si="214"/>
        <v>4</v>
      </c>
      <c r="I861" s="9" t="str">
        <f t="shared" si="215"/>
        <v>Thursday</v>
      </c>
      <c r="J861" s="9" t="str">
        <f t="shared" si="216"/>
        <v>No</v>
      </c>
      <c r="K861" s="5" t="str">
        <f>IF(COUNTIF(Bank_Holidays!A:A,A861)&gt;0,"Yes","No")</f>
        <v>No</v>
      </c>
      <c r="L861" t="str">
        <f t="shared" si="217"/>
        <v>Yes</v>
      </c>
      <c r="M861">
        <f t="shared" si="218"/>
        <v>49</v>
      </c>
      <c r="N861" s="5" t="str">
        <f t="shared" si="219"/>
        <v>No</v>
      </c>
      <c r="O861" t="str">
        <f>IF(A861=WORKDAY(EOMONTH(A861,0)+1,-1,Bank_Holidays!$A$2:$A$25),"Yes","No")</f>
        <v>No</v>
      </c>
      <c r="P861" t="str">
        <f t="shared" si="220"/>
        <v>No</v>
      </c>
      <c r="Q861" t="str">
        <f t="shared" si="221"/>
        <v>No</v>
      </c>
      <c r="R861" s="5">
        <f t="shared" si="223"/>
        <v>1</v>
      </c>
    </row>
    <row r="862" spans="1:18">
      <c r="A862" s="25">
        <f t="shared" si="222"/>
        <v>47095</v>
      </c>
      <c r="B862">
        <f t="shared" si="208"/>
        <v>2028</v>
      </c>
      <c r="C862" s="9">
        <f t="shared" si="209"/>
        <v>12</v>
      </c>
      <c r="D862" s="9" t="str">
        <f t="shared" si="210"/>
        <v>December</v>
      </c>
      <c r="E862" s="9" t="str">
        <f t="shared" si="211"/>
        <v>Dec-28</v>
      </c>
      <c r="F862" s="9" t="str">
        <f t="shared" si="212"/>
        <v>Q4</v>
      </c>
      <c r="G862" s="9">
        <f t="shared" si="213"/>
        <v>8</v>
      </c>
      <c r="H862" s="9">
        <f t="shared" si="214"/>
        <v>5</v>
      </c>
      <c r="I862" s="9" t="str">
        <f t="shared" si="215"/>
        <v>Friday</v>
      </c>
      <c r="J862" s="9" t="str">
        <f t="shared" si="216"/>
        <v>No</v>
      </c>
      <c r="K862" s="5" t="str">
        <f>IF(COUNTIF(Bank_Holidays!A:A,A862)&gt;0,"Yes","No")</f>
        <v>No</v>
      </c>
      <c r="L862" t="str">
        <f t="shared" si="217"/>
        <v>Yes</v>
      </c>
      <c r="M862">
        <f t="shared" si="218"/>
        <v>49</v>
      </c>
      <c r="N862" s="5" t="str">
        <f t="shared" si="219"/>
        <v>No</v>
      </c>
      <c r="O862" t="str">
        <f>IF(A862=WORKDAY(EOMONTH(A862,0)+1,-1,Bank_Holidays!$A$2:$A$25),"Yes","No")</f>
        <v>No</v>
      </c>
      <c r="P862" t="str">
        <f t="shared" si="220"/>
        <v>No</v>
      </c>
      <c r="Q862" t="str">
        <f t="shared" si="221"/>
        <v>No</v>
      </c>
      <c r="R862" s="5">
        <f t="shared" si="223"/>
        <v>3</v>
      </c>
    </row>
    <row r="863" spans="1:18">
      <c r="A863" s="25">
        <f t="shared" si="222"/>
        <v>47096</v>
      </c>
      <c r="B863">
        <f t="shared" si="208"/>
        <v>2028</v>
      </c>
      <c r="C863" s="9">
        <f t="shared" si="209"/>
        <v>12</v>
      </c>
      <c r="D863" s="9" t="str">
        <f t="shared" si="210"/>
        <v>December</v>
      </c>
      <c r="E863" s="9" t="str">
        <f t="shared" si="211"/>
        <v>Dec-28</v>
      </c>
      <c r="F863" s="9" t="str">
        <f t="shared" si="212"/>
        <v>Q4</v>
      </c>
      <c r="G863" s="9">
        <f t="shared" si="213"/>
        <v>9</v>
      </c>
      <c r="H863" s="9">
        <f t="shared" si="214"/>
        <v>6</v>
      </c>
      <c r="I863" s="9" t="str">
        <f t="shared" si="215"/>
        <v>Saturday</v>
      </c>
      <c r="J863" s="9" t="str">
        <f t="shared" si="216"/>
        <v>Yes</v>
      </c>
      <c r="K863" s="5" t="str">
        <f>IF(COUNTIF(Bank_Holidays!A:A,A863)&gt;0,"Yes","No")</f>
        <v>No</v>
      </c>
      <c r="L863" t="str">
        <f t="shared" si="217"/>
        <v>No</v>
      </c>
      <c r="M863">
        <f t="shared" si="218"/>
        <v>49</v>
      </c>
      <c r="N863" s="5" t="str">
        <f t="shared" si="219"/>
        <v>No</v>
      </c>
      <c r="O863" t="str">
        <f>IF(A863=WORKDAY(EOMONTH(A863,0)+1,-1,Bank_Holidays!$A$2:$A$25),"Yes","No")</f>
        <v>No</v>
      </c>
      <c r="P863" t="str">
        <f t="shared" si="220"/>
        <v>No</v>
      </c>
      <c r="Q863" t="str">
        <f t="shared" si="221"/>
        <v>No</v>
      </c>
      <c r="R863" s="5">
        <f t="shared" si="223"/>
        <v>0</v>
      </c>
    </row>
    <row r="864" spans="1:18">
      <c r="A864" s="25">
        <f t="shared" si="222"/>
        <v>47097</v>
      </c>
      <c r="B864">
        <f t="shared" si="208"/>
        <v>2028</v>
      </c>
      <c r="C864" s="9">
        <f t="shared" si="209"/>
        <v>12</v>
      </c>
      <c r="D864" s="9" t="str">
        <f t="shared" si="210"/>
        <v>December</v>
      </c>
      <c r="E864" s="9" t="str">
        <f t="shared" si="211"/>
        <v>Dec-28</v>
      </c>
      <c r="F864" s="9" t="str">
        <f t="shared" si="212"/>
        <v>Q4</v>
      </c>
      <c r="G864" s="9">
        <f t="shared" si="213"/>
        <v>10</v>
      </c>
      <c r="H864" s="9">
        <f t="shared" si="214"/>
        <v>7</v>
      </c>
      <c r="I864" s="9" t="str">
        <f t="shared" si="215"/>
        <v>Sunday</v>
      </c>
      <c r="J864" s="9" t="str">
        <f t="shared" si="216"/>
        <v>Yes</v>
      </c>
      <c r="K864" s="5" t="str">
        <f>IF(COUNTIF(Bank_Holidays!A:A,A864)&gt;0,"Yes","No")</f>
        <v>No</v>
      </c>
      <c r="L864" t="str">
        <f t="shared" si="217"/>
        <v>No</v>
      </c>
      <c r="M864">
        <f t="shared" si="218"/>
        <v>49</v>
      </c>
      <c r="N864" s="5" t="str">
        <f t="shared" si="219"/>
        <v>No</v>
      </c>
      <c r="O864" t="str">
        <f>IF(A864=WORKDAY(EOMONTH(A864,0)+1,-1,Bank_Holidays!$A$2:$A$25),"Yes","No")</f>
        <v>No</v>
      </c>
      <c r="P864" t="str">
        <f t="shared" si="220"/>
        <v>No</v>
      </c>
      <c r="Q864" t="str">
        <f t="shared" si="221"/>
        <v>No</v>
      </c>
      <c r="R864" s="5">
        <f t="shared" si="223"/>
        <v>0</v>
      </c>
    </row>
    <row r="865" spans="1:18">
      <c r="A865" s="25">
        <f t="shared" si="222"/>
        <v>47098</v>
      </c>
      <c r="B865">
        <f t="shared" si="208"/>
        <v>2028</v>
      </c>
      <c r="C865" s="9">
        <f t="shared" si="209"/>
        <v>12</v>
      </c>
      <c r="D865" s="9" t="str">
        <f t="shared" si="210"/>
        <v>December</v>
      </c>
      <c r="E865" s="9" t="str">
        <f t="shared" si="211"/>
        <v>Dec-28</v>
      </c>
      <c r="F865" s="9" t="str">
        <f t="shared" si="212"/>
        <v>Q4</v>
      </c>
      <c r="G865" s="9">
        <f t="shared" si="213"/>
        <v>11</v>
      </c>
      <c r="H865" s="9">
        <f t="shared" si="214"/>
        <v>1</v>
      </c>
      <c r="I865" s="9" t="str">
        <f t="shared" si="215"/>
        <v>Monday</v>
      </c>
      <c r="J865" s="9" t="str">
        <f t="shared" si="216"/>
        <v>No</v>
      </c>
      <c r="K865" s="5" t="str">
        <f>IF(COUNTIF(Bank_Holidays!A:A,A865)&gt;0,"Yes","No")</f>
        <v>No</v>
      </c>
      <c r="L865" t="str">
        <f t="shared" si="217"/>
        <v>Yes</v>
      </c>
      <c r="M865">
        <f t="shared" si="218"/>
        <v>50</v>
      </c>
      <c r="N865" s="5" t="str">
        <f t="shared" si="219"/>
        <v>No</v>
      </c>
      <c r="O865" t="str">
        <f>IF(A865=WORKDAY(EOMONTH(A865,0)+1,-1,Bank_Holidays!$A$2:$A$25),"Yes","No")</f>
        <v>No</v>
      </c>
      <c r="P865" t="str">
        <f t="shared" si="220"/>
        <v>No</v>
      </c>
      <c r="Q865" t="str">
        <f t="shared" si="221"/>
        <v>No</v>
      </c>
      <c r="R865" s="5">
        <f t="shared" si="223"/>
        <v>1</v>
      </c>
    </row>
    <row r="866" spans="1:18">
      <c r="A866" s="25">
        <f t="shared" si="222"/>
        <v>47099</v>
      </c>
      <c r="B866">
        <f t="shared" si="208"/>
        <v>2028</v>
      </c>
      <c r="C866" s="9">
        <f t="shared" si="209"/>
        <v>12</v>
      </c>
      <c r="D866" s="9" t="str">
        <f t="shared" si="210"/>
        <v>December</v>
      </c>
      <c r="E866" s="9" t="str">
        <f t="shared" si="211"/>
        <v>Dec-28</v>
      </c>
      <c r="F866" s="9" t="str">
        <f t="shared" si="212"/>
        <v>Q4</v>
      </c>
      <c r="G866" s="9">
        <f t="shared" si="213"/>
        <v>12</v>
      </c>
      <c r="H866" s="9">
        <f t="shared" si="214"/>
        <v>2</v>
      </c>
      <c r="I866" s="9" t="str">
        <f t="shared" si="215"/>
        <v>Tuesday</v>
      </c>
      <c r="J866" s="9" t="str">
        <f t="shared" si="216"/>
        <v>No</v>
      </c>
      <c r="K866" s="5" t="str">
        <f>IF(COUNTIF(Bank_Holidays!A:A,A866)&gt;0,"Yes","No")</f>
        <v>No</v>
      </c>
      <c r="L866" t="str">
        <f t="shared" si="217"/>
        <v>Yes</v>
      </c>
      <c r="M866">
        <f t="shared" si="218"/>
        <v>50</v>
      </c>
      <c r="N866" s="5" t="str">
        <f t="shared" si="219"/>
        <v>No</v>
      </c>
      <c r="O866" t="str">
        <f>IF(A866=WORKDAY(EOMONTH(A866,0)+1,-1,Bank_Holidays!$A$2:$A$25),"Yes","No")</f>
        <v>No</v>
      </c>
      <c r="P866" t="str">
        <f t="shared" si="220"/>
        <v>No</v>
      </c>
      <c r="Q866" t="str">
        <f t="shared" si="221"/>
        <v>No</v>
      </c>
      <c r="R866" s="5">
        <f t="shared" si="223"/>
        <v>1</v>
      </c>
    </row>
    <row r="867" spans="1:18">
      <c r="A867" s="25">
        <f t="shared" si="222"/>
        <v>47100</v>
      </c>
      <c r="B867">
        <f t="shared" si="208"/>
        <v>2028</v>
      </c>
      <c r="C867" s="9">
        <f t="shared" si="209"/>
        <v>12</v>
      </c>
      <c r="D867" s="9" t="str">
        <f t="shared" si="210"/>
        <v>December</v>
      </c>
      <c r="E867" s="9" t="str">
        <f t="shared" si="211"/>
        <v>Dec-28</v>
      </c>
      <c r="F867" s="9" t="str">
        <f t="shared" si="212"/>
        <v>Q4</v>
      </c>
      <c r="G867" s="9">
        <f t="shared" si="213"/>
        <v>13</v>
      </c>
      <c r="H867" s="9">
        <f t="shared" si="214"/>
        <v>3</v>
      </c>
      <c r="I867" s="9" t="str">
        <f t="shared" si="215"/>
        <v>Wednesday</v>
      </c>
      <c r="J867" s="9" t="str">
        <f t="shared" si="216"/>
        <v>No</v>
      </c>
      <c r="K867" s="5" t="str">
        <f>IF(COUNTIF(Bank_Holidays!A:A,A867)&gt;0,"Yes","No")</f>
        <v>No</v>
      </c>
      <c r="L867" t="str">
        <f t="shared" si="217"/>
        <v>Yes</v>
      </c>
      <c r="M867">
        <f t="shared" si="218"/>
        <v>50</v>
      </c>
      <c r="N867" s="5" t="str">
        <f t="shared" si="219"/>
        <v>No</v>
      </c>
      <c r="O867" t="str">
        <f>IF(A867=WORKDAY(EOMONTH(A867,0)+1,-1,Bank_Holidays!$A$2:$A$25),"Yes","No")</f>
        <v>No</v>
      </c>
      <c r="P867" t="str">
        <f t="shared" si="220"/>
        <v>No</v>
      </c>
      <c r="Q867" t="str">
        <f t="shared" si="221"/>
        <v>No</v>
      </c>
      <c r="R867" s="5">
        <f t="shared" si="223"/>
        <v>1</v>
      </c>
    </row>
    <row r="868" spans="1:18">
      <c r="A868" s="25">
        <f t="shared" si="222"/>
        <v>47101</v>
      </c>
      <c r="B868">
        <f t="shared" si="208"/>
        <v>2028</v>
      </c>
      <c r="C868" s="9">
        <f t="shared" si="209"/>
        <v>12</v>
      </c>
      <c r="D868" s="9" t="str">
        <f t="shared" si="210"/>
        <v>December</v>
      </c>
      <c r="E868" s="9" t="str">
        <f t="shared" si="211"/>
        <v>Dec-28</v>
      </c>
      <c r="F868" s="9" t="str">
        <f t="shared" si="212"/>
        <v>Q4</v>
      </c>
      <c r="G868" s="9">
        <f t="shared" si="213"/>
        <v>14</v>
      </c>
      <c r="H868" s="9">
        <f t="shared" si="214"/>
        <v>4</v>
      </c>
      <c r="I868" s="9" t="str">
        <f t="shared" si="215"/>
        <v>Thursday</v>
      </c>
      <c r="J868" s="9" t="str">
        <f t="shared" si="216"/>
        <v>No</v>
      </c>
      <c r="K868" s="5" t="str">
        <f>IF(COUNTIF(Bank_Holidays!A:A,A868)&gt;0,"Yes","No")</f>
        <v>No</v>
      </c>
      <c r="L868" t="str">
        <f t="shared" si="217"/>
        <v>Yes</v>
      </c>
      <c r="M868">
        <f t="shared" si="218"/>
        <v>50</v>
      </c>
      <c r="N868" s="5" t="str">
        <f t="shared" si="219"/>
        <v>No</v>
      </c>
      <c r="O868" t="str">
        <f>IF(A868=WORKDAY(EOMONTH(A868,0)+1,-1,Bank_Holidays!$A$2:$A$25),"Yes","No")</f>
        <v>No</v>
      </c>
      <c r="P868" t="str">
        <f t="shared" si="220"/>
        <v>No</v>
      </c>
      <c r="Q868" t="str">
        <f t="shared" si="221"/>
        <v>No</v>
      </c>
      <c r="R868" s="5">
        <f t="shared" si="223"/>
        <v>1</v>
      </c>
    </row>
    <row r="869" spans="1:18">
      <c r="A869" s="25">
        <f t="shared" si="222"/>
        <v>47102</v>
      </c>
      <c r="B869">
        <f t="shared" si="208"/>
        <v>2028</v>
      </c>
      <c r="C869" s="9">
        <f t="shared" si="209"/>
        <v>12</v>
      </c>
      <c r="D869" s="9" t="str">
        <f t="shared" si="210"/>
        <v>December</v>
      </c>
      <c r="E869" s="9" t="str">
        <f t="shared" si="211"/>
        <v>Dec-28</v>
      </c>
      <c r="F869" s="9" t="str">
        <f t="shared" si="212"/>
        <v>Q4</v>
      </c>
      <c r="G869" s="9">
        <f t="shared" si="213"/>
        <v>15</v>
      </c>
      <c r="H869" s="9">
        <f t="shared" si="214"/>
        <v>5</v>
      </c>
      <c r="I869" s="9" t="str">
        <f t="shared" si="215"/>
        <v>Friday</v>
      </c>
      <c r="J869" s="9" t="str">
        <f t="shared" si="216"/>
        <v>No</v>
      </c>
      <c r="K869" s="5" t="str">
        <f>IF(COUNTIF(Bank_Holidays!A:A,A869)&gt;0,"Yes","No")</f>
        <v>No</v>
      </c>
      <c r="L869" t="str">
        <f t="shared" si="217"/>
        <v>Yes</v>
      </c>
      <c r="M869">
        <f t="shared" si="218"/>
        <v>50</v>
      </c>
      <c r="N869" s="5" t="str">
        <f t="shared" si="219"/>
        <v>No</v>
      </c>
      <c r="O869" t="str">
        <f>IF(A869=WORKDAY(EOMONTH(A869,0)+1,-1,Bank_Holidays!$A$2:$A$25),"Yes","No")</f>
        <v>No</v>
      </c>
      <c r="P869" t="str">
        <f t="shared" si="220"/>
        <v>No</v>
      </c>
      <c r="Q869" t="str">
        <f t="shared" si="221"/>
        <v>No</v>
      </c>
      <c r="R869" s="5">
        <f t="shared" si="223"/>
        <v>3</v>
      </c>
    </row>
    <row r="870" spans="1:18">
      <c r="A870" s="25">
        <f t="shared" si="222"/>
        <v>47103</v>
      </c>
      <c r="B870">
        <f t="shared" si="208"/>
        <v>2028</v>
      </c>
      <c r="C870" s="9">
        <f t="shared" si="209"/>
        <v>12</v>
      </c>
      <c r="D870" s="9" t="str">
        <f t="shared" si="210"/>
        <v>December</v>
      </c>
      <c r="E870" s="9" t="str">
        <f t="shared" si="211"/>
        <v>Dec-28</v>
      </c>
      <c r="F870" s="9" t="str">
        <f t="shared" si="212"/>
        <v>Q4</v>
      </c>
      <c r="G870" s="9">
        <f t="shared" si="213"/>
        <v>16</v>
      </c>
      <c r="H870" s="9">
        <f t="shared" si="214"/>
        <v>6</v>
      </c>
      <c r="I870" s="9" t="str">
        <f t="shared" si="215"/>
        <v>Saturday</v>
      </c>
      <c r="J870" s="9" t="str">
        <f t="shared" si="216"/>
        <v>Yes</v>
      </c>
      <c r="K870" s="5" t="str">
        <f>IF(COUNTIF(Bank_Holidays!A:A,A870)&gt;0,"Yes","No")</f>
        <v>No</v>
      </c>
      <c r="L870" t="str">
        <f t="shared" si="217"/>
        <v>No</v>
      </c>
      <c r="M870">
        <f t="shared" si="218"/>
        <v>50</v>
      </c>
      <c r="N870" s="5" t="str">
        <f t="shared" si="219"/>
        <v>No</v>
      </c>
      <c r="O870" t="str">
        <f>IF(A870=WORKDAY(EOMONTH(A870,0)+1,-1,Bank_Holidays!$A$2:$A$25),"Yes","No")</f>
        <v>No</v>
      </c>
      <c r="P870" t="str">
        <f t="shared" si="220"/>
        <v>No</v>
      </c>
      <c r="Q870" t="str">
        <f t="shared" si="221"/>
        <v>No</v>
      </c>
      <c r="R870" s="5">
        <f t="shared" si="223"/>
        <v>0</v>
      </c>
    </row>
    <row r="871" spans="1:18">
      <c r="A871" s="25">
        <f t="shared" si="222"/>
        <v>47104</v>
      </c>
      <c r="B871">
        <f t="shared" si="208"/>
        <v>2028</v>
      </c>
      <c r="C871" s="9">
        <f t="shared" si="209"/>
        <v>12</v>
      </c>
      <c r="D871" s="9" t="str">
        <f t="shared" si="210"/>
        <v>December</v>
      </c>
      <c r="E871" s="9" t="str">
        <f t="shared" si="211"/>
        <v>Dec-28</v>
      </c>
      <c r="F871" s="9" t="str">
        <f t="shared" si="212"/>
        <v>Q4</v>
      </c>
      <c r="G871" s="9">
        <f t="shared" si="213"/>
        <v>17</v>
      </c>
      <c r="H871" s="9">
        <f t="shared" si="214"/>
        <v>7</v>
      </c>
      <c r="I871" s="9" t="str">
        <f t="shared" si="215"/>
        <v>Sunday</v>
      </c>
      <c r="J871" s="9" t="str">
        <f t="shared" si="216"/>
        <v>Yes</v>
      </c>
      <c r="K871" s="5" t="str">
        <f>IF(COUNTIF(Bank_Holidays!A:A,A871)&gt;0,"Yes","No")</f>
        <v>No</v>
      </c>
      <c r="L871" t="str">
        <f t="shared" si="217"/>
        <v>No</v>
      </c>
      <c r="M871">
        <f t="shared" si="218"/>
        <v>50</v>
      </c>
      <c r="N871" s="5" t="str">
        <f t="shared" si="219"/>
        <v>No</v>
      </c>
      <c r="O871" t="str">
        <f>IF(A871=WORKDAY(EOMONTH(A871,0)+1,-1,Bank_Holidays!$A$2:$A$25),"Yes","No")</f>
        <v>No</v>
      </c>
      <c r="P871" t="str">
        <f t="shared" si="220"/>
        <v>No</v>
      </c>
      <c r="Q871" t="str">
        <f t="shared" si="221"/>
        <v>No</v>
      </c>
      <c r="R871" s="5">
        <f t="shared" si="223"/>
        <v>0</v>
      </c>
    </row>
    <row r="872" spans="1:18">
      <c r="A872" s="25">
        <f t="shared" si="222"/>
        <v>47105</v>
      </c>
      <c r="B872">
        <f t="shared" si="208"/>
        <v>2028</v>
      </c>
      <c r="C872" s="9">
        <f t="shared" si="209"/>
        <v>12</v>
      </c>
      <c r="D872" s="9" t="str">
        <f t="shared" si="210"/>
        <v>December</v>
      </c>
      <c r="E872" s="9" t="str">
        <f t="shared" si="211"/>
        <v>Dec-28</v>
      </c>
      <c r="F872" s="9" t="str">
        <f t="shared" si="212"/>
        <v>Q4</v>
      </c>
      <c r="G872" s="9">
        <f t="shared" si="213"/>
        <v>18</v>
      </c>
      <c r="H872" s="9">
        <f t="shared" si="214"/>
        <v>1</v>
      </c>
      <c r="I872" s="9" t="str">
        <f t="shared" si="215"/>
        <v>Monday</v>
      </c>
      <c r="J872" s="9" t="str">
        <f t="shared" si="216"/>
        <v>No</v>
      </c>
      <c r="K872" s="5" t="str">
        <f>IF(COUNTIF(Bank_Holidays!A:A,A872)&gt;0,"Yes","No")</f>
        <v>No</v>
      </c>
      <c r="L872" t="str">
        <f t="shared" si="217"/>
        <v>Yes</v>
      </c>
      <c r="M872">
        <f t="shared" si="218"/>
        <v>51</v>
      </c>
      <c r="N872" s="5" t="str">
        <f t="shared" si="219"/>
        <v>No</v>
      </c>
      <c r="O872" t="str">
        <f>IF(A872=WORKDAY(EOMONTH(A872,0)+1,-1,Bank_Holidays!$A$2:$A$25),"Yes","No")</f>
        <v>No</v>
      </c>
      <c r="P872" t="str">
        <f t="shared" si="220"/>
        <v>No</v>
      </c>
      <c r="Q872" t="str">
        <f t="shared" si="221"/>
        <v>No</v>
      </c>
      <c r="R872" s="5">
        <f t="shared" si="223"/>
        <v>1</v>
      </c>
    </row>
    <row r="873" spans="1:18">
      <c r="A873" s="25">
        <f t="shared" si="222"/>
        <v>47106</v>
      </c>
      <c r="B873">
        <f t="shared" si="208"/>
        <v>2028</v>
      </c>
      <c r="C873" s="9">
        <f t="shared" si="209"/>
        <v>12</v>
      </c>
      <c r="D873" s="9" t="str">
        <f t="shared" si="210"/>
        <v>December</v>
      </c>
      <c r="E873" s="9" t="str">
        <f t="shared" si="211"/>
        <v>Dec-28</v>
      </c>
      <c r="F873" s="9" t="str">
        <f t="shared" si="212"/>
        <v>Q4</v>
      </c>
      <c r="G873" s="9">
        <f t="shared" si="213"/>
        <v>19</v>
      </c>
      <c r="H873" s="9">
        <f t="shared" si="214"/>
        <v>2</v>
      </c>
      <c r="I873" s="9" t="str">
        <f t="shared" si="215"/>
        <v>Tuesday</v>
      </c>
      <c r="J873" s="9" t="str">
        <f t="shared" si="216"/>
        <v>No</v>
      </c>
      <c r="K873" s="5" t="str">
        <f>IF(COUNTIF(Bank_Holidays!A:A,A873)&gt;0,"Yes","No")</f>
        <v>No</v>
      </c>
      <c r="L873" t="str">
        <f t="shared" si="217"/>
        <v>Yes</v>
      </c>
      <c r="M873">
        <f t="shared" si="218"/>
        <v>51</v>
      </c>
      <c r="N873" s="5" t="str">
        <f t="shared" si="219"/>
        <v>No</v>
      </c>
      <c r="O873" t="str">
        <f>IF(A873=WORKDAY(EOMONTH(A873,0)+1,-1,Bank_Holidays!$A$2:$A$25),"Yes","No")</f>
        <v>No</v>
      </c>
      <c r="P873" t="str">
        <f t="shared" si="220"/>
        <v>No</v>
      </c>
      <c r="Q873" t="str">
        <f t="shared" si="221"/>
        <v>No</v>
      </c>
      <c r="R873" s="5">
        <f t="shared" si="223"/>
        <v>1</v>
      </c>
    </row>
    <row r="874" spans="1:18">
      <c r="A874" s="25">
        <f t="shared" si="222"/>
        <v>47107</v>
      </c>
      <c r="B874">
        <f t="shared" si="208"/>
        <v>2028</v>
      </c>
      <c r="C874" s="9">
        <f t="shared" si="209"/>
        <v>12</v>
      </c>
      <c r="D874" s="9" t="str">
        <f t="shared" si="210"/>
        <v>December</v>
      </c>
      <c r="E874" s="9" t="str">
        <f t="shared" si="211"/>
        <v>Dec-28</v>
      </c>
      <c r="F874" s="9" t="str">
        <f t="shared" si="212"/>
        <v>Q4</v>
      </c>
      <c r="G874" s="9">
        <f t="shared" si="213"/>
        <v>20</v>
      </c>
      <c r="H874" s="9">
        <f t="shared" si="214"/>
        <v>3</v>
      </c>
      <c r="I874" s="9" t="str">
        <f t="shared" si="215"/>
        <v>Wednesday</v>
      </c>
      <c r="J874" s="9" t="str">
        <f t="shared" si="216"/>
        <v>No</v>
      </c>
      <c r="K874" s="5" t="str">
        <f>IF(COUNTIF(Bank_Holidays!A:A,A874)&gt;0,"Yes","No")</f>
        <v>No</v>
      </c>
      <c r="L874" t="str">
        <f t="shared" si="217"/>
        <v>Yes</v>
      </c>
      <c r="M874">
        <f t="shared" si="218"/>
        <v>51</v>
      </c>
      <c r="N874" s="5" t="str">
        <f t="shared" si="219"/>
        <v>No</v>
      </c>
      <c r="O874" t="str">
        <f>IF(A874=WORKDAY(EOMONTH(A874,0)+1,-1,Bank_Holidays!$A$2:$A$25),"Yes","No")</f>
        <v>No</v>
      </c>
      <c r="P874" t="str">
        <f t="shared" si="220"/>
        <v>No</v>
      </c>
      <c r="Q874" t="str">
        <f t="shared" si="221"/>
        <v>No</v>
      </c>
      <c r="R874" s="5">
        <f t="shared" si="223"/>
        <v>1</v>
      </c>
    </row>
    <row r="875" spans="1:18">
      <c r="A875" s="25">
        <f t="shared" si="222"/>
        <v>47108</v>
      </c>
      <c r="B875">
        <f t="shared" si="208"/>
        <v>2028</v>
      </c>
      <c r="C875" s="9">
        <f t="shared" si="209"/>
        <v>12</v>
      </c>
      <c r="D875" s="9" t="str">
        <f t="shared" si="210"/>
        <v>December</v>
      </c>
      <c r="E875" s="9" t="str">
        <f t="shared" si="211"/>
        <v>Dec-28</v>
      </c>
      <c r="F875" s="9" t="str">
        <f t="shared" si="212"/>
        <v>Q4</v>
      </c>
      <c r="G875" s="9">
        <f t="shared" si="213"/>
        <v>21</v>
      </c>
      <c r="H875" s="9">
        <f t="shared" si="214"/>
        <v>4</v>
      </c>
      <c r="I875" s="9" t="str">
        <f t="shared" si="215"/>
        <v>Thursday</v>
      </c>
      <c r="J875" s="9" t="str">
        <f t="shared" si="216"/>
        <v>No</v>
      </c>
      <c r="K875" s="5" t="str">
        <f>IF(COUNTIF(Bank_Holidays!A:A,A875)&gt;0,"Yes","No")</f>
        <v>No</v>
      </c>
      <c r="L875" t="str">
        <f t="shared" si="217"/>
        <v>Yes</v>
      </c>
      <c r="M875">
        <f t="shared" si="218"/>
        <v>51</v>
      </c>
      <c r="N875" s="5" t="str">
        <f t="shared" si="219"/>
        <v>No</v>
      </c>
      <c r="O875" t="str">
        <f>IF(A875=WORKDAY(EOMONTH(A875,0)+1,-1,Bank_Holidays!$A$2:$A$25),"Yes","No")</f>
        <v>No</v>
      </c>
      <c r="P875" t="str">
        <f t="shared" si="220"/>
        <v>No</v>
      </c>
      <c r="Q875" t="str">
        <f t="shared" si="221"/>
        <v>No</v>
      </c>
      <c r="R875" s="5">
        <f t="shared" si="223"/>
        <v>1</v>
      </c>
    </row>
    <row r="876" spans="1:18">
      <c r="A876" s="25">
        <f t="shared" si="222"/>
        <v>47109</v>
      </c>
      <c r="B876">
        <f t="shared" si="208"/>
        <v>2028</v>
      </c>
      <c r="C876" s="9">
        <f t="shared" si="209"/>
        <v>12</v>
      </c>
      <c r="D876" s="9" t="str">
        <f t="shared" si="210"/>
        <v>December</v>
      </c>
      <c r="E876" s="9" t="str">
        <f t="shared" si="211"/>
        <v>Dec-28</v>
      </c>
      <c r="F876" s="9" t="str">
        <f t="shared" si="212"/>
        <v>Q4</v>
      </c>
      <c r="G876" s="9">
        <f t="shared" si="213"/>
        <v>22</v>
      </c>
      <c r="H876" s="9">
        <f t="shared" si="214"/>
        <v>5</v>
      </c>
      <c r="I876" s="9" t="str">
        <f t="shared" si="215"/>
        <v>Friday</v>
      </c>
      <c r="J876" s="9" t="str">
        <f t="shared" si="216"/>
        <v>No</v>
      </c>
      <c r="K876" s="5" t="str">
        <f>IF(COUNTIF(Bank_Holidays!A:A,A876)&gt;0,"Yes","No")</f>
        <v>No</v>
      </c>
      <c r="L876" t="str">
        <f t="shared" si="217"/>
        <v>Yes</v>
      </c>
      <c r="M876">
        <f t="shared" si="218"/>
        <v>51</v>
      </c>
      <c r="N876" s="5" t="str">
        <f t="shared" si="219"/>
        <v>No</v>
      </c>
      <c r="O876" t="str">
        <f>IF(A876=WORKDAY(EOMONTH(A876,0)+1,-1,Bank_Holidays!$A$2:$A$25),"Yes","No")</f>
        <v>No</v>
      </c>
      <c r="P876" t="str">
        <f t="shared" si="220"/>
        <v>No</v>
      </c>
      <c r="Q876" t="str">
        <f t="shared" si="221"/>
        <v>No</v>
      </c>
      <c r="R876" s="5">
        <f t="shared" si="223"/>
        <v>5</v>
      </c>
    </row>
    <row r="877" spans="1:18">
      <c r="A877" s="25">
        <f t="shared" si="222"/>
        <v>47110</v>
      </c>
      <c r="B877">
        <f t="shared" si="208"/>
        <v>2028</v>
      </c>
      <c r="C877" s="9">
        <f t="shared" si="209"/>
        <v>12</v>
      </c>
      <c r="D877" s="9" t="str">
        <f t="shared" si="210"/>
        <v>December</v>
      </c>
      <c r="E877" s="9" t="str">
        <f t="shared" si="211"/>
        <v>Dec-28</v>
      </c>
      <c r="F877" s="9" t="str">
        <f t="shared" si="212"/>
        <v>Q4</v>
      </c>
      <c r="G877" s="9">
        <f t="shared" si="213"/>
        <v>23</v>
      </c>
      <c r="H877" s="9">
        <f t="shared" si="214"/>
        <v>6</v>
      </c>
      <c r="I877" s="9" t="str">
        <f t="shared" si="215"/>
        <v>Saturday</v>
      </c>
      <c r="J877" s="9" t="str">
        <f t="shared" si="216"/>
        <v>Yes</v>
      </c>
      <c r="K877" s="5" t="str">
        <f>IF(COUNTIF(Bank_Holidays!A:A,A877)&gt;0,"Yes","No")</f>
        <v>No</v>
      </c>
      <c r="L877" t="str">
        <f t="shared" si="217"/>
        <v>No</v>
      </c>
      <c r="M877">
        <f t="shared" si="218"/>
        <v>51</v>
      </c>
      <c r="N877" s="5" t="str">
        <f t="shared" si="219"/>
        <v>No</v>
      </c>
      <c r="O877" t="str">
        <f>IF(A877=WORKDAY(EOMONTH(A877,0)+1,-1,Bank_Holidays!$A$2:$A$25),"Yes","No")</f>
        <v>No</v>
      </c>
      <c r="P877" t="str">
        <f t="shared" si="220"/>
        <v>No</v>
      </c>
      <c r="Q877" t="str">
        <f t="shared" si="221"/>
        <v>No</v>
      </c>
      <c r="R877" s="5">
        <f t="shared" si="223"/>
        <v>0</v>
      </c>
    </row>
    <row r="878" spans="1:18">
      <c r="A878" s="25">
        <f t="shared" si="222"/>
        <v>47111</v>
      </c>
      <c r="B878">
        <f t="shared" si="208"/>
        <v>2028</v>
      </c>
      <c r="C878" s="9">
        <f t="shared" si="209"/>
        <v>12</v>
      </c>
      <c r="D878" s="9" t="str">
        <f t="shared" si="210"/>
        <v>December</v>
      </c>
      <c r="E878" s="9" t="str">
        <f t="shared" si="211"/>
        <v>Dec-28</v>
      </c>
      <c r="F878" s="9" t="str">
        <f t="shared" si="212"/>
        <v>Q4</v>
      </c>
      <c r="G878" s="9">
        <f t="shared" si="213"/>
        <v>24</v>
      </c>
      <c r="H878" s="9">
        <f t="shared" si="214"/>
        <v>7</v>
      </c>
      <c r="I878" s="9" t="str">
        <f t="shared" si="215"/>
        <v>Sunday</v>
      </c>
      <c r="J878" s="9" t="str">
        <f t="shared" si="216"/>
        <v>Yes</v>
      </c>
      <c r="K878" s="5" t="str">
        <f>IF(COUNTIF(Bank_Holidays!A:A,A878)&gt;0,"Yes","No")</f>
        <v>No</v>
      </c>
      <c r="L878" t="str">
        <f t="shared" si="217"/>
        <v>No</v>
      </c>
      <c r="M878">
        <f t="shared" si="218"/>
        <v>51</v>
      </c>
      <c r="N878" s="5" t="str">
        <f t="shared" si="219"/>
        <v>No</v>
      </c>
      <c r="O878" t="str">
        <f>IF(A878=WORKDAY(EOMONTH(A878,0)+1,-1,Bank_Holidays!$A$2:$A$25),"Yes","No")</f>
        <v>No</v>
      </c>
      <c r="P878" t="str">
        <f t="shared" si="220"/>
        <v>No</v>
      </c>
      <c r="Q878" t="str">
        <f t="shared" si="221"/>
        <v>No</v>
      </c>
      <c r="R878" s="5">
        <f t="shared" si="223"/>
        <v>0</v>
      </c>
    </row>
    <row r="879" spans="1:18">
      <c r="A879" s="25">
        <f t="shared" si="222"/>
        <v>47112</v>
      </c>
      <c r="B879">
        <f t="shared" si="208"/>
        <v>2028</v>
      </c>
      <c r="C879" s="9">
        <f t="shared" si="209"/>
        <v>12</v>
      </c>
      <c r="D879" s="9" t="str">
        <f t="shared" si="210"/>
        <v>December</v>
      </c>
      <c r="E879" s="9" t="str">
        <f t="shared" si="211"/>
        <v>Dec-28</v>
      </c>
      <c r="F879" s="9" t="str">
        <f t="shared" si="212"/>
        <v>Q4</v>
      </c>
      <c r="G879" s="9">
        <f t="shared" si="213"/>
        <v>25</v>
      </c>
      <c r="H879" s="9">
        <f t="shared" si="214"/>
        <v>1</v>
      </c>
      <c r="I879" s="9" t="str">
        <f t="shared" si="215"/>
        <v>Monday</v>
      </c>
      <c r="J879" s="9" t="str">
        <f t="shared" si="216"/>
        <v>No</v>
      </c>
      <c r="K879" s="5" t="str">
        <f>IF(COUNTIF(Bank_Holidays!A:A,A879)&gt;0,"Yes","No")</f>
        <v>Yes</v>
      </c>
      <c r="L879" t="str">
        <f t="shared" si="217"/>
        <v>No</v>
      </c>
      <c r="M879">
        <f t="shared" si="218"/>
        <v>52</v>
      </c>
      <c r="N879" s="5" t="str">
        <f t="shared" si="219"/>
        <v>No</v>
      </c>
      <c r="O879" t="str">
        <f>IF(A879=WORKDAY(EOMONTH(A879,0)+1,-1,Bank_Holidays!$A$2:$A$25),"Yes","No")</f>
        <v>No</v>
      </c>
      <c r="P879" t="str">
        <f t="shared" si="220"/>
        <v>No</v>
      </c>
      <c r="Q879" t="str">
        <f t="shared" si="221"/>
        <v>No</v>
      </c>
      <c r="R879" s="5">
        <f t="shared" si="223"/>
        <v>0</v>
      </c>
    </row>
    <row r="880" spans="1:18">
      <c r="A880" s="25">
        <f t="shared" si="222"/>
        <v>47113</v>
      </c>
      <c r="B880">
        <f t="shared" si="208"/>
        <v>2028</v>
      </c>
      <c r="C880" s="9">
        <f t="shared" si="209"/>
        <v>12</v>
      </c>
      <c r="D880" s="9" t="str">
        <f t="shared" si="210"/>
        <v>December</v>
      </c>
      <c r="E880" s="9" t="str">
        <f t="shared" si="211"/>
        <v>Dec-28</v>
      </c>
      <c r="F880" s="9" t="str">
        <f t="shared" si="212"/>
        <v>Q4</v>
      </c>
      <c r="G880" s="9">
        <f t="shared" si="213"/>
        <v>26</v>
      </c>
      <c r="H880" s="9">
        <f t="shared" si="214"/>
        <v>2</v>
      </c>
      <c r="I880" s="9" t="str">
        <f t="shared" si="215"/>
        <v>Tuesday</v>
      </c>
      <c r="J880" s="9" t="str">
        <f t="shared" si="216"/>
        <v>No</v>
      </c>
      <c r="K880" s="5" t="str">
        <f>IF(COUNTIF(Bank_Holidays!A:A,A880)&gt;0,"Yes","No")</f>
        <v>Yes</v>
      </c>
      <c r="L880" t="str">
        <f t="shared" si="217"/>
        <v>No</v>
      </c>
      <c r="M880">
        <f t="shared" si="218"/>
        <v>52</v>
      </c>
      <c r="N880" s="5" t="str">
        <f t="shared" si="219"/>
        <v>No</v>
      </c>
      <c r="O880" t="str">
        <f>IF(A880=WORKDAY(EOMONTH(A880,0)+1,-1,Bank_Holidays!$A$2:$A$25),"Yes","No")</f>
        <v>No</v>
      </c>
      <c r="P880" t="str">
        <f t="shared" si="220"/>
        <v>No</v>
      </c>
      <c r="Q880" t="str">
        <f t="shared" si="221"/>
        <v>No</v>
      </c>
      <c r="R880" s="5">
        <f t="shared" si="223"/>
        <v>0</v>
      </c>
    </row>
    <row r="881" spans="1:18">
      <c r="A881" s="25">
        <f t="shared" si="222"/>
        <v>47114</v>
      </c>
      <c r="B881">
        <f t="shared" si="208"/>
        <v>2028</v>
      </c>
      <c r="C881" s="9">
        <f t="shared" si="209"/>
        <v>12</v>
      </c>
      <c r="D881" s="9" t="str">
        <f t="shared" si="210"/>
        <v>December</v>
      </c>
      <c r="E881" s="9" t="str">
        <f t="shared" si="211"/>
        <v>Dec-28</v>
      </c>
      <c r="F881" s="9" t="str">
        <f t="shared" si="212"/>
        <v>Q4</v>
      </c>
      <c r="G881" s="9">
        <f t="shared" si="213"/>
        <v>27</v>
      </c>
      <c r="H881" s="9">
        <f t="shared" si="214"/>
        <v>3</v>
      </c>
      <c r="I881" s="9" t="str">
        <f t="shared" si="215"/>
        <v>Wednesday</v>
      </c>
      <c r="J881" s="9" t="str">
        <f t="shared" si="216"/>
        <v>No</v>
      </c>
      <c r="K881" s="5" t="str">
        <f>IF(COUNTIF(Bank_Holidays!A:A,A881)&gt;0,"Yes","No")</f>
        <v>No</v>
      </c>
      <c r="L881" t="str">
        <f t="shared" si="217"/>
        <v>Yes</v>
      </c>
      <c r="M881">
        <f t="shared" si="218"/>
        <v>52</v>
      </c>
      <c r="N881" s="5" t="str">
        <f t="shared" si="219"/>
        <v>No</v>
      </c>
      <c r="O881" t="str">
        <f>IF(A881=WORKDAY(EOMONTH(A881,0)+1,-1,Bank_Holidays!$A$2:$A$25),"Yes","No")</f>
        <v>No</v>
      </c>
      <c r="P881" t="str">
        <f t="shared" si="220"/>
        <v>No</v>
      </c>
      <c r="Q881" t="str">
        <f t="shared" si="221"/>
        <v>No</v>
      </c>
      <c r="R881" s="5">
        <f t="shared" si="223"/>
        <v>1</v>
      </c>
    </row>
    <row r="882" spans="1:18">
      <c r="A882" s="25">
        <f t="shared" si="222"/>
        <v>47115</v>
      </c>
      <c r="B882">
        <f t="shared" si="208"/>
        <v>2028</v>
      </c>
      <c r="C882" s="9">
        <f t="shared" si="209"/>
        <v>12</v>
      </c>
      <c r="D882" s="9" t="str">
        <f t="shared" si="210"/>
        <v>December</v>
      </c>
      <c r="E882" s="9" t="str">
        <f t="shared" si="211"/>
        <v>Dec-28</v>
      </c>
      <c r="F882" s="9" t="str">
        <f t="shared" si="212"/>
        <v>Q4</v>
      </c>
      <c r="G882" s="9">
        <f t="shared" si="213"/>
        <v>28</v>
      </c>
      <c r="H882" s="9">
        <f t="shared" si="214"/>
        <v>4</v>
      </c>
      <c r="I882" s="9" t="str">
        <f t="shared" si="215"/>
        <v>Thursday</v>
      </c>
      <c r="J882" s="9" t="str">
        <f t="shared" si="216"/>
        <v>No</v>
      </c>
      <c r="K882" s="5" t="str">
        <f>IF(COUNTIF(Bank_Holidays!A:A,A882)&gt;0,"Yes","No")</f>
        <v>No</v>
      </c>
      <c r="L882" t="str">
        <f t="shared" si="217"/>
        <v>Yes</v>
      </c>
      <c r="M882">
        <f t="shared" si="218"/>
        <v>52</v>
      </c>
      <c r="N882" s="5" t="str">
        <f t="shared" si="219"/>
        <v>No</v>
      </c>
      <c r="O882" t="str">
        <f>IF(A882=WORKDAY(EOMONTH(A882,0)+1,-1,Bank_Holidays!$A$2:$A$25),"Yes","No")</f>
        <v>No</v>
      </c>
      <c r="P882" t="str">
        <f t="shared" si="220"/>
        <v>No</v>
      </c>
      <c r="Q882" t="str">
        <f t="shared" si="221"/>
        <v>Yes</v>
      </c>
      <c r="R882" s="5">
        <f t="shared" si="223"/>
        <v>1</v>
      </c>
    </row>
    <row r="883" spans="1:18">
      <c r="A883" s="25">
        <f t="shared" si="222"/>
        <v>47116</v>
      </c>
      <c r="B883">
        <f t="shared" si="208"/>
        <v>2028</v>
      </c>
      <c r="C883" s="9">
        <f t="shared" si="209"/>
        <v>12</v>
      </c>
      <c r="D883" s="9" t="str">
        <f t="shared" si="210"/>
        <v>December</v>
      </c>
      <c r="E883" s="9" t="str">
        <f t="shared" si="211"/>
        <v>Dec-28</v>
      </c>
      <c r="F883" s="9" t="str">
        <f t="shared" si="212"/>
        <v>Q4</v>
      </c>
      <c r="G883" s="9">
        <f t="shared" si="213"/>
        <v>29</v>
      </c>
      <c r="H883" s="9">
        <f t="shared" si="214"/>
        <v>5</v>
      </c>
      <c r="I883" s="9" t="str">
        <f t="shared" si="215"/>
        <v>Friday</v>
      </c>
      <c r="J883" s="9" t="str">
        <f t="shared" si="216"/>
        <v>No</v>
      </c>
      <c r="K883" s="5" t="str">
        <f>IF(COUNTIF(Bank_Holidays!A:A,A883)&gt;0,"Yes","No")</f>
        <v>No</v>
      </c>
      <c r="L883" t="str">
        <f t="shared" si="217"/>
        <v>Yes</v>
      </c>
      <c r="M883">
        <f t="shared" si="218"/>
        <v>52</v>
      </c>
      <c r="N883" s="5" t="str">
        <f t="shared" si="219"/>
        <v>No</v>
      </c>
      <c r="O883" t="str">
        <f>IF(A883=WORKDAY(EOMONTH(A883,0)+1,-1,Bank_Holidays!$A$2:$A$25),"Yes","No")</f>
        <v>Yes</v>
      </c>
      <c r="P883" t="str">
        <f t="shared" si="220"/>
        <v>Yes</v>
      </c>
      <c r="Q883" t="str">
        <f t="shared" si="221"/>
        <v>No</v>
      </c>
      <c r="R883" s="5">
        <f t="shared" si="223"/>
        <v>3</v>
      </c>
    </row>
    <row r="884" spans="1:18">
      <c r="A884" s="25">
        <f t="shared" si="222"/>
        <v>47117</v>
      </c>
      <c r="B884">
        <f t="shared" si="208"/>
        <v>2028</v>
      </c>
      <c r="C884" s="9">
        <f t="shared" si="209"/>
        <v>12</v>
      </c>
      <c r="D884" s="9" t="str">
        <f t="shared" si="210"/>
        <v>December</v>
      </c>
      <c r="E884" s="9" t="str">
        <f t="shared" si="211"/>
        <v>Dec-28</v>
      </c>
      <c r="F884" s="9" t="str">
        <f t="shared" si="212"/>
        <v>Q4</v>
      </c>
      <c r="G884" s="9">
        <f t="shared" si="213"/>
        <v>30</v>
      </c>
      <c r="H884" s="9">
        <f t="shared" si="214"/>
        <v>6</v>
      </c>
      <c r="I884" s="9" t="str">
        <f t="shared" si="215"/>
        <v>Saturday</v>
      </c>
      <c r="J884" s="9" t="str">
        <f t="shared" si="216"/>
        <v>Yes</v>
      </c>
      <c r="K884" s="5" t="str">
        <f>IF(COUNTIF(Bank_Holidays!A:A,A884)&gt;0,"Yes","No")</f>
        <v>No</v>
      </c>
      <c r="L884" t="str">
        <f t="shared" si="217"/>
        <v>No</v>
      </c>
      <c r="M884">
        <f t="shared" si="218"/>
        <v>52</v>
      </c>
      <c r="N884" s="5" t="str">
        <f t="shared" si="219"/>
        <v>No</v>
      </c>
      <c r="O884" t="str">
        <f>IF(A884=WORKDAY(EOMONTH(A884,0)+1,-1,Bank_Holidays!$A$2:$A$25),"Yes","No")</f>
        <v>No</v>
      </c>
      <c r="P884" t="str">
        <f t="shared" si="220"/>
        <v>No</v>
      </c>
      <c r="Q884" t="str">
        <f t="shared" si="221"/>
        <v>No</v>
      </c>
      <c r="R884" s="5">
        <f t="shared" si="223"/>
        <v>0</v>
      </c>
    </row>
    <row r="885" spans="1:18">
      <c r="A885" s="25">
        <f t="shared" si="222"/>
        <v>47118</v>
      </c>
      <c r="B885">
        <f t="shared" si="208"/>
        <v>2028</v>
      </c>
      <c r="C885" s="9">
        <f t="shared" si="209"/>
        <v>12</v>
      </c>
      <c r="D885" s="9" t="str">
        <f t="shared" si="210"/>
        <v>December</v>
      </c>
      <c r="E885" s="9" t="str">
        <f t="shared" si="211"/>
        <v>Dec-28</v>
      </c>
      <c r="F885" s="9" t="str">
        <f t="shared" si="212"/>
        <v>Q4</v>
      </c>
      <c r="G885" s="9">
        <f t="shared" si="213"/>
        <v>31</v>
      </c>
      <c r="H885" s="9">
        <f t="shared" si="214"/>
        <v>7</v>
      </c>
      <c r="I885" s="9" t="str">
        <f t="shared" si="215"/>
        <v>Sunday</v>
      </c>
      <c r="J885" s="9" t="str">
        <f t="shared" si="216"/>
        <v>Yes</v>
      </c>
      <c r="K885" s="5" t="str">
        <f>IF(COUNTIF(Bank_Holidays!A:A,A885)&gt;0,"Yes","No")</f>
        <v>No</v>
      </c>
      <c r="L885" t="str">
        <f t="shared" si="217"/>
        <v>No</v>
      </c>
      <c r="M885">
        <f t="shared" si="218"/>
        <v>52</v>
      </c>
      <c r="N885" s="5" t="str">
        <f t="shared" si="219"/>
        <v>Yes</v>
      </c>
      <c r="O885" t="str">
        <f>IF(A885=WORKDAY(EOMONTH(A885,0)+1,-1,Bank_Holidays!$A$2:$A$25),"Yes","No")</f>
        <v>No</v>
      </c>
      <c r="P885" t="str">
        <f t="shared" si="220"/>
        <v>No</v>
      </c>
      <c r="Q885" t="str">
        <f t="shared" si="221"/>
        <v>No</v>
      </c>
      <c r="R885" s="5">
        <f t="shared" si="223"/>
        <v>0</v>
      </c>
    </row>
    <row r="886" spans="1:18">
      <c r="A886" s="25">
        <f t="shared" si="222"/>
        <v>47119</v>
      </c>
      <c r="B886">
        <f t="shared" si="208"/>
        <v>2029</v>
      </c>
      <c r="C886" s="9">
        <f t="shared" si="209"/>
        <v>1</v>
      </c>
      <c r="D886" s="9" t="str">
        <f t="shared" si="210"/>
        <v>January</v>
      </c>
      <c r="E886" s="9" t="str">
        <f t="shared" si="211"/>
        <v>Jan-29</v>
      </c>
      <c r="F886" s="9" t="str">
        <f t="shared" si="212"/>
        <v>Q1</v>
      </c>
      <c r="G886" s="9">
        <f t="shared" si="213"/>
        <v>1</v>
      </c>
      <c r="H886" s="9">
        <f t="shared" si="214"/>
        <v>1</v>
      </c>
      <c r="I886" s="9" t="str">
        <f t="shared" si="215"/>
        <v>Monday</v>
      </c>
      <c r="J886" s="9" t="str">
        <f t="shared" si="216"/>
        <v>No</v>
      </c>
      <c r="K886" s="5" t="str">
        <f>IF(COUNTIF(Bank_Holidays!A:A,A886)&gt;0,"Yes","No")</f>
        <v>No</v>
      </c>
      <c r="L886" t="str">
        <f t="shared" si="217"/>
        <v>Yes</v>
      </c>
      <c r="M886">
        <f t="shared" si="218"/>
        <v>1</v>
      </c>
      <c r="N886" s="5" t="str">
        <f t="shared" si="219"/>
        <v>No</v>
      </c>
      <c r="O886" t="str">
        <f>IF(A886=WORKDAY(EOMONTH(A886,0)+1,-1,Bank_Holidays!$A$2:$A$25),"Yes","No")</f>
        <v>No</v>
      </c>
      <c r="P886" t="str">
        <f t="shared" si="220"/>
        <v>No</v>
      </c>
      <c r="Q886" t="str">
        <f t="shared" si="221"/>
        <v>No</v>
      </c>
      <c r="R886" s="5">
        <f t="shared" si="223"/>
        <v>1</v>
      </c>
    </row>
    <row r="887" spans="1:18">
      <c r="A887" s="25">
        <f t="shared" si="222"/>
        <v>47120</v>
      </c>
      <c r="B887">
        <f t="shared" si="208"/>
        <v>2029</v>
      </c>
      <c r="C887" s="9">
        <f t="shared" si="209"/>
        <v>1</v>
      </c>
      <c r="D887" s="9" t="str">
        <f t="shared" si="210"/>
        <v>January</v>
      </c>
      <c r="E887" s="9" t="str">
        <f t="shared" si="211"/>
        <v>Jan-29</v>
      </c>
      <c r="F887" s="9" t="str">
        <f t="shared" si="212"/>
        <v>Q1</v>
      </c>
      <c r="G887" s="9">
        <f t="shared" si="213"/>
        <v>2</v>
      </c>
      <c r="H887" s="9">
        <f t="shared" si="214"/>
        <v>2</v>
      </c>
      <c r="I887" s="9" t="str">
        <f t="shared" si="215"/>
        <v>Tuesday</v>
      </c>
      <c r="J887" s="9" t="str">
        <f t="shared" si="216"/>
        <v>No</v>
      </c>
      <c r="K887" s="5" t="str">
        <f>IF(COUNTIF(Bank_Holidays!A:A,A887)&gt;0,"Yes","No")</f>
        <v>No</v>
      </c>
      <c r="L887" t="str">
        <f t="shared" si="217"/>
        <v>Yes</v>
      </c>
      <c r="M887">
        <f t="shared" si="218"/>
        <v>1</v>
      </c>
      <c r="N887" s="5" t="str">
        <f t="shared" si="219"/>
        <v>No</v>
      </c>
      <c r="O887" t="str">
        <f>IF(A887=WORKDAY(EOMONTH(A887,0)+1,-1,Bank_Holidays!$A$2:$A$25),"Yes","No")</f>
        <v>No</v>
      </c>
      <c r="P887" t="str">
        <f t="shared" si="220"/>
        <v>No</v>
      </c>
      <c r="Q887" t="str">
        <f t="shared" si="221"/>
        <v>No</v>
      </c>
      <c r="R887" s="5">
        <f t="shared" si="223"/>
        <v>1</v>
      </c>
    </row>
    <row r="888" spans="1:18">
      <c r="A888" s="25">
        <f t="shared" si="222"/>
        <v>47121</v>
      </c>
      <c r="B888">
        <f t="shared" si="208"/>
        <v>2029</v>
      </c>
      <c r="C888" s="9">
        <f t="shared" si="209"/>
        <v>1</v>
      </c>
      <c r="D888" s="9" t="str">
        <f t="shared" si="210"/>
        <v>January</v>
      </c>
      <c r="E888" s="9" t="str">
        <f t="shared" si="211"/>
        <v>Jan-29</v>
      </c>
      <c r="F888" s="9" t="str">
        <f t="shared" si="212"/>
        <v>Q1</v>
      </c>
      <c r="G888" s="9">
        <f t="shared" si="213"/>
        <v>3</v>
      </c>
      <c r="H888" s="9">
        <f t="shared" si="214"/>
        <v>3</v>
      </c>
      <c r="I888" s="9" t="str">
        <f t="shared" si="215"/>
        <v>Wednesday</v>
      </c>
      <c r="J888" s="9" t="str">
        <f t="shared" si="216"/>
        <v>No</v>
      </c>
      <c r="K888" s="5" t="str">
        <f>IF(COUNTIF(Bank_Holidays!A:A,A888)&gt;0,"Yes","No")</f>
        <v>No</v>
      </c>
      <c r="L888" t="str">
        <f t="shared" si="217"/>
        <v>Yes</v>
      </c>
      <c r="M888">
        <f t="shared" si="218"/>
        <v>1</v>
      </c>
      <c r="N888" s="5" t="str">
        <f t="shared" si="219"/>
        <v>No</v>
      </c>
      <c r="O888" t="str">
        <f>IF(A888=WORKDAY(EOMONTH(A888,0)+1,-1,Bank_Holidays!$A$2:$A$25),"Yes","No")</f>
        <v>No</v>
      </c>
      <c r="P888" t="str">
        <f t="shared" si="220"/>
        <v>No</v>
      </c>
      <c r="Q888" t="str">
        <f t="shared" si="221"/>
        <v>No</v>
      </c>
      <c r="R888" s="5">
        <f t="shared" si="223"/>
        <v>1</v>
      </c>
    </row>
    <row r="889" spans="1:18">
      <c r="A889" s="25">
        <f t="shared" si="222"/>
        <v>47122</v>
      </c>
      <c r="B889">
        <f t="shared" si="208"/>
        <v>2029</v>
      </c>
      <c r="C889" s="9">
        <f t="shared" si="209"/>
        <v>1</v>
      </c>
      <c r="D889" s="9" t="str">
        <f t="shared" si="210"/>
        <v>January</v>
      </c>
      <c r="E889" s="9" t="str">
        <f t="shared" si="211"/>
        <v>Jan-29</v>
      </c>
      <c r="F889" s="9" t="str">
        <f t="shared" si="212"/>
        <v>Q1</v>
      </c>
      <c r="G889" s="9">
        <f t="shared" si="213"/>
        <v>4</v>
      </c>
      <c r="H889" s="9">
        <f t="shared" si="214"/>
        <v>4</v>
      </c>
      <c r="I889" s="9" t="str">
        <f t="shared" si="215"/>
        <v>Thursday</v>
      </c>
      <c r="J889" s="9" t="str">
        <f t="shared" si="216"/>
        <v>No</v>
      </c>
      <c r="K889" s="5" t="str">
        <f>IF(COUNTIF(Bank_Holidays!A:A,A889)&gt;0,"Yes","No")</f>
        <v>No</v>
      </c>
      <c r="L889" t="str">
        <f t="shared" si="217"/>
        <v>Yes</v>
      </c>
      <c r="M889">
        <f t="shared" si="218"/>
        <v>1</v>
      </c>
      <c r="N889" s="5" t="str">
        <f t="shared" si="219"/>
        <v>No</v>
      </c>
      <c r="O889" t="str">
        <f>IF(A889=WORKDAY(EOMONTH(A889,0)+1,-1,Bank_Holidays!$A$2:$A$25),"Yes","No")</f>
        <v>No</v>
      </c>
      <c r="P889" t="str">
        <f t="shared" si="220"/>
        <v>No</v>
      </c>
      <c r="Q889" t="str">
        <f t="shared" si="221"/>
        <v>No</v>
      </c>
      <c r="R889" s="5">
        <f t="shared" si="223"/>
        <v>1</v>
      </c>
    </row>
    <row r="890" spans="1:18">
      <c r="A890" s="25">
        <f t="shared" si="222"/>
        <v>47123</v>
      </c>
      <c r="B890">
        <f t="shared" si="208"/>
        <v>2029</v>
      </c>
      <c r="C890" s="9">
        <f t="shared" si="209"/>
        <v>1</v>
      </c>
      <c r="D890" s="9" t="str">
        <f t="shared" si="210"/>
        <v>January</v>
      </c>
      <c r="E890" s="9" t="str">
        <f t="shared" si="211"/>
        <v>Jan-29</v>
      </c>
      <c r="F890" s="9" t="str">
        <f t="shared" si="212"/>
        <v>Q1</v>
      </c>
      <c r="G890" s="9">
        <f t="shared" si="213"/>
        <v>5</v>
      </c>
      <c r="H890" s="9">
        <f t="shared" si="214"/>
        <v>5</v>
      </c>
      <c r="I890" s="9" t="str">
        <f t="shared" si="215"/>
        <v>Friday</v>
      </c>
      <c r="J890" s="9" t="str">
        <f t="shared" si="216"/>
        <v>No</v>
      </c>
      <c r="K890" s="5" t="str">
        <f>IF(COUNTIF(Bank_Holidays!A:A,A890)&gt;0,"Yes","No")</f>
        <v>No</v>
      </c>
      <c r="L890" t="str">
        <f t="shared" si="217"/>
        <v>Yes</v>
      </c>
      <c r="M890">
        <f t="shared" si="218"/>
        <v>1</v>
      </c>
      <c r="N890" s="5" t="str">
        <f t="shared" si="219"/>
        <v>No</v>
      </c>
      <c r="O890" t="str">
        <f>IF(A890=WORKDAY(EOMONTH(A890,0)+1,-1,Bank_Holidays!$A$2:$A$25),"Yes","No")</f>
        <v>No</v>
      </c>
      <c r="P890" t="str">
        <f t="shared" si="220"/>
        <v>No</v>
      </c>
      <c r="Q890" t="str">
        <f t="shared" si="221"/>
        <v>No</v>
      </c>
      <c r="R890" s="5">
        <f t="shared" si="223"/>
        <v>3</v>
      </c>
    </row>
    <row r="891" spans="1:18">
      <c r="A891" s="25">
        <f t="shared" si="222"/>
        <v>47124</v>
      </c>
      <c r="B891">
        <f t="shared" si="208"/>
        <v>2029</v>
      </c>
      <c r="C891" s="9">
        <f t="shared" si="209"/>
        <v>1</v>
      </c>
      <c r="D891" s="9" t="str">
        <f t="shared" si="210"/>
        <v>January</v>
      </c>
      <c r="E891" s="9" t="str">
        <f t="shared" si="211"/>
        <v>Jan-29</v>
      </c>
      <c r="F891" s="9" t="str">
        <f t="shared" si="212"/>
        <v>Q1</v>
      </c>
      <c r="G891" s="9">
        <f t="shared" si="213"/>
        <v>6</v>
      </c>
      <c r="H891" s="9">
        <f t="shared" si="214"/>
        <v>6</v>
      </c>
      <c r="I891" s="9" t="str">
        <f t="shared" si="215"/>
        <v>Saturday</v>
      </c>
      <c r="J891" s="9" t="str">
        <f t="shared" si="216"/>
        <v>Yes</v>
      </c>
      <c r="K891" s="5" t="str">
        <f>IF(COUNTIF(Bank_Holidays!A:A,A891)&gt;0,"Yes","No")</f>
        <v>No</v>
      </c>
      <c r="L891" t="str">
        <f t="shared" si="217"/>
        <v>No</v>
      </c>
      <c r="M891">
        <f t="shared" si="218"/>
        <v>1</v>
      </c>
      <c r="N891" s="5" t="str">
        <f t="shared" si="219"/>
        <v>No</v>
      </c>
      <c r="O891" t="str">
        <f>IF(A891=WORKDAY(EOMONTH(A891,0)+1,-1,Bank_Holidays!$A$2:$A$25),"Yes","No")</f>
        <v>No</v>
      </c>
      <c r="P891" t="str">
        <f t="shared" si="220"/>
        <v>No</v>
      </c>
      <c r="Q891" t="str">
        <f t="shared" si="221"/>
        <v>No</v>
      </c>
      <c r="R891" s="5">
        <f t="shared" si="223"/>
        <v>0</v>
      </c>
    </row>
    <row r="892" spans="1:18">
      <c r="A892" s="25">
        <f t="shared" si="222"/>
        <v>47125</v>
      </c>
      <c r="B892">
        <f t="shared" si="208"/>
        <v>2029</v>
      </c>
      <c r="C892" s="9">
        <f t="shared" si="209"/>
        <v>1</v>
      </c>
      <c r="D892" s="9" t="str">
        <f t="shared" si="210"/>
        <v>January</v>
      </c>
      <c r="E892" s="9" t="str">
        <f t="shared" si="211"/>
        <v>Jan-29</v>
      </c>
      <c r="F892" s="9" t="str">
        <f t="shared" si="212"/>
        <v>Q1</v>
      </c>
      <c r="G892" s="9">
        <f t="shared" si="213"/>
        <v>7</v>
      </c>
      <c r="H892" s="9">
        <f t="shared" si="214"/>
        <v>7</v>
      </c>
      <c r="I892" s="9" t="str">
        <f t="shared" si="215"/>
        <v>Sunday</v>
      </c>
      <c r="J892" s="9" t="str">
        <f t="shared" si="216"/>
        <v>Yes</v>
      </c>
      <c r="K892" s="5" t="str">
        <f>IF(COUNTIF(Bank_Holidays!A:A,A892)&gt;0,"Yes","No")</f>
        <v>No</v>
      </c>
      <c r="L892" t="str">
        <f t="shared" si="217"/>
        <v>No</v>
      </c>
      <c r="M892">
        <f t="shared" si="218"/>
        <v>1</v>
      </c>
      <c r="N892" s="5" t="str">
        <f t="shared" si="219"/>
        <v>No</v>
      </c>
      <c r="O892" t="str">
        <f>IF(A892=WORKDAY(EOMONTH(A892,0)+1,-1,Bank_Holidays!$A$2:$A$25),"Yes","No")</f>
        <v>No</v>
      </c>
      <c r="P892" t="str">
        <f t="shared" si="220"/>
        <v>No</v>
      </c>
      <c r="Q892" t="str">
        <f t="shared" si="221"/>
        <v>No</v>
      </c>
      <c r="R892" s="5">
        <f t="shared" si="223"/>
        <v>0</v>
      </c>
    </row>
    <row r="893" spans="1:18">
      <c r="A893" s="25">
        <f t="shared" si="222"/>
        <v>47126</v>
      </c>
      <c r="B893">
        <f t="shared" si="208"/>
        <v>2029</v>
      </c>
      <c r="C893" s="9">
        <f t="shared" si="209"/>
        <v>1</v>
      </c>
      <c r="D893" s="9" t="str">
        <f t="shared" si="210"/>
        <v>January</v>
      </c>
      <c r="E893" s="9" t="str">
        <f t="shared" si="211"/>
        <v>Jan-29</v>
      </c>
      <c r="F893" s="9" t="str">
        <f t="shared" si="212"/>
        <v>Q1</v>
      </c>
      <c r="G893" s="9">
        <f t="shared" si="213"/>
        <v>8</v>
      </c>
      <c r="H893" s="9">
        <f t="shared" si="214"/>
        <v>1</v>
      </c>
      <c r="I893" s="9" t="str">
        <f t="shared" si="215"/>
        <v>Monday</v>
      </c>
      <c r="J893" s="9" t="str">
        <f t="shared" si="216"/>
        <v>No</v>
      </c>
      <c r="K893" s="5" t="str">
        <f>IF(COUNTIF(Bank_Holidays!A:A,A893)&gt;0,"Yes","No")</f>
        <v>No</v>
      </c>
      <c r="L893" t="str">
        <f t="shared" si="217"/>
        <v>Yes</v>
      </c>
      <c r="M893">
        <f t="shared" si="218"/>
        <v>2</v>
      </c>
      <c r="N893" s="5" t="str">
        <f t="shared" si="219"/>
        <v>No</v>
      </c>
      <c r="O893" t="str">
        <f>IF(A893=WORKDAY(EOMONTH(A893,0)+1,-1,Bank_Holidays!$A$2:$A$25),"Yes","No")</f>
        <v>No</v>
      </c>
      <c r="P893" t="str">
        <f t="shared" si="220"/>
        <v>No</v>
      </c>
      <c r="Q893" t="str">
        <f t="shared" si="221"/>
        <v>No</v>
      </c>
      <c r="R893" s="5">
        <f t="shared" si="223"/>
        <v>1</v>
      </c>
    </row>
    <row r="894" spans="1:18">
      <c r="A894" s="25">
        <f t="shared" si="222"/>
        <v>47127</v>
      </c>
      <c r="B894">
        <f t="shared" si="208"/>
        <v>2029</v>
      </c>
      <c r="C894" s="9">
        <f t="shared" si="209"/>
        <v>1</v>
      </c>
      <c r="D894" s="9" t="str">
        <f t="shared" si="210"/>
        <v>January</v>
      </c>
      <c r="E894" s="9" t="str">
        <f t="shared" si="211"/>
        <v>Jan-29</v>
      </c>
      <c r="F894" s="9" t="str">
        <f t="shared" si="212"/>
        <v>Q1</v>
      </c>
      <c r="G894" s="9">
        <f t="shared" si="213"/>
        <v>9</v>
      </c>
      <c r="H894" s="9">
        <f t="shared" si="214"/>
        <v>2</v>
      </c>
      <c r="I894" s="9" t="str">
        <f t="shared" si="215"/>
        <v>Tuesday</v>
      </c>
      <c r="J894" s="9" t="str">
        <f t="shared" si="216"/>
        <v>No</v>
      </c>
      <c r="K894" s="5" t="str">
        <f>IF(COUNTIF(Bank_Holidays!A:A,A894)&gt;0,"Yes","No")</f>
        <v>No</v>
      </c>
      <c r="L894" t="str">
        <f t="shared" si="217"/>
        <v>Yes</v>
      </c>
      <c r="M894">
        <f t="shared" si="218"/>
        <v>2</v>
      </c>
      <c r="N894" s="5" t="str">
        <f t="shared" si="219"/>
        <v>No</v>
      </c>
      <c r="O894" t="str">
        <f>IF(A894=WORKDAY(EOMONTH(A894,0)+1,-1,Bank_Holidays!$A$2:$A$25),"Yes","No")</f>
        <v>No</v>
      </c>
      <c r="P894" t="str">
        <f t="shared" si="220"/>
        <v>No</v>
      </c>
      <c r="Q894" t="str">
        <f t="shared" si="221"/>
        <v>No</v>
      </c>
      <c r="R894" s="5">
        <f t="shared" si="223"/>
        <v>1</v>
      </c>
    </row>
    <row r="895" spans="1:18">
      <c r="A895" s="25">
        <f t="shared" si="222"/>
        <v>47128</v>
      </c>
      <c r="B895">
        <f t="shared" si="208"/>
        <v>2029</v>
      </c>
      <c r="C895" s="9">
        <f t="shared" si="209"/>
        <v>1</v>
      </c>
      <c r="D895" s="9" t="str">
        <f t="shared" si="210"/>
        <v>January</v>
      </c>
      <c r="E895" s="9" t="str">
        <f t="shared" si="211"/>
        <v>Jan-29</v>
      </c>
      <c r="F895" s="9" t="str">
        <f t="shared" si="212"/>
        <v>Q1</v>
      </c>
      <c r="G895" s="9">
        <f t="shared" si="213"/>
        <v>10</v>
      </c>
      <c r="H895" s="9">
        <f t="shared" si="214"/>
        <v>3</v>
      </c>
      <c r="I895" s="9" t="str">
        <f t="shared" si="215"/>
        <v>Wednesday</v>
      </c>
      <c r="J895" s="9" t="str">
        <f t="shared" si="216"/>
        <v>No</v>
      </c>
      <c r="K895" s="5" t="str">
        <f>IF(COUNTIF(Bank_Holidays!A:A,A895)&gt;0,"Yes","No")</f>
        <v>No</v>
      </c>
      <c r="L895" t="str">
        <f t="shared" si="217"/>
        <v>Yes</v>
      </c>
      <c r="M895">
        <f t="shared" si="218"/>
        <v>2</v>
      </c>
      <c r="N895" s="5" t="str">
        <f t="shared" si="219"/>
        <v>No</v>
      </c>
      <c r="O895" t="str">
        <f>IF(A895=WORKDAY(EOMONTH(A895,0)+1,-1,Bank_Holidays!$A$2:$A$25),"Yes","No")</f>
        <v>No</v>
      </c>
      <c r="P895" t="str">
        <f t="shared" si="220"/>
        <v>No</v>
      </c>
      <c r="Q895" t="str">
        <f t="shared" si="221"/>
        <v>No</v>
      </c>
      <c r="R895" s="5">
        <f t="shared" si="223"/>
        <v>1</v>
      </c>
    </row>
    <row r="896" spans="1:18">
      <c r="A896" s="25">
        <f t="shared" si="222"/>
        <v>47129</v>
      </c>
      <c r="B896">
        <f t="shared" si="208"/>
        <v>2029</v>
      </c>
      <c r="C896" s="9">
        <f t="shared" si="209"/>
        <v>1</v>
      </c>
      <c r="D896" s="9" t="str">
        <f t="shared" si="210"/>
        <v>January</v>
      </c>
      <c r="E896" s="9" t="str">
        <f t="shared" si="211"/>
        <v>Jan-29</v>
      </c>
      <c r="F896" s="9" t="str">
        <f t="shared" si="212"/>
        <v>Q1</v>
      </c>
      <c r="G896" s="9">
        <f t="shared" si="213"/>
        <v>11</v>
      </c>
      <c r="H896" s="9">
        <f t="shared" si="214"/>
        <v>4</v>
      </c>
      <c r="I896" s="9" t="str">
        <f t="shared" si="215"/>
        <v>Thursday</v>
      </c>
      <c r="J896" s="9" t="str">
        <f t="shared" si="216"/>
        <v>No</v>
      </c>
      <c r="K896" s="5" t="str">
        <f>IF(COUNTIF(Bank_Holidays!A:A,A896)&gt;0,"Yes","No")</f>
        <v>No</v>
      </c>
      <c r="L896" t="str">
        <f t="shared" si="217"/>
        <v>Yes</v>
      </c>
      <c r="M896">
        <f t="shared" si="218"/>
        <v>2</v>
      </c>
      <c r="N896" s="5" t="str">
        <f t="shared" si="219"/>
        <v>No</v>
      </c>
      <c r="O896" t="str">
        <f>IF(A896=WORKDAY(EOMONTH(A896,0)+1,-1,Bank_Holidays!$A$2:$A$25),"Yes","No")</f>
        <v>No</v>
      </c>
      <c r="P896" t="str">
        <f t="shared" si="220"/>
        <v>No</v>
      </c>
      <c r="Q896" t="str">
        <f t="shared" si="221"/>
        <v>No</v>
      </c>
      <c r="R896" s="5">
        <f t="shared" si="223"/>
        <v>1</v>
      </c>
    </row>
    <row r="897" spans="1:18">
      <c r="A897" s="25">
        <f t="shared" si="222"/>
        <v>47130</v>
      </c>
      <c r="B897">
        <f t="shared" si="208"/>
        <v>2029</v>
      </c>
      <c r="C897" s="9">
        <f t="shared" si="209"/>
        <v>1</v>
      </c>
      <c r="D897" s="9" t="str">
        <f t="shared" si="210"/>
        <v>January</v>
      </c>
      <c r="E897" s="9" t="str">
        <f t="shared" si="211"/>
        <v>Jan-29</v>
      </c>
      <c r="F897" s="9" t="str">
        <f t="shared" si="212"/>
        <v>Q1</v>
      </c>
      <c r="G897" s="9">
        <f t="shared" si="213"/>
        <v>12</v>
      </c>
      <c r="H897" s="9">
        <f t="shared" si="214"/>
        <v>5</v>
      </c>
      <c r="I897" s="9" t="str">
        <f t="shared" si="215"/>
        <v>Friday</v>
      </c>
      <c r="J897" s="9" t="str">
        <f t="shared" si="216"/>
        <v>No</v>
      </c>
      <c r="K897" s="5" t="str">
        <f>IF(COUNTIF(Bank_Holidays!A:A,A897)&gt;0,"Yes","No")</f>
        <v>No</v>
      </c>
      <c r="L897" t="str">
        <f t="shared" si="217"/>
        <v>Yes</v>
      </c>
      <c r="M897">
        <f t="shared" si="218"/>
        <v>2</v>
      </c>
      <c r="N897" s="5" t="str">
        <f t="shared" si="219"/>
        <v>No</v>
      </c>
      <c r="O897" t="str">
        <f>IF(A897=WORKDAY(EOMONTH(A897,0)+1,-1,Bank_Holidays!$A$2:$A$25),"Yes","No")</f>
        <v>No</v>
      </c>
      <c r="P897" t="str">
        <f t="shared" si="220"/>
        <v>No</v>
      </c>
      <c r="Q897" t="str">
        <f t="shared" si="221"/>
        <v>No</v>
      </c>
      <c r="R897" s="5">
        <f t="shared" si="223"/>
        <v>3</v>
      </c>
    </row>
    <row r="898" spans="1:18">
      <c r="A898" s="25">
        <f t="shared" si="222"/>
        <v>47131</v>
      </c>
      <c r="B898">
        <f t="shared" ref="B898:B961" si="224">YEAR(A898)</f>
        <v>2029</v>
      </c>
      <c r="C898" s="9">
        <f t="shared" ref="C898:C961" si="225">MONTH(A898)</f>
        <v>1</v>
      </c>
      <c r="D898" s="9" t="str">
        <f t="shared" ref="D898:D961" si="226">TEXT(A898,"mmmm")</f>
        <v>January</v>
      </c>
      <c r="E898" s="9" t="str">
        <f t="shared" ref="E898:E961" si="227">TEXT(A898,"mmm-yy")</f>
        <v>Jan-29</v>
      </c>
      <c r="F898" s="9" t="str">
        <f t="shared" ref="F898:F961" si="228">"Q"&amp;ROUNDUP(MONTH($A898)/3,0)</f>
        <v>Q1</v>
      </c>
      <c r="G898" s="9">
        <f t="shared" ref="G898:G961" si="229">DAY($A898)</f>
        <v>13</v>
      </c>
      <c r="H898" s="9">
        <f t="shared" ref="H898:H961" si="230">WEEKDAY($A898,2)</f>
        <v>6</v>
      </c>
      <c r="I898" s="9" t="str">
        <f t="shared" ref="I898:I961" si="231">TEXT($A898,"dddd")</f>
        <v>Saturday</v>
      </c>
      <c r="J898" s="9" t="str">
        <f t="shared" ref="J898:J961" si="232">IF($H898&gt;5,"Yes","No")</f>
        <v>Yes</v>
      </c>
      <c r="K898" s="5" t="str">
        <f>IF(COUNTIF(Bank_Holidays!A:A,A898)&gt;0,"Yes","No")</f>
        <v>No</v>
      </c>
      <c r="L898" t="str">
        <f t="shared" ref="L898:L961" si="233">IF(AND(J898="No",K898="No"),"Yes","No")</f>
        <v>No</v>
      </c>
      <c r="M898">
        <f t="shared" ref="M898:M961" si="234">_xlfn.ISOWEEKNUM(A898)</f>
        <v>2</v>
      </c>
      <c r="N898" s="5" t="str">
        <f t="shared" ref="N898:N961" si="235">IF(A898=EOMONTH(A898,0),"Yes","No")</f>
        <v>No</v>
      </c>
      <c r="O898" t="str">
        <f>IF(A898=WORKDAY(EOMONTH(A898,0)+1,-1,Bank_Holidays!$A$2:$A$25),"Yes","No")</f>
        <v>No</v>
      </c>
      <c r="P898" t="str">
        <f t="shared" ref="P898:P961" si="236">IF(
AND(
TEXT(A898,"dddd")="Friday",
MONTH(A898+7)&lt;&gt;MONTH(A898)
),
"Yes",
"No"
)</f>
        <v>No</v>
      </c>
      <c r="Q898" t="str">
        <f t="shared" ref="Q898:Q961" si="237">IF(
AND(
TEXT(A898,"dddd")="Thursday",
MONTH(A898+7)&lt;&gt;MONTH(A898)
),
"Yes",
"No"
)</f>
        <v>No</v>
      </c>
      <c r="R898" s="5">
        <f t="shared" si="223"/>
        <v>0</v>
      </c>
    </row>
    <row r="899" spans="1:18">
      <c r="A899" s="25">
        <f t="shared" ref="A899:A962" si="238">A898+1</f>
        <v>47132</v>
      </c>
      <c r="B899">
        <f t="shared" si="224"/>
        <v>2029</v>
      </c>
      <c r="C899" s="9">
        <f t="shared" si="225"/>
        <v>1</v>
      </c>
      <c r="D899" s="9" t="str">
        <f t="shared" si="226"/>
        <v>January</v>
      </c>
      <c r="E899" s="9" t="str">
        <f t="shared" si="227"/>
        <v>Jan-29</v>
      </c>
      <c r="F899" s="9" t="str">
        <f t="shared" si="228"/>
        <v>Q1</v>
      </c>
      <c r="G899" s="9">
        <f t="shared" si="229"/>
        <v>14</v>
      </c>
      <c r="H899" s="9">
        <f t="shared" si="230"/>
        <v>7</v>
      </c>
      <c r="I899" s="9" t="str">
        <f t="shared" si="231"/>
        <v>Sunday</v>
      </c>
      <c r="J899" s="9" t="str">
        <f t="shared" si="232"/>
        <v>Yes</v>
      </c>
      <c r="K899" s="5" t="str">
        <f>IF(COUNTIF(Bank_Holidays!A:A,A899)&gt;0,"Yes","No")</f>
        <v>No</v>
      </c>
      <c r="L899" t="str">
        <f t="shared" si="233"/>
        <v>No</v>
      </c>
      <c r="M899">
        <f t="shared" si="234"/>
        <v>2</v>
      </c>
      <c r="N899" s="5" t="str">
        <f t="shared" si="235"/>
        <v>No</v>
      </c>
      <c r="O899" t="str">
        <f>IF(A899=WORKDAY(EOMONTH(A899,0)+1,-1,Bank_Holidays!$A$2:$A$25),"Yes","No")</f>
        <v>No</v>
      </c>
      <c r="P899" t="str">
        <f t="shared" si="236"/>
        <v>No</v>
      </c>
      <c r="Q899" t="str">
        <f t="shared" si="237"/>
        <v>No</v>
      </c>
      <c r="R899" s="5">
        <f t="shared" ref="R899:R962" si="239">IF(L899="yes",1)+IF(L899="no",0,IF(AND(L904="no",L903="no",L902="no",L901="no",L900="no"),5,IF(AND(L903="no",L902="no",L901="no",L900="no"),4,IF(AND(L902="no",L901="no",L900="no"),3,IF(AND(L901="no",L900="no"),2,IF(L900="no",1))))))</f>
        <v>0</v>
      </c>
    </row>
    <row r="900" spans="1:18">
      <c r="A900" s="25">
        <f t="shared" si="238"/>
        <v>47133</v>
      </c>
      <c r="B900">
        <f t="shared" si="224"/>
        <v>2029</v>
      </c>
      <c r="C900" s="9">
        <f t="shared" si="225"/>
        <v>1</v>
      </c>
      <c r="D900" s="9" t="str">
        <f t="shared" si="226"/>
        <v>January</v>
      </c>
      <c r="E900" s="9" t="str">
        <f t="shared" si="227"/>
        <v>Jan-29</v>
      </c>
      <c r="F900" s="9" t="str">
        <f t="shared" si="228"/>
        <v>Q1</v>
      </c>
      <c r="G900" s="9">
        <f t="shared" si="229"/>
        <v>15</v>
      </c>
      <c r="H900" s="9">
        <f t="shared" si="230"/>
        <v>1</v>
      </c>
      <c r="I900" s="9" t="str">
        <f t="shared" si="231"/>
        <v>Monday</v>
      </c>
      <c r="J900" s="9" t="str">
        <f t="shared" si="232"/>
        <v>No</v>
      </c>
      <c r="K900" s="5" t="str">
        <f>IF(COUNTIF(Bank_Holidays!A:A,A900)&gt;0,"Yes","No")</f>
        <v>No</v>
      </c>
      <c r="L900" t="str">
        <f t="shared" si="233"/>
        <v>Yes</v>
      </c>
      <c r="M900">
        <f t="shared" si="234"/>
        <v>3</v>
      </c>
      <c r="N900" s="5" t="str">
        <f t="shared" si="235"/>
        <v>No</v>
      </c>
      <c r="O900" t="str">
        <f>IF(A900=WORKDAY(EOMONTH(A900,0)+1,-1,Bank_Holidays!$A$2:$A$25),"Yes","No")</f>
        <v>No</v>
      </c>
      <c r="P900" t="str">
        <f t="shared" si="236"/>
        <v>No</v>
      </c>
      <c r="Q900" t="str">
        <f t="shared" si="237"/>
        <v>No</v>
      </c>
      <c r="R900" s="5">
        <f t="shared" si="239"/>
        <v>1</v>
      </c>
    </row>
    <row r="901" spans="1:18">
      <c r="A901" s="25">
        <f t="shared" si="238"/>
        <v>47134</v>
      </c>
      <c r="B901">
        <f t="shared" si="224"/>
        <v>2029</v>
      </c>
      <c r="C901" s="9">
        <f t="shared" si="225"/>
        <v>1</v>
      </c>
      <c r="D901" s="9" t="str">
        <f t="shared" si="226"/>
        <v>January</v>
      </c>
      <c r="E901" s="9" t="str">
        <f t="shared" si="227"/>
        <v>Jan-29</v>
      </c>
      <c r="F901" s="9" t="str">
        <f t="shared" si="228"/>
        <v>Q1</v>
      </c>
      <c r="G901" s="9">
        <f t="shared" si="229"/>
        <v>16</v>
      </c>
      <c r="H901" s="9">
        <f t="shared" si="230"/>
        <v>2</v>
      </c>
      <c r="I901" s="9" t="str">
        <f t="shared" si="231"/>
        <v>Tuesday</v>
      </c>
      <c r="J901" s="9" t="str">
        <f t="shared" si="232"/>
        <v>No</v>
      </c>
      <c r="K901" s="5" t="str">
        <f>IF(COUNTIF(Bank_Holidays!A:A,A901)&gt;0,"Yes","No")</f>
        <v>No</v>
      </c>
      <c r="L901" t="str">
        <f t="shared" si="233"/>
        <v>Yes</v>
      </c>
      <c r="M901">
        <f t="shared" si="234"/>
        <v>3</v>
      </c>
      <c r="N901" s="5" t="str">
        <f t="shared" si="235"/>
        <v>No</v>
      </c>
      <c r="O901" t="str">
        <f>IF(A901=WORKDAY(EOMONTH(A901,0)+1,-1,Bank_Holidays!$A$2:$A$25),"Yes","No")</f>
        <v>No</v>
      </c>
      <c r="P901" t="str">
        <f t="shared" si="236"/>
        <v>No</v>
      </c>
      <c r="Q901" t="str">
        <f t="shared" si="237"/>
        <v>No</v>
      </c>
      <c r="R901" s="5">
        <f t="shared" si="239"/>
        <v>1</v>
      </c>
    </row>
    <row r="902" spans="1:18">
      <c r="A902" s="25">
        <f t="shared" si="238"/>
        <v>47135</v>
      </c>
      <c r="B902">
        <f t="shared" si="224"/>
        <v>2029</v>
      </c>
      <c r="C902" s="9">
        <f t="shared" si="225"/>
        <v>1</v>
      </c>
      <c r="D902" s="9" t="str">
        <f t="shared" si="226"/>
        <v>January</v>
      </c>
      <c r="E902" s="9" t="str">
        <f t="shared" si="227"/>
        <v>Jan-29</v>
      </c>
      <c r="F902" s="9" t="str">
        <f t="shared" si="228"/>
        <v>Q1</v>
      </c>
      <c r="G902" s="9">
        <f t="shared" si="229"/>
        <v>17</v>
      </c>
      <c r="H902" s="9">
        <f t="shared" si="230"/>
        <v>3</v>
      </c>
      <c r="I902" s="9" t="str">
        <f t="shared" si="231"/>
        <v>Wednesday</v>
      </c>
      <c r="J902" s="9" t="str">
        <f t="shared" si="232"/>
        <v>No</v>
      </c>
      <c r="K902" s="5" t="str">
        <f>IF(COUNTIF(Bank_Holidays!A:A,A902)&gt;0,"Yes","No")</f>
        <v>No</v>
      </c>
      <c r="L902" t="str">
        <f t="shared" si="233"/>
        <v>Yes</v>
      </c>
      <c r="M902">
        <f t="shared" si="234"/>
        <v>3</v>
      </c>
      <c r="N902" s="5" t="str">
        <f t="shared" si="235"/>
        <v>No</v>
      </c>
      <c r="O902" t="str">
        <f>IF(A902=WORKDAY(EOMONTH(A902,0)+1,-1,Bank_Holidays!$A$2:$A$25),"Yes","No")</f>
        <v>No</v>
      </c>
      <c r="P902" t="str">
        <f t="shared" si="236"/>
        <v>No</v>
      </c>
      <c r="Q902" t="str">
        <f t="shared" si="237"/>
        <v>No</v>
      </c>
      <c r="R902" s="5">
        <f t="shared" si="239"/>
        <v>1</v>
      </c>
    </row>
    <row r="903" spans="1:18">
      <c r="A903" s="25">
        <f t="shared" si="238"/>
        <v>47136</v>
      </c>
      <c r="B903">
        <f t="shared" si="224"/>
        <v>2029</v>
      </c>
      <c r="C903" s="9">
        <f t="shared" si="225"/>
        <v>1</v>
      </c>
      <c r="D903" s="9" t="str">
        <f t="shared" si="226"/>
        <v>January</v>
      </c>
      <c r="E903" s="9" t="str">
        <f t="shared" si="227"/>
        <v>Jan-29</v>
      </c>
      <c r="F903" s="9" t="str">
        <f t="shared" si="228"/>
        <v>Q1</v>
      </c>
      <c r="G903" s="9">
        <f t="shared" si="229"/>
        <v>18</v>
      </c>
      <c r="H903" s="9">
        <f t="shared" si="230"/>
        <v>4</v>
      </c>
      <c r="I903" s="9" t="str">
        <f t="shared" si="231"/>
        <v>Thursday</v>
      </c>
      <c r="J903" s="9" t="str">
        <f t="shared" si="232"/>
        <v>No</v>
      </c>
      <c r="K903" s="5" t="str">
        <f>IF(COUNTIF(Bank_Holidays!A:A,A903)&gt;0,"Yes","No")</f>
        <v>No</v>
      </c>
      <c r="L903" t="str">
        <f t="shared" si="233"/>
        <v>Yes</v>
      </c>
      <c r="M903">
        <f t="shared" si="234"/>
        <v>3</v>
      </c>
      <c r="N903" s="5" t="str">
        <f t="shared" si="235"/>
        <v>No</v>
      </c>
      <c r="O903" t="str">
        <f>IF(A903=WORKDAY(EOMONTH(A903,0)+1,-1,Bank_Holidays!$A$2:$A$25),"Yes","No")</f>
        <v>No</v>
      </c>
      <c r="P903" t="str">
        <f t="shared" si="236"/>
        <v>No</v>
      </c>
      <c r="Q903" t="str">
        <f t="shared" si="237"/>
        <v>No</v>
      </c>
      <c r="R903" s="5">
        <f t="shared" si="239"/>
        <v>1</v>
      </c>
    </row>
    <row r="904" spans="1:18">
      <c r="A904" s="25">
        <f t="shared" si="238"/>
        <v>47137</v>
      </c>
      <c r="B904">
        <f t="shared" si="224"/>
        <v>2029</v>
      </c>
      <c r="C904" s="9">
        <f t="shared" si="225"/>
        <v>1</v>
      </c>
      <c r="D904" s="9" t="str">
        <f t="shared" si="226"/>
        <v>January</v>
      </c>
      <c r="E904" s="9" t="str">
        <f t="shared" si="227"/>
        <v>Jan-29</v>
      </c>
      <c r="F904" s="9" t="str">
        <f t="shared" si="228"/>
        <v>Q1</v>
      </c>
      <c r="G904" s="9">
        <f t="shared" si="229"/>
        <v>19</v>
      </c>
      <c r="H904" s="9">
        <f t="shared" si="230"/>
        <v>5</v>
      </c>
      <c r="I904" s="9" t="str">
        <f t="shared" si="231"/>
        <v>Friday</v>
      </c>
      <c r="J904" s="9" t="str">
        <f t="shared" si="232"/>
        <v>No</v>
      </c>
      <c r="K904" s="5" t="str">
        <f>IF(COUNTIF(Bank_Holidays!A:A,A904)&gt;0,"Yes","No")</f>
        <v>No</v>
      </c>
      <c r="L904" t="str">
        <f t="shared" si="233"/>
        <v>Yes</v>
      </c>
      <c r="M904">
        <f t="shared" si="234"/>
        <v>3</v>
      </c>
      <c r="N904" s="5" t="str">
        <f t="shared" si="235"/>
        <v>No</v>
      </c>
      <c r="O904" t="str">
        <f>IF(A904=WORKDAY(EOMONTH(A904,0)+1,-1,Bank_Holidays!$A$2:$A$25),"Yes","No")</f>
        <v>No</v>
      </c>
      <c r="P904" t="str">
        <f t="shared" si="236"/>
        <v>No</v>
      </c>
      <c r="Q904" t="str">
        <f t="shared" si="237"/>
        <v>No</v>
      </c>
      <c r="R904" s="5">
        <f t="shared" si="239"/>
        <v>3</v>
      </c>
    </row>
    <row r="905" spans="1:18">
      <c r="A905" s="25">
        <f t="shared" si="238"/>
        <v>47138</v>
      </c>
      <c r="B905">
        <f t="shared" si="224"/>
        <v>2029</v>
      </c>
      <c r="C905" s="9">
        <f t="shared" si="225"/>
        <v>1</v>
      </c>
      <c r="D905" s="9" t="str">
        <f t="shared" si="226"/>
        <v>January</v>
      </c>
      <c r="E905" s="9" t="str">
        <f t="shared" si="227"/>
        <v>Jan-29</v>
      </c>
      <c r="F905" s="9" t="str">
        <f t="shared" si="228"/>
        <v>Q1</v>
      </c>
      <c r="G905" s="9">
        <f t="shared" si="229"/>
        <v>20</v>
      </c>
      <c r="H905" s="9">
        <f t="shared" si="230"/>
        <v>6</v>
      </c>
      <c r="I905" s="9" t="str">
        <f t="shared" si="231"/>
        <v>Saturday</v>
      </c>
      <c r="J905" s="9" t="str">
        <f t="shared" si="232"/>
        <v>Yes</v>
      </c>
      <c r="K905" s="5" t="str">
        <f>IF(COUNTIF(Bank_Holidays!A:A,A905)&gt;0,"Yes","No")</f>
        <v>No</v>
      </c>
      <c r="L905" t="str">
        <f t="shared" si="233"/>
        <v>No</v>
      </c>
      <c r="M905">
        <f t="shared" si="234"/>
        <v>3</v>
      </c>
      <c r="N905" s="5" t="str">
        <f t="shared" si="235"/>
        <v>No</v>
      </c>
      <c r="O905" t="str">
        <f>IF(A905=WORKDAY(EOMONTH(A905,0)+1,-1,Bank_Holidays!$A$2:$A$25),"Yes","No")</f>
        <v>No</v>
      </c>
      <c r="P905" t="str">
        <f t="shared" si="236"/>
        <v>No</v>
      </c>
      <c r="Q905" t="str">
        <f t="shared" si="237"/>
        <v>No</v>
      </c>
      <c r="R905" s="5">
        <f t="shared" si="239"/>
        <v>0</v>
      </c>
    </row>
    <row r="906" spans="1:18">
      <c r="A906" s="25">
        <f t="shared" si="238"/>
        <v>47139</v>
      </c>
      <c r="B906">
        <f t="shared" si="224"/>
        <v>2029</v>
      </c>
      <c r="C906" s="9">
        <f t="shared" si="225"/>
        <v>1</v>
      </c>
      <c r="D906" s="9" t="str">
        <f t="shared" si="226"/>
        <v>January</v>
      </c>
      <c r="E906" s="9" t="str">
        <f t="shared" si="227"/>
        <v>Jan-29</v>
      </c>
      <c r="F906" s="9" t="str">
        <f t="shared" si="228"/>
        <v>Q1</v>
      </c>
      <c r="G906" s="9">
        <f t="shared" si="229"/>
        <v>21</v>
      </c>
      <c r="H906" s="9">
        <f t="shared" si="230"/>
        <v>7</v>
      </c>
      <c r="I906" s="9" t="str">
        <f t="shared" si="231"/>
        <v>Sunday</v>
      </c>
      <c r="J906" s="9" t="str">
        <f t="shared" si="232"/>
        <v>Yes</v>
      </c>
      <c r="K906" s="5" t="str">
        <f>IF(COUNTIF(Bank_Holidays!A:A,A906)&gt;0,"Yes","No")</f>
        <v>No</v>
      </c>
      <c r="L906" t="str">
        <f t="shared" si="233"/>
        <v>No</v>
      </c>
      <c r="M906">
        <f t="shared" si="234"/>
        <v>3</v>
      </c>
      <c r="N906" s="5" t="str">
        <f t="shared" si="235"/>
        <v>No</v>
      </c>
      <c r="O906" t="str">
        <f>IF(A906=WORKDAY(EOMONTH(A906,0)+1,-1,Bank_Holidays!$A$2:$A$25),"Yes","No")</f>
        <v>No</v>
      </c>
      <c r="P906" t="str">
        <f t="shared" si="236"/>
        <v>No</v>
      </c>
      <c r="Q906" t="str">
        <f t="shared" si="237"/>
        <v>No</v>
      </c>
      <c r="R906" s="5">
        <f t="shared" si="239"/>
        <v>0</v>
      </c>
    </row>
    <row r="907" spans="1:18">
      <c r="A907" s="25">
        <f t="shared" si="238"/>
        <v>47140</v>
      </c>
      <c r="B907">
        <f t="shared" si="224"/>
        <v>2029</v>
      </c>
      <c r="C907" s="9">
        <f t="shared" si="225"/>
        <v>1</v>
      </c>
      <c r="D907" s="9" t="str">
        <f t="shared" si="226"/>
        <v>January</v>
      </c>
      <c r="E907" s="9" t="str">
        <f t="shared" si="227"/>
        <v>Jan-29</v>
      </c>
      <c r="F907" s="9" t="str">
        <f t="shared" si="228"/>
        <v>Q1</v>
      </c>
      <c r="G907" s="9">
        <f t="shared" si="229"/>
        <v>22</v>
      </c>
      <c r="H907" s="9">
        <f t="shared" si="230"/>
        <v>1</v>
      </c>
      <c r="I907" s="9" t="str">
        <f t="shared" si="231"/>
        <v>Monday</v>
      </c>
      <c r="J907" s="9" t="str">
        <f t="shared" si="232"/>
        <v>No</v>
      </c>
      <c r="K907" s="5" t="str">
        <f>IF(COUNTIF(Bank_Holidays!A:A,A907)&gt;0,"Yes","No")</f>
        <v>No</v>
      </c>
      <c r="L907" t="str">
        <f t="shared" si="233"/>
        <v>Yes</v>
      </c>
      <c r="M907">
        <f t="shared" si="234"/>
        <v>4</v>
      </c>
      <c r="N907" s="5" t="str">
        <f t="shared" si="235"/>
        <v>No</v>
      </c>
      <c r="O907" t="str">
        <f>IF(A907=WORKDAY(EOMONTH(A907,0)+1,-1,Bank_Holidays!$A$2:$A$25),"Yes","No")</f>
        <v>No</v>
      </c>
      <c r="P907" t="str">
        <f t="shared" si="236"/>
        <v>No</v>
      </c>
      <c r="Q907" t="str">
        <f t="shared" si="237"/>
        <v>No</v>
      </c>
      <c r="R907" s="5">
        <f t="shared" si="239"/>
        <v>1</v>
      </c>
    </row>
    <row r="908" spans="1:18">
      <c r="A908" s="25">
        <f t="shared" si="238"/>
        <v>47141</v>
      </c>
      <c r="B908">
        <f t="shared" si="224"/>
        <v>2029</v>
      </c>
      <c r="C908" s="9">
        <f t="shared" si="225"/>
        <v>1</v>
      </c>
      <c r="D908" s="9" t="str">
        <f t="shared" si="226"/>
        <v>January</v>
      </c>
      <c r="E908" s="9" t="str">
        <f t="shared" si="227"/>
        <v>Jan-29</v>
      </c>
      <c r="F908" s="9" t="str">
        <f t="shared" si="228"/>
        <v>Q1</v>
      </c>
      <c r="G908" s="9">
        <f t="shared" si="229"/>
        <v>23</v>
      </c>
      <c r="H908" s="9">
        <f t="shared" si="230"/>
        <v>2</v>
      </c>
      <c r="I908" s="9" t="str">
        <f t="shared" si="231"/>
        <v>Tuesday</v>
      </c>
      <c r="J908" s="9" t="str">
        <f t="shared" si="232"/>
        <v>No</v>
      </c>
      <c r="K908" s="5" t="str">
        <f>IF(COUNTIF(Bank_Holidays!A:A,A908)&gt;0,"Yes","No")</f>
        <v>No</v>
      </c>
      <c r="L908" t="str">
        <f t="shared" si="233"/>
        <v>Yes</v>
      </c>
      <c r="M908">
        <f t="shared" si="234"/>
        <v>4</v>
      </c>
      <c r="N908" s="5" t="str">
        <f t="shared" si="235"/>
        <v>No</v>
      </c>
      <c r="O908" t="str">
        <f>IF(A908=WORKDAY(EOMONTH(A908,0)+1,-1,Bank_Holidays!$A$2:$A$25),"Yes","No")</f>
        <v>No</v>
      </c>
      <c r="P908" t="str">
        <f t="shared" si="236"/>
        <v>No</v>
      </c>
      <c r="Q908" t="str">
        <f t="shared" si="237"/>
        <v>No</v>
      </c>
      <c r="R908" s="5">
        <f t="shared" si="239"/>
        <v>1</v>
      </c>
    </row>
    <row r="909" spans="1:18">
      <c r="A909" s="25">
        <f t="shared" si="238"/>
        <v>47142</v>
      </c>
      <c r="B909">
        <f t="shared" si="224"/>
        <v>2029</v>
      </c>
      <c r="C909" s="9">
        <f t="shared" si="225"/>
        <v>1</v>
      </c>
      <c r="D909" s="9" t="str">
        <f t="shared" si="226"/>
        <v>January</v>
      </c>
      <c r="E909" s="9" t="str">
        <f t="shared" si="227"/>
        <v>Jan-29</v>
      </c>
      <c r="F909" s="9" t="str">
        <f t="shared" si="228"/>
        <v>Q1</v>
      </c>
      <c r="G909" s="9">
        <f t="shared" si="229"/>
        <v>24</v>
      </c>
      <c r="H909" s="9">
        <f t="shared" si="230"/>
        <v>3</v>
      </c>
      <c r="I909" s="9" t="str">
        <f t="shared" si="231"/>
        <v>Wednesday</v>
      </c>
      <c r="J909" s="9" t="str">
        <f t="shared" si="232"/>
        <v>No</v>
      </c>
      <c r="K909" s="5" t="str">
        <f>IF(COUNTIF(Bank_Holidays!A:A,A909)&gt;0,"Yes","No")</f>
        <v>No</v>
      </c>
      <c r="L909" t="str">
        <f t="shared" si="233"/>
        <v>Yes</v>
      </c>
      <c r="M909">
        <f t="shared" si="234"/>
        <v>4</v>
      </c>
      <c r="N909" s="5" t="str">
        <f t="shared" si="235"/>
        <v>No</v>
      </c>
      <c r="O909" t="str">
        <f>IF(A909=WORKDAY(EOMONTH(A909,0)+1,-1,Bank_Holidays!$A$2:$A$25),"Yes","No")</f>
        <v>No</v>
      </c>
      <c r="P909" t="str">
        <f t="shared" si="236"/>
        <v>No</v>
      </c>
      <c r="Q909" t="str">
        <f t="shared" si="237"/>
        <v>No</v>
      </c>
      <c r="R909" s="5">
        <f t="shared" si="239"/>
        <v>1</v>
      </c>
    </row>
    <row r="910" spans="1:18">
      <c r="A910" s="25">
        <f t="shared" si="238"/>
        <v>47143</v>
      </c>
      <c r="B910">
        <f t="shared" si="224"/>
        <v>2029</v>
      </c>
      <c r="C910" s="9">
        <f t="shared" si="225"/>
        <v>1</v>
      </c>
      <c r="D910" s="9" t="str">
        <f t="shared" si="226"/>
        <v>January</v>
      </c>
      <c r="E910" s="9" t="str">
        <f t="shared" si="227"/>
        <v>Jan-29</v>
      </c>
      <c r="F910" s="9" t="str">
        <f t="shared" si="228"/>
        <v>Q1</v>
      </c>
      <c r="G910" s="9">
        <f t="shared" si="229"/>
        <v>25</v>
      </c>
      <c r="H910" s="9">
        <f t="shared" si="230"/>
        <v>4</v>
      </c>
      <c r="I910" s="9" t="str">
        <f t="shared" si="231"/>
        <v>Thursday</v>
      </c>
      <c r="J910" s="9" t="str">
        <f t="shared" si="232"/>
        <v>No</v>
      </c>
      <c r="K910" s="5" t="str">
        <f>IF(COUNTIF(Bank_Holidays!A:A,A910)&gt;0,"Yes","No")</f>
        <v>No</v>
      </c>
      <c r="L910" t="str">
        <f t="shared" si="233"/>
        <v>Yes</v>
      </c>
      <c r="M910">
        <f t="shared" si="234"/>
        <v>4</v>
      </c>
      <c r="N910" s="5" t="str">
        <f t="shared" si="235"/>
        <v>No</v>
      </c>
      <c r="O910" t="str">
        <f>IF(A910=WORKDAY(EOMONTH(A910,0)+1,-1,Bank_Holidays!$A$2:$A$25),"Yes","No")</f>
        <v>No</v>
      </c>
      <c r="P910" t="str">
        <f t="shared" si="236"/>
        <v>No</v>
      </c>
      <c r="Q910" t="str">
        <f t="shared" si="237"/>
        <v>Yes</v>
      </c>
      <c r="R910" s="5">
        <f t="shared" si="239"/>
        <v>1</v>
      </c>
    </row>
    <row r="911" spans="1:18">
      <c r="A911" s="25">
        <f t="shared" si="238"/>
        <v>47144</v>
      </c>
      <c r="B911">
        <f t="shared" si="224"/>
        <v>2029</v>
      </c>
      <c r="C911" s="9">
        <f t="shared" si="225"/>
        <v>1</v>
      </c>
      <c r="D911" s="9" t="str">
        <f t="shared" si="226"/>
        <v>January</v>
      </c>
      <c r="E911" s="9" t="str">
        <f t="shared" si="227"/>
        <v>Jan-29</v>
      </c>
      <c r="F911" s="9" t="str">
        <f t="shared" si="228"/>
        <v>Q1</v>
      </c>
      <c r="G911" s="9">
        <f t="shared" si="229"/>
        <v>26</v>
      </c>
      <c r="H911" s="9">
        <f t="shared" si="230"/>
        <v>5</v>
      </c>
      <c r="I911" s="9" t="str">
        <f t="shared" si="231"/>
        <v>Friday</v>
      </c>
      <c r="J911" s="9" t="str">
        <f t="shared" si="232"/>
        <v>No</v>
      </c>
      <c r="K911" s="5" t="str">
        <f>IF(COUNTIF(Bank_Holidays!A:A,A911)&gt;0,"Yes","No")</f>
        <v>No</v>
      </c>
      <c r="L911" t="str">
        <f t="shared" si="233"/>
        <v>Yes</v>
      </c>
      <c r="M911">
        <f t="shared" si="234"/>
        <v>4</v>
      </c>
      <c r="N911" s="5" t="str">
        <f t="shared" si="235"/>
        <v>No</v>
      </c>
      <c r="O911" t="str">
        <f>IF(A911=WORKDAY(EOMONTH(A911,0)+1,-1,Bank_Holidays!$A$2:$A$25),"Yes","No")</f>
        <v>No</v>
      </c>
      <c r="P911" t="str">
        <f t="shared" si="236"/>
        <v>Yes</v>
      </c>
      <c r="Q911" t="str">
        <f t="shared" si="237"/>
        <v>No</v>
      </c>
      <c r="R911" s="5">
        <f t="shared" si="239"/>
        <v>3</v>
      </c>
    </row>
    <row r="912" spans="1:18">
      <c r="A912" s="25">
        <f t="shared" si="238"/>
        <v>47145</v>
      </c>
      <c r="B912">
        <f t="shared" si="224"/>
        <v>2029</v>
      </c>
      <c r="C912" s="9">
        <f t="shared" si="225"/>
        <v>1</v>
      </c>
      <c r="D912" s="9" t="str">
        <f t="shared" si="226"/>
        <v>January</v>
      </c>
      <c r="E912" s="9" t="str">
        <f t="shared" si="227"/>
        <v>Jan-29</v>
      </c>
      <c r="F912" s="9" t="str">
        <f t="shared" si="228"/>
        <v>Q1</v>
      </c>
      <c r="G912" s="9">
        <f t="shared" si="229"/>
        <v>27</v>
      </c>
      <c r="H912" s="9">
        <f t="shared" si="230"/>
        <v>6</v>
      </c>
      <c r="I912" s="9" t="str">
        <f t="shared" si="231"/>
        <v>Saturday</v>
      </c>
      <c r="J912" s="9" t="str">
        <f t="shared" si="232"/>
        <v>Yes</v>
      </c>
      <c r="K912" s="5" t="str">
        <f>IF(COUNTIF(Bank_Holidays!A:A,A912)&gt;0,"Yes","No")</f>
        <v>No</v>
      </c>
      <c r="L912" t="str">
        <f t="shared" si="233"/>
        <v>No</v>
      </c>
      <c r="M912">
        <f t="shared" si="234"/>
        <v>4</v>
      </c>
      <c r="N912" s="5" t="str">
        <f t="shared" si="235"/>
        <v>No</v>
      </c>
      <c r="O912" t="str">
        <f>IF(A912=WORKDAY(EOMONTH(A912,0)+1,-1,Bank_Holidays!$A$2:$A$25),"Yes","No")</f>
        <v>No</v>
      </c>
      <c r="P912" t="str">
        <f t="shared" si="236"/>
        <v>No</v>
      </c>
      <c r="Q912" t="str">
        <f t="shared" si="237"/>
        <v>No</v>
      </c>
      <c r="R912" s="5">
        <f t="shared" si="239"/>
        <v>0</v>
      </c>
    </row>
    <row r="913" spans="1:18">
      <c r="A913" s="25">
        <f t="shared" si="238"/>
        <v>47146</v>
      </c>
      <c r="B913">
        <f t="shared" si="224"/>
        <v>2029</v>
      </c>
      <c r="C913" s="9">
        <f t="shared" si="225"/>
        <v>1</v>
      </c>
      <c r="D913" s="9" t="str">
        <f t="shared" si="226"/>
        <v>January</v>
      </c>
      <c r="E913" s="9" t="str">
        <f t="shared" si="227"/>
        <v>Jan-29</v>
      </c>
      <c r="F913" s="9" t="str">
        <f t="shared" si="228"/>
        <v>Q1</v>
      </c>
      <c r="G913" s="9">
        <f t="shared" si="229"/>
        <v>28</v>
      </c>
      <c r="H913" s="9">
        <f t="shared" si="230"/>
        <v>7</v>
      </c>
      <c r="I913" s="9" t="str">
        <f t="shared" si="231"/>
        <v>Sunday</v>
      </c>
      <c r="J913" s="9" t="str">
        <f t="shared" si="232"/>
        <v>Yes</v>
      </c>
      <c r="K913" s="5" t="str">
        <f>IF(COUNTIF(Bank_Holidays!A:A,A913)&gt;0,"Yes","No")</f>
        <v>No</v>
      </c>
      <c r="L913" t="str">
        <f t="shared" si="233"/>
        <v>No</v>
      </c>
      <c r="M913">
        <f t="shared" si="234"/>
        <v>4</v>
      </c>
      <c r="N913" s="5" t="str">
        <f t="shared" si="235"/>
        <v>No</v>
      </c>
      <c r="O913" t="str">
        <f>IF(A913=WORKDAY(EOMONTH(A913,0)+1,-1,Bank_Holidays!$A$2:$A$25),"Yes","No")</f>
        <v>No</v>
      </c>
      <c r="P913" t="str">
        <f t="shared" si="236"/>
        <v>No</v>
      </c>
      <c r="Q913" t="str">
        <f t="shared" si="237"/>
        <v>No</v>
      </c>
      <c r="R913" s="5">
        <f t="shared" si="239"/>
        <v>0</v>
      </c>
    </row>
    <row r="914" spans="1:18">
      <c r="A914" s="25">
        <f t="shared" si="238"/>
        <v>47147</v>
      </c>
      <c r="B914">
        <f t="shared" si="224"/>
        <v>2029</v>
      </c>
      <c r="C914" s="9">
        <f t="shared" si="225"/>
        <v>1</v>
      </c>
      <c r="D914" s="9" t="str">
        <f t="shared" si="226"/>
        <v>January</v>
      </c>
      <c r="E914" s="9" t="str">
        <f t="shared" si="227"/>
        <v>Jan-29</v>
      </c>
      <c r="F914" s="9" t="str">
        <f t="shared" si="228"/>
        <v>Q1</v>
      </c>
      <c r="G914" s="9">
        <f t="shared" si="229"/>
        <v>29</v>
      </c>
      <c r="H914" s="9">
        <f t="shared" si="230"/>
        <v>1</v>
      </c>
      <c r="I914" s="9" t="str">
        <f t="shared" si="231"/>
        <v>Monday</v>
      </c>
      <c r="J914" s="9" t="str">
        <f t="shared" si="232"/>
        <v>No</v>
      </c>
      <c r="K914" s="5" t="str">
        <f>IF(COUNTIF(Bank_Holidays!A:A,A914)&gt;0,"Yes","No")</f>
        <v>No</v>
      </c>
      <c r="L914" t="str">
        <f t="shared" si="233"/>
        <v>Yes</v>
      </c>
      <c r="M914">
        <f t="shared" si="234"/>
        <v>5</v>
      </c>
      <c r="N914" s="5" t="str">
        <f t="shared" si="235"/>
        <v>No</v>
      </c>
      <c r="O914" t="str">
        <f>IF(A914=WORKDAY(EOMONTH(A914,0)+1,-1,Bank_Holidays!$A$2:$A$25),"Yes","No")</f>
        <v>No</v>
      </c>
      <c r="P914" t="str">
        <f t="shared" si="236"/>
        <v>No</v>
      </c>
      <c r="Q914" t="str">
        <f t="shared" si="237"/>
        <v>No</v>
      </c>
      <c r="R914" s="5">
        <f t="shared" si="239"/>
        <v>1</v>
      </c>
    </row>
    <row r="915" spans="1:18">
      <c r="A915" s="25">
        <f t="shared" si="238"/>
        <v>47148</v>
      </c>
      <c r="B915">
        <f t="shared" si="224"/>
        <v>2029</v>
      </c>
      <c r="C915" s="9">
        <f t="shared" si="225"/>
        <v>1</v>
      </c>
      <c r="D915" s="9" t="str">
        <f t="shared" si="226"/>
        <v>January</v>
      </c>
      <c r="E915" s="9" t="str">
        <f t="shared" si="227"/>
        <v>Jan-29</v>
      </c>
      <c r="F915" s="9" t="str">
        <f t="shared" si="228"/>
        <v>Q1</v>
      </c>
      <c r="G915" s="9">
        <f t="shared" si="229"/>
        <v>30</v>
      </c>
      <c r="H915" s="9">
        <f t="shared" si="230"/>
        <v>2</v>
      </c>
      <c r="I915" s="9" t="str">
        <f t="shared" si="231"/>
        <v>Tuesday</v>
      </c>
      <c r="J915" s="9" t="str">
        <f t="shared" si="232"/>
        <v>No</v>
      </c>
      <c r="K915" s="5" t="str">
        <f>IF(COUNTIF(Bank_Holidays!A:A,A915)&gt;0,"Yes","No")</f>
        <v>No</v>
      </c>
      <c r="L915" t="str">
        <f t="shared" si="233"/>
        <v>Yes</v>
      </c>
      <c r="M915">
        <f t="shared" si="234"/>
        <v>5</v>
      </c>
      <c r="N915" s="5" t="str">
        <f t="shared" si="235"/>
        <v>No</v>
      </c>
      <c r="O915" t="str">
        <f>IF(A915=WORKDAY(EOMONTH(A915,0)+1,-1,Bank_Holidays!$A$2:$A$25),"Yes","No")</f>
        <v>No</v>
      </c>
      <c r="P915" t="str">
        <f t="shared" si="236"/>
        <v>No</v>
      </c>
      <c r="Q915" t="str">
        <f t="shared" si="237"/>
        <v>No</v>
      </c>
      <c r="R915" s="5">
        <f t="shared" si="239"/>
        <v>1</v>
      </c>
    </row>
    <row r="916" spans="1:18">
      <c r="A916" s="25">
        <f t="shared" si="238"/>
        <v>47149</v>
      </c>
      <c r="B916">
        <f t="shared" si="224"/>
        <v>2029</v>
      </c>
      <c r="C916" s="9">
        <f t="shared" si="225"/>
        <v>1</v>
      </c>
      <c r="D916" s="9" t="str">
        <f t="shared" si="226"/>
        <v>January</v>
      </c>
      <c r="E916" s="9" t="str">
        <f t="shared" si="227"/>
        <v>Jan-29</v>
      </c>
      <c r="F916" s="9" t="str">
        <f t="shared" si="228"/>
        <v>Q1</v>
      </c>
      <c r="G916" s="9">
        <f t="shared" si="229"/>
        <v>31</v>
      </c>
      <c r="H916" s="9">
        <f t="shared" si="230"/>
        <v>3</v>
      </c>
      <c r="I916" s="9" t="str">
        <f t="shared" si="231"/>
        <v>Wednesday</v>
      </c>
      <c r="J916" s="9" t="str">
        <f t="shared" si="232"/>
        <v>No</v>
      </c>
      <c r="K916" s="5" t="str">
        <f>IF(COUNTIF(Bank_Holidays!A:A,A916)&gt;0,"Yes","No")</f>
        <v>No</v>
      </c>
      <c r="L916" t="str">
        <f t="shared" si="233"/>
        <v>Yes</v>
      </c>
      <c r="M916">
        <f t="shared" si="234"/>
        <v>5</v>
      </c>
      <c r="N916" s="5" t="str">
        <f t="shared" si="235"/>
        <v>Yes</v>
      </c>
      <c r="O916" t="str">
        <f>IF(A916=WORKDAY(EOMONTH(A916,0)+1,-1,Bank_Holidays!$A$2:$A$25),"Yes","No")</f>
        <v>Yes</v>
      </c>
      <c r="P916" t="str">
        <f t="shared" si="236"/>
        <v>No</v>
      </c>
      <c r="Q916" t="str">
        <f t="shared" si="237"/>
        <v>No</v>
      </c>
      <c r="R916" s="5">
        <f t="shared" si="239"/>
        <v>1</v>
      </c>
    </row>
    <row r="917" spans="1:18">
      <c r="A917" s="25">
        <f t="shared" si="238"/>
        <v>47150</v>
      </c>
      <c r="B917">
        <f t="shared" si="224"/>
        <v>2029</v>
      </c>
      <c r="C917" s="9">
        <f t="shared" si="225"/>
        <v>2</v>
      </c>
      <c r="D917" s="9" t="str">
        <f t="shared" si="226"/>
        <v>February</v>
      </c>
      <c r="E917" s="9" t="str">
        <f t="shared" si="227"/>
        <v>Feb-29</v>
      </c>
      <c r="F917" s="9" t="str">
        <f t="shared" si="228"/>
        <v>Q1</v>
      </c>
      <c r="G917" s="9">
        <f t="shared" si="229"/>
        <v>1</v>
      </c>
      <c r="H917" s="9">
        <f t="shared" si="230"/>
        <v>4</v>
      </c>
      <c r="I917" s="9" t="str">
        <f t="shared" si="231"/>
        <v>Thursday</v>
      </c>
      <c r="J917" s="9" t="str">
        <f t="shared" si="232"/>
        <v>No</v>
      </c>
      <c r="K917" s="5" t="str">
        <f>IF(COUNTIF(Bank_Holidays!A:A,A917)&gt;0,"Yes","No")</f>
        <v>No</v>
      </c>
      <c r="L917" t="str">
        <f t="shared" si="233"/>
        <v>Yes</v>
      </c>
      <c r="M917">
        <f t="shared" si="234"/>
        <v>5</v>
      </c>
      <c r="N917" s="5" t="str">
        <f t="shared" si="235"/>
        <v>No</v>
      </c>
      <c r="O917" t="str">
        <f>IF(A917=WORKDAY(EOMONTH(A917,0)+1,-1,Bank_Holidays!$A$2:$A$25),"Yes","No")</f>
        <v>No</v>
      </c>
      <c r="P917" t="str">
        <f t="shared" si="236"/>
        <v>No</v>
      </c>
      <c r="Q917" t="str">
        <f t="shared" si="237"/>
        <v>No</v>
      </c>
      <c r="R917" s="5">
        <f t="shared" si="239"/>
        <v>1</v>
      </c>
    </row>
    <row r="918" spans="1:18">
      <c r="A918" s="25">
        <f t="shared" si="238"/>
        <v>47151</v>
      </c>
      <c r="B918">
        <f t="shared" si="224"/>
        <v>2029</v>
      </c>
      <c r="C918" s="9">
        <f t="shared" si="225"/>
        <v>2</v>
      </c>
      <c r="D918" s="9" t="str">
        <f t="shared" si="226"/>
        <v>February</v>
      </c>
      <c r="E918" s="9" t="str">
        <f t="shared" si="227"/>
        <v>Feb-29</v>
      </c>
      <c r="F918" s="9" t="str">
        <f t="shared" si="228"/>
        <v>Q1</v>
      </c>
      <c r="G918" s="9">
        <f t="shared" si="229"/>
        <v>2</v>
      </c>
      <c r="H918" s="9">
        <f t="shared" si="230"/>
        <v>5</v>
      </c>
      <c r="I918" s="9" t="str">
        <f t="shared" si="231"/>
        <v>Friday</v>
      </c>
      <c r="J918" s="9" t="str">
        <f t="shared" si="232"/>
        <v>No</v>
      </c>
      <c r="K918" s="5" t="str">
        <f>IF(COUNTIF(Bank_Holidays!A:A,A918)&gt;0,"Yes","No")</f>
        <v>No</v>
      </c>
      <c r="L918" t="str">
        <f t="shared" si="233"/>
        <v>Yes</v>
      </c>
      <c r="M918">
        <f t="shared" si="234"/>
        <v>5</v>
      </c>
      <c r="N918" s="5" t="str">
        <f t="shared" si="235"/>
        <v>No</v>
      </c>
      <c r="O918" t="str">
        <f>IF(A918=WORKDAY(EOMONTH(A918,0)+1,-1,Bank_Holidays!$A$2:$A$25),"Yes","No")</f>
        <v>No</v>
      </c>
      <c r="P918" t="str">
        <f t="shared" si="236"/>
        <v>No</v>
      </c>
      <c r="Q918" t="str">
        <f t="shared" si="237"/>
        <v>No</v>
      </c>
      <c r="R918" s="5">
        <f t="shared" si="239"/>
        <v>3</v>
      </c>
    </row>
    <row r="919" spans="1:18">
      <c r="A919" s="25">
        <f t="shared" si="238"/>
        <v>47152</v>
      </c>
      <c r="B919">
        <f t="shared" si="224"/>
        <v>2029</v>
      </c>
      <c r="C919" s="9">
        <f t="shared" si="225"/>
        <v>2</v>
      </c>
      <c r="D919" s="9" t="str">
        <f t="shared" si="226"/>
        <v>February</v>
      </c>
      <c r="E919" s="9" t="str">
        <f t="shared" si="227"/>
        <v>Feb-29</v>
      </c>
      <c r="F919" s="9" t="str">
        <f t="shared" si="228"/>
        <v>Q1</v>
      </c>
      <c r="G919" s="9">
        <f t="shared" si="229"/>
        <v>3</v>
      </c>
      <c r="H919" s="9">
        <f t="shared" si="230"/>
        <v>6</v>
      </c>
      <c r="I919" s="9" t="str">
        <f t="shared" si="231"/>
        <v>Saturday</v>
      </c>
      <c r="J919" s="9" t="str">
        <f t="shared" si="232"/>
        <v>Yes</v>
      </c>
      <c r="K919" s="5" t="str">
        <f>IF(COUNTIF(Bank_Holidays!A:A,A919)&gt;0,"Yes","No")</f>
        <v>No</v>
      </c>
      <c r="L919" t="str">
        <f t="shared" si="233"/>
        <v>No</v>
      </c>
      <c r="M919">
        <f t="shared" si="234"/>
        <v>5</v>
      </c>
      <c r="N919" s="5" t="str">
        <f t="shared" si="235"/>
        <v>No</v>
      </c>
      <c r="O919" t="str">
        <f>IF(A919=WORKDAY(EOMONTH(A919,0)+1,-1,Bank_Holidays!$A$2:$A$25),"Yes","No")</f>
        <v>No</v>
      </c>
      <c r="P919" t="str">
        <f t="shared" si="236"/>
        <v>No</v>
      </c>
      <c r="Q919" t="str">
        <f t="shared" si="237"/>
        <v>No</v>
      </c>
      <c r="R919" s="5">
        <f t="shared" si="239"/>
        <v>0</v>
      </c>
    </row>
    <row r="920" spans="1:18">
      <c r="A920" s="25">
        <f t="shared" si="238"/>
        <v>47153</v>
      </c>
      <c r="B920">
        <f t="shared" si="224"/>
        <v>2029</v>
      </c>
      <c r="C920" s="9">
        <f t="shared" si="225"/>
        <v>2</v>
      </c>
      <c r="D920" s="9" t="str">
        <f t="shared" si="226"/>
        <v>February</v>
      </c>
      <c r="E920" s="9" t="str">
        <f t="shared" si="227"/>
        <v>Feb-29</v>
      </c>
      <c r="F920" s="9" t="str">
        <f t="shared" si="228"/>
        <v>Q1</v>
      </c>
      <c r="G920" s="9">
        <f t="shared" si="229"/>
        <v>4</v>
      </c>
      <c r="H920" s="9">
        <f t="shared" si="230"/>
        <v>7</v>
      </c>
      <c r="I920" s="9" t="str">
        <f t="shared" si="231"/>
        <v>Sunday</v>
      </c>
      <c r="J920" s="9" t="str">
        <f t="shared" si="232"/>
        <v>Yes</v>
      </c>
      <c r="K920" s="5" t="str">
        <f>IF(COUNTIF(Bank_Holidays!A:A,A920)&gt;0,"Yes","No")</f>
        <v>No</v>
      </c>
      <c r="L920" t="str">
        <f t="shared" si="233"/>
        <v>No</v>
      </c>
      <c r="M920">
        <f t="shared" si="234"/>
        <v>5</v>
      </c>
      <c r="N920" s="5" t="str">
        <f t="shared" si="235"/>
        <v>No</v>
      </c>
      <c r="O920" t="str">
        <f>IF(A920=WORKDAY(EOMONTH(A920,0)+1,-1,Bank_Holidays!$A$2:$A$25),"Yes","No")</f>
        <v>No</v>
      </c>
      <c r="P920" t="str">
        <f t="shared" si="236"/>
        <v>No</v>
      </c>
      <c r="Q920" t="str">
        <f t="shared" si="237"/>
        <v>No</v>
      </c>
      <c r="R920" s="5">
        <f t="shared" si="239"/>
        <v>0</v>
      </c>
    </row>
    <row r="921" spans="1:18">
      <c r="A921" s="25">
        <f t="shared" si="238"/>
        <v>47154</v>
      </c>
      <c r="B921">
        <f t="shared" si="224"/>
        <v>2029</v>
      </c>
      <c r="C921" s="9">
        <f t="shared" si="225"/>
        <v>2</v>
      </c>
      <c r="D921" s="9" t="str">
        <f t="shared" si="226"/>
        <v>February</v>
      </c>
      <c r="E921" s="9" t="str">
        <f t="shared" si="227"/>
        <v>Feb-29</v>
      </c>
      <c r="F921" s="9" t="str">
        <f t="shared" si="228"/>
        <v>Q1</v>
      </c>
      <c r="G921" s="9">
        <f t="shared" si="229"/>
        <v>5</v>
      </c>
      <c r="H921" s="9">
        <f t="shared" si="230"/>
        <v>1</v>
      </c>
      <c r="I921" s="9" t="str">
        <f t="shared" si="231"/>
        <v>Monday</v>
      </c>
      <c r="J921" s="9" t="str">
        <f t="shared" si="232"/>
        <v>No</v>
      </c>
      <c r="K921" s="5" t="str">
        <f>IF(COUNTIF(Bank_Holidays!A:A,A921)&gt;0,"Yes","No")</f>
        <v>No</v>
      </c>
      <c r="L921" t="str">
        <f t="shared" si="233"/>
        <v>Yes</v>
      </c>
      <c r="M921">
        <f t="shared" si="234"/>
        <v>6</v>
      </c>
      <c r="N921" s="5" t="str">
        <f t="shared" si="235"/>
        <v>No</v>
      </c>
      <c r="O921" t="str">
        <f>IF(A921=WORKDAY(EOMONTH(A921,0)+1,-1,Bank_Holidays!$A$2:$A$25),"Yes","No")</f>
        <v>No</v>
      </c>
      <c r="P921" t="str">
        <f t="shared" si="236"/>
        <v>No</v>
      </c>
      <c r="Q921" t="str">
        <f t="shared" si="237"/>
        <v>No</v>
      </c>
      <c r="R921" s="5">
        <f t="shared" si="239"/>
        <v>1</v>
      </c>
    </row>
    <row r="922" spans="1:18">
      <c r="A922" s="25">
        <f t="shared" si="238"/>
        <v>47155</v>
      </c>
      <c r="B922">
        <f t="shared" si="224"/>
        <v>2029</v>
      </c>
      <c r="C922" s="9">
        <f t="shared" si="225"/>
        <v>2</v>
      </c>
      <c r="D922" s="9" t="str">
        <f t="shared" si="226"/>
        <v>February</v>
      </c>
      <c r="E922" s="9" t="str">
        <f t="shared" si="227"/>
        <v>Feb-29</v>
      </c>
      <c r="F922" s="9" t="str">
        <f t="shared" si="228"/>
        <v>Q1</v>
      </c>
      <c r="G922" s="9">
        <f t="shared" si="229"/>
        <v>6</v>
      </c>
      <c r="H922" s="9">
        <f t="shared" si="230"/>
        <v>2</v>
      </c>
      <c r="I922" s="9" t="str">
        <f t="shared" si="231"/>
        <v>Tuesday</v>
      </c>
      <c r="J922" s="9" t="str">
        <f t="shared" si="232"/>
        <v>No</v>
      </c>
      <c r="K922" s="5" t="str">
        <f>IF(COUNTIF(Bank_Holidays!A:A,A922)&gt;0,"Yes","No")</f>
        <v>No</v>
      </c>
      <c r="L922" t="str">
        <f t="shared" si="233"/>
        <v>Yes</v>
      </c>
      <c r="M922">
        <f t="shared" si="234"/>
        <v>6</v>
      </c>
      <c r="N922" s="5" t="str">
        <f t="shared" si="235"/>
        <v>No</v>
      </c>
      <c r="O922" t="str">
        <f>IF(A922=WORKDAY(EOMONTH(A922,0)+1,-1,Bank_Holidays!$A$2:$A$25),"Yes","No")</f>
        <v>No</v>
      </c>
      <c r="P922" t="str">
        <f t="shared" si="236"/>
        <v>No</v>
      </c>
      <c r="Q922" t="str">
        <f t="shared" si="237"/>
        <v>No</v>
      </c>
      <c r="R922" s="5">
        <f t="shared" si="239"/>
        <v>1</v>
      </c>
    </row>
    <row r="923" spans="1:18">
      <c r="A923" s="25">
        <f t="shared" si="238"/>
        <v>47156</v>
      </c>
      <c r="B923">
        <f t="shared" si="224"/>
        <v>2029</v>
      </c>
      <c r="C923" s="9">
        <f t="shared" si="225"/>
        <v>2</v>
      </c>
      <c r="D923" s="9" t="str">
        <f t="shared" si="226"/>
        <v>February</v>
      </c>
      <c r="E923" s="9" t="str">
        <f t="shared" si="227"/>
        <v>Feb-29</v>
      </c>
      <c r="F923" s="9" t="str">
        <f t="shared" si="228"/>
        <v>Q1</v>
      </c>
      <c r="G923" s="9">
        <f t="shared" si="229"/>
        <v>7</v>
      </c>
      <c r="H923" s="9">
        <f t="shared" si="230"/>
        <v>3</v>
      </c>
      <c r="I923" s="9" t="str">
        <f t="shared" si="231"/>
        <v>Wednesday</v>
      </c>
      <c r="J923" s="9" t="str">
        <f t="shared" si="232"/>
        <v>No</v>
      </c>
      <c r="K923" s="5" t="str">
        <f>IF(COUNTIF(Bank_Holidays!A:A,A923)&gt;0,"Yes","No")</f>
        <v>No</v>
      </c>
      <c r="L923" t="str">
        <f t="shared" si="233"/>
        <v>Yes</v>
      </c>
      <c r="M923">
        <f t="shared" si="234"/>
        <v>6</v>
      </c>
      <c r="N923" s="5" t="str">
        <f t="shared" si="235"/>
        <v>No</v>
      </c>
      <c r="O923" t="str">
        <f>IF(A923=WORKDAY(EOMONTH(A923,0)+1,-1,Bank_Holidays!$A$2:$A$25),"Yes","No")</f>
        <v>No</v>
      </c>
      <c r="P923" t="str">
        <f t="shared" si="236"/>
        <v>No</v>
      </c>
      <c r="Q923" t="str">
        <f t="shared" si="237"/>
        <v>No</v>
      </c>
      <c r="R923" s="5">
        <f t="shared" si="239"/>
        <v>1</v>
      </c>
    </row>
    <row r="924" spans="1:18">
      <c r="A924" s="25">
        <f t="shared" si="238"/>
        <v>47157</v>
      </c>
      <c r="B924">
        <f t="shared" si="224"/>
        <v>2029</v>
      </c>
      <c r="C924" s="9">
        <f t="shared" si="225"/>
        <v>2</v>
      </c>
      <c r="D924" s="9" t="str">
        <f t="shared" si="226"/>
        <v>February</v>
      </c>
      <c r="E924" s="9" t="str">
        <f t="shared" si="227"/>
        <v>Feb-29</v>
      </c>
      <c r="F924" s="9" t="str">
        <f t="shared" si="228"/>
        <v>Q1</v>
      </c>
      <c r="G924" s="9">
        <f t="shared" si="229"/>
        <v>8</v>
      </c>
      <c r="H924" s="9">
        <f t="shared" si="230"/>
        <v>4</v>
      </c>
      <c r="I924" s="9" t="str">
        <f t="shared" si="231"/>
        <v>Thursday</v>
      </c>
      <c r="J924" s="9" t="str">
        <f t="shared" si="232"/>
        <v>No</v>
      </c>
      <c r="K924" s="5" t="str">
        <f>IF(COUNTIF(Bank_Holidays!A:A,A924)&gt;0,"Yes","No")</f>
        <v>No</v>
      </c>
      <c r="L924" t="str">
        <f t="shared" si="233"/>
        <v>Yes</v>
      </c>
      <c r="M924">
        <f t="shared" si="234"/>
        <v>6</v>
      </c>
      <c r="N924" s="5" t="str">
        <f t="shared" si="235"/>
        <v>No</v>
      </c>
      <c r="O924" t="str">
        <f>IF(A924=WORKDAY(EOMONTH(A924,0)+1,-1,Bank_Holidays!$A$2:$A$25),"Yes","No")</f>
        <v>No</v>
      </c>
      <c r="P924" t="str">
        <f t="shared" si="236"/>
        <v>No</v>
      </c>
      <c r="Q924" t="str">
        <f t="shared" si="237"/>
        <v>No</v>
      </c>
      <c r="R924" s="5">
        <f t="shared" si="239"/>
        <v>1</v>
      </c>
    </row>
    <row r="925" spans="1:18">
      <c r="A925" s="25">
        <f t="shared" si="238"/>
        <v>47158</v>
      </c>
      <c r="B925">
        <f t="shared" si="224"/>
        <v>2029</v>
      </c>
      <c r="C925" s="9">
        <f t="shared" si="225"/>
        <v>2</v>
      </c>
      <c r="D925" s="9" t="str">
        <f t="shared" si="226"/>
        <v>February</v>
      </c>
      <c r="E925" s="9" t="str">
        <f t="shared" si="227"/>
        <v>Feb-29</v>
      </c>
      <c r="F925" s="9" t="str">
        <f t="shared" si="228"/>
        <v>Q1</v>
      </c>
      <c r="G925" s="9">
        <f t="shared" si="229"/>
        <v>9</v>
      </c>
      <c r="H925" s="9">
        <f t="shared" si="230"/>
        <v>5</v>
      </c>
      <c r="I925" s="9" t="str">
        <f t="shared" si="231"/>
        <v>Friday</v>
      </c>
      <c r="J925" s="9" t="str">
        <f t="shared" si="232"/>
        <v>No</v>
      </c>
      <c r="K925" s="5" t="str">
        <f>IF(COUNTIF(Bank_Holidays!A:A,A925)&gt;0,"Yes","No")</f>
        <v>No</v>
      </c>
      <c r="L925" t="str">
        <f t="shared" si="233"/>
        <v>Yes</v>
      </c>
      <c r="M925">
        <f t="shared" si="234"/>
        <v>6</v>
      </c>
      <c r="N925" s="5" t="str">
        <f t="shared" si="235"/>
        <v>No</v>
      </c>
      <c r="O925" t="str">
        <f>IF(A925=WORKDAY(EOMONTH(A925,0)+1,-1,Bank_Holidays!$A$2:$A$25),"Yes","No")</f>
        <v>No</v>
      </c>
      <c r="P925" t="str">
        <f t="shared" si="236"/>
        <v>No</v>
      </c>
      <c r="Q925" t="str">
        <f t="shared" si="237"/>
        <v>No</v>
      </c>
      <c r="R925" s="5">
        <f t="shared" si="239"/>
        <v>3</v>
      </c>
    </row>
    <row r="926" spans="1:18">
      <c r="A926" s="25">
        <f t="shared" si="238"/>
        <v>47159</v>
      </c>
      <c r="B926">
        <f t="shared" si="224"/>
        <v>2029</v>
      </c>
      <c r="C926" s="9">
        <f t="shared" si="225"/>
        <v>2</v>
      </c>
      <c r="D926" s="9" t="str">
        <f t="shared" si="226"/>
        <v>February</v>
      </c>
      <c r="E926" s="9" t="str">
        <f t="shared" si="227"/>
        <v>Feb-29</v>
      </c>
      <c r="F926" s="9" t="str">
        <f t="shared" si="228"/>
        <v>Q1</v>
      </c>
      <c r="G926" s="9">
        <f t="shared" si="229"/>
        <v>10</v>
      </c>
      <c r="H926" s="9">
        <f t="shared" si="230"/>
        <v>6</v>
      </c>
      <c r="I926" s="9" t="str">
        <f t="shared" si="231"/>
        <v>Saturday</v>
      </c>
      <c r="J926" s="9" t="str">
        <f t="shared" si="232"/>
        <v>Yes</v>
      </c>
      <c r="K926" s="5" t="str">
        <f>IF(COUNTIF(Bank_Holidays!A:A,A926)&gt;0,"Yes","No")</f>
        <v>No</v>
      </c>
      <c r="L926" t="str">
        <f t="shared" si="233"/>
        <v>No</v>
      </c>
      <c r="M926">
        <f t="shared" si="234"/>
        <v>6</v>
      </c>
      <c r="N926" s="5" t="str">
        <f t="shared" si="235"/>
        <v>No</v>
      </c>
      <c r="O926" t="str">
        <f>IF(A926=WORKDAY(EOMONTH(A926,0)+1,-1,Bank_Holidays!$A$2:$A$25),"Yes","No")</f>
        <v>No</v>
      </c>
      <c r="P926" t="str">
        <f t="shared" si="236"/>
        <v>No</v>
      </c>
      <c r="Q926" t="str">
        <f t="shared" si="237"/>
        <v>No</v>
      </c>
      <c r="R926" s="5">
        <f t="shared" si="239"/>
        <v>0</v>
      </c>
    </row>
    <row r="927" spans="1:18">
      <c r="A927" s="25">
        <f t="shared" si="238"/>
        <v>47160</v>
      </c>
      <c r="B927">
        <f t="shared" si="224"/>
        <v>2029</v>
      </c>
      <c r="C927" s="9">
        <f t="shared" si="225"/>
        <v>2</v>
      </c>
      <c r="D927" s="9" t="str">
        <f t="shared" si="226"/>
        <v>February</v>
      </c>
      <c r="E927" s="9" t="str">
        <f t="shared" si="227"/>
        <v>Feb-29</v>
      </c>
      <c r="F927" s="9" t="str">
        <f t="shared" si="228"/>
        <v>Q1</v>
      </c>
      <c r="G927" s="9">
        <f t="shared" si="229"/>
        <v>11</v>
      </c>
      <c r="H927" s="9">
        <f t="shared" si="230"/>
        <v>7</v>
      </c>
      <c r="I927" s="9" t="str">
        <f t="shared" si="231"/>
        <v>Sunday</v>
      </c>
      <c r="J927" s="9" t="str">
        <f t="shared" si="232"/>
        <v>Yes</v>
      </c>
      <c r="K927" s="5" t="str">
        <f>IF(COUNTIF(Bank_Holidays!A:A,A927)&gt;0,"Yes","No")</f>
        <v>No</v>
      </c>
      <c r="L927" t="str">
        <f t="shared" si="233"/>
        <v>No</v>
      </c>
      <c r="M927">
        <f t="shared" si="234"/>
        <v>6</v>
      </c>
      <c r="N927" s="5" t="str">
        <f t="shared" si="235"/>
        <v>No</v>
      </c>
      <c r="O927" t="str">
        <f>IF(A927=WORKDAY(EOMONTH(A927,0)+1,-1,Bank_Holidays!$A$2:$A$25),"Yes","No")</f>
        <v>No</v>
      </c>
      <c r="P927" t="str">
        <f t="shared" si="236"/>
        <v>No</v>
      </c>
      <c r="Q927" t="str">
        <f t="shared" si="237"/>
        <v>No</v>
      </c>
      <c r="R927" s="5">
        <f t="shared" si="239"/>
        <v>0</v>
      </c>
    </row>
    <row r="928" spans="1:18">
      <c r="A928" s="25">
        <f t="shared" si="238"/>
        <v>47161</v>
      </c>
      <c r="B928">
        <f t="shared" si="224"/>
        <v>2029</v>
      </c>
      <c r="C928" s="9">
        <f t="shared" si="225"/>
        <v>2</v>
      </c>
      <c r="D928" s="9" t="str">
        <f t="shared" si="226"/>
        <v>February</v>
      </c>
      <c r="E928" s="9" t="str">
        <f t="shared" si="227"/>
        <v>Feb-29</v>
      </c>
      <c r="F928" s="9" t="str">
        <f t="shared" si="228"/>
        <v>Q1</v>
      </c>
      <c r="G928" s="9">
        <f t="shared" si="229"/>
        <v>12</v>
      </c>
      <c r="H928" s="9">
        <f t="shared" si="230"/>
        <v>1</v>
      </c>
      <c r="I928" s="9" t="str">
        <f t="shared" si="231"/>
        <v>Monday</v>
      </c>
      <c r="J928" s="9" t="str">
        <f t="shared" si="232"/>
        <v>No</v>
      </c>
      <c r="K928" s="5" t="str">
        <f>IF(COUNTIF(Bank_Holidays!A:A,A928)&gt;0,"Yes","No")</f>
        <v>No</v>
      </c>
      <c r="L928" t="str">
        <f t="shared" si="233"/>
        <v>Yes</v>
      </c>
      <c r="M928">
        <f t="shared" si="234"/>
        <v>7</v>
      </c>
      <c r="N928" s="5" t="str">
        <f t="shared" si="235"/>
        <v>No</v>
      </c>
      <c r="O928" t="str">
        <f>IF(A928=WORKDAY(EOMONTH(A928,0)+1,-1,Bank_Holidays!$A$2:$A$25),"Yes","No")</f>
        <v>No</v>
      </c>
      <c r="P928" t="str">
        <f t="shared" si="236"/>
        <v>No</v>
      </c>
      <c r="Q928" t="str">
        <f t="shared" si="237"/>
        <v>No</v>
      </c>
      <c r="R928" s="5">
        <f t="shared" si="239"/>
        <v>1</v>
      </c>
    </row>
    <row r="929" spans="1:18">
      <c r="A929" s="25">
        <f t="shared" si="238"/>
        <v>47162</v>
      </c>
      <c r="B929">
        <f t="shared" si="224"/>
        <v>2029</v>
      </c>
      <c r="C929" s="9">
        <f t="shared" si="225"/>
        <v>2</v>
      </c>
      <c r="D929" s="9" t="str">
        <f t="shared" si="226"/>
        <v>February</v>
      </c>
      <c r="E929" s="9" t="str">
        <f t="shared" si="227"/>
        <v>Feb-29</v>
      </c>
      <c r="F929" s="9" t="str">
        <f t="shared" si="228"/>
        <v>Q1</v>
      </c>
      <c r="G929" s="9">
        <f t="shared" si="229"/>
        <v>13</v>
      </c>
      <c r="H929" s="9">
        <f t="shared" si="230"/>
        <v>2</v>
      </c>
      <c r="I929" s="9" t="str">
        <f t="shared" si="231"/>
        <v>Tuesday</v>
      </c>
      <c r="J929" s="9" t="str">
        <f t="shared" si="232"/>
        <v>No</v>
      </c>
      <c r="K929" s="5" t="str">
        <f>IF(COUNTIF(Bank_Holidays!A:A,A929)&gt;0,"Yes","No")</f>
        <v>No</v>
      </c>
      <c r="L929" t="str">
        <f t="shared" si="233"/>
        <v>Yes</v>
      </c>
      <c r="M929">
        <f t="shared" si="234"/>
        <v>7</v>
      </c>
      <c r="N929" s="5" t="str">
        <f t="shared" si="235"/>
        <v>No</v>
      </c>
      <c r="O929" t="str">
        <f>IF(A929=WORKDAY(EOMONTH(A929,0)+1,-1,Bank_Holidays!$A$2:$A$25),"Yes","No")</f>
        <v>No</v>
      </c>
      <c r="P929" t="str">
        <f t="shared" si="236"/>
        <v>No</v>
      </c>
      <c r="Q929" t="str">
        <f t="shared" si="237"/>
        <v>No</v>
      </c>
      <c r="R929" s="5">
        <f t="shared" si="239"/>
        <v>1</v>
      </c>
    </row>
    <row r="930" spans="1:18">
      <c r="A930" s="25">
        <f t="shared" si="238"/>
        <v>47163</v>
      </c>
      <c r="B930">
        <f t="shared" si="224"/>
        <v>2029</v>
      </c>
      <c r="C930" s="9">
        <f t="shared" si="225"/>
        <v>2</v>
      </c>
      <c r="D930" s="9" t="str">
        <f t="shared" si="226"/>
        <v>February</v>
      </c>
      <c r="E930" s="9" t="str">
        <f t="shared" si="227"/>
        <v>Feb-29</v>
      </c>
      <c r="F930" s="9" t="str">
        <f t="shared" si="228"/>
        <v>Q1</v>
      </c>
      <c r="G930" s="9">
        <f t="shared" si="229"/>
        <v>14</v>
      </c>
      <c r="H930" s="9">
        <f t="shared" si="230"/>
        <v>3</v>
      </c>
      <c r="I930" s="9" t="str">
        <f t="shared" si="231"/>
        <v>Wednesday</v>
      </c>
      <c r="J930" s="9" t="str">
        <f t="shared" si="232"/>
        <v>No</v>
      </c>
      <c r="K930" s="5" t="str">
        <f>IF(COUNTIF(Bank_Holidays!A:A,A930)&gt;0,"Yes","No")</f>
        <v>No</v>
      </c>
      <c r="L930" t="str">
        <f t="shared" si="233"/>
        <v>Yes</v>
      </c>
      <c r="M930">
        <f t="shared" si="234"/>
        <v>7</v>
      </c>
      <c r="N930" s="5" t="str">
        <f t="shared" si="235"/>
        <v>No</v>
      </c>
      <c r="O930" t="str">
        <f>IF(A930=WORKDAY(EOMONTH(A930,0)+1,-1,Bank_Holidays!$A$2:$A$25),"Yes","No")</f>
        <v>No</v>
      </c>
      <c r="P930" t="str">
        <f t="shared" si="236"/>
        <v>No</v>
      </c>
      <c r="Q930" t="str">
        <f t="shared" si="237"/>
        <v>No</v>
      </c>
      <c r="R930" s="5">
        <f t="shared" si="239"/>
        <v>1</v>
      </c>
    </row>
    <row r="931" spans="1:18">
      <c r="A931" s="25">
        <f t="shared" si="238"/>
        <v>47164</v>
      </c>
      <c r="B931">
        <f t="shared" si="224"/>
        <v>2029</v>
      </c>
      <c r="C931" s="9">
        <f t="shared" si="225"/>
        <v>2</v>
      </c>
      <c r="D931" s="9" t="str">
        <f t="shared" si="226"/>
        <v>February</v>
      </c>
      <c r="E931" s="9" t="str">
        <f t="shared" si="227"/>
        <v>Feb-29</v>
      </c>
      <c r="F931" s="9" t="str">
        <f t="shared" si="228"/>
        <v>Q1</v>
      </c>
      <c r="G931" s="9">
        <f t="shared" si="229"/>
        <v>15</v>
      </c>
      <c r="H931" s="9">
        <f t="shared" si="230"/>
        <v>4</v>
      </c>
      <c r="I931" s="9" t="str">
        <f t="shared" si="231"/>
        <v>Thursday</v>
      </c>
      <c r="J931" s="9" t="str">
        <f t="shared" si="232"/>
        <v>No</v>
      </c>
      <c r="K931" s="5" t="str">
        <f>IF(COUNTIF(Bank_Holidays!A:A,A931)&gt;0,"Yes","No")</f>
        <v>No</v>
      </c>
      <c r="L931" t="str">
        <f t="shared" si="233"/>
        <v>Yes</v>
      </c>
      <c r="M931">
        <f t="shared" si="234"/>
        <v>7</v>
      </c>
      <c r="N931" s="5" t="str">
        <f t="shared" si="235"/>
        <v>No</v>
      </c>
      <c r="O931" t="str">
        <f>IF(A931=WORKDAY(EOMONTH(A931,0)+1,-1,Bank_Holidays!$A$2:$A$25),"Yes","No")</f>
        <v>No</v>
      </c>
      <c r="P931" t="str">
        <f t="shared" si="236"/>
        <v>No</v>
      </c>
      <c r="Q931" t="str">
        <f t="shared" si="237"/>
        <v>No</v>
      </c>
      <c r="R931" s="5">
        <f t="shared" si="239"/>
        <v>1</v>
      </c>
    </row>
    <row r="932" spans="1:18">
      <c r="A932" s="25">
        <f t="shared" si="238"/>
        <v>47165</v>
      </c>
      <c r="B932">
        <f t="shared" si="224"/>
        <v>2029</v>
      </c>
      <c r="C932" s="9">
        <f t="shared" si="225"/>
        <v>2</v>
      </c>
      <c r="D932" s="9" t="str">
        <f t="shared" si="226"/>
        <v>February</v>
      </c>
      <c r="E932" s="9" t="str">
        <f t="shared" si="227"/>
        <v>Feb-29</v>
      </c>
      <c r="F932" s="9" t="str">
        <f t="shared" si="228"/>
        <v>Q1</v>
      </c>
      <c r="G932" s="9">
        <f t="shared" si="229"/>
        <v>16</v>
      </c>
      <c r="H932" s="9">
        <f t="shared" si="230"/>
        <v>5</v>
      </c>
      <c r="I932" s="9" t="str">
        <f t="shared" si="231"/>
        <v>Friday</v>
      </c>
      <c r="J932" s="9" t="str">
        <f t="shared" si="232"/>
        <v>No</v>
      </c>
      <c r="K932" s="5" t="str">
        <f>IF(COUNTIF(Bank_Holidays!A:A,A932)&gt;0,"Yes","No")</f>
        <v>No</v>
      </c>
      <c r="L932" t="str">
        <f t="shared" si="233"/>
        <v>Yes</v>
      </c>
      <c r="M932">
        <f t="shared" si="234"/>
        <v>7</v>
      </c>
      <c r="N932" s="5" t="str">
        <f t="shared" si="235"/>
        <v>No</v>
      </c>
      <c r="O932" t="str">
        <f>IF(A932=WORKDAY(EOMONTH(A932,0)+1,-1,Bank_Holidays!$A$2:$A$25),"Yes","No")</f>
        <v>No</v>
      </c>
      <c r="P932" t="str">
        <f t="shared" si="236"/>
        <v>No</v>
      </c>
      <c r="Q932" t="str">
        <f t="shared" si="237"/>
        <v>No</v>
      </c>
      <c r="R932" s="5">
        <f t="shared" si="239"/>
        <v>3</v>
      </c>
    </row>
    <row r="933" spans="1:18">
      <c r="A933" s="25">
        <f t="shared" si="238"/>
        <v>47166</v>
      </c>
      <c r="B933">
        <f t="shared" si="224"/>
        <v>2029</v>
      </c>
      <c r="C933" s="9">
        <f t="shared" si="225"/>
        <v>2</v>
      </c>
      <c r="D933" s="9" t="str">
        <f t="shared" si="226"/>
        <v>February</v>
      </c>
      <c r="E933" s="9" t="str">
        <f t="shared" si="227"/>
        <v>Feb-29</v>
      </c>
      <c r="F933" s="9" t="str">
        <f t="shared" si="228"/>
        <v>Q1</v>
      </c>
      <c r="G933" s="9">
        <f t="shared" si="229"/>
        <v>17</v>
      </c>
      <c r="H933" s="9">
        <f t="shared" si="230"/>
        <v>6</v>
      </c>
      <c r="I933" s="9" t="str">
        <f t="shared" si="231"/>
        <v>Saturday</v>
      </c>
      <c r="J933" s="9" t="str">
        <f t="shared" si="232"/>
        <v>Yes</v>
      </c>
      <c r="K933" s="5" t="str">
        <f>IF(COUNTIF(Bank_Holidays!A:A,A933)&gt;0,"Yes","No")</f>
        <v>No</v>
      </c>
      <c r="L933" t="str">
        <f t="shared" si="233"/>
        <v>No</v>
      </c>
      <c r="M933">
        <f t="shared" si="234"/>
        <v>7</v>
      </c>
      <c r="N933" s="5" t="str">
        <f t="shared" si="235"/>
        <v>No</v>
      </c>
      <c r="O933" t="str">
        <f>IF(A933=WORKDAY(EOMONTH(A933,0)+1,-1,Bank_Holidays!$A$2:$A$25),"Yes","No")</f>
        <v>No</v>
      </c>
      <c r="P933" t="str">
        <f t="shared" si="236"/>
        <v>No</v>
      </c>
      <c r="Q933" t="str">
        <f t="shared" si="237"/>
        <v>No</v>
      </c>
      <c r="R933" s="5">
        <f t="shared" si="239"/>
        <v>0</v>
      </c>
    </row>
    <row r="934" spans="1:18">
      <c r="A934" s="25">
        <f t="shared" si="238"/>
        <v>47167</v>
      </c>
      <c r="B934">
        <f t="shared" si="224"/>
        <v>2029</v>
      </c>
      <c r="C934" s="9">
        <f t="shared" si="225"/>
        <v>2</v>
      </c>
      <c r="D934" s="9" t="str">
        <f t="shared" si="226"/>
        <v>February</v>
      </c>
      <c r="E934" s="9" t="str">
        <f t="shared" si="227"/>
        <v>Feb-29</v>
      </c>
      <c r="F934" s="9" t="str">
        <f t="shared" si="228"/>
        <v>Q1</v>
      </c>
      <c r="G934" s="9">
        <f t="shared" si="229"/>
        <v>18</v>
      </c>
      <c r="H934" s="9">
        <f t="shared" si="230"/>
        <v>7</v>
      </c>
      <c r="I934" s="9" t="str">
        <f t="shared" si="231"/>
        <v>Sunday</v>
      </c>
      <c r="J934" s="9" t="str">
        <f t="shared" si="232"/>
        <v>Yes</v>
      </c>
      <c r="K934" s="5" t="str">
        <f>IF(COUNTIF(Bank_Holidays!A:A,A934)&gt;0,"Yes","No")</f>
        <v>No</v>
      </c>
      <c r="L934" t="str">
        <f t="shared" si="233"/>
        <v>No</v>
      </c>
      <c r="M934">
        <f t="shared" si="234"/>
        <v>7</v>
      </c>
      <c r="N934" s="5" t="str">
        <f t="shared" si="235"/>
        <v>No</v>
      </c>
      <c r="O934" t="str">
        <f>IF(A934=WORKDAY(EOMONTH(A934,0)+1,-1,Bank_Holidays!$A$2:$A$25),"Yes","No")</f>
        <v>No</v>
      </c>
      <c r="P934" t="str">
        <f t="shared" si="236"/>
        <v>No</v>
      </c>
      <c r="Q934" t="str">
        <f t="shared" si="237"/>
        <v>No</v>
      </c>
      <c r="R934" s="5">
        <f t="shared" si="239"/>
        <v>0</v>
      </c>
    </row>
    <row r="935" spans="1:18">
      <c r="A935" s="25">
        <f t="shared" si="238"/>
        <v>47168</v>
      </c>
      <c r="B935">
        <f t="shared" si="224"/>
        <v>2029</v>
      </c>
      <c r="C935" s="9">
        <f t="shared" si="225"/>
        <v>2</v>
      </c>
      <c r="D935" s="9" t="str">
        <f t="shared" si="226"/>
        <v>February</v>
      </c>
      <c r="E935" s="9" t="str">
        <f t="shared" si="227"/>
        <v>Feb-29</v>
      </c>
      <c r="F935" s="9" t="str">
        <f t="shared" si="228"/>
        <v>Q1</v>
      </c>
      <c r="G935" s="9">
        <f t="shared" si="229"/>
        <v>19</v>
      </c>
      <c r="H935" s="9">
        <f t="shared" si="230"/>
        <v>1</v>
      </c>
      <c r="I935" s="9" t="str">
        <f t="shared" si="231"/>
        <v>Monday</v>
      </c>
      <c r="J935" s="9" t="str">
        <f t="shared" si="232"/>
        <v>No</v>
      </c>
      <c r="K935" s="5" t="str">
        <f>IF(COUNTIF(Bank_Holidays!A:A,A935)&gt;0,"Yes","No")</f>
        <v>No</v>
      </c>
      <c r="L935" t="str">
        <f t="shared" si="233"/>
        <v>Yes</v>
      </c>
      <c r="M935">
        <f t="shared" si="234"/>
        <v>8</v>
      </c>
      <c r="N935" s="5" t="str">
        <f t="shared" si="235"/>
        <v>No</v>
      </c>
      <c r="O935" t="str">
        <f>IF(A935=WORKDAY(EOMONTH(A935,0)+1,-1,Bank_Holidays!$A$2:$A$25),"Yes","No")</f>
        <v>No</v>
      </c>
      <c r="P935" t="str">
        <f t="shared" si="236"/>
        <v>No</v>
      </c>
      <c r="Q935" t="str">
        <f t="shared" si="237"/>
        <v>No</v>
      </c>
      <c r="R935" s="5">
        <f t="shared" si="239"/>
        <v>1</v>
      </c>
    </row>
    <row r="936" spans="1:18">
      <c r="A936" s="25">
        <f t="shared" si="238"/>
        <v>47169</v>
      </c>
      <c r="B936">
        <f t="shared" si="224"/>
        <v>2029</v>
      </c>
      <c r="C936" s="9">
        <f t="shared" si="225"/>
        <v>2</v>
      </c>
      <c r="D936" s="9" t="str">
        <f t="shared" si="226"/>
        <v>February</v>
      </c>
      <c r="E936" s="9" t="str">
        <f t="shared" si="227"/>
        <v>Feb-29</v>
      </c>
      <c r="F936" s="9" t="str">
        <f t="shared" si="228"/>
        <v>Q1</v>
      </c>
      <c r="G936" s="9">
        <f t="shared" si="229"/>
        <v>20</v>
      </c>
      <c r="H936" s="9">
        <f t="shared" si="230"/>
        <v>2</v>
      </c>
      <c r="I936" s="9" t="str">
        <f t="shared" si="231"/>
        <v>Tuesday</v>
      </c>
      <c r="J936" s="9" t="str">
        <f t="shared" si="232"/>
        <v>No</v>
      </c>
      <c r="K936" s="5" t="str">
        <f>IF(COUNTIF(Bank_Holidays!A:A,A936)&gt;0,"Yes","No")</f>
        <v>No</v>
      </c>
      <c r="L936" t="str">
        <f t="shared" si="233"/>
        <v>Yes</v>
      </c>
      <c r="M936">
        <f t="shared" si="234"/>
        <v>8</v>
      </c>
      <c r="N936" s="5" t="str">
        <f t="shared" si="235"/>
        <v>No</v>
      </c>
      <c r="O936" t="str">
        <f>IF(A936=WORKDAY(EOMONTH(A936,0)+1,-1,Bank_Holidays!$A$2:$A$25),"Yes","No")</f>
        <v>No</v>
      </c>
      <c r="P936" t="str">
        <f t="shared" si="236"/>
        <v>No</v>
      </c>
      <c r="Q936" t="str">
        <f t="shared" si="237"/>
        <v>No</v>
      </c>
      <c r="R936" s="5">
        <f t="shared" si="239"/>
        <v>1</v>
      </c>
    </row>
    <row r="937" spans="1:18">
      <c r="A937" s="25">
        <f t="shared" si="238"/>
        <v>47170</v>
      </c>
      <c r="B937">
        <f t="shared" si="224"/>
        <v>2029</v>
      </c>
      <c r="C937" s="9">
        <f t="shared" si="225"/>
        <v>2</v>
      </c>
      <c r="D937" s="9" t="str">
        <f t="shared" si="226"/>
        <v>February</v>
      </c>
      <c r="E937" s="9" t="str">
        <f t="shared" si="227"/>
        <v>Feb-29</v>
      </c>
      <c r="F937" s="9" t="str">
        <f t="shared" si="228"/>
        <v>Q1</v>
      </c>
      <c r="G937" s="9">
        <f t="shared" si="229"/>
        <v>21</v>
      </c>
      <c r="H937" s="9">
        <f t="shared" si="230"/>
        <v>3</v>
      </c>
      <c r="I937" s="9" t="str">
        <f t="shared" si="231"/>
        <v>Wednesday</v>
      </c>
      <c r="J937" s="9" t="str">
        <f t="shared" si="232"/>
        <v>No</v>
      </c>
      <c r="K937" s="5" t="str">
        <f>IF(COUNTIF(Bank_Holidays!A:A,A937)&gt;0,"Yes","No")</f>
        <v>No</v>
      </c>
      <c r="L937" t="str">
        <f t="shared" si="233"/>
        <v>Yes</v>
      </c>
      <c r="M937">
        <f t="shared" si="234"/>
        <v>8</v>
      </c>
      <c r="N937" s="5" t="str">
        <f t="shared" si="235"/>
        <v>No</v>
      </c>
      <c r="O937" t="str">
        <f>IF(A937=WORKDAY(EOMONTH(A937,0)+1,-1,Bank_Holidays!$A$2:$A$25),"Yes","No")</f>
        <v>No</v>
      </c>
      <c r="P937" t="str">
        <f t="shared" si="236"/>
        <v>No</v>
      </c>
      <c r="Q937" t="str">
        <f t="shared" si="237"/>
        <v>No</v>
      </c>
      <c r="R937" s="5">
        <f t="shared" si="239"/>
        <v>1</v>
      </c>
    </row>
    <row r="938" spans="1:18">
      <c r="A938" s="25">
        <f t="shared" si="238"/>
        <v>47171</v>
      </c>
      <c r="B938">
        <f t="shared" si="224"/>
        <v>2029</v>
      </c>
      <c r="C938" s="9">
        <f t="shared" si="225"/>
        <v>2</v>
      </c>
      <c r="D938" s="9" t="str">
        <f t="shared" si="226"/>
        <v>February</v>
      </c>
      <c r="E938" s="9" t="str">
        <f t="shared" si="227"/>
        <v>Feb-29</v>
      </c>
      <c r="F938" s="9" t="str">
        <f t="shared" si="228"/>
        <v>Q1</v>
      </c>
      <c r="G938" s="9">
        <f t="shared" si="229"/>
        <v>22</v>
      </c>
      <c r="H938" s="9">
        <f t="shared" si="230"/>
        <v>4</v>
      </c>
      <c r="I938" s="9" t="str">
        <f t="shared" si="231"/>
        <v>Thursday</v>
      </c>
      <c r="J938" s="9" t="str">
        <f t="shared" si="232"/>
        <v>No</v>
      </c>
      <c r="K938" s="5" t="str">
        <f>IF(COUNTIF(Bank_Holidays!A:A,A938)&gt;0,"Yes","No")</f>
        <v>No</v>
      </c>
      <c r="L938" t="str">
        <f t="shared" si="233"/>
        <v>Yes</v>
      </c>
      <c r="M938">
        <f t="shared" si="234"/>
        <v>8</v>
      </c>
      <c r="N938" s="5" t="str">
        <f t="shared" si="235"/>
        <v>No</v>
      </c>
      <c r="O938" t="str">
        <f>IF(A938=WORKDAY(EOMONTH(A938,0)+1,-1,Bank_Holidays!$A$2:$A$25),"Yes","No")</f>
        <v>No</v>
      </c>
      <c r="P938" t="str">
        <f t="shared" si="236"/>
        <v>No</v>
      </c>
      <c r="Q938" t="str">
        <f t="shared" si="237"/>
        <v>Yes</v>
      </c>
      <c r="R938" s="5">
        <f t="shared" si="239"/>
        <v>1</v>
      </c>
    </row>
    <row r="939" spans="1:18">
      <c r="A939" s="25">
        <f t="shared" si="238"/>
        <v>47172</v>
      </c>
      <c r="B939">
        <f t="shared" si="224"/>
        <v>2029</v>
      </c>
      <c r="C939" s="9">
        <f t="shared" si="225"/>
        <v>2</v>
      </c>
      <c r="D939" s="9" t="str">
        <f t="shared" si="226"/>
        <v>February</v>
      </c>
      <c r="E939" s="9" t="str">
        <f t="shared" si="227"/>
        <v>Feb-29</v>
      </c>
      <c r="F939" s="9" t="str">
        <f t="shared" si="228"/>
        <v>Q1</v>
      </c>
      <c r="G939" s="9">
        <f t="shared" si="229"/>
        <v>23</v>
      </c>
      <c r="H939" s="9">
        <f t="shared" si="230"/>
        <v>5</v>
      </c>
      <c r="I939" s="9" t="str">
        <f t="shared" si="231"/>
        <v>Friday</v>
      </c>
      <c r="J939" s="9" t="str">
        <f t="shared" si="232"/>
        <v>No</v>
      </c>
      <c r="K939" s="5" t="str">
        <f>IF(COUNTIF(Bank_Holidays!A:A,A939)&gt;0,"Yes","No")</f>
        <v>No</v>
      </c>
      <c r="L939" t="str">
        <f t="shared" si="233"/>
        <v>Yes</v>
      </c>
      <c r="M939">
        <f t="shared" si="234"/>
        <v>8</v>
      </c>
      <c r="N939" s="5" t="str">
        <f t="shared" si="235"/>
        <v>No</v>
      </c>
      <c r="O939" t="str">
        <f>IF(A939=WORKDAY(EOMONTH(A939,0)+1,-1,Bank_Holidays!$A$2:$A$25),"Yes","No")</f>
        <v>No</v>
      </c>
      <c r="P939" t="str">
        <f t="shared" si="236"/>
        <v>Yes</v>
      </c>
      <c r="Q939" t="str">
        <f t="shared" si="237"/>
        <v>No</v>
      </c>
      <c r="R939" s="5">
        <f t="shared" si="239"/>
        <v>3</v>
      </c>
    </row>
    <row r="940" spans="1:18">
      <c r="A940" s="25">
        <f t="shared" si="238"/>
        <v>47173</v>
      </c>
      <c r="B940">
        <f t="shared" si="224"/>
        <v>2029</v>
      </c>
      <c r="C940" s="9">
        <f t="shared" si="225"/>
        <v>2</v>
      </c>
      <c r="D940" s="9" t="str">
        <f t="shared" si="226"/>
        <v>February</v>
      </c>
      <c r="E940" s="9" t="str">
        <f t="shared" si="227"/>
        <v>Feb-29</v>
      </c>
      <c r="F940" s="9" t="str">
        <f t="shared" si="228"/>
        <v>Q1</v>
      </c>
      <c r="G940" s="9">
        <f t="shared" si="229"/>
        <v>24</v>
      </c>
      <c r="H940" s="9">
        <f t="shared" si="230"/>
        <v>6</v>
      </c>
      <c r="I940" s="9" t="str">
        <f t="shared" si="231"/>
        <v>Saturday</v>
      </c>
      <c r="J940" s="9" t="str">
        <f t="shared" si="232"/>
        <v>Yes</v>
      </c>
      <c r="K940" s="5" t="str">
        <f>IF(COUNTIF(Bank_Holidays!A:A,A940)&gt;0,"Yes","No")</f>
        <v>No</v>
      </c>
      <c r="L940" t="str">
        <f t="shared" si="233"/>
        <v>No</v>
      </c>
      <c r="M940">
        <f t="shared" si="234"/>
        <v>8</v>
      </c>
      <c r="N940" s="5" t="str">
        <f t="shared" si="235"/>
        <v>No</v>
      </c>
      <c r="O940" t="str">
        <f>IF(A940=WORKDAY(EOMONTH(A940,0)+1,-1,Bank_Holidays!$A$2:$A$25),"Yes","No")</f>
        <v>No</v>
      </c>
      <c r="P940" t="str">
        <f t="shared" si="236"/>
        <v>No</v>
      </c>
      <c r="Q940" t="str">
        <f t="shared" si="237"/>
        <v>No</v>
      </c>
      <c r="R940" s="5">
        <f t="shared" si="239"/>
        <v>0</v>
      </c>
    </row>
    <row r="941" spans="1:18">
      <c r="A941" s="25">
        <f t="shared" si="238"/>
        <v>47174</v>
      </c>
      <c r="B941">
        <f t="shared" si="224"/>
        <v>2029</v>
      </c>
      <c r="C941" s="9">
        <f t="shared" si="225"/>
        <v>2</v>
      </c>
      <c r="D941" s="9" t="str">
        <f t="shared" si="226"/>
        <v>February</v>
      </c>
      <c r="E941" s="9" t="str">
        <f t="shared" si="227"/>
        <v>Feb-29</v>
      </c>
      <c r="F941" s="9" t="str">
        <f t="shared" si="228"/>
        <v>Q1</v>
      </c>
      <c r="G941" s="9">
        <f t="shared" si="229"/>
        <v>25</v>
      </c>
      <c r="H941" s="9">
        <f t="shared" si="230"/>
        <v>7</v>
      </c>
      <c r="I941" s="9" t="str">
        <f t="shared" si="231"/>
        <v>Sunday</v>
      </c>
      <c r="J941" s="9" t="str">
        <f t="shared" si="232"/>
        <v>Yes</v>
      </c>
      <c r="K941" s="5" t="str">
        <f>IF(COUNTIF(Bank_Holidays!A:A,A941)&gt;0,"Yes","No")</f>
        <v>No</v>
      </c>
      <c r="L941" t="str">
        <f t="shared" si="233"/>
        <v>No</v>
      </c>
      <c r="M941">
        <f t="shared" si="234"/>
        <v>8</v>
      </c>
      <c r="N941" s="5" t="str">
        <f t="shared" si="235"/>
        <v>No</v>
      </c>
      <c r="O941" t="str">
        <f>IF(A941=WORKDAY(EOMONTH(A941,0)+1,-1,Bank_Holidays!$A$2:$A$25),"Yes","No")</f>
        <v>No</v>
      </c>
      <c r="P941" t="str">
        <f t="shared" si="236"/>
        <v>No</v>
      </c>
      <c r="Q941" t="str">
        <f t="shared" si="237"/>
        <v>No</v>
      </c>
      <c r="R941" s="5">
        <f t="shared" si="239"/>
        <v>0</v>
      </c>
    </row>
    <row r="942" spans="1:18">
      <c r="A942" s="25">
        <f t="shared" si="238"/>
        <v>47175</v>
      </c>
      <c r="B942">
        <f t="shared" si="224"/>
        <v>2029</v>
      </c>
      <c r="C942" s="9">
        <f t="shared" si="225"/>
        <v>2</v>
      </c>
      <c r="D942" s="9" t="str">
        <f t="shared" si="226"/>
        <v>February</v>
      </c>
      <c r="E942" s="9" t="str">
        <f t="shared" si="227"/>
        <v>Feb-29</v>
      </c>
      <c r="F942" s="9" t="str">
        <f t="shared" si="228"/>
        <v>Q1</v>
      </c>
      <c r="G942" s="9">
        <f t="shared" si="229"/>
        <v>26</v>
      </c>
      <c r="H942" s="9">
        <f t="shared" si="230"/>
        <v>1</v>
      </c>
      <c r="I942" s="9" t="str">
        <f t="shared" si="231"/>
        <v>Monday</v>
      </c>
      <c r="J942" s="9" t="str">
        <f t="shared" si="232"/>
        <v>No</v>
      </c>
      <c r="K942" s="5" t="str">
        <f>IF(COUNTIF(Bank_Holidays!A:A,A942)&gt;0,"Yes","No")</f>
        <v>No</v>
      </c>
      <c r="L942" t="str">
        <f t="shared" si="233"/>
        <v>Yes</v>
      </c>
      <c r="M942">
        <f t="shared" si="234"/>
        <v>9</v>
      </c>
      <c r="N942" s="5" t="str">
        <f t="shared" si="235"/>
        <v>No</v>
      </c>
      <c r="O942" t="str">
        <f>IF(A942=WORKDAY(EOMONTH(A942,0)+1,-1,Bank_Holidays!$A$2:$A$25),"Yes","No")</f>
        <v>No</v>
      </c>
      <c r="P942" t="str">
        <f t="shared" si="236"/>
        <v>No</v>
      </c>
      <c r="Q942" t="str">
        <f t="shared" si="237"/>
        <v>No</v>
      </c>
      <c r="R942" s="5">
        <f t="shared" si="239"/>
        <v>1</v>
      </c>
    </row>
    <row r="943" spans="1:18">
      <c r="A943" s="25">
        <f t="shared" si="238"/>
        <v>47176</v>
      </c>
      <c r="B943">
        <f t="shared" si="224"/>
        <v>2029</v>
      </c>
      <c r="C943" s="9">
        <f t="shared" si="225"/>
        <v>2</v>
      </c>
      <c r="D943" s="9" t="str">
        <f t="shared" si="226"/>
        <v>February</v>
      </c>
      <c r="E943" s="9" t="str">
        <f t="shared" si="227"/>
        <v>Feb-29</v>
      </c>
      <c r="F943" s="9" t="str">
        <f t="shared" si="228"/>
        <v>Q1</v>
      </c>
      <c r="G943" s="9">
        <f t="shared" si="229"/>
        <v>27</v>
      </c>
      <c r="H943" s="9">
        <f t="shared" si="230"/>
        <v>2</v>
      </c>
      <c r="I943" s="9" t="str">
        <f t="shared" si="231"/>
        <v>Tuesday</v>
      </c>
      <c r="J943" s="9" t="str">
        <f t="shared" si="232"/>
        <v>No</v>
      </c>
      <c r="K943" s="5" t="str">
        <f>IF(COUNTIF(Bank_Holidays!A:A,A943)&gt;0,"Yes","No")</f>
        <v>No</v>
      </c>
      <c r="L943" t="str">
        <f t="shared" si="233"/>
        <v>Yes</v>
      </c>
      <c r="M943">
        <f t="shared" si="234"/>
        <v>9</v>
      </c>
      <c r="N943" s="5" t="str">
        <f t="shared" si="235"/>
        <v>No</v>
      </c>
      <c r="O943" t="str">
        <f>IF(A943=WORKDAY(EOMONTH(A943,0)+1,-1,Bank_Holidays!$A$2:$A$25),"Yes","No")</f>
        <v>No</v>
      </c>
      <c r="P943" t="str">
        <f t="shared" si="236"/>
        <v>No</v>
      </c>
      <c r="Q943" t="str">
        <f t="shared" si="237"/>
        <v>No</v>
      </c>
      <c r="R943" s="5">
        <f t="shared" si="239"/>
        <v>1</v>
      </c>
    </row>
    <row r="944" spans="1:18">
      <c r="A944" s="25">
        <f t="shared" si="238"/>
        <v>47177</v>
      </c>
      <c r="B944">
        <f t="shared" si="224"/>
        <v>2029</v>
      </c>
      <c r="C944" s="9">
        <f t="shared" si="225"/>
        <v>2</v>
      </c>
      <c r="D944" s="9" t="str">
        <f t="shared" si="226"/>
        <v>February</v>
      </c>
      <c r="E944" s="9" t="str">
        <f t="shared" si="227"/>
        <v>Feb-29</v>
      </c>
      <c r="F944" s="9" t="str">
        <f t="shared" si="228"/>
        <v>Q1</v>
      </c>
      <c r="G944" s="9">
        <f t="shared" si="229"/>
        <v>28</v>
      </c>
      <c r="H944" s="9">
        <f t="shared" si="230"/>
        <v>3</v>
      </c>
      <c r="I944" s="9" t="str">
        <f t="shared" si="231"/>
        <v>Wednesday</v>
      </c>
      <c r="J944" s="9" t="str">
        <f t="shared" si="232"/>
        <v>No</v>
      </c>
      <c r="K944" s="5" t="str">
        <f>IF(COUNTIF(Bank_Holidays!A:A,A944)&gt;0,"Yes","No")</f>
        <v>No</v>
      </c>
      <c r="L944" t="str">
        <f t="shared" si="233"/>
        <v>Yes</v>
      </c>
      <c r="M944">
        <f t="shared" si="234"/>
        <v>9</v>
      </c>
      <c r="N944" s="5" t="str">
        <f t="shared" si="235"/>
        <v>Yes</v>
      </c>
      <c r="O944" t="str">
        <f>IF(A944=WORKDAY(EOMONTH(A944,0)+1,-1,Bank_Holidays!$A$2:$A$25),"Yes","No")</f>
        <v>Yes</v>
      </c>
      <c r="P944" t="str">
        <f t="shared" si="236"/>
        <v>No</v>
      </c>
      <c r="Q944" t="str">
        <f t="shared" si="237"/>
        <v>No</v>
      </c>
      <c r="R944" s="5">
        <f t="shared" si="239"/>
        <v>1</v>
      </c>
    </row>
    <row r="945" spans="1:18">
      <c r="A945" s="25">
        <f t="shared" si="238"/>
        <v>47178</v>
      </c>
      <c r="B945">
        <f t="shared" si="224"/>
        <v>2029</v>
      </c>
      <c r="C945" s="9">
        <f t="shared" si="225"/>
        <v>3</v>
      </c>
      <c r="D945" s="9" t="str">
        <f t="shared" si="226"/>
        <v>March</v>
      </c>
      <c r="E945" s="9" t="str">
        <f t="shared" si="227"/>
        <v>Mar-29</v>
      </c>
      <c r="F945" s="9" t="str">
        <f t="shared" si="228"/>
        <v>Q1</v>
      </c>
      <c r="G945" s="9">
        <f t="shared" si="229"/>
        <v>1</v>
      </c>
      <c r="H945" s="9">
        <f t="shared" si="230"/>
        <v>4</v>
      </c>
      <c r="I945" s="9" t="str">
        <f t="shared" si="231"/>
        <v>Thursday</v>
      </c>
      <c r="J945" s="9" t="str">
        <f t="shared" si="232"/>
        <v>No</v>
      </c>
      <c r="K945" s="5" t="str">
        <f>IF(COUNTIF(Bank_Holidays!A:A,A945)&gt;0,"Yes","No")</f>
        <v>No</v>
      </c>
      <c r="L945" t="str">
        <f t="shared" si="233"/>
        <v>Yes</v>
      </c>
      <c r="M945">
        <f t="shared" si="234"/>
        <v>9</v>
      </c>
      <c r="N945" s="5" t="str">
        <f t="shared" si="235"/>
        <v>No</v>
      </c>
      <c r="O945" t="str">
        <f>IF(A945=WORKDAY(EOMONTH(A945,0)+1,-1,Bank_Holidays!$A$2:$A$25),"Yes","No")</f>
        <v>No</v>
      </c>
      <c r="P945" t="str">
        <f t="shared" si="236"/>
        <v>No</v>
      </c>
      <c r="Q945" t="str">
        <f t="shared" si="237"/>
        <v>No</v>
      </c>
      <c r="R945" s="5">
        <f t="shared" si="239"/>
        <v>1</v>
      </c>
    </row>
    <row r="946" spans="1:18">
      <c r="A946" s="25">
        <f t="shared" si="238"/>
        <v>47179</v>
      </c>
      <c r="B946">
        <f t="shared" si="224"/>
        <v>2029</v>
      </c>
      <c r="C946" s="9">
        <f t="shared" si="225"/>
        <v>3</v>
      </c>
      <c r="D946" s="9" t="str">
        <f t="shared" si="226"/>
        <v>March</v>
      </c>
      <c r="E946" s="9" t="str">
        <f t="shared" si="227"/>
        <v>Mar-29</v>
      </c>
      <c r="F946" s="9" t="str">
        <f t="shared" si="228"/>
        <v>Q1</v>
      </c>
      <c r="G946" s="9">
        <f t="shared" si="229"/>
        <v>2</v>
      </c>
      <c r="H946" s="9">
        <f t="shared" si="230"/>
        <v>5</v>
      </c>
      <c r="I946" s="9" t="str">
        <f t="shared" si="231"/>
        <v>Friday</v>
      </c>
      <c r="J946" s="9" t="str">
        <f t="shared" si="232"/>
        <v>No</v>
      </c>
      <c r="K946" s="5" t="str">
        <f>IF(COUNTIF(Bank_Holidays!A:A,A946)&gt;0,"Yes","No")</f>
        <v>No</v>
      </c>
      <c r="L946" t="str">
        <f t="shared" si="233"/>
        <v>Yes</v>
      </c>
      <c r="M946">
        <f t="shared" si="234"/>
        <v>9</v>
      </c>
      <c r="N946" s="5" t="str">
        <f t="shared" si="235"/>
        <v>No</v>
      </c>
      <c r="O946" t="str">
        <f>IF(A946=WORKDAY(EOMONTH(A946,0)+1,-1,Bank_Holidays!$A$2:$A$25),"Yes","No")</f>
        <v>No</v>
      </c>
      <c r="P946" t="str">
        <f t="shared" si="236"/>
        <v>No</v>
      </c>
      <c r="Q946" t="str">
        <f t="shared" si="237"/>
        <v>No</v>
      </c>
      <c r="R946" s="5">
        <f t="shared" si="239"/>
        <v>3</v>
      </c>
    </row>
    <row r="947" spans="1:18">
      <c r="A947" s="25">
        <f t="shared" si="238"/>
        <v>47180</v>
      </c>
      <c r="B947">
        <f t="shared" si="224"/>
        <v>2029</v>
      </c>
      <c r="C947" s="9">
        <f t="shared" si="225"/>
        <v>3</v>
      </c>
      <c r="D947" s="9" t="str">
        <f t="shared" si="226"/>
        <v>March</v>
      </c>
      <c r="E947" s="9" t="str">
        <f t="shared" si="227"/>
        <v>Mar-29</v>
      </c>
      <c r="F947" s="9" t="str">
        <f t="shared" si="228"/>
        <v>Q1</v>
      </c>
      <c r="G947" s="9">
        <f t="shared" si="229"/>
        <v>3</v>
      </c>
      <c r="H947" s="9">
        <f t="shared" si="230"/>
        <v>6</v>
      </c>
      <c r="I947" s="9" t="str">
        <f t="shared" si="231"/>
        <v>Saturday</v>
      </c>
      <c r="J947" s="9" t="str">
        <f t="shared" si="232"/>
        <v>Yes</v>
      </c>
      <c r="K947" s="5" t="str">
        <f>IF(COUNTIF(Bank_Holidays!A:A,A947)&gt;0,"Yes","No")</f>
        <v>No</v>
      </c>
      <c r="L947" t="str">
        <f t="shared" si="233"/>
        <v>No</v>
      </c>
      <c r="M947">
        <f t="shared" si="234"/>
        <v>9</v>
      </c>
      <c r="N947" s="5" t="str">
        <f t="shared" si="235"/>
        <v>No</v>
      </c>
      <c r="O947" t="str">
        <f>IF(A947=WORKDAY(EOMONTH(A947,0)+1,-1,Bank_Holidays!$A$2:$A$25),"Yes","No")</f>
        <v>No</v>
      </c>
      <c r="P947" t="str">
        <f t="shared" si="236"/>
        <v>No</v>
      </c>
      <c r="Q947" t="str">
        <f t="shared" si="237"/>
        <v>No</v>
      </c>
      <c r="R947" s="5">
        <f t="shared" si="239"/>
        <v>0</v>
      </c>
    </row>
    <row r="948" spans="1:18">
      <c r="A948" s="25">
        <f t="shared" si="238"/>
        <v>47181</v>
      </c>
      <c r="B948">
        <f t="shared" si="224"/>
        <v>2029</v>
      </c>
      <c r="C948" s="9">
        <f t="shared" si="225"/>
        <v>3</v>
      </c>
      <c r="D948" s="9" t="str">
        <f t="shared" si="226"/>
        <v>March</v>
      </c>
      <c r="E948" s="9" t="str">
        <f t="shared" si="227"/>
        <v>Mar-29</v>
      </c>
      <c r="F948" s="9" t="str">
        <f t="shared" si="228"/>
        <v>Q1</v>
      </c>
      <c r="G948" s="9">
        <f t="shared" si="229"/>
        <v>4</v>
      </c>
      <c r="H948" s="9">
        <f t="shared" si="230"/>
        <v>7</v>
      </c>
      <c r="I948" s="9" t="str">
        <f t="shared" si="231"/>
        <v>Sunday</v>
      </c>
      <c r="J948" s="9" t="str">
        <f t="shared" si="232"/>
        <v>Yes</v>
      </c>
      <c r="K948" s="5" t="str">
        <f>IF(COUNTIF(Bank_Holidays!A:A,A948)&gt;0,"Yes","No")</f>
        <v>No</v>
      </c>
      <c r="L948" t="str">
        <f t="shared" si="233"/>
        <v>No</v>
      </c>
      <c r="M948">
        <f t="shared" si="234"/>
        <v>9</v>
      </c>
      <c r="N948" s="5" t="str">
        <f t="shared" si="235"/>
        <v>No</v>
      </c>
      <c r="O948" t="str">
        <f>IF(A948=WORKDAY(EOMONTH(A948,0)+1,-1,Bank_Holidays!$A$2:$A$25),"Yes","No")</f>
        <v>No</v>
      </c>
      <c r="P948" t="str">
        <f t="shared" si="236"/>
        <v>No</v>
      </c>
      <c r="Q948" t="str">
        <f t="shared" si="237"/>
        <v>No</v>
      </c>
      <c r="R948" s="5">
        <f t="shared" si="239"/>
        <v>0</v>
      </c>
    </row>
    <row r="949" spans="1:18">
      <c r="A949" s="25">
        <f t="shared" si="238"/>
        <v>47182</v>
      </c>
      <c r="B949">
        <f t="shared" si="224"/>
        <v>2029</v>
      </c>
      <c r="C949" s="9">
        <f t="shared" si="225"/>
        <v>3</v>
      </c>
      <c r="D949" s="9" t="str">
        <f t="shared" si="226"/>
        <v>March</v>
      </c>
      <c r="E949" s="9" t="str">
        <f t="shared" si="227"/>
        <v>Mar-29</v>
      </c>
      <c r="F949" s="9" t="str">
        <f t="shared" si="228"/>
        <v>Q1</v>
      </c>
      <c r="G949" s="9">
        <f t="shared" si="229"/>
        <v>5</v>
      </c>
      <c r="H949" s="9">
        <f t="shared" si="230"/>
        <v>1</v>
      </c>
      <c r="I949" s="9" t="str">
        <f t="shared" si="231"/>
        <v>Monday</v>
      </c>
      <c r="J949" s="9" t="str">
        <f t="shared" si="232"/>
        <v>No</v>
      </c>
      <c r="K949" s="5" t="str">
        <f>IF(COUNTIF(Bank_Holidays!A:A,A949)&gt;0,"Yes","No")</f>
        <v>No</v>
      </c>
      <c r="L949" t="str">
        <f t="shared" si="233"/>
        <v>Yes</v>
      </c>
      <c r="M949">
        <f t="shared" si="234"/>
        <v>10</v>
      </c>
      <c r="N949" s="5" t="str">
        <f t="shared" si="235"/>
        <v>No</v>
      </c>
      <c r="O949" t="str">
        <f>IF(A949=WORKDAY(EOMONTH(A949,0)+1,-1,Bank_Holidays!$A$2:$A$25),"Yes","No")</f>
        <v>No</v>
      </c>
      <c r="P949" t="str">
        <f t="shared" si="236"/>
        <v>No</v>
      </c>
      <c r="Q949" t="str">
        <f t="shared" si="237"/>
        <v>No</v>
      </c>
      <c r="R949" s="5">
        <f t="shared" si="239"/>
        <v>1</v>
      </c>
    </row>
    <row r="950" spans="1:18">
      <c r="A950" s="25">
        <f t="shared" si="238"/>
        <v>47183</v>
      </c>
      <c r="B950">
        <f t="shared" si="224"/>
        <v>2029</v>
      </c>
      <c r="C950" s="9">
        <f t="shared" si="225"/>
        <v>3</v>
      </c>
      <c r="D950" s="9" t="str">
        <f t="shared" si="226"/>
        <v>March</v>
      </c>
      <c r="E950" s="9" t="str">
        <f t="shared" si="227"/>
        <v>Mar-29</v>
      </c>
      <c r="F950" s="9" t="str">
        <f t="shared" si="228"/>
        <v>Q1</v>
      </c>
      <c r="G950" s="9">
        <f t="shared" si="229"/>
        <v>6</v>
      </c>
      <c r="H950" s="9">
        <f t="shared" si="230"/>
        <v>2</v>
      </c>
      <c r="I950" s="9" t="str">
        <f t="shared" si="231"/>
        <v>Tuesday</v>
      </c>
      <c r="J950" s="9" t="str">
        <f t="shared" si="232"/>
        <v>No</v>
      </c>
      <c r="K950" s="5" t="str">
        <f>IF(COUNTIF(Bank_Holidays!A:A,A950)&gt;0,"Yes","No")</f>
        <v>No</v>
      </c>
      <c r="L950" t="str">
        <f t="shared" si="233"/>
        <v>Yes</v>
      </c>
      <c r="M950">
        <f t="shared" si="234"/>
        <v>10</v>
      </c>
      <c r="N950" s="5" t="str">
        <f t="shared" si="235"/>
        <v>No</v>
      </c>
      <c r="O950" t="str">
        <f>IF(A950=WORKDAY(EOMONTH(A950,0)+1,-1,Bank_Holidays!$A$2:$A$25),"Yes","No")</f>
        <v>No</v>
      </c>
      <c r="P950" t="str">
        <f t="shared" si="236"/>
        <v>No</v>
      </c>
      <c r="Q950" t="str">
        <f t="shared" si="237"/>
        <v>No</v>
      </c>
      <c r="R950" s="5">
        <f t="shared" si="239"/>
        <v>1</v>
      </c>
    </row>
    <row r="951" spans="1:18">
      <c r="A951" s="25">
        <f t="shared" si="238"/>
        <v>47184</v>
      </c>
      <c r="B951">
        <f t="shared" si="224"/>
        <v>2029</v>
      </c>
      <c r="C951" s="9">
        <f t="shared" si="225"/>
        <v>3</v>
      </c>
      <c r="D951" s="9" t="str">
        <f t="shared" si="226"/>
        <v>March</v>
      </c>
      <c r="E951" s="9" t="str">
        <f t="shared" si="227"/>
        <v>Mar-29</v>
      </c>
      <c r="F951" s="9" t="str">
        <f t="shared" si="228"/>
        <v>Q1</v>
      </c>
      <c r="G951" s="9">
        <f t="shared" si="229"/>
        <v>7</v>
      </c>
      <c r="H951" s="9">
        <f t="shared" si="230"/>
        <v>3</v>
      </c>
      <c r="I951" s="9" t="str">
        <f t="shared" si="231"/>
        <v>Wednesday</v>
      </c>
      <c r="J951" s="9" t="str">
        <f t="shared" si="232"/>
        <v>No</v>
      </c>
      <c r="K951" s="5" t="str">
        <f>IF(COUNTIF(Bank_Holidays!A:A,A951)&gt;0,"Yes","No")</f>
        <v>No</v>
      </c>
      <c r="L951" t="str">
        <f t="shared" si="233"/>
        <v>Yes</v>
      </c>
      <c r="M951">
        <f t="shared" si="234"/>
        <v>10</v>
      </c>
      <c r="N951" s="5" t="str">
        <f t="shared" si="235"/>
        <v>No</v>
      </c>
      <c r="O951" t="str">
        <f>IF(A951=WORKDAY(EOMONTH(A951,0)+1,-1,Bank_Holidays!$A$2:$A$25),"Yes","No")</f>
        <v>No</v>
      </c>
      <c r="P951" t="str">
        <f t="shared" si="236"/>
        <v>No</v>
      </c>
      <c r="Q951" t="str">
        <f t="shared" si="237"/>
        <v>No</v>
      </c>
      <c r="R951" s="5">
        <f t="shared" si="239"/>
        <v>1</v>
      </c>
    </row>
    <row r="952" spans="1:18">
      <c r="A952" s="25">
        <f t="shared" si="238"/>
        <v>47185</v>
      </c>
      <c r="B952">
        <f t="shared" si="224"/>
        <v>2029</v>
      </c>
      <c r="C952" s="9">
        <f t="shared" si="225"/>
        <v>3</v>
      </c>
      <c r="D952" s="9" t="str">
        <f t="shared" si="226"/>
        <v>March</v>
      </c>
      <c r="E952" s="9" t="str">
        <f t="shared" si="227"/>
        <v>Mar-29</v>
      </c>
      <c r="F952" s="9" t="str">
        <f t="shared" si="228"/>
        <v>Q1</v>
      </c>
      <c r="G952" s="9">
        <f t="shared" si="229"/>
        <v>8</v>
      </c>
      <c r="H952" s="9">
        <f t="shared" si="230"/>
        <v>4</v>
      </c>
      <c r="I952" s="9" t="str">
        <f t="shared" si="231"/>
        <v>Thursday</v>
      </c>
      <c r="J952" s="9" t="str">
        <f t="shared" si="232"/>
        <v>No</v>
      </c>
      <c r="K952" s="5" t="str">
        <f>IF(COUNTIF(Bank_Holidays!A:A,A952)&gt;0,"Yes","No")</f>
        <v>No</v>
      </c>
      <c r="L952" t="str">
        <f t="shared" si="233"/>
        <v>Yes</v>
      </c>
      <c r="M952">
        <f t="shared" si="234"/>
        <v>10</v>
      </c>
      <c r="N952" s="5" t="str">
        <f t="shared" si="235"/>
        <v>No</v>
      </c>
      <c r="O952" t="str">
        <f>IF(A952=WORKDAY(EOMONTH(A952,0)+1,-1,Bank_Holidays!$A$2:$A$25),"Yes","No")</f>
        <v>No</v>
      </c>
      <c r="P952" t="str">
        <f t="shared" si="236"/>
        <v>No</v>
      </c>
      <c r="Q952" t="str">
        <f t="shared" si="237"/>
        <v>No</v>
      </c>
      <c r="R952" s="5">
        <f t="shared" si="239"/>
        <v>1</v>
      </c>
    </row>
    <row r="953" spans="1:18">
      <c r="A953" s="25">
        <f t="shared" si="238"/>
        <v>47186</v>
      </c>
      <c r="B953">
        <f t="shared" si="224"/>
        <v>2029</v>
      </c>
      <c r="C953" s="9">
        <f t="shared" si="225"/>
        <v>3</v>
      </c>
      <c r="D953" s="9" t="str">
        <f t="shared" si="226"/>
        <v>March</v>
      </c>
      <c r="E953" s="9" t="str">
        <f t="shared" si="227"/>
        <v>Mar-29</v>
      </c>
      <c r="F953" s="9" t="str">
        <f t="shared" si="228"/>
        <v>Q1</v>
      </c>
      <c r="G953" s="9">
        <f t="shared" si="229"/>
        <v>9</v>
      </c>
      <c r="H953" s="9">
        <f t="shared" si="230"/>
        <v>5</v>
      </c>
      <c r="I953" s="9" t="str">
        <f t="shared" si="231"/>
        <v>Friday</v>
      </c>
      <c r="J953" s="9" t="str">
        <f t="shared" si="232"/>
        <v>No</v>
      </c>
      <c r="K953" s="5" t="str">
        <f>IF(COUNTIF(Bank_Holidays!A:A,A953)&gt;0,"Yes","No")</f>
        <v>No</v>
      </c>
      <c r="L953" t="str">
        <f t="shared" si="233"/>
        <v>Yes</v>
      </c>
      <c r="M953">
        <f t="shared" si="234"/>
        <v>10</v>
      </c>
      <c r="N953" s="5" t="str">
        <f t="shared" si="235"/>
        <v>No</v>
      </c>
      <c r="O953" t="str">
        <f>IF(A953=WORKDAY(EOMONTH(A953,0)+1,-1,Bank_Holidays!$A$2:$A$25),"Yes","No")</f>
        <v>No</v>
      </c>
      <c r="P953" t="str">
        <f t="shared" si="236"/>
        <v>No</v>
      </c>
      <c r="Q953" t="str">
        <f t="shared" si="237"/>
        <v>No</v>
      </c>
      <c r="R953" s="5">
        <f t="shared" si="239"/>
        <v>3</v>
      </c>
    </row>
    <row r="954" spans="1:18">
      <c r="A954" s="25">
        <f t="shared" si="238"/>
        <v>47187</v>
      </c>
      <c r="B954">
        <f t="shared" si="224"/>
        <v>2029</v>
      </c>
      <c r="C954" s="9">
        <f t="shared" si="225"/>
        <v>3</v>
      </c>
      <c r="D954" s="9" t="str">
        <f t="shared" si="226"/>
        <v>March</v>
      </c>
      <c r="E954" s="9" t="str">
        <f t="shared" si="227"/>
        <v>Mar-29</v>
      </c>
      <c r="F954" s="9" t="str">
        <f t="shared" si="228"/>
        <v>Q1</v>
      </c>
      <c r="G954" s="9">
        <f t="shared" si="229"/>
        <v>10</v>
      </c>
      <c r="H954" s="9">
        <f t="shared" si="230"/>
        <v>6</v>
      </c>
      <c r="I954" s="9" t="str">
        <f t="shared" si="231"/>
        <v>Saturday</v>
      </c>
      <c r="J954" s="9" t="str">
        <f t="shared" si="232"/>
        <v>Yes</v>
      </c>
      <c r="K954" s="5" t="str">
        <f>IF(COUNTIF(Bank_Holidays!A:A,A954)&gt;0,"Yes","No")</f>
        <v>No</v>
      </c>
      <c r="L954" t="str">
        <f t="shared" si="233"/>
        <v>No</v>
      </c>
      <c r="M954">
        <f t="shared" si="234"/>
        <v>10</v>
      </c>
      <c r="N954" s="5" t="str">
        <f t="shared" si="235"/>
        <v>No</v>
      </c>
      <c r="O954" t="str">
        <f>IF(A954=WORKDAY(EOMONTH(A954,0)+1,-1,Bank_Holidays!$A$2:$A$25),"Yes","No")</f>
        <v>No</v>
      </c>
      <c r="P954" t="str">
        <f t="shared" si="236"/>
        <v>No</v>
      </c>
      <c r="Q954" t="str">
        <f t="shared" si="237"/>
        <v>No</v>
      </c>
      <c r="R954" s="5">
        <f t="shared" si="239"/>
        <v>0</v>
      </c>
    </row>
    <row r="955" spans="1:18">
      <c r="A955" s="25">
        <f t="shared" si="238"/>
        <v>47188</v>
      </c>
      <c r="B955">
        <f t="shared" si="224"/>
        <v>2029</v>
      </c>
      <c r="C955" s="9">
        <f t="shared" si="225"/>
        <v>3</v>
      </c>
      <c r="D955" s="9" t="str">
        <f t="shared" si="226"/>
        <v>March</v>
      </c>
      <c r="E955" s="9" t="str">
        <f t="shared" si="227"/>
        <v>Mar-29</v>
      </c>
      <c r="F955" s="9" t="str">
        <f t="shared" si="228"/>
        <v>Q1</v>
      </c>
      <c r="G955" s="9">
        <f t="shared" si="229"/>
        <v>11</v>
      </c>
      <c r="H955" s="9">
        <f t="shared" si="230"/>
        <v>7</v>
      </c>
      <c r="I955" s="9" t="str">
        <f t="shared" si="231"/>
        <v>Sunday</v>
      </c>
      <c r="J955" s="9" t="str">
        <f t="shared" si="232"/>
        <v>Yes</v>
      </c>
      <c r="K955" s="5" t="str">
        <f>IF(COUNTIF(Bank_Holidays!A:A,A955)&gt;0,"Yes","No")</f>
        <v>No</v>
      </c>
      <c r="L955" t="str">
        <f t="shared" si="233"/>
        <v>No</v>
      </c>
      <c r="M955">
        <f t="shared" si="234"/>
        <v>10</v>
      </c>
      <c r="N955" s="5" t="str">
        <f t="shared" si="235"/>
        <v>No</v>
      </c>
      <c r="O955" t="str">
        <f>IF(A955=WORKDAY(EOMONTH(A955,0)+1,-1,Bank_Holidays!$A$2:$A$25),"Yes","No")</f>
        <v>No</v>
      </c>
      <c r="P955" t="str">
        <f t="shared" si="236"/>
        <v>No</v>
      </c>
      <c r="Q955" t="str">
        <f t="shared" si="237"/>
        <v>No</v>
      </c>
      <c r="R955" s="5">
        <f t="shared" si="239"/>
        <v>0</v>
      </c>
    </row>
    <row r="956" spans="1:18">
      <c r="A956" s="25">
        <f t="shared" si="238"/>
        <v>47189</v>
      </c>
      <c r="B956">
        <f t="shared" si="224"/>
        <v>2029</v>
      </c>
      <c r="C956" s="9">
        <f t="shared" si="225"/>
        <v>3</v>
      </c>
      <c r="D956" s="9" t="str">
        <f t="shared" si="226"/>
        <v>March</v>
      </c>
      <c r="E956" s="9" t="str">
        <f t="shared" si="227"/>
        <v>Mar-29</v>
      </c>
      <c r="F956" s="9" t="str">
        <f t="shared" si="228"/>
        <v>Q1</v>
      </c>
      <c r="G956" s="9">
        <f t="shared" si="229"/>
        <v>12</v>
      </c>
      <c r="H956" s="9">
        <f t="shared" si="230"/>
        <v>1</v>
      </c>
      <c r="I956" s="9" t="str">
        <f t="shared" si="231"/>
        <v>Monday</v>
      </c>
      <c r="J956" s="9" t="str">
        <f t="shared" si="232"/>
        <v>No</v>
      </c>
      <c r="K956" s="5" t="str">
        <f>IF(COUNTIF(Bank_Holidays!A:A,A956)&gt;0,"Yes","No")</f>
        <v>No</v>
      </c>
      <c r="L956" t="str">
        <f t="shared" si="233"/>
        <v>Yes</v>
      </c>
      <c r="M956">
        <f t="shared" si="234"/>
        <v>11</v>
      </c>
      <c r="N956" s="5" t="str">
        <f t="shared" si="235"/>
        <v>No</v>
      </c>
      <c r="O956" t="str">
        <f>IF(A956=WORKDAY(EOMONTH(A956,0)+1,-1,Bank_Holidays!$A$2:$A$25),"Yes","No")</f>
        <v>No</v>
      </c>
      <c r="P956" t="str">
        <f t="shared" si="236"/>
        <v>No</v>
      </c>
      <c r="Q956" t="str">
        <f t="shared" si="237"/>
        <v>No</v>
      </c>
      <c r="R956" s="5">
        <f t="shared" si="239"/>
        <v>1</v>
      </c>
    </row>
    <row r="957" spans="1:18">
      <c r="A957" s="25">
        <f t="shared" si="238"/>
        <v>47190</v>
      </c>
      <c r="B957">
        <f t="shared" si="224"/>
        <v>2029</v>
      </c>
      <c r="C957" s="9">
        <f t="shared" si="225"/>
        <v>3</v>
      </c>
      <c r="D957" s="9" t="str">
        <f t="shared" si="226"/>
        <v>March</v>
      </c>
      <c r="E957" s="9" t="str">
        <f t="shared" si="227"/>
        <v>Mar-29</v>
      </c>
      <c r="F957" s="9" t="str">
        <f t="shared" si="228"/>
        <v>Q1</v>
      </c>
      <c r="G957" s="9">
        <f t="shared" si="229"/>
        <v>13</v>
      </c>
      <c r="H957" s="9">
        <f t="shared" si="230"/>
        <v>2</v>
      </c>
      <c r="I957" s="9" t="str">
        <f t="shared" si="231"/>
        <v>Tuesday</v>
      </c>
      <c r="J957" s="9" t="str">
        <f t="shared" si="232"/>
        <v>No</v>
      </c>
      <c r="K957" s="5" t="str">
        <f>IF(COUNTIF(Bank_Holidays!A:A,A957)&gt;0,"Yes","No")</f>
        <v>No</v>
      </c>
      <c r="L957" t="str">
        <f t="shared" si="233"/>
        <v>Yes</v>
      </c>
      <c r="M957">
        <f t="shared" si="234"/>
        <v>11</v>
      </c>
      <c r="N957" s="5" t="str">
        <f t="shared" si="235"/>
        <v>No</v>
      </c>
      <c r="O957" t="str">
        <f>IF(A957=WORKDAY(EOMONTH(A957,0)+1,-1,Bank_Holidays!$A$2:$A$25),"Yes","No")</f>
        <v>No</v>
      </c>
      <c r="P957" t="str">
        <f t="shared" si="236"/>
        <v>No</v>
      </c>
      <c r="Q957" t="str">
        <f t="shared" si="237"/>
        <v>No</v>
      </c>
      <c r="R957" s="5">
        <f t="shared" si="239"/>
        <v>1</v>
      </c>
    </row>
    <row r="958" spans="1:18">
      <c r="A958" s="25">
        <f t="shared" si="238"/>
        <v>47191</v>
      </c>
      <c r="B958">
        <f t="shared" si="224"/>
        <v>2029</v>
      </c>
      <c r="C958" s="9">
        <f t="shared" si="225"/>
        <v>3</v>
      </c>
      <c r="D958" s="9" t="str">
        <f t="shared" si="226"/>
        <v>March</v>
      </c>
      <c r="E958" s="9" t="str">
        <f t="shared" si="227"/>
        <v>Mar-29</v>
      </c>
      <c r="F958" s="9" t="str">
        <f t="shared" si="228"/>
        <v>Q1</v>
      </c>
      <c r="G958" s="9">
        <f t="shared" si="229"/>
        <v>14</v>
      </c>
      <c r="H958" s="9">
        <f t="shared" si="230"/>
        <v>3</v>
      </c>
      <c r="I958" s="9" t="str">
        <f t="shared" si="231"/>
        <v>Wednesday</v>
      </c>
      <c r="J958" s="9" t="str">
        <f t="shared" si="232"/>
        <v>No</v>
      </c>
      <c r="K958" s="5" t="str">
        <f>IF(COUNTIF(Bank_Holidays!A:A,A958)&gt;0,"Yes","No")</f>
        <v>No</v>
      </c>
      <c r="L958" t="str">
        <f t="shared" si="233"/>
        <v>Yes</v>
      </c>
      <c r="M958">
        <f t="shared" si="234"/>
        <v>11</v>
      </c>
      <c r="N958" s="5" t="str">
        <f t="shared" si="235"/>
        <v>No</v>
      </c>
      <c r="O958" t="str">
        <f>IF(A958=WORKDAY(EOMONTH(A958,0)+1,-1,Bank_Holidays!$A$2:$A$25),"Yes","No")</f>
        <v>No</v>
      </c>
      <c r="P958" t="str">
        <f t="shared" si="236"/>
        <v>No</v>
      </c>
      <c r="Q958" t="str">
        <f t="shared" si="237"/>
        <v>No</v>
      </c>
      <c r="R958" s="5">
        <f t="shared" si="239"/>
        <v>1</v>
      </c>
    </row>
    <row r="959" spans="1:18">
      <c r="A959" s="25">
        <f t="shared" si="238"/>
        <v>47192</v>
      </c>
      <c r="B959">
        <f t="shared" si="224"/>
        <v>2029</v>
      </c>
      <c r="C959" s="9">
        <f t="shared" si="225"/>
        <v>3</v>
      </c>
      <c r="D959" s="9" t="str">
        <f t="shared" si="226"/>
        <v>March</v>
      </c>
      <c r="E959" s="9" t="str">
        <f t="shared" si="227"/>
        <v>Mar-29</v>
      </c>
      <c r="F959" s="9" t="str">
        <f t="shared" si="228"/>
        <v>Q1</v>
      </c>
      <c r="G959" s="9">
        <f t="shared" si="229"/>
        <v>15</v>
      </c>
      <c r="H959" s="9">
        <f t="shared" si="230"/>
        <v>4</v>
      </c>
      <c r="I959" s="9" t="str">
        <f t="shared" si="231"/>
        <v>Thursday</v>
      </c>
      <c r="J959" s="9" t="str">
        <f t="shared" si="232"/>
        <v>No</v>
      </c>
      <c r="K959" s="5" t="str">
        <f>IF(COUNTIF(Bank_Holidays!A:A,A959)&gt;0,"Yes","No")</f>
        <v>No</v>
      </c>
      <c r="L959" t="str">
        <f t="shared" si="233"/>
        <v>Yes</v>
      </c>
      <c r="M959">
        <f t="shared" si="234"/>
        <v>11</v>
      </c>
      <c r="N959" s="5" t="str">
        <f t="shared" si="235"/>
        <v>No</v>
      </c>
      <c r="O959" t="str">
        <f>IF(A959=WORKDAY(EOMONTH(A959,0)+1,-1,Bank_Holidays!$A$2:$A$25),"Yes","No")</f>
        <v>No</v>
      </c>
      <c r="P959" t="str">
        <f t="shared" si="236"/>
        <v>No</v>
      </c>
      <c r="Q959" t="str">
        <f t="shared" si="237"/>
        <v>No</v>
      </c>
      <c r="R959" s="5">
        <f t="shared" si="239"/>
        <v>1</v>
      </c>
    </row>
    <row r="960" spans="1:18">
      <c r="A960" s="25">
        <f t="shared" si="238"/>
        <v>47193</v>
      </c>
      <c r="B960">
        <f t="shared" si="224"/>
        <v>2029</v>
      </c>
      <c r="C960" s="9">
        <f t="shared" si="225"/>
        <v>3</v>
      </c>
      <c r="D960" s="9" t="str">
        <f t="shared" si="226"/>
        <v>March</v>
      </c>
      <c r="E960" s="9" t="str">
        <f t="shared" si="227"/>
        <v>Mar-29</v>
      </c>
      <c r="F960" s="9" t="str">
        <f t="shared" si="228"/>
        <v>Q1</v>
      </c>
      <c r="G960" s="9">
        <f t="shared" si="229"/>
        <v>16</v>
      </c>
      <c r="H960" s="9">
        <f t="shared" si="230"/>
        <v>5</v>
      </c>
      <c r="I960" s="9" t="str">
        <f t="shared" si="231"/>
        <v>Friday</v>
      </c>
      <c r="J960" s="9" t="str">
        <f t="shared" si="232"/>
        <v>No</v>
      </c>
      <c r="K960" s="5" t="str">
        <f>IF(COUNTIF(Bank_Holidays!A:A,A960)&gt;0,"Yes","No")</f>
        <v>No</v>
      </c>
      <c r="L960" t="str">
        <f t="shared" si="233"/>
        <v>Yes</v>
      </c>
      <c r="M960">
        <f t="shared" si="234"/>
        <v>11</v>
      </c>
      <c r="N960" s="5" t="str">
        <f t="shared" si="235"/>
        <v>No</v>
      </c>
      <c r="O960" t="str">
        <f>IF(A960=WORKDAY(EOMONTH(A960,0)+1,-1,Bank_Holidays!$A$2:$A$25),"Yes","No")</f>
        <v>No</v>
      </c>
      <c r="P960" t="str">
        <f t="shared" si="236"/>
        <v>No</v>
      </c>
      <c r="Q960" t="str">
        <f t="shared" si="237"/>
        <v>No</v>
      </c>
      <c r="R960" s="5">
        <f t="shared" si="239"/>
        <v>3</v>
      </c>
    </row>
    <row r="961" spans="1:18">
      <c r="A961" s="25">
        <f t="shared" si="238"/>
        <v>47194</v>
      </c>
      <c r="B961">
        <f t="shared" si="224"/>
        <v>2029</v>
      </c>
      <c r="C961" s="9">
        <f t="shared" si="225"/>
        <v>3</v>
      </c>
      <c r="D961" s="9" t="str">
        <f t="shared" si="226"/>
        <v>March</v>
      </c>
      <c r="E961" s="9" t="str">
        <f t="shared" si="227"/>
        <v>Mar-29</v>
      </c>
      <c r="F961" s="9" t="str">
        <f t="shared" si="228"/>
        <v>Q1</v>
      </c>
      <c r="G961" s="9">
        <f t="shared" si="229"/>
        <v>17</v>
      </c>
      <c r="H961" s="9">
        <f t="shared" si="230"/>
        <v>6</v>
      </c>
      <c r="I961" s="9" t="str">
        <f t="shared" si="231"/>
        <v>Saturday</v>
      </c>
      <c r="J961" s="9" t="str">
        <f t="shared" si="232"/>
        <v>Yes</v>
      </c>
      <c r="K961" s="5" t="str">
        <f>IF(COUNTIF(Bank_Holidays!A:A,A961)&gt;0,"Yes","No")</f>
        <v>No</v>
      </c>
      <c r="L961" t="str">
        <f t="shared" si="233"/>
        <v>No</v>
      </c>
      <c r="M961">
        <f t="shared" si="234"/>
        <v>11</v>
      </c>
      <c r="N961" s="5" t="str">
        <f t="shared" si="235"/>
        <v>No</v>
      </c>
      <c r="O961" t="str">
        <f>IF(A961=WORKDAY(EOMONTH(A961,0)+1,-1,Bank_Holidays!$A$2:$A$25),"Yes","No")</f>
        <v>No</v>
      </c>
      <c r="P961" t="str">
        <f t="shared" si="236"/>
        <v>No</v>
      </c>
      <c r="Q961" t="str">
        <f t="shared" si="237"/>
        <v>No</v>
      </c>
      <c r="R961" s="5">
        <f t="shared" si="239"/>
        <v>0</v>
      </c>
    </row>
    <row r="962" spans="1:18">
      <c r="A962" s="25">
        <f t="shared" si="238"/>
        <v>47195</v>
      </c>
      <c r="B962">
        <f t="shared" ref="B962:B1025" si="240">YEAR(A962)</f>
        <v>2029</v>
      </c>
      <c r="C962" s="9">
        <f t="shared" ref="C962:C1025" si="241">MONTH(A962)</f>
        <v>3</v>
      </c>
      <c r="D962" s="9" t="str">
        <f t="shared" ref="D962:D1025" si="242">TEXT(A962,"mmmm")</f>
        <v>March</v>
      </c>
      <c r="E962" s="9" t="str">
        <f t="shared" ref="E962:E1025" si="243">TEXT(A962,"mmm-yy")</f>
        <v>Mar-29</v>
      </c>
      <c r="F962" s="9" t="str">
        <f t="shared" ref="F962:F1025" si="244">"Q"&amp;ROUNDUP(MONTH($A962)/3,0)</f>
        <v>Q1</v>
      </c>
      <c r="G962" s="9">
        <f t="shared" ref="G962:G1025" si="245">DAY($A962)</f>
        <v>18</v>
      </c>
      <c r="H962" s="9">
        <f t="shared" ref="H962:H1025" si="246">WEEKDAY($A962,2)</f>
        <v>7</v>
      </c>
      <c r="I962" s="9" t="str">
        <f t="shared" ref="I962:I1025" si="247">TEXT($A962,"dddd")</f>
        <v>Sunday</v>
      </c>
      <c r="J962" s="9" t="str">
        <f t="shared" ref="J962:J1025" si="248">IF($H962&gt;5,"Yes","No")</f>
        <v>Yes</v>
      </c>
      <c r="K962" s="5" t="str">
        <f>IF(COUNTIF(Bank_Holidays!A:A,A962)&gt;0,"Yes","No")</f>
        <v>No</v>
      </c>
      <c r="L962" t="str">
        <f t="shared" ref="L962:L1025" si="249">IF(AND(J962="No",K962="No"),"Yes","No")</f>
        <v>No</v>
      </c>
      <c r="M962">
        <f t="shared" ref="M962:M1025" si="250">_xlfn.ISOWEEKNUM(A962)</f>
        <v>11</v>
      </c>
      <c r="N962" s="5" t="str">
        <f t="shared" ref="N962:N1025" si="251">IF(A962=EOMONTH(A962,0),"Yes","No")</f>
        <v>No</v>
      </c>
      <c r="O962" t="str">
        <f>IF(A962=WORKDAY(EOMONTH(A962,0)+1,-1,Bank_Holidays!$A$2:$A$25),"Yes","No")</f>
        <v>No</v>
      </c>
      <c r="P962" t="str">
        <f t="shared" ref="P962:P1025" si="252">IF(
AND(
TEXT(A962,"dddd")="Friday",
MONTH(A962+7)&lt;&gt;MONTH(A962)
),
"Yes",
"No"
)</f>
        <v>No</v>
      </c>
      <c r="Q962" t="str">
        <f t="shared" ref="Q962:Q1025" si="253">IF(
AND(
TEXT(A962,"dddd")="Thursday",
MONTH(A962+7)&lt;&gt;MONTH(A962)
),
"Yes",
"No"
)</f>
        <v>No</v>
      </c>
      <c r="R962" s="5">
        <f t="shared" si="239"/>
        <v>0</v>
      </c>
    </row>
    <row r="963" spans="1:18">
      <c r="A963" s="25">
        <f t="shared" ref="A963:A1026" si="254">A962+1</f>
        <v>47196</v>
      </c>
      <c r="B963">
        <f t="shared" si="240"/>
        <v>2029</v>
      </c>
      <c r="C963" s="9">
        <f t="shared" si="241"/>
        <v>3</v>
      </c>
      <c r="D963" s="9" t="str">
        <f t="shared" si="242"/>
        <v>March</v>
      </c>
      <c r="E963" s="9" t="str">
        <f t="shared" si="243"/>
        <v>Mar-29</v>
      </c>
      <c r="F963" s="9" t="str">
        <f t="shared" si="244"/>
        <v>Q1</v>
      </c>
      <c r="G963" s="9">
        <f t="shared" si="245"/>
        <v>19</v>
      </c>
      <c r="H963" s="9">
        <f t="shared" si="246"/>
        <v>1</v>
      </c>
      <c r="I963" s="9" t="str">
        <f t="shared" si="247"/>
        <v>Monday</v>
      </c>
      <c r="J963" s="9" t="str">
        <f t="shared" si="248"/>
        <v>No</v>
      </c>
      <c r="K963" s="5" t="str">
        <f>IF(COUNTIF(Bank_Holidays!A:A,A963)&gt;0,"Yes","No")</f>
        <v>No</v>
      </c>
      <c r="L963" t="str">
        <f t="shared" si="249"/>
        <v>Yes</v>
      </c>
      <c r="M963">
        <f t="shared" si="250"/>
        <v>12</v>
      </c>
      <c r="N963" s="5" t="str">
        <f t="shared" si="251"/>
        <v>No</v>
      </c>
      <c r="O963" t="str">
        <f>IF(A963=WORKDAY(EOMONTH(A963,0)+1,-1,Bank_Holidays!$A$2:$A$25),"Yes","No")</f>
        <v>No</v>
      </c>
      <c r="P963" t="str">
        <f t="shared" si="252"/>
        <v>No</v>
      </c>
      <c r="Q963" t="str">
        <f t="shared" si="253"/>
        <v>No</v>
      </c>
      <c r="R963" s="5">
        <f t="shared" ref="R963:R1026" si="255">IF(L963="yes",1)+IF(L963="no",0,IF(AND(L968="no",L967="no",L966="no",L965="no",L964="no"),5,IF(AND(L967="no",L966="no",L965="no",L964="no"),4,IF(AND(L966="no",L965="no",L964="no"),3,IF(AND(L965="no",L964="no"),2,IF(L964="no",1))))))</f>
        <v>1</v>
      </c>
    </row>
    <row r="964" spans="1:18">
      <c r="A964" s="25">
        <f t="shared" si="254"/>
        <v>47197</v>
      </c>
      <c r="B964">
        <f t="shared" si="240"/>
        <v>2029</v>
      </c>
      <c r="C964" s="9">
        <f t="shared" si="241"/>
        <v>3</v>
      </c>
      <c r="D964" s="9" t="str">
        <f t="shared" si="242"/>
        <v>March</v>
      </c>
      <c r="E964" s="9" t="str">
        <f t="shared" si="243"/>
        <v>Mar-29</v>
      </c>
      <c r="F964" s="9" t="str">
        <f t="shared" si="244"/>
        <v>Q1</v>
      </c>
      <c r="G964" s="9">
        <f t="shared" si="245"/>
        <v>20</v>
      </c>
      <c r="H964" s="9">
        <f t="shared" si="246"/>
        <v>2</v>
      </c>
      <c r="I964" s="9" t="str">
        <f t="shared" si="247"/>
        <v>Tuesday</v>
      </c>
      <c r="J964" s="9" t="str">
        <f t="shared" si="248"/>
        <v>No</v>
      </c>
      <c r="K964" s="5" t="str">
        <f>IF(COUNTIF(Bank_Holidays!A:A,A964)&gt;0,"Yes","No")</f>
        <v>No</v>
      </c>
      <c r="L964" t="str">
        <f t="shared" si="249"/>
        <v>Yes</v>
      </c>
      <c r="M964">
        <f t="shared" si="250"/>
        <v>12</v>
      </c>
      <c r="N964" s="5" t="str">
        <f t="shared" si="251"/>
        <v>No</v>
      </c>
      <c r="O964" t="str">
        <f>IF(A964=WORKDAY(EOMONTH(A964,0)+1,-1,Bank_Holidays!$A$2:$A$25),"Yes","No")</f>
        <v>No</v>
      </c>
      <c r="P964" t="str">
        <f t="shared" si="252"/>
        <v>No</v>
      </c>
      <c r="Q964" t="str">
        <f t="shared" si="253"/>
        <v>No</v>
      </c>
      <c r="R964" s="5">
        <f t="shared" si="255"/>
        <v>1</v>
      </c>
    </row>
    <row r="965" spans="1:18">
      <c r="A965" s="25">
        <f t="shared" si="254"/>
        <v>47198</v>
      </c>
      <c r="B965">
        <f t="shared" si="240"/>
        <v>2029</v>
      </c>
      <c r="C965" s="9">
        <f t="shared" si="241"/>
        <v>3</v>
      </c>
      <c r="D965" s="9" t="str">
        <f t="shared" si="242"/>
        <v>March</v>
      </c>
      <c r="E965" s="9" t="str">
        <f t="shared" si="243"/>
        <v>Mar-29</v>
      </c>
      <c r="F965" s="9" t="str">
        <f t="shared" si="244"/>
        <v>Q1</v>
      </c>
      <c r="G965" s="9">
        <f t="shared" si="245"/>
        <v>21</v>
      </c>
      <c r="H965" s="9">
        <f t="shared" si="246"/>
        <v>3</v>
      </c>
      <c r="I965" s="9" t="str">
        <f t="shared" si="247"/>
        <v>Wednesday</v>
      </c>
      <c r="J965" s="9" t="str">
        <f t="shared" si="248"/>
        <v>No</v>
      </c>
      <c r="K965" s="5" t="str">
        <f>IF(COUNTIF(Bank_Holidays!A:A,A965)&gt;0,"Yes","No")</f>
        <v>No</v>
      </c>
      <c r="L965" t="str">
        <f t="shared" si="249"/>
        <v>Yes</v>
      </c>
      <c r="M965">
        <f t="shared" si="250"/>
        <v>12</v>
      </c>
      <c r="N965" s="5" t="str">
        <f t="shared" si="251"/>
        <v>No</v>
      </c>
      <c r="O965" t="str">
        <f>IF(A965=WORKDAY(EOMONTH(A965,0)+1,-1,Bank_Holidays!$A$2:$A$25),"Yes","No")</f>
        <v>No</v>
      </c>
      <c r="P965" t="str">
        <f t="shared" si="252"/>
        <v>No</v>
      </c>
      <c r="Q965" t="str">
        <f t="shared" si="253"/>
        <v>No</v>
      </c>
      <c r="R965" s="5">
        <f t="shared" si="255"/>
        <v>1</v>
      </c>
    </row>
    <row r="966" spans="1:18">
      <c r="A966" s="25">
        <f t="shared" si="254"/>
        <v>47199</v>
      </c>
      <c r="B966">
        <f t="shared" si="240"/>
        <v>2029</v>
      </c>
      <c r="C966" s="9">
        <f t="shared" si="241"/>
        <v>3</v>
      </c>
      <c r="D966" s="9" t="str">
        <f t="shared" si="242"/>
        <v>March</v>
      </c>
      <c r="E966" s="9" t="str">
        <f t="shared" si="243"/>
        <v>Mar-29</v>
      </c>
      <c r="F966" s="9" t="str">
        <f t="shared" si="244"/>
        <v>Q1</v>
      </c>
      <c r="G966" s="9">
        <f t="shared" si="245"/>
        <v>22</v>
      </c>
      <c r="H966" s="9">
        <f t="shared" si="246"/>
        <v>4</v>
      </c>
      <c r="I966" s="9" t="str">
        <f t="shared" si="247"/>
        <v>Thursday</v>
      </c>
      <c r="J966" s="9" t="str">
        <f t="shared" si="248"/>
        <v>No</v>
      </c>
      <c r="K966" s="5" t="str">
        <f>IF(COUNTIF(Bank_Holidays!A:A,A966)&gt;0,"Yes","No")</f>
        <v>No</v>
      </c>
      <c r="L966" t="str">
        <f t="shared" si="249"/>
        <v>Yes</v>
      </c>
      <c r="M966">
        <f t="shared" si="250"/>
        <v>12</v>
      </c>
      <c r="N966" s="5" t="str">
        <f t="shared" si="251"/>
        <v>No</v>
      </c>
      <c r="O966" t="str">
        <f>IF(A966=WORKDAY(EOMONTH(A966,0)+1,-1,Bank_Holidays!$A$2:$A$25),"Yes","No")</f>
        <v>No</v>
      </c>
      <c r="P966" t="str">
        <f t="shared" si="252"/>
        <v>No</v>
      </c>
      <c r="Q966" t="str">
        <f t="shared" si="253"/>
        <v>No</v>
      </c>
      <c r="R966" s="5">
        <f t="shared" si="255"/>
        <v>1</v>
      </c>
    </row>
    <row r="967" spans="1:18">
      <c r="A967" s="25">
        <f t="shared" si="254"/>
        <v>47200</v>
      </c>
      <c r="B967">
        <f t="shared" si="240"/>
        <v>2029</v>
      </c>
      <c r="C967" s="9">
        <f t="shared" si="241"/>
        <v>3</v>
      </c>
      <c r="D967" s="9" t="str">
        <f t="shared" si="242"/>
        <v>March</v>
      </c>
      <c r="E967" s="9" t="str">
        <f t="shared" si="243"/>
        <v>Mar-29</v>
      </c>
      <c r="F967" s="9" t="str">
        <f t="shared" si="244"/>
        <v>Q1</v>
      </c>
      <c r="G967" s="9">
        <f t="shared" si="245"/>
        <v>23</v>
      </c>
      <c r="H967" s="9">
        <f t="shared" si="246"/>
        <v>5</v>
      </c>
      <c r="I967" s="9" t="str">
        <f t="shared" si="247"/>
        <v>Friday</v>
      </c>
      <c r="J967" s="9" t="str">
        <f t="shared" si="248"/>
        <v>No</v>
      </c>
      <c r="K967" s="5" t="str">
        <f>IF(COUNTIF(Bank_Holidays!A:A,A967)&gt;0,"Yes","No")</f>
        <v>No</v>
      </c>
      <c r="L967" t="str">
        <f t="shared" si="249"/>
        <v>Yes</v>
      </c>
      <c r="M967">
        <f t="shared" si="250"/>
        <v>12</v>
      </c>
      <c r="N967" s="5" t="str">
        <f t="shared" si="251"/>
        <v>No</v>
      </c>
      <c r="O967" t="str">
        <f>IF(A967=WORKDAY(EOMONTH(A967,0)+1,-1,Bank_Holidays!$A$2:$A$25),"Yes","No")</f>
        <v>No</v>
      </c>
      <c r="P967" t="str">
        <f t="shared" si="252"/>
        <v>No</v>
      </c>
      <c r="Q967" t="str">
        <f t="shared" si="253"/>
        <v>No</v>
      </c>
      <c r="R967" s="5">
        <f t="shared" si="255"/>
        <v>3</v>
      </c>
    </row>
    <row r="968" spans="1:18">
      <c r="A968" s="25">
        <f t="shared" si="254"/>
        <v>47201</v>
      </c>
      <c r="B968">
        <f t="shared" si="240"/>
        <v>2029</v>
      </c>
      <c r="C968" s="9">
        <f t="shared" si="241"/>
        <v>3</v>
      </c>
      <c r="D968" s="9" t="str">
        <f t="shared" si="242"/>
        <v>March</v>
      </c>
      <c r="E968" s="9" t="str">
        <f t="shared" si="243"/>
        <v>Mar-29</v>
      </c>
      <c r="F968" s="9" t="str">
        <f t="shared" si="244"/>
        <v>Q1</v>
      </c>
      <c r="G968" s="9">
        <f t="shared" si="245"/>
        <v>24</v>
      </c>
      <c r="H968" s="9">
        <f t="shared" si="246"/>
        <v>6</v>
      </c>
      <c r="I968" s="9" t="str">
        <f t="shared" si="247"/>
        <v>Saturday</v>
      </c>
      <c r="J968" s="9" t="str">
        <f t="shared" si="248"/>
        <v>Yes</v>
      </c>
      <c r="K968" s="5" t="str">
        <f>IF(COUNTIF(Bank_Holidays!A:A,A968)&gt;0,"Yes","No")</f>
        <v>No</v>
      </c>
      <c r="L968" t="str">
        <f t="shared" si="249"/>
        <v>No</v>
      </c>
      <c r="M968">
        <f t="shared" si="250"/>
        <v>12</v>
      </c>
      <c r="N968" s="5" t="str">
        <f t="shared" si="251"/>
        <v>No</v>
      </c>
      <c r="O968" t="str">
        <f>IF(A968=WORKDAY(EOMONTH(A968,0)+1,-1,Bank_Holidays!$A$2:$A$25),"Yes","No")</f>
        <v>No</v>
      </c>
      <c r="P968" t="str">
        <f t="shared" si="252"/>
        <v>No</v>
      </c>
      <c r="Q968" t="str">
        <f t="shared" si="253"/>
        <v>No</v>
      </c>
      <c r="R968" s="5">
        <f t="shared" si="255"/>
        <v>0</v>
      </c>
    </row>
    <row r="969" spans="1:18">
      <c r="A969" s="25">
        <f t="shared" si="254"/>
        <v>47202</v>
      </c>
      <c r="B969">
        <f t="shared" si="240"/>
        <v>2029</v>
      </c>
      <c r="C969" s="9">
        <f t="shared" si="241"/>
        <v>3</v>
      </c>
      <c r="D969" s="9" t="str">
        <f t="shared" si="242"/>
        <v>March</v>
      </c>
      <c r="E969" s="9" t="str">
        <f t="shared" si="243"/>
        <v>Mar-29</v>
      </c>
      <c r="F969" s="9" t="str">
        <f t="shared" si="244"/>
        <v>Q1</v>
      </c>
      <c r="G969" s="9">
        <f t="shared" si="245"/>
        <v>25</v>
      </c>
      <c r="H969" s="9">
        <f t="shared" si="246"/>
        <v>7</v>
      </c>
      <c r="I969" s="9" t="str">
        <f t="shared" si="247"/>
        <v>Sunday</v>
      </c>
      <c r="J969" s="9" t="str">
        <f t="shared" si="248"/>
        <v>Yes</v>
      </c>
      <c r="K969" s="5" t="str">
        <f>IF(COUNTIF(Bank_Holidays!A:A,A969)&gt;0,"Yes","No")</f>
        <v>No</v>
      </c>
      <c r="L969" t="str">
        <f t="shared" si="249"/>
        <v>No</v>
      </c>
      <c r="M969">
        <f t="shared" si="250"/>
        <v>12</v>
      </c>
      <c r="N969" s="5" t="str">
        <f t="shared" si="251"/>
        <v>No</v>
      </c>
      <c r="O969" t="str">
        <f>IF(A969=WORKDAY(EOMONTH(A969,0)+1,-1,Bank_Holidays!$A$2:$A$25),"Yes","No")</f>
        <v>No</v>
      </c>
      <c r="P969" t="str">
        <f t="shared" si="252"/>
        <v>No</v>
      </c>
      <c r="Q969" t="str">
        <f t="shared" si="253"/>
        <v>No</v>
      </c>
      <c r="R969" s="5">
        <f t="shared" si="255"/>
        <v>0</v>
      </c>
    </row>
    <row r="970" spans="1:18">
      <c r="A970" s="25">
        <f t="shared" si="254"/>
        <v>47203</v>
      </c>
      <c r="B970">
        <f t="shared" si="240"/>
        <v>2029</v>
      </c>
      <c r="C970" s="9">
        <f t="shared" si="241"/>
        <v>3</v>
      </c>
      <c r="D970" s="9" t="str">
        <f t="shared" si="242"/>
        <v>March</v>
      </c>
      <c r="E970" s="9" t="str">
        <f t="shared" si="243"/>
        <v>Mar-29</v>
      </c>
      <c r="F970" s="9" t="str">
        <f t="shared" si="244"/>
        <v>Q1</v>
      </c>
      <c r="G970" s="9">
        <f t="shared" si="245"/>
        <v>26</v>
      </c>
      <c r="H970" s="9">
        <f t="shared" si="246"/>
        <v>1</v>
      </c>
      <c r="I970" s="9" t="str">
        <f t="shared" si="247"/>
        <v>Monday</v>
      </c>
      <c r="J970" s="9" t="str">
        <f t="shared" si="248"/>
        <v>No</v>
      </c>
      <c r="K970" s="5" t="str">
        <f>IF(COUNTIF(Bank_Holidays!A:A,A970)&gt;0,"Yes","No")</f>
        <v>No</v>
      </c>
      <c r="L970" t="str">
        <f t="shared" si="249"/>
        <v>Yes</v>
      </c>
      <c r="M970">
        <f t="shared" si="250"/>
        <v>13</v>
      </c>
      <c r="N970" s="5" t="str">
        <f t="shared" si="251"/>
        <v>No</v>
      </c>
      <c r="O970" t="str">
        <f>IF(A970=WORKDAY(EOMONTH(A970,0)+1,-1,Bank_Holidays!$A$2:$A$25),"Yes","No")</f>
        <v>No</v>
      </c>
      <c r="P970" t="str">
        <f t="shared" si="252"/>
        <v>No</v>
      </c>
      <c r="Q970" t="str">
        <f t="shared" si="253"/>
        <v>No</v>
      </c>
      <c r="R970" s="5">
        <f t="shared" si="255"/>
        <v>1</v>
      </c>
    </row>
    <row r="971" spans="1:18">
      <c r="A971" s="25">
        <f t="shared" si="254"/>
        <v>47204</v>
      </c>
      <c r="B971">
        <f t="shared" si="240"/>
        <v>2029</v>
      </c>
      <c r="C971" s="9">
        <f t="shared" si="241"/>
        <v>3</v>
      </c>
      <c r="D971" s="9" t="str">
        <f t="shared" si="242"/>
        <v>March</v>
      </c>
      <c r="E971" s="9" t="str">
        <f t="shared" si="243"/>
        <v>Mar-29</v>
      </c>
      <c r="F971" s="9" t="str">
        <f t="shared" si="244"/>
        <v>Q1</v>
      </c>
      <c r="G971" s="9">
        <f t="shared" si="245"/>
        <v>27</v>
      </c>
      <c r="H971" s="9">
        <f t="shared" si="246"/>
        <v>2</v>
      </c>
      <c r="I971" s="9" t="str">
        <f t="shared" si="247"/>
        <v>Tuesday</v>
      </c>
      <c r="J971" s="9" t="str">
        <f t="shared" si="248"/>
        <v>No</v>
      </c>
      <c r="K971" s="5" t="str">
        <f>IF(COUNTIF(Bank_Holidays!A:A,A971)&gt;0,"Yes","No")</f>
        <v>No</v>
      </c>
      <c r="L971" t="str">
        <f t="shared" si="249"/>
        <v>Yes</v>
      </c>
      <c r="M971">
        <f t="shared" si="250"/>
        <v>13</v>
      </c>
      <c r="N971" s="5" t="str">
        <f t="shared" si="251"/>
        <v>No</v>
      </c>
      <c r="O971" t="str">
        <f>IF(A971=WORKDAY(EOMONTH(A971,0)+1,-1,Bank_Holidays!$A$2:$A$25),"Yes","No")</f>
        <v>No</v>
      </c>
      <c r="P971" t="str">
        <f t="shared" si="252"/>
        <v>No</v>
      </c>
      <c r="Q971" t="str">
        <f t="shared" si="253"/>
        <v>No</v>
      </c>
      <c r="R971" s="5">
        <f t="shared" si="255"/>
        <v>1</v>
      </c>
    </row>
    <row r="972" spans="1:18">
      <c r="A972" s="25">
        <f t="shared" si="254"/>
        <v>47205</v>
      </c>
      <c r="B972">
        <f t="shared" si="240"/>
        <v>2029</v>
      </c>
      <c r="C972" s="9">
        <f t="shared" si="241"/>
        <v>3</v>
      </c>
      <c r="D972" s="9" t="str">
        <f t="shared" si="242"/>
        <v>March</v>
      </c>
      <c r="E972" s="9" t="str">
        <f t="shared" si="243"/>
        <v>Mar-29</v>
      </c>
      <c r="F972" s="9" t="str">
        <f t="shared" si="244"/>
        <v>Q1</v>
      </c>
      <c r="G972" s="9">
        <f t="shared" si="245"/>
        <v>28</v>
      </c>
      <c r="H972" s="9">
        <f t="shared" si="246"/>
        <v>3</v>
      </c>
      <c r="I972" s="9" t="str">
        <f t="shared" si="247"/>
        <v>Wednesday</v>
      </c>
      <c r="J972" s="9" t="str">
        <f t="shared" si="248"/>
        <v>No</v>
      </c>
      <c r="K972" s="5" t="str">
        <f>IF(COUNTIF(Bank_Holidays!A:A,A972)&gt;0,"Yes","No")</f>
        <v>No</v>
      </c>
      <c r="L972" t="str">
        <f t="shared" si="249"/>
        <v>Yes</v>
      </c>
      <c r="M972">
        <f t="shared" si="250"/>
        <v>13</v>
      </c>
      <c r="N972" s="5" t="str">
        <f t="shared" si="251"/>
        <v>No</v>
      </c>
      <c r="O972" t="str">
        <f>IF(A972=WORKDAY(EOMONTH(A972,0)+1,-1,Bank_Holidays!$A$2:$A$25),"Yes","No")</f>
        <v>No</v>
      </c>
      <c r="P972" t="str">
        <f t="shared" si="252"/>
        <v>No</v>
      </c>
      <c r="Q972" t="str">
        <f t="shared" si="253"/>
        <v>No</v>
      </c>
      <c r="R972" s="5">
        <f t="shared" si="255"/>
        <v>1</v>
      </c>
    </row>
    <row r="973" spans="1:18">
      <c r="A973" s="25">
        <f t="shared" si="254"/>
        <v>47206</v>
      </c>
      <c r="B973">
        <f t="shared" si="240"/>
        <v>2029</v>
      </c>
      <c r="C973" s="9">
        <f t="shared" si="241"/>
        <v>3</v>
      </c>
      <c r="D973" s="9" t="str">
        <f t="shared" si="242"/>
        <v>March</v>
      </c>
      <c r="E973" s="9" t="str">
        <f t="shared" si="243"/>
        <v>Mar-29</v>
      </c>
      <c r="F973" s="9" t="str">
        <f t="shared" si="244"/>
        <v>Q1</v>
      </c>
      <c r="G973" s="9">
        <f t="shared" si="245"/>
        <v>29</v>
      </c>
      <c r="H973" s="9">
        <f t="shared" si="246"/>
        <v>4</v>
      </c>
      <c r="I973" s="9" t="str">
        <f t="shared" si="247"/>
        <v>Thursday</v>
      </c>
      <c r="J973" s="9" t="str">
        <f t="shared" si="248"/>
        <v>No</v>
      </c>
      <c r="K973" s="5" t="str">
        <f>IF(COUNTIF(Bank_Holidays!A:A,A973)&gt;0,"Yes","No")</f>
        <v>No</v>
      </c>
      <c r="L973" t="str">
        <f t="shared" si="249"/>
        <v>Yes</v>
      </c>
      <c r="M973">
        <f t="shared" si="250"/>
        <v>13</v>
      </c>
      <c r="N973" s="5" t="str">
        <f t="shared" si="251"/>
        <v>No</v>
      </c>
      <c r="O973" t="str">
        <f>IF(A973=WORKDAY(EOMONTH(A973,0)+1,-1,Bank_Holidays!$A$2:$A$25),"Yes","No")</f>
        <v>No</v>
      </c>
      <c r="P973" t="str">
        <f t="shared" si="252"/>
        <v>No</v>
      </c>
      <c r="Q973" t="str">
        <f t="shared" si="253"/>
        <v>Yes</v>
      </c>
      <c r="R973" s="5">
        <f t="shared" si="255"/>
        <v>1</v>
      </c>
    </row>
    <row r="974" spans="1:18">
      <c r="A974" s="25">
        <f t="shared" si="254"/>
        <v>47207</v>
      </c>
      <c r="B974">
        <f t="shared" si="240"/>
        <v>2029</v>
      </c>
      <c r="C974" s="9">
        <f t="shared" si="241"/>
        <v>3</v>
      </c>
      <c r="D974" s="9" t="str">
        <f t="shared" si="242"/>
        <v>March</v>
      </c>
      <c r="E974" s="9" t="str">
        <f t="shared" si="243"/>
        <v>Mar-29</v>
      </c>
      <c r="F974" s="9" t="str">
        <f t="shared" si="244"/>
        <v>Q1</v>
      </c>
      <c r="G974" s="9">
        <f t="shared" si="245"/>
        <v>30</v>
      </c>
      <c r="H974" s="9">
        <f t="shared" si="246"/>
        <v>5</v>
      </c>
      <c r="I974" s="9" t="str">
        <f t="shared" si="247"/>
        <v>Friday</v>
      </c>
      <c r="J974" s="9" t="str">
        <f t="shared" si="248"/>
        <v>No</v>
      </c>
      <c r="K974" s="5" t="str">
        <f>IF(COUNTIF(Bank_Holidays!A:A,A974)&gt;0,"Yes","No")</f>
        <v>No</v>
      </c>
      <c r="L974" t="str">
        <f t="shared" si="249"/>
        <v>Yes</v>
      </c>
      <c r="M974">
        <f t="shared" si="250"/>
        <v>13</v>
      </c>
      <c r="N974" s="5" t="str">
        <f t="shared" si="251"/>
        <v>No</v>
      </c>
      <c r="O974" t="str">
        <f>IF(A974=WORKDAY(EOMONTH(A974,0)+1,-1,Bank_Holidays!$A$2:$A$25),"Yes","No")</f>
        <v>Yes</v>
      </c>
      <c r="P974" t="str">
        <f t="shared" si="252"/>
        <v>Yes</v>
      </c>
      <c r="Q974" t="str">
        <f t="shared" si="253"/>
        <v>No</v>
      </c>
      <c r="R974" s="5">
        <f t="shared" si="255"/>
        <v>3</v>
      </c>
    </row>
    <row r="975" spans="1:18">
      <c r="A975" s="25">
        <f t="shared" si="254"/>
        <v>47208</v>
      </c>
      <c r="B975">
        <f t="shared" si="240"/>
        <v>2029</v>
      </c>
      <c r="C975" s="9">
        <f t="shared" si="241"/>
        <v>3</v>
      </c>
      <c r="D975" s="9" t="str">
        <f t="shared" si="242"/>
        <v>March</v>
      </c>
      <c r="E975" s="9" t="str">
        <f t="shared" si="243"/>
        <v>Mar-29</v>
      </c>
      <c r="F975" s="9" t="str">
        <f t="shared" si="244"/>
        <v>Q1</v>
      </c>
      <c r="G975" s="9">
        <f t="shared" si="245"/>
        <v>31</v>
      </c>
      <c r="H975" s="9">
        <f t="shared" si="246"/>
        <v>6</v>
      </c>
      <c r="I975" s="9" t="str">
        <f t="shared" si="247"/>
        <v>Saturday</v>
      </c>
      <c r="J975" s="9" t="str">
        <f t="shared" si="248"/>
        <v>Yes</v>
      </c>
      <c r="K975" s="5" t="str">
        <f>IF(COUNTIF(Bank_Holidays!A:A,A975)&gt;0,"Yes","No")</f>
        <v>No</v>
      </c>
      <c r="L975" t="str">
        <f t="shared" si="249"/>
        <v>No</v>
      </c>
      <c r="M975">
        <f t="shared" si="250"/>
        <v>13</v>
      </c>
      <c r="N975" s="5" t="str">
        <f t="shared" si="251"/>
        <v>Yes</v>
      </c>
      <c r="O975" t="str">
        <f>IF(A975=WORKDAY(EOMONTH(A975,0)+1,-1,Bank_Holidays!$A$2:$A$25),"Yes","No")</f>
        <v>No</v>
      </c>
      <c r="P975" t="str">
        <f t="shared" si="252"/>
        <v>No</v>
      </c>
      <c r="Q975" t="str">
        <f t="shared" si="253"/>
        <v>No</v>
      </c>
      <c r="R975" s="5">
        <f t="shared" si="255"/>
        <v>0</v>
      </c>
    </row>
    <row r="976" spans="1:18">
      <c r="A976" s="25">
        <f t="shared" si="254"/>
        <v>47209</v>
      </c>
      <c r="B976">
        <f t="shared" si="240"/>
        <v>2029</v>
      </c>
      <c r="C976" s="9">
        <f t="shared" si="241"/>
        <v>4</v>
      </c>
      <c r="D976" s="9" t="str">
        <f t="shared" si="242"/>
        <v>April</v>
      </c>
      <c r="E976" s="9" t="str">
        <f t="shared" si="243"/>
        <v>Apr-29</v>
      </c>
      <c r="F976" s="9" t="str">
        <f t="shared" si="244"/>
        <v>Q2</v>
      </c>
      <c r="G976" s="9">
        <f t="shared" si="245"/>
        <v>1</v>
      </c>
      <c r="H976" s="9">
        <f t="shared" si="246"/>
        <v>7</v>
      </c>
      <c r="I976" s="9" t="str">
        <f t="shared" si="247"/>
        <v>Sunday</v>
      </c>
      <c r="J976" s="9" t="str">
        <f t="shared" si="248"/>
        <v>Yes</v>
      </c>
      <c r="K976" s="5" t="str">
        <f>IF(COUNTIF(Bank_Holidays!A:A,A976)&gt;0,"Yes","No")</f>
        <v>No</v>
      </c>
      <c r="L976" t="str">
        <f t="shared" si="249"/>
        <v>No</v>
      </c>
      <c r="M976">
        <f t="shared" si="250"/>
        <v>13</v>
      </c>
      <c r="N976" s="5" t="str">
        <f t="shared" si="251"/>
        <v>No</v>
      </c>
      <c r="O976" t="str">
        <f>IF(A976=WORKDAY(EOMONTH(A976,0)+1,-1,Bank_Holidays!$A$2:$A$25),"Yes","No")</f>
        <v>No</v>
      </c>
      <c r="P976" t="str">
        <f t="shared" si="252"/>
        <v>No</v>
      </c>
      <c r="Q976" t="str">
        <f t="shared" si="253"/>
        <v>No</v>
      </c>
      <c r="R976" s="5">
        <f t="shared" si="255"/>
        <v>0</v>
      </c>
    </row>
    <row r="977" spans="1:18">
      <c r="A977" s="25">
        <f t="shared" si="254"/>
        <v>47210</v>
      </c>
      <c r="B977">
        <f t="shared" si="240"/>
        <v>2029</v>
      </c>
      <c r="C977" s="9">
        <f t="shared" si="241"/>
        <v>4</v>
      </c>
      <c r="D977" s="9" t="str">
        <f t="shared" si="242"/>
        <v>April</v>
      </c>
      <c r="E977" s="9" t="str">
        <f t="shared" si="243"/>
        <v>Apr-29</v>
      </c>
      <c r="F977" s="9" t="str">
        <f t="shared" si="244"/>
        <v>Q2</v>
      </c>
      <c r="G977" s="9">
        <f t="shared" si="245"/>
        <v>2</v>
      </c>
      <c r="H977" s="9">
        <f t="shared" si="246"/>
        <v>1</v>
      </c>
      <c r="I977" s="9" t="str">
        <f t="shared" si="247"/>
        <v>Monday</v>
      </c>
      <c r="J977" s="9" t="str">
        <f t="shared" si="248"/>
        <v>No</v>
      </c>
      <c r="K977" s="5" t="str">
        <f>IF(COUNTIF(Bank_Holidays!A:A,A977)&gt;0,"Yes","No")</f>
        <v>No</v>
      </c>
      <c r="L977" t="str">
        <f t="shared" si="249"/>
        <v>Yes</v>
      </c>
      <c r="M977">
        <f t="shared" si="250"/>
        <v>14</v>
      </c>
      <c r="N977" s="5" t="str">
        <f t="shared" si="251"/>
        <v>No</v>
      </c>
      <c r="O977" t="str">
        <f>IF(A977=WORKDAY(EOMONTH(A977,0)+1,-1,Bank_Holidays!$A$2:$A$25),"Yes","No")</f>
        <v>No</v>
      </c>
      <c r="P977" t="str">
        <f t="shared" si="252"/>
        <v>No</v>
      </c>
      <c r="Q977" t="str">
        <f t="shared" si="253"/>
        <v>No</v>
      </c>
      <c r="R977" s="5">
        <f t="shared" si="255"/>
        <v>1</v>
      </c>
    </row>
    <row r="978" spans="1:18">
      <c r="A978" s="25">
        <f t="shared" si="254"/>
        <v>47211</v>
      </c>
      <c r="B978">
        <f t="shared" si="240"/>
        <v>2029</v>
      </c>
      <c r="C978" s="9">
        <f t="shared" si="241"/>
        <v>4</v>
      </c>
      <c r="D978" s="9" t="str">
        <f t="shared" si="242"/>
        <v>April</v>
      </c>
      <c r="E978" s="9" t="str">
        <f t="shared" si="243"/>
        <v>Apr-29</v>
      </c>
      <c r="F978" s="9" t="str">
        <f t="shared" si="244"/>
        <v>Q2</v>
      </c>
      <c r="G978" s="9">
        <f t="shared" si="245"/>
        <v>3</v>
      </c>
      <c r="H978" s="9">
        <f t="shared" si="246"/>
        <v>2</v>
      </c>
      <c r="I978" s="9" t="str">
        <f t="shared" si="247"/>
        <v>Tuesday</v>
      </c>
      <c r="J978" s="9" t="str">
        <f t="shared" si="248"/>
        <v>No</v>
      </c>
      <c r="K978" s="5" t="str">
        <f>IF(COUNTIF(Bank_Holidays!A:A,A978)&gt;0,"Yes","No")</f>
        <v>No</v>
      </c>
      <c r="L978" t="str">
        <f t="shared" si="249"/>
        <v>Yes</v>
      </c>
      <c r="M978">
        <f t="shared" si="250"/>
        <v>14</v>
      </c>
      <c r="N978" s="5" t="str">
        <f t="shared" si="251"/>
        <v>No</v>
      </c>
      <c r="O978" t="str">
        <f>IF(A978=WORKDAY(EOMONTH(A978,0)+1,-1,Bank_Holidays!$A$2:$A$25),"Yes","No")</f>
        <v>No</v>
      </c>
      <c r="P978" t="str">
        <f t="shared" si="252"/>
        <v>No</v>
      </c>
      <c r="Q978" t="str">
        <f t="shared" si="253"/>
        <v>No</v>
      </c>
      <c r="R978" s="5">
        <f t="shared" si="255"/>
        <v>1</v>
      </c>
    </row>
    <row r="979" spans="1:18">
      <c r="A979" s="25">
        <f t="shared" si="254"/>
        <v>47212</v>
      </c>
      <c r="B979">
        <f t="shared" si="240"/>
        <v>2029</v>
      </c>
      <c r="C979" s="9">
        <f t="shared" si="241"/>
        <v>4</v>
      </c>
      <c r="D979" s="9" t="str">
        <f t="shared" si="242"/>
        <v>April</v>
      </c>
      <c r="E979" s="9" t="str">
        <f t="shared" si="243"/>
        <v>Apr-29</v>
      </c>
      <c r="F979" s="9" t="str">
        <f t="shared" si="244"/>
        <v>Q2</v>
      </c>
      <c r="G979" s="9">
        <f t="shared" si="245"/>
        <v>4</v>
      </c>
      <c r="H979" s="9">
        <f t="shared" si="246"/>
        <v>3</v>
      </c>
      <c r="I979" s="9" t="str">
        <f t="shared" si="247"/>
        <v>Wednesday</v>
      </c>
      <c r="J979" s="9" t="str">
        <f t="shared" si="248"/>
        <v>No</v>
      </c>
      <c r="K979" s="5" t="str">
        <f>IF(COUNTIF(Bank_Holidays!A:A,A979)&gt;0,"Yes","No")</f>
        <v>No</v>
      </c>
      <c r="L979" t="str">
        <f t="shared" si="249"/>
        <v>Yes</v>
      </c>
      <c r="M979">
        <f t="shared" si="250"/>
        <v>14</v>
      </c>
      <c r="N979" s="5" t="str">
        <f t="shared" si="251"/>
        <v>No</v>
      </c>
      <c r="O979" t="str">
        <f>IF(A979=WORKDAY(EOMONTH(A979,0)+1,-1,Bank_Holidays!$A$2:$A$25),"Yes","No")</f>
        <v>No</v>
      </c>
      <c r="P979" t="str">
        <f t="shared" si="252"/>
        <v>No</v>
      </c>
      <c r="Q979" t="str">
        <f t="shared" si="253"/>
        <v>No</v>
      </c>
      <c r="R979" s="5">
        <f t="shared" si="255"/>
        <v>1</v>
      </c>
    </row>
    <row r="980" spans="1:18">
      <c r="A980" s="25">
        <f t="shared" si="254"/>
        <v>47213</v>
      </c>
      <c r="B980">
        <f t="shared" si="240"/>
        <v>2029</v>
      </c>
      <c r="C980" s="9">
        <f t="shared" si="241"/>
        <v>4</v>
      </c>
      <c r="D980" s="9" t="str">
        <f t="shared" si="242"/>
        <v>April</v>
      </c>
      <c r="E980" s="9" t="str">
        <f t="shared" si="243"/>
        <v>Apr-29</v>
      </c>
      <c r="F980" s="9" t="str">
        <f t="shared" si="244"/>
        <v>Q2</v>
      </c>
      <c r="G980" s="9">
        <f t="shared" si="245"/>
        <v>5</v>
      </c>
      <c r="H980" s="9">
        <f t="shared" si="246"/>
        <v>4</v>
      </c>
      <c r="I980" s="9" t="str">
        <f t="shared" si="247"/>
        <v>Thursday</v>
      </c>
      <c r="J980" s="9" t="str">
        <f t="shared" si="248"/>
        <v>No</v>
      </c>
      <c r="K980" s="5" t="str">
        <f>IF(COUNTIF(Bank_Holidays!A:A,A980)&gt;0,"Yes","No")</f>
        <v>No</v>
      </c>
      <c r="L980" t="str">
        <f t="shared" si="249"/>
        <v>Yes</v>
      </c>
      <c r="M980">
        <f t="shared" si="250"/>
        <v>14</v>
      </c>
      <c r="N980" s="5" t="str">
        <f t="shared" si="251"/>
        <v>No</v>
      </c>
      <c r="O980" t="str">
        <f>IF(A980=WORKDAY(EOMONTH(A980,0)+1,-1,Bank_Holidays!$A$2:$A$25),"Yes","No")</f>
        <v>No</v>
      </c>
      <c r="P980" t="str">
        <f t="shared" si="252"/>
        <v>No</v>
      </c>
      <c r="Q980" t="str">
        <f t="shared" si="253"/>
        <v>No</v>
      </c>
      <c r="R980" s="5">
        <f t="shared" si="255"/>
        <v>1</v>
      </c>
    </row>
    <row r="981" spans="1:18">
      <c r="A981" s="25">
        <f t="shared" si="254"/>
        <v>47214</v>
      </c>
      <c r="B981">
        <f t="shared" si="240"/>
        <v>2029</v>
      </c>
      <c r="C981" s="9">
        <f t="shared" si="241"/>
        <v>4</v>
      </c>
      <c r="D981" s="9" t="str">
        <f t="shared" si="242"/>
        <v>April</v>
      </c>
      <c r="E981" s="9" t="str">
        <f t="shared" si="243"/>
        <v>Apr-29</v>
      </c>
      <c r="F981" s="9" t="str">
        <f t="shared" si="244"/>
        <v>Q2</v>
      </c>
      <c r="G981" s="9">
        <f t="shared" si="245"/>
        <v>6</v>
      </c>
      <c r="H981" s="9">
        <f t="shared" si="246"/>
        <v>5</v>
      </c>
      <c r="I981" s="9" t="str">
        <f t="shared" si="247"/>
        <v>Friday</v>
      </c>
      <c r="J981" s="9" t="str">
        <f t="shared" si="248"/>
        <v>No</v>
      </c>
      <c r="K981" s="5" t="str">
        <f>IF(COUNTIF(Bank_Holidays!A:A,A981)&gt;0,"Yes","No")</f>
        <v>No</v>
      </c>
      <c r="L981" t="str">
        <f t="shared" si="249"/>
        <v>Yes</v>
      </c>
      <c r="M981">
        <f t="shared" si="250"/>
        <v>14</v>
      </c>
      <c r="N981" s="5" t="str">
        <f t="shared" si="251"/>
        <v>No</v>
      </c>
      <c r="O981" t="str">
        <f>IF(A981=WORKDAY(EOMONTH(A981,0)+1,-1,Bank_Holidays!$A$2:$A$25),"Yes","No")</f>
        <v>No</v>
      </c>
      <c r="P981" t="str">
        <f t="shared" si="252"/>
        <v>No</v>
      </c>
      <c r="Q981" t="str">
        <f t="shared" si="253"/>
        <v>No</v>
      </c>
      <c r="R981" s="5">
        <f t="shared" si="255"/>
        <v>3</v>
      </c>
    </row>
    <row r="982" spans="1:18">
      <c r="A982" s="25">
        <f t="shared" si="254"/>
        <v>47215</v>
      </c>
      <c r="B982">
        <f t="shared" si="240"/>
        <v>2029</v>
      </c>
      <c r="C982" s="9">
        <f t="shared" si="241"/>
        <v>4</v>
      </c>
      <c r="D982" s="9" t="str">
        <f t="shared" si="242"/>
        <v>April</v>
      </c>
      <c r="E982" s="9" t="str">
        <f t="shared" si="243"/>
        <v>Apr-29</v>
      </c>
      <c r="F982" s="9" t="str">
        <f t="shared" si="244"/>
        <v>Q2</v>
      </c>
      <c r="G982" s="9">
        <f t="shared" si="245"/>
        <v>7</v>
      </c>
      <c r="H982" s="9">
        <f t="shared" si="246"/>
        <v>6</v>
      </c>
      <c r="I982" s="9" t="str">
        <f t="shared" si="247"/>
        <v>Saturday</v>
      </c>
      <c r="J982" s="9" t="str">
        <f t="shared" si="248"/>
        <v>Yes</v>
      </c>
      <c r="K982" s="5" t="str">
        <f>IF(COUNTIF(Bank_Holidays!A:A,A982)&gt;0,"Yes","No")</f>
        <v>No</v>
      </c>
      <c r="L982" t="str">
        <f t="shared" si="249"/>
        <v>No</v>
      </c>
      <c r="M982">
        <f t="shared" si="250"/>
        <v>14</v>
      </c>
      <c r="N982" s="5" t="str">
        <f t="shared" si="251"/>
        <v>No</v>
      </c>
      <c r="O982" t="str">
        <f>IF(A982=WORKDAY(EOMONTH(A982,0)+1,-1,Bank_Holidays!$A$2:$A$25),"Yes","No")</f>
        <v>No</v>
      </c>
      <c r="P982" t="str">
        <f t="shared" si="252"/>
        <v>No</v>
      </c>
      <c r="Q982" t="str">
        <f t="shared" si="253"/>
        <v>No</v>
      </c>
      <c r="R982" s="5">
        <f t="shared" si="255"/>
        <v>0</v>
      </c>
    </row>
    <row r="983" spans="1:18">
      <c r="A983" s="25">
        <f t="shared" si="254"/>
        <v>47216</v>
      </c>
      <c r="B983">
        <f t="shared" si="240"/>
        <v>2029</v>
      </c>
      <c r="C983" s="9">
        <f t="shared" si="241"/>
        <v>4</v>
      </c>
      <c r="D983" s="9" t="str">
        <f t="shared" si="242"/>
        <v>April</v>
      </c>
      <c r="E983" s="9" t="str">
        <f t="shared" si="243"/>
        <v>Apr-29</v>
      </c>
      <c r="F983" s="9" t="str">
        <f t="shared" si="244"/>
        <v>Q2</v>
      </c>
      <c r="G983" s="9">
        <f t="shared" si="245"/>
        <v>8</v>
      </c>
      <c r="H983" s="9">
        <f t="shared" si="246"/>
        <v>7</v>
      </c>
      <c r="I983" s="9" t="str">
        <f t="shared" si="247"/>
        <v>Sunday</v>
      </c>
      <c r="J983" s="9" t="str">
        <f t="shared" si="248"/>
        <v>Yes</v>
      </c>
      <c r="K983" s="5" t="str">
        <f>IF(COUNTIF(Bank_Holidays!A:A,A983)&gt;0,"Yes","No")</f>
        <v>No</v>
      </c>
      <c r="L983" t="str">
        <f t="shared" si="249"/>
        <v>No</v>
      </c>
      <c r="M983">
        <f t="shared" si="250"/>
        <v>14</v>
      </c>
      <c r="N983" s="5" t="str">
        <f t="shared" si="251"/>
        <v>No</v>
      </c>
      <c r="O983" t="str">
        <f>IF(A983=WORKDAY(EOMONTH(A983,0)+1,-1,Bank_Holidays!$A$2:$A$25),"Yes","No")</f>
        <v>No</v>
      </c>
      <c r="P983" t="str">
        <f t="shared" si="252"/>
        <v>No</v>
      </c>
      <c r="Q983" t="str">
        <f t="shared" si="253"/>
        <v>No</v>
      </c>
      <c r="R983" s="5">
        <f t="shared" si="255"/>
        <v>0</v>
      </c>
    </row>
    <row r="984" spans="1:18">
      <c r="A984" s="25">
        <f t="shared" si="254"/>
        <v>47217</v>
      </c>
      <c r="B984">
        <f t="shared" si="240"/>
        <v>2029</v>
      </c>
      <c r="C984" s="9">
        <f t="shared" si="241"/>
        <v>4</v>
      </c>
      <c r="D984" s="9" t="str">
        <f t="shared" si="242"/>
        <v>April</v>
      </c>
      <c r="E984" s="9" t="str">
        <f t="shared" si="243"/>
        <v>Apr-29</v>
      </c>
      <c r="F984" s="9" t="str">
        <f t="shared" si="244"/>
        <v>Q2</v>
      </c>
      <c r="G984" s="9">
        <f t="shared" si="245"/>
        <v>9</v>
      </c>
      <c r="H984" s="9">
        <f t="shared" si="246"/>
        <v>1</v>
      </c>
      <c r="I984" s="9" t="str">
        <f t="shared" si="247"/>
        <v>Monday</v>
      </c>
      <c r="J984" s="9" t="str">
        <f t="shared" si="248"/>
        <v>No</v>
      </c>
      <c r="K984" s="5" t="str">
        <f>IF(COUNTIF(Bank_Holidays!A:A,A984)&gt;0,"Yes","No")</f>
        <v>No</v>
      </c>
      <c r="L984" t="str">
        <f t="shared" si="249"/>
        <v>Yes</v>
      </c>
      <c r="M984">
        <f t="shared" si="250"/>
        <v>15</v>
      </c>
      <c r="N984" s="5" t="str">
        <f t="shared" si="251"/>
        <v>No</v>
      </c>
      <c r="O984" t="str">
        <f>IF(A984=WORKDAY(EOMONTH(A984,0)+1,-1,Bank_Holidays!$A$2:$A$25),"Yes","No")</f>
        <v>No</v>
      </c>
      <c r="P984" t="str">
        <f t="shared" si="252"/>
        <v>No</v>
      </c>
      <c r="Q984" t="str">
        <f t="shared" si="253"/>
        <v>No</v>
      </c>
      <c r="R984" s="5">
        <f t="shared" si="255"/>
        <v>1</v>
      </c>
    </row>
    <row r="985" spans="1:18">
      <c r="A985" s="25">
        <f t="shared" si="254"/>
        <v>47218</v>
      </c>
      <c r="B985">
        <f t="shared" si="240"/>
        <v>2029</v>
      </c>
      <c r="C985" s="9">
        <f t="shared" si="241"/>
        <v>4</v>
      </c>
      <c r="D985" s="9" t="str">
        <f t="shared" si="242"/>
        <v>April</v>
      </c>
      <c r="E985" s="9" t="str">
        <f t="shared" si="243"/>
        <v>Apr-29</v>
      </c>
      <c r="F985" s="9" t="str">
        <f t="shared" si="244"/>
        <v>Q2</v>
      </c>
      <c r="G985" s="9">
        <f t="shared" si="245"/>
        <v>10</v>
      </c>
      <c r="H985" s="9">
        <f t="shared" si="246"/>
        <v>2</v>
      </c>
      <c r="I985" s="9" t="str">
        <f t="shared" si="247"/>
        <v>Tuesday</v>
      </c>
      <c r="J985" s="9" t="str">
        <f t="shared" si="248"/>
        <v>No</v>
      </c>
      <c r="K985" s="5" t="str">
        <f>IF(COUNTIF(Bank_Holidays!A:A,A985)&gt;0,"Yes","No")</f>
        <v>No</v>
      </c>
      <c r="L985" t="str">
        <f t="shared" si="249"/>
        <v>Yes</v>
      </c>
      <c r="M985">
        <f t="shared" si="250"/>
        <v>15</v>
      </c>
      <c r="N985" s="5" t="str">
        <f t="shared" si="251"/>
        <v>No</v>
      </c>
      <c r="O985" t="str">
        <f>IF(A985=WORKDAY(EOMONTH(A985,0)+1,-1,Bank_Holidays!$A$2:$A$25),"Yes","No")</f>
        <v>No</v>
      </c>
      <c r="P985" t="str">
        <f t="shared" si="252"/>
        <v>No</v>
      </c>
      <c r="Q985" t="str">
        <f t="shared" si="253"/>
        <v>No</v>
      </c>
      <c r="R985" s="5">
        <f t="shared" si="255"/>
        <v>1</v>
      </c>
    </row>
    <row r="986" spans="1:18">
      <c r="A986" s="25">
        <f t="shared" si="254"/>
        <v>47219</v>
      </c>
      <c r="B986">
        <f t="shared" si="240"/>
        <v>2029</v>
      </c>
      <c r="C986" s="9">
        <f t="shared" si="241"/>
        <v>4</v>
      </c>
      <c r="D986" s="9" t="str">
        <f t="shared" si="242"/>
        <v>April</v>
      </c>
      <c r="E986" s="9" t="str">
        <f t="shared" si="243"/>
        <v>Apr-29</v>
      </c>
      <c r="F986" s="9" t="str">
        <f t="shared" si="244"/>
        <v>Q2</v>
      </c>
      <c r="G986" s="9">
        <f t="shared" si="245"/>
        <v>11</v>
      </c>
      <c r="H986" s="9">
        <f t="shared" si="246"/>
        <v>3</v>
      </c>
      <c r="I986" s="9" t="str">
        <f t="shared" si="247"/>
        <v>Wednesday</v>
      </c>
      <c r="J986" s="9" t="str">
        <f t="shared" si="248"/>
        <v>No</v>
      </c>
      <c r="K986" s="5" t="str">
        <f>IF(COUNTIF(Bank_Holidays!A:A,A986)&gt;0,"Yes","No")</f>
        <v>No</v>
      </c>
      <c r="L986" t="str">
        <f t="shared" si="249"/>
        <v>Yes</v>
      </c>
      <c r="M986">
        <f t="shared" si="250"/>
        <v>15</v>
      </c>
      <c r="N986" s="5" t="str">
        <f t="shared" si="251"/>
        <v>No</v>
      </c>
      <c r="O986" t="str">
        <f>IF(A986=WORKDAY(EOMONTH(A986,0)+1,-1,Bank_Holidays!$A$2:$A$25),"Yes","No")</f>
        <v>No</v>
      </c>
      <c r="P986" t="str">
        <f t="shared" si="252"/>
        <v>No</v>
      </c>
      <c r="Q986" t="str">
        <f t="shared" si="253"/>
        <v>No</v>
      </c>
      <c r="R986" s="5">
        <f t="shared" si="255"/>
        <v>1</v>
      </c>
    </row>
    <row r="987" spans="1:18">
      <c r="A987" s="25">
        <f t="shared" si="254"/>
        <v>47220</v>
      </c>
      <c r="B987">
        <f t="shared" si="240"/>
        <v>2029</v>
      </c>
      <c r="C987" s="9">
        <f t="shared" si="241"/>
        <v>4</v>
      </c>
      <c r="D987" s="9" t="str">
        <f t="shared" si="242"/>
        <v>April</v>
      </c>
      <c r="E987" s="9" t="str">
        <f t="shared" si="243"/>
        <v>Apr-29</v>
      </c>
      <c r="F987" s="9" t="str">
        <f t="shared" si="244"/>
        <v>Q2</v>
      </c>
      <c r="G987" s="9">
        <f t="shared" si="245"/>
        <v>12</v>
      </c>
      <c r="H987" s="9">
        <f t="shared" si="246"/>
        <v>4</v>
      </c>
      <c r="I987" s="9" t="str">
        <f t="shared" si="247"/>
        <v>Thursday</v>
      </c>
      <c r="J987" s="9" t="str">
        <f t="shared" si="248"/>
        <v>No</v>
      </c>
      <c r="K987" s="5" t="str">
        <f>IF(COUNTIF(Bank_Holidays!A:A,A987)&gt;0,"Yes","No")</f>
        <v>No</v>
      </c>
      <c r="L987" t="str">
        <f t="shared" si="249"/>
        <v>Yes</v>
      </c>
      <c r="M987">
        <f t="shared" si="250"/>
        <v>15</v>
      </c>
      <c r="N987" s="5" t="str">
        <f t="shared" si="251"/>
        <v>No</v>
      </c>
      <c r="O987" t="str">
        <f>IF(A987=WORKDAY(EOMONTH(A987,0)+1,-1,Bank_Holidays!$A$2:$A$25),"Yes","No")</f>
        <v>No</v>
      </c>
      <c r="P987" t="str">
        <f t="shared" si="252"/>
        <v>No</v>
      </c>
      <c r="Q987" t="str">
        <f t="shared" si="253"/>
        <v>No</v>
      </c>
      <c r="R987" s="5">
        <f t="shared" si="255"/>
        <v>1</v>
      </c>
    </row>
    <row r="988" spans="1:18">
      <c r="A988" s="25">
        <f t="shared" si="254"/>
        <v>47221</v>
      </c>
      <c r="B988">
        <f t="shared" si="240"/>
        <v>2029</v>
      </c>
      <c r="C988" s="9">
        <f t="shared" si="241"/>
        <v>4</v>
      </c>
      <c r="D988" s="9" t="str">
        <f t="shared" si="242"/>
        <v>April</v>
      </c>
      <c r="E988" s="9" t="str">
        <f t="shared" si="243"/>
        <v>Apr-29</v>
      </c>
      <c r="F988" s="9" t="str">
        <f t="shared" si="244"/>
        <v>Q2</v>
      </c>
      <c r="G988" s="9">
        <f t="shared" si="245"/>
        <v>13</v>
      </c>
      <c r="H988" s="9">
        <f t="shared" si="246"/>
        <v>5</v>
      </c>
      <c r="I988" s="9" t="str">
        <f t="shared" si="247"/>
        <v>Friday</v>
      </c>
      <c r="J988" s="9" t="str">
        <f t="shared" si="248"/>
        <v>No</v>
      </c>
      <c r="K988" s="5" t="str">
        <f>IF(COUNTIF(Bank_Holidays!A:A,A988)&gt;0,"Yes","No")</f>
        <v>No</v>
      </c>
      <c r="L988" t="str">
        <f t="shared" si="249"/>
        <v>Yes</v>
      </c>
      <c r="M988">
        <f t="shared" si="250"/>
        <v>15</v>
      </c>
      <c r="N988" s="5" t="str">
        <f t="shared" si="251"/>
        <v>No</v>
      </c>
      <c r="O988" t="str">
        <f>IF(A988=WORKDAY(EOMONTH(A988,0)+1,-1,Bank_Holidays!$A$2:$A$25),"Yes","No")</f>
        <v>No</v>
      </c>
      <c r="P988" t="str">
        <f t="shared" si="252"/>
        <v>No</v>
      </c>
      <c r="Q988" t="str">
        <f t="shared" si="253"/>
        <v>No</v>
      </c>
      <c r="R988" s="5">
        <f t="shared" si="255"/>
        <v>3</v>
      </c>
    </row>
    <row r="989" spans="1:18">
      <c r="A989" s="25">
        <f t="shared" si="254"/>
        <v>47222</v>
      </c>
      <c r="B989">
        <f t="shared" si="240"/>
        <v>2029</v>
      </c>
      <c r="C989" s="9">
        <f t="shared" si="241"/>
        <v>4</v>
      </c>
      <c r="D989" s="9" t="str">
        <f t="shared" si="242"/>
        <v>April</v>
      </c>
      <c r="E989" s="9" t="str">
        <f t="shared" si="243"/>
        <v>Apr-29</v>
      </c>
      <c r="F989" s="9" t="str">
        <f t="shared" si="244"/>
        <v>Q2</v>
      </c>
      <c r="G989" s="9">
        <f t="shared" si="245"/>
        <v>14</v>
      </c>
      <c r="H989" s="9">
        <f t="shared" si="246"/>
        <v>6</v>
      </c>
      <c r="I989" s="9" t="str">
        <f t="shared" si="247"/>
        <v>Saturday</v>
      </c>
      <c r="J989" s="9" t="str">
        <f t="shared" si="248"/>
        <v>Yes</v>
      </c>
      <c r="K989" s="5" t="str">
        <f>IF(COUNTIF(Bank_Holidays!A:A,A989)&gt;0,"Yes","No")</f>
        <v>No</v>
      </c>
      <c r="L989" t="str">
        <f t="shared" si="249"/>
        <v>No</v>
      </c>
      <c r="M989">
        <f t="shared" si="250"/>
        <v>15</v>
      </c>
      <c r="N989" s="5" t="str">
        <f t="shared" si="251"/>
        <v>No</v>
      </c>
      <c r="O989" t="str">
        <f>IF(A989=WORKDAY(EOMONTH(A989,0)+1,-1,Bank_Holidays!$A$2:$A$25),"Yes","No")</f>
        <v>No</v>
      </c>
      <c r="P989" t="str">
        <f t="shared" si="252"/>
        <v>No</v>
      </c>
      <c r="Q989" t="str">
        <f t="shared" si="253"/>
        <v>No</v>
      </c>
      <c r="R989" s="5">
        <f t="shared" si="255"/>
        <v>0</v>
      </c>
    </row>
    <row r="990" spans="1:18">
      <c r="A990" s="25">
        <f t="shared" si="254"/>
        <v>47223</v>
      </c>
      <c r="B990">
        <f t="shared" si="240"/>
        <v>2029</v>
      </c>
      <c r="C990" s="9">
        <f t="shared" si="241"/>
        <v>4</v>
      </c>
      <c r="D990" s="9" t="str">
        <f t="shared" si="242"/>
        <v>April</v>
      </c>
      <c r="E990" s="9" t="str">
        <f t="shared" si="243"/>
        <v>Apr-29</v>
      </c>
      <c r="F990" s="9" t="str">
        <f t="shared" si="244"/>
        <v>Q2</v>
      </c>
      <c r="G990" s="9">
        <f t="shared" si="245"/>
        <v>15</v>
      </c>
      <c r="H990" s="9">
        <f t="shared" si="246"/>
        <v>7</v>
      </c>
      <c r="I990" s="9" t="str">
        <f t="shared" si="247"/>
        <v>Sunday</v>
      </c>
      <c r="J990" s="9" t="str">
        <f t="shared" si="248"/>
        <v>Yes</v>
      </c>
      <c r="K990" s="5" t="str">
        <f>IF(COUNTIF(Bank_Holidays!A:A,A990)&gt;0,"Yes","No")</f>
        <v>No</v>
      </c>
      <c r="L990" t="str">
        <f t="shared" si="249"/>
        <v>No</v>
      </c>
      <c r="M990">
        <f t="shared" si="250"/>
        <v>15</v>
      </c>
      <c r="N990" s="5" t="str">
        <f t="shared" si="251"/>
        <v>No</v>
      </c>
      <c r="O990" t="str">
        <f>IF(A990=WORKDAY(EOMONTH(A990,0)+1,-1,Bank_Holidays!$A$2:$A$25),"Yes","No")</f>
        <v>No</v>
      </c>
      <c r="P990" t="str">
        <f t="shared" si="252"/>
        <v>No</v>
      </c>
      <c r="Q990" t="str">
        <f t="shared" si="253"/>
        <v>No</v>
      </c>
      <c r="R990" s="5">
        <f t="shared" si="255"/>
        <v>0</v>
      </c>
    </row>
    <row r="991" spans="1:18">
      <c r="A991" s="25">
        <f t="shared" si="254"/>
        <v>47224</v>
      </c>
      <c r="B991">
        <f t="shared" si="240"/>
        <v>2029</v>
      </c>
      <c r="C991" s="9">
        <f t="shared" si="241"/>
        <v>4</v>
      </c>
      <c r="D991" s="9" t="str">
        <f t="shared" si="242"/>
        <v>April</v>
      </c>
      <c r="E991" s="9" t="str">
        <f t="shared" si="243"/>
        <v>Apr-29</v>
      </c>
      <c r="F991" s="9" t="str">
        <f t="shared" si="244"/>
        <v>Q2</v>
      </c>
      <c r="G991" s="9">
        <f t="shared" si="245"/>
        <v>16</v>
      </c>
      <c r="H991" s="9">
        <f t="shared" si="246"/>
        <v>1</v>
      </c>
      <c r="I991" s="9" t="str">
        <f t="shared" si="247"/>
        <v>Monday</v>
      </c>
      <c r="J991" s="9" t="str">
        <f t="shared" si="248"/>
        <v>No</v>
      </c>
      <c r="K991" s="5" t="str">
        <f>IF(COUNTIF(Bank_Holidays!A:A,A991)&gt;0,"Yes","No")</f>
        <v>No</v>
      </c>
      <c r="L991" t="str">
        <f t="shared" si="249"/>
        <v>Yes</v>
      </c>
      <c r="M991">
        <f t="shared" si="250"/>
        <v>16</v>
      </c>
      <c r="N991" s="5" t="str">
        <f t="shared" si="251"/>
        <v>No</v>
      </c>
      <c r="O991" t="str">
        <f>IF(A991=WORKDAY(EOMONTH(A991,0)+1,-1,Bank_Holidays!$A$2:$A$25),"Yes","No")</f>
        <v>No</v>
      </c>
      <c r="P991" t="str">
        <f t="shared" si="252"/>
        <v>No</v>
      </c>
      <c r="Q991" t="str">
        <f t="shared" si="253"/>
        <v>No</v>
      </c>
      <c r="R991" s="5">
        <f t="shared" si="255"/>
        <v>1</v>
      </c>
    </row>
    <row r="992" spans="1:18">
      <c r="A992" s="25">
        <f t="shared" si="254"/>
        <v>47225</v>
      </c>
      <c r="B992">
        <f t="shared" si="240"/>
        <v>2029</v>
      </c>
      <c r="C992" s="9">
        <f t="shared" si="241"/>
        <v>4</v>
      </c>
      <c r="D992" s="9" t="str">
        <f t="shared" si="242"/>
        <v>April</v>
      </c>
      <c r="E992" s="9" t="str">
        <f t="shared" si="243"/>
        <v>Apr-29</v>
      </c>
      <c r="F992" s="9" t="str">
        <f t="shared" si="244"/>
        <v>Q2</v>
      </c>
      <c r="G992" s="9">
        <f t="shared" si="245"/>
        <v>17</v>
      </c>
      <c r="H992" s="9">
        <f t="shared" si="246"/>
        <v>2</v>
      </c>
      <c r="I992" s="9" t="str">
        <f t="shared" si="247"/>
        <v>Tuesday</v>
      </c>
      <c r="J992" s="9" t="str">
        <f t="shared" si="248"/>
        <v>No</v>
      </c>
      <c r="K992" s="5" t="str">
        <f>IF(COUNTIF(Bank_Holidays!A:A,A992)&gt;0,"Yes","No")</f>
        <v>No</v>
      </c>
      <c r="L992" t="str">
        <f t="shared" si="249"/>
        <v>Yes</v>
      </c>
      <c r="M992">
        <f t="shared" si="250"/>
        <v>16</v>
      </c>
      <c r="N992" s="5" t="str">
        <f t="shared" si="251"/>
        <v>No</v>
      </c>
      <c r="O992" t="str">
        <f>IF(A992=WORKDAY(EOMONTH(A992,0)+1,-1,Bank_Holidays!$A$2:$A$25),"Yes","No")</f>
        <v>No</v>
      </c>
      <c r="P992" t="str">
        <f t="shared" si="252"/>
        <v>No</v>
      </c>
      <c r="Q992" t="str">
        <f t="shared" si="253"/>
        <v>No</v>
      </c>
      <c r="R992" s="5">
        <f t="shared" si="255"/>
        <v>1</v>
      </c>
    </row>
    <row r="993" spans="1:18">
      <c r="A993" s="25">
        <f t="shared" si="254"/>
        <v>47226</v>
      </c>
      <c r="B993">
        <f t="shared" si="240"/>
        <v>2029</v>
      </c>
      <c r="C993" s="9">
        <f t="shared" si="241"/>
        <v>4</v>
      </c>
      <c r="D993" s="9" t="str">
        <f t="shared" si="242"/>
        <v>April</v>
      </c>
      <c r="E993" s="9" t="str">
        <f t="shared" si="243"/>
        <v>Apr-29</v>
      </c>
      <c r="F993" s="9" t="str">
        <f t="shared" si="244"/>
        <v>Q2</v>
      </c>
      <c r="G993" s="9">
        <f t="shared" si="245"/>
        <v>18</v>
      </c>
      <c r="H993" s="9">
        <f t="shared" si="246"/>
        <v>3</v>
      </c>
      <c r="I993" s="9" t="str">
        <f t="shared" si="247"/>
        <v>Wednesday</v>
      </c>
      <c r="J993" s="9" t="str">
        <f t="shared" si="248"/>
        <v>No</v>
      </c>
      <c r="K993" s="5" t="str">
        <f>IF(COUNTIF(Bank_Holidays!A:A,A993)&gt;0,"Yes","No")</f>
        <v>No</v>
      </c>
      <c r="L993" t="str">
        <f t="shared" si="249"/>
        <v>Yes</v>
      </c>
      <c r="M993">
        <f t="shared" si="250"/>
        <v>16</v>
      </c>
      <c r="N993" s="5" t="str">
        <f t="shared" si="251"/>
        <v>No</v>
      </c>
      <c r="O993" t="str">
        <f>IF(A993=WORKDAY(EOMONTH(A993,0)+1,-1,Bank_Holidays!$A$2:$A$25),"Yes","No")</f>
        <v>No</v>
      </c>
      <c r="P993" t="str">
        <f t="shared" si="252"/>
        <v>No</v>
      </c>
      <c r="Q993" t="str">
        <f t="shared" si="253"/>
        <v>No</v>
      </c>
      <c r="R993" s="5">
        <f t="shared" si="255"/>
        <v>1</v>
      </c>
    </row>
    <row r="994" spans="1:18">
      <c r="A994" s="25">
        <f t="shared" si="254"/>
        <v>47227</v>
      </c>
      <c r="B994">
        <f t="shared" si="240"/>
        <v>2029</v>
      </c>
      <c r="C994" s="9">
        <f t="shared" si="241"/>
        <v>4</v>
      </c>
      <c r="D994" s="9" t="str">
        <f t="shared" si="242"/>
        <v>April</v>
      </c>
      <c r="E994" s="9" t="str">
        <f t="shared" si="243"/>
        <v>Apr-29</v>
      </c>
      <c r="F994" s="9" t="str">
        <f t="shared" si="244"/>
        <v>Q2</v>
      </c>
      <c r="G994" s="9">
        <f t="shared" si="245"/>
        <v>19</v>
      </c>
      <c r="H994" s="9">
        <f t="shared" si="246"/>
        <v>4</v>
      </c>
      <c r="I994" s="9" t="str">
        <f t="shared" si="247"/>
        <v>Thursday</v>
      </c>
      <c r="J994" s="9" t="str">
        <f t="shared" si="248"/>
        <v>No</v>
      </c>
      <c r="K994" s="5" t="str">
        <f>IF(COUNTIF(Bank_Holidays!A:A,A994)&gt;0,"Yes","No")</f>
        <v>No</v>
      </c>
      <c r="L994" t="str">
        <f t="shared" si="249"/>
        <v>Yes</v>
      </c>
      <c r="M994">
        <f t="shared" si="250"/>
        <v>16</v>
      </c>
      <c r="N994" s="5" t="str">
        <f t="shared" si="251"/>
        <v>No</v>
      </c>
      <c r="O994" t="str">
        <f>IF(A994=WORKDAY(EOMONTH(A994,0)+1,-1,Bank_Holidays!$A$2:$A$25),"Yes","No")</f>
        <v>No</v>
      </c>
      <c r="P994" t="str">
        <f t="shared" si="252"/>
        <v>No</v>
      </c>
      <c r="Q994" t="str">
        <f t="shared" si="253"/>
        <v>No</v>
      </c>
      <c r="R994" s="5">
        <f t="shared" si="255"/>
        <v>1</v>
      </c>
    </row>
    <row r="995" spans="1:18">
      <c r="A995" s="25">
        <f t="shared" si="254"/>
        <v>47228</v>
      </c>
      <c r="B995">
        <f t="shared" si="240"/>
        <v>2029</v>
      </c>
      <c r="C995" s="9">
        <f t="shared" si="241"/>
        <v>4</v>
      </c>
      <c r="D995" s="9" t="str">
        <f t="shared" si="242"/>
        <v>April</v>
      </c>
      <c r="E995" s="9" t="str">
        <f t="shared" si="243"/>
        <v>Apr-29</v>
      </c>
      <c r="F995" s="9" t="str">
        <f t="shared" si="244"/>
        <v>Q2</v>
      </c>
      <c r="G995" s="9">
        <f t="shared" si="245"/>
        <v>20</v>
      </c>
      <c r="H995" s="9">
        <f t="shared" si="246"/>
        <v>5</v>
      </c>
      <c r="I995" s="9" t="str">
        <f t="shared" si="247"/>
        <v>Friday</v>
      </c>
      <c r="J995" s="9" t="str">
        <f t="shared" si="248"/>
        <v>No</v>
      </c>
      <c r="K995" s="5" t="str">
        <f>IF(COUNTIF(Bank_Holidays!A:A,A995)&gt;0,"Yes","No")</f>
        <v>No</v>
      </c>
      <c r="L995" t="str">
        <f t="shared" si="249"/>
        <v>Yes</v>
      </c>
      <c r="M995">
        <f t="shared" si="250"/>
        <v>16</v>
      </c>
      <c r="N995" s="5" t="str">
        <f t="shared" si="251"/>
        <v>No</v>
      </c>
      <c r="O995" t="str">
        <f>IF(A995=WORKDAY(EOMONTH(A995,0)+1,-1,Bank_Holidays!$A$2:$A$25),"Yes","No")</f>
        <v>No</v>
      </c>
      <c r="P995" t="str">
        <f t="shared" si="252"/>
        <v>No</v>
      </c>
      <c r="Q995" t="str">
        <f t="shared" si="253"/>
        <v>No</v>
      </c>
      <c r="R995" s="5">
        <f t="shared" si="255"/>
        <v>3</v>
      </c>
    </row>
    <row r="996" spans="1:18">
      <c r="A996" s="25">
        <f t="shared" si="254"/>
        <v>47229</v>
      </c>
      <c r="B996">
        <f t="shared" si="240"/>
        <v>2029</v>
      </c>
      <c r="C996" s="9">
        <f t="shared" si="241"/>
        <v>4</v>
      </c>
      <c r="D996" s="9" t="str">
        <f t="shared" si="242"/>
        <v>April</v>
      </c>
      <c r="E996" s="9" t="str">
        <f t="shared" si="243"/>
        <v>Apr-29</v>
      </c>
      <c r="F996" s="9" t="str">
        <f t="shared" si="244"/>
        <v>Q2</v>
      </c>
      <c r="G996" s="9">
        <f t="shared" si="245"/>
        <v>21</v>
      </c>
      <c r="H996" s="9">
        <f t="shared" si="246"/>
        <v>6</v>
      </c>
      <c r="I996" s="9" t="str">
        <f t="shared" si="247"/>
        <v>Saturday</v>
      </c>
      <c r="J996" s="9" t="str">
        <f t="shared" si="248"/>
        <v>Yes</v>
      </c>
      <c r="K996" s="5" t="str">
        <f>IF(COUNTIF(Bank_Holidays!A:A,A996)&gt;0,"Yes","No")</f>
        <v>No</v>
      </c>
      <c r="L996" t="str">
        <f t="shared" si="249"/>
        <v>No</v>
      </c>
      <c r="M996">
        <f t="shared" si="250"/>
        <v>16</v>
      </c>
      <c r="N996" s="5" t="str">
        <f t="shared" si="251"/>
        <v>No</v>
      </c>
      <c r="O996" t="str">
        <f>IF(A996=WORKDAY(EOMONTH(A996,0)+1,-1,Bank_Holidays!$A$2:$A$25),"Yes","No")</f>
        <v>No</v>
      </c>
      <c r="P996" t="str">
        <f t="shared" si="252"/>
        <v>No</v>
      </c>
      <c r="Q996" t="str">
        <f t="shared" si="253"/>
        <v>No</v>
      </c>
      <c r="R996" s="5">
        <f t="shared" si="255"/>
        <v>0</v>
      </c>
    </row>
    <row r="997" spans="1:18">
      <c r="A997" s="25">
        <f t="shared" si="254"/>
        <v>47230</v>
      </c>
      <c r="B997">
        <f t="shared" si="240"/>
        <v>2029</v>
      </c>
      <c r="C997" s="9">
        <f t="shared" si="241"/>
        <v>4</v>
      </c>
      <c r="D997" s="9" t="str">
        <f t="shared" si="242"/>
        <v>April</v>
      </c>
      <c r="E997" s="9" t="str">
        <f t="shared" si="243"/>
        <v>Apr-29</v>
      </c>
      <c r="F997" s="9" t="str">
        <f t="shared" si="244"/>
        <v>Q2</v>
      </c>
      <c r="G997" s="9">
        <f t="shared" si="245"/>
        <v>22</v>
      </c>
      <c r="H997" s="9">
        <f t="shared" si="246"/>
        <v>7</v>
      </c>
      <c r="I997" s="9" t="str">
        <f t="shared" si="247"/>
        <v>Sunday</v>
      </c>
      <c r="J997" s="9" t="str">
        <f t="shared" si="248"/>
        <v>Yes</v>
      </c>
      <c r="K997" s="5" t="str">
        <f>IF(COUNTIF(Bank_Holidays!A:A,A997)&gt;0,"Yes","No")</f>
        <v>No</v>
      </c>
      <c r="L997" t="str">
        <f t="shared" si="249"/>
        <v>No</v>
      </c>
      <c r="M997">
        <f t="shared" si="250"/>
        <v>16</v>
      </c>
      <c r="N997" s="5" t="str">
        <f t="shared" si="251"/>
        <v>No</v>
      </c>
      <c r="O997" t="str">
        <f>IF(A997=WORKDAY(EOMONTH(A997,0)+1,-1,Bank_Holidays!$A$2:$A$25),"Yes","No")</f>
        <v>No</v>
      </c>
      <c r="P997" t="str">
        <f t="shared" si="252"/>
        <v>No</v>
      </c>
      <c r="Q997" t="str">
        <f t="shared" si="253"/>
        <v>No</v>
      </c>
      <c r="R997" s="5">
        <f t="shared" si="255"/>
        <v>0</v>
      </c>
    </row>
    <row r="998" spans="1:18">
      <c r="A998" s="25">
        <f t="shared" si="254"/>
        <v>47231</v>
      </c>
      <c r="B998">
        <f t="shared" si="240"/>
        <v>2029</v>
      </c>
      <c r="C998" s="9">
        <f t="shared" si="241"/>
        <v>4</v>
      </c>
      <c r="D998" s="9" t="str">
        <f t="shared" si="242"/>
        <v>April</v>
      </c>
      <c r="E998" s="9" t="str">
        <f t="shared" si="243"/>
        <v>Apr-29</v>
      </c>
      <c r="F998" s="9" t="str">
        <f t="shared" si="244"/>
        <v>Q2</v>
      </c>
      <c r="G998" s="9">
        <f t="shared" si="245"/>
        <v>23</v>
      </c>
      <c r="H998" s="9">
        <f t="shared" si="246"/>
        <v>1</v>
      </c>
      <c r="I998" s="9" t="str">
        <f t="shared" si="247"/>
        <v>Monday</v>
      </c>
      <c r="J998" s="9" t="str">
        <f t="shared" si="248"/>
        <v>No</v>
      </c>
      <c r="K998" s="5" t="str">
        <f>IF(COUNTIF(Bank_Holidays!A:A,A998)&gt;0,"Yes","No")</f>
        <v>No</v>
      </c>
      <c r="L998" t="str">
        <f t="shared" si="249"/>
        <v>Yes</v>
      </c>
      <c r="M998">
        <f t="shared" si="250"/>
        <v>17</v>
      </c>
      <c r="N998" s="5" t="str">
        <f t="shared" si="251"/>
        <v>No</v>
      </c>
      <c r="O998" t="str">
        <f>IF(A998=WORKDAY(EOMONTH(A998,0)+1,-1,Bank_Holidays!$A$2:$A$25),"Yes","No")</f>
        <v>No</v>
      </c>
      <c r="P998" t="str">
        <f t="shared" si="252"/>
        <v>No</v>
      </c>
      <c r="Q998" t="str">
        <f t="shared" si="253"/>
        <v>No</v>
      </c>
      <c r="R998" s="5">
        <f t="shared" si="255"/>
        <v>1</v>
      </c>
    </row>
    <row r="999" spans="1:18">
      <c r="A999" s="25">
        <f t="shared" si="254"/>
        <v>47232</v>
      </c>
      <c r="B999">
        <f t="shared" si="240"/>
        <v>2029</v>
      </c>
      <c r="C999" s="9">
        <f t="shared" si="241"/>
        <v>4</v>
      </c>
      <c r="D999" s="9" t="str">
        <f t="shared" si="242"/>
        <v>April</v>
      </c>
      <c r="E999" s="9" t="str">
        <f t="shared" si="243"/>
        <v>Apr-29</v>
      </c>
      <c r="F999" s="9" t="str">
        <f t="shared" si="244"/>
        <v>Q2</v>
      </c>
      <c r="G999" s="9">
        <f t="shared" si="245"/>
        <v>24</v>
      </c>
      <c r="H999" s="9">
        <f t="shared" si="246"/>
        <v>2</v>
      </c>
      <c r="I999" s="9" t="str">
        <f t="shared" si="247"/>
        <v>Tuesday</v>
      </c>
      <c r="J999" s="9" t="str">
        <f t="shared" si="248"/>
        <v>No</v>
      </c>
      <c r="K999" s="5" t="str">
        <f>IF(COUNTIF(Bank_Holidays!A:A,A999)&gt;0,"Yes","No")</f>
        <v>No</v>
      </c>
      <c r="L999" t="str">
        <f t="shared" si="249"/>
        <v>Yes</v>
      </c>
      <c r="M999">
        <f t="shared" si="250"/>
        <v>17</v>
      </c>
      <c r="N999" s="5" t="str">
        <f t="shared" si="251"/>
        <v>No</v>
      </c>
      <c r="O999" t="str">
        <f>IF(A999=WORKDAY(EOMONTH(A999,0)+1,-1,Bank_Holidays!$A$2:$A$25),"Yes","No")</f>
        <v>No</v>
      </c>
      <c r="P999" t="str">
        <f t="shared" si="252"/>
        <v>No</v>
      </c>
      <c r="Q999" t="str">
        <f t="shared" si="253"/>
        <v>No</v>
      </c>
      <c r="R999" s="5">
        <f t="shared" si="255"/>
        <v>1</v>
      </c>
    </row>
    <row r="1000" spans="1:18">
      <c r="A1000" s="25">
        <f t="shared" si="254"/>
        <v>47233</v>
      </c>
      <c r="B1000">
        <f t="shared" si="240"/>
        <v>2029</v>
      </c>
      <c r="C1000" s="9">
        <f t="shared" si="241"/>
        <v>4</v>
      </c>
      <c r="D1000" s="9" t="str">
        <f t="shared" si="242"/>
        <v>April</v>
      </c>
      <c r="E1000" s="9" t="str">
        <f t="shared" si="243"/>
        <v>Apr-29</v>
      </c>
      <c r="F1000" s="9" t="str">
        <f t="shared" si="244"/>
        <v>Q2</v>
      </c>
      <c r="G1000" s="9">
        <f t="shared" si="245"/>
        <v>25</v>
      </c>
      <c r="H1000" s="9">
        <f t="shared" si="246"/>
        <v>3</v>
      </c>
      <c r="I1000" s="9" t="str">
        <f t="shared" si="247"/>
        <v>Wednesday</v>
      </c>
      <c r="J1000" s="9" t="str">
        <f t="shared" si="248"/>
        <v>No</v>
      </c>
      <c r="K1000" s="5" t="str">
        <f>IF(COUNTIF(Bank_Holidays!A:A,A1000)&gt;0,"Yes","No")</f>
        <v>No</v>
      </c>
      <c r="L1000" t="str">
        <f t="shared" si="249"/>
        <v>Yes</v>
      </c>
      <c r="M1000">
        <f t="shared" si="250"/>
        <v>17</v>
      </c>
      <c r="N1000" s="5" t="str">
        <f t="shared" si="251"/>
        <v>No</v>
      </c>
      <c r="O1000" t="str">
        <f>IF(A1000=WORKDAY(EOMONTH(A1000,0)+1,-1,Bank_Holidays!$A$2:$A$25),"Yes","No")</f>
        <v>No</v>
      </c>
      <c r="P1000" t="str">
        <f t="shared" si="252"/>
        <v>No</v>
      </c>
      <c r="Q1000" t="str">
        <f t="shared" si="253"/>
        <v>No</v>
      </c>
      <c r="R1000" s="5">
        <f t="shared" si="255"/>
        <v>1</v>
      </c>
    </row>
    <row r="1001" spans="1:18">
      <c r="A1001" s="25">
        <f t="shared" si="254"/>
        <v>47234</v>
      </c>
      <c r="B1001">
        <f t="shared" si="240"/>
        <v>2029</v>
      </c>
      <c r="C1001" s="9">
        <f t="shared" si="241"/>
        <v>4</v>
      </c>
      <c r="D1001" s="9" t="str">
        <f t="shared" si="242"/>
        <v>April</v>
      </c>
      <c r="E1001" s="9" t="str">
        <f t="shared" si="243"/>
        <v>Apr-29</v>
      </c>
      <c r="F1001" s="9" t="str">
        <f t="shared" si="244"/>
        <v>Q2</v>
      </c>
      <c r="G1001" s="9">
        <f t="shared" si="245"/>
        <v>26</v>
      </c>
      <c r="H1001" s="9">
        <f t="shared" si="246"/>
        <v>4</v>
      </c>
      <c r="I1001" s="9" t="str">
        <f t="shared" si="247"/>
        <v>Thursday</v>
      </c>
      <c r="J1001" s="9" t="str">
        <f t="shared" si="248"/>
        <v>No</v>
      </c>
      <c r="K1001" s="5" t="str">
        <f>IF(COUNTIF(Bank_Holidays!A:A,A1001)&gt;0,"Yes","No")</f>
        <v>No</v>
      </c>
      <c r="L1001" t="str">
        <f t="shared" si="249"/>
        <v>Yes</v>
      </c>
      <c r="M1001">
        <f t="shared" si="250"/>
        <v>17</v>
      </c>
      <c r="N1001" s="5" t="str">
        <f t="shared" si="251"/>
        <v>No</v>
      </c>
      <c r="O1001" t="str">
        <f>IF(A1001=WORKDAY(EOMONTH(A1001,0)+1,-1,Bank_Holidays!$A$2:$A$25),"Yes","No")</f>
        <v>No</v>
      </c>
      <c r="P1001" t="str">
        <f t="shared" si="252"/>
        <v>No</v>
      </c>
      <c r="Q1001" t="str">
        <f t="shared" si="253"/>
        <v>Yes</v>
      </c>
      <c r="R1001" s="5">
        <f t="shared" si="255"/>
        <v>1</v>
      </c>
    </row>
    <row r="1002" spans="1:18">
      <c r="A1002" s="25">
        <f t="shared" si="254"/>
        <v>47235</v>
      </c>
      <c r="B1002">
        <f t="shared" si="240"/>
        <v>2029</v>
      </c>
      <c r="C1002" s="9">
        <f t="shared" si="241"/>
        <v>4</v>
      </c>
      <c r="D1002" s="9" t="str">
        <f t="shared" si="242"/>
        <v>April</v>
      </c>
      <c r="E1002" s="9" t="str">
        <f t="shared" si="243"/>
        <v>Apr-29</v>
      </c>
      <c r="F1002" s="9" t="str">
        <f t="shared" si="244"/>
        <v>Q2</v>
      </c>
      <c r="G1002" s="9">
        <f t="shared" si="245"/>
        <v>27</v>
      </c>
      <c r="H1002" s="9">
        <f t="shared" si="246"/>
        <v>5</v>
      </c>
      <c r="I1002" s="9" t="str">
        <f t="shared" si="247"/>
        <v>Friday</v>
      </c>
      <c r="J1002" s="9" t="str">
        <f t="shared" si="248"/>
        <v>No</v>
      </c>
      <c r="K1002" s="5" t="str">
        <f>IF(COUNTIF(Bank_Holidays!A:A,A1002)&gt;0,"Yes","No")</f>
        <v>No</v>
      </c>
      <c r="L1002" t="str">
        <f t="shared" si="249"/>
        <v>Yes</v>
      </c>
      <c r="M1002">
        <f t="shared" si="250"/>
        <v>17</v>
      </c>
      <c r="N1002" s="5" t="str">
        <f t="shared" si="251"/>
        <v>No</v>
      </c>
      <c r="O1002" t="str">
        <f>IF(A1002=WORKDAY(EOMONTH(A1002,0)+1,-1,Bank_Holidays!$A$2:$A$25),"Yes","No")</f>
        <v>No</v>
      </c>
      <c r="P1002" t="str">
        <f t="shared" si="252"/>
        <v>Yes</v>
      </c>
      <c r="Q1002" t="str">
        <f t="shared" si="253"/>
        <v>No</v>
      </c>
      <c r="R1002" s="5">
        <f t="shared" si="255"/>
        <v>3</v>
      </c>
    </row>
    <row r="1003" spans="1:18">
      <c r="A1003" s="25">
        <f t="shared" si="254"/>
        <v>47236</v>
      </c>
      <c r="B1003">
        <f t="shared" si="240"/>
        <v>2029</v>
      </c>
      <c r="C1003" s="9">
        <f t="shared" si="241"/>
        <v>4</v>
      </c>
      <c r="D1003" s="9" t="str">
        <f t="shared" si="242"/>
        <v>April</v>
      </c>
      <c r="E1003" s="9" t="str">
        <f t="shared" si="243"/>
        <v>Apr-29</v>
      </c>
      <c r="F1003" s="9" t="str">
        <f t="shared" si="244"/>
        <v>Q2</v>
      </c>
      <c r="G1003" s="9">
        <f t="shared" si="245"/>
        <v>28</v>
      </c>
      <c r="H1003" s="9">
        <f t="shared" si="246"/>
        <v>6</v>
      </c>
      <c r="I1003" s="9" t="str">
        <f t="shared" si="247"/>
        <v>Saturday</v>
      </c>
      <c r="J1003" s="9" t="str">
        <f t="shared" si="248"/>
        <v>Yes</v>
      </c>
      <c r="K1003" s="5" t="str">
        <f>IF(COUNTIF(Bank_Holidays!A:A,A1003)&gt;0,"Yes","No")</f>
        <v>No</v>
      </c>
      <c r="L1003" t="str">
        <f t="shared" si="249"/>
        <v>No</v>
      </c>
      <c r="M1003">
        <f t="shared" si="250"/>
        <v>17</v>
      </c>
      <c r="N1003" s="5" t="str">
        <f t="shared" si="251"/>
        <v>No</v>
      </c>
      <c r="O1003" t="str">
        <f>IF(A1003=WORKDAY(EOMONTH(A1003,0)+1,-1,Bank_Holidays!$A$2:$A$25),"Yes","No")</f>
        <v>No</v>
      </c>
      <c r="P1003" t="str">
        <f t="shared" si="252"/>
        <v>No</v>
      </c>
      <c r="Q1003" t="str">
        <f t="shared" si="253"/>
        <v>No</v>
      </c>
      <c r="R1003" s="5">
        <f t="shared" si="255"/>
        <v>0</v>
      </c>
    </row>
    <row r="1004" spans="1:18">
      <c r="A1004" s="25">
        <f t="shared" si="254"/>
        <v>47237</v>
      </c>
      <c r="B1004">
        <f t="shared" si="240"/>
        <v>2029</v>
      </c>
      <c r="C1004" s="9">
        <f t="shared" si="241"/>
        <v>4</v>
      </c>
      <c r="D1004" s="9" t="str">
        <f t="shared" si="242"/>
        <v>April</v>
      </c>
      <c r="E1004" s="9" t="str">
        <f t="shared" si="243"/>
        <v>Apr-29</v>
      </c>
      <c r="F1004" s="9" t="str">
        <f t="shared" si="244"/>
        <v>Q2</v>
      </c>
      <c r="G1004" s="9">
        <f t="shared" si="245"/>
        <v>29</v>
      </c>
      <c r="H1004" s="9">
        <f t="shared" si="246"/>
        <v>7</v>
      </c>
      <c r="I1004" s="9" t="str">
        <f t="shared" si="247"/>
        <v>Sunday</v>
      </c>
      <c r="J1004" s="9" t="str">
        <f t="shared" si="248"/>
        <v>Yes</v>
      </c>
      <c r="K1004" s="5" t="str">
        <f>IF(COUNTIF(Bank_Holidays!A:A,A1004)&gt;0,"Yes","No")</f>
        <v>No</v>
      </c>
      <c r="L1004" t="str">
        <f t="shared" si="249"/>
        <v>No</v>
      </c>
      <c r="M1004">
        <f t="shared" si="250"/>
        <v>17</v>
      </c>
      <c r="N1004" s="5" t="str">
        <f t="shared" si="251"/>
        <v>No</v>
      </c>
      <c r="O1004" t="str">
        <f>IF(A1004=WORKDAY(EOMONTH(A1004,0)+1,-1,Bank_Holidays!$A$2:$A$25),"Yes","No")</f>
        <v>No</v>
      </c>
      <c r="P1004" t="str">
        <f t="shared" si="252"/>
        <v>No</v>
      </c>
      <c r="Q1004" t="str">
        <f t="shared" si="253"/>
        <v>No</v>
      </c>
      <c r="R1004" s="5">
        <f t="shared" si="255"/>
        <v>0</v>
      </c>
    </row>
    <row r="1005" spans="1:18">
      <c r="A1005" s="25">
        <f t="shared" si="254"/>
        <v>47238</v>
      </c>
      <c r="B1005">
        <f t="shared" si="240"/>
        <v>2029</v>
      </c>
      <c r="C1005" s="9">
        <f t="shared" si="241"/>
        <v>4</v>
      </c>
      <c r="D1005" s="9" t="str">
        <f t="shared" si="242"/>
        <v>April</v>
      </c>
      <c r="E1005" s="9" t="str">
        <f t="shared" si="243"/>
        <v>Apr-29</v>
      </c>
      <c r="F1005" s="9" t="str">
        <f t="shared" si="244"/>
        <v>Q2</v>
      </c>
      <c r="G1005" s="9">
        <f t="shared" si="245"/>
        <v>30</v>
      </c>
      <c r="H1005" s="9">
        <f t="shared" si="246"/>
        <v>1</v>
      </c>
      <c r="I1005" s="9" t="str">
        <f t="shared" si="247"/>
        <v>Monday</v>
      </c>
      <c r="J1005" s="9" t="str">
        <f t="shared" si="248"/>
        <v>No</v>
      </c>
      <c r="K1005" s="5" t="str">
        <f>IF(COUNTIF(Bank_Holidays!A:A,A1005)&gt;0,"Yes","No")</f>
        <v>No</v>
      </c>
      <c r="L1005" t="str">
        <f t="shared" si="249"/>
        <v>Yes</v>
      </c>
      <c r="M1005">
        <f t="shared" si="250"/>
        <v>18</v>
      </c>
      <c r="N1005" s="5" t="str">
        <f t="shared" si="251"/>
        <v>Yes</v>
      </c>
      <c r="O1005" t="str">
        <f>IF(A1005=WORKDAY(EOMONTH(A1005,0)+1,-1,Bank_Holidays!$A$2:$A$25),"Yes","No")</f>
        <v>Yes</v>
      </c>
      <c r="P1005" t="str">
        <f t="shared" si="252"/>
        <v>No</v>
      </c>
      <c r="Q1005" t="str">
        <f t="shared" si="253"/>
        <v>No</v>
      </c>
      <c r="R1005" s="5">
        <f t="shared" si="255"/>
        <v>1</v>
      </c>
    </row>
    <row r="1006" spans="1:18">
      <c r="A1006" s="25">
        <f t="shared" si="254"/>
        <v>47239</v>
      </c>
      <c r="B1006">
        <f t="shared" si="240"/>
        <v>2029</v>
      </c>
      <c r="C1006" s="9">
        <f t="shared" si="241"/>
        <v>5</v>
      </c>
      <c r="D1006" s="9" t="str">
        <f t="shared" si="242"/>
        <v>May</v>
      </c>
      <c r="E1006" s="9" t="str">
        <f t="shared" si="243"/>
        <v>May-29</v>
      </c>
      <c r="F1006" s="9" t="str">
        <f t="shared" si="244"/>
        <v>Q2</v>
      </c>
      <c r="G1006" s="9">
        <f t="shared" si="245"/>
        <v>1</v>
      </c>
      <c r="H1006" s="9">
        <f t="shared" si="246"/>
        <v>2</v>
      </c>
      <c r="I1006" s="9" t="str">
        <f t="shared" si="247"/>
        <v>Tuesday</v>
      </c>
      <c r="J1006" s="9" t="str">
        <f t="shared" si="248"/>
        <v>No</v>
      </c>
      <c r="K1006" s="5" t="str">
        <f>IF(COUNTIF(Bank_Holidays!A:A,A1006)&gt;0,"Yes","No")</f>
        <v>No</v>
      </c>
      <c r="L1006" t="str">
        <f t="shared" si="249"/>
        <v>Yes</v>
      </c>
      <c r="M1006">
        <f t="shared" si="250"/>
        <v>18</v>
      </c>
      <c r="N1006" s="5" t="str">
        <f t="shared" si="251"/>
        <v>No</v>
      </c>
      <c r="O1006" t="str">
        <f>IF(A1006=WORKDAY(EOMONTH(A1006,0)+1,-1,Bank_Holidays!$A$2:$A$25),"Yes","No")</f>
        <v>No</v>
      </c>
      <c r="P1006" t="str">
        <f t="shared" si="252"/>
        <v>No</v>
      </c>
      <c r="Q1006" t="str">
        <f t="shared" si="253"/>
        <v>No</v>
      </c>
      <c r="R1006" s="5">
        <f t="shared" si="255"/>
        <v>1</v>
      </c>
    </row>
    <row r="1007" spans="1:18">
      <c r="A1007" s="25">
        <f t="shared" si="254"/>
        <v>47240</v>
      </c>
      <c r="B1007">
        <f t="shared" si="240"/>
        <v>2029</v>
      </c>
      <c r="C1007" s="9">
        <f t="shared" si="241"/>
        <v>5</v>
      </c>
      <c r="D1007" s="9" t="str">
        <f t="shared" si="242"/>
        <v>May</v>
      </c>
      <c r="E1007" s="9" t="str">
        <f t="shared" si="243"/>
        <v>May-29</v>
      </c>
      <c r="F1007" s="9" t="str">
        <f t="shared" si="244"/>
        <v>Q2</v>
      </c>
      <c r="G1007" s="9">
        <f t="shared" si="245"/>
        <v>2</v>
      </c>
      <c r="H1007" s="9">
        <f t="shared" si="246"/>
        <v>3</v>
      </c>
      <c r="I1007" s="9" t="str">
        <f t="shared" si="247"/>
        <v>Wednesday</v>
      </c>
      <c r="J1007" s="9" t="str">
        <f t="shared" si="248"/>
        <v>No</v>
      </c>
      <c r="K1007" s="5" t="str">
        <f>IF(COUNTIF(Bank_Holidays!A:A,A1007)&gt;0,"Yes","No")</f>
        <v>No</v>
      </c>
      <c r="L1007" t="str">
        <f t="shared" si="249"/>
        <v>Yes</v>
      </c>
      <c r="M1007">
        <f t="shared" si="250"/>
        <v>18</v>
      </c>
      <c r="N1007" s="5" t="str">
        <f t="shared" si="251"/>
        <v>No</v>
      </c>
      <c r="O1007" t="str">
        <f>IF(A1007=WORKDAY(EOMONTH(A1007,0)+1,-1,Bank_Holidays!$A$2:$A$25),"Yes","No")</f>
        <v>No</v>
      </c>
      <c r="P1007" t="str">
        <f t="shared" si="252"/>
        <v>No</v>
      </c>
      <c r="Q1007" t="str">
        <f t="shared" si="253"/>
        <v>No</v>
      </c>
      <c r="R1007" s="5">
        <f t="shared" si="255"/>
        <v>1</v>
      </c>
    </row>
    <row r="1008" spans="1:18">
      <c r="A1008" s="25">
        <f t="shared" si="254"/>
        <v>47241</v>
      </c>
      <c r="B1008">
        <f t="shared" si="240"/>
        <v>2029</v>
      </c>
      <c r="C1008" s="9">
        <f t="shared" si="241"/>
        <v>5</v>
      </c>
      <c r="D1008" s="9" t="str">
        <f t="shared" si="242"/>
        <v>May</v>
      </c>
      <c r="E1008" s="9" t="str">
        <f t="shared" si="243"/>
        <v>May-29</v>
      </c>
      <c r="F1008" s="9" t="str">
        <f t="shared" si="244"/>
        <v>Q2</v>
      </c>
      <c r="G1008" s="9">
        <f t="shared" si="245"/>
        <v>3</v>
      </c>
      <c r="H1008" s="9">
        <f t="shared" si="246"/>
        <v>4</v>
      </c>
      <c r="I1008" s="9" t="str">
        <f t="shared" si="247"/>
        <v>Thursday</v>
      </c>
      <c r="J1008" s="9" t="str">
        <f t="shared" si="248"/>
        <v>No</v>
      </c>
      <c r="K1008" s="5" t="str">
        <f>IF(COUNTIF(Bank_Holidays!A:A,A1008)&gt;0,"Yes","No")</f>
        <v>No</v>
      </c>
      <c r="L1008" t="str">
        <f t="shared" si="249"/>
        <v>Yes</v>
      </c>
      <c r="M1008">
        <f t="shared" si="250"/>
        <v>18</v>
      </c>
      <c r="N1008" s="5" t="str">
        <f t="shared" si="251"/>
        <v>No</v>
      </c>
      <c r="O1008" t="str">
        <f>IF(A1008=WORKDAY(EOMONTH(A1008,0)+1,-1,Bank_Holidays!$A$2:$A$25),"Yes","No")</f>
        <v>No</v>
      </c>
      <c r="P1008" t="str">
        <f t="shared" si="252"/>
        <v>No</v>
      </c>
      <c r="Q1008" t="str">
        <f t="shared" si="253"/>
        <v>No</v>
      </c>
      <c r="R1008" s="5">
        <f t="shared" si="255"/>
        <v>1</v>
      </c>
    </row>
    <row r="1009" spans="1:18">
      <c r="A1009" s="25">
        <f t="shared" si="254"/>
        <v>47242</v>
      </c>
      <c r="B1009">
        <f t="shared" si="240"/>
        <v>2029</v>
      </c>
      <c r="C1009" s="9">
        <f t="shared" si="241"/>
        <v>5</v>
      </c>
      <c r="D1009" s="9" t="str">
        <f t="shared" si="242"/>
        <v>May</v>
      </c>
      <c r="E1009" s="9" t="str">
        <f t="shared" si="243"/>
        <v>May-29</v>
      </c>
      <c r="F1009" s="9" t="str">
        <f t="shared" si="244"/>
        <v>Q2</v>
      </c>
      <c r="G1009" s="9">
        <f t="shared" si="245"/>
        <v>4</v>
      </c>
      <c r="H1009" s="9">
        <f t="shared" si="246"/>
        <v>5</v>
      </c>
      <c r="I1009" s="9" t="str">
        <f t="shared" si="247"/>
        <v>Friday</v>
      </c>
      <c r="J1009" s="9" t="str">
        <f t="shared" si="248"/>
        <v>No</v>
      </c>
      <c r="K1009" s="5" t="str">
        <f>IF(COUNTIF(Bank_Holidays!A:A,A1009)&gt;0,"Yes","No")</f>
        <v>No</v>
      </c>
      <c r="L1009" t="str">
        <f t="shared" si="249"/>
        <v>Yes</v>
      </c>
      <c r="M1009">
        <f t="shared" si="250"/>
        <v>18</v>
      </c>
      <c r="N1009" s="5" t="str">
        <f t="shared" si="251"/>
        <v>No</v>
      </c>
      <c r="O1009" t="str">
        <f>IF(A1009=WORKDAY(EOMONTH(A1009,0)+1,-1,Bank_Holidays!$A$2:$A$25),"Yes","No")</f>
        <v>No</v>
      </c>
      <c r="P1009" t="str">
        <f t="shared" si="252"/>
        <v>No</v>
      </c>
      <c r="Q1009" t="str">
        <f t="shared" si="253"/>
        <v>No</v>
      </c>
      <c r="R1009" s="5">
        <f t="shared" si="255"/>
        <v>3</v>
      </c>
    </row>
    <row r="1010" spans="1:18">
      <c r="A1010" s="25">
        <f t="shared" si="254"/>
        <v>47243</v>
      </c>
      <c r="B1010">
        <f t="shared" si="240"/>
        <v>2029</v>
      </c>
      <c r="C1010" s="9">
        <f t="shared" si="241"/>
        <v>5</v>
      </c>
      <c r="D1010" s="9" t="str">
        <f t="shared" si="242"/>
        <v>May</v>
      </c>
      <c r="E1010" s="9" t="str">
        <f t="shared" si="243"/>
        <v>May-29</v>
      </c>
      <c r="F1010" s="9" t="str">
        <f t="shared" si="244"/>
        <v>Q2</v>
      </c>
      <c r="G1010" s="9">
        <f t="shared" si="245"/>
        <v>5</v>
      </c>
      <c r="H1010" s="9">
        <f t="shared" si="246"/>
        <v>6</v>
      </c>
      <c r="I1010" s="9" t="str">
        <f t="shared" si="247"/>
        <v>Saturday</v>
      </c>
      <c r="J1010" s="9" t="str">
        <f t="shared" si="248"/>
        <v>Yes</v>
      </c>
      <c r="K1010" s="5" t="str">
        <f>IF(COUNTIF(Bank_Holidays!A:A,A1010)&gt;0,"Yes","No")</f>
        <v>No</v>
      </c>
      <c r="L1010" t="str">
        <f t="shared" si="249"/>
        <v>No</v>
      </c>
      <c r="M1010">
        <f t="shared" si="250"/>
        <v>18</v>
      </c>
      <c r="N1010" s="5" t="str">
        <f t="shared" si="251"/>
        <v>No</v>
      </c>
      <c r="O1010" t="str">
        <f>IF(A1010=WORKDAY(EOMONTH(A1010,0)+1,-1,Bank_Holidays!$A$2:$A$25),"Yes","No")</f>
        <v>No</v>
      </c>
      <c r="P1010" t="str">
        <f t="shared" si="252"/>
        <v>No</v>
      </c>
      <c r="Q1010" t="str">
        <f t="shared" si="253"/>
        <v>No</v>
      </c>
      <c r="R1010" s="5">
        <f t="shared" si="255"/>
        <v>0</v>
      </c>
    </row>
    <row r="1011" spans="1:18">
      <c r="A1011" s="25">
        <f t="shared" si="254"/>
        <v>47244</v>
      </c>
      <c r="B1011">
        <f t="shared" si="240"/>
        <v>2029</v>
      </c>
      <c r="C1011" s="9">
        <f t="shared" si="241"/>
        <v>5</v>
      </c>
      <c r="D1011" s="9" t="str">
        <f t="shared" si="242"/>
        <v>May</v>
      </c>
      <c r="E1011" s="9" t="str">
        <f t="shared" si="243"/>
        <v>May-29</v>
      </c>
      <c r="F1011" s="9" t="str">
        <f t="shared" si="244"/>
        <v>Q2</v>
      </c>
      <c r="G1011" s="9">
        <f t="shared" si="245"/>
        <v>6</v>
      </c>
      <c r="H1011" s="9">
        <f t="shared" si="246"/>
        <v>7</v>
      </c>
      <c r="I1011" s="9" t="str">
        <f t="shared" si="247"/>
        <v>Sunday</v>
      </c>
      <c r="J1011" s="9" t="str">
        <f t="shared" si="248"/>
        <v>Yes</v>
      </c>
      <c r="K1011" s="5" t="str">
        <f>IF(COUNTIF(Bank_Holidays!A:A,A1011)&gt;0,"Yes","No")</f>
        <v>No</v>
      </c>
      <c r="L1011" t="str">
        <f t="shared" si="249"/>
        <v>No</v>
      </c>
      <c r="M1011">
        <f t="shared" si="250"/>
        <v>18</v>
      </c>
      <c r="N1011" s="5" t="str">
        <f t="shared" si="251"/>
        <v>No</v>
      </c>
      <c r="O1011" t="str">
        <f>IF(A1011=WORKDAY(EOMONTH(A1011,0)+1,-1,Bank_Holidays!$A$2:$A$25),"Yes","No")</f>
        <v>No</v>
      </c>
      <c r="P1011" t="str">
        <f t="shared" si="252"/>
        <v>No</v>
      </c>
      <c r="Q1011" t="str">
        <f t="shared" si="253"/>
        <v>No</v>
      </c>
      <c r="R1011" s="5">
        <f t="shared" si="255"/>
        <v>0</v>
      </c>
    </row>
    <row r="1012" spans="1:18">
      <c r="A1012" s="25">
        <f t="shared" si="254"/>
        <v>47245</v>
      </c>
      <c r="B1012">
        <f t="shared" si="240"/>
        <v>2029</v>
      </c>
      <c r="C1012" s="9">
        <f t="shared" si="241"/>
        <v>5</v>
      </c>
      <c r="D1012" s="9" t="str">
        <f t="shared" si="242"/>
        <v>May</v>
      </c>
      <c r="E1012" s="9" t="str">
        <f t="shared" si="243"/>
        <v>May-29</v>
      </c>
      <c r="F1012" s="9" t="str">
        <f t="shared" si="244"/>
        <v>Q2</v>
      </c>
      <c r="G1012" s="9">
        <f t="shared" si="245"/>
        <v>7</v>
      </c>
      <c r="H1012" s="9">
        <f t="shared" si="246"/>
        <v>1</v>
      </c>
      <c r="I1012" s="9" t="str">
        <f t="shared" si="247"/>
        <v>Monday</v>
      </c>
      <c r="J1012" s="9" t="str">
        <f t="shared" si="248"/>
        <v>No</v>
      </c>
      <c r="K1012" s="5" t="str">
        <f>IF(COUNTIF(Bank_Holidays!A:A,A1012)&gt;0,"Yes","No")</f>
        <v>No</v>
      </c>
      <c r="L1012" t="str">
        <f t="shared" si="249"/>
        <v>Yes</v>
      </c>
      <c r="M1012">
        <f t="shared" si="250"/>
        <v>19</v>
      </c>
      <c r="N1012" s="5" t="str">
        <f t="shared" si="251"/>
        <v>No</v>
      </c>
      <c r="O1012" t="str">
        <f>IF(A1012=WORKDAY(EOMONTH(A1012,0)+1,-1,Bank_Holidays!$A$2:$A$25),"Yes","No")</f>
        <v>No</v>
      </c>
      <c r="P1012" t="str">
        <f t="shared" si="252"/>
        <v>No</v>
      </c>
      <c r="Q1012" t="str">
        <f t="shared" si="253"/>
        <v>No</v>
      </c>
      <c r="R1012" s="5">
        <f t="shared" si="255"/>
        <v>1</v>
      </c>
    </row>
    <row r="1013" spans="1:18">
      <c r="A1013" s="25">
        <f t="shared" si="254"/>
        <v>47246</v>
      </c>
      <c r="B1013">
        <f t="shared" si="240"/>
        <v>2029</v>
      </c>
      <c r="C1013" s="9">
        <f t="shared" si="241"/>
        <v>5</v>
      </c>
      <c r="D1013" s="9" t="str">
        <f t="shared" si="242"/>
        <v>May</v>
      </c>
      <c r="E1013" s="9" t="str">
        <f t="shared" si="243"/>
        <v>May-29</v>
      </c>
      <c r="F1013" s="9" t="str">
        <f t="shared" si="244"/>
        <v>Q2</v>
      </c>
      <c r="G1013" s="9">
        <f t="shared" si="245"/>
        <v>8</v>
      </c>
      <c r="H1013" s="9">
        <f t="shared" si="246"/>
        <v>2</v>
      </c>
      <c r="I1013" s="9" t="str">
        <f t="shared" si="247"/>
        <v>Tuesday</v>
      </c>
      <c r="J1013" s="9" t="str">
        <f t="shared" si="248"/>
        <v>No</v>
      </c>
      <c r="K1013" s="5" t="str">
        <f>IF(COUNTIF(Bank_Holidays!A:A,A1013)&gt;0,"Yes","No")</f>
        <v>No</v>
      </c>
      <c r="L1013" t="str">
        <f t="shared" si="249"/>
        <v>Yes</v>
      </c>
      <c r="M1013">
        <f t="shared" si="250"/>
        <v>19</v>
      </c>
      <c r="N1013" s="5" t="str">
        <f t="shared" si="251"/>
        <v>No</v>
      </c>
      <c r="O1013" t="str">
        <f>IF(A1013=WORKDAY(EOMONTH(A1013,0)+1,-1,Bank_Holidays!$A$2:$A$25),"Yes","No")</f>
        <v>No</v>
      </c>
      <c r="P1013" t="str">
        <f t="shared" si="252"/>
        <v>No</v>
      </c>
      <c r="Q1013" t="str">
        <f t="shared" si="253"/>
        <v>No</v>
      </c>
      <c r="R1013" s="5">
        <f t="shared" si="255"/>
        <v>1</v>
      </c>
    </row>
    <row r="1014" spans="1:18">
      <c r="A1014" s="25">
        <f t="shared" si="254"/>
        <v>47247</v>
      </c>
      <c r="B1014">
        <f t="shared" si="240"/>
        <v>2029</v>
      </c>
      <c r="C1014" s="9">
        <f t="shared" si="241"/>
        <v>5</v>
      </c>
      <c r="D1014" s="9" t="str">
        <f t="shared" si="242"/>
        <v>May</v>
      </c>
      <c r="E1014" s="9" t="str">
        <f t="shared" si="243"/>
        <v>May-29</v>
      </c>
      <c r="F1014" s="9" t="str">
        <f t="shared" si="244"/>
        <v>Q2</v>
      </c>
      <c r="G1014" s="9">
        <f t="shared" si="245"/>
        <v>9</v>
      </c>
      <c r="H1014" s="9">
        <f t="shared" si="246"/>
        <v>3</v>
      </c>
      <c r="I1014" s="9" t="str">
        <f t="shared" si="247"/>
        <v>Wednesday</v>
      </c>
      <c r="J1014" s="9" t="str">
        <f t="shared" si="248"/>
        <v>No</v>
      </c>
      <c r="K1014" s="5" t="str">
        <f>IF(COUNTIF(Bank_Holidays!A:A,A1014)&gt;0,"Yes","No")</f>
        <v>No</v>
      </c>
      <c r="L1014" t="str">
        <f t="shared" si="249"/>
        <v>Yes</v>
      </c>
      <c r="M1014">
        <f t="shared" si="250"/>
        <v>19</v>
      </c>
      <c r="N1014" s="5" t="str">
        <f t="shared" si="251"/>
        <v>No</v>
      </c>
      <c r="O1014" t="str">
        <f>IF(A1014=WORKDAY(EOMONTH(A1014,0)+1,-1,Bank_Holidays!$A$2:$A$25),"Yes","No")</f>
        <v>No</v>
      </c>
      <c r="P1014" t="str">
        <f t="shared" si="252"/>
        <v>No</v>
      </c>
      <c r="Q1014" t="str">
        <f t="shared" si="253"/>
        <v>No</v>
      </c>
      <c r="R1014" s="5">
        <f t="shared" si="255"/>
        <v>1</v>
      </c>
    </row>
    <row r="1015" spans="1:18">
      <c r="A1015" s="25">
        <f t="shared" si="254"/>
        <v>47248</v>
      </c>
      <c r="B1015">
        <f t="shared" si="240"/>
        <v>2029</v>
      </c>
      <c r="C1015" s="9">
        <f t="shared" si="241"/>
        <v>5</v>
      </c>
      <c r="D1015" s="9" t="str">
        <f t="shared" si="242"/>
        <v>May</v>
      </c>
      <c r="E1015" s="9" t="str">
        <f t="shared" si="243"/>
        <v>May-29</v>
      </c>
      <c r="F1015" s="9" t="str">
        <f t="shared" si="244"/>
        <v>Q2</v>
      </c>
      <c r="G1015" s="9">
        <f t="shared" si="245"/>
        <v>10</v>
      </c>
      <c r="H1015" s="9">
        <f t="shared" si="246"/>
        <v>4</v>
      </c>
      <c r="I1015" s="9" t="str">
        <f t="shared" si="247"/>
        <v>Thursday</v>
      </c>
      <c r="J1015" s="9" t="str">
        <f t="shared" si="248"/>
        <v>No</v>
      </c>
      <c r="K1015" s="5" t="str">
        <f>IF(COUNTIF(Bank_Holidays!A:A,A1015)&gt;0,"Yes","No")</f>
        <v>No</v>
      </c>
      <c r="L1015" t="str">
        <f t="shared" si="249"/>
        <v>Yes</v>
      </c>
      <c r="M1015">
        <f t="shared" si="250"/>
        <v>19</v>
      </c>
      <c r="N1015" s="5" t="str">
        <f t="shared" si="251"/>
        <v>No</v>
      </c>
      <c r="O1015" t="str">
        <f>IF(A1015=WORKDAY(EOMONTH(A1015,0)+1,-1,Bank_Holidays!$A$2:$A$25),"Yes","No")</f>
        <v>No</v>
      </c>
      <c r="P1015" t="str">
        <f t="shared" si="252"/>
        <v>No</v>
      </c>
      <c r="Q1015" t="str">
        <f t="shared" si="253"/>
        <v>No</v>
      </c>
      <c r="R1015" s="5">
        <f t="shared" si="255"/>
        <v>1</v>
      </c>
    </row>
    <row r="1016" spans="1:18">
      <c r="A1016" s="25">
        <f t="shared" si="254"/>
        <v>47249</v>
      </c>
      <c r="B1016">
        <f t="shared" si="240"/>
        <v>2029</v>
      </c>
      <c r="C1016" s="9">
        <f t="shared" si="241"/>
        <v>5</v>
      </c>
      <c r="D1016" s="9" t="str">
        <f t="shared" si="242"/>
        <v>May</v>
      </c>
      <c r="E1016" s="9" t="str">
        <f t="shared" si="243"/>
        <v>May-29</v>
      </c>
      <c r="F1016" s="9" t="str">
        <f t="shared" si="244"/>
        <v>Q2</v>
      </c>
      <c r="G1016" s="9">
        <f t="shared" si="245"/>
        <v>11</v>
      </c>
      <c r="H1016" s="9">
        <f t="shared" si="246"/>
        <v>5</v>
      </c>
      <c r="I1016" s="9" t="str">
        <f t="shared" si="247"/>
        <v>Friday</v>
      </c>
      <c r="J1016" s="9" t="str">
        <f t="shared" si="248"/>
        <v>No</v>
      </c>
      <c r="K1016" s="5" t="str">
        <f>IF(COUNTIF(Bank_Holidays!A:A,A1016)&gt;0,"Yes","No")</f>
        <v>No</v>
      </c>
      <c r="L1016" t="str">
        <f t="shared" si="249"/>
        <v>Yes</v>
      </c>
      <c r="M1016">
        <f t="shared" si="250"/>
        <v>19</v>
      </c>
      <c r="N1016" s="5" t="str">
        <f t="shared" si="251"/>
        <v>No</v>
      </c>
      <c r="O1016" t="str">
        <f>IF(A1016=WORKDAY(EOMONTH(A1016,0)+1,-1,Bank_Holidays!$A$2:$A$25),"Yes","No")</f>
        <v>No</v>
      </c>
      <c r="P1016" t="str">
        <f t="shared" si="252"/>
        <v>No</v>
      </c>
      <c r="Q1016" t="str">
        <f t="shared" si="253"/>
        <v>No</v>
      </c>
      <c r="R1016" s="5">
        <f t="shared" si="255"/>
        <v>3</v>
      </c>
    </row>
    <row r="1017" spans="1:18">
      <c r="A1017" s="25">
        <f t="shared" si="254"/>
        <v>47250</v>
      </c>
      <c r="B1017">
        <f t="shared" si="240"/>
        <v>2029</v>
      </c>
      <c r="C1017" s="9">
        <f t="shared" si="241"/>
        <v>5</v>
      </c>
      <c r="D1017" s="9" t="str">
        <f t="shared" si="242"/>
        <v>May</v>
      </c>
      <c r="E1017" s="9" t="str">
        <f t="shared" si="243"/>
        <v>May-29</v>
      </c>
      <c r="F1017" s="9" t="str">
        <f t="shared" si="244"/>
        <v>Q2</v>
      </c>
      <c r="G1017" s="9">
        <f t="shared" si="245"/>
        <v>12</v>
      </c>
      <c r="H1017" s="9">
        <f t="shared" si="246"/>
        <v>6</v>
      </c>
      <c r="I1017" s="9" t="str">
        <f t="shared" si="247"/>
        <v>Saturday</v>
      </c>
      <c r="J1017" s="9" t="str">
        <f t="shared" si="248"/>
        <v>Yes</v>
      </c>
      <c r="K1017" s="5" t="str">
        <f>IF(COUNTIF(Bank_Holidays!A:A,A1017)&gt;0,"Yes","No")</f>
        <v>No</v>
      </c>
      <c r="L1017" t="str">
        <f t="shared" si="249"/>
        <v>No</v>
      </c>
      <c r="M1017">
        <f t="shared" si="250"/>
        <v>19</v>
      </c>
      <c r="N1017" s="5" t="str">
        <f t="shared" si="251"/>
        <v>No</v>
      </c>
      <c r="O1017" t="str">
        <f>IF(A1017=WORKDAY(EOMONTH(A1017,0)+1,-1,Bank_Holidays!$A$2:$A$25),"Yes","No")</f>
        <v>No</v>
      </c>
      <c r="P1017" t="str">
        <f t="shared" si="252"/>
        <v>No</v>
      </c>
      <c r="Q1017" t="str">
        <f t="shared" si="253"/>
        <v>No</v>
      </c>
      <c r="R1017" s="5">
        <f t="shared" si="255"/>
        <v>0</v>
      </c>
    </row>
    <row r="1018" spans="1:18">
      <c r="A1018" s="25">
        <f t="shared" si="254"/>
        <v>47251</v>
      </c>
      <c r="B1018">
        <f t="shared" si="240"/>
        <v>2029</v>
      </c>
      <c r="C1018" s="9">
        <f t="shared" si="241"/>
        <v>5</v>
      </c>
      <c r="D1018" s="9" t="str">
        <f t="shared" si="242"/>
        <v>May</v>
      </c>
      <c r="E1018" s="9" t="str">
        <f t="shared" si="243"/>
        <v>May-29</v>
      </c>
      <c r="F1018" s="9" t="str">
        <f t="shared" si="244"/>
        <v>Q2</v>
      </c>
      <c r="G1018" s="9">
        <f t="shared" si="245"/>
        <v>13</v>
      </c>
      <c r="H1018" s="9">
        <f t="shared" si="246"/>
        <v>7</v>
      </c>
      <c r="I1018" s="9" t="str">
        <f t="shared" si="247"/>
        <v>Sunday</v>
      </c>
      <c r="J1018" s="9" t="str">
        <f t="shared" si="248"/>
        <v>Yes</v>
      </c>
      <c r="K1018" s="5" t="str">
        <f>IF(COUNTIF(Bank_Holidays!A:A,A1018)&gt;0,"Yes","No")</f>
        <v>No</v>
      </c>
      <c r="L1018" t="str">
        <f t="shared" si="249"/>
        <v>No</v>
      </c>
      <c r="M1018">
        <f t="shared" si="250"/>
        <v>19</v>
      </c>
      <c r="N1018" s="5" t="str">
        <f t="shared" si="251"/>
        <v>No</v>
      </c>
      <c r="O1018" t="str">
        <f>IF(A1018=WORKDAY(EOMONTH(A1018,0)+1,-1,Bank_Holidays!$A$2:$A$25),"Yes","No")</f>
        <v>No</v>
      </c>
      <c r="P1018" t="str">
        <f t="shared" si="252"/>
        <v>No</v>
      </c>
      <c r="Q1018" t="str">
        <f t="shared" si="253"/>
        <v>No</v>
      </c>
      <c r="R1018" s="5">
        <f t="shared" si="255"/>
        <v>0</v>
      </c>
    </row>
    <row r="1019" spans="1:18">
      <c r="A1019" s="25">
        <f t="shared" si="254"/>
        <v>47252</v>
      </c>
      <c r="B1019">
        <f t="shared" si="240"/>
        <v>2029</v>
      </c>
      <c r="C1019" s="9">
        <f t="shared" si="241"/>
        <v>5</v>
      </c>
      <c r="D1019" s="9" t="str">
        <f t="shared" si="242"/>
        <v>May</v>
      </c>
      <c r="E1019" s="9" t="str">
        <f t="shared" si="243"/>
        <v>May-29</v>
      </c>
      <c r="F1019" s="9" t="str">
        <f t="shared" si="244"/>
        <v>Q2</v>
      </c>
      <c r="G1019" s="9">
        <f t="shared" si="245"/>
        <v>14</v>
      </c>
      <c r="H1019" s="9">
        <f t="shared" si="246"/>
        <v>1</v>
      </c>
      <c r="I1019" s="9" t="str">
        <f t="shared" si="247"/>
        <v>Monday</v>
      </c>
      <c r="J1019" s="9" t="str">
        <f t="shared" si="248"/>
        <v>No</v>
      </c>
      <c r="K1019" s="5" t="str">
        <f>IF(COUNTIF(Bank_Holidays!A:A,A1019)&gt;0,"Yes","No")</f>
        <v>No</v>
      </c>
      <c r="L1019" t="str">
        <f t="shared" si="249"/>
        <v>Yes</v>
      </c>
      <c r="M1019">
        <f t="shared" si="250"/>
        <v>20</v>
      </c>
      <c r="N1019" s="5" t="str">
        <f t="shared" si="251"/>
        <v>No</v>
      </c>
      <c r="O1019" t="str">
        <f>IF(A1019=WORKDAY(EOMONTH(A1019,0)+1,-1,Bank_Holidays!$A$2:$A$25),"Yes","No")</f>
        <v>No</v>
      </c>
      <c r="P1019" t="str">
        <f t="shared" si="252"/>
        <v>No</v>
      </c>
      <c r="Q1019" t="str">
        <f t="shared" si="253"/>
        <v>No</v>
      </c>
      <c r="R1019" s="5">
        <f t="shared" si="255"/>
        <v>1</v>
      </c>
    </row>
    <row r="1020" spans="1:18">
      <c r="A1020" s="25">
        <f t="shared" si="254"/>
        <v>47253</v>
      </c>
      <c r="B1020">
        <f t="shared" si="240"/>
        <v>2029</v>
      </c>
      <c r="C1020" s="9">
        <f t="shared" si="241"/>
        <v>5</v>
      </c>
      <c r="D1020" s="9" t="str">
        <f t="shared" si="242"/>
        <v>May</v>
      </c>
      <c r="E1020" s="9" t="str">
        <f t="shared" si="243"/>
        <v>May-29</v>
      </c>
      <c r="F1020" s="9" t="str">
        <f t="shared" si="244"/>
        <v>Q2</v>
      </c>
      <c r="G1020" s="9">
        <f t="shared" si="245"/>
        <v>15</v>
      </c>
      <c r="H1020" s="9">
        <f t="shared" si="246"/>
        <v>2</v>
      </c>
      <c r="I1020" s="9" t="str">
        <f t="shared" si="247"/>
        <v>Tuesday</v>
      </c>
      <c r="J1020" s="9" t="str">
        <f t="shared" si="248"/>
        <v>No</v>
      </c>
      <c r="K1020" s="5" t="str">
        <f>IF(COUNTIF(Bank_Holidays!A:A,A1020)&gt;0,"Yes","No")</f>
        <v>No</v>
      </c>
      <c r="L1020" t="str">
        <f t="shared" si="249"/>
        <v>Yes</v>
      </c>
      <c r="M1020">
        <f t="shared" si="250"/>
        <v>20</v>
      </c>
      <c r="N1020" s="5" t="str">
        <f t="shared" si="251"/>
        <v>No</v>
      </c>
      <c r="O1020" t="str">
        <f>IF(A1020=WORKDAY(EOMONTH(A1020,0)+1,-1,Bank_Holidays!$A$2:$A$25),"Yes","No")</f>
        <v>No</v>
      </c>
      <c r="P1020" t="str">
        <f t="shared" si="252"/>
        <v>No</v>
      </c>
      <c r="Q1020" t="str">
        <f t="shared" si="253"/>
        <v>No</v>
      </c>
      <c r="R1020" s="5">
        <f t="shared" si="255"/>
        <v>1</v>
      </c>
    </row>
    <row r="1021" spans="1:18">
      <c r="A1021" s="25">
        <f t="shared" si="254"/>
        <v>47254</v>
      </c>
      <c r="B1021">
        <f t="shared" si="240"/>
        <v>2029</v>
      </c>
      <c r="C1021" s="9">
        <f t="shared" si="241"/>
        <v>5</v>
      </c>
      <c r="D1021" s="9" t="str">
        <f t="shared" si="242"/>
        <v>May</v>
      </c>
      <c r="E1021" s="9" t="str">
        <f t="shared" si="243"/>
        <v>May-29</v>
      </c>
      <c r="F1021" s="9" t="str">
        <f t="shared" si="244"/>
        <v>Q2</v>
      </c>
      <c r="G1021" s="9">
        <f t="shared" si="245"/>
        <v>16</v>
      </c>
      <c r="H1021" s="9">
        <f t="shared" si="246"/>
        <v>3</v>
      </c>
      <c r="I1021" s="9" t="str">
        <f t="shared" si="247"/>
        <v>Wednesday</v>
      </c>
      <c r="J1021" s="9" t="str">
        <f t="shared" si="248"/>
        <v>No</v>
      </c>
      <c r="K1021" s="5" t="str">
        <f>IF(COUNTIF(Bank_Holidays!A:A,A1021)&gt;0,"Yes","No")</f>
        <v>No</v>
      </c>
      <c r="L1021" t="str">
        <f t="shared" si="249"/>
        <v>Yes</v>
      </c>
      <c r="M1021">
        <f t="shared" si="250"/>
        <v>20</v>
      </c>
      <c r="N1021" s="5" t="str">
        <f t="shared" si="251"/>
        <v>No</v>
      </c>
      <c r="O1021" t="str">
        <f>IF(A1021=WORKDAY(EOMONTH(A1021,0)+1,-1,Bank_Holidays!$A$2:$A$25),"Yes","No")</f>
        <v>No</v>
      </c>
      <c r="P1021" t="str">
        <f t="shared" si="252"/>
        <v>No</v>
      </c>
      <c r="Q1021" t="str">
        <f t="shared" si="253"/>
        <v>No</v>
      </c>
      <c r="R1021" s="5">
        <f t="shared" si="255"/>
        <v>1</v>
      </c>
    </row>
    <row r="1022" spans="1:18">
      <c r="A1022" s="25">
        <f t="shared" si="254"/>
        <v>47255</v>
      </c>
      <c r="B1022">
        <f t="shared" si="240"/>
        <v>2029</v>
      </c>
      <c r="C1022" s="9">
        <f t="shared" si="241"/>
        <v>5</v>
      </c>
      <c r="D1022" s="9" t="str">
        <f t="shared" si="242"/>
        <v>May</v>
      </c>
      <c r="E1022" s="9" t="str">
        <f t="shared" si="243"/>
        <v>May-29</v>
      </c>
      <c r="F1022" s="9" t="str">
        <f t="shared" si="244"/>
        <v>Q2</v>
      </c>
      <c r="G1022" s="9">
        <f t="shared" si="245"/>
        <v>17</v>
      </c>
      <c r="H1022" s="9">
        <f t="shared" si="246"/>
        <v>4</v>
      </c>
      <c r="I1022" s="9" t="str">
        <f t="shared" si="247"/>
        <v>Thursday</v>
      </c>
      <c r="J1022" s="9" t="str">
        <f t="shared" si="248"/>
        <v>No</v>
      </c>
      <c r="K1022" s="5" t="str">
        <f>IF(COUNTIF(Bank_Holidays!A:A,A1022)&gt;0,"Yes","No")</f>
        <v>No</v>
      </c>
      <c r="L1022" t="str">
        <f t="shared" si="249"/>
        <v>Yes</v>
      </c>
      <c r="M1022">
        <f t="shared" si="250"/>
        <v>20</v>
      </c>
      <c r="N1022" s="5" t="str">
        <f t="shared" si="251"/>
        <v>No</v>
      </c>
      <c r="O1022" t="str">
        <f>IF(A1022=WORKDAY(EOMONTH(A1022,0)+1,-1,Bank_Holidays!$A$2:$A$25),"Yes","No")</f>
        <v>No</v>
      </c>
      <c r="P1022" t="str">
        <f t="shared" si="252"/>
        <v>No</v>
      </c>
      <c r="Q1022" t="str">
        <f t="shared" si="253"/>
        <v>No</v>
      </c>
      <c r="R1022" s="5">
        <f t="shared" si="255"/>
        <v>1</v>
      </c>
    </row>
    <row r="1023" spans="1:18">
      <c r="A1023" s="25">
        <f t="shared" si="254"/>
        <v>47256</v>
      </c>
      <c r="B1023">
        <f t="shared" si="240"/>
        <v>2029</v>
      </c>
      <c r="C1023" s="9">
        <f t="shared" si="241"/>
        <v>5</v>
      </c>
      <c r="D1023" s="9" t="str">
        <f t="shared" si="242"/>
        <v>May</v>
      </c>
      <c r="E1023" s="9" t="str">
        <f t="shared" si="243"/>
        <v>May-29</v>
      </c>
      <c r="F1023" s="9" t="str">
        <f t="shared" si="244"/>
        <v>Q2</v>
      </c>
      <c r="G1023" s="9">
        <f t="shared" si="245"/>
        <v>18</v>
      </c>
      <c r="H1023" s="9">
        <f t="shared" si="246"/>
        <v>5</v>
      </c>
      <c r="I1023" s="9" t="str">
        <f t="shared" si="247"/>
        <v>Friday</v>
      </c>
      <c r="J1023" s="9" t="str">
        <f t="shared" si="248"/>
        <v>No</v>
      </c>
      <c r="K1023" s="5" t="str">
        <f>IF(COUNTIF(Bank_Holidays!A:A,A1023)&gt;0,"Yes","No")</f>
        <v>No</v>
      </c>
      <c r="L1023" t="str">
        <f t="shared" si="249"/>
        <v>Yes</v>
      </c>
      <c r="M1023">
        <f t="shared" si="250"/>
        <v>20</v>
      </c>
      <c r="N1023" s="5" t="str">
        <f t="shared" si="251"/>
        <v>No</v>
      </c>
      <c r="O1023" t="str">
        <f>IF(A1023=WORKDAY(EOMONTH(A1023,0)+1,-1,Bank_Holidays!$A$2:$A$25),"Yes","No")</f>
        <v>No</v>
      </c>
      <c r="P1023" t="str">
        <f t="shared" si="252"/>
        <v>No</v>
      </c>
      <c r="Q1023" t="str">
        <f t="shared" si="253"/>
        <v>No</v>
      </c>
      <c r="R1023" s="5">
        <f t="shared" si="255"/>
        <v>3</v>
      </c>
    </row>
    <row r="1024" spans="1:18">
      <c r="A1024" s="25">
        <f t="shared" si="254"/>
        <v>47257</v>
      </c>
      <c r="B1024">
        <f t="shared" si="240"/>
        <v>2029</v>
      </c>
      <c r="C1024" s="9">
        <f t="shared" si="241"/>
        <v>5</v>
      </c>
      <c r="D1024" s="9" t="str">
        <f t="shared" si="242"/>
        <v>May</v>
      </c>
      <c r="E1024" s="9" t="str">
        <f t="shared" si="243"/>
        <v>May-29</v>
      </c>
      <c r="F1024" s="9" t="str">
        <f t="shared" si="244"/>
        <v>Q2</v>
      </c>
      <c r="G1024" s="9">
        <f t="shared" si="245"/>
        <v>19</v>
      </c>
      <c r="H1024" s="9">
        <f t="shared" si="246"/>
        <v>6</v>
      </c>
      <c r="I1024" s="9" t="str">
        <f t="shared" si="247"/>
        <v>Saturday</v>
      </c>
      <c r="J1024" s="9" t="str">
        <f t="shared" si="248"/>
        <v>Yes</v>
      </c>
      <c r="K1024" s="5" t="str">
        <f>IF(COUNTIF(Bank_Holidays!A:A,A1024)&gt;0,"Yes","No")</f>
        <v>No</v>
      </c>
      <c r="L1024" t="str">
        <f t="shared" si="249"/>
        <v>No</v>
      </c>
      <c r="M1024">
        <f t="shared" si="250"/>
        <v>20</v>
      </c>
      <c r="N1024" s="5" t="str">
        <f t="shared" si="251"/>
        <v>No</v>
      </c>
      <c r="O1024" t="str">
        <f>IF(A1024=WORKDAY(EOMONTH(A1024,0)+1,-1,Bank_Holidays!$A$2:$A$25),"Yes","No")</f>
        <v>No</v>
      </c>
      <c r="P1024" t="str">
        <f t="shared" si="252"/>
        <v>No</v>
      </c>
      <c r="Q1024" t="str">
        <f t="shared" si="253"/>
        <v>No</v>
      </c>
      <c r="R1024" s="5">
        <f t="shared" si="255"/>
        <v>0</v>
      </c>
    </row>
    <row r="1025" spans="1:18">
      <c r="A1025" s="25">
        <f t="shared" si="254"/>
        <v>47258</v>
      </c>
      <c r="B1025">
        <f t="shared" si="240"/>
        <v>2029</v>
      </c>
      <c r="C1025" s="9">
        <f t="shared" si="241"/>
        <v>5</v>
      </c>
      <c r="D1025" s="9" t="str">
        <f t="shared" si="242"/>
        <v>May</v>
      </c>
      <c r="E1025" s="9" t="str">
        <f t="shared" si="243"/>
        <v>May-29</v>
      </c>
      <c r="F1025" s="9" t="str">
        <f t="shared" si="244"/>
        <v>Q2</v>
      </c>
      <c r="G1025" s="9">
        <f t="shared" si="245"/>
        <v>20</v>
      </c>
      <c r="H1025" s="9">
        <f t="shared" si="246"/>
        <v>7</v>
      </c>
      <c r="I1025" s="9" t="str">
        <f t="shared" si="247"/>
        <v>Sunday</v>
      </c>
      <c r="J1025" s="9" t="str">
        <f t="shared" si="248"/>
        <v>Yes</v>
      </c>
      <c r="K1025" s="5" t="str">
        <f>IF(COUNTIF(Bank_Holidays!A:A,A1025)&gt;0,"Yes","No")</f>
        <v>No</v>
      </c>
      <c r="L1025" t="str">
        <f t="shared" si="249"/>
        <v>No</v>
      </c>
      <c r="M1025">
        <f t="shared" si="250"/>
        <v>20</v>
      </c>
      <c r="N1025" s="5" t="str">
        <f t="shared" si="251"/>
        <v>No</v>
      </c>
      <c r="O1025" t="str">
        <f>IF(A1025=WORKDAY(EOMONTH(A1025,0)+1,-1,Bank_Holidays!$A$2:$A$25),"Yes","No")</f>
        <v>No</v>
      </c>
      <c r="P1025" t="str">
        <f t="shared" si="252"/>
        <v>No</v>
      </c>
      <c r="Q1025" t="str">
        <f t="shared" si="253"/>
        <v>No</v>
      </c>
      <c r="R1025" s="5">
        <f t="shared" si="255"/>
        <v>0</v>
      </c>
    </row>
    <row r="1026" spans="1:18">
      <c r="A1026" s="25">
        <f t="shared" si="254"/>
        <v>47259</v>
      </c>
      <c r="B1026">
        <f t="shared" ref="B1026:B1089" si="256">YEAR(A1026)</f>
        <v>2029</v>
      </c>
      <c r="C1026" s="9">
        <f t="shared" ref="C1026:C1089" si="257">MONTH(A1026)</f>
        <v>5</v>
      </c>
      <c r="D1026" s="9" t="str">
        <f t="shared" ref="D1026:D1089" si="258">TEXT(A1026,"mmmm")</f>
        <v>May</v>
      </c>
      <c r="E1026" s="9" t="str">
        <f t="shared" ref="E1026:E1089" si="259">TEXT(A1026,"mmm-yy")</f>
        <v>May-29</v>
      </c>
      <c r="F1026" s="9" t="str">
        <f t="shared" ref="F1026:F1089" si="260">"Q"&amp;ROUNDUP(MONTH($A1026)/3,0)</f>
        <v>Q2</v>
      </c>
      <c r="G1026" s="9">
        <f t="shared" ref="G1026:G1089" si="261">DAY($A1026)</f>
        <v>21</v>
      </c>
      <c r="H1026" s="9">
        <f t="shared" ref="H1026:H1089" si="262">WEEKDAY($A1026,2)</f>
        <v>1</v>
      </c>
      <c r="I1026" s="9" t="str">
        <f t="shared" ref="I1026:I1089" si="263">TEXT($A1026,"dddd")</f>
        <v>Monday</v>
      </c>
      <c r="J1026" s="9" t="str">
        <f t="shared" ref="J1026:J1089" si="264">IF($H1026&gt;5,"Yes","No")</f>
        <v>No</v>
      </c>
      <c r="K1026" s="5" t="str">
        <f>IF(COUNTIF(Bank_Holidays!A:A,A1026)&gt;0,"Yes","No")</f>
        <v>No</v>
      </c>
      <c r="L1026" t="str">
        <f t="shared" ref="L1026:L1089" si="265">IF(AND(J1026="No",K1026="No"),"Yes","No")</f>
        <v>Yes</v>
      </c>
      <c r="M1026">
        <f t="shared" ref="M1026:M1089" si="266">_xlfn.ISOWEEKNUM(A1026)</f>
        <v>21</v>
      </c>
      <c r="N1026" s="5" t="str">
        <f t="shared" ref="N1026:N1089" si="267">IF(A1026=EOMONTH(A1026,0),"Yes","No")</f>
        <v>No</v>
      </c>
      <c r="O1026" t="str">
        <f>IF(A1026=WORKDAY(EOMONTH(A1026,0)+1,-1,Bank_Holidays!$A$2:$A$25),"Yes","No")</f>
        <v>No</v>
      </c>
      <c r="P1026" t="str">
        <f t="shared" ref="P1026:P1089" si="268">IF(
AND(
TEXT(A1026,"dddd")="Friday",
MONTH(A1026+7)&lt;&gt;MONTH(A1026)
),
"Yes",
"No"
)</f>
        <v>No</v>
      </c>
      <c r="Q1026" t="str">
        <f t="shared" ref="Q1026:Q1089" si="269">IF(
AND(
TEXT(A1026,"dddd")="Thursday",
MONTH(A1026+7)&lt;&gt;MONTH(A1026)
),
"Yes",
"No"
)</f>
        <v>No</v>
      </c>
      <c r="R1026" s="5">
        <f t="shared" si="255"/>
        <v>1</v>
      </c>
    </row>
    <row r="1027" spans="1:18">
      <c r="A1027" s="25">
        <f t="shared" ref="A1027:A1090" si="270">A1026+1</f>
        <v>47260</v>
      </c>
      <c r="B1027">
        <f t="shared" si="256"/>
        <v>2029</v>
      </c>
      <c r="C1027" s="9">
        <f t="shared" si="257"/>
        <v>5</v>
      </c>
      <c r="D1027" s="9" t="str">
        <f t="shared" si="258"/>
        <v>May</v>
      </c>
      <c r="E1027" s="9" t="str">
        <f t="shared" si="259"/>
        <v>May-29</v>
      </c>
      <c r="F1027" s="9" t="str">
        <f t="shared" si="260"/>
        <v>Q2</v>
      </c>
      <c r="G1027" s="9">
        <f t="shared" si="261"/>
        <v>22</v>
      </c>
      <c r="H1027" s="9">
        <f t="shared" si="262"/>
        <v>2</v>
      </c>
      <c r="I1027" s="9" t="str">
        <f t="shared" si="263"/>
        <v>Tuesday</v>
      </c>
      <c r="J1027" s="9" t="str">
        <f t="shared" si="264"/>
        <v>No</v>
      </c>
      <c r="K1027" s="5" t="str">
        <f>IF(COUNTIF(Bank_Holidays!A:A,A1027)&gt;0,"Yes","No")</f>
        <v>No</v>
      </c>
      <c r="L1027" t="str">
        <f t="shared" si="265"/>
        <v>Yes</v>
      </c>
      <c r="M1027">
        <f t="shared" si="266"/>
        <v>21</v>
      </c>
      <c r="N1027" s="5" t="str">
        <f t="shared" si="267"/>
        <v>No</v>
      </c>
      <c r="O1027" t="str">
        <f>IF(A1027=WORKDAY(EOMONTH(A1027,0)+1,-1,Bank_Holidays!$A$2:$A$25),"Yes","No")</f>
        <v>No</v>
      </c>
      <c r="P1027" t="str">
        <f t="shared" si="268"/>
        <v>No</v>
      </c>
      <c r="Q1027" t="str">
        <f t="shared" si="269"/>
        <v>No</v>
      </c>
      <c r="R1027" s="5">
        <f t="shared" ref="R1027:R1090" si="271">IF(L1027="yes",1)+IF(L1027="no",0,IF(AND(L1032="no",L1031="no",L1030="no",L1029="no",L1028="no"),5,IF(AND(L1031="no",L1030="no",L1029="no",L1028="no"),4,IF(AND(L1030="no",L1029="no",L1028="no"),3,IF(AND(L1029="no",L1028="no"),2,IF(L1028="no",1))))))</f>
        <v>1</v>
      </c>
    </row>
    <row r="1028" spans="1:18">
      <c r="A1028" s="25">
        <f t="shared" si="270"/>
        <v>47261</v>
      </c>
      <c r="B1028">
        <f t="shared" si="256"/>
        <v>2029</v>
      </c>
      <c r="C1028" s="9">
        <f t="shared" si="257"/>
        <v>5</v>
      </c>
      <c r="D1028" s="9" t="str">
        <f t="shared" si="258"/>
        <v>May</v>
      </c>
      <c r="E1028" s="9" t="str">
        <f t="shared" si="259"/>
        <v>May-29</v>
      </c>
      <c r="F1028" s="9" t="str">
        <f t="shared" si="260"/>
        <v>Q2</v>
      </c>
      <c r="G1028" s="9">
        <f t="shared" si="261"/>
        <v>23</v>
      </c>
      <c r="H1028" s="9">
        <f t="shared" si="262"/>
        <v>3</v>
      </c>
      <c r="I1028" s="9" t="str">
        <f t="shared" si="263"/>
        <v>Wednesday</v>
      </c>
      <c r="J1028" s="9" t="str">
        <f t="shared" si="264"/>
        <v>No</v>
      </c>
      <c r="K1028" s="5" t="str">
        <f>IF(COUNTIF(Bank_Holidays!A:A,A1028)&gt;0,"Yes","No")</f>
        <v>No</v>
      </c>
      <c r="L1028" t="str">
        <f t="shared" si="265"/>
        <v>Yes</v>
      </c>
      <c r="M1028">
        <f t="shared" si="266"/>
        <v>21</v>
      </c>
      <c r="N1028" s="5" t="str">
        <f t="shared" si="267"/>
        <v>No</v>
      </c>
      <c r="O1028" t="str">
        <f>IF(A1028=WORKDAY(EOMONTH(A1028,0)+1,-1,Bank_Holidays!$A$2:$A$25),"Yes","No")</f>
        <v>No</v>
      </c>
      <c r="P1028" t="str">
        <f t="shared" si="268"/>
        <v>No</v>
      </c>
      <c r="Q1028" t="str">
        <f t="shared" si="269"/>
        <v>No</v>
      </c>
      <c r="R1028" s="5">
        <f t="shared" si="271"/>
        <v>1</v>
      </c>
    </row>
    <row r="1029" spans="1:18">
      <c r="A1029" s="25">
        <f t="shared" si="270"/>
        <v>47262</v>
      </c>
      <c r="B1029">
        <f t="shared" si="256"/>
        <v>2029</v>
      </c>
      <c r="C1029" s="9">
        <f t="shared" si="257"/>
        <v>5</v>
      </c>
      <c r="D1029" s="9" t="str">
        <f t="shared" si="258"/>
        <v>May</v>
      </c>
      <c r="E1029" s="9" t="str">
        <f t="shared" si="259"/>
        <v>May-29</v>
      </c>
      <c r="F1029" s="9" t="str">
        <f t="shared" si="260"/>
        <v>Q2</v>
      </c>
      <c r="G1029" s="9">
        <f t="shared" si="261"/>
        <v>24</v>
      </c>
      <c r="H1029" s="9">
        <f t="shared" si="262"/>
        <v>4</v>
      </c>
      <c r="I1029" s="9" t="str">
        <f t="shared" si="263"/>
        <v>Thursday</v>
      </c>
      <c r="J1029" s="9" t="str">
        <f t="shared" si="264"/>
        <v>No</v>
      </c>
      <c r="K1029" s="5" t="str">
        <f>IF(COUNTIF(Bank_Holidays!A:A,A1029)&gt;0,"Yes","No")</f>
        <v>No</v>
      </c>
      <c r="L1029" t="str">
        <f t="shared" si="265"/>
        <v>Yes</v>
      </c>
      <c r="M1029">
        <f t="shared" si="266"/>
        <v>21</v>
      </c>
      <c r="N1029" s="5" t="str">
        <f t="shared" si="267"/>
        <v>No</v>
      </c>
      <c r="O1029" t="str">
        <f>IF(A1029=WORKDAY(EOMONTH(A1029,0)+1,-1,Bank_Holidays!$A$2:$A$25),"Yes","No")</f>
        <v>No</v>
      </c>
      <c r="P1029" t="str">
        <f t="shared" si="268"/>
        <v>No</v>
      </c>
      <c r="Q1029" t="str">
        <f t="shared" si="269"/>
        <v>No</v>
      </c>
      <c r="R1029" s="5">
        <f t="shared" si="271"/>
        <v>1</v>
      </c>
    </row>
    <row r="1030" spans="1:18">
      <c r="A1030" s="25">
        <f t="shared" si="270"/>
        <v>47263</v>
      </c>
      <c r="B1030">
        <f t="shared" si="256"/>
        <v>2029</v>
      </c>
      <c r="C1030" s="9">
        <f t="shared" si="257"/>
        <v>5</v>
      </c>
      <c r="D1030" s="9" t="str">
        <f t="shared" si="258"/>
        <v>May</v>
      </c>
      <c r="E1030" s="9" t="str">
        <f t="shared" si="259"/>
        <v>May-29</v>
      </c>
      <c r="F1030" s="9" t="str">
        <f t="shared" si="260"/>
        <v>Q2</v>
      </c>
      <c r="G1030" s="9">
        <f t="shared" si="261"/>
        <v>25</v>
      </c>
      <c r="H1030" s="9">
        <f t="shared" si="262"/>
        <v>5</v>
      </c>
      <c r="I1030" s="9" t="str">
        <f t="shared" si="263"/>
        <v>Friday</v>
      </c>
      <c r="J1030" s="9" t="str">
        <f t="shared" si="264"/>
        <v>No</v>
      </c>
      <c r="K1030" s="5" t="str">
        <f>IF(COUNTIF(Bank_Holidays!A:A,A1030)&gt;0,"Yes","No")</f>
        <v>No</v>
      </c>
      <c r="L1030" t="str">
        <f t="shared" si="265"/>
        <v>Yes</v>
      </c>
      <c r="M1030">
        <f t="shared" si="266"/>
        <v>21</v>
      </c>
      <c r="N1030" s="5" t="str">
        <f t="shared" si="267"/>
        <v>No</v>
      </c>
      <c r="O1030" t="str">
        <f>IF(A1030=WORKDAY(EOMONTH(A1030,0)+1,-1,Bank_Holidays!$A$2:$A$25),"Yes","No")</f>
        <v>No</v>
      </c>
      <c r="P1030" t="str">
        <f t="shared" si="268"/>
        <v>Yes</v>
      </c>
      <c r="Q1030" t="str">
        <f t="shared" si="269"/>
        <v>No</v>
      </c>
      <c r="R1030" s="5">
        <f t="shared" si="271"/>
        <v>3</v>
      </c>
    </row>
    <row r="1031" spans="1:18">
      <c r="A1031" s="25">
        <f t="shared" si="270"/>
        <v>47264</v>
      </c>
      <c r="B1031">
        <f t="shared" si="256"/>
        <v>2029</v>
      </c>
      <c r="C1031" s="9">
        <f t="shared" si="257"/>
        <v>5</v>
      </c>
      <c r="D1031" s="9" t="str">
        <f t="shared" si="258"/>
        <v>May</v>
      </c>
      <c r="E1031" s="9" t="str">
        <f t="shared" si="259"/>
        <v>May-29</v>
      </c>
      <c r="F1031" s="9" t="str">
        <f t="shared" si="260"/>
        <v>Q2</v>
      </c>
      <c r="G1031" s="9">
        <f t="shared" si="261"/>
        <v>26</v>
      </c>
      <c r="H1031" s="9">
        <f t="shared" si="262"/>
        <v>6</v>
      </c>
      <c r="I1031" s="9" t="str">
        <f t="shared" si="263"/>
        <v>Saturday</v>
      </c>
      <c r="J1031" s="9" t="str">
        <f t="shared" si="264"/>
        <v>Yes</v>
      </c>
      <c r="K1031" s="5" t="str">
        <f>IF(COUNTIF(Bank_Holidays!A:A,A1031)&gt;0,"Yes","No")</f>
        <v>No</v>
      </c>
      <c r="L1031" t="str">
        <f t="shared" si="265"/>
        <v>No</v>
      </c>
      <c r="M1031">
        <f t="shared" si="266"/>
        <v>21</v>
      </c>
      <c r="N1031" s="5" t="str">
        <f t="shared" si="267"/>
        <v>No</v>
      </c>
      <c r="O1031" t="str">
        <f>IF(A1031=WORKDAY(EOMONTH(A1031,0)+1,-1,Bank_Holidays!$A$2:$A$25),"Yes","No")</f>
        <v>No</v>
      </c>
      <c r="P1031" t="str">
        <f t="shared" si="268"/>
        <v>No</v>
      </c>
      <c r="Q1031" t="str">
        <f t="shared" si="269"/>
        <v>No</v>
      </c>
      <c r="R1031" s="5">
        <f t="shared" si="271"/>
        <v>0</v>
      </c>
    </row>
    <row r="1032" spans="1:18">
      <c r="A1032" s="25">
        <f t="shared" si="270"/>
        <v>47265</v>
      </c>
      <c r="B1032">
        <f t="shared" si="256"/>
        <v>2029</v>
      </c>
      <c r="C1032" s="9">
        <f t="shared" si="257"/>
        <v>5</v>
      </c>
      <c r="D1032" s="9" t="str">
        <f t="shared" si="258"/>
        <v>May</v>
      </c>
      <c r="E1032" s="9" t="str">
        <f t="shared" si="259"/>
        <v>May-29</v>
      </c>
      <c r="F1032" s="9" t="str">
        <f t="shared" si="260"/>
        <v>Q2</v>
      </c>
      <c r="G1032" s="9">
        <f t="shared" si="261"/>
        <v>27</v>
      </c>
      <c r="H1032" s="9">
        <f t="shared" si="262"/>
        <v>7</v>
      </c>
      <c r="I1032" s="9" t="str">
        <f t="shared" si="263"/>
        <v>Sunday</v>
      </c>
      <c r="J1032" s="9" t="str">
        <f t="shared" si="264"/>
        <v>Yes</v>
      </c>
      <c r="K1032" s="5" t="str">
        <f>IF(COUNTIF(Bank_Holidays!A:A,A1032)&gt;0,"Yes","No")</f>
        <v>No</v>
      </c>
      <c r="L1032" t="str">
        <f t="shared" si="265"/>
        <v>No</v>
      </c>
      <c r="M1032">
        <f t="shared" si="266"/>
        <v>21</v>
      </c>
      <c r="N1032" s="5" t="str">
        <f t="shared" si="267"/>
        <v>No</v>
      </c>
      <c r="O1032" t="str">
        <f>IF(A1032=WORKDAY(EOMONTH(A1032,0)+1,-1,Bank_Holidays!$A$2:$A$25),"Yes","No")</f>
        <v>No</v>
      </c>
      <c r="P1032" t="str">
        <f t="shared" si="268"/>
        <v>No</v>
      </c>
      <c r="Q1032" t="str">
        <f t="shared" si="269"/>
        <v>No</v>
      </c>
      <c r="R1032" s="5">
        <f t="shared" si="271"/>
        <v>0</v>
      </c>
    </row>
    <row r="1033" spans="1:18">
      <c r="A1033" s="25">
        <f t="shared" si="270"/>
        <v>47266</v>
      </c>
      <c r="B1033">
        <f t="shared" si="256"/>
        <v>2029</v>
      </c>
      <c r="C1033" s="9">
        <f t="shared" si="257"/>
        <v>5</v>
      </c>
      <c r="D1033" s="9" t="str">
        <f t="shared" si="258"/>
        <v>May</v>
      </c>
      <c r="E1033" s="9" t="str">
        <f t="shared" si="259"/>
        <v>May-29</v>
      </c>
      <c r="F1033" s="9" t="str">
        <f t="shared" si="260"/>
        <v>Q2</v>
      </c>
      <c r="G1033" s="9">
        <f t="shared" si="261"/>
        <v>28</v>
      </c>
      <c r="H1033" s="9">
        <f t="shared" si="262"/>
        <v>1</v>
      </c>
      <c r="I1033" s="9" t="str">
        <f t="shared" si="263"/>
        <v>Monday</v>
      </c>
      <c r="J1033" s="9" t="str">
        <f t="shared" si="264"/>
        <v>No</v>
      </c>
      <c r="K1033" s="5" t="str">
        <f>IF(COUNTIF(Bank_Holidays!A:A,A1033)&gt;0,"Yes","No")</f>
        <v>No</v>
      </c>
      <c r="L1033" t="str">
        <f t="shared" si="265"/>
        <v>Yes</v>
      </c>
      <c r="M1033">
        <f t="shared" si="266"/>
        <v>22</v>
      </c>
      <c r="N1033" s="5" t="str">
        <f t="shared" si="267"/>
        <v>No</v>
      </c>
      <c r="O1033" t="str">
        <f>IF(A1033=WORKDAY(EOMONTH(A1033,0)+1,-1,Bank_Holidays!$A$2:$A$25),"Yes","No")</f>
        <v>No</v>
      </c>
      <c r="P1033" t="str">
        <f t="shared" si="268"/>
        <v>No</v>
      </c>
      <c r="Q1033" t="str">
        <f t="shared" si="269"/>
        <v>No</v>
      </c>
      <c r="R1033" s="5">
        <f t="shared" si="271"/>
        <v>1</v>
      </c>
    </row>
    <row r="1034" spans="1:18">
      <c r="A1034" s="25">
        <f t="shared" si="270"/>
        <v>47267</v>
      </c>
      <c r="B1034">
        <f t="shared" si="256"/>
        <v>2029</v>
      </c>
      <c r="C1034" s="9">
        <f t="shared" si="257"/>
        <v>5</v>
      </c>
      <c r="D1034" s="9" t="str">
        <f t="shared" si="258"/>
        <v>May</v>
      </c>
      <c r="E1034" s="9" t="str">
        <f t="shared" si="259"/>
        <v>May-29</v>
      </c>
      <c r="F1034" s="9" t="str">
        <f t="shared" si="260"/>
        <v>Q2</v>
      </c>
      <c r="G1034" s="9">
        <f t="shared" si="261"/>
        <v>29</v>
      </c>
      <c r="H1034" s="9">
        <f t="shared" si="262"/>
        <v>2</v>
      </c>
      <c r="I1034" s="9" t="str">
        <f t="shared" si="263"/>
        <v>Tuesday</v>
      </c>
      <c r="J1034" s="9" t="str">
        <f t="shared" si="264"/>
        <v>No</v>
      </c>
      <c r="K1034" s="5" t="str">
        <f>IF(COUNTIF(Bank_Holidays!A:A,A1034)&gt;0,"Yes","No")</f>
        <v>No</v>
      </c>
      <c r="L1034" t="str">
        <f t="shared" si="265"/>
        <v>Yes</v>
      </c>
      <c r="M1034">
        <f t="shared" si="266"/>
        <v>22</v>
      </c>
      <c r="N1034" s="5" t="str">
        <f t="shared" si="267"/>
        <v>No</v>
      </c>
      <c r="O1034" t="str">
        <f>IF(A1034=WORKDAY(EOMONTH(A1034,0)+1,-1,Bank_Holidays!$A$2:$A$25),"Yes","No")</f>
        <v>No</v>
      </c>
      <c r="P1034" t="str">
        <f t="shared" si="268"/>
        <v>No</v>
      </c>
      <c r="Q1034" t="str">
        <f t="shared" si="269"/>
        <v>No</v>
      </c>
      <c r="R1034" s="5">
        <f t="shared" si="271"/>
        <v>1</v>
      </c>
    </row>
    <row r="1035" spans="1:18">
      <c r="A1035" s="25">
        <f t="shared" si="270"/>
        <v>47268</v>
      </c>
      <c r="B1035">
        <f t="shared" si="256"/>
        <v>2029</v>
      </c>
      <c r="C1035" s="9">
        <f t="shared" si="257"/>
        <v>5</v>
      </c>
      <c r="D1035" s="9" t="str">
        <f t="shared" si="258"/>
        <v>May</v>
      </c>
      <c r="E1035" s="9" t="str">
        <f t="shared" si="259"/>
        <v>May-29</v>
      </c>
      <c r="F1035" s="9" t="str">
        <f t="shared" si="260"/>
        <v>Q2</v>
      </c>
      <c r="G1035" s="9">
        <f t="shared" si="261"/>
        <v>30</v>
      </c>
      <c r="H1035" s="9">
        <f t="shared" si="262"/>
        <v>3</v>
      </c>
      <c r="I1035" s="9" t="str">
        <f t="shared" si="263"/>
        <v>Wednesday</v>
      </c>
      <c r="J1035" s="9" t="str">
        <f t="shared" si="264"/>
        <v>No</v>
      </c>
      <c r="K1035" s="5" t="str">
        <f>IF(COUNTIF(Bank_Holidays!A:A,A1035)&gt;0,"Yes","No")</f>
        <v>No</v>
      </c>
      <c r="L1035" t="str">
        <f t="shared" si="265"/>
        <v>Yes</v>
      </c>
      <c r="M1035">
        <f t="shared" si="266"/>
        <v>22</v>
      </c>
      <c r="N1035" s="5" t="str">
        <f t="shared" si="267"/>
        <v>No</v>
      </c>
      <c r="O1035" t="str">
        <f>IF(A1035=WORKDAY(EOMONTH(A1035,0)+1,-1,Bank_Holidays!$A$2:$A$25),"Yes","No")</f>
        <v>No</v>
      </c>
      <c r="P1035" t="str">
        <f t="shared" si="268"/>
        <v>No</v>
      </c>
      <c r="Q1035" t="str">
        <f t="shared" si="269"/>
        <v>No</v>
      </c>
      <c r="R1035" s="5">
        <f t="shared" si="271"/>
        <v>1</v>
      </c>
    </row>
    <row r="1036" spans="1:18">
      <c r="A1036" s="25">
        <f t="shared" si="270"/>
        <v>47269</v>
      </c>
      <c r="B1036">
        <f t="shared" si="256"/>
        <v>2029</v>
      </c>
      <c r="C1036" s="9">
        <f t="shared" si="257"/>
        <v>5</v>
      </c>
      <c r="D1036" s="9" t="str">
        <f t="shared" si="258"/>
        <v>May</v>
      </c>
      <c r="E1036" s="9" t="str">
        <f t="shared" si="259"/>
        <v>May-29</v>
      </c>
      <c r="F1036" s="9" t="str">
        <f t="shared" si="260"/>
        <v>Q2</v>
      </c>
      <c r="G1036" s="9">
        <f t="shared" si="261"/>
        <v>31</v>
      </c>
      <c r="H1036" s="9">
        <f t="shared" si="262"/>
        <v>4</v>
      </c>
      <c r="I1036" s="9" t="str">
        <f t="shared" si="263"/>
        <v>Thursday</v>
      </c>
      <c r="J1036" s="9" t="str">
        <f t="shared" si="264"/>
        <v>No</v>
      </c>
      <c r="K1036" s="5" t="str">
        <f>IF(COUNTIF(Bank_Holidays!A:A,A1036)&gt;0,"Yes","No")</f>
        <v>No</v>
      </c>
      <c r="L1036" t="str">
        <f t="shared" si="265"/>
        <v>Yes</v>
      </c>
      <c r="M1036">
        <f t="shared" si="266"/>
        <v>22</v>
      </c>
      <c r="N1036" s="5" t="str">
        <f t="shared" si="267"/>
        <v>Yes</v>
      </c>
      <c r="O1036" t="str">
        <f>IF(A1036=WORKDAY(EOMONTH(A1036,0)+1,-1,Bank_Holidays!$A$2:$A$25),"Yes","No")</f>
        <v>Yes</v>
      </c>
      <c r="P1036" t="str">
        <f t="shared" si="268"/>
        <v>No</v>
      </c>
      <c r="Q1036" t="str">
        <f t="shared" si="269"/>
        <v>Yes</v>
      </c>
      <c r="R1036" s="5">
        <f t="shared" si="271"/>
        <v>1</v>
      </c>
    </row>
    <row r="1037" spans="1:18">
      <c r="A1037" s="25">
        <f t="shared" si="270"/>
        <v>47270</v>
      </c>
      <c r="B1037">
        <f t="shared" si="256"/>
        <v>2029</v>
      </c>
      <c r="C1037" s="9">
        <f t="shared" si="257"/>
        <v>6</v>
      </c>
      <c r="D1037" s="9" t="str">
        <f t="shared" si="258"/>
        <v>June</v>
      </c>
      <c r="E1037" s="9" t="str">
        <f t="shared" si="259"/>
        <v>Jun-29</v>
      </c>
      <c r="F1037" s="9" t="str">
        <f t="shared" si="260"/>
        <v>Q2</v>
      </c>
      <c r="G1037" s="9">
        <f t="shared" si="261"/>
        <v>1</v>
      </c>
      <c r="H1037" s="9">
        <f t="shared" si="262"/>
        <v>5</v>
      </c>
      <c r="I1037" s="9" t="str">
        <f t="shared" si="263"/>
        <v>Friday</v>
      </c>
      <c r="J1037" s="9" t="str">
        <f t="shared" si="264"/>
        <v>No</v>
      </c>
      <c r="K1037" s="5" t="str">
        <f>IF(COUNTIF(Bank_Holidays!A:A,A1037)&gt;0,"Yes","No")</f>
        <v>No</v>
      </c>
      <c r="L1037" t="str">
        <f t="shared" si="265"/>
        <v>Yes</v>
      </c>
      <c r="M1037">
        <f t="shared" si="266"/>
        <v>22</v>
      </c>
      <c r="N1037" s="5" t="str">
        <f t="shared" si="267"/>
        <v>No</v>
      </c>
      <c r="O1037" t="str">
        <f>IF(A1037=WORKDAY(EOMONTH(A1037,0)+1,-1,Bank_Holidays!$A$2:$A$25),"Yes","No")</f>
        <v>No</v>
      </c>
      <c r="P1037" t="str">
        <f t="shared" si="268"/>
        <v>No</v>
      </c>
      <c r="Q1037" t="str">
        <f t="shared" si="269"/>
        <v>No</v>
      </c>
      <c r="R1037" s="5">
        <f t="shared" si="271"/>
        <v>3</v>
      </c>
    </row>
    <row r="1038" spans="1:18">
      <c r="A1038" s="25">
        <f t="shared" si="270"/>
        <v>47271</v>
      </c>
      <c r="B1038">
        <f t="shared" si="256"/>
        <v>2029</v>
      </c>
      <c r="C1038" s="9">
        <f t="shared" si="257"/>
        <v>6</v>
      </c>
      <c r="D1038" s="9" t="str">
        <f t="shared" si="258"/>
        <v>June</v>
      </c>
      <c r="E1038" s="9" t="str">
        <f t="shared" si="259"/>
        <v>Jun-29</v>
      </c>
      <c r="F1038" s="9" t="str">
        <f t="shared" si="260"/>
        <v>Q2</v>
      </c>
      <c r="G1038" s="9">
        <f t="shared" si="261"/>
        <v>2</v>
      </c>
      <c r="H1038" s="9">
        <f t="shared" si="262"/>
        <v>6</v>
      </c>
      <c r="I1038" s="9" t="str">
        <f t="shared" si="263"/>
        <v>Saturday</v>
      </c>
      <c r="J1038" s="9" t="str">
        <f t="shared" si="264"/>
        <v>Yes</v>
      </c>
      <c r="K1038" s="5" t="str">
        <f>IF(COUNTIF(Bank_Holidays!A:A,A1038)&gt;0,"Yes","No")</f>
        <v>No</v>
      </c>
      <c r="L1038" t="str">
        <f t="shared" si="265"/>
        <v>No</v>
      </c>
      <c r="M1038">
        <f t="shared" si="266"/>
        <v>22</v>
      </c>
      <c r="N1038" s="5" t="str">
        <f t="shared" si="267"/>
        <v>No</v>
      </c>
      <c r="O1038" t="str">
        <f>IF(A1038=WORKDAY(EOMONTH(A1038,0)+1,-1,Bank_Holidays!$A$2:$A$25),"Yes","No")</f>
        <v>No</v>
      </c>
      <c r="P1038" t="str">
        <f t="shared" si="268"/>
        <v>No</v>
      </c>
      <c r="Q1038" t="str">
        <f t="shared" si="269"/>
        <v>No</v>
      </c>
      <c r="R1038" s="5">
        <f t="shared" si="271"/>
        <v>0</v>
      </c>
    </row>
    <row r="1039" spans="1:18">
      <c r="A1039" s="25">
        <f t="shared" si="270"/>
        <v>47272</v>
      </c>
      <c r="B1039">
        <f t="shared" si="256"/>
        <v>2029</v>
      </c>
      <c r="C1039" s="9">
        <f t="shared" si="257"/>
        <v>6</v>
      </c>
      <c r="D1039" s="9" t="str">
        <f t="shared" si="258"/>
        <v>June</v>
      </c>
      <c r="E1039" s="9" t="str">
        <f t="shared" si="259"/>
        <v>Jun-29</v>
      </c>
      <c r="F1039" s="9" t="str">
        <f t="shared" si="260"/>
        <v>Q2</v>
      </c>
      <c r="G1039" s="9">
        <f t="shared" si="261"/>
        <v>3</v>
      </c>
      <c r="H1039" s="9">
        <f t="shared" si="262"/>
        <v>7</v>
      </c>
      <c r="I1039" s="9" t="str">
        <f t="shared" si="263"/>
        <v>Sunday</v>
      </c>
      <c r="J1039" s="9" t="str">
        <f t="shared" si="264"/>
        <v>Yes</v>
      </c>
      <c r="K1039" s="5" t="str">
        <f>IF(COUNTIF(Bank_Holidays!A:A,A1039)&gt;0,"Yes","No")</f>
        <v>No</v>
      </c>
      <c r="L1039" t="str">
        <f t="shared" si="265"/>
        <v>No</v>
      </c>
      <c r="M1039">
        <f t="shared" si="266"/>
        <v>22</v>
      </c>
      <c r="N1039" s="5" t="str">
        <f t="shared" si="267"/>
        <v>No</v>
      </c>
      <c r="O1039" t="str">
        <f>IF(A1039=WORKDAY(EOMONTH(A1039,0)+1,-1,Bank_Holidays!$A$2:$A$25),"Yes","No")</f>
        <v>No</v>
      </c>
      <c r="P1039" t="str">
        <f t="shared" si="268"/>
        <v>No</v>
      </c>
      <c r="Q1039" t="str">
        <f t="shared" si="269"/>
        <v>No</v>
      </c>
      <c r="R1039" s="5">
        <f t="shared" si="271"/>
        <v>0</v>
      </c>
    </row>
    <row r="1040" spans="1:18">
      <c r="A1040" s="25">
        <f t="shared" si="270"/>
        <v>47273</v>
      </c>
      <c r="B1040">
        <f t="shared" si="256"/>
        <v>2029</v>
      </c>
      <c r="C1040" s="9">
        <f t="shared" si="257"/>
        <v>6</v>
      </c>
      <c r="D1040" s="9" t="str">
        <f t="shared" si="258"/>
        <v>June</v>
      </c>
      <c r="E1040" s="9" t="str">
        <f t="shared" si="259"/>
        <v>Jun-29</v>
      </c>
      <c r="F1040" s="9" t="str">
        <f t="shared" si="260"/>
        <v>Q2</v>
      </c>
      <c r="G1040" s="9">
        <f t="shared" si="261"/>
        <v>4</v>
      </c>
      <c r="H1040" s="9">
        <f t="shared" si="262"/>
        <v>1</v>
      </c>
      <c r="I1040" s="9" t="str">
        <f t="shared" si="263"/>
        <v>Monday</v>
      </c>
      <c r="J1040" s="9" t="str">
        <f t="shared" si="264"/>
        <v>No</v>
      </c>
      <c r="K1040" s="5" t="str">
        <f>IF(COUNTIF(Bank_Holidays!A:A,A1040)&gt;0,"Yes","No")</f>
        <v>No</v>
      </c>
      <c r="L1040" t="str">
        <f t="shared" si="265"/>
        <v>Yes</v>
      </c>
      <c r="M1040">
        <f t="shared" si="266"/>
        <v>23</v>
      </c>
      <c r="N1040" s="5" t="str">
        <f t="shared" si="267"/>
        <v>No</v>
      </c>
      <c r="O1040" t="str">
        <f>IF(A1040=WORKDAY(EOMONTH(A1040,0)+1,-1,Bank_Holidays!$A$2:$A$25),"Yes","No")</f>
        <v>No</v>
      </c>
      <c r="P1040" t="str">
        <f t="shared" si="268"/>
        <v>No</v>
      </c>
      <c r="Q1040" t="str">
        <f t="shared" si="269"/>
        <v>No</v>
      </c>
      <c r="R1040" s="5">
        <f t="shared" si="271"/>
        <v>1</v>
      </c>
    </row>
    <row r="1041" spans="1:18">
      <c r="A1041" s="25">
        <f t="shared" si="270"/>
        <v>47274</v>
      </c>
      <c r="B1041">
        <f t="shared" si="256"/>
        <v>2029</v>
      </c>
      <c r="C1041" s="9">
        <f t="shared" si="257"/>
        <v>6</v>
      </c>
      <c r="D1041" s="9" t="str">
        <f t="shared" si="258"/>
        <v>June</v>
      </c>
      <c r="E1041" s="9" t="str">
        <f t="shared" si="259"/>
        <v>Jun-29</v>
      </c>
      <c r="F1041" s="9" t="str">
        <f t="shared" si="260"/>
        <v>Q2</v>
      </c>
      <c r="G1041" s="9">
        <f t="shared" si="261"/>
        <v>5</v>
      </c>
      <c r="H1041" s="9">
        <f t="shared" si="262"/>
        <v>2</v>
      </c>
      <c r="I1041" s="9" t="str">
        <f t="shared" si="263"/>
        <v>Tuesday</v>
      </c>
      <c r="J1041" s="9" t="str">
        <f t="shared" si="264"/>
        <v>No</v>
      </c>
      <c r="K1041" s="5" t="str">
        <f>IF(COUNTIF(Bank_Holidays!A:A,A1041)&gt;0,"Yes","No")</f>
        <v>No</v>
      </c>
      <c r="L1041" t="str">
        <f t="shared" si="265"/>
        <v>Yes</v>
      </c>
      <c r="M1041">
        <f t="shared" si="266"/>
        <v>23</v>
      </c>
      <c r="N1041" s="5" t="str">
        <f t="shared" si="267"/>
        <v>No</v>
      </c>
      <c r="O1041" t="str">
        <f>IF(A1041=WORKDAY(EOMONTH(A1041,0)+1,-1,Bank_Holidays!$A$2:$A$25),"Yes","No")</f>
        <v>No</v>
      </c>
      <c r="P1041" t="str">
        <f t="shared" si="268"/>
        <v>No</v>
      </c>
      <c r="Q1041" t="str">
        <f t="shared" si="269"/>
        <v>No</v>
      </c>
      <c r="R1041" s="5">
        <f t="shared" si="271"/>
        <v>1</v>
      </c>
    </row>
    <row r="1042" spans="1:18">
      <c r="A1042" s="25">
        <f t="shared" si="270"/>
        <v>47275</v>
      </c>
      <c r="B1042">
        <f t="shared" si="256"/>
        <v>2029</v>
      </c>
      <c r="C1042" s="9">
        <f t="shared" si="257"/>
        <v>6</v>
      </c>
      <c r="D1042" s="9" t="str">
        <f t="shared" si="258"/>
        <v>June</v>
      </c>
      <c r="E1042" s="9" t="str">
        <f t="shared" si="259"/>
        <v>Jun-29</v>
      </c>
      <c r="F1042" s="9" t="str">
        <f t="shared" si="260"/>
        <v>Q2</v>
      </c>
      <c r="G1042" s="9">
        <f t="shared" si="261"/>
        <v>6</v>
      </c>
      <c r="H1042" s="9">
        <f t="shared" si="262"/>
        <v>3</v>
      </c>
      <c r="I1042" s="9" t="str">
        <f t="shared" si="263"/>
        <v>Wednesday</v>
      </c>
      <c r="J1042" s="9" t="str">
        <f t="shared" si="264"/>
        <v>No</v>
      </c>
      <c r="K1042" s="5" t="str">
        <f>IF(COUNTIF(Bank_Holidays!A:A,A1042)&gt;0,"Yes","No")</f>
        <v>No</v>
      </c>
      <c r="L1042" t="str">
        <f t="shared" si="265"/>
        <v>Yes</v>
      </c>
      <c r="M1042">
        <f t="shared" si="266"/>
        <v>23</v>
      </c>
      <c r="N1042" s="5" t="str">
        <f t="shared" si="267"/>
        <v>No</v>
      </c>
      <c r="O1042" t="str">
        <f>IF(A1042=WORKDAY(EOMONTH(A1042,0)+1,-1,Bank_Holidays!$A$2:$A$25),"Yes","No")</f>
        <v>No</v>
      </c>
      <c r="P1042" t="str">
        <f t="shared" si="268"/>
        <v>No</v>
      </c>
      <c r="Q1042" t="str">
        <f t="shared" si="269"/>
        <v>No</v>
      </c>
      <c r="R1042" s="5">
        <f t="shared" si="271"/>
        <v>1</v>
      </c>
    </row>
    <row r="1043" spans="1:18">
      <c r="A1043" s="25">
        <f t="shared" si="270"/>
        <v>47276</v>
      </c>
      <c r="B1043">
        <f t="shared" si="256"/>
        <v>2029</v>
      </c>
      <c r="C1043" s="9">
        <f t="shared" si="257"/>
        <v>6</v>
      </c>
      <c r="D1043" s="9" t="str">
        <f t="shared" si="258"/>
        <v>June</v>
      </c>
      <c r="E1043" s="9" t="str">
        <f t="shared" si="259"/>
        <v>Jun-29</v>
      </c>
      <c r="F1043" s="9" t="str">
        <f t="shared" si="260"/>
        <v>Q2</v>
      </c>
      <c r="G1043" s="9">
        <f t="shared" si="261"/>
        <v>7</v>
      </c>
      <c r="H1043" s="9">
        <f t="shared" si="262"/>
        <v>4</v>
      </c>
      <c r="I1043" s="9" t="str">
        <f t="shared" si="263"/>
        <v>Thursday</v>
      </c>
      <c r="J1043" s="9" t="str">
        <f t="shared" si="264"/>
        <v>No</v>
      </c>
      <c r="K1043" s="5" t="str">
        <f>IF(COUNTIF(Bank_Holidays!A:A,A1043)&gt;0,"Yes","No")</f>
        <v>No</v>
      </c>
      <c r="L1043" t="str">
        <f t="shared" si="265"/>
        <v>Yes</v>
      </c>
      <c r="M1043">
        <f t="shared" si="266"/>
        <v>23</v>
      </c>
      <c r="N1043" s="5" t="str">
        <f t="shared" si="267"/>
        <v>No</v>
      </c>
      <c r="O1043" t="str">
        <f>IF(A1043=WORKDAY(EOMONTH(A1043,0)+1,-1,Bank_Holidays!$A$2:$A$25),"Yes","No")</f>
        <v>No</v>
      </c>
      <c r="P1043" t="str">
        <f t="shared" si="268"/>
        <v>No</v>
      </c>
      <c r="Q1043" t="str">
        <f t="shared" si="269"/>
        <v>No</v>
      </c>
      <c r="R1043" s="5">
        <f t="shared" si="271"/>
        <v>1</v>
      </c>
    </row>
    <row r="1044" spans="1:18">
      <c r="A1044" s="25">
        <f t="shared" si="270"/>
        <v>47277</v>
      </c>
      <c r="B1044">
        <f t="shared" si="256"/>
        <v>2029</v>
      </c>
      <c r="C1044" s="9">
        <f t="shared" si="257"/>
        <v>6</v>
      </c>
      <c r="D1044" s="9" t="str">
        <f t="shared" si="258"/>
        <v>June</v>
      </c>
      <c r="E1044" s="9" t="str">
        <f t="shared" si="259"/>
        <v>Jun-29</v>
      </c>
      <c r="F1044" s="9" t="str">
        <f t="shared" si="260"/>
        <v>Q2</v>
      </c>
      <c r="G1044" s="9">
        <f t="shared" si="261"/>
        <v>8</v>
      </c>
      <c r="H1044" s="9">
        <f t="shared" si="262"/>
        <v>5</v>
      </c>
      <c r="I1044" s="9" t="str">
        <f t="shared" si="263"/>
        <v>Friday</v>
      </c>
      <c r="J1044" s="9" t="str">
        <f t="shared" si="264"/>
        <v>No</v>
      </c>
      <c r="K1044" s="5" t="str">
        <f>IF(COUNTIF(Bank_Holidays!A:A,A1044)&gt;0,"Yes","No")</f>
        <v>No</v>
      </c>
      <c r="L1044" t="str">
        <f t="shared" si="265"/>
        <v>Yes</v>
      </c>
      <c r="M1044">
        <f t="shared" si="266"/>
        <v>23</v>
      </c>
      <c r="N1044" s="5" t="str">
        <f t="shared" si="267"/>
        <v>No</v>
      </c>
      <c r="O1044" t="str">
        <f>IF(A1044=WORKDAY(EOMONTH(A1044,0)+1,-1,Bank_Holidays!$A$2:$A$25),"Yes","No")</f>
        <v>No</v>
      </c>
      <c r="P1044" t="str">
        <f t="shared" si="268"/>
        <v>No</v>
      </c>
      <c r="Q1044" t="str">
        <f t="shared" si="269"/>
        <v>No</v>
      </c>
      <c r="R1044" s="5">
        <f t="shared" si="271"/>
        <v>3</v>
      </c>
    </row>
    <row r="1045" spans="1:18">
      <c r="A1045" s="25">
        <f t="shared" si="270"/>
        <v>47278</v>
      </c>
      <c r="B1045">
        <f t="shared" si="256"/>
        <v>2029</v>
      </c>
      <c r="C1045" s="9">
        <f t="shared" si="257"/>
        <v>6</v>
      </c>
      <c r="D1045" s="9" t="str">
        <f t="shared" si="258"/>
        <v>June</v>
      </c>
      <c r="E1045" s="9" t="str">
        <f t="shared" si="259"/>
        <v>Jun-29</v>
      </c>
      <c r="F1045" s="9" t="str">
        <f t="shared" si="260"/>
        <v>Q2</v>
      </c>
      <c r="G1045" s="9">
        <f t="shared" si="261"/>
        <v>9</v>
      </c>
      <c r="H1045" s="9">
        <f t="shared" si="262"/>
        <v>6</v>
      </c>
      <c r="I1045" s="9" t="str">
        <f t="shared" si="263"/>
        <v>Saturday</v>
      </c>
      <c r="J1045" s="9" t="str">
        <f t="shared" si="264"/>
        <v>Yes</v>
      </c>
      <c r="K1045" s="5" t="str">
        <f>IF(COUNTIF(Bank_Holidays!A:A,A1045)&gt;0,"Yes","No")</f>
        <v>No</v>
      </c>
      <c r="L1045" t="str">
        <f t="shared" si="265"/>
        <v>No</v>
      </c>
      <c r="M1045">
        <f t="shared" si="266"/>
        <v>23</v>
      </c>
      <c r="N1045" s="5" t="str">
        <f t="shared" si="267"/>
        <v>No</v>
      </c>
      <c r="O1045" t="str">
        <f>IF(A1045=WORKDAY(EOMONTH(A1045,0)+1,-1,Bank_Holidays!$A$2:$A$25),"Yes","No")</f>
        <v>No</v>
      </c>
      <c r="P1045" t="str">
        <f t="shared" si="268"/>
        <v>No</v>
      </c>
      <c r="Q1045" t="str">
        <f t="shared" si="269"/>
        <v>No</v>
      </c>
      <c r="R1045" s="5">
        <f t="shared" si="271"/>
        <v>0</v>
      </c>
    </row>
    <row r="1046" spans="1:18">
      <c r="A1046" s="25">
        <f t="shared" si="270"/>
        <v>47279</v>
      </c>
      <c r="B1046">
        <f t="shared" si="256"/>
        <v>2029</v>
      </c>
      <c r="C1046" s="9">
        <f t="shared" si="257"/>
        <v>6</v>
      </c>
      <c r="D1046" s="9" t="str">
        <f t="shared" si="258"/>
        <v>June</v>
      </c>
      <c r="E1046" s="9" t="str">
        <f t="shared" si="259"/>
        <v>Jun-29</v>
      </c>
      <c r="F1046" s="9" t="str">
        <f t="shared" si="260"/>
        <v>Q2</v>
      </c>
      <c r="G1046" s="9">
        <f t="shared" si="261"/>
        <v>10</v>
      </c>
      <c r="H1046" s="9">
        <f t="shared" si="262"/>
        <v>7</v>
      </c>
      <c r="I1046" s="9" t="str">
        <f t="shared" si="263"/>
        <v>Sunday</v>
      </c>
      <c r="J1046" s="9" t="str">
        <f t="shared" si="264"/>
        <v>Yes</v>
      </c>
      <c r="K1046" s="5" t="str">
        <f>IF(COUNTIF(Bank_Holidays!A:A,A1046)&gt;0,"Yes","No")</f>
        <v>No</v>
      </c>
      <c r="L1046" t="str">
        <f t="shared" si="265"/>
        <v>No</v>
      </c>
      <c r="M1046">
        <f t="shared" si="266"/>
        <v>23</v>
      </c>
      <c r="N1046" s="5" t="str">
        <f t="shared" si="267"/>
        <v>No</v>
      </c>
      <c r="O1046" t="str">
        <f>IF(A1046=WORKDAY(EOMONTH(A1046,0)+1,-1,Bank_Holidays!$A$2:$A$25),"Yes","No")</f>
        <v>No</v>
      </c>
      <c r="P1046" t="str">
        <f t="shared" si="268"/>
        <v>No</v>
      </c>
      <c r="Q1046" t="str">
        <f t="shared" si="269"/>
        <v>No</v>
      </c>
      <c r="R1046" s="5">
        <f t="shared" si="271"/>
        <v>0</v>
      </c>
    </row>
    <row r="1047" spans="1:18">
      <c r="A1047" s="25">
        <f t="shared" si="270"/>
        <v>47280</v>
      </c>
      <c r="B1047">
        <f t="shared" si="256"/>
        <v>2029</v>
      </c>
      <c r="C1047" s="9">
        <f t="shared" si="257"/>
        <v>6</v>
      </c>
      <c r="D1047" s="9" t="str">
        <f t="shared" si="258"/>
        <v>June</v>
      </c>
      <c r="E1047" s="9" t="str">
        <f t="shared" si="259"/>
        <v>Jun-29</v>
      </c>
      <c r="F1047" s="9" t="str">
        <f t="shared" si="260"/>
        <v>Q2</v>
      </c>
      <c r="G1047" s="9">
        <f t="shared" si="261"/>
        <v>11</v>
      </c>
      <c r="H1047" s="9">
        <f t="shared" si="262"/>
        <v>1</v>
      </c>
      <c r="I1047" s="9" t="str">
        <f t="shared" si="263"/>
        <v>Monday</v>
      </c>
      <c r="J1047" s="9" t="str">
        <f t="shared" si="264"/>
        <v>No</v>
      </c>
      <c r="K1047" s="5" t="str">
        <f>IF(COUNTIF(Bank_Holidays!A:A,A1047)&gt;0,"Yes","No")</f>
        <v>No</v>
      </c>
      <c r="L1047" t="str">
        <f t="shared" si="265"/>
        <v>Yes</v>
      </c>
      <c r="M1047">
        <f t="shared" si="266"/>
        <v>24</v>
      </c>
      <c r="N1047" s="5" t="str">
        <f t="shared" si="267"/>
        <v>No</v>
      </c>
      <c r="O1047" t="str">
        <f>IF(A1047=WORKDAY(EOMONTH(A1047,0)+1,-1,Bank_Holidays!$A$2:$A$25),"Yes","No")</f>
        <v>No</v>
      </c>
      <c r="P1047" t="str">
        <f t="shared" si="268"/>
        <v>No</v>
      </c>
      <c r="Q1047" t="str">
        <f t="shared" si="269"/>
        <v>No</v>
      </c>
      <c r="R1047" s="5">
        <f t="shared" si="271"/>
        <v>1</v>
      </c>
    </row>
    <row r="1048" spans="1:18">
      <c r="A1048" s="25">
        <f t="shared" si="270"/>
        <v>47281</v>
      </c>
      <c r="B1048">
        <f t="shared" si="256"/>
        <v>2029</v>
      </c>
      <c r="C1048" s="9">
        <f t="shared" si="257"/>
        <v>6</v>
      </c>
      <c r="D1048" s="9" t="str">
        <f t="shared" si="258"/>
        <v>June</v>
      </c>
      <c r="E1048" s="9" t="str">
        <f t="shared" si="259"/>
        <v>Jun-29</v>
      </c>
      <c r="F1048" s="9" t="str">
        <f t="shared" si="260"/>
        <v>Q2</v>
      </c>
      <c r="G1048" s="9">
        <f t="shared" si="261"/>
        <v>12</v>
      </c>
      <c r="H1048" s="9">
        <f t="shared" si="262"/>
        <v>2</v>
      </c>
      <c r="I1048" s="9" t="str">
        <f t="shared" si="263"/>
        <v>Tuesday</v>
      </c>
      <c r="J1048" s="9" t="str">
        <f t="shared" si="264"/>
        <v>No</v>
      </c>
      <c r="K1048" s="5" t="str">
        <f>IF(COUNTIF(Bank_Holidays!A:A,A1048)&gt;0,"Yes","No")</f>
        <v>No</v>
      </c>
      <c r="L1048" t="str">
        <f t="shared" si="265"/>
        <v>Yes</v>
      </c>
      <c r="M1048">
        <f t="shared" si="266"/>
        <v>24</v>
      </c>
      <c r="N1048" s="5" t="str">
        <f t="shared" si="267"/>
        <v>No</v>
      </c>
      <c r="O1048" t="str">
        <f>IF(A1048=WORKDAY(EOMONTH(A1048,0)+1,-1,Bank_Holidays!$A$2:$A$25),"Yes","No")</f>
        <v>No</v>
      </c>
      <c r="P1048" t="str">
        <f t="shared" si="268"/>
        <v>No</v>
      </c>
      <c r="Q1048" t="str">
        <f t="shared" si="269"/>
        <v>No</v>
      </c>
      <c r="R1048" s="5">
        <f t="shared" si="271"/>
        <v>1</v>
      </c>
    </row>
    <row r="1049" spans="1:18">
      <c r="A1049" s="25">
        <f t="shared" si="270"/>
        <v>47282</v>
      </c>
      <c r="B1049">
        <f t="shared" si="256"/>
        <v>2029</v>
      </c>
      <c r="C1049" s="9">
        <f t="shared" si="257"/>
        <v>6</v>
      </c>
      <c r="D1049" s="9" t="str">
        <f t="shared" si="258"/>
        <v>June</v>
      </c>
      <c r="E1049" s="9" t="str">
        <f t="shared" si="259"/>
        <v>Jun-29</v>
      </c>
      <c r="F1049" s="9" t="str">
        <f t="shared" si="260"/>
        <v>Q2</v>
      </c>
      <c r="G1049" s="9">
        <f t="shared" si="261"/>
        <v>13</v>
      </c>
      <c r="H1049" s="9">
        <f t="shared" si="262"/>
        <v>3</v>
      </c>
      <c r="I1049" s="9" t="str">
        <f t="shared" si="263"/>
        <v>Wednesday</v>
      </c>
      <c r="J1049" s="9" t="str">
        <f t="shared" si="264"/>
        <v>No</v>
      </c>
      <c r="K1049" s="5" t="str">
        <f>IF(COUNTIF(Bank_Holidays!A:A,A1049)&gt;0,"Yes","No")</f>
        <v>No</v>
      </c>
      <c r="L1049" t="str">
        <f t="shared" si="265"/>
        <v>Yes</v>
      </c>
      <c r="M1049">
        <f t="shared" si="266"/>
        <v>24</v>
      </c>
      <c r="N1049" s="5" t="str">
        <f t="shared" si="267"/>
        <v>No</v>
      </c>
      <c r="O1049" t="str">
        <f>IF(A1049=WORKDAY(EOMONTH(A1049,0)+1,-1,Bank_Holidays!$A$2:$A$25),"Yes","No")</f>
        <v>No</v>
      </c>
      <c r="P1049" t="str">
        <f t="shared" si="268"/>
        <v>No</v>
      </c>
      <c r="Q1049" t="str">
        <f t="shared" si="269"/>
        <v>No</v>
      </c>
      <c r="R1049" s="5">
        <f t="shared" si="271"/>
        <v>1</v>
      </c>
    </row>
    <row r="1050" spans="1:18">
      <c r="A1050" s="25">
        <f t="shared" si="270"/>
        <v>47283</v>
      </c>
      <c r="B1050">
        <f t="shared" si="256"/>
        <v>2029</v>
      </c>
      <c r="C1050" s="9">
        <f t="shared" si="257"/>
        <v>6</v>
      </c>
      <c r="D1050" s="9" t="str">
        <f t="shared" si="258"/>
        <v>June</v>
      </c>
      <c r="E1050" s="9" t="str">
        <f t="shared" si="259"/>
        <v>Jun-29</v>
      </c>
      <c r="F1050" s="9" t="str">
        <f t="shared" si="260"/>
        <v>Q2</v>
      </c>
      <c r="G1050" s="9">
        <f t="shared" si="261"/>
        <v>14</v>
      </c>
      <c r="H1050" s="9">
        <f t="shared" si="262"/>
        <v>4</v>
      </c>
      <c r="I1050" s="9" t="str">
        <f t="shared" si="263"/>
        <v>Thursday</v>
      </c>
      <c r="J1050" s="9" t="str">
        <f t="shared" si="264"/>
        <v>No</v>
      </c>
      <c r="K1050" s="5" t="str">
        <f>IF(COUNTIF(Bank_Holidays!A:A,A1050)&gt;0,"Yes","No")</f>
        <v>No</v>
      </c>
      <c r="L1050" t="str">
        <f t="shared" si="265"/>
        <v>Yes</v>
      </c>
      <c r="M1050">
        <f t="shared" si="266"/>
        <v>24</v>
      </c>
      <c r="N1050" s="5" t="str">
        <f t="shared" si="267"/>
        <v>No</v>
      </c>
      <c r="O1050" t="str">
        <f>IF(A1050=WORKDAY(EOMONTH(A1050,0)+1,-1,Bank_Holidays!$A$2:$A$25),"Yes","No")</f>
        <v>No</v>
      </c>
      <c r="P1050" t="str">
        <f t="shared" si="268"/>
        <v>No</v>
      </c>
      <c r="Q1050" t="str">
        <f t="shared" si="269"/>
        <v>No</v>
      </c>
      <c r="R1050" s="5">
        <f t="shared" si="271"/>
        <v>1</v>
      </c>
    </row>
    <row r="1051" spans="1:18">
      <c r="A1051" s="25">
        <f t="shared" si="270"/>
        <v>47284</v>
      </c>
      <c r="B1051">
        <f t="shared" si="256"/>
        <v>2029</v>
      </c>
      <c r="C1051" s="9">
        <f t="shared" si="257"/>
        <v>6</v>
      </c>
      <c r="D1051" s="9" t="str">
        <f t="shared" si="258"/>
        <v>June</v>
      </c>
      <c r="E1051" s="9" t="str">
        <f t="shared" si="259"/>
        <v>Jun-29</v>
      </c>
      <c r="F1051" s="9" t="str">
        <f t="shared" si="260"/>
        <v>Q2</v>
      </c>
      <c r="G1051" s="9">
        <f t="shared" si="261"/>
        <v>15</v>
      </c>
      <c r="H1051" s="9">
        <f t="shared" si="262"/>
        <v>5</v>
      </c>
      <c r="I1051" s="9" t="str">
        <f t="shared" si="263"/>
        <v>Friday</v>
      </c>
      <c r="J1051" s="9" t="str">
        <f t="shared" si="264"/>
        <v>No</v>
      </c>
      <c r="K1051" s="5" t="str">
        <f>IF(COUNTIF(Bank_Holidays!A:A,A1051)&gt;0,"Yes","No")</f>
        <v>No</v>
      </c>
      <c r="L1051" t="str">
        <f t="shared" si="265"/>
        <v>Yes</v>
      </c>
      <c r="M1051">
        <f t="shared" si="266"/>
        <v>24</v>
      </c>
      <c r="N1051" s="5" t="str">
        <f t="shared" si="267"/>
        <v>No</v>
      </c>
      <c r="O1051" t="str">
        <f>IF(A1051=WORKDAY(EOMONTH(A1051,0)+1,-1,Bank_Holidays!$A$2:$A$25),"Yes","No")</f>
        <v>No</v>
      </c>
      <c r="P1051" t="str">
        <f t="shared" si="268"/>
        <v>No</v>
      </c>
      <c r="Q1051" t="str">
        <f t="shared" si="269"/>
        <v>No</v>
      </c>
      <c r="R1051" s="5">
        <f t="shared" si="271"/>
        <v>3</v>
      </c>
    </row>
    <row r="1052" spans="1:18">
      <c r="A1052" s="25">
        <f t="shared" si="270"/>
        <v>47285</v>
      </c>
      <c r="B1052">
        <f t="shared" si="256"/>
        <v>2029</v>
      </c>
      <c r="C1052" s="9">
        <f t="shared" si="257"/>
        <v>6</v>
      </c>
      <c r="D1052" s="9" t="str">
        <f t="shared" si="258"/>
        <v>June</v>
      </c>
      <c r="E1052" s="9" t="str">
        <f t="shared" si="259"/>
        <v>Jun-29</v>
      </c>
      <c r="F1052" s="9" t="str">
        <f t="shared" si="260"/>
        <v>Q2</v>
      </c>
      <c r="G1052" s="9">
        <f t="shared" si="261"/>
        <v>16</v>
      </c>
      <c r="H1052" s="9">
        <f t="shared" si="262"/>
        <v>6</v>
      </c>
      <c r="I1052" s="9" t="str">
        <f t="shared" si="263"/>
        <v>Saturday</v>
      </c>
      <c r="J1052" s="9" t="str">
        <f t="shared" si="264"/>
        <v>Yes</v>
      </c>
      <c r="K1052" s="5" t="str">
        <f>IF(COUNTIF(Bank_Holidays!A:A,A1052)&gt;0,"Yes","No")</f>
        <v>No</v>
      </c>
      <c r="L1052" t="str">
        <f t="shared" si="265"/>
        <v>No</v>
      </c>
      <c r="M1052">
        <f t="shared" si="266"/>
        <v>24</v>
      </c>
      <c r="N1052" s="5" t="str">
        <f t="shared" si="267"/>
        <v>No</v>
      </c>
      <c r="O1052" t="str">
        <f>IF(A1052=WORKDAY(EOMONTH(A1052,0)+1,-1,Bank_Holidays!$A$2:$A$25),"Yes","No")</f>
        <v>No</v>
      </c>
      <c r="P1052" t="str">
        <f t="shared" si="268"/>
        <v>No</v>
      </c>
      <c r="Q1052" t="str">
        <f t="shared" si="269"/>
        <v>No</v>
      </c>
      <c r="R1052" s="5">
        <f t="shared" si="271"/>
        <v>0</v>
      </c>
    </row>
    <row r="1053" spans="1:18">
      <c r="A1053" s="25">
        <f t="shared" si="270"/>
        <v>47286</v>
      </c>
      <c r="B1053">
        <f t="shared" si="256"/>
        <v>2029</v>
      </c>
      <c r="C1053" s="9">
        <f t="shared" si="257"/>
        <v>6</v>
      </c>
      <c r="D1053" s="9" t="str">
        <f t="shared" si="258"/>
        <v>June</v>
      </c>
      <c r="E1053" s="9" t="str">
        <f t="shared" si="259"/>
        <v>Jun-29</v>
      </c>
      <c r="F1053" s="9" t="str">
        <f t="shared" si="260"/>
        <v>Q2</v>
      </c>
      <c r="G1053" s="9">
        <f t="shared" si="261"/>
        <v>17</v>
      </c>
      <c r="H1053" s="9">
        <f t="shared" si="262"/>
        <v>7</v>
      </c>
      <c r="I1053" s="9" t="str">
        <f t="shared" si="263"/>
        <v>Sunday</v>
      </c>
      <c r="J1053" s="9" t="str">
        <f t="shared" si="264"/>
        <v>Yes</v>
      </c>
      <c r="K1053" s="5" t="str">
        <f>IF(COUNTIF(Bank_Holidays!A:A,A1053)&gt;0,"Yes","No")</f>
        <v>No</v>
      </c>
      <c r="L1053" t="str">
        <f t="shared" si="265"/>
        <v>No</v>
      </c>
      <c r="M1053">
        <f t="shared" si="266"/>
        <v>24</v>
      </c>
      <c r="N1053" s="5" t="str">
        <f t="shared" si="267"/>
        <v>No</v>
      </c>
      <c r="O1053" t="str">
        <f>IF(A1053=WORKDAY(EOMONTH(A1053,0)+1,-1,Bank_Holidays!$A$2:$A$25),"Yes","No")</f>
        <v>No</v>
      </c>
      <c r="P1053" t="str">
        <f t="shared" si="268"/>
        <v>No</v>
      </c>
      <c r="Q1053" t="str">
        <f t="shared" si="269"/>
        <v>No</v>
      </c>
      <c r="R1053" s="5">
        <f t="shared" si="271"/>
        <v>0</v>
      </c>
    </row>
    <row r="1054" spans="1:18">
      <c r="A1054" s="25">
        <f t="shared" si="270"/>
        <v>47287</v>
      </c>
      <c r="B1054">
        <f t="shared" si="256"/>
        <v>2029</v>
      </c>
      <c r="C1054" s="9">
        <f t="shared" si="257"/>
        <v>6</v>
      </c>
      <c r="D1054" s="9" t="str">
        <f t="shared" si="258"/>
        <v>June</v>
      </c>
      <c r="E1054" s="9" t="str">
        <f t="shared" si="259"/>
        <v>Jun-29</v>
      </c>
      <c r="F1054" s="9" t="str">
        <f t="shared" si="260"/>
        <v>Q2</v>
      </c>
      <c r="G1054" s="9">
        <f t="shared" si="261"/>
        <v>18</v>
      </c>
      <c r="H1054" s="9">
        <f t="shared" si="262"/>
        <v>1</v>
      </c>
      <c r="I1054" s="9" t="str">
        <f t="shared" si="263"/>
        <v>Monday</v>
      </c>
      <c r="J1054" s="9" t="str">
        <f t="shared" si="264"/>
        <v>No</v>
      </c>
      <c r="K1054" s="5" t="str">
        <f>IF(COUNTIF(Bank_Holidays!A:A,A1054)&gt;0,"Yes","No")</f>
        <v>No</v>
      </c>
      <c r="L1054" t="str">
        <f t="shared" si="265"/>
        <v>Yes</v>
      </c>
      <c r="M1054">
        <f t="shared" si="266"/>
        <v>25</v>
      </c>
      <c r="N1054" s="5" t="str">
        <f t="shared" si="267"/>
        <v>No</v>
      </c>
      <c r="O1054" t="str">
        <f>IF(A1054=WORKDAY(EOMONTH(A1054,0)+1,-1,Bank_Holidays!$A$2:$A$25),"Yes","No")</f>
        <v>No</v>
      </c>
      <c r="P1054" t="str">
        <f t="shared" si="268"/>
        <v>No</v>
      </c>
      <c r="Q1054" t="str">
        <f t="shared" si="269"/>
        <v>No</v>
      </c>
      <c r="R1054" s="5">
        <f t="shared" si="271"/>
        <v>1</v>
      </c>
    </row>
    <row r="1055" spans="1:18">
      <c r="A1055" s="25">
        <f t="shared" si="270"/>
        <v>47288</v>
      </c>
      <c r="B1055">
        <f t="shared" si="256"/>
        <v>2029</v>
      </c>
      <c r="C1055" s="9">
        <f t="shared" si="257"/>
        <v>6</v>
      </c>
      <c r="D1055" s="9" t="str">
        <f t="shared" si="258"/>
        <v>June</v>
      </c>
      <c r="E1055" s="9" t="str">
        <f t="shared" si="259"/>
        <v>Jun-29</v>
      </c>
      <c r="F1055" s="9" t="str">
        <f t="shared" si="260"/>
        <v>Q2</v>
      </c>
      <c r="G1055" s="9">
        <f t="shared" si="261"/>
        <v>19</v>
      </c>
      <c r="H1055" s="9">
        <f t="shared" si="262"/>
        <v>2</v>
      </c>
      <c r="I1055" s="9" t="str">
        <f t="shared" si="263"/>
        <v>Tuesday</v>
      </c>
      <c r="J1055" s="9" t="str">
        <f t="shared" si="264"/>
        <v>No</v>
      </c>
      <c r="K1055" s="5" t="str">
        <f>IF(COUNTIF(Bank_Holidays!A:A,A1055)&gt;0,"Yes","No")</f>
        <v>No</v>
      </c>
      <c r="L1055" t="str">
        <f t="shared" si="265"/>
        <v>Yes</v>
      </c>
      <c r="M1055">
        <f t="shared" si="266"/>
        <v>25</v>
      </c>
      <c r="N1055" s="5" t="str">
        <f t="shared" si="267"/>
        <v>No</v>
      </c>
      <c r="O1055" t="str">
        <f>IF(A1055=WORKDAY(EOMONTH(A1055,0)+1,-1,Bank_Holidays!$A$2:$A$25),"Yes","No")</f>
        <v>No</v>
      </c>
      <c r="P1055" t="str">
        <f t="shared" si="268"/>
        <v>No</v>
      </c>
      <c r="Q1055" t="str">
        <f t="shared" si="269"/>
        <v>No</v>
      </c>
      <c r="R1055" s="5">
        <f t="shared" si="271"/>
        <v>1</v>
      </c>
    </row>
    <row r="1056" spans="1:18">
      <c r="A1056" s="25">
        <f t="shared" si="270"/>
        <v>47289</v>
      </c>
      <c r="B1056">
        <f t="shared" si="256"/>
        <v>2029</v>
      </c>
      <c r="C1056" s="9">
        <f t="shared" si="257"/>
        <v>6</v>
      </c>
      <c r="D1056" s="9" t="str">
        <f t="shared" si="258"/>
        <v>June</v>
      </c>
      <c r="E1056" s="9" t="str">
        <f t="shared" si="259"/>
        <v>Jun-29</v>
      </c>
      <c r="F1056" s="9" t="str">
        <f t="shared" si="260"/>
        <v>Q2</v>
      </c>
      <c r="G1056" s="9">
        <f t="shared" si="261"/>
        <v>20</v>
      </c>
      <c r="H1056" s="9">
        <f t="shared" si="262"/>
        <v>3</v>
      </c>
      <c r="I1056" s="9" t="str">
        <f t="shared" si="263"/>
        <v>Wednesday</v>
      </c>
      <c r="J1056" s="9" t="str">
        <f t="shared" si="264"/>
        <v>No</v>
      </c>
      <c r="K1056" s="5" t="str">
        <f>IF(COUNTIF(Bank_Holidays!A:A,A1056)&gt;0,"Yes","No")</f>
        <v>No</v>
      </c>
      <c r="L1056" t="str">
        <f t="shared" si="265"/>
        <v>Yes</v>
      </c>
      <c r="M1056">
        <f t="shared" si="266"/>
        <v>25</v>
      </c>
      <c r="N1056" s="5" t="str">
        <f t="shared" si="267"/>
        <v>No</v>
      </c>
      <c r="O1056" t="str">
        <f>IF(A1056=WORKDAY(EOMONTH(A1056,0)+1,-1,Bank_Holidays!$A$2:$A$25),"Yes","No")</f>
        <v>No</v>
      </c>
      <c r="P1056" t="str">
        <f t="shared" si="268"/>
        <v>No</v>
      </c>
      <c r="Q1056" t="str">
        <f t="shared" si="269"/>
        <v>No</v>
      </c>
      <c r="R1056" s="5">
        <f t="shared" si="271"/>
        <v>1</v>
      </c>
    </row>
    <row r="1057" spans="1:18">
      <c r="A1057" s="25">
        <f t="shared" si="270"/>
        <v>47290</v>
      </c>
      <c r="B1057">
        <f t="shared" si="256"/>
        <v>2029</v>
      </c>
      <c r="C1057" s="9">
        <f t="shared" si="257"/>
        <v>6</v>
      </c>
      <c r="D1057" s="9" t="str">
        <f t="shared" si="258"/>
        <v>June</v>
      </c>
      <c r="E1057" s="9" t="str">
        <f t="shared" si="259"/>
        <v>Jun-29</v>
      </c>
      <c r="F1057" s="9" t="str">
        <f t="shared" si="260"/>
        <v>Q2</v>
      </c>
      <c r="G1057" s="9">
        <f t="shared" si="261"/>
        <v>21</v>
      </c>
      <c r="H1057" s="9">
        <f t="shared" si="262"/>
        <v>4</v>
      </c>
      <c r="I1057" s="9" t="str">
        <f t="shared" si="263"/>
        <v>Thursday</v>
      </c>
      <c r="J1057" s="9" t="str">
        <f t="shared" si="264"/>
        <v>No</v>
      </c>
      <c r="K1057" s="5" t="str">
        <f>IF(COUNTIF(Bank_Holidays!A:A,A1057)&gt;0,"Yes","No")</f>
        <v>No</v>
      </c>
      <c r="L1057" t="str">
        <f t="shared" si="265"/>
        <v>Yes</v>
      </c>
      <c r="M1057">
        <f t="shared" si="266"/>
        <v>25</v>
      </c>
      <c r="N1057" s="5" t="str">
        <f t="shared" si="267"/>
        <v>No</v>
      </c>
      <c r="O1057" t="str">
        <f>IF(A1057=WORKDAY(EOMONTH(A1057,0)+1,-1,Bank_Holidays!$A$2:$A$25),"Yes","No")</f>
        <v>No</v>
      </c>
      <c r="P1057" t="str">
        <f t="shared" si="268"/>
        <v>No</v>
      </c>
      <c r="Q1057" t="str">
        <f t="shared" si="269"/>
        <v>No</v>
      </c>
      <c r="R1057" s="5">
        <f t="shared" si="271"/>
        <v>1</v>
      </c>
    </row>
    <row r="1058" spans="1:18">
      <c r="A1058" s="25">
        <f t="shared" si="270"/>
        <v>47291</v>
      </c>
      <c r="B1058">
        <f t="shared" si="256"/>
        <v>2029</v>
      </c>
      <c r="C1058" s="9">
        <f t="shared" si="257"/>
        <v>6</v>
      </c>
      <c r="D1058" s="9" t="str">
        <f t="shared" si="258"/>
        <v>June</v>
      </c>
      <c r="E1058" s="9" t="str">
        <f t="shared" si="259"/>
        <v>Jun-29</v>
      </c>
      <c r="F1058" s="9" t="str">
        <f t="shared" si="260"/>
        <v>Q2</v>
      </c>
      <c r="G1058" s="9">
        <f t="shared" si="261"/>
        <v>22</v>
      </c>
      <c r="H1058" s="9">
        <f t="shared" si="262"/>
        <v>5</v>
      </c>
      <c r="I1058" s="9" t="str">
        <f t="shared" si="263"/>
        <v>Friday</v>
      </c>
      <c r="J1058" s="9" t="str">
        <f t="shared" si="264"/>
        <v>No</v>
      </c>
      <c r="K1058" s="5" t="str">
        <f>IF(COUNTIF(Bank_Holidays!A:A,A1058)&gt;0,"Yes","No")</f>
        <v>No</v>
      </c>
      <c r="L1058" t="str">
        <f t="shared" si="265"/>
        <v>Yes</v>
      </c>
      <c r="M1058">
        <f t="shared" si="266"/>
        <v>25</v>
      </c>
      <c r="N1058" s="5" t="str">
        <f t="shared" si="267"/>
        <v>No</v>
      </c>
      <c r="O1058" t="str">
        <f>IF(A1058=WORKDAY(EOMONTH(A1058,0)+1,-1,Bank_Holidays!$A$2:$A$25),"Yes","No")</f>
        <v>No</v>
      </c>
      <c r="P1058" t="str">
        <f t="shared" si="268"/>
        <v>No</v>
      </c>
      <c r="Q1058" t="str">
        <f t="shared" si="269"/>
        <v>No</v>
      </c>
      <c r="R1058" s="5">
        <f t="shared" si="271"/>
        <v>3</v>
      </c>
    </row>
    <row r="1059" spans="1:18">
      <c r="A1059" s="25">
        <f t="shared" si="270"/>
        <v>47292</v>
      </c>
      <c r="B1059">
        <f t="shared" si="256"/>
        <v>2029</v>
      </c>
      <c r="C1059" s="9">
        <f t="shared" si="257"/>
        <v>6</v>
      </c>
      <c r="D1059" s="9" t="str">
        <f t="shared" si="258"/>
        <v>June</v>
      </c>
      <c r="E1059" s="9" t="str">
        <f t="shared" si="259"/>
        <v>Jun-29</v>
      </c>
      <c r="F1059" s="9" t="str">
        <f t="shared" si="260"/>
        <v>Q2</v>
      </c>
      <c r="G1059" s="9">
        <f t="shared" si="261"/>
        <v>23</v>
      </c>
      <c r="H1059" s="9">
        <f t="shared" si="262"/>
        <v>6</v>
      </c>
      <c r="I1059" s="9" t="str">
        <f t="shared" si="263"/>
        <v>Saturday</v>
      </c>
      <c r="J1059" s="9" t="str">
        <f t="shared" si="264"/>
        <v>Yes</v>
      </c>
      <c r="K1059" s="5" t="str">
        <f>IF(COUNTIF(Bank_Holidays!A:A,A1059)&gt;0,"Yes","No")</f>
        <v>No</v>
      </c>
      <c r="L1059" t="str">
        <f t="shared" si="265"/>
        <v>No</v>
      </c>
      <c r="M1059">
        <f t="shared" si="266"/>
        <v>25</v>
      </c>
      <c r="N1059" s="5" t="str">
        <f t="shared" si="267"/>
        <v>No</v>
      </c>
      <c r="O1059" t="str">
        <f>IF(A1059=WORKDAY(EOMONTH(A1059,0)+1,-1,Bank_Holidays!$A$2:$A$25),"Yes","No")</f>
        <v>No</v>
      </c>
      <c r="P1059" t="str">
        <f t="shared" si="268"/>
        <v>No</v>
      </c>
      <c r="Q1059" t="str">
        <f t="shared" si="269"/>
        <v>No</v>
      </c>
      <c r="R1059" s="5">
        <f t="shared" si="271"/>
        <v>0</v>
      </c>
    </row>
    <row r="1060" spans="1:18">
      <c r="A1060" s="25">
        <f t="shared" si="270"/>
        <v>47293</v>
      </c>
      <c r="B1060">
        <f t="shared" si="256"/>
        <v>2029</v>
      </c>
      <c r="C1060" s="9">
        <f t="shared" si="257"/>
        <v>6</v>
      </c>
      <c r="D1060" s="9" t="str">
        <f t="shared" si="258"/>
        <v>June</v>
      </c>
      <c r="E1060" s="9" t="str">
        <f t="shared" si="259"/>
        <v>Jun-29</v>
      </c>
      <c r="F1060" s="9" t="str">
        <f t="shared" si="260"/>
        <v>Q2</v>
      </c>
      <c r="G1060" s="9">
        <f t="shared" si="261"/>
        <v>24</v>
      </c>
      <c r="H1060" s="9">
        <f t="shared" si="262"/>
        <v>7</v>
      </c>
      <c r="I1060" s="9" t="str">
        <f t="shared" si="263"/>
        <v>Sunday</v>
      </c>
      <c r="J1060" s="9" t="str">
        <f t="shared" si="264"/>
        <v>Yes</v>
      </c>
      <c r="K1060" s="5" t="str">
        <f>IF(COUNTIF(Bank_Holidays!A:A,A1060)&gt;0,"Yes","No")</f>
        <v>No</v>
      </c>
      <c r="L1060" t="str">
        <f t="shared" si="265"/>
        <v>No</v>
      </c>
      <c r="M1060">
        <f t="shared" si="266"/>
        <v>25</v>
      </c>
      <c r="N1060" s="5" t="str">
        <f t="shared" si="267"/>
        <v>No</v>
      </c>
      <c r="O1060" t="str">
        <f>IF(A1060=WORKDAY(EOMONTH(A1060,0)+1,-1,Bank_Holidays!$A$2:$A$25),"Yes","No")</f>
        <v>No</v>
      </c>
      <c r="P1060" t="str">
        <f t="shared" si="268"/>
        <v>No</v>
      </c>
      <c r="Q1060" t="str">
        <f t="shared" si="269"/>
        <v>No</v>
      </c>
      <c r="R1060" s="5">
        <f t="shared" si="271"/>
        <v>0</v>
      </c>
    </row>
    <row r="1061" spans="1:18">
      <c r="A1061" s="25">
        <f t="shared" si="270"/>
        <v>47294</v>
      </c>
      <c r="B1061">
        <f t="shared" si="256"/>
        <v>2029</v>
      </c>
      <c r="C1061" s="9">
        <f t="shared" si="257"/>
        <v>6</v>
      </c>
      <c r="D1061" s="9" t="str">
        <f t="shared" si="258"/>
        <v>June</v>
      </c>
      <c r="E1061" s="9" t="str">
        <f t="shared" si="259"/>
        <v>Jun-29</v>
      </c>
      <c r="F1061" s="9" t="str">
        <f t="shared" si="260"/>
        <v>Q2</v>
      </c>
      <c r="G1061" s="9">
        <f t="shared" si="261"/>
        <v>25</v>
      </c>
      <c r="H1061" s="9">
        <f t="shared" si="262"/>
        <v>1</v>
      </c>
      <c r="I1061" s="9" t="str">
        <f t="shared" si="263"/>
        <v>Monday</v>
      </c>
      <c r="J1061" s="9" t="str">
        <f t="shared" si="264"/>
        <v>No</v>
      </c>
      <c r="K1061" s="5" t="str">
        <f>IF(COUNTIF(Bank_Holidays!A:A,A1061)&gt;0,"Yes","No")</f>
        <v>No</v>
      </c>
      <c r="L1061" t="str">
        <f t="shared" si="265"/>
        <v>Yes</v>
      </c>
      <c r="M1061">
        <f t="shared" si="266"/>
        <v>26</v>
      </c>
      <c r="N1061" s="5" t="str">
        <f t="shared" si="267"/>
        <v>No</v>
      </c>
      <c r="O1061" t="str">
        <f>IF(A1061=WORKDAY(EOMONTH(A1061,0)+1,-1,Bank_Holidays!$A$2:$A$25),"Yes","No")</f>
        <v>No</v>
      </c>
      <c r="P1061" t="str">
        <f t="shared" si="268"/>
        <v>No</v>
      </c>
      <c r="Q1061" t="str">
        <f t="shared" si="269"/>
        <v>No</v>
      </c>
      <c r="R1061" s="5">
        <f t="shared" si="271"/>
        <v>1</v>
      </c>
    </row>
    <row r="1062" spans="1:18">
      <c r="A1062" s="25">
        <f t="shared" si="270"/>
        <v>47295</v>
      </c>
      <c r="B1062">
        <f t="shared" si="256"/>
        <v>2029</v>
      </c>
      <c r="C1062" s="9">
        <f t="shared" si="257"/>
        <v>6</v>
      </c>
      <c r="D1062" s="9" t="str">
        <f t="shared" si="258"/>
        <v>June</v>
      </c>
      <c r="E1062" s="9" t="str">
        <f t="shared" si="259"/>
        <v>Jun-29</v>
      </c>
      <c r="F1062" s="9" t="str">
        <f t="shared" si="260"/>
        <v>Q2</v>
      </c>
      <c r="G1062" s="9">
        <f t="shared" si="261"/>
        <v>26</v>
      </c>
      <c r="H1062" s="9">
        <f t="shared" si="262"/>
        <v>2</v>
      </c>
      <c r="I1062" s="9" t="str">
        <f t="shared" si="263"/>
        <v>Tuesday</v>
      </c>
      <c r="J1062" s="9" t="str">
        <f t="shared" si="264"/>
        <v>No</v>
      </c>
      <c r="K1062" s="5" t="str">
        <f>IF(COUNTIF(Bank_Holidays!A:A,A1062)&gt;0,"Yes","No")</f>
        <v>No</v>
      </c>
      <c r="L1062" t="str">
        <f t="shared" si="265"/>
        <v>Yes</v>
      </c>
      <c r="M1062">
        <f t="shared" si="266"/>
        <v>26</v>
      </c>
      <c r="N1062" s="5" t="str">
        <f t="shared" si="267"/>
        <v>No</v>
      </c>
      <c r="O1062" t="str">
        <f>IF(A1062=WORKDAY(EOMONTH(A1062,0)+1,-1,Bank_Holidays!$A$2:$A$25),"Yes","No")</f>
        <v>No</v>
      </c>
      <c r="P1062" t="str">
        <f t="shared" si="268"/>
        <v>No</v>
      </c>
      <c r="Q1062" t="str">
        <f t="shared" si="269"/>
        <v>No</v>
      </c>
      <c r="R1062" s="5">
        <f t="shared" si="271"/>
        <v>1</v>
      </c>
    </row>
    <row r="1063" spans="1:18">
      <c r="A1063" s="25">
        <f t="shared" si="270"/>
        <v>47296</v>
      </c>
      <c r="B1063">
        <f t="shared" si="256"/>
        <v>2029</v>
      </c>
      <c r="C1063" s="9">
        <f t="shared" si="257"/>
        <v>6</v>
      </c>
      <c r="D1063" s="9" t="str">
        <f t="shared" si="258"/>
        <v>June</v>
      </c>
      <c r="E1063" s="9" t="str">
        <f t="shared" si="259"/>
        <v>Jun-29</v>
      </c>
      <c r="F1063" s="9" t="str">
        <f t="shared" si="260"/>
        <v>Q2</v>
      </c>
      <c r="G1063" s="9">
        <f t="shared" si="261"/>
        <v>27</v>
      </c>
      <c r="H1063" s="9">
        <f t="shared" si="262"/>
        <v>3</v>
      </c>
      <c r="I1063" s="9" t="str">
        <f t="shared" si="263"/>
        <v>Wednesday</v>
      </c>
      <c r="J1063" s="9" t="str">
        <f t="shared" si="264"/>
        <v>No</v>
      </c>
      <c r="K1063" s="5" t="str">
        <f>IF(COUNTIF(Bank_Holidays!A:A,A1063)&gt;0,"Yes","No")</f>
        <v>No</v>
      </c>
      <c r="L1063" t="str">
        <f t="shared" si="265"/>
        <v>Yes</v>
      </c>
      <c r="M1063">
        <f t="shared" si="266"/>
        <v>26</v>
      </c>
      <c r="N1063" s="5" t="str">
        <f t="shared" si="267"/>
        <v>No</v>
      </c>
      <c r="O1063" t="str">
        <f>IF(A1063=WORKDAY(EOMONTH(A1063,0)+1,-1,Bank_Holidays!$A$2:$A$25),"Yes","No")</f>
        <v>No</v>
      </c>
      <c r="P1063" t="str">
        <f t="shared" si="268"/>
        <v>No</v>
      </c>
      <c r="Q1063" t="str">
        <f t="shared" si="269"/>
        <v>No</v>
      </c>
      <c r="R1063" s="5">
        <f t="shared" si="271"/>
        <v>1</v>
      </c>
    </row>
    <row r="1064" spans="1:18">
      <c r="A1064" s="25">
        <f t="shared" si="270"/>
        <v>47297</v>
      </c>
      <c r="B1064">
        <f t="shared" si="256"/>
        <v>2029</v>
      </c>
      <c r="C1064" s="9">
        <f t="shared" si="257"/>
        <v>6</v>
      </c>
      <c r="D1064" s="9" t="str">
        <f t="shared" si="258"/>
        <v>June</v>
      </c>
      <c r="E1064" s="9" t="str">
        <f t="shared" si="259"/>
        <v>Jun-29</v>
      </c>
      <c r="F1064" s="9" t="str">
        <f t="shared" si="260"/>
        <v>Q2</v>
      </c>
      <c r="G1064" s="9">
        <f t="shared" si="261"/>
        <v>28</v>
      </c>
      <c r="H1064" s="9">
        <f t="shared" si="262"/>
        <v>4</v>
      </c>
      <c r="I1064" s="9" t="str">
        <f t="shared" si="263"/>
        <v>Thursday</v>
      </c>
      <c r="J1064" s="9" t="str">
        <f t="shared" si="264"/>
        <v>No</v>
      </c>
      <c r="K1064" s="5" t="str">
        <f>IF(COUNTIF(Bank_Holidays!A:A,A1064)&gt;0,"Yes","No")</f>
        <v>No</v>
      </c>
      <c r="L1064" t="str">
        <f t="shared" si="265"/>
        <v>Yes</v>
      </c>
      <c r="M1064">
        <f t="shared" si="266"/>
        <v>26</v>
      </c>
      <c r="N1064" s="5" t="str">
        <f t="shared" si="267"/>
        <v>No</v>
      </c>
      <c r="O1064" t="str">
        <f>IF(A1064=WORKDAY(EOMONTH(A1064,0)+1,-1,Bank_Holidays!$A$2:$A$25),"Yes","No")</f>
        <v>No</v>
      </c>
      <c r="P1064" t="str">
        <f t="shared" si="268"/>
        <v>No</v>
      </c>
      <c r="Q1064" t="str">
        <f t="shared" si="269"/>
        <v>Yes</v>
      </c>
      <c r="R1064" s="5">
        <f t="shared" si="271"/>
        <v>1</v>
      </c>
    </row>
    <row r="1065" spans="1:18">
      <c r="A1065" s="25">
        <f t="shared" si="270"/>
        <v>47298</v>
      </c>
      <c r="B1065">
        <f t="shared" si="256"/>
        <v>2029</v>
      </c>
      <c r="C1065" s="9">
        <f t="shared" si="257"/>
        <v>6</v>
      </c>
      <c r="D1065" s="9" t="str">
        <f t="shared" si="258"/>
        <v>June</v>
      </c>
      <c r="E1065" s="9" t="str">
        <f t="shared" si="259"/>
        <v>Jun-29</v>
      </c>
      <c r="F1065" s="9" t="str">
        <f t="shared" si="260"/>
        <v>Q2</v>
      </c>
      <c r="G1065" s="9">
        <f t="shared" si="261"/>
        <v>29</v>
      </c>
      <c r="H1065" s="9">
        <f t="shared" si="262"/>
        <v>5</v>
      </c>
      <c r="I1065" s="9" t="str">
        <f t="shared" si="263"/>
        <v>Friday</v>
      </c>
      <c r="J1065" s="9" t="str">
        <f t="shared" si="264"/>
        <v>No</v>
      </c>
      <c r="K1065" s="5" t="str">
        <f>IF(COUNTIF(Bank_Holidays!A:A,A1065)&gt;0,"Yes","No")</f>
        <v>No</v>
      </c>
      <c r="L1065" t="str">
        <f t="shared" si="265"/>
        <v>Yes</v>
      </c>
      <c r="M1065">
        <f t="shared" si="266"/>
        <v>26</v>
      </c>
      <c r="N1065" s="5" t="str">
        <f t="shared" si="267"/>
        <v>No</v>
      </c>
      <c r="O1065" t="str">
        <f>IF(A1065=WORKDAY(EOMONTH(A1065,0)+1,-1,Bank_Holidays!$A$2:$A$25),"Yes","No")</f>
        <v>Yes</v>
      </c>
      <c r="P1065" t="str">
        <f t="shared" si="268"/>
        <v>Yes</v>
      </c>
      <c r="Q1065" t="str">
        <f t="shared" si="269"/>
        <v>No</v>
      </c>
      <c r="R1065" s="5">
        <f t="shared" si="271"/>
        <v>3</v>
      </c>
    </row>
    <row r="1066" spans="1:18">
      <c r="A1066" s="25">
        <f t="shared" si="270"/>
        <v>47299</v>
      </c>
      <c r="B1066">
        <f t="shared" si="256"/>
        <v>2029</v>
      </c>
      <c r="C1066" s="9">
        <f t="shared" si="257"/>
        <v>6</v>
      </c>
      <c r="D1066" s="9" t="str">
        <f t="shared" si="258"/>
        <v>June</v>
      </c>
      <c r="E1066" s="9" t="str">
        <f t="shared" si="259"/>
        <v>Jun-29</v>
      </c>
      <c r="F1066" s="9" t="str">
        <f t="shared" si="260"/>
        <v>Q2</v>
      </c>
      <c r="G1066" s="9">
        <f t="shared" si="261"/>
        <v>30</v>
      </c>
      <c r="H1066" s="9">
        <f t="shared" si="262"/>
        <v>6</v>
      </c>
      <c r="I1066" s="9" t="str">
        <f t="shared" si="263"/>
        <v>Saturday</v>
      </c>
      <c r="J1066" s="9" t="str">
        <f t="shared" si="264"/>
        <v>Yes</v>
      </c>
      <c r="K1066" s="5" t="str">
        <f>IF(COUNTIF(Bank_Holidays!A:A,A1066)&gt;0,"Yes","No")</f>
        <v>No</v>
      </c>
      <c r="L1066" t="str">
        <f t="shared" si="265"/>
        <v>No</v>
      </c>
      <c r="M1066">
        <f t="shared" si="266"/>
        <v>26</v>
      </c>
      <c r="N1066" s="5" t="str">
        <f t="shared" si="267"/>
        <v>Yes</v>
      </c>
      <c r="O1066" t="str">
        <f>IF(A1066=WORKDAY(EOMONTH(A1066,0)+1,-1,Bank_Holidays!$A$2:$A$25),"Yes","No")</f>
        <v>No</v>
      </c>
      <c r="P1066" t="str">
        <f t="shared" si="268"/>
        <v>No</v>
      </c>
      <c r="Q1066" t="str">
        <f t="shared" si="269"/>
        <v>No</v>
      </c>
      <c r="R1066" s="5">
        <f t="shared" si="271"/>
        <v>0</v>
      </c>
    </row>
    <row r="1067" spans="1:18">
      <c r="A1067" s="25">
        <f t="shared" si="270"/>
        <v>47300</v>
      </c>
      <c r="B1067">
        <f t="shared" si="256"/>
        <v>2029</v>
      </c>
      <c r="C1067" s="9">
        <f t="shared" si="257"/>
        <v>7</v>
      </c>
      <c r="D1067" s="9" t="str">
        <f t="shared" si="258"/>
        <v>July</v>
      </c>
      <c r="E1067" s="9" t="str">
        <f t="shared" si="259"/>
        <v>Jul-29</v>
      </c>
      <c r="F1067" s="9" t="str">
        <f t="shared" si="260"/>
        <v>Q3</v>
      </c>
      <c r="G1067" s="9">
        <f t="shared" si="261"/>
        <v>1</v>
      </c>
      <c r="H1067" s="9">
        <f t="shared" si="262"/>
        <v>7</v>
      </c>
      <c r="I1067" s="9" t="str">
        <f t="shared" si="263"/>
        <v>Sunday</v>
      </c>
      <c r="J1067" s="9" t="str">
        <f t="shared" si="264"/>
        <v>Yes</v>
      </c>
      <c r="K1067" s="5" t="str">
        <f>IF(COUNTIF(Bank_Holidays!A:A,A1067)&gt;0,"Yes","No")</f>
        <v>No</v>
      </c>
      <c r="L1067" t="str">
        <f t="shared" si="265"/>
        <v>No</v>
      </c>
      <c r="M1067">
        <f t="shared" si="266"/>
        <v>26</v>
      </c>
      <c r="N1067" s="5" t="str">
        <f t="shared" si="267"/>
        <v>No</v>
      </c>
      <c r="O1067" t="str">
        <f>IF(A1067=WORKDAY(EOMONTH(A1067,0)+1,-1,Bank_Holidays!$A$2:$A$25),"Yes","No")</f>
        <v>No</v>
      </c>
      <c r="P1067" t="str">
        <f t="shared" si="268"/>
        <v>No</v>
      </c>
      <c r="Q1067" t="str">
        <f t="shared" si="269"/>
        <v>No</v>
      </c>
      <c r="R1067" s="5">
        <f t="shared" si="271"/>
        <v>0</v>
      </c>
    </row>
    <row r="1068" spans="1:18">
      <c r="A1068" s="25">
        <f t="shared" si="270"/>
        <v>47301</v>
      </c>
      <c r="B1068">
        <f t="shared" si="256"/>
        <v>2029</v>
      </c>
      <c r="C1068" s="9">
        <f t="shared" si="257"/>
        <v>7</v>
      </c>
      <c r="D1068" s="9" t="str">
        <f t="shared" si="258"/>
        <v>July</v>
      </c>
      <c r="E1068" s="9" t="str">
        <f t="shared" si="259"/>
        <v>Jul-29</v>
      </c>
      <c r="F1068" s="9" t="str">
        <f t="shared" si="260"/>
        <v>Q3</v>
      </c>
      <c r="G1068" s="9">
        <f t="shared" si="261"/>
        <v>2</v>
      </c>
      <c r="H1068" s="9">
        <f t="shared" si="262"/>
        <v>1</v>
      </c>
      <c r="I1068" s="9" t="str">
        <f t="shared" si="263"/>
        <v>Monday</v>
      </c>
      <c r="J1068" s="9" t="str">
        <f t="shared" si="264"/>
        <v>No</v>
      </c>
      <c r="K1068" s="5" t="str">
        <f>IF(COUNTIF(Bank_Holidays!A:A,A1068)&gt;0,"Yes","No")</f>
        <v>No</v>
      </c>
      <c r="L1068" t="str">
        <f t="shared" si="265"/>
        <v>Yes</v>
      </c>
      <c r="M1068">
        <f t="shared" si="266"/>
        <v>27</v>
      </c>
      <c r="N1068" s="5" t="str">
        <f t="shared" si="267"/>
        <v>No</v>
      </c>
      <c r="O1068" t="str">
        <f>IF(A1068=WORKDAY(EOMONTH(A1068,0)+1,-1,Bank_Holidays!$A$2:$A$25),"Yes","No")</f>
        <v>No</v>
      </c>
      <c r="P1068" t="str">
        <f t="shared" si="268"/>
        <v>No</v>
      </c>
      <c r="Q1068" t="str">
        <f t="shared" si="269"/>
        <v>No</v>
      </c>
      <c r="R1068" s="5">
        <f t="shared" si="271"/>
        <v>1</v>
      </c>
    </row>
    <row r="1069" spans="1:18">
      <c r="A1069" s="25">
        <f t="shared" si="270"/>
        <v>47302</v>
      </c>
      <c r="B1069">
        <f t="shared" si="256"/>
        <v>2029</v>
      </c>
      <c r="C1069" s="9">
        <f t="shared" si="257"/>
        <v>7</v>
      </c>
      <c r="D1069" s="9" t="str">
        <f t="shared" si="258"/>
        <v>July</v>
      </c>
      <c r="E1069" s="9" t="str">
        <f t="shared" si="259"/>
        <v>Jul-29</v>
      </c>
      <c r="F1069" s="9" t="str">
        <f t="shared" si="260"/>
        <v>Q3</v>
      </c>
      <c r="G1069" s="9">
        <f t="shared" si="261"/>
        <v>3</v>
      </c>
      <c r="H1069" s="9">
        <f t="shared" si="262"/>
        <v>2</v>
      </c>
      <c r="I1069" s="9" t="str">
        <f t="shared" si="263"/>
        <v>Tuesday</v>
      </c>
      <c r="J1069" s="9" t="str">
        <f t="shared" si="264"/>
        <v>No</v>
      </c>
      <c r="K1069" s="5" t="str">
        <f>IF(COUNTIF(Bank_Holidays!A:A,A1069)&gt;0,"Yes","No")</f>
        <v>No</v>
      </c>
      <c r="L1069" t="str">
        <f t="shared" si="265"/>
        <v>Yes</v>
      </c>
      <c r="M1069">
        <f t="shared" si="266"/>
        <v>27</v>
      </c>
      <c r="N1069" s="5" t="str">
        <f t="shared" si="267"/>
        <v>No</v>
      </c>
      <c r="O1069" t="str">
        <f>IF(A1069=WORKDAY(EOMONTH(A1069,0)+1,-1,Bank_Holidays!$A$2:$A$25),"Yes","No")</f>
        <v>No</v>
      </c>
      <c r="P1069" t="str">
        <f t="shared" si="268"/>
        <v>No</v>
      </c>
      <c r="Q1069" t="str">
        <f t="shared" si="269"/>
        <v>No</v>
      </c>
      <c r="R1069" s="5">
        <f t="shared" si="271"/>
        <v>1</v>
      </c>
    </row>
    <row r="1070" spans="1:18">
      <c r="A1070" s="25">
        <f t="shared" si="270"/>
        <v>47303</v>
      </c>
      <c r="B1070">
        <f t="shared" si="256"/>
        <v>2029</v>
      </c>
      <c r="C1070" s="9">
        <f t="shared" si="257"/>
        <v>7</v>
      </c>
      <c r="D1070" s="9" t="str">
        <f t="shared" si="258"/>
        <v>July</v>
      </c>
      <c r="E1070" s="9" t="str">
        <f t="shared" si="259"/>
        <v>Jul-29</v>
      </c>
      <c r="F1070" s="9" t="str">
        <f t="shared" si="260"/>
        <v>Q3</v>
      </c>
      <c r="G1070" s="9">
        <f t="shared" si="261"/>
        <v>4</v>
      </c>
      <c r="H1070" s="9">
        <f t="shared" si="262"/>
        <v>3</v>
      </c>
      <c r="I1070" s="9" t="str">
        <f t="shared" si="263"/>
        <v>Wednesday</v>
      </c>
      <c r="J1070" s="9" t="str">
        <f t="shared" si="264"/>
        <v>No</v>
      </c>
      <c r="K1070" s="5" t="str">
        <f>IF(COUNTIF(Bank_Holidays!A:A,A1070)&gt;0,"Yes","No")</f>
        <v>No</v>
      </c>
      <c r="L1070" t="str">
        <f t="shared" si="265"/>
        <v>Yes</v>
      </c>
      <c r="M1070">
        <f t="shared" si="266"/>
        <v>27</v>
      </c>
      <c r="N1070" s="5" t="str">
        <f t="shared" si="267"/>
        <v>No</v>
      </c>
      <c r="O1070" t="str">
        <f>IF(A1070=WORKDAY(EOMONTH(A1070,0)+1,-1,Bank_Holidays!$A$2:$A$25),"Yes","No")</f>
        <v>No</v>
      </c>
      <c r="P1070" t="str">
        <f t="shared" si="268"/>
        <v>No</v>
      </c>
      <c r="Q1070" t="str">
        <f t="shared" si="269"/>
        <v>No</v>
      </c>
      <c r="R1070" s="5">
        <f t="shared" si="271"/>
        <v>1</v>
      </c>
    </row>
    <row r="1071" spans="1:18">
      <c r="A1071" s="25">
        <f t="shared" si="270"/>
        <v>47304</v>
      </c>
      <c r="B1071">
        <f t="shared" si="256"/>
        <v>2029</v>
      </c>
      <c r="C1071" s="9">
        <f t="shared" si="257"/>
        <v>7</v>
      </c>
      <c r="D1071" s="9" t="str">
        <f t="shared" si="258"/>
        <v>July</v>
      </c>
      <c r="E1071" s="9" t="str">
        <f t="shared" si="259"/>
        <v>Jul-29</v>
      </c>
      <c r="F1071" s="9" t="str">
        <f t="shared" si="260"/>
        <v>Q3</v>
      </c>
      <c r="G1071" s="9">
        <f t="shared" si="261"/>
        <v>5</v>
      </c>
      <c r="H1071" s="9">
        <f t="shared" si="262"/>
        <v>4</v>
      </c>
      <c r="I1071" s="9" t="str">
        <f t="shared" si="263"/>
        <v>Thursday</v>
      </c>
      <c r="J1071" s="9" t="str">
        <f t="shared" si="264"/>
        <v>No</v>
      </c>
      <c r="K1071" s="5" t="str">
        <f>IF(COUNTIF(Bank_Holidays!A:A,A1071)&gt;0,"Yes","No")</f>
        <v>No</v>
      </c>
      <c r="L1071" t="str">
        <f t="shared" si="265"/>
        <v>Yes</v>
      </c>
      <c r="M1071">
        <f t="shared" si="266"/>
        <v>27</v>
      </c>
      <c r="N1071" s="5" t="str">
        <f t="shared" si="267"/>
        <v>No</v>
      </c>
      <c r="O1071" t="str">
        <f>IF(A1071=WORKDAY(EOMONTH(A1071,0)+1,-1,Bank_Holidays!$A$2:$A$25),"Yes","No")</f>
        <v>No</v>
      </c>
      <c r="P1071" t="str">
        <f t="shared" si="268"/>
        <v>No</v>
      </c>
      <c r="Q1071" t="str">
        <f t="shared" si="269"/>
        <v>No</v>
      </c>
      <c r="R1071" s="5">
        <f t="shared" si="271"/>
        <v>1</v>
      </c>
    </row>
    <row r="1072" spans="1:18">
      <c r="A1072" s="25">
        <f t="shared" si="270"/>
        <v>47305</v>
      </c>
      <c r="B1072">
        <f t="shared" si="256"/>
        <v>2029</v>
      </c>
      <c r="C1072" s="9">
        <f t="shared" si="257"/>
        <v>7</v>
      </c>
      <c r="D1072" s="9" t="str">
        <f t="shared" si="258"/>
        <v>July</v>
      </c>
      <c r="E1072" s="9" t="str">
        <f t="shared" si="259"/>
        <v>Jul-29</v>
      </c>
      <c r="F1072" s="9" t="str">
        <f t="shared" si="260"/>
        <v>Q3</v>
      </c>
      <c r="G1072" s="9">
        <f t="shared" si="261"/>
        <v>6</v>
      </c>
      <c r="H1072" s="9">
        <f t="shared" si="262"/>
        <v>5</v>
      </c>
      <c r="I1072" s="9" t="str">
        <f t="shared" si="263"/>
        <v>Friday</v>
      </c>
      <c r="J1072" s="9" t="str">
        <f t="shared" si="264"/>
        <v>No</v>
      </c>
      <c r="K1072" s="5" t="str">
        <f>IF(COUNTIF(Bank_Holidays!A:A,A1072)&gt;0,"Yes","No")</f>
        <v>No</v>
      </c>
      <c r="L1072" t="str">
        <f t="shared" si="265"/>
        <v>Yes</v>
      </c>
      <c r="M1072">
        <f t="shared" si="266"/>
        <v>27</v>
      </c>
      <c r="N1072" s="5" t="str">
        <f t="shared" si="267"/>
        <v>No</v>
      </c>
      <c r="O1072" t="str">
        <f>IF(A1072=WORKDAY(EOMONTH(A1072,0)+1,-1,Bank_Holidays!$A$2:$A$25),"Yes","No")</f>
        <v>No</v>
      </c>
      <c r="P1072" t="str">
        <f t="shared" si="268"/>
        <v>No</v>
      </c>
      <c r="Q1072" t="str">
        <f t="shared" si="269"/>
        <v>No</v>
      </c>
      <c r="R1072" s="5">
        <f t="shared" si="271"/>
        <v>3</v>
      </c>
    </row>
    <row r="1073" spans="1:18">
      <c r="A1073" s="25">
        <f t="shared" si="270"/>
        <v>47306</v>
      </c>
      <c r="B1073">
        <f t="shared" si="256"/>
        <v>2029</v>
      </c>
      <c r="C1073" s="9">
        <f t="shared" si="257"/>
        <v>7</v>
      </c>
      <c r="D1073" s="9" t="str">
        <f t="shared" si="258"/>
        <v>July</v>
      </c>
      <c r="E1073" s="9" t="str">
        <f t="shared" si="259"/>
        <v>Jul-29</v>
      </c>
      <c r="F1073" s="9" t="str">
        <f t="shared" si="260"/>
        <v>Q3</v>
      </c>
      <c r="G1073" s="9">
        <f t="shared" si="261"/>
        <v>7</v>
      </c>
      <c r="H1073" s="9">
        <f t="shared" si="262"/>
        <v>6</v>
      </c>
      <c r="I1073" s="9" t="str">
        <f t="shared" si="263"/>
        <v>Saturday</v>
      </c>
      <c r="J1073" s="9" t="str">
        <f t="shared" si="264"/>
        <v>Yes</v>
      </c>
      <c r="K1073" s="5" t="str">
        <f>IF(COUNTIF(Bank_Holidays!A:A,A1073)&gt;0,"Yes","No")</f>
        <v>No</v>
      </c>
      <c r="L1073" t="str">
        <f t="shared" si="265"/>
        <v>No</v>
      </c>
      <c r="M1073">
        <f t="shared" si="266"/>
        <v>27</v>
      </c>
      <c r="N1073" s="5" t="str">
        <f t="shared" si="267"/>
        <v>No</v>
      </c>
      <c r="O1073" t="str">
        <f>IF(A1073=WORKDAY(EOMONTH(A1073,0)+1,-1,Bank_Holidays!$A$2:$A$25),"Yes","No")</f>
        <v>No</v>
      </c>
      <c r="P1073" t="str">
        <f t="shared" si="268"/>
        <v>No</v>
      </c>
      <c r="Q1073" t="str">
        <f t="shared" si="269"/>
        <v>No</v>
      </c>
      <c r="R1073" s="5">
        <f t="shared" si="271"/>
        <v>0</v>
      </c>
    </row>
    <row r="1074" spans="1:18">
      <c r="A1074" s="25">
        <f t="shared" si="270"/>
        <v>47307</v>
      </c>
      <c r="B1074">
        <f t="shared" si="256"/>
        <v>2029</v>
      </c>
      <c r="C1074" s="9">
        <f t="shared" si="257"/>
        <v>7</v>
      </c>
      <c r="D1074" s="9" t="str">
        <f t="shared" si="258"/>
        <v>July</v>
      </c>
      <c r="E1074" s="9" t="str">
        <f t="shared" si="259"/>
        <v>Jul-29</v>
      </c>
      <c r="F1074" s="9" t="str">
        <f t="shared" si="260"/>
        <v>Q3</v>
      </c>
      <c r="G1074" s="9">
        <f t="shared" si="261"/>
        <v>8</v>
      </c>
      <c r="H1074" s="9">
        <f t="shared" si="262"/>
        <v>7</v>
      </c>
      <c r="I1074" s="9" t="str">
        <f t="shared" si="263"/>
        <v>Sunday</v>
      </c>
      <c r="J1074" s="9" t="str">
        <f t="shared" si="264"/>
        <v>Yes</v>
      </c>
      <c r="K1074" s="5" t="str">
        <f>IF(COUNTIF(Bank_Holidays!A:A,A1074)&gt;0,"Yes","No")</f>
        <v>No</v>
      </c>
      <c r="L1074" t="str">
        <f t="shared" si="265"/>
        <v>No</v>
      </c>
      <c r="M1074">
        <f t="shared" si="266"/>
        <v>27</v>
      </c>
      <c r="N1074" s="5" t="str">
        <f t="shared" si="267"/>
        <v>No</v>
      </c>
      <c r="O1074" t="str">
        <f>IF(A1074=WORKDAY(EOMONTH(A1074,0)+1,-1,Bank_Holidays!$A$2:$A$25),"Yes","No")</f>
        <v>No</v>
      </c>
      <c r="P1074" t="str">
        <f t="shared" si="268"/>
        <v>No</v>
      </c>
      <c r="Q1074" t="str">
        <f t="shared" si="269"/>
        <v>No</v>
      </c>
      <c r="R1074" s="5">
        <f t="shared" si="271"/>
        <v>0</v>
      </c>
    </row>
    <row r="1075" spans="1:18">
      <c r="A1075" s="25">
        <f t="shared" si="270"/>
        <v>47308</v>
      </c>
      <c r="B1075">
        <f t="shared" si="256"/>
        <v>2029</v>
      </c>
      <c r="C1075" s="9">
        <f t="shared" si="257"/>
        <v>7</v>
      </c>
      <c r="D1075" s="9" t="str">
        <f t="shared" si="258"/>
        <v>July</v>
      </c>
      <c r="E1075" s="9" t="str">
        <f t="shared" si="259"/>
        <v>Jul-29</v>
      </c>
      <c r="F1075" s="9" t="str">
        <f t="shared" si="260"/>
        <v>Q3</v>
      </c>
      <c r="G1075" s="9">
        <f t="shared" si="261"/>
        <v>9</v>
      </c>
      <c r="H1075" s="9">
        <f t="shared" si="262"/>
        <v>1</v>
      </c>
      <c r="I1075" s="9" t="str">
        <f t="shared" si="263"/>
        <v>Monday</v>
      </c>
      <c r="J1075" s="9" t="str">
        <f t="shared" si="264"/>
        <v>No</v>
      </c>
      <c r="K1075" s="5" t="str">
        <f>IF(COUNTIF(Bank_Holidays!A:A,A1075)&gt;0,"Yes","No")</f>
        <v>No</v>
      </c>
      <c r="L1075" t="str">
        <f t="shared" si="265"/>
        <v>Yes</v>
      </c>
      <c r="M1075">
        <f t="shared" si="266"/>
        <v>28</v>
      </c>
      <c r="N1075" s="5" t="str">
        <f t="shared" si="267"/>
        <v>No</v>
      </c>
      <c r="O1075" t="str">
        <f>IF(A1075=WORKDAY(EOMONTH(A1075,0)+1,-1,Bank_Holidays!$A$2:$A$25),"Yes","No")</f>
        <v>No</v>
      </c>
      <c r="P1075" t="str">
        <f t="shared" si="268"/>
        <v>No</v>
      </c>
      <c r="Q1075" t="str">
        <f t="shared" si="269"/>
        <v>No</v>
      </c>
      <c r="R1075" s="5">
        <f t="shared" si="271"/>
        <v>1</v>
      </c>
    </row>
    <row r="1076" spans="1:18">
      <c r="A1076" s="25">
        <f t="shared" si="270"/>
        <v>47309</v>
      </c>
      <c r="B1076">
        <f t="shared" si="256"/>
        <v>2029</v>
      </c>
      <c r="C1076" s="9">
        <f t="shared" si="257"/>
        <v>7</v>
      </c>
      <c r="D1076" s="9" t="str">
        <f t="shared" si="258"/>
        <v>July</v>
      </c>
      <c r="E1076" s="9" t="str">
        <f t="shared" si="259"/>
        <v>Jul-29</v>
      </c>
      <c r="F1076" s="9" t="str">
        <f t="shared" si="260"/>
        <v>Q3</v>
      </c>
      <c r="G1076" s="9">
        <f t="shared" si="261"/>
        <v>10</v>
      </c>
      <c r="H1076" s="9">
        <f t="shared" si="262"/>
        <v>2</v>
      </c>
      <c r="I1076" s="9" t="str">
        <f t="shared" si="263"/>
        <v>Tuesday</v>
      </c>
      <c r="J1076" s="9" t="str">
        <f t="shared" si="264"/>
        <v>No</v>
      </c>
      <c r="K1076" s="5" t="str">
        <f>IF(COUNTIF(Bank_Holidays!A:A,A1076)&gt;0,"Yes","No")</f>
        <v>No</v>
      </c>
      <c r="L1076" t="str">
        <f t="shared" si="265"/>
        <v>Yes</v>
      </c>
      <c r="M1076">
        <f t="shared" si="266"/>
        <v>28</v>
      </c>
      <c r="N1076" s="5" t="str">
        <f t="shared" si="267"/>
        <v>No</v>
      </c>
      <c r="O1076" t="str">
        <f>IF(A1076=WORKDAY(EOMONTH(A1076,0)+1,-1,Bank_Holidays!$A$2:$A$25),"Yes","No")</f>
        <v>No</v>
      </c>
      <c r="P1076" t="str">
        <f t="shared" si="268"/>
        <v>No</v>
      </c>
      <c r="Q1076" t="str">
        <f t="shared" si="269"/>
        <v>No</v>
      </c>
      <c r="R1076" s="5">
        <f t="shared" si="271"/>
        <v>1</v>
      </c>
    </row>
    <row r="1077" spans="1:18">
      <c r="A1077" s="25">
        <f t="shared" si="270"/>
        <v>47310</v>
      </c>
      <c r="B1077">
        <f t="shared" si="256"/>
        <v>2029</v>
      </c>
      <c r="C1077" s="9">
        <f t="shared" si="257"/>
        <v>7</v>
      </c>
      <c r="D1077" s="9" t="str">
        <f t="shared" si="258"/>
        <v>July</v>
      </c>
      <c r="E1077" s="9" t="str">
        <f t="shared" si="259"/>
        <v>Jul-29</v>
      </c>
      <c r="F1077" s="9" t="str">
        <f t="shared" si="260"/>
        <v>Q3</v>
      </c>
      <c r="G1077" s="9">
        <f t="shared" si="261"/>
        <v>11</v>
      </c>
      <c r="H1077" s="9">
        <f t="shared" si="262"/>
        <v>3</v>
      </c>
      <c r="I1077" s="9" t="str">
        <f t="shared" si="263"/>
        <v>Wednesday</v>
      </c>
      <c r="J1077" s="9" t="str">
        <f t="shared" si="264"/>
        <v>No</v>
      </c>
      <c r="K1077" s="5" t="str">
        <f>IF(COUNTIF(Bank_Holidays!A:A,A1077)&gt;0,"Yes","No")</f>
        <v>No</v>
      </c>
      <c r="L1077" t="str">
        <f t="shared" si="265"/>
        <v>Yes</v>
      </c>
      <c r="M1077">
        <f t="shared" si="266"/>
        <v>28</v>
      </c>
      <c r="N1077" s="5" t="str">
        <f t="shared" si="267"/>
        <v>No</v>
      </c>
      <c r="O1077" t="str">
        <f>IF(A1077=WORKDAY(EOMONTH(A1077,0)+1,-1,Bank_Holidays!$A$2:$A$25),"Yes","No")</f>
        <v>No</v>
      </c>
      <c r="P1077" t="str">
        <f t="shared" si="268"/>
        <v>No</v>
      </c>
      <c r="Q1077" t="str">
        <f t="shared" si="269"/>
        <v>No</v>
      </c>
      <c r="R1077" s="5">
        <f t="shared" si="271"/>
        <v>1</v>
      </c>
    </row>
    <row r="1078" spans="1:18">
      <c r="A1078" s="25">
        <f t="shared" si="270"/>
        <v>47311</v>
      </c>
      <c r="B1078">
        <f t="shared" si="256"/>
        <v>2029</v>
      </c>
      <c r="C1078" s="9">
        <f t="shared" si="257"/>
        <v>7</v>
      </c>
      <c r="D1078" s="9" t="str">
        <f t="shared" si="258"/>
        <v>July</v>
      </c>
      <c r="E1078" s="9" t="str">
        <f t="shared" si="259"/>
        <v>Jul-29</v>
      </c>
      <c r="F1078" s="9" t="str">
        <f t="shared" si="260"/>
        <v>Q3</v>
      </c>
      <c r="G1078" s="9">
        <f t="shared" si="261"/>
        <v>12</v>
      </c>
      <c r="H1078" s="9">
        <f t="shared" si="262"/>
        <v>4</v>
      </c>
      <c r="I1078" s="9" t="str">
        <f t="shared" si="263"/>
        <v>Thursday</v>
      </c>
      <c r="J1078" s="9" t="str">
        <f t="shared" si="264"/>
        <v>No</v>
      </c>
      <c r="K1078" s="5" t="str">
        <f>IF(COUNTIF(Bank_Holidays!A:A,A1078)&gt;0,"Yes","No")</f>
        <v>No</v>
      </c>
      <c r="L1078" t="str">
        <f t="shared" si="265"/>
        <v>Yes</v>
      </c>
      <c r="M1078">
        <f t="shared" si="266"/>
        <v>28</v>
      </c>
      <c r="N1078" s="5" t="str">
        <f t="shared" si="267"/>
        <v>No</v>
      </c>
      <c r="O1078" t="str">
        <f>IF(A1078=WORKDAY(EOMONTH(A1078,0)+1,-1,Bank_Holidays!$A$2:$A$25),"Yes","No")</f>
        <v>No</v>
      </c>
      <c r="P1078" t="str">
        <f t="shared" si="268"/>
        <v>No</v>
      </c>
      <c r="Q1078" t="str">
        <f t="shared" si="269"/>
        <v>No</v>
      </c>
      <c r="R1078" s="5">
        <f t="shared" si="271"/>
        <v>1</v>
      </c>
    </row>
    <row r="1079" spans="1:18">
      <c r="A1079" s="25">
        <f t="shared" si="270"/>
        <v>47312</v>
      </c>
      <c r="B1079">
        <f t="shared" si="256"/>
        <v>2029</v>
      </c>
      <c r="C1079" s="9">
        <f t="shared" si="257"/>
        <v>7</v>
      </c>
      <c r="D1079" s="9" t="str">
        <f t="shared" si="258"/>
        <v>July</v>
      </c>
      <c r="E1079" s="9" t="str">
        <f t="shared" si="259"/>
        <v>Jul-29</v>
      </c>
      <c r="F1079" s="9" t="str">
        <f t="shared" si="260"/>
        <v>Q3</v>
      </c>
      <c r="G1079" s="9">
        <f t="shared" si="261"/>
        <v>13</v>
      </c>
      <c r="H1079" s="9">
        <f t="shared" si="262"/>
        <v>5</v>
      </c>
      <c r="I1079" s="9" t="str">
        <f t="shared" si="263"/>
        <v>Friday</v>
      </c>
      <c r="J1079" s="9" t="str">
        <f t="shared" si="264"/>
        <v>No</v>
      </c>
      <c r="K1079" s="5" t="str">
        <f>IF(COUNTIF(Bank_Holidays!A:A,A1079)&gt;0,"Yes","No")</f>
        <v>No</v>
      </c>
      <c r="L1079" t="str">
        <f t="shared" si="265"/>
        <v>Yes</v>
      </c>
      <c r="M1079">
        <f t="shared" si="266"/>
        <v>28</v>
      </c>
      <c r="N1079" s="5" t="str">
        <f t="shared" si="267"/>
        <v>No</v>
      </c>
      <c r="O1079" t="str">
        <f>IF(A1079=WORKDAY(EOMONTH(A1079,0)+1,-1,Bank_Holidays!$A$2:$A$25),"Yes","No")</f>
        <v>No</v>
      </c>
      <c r="P1079" t="str">
        <f t="shared" si="268"/>
        <v>No</v>
      </c>
      <c r="Q1079" t="str">
        <f t="shared" si="269"/>
        <v>No</v>
      </c>
      <c r="R1079" s="5">
        <f t="shared" si="271"/>
        <v>3</v>
      </c>
    </row>
    <row r="1080" spans="1:18">
      <c r="A1080" s="25">
        <f t="shared" si="270"/>
        <v>47313</v>
      </c>
      <c r="B1080">
        <f t="shared" si="256"/>
        <v>2029</v>
      </c>
      <c r="C1080" s="9">
        <f t="shared" si="257"/>
        <v>7</v>
      </c>
      <c r="D1080" s="9" t="str">
        <f t="shared" si="258"/>
        <v>July</v>
      </c>
      <c r="E1080" s="9" t="str">
        <f t="shared" si="259"/>
        <v>Jul-29</v>
      </c>
      <c r="F1080" s="9" t="str">
        <f t="shared" si="260"/>
        <v>Q3</v>
      </c>
      <c r="G1080" s="9">
        <f t="shared" si="261"/>
        <v>14</v>
      </c>
      <c r="H1080" s="9">
        <f t="shared" si="262"/>
        <v>6</v>
      </c>
      <c r="I1080" s="9" t="str">
        <f t="shared" si="263"/>
        <v>Saturday</v>
      </c>
      <c r="J1080" s="9" t="str">
        <f t="shared" si="264"/>
        <v>Yes</v>
      </c>
      <c r="K1080" s="5" t="str">
        <f>IF(COUNTIF(Bank_Holidays!A:A,A1080)&gt;0,"Yes","No")</f>
        <v>No</v>
      </c>
      <c r="L1080" t="str">
        <f t="shared" si="265"/>
        <v>No</v>
      </c>
      <c r="M1080">
        <f t="shared" si="266"/>
        <v>28</v>
      </c>
      <c r="N1080" s="5" t="str">
        <f t="shared" si="267"/>
        <v>No</v>
      </c>
      <c r="O1080" t="str">
        <f>IF(A1080=WORKDAY(EOMONTH(A1080,0)+1,-1,Bank_Holidays!$A$2:$A$25),"Yes","No")</f>
        <v>No</v>
      </c>
      <c r="P1080" t="str">
        <f t="shared" si="268"/>
        <v>No</v>
      </c>
      <c r="Q1080" t="str">
        <f t="shared" si="269"/>
        <v>No</v>
      </c>
      <c r="R1080" s="5">
        <f t="shared" si="271"/>
        <v>0</v>
      </c>
    </row>
    <row r="1081" spans="1:18">
      <c r="A1081" s="25">
        <f t="shared" si="270"/>
        <v>47314</v>
      </c>
      <c r="B1081">
        <f t="shared" si="256"/>
        <v>2029</v>
      </c>
      <c r="C1081" s="9">
        <f t="shared" si="257"/>
        <v>7</v>
      </c>
      <c r="D1081" s="9" t="str">
        <f t="shared" si="258"/>
        <v>July</v>
      </c>
      <c r="E1081" s="9" t="str">
        <f t="shared" si="259"/>
        <v>Jul-29</v>
      </c>
      <c r="F1081" s="9" t="str">
        <f t="shared" si="260"/>
        <v>Q3</v>
      </c>
      <c r="G1081" s="9">
        <f t="shared" si="261"/>
        <v>15</v>
      </c>
      <c r="H1081" s="9">
        <f t="shared" si="262"/>
        <v>7</v>
      </c>
      <c r="I1081" s="9" t="str">
        <f t="shared" si="263"/>
        <v>Sunday</v>
      </c>
      <c r="J1081" s="9" t="str">
        <f t="shared" si="264"/>
        <v>Yes</v>
      </c>
      <c r="K1081" s="5" t="str">
        <f>IF(COUNTIF(Bank_Holidays!A:A,A1081)&gt;0,"Yes","No")</f>
        <v>No</v>
      </c>
      <c r="L1081" t="str">
        <f t="shared" si="265"/>
        <v>No</v>
      </c>
      <c r="M1081">
        <f t="shared" si="266"/>
        <v>28</v>
      </c>
      <c r="N1081" s="5" t="str">
        <f t="shared" si="267"/>
        <v>No</v>
      </c>
      <c r="O1081" t="str">
        <f>IF(A1081=WORKDAY(EOMONTH(A1081,0)+1,-1,Bank_Holidays!$A$2:$A$25),"Yes","No")</f>
        <v>No</v>
      </c>
      <c r="P1081" t="str">
        <f t="shared" si="268"/>
        <v>No</v>
      </c>
      <c r="Q1081" t="str">
        <f t="shared" si="269"/>
        <v>No</v>
      </c>
      <c r="R1081" s="5">
        <f t="shared" si="271"/>
        <v>0</v>
      </c>
    </row>
    <row r="1082" spans="1:18">
      <c r="A1082" s="25">
        <f t="shared" si="270"/>
        <v>47315</v>
      </c>
      <c r="B1082">
        <f t="shared" si="256"/>
        <v>2029</v>
      </c>
      <c r="C1082" s="9">
        <f t="shared" si="257"/>
        <v>7</v>
      </c>
      <c r="D1082" s="9" t="str">
        <f t="shared" si="258"/>
        <v>July</v>
      </c>
      <c r="E1082" s="9" t="str">
        <f t="shared" si="259"/>
        <v>Jul-29</v>
      </c>
      <c r="F1082" s="9" t="str">
        <f t="shared" si="260"/>
        <v>Q3</v>
      </c>
      <c r="G1082" s="9">
        <f t="shared" si="261"/>
        <v>16</v>
      </c>
      <c r="H1082" s="9">
        <f t="shared" si="262"/>
        <v>1</v>
      </c>
      <c r="I1082" s="9" t="str">
        <f t="shared" si="263"/>
        <v>Monday</v>
      </c>
      <c r="J1082" s="9" t="str">
        <f t="shared" si="264"/>
        <v>No</v>
      </c>
      <c r="K1082" s="5" t="str">
        <f>IF(COUNTIF(Bank_Holidays!A:A,A1082)&gt;0,"Yes","No")</f>
        <v>No</v>
      </c>
      <c r="L1082" t="str">
        <f t="shared" si="265"/>
        <v>Yes</v>
      </c>
      <c r="M1082">
        <f t="shared" si="266"/>
        <v>29</v>
      </c>
      <c r="N1082" s="5" t="str">
        <f t="shared" si="267"/>
        <v>No</v>
      </c>
      <c r="O1082" t="str">
        <f>IF(A1082=WORKDAY(EOMONTH(A1082,0)+1,-1,Bank_Holidays!$A$2:$A$25),"Yes","No")</f>
        <v>No</v>
      </c>
      <c r="P1082" t="str">
        <f t="shared" si="268"/>
        <v>No</v>
      </c>
      <c r="Q1082" t="str">
        <f t="shared" si="269"/>
        <v>No</v>
      </c>
      <c r="R1082" s="5">
        <f t="shared" si="271"/>
        <v>1</v>
      </c>
    </row>
    <row r="1083" spans="1:18">
      <c r="A1083" s="25">
        <f t="shared" si="270"/>
        <v>47316</v>
      </c>
      <c r="B1083">
        <f t="shared" si="256"/>
        <v>2029</v>
      </c>
      <c r="C1083" s="9">
        <f t="shared" si="257"/>
        <v>7</v>
      </c>
      <c r="D1083" s="9" t="str">
        <f t="shared" si="258"/>
        <v>July</v>
      </c>
      <c r="E1083" s="9" t="str">
        <f t="shared" si="259"/>
        <v>Jul-29</v>
      </c>
      <c r="F1083" s="9" t="str">
        <f t="shared" si="260"/>
        <v>Q3</v>
      </c>
      <c r="G1083" s="9">
        <f t="shared" si="261"/>
        <v>17</v>
      </c>
      <c r="H1083" s="9">
        <f t="shared" si="262"/>
        <v>2</v>
      </c>
      <c r="I1083" s="9" t="str">
        <f t="shared" si="263"/>
        <v>Tuesday</v>
      </c>
      <c r="J1083" s="9" t="str">
        <f t="shared" si="264"/>
        <v>No</v>
      </c>
      <c r="K1083" s="5" t="str">
        <f>IF(COUNTIF(Bank_Holidays!A:A,A1083)&gt;0,"Yes","No")</f>
        <v>No</v>
      </c>
      <c r="L1083" t="str">
        <f t="shared" si="265"/>
        <v>Yes</v>
      </c>
      <c r="M1083">
        <f t="shared" si="266"/>
        <v>29</v>
      </c>
      <c r="N1083" s="5" t="str">
        <f t="shared" si="267"/>
        <v>No</v>
      </c>
      <c r="O1083" t="str">
        <f>IF(A1083=WORKDAY(EOMONTH(A1083,0)+1,-1,Bank_Holidays!$A$2:$A$25),"Yes","No")</f>
        <v>No</v>
      </c>
      <c r="P1083" t="str">
        <f t="shared" si="268"/>
        <v>No</v>
      </c>
      <c r="Q1083" t="str">
        <f t="shared" si="269"/>
        <v>No</v>
      </c>
      <c r="R1083" s="5">
        <f t="shared" si="271"/>
        <v>1</v>
      </c>
    </row>
    <row r="1084" spans="1:18">
      <c r="A1084" s="25">
        <f t="shared" si="270"/>
        <v>47317</v>
      </c>
      <c r="B1084">
        <f t="shared" si="256"/>
        <v>2029</v>
      </c>
      <c r="C1084" s="9">
        <f t="shared" si="257"/>
        <v>7</v>
      </c>
      <c r="D1084" s="9" t="str">
        <f t="shared" si="258"/>
        <v>July</v>
      </c>
      <c r="E1084" s="9" t="str">
        <f t="shared" si="259"/>
        <v>Jul-29</v>
      </c>
      <c r="F1084" s="9" t="str">
        <f t="shared" si="260"/>
        <v>Q3</v>
      </c>
      <c r="G1084" s="9">
        <f t="shared" si="261"/>
        <v>18</v>
      </c>
      <c r="H1084" s="9">
        <f t="shared" si="262"/>
        <v>3</v>
      </c>
      <c r="I1084" s="9" t="str">
        <f t="shared" si="263"/>
        <v>Wednesday</v>
      </c>
      <c r="J1084" s="9" t="str">
        <f t="shared" si="264"/>
        <v>No</v>
      </c>
      <c r="K1084" s="5" t="str">
        <f>IF(COUNTIF(Bank_Holidays!A:A,A1084)&gt;0,"Yes","No")</f>
        <v>No</v>
      </c>
      <c r="L1084" t="str">
        <f t="shared" si="265"/>
        <v>Yes</v>
      </c>
      <c r="M1084">
        <f t="shared" si="266"/>
        <v>29</v>
      </c>
      <c r="N1084" s="5" t="str">
        <f t="shared" si="267"/>
        <v>No</v>
      </c>
      <c r="O1084" t="str">
        <f>IF(A1084=WORKDAY(EOMONTH(A1084,0)+1,-1,Bank_Holidays!$A$2:$A$25),"Yes","No")</f>
        <v>No</v>
      </c>
      <c r="P1084" t="str">
        <f t="shared" si="268"/>
        <v>No</v>
      </c>
      <c r="Q1084" t="str">
        <f t="shared" si="269"/>
        <v>No</v>
      </c>
      <c r="R1084" s="5">
        <f t="shared" si="271"/>
        <v>1</v>
      </c>
    </row>
    <row r="1085" spans="1:18">
      <c r="A1085" s="25">
        <f t="shared" si="270"/>
        <v>47318</v>
      </c>
      <c r="B1085">
        <f t="shared" si="256"/>
        <v>2029</v>
      </c>
      <c r="C1085" s="9">
        <f t="shared" si="257"/>
        <v>7</v>
      </c>
      <c r="D1085" s="9" t="str">
        <f t="shared" si="258"/>
        <v>July</v>
      </c>
      <c r="E1085" s="9" t="str">
        <f t="shared" si="259"/>
        <v>Jul-29</v>
      </c>
      <c r="F1085" s="9" t="str">
        <f t="shared" si="260"/>
        <v>Q3</v>
      </c>
      <c r="G1085" s="9">
        <f t="shared" si="261"/>
        <v>19</v>
      </c>
      <c r="H1085" s="9">
        <f t="shared" si="262"/>
        <v>4</v>
      </c>
      <c r="I1085" s="9" t="str">
        <f t="shared" si="263"/>
        <v>Thursday</v>
      </c>
      <c r="J1085" s="9" t="str">
        <f t="shared" si="264"/>
        <v>No</v>
      </c>
      <c r="K1085" s="5" t="str">
        <f>IF(COUNTIF(Bank_Holidays!A:A,A1085)&gt;0,"Yes","No")</f>
        <v>No</v>
      </c>
      <c r="L1085" t="str">
        <f t="shared" si="265"/>
        <v>Yes</v>
      </c>
      <c r="M1085">
        <f t="shared" si="266"/>
        <v>29</v>
      </c>
      <c r="N1085" s="5" t="str">
        <f t="shared" si="267"/>
        <v>No</v>
      </c>
      <c r="O1085" t="str">
        <f>IF(A1085=WORKDAY(EOMONTH(A1085,0)+1,-1,Bank_Holidays!$A$2:$A$25),"Yes","No")</f>
        <v>No</v>
      </c>
      <c r="P1085" t="str">
        <f t="shared" si="268"/>
        <v>No</v>
      </c>
      <c r="Q1085" t="str">
        <f t="shared" si="269"/>
        <v>No</v>
      </c>
      <c r="R1085" s="5">
        <f t="shared" si="271"/>
        <v>1</v>
      </c>
    </row>
    <row r="1086" spans="1:18">
      <c r="A1086" s="25">
        <f t="shared" si="270"/>
        <v>47319</v>
      </c>
      <c r="B1086">
        <f t="shared" si="256"/>
        <v>2029</v>
      </c>
      <c r="C1086" s="9">
        <f t="shared" si="257"/>
        <v>7</v>
      </c>
      <c r="D1086" s="9" t="str">
        <f t="shared" si="258"/>
        <v>July</v>
      </c>
      <c r="E1086" s="9" t="str">
        <f t="shared" si="259"/>
        <v>Jul-29</v>
      </c>
      <c r="F1086" s="9" t="str">
        <f t="shared" si="260"/>
        <v>Q3</v>
      </c>
      <c r="G1086" s="9">
        <f t="shared" si="261"/>
        <v>20</v>
      </c>
      <c r="H1086" s="9">
        <f t="shared" si="262"/>
        <v>5</v>
      </c>
      <c r="I1086" s="9" t="str">
        <f t="shared" si="263"/>
        <v>Friday</v>
      </c>
      <c r="J1086" s="9" t="str">
        <f t="shared" si="264"/>
        <v>No</v>
      </c>
      <c r="K1086" s="5" t="str">
        <f>IF(COUNTIF(Bank_Holidays!A:A,A1086)&gt;0,"Yes","No")</f>
        <v>No</v>
      </c>
      <c r="L1086" t="str">
        <f t="shared" si="265"/>
        <v>Yes</v>
      </c>
      <c r="M1086">
        <f t="shared" si="266"/>
        <v>29</v>
      </c>
      <c r="N1086" s="5" t="str">
        <f t="shared" si="267"/>
        <v>No</v>
      </c>
      <c r="O1086" t="str">
        <f>IF(A1086=WORKDAY(EOMONTH(A1086,0)+1,-1,Bank_Holidays!$A$2:$A$25),"Yes","No")</f>
        <v>No</v>
      </c>
      <c r="P1086" t="str">
        <f t="shared" si="268"/>
        <v>No</v>
      </c>
      <c r="Q1086" t="str">
        <f t="shared" si="269"/>
        <v>No</v>
      </c>
      <c r="R1086" s="5">
        <f t="shared" si="271"/>
        <v>3</v>
      </c>
    </row>
    <row r="1087" spans="1:18">
      <c r="A1087" s="25">
        <f t="shared" si="270"/>
        <v>47320</v>
      </c>
      <c r="B1087">
        <f t="shared" si="256"/>
        <v>2029</v>
      </c>
      <c r="C1087" s="9">
        <f t="shared" si="257"/>
        <v>7</v>
      </c>
      <c r="D1087" s="9" t="str">
        <f t="shared" si="258"/>
        <v>July</v>
      </c>
      <c r="E1087" s="9" t="str">
        <f t="shared" si="259"/>
        <v>Jul-29</v>
      </c>
      <c r="F1087" s="9" t="str">
        <f t="shared" si="260"/>
        <v>Q3</v>
      </c>
      <c r="G1087" s="9">
        <f t="shared" si="261"/>
        <v>21</v>
      </c>
      <c r="H1087" s="9">
        <f t="shared" si="262"/>
        <v>6</v>
      </c>
      <c r="I1087" s="9" t="str">
        <f t="shared" si="263"/>
        <v>Saturday</v>
      </c>
      <c r="J1087" s="9" t="str">
        <f t="shared" si="264"/>
        <v>Yes</v>
      </c>
      <c r="K1087" s="5" t="str">
        <f>IF(COUNTIF(Bank_Holidays!A:A,A1087)&gt;0,"Yes","No")</f>
        <v>No</v>
      </c>
      <c r="L1087" t="str">
        <f t="shared" si="265"/>
        <v>No</v>
      </c>
      <c r="M1087">
        <f t="shared" si="266"/>
        <v>29</v>
      </c>
      <c r="N1087" s="5" t="str">
        <f t="shared" si="267"/>
        <v>No</v>
      </c>
      <c r="O1087" t="str">
        <f>IF(A1087=WORKDAY(EOMONTH(A1087,0)+1,-1,Bank_Holidays!$A$2:$A$25),"Yes","No")</f>
        <v>No</v>
      </c>
      <c r="P1087" t="str">
        <f t="shared" si="268"/>
        <v>No</v>
      </c>
      <c r="Q1087" t="str">
        <f t="shared" si="269"/>
        <v>No</v>
      </c>
      <c r="R1087" s="5">
        <f t="shared" si="271"/>
        <v>0</v>
      </c>
    </row>
    <row r="1088" spans="1:18">
      <c r="A1088" s="25">
        <f t="shared" si="270"/>
        <v>47321</v>
      </c>
      <c r="B1088">
        <f t="shared" si="256"/>
        <v>2029</v>
      </c>
      <c r="C1088" s="9">
        <f t="shared" si="257"/>
        <v>7</v>
      </c>
      <c r="D1088" s="9" t="str">
        <f t="shared" si="258"/>
        <v>July</v>
      </c>
      <c r="E1088" s="9" t="str">
        <f t="shared" si="259"/>
        <v>Jul-29</v>
      </c>
      <c r="F1088" s="9" t="str">
        <f t="shared" si="260"/>
        <v>Q3</v>
      </c>
      <c r="G1088" s="9">
        <f t="shared" si="261"/>
        <v>22</v>
      </c>
      <c r="H1088" s="9">
        <f t="shared" si="262"/>
        <v>7</v>
      </c>
      <c r="I1088" s="9" t="str">
        <f t="shared" si="263"/>
        <v>Sunday</v>
      </c>
      <c r="J1088" s="9" t="str">
        <f t="shared" si="264"/>
        <v>Yes</v>
      </c>
      <c r="K1088" s="5" t="str">
        <f>IF(COUNTIF(Bank_Holidays!A:A,A1088)&gt;0,"Yes","No")</f>
        <v>No</v>
      </c>
      <c r="L1088" t="str">
        <f t="shared" si="265"/>
        <v>No</v>
      </c>
      <c r="M1088">
        <f t="shared" si="266"/>
        <v>29</v>
      </c>
      <c r="N1088" s="5" t="str">
        <f t="shared" si="267"/>
        <v>No</v>
      </c>
      <c r="O1088" t="str">
        <f>IF(A1088=WORKDAY(EOMONTH(A1088,0)+1,-1,Bank_Holidays!$A$2:$A$25),"Yes","No")</f>
        <v>No</v>
      </c>
      <c r="P1088" t="str">
        <f t="shared" si="268"/>
        <v>No</v>
      </c>
      <c r="Q1088" t="str">
        <f t="shared" si="269"/>
        <v>No</v>
      </c>
      <c r="R1088" s="5">
        <f t="shared" si="271"/>
        <v>0</v>
      </c>
    </row>
    <row r="1089" spans="1:18">
      <c r="A1089" s="25">
        <f t="shared" si="270"/>
        <v>47322</v>
      </c>
      <c r="B1089">
        <f t="shared" si="256"/>
        <v>2029</v>
      </c>
      <c r="C1089" s="9">
        <f t="shared" si="257"/>
        <v>7</v>
      </c>
      <c r="D1089" s="9" t="str">
        <f t="shared" si="258"/>
        <v>July</v>
      </c>
      <c r="E1089" s="9" t="str">
        <f t="shared" si="259"/>
        <v>Jul-29</v>
      </c>
      <c r="F1089" s="9" t="str">
        <f t="shared" si="260"/>
        <v>Q3</v>
      </c>
      <c r="G1089" s="9">
        <f t="shared" si="261"/>
        <v>23</v>
      </c>
      <c r="H1089" s="9">
        <f t="shared" si="262"/>
        <v>1</v>
      </c>
      <c r="I1089" s="9" t="str">
        <f t="shared" si="263"/>
        <v>Monday</v>
      </c>
      <c r="J1089" s="9" t="str">
        <f t="shared" si="264"/>
        <v>No</v>
      </c>
      <c r="K1089" s="5" t="str">
        <f>IF(COUNTIF(Bank_Holidays!A:A,A1089)&gt;0,"Yes","No")</f>
        <v>No</v>
      </c>
      <c r="L1089" t="str">
        <f t="shared" si="265"/>
        <v>Yes</v>
      </c>
      <c r="M1089">
        <f t="shared" si="266"/>
        <v>30</v>
      </c>
      <c r="N1089" s="5" t="str">
        <f t="shared" si="267"/>
        <v>No</v>
      </c>
      <c r="O1089" t="str">
        <f>IF(A1089=WORKDAY(EOMONTH(A1089,0)+1,-1,Bank_Holidays!$A$2:$A$25),"Yes","No")</f>
        <v>No</v>
      </c>
      <c r="P1089" t="str">
        <f t="shared" si="268"/>
        <v>No</v>
      </c>
      <c r="Q1089" t="str">
        <f t="shared" si="269"/>
        <v>No</v>
      </c>
      <c r="R1089" s="5">
        <f t="shared" si="271"/>
        <v>1</v>
      </c>
    </row>
    <row r="1090" spans="1:18">
      <c r="A1090" s="25">
        <f t="shared" si="270"/>
        <v>47323</v>
      </c>
      <c r="B1090">
        <f t="shared" ref="B1090:B1153" si="272">YEAR(A1090)</f>
        <v>2029</v>
      </c>
      <c r="C1090" s="9">
        <f t="shared" ref="C1090:C1153" si="273">MONTH(A1090)</f>
        <v>7</v>
      </c>
      <c r="D1090" s="9" t="str">
        <f t="shared" ref="D1090:D1153" si="274">TEXT(A1090,"mmmm")</f>
        <v>July</v>
      </c>
      <c r="E1090" s="9" t="str">
        <f t="shared" ref="E1090:E1153" si="275">TEXT(A1090,"mmm-yy")</f>
        <v>Jul-29</v>
      </c>
      <c r="F1090" s="9" t="str">
        <f t="shared" ref="F1090:F1153" si="276">"Q"&amp;ROUNDUP(MONTH($A1090)/3,0)</f>
        <v>Q3</v>
      </c>
      <c r="G1090" s="9">
        <f t="shared" ref="G1090:G1153" si="277">DAY($A1090)</f>
        <v>24</v>
      </c>
      <c r="H1090" s="9">
        <f t="shared" ref="H1090:H1153" si="278">WEEKDAY($A1090,2)</f>
        <v>2</v>
      </c>
      <c r="I1090" s="9" t="str">
        <f t="shared" ref="I1090:I1153" si="279">TEXT($A1090,"dddd")</f>
        <v>Tuesday</v>
      </c>
      <c r="J1090" s="9" t="str">
        <f t="shared" ref="J1090:J1153" si="280">IF($H1090&gt;5,"Yes","No")</f>
        <v>No</v>
      </c>
      <c r="K1090" s="5" t="str">
        <f>IF(COUNTIF(Bank_Holidays!A:A,A1090)&gt;0,"Yes","No")</f>
        <v>No</v>
      </c>
      <c r="L1090" t="str">
        <f t="shared" ref="L1090:L1153" si="281">IF(AND(J1090="No",K1090="No"),"Yes","No")</f>
        <v>Yes</v>
      </c>
      <c r="M1090">
        <f t="shared" ref="M1090:M1153" si="282">_xlfn.ISOWEEKNUM(A1090)</f>
        <v>30</v>
      </c>
      <c r="N1090" s="5" t="str">
        <f t="shared" ref="N1090:N1153" si="283">IF(A1090=EOMONTH(A1090,0),"Yes","No")</f>
        <v>No</v>
      </c>
      <c r="O1090" t="str">
        <f>IF(A1090=WORKDAY(EOMONTH(A1090,0)+1,-1,Bank_Holidays!$A$2:$A$25),"Yes","No")</f>
        <v>No</v>
      </c>
      <c r="P1090" t="str">
        <f t="shared" ref="P1090:P1153" si="284">IF(
AND(
TEXT(A1090,"dddd")="Friday",
MONTH(A1090+7)&lt;&gt;MONTH(A1090)
),
"Yes",
"No"
)</f>
        <v>No</v>
      </c>
      <c r="Q1090" t="str">
        <f t="shared" ref="Q1090:Q1153" si="285">IF(
AND(
TEXT(A1090,"dddd")="Thursday",
MONTH(A1090+7)&lt;&gt;MONTH(A1090)
),
"Yes",
"No"
)</f>
        <v>No</v>
      </c>
      <c r="R1090" s="5">
        <f t="shared" si="271"/>
        <v>1</v>
      </c>
    </row>
    <row r="1091" spans="1:18">
      <c r="A1091" s="25">
        <f t="shared" ref="A1091:A1154" si="286">A1090+1</f>
        <v>47324</v>
      </c>
      <c r="B1091">
        <f t="shared" si="272"/>
        <v>2029</v>
      </c>
      <c r="C1091" s="9">
        <f t="shared" si="273"/>
        <v>7</v>
      </c>
      <c r="D1091" s="9" t="str">
        <f t="shared" si="274"/>
        <v>July</v>
      </c>
      <c r="E1091" s="9" t="str">
        <f t="shared" si="275"/>
        <v>Jul-29</v>
      </c>
      <c r="F1091" s="9" t="str">
        <f t="shared" si="276"/>
        <v>Q3</v>
      </c>
      <c r="G1091" s="9">
        <f t="shared" si="277"/>
        <v>25</v>
      </c>
      <c r="H1091" s="9">
        <f t="shared" si="278"/>
        <v>3</v>
      </c>
      <c r="I1091" s="9" t="str">
        <f t="shared" si="279"/>
        <v>Wednesday</v>
      </c>
      <c r="J1091" s="9" t="str">
        <f t="shared" si="280"/>
        <v>No</v>
      </c>
      <c r="K1091" s="5" t="str">
        <f>IF(COUNTIF(Bank_Holidays!A:A,A1091)&gt;0,"Yes","No")</f>
        <v>No</v>
      </c>
      <c r="L1091" t="str">
        <f t="shared" si="281"/>
        <v>Yes</v>
      </c>
      <c r="M1091">
        <f t="shared" si="282"/>
        <v>30</v>
      </c>
      <c r="N1091" s="5" t="str">
        <f t="shared" si="283"/>
        <v>No</v>
      </c>
      <c r="O1091" t="str">
        <f>IF(A1091=WORKDAY(EOMONTH(A1091,0)+1,-1,Bank_Holidays!$A$2:$A$25),"Yes","No")</f>
        <v>No</v>
      </c>
      <c r="P1091" t="str">
        <f t="shared" si="284"/>
        <v>No</v>
      </c>
      <c r="Q1091" t="str">
        <f t="shared" si="285"/>
        <v>No</v>
      </c>
      <c r="R1091" s="5">
        <f t="shared" ref="R1091:R1154" si="287">IF(L1091="yes",1)+IF(L1091="no",0,IF(AND(L1096="no",L1095="no",L1094="no",L1093="no",L1092="no"),5,IF(AND(L1095="no",L1094="no",L1093="no",L1092="no"),4,IF(AND(L1094="no",L1093="no",L1092="no"),3,IF(AND(L1093="no",L1092="no"),2,IF(L1092="no",1))))))</f>
        <v>1</v>
      </c>
    </row>
    <row r="1092" spans="1:18">
      <c r="A1092" s="25">
        <f t="shared" si="286"/>
        <v>47325</v>
      </c>
      <c r="B1092">
        <f t="shared" si="272"/>
        <v>2029</v>
      </c>
      <c r="C1092" s="9">
        <f t="shared" si="273"/>
        <v>7</v>
      </c>
      <c r="D1092" s="9" t="str">
        <f t="shared" si="274"/>
        <v>July</v>
      </c>
      <c r="E1092" s="9" t="str">
        <f t="shared" si="275"/>
        <v>Jul-29</v>
      </c>
      <c r="F1092" s="9" t="str">
        <f t="shared" si="276"/>
        <v>Q3</v>
      </c>
      <c r="G1092" s="9">
        <f t="shared" si="277"/>
        <v>26</v>
      </c>
      <c r="H1092" s="9">
        <f t="shared" si="278"/>
        <v>4</v>
      </c>
      <c r="I1092" s="9" t="str">
        <f t="shared" si="279"/>
        <v>Thursday</v>
      </c>
      <c r="J1092" s="9" t="str">
        <f t="shared" si="280"/>
        <v>No</v>
      </c>
      <c r="K1092" s="5" t="str">
        <f>IF(COUNTIF(Bank_Holidays!A:A,A1092)&gt;0,"Yes","No")</f>
        <v>No</v>
      </c>
      <c r="L1092" t="str">
        <f t="shared" si="281"/>
        <v>Yes</v>
      </c>
      <c r="M1092">
        <f t="shared" si="282"/>
        <v>30</v>
      </c>
      <c r="N1092" s="5" t="str">
        <f t="shared" si="283"/>
        <v>No</v>
      </c>
      <c r="O1092" t="str">
        <f>IF(A1092=WORKDAY(EOMONTH(A1092,0)+1,-1,Bank_Holidays!$A$2:$A$25),"Yes","No")</f>
        <v>No</v>
      </c>
      <c r="P1092" t="str">
        <f t="shared" si="284"/>
        <v>No</v>
      </c>
      <c r="Q1092" t="str">
        <f t="shared" si="285"/>
        <v>Yes</v>
      </c>
      <c r="R1092" s="5">
        <f t="shared" si="287"/>
        <v>1</v>
      </c>
    </row>
    <row r="1093" spans="1:18">
      <c r="A1093" s="25">
        <f t="shared" si="286"/>
        <v>47326</v>
      </c>
      <c r="B1093">
        <f t="shared" si="272"/>
        <v>2029</v>
      </c>
      <c r="C1093" s="9">
        <f t="shared" si="273"/>
        <v>7</v>
      </c>
      <c r="D1093" s="9" t="str">
        <f t="shared" si="274"/>
        <v>July</v>
      </c>
      <c r="E1093" s="9" t="str">
        <f t="shared" si="275"/>
        <v>Jul-29</v>
      </c>
      <c r="F1093" s="9" t="str">
        <f t="shared" si="276"/>
        <v>Q3</v>
      </c>
      <c r="G1093" s="9">
        <f t="shared" si="277"/>
        <v>27</v>
      </c>
      <c r="H1093" s="9">
        <f t="shared" si="278"/>
        <v>5</v>
      </c>
      <c r="I1093" s="9" t="str">
        <f t="shared" si="279"/>
        <v>Friday</v>
      </c>
      <c r="J1093" s="9" t="str">
        <f t="shared" si="280"/>
        <v>No</v>
      </c>
      <c r="K1093" s="5" t="str">
        <f>IF(COUNTIF(Bank_Holidays!A:A,A1093)&gt;0,"Yes","No")</f>
        <v>No</v>
      </c>
      <c r="L1093" t="str">
        <f t="shared" si="281"/>
        <v>Yes</v>
      </c>
      <c r="M1093">
        <f t="shared" si="282"/>
        <v>30</v>
      </c>
      <c r="N1093" s="5" t="str">
        <f t="shared" si="283"/>
        <v>No</v>
      </c>
      <c r="O1093" t="str">
        <f>IF(A1093=WORKDAY(EOMONTH(A1093,0)+1,-1,Bank_Holidays!$A$2:$A$25),"Yes","No")</f>
        <v>No</v>
      </c>
      <c r="P1093" t="str">
        <f t="shared" si="284"/>
        <v>Yes</v>
      </c>
      <c r="Q1093" t="str">
        <f t="shared" si="285"/>
        <v>No</v>
      </c>
      <c r="R1093" s="5">
        <f t="shared" si="287"/>
        <v>3</v>
      </c>
    </row>
    <row r="1094" spans="1:18">
      <c r="A1094" s="25">
        <f t="shared" si="286"/>
        <v>47327</v>
      </c>
      <c r="B1094">
        <f t="shared" si="272"/>
        <v>2029</v>
      </c>
      <c r="C1094" s="9">
        <f t="shared" si="273"/>
        <v>7</v>
      </c>
      <c r="D1094" s="9" t="str">
        <f t="shared" si="274"/>
        <v>July</v>
      </c>
      <c r="E1094" s="9" t="str">
        <f t="shared" si="275"/>
        <v>Jul-29</v>
      </c>
      <c r="F1094" s="9" t="str">
        <f t="shared" si="276"/>
        <v>Q3</v>
      </c>
      <c r="G1094" s="9">
        <f t="shared" si="277"/>
        <v>28</v>
      </c>
      <c r="H1094" s="9">
        <f t="shared" si="278"/>
        <v>6</v>
      </c>
      <c r="I1094" s="9" t="str">
        <f t="shared" si="279"/>
        <v>Saturday</v>
      </c>
      <c r="J1094" s="9" t="str">
        <f t="shared" si="280"/>
        <v>Yes</v>
      </c>
      <c r="K1094" s="5" t="str">
        <f>IF(COUNTIF(Bank_Holidays!A:A,A1094)&gt;0,"Yes","No")</f>
        <v>No</v>
      </c>
      <c r="L1094" t="str">
        <f t="shared" si="281"/>
        <v>No</v>
      </c>
      <c r="M1094">
        <f t="shared" si="282"/>
        <v>30</v>
      </c>
      <c r="N1094" s="5" t="str">
        <f t="shared" si="283"/>
        <v>No</v>
      </c>
      <c r="O1094" t="str">
        <f>IF(A1094=WORKDAY(EOMONTH(A1094,0)+1,-1,Bank_Holidays!$A$2:$A$25),"Yes","No")</f>
        <v>No</v>
      </c>
      <c r="P1094" t="str">
        <f t="shared" si="284"/>
        <v>No</v>
      </c>
      <c r="Q1094" t="str">
        <f t="shared" si="285"/>
        <v>No</v>
      </c>
      <c r="R1094" s="5">
        <f t="shared" si="287"/>
        <v>0</v>
      </c>
    </row>
    <row r="1095" spans="1:18">
      <c r="A1095" s="25">
        <f t="shared" si="286"/>
        <v>47328</v>
      </c>
      <c r="B1095">
        <f t="shared" si="272"/>
        <v>2029</v>
      </c>
      <c r="C1095" s="9">
        <f t="shared" si="273"/>
        <v>7</v>
      </c>
      <c r="D1095" s="9" t="str">
        <f t="shared" si="274"/>
        <v>July</v>
      </c>
      <c r="E1095" s="9" t="str">
        <f t="shared" si="275"/>
        <v>Jul-29</v>
      </c>
      <c r="F1095" s="9" t="str">
        <f t="shared" si="276"/>
        <v>Q3</v>
      </c>
      <c r="G1095" s="9">
        <f t="shared" si="277"/>
        <v>29</v>
      </c>
      <c r="H1095" s="9">
        <f t="shared" si="278"/>
        <v>7</v>
      </c>
      <c r="I1095" s="9" t="str">
        <f t="shared" si="279"/>
        <v>Sunday</v>
      </c>
      <c r="J1095" s="9" t="str">
        <f t="shared" si="280"/>
        <v>Yes</v>
      </c>
      <c r="K1095" s="5" t="str">
        <f>IF(COUNTIF(Bank_Holidays!A:A,A1095)&gt;0,"Yes","No")</f>
        <v>No</v>
      </c>
      <c r="L1095" t="str">
        <f t="shared" si="281"/>
        <v>No</v>
      </c>
      <c r="M1095">
        <f t="shared" si="282"/>
        <v>30</v>
      </c>
      <c r="N1095" s="5" t="str">
        <f t="shared" si="283"/>
        <v>No</v>
      </c>
      <c r="O1095" t="str">
        <f>IF(A1095=WORKDAY(EOMONTH(A1095,0)+1,-1,Bank_Holidays!$A$2:$A$25),"Yes","No")</f>
        <v>No</v>
      </c>
      <c r="P1095" t="str">
        <f t="shared" si="284"/>
        <v>No</v>
      </c>
      <c r="Q1095" t="str">
        <f t="shared" si="285"/>
        <v>No</v>
      </c>
      <c r="R1095" s="5">
        <f t="shared" si="287"/>
        <v>0</v>
      </c>
    </row>
    <row r="1096" spans="1:18">
      <c r="A1096" s="25">
        <f t="shared" si="286"/>
        <v>47329</v>
      </c>
      <c r="B1096">
        <f t="shared" si="272"/>
        <v>2029</v>
      </c>
      <c r="C1096" s="9">
        <f t="shared" si="273"/>
        <v>7</v>
      </c>
      <c r="D1096" s="9" t="str">
        <f t="shared" si="274"/>
        <v>July</v>
      </c>
      <c r="E1096" s="9" t="str">
        <f t="shared" si="275"/>
        <v>Jul-29</v>
      </c>
      <c r="F1096" s="9" t="str">
        <f t="shared" si="276"/>
        <v>Q3</v>
      </c>
      <c r="G1096" s="9">
        <f t="shared" si="277"/>
        <v>30</v>
      </c>
      <c r="H1096" s="9">
        <f t="shared" si="278"/>
        <v>1</v>
      </c>
      <c r="I1096" s="9" t="str">
        <f t="shared" si="279"/>
        <v>Monday</v>
      </c>
      <c r="J1096" s="9" t="str">
        <f t="shared" si="280"/>
        <v>No</v>
      </c>
      <c r="K1096" s="5" t="str">
        <f>IF(COUNTIF(Bank_Holidays!A:A,A1096)&gt;0,"Yes","No")</f>
        <v>No</v>
      </c>
      <c r="L1096" t="str">
        <f t="shared" si="281"/>
        <v>Yes</v>
      </c>
      <c r="M1096">
        <f t="shared" si="282"/>
        <v>31</v>
      </c>
      <c r="N1096" s="5" t="str">
        <f t="shared" si="283"/>
        <v>No</v>
      </c>
      <c r="O1096" t="str">
        <f>IF(A1096=WORKDAY(EOMONTH(A1096,0)+1,-1,Bank_Holidays!$A$2:$A$25),"Yes","No")</f>
        <v>No</v>
      </c>
      <c r="P1096" t="str">
        <f t="shared" si="284"/>
        <v>No</v>
      </c>
      <c r="Q1096" t="str">
        <f t="shared" si="285"/>
        <v>No</v>
      </c>
      <c r="R1096" s="5">
        <f t="shared" si="287"/>
        <v>1</v>
      </c>
    </row>
    <row r="1097" spans="1:18">
      <c r="A1097" s="25">
        <f t="shared" si="286"/>
        <v>47330</v>
      </c>
      <c r="B1097">
        <f t="shared" si="272"/>
        <v>2029</v>
      </c>
      <c r="C1097" s="9">
        <f t="shared" si="273"/>
        <v>7</v>
      </c>
      <c r="D1097" s="9" t="str">
        <f t="shared" si="274"/>
        <v>July</v>
      </c>
      <c r="E1097" s="9" t="str">
        <f t="shared" si="275"/>
        <v>Jul-29</v>
      </c>
      <c r="F1097" s="9" t="str">
        <f t="shared" si="276"/>
        <v>Q3</v>
      </c>
      <c r="G1097" s="9">
        <f t="shared" si="277"/>
        <v>31</v>
      </c>
      <c r="H1097" s="9">
        <f t="shared" si="278"/>
        <v>2</v>
      </c>
      <c r="I1097" s="9" t="str">
        <f t="shared" si="279"/>
        <v>Tuesday</v>
      </c>
      <c r="J1097" s="9" t="str">
        <f t="shared" si="280"/>
        <v>No</v>
      </c>
      <c r="K1097" s="5" t="str">
        <f>IF(COUNTIF(Bank_Holidays!A:A,A1097)&gt;0,"Yes","No")</f>
        <v>No</v>
      </c>
      <c r="L1097" t="str">
        <f t="shared" si="281"/>
        <v>Yes</v>
      </c>
      <c r="M1097">
        <f t="shared" si="282"/>
        <v>31</v>
      </c>
      <c r="N1097" s="5" t="str">
        <f t="shared" si="283"/>
        <v>Yes</v>
      </c>
      <c r="O1097" t="str">
        <f>IF(A1097=WORKDAY(EOMONTH(A1097,0)+1,-1,Bank_Holidays!$A$2:$A$25),"Yes","No")</f>
        <v>Yes</v>
      </c>
      <c r="P1097" t="str">
        <f t="shared" si="284"/>
        <v>No</v>
      </c>
      <c r="Q1097" t="str">
        <f t="shared" si="285"/>
        <v>No</v>
      </c>
      <c r="R1097" s="5">
        <f t="shared" si="287"/>
        <v>1</v>
      </c>
    </row>
    <row r="1098" spans="1:18">
      <c r="A1098" s="25">
        <f t="shared" si="286"/>
        <v>47331</v>
      </c>
      <c r="B1098">
        <f t="shared" si="272"/>
        <v>2029</v>
      </c>
      <c r="C1098" s="9">
        <f t="shared" si="273"/>
        <v>8</v>
      </c>
      <c r="D1098" s="9" t="str">
        <f t="shared" si="274"/>
        <v>August</v>
      </c>
      <c r="E1098" s="9" t="str">
        <f t="shared" si="275"/>
        <v>Aug-29</v>
      </c>
      <c r="F1098" s="9" t="str">
        <f t="shared" si="276"/>
        <v>Q3</v>
      </c>
      <c r="G1098" s="9">
        <f t="shared" si="277"/>
        <v>1</v>
      </c>
      <c r="H1098" s="9">
        <f t="shared" si="278"/>
        <v>3</v>
      </c>
      <c r="I1098" s="9" t="str">
        <f t="shared" si="279"/>
        <v>Wednesday</v>
      </c>
      <c r="J1098" s="9" t="str">
        <f t="shared" si="280"/>
        <v>No</v>
      </c>
      <c r="K1098" s="5" t="str">
        <f>IF(COUNTIF(Bank_Holidays!A:A,A1098)&gt;0,"Yes","No")</f>
        <v>No</v>
      </c>
      <c r="L1098" t="str">
        <f t="shared" si="281"/>
        <v>Yes</v>
      </c>
      <c r="M1098">
        <f t="shared" si="282"/>
        <v>31</v>
      </c>
      <c r="N1098" s="5" t="str">
        <f t="shared" si="283"/>
        <v>No</v>
      </c>
      <c r="O1098" t="str">
        <f>IF(A1098=WORKDAY(EOMONTH(A1098,0)+1,-1,Bank_Holidays!$A$2:$A$25),"Yes","No")</f>
        <v>No</v>
      </c>
      <c r="P1098" t="str">
        <f t="shared" si="284"/>
        <v>No</v>
      </c>
      <c r="Q1098" t="str">
        <f t="shared" si="285"/>
        <v>No</v>
      </c>
      <c r="R1098" s="5">
        <f t="shared" si="287"/>
        <v>1</v>
      </c>
    </row>
    <row r="1099" spans="1:18">
      <c r="A1099" s="25">
        <f t="shared" si="286"/>
        <v>47332</v>
      </c>
      <c r="B1099">
        <f t="shared" si="272"/>
        <v>2029</v>
      </c>
      <c r="C1099" s="9">
        <f t="shared" si="273"/>
        <v>8</v>
      </c>
      <c r="D1099" s="9" t="str">
        <f t="shared" si="274"/>
        <v>August</v>
      </c>
      <c r="E1099" s="9" t="str">
        <f t="shared" si="275"/>
        <v>Aug-29</v>
      </c>
      <c r="F1099" s="9" t="str">
        <f t="shared" si="276"/>
        <v>Q3</v>
      </c>
      <c r="G1099" s="9">
        <f t="shared" si="277"/>
        <v>2</v>
      </c>
      <c r="H1099" s="9">
        <f t="shared" si="278"/>
        <v>4</v>
      </c>
      <c r="I1099" s="9" t="str">
        <f t="shared" si="279"/>
        <v>Thursday</v>
      </c>
      <c r="J1099" s="9" t="str">
        <f t="shared" si="280"/>
        <v>No</v>
      </c>
      <c r="K1099" s="5" t="str">
        <f>IF(COUNTIF(Bank_Holidays!A:A,A1099)&gt;0,"Yes","No")</f>
        <v>No</v>
      </c>
      <c r="L1099" t="str">
        <f t="shared" si="281"/>
        <v>Yes</v>
      </c>
      <c r="M1099">
        <f t="shared" si="282"/>
        <v>31</v>
      </c>
      <c r="N1099" s="5" t="str">
        <f t="shared" si="283"/>
        <v>No</v>
      </c>
      <c r="O1099" t="str">
        <f>IF(A1099=WORKDAY(EOMONTH(A1099,0)+1,-1,Bank_Holidays!$A$2:$A$25),"Yes","No")</f>
        <v>No</v>
      </c>
      <c r="P1099" t="str">
        <f t="shared" si="284"/>
        <v>No</v>
      </c>
      <c r="Q1099" t="str">
        <f t="shared" si="285"/>
        <v>No</v>
      </c>
      <c r="R1099" s="5">
        <f t="shared" si="287"/>
        <v>1</v>
      </c>
    </row>
    <row r="1100" spans="1:18">
      <c r="A1100" s="25">
        <f t="shared" si="286"/>
        <v>47333</v>
      </c>
      <c r="B1100">
        <f t="shared" si="272"/>
        <v>2029</v>
      </c>
      <c r="C1100" s="9">
        <f t="shared" si="273"/>
        <v>8</v>
      </c>
      <c r="D1100" s="9" t="str">
        <f t="shared" si="274"/>
        <v>August</v>
      </c>
      <c r="E1100" s="9" t="str">
        <f t="shared" si="275"/>
        <v>Aug-29</v>
      </c>
      <c r="F1100" s="9" t="str">
        <f t="shared" si="276"/>
        <v>Q3</v>
      </c>
      <c r="G1100" s="9">
        <f t="shared" si="277"/>
        <v>3</v>
      </c>
      <c r="H1100" s="9">
        <f t="shared" si="278"/>
        <v>5</v>
      </c>
      <c r="I1100" s="9" t="str">
        <f t="shared" si="279"/>
        <v>Friday</v>
      </c>
      <c r="J1100" s="9" t="str">
        <f t="shared" si="280"/>
        <v>No</v>
      </c>
      <c r="K1100" s="5" t="str">
        <f>IF(COUNTIF(Bank_Holidays!A:A,A1100)&gt;0,"Yes","No")</f>
        <v>No</v>
      </c>
      <c r="L1100" t="str">
        <f t="shared" si="281"/>
        <v>Yes</v>
      </c>
      <c r="M1100">
        <f t="shared" si="282"/>
        <v>31</v>
      </c>
      <c r="N1100" s="5" t="str">
        <f t="shared" si="283"/>
        <v>No</v>
      </c>
      <c r="O1100" t="str">
        <f>IF(A1100=WORKDAY(EOMONTH(A1100,0)+1,-1,Bank_Holidays!$A$2:$A$25),"Yes","No")</f>
        <v>No</v>
      </c>
      <c r="P1100" t="str">
        <f t="shared" si="284"/>
        <v>No</v>
      </c>
      <c r="Q1100" t="str">
        <f t="shared" si="285"/>
        <v>No</v>
      </c>
      <c r="R1100" s="5">
        <f t="shared" si="287"/>
        <v>3</v>
      </c>
    </row>
    <row r="1101" spans="1:18">
      <c r="A1101" s="25">
        <f t="shared" si="286"/>
        <v>47334</v>
      </c>
      <c r="B1101">
        <f t="shared" si="272"/>
        <v>2029</v>
      </c>
      <c r="C1101" s="9">
        <f t="shared" si="273"/>
        <v>8</v>
      </c>
      <c r="D1101" s="9" t="str">
        <f t="shared" si="274"/>
        <v>August</v>
      </c>
      <c r="E1101" s="9" t="str">
        <f t="shared" si="275"/>
        <v>Aug-29</v>
      </c>
      <c r="F1101" s="9" t="str">
        <f t="shared" si="276"/>
        <v>Q3</v>
      </c>
      <c r="G1101" s="9">
        <f t="shared" si="277"/>
        <v>4</v>
      </c>
      <c r="H1101" s="9">
        <f t="shared" si="278"/>
        <v>6</v>
      </c>
      <c r="I1101" s="9" t="str">
        <f t="shared" si="279"/>
        <v>Saturday</v>
      </c>
      <c r="J1101" s="9" t="str">
        <f t="shared" si="280"/>
        <v>Yes</v>
      </c>
      <c r="K1101" s="5" t="str">
        <f>IF(COUNTIF(Bank_Holidays!A:A,A1101)&gt;0,"Yes","No")</f>
        <v>No</v>
      </c>
      <c r="L1101" t="str">
        <f t="shared" si="281"/>
        <v>No</v>
      </c>
      <c r="M1101">
        <f t="shared" si="282"/>
        <v>31</v>
      </c>
      <c r="N1101" s="5" t="str">
        <f t="shared" si="283"/>
        <v>No</v>
      </c>
      <c r="O1101" t="str">
        <f>IF(A1101=WORKDAY(EOMONTH(A1101,0)+1,-1,Bank_Holidays!$A$2:$A$25),"Yes","No")</f>
        <v>No</v>
      </c>
      <c r="P1101" t="str">
        <f t="shared" si="284"/>
        <v>No</v>
      </c>
      <c r="Q1101" t="str">
        <f t="shared" si="285"/>
        <v>No</v>
      </c>
      <c r="R1101" s="5">
        <f t="shared" si="287"/>
        <v>0</v>
      </c>
    </row>
    <row r="1102" spans="1:18">
      <c r="A1102" s="25">
        <f t="shared" si="286"/>
        <v>47335</v>
      </c>
      <c r="B1102">
        <f t="shared" si="272"/>
        <v>2029</v>
      </c>
      <c r="C1102" s="9">
        <f t="shared" si="273"/>
        <v>8</v>
      </c>
      <c r="D1102" s="9" t="str">
        <f t="shared" si="274"/>
        <v>August</v>
      </c>
      <c r="E1102" s="9" t="str">
        <f t="shared" si="275"/>
        <v>Aug-29</v>
      </c>
      <c r="F1102" s="9" t="str">
        <f t="shared" si="276"/>
        <v>Q3</v>
      </c>
      <c r="G1102" s="9">
        <f t="shared" si="277"/>
        <v>5</v>
      </c>
      <c r="H1102" s="9">
        <f t="shared" si="278"/>
        <v>7</v>
      </c>
      <c r="I1102" s="9" t="str">
        <f t="shared" si="279"/>
        <v>Sunday</v>
      </c>
      <c r="J1102" s="9" t="str">
        <f t="shared" si="280"/>
        <v>Yes</v>
      </c>
      <c r="K1102" s="5" t="str">
        <f>IF(COUNTIF(Bank_Holidays!A:A,A1102)&gt;0,"Yes","No")</f>
        <v>No</v>
      </c>
      <c r="L1102" t="str">
        <f t="shared" si="281"/>
        <v>No</v>
      </c>
      <c r="M1102">
        <f t="shared" si="282"/>
        <v>31</v>
      </c>
      <c r="N1102" s="5" t="str">
        <f t="shared" si="283"/>
        <v>No</v>
      </c>
      <c r="O1102" t="str">
        <f>IF(A1102=WORKDAY(EOMONTH(A1102,0)+1,-1,Bank_Holidays!$A$2:$A$25),"Yes","No")</f>
        <v>No</v>
      </c>
      <c r="P1102" t="str">
        <f t="shared" si="284"/>
        <v>No</v>
      </c>
      <c r="Q1102" t="str">
        <f t="shared" si="285"/>
        <v>No</v>
      </c>
      <c r="R1102" s="5">
        <f t="shared" si="287"/>
        <v>0</v>
      </c>
    </row>
    <row r="1103" spans="1:18">
      <c r="A1103" s="25">
        <f t="shared" si="286"/>
        <v>47336</v>
      </c>
      <c r="B1103">
        <f t="shared" si="272"/>
        <v>2029</v>
      </c>
      <c r="C1103" s="9">
        <f t="shared" si="273"/>
        <v>8</v>
      </c>
      <c r="D1103" s="9" t="str">
        <f t="shared" si="274"/>
        <v>August</v>
      </c>
      <c r="E1103" s="9" t="str">
        <f t="shared" si="275"/>
        <v>Aug-29</v>
      </c>
      <c r="F1103" s="9" t="str">
        <f t="shared" si="276"/>
        <v>Q3</v>
      </c>
      <c r="G1103" s="9">
        <f t="shared" si="277"/>
        <v>6</v>
      </c>
      <c r="H1103" s="9">
        <f t="shared" si="278"/>
        <v>1</v>
      </c>
      <c r="I1103" s="9" t="str">
        <f t="shared" si="279"/>
        <v>Monday</v>
      </c>
      <c r="J1103" s="9" t="str">
        <f t="shared" si="280"/>
        <v>No</v>
      </c>
      <c r="K1103" s="5" t="str">
        <f>IF(COUNTIF(Bank_Holidays!A:A,A1103)&gt;0,"Yes","No")</f>
        <v>No</v>
      </c>
      <c r="L1103" t="str">
        <f t="shared" si="281"/>
        <v>Yes</v>
      </c>
      <c r="M1103">
        <f t="shared" si="282"/>
        <v>32</v>
      </c>
      <c r="N1103" s="5" t="str">
        <f t="shared" si="283"/>
        <v>No</v>
      </c>
      <c r="O1103" t="str">
        <f>IF(A1103=WORKDAY(EOMONTH(A1103,0)+1,-1,Bank_Holidays!$A$2:$A$25),"Yes","No")</f>
        <v>No</v>
      </c>
      <c r="P1103" t="str">
        <f t="shared" si="284"/>
        <v>No</v>
      </c>
      <c r="Q1103" t="str">
        <f t="shared" si="285"/>
        <v>No</v>
      </c>
      <c r="R1103" s="5">
        <f t="shared" si="287"/>
        <v>1</v>
      </c>
    </row>
    <row r="1104" spans="1:18">
      <c r="A1104" s="25">
        <f t="shared" si="286"/>
        <v>47337</v>
      </c>
      <c r="B1104">
        <f t="shared" si="272"/>
        <v>2029</v>
      </c>
      <c r="C1104" s="9">
        <f t="shared" si="273"/>
        <v>8</v>
      </c>
      <c r="D1104" s="9" t="str">
        <f t="shared" si="274"/>
        <v>August</v>
      </c>
      <c r="E1104" s="9" t="str">
        <f t="shared" si="275"/>
        <v>Aug-29</v>
      </c>
      <c r="F1104" s="9" t="str">
        <f t="shared" si="276"/>
        <v>Q3</v>
      </c>
      <c r="G1104" s="9">
        <f t="shared" si="277"/>
        <v>7</v>
      </c>
      <c r="H1104" s="9">
        <f t="shared" si="278"/>
        <v>2</v>
      </c>
      <c r="I1104" s="9" t="str">
        <f t="shared" si="279"/>
        <v>Tuesday</v>
      </c>
      <c r="J1104" s="9" t="str">
        <f t="shared" si="280"/>
        <v>No</v>
      </c>
      <c r="K1104" s="5" t="str">
        <f>IF(COUNTIF(Bank_Holidays!A:A,A1104)&gt;0,"Yes","No")</f>
        <v>No</v>
      </c>
      <c r="L1104" t="str">
        <f t="shared" si="281"/>
        <v>Yes</v>
      </c>
      <c r="M1104">
        <f t="shared" si="282"/>
        <v>32</v>
      </c>
      <c r="N1104" s="5" t="str">
        <f t="shared" si="283"/>
        <v>No</v>
      </c>
      <c r="O1104" t="str">
        <f>IF(A1104=WORKDAY(EOMONTH(A1104,0)+1,-1,Bank_Holidays!$A$2:$A$25),"Yes","No")</f>
        <v>No</v>
      </c>
      <c r="P1104" t="str">
        <f t="shared" si="284"/>
        <v>No</v>
      </c>
      <c r="Q1104" t="str">
        <f t="shared" si="285"/>
        <v>No</v>
      </c>
      <c r="R1104" s="5">
        <f t="shared" si="287"/>
        <v>1</v>
      </c>
    </row>
    <row r="1105" spans="1:18">
      <c r="A1105" s="25">
        <f t="shared" si="286"/>
        <v>47338</v>
      </c>
      <c r="B1105">
        <f t="shared" si="272"/>
        <v>2029</v>
      </c>
      <c r="C1105" s="9">
        <f t="shared" si="273"/>
        <v>8</v>
      </c>
      <c r="D1105" s="9" t="str">
        <f t="shared" si="274"/>
        <v>August</v>
      </c>
      <c r="E1105" s="9" t="str">
        <f t="shared" si="275"/>
        <v>Aug-29</v>
      </c>
      <c r="F1105" s="9" t="str">
        <f t="shared" si="276"/>
        <v>Q3</v>
      </c>
      <c r="G1105" s="9">
        <f t="shared" si="277"/>
        <v>8</v>
      </c>
      <c r="H1105" s="9">
        <f t="shared" si="278"/>
        <v>3</v>
      </c>
      <c r="I1105" s="9" t="str">
        <f t="shared" si="279"/>
        <v>Wednesday</v>
      </c>
      <c r="J1105" s="9" t="str">
        <f t="shared" si="280"/>
        <v>No</v>
      </c>
      <c r="K1105" s="5" t="str">
        <f>IF(COUNTIF(Bank_Holidays!A:A,A1105)&gt;0,"Yes","No")</f>
        <v>No</v>
      </c>
      <c r="L1105" t="str">
        <f t="shared" si="281"/>
        <v>Yes</v>
      </c>
      <c r="M1105">
        <f t="shared" si="282"/>
        <v>32</v>
      </c>
      <c r="N1105" s="5" t="str">
        <f t="shared" si="283"/>
        <v>No</v>
      </c>
      <c r="O1105" t="str">
        <f>IF(A1105=WORKDAY(EOMONTH(A1105,0)+1,-1,Bank_Holidays!$A$2:$A$25),"Yes","No")</f>
        <v>No</v>
      </c>
      <c r="P1105" t="str">
        <f t="shared" si="284"/>
        <v>No</v>
      </c>
      <c r="Q1105" t="str">
        <f t="shared" si="285"/>
        <v>No</v>
      </c>
      <c r="R1105" s="5">
        <f t="shared" si="287"/>
        <v>1</v>
      </c>
    </row>
    <row r="1106" spans="1:18">
      <c r="A1106" s="25">
        <f t="shared" si="286"/>
        <v>47339</v>
      </c>
      <c r="B1106">
        <f t="shared" si="272"/>
        <v>2029</v>
      </c>
      <c r="C1106" s="9">
        <f t="shared" si="273"/>
        <v>8</v>
      </c>
      <c r="D1106" s="9" t="str">
        <f t="shared" si="274"/>
        <v>August</v>
      </c>
      <c r="E1106" s="9" t="str">
        <f t="shared" si="275"/>
        <v>Aug-29</v>
      </c>
      <c r="F1106" s="9" t="str">
        <f t="shared" si="276"/>
        <v>Q3</v>
      </c>
      <c r="G1106" s="9">
        <f t="shared" si="277"/>
        <v>9</v>
      </c>
      <c r="H1106" s="9">
        <f t="shared" si="278"/>
        <v>4</v>
      </c>
      <c r="I1106" s="9" t="str">
        <f t="shared" si="279"/>
        <v>Thursday</v>
      </c>
      <c r="J1106" s="9" t="str">
        <f t="shared" si="280"/>
        <v>No</v>
      </c>
      <c r="K1106" s="5" t="str">
        <f>IF(COUNTIF(Bank_Holidays!A:A,A1106)&gt;0,"Yes","No")</f>
        <v>No</v>
      </c>
      <c r="L1106" t="str">
        <f t="shared" si="281"/>
        <v>Yes</v>
      </c>
      <c r="M1106">
        <f t="shared" si="282"/>
        <v>32</v>
      </c>
      <c r="N1106" s="5" t="str">
        <f t="shared" si="283"/>
        <v>No</v>
      </c>
      <c r="O1106" t="str">
        <f>IF(A1106=WORKDAY(EOMONTH(A1106,0)+1,-1,Bank_Holidays!$A$2:$A$25),"Yes","No")</f>
        <v>No</v>
      </c>
      <c r="P1106" t="str">
        <f t="shared" si="284"/>
        <v>No</v>
      </c>
      <c r="Q1106" t="str">
        <f t="shared" si="285"/>
        <v>No</v>
      </c>
      <c r="R1106" s="5">
        <f t="shared" si="287"/>
        <v>1</v>
      </c>
    </row>
    <row r="1107" spans="1:18">
      <c r="A1107" s="25">
        <f t="shared" si="286"/>
        <v>47340</v>
      </c>
      <c r="B1107">
        <f t="shared" si="272"/>
        <v>2029</v>
      </c>
      <c r="C1107" s="9">
        <f t="shared" si="273"/>
        <v>8</v>
      </c>
      <c r="D1107" s="9" t="str">
        <f t="shared" si="274"/>
        <v>August</v>
      </c>
      <c r="E1107" s="9" t="str">
        <f t="shared" si="275"/>
        <v>Aug-29</v>
      </c>
      <c r="F1107" s="9" t="str">
        <f t="shared" si="276"/>
        <v>Q3</v>
      </c>
      <c r="G1107" s="9">
        <f t="shared" si="277"/>
        <v>10</v>
      </c>
      <c r="H1107" s="9">
        <f t="shared" si="278"/>
        <v>5</v>
      </c>
      <c r="I1107" s="9" t="str">
        <f t="shared" si="279"/>
        <v>Friday</v>
      </c>
      <c r="J1107" s="9" t="str">
        <f t="shared" si="280"/>
        <v>No</v>
      </c>
      <c r="K1107" s="5" t="str">
        <f>IF(COUNTIF(Bank_Holidays!A:A,A1107)&gt;0,"Yes","No")</f>
        <v>No</v>
      </c>
      <c r="L1107" t="str">
        <f t="shared" si="281"/>
        <v>Yes</v>
      </c>
      <c r="M1107">
        <f t="shared" si="282"/>
        <v>32</v>
      </c>
      <c r="N1107" s="5" t="str">
        <f t="shared" si="283"/>
        <v>No</v>
      </c>
      <c r="O1107" t="str">
        <f>IF(A1107=WORKDAY(EOMONTH(A1107,0)+1,-1,Bank_Holidays!$A$2:$A$25),"Yes","No")</f>
        <v>No</v>
      </c>
      <c r="P1107" t="str">
        <f t="shared" si="284"/>
        <v>No</v>
      </c>
      <c r="Q1107" t="str">
        <f t="shared" si="285"/>
        <v>No</v>
      </c>
      <c r="R1107" s="5">
        <f t="shared" si="287"/>
        <v>3</v>
      </c>
    </row>
    <row r="1108" spans="1:18">
      <c r="A1108" s="25">
        <f t="shared" si="286"/>
        <v>47341</v>
      </c>
      <c r="B1108">
        <f t="shared" si="272"/>
        <v>2029</v>
      </c>
      <c r="C1108" s="9">
        <f t="shared" si="273"/>
        <v>8</v>
      </c>
      <c r="D1108" s="9" t="str">
        <f t="shared" si="274"/>
        <v>August</v>
      </c>
      <c r="E1108" s="9" t="str">
        <f t="shared" si="275"/>
        <v>Aug-29</v>
      </c>
      <c r="F1108" s="9" t="str">
        <f t="shared" si="276"/>
        <v>Q3</v>
      </c>
      <c r="G1108" s="9">
        <f t="shared" si="277"/>
        <v>11</v>
      </c>
      <c r="H1108" s="9">
        <f t="shared" si="278"/>
        <v>6</v>
      </c>
      <c r="I1108" s="9" t="str">
        <f t="shared" si="279"/>
        <v>Saturday</v>
      </c>
      <c r="J1108" s="9" t="str">
        <f t="shared" si="280"/>
        <v>Yes</v>
      </c>
      <c r="K1108" s="5" t="str">
        <f>IF(COUNTIF(Bank_Holidays!A:A,A1108)&gt;0,"Yes","No")</f>
        <v>No</v>
      </c>
      <c r="L1108" t="str">
        <f t="shared" si="281"/>
        <v>No</v>
      </c>
      <c r="M1108">
        <f t="shared" si="282"/>
        <v>32</v>
      </c>
      <c r="N1108" s="5" t="str">
        <f t="shared" si="283"/>
        <v>No</v>
      </c>
      <c r="O1108" t="str">
        <f>IF(A1108=WORKDAY(EOMONTH(A1108,0)+1,-1,Bank_Holidays!$A$2:$A$25),"Yes","No")</f>
        <v>No</v>
      </c>
      <c r="P1108" t="str">
        <f t="shared" si="284"/>
        <v>No</v>
      </c>
      <c r="Q1108" t="str">
        <f t="shared" si="285"/>
        <v>No</v>
      </c>
      <c r="R1108" s="5">
        <f t="shared" si="287"/>
        <v>0</v>
      </c>
    </row>
    <row r="1109" spans="1:18">
      <c r="A1109" s="25">
        <f t="shared" si="286"/>
        <v>47342</v>
      </c>
      <c r="B1109">
        <f t="shared" si="272"/>
        <v>2029</v>
      </c>
      <c r="C1109" s="9">
        <f t="shared" si="273"/>
        <v>8</v>
      </c>
      <c r="D1109" s="9" t="str">
        <f t="shared" si="274"/>
        <v>August</v>
      </c>
      <c r="E1109" s="9" t="str">
        <f t="shared" si="275"/>
        <v>Aug-29</v>
      </c>
      <c r="F1109" s="9" t="str">
        <f t="shared" si="276"/>
        <v>Q3</v>
      </c>
      <c r="G1109" s="9">
        <f t="shared" si="277"/>
        <v>12</v>
      </c>
      <c r="H1109" s="9">
        <f t="shared" si="278"/>
        <v>7</v>
      </c>
      <c r="I1109" s="9" t="str">
        <f t="shared" si="279"/>
        <v>Sunday</v>
      </c>
      <c r="J1109" s="9" t="str">
        <f t="shared" si="280"/>
        <v>Yes</v>
      </c>
      <c r="K1109" s="5" t="str">
        <f>IF(COUNTIF(Bank_Holidays!A:A,A1109)&gt;0,"Yes","No")</f>
        <v>No</v>
      </c>
      <c r="L1109" t="str">
        <f t="shared" si="281"/>
        <v>No</v>
      </c>
      <c r="M1109">
        <f t="shared" si="282"/>
        <v>32</v>
      </c>
      <c r="N1109" s="5" t="str">
        <f t="shared" si="283"/>
        <v>No</v>
      </c>
      <c r="O1109" t="str">
        <f>IF(A1109=WORKDAY(EOMONTH(A1109,0)+1,-1,Bank_Holidays!$A$2:$A$25),"Yes","No")</f>
        <v>No</v>
      </c>
      <c r="P1109" t="str">
        <f t="shared" si="284"/>
        <v>No</v>
      </c>
      <c r="Q1109" t="str">
        <f t="shared" si="285"/>
        <v>No</v>
      </c>
      <c r="R1109" s="5">
        <f t="shared" si="287"/>
        <v>0</v>
      </c>
    </row>
    <row r="1110" spans="1:18">
      <c r="A1110" s="25">
        <f t="shared" si="286"/>
        <v>47343</v>
      </c>
      <c r="B1110">
        <f t="shared" si="272"/>
        <v>2029</v>
      </c>
      <c r="C1110" s="9">
        <f t="shared" si="273"/>
        <v>8</v>
      </c>
      <c r="D1110" s="9" t="str">
        <f t="shared" si="274"/>
        <v>August</v>
      </c>
      <c r="E1110" s="9" t="str">
        <f t="shared" si="275"/>
        <v>Aug-29</v>
      </c>
      <c r="F1110" s="9" t="str">
        <f t="shared" si="276"/>
        <v>Q3</v>
      </c>
      <c r="G1110" s="9">
        <f t="shared" si="277"/>
        <v>13</v>
      </c>
      <c r="H1110" s="9">
        <f t="shared" si="278"/>
        <v>1</v>
      </c>
      <c r="I1110" s="9" t="str">
        <f t="shared" si="279"/>
        <v>Monday</v>
      </c>
      <c r="J1110" s="9" t="str">
        <f t="shared" si="280"/>
        <v>No</v>
      </c>
      <c r="K1110" s="5" t="str">
        <f>IF(COUNTIF(Bank_Holidays!A:A,A1110)&gt;0,"Yes","No")</f>
        <v>No</v>
      </c>
      <c r="L1110" t="str">
        <f t="shared" si="281"/>
        <v>Yes</v>
      </c>
      <c r="M1110">
        <f t="shared" si="282"/>
        <v>33</v>
      </c>
      <c r="N1110" s="5" t="str">
        <f t="shared" si="283"/>
        <v>No</v>
      </c>
      <c r="O1110" t="str">
        <f>IF(A1110=WORKDAY(EOMONTH(A1110,0)+1,-1,Bank_Holidays!$A$2:$A$25),"Yes","No")</f>
        <v>No</v>
      </c>
      <c r="P1110" t="str">
        <f t="shared" si="284"/>
        <v>No</v>
      </c>
      <c r="Q1110" t="str">
        <f t="shared" si="285"/>
        <v>No</v>
      </c>
      <c r="R1110" s="5">
        <f t="shared" si="287"/>
        <v>1</v>
      </c>
    </row>
    <row r="1111" spans="1:18">
      <c r="A1111" s="25">
        <f t="shared" si="286"/>
        <v>47344</v>
      </c>
      <c r="B1111">
        <f t="shared" si="272"/>
        <v>2029</v>
      </c>
      <c r="C1111" s="9">
        <f t="shared" si="273"/>
        <v>8</v>
      </c>
      <c r="D1111" s="9" t="str">
        <f t="shared" si="274"/>
        <v>August</v>
      </c>
      <c r="E1111" s="9" t="str">
        <f t="shared" si="275"/>
        <v>Aug-29</v>
      </c>
      <c r="F1111" s="9" t="str">
        <f t="shared" si="276"/>
        <v>Q3</v>
      </c>
      <c r="G1111" s="9">
        <f t="shared" si="277"/>
        <v>14</v>
      </c>
      <c r="H1111" s="9">
        <f t="shared" si="278"/>
        <v>2</v>
      </c>
      <c r="I1111" s="9" t="str">
        <f t="shared" si="279"/>
        <v>Tuesday</v>
      </c>
      <c r="J1111" s="9" t="str">
        <f t="shared" si="280"/>
        <v>No</v>
      </c>
      <c r="K1111" s="5" t="str">
        <f>IF(COUNTIF(Bank_Holidays!A:A,A1111)&gt;0,"Yes","No")</f>
        <v>No</v>
      </c>
      <c r="L1111" t="str">
        <f t="shared" si="281"/>
        <v>Yes</v>
      </c>
      <c r="M1111">
        <f t="shared" si="282"/>
        <v>33</v>
      </c>
      <c r="N1111" s="5" t="str">
        <f t="shared" si="283"/>
        <v>No</v>
      </c>
      <c r="O1111" t="str">
        <f>IF(A1111=WORKDAY(EOMONTH(A1111,0)+1,-1,Bank_Holidays!$A$2:$A$25),"Yes","No")</f>
        <v>No</v>
      </c>
      <c r="P1111" t="str">
        <f t="shared" si="284"/>
        <v>No</v>
      </c>
      <c r="Q1111" t="str">
        <f t="shared" si="285"/>
        <v>No</v>
      </c>
      <c r="R1111" s="5">
        <f t="shared" si="287"/>
        <v>1</v>
      </c>
    </row>
    <row r="1112" spans="1:18">
      <c r="A1112" s="25">
        <f t="shared" si="286"/>
        <v>47345</v>
      </c>
      <c r="B1112">
        <f t="shared" si="272"/>
        <v>2029</v>
      </c>
      <c r="C1112" s="9">
        <f t="shared" si="273"/>
        <v>8</v>
      </c>
      <c r="D1112" s="9" t="str">
        <f t="shared" si="274"/>
        <v>August</v>
      </c>
      <c r="E1112" s="9" t="str">
        <f t="shared" si="275"/>
        <v>Aug-29</v>
      </c>
      <c r="F1112" s="9" t="str">
        <f t="shared" si="276"/>
        <v>Q3</v>
      </c>
      <c r="G1112" s="9">
        <f t="shared" si="277"/>
        <v>15</v>
      </c>
      <c r="H1112" s="9">
        <f t="shared" si="278"/>
        <v>3</v>
      </c>
      <c r="I1112" s="9" t="str">
        <f t="shared" si="279"/>
        <v>Wednesday</v>
      </c>
      <c r="J1112" s="9" t="str">
        <f t="shared" si="280"/>
        <v>No</v>
      </c>
      <c r="K1112" s="5" t="str">
        <f>IF(COUNTIF(Bank_Holidays!A:A,A1112)&gt;0,"Yes","No")</f>
        <v>No</v>
      </c>
      <c r="L1112" t="str">
        <f t="shared" si="281"/>
        <v>Yes</v>
      </c>
      <c r="M1112">
        <f t="shared" si="282"/>
        <v>33</v>
      </c>
      <c r="N1112" s="5" t="str">
        <f t="shared" si="283"/>
        <v>No</v>
      </c>
      <c r="O1112" t="str">
        <f>IF(A1112=WORKDAY(EOMONTH(A1112,0)+1,-1,Bank_Holidays!$A$2:$A$25),"Yes","No")</f>
        <v>No</v>
      </c>
      <c r="P1112" t="str">
        <f t="shared" si="284"/>
        <v>No</v>
      </c>
      <c r="Q1112" t="str">
        <f t="shared" si="285"/>
        <v>No</v>
      </c>
      <c r="R1112" s="5">
        <f t="shared" si="287"/>
        <v>1</v>
      </c>
    </row>
    <row r="1113" spans="1:18">
      <c r="A1113" s="25">
        <f t="shared" si="286"/>
        <v>47346</v>
      </c>
      <c r="B1113">
        <f t="shared" si="272"/>
        <v>2029</v>
      </c>
      <c r="C1113" s="9">
        <f t="shared" si="273"/>
        <v>8</v>
      </c>
      <c r="D1113" s="9" t="str">
        <f t="shared" si="274"/>
        <v>August</v>
      </c>
      <c r="E1113" s="9" t="str">
        <f t="shared" si="275"/>
        <v>Aug-29</v>
      </c>
      <c r="F1113" s="9" t="str">
        <f t="shared" si="276"/>
        <v>Q3</v>
      </c>
      <c r="G1113" s="9">
        <f t="shared" si="277"/>
        <v>16</v>
      </c>
      <c r="H1113" s="9">
        <f t="shared" si="278"/>
        <v>4</v>
      </c>
      <c r="I1113" s="9" t="str">
        <f t="shared" si="279"/>
        <v>Thursday</v>
      </c>
      <c r="J1113" s="9" t="str">
        <f t="shared" si="280"/>
        <v>No</v>
      </c>
      <c r="K1113" s="5" t="str">
        <f>IF(COUNTIF(Bank_Holidays!A:A,A1113)&gt;0,"Yes","No")</f>
        <v>No</v>
      </c>
      <c r="L1113" t="str">
        <f t="shared" si="281"/>
        <v>Yes</v>
      </c>
      <c r="M1113">
        <f t="shared" si="282"/>
        <v>33</v>
      </c>
      <c r="N1113" s="5" t="str">
        <f t="shared" si="283"/>
        <v>No</v>
      </c>
      <c r="O1113" t="str">
        <f>IF(A1113=WORKDAY(EOMONTH(A1113,0)+1,-1,Bank_Holidays!$A$2:$A$25),"Yes","No")</f>
        <v>No</v>
      </c>
      <c r="P1113" t="str">
        <f t="shared" si="284"/>
        <v>No</v>
      </c>
      <c r="Q1113" t="str">
        <f t="shared" si="285"/>
        <v>No</v>
      </c>
      <c r="R1113" s="5">
        <f t="shared" si="287"/>
        <v>1</v>
      </c>
    </row>
    <row r="1114" spans="1:18">
      <c r="A1114" s="25">
        <f t="shared" si="286"/>
        <v>47347</v>
      </c>
      <c r="B1114">
        <f t="shared" si="272"/>
        <v>2029</v>
      </c>
      <c r="C1114" s="9">
        <f t="shared" si="273"/>
        <v>8</v>
      </c>
      <c r="D1114" s="9" t="str">
        <f t="shared" si="274"/>
        <v>August</v>
      </c>
      <c r="E1114" s="9" t="str">
        <f t="shared" si="275"/>
        <v>Aug-29</v>
      </c>
      <c r="F1114" s="9" t="str">
        <f t="shared" si="276"/>
        <v>Q3</v>
      </c>
      <c r="G1114" s="9">
        <f t="shared" si="277"/>
        <v>17</v>
      </c>
      <c r="H1114" s="9">
        <f t="shared" si="278"/>
        <v>5</v>
      </c>
      <c r="I1114" s="9" t="str">
        <f t="shared" si="279"/>
        <v>Friday</v>
      </c>
      <c r="J1114" s="9" t="str">
        <f t="shared" si="280"/>
        <v>No</v>
      </c>
      <c r="K1114" s="5" t="str">
        <f>IF(COUNTIF(Bank_Holidays!A:A,A1114)&gt;0,"Yes","No")</f>
        <v>No</v>
      </c>
      <c r="L1114" t="str">
        <f t="shared" si="281"/>
        <v>Yes</v>
      </c>
      <c r="M1114">
        <f t="shared" si="282"/>
        <v>33</v>
      </c>
      <c r="N1114" s="5" t="str">
        <f t="shared" si="283"/>
        <v>No</v>
      </c>
      <c r="O1114" t="str">
        <f>IF(A1114=WORKDAY(EOMONTH(A1114,0)+1,-1,Bank_Holidays!$A$2:$A$25),"Yes","No")</f>
        <v>No</v>
      </c>
      <c r="P1114" t="str">
        <f t="shared" si="284"/>
        <v>No</v>
      </c>
      <c r="Q1114" t="str">
        <f t="shared" si="285"/>
        <v>No</v>
      </c>
      <c r="R1114" s="5">
        <f t="shared" si="287"/>
        <v>3</v>
      </c>
    </row>
    <row r="1115" spans="1:18">
      <c r="A1115" s="25">
        <f t="shared" si="286"/>
        <v>47348</v>
      </c>
      <c r="B1115">
        <f t="shared" si="272"/>
        <v>2029</v>
      </c>
      <c r="C1115" s="9">
        <f t="shared" si="273"/>
        <v>8</v>
      </c>
      <c r="D1115" s="9" t="str">
        <f t="shared" si="274"/>
        <v>August</v>
      </c>
      <c r="E1115" s="9" t="str">
        <f t="shared" si="275"/>
        <v>Aug-29</v>
      </c>
      <c r="F1115" s="9" t="str">
        <f t="shared" si="276"/>
        <v>Q3</v>
      </c>
      <c r="G1115" s="9">
        <f t="shared" si="277"/>
        <v>18</v>
      </c>
      <c r="H1115" s="9">
        <f t="shared" si="278"/>
        <v>6</v>
      </c>
      <c r="I1115" s="9" t="str">
        <f t="shared" si="279"/>
        <v>Saturday</v>
      </c>
      <c r="J1115" s="9" t="str">
        <f t="shared" si="280"/>
        <v>Yes</v>
      </c>
      <c r="K1115" s="5" t="str">
        <f>IF(COUNTIF(Bank_Holidays!A:A,A1115)&gt;0,"Yes","No")</f>
        <v>No</v>
      </c>
      <c r="L1115" t="str">
        <f t="shared" si="281"/>
        <v>No</v>
      </c>
      <c r="M1115">
        <f t="shared" si="282"/>
        <v>33</v>
      </c>
      <c r="N1115" s="5" t="str">
        <f t="shared" si="283"/>
        <v>No</v>
      </c>
      <c r="O1115" t="str">
        <f>IF(A1115=WORKDAY(EOMONTH(A1115,0)+1,-1,Bank_Holidays!$A$2:$A$25),"Yes","No")</f>
        <v>No</v>
      </c>
      <c r="P1115" t="str">
        <f t="shared" si="284"/>
        <v>No</v>
      </c>
      <c r="Q1115" t="str">
        <f t="shared" si="285"/>
        <v>No</v>
      </c>
      <c r="R1115" s="5">
        <f t="shared" si="287"/>
        <v>0</v>
      </c>
    </row>
    <row r="1116" spans="1:18">
      <c r="A1116" s="25">
        <f t="shared" si="286"/>
        <v>47349</v>
      </c>
      <c r="B1116">
        <f t="shared" si="272"/>
        <v>2029</v>
      </c>
      <c r="C1116" s="9">
        <f t="shared" si="273"/>
        <v>8</v>
      </c>
      <c r="D1116" s="9" t="str">
        <f t="shared" si="274"/>
        <v>August</v>
      </c>
      <c r="E1116" s="9" t="str">
        <f t="shared" si="275"/>
        <v>Aug-29</v>
      </c>
      <c r="F1116" s="9" t="str">
        <f t="shared" si="276"/>
        <v>Q3</v>
      </c>
      <c r="G1116" s="9">
        <f t="shared" si="277"/>
        <v>19</v>
      </c>
      <c r="H1116" s="9">
        <f t="shared" si="278"/>
        <v>7</v>
      </c>
      <c r="I1116" s="9" t="str">
        <f t="shared" si="279"/>
        <v>Sunday</v>
      </c>
      <c r="J1116" s="9" t="str">
        <f t="shared" si="280"/>
        <v>Yes</v>
      </c>
      <c r="K1116" s="5" t="str">
        <f>IF(COUNTIF(Bank_Holidays!A:A,A1116)&gt;0,"Yes","No")</f>
        <v>No</v>
      </c>
      <c r="L1116" t="str">
        <f t="shared" si="281"/>
        <v>No</v>
      </c>
      <c r="M1116">
        <f t="shared" si="282"/>
        <v>33</v>
      </c>
      <c r="N1116" s="5" t="str">
        <f t="shared" si="283"/>
        <v>No</v>
      </c>
      <c r="O1116" t="str">
        <f>IF(A1116=WORKDAY(EOMONTH(A1116,0)+1,-1,Bank_Holidays!$A$2:$A$25),"Yes","No")</f>
        <v>No</v>
      </c>
      <c r="P1116" t="str">
        <f t="shared" si="284"/>
        <v>No</v>
      </c>
      <c r="Q1116" t="str">
        <f t="shared" si="285"/>
        <v>No</v>
      </c>
      <c r="R1116" s="5">
        <f t="shared" si="287"/>
        <v>0</v>
      </c>
    </row>
    <row r="1117" spans="1:18">
      <c r="A1117" s="25">
        <f t="shared" si="286"/>
        <v>47350</v>
      </c>
      <c r="B1117">
        <f t="shared" si="272"/>
        <v>2029</v>
      </c>
      <c r="C1117" s="9">
        <f t="shared" si="273"/>
        <v>8</v>
      </c>
      <c r="D1117" s="9" t="str">
        <f t="shared" si="274"/>
        <v>August</v>
      </c>
      <c r="E1117" s="9" t="str">
        <f t="shared" si="275"/>
        <v>Aug-29</v>
      </c>
      <c r="F1117" s="9" t="str">
        <f t="shared" si="276"/>
        <v>Q3</v>
      </c>
      <c r="G1117" s="9">
        <f t="shared" si="277"/>
        <v>20</v>
      </c>
      <c r="H1117" s="9">
        <f t="shared" si="278"/>
        <v>1</v>
      </c>
      <c r="I1117" s="9" t="str">
        <f t="shared" si="279"/>
        <v>Monday</v>
      </c>
      <c r="J1117" s="9" t="str">
        <f t="shared" si="280"/>
        <v>No</v>
      </c>
      <c r="K1117" s="5" t="str">
        <f>IF(COUNTIF(Bank_Holidays!A:A,A1117)&gt;0,"Yes","No")</f>
        <v>No</v>
      </c>
      <c r="L1117" t="str">
        <f t="shared" si="281"/>
        <v>Yes</v>
      </c>
      <c r="M1117">
        <f t="shared" si="282"/>
        <v>34</v>
      </c>
      <c r="N1117" s="5" t="str">
        <f t="shared" si="283"/>
        <v>No</v>
      </c>
      <c r="O1117" t="str">
        <f>IF(A1117=WORKDAY(EOMONTH(A1117,0)+1,-1,Bank_Holidays!$A$2:$A$25),"Yes","No")</f>
        <v>No</v>
      </c>
      <c r="P1117" t="str">
        <f t="shared" si="284"/>
        <v>No</v>
      </c>
      <c r="Q1117" t="str">
        <f t="shared" si="285"/>
        <v>No</v>
      </c>
      <c r="R1117" s="5">
        <f t="shared" si="287"/>
        <v>1</v>
      </c>
    </row>
    <row r="1118" spans="1:18">
      <c r="A1118" s="25">
        <f t="shared" si="286"/>
        <v>47351</v>
      </c>
      <c r="B1118">
        <f t="shared" si="272"/>
        <v>2029</v>
      </c>
      <c r="C1118" s="9">
        <f t="shared" si="273"/>
        <v>8</v>
      </c>
      <c r="D1118" s="9" t="str">
        <f t="shared" si="274"/>
        <v>August</v>
      </c>
      <c r="E1118" s="9" t="str">
        <f t="shared" si="275"/>
        <v>Aug-29</v>
      </c>
      <c r="F1118" s="9" t="str">
        <f t="shared" si="276"/>
        <v>Q3</v>
      </c>
      <c r="G1118" s="9">
        <f t="shared" si="277"/>
        <v>21</v>
      </c>
      <c r="H1118" s="9">
        <f t="shared" si="278"/>
        <v>2</v>
      </c>
      <c r="I1118" s="9" t="str">
        <f t="shared" si="279"/>
        <v>Tuesday</v>
      </c>
      <c r="J1118" s="9" t="str">
        <f t="shared" si="280"/>
        <v>No</v>
      </c>
      <c r="K1118" s="5" t="str">
        <f>IF(COUNTIF(Bank_Holidays!A:A,A1118)&gt;0,"Yes","No")</f>
        <v>No</v>
      </c>
      <c r="L1118" t="str">
        <f t="shared" si="281"/>
        <v>Yes</v>
      </c>
      <c r="M1118">
        <f t="shared" si="282"/>
        <v>34</v>
      </c>
      <c r="N1118" s="5" t="str">
        <f t="shared" si="283"/>
        <v>No</v>
      </c>
      <c r="O1118" t="str">
        <f>IF(A1118=WORKDAY(EOMONTH(A1118,0)+1,-1,Bank_Holidays!$A$2:$A$25),"Yes","No")</f>
        <v>No</v>
      </c>
      <c r="P1118" t="str">
        <f t="shared" si="284"/>
        <v>No</v>
      </c>
      <c r="Q1118" t="str">
        <f t="shared" si="285"/>
        <v>No</v>
      </c>
      <c r="R1118" s="5">
        <f t="shared" si="287"/>
        <v>1</v>
      </c>
    </row>
    <row r="1119" spans="1:18">
      <c r="A1119" s="25">
        <f t="shared" si="286"/>
        <v>47352</v>
      </c>
      <c r="B1119">
        <f t="shared" si="272"/>
        <v>2029</v>
      </c>
      <c r="C1119" s="9">
        <f t="shared" si="273"/>
        <v>8</v>
      </c>
      <c r="D1119" s="9" t="str">
        <f t="shared" si="274"/>
        <v>August</v>
      </c>
      <c r="E1119" s="9" t="str">
        <f t="shared" si="275"/>
        <v>Aug-29</v>
      </c>
      <c r="F1119" s="9" t="str">
        <f t="shared" si="276"/>
        <v>Q3</v>
      </c>
      <c r="G1119" s="9">
        <f t="shared" si="277"/>
        <v>22</v>
      </c>
      <c r="H1119" s="9">
        <f t="shared" si="278"/>
        <v>3</v>
      </c>
      <c r="I1119" s="9" t="str">
        <f t="shared" si="279"/>
        <v>Wednesday</v>
      </c>
      <c r="J1119" s="9" t="str">
        <f t="shared" si="280"/>
        <v>No</v>
      </c>
      <c r="K1119" s="5" t="str">
        <f>IF(COUNTIF(Bank_Holidays!A:A,A1119)&gt;0,"Yes","No")</f>
        <v>No</v>
      </c>
      <c r="L1119" t="str">
        <f t="shared" si="281"/>
        <v>Yes</v>
      </c>
      <c r="M1119">
        <f t="shared" si="282"/>
        <v>34</v>
      </c>
      <c r="N1119" s="5" t="str">
        <f t="shared" si="283"/>
        <v>No</v>
      </c>
      <c r="O1119" t="str">
        <f>IF(A1119=WORKDAY(EOMONTH(A1119,0)+1,-1,Bank_Holidays!$A$2:$A$25),"Yes","No")</f>
        <v>No</v>
      </c>
      <c r="P1119" t="str">
        <f t="shared" si="284"/>
        <v>No</v>
      </c>
      <c r="Q1119" t="str">
        <f t="shared" si="285"/>
        <v>No</v>
      </c>
      <c r="R1119" s="5">
        <f t="shared" si="287"/>
        <v>1</v>
      </c>
    </row>
    <row r="1120" spans="1:18">
      <c r="A1120" s="25">
        <f t="shared" si="286"/>
        <v>47353</v>
      </c>
      <c r="B1120">
        <f t="shared" si="272"/>
        <v>2029</v>
      </c>
      <c r="C1120" s="9">
        <f t="shared" si="273"/>
        <v>8</v>
      </c>
      <c r="D1120" s="9" t="str">
        <f t="shared" si="274"/>
        <v>August</v>
      </c>
      <c r="E1120" s="9" t="str">
        <f t="shared" si="275"/>
        <v>Aug-29</v>
      </c>
      <c r="F1120" s="9" t="str">
        <f t="shared" si="276"/>
        <v>Q3</v>
      </c>
      <c r="G1120" s="9">
        <f t="shared" si="277"/>
        <v>23</v>
      </c>
      <c r="H1120" s="9">
        <f t="shared" si="278"/>
        <v>4</v>
      </c>
      <c r="I1120" s="9" t="str">
        <f t="shared" si="279"/>
        <v>Thursday</v>
      </c>
      <c r="J1120" s="9" t="str">
        <f t="shared" si="280"/>
        <v>No</v>
      </c>
      <c r="K1120" s="5" t="str">
        <f>IF(COUNTIF(Bank_Holidays!A:A,A1120)&gt;0,"Yes","No")</f>
        <v>No</v>
      </c>
      <c r="L1120" t="str">
        <f t="shared" si="281"/>
        <v>Yes</v>
      </c>
      <c r="M1120">
        <f t="shared" si="282"/>
        <v>34</v>
      </c>
      <c r="N1120" s="5" t="str">
        <f t="shared" si="283"/>
        <v>No</v>
      </c>
      <c r="O1120" t="str">
        <f>IF(A1120=WORKDAY(EOMONTH(A1120,0)+1,-1,Bank_Holidays!$A$2:$A$25),"Yes","No")</f>
        <v>No</v>
      </c>
      <c r="P1120" t="str">
        <f t="shared" si="284"/>
        <v>No</v>
      </c>
      <c r="Q1120" t="str">
        <f t="shared" si="285"/>
        <v>No</v>
      </c>
      <c r="R1120" s="5">
        <f t="shared" si="287"/>
        <v>1</v>
      </c>
    </row>
    <row r="1121" spans="1:18">
      <c r="A1121" s="25">
        <f t="shared" si="286"/>
        <v>47354</v>
      </c>
      <c r="B1121">
        <f t="shared" si="272"/>
        <v>2029</v>
      </c>
      <c r="C1121" s="9">
        <f t="shared" si="273"/>
        <v>8</v>
      </c>
      <c r="D1121" s="9" t="str">
        <f t="shared" si="274"/>
        <v>August</v>
      </c>
      <c r="E1121" s="9" t="str">
        <f t="shared" si="275"/>
        <v>Aug-29</v>
      </c>
      <c r="F1121" s="9" t="str">
        <f t="shared" si="276"/>
        <v>Q3</v>
      </c>
      <c r="G1121" s="9">
        <f t="shared" si="277"/>
        <v>24</v>
      </c>
      <c r="H1121" s="9">
        <f t="shared" si="278"/>
        <v>5</v>
      </c>
      <c r="I1121" s="9" t="str">
        <f t="shared" si="279"/>
        <v>Friday</v>
      </c>
      <c r="J1121" s="9" t="str">
        <f t="shared" si="280"/>
        <v>No</v>
      </c>
      <c r="K1121" s="5" t="str">
        <f>IF(COUNTIF(Bank_Holidays!A:A,A1121)&gt;0,"Yes","No")</f>
        <v>No</v>
      </c>
      <c r="L1121" t="str">
        <f t="shared" si="281"/>
        <v>Yes</v>
      </c>
      <c r="M1121">
        <f t="shared" si="282"/>
        <v>34</v>
      </c>
      <c r="N1121" s="5" t="str">
        <f t="shared" si="283"/>
        <v>No</v>
      </c>
      <c r="O1121" t="str">
        <f>IF(A1121=WORKDAY(EOMONTH(A1121,0)+1,-1,Bank_Holidays!$A$2:$A$25),"Yes","No")</f>
        <v>No</v>
      </c>
      <c r="P1121" t="str">
        <f t="shared" si="284"/>
        <v>No</v>
      </c>
      <c r="Q1121" t="str">
        <f t="shared" si="285"/>
        <v>No</v>
      </c>
      <c r="R1121" s="5">
        <f t="shared" si="287"/>
        <v>3</v>
      </c>
    </row>
    <row r="1122" spans="1:18">
      <c r="A1122" s="25">
        <f t="shared" si="286"/>
        <v>47355</v>
      </c>
      <c r="B1122">
        <f t="shared" si="272"/>
        <v>2029</v>
      </c>
      <c r="C1122" s="9">
        <f t="shared" si="273"/>
        <v>8</v>
      </c>
      <c r="D1122" s="9" t="str">
        <f t="shared" si="274"/>
        <v>August</v>
      </c>
      <c r="E1122" s="9" t="str">
        <f t="shared" si="275"/>
        <v>Aug-29</v>
      </c>
      <c r="F1122" s="9" t="str">
        <f t="shared" si="276"/>
        <v>Q3</v>
      </c>
      <c r="G1122" s="9">
        <f t="shared" si="277"/>
        <v>25</v>
      </c>
      <c r="H1122" s="9">
        <f t="shared" si="278"/>
        <v>6</v>
      </c>
      <c r="I1122" s="9" t="str">
        <f t="shared" si="279"/>
        <v>Saturday</v>
      </c>
      <c r="J1122" s="9" t="str">
        <f t="shared" si="280"/>
        <v>Yes</v>
      </c>
      <c r="K1122" s="5" t="str">
        <f>IF(COUNTIF(Bank_Holidays!A:A,A1122)&gt;0,"Yes","No")</f>
        <v>No</v>
      </c>
      <c r="L1122" t="str">
        <f t="shared" si="281"/>
        <v>No</v>
      </c>
      <c r="M1122">
        <f t="shared" si="282"/>
        <v>34</v>
      </c>
      <c r="N1122" s="5" t="str">
        <f t="shared" si="283"/>
        <v>No</v>
      </c>
      <c r="O1122" t="str">
        <f>IF(A1122=WORKDAY(EOMONTH(A1122,0)+1,-1,Bank_Holidays!$A$2:$A$25),"Yes","No")</f>
        <v>No</v>
      </c>
      <c r="P1122" t="str">
        <f t="shared" si="284"/>
        <v>No</v>
      </c>
      <c r="Q1122" t="str">
        <f t="shared" si="285"/>
        <v>No</v>
      </c>
      <c r="R1122" s="5">
        <f t="shared" si="287"/>
        <v>0</v>
      </c>
    </row>
    <row r="1123" spans="1:18">
      <c r="A1123" s="25">
        <f t="shared" si="286"/>
        <v>47356</v>
      </c>
      <c r="B1123">
        <f t="shared" si="272"/>
        <v>2029</v>
      </c>
      <c r="C1123" s="9">
        <f t="shared" si="273"/>
        <v>8</v>
      </c>
      <c r="D1123" s="9" t="str">
        <f t="shared" si="274"/>
        <v>August</v>
      </c>
      <c r="E1123" s="9" t="str">
        <f t="shared" si="275"/>
        <v>Aug-29</v>
      </c>
      <c r="F1123" s="9" t="str">
        <f t="shared" si="276"/>
        <v>Q3</v>
      </c>
      <c r="G1123" s="9">
        <f t="shared" si="277"/>
        <v>26</v>
      </c>
      <c r="H1123" s="9">
        <f t="shared" si="278"/>
        <v>7</v>
      </c>
      <c r="I1123" s="9" t="str">
        <f t="shared" si="279"/>
        <v>Sunday</v>
      </c>
      <c r="J1123" s="9" t="str">
        <f t="shared" si="280"/>
        <v>Yes</v>
      </c>
      <c r="K1123" s="5" t="str">
        <f>IF(COUNTIF(Bank_Holidays!A:A,A1123)&gt;0,"Yes","No")</f>
        <v>No</v>
      </c>
      <c r="L1123" t="str">
        <f t="shared" si="281"/>
        <v>No</v>
      </c>
      <c r="M1123">
        <f t="shared" si="282"/>
        <v>34</v>
      </c>
      <c r="N1123" s="5" t="str">
        <f t="shared" si="283"/>
        <v>No</v>
      </c>
      <c r="O1123" t="str">
        <f>IF(A1123=WORKDAY(EOMONTH(A1123,0)+1,-1,Bank_Holidays!$A$2:$A$25),"Yes","No")</f>
        <v>No</v>
      </c>
      <c r="P1123" t="str">
        <f t="shared" si="284"/>
        <v>No</v>
      </c>
      <c r="Q1123" t="str">
        <f t="shared" si="285"/>
        <v>No</v>
      </c>
      <c r="R1123" s="5">
        <f t="shared" si="287"/>
        <v>0</v>
      </c>
    </row>
    <row r="1124" spans="1:18">
      <c r="A1124" s="25">
        <f t="shared" si="286"/>
        <v>47357</v>
      </c>
      <c r="B1124">
        <f t="shared" si="272"/>
        <v>2029</v>
      </c>
      <c r="C1124" s="9">
        <f t="shared" si="273"/>
        <v>8</v>
      </c>
      <c r="D1124" s="9" t="str">
        <f t="shared" si="274"/>
        <v>August</v>
      </c>
      <c r="E1124" s="9" t="str">
        <f t="shared" si="275"/>
        <v>Aug-29</v>
      </c>
      <c r="F1124" s="9" t="str">
        <f t="shared" si="276"/>
        <v>Q3</v>
      </c>
      <c r="G1124" s="9">
        <f t="shared" si="277"/>
        <v>27</v>
      </c>
      <c r="H1124" s="9">
        <f t="shared" si="278"/>
        <v>1</v>
      </c>
      <c r="I1124" s="9" t="str">
        <f t="shared" si="279"/>
        <v>Monday</v>
      </c>
      <c r="J1124" s="9" t="str">
        <f t="shared" si="280"/>
        <v>No</v>
      </c>
      <c r="K1124" s="5" t="str">
        <f>IF(COUNTIF(Bank_Holidays!A:A,A1124)&gt;0,"Yes","No")</f>
        <v>No</v>
      </c>
      <c r="L1124" t="str">
        <f t="shared" si="281"/>
        <v>Yes</v>
      </c>
      <c r="M1124">
        <f t="shared" si="282"/>
        <v>35</v>
      </c>
      <c r="N1124" s="5" t="str">
        <f t="shared" si="283"/>
        <v>No</v>
      </c>
      <c r="O1124" t="str">
        <f>IF(A1124=WORKDAY(EOMONTH(A1124,0)+1,-1,Bank_Holidays!$A$2:$A$25),"Yes","No")</f>
        <v>No</v>
      </c>
      <c r="P1124" t="str">
        <f t="shared" si="284"/>
        <v>No</v>
      </c>
      <c r="Q1124" t="str">
        <f t="shared" si="285"/>
        <v>No</v>
      </c>
      <c r="R1124" s="5">
        <f t="shared" si="287"/>
        <v>1</v>
      </c>
    </row>
    <row r="1125" spans="1:18">
      <c r="A1125" s="25">
        <f t="shared" si="286"/>
        <v>47358</v>
      </c>
      <c r="B1125">
        <f t="shared" si="272"/>
        <v>2029</v>
      </c>
      <c r="C1125" s="9">
        <f t="shared" si="273"/>
        <v>8</v>
      </c>
      <c r="D1125" s="9" t="str">
        <f t="shared" si="274"/>
        <v>August</v>
      </c>
      <c r="E1125" s="9" t="str">
        <f t="shared" si="275"/>
        <v>Aug-29</v>
      </c>
      <c r="F1125" s="9" t="str">
        <f t="shared" si="276"/>
        <v>Q3</v>
      </c>
      <c r="G1125" s="9">
        <f t="shared" si="277"/>
        <v>28</v>
      </c>
      <c r="H1125" s="9">
        <f t="shared" si="278"/>
        <v>2</v>
      </c>
      <c r="I1125" s="9" t="str">
        <f t="shared" si="279"/>
        <v>Tuesday</v>
      </c>
      <c r="J1125" s="9" t="str">
        <f t="shared" si="280"/>
        <v>No</v>
      </c>
      <c r="K1125" s="5" t="str">
        <f>IF(COUNTIF(Bank_Holidays!A:A,A1125)&gt;0,"Yes","No")</f>
        <v>No</v>
      </c>
      <c r="L1125" t="str">
        <f t="shared" si="281"/>
        <v>Yes</v>
      </c>
      <c r="M1125">
        <f t="shared" si="282"/>
        <v>35</v>
      </c>
      <c r="N1125" s="5" t="str">
        <f t="shared" si="283"/>
        <v>No</v>
      </c>
      <c r="O1125" t="str">
        <f>IF(A1125=WORKDAY(EOMONTH(A1125,0)+1,-1,Bank_Holidays!$A$2:$A$25),"Yes","No")</f>
        <v>No</v>
      </c>
      <c r="P1125" t="str">
        <f t="shared" si="284"/>
        <v>No</v>
      </c>
      <c r="Q1125" t="str">
        <f t="shared" si="285"/>
        <v>No</v>
      </c>
      <c r="R1125" s="5">
        <f t="shared" si="287"/>
        <v>1</v>
      </c>
    </row>
    <row r="1126" spans="1:18">
      <c r="A1126" s="25">
        <f t="shared" si="286"/>
        <v>47359</v>
      </c>
      <c r="B1126">
        <f t="shared" si="272"/>
        <v>2029</v>
      </c>
      <c r="C1126" s="9">
        <f t="shared" si="273"/>
        <v>8</v>
      </c>
      <c r="D1126" s="9" t="str">
        <f t="shared" si="274"/>
        <v>August</v>
      </c>
      <c r="E1126" s="9" t="str">
        <f t="shared" si="275"/>
        <v>Aug-29</v>
      </c>
      <c r="F1126" s="9" t="str">
        <f t="shared" si="276"/>
        <v>Q3</v>
      </c>
      <c r="G1126" s="9">
        <f t="shared" si="277"/>
        <v>29</v>
      </c>
      <c r="H1126" s="9">
        <f t="shared" si="278"/>
        <v>3</v>
      </c>
      <c r="I1126" s="9" t="str">
        <f t="shared" si="279"/>
        <v>Wednesday</v>
      </c>
      <c r="J1126" s="9" t="str">
        <f t="shared" si="280"/>
        <v>No</v>
      </c>
      <c r="K1126" s="5" t="str">
        <f>IF(COUNTIF(Bank_Holidays!A:A,A1126)&gt;0,"Yes","No")</f>
        <v>No</v>
      </c>
      <c r="L1126" t="str">
        <f t="shared" si="281"/>
        <v>Yes</v>
      </c>
      <c r="M1126">
        <f t="shared" si="282"/>
        <v>35</v>
      </c>
      <c r="N1126" s="5" t="str">
        <f t="shared" si="283"/>
        <v>No</v>
      </c>
      <c r="O1126" t="str">
        <f>IF(A1126=WORKDAY(EOMONTH(A1126,0)+1,-1,Bank_Holidays!$A$2:$A$25),"Yes","No")</f>
        <v>No</v>
      </c>
      <c r="P1126" t="str">
        <f t="shared" si="284"/>
        <v>No</v>
      </c>
      <c r="Q1126" t="str">
        <f t="shared" si="285"/>
        <v>No</v>
      </c>
      <c r="R1126" s="5">
        <f t="shared" si="287"/>
        <v>1</v>
      </c>
    </row>
    <row r="1127" spans="1:18">
      <c r="A1127" s="25">
        <f t="shared" si="286"/>
        <v>47360</v>
      </c>
      <c r="B1127">
        <f t="shared" si="272"/>
        <v>2029</v>
      </c>
      <c r="C1127" s="9">
        <f t="shared" si="273"/>
        <v>8</v>
      </c>
      <c r="D1127" s="9" t="str">
        <f t="shared" si="274"/>
        <v>August</v>
      </c>
      <c r="E1127" s="9" t="str">
        <f t="shared" si="275"/>
        <v>Aug-29</v>
      </c>
      <c r="F1127" s="9" t="str">
        <f t="shared" si="276"/>
        <v>Q3</v>
      </c>
      <c r="G1127" s="9">
        <f t="shared" si="277"/>
        <v>30</v>
      </c>
      <c r="H1127" s="9">
        <f t="shared" si="278"/>
        <v>4</v>
      </c>
      <c r="I1127" s="9" t="str">
        <f t="shared" si="279"/>
        <v>Thursday</v>
      </c>
      <c r="J1127" s="9" t="str">
        <f t="shared" si="280"/>
        <v>No</v>
      </c>
      <c r="K1127" s="5" t="str">
        <f>IF(COUNTIF(Bank_Holidays!A:A,A1127)&gt;0,"Yes","No")</f>
        <v>No</v>
      </c>
      <c r="L1127" t="str">
        <f t="shared" si="281"/>
        <v>Yes</v>
      </c>
      <c r="M1127">
        <f t="shared" si="282"/>
        <v>35</v>
      </c>
      <c r="N1127" s="5" t="str">
        <f t="shared" si="283"/>
        <v>No</v>
      </c>
      <c r="O1127" t="str">
        <f>IF(A1127=WORKDAY(EOMONTH(A1127,0)+1,-1,Bank_Holidays!$A$2:$A$25),"Yes","No")</f>
        <v>No</v>
      </c>
      <c r="P1127" t="str">
        <f t="shared" si="284"/>
        <v>No</v>
      </c>
      <c r="Q1127" t="str">
        <f t="shared" si="285"/>
        <v>Yes</v>
      </c>
      <c r="R1127" s="5">
        <f t="shared" si="287"/>
        <v>1</v>
      </c>
    </row>
    <row r="1128" spans="1:18">
      <c r="A1128" s="25">
        <f t="shared" si="286"/>
        <v>47361</v>
      </c>
      <c r="B1128">
        <f t="shared" si="272"/>
        <v>2029</v>
      </c>
      <c r="C1128" s="9">
        <f t="shared" si="273"/>
        <v>8</v>
      </c>
      <c r="D1128" s="9" t="str">
        <f t="shared" si="274"/>
        <v>August</v>
      </c>
      <c r="E1128" s="9" t="str">
        <f t="shared" si="275"/>
        <v>Aug-29</v>
      </c>
      <c r="F1128" s="9" t="str">
        <f t="shared" si="276"/>
        <v>Q3</v>
      </c>
      <c r="G1128" s="9">
        <f t="shared" si="277"/>
        <v>31</v>
      </c>
      <c r="H1128" s="9">
        <f t="shared" si="278"/>
        <v>5</v>
      </c>
      <c r="I1128" s="9" t="str">
        <f t="shared" si="279"/>
        <v>Friday</v>
      </c>
      <c r="J1128" s="9" t="str">
        <f t="shared" si="280"/>
        <v>No</v>
      </c>
      <c r="K1128" s="5" t="str">
        <f>IF(COUNTIF(Bank_Holidays!A:A,A1128)&gt;0,"Yes","No")</f>
        <v>No</v>
      </c>
      <c r="L1128" t="str">
        <f t="shared" si="281"/>
        <v>Yes</v>
      </c>
      <c r="M1128">
        <f t="shared" si="282"/>
        <v>35</v>
      </c>
      <c r="N1128" s="5" t="str">
        <f t="shared" si="283"/>
        <v>Yes</v>
      </c>
      <c r="O1128" t="str">
        <f>IF(A1128=WORKDAY(EOMONTH(A1128,0)+1,-1,Bank_Holidays!$A$2:$A$25),"Yes","No")</f>
        <v>Yes</v>
      </c>
      <c r="P1128" t="str">
        <f t="shared" si="284"/>
        <v>Yes</v>
      </c>
      <c r="Q1128" t="str">
        <f t="shared" si="285"/>
        <v>No</v>
      </c>
      <c r="R1128" s="5">
        <f t="shared" si="287"/>
        <v>3</v>
      </c>
    </row>
    <row r="1129" spans="1:18">
      <c r="A1129" s="25">
        <f t="shared" si="286"/>
        <v>47362</v>
      </c>
      <c r="B1129">
        <f t="shared" si="272"/>
        <v>2029</v>
      </c>
      <c r="C1129" s="9">
        <f t="shared" si="273"/>
        <v>9</v>
      </c>
      <c r="D1129" s="9" t="str">
        <f t="shared" si="274"/>
        <v>September</v>
      </c>
      <c r="E1129" s="9" t="str">
        <f t="shared" si="275"/>
        <v>Sep-29</v>
      </c>
      <c r="F1129" s="9" t="str">
        <f t="shared" si="276"/>
        <v>Q3</v>
      </c>
      <c r="G1129" s="9">
        <f t="shared" si="277"/>
        <v>1</v>
      </c>
      <c r="H1129" s="9">
        <f t="shared" si="278"/>
        <v>6</v>
      </c>
      <c r="I1129" s="9" t="str">
        <f t="shared" si="279"/>
        <v>Saturday</v>
      </c>
      <c r="J1129" s="9" t="str">
        <f t="shared" si="280"/>
        <v>Yes</v>
      </c>
      <c r="K1129" s="5" t="str">
        <f>IF(COUNTIF(Bank_Holidays!A:A,A1129)&gt;0,"Yes","No")</f>
        <v>No</v>
      </c>
      <c r="L1129" t="str">
        <f t="shared" si="281"/>
        <v>No</v>
      </c>
      <c r="M1129">
        <f t="shared" si="282"/>
        <v>35</v>
      </c>
      <c r="N1129" s="5" t="str">
        <f t="shared" si="283"/>
        <v>No</v>
      </c>
      <c r="O1129" t="str">
        <f>IF(A1129=WORKDAY(EOMONTH(A1129,0)+1,-1,Bank_Holidays!$A$2:$A$25),"Yes","No")</f>
        <v>No</v>
      </c>
      <c r="P1129" t="str">
        <f t="shared" si="284"/>
        <v>No</v>
      </c>
      <c r="Q1129" t="str">
        <f t="shared" si="285"/>
        <v>No</v>
      </c>
      <c r="R1129" s="5">
        <f t="shared" si="287"/>
        <v>0</v>
      </c>
    </row>
    <row r="1130" spans="1:18">
      <c r="A1130" s="25">
        <f t="shared" si="286"/>
        <v>47363</v>
      </c>
      <c r="B1130">
        <f t="shared" si="272"/>
        <v>2029</v>
      </c>
      <c r="C1130" s="9">
        <f t="shared" si="273"/>
        <v>9</v>
      </c>
      <c r="D1130" s="9" t="str">
        <f t="shared" si="274"/>
        <v>September</v>
      </c>
      <c r="E1130" s="9" t="str">
        <f t="shared" si="275"/>
        <v>Sep-29</v>
      </c>
      <c r="F1130" s="9" t="str">
        <f t="shared" si="276"/>
        <v>Q3</v>
      </c>
      <c r="G1130" s="9">
        <f t="shared" si="277"/>
        <v>2</v>
      </c>
      <c r="H1130" s="9">
        <f t="shared" si="278"/>
        <v>7</v>
      </c>
      <c r="I1130" s="9" t="str">
        <f t="shared" si="279"/>
        <v>Sunday</v>
      </c>
      <c r="J1130" s="9" t="str">
        <f t="shared" si="280"/>
        <v>Yes</v>
      </c>
      <c r="K1130" s="5" t="str">
        <f>IF(COUNTIF(Bank_Holidays!A:A,A1130)&gt;0,"Yes","No")</f>
        <v>No</v>
      </c>
      <c r="L1130" t="str">
        <f t="shared" si="281"/>
        <v>No</v>
      </c>
      <c r="M1130">
        <f t="shared" si="282"/>
        <v>35</v>
      </c>
      <c r="N1130" s="5" t="str">
        <f t="shared" si="283"/>
        <v>No</v>
      </c>
      <c r="O1130" t="str">
        <f>IF(A1130=WORKDAY(EOMONTH(A1130,0)+1,-1,Bank_Holidays!$A$2:$A$25),"Yes","No")</f>
        <v>No</v>
      </c>
      <c r="P1130" t="str">
        <f t="shared" si="284"/>
        <v>No</v>
      </c>
      <c r="Q1130" t="str">
        <f t="shared" si="285"/>
        <v>No</v>
      </c>
      <c r="R1130" s="5">
        <f t="shared" si="287"/>
        <v>0</v>
      </c>
    </row>
    <row r="1131" spans="1:18">
      <c r="A1131" s="25">
        <f t="shared" si="286"/>
        <v>47364</v>
      </c>
      <c r="B1131">
        <f t="shared" si="272"/>
        <v>2029</v>
      </c>
      <c r="C1131" s="9">
        <f t="shared" si="273"/>
        <v>9</v>
      </c>
      <c r="D1131" s="9" t="str">
        <f t="shared" si="274"/>
        <v>September</v>
      </c>
      <c r="E1131" s="9" t="str">
        <f t="shared" si="275"/>
        <v>Sep-29</v>
      </c>
      <c r="F1131" s="9" t="str">
        <f t="shared" si="276"/>
        <v>Q3</v>
      </c>
      <c r="G1131" s="9">
        <f t="shared" si="277"/>
        <v>3</v>
      </c>
      <c r="H1131" s="9">
        <f t="shared" si="278"/>
        <v>1</v>
      </c>
      <c r="I1131" s="9" t="str">
        <f t="shared" si="279"/>
        <v>Monday</v>
      </c>
      <c r="J1131" s="9" t="str">
        <f t="shared" si="280"/>
        <v>No</v>
      </c>
      <c r="K1131" s="5" t="str">
        <f>IF(COUNTIF(Bank_Holidays!A:A,A1131)&gt;0,"Yes","No")</f>
        <v>No</v>
      </c>
      <c r="L1131" t="str">
        <f t="shared" si="281"/>
        <v>Yes</v>
      </c>
      <c r="M1131">
        <f t="shared" si="282"/>
        <v>36</v>
      </c>
      <c r="N1131" s="5" t="str">
        <f t="shared" si="283"/>
        <v>No</v>
      </c>
      <c r="O1131" t="str">
        <f>IF(A1131=WORKDAY(EOMONTH(A1131,0)+1,-1,Bank_Holidays!$A$2:$A$25),"Yes","No")</f>
        <v>No</v>
      </c>
      <c r="P1131" t="str">
        <f t="shared" si="284"/>
        <v>No</v>
      </c>
      <c r="Q1131" t="str">
        <f t="shared" si="285"/>
        <v>No</v>
      </c>
      <c r="R1131" s="5">
        <f t="shared" si="287"/>
        <v>1</v>
      </c>
    </row>
    <row r="1132" spans="1:18">
      <c r="A1132" s="25">
        <f t="shared" si="286"/>
        <v>47365</v>
      </c>
      <c r="B1132">
        <f t="shared" si="272"/>
        <v>2029</v>
      </c>
      <c r="C1132" s="9">
        <f t="shared" si="273"/>
        <v>9</v>
      </c>
      <c r="D1132" s="9" t="str">
        <f t="shared" si="274"/>
        <v>September</v>
      </c>
      <c r="E1132" s="9" t="str">
        <f t="shared" si="275"/>
        <v>Sep-29</v>
      </c>
      <c r="F1132" s="9" t="str">
        <f t="shared" si="276"/>
        <v>Q3</v>
      </c>
      <c r="G1132" s="9">
        <f t="shared" si="277"/>
        <v>4</v>
      </c>
      <c r="H1132" s="9">
        <f t="shared" si="278"/>
        <v>2</v>
      </c>
      <c r="I1132" s="9" t="str">
        <f t="shared" si="279"/>
        <v>Tuesday</v>
      </c>
      <c r="J1132" s="9" t="str">
        <f t="shared" si="280"/>
        <v>No</v>
      </c>
      <c r="K1132" s="5" t="str">
        <f>IF(COUNTIF(Bank_Holidays!A:A,A1132)&gt;0,"Yes","No")</f>
        <v>No</v>
      </c>
      <c r="L1132" t="str">
        <f t="shared" si="281"/>
        <v>Yes</v>
      </c>
      <c r="M1132">
        <f t="shared" si="282"/>
        <v>36</v>
      </c>
      <c r="N1132" s="5" t="str">
        <f t="shared" si="283"/>
        <v>No</v>
      </c>
      <c r="O1132" t="str">
        <f>IF(A1132=WORKDAY(EOMONTH(A1132,0)+1,-1,Bank_Holidays!$A$2:$A$25),"Yes","No")</f>
        <v>No</v>
      </c>
      <c r="P1132" t="str">
        <f t="shared" si="284"/>
        <v>No</v>
      </c>
      <c r="Q1132" t="str">
        <f t="shared" si="285"/>
        <v>No</v>
      </c>
      <c r="R1132" s="5">
        <f t="shared" si="287"/>
        <v>1</v>
      </c>
    </row>
    <row r="1133" spans="1:18">
      <c r="A1133" s="25">
        <f t="shared" si="286"/>
        <v>47366</v>
      </c>
      <c r="B1133">
        <f t="shared" si="272"/>
        <v>2029</v>
      </c>
      <c r="C1133" s="9">
        <f t="shared" si="273"/>
        <v>9</v>
      </c>
      <c r="D1133" s="9" t="str">
        <f t="shared" si="274"/>
        <v>September</v>
      </c>
      <c r="E1133" s="9" t="str">
        <f t="shared" si="275"/>
        <v>Sep-29</v>
      </c>
      <c r="F1133" s="9" t="str">
        <f t="shared" si="276"/>
        <v>Q3</v>
      </c>
      <c r="G1133" s="9">
        <f t="shared" si="277"/>
        <v>5</v>
      </c>
      <c r="H1133" s="9">
        <f t="shared" si="278"/>
        <v>3</v>
      </c>
      <c r="I1133" s="9" t="str">
        <f t="shared" si="279"/>
        <v>Wednesday</v>
      </c>
      <c r="J1133" s="9" t="str">
        <f t="shared" si="280"/>
        <v>No</v>
      </c>
      <c r="K1133" s="5" t="str">
        <f>IF(COUNTIF(Bank_Holidays!A:A,A1133)&gt;0,"Yes","No")</f>
        <v>No</v>
      </c>
      <c r="L1133" t="str">
        <f t="shared" si="281"/>
        <v>Yes</v>
      </c>
      <c r="M1133">
        <f t="shared" si="282"/>
        <v>36</v>
      </c>
      <c r="N1133" s="5" t="str">
        <f t="shared" si="283"/>
        <v>No</v>
      </c>
      <c r="O1133" t="str">
        <f>IF(A1133=WORKDAY(EOMONTH(A1133,0)+1,-1,Bank_Holidays!$A$2:$A$25),"Yes","No")</f>
        <v>No</v>
      </c>
      <c r="P1133" t="str">
        <f t="shared" si="284"/>
        <v>No</v>
      </c>
      <c r="Q1133" t="str">
        <f t="shared" si="285"/>
        <v>No</v>
      </c>
      <c r="R1133" s="5">
        <f t="shared" si="287"/>
        <v>1</v>
      </c>
    </row>
    <row r="1134" spans="1:18">
      <c r="A1134" s="25">
        <f t="shared" si="286"/>
        <v>47367</v>
      </c>
      <c r="B1134">
        <f t="shared" si="272"/>
        <v>2029</v>
      </c>
      <c r="C1134" s="9">
        <f t="shared" si="273"/>
        <v>9</v>
      </c>
      <c r="D1134" s="9" t="str">
        <f t="shared" si="274"/>
        <v>September</v>
      </c>
      <c r="E1134" s="9" t="str">
        <f t="shared" si="275"/>
        <v>Sep-29</v>
      </c>
      <c r="F1134" s="9" t="str">
        <f t="shared" si="276"/>
        <v>Q3</v>
      </c>
      <c r="G1134" s="9">
        <f t="shared" si="277"/>
        <v>6</v>
      </c>
      <c r="H1134" s="9">
        <f t="shared" si="278"/>
        <v>4</v>
      </c>
      <c r="I1134" s="9" t="str">
        <f t="shared" si="279"/>
        <v>Thursday</v>
      </c>
      <c r="J1134" s="9" t="str">
        <f t="shared" si="280"/>
        <v>No</v>
      </c>
      <c r="K1134" s="5" t="str">
        <f>IF(COUNTIF(Bank_Holidays!A:A,A1134)&gt;0,"Yes","No")</f>
        <v>No</v>
      </c>
      <c r="L1134" t="str">
        <f t="shared" si="281"/>
        <v>Yes</v>
      </c>
      <c r="M1134">
        <f t="shared" si="282"/>
        <v>36</v>
      </c>
      <c r="N1134" s="5" t="str">
        <f t="shared" si="283"/>
        <v>No</v>
      </c>
      <c r="O1134" t="str">
        <f>IF(A1134=WORKDAY(EOMONTH(A1134,0)+1,-1,Bank_Holidays!$A$2:$A$25),"Yes","No")</f>
        <v>No</v>
      </c>
      <c r="P1134" t="str">
        <f t="shared" si="284"/>
        <v>No</v>
      </c>
      <c r="Q1134" t="str">
        <f t="shared" si="285"/>
        <v>No</v>
      </c>
      <c r="R1134" s="5">
        <f t="shared" si="287"/>
        <v>1</v>
      </c>
    </row>
    <row r="1135" spans="1:18">
      <c r="A1135" s="25">
        <f t="shared" si="286"/>
        <v>47368</v>
      </c>
      <c r="B1135">
        <f t="shared" si="272"/>
        <v>2029</v>
      </c>
      <c r="C1135" s="9">
        <f t="shared" si="273"/>
        <v>9</v>
      </c>
      <c r="D1135" s="9" t="str">
        <f t="shared" si="274"/>
        <v>September</v>
      </c>
      <c r="E1135" s="9" t="str">
        <f t="shared" si="275"/>
        <v>Sep-29</v>
      </c>
      <c r="F1135" s="9" t="str">
        <f t="shared" si="276"/>
        <v>Q3</v>
      </c>
      <c r="G1135" s="9">
        <f t="shared" si="277"/>
        <v>7</v>
      </c>
      <c r="H1135" s="9">
        <f t="shared" si="278"/>
        <v>5</v>
      </c>
      <c r="I1135" s="9" t="str">
        <f t="shared" si="279"/>
        <v>Friday</v>
      </c>
      <c r="J1135" s="9" t="str">
        <f t="shared" si="280"/>
        <v>No</v>
      </c>
      <c r="K1135" s="5" t="str">
        <f>IF(COUNTIF(Bank_Holidays!A:A,A1135)&gt;0,"Yes","No")</f>
        <v>No</v>
      </c>
      <c r="L1135" t="str">
        <f t="shared" si="281"/>
        <v>Yes</v>
      </c>
      <c r="M1135">
        <f t="shared" si="282"/>
        <v>36</v>
      </c>
      <c r="N1135" s="5" t="str">
        <f t="shared" si="283"/>
        <v>No</v>
      </c>
      <c r="O1135" t="str">
        <f>IF(A1135=WORKDAY(EOMONTH(A1135,0)+1,-1,Bank_Holidays!$A$2:$A$25),"Yes","No")</f>
        <v>No</v>
      </c>
      <c r="P1135" t="str">
        <f t="shared" si="284"/>
        <v>No</v>
      </c>
      <c r="Q1135" t="str">
        <f t="shared" si="285"/>
        <v>No</v>
      </c>
      <c r="R1135" s="5">
        <f t="shared" si="287"/>
        <v>3</v>
      </c>
    </row>
    <row r="1136" spans="1:18">
      <c r="A1136" s="25">
        <f t="shared" si="286"/>
        <v>47369</v>
      </c>
      <c r="B1136">
        <f t="shared" si="272"/>
        <v>2029</v>
      </c>
      <c r="C1136" s="9">
        <f t="shared" si="273"/>
        <v>9</v>
      </c>
      <c r="D1136" s="9" t="str">
        <f t="shared" si="274"/>
        <v>September</v>
      </c>
      <c r="E1136" s="9" t="str">
        <f t="shared" si="275"/>
        <v>Sep-29</v>
      </c>
      <c r="F1136" s="9" t="str">
        <f t="shared" si="276"/>
        <v>Q3</v>
      </c>
      <c r="G1136" s="9">
        <f t="shared" si="277"/>
        <v>8</v>
      </c>
      <c r="H1136" s="9">
        <f t="shared" si="278"/>
        <v>6</v>
      </c>
      <c r="I1136" s="9" t="str">
        <f t="shared" si="279"/>
        <v>Saturday</v>
      </c>
      <c r="J1136" s="9" t="str">
        <f t="shared" si="280"/>
        <v>Yes</v>
      </c>
      <c r="K1136" s="5" t="str">
        <f>IF(COUNTIF(Bank_Holidays!A:A,A1136)&gt;0,"Yes","No")</f>
        <v>No</v>
      </c>
      <c r="L1136" t="str">
        <f t="shared" si="281"/>
        <v>No</v>
      </c>
      <c r="M1136">
        <f t="shared" si="282"/>
        <v>36</v>
      </c>
      <c r="N1136" s="5" t="str">
        <f t="shared" si="283"/>
        <v>No</v>
      </c>
      <c r="O1136" t="str">
        <f>IF(A1136=WORKDAY(EOMONTH(A1136,0)+1,-1,Bank_Holidays!$A$2:$A$25),"Yes","No")</f>
        <v>No</v>
      </c>
      <c r="P1136" t="str">
        <f t="shared" si="284"/>
        <v>No</v>
      </c>
      <c r="Q1136" t="str">
        <f t="shared" si="285"/>
        <v>No</v>
      </c>
      <c r="R1136" s="5">
        <f t="shared" si="287"/>
        <v>0</v>
      </c>
    </row>
    <row r="1137" spans="1:18">
      <c r="A1137" s="25">
        <f t="shared" si="286"/>
        <v>47370</v>
      </c>
      <c r="B1137">
        <f t="shared" si="272"/>
        <v>2029</v>
      </c>
      <c r="C1137" s="9">
        <f t="shared" si="273"/>
        <v>9</v>
      </c>
      <c r="D1137" s="9" t="str">
        <f t="shared" si="274"/>
        <v>September</v>
      </c>
      <c r="E1137" s="9" t="str">
        <f t="shared" si="275"/>
        <v>Sep-29</v>
      </c>
      <c r="F1137" s="9" t="str">
        <f t="shared" si="276"/>
        <v>Q3</v>
      </c>
      <c r="G1137" s="9">
        <f t="shared" si="277"/>
        <v>9</v>
      </c>
      <c r="H1137" s="9">
        <f t="shared" si="278"/>
        <v>7</v>
      </c>
      <c r="I1137" s="9" t="str">
        <f t="shared" si="279"/>
        <v>Sunday</v>
      </c>
      <c r="J1137" s="9" t="str">
        <f t="shared" si="280"/>
        <v>Yes</v>
      </c>
      <c r="K1137" s="5" t="str">
        <f>IF(COUNTIF(Bank_Holidays!A:A,A1137)&gt;0,"Yes","No")</f>
        <v>No</v>
      </c>
      <c r="L1137" t="str">
        <f t="shared" si="281"/>
        <v>No</v>
      </c>
      <c r="M1137">
        <f t="shared" si="282"/>
        <v>36</v>
      </c>
      <c r="N1137" s="5" t="str">
        <f t="shared" si="283"/>
        <v>No</v>
      </c>
      <c r="O1137" t="str">
        <f>IF(A1137=WORKDAY(EOMONTH(A1137,0)+1,-1,Bank_Holidays!$A$2:$A$25),"Yes","No")</f>
        <v>No</v>
      </c>
      <c r="P1137" t="str">
        <f t="shared" si="284"/>
        <v>No</v>
      </c>
      <c r="Q1137" t="str">
        <f t="shared" si="285"/>
        <v>No</v>
      </c>
      <c r="R1137" s="5">
        <f t="shared" si="287"/>
        <v>0</v>
      </c>
    </row>
    <row r="1138" spans="1:18">
      <c r="A1138" s="25">
        <f t="shared" si="286"/>
        <v>47371</v>
      </c>
      <c r="B1138">
        <f t="shared" si="272"/>
        <v>2029</v>
      </c>
      <c r="C1138" s="9">
        <f t="shared" si="273"/>
        <v>9</v>
      </c>
      <c r="D1138" s="9" t="str">
        <f t="shared" si="274"/>
        <v>September</v>
      </c>
      <c r="E1138" s="9" t="str">
        <f t="shared" si="275"/>
        <v>Sep-29</v>
      </c>
      <c r="F1138" s="9" t="str">
        <f t="shared" si="276"/>
        <v>Q3</v>
      </c>
      <c r="G1138" s="9">
        <f t="shared" si="277"/>
        <v>10</v>
      </c>
      <c r="H1138" s="9">
        <f t="shared" si="278"/>
        <v>1</v>
      </c>
      <c r="I1138" s="9" t="str">
        <f t="shared" si="279"/>
        <v>Monday</v>
      </c>
      <c r="J1138" s="9" t="str">
        <f t="shared" si="280"/>
        <v>No</v>
      </c>
      <c r="K1138" s="5" t="str">
        <f>IF(COUNTIF(Bank_Holidays!A:A,A1138)&gt;0,"Yes","No")</f>
        <v>No</v>
      </c>
      <c r="L1138" t="str">
        <f t="shared" si="281"/>
        <v>Yes</v>
      </c>
      <c r="M1138">
        <f t="shared" si="282"/>
        <v>37</v>
      </c>
      <c r="N1138" s="5" t="str">
        <f t="shared" si="283"/>
        <v>No</v>
      </c>
      <c r="O1138" t="str">
        <f>IF(A1138=WORKDAY(EOMONTH(A1138,0)+1,-1,Bank_Holidays!$A$2:$A$25),"Yes","No")</f>
        <v>No</v>
      </c>
      <c r="P1138" t="str">
        <f t="shared" si="284"/>
        <v>No</v>
      </c>
      <c r="Q1138" t="str">
        <f t="shared" si="285"/>
        <v>No</v>
      </c>
      <c r="R1138" s="5">
        <f t="shared" si="287"/>
        <v>1</v>
      </c>
    </row>
    <row r="1139" spans="1:18">
      <c r="A1139" s="25">
        <f t="shared" si="286"/>
        <v>47372</v>
      </c>
      <c r="B1139">
        <f t="shared" si="272"/>
        <v>2029</v>
      </c>
      <c r="C1139" s="9">
        <f t="shared" si="273"/>
        <v>9</v>
      </c>
      <c r="D1139" s="9" t="str">
        <f t="shared" si="274"/>
        <v>September</v>
      </c>
      <c r="E1139" s="9" t="str">
        <f t="shared" si="275"/>
        <v>Sep-29</v>
      </c>
      <c r="F1139" s="9" t="str">
        <f t="shared" si="276"/>
        <v>Q3</v>
      </c>
      <c r="G1139" s="9">
        <f t="shared" si="277"/>
        <v>11</v>
      </c>
      <c r="H1139" s="9">
        <f t="shared" si="278"/>
        <v>2</v>
      </c>
      <c r="I1139" s="9" t="str">
        <f t="shared" si="279"/>
        <v>Tuesday</v>
      </c>
      <c r="J1139" s="9" t="str">
        <f t="shared" si="280"/>
        <v>No</v>
      </c>
      <c r="K1139" s="5" t="str">
        <f>IF(COUNTIF(Bank_Holidays!A:A,A1139)&gt;0,"Yes","No")</f>
        <v>No</v>
      </c>
      <c r="L1139" t="str">
        <f t="shared" si="281"/>
        <v>Yes</v>
      </c>
      <c r="M1139">
        <f t="shared" si="282"/>
        <v>37</v>
      </c>
      <c r="N1139" s="5" t="str">
        <f t="shared" si="283"/>
        <v>No</v>
      </c>
      <c r="O1139" t="str">
        <f>IF(A1139=WORKDAY(EOMONTH(A1139,0)+1,-1,Bank_Holidays!$A$2:$A$25),"Yes","No")</f>
        <v>No</v>
      </c>
      <c r="P1139" t="str">
        <f t="shared" si="284"/>
        <v>No</v>
      </c>
      <c r="Q1139" t="str">
        <f t="shared" si="285"/>
        <v>No</v>
      </c>
      <c r="R1139" s="5">
        <f t="shared" si="287"/>
        <v>1</v>
      </c>
    </row>
    <row r="1140" spans="1:18">
      <c r="A1140" s="25">
        <f t="shared" si="286"/>
        <v>47373</v>
      </c>
      <c r="B1140">
        <f t="shared" si="272"/>
        <v>2029</v>
      </c>
      <c r="C1140" s="9">
        <f t="shared" si="273"/>
        <v>9</v>
      </c>
      <c r="D1140" s="9" t="str">
        <f t="shared" si="274"/>
        <v>September</v>
      </c>
      <c r="E1140" s="9" t="str">
        <f t="shared" si="275"/>
        <v>Sep-29</v>
      </c>
      <c r="F1140" s="9" t="str">
        <f t="shared" si="276"/>
        <v>Q3</v>
      </c>
      <c r="G1140" s="9">
        <f t="shared" si="277"/>
        <v>12</v>
      </c>
      <c r="H1140" s="9">
        <f t="shared" si="278"/>
        <v>3</v>
      </c>
      <c r="I1140" s="9" t="str">
        <f t="shared" si="279"/>
        <v>Wednesday</v>
      </c>
      <c r="J1140" s="9" t="str">
        <f t="shared" si="280"/>
        <v>No</v>
      </c>
      <c r="K1140" s="5" t="str">
        <f>IF(COUNTIF(Bank_Holidays!A:A,A1140)&gt;0,"Yes","No")</f>
        <v>No</v>
      </c>
      <c r="L1140" t="str">
        <f t="shared" si="281"/>
        <v>Yes</v>
      </c>
      <c r="M1140">
        <f t="shared" si="282"/>
        <v>37</v>
      </c>
      <c r="N1140" s="5" t="str">
        <f t="shared" si="283"/>
        <v>No</v>
      </c>
      <c r="O1140" t="str">
        <f>IF(A1140=WORKDAY(EOMONTH(A1140,0)+1,-1,Bank_Holidays!$A$2:$A$25),"Yes","No")</f>
        <v>No</v>
      </c>
      <c r="P1140" t="str">
        <f t="shared" si="284"/>
        <v>No</v>
      </c>
      <c r="Q1140" t="str">
        <f t="shared" si="285"/>
        <v>No</v>
      </c>
      <c r="R1140" s="5">
        <f t="shared" si="287"/>
        <v>1</v>
      </c>
    </row>
    <row r="1141" spans="1:18">
      <c r="A1141" s="25">
        <f t="shared" si="286"/>
        <v>47374</v>
      </c>
      <c r="B1141">
        <f t="shared" si="272"/>
        <v>2029</v>
      </c>
      <c r="C1141" s="9">
        <f t="shared" si="273"/>
        <v>9</v>
      </c>
      <c r="D1141" s="9" t="str">
        <f t="shared" si="274"/>
        <v>September</v>
      </c>
      <c r="E1141" s="9" t="str">
        <f t="shared" si="275"/>
        <v>Sep-29</v>
      </c>
      <c r="F1141" s="9" t="str">
        <f t="shared" si="276"/>
        <v>Q3</v>
      </c>
      <c r="G1141" s="9">
        <f t="shared" si="277"/>
        <v>13</v>
      </c>
      <c r="H1141" s="9">
        <f t="shared" si="278"/>
        <v>4</v>
      </c>
      <c r="I1141" s="9" t="str">
        <f t="shared" si="279"/>
        <v>Thursday</v>
      </c>
      <c r="J1141" s="9" t="str">
        <f t="shared" si="280"/>
        <v>No</v>
      </c>
      <c r="K1141" s="5" t="str">
        <f>IF(COUNTIF(Bank_Holidays!A:A,A1141)&gt;0,"Yes","No")</f>
        <v>No</v>
      </c>
      <c r="L1141" t="str">
        <f t="shared" si="281"/>
        <v>Yes</v>
      </c>
      <c r="M1141">
        <f t="shared" si="282"/>
        <v>37</v>
      </c>
      <c r="N1141" s="5" t="str">
        <f t="shared" si="283"/>
        <v>No</v>
      </c>
      <c r="O1141" t="str">
        <f>IF(A1141=WORKDAY(EOMONTH(A1141,0)+1,-1,Bank_Holidays!$A$2:$A$25),"Yes","No")</f>
        <v>No</v>
      </c>
      <c r="P1141" t="str">
        <f t="shared" si="284"/>
        <v>No</v>
      </c>
      <c r="Q1141" t="str">
        <f t="shared" si="285"/>
        <v>No</v>
      </c>
      <c r="R1141" s="5">
        <f t="shared" si="287"/>
        <v>1</v>
      </c>
    </row>
    <row r="1142" spans="1:18">
      <c r="A1142" s="25">
        <f t="shared" si="286"/>
        <v>47375</v>
      </c>
      <c r="B1142">
        <f t="shared" si="272"/>
        <v>2029</v>
      </c>
      <c r="C1142" s="9">
        <f t="shared" si="273"/>
        <v>9</v>
      </c>
      <c r="D1142" s="9" t="str">
        <f t="shared" si="274"/>
        <v>September</v>
      </c>
      <c r="E1142" s="9" t="str">
        <f t="shared" si="275"/>
        <v>Sep-29</v>
      </c>
      <c r="F1142" s="9" t="str">
        <f t="shared" si="276"/>
        <v>Q3</v>
      </c>
      <c r="G1142" s="9">
        <f t="shared" si="277"/>
        <v>14</v>
      </c>
      <c r="H1142" s="9">
        <f t="shared" si="278"/>
        <v>5</v>
      </c>
      <c r="I1142" s="9" t="str">
        <f t="shared" si="279"/>
        <v>Friday</v>
      </c>
      <c r="J1142" s="9" t="str">
        <f t="shared" si="280"/>
        <v>No</v>
      </c>
      <c r="K1142" s="5" t="str">
        <f>IF(COUNTIF(Bank_Holidays!A:A,A1142)&gt;0,"Yes","No")</f>
        <v>No</v>
      </c>
      <c r="L1142" t="str">
        <f t="shared" si="281"/>
        <v>Yes</v>
      </c>
      <c r="M1142">
        <f t="shared" si="282"/>
        <v>37</v>
      </c>
      <c r="N1142" s="5" t="str">
        <f t="shared" si="283"/>
        <v>No</v>
      </c>
      <c r="O1142" t="str">
        <f>IF(A1142=WORKDAY(EOMONTH(A1142,0)+1,-1,Bank_Holidays!$A$2:$A$25),"Yes","No")</f>
        <v>No</v>
      </c>
      <c r="P1142" t="str">
        <f t="shared" si="284"/>
        <v>No</v>
      </c>
      <c r="Q1142" t="str">
        <f t="shared" si="285"/>
        <v>No</v>
      </c>
      <c r="R1142" s="5">
        <f t="shared" si="287"/>
        <v>3</v>
      </c>
    </row>
    <row r="1143" spans="1:18">
      <c r="A1143" s="25">
        <f t="shared" si="286"/>
        <v>47376</v>
      </c>
      <c r="B1143">
        <f t="shared" si="272"/>
        <v>2029</v>
      </c>
      <c r="C1143" s="9">
        <f t="shared" si="273"/>
        <v>9</v>
      </c>
      <c r="D1143" s="9" t="str">
        <f t="shared" si="274"/>
        <v>September</v>
      </c>
      <c r="E1143" s="9" t="str">
        <f t="shared" si="275"/>
        <v>Sep-29</v>
      </c>
      <c r="F1143" s="9" t="str">
        <f t="shared" si="276"/>
        <v>Q3</v>
      </c>
      <c r="G1143" s="9">
        <f t="shared" si="277"/>
        <v>15</v>
      </c>
      <c r="H1143" s="9">
        <f t="shared" si="278"/>
        <v>6</v>
      </c>
      <c r="I1143" s="9" t="str">
        <f t="shared" si="279"/>
        <v>Saturday</v>
      </c>
      <c r="J1143" s="9" t="str">
        <f t="shared" si="280"/>
        <v>Yes</v>
      </c>
      <c r="K1143" s="5" t="str">
        <f>IF(COUNTIF(Bank_Holidays!A:A,A1143)&gt;0,"Yes","No")</f>
        <v>No</v>
      </c>
      <c r="L1143" t="str">
        <f t="shared" si="281"/>
        <v>No</v>
      </c>
      <c r="M1143">
        <f t="shared" si="282"/>
        <v>37</v>
      </c>
      <c r="N1143" s="5" t="str">
        <f t="shared" si="283"/>
        <v>No</v>
      </c>
      <c r="O1143" t="str">
        <f>IF(A1143=WORKDAY(EOMONTH(A1143,0)+1,-1,Bank_Holidays!$A$2:$A$25),"Yes","No")</f>
        <v>No</v>
      </c>
      <c r="P1143" t="str">
        <f t="shared" si="284"/>
        <v>No</v>
      </c>
      <c r="Q1143" t="str">
        <f t="shared" si="285"/>
        <v>No</v>
      </c>
      <c r="R1143" s="5">
        <f t="shared" si="287"/>
        <v>0</v>
      </c>
    </row>
    <row r="1144" spans="1:18">
      <c r="A1144" s="25">
        <f t="shared" si="286"/>
        <v>47377</v>
      </c>
      <c r="B1144">
        <f t="shared" si="272"/>
        <v>2029</v>
      </c>
      <c r="C1144" s="9">
        <f t="shared" si="273"/>
        <v>9</v>
      </c>
      <c r="D1144" s="9" t="str">
        <f t="shared" si="274"/>
        <v>September</v>
      </c>
      <c r="E1144" s="9" t="str">
        <f t="shared" si="275"/>
        <v>Sep-29</v>
      </c>
      <c r="F1144" s="9" t="str">
        <f t="shared" si="276"/>
        <v>Q3</v>
      </c>
      <c r="G1144" s="9">
        <f t="shared" si="277"/>
        <v>16</v>
      </c>
      <c r="H1144" s="9">
        <f t="shared" si="278"/>
        <v>7</v>
      </c>
      <c r="I1144" s="9" t="str">
        <f t="shared" si="279"/>
        <v>Sunday</v>
      </c>
      <c r="J1144" s="9" t="str">
        <f t="shared" si="280"/>
        <v>Yes</v>
      </c>
      <c r="K1144" s="5" t="str">
        <f>IF(COUNTIF(Bank_Holidays!A:A,A1144)&gt;0,"Yes","No")</f>
        <v>No</v>
      </c>
      <c r="L1144" t="str">
        <f t="shared" si="281"/>
        <v>No</v>
      </c>
      <c r="M1144">
        <f t="shared" si="282"/>
        <v>37</v>
      </c>
      <c r="N1144" s="5" t="str">
        <f t="shared" si="283"/>
        <v>No</v>
      </c>
      <c r="O1144" t="str">
        <f>IF(A1144=WORKDAY(EOMONTH(A1144,0)+1,-1,Bank_Holidays!$A$2:$A$25),"Yes","No")</f>
        <v>No</v>
      </c>
      <c r="P1144" t="str">
        <f t="shared" si="284"/>
        <v>No</v>
      </c>
      <c r="Q1144" t="str">
        <f t="shared" si="285"/>
        <v>No</v>
      </c>
      <c r="R1144" s="5">
        <f t="shared" si="287"/>
        <v>0</v>
      </c>
    </row>
    <row r="1145" spans="1:18">
      <c r="A1145" s="25">
        <f t="shared" si="286"/>
        <v>47378</v>
      </c>
      <c r="B1145">
        <f t="shared" si="272"/>
        <v>2029</v>
      </c>
      <c r="C1145" s="9">
        <f t="shared" si="273"/>
        <v>9</v>
      </c>
      <c r="D1145" s="9" t="str">
        <f t="shared" si="274"/>
        <v>September</v>
      </c>
      <c r="E1145" s="9" t="str">
        <f t="shared" si="275"/>
        <v>Sep-29</v>
      </c>
      <c r="F1145" s="9" t="str">
        <f t="shared" si="276"/>
        <v>Q3</v>
      </c>
      <c r="G1145" s="9">
        <f t="shared" si="277"/>
        <v>17</v>
      </c>
      <c r="H1145" s="9">
        <f t="shared" si="278"/>
        <v>1</v>
      </c>
      <c r="I1145" s="9" t="str">
        <f t="shared" si="279"/>
        <v>Monday</v>
      </c>
      <c r="J1145" s="9" t="str">
        <f t="shared" si="280"/>
        <v>No</v>
      </c>
      <c r="K1145" s="5" t="str">
        <f>IF(COUNTIF(Bank_Holidays!A:A,A1145)&gt;0,"Yes","No")</f>
        <v>No</v>
      </c>
      <c r="L1145" t="str">
        <f t="shared" si="281"/>
        <v>Yes</v>
      </c>
      <c r="M1145">
        <f t="shared" si="282"/>
        <v>38</v>
      </c>
      <c r="N1145" s="5" t="str">
        <f t="shared" si="283"/>
        <v>No</v>
      </c>
      <c r="O1145" t="str">
        <f>IF(A1145=WORKDAY(EOMONTH(A1145,0)+1,-1,Bank_Holidays!$A$2:$A$25),"Yes","No")</f>
        <v>No</v>
      </c>
      <c r="P1145" t="str">
        <f t="shared" si="284"/>
        <v>No</v>
      </c>
      <c r="Q1145" t="str">
        <f t="shared" si="285"/>
        <v>No</v>
      </c>
      <c r="R1145" s="5">
        <f t="shared" si="287"/>
        <v>1</v>
      </c>
    </row>
    <row r="1146" spans="1:18">
      <c r="A1146" s="25">
        <f t="shared" si="286"/>
        <v>47379</v>
      </c>
      <c r="B1146">
        <f t="shared" si="272"/>
        <v>2029</v>
      </c>
      <c r="C1146" s="9">
        <f t="shared" si="273"/>
        <v>9</v>
      </c>
      <c r="D1146" s="9" t="str">
        <f t="shared" si="274"/>
        <v>September</v>
      </c>
      <c r="E1146" s="9" t="str">
        <f t="shared" si="275"/>
        <v>Sep-29</v>
      </c>
      <c r="F1146" s="9" t="str">
        <f t="shared" si="276"/>
        <v>Q3</v>
      </c>
      <c r="G1146" s="9">
        <f t="shared" si="277"/>
        <v>18</v>
      </c>
      <c r="H1146" s="9">
        <f t="shared" si="278"/>
        <v>2</v>
      </c>
      <c r="I1146" s="9" t="str">
        <f t="shared" si="279"/>
        <v>Tuesday</v>
      </c>
      <c r="J1146" s="9" t="str">
        <f t="shared" si="280"/>
        <v>No</v>
      </c>
      <c r="K1146" s="5" t="str">
        <f>IF(COUNTIF(Bank_Holidays!A:A,A1146)&gt;0,"Yes","No")</f>
        <v>No</v>
      </c>
      <c r="L1146" t="str">
        <f t="shared" si="281"/>
        <v>Yes</v>
      </c>
      <c r="M1146">
        <f t="shared" si="282"/>
        <v>38</v>
      </c>
      <c r="N1146" s="5" t="str">
        <f t="shared" si="283"/>
        <v>No</v>
      </c>
      <c r="O1146" t="str">
        <f>IF(A1146=WORKDAY(EOMONTH(A1146,0)+1,-1,Bank_Holidays!$A$2:$A$25),"Yes","No")</f>
        <v>No</v>
      </c>
      <c r="P1146" t="str">
        <f t="shared" si="284"/>
        <v>No</v>
      </c>
      <c r="Q1146" t="str">
        <f t="shared" si="285"/>
        <v>No</v>
      </c>
      <c r="R1146" s="5">
        <f t="shared" si="287"/>
        <v>1</v>
      </c>
    </row>
    <row r="1147" spans="1:18">
      <c r="A1147" s="25">
        <f t="shared" si="286"/>
        <v>47380</v>
      </c>
      <c r="B1147">
        <f t="shared" si="272"/>
        <v>2029</v>
      </c>
      <c r="C1147" s="9">
        <f t="shared" si="273"/>
        <v>9</v>
      </c>
      <c r="D1147" s="9" t="str">
        <f t="shared" si="274"/>
        <v>September</v>
      </c>
      <c r="E1147" s="9" t="str">
        <f t="shared" si="275"/>
        <v>Sep-29</v>
      </c>
      <c r="F1147" s="9" t="str">
        <f t="shared" si="276"/>
        <v>Q3</v>
      </c>
      <c r="G1147" s="9">
        <f t="shared" si="277"/>
        <v>19</v>
      </c>
      <c r="H1147" s="9">
        <f t="shared" si="278"/>
        <v>3</v>
      </c>
      <c r="I1147" s="9" t="str">
        <f t="shared" si="279"/>
        <v>Wednesday</v>
      </c>
      <c r="J1147" s="9" t="str">
        <f t="shared" si="280"/>
        <v>No</v>
      </c>
      <c r="K1147" s="5" t="str">
        <f>IF(COUNTIF(Bank_Holidays!A:A,A1147)&gt;0,"Yes","No")</f>
        <v>No</v>
      </c>
      <c r="L1147" t="str">
        <f t="shared" si="281"/>
        <v>Yes</v>
      </c>
      <c r="M1147">
        <f t="shared" si="282"/>
        <v>38</v>
      </c>
      <c r="N1147" s="5" t="str">
        <f t="shared" si="283"/>
        <v>No</v>
      </c>
      <c r="O1147" t="str">
        <f>IF(A1147=WORKDAY(EOMONTH(A1147,0)+1,-1,Bank_Holidays!$A$2:$A$25),"Yes","No")</f>
        <v>No</v>
      </c>
      <c r="P1147" t="str">
        <f t="shared" si="284"/>
        <v>No</v>
      </c>
      <c r="Q1147" t="str">
        <f t="shared" si="285"/>
        <v>No</v>
      </c>
      <c r="R1147" s="5">
        <f t="shared" si="287"/>
        <v>1</v>
      </c>
    </row>
    <row r="1148" spans="1:18">
      <c r="A1148" s="25">
        <f t="shared" si="286"/>
        <v>47381</v>
      </c>
      <c r="B1148">
        <f t="shared" si="272"/>
        <v>2029</v>
      </c>
      <c r="C1148" s="9">
        <f t="shared" si="273"/>
        <v>9</v>
      </c>
      <c r="D1148" s="9" t="str">
        <f t="shared" si="274"/>
        <v>September</v>
      </c>
      <c r="E1148" s="9" t="str">
        <f t="shared" si="275"/>
        <v>Sep-29</v>
      </c>
      <c r="F1148" s="9" t="str">
        <f t="shared" si="276"/>
        <v>Q3</v>
      </c>
      <c r="G1148" s="9">
        <f t="shared" si="277"/>
        <v>20</v>
      </c>
      <c r="H1148" s="9">
        <f t="shared" si="278"/>
        <v>4</v>
      </c>
      <c r="I1148" s="9" t="str">
        <f t="shared" si="279"/>
        <v>Thursday</v>
      </c>
      <c r="J1148" s="9" t="str">
        <f t="shared" si="280"/>
        <v>No</v>
      </c>
      <c r="K1148" s="5" t="str">
        <f>IF(COUNTIF(Bank_Holidays!A:A,A1148)&gt;0,"Yes","No")</f>
        <v>No</v>
      </c>
      <c r="L1148" t="str">
        <f t="shared" si="281"/>
        <v>Yes</v>
      </c>
      <c r="M1148">
        <f t="shared" si="282"/>
        <v>38</v>
      </c>
      <c r="N1148" s="5" t="str">
        <f t="shared" si="283"/>
        <v>No</v>
      </c>
      <c r="O1148" t="str">
        <f>IF(A1148=WORKDAY(EOMONTH(A1148,0)+1,-1,Bank_Holidays!$A$2:$A$25),"Yes","No")</f>
        <v>No</v>
      </c>
      <c r="P1148" t="str">
        <f t="shared" si="284"/>
        <v>No</v>
      </c>
      <c r="Q1148" t="str">
        <f t="shared" si="285"/>
        <v>No</v>
      </c>
      <c r="R1148" s="5">
        <f t="shared" si="287"/>
        <v>1</v>
      </c>
    </row>
    <row r="1149" spans="1:18">
      <c r="A1149" s="25">
        <f t="shared" si="286"/>
        <v>47382</v>
      </c>
      <c r="B1149">
        <f t="shared" si="272"/>
        <v>2029</v>
      </c>
      <c r="C1149" s="9">
        <f t="shared" si="273"/>
        <v>9</v>
      </c>
      <c r="D1149" s="9" t="str">
        <f t="shared" si="274"/>
        <v>September</v>
      </c>
      <c r="E1149" s="9" t="str">
        <f t="shared" si="275"/>
        <v>Sep-29</v>
      </c>
      <c r="F1149" s="9" t="str">
        <f t="shared" si="276"/>
        <v>Q3</v>
      </c>
      <c r="G1149" s="9">
        <f t="shared" si="277"/>
        <v>21</v>
      </c>
      <c r="H1149" s="9">
        <f t="shared" si="278"/>
        <v>5</v>
      </c>
      <c r="I1149" s="9" t="str">
        <f t="shared" si="279"/>
        <v>Friday</v>
      </c>
      <c r="J1149" s="9" t="str">
        <f t="shared" si="280"/>
        <v>No</v>
      </c>
      <c r="K1149" s="5" t="str">
        <f>IF(COUNTIF(Bank_Holidays!A:A,A1149)&gt;0,"Yes","No")</f>
        <v>No</v>
      </c>
      <c r="L1149" t="str">
        <f t="shared" si="281"/>
        <v>Yes</v>
      </c>
      <c r="M1149">
        <f t="shared" si="282"/>
        <v>38</v>
      </c>
      <c r="N1149" s="5" t="str">
        <f t="shared" si="283"/>
        <v>No</v>
      </c>
      <c r="O1149" t="str">
        <f>IF(A1149=WORKDAY(EOMONTH(A1149,0)+1,-1,Bank_Holidays!$A$2:$A$25),"Yes","No")</f>
        <v>No</v>
      </c>
      <c r="P1149" t="str">
        <f t="shared" si="284"/>
        <v>No</v>
      </c>
      <c r="Q1149" t="str">
        <f t="shared" si="285"/>
        <v>No</v>
      </c>
      <c r="R1149" s="5">
        <f t="shared" si="287"/>
        <v>3</v>
      </c>
    </row>
    <row r="1150" spans="1:18">
      <c r="A1150" s="25">
        <f t="shared" si="286"/>
        <v>47383</v>
      </c>
      <c r="B1150">
        <f t="shared" si="272"/>
        <v>2029</v>
      </c>
      <c r="C1150" s="9">
        <f t="shared" si="273"/>
        <v>9</v>
      </c>
      <c r="D1150" s="9" t="str">
        <f t="shared" si="274"/>
        <v>September</v>
      </c>
      <c r="E1150" s="9" t="str">
        <f t="shared" si="275"/>
        <v>Sep-29</v>
      </c>
      <c r="F1150" s="9" t="str">
        <f t="shared" si="276"/>
        <v>Q3</v>
      </c>
      <c r="G1150" s="9">
        <f t="shared" si="277"/>
        <v>22</v>
      </c>
      <c r="H1150" s="9">
        <f t="shared" si="278"/>
        <v>6</v>
      </c>
      <c r="I1150" s="9" t="str">
        <f t="shared" si="279"/>
        <v>Saturday</v>
      </c>
      <c r="J1150" s="9" t="str">
        <f t="shared" si="280"/>
        <v>Yes</v>
      </c>
      <c r="K1150" s="5" t="str">
        <f>IF(COUNTIF(Bank_Holidays!A:A,A1150)&gt;0,"Yes","No")</f>
        <v>No</v>
      </c>
      <c r="L1150" t="str">
        <f t="shared" si="281"/>
        <v>No</v>
      </c>
      <c r="M1150">
        <f t="shared" si="282"/>
        <v>38</v>
      </c>
      <c r="N1150" s="5" t="str">
        <f t="shared" si="283"/>
        <v>No</v>
      </c>
      <c r="O1150" t="str">
        <f>IF(A1150=WORKDAY(EOMONTH(A1150,0)+1,-1,Bank_Holidays!$A$2:$A$25),"Yes","No")</f>
        <v>No</v>
      </c>
      <c r="P1150" t="str">
        <f t="shared" si="284"/>
        <v>No</v>
      </c>
      <c r="Q1150" t="str">
        <f t="shared" si="285"/>
        <v>No</v>
      </c>
      <c r="R1150" s="5">
        <f t="shared" si="287"/>
        <v>0</v>
      </c>
    </row>
    <row r="1151" spans="1:18">
      <c r="A1151" s="25">
        <f t="shared" si="286"/>
        <v>47384</v>
      </c>
      <c r="B1151">
        <f t="shared" si="272"/>
        <v>2029</v>
      </c>
      <c r="C1151" s="9">
        <f t="shared" si="273"/>
        <v>9</v>
      </c>
      <c r="D1151" s="9" t="str">
        <f t="shared" si="274"/>
        <v>September</v>
      </c>
      <c r="E1151" s="9" t="str">
        <f t="shared" si="275"/>
        <v>Sep-29</v>
      </c>
      <c r="F1151" s="9" t="str">
        <f t="shared" si="276"/>
        <v>Q3</v>
      </c>
      <c r="G1151" s="9">
        <f t="shared" si="277"/>
        <v>23</v>
      </c>
      <c r="H1151" s="9">
        <f t="shared" si="278"/>
        <v>7</v>
      </c>
      <c r="I1151" s="9" t="str">
        <f t="shared" si="279"/>
        <v>Sunday</v>
      </c>
      <c r="J1151" s="9" t="str">
        <f t="shared" si="280"/>
        <v>Yes</v>
      </c>
      <c r="K1151" s="5" t="str">
        <f>IF(COUNTIF(Bank_Holidays!A:A,A1151)&gt;0,"Yes","No")</f>
        <v>No</v>
      </c>
      <c r="L1151" t="str">
        <f t="shared" si="281"/>
        <v>No</v>
      </c>
      <c r="M1151">
        <f t="shared" si="282"/>
        <v>38</v>
      </c>
      <c r="N1151" s="5" t="str">
        <f t="shared" si="283"/>
        <v>No</v>
      </c>
      <c r="O1151" t="str">
        <f>IF(A1151=WORKDAY(EOMONTH(A1151,0)+1,-1,Bank_Holidays!$A$2:$A$25),"Yes","No")</f>
        <v>No</v>
      </c>
      <c r="P1151" t="str">
        <f t="shared" si="284"/>
        <v>No</v>
      </c>
      <c r="Q1151" t="str">
        <f t="shared" si="285"/>
        <v>No</v>
      </c>
      <c r="R1151" s="5">
        <f t="shared" si="287"/>
        <v>0</v>
      </c>
    </row>
    <row r="1152" spans="1:18">
      <c r="A1152" s="25">
        <f t="shared" si="286"/>
        <v>47385</v>
      </c>
      <c r="B1152">
        <f t="shared" si="272"/>
        <v>2029</v>
      </c>
      <c r="C1152" s="9">
        <f t="shared" si="273"/>
        <v>9</v>
      </c>
      <c r="D1152" s="9" t="str">
        <f t="shared" si="274"/>
        <v>September</v>
      </c>
      <c r="E1152" s="9" t="str">
        <f t="shared" si="275"/>
        <v>Sep-29</v>
      </c>
      <c r="F1152" s="9" t="str">
        <f t="shared" si="276"/>
        <v>Q3</v>
      </c>
      <c r="G1152" s="9">
        <f t="shared" si="277"/>
        <v>24</v>
      </c>
      <c r="H1152" s="9">
        <f t="shared" si="278"/>
        <v>1</v>
      </c>
      <c r="I1152" s="9" t="str">
        <f t="shared" si="279"/>
        <v>Monday</v>
      </c>
      <c r="J1152" s="9" t="str">
        <f t="shared" si="280"/>
        <v>No</v>
      </c>
      <c r="K1152" s="5" t="str">
        <f>IF(COUNTIF(Bank_Holidays!A:A,A1152)&gt;0,"Yes","No")</f>
        <v>No</v>
      </c>
      <c r="L1152" t="str">
        <f t="shared" si="281"/>
        <v>Yes</v>
      </c>
      <c r="M1152">
        <f t="shared" si="282"/>
        <v>39</v>
      </c>
      <c r="N1152" s="5" t="str">
        <f t="shared" si="283"/>
        <v>No</v>
      </c>
      <c r="O1152" t="str">
        <f>IF(A1152=WORKDAY(EOMONTH(A1152,0)+1,-1,Bank_Holidays!$A$2:$A$25),"Yes","No")</f>
        <v>No</v>
      </c>
      <c r="P1152" t="str">
        <f t="shared" si="284"/>
        <v>No</v>
      </c>
      <c r="Q1152" t="str">
        <f t="shared" si="285"/>
        <v>No</v>
      </c>
      <c r="R1152" s="5">
        <f t="shared" si="287"/>
        <v>1</v>
      </c>
    </row>
    <row r="1153" spans="1:18">
      <c r="A1153" s="25">
        <f t="shared" si="286"/>
        <v>47386</v>
      </c>
      <c r="B1153">
        <f t="shared" si="272"/>
        <v>2029</v>
      </c>
      <c r="C1153" s="9">
        <f t="shared" si="273"/>
        <v>9</v>
      </c>
      <c r="D1153" s="9" t="str">
        <f t="shared" si="274"/>
        <v>September</v>
      </c>
      <c r="E1153" s="9" t="str">
        <f t="shared" si="275"/>
        <v>Sep-29</v>
      </c>
      <c r="F1153" s="9" t="str">
        <f t="shared" si="276"/>
        <v>Q3</v>
      </c>
      <c r="G1153" s="9">
        <f t="shared" si="277"/>
        <v>25</v>
      </c>
      <c r="H1153" s="9">
        <f t="shared" si="278"/>
        <v>2</v>
      </c>
      <c r="I1153" s="9" t="str">
        <f t="shared" si="279"/>
        <v>Tuesday</v>
      </c>
      <c r="J1153" s="9" t="str">
        <f t="shared" si="280"/>
        <v>No</v>
      </c>
      <c r="K1153" s="5" t="str">
        <f>IF(COUNTIF(Bank_Holidays!A:A,A1153)&gt;0,"Yes","No")</f>
        <v>No</v>
      </c>
      <c r="L1153" t="str">
        <f t="shared" si="281"/>
        <v>Yes</v>
      </c>
      <c r="M1153">
        <f t="shared" si="282"/>
        <v>39</v>
      </c>
      <c r="N1153" s="5" t="str">
        <f t="shared" si="283"/>
        <v>No</v>
      </c>
      <c r="O1153" t="str">
        <f>IF(A1153=WORKDAY(EOMONTH(A1153,0)+1,-1,Bank_Holidays!$A$2:$A$25),"Yes","No")</f>
        <v>No</v>
      </c>
      <c r="P1153" t="str">
        <f t="shared" si="284"/>
        <v>No</v>
      </c>
      <c r="Q1153" t="str">
        <f t="shared" si="285"/>
        <v>No</v>
      </c>
      <c r="R1153" s="5">
        <f t="shared" si="287"/>
        <v>1</v>
      </c>
    </row>
    <row r="1154" spans="1:18">
      <c r="A1154" s="25">
        <f t="shared" si="286"/>
        <v>47387</v>
      </c>
      <c r="B1154">
        <f t="shared" ref="B1154:B1217" si="288">YEAR(A1154)</f>
        <v>2029</v>
      </c>
      <c r="C1154" s="9">
        <f t="shared" ref="C1154:C1217" si="289">MONTH(A1154)</f>
        <v>9</v>
      </c>
      <c r="D1154" s="9" t="str">
        <f t="shared" ref="D1154:D1217" si="290">TEXT(A1154,"mmmm")</f>
        <v>September</v>
      </c>
      <c r="E1154" s="9" t="str">
        <f t="shared" ref="E1154:E1217" si="291">TEXT(A1154,"mmm-yy")</f>
        <v>Sep-29</v>
      </c>
      <c r="F1154" s="9" t="str">
        <f t="shared" ref="F1154:F1217" si="292">"Q"&amp;ROUNDUP(MONTH($A1154)/3,0)</f>
        <v>Q3</v>
      </c>
      <c r="G1154" s="9">
        <f t="shared" ref="G1154:G1217" si="293">DAY($A1154)</f>
        <v>26</v>
      </c>
      <c r="H1154" s="9">
        <f t="shared" ref="H1154:H1217" si="294">WEEKDAY($A1154,2)</f>
        <v>3</v>
      </c>
      <c r="I1154" s="9" t="str">
        <f t="shared" ref="I1154:I1217" si="295">TEXT($A1154,"dddd")</f>
        <v>Wednesday</v>
      </c>
      <c r="J1154" s="9" t="str">
        <f t="shared" ref="J1154:J1217" si="296">IF($H1154&gt;5,"Yes","No")</f>
        <v>No</v>
      </c>
      <c r="K1154" s="5" t="str">
        <f>IF(COUNTIF(Bank_Holidays!A:A,A1154)&gt;0,"Yes","No")</f>
        <v>No</v>
      </c>
      <c r="L1154" t="str">
        <f t="shared" ref="L1154:L1217" si="297">IF(AND(J1154="No",K1154="No"),"Yes","No")</f>
        <v>Yes</v>
      </c>
      <c r="M1154">
        <f t="shared" ref="M1154:M1217" si="298">_xlfn.ISOWEEKNUM(A1154)</f>
        <v>39</v>
      </c>
      <c r="N1154" s="5" t="str">
        <f t="shared" ref="N1154:N1217" si="299">IF(A1154=EOMONTH(A1154,0),"Yes","No")</f>
        <v>No</v>
      </c>
      <c r="O1154" t="str">
        <f>IF(A1154=WORKDAY(EOMONTH(A1154,0)+1,-1,Bank_Holidays!$A$2:$A$25),"Yes","No")</f>
        <v>No</v>
      </c>
      <c r="P1154" t="str">
        <f t="shared" ref="P1154:P1217" si="300">IF(
AND(
TEXT(A1154,"dddd")="Friday",
MONTH(A1154+7)&lt;&gt;MONTH(A1154)
),
"Yes",
"No"
)</f>
        <v>No</v>
      </c>
      <c r="Q1154" t="str">
        <f t="shared" ref="Q1154:Q1217" si="301">IF(
AND(
TEXT(A1154,"dddd")="Thursday",
MONTH(A1154+7)&lt;&gt;MONTH(A1154)
),
"Yes",
"No"
)</f>
        <v>No</v>
      </c>
      <c r="R1154" s="5">
        <f t="shared" si="287"/>
        <v>1</v>
      </c>
    </row>
    <row r="1155" spans="1:18">
      <c r="A1155" s="25">
        <f t="shared" ref="A1155:A1218" si="302">A1154+1</f>
        <v>47388</v>
      </c>
      <c r="B1155">
        <f t="shared" si="288"/>
        <v>2029</v>
      </c>
      <c r="C1155" s="9">
        <f t="shared" si="289"/>
        <v>9</v>
      </c>
      <c r="D1155" s="9" t="str">
        <f t="shared" si="290"/>
        <v>September</v>
      </c>
      <c r="E1155" s="9" t="str">
        <f t="shared" si="291"/>
        <v>Sep-29</v>
      </c>
      <c r="F1155" s="9" t="str">
        <f t="shared" si="292"/>
        <v>Q3</v>
      </c>
      <c r="G1155" s="9">
        <f t="shared" si="293"/>
        <v>27</v>
      </c>
      <c r="H1155" s="9">
        <f t="shared" si="294"/>
        <v>4</v>
      </c>
      <c r="I1155" s="9" t="str">
        <f t="shared" si="295"/>
        <v>Thursday</v>
      </c>
      <c r="J1155" s="9" t="str">
        <f t="shared" si="296"/>
        <v>No</v>
      </c>
      <c r="K1155" s="5" t="str">
        <f>IF(COUNTIF(Bank_Holidays!A:A,A1155)&gt;0,"Yes","No")</f>
        <v>No</v>
      </c>
      <c r="L1155" t="str">
        <f t="shared" si="297"/>
        <v>Yes</v>
      </c>
      <c r="M1155">
        <f t="shared" si="298"/>
        <v>39</v>
      </c>
      <c r="N1155" s="5" t="str">
        <f t="shared" si="299"/>
        <v>No</v>
      </c>
      <c r="O1155" t="str">
        <f>IF(A1155=WORKDAY(EOMONTH(A1155,0)+1,-1,Bank_Holidays!$A$2:$A$25),"Yes","No")</f>
        <v>No</v>
      </c>
      <c r="P1155" t="str">
        <f t="shared" si="300"/>
        <v>No</v>
      </c>
      <c r="Q1155" t="str">
        <f t="shared" si="301"/>
        <v>Yes</v>
      </c>
      <c r="R1155" s="5">
        <f t="shared" ref="R1155:R1218" si="303">IF(L1155="yes",1)+IF(L1155="no",0,IF(AND(L1160="no",L1159="no",L1158="no",L1157="no",L1156="no"),5,IF(AND(L1159="no",L1158="no",L1157="no",L1156="no"),4,IF(AND(L1158="no",L1157="no",L1156="no"),3,IF(AND(L1157="no",L1156="no"),2,IF(L1156="no",1))))))</f>
        <v>1</v>
      </c>
    </row>
    <row r="1156" spans="1:18">
      <c r="A1156" s="25">
        <f t="shared" si="302"/>
        <v>47389</v>
      </c>
      <c r="B1156">
        <f t="shared" si="288"/>
        <v>2029</v>
      </c>
      <c r="C1156" s="9">
        <f t="shared" si="289"/>
        <v>9</v>
      </c>
      <c r="D1156" s="9" t="str">
        <f t="shared" si="290"/>
        <v>September</v>
      </c>
      <c r="E1156" s="9" t="str">
        <f t="shared" si="291"/>
        <v>Sep-29</v>
      </c>
      <c r="F1156" s="9" t="str">
        <f t="shared" si="292"/>
        <v>Q3</v>
      </c>
      <c r="G1156" s="9">
        <f t="shared" si="293"/>
        <v>28</v>
      </c>
      <c r="H1156" s="9">
        <f t="shared" si="294"/>
        <v>5</v>
      </c>
      <c r="I1156" s="9" t="str">
        <f t="shared" si="295"/>
        <v>Friday</v>
      </c>
      <c r="J1156" s="9" t="str">
        <f t="shared" si="296"/>
        <v>No</v>
      </c>
      <c r="K1156" s="5" t="str">
        <f>IF(COUNTIF(Bank_Holidays!A:A,A1156)&gt;0,"Yes","No")</f>
        <v>No</v>
      </c>
      <c r="L1156" t="str">
        <f t="shared" si="297"/>
        <v>Yes</v>
      </c>
      <c r="M1156">
        <f t="shared" si="298"/>
        <v>39</v>
      </c>
      <c r="N1156" s="5" t="str">
        <f t="shared" si="299"/>
        <v>No</v>
      </c>
      <c r="O1156" t="str">
        <f>IF(A1156=WORKDAY(EOMONTH(A1156,0)+1,-1,Bank_Holidays!$A$2:$A$25),"Yes","No")</f>
        <v>Yes</v>
      </c>
      <c r="P1156" t="str">
        <f t="shared" si="300"/>
        <v>Yes</v>
      </c>
      <c r="Q1156" t="str">
        <f t="shared" si="301"/>
        <v>No</v>
      </c>
      <c r="R1156" s="5">
        <f t="shared" si="303"/>
        <v>3</v>
      </c>
    </row>
    <row r="1157" spans="1:18">
      <c r="A1157" s="25">
        <f t="shared" si="302"/>
        <v>47390</v>
      </c>
      <c r="B1157">
        <f t="shared" si="288"/>
        <v>2029</v>
      </c>
      <c r="C1157" s="9">
        <f t="shared" si="289"/>
        <v>9</v>
      </c>
      <c r="D1157" s="9" t="str">
        <f t="shared" si="290"/>
        <v>September</v>
      </c>
      <c r="E1157" s="9" t="str">
        <f t="shared" si="291"/>
        <v>Sep-29</v>
      </c>
      <c r="F1157" s="9" t="str">
        <f t="shared" si="292"/>
        <v>Q3</v>
      </c>
      <c r="G1157" s="9">
        <f t="shared" si="293"/>
        <v>29</v>
      </c>
      <c r="H1157" s="9">
        <f t="shared" si="294"/>
        <v>6</v>
      </c>
      <c r="I1157" s="9" t="str">
        <f t="shared" si="295"/>
        <v>Saturday</v>
      </c>
      <c r="J1157" s="9" t="str">
        <f t="shared" si="296"/>
        <v>Yes</v>
      </c>
      <c r="K1157" s="5" t="str">
        <f>IF(COUNTIF(Bank_Holidays!A:A,A1157)&gt;0,"Yes","No")</f>
        <v>No</v>
      </c>
      <c r="L1157" t="str">
        <f t="shared" si="297"/>
        <v>No</v>
      </c>
      <c r="M1157">
        <f t="shared" si="298"/>
        <v>39</v>
      </c>
      <c r="N1157" s="5" t="str">
        <f t="shared" si="299"/>
        <v>No</v>
      </c>
      <c r="O1157" t="str">
        <f>IF(A1157=WORKDAY(EOMONTH(A1157,0)+1,-1,Bank_Holidays!$A$2:$A$25),"Yes","No")</f>
        <v>No</v>
      </c>
      <c r="P1157" t="str">
        <f t="shared" si="300"/>
        <v>No</v>
      </c>
      <c r="Q1157" t="str">
        <f t="shared" si="301"/>
        <v>No</v>
      </c>
      <c r="R1157" s="5">
        <f t="shared" si="303"/>
        <v>0</v>
      </c>
    </row>
    <row r="1158" spans="1:18">
      <c r="A1158" s="25">
        <f t="shared" si="302"/>
        <v>47391</v>
      </c>
      <c r="B1158">
        <f t="shared" si="288"/>
        <v>2029</v>
      </c>
      <c r="C1158" s="9">
        <f t="shared" si="289"/>
        <v>9</v>
      </c>
      <c r="D1158" s="9" t="str">
        <f t="shared" si="290"/>
        <v>September</v>
      </c>
      <c r="E1158" s="9" t="str">
        <f t="shared" si="291"/>
        <v>Sep-29</v>
      </c>
      <c r="F1158" s="9" t="str">
        <f t="shared" si="292"/>
        <v>Q3</v>
      </c>
      <c r="G1158" s="9">
        <f t="shared" si="293"/>
        <v>30</v>
      </c>
      <c r="H1158" s="9">
        <f t="shared" si="294"/>
        <v>7</v>
      </c>
      <c r="I1158" s="9" t="str">
        <f t="shared" si="295"/>
        <v>Sunday</v>
      </c>
      <c r="J1158" s="9" t="str">
        <f t="shared" si="296"/>
        <v>Yes</v>
      </c>
      <c r="K1158" s="5" t="str">
        <f>IF(COUNTIF(Bank_Holidays!A:A,A1158)&gt;0,"Yes","No")</f>
        <v>No</v>
      </c>
      <c r="L1158" t="str">
        <f t="shared" si="297"/>
        <v>No</v>
      </c>
      <c r="M1158">
        <f t="shared" si="298"/>
        <v>39</v>
      </c>
      <c r="N1158" s="5" t="str">
        <f t="shared" si="299"/>
        <v>Yes</v>
      </c>
      <c r="O1158" t="str">
        <f>IF(A1158=WORKDAY(EOMONTH(A1158,0)+1,-1,Bank_Holidays!$A$2:$A$25),"Yes","No")</f>
        <v>No</v>
      </c>
      <c r="P1158" t="str">
        <f t="shared" si="300"/>
        <v>No</v>
      </c>
      <c r="Q1158" t="str">
        <f t="shared" si="301"/>
        <v>No</v>
      </c>
      <c r="R1158" s="5">
        <f t="shared" si="303"/>
        <v>0</v>
      </c>
    </row>
    <row r="1159" spans="1:18">
      <c r="A1159" s="25">
        <f t="shared" si="302"/>
        <v>47392</v>
      </c>
      <c r="B1159">
        <f t="shared" si="288"/>
        <v>2029</v>
      </c>
      <c r="C1159" s="9">
        <f t="shared" si="289"/>
        <v>10</v>
      </c>
      <c r="D1159" s="9" t="str">
        <f t="shared" si="290"/>
        <v>October</v>
      </c>
      <c r="E1159" s="9" t="str">
        <f t="shared" si="291"/>
        <v>Oct-29</v>
      </c>
      <c r="F1159" s="9" t="str">
        <f t="shared" si="292"/>
        <v>Q4</v>
      </c>
      <c r="G1159" s="9">
        <f t="shared" si="293"/>
        <v>1</v>
      </c>
      <c r="H1159" s="9">
        <f t="shared" si="294"/>
        <v>1</v>
      </c>
      <c r="I1159" s="9" t="str">
        <f t="shared" si="295"/>
        <v>Monday</v>
      </c>
      <c r="J1159" s="9" t="str">
        <f t="shared" si="296"/>
        <v>No</v>
      </c>
      <c r="K1159" s="5" t="str">
        <f>IF(COUNTIF(Bank_Holidays!A:A,A1159)&gt;0,"Yes","No")</f>
        <v>No</v>
      </c>
      <c r="L1159" t="str">
        <f t="shared" si="297"/>
        <v>Yes</v>
      </c>
      <c r="M1159">
        <f t="shared" si="298"/>
        <v>40</v>
      </c>
      <c r="N1159" s="5" t="str">
        <f t="shared" si="299"/>
        <v>No</v>
      </c>
      <c r="O1159" t="str">
        <f>IF(A1159=WORKDAY(EOMONTH(A1159,0)+1,-1,Bank_Holidays!$A$2:$A$25),"Yes","No")</f>
        <v>No</v>
      </c>
      <c r="P1159" t="str">
        <f t="shared" si="300"/>
        <v>No</v>
      </c>
      <c r="Q1159" t="str">
        <f t="shared" si="301"/>
        <v>No</v>
      </c>
      <c r="R1159" s="5">
        <f t="shared" si="303"/>
        <v>1</v>
      </c>
    </row>
    <row r="1160" spans="1:18">
      <c r="A1160" s="25">
        <f t="shared" si="302"/>
        <v>47393</v>
      </c>
      <c r="B1160">
        <f t="shared" si="288"/>
        <v>2029</v>
      </c>
      <c r="C1160" s="9">
        <f t="shared" si="289"/>
        <v>10</v>
      </c>
      <c r="D1160" s="9" t="str">
        <f t="shared" si="290"/>
        <v>October</v>
      </c>
      <c r="E1160" s="9" t="str">
        <f t="shared" si="291"/>
        <v>Oct-29</v>
      </c>
      <c r="F1160" s="9" t="str">
        <f t="shared" si="292"/>
        <v>Q4</v>
      </c>
      <c r="G1160" s="9">
        <f t="shared" si="293"/>
        <v>2</v>
      </c>
      <c r="H1160" s="9">
        <f t="shared" si="294"/>
        <v>2</v>
      </c>
      <c r="I1160" s="9" t="str">
        <f t="shared" si="295"/>
        <v>Tuesday</v>
      </c>
      <c r="J1160" s="9" t="str">
        <f t="shared" si="296"/>
        <v>No</v>
      </c>
      <c r="K1160" s="5" t="str">
        <f>IF(COUNTIF(Bank_Holidays!A:A,A1160)&gt;0,"Yes","No")</f>
        <v>No</v>
      </c>
      <c r="L1160" t="str">
        <f t="shared" si="297"/>
        <v>Yes</v>
      </c>
      <c r="M1160">
        <f t="shared" si="298"/>
        <v>40</v>
      </c>
      <c r="N1160" s="5" t="str">
        <f t="shared" si="299"/>
        <v>No</v>
      </c>
      <c r="O1160" t="str">
        <f>IF(A1160=WORKDAY(EOMONTH(A1160,0)+1,-1,Bank_Holidays!$A$2:$A$25),"Yes","No")</f>
        <v>No</v>
      </c>
      <c r="P1160" t="str">
        <f t="shared" si="300"/>
        <v>No</v>
      </c>
      <c r="Q1160" t="str">
        <f t="shared" si="301"/>
        <v>No</v>
      </c>
      <c r="R1160" s="5">
        <f t="shared" si="303"/>
        <v>1</v>
      </c>
    </row>
    <row r="1161" spans="1:18">
      <c r="A1161" s="25">
        <f t="shared" si="302"/>
        <v>47394</v>
      </c>
      <c r="B1161">
        <f t="shared" si="288"/>
        <v>2029</v>
      </c>
      <c r="C1161" s="9">
        <f t="shared" si="289"/>
        <v>10</v>
      </c>
      <c r="D1161" s="9" t="str">
        <f t="shared" si="290"/>
        <v>October</v>
      </c>
      <c r="E1161" s="9" t="str">
        <f t="shared" si="291"/>
        <v>Oct-29</v>
      </c>
      <c r="F1161" s="9" t="str">
        <f t="shared" si="292"/>
        <v>Q4</v>
      </c>
      <c r="G1161" s="9">
        <f t="shared" si="293"/>
        <v>3</v>
      </c>
      <c r="H1161" s="9">
        <f t="shared" si="294"/>
        <v>3</v>
      </c>
      <c r="I1161" s="9" t="str">
        <f t="shared" si="295"/>
        <v>Wednesday</v>
      </c>
      <c r="J1161" s="9" t="str">
        <f t="shared" si="296"/>
        <v>No</v>
      </c>
      <c r="K1161" s="5" t="str">
        <f>IF(COUNTIF(Bank_Holidays!A:A,A1161)&gt;0,"Yes","No")</f>
        <v>No</v>
      </c>
      <c r="L1161" t="str">
        <f t="shared" si="297"/>
        <v>Yes</v>
      </c>
      <c r="M1161">
        <f t="shared" si="298"/>
        <v>40</v>
      </c>
      <c r="N1161" s="5" t="str">
        <f t="shared" si="299"/>
        <v>No</v>
      </c>
      <c r="O1161" t="str">
        <f>IF(A1161=WORKDAY(EOMONTH(A1161,0)+1,-1,Bank_Holidays!$A$2:$A$25),"Yes","No")</f>
        <v>No</v>
      </c>
      <c r="P1161" t="str">
        <f t="shared" si="300"/>
        <v>No</v>
      </c>
      <c r="Q1161" t="str">
        <f t="shared" si="301"/>
        <v>No</v>
      </c>
      <c r="R1161" s="5">
        <f t="shared" si="303"/>
        <v>1</v>
      </c>
    </row>
    <row r="1162" spans="1:18">
      <c r="A1162" s="25">
        <f t="shared" si="302"/>
        <v>47395</v>
      </c>
      <c r="B1162">
        <f t="shared" si="288"/>
        <v>2029</v>
      </c>
      <c r="C1162" s="9">
        <f t="shared" si="289"/>
        <v>10</v>
      </c>
      <c r="D1162" s="9" t="str">
        <f t="shared" si="290"/>
        <v>October</v>
      </c>
      <c r="E1162" s="9" t="str">
        <f t="shared" si="291"/>
        <v>Oct-29</v>
      </c>
      <c r="F1162" s="9" t="str">
        <f t="shared" si="292"/>
        <v>Q4</v>
      </c>
      <c r="G1162" s="9">
        <f t="shared" si="293"/>
        <v>4</v>
      </c>
      <c r="H1162" s="9">
        <f t="shared" si="294"/>
        <v>4</v>
      </c>
      <c r="I1162" s="9" t="str">
        <f t="shared" si="295"/>
        <v>Thursday</v>
      </c>
      <c r="J1162" s="9" t="str">
        <f t="shared" si="296"/>
        <v>No</v>
      </c>
      <c r="K1162" s="5" t="str">
        <f>IF(COUNTIF(Bank_Holidays!A:A,A1162)&gt;0,"Yes","No")</f>
        <v>No</v>
      </c>
      <c r="L1162" t="str">
        <f t="shared" si="297"/>
        <v>Yes</v>
      </c>
      <c r="M1162">
        <f t="shared" si="298"/>
        <v>40</v>
      </c>
      <c r="N1162" s="5" t="str">
        <f t="shared" si="299"/>
        <v>No</v>
      </c>
      <c r="O1162" t="str">
        <f>IF(A1162=WORKDAY(EOMONTH(A1162,0)+1,-1,Bank_Holidays!$A$2:$A$25),"Yes","No")</f>
        <v>No</v>
      </c>
      <c r="P1162" t="str">
        <f t="shared" si="300"/>
        <v>No</v>
      </c>
      <c r="Q1162" t="str">
        <f t="shared" si="301"/>
        <v>No</v>
      </c>
      <c r="R1162" s="5">
        <f t="shared" si="303"/>
        <v>1</v>
      </c>
    </row>
    <row r="1163" spans="1:18">
      <c r="A1163" s="25">
        <f t="shared" si="302"/>
        <v>47396</v>
      </c>
      <c r="B1163">
        <f t="shared" si="288"/>
        <v>2029</v>
      </c>
      <c r="C1163" s="9">
        <f t="shared" si="289"/>
        <v>10</v>
      </c>
      <c r="D1163" s="9" t="str">
        <f t="shared" si="290"/>
        <v>October</v>
      </c>
      <c r="E1163" s="9" t="str">
        <f t="shared" si="291"/>
        <v>Oct-29</v>
      </c>
      <c r="F1163" s="9" t="str">
        <f t="shared" si="292"/>
        <v>Q4</v>
      </c>
      <c r="G1163" s="9">
        <f t="shared" si="293"/>
        <v>5</v>
      </c>
      <c r="H1163" s="9">
        <f t="shared" si="294"/>
        <v>5</v>
      </c>
      <c r="I1163" s="9" t="str">
        <f t="shared" si="295"/>
        <v>Friday</v>
      </c>
      <c r="J1163" s="9" t="str">
        <f t="shared" si="296"/>
        <v>No</v>
      </c>
      <c r="K1163" s="5" t="str">
        <f>IF(COUNTIF(Bank_Holidays!A:A,A1163)&gt;0,"Yes","No")</f>
        <v>No</v>
      </c>
      <c r="L1163" t="str">
        <f t="shared" si="297"/>
        <v>Yes</v>
      </c>
      <c r="M1163">
        <f t="shared" si="298"/>
        <v>40</v>
      </c>
      <c r="N1163" s="5" t="str">
        <f t="shared" si="299"/>
        <v>No</v>
      </c>
      <c r="O1163" t="str">
        <f>IF(A1163=WORKDAY(EOMONTH(A1163,0)+1,-1,Bank_Holidays!$A$2:$A$25),"Yes","No")</f>
        <v>No</v>
      </c>
      <c r="P1163" t="str">
        <f t="shared" si="300"/>
        <v>No</v>
      </c>
      <c r="Q1163" t="str">
        <f t="shared" si="301"/>
        <v>No</v>
      </c>
      <c r="R1163" s="5">
        <f t="shared" si="303"/>
        <v>3</v>
      </c>
    </row>
    <row r="1164" spans="1:18">
      <c r="A1164" s="25">
        <f t="shared" si="302"/>
        <v>47397</v>
      </c>
      <c r="B1164">
        <f t="shared" si="288"/>
        <v>2029</v>
      </c>
      <c r="C1164" s="9">
        <f t="shared" si="289"/>
        <v>10</v>
      </c>
      <c r="D1164" s="9" t="str">
        <f t="shared" si="290"/>
        <v>October</v>
      </c>
      <c r="E1164" s="9" t="str">
        <f t="shared" si="291"/>
        <v>Oct-29</v>
      </c>
      <c r="F1164" s="9" t="str">
        <f t="shared" si="292"/>
        <v>Q4</v>
      </c>
      <c r="G1164" s="9">
        <f t="shared" si="293"/>
        <v>6</v>
      </c>
      <c r="H1164" s="9">
        <f t="shared" si="294"/>
        <v>6</v>
      </c>
      <c r="I1164" s="9" t="str">
        <f t="shared" si="295"/>
        <v>Saturday</v>
      </c>
      <c r="J1164" s="9" t="str">
        <f t="shared" si="296"/>
        <v>Yes</v>
      </c>
      <c r="K1164" s="5" t="str">
        <f>IF(COUNTIF(Bank_Holidays!A:A,A1164)&gt;0,"Yes","No")</f>
        <v>No</v>
      </c>
      <c r="L1164" t="str">
        <f t="shared" si="297"/>
        <v>No</v>
      </c>
      <c r="M1164">
        <f t="shared" si="298"/>
        <v>40</v>
      </c>
      <c r="N1164" s="5" t="str">
        <f t="shared" si="299"/>
        <v>No</v>
      </c>
      <c r="O1164" t="str">
        <f>IF(A1164=WORKDAY(EOMONTH(A1164,0)+1,-1,Bank_Holidays!$A$2:$A$25),"Yes","No")</f>
        <v>No</v>
      </c>
      <c r="P1164" t="str">
        <f t="shared" si="300"/>
        <v>No</v>
      </c>
      <c r="Q1164" t="str">
        <f t="shared" si="301"/>
        <v>No</v>
      </c>
      <c r="R1164" s="5">
        <f t="shared" si="303"/>
        <v>0</v>
      </c>
    </row>
    <row r="1165" spans="1:18">
      <c r="A1165" s="25">
        <f t="shared" si="302"/>
        <v>47398</v>
      </c>
      <c r="B1165">
        <f t="shared" si="288"/>
        <v>2029</v>
      </c>
      <c r="C1165" s="9">
        <f t="shared" si="289"/>
        <v>10</v>
      </c>
      <c r="D1165" s="9" t="str">
        <f t="shared" si="290"/>
        <v>October</v>
      </c>
      <c r="E1165" s="9" t="str">
        <f t="shared" si="291"/>
        <v>Oct-29</v>
      </c>
      <c r="F1165" s="9" t="str">
        <f t="shared" si="292"/>
        <v>Q4</v>
      </c>
      <c r="G1165" s="9">
        <f t="shared" si="293"/>
        <v>7</v>
      </c>
      <c r="H1165" s="9">
        <f t="shared" si="294"/>
        <v>7</v>
      </c>
      <c r="I1165" s="9" t="str">
        <f t="shared" si="295"/>
        <v>Sunday</v>
      </c>
      <c r="J1165" s="9" t="str">
        <f t="shared" si="296"/>
        <v>Yes</v>
      </c>
      <c r="K1165" s="5" t="str">
        <f>IF(COUNTIF(Bank_Holidays!A:A,A1165)&gt;0,"Yes","No")</f>
        <v>No</v>
      </c>
      <c r="L1165" t="str">
        <f t="shared" si="297"/>
        <v>No</v>
      </c>
      <c r="M1165">
        <f t="shared" si="298"/>
        <v>40</v>
      </c>
      <c r="N1165" s="5" t="str">
        <f t="shared" si="299"/>
        <v>No</v>
      </c>
      <c r="O1165" t="str">
        <f>IF(A1165=WORKDAY(EOMONTH(A1165,0)+1,-1,Bank_Holidays!$A$2:$A$25),"Yes","No")</f>
        <v>No</v>
      </c>
      <c r="P1165" t="str">
        <f t="shared" si="300"/>
        <v>No</v>
      </c>
      <c r="Q1165" t="str">
        <f t="shared" si="301"/>
        <v>No</v>
      </c>
      <c r="R1165" s="5">
        <f t="shared" si="303"/>
        <v>0</v>
      </c>
    </row>
    <row r="1166" spans="1:18">
      <c r="A1166" s="25">
        <f t="shared" si="302"/>
        <v>47399</v>
      </c>
      <c r="B1166">
        <f t="shared" si="288"/>
        <v>2029</v>
      </c>
      <c r="C1166" s="9">
        <f t="shared" si="289"/>
        <v>10</v>
      </c>
      <c r="D1166" s="9" t="str">
        <f t="shared" si="290"/>
        <v>October</v>
      </c>
      <c r="E1166" s="9" t="str">
        <f t="shared" si="291"/>
        <v>Oct-29</v>
      </c>
      <c r="F1166" s="9" t="str">
        <f t="shared" si="292"/>
        <v>Q4</v>
      </c>
      <c r="G1166" s="9">
        <f t="shared" si="293"/>
        <v>8</v>
      </c>
      <c r="H1166" s="9">
        <f t="shared" si="294"/>
        <v>1</v>
      </c>
      <c r="I1166" s="9" t="str">
        <f t="shared" si="295"/>
        <v>Monday</v>
      </c>
      <c r="J1166" s="9" t="str">
        <f t="shared" si="296"/>
        <v>No</v>
      </c>
      <c r="K1166" s="5" t="str">
        <f>IF(COUNTIF(Bank_Holidays!A:A,A1166)&gt;0,"Yes","No")</f>
        <v>No</v>
      </c>
      <c r="L1166" t="str">
        <f t="shared" si="297"/>
        <v>Yes</v>
      </c>
      <c r="M1166">
        <f t="shared" si="298"/>
        <v>41</v>
      </c>
      <c r="N1166" s="5" t="str">
        <f t="shared" si="299"/>
        <v>No</v>
      </c>
      <c r="O1166" t="str">
        <f>IF(A1166=WORKDAY(EOMONTH(A1166,0)+1,-1,Bank_Holidays!$A$2:$A$25),"Yes","No")</f>
        <v>No</v>
      </c>
      <c r="P1166" t="str">
        <f t="shared" si="300"/>
        <v>No</v>
      </c>
      <c r="Q1166" t="str">
        <f t="shared" si="301"/>
        <v>No</v>
      </c>
      <c r="R1166" s="5">
        <f t="shared" si="303"/>
        <v>1</v>
      </c>
    </row>
    <row r="1167" spans="1:18">
      <c r="A1167" s="25">
        <f t="shared" si="302"/>
        <v>47400</v>
      </c>
      <c r="B1167">
        <f t="shared" si="288"/>
        <v>2029</v>
      </c>
      <c r="C1167" s="9">
        <f t="shared" si="289"/>
        <v>10</v>
      </c>
      <c r="D1167" s="9" t="str">
        <f t="shared" si="290"/>
        <v>October</v>
      </c>
      <c r="E1167" s="9" t="str">
        <f t="shared" si="291"/>
        <v>Oct-29</v>
      </c>
      <c r="F1167" s="9" t="str">
        <f t="shared" si="292"/>
        <v>Q4</v>
      </c>
      <c r="G1167" s="9">
        <f t="shared" si="293"/>
        <v>9</v>
      </c>
      <c r="H1167" s="9">
        <f t="shared" si="294"/>
        <v>2</v>
      </c>
      <c r="I1167" s="9" t="str">
        <f t="shared" si="295"/>
        <v>Tuesday</v>
      </c>
      <c r="J1167" s="9" t="str">
        <f t="shared" si="296"/>
        <v>No</v>
      </c>
      <c r="K1167" s="5" t="str">
        <f>IF(COUNTIF(Bank_Holidays!A:A,A1167)&gt;0,"Yes","No")</f>
        <v>No</v>
      </c>
      <c r="L1167" t="str">
        <f t="shared" si="297"/>
        <v>Yes</v>
      </c>
      <c r="M1167">
        <f t="shared" si="298"/>
        <v>41</v>
      </c>
      <c r="N1167" s="5" t="str">
        <f t="shared" si="299"/>
        <v>No</v>
      </c>
      <c r="O1167" t="str">
        <f>IF(A1167=WORKDAY(EOMONTH(A1167,0)+1,-1,Bank_Holidays!$A$2:$A$25),"Yes","No")</f>
        <v>No</v>
      </c>
      <c r="P1167" t="str">
        <f t="shared" si="300"/>
        <v>No</v>
      </c>
      <c r="Q1167" t="str">
        <f t="shared" si="301"/>
        <v>No</v>
      </c>
      <c r="R1167" s="5">
        <f t="shared" si="303"/>
        <v>1</v>
      </c>
    </row>
    <row r="1168" spans="1:18">
      <c r="A1168" s="25">
        <f t="shared" si="302"/>
        <v>47401</v>
      </c>
      <c r="B1168">
        <f t="shared" si="288"/>
        <v>2029</v>
      </c>
      <c r="C1168" s="9">
        <f t="shared" si="289"/>
        <v>10</v>
      </c>
      <c r="D1168" s="9" t="str">
        <f t="shared" si="290"/>
        <v>October</v>
      </c>
      <c r="E1168" s="9" t="str">
        <f t="shared" si="291"/>
        <v>Oct-29</v>
      </c>
      <c r="F1168" s="9" t="str">
        <f t="shared" si="292"/>
        <v>Q4</v>
      </c>
      <c r="G1168" s="9">
        <f t="shared" si="293"/>
        <v>10</v>
      </c>
      <c r="H1168" s="9">
        <f t="shared" si="294"/>
        <v>3</v>
      </c>
      <c r="I1168" s="9" t="str">
        <f t="shared" si="295"/>
        <v>Wednesday</v>
      </c>
      <c r="J1168" s="9" t="str">
        <f t="shared" si="296"/>
        <v>No</v>
      </c>
      <c r="K1168" s="5" t="str">
        <f>IF(COUNTIF(Bank_Holidays!A:A,A1168)&gt;0,"Yes","No")</f>
        <v>No</v>
      </c>
      <c r="L1168" t="str">
        <f t="shared" si="297"/>
        <v>Yes</v>
      </c>
      <c r="M1168">
        <f t="shared" si="298"/>
        <v>41</v>
      </c>
      <c r="N1168" s="5" t="str">
        <f t="shared" si="299"/>
        <v>No</v>
      </c>
      <c r="O1168" t="str">
        <f>IF(A1168=WORKDAY(EOMONTH(A1168,0)+1,-1,Bank_Holidays!$A$2:$A$25),"Yes","No")</f>
        <v>No</v>
      </c>
      <c r="P1168" t="str">
        <f t="shared" si="300"/>
        <v>No</v>
      </c>
      <c r="Q1168" t="str">
        <f t="shared" si="301"/>
        <v>No</v>
      </c>
      <c r="R1168" s="5">
        <f t="shared" si="303"/>
        <v>1</v>
      </c>
    </row>
    <row r="1169" spans="1:18">
      <c r="A1169" s="25">
        <f t="shared" si="302"/>
        <v>47402</v>
      </c>
      <c r="B1169">
        <f t="shared" si="288"/>
        <v>2029</v>
      </c>
      <c r="C1169" s="9">
        <f t="shared" si="289"/>
        <v>10</v>
      </c>
      <c r="D1169" s="9" t="str">
        <f t="shared" si="290"/>
        <v>October</v>
      </c>
      <c r="E1169" s="9" t="str">
        <f t="shared" si="291"/>
        <v>Oct-29</v>
      </c>
      <c r="F1169" s="9" t="str">
        <f t="shared" si="292"/>
        <v>Q4</v>
      </c>
      <c r="G1169" s="9">
        <f t="shared" si="293"/>
        <v>11</v>
      </c>
      <c r="H1169" s="9">
        <f t="shared" si="294"/>
        <v>4</v>
      </c>
      <c r="I1169" s="9" t="str">
        <f t="shared" si="295"/>
        <v>Thursday</v>
      </c>
      <c r="J1169" s="9" t="str">
        <f t="shared" si="296"/>
        <v>No</v>
      </c>
      <c r="K1169" s="5" t="str">
        <f>IF(COUNTIF(Bank_Holidays!A:A,A1169)&gt;0,"Yes","No")</f>
        <v>No</v>
      </c>
      <c r="L1169" t="str">
        <f t="shared" si="297"/>
        <v>Yes</v>
      </c>
      <c r="M1169">
        <f t="shared" si="298"/>
        <v>41</v>
      </c>
      <c r="N1169" s="5" t="str">
        <f t="shared" si="299"/>
        <v>No</v>
      </c>
      <c r="O1169" t="str">
        <f>IF(A1169=WORKDAY(EOMONTH(A1169,0)+1,-1,Bank_Holidays!$A$2:$A$25),"Yes","No")</f>
        <v>No</v>
      </c>
      <c r="P1169" t="str">
        <f t="shared" si="300"/>
        <v>No</v>
      </c>
      <c r="Q1169" t="str">
        <f t="shared" si="301"/>
        <v>No</v>
      </c>
      <c r="R1169" s="5">
        <f t="shared" si="303"/>
        <v>1</v>
      </c>
    </row>
    <row r="1170" spans="1:18">
      <c r="A1170" s="25">
        <f t="shared" si="302"/>
        <v>47403</v>
      </c>
      <c r="B1170">
        <f t="shared" si="288"/>
        <v>2029</v>
      </c>
      <c r="C1170" s="9">
        <f t="shared" si="289"/>
        <v>10</v>
      </c>
      <c r="D1170" s="9" t="str">
        <f t="shared" si="290"/>
        <v>October</v>
      </c>
      <c r="E1170" s="9" t="str">
        <f t="shared" si="291"/>
        <v>Oct-29</v>
      </c>
      <c r="F1170" s="9" t="str">
        <f t="shared" si="292"/>
        <v>Q4</v>
      </c>
      <c r="G1170" s="9">
        <f t="shared" si="293"/>
        <v>12</v>
      </c>
      <c r="H1170" s="9">
        <f t="shared" si="294"/>
        <v>5</v>
      </c>
      <c r="I1170" s="9" t="str">
        <f t="shared" si="295"/>
        <v>Friday</v>
      </c>
      <c r="J1170" s="9" t="str">
        <f t="shared" si="296"/>
        <v>No</v>
      </c>
      <c r="K1170" s="5" t="str">
        <f>IF(COUNTIF(Bank_Holidays!A:A,A1170)&gt;0,"Yes","No")</f>
        <v>No</v>
      </c>
      <c r="L1170" t="str">
        <f t="shared" si="297"/>
        <v>Yes</v>
      </c>
      <c r="M1170">
        <f t="shared" si="298"/>
        <v>41</v>
      </c>
      <c r="N1170" s="5" t="str">
        <f t="shared" si="299"/>
        <v>No</v>
      </c>
      <c r="O1170" t="str">
        <f>IF(A1170=WORKDAY(EOMONTH(A1170,0)+1,-1,Bank_Holidays!$A$2:$A$25),"Yes","No")</f>
        <v>No</v>
      </c>
      <c r="P1170" t="str">
        <f t="shared" si="300"/>
        <v>No</v>
      </c>
      <c r="Q1170" t="str">
        <f t="shared" si="301"/>
        <v>No</v>
      </c>
      <c r="R1170" s="5">
        <f t="shared" si="303"/>
        <v>3</v>
      </c>
    </row>
    <row r="1171" spans="1:18">
      <c r="A1171" s="25">
        <f t="shared" si="302"/>
        <v>47404</v>
      </c>
      <c r="B1171">
        <f t="shared" si="288"/>
        <v>2029</v>
      </c>
      <c r="C1171" s="9">
        <f t="shared" si="289"/>
        <v>10</v>
      </c>
      <c r="D1171" s="9" t="str">
        <f t="shared" si="290"/>
        <v>October</v>
      </c>
      <c r="E1171" s="9" t="str">
        <f t="shared" si="291"/>
        <v>Oct-29</v>
      </c>
      <c r="F1171" s="9" t="str">
        <f t="shared" si="292"/>
        <v>Q4</v>
      </c>
      <c r="G1171" s="9">
        <f t="shared" si="293"/>
        <v>13</v>
      </c>
      <c r="H1171" s="9">
        <f t="shared" si="294"/>
        <v>6</v>
      </c>
      <c r="I1171" s="9" t="str">
        <f t="shared" si="295"/>
        <v>Saturday</v>
      </c>
      <c r="J1171" s="9" t="str">
        <f t="shared" si="296"/>
        <v>Yes</v>
      </c>
      <c r="K1171" s="5" t="str">
        <f>IF(COUNTIF(Bank_Holidays!A:A,A1171)&gt;0,"Yes","No")</f>
        <v>No</v>
      </c>
      <c r="L1171" t="str">
        <f t="shared" si="297"/>
        <v>No</v>
      </c>
      <c r="M1171">
        <f t="shared" si="298"/>
        <v>41</v>
      </c>
      <c r="N1171" s="5" t="str">
        <f t="shared" si="299"/>
        <v>No</v>
      </c>
      <c r="O1171" t="str">
        <f>IF(A1171=WORKDAY(EOMONTH(A1171,0)+1,-1,Bank_Holidays!$A$2:$A$25),"Yes","No")</f>
        <v>No</v>
      </c>
      <c r="P1171" t="str">
        <f t="shared" si="300"/>
        <v>No</v>
      </c>
      <c r="Q1171" t="str">
        <f t="shared" si="301"/>
        <v>No</v>
      </c>
      <c r="R1171" s="5">
        <f t="shared" si="303"/>
        <v>0</v>
      </c>
    </row>
    <row r="1172" spans="1:18">
      <c r="A1172" s="25">
        <f t="shared" si="302"/>
        <v>47405</v>
      </c>
      <c r="B1172">
        <f t="shared" si="288"/>
        <v>2029</v>
      </c>
      <c r="C1172" s="9">
        <f t="shared" si="289"/>
        <v>10</v>
      </c>
      <c r="D1172" s="9" t="str">
        <f t="shared" si="290"/>
        <v>October</v>
      </c>
      <c r="E1172" s="9" t="str">
        <f t="shared" si="291"/>
        <v>Oct-29</v>
      </c>
      <c r="F1172" s="9" t="str">
        <f t="shared" si="292"/>
        <v>Q4</v>
      </c>
      <c r="G1172" s="9">
        <f t="shared" si="293"/>
        <v>14</v>
      </c>
      <c r="H1172" s="9">
        <f t="shared" si="294"/>
        <v>7</v>
      </c>
      <c r="I1172" s="9" t="str">
        <f t="shared" si="295"/>
        <v>Sunday</v>
      </c>
      <c r="J1172" s="9" t="str">
        <f t="shared" si="296"/>
        <v>Yes</v>
      </c>
      <c r="K1172" s="5" t="str">
        <f>IF(COUNTIF(Bank_Holidays!A:A,A1172)&gt;0,"Yes","No")</f>
        <v>No</v>
      </c>
      <c r="L1172" t="str">
        <f t="shared" si="297"/>
        <v>No</v>
      </c>
      <c r="M1172">
        <f t="shared" si="298"/>
        <v>41</v>
      </c>
      <c r="N1172" s="5" t="str">
        <f t="shared" si="299"/>
        <v>No</v>
      </c>
      <c r="O1172" t="str">
        <f>IF(A1172=WORKDAY(EOMONTH(A1172,0)+1,-1,Bank_Holidays!$A$2:$A$25),"Yes","No")</f>
        <v>No</v>
      </c>
      <c r="P1172" t="str">
        <f t="shared" si="300"/>
        <v>No</v>
      </c>
      <c r="Q1172" t="str">
        <f t="shared" si="301"/>
        <v>No</v>
      </c>
      <c r="R1172" s="5">
        <f t="shared" si="303"/>
        <v>0</v>
      </c>
    </row>
    <row r="1173" spans="1:18">
      <c r="A1173" s="25">
        <f t="shared" si="302"/>
        <v>47406</v>
      </c>
      <c r="B1173">
        <f t="shared" si="288"/>
        <v>2029</v>
      </c>
      <c r="C1173" s="9">
        <f t="shared" si="289"/>
        <v>10</v>
      </c>
      <c r="D1173" s="9" t="str">
        <f t="shared" si="290"/>
        <v>October</v>
      </c>
      <c r="E1173" s="9" t="str">
        <f t="shared" si="291"/>
        <v>Oct-29</v>
      </c>
      <c r="F1173" s="9" t="str">
        <f t="shared" si="292"/>
        <v>Q4</v>
      </c>
      <c r="G1173" s="9">
        <f t="shared" si="293"/>
        <v>15</v>
      </c>
      <c r="H1173" s="9">
        <f t="shared" si="294"/>
        <v>1</v>
      </c>
      <c r="I1173" s="9" t="str">
        <f t="shared" si="295"/>
        <v>Monday</v>
      </c>
      <c r="J1173" s="9" t="str">
        <f t="shared" si="296"/>
        <v>No</v>
      </c>
      <c r="K1173" s="5" t="str">
        <f>IF(COUNTIF(Bank_Holidays!A:A,A1173)&gt;0,"Yes","No")</f>
        <v>No</v>
      </c>
      <c r="L1173" t="str">
        <f t="shared" si="297"/>
        <v>Yes</v>
      </c>
      <c r="M1173">
        <f t="shared" si="298"/>
        <v>42</v>
      </c>
      <c r="N1173" s="5" t="str">
        <f t="shared" si="299"/>
        <v>No</v>
      </c>
      <c r="O1173" t="str">
        <f>IF(A1173=WORKDAY(EOMONTH(A1173,0)+1,-1,Bank_Holidays!$A$2:$A$25),"Yes","No")</f>
        <v>No</v>
      </c>
      <c r="P1173" t="str">
        <f t="shared" si="300"/>
        <v>No</v>
      </c>
      <c r="Q1173" t="str">
        <f t="shared" si="301"/>
        <v>No</v>
      </c>
      <c r="R1173" s="5">
        <f t="shared" si="303"/>
        <v>1</v>
      </c>
    </row>
    <row r="1174" spans="1:18">
      <c r="A1174" s="25">
        <f t="shared" si="302"/>
        <v>47407</v>
      </c>
      <c r="B1174">
        <f t="shared" si="288"/>
        <v>2029</v>
      </c>
      <c r="C1174" s="9">
        <f t="shared" si="289"/>
        <v>10</v>
      </c>
      <c r="D1174" s="9" t="str">
        <f t="shared" si="290"/>
        <v>October</v>
      </c>
      <c r="E1174" s="9" t="str">
        <f t="shared" si="291"/>
        <v>Oct-29</v>
      </c>
      <c r="F1174" s="9" t="str">
        <f t="shared" si="292"/>
        <v>Q4</v>
      </c>
      <c r="G1174" s="9">
        <f t="shared" si="293"/>
        <v>16</v>
      </c>
      <c r="H1174" s="9">
        <f t="shared" si="294"/>
        <v>2</v>
      </c>
      <c r="I1174" s="9" t="str">
        <f t="shared" si="295"/>
        <v>Tuesday</v>
      </c>
      <c r="J1174" s="9" t="str">
        <f t="shared" si="296"/>
        <v>No</v>
      </c>
      <c r="K1174" s="5" t="str">
        <f>IF(COUNTIF(Bank_Holidays!A:A,A1174)&gt;0,"Yes","No")</f>
        <v>No</v>
      </c>
      <c r="L1174" t="str">
        <f t="shared" si="297"/>
        <v>Yes</v>
      </c>
      <c r="M1174">
        <f t="shared" si="298"/>
        <v>42</v>
      </c>
      <c r="N1174" s="5" t="str">
        <f t="shared" si="299"/>
        <v>No</v>
      </c>
      <c r="O1174" t="str">
        <f>IF(A1174=WORKDAY(EOMONTH(A1174,0)+1,-1,Bank_Holidays!$A$2:$A$25),"Yes","No")</f>
        <v>No</v>
      </c>
      <c r="P1174" t="str">
        <f t="shared" si="300"/>
        <v>No</v>
      </c>
      <c r="Q1174" t="str">
        <f t="shared" si="301"/>
        <v>No</v>
      </c>
      <c r="R1174" s="5">
        <f t="shared" si="303"/>
        <v>1</v>
      </c>
    </row>
    <row r="1175" spans="1:18">
      <c r="A1175" s="25">
        <f t="shared" si="302"/>
        <v>47408</v>
      </c>
      <c r="B1175">
        <f t="shared" si="288"/>
        <v>2029</v>
      </c>
      <c r="C1175" s="9">
        <f t="shared" si="289"/>
        <v>10</v>
      </c>
      <c r="D1175" s="9" t="str">
        <f t="shared" si="290"/>
        <v>October</v>
      </c>
      <c r="E1175" s="9" t="str">
        <f t="shared" si="291"/>
        <v>Oct-29</v>
      </c>
      <c r="F1175" s="9" t="str">
        <f t="shared" si="292"/>
        <v>Q4</v>
      </c>
      <c r="G1175" s="9">
        <f t="shared" si="293"/>
        <v>17</v>
      </c>
      <c r="H1175" s="9">
        <f t="shared" si="294"/>
        <v>3</v>
      </c>
      <c r="I1175" s="9" t="str">
        <f t="shared" si="295"/>
        <v>Wednesday</v>
      </c>
      <c r="J1175" s="9" t="str">
        <f t="shared" si="296"/>
        <v>No</v>
      </c>
      <c r="K1175" s="5" t="str">
        <f>IF(COUNTIF(Bank_Holidays!A:A,A1175)&gt;0,"Yes","No")</f>
        <v>No</v>
      </c>
      <c r="L1175" t="str">
        <f t="shared" si="297"/>
        <v>Yes</v>
      </c>
      <c r="M1175">
        <f t="shared" si="298"/>
        <v>42</v>
      </c>
      <c r="N1175" s="5" t="str">
        <f t="shared" si="299"/>
        <v>No</v>
      </c>
      <c r="O1175" t="str">
        <f>IF(A1175=WORKDAY(EOMONTH(A1175,0)+1,-1,Bank_Holidays!$A$2:$A$25),"Yes","No")</f>
        <v>No</v>
      </c>
      <c r="P1175" t="str">
        <f t="shared" si="300"/>
        <v>No</v>
      </c>
      <c r="Q1175" t="str">
        <f t="shared" si="301"/>
        <v>No</v>
      </c>
      <c r="R1175" s="5">
        <f t="shared" si="303"/>
        <v>1</v>
      </c>
    </row>
    <row r="1176" spans="1:18">
      <c r="A1176" s="25">
        <f t="shared" si="302"/>
        <v>47409</v>
      </c>
      <c r="B1176">
        <f t="shared" si="288"/>
        <v>2029</v>
      </c>
      <c r="C1176" s="9">
        <f t="shared" si="289"/>
        <v>10</v>
      </c>
      <c r="D1176" s="9" t="str">
        <f t="shared" si="290"/>
        <v>October</v>
      </c>
      <c r="E1176" s="9" t="str">
        <f t="shared" si="291"/>
        <v>Oct-29</v>
      </c>
      <c r="F1176" s="9" t="str">
        <f t="shared" si="292"/>
        <v>Q4</v>
      </c>
      <c r="G1176" s="9">
        <f t="shared" si="293"/>
        <v>18</v>
      </c>
      <c r="H1176" s="9">
        <f t="shared" si="294"/>
        <v>4</v>
      </c>
      <c r="I1176" s="9" t="str">
        <f t="shared" si="295"/>
        <v>Thursday</v>
      </c>
      <c r="J1176" s="9" t="str">
        <f t="shared" si="296"/>
        <v>No</v>
      </c>
      <c r="K1176" s="5" t="str">
        <f>IF(COUNTIF(Bank_Holidays!A:A,A1176)&gt;0,"Yes","No")</f>
        <v>No</v>
      </c>
      <c r="L1176" t="str">
        <f t="shared" si="297"/>
        <v>Yes</v>
      </c>
      <c r="M1176">
        <f t="shared" si="298"/>
        <v>42</v>
      </c>
      <c r="N1176" s="5" t="str">
        <f t="shared" si="299"/>
        <v>No</v>
      </c>
      <c r="O1176" t="str">
        <f>IF(A1176=WORKDAY(EOMONTH(A1176,0)+1,-1,Bank_Holidays!$A$2:$A$25),"Yes","No")</f>
        <v>No</v>
      </c>
      <c r="P1176" t="str">
        <f t="shared" si="300"/>
        <v>No</v>
      </c>
      <c r="Q1176" t="str">
        <f t="shared" si="301"/>
        <v>No</v>
      </c>
      <c r="R1176" s="5">
        <f t="shared" si="303"/>
        <v>1</v>
      </c>
    </row>
    <row r="1177" spans="1:18">
      <c r="A1177" s="25">
        <f t="shared" si="302"/>
        <v>47410</v>
      </c>
      <c r="B1177">
        <f t="shared" si="288"/>
        <v>2029</v>
      </c>
      <c r="C1177" s="9">
        <f t="shared" si="289"/>
        <v>10</v>
      </c>
      <c r="D1177" s="9" t="str">
        <f t="shared" si="290"/>
        <v>October</v>
      </c>
      <c r="E1177" s="9" t="str">
        <f t="shared" si="291"/>
        <v>Oct-29</v>
      </c>
      <c r="F1177" s="9" t="str">
        <f t="shared" si="292"/>
        <v>Q4</v>
      </c>
      <c r="G1177" s="9">
        <f t="shared" si="293"/>
        <v>19</v>
      </c>
      <c r="H1177" s="9">
        <f t="shared" si="294"/>
        <v>5</v>
      </c>
      <c r="I1177" s="9" t="str">
        <f t="shared" si="295"/>
        <v>Friday</v>
      </c>
      <c r="J1177" s="9" t="str">
        <f t="shared" si="296"/>
        <v>No</v>
      </c>
      <c r="K1177" s="5" t="str">
        <f>IF(COUNTIF(Bank_Holidays!A:A,A1177)&gt;0,"Yes","No")</f>
        <v>No</v>
      </c>
      <c r="L1177" t="str">
        <f t="shared" si="297"/>
        <v>Yes</v>
      </c>
      <c r="M1177">
        <f t="shared" si="298"/>
        <v>42</v>
      </c>
      <c r="N1177" s="5" t="str">
        <f t="shared" si="299"/>
        <v>No</v>
      </c>
      <c r="O1177" t="str">
        <f>IF(A1177=WORKDAY(EOMONTH(A1177,0)+1,-1,Bank_Holidays!$A$2:$A$25),"Yes","No")</f>
        <v>No</v>
      </c>
      <c r="P1177" t="str">
        <f t="shared" si="300"/>
        <v>No</v>
      </c>
      <c r="Q1177" t="str">
        <f t="shared" si="301"/>
        <v>No</v>
      </c>
      <c r="R1177" s="5">
        <f t="shared" si="303"/>
        <v>3</v>
      </c>
    </row>
    <row r="1178" spans="1:18">
      <c r="A1178" s="25">
        <f t="shared" si="302"/>
        <v>47411</v>
      </c>
      <c r="B1178">
        <f t="shared" si="288"/>
        <v>2029</v>
      </c>
      <c r="C1178" s="9">
        <f t="shared" si="289"/>
        <v>10</v>
      </c>
      <c r="D1178" s="9" t="str">
        <f t="shared" si="290"/>
        <v>October</v>
      </c>
      <c r="E1178" s="9" t="str">
        <f t="shared" si="291"/>
        <v>Oct-29</v>
      </c>
      <c r="F1178" s="9" t="str">
        <f t="shared" si="292"/>
        <v>Q4</v>
      </c>
      <c r="G1178" s="9">
        <f t="shared" si="293"/>
        <v>20</v>
      </c>
      <c r="H1178" s="9">
        <f t="shared" si="294"/>
        <v>6</v>
      </c>
      <c r="I1178" s="9" t="str">
        <f t="shared" si="295"/>
        <v>Saturday</v>
      </c>
      <c r="J1178" s="9" t="str">
        <f t="shared" si="296"/>
        <v>Yes</v>
      </c>
      <c r="K1178" s="5" t="str">
        <f>IF(COUNTIF(Bank_Holidays!A:A,A1178)&gt;0,"Yes","No")</f>
        <v>No</v>
      </c>
      <c r="L1178" t="str">
        <f t="shared" si="297"/>
        <v>No</v>
      </c>
      <c r="M1178">
        <f t="shared" si="298"/>
        <v>42</v>
      </c>
      <c r="N1178" s="5" t="str">
        <f t="shared" si="299"/>
        <v>No</v>
      </c>
      <c r="O1178" t="str">
        <f>IF(A1178=WORKDAY(EOMONTH(A1178,0)+1,-1,Bank_Holidays!$A$2:$A$25),"Yes","No")</f>
        <v>No</v>
      </c>
      <c r="P1178" t="str">
        <f t="shared" si="300"/>
        <v>No</v>
      </c>
      <c r="Q1178" t="str">
        <f t="shared" si="301"/>
        <v>No</v>
      </c>
      <c r="R1178" s="5">
        <f t="shared" si="303"/>
        <v>0</v>
      </c>
    </row>
    <row r="1179" spans="1:18">
      <c r="A1179" s="25">
        <f t="shared" si="302"/>
        <v>47412</v>
      </c>
      <c r="B1179">
        <f t="shared" si="288"/>
        <v>2029</v>
      </c>
      <c r="C1179" s="9">
        <f t="shared" si="289"/>
        <v>10</v>
      </c>
      <c r="D1179" s="9" t="str">
        <f t="shared" si="290"/>
        <v>October</v>
      </c>
      <c r="E1179" s="9" t="str">
        <f t="shared" si="291"/>
        <v>Oct-29</v>
      </c>
      <c r="F1179" s="9" t="str">
        <f t="shared" si="292"/>
        <v>Q4</v>
      </c>
      <c r="G1179" s="9">
        <f t="shared" si="293"/>
        <v>21</v>
      </c>
      <c r="H1179" s="9">
        <f t="shared" si="294"/>
        <v>7</v>
      </c>
      <c r="I1179" s="9" t="str">
        <f t="shared" si="295"/>
        <v>Sunday</v>
      </c>
      <c r="J1179" s="9" t="str">
        <f t="shared" si="296"/>
        <v>Yes</v>
      </c>
      <c r="K1179" s="5" t="str">
        <f>IF(COUNTIF(Bank_Holidays!A:A,A1179)&gt;0,"Yes","No")</f>
        <v>No</v>
      </c>
      <c r="L1179" t="str">
        <f t="shared" si="297"/>
        <v>No</v>
      </c>
      <c r="M1179">
        <f t="shared" si="298"/>
        <v>42</v>
      </c>
      <c r="N1179" s="5" t="str">
        <f t="shared" si="299"/>
        <v>No</v>
      </c>
      <c r="O1179" t="str">
        <f>IF(A1179=WORKDAY(EOMONTH(A1179,0)+1,-1,Bank_Holidays!$A$2:$A$25),"Yes","No")</f>
        <v>No</v>
      </c>
      <c r="P1179" t="str">
        <f t="shared" si="300"/>
        <v>No</v>
      </c>
      <c r="Q1179" t="str">
        <f t="shared" si="301"/>
        <v>No</v>
      </c>
      <c r="R1179" s="5">
        <f t="shared" si="303"/>
        <v>0</v>
      </c>
    </row>
    <row r="1180" spans="1:18">
      <c r="A1180" s="25">
        <f t="shared" si="302"/>
        <v>47413</v>
      </c>
      <c r="B1180">
        <f t="shared" si="288"/>
        <v>2029</v>
      </c>
      <c r="C1180" s="9">
        <f t="shared" si="289"/>
        <v>10</v>
      </c>
      <c r="D1180" s="9" t="str">
        <f t="shared" si="290"/>
        <v>October</v>
      </c>
      <c r="E1180" s="9" t="str">
        <f t="shared" si="291"/>
        <v>Oct-29</v>
      </c>
      <c r="F1180" s="9" t="str">
        <f t="shared" si="292"/>
        <v>Q4</v>
      </c>
      <c r="G1180" s="9">
        <f t="shared" si="293"/>
        <v>22</v>
      </c>
      <c r="H1180" s="9">
        <f t="shared" si="294"/>
        <v>1</v>
      </c>
      <c r="I1180" s="9" t="str">
        <f t="shared" si="295"/>
        <v>Monday</v>
      </c>
      <c r="J1180" s="9" t="str">
        <f t="shared" si="296"/>
        <v>No</v>
      </c>
      <c r="K1180" s="5" t="str">
        <f>IF(COUNTIF(Bank_Holidays!A:A,A1180)&gt;0,"Yes","No")</f>
        <v>No</v>
      </c>
      <c r="L1180" t="str">
        <f t="shared" si="297"/>
        <v>Yes</v>
      </c>
      <c r="M1180">
        <f t="shared" si="298"/>
        <v>43</v>
      </c>
      <c r="N1180" s="5" t="str">
        <f t="shared" si="299"/>
        <v>No</v>
      </c>
      <c r="O1180" t="str">
        <f>IF(A1180=WORKDAY(EOMONTH(A1180,0)+1,-1,Bank_Holidays!$A$2:$A$25),"Yes","No")</f>
        <v>No</v>
      </c>
      <c r="P1180" t="str">
        <f t="shared" si="300"/>
        <v>No</v>
      </c>
      <c r="Q1180" t="str">
        <f t="shared" si="301"/>
        <v>No</v>
      </c>
      <c r="R1180" s="5">
        <f t="shared" si="303"/>
        <v>1</v>
      </c>
    </row>
    <row r="1181" spans="1:18">
      <c r="A1181" s="25">
        <f t="shared" si="302"/>
        <v>47414</v>
      </c>
      <c r="B1181">
        <f t="shared" si="288"/>
        <v>2029</v>
      </c>
      <c r="C1181" s="9">
        <f t="shared" si="289"/>
        <v>10</v>
      </c>
      <c r="D1181" s="9" t="str">
        <f t="shared" si="290"/>
        <v>October</v>
      </c>
      <c r="E1181" s="9" t="str">
        <f t="shared" si="291"/>
        <v>Oct-29</v>
      </c>
      <c r="F1181" s="9" t="str">
        <f t="shared" si="292"/>
        <v>Q4</v>
      </c>
      <c r="G1181" s="9">
        <f t="shared" si="293"/>
        <v>23</v>
      </c>
      <c r="H1181" s="9">
        <f t="shared" si="294"/>
        <v>2</v>
      </c>
      <c r="I1181" s="9" t="str">
        <f t="shared" si="295"/>
        <v>Tuesday</v>
      </c>
      <c r="J1181" s="9" t="str">
        <f t="shared" si="296"/>
        <v>No</v>
      </c>
      <c r="K1181" s="5" t="str">
        <f>IF(COUNTIF(Bank_Holidays!A:A,A1181)&gt;0,"Yes","No")</f>
        <v>No</v>
      </c>
      <c r="L1181" t="str">
        <f t="shared" si="297"/>
        <v>Yes</v>
      </c>
      <c r="M1181">
        <f t="shared" si="298"/>
        <v>43</v>
      </c>
      <c r="N1181" s="5" t="str">
        <f t="shared" si="299"/>
        <v>No</v>
      </c>
      <c r="O1181" t="str">
        <f>IF(A1181=WORKDAY(EOMONTH(A1181,0)+1,-1,Bank_Holidays!$A$2:$A$25),"Yes","No")</f>
        <v>No</v>
      </c>
      <c r="P1181" t="str">
        <f t="shared" si="300"/>
        <v>No</v>
      </c>
      <c r="Q1181" t="str">
        <f t="shared" si="301"/>
        <v>No</v>
      </c>
      <c r="R1181" s="5">
        <f t="shared" si="303"/>
        <v>1</v>
      </c>
    </row>
    <row r="1182" spans="1:18">
      <c r="A1182" s="25">
        <f t="shared" si="302"/>
        <v>47415</v>
      </c>
      <c r="B1182">
        <f t="shared" si="288"/>
        <v>2029</v>
      </c>
      <c r="C1182" s="9">
        <f t="shared" si="289"/>
        <v>10</v>
      </c>
      <c r="D1182" s="9" t="str">
        <f t="shared" si="290"/>
        <v>October</v>
      </c>
      <c r="E1182" s="9" t="str">
        <f t="shared" si="291"/>
        <v>Oct-29</v>
      </c>
      <c r="F1182" s="9" t="str">
        <f t="shared" si="292"/>
        <v>Q4</v>
      </c>
      <c r="G1182" s="9">
        <f t="shared" si="293"/>
        <v>24</v>
      </c>
      <c r="H1182" s="9">
        <f t="shared" si="294"/>
        <v>3</v>
      </c>
      <c r="I1182" s="9" t="str">
        <f t="shared" si="295"/>
        <v>Wednesday</v>
      </c>
      <c r="J1182" s="9" t="str">
        <f t="shared" si="296"/>
        <v>No</v>
      </c>
      <c r="K1182" s="5" t="str">
        <f>IF(COUNTIF(Bank_Holidays!A:A,A1182)&gt;0,"Yes","No")</f>
        <v>No</v>
      </c>
      <c r="L1182" t="str">
        <f t="shared" si="297"/>
        <v>Yes</v>
      </c>
      <c r="M1182">
        <f t="shared" si="298"/>
        <v>43</v>
      </c>
      <c r="N1182" s="5" t="str">
        <f t="shared" si="299"/>
        <v>No</v>
      </c>
      <c r="O1182" t="str">
        <f>IF(A1182=WORKDAY(EOMONTH(A1182,0)+1,-1,Bank_Holidays!$A$2:$A$25),"Yes","No")</f>
        <v>No</v>
      </c>
      <c r="P1182" t="str">
        <f t="shared" si="300"/>
        <v>No</v>
      </c>
      <c r="Q1182" t="str">
        <f t="shared" si="301"/>
        <v>No</v>
      </c>
      <c r="R1182" s="5">
        <f t="shared" si="303"/>
        <v>1</v>
      </c>
    </row>
    <row r="1183" spans="1:18">
      <c r="A1183" s="25">
        <f t="shared" si="302"/>
        <v>47416</v>
      </c>
      <c r="B1183">
        <f t="shared" si="288"/>
        <v>2029</v>
      </c>
      <c r="C1183" s="9">
        <f t="shared" si="289"/>
        <v>10</v>
      </c>
      <c r="D1183" s="9" t="str">
        <f t="shared" si="290"/>
        <v>October</v>
      </c>
      <c r="E1183" s="9" t="str">
        <f t="shared" si="291"/>
        <v>Oct-29</v>
      </c>
      <c r="F1183" s="9" t="str">
        <f t="shared" si="292"/>
        <v>Q4</v>
      </c>
      <c r="G1183" s="9">
        <f t="shared" si="293"/>
        <v>25</v>
      </c>
      <c r="H1183" s="9">
        <f t="shared" si="294"/>
        <v>4</v>
      </c>
      <c r="I1183" s="9" t="str">
        <f t="shared" si="295"/>
        <v>Thursday</v>
      </c>
      <c r="J1183" s="9" t="str">
        <f t="shared" si="296"/>
        <v>No</v>
      </c>
      <c r="K1183" s="5" t="str">
        <f>IF(COUNTIF(Bank_Holidays!A:A,A1183)&gt;0,"Yes","No")</f>
        <v>No</v>
      </c>
      <c r="L1183" t="str">
        <f t="shared" si="297"/>
        <v>Yes</v>
      </c>
      <c r="M1183">
        <f t="shared" si="298"/>
        <v>43</v>
      </c>
      <c r="N1183" s="5" t="str">
        <f t="shared" si="299"/>
        <v>No</v>
      </c>
      <c r="O1183" t="str">
        <f>IF(A1183=WORKDAY(EOMONTH(A1183,0)+1,-1,Bank_Holidays!$A$2:$A$25),"Yes","No")</f>
        <v>No</v>
      </c>
      <c r="P1183" t="str">
        <f t="shared" si="300"/>
        <v>No</v>
      </c>
      <c r="Q1183" t="str">
        <f t="shared" si="301"/>
        <v>Yes</v>
      </c>
      <c r="R1183" s="5">
        <f t="shared" si="303"/>
        <v>1</v>
      </c>
    </row>
    <row r="1184" spans="1:18">
      <c r="A1184" s="25">
        <f t="shared" si="302"/>
        <v>47417</v>
      </c>
      <c r="B1184">
        <f t="shared" si="288"/>
        <v>2029</v>
      </c>
      <c r="C1184" s="9">
        <f t="shared" si="289"/>
        <v>10</v>
      </c>
      <c r="D1184" s="9" t="str">
        <f t="shared" si="290"/>
        <v>October</v>
      </c>
      <c r="E1184" s="9" t="str">
        <f t="shared" si="291"/>
        <v>Oct-29</v>
      </c>
      <c r="F1184" s="9" t="str">
        <f t="shared" si="292"/>
        <v>Q4</v>
      </c>
      <c r="G1184" s="9">
        <f t="shared" si="293"/>
        <v>26</v>
      </c>
      <c r="H1184" s="9">
        <f t="shared" si="294"/>
        <v>5</v>
      </c>
      <c r="I1184" s="9" t="str">
        <f t="shared" si="295"/>
        <v>Friday</v>
      </c>
      <c r="J1184" s="9" t="str">
        <f t="shared" si="296"/>
        <v>No</v>
      </c>
      <c r="K1184" s="5" t="str">
        <f>IF(COUNTIF(Bank_Holidays!A:A,A1184)&gt;0,"Yes","No")</f>
        <v>No</v>
      </c>
      <c r="L1184" t="str">
        <f t="shared" si="297"/>
        <v>Yes</v>
      </c>
      <c r="M1184">
        <f t="shared" si="298"/>
        <v>43</v>
      </c>
      <c r="N1184" s="5" t="str">
        <f t="shared" si="299"/>
        <v>No</v>
      </c>
      <c r="O1184" t="str">
        <f>IF(A1184=WORKDAY(EOMONTH(A1184,0)+1,-1,Bank_Holidays!$A$2:$A$25),"Yes","No")</f>
        <v>No</v>
      </c>
      <c r="P1184" t="str">
        <f t="shared" si="300"/>
        <v>Yes</v>
      </c>
      <c r="Q1184" t="str">
        <f t="shared" si="301"/>
        <v>No</v>
      </c>
      <c r="R1184" s="5">
        <f t="shared" si="303"/>
        <v>3</v>
      </c>
    </row>
    <row r="1185" spans="1:18">
      <c r="A1185" s="25">
        <f t="shared" si="302"/>
        <v>47418</v>
      </c>
      <c r="B1185">
        <f t="shared" si="288"/>
        <v>2029</v>
      </c>
      <c r="C1185" s="9">
        <f t="shared" si="289"/>
        <v>10</v>
      </c>
      <c r="D1185" s="9" t="str">
        <f t="shared" si="290"/>
        <v>October</v>
      </c>
      <c r="E1185" s="9" t="str">
        <f t="shared" si="291"/>
        <v>Oct-29</v>
      </c>
      <c r="F1185" s="9" t="str">
        <f t="shared" si="292"/>
        <v>Q4</v>
      </c>
      <c r="G1185" s="9">
        <f t="shared" si="293"/>
        <v>27</v>
      </c>
      <c r="H1185" s="9">
        <f t="shared" si="294"/>
        <v>6</v>
      </c>
      <c r="I1185" s="9" t="str">
        <f t="shared" si="295"/>
        <v>Saturday</v>
      </c>
      <c r="J1185" s="9" t="str">
        <f t="shared" si="296"/>
        <v>Yes</v>
      </c>
      <c r="K1185" s="5" t="str">
        <f>IF(COUNTIF(Bank_Holidays!A:A,A1185)&gt;0,"Yes","No")</f>
        <v>No</v>
      </c>
      <c r="L1185" t="str">
        <f t="shared" si="297"/>
        <v>No</v>
      </c>
      <c r="M1185">
        <f t="shared" si="298"/>
        <v>43</v>
      </c>
      <c r="N1185" s="5" t="str">
        <f t="shared" si="299"/>
        <v>No</v>
      </c>
      <c r="O1185" t="str">
        <f>IF(A1185=WORKDAY(EOMONTH(A1185,0)+1,-1,Bank_Holidays!$A$2:$A$25),"Yes","No")</f>
        <v>No</v>
      </c>
      <c r="P1185" t="str">
        <f t="shared" si="300"/>
        <v>No</v>
      </c>
      <c r="Q1185" t="str">
        <f t="shared" si="301"/>
        <v>No</v>
      </c>
      <c r="R1185" s="5">
        <f t="shared" si="303"/>
        <v>0</v>
      </c>
    </row>
    <row r="1186" spans="1:18">
      <c r="A1186" s="25">
        <f t="shared" si="302"/>
        <v>47419</v>
      </c>
      <c r="B1186">
        <f t="shared" si="288"/>
        <v>2029</v>
      </c>
      <c r="C1186" s="9">
        <f t="shared" si="289"/>
        <v>10</v>
      </c>
      <c r="D1186" s="9" t="str">
        <f t="shared" si="290"/>
        <v>October</v>
      </c>
      <c r="E1186" s="9" t="str">
        <f t="shared" si="291"/>
        <v>Oct-29</v>
      </c>
      <c r="F1186" s="9" t="str">
        <f t="shared" si="292"/>
        <v>Q4</v>
      </c>
      <c r="G1186" s="9">
        <f t="shared" si="293"/>
        <v>28</v>
      </c>
      <c r="H1186" s="9">
        <f t="shared" si="294"/>
        <v>7</v>
      </c>
      <c r="I1186" s="9" t="str">
        <f t="shared" si="295"/>
        <v>Sunday</v>
      </c>
      <c r="J1186" s="9" t="str">
        <f t="shared" si="296"/>
        <v>Yes</v>
      </c>
      <c r="K1186" s="5" t="str">
        <f>IF(COUNTIF(Bank_Holidays!A:A,A1186)&gt;0,"Yes","No")</f>
        <v>No</v>
      </c>
      <c r="L1186" t="str">
        <f t="shared" si="297"/>
        <v>No</v>
      </c>
      <c r="M1186">
        <f t="shared" si="298"/>
        <v>43</v>
      </c>
      <c r="N1186" s="5" t="str">
        <f t="shared" si="299"/>
        <v>No</v>
      </c>
      <c r="O1186" t="str">
        <f>IF(A1186=WORKDAY(EOMONTH(A1186,0)+1,-1,Bank_Holidays!$A$2:$A$25),"Yes","No")</f>
        <v>No</v>
      </c>
      <c r="P1186" t="str">
        <f t="shared" si="300"/>
        <v>No</v>
      </c>
      <c r="Q1186" t="str">
        <f t="shared" si="301"/>
        <v>No</v>
      </c>
      <c r="R1186" s="5">
        <f t="shared" si="303"/>
        <v>0</v>
      </c>
    </row>
    <row r="1187" spans="1:18">
      <c r="A1187" s="25">
        <f t="shared" si="302"/>
        <v>47420</v>
      </c>
      <c r="B1187">
        <f t="shared" si="288"/>
        <v>2029</v>
      </c>
      <c r="C1187" s="9">
        <f t="shared" si="289"/>
        <v>10</v>
      </c>
      <c r="D1187" s="9" t="str">
        <f t="shared" si="290"/>
        <v>October</v>
      </c>
      <c r="E1187" s="9" t="str">
        <f t="shared" si="291"/>
        <v>Oct-29</v>
      </c>
      <c r="F1187" s="9" t="str">
        <f t="shared" si="292"/>
        <v>Q4</v>
      </c>
      <c r="G1187" s="9">
        <f t="shared" si="293"/>
        <v>29</v>
      </c>
      <c r="H1187" s="9">
        <f t="shared" si="294"/>
        <v>1</v>
      </c>
      <c r="I1187" s="9" t="str">
        <f t="shared" si="295"/>
        <v>Monday</v>
      </c>
      <c r="J1187" s="9" t="str">
        <f t="shared" si="296"/>
        <v>No</v>
      </c>
      <c r="K1187" s="5" t="str">
        <f>IF(COUNTIF(Bank_Holidays!A:A,A1187)&gt;0,"Yes","No")</f>
        <v>No</v>
      </c>
      <c r="L1187" t="str">
        <f t="shared" si="297"/>
        <v>Yes</v>
      </c>
      <c r="M1187">
        <f t="shared" si="298"/>
        <v>44</v>
      </c>
      <c r="N1187" s="5" t="str">
        <f t="shared" si="299"/>
        <v>No</v>
      </c>
      <c r="O1187" t="str">
        <f>IF(A1187=WORKDAY(EOMONTH(A1187,0)+1,-1,Bank_Holidays!$A$2:$A$25),"Yes","No")</f>
        <v>No</v>
      </c>
      <c r="P1187" t="str">
        <f t="shared" si="300"/>
        <v>No</v>
      </c>
      <c r="Q1187" t="str">
        <f t="shared" si="301"/>
        <v>No</v>
      </c>
      <c r="R1187" s="5">
        <f t="shared" si="303"/>
        <v>1</v>
      </c>
    </row>
    <row r="1188" spans="1:18">
      <c r="A1188" s="25">
        <f t="shared" si="302"/>
        <v>47421</v>
      </c>
      <c r="B1188">
        <f t="shared" si="288"/>
        <v>2029</v>
      </c>
      <c r="C1188" s="9">
        <f t="shared" si="289"/>
        <v>10</v>
      </c>
      <c r="D1188" s="9" t="str">
        <f t="shared" si="290"/>
        <v>October</v>
      </c>
      <c r="E1188" s="9" t="str">
        <f t="shared" si="291"/>
        <v>Oct-29</v>
      </c>
      <c r="F1188" s="9" t="str">
        <f t="shared" si="292"/>
        <v>Q4</v>
      </c>
      <c r="G1188" s="9">
        <f t="shared" si="293"/>
        <v>30</v>
      </c>
      <c r="H1188" s="9">
        <f t="shared" si="294"/>
        <v>2</v>
      </c>
      <c r="I1188" s="9" t="str">
        <f t="shared" si="295"/>
        <v>Tuesday</v>
      </c>
      <c r="J1188" s="9" t="str">
        <f t="shared" si="296"/>
        <v>No</v>
      </c>
      <c r="K1188" s="5" t="str">
        <f>IF(COUNTIF(Bank_Holidays!A:A,A1188)&gt;0,"Yes","No")</f>
        <v>No</v>
      </c>
      <c r="L1188" t="str">
        <f t="shared" si="297"/>
        <v>Yes</v>
      </c>
      <c r="M1188">
        <f t="shared" si="298"/>
        <v>44</v>
      </c>
      <c r="N1188" s="5" t="str">
        <f t="shared" si="299"/>
        <v>No</v>
      </c>
      <c r="O1188" t="str">
        <f>IF(A1188=WORKDAY(EOMONTH(A1188,0)+1,-1,Bank_Holidays!$A$2:$A$25),"Yes","No")</f>
        <v>No</v>
      </c>
      <c r="P1188" t="str">
        <f t="shared" si="300"/>
        <v>No</v>
      </c>
      <c r="Q1188" t="str">
        <f t="shared" si="301"/>
        <v>No</v>
      </c>
      <c r="R1188" s="5">
        <f t="shared" si="303"/>
        <v>1</v>
      </c>
    </row>
    <row r="1189" spans="1:18">
      <c r="A1189" s="25">
        <f t="shared" si="302"/>
        <v>47422</v>
      </c>
      <c r="B1189">
        <f t="shared" si="288"/>
        <v>2029</v>
      </c>
      <c r="C1189" s="9">
        <f t="shared" si="289"/>
        <v>10</v>
      </c>
      <c r="D1189" s="9" t="str">
        <f t="shared" si="290"/>
        <v>October</v>
      </c>
      <c r="E1189" s="9" t="str">
        <f t="shared" si="291"/>
        <v>Oct-29</v>
      </c>
      <c r="F1189" s="9" t="str">
        <f t="shared" si="292"/>
        <v>Q4</v>
      </c>
      <c r="G1189" s="9">
        <f t="shared" si="293"/>
        <v>31</v>
      </c>
      <c r="H1189" s="9">
        <f t="shared" si="294"/>
        <v>3</v>
      </c>
      <c r="I1189" s="9" t="str">
        <f t="shared" si="295"/>
        <v>Wednesday</v>
      </c>
      <c r="J1189" s="9" t="str">
        <f t="shared" si="296"/>
        <v>No</v>
      </c>
      <c r="K1189" s="5" t="str">
        <f>IF(COUNTIF(Bank_Holidays!A:A,A1189)&gt;0,"Yes","No")</f>
        <v>No</v>
      </c>
      <c r="L1189" t="str">
        <f t="shared" si="297"/>
        <v>Yes</v>
      </c>
      <c r="M1189">
        <f t="shared" si="298"/>
        <v>44</v>
      </c>
      <c r="N1189" s="5" t="str">
        <f t="shared" si="299"/>
        <v>Yes</v>
      </c>
      <c r="O1189" t="str">
        <f>IF(A1189=WORKDAY(EOMONTH(A1189,0)+1,-1,Bank_Holidays!$A$2:$A$25),"Yes","No")</f>
        <v>Yes</v>
      </c>
      <c r="P1189" t="str">
        <f t="shared" si="300"/>
        <v>No</v>
      </c>
      <c r="Q1189" t="str">
        <f t="shared" si="301"/>
        <v>No</v>
      </c>
      <c r="R1189" s="5">
        <f t="shared" si="303"/>
        <v>1</v>
      </c>
    </row>
    <row r="1190" spans="1:18">
      <c r="A1190" s="25">
        <f t="shared" si="302"/>
        <v>47423</v>
      </c>
      <c r="B1190">
        <f t="shared" si="288"/>
        <v>2029</v>
      </c>
      <c r="C1190" s="9">
        <f t="shared" si="289"/>
        <v>11</v>
      </c>
      <c r="D1190" s="9" t="str">
        <f t="shared" si="290"/>
        <v>November</v>
      </c>
      <c r="E1190" s="9" t="str">
        <f t="shared" si="291"/>
        <v>Nov-29</v>
      </c>
      <c r="F1190" s="9" t="str">
        <f t="shared" si="292"/>
        <v>Q4</v>
      </c>
      <c r="G1190" s="9">
        <f t="shared" si="293"/>
        <v>1</v>
      </c>
      <c r="H1190" s="9">
        <f t="shared" si="294"/>
        <v>4</v>
      </c>
      <c r="I1190" s="9" t="str">
        <f t="shared" si="295"/>
        <v>Thursday</v>
      </c>
      <c r="J1190" s="9" t="str">
        <f t="shared" si="296"/>
        <v>No</v>
      </c>
      <c r="K1190" s="5" t="str">
        <f>IF(COUNTIF(Bank_Holidays!A:A,A1190)&gt;0,"Yes","No")</f>
        <v>No</v>
      </c>
      <c r="L1190" t="str">
        <f t="shared" si="297"/>
        <v>Yes</v>
      </c>
      <c r="M1190">
        <f t="shared" si="298"/>
        <v>44</v>
      </c>
      <c r="N1190" s="5" t="str">
        <f t="shared" si="299"/>
        <v>No</v>
      </c>
      <c r="O1190" t="str">
        <f>IF(A1190=WORKDAY(EOMONTH(A1190,0)+1,-1,Bank_Holidays!$A$2:$A$25),"Yes","No")</f>
        <v>No</v>
      </c>
      <c r="P1190" t="str">
        <f t="shared" si="300"/>
        <v>No</v>
      </c>
      <c r="Q1190" t="str">
        <f t="shared" si="301"/>
        <v>No</v>
      </c>
      <c r="R1190" s="5">
        <f t="shared" si="303"/>
        <v>1</v>
      </c>
    </row>
    <row r="1191" spans="1:18">
      <c r="A1191" s="25">
        <f t="shared" si="302"/>
        <v>47424</v>
      </c>
      <c r="B1191">
        <f t="shared" si="288"/>
        <v>2029</v>
      </c>
      <c r="C1191" s="9">
        <f t="shared" si="289"/>
        <v>11</v>
      </c>
      <c r="D1191" s="9" t="str">
        <f t="shared" si="290"/>
        <v>November</v>
      </c>
      <c r="E1191" s="9" t="str">
        <f t="shared" si="291"/>
        <v>Nov-29</v>
      </c>
      <c r="F1191" s="9" t="str">
        <f t="shared" si="292"/>
        <v>Q4</v>
      </c>
      <c r="G1191" s="9">
        <f t="shared" si="293"/>
        <v>2</v>
      </c>
      <c r="H1191" s="9">
        <f t="shared" si="294"/>
        <v>5</v>
      </c>
      <c r="I1191" s="9" t="str">
        <f t="shared" si="295"/>
        <v>Friday</v>
      </c>
      <c r="J1191" s="9" t="str">
        <f t="shared" si="296"/>
        <v>No</v>
      </c>
      <c r="K1191" s="5" t="str">
        <f>IF(COUNTIF(Bank_Holidays!A:A,A1191)&gt;0,"Yes","No")</f>
        <v>No</v>
      </c>
      <c r="L1191" t="str">
        <f t="shared" si="297"/>
        <v>Yes</v>
      </c>
      <c r="M1191">
        <f t="shared" si="298"/>
        <v>44</v>
      </c>
      <c r="N1191" s="5" t="str">
        <f t="shared" si="299"/>
        <v>No</v>
      </c>
      <c r="O1191" t="str">
        <f>IF(A1191=WORKDAY(EOMONTH(A1191,0)+1,-1,Bank_Holidays!$A$2:$A$25),"Yes","No")</f>
        <v>No</v>
      </c>
      <c r="P1191" t="str">
        <f t="shared" si="300"/>
        <v>No</v>
      </c>
      <c r="Q1191" t="str">
        <f t="shared" si="301"/>
        <v>No</v>
      </c>
      <c r="R1191" s="5">
        <f t="shared" si="303"/>
        <v>3</v>
      </c>
    </row>
    <row r="1192" spans="1:18">
      <c r="A1192" s="25">
        <f t="shared" si="302"/>
        <v>47425</v>
      </c>
      <c r="B1192">
        <f t="shared" si="288"/>
        <v>2029</v>
      </c>
      <c r="C1192" s="9">
        <f t="shared" si="289"/>
        <v>11</v>
      </c>
      <c r="D1192" s="9" t="str">
        <f t="shared" si="290"/>
        <v>November</v>
      </c>
      <c r="E1192" s="9" t="str">
        <f t="shared" si="291"/>
        <v>Nov-29</v>
      </c>
      <c r="F1192" s="9" t="str">
        <f t="shared" si="292"/>
        <v>Q4</v>
      </c>
      <c r="G1192" s="9">
        <f t="shared" si="293"/>
        <v>3</v>
      </c>
      <c r="H1192" s="9">
        <f t="shared" si="294"/>
        <v>6</v>
      </c>
      <c r="I1192" s="9" t="str">
        <f t="shared" si="295"/>
        <v>Saturday</v>
      </c>
      <c r="J1192" s="9" t="str">
        <f t="shared" si="296"/>
        <v>Yes</v>
      </c>
      <c r="K1192" s="5" t="str">
        <f>IF(COUNTIF(Bank_Holidays!A:A,A1192)&gt;0,"Yes","No")</f>
        <v>No</v>
      </c>
      <c r="L1192" t="str">
        <f t="shared" si="297"/>
        <v>No</v>
      </c>
      <c r="M1192">
        <f t="shared" si="298"/>
        <v>44</v>
      </c>
      <c r="N1192" s="5" t="str">
        <f t="shared" si="299"/>
        <v>No</v>
      </c>
      <c r="O1192" t="str">
        <f>IF(A1192=WORKDAY(EOMONTH(A1192,0)+1,-1,Bank_Holidays!$A$2:$A$25),"Yes","No")</f>
        <v>No</v>
      </c>
      <c r="P1192" t="str">
        <f t="shared" si="300"/>
        <v>No</v>
      </c>
      <c r="Q1192" t="str">
        <f t="shared" si="301"/>
        <v>No</v>
      </c>
      <c r="R1192" s="5">
        <f t="shared" si="303"/>
        <v>0</v>
      </c>
    </row>
    <row r="1193" spans="1:18">
      <c r="A1193" s="25">
        <f t="shared" si="302"/>
        <v>47426</v>
      </c>
      <c r="B1193">
        <f t="shared" si="288"/>
        <v>2029</v>
      </c>
      <c r="C1193" s="9">
        <f t="shared" si="289"/>
        <v>11</v>
      </c>
      <c r="D1193" s="9" t="str">
        <f t="shared" si="290"/>
        <v>November</v>
      </c>
      <c r="E1193" s="9" t="str">
        <f t="shared" si="291"/>
        <v>Nov-29</v>
      </c>
      <c r="F1193" s="9" t="str">
        <f t="shared" si="292"/>
        <v>Q4</v>
      </c>
      <c r="G1193" s="9">
        <f t="shared" si="293"/>
        <v>4</v>
      </c>
      <c r="H1193" s="9">
        <f t="shared" si="294"/>
        <v>7</v>
      </c>
      <c r="I1193" s="9" t="str">
        <f t="shared" si="295"/>
        <v>Sunday</v>
      </c>
      <c r="J1193" s="9" t="str">
        <f t="shared" si="296"/>
        <v>Yes</v>
      </c>
      <c r="K1193" s="5" t="str">
        <f>IF(COUNTIF(Bank_Holidays!A:A,A1193)&gt;0,"Yes","No")</f>
        <v>No</v>
      </c>
      <c r="L1193" t="str">
        <f t="shared" si="297"/>
        <v>No</v>
      </c>
      <c r="M1193">
        <f t="shared" si="298"/>
        <v>44</v>
      </c>
      <c r="N1193" s="5" t="str">
        <f t="shared" si="299"/>
        <v>No</v>
      </c>
      <c r="O1193" t="str">
        <f>IF(A1193=WORKDAY(EOMONTH(A1193,0)+1,-1,Bank_Holidays!$A$2:$A$25),"Yes","No")</f>
        <v>No</v>
      </c>
      <c r="P1193" t="str">
        <f t="shared" si="300"/>
        <v>No</v>
      </c>
      <c r="Q1193" t="str">
        <f t="shared" si="301"/>
        <v>No</v>
      </c>
      <c r="R1193" s="5">
        <f t="shared" si="303"/>
        <v>0</v>
      </c>
    </row>
    <row r="1194" spans="1:18">
      <c r="A1194" s="25">
        <f t="shared" si="302"/>
        <v>47427</v>
      </c>
      <c r="B1194">
        <f t="shared" si="288"/>
        <v>2029</v>
      </c>
      <c r="C1194" s="9">
        <f t="shared" si="289"/>
        <v>11</v>
      </c>
      <c r="D1194" s="9" t="str">
        <f t="shared" si="290"/>
        <v>November</v>
      </c>
      <c r="E1194" s="9" t="str">
        <f t="shared" si="291"/>
        <v>Nov-29</v>
      </c>
      <c r="F1194" s="9" t="str">
        <f t="shared" si="292"/>
        <v>Q4</v>
      </c>
      <c r="G1194" s="9">
        <f t="shared" si="293"/>
        <v>5</v>
      </c>
      <c r="H1194" s="9">
        <f t="shared" si="294"/>
        <v>1</v>
      </c>
      <c r="I1194" s="9" t="str">
        <f t="shared" si="295"/>
        <v>Monday</v>
      </c>
      <c r="J1194" s="9" t="str">
        <f t="shared" si="296"/>
        <v>No</v>
      </c>
      <c r="K1194" s="5" t="str">
        <f>IF(COUNTIF(Bank_Holidays!A:A,A1194)&gt;0,"Yes","No")</f>
        <v>No</v>
      </c>
      <c r="L1194" t="str">
        <f t="shared" si="297"/>
        <v>Yes</v>
      </c>
      <c r="M1194">
        <f t="shared" si="298"/>
        <v>45</v>
      </c>
      <c r="N1194" s="5" t="str">
        <f t="shared" si="299"/>
        <v>No</v>
      </c>
      <c r="O1194" t="str">
        <f>IF(A1194=WORKDAY(EOMONTH(A1194,0)+1,-1,Bank_Holidays!$A$2:$A$25),"Yes","No")</f>
        <v>No</v>
      </c>
      <c r="P1194" t="str">
        <f t="shared" si="300"/>
        <v>No</v>
      </c>
      <c r="Q1194" t="str">
        <f t="shared" si="301"/>
        <v>No</v>
      </c>
      <c r="R1194" s="5">
        <f t="shared" si="303"/>
        <v>1</v>
      </c>
    </row>
    <row r="1195" spans="1:18">
      <c r="A1195" s="25">
        <f t="shared" si="302"/>
        <v>47428</v>
      </c>
      <c r="B1195">
        <f t="shared" si="288"/>
        <v>2029</v>
      </c>
      <c r="C1195" s="9">
        <f t="shared" si="289"/>
        <v>11</v>
      </c>
      <c r="D1195" s="9" t="str">
        <f t="shared" si="290"/>
        <v>November</v>
      </c>
      <c r="E1195" s="9" t="str">
        <f t="shared" si="291"/>
        <v>Nov-29</v>
      </c>
      <c r="F1195" s="9" t="str">
        <f t="shared" si="292"/>
        <v>Q4</v>
      </c>
      <c r="G1195" s="9">
        <f t="shared" si="293"/>
        <v>6</v>
      </c>
      <c r="H1195" s="9">
        <f t="shared" si="294"/>
        <v>2</v>
      </c>
      <c r="I1195" s="9" t="str">
        <f t="shared" si="295"/>
        <v>Tuesday</v>
      </c>
      <c r="J1195" s="9" t="str">
        <f t="shared" si="296"/>
        <v>No</v>
      </c>
      <c r="K1195" s="5" t="str">
        <f>IF(COUNTIF(Bank_Holidays!A:A,A1195)&gt;0,"Yes","No")</f>
        <v>No</v>
      </c>
      <c r="L1195" t="str">
        <f t="shared" si="297"/>
        <v>Yes</v>
      </c>
      <c r="M1195">
        <f t="shared" si="298"/>
        <v>45</v>
      </c>
      <c r="N1195" s="5" t="str">
        <f t="shared" si="299"/>
        <v>No</v>
      </c>
      <c r="O1195" t="str">
        <f>IF(A1195=WORKDAY(EOMONTH(A1195,0)+1,-1,Bank_Holidays!$A$2:$A$25),"Yes","No")</f>
        <v>No</v>
      </c>
      <c r="P1195" t="str">
        <f t="shared" si="300"/>
        <v>No</v>
      </c>
      <c r="Q1195" t="str">
        <f t="shared" si="301"/>
        <v>No</v>
      </c>
      <c r="R1195" s="5">
        <f t="shared" si="303"/>
        <v>1</v>
      </c>
    </row>
    <row r="1196" spans="1:18">
      <c r="A1196" s="25">
        <f t="shared" si="302"/>
        <v>47429</v>
      </c>
      <c r="B1196">
        <f t="shared" si="288"/>
        <v>2029</v>
      </c>
      <c r="C1196" s="9">
        <f t="shared" si="289"/>
        <v>11</v>
      </c>
      <c r="D1196" s="9" t="str">
        <f t="shared" si="290"/>
        <v>November</v>
      </c>
      <c r="E1196" s="9" t="str">
        <f t="shared" si="291"/>
        <v>Nov-29</v>
      </c>
      <c r="F1196" s="9" t="str">
        <f t="shared" si="292"/>
        <v>Q4</v>
      </c>
      <c r="G1196" s="9">
        <f t="shared" si="293"/>
        <v>7</v>
      </c>
      <c r="H1196" s="9">
        <f t="shared" si="294"/>
        <v>3</v>
      </c>
      <c r="I1196" s="9" t="str">
        <f t="shared" si="295"/>
        <v>Wednesday</v>
      </c>
      <c r="J1196" s="9" t="str">
        <f t="shared" si="296"/>
        <v>No</v>
      </c>
      <c r="K1196" s="5" t="str">
        <f>IF(COUNTIF(Bank_Holidays!A:A,A1196)&gt;0,"Yes","No")</f>
        <v>No</v>
      </c>
      <c r="L1196" t="str">
        <f t="shared" si="297"/>
        <v>Yes</v>
      </c>
      <c r="M1196">
        <f t="shared" si="298"/>
        <v>45</v>
      </c>
      <c r="N1196" s="5" t="str">
        <f t="shared" si="299"/>
        <v>No</v>
      </c>
      <c r="O1196" t="str">
        <f>IF(A1196=WORKDAY(EOMONTH(A1196,0)+1,-1,Bank_Holidays!$A$2:$A$25),"Yes","No")</f>
        <v>No</v>
      </c>
      <c r="P1196" t="str">
        <f t="shared" si="300"/>
        <v>No</v>
      </c>
      <c r="Q1196" t="str">
        <f t="shared" si="301"/>
        <v>No</v>
      </c>
      <c r="R1196" s="5">
        <f t="shared" si="303"/>
        <v>1</v>
      </c>
    </row>
    <row r="1197" spans="1:18">
      <c r="A1197" s="25">
        <f t="shared" si="302"/>
        <v>47430</v>
      </c>
      <c r="B1197">
        <f t="shared" si="288"/>
        <v>2029</v>
      </c>
      <c r="C1197" s="9">
        <f t="shared" si="289"/>
        <v>11</v>
      </c>
      <c r="D1197" s="9" t="str">
        <f t="shared" si="290"/>
        <v>November</v>
      </c>
      <c r="E1197" s="9" t="str">
        <f t="shared" si="291"/>
        <v>Nov-29</v>
      </c>
      <c r="F1197" s="9" t="str">
        <f t="shared" si="292"/>
        <v>Q4</v>
      </c>
      <c r="G1197" s="9">
        <f t="shared" si="293"/>
        <v>8</v>
      </c>
      <c r="H1197" s="9">
        <f t="shared" si="294"/>
        <v>4</v>
      </c>
      <c r="I1197" s="9" t="str">
        <f t="shared" si="295"/>
        <v>Thursday</v>
      </c>
      <c r="J1197" s="9" t="str">
        <f t="shared" si="296"/>
        <v>No</v>
      </c>
      <c r="K1197" s="5" t="str">
        <f>IF(COUNTIF(Bank_Holidays!A:A,A1197)&gt;0,"Yes","No")</f>
        <v>No</v>
      </c>
      <c r="L1197" t="str">
        <f t="shared" si="297"/>
        <v>Yes</v>
      </c>
      <c r="M1197">
        <f t="shared" si="298"/>
        <v>45</v>
      </c>
      <c r="N1197" s="5" t="str">
        <f t="shared" si="299"/>
        <v>No</v>
      </c>
      <c r="O1197" t="str">
        <f>IF(A1197=WORKDAY(EOMONTH(A1197,0)+1,-1,Bank_Holidays!$A$2:$A$25),"Yes","No")</f>
        <v>No</v>
      </c>
      <c r="P1197" t="str">
        <f t="shared" si="300"/>
        <v>No</v>
      </c>
      <c r="Q1197" t="str">
        <f t="shared" si="301"/>
        <v>No</v>
      </c>
      <c r="R1197" s="5">
        <f t="shared" si="303"/>
        <v>1</v>
      </c>
    </row>
    <row r="1198" spans="1:18">
      <c r="A1198" s="25">
        <f t="shared" si="302"/>
        <v>47431</v>
      </c>
      <c r="B1198">
        <f t="shared" si="288"/>
        <v>2029</v>
      </c>
      <c r="C1198" s="9">
        <f t="shared" si="289"/>
        <v>11</v>
      </c>
      <c r="D1198" s="9" t="str">
        <f t="shared" si="290"/>
        <v>November</v>
      </c>
      <c r="E1198" s="9" t="str">
        <f t="shared" si="291"/>
        <v>Nov-29</v>
      </c>
      <c r="F1198" s="9" t="str">
        <f t="shared" si="292"/>
        <v>Q4</v>
      </c>
      <c r="G1198" s="9">
        <f t="shared" si="293"/>
        <v>9</v>
      </c>
      <c r="H1198" s="9">
        <f t="shared" si="294"/>
        <v>5</v>
      </c>
      <c r="I1198" s="9" t="str">
        <f t="shared" si="295"/>
        <v>Friday</v>
      </c>
      <c r="J1198" s="9" t="str">
        <f t="shared" si="296"/>
        <v>No</v>
      </c>
      <c r="K1198" s="5" t="str">
        <f>IF(COUNTIF(Bank_Holidays!A:A,A1198)&gt;0,"Yes","No")</f>
        <v>No</v>
      </c>
      <c r="L1198" t="str">
        <f t="shared" si="297"/>
        <v>Yes</v>
      </c>
      <c r="M1198">
        <f t="shared" si="298"/>
        <v>45</v>
      </c>
      <c r="N1198" s="5" t="str">
        <f t="shared" si="299"/>
        <v>No</v>
      </c>
      <c r="O1198" t="str">
        <f>IF(A1198=WORKDAY(EOMONTH(A1198,0)+1,-1,Bank_Holidays!$A$2:$A$25),"Yes","No")</f>
        <v>No</v>
      </c>
      <c r="P1198" t="str">
        <f t="shared" si="300"/>
        <v>No</v>
      </c>
      <c r="Q1198" t="str">
        <f t="shared" si="301"/>
        <v>No</v>
      </c>
      <c r="R1198" s="5">
        <f t="shared" si="303"/>
        <v>3</v>
      </c>
    </row>
    <row r="1199" spans="1:18">
      <c r="A1199" s="25">
        <f t="shared" si="302"/>
        <v>47432</v>
      </c>
      <c r="B1199">
        <f t="shared" si="288"/>
        <v>2029</v>
      </c>
      <c r="C1199" s="9">
        <f t="shared" si="289"/>
        <v>11</v>
      </c>
      <c r="D1199" s="9" t="str">
        <f t="shared" si="290"/>
        <v>November</v>
      </c>
      <c r="E1199" s="9" t="str">
        <f t="shared" si="291"/>
        <v>Nov-29</v>
      </c>
      <c r="F1199" s="9" t="str">
        <f t="shared" si="292"/>
        <v>Q4</v>
      </c>
      <c r="G1199" s="9">
        <f t="shared" si="293"/>
        <v>10</v>
      </c>
      <c r="H1199" s="9">
        <f t="shared" si="294"/>
        <v>6</v>
      </c>
      <c r="I1199" s="9" t="str">
        <f t="shared" si="295"/>
        <v>Saturday</v>
      </c>
      <c r="J1199" s="9" t="str">
        <f t="shared" si="296"/>
        <v>Yes</v>
      </c>
      <c r="K1199" s="5" t="str">
        <f>IF(COUNTIF(Bank_Holidays!A:A,A1199)&gt;0,"Yes","No")</f>
        <v>No</v>
      </c>
      <c r="L1199" t="str">
        <f t="shared" si="297"/>
        <v>No</v>
      </c>
      <c r="M1199">
        <f t="shared" si="298"/>
        <v>45</v>
      </c>
      <c r="N1199" s="5" t="str">
        <f t="shared" si="299"/>
        <v>No</v>
      </c>
      <c r="O1199" t="str">
        <f>IF(A1199=WORKDAY(EOMONTH(A1199,0)+1,-1,Bank_Holidays!$A$2:$A$25),"Yes","No")</f>
        <v>No</v>
      </c>
      <c r="P1199" t="str">
        <f t="shared" si="300"/>
        <v>No</v>
      </c>
      <c r="Q1199" t="str">
        <f t="shared" si="301"/>
        <v>No</v>
      </c>
      <c r="R1199" s="5">
        <f t="shared" si="303"/>
        <v>0</v>
      </c>
    </row>
    <row r="1200" spans="1:18">
      <c r="A1200" s="25">
        <f t="shared" si="302"/>
        <v>47433</v>
      </c>
      <c r="B1200">
        <f t="shared" si="288"/>
        <v>2029</v>
      </c>
      <c r="C1200" s="9">
        <f t="shared" si="289"/>
        <v>11</v>
      </c>
      <c r="D1200" s="9" t="str">
        <f t="shared" si="290"/>
        <v>November</v>
      </c>
      <c r="E1200" s="9" t="str">
        <f t="shared" si="291"/>
        <v>Nov-29</v>
      </c>
      <c r="F1200" s="9" t="str">
        <f t="shared" si="292"/>
        <v>Q4</v>
      </c>
      <c r="G1200" s="9">
        <f t="shared" si="293"/>
        <v>11</v>
      </c>
      <c r="H1200" s="9">
        <f t="shared" si="294"/>
        <v>7</v>
      </c>
      <c r="I1200" s="9" t="str">
        <f t="shared" si="295"/>
        <v>Sunday</v>
      </c>
      <c r="J1200" s="9" t="str">
        <f t="shared" si="296"/>
        <v>Yes</v>
      </c>
      <c r="K1200" s="5" t="str">
        <f>IF(COUNTIF(Bank_Holidays!A:A,A1200)&gt;0,"Yes","No")</f>
        <v>No</v>
      </c>
      <c r="L1200" t="str">
        <f t="shared" si="297"/>
        <v>No</v>
      </c>
      <c r="M1200">
        <f t="shared" si="298"/>
        <v>45</v>
      </c>
      <c r="N1200" s="5" t="str">
        <f t="shared" si="299"/>
        <v>No</v>
      </c>
      <c r="O1200" t="str">
        <f>IF(A1200=WORKDAY(EOMONTH(A1200,0)+1,-1,Bank_Holidays!$A$2:$A$25),"Yes","No")</f>
        <v>No</v>
      </c>
      <c r="P1200" t="str">
        <f t="shared" si="300"/>
        <v>No</v>
      </c>
      <c r="Q1200" t="str">
        <f t="shared" si="301"/>
        <v>No</v>
      </c>
      <c r="R1200" s="5">
        <f t="shared" si="303"/>
        <v>0</v>
      </c>
    </row>
    <row r="1201" spans="1:18">
      <c r="A1201" s="25">
        <f t="shared" si="302"/>
        <v>47434</v>
      </c>
      <c r="B1201">
        <f t="shared" si="288"/>
        <v>2029</v>
      </c>
      <c r="C1201" s="9">
        <f t="shared" si="289"/>
        <v>11</v>
      </c>
      <c r="D1201" s="9" t="str">
        <f t="shared" si="290"/>
        <v>November</v>
      </c>
      <c r="E1201" s="9" t="str">
        <f t="shared" si="291"/>
        <v>Nov-29</v>
      </c>
      <c r="F1201" s="9" t="str">
        <f t="shared" si="292"/>
        <v>Q4</v>
      </c>
      <c r="G1201" s="9">
        <f t="shared" si="293"/>
        <v>12</v>
      </c>
      <c r="H1201" s="9">
        <f t="shared" si="294"/>
        <v>1</v>
      </c>
      <c r="I1201" s="9" t="str">
        <f t="shared" si="295"/>
        <v>Monday</v>
      </c>
      <c r="J1201" s="9" t="str">
        <f t="shared" si="296"/>
        <v>No</v>
      </c>
      <c r="K1201" s="5" t="str">
        <f>IF(COUNTIF(Bank_Holidays!A:A,A1201)&gt;0,"Yes","No")</f>
        <v>No</v>
      </c>
      <c r="L1201" t="str">
        <f t="shared" si="297"/>
        <v>Yes</v>
      </c>
      <c r="M1201">
        <f t="shared" si="298"/>
        <v>46</v>
      </c>
      <c r="N1201" s="5" t="str">
        <f t="shared" si="299"/>
        <v>No</v>
      </c>
      <c r="O1201" t="str">
        <f>IF(A1201=WORKDAY(EOMONTH(A1201,0)+1,-1,Bank_Holidays!$A$2:$A$25),"Yes","No")</f>
        <v>No</v>
      </c>
      <c r="P1201" t="str">
        <f t="shared" si="300"/>
        <v>No</v>
      </c>
      <c r="Q1201" t="str">
        <f t="shared" si="301"/>
        <v>No</v>
      </c>
      <c r="R1201" s="5">
        <f t="shared" si="303"/>
        <v>1</v>
      </c>
    </row>
    <row r="1202" spans="1:18">
      <c r="A1202" s="25">
        <f t="shared" si="302"/>
        <v>47435</v>
      </c>
      <c r="B1202">
        <f t="shared" si="288"/>
        <v>2029</v>
      </c>
      <c r="C1202" s="9">
        <f t="shared" si="289"/>
        <v>11</v>
      </c>
      <c r="D1202" s="9" t="str">
        <f t="shared" si="290"/>
        <v>November</v>
      </c>
      <c r="E1202" s="9" t="str">
        <f t="shared" si="291"/>
        <v>Nov-29</v>
      </c>
      <c r="F1202" s="9" t="str">
        <f t="shared" si="292"/>
        <v>Q4</v>
      </c>
      <c r="G1202" s="9">
        <f t="shared" si="293"/>
        <v>13</v>
      </c>
      <c r="H1202" s="9">
        <f t="shared" si="294"/>
        <v>2</v>
      </c>
      <c r="I1202" s="9" t="str">
        <f t="shared" si="295"/>
        <v>Tuesday</v>
      </c>
      <c r="J1202" s="9" t="str">
        <f t="shared" si="296"/>
        <v>No</v>
      </c>
      <c r="K1202" s="5" t="str">
        <f>IF(COUNTIF(Bank_Holidays!A:A,A1202)&gt;0,"Yes","No")</f>
        <v>No</v>
      </c>
      <c r="L1202" t="str">
        <f t="shared" si="297"/>
        <v>Yes</v>
      </c>
      <c r="M1202">
        <f t="shared" si="298"/>
        <v>46</v>
      </c>
      <c r="N1202" s="5" t="str">
        <f t="shared" si="299"/>
        <v>No</v>
      </c>
      <c r="O1202" t="str">
        <f>IF(A1202=WORKDAY(EOMONTH(A1202,0)+1,-1,Bank_Holidays!$A$2:$A$25),"Yes","No")</f>
        <v>No</v>
      </c>
      <c r="P1202" t="str">
        <f t="shared" si="300"/>
        <v>No</v>
      </c>
      <c r="Q1202" t="str">
        <f t="shared" si="301"/>
        <v>No</v>
      </c>
      <c r="R1202" s="5">
        <f t="shared" si="303"/>
        <v>1</v>
      </c>
    </row>
    <row r="1203" spans="1:18">
      <c r="A1203" s="25">
        <f t="shared" si="302"/>
        <v>47436</v>
      </c>
      <c r="B1203">
        <f t="shared" si="288"/>
        <v>2029</v>
      </c>
      <c r="C1203" s="9">
        <f t="shared" si="289"/>
        <v>11</v>
      </c>
      <c r="D1203" s="9" t="str">
        <f t="shared" si="290"/>
        <v>November</v>
      </c>
      <c r="E1203" s="9" t="str">
        <f t="shared" si="291"/>
        <v>Nov-29</v>
      </c>
      <c r="F1203" s="9" t="str">
        <f t="shared" si="292"/>
        <v>Q4</v>
      </c>
      <c r="G1203" s="9">
        <f t="shared" si="293"/>
        <v>14</v>
      </c>
      <c r="H1203" s="9">
        <f t="shared" si="294"/>
        <v>3</v>
      </c>
      <c r="I1203" s="9" t="str">
        <f t="shared" si="295"/>
        <v>Wednesday</v>
      </c>
      <c r="J1203" s="9" t="str">
        <f t="shared" si="296"/>
        <v>No</v>
      </c>
      <c r="K1203" s="5" t="str">
        <f>IF(COUNTIF(Bank_Holidays!A:A,A1203)&gt;0,"Yes","No")</f>
        <v>No</v>
      </c>
      <c r="L1203" t="str">
        <f t="shared" si="297"/>
        <v>Yes</v>
      </c>
      <c r="M1203">
        <f t="shared" si="298"/>
        <v>46</v>
      </c>
      <c r="N1203" s="5" t="str">
        <f t="shared" si="299"/>
        <v>No</v>
      </c>
      <c r="O1203" t="str">
        <f>IF(A1203=WORKDAY(EOMONTH(A1203,0)+1,-1,Bank_Holidays!$A$2:$A$25),"Yes","No")</f>
        <v>No</v>
      </c>
      <c r="P1203" t="str">
        <f t="shared" si="300"/>
        <v>No</v>
      </c>
      <c r="Q1203" t="str">
        <f t="shared" si="301"/>
        <v>No</v>
      </c>
      <c r="R1203" s="5">
        <f t="shared" si="303"/>
        <v>1</v>
      </c>
    </row>
    <row r="1204" spans="1:18">
      <c r="A1204" s="25">
        <f t="shared" si="302"/>
        <v>47437</v>
      </c>
      <c r="B1204">
        <f t="shared" si="288"/>
        <v>2029</v>
      </c>
      <c r="C1204" s="9">
        <f t="shared" si="289"/>
        <v>11</v>
      </c>
      <c r="D1204" s="9" t="str">
        <f t="shared" si="290"/>
        <v>November</v>
      </c>
      <c r="E1204" s="9" t="str">
        <f t="shared" si="291"/>
        <v>Nov-29</v>
      </c>
      <c r="F1204" s="9" t="str">
        <f t="shared" si="292"/>
        <v>Q4</v>
      </c>
      <c r="G1204" s="9">
        <f t="shared" si="293"/>
        <v>15</v>
      </c>
      <c r="H1204" s="9">
        <f t="shared" si="294"/>
        <v>4</v>
      </c>
      <c r="I1204" s="9" t="str">
        <f t="shared" si="295"/>
        <v>Thursday</v>
      </c>
      <c r="J1204" s="9" t="str">
        <f t="shared" si="296"/>
        <v>No</v>
      </c>
      <c r="K1204" s="5" t="str">
        <f>IF(COUNTIF(Bank_Holidays!A:A,A1204)&gt;0,"Yes","No")</f>
        <v>No</v>
      </c>
      <c r="L1204" t="str">
        <f t="shared" si="297"/>
        <v>Yes</v>
      </c>
      <c r="M1204">
        <f t="shared" si="298"/>
        <v>46</v>
      </c>
      <c r="N1204" s="5" t="str">
        <f t="shared" si="299"/>
        <v>No</v>
      </c>
      <c r="O1204" t="str">
        <f>IF(A1204=WORKDAY(EOMONTH(A1204,0)+1,-1,Bank_Holidays!$A$2:$A$25),"Yes","No")</f>
        <v>No</v>
      </c>
      <c r="P1204" t="str">
        <f t="shared" si="300"/>
        <v>No</v>
      </c>
      <c r="Q1204" t="str">
        <f t="shared" si="301"/>
        <v>No</v>
      </c>
      <c r="R1204" s="5">
        <f t="shared" si="303"/>
        <v>1</v>
      </c>
    </row>
    <row r="1205" spans="1:18">
      <c r="A1205" s="25">
        <f t="shared" si="302"/>
        <v>47438</v>
      </c>
      <c r="B1205">
        <f t="shared" si="288"/>
        <v>2029</v>
      </c>
      <c r="C1205" s="9">
        <f t="shared" si="289"/>
        <v>11</v>
      </c>
      <c r="D1205" s="9" t="str">
        <f t="shared" si="290"/>
        <v>November</v>
      </c>
      <c r="E1205" s="9" t="str">
        <f t="shared" si="291"/>
        <v>Nov-29</v>
      </c>
      <c r="F1205" s="9" t="str">
        <f t="shared" si="292"/>
        <v>Q4</v>
      </c>
      <c r="G1205" s="9">
        <f t="shared" si="293"/>
        <v>16</v>
      </c>
      <c r="H1205" s="9">
        <f t="shared" si="294"/>
        <v>5</v>
      </c>
      <c r="I1205" s="9" t="str">
        <f t="shared" si="295"/>
        <v>Friday</v>
      </c>
      <c r="J1205" s="9" t="str">
        <f t="shared" si="296"/>
        <v>No</v>
      </c>
      <c r="K1205" s="5" t="str">
        <f>IF(COUNTIF(Bank_Holidays!A:A,A1205)&gt;0,"Yes","No")</f>
        <v>No</v>
      </c>
      <c r="L1205" t="str">
        <f t="shared" si="297"/>
        <v>Yes</v>
      </c>
      <c r="M1205">
        <f t="shared" si="298"/>
        <v>46</v>
      </c>
      <c r="N1205" s="5" t="str">
        <f t="shared" si="299"/>
        <v>No</v>
      </c>
      <c r="O1205" t="str">
        <f>IF(A1205=WORKDAY(EOMONTH(A1205,0)+1,-1,Bank_Holidays!$A$2:$A$25),"Yes","No")</f>
        <v>No</v>
      </c>
      <c r="P1205" t="str">
        <f t="shared" si="300"/>
        <v>No</v>
      </c>
      <c r="Q1205" t="str">
        <f t="shared" si="301"/>
        <v>No</v>
      </c>
      <c r="R1205" s="5">
        <f t="shared" si="303"/>
        <v>3</v>
      </c>
    </row>
    <row r="1206" spans="1:18">
      <c r="A1206" s="25">
        <f t="shared" si="302"/>
        <v>47439</v>
      </c>
      <c r="B1206">
        <f t="shared" si="288"/>
        <v>2029</v>
      </c>
      <c r="C1206" s="9">
        <f t="shared" si="289"/>
        <v>11</v>
      </c>
      <c r="D1206" s="9" t="str">
        <f t="shared" si="290"/>
        <v>November</v>
      </c>
      <c r="E1206" s="9" t="str">
        <f t="shared" si="291"/>
        <v>Nov-29</v>
      </c>
      <c r="F1206" s="9" t="str">
        <f t="shared" si="292"/>
        <v>Q4</v>
      </c>
      <c r="G1206" s="9">
        <f t="shared" si="293"/>
        <v>17</v>
      </c>
      <c r="H1206" s="9">
        <f t="shared" si="294"/>
        <v>6</v>
      </c>
      <c r="I1206" s="9" t="str">
        <f t="shared" si="295"/>
        <v>Saturday</v>
      </c>
      <c r="J1206" s="9" t="str">
        <f t="shared" si="296"/>
        <v>Yes</v>
      </c>
      <c r="K1206" s="5" t="str">
        <f>IF(COUNTIF(Bank_Holidays!A:A,A1206)&gt;0,"Yes","No")</f>
        <v>No</v>
      </c>
      <c r="L1206" t="str">
        <f t="shared" si="297"/>
        <v>No</v>
      </c>
      <c r="M1206">
        <f t="shared" si="298"/>
        <v>46</v>
      </c>
      <c r="N1206" s="5" t="str">
        <f t="shared" si="299"/>
        <v>No</v>
      </c>
      <c r="O1206" t="str">
        <f>IF(A1206=WORKDAY(EOMONTH(A1206,0)+1,-1,Bank_Holidays!$A$2:$A$25),"Yes","No")</f>
        <v>No</v>
      </c>
      <c r="P1206" t="str">
        <f t="shared" si="300"/>
        <v>No</v>
      </c>
      <c r="Q1206" t="str">
        <f t="shared" si="301"/>
        <v>No</v>
      </c>
      <c r="R1206" s="5">
        <f t="shared" si="303"/>
        <v>0</v>
      </c>
    </row>
    <row r="1207" spans="1:18">
      <c r="A1207" s="25">
        <f t="shared" si="302"/>
        <v>47440</v>
      </c>
      <c r="B1207">
        <f t="shared" si="288"/>
        <v>2029</v>
      </c>
      <c r="C1207" s="9">
        <f t="shared" si="289"/>
        <v>11</v>
      </c>
      <c r="D1207" s="9" t="str">
        <f t="shared" si="290"/>
        <v>November</v>
      </c>
      <c r="E1207" s="9" t="str">
        <f t="shared" si="291"/>
        <v>Nov-29</v>
      </c>
      <c r="F1207" s="9" t="str">
        <f t="shared" si="292"/>
        <v>Q4</v>
      </c>
      <c r="G1207" s="9">
        <f t="shared" si="293"/>
        <v>18</v>
      </c>
      <c r="H1207" s="9">
        <f t="shared" si="294"/>
        <v>7</v>
      </c>
      <c r="I1207" s="9" t="str">
        <f t="shared" si="295"/>
        <v>Sunday</v>
      </c>
      <c r="J1207" s="9" t="str">
        <f t="shared" si="296"/>
        <v>Yes</v>
      </c>
      <c r="K1207" s="5" t="str">
        <f>IF(COUNTIF(Bank_Holidays!A:A,A1207)&gt;0,"Yes","No")</f>
        <v>No</v>
      </c>
      <c r="L1207" t="str">
        <f t="shared" si="297"/>
        <v>No</v>
      </c>
      <c r="M1207">
        <f t="shared" si="298"/>
        <v>46</v>
      </c>
      <c r="N1207" s="5" t="str">
        <f t="shared" si="299"/>
        <v>No</v>
      </c>
      <c r="O1207" t="str">
        <f>IF(A1207=WORKDAY(EOMONTH(A1207,0)+1,-1,Bank_Holidays!$A$2:$A$25),"Yes","No")</f>
        <v>No</v>
      </c>
      <c r="P1207" t="str">
        <f t="shared" si="300"/>
        <v>No</v>
      </c>
      <c r="Q1207" t="str">
        <f t="shared" si="301"/>
        <v>No</v>
      </c>
      <c r="R1207" s="5">
        <f t="shared" si="303"/>
        <v>0</v>
      </c>
    </row>
    <row r="1208" spans="1:18">
      <c r="A1208" s="25">
        <f t="shared" si="302"/>
        <v>47441</v>
      </c>
      <c r="B1208">
        <f t="shared" si="288"/>
        <v>2029</v>
      </c>
      <c r="C1208" s="9">
        <f t="shared" si="289"/>
        <v>11</v>
      </c>
      <c r="D1208" s="9" t="str">
        <f t="shared" si="290"/>
        <v>November</v>
      </c>
      <c r="E1208" s="9" t="str">
        <f t="shared" si="291"/>
        <v>Nov-29</v>
      </c>
      <c r="F1208" s="9" t="str">
        <f t="shared" si="292"/>
        <v>Q4</v>
      </c>
      <c r="G1208" s="9">
        <f t="shared" si="293"/>
        <v>19</v>
      </c>
      <c r="H1208" s="9">
        <f t="shared" si="294"/>
        <v>1</v>
      </c>
      <c r="I1208" s="9" t="str">
        <f t="shared" si="295"/>
        <v>Monday</v>
      </c>
      <c r="J1208" s="9" t="str">
        <f t="shared" si="296"/>
        <v>No</v>
      </c>
      <c r="K1208" s="5" t="str">
        <f>IF(COUNTIF(Bank_Holidays!A:A,A1208)&gt;0,"Yes","No")</f>
        <v>No</v>
      </c>
      <c r="L1208" t="str">
        <f t="shared" si="297"/>
        <v>Yes</v>
      </c>
      <c r="M1208">
        <f t="shared" si="298"/>
        <v>47</v>
      </c>
      <c r="N1208" s="5" t="str">
        <f t="shared" si="299"/>
        <v>No</v>
      </c>
      <c r="O1208" t="str">
        <f>IF(A1208=WORKDAY(EOMONTH(A1208,0)+1,-1,Bank_Holidays!$A$2:$A$25),"Yes","No")</f>
        <v>No</v>
      </c>
      <c r="P1208" t="str">
        <f t="shared" si="300"/>
        <v>No</v>
      </c>
      <c r="Q1208" t="str">
        <f t="shared" si="301"/>
        <v>No</v>
      </c>
      <c r="R1208" s="5">
        <f t="shared" si="303"/>
        <v>1</v>
      </c>
    </row>
    <row r="1209" spans="1:18">
      <c r="A1209" s="25">
        <f t="shared" si="302"/>
        <v>47442</v>
      </c>
      <c r="B1209">
        <f t="shared" si="288"/>
        <v>2029</v>
      </c>
      <c r="C1209" s="9">
        <f t="shared" si="289"/>
        <v>11</v>
      </c>
      <c r="D1209" s="9" t="str">
        <f t="shared" si="290"/>
        <v>November</v>
      </c>
      <c r="E1209" s="9" t="str">
        <f t="shared" si="291"/>
        <v>Nov-29</v>
      </c>
      <c r="F1209" s="9" t="str">
        <f t="shared" si="292"/>
        <v>Q4</v>
      </c>
      <c r="G1209" s="9">
        <f t="shared" si="293"/>
        <v>20</v>
      </c>
      <c r="H1209" s="9">
        <f t="shared" si="294"/>
        <v>2</v>
      </c>
      <c r="I1209" s="9" t="str">
        <f t="shared" si="295"/>
        <v>Tuesday</v>
      </c>
      <c r="J1209" s="9" t="str">
        <f t="shared" si="296"/>
        <v>No</v>
      </c>
      <c r="K1209" s="5" t="str">
        <f>IF(COUNTIF(Bank_Holidays!A:A,A1209)&gt;0,"Yes","No")</f>
        <v>No</v>
      </c>
      <c r="L1209" t="str">
        <f t="shared" si="297"/>
        <v>Yes</v>
      </c>
      <c r="M1209">
        <f t="shared" si="298"/>
        <v>47</v>
      </c>
      <c r="N1209" s="5" t="str">
        <f t="shared" si="299"/>
        <v>No</v>
      </c>
      <c r="O1209" t="str">
        <f>IF(A1209=WORKDAY(EOMONTH(A1209,0)+1,-1,Bank_Holidays!$A$2:$A$25),"Yes","No")</f>
        <v>No</v>
      </c>
      <c r="P1209" t="str">
        <f t="shared" si="300"/>
        <v>No</v>
      </c>
      <c r="Q1209" t="str">
        <f t="shared" si="301"/>
        <v>No</v>
      </c>
      <c r="R1209" s="5">
        <f t="shared" si="303"/>
        <v>1</v>
      </c>
    </row>
    <row r="1210" spans="1:18">
      <c r="A1210" s="25">
        <f t="shared" si="302"/>
        <v>47443</v>
      </c>
      <c r="B1210">
        <f t="shared" si="288"/>
        <v>2029</v>
      </c>
      <c r="C1210" s="9">
        <f t="shared" si="289"/>
        <v>11</v>
      </c>
      <c r="D1210" s="9" t="str">
        <f t="shared" si="290"/>
        <v>November</v>
      </c>
      <c r="E1210" s="9" t="str">
        <f t="shared" si="291"/>
        <v>Nov-29</v>
      </c>
      <c r="F1210" s="9" t="str">
        <f t="shared" si="292"/>
        <v>Q4</v>
      </c>
      <c r="G1210" s="9">
        <f t="shared" si="293"/>
        <v>21</v>
      </c>
      <c r="H1210" s="9">
        <f t="shared" si="294"/>
        <v>3</v>
      </c>
      <c r="I1210" s="9" t="str">
        <f t="shared" si="295"/>
        <v>Wednesday</v>
      </c>
      <c r="J1210" s="9" t="str">
        <f t="shared" si="296"/>
        <v>No</v>
      </c>
      <c r="K1210" s="5" t="str">
        <f>IF(COUNTIF(Bank_Holidays!A:A,A1210)&gt;0,"Yes","No")</f>
        <v>No</v>
      </c>
      <c r="L1210" t="str">
        <f t="shared" si="297"/>
        <v>Yes</v>
      </c>
      <c r="M1210">
        <f t="shared" si="298"/>
        <v>47</v>
      </c>
      <c r="N1210" s="5" t="str">
        <f t="shared" si="299"/>
        <v>No</v>
      </c>
      <c r="O1210" t="str">
        <f>IF(A1210=WORKDAY(EOMONTH(A1210,0)+1,-1,Bank_Holidays!$A$2:$A$25),"Yes","No")</f>
        <v>No</v>
      </c>
      <c r="P1210" t="str">
        <f t="shared" si="300"/>
        <v>No</v>
      </c>
      <c r="Q1210" t="str">
        <f t="shared" si="301"/>
        <v>No</v>
      </c>
      <c r="R1210" s="5">
        <f t="shared" si="303"/>
        <v>1</v>
      </c>
    </row>
    <row r="1211" spans="1:18">
      <c r="A1211" s="25">
        <f t="shared" si="302"/>
        <v>47444</v>
      </c>
      <c r="B1211">
        <f t="shared" si="288"/>
        <v>2029</v>
      </c>
      <c r="C1211" s="9">
        <f t="shared" si="289"/>
        <v>11</v>
      </c>
      <c r="D1211" s="9" t="str">
        <f t="shared" si="290"/>
        <v>November</v>
      </c>
      <c r="E1211" s="9" t="str">
        <f t="shared" si="291"/>
        <v>Nov-29</v>
      </c>
      <c r="F1211" s="9" t="str">
        <f t="shared" si="292"/>
        <v>Q4</v>
      </c>
      <c r="G1211" s="9">
        <f t="shared" si="293"/>
        <v>22</v>
      </c>
      <c r="H1211" s="9">
        <f t="shared" si="294"/>
        <v>4</v>
      </c>
      <c r="I1211" s="9" t="str">
        <f t="shared" si="295"/>
        <v>Thursday</v>
      </c>
      <c r="J1211" s="9" t="str">
        <f t="shared" si="296"/>
        <v>No</v>
      </c>
      <c r="K1211" s="5" t="str">
        <f>IF(COUNTIF(Bank_Holidays!A:A,A1211)&gt;0,"Yes","No")</f>
        <v>No</v>
      </c>
      <c r="L1211" t="str">
        <f t="shared" si="297"/>
        <v>Yes</v>
      </c>
      <c r="M1211">
        <f t="shared" si="298"/>
        <v>47</v>
      </c>
      <c r="N1211" s="5" t="str">
        <f t="shared" si="299"/>
        <v>No</v>
      </c>
      <c r="O1211" t="str">
        <f>IF(A1211=WORKDAY(EOMONTH(A1211,0)+1,-1,Bank_Holidays!$A$2:$A$25),"Yes","No")</f>
        <v>No</v>
      </c>
      <c r="P1211" t="str">
        <f t="shared" si="300"/>
        <v>No</v>
      </c>
      <c r="Q1211" t="str">
        <f t="shared" si="301"/>
        <v>No</v>
      </c>
      <c r="R1211" s="5">
        <f t="shared" si="303"/>
        <v>1</v>
      </c>
    </row>
    <row r="1212" spans="1:18">
      <c r="A1212" s="25">
        <f t="shared" si="302"/>
        <v>47445</v>
      </c>
      <c r="B1212">
        <f t="shared" si="288"/>
        <v>2029</v>
      </c>
      <c r="C1212" s="9">
        <f t="shared" si="289"/>
        <v>11</v>
      </c>
      <c r="D1212" s="9" t="str">
        <f t="shared" si="290"/>
        <v>November</v>
      </c>
      <c r="E1212" s="9" t="str">
        <f t="shared" si="291"/>
        <v>Nov-29</v>
      </c>
      <c r="F1212" s="9" t="str">
        <f t="shared" si="292"/>
        <v>Q4</v>
      </c>
      <c r="G1212" s="9">
        <f t="shared" si="293"/>
        <v>23</v>
      </c>
      <c r="H1212" s="9">
        <f t="shared" si="294"/>
        <v>5</v>
      </c>
      <c r="I1212" s="9" t="str">
        <f t="shared" si="295"/>
        <v>Friday</v>
      </c>
      <c r="J1212" s="9" t="str">
        <f t="shared" si="296"/>
        <v>No</v>
      </c>
      <c r="K1212" s="5" t="str">
        <f>IF(COUNTIF(Bank_Holidays!A:A,A1212)&gt;0,"Yes","No")</f>
        <v>No</v>
      </c>
      <c r="L1212" t="str">
        <f t="shared" si="297"/>
        <v>Yes</v>
      </c>
      <c r="M1212">
        <f t="shared" si="298"/>
        <v>47</v>
      </c>
      <c r="N1212" s="5" t="str">
        <f t="shared" si="299"/>
        <v>No</v>
      </c>
      <c r="O1212" t="str">
        <f>IF(A1212=WORKDAY(EOMONTH(A1212,0)+1,-1,Bank_Holidays!$A$2:$A$25),"Yes","No")</f>
        <v>No</v>
      </c>
      <c r="P1212" t="str">
        <f t="shared" si="300"/>
        <v>No</v>
      </c>
      <c r="Q1212" t="str">
        <f t="shared" si="301"/>
        <v>No</v>
      </c>
      <c r="R1212" s="5">
        <f t="shared" si="303"/>
        <v>3</v>
      </c>
    </row>
    <row r="1213" spans="1:18">
      <c r="A1213" s="25">
        <f t="shared" si="302"/>
        <v>47446</v>
      </c>
      <c r="B1213">
        <f t="shared" si="288"/>
        <v>2029</v>
      </c>
      <c r="C1213" s="9">
        <f t="shared" si="289"/>
        <v>11</v>
      </c>
      <c r="D1213" s="9" t="str">
        <f t="shared" si="290"/>
        <v>November</v>
      </c>
      <c r="E1213" s="9" t="str">
        <f t="shared" si="291"/>
        <v>Nov-29</v>
      </c>
      <c r="F1213" s="9" t="str">
        <f t="shared" si="292"/>
        <v>Q4</v>
      </c>
      <c r="G1213" s="9">
        <f t="shared" si="293"/>
        <v>24</v>
      </c>
      <c r="H1213" s="9">
        <f t="shared" si="294"/>
        <v>6</v>
      </c>
      <c r="I1213" s="9" t="str">
        <f t="shared" si="295"/>
        <v>Saturday</v>
      </c>
      <c r="J1213" s="9" t="str">
        <f t="shared" si="296"/>
        <v>Yes</v>
      </c>
      <c r="K1213" s="5" t="str">
        <f>IF(COUNTIF(Bank_Holidays!A:A,A1213)&gt;0,"Yes","No")</f>
        <v>No</v>
      </c>
      <c r="L1213" t="str">
        <f t="shared" si="297"/>
        <v>No</v>
      </c>
      <c r="M1213">
        <f t="shared" si="298"/>
        <v>47</v>
      </c>
      <c r="N1213" s="5" t="str">
        <f t="shared" si="299"/>
        <v>No</v>
      </c>
      <c r="O1213" t="str">
        <f>IF(A1213=WORKDAY(EOMONTH(A1213,0)+1,-1,Bank_Holidays!$A$2:$A$25),"Yes","No")</f>
        <v>No</v>
      </c>
      <c r="P1213" t="str">
        <f t="shared" si="300"/>
        <v>No</v>
      </c>
      <c r="Q1213" t="str">
        <f t="shared" si="301"/>
        <v>No</v>
      </c>
      <c r="R1213" s="5">
        <f t="shared" si="303"/>
        <v>0</v>
      </c>
    </row>
    <row r="1214" spans="1:18">
      <c r="A1214" s="25">
        <f t="shared" si="302"/>
        <v>47447</v>
      </c>
      <c r="B1214">
        <f t="shared" si="288"/>
        <v>2029</v>
      </c>
      <c r="C1214" s="9">
        <f t="shared" si="289"/>
        <v>11</v>
      </c>
      <c r="D1214" s="9" t="str">
        <f t="shared" si="290"/>
        <v>November</v>
      </c>
      <c r="E1214" s="9" t="str">
        <f t="shared" si="291"/>
        <v>Nov-29</v>
      </c>
      <c r="F1214" s="9" t="str">
        <f t="shared" si="292"/>
        <v>Q4</v>
      </c>
      <c r="G1214" s="9">
        <f t="shared" si="293"/>
        <v>25</v>
      </c>
      <c r="H1214" s="9">
        <f t="shared" si="294"/>
        <v>7</v>
      </c>
      <c r="I1214" s="9" t="str">
        <f t="shared" si="295"/>
        <v>Sunday</v>
      </c>
      <c r="J1214" s="9" t="str">
        <f t="shared" si="296"/>
        <v>Yes</v>
      </c>
      <c r="K1214" s="5" t="str">
        <f>IF(COUNTIF(Bank_Holidays!A:A,A1214)&gt;0,"Yes","No")</f>
        <v>No</v>
      </c>
      <c r="L1214" t="str">
        <f t="shared" si="297"/>
        <v>No</v>
      </c>
      <c r="M1214">
        <f t="shared" si="298"/>
        <v>47</v>
      </c>
      <c r="N1214" s="5" t="str">
        <f t="shared" si="299"/>
        <v>No</v>
      </c>
      <c r="O1214" t="str">
        <f>IF(A1214=WORKDAY(EOMONTH(A1214,0)+1,-1,Bank_Holidays!$A$2:$A$25),"Yes","No")</f>
        <v>No</v>
      </c>
      <c r="P1214" t="str">
        <f t="shared" si="300"/>
        <v>No</v>
      </c>
      <c r="Q1214" t="str">
        <f t="shared" si="301"/>
        <v>No</v>
      </c>
      <c r="R1214" s="5">
        <f t="shared" si="303"/>
        <v>0</v>
      </c>
    </row>
    <row r="1215" spans="1:18">
      <c r="A1215" s="25">
        <f t="shared" si="302"/>
        <v>47448</v>
      </c>
      <c r="B1215">
        <f t="shared" si="288"/>
        <v>2029</v>
      </c>
      <c r="C1215" s="9">
        <f t="shared" si="289"/>
        <v>11</v>
      </c>
      <c r="D1215" s="9" t="str">
        <f t="shared" si="290"/>
        <v>November</v>
      </c>
      <c r="E1215" s="9" t="str">
        <f t="shared" si="291"/>
        <v>Nov-29</v>
      </c>
      <c r="F1215" s="9" t="str">
        <f t="shared" si="292"/>
        <v>Q4</v>
      </c>
      <c r="G1215" s="9">
        <f t="shared" si="293"/>
        <v>26</v>
      </c>
      <c r="H1215" s="9">
        <f t="shared" si="294"/>
        <v>1</v>
      </c>
      <c r="I1215" s="9" t="str">
        <f t="shared" si="295"/>
        <v>Monday</v>
      </c>
      <c r="J1215" s="9" t="str">
        <f t="shared" si="296"/>
        <v>No</v>
      </c>
      <c r="K1215" s="5" t="str">
        <f>IF(COUNTIF(Bank_Holidays!A:A,A1215)&gt;0,"Yes","No")</f>
        <v>No</v>
      </c>
      <c r="L1215" t="str">
        <f t="shared" si="297"/>
        <v>Yes</v>
      </c>
      <c r="M1215">
        <f t="shared" si="298"/>
        <v>48</v>
      </c>
      <c r="N1215" s="5" t="str">
        <f t="shared" si="299"/>
        <v>No</v>
      </c>
      <c r="O1215" t="str">
        <f>IF(A1215=WORKDAY(EOMONTH(A1215,0)+1,-1,Bank_Holidays!$A$2:$A$25),"Yes","No")</f>
        <v>No</v>
      </c>
      <c r="P1215" t="str">
        <f t="shared" si="300"/>
        <v>No</v>
      </c>
      <c r="Q1215" t="str">
        <f t="shared" si="301"/>
        <v>No</v>
      </c>
      <c r="R1215" s="5">
        <f t="shared" si="303"/>
        <v>1</v>
      </c>
    </row>
    <row r="1216" spans="1:18">
      <c r="A1216" s="25">
        <f t="shared" si="302"/>
        <v>47449</v>
      </c>
      <c r="B1216">
        <f t="shared" si="288"/>
        <v>2029</v>
      </c>
      <c r="C1216" s="9">
        <f t="shared" si="289"/>
        <v>11</v>
      </c>
      <c r="D1216" s="9" t="str">
        <f t="shared" si="290"/>
        <v>November</v>
      </c>
      <c r="E1216" s="9" t="str">
        <f t="shared" si="291"/>
        <v>Nov-29</v>
      </c>
      <c r="F1216" s="9" t="str">
        <f t="shared" si="292"/>
        <v>Q4</v>
      </c>
      <c r="G1216" s="9">
        <f t="shared" si="293"/>
        <v>27</v>
      </c>
      <c r="H1216" s="9">
        <f t="shared" si="294"/>
        <v>2</v>
      </c>
      <c r="I1216" s="9" t="str">
        <f t="shared" si="295"/>
        <v>Tuesday</v>
      </c>
      <c r="J1216" s="9" t="str">
        <f t="shared" si="296"/>
        <v>No</v>
      </c>
      <c r="K1216" s="5" t="str">
        <f>IF(COUNTIF(Bank_Holidays!A:A,A1216)&gt;0,"Yes","No")</f>
        <v>No</v>
      </c>
      <c r="L1216" t="str">
        <f t="shared" si="297"/>
        <v>Yes</v>
      </c>
      <c r="M1216">
        <f t="shared" si="298"/>
        <v>48</v>
      </c>
      <c r="N1216" s="5" t="str">
        <f t="shared" si="299"/>
        <v>No</v>
      </c>
      <c r="O1216" t="str">
        <f>IF(A1216=WORKDAY(EOMONTH(A1216,0)+1,-1,Bank_Holidays!$A$2:$A$25),"Yes","No")</f>
        <v>No</v>
      </c>
      <c r="P1216" t="str">
        <f t="shared" si="300"/>
        <v>No</v>
      </c>
      <c r="Q1216" t="str">
        <f t="shared" si="301"/>
        <v>No</v>
      </c>
      <c r="R1216" s="5">
        <f t="shared" si="303"/>
        <v>1</v>
      </c>
    </row>
    <row r="1217" spans="1:18">
      <c r="A1217" s="25">
        <f t="shared" si="302"/>
        <v>47450</v>
      </c>
      <c r="B1217">
        <f t="shared" si="288"/>
        <v>2029</v>
      </c>
      <c r="C1217" s="9">
        <f t="shared" si="289"/>
        <v>11</v>
      </c>
      <c r="D1217" s="9" t="str">
        <f t="shared" si="290"/>
        <v>November</v>
      </c>
      <c r="E1217" s="9" t="str">
        <f t="shared" si="291"/>
        <v>Nov-29</v>
      </c>
      <c r="F1217" s="9" t="str">
        <f t="shared" si="292"/>
        <v>Q4</v>
      </c>
      <c r="G1217" s="9">
        <f t="shared" si="293"/>
        <v>28</v>
      </c>
      <c r="H1217" s="9">
        <f t="shared" si="294"/>
        <v>3</v>
      </c>
      <c r="I1217" s="9" t="str">
        <f t="shared" si="295"/>
        <v>Wednesday</v>
      </c>
      <c r="J1217" s="9" t="str">
        <f t="shared" si="296"/>
        <v>No</v>
      </c>
      <c r="K1217" s="5" t="str">
        <f>IF(COUNTIF(Bank_Holidays!A:A,A1217)&gt;0,"Yes","No")</f>
        <v>No</v>
      </c>
      <c r="L1217" t="str">
        <f t="shared" si="297"/>
        <v>Yes</v>
      </c>
      <c r="M1217">
        <f t="shared" si="298"/>
        <v>48</v>
      </c>
      <c r="N1217" s="5" t="str">
        <f t="shared" si="299"/>
        <v>No</v>
      </c>
      <c r="O1217" t="str">
        <f>IF(A1217=WORKDAY(EOMONTH(A1217,0)+1,-1,Bank_Holidays!$A$2:$A$25),"Yes","No")</f>
        <v>No</v>
      </c>
      <c r="P1217" t="str">
        <f t="shared" si="300"/>
        <v>No</v>
      </c>
      <c r="Q1217" t="str">
        <f t="shared" si="301"/>
        <v>No</v>
      </c>
      <c r="R1217" s="5">
        <f t="shared" si="303"/>
        <v>1</v>
      </c>
    </row>
    <row r="1218" spans="1:18">
      <c r="A1218" s="25">
        <f t="shared" si="302"/>
        <v>47451</v>
      </c>
      <c r="B1218">
        <f t="shared" ref="B1218:B1281" si="304">YEAR(A1218)</f>
        <v>2029</v>
      </c>
      <c r="C1218" s="9">
        <f t="shared" ref="C1218:C1281" si="305">MONTH(A1218)</f>
        <v>11</v>
      </c>
      <c r="D1218" s="9" t="str">
        <f t="shared" ref="D1218:D1281" si="306">TEXT(A1218,"mmmm")</f>
        <v>November</v>
      </c>
      <c r="E1218" s="9" t="str">
        <f t="shared" ref="E1218:E1281" si="307">TEXT(A1218,"mmm-yy")</f>
        <v>Nov-29</v>
      </c>
      <c r="F1218" s="9" t="str">
        <f t="shared" ref="F1218:F1281" si="308">"Q"&amp;ROUNDUP(MONTH($A1218)/3,0)</f>
        <v>Q4</v>
      </c>
      <c r="G1218" s="9">
        <f t="shared" ref="G1218:G1281" si="309">DAY($A1218)</f>
        <v>29</v>
      </c>
      <c r="H1218" s="9">
        <f t="shared" ref="H1218:H1281" si="310">WEEKDAY($A1218,2)</f>
        <v>4</v>
      </c>
      <c r="I1218" s="9" t="str">
        <f t="shared" ref="I1218:I1281" si="311">TEXT($A1218,"dddd")</f>
        <v>Thursday</v>
      </c>
      <c r="J1218" s="9" t="str">
        <f t="shared" ref="J1218:J1281" si="312">IF($H1218&gt;5,"Yes","No")</f>
        <v>No</v>
      </c>
      <c r="K1218" s="5" t="str">
        <f>IF(COUNTIF(Bank_Holidays!A:A,A1218)&gt;0,"Yes","No")</f>
        <v>No</v>
      </c>
      <c r="L1218" t="str">
        <f t="shared" ref="L1218:L1281" si="313">IF(AND(J1218="No",K1218="No"),"Yes","No")</f>
        <v>Yes</v>
      </c>
      <c r="M1218">
        <f t="shared" ref="M1218:M1281" si="314">_xlfn.ISOWEEKNUM(A1218)</f>
        <v>48</v>
      </c>
      <c r="N1218" s="5" t="str">
        <f t="shared" ref="N1218:N1281" si="315">IF(A1218=EOMONTH(A1218,0),"Yes","No")</f>
        <v>No</v>
      </c>
      <c r="O1218" t="str">
        <f>IF(A1218=WORKDAY(EOMONTH(A1218,0)+1,-1,Bank_Holidays!$A$2:$A$25),"Yes","No")</f>
        <v>No</v>
      </c>
      <c r="P1218" t="str">
        <f t="shared" ref="P1218:P1281" si="316">IF(
AND(
TEXT(A1218,"dddd")="Friday",
MONTH(A1218+7)&lt;&gt;MONTH(A1218)
),
"Yes",
"No"
)</f>
        <v>No</v>
      </c>
      <c r="Q1218" t="str">
        <f t="shared" ref="Q1218:Q1281" si="317">IF(
AND(
TEXT(A1218,"dddd")="Thursday",
MONTH(A1218+7)&lt;&gt;MONTH(A1218)
),
"Yes",
"No"
)</f>
        <v>Yes</v>
      </c>
      <c r="R1218" s="5">
        <f t="shared" si="303"/>
        <v>1</v>
      </c>
    </row>
    <row r="1219" spans="1:18">
      <c r="A1219" s="25">
        <f t="shared" ref="A1219:A1282" si="318">A1218+1</f>
        <v>47452</v>
      </c>
      <c r="B1219">
        <f t="shared" si="304"/>
        <v>2029</v>
      </c>
      <c r="C1219" s="9">
        <f t="shared" si="305"/>
        <v>11</v>
      </c>
      <c r="D1219" s="9" t="str">
        <f t="shared" si="306"/>
        <v>November</v>
      </c>
      <c r="E1219" s="9" t="str">
        <f t="shared" si="307"/>
        <v>Nov-29</v>
      </c>
      <c r="F1219" s="9" t="str">
        <f t="shared" si="308"/>
        <v>Q4</v>
      </c>
      <c r="G1219" s="9">
        <f t="shared" si="309"/>
        <v>30</v>
      </c>
      <c r="H1219" s="9">
        <f t="shared" si="310"/>
        <v>5</v>
      </c>
      <c r="I1219" s="9" t="str">
        <f t="shared" si="311"/>
        <v>Friday</v>
      </c>
      <c r="J1219" s="9" t="str">
        <f t="shared" si="312"/>
        <v>No</v>
      </c>
      <c r="K1219" s="5" t="str">
        <f>IF(COUNTIF(Bank_Holidays!A:A,A1219)&gt;0,"Yes","No")</f>
        <v>No</v>
      </c>
      <c r="L1219" t="str">
        <f t="shared" si="313"/>
        <v>Yes</v>
      </c>
      <c r="M1219">
        <f t="shared" si="314"/>
        <v>48</v>
      </c>
      <c r="N1219" s="5" t="str">
        <f t="shared" si="315"/>
        <v>Yes</v>
      </c>
      <c r="O1219" t="str">
        <f>IF(A1219=WORKDAY(EOMONTH(A1219,0)+1,-1,Bank_Holidays!$A$2:$A$25),"Yes","No")</f>
        <v>Yes</v>
      </c>
      <c r="P1219" t="str">
        <f t="shared" si="316"/>
        <v>Yes</v>
      </c>
      <c r="Q1219" t="str">
        <f t="shared" si="317"/>
        <v>No</v>
      </c>
      <c r="R1219" s="5">
        <f t="shared" ref="R1219:R1282" si="319">IF(L1219="yes",1)+IF(L1219="no",0,IF(AND(L1224="no",L1223="no",L1222="no",L1221="no",L1220="no"),5,IF(AND(L1223="no",L1222="no",L1221="no",L1220="no"),4,IF(AND(L1222="no",L1221="no",L1220="no"),3,IF(AND(L1221="no",L1220="no"),2,IF(L1220="no",1))))))</f>
        <v>3</v>
      </c>
    </row>
    <row r="1220" spans="1:18">
      <c r="A1220" s="25">
        <f t="shared" si="318"/>
        <v>47453</v>
      </c>
      <c r="B1220">
        <f t="shared" si="304"/>
        <v>2029</v>
      </c>
      <c r="C1220" s="9">
        <f t="shared" si="305"/>
        <v>12</v>
      </c>
      <c r="D1220" s="9" t="str">
        <f t="shared" si="306"/>
        <v>December</v>
      </c>
      <c r="E1220" s="9" t="str">
        <f t="shared" si="307"/>
        <v>Dec-29</v>
      </c>
      <c r="F1220" s="9" t="str">
        <f t="shared" si="308"/>
        <v>Q4</v>
      </c>
      <c r="G1220" s="9">
        <f t="shared" si="309"/>
        <v>1</v>
      </c>
      <c r="H1220" s="9">
        <f t="shared" si="310"/>
        <v>6</v>
      </c>
      <c r="I1220" s="9" t="str">
        <f t="shared" si="311"/>
        <v>Saturday</v>
      </c>
      <c r="J1220" s="9" t="str">
        <f t="shared" si="312"/>
        <v>Yes</v>
      </c>
      <c r="K1220" s="5" t="str">
        <f>IF(COUNTIF(Bank_Holidays!A:A,A1220)&gt;0,"Yes","No")</f>
        <v>No</v>
      </c>
      <c r="L1220" t="str">
        <f t="shared" si="313"/>
        <v>No</v>
      </c>
      <c r="M1220">
        <f t="shared" si="314"/>
        <v>48</v>
      </c>
      <c r="N1220" s="5" t="str">
        <f t="shared" si="315"/>
        <v>No</v>
      </c>
      <c r="O1220" t="str">
        <f>IF(A1220=WORKDAY(EOMONTH(A1220,0)+1,-1,Bank_Holidays!$A$2:$A$25),"Yes","No")</f>
        <v>No</v>
      </c>
      <c r="P1220" t="str">
        <f t="shared" si="316"/>
        <v>No</v>
      </c>
      <c r="Q1220" t="str">
        <f t="shared" si="317"/>
        <v>No</v>
      </c>
      <c r="R1220" s="5">
        <f t="shared" si="319"/>
        <v>0</v>
      </c>
    </row>
    <row r="1221" spans="1:18">
      <c r="A1221" s="25">
        <f t="shared" si="318"/>
        <v>47454</v>
      </c>
      <c r="B1221">
        <f t="shared" si="304"/>
        <v>2029</v>
      </c>
      <c r="C1221" s="9">
        <f t="shared" si="305"/>
        <v>12</v>
      </c>
      <c r="D1221" s="9" t="str">
        <f t="shared" si="306"/>
        <v>December</v>
      </c>
      <c r="E1221" s="9" t="str">
        <f t="shared" si="307"/>
        <v>Dec-29</v>
      </c>
      <c r="F1221" s="9" t="str">
        <f t="shared" si="308"/>
        <v>Q4</v>
      </c>
      <c r="G1221" s="9">
        <f t="shared" si="309"/>
        <v>2</v>
      </c>
      <c r="H1221" s="9">
        <f t="shared" si="310"/>
        <v>7</v>
      </c>
      <c r="I1221" s="9" t="str">
        <f t="shared" si="311"/>
        <v>Sunday</v>
      </c>
      <c r="J1221" s="9" t="str">
        <f t="shared" si="312"/>
        <v>Yes</v>
      </c>
      <c r="K1221" s="5" t="str">
        <f>IF(COUNTIF(Bank_Holidays!A:A,A1221)&gt;0,"Yes","No")</f>
        <v>No</v>
      </c>
      <c r="L1221" t="str">
        <f t="shared" si="313"/>
        <v>No</v>
      </c>
      <c r="M1221">
        <f t="shared" si="314"/>
        <v>48</v>
      </c>
      <c r="N1221" s="5" t="str">
        <f t="shared" si="315"/>
        <v>No</v>
      </c>
      <c r="O1221" t="str">
        <f>IF(A1221=WORKDAY(EOMONTH(A1221,0)+1,-1,Bank_Holidays!$A$2:$A$25),"Yes","No")</f>
        <v>No</v>
      </c>
      <c r="P1221" t="str">
        <f t="shared" si="316"/>
        <v>No</v>
      </c>
      <c r="Q1221" t="str">
        <f t="shared" si="317"/>
        <v>No</v>
      </c>
      <c r="R1221" s="5">
        <f t="shared" si="319"/>
        <v>0</v>
      </c>
    </row>
    <row r="1222" spans="1:18">
      <c r="A1222" s="25">
        <f t="shared" si="318"/>
        <v>47455</v>
      </c>
      <c r="B1222">
        <f t="shared" si="304"/>
        <v>2029</v>
      </c>
      <c r="C1222" s="9">
        <f t="shared" si="305"/>
        <v>12</v>
      </c>
      <c r="D1222" s="9" t="str">
        <f t="shared" si="306"/>
        <v>December</v>
      </c>
      <c r="E1222" s="9" t="str">
        <f t="shared" si="307"/>
        <v>Dec-29</v>
      </c>
      <c r="F1222" s="9" t="str">
        <f t="shared" si="308"/>
        <v>Q4</v>
      </c>
      <c r="G1222" s="9">
        <f t="shared" si="309"/>
        <v>3</v>
      </c>
      <c r="H1222" s="9">
        <f t="shared" si="310"/>
        <v>1</v>
      </c>
      <c r="I1222" s="9" t="str">
        <f t="shared" si="311"/>
        <v>Monday</v>
      </c>
      <c r="J1222" s="9" t="str">
        <f t="shared" si="312"/>
        <v>No</v>
      </c>
      <c r="K1222" s="5" t="str">
        <f>IF(COUNTIF(Bank_Holidays!A:A,A1222)&gt;0,"Yes","No")</f>
        <v>No</v>
      </c>
      <c r="L1222" t="str">
        <f t="shared" si="313"/>
        <v>Yes</v>
      </c>
      <c r="M1222">
        <f t="shared" si="314"/>
        <v>49</v>
      </c>
      <c r="N1222" s="5" t="str">
        <f t="shared" si="315"/>
        <v>No</v>
      </c>
      <c r="O1222" t="str">
        <f>IF(A1222=WORKDAY(EOMONTH(A1222,0)+1,-1,Bank_Holidays!$A$2:$A$25),"Yes","No")</f>
        <v>No</v>
      </c>
      <c r="P1222" t="str">
        <f t="shared" si="316"/>
        <v>No</v>
      </c>
      <c r="Q1222" t="str">
        <f t="shared" si="317"/>
        <v>No</v>
      </c>
      <c r="R1222" s="5">
        <f t="shared" si="319"/>
        <v>1</v>
      </c>
    </row>
    <row r="1223" spans="1:18">
      <c r="A1223" s="25">
        <f t="shared" si="318"/>
        <v>47456</v>
      </c>
      <c r="B1223">
        <f t="shared" si="304"/>
        <v>2029</v>
      </c>
      <c r="C1223" s="9">
        <f t="shared" si="305"/>
        <v>12</v>
      </c>
      <c r="D1223" s="9" t="str">
        <f t="shared" si="306"/>
        <v>December</v>
      </c>
      <c r="E1223" s="9" t="str">
        <f t="shared" si="307"/>
        <v>Dec-29</v>
      </c>
      <c r="F1223" s="9" t="str">
        <f t="shared" si="308"/>
        <v>Q4</v>
      </c>
      <c r="G1223" s="9">
        <f t="shared" si="309"/>
        <v>4</v>
      </c>
      <c r="H1223" s="9">
        <f t="shared" si="310"/>
        <v>2</v>
      </c>
      <c r="I1223" s="9" t="str">
        <f t="shared" si="311"/>
        <v>Tuesday</v>
      </c>
      <c r="J1223" s="9" t="str">
        <f t="shared" si="312"/>
        <v>No</v>
      </c>
      <c r="K1223" s="5" t="str">
        <f>IF(COUNTIF(Bank_Holidays!A:A,A1223)&gt;0,"Yes","No")</f>
        <v>No</v>
      </c>
      <c r="L1223" t="str">
        <f t="shared" si="313"/>
        <v>Yes</v>
      </c>
      <c r="M1223">
        <f t="shared" si="314"/>
        <v>49</v>
      </c>
      <c r="N1223" s="5" t="str">
        <f t="shared" si="315"/>
        <v>No</v>
      </c>
      <c r="O1223" t="str">
        <f>IF(A1223=WORKDAY(EOMONTH(A1223,0)+1,-1,Bank_Holidays!$A$2:$A$25),"Yes","No")</f>
        <v>No</v>
      </c>
      <c r="P1223" t="str">
        <f t="shared" si="316"/>
        <v>No</v>
      </c>
      <c r="Q1223" t="str">
        <f t="shared" si="317"/>
        <v>No</v>
      </c>
      <c r="R1223" s="5">
        <f t="shared" si="319"/>
        <v>1</v>
      </c>
    </row>
    <row r="1224" spans="1:18">
      <c r="A1224" s="25">
        <f t="shared" si="318"/>
        <v>47457</v>
      </c>
      <c r="B1224">
        <f t="shared" si="304"/>
        <v>2029</v>
      </c>
      <c r="C1224" s="9">
        <f t="shared" si="305"/>
        <v>12</v>
      </c>
      <c r="D1224" s="9" t="str">
        <f t="shared" si="306"/>
        <v>December</v>
      </c>
      <c r="E1224" s="9" t="str">
        <f t="shared" si="307"/>
        <v>Dec-29</v>
      </c>
      <c r="F1224" s="9" t="str">
        <f t="shared" si="308"/>
        <v>Q4</v>
      </c>
      <c r="G1224" s="9">
        <f t="shared" si="309"/>
        <v>5</v>
      </c>
      <c r="H1224" s="9">
        <f t="shared" si="310"/>
        <v>3</v>
      </c>
      <c r="I1224" s="9" t="str">
        <f t="shared" si="311"/>
        <v>Wednesday</v>
      </c>
      <c r="J1224" s="9" t="str">
        <f t="shared" si="312"/>
        <v>No</v>
      </c>
      <c r="K1224" s="5" t="str">
        <f>IF(COUNTIF(Bank_Holidays!A:A,A1224)&gt;0,"Yes","No")</f>
        <v>No</v>
      </c>
      <c r="L1224" t="str">
        <f t="shared" si="313"/>
        <v>Yes</v>
      </c>
      <c r="M1224">
        <f t="shared" si="314"/>
        <v>49</v>
      </c>
      <c r="N1224" s="5" t="str">
        <f t="shared" si="315"/>
        <v>No</v>
      </c>
      <c r="O1224" t="str">
        <f>IF(A1224=WORKDAY(EOMONTH(A1224,0)+1,-1,Bank_Holidays!$A$2:$A$25),"Yes","No")</f>
        <v>No</v>
      </c>
      <c r="P1224" t="str">
        <f t="shared" si="316"/>
        <v>No</v>
      </c>
      <c r="Q1224" t="str">
        <f t="shared" si="317"/>
        <v>No</v>
      </c>
      <c r="R1224" s="5">
        <f t="shared" si="319"/>
        <v>1</v>
      </c>
    </row>
    <row r="1225" spans="1:18">
      <c r="A1225" s="25">
        <f t="shared" si="318"/>
        <v>47458</v>
      </c>
      <c r="B1225">
        <f t="shared" si="304"/>
        <v>2029</v>
      </c>
      <c r="C1225" s="9">
        <f t="shared" si="305"/>
        <v>12</v>
      </c>
      <c r="D1225" s="9" t="str">
        <f t="shared" si="306"/>
        <v>December</v>
      </c>
      <c r="E1225" s="9" t="str">
        <f t="shared" si="307"/>
        <v>Dec-29</v>
      </c>
      <c r="F1225" s="9" t="str">
        <f t="shared" si="308"/>
        <v>Q4</v>
      </c>
      <c r="G1225" s="9">
        <f t="shared" si="309"/>
        <v>6</v>
      </c>
      <c r="H1225" s="9">
        <f t="shared" si="310"/>
        <v>4</v>
      </c>
      <c r="I1225" s="9" t="str">
        <f t="shared" si="311"/>
        <v>Thursday</v>
      </c>
      <c r="J1225" s="9" t="str">
        <f t="shared" si="312"/>
        <v>No</v>
      </c>
      <c r="K1225" s="5" t="str">
        <f>IF(COUNTIF(Bank_Holidays!A:A,A1225)&gt;0,"Yes","No")</f>
        <v>No</v>
      </c>
      <c r="L1225" t="str">
        <f t="shared" si="313"/>
        <v>Yes</v>
      </c>
      <c r="M1225">
        <f t="shared" si="314"/>
        <v>49</v>
      </c>
      <c r="N1225" s="5" t="str">
        <f t="shared" si="315"/>
        <v>No</v>
      </c>
      <c r="O1225" t="str">
        <f>IF(A1225=WORKDAY(EOMONTH(A1225,0)+1,-1,Bank_Holidays!$A$2:$A$25),"Yes","No")</f>
        <v>No</v>
      </c>
      <c r="P1225" t="str">
        <f t="shared" si="316"/>
        <v>No</v>
      </c>
      <c r="Q1225" t="str">
        <f t="shared" si="317"/>
        <v>No</v>
      </c>
      <c r="R1225" s="5">
        <f t="shared" si="319"/>
        <v>1</v>
      </c>
    </row>
    <row r="1226" spans="1:18">
      <c r="A1226" s="25">
        <f t="shared" si="318"/>
        <v>47459</v>
      </c>
      <c r="B1226">
        <f t="shared" si="304"/>
        <v>2029</v>
      </c>
      <c r="C1226" s="9">
        <f t="shared" si="305"/>
        <v>12</v>
      </c>
      <c r="D1226" s="9" t="str">
        <f t="shared" si="306"/>
        <v>December</v>
      </c>
      <c r="E1226" s="9" t="str">
        <f t="shared" si="307"/>
        <v>Dec-29</v>
      </c>
      <c r="F1226" s="9" t="str">
        <f t="shared" si="308"/>
        <v>Q4</v>
      </c>
      <c r="G1226" s="9">
        <f t="shared" si="309"/>
        <v>7</v>
      </c>
      <c r="H1226" s="9">
        <f t="shared" si="310"/>
        <v>5</v>
      </c>
      <c r="I1226" s="9" t="str">
        <f t="shared" si="311"/>
        <v>Friday</v>
      </c>
      <c r="J1226" s="9" t="str">
        <f t="shared" si="312"/>
        <v>No</v>
      </c>
      <c r="K1226" s="5" t="str">
        <f>IF(COUNTIF(Bank_Holidays!A:A,A1226)&gt;0,"Yes","No")</f>
        <v>No</v>
      </c>
      <c r="L1226" t="str">
        <f t="shared" si="313"/>
        <v>Yes</v>
      </c>
      <c r="M1226">
        <f t="shared" si="314"/>
        <v>49</v>
      </c>
      <c r="N1226" s="5" t="str">
        <f t="shared" si="315"/>
        <v>No</v>
      </c>
      <c r="O1226" t="str">
        <f>IF(A1226=WORKDAY(EOMONTH(A1226,0)+1,-1,Bank_Holidays!$A$2:$A$25),"Yes","No")</f>
        <v>No</v>
      </c>
      <c r="P1226" t="str">
        <f t="shared" si="316"/>
        <v>No</v>
      </c>
      <c r="Q1226" t="str">
        <f t="shared" si="317"/>
        <v>No</v>
      </c>
      <c r="R1226" s="5">
        <f t="shared" si="319"/>
        <v>3</v>
      </c>
    </row>
    <row r="1227" spans="1:18">
      <c r="A1227" s="25">
        <f t="shared" si="318"/>
        <v>47460</v>
      </c>
      <c r="B1227">
        <f t="shared" si="304"/>
        <v>2029</v>
      </c>
      <c r="C1227" s="9">
        <f t="shared" si="305"/>
        <v>12</v>
      </c>
      <c r="D1227" s="9" t="str">
        <f t="shared" si="306"/>
        <v>December</v>
      </c>
      <c r="E1227" s="9" t="str">
        <f t="shared" si="307"/>
        <v>Dec-29</v>
      </c>
      <c r="F1227" s="9" t="str">
        <f t="shared" si="308"/>
        <v>Q4</v>
      </c>
      <c r="G1227" s="9">
        <f t="shared" si="309"/>
        <v>8</v>
      </c>
      <c r="H1227" s="9">
        <f t="shared" si="310"/>
        <v>6</v>
      </c>
      <c r="I1227" s="9" t="str">
        <f t="shared" si="311"/>
        <v>Saturday</v>
      </c>
      <c r="J1227" s="9" t="str">
        <f t="shared" si="312"/>
        <v>Yes</v>
      </c>
      <c r="K1227" s="5" t="str">
        <f>IF(COUNTIF(Bank_Holidays!A:A,A1227)&gt;0,"Yes","No")</f>
        <v>No</v>
      </c>
      <c r="L1227" t="str">
        <f t="shared" si="313"/>
        <v>No</v>
      </c>
      <c r="M1227">
        <f t="shared" si="314"/>
        <v>49</v>
      </c>
      <c r="N1227" s="5" t="str">
        <f t="shared" si="315"/>
        <v>No</v>
      </c>
      <c r="O1227" t="str">
        <f>IF(A1227=WORKDAY(EOMONTH(A1227,0)+1,-1,Bank_Holidays!$A$2:$A$25),"Yes","No")</f>
        <v>No</v>
      </c>
      <c r="P1227" t="str">
        <f t="shared" si="316"/>
        <v>No</v>
      </c>
      <c r="Q1227" t="str">
        <f t="shared" si="317"/>
        <v>No</v>
      </c>
      <c r="R1227" s="5">
        <f t="shared" si="319"/>
        <v>0</v>
      </c>
    </row>
    <row r="1228" spans="1:18">
      <c r="A1228" s="25">
        <f t="shared" si="318"/>
        <v>47461</v>
      </c>
      <c r="B1228">
        <f t="shared" si="304"/>
        <v>2029</v>
      </c>
      <c r="C1228" s="9">
        <f t="shared" si="305"/>
        <v>12</v>
      </c>
      <c r="D1228" s="9" t="str">
        <f t="shared" si="306"/>
        <v>December</v>
      </c>
      <c r="E1228" s="9" t="str">
        <f t="shared" si="307"/>
        <v>Dec-29</v>
      </c>
      <c r="F1228" s="9" t="str">
        <f t="shared" si="308"/>
        <v>Q4</v>
      </c>
      <c r="G1228" s="9">
        <f t="shared" si="309"/>
        <v>9</v>
      </c>
      <c r="H1228" s="9">
        <f t="shared" si="310"/>
        <v>7</v>
      </c>
      <c r="I1228" s="9" t="str">
        <f t="shared" si="311"/>
        <v>Sunday</v>
      </c>
      <c r="J1228" s="9" t="str">
        <f t="shared" si="312"/>
        <v>Yes</v>
      </c>
      <c r="K1228" s="5" t="str">
        <f>IF(COUNTIF(Bank_Holidays!A:A,A1228)&gt;0,"Yes","No")</f>
        <v>No</v>
      </c>
      <c r="L1228" t="str">
        <f t="shared" si="313"/>
        <v>No</v>
      </c>
      <c r="M1228">
        <f t="shared" si="314"/>
        <v>49</v>
      </c>
      <c r="N1228" s="5" t="str">
        <f t="shared" si="315"/>
        <v>No</v>
      </c>
      <c r="O1228" t="str">
        <f>IF(A1228=WORKDAY(EOMONTH(A1228,0)+1,-1,Bank_Holidays!$A$2:$A$25),"Yes","No")</f>
        <v>No</v>
      </c>
      <c r="P1228" t="str">
        <f t="shared" si="316"/>
        <v>No</v>
      </c>
      <c r="Q1228" t="str">
        <f t="shared" si="317"/>
        <v>No</v>
      </c>
      <c r="R1228" s="5">
        <f t="shared" si="319"/>
        <v>0</v>
      </c>
    </row>
    <row r="1229" spans="1:18">
      <c r="A1229" s="25">
        <f t="shared" si="318"/>
        <v>47462</v>
      </c>
      <c r="B1229">
        <f t="shared" si="304"/>
        <v>2029</v>
      </c>
      <c r="C1229" s="9">
        <f t="shared" si="305"/>
        <v>12</v>
      </c>
      <c r="D1229" s="9" t="str">
        <f t="shared" si="306"/>
        <v>December</v>
      </c>
      <c r="E1229" s="9" t="str">
        <f t="shared" si="307"/>
        <v>Dec-29</v>
      </c>
      <c r="F1229" s="9" t="str">
        <f t="shared" si="308"/>
        <v>Q4</v>
      </c>
      <c r="G1229" s="9">
        <f t="shared" si="309"/>
        <v>10</v>
      </c>
      <c r="H1229" s="9">
        <f t="shared" si="310"/>
        <v>1</v>
      </c>
      <c r="I1229" s="9" t="str">
        <f t="shared" si="311"/>
        <v>Monday</v>
      </c>
      <c r="J1229" s="9" t="str">
        <f t="shared" si="312"/>
        <v>No</v>
      </c>
      <c r="K1229" s="5" t="str">
        <f>IF(COUNTIF(Bank_Holidays!A:A,A1229)&gt;0,"Yes","No")</f>
        <v>No</v>
      </c>
      <c r="L1229" t="str">
        <f t="shared" si="313"/>
        <v>Yes</v>
      </c>
      <c r="M1229">
        <f t="shared" si="314"/>
        <v>50</v>
      </c>
      <c r="N1229" s="5" t="str">
        <f t="shared" si="315"/>
        <v>No</v>
      </c>
      <c r="O1229" t="str">
        <f>IF(A1229=WORKDAY(EOMONTH(A1229,0)+1,-1,Bank_Holidays!$A$2:$A$25),"Yes","No")</f>
        <v>No</v>
      </c>
      <c r="P1229" t="str">
        <f t="shared" si="316"/>
        <v>No</v>
      </c>
      <c r="Q1229" t="str">
        <f t="shared" si="317"/>
        <v>No</v>
      </c>
      <c r="R1229" s="5">
        <f t="shared" si="319"/>
        <v>1</v>
      </c>
    </row>
    <row r="1230" spans="1:18">
      <c r="A1230" s="25">
        <f t="shared" si="318"/>
        <v>47463</v>
      </c>
      <c r="B1230">
        <f t="shared" si="304"/>
        <v>2029</v>
      </c>
      <c r="C1230" s="9">
        <f t="shared" si="305"/>
        <v>12</v>
      </c>
      <c r="D1230" s="9" t="str">
        <f t="shared" si="306"/>
        <v>December</v>
      </c>
      <c r="E1230" s="9" t="str">
        <f t="shared" si="307"/>
        <v>Dec-29</v>
      </c>
      <c r="F1230" s="9" t="str">
        <f t="shared" si="308"/>
        <v>Q4</v>
      </c>
      <c r="G1230" s="9">
        <f t="shared" si="309"/>
        <v>11</v>
      </c>
      <c r="H1230" s="9">
        <f t="shared" si="310"/>
        <v>2</v>
      </c>
      <c r="I1230" s="9" t="str">
        <f t="shared" si="311"/>
        <v>Tuesday</v>
      </c>
      <c r="J1230" s="9" t="str">
        <f t="shared" si="312"/>
        <v>No</v>
      </c>
      <c r="K1230" s="5" t="str">
        <f>IF(COUNTIF(Bank_Holidays!A:A,A1230)&gt;0,"Yes","No")</f>
        <v>No</v>
      </c>
      <c r="L1230" t="str">
        <f t="shared" si="313"/>
        <v>Yes</v>
      </c>
      <c r="M1230">
        <f t="shared" si="314"/>
        <v>50</v>
      </c>
      <c r="N1230" s="5" t="str">
        <f t="shared" si="315"/>
        <v>No</v>
      </c>
      <c r="O1230" t="str">
        <f>IF(A1230=WORKDAY(EOMONTH(A1230,0)+1,-1,Bank_Holidays!$A$2:$A$25),"Yes","No")</f>
        <v>No</v>
      </c>
      <c r="P1230" t="str">
        <f t="shared" si="316"/>
        <v>No</v>
      </c>
      <c r="Q1230" t="str">
        <f t="shared" si="317"/>
        <v>No</v>
      </c>
      <c r="R1230" s="5">
        <f t="shared" si="319"/>
        <v>1</v>
      </c>
    </row>
    <row r="1231" spans="1:18">
      <c r="A1231" s="25">
        <f t="shared" si="318"/>
        <v>47464</v>
      </c>
      <c r="B1231">
        <f t="shared" si="304"/>
        <v>2029</v>
      </c>
      <c r="C1231" s="9">
        <f t="shared" si="305"/>
        <v>12</v>
      </c>
      <c r="D1231" s="9" t="str">
        <f t="shared" si="306"/>
        <v>December</v>
      </c>
      <c r="E1231" s="9" t="str">
        <f t="shared" si="307"/>
        <v>Dec-29</v>
      </c>
      <c r="F1231" s="9" t="str">
        <f t="shared" si="308"/>
        <v>Q4</v>
      </c>
      <c r="G1231" s="9">
        <f t="shared" si="309"/>
        <v>12</v>
      </c>
      <c r="H1231" s="9">
        <f t="shared" si="310"/>
        <v>3</v>
      </c>
      <c r="I1231" s="9" t="str">
        <f t="shared" si="311"/>
        <v>Wednesday</v>
      </c>
      <c r="J1231" s="9" t="str">
        <f t="shared" si="312"/>
        <v>No</v>
      </c>
      <c r="K1231" s="5" t="str">
        <f>IF(COUNTIF(Bank_Holidays!A:A,A1231)&gt;0,"Yes","No")</f>
        <v>No</v>
      </c>
      <c r="L1231" t="str">
        <f t="shared" si="313"/>
        <v>Yes</v>
      </c>
      <c r="M1231">
        <f t="shared" si="314"/>
        <v>50</v>
      </c>
      <c r="N1231" s="5" t="str">
        <f t="shared" si="315"/>
        <v>No</v>
      </c>
      <c r="O1231" t="str">
        <f>IF(A1231=WORKDAY(EOMONTH(A1231,0)+1,-1,Bank_Holidays!$A$2:$A$25),"Yes","No")</f>
        <v>No</v>
      </c>
      <c r="P1231" t="str">
        <f t="shared" si="316"/>
        <v>No</v>
      </c>
      <c r="Q1231" t="str">
        <f t="shared" si="317"/>
        <v>No</v>
      </c>
      <c r="R1231" s="5">
        <f t="shared" si="319"/>
        <v>1</v>
      </c>
    </row>
    <row r="1232" spans="1:18">
      <c r="A1232" s="25">
        <f t="shared" si="318"/>
        <v>47465</v>
      </c>
      <c r="B1232">
        <f t="shared" si="304"/>
        <v>2029</v>
      </c>
      <c r="C1232" s="9">
        <f t="shared" si="305"/>
        <v>12</v>
      </c>
      <c r="D1232" s="9" t="str">
        <f t="shared" si="306"/>
        <v>December</v>
      </c>
      <c r="E1232" s="9" t="str">
        <f t="shared" si="307"/>
        <v>Dec-29</v>
      </c>
      <c r="F1232" s="9" t="str">
        <f t="shared" si="308"/>
        <v>Q4</v>
      </c>
      <c r="G1232" s="9">
        <f t="shared" si="309"/>
        <v>13</v>
      </c>
      <c r="H1232" s="9">
        <f t="shared" si="310"/>
        <v>4</v>
      </c>
      <c r="I1232" s="9" t="str">
        <f t="shared" si="311"/>
        <v>Thursday</v>
      </c>
      <c r="J1232" s="9" t="str">
        <f t="shared" si="312"/>
        <v>No</v>
      </c>
      <c r="K1232" s="5" t="str">
        <f>IF(COUNTIF(Bank_Holidays!A:A,A1232)&gt;0,"Yes","No")</f>
        <v>No</v>
      </c>
      <c r="L1232" t="str">
        <f t="shared" si="313"/>
        <v>Yes</v>
      </c>
      <c r="M1232">
        <f t="shared" si="314"/>
        <v>50</v>
      </c>
      <c r="N1232" s="5" t="str">
        <f t="shared" si="315"/>
        <v>No</v>
      </c>
      <c r="O1232" t="str">
        <f>IF(A1232=WORKDAY(EOMONTH(A1232,0)+1,-1,Bank_Holidays!$A$2:$A$25),"Yes","No")</f>
        <v>No</v>
      </c>
      <c r="P1232" t="str">
        <f t="shared" si="316"/>
        <v>No</v>
      </c>
      <c r="Q1232" t="str">
        <f t="shared" si="317"/>
        <v>No</v>
      </c>
      <c r="R1232" s="5">
        <f t="shared" si="319"/>
        <v>1</v>
      </c>
    </row>
    <row r="1233" spans="1:18">
      <c r="A1233" s="25">
        <f t="shared" si="318"/>
        <v>47466</v>
      </c>
      <c r="B1233">
        <f t="shared" si="304"/>
        <v>2029</v>
      </c>
      <c r="C1233" s="9">
        <f t="shared" si="305"/>
        <v>12</v>
      </c>
      <c r="D1233" s="9" t="str">
        <f t="shared" si="306"/>
        <v>December</v>
      </c>
      <c r="E1233" s="9" t="str">
        <f t="shared" si="307"/>
        <v>Dec-29</v>
      </c>
      <c r="F1233" s="9" t="str">
        <f t="shared" si="308"/>
        <v>Q4</v>
      </c>
      <c r="G1233" s="9">
        <f t="shared" si="309"/>
        <v>14</v>
      </c>
      <c r="H1233" s="9">
        <f t="shared" si="310"/>
        <v>5</v>
      </c>
      <c r="I1233" s="9" t="str">
        <f t="shared" si="311"/>
        <v>Friday</v>
      </c>
      <c r="J1233" s="9" t="str">
        <f t="shared" si="312"/>
        <v>No</v>
      </c>
      <c r="K1233" s="5" t="str">
        <f>IF(COUNTIF(Bank_Holidays!A:A,A1233)&gt;0,"Yes","No")</f>
        <v>No</v>
      </c>
      <c r="L1233" t="str">
        <f t="shared" si="313"/>
        <v>Yes</v>
      </c>
      <c r="M1233">
        <f t="shared" si="314"/>
        <v>50</v>
      </c>
      <c r="N1233" s="5" t="str">
        <f t="shared" si="315"/>
        <v>No</v>
      </c>
      <c r="O1233" t="str">
        <f>IF(A1233=WORKDAY(EOMONTH(A1233,0)+1,-1,Bank_Holidays!$A$2:$A$25),"Yes","No")</f>
        <v>No</v>
      </c>
      <c r="P1233" t="str">
        <f t="shared" si="316"/>
        <v>No</v>
      </c>
      <c r="Q1233" t="str">
        <f t="shared" si="317"/>
        <v>No</v>
      </c>
      <c r="R1233" s="5">
        <f t="shared" si="319"/>
        <v>3</v>
      </c>
    </row>
    <row r="1234" spans="1:18">
      <c r="A1234" s="25">
        <f t="shared" si="318"/>
        <v>47467</v>
      </c>
      <c r="B1234">
        <f t="shared" si="304"/>
        <v>2029</v>
      </c>
      <c r="C1234" s="9">
        <f t="shared" si="305"/>
        <v>12</v>
      </c>
      <c r="D1234" s="9" t="str">
        <f t="shared" si="306"/>
        <v>December</v>
      </c>
      <c r="E1234" s="9" t="str">
        <f t="shared" si="307"/>
        <v>Dec-29</v>
      </c>
      <c r="F1234" s="9" t="str">
        <f t="shared" si="308"/>
        <v>Q4</v>
      </c>
      <c r="G1234" s="9">
        <f t="shared" si="309"/>
        <v>15</v>
      </c>
      <c r="H1234" s="9">
        <f t="shared" si="310"/>
        <v>6</v>
      </c>
      <c r="I1234" s="9" t="str">
        <f t="shared" si="311"/>
        <v>Saturday</v>
      </c>
      <c r="J1234" s="9" t="str">
        <f t="shared" si="312"/>
        <v>Yes</v>
      </c>
      <c r="K1234" s="5" t="str">
        <f>IF(COUNTIF(Bank_Holidays!A:A,A1234)&gt;0,"Yes","No")</f>
        <v>No</v>
      </c>
      <c r="L1234" t="str">
        <f t="shared" si="313"/>
        <v>No</v>
      </c>
      <c r="M1234">
        <f t="shared" si="314"/>
        <v>50</v>
      </c>
      <c r="N1234" s="5" t="str">
        <f t="shared" si="315"/>
        <v>No</v>
      </c>
      <c r="O1234" t="str">
        <f>IF(A1234=WORKDAY(EOMONTH(A1234,0)+1,-1,Bank_Holidays!$A$2:$A$25),"Yes","No")</f>
        <v>No</v>
      </c>
      <c r="P1234" t="str">
        <f t="shared" si="316"/>
        <v>No</v>
      </c>
      <c r="Q1234" t="str">
        <f t="shared" si="317"/>
        <v>No</v>
      </c>
      <c r="R1234" s="5">
        <f t="shared" si="319"/>
        <v>0</v>
      </c>
    </row>
    <row r="1235" spans="1:18">
      <c r="A1235" s="25">
        <f t="shared" si="318"/>
        <v>47468</v>
      </c>
      <c r="B1235">
        <f t="shared" si="304"/>
        <v>2029</v>
      </c>
      <c r="C1235" s="9">
        <f t="shared" si="305"/>
        <v>12</v>
      </c>
      <c r="D1235" s="9" t="str">
        <f t="shared" si="306"/>
        <v>December</v>
      </c>
      <c r="E1235" s="9" t="str">
        <f t="shared" si="307"/>
        <v>Dec-29</v>
      </c>
      <c r="F1235" s="9" t="str">
        <f t="shared" si="308"/>
        <v>Q4</v>
      </c>
      <c r="G1235" s="9">
        <f t="shared" si="309"/>
        <v>16</v>
      </c>
      <c r="H1235" s="9">
        <f t="shared" si="310"/>
        <v>7</v>
      </c>
      <c r="I1235" s="9" t="str">
        <f t="shared" si="311"/>
        <v>Sunday</v>
      </c>
      <c r="J1235" s="9" t="str">
        <f t="shared" si="312"/>
        <v>Yes</v>
      </c>
      <c r="K1235" s="5" t="str">
        <f>IF(COUNTIF(Bank_Holidays!A:A,A1235)&gt;0,"Yes","No")</f>
        <v>No</v>
      </c>
      <c r="L1235" t="str">
        <f t="shared" si="313"/>
        <v>No</v>
      </c>
      <c r="M1235">
        <f t="shared" si="314"/>
        <v>50</v>
      </c>
      <c r="N1235" s="5" t="str">
        <f t="shared" si="315"/>
        <v>No</v>
      </c>
      <c r="O1235" t="str">
        <f>IF(A1235=WORKDAY(EOMONTH(A1235,0)+1,-1,Bank_Holidays!$A$2:$A$25),"Yes","No")</f>
        <v>No</v>
      </c>
      <c r="P1235" t="str">
        <f t="shared" si="316"/>
        <v>No</v>
      </c>
      <c r="Q1235" t="str">
        <f t="shared" si="317"/>
        <v>No</v>
      </c>
      <c r="R1235" s="5">
        <f t="shared" si="319"/>
        <v>0</v>
      </c>
    </row>
    <row r="1236" spans="1:18">
      <c r="A1236" s="25">
        <f t="shared" si="318"/>
        <v>47469</v>
      </c>
      <c r="B1236">
        <f t="shared" si="304"/>
        <v>2029</v>
      </c>
      <c r="C1236" s="9">
        <f t="shared" si="305"/>
        <v>12</v>
      </c>
      <c r="D1236" s="9" t="str">
        <f t="shared" si="306"/>
        <v>December</v>
      </c>
      <c r="E1236" s="9" t="str">
        <f t="shared" si="307"/>
        <v>Dec-29</v>
      </c>
      <c r="F1236" s="9" t="str">
        <f t="shared" si="308"/>
        <v>Q4</v>
      </c>
      <c r="G1236" s="9">
        <f t="shared" si="309"/>
        <v>17</v>
      </c>
      <c r="H1236" s="9">
        <f t="shared" si="310"/>
        <v>1</v>
      </c>
      <c r="I1236" s="9" t="str">
        <f t="shared" si="311"/>
        <v>Monday</v>
      </c>
      <c r="J1236" s="9" t="str">
        <f t="shared" si="312"/>
        <v>No</v>
      </c>
      <c r="K1236" s="5" t="str">
        <f>IF(COUNTIF(Bank_Holidays!A:A,A1236)&gt;0,"Yes","No")</f>
        <v>No</v>
      </c>
      <c r="L1236" t="str">
        <f t="shared" si="313"/>
        <v>Yes</v>
      </c>
      <c r="M1236">
        <f t="shared" si="314"/>
        <v>51</v>
      </c>
      <c r="N1236" s="5" t="str">
        <f t="shared" si="315"/>
        <v>No</v>
      </c>
      <c r="O1236" t="str">
        <f>IF(A1236=WORKDAY(EOMONTH(A1236,0)+1,-1,Bank_Holidays!$A$2:$A$25),"Yes","No")</f>
        <v>No</v>
      </c>
      <c r="P1236" t="str">
        <f t="shared" si="316"/>
        <v>No</v>
      </c>
      <c r="Q1236" t="str">
        <f t="shared" si="317"/>
        <v>No</v>
      </c>
      <c r="R1236" s="5">
        <f t="shared" si="319"/>
        <v>1</v>
      </c>
    </row>
    <row r="1237" spans="1:18">
      <c r="A1237" s="25">
        <f t="shared" si="318"/>
        <v>47470</v>
      </c>
      <c r="B1237">
        <f t="shared" si="304"/>
        <v>2029</v>
      </c>
      <c r="C1237" s="9">
        <f t="shared" si="305"/>
        <v>12</v>
      </c>
      <c r="D1237" s="9" t="str">
        <f t="shared" si="306"/>
        <v>December</v>
      </c>
      <c r="E1237" s="9" t="str">
        <f t="shared" si="307"/>
        <v>Dec-29</v>
      </c>
      <c r="F1237" s="9" t="str">
        <f t="shared" si="308"/>
        <v>Q4</v>
      </c>
      <c r="G1237" s="9">
        <f t="shared" si="309"/>
        <v>18</v>
      </c>
      <c r="H1237" s="9">
        <f t="shared" si="310"/>
        <v>2</v>
      </c>
      <c r="I1237" s="9" t="str">
        <f t="shared" si="311"/>
        <v>Tuesday</v>
      </c>
      <c r="J1237" s="9" t="str">
        <f t="shared" si="312"/>
        <v>No</v>
      </c>
      <c r="K1237" s="5" t="str">
        <f>IF(COUNTIF(Bank_Holidays!A:A,A1237)&gt;0,"Yes","No")</f>
        <v>No</v>
      </c>
      <c r="L1237" t="str">
        <f t="shared" si="313"/>
        <v>Yes</v>
      </c>
      <c r="M1237">
        <f t="shared" si="314"/>
        <v>51</v>
      </c>
      <c r="N1237" s="5" t="str">
        <f t="shared" si="315"/>
        <v>No</v>
      </c>
      <c r="O1237" t="str">
        <f>IF(A1237=WORKDAY(EOMONTH(A1237,0)+1,-1,Bank_Holidays!$A$2:$A$25),"Yes","No")</f>
        <v>No</v>
      </c>
      <c r="P1237" t="str">
        <f t="shared" si="316"/>
        <v>No</v>
      </c>
      <c r="Q1237" t="str">
        <f t="shared" si="317"/>
        <v>No</v>
      </c>
      <c r="R1237" s="5">
        <f t="shared" si="319"/>
        <v>1</v>
      </c>
    </row>
    <row r="1238" spans="1:18">
      <c r="A1238" s="25">
        <f t="shared" si="318"/>
        <v>47471</v>
      </c>
      <c r="B1238">
        <f t="shared" si="304"/>
        <v>2029</v>
      </c>
      <c r="C1238" s="9">
        <f t="shared" si="305"/>
        <v>12</v>
      </c>
      <c r="D1238" s="9" t="str">
        <f t="shared" si="306"/>
        <v>December</v>
      </c>
      <c r="E1238" s="9" t="str">
        <f t="shared" si="307"/>
        <v>Dec-29</v>
      </c>
      <c r="F1238" s="9" t="str">
        <f t="shared" si="308"/>
        <v>Q4</v>
      </c>
      <c r="G1238" s="9">
        <f t="shared" si="309"/>
        <v>19</v>
      </c>
      <c r="H1238" s="9">
        <f t="shared" si="310"/>
        <v>3</v>
      </c>
      <c r="I1238" s="9" t="str">
        <f t="shared" si="311"/>
        <v>Wednesday</v>
      </c>
      <c r="J1238" s="9" t="str">
        <f t="shared" si="312"/>
        <v>No</v>
      </c>
      <c r="K1238" s="5" t="str">
        <f>IF(COUNTIF(Bank_Holidays!A:A,A1238)&gt;0,"Yes","No")</f>
        <v>No</v>
      </c>
      <c r="L1238" t="str">
        <f t="shared" si="313"/>
        <v>Yes</v>
      </c>
      <c r="M1238">
        <f t="shared" si="314"/>
        <v>51</v>
      </c>
      <c r="N1238" s="5" t="str">
        <f t="shared" si="315"/>
        <v>No</v>
      </c>
      <c r="O1238" t="str">
        <f>IF(A1238=WORKDAY(EOMONTH(A1238,0)+1,-1,Bank_Holidays!$A$2:$A$25),"Yes","No")</f>
        <v>No</v>
      </c>
      <c r="P1238" t="str">
        <f t="shared" si="316"/>
        <v>No</v>
      </c>
      <c r="Q1238" t="str">
        <f t="shared" si="317"/>
        <v>No</v>
      </c>
      <c r="R1238" s="5">
        <f t="shared" si="319"/>
        <v>1</v>
      </c>
    </row>
    <row r="1239" spans="1:18">
      <c r="A1239" s="25">
        <f t="shared" si="318"/>
        <v>47472</v>
      </c>
      <c r="B1239">
        <f t="shared" si="304"/>
        <v>2029</v>
      </c>
      <c r="C1239" s="9">
        <f t="shared" si="305"/>
        <v>12</v>
      </c>
      <c r="D1239" s="9" t="str">
        <f t="shared" si="306"/>
        <v>December</v>
      </c>
      <c r="E1239" s="9" t="str">
        <f t="shared" si="307"/>
        <v>Dec-29</v>
      </c>
      <c r="F1239" s="9" t="str">
        <f t="shared" si="308"/>
        <v>Q4</v>
      </c>
      <c r="G1239" s="9">
        <f t="shared" si="309"/>
        <v>20</v>
      </c>
      <c r="H1239" s="9">
        <f t="shared" si="310"/>
        <v>4</v>
      </c>
      <c r="I1239" s="9" t="str">
        <f t="shared" si="311"/>
        <v>Thursday</v>
      </c>
      <c r="J1239" s="9" t="str">
        <f t="shared" si="312"/>
        <v>No</v>
      </c>
      <c r="K1239" s="5" t="str">
        <f>IF(COUNTIF(Bank_Holidays!A:A,A1239)&gt;0,"Yes","No")</f>
        <v>No</v>
      </c>
      <c r="L1239" t="str">
        <f t="shared" si="313"/>
        <v>Yes</v>
      </c>
      <c r="M1239">
        <f t="shared" si="314"/>
        <v>51</v>
      </c>
      <c r="N1239" s="5" t="str">
        <f t="shared" si="315"/>
        <v>No</v>
      </c>
      <c r="O1239" t="str">
        <f>IF(A1239=WORKDAY(EOMONTH(A1239,0)+1,-1,Bank_Holidays!$A$2:$A$25),"Yes","No")</f>
        <v>No</v>
      </c>
      <c r="P1239" t="str">
        <f t="shared" si="316"/>
        <v>No</v>
      </c>
      <c r="Q1239" t="str">
        <f t="shared" si="317"/>
        <v>No</v>
      </c>
      <c r="R1239" s="5">
        <f t="shared" si="319"/>
        <v>1</v>
      </c>
    </row>
    <row r="1240" spans="1:18">
      <c r="A1240" s="25">
        <f t="shared" si="318"/>
        <v>47473</v>
      </c>
      <c r="B1240">
        <f t="shared" si="304"/>
        <v>2029</v>
      </c>
      <c r="C1240" s="9">
        <f t="shared" si="305"/>
        <v>12</v>
      </c>
      <c r="D1240" s="9" t="str">
        <f t="shared" si="306"/>
        <v>December</v>
      </c>
      <c r="E1240" s="9" t="str">
        <f t="shared" si="307"/>
        <v>Dec-29</v>
      </c>
      <c r="F1240" s="9" t="str">
        <f t="shared" si="308"/>
        <v>Q4</v>
      </c>
      <c r="G1240" s="9">
        <f t="shared" si="309"/>
        <v>21</v>
      </c>
      <c r="H1240" s="9">
        <f t="shared" si="310"/>
        <v>5</v>
      </c>
      <c r="I1240" s="9" t="str">
        <f t="shared" si="311"/>
        <v>Friday</v>
      </c>
      <c r="J1240" s="9" t="str">
        <f t="shared" si="312"/>
        <v>No</v>
      </c>
      <c r="K1240" s="5" t="str">
        <f>IF(COUNTIF(Bank_Holidays!A:A,A1240)&gt;0,"Yes","No")</f>
        <v>No</v>
      </c>
      <c r="L1240" t="str">
        <f t="shared" si="313"/>
        <v>Yes</v>
      </c>
      <c r="M1240">
        <f t="shared" si="314"/>
        <v>51</v>
      </c>
      <c r="N1240" s="5" t="str">
        <f t="shared" si="315"/>
        <v>No</v>
      </c>
      <c r="O1240" t="str">
        <f>IF(A1240=WORKDAY(EOMONTH(A1240,0)+1,-1,Bank_Holidays!$A$2:$A$25),"Yes","No")</f>
        <v>No</v>
      </c>
      <c r="P1240" t="str">
        <f t="shared" si="316"/>
        <v>No</v>
      </c>
      <c r="Q1240" t="str">
        <f t="shared" si="317"/>
        <v>No</v>
      </c>
      <c r="R1240" s="5">
        <f t="shared" si="319"/>
        <v>3</v>
      </c>
    </row>
    <row r="1241" spans="1:18">
      <c r="A1241" s="25">
        <f t="shared" si="318"/>
        <v>47474</v>
      </c>
      <c r="B1241">
        <f t="shared" si="304"/>
        <v>2029</v>
      </c>
      <c r="C1241" s="9">
        <f t="shared" si="305"/>
        <v>12</v>
      </c>
      <c r="D1241" s="9" t="str">
        <f t="shared" si="306"/>
        <v>December</v>
      </c>
      <c r="E1241" s="9" t="str">
        <f t="shared" si="307"/>
        <v>Dec-29</v>
      </c>
      <c r="F1241" s="9" t="str">
        <f t="shared" si="308"/>
        <v>Q4</v>
      </c>
      <c r="G1241" s="9">
        <f t="shared" si="309"/>
        <v>22</v>
      </c>
      <c r="H1241" s="9">
        <f t="shared" si="310"/>
        <v>6</v>
      </c>
      <c r="I1241" s="9" t="str">
        <f t="shared" si="311"/>
        <v>Saturday</v>
      </c>
      <c r="J1241" s="9" t="str">
        <f t="shared" si="312"/>
        <v>Yes</v>
      </c>
      <c r="K1241" s="5" t="str">
        <f>IF(COUNTIF(Bank_Holidays!A:A,A1241)&gt;0,"Yes","No")</f>
        <v>No</v>
      </c>
      <c r="L1241" t="str">
        <f t="shared" si="313"/>
        <v>No</v>
      </c>
      <c r="M1241">
        <f t="shared" si="314"/>
        <v>51</v>
      </c>
      <c r="N1241" s="5" t="str">
        <f t="shared" si="315"/>
        <v>No</v>
      </c>
      <c r="O1241" t="str">
        <f>IF(A1241=WORKDAY(EOMONTH(A1241,0)+1,-1,Bank_Holidays!$A$2:$A$25),"Yes","No")</f>
        <v>No</v>
      </c>
      <c r="P1241" t="str">
        <f t="shared" si="316"/>
        <v>No</v>
      </c>
      <c r="Q1241" t="str">
        <f t="shared" si="317"/>
        <v>No</v>
      </c>
      <c r="R1241" s="5">
        <f t="shared" si="319"/>
        <v>0</v>
      </c>
    </row>
    <row r="1242" spans="1:18">
      <c r="A1242" s="25">
        <f t="shared" si="318"/>
        <v>47475</v>
      </c>
      <c r="B1242">
        <f t="shared" si="304"/>
        <v>2029</v>
      </c>
      <c r="C1242" s="9">
        <f t="shared" si="305"/>
        <v>12</v>
      </c>
      <c r="D1242" s="9" t="str">
        <f t="shared" si="306"/>
        <v>December</v>
      </c>
      <c r="E1242" s="9" t="str">
        <f t="shared" si="307"/>
        <v>Dec-29</v>
      </c>
      <c r="F1242" s="9" t="str">
        <f t="shared" si="308"/>
        <v>Q4</v>
      </c>
      <c r="G1242" s="9">
        <f t="shared" si="309"/>
        <v>23</v>
      </c>
      <c r="H1242" s="9">
        <f t="shared" si="310"/>
        <v>7</v>
      </c>
      <c r="I1242" s="9" t="str">
        <f t="shared" si="311"/>
        <v>Sunday</v>
      </c>
      <c r="J1242" s="9" t="str">
        <f t="shared" si="312"/>
        <v>Yes</v>
      </c>
      <c r="K1242" s="5" t="str">
        <f>IF(COUNTIF(Bank_Holidays!A:A,A1242)&gt;0,"Yes","No")</f>
        <v>No</v>
      </c>
      <c r="L1242" t="str">
        <f t="shared" si="313"/>
        <v>No</v>
      </c>
      <c r="M1242">
        <f t="shared" si="314"/>
        <v>51</v>
      </c>
      <c r="N1242" s="5" t="str">
        <f t="shared" si="315"/>
        <v>No</v>
      </c>
      <c r="O1242" t="str">
        <f>IF(A1242=WORKDAY(EOMONTH(A1242,0)+1,-1,Bank_Holidays!$A$2:$A$25),"Yes","No")</f>
        <v>No</v>
      </c>
      <c r="P1242" t="str">
        <f t="shared" si="316"/>
        <v>No</v>
      </c>
      <c r="Q1242" t="str">
        <f t="shared" si="317"/>
        <v>No</v>
      </c>
      <c r="R1242" s="5">
        <f t="shared" si="319"/>
        <v>0</v>
      </c>
    </row>
    <row r="1243" spans="1:18">
      <c r="A1243" s="25">
        <f t="shared" si="318"/>
        <v>47476</v>
      </c>
      <c r="B1243">
        <f t="shared" si="304"/>
        <v>2029</v>
      </c>
      <c r="C1243" s="9">
        <f t="shared" si="305"/>
        <v>12</v>
      </c>
      <c r="D1243" s="9" t="str">
        <f t="shared" si="306"/>
        <v>December</v>
      </c>
      <c r="E1243" s="9" t="str">
        <f t="shared" si="307"/>
        <v>Dec-29</v>
      </c>
      <c r="F1243" s="9" t="str">
        <f t="shared" si="308"/>
        <v>Q4</v>
      </c>
      <c r="G1243" s="9">
        <f t="shared" si="309"/>
        <v>24</v>
      </c>
      <c r="H1243" s="9">
        <f t="shared" si="310"/>
        <v>1</v>
      </c>
      <c r="I1243" s="9" t="str">
        <f t="shared" si="311"/>
        <v>Monday</v>
      </c>
      <c r="J1243" s="9" t="str">
        <f t="shared" si="312"/>
        <v>No</v>
      </c>
      <c r="K1243" s="5" t="str">
        <f>IF(COUNTIF(Bank_Holidays!A:A,A1243)&gt;0,"Yes","No")</f>
        <v>No</v>
      </c>
      <c r="L1243" t="str">
        <f t="shared" si="313"/>
        <v>Yes</v>
      </c>
      <c r="M1243">
        <f t="shared" si="314"/>
        <v>52</v>
      </c>
      <c r="N1243" s="5" t="str">
        <f t="shared" si="315"/>
        <v>No</v>
      </c>
      <c r="O1243" t="str">
        <f>IF(A1243=WORKDAY(EOMONTH(A1243,0)+1,-1,Bank_Holidays!$A$2:$A$25),"Yes","No")</f>
        <v>No</v>
      </c>
      <c r="P1243" t="str">
        <f t="shared" si="316"/>
        <v>No</v>
      </c>
      <c r="Q1243" t="str">
        <f t="shared" si="317"/>
        <v>No</v>
      </c>
      <c r="R1243" s="5">
        <f t="shared" si="319"/>
        <v>1</v>
      </c>
    </row>
    <row r="1244" spans="1:18">
      <c r="A1244" s="25">
        <f t="shared" si="318"/>
        <v>47477</v>
      </c>
      <c r="B1244">
        <f t="shared" si="304"/>
        <v>2029</v>
      </c>
      <c r="C1244" s="9">
        <f t="shared" si="305"/>
        <v>12</v>
      </c>
      <c r="D1244" s="9" t="str">
        <f t="shared" si="306"/>
        <v>December</v>
      </c>
      <c r="E1244" s="9" t="str">
        <f t="shared" si="307"/>
        <v>Dec-29</v>
      </c>
      <c r="F1244" s="9" t="str">
        <f t="shared" si="308"/>
        <v>Q4</v>
      </c>
      <c r="G1244" s="9">
        <f t="shared" si="309"/>
        <v>25</v>
      </c>
      <c r="H1244" s="9">
        <f t="shared" si="310"/>
        <v>2</v>
      </c>
      <c r="I1244" s="9" t="str">
        <f t="shared" si="311"/>
        <v>Tuesday</v>
      </c>
      <c r="J1244" s="9" t="str">
        <f t="shared" si="312"/>
        <v>No</v>
      </c>
      <c r="K1244" s="5" t="str">
        <f>IF(COUNTIF(Bank_Holidays!A:A,A1244)&gt;0,"Yes","No")</f>
        <v>No</v>
      </c>
      <c r="L1244" t="str">
        <f t="shared" si="313"/>
        <v>Yes</v>
      </c>
      <c r="M1244">
        <f t="shared" si="314"/>
        <v>52</v>
      </c>
      <c r="N1244" s="5" t="str">
        <f t="shared" si="315"/>
        <v>No</v>
      </c>
      <c r="O1244" t="str">
        <f>IF(A1244=WORKDAY(EOMONTH(A1244,0)+1,-1,Bank_Holidays!$A$2:$A$25),"Yes","No")</f>
        <v>No</v>
      </c>
      <c r="P1244" t="str">
        <f t="shared" si="316"/>
        <v>No</v>
      </c>
      <c r="Q1244" t="str">
        <f t="shared" si="317"/>
        <v>No</v>
      </c>
      <c r="R1244" s="5">
        <f t="shared" si="319"/>
        <v>1</v>
      </c>
    </row>
    <row r="1245" spans="1:18">
      <c r="A1245" s="25">
        <f t="shared" si="318"/>
        <v>47478</v>
      </c>
      <c r="B1245">
        <f t="shared" si="304"/>
        <v>2029</v>
      </c>
      <c r="C1245" s="9">
        <f t="shared" si="305"/>
        <v>12</v>
      </c>
      <c r="D1245" s="9" t="str">
        <f t="shared" si="306"/>
        <v>December</v>
      </c>
      <c r="E1245" s="9" t="str">
        <f t="shared" si="307"/>
        <v>Dec-29</v>
      </c>
      <c r="F1245" s="9" t="str">
        <f t="shared" si="308"/>
        <v>Q4</v>
      </c>
      <c r="G1245" s="9">
        <f t="shared" si="309"/>
        <v>26</v>
      </c>
      <c r="H1245" s="9">
        <f t="shared" si="310"/>
        <v>3</v>
      </c>
      <c r="I1245" s="9" t="str">
        <f t="shared" si="311"/>
        <v>Wednesday</v>
      </c>
      <c r="J1245" s="9" t="str">
        <f t="shared" si="312"/>
        <v>No</v>
      </c>
      <c r="K1245" s="5" t="str">
        <f>IF(COUNTIF(Bank_Holidays!A:A,A1245)&gt;0,"Yes","No")</f>
        <v>No</v>
      </c>
      <c r="L1245" t="str">
        <f t="shared" si="313"/>
        <v>Yes</v>
      </c>
      <c r="M1245">
        <f t="shared" si="314"/>
        <v>52</v>
      </c>
      <c r="N1245" s="5" t="str">
        <f t="shared" si="315"/>
        <v>No</v>
      </c>
      <c r="O1245" t="str">
        <f>IF(A1245=WORKDAY(EOMONTH(A1245,0)+1,-1,Bank_Holidays!$A$2:$A$25),"Yes","No")</f>
        <v>No</v>
      </c>
      <c r="P1245" t="str">
        <f t="shared" si="316"/>
        <v>No</v>
      </c>
      <c r="Q1245" t="str">
        <f t="shared" si="317"/>
        <v>No</v>
      </c>
      <c r="R1245" s="5">
        <f t="shared" si="319"/>
        <v>1</v>
      </c>
    </row>
    <row r="1246" spans="1:18">
      <c r="A1246" s="25">
        <f t="shared" si="318"/>
        <v>47479</v>
      </c>
      <c r="B1246">
        <f t="shared" si="304"/>
        <v>2029</v>
      </c>
      <c r="C1246" s="9">
        <f t="shared" si="305"/>
        <v>12</v>
      </c>
      <c r="D1246" s="9" t="str">
        <f t="shared" si="306"/>
        <v>December</v>
      </c>
      <c r="E1246" s="9" t="str">
        <f t="shared" si="307"/>
        <v>Dec-29</v>
      </c>
      <c r="F1246" s="9" t="str">
        <f t="shared" si="308"/>
        <v>Q4</v>
      </c>
      <c r="G1246" s="9">
        <f t="shared" si="309"/>
        <v>27</v>
      </c>
      <c r="H1246" s="9">
        <f t="shared" si="310"/>
        <v>4</v>
      </c>
      <c r="I1246" s="9" t="str">
        <f t="shared" si="311"/>
        <v>Thursday</v>
      </c>
      <c r="J1246" s="9" t="str">
        <f t="shared" si="312"/>
        <v>No</v>
      </c>
      <c r="K1246" s="5" t="str">
        <f>IF(COUNTIF(Bank_Holidays!A:A,A1246)&gt;0,"Yes","No")</f>
        <v>No</v>
      </c>
      <c r="L1246" t="str">
        <f t="shared" si="313"/>
        <v>Yes</v>
      </c>
      <c r="M1246">
        <f t="shared" si="314"/>
        <v>52</v>
      </c>
      <c r="N1246" s="5" t="str">
        <f t="shared" si="315"/>
        <v>No</v>
      </c>
      <c r="O1246" t="str">
        <f>IF(A1246=WORKDAY(EOMONTH(A1246,0)+1,-1,Bank_Holidays!$A$2:$A$25),"Yes","No")</f>
        <v>No</v>
      </c>
      <c r="P1246" t="str">
        <f t="shared" si="316"/>
        <v>No</v>
      </c>
      <c r="Q1246" t="str">
        <f t="shared" si="317"/>
        <v>Yes</v>
      </c>
      <c r="R1246" s="5">
        <f t="shared" si="319"/>
        <v>1</v>
      </c>
    </row>
    <row r="1247" spans="1:18">
      <c r="A1247" s="25">
        <f t="shared" si="318"/>
        <v>47480</v>
      </c>
      <c r="B1247">
        <f t="shared" si="304"/>
        <v>2029</v>
      </c>
      <c r="C1247" s="9">
        <f t="shared" si="305"/>
        <v>12</v>
      </c>
      <c r="D1247" s="9" t="str">
        <f t="shared" si="306"/>
        <v>December</v>
      </c>
      <c r="E1247" s="9" t="str">
        <f t="shared" si="307"/>
        <v>Dec-29</v>
      </c>
      <c r="F1247" s="9" t="str">
        <f t="shared" si="308"/>
        <v>Q4</v>
      </c>
      <c r="G1247" s="9">
        <f t="shared" si="309"/>
        <v>28</v>
      </c>
      <c r="H1247" s="9">
        <f t="shared" si="310"/>
        <v>5</v>
      </c>
      <c r="I1247" s="9" t="str">
        <f t="shared" si="311"/>
        <v>Friday</v>
      </c>
      <c r="J1247" s="9" t="str">
        <f t="shared" si="312"/>
        <v>No</v>
      </c>
      <c r="K1247" s="5" t="str">
        <f>IF(COUNTIF(Bank_Holidays!A:A,A1247)&gt;0,"Yes","No")</f>
        <v>No</v>
      </c>
      <c r="L1247" t="str">
        <f t="shared" si="313"/>
        <v>Yes</v>
      </c>
      <c r="M1247">
        <f t="shared" si="314"/>
        <v>52</v>
      </c>
      <c r="N1247" s="5" t="str">
        <f t="shared" si="315"/>
        <v>No</v>
      </c>
      <c r="O1247" t="str">
        <f>IF(A1247=WORKDAY(EOMONTH(A1247,0)+1,-1,Bank_Holidays!$A$2:$A$25),"Yes","No")</f>
        <v>No</v>
      </c>
      <c r="P1247" t="str">
        <f t="shared" si="316"/>
        <v>Yes</v>
      </c>
      <c r="Q1247" t="str">
        <f t="shared" si="317"/>
        <v>No</v>
      </c>
      <c r="R1247" s="5">
        <f t="shared" si="319"/>
        <v>3</v>
      </c>
    </row>
    <row r="1248" spans="1:18">
      <c r="A1248" s="25">
        <f t="shared" si="318"/>
        <v>47481</v>
      </c>
      <c r="B1248">
        <f t="shared" si="304"/>
        <v>2029</v>
      </c>
      <c r="C1248" s="9">
        <f t="shared" si="305"/>
        <v>12</v>
      </c>
      <c r="D1248" s="9" t="str">
        <f t="shared" si="306"/>
        <v>December</v>
      </c>
      <c r="E1248" s="9" t="str">
        <f t="shared" si="307"/>
        <v>Dec-29</v>
      </c>
      <c r="F1248" s="9" t="str">
        <f t="shared" si="308"/>
        <v>Q4</v>
      </c>
      <c r="G1248" s="9">
        <f t="shared" si="309"/>
        <v>29</v>
      </c>
      <c r="H1248" s="9">
        <f t="shared" si="310"/>
        <v>6</v>
      </c>
      <c r="I1248" s="9" t="str">
        <f t="shared" si="311"/>
        <v>Saturday</v>
      </c>
      <c r="J1248" s="9" t="str">
        <f t="shared" si="312"/>
        <v>Yes</v>
      </c>
      <c r="K1248" s="5" t="str">
        <f>IF(COUNTIF(Bank_Holidays!A:A,A1248)&gt;0,"Yes","No")</f>
        <v>No</v>
      </c>
      <c r="L1248" t="str">
        <f t="shared" si="313"/>
        <v>No</v>
      </c>
      <c r="M1248">
        <f t="shared" si="314"/>
        <v>52</v>
      </c>
      <c r="N1248" s="5" t="str">
        <f t="shared" si="315"/>
        <v>No</v>
      </c>
      <c r="O1248" t="str">
        <f>IF(A1248=WORKDAY(EOMONTH(A1248,0)+1,-1,Bank_Holidays!$A$2:$A$25),"Yes","No")</f>
        <v>No</v>
      </c>
      <c r="P1248" t="str">
        <f t="shared" si="316"/>
        <v>No</v>
      </c>
      <c r="Q1248" t="str">
        <f t="shared" si="317"/>
        <v>No</v>
      </c>
      <c r="R1248" s="5">
        <f t="shared" si="319"/>
        <v>0</v>
      </c>
    </row>
    <row r="1249" spans="1:18">
      <c r="A1249" s="25">
        <f t="shared" si="318"/>
        <v>47482</v>
      </c>
      <c r="B1249">
        <f t="shared" si="304"/>
        <v>2029</v>
      </c>
      <c r="C1249" s="9">
        <f t="shared" si="305"/>
        <v>12</v>
      </c>
      <c r="D1249" s="9" t="str">
        <f t="shared" si="306"/>
        <v>December</v>
      </c>
      <c r="E1249" s="9" t="str">
        <f t="shared" si="307"/>
        <v>Dec-29</v>
      </c>
      <c r="F1249" s="9" t="str">
        <f t="shared" si="308"/>
        <v>Q4</v>
      </c>
      <c r="G1249" s="9">
        <f t="shared" si="309"/>
        <v>30</v>
      </c>
      <c r="H1249" s="9">
        <f t="shared" si="310"/>
        <v>7</v>
      </c>
      <c r="I1249" s="9" t="str">
        <f t="shared" si="311"/>
        <v>Sunday</v>
      </c>
      <c r="J1249" s="9" t="str">
        <f t="shared" si="312"/>
        <v>Yes</v>
      </c>
      <c r="K1249" s="5" t="str">
        <f>IF(COUNTIF(Bank_Holidays!A:A,A1249)&gt;0,"Yes","No")</f>
        <v>No</v>
      </c>
      <c r="L1249" t="str">
        <f t="shared" si="313"/>
        <v>No</v>
      </c>
      <c r="M1249">
        <f t="shared" si="314"/>
        <v>52</v>
      </c>
      <c r="N1249" s="5" t="str">
        <f t="shared" si="315"/>
        <v>No</v>
      </c>
      <c r="O1249" t="str">
        <f>IF(A1249=WORKDAY(EOMONTH(A1249,0)+1,-1,Bank_Holidays!$A$2:$A$25),"Yes","No")</f>
        <v>No</v>
      </c>
      <c r="P1249" t="str">
        <f t="shared" si="316"/>
        <v>No</v>
      </c>
      <c r="Q1249" t="str">
        <f t="shared" si="317"/>
        <v>No</v>
      </c>
      <c r="R1249" s="5">
        <f t="shared" si="319"/>
        <v>0</v>
      </c>
    </row>
    <row r="1250" spans="1:18">
      <c r="A1250" s="25">
        <f t="shared" si="318"/>
        <v>47483</v>
      </c>
      <c r="B1250">
        <f t="shared" si="304"/>
        <v>2029</v>
      </c>
      <c r="C1250" s="9">
        <f t="shared" si="305"/>
        <v>12</v>
      </c>
      <c r="D1250" s="9" t="str">
        <f t="shared" si="306"/>
        <v>December</v>
      </c>
      <c r="E1250" s="9" t="str">
        <f t="shared" si="307"/>
        <v>Dec-29</v>
      </c>
      <c r="F1250" s="9" t="str">
        <f t="shared" si="308"/>
        <v>Q4</v>
      </c>
      <c r="G1250" s="9">
        <f t="shared" si="309"/>
        <v>31</v>
      </c>
      <c r="H1250" s="9">
        <f t="shared" si="310"/>
        <v>1</v>
      </c>
      <c r="I1250" s="9" t="str">
        <f t="shared" si="311"/>
        <v>Monday</v>
      </c>
      <c r="J1250" s="9" t="str">
        <f t="shared" si="312"/>
        <v>No</v>
      </c>
      <c r="K1250" s="5" t="str">
        <f>IF(COUNTIF(Bank_Holidays!A:A,A1250)&gt;0,"Yes","No")</f>
        <v>No</v>
      </c>
      <c r="L1250" t="str">
        <f t="shared" si="313"/>
        <v>Yes</v>
      </c>
      <c r="M1250">
        <f t="shared" si="314"/>
        <v>1</v>
      </c>
      <c r="N1250" s="5" t="str">
        <f t="shared" si="315"/>
        <v>Yes</v>
      </c>
      <c r="O1250" t="str">
        <f>IF(A1250=WORKDAY(EOMONTH(A1250,0)+1,-1,Bank_Holidays!$A$2:$A$25),"Yes","No")</f>
        <v>Yes</v>
      </c>
      <c r="P1250" t="str">
        <f t="shared" si="316"/>
        <v>No</v>
      </c>
      <c r="Q1250" t="str">
        <f t="shared" si="317"/>
        <v>No</v>
      </c>
      <c r="R1250" s="5">
        <f t="shared" si="319"/>
        <v>1</v>
      </c>
    </row>
    <row r="1251" spans="1:18">
      <c r="A1251" s="25">
        <f t="shared" si="318"/>
        <v>47484</v>
      </c>
      <c r="B1251">
        <f t="shared" si="304"/>
        <v>2030</v>
      </c>
      <c r="C1251" s="9">
        <f t="shared" si="305"/>
        <v>1</v>
      </c>
      <c r="D1251" s="9" t="str">
        <f t="shared" si="306"/>
        <v>January</v>
      </c>
      <c r="E1251" s="9" t="str">
        <f t="shared" si="307"/>
        <v>Jan-30</v>
      </c>
      <c r="F1251" s="9" t="str">
        <f t="shared" si="308"/>
        <v>Q1</v>
      </c>
      <c r="G1251" s="9">
        <f t="shared" si="309"/>
        <v>1</v>
      </c>
      <c r="H1251" s="9">
        <f t="shared" si="310"/>
        <v>2</v>
      </c>
      <c r="I1251" s="9" t="str">
        <f t="shared" si="311"/>
        <v>Tuesday</v>
      </c>
      <c r="J1251" s="9" t="str">
        <f t="shared" si="312"/>
        <v>No</v>
      </c>
      <c r="K1251" s="5" t="str">
        <f>IF(COUNTIF(Bank_Holidays!A:A,A1251)&gt;0,"Yes","No")</f>
        <v>No</v>
      </c>
      <c r="L1251" t="str">
        <f t="shared" si="313"/>
        <v>Yes</v>
      </c>
      <c r="M1251">
        <f t="shared" si="314"/>
        <v>1</v>
      </c>
      <c r="N1251" s="5" t="str">
        <f t="shared" si="315"/>
        <v>No</v>
      </c>
      <c r="O1251" t="str">
        <f>IF(A1251=WORKDAY(EOMONTH(A1251,0)+1,-1,Bank_Holidays!$A$2:$A$25),"Yes","No")</f>
        <v>No</v>
      </c>
      <c r="P1251" t="str">
        <f t="shared" si="316"/>
        <v>No</v>
      </c>
      <c r="Q1251" t="str">
        <f t="shared" si="317"/>
        <v>No</v>
      </c>
      <c r="R1251" s="5">
        <f t="shared" si="319"/>
        <v>1</v>
      </c>
    </row>
    <row r="1252" spans="1:18">
      <c r="A1252" s="25">
        <f t="shared" si="318"/>
        <v>47485</v>
      </c>
      <c r="B1252">
        <f t="shared" si="304"/>
        <v>2030</v>
      </c>
      <c r="C1252" s="9">
        <f t="shared" si="305"/>
        <v>1</v>
      </c>
      <c r="D1252" s="9" t="str">
        <f t="shared" si="306"/>
        <v>January</v>
      </c>
      <c r="E1252" s="9" t="str">
        <f t="shared" si="307"/>
        <v>Jan-30</v>
      </c>
      <c r="F1252" s="9" t="str">
        <f t="shared" si="308"/>
        <v>Q1</v>
      </c>
      <c r="G1252" s="9">
        <f t="shared" si="309"/>
        <v>2</v>
      </c>
      <c r="H1252" s="9">
        <f t="shared" si="310"/>
        <v>3</v>
      </c>
      <c r="I1252" s="9" t="str">
        <f t="shared" si="311"/>
        <v>Wednesday</v>
      </c>
      <c r="J1252" s="9" t="str">
        <f t="shared" si="312"/>
        <v>No</v>
      </c>
      <c r="K1252" s="5" t="str">
        <f>IF(COUNTIF(Bank_Holidays!A:A,A1252)&gt;0,"Yes","No")</f>
        <v>No</v>
      </c>
      <c r="L1252" t="str">
        <f t="shared" si="313"/>
        <v>Yes</v>
      </c>
      <c r="M1252">
        <f t="shared" si="314"/>
        <v>1</v>
      </c>
      <c r="N1252" s="5" t="str">
        <f t="shared" si="315"/>
        <v>No</v>
      </c>
      <c r="O1252" t="str">
        <f>IF(A1252=WORKDAY(EOMONTH(A1252,0)+1,-1,Bank_Holidays!$A$2:$A$25),"Yes","No")</f>
        <v>No</v>
      </c>
      <c r="P1252" t="str">
        <f t="shared" si="316"/>
        <v>No</v>
      </c>
      <c r="Q1252" t="str">
        <f t="shared" si="317"/>
        <v>No</v>
      </c>
      <c r="R1252" s="5">
        <f t="shared" si="319"/>
        <v>1</v>
      </c>
    </row>
    <row r="1253" spans="1:18">
      <c r="A1253" s="25">
        <f t="shared" si="318"/>
        <v>47486</v>
      </c>
      <c r="B1253">
        <f t="shared" si="304"/>
        <v>2030</v>
      </c>
      <c r="C1253" s="9">
        <f t="shared" si="305"/>
        <v>1</v>
      </c>
      <c r="D1253" s="9" t="str">
        <f t="shared" si="306"/>
        <v>January</v>
      </c>
      <c r="E1253" s="9" t="str">
        <f t="shared" si="307"/>
        <v>Jan-30</v>
      </c>
      <c r="F1253" s="9" t="str">
        <f t="shared" si="308"/>
        <v>Q1</v>
      </c>
      <c r="G1253" s="9">
        <f t="shared" si="309"/>
        <v>3</v>
      </c>
      <c r="H1253" s="9">
        <f t="shared" si="310"/>
        <v>4</v>
      </c>
      <c r="I1253" s="9" t="str">
        <f t="shared" si="311"/>
        <v>Thursday</v>
      </c>
      <c r="J1253" s="9" t="str">
        <f t="shared" si="312"/>
        <v>No</v>
      </c>
      <c r="K1253" s="5" t="str">
        <f>IF(COUNTIF(Bank_Holidays!A:A,A1253)&gt;0,"Yes","No")</f>
        <v>No</v>
      </c>
      <c r="L1253" t="str">
        <f t="shared" si="313"/>
        <v>Yes</v>
      </c>
      <c r="M1253">
        <f t="shared" si="314"/>
        <v>1</v>
      </c>
      <c r="N1253" s="5" t="str">
        <f t="shared" si="315"/>
        <v>No</v>
      </c>
      <c r="O1253" t="str">
        <f>IF(A1253=WORKDAY(EOMONTH(A1253,0)+1,-1,Bank_Holidays!$A$2:$A$25),"Yes","No")</f>
        <v>No</v>
      </c>
      <c r="P1253" t="str">
        <f t="shared" si="316"/>
        <v>No</v>
      </c>
      <c r="Q1253" t="str">
        <f t="shared" si="317"/>
        <v>No</v>
      </c>
      <c r="R1253" s="5">
        <f t="shared" si="319"/>
        <v>1</v>
      </c>
    </row>
    <row r="1254" spans="1:18">
      <c r="A1254" s="25">
        <f t="shared" si="318"/>
        <v>47487</v>
      </c>
      <c r="B1254">
        <f t="shared" si="304"/>
        <v>2030</v>
      </c>
      <c r="C1254" s="9">
        <f t="shared" si="305"/>
        <v>1</v>
      </c>
      <c r="D1254" s="9" t="str">
        <f t="shared" si="306"/>
        <v>January</v>
      </c>
      <c r="E1254" s="9" t="str">
        <f t="shared" si="307"/>
        <v>Jan-30</v>
      </c>
      <c r="F1254" s="9" t="str">
        <f t="shared" si="308"/>
        <v>Q1</v>
      </c>
      <c r="G1254" s="9">
        <f t="shared" si="309"/>
        <v>4</v>
      </c>
      <c r="H1254" s="9">
        <f t="shared" si="310"/>
        <v>5</v>
      </c>
      <c r="I1254" s="9" t="str">
        <f t="shared" si="311"/>
        <v>Friday</v>
      </c>
      <c r="J1254" s="9" t="str">
        <f t="shared" si="312"/>
        <v>No</v>
      </c>
      <c r="K1254" s="5" t="str">
        <f>IF(COUNTIF(Bank_Holidays!A:A,A1254)&gt;0,"Yes","No")</f>
        <v>No</v>
      </c>
      <c r="L1254" t="str">
        <f t="shared" si="313"/>
        <v>Yes</v>
      </c>
      <c r="M1254">
        <f t="shared" si="314"/>
        <v>1</v>
      </c>
      <c r="N1254" s="5" t="str">
        <f t="shared" si="315"/>
        <v>No</v>
      </c>
      <c r="O1254" t="str">
        <f>IF(A1254=WORKDAY(EOMONTH(A1254,0)+1,-1,Bank_Holidays!$A$2:$A$25),"Yes","No")</f>
        <v>No</v>
      </c>
      <c r="P1254" t="str">
        <f t="shared" si="316"/>
        <v>No</v>
      </c>
      <c r="Q1254" t="str">
        <f t="shared" si="317"/>
        <v>No</v>
      </c>
      <c r="R1254" s="5">
        <f t="shared" si="319"/>
        <v>3</v>
      </c>
    </row>
    <row r="1255" spans="1:18">
      <c r="A1255" s="25">
        <f t="shared" si="318"/>
        <v>47488</v>
      </c>
      <c r="B1255">
        <f t="shared" si="304"/>
        <v>2030</v>
      </c>
      <c r="C1255" s="9">
        <f t="shared" si="305"/>
        <v>1</v>
      </c>
      <c r="D1255" s="9" t="str">
        <f t="shared" si="306"/>
        <v>January</v>
      </c>
      <c r="E1255" s="9" t="str">
        <f t="shared" si="307"/>
        <v>Jan-30</v>
      </c>
      <c r="F1255" s="9" t="str">
        <f t="shared" si="308"/>
        <v>Q1</v>
      </c>
      <c r="G1255" s="9">
        <f t="shared" si="309"/>
        <v>5</v>
      </c>
      <c r="H1255" s="9">
        <f t="shared" si="310"/>
        <v>6</v>
      </c>
      <c r="I1255" s="9" t="str">
        <f t="shared" si="311"/>
        <v>Saturday</v>
      </c>
      <c r="J1255" s="9" t="str">
        <f t="shared" si="312"/>
        <v>Yes</v>
      </c>
      <c r="K1255" s="5" t="str">
        <f>IF(COUNTIF(Bank_Holidays!A:A,A1255)&gt;0,"Yes","No")</f>
        <v>No</v>
      </c>
      <c r="L1255" t="str">
        <f t="shared" si="313"/>
        <v>No</v>
      </c>
      <c r="M1255">
        <f t="shared" si="314"/>
        <v>1</v>
      </c>
      <c r="N1255" s="5" t="str">
        <f t="shared" si="315"/>
        <v>No</v>
      </c>
      <c r="O1255" t="str">
        <f>IF(A1255=WORKDAY(EOMONTH(A1255,0)+1,-1,Bank_Holidays!$A$2:$A$25),"Yes","No")</f>
        <v>No</v>
      </c>
      <c r="P1255" t="str">
        <f t="shared" si="316"/>
        <v>No</v>
      </c>
      <c r="Q1255" t="str">
        <f t="shared" si="317"/>
        <v>No</v>
      </c>
      <c r="R1255" s="5">
        <f t="shared" si="319"/>
        <v>0</v>
      </c>
    </row>
    <row r="1256" spans="1:18">
      <c r="A1256" s="25">
        <f t="shared" si="318"/>
        <v>47489</v>
      </c>
      <c r="B1256">
        <f t="shared" si="304"/>
        <v>2030</v>
      </c>
      <c r="C1256" s="9">
        <f t="shared" si="305"/>
        <v>1</v>
      </c>
      <c r="D1256" s="9" t="str">
        <f t="shared" si="306"/>
        <v>January</v>
      </c>
      <c r="E1256" s="9" t="str">
        <f t="shared" si="307"/>
        <v>Jan-30</v>
      </c>
      <c r="F1256" s="9" t="str">
        <f t="shared" si="308"/>
        <v>Q1</v>
      </c>
      <c r="G1256" s="9">
        <f t="shared" si="309"/>
        <v>6</v>
      </c>
      <c r="H1256" s="9">
        <f t="shared" si="310"/>
        <v>7</v>
      </c>
      <c r="I1256" s="9" t="str">
        <f t="shared" si="311"/>
        <v>Sunday</v>
      </c>
      <c r="J1256" s="9" t="str">
        <f t="shared" si="312"/>
        <v>Yes</v>
      </c>
      <c r="K1256" s="5" t="str">
        <f>IF(COUNTIF(Bank_Holidays!A:A,A1256)&gt;0,"Yes","No")</f>
        <v>No</v>
      </c>
      <c r="L1256" t="str">
        <f t="shared" si="313"/>
        <v>No</v>
      </c>
      <c r="M1256">
        <f t="shared" si="314"/>
        <v>1</v>
      </c>
      <c r="N1256" s="5" t="str">
        <f t="shared" si="315"/>
        <v>No</v>
      </c>
      <c r="O1256" t="str">
        <f>IF(A1256=WORKDAY(EOMONTH(A1256,0)+1,-1,Bank_Holidays!$A$2:$A$25),"Yes","No")</f>
        <v>No</v>
      </c>
      <c r="P1256" t="str">
        <f t="shared" si="316"/>
        <v>No</v>
      </c>
      <c r="Q1256" t="str">
        <f t="shared" si="317"/>
        <v>No</v>
      </c>
      <c r="R1256" s="5">
        <f t="shared" si="319"/>
        <v>0</v>
      </c>
    </row>
    <row r="1257" spans="1:18">
      <c r="A1257" s="25">
        <f t="shared" si="318"/>
        <v>47490</v>
      </c>
      <c r="B1257">
        <f t="shared" si="304"/>
        <v>2030</v>
      </c>
      <c r="C1257" s="9">
        <f t="shared" si="305"/>
        <v>1</v>
      </c>
      <c r="D1257" s="9" t="str">
        <f t="shared" si="306"/>
        <v>January</v>
      </c>
      <c r="E1257" s="9" t="str">
        <f t="shared" si="307"/>
        <v>Jan-30</v>
      </c>
      <c r="F1257" s="9" t="str">
        <f t="shared" si="308"/>
        <v>Q1</v>
      </c>
      <c r="G1257" s="9">
        <f t="shared" si="309"/>
        <v>7</v>
      </c>
      <c r="H1257" s="9">
        <f t="shared" si="310"/>
        <v>1</v>
      </c>
      <c r="I1257" s="9" t="str">
        <f t="shared" si="311"/>
        <v>Monday</v>
      </c>
      <c r="J1257" s="9" t="str">
        <f t="shared" si="312"/>
        <v>No</v>
      </c>
      <c r="K1257" s="5" t="str">
        <f>IF(COUNTIF(Bank_Holidays!A:A,A1257)&gt;0,"Yes","No")</f>
        <v>No</v>
      </c>
      <c r="L1257" t="str">
        <f t="shared" si="313"/>
        <v>Yes</v>
      </c>
      <c r="M1257">
        <f t="shared" si="314"/>
        <v>2</v>
      </c>
      <c r="N1257" s="5" t="str">
        <f t="shared" si="315"/>
        <v>No</v>
      </c>
      <c r="O1257" t="str">
        <f>IF(A1257=WORKDAY(EOMONTH(A1257,0)+1,-1,Bank_Holidays!$A$2:$A$25),"Yes","No")</f>
        <v>No</v>
      </c>
      <c r="P1257" t="str">
        <f t="shared" si="316"/>
        <v>No</v>
      </c>
      <c r="Q1257" t="str">
        <f t="shared" si="317"/>
        <v>No</v>
      </c>
      <c r="R1257" s="5">
        <f t="shared" si="319"/>
        <v>1</v>
      </c>
    </row>
    <row r="1258" spans="1:18">
      <c r="A1258" s="25">
        <f t="shared" si="318"/>
        <v>47491</v>
      </c>
      <c r="B1258">
        <f t="shared" si="304"/>
        <v>2030</v>
      </c>
      <c r="C1258" s="9">
        <f t="shared" si="305"/>
        <v>1</v>
      </c>
      <c r="D1258" s="9" t="str">
        <f t="shared" si="306"/>
        <v>January</v>
      </c>
      <c r="E1258" s="9" t="str">
        <f t="shared" si="307"/>
        <v>Jan-30</v>
      </c>
      <c r="F1258" s="9" t="str">
        <f t="shared" si="308"/>
        <v>Q1</v>
      </c>
      <c r="G1258" s="9">
        <f t="shared" si="309"/>
        <v>8</v>
      </c>
      <c r="H1258" s="9">
        <f t="shared" si="310"/>
        <v>2</v>
      </c>
      <c r="I1258" s="9" t="str">
        <f t="shared" si="311"/>
        <v>Tuesday</v>
      </c>
      <c r="J1258" s="9" t="str">
        <f t="shared" si="312"/>
        <v>No</v>
      </c>
      <c r="K1258" s="5" t="str">
        <f>IF(COUNTIF(Bank_Holidays!A:A,A1258)&gt;0,"Yes","No")</f>
        <v>No</v>
      </c>
      <c r="L1258" t="str">
        <f t="shared" si="313"/>
        <v>Yes</v>
      </c>
      <c r="M1258">
        <f t="shared" si="314"/>
        <v>2</v>
      </c>
      <c r="N1258" s="5" t="str">
        <f t="shared" si="315"/>
        <v>No</v>
      </c>
      <c r="O1258" t="str">
        <f>IF(A1258=WORKDAY(EOMONTH(A1258,0)+1,-1,Bank_Holidays!$A$2:$A$25),"Yes","No")</f>
        <v>No</v>
      </c>
      <c r="P1258" t="str">
        <f t="shared" si="316"/>
        <v>No</v>
      </c>
      <c r="Q1258" t="str">
        <f t="shared" si="317"/>
        <v>No</v>
      </c>
      <c r="R1258" s="5">
        <f t="shared" si="319"/>
        <v>1</v>
      </c>
    </row>
    <row r="1259" spans="1:18">
      <c r="A1259" s="25">
        <f t="shared" si="318"/>
        <v>47492</v>
      </c>
      <c r="B1259">
        <f t="shared" si="304"/>
        <v>2030</v>
      </c>
      <c r="C1259" s="9">
        <f t="shared" si="305"/>
        <v>1</v>
      </c>
      <c r="D1259" s="9" t="str">
        <f t="shared" si="306"/>
        <v>January</v>
      </c>
      <c r="E1259" s="9" t="str">
        <f t="shared" si="307"/>
        <v>Jan-30</v>
      </c>
      <c r="F1259" s="9" t="str">
        <f t="shared" si="308"/>
        <v>Q1</v>
      </c>
      <c r="G1259" s="9">
        <f t="shared" si="309"/>
        <v>9</v>
      </c>
      <c r="H1259" s="9">
        <f t="shared" si="310"/>
        <v>3</v>
      </c>
      <c r="I1259" s="9" t="str">
        <f t="shared" si="311"/>
        <v>Wednesday</v>
      </c>
      <c r="J1259" s="9" t="str">
        <f t="shared" si="312"/>
        <v>No</v>
      </c>
      <c r="K1259" s="5" t="str">
        <f>IF(COUNTIF(Bank_Holidays!A:A,A1259)&gt;0,"Yes","No")</f>
        <v>No</v>
      </c>
      <c r="L1259" t="str">
        <f t="shared" si="313"/>
        <v>Yes</v>
      </c>
      <c r="M1259">
        <f t="shared" si="314"/>
        <v>2</v>
      </c>
      <c r="N1259" s="5" t="str">
        <f t="shared" si="315"/>
        <v>No</v>
      </c>
      <c r="O1259" t="str">
        <f>IF(A1259=WORKDAY(EOMONTH(A1259,0)+1,-1,Bank_Holidays!$A$2:$A$25),"Yes","No")</f>
        <v>No</v>
      </c>
      <c r="P1259" t="str">
        <f t="shared" si="316"/>
        <v>No</v>
      </c>
      <c r="Q1259" t="str">
        <f t="shared" si="317"/>
        <v>No</v>
      </c>
      <c r="R1259" s="5">
        <f t="shared" si="319"/>
        <v>1</v>
      </c>
    </row>
    <row r="1260" spans="1:18">
      <c r="A1260" s="25">
        <f t="shared" si="318"/>
        <v>47493</v>
      </c>
      <c r="B1260">
        <f t="shared" si="304"/>
        <v>2030</v>
      </c>
      <c r="C1260" s="9">
        <f t="shared" si="305"/>
        <v>1</v>
      </c>
      <c r="D1260" s="9" t="str">
        <f t="shared" si="306"/>
        <v>January</v>
      </c>
      <c r="E1260" s="9" t="str">
        <f t="shared" si="307"/>
        <v>Jan-30</v>
      </c>
      <c r="F1260" s="9" t="str">
        <f t="shared" si="308"/>
        <v>Q1</v>
      </c>
      <c r="G1260" s="9">
        <f t="shared" si="309"/>
        <v>10</v>
      </c>
      <c r="H1260" s="9">
        <f t="shared" si="310"/>
        <v>4</v>
      </c>
      <c r="I1260" s="9" t="str">
        <f t="shared" si="311"/>
        <v>Thursday</v>
      </c>
      <c r="J1260" s="9" t="str">
        <f t="shared" si="312"/>
        <v>No</v>
      </c>
      <c r="K1260" s="5" t="str">
        <f>IF(COUNTIF(Bank_Holidays!A:A,A1260)&gt;0,"Yes","No")</f>
        <v>No</v>
      </c>
      <c r="L1260" t="str">
        <f t="shared" si="313"/>
        <v>Yes</v>
      </c>
      <c r="M1260">
        <f t="shared" si="314"/>
        <v>2</v>
      </c>
      <c r="N1260" s="5" t="str">
        <f t="shared" si="315"/>
        <v>No</v>
      </c>
      <c r="O1260" t="str">
        <f>IF(A1260=WORKDAY(EOMONTH(A1260,0)+1,-1,Bank_Holidays!$A$2:$A$25),"Yes","No")</f>
        <v>No</v>
      </c>
      <c r="P1260" t="str">
        <f t="shared" si="316"/>
        <v>No</v>
      </c>
      <c r="Q1260" t="str">
        <f t="shared" si="317"/>
        <v>No</v>
      </c>
      <c r="R1260" s="5">
        <f t="shared" si="319"/>
        <v>1</v>
      </c>
    </row>
    <row r="1261" spans="1:18">
      <c r="A1261" s="25">
        <f t="shared" si="318"/>
        <v>47494</v>
      </c>
      <c r="B1261">
        <f t="shared" si="304"/>
        <v>2030</v>
      </c>
      <c r="C1261" s="9">
        <f t="shared" si="305"/>
        <v>1</v>
      </c>
      <c r="D1261" s="9" t="str">
        <f t="shared" si="306"/>
        <v>January</v>
      </c>
      <c r="E1261" s="9" t="str">
        <f t="shared" si="307"/>
        <v>Jan-30</v>
      </c>
      <c r="F1261" s="9" t="str">
        <f t="shared" si="308"/>
        <v>Q1</v>
      </c>
      <c r="G1261" s="9">
        <f t="shared" si="309"/>
        <v>11</v>
      </c>
      <c r="H1261" s="9">
        <f t="shared" si="310"/>
        <v>5</v>
      </c>
      <c r="I1261" s="9" t="str">
        <f t="shared" si="311"/>
        <v>Friday</v>
      </c>
      <c r="J1261" s="9" t="str">
        <f t="shared" si="312"/>
        <v>No</v>
      </c>
      <c r="K1261" s="5" t="str">
        <f>IF(COUNTIF(Bank_Holidays!A:A,A1261)&gt;0,"Yes","No")</f>
        <v>No</v>
      </c>
      <c r="L1261" t="str">
        <f t="shared" si="313"/>
        <v>Yes</v>
      </c>
      <c r="M1261">
        <f t="shared" si="314"/>
        <v>2</v>
      </c>
      <c r="N1261" s="5" t="str">
        <f t="shared" si="315"/>
        <v>No</v>
      </c>
      <c r="O1261" t="str">
        <f>IF(A1261=WORKDAY(EOMONTH(A1261,0)+1,-1,Bank_Holidays!$A$2:$A$25),"Yes","No")</f>
        <v>No</v>
      </c>
      <c r="P1261" t="str">
        <f t="shared" si="316"/>
        <v>No</v>
      </c>
      <c r="Q1261" t="str">
        <f t="shared" si="317"/>
        <v>No</v>
      </c>
      <c r="R1261" s="5">
        <f t="shared" si="319"/>
        <v>3</v>
      </c>
    </row>
    <row r="1262" spans="1:18">
      <c r="A1262" s="25">
        <f t="shared" si="318"/>
        <v>47495</v>
      </c>
      <c r="B1262">
        <f t="shared" si="304"/>
        <v>2030</v>
      </c>
      <c r="C1262" s="9">
        <f t="shared" si="305"/>
        <v>1</v>
      </c>
      <c r="D1262" s="9" t="str">
        <f t="shared" si="306"/>
        <v>January</v>
      </c>
      <c r="E1262" s="9" t="str">
        <f t="shared" si="307"/>
        <v>Jan-30</v>
      </c>
      <c r="F1262" s="9" t="str">
        <f t="shared" si="308"/>
        <v>Q1</v>
      </c>
      <c r="G1262" s="9">
        <f t="shared" si="309"/>
        <v>12</v>
      </c>
      <c r="H1262" s="9">
        <f t="shared" si="310"/>
        <v>6</v>
      </c>
      <c r="I1262" s="9" t="str">
        <f t="shared" si="311"/>
        <v>Saturday</v>
      </c>
      <c r="J1262" s="9" t="str">
        <f t="shared" si="312"/>
        <v>Yes</v>
      </c>
      <c r="K1262" s="5" t="str">
        <f>IF(COUNTIF(Bank_Holidays!A:A,A1262)&gt;0,"Yes","No")</f>
        <v>No</v>
      </c>
      <c r="L1262" t="str">
        <f t="shared" si="313"/>
        <v>No</v>
      </c>
      <c r="M1262">
        <f t="shared" si="314"/>
        <v>2</v>
      </c>
      <c r="N1262" s="5" t="str">
        <f t="shared" si="315"/>
        <v>No</v>
      </c>
      <c r="O1262" t="str">
        <f>IF(A1262=WORKDAY(EOMONTH(A1262,0)+1,-1,Bank_Holidays!$A$2:$A$25),"Yes","No")</f>
        <v>No</v>
      </c>
      <c r="P1262" t="str">
        <f t="shared" si="316"/>
        <v>No</v>
      </c>
      <c r="Q1262" t="str">
        <f t="shared" si="317"/>
        <v>No</v>
      </c>
      <c r="R1262" s="5">
        <f t="shared" si="319"/>
        <v>0</v>
      </c>
    </row>
    <row r="1263" spans="1:18">
      <c r="A1263" s="25">
        <f t="shared" si="318"/>
        <v>47496</v>
      </c>
      <c r="B1263">
        <f t="shared" si="304"/>
        <v>2030</v>
      </c>
      <c r="C1263" s="9">
        <f t="shared" si="305"/>
        <v>1</v>
      </c>
      <c r="D1263" s="9" t="str">
        <f t="shared" si="306"/>
        <v>January</v>
      </c>
      <c r="E1263" s="9" t="str">
        <f t="shared" si="307"/>
        <v>Jan-30</v>
      </c>
      <c r="F1263" s="9" t="str">
        <f t="shared" si="308"/>
        <v>Q1</v>
      </c>
      <c r="G1263" s="9">
        <f t="shared" si="309"/>
        <v>13</v>
      </c>
      <c r="H1263" s="9">
        <f t="shared" si="310"/>
        <v>7</v>
      </c>
      <c r="I1263" s="9" t="str">
        <f t="shared" si="311"/>
        <v>Sunday</v>
      </c>
      <c r="J1263" s="9" t="str">
        <f t="shared" si="312"/>
        <v>Yes</v>
      </c>
      <c r="K1263" s="5" t="str">
        <f>IF(COUNTIF(Bank_Holidays!A:A,A1263)&gt;0,"Yes","No")</f>
        <v>No</v>
      </c>
      <c r="L1263" t="str">
        <f t="shared" si="313"/>
        <v>No</v>
      </c>
      <c r="M1263">
        <f t="shared" si="314"/>
        <v>2</v>
      </c>
      <c r="N1263" s="5" t="str">
        <f t="shared" si="315"/>
        <v>No</v>
      </c>
      <c r="O1263" t="str">
        <f>IF(A1263=WORKDAY(EOMONTH(A1263,0)+1,-1,Bank_Holidays!$A$2:$A$25),"Yes","No")</f>
        <v>No</v>
      </c>
      <c r="P1263" t="str">
        <f t="shared" si="316"/>
        <v>No</v>
      </c>
      <c r="Q1263" t="str">
        <f t="shared" si="317"/>
        <v>No</v>
      </c>
      <c r="R1263" s="5">
        <f t="shared" si="319"/>
        <v>0</v>
      </c>
    </row>
    <row r="1264" spans="1:18">
      <c r="A1264" s="25">
        <f t="shared" si="318"/>
        <v>47497</v>
      </c>
      <c r="B1264">
        <f t="shared" si="304"/>
        <v>2030</v>
      </c>
      <c r="C1264" s="9">
        <f t="shared" si="305"/>
        <v>1</v>
      </c>
      <c r="D1264" s="9" t="str">
        <f t="shared" si="306"/>
        <v>January</v>
      </c>
      <c r="E1264" s="9" t="str">
        <f t="shared" si="307"/>
        <v>Jan-30</v>
      </c>
      <c r="F1264" s="9" t="str">
        <f t="shared" si="308"/>
        <v>Q1</v>
      </c>
      <c r="G1264" s="9">
        <f t="shared" si="309"/>
        <v>14</v>
      </c>
      <c r="H1264" s="9">
        <f t="shared" si="310"/>
        <v>1</v>
      </c>
      <c r="I1264" s="9" t="str">
        <f t="shared" si="311"/>
        <v>Monday</v>
      </c>
      <c r="J1264" s="9" t="str">
        <f t="shared" si="312"/>
        <v>No</v>
      </c>
      <c r="K1264" s="5" t="str">
        <f>IF(COUNTIF(Bank_Holidays!A:A,A1264)&gt;0,"Yes","No")</f>
        <v>No</v>
      </c>
      <c r="L1264" t="str">
        <f t="shared" si="313"/>
        <v>Yes</v>
      </c>
      <c r="M1264">
        <f t="shared" si="314"/>
        <v>3</v>
      </c>
      <c r="N1264" s="5" t="str">
        <f t="shared" si="315"/>
        <v>No</v>
      </c>
      <c r="O1264" t="str">
        <f>IF(A1264=WORKDAY(EOMONTH(A1264,0)+1,-1,Bank_Holidays!$A$2:$A$25),"Yes","No")</f>
        <v>No</v>
      </c>
      <c r="P1264" t="str">
        <f t="shared" si="316"/>
        <v>No</v>
      </c>
      <c r="Q1264" t="str">
        <f t="shared" si="317"/>
        <v>No</v>
      </c>
      <c r="R1264" s="5">
        <f t="shared" si="319"/>
        <v>1</v>
      </c>
    </row>
    <row r="1265" spans="1:18">
      <c r="A1265" s="25">
        <f t="shared" si="318"/>
        <v>47498</v>
      </c>
      <c r="B1265">
        <f t="shared" si="304"/>
        <v>2030</v>
      </c>
      <c r="C1265" s="9">
        <f t="shared" si="305"/>
        <v>1</v>
      </c>
      <c r="D1265" s="9" t="str">
        <f t="shared" si="306"/>
        <v>January</v>
      </c>
      <c r="E1265" s="9" t="str">
        <f t="shared" si="307"/>
        <v>Jan-30</v>
      </c>
      <c r="F1265" s="9" t="str">
        <f t="shared" si="308"/>
        <v>Q1</v>
      </c>
      <c r="G1265" s="9">
        <f t="shared" si="309"/>
        <v>15</v>
      </c>
      <c r="H1265" s="9">
        <f t="shared" si="310"/>
        <v>2</v>
      </c>
      <c r="I1265" s="9" t="str">
        <f t="shared" si="311"/>
        <v>Tuesday</v>
      </c>
      <c r="J1265" s="9" t="str">
        <f t="shared" si="312"/>
        <v>No</v>
      </c>
      <c r="K1265" s="5" t="str">
        <f>IF(COUNTIF(Bank_Holidays!A:A,A1265)&gt;0,"Yes","No")</f>
        <v>No</v>
      </c>
      <c r="L1265" t="str">
        <f t="shared" si="313"/>
        <v>Yes</v>
      </c>
      <c r="M1265">
        <f t="shared" si="314"/>
        <v>3</v>
      </c>
      <c r="N1265" s="5" t="str">
        <f t="shared" si="315"/>
        <v>No</v>
      </c>
      <c r="O1265" t="str">
        <f>IF(A1265=WORKDAY(EOMONTH(A1265,0)+1,-1,Bank_Holidays!$A$2:$A$25),"Yes","No")</f>
        <v>No</v>
      </c>
      <c r="P1265" t="str">
        <f t="shared" si="316"/>
        <v>No</v>
      </c>
      <c r="Q1265" t="str">
        <f t="shared" si="317"/>
        <v>No</v>
      </c>
      <c r="R1265" s="5">
        <f t="shared" si="319"/>
        <v>1</v>
      </c>
    </row>
    <row r="1266" spans="1:18">
      <c r="A1266" s="25">
        <f t="shared" si="318"/>
        <v>47499</v>
      </c>
      <c r="B1266">
        <f t="shared" si="304"/>
        <v>2030</v>
      </c>
      <c r="C1266" s="9">
        <f t="shared" si="305"/>
        <v>1</v>
      </c>
      <c r="D1266" s="9" t="str">
        <f t="shared" si="306"/>
        <v>January</v>
      </c>
      <c r="E1266" s="9" t="str">
        <f t="shared" si="307"/>
        <v>Jan-30</v>
      </c>
      <c r="F1266" s="9" t="str">
        <f t="shared" si="308"/>
        <v>Q1</v>
      </c>
      <c r="G1266" s="9">
        <f t="shared" si="309"/>
        <v>16</v>
      </c>
      <c r="H1266" s="9">
        <f t="shared" si="310"/>
        <v>3</v>
      </c>
      <c r="I1266" s="9" t="str">
        <f t="shared" si="311"/>
        <v>Wednesday</v>
      </c>
      <c r="J1266" s="9" t="str">
        <f t="shared" si="312"/>
        <v>No</v>
      </c>
      <c r="K1266" s="5" t="str">
        <f>IF(COUNTIF(Bank_Holidays!A:A,A1266)&gt;0,"Yes","No")</f>
        <v>No</v>
      </c>
      <c r="L1266" t="str">
        <f t="shared" si="313"/>
        <v>Yes</v>
      </c>
      <c r="M1266">
        <f t="shared" si="314"/>
        <v>3</v>
      </c>
      <c r="N1266" s="5" t="str">
        <f t="shared" si="315"/>
        <v>No</v>
      </c>
      <c r="O1266" t="str">
        <f>IF(A1266=WORKDAY(EOMONTH(A1266,0)+1,-1,Bank_Holidays!$A$2:$A$25),"Yes","No")</f>
        <v>No</v>
      </c>
      <c r="P1266" t="str">
        <f t="shared" si="316"/>
        <v>No</v>
      </c>
      <c r="Q1266" t="str">
        <f t="shared" si="317"/>
        <v>No</v>
      </c>
      <c r="R1266" s="5">
        <f t="shared" si="319"/>
        <v>1</v>
      </c>
    </row>
    <row r="1267" spans="1:18">
      <c r="A1267" s="25">
        <f t="shared" si="318"/>
        <v>47500</v>
      </c>
      <c r="B1267">
        <f t="shared" si="304"/>
        <v>2030</v>
      </c>
      <c r="C1267" s="9">
        <f t="shared" si="305"/>
        <v>1</v>
      </c>
      <c r="D1267" s="9" t="str">
        <f t="shared" si="306"/>
        <v>January</v>
      </c>
      <c r="E1267" s="9" t="str">
        <f t="shared" si="307"/>
        <v>Jan-30</v>
      </c>
      <c r="F1267" s="9" t="str">
        <f t="shared" si="308"/>
        <v>Q1</v>
      </c>
      <c r="G1267" s="9">
        <f t="shared" si="309"/>
        <v>17</v>
      </c>
      <c r="H1267" s="9">
        <f t="shared" si="310"/>
        <v>4</v>
      </c>
      <c r="I1267" s="9" t="str">
        <f t="shared" si="311"/>
        <v>Thursday</v>
      </c>
      <c r="J1267" s="9" t="str">
        <f t="shared" si="312"/>
        <v>No</v>
      </c>
      <c r="K1267" s="5" t="str">
        <f>IF(COUNTIF(Bank_Holidays!A:A,A1267)&gt;0,"Yes","No")</f>
        <v>No</v>
      </c>
      <c r="L1267" t="str">
        <f t="shared" si="313"/>
        <v>Yes</v>
      </c>
      <c r="M1267">
        <f t="shared" si="314"/>
        <v>3</v>
      </c>
      <c r="N1267" s="5" t="str">
        <f t="shared" si="315"/>
        <v>No</v>
      </c>
      <c r="O1267" t="str">
        <f>IF(A1267=WORKDAY(EOMONTH(A1267,0)+1,-1,Bank_Holidays!$A$2:$A$25),"Yes","No")</f>
        <v>No</v>
      </c>
      <c r="P1267" t="str">
        <f t="shared" si="316"/>
        <v>No</v>
      </c>
      <c r="Q1267" t="str">
        <f t="shared" si="317"/>
        <v>No</v>
      </c>
      <c r="R1267" s="5">
        <f t="shared" si="319"/>
        <v>1</v>
      </c>
    </row>
    <row r="1268" spans="1:18">
      <c r="A1268" s="25">
        <f t="shared" si="318"/>
        <v>47501</v>
      </c>
      <c r="B1268">
        <f t="shared" si="304"/>
        <v>2030</v>
      </c>
      <c r="C1268" s="9">
        <f t="shared" si="305"/>
        <v>1</v>
      </c>
      <c r="D1268" s="9" t="str">
        <f t="shared" si="306"/>
        <v>January</v>
      </c>
      <c r="E1268" s="9" t="str">
        <f t="shared" si="307"/>
        <v>Jan-30</v>
      </c>
      <c r="F1268" s="9" t="str">
        <f t="shared" si="308"/>
        <v>Q1</v>
      </c>
      <c r="G1268" s="9">
        <f t="shared" si="309"/>
        <v>18</v>
      </c>
      <c r="H1268" s="9">
        <f t="shared" si="310"/>
        <v>5</v>
      </c>
      <c r="I1268" s="9" t="str">
        <f t="shared" si="311"/>
        <v>Friday</v>
      </c>
      <c r="J1268" s="9" t="str">
        <f t="shared" si="312"/>
        <v>No</v>
      </c>
      <c r="K1268" s="5" t="str">
        <f>IF(COUNTIF(Bank_Holidays!A:A,A1268)&gt;0,"Yes","No")</f>
        <v>No</v>
      </c>
      <c r="L1268" t="str">
        <f t="shared" si="313"/>
        <v>Yes</v>
      </c>
      <c r="M1268">
        <f t="shared" si="314"/>
        <v>3</v>
      </c>
      <c r="N1268" s="5" t="str">
        <f t="shared" si="315"/>
        <v>No</v>
      </c>
      <c r="O1268" t="str">
        <f>IF(A1268=WORKDAY(EOMONTH(A1268,0)+1,-1,Bank_Holidays!$A$2:$A$25),"Yes","No")</f>
        <v>No</v>
      </c>
      <c r="P1268" t="str">
        <f t="shared" si="316"/>
        <v>No</v>
      </c>
      <c r="Q1268" t="str">
        <f t="shared" si="317"/>
        <v>No</v>
      </c>
      <c r="R1268" s="5">
        <f t="shared" si="319"/>
        <v>3</v>
      </c>
    </row>
    <row r="1269" spans="1:18">
      <c r="A1269" s="25">
        <f t="shared" si="318"/>
        <v>47502</v>
      </c>
      <c r="B1269">
        <f t="shared" si="304"/>
        <v>2030</v>
      </c>
      <c r="C1269" s="9">
        <f t="shared" si="305"/>
        <v>1</v>
      </c>
      <c r="D1269" s="9" t="str">
        <f t="shared" si="306"/>
        <v>January</v>
      </c>
      <c r="E1269" s="9" t="str">
        <f t="shared" si="307"/>
        <v>Jan-30</v>
      </c>
      <c r="F1269" s="9" t="str">
        <f t="shared" si="308"/>
        <v>Q1</v>
      </c>
      <c r="G1269" s="9">
        <f t="shared" si="309"/>
        <v>19</v>
      </c>
      <c r="H1269" s="9">
        <f t="shared" si="310"/>
        <v>6</v>
      </c>
      <c r="I1269" s="9" t="str">
        <f t="shared" si="311"/>
        <v>Saturday</v>
      </c>
      <c r="J1269" s="9" t="str">
        <f t="shared" si="312"/>
        <v>Yes</v>
      </c>
      <c r="K1269" s="5" t="str">
        <f>IF(COUNTIF(Bank_Holidays!A:A,A1269)&gt;0,"Yes","No")</f>
        <v>No</v>
      </c>
      <c r="L1269" t="str">
        <f t="shared" si="313"/>
        <v>No</v>
      </c>
      <c r="M1269">
        <f t="shared" si="314"/>
        <v>3</v>
      </c>
      <c r="N1269" s="5" t="str">
        <f t="shared" si="315"/>
        <v>No</v>
      </c>
      <c r="O1269" t="str">
        <f>IF(A1269=WORKDAY(EOMONTH(A1269,0)+1,-1,Bank_Holidays!$A$2:$A$25),"Yes","No")</f>
        <v>No</v>
      </c>
      <c r="P1269" t="str">
        <f t="shared" si="316"/>
        <v>No</v>
      </c>
      <c r="Q1269" t="str">
        <f t="shared" si="317"/>
        <v>No</v>
      </c>
      <c r="R1269" s="5">
        <f t="shared" si="319"/>
        <v>0</v>
      </c>
    </row>
    <row r="1270" spans="1:18">
      <c r="A1270" s="25">
        <f t="shared" si="318"/>
        <v>47503</v>
      </c>
      <c r="B1270">
        <f t="shared" si="304"/>
        <v>2030</v>
      </c>
      <c r="C1270" s="9">
        <f t="shared" si="305"/>
        <v>1</v>
      </c>
      <c r="D1270" s="9" t="str">
        <f t="shared" si="306"/>
        <v>January</v>
      </c>
      <c r="E1270" s="9" t="str">
        <f t="shared" si="307"/>
        <v>Jan-30</v>
      </c>
      <c r="F1270" s="9" t="str">
        <f t="shared" si="308"/>
        <v>Q1</v>
      </c>
      <c r="G1270" s="9">
        <f t="shared" si="309"/>
        <v>20</v>
      </c>
      <c r="H1270" s="9">
        <f t="shared" si="310"/>
        <v>7</v>
      </c>
      <c r="I1270" s="9" t="str">
        <f t="shared" si="311"/>
        <v>Sunday</v>
      </c>
      <c r="J1270" s="9" t="str">
        <f t="shared" si="312"/>
        <v>Yes</v>
      </c>
      <c r="K1270" s="5" t="str">
        <f>IF(COUNTIF(Bank_Holidays!A:A,A1270)&gt;0,"Yes","No")</f>
        <v>No</v>
      </c>
      <c r="L1270" t="str">
        <f t="shared" si="313"/>
        <v>No</v>
      </c>
      <c r="M1270">
        <f t="shared" si="314"/>
        <v>3</v>
      </c>
      <c r="N1270" s="5" t="str">
        <f t="shared" si="315"/>
        <v>No</v>
      </c>
      <c r="O1270" t="str">
        <f>IF(A1270=WORKDAY(EOMONTH(A1270,0)+1,-1,Bank_Holidays!$A$2:$A$25),"Yes","No")</f>
        <v>No</v>
      </c>
      <c r="P1270" t="str">
        <f t="shared" si="316"/>
        <v>No</v>
      </c>
      <c r="Q1270" t="str">
        <f t="shared" si="317"/>
        <v>No</v>
      </c>
      <c r="R1270" s="5">
        <f t="shared" si="319"/>
        <v>0</v>
      </c>
    </row>
    <row r="1271" spans="1:18">
      <c r="A1271" s="25">
        <f t="shared" si="318"/>
        <v>47504</v>
      </c>
      <c r="B1271">
        <f t="shared" si="304"/>
        <v>2030</v>
      </c>
      <c r="C1271" s="9">
        <f t="shared" si="305"/>
        <v>1</v>
      </c>
      <c r="D1271" s="9" t="str">
        <f t="shared" si="306"/>
        <v>January</v>
      </c>
      <c r="E1271" s="9" t="str">
        <f t="shared" si="307"/>
        <v>Jan-30</v>
      </c>
      <c r="F1271" s="9" t="str">
        <f t="shared" si="308"/>
        <v>Q1</v>
      </c>
      <c r="G1271" s="9">
        <f t="shared" si="309"/>
        <v>21</v>
      </c>
      <c r="H1271" s="9">
        <f t="shared" si="310"/>
        <v>1</v>
      </c>
      <c r="I1271" s="9" t="str">
        <f t="shared" si="311"/>
        <v>Monday</v>
      </c>
      <c r="J1271" s="9" t="str">
        <f t="shared" si="312"/>
        <v>No</v>
      </c>
      <c r="K1271" s="5" t="str">
        <f>IF(COUNTIF(Bank_Holidays!A:A,A1271)&gt;0,"Yes","No")</f>
        <v>No</v>
      </c>
      <c r="L1271" t="str">
        <f t="shared" si="313"/>
        <v>Yes</v>
      </c>
      <c r="M1271">
        <f t="shared" si="314"/>
        <v>4</v>
      </c>
      <c r="N1271" s="5" t="str">
        <f t="shared" si="315"/>
        <v>No</v>
      </c>
      <c r="O1271" t="str">
        <f>IF(A1271=WORKDAY(EOMONTH(A1271,0)+1,-1,Bank_Holidays!$A$2:$A$25),"Yes","No")</f>
        <v>No</v>
      </c>
      <c r="P1271" t="str">
        <f t="shared" si="316"/>
        <v>No</v>
      </c>
      <c r="Q1271" t="str">
        <f t="shared" si="317"/>
        <v>No</v>
      </c>
      <c r="R1271" s="5">
        <f t="shared" si="319"/>
        <v>1</v>
      </c>
    </row>
    <row r="1272" spans="1:18">
      <c r="A1272" s="25">
        <f t="shared" si="318"/>
        <v>47505</v>
      </c>
      <c r="B1272">
        <f t="shared" si="304"/>
        <v>2030</v>
      </c>
      <c r="C1272" s="9">
        <f t="shared" si="305"/>
        <v>1</v>
      </c>
      <c r="D1272" s="9" t="str">
        <f t="shared" si="306"/>
        <v>January</v>
      </c>
      <c r="E1272" s="9" t="str">
        <f t="shared" si="307"/>
        <v>Jan-30</v>
      </c>
      <c r="F1272" s="9" t="str">
        <f t="shared" si="308"/>
        <v>Q1</v>
      </c>
      <c r="G1272" s="9">
        <f t="shared" si="309"/>
        <v>22</v>
      </c>
      <c r="H1272" s="9">
        <f t="shared" si="310"/>
        <v>2</v>
      </c>
      <c r="I1272" s="9" t="str">
        <f t="shared" si="311"/>
        <v>Tuesday</v>
      </c>
      <c r="J1272" s="9" t="str">
        <f t="shared" si="312"/>
        <v>No</v>
      </c>
      <c r="K1272" s="5" t="str">
        <f>IF(COUNTIF(Bank_Holidays!A:A,A1272)&gt;0,"Yes","No")</f>
        <v>No</v>
      </c>
      <c r="L1272" t="str">
        <f t="shared" si="313"/>
        <v>Yes</v>
      </c>
      <c r="M1272">
        <f t="shared" si="314"/>
        <v>4</v>
      </c>
      <c r="N1272" s="5" t="str">
        <f t="shared" si="315"/>
        <v>No</v>
      </c>
      <c r="O1272" t="str">
        <f>IF(A1272=WORKDAY(EOMONTH(A1272,0)+1,-1,Bank_Holidays!$A$2:$A$25),"Yes","No")</f>
        <v>No</v>
      </c>
      <c r="P1272" t="str">
        <f t="shared" si="316"/>
        <v>No</v>
      </c>
      <c r="Q1272" t="str">
        <f t="shared" si="317"/>
        <v>No</v>
      </c>
      <c r="R1272" s="5">
        <f t="shared" si="319"/>
        <v>1</v>
      </c>
    </row>
    <row r="1273" spans="1:18">
      <c r="A1273" s="25">
        <f t="shared" si="318"/>
        <v>47506</v>
      </c>
      <c r="B1273">
        <f t="shared" si="304"/>
        <v>2030</v>
      </c>
      <c r="C1273" s="9">
        <f t="shared" si="305"/>
        <v>1</v>
      </c>
      <c r="D1273" s="9" t="str">
        <f t="shared" si="306"/>
        <v>January</v>
      </c>
      <c r="E1273" s="9" t="str">
        <f t="shared" si="307"/>
        <v>Jan-30</v>
      </c>
      <c r="F1273" s="9" t="str">
        <f t="shared" si="308"/>
        <v>Q1</v>
      </c>
      <c r="G1273" s="9">
        <f t="shared" si="309"/>
        <v>23</v>
      </c>
      <c r="H1273" s="9">
        <f t="shared" si="310"/>
        <v>3</v>
      </c>
      <c r="I1273" s="9" t="str">
        <f t="shared" si="311"/>
        <v>Wednesday</v>
      </c>
      <c r="J1273" s="9" t="str">
        <f t="shared" si="312"/>
        <v>No</v>
      </c>
      <c r="K1273" s="5" t="str">
        <f>IF(COUNTIF(Bank_Holidays!A:A,A1273)&gt;0,"Yes","No")</f>
        <v>No</v>
      </c>
      <c r="L1273" t="str">
        <f t="shared" si="313"/>
        <v>Yes</v>
      </c>
      <c r="M1273">
        <f t="shared" si="314"/>
        <v>4</v>
      </c>
      <c r="N1273" s="5" t="str">
        <f t="shared" si="315"/>
        <v>No</v>
      </c>
      <c r="O1273" t="str">
        <f>IF(A1273=WORKDAY(EOMONTH(A1273,0)+1,-1,Bank_Holidays!$A$2:$A$25),"Yes","No")</f>
        <v>No</v>
      </c>
      <c r="P1273" t="str">
        <f t="shared" si="316"/>
        <v>No</v>
      </c>
      <c r="Q1273" t="str">
        <f t="shared" si="317"/>
        <v>No</v>
      </c>
      <c r="R1273" s="5">
        <f t="shared" si="319"/>
        <v>1</v>
      </c>
    </row>
    <row r="1274" spans="1:18">
      <c r="A1274" s="25">
        <f t="shared" si="318"/>
        <v>47507</v>
      </c>
      <c r="B1274">
        <f t="shared" si="304"/>
        <v>2030</v>
      </c>
      <c r="C1274" s="9">
        <f t="shared" si="305"/>
        <v>1</v>
      </c>
      <c r="D1274" s="9" t="str">
        <f t="shared" si="306"/>
        <v>January</v>
      </c>
      <c r="E1274" s="9" t="str">
        <f t="shared" si="307"/>
        <v>Jan-30</v>
      </c>
      <c r="F1274" s="9" t="str">
        <f t="shared" si="308"/>
        <v>Q1</v>
      </c>
      <c r="G1274" s="9">
        <f t="shared" si="309"/>
        <v>24</v>
      </c>
      <c r="H1274" s="9">
        <f t="shared" si="310"/>
        <v>4</v>
      </c>
      <c r="I1274" s="9" t="str">
        <f t="shared" si="311"/>
        <v>Thursday</v>
      </c>
      <c r="J1274" s="9" t="str">
        <f t="shared" si="312"/>
        <v>No</v>
      </c>
      <c r="K1274" s="5" t="str">
        <f>IF(COUNTIF(Bank_Holidays!A:A,A1274)&gt;0,"Yes","No")</f>
        <v>No</v>
      </c>
      <c r="L1274" t="str">
        <f t="shared" si="313"/>
        <v>Yes</v>
      </c>
      <c r="M1274">
        <f t="shared" si="314"/>
        <v>4</v>
      </c>
      <c r="N1274" s="5" t="str">
        <f t="shared" si="315"/>
        <v>No</v>
      </c>
      <c r="O1274" t="str">
        <f>IF(A1274=WORKDAY(EOMONTH(A1274,0)+1,-1,Bank_Holidays!$A$2:$A$25),"Yes","No")</f>
        <v>No</v>
      </c>
      <c r="P1274" t="str">
        <f t="shared" si="316"/>
        <v>No</v>
      </c>
      <c r="Q1274" t="str">
        <f t="shared" si="317"/>
        <v>No</v>
      </c>
      <c r="R1274" s="5">
        <f t="shared" si="319"/>
        <v>1</v>
      </c>
    </row>
    <row r="1275" spans="1:18">
      <c r="A1275" s="25">
        <f t="shared" si="318"/>
        <v>47508</v>
      </c>
      <c r="B1275">
        <f t="shared" si="304"/>
        <v>2030</v>
      </c>
      <c r="C1275" s="9">
        <f t="shared" si="305"/>
        <v>1</v>
      </c>
      <c r="D1275" s="9" t="str">
        <f t="shared" si="306"/>
        <v>January</v>
      </c>
      <c r="E1275" s="9" t="str">
        <f t="shared" si="307"/>
        <v>Jan-30</v>
      </c>
      <c r="F1275" s="9" t="str">
        <f t="shared" si="308"/>
        <v>Q1</v>
      </c>
      <c r="G1275" s="9">
        <f t="shared" si="309"/>
        <v>25</v>
      </c>
      <c r="H1275" s="9">
        <f t="shared" si="310"/>
        <v>5</v>
      </c>
      <c r="I1275" s="9" t="str">
        <f t="shared" si="311"/>
        <v>Friday</v>
      </c>
      <c r="J1275" s="9" t="str">
        <f t="shared" si="312"/>
        <v>No</v>
      </c>
      <c r="K1275" s="5" t="str">
        <f>IF(COUNTIF(Bank_Holidays!A:A,A1275)&gt;0,"Yes","No")</f>
        <v>No</v>
      </c>
      <c r="L1275" t="str">
        <f t="shared" si="313"/>
        <v>Yes</v>
      </c>
      <c r="M1275">
        <f t="shared" si="314"/>
        <v>4</v>
      </c>
      <c r="N1275" s="5" t="str">
        <f t="shared" si="315"/>
        <v>No</v>
      </c>
      <c r="O1275" t="str">
        <f>IF(A1275=WORKDAY(EOMONTH(A1275,0)+1,-1,Bank_Holidays!$A$2:$A$25),"Yes","No")</f>
        <v>No</v>
      </c>
      <c r="P1275" t="str">
        <f t="shared" si="316"/>
        <v>Yes</v>
      </c>
      <c r="Q1275" t="str">
        <f t="shared" si="317"/>
        <v>No</v>
      </c>
      <c r="R1275" s="5">
        <f t="shared" si="319"/>
        <v>3</v>
      </c>
    </row>
    <row r="1276" spans="1:18">
      <c r="A1276" s="25">
        <f t="shared" si="318"/>
        <v>47509</v>
      </c>
      <c r="B1276">
        <f t="shared" si="304"/>
        <v>2030</v>
      </c>
      <c r="C1276" s="9">
        <f t="shared" si="305"/>
        <v>1</v>
      </c>
      <c r="D1276" s="9" t="str">
        <f t="shared" si="306"/>
        <v>January</v>
      </c>
      <c r="E1276" s="9" t="str">
        <f t="shared" si="307"/>
        <v>Jan-30</v>
      </c>
      <c r="F1276" s="9" t="str">
        <f t="shared" si="308"/>
        <v>Q1</v>
      </c>
      <c r="G1276" s="9">
        <f t="shared" si="309"/>
        <v>26</v>
      </c>
      <c r="H1276" s="9">
        <f t="shared" si="310"/>
        <v>6</v>
      </c>
      <c r="I1276" s="9" t="str">
        <f t="shared" si="311"/>
        <v>Saturday</v>
      </c>
      <c r="J1276" s="9" t="str">
        <f t="shared" si="312"/>
        <v>Yes</v>
      </c>
      <c r="K1276" s="5" t="str">
        <f>IF(COUNTIF(Bank_Holidays!A:A,A1276)&gt;0,"Yes","No")</f>
        <v>No</v>
      </c>
      <c r="L1276" t="str">
        <f t="shared" si="313"/>
        <v>No</v>
      </c>
      <c r="M1276">
        <f t="shared" si="314"/>
        <v>4</v>
      </c>
      <c r="N1276" s="5" t="str">
        <f t="shared" si="315"/>
        <v>No</v>
      </c>
      <c r="O1276" t="str">
        <f>IF(A1276=WORKDAY(EOMONTH(A1276,0)+1,-1,Bank_Holidays!$A$2:$A$25),"Yes","No")</f>
        <v>No</v>
      </c>
      <c r="P1276" t="str">
        <f t="shared" si="316"/>
        <v>No</v>
      </c>
      <c r="Q1276" t="str">
        <f t="shared" si="317"/>
        <v>No</v>
      </c>
      <c r="R1276" s="5">
        <f t="shared" si="319"/>
        <v>0</v>
      </c>
    </row>
    <row r="1277" spans="1:18">
      <c r="A1277" s="25">
        <f t="shared" si="318"/>
        <v>47510</v>
      </c>
      <c r="B1277">
        <f t="shared" si="304"/>
        <v>2030</v>
      </c>
      <c r="C1277" s="9">
        <f t="shared" si="305"/>
        <v>1</v>
      </c>
      <c r="D1277" s="9" t="str">
        <f t="shared" si="306"/>
        <v>January</v>
      </c>
      <c r="E1277" s="9" t="str">
        <f t="shared" si="307"/>
        <v>Jan-30</v>
      </c>
      <c r="F1277" s="9" t="str">
        <f t="shared" si="308"/>
        <v>Q1</v>
      </c>
      <c r="G1277" s="9">
        <f t="shared" si="309"/>
        <v>27</v>
      </c>
      <c r="H1277" s="9">
        <f t="shared" si="310"/>
        <v>7</v>
      </c>
      <c r="I1277" s="9" t="str">
        <f t="shared" si="311"/>
        <v>Sunday</v>
      </c>
      <c r="J1277" s="9" t="str">
        <f t="shared" si="312"/>
        <v>Yes</v>
      </c>
      <c r="K1277" s="5" t="str">
        <f>IF(COUNTIF(Bank_Holidays!A:A,A1277)&gt;0,"Yes","No")</f>
        <v>No</v>
      </c>
      <c r="L1277" t="str">
        <f t="shared" si="313"/>
        <v>No</v>
      </c>
      <c r="M1277">
        <f t="shared" si="314"/>
        <v>4</v>
      </c>
      <c r="N1277" s="5" t="str">
        <f t="shared" si="315"/>
        <v>No</v>
      </c>
      <c r="O1277" t="str">
        <f>IF(A1277=WORKDAY(EOMONTH(A1277,0)+1,-1,Bank_Holidays!$A$2:$A$25),"Yes","No")</f>
        <v>No</v>
      </c>
      <c r="P1277" t="str">
        <f t="shared" si="316"/>
        <v>No</v>
      </c>
      <c r="Q1277" t="str">
        <f t="shared" si="317"/>
        <v>No</v>
      </c>
      <c r="R1277" s="5">
        <f t="shared" si="319"/>
        <v>0</v>
      </c>
    </row>
    <row r="1278" spans="1:18">
      <c r="A1278" s="25">
        <f t="shared" si="318"/>
        <v>47511</v>
      </c>
      <c r="B1278">
        <f t="shared" si="304"/>
        <v>2030</v>
      </c>
      <c r="C1278" s="9">
        <f t="shared" si="305"/>
        <v>1</v>
      </c>
      <c r="D1278" s="9" t="str">
        <f t="shared" si="306"/>
        <v>January</v>
      </c>
      <c r="E1278" s="9" t="str">
        <f t="shared" si="307"/>
        <v>Jan-30</v>
      </c>
      <c r="F1278" s="9" t="str">
        <f t="shared" si="308"/>
        <v>Q1</v>
      </c>
      <c r="G1278" s="9">
        <f t="shared" si="309"/>
        <v>28</v>
      </c>
      <c r="H1278" s="9">
        <f t="shared" si="310"/>
        <v>1</v>
      </c>
      <c r="I1278" s="9" t="str">
        <f t="shared" si="311"/>
        <v>Monday</v>
      </c>
      <c r="J1278" s="9" t="str">
        <f t="shared" si="312"/>
        <v>No</v>
      </c>
      <c r="K1278" s="5" t="str">
        <f>IF(COUNTIF(Bank_Holidays!A:A,A1278)&gt;0,"Yes","No")</f>
        <v>No</v>
      </c>
      <c r="L1278" t="str">
        <f t="shared" si="313"/>
        <v>Yes</v>
      </c>
      <c r="M1278">
        <f t="shared" si="314"/>
        <v>5</v>
      </c>
      <c r="N1278" s="5" t="str">
        <f t="shared" si="315"/>
        <v>No</v>
      </c>
      <c r="O1278" t="str">
        <f>IF(A1278=WORKDAY(EOMONTH(A1278,0)+1,-1,Bank_Holidays!$A$2:$A$25),"Yes","No")</f>
        <v>No</v>
      </c>
      <c r="P1278" t="str">
        <f t="shared" si="316"/>
        <v>No</v>
      </c>
      <c r="Q1278" t="str">
        <f t="shared" si="317"/>
        <v>No</v>
      </c>
      <c r="R1278" s="5">
        <f t="shared" si="319"/>
        <v>1</v>
      </c>
    </row>
    <row r="1279" spans="1:18">
      <c r="A1279" s="25">
        <f t="shared" si="318"/>
        <v>47512</v>
      </c>
      <c r="B1279">
        <f t="shared" si="304"/>
        <v>2030</v>
      </c>
      <c r="C1279" s="9">
        <f t="shared" si="305"/>
        <v>1</v>
      </c>
      <c r="D1279" s="9" t="str">
        <f t="shared" si="306"/>
        <v>January</v>
      </c>
      <c r="E1279" s="9" t="str">
        <f t="shared" si="307"/>
        <v>Jan-30</v>
      </c>
      <c r="F1279" s="9" t="str">
        <f t="shared" si="308"/>
        <v>Q1</v>
      </c>
      <c r="G1279" s="9">
        <f t="shared" si="309"/>
        <v>29</v>
      </c>
      <c r="H1279" s="9">
        <f t="shared" si="310"/>
        <v>2</v>
      </c>
      <c r="I1279" s="9" t="str">
        <f t="shared" si="311"/>
        <v>Tuesday</v>
      </c>
      <c r="J1279" s="9" t="str">
        <f t="shared" si="312"/>
        <v>No</v>
      </c>
      <c r="K1279" s="5" t="str">
        <f>IF(COUNTIF(Bank_Holidays!A:A,A1279)&gt;0,"Yes","No")</f>
        <v>No</v>
      </c>
      <c r="L1279" t="str">
        <f t="shared" si="313"/>
        <v>Yes</v>
      </c>
      <c r="M1279">
        <f t="shared" si="314"/>
        <v>5</v>
      </c>
      <c r="N1279" s="5" t="str">
        <f t="shared" si="315"/>
        <v>No</v>
      </c>
      <c r="O1279" t="str">
        <f>IF(A1279=WORKDAY(EOMONTH(A1279,0)+1,-1,Bank_Holidays!$A$2:$A$25),"Yes","No")</f>
        <v>No</v>
      </c>
      <c r="P1279" t="str">
        <f t="shared" si="316"/>
        <v>No</v>
      </c>
      <c r="Q1279" t="str">
        <f t="shared" si="317"/>
        <v>No</v>
      </c>
      <c r="R1279" s="5">
        <f t="shared" si="319"/>
        <v>1</v>
      </c>
    </row>
    <row r="1280" spans="1:18">
      <c r="A1280" s="25">
        <f t="shared" si="318"/>
        <v>47513</v>
      </c>
      <c r="B1280">
        <f t="shared" si="304"/>
        <v>2030</v>
      </c>
      <c r="C1280" s="9">
        <f t="shared" si="305"/>
        <v>1</v>
      </c>
      <c r="D1280" s="9" t="str">
        <f t="shared" si="306"/>
        <v>January</v>
      </c>
      <c r="E1280" s="9" t="str">
        <f t="shared" si="307"/>
        <v>Jan-30</v>
      </c>
      <c r="F1280" s="9" t="str">
        <f t="shared" si="308"/>
        <v>Q1</v>
      </c>
      <c r="G1280" s="9">
        <f t="shared" si="309"/>
        <v>30</v>
      </c>
      <c r="H1280" s="9">
        <f t="shared" si="310"/>
        <v>3</v>
      </c>
      <c r="I1280" s="9" t="str">
        <f t="shared" si="311"/>
        <v>Wednesday</v>
      </c>
      <c r="J1280" s="9" t="str">
        <f t="shared" si="312"/>
        <v>No</v>
      </c>
      <c r="K1280" s="5" t="str">
        <f>IF(COUNTIF(Bank_Holidays!A:A,A1280)&gt;0,"Yes","No")</f>
        <v>No</v>
      </c>
      <c r="L1280" t="str">
        <f t="shared" si="313"/>
        <v>Yes</v>
      </c>
      <c r="M1280">
        <f t="shared" si="314"/>
        <v>5</v>
      </c>
      <c r="N1280" s="5" t="str">
        <f t="shared" si="315"/>
        <v>No</v>
      </c>
      <c r="O1280" t="str">
        <f>IF(A1280=WORKDAY(EOMONTH(A1280,0)+1,-1,Bank_Holidays!$A$2:$A$25),"Yes","No")</f>
        <v>No</v>
      </c>
      <c r="P1280" t="str">
        <f t="shared" si="316"/>
        <v>No</v>
      </c>
      <c r="Q1280" t="str">
        <f t="shared" si="317"/>
        <v>No</v>
      </c>
      <c r="R1280" s="5">
        <f t="shared" si="319"/>
        <v>1</v>
      </c>
    </row>
    <row r="1281" spans="1:18">
      <c r="A1281" s="25">
        <f t="shared" si="318"/>
        <v>47514</v>
      </c>
      <c r="B1281">
        <f t="shared" si="304"/>
        <v>2030</v>
      </c>
      <c r="C1281" s="9">
        <f t="shared" si="305"/>
        <v>1</v>
      </c>
      <c r="D1281" s="9" t="str">
        <f t="shared" si="306"/>
        <v>January</v>
      </c>
      <c r="E1281" s="9" t="str">
        <f t="shared" si="307"/>
        <v>Jan-30</v>
      </c>
      <c r="F1281" s="9" t="str">
        <f t="shared" si="308"/>
        <v>Q1</v>
      </c>
      <c r="G1281" s="9">
        <f t="shared" si="309"/>
        <v>31</v>
      </c>
      <c r="H1281" s="9">
        <f t="shared" si="310"/>
        <v>4</v>
      </c>
      <c r="I1281" s="9" t="str">
        <f t="shared" si="311"/>
        <v>Thursday</v>
      </c>
      <c r="J1281" s="9" t="str">
        <f t="shared" si="312"/>
        <v>No</v>
      </c>
      <c r="K1281" s="5" t="str">
        <f>IF(COUNTIF(Bank_Holidays!A:A,A1281)&gt;0,"Yes","No")</f>
        <v>No</v>
      </c>
      <c r="L1281" t="str">
        <f t="shared" si="313"/>
        <v>Yes</v>
      </c>
      <c r="M1281">
        <f t="shared" si="314"/>
        <v>5</v>
      </c>
      <c r="N1281" s="5" t="str">
        <f t="shared" si="315"/>
        <v>Yes</v>
      </c>
      <c r="O1281" t="str">
        <f>IF(A1281=WORKDAY(EOMONTH(A1281,0)+1,-1,Bank_Holidays!$A$2:$A$25),"Yes","No")</f>
        <v>Yes</v>
      </c>
      <c r="P1281" t="str">
        <f t="shared" si="316"/>
        <v>No</v>
      </c>
      <c r="Q1281" t="str">
        <f t="shared" si="317"/>
        <v>Yes</v>
      </c>
      <c r="R1281" s="5">
        <f t="shared" si="319"/>
        <v>1</v>
      </c>
    </row>
    <row r="1282" spans="1:18">
      <c r="A1282" s="25">
        <f t="shared" si="318"/>
        <v>47515</v>
      </c>
      <c r="B1282">
        <f t="shared" ref="B1282:B1345" si="320">YEAR(A1282)</f>
        <v>2030</v>
      </c>
      <c r="C1282" s="9">
        <f t="shared" ref="C1282:C1345" si="321">MONTH(A1282)</f>
        <v>2</v>
      </c>
      <c r="D1282" s="9" t="str">
        <f t="shared" ref="D1282:D1345" si="322">TEXT(A1282,"mmmm")</f>
        <v>February</v>
      </c>
      <c r="E1282" s="9" t="str">
        <f t="shared" ref="E1282:E1345" si="323">TEXT(A1282,"mmm-yy")</f>
        <v>Feb-30</v>
      </c>
      <c r="F1282" s="9" t="str">
        <f t="shared" ref="F1282:F1345" si="324">"Q"&amp;ROUNDUP(MONTH($A1282)/3,0)</f>
        <v>Q1</v>
      </c>
      <c r="G1282" s="9">
        <f t="shared" ref="G1282:G1345" si="325">DAY($A1282)</f>
        <v>1</v>
      </c>
      <c r="H1282" s="9">
        <f t="shared" ref="H1282:H1345" si="326">WEEKDAY($A1282,2)</f>
        <v>5</v>
      </c>
      <c r="I1282" s="9" t="str">
        <f t="shared" ref="I1282:I1345" si="327">TEXT($A1282,"dddd")</f>
        <v>Friday</v>
      </c>
      <c r="J1282" s="9" t="str">
        <f t="shared" ref="J1282:J1345" si="328">IF($H1282&gt;5,"Yes","No")</f>
        <v>No</v>
      </c>
      <c r="K1282" s="5" t="str">
        <f>IF(COUNTIF(Bank_Holidays!A:A,A1282)&gt;0,"Yes","No")</f>
        <v>No</v>
      </c>
      <c r="L1282" t="str">
        <f t="shared" ref="L1282:L1345" si="329">IF(AND(J1282="No",K1282="No"),"Yes","No")</f>
        <v>Yes</v>
      </c>
      <c r="M1282">
        <f t="shared" ref="M1282:M1345" si="330">_xlfn.ISOWEEKNUM(A1282)</f>
        <v>5</v>
      </c>
      <c r="N1282" s="5" t="str">
        <f t="shared" ref="N1282:N1345" si="331">IF(A1282=EOMONTH(A1282,0),"Yes","No")</f>
        <v>No</v>
      </c>
      <c r="O1282" t="str">
        <f>IF(A1282=WORKDAY(EOMONTH(A1282,0)+1,-1,Bank_Holidays!$A$2:$A$25),"Yes","No")</f>
        <v>No</v>
      </c>
      <c r="P1282" t="str">
        <f t="shared" ref="P1282:P1345" si="332">IF(
AND(
TEXT(A1282,"dddd")="Friday",
MONTH(A1282+7)&lt;&gt;MONTH(A1282)
),
"Yes",
"No"
)</f>
        <v>No</v>
      </c>
      <c r="Q1282" t="str">
        <f t="shared" ref="Q1282:Q1345" si="333">IF(
AND(
TEXT(A1282,"dddd")="Thursday",
MONTH(A1282+7)&lt;&gt;MONTH(A1282)
),
"Yes",
"No"
)</f>
        <v>No</v>
      </c>
      <c r="R1282" s="5">
        <f t="shared" si="319"/>
        <v>3</v>
      </c>
    </row>
    <row r="1283" spans="1:18">
      <c r="A1283" s="25">
        <f t="shared" ref="A1283:A1346" si="334">A1282+1</f>
        <v>47516</v>
      </c>
      <c r="B1283">
        <f t="shared" si="320"/>
        <v>2030</v>
      </c>
      <c r="C1283" s="9">
        <f t="shared" si="321"/>
        <v>2</v>
      </c>
      <c r="D1283" s="9" t="str">
        <f t="shared" si="322"/>
        <v>February</v>
      </c>
      <c r="E1283" s="9" t="str">
        <f t="shared" si="323"/>
        <v>Feb-30</v>
      </c>
      <c r="F1283" s="9" t="str">
        <f t="shared" si="324"/>
        <v>Q1</v>
      </c>
      <c r="G1283" s="9">
        <f t="shared" si="325"/>
        <v>2</v>
      </c>
      <c r="H1283" s="9">
        <f t="shared" si="326"/>
        <v>6</v>
      </c>
      <c r="I1283" s="9" t="str">
        <f t="shared" si="327"/>
        <v>Saturday</v>
      </c>
      <c r="J1283" s="9" t="str">
        <f t="shared" si="328"/>
        <v>Yes</v>
      </c>
      <c r="K1283" s="5" t="str">
        <f>IF(COUNTIF(Bank_Holidays!A:A,A1283)&gt;0,"Yes","No")</f>
        <v>No</v>
      </c>
      <c r="L1283" t="str">
        <f t="shared" si="329"/>
        <v>No</v>
      </c>
      <c r="M1283">
        <f t="shared" si="330"/>
        <v>5</v>
      </c>
      <c r="N1283" s="5" t="str">
        <f t="shared" si="331"/>
        <v>No</v>
      </c>
      <c r="O1283" t="str">
        <f>IF(A1283=WORKDAY(EOMONTH(A1283,0)+1,-1,Bank_Holidays!$A$2:$A$25),"Yes","No")</f>
        <v>No</v>
      </c>
      <c r="P1283" t="str">
        <f t="shared" si="332"/>
        <v>No</v>
      </c>
      <c r="Q1283" t="str">
        <f t="shared" si="333"/>
        <v>No</v>
      </c>
      <c r="R1283" s="5">
        <f t="shared" ref="R1283:R1346" si="335">IF(L1283="yes",1)+IF(L1283="no",0,IF(AND(L1288="no",L1287="no",L1286="no",L1285="no",L1284="no"),5,IF(AND(L1287="no",L1286="no",L1285="no",L1284="no"),4,IF(AND(L1286="no",L1285="no",L1284="no"),3,IF(AND(L1285="no",L1284="no"),2,IF(L1284="no",1))))))</f>
        <v>0</v>
      </c>
    </row>
    <row r="1284" spans="1:18">
      <c r="A1284" s="25">
        <f t="shared" si="334"/>
        <v>47517</v>
      </c>
      <c r="B1284">
        <f t="shared" si="320"/>
        <v>2030</v>
      </c>
      <c r="C1284" s="9">
        <f t="shared" si="321"/>
        <v>2</v>
      </c>
      <c r="D1284" s="9" t="str">
        <f t="shared" si="322"/>
        <v>February</v>
      </c>
      <c r="E1284" s="9" t="str">
        <f t="shared" si="323"/>
        <v>Feb-30</v>
      </c>
      <c r="F1284" s="9" t="str">
        <f t="shared" si="324"/>
        <v>Q1</v>
      </c>
      <c r="G1284" s="9">
        <f t="shared" si="325"/>
        <v>3</v>
      </c>
      <c r="H1284" s="9">
        <f t="shared" si="326"/>
        <v>7</v>
      </c>
      <c r="I1284" s="9" t="str">
        <f t="shared" si="327"/>
        <v>Sunday</v>
      </c>
      <c r="J1284" s="9" t="str">
        <f t="shared" si="328"/>
        <v>Yes</v>
      </c>
      <c r="K1284" s="5" t="str">
        <f>IF(COUNTIF(Bank_Holidays!A:A,A1284)&gt;0,"Yes","No")</f>
        <v>No</v>
      </c>
      <c r="L1284" t="str">
        <f t="shared" si="329"/>
        <v>No</v>
      </c>
      <c r="M1284">
        <f t="shared" si="330"/>
        <v>5</v>
      </c>
      <c r="N1284" s="5" t="str">
        <f t="shared" si="331"/>
        <v>No</v>
      </c>
      <c r="O1284" t="str">
        <f>IF(A1284=WORKDAY(EOMONTH(A1284,0)+1,-1,Bank_Holidays!$A$2:$A$25),"Yes","No")</f>
        <v>No</v>
      </c>
      <c r="P1284" t="str">
        <f t="shared" si="332"/>
        <v>No</v>
      </c>
      <c r="Q1284" t="str">
        <f t="shared" si="333"/>
        <v>No</v>
      </c>
      <c r="R1284" s="5">
        <f t="shared" si="335"/>
        <v>0</v>
      </c>
    </row>
    <row r="1285" spans="1:18">
      <c r="A1285" s="25">
        <f t="shared" si="334"/>
        <v>47518</v>
      </c>
      <c r="B1285">
        <f t="shared" si="320"/>
        <v>2030</v>
      </c>
      <c r="C1285" s="9">
        <f t="shared" si="321"/>
        <v>2</v>
      </c>
      <c r="D1285" s="9" t="str">
        <f t="shared" si="322"/>
        <v>February</v>
      </c>
      <c r="E1285" s="9" t="str">
        <f t="shared" si="323"/>
        <v>Feb-30</v>
      </c>
      <c r="F1285" s="9" t="str">
        <f t="shared" si="324"/>
        <v>Q1</v>
      </c>
      <c r="G1285" s="9">
        <f t="shared" si="325"/>
        <v>4</v>
      </c>
      <c r="H1285" s="9">
        <f t="shared" si="326"/>
        <v>1</v>
      </c>
      <c r="I1285" s="9" t="str">
        <f t="shared" si="327"/>
        <v>Monday</v>
      </c>
      <c r="J1285" s="9" t="str">
        <f t="shared" si="328"/>
        <v>No</v>
      </c>
      <c r="K1285" s="5" t="str">
        <f>IF(COUNTIF(Bank_Holidays!A:A,A1285)&gt;0,"Yes","No")</f>
        <v>No</v>
      </c>
      <c r="L1285" t="str">
        <f t="shared" si="329"/>
        <v>Yes</v>
      </c>
      <c r="M1285">
        <f t="shared" si="330"/>
        <v>6</v>
      </c>
      <c r="N1285" s="5" t="str">
        <f t="shared" si="331"/>
        <v>No</v>
      </c>
      <c r="O1285" t="str">
        <f>IF(A1285=WORKDAY(EOMONTH(A1285,0)+1,-1,Bank_Holidays!$A$2:$A$25),"Yes","No")</f>
        <v>No</v>
      </c>
      <c r="P1285" t="str">
        <f t="shared" si="332"/>
        <v>No</v>
      </c>
      <c r="Q1285" t="str">
        <f t="shared" si="333"/>
        <v>No</v>
      </c>
      <c r="R1285" s="5">
        <f t="shared" si="335"/>
        <v>1</v>
      </c>
    </row>
    <row r="1286" spans="1:18">
      <c r="A1286" s="25">
        <f t="shared" si="334"/>
        <v>47519</v>
      </c>
      <c r="B1286">
        <f t="shared" si="320"/>
        <v>2030</v>
      </c>
      <c r="C1286" s="9">
        <f t="shared" si="321"/>
        <v>2</v>
      </c>
      <c r="D1286" s="9" t="str">
        <f t="shared" si="322"/>
        <v>February</v>
      </c>
      <c r="E1286" s="9" t="str">
        <f t="shared" si="323"/>
        <v>Feb-30</v>
      </c>
      <c r="F1286" s="9" t="str">
        <f t="shared" si="324"/>
        <v>Q1</v>
      </c>
      <c r="G1286" s="9">
        <f t="shared" si="325"/>
        <v>5</v>
      </c>
      <c r="H1286" s="9">
        <f t="shared" si="326"/>
        <v>2</v>
      </c>
      <c r="I1286" s="9" t="str">
        <f t="shared" si="327"/>
        <v>Tuesday</v>
      </c>
      <c r="J1286" s="9" t="str">
        <f t="shared" si="328"/>
        <v>No</v>
      </c>
      <c r="K1286" s="5" t="str">
        <f>IF(COUNTIF(Bank_Holidays!A:A,A1286)&gt;0,"Yes","No")</f>
        <v>No</v>
      </c>
      <c r="L1286" t="str">
        <f t="shared" si="329"/>
        <v>Yes</v>
      </c>
      <c r="M1286">
        <f t="shared" si="330"/>
        <v>6</v>
      </c>
      <c r="N1286" s="5" t="str">
        <f t="shared" si="331"/>
        <v>No</v>
      </c>
      <c r="O1286" t="str">
        <f>IF(A1286=WORKDAY(EOMONTH(A1286,0)+1,-1,Bank_Holidays!$A$2:$A$25),"Yes","No")</f>
        <v>No</v>
      </c>
      <c r="P1286" t="str">
        <f t="shared" si="332"/>
        <v>No</v>
      </c>
      <c r="Q1286" t="str">
        <f t="shared" si="333"/>
        <v>No</v>
      </c>
      <c r="R1286" s="5">
        <f t="shared" si="335"/>
        <v>1</v>
      </c>
    </row>
    <row r="1287" spans="1:18">
      <c r="A1287" s="25">
        <f t="shared" si="334"/>
        <v>47520</v>
      </c>
      <c r="B1287">
        <f t="shared" si="320"/>
        <v>2030</v>
      </c>
      <c r="C1287" s="9">
        <f t="shared" si="321"/>
        <v>2</v>
      </c>
      <c r="D1287" s="9" t="str">
        <f t="shared" si="322"/>
        <v>February</v>
      </c>
      <c r="E1287" s="9" t="str">
        <f t="shared" si="323"/>
        <v>Feb-30</v>
      </c>
      <c r="F1287" s="9" t="str">
        <f t="shared" si="324"/>
        <v>Q1</v>
      </c>
      <c r="G1287" s="9">
        <f t="shared" si="325"/>
        <v>6</v>
      </c>
      <c r="H1287" s="9">
        <f t="shared" si="326"/>
        <v>3</v>
      </c>
      <c r="I1287" s="9" t="str">
        <f t="shared" si="327"/>
        <v>Wednesday</v>
      </c>
      <c r="J1287" s="9" t="str">
        <f t="shared" si="328"/>
        <v>No</v>
      </c>
      <c r="K1287" s="5" t="str">
        <f>IF(COUNTIF(Bank_Holidays!A:A,A1287)&gt;0,"Yes","No")</f>
        <v>No</v>
      </c>
      <c r="L1287" t="str">
        <f t="shared" si="329"/>
        <v>Yes</v>
      </c>
      <c r="M1287">
        <f t="shared" si="330"/>
        <v>6</v>
      </c>
      <c r="N1287" s="5" t="str">
        <f t="shared" si="331"/>
        <v>No</v>
      </c>
      <c r="O1287" t="str">
        <f>IF(A1287=WORKDAY(EOMONTH(A1287,0)+1,-1,Bank_Holidays!$A$2:$A$25),"Yes","No")</f>
        <v>No</v>
      </c>
      <c r="P1287" t="str">
        <f t="shared" si="332"/>
        <v>No</v>
      </c>
      <c r="Q1287" t="str">
        <f t="shared" si="333"/>
        <v>No</v>
      </c>
      <c r="R1287" s="5">
        <f t="shared" si="335"/>
        <v>1</v>
      </c>
    </row>
    <row r="1288" spans="1:18">
      <c r="A1288" s="25">
        <f t="shared" si="334"/>
        <v>47521</v>
      </c>
      <c r="B1288">
        <f t="shared" si="320"/>
        <v>2030</v>
      </c>
      <c r="C1288" s="9">
        <f t="shared" si="321"/>
        <v>2</v>
      </c>
      <c r="D1288" s="9" t="str">
        <f t="shared" si="322"/>
        <v>February</v>
      </c>
      <c r="E1288" s="9" t="str">
        <f t="shared" si="323"/>
        <v>Feb-30</v>
      </c>
      <c r="F1288" s="9" t="str">
        <f t="shared" si="324"/>
        <v>Q1</v>
      </c>
      <c r="G1288" s="9">
        <f t="shared" si="325"/>
        <v>7</v>
      </c>
      <c r="H1288" s="9">
        <f t="shared" si="326"/>
        <v>4</v>
      </c>
      <c r="I1288" s="9" t="str">
        <f t="shared" si="327"/>
        <v>Thursday</v>
      </c>
      <c r="J1288" s="9" t="str">
        <f t="shared" si="328"/>
        <v>No</v>
      </c>
      <c r="K1288" s="5" t="str">
        <f>IF(COUNTIF(Bank_Holidays!A:A,A1288)&gt;0,"Yes","No")</f>
        <v>No</v>
      </c>
      <c r="L1288" t="str">
        <f t="shared" si="329"/>
        <v>Yes</v>
      </c>
      <c r="M1288">
        <f t="shared" si="330"/>
        <v>6</v>
      </c>
      <c r="N1288" s="5" t="str">
        <f t="shared" si="331"/>
        <v>No</v>
      </c>
      <c r="O1288" t="str">
        <f>IF(A1288=WORKDAY(EOMONTH(A1288,0)+1,-1,Bank_Holidays!$A$2:$A$25),"Yes","No")</f>
        <v>No</v>
      </c>
      <c r="P1288" t="str">
        <f t="shared" si="332"/>
        <v>No</v>
      </c>
      <c r="Q1288" t="str">
        <f t="shared" si="333"/>
        <v>No</v>
      </c>
      <c r="R1288" s="5">
        <f t="shared" si="335"/>
        <v>1</v>
      </c>
    </row>
    <row r="1289" spans="1:18">
      <c r="A1289" s="25">
        <f t="shared" si="334"/>
        <v>47522</v>
      </c>
      <c r="B1289">
        <f t="shared" si="320"/>
        <v>2030</v>
      </c>
      <c r="C1289" s="9">
        <f t="shared" si="321"/>
        <v>2</v>
      </c>
      <c r="D1289" s="9" t="str">
        <f t="shared" si="322"/>
        <v>February</v>
      </c>
      <c r="E1289" s="9" t="str">
        <f t="shared" si="323"/>
        <v>Feb-30</v>
      </c>
      <c r="F1289" s="9" t="str">
        <f t="shared" si="324"/>
        <v>Q1</v>
      </c>
      <c r="G1289" s="9">
        <f t="shared" si="325"/>
        <v>8</v>
      </c>
      <c r="H1289" s="9">
        <f t="shared" si="326"/>
        <v>5</v>
      </c>
      <c r="I1289" s="9" t="str">
        <f t="shared" si="327"/>
        <v>Friday</v>
      </c>
      <c r="J1289" s="9" t="str">
        <f t="shared" si="328"/>
        <v>No</v>
      </c>
      <c r="K1289" s="5" t="str">
        <f>IF(COUNTIF(Bank_Holidays!A:A,A1289)&gt;0,"Yes","No")</f>
        <v>No</v>
      </c>
      <c r="L1289" t="str">
        <f t="shared" si="329"/>
        <v>Yes</v>
      </c>
      <c r="M1289">
        <f t="shared" si="330"/>
        <v>6</v>
      </c>
      <c r="N1289" s="5" t="str">
        <f t="shared" si="331"/>
        <v>No</v>
      </c>
      <c r="O1289" t="str">
        <f>IF(A1289=WORKDAY(EOMONTH(A1289,0)+1,-1,Bank_Holidays!$A$2:$A$25),"Yes","No")</f>
        <v>No</v>
      </c>
      <c r="P1289" t="str">
        <f t="shared" si="332"/>
        <v>No</v>
      </c>
      <c r="Q1289" t="str">
        <f t="shared" si="333"/>
        <v>No</v>
      </c>
      <c r="R1289" s="5">
        <f t="shared" si="335"/>
        <v>3</v>
      </c>
    </row>
    <row r="1290" spans="1:18">
      <c r="A1290" s="25">
        <f t="shared" si="334"/>
        <v>47523</v>
      </c>
      <c r="B1290">
        <f t="shared" si="320"/>
        <v>2030</v>
      </c>
      <c r="C1290" s="9">
        <f t="shared" si="321"/>
        <v>2</v>
      </c>
      <c r="D1290" s="9" t="str">
        <f t="shared" si="322"/>
        <v>February</v>
      </c>
      <c r="E1290" s="9" t="str">
        <f t="shared" si="323"/>
        <v>Feb-30</v>
      </c>
      <c r="F1290" s="9" t="str">
        <f t="shared" si="324"/>
        <v>Q1</v>
      </c>
      <c r="G1290" s="9">
        <f t="shared" si="325"/>
        <v>9</v>
      </c>
      <c r="H1290" s="9">
        <f t="shared" si="326"/>
        <v>6</v>
      </c>
      <c r="I1290" s="9" t="str">
        <f t="shared" si="327"/>
        <v>Saturday</v>
      </c>
      <c r="J1290" s="9" t="str">
        <f t="shared" si="328"/>
        <v>Yes</v>
      </c>
      <c r="K1290" s="5" t="str">
        <f>IF(COUNTIF(Bank_Holidays!A:A,A1290)&gt;0,"Yes","No")</f>
        <v>No</v>
      </c>
      <c r="L1290" t="str">
        <f t="shared" si="329"/>
        <v>No</v>
      </c>
      <c r="M1290">
        <f t="shared" si="330"/>
        <v>6</v>
      </c>
      <c r="N1290" s="5" t="str">
        <f t="shared" si="331"/>
        <v>No</v>
      </c>
      <c r="O1290" t="str">
        <f>IF(A1290=WORKDAY(EOMONTH(A1290,0)+1,-1,Bank_Holidays!$A$2:$A$25),"Yes","No")</f>
        <v>No</v>
      </c>
      <c r="P1290" t="str">
        <f t="shared" si="332"/>
        <v>No</v>
      </c>
      <c r="Q1290" t="str">
        <f t="shared" si="333"/>
        <v>No</v>
      </c>
      <c r="R1290" s="5">
        <f t="shared" si="335"/>
        <v>0</v>
      </c>
    </row>
    <row r="1291" spans="1:18">
      <c r="A1291" s="25">
        <f t="shared" si="334"/>
        <v>47524</v>
      </c>
      <c r="B1291">
        <f t="shared" si="320"/>
        <v>2030</v>
      </c>
      <c r="C1291" s="9">
        <f t="shared" si="321"/>
        <v>2</v>
      </c>
      <c r="D1291" s="9" t="str">
        <f t="shared" si="322"/>
        <v>February</v>
      </c>
      <c r="E1291" s="9" t="str">
        <f t="shared" si="323"/>
        <v>Feb-30</v>
      </c>
      <c r="F1291" s="9" t="str">
        <f t="shared" si="324"/>
        <v>Q1</v>
      </c>
      <c r="G1291" s="9">
        <f t="shared" si="325"/>
        <v>10</v>
      </c>
      <c r="H1291" s="9">
        <f t="shared" si="326"/>
        <v>7</v>
      </c>
      <c r="I1291" s="9" t="str">
        <f t="shared" si="327"/>
        <v>Sunday</v>
      </c>
      <c r="J1291" s="9" t="str">
        <f t="shared" si="328"/>
        <v>Yes</v>
      </c>
      <c r="K1291" s="5" t="str">
        <f>IF(COUNTIF(Bank_Holidays!A:A,A1291)&gt;0,"Yes","No")</f>
        <v>No</v>
      </c>
      <c r="L1291" t="str">
        <f t="shared" si="329"/>
        <v>No</v>
      </c>
      <c r="M1291">
        <f t="shared" si="330"/>
        <v>6</v>
      </c>
      <c r="N1291" s="5" t="str">
        <f t="shared" si="331"/>
        <v>No</v>
      </c>
      <c r="O1291" t="str">
        <f>IF(A1291=WORKDAY(EOMONTH(A1291,0)+1,-1,Bank_Holidays!$A$2:$A$25),"Yes","No")</f>
        <v>No</v>
      </c>
      <c r="P1291" t="str">
        <f t="shared" si="332"/>
        <v>No</v>
      </c>
      <c r="Q1291" t="str">
        <f t="shared" si="333"/>
        <v>No</v>
      </c>
      <c r="R1291" s="5">
        <f t="shared" si="335"/>
        <v>0</v>
      </c>
    </row>
    <row r="1292" spans="1:18">
      <c r="A1292" s="25">
        <f t="shared" si="334"/>
        <v>47525</v>
      </c>
      <c r="B1292">
        <f t="shared" si="320"/>
        <v>2030</v>
      </c>
      <c r="C1292" s="9">
        <f t="shared" si="321"/>
        <v>2</v>
      </c>
      <c r="D1292" s="9" t="str">
        <f t="shared" si="322"/>
        <v>February</v>
      </c>
      <c r="E1292" s="9" t="str">
        <f t="shared" si="323"/>
        <v>Feb-30</v>
      </c>
      <c r="F1292" s="9" t="str">
        <f t="shared" si="324"/>
        <v>Q1</v>
      </c>
      <c r="G1292" s="9">
        <f t="shared" si="325"/>
        <v>11</v>
      </c>
      <c r="H1292" s="9">
        <f t="shared" si="326"/>
        <v>1</v>
      </c>
      <c r="I1292" s="9" t="str">
        <f t="shared" si="327"/>
        <v>Monday</v>
      </c>
      <c r="J1292" s="9" t="str">
        <f t="shared" si="328"/>
        <v>No</v>
      </c>
      <c r="K1292" s="5" t="str">
        <f>IF(COUNTIF(Bank_Holidays!A:A,A1292)&gt;0,"Yes","No")</f>
        <v>No</v>
      </c>
      <c r="L1292" t="str">
        <f t="shared" si="329"/>
        <v>Yes</v>
      </c>
      <c r="M1292">
        <f t="shared" si="330"/>
        <v>7</v>
      </c>
      <c r="N1292" s="5" t="str">
        <f t="shared" si="331"/>
        <v>No</v>
      </c>
      <c r="O1292" t="str">
        <f>IF(A1292=WORKDAY(EOMONTH(A1292,0)+1,-1,Bank_Holidays!$A$2:$A$25),"Yes","No")</f>
        <v>No</v>
      </c>
      <c r="P1292" t="str">
        <f t="shared" si="332"/>
        <v>No</v>
      </c>
      <c r="Q1292" t="str">
        <f t="shared" si="333"/>
        <v>No</v>
      </c>
      <c r="R1292" s="5">
        <f t="shared" si="335"/>
        <v>1</v>
      </c>
    </row>
    <row r="1293" spans="1:18">
      <c r="A1293" s="25">
        <f t="shared" si="334"/>
        <v>47526</v>
      </c>
      <c r="B1293">
        <f t="shared" si="320"/>
        <v>2030</v>
      </c>
      <c r="C1293" s="9">
        <f t="shared" si="321"/>
        <v>2</v>
      </c>
      <c r="D1293" s="9" t="str">
        <f t="shared" si="322"/>
        <v>February</v>
      </c>
      <c r="E1293" s="9" t="str">
        <f t="shared" si="323"/>
        <v>Feb-30</v>
      </c>
      <c r="F1293" s="9" t="str">
        <f t="shared" si="324"/>
        <v>Q1</v>
      </c>
      <c r="G1293" s="9">
        <f t="shared" si="325"/>
        <v>12</v>
      </c>
      <c r="H1293" s="9">
        <f t="shared" si="326"/>
        <v>2</v>
      </c>
      <c r="I1293" s="9" t="str">
        <f t="shared" si="327"/>
        <v>Tuesday</v>
      </c>
      <c r="J1293" s="9" t="str">
        <f t="shared" si="328"/>
        <v>No</v>
      </c>
      <c r="K1293" s="5" t="str">
        <f>IF(COUNTIF(Bank_Holidays!A:A,A1293)&gt;0,"Yes","No")</f>
        <v>No</v>
      </c>
      <c r="L1293" t="str">
        <f t="shared" si="329"/>
        <v>Yes</v>
      </c>
      <c r="M1293">
        <f t="shared" si="330"/>
        <v>7</v>
      </c>
      <c r="N1293" s="5" t="str">
        <f t="shared" si="331"/>
        <v>No</v>
      </c>
      <c r="O1293" t="str">
        <f>IF(A1293=WORKDAY(EOMONTH(A1293,0)+1,-1,Bank_Holidays!$A$2:$A$25),"Yes","No")</f>
        <v>No</v>
      </c>
      <c r="P1293" t="str">
        <f t="shared" si="332"/>
        <v>No</v>
      </c>
      <c r="Q1293" t="str">
        <f t="shared" si="333"/>
        <v>No</v>
      </c>
      <c r="R1293" s="5">
        <f t="shared" si="335"/>
        <v>1</v>
      </c>
    </row>
    <row r="1294" spans="1:18">
      <c r="A1294" s="25">
        <f t="shared" si="334"/>
        <v>47527</v>
      </c>
      <c r="B1294">
        <f t="shared" si="320"/>
        <v>2030</v>
      </c>
      <c r="C1294" s="9">
        <f t="shared" si="321"/>
        <v>2</v>
      </c>
      <c r="D1294" s="9" t="str">
        <f t="shared" si="322"/>
        <v>February</v>
      </c>
      <c r="E1294" s="9" t="str">
        <f t="shared" si="323"/>
        <v>Feb-30</v>
      </c>
      <c r="F1294" s="9" t="str">
        <f t="shared" si="324"/>
        <v>Q1</v>
      </c>
      <c r="G1294" s="9">
        <f t="shared" si="325"/>
        <v>13</v>
      </c>
      <c r="H1294" s="9">
        <f t="shared" si="326"/>
        <v>3</v>
      </c>
      <c r="I1294" s="9" t="str">
        <f t="shared" si="327"/>
        <v>Wednesday</v>
      </c>
      <c r="J1294" s="9" t="str">
        <f t="shared" si="328"/>
        <v>No</v>
      </c>
      <c r="K1294" s="5" t="str">
        <f>IF(COUNTIF(Bank_Holidays!A:A,A1294)&gt;0,"Yes","No")</f>
        <v>No</v>
      </c>
      <c r="L1294" t="str">
        <f t="shared" si="329"/>
        <v>Yes</v>
      </c>
      <c r="M1294">
        <f t="shared" si="330"/>
        <v>7</v>
      </c>
      <c r="N1294" s="5" t="str">
        <f t="shared" si="331"/>
        <v>No</v>
      </c>
      <c r="O1294" t="str">
        <f>IF(A1294=WORKDAY(EOMONTH(A1294,0)+1,-1,Bank_Holidays!$A$2:$A$25),"Yes","No")</f>
        <v>No</v>
      </c>
      <c r="P1294" t="str">
        <f t="shared" si="332"/>
        <v>No</v>
      </c>
      <c r="Q1294" t="str">
        <f t="shared" si="333"/>
        <v>No</v>
      </c>
      <c r="R1294" s="5">
        <f t="shared" si="335"/>
        <v>1</v>
      </c>
    </row>
    <row r="1295" spans="1:18">
      <c r="A1295" s="25">
        <f t="shared" si="334"/>
        <v>47528</v>
      </c>
      <c r="B1295">
        <f t="shared" si="320"/>
        <v>2030</v>
      </c>
      <c r="C1295" s="9">
        <f t="shared" si="321"/>
        <v>2</v>
      </c>
      <c r="D1295" s="9" t="str">
        <f t="shared" si="322"/>
        <v>February</v>
      </c>
      <c r="E1295" s="9" t="str">
        <f t="shared" si="323"/>
        <v>Feb-30</v>
      </c>
      <c r="F1295" s="9" t="str">
        <f t="shared" si="324"/>
        <v>Q1</v>
      </c>
      <c r="G1295" s="9">
        <f t="shared" si="325"/>
        <v>14</v>
      </c>
      <c r="H1295" s="9">
        <f t="shared" si="326"/>
        <v>4</v>
      </c>
      <c r="I1295" s="9" t="str">
        <f t="shared" si="327"/>
        <v>Thursday</v>
      </c>
      <c r="J1295" s="9" t="str">
        <f t="shared" si="328"/>
        <v>No</v>
      </c>
      <c r="K1295" s="5" t="str">
        <f>IF(COUNTIF(Bank_Holidays!A:A,A1295)&gt;0,"Yes","No")</f>
        <v>No</v>
      </c>
      <c r="L1295" t="str">
        <f t="shared" si="329"/>
        <v>Yes</v>
      </c>
      <c r="M1295">
        <f t="shared" si="330"/>
        <v>7</v>
      </c>
      <c r="N1295" s="5" t="str">
        <f t="shared" si="331"/>
        <v>No</v>
      </c>
      <c r="O1295" t="str">
        <f>IF(A1295=WORKDAY(EOMONTH(A1295,0)+1,-1,Bank_Holidays!$A$2:$A$25),"Yes","No")</f>
        <v>No</v>
      </c>
      <c r="P1295" t="str">
        <f t="shared" si="332"/>
        <v>No</v>
      </c>
      <c r="Q1295" t="str">
        <f t="shared" si="333"/>
        <v>No</v>
      </c>
      <c r="R1295" s="5">
        <f t="shared" si="335"/>
        <v>1</v>
      </c>
    </row>
    <row r="1296" spans="1:18">
      <c r="A1296" s="25">
        <f t="shared" si="334"/>
        <v>47529</v>
      </c>
      <c r="B1296">
        <f t="shared" si="320"/>
        <v>2030</v>
      </c>
      <c r="C1296" s="9">
        <f t="shared" si="321"/>
        <v>2</v>
      </c>
      <c r="D1296" s="9" t="str">
        <f t="shared" si="322"/>
        <v>February</v>
      </c>
      <c r="E1296" s="9" t="str">
        <f t="shared" si="323"/>
        <v>Feb-30</v>
      </c>
      <c r="F1296" s="9" t="str">
        <f t="shared" si="324"/>
        <v>Q1</v>
      </c>
      <c r="G1296" s="9">
        <f t="shared" si="325"/>
        <v>15</v>
      </c>
      <c r="H1296" s="9">
        <f t="shared" si="326"/>
        <v>5</v>
      </c>
      <c r="I1296" s="9" t="str">
        <f t="shared" si="327"/>
        <v>Friday</v>
      </c>
      <c r="J1296" s="9" t="str">
        <f t="shared" si="328"/>
        <v>No</v>
      </c>
      <c r="K1296" s="5" t="str">
        <f>IF(COUNTIF(Bank_Holidays!A:A,A1296)&gt;0,"Yes","No")</f>
        <v>No</v>
      </c>
      <c r="L1296" t="str">
        <f t="shared" si="329"/>
        <v>Yes</v>
      </c>
      <c r="M1296">
        <f t="shared" si="330"/>
        <v>7</v>
      </c>
      <c r="N1296" s="5" t="str">
        <f t="shared" si="331"/>
        <v>No</v>
      </c>
      <c r="O1296" t="str">
        <f>IF(A1296=WORKDAY(EOMONTH(A1296,0)+1,-1,Bank_Holidays!$A$2:$A$25),"Yes","No")</f>
        <v>No</v>
      </c>
      <c r="P1296" t="str">
        <f t="shared" si="332"/>
        <v>No</v>
      </c>
      <c r="Q1296" t="str">
        <f t="shared" si="333"/>
        <v>No</v>
      </c>
      <c r="R1296" s="5">
        <f t="shared" si="335"/>
        <v>3</v>
      </c>
    </row>
    <row r="1297" spans="1:18">
      <c r="A1297" s="25">
        <f t="shared" si="334"/>
        <v>47530</v>
      </c>
      <c r="B1297">
        <f t="shared" si="320"/>
        <v>2030</v>
      </c>
      <c r="C1297" s="9">
        <f t="shared" si="321"/>
        <v>2</v>
      </c>
      <c r="D1297" s="9" t="str">
        <f t="shared" si="322"/>
        <v>February</v>
      </c>
      <c r="E1297" s="9" t="str">
        <f t="shared" si="323"/>
        <v>Feb-30</v>
      </c>
      <c r="F1297" s="9" t="str">
        <f t="shared" si="324"/>
        <v>Q1</v>
      </c>
      <c r="G1297" s="9">
        <f t="shared" si="325"/>
        <v>16</v>
      </c>
      <c r="H1297" s="9">
        <f t="shared" si="326"/>
        <v>6</v>
      </c>
      <c r="I1297" s="9" t="str">
        <f t="shared" si="327"/>
        <v>Saturday</v>
      </c>
      <c r="J1297" s="9" t="str">
        <f t="shared" si="328"/>
        <v>Yes</v>
      </c>
      <c r="K1297" s="5" t="str">
        <f>IF(COUNTIF(Bank_Holidays!A:A,A1297)&gt;0,"Yes","No")</f>
        <v>No</v>
      </c>
      <c r="L1297" t="str">
        <f t="shared" si="329"/>
        <v>No</v>
      </c>
      <c r="M1297">
        <f t="shared" si="330"/>
        <v>7</v>
      </c>
      <c r="N1297" s="5" t="str">
        <f t="shared" si="331"/>
        <v>No</v>
      </c>
      <c r="O1297" t="str">
        <f>IF(A1297=WORKDAY(EOMONTH(A1297,0)+1,-1,Bank_Holidays!$A$2:$A$25),"Yes","No")</f>
        <v>No</v>
      </c>
      <c r="P1297" t="str">
        <f t="shared" si="332"/>
        <v>No</v>
      </c>
      <c r="Q1297" t="str">
        <f t="shared" si="333"/>
        <v>No</v>
      </c>
      <c r="R1297" s="5">
        <f t="shared" si="335"/>
        <v>0</v>
      </c>
    </row>
    <row r="1298" spans="1:18">
      <c r="A1298" s="25">
        <f t="shared" si="334"/>
        <v>47531</v>
      </c>
      <c r="B1298">
        <f t="shared" si="320"/>
        <v>2030</v>
      </c>
      <c r="C1298" s="9">
        <f t="shared" si="321"/>
        <v>2</v>
      </c>
      <c r="D1298" s="9" t="str">
        <f t="shared" si="322"/>
        <v>February</v>
      </c>
      <c r="E1298" s="9" t="str">
        <f t="shared" si="323"/>
        <v>Feb-30</v>
      </c>
      <c r="F1298" s="9" t="str">
        <f t="shared" si="324"/>
        <v>Q1</v>
      </c>
      <c r="G1298" s="9">
        <f t="shared" si="325"/>
        <v>17</v>
      </c>
      <c r="H1298" s="9">
        <f t="shared" si="326"/>
        <v>7</v>
      </c>
      <c r="I1298" s="9" t="str">
        <f t="shared" si="327"/>
        <v>Sunday</v>
      </c>
      <c r="J1298" s="9" t="str">
        <f t="shared" si="328"/>
        <v>Yes</v>
      </c>
      <c r="K1298" s="5" t="str">
        <f>IF(COUNTIF(Bank_Holidays!A:A,A1298)&gt;0,"Yes","No")</f>
        <v>No</v>
      </c>
      <c r="L1298" t="str">
        <f t="shared" si="329"/>
        <v>No</v>
      </c>
      <c r="M1298">
        <f t="shared" si="330"/>
        <v>7</v>
      </c>
      <c r="N1298" s="5" t="str">
        <f t="shared" si="331"/>
        <v>No</v>
      </c>
      <c r="O1298" t="str">
        <f>IF(A1298=WORKDAY(EOMONTH(A1298,0)+1,-1,Bank_Holidays!$A$2:$A$25),"Yes","No")</f>
        <v>No</v>
      </c>
      <c r="P1298" t="str">
        <f t="shared" si="332"/>
        <v>No</v>
      </c>
      <c r="Q1298" t="str">
        <f t="shared" si="333"/>
        <v>No</v>
      </c>
      <c r="R1298" s="5">
        <f t="shared" si="335"/>
        <v>0</v>
      </c>
    </row>
    <row r="1299" spans="1:18">
      <c r="A1299" s="25">
        <f t="shared" si="334"/>
        <v>47532</v>
      </c>
      <c r="B1299">
        <f t="shared" si="320"/>
        <v>2030</v>
      </c>
      <c r="C1299" s="9">
        <f t="shared" si="321"/>
        <v>2</v>
      </c>
      <c r="D1299" s="9" t="str">
        <f t="shared" si="322"/>
        <v>February</v>
      </c>
      <c r="E1299" s="9" t="str">
        <f t="shared" si="323"/>
        <v>Feb-30</v>
      </c>
      <c r="F1299" s="9" t="str">
        <f t="shared" si="324"/>
        <v>Q1</v>
      </c>
      <c r="G1299" s="9">
        <f t="shared" si="325"/>
        <v>18</v>
      </c>
      <c r="H1299" s="9">
        <f t="shared" si="326"/>
        <v>1</v>
      </c>
      <c r="I1299" s="9" t="str">
        <f t="shared" si="327"/>
        <v>Monday</v>
      </c>
      <c r="J1299" s="9" t="str">
        <f t="shared" si="328"/>
        <v>No</v>
      </c>
      <c r="K1299" s="5" t="str">
        <f>IF(COUNTIF(Bank_Holidays!A:A,A1299)&gt;0,"Yes","No")</f>
        <v>No</v>
      </c>
      <c r="L1299" t="str">
        <f t="shared" si="329"/>
        <v>Yes</v>
      </c>
      <c r="M1299">
        <f t="shared" si="330"/>
        <v>8</v>
      </c>
      <c r="N1299" s="5" t="str">
        <f t="shared" si="331"/>
        <v>No</v>
      </c>
      <c r="O1299" t="str">
        <f>IF(A1299=WORKDAY(EOMONTH(A1299,0)+1,-1,Bank_Holidays!$A$2:$A$25),"Yes","No")</f>
        <v>No</v>
      </c>
      <c r="P1299" t="str">
        <f t="shared" si="332"/>
        <v>No</v>
      </c>
      <c r="Q1299" t="str">
        <f t="shared" si="333"/>
        <v>No</v>
      </c>
      <c r="R1299" s="5">
        <f t="shared" si="335"/>
        <v>1</v>
      </c>
    </row>
    <row r="1300" spans="1:18">
      <c r="A1300" s="25">
        <f t="shared" si="334"/>
        <v>47533</v>
      </c>
      <c r="B1300">
        <f t="shared" si="320"/>
        <v>2030</v>
      </c>
      <c r="C1300" s="9">
        <f t="shared" si="321"/>
        <v>2</v>
      </c>
      <c r="D1300" s="9" t="str">
        <f t="shared" si="322"/>
        <v>February</v>
      </c>
      <c r="E1300" s="9" t="str">
        <f t="shared" si="323"/>
        <v>Feb-30</v>
      </c>
      <c r="F1300" s="9" t="str">
        <f t="shared" si="324"/>
        <v>Q1</v>
      </c>
      <c r="G1300" s="9">
        <f t="shared" si="325"/>
        <v>19</v>
      </c>
      <c r="H1300" s="9">
        <f t="shared" si="326"/>
        <v>2</v>
      </c>
      <c r="I1300" s="9" t="str">
        <f t="shared" si="327"/>
        <v>Tuesday</v>
      </c>
      <c r="J1300" s="9" t="str">
        <f t="shared" si="328"/>
        <v>No</v>
      </c>
      <c r="K1300" s="5" t="str">
        <f>IF(COUNTIF(Bank_Holidays!A:A,A1300)&gt;0,"Yes","No")</f>
        <v>No</v>
      </c>
      <c r="L1300" t="str">
        <f t="shared" si="329"/>
        <v>Yes</v>
      </c>
      <c r="M1300">
        <f t="shared" si="330"/>
        <v>8</v>
      </c>
      <c r="N1300" s="5" t="str">
        <f t="shared" si="331"/>
        <v>No</v>
      </c>
      <c r="O1300" t="str">
        <f>IF(A1300=WORKDAY(EOMONTH(A1300,0)+1,-1,Bank_Holidays!$A$2:$A$25),"Yes","No")</f>
        <v>No</v>
      </c>
      <c r="P1300" t="str">
        <f t="shared" si="332"/>
        <v>No</v>
      </c>
      <c r="Q1300" t="str">
        <f t="shared" si="333"/>
        <v>No</v>
      </c>
      <c r="R1300" s="5">
        <f t="shared" si="335"/>
        <v>1</v>
      </c>
    </row>
    <row r="1301" spans="1:18">
      <c r="A1301" s="25">
        <f t="shared" si="334"/>
        <v>47534</v>
      </c>
      <c r="B1301">
        <f t="shared" si="320"/>
        <v>2030</v>
      </c>
      <c r="C1301" s="9">
        <f t="shared" si="321"/>
        <v>2</v>
      </c>
      <c r="D1301" s="9" t="str">
        <f t="shared" si="322"/>
        <v>February</v>
      </c>
      <c r="E1301" s="9" t="str">
        <f t="shared" si="323"/>
        <v>Feb-30</v>
      </c>
      <c r="F1301" s="9" t="str">
        <f t="shared" si="324"/>
        <v>Q1</v>
      </c>
      <c r="G1301" s="9">
        <f t="shared" si="325"/>
        <v>20</v>
      </c>
      <c r="H1301" s="9">
        <f t="shared" si="326"/>
        <v>3</v>
      </c>
      <c r="I1301" s="9" t="str">
        <f t="shared" si="327"/>
        <v>Wednesday</v>
      </c>
      <c r="J1301" s="9" t="str">
        <f t="shared" si="328"/>
        <v>No</v>
      </c>
      <c r="K1301" s="5" t="str">
        <f>IF(COUNTIF(Bank_Holidays!A:A,A1301)&gt;0,"Yes","No")</f>
        <v>No</v>
      </c>
      <c r="L1301" t="str">
        <f t="shared" si="329"/>
        <v>Yes</v>
      </c>
      <c r="M1301">
        <f t="shared" si="330"/>
        <v>8</v>
      </c>
      <c r="N1301" s="5" t="str">
        <f t="shared" si="331"/>
        <v>No</v>
      </c>
      <c r="O1301" t="str">
        <f>IF(A1301=WORKDAY(EOMONTH(A1301,0)+1,-1,Bank_Holidays!$A$2:$A$25),"Yes","No")</f>
        <v>No</v>
      </c>
      <c r="P1301" t="str">
        <f t="shared" si="332"/>
        <v>No</v>
      </c>
      <c r="Q1301" t="str">
        <f t="shared" si="333"/>
        <v>No</v>
      </c>
      <c r="R1301" s="5">
        <f t="shared" si="335"/>
        <v>1</v>
      </c>
    </row>
    <row r="1302" spans="1:18">
      <c r="A1302" s="25">
        <f t="shared" si="334"/>
        <v>47535</v>
      </c>
      <c r="B1302">
        <f t="shared" si="320"/>
        <v>2030</v>
      </c>
      <c r="C1302" s="9">
        <f t="shared" si="321"/>
        <v>2</v>
      </c>
      <c r="D1302" s="9" t="str">
        <f t="shared" si="322"/>
        <v>February</v>
      </c>
      <c r="E1302" s="9" t="str">
        <f t="shared" si="323"/>
        <v>Feb-30</v>
      </c>
      <c r="F1302" s="9" t="str">
        <f t="shared" si="324"/>
        <v>Q1</v>
      </c>
      <c r="G1302" s="9">
        <f t="shared" si="325"/>
        <v>21</v>
      </c>
      <c r="H1302" s="9">
        <f t="shared" si="326"/>
        <v>4</v>
      </c>
      <c r="I1302" s="9" t="str">
        <f t="shared" si="327"/>
        <v>Thursday</v>
      </c>
      <c r="J1302" s="9" t="str">
        <f t="shared" si="328"/>
        <v>No</v>
      </c>
      <c r="K1302" s="5" t="str">
        <f>IF(COUNTIF(Bank_Holidays!A:A,A1302)&gt;0,"Yes","No")</f>
        <v>No</v>
      </c>
      <c r="L1302" t="str">
        <f t="shared" si="329"/>
        <v>Yes</v>
      </c>
      <c r="M1302">
        <f t="shared" si="330"/>
        <v>8</v>
      </c>
      <c r="N1302" s="5" t="str">
        <f t="shared" si="331"/>
        <v>No</v>
      </c>
      <c r="O1302" t="str">
        <f>IF(A1302=WORKDAY(EOMONTH(A1302,0)+1,-1,Bank_Holidays!$A$2:$A$25),"Yes","No")</f>
        <v>No</v>
      </c>
      <c r="P1302" t="str">
        <f t="shared" si="332"/>
        <v>No</v>
      </c>
      <c r="Q1302" t="str">
        <f t="shared" si="333"/>
        <v>No</v>
      </c>
      <c r="R1302" s="5">
        <f t="shared" si="335"/>
        <v>1</v>
      </c>
    </row>
    <row r="1303" spans="1:18">
      <c r="A1303" s="25">
        <f t="shared" si="334"/>
        <v>47536</v>
      </c>
      <c r="B1303">
        <f t="shared" si="320"/>
        <v>2030</v>
      </c>
      <c r="C1303" s="9">
        <f t="shared" si="321"/>
        <v>2</v>
      </c>
      <c r="D1303" s="9" t="str">
        <f t="shared" si="322"/>
        <v>February</v>
      </c>
      <c r="E1303" s="9" t="str">
        <f t="shared" si="323"/>
        <v>Feb-30</v>
      </c>
      <c r="F1303" s="9" t="str">
        <f t="shared" si="324"/>
        <v>Q1</v>
      </c>
      <c r="G1303" s="9">
        <f t="shared" si="325"/>
        <v>22</v>
      </c>
      <c r="H1303" s="9">
        <f t="shared" si="326"/>
        <v>5</v>
      </c>
      <c r="I1303" s="9" t="str">
        <f t="shared" si="327"/>
        <v>Friday</v>
      </c>
      <c r="J1303" s="9" t="str">
        <f t="shared" si="328"/>
        <v>No</v>
      </c>
      <c r="K1303" s="5" t="str">
        <f>IF(COUNTIF(Bank_Holidays!A:A,A1303)&gt;0,"Yes","No")</f>
        <v>No</v>
      </c>
      <c r="L1303" t="str">
        <f t="shared" si="329"/>
        <v>Yes</v>
      </c>
      <c r="M1303">
        <f t="shared" si="330"/>
        <v>8</v>
      </c>
      <c r="N1303" s="5" t="str">
        <f t="shared" si="331"/>
        <v>No</v>
      </c>
      <c r="O1303" t="str">
        <f>IF(A1303=WORKDAY(EOMONTH(A1303,0)+1,-1,Bank_Holidays!$A$2:$A$25),"Yes","No")</f>
        <v>No</v>
      </c>
      <c r="P1303" t="str">
        <f t="shared" si="332"/>
        <v>Yes</v>
      </c>
      <c r="Q1303" t="str">
        <f t="shared" si="333"/>
        <v>No</v>
      </c>
      <c r="R1303" s="5">
        <f t="shared" si="335"/>
        <v>3</v>
      </c>
    </row>
    <row r="1304" spans="1:18">
      <c r="A1304" s="25">
        <f t="shared" si="334"/>
        <v>47537</v>
      </c>
      <c r="B1304">
        <f t="shared" si="320"/>
        <v>2030</v>
      </c>
      <c r="C1304" s="9">
        <f t="shared" si="321"/>
        <v>2</v>
      </c>
      <c r="D1304" s="9" t="str">
        <f t="shared" si="322"/>
        <v>February</v>
      </c>
      <c r="E1304" s="9" t="str">
        <f t="shared" si="323"/>
        <v>Feb-30</v>
      </c>
      <c r="F1304" s="9" t="str">
        <f t="shared" si="324"/>
        <v>Q1</v>
      </c>
      <c r="G1304" s="9">
        <f t="shared" si="325"/>
        <v>23</v>
      </c>
      <c r="H1304" s="9">
        <f t="shared" si="326"/>
        <v>6</v>
      </c>
      <c r="I1304" s="9" t="str">
        <f t="shared" si="327"/>
        <v>Saturday</v>
      </c>
      <c r="J1304" s="9" t="str">
        <f t="shared" si="328"/>
        <v>Yes</v>
      </c>
      <c r="K1304" s="5" t="str">
        <f>IF(COUNTIF(Bank_Holidays!A:A,A1304)&gt;0,"Yes","No")</f>
        <v>No</v>
      </c>
      <c r="L1304" t="str">
        <f t="shared" si="329"/>
        <v>No</v>
      </c>
      <c r="M1304">
        <f t="shared" si="330"/>
        <v>8</v>
      </c>
      <c r="N1304" s="5" t="str">
        <f t="shared" si="331"/>
        <v>No</v>
      </c>
      <c r="O1304" t="str">
        <f>IF(A1304=WORKDAY(EOMONTH(A1304,0)+1,-1,Bank_Holidays!$A$2:$A$25),"Yes","No")</f>
        <v>No</v>
      </c>
      <c r="P1304" t="str">
        <f t="shared" si="332"/>
        <v>No</v>
      </c>
      <c r="Q1304" t="str">
        <f t="shared" si="333"/>
        <v>No</v>
      </c>
      <c r="R1304" s="5">
        <f t="shared" si="335"/>
        <v>0</v>
      </c>
    </row>
    <row r="1305" spans="1:18">
      <c r="A1305" s="25">
        <f t="shared" si="334"/>
        <v>47538</v>
      </c>
      <c r="B1305">
        <f t="shared" si="320"/>
        <v>2030</v>
      </c>
      <c r="C1305" s="9">
        <f t="shared" si="321"/>
        <v>2</v>
      </c>
      <c r="D1305" s="9" t="str">
        <f t="shared" si="322"/>
        <v>February</v>
      </c>
      <c r="E1305" s="9" t="str">
        <f t="shared" si="323"/>
        <v>Feb-30</v>
      </c>
      <c r="F1305" s="9" t="str">
        <f t="shared" si="324"/>
        <v>Q1</v>
      </c>
      <c r="G1305" s="9">
        <f t="shared" si="325"/>
        <v>24</v>
      </c>
      <c r="H1305" s="9">
        <f t="shared" si="326"/>
        <v>7</v>
      </c>
      <c r="I1305" s="9" t="str">
        <f t="shared" si="327"/>
        <v>Sunday</v>
      </c>
      <c r="J1305" s="9" t="str">
        <f t="shared" si="328"/>
        <v>Yes</v>
      </c>
      <c r="K1305" s="5" t="str">
        <f>IF(COUNTIF(Bank_Holidays!A:A,A1305)&gt;0,"Yes","No")</f>
        <v>No</v>
      </c>
      <c r="L1305" t="str">
        <f t="shared" si="329"/>
        <v>No</v>
      </c>
      <c r="M1305">
        <f t="shared" si="330"/>
        <v>8</v>
      </c>
      <c r="N1305" s="5" t="str">
        <f t="shared" si="331"/>
        <v>No</v>
      </c>
      <c r="O1305" t="str">
        <f>IF(A1305=WORKDAY(EOMONTH(A1305,0)+1,-1,Bank_Holidays!$A$2:$A$25),"Yes","No")</f>
        <v>No</v>
      </c>
      <c r="P1305" t="str">
        <f t="shared" si="332"/>
        <v>No</v>
      </c>
      <c r="Q1305" t="str">
        <f t="shared" si="333"/>
        <v>No</v>
      </c>
      <c r="R1305" s="5">
        <f t="shared" si="335"/>
        <v>0</v>
      </c>
    </row>
    <row r="1306" spans="1:18">
      <c r="A1306" s="25">
        <f t="shared" si="334"/>
        <v>47539</v>
      </c>
      <c r="B1306">
        <f t="shared" si="320"/>
        <v>2030</v>
      </c>
      <c r="C1306" s="9">
        <f t="shared" si="321"/>
        <v>2</v>
      </c>
      <c r="D1306" s="9" t="str">
        <f t="shared" si="322"/>
        <v>February</v>
      </c>
      <c r="E1306" s="9" t="str">
        <f t="shared" si="323"/>
        <v>Feb-30</v>
      </c>
      <c r="F1306" s="9" t="str">
        <f t="shared" si="324"/>
        <v>Q1</v>
      </c>
      <c r="G1306" s="9">
        <f t="shared" si="325"/>
        <v>25</v>
      </c>
      <c r="H1306" s="9">
        <f t="shared" si="326"/>
        <v>1</v>
      </c>
      <c r="I1306" s="9" t="str">
        <f t="shared" si="327"/>
        <v>Monday</v>
      </c>
      <c r="J1306" s="9" t="str">
        <f t="shared" si="328"/>
        <v>No</v>
      </c>
      <c r="K1306" s="5" t="str">
        <f>IF(COUNTIF(Bank_Holidays!A:A,A1306)&gt;0,"Yes","No")</f>
        <v>No</v>
      </c>
      <c r="L1306" t="str">
        <f t="shared" si="329"/>
        <v>Yes</v>
      </c>
      <c r="M1306">
        <f t="shared" si="330"/>
        <v>9</v>
      </c>
      <c r="N1306" s="5" t="str">
        <f t="shared" si="331"/>
        <v>No</v>
      </c>
      <c r="O1306" t="str">
        <f>IF(A1306=WORKDAY(EOMONTH(A1306,0)+1,-1,Bank_Holidays!$A$2:$A$25),"Yes","No")</f>
        <v>No</v>
      </c>
      <c r="P1306" t="str">
        <f t="shared" si="332"/>
        <v>No</v>
      </c>
      <c r="Q1306" t="str">
        <f t="shared" si="333"/>
        <v>No</v>
      </c>
      <c r="R1306" s="5">
        <f t="shared" si="335"/>
        <v>1</v>
      </c>
    </row>
    <row r="1307" spans="1:18">
      <c r="A1307" s="25">
        <f t="shared" si="334"/>
        <v>47540</v>
      </c>
      <c r="B1307">
        <f t="shared" si="320"/>
        <v>2030</v>
      </c>
      <c r="C1307" s="9">
        <f t="shared" si="321"/>
        <v>2</v>
      </c>
      <c r="D1307" s="9" t="str">
        <f t="shared" si="322"/>
        <v>February</v>
      </c>
      <c r="E1307" s="9" t="str">
        <f t="shared" si="323"/>
        <v>Feb-30</v>
      </c>
      <c r="F1307" s="9" t="str">
        <f t="shared" si="324"/>
        <v>Q1</v>
      </c>
      <c r="G1307" s="9">
        <f t="shared" si="325"/>
        <v>26</v>
      </c>
      <c r="H1307" s="9">
        <f t="shared" si="326"/>
        <v>2</v>
      </c>
      <c r="I1307" s="9" t="str">
        <f t="shared" si="327"/>
        <v>Tuesday</v>
      </c>
      <c r="J1307" s="9" t="str">
        <f t="shared" si="328"/>
        <v>No</v>
      </c>
      <c r="K1307" s="5" t="str">
        <f>IF(COUNTIF(Bank_Holidays!A:A,A1307)&gt;0,"Yes","No")</f>
        <v>No</v>
      </c>
      <c r="L1307" t="str">
        <f t="shared" si="329"/>
        <v>Yes</v>
      </c>
      <c r="M1307">
        <f t="shared" si="330"/>
        <v>9</v>
      </c>
      <c r="N1307" s="5" t="str">
        <f t="shared" si="331"/>
        <v>No</v>
      </c>
      <c r="O1307" t="str">
        <f>IF(A1307=WORKDAY(EOMONTH(A1307,0)+1,-1,Bank_Holidays!$A$2:$A$25),"Yes","No")</f>
        <v>No</v>
      </c>
      <c r="P1307" t="str">
        <f t="shared" si="332"/>
        <v>No</v>
      </c>
      <c r="Q1307" t="str">
        <f t="shared" si="333"/>
        <v>No</v>
      </c>
      <c r="R1307" s="5">
        <f t="shared" si="335"/>
        <v>1</v>
      </c>
    </row>
    <row r="1308" spans="1:18">
      <c r="A1308" s="25">
        <f t="shared" si="334"/>
        <v>47541</v>
      </c>
      <c r="B1308">
        <f t="shared" si="320"/>
        <v>2030</v>
      </c>
      <c r="C1308" s="9">
        <f t="shared" si="321"/>
        <v>2</v>
      </c>
      <c r="D1308" s="9" t="str">
        <f t="shared" si="322"/>
        <v>February</v>
      </c>
      <c r="E1308" s="9" t="str">
        <f t="shared" si="323"/>
        <v>Feb-30</v>
      </c>
      <c r="F1308" s="9" t="str">
        <f t="shared" si="324"/>
        <v>Q1</v>
      </c>
      <c r="G1308" s="9">
        <f t="shared" si="325"/>
        <v>27</v>
      </c>
      <c r="H1308" s="9">
        <f t="shared" si="326"/>
        <v>3</v>
      </c>
      <c r="I1308" s="9" t="str">
        <f t="shared" si="327"/>
        <v>Wednesday</v>
      </c>
      <c r="J1308" s="9" t="str">
        <f t="shared" si="328"/>
        <v>No</v>
      </c>
      <c r="K1308" s="5" t="str">
        <f>IF(COUNTIF(Bank_Holidays!A:A,A1308)&gt;0,"Yes","No")</f>
        <v>No</v>
      </c>
      <c r="L1308" t="str">
        <f t="shared" si="329"/>
        <v>Yes</v>
      </c>
      <c r="M1308">
        <f t="shared" si="330"/>
        <v>9</v>
      </c>
      <c r="N1308" s="5" t="str">
        <f t="shared" si="331"/>
        <v>No</v>
      </c>
      <c r="O1308" t="str">
        <f>IF(A1308=WORKDAY(EOMONTH(A1308,0)+1,-1,Bank_Holidays!$A$2:$A$25),"Yes","No")</f>
        <v>No</v>
      </c>
      <c r="P1308" t="str">
        <f t="shared" si="332"/>
        <v>No</v>
      </c>
      <c r="Q1308" t="str">
        <f t="shared" si="333"/>
        <v>No</v>
      </c>
      <c r="R1308" s="5">
        <f t="shared" si="335"/>
        <v>1</v>
      </c>
    </row>
    <row r="1309" spans="1:18">
      <c r="A1309" s="25">
        <f t="shared" si="334"/>
        <v>47542</v>
      </c>
      <c r="B1309">
        <f t="shared" si="320"/>
        <v>2030</v>
      </c>
      <c r="C1309" s="9">
        <f t="shared" si="321"/>
        <v>2</v>
      </c>
      <c r="D1309" s="9" t="str">
        <f t="shared" si="322"/>
        <v>February</v>
      </c>
      <c r="E1309" s="9" t="str">
        <f t="shared" si="323"/>
        <v>Feb-30</v>
      </c>
      <c r="F1309" s="9" t="str">
        <f t="shared" si="324"/>
        <v>Q1</v>
      </c>
      <c r="G1309" s="9">
        <f t="shared" si="325"/>
        <v>28</v>
      </c>
      <c r="H1309" s="9">
        <f t="shared" si="326"/>
        <v>4</v>
      </c>
      <c r="I1309" s="9" t="str">
        <f t="shared" si="327"/>
        <v>Thursday</v>
      </c>
      <c r="J1309" s="9" t="str">
        <f t="shared" si="328"/>
        <v>No</v>
      </c>
      <c r="K1309" s="5" t="str">
        <f>IF(COUNTIF(Bank_Holidays!A:A,A1309)&gt;0,"Yes","No")</f>
        <v>No</v>
      </c>
      <c r="L1309" t="str">
        <f t="shared" si="329"/>
        <v>Yes</v>
      </c>
      <c r="M1309">
        <f t="shared" si="330"/>
        <v>9</v>
      </c>
      <c r="N1309" s="5" t="str">
        <f t="shared" si="331"/>
        <v>Yes</v>
      </c>
      <c r="O1309" t="str">
        <f>IF(A1309=WORKDAY(EOMONTH(A1309,0)+1,-1,Bank_Holidays!$A$2:$A$25),"Yes","No")</f>
        <v>Yes</v>
      </c>
      <c r="P1309" t="str">
        <f t="shared" si="332"/>
        <v>No</v>
      </c>
      <c r="Q1309" t="str">
        <f t="shared" si="333"/>
        <v>Yes</v>
      </c>
      <c r="R1309" s="5">
        <f t="shared" si="335"/>
        <v>1</v>
      </c>
    </row>
    <row r="1310" spans="1:18">
      <c r="A1310" s="25">
        <f t="shared" si="334"/>
        <v>47543</v>
      </c>
      <c r="B1310">
        <f t="shared" si="320"/>
        <v>2030</v>
      </c>
      <c r="C1310" s="9">
        <f t="shared" si="321"/>
        <v>3</v>
      </c>
      <c r="D1310" s="9" t="str">
        <f t="shared" si="322"/>
        <v>March</v>
      </c>
      <c r="E1310" s="9" t="str">
        <f t="shared" si="323"/>
        <v>Mar-30</v>
      </c>
      <c r="F1310" s="9" t="str">
        <f t="shared" si="324"/>
        <v>Q1</v>
      </c>
      <c r="G1310" s="9">
        <f t="shared" si="325"/>
        <v>1</v>
      </c>
      <c r="H1310" s="9">
        <f t="shared" si="326"/>
        <v>5</v>
      </c>
      <c r="I1310" s="9" t="str">
        <f t="shared" si="327"/>
        <v>Friday</v>
      </c>
      <c r="J1310" s="9" t="str">
        <f t="shared" si="328"/>
        <v>No</v>
      </c>
      <c r="K1310" s="5" t="str">
        <f>IF(COUNTIF(Bank_Holidays!A:A,A1310)&gt;0,"Yes","No")</f>
        <v>No</v>
      </c>
      <c r="L1310" t="str">
        <f t="shared" si="329"/>
        <v>Yes</v>
      </c>
      <c r="M1310">
        <f t="shared" si="330"/>
        <v>9</v>
      </c>
      <c r="N1310" s="5" t="str">
        <f t="shared" si="331"/>
        <v>No</v>
      </c>
      <c r="O1310" t="str">
        <f>IF(A1310=WORKDAY(EOMONTH(A1310,0)+1,-1,Bank_Holidays!$A$2:$A$25),"Yes","No")</f>
        <v>No</v>
      </c>
      <c r="P1310" t="str">
        <f t="shared" si="332"/>
        <v>No</v>
      </c>
      <c r="Q1310" t="str">
        <f t="shared" si="333"/>
        <v>No</v>
      </c>
      <c r="R1310" s="5">
        <f t="shared" si="335"/>
        <v>3</v>
      </c>
    </row>
    <row r="1311" spans="1:18">
      <c r="A1311" s="25">
        <f t="shared" si="334"/>
        <v>47544</v>
      </c>
      <c r="B1311">
        <f t="shared" si="320"/>
        <v>2030</v>
      </c>
      <c r="C1311" s="9">
        <f t="shared" si="321"/>
        <v>3</v>
      </c>
      <c r="D1311" s="9" t="str">
        <f t="shared" si="322"/>
        <v>March</v>
      </c>
      <c r="E1311" s="9" t="str">
        <f t="shared" si="323"/>
        <v>Mar-30</v>
      </c>
      <c r="F1311" s="9" t="str">
        <f t="shared" si="324"/>
        <v>Q1</v>
      </c>
      <c r="G1311" s="9">
        <f t="shared" si="325"/>
        <v>2</v>
      </c>
      <c r="H1311" s="9">
        <f t="shared" si="326"/>
        <v>6</v>
      </c>
      <c r="I1311" s="9" t="str">
        <f t="shared" si="327"/>
        <v>Saturday</v>
      </c>
      <c r="J1311" s="9" t="str">
        <f t="shared" si="328"/>
        <v>Yes</v>
      </c>
      <c r="K1311" s="5" t="str">
        <f>IF(COUNTIF(Bank_Holidays!A:A,A1311)&gt;0,"Yes","No")</f>
        <v>No</v>
      </c>
      <c r="L1311" t="str">
        <f t="shared" si="329"/>
        <v>No</v>
      </c>
      <c r="M1311">
        <f t="shared" si="330"/>
        <v>9</v>
      </c>
      <c r="N1311" s="5" t="str">
        <f t="shared" si="331"/>
        <v>No</v>
      </c>
      <c r="O1311" t="str">
        <f>IF(A1311=WORKDAY(EOMONTH(A1311,0)+1,-1,Bank_Holidays!$A$2:$A$25),"Yes","No")</f>
        <v>No</v>
      </c>
      <c r="P1311" t="str">
        <f t="shared" si="332"/>
        <v>No</v>
      </c>
      <c r="Q1311" t="str">
        <f t="shared" si="333"/>
        <v>No</v>
      </c>
      <c r="R1311" s="5">
        <f t="shared" si="335"/>
        <v>0</v>
      </c>
    </row>
    <row r="1312" spans="1:18">
      <c r="A1312" s="25">
        <f t="shared" si="334"/>
        <v>47545</v>
      </c>
      <c r="B1312">
        <f t="shared" si="320"/>
        <v>2030</v>
      </c>
      <c r="C1312" s="9">
        <f t="shared" si="321"/>
        <v>3</v>
      </c>
      <c r="D1312" s="9" t="str">
        <f t="shared" si="322"/>
        <v>March</v>
      </c>
      <c r="E1312" s="9" t="str">
        <f t="shared" si="323"/>
        <v>Mar-30</v>
      </c>
      <c r="F1312" s="9" t="str">
        <f t="shared" si="324"/>
        <v>Q1</v>
      </c>
      <c r="G1312" s="9">
        <f t="shared" si="325"/>
        <v>3</v>
      </c>
      <c r="H1312" s="9">
        <f t="shared" si="326"/>
        <v>7</v>
      </c>
      <c r="I1312" s="9" t="str">
        <f t="shared" si="327"/>
        <v>Sunday</v>
      </c>
      <c r="J1312" s="9" t="str">
        <f t="shared" si="328"/>
        <v>Yes</v>
      </c>
      <c r="K1312" s="5" t="str">
        <f>IF(COUNTIF(Bank_Holidays!A:A,A1312)&gt;0,"Yes","No")</f>
        <v>No</v>
      </c>
      <c r="L1312" t="str">
        <f t="shared" si="329"/>
        <v>No</v>
      </c>
      <c r="M1312">
        <f t="shared" si="330"/>
        <v>9</v>
      </c>
      <c r="N1312" s="5" t="str">
        <f t="shared" si="331"/>
        <v>No</v>
      </c>
      <c r="O1312" t="str">
        <f>IF(A1312=WORKDAY(EOMONTH(A1312,0)+1,-1,Bank_Holidays!$A$2:$A$25),"Yes","No")</f>
        <v>No</v>
      </c>
      <c r="P1312" t="str">
        <f t="shared" si="332"/>
        <v>No</v>
      </c>
      <c r="Q1312" t="str">
        <f t="shared" si="333"/>
        <v>No</v>
      </c>
      <c r="R1312" s="5">
        <f t="shared" si="335"/>
        <v>0</v>
      </c>
    </row>
    <row r="1313" spans="1:18">
      <c r="A1313" s="25">
        <f t="shared" si="334"/>
        <v>47546</v>
      </c>
      <c r="B1313">
        <f t="shared" si="320"/>
        <v>2030</v>
      </c>
      <c r="C1313" s="9">
        <f t="shared" si="321"/>
        <v>3</v>
      </c>
      <c r="D1313" s="9" t="str">
        <f t="shared" si="322"/>
        <v>March</v>
      </c>
      <c r="E1313" s="9" t="str">
        <f t="shared" si="323"/>
        <v>Mar-30</v>
      </c>
      <c r="F1313" s="9" t="str">
        <f t="shared" si="324"/>
        <v>Q1</v>
      </c>
      <c r="G1313" s="9">
        <f t="shared" si="325"/>
        <v>4</v>
      </c>
      <c r="H1313" s="9">
        <f t="shared" si="326"/>
        <v>1</v>
      </c>
      <c r="I1313" s="9" t="str">
        <f t="shared" si="327"/>
        <v>Monday</v>
      </c>
      <c r="J1313" s="9" t="str">
        <f t="shared" si="328"/>
        <v>No</v>
      </c>
      <c r="K1313" s="5" t="str">
        <f>IF(COUNTIF(Bank_Holidays!A:A,A1313)&gt;0,"Yes","No")</f>
        <v>No</v>
      </c>
      <c r="L1313" t="str">
        <f t="shared" si="329"/>
        <v>Yes</v>
      </c>
      <c r="M1313">
        <f t="shared" si="330"/>
        <v>10</v>
      </c>
      <c r="N1313" s="5" t="str">
        <f t="shared" si="331"/>
        <v>No</v>
      </c>
      <c r="O1313" t="str">
        <f>IF(A1313=WORKDAY(EOMONTH(A1313,0)+1,-1,Bank_Holidays!$A$2:$A$25),"Yes","No")</f>
        <v>No</v>
      </c>
      <c r="P1313" t="str">
        <f t="shared" si="332"/>
        <v>No</v>
      </c>
      <c r="Q1313" t="str">
        <f t="shared" si="333"/>
        <v>No</v>
      </c>
      <c r="R1313" s="5">
        <f t="shared" si="335"/>
        <v>1</v>
      </c>
    </row>
    <row r="1314" spans="1:18">
      <c r="A1314" s="25">
        <f t="shared" si="334"/>
        <v>47547</v>
      </c>
      <c r="B1314">
        <f t="shared" si="320"/>
        <v>2030</v>
      </c>
      <c r="C1314" s="9">
        <f t="shared" si="321"/>
        <v>3</v>
      </c>
      <c r="D1314" s="9" t="str">
        <f t="shared" si="322"/>
        <v>March</v>
      </c>
      <c r="E1314" s="9" t="str">
        <f t="shared" si="323"/>
        <v>Mar-30</v>
      </c>
      <c r="F1314" s="9" t="str">
        <f t="shared" si="324"/>
        <v>Q1</v>
      </c>
      <c r="G1314" s="9">
        <f t="shared" si="325"/>
        <v>5</v>
      </c>
      <c r="H1314" s="9">
        <f t="shared" si="326"/>
        <v>2</v>
      </c>
      <c r="I1314" s="9" t="str">
        <f t="shared" si="327"/>
        <v>Tuesday</v>
      </c>
      <c r="J1314" s="9" t="str">
        <f t="shared" si="328"/>
        <v>No</v>
      </c>
      <c r="K1314" s="5" t="str">
        <f>IF(COUNTIF(Bank_Holidays!A:A,A1314)&gt;0,"Yes","No")</f>
        <v>No</v>
      </c>
      <c r="L1314" t="str">
        <f t="shared" si="329"/>
        <v>Yes</v>
      </c>
      <c r="M1314">
        <f t="shared" si="330"/>
        <v>10</v>
      </c>
      <c r="N1314" s="5" t="str">
        <f t="shared" si="331"/>
        <v>No</v>
      </c>
      <c r="O1314" t="str">
        <f>IF(A1314=WORKDAY(EOMONTH(A1314,0)+1,-1,Bank_Holidays!$A$2:$A$25),"Yes","No")</f>
        <v>No</v>
      </c>
      <c r="P1314" t="str">
        <f t="shared" si="332"/>
        <v>No</v>
      </c>
      <c r="Q1314" t="str">
        <f t="shared" si="333"/>
        <v>No</v>
      </c>
      <c r="R1314" s="5">
        <f t="shared" si="335"/>
        <v>1</v>
      </c>
    </row>
    <row r="1315" spans="1:18">
      <c r="A1315" s="25">
        <f t="shared" si="334"/>
        <v>47548</v>
      </c>
      <c r="B1315">
        <f t="shared" si="320"/>
        <v>2030</v>
      </c>
      <c r="C1315" s="9">
        <f t="shared" si="321"/>
        <v>3</v>
      </c>
      <c r="D1315" s="9" t="str">
        <f t="shared" si="322"/>
        <v>March</v>
      </c>
      <c r="E1315" s="9" t="str">
        <f t="shared" si="323"/>
        <v>Mar-30</v>
      </c>
      <c r="F1315" s="9" t="str">
        <f t="shared" si="324"/>
        <v>Q1</v>
      </c>
      <c r="G1315" s="9">
        <f t="shared" si="325"/>
        <v>6</v>
      </c>
      <c r="H1315" s="9">
        <f t="shared" si="326"/>
        <v>3</v>
      </c>
      <c r="I1315" s="9" t="str">
        <f t="shared" si="327"/>
        <v>Wednesday</v>
      </c>
      <c r="J1315" s="9" t="str">
        <f t="shared" si="328"/>
        <v>No</v>
      </c>
      <c r="K1315" s="5" t="str">
        <f>IF(COUNTIF(Bank_Holidays!A:A,A1315)&gt;0,"Yes","No")</f>
        <v>No</v>
      </c>
      <c r="L1315" t="str">
        <f t="shared" si="329"/>
        <v>Yes</v>
      </c>
      <c r="M1315">
        <f t="shared" si="330"/>
        <v>10</v>
      </c>
      <c r="N1315" s="5" t="str">
        <f t="shared" si="331"/>
        <v>No</v>
      </c>
      <c r="O1315" t="str">
        <f>IF(A1315=WORKDAY(EOMONTH(A1315,0)+1,-1,Bank_Holidays!$A$2:$A$25),"Yes","No")</f>
        <v>No</v>
      </c>
      <c r="P1315" t="str">
        <f t="shared" si="332"/>
        <v>No</v>
      </c>
      <c r="Q1315" t="str">
        <f t="shared" si="333"/>
        <v>No</v>
      </c>
      <c r="R1315" s="5">
        <f t="shared" si="335"/>
        <v>1</v>
      </c>
    </row>
    <row r="1316" spans="1:18">
      <c r="A1316" s="25">
        <f t="shared" si="334"/>
        <v>47549</v>
      </c>
      <c r="B1316">
        <f t="shared" si="320"/>
        <v>2030</v>
      </c>
      <c r="C1316" s="9">
        <f t="shared" si="321"/>
        <v>3</v>
      </c>
      <c r="D1316" s="9" t="str">
        <f t="shared" si="322"/>
        <v>March</v>
      </c>
      <c r="E1316" s="9" t="str">
        <f t="shared" si="323"/>
        <v>Mar-30</v>
      </c>
      <c r="F1316" s="9" t="str">
        <f t="shared" si="324"/>
        <v>Q1</v>
      </c>
      <c r="G1316" s="9">
        <f t="shared" si="325"/>
        <v>7</v>
      </c>
      <c r="H1316" s="9">
        <f t="shared" si="326"/>
        <v>4</v>
      </c>
      <c r="I1316" s="9" t="str">
        <f t="shared" si="327"/>
        <v>Thursday</v>
      </c>
      <c r="J1316" s="9" t="str">
        <f t="shared" si="328"/>
        <v>No</v>
      </c>
      <c r="K1316" s="5" t="str">
        <f>IF(COUNTIF(Bank_Holidays!A:A,A1316)&gt;0,"Yes","No")</f>
        <v>No</v>
      </c>
      <c r="L1316" t="str">
        <f t="shared" si="329"/>
        <v>Yes</v>
      </c>
      <c r="M1316">
        <f t="shared" si="330"/>
        <v>10</v>
      </c>
      <c r="N1316" s="5" t="str">
        <f t="shared" si="331"/>
        <v>No</v>
      </c>
      <c r="O1316" t="str">
        <f>IF(A1316=WORKDAY(EOMONTH(A1316,0)+1,-1,Bank_Holidays!$A$2:$A$25),"Yes","No")</f>
        <v>No</v>
      </c>
      <c r="P1316" t="str">
        <f t="shared" si="332"/>
        <v>No</v>
      </c>
      <c r="Q1316" t="str">
        <f t="shared" si="333"/>
        <v>No</v>
      </c>
      <c r="R1316" s="5">
        <f t="shared" si="335"/>
        <v>1</v>
      </c>
    </row>
    <row r="1317" spans="1:18">
      <c r="A1317" s="25">
        <f t="shared" si="334"/>
        <v>47550</v>
      </c>
      <c r="B1317">
        <f t="shared" si="320"/>
        <v>2030</v>
      </c>
      <c r="C1317" s="9">
        <f t="shared" si="321"/>
        <v>3</v>
      </c>
      <c r="D1317" s="9" t="str">
        <f t="shared" si="322"/>
        <v>March</v>
      </c>
      <c r="E1317" s="9" t="str">
        <f t="shared" si="323"/>
        <v>Mar-30</v>
      </c>
      <c r="F1317" s="9" t="str">
        <f t="shared" si="324"/>
        <v>Q1</v>
      </c>
      <c r="G1317" s="9">
        <f t="shared" si="325"/>
        <v>8</v>
      </c>
      <c r="H1317" s="9">
        <f t="shared" si="326"/>
        <v>5</v>
      </c>
      <c r="I1317" s="9" t="str">
        <f t="shared" si="327"/>
        <v>Friday</v>
      </c>
      <c r="J1317" s="9" t="str">
        <f t="shared" si="328"/>
        <v>No</v>
      </c>
      <c r="K1317" s="5" t="str">
        <f>IF(COUNTIF(Bank_Holidays!A:A,A1317)&gt;0,"Yes","No")</f>
        <v>No</v>
      </c>
      <c r="L1317" t="str">
        <f t="shared" si="329"/>
        <v>Yes</v>
      </c>
      <c r="M1317">
        <f t="shared" si="330"/>
        <v>10</v>
      </c>
      <c r="N1317" s="5" t="str">
        <f t="shared" si="331"/>
        <v>No</v>
      </c>
      <c r="O1317" t="str">
        <f>IF(A1317=WORKDAY(EOMONTH(A1317,0)+1,-1,Bank_Holidays!$A$2:$A$25),"Yes","No")</f>
        <v>No</v>
      </c>
      <c r="P1317" t="str">
        <f t="shared" si="332"/>
        <v>No</v>
      </c>
      <c r="Q1317" t="str">
        <f t="shared" si="333"/>
        <v>No</v>
      </c>
      <c r="R1317" s="5">
        <f t="shared" si="335"/>
        <v>3</v>
      </c>
    </row>
    <row r="1318" spans="1:18">
      <c r="A1318" s="25">
        <f t="shared" si="334"/>
        <v>47551</v>
      </c>
      <c r="B1318">
        <f t="shared" si="320"/>
        <v>2030</v>
      </c>
      <c r="C1318" s="9">
        <f t="shared" si="321"/>
        <v>3</v>
      </c>
      <c r="D1318" s="9" t="str">
        <f t="shared" si="322"/>
        <v>March</v>
      </c>
      <c r="E1318" s="9" t="str">
        <f t="shared" si="323"/>
        <v>Mar-30</v>
      </c>
      <c r="F1318" s="9" t="str">
        <f t="shared" si="324"/>
        <v>Q1</v>
      </c>
      <c r="G1318" s="9">
        <f t="shared" si="325"/>
        <v>9</v>
      </c>
      <c r="H1318" s="9">
        <f t="shared" si="326"/>
        <v>6</v>
      </c>
      <c r="I1318" s="9" t="str">
        <f t="shared" si="327"/>
        <v>Saturday</v>
      </c>
      <c r="J1318" s="9" t="str">
        <f t="shared" si="328"/>
        <v>Yes</v>
      </c>
      <c r="K1318" s="5" t="str">
        <f>IF(COUNTIF(Bank_Holidays!A:A,A1318)&gt;0,"Yes","No")</f>
        <v>No</v>
      </c>
      <c r="L1318" t="str">
        <f t="shared" si="329"/>
        <v>No</v>
      </c>
      <c r="M1318">
        <f t="shared" si="330"/>
        <v>10</v>
      </c>
      <c r="N1318" s="5" t="str">
        <f t="shared" si="331"/>
        <v>No</v>
      </c>
      <c r="O1318" t="str">
        <f>IF(A1318=WORKDAY(EOMONTH(A1318,0)+1,-1,Bank_Holidays!$A$2:$A$25),"Yes","No")</f>
        <v>No</v>
      </c>
      <c r="P1318" t="str">
        <f t="shared" si="332"/>
        <v>No</v>
      </c>
      <c r="Q1318" t="str">
        <f t="shared" si="333"/>
        <v>No</v>
      </c>
      <c r="R1318" s="5">
        <f t="shared" si="335"/>
        <v>0</v>
      </c>
    </row>
    <row r="1319" spans="1:18">
      <c r="A1319" s="25">
        <f t="shared" si="334"/>
        <v>47552</v>
      </c>
      <c r="B1319">
        <f t="shared" si="320"/>
        <v>2030</v>
      </c>
      <c r="C1319" s="9">
        <f t="shared" si="321"/>
        <v>3</v>
      </c>
      <c r="D1319" s="9" t="str">
        <f t="shared" si="322"/>
        <v>March</v>
      </c>
      <c r="E1319" s="9" t="str">
        <f t="shared" si="323"/>
        <v>Mar-30</v>
      </c>
      <c r="F1319" s="9" t="str">
        <f t="shared" si="324"/>
        <v>Q1</v>
      </c>
      <c r="G1319" s="9">
        <f t="shared" si="325"/>
        <v>10</v>
      </c>
      <c r="H1319" s="9">
        <f t="shared" si="326"/>
        <v>7</v>
      </c>
      <c r="I1319" s="9" t="str">
        <f t="shared" si="327"/>
        <v>Sunday</v>
      </c>
      <c r="J1319" s="9" t="str">
        <f t="shared" si="328"/>
        <v>Yes</v>
      </c>
      <c r="K1319" s="5" t="str">
        <f>IF(COUNTIF(Bank_Holidays!A:A,A1319)&gt;0,"Yes","No")</f>
        <v>No</v>
      </c>
      <c r="L1319" t="str">
        <f t="shared" si="329"/>
        <v>No</v>
      </c>
      <c r="M1319">
        <f t="shared" si="330"/>
        <v>10</v>
      </c>
      <c r="N1319" s="5" t="str">
        <f t="shared" si="331"/>
        <v>No</v>
      </c>
      <c r="O1319" t="str">
        <f>IF(A1319=WORKDAY(EOMONTH(A1319,0)+1,-1,Bank_Holidays!$A$2:$A$25),"Yes","No")</f>
        <v>No</v>
      </c>
      <c r="P1319" t="str">
        <f t="shared" si="332"/>
        <v>No</v>
      </c>
      <c r="Q1319" t="str">
        <f t="shared" si="333"/>
        <v>No</v>
      </c>
      <c r="R1319" s="5">
        <f t="shared" si="335"/>
        <v>0</v>
      </c>
    </row>
    <row r="1320" spans="1:18">
      <c r="A1320" s="25">
        <f t="shared" si="334"/>
        <v>47553</v>
      </c>
      <c r="B1320">
        <f t="shared" si="320"/>
        <v>2030</v>
      </c>
      <c r="C1320" s="9">
        <f t="shared" si="321"/>
        <v>3</v>
      </c>
      <c r="D1320" s="9" t="str">
        <f t="shared" si="322"/>
        <v>March</v>
      </c>
      <c r="E1320" s="9" t="str">
        <f t="shared" si="323"/>
        <v>Mar-30</v>
      </c>
      <c r="F1320" s="9" t="str">
        <f t="shared" si="324"/>
        <v>Q1</v>
      </c>
      <c r="G1320" s="9">
        <f t="shared" si="325"/>
        <v>11</v>
      </c>
      <c r="H1320" s="9">
        <f t="shared" si="326"/>
        <v>1</v>
      </c>
      <c r="I1320" s="9" t="str">
        <f t="shared" si="327"/>
        <v>Monday</v>
      </c>
      <c r="J1320" s="9" t="str">
        <f t="shared" si="328"/>
        <v>No</v>
      </c>
      <c r="K1320" s="5" t="str">
        <f>IF(COUNTIF(Bank_Holidays!A:A,A1320)&gt;0,"Yes","No")</f>
        <v>No</v>
      </c>
      <c r="L1320" t="str">
        <f t="shared" si="329"/>
        <v>Yes</v>
      </c>
      <c r="M1320">
        <f t="shared" si="330"/>
        <v>11</v>
      </c>
      <c r="N1320" s="5" t="str">
        <f t="shared" si="331"/>
        <v>No</v>
      </c>
      <c r="O1320" t="str">
        <f>IF(A1320=WORKDAY(EOMONTH(A1320,0)+1,-1,Bank_Holidays!$A$2:$A$25),"Yes","No")</f>
        <v>No</v>
      </c>
      <c r="P1320" t="str">
        <f t="shared" si="332"/>
        <v>No</v>
      </c>
      <c r="Q1320" t="str">
        <f t="shared" si="333"/>
        <v>No</v>
      </c>
      <c r="R1320" s="5">
        <f t="shared" si="335"/>
        <v>1</v>
      </c>
    </row>
    <row r="1321" spans="1:18">
      <c r="A1321" s="25">
        <f t="shared" si="334"/>
        <v>47554</v>
      </c>
      <c r="B1321">
        <f t="shared" si="320"/>
        <v>2030</v>
      </c>
      <c r="C1321" s="9">
        <f t="shared" si="321"/>
        <v>3</v>
      </c>
      <c r="D1321" s="9" t="str">
        <f t="shared" si="322"/>
        <v>March</v>
      </c>
      <c r="E1321" s="9" t="str">
        <f t="shared" si="323"/>
        <v>Mar-30</v>
      </c>
      <c r="F1321" s="9" t="str">
        <f t="shared" si="324"/>
        <v>Q1</v>
      </c>
      <c r="G1321" s="9">
        <f t="shared" si="325"/>
        <v>12</v>
      </c>
      <c r="H1321" s="9">
        <f t="shared" si="326"/>
        <v>2</v>
      </c>
      <c r="I1321" s="9" t="str">
        <f t="shared" si="327"/>
        <v>Tuesday</v>
      </c>
      <c r="J1321" s="9" t="str">
        <f t="shared" si="328"/>
        <v>No</v>
      </c>
      <c r="K1321" s="5" t="str">
        <f>IF(COUNTIF(Bank_Holidays!A:A,A1321)&gt;0,"Yes","No")</f>
        <v>No</v>
      </c>
      <c r="L1321" t="str">
        <f t="shared" si="329"/>
        <v>Yes</v>
      </c>
      <c r="M1321">
        <f t="shared" si="330"/>
        <v>11</v>
      </c>
      <c r="N1321" s="5" t="str">
        <f t="shared" si="331"/>
        <v>No</v>
      </c>
      <c r="O1321" t="str">
        <f>IF(A1321=WORKDAY(EOMONTH(A1321,0)+1,-1,Bank_Holidays!$A$2:$A$25),"Yes","No")</f>
        <v>No</v>
      </c>
      <c r="P1321" t="str">
        <f t="shared" si="332"/>
        <v>No</v>
      </c>
      <c r="Q1321" t="str">
        <f t="shared" si="333"/>
        <v>No</v>
      </c>
      <c r="R1321" s="5">
        <f t="shared" si="335"/>
        <v>1</v>
      </c>
    </row>
    <row r="1322" spans="1:18">
      <c r="A1322" s="25">
        <f t="shared" si="334"/>
        <v>47555</v>
      </c>
      <c r="B1322">
        <f t="shared" si="320"/>
        <v>2030</v>
      </c>
      <c r="C1322" s="9">
        <f t="shared" si="321"/>
        <v>3</v>
      </c>
      <c r="D1322" s="9" t="str">
        <f t="shared" si="322"/>
        <v>March</v>
      </c>
      <c r="E1322" s="9" t="str">
        <f t="shared" si="323"/>
        <v>Mar-30</v>
      </c>
      <c r="F1322" s="9" t="str">
        <f t="shared" si="324"/>
        <v>Q1</v>
      </c>
      <c r="G1322" s="9">
        <f t="shared" si="325"/>
        <v>13</v>
      </c>
      <c r="H1322" s="9">
        <f t="shared" si="326"/>
        <v>3</v>
      </c>
      <c r="I1322" s="9" t="str">
        <f t="shared" si="327"/>
        <v>Wednesday</v>
      </c>
      <c r="J1322" s="9" t="str">
        <f t="shared" si="328"/>
        <v>No</v>
      </c>
      <c r="K1322" s="5" t="str">
        <f>IF(COUNTIF(Bank_Holidays!A:A,A1322)&gt;0,"Yes","No")</f>
        <v>No</v>
      </c>
      <c r="L1322" t="str">
        <f t="shared" si="329"/>
        <v>Yes</v>
      </c>
      <c r="M1322">
        <f t="shared" si="330"/>
        <v>11</v>
      </c>
      <c r="N1322" s="5" t="str">
        <f t="shared" si="331"/>
        <v>No</v>
      </c>
      <c r="O1322" t="str">
        <f>IF(A1322=WORKDAY(EOMONTH(A1322,0)+1,-1,Bank_Holidays!$A$2:$A$25),"Yes","No")</f>
        <v>No</v>
      </c>
      <c r="P1322" t="str">
        <f t="shared" si="332"/>
        <v>No</v>
      </c>
      <c r="Q1322" t="str">
        <f t="shared" si="333"/>
        <v>No</v>
      </c>
      <c r="R1322" s="5">
        <f t="shared" si="335"/>
        <v>1</v>
      </c>
    </row>
    <row r="1323" spans="1:18">
      <c r="A1323" s="25">
        <f t="shared" si="334"/>
        <v>47556</v>
      </c>
      <c r="B1323">
        <f t="shared" si="320"/>
        <v>2030</v>
      </c>
      <c r="C1323" s="9">
        <f t="shared" si="321"/>
        <v>3</v>
      </c>
      <c r="D1323" s="9" t="str">
        <f t="shared" si="322"/>
        <v>March</v>
      </c>
      <c r="E1323" s="9" t="str">
        <f t="shared" si="323"/>
        <v>Mar-30</v>
      </c>
      <c r="F1323" s="9" t="str">
        <f t="shared" si="324"/>
        <v>Q1</v>
      </c>
      <c r="G1323" s="9">
        <f t="shared" si="325"/>
        <v>14</v>
      </c>
      <c r="H1323" s="9">
        <f t="shared" si="326"/>
        <v>4</v>
      </c>
      <c r="I1323" s="9" t="str">
        <f t="shared" si="327"/>
        <v>Thursday</v>
      </c>
      <c r="J1323" s="9" t="str">
        <f t="shared" si="328"/>
        <v>No</v>
      </c>
      <c r="K1323" s="5" t="str">
        <f>IF(COUNTIF(Bank_Holidays!A:A,A1323)&gt;0,"Yes","No")</f>
        <v>No</v>
      </c>
      <c r="L1323" t="str">
        <f t="shared" si="329"/>
        <v>Yes</v>
      </c>
      <c r="M1323">
        <f t="shared" si="330"/>
        <v>11</v>
      </c>
      <c r="N1323" s="5" t="str">
        <f t="shared" si="331"/>
        <v>No</v>
      </c>
      <c r="O1323" t="str">
        <f>IF(A1323=WORKDAY(EOMONTH(A1323,0)+1,-1,Bank_Holidays!$A$2:$A$25),"Yes","No")</f>
        <v>No</v>
      </c>
      <c r="P1323" t="str">
        <f t="shared" si="332"/>
        <v>No</v>
      </c>
      <c r="Q1323" t="str">
        <f t="shared" si="333"/>
        <v>No</v>
      </c>
      <c r="R1323" s="5">
        <f t="shared" si="335"/>
        <v>1</v>
      </c>
    </row>
    <row r="1324" spans="1:18">
      <c r="A1324" s="25">
        <f t="shared" si="334"/>
        <v>47557</v>
      </c>
      <c r="B1324">
        <f t="shared" si="320"/>
        <v>2030</v>
      </c>
      <c r="C1324" s="9">
        <f t="shared" si="321"/>
        <v>3</v>
      </c>
      <c r="D1324" s="9" t="str">
        <f t="shared" si="322"/>
        <v>March</v>
      </c>
      <c r="E1324" s="9" t="str">
        <f t="shared" si="323"/>
        <v>Mar-30</v>
      </c>
      <c r="F1324" s="9" t="str">
        <f t="shared" si="324"/>
        <v>Q1</v>
      </c>
      <c r="G1324" s="9">
        <f t="shared" si="325"/>
        <v>15</v>
      </c>
      <c r="H1324" s="9">
        <f t="shared" si="326"/>
        <v>5</v>
      </c>
      <c r="I1324" s="9" t="str">
        <f t="shared" si="327"/>
        <v>Friday</v>
      </c>
      <c r="J1324" s="9" t="str">
        <f t="shared" si="328"/>
        <v>No</v>
      </c>
      <c r="K1324" s="5" t="str">
        <f>IF(COUNTIF(Bank_Holidays!A:A,A1324)&gt;0,"Yes","No")</f>
        <v>No</v>
      </c>
      <c r="L1324" t="str">
        <f t="shared" si="329"/>
        <v>Yes</v>
      </c>
      <c r="M1324">
        <f t="shared" si="330"/>
        <v>11</v>
      </c>
      <c r="N1324" s="5" t="str">
        <f t="shared" si="331"/>
        <v>No</v>
      </c>
      <c r="O1324" t="str">
        <f>IF(A1324=WORKDAY(EOMONTH(A1324,0)+1,-1,Bank_Holidays!$A$2:$A$25),"Yes","No")</f>
        <v>No</v>
      </c>
      <c r="P1324" t="str">
        <f t="shared" si="332"/>
        <v>No</v>
      </c>
      <c r="Q1324" t="str">
        <f t="shared" si="333"/>
        <v>No</v>
      </c>
      <c r="R1324" s="5">
        <f t="shared" si="335"/>
        <v>3</v>
      </c>
    </row>
    <row r="1325" spans="1:18">
      <c r="A1325" s="25">
        <f t="shared" si="334"/>
        <v>47558</v>
      </c>
      <c r="B1325">
        <f t="shared" si="320"/>
        <v>2030</v>
      </c>
      <c r="C1325" s="9">
        <f t="shared" si="321"/>
        <v>3</v>
      </c>
      <c r="D1325" s="9" t="str">
        <f t="shared" si="322"/>
        <v>March</v>
      </c>
      <c r="E1325" s="9" t="str">
        <f t="shared" si="323"/>
        <v>Mar-30</v>
      </c>
      <c r="F1325" s="9" t="str">
        <f t="shared" si="324"/>
        <v>Q1</v>
      </c>
      <c r="G1325" s="9">
        <f t="shared" si="325"/>
        <v>16</v>
      </c>
      <c r="H1325" s="9">
        <f t="shared" si="326"/>
        <v>6</v>
      </c>
      <c r="I1325" s="9" t="str">
        <f t="shared" si="327"/>
        <v>Saturday</v>
      </c>
      <c r="J1325" s="9" t="str">
        <f t="shared" si="328"/>
        <v>Yes</v>
      </c>
      <c r="K1325" s="5" t="str">
        <f>IF(COUNTIF(Bank_Holidays!A:A,A1325)&gt;0,"Yes","No")</f>
        <v>No</v>
      </c>
      <c r="L1325" t="str">
        <f t="shared" si="329"/>
        <v>No</v>
      </c>
      <c r="M1325">
        <f t="shared" si="330"/>
        <v>11</v>
      </c>
      <c r="N1325" s="5" t="str">
        <f t="shared" si="331"/>
        <v>No</v>
      </c>
      <c r="O1325" t="str">
        <f>IF(A1325=WORKDAY(EOMONTH(A1325,0)+1,-1,Bank_Holidays!$A$2:$A$25),"Yes","No")</f>
        <v>No</v>
      </c>
      <c r="P1325" t="str">
        <f t="shared" si="332"/>
        <v>No</v>
      </c>
      <c r="Q1325" t="str">
        <f t="shared" si="333"/>
        <v>No</v>
      </c>
      <c r="R1325" s="5">
        <f t="shared" si="335"/>
        <v>0</v>
      </c>
    </row>
    <row r="1326" spans="1:18">
      <c r="A1326" s="25">
        <f t="shared" si="334"/>
        <v>47559</v>
      </c>
      <c r="B1326">
        <f t="shared" si="320"/>
        <v>2030</v>
      </c>
      <c r="C1326" s="9">
        <f t="shared" si="321"/>
        <v>3</v>
      </c>
      <c r="D1326" s="9" t="str">
        <f t="shared" si="322"/>
        <v>March</v>
      </c>
      <c r="E1326" s="9" t="str">
        <f t="shared" si="323"/>
        <v>Mar-30</v>
      </c>
      <c r="F1326" s="9" t="str">
        <f t="shared" si="324"/>
        <v>Q1</v>
      </c>
      <c r="G1326" s="9">
        <f t="shared" si="325"/>
        <v>17</v>
      </c>
      <c r="H1326" s="9">
        <f t="shared" si="326"/>
        <v>7</v>
      </c>
      <c r="I1326" s="9" t="str">
        <f t="shared" si="327"/>
        <v>Sunday</v>
      </c>
      <c r="J1326" s="9" t="str">
        <f t="shared" si="328"/>
        <v>Yes</v>
      </c>
      <c r="K1326" s="5" t="str">
        <f>IF(COUNTIF(Bank_Holidays!A:A,A1326)&gt;0,"Yes","No")</f>
        <v>No</v>
      </c>
      <c r="L1326" t="str">
        <f t="shared" si="329"/>
        <v>No</v>
      </c>
      <c r="M1326">
        <f t="shared" si="330"/>
        <v>11</v>
      </c>
      <c r="N1326" s="5" t="str">
        <f t="shared" si="331"/>
        <v>No</v>
      </c>
      <c r="O1326" t="str">
        <f>IF(A1326=WORKDAY(EOMONTH(A1326,0)+1,-1,Bank_Holidays!$A$2:$A$25),"Yes","No")</f>
        <v>No</v>
      </c>
      <c r="P1326" t="str">
        <f t="shared" si="332"/>
        <v>No</v>
      </c>
      <c r="Q1326" t="str">
        <f t="shared" si="333"/>
        <v>No</v>
      </c>
      <c r="R1326" s="5">
        <f t="shared" si="335"/>
        <v>0</v>
      </c>
    </row>
    <row r="1327" spans="1:18">
      <c r="A1327" s="25">
        <f t="shared" si="334"/>
        <v>47560</v>
      </c>
      <c r="B1327">
        <f t="shared" si="320"/>
        <v>2030</v>
      </c>
      <c r="C1327" s="9">
        <f t="shared" si="321"/>
        <v>3</v>
      </c>
      <c r="D1327" s="9" t="str">
        <f t="shared" si="322"/>
        <v>March</v>
      </c>
      <c r="E1327" s="9" t="str">
        <f t="shared" si="323"/>
        <v>Mar-30</v>
      </c>
      <c r="F1327" s="9" t="str">
        <f t="shared" si="324"/>
        <v>Q1</v>
      </c>
      <c r="G1327" s="9">
        <f t="shared" si="325"/>
        <v>18</v>
      </c>
      <c r="H1327" s="9">
        <f t="shared" si="326"/>
        <v>1</v>
      </c>
      <c r="I1327" s="9" t="str">
        <f t="shared" si="327"/>
        <v>Monday</v>
      </c>
      <c r="J1327" s="9" t="str">
        <f t="shared" si="328"/>
        <v>No</v>
      </c>
      <c r="K1327" s="5" t="str">
        <f>IF(COUNTIF(Bank_Holidays!A:A,A1327)&gt;0,"Yes","No")</f>
        <v>No</v>
      </c>
      <c r="L1327" t="str">
        <f t="shared" si="329"/>
        <v>Yes</v>
      </c>
      <c r="M1327">
        <f t="shared" si="330"/>
        <v>12</v>
      </c>
      <c r="N1327" s="5" t="str">
        <f t="shared" si="331"/>
        <v>No</v>
      </c>
      <c r="O1327" t="str">
        <f>IF(A1327=WORKDAY(EOMONTH(A1327,0)+1,-1,Bank_Holidays!$A$2:$A$25),"Yes","No")</f>
        <v>No</v>
      </c>
      <c r="P1327" t="str">
        <f t="shared" si="332"/>
        <v>No</v>
      </c>
      <c r="Q1327" t="str">
        <f t="shared" si="333"/>
        <v>No</v>
      </c>
      <c r="R1327" s="5">
        <f t="shared" si="335"/>
        <v>1</v>
      </c>
    </row>
    <row r="1328" spans="1:18">
      <c r="A1328" s="25">
        <f t="shared" si="334"/>
        <v>47561</v>
      </c>
      <c r="B1328">
        <f t="shared" si="320"/>
        <v>2030</v>
      </c>
      <c r="C1328" s="9">
        <f t="shared" si="321"/>
        <v>3</v>
      </c>
      <c r="D1328" s="9" t="str">
        <f t="shared" si="322"/>
        <v>March</v>
      </c>
      <c r="E1328" s="9" t="str">
        <f t="shared" si="323"/>
        <v>Mar-30</v>
      </c>
      <c r="F1328" s="9" t="str">
        <f t="shared" si="324"/>
        <v>Q1</v>
      </c>
      <c r="G1328" s="9">
        <f t="shared" si="325"/>
        <v>19</v>
      </c>
      <c r="H1328" s="9">
        <f t="shared" si="326"/>
        <v>2</v>
      </c>
      <c r="I1328" s="9" t="str">
        <f t="shared" si="327"/>
        <v>Tuesday</v>
      </c>
      <c r="J1328" s="9" t="str">
        <f t="shared" si="328"/>
        <v>No</v>
      </c>
      <c r="K1328" s="5" t="str">
        <f>IF(COUNTIF(Bank_Holidays!A:A,A1328)&gt;0,"Yes","No")</f>
        <v>No</v>
      </c>
      <c r="L1328" t="str">
        <f t="shared" si="329"/>
        <v>Yes</v>
      </c>
      <c r="M1328">
        <f t="shared" si="330"/>
        <v>12</v>
      </c>
      <c r="N1328" s="5" t="str">
        <f t="shared" si="331"/>
        <v>No</v>
      </c>
      <c r="O1328" t="str">
        <f>IF(A1328=WORKDAY(EOMONTH(A1328,0)+1,-1,Bank_Holidays!$A$2:$A$25),"Yes","No")</f>
        <v>No</v>
      </c>
      <c r="P1328" t="str">
        <f t="shared" si="332"/>
        <v>No</v>
      </c>
      <c r="Q1328" t="str">
        <f t="shared" si="333"/>
        <v>No</v>
      </c>
      <c r="R1328" s="5">
        <f t="shared" si="335"/>
        <v>1</v>
      </c>
    </row>
    <row r="1329" spans="1:18">
      <c r="A1329" s="25">
        <f t="shared" si="334"/>
        <v>47562</v>
      </c>
      <c r="B1329">
        <f t="shared" si="320"/>
        <v>2030</v>
      </c>
      <c r="C1329" s="9">
        <f t="shared" si="321"/>
        <v>3</v>
      </c>
      <c r="D1329" s="9" t="str">
        <f t="shared" si="322"/>
        <v>March</v>
      </c>
      <c r="E1329" s="9" t="str">
        <f t="shared" si="323"/>
        <v>Mar-30</v>
      </c>
      <c r="F1329" s="9" t="str">
        <f t="shared" si="324"/>
        <v>Q1</v>
      </c>
      <c r="G1329" s="9">
        <f t="shared" si="325"/>
        <v>20</v>
      </c>
      <c r="H1329" s="9">
        <f t="shared" si="326"/>
        <v>3</v>
      </c>
      <c r="I1329" s="9" t="str">
        <f t="shared" si="327"/>
        <v>Wednesday</v>
      </c>
      <c r="J1329" s="9" t="str">
        <f t="shared" si="328"/>
        <v>No</v>
      </c>
      <c r="K1329" s="5" t="str">
        <f>IF(COUNTIF(Bank_Holidays!A:A,A1329)&gt;0,"Yes","No")</f>
        <v>No</v>
      </c>
      <c r="L1329" t="str">
        <f t="shared" si="329"/>
        <v>Yes</v>
      </c>
      <c r="M1329">
        <f t="shared" si="330"/>
        <v>12</v>
      </c>
      <c r="N1329" s="5" t="str">
        <f t="shared" si="331"/>
        <v>No</v>
      </c>
      <c r="O1329" t="str">
        <f>IF(A1329=WORKDAY(EOMONTH(A1329,0)+1,-1,Bank_Holidays!$A$2:$A$25),"Yes","No")</f>
        <v>No</v>
      </c>
      <c r="P1329" t="str">
        <f t="shared" si="332"/>
        <v>No</v>
      </c>
      <c r="Q1329" t="str">
        <f t="shared" si="333"/>
        <v>No</v>
      </c>
      <c r="R1329" s="5">
        <f t="shared" si="335"/>
        <v>1</v>
      </c>
    </row>
    <row r="1330" spans="1:18">
      <c r="A1330" s="25">
        <f t="shared" si="334"/>
        <v>47563</v>
      </c>
      <c r="B1330">
        <f t="shared" si="320"/>
        <v>2030</v>
      </c>
      <c r="C1330" s="9">
        <f t="shared" si="321"/>
        <v>3</v>
      </c>
      <c r="D1330" s="9" t="str">
        <f t="shared" si="322"/>
        <v>March</v>
      </c>
      <c r="E1330" s="9" t="str">
        <f t="shared" si="323"/>
        <v>Mar-30</v>
      </c>
      <c r="F1330" s="9" t="str">
        <f t="shared" si="324"/>
        <v>Q1</v>
      </c>
      <c r="G1330" s="9">
        <f t="shared" si="325"/>
        <v>21</v>
      </c>
      <c r="H1330" s="9">
        <f t="shared" si="326"/>
        <v>4</v>
      </c>
      <c r="I1330" s="9" t="str">
        <f t="shared" si="327"/>
        <v>Thursday</v>
      </c>
      <c r="J1330" s="9" t="str">
        <f t="shared" si="328"/>
        <v>No</v>
      </c>
      <c r="K1330" s="5" t="str">
        <f>IF(COUNTIF(Bank_Holidays!A:A,A1330)&gt;0,"Yes","No")</f>
        <v>No</v>
      </c>
      <c r="L1330" t="str">
        <f t="shared" si="329"/>
        <v>Yes</v>
      </c>
      <c r="M1330">
        <f t="shared" si="330"/>
        <v>12</v>
      </c>
      <c r="N1330" s="5" t="str">
        <f t="shared" si="331"/>
        <v>No</v>
      </c>
      <c r="O1330" t="str">
        <f>IF(A1330=WORKDAY(EOMONTH(A1330,0)+1,-1,Bank_Holidays!$A$2:$A$25),"Yes","No")</f>
        <v>No</v>
      </c>
      <c r="P1330" t="str">
        <f t="shared" si="332"/>
        <v>No</v>
      </c>
      <c r="Q1330" t="str">
        <f t="shared" si="333"/>
        <v>No</v>
      </c>
      <c r="R1330" s="5">
        <f t="shared" si="335"/>
        <v>1</v>
      </c>
    </row>
    <row r="1331" spans="1:18">
      <c r="A1331" s="25">
        <f t="shared" si="334"/>
        <v>47564</v>
      </c>
      <c r="B1331">
        <f t="shared" si="320"/>
        <v>2030</v>
      </c>
      <c r="C1331" s="9">
        <f t="shared" si="321"/>
        <v>3</v>
      </c>
      <c r="D1331" s="9" t="str">
        <f t="shared" si="322"/>
        <v>March</v>
      </c>
      <c r="E1331" s="9" t="str">
        <f t="shared" si="323"/>
        <v>Mar-30</v>
      </c>
      <c r="F1331" s="9" t="str">
        <f t="shared" si="324"/>
        <v>Q1</v>
      </c>
      <c r="G1331" s="9">
        <f t="shared" si="325"/>
        <v>22</v>
      </c>
      <c r="H1331" s="9">
        <f t="shared" si="326"/>
        <v>5</v>
      </c>
      <c r="I1331" s="9" t="str">
        <f t="shared" si="327"/>
        <v>Friday</v>
      </c>
      <c r="J1331" s="9" t="str">
        <f t="shared" si="328"/>
        <v>No</v>
      </c>
      <c r="K1331" s="5" t="str">
        <f>IF(COUNTIF(Bank_Holidays!A:A,A1331)&gt;0,"Yes","No")</f>
        <v>No</v>
      </c>
      <c r="L1331" t="str">
        <f t="shared" si="329"/>
        <v>Yes</v>
      </c>
      <c r="M1331">
        <f t="shared" si="330"/>
        <v>12</v>
      </c>
      <c r="N1331" s="5" t="str">
        <f t="shared" si="331"/>
        <v>No</v>
      </c>
      <c r="O1331" t="str">
        <f>IF(A1331=WORKDAY(EOMONTH(A1331,0)+1,-1,Bank_Holidays!$A$2:$A$25),"Yes","No")</f>
        <v>No</v>
      </c>
      <c r="P1331" t="str">
        <f t="shared" si="332"/>
        <v>No</v>
      </c>
      <c r="Q1331" t="str">
        <f t="shared" si="333"/>
        <v>No</v>
      </c>
      <c r="R1331" s="5">
        <f t="shared" si="335"/>
        <v>3</v>
      </c>
    </row>
    <row r="1332" spans="1:18">
      <c r="A1332" s="25">
        <f t="shared" si="334"/>
        <v>47565</v>
      </c>
      <c r="B1332">
        <f t="shared" si="320"/>
        <v>2030</v>
      </c>
      <c r="C1332" s="9">
        <f t="shared" si="321"/>
        <v>3</v>
      </c>
      <c r="D1332" s="9" t="str">
        <f t="shared" si="322"/>
        <v>March</v>
      </c>
      <c r="E1332" s="9" t="str">
        <f t="shared" si="323"/>
        <v>Mar-30</v>
      </c>
      <c r="F1332" s="9" t="str">
        <f t="shared" si="324"/>
        <v>Q1</v>
      </c>
      <c r="G1332" s="9">
        <f t="shared" si="325"/>
        <v>23</v>
      </c>
      <c r="H1332" s="9">
        <f t="shared" si="326"/>
        <v>6</v>
      </c>
      <c r="I1332" s="9" t="str">
        <f t="shared" si="327"/>
        <v>Saturday</v>
      </c>
      <c r="J1332" s="9" t="str">
        <f t="shared" si="328"/>
        <v>Yes</v>
      </c>
      <c r="K1332" s="5" t="str">
        <f>IF(COUNTIF(Bank_Holidays!A:A,A1332)&gt;0,"Yes","No")</f>
        <v>No</v>
      </c>
      <c r="L1332" t="str">
        <f t="shared" si="329"/>
        <v>No</v>
      </c>
      <c r="M1332">
        <f t="shared" si="330"/>
        <v>12</v>
      </c>
      <c r="N1332" s="5" t="str">
        <f t="shared" si="331"/>
        <v>No</v>
      </c>
      <c r="O1332" t="str">
        <f>IF(A1332=WORKDAY(EOMONTH(A1332,0)+1,-1,Bank_Holidays!$A$2:$A$25),"Yes","No")</f>
        <v>No</v>
      </c>
      <c r="P1332" t="str">
        <f t="shared" si="332"/>
        <v>No</v>
      </c>
      <c r="Q1332" t="str">
        <f t="shared" si="333"/>
        <v>No</v>
      </c>
      <c r="R1332" s="5">
        <f t="shared" si="335"/>
        <v>0</v>
      </c>
    </row>
    <row r="1333" spans="1:18">
      <c r="A1333" s="25">
        <f t="shared" si="334"/>
        <v>47566</v>
      </c>
      <c r="B1333">
        <f t="shared" si="320"/>
        <v>2030</v>
      </c>
      <c r="C1333" s="9">
        <f t="shared" si="321"/>
        <v>3</v>
      </c>
      <c r="D1333" s="9" t="str">
        <f t="shared" si="322"/>
        <v>March</v>
      </c>
      <c r="E1333" s="9" t="str">
        <f t="shared" si="323"/>
        <v>Mar-30</v>
      </c>
      <c r="F1333" s="9" t="str">
        <f t="shared" si="324"/>
        <v>Q1</v>
      </c>
      <c r="G1333" s="9">
        <f t="shared" si="325"/>
        <v>24</v>
      </c>
      <c r="H1333" s="9">
        <f t="shared" si="326"/>
        <v>7</v>
      </c>
      <c r="I1333" s="9" t="str">
        <f t="shared" si="327"/>
        <v>Sunday</v>
      </c>
      <c r="J1333" s="9" t="str">
        <f t="shared" si="328"/>
        <v>Yes</v>
      </c>
      <c r="K1333" s="5" t="str">
        <f>IF(COUNTIF(Bank_Holidays!A:A,A1333)&gt;0,"Yes","No")</f>
        <v>No</v>
      </c>
      <c r="L1333" t="str">
        <f t="shared" si="329"/>
        <v>No</v>
      </c>
      <c r="M1333">
        <f t="shared" si="330"/>
        <v>12</v>
      </c>
      <c r="N1333" s="5" t="str">
        <f t="shared" si="331"/>
        <v>No</v>
      </c>
      <c r="O1333" t="str">
        <f>IF(A1333=WORKDAY(EOMONTH(A1333,0)+1,-1,Bank_Holidays!$A$2:$A$25),"Yes","No")</f>
        <v>No</v>
      </c>
      <c r="P1333" t="str">
        <f t="shared" si="332"/>
        <v>No</v>
      </c>
      <c r="Q1333" t="str">
        <f t="shared" si="333"/>
        <v>No</v>
      </c>
      <c r="R1333" s="5">
        <f t="shared" si="335"/>
        <v>0</v>
      </c>
    </row>
    <row r="1334" spans="1:18">
      <c r="A1334" s="25">
        <f t="shared" si="334"/>
        <v>47567</v>
      </c>
      <c r="B1334">
        <f t="shared" si="320"/>
        <v>2030</v>
      </c>
      <c r="C1334" s="9">
        <f t="shared" si="321"/>
        <v>3</v>
      </c>
      <c r="D1334" s="9" t="str">
        <f t="shared" si="322"/>
        <v>March</v>
      </c>
      <c r="E1334" s="9" t="str">
        <f t="shared" si="323"/>
        <v>Mar-30</v>
      </c>
      <c r="F1334" s="9" t="str">
        <f t="shared" si="324"/>
        <v>Q1</v>
      </c>
      <c r="G1334" s="9">
        <f t="shared" si="325"/>
        <v>25</v>
      </c>
      <c r="H1334" s="9">
        <f t="shared" si="326"/>
        <v>1</v>
      </c>
      <c r="I1334" s="9" t="str">
        <f t="shared" si="327"/>
        <v>Monday</v>
      </c>
      <c r="J1334" s="9" t="str">
        <f t="shared" si="328"/>
        <v>No</v>
      </c>
      <c r="K1334" s="5" t="str">
        <f>IF(COUNTIF(Bank_Holidays!A:A,A1334)&gt;0,"Yes","No")</f>
        <v>No</v>
      </c>
      <c r="L1334" t="str">
        <f t="shared" si="329"/>
        <v>Yes</v>
      </c>
      <c r="M1334">
        <f t="shared" si="330"/>
        <v>13</v>
      </c>
      <c r="N1334" s="5" t="str">
        <f t="shared" si="331"/>
        <v>No</v>
      </c>
      <c r="O1334" t="str">
        <f>IF(A1334=WORKDAY(EOMONTH(A1334,0)+1,-1,Bank_Holidays!$A$2:$A$25),"Yes","No")</f>
        <v>No</v>
      </c>
      <c r="P1334" t="str">
        <f t="shared" si="332"/>
        <v>No</v>
      </c>
      <c r="Q1334" t="str">
        <f t="shared" si="333"/>
        <v>No</v>
      </c>
      <c r="R1334" s="5">
        <f t="shared" si="335"/>
        <v>1</v>
      </c>
    </row>
    <row r="1335" spans="1:18">
      <c r="A1335" s="25">
        <f t="shared" si="334"/>
        <v>47568</v>
      </c>
      <c r="B1335">
        <f t="shared" si="320"/>
        <v>2030</v>
      </c>
      <c r="C1335" s="9">
        <f t="shared" si="321"/>
        <v>3</v>
      </c>
      <c r="D1335" s="9" t="str">
        <f t="shared" si="322"/>
        <v>March</v>
      </c>
      <c r="E1335" s="9" t="str">
        <f t="shared" si="323"/>
        <v>Mar-30</v>
      </c>
      <c r="F1335" s="9" t="str">
        <f t="shared" si="324"/>
        <v>Q1</v>
      </c>
      <c r="G1335" s="9">
        <f t="shared" si="325"/>
        <v>26</v>
      </c>
      <c r="H1335" s="9">
        <f t="shared" si="326"/>
        <v>2</v>
      </c>
      <c r="I1335" s="9" t="str">
        <f t="shared" si="327"/>
        <v>Tuesday</v>
      </c>
      <c r="J1335" s="9" t="str">
        <f t="shared" si="328"/>
        <v>No</v>
      </c>
      <c r="K1335" s="5" t="str">
        <f>IF(COUNTIF(Bank_Holidays!A:A,A1335)&gt;0,"Yes","No")</f>
        <v>No</v>
      </c>
      <c r="L1335" t="str">
        <f t="shared" si="329"/>
        <v>Yes</v>
      </c>
      <c r="M1335">
        <f t="shared" si="330"/>
        <v>13</v>
      </c>
      <c r="N1335" s="5" t="str">
        <f t="shared" si="331"/>
        <v>No</v>
      </c>
      <c r="O1335" t="str">
        <f>IF(A1335=WORKDAY(EOMONTH(A1335,0)+1,-1,Bank_Holidays!$A$2:$A$25),"Yes","No")</f>
        <v>No</v>
      </c>
      <c r="P1335" t="str">
        <f t="shared" si="332"/>
        <v>No</v>
      </c>
      <c r="Q1335" t="str">
        <f t="shared" si="333"/>
        <v>No</v>
      </c>
      <c r="R1335" s="5">
        <f t="shared" si="335"/>
        <v>1</v>
      </c>
    </row>
    <row r="1336" spans="1:18">
      <c r="A1336" s="25">
        <f t="shared" si="334"/>
        <v>47569</v>
      </c>
      <c r="B1336">
        <f t="shared" si="320"/>
        <v>2030</v>
      </c>
      <c r="C1336" s="9">
        <f t="shared" si="321"/>
        <v>3</v>
      </c>
      <c r="D1336" s="9" t="str">
        <f t="shared" si="322"/>
        <v>March</v>
      </c>
      <c r="E1336" s="9" t="str">
        <f t="shared" si="323"/>
        <v>Mar-30</v>
      </c>
      <c r="F1336" s="9" t="str">
        <f t="shared" si="324"/>
        <v>Q1</v>
      </c>
      <c r="G1336" s="9">
        <f t="shared" si="325"/>
        <v>27</v>
      </c>
      <c r="H1336" s="9">
        <f t="shared" si="326"/>
        <v>3</v>
      </c>
      <c r="I1336" s="9" t="str">
        <f t="shared" si="327"/>
        <v>Wednesday</v>
      </c>
      <c r="J1336" s="9" t="str">
        <f t="shared" si="328"/>
        <v>No</v>
      </c>
      <c r="K1336" s="5" t="str">
        <f>IF(COUNTIF(Bank_Holidays!A:A,A1336)&gt;0,"Yes","No")</f>
        <v>No</v>
      </c>
      <c r="L1336" t="str">
        <f t="shared" si="329"/>
        <v>Yes</v>
      </c>
      <c r="M1336">
        <f t="shared" si="330"/>
        <v>13</v>
      </c>
      <c r="N1336" s="5" t="str">
        <f t="shared" si="331"/>
        <v>No</v>
      </c>
      <c r="O1336" t="str">
        <f>IF(A1336=WORKDAY(EOMONTH(A1336,0)+1,-1,Bank_Holidays!$A$2:$A$25),"Yes","No")</f>
        <v>No</v>
      </c>
      <c r="P1336" t="str">
        <f t="shared" si="332"/>
        <v>No</v>
      </c>
      <c r="Q1336" t="str">
        <f t="shared" si="333"/>
        <v>No</v>
      </c>
      <c r="R1336" s="5">
        <f t="shared" si="335"/>
        <v>1</v>
      </c>
    </row>
    <row r="1337" spans="1:18">
      <c r="A1337" s="25">
        <f t="shared" si="334"/>
        <v>47570</v>
      </c>
      <c r="B1337">
        <f t="shared" si="320"/>
        <v>2030</v>
      </c>
      <c r="C1337" s="9">
        <f t="shared" si="321"/>
        <v>3</v>
      </c>
      <c r="D1337" s="9" t="str">
        <f t="shared" si="322"/>
        <v>March</v>
      </c>
      <c r="E1337" s="9" t="str">
        <f t="shared" si="323"/>
        <v>Mar-30</v>
      </c>
      <c r="F1337" s="9" t="str">
        <f t="shared" si="324"/>
        <v>Q1</v>
      </c>
      <c r="G1337" s="9">
        <f t="shared" si="325"/>
        <v>28</v>
      </c>
      <c r="H1337" s="9">
        <f t="shared" si="326"/>
        <v>4</v>
      </c>
      <c r="I1337" s="9" t="str">
        <f t="shared" si="327"/>
        <v>Thursday</v>
      </c>
      <c r="J1337" s="9" t="str">
        <f t="shared" si="328"/>
        <v>No</v>
      </c>
      <c r="K1337" s="5" t="str">
        <f>IF(COUNTIF(Bank_Holidays!A:A,A1337)&gt;0,"Yes","No")</f>
        <v>No</v>
      </c>
      <c r="L1337" t="str">
        <f t="shared" si="329"/>
        <v>Yes</v>
      </c>
      <c r="M1337">
        <f t="shared" si="330"/>
        <v>13</v>
      </c>
      <c r="N1337" s="5" t="str">
        <f t="shared" si="331"/>
        <v>No</v>
      </c>
      <c r="O1337" t="str">
        <f>IF(A1337=WORKDAY(EOMONTH(A1337,0)+1,-1,Bank_Holidays!$A$2:$A$25),"Yes","No")</f>
        <v>No</v>
      </c>
      <c r="P1337" t="str">
        <f t="shared" si="332"/>
        <v>No</v>
      </c>
      <c r="Q1337" t="str">
        <f t="shared" si="333"/>
        <v>Yes</v>
      </c>
      <c r="R1337" s="5">
        <f t="shared" si="335"/>
        <v>1</v>
      </c>
    </row>
    <row r="1338" spans="1:18">
      <c r="A1338" s="25">
        <f t="shared" si="334"/>
        <v>47571</v>
      </c>
      <c r="B1338">
        <f t="shared" si="320"/>
        <v>2030</v>
      </c>
      <c r="C1338" s="9">
        <f t="shared" si="321"/>
        <v>3</v>
      </c>
      <c r="D1338" s="9" t="str">
        <f t="shared" si="322"/>
        <v>March</v>
      </c>
      <c r="E1338" s="9" t="str">
        <f t="shared" si="323"/>
        <v>Mar-30</v>
      </c>
      <c r="F1338" s="9" t="str">
        <f t="shared" si="324"/>
        <v>Q1</v>
      </c>
      <c r="G1338" s="9">
        <f t="shared" si="325"/>
        <v>29</v>
      </c>
      <c r="H1338" s="9">
        <f t="shared" si="326"/>
        <v>5</v>
      </c>
      <c r="I1338" s="9" t="str">
        <f t="shared" si="327"/>
        <v>Friday</v>
      </c>
      <c r="J1338" s="9" t="str">
        <f t="shared" si="328"/>
        <v>No</v>
      </c>
      <c r="K1338" s="5" t="str">
        <f>IF(COUNTIF(Bank_Holidays!A:A,A1338)&gt;0,"Yes","No")</f>
        <v>No</v>
      </c>
      <c r="L1338" t="str">
        <f t="shared" si="329"/>
        <v>Yes</v>
      </c>
      <c r="M1338">
        <f t="shared" si="330"/>
        <v>13</v>
      </c>
      <c r="N1338" s="5" t="str">
        <f t="shared" si="331"/>
        <v>No</v>
      </c>
      <c r="O1338" t="str">
        <f>IF(A1338=WORKDAY(EOMONTH(A1338,0)+1,-1,Bank_Holidays!$A$2:$A$25),"Yes","No")</f>
        <v>Yes</v>
      </c>
      <c r="P1338" t="str">
        <f t="shared" si="332"/>
        <v>Yes</v>
      </c>
      <c r="Q1338" t="str">
        <f t="shared" si="333"/>
        <v>No</v>
      </c>
      <c r="R1338" s="5">
        <f t="shared" si="335"/>
        <v>3</v>
      </c>
    </row>
    <row r="1339" spans="1:18">
      <c r="A1339" s="25">
        <f t="shared" si="334"/>
        <v>47572</v>
      </c>
      <c r="B1339">
        <f t="shared" si="320"/>
        <v>2030</v>
      </c>
      <c r="C1339" s="9">
        <f t="shared" si="321"/>
        <v>3</v>
      </c>
      <c r="D1339" s="9" t="str">
        <f t="shared" si="322"/>
        <v>March</v>
      </c>
      <c r="E1339" s="9" t="str">
        <f t="shared" si="323"/>
        <v>Mar-30</v>
      </c>
      <c r="F1339" s="9" t="str">
        <f t="shared" si="324"/>
        <v>Q1</v>
      </c>
      <c r="G1339" s="9">
        <f t="shared" si="325"/>
        <v>30</v>
      </c>
      <c r="H1339" s="9">
        <f t="shared" si="326"/>
        <v>6</v>
      </c>
      <c r="I1339" s="9" t="str">
        <f t="shared" si="327"/>
        <v>Saturday</v>
      </c>
      <c r="J1339" s="9" t="str">
        <f t="shared" si="328"/>
        <v>Yes</v>
      </c>
      <c r="K1339" s="5" t="str">
        <f>IF(COUNTIF(Bank_Holidays!A:A,A1339)&gt;0,"Yes","No")</f>
        <v>No</v>
      </c>
      <c r="L1339" t="str">
        <f t="shared" si="329"/>
        <v>No</v>
      </c>
      <c r="M1339">
        <f t="shared" si="330"/>
        <v>13</v>
      </c>
      <c r="N1339" s="5" t="str">
        <f t="shared" si="331"/>
        <v>No</v>
      </c>
      <c r="O1339" t="str">
        <f>IF(A1339=WORKDAY(EOMONTH(A1339,0)+1,-1,Bank_Holidays!$A$2:$A$25),"Yes","No")</f>
        <v>No</v>
      </c>
      <c r="P1339" t="str">
        <f t="shared" si="332"/>
        <v>No</v>
      </c>
      <c r="Q1339" t="str">
        <f t="shared" si="333"/>
        <v>No</v>
      </c>
      <c r="R1339" s="5">
        <f t="shared" si="335"/>
        <v>0</v>
      </c>
    </row>
    <row r="1340" spans="1:18">
      <c r="A1340" s="25">
        <f t="shared" si="334"/>
        <v>47573</v>
      </c>
      <c r="B1340">
        <f t="shared" si="320"/>
        <v>2030</v>
      </c>
      <c r="C1340" s="9">
        <f t="shared" si="321"/>
        <v>3</v>
      </c>
      <c r="D1340" s="9" t="str">
        <f t="shared" si="322"/>
        <v>March</v>
      </c>
      <c r="E1340" s="9" t="str">
        <f t="shared" si="323"/>
        <v>Mar-30</v>
      </c>
      <c r="F1340" s="9" t="str">
        <f t="shared" si="324"/>
        <v>Q1</v>
      </c>
      <c r="G1340" s="9">
        <f t="shared" si="325"/>
        <v>31</v>
      </c>
      <c r="H1340" s="9">
        <f t="shared" si="326"/>
        <v>7</v>
      </c>
      <c r="I1340" s="9" t="str">
        <f t="shared" si="327"/>
        <v>Sunday</v>
      </c>
      <c r="J1340" s="9" t="str">
        <f t="shared" si="328"/>
        <v>Yes</v>
      </c>
      <c r="K1340" s="5" t="str">
        <f>IF(COUNTIF(Bank_Holidays!A:A,A1340)&gt;0,"Yes","No")</f>
        <v>No</v>
      </c>
      <c r="L1340" t="str">
        <f t="shared" si="329"/>
        <v>No</v>
      </c>
      <c r="M1340">
        <f t="shared" si="330"/>
        <v>13</v>
      </c>
      <c r="N1340" s="5" t="str">
        <f t="shared" si="331"/>
        <v>Yes</v>
      </c>
      <c r="O1340" t="str">
        <f>IF(A1340=WORKDAY(EOMONTH(A1340,0)+1,-1,Bank_Holidays!$A$2:$A$25),"Yes","No")</f>
        <v>No</v>
      </c>
      <c r="P1340" t="str">
        <f t="shared" si="332"/>
        <v>No</v>
      </c>
      <c r="Q1340" t="str">
        <f t="shared" si="333"/>
        <v>No</v>
      </c>
      <c r="R1340" s="5">
        <f t="shared" si="335"/>
        <v>0</v>
      </c>
    </row>
    <row r="1341" spans="1:18">
      <c r="A1341" s="25">
        <f t="shared" si="334"/>
        <v>47574</v>
      </c>
      <c r="B1341">
        <f t="shared" si="320"/>
        <v>2030</v>
      </c>
      <c r="C1341" s="9">
        <f t="shared" si="321"/>
        <v>4</v>
      </c>
      <c r="D1341" s="9" t="str">
        <f t="shared" si="322"/>
        <v>April</v>
      </c>
      <c r="E1341" s="9" t="str">
        <f t="shared" si="323"/>
        <v>Apr-30</v>
      </c>
      <c r="F1341" s="9" t="str">
        <f t="shared" si="324"/>
        <v>Q2</v>
      </c>
      <c r="G1341" s="9">
        <f t="shared" si="325"/>
        <v>1</v>
      </c>
      <c r="H1341" s="9">
        <f t="shared" si="326"/>
        <v>1</v>
      </c>
      <c r="I1341" s="9" t="str">
        <f t="shared" si="327"/>
        <v>Monday</v>
      </c>
      <c r="J1341" s="9" t="str">
        <f t="shared" si="328"/>
        <v>No</v>
      </c>
      <c r="K1341" s="5" t="str">
        <f>IF(COUNTIF(Bank_Holidays!A:A,A1341)&gt;0,"Yes","No")</f>
        <v>No</v>
      </c>
      <c r="L1341" t="str">
        <f t="shared" si="329"/>
        <v>Yes</v>
      </c>
      <c r="M1341">
        <f t="shared" si="330"/>
        <v>14</v>
      </c>
      <c r="N1341" s="5" t="str">
        <f t="shared" si="331"/>
        <v>No</v>
      </c>
      <c r="O1341" t="str">
        <f>IF(A1341=WORKDAY(EOMONTH(A1341,0)+1,-1,Bank_Holidays!$A$2:$A$25),"Yes","No")</f>
        <v>No</v>
      </c>
      <c r="P1341" t="str">
        <f t="shared" si="332"/>
        <v>No</v>
      </c>
      <c r="Q1341" t="str">
        <f t="shared" si="333"/>
        <v>No</v>
      </c>
      <c r="R1341" s="5">
        <f t="shared" si="335"/>
        <v>1</v>
      </c>
    </row>
    <row r="1342" spans="1:18">
      <c r="A1342" s="25">
        <f t="shared" si="334"/>
        <v>47575</v>
      </c>
      <c r="B1342">
        <f t="shared" si="320"/>
        <v>2030</v>
      </c>
      <c r="C1342" s="9">
        <f t="shared" si="321"/>
        <v>4</v>
      </c>
      <c r="D1342" s="9" t="str">
        <f t="shared" si="322"/>
        <v>April</v>
      </c>
      <c r="E1342" s="9" t="str">
        <f t="shared" si="323"/>
        <v>Apr-30</v>
      </c>
      <c r="F1342" s="9" t="str">
        <f t="shared" si="324"/>
        <v>Q2</v>
      </c>
      <c r="G1342" s="9">
        <f t="shared" si="325"/>
        <v>2</v>
      </c>
      <c r="H1342" s="9">
        <f t="shared" si="326"/>
        <v>2</v>
      </c>
      <c r="I1342" s="9" t="str">
        <f t="shared" si="327"/>
        <v>Tuesday</v>
      </c>
      <c r="J1342" s="9" t="str">
        <f t="shared" si="328"/>
        <v>No</v>
      </c>
      <c r="K1342" s="5" t="str">
        <f>IF(COUNTIF(Bank_Holidays!A:A,A1342)&gt;0,"Yes","No")</f>
        <v>No</v>
      </c>
      <c r="L1342" t="str">
        <f t="shared" si="329"/>
        <v>Yes</v>
      </c>
      <c r="M1342">
        <f t="shared" si="330"/>
        <v>14</v>
      </c>
      <c r="N1342" s="5" t="str">
        <f t="shared" si="331"/>
        <v>No</v>
      </c>
      <c r="O1342" t="str">
        <f>IF(A1342=WORKDAY(EOMONTH(A1342,0)+1,-1,Bank_Holidays!$A$2:$A$25),"Yes","No")</f>
        <v>No</v>
      </c>
      <c r="P1342" t="str">
        <f t="shared" si="332"/>
        <v>No</v>
      </c>
      <c r="Q1342" t="str">
        <f t="shared" si="333"/>
        <v>No</v>
      </c>
      <c r="R1342" s="5">
        <f t="shared" si="335"/>
        <v>1</v>
      </c>
    </row>
    <row r="1343" spans="1:18">
      <c r="A1343" s="25">
        <f t="shared" si="334"/>
        <v>47576</v>
      </c>
      <c r="B1343">
        <f t="shared" si="320"/>
        <v>2030</v>
      </c>
      <c r="C1343" s="9">
        <f t="shared" si="321"/>
        <v>4</v>
      </c>
      <c r="D1343" s="9" t="str">
        <f t="shared" si="322"/>
        <v>April</v>
      </c>
      <c r="E1343" s="9" t="str">
        <f t="shared" si="323"/>
        <v>Apr-30</v>
      </c>
      <c r="F1343" s="9" t="str">
        <f t="shared" si="324"/>
        <v>Q2</v>
      </c>
      <c r="G1343" s="9">
        <f t="shared" si="325"/>
        <v>3</v>
      </c>
      <c r="H1343" s="9">
        <f t="shared" si="326"/>
        <v>3</v>
      </c>
      <c r="I1343" s="9" t="str">
        <f t="shared" si="327"/>
        <v>Wednesday</v>
      </c>
      <c r="J1343" s="9" t="str">
        <f t="shared" si="328"/>
        <v>No</v>
      </c>
      <c r="K1343" s="5" t="str">
        <f>IF(COUNTIF(Bank_Holidays!A:A,A1343)&gt;0,"Yes","No")</f>
        <v>No</v>
      </c>
      <c r="L1343" t="str">
        <f t="shared" si="329"/>
        <v>Yes</v>
      </c>
      <c r="M1343">
        <f t="shared" si="330"/>
        <v>14</v>
      </c>
      <c r="N1343" s="5" t="str">
        <f t="shared" si="331"/>
        <v>No</v>
      </c>
      <c r="O1343" t="str">
        <f>IF(A1343=WORKDAY(EOMONTH(A1343,0)+1,-1,Bank_Holidays!$A$2:$A$25),"Yes","No")</f>
        <v>No</v>
      </c>
      <c r="P1343" t="str">
        <f t="shared" si="332"/>
        <v>No</v>
      </c>
      <c r="Q1343" t="str">
        <f t="shared" si="333"/>
        <v>No</v>
      </c>
      <c r="R1343" s="5">
        <f t="shared" si="335"/>
        <v>1</v>
      </c>
    </row>
    <row r="1344" spans="1:18">
      <c r="A1344" s="25">
        <f t="shared" si="334"/>
        <v>47577</v>
      </c>
      <c r="B1344">
        <f t="shared" si="320"/>
        <v>2030</v>
      </c>
      <c r="C1344" s="9">
        <f t="shared" si="321"/>
        <v>4</v>
      </c>
      <c r="D1344" s="9" t="str">
        <f t="shared" si="322"/>
        <v>April</v>
      </c>
      <c r="E1344" s="9" t="str">
        <f t="shared" si="323"/>
        <v>Apr-30</v>
      </c>
      <c r="F1344" s="9" t="str">
        <f t="shared" si="324"/>
        <v>Q2</v>
      </c>
      <c r="G1344" s="9">
        <f t="shared" si="325"/>
        <v>4</v>
      </c>
      <c r="H1344" s="9">
        <f t="shared" si="326"/>
        <v>4</v>
      </c>
      <c r="I1344" s="9" t="str">
        <f t="shared" si="327"/>
        <v>Thursday</v>
      </c>
      <c r="J1344" s="9" t="str">
        <f t="shared" si="328"/>
        <v>No</v>
      </c>
      <c r="K1344" s="5" t="str">
        <f>IF(COUNTIF(Bank_Holidays!A:A,A1344)&gt;0,"Yes","No")</f>
        <v>No</v>
      </c>
      <c r="L1344" t="str">
        <f t="shared" si="329"/>
        <v>Yes</v>
      </c>
      <c r="M1344">
        <f t="shared" si="330"/>
        <v>14</v>
      </c>
      <c r="N1344" s="5" t="str">
        <f t="shared" si="331"/>
        <v>No</v>
      </c>
      <c r="O1344" t="str">
        <f>IF(A1344=WORKDAY(EOMONTH(A1344,0)+1,-1,Bank_Holidays!$A$2:$A$25),"Yes","No")</f>
        <v>No</v>
      </c>
      <c r="P1344" t="str">
        <f t="shared" si="332"/>
        <v>No</v>
      </c>
      <c r="Q1344" t="str">
        <f t="shared" si="333"/>
        <v>No</v>
      </c>
      <c r="R1344" s="5">
        <f t="shared" si="335"/>
        <v>1</v>
      </c>
    </row>
    <row r="1345" spans="1:18">
      <c r="A1345" s="25">
        <f t="shared" si="334"/>
        <v>47578</v>
      </c>
      <c r="B1345">
        <f t="shared" si="320"/>
        <v>2030</v>
      </c>
      <c r="C1345" s="9">
        <f t="shared" si="321"/>
        <v>4</v>
      </c>
      <c r="D1345" s="9" t="str">
        <f t="shared" si="322"/>
        <v>April</v>
      </c>
      <c r="E1345" s="9" t="str">
        <f t="shared" si="323"/>
        <v>Apr-30</v>
      </c>
      <c r="F1345" s="9" t="str">
        <f t="shared" si="324"/>
        <v>Q2</v>
      </c>
      <c r="G1345" s="9">
        <f t="shared" si="325"/>
        <v>5</v>
      </c>
      <c r="H1345" s="9">
        <f t="shared" si="326"/>
        <v>5</v>
      </c>
      <c r="I1345" s="9" t="str">
        <f t="shared" si="327"/>
        <v>Friday</v>
      </c>
      <c r="J1345" s="9" t="str">
        <f t="shared" si="328"/>
        <v>No</v>
      </c>
      <c r="K1345" s="5" t="str">
        <f>IF(COUNTIF(Bank_Holidays!A:A,A1345)&gt;0,"Yes","No")</f>
        <v>No</v>
      </c>
      <c r="L1345" t="str">
        <f t="shared" si="329"/>
        <v>Yes</v>
      </c>
      <c r="M1345">
        <f t="shared" si="330"/>
        <v>14</v>
      </c>
      <c r="N1345" s="5" t="str">
        <f t="shared" si="331"/>
        <v>No</v>
      </c>
      <c r="O1345" t="str">
        <f>IF(A1345=WORKDAY(EOMONTH(A1345,0)+1,-1,Bank_Holidays!$A$2:$A$25),"Yes","No")</f>
        <v>No</v>
      </c>
      <c r="P1345" t="str">
        <f t="shared" si="332"/>
        <v>No</v>
      </c>
      <c r="Q1345" t="str">
        <f t="shared" si="333"/>
        <v>No</v>
      </c>
      <c r="R1345" s="5">
        <f t="shared" si="335"/>
        <v>3</v>
      </c>
    </row>
    <row r="1346" spans="1:18">
      <c r="A1346" s="25">
        <f t="shared" si="334"/>
        <v>47579</v>
      </c>
      <c r="B1346">
        <f t="shared" ref="B1346:B1377" si="336">YEAR(A1346)</f>
        <v>2030</v>
      </c>
      <c r="C1346" s="9">
        <f t="shared" ref="C1346:C1377" si="337">MONTH(A1346)</f>
        <v>4</v>
      </c>
      <c r="D1346" s="9" t="str">
        <f t="shared" ref="D1346:D1377" si="338">TEXT(A1346,"mmmm")</f>
        <v>April</v>
      </c>
      <c r="E1346" s="9" t="str">
        <f t="shared" ref="E1346:E1377" si="339">TEXT(A1346,"mmm-yy")</f>
        <v>Apr-30</v>
      </c>
      <c r="F1346" s="9" t="str">
        <f t="shared" ref="F1346:F1377" si="340">"Q"&amp;ROUNDUP(MONTH($A1346)/3,0)</f>
        <v>Q2</v>
      </c>
      <c r="G1346" s="9">
        <f t="shared" ref="G1346:G1377" si="341">DAY($A1346)</f>
        <v>6</v>
      </c>
      <c r="H1346" s="9">
        <f t="shared" ref="H1346:H1377" si="342">WEEKDAY($A1346,2)</f>
        <v>6</v>
      </c>
      <c r="I1346" s="9" t="str">
        <f t="shared" ref="I1346:I1377" si="343">TEXT($A1346,"dddd")</f>
        <v>Saturday</v>
      </c>
      <c r="J1346" s="9" t="str">
        <f t="shared" ref="J1346:J1377" si="344">IF($H1346&gt;5,"Yes","No")</f>
        <v>Yes</v>
      </c>
      <c r="K1346" s="5" t="str">
        <f>IF(COUNTIF(Bank_Holidays!A:A,A1346)&gt;0,"Yes","No")</f>
        <v>No</v>
      </c>
      <c r="L1346" t="str">
        <f t="shared" ref="L1346:L1377" si="345">IF(AND(J1346="No",K1346="No"),"Yes","No")</f>
        <v>No</v>
      </c>
      <c r="M1346">
        <f t="shared" ref="M1346:M1377" si="346">_xlfn.ISOWEEKNUM(A1346)</f>
        <v>14</v>
      </c>
      <c r="N1346" s="5" t="str">
        <f t="shared" ref="N1346:N1377" si="347">IF(A1346=EOMONTH(A1346,0),"Yes","No")</f>
        <v>No</v>
      </c>
      <c r="O1346" t="str">
        <f>IF(A1346=WORKDAY(EOMONTH(A1346,0)+1,-1,Bank_Holidays!$A$2:$A$25),"Yes","No")</f>
        <v>No</v>
      </c>
      <c r="P1346" t="str">
        <f t="shared" ref="P1346:P1377" si="348">IF(
AND(
TEXT(A1346,"dddd")="Friday",
MONTH(A1346+7)&lt;&gt;MONTH(A1346)
),
"Yes",
"No"
)</f>
        <v>No</v>
      </c>
      <c r="Q1346" t="str">
        <f t="shared" ref="Q1346:Q1377" si="349">IF(
AND(
TEXT(A1346,"dddd")="Thursday",
MONTH(A1346+7)&lt;&gt;MONTH(A1346)
),
"Yes",
"No"
)</f>
        <v>No</v>
      </c>
      <c r="R1346" s="5">
        <f t="shared" si="335"/>
        <v>0</v>
      </c>
    </row>
    <row r="1347" spans="1:18">
      <c r="A1347" s="25">
        <f t="shared" ref="A1347:A1377" si="350">A1346+1</f>
        <v>47580</v>
      </c>
      <c r="B1347">
        <f t="shared" si="336"/>
        <v>2030</v>
      </c>
      <c r="C1347" s="9">
        <f t="shared" si="337"/>
        <v>4</v>
      </c>
      <c r="D1347" s="9" t="str">
        <f t="shared" si="338"/>
        <v>April</v>
      </c>
      <c r="E1347" s="9" t="str">
        <f t="shared" si="339"/>
        <v>Apr-30</v>
      </c>
      <c r="F1347" s="9" t="str">
        <f t="shared" si="340"/>
        <v>Q2</v>
      </c>
      <c r="G1347" s="9">
        <f t="shared" si="341"/>
        <v>7</v>
      </c>
      <c r="H1347" s="9">
        <f t="shared" si="342"/>
        <v>7</v>
      </c>
      <c r="I1347" s="9" t="str">
        <f t="shared" si="343"/>
        <v>Sunday</v>
      </c>
      <c r="J1347" s="9" t="str">
        <f t="shared" si="344"/>
        <v>Yes</v>
      </c>
      <c r="K1347" s="5" t="str">
        <f>IF(COUNTIF(Bank_Holidays!A:A,A1347)&gt;0,"Yes","No")</f>
        <v>No</v>
      </c>
      <c r="L1347" t="str">
        <f t="shared" si="345"/>
        <v>No</v>
      </c>
      <c r="M1347">
        <f t="shared" si="346"/>
        <v>14</v>
      </c>
      <c r="N1347" s="5" t="str">
        <f t="shared" si="347"/>
        <v>No</v>
      </c>
      <c r="O1347" t="str">
        <f>IF(A1347=WORKDAY(EOMONTH(A1347,0)+1,-1,Bank_Holidays!$A$2:$A$25),"Yes","No")</f>
        <v>No</v>
      </c>
      <c r="P1347" t="str">
        <f t="shared" si="348"/>
        <v>No</v>
      </c>
      <c r="Q1347" t="str">
        <f t="shared" si="349"/>
        <v>No</v>
      </c>
      <c r="R1347" s="5">
        <f t="shared" ref="R1347:R1377" si="351">IF(L1347="yes",1)+IF(L1347="no",0,IF(AND(L1352="no",L1351="no",L1350="no",L1349="no",L1348="no"),5,IF(AND(L1351="no",L1350="no",L1349="no",L1348="no"),4,IF(AND(L1350="no",L1349="no",L1348="no"),3,IF(AND(L1349="no",L1348="no"),2,IF(L1348="no",1))))))</f>
        <v>0</v>
      </c>
    </row>
    <row r="1348" spans="1:18">
      <c r="A1348" s="25">
        <f t="shared" si="350"/>
        <v>47581</v>
      </c>
      <c r="B1348">
        <f t="shared" si="336"/>
        <v>2030</v>
      </c>
      <c r="C1348" s="9">
        <f t="shared" si="337"/>
        <v>4</v>
      </c>
      <c r="D1348" s="9" t="str">
        <f t="shared" si="338"/>
        <v>April</v>
      </c>
      <c r="E1348" s="9" t="str">
        <f t="shared" si="339"/>
        <v>Apr-30</v>
      </c>
      <c r="F1348" s="9" t="str">
        <f t="shared" si="340"/>
        <v>Q2</v>
      </c>
      <c r="G1348" s="9">
        <f t="shared" si="341"/>
        <v>8</v>
      </c>
      <c r="H1348" s="9">
        <f t="shared" si="342"/>
        <v>1</v>
      </c>
      <c r="I1348" s="9" t="str">
        <f t="shared" si="343"/>
        <v>Monday</v>
      </c>
      <c r="J1348" s="9" t="str">
        <f t="shared" si="344"/>
        <v>No</v>
      </c>
      <c r="K1348" s="5" t="str">
        <f>IF(COUNTIF(Bank_Holidays!A:A,A1348)&gt;0,"Yes","No")</f>
        <v>No</v>
      </c>
      <c r="L1348" t="str">
        <f t="shared" si="345"/>
        <v>Yes</v>
      </c>
      <c r="M1348">
        <f t="shared" si="346"/>
        <v>15</v>
      </c>
      <c r="N1348" s="5" t="str">
        <f t="shared" si="347"/>
        <v>No</v>
      </c>
      <c r="O1348" t="str">
        <f>IF(A1348=WORKDAY(EOMONTH(A1348,0)+1,-1,Bank_Holidays!$A$2:$A$25),"Yes","No")</f>
        <v>No</v>
      </c>
      <c r="P1348" t="str">
        <f t="shared" si="348"/>
        <v>No</v>
      </c>
      <c r="Q1348" t="str">
        <f t="shared" si="349"/>
        <v>No</v>
      </c>
      <c r="R1348" s="5">
        <f t="shared" si="351"/>
        <v>1</v>
      </c>
    </row>
    <row r="1349" spans="1:18">
      <c r="A1349" s="25">
        <f t="shared" si="350"/>
        <v>47582</v>
      </c>
      <c r="B1349">
        <f t="shared" si="336"/>
        <v>2030</v>
      </c>
      <c r="C1349" s="9">
        <f t="shared" si="337"/>
        <v>4</v>
      </c>
      <c r="D1349" s="9" t="str">
        <f t="shared" si="338"/>
        <v>April</v>
      </c>
      <c r="E1349" s="9" t="str">
        <f t="shared" si="339"/>
        <v>Apr-30</v>
      </c>
      <c r="F1349" s="9" t="str">
        <f t="shared" si="340"/>
        <v>Q2</v>
      </c>
      <c r="G1349" s="9">
        <f t="shared" si="341"/>
        <v>9</v>
      </c>
      <c r="H1349" s="9">
        <f t="shared" si="342"/>
        <v>2</v>
      </c>
      <c r="I1349" s="9" t="str">
        <f t="shared" si="343"/>
        <v>Tuesday</v>
      </c>
      <c r="J1349" s="9" t="str">
        <f t="shared" si="344"/>
        <v>No</v>
      </c>
      <c r="K1349" s="5" t="str">
        <f>IF(COUNTIF(Bank_Holidays!A:A,A1349)&gt;0,"Yes","No")</f>
        <v>No</v>
      </c>
      <c r="L1349" t="str">
        <f t="shared" si="345"/>
        <v>Yes</v>
      </c>
      <c r="M1349">
        <f t="shared" si="346"/>
        <v>15</v>
      </c>
      <c r="N1349" s="5" t="str">
        <f t="shared" si="347"/>
        <v>No</v>
      </c>
      <c r="O1349" t="str">
        <f>IF(A1349=WORKDAY(EOMONTH(A1349,0)+1,-1,Bank_Holidays!$A$2:$A$25),"Yes","No")</f>
        <v>No</v>
      </c>
      <c r="P1349" t="str">
        <f t="shared" si="348"/>
        <v>No</v>
      </c>
      <c r="Q1349" t="str">
        <f t="shared" si="349"/>
        <v>No</v>
      </c>
      <c r="R1349" s="5">
        <f t="shared" si="351"/>
        <v>1</v>
      </c>
    </row>
    <row r="1350" spans="1:18">
      <c r="A1350" s="25">
        <f t="shared" si="350"/>
        <v>47583</v>
      </c>
      <c r="B1350">
        <f t="shared" si="336"/>
        <v>2030</v>
      </c>
      <c r="C1350" s="9">
        <f t="shared" si="337"/>
        <v>4</v>
      </c>
      <c r="D1350" s="9" t="str">
        <f t="shared" si="338"/>
        <v>April</v>
      </c>
      <c r="E1350" s="9" t="str">
        <f t="shared" si="339"/>
        <v>Apr-30</v>
      </c>
      <c r="F1350" s="9" t="str">
        <f t="shared" si="340"/>
        <v>Q2</v>
      </c>
      <c r="G1350" s="9">
        <f t="shared" si="341"/>
        <v>10</v>
      </c>
      <c r="H1350" s="9">
        <f t="shared" si="342"/>
        <v>3</v>
      </c>
      <c r="I1350" s="9" t="str">
        <f t="shared" si="343"/>
        <v>Wednesday</v>
      </c>
      <c r="J1350" s="9" t="str">
        <f t="shared" si="344"/>
        <v>No</v>
      </c>
      <c r="K1350" s="5" t="str">
        <f>IF(COUNTIF(Bank_Holidays!A:A,A1350)&gt;0,"Yes","No")</f>
        <v>No</v>
      </c>
      <c r="L1350" t="str">
        <f t="shared" si="345"/>
        <v>Yes</v>
      </c>
      <c r="M1350">
        <f t="shared" si="346"/>
        <v>15</v>
      </c>
      <c r="N1350" s="5" t="str">
        <f t="shared" si="347"/>
        <v>No</v>
      </c>
      <c r="O1350" t="str">
        <f>IF(A1350=WORKDAY(EOMONTH(A1350,0)+1,-1,Bank_Holidays!$A$2:$A$25),"Yes","No")</f>
        <v>No</v>
      </c>
      <c r="P1350" t="str">
        <f t="shared" si="348"/>
        <v>No</v>
      </c>
      <c r="Q1350" t="str">
        <f t="shared" si="349"/>
        <v>No</v>
      </c>
      <c r="R1350" s="5">
        <f t="shared" si="351"/>
        <v>1</v>
      </c>
    </row>
    <row r="1351" spans="1:18">
      <c r="A1351" s="25">
        <f t="shared" si="350"/>
        <v>47584</v>
      </c>
      <c r="B1351">
        <f t="shared" si="336"/>
        <v>2030</v>
      </c>
      <c r="C1351" s="9">
        <f t="shared" si="337"/>
        <v>4</v>
      </c>
      <c r="D1351" s="9" t="str">
        <f t="shared" si="338"/>
        <v>April</v>
      </c>
      <c r="E1351" s="9" t="str">
        <f t="shared" si="339"/>
        <v>Apr-30</v>
      </c>
      <c r="F1351" s="9" t="str">
        <f t="shared" si="340"/>
        <v>Q2</v>
      </c>
      <c r="G1351" s="9">
        <f t="shared" si="341"/>
        <v>11</v>
      </c>
      <c r="H1351" s="9">
        <f t="shared" si="342"/>
        <v>4</v>
      </c>
      <c r="I1351" s="9" t="str">
        <f t="shared" si="343"/>
        <v>Thursday</v>
      </c>
      <c r="J1351" s="9" t="str">
        <f t="shared" si="344"/>
        <v>No</v>
      </c>
      <c r="K1351" s="5" t="str">
        <f>IF(COUNTIF(Bank_Holidays!A:A,A1351)&gt;0,"Yes","No")</f>
        <v>No</v>
      </c>
      <c r="L1351" t="str">
        <f t="shared" si="345"/>
        <v>Yes</v>
      </c>
      <c r="M1351">
        <f t="shared" si="346"/>
        <v>15</v>
      </c>
      <c r="N1351" s="5" t="str">
        <f t="shared" si="347"/>
        <v>No</v>
      </c>
      <c r="O1351" t="str">
        <f>IF(A1351=WORKDAY(EOMONTH(A1351,0)+1,-1,Bank_Holidays!$A$2:$A$25),"Yes","No")</f>
        <v>No</v>
      </c>
      <c r="P1351" t="str">
        <f t="shared" si="348"/>
        <v>No</v>
      </c>
      <c r="Q1351" t="str">
        <f t="shared" si="349"/>
        <v>No</v>
      </c>
      <c r="R1351" s="5">
        <f t="shared" si="351"/>
        <v>1</v>
      </c>
    </row>
    <row r="1352" spans="1:18">
      <c r="A1352" s="25">
        <f t="shared" si="350"/>
        <v>47585</v>
      </c>
      <c r="B1352">
        <f t="shared" si="336"/>
        <v>2030</v>
      </c>
      <c r="C1352" s="9">
        <f t="shared" si="337"/>
        <v>4</v>
      </c>
      <c r="D1352" s="9" t="str">
        <f t="shared" si="338"/>
        <v>April</v>
      </c>
      <c r="E1352" s="9" t="str">
        <f t="shared" si="339"/>
        <v>Apr-30</v>
      </c>
      <c r="F1352" s="9" t="str">
        <f t="shared" si="340"/>
        <v>Q2</v>
      </c>
      <c r="G1352" s="9">
        <f t="shared" si="341"/>
        <v>12</v>
      </c>
      <c r="H1352" s="9">
        <f t="shared" si="342"/>
        <v>5</v>
      </c>
      <c r="I1352" s="9" t="str">
        <f t="shared" si="343"/>
        <v>Friday</v>
      </c>
      <c r="J1352" s="9" t="str">
        <f t="shared" si="344"/>
        <v>No</v>
      </c>
      <c r="K1352" s="5" t="str">
        <f>IF(COUNTIF(Bank_Holidays!A:A,A1352)&gt;0,"Yes","No")</f>
        <v>No</v>
      </c>
      <c r="L1352" t="str">
        <f t="shared" si="345"/>
        <v>Yes</v>
      </c>
      <c r="M1352">
        <f t="shared" si="346"/>
        <v>15</v>
      </c>
      <c r="N1352" s="5" t="str">
        <f t="shared" si="347"/>
        <v>No</v>
      </c>
      <c r="O1352" t="str">
        <f>IF(A1352=WORKDAY(EOMONTH(A1352,0)+1,-1,Bank_Holidays!$A$2:$A$25),"Yes","No")</f>
        <v>No</v>
      </c>
      <c r="P1352" t="str">
        <f t="shared" si="348"/>
        <v>No</v>
      </c>
      <c r="Q1352" t="str">
        <f t="shared" si="349"/>
        <v>No</v>
      </c>
      <c r="R1352" s="5">
        <f t="shared" si="351"/>
        <v>3</v>
      </c>
    </row>
    <row r="1353" spans="1:18">
      <c r="A1353" s="25">
        <f t="shared" si="350"/>
        <v>47586</v>
      </c>
      <c r="B1353">
        <f t="shared" si="336"/>
        <v>2030</v>
      </c>
      <c r="C1353" s="9">
        <f t="shared" si="337"/>
        <v>4</v>
      </c>
      <c r="D1353" s="9" t="str">
        <f t="shared" si="338"/>
        <v>April</v>
      </c>
      <c r="E1353" s="9" t="str">
        <f t="shared" si="339"/>
        <v>Apr-30</v>
      </c>
      <c r="F1353" s="9" t="str">
        <f t="shared" si="340"/>
        <v>Q2</v>
      </c>
      <c r="G1353" s="9">
        <f t="shared" si="341"/>
        <v>13</v>
      </c>
      <c r="H1353" s="9">
        <f t="shared" si="342"/>
        <v>6</v>
      </c>
      <c r="I1353" s="9" t="str">
        <f t="shared" si="343"/>
        <v>Saturday</v>
      </c>
      <c r="J1353" s="9" t="str">
        <f t="shared" si="344"/>
        <v>Yes</v>
      </c>
      <c r="K1353" s="5" t="str">
        <f>IF(COUNTIF(Bank_Holidays!A:A,A1353)&gt;0,"Yes","No")</f>
        <v>No</v>
      </c>
      <c r="L1353" t="str">
        <f t="shared" si="345"/>
        <v>No</v>
      </c>
      <c r="M1353">
        <f t="shared" si="346"/>
        <v>15</v>
      </c>
      <c r="N1353" s="5" t="str">
        <f t="shared" si="347"/>
        <v>No</v>
      </c>
      <c r="O1353" t="str">
        <f>IF(A1353=WORKDAY(EOMONTH(A1353,0)+1,-1,Bank_Holidays!$A$2:$A$25),"Yes","No")</f>
        <v>No</v>
      </c>
      <c r="P1353" t="str">
        <f t="shared" si="348"/>
        <v>No</v>
      </c>
      <c r="Q1353" t="str">
        <f t="shared" si="349"/>
        <v>No</v>
      </c>
      <c r="R1353" s="5">
        <f t="shared" si="351"/>
        <v>0</v>
      </c>
    </row>
    <row r="1354" spans="1:18">
      <c r="A1354" s="25">
        <f t="shared" si="350"/>
        <v>47587</v>
      </c>
      <c r="B1354">
        <f t="shared" si="336"/>
        <v>2030</v>
      </c>
      <c r="C1354" s="9">
        <f t="shared" si="337"/>
        <v>4</v>
      </c>
      <c r="D1354" s="9" t="str">
        <f t="shared" si="338"/>
        <v>April</v>
      </c>
      <c r="E1354" s="9" t="str">
        <f t="shared" si="339"/>
        <v>Apr-30</v>
      </c>
      <c r="F1354" s="9" t="str">
        <f t="shared" si="340"/>
        <v>Q2</v>
      </c>
      <c r="G1354" s="9">
        <f t="shared" si="341"/>
        <v>14</v>
      </c>
      <c r="H1354" s="9">
        <f t="shared" si="342"/>
        <v>7</v>
      </c>
      <c r="I1354" s="9" t="str">
        <f t="shared" si="343"/>
        <v>Sunday</v>
      </c>
      <c r="J1354" s="9" t="str">
        <f t="shared" si="344"/>
        <v>Yes</v>
      </c>
      <c r="K1354" s="5" t="str">
        <f>IF(COUNTIF(Bank_Holidays!A:A,A1354)&gt;0,"Yes","No")</f>
        <v>No</v>
      </c>
      <c r="L1354" t="str">
        <f t="shared" si="345"/>
        <v>No</v>
      </c>
      <c r="M1354">
        <f t="shared" si="346"/>
        <v>15</v>
      </c>
      <c r="N1354" s="5" t="str">
        <f t="shared" si="347"/>
        <v>No</v>
      </c>
      <c r="O1354" t="str">
        <f>IF(A1354=WORKDAY(EOMONTH(A1354,0)+1,-1,Bank_Holidays!$A$2:$A$25),"Yes","No")</f>
        <v>No</v>
      </c>
      <c r="P1354" t="str">
        <f t="shared" si="348"/>
        <v>No</v>
      </c>
      <c r="Q1354" t="str">
        <f t="shared" si="349"/>
        <v>No</v>
      </c>
      <c r="R1354" s="5">
        <f t="shared" si="351"/>
        <v>0</v>
      </c>
    </row>
    <row r="1355" spans="1:18">
      <c r="A1355" s="25">
        <f t="shared" si="350"/>
        <v>47588</v>
      </c>
      <c r="B1355">
        <f t="shared" si="336"/>
        <v>2030</v>
      </c>
      <c r="C1355" s="9">
        <f t="shared" si="337"/>
        <v>4</v>
      </c>
      <c r="D1355" s="9" t="str">
        <f t="shared" si="338"/>
        <v>April</v>
      </c>
      <c r="E1355" s="9" t="str">
        <f t="shared" si="339"/>
        <v>Apr-30</v>
      </c>
      <c r="F1355" s="9" t="str">
        <f t="shared" si="340"/>
        <v>Q2</v>
      </c>
      <c r="G1355" s="9">
        <f t="shared" si="341"/>
        <v>15</v>
      </c>
      <c r="H1355" s="9">
        <f t="shared" si="342"/>
        <v>1</v>
      </c>
      <c r="I1355" s="9" t="str">
        <f t="shared" si="343"/>
        <v>Monday</v>
      </c>
      <c r="J1355" s="9" t="str">
        <f t="shared" si="344"/>
        <v>No</v>
      </c>
      <c r="K1355" s="5" t="str">
        <f>IF(COUNTIF(Bank_Holidays!A:A,A1355)&gt;0,"Yes","No")</f>
        <v>No</v>
      </c>
      <c r="L1355" t="str">
        <f t="shared" si="345"/>
        <v>Yes</v>
      </c>
      <c r="M1355">
        <f t="shared" si="346"/>
        <v>16</v>
      </c>
      <c r="N1355" s="5" t="str">
        <f t="shared" si="347"/>
        <v>No</v>
      </c>
      <c r="O1355" t="str">
        <f>IF(A1355=WORKDAY(EOMONTH(A1355,0)+1,-1,Bank_Holidays!$A$2:$A$25),"Yes","No")</f>
        <v>No</v>
      </c>
      <c r="P1355" t="str">
        <f t="shared" si="348"/>
        <v>No</v>
      </c>
      <c r="Q1355" t="str">
        <f t="shared" si="349"/>
        <v>No</v>
      </c>
      <c r="R1355" s="5">
        <f t="shared" si="351"/>
        <v>1</v>
      </c>
    </row>
    <row r="1356" spans="1:18">
      <c r="A1356" s="25">
        <f t="shared" si="350"/>
        <v>47589</v>
      </c>
      <c r="B1356">
        <f t="shared" si="336"/>
        <v>2030</v>
      </c>
      <c r="C1356" s="9">
        <f t="shared" si="337"/>
        <v>4</v>
      </c>
      <c r="D1356" s="9" t="str">
        <f t="shared" si="338"/>
        <v>April</v>
      </c>
      <c r="E1356" s="9" t="str">
        <f t="shared" si="339"/>
        <v>Apr-30</v>
      </c>
      <c r="F1356" s="9" t="str">
        <f t="shared" si="340"/>
        <v>Q2</v>
      </c>
      <c r="G1356" s="9">
        <f t="shared" si="341"/>
        <v>16</v>
      </c>
      <c r="H1356" s="9">
        <f t="shared" si="342"/>
        <v>2</v>
      </c>
      <c r="I1356" s="9" t="str">
        <f t="shared" si="343"/>
        <v>Tuesday</v>
      </c>
      <c r="J1356" s="9" t="str">
        <f t="shared" si="344"/>
        <v>No</v>
      </c>
      <c r="K1356" s="5" t="str">
        <f>IF(COUNTIF(Bank_Holidays!A:A,A1356)&gt;0,"Yes","No")</f>
        <v>No</v>
      </c>
      <c r="L1356" t="str">
        <f t="shared" si="345"/>
        <v>Yes</v>
      </c>
      <c r="M1356">
        <f t="shared" si="346"/>
        <v>16</v>
      </c>
      <c r="N1356" s="5" t="str">
        <f t="shared" si="347"/>
        <v>No</v>
      </c>
      <c r="O1356" t="str">
        <f>IF(A1356=WORKDAY(EOMONTH(A1356,0)+1,-1,Bank_Holidays!$A$2:$A$25),"Yes","No")</f>
        <v>No</v>
      </c>
      <c r="P1356" t="str">
        <f t="shared" si="348"/>
        <v>No</v>
      </c>
      <c r="Q1356" t="str">
        <f t="shared" si="349"/>
        <v>No</v>
      </c>
      <c r="R1356" s="5">
        <f t="shared" si="351"/>
        <v>1</v>
      </c>
    </row>
    <row r="1357" spans="1:18">
      <c r="A1357" s="25">
        <f t="shared" si="350"/>
        <v>47590</v>
      </c>
      <c r="B1357">
        <f t="shared" si="336"/>
        <v>2030</v>
      </c>
      <c r="C1357" s="9">
        <f t="shared" si="337"/>
        <v>4</v>
      </c>
      <c r="D1357" s="9" t="str">
        <f t="shared" si="338"/>
        <v>April</v>
      </c>
      <c r="E1357" s="9" t="str">
        <f t="shared" si="339"/>
        <v>Apr-30</v>
      </c>
      <c r="F1357" s="9" t="str">
        <f t="shared" si="340"/>
        <v>Q2</v>
      </c>
      <c r="G1357" s="9">
        <f t="shared" si="341"/>
        <v>17</v>
      </c>
      <c r="H1357" s="9">
        <f t="shared" si="342"/>
        <v>3</v>
      </c>
      <c r="I1357" s="9" t="str">
        <f t="shared" si="343"/>
        <v>Wednesday</v>
      </c>
      <c r="J1357" s="9" t="str">
        <f t="shared" si="344"/>
        <v>No</v>
      </c>
      <c r="K1357" s="5" t="str">
        <f>IF(COUNTIF(Bank_Holidays!A:A,A1357)&gt;0,"Yes","No")</f>
        <v>No</v>
      </c>
      <c r="L1357" t="str">
        <f t="shared" si="345"/>
        <v>Yes</v>
      </c>
      <c r="M1357">
        <f t="shared" si="346"/>
        <v>16</v>
      </c>
      <c r="N1357" s="5" t="str">
        <f t="shared" si="347"/>
        <v>No</v>
      </c>
      <c r="O1357" t="str">
        <f>IF(A1357=WORKDAY(EOMONTH(A1357,0)+1,-1,Bank_Holidays!$A$2:$A$25),"Yes","No")</f>
        <v>No</v>
      </c>
      <c r="P1357" t="str">
        <f t="shared" si="348"/>
        <v>No</v>
      </c>
      <c r="Q1357" t="str">
        <f t="shared" si="349"/>
        <v>No</v>
      </c>
      <c r="R1357" s="5">
        <f t="shared" si="351"/>
        <v>1</v>
      </c>
    </row>
    <row r="1358" spans="1:18">
      <c r="A1358" s="25">
        <f t="shared" si="350"/>
        <v>47591</v>
      </c>
      <c r="B1358">
        <f t="shared" si="336"/>
        <v>2030</v>
      </c>
      <c r="C1358" s="9">
        <f t="shared" si="337"/>
        <v>4</v>
      </c>
      <c r="D1358" s="9" t="str">
        <f t="shared" si="338"/>
        <v>April</v>
      </c>
      <c r="E1358" s="9" t="str">
        <f t="shared" si="339"/>
        <v>Apr-30</v>
      </c>
      <c r="F1358" s="9" t="str">
        <f t="shared" si="340"/>
        <v>Q2</v>
      </c>
      <c r="G1358" s="9">
        <f t="shared" si="341"/>
        <v>18</v>
      </c>
      <c r="H1358" s="9">
        <f t="shared" si="342"/>
        <v>4</v>
      </c>
      <c r="I1358" s="9" t="str">
        <f t="shared" si="343"/>
        <v>Thursday</v>
      </c>
      <c r="J1358" s="9" t="str">
        <f t="shared" si="344"/>
        <v>No</v>
      </c>
      <c r="K1358" s="5" t="str">
        <f>IF(COUNTIF(Bank_Holidays!A:A,A1358)&gt;0,"Yes","No")</f>
        <v>No</v>
      </c>
      <c r="L1358" t="str">
        <f t="shared" si="345"/>
        <v>Yes</v>
      </c>
      <c r="M1358">
        <f t="shared" si="346"/>
        <v>16</v>
      </c>
      <c r="N1358" s="5" t="str">
        <f t="shared" si="347"/>
        <v>No</v>
      </c>
      <c r="O1358" t="str">
        <f>IF(A1358=WORKDAY(EOMONTH(A1358,0)+1,-1,Bank_Holidays!$A$2:$A$25),"Yes","No")</f>
        <v>No</v>
      </c>
      <c r="P1358" t="str">
        <f t="shared" si="348"/>
        <v>No</v>
      </c>
      <c r="Q1358" t="str">
        <f t="shared" si="349"/>
        <v>No</v>
      </c>
      <c r="R1358" s="5">
        <f t="shared" si="351"/>
        <v>1</v>
      </c>
    </row>
    <row r="1359" spans="1:18">
      <c r="A1359" s="25">
        <f t="shared" si="350"/>
        <v>47592</v>
      </c>
      <c r="B1359">
        <f t="shared" si="336"/>
        <v>2030</v>
      </c>
      <c r="C1359" s="9">
        <f t="shared" si="337"/>
        <v>4</v>
      </c>
      <c r="D1359" s="9" t="str">
        <f t="shared" si="338"/>
        <v>April</v>
      </c>
      <c r="E1359" s="9" t="str">
        <f t="shared" si="339"/>
        <v>Apr-30</v>
      </c>
      <c r="F1359" s="9" t="str">
        <f t="shared" si="340"/>
        <v>Q2</v>
      </c>
      <c r="G1359" s="9">
        <f t="shared" si="341"/>
        <v>19</v>
      </c>
      <c r="H1359" s="9">
        <f t="shared" si="342"/>
        <v>5</v>
      </c>
      <c r="I1359" s="9" t="str">
        <f t="shared" si="343"/>
        <v>Friday</v>
      </c>
      <c r="J1359" s="9" t="str">
        <f t="shared" si="344"/>
        <v>No</v>
      </c>
      <c r="K1359" s="5" t="str">
        <f>IF(COUNTIF(Bank_Holidays!A:A,A1359)&gt;0,"Yes","No")</f>
        <v>No</v>
      </c>
      <c r="L1359" t="str">
        <f t="shared" si="345"/>
        <v>Yes</v>
      </c>
      <c r="M1359">
        <f t="shared" si="346"/>
        <v>16</v>
      </c>
      <c r="N1359" s="5" t="str">
        <f t="shared" si="347"/>
        <v>No</v>
      </c>
      <c r="O1359" t="str">
        <f>IF(A1359=WORKDAY(EOMONTH(A1359,0)+1,-1,Bank_Holidays!$A$2:$A$25),"Yes","No")</f>
        <v>No</v>
      </c>
      <c r="P1359" t="str">
        <f t="shared" si="348"/>
        <v>No</v>
      </c>
      <c r="Q1359" t="str">
        <f t="shared" si="349"/>
        <v>No</v>
      </c>
      <c r="R1359" s="5">
        <f t="shared" si="351"/>
        <v>3</v>
      </c>
    </row>
    <row r="1360" spans="1:18">
      <c r="A1360" s="25">
        <f t="shared" si="350"/>
        <v>47593</v>
      </c>
      <c r="B1360">
        <f t="shared" si="336"/>
        <v>2030</v>
      </c>
      <c r="C1360" s="9">
        <f t="shared" si="337"/>
        <v>4</v>
      </c>
      <c r="D1360" s="9" t="str">
        <f t="shared" si="338"/>
        <v>April</v>
      </c>
      <c r="E1360" s="9" t="str">
        <f t="shared" si="339"/>
        <v>Apr-30</v>
      </c>
      <c r="F1360" s="9" t="str">
        <f t="shared" si="340"/>
        <v>Q2</v>
      </c>
      <c r="G1360" s="9">
        <f t="shared" si="341"/>
        <v>20</v>
      </c>
      <c r="H1360" s="9">
        <f t="shared" si="342"/>
        <v>6</v>
      </c>
      <c r="I1360" s="9" t="str">
        <f t="shared" si="343"/>
        <v>Saturday</v>
      </c>
      <c r="J1360" s="9" t="str">
        <f t="shared" si="344"/>
        <v>Yes</v>
      </c>
      <c r="K1360" s="5" t="str">
        <f>IF(COUNTIF(Bank_Holidays!A:A,A1360)&gt;0,"Yes","No")</f>
        <v>No</v>
      </c>
      <c r="L1360" t="str">
        <f t="shared" si="345"/>
        <v>No</v>
      </c>
      <c r="M1360">
        <f t="shared" si="346"/>
        <v>16</v>
      </c>
      <c r="N1360" s="5" t="str">
        <f t="shared" si="347"/>
        <v>No</v>
      </c>
      <c r="O1360" t="str">
        <f>IF(A1360=WORKDAY(EOMONTH(A1360,0)+1,-1,Bank_Holidays!$A$2:$A$25),"Yes","No")</f>
        <v>No</v>
      </c>
      <c r="P1360" t="str">
        <f t="shared" si="348"/>
        <v>No</v>
      </c>
      <c r="Q1360" t="str">
        <f t="shared" si="349"/>
        <v>No</v>
      </c>
      <c r="R1360" s="5">
        <f t="shared" si="351"/>
        <v>0</v>
      </c>
    </row>
    <row r="1361" spans="1:18">
      <c r="A1361" s="25">
        <f t="shared" si="350"/>
        <v>47594</v>
      </c>
      <c r="B1361">
        <f t="shared" si="336"/>
        <v>2030</v>
      </c>
      <c r="C1361" s="9">
        <f t="shared" si="337"/>
        <v>4</v>
      </c>
      <c r="D1361" s="9" t="str">
        <f t="shared" si="338"/>
        <v>April</v>
      </c>
      <c r="E1361" s="9" t="str">
        <f t="shared" si="339"/>
        <v>Apr-30</v>
      </c>
      <c r="F1361" s="9" t="str">
        <f t="shared" si="340"/>
        <v>Q2</v>
      </c>
      <c r="G1361" s="9">
        <f t="shared" si="341"/>
        <v>21</v>
      </c>
      <c r="H1361" s="9">
        <f t="shared" si="342"/>
        <v>7</v>
      </c>
      <c r="I1361" s="9" t="str">
        <f t="shared" si="343"/>
        <v>Sunday</v>
      </c>
      <c r="J1361" s="9" t="str">
        <f t="shared" si="344"/>
        <v>Yes</v>
      </c>
      <c r="K1361" s="5" t="str">
        <f>IF(COUNTIF(Bank_Holidays!A:A,A1361)&gt;0,"Yes","No")</f>
        <v>No</v>
      </c>
      <c r="L1361" t="str">
        <f t="shared" si="345"/>
        <v>No</v>
      </c>
      <c r="M1361">
        <f t="shared" si="346"/>
        <v>16</v>
      </c>
      <c r="N1361" s="5" t="str">
        <f t="shared" si="347"/>
        <v>No</v>
      </c>
      <c r="O1361" t="str">
        <f>IF(A1361=WORKDAY(EOMONTH(A1361,0)+1,-1,Bank_Holidays!$A$2:$A$25),"Yes","No")</f>
        <v>No</v>
      </c>
      <c r="P1361" t="str">
        <f t="shared" si="348"/>
        <v>No</v>
      </c>
      <c r="Q1361" t="str">
        <f t="shared" si="349"/>
        <v>No</v>
      </c>
      <c r="R1361" s="5">
        <f t="shared" si="351"/>
        <v>0</v>
      </c>
    </row>
    <row r="1362" spans="1:18">
      <c r="A1362" s="25">
        <f t="shared" si="350"/>
        <v>47595</v>
      </c>
      <c r="B1362">
        <f t="shared" si="336"/>
        <v>2030</v>
      </c>
      <c r="C1362" s="9">
        <f t="shared" si="337"/>
        <v>4</v>
      </c>
      <c r="D1362" s="9" t="str">
        <f t="shared" si="338"/>
        <v>April</v>
      </c>
      <c r="E1362" s="9" t="str">
        <f t="shared" si="339"/>
        <v>Apr-30</v>
      </c>
      <c r="F1362" s="9" t="str">
        <f t="shared" si="340"/>
        <v>Q2</v>
      </c>
      <c r="G1362" s="9">
        <f t="shared" si="341"/>
        <v>22</v>
      </c>
      <c r="H1362" s="9">
        <f t="shared" si="342"/>
        <v>1</v>
      </c>
      <c r="I1362" s="9" t="str">
        <f t="shared" si="343"/>
        <v>Monday</v>
      </c>
      <c r="J1362" s="9" t="str">
        <f t="shared" si="344"/>
        <v>No</v>
      </c>
      <c r="K1362" s="5" t="str">
        <f>IF(COUNTIF(Bank_Holidays!A:A,A1362)&gt;0,"Yes","No")</f>
        <v>No</v>
      </c>
      <c r="L1362" t="str">
        <f t="shared" si="345"/>
        <v>Yes</v>
      </c>
      <c r="M1362">
        <f t="shared" si="346"/>
        <v>17</v>
      </c>
      <c r="N1362" s="5" t="str">
        <f t="shared" si="347"/>
        <v>No</v>
      </c>
      <c r="O1362" t="str">
        <f>IF(A1362=WORKDAY(EOMONTH(A1362,0)+1,-1,Bank_Holidays!$A$2:$A$25),"Yes","No")</f>
        <v>No</v>
      </c>
      <c r="P1362" t="str">
        <f t="shared" si="348"/>
        <v>No</v>
      </c>
      <c r="Q1362" t="str">
        <f t="shared" si="349"/>
        <v>No</v>
      </c>
      <c r="R1362" s="5">
        <f t="shared" si="351"/>
        <v>1</v>
      </c>
    </row>
    <row r="1363" spans="1:18">
      <c r="A1363" s="25">
        <f t="shared" si="350"/>
        <v>47596</v>
      </c>
      <c r="B1363">
        <f t="shared" si="336"/>
        <v>2030</v>
      </c>
      <c r="C1363" s="9">
        <f t="shared" si="337"/>
        <v>4</v>
      </c>
      <c r="D1363" s="9" t="str">
        <f t="shared" si="338"/>
        <v>April</v>
      </c>
      <c r="E1363" s="9" t="str">
        <f t="shared" si="339"/>
        <v>Apr-30</v>
      </c>
      <c r="F1363" s="9" t="str">
        <f t="shared" si="340"/>
        <v>Q2</v>
      </c>
      <c r="G1363" s="9">
        <f t="shared" si="341"/>
        <v>23</v>
      </c>
      <c r="H1363" s="9">
        <f t="shared" si="342"/>
        <v>2</v>
      </c>
      <c r="I1363" s="9" t="str">
        <f t="shared" si="343"/>
        <v>Tuesday</v>
      </c>
      <c r="J1363" s="9" t="str">
        <f t="shared" si="344"/>
        <v>No</v>
      </c>
      <c r="K1363" s="5" t="str">
        <f>IF(COUNTIF(Bank_Holidays!A:A,A1363)&gt;0,"Yes","No")</f>
        <v>No</v>
      </c>
      <c r="L1363" t="str">
        <f t="shared" si="345"/>
        <v>Yes</v>
      </c>
      <c r="M1363">
        <f t="shared" si="346"/>
        <v>17</v>
      </c>
      <c r="N1363" s="5" t="str">
        <f t="shared" si="347"/>
        <v>No</v>
      </c>
      <c r="O1363" t="str">
        <f>IF(A1363=WORKDAY(EOMONTH(A1363,0)+1,-1,Bank_Holidays!$A$2:$A$25),"Yes","No")</f>
        <v>No</v>
      </c>
      <c r="P1363" t="str">
        <f t="shared" si="348"/>
        <v>No</v>
      </c>
      <c r="Q1363" t="str">
        <f t="shared" si="349"/>
        <v>No</v>
      </c>
      <c r="R1363" s="5">
        <f t="shared" si="351"/>
        <v>1</v>
      </c>
    </row>
    <row r="1364" spans="1:18">
      <c r="A1364" s="25">
        <f t="shared" si="350"/>
        <v>47597</v>
      </c>
      <c r="B1364">
        <f t="shared" si="336"/>
        <v>2030</v>
      </c>
      <c r="C1364" s="9">
        <f t="shared" si="337"/>
        <v>4</v>
      </c>
      <c r="D1364" s="9" t="str">
        <f t="shared" si="338"/>
        <v>April</v>
      </c>
      <c r="E1364" s="9" t="str">
        <f t="shared" si="339"/>
        <v>Apr-30</v>
      </c>
      <c r="F1364" s="9" t="str">
        <f t="shared" si="340"/>
        <v>Q2</v>
      </c>
      <c r="G1364" s="9">
        <f t="shared" si="341"/>
        <v>24</v>
      </c>
      <c r="H1364" s="9">
        <f t="shared" si="342"/>
        <v>3</v>
      </c>
      <c r="I1364" s="9" t="str">
        <f t="shared" si="343"/>
        <v>Wednesday</v>
      </c>
      <c r="J1364" s="9" t="str">
        <f t="shared" si="344"/>
        <v>No</v>
      </c>
      <c r="K1364" s="5" t="str">
        <f>IF(COUNTIF(Bank_Holidays!A:A,A1364)&gt;0,"Yes","No")</f>
        <v>No</v>
      </c>
      <c r="L1364" t="str">
        <f t="shared" si="345"/>
        <v>Yes</v>
      </c>
      <c r="M1364">
        <f t="shared" si="346"/>
        <v>17</v>
      </c>
      <c r="N1364" s="5" t="str">
        <f t="shared" si="347"/>
        <v>No</v>
      </c>
      <c r="O1364" t="str">
        <f>IF(A1364=WORKDAY(EOMONTH(A1364,0)+1,-1,Bank_Holidays!$A$2:$A$25),"Yes","No")</f>
        <v>No</v>
      </c>
      <c r="P1364" t="str">
        <f t="shared" si="348"/>
        <v>No</v>
      </c>
      <c r="Q1364" t="str">
        <f t="shared" si="349"/>
        <v>No</v>
      </c>
      <c r="R1364" s="5">
        <f t="shared" si="351"/>
        <v>1</v>
      </c>
    </row>
    <row r="1365" spans="1:18">
      <c r="A1365" s="25">
        <f t="shared" si="350"/>
        <v>47598</v>
      </c>
      <c r="B1365">
        <f t="shared" si="336"/>
        <v>2030</v>
      </c>
      <c r="C1365" s="9">
        <f t="shared" si="337"/>
        <v>4</v>
      </c>
      <c r="D1365" s="9" t="str">
        <f t="shared" si="338"/>
        <v>April</v>
      </c>
      <c r="E1365" s="9" t="str">
        <f t="shared" si="339"/>
        <v>Apr-30</v>
      </c>
      <c r="F1365" s="9" t="str">
        <f t="shared" si="340"/>
        <v>Q2</v>
      </c>
      <c r="G1365" s="9">
        <f t="shared" si="341"/>
        <v>25</v>
      </c>
      <c r="H1365" s="9">
        <f t="shared" si="342"/>
        <v>4</v>
      </c>
      <c r="I1365" s="9" t="str">
        <f t="shared" si="343"/>
        <v>Thursday</v>
      </c>
      <c r="J1365" s="9" t="str">
        <f t="shared" si="344"/>
        <v>No</v>
      </c>
      <c r="K1365" s="5" t="str">
        <f>IF(COUNTIF(Bank_Holidays!A:A,A1365)&gt;0,"Yes","No")</f>
        <v>No</v>
      </c>
      <c r="L1365" t="str">
        <f t="shared" si="345"/>
        <v>Yes</v>
      </c>
      <c r="M1365">
        <f t="shared" si="346"/>
        <v>17</v>
      </c>
      <c r="N1365" s="5" t="str">
        <f t="shared" si="347"/>
        <v>No</v>
      </c>
      <c r="O1365" t="str">
        <f>IF(A1365=WORKDAY(EOMONTH(A1365,0)+1,-1,Bank_Holidays!$A$2:$A$25),"Yes","No")</f>
        <v>No</v>
      </c>
      <c r="P1365" t="str">
        <f t="shared" si="348"/>
        <v>No</v>
      </c>
      <c r="Q1365" t="str">
        <f t="shared" si="349"/>
        <v>Yes</v>
      </c>
      <c r="R1365" s="5">
        <f t="shared" si="351"/>
        <v>1</v>
      </c>
    </row>
    <row r="1366" spans="1:18">
      <c r="A1366" s="25">
        <f t="shared" si="350"/>
        <v>47599</v>
      </c>
      <c r="B1366">
        <f t="shared" si="336"/>
        <v>2030</v>
      </c>
      <c r="C1366" s="9">
        <f t="shared" si="337"/>
        <v>4</v>
      </c>
      <c r="D1366" s="9" t="str">
        <f t="shared" si="338"/>
        <v>April</v>
      </c>
      <c r="E1366" s="9" t="str">
        <f t="shared" si="339"/>
        <v>Apr-30</v>
      </c>
      <c r="F1366" s="9" t="str">
        <f t="shared" si="340"/>
        <v>Q2</v>
      </c>
      <c r="G1366" s="9">
        <f t="shared" si="341"/>
        <v>26</v>
      </c>
      <c r="H1366" s="9">
        <f t="shared" si="342"/>
        <v>5</v>
      </c>
      <c r="I1366" s="9" t="str">
        <f t="shared" si="343"/>
        <v>Friday</v>
      </c>
      <c r="J1366" s="9" t="str">
        <f t="shared" si="344"/>
        <v>No</v>
      </c>
      <c r="K1366" s="5" t="str">
        <f>IF(COUNTIF(Bank_Holidays!A:A,A1366)&gt;0,"Yes","No")</f>
        <v>No</v>
      </c>
      <c r="L1366" t="str">
        <f t="shared" si="345"/>
        <v>Yes</v>
      </c>
      <c r="M1366">
        <f t="shared" si="346"/>
        <v>17</v>
      </c>
      <c r="N1366" s="5" t="str">
        <f t="shared" si="347"/>
        <v>No</v>
      </c>
      <c r="O1366" t="str">
        <f>IF(A1366=WORKDAY(EOMONTH(A1366,0)+1,-1,Bank_Holidays!$A$2:$A$25),"Yes","No")</f>
        <v>No</v>
      </c>
      <c r="P1366" t="str">
        <f t="shared" si="348"/>
        <v>Yes</v>
      </c>
      <c r="Q1366" t="str">
        <f t="shared" si="349"/>
        <v>No</v>
      </c>
      <c r="R1366" s="5">
        <f t="shared" si="351"/>
        <v>3</v>
      </c>
    </row>
    <row r="1367" spans="1:18">
      <c r="A1367" s="25">
        <f t="shared" si="350"/>
        <v>47600</v>
      </c>
      <c r="B1367">
        <f t="shared" si="336"/>
        <v>2030</v>
      </c>
      <c r="C1367" s="9">
        <f t="shared" si="337"/>
        <v>4</v>
      </c>
      <c r="D1367" s="9" t="str">
        <f t="shared" si="338"/>
        <v>April</v>
      </c>
      <c r="E1367" s="9" t="str">
        <f t="shared" si="339"/>
        <v>Apr-30</v>
      </c>
      <c r="F1367" s="9" t="str">
        <f t="shared" si="340"/>
        <v>Q2</v>
      </c>
      <c r="G1367" s="9">
        <f t="shared" si="341"/>
        <v>27</v>
      </c>
      <c r="H1367" s="9">
        <f t="shared" si="342"/>
        <v>6</v>
      </c>
      <c r="I1367" s="9" t="str">
        <f t="shared" si="343"/>
        <v>Saturday</v>
      </c>
      <c r="J1367" s="9" t="str">
        <f t="shared" si="344"/>
        <v>Yes</v>
      </c>
      <c r="K1367" s="5" t="str">
        <f>IF(COUNTIF(Bank_Holidays!A:A,A1367)&gt;0,"Yes","No")</f>
        <v>No</v>
      </c>
      <c r="L1367" t="str">
        <f t="shared" si="345"/>
        <v>No</v>
      </c>
      <c r="M1367">
        <f t="shared" si="346"/>
        <v>17</v>
      </c>
      <c r="N1367" s="5" t="str">
        <f t="shared" si="347"/>
        <v>No</v>
      </c>
      <c r="O1367" t="str">
        <f>IF(A1367=WORKDAY(EOMONTH(A1367,0)+1,-1,Bank_Holidays!$A$2:$A$25),"Yes","No")</f>
        <v>No</v>
      </c>
      <c r="P1367" t="str">
        <f t="shared" si="348"/>
        <v>No</v>
      </c>
      <c r="Q1367" t="str">
        <f t="shared" si="349"/>
        <v>No</v>
      </c>
      <c r="R1367" s="5">
        <f t="shared" si="351"/>
        <v>0</v>
      </c>
    </row>
    <row r="1368" spans="1:18">
      <c r="A1368" s="25">
        <f t="shared" si="350"/>
        <v>47601</v>
      </c>
      <c r="B1368">
        <f t="shared" si="336"/>
        <v>2030</v>
      </c>
      <c r="C1368" s="9">
        <f t="shared" si="337"/>
        <v>4</v>
      </c>
      <c r="D1368" s="9" t="str">
        <f t="shared" si="338"/>
        <v>April</v>
      </c>
      <c r="E1368" s="9" t="str">
        <f t="shared" si="339"/>
        <v>Apr-30</v>
      </c>
      <c r="F1368" s="9" t="str">
        <f t="shared" si="340"/>
        <v>Q2</v>
      </c>
      <c r="G1368" s="9">
        <f t="shared" si="341"/>
        <v>28</v>
      </c>
      <c r="H1368" s="9">
        <f t="shared" si="342"/>
        <v>7</v>
      </c>
      <c r="I1368" s="9" t="str">
        <f t="shared" si="343"/>
        <v>Sunday</v>
      </c>
      <c r="J1368" s="9" t="str">
        <f t="shared" si="344"/>
        <v>Yes</v>
      </c>
      <c r="K1368" s="5" t="str">
        <f>IF(COUNTIF(Bank_Holidays!A:A,A1368)&gt;0,"Yes","No")</f>
        <v>No</v>
      </c>
      <c r="L1368" t="str">
        <f t="shared" si="345"/>
        <v>No</v>
      </c>
      <c r="M1368">
        <f t="shared" si="346"/>
        <v>17</v>
      </c>
      <c r="N1368" s="5" t="str">
        <f t="shared" si="347"/>
        <v>No</v>
      </c>
      <c r="O1368" t="str">
        <f>IF(A1368=WORKDAY(EOMONTH(A1368,0)+1,-1,Bank_Holidays!$A$2:$A$25),"Yes","No")</f>
        <v>No</v>
      </c>
      <c r="P1368" t="str">
        <f t="shared" si="348"/>
        <v>No</v>
      </c>
      <c r="Q1368" t="str">
        <f t="shared" si="349"/>
        <v>No</v>
      </c>
      <c r="R1368" s="5">
        <f t="shared" si="351"/>
        <v>0</v>
      </c>
    </row>
    <row r="1369" spans="1:18">
      <c r="A1369" s="25">
        <f t="shared" si="350"/>
        <v>47602</v>
      </c>
      <c r="B1369">
        <f t="shared" si="336"/>
        <v>2030</v>
      </c>
      <c r="C1369" s="9">
        <f t="shared" si="337"/>
        <v>4</v>
      </c>
      <c r="D1369" s="9" t="str">
        <f t="shared" si="338"/>
        <v>April</v>
      </c>
      <c r="E1369" s="9" t="str">
        <f t="shared" si="339"/>
        <v>Apr-30</v>
      </c>
      <c r="F1369" s="9" t="str">
        <f t="shared" si="340"/>
        <v>Q2</v>
      </c>
      <c r="G1369" s="9">
        <f t="shared" si="341"/>
        <v>29</v>
      </c>
      <c r="H1369" s="9">
        <f t="shared" si="342"/>
        <v>1</v>
      </c>
      <c r="I1369" s="9" t="str">
        <f t="shared" si="343"/>
        <v>Monday</v>
      </c>
      <c r="J1369" s="9" t="str">
        <f t="shared" si="344"/>
        <v>No</v>
      </c>
      <c r="K1369" s="5" t="str">
        <f>IF(COUNTIF(Bank_Holidays!A:A,A1369)&gt;0,"Yes","No")</f>
        <v>No</v>
      </c>
      <c r="L1369" t="str">
        <f t="shared" si="345"/>
        <v>Yes</v>
      </c>
      <c r="M1369">
        <f t="shared" si="346"/>
        <v>18</v>
      </c>
      <c r="N1369" s="5" t="str">
        <f t="shared" si="347"/>
        <v>No</v>
      </c>
      <c r="O1369" t="str">
        <f>IF(A1369=WORKDAY(EOMONTH(A1369,0)+1,-1,Bank_Holidays!$A$2:$A$25),"Yes","No")</f>
        <v>No</v>
      </c>
      <c r="P1369" t="str">
        <f t="shared" si="348"/>
        <v>No</v>
      </c>
      <c r="Q1369" t="str">
        <f t="shared" si="349"/>
        <v>No</v>
      </c>
      <c r="R1369" s="5">
        <f t="shared" si="351"/>
        <v>1</v>
      </c>
    </row>
    <row r="1370" spans="1:18">
      <c r="A1370" s="25">
        <f t="shared" si="350"/>
        <v>47603</v>
      </c>
      <c r="B1370">
        <f t="shared" si="336"/>
        <v>2030</v>
      </c>
      <c r="C1370" s="9">
        <f t="shared" si="337"/>
        <v>4</v>
      </c>
      <c r="D1370" s="9" t="str">
        <f t="shared" si="338"/>
        <v>April</v>
      </c>
      <c r="E1370" s="9" t="str">
        <f t="shared" si="339"/>
        <v>Apr-30</v>
      </c>
      <c r="F1370" s="9" t="str">
        <f t="shared" si="340"/>
        <v>Q2</v>
      </c>
      <c r="G1370" s="9">
        <f t="shared" si="341"/>
        <v>30</v>
      </c>
      <c r="H1370" s="9">
        <f t="shared" si="342"/>
        <v>2</v>
      </c>
      <c r="I1370" s="9" t="str">
        <f t="shared" si="343"/>
        <v>Tuesday</v>
      </c>
      <c r="J1370" s="9" t="str">
        <f t="shared" si="344"/>
        <v>No</v>
      </c>
      <c r="K1370" s="5" t="str">
        <f>IF(COUNTIF(Bank_Holidays!A:A,A1370)&gt;0,"Yes","No")</f>
        <v>No</v>
      </c>
      <c r="L1370" t="str">
        <f t="shared" si="345"/>
        <v>Yes</v>
      </c>
      <c r="M1370">
        <f t="shared" si="346"/>
        <v>18</v>
      </c>
      <c r="N1370" s="5" t="str">
        <f t="shared" si="347"/>
        <v>Yes</v>
      </c>
      <c r="O1370" t="str">
        <f>IF(A1370=WORKDAY(EOMONTH(A1370,0)+1,-1,Bank_Holidays!$A$2:$A$25),"Yes","No")</f>
        <v>Yes</v>
      </c>
      <c r="P1370" t="str">
        <f t="shared" si="348"/>
        <v>No</v>
      </c>
      <c r="Q1370" t="str">
        <f t="shared" si="349"/>
        <v>No</v>
      </c>
      <c r="R1370" s="5">
        <f t="shared" si="351"/>
        <v>1</v>
      </c>
    </row>
    <row r="1371" spans="1:18">
      <c r="A1371" s="25">
        <f t="shared" si="350"/>
        <v>47604</v>
      </c>
      <c r="B1371">
        <f t="shared" si="336"/>
        <v>2030</v>
      </c>
      <c r="C1371" s="9">
        <f t="shared" si="337"/>
        <v>5</v>
      </c>
      <c r="D1371" s="9" t="str">
        <f t="shared" si="338"/>
        <v>May</v>
      </c>
      <c r="E1371" s="9" t="str">
        <f t="shared" si="339"/>
        <v>May-30</v>
      </c>
      <c r="F1371" s="9" t="str">
        <f t="shared" si="340"/>
        <v>Q2</v>
      </c>
      <c r="G1371" s="9">
        <f t="shared" si="341"/>
        <v>1</v>
      </c>
      <c r="H1371" s="9">
        <f t="shared" si="342"/>
        <v>3</v>
      </c>
      <c r="I1371" s="9" t="str">
        <f t="shared" si="343"/>
        <v>Wednesday</v>
      </c>
      <c r="J1371" s="9" t="str">
        <f t="shared" si="344"/>
        <v>No</v>
      </c>
      <c r="K1371" s="5" t="str">
        <f>IF(COUNTIF(Bank_Holidays!A:A,A1371)&gt;0,"Yes","No")</f>
        <v>No</v>
      </c>
      <c r="L1371" t="str">
        <f t="shared" si="345"/>
        <v>Yes</v>
      </c>
      <c r="M1371">
        <f t="shared" si="346"/>
        <v>18</v>
      </c>
      <c r="N1371" s="5" t="str">
        <f t="shared" si="347"/>
        <v>No</v>
      </c>
      <c r="O1371" t="str">
        <f>IF(A1371=WORKDAY(EOMONTH(A1371,0)+1,-1,Bank_Holidays!$A$2:$A$25),"Yes","No")</f>
        <v>No</v>
      </c>
      <c r="P1371" t="str">
        <f t="shared" si="348"/>
        <v>No</v>
      </c>
      <c r="Q1371" t="str">
        <f t="shared" si="349"/>
        <v>No</v>
      </c>
      <c r="R1371" s="5">
        <f t="shared" si="351"/>
        <v>1</v>
      </c>
    </row>
    <row r="1372" spans="1:18">
      <c r="A1372" s="25">
        <f t="shared" si="350"/>
        <v>47605</v>
      </c>
      <c r="B1372">
        <f t="shared" si="336"/>
        <v>2030</v>
      </c>
      <c r="C1372" s="9">
        <f t="shared" si="337"/>
        <v>5</v>
      </c>
      <c r="D1372" s="9" t="str">
        <f t="shared" si="338"/>
        <v>May</v>
      </c>
      <c r="E1372" s="9" t="str">
        <f t="shared" si="339"/>
        <v>May-30</v>
      </c>
      <c r="F1372" s="9" t="str">
        <f t="shared" si="340"/>
        <v>Q2</v>
      </c>
      <c r="G1372" s="9">
        <f t="shared" si="341"/>
        <v>2</v>
      </c>
      <c r="H1372" s="9">
        <f t="shared" si="342"/>
        <v>4</v>
      </c>
      <c r="I1372" s="9" t="str">
        <f t="shared" si="343"/>
        <v>Thursday</v>
      </c>
      <c r="J1372" s="9" t="str">
        <f t="shared" si="344"/>
        <v>No</v>
      </c>
      <c r="K1372" s="5" t="str">
        <f>IF(COUNTIF(Bank_Holidays!A:A,A1372)&gt;0,"Yes","No")</f>
        <v>No</v>
      </c>
      <c r="L1372" t="str">
        <f t="shared" si="345"/>
        <v>Yes</v>
      </c>
      <c r="M1372">
        <f t="shared" si="346"/>
        <v>18</v>
      </c>
      <c r="N1372" s="5" t="str">
        <f t="shared" si="347"/>
        <v>No</v>
      </c>
      <c r="O1372" t="str">
        <f>IF(A1372=WORKDAY(EOMONTH(A1372,0)+1,-1,Bank_Holidays!$A$2:$A$25),"Yes","No")</f>
        <v>No</v>
      </c>
      <c r="P1372" t="str">
        <f t="shared" si="348"/>
        <v>No</v>
      </c>
      <c r="Q1372" t="str">
        <f t="shared" si="349"/>
        <v>No</v>
      </c>
      <c r="R1372" s="5">
        <f t="shared" si="351"/>
        <v>1</v>
      </c>
    </row>
    <row r="1373" spans="1:18">
      <c r="A1373" s="25">
        <f t="shared" si="350"/>
        <v>47606</v>
      </c>
      <c r="B1373">
        <f t="shared" si="336"/>
        <v>2030</v>
      </c>
      <c r="C1373" s="9">
        <f t="shared" si="337"/>
        <v>5</v>
      </c>
      <c r="D1373" s="9" t="str">
        <f t="shared" si="338"/>
        <v>May</v>
      </c>
      <c r="E1373" s="9" t="str">
        <f t="shared" si="339"/>
        <v>May-30</v>
      </c>
      <c r="F1373" s="9" t="str">
        <f t="shared" si="340"/>
        <v>Q2</v>
      </c>
      <c r="G1373" s="9">
        <f t="shared" si="341"/>
        <v>3</v>
      </c>
      <c r="H1373" s="9">
        <f t="shared" si="342"/>
        <v>5</v>
      </c>
      <c r="I1373" s="9" t="str">
        <f t="shared" si="343"/>
        <v>Friday</v>
      </c>
      <c r="J1373" s="9" t="str">
        <f t="shared" si="344"/>
        <v>No</v>
      </c>
      <c r="K1373" s="5" t="str">
        <f>IF(COUNTIF(Bank_Holidays!A:A,A1373)&gt;0,"Yes","No")</f>
        <v>No</v>
      </c>
      <c r="L1373" t="str">
        <f t="shared" si="345"/>
        <v>Yes</v>
      </c>
      <c r="M1373">
        <f t="shared" si="346"/>
        <v>18</v>
      </c>
      <c r="N1373" s="5" t="str">
        <f t="shared" si="347"/>
        <v>No</v>
      </c>
      <c r="O1373" t="str">
        <f>IF(A1373=WORKDAY(EOMONTH(A1373,0)+1,-1,Bank_Holidays!$A$2:$A$25),"Yes","No")</f>
        <v>No</v>
      </c>
      <c r="P1373" t="str">
        <f t="shared" si="348"/>
        <v>No</v>
      </c>
      <c r="Q1373" t="str">
        <f t="shared" si="349"/>
        <v>No</v>
      </c>
      <c r="R1373" s="5">
        <f t="shared" si="351"/>
        <v>3</v>
      </c>
    </row>
    <row r="1374" spans="1:18">
      <c r="A1374" s="25">
        <f t="shared" si="350"/>
        <v>47607</v>
      </c>
      <c r="B1374">
        <f t="shared" si="336"/>
        <v>2030</v>
      </c>
      <c r="C1374" s="9">
        <f t="shared" si="337"/>
        <v>5</v>
      </c>
      <c r="D1374" s="9" t="str">
        <f t="shared" si="338"/>
        <v>May</v>
      </c>
      <c r="E1374" s="9" t="str">
        <f t="shared" si="339"/>
        <v>May-30</v>
      </c>
      <c r="F1374" s="9" t="str">
        <f t="shared" si="340"/>
        <v>Q2</v>
      </c>
      <c r="G1374" s="9">
        <f t="shared" si="341"/>
        <v>4</v>
      </c>
      <c r="H1374" s="9">
        <f t="shared" si="342"/>
        <v>6</v>
      </c>
      <c r="I1374" s="9" t="str">
        <f t="shared" si="343"/>
        <v>Saturday</v>
      </c>
      <c r="J1374" s="9" t="str">
        <f t="shared" si="344"/>
        <v>Yes</v>
      </c>
      <c r="K1374" s="5" t="str">
        <f>IF(COUNTIF(Bank_Holidays!A:A,A1374)&gt;0,"Yes","No")</f>
        <v>No</v>
      </c>
      <c r="L1374" t="str">
        <f t="shared" si="345"/>
        <v>No</v>
      </c>
      <c r="M1374">
        <f t="shared" si="346"/>
        <v>18</v>
      </c>
      <c r="N1374" s="5" t="str">
        <f t="shared" si="347"/>
        <v>No</v>
      </c>
      <c r="O1374" t="str">
        <f>IF(A1374=WORKDAY(EOMONTH(A1374,0)+1,-1,Bank_Holidays!$A$2:$A$25),"Yes","No")</f>
        <v>No</v>
      </c>
      <c r="P1374" t="str">
        <f t="shared" si="348"/>
        <v>No</v>
      </c>
      <c r="Q1374" t="str">
        <f t="shared" si="349"/>
        <v>No</v>
      </c>
      <c r="R1374" s="5">
        <f t="shared" si="351"/>
        <v>0</v>
      </c>
    </row>
    <row r="1375" spans="1:18">
      <c r="A1375" s="25">
        <f t="shared" si="350"/>
        <v>47608</v>
      </c>
      <c r="B1375">
        <f t="shared" si="336"/>
        <v>2030</v>
      </c>
      <c r="C1375" s="9">
        <f t="shared" si="337"/>
        <v>5</v>
      </c>
      <c r="D1375" s="9" t="str">
        <f t="shared" si="338"/>
        <v>May</v>
      </c>
      <c r="E1375" s="9" t="str">
        <f t="shared" si="339"/>
        <v>May-30</v>
      </c>
      <c r="F1375" s="9" t="str">
        <f t="shared" si="340"/>
        <v>Q2</v>
      </c>
      <c r="G1375" s="9">
        <f t="shared" si="341"/>
        <v>5</v>
      </c>
      <c r="H1375" s="9">
        <f t="shared" si="342"/>
        <v>7</v>
      </c>
      <c r="I1375" s="9" t="str">
        <f t="shared" si="343"/>
        <v>Sunday</v>
      </c>
      <c r="J1375" s="9" t="str">
        <f t="shared" si="344"/>
        <v>Yes</v>
      </c>
      <c r="K1375" s="5" t="str">
        <f>IF(COUNTIF(Bank_Holidays!A:A,A1375)&gt;0,"Yes","No")</f>
        <v>No</v>
      </c>
      <c r="L1375" t="str">
        <f t="shared" si="345"/>
        <v>No</v>
      </c>
      <c r="M1375">
        <f t="shared" si="346"/>
        <v>18</v>
      </c>
      <c r="N1375" s="5" t="str">
        <f t="shared" si="347"/>
        <v>No</v>
      </c>
      <c r="O1375" t="str">
        <f>IF(A1375=WORKDAY(EOMONTH(A1375,0)+1,-1,Bank_Holidays!$A$2:$A$25),"Yes","No")</f>
        <v>No</v>
      </c>
      <c r="P1375" t="str">
        <f t="shared" si="348"/>
        <v>No</v>
      </c>
      <c r="Q1375" t="str">
        <f t="shared" si="349"/>
        <v>No</v>
      </c>
      <c r="R1375" s="5">
        <f t="shared" si="351"/>
        <v>0</v>
      </c>
    </row>
    <row r="1376" spans="1:18">
      <c r="A1376" s="25">
        <f t="shared" si="350"/>
        <v>47609</v>
      </c>
      <c r="B1376">
        <f t="shared" si="336"/>
        <v>2030</v>
      </c>
      <c r="C1376" s="9">
        <f t="shared" si="337"/>
        <v>5</v>
      </c>
      <c r="D1376" s="9" t="str">
        <f t="shared" si="338"/>
        <v>May</v>
      </c>
      <c r="E1376" s="9" t="str">
        <f t="shared" si="339"/>
        <v>May-30</v>
      </c>
      <c r="F1376" s="9" t="str">
        <f t="shared" si="340"/>
        <v>Q2</v>
      </c>
      <c r="G1376" s="9">
        <f t="shared" si="341"/>
        <v>6</v>
      </c>
      <c r="H1376" s="9">
        <f t="shared" si="342"/>
        <v>1</v>
      </c>
      <c r="I1376" s="9" t="str">
        <f t="shared" si="343"/>
        <v>Monday</v>
      </c>
      <c r="J1376" s="9" t="str">
        <f t="shared" si="344"/>
        <v>No</v>
      </c>
      <c r="K1376" s="5" t="str">
        <f>IF(COUNTIF(Bank_Holidays!A:A,A1376)&gt;0,"Yes","No")</f>
        <v>No</v>
      </c>
      <c r="L1376" t="str">
        <f t="shared" si="345"/>
        <v>Yes</v>
      </c>
      <c r="M1376">
        <f t="shared" si="346"/>
        <v>19</v>
      </c>
      <c r="N1376" s="5" t="str">
        <f t="shared" si="347"/>
        <v>No</v>
      </c>
      <c r="O1376" t="str">
        <f>IF(A1376=WORKDAY(EOMONTH(A1376,0)+1,-1,Bank_Holidays!$A$2:$A$25),"Yes","No")</f>
        <v>No</v>
      </c>
      <c r="P1376" t="str">
        <f t="shared" si="348"/>
        <v>No</v>
      </c>
      <c r="Q1376" t="str">
        <f t="shared" si="349"/>
        <v>No</v>
      </c>
      <c r="R1376" s="5">
        <f t="shared" si="351"/>
        <v>1</v>
      </c>
    </row>
    <row r="1377" spans="1:18">
      <c r="A1377" s="25">
        <f t="shared" si="350"/>
        <v>47610</v>
      </c>
      <c r="B1377">
        <f t="shared" si="336"/>
        <v>2030</v>
      </c>
      <c r="C1377" s="9">
        <f t="shared" si="337"/>
        <v>5</v>
      </c>
      <c r="D1377" s="9" t="str">
        <f t="shared" si="338"/>
        <v>May</v>
      </c>
      <c r="E1377" s="9" t="str">
        <f t="shared" si="339"/>
        <v>May-30</v>
      </c>
      <c r="F1377" s="9" t="str">
        <f t="shared" si="340"/>
        <v>Q2</v>
      </c>
      <c r="G1377" s="9">
        <f t="shared" si="341"/>
        <v>7</v>
      </c>
      <c r="H1377" s="9">
        <f t="shared" si="342"/>
        <v>2</v>
      </c>
      <c r="I1377" s="9" t="str">
        <f t="shared" si="343"/>
        <v>Tuesday</v>
      </c>
      <c r="J1377" s="9" t="str">
        <f t="shared" si="344"/>
        <v>No</v>
      </c>
      <c r="K1377" s="5" t="str">
        <f>IF(COUNTIF(Bank_Holidays!A:A,A1377)&gt;0,"Yes","No")</f>
        <v>No</v>
      </c>
      <c r="L1377" t="str">
        <f t="shared" si="345"/>
        <v>Yes</v>
      </c>
      <c r="M1377">
        <f t="shared" si="346"/>
        <v>19</v>
      </c>
      <c r="N1377" s="5" t="str">
        <f t="shared" si="347"/>
        <v>No</v>
      </c>
      <c r="O1377" t="str">
        <f>IF(A1377=WORKDAY(EOMONTH(A1377,0)+1,-1,Bank_Holidays!$A$2:$A$25),"Yes","No")</f>
        <v>No</v>
      </c>
      <c r="P1377" t="str">
        <f t="shared" si="348"/>
        <v>No</v>
      </c>
      <c r="Q1377" t="str">
        <f t="shared" si="349"/>
        <v>No</v>
      </c>
      <c r="R1377" s="5">
        <f t="shared" si="351"/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532"/>
  <sheetViews>
    <sheetView zoomScale="85" workbookViewId="0">
      <selection activeCell="I8" sqref="I8"/>
    </sheetView>
  </sheetViews>
  <sheetFormatPr defaultRowHeight="14.4"/>
  <cols>
    <col min="1" max="1" width="10.5546875" bestFit="1" customWidth="1"/>
    <col min="7" max="7" width="14.109375" bestFit="1" customWidth="1"/>
    <col min="8" max="8" width="10.6640625" bestFit="1" customWidth="1"/>
    <col min="9" max="9" width="13.6640625" customWidth="1"/>
    <col min="10" max="10" width="9.77734375" style="33" bestFit="1" customWidth="1"/>
    <col min="11" max="14" width="9" bestFit="1" customWidth="1"/>
    <col min="15" max="15" width="11.33203125" bestFit="1" customWidth="1"/>
    <col min="16" max="16" width="10.88671875" customWidth="1"/>
    <col min="19" max="19" width="11.33203125" bestFit="1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252</v>
      </c>
      <c r="J1" s="33" t="s">
        <v>8</v>
      </c>
      <c r="K1" t="s">
        <v>9</v>
      </c>
      <c r="L1" t="s">
        <v>10</v>
      </c>
      <c r="M1" t="s">
        <v>11</v>
      </c>
      <c r="N1" t="s">
        <v>294</v>
      </c>
      <c r="O1" t="s">
        <v>291</v>
      </c>
      <c r="P1" t="s">
        <v>295</v>
      </c>
      <c r="Q1" t="s">
        <v>296</v>
      </c>
      <c r="R1" t="s">
        <v>124</v>
      </c>
      <c r="S1" t="s">
        <v>124</v>
      </c>
    </row>
    <row r="2" spans="1:21">
      <c r="A2" s="25">
        <f>Calendar!A2</f>
        <v>46235</v>
      </c>
      <c r="B2" t="str">
        <f>Calendar!L2</f>
        <v>No</v>
      </c>
      <c r="C2" t="str">
        <f>Calendar!O2</f>
        <v>No</v>
      </c>
      <c r="D2" t="str">
        <f>Calendar!P2</f>
        <v>No</v>
      </c>
      <c r="E2" t="str">
        <f>Calendar!Q2</f>
        <v>No</v>
      </c>
      <c r="F2" t="str">
        <f>Calendar!I2</f>
        <v>Saturday</v>
      </c>
      <c r="G2">
        <f>Calendar!S2</f>
        <v>7</v>
      </c>
      <c r="H2">
        <f>Calendar!T2</f>
        <v>7</v>
      </c>
      <c r="I2" s="27">
        <f>IF(VLOOKUP(A2,Calendar!$A$1:$R$1377,18,0)=0,0,IF(VLOOKUP(A2,Calendar!$A$1:$R$1377,18,0)=1,INDEX(Monthly_Pay_Model!$A$9:$D$40,MATCH(TEXT(A2,"dd"),Monthly_Pay_Model!$C$9:$C$39,0),4),IF(VLOOKUP(A2,Calendar!$A$1:$R$1377,18,0)=2,SUM(INDEX(Monthly_Pay_Model!$A$9:$D$40,MATCH(TEXT(A2,"dd"),Monthly_Pay_Model!$C$9:$C$39,0),4),INDEX(Monthly_Pay_Model!$A$9:$D$40,MATCH(TEXT(A3,"dd"),Monthly_Pay_Model!$C$9:$C$39,0),4)),IF(VLOOKUP(A2,Calendar!$A$1:$R$1377,18,0)=3,SUM(INDEX(Monthly_Pay_Model!$A$9:$D$40,MATCH(TEXT(A2,"dd"),Monthly_Pay_Model!$C$9:$C$39,0),4),INDEX(Monthly_Pay_Model!$A$9:$D$40,MATCH(TEXT(A3,"dd"),Monthly_Pay_Model!$C$9:$C$39,0),4),INDEX(Monthly_Pay_Model!$A$9:$D$40,MATCH(TEXT(A4,"dd"),Monthly_Pay_Model!$C$9:$C$39,0),4)),IF(VLOOKUP(A2,Calendar!$A$1:$R$1377,18,0)=4,SUM(INDEX(Monthly_Pay_Model!$A$9:$D$40,MATCH(TEXT(A2,"dd"),Monthly_Pay_Model!$C$9:$C$39,0),4),INDEX(Monthly_Pay_Model!$A$9:$D$40,MATCH(TEXT(A3,"dd"),Monthly_Pay_Model!$C$9:$C$39,0),4),INDEX(Monthly_Pay_Model!$A$9:$D$40,MATCH(TEXT(A4,"dd"),Monthly_Pay_Model!$C$9:$C$39,0),4),INDEX(Monthly_Pay_Model!$A$9:$D$40,MATCH(TEXT(A5,"dd"),Monthly_Pay_Model!$C$9:$C$39,0),4)),IF(VLOOKUP(A2,Calendar!$A$1:$R$1377,18,0)=5,SUM(INDEX(Monthly_Pay_Model!$A$9:$D$40,MATCH(TEXT(A2,"dd"),Monthly_Pay_Model!$C$9:$C$39,0),4),INDEX(Monthly_Pay_Model!$A$9:$D$40,MATCH(TEXT(A3,"dd"),Monthly_Pay_Model!$C$9:$C$39,0),4),INDEX(Monthly_Pay_Model!$A$9:$D$40,MATCH(TEXT(A4,"dd"),Monthly_Pay_Model!$C$9:$C$39,0),4),INDEX(Monthly_Pay_Model!$A$9:$D$40,MATCH(TEXT(A5,"dd"),Monthly_Pay_Model!$C$9:$C$39,0),4),INDEX(Monthly_Pay_Model!$A$9:$D$40,MATCH(TEXT(A6,"dd"),Monthly_Pay_Model!$C$9:$C$39,0),4)),))))))</f>
        <v>0</v>
      </c>
      <c r="J2" s="33">
        <f>IF(C2="Yes",Monthly_Pay_Model!$D$2,0)
+IF(Calendar!N2="Yes",Monthly_Pay_Model!$D$3,0)
+IF(D2="Yes",Monthly_Pay_Model!$D$4,0)
+IF(E2="Yes",Monthly_Pay_Model!$D$5,0)</f>
        <v>0</v>
      </c>
      <c r="K2" s="27">
        <f>IF(VLOOKUP($A2,Calendar!$A$1:$R$1377,18,0)=0,0,IF(VLOOKUP($A2,Calendar!$A$1:$R$1377,18,0)=1,IFERROR(INDEX(Weekly_Model!$D$2:$D$9,MATCH(F2,Weekly_Model!$A$2:$A$9,0)),0),IF(VLOOKUP($A2,Calendar!$A$1:$R$1377,18,0)=2,SUM(IFERROR(INDEX(Weekly_Model!$D$2:$D$9,MATCH(F2,Weekly_Model!$A$2:$A$9,0)),0),IFERROR(INDEX(Weekly_Model!$D$2:$D$9,MATCH(F3,Weekly_Model!$A$2:$A$9,0)),0)),IF(VLOOKUP($A2,Calendar!$A$1:$R$1377,18,0)=3,SUM(IFERROR(INDEX(Weekly_Model!$D$2:$D$9,MATCH(F2,Weekly_Model!$A$2:$A$9,0)),0),IFERROR(INDEX(Weekly_Model!$D$2:$D$9,MATCH(F3,Weekly_Model!$A$2:$A$9,0)),0),IFERROR(INDEX(Weekly_Model!$D$2:$D$9,MATCH(F4,Weekly_Model!$A$2:$A$9,0)),0)),IF(VLOOKUP($A2,Calendar!$A$1:$R$1377,18,0)=4,SUM(IFERROR(INDEX(Weekly_Model!$D$2:$D$9,MATCH(F2,Weekly_Model!$A$2:$A$9,0)),0),IFERROR(INDEX(Weekly_Model!$D$2:$D$9,MATCH(F3,Weekly_Model!$A$2:$A$9,0)),0),IFERROR(INDEX(Weekly_Model!$D$2:$D$9,MATCH(F4,Weekly_Model!$A$2:$A$9,0)),0),IFERROR(INDEX(Weekly_Model!$D$2:$D$9,MATCH(F5,Weekly_Model!$A$2:$A$9,0)),0)),IF(VLOOKUP($A2,Calendar!$A$1:$R$1377,18,0)=5,SUM(IFERROR(INDEX(Weekly_Model!$D$2:$D$9,MATCH(F2,Weekly_Model!$A$2:$A$9,0)),0),IFERROR(INDEX(Weekly_Model!$D$2:$D$9,MATCH(F3,Weekly_Model!$A$2:$A$9,0)),0),IFERROR(INDEX(Weekly_Model!$D$2:$D$9,MATCH(F4,Weekly_Model!$A$2:$A$9,0)),0),IFERROR(INDEX(Weekly_Model!$D$2:$D$9,MATCH(F5,Weekly_Model!$A$2:$A$9,0)),0),IFERROR(INDEX(Weekly_Model!$D$2:$D$9,MATCH(F6,Weekly_Model!$A$2:$A$9,0)),0)),0))))))</f>
        <v>0</v>
      </c>
      <c r="L2" s="27">
        <f>IF(VLOOKUP($A2,Calendar!$A$1:$R$1377,18,0)=0,0,IF(VLOOKUP($A2,Calendar!$A$1:$R$1377,18,0)=1,IFERROR(INDEX(Fortnightly_Model!$D$2:$D$15,MATCH(G2,Fortnightly_Model!$B$2:$B$15,0)),0),IF(VLOOKUP($A2,Calendar!$A$1:$R$1377,18,0)=2,SUM(IFERROR(INDEX(Fortnightly_Model!$D$2:$D$15,MATCH(G2,Fortnightly_Model!$B$2:$B$15,0)),0),IFERROR(INDEX(Fortnightly_Model!$D$2:$D$15,MATCH(G3,Fortnightly_Model!$B$2:$B$15,0)),0)),IF(VLOOKUP($A2,Calendar!$A$1:$R$1377,18,0)=3,SUM(IFERROR(INDEX(Fortnightly_Model!$D$2:$D$15,MATCH(G2,Fortnightly_Model!$B$2:$B$15,0)),0),IFERROR(INDEX(Fortnightly_Model!$D$2:$D$15,MATCH(G3,Fortnightly_Model!$B$2:$B$15,0)),0),IFERROR(INDEX(Fortnightly_Model!$D$2:$D$15,MATCH(G4,Fortnightly_Model!$B$2:$B$15,0)),0)),IF(VLOOKUP($A2,Calendar!$A$1:$R$1377,18,0)=4,SUM(IFERROR(INDEX(Fortnightly_Model!$D$2:$D$15,MATCH(G2,Fortnightly_Model!$B$2:$B$15,0)),0),IFERROR(INDEX(Fortnightly_Model!$D$2:$D$15,MATCH(G3,Fortnightly_Model!$B$2:$B$15,0)),0),IFERROR(INDEX(Fortnightly_Model!$D$2:$D$15,MATCH(G4,Fortnightly_Model!$B$2:$B$15,0)),0),IFERROR(INDEX(Fortnightly_Model!$D$2:$D$15,MATCH(G5,Fortnightly_Model!$B$2:$B$15,0)),0)),IF(VLOOKUP($A2,Calendar!$A$1:$R$1377,18,0)=5,SUM(IFERROR(INDEX(Fortnightly_Model!$D$2:$D$15,MATCH(G2,Fortnightly_Model!$B$2:$B$15,0)),0),IFERROR(INDEX(Fortnightly_Model!$D$2:$D$15,MATCH(G3,Fortnightly_Model!$B$2:$B$15,0)),0),IFERROR(INDEX(Fortnightly_Model!$D$2:$D$15,MATCH(G4,Fortnightly_Model!$B$2:$B$15,0)),0),IFERROR(INDEX(Fortnightly_Model!$D$2:$D$15,MATCH(G5,Fortnightly_Model!$B$2:$B$15,0)),0),IFERROR(INDEX(Fortnightly_Model!$D$2:$D$15,MATCH(G6,Fortnightly_Model!$B$2:$B$15,0)),0)),0))))))</f>
        <v>0</v>
      </c>
      <c r="M2" s="27">
        <f>IF(VLOOKUP($A2,Calendar!$A$1:$R$1377,18,0)=0,0,IF(VLOOKUP($A2,Calendar!$A$1:$R$1377,18,0)=1,IFERROR(INDEX(FourWeekly_Model!$D$2:$D$29,MATCH(H2,FourWeekly_Model!$B$2:$B$29,0)),0),IF(VLOOKUP($A2,Calendar!$A$1:$R$1377,18,0)=2,SUM(IFERROR(INDEX(FourWeekly_Model!$D$2:$D$29,MATCH(H2,FourWeekly_Model!$B$2:$B$29,0)),0),IFERROR(INDEX(FourWeekly_Model!$D$2:$D$29,MATCH(H3,FourWeekly_Model!$B$2:$B$29,0)),0)),IF(VLOOKUP($A2,Calendar!$A$1:$R$1377,18,0)=3,SUM(IFERROR(INDEX(FourWeekly_Model!$D$2:$D$29,MATCH(H2,FourWeekly_Model!$B$2:$B$29,0)),0),IFERROR(INDEX(FourWeekly_Model!$D$2:$D$29,MATCH(H3,FourWeekly_Model!$B$2:$B$29,0)),0),IFERROR(INDEX(FourWeekly_Model!$D$2:$D$29,MATCH(H4,FourWeekly_Model!$B$2:$B$29,0)),0)),IF(VLOOKUP($A2,Calendar!$A$1:$R$1377,18,0)=4,SUM(IFERROR(INDEX(FourWeekly_Model!$D$2:$D$29,MATCH(H2,FourWeekly_Model!$B$2:$B$29,0)),0),IFERROR(INDEX(FourWeekly_Model!$D$2:$D$29,MATCH(H3,FourWeekly_Model!$B$2:$B$29,0)),0),IFERROR(INDEX(FourWeekly_Model!$D$2:$D$29,MATCH(H4,FourWeekly_Model!$B$2:$B$29,0)),0),IFERROR(INDEX(FourWeekly_Model!$D$2:$D$29,MATCH(H5,FourWeekly_Model!$B$2:$B$29,0)),0)),IF(VLOOKUP($A2,Calendar!$A$1:$R$1377,18,0)=5,SUM(IFERROR(INDEX(FourWeekly_Model!$D$2:$D$29,MATCH(H2,FourWeekly_Model!$B$2:$B$29,0)),0),IFERROR(INDEX(FourWeekly_Model!$D$2:$D$29,MATCH(H3,FourWeekly_Model!$B$2:$B$29,0)),0),IFERROR(INDEX(FourWeekly_Model!$D$2:$D$29,MATCH(H4,FourWeekly_Model!$B$2:$B$29,0)),0),IFERROR(INDEX(FourWeekly_Model!$D$2:$D$29,MATCH(H5,FourWeekly_Model!$B$2:$B$29,0)),0),IFERROR(INDEX(FourWeekly_Model!$D$2:$D$29,MATCH(H6,FourWeekly_Model!$B$2:$B$29,0)),0)),0))))))</f>
        <v>0</v>
      </c>
      <c r="N2" s="27">
        <f>SUM(I2:M2)</f>
        <v>0</v>
      </c>
      <c r="O2" s="28">
        <f>Population_Data!$B$8*N2</f>
        <v>0</v>
      </c>
      <c r="P2" s="27">
        <f>IF(VLOOKUP($A2,Calendar!$A$1:$R$1377,18,0)=0,0,IF(VLOOKUP($A2,Calendar!$A$1:$R$1377,18,0)=1,IFERROR(INDEX(Pension_Model!$D$2:$D$29,MATCH(H2,Pension_Model!$B$2:$B$29,0)),0),IF(VLOOKUP($A2,Calendar!$A$1:$R$1377,18,0)=2,SUM(IFERROR(INDEX(Pension_Model!$D$2:$D$29,MATCH(H2,Pension_Model!$B$2:$B$29,0)),0),IFERROR(INDEX(Pension_Model!$D$2:$D$29,MATCH(H3,Pension_Model!$B$2:$B$29,0)),0)),IF(VLOOKUP($A2,Calendar!$A$1:$R$1377,18,0)=3,SUM(IFERROR(INDEX(Pension_Model!$D$2:$D$29,MATCH(H2,Pension_Model!$B$2:$B$29,0)),0),IFERROR(INDEX(Pension_Model!$D$2:$D$29,MATCH(H3,Pension_Model!$B$2:$B$29,0)),0),IFERROR(INDEX(Pension_Model!$D$2:$D$29,MATCH(H4,Pension_Model!$B$2:$B$29,0)),0)),IF(VLOOKUP($A2,Calendar!$A$1:$R$1377,18,0)=4,SUM(IFERROR(INDEX(Pension_Model!$D$2:$D$29,MATCH(H2,Pension_Model!$B$2:$B$29,0)),0),IFERROR(INDEX(Pension_Model!$D$2:$D$29,MATCH(H3,Pension_Model!$B$2:$B$29,0)),0),IFERROR(INDEX(Pension_Model!$D$2:$D$29,MATCH(H4,Pension_Model!$B$2:$B$29,0)),0),IFERROR(INDEX(Pension_Model!$D$2:$D$29,MATCH(H5,Pension_Model!$B$2:$B$29,0)),0)),IF(VLOOKUP($A2,Calendar!$A$1:$R$1377,18,0)=5,SUM(IFERROR(INDEX(Pension_Model!$D$2:$D$29,MATCH(H2,Pension_Model!$B$2:$B$29,0)),0),IFERROR(INDEX(Pension_Model!$D$2:$D$29,MATCH(H3,Pension_Model!$B$2:$B$29,0)),0),IFERROR(INDEX(Pension_Model!$D$2:$D$29,MATCH(H4,Pension_Model!$B$2:$B$29,0)),0),IFERROR(INDEX(Pension_Model!$D$2:$D$29,MATCH(H5,Pension_Model!$B$2:$B$29,0)),0),IFERROR(INDEX(Pension_Model!$D$2:$D$29,MATCH(H6,Pension_Model!$B$2:$B$29,0)),0)),0))))))</f>
        <v>0</v>
      </c>
      <c r="Q2" s="28">
        <f>Population_Data!$B$15*P2</f>
        <v>0</v>
      </c>
      <c r="R2" s="32"/>
      <c r="S2">
        <f>SUM(Q2,O2)</f>
        <v>0</v>
      </c>
      <c r="U2" s="33">
        <f>S2/Population_Data!$B$19</f>
        <v>0</v>
      </c>
    </row>
    <row r="3" spans="1:21">
      <c r="A3" s="25">
        <f>Calendar!A3</f>
        <v>46236</v>
      </c>
      <c r="B3" t="str">
        <f>Calendar!L3</f>
        <v>No</v>
      </c>
      <c r="C3" t="str">
        <f>Calendar!O3</f>
        <v>No</v>
      </c>
      <c r="D3" t="str">
        <f>Calendar!P3</f>
        <v>No</v>
      </c>
      <c r="E3" t="str">
        <f>Calendar!Q3</f>
        <v>No</v>
      </c>
      <c r="F3" t="str">
        <f>Calendar!I3</f>
        <v>Sunday</v>
      </c>
      <c r="G3">
        <f>Calendar!S3</f>
        <v>8</v>
      </c>
      <c r="H3">
        <f>Calendar!T3</f>
        <v>8</v>
      </c>
      <c r="I3" s="27">
        <f>IF(VLOOKUP(A3,Calendar!$A$1:$R$1377,18,0)=0,0,IF(VLOOKUP(A3,Calendar!$A$1:$R$1377,18,0)=1,INDEX(Monthly_Pay_Model!$A$9:$D$40,MATCH(TEXT(A3,"dd"),Monthly_Pay_Model!$C$9:$C$39,0),4),IF(VLOOKUP(A3,Calendar!$A$1:$R$1377,18,0)=2,SUM(INDEX(Monthly_Pay_Model!$A$9:$D$40,MATCH(TEXT(A3,"dd"),Monthly_Pay_Model!$C$9:$C$39,0),4),INDEX(Monthly_Pay_Model!$A$9:$D$40,MATCH(TEXT(A4,"dd"),Monthly_Pay_Model!$C$9:$C$39,0),4)),IF(VLOOKUP(A3,Calendar!$A$1:$R$1377,18,0)=3,SUM(INDEX(Monthly_Pay_Model!$A$9:$D$40,MATCH(TEXT(A3,"dd"),Monthly_Pay_Model!$C$9:$C$39,0),4),INDEX(Monthly_Pay_Model!$A$9:$D$40,MATCH(TEXT(A4,"dd"),Monthly_Pay_Model!$C$9:$C$39,0),4),INDEX(Monthly_Pay_Model!$A$9:$D$40,MATCH(TEXT(A5,"dd"),Monthly_Pay_Model!$C$9:$C$39,0),4)),IF(VLOOKUP(A3,Calendar!$A$1:$R$1377,18,0)=4,SUM(INDEX(Monthly_Pay_Model!$A$9:$D$40,MATCH(TEXT(A3,"dd"),Monthly_Pay_Model!$C$9:$C$39,0),4),INDEX(Monthly_Pay_Model!$A$9:$D$40,MATCH(TEXT(A4,"dd"),Monthly_Pay_Model!$C$9:$C$39,0),4),INDEX(Monthly_Pay_Model!$A$9:$D$40,MATCH(TEXT(A5,"dd"),Monthly_Pay_Model!$C$9:$C$39,0),4),INDEX(Monthly_Pay_Model!$A$9:$D$40,MATCH(TEXT(A6,"dd"),Monthly_Pay_Model!$C$9:$C$39,0),4)),IF(VLOOKUP(A3,Calendar!$A$1:$R$1377,18,0)=5,SUM(INDEX(Monthly_Pay_Model!$A$9:$D$40,MATCH(TEXT(A3,"dd"),Monthly_Pay_Model!$C$9:$C$39,0),4),INDEX(Monthly_Pay_Model!$A$9:$D$40,MATCH(TEXT(A4,"dd"),Monthly_Pay_Model!$C$9:$C$39,0),4),INDEX(Monthly_Pay_Model!$A$9:$D$40,MATCH(TEXT(A5,"dd"),Monthly_Pay_Model!$C$9:$C$39,0),4),INDEX(Monthly_Pay_Model!$A$9:$D$40,MATCH(TEXT(A6,"dd"),Monthly_Pay_Model!$C$9:$C$39,0),4),INDEX(Monthly_Pay_Model!$A$9:$D$40,MATCH(TEXT(A7,"dd"),Monthly_Pay_Model!$C$9:$C$39,0),4)),))))))</f>
        <v>0</v>
      </c>
      <c r="J3" s="33">
        <f>IF(C3="Yes",Monthly_Pay_Model!$D$2,0)
+IF(Calendar!N3="Yes",Monthly_Pay_Model!$D$3,0)
+IF(D3="Yes",Monthly_Pay_Model!$D$4,0)
+IF(E3="Yes",Monthly_Pay_Model!$D$5,0)</f>
        <v>0</v>
      </c>
      <c r="K3" s="27">
        <f>IF(VLOOKUP($A3,Calendar!$A$1:$R$1377,18,0)=0,0,IF(VLOOKUP($A3,Calendar!$A$1:$R$1377,18,0)=1,IFERROR(INDEX(Weekly_Model!$D$2:$D$9,MATCH(F3,Weekly_Model!$A$2:$A$9,0)),0),IF(VLOOKUP($A3,Calendar!$A$1:$R$1377,18,0)=2,SUM(IFERROR(INDEX(Weekly_Model!$D$2:$D$9,MATCH(F3,Weekly_Model!$A$2:$A$9,0)),0),IFERROR(INDEX(Weekly_Model!$D$2:$D$9,MATCH(F4,Weekly_Model!$A$2:$A$9,0)),0)),IF(VLOOKUP($A3,Calendar!$A$1:$R$1377,18,0)=3,SUM(IFERROR(INDEX(Weekly_Model!$D$2:$D$9,MATCH(F3,Weekly_Model!$A$2:$A$9,0)),0),IFERROR(INDEX(Weekly_Model!$D$2:$D$9,MATCH(F4,Weekly_Model!$A$2:$A$9,0)),0),IFERROR(INDEX(Weekly_Model!$D$2:$D$9,MATCH(F5,Weekly_Model!$A$2:$A$9,0)),0)),IF(VLOOKUP($A3,Calendar!$A$1:$R$1377,18,0)=4,SUM(IFERROR(INDEX(Weekly_Model!$D$2:$D$9,MATCH(F3,Weekly_Model!$A$2:$A$9,0)),0),IFERROR(INDEX(Weekly_Model!$D$2:$D$9,MATCH(F4,Weekly_Model!$A$2:$A$9,0)),0),IFERROR(INDEX(Weekly_Model!$D$2:$D$9,MATCH(F5,Weekly_Model!$A$2:$A$9,0)),0),IFERROR(INDEX(Weekly_Model!$D$2:$D$9,MATCH(F6,Weekly_Model!$A$2:$A$9,0)),0)),IF(VLOOKUP($A3,Calendar!$A$1:$R$1377,18,0)=5,SUM(IFERROR(INDEX(Weekly_Model!$D$2:$D$9,MATCH(F3,Weekly_Model!$A$2:$A$9,0)),0),IFERROR(INDEX(Weekly_Model!$D$2:$D$9,MATCH(F4,Weekly_Model!$A$2:$A$9,0)),0),IFERROR(INDEX(Weekly_Model!$D$2:$D$9,MATCH(F5,Weekly_Model!$A$2:$A$9,0)),0),IFERROR(INDEX(Weekly_Model!$D$2:$D$9,MATCH(F6,Weekly_Model!$A$2:$A$9,0)),0),IFERROR(INDEX(Weekly_Model!$D$2:$D$9,MATCH(F7,Weekly_Model!$A$2:$A$9,0)),0)),0))))))</f>
        <v>0</v>
      </c>
      <c r="L3" s="27">
        <f>IF(VLOOKUP($A3,Calendar!$A$1:$R$1377,18,0)=0,0,IF(VLOOKUP($A3,Calendar!$A$1:$R$1377,18,0)=1,IFERROR(INDEX(Fortnightly_Model!$D$2:$D$15,MATCH(G3,Fortnightly_Model!$B$2:$B$15,0)),0),IF(VLOOKUP($A3,Calendar!$A$1:$R$1377,18,0)=2,SUM(IFERROR(INDEX(Fortnightly_Model!$D$2:$D$15,MATCH(G3,Fortnightly_Model!$B$2:$B$15,0)),0),IFERROR(INDEX(Fortnightly_Model!$D$2:$D$15,MATCH(G4,Fortnightly_Model!$B$2:$B$15,0)),0)),IF(VLOOKUP($A3,Calendar!$A$1:$R$1377,18,0)=3,SUM(IFERROR(INDEX(Fortnightly_Model!$D$2:$D$15,MATCH(G3,Fortnightly_Model!$B$2:$B$15,0)),0),IFERROR(INDEX(Fortnightly_Model!$D$2:$D$15,MATCH(G4,Fortnightly_Model!$B$2:$B$15,0)),0),IFERROR(INDEX(Fortnightly_Model!$D$2:$D$15,MATCH(G5,Fortnightly_Model!$B$2:$B$15,0)),0)),IF(VLOOKUP($A3,Calendar!$A$1:$R$1377,18,0)=4,SUM(IFERROR(INDEX(Fortnightly_Model!$D$2:$D$15,MATCH(G3,Fortnightly_Model!$B$2:$B$15,0)),0),IFERROR(INDEX(Fortnightly_Model!$D$2:$D$15,MATCH(G4,Fortnightly_Model!$B$2:$B$15,0)),0),IFERROR(INDEX(Fortnightly_Model!$D$2:$D$15,MATCH(G5,Fortnightly_Model!$B$2:$B$15,0)),0),IFERROR(INDEX(Fortnightly_Model!$D$2:$D$15,MATCH(G6,Fortnightly_Model!$B$2:$B$15,0)),0)),IF(VLOOKUP($A3,Calendar!$A$1:$R$1377,18,0)=5,SUM(IFERROR(INDEX(Fortnightly_Model!$D$2:$D$15,MATCH(G3,Fortnightly_Model!$B$2:$B$15,0)),0),IFERROR(INDEX(Fortnightly_Model!$D$2:$D$15,MATCH(G4,Fortnightly_Model!$B$2:$B$15,0)),0),IFERROR(INDEX(Fortnightly_Model!$D$2:$D$15,MATCH(G5,Fortnightly_Model!$B$2:$B$15,0)),0),IFERROR(INDEX(Fortnightly_Model!$D$2:$D$15,MATCH(G6,Fortnightly_Model!$B$2:$B$15,0)),0),IFERROR(INDEX(Fortnightly_Model!$D$2:$D$15,MATCH(G7,Fortnightly_Model!$B$2:$B$15,0)),0)),0))))))</f>
        <v>0</v>
      </c>
      <c r="M3" s="27">
        <f>IF(VLOOKUP($A3,Calendar!$A$1:$R$1377,18,0)=0,0,IF(VLOOKUP($A3,Calendar!$A$1:$R$1377,18,0)=1,IFERROR(INDEX(FourWeekly_Model!$D$2:$D$29,MATCH(H3,FourWeekly_Model!$B$2:$B$29,0)),0),IF(VLOOKUP($A3,Calendar!$A$1:$R$1377,18,0)=2,SUM(IFERROR(INDEX(FourWeekly_Model!$D$2:$D$29,MATCH(H3,FourWeekly_Model!$B$2:$B$29,0)),0),IFERROR(INDEX(FourWeekly_Model!$D$2:$D$29,MATCH(H4,FourWeekly_Model!$B$2:$B$29,0)),0)),IF(VLOOKUP($A3,Calendar!$A$1:$R$1377,18,0)=3,SUM(IFERROR(INDEX(FourWeekly_Model!$D$2:$D$29,MATCH(H3,FourWeekly_Model!$B$2:$B$29,0)),0),IFERROR(INDEX(FourWeekly_Model!$D$2:$D$29,MATCH(H4,FourWeekly_Model!$B$2:$B$29,0)),0),IFERROR(INDEX(FourWeekly_Model!$D$2:$D$29,MATCH(H5,FourWeekly_Model!$B$2:$B$29,0)),0)),IF(VLOOKUP($A3,Calendar!$A$1:$R$1377,18,0)=4,SUM(IFERROR(INDEX(FourWeekly_Model!$D$2:$D$29,MATCH(H3,FourWeekly_Model!$B$2:$B$29,0)),0),IFERROR(INDEX(FourWeekly_Model!$D$2:$D$29,MATCH(H4,FourWeekly_Model!$B$2:$B$29,0)),0),IFERROR(INDEX(FourWeekly_Model!$D$2:$D$29,MATCH(H5,FourWeekly_Model!$B$2:$B$29,0)),0),IFERROR(INDEX(FourWeekly_Model!$D$2:$D$29,MATCH(H6,FourWeekly_Model!$B$2:$B$29,0)),0)),IF(VLOOKUP($A3,Calendar!$A$1:$R$1377,18,0)=5,SUM(IFERROR(INDEX(FourWeekly_Model!$D$2:$D$29,MATCH(H3,FourWeekly_Model!$B$2:$B$29,0)),0),IFERROR(INDEX(FourWeekly_Model!$D$2:$D$29,MATCH(H4,FourWeekly_Model!$B$2:$B$29,0)),0),IFERROR(INDEX(FourWeekly_Model!$D$2:$D$29,MATCH(H5,FourWeekly_Model!$B$2:$B$29,0)),0),IFERROR(INDEX(FourWeekly_Model!$D$2:$D$29,MATCH(H6,FourWeekly_Model!$B$2:$B$29,0)),0),IFERROR(INDEX(FourWeekly_Model!$D$2:$D$29,MATCH(H7,FourWeekly_Model!$B$2:$B$29,0)),0)),0))))))</f>
        <v>0</v>
      </c>
      <c r="N3" s="27">
        <f>SUM(I3:M3)</f>
        <v>0</v>
      </c>
      <c r="O3" s="28">
        <f>Population_Data!$B$8*N3</f>
        <v>0</v>
      </c>
      <c r="P3" s="27">
        <f>IF(VLOOKUP($A3,Calendar!$A$1:$R$1377,18,0)=0,0,IF(VLOOKUP($A3,Calendar!$A$1:$R$1377,18,0)=1,IFERROR(INDEX(Pension_Model!$D$2:$D$29,MATCH(H3,Pension_Model!$B$2:$B$29,0)),0),IF(VLOOKUP($A3,Calendar!$A$1:$R$1377,18,0)=2,SUM(IFERROR(INDEX(Pension_Model!$D$2:$D$29,MATCH(H3,Pension_Model!$B$2:$B$29,0)),0),IFERROR(INDEX(Pension_Model!$D$2:$D$29,MATCH(H4,Pension_Model!$B$2:$B$29,0)),0)),IF(VLOOKUP($A3,Calendar!$A$1:$R$1377,18,0)=3,SUM(IFERROR(INDEX(Pension_Model!$D$2:$D$29,MATCH(H3,Pension_Model!$B$2:$B$29,0)),0),IFERROR(INDEX(Pension_Model!$D$2:$D$29,MATCH(H4,Pension_Model!$B$2:$B$29,0)),0),IFERROR(INDEX(Pension_Model!$D$2:$D$29,MATCH(H5,Pension_Model!$B$2:$B$29,0)),0)),IF(VLOOKUP($A3,Calendar!$A$1:$R$1377,18,0)=4,SUM(IFERROR(INDEX(Pension_Model!$D$2:$D$29,MATCH(H3,Pension_Model!$B$2:$B$29,0)),0),IFERROR(INDEX(Pension_Model!$D$2:$D$29,MATCH(H4,Pension_Model!$B$2:$B$29,0)),0),IFERROR(INDEX(Pension_Model!$D$2:$D$29,MATCH(H5,Pension_Model!$B$2:$B$29,0)),0),IFERROR(INDEX(Pension_Model!$D$2:$D$29,MATCH(H6,Pension_Model!$B$2:$B$29,0)),0)),IF(VLOOKUP($A3,Calendar!$A$1:$R$1377,18,0)=5,SUM(IFERROR(INDEX(Pension_Model!$D$2:$D$29,MATCH(H3,Pension_Model!$B$2:$B$29,0)),0),IFERROR(INDEX(Pension_Model!$D$2:$D$29,MATCH(H4,Pension_Model!$B$2:$B$29,0)),0),IFERROR(INDEX(Pension_Model!$D$2:$D$29,MATCH(H5,Pension_Model!$B$2:$B$29,0)),0),IFERROR(INDEX(Pension_Model!$D$2:$D$29,MATCH(H6,Pension_Model!$B$2:$B$29,0)),0),IFERROR(INDEX(Pension_Model!$D$2:$D$29,MATCH(H7,Pension_Model!$B$2:$B$29,0)),0)),0))))))</f>
        <v>0</v>
      </c>
      <c r="Q3" s="28">
        <f>Population_Data!$B$15*P3</f>
        <v>0</v>
      </c>
      <c r="R3" s="32"/>
      <c r="S3">
        <f t="shared" ref="S3:S66" si="0">SUM(Q3,O3)</f>
        <v>0</v>
      </c>
      <c r="U3" s="33">
        <f>S3/Population_Data!$B$19</f>
        <v>0</v>
      </c>
    </row>
    <row r="4" spans="1:21">
      <c r="A4" s="25">
        <f>Calendar!A4</f>
        <v>46237</v>
      </c>
      <c r="B4" t="str">
        <f>Calendar!L4</f>
        <v>Yes</v>
      </c>
      <c r="C4" t="str">
        <f>Calendar!O4</f>
        <v>No</v>
      </c>
      <c r="D4" t="str">
        <f>Calendar!P4</f>
        <v>No</v>
      </c>
      <c r="E4" t="str">
        <f>Calendar!Q4</f>
        <v>No</v>
      </c>
      <c r="F4" t="str">
        <f>Calendar!I4</f>
        <v>Monday</v>
      </c>
      <c r="G4">
        <f>Calendar!S4</f>
        <v>9</v>
      </c>
      <c r="H4">
        <f>Calendar!T4</f>
        <v>9</v>
      </c>
      <c r="I4" s="27">
        <f>IF(VLOOKUP(A4,Calendar!$A$1:$R$1377,18,0)=0,0,IF(VLOOKUP(A4,Calendar!$A$1:$R$1377,18,0)=1,INDEX(Monthly_Pay_Model!$A$9:$D$40,MATCH(TEXT(A4,"dd"),Monthly_Pay_Model!$C$9:$C$39,0),4),IF(VLOOKUP(A4,Calendar!$A$1:$R$1377,18,0)=2,SUM(INDEX(Monthly_Pay_Model!$A$9:$D$40,MATCH(TEXT(A4,"dd"),Monthly_Pay_Model!$C$9:$C$39,0),4),INDEX(Monthly_Pay_Model!$A$9:$D$40,MATCH(TEXT(A5,"dd"),Monthly_Pay_Model!$C$9:$C$39,0),4)),IF(VLOOKUP(A4,Calendar!$A$1:$R$1377,18,0)=3,SUM(INDEX(Monthly_Pay_Model!$A$9:$D$40,MATCH(TEXT(A4,"dd"),Monthly_Pay_Model!$C$9:$C$39,0),4),INDEX(Monthly_Pay_Model!$A$9:$D$40,MATCH(TEXT(A5,"dd"),Monthly_Pay_Model!$C$9:$C$39,0),4),INDEX(Monthly_Pay_Model!$A$9:$D$40,MATCH(TEXT(A6,"dd"),Monthly_Pay_Model!$C$9:$C$39,0),4)),IF(VLOOKUP(A4,Calendar!$A$1:$R$1377,18,0)=4,SUM(INDEX(Monthly_Pay_Model!$A$9:$D$40,MATCH(TEXT(A4,"dd"),Monthly_Pay_Model!$C$9:$C$39,0),4),INDEX(Monthly_Pay_Model!$A$9:$D$40,MATCH(TEXT(A5,"dd"),Monthly_Pay_Model!$C$9:$C$39,0),4),INDEX(Monthly_Pay_Model!$A$9:$D$40,MATCH(TEXT(A6,"dd"),Monthly_Pay_Model!$C$9:$C$39,0),4),INDEX(Monthly_Pay_Model!$A$9:$D$40,MATCH(TEXT(A7,"dd"),Monthly_Pay_Model!$C$9:$C$39,0),4)),IF(VLOOKUP(A4,Calendar!$A$1:$R$1377,18,0)=5,SUM(INDEX(Monthly_Pay_Model!$A$9:$D$40,MATCH(TEXT(A4,"dd"),Monthly_Pay_Model!$C$9:$C$39,0),4),INDEX(Monthly_Pay_Model!$A$9:$D$40,MATCH(TEXT(A5,"dd"),Monthly_Pay_Model!$C$9:$C$39,0),4),INDEX(Monthly_Pay_Model!$A$9:$D$40,MATCH(TEXT(A6,"dd"),Monthly_Pay_Model!$C$9:$C$39,0),4),INDEX(Monthly_Pay_Model!$A$9:$D$40,MATCH(TEXT(A7,"dd"),Monthly_Pay_Model!$C$9:$C$39,0),4),INDEX(Monthly_Pay_Model!$A$9:$D$40,MATCH(TEXT(A8,"dd"),Monthly_Pay_Model!$C$9:$C$39,0),4)),))))))</f>
        <v>8.1256544502617792E-4</v>
      </c>
      <c r="J4" s="33">
        <f>IF(C4="Yes",Monthly_Pay_Model!$D$2,0)
+IF(Calendar!N4="Yes",Monthly_Pay_Model!$D$3,0)
+IF(D4="Yes",Monthly_Pay_Model!$D$4,0)
+IF(E4="Yes",Monthly_Pay_Model!$D$5,0)</f>
        <v>0</v>
      </c>
      <c r="K4" s="27">
        <f>IF(VLOOKUP($A4,Calendar!$A$1:$R$1377,18,0)=0,0,IF(VLOOKUP($A4,Calendar!$A$1:$R$1377,18,0)=1,IFERROR(INDEX(Weekly_Model!$D$2:$D$9,MATCH(F4,Weekly_Model!$A$2:$A$9,0)),0),IF(VLOOKUP($A4,Calendar!$A$1:$R$1377,18,0)=2,SUM(IFERROR(INDEX(Weekly_Model!$D$2:$D$9,MATCH(F4,Weekly_Model!$A$2:$A$9,0)),0),IFERROR(INDEX(Weekly_Model!$D$2:$D$9,MATCH(F5,Weekly_Model!$A$2:$A$9,0)),0)),IF(VLOOKUP($A4,Calendar!$A$1:$R$1377,18,0)=3,SUM(IFERROR(INDEX(Weekly_Model!$D$2:$D$9,MATCH(F4,Weekly_Model!$A$2:$A$9,0)),0),IFERROR(INDEX(Weekly_Model!$D$2:$D$9,MATCH(F5,Weekly_Model!$A$2:$A$9,0)),0),IFERROR(INDEX(Weekly_Model!$D$2:$D$9,MATCH(F6,Weekly_Model!$A$2:$A$9,0)),0)),IF(VLOOKUP($A4,Calendar!$A$1:$R$1377,18,0)=4,SUM(IFERROR(INDEX(Weekly_Model!$D$2:$D$9,MATCH(F4,Weekly_Model!$A$2:$A$9,0)),0),IFERROR(INDEX(Weekly_Model!$D$2:$D$9,MATCH(F5,Weekly_Model!$A$2:$A$9,0)),0),IFERROR(INDEX(Weekly_Model!$D$2:$D$9,MATCH(F6,Weekly_Model!$A$2:$A$9,0)),0),IFERROR(INDEX(Weekly_Model!$D$2:$D$9,MATCH(F7,Weekly_Model!$A$2:$A$9,0)),0)),IF(VLOOKUP($A4,Calendar!$A$1:$R$1377,18,0)=5,SUM(IFERROR(INDEX(Weekly_Model!$D$2:$D$9,MATCH(F4,Weekly_Model!$A$2:$A$9,0)),0),IFERROR(INDEX(Weekly_Model!$D$2:$D$9,MATCH(F5,Weekly_Model!$A$2:$A$9,0)),0),IFERROR(INDEX(Weekly_Model!$D$2:$D$9,MATCH(F6,Weekly_Model!$A$2:$A$9,0)),0),IFERROR(INDEX(Weekly_Model!$D$2:$D$9,MATCH(F7,Weekly_Model!$A$2:$A$9,0)),0),IFERROR(INDEX(Weekly_Model!$D$2:$D$9,MATCH(F8,Weekly_Model!$A$2:$A$9,0)),0)),0))))))</f>
        <v>2.3200000000000002E-2</v>
      </c>
      <c r="L4" s="27">
        <f>IF(VLOOKUP($A4,Calendar!$A$1:$R$1377,18,0)=0,0,IF(VLOOKUP($A4,Calendar!$A$1:$R$1377,18,0)=1,IFERROR(INDEX(Fortnightly_Model!$D$2:$D$15,MATCH(G4,Fortnightly_Model!$B$2:$B$15,0)),0),IF(VLOOKUP($A4,Calendar!$A$1:$R$1377,18,0)=2,SUM(IFERROR(INDEX(Fortnightly_Model!$D$2:$D$15,MATCH(G4,Fortnightly_Model!$B$2:$B$15,0)),0),IFERROR(INDEX(Fortnightly_Model!$D$2:$D$15,MATCH(G5,Fortnightly_Model!$B$2:$B$15,0)),0)),IF(VLOOKUP($A4,Calendar!$A$1:$R$1377,18,0)=3,SUM(IFERROR(INDEX(Fortnightly_Model!$D$2:$D$15,MATCH(G4,Fortnightly_Model!$B$2:$B$15,0)),0),IFERROR(INDEX(Fortnightly_Model!$D$2:$D$15,MATCH(G5,Fortnightly_Model!$B$2:$B$15,0)),0),IFERROR(INDEX(Fortnightly_Model!$D$2:$D$15,MATCH(G6,Fortnightly_Model!$B$2:$B$15,0)),0)),IF(VLOOKUP($A4,Calendar!$A$1:$R$1377,18,0)=4,SUM(IFERROR(INDEX(Fortnightly_Model!$D$2:$D$15,MATCH(G4,Fortnightly_Model!$B$2:$B$15,0)),0),IFERROR(INDEX(Fortnightly_Model!$D$2:$D$15,MATCH(G5,Fortnightly_Model!$B$2:$B$15,0)),0),IFERROR(INDEX(Fortnightly_Model!$D$2:$D$15,MATCH(G6,Fortnightly_Model!$B$2:$B$15,0)),0),IFERROR(INDEX(Fortnightly_Model!$D$2:$D$15,MATCH(G7,Fortnightly_Model!$B$2:$B$15,0)),0)),IF(VLOOKUP($A4,Calendar!$A$1:$R$1377,18,0)=5,SUM(IFERROR(INDEX(Fortnightly_Model!$D$2:$D$15,MATCH(G4,Fortnightly_Model!$B$2:$B$15,0)),0),IFERROR(INDEX(Fortnightly_Model!$D$2:$D$15,MATCH(G5,Fortnightly_Model!$B$2:$B$15,0)),0),IFERROR(INDEX(Fortnightly_Model!$D$2:$D$15,MATCH(G6,Fortnightly_Model!$B$2:$B$15,0)),0),IFERROR(INDEX(Fortnightly_Model!$D$2:$D$15,MATCH(G7,Fortnightly_Model!$B$2:$B$15,0)),0),IFERROR(INDEX(Fortnightly_Model!$D$2:$D$15,MATCH(G8,Fortnightly_Model!$B$2:$B$15,0)),0)),0))))))</f>
        <v>1.0714285499999999E-3</v>
      </c>
      <c r="M4" s="27">
        <f>IF(VLOOKUP($A4,Calendar!$A$1:$R$1377,18,0)=0,0,IF(VLOOKUP($A4,Calendar!$A$1:$R$1377,18,0)=1,IFERROR(INDEX(FourWeekly_Model!$D$2:$D$29,MATCH(H4,FourWeekly_Model!$B$2:$B$29,0)),0),IF(VLOOKUP($A4,Calendar!$A$1:$R$1377,18,0)=2,SUM(IFERROR(INDEX(FourWeekly_Model!$D$2:$D$29,MATCH(H4,FourWeekly_Model!$B$2:$B$29,0)),0),IFERROR(INDEX(FourWeekly_Model!$D$2:$D$29,MATCH(H5,FourWeekly_Model!$B$2:$B$29,0)),0)),IF(VLOOKUP($A4,Calendar!$A$1:$R$1377,18,0)=3,SUM(IFERROR(INDEX(FourWeekly_Model!$D$2:$D$29,MATCH(H4,FourWeekly_Model!$B$2:$B$29,0)),0),IFERROR(INDEX(FourWeekly_Model!$D$2:$D$29,MATCH(H5,FourWeekly_Model!$B$2:$B$29,0)),0),IFERROR(INDEX(FourWeekly_Model!$D$2:$D$29,MATCH(H6,FourWeekly_Model!$B$2:$B$29,0)),0)),IF(VLOOKUP($A4,Calendar!$A$1:$R$1377,18,0)=4,SUM(IFERROR(INDEX(FourWeekly_Model!$D$2:$D$29,MATCH(H4,FourWeekly_Model!$B$2:$B$29,0)),0),IFERROR(INDEX(FourWeekly_Model!$D$2:$D$29,MATCH(H5,FourWeekly_Model!$B$2:$B$29,0)),0),IFERROR(INDEX(FourWeekly_Model!$D$2:$D$29,MATCH(H6,FourWeekly_Model!$B$2:$B$29,0)),0),IFERROR(INDEX(FourWeekly_Model!$D$2:$D$29,MATCH(H7,FourWeekly_Model!$B$2:$B$29,0)),0)),IF(VLOOKUP($A4,Calendar!$A$1:$R$1377,18,0)=5,SUM(IFERROR(INDEX(FourWeekly_Model!$D$2:$D$29,MATCH(H4,FourWeekly_Model!$B$2:$B$29,0)),0),IFERROR(INDEX(FourWeekly_Model!$D$2:$D$29,MATCH(H5,FourWeekly_Model!$B$2:$B$29,0)),0),IFERROR(INDEX(FourWeekly_Model!$D$2:$D$29,MATCH(H6,FourWeekly_Model!$B$2:$B$29,0)),0),IFERROR(INDEX(FourWeekly_Model!$D$2:$D$29,MATCH(H7,FourWeekly_Model!$B$2:$B$29,0)),0),IFERROR(INDEX(FourWeekly_Model!$D$2:$D$29,MATCH(H8,FourWeekly_Model!$B$2:$B$29,0)),0)),0))))))</f>
        <v>3.3214289700000004E-3</v>
      </c>
      <c r="N4" s="27">
        <f>SUM(I4:M4)</f>
        <v>2.840542296502618E-2</v>
      </c>
      <c r="O4" s="28">
        <f>Population_Data!$B$8*N4</f>
        <v>860684.3158402933</v>
      </c>
      <c r="P4" s="27">
        <f>IF(VLOOKUP($A4,Calendar!$A$1:$R$1377,18,0)=0,0,IF(VLOOKUP($A4,Calendar!$A$1:$R$1377,18,0)=1,IFERROR(INDEX(Pension_Model!$D$2:$D$29,MATCH(H4,Pension_Model!$B$2:$B$29,0)),0),IF(VLOOKUP($A4,Calendar!$A$1:$R$1377,18,0)=2,SUM(IFERROR(INDEX(Pension_Model!$D$2:$D$29,MATCH(H4,Pension_Model!$B$2:$B$29,0)),0),IFERROR(INDEX(Pension_Model!$D$2:$D$29,MATCH(H5,Pension_Model!$B$2:$B$29,0)),0)),IF(VLOOKUP($A4,Calendar!$A$1:$R$1377,18,0)=3,SUM(IFERROR(INDEX(Pension_Model!$D$2:$D$29,MATCH(H4,Pension_Model!$B$2:$B$29,0)),0),IFERROR(INDEX(Pension_Model!$D$2:$D$29,MATCH(H5,Pension_Model!$B$2:$B$29,0)),0),IFERROR(INDEX(Pension_Model!$D$2:$D$29,MATCH(H6,Pension_Model!$B$2:$B$29,0)),0)),IF(VLOOKUP($A4,Calendar!$A$1:$R$1377,18,0)=4,SUM(IFERROR(INDEX(Pension_Model!$D$2:$D$29,MATCH(H4,Pension_Model!$B$2:$B$29,0)),0),IFERROR(INDEX(Pension_Model!$D$2:$D$29,MATCH(H5,Pension_Model!$B$2:$B$29,0)),0),IFERROR(INDEX(Pension_Model!$D$2:$D$29,MATCH(H6,Pension_Model!$B$2:$B$29,0)),0),IFERROR(INDEX(Pension_Model!$D$2:$D$29,MATCH(H7,Pension_Model!$B$2:$B$29,0)),0)),IF(VLOOKUP($A4,Calendar!$A$1:$R$1377,18,0)=5,SUM(IFERROR(INDEX(Pension_Model!$D$2:$D$29,MATCH(H4,Pension_Model!$B$2:$B$29,0)),0),IFERROR(INDEX(Pension_Model!$D$2:$D$29,MATCH(H5,Pension_Model!$B$2:$B$29,0)),0),IFERROR(INDEX(Pension_Model!$D$2:$D$29,MATCH(H6,Pension_Model!$B$2:$B$29,0)),0),IFERROR(INDEX(Pension_Model!$D$2:$D$29,MATCH(H7,Pension_Model!$B$2:$B$29,0)),0),IFERROR(INDEX(Pension_Model!$D$2:$D$29,MATCH(H8,Pension_Model!$B$2:$B$29,0)),0)),0))))))</f>
        <v>0.05</v>
      </c>
      <c r="Q4" s="28">
        <f>Population_Data!$B$15*P4</f>
        <v>660600</v>
      </c>
      <c r="R4" s="32"/>
      <c r="S4">
        <f t="shared" si="0"/>
        <v>1521284.3158402932</v>
      </c>
      <c r="U4" s="33">
        <f>S4/Population_Data!$B$19</f>
        <v>2.7559498475367629E-2</v>
      </c>
    </row>
    <row r="5" spans="1:21">
      <c r="A5" s="25">
        <f>Calendar!A5</f>
        <v>46238</v>
      </c>
      <c r="B5" t="str">
        <f>Calendar!L5</f>
        <v>Yes</v>
      </c>
      <c r="C5" t="str">
        <f>Calendar!O5</f>
        <v>No</v>
      </c>
      <c r="D5" t="str">
        <f>Calendar!P5</f>
        <v>No</v>
      </c>
      <c r="E5" t="str">
        <f>Calendar!Q5</f>
        <v>No</v>
      </c>
      <c r="F5" t="str">
        <f>Calendar!I5</f>
        <v>Tuesday</v>
      </c>
      <c r="G5">
        <f>Calendar!S5</f>
        <v>10</v>
      </c>
      <c r="H5">
        <f>Calendar!T5</f>
        <v>10</v>
      </c>
      <c r="I5" s="27">
        <f>IF(VLOOKUP(A5,Calendar!$A$1:$R$1377,18,0)=0,0,IF(VLOOKUP(A5,Calendar!$A$1:$R$1377,18,0)=1,INDEX(Monthly_Pay_Model!$A$9:$D$40,MATCH(TEXT(A5,"dd"),Monthly_Pay_Model!$C$9:$C$39,0),4),IF(VLOOKUP(A5,Calendar!$A$1:$R$1377,18,0)=2,SUM(INDEX(Monthly_Pay_Model!$A$9:$D$40,MATCH(TEXT(A5,"dd"),Monthly_Pay_Model!$C$9:$C$39,0),4),INDEX(Monthly_Pay_Model!$A$9:$D$40,MATCH(TEXT(A6,"dd"),Monthly_Pay_Model!$C$9:$C$39,0),4)),IF(VLOOKUP(A5,Calendar!$A$1:$R$1377,18,0)=3,SUM(INDEX(Monthly_Pay_Model!$A$9:$D$40,MATCH(TEXT(A5,"dd"),Monthly_Pay_Model!$C$9:$C$39,0),4),INDEX(Monthly_Pay_Model!$A$9:$D$40,MATCH(TEXT(A6,"dd"),Monthly_Pay_Model!$C$9:$C$39,0),4),INDEX(Monthly_Pay_Model!$A$9:$D$40,MATCH(TEXT(A7,"dd"),Monthly_Pay_Model!$C$9:$C$39,0),4)),IF(VLOOKUP(A5,Calendar!$A$1:$R$1377,18,0)=4,SUM(INDEX(Monthly_Pay_Model!$A$9:$D$40,MATCH(TEXT(A5,"dd"),Monthly_Pay_Model!$C$9:$C$39,0),4),INDEX(Monthly_Pay_Model!$A$9:$D$40,MATCH(TEXT(A6,"dd"),Monthly_Pay_Model!$C$9:$C$39,0),4),INDEX(Monthly_Pay_Model!$A$9:$D$40,MATCH(TEXT(A7,"dd"),Monthly_Pay_Model!$C$9:$C$39,0),4),INDEX(Monthly_Pay_Model!$A$9:$D$40,MATCH(TEXT(A8,"dd"),Monthly_Pay_Model!$C$9:$C$39,0),4)),IF(VLOOKUP(A5,Calendar!$A$1:$R$1377,18,0)=5,SUM(INDEX(Monthly_Pay_Model!$A$9:$D$40,MATCH(TEXT(A5,"dd"),Monthly_Pay_Model!$C$9:$C$39,0),4),INDEX(Monthly_Pay_Model!$A$9:$D$40,MATCH(TEXT(A6,"dd"),Monthly_Pay_Model!$C$9:$C$39,0),4),INDEX(Monthly_Pay_Model!$A$9:$D$40,MATCH(TEXT(A7,"dd"),Monthly_Pay_Model!$C$9:$C$39,0),4),INDEX(Monthly_Pay_Model!$A$9:$D$40,MATCH(TEXT(A8,"dd"),Monthly_Pay_Model!$C$9:$C$39,0),4),INDEX(Monthly_Pay_Model!$A$9:$D$40,MATCH(TEXT(A9,"dd"),Monthly_Pay_Model!$C$9:$C$39,0),4)),))))))</f>
        <v>8.1256544502617792E-4</v>
      </c>
      <c r="J5" s="33">
        <f>IF(C5="Yes",Monthly_Pay_Model!$D$2,0)
+IF(Calendar!N5="Yes",Monthly_Pay_Model!$D$3,0)
+IF(D5="Yes",Monthly_Pay_Model!$D$4,0)
+IF(E5="Yes",Monthly_Pay_Model!$D$5,0)</f>
        <v>0</v>
      </c>
      <c r="K5" s="27">
        <f>IF(VLOOKUP($A5,Calendar!$A$1:$R$1377,18,0)=0,0,IF(VLOOKUP($A5,Calendar!$A$1:$R$1377,18,0)=1,IFERROR(INDEX(Weekly_Model!$D$2:$D$9,MATCH(F5,Weekly_Model!$A$2:$A$9,0)),0),IF(VLOOKUP($A5,Calendar!$A$1:$R$1377,18,0)=2,SUM(IFERROR(INDEX(Weekly_Model!$D$2:$D$9,MATCH(F5,Weekly_Model!$A$2:$A$9,0)),0),IFERROR(INDEX(Weekly_Model!$D$2:$D$9,MATCH(F6,Weekly_Model!$A$2:$A$9,0)),0)),IF(VLOOKUP($A5,Calendar!$A$1:$R$1377,18,0)=3,SUM(IFERROR(INDEX(Weekly_Model!$D$2:$D$9,MATCH(F5,Weekly_Model!$A$2:$A$9,0)),0),IFERROR(INDEX(Weekly_Model!$D$2:$D$9,MATCH(F6,Weekly_Model!$A$2:$A$9,0)),0),IFERROR(INDEX(Weekly_Model!$D$2:$D$9,MATCH(F7,Weekly_Model!$A$2:$A$9,0)),0)),IF(VLOOKUP($A5,Calendar!$A$1:$R$1377,18,0)=4,SUM(IFERROR(INDEX(Weekly_Model!$D$2:$D$9,MATCH(F5,Weekly_Model!$A$2:$A$9,0)),0),IFERROR(INDEX(Weekly_Model!$D$2:$D$9,MATCH(F6,Weekly_Model!$A$2:$A$9,0)),0),IFERROR(INDEX(Weekly_Model!$D$2:$D$9,MATCH(F7,Weekly_Model!$A$2:$A$9,0)),0),IFERROR(INDEX(Weekly_Model!$D$2:$D$9,MATCH(F8,Weekly_Model!$A$2:$A$9,0)),0)),IF(VLOOKUP($A5,Calendar!$A$1:$R$1377,18,0)=5,SUM(IFERROR(INDEX(Weekly_Model!$D$2:$D$9,MATCH(F5,Weekly_Model!$A$2:$A$9,0)),0),IFERROR(INDEX(Weekly_Model!$D$2:$D$9,MATCH(F6,Weekly_Model!$A$2:$A$9,0)),0),IFERROR(INDEX(Weekly_Model!$D$2:$D$9,MATCH(F7,Weekly_Model!$A$2:$A$9,0)),0),IFERROR(INDEX(Weekly_Model!$D$2:$D$9,MATCH(F8,Weekly_Model!$A$2:$A$9,0)),0),IFERROR(INDEX(Weekly_Model!$D$2:$D$9,MATCH(F9,Weekly_Model!$A$2:$A$9,0)),0)),0))))))</f>
        <v>2.3200000000000002E-2</v>
      </c>
      <c r="L5" s="27">
        <f>IF(VLOOKUP($A5,Calendar!$A$1:$R$1377,18,0)=0,0,IF(VLOOKUP($A5,Calendar!$A$1:$R$1377,18,0)=1,IFERROR(INDEX(Fortnightly_Model!$D$2:$D$15,MATCH(G5,Fortnightly_Model!$B$2:$B$15,0)),0),IF(VLOOKUP($A5,Calendar!$A$1:$R$1377,18,0)=2,SUM(IFERROR(INDEX(Fortnightly_Model!$D$2:$D$15,MATCH(G5,Fortnightly_Model!$B$2:$B$15,0)),0),IFERROR(INDEX(Fortnightly_Model!$D$2:$D$15,MATCH(G6,Fortnightly_Model!$B$2:$B$15,0)),0)),IF(VLOOKUP($A5,Calendar!$A$1:$R$1377,18,0)=3,SUM(IFERROR(INDEX(Fortnightly_Model!$D$2:$D$15,MATCH(G5,Fortnightly_Model!$B$2:$B$15,0)),0),IFERROR(INDEX(Fortnightly_Model!$D$2:$D$15,MATCH(G6,Fortnightly_Model!$B$2:$B$15,0)),0),IFERROR(INDEX(Fortnightly_Model!$D$2:$D$15,MATCH(G7,Fortnightly_Model!$B$2:$B$15,0)),0)),IF(VLOOKUP($A5,Calendar!$A$1:$R$1377,18,0)=4,SUM(IFERROR(INDEX(Fortnightly_Model!$D$2:$D$15,MATCH(G5,Fortnightly_Model!$B$2:$B$15,0)),0),IFERROR(INDEX(Fortnightly_Model!$D$2:$D$15,MATCH(G6,Fortnightly_Model!$B$2:$B$15,0)),0),IFERROR(INDEX(Fortnightly_Model!$D$2:$D$15,MATCH(G7,Fortnightly_Model!$B$2:$B$15,0)),0),IFERROR(INDEX(Fortnightly_Model!$D$2:$D$15,MATCH(G8,Fortnightly_Model!$B$2:$B$15,0)),0)),IF(VLOOKUP($A5,Calendar!$A$1:$R$1377,18,0)=5,SUM(IFERROR(INDEX(Fortnightly_Model!$D$2:$D$15,MATCH(G5,Fortnightly_Model!$B$2:$B$15,0)),0),IFERROR(INDEX(Fortnightly_Model!$D$2:$D$15,MATCH(G6,Fortnightly_Model!$B$2:$B$15,0)),0),IFERROR(INDEX(Fortnightly_Model!$D$2:$D$15,MATCH(G7,Fortnightly_Model!$B$2:$B$15,0)),0),IFERROR(INDEX(Fortnightly_Model!$D$2:$D$15,MATCH(G8,Fortnightly_Model!$B$2:$B$15,0)),0),IFERROR(INDEX(Fortnightly_Model!$D$2:$D$15,MATCH(G9,Fortnightly_Model!$B$2:$B$15,0)),0)),0))))))</f>
        <v>1.0714285499999999E-3</v>
      </c>
      <c r="M5" s="27">
        <f>IF(VLOOKUP($A5,Calendar!$A$1:$R$1377,18,0)=0,0,IF(VLOOKUP($A5,Calendar!$A$1:$R$1377,18,0)=1,IFERROR(INDEX(FourWeekly_Model!$D$2:$D$29,MATCH(H5,FourWeekly_Model!$B$2:$B$29,0)),0),IF(VLOOKUP($A5,Calendar!$A$1:$R$1377,18,0)=2,SUM(IFERROR(INDEX(FourWeekly_Model!$D$2:$D$29,MATCH(H5,FourWeekly_Model!$B$2:$B$29,0)),0),IFERROR(INDEX(FourWeekly_Model!$D$2:$D$29,MATCH(H6,FourWeekly_Model!$B$2:$B$29,0)),0)),IF(VLOOKUP($A5,Calendar!$A$1:$R$1377,18,0)=3,SUM(IFERROR(INDEX(FourWeekly_Model!$D$2:$D$29,MATCH(H5,FourWeekly_Model!$B$2:$B$29,0)),0),IFERROR(INDEX(FourWeekly_Model!$D$2:$D$29,MATCH(H6,FourWeekly_Model!$B$2:$B$29,0)),0),IFERROR(INDEX(FourWeekly_Model!$D$2:$D$29,MATCH(H7,FourWeekly_Model!$B$2:$B$29,0)),0)),IF(VLOOKUP($A5,Calendar!$A$1:$R$1377,18,0)=4,SUM(IFERROR(INDEX(FourWeekly_Model!$D$2:$D$29,MATCH(H5,FourWeekly_Model!$B$2:$B$29,0)),0),IFERROR(INDEX(FourWeekly_Model!$D$2:$D$29,MATCH(H6,FourWeekly_Model!$B$2:$B$29,0)),0),IFERROR(INDEX(FourWeekly_Model!$D$2:$D$29,MATCH(H7,FourWeekly_Model!$B$2:$B$29,0)),0),IFERROR(INDEX(FourWeekly_Model!$D$2:$D$29,MATCH(H8,FourWeekly_Model!$B$2:$B$29,0)),0)),IF(VLOOKUP($A5,Calendar!$A$1:$R$1377,18,0)=5,SUM(IFERROR(INDEX(FourWeekly_Model!$D$2:$D$29,MATCH(H5,FourWeekly_Model!$B$2:$B$29,0)),0),IFERROR(INDEX(FourWeekly_Model!$D$2:$D$29,MATCH(H6,FourWeekly_Model!$B$2:$B$29,0)),0),IFERROR(INDEX(FourWeekly_Model!$D$2:$D$29,MATCH(H7,FourWeekly_Model!$B$2:$B$29,0)),0),IFERROR(INDEX(FourWeekly_Model!$D$2:$D$29,MATCH(H8,FourWeekly_Model!$B$2:$B$29,0)),0),IFERROR(INDEX(FourWeekly_Model!$D$2:$D$29,MATCH(H9,FourWeekly_Model!$B$2:$B$29,0)),0)),0))))))</f>
        <v>3.3214289700000004E-3</v>
      </c>
      <c r="N5" s="27">
        <f>SUM(I5:M5)</f>
        <v>2.840542296502618E-2</v>
      </c>
      <c r="O5" s="28">
        <f>Population_Data!$B$8*N5</f>
        <v>860684.3158402933</v>
      </c>
      <c r="P5" s="27">
        <f>IF(VLOOKUP($A5,Calendar!$A$1:$R$1377,18,0)=0,0,IF(VLOOKUP($A5,Calendar!$A$1:$R$1377,18,0)=1,IFERROR(INDEX(Pension_Model!$D$2:$D$29,MATCH(H5,Pension_Model!$B$2:$B$29,0)),0),IF(VLOOKUP($A5,Calendar!$A$1:$R$1377,18,0)=2,SUM(IFERROR(INDEX(Pension_Model!$D$2:$D$29,MATCH(H5,Pension_Model!$B$2:$B$29,0)),0),IFERROR(INDEX(Pension_Model!$D$2:$D$29,MATCH(H6,Pension_Model!$B$2:$B$29,0)),0)),IF(VLOOKUP($A5,Calendar!$A$1:$R$1377,18,0)=3,SUM(IFERROR(INDEX(Pension_Model!$D$2:$D$29,MATCH(H5,Pension_Model!$B$2:$B$29,0)),0),IFERROR(INDEX(Pension_Model!$D$2:$D$29,MATCH(H6,Pension_Model!$B$2:$B$29,0)),0),IFERROR(INDEX(Pension_Model!$D$2:$D$29,MATCH(H7,Pension_Model!$B$2:$B$29,0)),0)),IF(VLOOKUP($A5,Calendar!$A$1:$R$1377,18,0)=4,SUM(IFERROR(INDEX(Pension_Model!$D$2:$D$29,MATCH(H5,Pension_Model!$B$2:$B$29,0)),0),IFERROR(INDEX(Pension_Model!$D$2:$D$29,MATCH(H6,Pension_Model!$B$2:$B$29,0)),0),IFERROR(INDEX(Pension_Model!$D$2:$D$29,MATCH(H7,Pension_Model!$B$2:$B$29,0)),0),IFERROR(INDEX(Pension_Model!$D$2:$D$29,MATCH(H8,Pension_Model!$B$2:$B$29,0)),0)),IF(VLOOKUP($A5,Calendar!$A$1:$R$1377,18,0)=5,SUM(IFERROR(INDEX(Pension_Model!$D$2:$D$29,MATCH(H5,Pension_Model!$B$2:$B$29,0)),0),IFERROR(INDEX(Pension_Model!$D$2:$D$29,MATCH(H6,Pension_Model!$B$2:$B$29,0)),0),IFERROR(INDEX(Pension_Model!$D$2:$D$29,MATCH(H7,Pension_Model!$B$2:$B$29,0)),0),IFERROR(INDEX(Pension_Model!$D$2:$D$29,MATCH(H8,Pension_Model!$B$2:$B$29,0)),0),IFERROR(INDEX(Pension_Model!$D$2:$D$29,MATCH(H9,Pension_Model!$B$2:$B$29,0)),0)),0))))))</f>
        <v>0.05</v>
      </c>
      <c r="Q5" s="28">
        <f>Population_Data!$B$15*P5</f>
        <v>660600</v>
      </c>
      <c r="R5" s="32"/>
      <c r="S5">
        <f t="shared" si="0"/>
        <v>1521284.3158402932</v>
      </c>
      <c r="U5" s="33">
        <f>S5/Population_Data!$B$19</f>
        <v>2.7559498475367629E-2</v>
      </c>
    </row>
    <row r="6" spans="1:21">
      <c r="A6" s="25">
        <f>Calendar!A6</f>
        <v>46239</v>
      </c>
      <c r="B6" t="str">
        <f>Calendar!L6</f>
        <v>Yes</v>
      </c>
      <c r="C6" t="str">
        <f>Calendar!O6</f>
        <v>No</v>
      </c>
      <c r="D6" t="str">
        <f>Calendar!P6</f>
        <v>No</v>
      </c>
      <c r="E6" t="str">
        <f>Calendar!Q6</f>
        <v>No</v>
      </c>
      <c r="F6" t="str">
        <f>Calendar!I6</f>
        <v>Wednesday</v>
      </c>
      <c r="G6">
        <f>Calendar!S6</f>
        <v>11</v>
      </c>
      <c r="H6">
        <f>Calendar!T6</f>
        <v>11</v>
      </c>
      <c r="I6" s="27">
        <f>IF(VLOOKUP(A6,Calendar!$A$1:$R$1377,18,0)=0,0,IF(VLOOKUP(A6,Calendar!$A$1:$R$1377,18,0)=1,INDEX(Monthly_Pay_Model!$A$9:$D$40,MATCH(TEXT(A6,"dd"),Monthly_Pay_Model!$C$9:$C$39,0),4),IF(VLOOKUP(A6,Calendar!$A$1:$R$1377,18,0)=2,SUM(INDEX(Monthly_Pay_Model!$A$9:$D$40,MATCH(TEXT(A6,"dd"),Monthly_Pay_Model!$C$9:$C$39,0),4),INDEX(Monthly_Pay_Model!$A$9:$D$40,MATCH(TEXT(A7,"dd"),Monthly_Pay_Model!$C$9:$C$39,0),4)),IF(VLOOKUP(A6,Calendar!$A$1:$R$1377,18,0)=3,SUM(INDEX(Monthly_Pay_Model!$A$9:$D$40,MATCH(TEXT(A6,"dd"),Monthly_Pay_Model!$C$9:$C$39,0),4),INDEX(Monthly_Pay_Model!$A$9:$D$40,MATCH(TEXT(A7,"dd"),Monthly_Pay_Model!$C$9:$C$39,0),4),INDEX(Monthly_Pay_Model!$A$9:$D$40,MATCH(TEXT(A8,"dd"),Monthly_Pay_Model!$C$9:$C$39,0),4)),IF(VLOOKUP(A6,Calendar!$A$1:$R$1377,18,0)=4,SUM(INDEX(Monthly_Pay_Model!$A$9:$D$40,MATCH(TEXT(A6,"dd"),Monthly_Pay_Model!$C$9:$C$39,0),4),INDEX(Monthly_Pay_Model!$A$9:$D$40,MATCH(TEXT(A7,"dd"),Monthly_Pay_Model!$C$9:$C$39,0),4),INDEX(Monthly_Pay_Model!$A$9:$D$40,MATCH(TEXT(A8,"dd"),Monthly_Pay_Model!$C$9:$C$39,0),4),INDEX(Monthly_Pay_Model!$A$9:$D$40,MATCH(TEXT(A9,"dd"),Monthly_Pay_Model!$C$9:$C$39,0),4)),IF(VLOOKUP(A6,Calendar!$A$1:$R$1377,18,0)=5,SUM(INDEX(Monthly_Pay_Model!$A$9:$D$40,MATCH(TEXT(A6,"dd"),Monthly_Pay_Model!$C$9:$C$39,0),4),INDEX(Monthly_Pay_Model!$A$9:$D$40,MATCH(TEXT(A7,"dd"),Monthly_Pay_Model!$C$9:$C$39,0),4),INDEX(Monthly_Pay_Model!$A$9:$D$40,MATCH(TEXT(A8,"dd"),Monthly_Pay_Model!$C$9:$C$39,0),4),INDEX(Monthly_Pay_Model!$A$9:$D$40,MATCH(TEXT(A9,"dd"),Monthly_Pay_Model!$C$9:$C$39,0),4),INDEX(Monthly_Pay_Model!$A$9:$D$40,MATCH(TEXT(A10,"dd"),Monthly_Pay_Model!$C$9:$C$39,0),4)),))))))</f>
        <v>7.3130890052356002E-3</v>
      </c>
      <c r="J6" s="33">
        <f>IF(C6="Yes",Monthly_Pay_Model!$D$2,0)
+IF(Calendar!N6="Yes",Monthly_Pay_Model!$D$3,0)
+IF(D6="Yes",Monthly_Pay_Model!$D$4,0)
+IF(E6="Yes",Monthly_Pay_Model!$D$5,0)</f>
        <v>0</v>
      </c>
      <c r="K6" s="27">
        <f>IF(VLOOKUP($A6,Calendar!$A$1:$R$1377,18,0)=0,0,IF(VLOOKUP($A6,Calendar!$A$1:$R$1377,18,0)=1,IFERROR(INDEX(Weekly_Model!$D$2:$D$9,MATCH(F6,Weekly_Model!$A$2:$A$9,0)),0),IF(VLOOKUP($A6,Calendar!$A$1:$R$1377,18,0)=2,SUM(IFERROR(INDEX(Weekly_Model!$D$2:$D$9,MATCH(F6,Weekly_Model!$A$2:$A$9,0)),0),IFERROR(INDEX(Weekly_Model!$D$2:$D$9,MATCH(F7,Weekly_Model!$A$2:$A$9,0)),0)),IF(VLOOKUP($A6,Calendar!$A$1:$R$1377,18,0)=3,SUM(IFERROR(INDEX(Weekly_Model!$D$2:$D$9,MATCH(F6,Weekly_Model!$A$2:$A$9,0)),0),IFERROR(INDEX(Weekly_Model!$D$2:$D$9,MATCH(F7,Weekly_Model!$A$2:$A$9,0)),0),IFERROR(INDEX(Weekly_Model!$D$2:$D$9,MATCH(F8,Weekly_Model!$A$2:$A$9,0)),0)),IF(VLOOKUP($A6,Calendar!$A$1:$R$1377,18,0)=4,SUM(IFERROR(INDEX(Weekly_Model!$D$2:$D$9,MATCH(F6,Weekly_Model!$A$2:$A$9,0)),0),IFERROR(INDEX(Weekly_Model!$D$2:$D$9,MATCH(F7,Weekly_Model!$A$2:$A$9,0)),0),IFERROR(INDEX(Weekly_Model!$D$2:$D$9,MATCH(F8,Weekly_Model!$A$2:$A$9,0)),0),IFERROR(INDEX(Weekly_Model!$D$2:$D$9,MATCH(F9,Weekly_Model!$A$2:$A$9,0)),0)),IF(VLOOKUP($A6,Calendar!$A$1:$R$1377,18,0)=5,SUM(IFERROR(INDEX(Weekly_Model!$D$2:$D$9,MATCH(F6,Weekly_Model!$A$2:$A$9,0)),0),IFERROR(INDEX(Weekly_Model!$D$2:$D$9,MATCH(F7,Weekly_Model!$A$2:$A$9,0)),0),IFERROR(INDEX(Weekly_Model!$D$2:$D$9,MATCH(F8,Weekly_Model!$A$2:$A$9,0)),0),IFERROR(INDEX(Weekly_Model!$D$2:$D$9,MATCH(F9,Weekly_Model!$A$2:$A$9,0)),0),IFERROR(INDEX(Weekly_Model!$D$2:$D$9,MATCH(F10,Weekly_Model!$A$2:$A$9,0)),0)),0))))))</f>
        <v>2.3200000000000002E-2</v>
      </c>
      <c r="L6" s="27">
        <f>IF(VLOOKUP($A6,Calendar!$A$1:$R$1377,18,0)=0,0,IF(VLOOKUP($A6,Calendar!$A$1:$R$1377,18,0)=1,IFERROR(INDEX(Fortnightly_Model!$D$2:$D$15,MATCH(G6,Fortnightly_Model!$B$2:$B$15,0)),0),IF(VLOOKUP($A6,Calendar!$A$1:$R$1377,18,0)=2,SUM(IFERROR(INDEX(Fortnightly_Model!$D$2:$D$15,MATCH(G6,Fortnightly_Model!$B$2:$B$15,0)),0),IFERROR(INDEX(Fortnightly_Model!$D$2:$D$15,MATCH(G7,Fortnightly_Model!$B$2:$B$15,0)),0)),IF(VLOOKUP($A6,Calendar!$A$1:$R$1377,18,0)=3,SUM(IFERROR(INDEX(Fortnightly_Model!$D$2:$D$15,MATCH(G6,Fortnightly_Model!$B$2:$B$15,0)),0),IFERROR(INDEX(Fortnightly_Model!$D$2:$D$15,MATCH(G7,Fortnightly_Model!$B$2:$B$15,0)),0),IFERROR(INDEX(Fortnightly_Model!$D$2:$D$15,MATCH(G8,Fortnightly_Model!$B$2:$B$15,0)),0)),IF(VLOOKUP($A6,Calendar!$A$1:$R$1377,18,0)=4,SUM(IFERROR(INDEX(Fortnightly_Model!$D$2:$D$15,MATCH(G6,Fortnightly_Model!$B$2:$B$15,0)),0),IFERROR(INDEX(Fortnightly_Model!$D$2:$D$15,MATCH(G7,Fortnightly_Model!$B$2:$B$15,0)),0),IFERROR(INDEX(Fortnightly_Model!$D$2:$D$15,MATCH(G8,Fortnightly_Model!$B$2:$B$15,0)),0),IFERROR(INDEX(Fortnightly_Model!$D$2:$D$15,MATCH(G9,Fortnightly_Model!$B$2:$B$15,0)),0)),IF(VLOOKUP($A6,Calendar!$A$1:$R$1377,18,0)=5,SUM(IFERROR(INDEX(Fortnightly_Model!$D$2:$D$15,MATCH(G6,Fortnightly_Model!$B$2:$B$15,0)),0),IFERROR(INDEX(Fortnightly_Model!$D$2:$D$15,MATCH(G7,Fortnightly_Model!$B$2:$B$15,0)),0),IFERROR(INDEX(Fortnightly_Model!$D$2:$D$15,MATCH(G8,Fortnightly_Model!$B$2:$B$15,0)),0),IFERROR(INDEX(Fortnightly_Model!$D$2:$D$15,MATCH(G9,Fortnightly_Model!$B$2:$B$15,0)),0),IFERROR(INDEX(Fortnightly_Model!$D$2:$D$15,MATCH(G10,Fortnightly_Model!$B$2:$B$15,0)),0)),0))))))</f>
        <v>1.0714285499999999E-3</v>
      </c>
      <c r="M6" s="27">
        <f>IF(VLOOKUP($A6,Calendar!$A$1:$R$1377,18,0)=0,0,IF(VLOOKUP($A6,Calendar!$A$1:$R$1377,18,0)=1,IFERROR(INDEX(FourWeekly_Model!$D$2:$D$29,MATCH(H6,FourWeekly_Model!$B$2:$B$29,0)),0),IF(VLOOKUP($A6,Calendar!$A$1:$R$1377,18,0)=2,SUM(IFERROR(INDEX(FourWeekly_Model!$D$2:$D$29,MATCH(H6,FourWeekly_Model!$B$2:$B$29,0)),0),IFERROR(INDEX(FourWeekly_Model!$D$2:$D$29,MATCH(H7,FourWeekly_Model!$B$2:$B$29,0)),0)),IF(VLOOKUP($A6,Calendar!$A$1:$R$1377,18,0)=3,SUM(IFERROR(INDEX(FourWeekly_Model!$D$2:$D$29,MATCH(H6,FourWeekly_Model!$B$2:$B$29,0)),0),IFERROR(INDEX(FourWeekly_Model!$D$2:$D$29,MATCH(H7,FourWeekly_Model!$B$2:$B$29,0)),0),IFERROR(INDEX(FourWeekly_Model!$D$2:$D$29,MATCH(H8,FourWeekly_Model!$B$2:$B$29,0)),0)),IF(VLOOKUP($A6,Calendar!$A$1:$R$1377,18,0)=4,SUM(IFERROR(INDEX(FourWeekly_Model!$D$2:$D$29,MATCH(H6,FourWeekly_Model!$B$2:$B$29,0)),0),IFERROR(INDEX(FourWeekly_Model!$D$2:$D$29,MATCH(H7,FourWeekly_Model!$B$2:$B$29,0)),0),IFERROR(INDEX(FourWeekly_Model!$D$2:$D$29,MATCH(H8,FourWeekly_Model!$B$2:$B$29,0)),0),IFERROR(INDEX(FourWeekly_Model!$D$2:$D$29,MATCH(H9,FourWeekly_Model!$B$2:$B$29,0)),0)),IF(VLOOKUP($A6,Calendar!$A$1:$R$1377,18,0)=5,SUM(IFERROR(INDEX(FourWeekly_Model!$D$2:$D$29,MATCH(H6,FourWeekly_Model!$B$2:$B$29,0)),0),IFERROR(INDEX(FourWeekly_Model!$D$2:$D$29,MATCH(H7,FourWeekly_Model!$B$2:$B$29,0)),0),IFERROR(INDEX(FourWeekly_Model!$D$2:$D$29,MATCH(H8,FourWeekly_Model!$B$2:$B$29,0)),0),IFERROR(INDEX(FourWeekly_Model!$D$2:$D$29,MATCH(H9,FourWeekly_Model!$B$2:$B$29,0)),0),IFERROR(INDEX(FourWeekly_Model!$D$2:$D$29,MATCH(H10,FourWeekly_Model!$B$2:$B$29,0)),0)),0))))))</f>
        <v>3.3214289700000004E-3</v>
      </c>
      <c r="N6" s="27">
        <f>SUM(I6:M6)</f>
        <v>3.4905946525235605E-2</v>
      </c>
      <c r="O6" s="28">
        <f>Population_Data!$B$8*N6</f>
        <v>1057650.1797146387</v>
      </c>
      <c r="P6" s="27">
        <f>IF(VLOOKUP($A6,Calendar!$A$1:$R$1377,18,0)=0,0,IF(VLOOKUP($A6,Calendar!$A$1:$R$1377,18,0)=1,IFERROR(INDEX(Pension_Model!$D$2:$D$29,MATCH(H6,Pension_Model!$B$2:$B$29,0)),0),IF(VLOOKUP($A6,Calendar!$A$1:$R$1377,18,0)=2,SUM(IFERROR(INDEX(Pension_Model!$D$2:$D$29,MATCH(H6,Pension_Model!$B$2:$B$29,0)),0),IFERROR(INDEX(Pension_Model!$D$2:$D$29,MATCH(H7,Pension_Model!$B$2:$B$29,0)),0)),IF(VLOOKUP($A6,Calendar!$A$1:$R$1377,18,0)=3,SUM(IFERROR(INDEX(Pension_Model!$D$2:$D$29,MATCH(H6,Pension_Model!$B$2:$B$29,0)),0),IFERROR(INDEX(Pension_Model!$D$2:$D$29,MATCH(H7,Pension_Model!$B$2:$B$29,0)),0),IFERROR(INDEX(Pension_Model!$D$2:$D$29,MATCH(H8,Pension_Model!$B$2:$B$29,0)),0)),IF(VLOOKUP($A6,Calendar!$A$1:$R$1377,18,0)=4,SUM(IFERROR(INDEX(Pension_Model!$D$2:$D$29,MATCH(H6,Pension_Model!$B$2:$B$29,0)),0),IFERROR(INDEX(Pension_Model!$D$2:$D$29,MATCH(H7,Pension_Model!$B$2:$B$29,0)),0),IFERROR(INDEX(Pension_Model!$D$2:$D$29,MATCH(H8,Pension_Model!$B$2:$B$29,0)),0),IFERROR(INDEX(Pension_Model!$D$2:$D$29,MATCH(H9,Pension_Model!$B$2:$B$29,0)),0)),IF(VLOOKUP($A6,Calendar!$A$1:$R$1377,18,0)=5,SUM(IFERROR(INDEX(Pension_Model!$D$2:$D$29,MATCH(H6,Pension_Model!$B$2:$B$29,0)),0),IFERROR(INDEX(Pension_Model!$D$2:$D$29,MATCH(H7,Pension_Model!$B$2:$B$29,0)),0),IFERROR(INDEX(Pension_Model!$D$2:$D$29,MATCH(H8,Pension_Model!$B$2:$B$29,0)),0),IFERROR(INDEX(Pension_Model!$D$2:$D$29,MATCH(H9,Pension_Model!$B$2:$B$29,0)),0),IFERROR(INDEX(Pension_Model!$D$2:$D$29,MATCH(H10,Pension_Model!$B$2:$B$29,0)),0)),0))))))</f>
        <v>0.05</v>
      </c>
      <c r="Q6" s="28">
        <f>Population_Data!$B$15*P6</f>
        <v>660600</v>
      </c>
      <c r="R6" s="32"/>
      <c r="S6">
        <f t="shared" si="0"/>
        <v>1718250.1797146387</v>
      </c>
      <c r="U6" s="33">
        <f>S6/Population_Data!$B$19</f>
        <v>3.1127720647004326E-2</v>
      </c>
    </row>
    <row r="7" spans="1:21">
      <c r="A7" s="25">
        <f>Calendar!A7</f>
        <v>46240</v>
      </c>
      <c r="B7" t="str">
        <f>Calendar!L7</f>
        <v>Yes</v>
      </c>
      <c r="C7" t="str">
        <f>Calendar!O7</f>
        <v>No</v>
      </c>
      <c r="D7" t="str">
        <f>Calendar!P7</f>
        <v>No</v>
      </c>
      <c r="E7" t="str">
        <f>Calendar!Q7</f>
        <v>No</v>
      </c>
      <c r="F7" t="str">
        <f>Calendar!I7</f>
        <v>Thursday</v>
      </c>
      <c r="G7">
        <f>Calendar!S7</f>
        <v>12</v>
      </c>
      <c r="H7">
        <f>Calendar!T7</f>
        <v>12</v>
      </c>
      <c r="I7" s="27">
        <f>IF(VLOOKUP(A7,Calendar!$A$1:$R$1377,18,0)=0,0,IF(VLOOKUP(A7,Calendar!$A$1:$R$1377,18,0)=1,INDEX(Monthly_Pay_Model!$A$9:$D$40,MATCH(TEXT(A7,"dd"),Monthly_Pay_Model!$C$9:$C$39,0),4),IF(VLOOKUP(A7,Calendar!$A$1:$R$1377,18,0)=2,SUM(INDEX(Monthly_Pay_Model!$A$9:$D$40,MATCH(TEXT(A7,"dd"),Monthly_Pay_Model!$C$9:$C$39,0),4),INDEX(Monthly_Pay_Model!$A$9:$D$40,MATCH(TEXT(A8,"dd"),Monthly_Pay_Model!$C$9:$C$39,0),4)),IF(VLOOKUP(A7,Calendar!$A$1:$R$1377,18,0)=3,SUM(INDEX(Monthly_Pay_Model!$A$9:$D$40,MATCH(TEXT(A7,"dd"),Monthly_Pay_Model!$C$9:$C$39,0),4),INDEX(Monthly_Pay_Model!$A$9:$D$40,MATCH(TEXT(A8,"dd"),Monthly_Pay_Model!$C$9:$C$39,0),4),INDEX(Monthly_Pay_Model!$A$9:$D$40,MATCH(TEXT(A9,"dd"),Monthly_Pay_Model!$C$9:$C$39,0),4)),IF(VLOOKUP(A7,Calendar!$A$1:$R$1377,18,0)=4,SUM(INDEX(Monthly_Pay_Model!$A$9:$D$40,MATCH(TEXT(A7,"dd"),Monthly_Pay_Model!$C$9:$C$39,0),4),INDEX(Monthly_Pay_Model!$A$9:$D$40,MATCH(TEXT(A8,"dd"),Monthly_Pay_Model!$C$9:$C$39,0),4),INDEX(Monthly_Pay_Model!$A$9:$D$40,MATCH(TEXT(A9,"dd"),Monthly_Pay_Model!$C$9:$C$39,0),4),INDEX(Monthly_Pay_Model!$A$9:$D$40,MATCH(TEXT(A10,"dd"),Monthly_Pay_Model!$C$9:$C$39,0),4)),IF(VLOOKUP(A7,Calendar!$A$1:$R$1377,18,0)=5,SUM(INDEX(Monthly_Pay_Model!$A$9:$D$40,MATCH(TEXT(A7,"dd"),Monthly_Pay_Model!$C$9:$C$39,0),4),INDEX(Monthly_Pay_Model!$A$9:$D$40,MATCH(TEXT(A8,"dd"),Monthly_Pay_Model!$C$9:$C$39,0),4),INDEX(Monthly_Pay_Model!$A$9:$D$40,MATCH(TEXT(A9,"dd"),Monthly_Pay_Model!$C$9:$C$39,0),4),INDEX(Monthly_Pay_Model!$A$9:$D$40,MATCH(TEXT(A10,"dd"),Monthly_Pay_Model!$C$9:$C$39,0),4),INDEX(Monthly_Pay_Model!$A$9:$D$40,MATCH(TEXT(A11,"dd"),Monthly_Pay_Model!$C$9:$C$39,0),4)),))))))</f>
        <v>3.2502617801047117E-3</v>
      </c>
      <c r="J7" s="33">
        <f>IF(C7="Yes",Monthly_Pay_Model!$D$2,0)
+IF(Calendar!N7="Yes",Monthly_Pay_Model!$D$3,0)
+IF(D7="Yes",Monthly_Pay_Model!$D$4,0)
+IF(E7="Yes",Monthly_Pay_Model!$D$5,0)</f>
        <v>0</v>
      </c>
      <c r="K7" s="27">
        <f>IF(VLOOKUP($A7,Calendar!$A$1:$R$1377,18,0)=0,0,IF(VLOOKUP($A7,Calendar!$A$1:$R$1377,18,0)=1,IFERROR(INDEX(Weekly_Model!$D$2:$D$9,MATCH(F7,Weekly_Model!$A$2:$A$9,0)),0),IF(VLOOKUP($A7,Calendar!$A$1:$R$1377,18,0)=2,SUM(IFERROR(INDEX(Weekly_Model!$D$2:$D$9,MATCH(F7,Weekly_Model!$A$2:$A$9,0)),0),IFERROR(INDEX(Weekly_Model!$D$2:$D$9,MATCH(F8,Weekly_Model!$A$2:$A$9,0)),0)),IF(VLOOKUP($A7,Calendar!$A$1:$R$1377,18,0)=3,SUM(IFERROR(INDEX(Weekly_Model!$D$2:$D$9,MATCH(F7,Weekly_Model!$A$2:$A$9,0)),0),IFERROR(INDEX(Weekly_Model!$D$2:$D$9,MATCH(F8,Weekly_Model!$A$2:$A$9,0)),0),IFERROR(INDEX(Weekly_Model!$D$2:$D$9,MATCH(F9,Weekly_Model!$A$2:$A$9,0)),0)),IF(VLOOKUP($A7,Calendar!$A$1:$R$1377,18,0)=4,SUM(IFERROR(INDEX(Weekly_Model!$D$2:$D$9,MATCH(F7,Weekly_Model!$A$2:$A$9,0)),0),IFERROR(INDEX(Weekly_Model!$D$2:$D$9,MATCH(F8,Weekly_Model!$A$2:$A$9,0)),0),IFERROR(INDEX(Weekly_Model!$D$2:$D$9,MATCH(F9,Weekly_Model!$A$2:$A$9,0)),0),IFERROR(INDEX(Weekly_Model!$D$2:$D$9,MATCH(F10,Weekly_Model!$A$2:$A$9,0)),0)),IF(VLOOKUP($A7,Calendar!$A$1:$R$1377,18,0)=5,SUM(IFERROR(INDEX(Weekly_Model!$D$2:$D$9,MATCH(F7,Weekly_Model!$A$2:$A$9,0)),0),IFERROR(INDEX(Weekly_Model!$D$2:$D$9,MATCH(F8,Weekly_Model!$A$2:$A$9,0)),0),IFERROR(INDEX(Weekly_Model!$D$2:$D$9,MATCH(F9,Weekly_Model!$A$2:$A$9,0)),0),IFERROR(INDEX(Weekly_Model!$D$2:$D$9,MATCH(F10,Weekly_Model!$A$2:$A$9,0)),0),IFERROR(INDEX(Weekly_Model!$D$2:$D$9,MATCH(F11,Weekly_Model!$A$2:$A$9,0)),0)),0))))))</f>
        <v>2.3200000000000002E-2</v>
      </c>
      <c r="L7" s="27">
        <f>IF(VLOOKUP($A7,Calendar!$A$1:$R$1377,18,0)=0,0,IF(VLOOKUP($A7,Calendar!$A$1:$R$1377,18,0)=1,IFERROR(INDEX(Fortnightly_Model!$D$2:$D$15,MATCH(G7,Fortnightly_Model!$B$2:$B$15,0)),0),IF(VLOOKUP($A7,Calendar!$A$1:$R$1377,18,0)=2,SUM(IFERROR(INDEX(Fortnightly_Model!$D$2:$D$15,MATCH(G7,Fortnightly_Model!$B$2:$B$15,0)),0),IFERROR(INDEX(Fortnightly_Model!$D$2:$D$15,MATCH(G8,Fortnightly_Model!$B$2:$B$15,0)),0)),IF(VLOOKUP($A7,Calendar!$A$1:$R$1377,18,0)=3,SUM(IFERROR(INDEX(Fortnightly_Model!$D$2:$D$15,MATCH(G7,Fortnightly_Model!$B$2:$B$15,0)),0),IFERROR(INDEX(Fortnightly_Model!$D$2:$D$15,MATCH(G8,Fortnightly_Model!$B$2:$B$15,0)),0),IFERROR(INDEX(Fortnightly_Model!$D$2:$D$15,MATCH(G9,Fortnightly_Model!$B$2:$B$15,0)),0)),IF(VLOOKUP($A7,Calendar!$A$1:$R$1377,18,0)=4,SUM(IFERROR(INDEX(Fortnightly_Model!$D$2:$D$15,MATCH(G7,Fortnightly_Model!$B$2:$B$15,0)),0),IFERROR(INDEX(Fortnightly_Model!$D$2:$D$15,MATCH(G8,Fortnightly_Model!$B$2:$B$15,0)),0),IFERROR(INDEX(Fortnightly_Model!$D$2:$D$15,MATCH(G9,Fortnightly_Model!$B$2:$B$15,0)),0),IFERROR(INDEX(Fortnightly_Model!$D$2:$D$15,MATCH(G10,Fortnightly_Model!$B$2:$B$15,0)),0)),IF(VLOOKUP($A7,Calendar!$A$1:$R$1377,18,0)=5,SUM(IFERROR(INDEX(Fortnightly_Model!$D$2:$D$15,MATCH(G7,Fortnightly_Model!$B$2:$B$15,0)),0),IFERROR(INDEX(Fortnightly_Model!$D$2:$D$15,MATCH(G8,Fortnightly_Model!$B$2:$B$15,0)),0),IFERROR(INDEX(Fortnightly_Model!$D$2:$D$15,MATCH(G9,Fortnightly_Model!$B$2:$B$15,0)),0),IFERROR(INDEX(Fortnightly_Model!$D$2:$D$15,MATCH(G10,Fortnightly_Model!$B$2:$B$15,0)),0),IFERROR(INDEX(Fortnightly_Model!$D$2:$D$15,MATCH(G11,Fortnightly_Model!$B$2:$B$15,0)),0)),0))))))</f>
        <v>1.0714285499999999E-3</v>
      </c>
      <c r="M7" s="27">
        <f>IF(VLOOKUP($A7,Calendar!$A$1:$R$1377,18,0)=0,0,IF(VLOOKUP($A7,Calendar!$A$1:$R$1377,18,0)=1,IFERROR(INDEX(FourWeekly_Model!$D$2:$D$29,MATCH(H7,FourWeekly_Model!$B$2:$B$29,0)),0),IF(VLOOKUP($A7,Calendar!$A$1:$R$1377,18,0)=2,SUM(IFERROR(INDEX(FourWeekly_Model!$D$2:$D$29,MATCH(H7,FourWeekly_Model!$B$2:$B$29,0)),0),IFERROR(INDEX(FourWeekly_Model!$D$2:$D$29,MATCH(H8,FourWeekly_Model!$B$2:$B$29,0)),0)),IF(VLOOKUP($A7,Calendar!$A$1:$R$1377,18,0)=3,SUM(IFERROR(INDEX(FourWeekly_Model!$D$2:$D$29,MATCH(H7,FourWeekly_Model!$B$2:$B$29,0)),0),IFERROR(INDEX(FourWeekly_Model!$D$2:$D$29,MATCH(H8,FourWeekly_Model!$B$2:$B$29,0)),0),IFERROR(INDEX(FourWeekly_Model!$D$2:$D$29,MATCH(H9,FourWeekly_Model!$B$2:$B$29,0)),0)),IF(VLOOKUP($A7,Calendar!$A$1:$R$1377,18,0)=4,SUM(IFERROR(INDEX(FourWeekly_Model!$D$2:$D$29,MATCH(H7,FourWeekly_Model!$B$2:$B$29,0)),0),IFERROR(INDEX(FourWeekly_Model!$D$2:$D$29,MATCH(H8,FourWeekly_Model!$B$2:$B$29,0)),0),IFERROR(INDEX(FourWeekly_Model!$D$2:$D$29,MATCH(H9,FourWeekly_Model!$B$2:$B$29,0)),0),IFERROR(INDEX(FourWeekly_Model!$D$2:$D$29,MATCH(H10,FourWeekly_Model!$B$2:$B$29,0)),0)),IF(VLOOKUP($A7,Calendar!$A$1:$R$1377,18,0)=5,SUM(IFERROR(INDEX(FourWeekly_Model!$D$2:$D$29,MATCH(H7,FourWeekly_Model!$B$2:$B$29,0)),0),IFERROR(INDEX(FourWeekly_Model!$D$2:$D$29,MATCH(H8,FourWeekly_Model!$B$2:$B$29,0)),0),IFERROR(INDEX(FourWeekly_Model!$D$2:$D$29,MATCH(H9,FourWeekly_Model!$B$2:$B$29,0)),0),IFERROR(INDEX(FourWeekly_Model!$D$2:$D$29,MATCH(H10,FourWeekly_Model!$B$2:$B$29,0)),0),IFERROR(INDEX(FourWeekly_Model!$D$2:$D$29,MATCH(H11,FourWeekly_Model!$B$2:$B$29,0)),0)),0))))))</f>
        <v>3.3214289700000004E-3</v>
      </c>
      <c r="N7" s="27">
        <f>SUM(I7:M7)</f>
        <v>3.0843119300104714E-2</v>
      </c>
      <c r="O7" s="28">
        <f>Population_Data!$B$8*N7</f>
        <v>934546.51479317283</v>
      </c>
      <c r="P7" s="27">
        <f>IF(VLOOKUP($A7,Calendar!$A$1:$R$1377,18,0)=0,0,IF(VLOOKUP($A7,Calendar!$A$1:$R$1377,18,0)=1,IFERROR(INDEX(Pension_Model!$D$2:$D$29,MATCH(H7,Pension_Model!$B$2:$B$29,0)),0),IF(VLOOKUP($A7,Calendar!$A$1:$R$1377,18,0)=2,SUM(IFERROR(INDEX(Pension_Model!$D$2:$D$29,MATCH(H7,Pension_Model!$B$2:$B$29,0)),0),IFERROR(INDEX(Pension_Model!$D$2:$D$29,MATCH(H8,Pension_Model!$B$2:$B$29,0)),0)),IF(VLOOKUP($A7,Calendar!$A$1:$R$1377,18,0)=3,SUM(IFERROR(INDEX(Pension_Model!$D$2:$D$29,MATCH(H7,Pension_Model!$B$2:$B$29,0)),0),IFERROR(INDEX(Pension_Model!$D$2:$D$29,MATCH(H8,Pension_Model!$B$2:$B$29,0)),0),IFERROR(INDEX(Pension_Model!$D$2:$D$29,MATCH(H9,Pension_Model!$B$2:$B$29,0)),0)),IF(VLOOKUP($A7,Calendar!$A$1:$R$1377,18,0)=4,SUM(IFERROR(INDEX(Pension_Model!$D$2:$D$29,MATCH(H7,Pension_Model!$B$2:$B$29,0)),0),IFERROR(INDEX(Pension_Model!$D$2:$D$29,MATCH(H8,Pension_Model!$B$2:$B$29,0)),0),IFERROR(INDEX(Pension_Model!$D$2:$D$29,MATCH(H9,Pension_Model!$B$2:$B$29,0)),0),IFERROR(INDEX(Pension_Model!$D$2:$D$29,MATCH(H10,Pension_Model!$B$2:$B$29,0)),0)),IF(VLOOKUP($A7,Calendar!$A$1:$R$1377,18,0)=5,SUM(IFERROR(INDEX(Pension_Model!$D$2:$D$29,MATCH(H7,Pension_Model!$B$2:$B$29,0)),0),IFERROR(INDEX(Pension_Model!$D$2:$D$29,MATCH(H8,Pension_Model!$B$2:$B$29,0)),0),IFERROR(INDEX(Pension_Model!$D$2:$D$29,MATCH(H9,Pension_Model!$B$2:$B$29,0)),0),IFERROR(INDEX(Pension_Model!$D$2:$D$29,MATCH(H10,Pension_Model!$B$2:$B$29,0)),0),IFERROR(INDEX(Pension_Model!$D$2:$D$29,MATCH(H11,Pension_Model!$B$2:$B$29,0)),0)),0))))))</f>
        <v>0.05</v>
      </c>
      <c r="Q7" s="28">
        <f>Population_Data!$B$15*P7</f>
        <v>660600</v>
      </c>
      <c r="R7" s="32"/>
      <c r="S7">
        <f t="shared" si="0"/>
        <v>1595146.5147931729</v>
      </c>
      <c r="U7" s="33">
        <f>S7/Population_Data!$B$19</f>
        <v>2.8897581789731393E-2</v>
      </c>
    </row>
    <row r="8" spans="1:21">
      <c r="A8" s="25">
        <f>Calendar!A8</f>
        <v>46241</v>
      </c>
      <c r="B8" t="str">
        <f>Calendar!L8</f>
        <v>Yes</v>
      </c>
      <c r="C8" t="str">
        <f>Calendar!O8</f>
        <v>No</v>
      </c>
      <c r="D8" t="str">
        <f>Calendar!P8</f>
        <v>No</v>
      </c>
      <c r="E8" t="str">
        <f>Calendar!Q8</f>
        <v>No</v>
      </c>
      <c r="F8" t="str">
        <f>Calendar!I8</f>
        <v>Friday</v>
      </c>
      <c r="G8">
        <f>Calendar!S8</f>
        <v>13</v>
      </c>
      <c r="H8">
        <f>Calendar!T8</f>
        <v>13</v>
      </c>
      <c r="I8" s="27">
        <f>IF(VLOOKUP(A8,Calendar!$A$1:$R$1377,18,0)=0,0,IF(VLOOKUP(A8,Calendar!$A$1:$R$1377,18,0)=1,INDEX(Monthly_Pay_Model!$A$9:$D$40,MATCH(TEXT(A8,"dd"),Monthly_Pay_Model!$C$9:$C$39,0),4),IF(VLOOKUP(A8,Calendar!$A$1:$R$1377,18,0)=2,SUM(INDEX(Monthly_Pay_Model!$A$9:$D$40,MATCH(TEXT(A8,"dd"),Monthly_Pay_Model!$C$9:$C$39,0),4),INDEX(Monthly_Pay_Model!$A$9:$D$40,MATCH(TEXT(A9,"dd"),Monthly_Pay_Model!$C$9:$C$39,0),4)),IF(VLOOKUP(A8,Calendar!$A$1:$R$1377,18,0)=3,SUM(INDEX(Monthly_Pay_Model!$A$9:$D$40,MATCH(TEXT(A8,"dd"),Monthly_Pay_Model!$C$9:$C$39,0),4),INDEX(Monthly_Pay_Model!$A$9:$D$40,MATCH(TEXT(A9,"dd"),Monthly_Pay_Model!$C$9:$C$39,0),4),INDEX(Monthly_Pay_Model!$A$9:$D$40,MATCH(TEXT(A10,"dd"),Monthly_Pay_Model!$C$9:$C$39,0),4)),IF(VLOOKUP(A8,Calendar!$A$1:$R$1377,18,0)=4,SUM(INDEX(Monthly_Pay_Model!$A$9:$D$40,MATCH(TEXT(A8,"dd"),Monthly_Pay_Model!$C$9:$C$39,0),4),INDEX(Monthly_Pay_Model!$A$9:$D$40,MATCH(TEXT(A9,"dd"),Monthly_Pay_Model!$C$9:$C$39,0),4),INDEX(Monthly_Pay_Model!$A$9:$D$40,MATCH(TEXT(A10,"dd"),Monthly_Pay_Model!$C$9:$C$39,0),4),INDEX(Monthly_Pay_Model!$A$9:$D$40,MATCH(TEXT(A11,"dd"),Monthly_Pay_Model!$C$9:$C$39,0),4)),IF(VLOOKUP(A8,Calendar!$A$1:$R$1377,18,0)=5,SUM(INDEX(Monthly_Pay_Model!$A$9:$D$40,MATCH(TEXT(A8,"dd"),Monthly_Pay_Model!$C$9:$C$39,0),4),INDEX(Monthly_Pay_Model!$A$9:$D$40,MATCH(TEXT(A9,"dd"),Monthly_Pay_Model!$C$9:$C$39,0),4),INDEX(Monthly_Pay_Model!$A$9:$D$40,MATCH(TEXT(A10,"dd"),Monthly_Pay_Model!$C$9:$C$39,0),4),INDEX(Monthly_Pay_Model!$A$9:$D$40,MATCH(TEXT(A11,"dd"),Monthly_Pay_Model!$C$9:$C$39,0),4),INDEX(Monthly_Pay_Model!$A$9:$D$40,MATCH(TEXT(A12,"dd"),Monthly_Pay_Model!$C$9:$C$39,0),4)),))))))</f>
        <v>4.8753926701570671E-3</v>
      </c>
      <c r="J8" s="33">
        <f>IF(C8="Yes",Monthly_Pay_Model!$D$2,0)
+IF(Calendar!N8="Yes",Monthly_Pay_Model!$D$3,0)
+IF(D8="Yes",Monthly_Pay_Model!$D$4,0)
+IF(E8="Yes",Monthly_Pay_Model!$D$5,0)</f>
        <v>0</v>
      </c>
      <c r="K8" s="27">
        <f>IF(VLOOKUP($A8,Calendar!$A$1:$R$1377,18,0)=0,0,IF(VLOOKUP($A8,Calendar!$A$1:$R$1377,18,0)=1,IFERROR(INDEX(Weekly_Model!$D$2:$D$9,MATCH(F8,Weekly_Model!$A$2:$A$9,0)),0),IF(VLOOKUP($A8,Calendar!$A$1:$R$1377,18,0)=2,SUM(IFERROR(INDEX(Weekly_Model!$D$2:$D$9,MATCH(F8,Weekly_Model!$A$2:$A$9,0)),0),IFERROR(INDEX(Weekly_Model!$D$2:$D$9,MATCH(F9,Weekly_Model!$A$2:$A$9,0)),0)),IF(VLOOKUP($A8,Calendar!$A$1:$R$1377,18,0)=3,SUM(IFERROR(INDEX(Weekly_Model!$D$2:$D$9,MATCH(F8,Weekly_Model!$A$2:$A$9,0)),0),IFERROR(INDEX(Weekly_Model!$D$2:$D$9,MATCH(F9,Weekly_Model!$A$2:$A$9,0)),0),IFERROR(INDEX(Weekly_Model!$D$2:$D$9,MATCH(F10,Weekly_Model!$A$2:$A$9,0)),0)),IF(VLOOKUP($A8,Calendar!$A$1:$R$1377,18,0)=4,SUM(IFERROR(INDEX(Weekly_Model!$D$2:$D$9,MATCH(F8,Weekly_Model!$A$2:$A$9,0)),0),IFERROR(INDEX(Weekly_Model!$D$2:$D$9,MATCH(F9,Weekly_Model!$A$2:$A$9,0)),0),IFERROR(INDEX(Weekly_Model!$D$2:$D$9,MATCH(F10,Weekly_Model!$A$2:$A$9,0)),0),IFERROR(INDEX(Weekly_Model!$D$2:$D$9,MATCH(F11,Weekly_Model!$A$2:$A$9,0)),0)),IF(VLOOKUP($A8,Calendar!$A$1:$R$1377,18,0)=5,SUM(IFERROR(INDEX(Weekly_Model!$D$2:$D$9,MATCH(F8,Weekly_Model!$A$2:$A$9,0)),0),IFERROR(INDEX(Weekly_Model!$D$2:$D$9,MATCH(F9,Weekly_Model!$A$2:$A$9,0)),0),IFERROR(INDEX(Weekly_Model!$D$2:$D$9,MATCH(F10,Weekly_Model!$A$2:$A$9,0)),0),IFERROR(INDEX(Weekly_Model!$D$2:$D$9,MATCH(F11,Weekly_Model!$A$2:$A$9,0)),0),IFERROR(INDEX(Weekly_Model!$D$2:$D$9,MATCH(F12,Weekly_Model!$A$2:$A$9,0)),0)),0))))))</f>
        <v>2.3200000000000002E-2</v>
      </c>
      <c r="L8" s="27">
        <f>IF(VLOOKUP($A8,Calendar!$A$1:$R$1377,18,0)=0,0,IF(VLOOKUP($A8,Calendar!$A$1:$R$1377,18,0)=1,IFERROR(INDEX(Fortnightly_Model!$D$2:$D$15,MATCH(G8,Fortnightly_Model!$B$2:$B$15,0)),0),IF(VLOOKUP($A8,Calendar!$A$1:$R$1377,18,0)=2,SUM(IFERROR(INDEX(Fortnightly_Model!$D$2:$D$15,MATCH(G8,Fortnightly_Model!$B$2:$B$15,0)),0),IFERROR(INDEX(Fortnightly_Model!$D$2:$D$15,MATCH(G9,Fortnightly_Model!$B$2:$B$15,0)),0)),IF(VLOOKUP($A8,Calendar!$A$1:$R$1377,18,0)=3,SUM(IFERROR(INDEX(Fortnightly_Model!$D$2:$D$15,MATCH(G8,Fortnightly_Model!$B$2:$B$15,0)),0),IFERROR(INDEX(Fortnightly_Model!$D$2:$D$15,MATCH(G9,Fortnightly_Model!$B$2:$B$15,0)),0),IFERROR(INDEX(Fortnightly_Model!$D$2:$D$15,MATCH(G10,Fortnightly_Model!$B$2:$B$15,0)),0)),IF(VLOOKUP($A8,Calendar!$A$1:$R$1377,18,0)=4,SUM(IFERROR(INDEX(Fortnightly_Model!$D$2:$D$15,MATCH(G8,Fortnightly_Model!$B$2:$B$15,0)),0),IFERROR(INDEX(Fortnightly_Model!$D$2:$D$15,MATCH(G9,Fortnightly_Model!$B$2:$B$15,0)),0),IFERROR(INDEX(Fortnightly_Model!$D$2:$D$15,MATCH(G10,Fortnightly_Model!$B$2:$B$15,0)),0),IFERROR(INDEX(Fortnightly_Model!$D$2:$D$15,MATCH(G11,Fortnightly_Model!$B$2:$B$15,0)),0)),IF(VLOOKUP($A8,Calendar!$A$1:$R$1377,18,0)=5,SUM(IFERROR(INDEX(Fortnightly_Model!$D$2:$D$15,MATCH(G8,Fortnightly_Model!$B$2:$B$15,0)),0),IFERROR(INDEX(Fortnightly_Model!$D$2:$D$15,MATCH(G9,Fortnightly_Model!$B$2:$B$15,0)),0),IFERROR(INDEX(Fortnightly_Model!$D$2:$D$15,MATCH(G10,Fortnightly_Model!$B$2:$B$15,0)),0),IFERROR(INDEX(Fortnightly_Model!$D$2:$D$15,MATCH(G11,Fortnightly_Model!$B$2:$B$15,0)),0),IFERROR(INDEX(Fortnightly_Model!$D$2:$D$15,MATCH(G12,Fortnightly_Model!$B$2:$B$15,0)),0)),0))))))</f>
        <v>3.2142856499999999E-3</v>
      </c>
      <c r="M8" s="27">
        <f>IF(VLOOKUP($A8,Calendar!$A$1:$R$1377,18,0)=0,0,IF(VLOOKUP($A8,Calendar!$A$1:$R$1377,18,0)=1,IFERROR(INDEX(FourWeekly_Model!$D$2:$D$29,MATCH(H8,FourWeekly_Model!$B$2:$B$29,0)),0),IF(VLOOKUP($A8,Calendar!$A$1:$R$1377,18,0)=2,SUM(IFERROR(INDEX(FourWeekly_Model!$D$2:$D$29,MATCH(H8,FourWeekly_Model!$B$2:$B$29,0)),0),IFERROR(INDEX(FourWeekly_Model!$D$2:$D$29,MATCH(H9,FourWeekly_Model!$B$2:$B$29,0)),0)),IF(VLOOKUP($A8,Calendar!$A$1:$R$1377,18,0)=3,SUM(IFERROR(INDEX(FourWeekly_Model!$D$2:$D$29,MATCH(H8,FourWeekly_Model!$B$2:$B$29,0)),0),IFERROR(INDEX(FourWeekly_Model!$D$2:$D$29,MATCH(H9,FourWeekly_Model!$B$2:$B$29,0)),0),IFERROR(INDEX(FourWeekly_Model!$D$2:$D$29,MATCH(H10,FourWeekly_Model!$B$2:$B$29,0)),0)),IF(VLOOKUP($A8,Calendar!$A$1:$R$1377,18,0)=4,SUM(IFERROR(INDEX(FourWeekly_Model!$D$2:$D$29,MATCH(H8,FourWeekly_Model!$B$2:$B$29,0)),0),IFERROR(INDEX(FourWeekly_Model!$D$2:$D$29,MATCH(H9,FourWeekly_Model!$B$2:$B$29,0)),0),IFERROR(INDEX(FourWeekly_Model!$D$2:$D$29,MATCH(H10,FourWeekly_Model!$B$2:$B$29,0)),0),IFERROR(INDEX(FourWeekly_Model!$D$2:$D$29,MATCH(H11,FourWeekly_Model!$B$2:$B$29,0)),0)),IF(VLOOKUP($A8,Calendar!$A$1:$R$1377,18,0)=5,SUM(IFERROR(INDEX(FourWeekly_Model!$D$2:$D$29,MATCH(H8,FourWeekly_Model!$B$2:$B$29,0)),0),IFERROR(INDEX(FourWeekly_Model!$D$2:$D$29,MATCH(H9,FourWeekly_Model!$B$2:$B$29,0)),0),IFERROR(INDEX(FourWeekly_Model!$D$2:$D$29,MATCH(H10,FourWeekly_Model!$B$2:$B$29,0)),0),IFERROR(INDEX(FourWeekly_Model!$D$2:$D$29,MATCH(H11,FourWeekly_Model!$B$2:$B$29,0)),0),IFERROR(INDEX(FourWeekly_Model!$D$2:$D$29,MATCH(H12,FourWeekly_Model!$B$2:$B$29,0)),0)),0))))))</f>
        <v>9.9642859800000011E-3</v>
      </c>
      <c r="N8" s="27">
        <f>SUM(I8:M8)</f>
        <v>4.125396430015707E-2</v>
      </c>
      <c r="O8" s="28">
        <f>Population_Data!$B$8*N8</f>
        <v>1249995.1182947592</v>
      </c>
      <c r="P8" s="27">
        <f>IF(VLOOKUP($A8,Calendar!$A$1:$R$1377,18,0)=0,0,IF(VLOOKUP($A8,Calendar!$A$1:$R$1377,18,0)=1,IFERROR(INDEX(Pension_Model!$D$2:$D$29,MATCH(H8,Pension_Model!$B$2:$B$29,0)),0),IF(VLOOKUP($A8,Calendar!$A$1:$R$1377,18,0)=2,SUM(IFERROR(INDEX(Pension_Model!$D$2:$D$29,MATCH(H8,Pension_Model!$B$2:$B$29,0)),0),IFERROR(INDEX(Pension_Model!$D$2:$D$29,MATCH(H9,Pension_Model!$B$2:$B$29,0)),0)),IF(VLOOKUP($A8,Calendar!$A$1:$R$1377,18,0)=3,SUM(IFERROR(INDEX(Pension_Model!$D$2:$D$29,MATCH(H8,Pension_Model!$B$2:$B$29,0)),0),IFERROR(INDEX(Pension_Model!$D$2:$D$29,MATCH(H9,Pension_Model!$B$2:$B$29,0)),0),IFERROR(INDEX(Pension_Model!$D$2:$D$29,MATCH(H10,Pension_Model!$B$2:$B$29,0)),0)),IF(VLOOKUP($A8,Calendar!$A$1:$R$1377,18,0)=4,SUM(IFERROR(INDEX(Pension_Model!$D$2:$D$29,MATCH(H8,Pension_Model!$B$2:$B$29,0)),0),IFERROR(INDEX(Pension_Model!$D$2:$D$29,MATCH(H9,Pension_Model!$B$2:$B$29,0)),0),IFERROR(INDEX(Pension_Model!$D$2:$D$29,MATCH(H10,Pension_Model!$B$2:$B$29,0)),0),IFERROR(INDEX(Pension_Model!$D$2:$D$29,MATCH(H11,Pension_Model!$B$2:$B$29,0)),0)),IF(VLOOKUP($A8,Calendar!$A$1:$R$1377,18,0)=5,SUM(IFERROR(INDEX(Pension_Model!$D$2:$D$29,MATCH(H8,Pension_Model!$B$2:$B$29,0)),0),IFERROR(INDEX(Pension_Model!$D$2:$D$29,MATCH(H9,Pension_Model!$B$2:$B$29,0)),0),IFERROR(INDEX(Pension_Model!$D$2:$D$29,MATCH(H10,Pension_Model!$B$2:$B$29,0)),0),IFERROR(INDEX(Pension_Model!$D$2:$D$29,MATCH(H11,Pension_Model!$B$2:$B$29,0)),0),IFERROR(INDEX(Pension_Model!$D$2:$D$29,MATCH(H12,Pension_Model!$B$2:$B$29,0)),0)),0))))))</f>
        <v>0.05</v>
      </c>
      <c r="Q8" s="28">
        <f>Population_Data!$B$15*P8</f>
        <v>660600</v>
      </c>
      <c r="R8" s="32"/>
      <c r="S8">
        <f t="shared" si="0"/>
        <v>1910595.1182947592</v>
      </c>
      <c r="U8" s="33">
        <f>S8/Population_Data!$B$19</f>
        <v>3.4612230403890568E-2</v>
      </c>
    </row>
    <row r="9" spans="1:21">
      <c r="A9" s="25">
        <f>Calendar!A9</f>
        <v>46242</v>
      </c>
      <c r="B9" t="str">
        <f>Calendar!L9</f>
        <v>No</v>
      </c>
      <c r="C9" t="str">
        <f>Calendar!O9</f>
        <v>No</v>
      </c>
      <c r="D9" t="str">
        <f>Calendar!P9</f>
        <v>No</v>
      </c>
      <c r="E9" t="str">
        <f>Calendar!Q9</f>
        <v>No</v>
      </c>
      <c r="F9" t="str">
        <f>Calendar!I9</f>
        <v>Saturday</v>
      </c>
      <c r="G9">
        <f>Calendar!S9</f>
        <v>0</v>
      </c>
      <c r="H9">
        <f>Calendar!T9</f>
        <v>14</v>
      </c>
      <c r="I9" s="27">
        <f>IF(VLOOKUP(A9,Calendar!$A$1:$R$1377,18,0)=0,0,IF(VLOOKUP(A9,Calendar!$A$1:$R$1377,18,0)=1,INDEX(Monthly_Pay_Model!$A$9:$D$40,MATCH(TEXT(A9,"dd"),Monthly_Pay_Model!$C$9:$C$39,0),4),IF(VLOOKUP(A9,Calendar!$A$1:$R$1377,18,0)=2,SUM(INDEX(Monthly_Pay_Model!$A$9:$D$40,MATCH(TEXT(A9,"dd"),Monthly_Pay_Model!$C$9:$C$39,0),4),INDEX(Monthly_Pay_Model!$A$9:$D$40,MATCH(TEXT(A10,"dd"),Monthly_Pay_Model!$C$9:$C$39,0),4)),IF(VLOOKUP(A9,Calendar!$A$1:$R$1377,18,0)=3,SUM(INDEX(Monthly_Pay_Model!$A$9:$D$40,MATCH(TEXT(A9,"dd"),Monthly_Pay_Model!$C$9:$C$39,0),4),INDEX(Monthly_Pay_Model!$A$9:$D$40,MATCH(TEXT(A10,"dd"),Monthly_Pay_Model!$C$9:$C$39,0),4),INDEX(Monthly_Pay_Model!$A$9:$D$40,MATCH(TEXT(A11,"dd"),Monthly_Pay_Model!$C$9:$C$39,0),4)),IF(VLOOKUP(A9,Calendar!$A$1:$R$1377,18,0)=4,SUM(INDEX(Monthly_Pay_Model!$A$9:$D$40,MATCH(TEXT(A9,"dd"),Monthly_Pay_Model!$C$9:$C$39,0),4),INDEX(Monthly_Pay_Model!$A$9:$D$40,MATCH(TEXT(A10,"dd"),Monthly_Pay_Model!$C$9:$C$39,0),4),INDEX(Monthly_Pay_Model!$A$9:$D$40,MATCH(TEXT(A11,"dd"),Monthly_Pay_Model!$C$9:$C$39,0),4),INDEX(Monthly_Pay_Model!$A$9:$D$40,MATCH(TEXT(A12,"dd"),Monthly_Pay_Model!$C$9:$C$39,0),4)),IF(VLOOKUP(A9,Calendar!$A$1:$R$1377,18,0)=5,SUM(INDEX(Monthly_Pay_Model!$A$9:$D$40,MATCH(TEXT(A9,"dd"),Monthly_Pay_Model!$C$9:$C$39,0),4),INDEX(Monthly_Pay_Model!$A$9:$D$40,MATCH(TEXT(A10,"dd"),Monthly_Pay_Model!$C$9:$C$39,0),4),INDEX(Monthly_Pay_Model!$A$9:$D$40,MATCH(TEXT(A11,"dd"),Monthly_Pay_Model!$C$9:$C$39,0),4),INDEX(Monthly_Pay_Model!$A$9:$D$40,MATCH(TEXT(A12,"dd"),Monthly_Pay_Model!$C$9:$C$39,0),4),INDEX(Monthly_Pay_Model!$A$9:$D$40,MATCH(TEXT(A13,"dd"),Monthly_Pay_Model!$C$9:$C$39,0),4)),))))))</f>
        <v>0</v>
      </c>
      <c r="J9" s="33">
        <f>IF(C9="Yes",Monthly_Pay_Model!$D$2,0)
+IF(Calendar!N9="Yes",Monthly_Pay_Model!$D$3,0)
+IF(D9="Yes",Monthly_Pay_Model!$D$4,0)
+IF(E9="Yes",Monthly_Pay_Model!$D$5,0)</f>
        <v>0</v>
      </c>
      <c r="K9" s="27">
        <f>IF(VLOOKUP($A9,Calendar!$A$1:$R$1377,18,0)=0,0,IF(VLOOKUP($A9,Calendar!$A$1:$R$1377,18,0)=1,IFERROR(INDEX(Weekly_Model!$D$2:$D$9,MATCH(F9,Weekly_Model!$A$2:$A$9,0)),0),IF(VLOOKUP($A9,Calendar!$A$1:$R$1377,18,0)=2,SUM(IFERROR(INDEX(Weekly_Model!$D$2:$D$9,MATCH(F9,Weekly_Model!$A$2:$A$9,0)),0),IFERROR(INDEX(Weekly_Model!$D$2:$D$9,MATCH(F10,Weekly_Model!$A$2:$A$9,0)),0)),IF(VLOOKUP($A9,Calendar!$A$1:$R$1377,18,0)=3,SUM(IFERROR(INDEX(Weekly_Model!$D$2:$D$9,MATCH(F9,Weekly_Model!$A$2:$A$9,0)),0),IFERROR(INDEX(Weekly_Model!$D$2:$D$9,MATCH(F10,Weekly_Model!$A$2:$A$9,0)),0),IFERROR(INDEX(Weekly_Model!$D$2:$D$9,MATCH(F11,Weekly_Model!$A$2:$A$9,0)),0)),IF(VLOOKUP($A9,Calendar!$A$1:$R$1377,18,0)=4,SUM(IFERROR(INDEX(Weekly_Model!$D$2:$D$9,MATCH(F9,Weekly_Model!$A$2:$A$9,0)),0),IFERROR(INDEX(Weekly_Model!$D$2:$D$9,MATCH(F10,Weekly_Model!$A$2:$A$9,0)),0),IFERROR(INDEX(Weekly_Model!$D$2:$D$9,MATCH(F11,Weekly_Model!$A$2:$A$9,0)),0),IFERROR(INDEX(Weekly_Model!$D$2:$D$9,MATCH(F12,Weekly_Model!$A$2:$A$9,0)),0)),IF(VLOOKUP($A9,Calendar!$A$1:$R$1377,18,0)=5,SUM(IFERROR(INDEX(Weekly_Model!$D$2:$D$9,MATCH(F9,Weekly_Model!$A$2:$A$9,0)),0),IFERROR(INDEX(Weekly_Model!$D$2:$D$9,MATCH(F10,Weekly_Model!$A$2:$A$9,0)),0),IFERROR(INDEX(Weekly_Model!$D$2:$D$9,MATCH(F11,Weekly_Model!$A$2:$A$9,0)),0),IFERROR(INDEX(Weekly_Model!$D$2:$D$9,MATCH(F12,Weekly_Model!$A$2:$A$9,0)),0),IFERROR(INDEX(Weekly_Model!$D$2:$D$9,MATCH(F13,Weekly_Model!$A$2:$A$9,0)),0)),0))))))</f>
        <v>0</v>
      </c>
      <c r="L9" s="27">
        <f>IF(VLOOKUP($A9,Calendar!$A$1:$R$1377,18,0)=0,0,IF(VLOOKUP($A9,Calendar!$A$1:$R$1377,18,0)=1,IFERROR(INDEX(Fortnightly_Model!$D$2:$D$15,MATCH(G9,Fortnightly_Model!$B$2:$B$15,0)),0),IF(VLOOKUP($A9,Calendar!$A$1:$R$1377,18,0)=2,SUM(IFERROR(INDEX(Fortnightly_Model!$D$2:$D$15,MATCH(G9,Fortnightly_Model!$B$2:$B$15,0)),0),IFERROR(INDEX(Fortnightly_Model!$D$2:$D$15,MATCH(G10,Fortnightly_Model!$B$2:$B$15,0)),0)),IF(VLOOKUP($A9,Calendar!$A$1:$R$1377,18,0)=3,SUM(IFERROR(INDEX(Fortnightly_Model!$D$2:$D$15,MATCH(G9,Fortnightly_Model!$B$2:$B$15,0)),0),IFERROR(INDEX(Fortnightly_Model!$D$2:$D$15,MATCH(G10,Fortnightly_Model!$B$2:$B$15,0)),0),IFERROR(INDEX(Fortnightly_Model!$D$2:$D$15,MATCH(G11,Fortnightly_Model!$B$2:$B$15,0)),0)),IF(VLOOKUP($A9,Calendar!$A$1:$R$1377,18,0)=4,SUM(IFERROR(INDEX(Fortnightly_Model!$D$2:$D$15,MATCH(G9,Fortnightly_Model!$B$2:$B$15,0)),0),IFERROR(INDEX(Fortnightly_Model!$D$2:$D$15,MATCH(G10,Fortnightly_Model!$B$2:$B$15,0)),0),IFERROR(INDEX(Fortnightly_Model!$D$2:$D$15,MATCH(G11,Fortnightly_Model!$B$2:$B$15,0)),0),IFERROR(INDEX(Fortnightly_Model!$D$2:$D$15,MATCH(G12,Fortnightly_Model!$B$2:$B$15,0)),0)),IF(VLOOKUP($A9,Calendar!$A$1:$R$1377,18,0)=5,SUM(IFERROR(INDEX(Fortnightly_Model!$D$2:$D$15,MATCH(G9,Fortnightly_Model!$B$2:$B$15,0)),0),IFERROR(INDEX(Fortnightly_Model!$D$2:$D$15,MATCH(G10,Fortnightly_Model!$B$2:$B$15,0)),0),IFERROR(INDEX(Fortnightly_Model!$D$2:$D$15,MATCH(G11,Fortnightly_Model!$B$2:$B$15,0)),0),IFERROR(INDEX(Fortnightly_Model!$D$2:$D$15,MATCH(G12,Fortnightly_Model!$B$2:$B$15,0)),0),IFERROR(INDEX(Fortnightly_Model!$D$2:$D$15,MATCH(G13,Fortnightly_Model!$B$2:$B$15,0)),0)),0))))))</f>
        <v>0</v>
      </c>
      <c r="M9" s="27">
        <f>IF(VLOOKUP($A9,Calendar!$A$1:$R$1377,18,0)=0,0,IF(VLOOKUP($A9,Calendar!$A$1:$R$1377,18,0)=1,IFERROR(INDEX(FourWeekly_Model!$D$2:$D$29,MATCH(H9,FourWeekly_Model!$B$2:$B$29,0)),0),IF(VLOOKUP($A9,Calendar!$A$1:$R$1377,18,0)=2,SUM(IFERROR(INDEX(FourWeekly_Model!$D$2:$D$29,MATCH(H9,FourWeekly_Model!$B$2:$B$29,0)),0),IFERROR(INDEX(FourWeekly_Model!$D$2:$D$29,MATCH(H10,FourWeekly_Model!$B$2:$B$29,0)),0)),IF(VLOOKUP($A9,Calendar!$A$1:$R$1377,18,0)=3,SUM(IFERROR(INDEX(FourWeekly_Model!$D$2:$D$29,MATCH(H9,FourWeekly_Model!$B$2:$B$29,0)),0),IFERROR(INDEX(FourWeekly_Model!$D$2:$D$29,MATCH(H10,FourWeekly_Model!$B$2:$B$29,0)),0),IFERROR(INDEX(FourWeekly_Model!$D$2:$D$29,MATCH(H11,FourWeekly_Model!$B$2:$B$29,0)),0)),IF(VLOOKUP($A9,Calendar!$A$1:$R$1377,18,0)=4,SUM(IFERROR(INDEX(FourWeekly_Model!$D$2:$D$29,MATCH(H9,FourWeekly_Model!$B$2:$B$29,0)),0),IFERROR(INDEX(FourWeekly_Model!$D$2:$D$29,MATCH(H10,FourWeekly_Model!$B$2:$B$29,0)),0),IFERROR(INDEX(FourWeekly_Model!$D$2:$D$29,MATCH(H11,FourWeekly_Model!$B$2:$B$29,0)),0),IFERROR(INDEX(FourWeekly_Model!$D$2:$D$29,MATCH(H12,FourWeekly_Model!$B$2:$B$29,0)),0)),IF(VLOOKUP($A9,Calendar!$A$1:$R$1377,18,0)=5,SUM(IFERROR(INDEX(FourWeekly_Model!$D$2:$D$29,MATCH(H9,FourWeekly_Model!$B$2:$B$29,0)),0),IFERROR(INDEX(FourWeekly_Model!$D$2:$D$29,MATCH(H10,FourWeekly_Model!$B$2:$B$29,0)),0),IFERROR(INDEX(FourWeekly_Model!$D$2:$D$29,MATCH(H11,FourWeekly_Model!$B$2:$B$29,0)),0),IFERROR(INDEX(FourWeekly_Model!$D$2:$D$29,MATCH(H12,FourWeekly_Model!$B$2:$B$29,0)),0),IFERROR(INDEX(FourWeekly_Model!$D$2:$D$29,MATCH(H13,FourWeekly_Model!$B$2:$B$29,0)),0)),0))))))</f>
        <v>0</v>
      </c>
      <c r="N9" s="27">
        <f>SUM(I9:M9)</f>
        <v>0</v>
      </c>
      <c r="O9" s="28">
        <f>Population_Data!$B$8*N9</f>
        <v>0</v>
      </c>
      <c r="P9" s="27">
        <f>IF(VLOOKUP($A9,Calendar!$A$1:$R$1377,18,0)=0,0,IF(VLOOKUP($A9,Calendar!$A$1:$R$1377,18,0)=1,IFERROR(INDEX(Pension_Model!$D$2:$D$29,MATCH(H9,Pension_Model!$B$2:$B$29,0)),0),IF(VLOOKUP($A9,Calendar!$A$1:$R$1377,18,0)=2,SUM(IFERROR(INDEX(Pension_Model!$D$2:$D$29,MATCH(H9,Pension_Model!$B$2:$B$29,0)),0),IFERROR(INDEX(Pension_Model!$D$2:$D$29,MATCH(H10,Pension_Model!$B$2:$B$29,0)),0)),IF(VLOOKUP($A9,Calendar!$A$1:$R$1377,18,0)=3,SUM(IFERROR(INDEX(Pension_Model!$D$2:$D$29,MATCH(H9,Pension_Model!$B$2:$B$29,0)),0),IFERROR(INDEX(Pension_Model!$D$2:$D$29,MATCH(H10,Pension_Model!$B$2:$B$29,0)),0),IFERROR(INDEX(Pension_Model!$D$2:$D$29,MATCH(H11,Pension_Model!$B$2:$B$29,0)),0)),IF(VLOOKUP($A9,Calendar!$A$1:$R$1377,18,0)=4,SUM(IFERROR(INDEX(Pension_Model!$D$2:$D$29,MATCH(H9,Pension_Model!$B$2:$B$29,0)),0),IFERROR(INDEX(Pension_Model!$D$2:$D$29,MATCH(H10,Pension_Model!$B$2:$B$29,0)),0),IFERROR(INDEX(Pension_Model!$D$2:$D$29,MATCH(H11,Pension_Model!$B$2:$B$29,0)),0),IFERROR(INDEX(Pension_Model!$D$2:$D$29,MATCH(H12,Pension_Model!$B$2:$B$29,0)),0)),IF(VLOOKUP($A9,Calendar!$A$1:$R$1377,18,0)=5,SUM(IFERROR(INDEX(Pension_Model!$D$2:$D$29,MATCH(H9,Pension_Model!$B$2:$B$29,0)),0),IFERROR(INDEX(Pension_Model!$D$2:$D$29,MATCH(H10,Pension_Model!$B$2:$B$29,0)),0),IFERROR(INDEX(Pension_Model!$D$2:$D$29,MATCH(H11,Pension_Model!$B$2:$B$29,0)),0),IFERROR(INDEX(Pension_Model!$D$2:$D$29,MATCH(H12,Pension_Model!$B$2:$B$29,0)),0),IFERROR(INDEX(Pension_Model!$D$2:$D$29,MATCH(H13,Pension_Model!$B$2:$B$29,0)),0)),0))))))</f>
        <v>0</v>
      </c>
      <c r="Q9" s="28">
        <f>Population_Data!$B$15*P9</f>
        <v>0</v>
      </c>
      <c r="R9" s="32"/>
      <c r="S9">
        <f t="shared" si="0"/>
        <v>0</v>
      </c>
      <c r="U9" s="33">
        <f>S9/Population_Data!$B$19</f>
        <v>0</v>
      </c>
    </row>
    <row r="10" spans="1:21">
      <c r="A10" s="25">
        <f>Calendar!A10</f>
        <v>46243</v>
      </c>
      <c r="B10" t="str">
        <f>Calendar!L10</f>
        <v>No</v>
      </c>
      <c r="C10" t="str">
        <f>Calendar!O10</f>
        <v>No</v>
      </c>
      <c r="D10" t="str">
        <f>Calendar!P10</f>
        <v>No</v>
      </c>
      <c r="E10" t="str">
        <f>Calendar!Q10</f>
        <v>No</v>
      </c>
      <c r="F10" t="str">
        <f>Calendar!I10</f>
        <v>Sunday</v>
      </c>
      <c r="G10">
        <f>Calendar!S10</f>
        <v>1</v>
      </c>
      <c r="H10">
        <f>Calendar!T10</f>
        <v>15</v>
      </c>
      <c r="I10" s="27">
        <f>IF(VLOOKUP(A10,Calendar!$A$1:$R$1377,18,0)=0,0,IF(VLOOKUP(A10,Calendar!$A$1:$R$1377,18,0)=1,INDEX(Monthly_Pay_Model!$A$9:$D$40,MATCH(TEXT(A10,"dd"),Monthly_Pay_Model!$C$9:$C$39,0),4),IF(VLOOKUP(A10,Calendar!$A$1:$R$1377,18,0)=2,SUM(INDEX(Monthly_Pay_Model!$A$9:$D$40,MATCH(TEXT(A10,"dd"),Monthly_Pay_Model!$C$9:$C$39,0),4),INDEX(Monthly_Pay_Model!$A$9:$D$40,MATCH(TEXT(A11,"dd"),Monthly_Pay_Model!$C$9:$C$39,0),4)),IF(VLOOKUP(A10,Calendar!$A$1:$R$1377,18,0)=3,SUM(INDEX(Monthly_Pay_Model!$A$9:$D$40,MATCH(TEXT(A10,"dd"),Monthly_Pay_Model!$C$9:$C$39,0),4),INDEX(Monthly_Pay_Model!$A$9:$D$40,MATCH(TEXT(A11,"dd"),Monthly_Pay_Model!$C$9:$C$39,0),4),INDEX(Monthly_Pay_Model!$A$9:$D$40,MATCH(TEXT(A12,"dd"),Monthly_Pay_Model!$C$9:$C$39,0),4)),IF(VLOOKUP(A10,Calendar!$A$1:$R$1377,18,0)=4,SUM(INDEX(Monthly_Pay_Model!$A$9:$D$40,MATCH(TEXT(A10,"dd"),Monthly_Pay_Model!$C$9:$C$39,0),4),INDEX(Monthly_Pay_Model!$A$9:$D$40,MATCH(TEXT(A11,"dd"),Monthly_Pay_Model!$C$9:$C$39,0),4),INDEX(Monthly_Pay_Model!$A$9:$D$40,MATCH(TEXT(A12,"dd"),Monthly_Pay_Model!$C$9:$C$39,0),4),INDEX(Monthly_Pay_Model!$A$9:$D$40,MATCH(TEXT(A13,"dd"),Monthly_Pay_Model!$C$9:$C$39,0),4)),IF(VLOOKUP(A10,Calendar!$A$1:$R$1377,18,0)=5,SUM(INDEX(Monthly_Pay_Model!$A$9:$D$40,MATCH(TEXT(A10,"dd"),Monthly_Pay_Model!$C$9:$C$39,0),4),INDEX(Monthly_Pay_Model!$A$9:$D$40,MATCH(TEXT(A11,"dd"),Monthly_Pay_Model!$C$9:$C$39,0),4),INDEX(Monthly_Pay_Model!$A$9:$D$40,MATCH(TEXT(A12,"dd"),Monthly_Pay_Model!$C$9:$C$39,0),4),INDEX(Monthly_Pay_Model!$A$9:$D$40,MATCH(TEXT(A13,"dd"),Monthly_Pay_Model!$C$9:$C$39,0),4),INDEX(Monthly_Pay_Model!$A$9:$D$40,MATCH(TEXT(A14,"dd"),Monthly_Pay_Model!$C$9:$C$39,0),4)),))))))</f>
        <v>0</v>
      </c>
      <c r="J10" s="33">
        <f>IF(C10="Yes",Monthly_Pay_Model!$D$2,0)
+IF(Calendar!N10="Yes",Monthly_Pay_Model!$D$3,0)
+IF(D10="Yes",Monthly_Pay_Model!$D$4,0)
+IF(E10="Yes",Monthly_Pay_Model!$D$5,0)</f>
        <v>0</v>
      </c>
      <c r="K10" s="27">
        <f>IF(VLOOKUP($A10,Calendar!$A$1:$R$1377,18,0)=0,0,IF(VLOOKUP($A10,Calendar!$A$1:$R$1377,18,0)=1,IFERROR(INDEX(Weekly_Model!$D$2:$D$9,MATCH(F10,Weekly_Model!$A$2:$A$9,0)),0),IF(VLOOKUP($A10,Calendar!$A$1:$R$1377,18,0)=2,SUM(IFERROR(INDEX(Weekly_Model!$D$2:$D$9,MATCH(F10,Weekly_Model!$A$2:$A$9,0)),0),IFERROR(INDEX(Weekly_Model!$D$2:$D$9,MATCH(F11,Weekly_Model!$A$2:$A$9,0)),0)),IF(VLOOKUP($A10,Calendar!$A$1:$R$1377,18,0)=3,SUM(IFERROR(INDEX(Weekly_Model!$D$2:$D$9,MATCH(F10,Weekly_Model!$A$2:$A$9,0)),0),IFERROR(INDEX(Weekly_Model!$D$2:$D$9,MATCH(F11,Weekly_Model!$A$2:$A$9,0)),0),IFERROR(INDEX(Weekly_Model!$D$2:$D$9,MATCH(F12,Weekly_Model!$A$2:$A$9,0)),0)),IF(VLOOKUP($A10,Calendar!$A$1:$R$1377,18,0)=4,SUM(IFERROR(INDEX(Weekly_Model!$D$2:$D$9,MATCH(F10,Weekly_Model!$A$2:$A$9,0)),0),IFERROR(INDEX(Weekly_Model!$D$2:$D$9,MATCH(F11,Weekly_Model!$A$2:$A$9,0)),0),IFERROR(INDEX(Weekly_Model!$D$2:$D$9,MATCH(F12,Weekly_Model!$A$2:$A$9,0)),0),IFERROR(INDEX(Weekly_Model!$D$2:$D$9,MATCH(F13,Weekly_Model!$A$2:$A$9,0)),0)),IF(VLOOKUP($A10,Calendar!$A$1:$R$1377,18,0)=5,SUM(IFERROR(INDEX(Weekly_Model!$D$2:$D$9,MATCH(F10,Weekly_Model!$A$2:$A$9,0)),0),IFERROR(INDEX(Weekly_Model!$D$2:$D$9,MATCH(F11,Weekly_Model!$A$2:$A$9,0)),0),IFERROR(INDEX(Weekly_Model!$D$2:$D$9,MATCH(F12,Weekly_Model!$A$2:$A$9,0)),0),IFERROR(INDEX(Weekly_Model!$D$2:$D$9,MATCH(F13,Weekly_Model!$A$2:$A$9,0)),0),IFERROR(INDEX(Weekly_Model!$D$2:$D$9,MATCH(F14,Weekly_Model!$A$2:$A$9,0)),0)),0))))))</f>
        <v>0</v>
      </c>
      <c r="L10" s="27">
        <f>IF(VLOOKUP($A10,Calendar!$A$1:$R$1377,18,0)=0,0,IF(VLOOKUP($A10,Calendar!$A$1:$R$1377,18,0)=1,IFERROR(INDEX(Fortnightly_Model!$D$2:$D$15,MATCH(G10,Fortnightly_Model!$B$2:$B$15,0)),0),IF(VLOOKUP($A10,Calendar!$A$1:$R$1377,18,0)=2,SUM(IFERROR(INDEX(Fortnightly_Model!$D$2:$D$15,MATCH(G10,Fortnightly_Model!$B$2:$B$15,0)),0),IFERROR(INDEX(Fortnightly_Model!$D$2:$D$15,MATCH(G11,Fortnightly_Model!$B$2:$B$15,0)),0)),IF(VLOOKUP($A10,Calendar!$A$1:$R$1377,18,0)=3,SUM(IFERROR(INDEX(Fortnightly_Model!$D$2:$D$15,MATCH(G10,Fortnightly_Model!$B$2:$B$15,0)),0),IFERROR(INDEX(Fortnightly_Model!$D$2:$D$15,MATCH(G11,Fortnightly_Model!$B$2:$B$15,0)),0),IFERROR(INDEX(Fortnightly_Model!$D$2:$D$15,MATCH(G12,Fortnightly_Model!$B$2:$B$15,0)),0)),IF(VLOOKUP($A10,Calendar!$A$1:$R$1377,18,0)=4,SUM(IFERROR(INDEX(Fortnightly_Model!$D$2:$D$15,MATCH(G10,Fortnightly_Model!$B$2:$B$15,0)),0),IFERROR(INDEX(Fortnightly_Model!$D$2:$D$15,MATCH(G11,Fortnightly_Model!$B$2:$B$15,0)),0),IFERROR(INDEX(Fortnightly_Model!$D$2:$D$15,MATCH(G12,Fortnightly_Model!$B$2:$B$15,0)),0),IFERROR(INDEX(Fortnightly_Model!$D$2:$D$15,MATCH(G13,Fortnightly_Model!$B$2:$B$15,0)),0)),IF(VLOOKUP($A10,Calendar!$A$1:$R$1377,18,0)=5,SUM(IFERROR(INDEX(Fortnightly_Model!$D$2:$D$15,MATCH(G10,Fortnightly_Model!$B$2:$B$15,0)),0),IFERROR(INDEX(Fortnightly_Model!$D$2:$D$15,MATCH(G11,Fortnightly_Model!$B$2:$B$15,0)),0),IFERROR(INDEX(Fortnightly_Model!$D$2:$D$15,MATCH(G12,Fortnightly_Model!$B$2:$B$15,0)),0),IFERROR(INDEX(Fortnightly_Model!$D$2:$D$15,MATCH(G13,Fortnightly_Model!$B$2:$B$15,0)),0),IFERROR(INDEX(Fortnightly_Model!$D$2:$D$15,MATCH(G14,Fortnightly_Model!$B$2:$B$15,0)),0)),0))))))</f>
        <v>0</v>
      </c>
      <c r="M10" s="27">
        <f>IF(VLOOKUP($A10,Calendar!$A$1:$R$1377,18,0)=0,0,IF(VLOOKUP($A10,Calendar!$A$1:$R$1377,18,0)=1,IFERROR(INDEX(FourWeekly_Model!$D$2:$D$29,MATCH(H10,FourWeekly_Model!$B$2:$B$29,0)),0),IF(VLOOKUP($A10,Calendar!$A$1:$R$1377,18,0)=2,SUM(IFERROR(INDEX(FourWeekly_Model!$D$2:$D$29,MATCH(H10,FourWeekly_Model!$B$2:$B$29,0)),0),IFERROR(INDEX(FourWeekly_Model!$D$2:$D$29,MATCH(H11,FourWeekly_Model!$B$2:$B$29,0)),0)),IF(VLOOKUP($A10,Calendar!$A$1:$R$1377,18,0)=3,SUM(IFERROR(INDEX(FourWeekly_Model!$D$2:$D$29,MATCH(H10,FourWeekly_Model!$B$2:$B$29,0)),0),IFERROR(INDEX(FourWeekly_Model!$D$2:$D$29,MATCH(H11,FourWeekly_Model!$B$2:$B$29,0)),0),IFERROR(INDEX(FourWeekly_Model!$D$2:$D$29,MATCH(H12,FourWeekly_Model!$B$2:$B$29,0)),0)),IF(VLOOKUP($A10,Calendar!$A$1:$R$1377,18,0)=4,SUM(IFERROR(INDEX(FourWeekly_Model!$D$2:$D$29,MATCH(H10,FourWeekly_Model!$B$2:$B$29,0)),0),IFERROR(INDEX(FourWeekly_Model!$D$2:$D$29,MATCH(H11,FourWeekly_Model!$B$2:$B$29,0)),0),IFERROR(INDEX(FourWeekly_Model!$D$2:$D$29,MATCH(H12,FourWeekly_Model!$B$2:$B$29,0)),0),IFERROR(INDEX(FourWeekly_Model!$D$2:$D$29,MATCH(H13,FourWeekly_Model!$B$2:$B$29,0)),0)),IF(VLOOKUP($A10,Calendar!$A$1:$R$1377,18,0)=5,SUM(IFERROR(INDEX(FourWeekly_Model!$D$2:$D$29,MATCH(H10,FourWeekly_Model!$B$2:$B$29,0)),0),IFERROR(INDEX(FourWeekly_Model!$D$2:$D$29,MATCH(H11,FourWeekly_Model!$B$2:$B$29,0)),0),IFERROR(INDEX(FourWeekly_Model!$D$2:$D$29,MATCH(H12,FourWeekly_Model!$B$2:$B$29,0)),0),IFERROR(INDEX(FourWeekly_Model!$D$2:$D$29,MATCH(H13,FourWeekly_Model!$B$2:$B$29,0)),0),IFERROR(INDEX(FourWeekly_Model!$D$2:$D$29,MATCH(H14,FourWeekly_Model!$B$2:$B$29,0)),0)),0))))))</f>
        <v>0</v>
      </c>
      <c r="N10" s="27">
        <f>SUM(I10:M10)</f>
        <v>0</v>
      </c>
      <c r="O10" s="28">
        <f>Population_Data!$B$8*N10</f>
        <v>0</v>
      </c>
      <c r="P10" s="27">
        <f>IF(VLOOKUP($A10,Calendar!$A$1:$R$1377,18,0)=0,0,IF(VLOOKUP($A10,Calendar!$A$1:$R$1377,18,0)=1,IFERROR(INDEX(Pension_Model!$D$2:$D$29,MATCH(H10,Pension_Model!$B$2:$B$29,0)),0),IF(VLOOKUP($A10,Calendar!$A$1:$R$1377,18,0)=2,SUM(IFERROR(INDEX(Pension_Model!$D$2:$D$29,MATCH(H10,Pension_Model!$B$2:$B$29,0)),0),IFERROR(INDEX(Pension_Model!$D$2:$D$29,MATCH(H11,Pension_Model!$B$2:$B$29,0)),0)),IF(VLOOKUP($A10,Calendar!$A$1:$R$1377,18,0)=3,SUM(IFERROR(INDEX(Pension_Model!$D$2:$D$29,MATCH(H10,Pension_Model!$B$2:$B$29,0)),0),IFERROR(INDEX(Pension_Model!$D$2:$D$29,MATCH(H11,Pension_Model!$B$2:$B$29,0)),0),IFERROR(INDEX(Pension_Model!$D$2:$D$29,MATCH(H12,Pension_Model!$B$2:$B$29,0)),0)),IF(VLOOKUP($A10,Calendar!$A$1:$R$1377,18,0)=4,SUM(IFERROR(INDEX(Pension_Model!$D$2:$D$29,MATCH(H10,Pension_Model!$B$2:$B$29,0)),0),IFERROR(INDEX(Pension_Model!$D$2:$D$29,MATCH(H11,Pension_Model!$B$2:$B$29,0)),0),IFERROR(INDEX(Pension_Model!$D$2:$D$29,MATCH(H12,Pension_Model!$B$2:$B$29,0)),0),IFERROR(INDEX(Pension_Model!$D$2:$D$29,MATCH(H13,Pension_Model!$B$2:$B$29,0)),0)),IF(VLOOKUP($A10,Calendar!$A$1:$R$1377,18,0)=5,SUM(IFERROR(INDEX(Pension_Model!$D$2:$D$29,MATCH(H10,Pension_Model!$B$2:$B$29,0)),0),IFERROR(INDEX(Pension_Model!$D$2:$D$29,MATCH(H11,Pension_Model!$B$2:$B$29,0)),0),IFERROR(INDEX(Pension_Model!$D$2:$D$29,MATCH(H12,Pension_Model!$B$2:$B$29,0)),0),IFERROR(INDEX(Pension_Model!$D$2:$D$29,MATCH(H13,Pension_Model!$B$2:$B$29,0)),0),IFERROR(INDEX(Pension_Model!$D$2:$D$29,MATCH(H14,Pension_Model!$B$2:$B$29,0)),0)),0))))))</f>
        <v>0</v>
      </c>
      <c r="Q10" s="28">
        <f>Population_Data!$B$15*P10</f>
        <v>0</v>
      </c>
      <c r="R10" s="32"/>
      <c r="S10">
        <f t="shared" si="0"/>
        <v>0</v>
      </c>
      <c r="U10" s="33">
        <f>S10/Population_Data!$B$19</f>
        <v>0</v>
      </c>
    </row>
    <row r="11" spans="1:21">
      <c r="A11" s="25">
        <f>Calendar!A11</f>
        <v>46244</v>
      </c>
      <c r="B11" t="str">
        <f>Calendar!L11</f>
        <v>Yes</v>
      </c>
      <c r="C11" t="str">
        <f>Calendar!O11</f>
        <v>No</v>
      </c>
      <c r="D11" t="str">
        <f>Calendar!P11</f>
        <v>No</v>
      </c>
      <c r="E11" t="str">
        <f>Calendar!Q11</f>
        <v>No</v>
      </c>
      <c r="F11" t="str">
        <f>Calendar!I11</f>
        <v>Monday</v>
      </c>
      <c r="G11">
        <f>Calendar!S11</f>
        <v>2</v>
      </c>
      <c r="H11">
        <f>Calendar!T11</f>
        <v>16</v>
      </c>
      <c r="I11" s="27">
        <f>IF(VLOOKUP(A11,Calendar!$A$1:$R$1377,18,0)=0,0,IF(VLOOKUP(A11,Calendar!$A$1:$R$1377,18,0)=1,INDEX(Monthly_Pay_Model!$A$9:$D$40,MATCH(TEXT(A11,"dd"),Monthly_Pay_Model!$C$9:$C$39,0),4),IF(VLOOKUP(A11,Calendar!$A$1:$R$1377,18,0)=2,SUM(INDEX(Monthly_Pay_Model!$A$9:$D$40,MATCH(TEXT(A11,"dd"),Monthly_Pay_Model!$C$9:$C$39,0),4),INDEX(Monthly_Pay_Model!$A$9:$D$40,MATCH(TEXT(A12,"dd"),Monthly_Pay_Model!$C$9:$C$39,0),4)),IF(VLOOKUP(A11,Calendar!$A$1:$R$1377,18,0)=3,SUM(INDEX(Monthly_Pay_Model!$A$9:$D$40,MATCH(TEXT(A11,"dd"),Monthly_Pay_Model!$C$9:$C$39,0),4),INDEX(Monthly_Pay_Model!$A$9:$D$40,MATCH(TEXT(A12,"dd"),Monthly_Pay_Model!$C$9:$C$39,0),4),INDEX(Monthly_Pay_Model!$A$9:$D$40,MATCH(TEXT(A13,"dd"),Monthly_Pay_Model!$C$9:$C$39,0),4)),IF(VLOOKUP(A11,Calendar!$A$1:$R$1377,18,0)=4,SUM(INDEX(Monthly_Pay_Model!$A$9:$D$40,MATCH(TEXT(A11,"dd"),Monthly_Pay_Model!$C$9:$C$39,0),4),INDEX(Monthly_Pay_Model!$A$9:$D$40,MATCH(TEXT(A12,"dd"),Monthly_Pay_Model!$C$9:$C$39,0),4),INDEX(Monthly_Pay_Model!$A$9:$D$40,MATCH(TEXT(A13,"dd"),Monthly_Pay_Model!$C$9:$C$39,0),4),INDEX(Monthly_Pay_Model!$A$9:$D$40,MATCH(TEXT(A14,"dd"),Monthly_Pay_Model!$C$9:$C$39,0),4)),IF(VLOOKUP(A11,Calendar!$A$1:$R$1377,18,0)=5,SUM(INDEX(Monthly_Pay_Model!$A$9:$D$40,MATCH(TEXT(A11,"dd"),Monthly_Pay_Model!$C$9:$C$39,0),4),INDEX(Monthly_Pay_Model!$A$9:$D$40,MATCH(TEXT(A12,"dd"),Monthly_Pay_Model!$C$9:$C$39,0),4),INDEX(Monthly_Pay_Model!$A$9:$D$40,MATCH(TEXT(A13,"dd"),Monthly_Pay_Model!$C$9:$C$39,0),4),INDEX(Monthly_Pay_Model!$A$9:$D$40,MATCH(TEXT(A14,"dd"),Monthly_Pay_Model!$C$9:$C$39,0),4),INDEX(Monthly_Pay_Model!$A$9:$D$40,MATCH(TEXT(A15,"dd"),Monthly_Pay_Model!$C$9:$C$39,0),4)),))))))</f>
        <v>4.8753926701570662E-3</v>
      </c>
      <c r="J11" s="33">
        <f>IF(C11="Yes",Monthly_Pay_Model!$D$2,0)
+IF(Calendar!N11="Yes",Monthly_Pay_Model!$D$3,0)
+IF(D11="Yes",Monthly_Pay_Model!$D$4,0)
+IF(E11="Yes",Monthly_Pay_Model!$D$5,0)</f>
        <v>0</v>
      </c>
      <c r="K11" s="27">
        <f>IF(VLOOKUP($A11,Calendar!$A$1:$R$1377,18,0)=0,0,IF(VLOOKUP($A11,Calendar!$A$1:$R$1377,18,0)=1,IFERROR(INDEX(Weekly_Model!$D$2:$D$9,MATCH(F11,Weekly_Model!$A$2:$A$9,0)),0),IF(VLOOKUP($A11,Calendar!$A$1:$R$1377,18,0)=2,SUM(IFERROR(INDEX(Weekly_Model!$D$2:$D$9,MATCH(F11,Weekly_Model!$A$2:$A$9,0)),0),IFERROR(INDEX(Weekly_Model!$D$2:$D$9,MATCH(F12,Weekly_Model!$A$2:$A$9,0)),0)),IF(VLOOKUP($A11,Calendar!$A$1:$R$1377,18,0)=3,SUM(IFERROR(INDEX(Weekly_Model!$D$2:$D$9,MATCH(F11,Weekly_Model!$A$2:$A$9,0)),0),IFERROR(INDEX(Weekly_Model!$D$2:$D$9,MATCH(F12,Weekly_Model!$A$2:$A$9,0)),0),IFERROR(INDEX(Weekly_Model!$D$2:$D$9,MATCH(F13,Weekly_Model!$A$2:$A$9,0)),0)),IF(VLOOKUP($A11,Calendar!$A$1:$R$1377,18,0)=4,SUM(IFERROR(INDEX(Weekly_Model!$D$2:$D$9,MATCH(F11,Weekly_Model!$A$2:$A$9,0)),0),IFERROR(INDEX(Weekly_Model!$D$2:$D$9,MATCH(F12,Weekly_Model!$A$2:$A$9,0)),0),IFERROR(INDEX(Weekly_Model!$D$2:$D$9,MATCH(F13,Weekly_Model!$A$2:$A$9,0)),0),IFERROR(INDEX(Weekly_Model!$D$2:$D$9,MATCH(F14,Weekly_Model!$A$2:$A$9,0)),0)),IF(VLOOKUP($A11,Calendar!$A$1:$R$1377,18,0)=5,SUM(IFERROR(INDEX(Weekly_Model!$D$2:$D$9,MATCH(F11,Weekly_Model!$A$2:$A$9,0)),0),IFERROR(INDEX(Weekly_Model!$D$2:$D$9,MATCH(F12,Weekly_Model!$A$2:$A$9,0)),0),IFERROR(INDEX(Weekly_Model!$D$2:$D$9,MATCH(F13,Weekly_Model!$A$2:$A$9,0)),0),IFERROR(INDEX(Weekly_Model!$D$2:$D$9,MATCH(F14,Weekly_Model!$A$2:$A$9,0)),0),IFERROR(INDEX(Weekly_Model!$D$2:$D$9,MATCH(F15,Weekly_Model!$A$2:$A$9,0)),0)),0))))))</f>
        <v>2.3200000000000002E-2</v>
      </c>
      <c r="L11" s="27">
        <f>IF(VLOOKUP($A11,Calendar!$A$1:$R$1377,18,0)=0,0,IF(VLOOKUP($A11,Calendar!$A$1:$R$1377,18,0)=1,IFERROR(INDEX(Fortnightly_Model!$D$2:$D$15,MATCH(G11,Fortnightly_Model!$B$2:$B$15,0)),0),IF(VLOOKUP($A11,Calendar!$A$1:$R$1377,18,0)=2,SUM(IFERROR(INDEX(Fortnightly_Model!$D$2:$D$15,MATCH(G11,Fortnightly_Model!$B$2:$B$15,0)),0),IFERROR(INDEX(Fortnightly_Model!$D$2:$D$15,MATCH(G12,Fortnightly_Model!$B$2:$B$15,0)),0)),IF(VLOOKUP($A11,Calendar!$A$1:$R$1377,18,0)=3,SUM(IFERROR(INDEX(Fortnightly_Model!$D$2:$D$15,MATCH(G11,Fortnightly_Model!$B$2:$B$15,0)),0),IFERROR(INDEX(Fortnightly_Model!$D$2:$D$15,MATCH(G12,Fortnightly_Model!$B$2:$B$15,0)),0),IFERROR(INDEX(Fortnightly_Model!$D$2:$D$15,MATCH(G13,Fortnightly_Model!$B$2:$B$15,0)),0)),IF(VLOOKUP($A11,Calendar!$A$1:$R$1377,18,0)=4,SUM(IFERROR(INDEX(Fortnightly_Model!$D$2:$D$15,MATCH(G11,Fortnightly_Model!$B$2:$B$15,0)),0),IFERROR(INDEX(Fortnightly_Model!$D$2:$D$15,MATCH(G12,Fortnightly_Model!$B$2:$B$15,0)),0),IFERROR(INDEX(Fortnightly_Model!$D$2:$D$15,MATCH(G13,Fortnightly_Model!$B$2:$B$15,0)),0),IFERROR(INDEX(Fortnightly_Model!$D$2:$D$15,MATCH(G14,Fortnightly_Model!$B$2:$B$15,0)),0)),IF(VLOOKUP($A11,Calendar!$A$1:$R$1377,18,0)=5,SUM(IFERROR(INDEX(Fortnightly_Model!$D$2:$D$15,MATCH(G11,Fortnightly_Model!$B$2:$B$15,0)),0),IFERROR(INDEX(Fortnightly_Model!$D$2:$D$15,MATCH(G12,Fortnightly_Model!$B$2:$B$15,0)),0),IFERROR(INDEX(Fortnightly_Model!$D$2:$D$15,MATCH(G13,Fortnightly_Model!$B$2:$B$15,0)),0),IFERROR(INDEX(Fortnightly_Model!$D$2:$D$15,MATCH(G14,Fortnightly_Model!$B$2:$B$15,0)),0),IFERROR(INDEX(Fortnightly_Model!$D$2:$D$15,MATCH(G15,Fortnightly_Model!$B$2:$B$15,0)),0)),0))))))</f>
        <v>1.0714285499999999E-3</v>
      </c>
      <c r="M11" s="27">
        <f>IF(VLOOKUP($A11,Calendar!$A$1:$R$1377,18,0)=0,0,IF(VLOOKUP($A11,Calendar!$A$1:$R$1377,18,0)=1,IFERROR(INDEX(FourWeekly_Model!$D$2:$D$29,MATCH(H11,FourWeekly_Model!$B$2:$B$29,0)),0),IF(VLOOKUP($A11,Calendar!$A$1:$R$1377,18,0)=2,SUM(IFERROR(INDEX(FourWeekly_Model!$D$2:$D$29,MATCH(H11,FourWeekly_Model!$B$2:$B$29,0)),0),IFERROR(INDEX(FourWeekly_Model!$D$2:$D$29,MATCH(H12,FourWeekly_Model!$B$2:$B$29,0)),0)),IF(VLOOKUP($A11,Calendar!$A$1:$R$1377,18,0)=3,SUM(IFERROR(INDEX(FourWeekly_Model!$D$2:$D$29,MATCH(H11,FourWeekly_Model!$B$2:$B$29,0)),0),IFERROR(INDEX(FourWeekly_Model!$D$2:$D$29,MATCH(H12,FourWeekly_Model!$B$2:$B$29,0)),0),IFERROR(INDEX(FourWeekly_Model!$D$2:$D$29,MATCH(H13,FourWeekly_Model!$B$2:$B$29,0)),0)),IF(VLOOKUP($A11,Calendar!$A$1:$R$1377,18,0)=4,SUM(IFERROR(INDEX(FourWeekly_Model!$D$2:$D$29,MATCH(H11,FourWeekly_Model!$B$2:$B$29,0)),0),IFERROR(INDEX(FourWeekly_Model!$D$2:$D$29,MATCH(H12,FourWeekly_Model!$B$2:$B$29,0)),0),IFERROR(INDEX(FourWeekly_Model!$D$2:$D$29,MATCH(H13,FourWeekly_Model!$B$2:$B$29,0)),0),IFERROR(INDEX(FourWeekly_Model!$D$2:$D$29,MATCH(H14,FourWeekly_Model!$B$2:$B$29,0)),0)),IF(VLOOKUP($A11,Calendar!$A$1:$R$1377,18,0)=5,SUM(IFERROR(INDEX(FourWeekly_Model!$D$2:$D$29,MATCH(H11,FourWeekly_Model!$B$2:$B$29,0)),0),IFERROR(INDEX(FourWeekly_Model!$D$2:$D$29,MATCH(H12,FourWeekly_Model!$B$2:$B$29,0)),0),IFERROR(INDEX(FourWeekly_Model!$D$2:$D$29,MATCH(H13,FourWeekly_Model!$B$2:$B$29,0)),0),IFERROR(INDEX(FourWeekly_Model!$D$2:$D$29,MATCH(H14,FourWeekly_Model!$B$2:$B$29,0)),0),IFERROR(INDEX(FourWeekly_Model!$D$2:$D$29,MATCH(H15,FourWeekly_Model!$B$2:$B$29,0)),0)),0))))))</f>
        <v>3.3214289700000004E-3</v>
      </c>
      <c r="N11" s="27">
        <f>SUM(I11:M11)</f>
        <v>3.2468250190157068E-2</v>
      </c>
      <c r="O11" s="28">
        <f>Population_Data!$B$8*N11</f>
        <v>983787.9807617591</v>
      </c>
      <c r="P11" s="27">
        <f>IF(VLOOKUP($A11,Calendar!$A$1:$R$1377,18,0)=0,0,IF(VLOOKUP($A11,Calendar!$A$1:$R$1377,18,0)=1,IFERROR(INDEX(Pension_Model!$D$2:$D$29,MATCH(H11,Pension_Model!$B$2:$B$29,0)),0),IF(VLOOKUP($A11,Calendar!$A$1:$R$1377,18,0)=2,SUM(IFERROR(INDEX(Pension_Model!$D$2:$D$29,MATCH(H11,Pension_Model!$B$2:$B$29,0)),0),IFERROR(INDEX(Pension_Model!$D$2:$D$29,MATCH(H12,Pension_Model!$B$2:$B$29,0)),0)),IF(VLOOKUP($A11,Calendar!$A$1:$R$1377,18,0)=3,SUM(IFERROR(INDEX(Pension_Model!$D$2:$D$29,MATCH(H11,Pension_Model!$B$2:$B$29,0)),0),IFERROR(INDEX(Pension_Model!$D$2:$D$29,MATCH(H12,Pension_Model!$B$2:$B$29,0)),0),IFERROR(INDEX(Pension_Model!$D$2:$D$29,MATCH(H13,Pension_Model!$B$2:$B$29,0)),0)),IF(VLOOKUP($A11,Calendar!$A$1:$R$1377,18,0)=4,SUM(IFERROR(INDEX(Pension_Model!$D$2:$D$29,MATCH(H11,Pension_Model!$B$2:$B$29,0)),0),IFERROR(INDEX(Pension_Model!$D$2:$D$29,MATCH(H12,Pension_Model!$B$2:$B$29,0)),0),IFERROR(INDEX(Pension_Model!$D$2:$D$29,MATCH(H13,Pension_Model!$B$2:$B$29,0)),0),IFERROR(INDEX(Pension_Model!$D$2:$D$29,MATCH(H14,Pension_Model!$B$2:$B$29,0)),0)),IF(VLOOKUP($A11,Calendar!$A$1:$R$1377,18,0)=5,SUM(IFERROR(INDEX(Pension_Model!$D$2:$D$29,MATCH(H11,Pension_Model!$B$2:$B$29,0)),0),IFERROR(INDEX(Pension_Model!$D$2:$D$29,MATCH(H12,Pension_Model!$B$2:$B$29,0)),0),IFERROR(INDEX(Pension_Model!$D$2:$D$29,MATCH(H13,Pension_Model!$B$2:$B$29,0)),0),IFERROR(INDEX(Pension_Model!$D$2:$D$29,MATCH(H14,Pension_Model!$B$2:$B$29,0)),0),IFERROR(INDEX(Pension_Model!$D$2:$D$29,MATCH(H15,Pension_Model!$B$2:$B$29,0)),0)),0))))))</f>
        <v>0.05</v>
      </c>
      <c r="Q11" s="28">
        <f>Population_Data!$B$15*P11</f>
        <v>660600</v>
      </c>
      <c r="R11" s="32"/>
      <c r="S11">
        <f t="shared" si="0"/>
        <v>1644387.980761759</v>
      </c>
      <c r="U11" s="33">
        <f>S11/Population_Data!$B$19</f>
        <v>2.9789637332640562E-2</v>
      </c>
    </row>
    <row r="12" spans="1:21">
      <c r="A12" s="25">
        <f>Calendar!A12</f>
        <v>46245</v>
      </c>
      <c r="B12" t="str">
        <f>Calendar!L12</f>
        <v>Yes</v>
      </c>
      <c r="C12" t="str">
        <f>Calendar!O12</f>
        <v>No</v>
      </c>
      <c r="D12" t="str">
        <f>Calendar!P12</f>
        <v>No</v>
      </c>
      <c r="E12" t="str">
        <f>Calendar!Q12</f>
        <v>No</v>
      </c>
      <c r="F12" t="str">
        <f>Calendar!I12</f>
        <v>Tuesday</v>
      </c>
      <c r="G12">
        <f>Calendar!S12</f>
        <v>3</v>
      </c>
      <c r="H12">
        <f>Calendar!T12</f>
        <v>17</v>
      </c>
      <c r="I12" s="27">
        <f>IF(VLOOKUP(A12,Calendar!$A$1:$R$1377,18,0)=0,0,IF(VLOOKUP(A12,Calendar!$A$1:$R$1377,18,0)=1,INDEX(Monthly_Pay_Model!$A$9:$D$40,MATCH(TEXT(A12,"dd"),Monthly_Pay_Model!$C$9:$C$39,0),4),IF(VLOOKUP(A12,Calendar!$A$1:$R$1377,18,0)=2,SUM(INDEX(Monthly_Pay_Model!$A$9:$D$40,MATCH(TEXT(A12,"dd"),Monthly_Pay_Model!$C$9:$C$39,0),4),INDEX(Monthly_Pay_Model!$A$9:$D$40,MATCH(TEXT(A13,"dd"),Monthly_Pay_Model!$C$9:$C$39,0),4)),IF(VLOOKUP(A12,Calendar!$A$1:$R$1377,18,0)=3,SUM(INDEX(Monthly_Pay_Model!$A$9:$D$40,MATCH(TEXT(A12,"dd"),Monthly_Pay_Model!$C$9:$C$39,0),4),INDEX(Monthly_Pay_Model!$A$9:$D$40,MATCH(TEXT(A13,"dd"),Monthly_Pay_Model!$C$9:$C$39,0),4),INDEX(Monthly_Pay_Model!$A$9:$D$40,MATCH(TEXT(A14,"dd"),Monthly_Pay_Model!$C$9:$C$39,0),4)),IF(VLOOKUP(A12,Calendar!$A$1:$R$1377,18,0)=4,SUM(INDEX(Monthly_Pay_Model!$A$9:$D$40,MATCH(TEXT(A12,"dd"),Monthly_Pay_Model!$C$9:$C$39,0),4),INDEX(Monthly_Pay_Model!$A$9:$D$40,MATCH(TEXT(A13,"dd"),Monthly_Pay_Model!$C$9:$C$39,0),4),INDEX(Monthly_Pay_Model!$A$9:$D$40,MATCH(TEXT(A14,"dd"),Monthly_Pay_Model!$C$9:$C$39,0),4),INDEX(Monthly_Pay_Model!$A$9:$D$40,MATCH(TEXT(A15,"dd"),Monthly_Pay_Model!$C$9:$C$39,0),4)),IF(VLOOKUP(A12,Calendar!$A$1:$R$1377,18,0)=5,SUM(INDEX(Monthly_Pay_Model!$A$9:$D$40,MATCH(TEXT(A12,"dd"),Monthly_Pay_Model!$C$9:$C$39,0),4),INDEX(Monthly_Pay_Model!$A$9:$D$40,MATCH(TEXT(A13,"dd"),Monthly_Pay_Model!$C$9:$C$39,0),4),INDEX(Monthly_Pay_Model!$A$9:$D$40,MATCH(TEXT(A14,"dd"),Monthly_Pay_Model!$C$9:$C$39,0),4),INDEX(Monthly_Pay_Model!$A$9:$D$40,MATCH(TEXT(A15,"dd"),Monthly_Pay_Model!$C$9:$C$39,0),4),INDEX(Monthly_Pay_Model!$A$9:$D$40,MATCH(TEXT(A16,"dd"),Monthly_Pay_Model!$C$9:$C$39,0),4)),))))))</f>
        <v>8.1256544502617792E-4</v>
      </c>
      <c r="J12" s="33">
        <f>IF(C12="Yes",Monthly_Pay_Model!$D$2,0)
+IF(Calendar!N12="Yes",Monthly_Pay_Model!$D$3,0)
+IF(D12="Yes",Monthly_Pay_Model!$D$4,0)
+IF(E12="Yes",Monthly_Pay_Model!$D$5,0)</f>
        <v>0</v>
      </c>
      <c r="K12" s="27">
        <f>IF(VLOOKUP($A12,Calendar!$A$1:$R$1377,18,0)=0,0,IF(VLOOKUP($A12,Calendar!$A$1:$R$1377,18,0)=1,IFERROR(INDEX(Weekly_Model!$D$2:$D$9,MATCH(F12,Weekly_Model!$A$2:$A$9,0)),0),IF(VLOOKUP($A12,Calendar!$A$1:$R$1377,18,0)=2,SUM(IFERROR(INDEX(Weekly_Model!$D$2:$D$9,MATCH(F12,Weekly_Model!$A$2:$A$9,0)),0),IFERROR(INDEX(Weekly_Model!$D$2:$D$9,MATCH(F13,Weekly_Model!$A$2:$A$9,0)),0)),IF(VLOOKUP($A12,Calendar!$A$1:$R$1377,18,0)=3,SUM(IFERROR(INDEX(Weekly_Model!$D$2:$D$9,MATCH(F12,Weekly_Model!$A$2:$A$9,0)),0),IFERROR(INDEX(Weekly_Model!$D$2:$D$9,MATCH(F13,Weekly_Model!$A$2:$A$9,0)),0),IFERROR(INDEX(Weekly_Model!$D$2:$D$9,MATCH(F14,Weekly_Model!$A$2:$A$9,0)),0)),IF(VLOOKUP($A12,Calendar!$A$1:$R$1377,18,0)=4,SUM(IFERROR(INDEX(Weekly_Model!$D$2:$D$9,MATCH(F12,Weekly_Model!$A$2:$A$9,0)),0),IFERROR(INDEX(Weekly_Model!$D$2:$D$9,MATCH(F13,Weekly_Model!$A$2:$A$9,0)),0),IFERROR(INDEX(Weekly_Model!$D$2:$D$9,MATCH(F14,Weekly_Model!$A$2:$A$9,0)),0),IFERROR(INDEX(Weekly_Model!$D$2:$D$9,MATCH(F15,Weekly_Model!$A$2:$A$9,0)),0)),IF(VLOOKUP($A12,Calendar!$A$1:$R$1377,18,0)=5,SUM(IFERROR(INDEX(Weekly_Model!$D$2:$D$9,MATCH(F12,Weekly_Model!$A$2:$A$9,0)),0),IFERROR(INDEX(Weekly_Model!$D$2:$D$9,MATCH(F13,Weekly_Model!$A$2:$A$9,0)),0),IFERROR(INDEX(Weekly_Model!$D$2:$D$9,MATCH(F14,Weekly_Model!$A$2:$A$9,0)),0),IFERROR(INDEX(Weekly_Model!$D$2:$D$9,MATCH(F15,Weekly_Model!$A$2:$A$9,0)),0),IFERROR(INDEX(Weekly_Model!$D$2:$D$9,MATCH(F16,Weekly_Model!$A$2:$A$9,0)),0)),0))))))</f>
        <v>2.3200000000000002E-2</v>
      </c>
      <c r="L12" s="27">
        <f>IF(VLOOKUP($A12,Calendar!$A$1:$R$1377,18,0)=0,0,IF(VLOOKUP($A12,Calendar!$A$1:$R$1377,18,0)=1,IFERROR(INDEX(Fortnightly_Model!$D$2:$D$15,MATCH(G12,Fortnightly_Model!$B$2:$B$15,0)),0),IF(VLOOKUP($A12,Calendar!$A$1:$R$1377,18,0)=2,SUM(IFERROR(INDEX(Fortnightly_Model!$D$2:$D$15,MATCH(G12,Fortnightly_Model!$B$2:$B$15,0)),0),IFERROR(INDEX(Fortnightly_Model!$D$2:$D$15,MATCH(G13,Fortnightly_Model!$B$2:$B$15,0)),0)),IF(VLOOKUP($A12,Calendar!$A$1:$R$1377,18,0)=3,SUM(IFERROR(INDEX(Fortnightly_Model!$D$2:$D$15,MATCH(G12,Fortnightly_Model!$B$2:$B$15,0)),0),IFERROR(INDEX(Fortnightly_Model!$D$2:$D$15,MATCH(G13,Fortnightly_Model!$B$2:$B$15,0)),0),IFERROR(INDEX(Fortnightly_Model!$D$2:$D$15,MATCH(G14,Fortnightly_Model!$B$2:$B$15,0)),0)),IF(VLOOKUP($A12,Calendar!$A$1:$R$1377,18,0)=4,SUM(IFERROR(INDEX(Fortnightly_Model!$D$2:$D$15,MATCH(G12,Fortnightly_Model!$B$2:$B$15,0)),0),IFERROR(INDEX(Fortnightly_Model!$D$2:$D$15,MATCH(G13,Fortnightly_Model!$B$2:$B$15,0)),0),IFERROR(INDEX(Fortnightly_Model!$D$2:$D$15,MATCH(G14,Fortnightly_Model!$B$2:$B$15,0)),0),IFERROR(INDEX(Fortnightly_Model!$D$2:$D$15,MATCH(G15,Fortnightly_Model!$B$2:$B$15,0)),0)),IF(VLOOKUP($A12,Calendar!$A$1:$R$1377,18,0)=5,SUM(IFERROR(INDEX(Fortnightly_Model!$D$2:$D$15,MATCH(G12,Fortnightly_Model!$B$2:$B$15,0)),0),IFERROR(INDEX(Fortnightly_Model!$D$2:$D$15,MATCH(G13,Fortnightly_Model!$B$2:$B$15,0)),0),IFERROR(INDEX(Fortnightly_Model!$D$2:$D$15,MATCH(G14,Fortnightly_Model!$B$2:$B$15,0)),0),IFERROR(INDEX(Fortnightly_Model!$D$2:$D$15,MATCH(G15,Fortnightly_Model!$B$2:$B$15,0)),0),IFERROR(INDEX(Fortnightly_Model!$D$2:$D$15,MATCH(G16,Fortnightly_Model!$B$2:$B$15,0)),0)),0))))))</f>
        <v>1.0714285499999999E-3</v>
      </c>
      <c r="M12" s="27">
        <f>IF(VLOOKUP($A12,Calendar!$A$1:$R$1377,18,0)=0,0,IF(VLOOKUP($A12,Calendar!$A$1:$R$1377,18,0)=1,IFERROR(INDEX(FourWeekly_Model!$D$2:$D$29,MATCH(H12,FourWeekly_Model!$B$2:$B$29,0)),0),IF(VLOOKUP($A12,Calendar!$A$1:$R$1377,18,0)=2,SUM(IFERROR(INDEX(FourWeekly_Model!$D$2:$D$29,MATCH(H12,FourWeekly_Model!$B$2:$B$29,0)),0),IFERROR(INDEX(FourWeekly_Model!$D$2:$D$29,MATCH(H13,FourWeekly_Model!$B$2:$B$29,0)),0)),IF(VLOOKUP($A12,Calendar!$A$1:$R$1377,18,0)=3,SUM(IFERROR(INDEX(FourWeekly_Model!$D$2:$D$29,MATCH(H12,FourWeekly_Model!$B$2:$B$29,0)),0),IFERROR(INDEX(FourWeekly_Model!$D$2:$D$29,MATCH(H13,FourWeekly_Model!$B$2:$B$29,0)),0),IFERROR(INDEX(FourWeekly_Model!$D$2:$D$29,MATCH(H14,FourWeekly_Model!$B$2:$B$29,0)),0)),IF(VLOOKUP($A12,Calendar!$A$1:$R$1377,18,0)=4,SUM(IFERROR(INDEX(FourWeekly_Model!$D$2:$D$29,MATCH(H12,FourWeekly_Model!$B$2:$B$29,0)),0),IFERROR(INDEX(FourWeekly_Model!$D$2:$D$29,MATCH(H13,FourWeekly_Model!$B$2:$B$29,0)),0),IFERROR(INDEX(FourWeekly_Model!$D$2:$D$29,MATCH(H14,FourWeekly_Model!$B$2:$B$29,0)),0),IFERROR(INDEX(FourWeekly_Model!$D$2:$D$29,MATCH(H15,FourWeekly_Model!$B$2:$B$29,0)),0)),IF(VLOOKUP($A12,Calendar!$A$1:$R$1377,18,0)=5,SUM(IFERROR(INDEX(FourWeekly_Model!$D$2:$D$29,MATCH(H12,FourWeekly_Model!$B$2:$B$29,0)),0),IFERROR(INDEX(FourWeekly_Model!$D$2:$D$29,MATCH(H13,FourWeekly_Model!$B$2:$B$29,0)),0),IFERROR(INDEX(FourWeekly_Model!$D$2:$D$29,MATCH(H14,FourWeekly_Model!$B$2:$B$29,0)),0),IFERROR(INDEX(FourWeekly_Model!$D$2:$D$29,MATCH(H15,FourWeekly_Model!$B$2:$B$29,0)),0),IFERROR(INDEX(FourWeekly_Model!$D$2:$D$29,MATCH(H16,FourWeekly_Model!$B$2:$B$29,0)),0)),0))))))</f>
        <v>3.3214289700000004E-3</v>
      </c>
      <c r="N12" s="27">
        <f>SUM(I12:M12)</f>
        <v>2.840542296502618E-2</v>
      </c>
      <c r="O12" s="28">
        <f>Population_Data!$B$8*N12</f>
        <v>860684.3158402933</v>
      </c>
      <c r="P12" s="27">
        <f>IF(VLOOKUP($A12,Calendar!$A$1:$R$1377,18,0)=0,0,IF(VLOOKUP($A12,Calendar!$A$1:$R$1377,18,0)=1,IFERROR(INDEX(Pension_Model!$D$2:$D$29,MATCH(H12,Pension_Model!$B$2:$B$29,0)),0),IF(VLOOKUP($A12,Calendar!$A$1:$R$1377,18,0)=2,SUM(IFERROR(INDEX(Pension_Model!$D$2:$D$29,MATCH(H12,Pension_Model!$B$2:$B$29,0)),0),IFERROR(INDEX(Pension_Model!$D$2:$D$29,MATCH(H13,Pension_Model!$B$2:$B$29,0)),0)),IF(VLOOKUP($A12,Calendar!$A$1:$R$1377,18,0)=3,SUM(IFERROR(INDEX(Pension_Model!$D$2:$D$29,MATCH(H12,Pension_Model!$B$2:$B$29,0)),0),IFERROR(INDEX(Pension_Model!$D$2:$D$29,MATCH(H13,Pension_Model!$B$2:$B$29,0)),0),IFERROR(INDEX(Pension_Model!$D$2:$D$29,MATCH(H14,Pension_Model!$B$2:$B$29,0)),0)),IF(VLOOKUP($A12,Calendar!$A$1:$R$1377,18,0)=4,SUM(IFERROR(INDEX(Pension_Model!$D$2:$D$29,MATCH(H12,Pension_Model!$B$2:$B$29,0)),0),IFERROR(INDEX(Pension_Model!$D$2:$D$29,MATCH(H13,Pension_Model!$B$2:$B$29,0)),0),IFERROR(INDEX(Pension_Model!$D$2:$D$29,MATCH(H14,Pension_Model!$B$2:$B$29,0)),0),IFERROR(INDEX(Pension_Model!$D$2:$D$29,MATCH(H15,Pension_Model!$B$2:$B$29,0)),0)),IF(VLOOKUP($A12,Calendar!$A$1:$R$1377,18,0)=5,SUM(IFERROR(INDEX(Pension_Model!$D$2:$D$29,MATCH(H12,Pension_Model!$B$2:$B$29,0)),0),IFERROR(INDEX(Pension_Model!$D$2:$D$29,MATCH(H13,Pension_Model!$B$2:$B$29,0)),0),IFERROR(INDEX(Pension_Model!$D$2:$D$29,MATCH(H14,Pension_Model!$B$2:$B$29,0)),0),IFERROR(INDEX(Pension_Model!$D$2:$D$29,MATCH(H15,Pension_Model!$B$2:$B$29,0)),0),IFERROR(INDEX(Pension_Model!$D$2:$D$29,MATCH(H16,Pension_Model!$B$2:$B$29,0)),0)),0))))))</f>
        <v>0.05</v>
      </c>
      <c r="Q12" s="28">
        <f>Population_Data!$B$15*P12</f>
        <v>660600</v>
      </c>
      <c r="R12" s="32"/>
      <c r="S12">
        <f t="shared" si="0"/>
        <v>1521284.3158402932</v>
      </c>
      <c r="U12" s="33">
        <f>S12/Population_Data!$B$19</f>
        <v>2.7559498475367629E-2</v>
      </c>
    </row>
    <row r="13" spans="1:21">
      <c r="A13" s="25">
        <f>Calendar!A13</f>
        <v>46246</v>
      </c>
      <c r="B13" t="str">
        <f>Calendar!L13</f>
        <v>Yes</v>
      </c>
      <c r="C13" t="str">
        <f>Calendar!O13</f>
        <v>No</v>
      </c>
      <c r="D13" t="str">
        <f>Calendar!P13</f>
        <v>No</v>
      </c>
      <c r="E13" t="str">
        <f>Calendar!Q13</f>
        <v>No</v>
      </c>
      <c r="F13" t="str">
        <f>Calendar!I13</f>
        <v>Wednesday</v>
      </c>
      <c r="G13">
        <f>Calendar!S13</f>
        <v>4</v>
      </c>
      <c r="H13">
        <f>Calendar!T13</f>
        <v>18</v>
      </c>
      <c r="I13" s="27">
        <f>IF(VLOOKUP(A13,Calendar!$A$1:$R$1377,18,0)=0,0,IF(VLOOKUP(A13,Calendar!$A$1:$R$1377,18,0)=1,INDEX(Monthly_Pay_Model!$A$9:$D$40,MATCH(TEXT(A13,"dd"),Monthly_Pay_Model!$C$9:$C$39,0),4),IF(VLOOKUP(A13,Calendar!$A$1:$R$1377,18,0)=2,SUM(INDEX(Monthly_Pay_Model!$A$9:$D$40,MATCH(TEXT(A13,"dd"),Monthly_Pay_Model!$C$9:$C$39,0),4),INDEX(Monthly_Pay_Model!$A$9:$D$40,MATCH(TEXT(A14,"dd"),Monthly_Pay_Model!$C$9:$C$39,0),4)),IF(VLOOKUP(A13,Calendar!$A$1:$R$1377,18,0)=3,SUM(INDEX(Monthly_Pay_Model!$A$9:$D$40,MATCH(TEXT(A13,"dd"),Monthly_Pay_Model!$C$9:$C$39,0),4),INDEX(Monthly_Pay_Model!$A$9:$D$40,MATCH(TEXT(A14,"dd"),Monthly_Pay_Model!$C$9:$C$39,0),4),INDEX(Monthly_Pay_Model!$A$9:$D$40,MATCH(TEXT(A15,"dd"),Monthly_Pay_Model!$C$9:$C$39,0),4)),IF(VLOOKUP(A13,Calendar!$A$1:$R$1377,18,0)=4,SUM(INDEX(Monthly_Pay_Model!$A$9:$D$40,MATCH(TEXT(A13,"dd"),Monthly_Pay_Model!$C$9:$C$39,0),4),INDEX(Monthly_Pay_Model!$A$9:$D$40,MATCH(TEXT(A14,"dd"),Monthly_Pay_Model!$C$9:$C$39,0),4),INDEX(Monthly_Pay_Model!$A$9:$D$40,MATCH(TEXT(A15,"dd"),Monthly_Pay_Model!$C$9:$C$39,0),4),INDEX(Monthly_Pay_Model!$A$9:$D$40,MATCH(TEXT(A16,"dd"),Monthly_Pay_Model!$C$9:$C$39,0),4)),IF(VLOOKUP(A13,Calendar!$A$1:$R$1377,18,0)=5,SUM(INDEX(Monthly_Pay_Model!$A$9:$D$40,MATCH(TEXT(A13,"dd"),Monthly_Pay_Model!$C$9:$C$39,0),4),INDEX(Monthly_Pay_Model!$A$9:$D$40,MATCH(TEXT(A14,"dd"),Monthly_Pay_Model!$C$9:$C$39,0),4),INDEX(Monthly_Pay_Model!$A$9:$D$40,MATCH(TEXT(A15,"dd"),Monthly_Pay_Model!$C$9:$C$39,0),4),INDEX(Monthly_Pay_Model!$A$9:$D$40,MATCH(TEXT(A16,"dd"),Monthly_Pay_Model!$C$9:$C$39,0),4),INDEX(Monthly_Pay_Model!$A$9:$D$40,MATCH(TEXT(A17,"dd"),Monthly_Pay_Model!$C$9:$C$39,0),4)),))))))</f>
        <v>1.6251308900523558E-3</v>
      </c>
      <c r="J13" s="33">
        <f>IF(C13="Yes",Monthly_Pay_Model!$D$2,0)
+IF(Calendar!N13="Yes",Monthly_Pay_Model!$D$3,0)
+IF(D13="Yes",Monthly_Pay_Model!$D$4,0)
+IF(E13="Yes",Monthly_Pay_Model!$D$5,0)</f>
        <v>0</v>
      </c>
      <c r="K13" s="27">
        <f>IF(VLOOKUP($A13,Calendar!$A$1:$R$1377,18,0)=0,0,IF(VLOOKUP($A13,Calendar!$A$1:$R$1377,18,0)=1,IFERROR(INDEX(Weekly_Model!$D$2:$D$9,MATCH(F13,Weekly_Model!$A$2:$A$9,0)),0),IF(VLOOKUP($A13,Calendar!$A$1:$R$1377,18,0)=2,SUM(IFERROR(INDEX(Weekly_Model!$D$2:$D$9,MATCH(F13,Weekly_Model!$A$2:$A$9,0)),0),IFERROR(INDEX(Weekly_Model!$D$2:$D$9,MATCH(F14,Weekly_Model!$A$2:$A$9,0)),0)),IF(VLOOKUP($A13,Calendar!$A$1:$R$1377,18,0)=3,SUM(IFERROR(INDEX(Weekly_Model!$D$2:$D$9,MATCH(F13,Weekly_Model!$A$2:$A$9,0)),0),IFERROR(INDEX(Weekly_Model!$D$2:$D$9,MATCH(F14,Weekly_Model!$A$2:$A$9,0)),0),IFERROR(INDEX(Weekly_Model!$D$2:$D$9,MATCH(F15,Weekly_Model!$A$2:$A$9,0)),0)),IF(VLOOKUP($A13,Calendar!$A$1:$R$1377,18,0)=4,SUM(IFERROR(INDEX(Weekly_Model!$D$2:$D$9,MATCH(F13,Weekly_Model!$A$2:$A$9,0)),0),IFERROR(INDEX(Weekly_Model!$D$2:$D$9,MATCH(F14,Weekly_Model!$A$2:$A$9,0)),0),IFERROR(INDEX(Weekly_Model!$D$2:$D$9,MATCH(F15,Weekly_Model!$A$2:$A$9,0)),0),IFERROR(INDEX(Weekly_Model!$D$2:$D$9,MATCH(F16,Weekly_Model!$A$2:$A$9,0)),0)),IF(VLOOKUP($A13,Calendar!$A$1:$R$1377,18,0)=5,SUM(IFERROR(INDEX(Weekly_Model!$D$2:$D$9,MATCH(F13,Weekly_Model!$A$2:$A$9,0)),0),IFERROR(INDEX(Weekly_Model!$D$2:$D$9,MATCH(F14,Weekly_Model!$A$2:$A$9,0)),0),IFERROR(INDEX(Weekly_Model!$D$2:$D$9,MATCH(F15,Weekly_Model!$A$2:$A$9,0)),0),IFERROR(INDEX(Weekly_Model!$D$2:$D$9,MATCH(F16,Weekly_Model!$A$2:$A$9,0)),0),IFERROR(INDEX(Weekly_Model!$D$2:$D$9,MATCH(F17,Weekly_Model!$A$2:$A$9,0)),0)),0))))))</f>
        <v>2.3200000000000002E-2</v>
      </c>
      <c r="L13" s="27">
        <f>IF(VLOOKUP($A13,Calendar!$A$1:$R$1377,18,0)=0,0,IF(VLOOKUP($A13,Calendar!$A$1:$R$1377,18,0)=1,IFERROR(INDEX(Fortnightly_Model!$D$2:$D$15,MATCH(G13,Fortnightly_Model!$B$2:$B$15,0)),0),IF(VLOOKUP($A13,Calendar!$A$1:$R$1377,18,0)=2,SUM(IFERROR(INDEX(Fortnightly_Model!$D$2:$D$15,MATCH(G13,Fortnightly_Model!$B$2:$B$15,0)),0),IFERROR(INDEX(Fortnightly_Model!$D$2:$D$15,MATCH(G14,Fortnightly_Model!$B$2:$B$15,0)),0)),IF(VLOOKUP($A13,Calendar!$A$1:$R$1377,18,0)=3,SUM(IFERROR(INDEX(Fortnightly_Model!$D$2:$D$15,MATCH(G13,Fortnightly_Model!$B$2:$B$15,0)),0),IFERROR(INDEX(Fortnightly_Model!$D$2:$D$15,MATCH(G14,Fortnightly_Model!$B$2:$B$15,0)),0),IFERROR(INDEX(Fortnightly_Model!$D$2:$D$15,MATCH(G15,Fortnightly_Model!$B$2:$B$15,0)),0)),IF(VLOOKUP($A13,Calendar!$A$1:$R$1377,18,0)=4,SUM(IFERROR(INDEX(Fortnightly_Model!$D$2:$D$15,MATCH(G13,Fortnightly_Model!$B$2:$B$15,0)),0),IFERROR(INDEX(Fortnightly_Model!$D$2:$D$15,MATCH(G14,Fortnightly_Model!$B$2:$B$15,0)),0),IFERROR(INDEX(Fortnightly_Model!$D$2:$D$15,MATCH(G15,Fortnightly_Model!$B$2:$B$15,0)),0),IFERROR(INDEX(Fortnightly_Model!$D$2:$D$15,MATCH(G16,Fortnightly_Model!$B$2:$B$15,0)),0)),IF(VLOOKUP($A13,Calendar!$A$1:$R$1377,18,0)=5,SUM(IFERROR(INDEX(Fortnightly_Model!$D$2:$D$15,MATCH(G13,Fortnightly_Model!$B$2:$B$15,0)),0),IFERROR(INDEX(Fortnightly_Model!$D$2:$D$15,MATCH(G14,Fortnightly_Model!$B$2:$B$15,0)),0),IFERROR(INDEX(Fortnightly_Model!$D$2:$D$15,MATCH(G15,Fortnightly_Model!$B$2:$B$15,0)),0),IFERROR(INDEX(Fortnightly_Model!$D$2:$D$15,MATCH(G16,Fortnightly_Model!$B$2:$B$15,0)),0),IFERROR(INDEX(Fortnightly_Model!$D$2:$D$15,MATCH(G17,Fortnightly_Model!$B$2:$B$15,0)),0)),0))))))</f>
        <v>1.0714285499999999E-3</v>
      </c>
      <c r="M13" s="27">
        <f>IF(VLOOKUP($A13,Calendar!$A$1:$R$1377,18,0)=0,0,IF(VLOOKUP($A13,Calendar!$A$1:$R$1377,18,0)=1,IFERROR(INDEX(FourWeekly_Model!$D$2:$D$29,MATCH(H13,FourWeekly_Model!$B$2:$B$29,0)),0),IF(VLOOKUP($A13,Calendar!$A$1:$R$1377,18,0)=2,SUM(IFERROR(INDEX(FourWeekly_Model!$D$2:$D$29,MATCH(H13,FourWeekly_Model!$B$2:$B$29,0)),0),IFERROR(INDEX(FourWeekly_Model!$D$2:$D$29,MATCH(H14,FourWeekly_Model!$B$2:$B$29,0)),0)),IF(VLOOKUP($A13,Calendar!$A$1:$R$1377,18,0)=3,SUM(IFERROR(INDEX(FourWeekly_Model!$D$2:$D$29,MATCH(H13,FourWeekly_Model!$B$2:$B$29,0)),0),IFERROR(INDEX(FourWeekly_Model!$D$2:$D$29,MATCH(H14,FourWeekly_Model!$B$2:$B$29,0)),0),IFERROR(INDEX(FourWeekly_Model!$D$2:$D$29,MATCH(H15,FourWeekly_Model!$B$2:$B$29,0)),0)),IF(VLOOKUP($A13,Calendar!$A$1:$R$1377,18,0)=4,SUM(IFERROR(INDEX(FourWeekly_Model!$D$2:$D$29,MATCH(H13,FourWeekly_Model!$B$2:$B$29,0)),0),IFERROR(INDEX(FourWeekly_Model!$D$2:$D$29,MATCH(H14,FourWeekly_Model!$B$2:$B$29,0)),0),IFERROR(INDEX(FourWeekly_Model!$D$2:$D$29,MATCH(H15,FourWeekly_Model!$B$2:$B$29,0)),0),IFERROR(INDEX(FourWeekly_Model!$D$2:$D$29,MATCH(H16,FourWeekly_Model!$B$2:$B$29,0)),0)),IF(VLOOKUP($A13,Calendar!$A$1:$R$1377,18,0)=5,SUM(IFERROR(INDEX(FourWeekly_Model!$D$2:$D$29,MATCH(H13,FourWeekly_Model!$B$2:$B$29,0)),0),IFERROR(INDEX(FourWeekly_Model!$D$2:$D$29,MATCH(H14,FourWeekly_Model!$B$2:$B$29,0)),0),IFERROR(INDEX(FourWeekly_Model!$D$2:$D$29,MATCH(H15,FourWeekly_Model!$B$2:$B$29,0)),0),IFERROR(INDEX(FourWeekly_Model!$D$2:$D$29,MATCH(H16,FourWeekly_Model!$B$2:$B$29,0)),0),IFERROR(INDEX(FourWeekly_Model!$D$2:$D$29,MATCH(H17,FourWeekly_Model!$B$2:$B$29,0)),0)),0))))))</f>
        <v>3.3214289700000004E-3</v>
      </c>
      <c r="N13" s="27">
        <f>SUM(I13:M13)</f>
        <v>2.921798841005236E-2</v>
      </c>
      <c r="O13" s="28">
        <f>Population_Data!$B$8*N13</f>
        <v>885305.04882458656</v>
      </c>
      <c r="P13" s="27">
        <f>IF(VLOOKUP($A13,Calendar!$A$1:$R$1377,18,0)=0,0,IF(VLOOKUP($A13,Calendar!$A$1:$R$1377,18,0)=1,IFERROR(INDEX(Pension_Model!$D$2:$D$29,MATCH(H13,Pension_Model!$B$2:$B$29,0)),0),IF(VLOOKUP($A13,Calendar!$A$1:$R$1377,18,0)=2,SUM(IFERROR(INDEX(Pension_Model!$D$2:$D$29,MATCH(H13,Pension_Model!$B$2:$B$29,0)),0),IFERROR(INDEX(Pension_Model!$D$2:$D$29,MATCH(H14,Pension_Model!$B$2:$B$29,0)),0)),IF(VLOOKUP($A13,Calendar!$A$1:$R$1377,18,0)=3,SUM(IFERROR(INDEX(Pension_Model!$D$2:$D$29,MATCH(H13,Pension_Model!$B$2:$B$29,0)),0),IFERROR(INDEX(Pension_Model!$D$2:$D$29,MATCH(H14,Pension_Model!$B$2:$B$29,0)),0),IFERROR(INDEX(Pension_Model!$D$2:$D$29,MATCH(H15,Pension_Model!$B$2:$B$29,0)),0)),IF(VLOOKUP($A13,Calendar!$A$1:$R$1377,18,0)=4,SUM(IFERROR(INDEX(Pension_Model!$D$2:$D$29,MATCH(H13,Pension_Model!$B$2:$B$29,0)),0),IFERROR(INDEX(Pension_Model!$D$2:$D$29,MATCH(H14,Pension_Model!$B$2:$B$29,0)),0),IFERROR(INDEX(Pension_Model!$D$2:$D$29,MATCH(H15,Pension_Model!$B$2:$B$29,0)),0),IFERROR(INDEX(Pension_Model!$D$2:$D$29,MATCH(H16,Pension_Model!$B$2:$B$29,0)),0)),IF(VLOOKUP($A13,Calendar!$A$1:$R$1377,18,0)=5,SUM(IFERROR(INDEX(Pension_Model!$D$2:$D$29,MATCH(H13,Pension_Model!$B$2:$B$29,0)),0),IFERROR(INDEX(Pension_Model!$D$2:$D$29,MATCH(H14,Pension_Model!$B$2:$B$29,0)),0),IFERROR(INDEX(Pension_Model!$D$2:$D$29,MATCH(H15,Pension_Model!$B$2:$B$29,0)),0),IFERROR(INDEX(Pension_Model!$D$2:$D$29,MATCH(H16,Pension_Model!$B$2:$B$29,0)),0),IFERROR(INDEX(Pension_Model!$D$2:$D$29,MATCH(H17,Pension_Model!$B$2:$B$29,0)),0)),0))))))</f>
        <v>0.05</v>
      </c>
      <c r="Q13" s="28">
        <f>Population_Data!$B$15*P13</f>
        <v>660600</v>
      </c>
      <c r="R13" s="32"/>
      <c r="S13">
        <f t="shared" si="0"/>
        <v>1545905.0488245864</v>
      </c>
      <c r="U13" s="33">
        <f>S13/Population_Data!$B$19</f>
        <v>2.8005526246822218E-2</v>
      </c>
    </row>
    <row r="14" spans="1:21">
      <c r="A14" s="25">
        <f>Calendar!A14</f>
        <v>46247</v>
      </c>
      <c r="B14" t="str">
        <f>Calendar!L14</f>
        <v>Yes</v>
      </c>
      <c r="C14" t="str">
        <f>Calendar!O14</f>
        <v>No</v>
      </c>
      <c r="D14" t="str">
        <f>Calendar!P14</f>
        <v>No</v>
      </c>
      <c r="E14" t="str">
        <f>Calendar!Q14</f>
        <v>No</v>
      </c>
      <c r="F14" t="str">
        <f>Calendar!I14</f>
        <v>Thursday</v>
      </c>
      <c r="G14">
        <f>Calendar!S14</f>
        <v>5</v>
      </c>
      <c r="H14">
        <f>Calendar!T14</f>
        <v>19</v>
      </c>
      <c r="I14" s="27">
        <f>IF(VLOOKUP(A14,Calendar!$A$1:$R$1377,18,0)=0,0,IF(VLOOKUP(A14,Calendar!$A$1:$R$1377,18,0)=1,INDEX(Monthly_Pay_Model!$A$9:$D$40,MATCH(TEXT(A14,"dd"),Monthly_Pay_Model!$C$9:$C$39,0),4),IF(VLOOKUP(A14,Calendar!$A$1:$R$1377,18,0)=2,SUM(INDEX(Monthly_Pay_Model!$A$9:$D$40,MATCH(TEXT(A14,"dd"),Monthly_Pay_Model!$C$9:$C$39,0),4),INDEX(Monthly_Pay_Model!$A$9:$D$40,MATCH(TEXT(A15,"dd"),Monthly_Pay_Model!$C$9:$C$39,0),4)),IF(VLOOKUP(A14,Calendar!$A$1:$R$1377,18,0)=3,SUM(INDEX(Monthly_Pay_Model!$A$9:$D$40,MATCH(TEXT(A14,"dd"),Monthly_Pay_Model!$C$9:$C$39,0),4),INDEX(Monthly_Pay_Model!$A$9:$D$40,MATCH(TEXT(A15,"dd"),Monthly_Pay_Model!$C$9:$C$39,0),4),INDEX(Monthly_Pay_Model!$A$9:$D$40,MATCH(TEXT(A16,"dd"),Monthly_Pay_Model!$C$9:$C$39,0),4)),IF(VLOOKUP(A14,Calendar!$A$1:$R$1377,18,0)=4,SUM(INDEX(Monthly_Pay_Model!$A$9:$D$40,MATCH(TEXT(A14,"dd"),Monthly_Pay_Model!$C$9:$C$39,0),4),INDEX(Monthly_Pay_Model!$A$9:$D$40,MATCH(TEXT(A15,"dd"),Monthly_Pay_Model!$C$9:$C$39,0),4),INDEX(Monthly_Pay_Model!$A$9:$D$40,MATCH(TEXT(A16,"dd"),Monthly_Pay_Model!$C$9:$C$39,0),4),INDEX(Monthly_Pay_Model!$A$9:$D$40,MATCH(TEXT(A17,"dd"),Monthly_Pay_Model!$C$9:$C$39,0),4)),IF(VLOOKUP(A14,Calendar!$A$1:$R$1377,18,0)=5,SUM(INDEX(Monthly_Pay_Model!$A$9:$D$40,MATCH(TEXT(A14,"dd"),Monthly_Pay_Model!$C$9:$C$39,0),4),INDEX(Monthly_Pay_Model!$A$9:$D$40,MATCH(TEXT(A15,"dd"),Monthly_Pay_Model!$C$9:$C$39,0),4),INDEX(Monthly_Pay_Model!$A$9:$D$40,MATCH(TEXT(A16,"dd"),Monthly_Pay_Model!$C$9:$C$39,0),4),INDEX(Monthly_Pay_Model!$A$9:$D$40,MATCH(TEXT(A17,"dd"),Monthly_Pay_Model!$C$9:$C$39,0),4),INDEX(Monthly_Pay_Model!$A$9:$D$40,MATCH(TEXT(A18,"dd"),Monthly_Pay_Model!$C$9:$C$39,0),4)),))))))</f>
        <v>8.1256544502617792E-4</v>
      </c>
      <c r="J14" s="33">
        <f>IF(C14="Yes",Monthly_Pay_Model!$D$2,0)
+IF(Calendar!N14="Yes",Monthly_Pay_Model!$D$3,0)
+IF(D14="Yes",Monthly_Pay_Model!$D$4,0)
+IF(E14="Yes",Monthly_Pay_Model!$D$5,0)</f>
        <v>0</v>
      </c>
      <c r="K14" s="27">
        <f>IF(VLOOKUP($A14,Calendar!$A$1:$R$1377,18,0)=0,0,IF(VLOOKUP($A14,Calendar!$A$1:$R$1377,18,0)=1,IFERROR(INDEX(Weekly_Model!$D$2:$D$9,MATCH(F14,Weekly_Model!$A$2:$A$9,0)),0),IF(VLOOKUP($A14,Calendar!$A$1:$R$1377,18,0)=2,SUM(IFERROR(INDEX(Weekly_Model!$D$2:$D$9,MATCH(F14,Weekly_Model!$A$2:$A$9,0)),0),IFERROR(INDEX(Weekly_Model!$D$2:$D$9,MATCH(F15,Weekly_Model!$A$2:$A$9,0)),0)),IF(VLOOKUP($A14,Calendar!$A$1:$R$1377,18,0)=3,SUM(IFERROR(INDEX(Weekly_Model!$D$2:$D$9,MATCH(F14,Weekly_Model!$A$2:$A$9,0)),0),IFERROR(INDEX(Weekly_Model!$D$2:$D$9,MATCH(F15,Weekly_Model!$A$2:$A$9,0)),0),IFERROR(INDEX(Weekly_Model!$D$2:$D$9,MATCH(F16,Weekly_Model!$A$2:$A$9,0)),0)),IF(VLOOKUP($A14,Calendar!$A$1:$R$1377,18,0)=4,SUM(IFERROR(INDEX(Weekly_Model!$D$2:$D$9,MATCH(F14,Weekly_Model!$A$2:$A$9,0)),0),IFERROR(INDEX(Weekly_Model!$D$2:$D$9,MATCH(F15,Weekly_Model!$A$2:$A$9,0)),0),IFERROR(INDEX(Weekly_Model!$D$2:$D$9,MATCH(F16,Weekly_Model!$A$2:$A$9,0)),0),IFERROR(INDEX(Weekly_Model!$D$2:$D$9,MATCH(F17,Weekly_Model!$A$2:$A$9,0)),0)),IF(VLOOKUP($A14,Calendar!$A$1:$R$1377,18,0)=5,SUM(IFERROR(INDEX(Weekly_Model!$D$2:$D$9,MATCH(F14,Weekly_Model!$A$2:$A$9,0)),0),IFERROR(INDEX(Weekly_Model!$D$2:$D$9,MATCH(F15,Weekly_Model!$A$2:$A$9,0)),0),IFERROR(INDEX(Weekly_Model!$D$2:$D$9,MATCH(F16,Weekly_Model!$A$2:$A$9,0)),0),IFERROR(INDEX(Weekly_Model!$D$2:$D$9,MATCH(F17,Weekly_Model!$A$2:$A$9,0)),0),IFERROR(INDEX(Weekly_Model!$D$2:$D$9,MATCH(F18,Weekly_Model!$A$2:$A$9,0)),0)),0))))))</f>
        <v>2.3200000000000002E-2</v>
      </c>
      <c r="L14" s="27">
        <f>IF(VLOOKUP($A14,Calendar!$A$1:$R$1377,18,0)=0,0,IF(VLOOKUP($A14,Calendar!$A$1:$R$1377,18,0)=1,IFERROR(INDEX(Fortnightly_Model!$D$2:$D$15,MATCH(G14,Fortnightly_Model!$B$2:$B$15,0)),0),IF(VLOOKUP($A14,Calendar!$A$1:$R$1377,18,0)=2,SUM(IFERROR(INDEX(Fortnightly_Model!$D$2:$D$15,MATCH(G14,Fortnightly_Model!$B$2:$B$15,0)),0),IFERROR(INDEX(Fortnightly_Model!$D$2:$D$15,MATCH(G15,Fortnightly_Model!$B$2:$B$15,0)),0)),IF(VLOOKUP($A14,Calendar!$A$1:$R$1377,18,0)=3,SUM(IFERROR(INDEX(Fortnightly_Model!$D$2:$D$15,MATCH(G14,Fortnightly_Model!$B$2:$B$15,0)),0),IFERROR(INDEX(Fortnightly_Model!$D$2:$D$15,MATCH(G15,Fortnightly_Model!$B$2:$B$15,0)),0),IFERROR(INDEX(Fortnightly_Model!$D$2:$D$15,MATCH(G16,Fortnightly_Model!$B$2:$B$15,0)),0)),IF(VLOOKUP($A14,Calendar!$A$1:$R$1377,18,0)=4,SUM(IFERROR(INDEX(Fortnightly_Model!$D$2:$D$15,MATCH(G14,Fortnightly_Model!$B$2:$B$15,0)),0),IFERROR(INDEX(Fortnightly_Model!$D$2:$D$15,MATCH(G15,Fortnightly_Model!$B$2:$B$15,0)),0),IFERROR(INDEX(Fortnightly_Model!$D$2:$D$15,MATCH(G16,Fortnightly_Model!$B$2:$B$15,0)),0),IFERROR(INDEX(Fortnightly_Model!$D$2:$D$15,MATCH(G17,Fortnightly_Model!$B$2:$B$15,0)),0)),IF(VLOOKUP($A14,Calendar!$A$1:$R$1377,18,0)=5,SUM(IFERROR(INDEX(Fortnightly_Model!$D$2:$D$15,MATCH(G14,Fortnightly_Model!$B$2:$B$15,0)),0),IFERROR(INDEX(Fortnightly_Model!$D$2:$D$15,MATCH(G15,Fortnightly_Model!$B$2:$B$15,0)),0),IFERROR(INDEX(Fortnightly_Model!$D$2:$D$15,MATCH(G16,Fortnightly_Model!$B$2:$B$15,0)),0),IFERROR(INDEX(Fortnightly_Model!$D$2:$D$15,MATCH(G17,Fortnightly_Model!$B$2:$B$15,0)),0),IFERROR(INDEX(Fortnightly_Model!$D$2:$D$15,MATCH(G18,Fortnightly_Model!$B$2:$B$15,0)),0)),0))))))</f>
        <v>1.0714285499999999E-3</v>
      </c>
      <c r="M14" s="27">
        <f>IF(VLOOKUP($A14,Calendar!$A$1:$R$1377,18,0)=0,0,IF(VLOOKUP($A14,Calendar!$A$1:$R$1377,18,0)=1,IFERROR(INDEX(FourWeekly_Model!$D$2:$D$29,MATCH(H14,FourWeekly_Model!$B$2:$B$29,0)),0),IF(VLOOKUP($A14,Calendar!$A$1:$R$1377,18,0)=2,SUM(IFERROR(INDEX(FourWeekly_Model!$D$2:$D$29,MATCH(H14,FourWeekly_Model!$B$2:$B$29,0)),0),IFERROR(INDEX(FourWeekly_Model!$D$2:$D$29,MATCH(H15,FourWeekly_Model!$B$2:$B$29,0)),0)),IF(VLOOKUP($A14,Calendar!$A$1:$R$1377,18,0)=3,SUM(IFERROR(INDEX(FourWeekly_Model!$D$2:$D$29,MATCH(H14,FourWeekly_Model!$B$2:$B$29,0)),0),IFERROR(INDEX(FourWeekly_Model!$D$2:$D$29,MATCH(H15,FourWeekly_Model!$B$2:$B$29,0)),0),IFERROR(INDEX(FourWeekly_Model!$D$2:$D$29,MATCH(H16,FourWeekly_Model!$B$2:$B$29,0)),0)),IF(VLOOKUP($A14,Calendar!$A$1:$R$1377,18,0)=4,SUM(IFERROR(INDEX(FourWeekly_Model!$D$2:$D$29,MATCH(H14,FourWeekly_Model!$B$2:$B$29,0)),0),IFERROR(INDEX(FourWeekly_Model!$D$2:$D$29,MATCH(H15,FourWeekly_Model!$B$2:$B$29,0)),0),IFERROR(INDEX(FourWeekly_Model!$D$2:$D$29,MATCH(H16,FourWeekly_Model!$B$2:$B$29,0)),0),IFERROR(INDEX(FourWeekly_Model!$D$2:$D$29,MATCH(H17,FourWeekly_Model!$B$2:$B$29,0)),0)),IF(VLOOKUP($A14,Calendar!$A$1:$R$1377,18,0)=5,SUM(IFERROR(INDEX(FourWeekly_Model!$D$2:$D$29,MATCH(H14,FourWeekly_Model!$B$2:$B$29,0)),0),IFERROR(INDEX(FourWeekly_Model!$D$2:$D$29,MATCH(H15,FourWeekly_Model!$B$2:$B$29,0)),0),IFERROR(INDEX(FourWeekly_Model!$D$2:$D$29,MATCH(H16,FourWeekly_Model!$B$2:$B$29,0)),0),IFERROR(INDEX(FourWeekly_Model!$D$2:$D$29,MATCH(H17,FourWeekly_Model!$B$2:$B$29,0)),0),IFERROR(INDEX(FourWeekly_Model!$D$2:$D$29,MATCH(H18,FourWeekly_Model!$B$2:$B$29,0)),0)),0))))))</f>
        <v>3.3214289700000004E-3</v>
      </c>
      <c r="N14" s="27">
        <f>SUM(I14:M14)</f>
        <v>2.840542296502618E-2</v>
      </c>
      <c r="O14" s="28">
        <f>Population_Data!$B$8*N14</f>
        <v>860684.3158402933</v>
      </c>
      <c r="P14" s="27">
        <f>IF(VLOOKUP($A14,Calendar!$A$1:$R$1377,18,0)=0,0,IF(VLOOKUP($A14,Calendar!$A$1:$R$1377,18,0)=1,IFERROR(INDEX(Pension_Model!$D$2:$D$29,MATCH(H14,Pension_Model!$B$2:$B$29,0)),0),IF(VLOOKUP($A14,Calendar!$A$1:$R$1377,18,0)=2,SUM(IFERROR(INDEX(Pension_Model!$D$2:$D$29,MATCH(H14,Pension_Model!$B$2:$B$29,0)),0),IFERROR(INDEX(Pension_Model!$D$2:$D$29,MATCH(H15,Pension_Model!$B$2:$B$29,0)),0)),IF(VLOOKUP($A14,Calendar!$A$1:$R$1377,18,0)=3,SUM(IFERROR(INDEX(Pension_Model!$D$2:$D$29,MATCH(H14,Pension_Model!$B$2:$B$29,0)),0),IFERROR(INDEX(Pension_Model!$D$2:$D$29,MATCH(H15,Pension_Model!$B$2:$B$29,0)),0),IFERROR(INDEX(Pension_Model!$D$2:$D$29,MATCH(H16,Pension_Model!$B$2:$B$29,0)),0)),IF(VLOOKUP($A14,Calendar!$A$1:$R$1377,18,0)=4,SUM(IFERROR(INDEX(Pension_Model!$D$2:$D$29,MATCH(H14,Pension_Model!$B$2:$B$29,0)),0),IFERROR(INDEX(Pension_Model!$D$2:$D$29,MATCH(H15,Pension_Model!$B$2:$B$29,0)),0),IFERROR(INDEX(Pension_Model!$D$2:$D$29,MATCH(H16,Pension_Model!$B$2:$B$29,0)),0),IFERROR(INDEX(Pension_Model!$D$2:$D$29,MATCH(H17,Pension_Model!$B$2:$B$29,0)),0)),IF(VLOOKUP($A14,Calendar!$A$1:$R$1377,18,0)=5,SUM(IFERROR(INDEX(Pension_Model!$D$2:$D$29,MATCH(H14,Pension_Model!$B$2:$B$29,0)),0),IFERROR(INDEX(Pension_Model!$D$2:$D$29,MATCH(H15,Pension_Model!$B$2:$B$29,0)),0),IFERROR(INDEX(Pension_Model!$D$2:$D$29,MATCH(H16,Pension_Model!$B$2:$B$29,0)),0),IFERROR(INDEX(Pension_Model!$D$2:$D$29,MATCH(H17,Pension_Model!$B$2:$B$29,0)),0),IFERROR(INDEX(Pension_Model!$D$2:$D$29,MATCH(H18,Pension_Model!$B$2:$B$29,0)),0)),0))))))</f>
        <v>0.05</v>
      </c>
      <c r="Q14" s="28">
        <f>Population_Data!$B$15*P14</f>
        <v>660600</v>
      </c>
      <c r="R14" s="32"/>
      <c r="S14">
        <f t="shared" si="0"/>
        <v>1521284.3158402932</v>
      </c>
      <c r="U14" s="33">
        <f>S14/Population_Data!$B$19</f>
        <v>2.7559498475367629E-2</v>
      </c>
    </row>
    <row r="15" spans="1:21">
      <c r="A15" s="25">
        <f>Calendar!A15</f>
        <v>46248</v>
      </c>
      <c r="B15" t="str">
        <f>Calendar!L15</f>
        <v>Yes</v>
      </c>
      <c r="C15" t="str">
        <f>Calendar!O15</f>
        <v>No</v>
      </c>
      <c r="D15" t="str">
        <f>Calendar!P15</f>
        <v>No</v>
      </c>
      <c r="E15" t="str">
        <f>Calendar!Q15</f>
        <v>No</v>
      </c>
      <c r="F15" t="str">
        <f>Calendar!I15</f>
        <v>Friday</v>
      </c>
      <c r="G15">
        <f>Calendar!S15</f>
        <v>6</v>
      </c>
      <c r="H15">
        <f>Calendar!T15</f>
        <v>20</v>
      </c>
      <c r="I15" s="27">
        <f>IF(VLOOKUP(A15,Calendar!$A$1:$R$1377,18,0)=0,0,IF(VLOOKUP(A15,Calendar!$A$1:$R$1377,18,0)=1,INDEX(Monthly_Pay_Model!$A$9:$D$40,MATCH(TEXT(A15,"dd"),Monthly_Pay_Model!$C$9:$C$39,0),4),IF(VLOOKUP(A15,Calendar!$A$1:$R$1377,18,0)=2,SUM(INDEX(Monthly_Pay_Model!$A$9:$D$40,MATCH(TEXT(A15,"dd"),Monthly_Pay_Model!$C$9:$C$39,0),4),INDEX(Monthly_Pay_Model!$A$9:$D$40,MATCH(TEXT(A16,"dd"),Monthly_Pay_Model!$C$9:$C$39,0),4)),IF(VLOOKUP(A15,Calendar!$A$1:$R$1377,18,0)=3,SUM(INDEX(Monthly_Pay_Model!$A$9:$D$40,MATCH(TEXT(A15,"dd"),Monthly_Pay_Model!$C$9:$C$39,0),4),INDEX(Monthly_Pay_Model!$A$9:$D$40,MATCH(TEXT(A16,"dd"),Monthly_Pay_Model!$C$9:$C$39,0),4),INDEX(Monthly_Pay_Model!$A$9:$D$40,MATCH(TEXT(A17,"dd"),Monthly_Pay_Model!$C$9:$C$39,0),4)),IF(VLOOKUP(A15,Calendar!$A$1:$R$1377,18,0)=4,SUM(INDEX(Monthly_Pay_Model!$A$9:$D$40,MATCH(TEXT(A15,"dd"),Monthly_Pay_Model!$C$9:$C$39,0),4),INDEX(Monthly_Pay_Model!$A$9:$D$40,MATCH(TEXT(A16,"dd"),Monthly_Pay_Model!$C$9:$C$39,0),4),INDEX(Monthly_Pay_Model!$A$9:$D$40,MATCH(TEXT(A17,"dd"),Monthly_Pay_Model!$C$9:$C$39,0),4),INDEX(Monthly_Pay_Model!$A$9:$D$40,MATCH(TEXT(A18,"dd"),Monthly_Pay_Model!$C$9:$C$39,0),4)),IF(VLOOKUP(A15,Calendar!$A$1:$R$1377,18,0)=5,SUM(INDEX(Monthly_Pay_Model!$A$9:$D$40,MATCH(TEXT(A15,"dd"),Monthly_Pay_Model!$C$9:$C$39,0),4),INDEX(Monthly_Pay_Model!$A$9:$D$40,MATCH(TEXT(A16,"dd"),Monthly_Pay_Model!$C$9:$C$39,0),4),INDEX(Monthly_Pay_Model!$A$9:$D$40,MATCH(TEXT(A17,"dd"),Monthly_Pay_Model!$C$9:$C$39,0),4),INDEX(Monthly_Pay_Model!$A$9:$D$40,MATCH(TEXT(A18,"dd"),Monthly_Pay_Model!$C$9:$C$39,0),4),INDEX(Monthly_Pay_Model!$A$9:$D$40,MATCH(TEXT(A19,"dd"),Monthly_Pay_Model!$C$9:$C$39,0),4)),))))))</f>
        <v>1.5438743455497381E-2</v>
      </c>
      <c r="J15" s="33">
        <f>IF(C15="Yes",Monthly_Pay_Model!$D$2,0)
+IF(Calendar!N15="Yes",Monthly_Pay_Model!$D$3,0)
+IF(D15="Yes",Monthly_Pay_Model!$D$4,0)
+IF(E15="Yes",Monthly_Pay_Model!$D$5,0)</f>
        <v>0</v>
      </c>
      <c r="K15" s="27">
        <f>IF(VLOOKUP($A15,Calendar!$A$1:$R$1377,18,0)=0,0,IF(VLOOKUP($A15,Calendar!$A$1:$R$1377,18,0)=1,IFERROR(INDEX(Weekly_Model!$D$2:$D$9,MATCH(F15,Weekly_Model!$A$2:$A$9,0)),0),IF(VLOOKUP($A15,Calendar!$A$1:$R$1377,18,0)=2,SUM(IFERROR(INDEX(Weekly_Model!$D$2:$D$9,MATCH(F15,Weekly_Model!$A$2:$A$9,0)),0),IFERROR(INDEX(Weekly_Model!$D$2:$D$9,MATCH(F16,Weekly_Model!$A$2:$A$9,0)),0)),IF(VLOOKUP($A15,Calendar!$A$1:$R$1377,18,0)=3,SUM(IFERROR(INDEX(Weekly_Model!$D$2:$D$9,MATCH(F15,Weekly_Model!$A$2:$A$9,0)),0),IFERROR(INDEX(Weekly_Model!$D$2:$D$9,MATCH(F16,Weekly_Model!$A$2:$A$9,0)),0),IFERROR(INDEX(Weekly_Model!$D$2:$D$9,MATCH(F17,Weekly_Model!$A$2:$A$9,0)),0)),IF(VLOOKUP($A15,Calendar!$A$1:$R$1377,18,0)=4,SUM(IFERROR(INDEX(Weekly_Model!$D$2:$D$9,MATCH(F15,Weekly_Model!$A$2:$A$9,0)),0),IFERROR(INDEX(Weekly_Model!$D$2:$D$9,MATCH(F16,Weekly_Model!$A$2:$A$9,0)),0),IFERROR(INDEX(Weekly_Model!$D$2:$D$9,MATCH(F17,Weekly_Model!$A$2:$A$9,0)),0),IFERROR(INDEX(Weekly_Model!$D$2:$D$9,MATCH(F18,Weekly_Model!$A$2:$A$9,0)),0)),IF(VLOOKUP($A15,Calendar!$A$1:$R$1377,18,0)=5,SUM(IFERROR(INDEX(Weekly_Model!$D$2:$D$9,MATCH(F15,Weekly_Model!$A$2:$A$9,0)),0),IFERROR(INDEX(Weekly_Model!$D$2:$D$9,MATCH(F16,Weekly_Model!$A$2:$A$9,0)),0),IFERROR(INDEX(Weekly_Model!$D$2:$D$9,MATCH(F17,Weekly_Model!$A$2:$A$9,0)),0),IFERROR(INDEX(Weekly_Model!$D$2:$D$9,MATCH(F18,Weekly_Model!$A$2:$A$9,0)),0),IFERROR(INDEX(Weekly_Model!$D$2:$D$9,MATCH(F19,Weekly_Model!$A$2:$A$9,0)),0)),0))))))</f>
        <v>2.3200000000000002E-2</v>
      </c>
      <c r="L15" s="27">
        <f>IF(VLOOKUP($A15,Calendar!$A$1:$R$1377,18,0)=0,0,IF(VLOOKUP($A15,Calendar!$A$1:$R$1377,18,0)=1,IFERROR(INDEX(Fortnightly_Model!$D$2:$D$15,MATCH(G15,Fortnightly_Model!$B$2:$B$15,0)),0),IF(VLOOKUP($A15,Calendar!$A$1:$R$1377,18,0)=2,SUM(IFERROR(INDEX(Fortnightly_Model!$D$2:$D$15,MATCH(G15,Fortnightly_Model!$B$2:$B$15,0)),0),IFERROR(INDEX(Fortnightly_Model!$D$2:$D$15,MATCH(G16,Fortnightly_Model!$B$2:$B$15,0)),0)),IF(VLOOKUP($A15,Calendar!$A$1:$R$1377,18,0)=3,SUM(IFERROR(INDEX(Fortnightly_Model!$D$2:$D$15,MATCH(G15,Fortnightly_Model!$B$2:$B$15,0)),0),IFERROR(INDEX(Fortnightly_Model!$D$2:$D$15,MATCH(G16,Fortnightly_Model!$B$2:$B$15,0)),0),IFERROR(INDEX(Fortnightly_Model!$D$2:$D$15,MATCH(G17,Fortnightly_Model!$B$2:$B$15,0)),0)),IF(VLOOKUP($A15,Calendar!$A$1:$R$1377,18,0)=4,SUM(IFERROR(INDEX(Fortnightly_Model!$D$2:$D$15,MATCH(G15,Fortnightly_Model!$B$2:$B$15,0)),0),IFERROR(INDEX(Fortnightly_Model!$D$2:$D$15,MATCH(G16,Fortnightly_Model!$B$2:$B$15,0)),0),IFERROR(INDEX(Fortnightly_Model!$D$2:$D$15,MATCH(G17,Fortnightly_Model!$B$2:$B$15,0)),0),IFERROR(INDEX(Fortnightly_Model!$D$2:$D$15,MATCH(G18,Fortnightly_Model!$B$2:$B$15,0)),0)),IF(VLOOKUP($A15,Calendar!$A$1:$R$1377,18,0)=5,SUM(IFERROR(INDEX(Fortnightly_Model!$D$2:$D$15,MATCH(G15,Fortnightly_Model!$B$2:$B$15,0)),0),IFERROR(INDEX(Fortnightly_Model!$D$2:$D$15,MATCH(G16,Fortnightly_Model!$B$2:$B$15,0)),0),IFERROR(INDEX(Fortnightly_Model!$D$2:$D$15,MATCH(G17,Fortnightly_Model!$B$2:$B$15,0)),0),IFERROR(INDEX(Fortnightly_Model!$D$2:$D$15,MATCH(G18,Fortnightly_Model!$B$2:$B$15,0)),0),IFERROR(INDEX(Fortnightly_Model!$D$2:$D$15,MATCH(G19,Fortnightly_Model!$B$2:$B$15,0)),0)),0))))))</f>
        <v>3.2142856499999999E-3</v>
      </c>
      <c r="M15" s="27">
        <f>IF(VLOOKUP($A15,Calendar!$A$1:$R$1377,18,0)=0,0,IF(VLOOKUP($A15,Calendar!$A$1:$R$1377,18,0)=1,IFERROR(INDEX(FourWeekly_Model!$D$2:$D$29,MATCH(H15,FourWeekly_Model!$B$2:$B$29,0)),0),IF(VLOOKUP($A15,Calendar!$A$1:$R$1377,18,0)=2,SUM(IFERROR(INDEX(FourWeekly_Model!$D$2:$D$29,MATCH(H15,FourWeekly_Model!$B$2:$B$29,0)),0),IFERROR(INDEX(FourWeekly_Model!$D$2:$D$29,MATCH(H16,FourWeekly_Model!$B$2:$B$29,0)),0)),IF(VLOOKUP($A15,Calendar!$A$1:$R$1377,18,0)=3,SUM(IFERROR(INDEX(FourWeekly_Model!$D$2:$D$29,MATCH(H15,FourWeekly_Model!$B$2:$B$29,0)),0),IFERROR(INDEX(FourWeekly_Model!$D$2:$D$29,MATCH(H16,FourWeekly_Model!$B$2:$B$29,0)),0),IFERROR(INDEX(FourWeekly_Model!$D$2:$D$29,MATCH(H17,FourWeekly_Model!$B$2:$B$29,0)),0)),IF(VLOOKUP($A15,Calendar!$A$1:$R$1377,18,0)=4,SUM(IFERROR(INDEX(FourWeekly_Model!$D$2:$D$29,MATCH(H15,FourWeekly_Model!$B$2:$B$29,0)),0),IFERROR(INDEX(FourWeekly_Model!$D$2:$D$29,MATCH(H16,FourWeekly_Model!$B$2:$B$29,0)),0),IFERROR(INDEX(FourWeekly_Model!$D$2:$D$29,MATCH(H17,FourWeekly_Model!$B$2:$B$29,0)),0),IFERROR(INDEX(FourWeekly_Model!$D$2:$D$29,MATCH(H18,FourWeekly_Model!$B$2:$B$29,0)),0)),IF(VLOOKUP($A15,Calendar!$A$1:$R$1377,18,0)=5,SUM(IFERROR(INDEX(FourWeekly_Model!$D$2:$D$29,MATCH(H15,FourWeekly_Model!$B$2:$B$29,0)),0),IFERROR(INDEX(FourWeekly_Model!$D$2:$D$29,MATCH(H16,FourWeekly_Model!$B$2:$B$29,0)),0),IFERROR(INDEX(FourWeekly_Model!$D$2:$D$29,MATCH(H17,FourWeekly_Model!$B$2:$B$29,0)),0),IFERROR(INDEX(FourWeekly_Model!$D$2:$D$29,MATCH(H18,FourWeekly_Model!$B$2:$B$29,0)),0),IFERROR(INDEX(FourWeekly_Model!$D$2:$D$29,MATCH(H19,FourWeekly_Model!$B$2:$B$29,0)),0)),0))))))</f>
        <v>9.9642859800000011E-3</v>
      </c>
      <c r="N15" s="27">
        <f>SUM(I15:M15)</f>
        <v>5.1817315085497383E-2</v>
      </c>
      <c r="O15" s="28">
        <f>Population_Data!$B$8*N15</f>
        <v>1570064.6470905708</v>
      </c>
      <c r="P15" s="27">
        <f>IF(VLOOKUP($A15,Calendar!$A$1:$R$1377,18,0)=0,0,IF(VLOOKUP($A15,Calendar!$A$1:$R$1377,18,0)=1,IFERROR(INDEX(Pension_Model!$D$2:$D$29,MATCH(H15,Pension_Model!$B$2:$B$29,0)),0),IF(VLOOKUP($A15,Calendar!$A$1:$R$1377,18,0)=2,SUM(IFERROR(INDEX(Pension_Model!$D$2:$D$29,MATCH(H15,Pension_Model!$B$2:$B$29,0)),0),IFERROR(INDEX(Pension_Model!$D$2:$D$29,MATCH(H16,Pension_Model!$B$2:$B$29,0)),0)),IF(VLOOKUP($A15,Calendar!$A$1:$R$1377,18,0)=3,SUM(IFERROR(INDEX(Pension_Model!$D$2:$D$29,MATCH(H15,Pension_Model!$B$2:$B$29,0)),0),IFERROR(INDEX(Pension_Model!$D$2:$D$29,MATCH(H16,Pension_Model!$B$2:$B$29,0)),0),IFERROR(INDEX(Pension_Model!$D$2:$D$29,MATCH(H17,Pension_Model!$B$2:$B$29,0)),0)),IF(VLOOKUP($A15,Calendar!$A$1:$R$1377,18,0)=4,SUM(IFERROR(INDEX(Pension_Model!$D$2:$D$29,MATCH(H15,Pension_Model!$B$2:$B$29,0)),0),IFERROR(INDEX(Pension_Model!$D$2:$D$29,MATCH(H16,Pension_Model!$B$2:$B$29,0)),0),IFERROR(INDEX(Pension_Model!$D$2:$D$29,MATCH(H17,Pension_Model!$B$2:$B$29,0)),0),IFERROR(INDEX(Pension_Model!$D$2:$D$29,MATCH(H18,Pension_Model!$B$2:$B$29,0)),0)),IF(VLOOKUP($A15,Calendar!$A$1:$R$1377,18,0)=5,SUM(IFERROR(INDEX(Pension_Model!$D$2:$D$29,MATCH(H15,Pension_Model!$B$2:$B$29,0)),0),IFERROR(INDEX(Pension_Model!$D$2:$D$29,MATCH(H16,Pension_Model!$B$2:$B$29,0)),0),IFERROR(INDEX(Pension_Model!$D$2:$D$29,MATCH(H17,Pension_Model!$B$2:$B$29,0)),0),IFERROR(INDEX(Pension_Model!$D$2:$D$29,MATCH(H18,Pension_Model!$B$2:$B$29,0)),0),IFERROR(INDEX(Pension_Model!$D$2:$D$29,MATCH(H19,Pension_Model!$B$2:$B$29,0)),0)),0))))))</f>
        <v>0.05</v>
      </c>
      <c r="Q15" s="28">
        <f>Population_Data!$B$15*P15</f>
        <v>660600</v>
      </c>
      <c r="R15" s="32"/>
      <c r="S15">
        <f t="shared" si="0"/>
        <v>2230664.647090571</v>
      </c>
      <c r="U15" s="33">
        <f>S15/Population_Data!$B$19</f>
        <v>4.0410591432800201E-2</v>
      </c>
    </row>
    <row r="16" spans="1:21">
      <c r="A16" s="25">
        <f>Calendar!A16</f>
        <v>46249</v>
      </c>
      <c r="B16" t="str">
        <f>Calendar!L16</f>
        <v>No</v>
      </c>
      <c r="C16" t="str">
        <f>Calendar!O16</f>
        <v>No</v>
      </c>
      <c r="D16" t="str">
        <f>Calendar!P16</f>
        <v>No</v>
      </c>
      <c r="E16" t="str">
        <f>Calendar!Q16</f>
        <v>No</v>
      </c>
      <c r="F16" t="str">
        <f>Calendar!I16</f>
        <v>Saturday</v>
      </c>
      <c r="G16">
        <f>Calendar!S16</f>
        <v>7</v>
      </c>
      <c r="H16">
        <f>Calendar!T16</f>
        <v>21</v>
      </c>
      <c r="I16" s="27">
        <f>IF(VLOOKUP(A16,Calendar!$A$1:$R$1377,18,0)=0,0,IF(VLOOKUP(A16,Calendar!$A$1:$R$1377,18,0)=1,INDEX(Monthly_Pay_Model!$A$9:$D$40,MATCH(TEXT(A16,"dd"),Monthly_Pay_Model!$C$9:$C$39,0),4),IF(VLOOKUP(A16,Calendar!$A$1:$R$1377,18,0)=2,SUM(INDEX(Monthly_Pay_Model!$A$9:$D$40,MATCH(TEXT(A16,"dd"),Monthly_Pay_Model!$C$9:$C$39,0),4),INDEX(Monthly_Pay_Model!$A$9:$D$40,MATCH(TEXT(A17,"dd"),Monthly_Pay_Model!$C$9:$C$39,0),4)),IF(VLOOKUP(A16,Calendar!$A$1:$R$1377,18,0)=3,SUM(INDEX(Monthly_Pay_Model!$A$9:$D$40,MATCH(TEXT(A16,"dd"),Monthly_Pay_Model!$C$9:$C$39,0),4),INDEX(Monthly_Pay_Model!$A$9:$D$40,MATCH(TEXT(A17,"dd"),Monthly_Pay_Model!$C$9:$C$39,0),4),INDEX(Monthly_Pay_Model!$A$9:$D$40,MATCH(TEXT(A18,"dd"),Monthly_Pay_Model!$C$9:$C$39,0),4)),IF(VLOOKUP(A16,Calendar!$A$1:$R$1377,18,0)=4,SUM(INDEX(Monthly_Pay_Model!$A$9:$D$40,MATCH(TEXT(A16,"dd"),Monthly_Pay_Model!$C$9:$C$39,0),4),INDEX(Monthly_Pay_Model!$A$9:$D$40,MATCH(TEXT(A17,"dd"),Monthly_Pay_Model!$C$9:$C$39,0),4),INDEX(Monthly_Pay_Model!$A$9:$D$40,MATCH(TEXT(A18,"dd"),Monthly_Pay_Model!$C$9:$C$39,0),4),INDEX(Monthly_Pay_Model!$A$9:$D$40,MATCH(TEXT(A19,"dd"),Monthly_Pay_Model!$C$9:$C$39,0),4)),IF(VLOOKUP(A16,Calendar!$A$1:$R$1377,18,0)=5,SUM(INDEX(Monthly_Pay_Model!$A$9:$D$40,MATCH(TEXT(A16,"dd"),Monthly_Pay_Model!$C$9:$C$39,0),4),INDEX(Monthly_Pay_Model!$A$9:$D$40,MATCH(TEXT(A17,"dd"),Monthly_Pay_Model!$C$9:$C$39,0),4),INDEX(Monthly_Pay_Model!$A$9:$D$40,MATCH(TEXT(A18,"dd"),Monthly_Pay_Model!$C$9:$C$39,0),4),INDEX(Monthly_Pay_Model!$A$9:$D$40,MATCH(TEXT(A19,"dd"),Monthly_Pay_Model!$C$9:$C$39,0),4),INDEX(Monthly_Pay_Model!$A$9:$D$40,MATCH(TEXT(A20,"dd"),Monthly_Pay_Model!$C$9:$C$39,0),4)),))))))</f>
        <v>0</v>
      </c>
      <c r="J16" s="33">
        <f>IF(C16="Yes",Monthly_Pay_Model!$D$2,0)
+IF(Calendar!N16="Yes",Monthly_Pay_Model!$D$3,0)
+IF(D16="Yes",Monthly_Pay_Model!$D$4,0)
+IF(E16="Yes",Monthly_Pay_Model!$D$5,0)</f>
        <v>0</v>
      </c>
      <c r="K16" s="27">
        <f>IF(VLOOKUP($A16,Calendar!$A$1:$R$1377,18,0)=0,0,IF(VLOOKUP($A16,Calendar!$A$1:$R$1377,18,0)=1,IFERROR(INDEX(Weekly_Model!$D$2:$D$9,MATCH(F16,Weekly_Model!$A$2:$A$9,0)),0),IF(VLOOKUP($A16,Calendar!$A$1:$R$1377,18,0)=2,SUM(IFERROR(INDEX(Weekly_Model!$D$2:$D$9,MATCH(F16,Weekly_Model!$A$2:$A$9,0)),0),IFERROR(INDEX(Weekly_Model!$D$2:$D$9,MATCH(F17,Weekly_Model!$A$2:$A$9,0)),0)),IF(VLOOKUP($A16,Calendar!$A$1:$R$1377,18,0)=3,SUM(IFERROR(INDEX(Weekly_Model!$D$2:$D$9,MATCH(F16,Weekly_Model!$A$2:$A$9,0)),0),IFERROR(INDEX(Weekly_Model!$D$2:$D$9,MATCH(F17,Weekly_Model!$A$2:$A$9,0)),0),IFERROR(INDEX(Weekly_Model!$D$2:$D$9,MATCH(F18,Weekly_Model!$A$2:$A$9,0)),0)),IF(VLOOKUP($A16,Calendar!$A$1:$R$1377,18,0)=4,SUM(IFERROR(INDEX(Weekly_Model!$D$2:$D$9,MATCH(F16,Weekly_Model!$A$2:$A$9,0)),0),IFERROR(INDEX(Weekly_Model!$D$2:$D$9,MATCH(F17,Weekly_Model!$A$2:$A$9,0)),0),IFERROR(INDEX(Weekly_Model!$D$2:$D$9,MATCH(F18,Weekly_Model!$A$2:$A$9,0)),0),IFERROR(INDEX(Weekly_Model!$D$2:$D$9,MATCH(F19,Weekly_Model!$A$2:$A$9,0)),0)),IF(VLOOKUP($A16,Calendar!$A$1:$R$1377,18,0)=5,SUM(IFERROR(INDEX(Weekly_Model!$D$2:$D$9,MATCH(F16,Weekly_Model!$A$2:$A$9,0)),0),IFERROR(INDEX(Weekly_Model!$D$2:$D$9,MATCH(F17,Weekly_Model!$A$2:$A$9,0)),0),IFERROR(INDEX(Weekly_Model!$D$2:$D$9,MATCH(F18,Weekly_Model!$A$2:$A$9,0)),0),IFERROR(INDEX(Weekly_Model!$D$2:$D$9,MATCH(F19,Weekly_Model!$A$2:$A$9,0)),0),IFERROR(INDEX(Weekly_Model!$D$2:$D$9,MATCH(F20,Weekly_Model!$A$2:$A$9,0)),0)),0))))))</f>
        <v>0</v>
      </c>
      <c r="L16" s="27">
        <f>IF(VLOOKUP($A16,Calendar!$A$1:$R$1377,18,0)=0,0,IF(VLOOKUP($A16,Calendar!$A$1:$R$1377,18,0)=1,IFERROR(INDEX(Fortnightly_Model!$D$2:$D$15,MATCH(G16,Fortnightly_Model!$B$2:$B$15,0)),0),IF(VLOOKUP($A16,Calendar!$A$1:$R$1377,18,0)=2,SUM(IFERROR(INDEX(Fortnightly_Model!$D$2:$D$15,MATCH(G16,Fortnightly_Model!$B$2:$B$15,0)),0),IFERROR(INDEX(Fortnightly_Model!$D$2:$D$15,MATCH(G17,Fortnightly_Model!$B$2:$B$15,0)),0)),IF(VLOOKUP($A16,Calendar!$A$1:$R$1377,18,0)=3,SUM(IFERROR(INDEX(Fortnightly_Model!$D$2:$D$15,MATCH(G16,Fortnightly_Model!$B$2:$B$15,0)),0),IFERROR(INDEX(Fortnightly_Model!$D$2:$D$15,MATCH(G17,Fortnightly_Model!$B$2:$B$15,0)),0),IFERROR(INDEX(Fortnightly_Model!$D$2:$D$15,MATCH(G18,Fortnightly_Model!$B$2:$B$15,0)),0)),IF(VLOOKUP($A16,Calendar!$A$1:$R$1377,18,0)=4,SUM(IFERROR(INDEX(Fortnightly_Model!$D$2:$D$15,MATCH(G16,Fortnightly_Model!$B$2:$B$15,0)),0),IFERROR(INDEX(Fortnightly_Model!$D$2:$D$15,MATCH(G17,Fortnightly_Model!$B$2:$B$15,0)),0),IFERROR(INDEX(Fortnightly_Model!$D$2:$D$15,MATCH(G18,Fortnightly_Model!$B$2:$B$15,0)),0),IFERROR(INDEX(Fortnightly_Model!$D$2:$D$15,MATCH(G19,Fortnightly_Model!$B$2:$B$15,0)),0)),IF(VLOOKUP($A16,Calendar!$A$1:$R$1377,18,0)=5,SUM(IFERROR(INDEX(Fortnightly_Model!$D$2:$D$15,MATCH(G16,Fortnightly_Model!$B$2:$B$15,0)),0),IFERROR(INDEX(Fortnightly_Model!$D$2:$D$15,MATCH(G17,Fortnightly_Model!$B$2:$B$15,0)),0),IFERROR(INDEX(Fortnightly_Model!$D$2:$D$15,MATCH(G18,Fortnightly_Model!$B$2:$B$15,0)),0),IFERROR(INDEX(Fortnightly_Model!$D$2:$D$15,MATCH(G19,Fortnightly_Model!$B$2:$B$15,0)),0),IFERROR(INDEX(Fortnightly_Model!$D$2:$D$15,MATCH(G20,Fortnightly_Model!$B$2:$B$15,0)),0)),0))))))</f>
        <v>0</v>
      </c>
      <c r="M16" s="27">
        <f>IF(VLOOKUP($A16,Calendar!$A$1:$R$1377,18,0)=0,0,IF(VLOOKUP($A16,Calendar!$A$1:$R$1377,18,0)=1,IFERROR(INDEX(FourWeekly_Model!$D$2:$D$29,MATCH(H16,FourWeekly_Model!$B$2:$B$29,0)),0),IF(VLOOKUP($A16,Calendar!$A$1:$R$1377,18,0)=2,SUM(IFERROR(INDEX(FourWeekly_Model!$D$2:$D$29,MATCH(H16,FourWeekly_Model!$B$2:$B$29,0)),0),IFERROR(INDEX(FourWeekly_Model!$D$2:$D$29,MATCH(H17,FourWeekly_Model!$B$2:$B$29,0)),0)),IF(VLOOKUP($A16,Calendar!$A$1:$R$1377,18,0)=3,SUM(IFERROR(INDEX(FourWeekly_Model!$D$2:$D$29,MATCH(H16,FourWeekly_Model!$B$2:$B$29,0)),0),IFERROR(INDEX(FourWeekly_Model!$D$2:$D$29,MATCH(H17,FourWeekly_Model!$B$2:$B$29,0)),0),IFERROR(INDEX(FourWeekly_Model!$D$2:$D$29,MATCH(H18,FourWeekly_Model!$B$2:$B$29,0)),0)),IF(VLOOKUP($A16,Calendar!$A$1:$R$1377,18,0)=4,SUM(IFERROR(INDEX(FourWeekly_Model!$D$2:$D$29,MATCH(H16,FourWeekly_Model!$B$2:$B$29,0)),0),IFERROR(INDEX(FourWeekly_Model!$D$2:$D$29,MATCH(H17,FourWeekly_Model!$B$2:$B$29,0)),0),IFERROR(INDEX(FourWeekly_Model!$D$2:$D$29,MATCH(H18,FourWeekly_Model!$B$2:$B$29,0)),0),IFERROR(INDEX(FourWeekly_Model!$D$2:$D$29,MATCH(H19,FourWeekly_Model!$B$2:$B$29,0)),0)),IF(VLOOKUP($A16,Calendar!$A$1:$R$1377,18,0)=5,SUM(IFERROR(INDEX(FourWeekly_Model!$D$2:$D$29,MATCH(H16,FourWeekly_Model!$B$2:$B$29,0)),0),IFERROR(INDEX(FourWeekly_Model!$D$2:$D$29,MATCH(H17,FourWeekly_Model!$B$2:$B$29,0)),0),IFERROR(INDEX(FourWeekly_Model!$D$2:$D$29,MATCH(H18,FourWeekly_Model!$B$2:$B$29,0)),0),IFERROR(INDEX(FourWeekly_Model!$D$2:$D$29,MATCH(H19,FourWeekly_Model!$B$2:$B$29,0)),0),IFERROR(INDEX(FourWeekly_Model!$D$2:$D$29,MATCH(H20,FourWeekly_Model!$B$2:$B$29,0)),0)),0))))))</f>
        <v>0</v>
      </c>
      <c r="N16" s="27">
        <f>SUM(I16:M16)</f>
        <v>0</v>
      </c>
      <c r="O16" s="28">
        <f>Population_Data!$B$8*N16</f>
        <v>0</v>
      </c>
      <c r="P16" s="27">
        <f>IF(VLOOKUP($A16,Calendar!$A$1:$R$1377,18,0)=0,0,IF(VLOOKUP($A16,Calendar!$A$1:$R$1377,18,0)=1,IFERROR(INDEX(Pension_Model!$D$2:$D$29,MATCH(H16,Pension_Model!$B$2:$B$29,0)),0),IF(VLOOKUP($A16,Calendar!$A$1:$R$1377,18,0)=2,SUM(IFERROR(INDEX(Pension_Model!$D$2:$D$29,MATCH(H16,Pension_Model!$B$2:$B$29,0)),0),IFERROR(INDEX(Pension_Model!$D$2:$D$29,MATCH(H17,Pension_Model!$B$2:$B$29,0)),0)),IF(VLOOKUP($A16,Calendar!$A$1:$R$1377,18,0)=3,SUM(IFERROR(INDEX(Pension_Model!$D$2:$D$29,MATCH(H16,Pension_Model!$B$2:$B$29,0)),0),IFERROR(INDEX(Pension_Model!$D$2:$D$29,MATCH(H17,Pension_Model!$B$2:$B$29,0)),0),IFERROR(INDEX(Pension_Model!$D$2:$D$29,MATCH(H18,Pension_Model!$B$2:$B$29,0)),0)),IF(VLOOKUP($A16,Calendar!$A$1:$R$1377,18,0)=4,SUM(IFERROR(INDEX(Pension_Model!$D$2:$D$29,MATCH(H16,Pension_Model!$B$2:$B$29,0)),0),IFERROR(INDEX(Pension_Model!$D$2:$D$29,MATCH(H17,Pension_Model!$B$2:$B$29,0)),0),IFERROR(INDEX(Pension_Model!$D$2:$D$29,MATCH(H18,Pension_Model!$B$2:$B$29,0)),0),IFERROR(INDEX(Pension_Model!$D$2:$D$29,MATCH(H19,Pension_Model!$B$2:$B$29,0)),0)),IF(VLOOKUP($A16,Calendar!$A$1:$R$1377,18,0)=5,SUM(IFERROR(INDEX(Pension_Model!$D$2:$D$29,MATCH(H16,Pension_Model!$B$2:$B$29,0)),0),IFERROR(INDEX(Pension_Model!$D$2:$D$29,MATCH(H17,Pension_Model!$B$2:$B$29,0)),0),IFERROR(INDEX(Pension_Model!$D$2:$D$29,MATCH(H18,Pension_Model!$B$2:$B$29,0)),0),IFERROR(INDEX(Pension_Model!$D$2:$D$29,MATCH(H19,Pension_Model!$B$2:$B$29,0)),0),IFERROR(INDEX(Pension_Model!$D$2:$D$29,MATCH(H20,Pension_Model!$B$2:$B$29,0)),0)),0))))))</f>
        <v>0</v>
      </c>
      <c r="Q16" s="28">
        <f>Population_Data!$B$15*P16</f>
        <v>0</v>
      </c>
      <c r="R16" s="32"/>
      <c r="S16">
        <f t="shared" si="0"/>
        <v>0</v>
      </c>
      <c r="U16" s="33">
        <f>S16/Population_Data!$B$19</f>
        <v>0</v>
      </c>
    </row>
    <row r="17" spans="1:21">
      <c r="A17" s="25">
        <f>Calendar!A17</f>
        <v>46250</v>
      </c>
      <c r="B17" t="str">
        <f>Calendar!L17</f>
        <v>No</v>
      </c>
      <c r="C17" t="str">
        <f>Calendar!O17</f>
        <v>No</v>
      </c>
      <c r="D17" t="str">
        <f>Calendar!P17</f>
        <v>No</v>
      </c>
      <c r="E17" t="str">
        <f>Calendar!Q17</f>
        <v>No</v>
      </c>
      <c r="F17" t="str">
        <f>Calendar!I17</f>
        <v>Sunday</v>
      </c>
      <c r="G17">
        <f>Calendar!S17</f>
        <v>8</v>
      </c>
      <c r="H17">
        <f>Calendar!T17</f>
        <v>22</v>
      </c>
      <c r="I17" s="27">
        <f>IF(VLOOKUP(A17,Calendar!$A$1:$R$1377,18,0)=0,0,IF(VLOOKUP(A17,Calendar!$A$1:$R$1377,18,0)=1,INDEX(Monthly_Pay_Model!$A$9:$D$40,MATCH(TEXT(A17,"dd"),Monthly_Pay_Model!$C$9:$C$39,0),4),IF(VLOOKUP(A17,Calendar!$A$1:$R$1377,18,0)=2,SUM(INDEX(Monthly_Pay_Model!$A$9:$D$40,MATCH(TEXT(A17,"dd"),Monthly_Pay_Model!$C$9:$C$39,0),4),INDEX(Monthly_Pay_Model!$A$9:$D$40,MATCH(TEXT(A18,"dd"),Monthly_Pay_Model!$C$9:$C$39,0),4)),IF(VLOOKUP(A17,Calendar!$A$1:$R$1377,18,0)=3,SUM(INDEX(Monthly_Pay_Model!$A$9:$D$40,MATCH(TEXT(A17,"dd"),Monthly_Pay_Model!$C$9:$C$39,0),4),INDEX(Monthly_Pay_Model!$A$9:$D$40,MATCH(TEXT(A18,"dd"),Monthly_Pay_Model!$C$9:$C$39,0),4),INDEX(Monthly_Pay_Model!$A$9:$D$40,MATCH(TEXT(A19,"dd"),Monthly_Pay_Model!$C$9:$C$39,0),4)),IF(VLOOKUP(A17,Calendar!$A$1:$R$1377,18,0)=4,SUM(INDEX(Monthly_Pay_Model!$A$9:$D$40,MATCH(TEXT(A17,"dd"),Monthly_Pay_Model!$C$9:$C$39,0),4),INDEX(Monthly_Pay_Model!$A$9:$D$40,MATCH(TEXT(A18,"dd"),Monthly_Pay_Model!$C$9:$C$39,0),4),INDEX(Monthly_Pay_Model!$A$9:$D$40,MATCH(TEXT(A19,"dd"),Monthly_Pay_Model!$C$9:$C$39,0),4),INDEX(Monthly_Pay_Model!$A$9:$D$40,MATCH(TEXT(A20,"dd"),Monthly_Pay_Model!$C$9:$C$39,0),4)),IF(VLOOKUP(A17,Calendar!$A$1:$R$1377,18,0)=5,SUM(INDEX(Monthly_Pay_Model!$A$9:$D$40,MATCH(TEXT(A17,"dd"),Monthly_Pay_Model!$C$9:$C$39,0),4),INDEX(Monthly_Pay_Model!$A$9:$D$40,MATCH(TEXT(A18,"dd"),Monthly_Pay_Model!$C$9:$C$39,0),4),INDEX(Monthly_Pay_Model!$A$9:$D$40,MATCH(TEXT(A19,"dd"),Monthly_Pay_Model!$C$9:$C$39,0),4),INDEX(Monthly_Pay_Model!$A$9:$D$40,MATCH(TEXT(A20,"dd"),Monthly_Pay_Model!$C$9:$C$39,0),4),INDEX(Monthly_Pay_Model!$A$9:$D$40,MATCH(TEXT(A21,"dd"),Monthly_Pay_Model!$C$9:$C$39,0),4)),))))))</f>
        <v>0</v>
      </c>
      <c r="J17" s="33">
        <f>IF(C17="Yes",Monthly_Pay_Model!$D$2,0)
+IF(Calendar!N17="Yes",Monthly_Pay_Model!$D$3,0)
+IF(D17="Yes",Monthly_Pay_Model!$D$4,0)
+IF(E17="Yes",Monthly_Pay_Model!$D$5,0)</f>
        <v>0</v>
      </c>
      <c r="K17" s="27">
        <f>IF(VLOOKUP($A17,Calendar!$A$1:$R$1377,18,0)=0,0,IF(VLOOKUP($A17,Calendar!$A$1:$R$1377,18,0)=1,IFERROR(INDEX(Weekly_Model!$D$2:$D$9,MATCH(F17,Weekly_Model!$A$2:$A$9,0)),0),IF(VLOOKUP($A17,Calendar!$A$1:$R$1377,18,0)=2,SUM(IFERROR(INDEX(Weekly_Model!$D$2:$D$9,MATCH(F17,Weekly_Model!$A$2:$A$9,0)),0),IFERROR(INDEX(Weekly_Model!$D$2:$D$9,MATCH(F18,Weekly_Model!$A$2:$A$9,0)),0)),IF(VLOOKUP($A17,Calendar!$A$1:$R$1377,18,0)=3,SUM(IFERROR(INDEX(Weekly_Model!$D$2:$D$9,MATCH(F17,Weekly_Model!$A$2:$A$9,0)),0),IFERROR(INDEX(Weekly_Model!$D$2:$D$9,MATCH(F18,Weekly_Model!$A$2:$A$9,0)),0),IFERROR(INDEX(Weekly_Model!$D$2:$D$9,MATCH(F19,Weekly_Model!$A$2:$A$9,0)),0)),IF(VLOOKUP($A17,Calendar!$A$1:$R$1377,18,0)=4,SUM(IFERROR(INDEX(Weekly_Model!$D$2:$D$9,MATCH(F17,Weekly_Model!$A$2:$A$9,0)),0),IFERROR(INDEX(Weekly_Model!$D$2:$D$9,MATCH(F18,Weekly_Model!$A$2:$A$9,0)),0),IFERROR(INDEX(Weekly_Model!$D$2:$D$9,MATCH(F19,Weekly_Model!$A$2:$A$9,0)),0),IFERROR(INDEX(Weekly_Model!$D$2:$D$9,MATCH(F20,Weekly_Model!$A$2:$A$9,0)),0)),IF(VLOOKUP($A17,Calendar!$A$1:$R$1377,18,0)=5,SUM(IFERROR(INDEX(Weekly_Model!$D$2:$D$9,MATCH(F17,Weekly_Model!$A$2:$A$9,0)),0),IFERROR(INDEX(Weekly_Model!$D$2:$D$9,MATCH(F18,Weekly_Model!$A$2:$A$9,0)),0),IFERROR(INDEX(Weekly_Model!$D$2:$D$9,MATCH(F19,Weekly_Model!$A$2:$A$9,0)),0),IFERROR(INDEX(Weekly_Model!$D$2:$D$9,MATCH(F20,Weekly_Model!$A$2:$A$9,0)),0),IFERROR(INDEX(Weekly_Model!$D$2:$D$9,MATCH(F21,Weekly_Model!$A$2:$A$9,0)),0)),0))))))</f>
        <v>0</v>
      </c>
      <c r="L17" s="27">
        <f>IF(VLOOKUP($A17,Calendar!$A$1:$R$1377,18,0)=0,0,IF(VLOOKUP($A17,Calendar!$A$1:$R$1377,18,0)=1,IFERROR(INDEX(Fortnightly_Model!$D$2:$D$15,MATCH(G17,Fortnightly_Model!$B$2:$B$15,0)),0),IF(VLOOKUP($A17,Calendar!$A$1:$R$1377,18,0)=2,SUM(IFERROR(INDEX(Fortnightly_Model!$D$2:$D$15,MATCH(G17,Fortnightly_Model!$B$2:$B$15,0)),0),IFERROR(INDEX(Fortnightly_Model!$D$2:$D$15,MATCH(G18,Fortnightly_Model!$B$2:$B$15,0)),0)),IF(VLOOKUP($A17,Calendar!$A$1:$R$1377,18,0)=3,SUM(IFERROR(INDEX(Fortnightly_Model!$D$2:$D$15,MATCH(G17,Fortnightly_Model!$B$2:$B$15,0)),0),IFERROR(INDEX(Fortnightly_Model!$D$2:$D$15,MATCH(G18,Fortnightly_Model!$B$2:$B$15,0)),0),IFERROR(INDEX(Fortnightly_Model!$D$2:$D$15,MATCH(G19,Fortnightly_Model!$B$2:$B$15,0)),0)),IF(VLOOKUP($A17,Calendar!$A$1:$R$1377,18,0)=4,SUM(IFERROR(INDEX(Fortnightly_Model!$D$2:$D$15,MATCH(G17,Fortnightly_Model!$B$2:$B$15,0)),0),IFERROR(INDEX(Fortnightly_Model!$D$2:$D$15,MATCH(G18,Fortnightly_Model!$B$2:$B$15,0)),0),IFERROR(INDEX(Fortnightly_Model!$D$2:$D$15,MATCH(G19,Fortnightly_Model!$B$2:$B$15,0)),0),IFERROR(INDEX(Fortnightly_Model!$D$2:$D$15,MATCH(G20,Fortnightly_Model!$B$2:$B$15,0)),0)),IF(VLOOKUP($A17,Calendar!$A$1:$R$1377,18,0)=5,SUM(IFERROR(INDEX(Fortnightly_Model!$D$2:$D$15,MATCH(G17,Fortnightly_Model!$B$2:$B$15,0)),0),IFERROR(INDEX(Fortnightly_Model!$D$2:$D$15,MATCH(G18,Fortnightly_Model!$B$2:$B$15,0)),0),IFERROR(INDEX(Fortnightly_Model!$D$2:$D$15,MATCH(G19,Fortnightly_Model!$B$2:$B$15,0)),0),IFERROR(INDEX(Fortnightly_Model!$D$2:$D$15,MATCH(G20,Fortnightly_Model!$B$2:$B$15,0)),0),IFERROR(INDEX(Fortnightly_Model!$D$2:$D$15,MATCH(G21,Fortnightly_Model!$B$2:$B$15,0)),0)),0))))))</f>
        <v>0</v>
      </c>
      <c r="M17" s="27">
        <f>IF(VLOOKUP($A17,Calendar!$A$1:$R$1377,18,0)=0,0,IF(VLOOKUP($A17,Calendar!$A$1:$R$1377,18,0)=1,IFERROR(INDEX(FourWeekly_Model!$D$2:$D$29,MATCH(H17,FourWeekly_Model!$B$2:$B$29,0)),0),IF(VLOOKUP($A17,Calendar!$A$1:$R$1377,18,0)=2,SUM(IFERROR(INDEX(FourWeekly_Model!$D$2:$D$29,MATCH(H17,FourWeekly_Model!$B$2:$B$29,0)),0),IFERROR(INDEX(FourWeekly_Model!$D$2:$D$29,MATCH(H18,FourWeekly_Model!$B$2:$B$29,0)),0)),IF(VLOOKUP($A17,Calendar!$A$1:$R$1377,18,0)=3,SUM(IFERROR(INDEX(FourWeekly_Model!$D$2:$D$29,MATCH(H17,FourWeekly_Model!$B$2:$B$29,0)),0),IFERROR(INDEX(FourWeekly_Model!$D$2:$D$29,MATCH(H18,FourWeekly_Model!$B$2:$B$29,0)),0),IFERROR(INDEX(FourWeekly_Model!$D$2:$D$29,MATCH(H19,FourWeekly_Model!$B$2:$B$29,0)),0)),IF(VLOOKUP($A17,Calendar!$A$1:$R$1377,18,0)=4,SUM(IFERROR(INDEX(FourWeekly_Model!$D$2:$D$29,MATCH(H17,FourWeekly_Model!$B$2:$B$29,0)),0),IFERROR(INDEX(FourWeekly_Model!$D$2:$D$29,MATCH(H18,FourWeekly_Model!$B$2:$B$29,0)),0),IFERROR(INDEX(FourWeekly_Model!$D$2:$D$29,MATCH(H19,FourWeekly_Model!$B$2:$B$29,0)),0),IFERROR(INDEX(FourWeekly_Model!$D$2:$D$29,MATCH(H20,FourWeekly_Model!$B$2:$B$29,0)),0)),IF(VLOOKUP($A17,Calendar!$A$1:$R$1377,18,0)=5,SUM(IFERROR(INDEX(FourWeekly_Model!$D$2:$D$29,MATCH(H17,FourWeekly_Model!$B$2:$B$29,0)),0),IFERROR(INDEX(FourWeekly_Model!$D$2:$D$29,MATCH(H18,FourWeekly_Model!$B$2:$B$29,0)),0),IFERROR(INDEX(FourWeekly_Model!$D$2:$D$29,MATCH(H19,FourWeekly_Model!$B$2:$B$29,0)),0),IFERROR(INDEX(FourWeekly_Model!$D$2:$D$29,MATCH(H20,FourWeekly_Model!$B$2:$B$29,0)),0),IFERROR(INDEX(FourWeekly_Model!$D$2:$D$29,MATCH(H21,FourWeekly_Model!$B$2:$B$29,0)),0)),0))))))</f>
        <v>0</v>
      </c>
      <c r="N17" s="27">
        <f>SUM(I17:M17)</f>
        <v>0</v>
      </c>
      <c r="O17" s="28">
        <f>Population_Data!$B$8*N17</f>
        <v>0</v>
      </c>
      <c r="P17" s="27">
        <f>IF(VLOOKUP($A17,Calendar!$A$1:$R$1377,18,0)=0,0,IF(VLOOKUP($A17,Calendar!$A$1:$R$1377,18,0)=1,IFERROR(INDEX(Pension_Model!$D$2:$D$29,MATCH(H17,Pension_Model!$B$2:$B$29,0)),0),IF(VLOOKUP($A17,Calendar!$A$1:$R$1377,18,0)=2,SUM(IFERROR(INDEX(Pension_Model!$D$2:$D$29,MATCH(H17,Pension_Model!$B$2:$B$29,0)),0),IFERROR(INDEX(Pension_Model!$D$2:$D$29,MATCH(H18,Pension_Model!$B$2:$B$29,0)),0)),IF(VLOOKUP($A17,Calendar!$A$1:$R$1377,18,0)=3,SUM(IFERROR(INDEX(Pension_Model!$D$2:$D$29,MATCH(H17,Pension_Model!$B$2:$B$29,0)),0),IFERROR(INDEX(Pension_Model!$D$2:$D$29,MATCH(H18,Pension_Model!$B$2:$B$29,0)),0),IFERROR(INDEX(Pension_Model!$D$2:$D$29,MATCH(H19,Pension_Model!$B$2:$B$29,0)),0)),IF(VLOOKUP($A17,Calendar!$A$1:$R$1377,18,0)=4,SUM(IFERROR(INDEX(Pension_Model!$D$2:$D$29,MATCH(H17,Pension_Model!$B$2:$B$29,0)),0),IFERROR(INDEX(Pension_Model!$D$2:$D$29,MATCH(H18,Pension_Model!$B$2:$B$29,0)),0),IFERROR(INDEX(Pension_Model!$D$2:$D$29,MATCH(H19,Pension_Model!$B$2:$B$29,0)),0),IFERROR(INDEX(Pension_Model!$D$2:$D$29,MATCH(H20,Pension_Model!$B$2:$B$29,0)),0)),IF(VLOOKUP($A17,Calendar!$A$1:$R$1377,18,0)=5,SUM(IFERROR(INDEX(Pension_Model!$D$2:$D$29,MATCH(H17,Pension_Model!$B$2:$B$29,0)),0),IFERROR(INDEX(Pension_Model!$D$2:$D$29,MATCH(H18,Pension_Model!$B$2:$B$29,0)),0),IFERROR(INDEX(Pension_Model!$D$2:$D$29,MATCH(H19,Pension_Model!$B$2:$B$29,0)),0),IFERROR(INDEX(Pension_Model!$D$2:$D$29,MATCH(H20,Pension_Model!$B$2:$B$29,0)),0),IFERROR(INDEX(Pension_Model!$D$2:$D$29,MATCH(H21,Pension_Model!$B$2:$B$29,0)),0)),0))))))</f>
        <v>0</v>
      </c>
      <c r="Q17" s="28">
        <f>Population_Data!$B$15*P17</f>
        <v>0</v>
      </c>
      <c r="R17" s="32"/>
      <c r="S17">
        <f t="shared" si="0"/>
        <v>0</v>
      </c>
      <c r="U17" s="33">
        <f>S17/Population_Data!$B$19</f>
        <v>0</v>
      </c>
    </row>
    <row r="18" spans="1:21">
      <c r="A18" s="25">
        <f>Calendar!A18</f>
        <v>46251</v>
      </c>
      <c r="B18" t="str">
        <f>Calendar!L18</f>
        <v>Yes</v>
      </c>
      <c r="C18" t="str">
        <f>Calendar!O18</f>
        <v>No</v>
      </c>
      <c r="D18" t="str">
        <f>Calendar!P18</f>
        <v>No</v>
      </c>
      <c r="E18" t="str">
        <f>Calendar!Q18</f>
        <v>No</v>
      </c>
      <c r="F18" t="str">
        <f>Calendar!I18</f>
        <v>Monday</v>
      </c>
      <c r="G18">
        <f>Calendar!S18</f>
        <v>9</v>
      </c>
      <c r="H18">
        <f>Calendar!T18</f>
        <v>23</v>
      </c>
      <c r="I18" s="27">
        <f>IF(VLOOKUP(A18,Calendar!$A$1:$R$1377,18,0)=0,0,IF(VLOOKUP(A18,Calendar!$A$1:$R$1377,18,0)=1,INDEX(Monthly_Pay_Model!$A$9:$D$40,MATCH(TEXT(A18,"dd"),Monthly_Pay_Model!$C$9:$C$39,0),4),IF(VLOOKUP(A18,Calendar!$A$1:$R$1377,18,0)=2,SUM(INDEX(Monthly_Pay_Model!$A$9:$D$40,MATCH(TEXT(A18,"dd"),Monthly_Pay_Model!$C$9:$C$39,0),4),INDEX(Monthly_Pay_Model!$A$9:$D$40,MATCH(TEXT(A19,"dd"),Monthly_Pay_Model!$C$9:$C$39,0),4)),IF(VLOOKUP(A18,Calendar!$A$1:$R$1377,18,0)=3,SUM(INDEX(Monthly_Pay_Model!$A$9:$D$40,MATCH(TEXT(A18,"dd"),Monthly_Pay_Model!$C$9:$C$39,0),4),INDEX(Monthly_Pay_Model!$A$9:$D$40,MATCH(TEXT(A19,"dd"),Monthly_Pay_Model!$C$9:$C$39,0),4),INDEX(Monthly_Pay_Model!$A$9:$D$40,MATCH(TEXT(A20,"dd"),Monthly_Pay_Model!$C$9:$C$39,0),4)),IF(VLOOKUP(A18,Calendar!$A$1:$R$1377,18,0)=4,SUM(INDEX(Monthly_Pay_Model!$A$9:$D$40,MATCH(TEXT(A18,"dd"),Monthly_Pay_Model!$C$9:$C$39,0),4),INDEX(Monthly_Pay_Model!$A$9:$D$40,MATCH(TEXT(A19,"dd"),Monthly_Pay_Model!$C$9:$C$39,0),4),INDEX(Monthly_Pay_Model!$A$9:$D$40,MATCH(TEXT(A20,"dd"),Monthly_Pay_Model!$C$9:$C$39,0),4),INDEX(Monthly_Pay_Model!$A$9:$D$40,MATCH(TEXT(A21,"dd"),Monthly_Pay_Model!$C$9:$C$39,0),4)),IF(VLOOKUP(A18,Calendar!$A$1:$R$1377,18,0)=5,SUM(INDEX(Monthly_Pay_Model!$A$9:$D$40,MATCH(TEXT(A18,"dd"),Monthly_Pay_Model!$C$9:$C$39,0),4),INDEX(Monthly_Pay_Model!$A$9:$D$40,MATCH(TEXT(A19,"dd"),Monthly_Pay_Model!$C$9:$C$39,0),4),INDEX(Monthly_Pay_Model!$A$9:$D$40,MATCH(TEXT(A20,"dd"),Monthly_Pay_Model!$C$9:$C$39,0),4),INDEX(Monthly_Pay_Model!$A$9:$D$40,MATCH(TEXT(A21,"dd"),Monthly_Pay_Model!$C$9:$C$39,0),4),INDEX(Monthly_Pay_Model!$A$9:$D$40,MATCH(TEXT(A22,"dd"),Monthly_Pay_Model!$C$9:$C$39,0),4)),))))))</f>
        <v>8.1256544502617792E-4</v>
      </c>
      <c r="J18" s="33">
        <f>IF(C18="Yes",Monthly_Pay_Model!$D$2,0)
+IF(Calendar!N18="Yes",Monthly_Pay_Model!$D$3,0)
+IF(D18="Yes",Monthly_Pay_Model!$D$4,0)
+IF(E18="Yes",Monthly_Pay_Model!$D$5,0)</f>
        <v>0</v>
      </c>
      <c r="K18" s="27">
        <f>IF(VLOOKUP($A18,Calendar!$A$1:$R$1377,18,0)=0,0,IF(VLOOKUP($A18,Calendar!$A$1:$R$1377,18,0)=1,IFERROR(INDEX(Weekly_Model!$D$2:$D$9,MATCH(F18,Weekly_Model!$A$2:$A$9,0)),0),IF(VLOOKUP($A18,Calendar!$A$1:$R$1377,18,0)=2,SUM(IFERROR(INDEX(Weekly_Model!$D$2:$D$9,MATCH(F18,Weekly_Model!$A$2:$A$9,0)),0),IFERROR(INDEX(Weekly_Model!$D$2:$D$9,MATCH(F19,Weekly_Model!$A$2:$A$9,0)),0)),IF(VLOOKUP($A18,Calendar!$A$1:$R$1377,18,0)=3,SUM(IFERROR(INDEX(Weekly_Model!$D$2:$D$9,MATCH(F18,Weekly_Model!$A$2:$A$9,0)),0),IFERROR(INDEX(Weekly_Model!$D$2:$D$9,MATCH(F19,Weekly_Model!$A$2:$A$9,0)),0),IFERROR(INDEX(Weekly_Model!$D$2:$D$9,MATCH(F20,Weekly_Model!$A$2:$A$9,0)),0)),IF(VLOOKUP($A18,Calendar!$A$1:$R$1377,18,0)=4,SUM(IFERROR(INDEX(Weekly_Model!$D$2:$D$9,MATCH(F18,Weekly_Model!$A$2:$A$9,0)),0),IFERROR(INDEX(Weekly_Model!$D$2:$D$9,MATCH(F19,Weekly_Model!$A$2:$A$9,0)),0),IFERROR(INDEX(Weekly_Model!$D$2:$D$9,MATCH(F20,Weekly_Model!$A$2:$A$9,0)),0),IFERROR(INDEX(Weekly_Model!$D$2:$D$9,MATCH(F21,Weekly_Model!$A$2:$A$9,0)),0)),IF(VLOOKUP($A18,Calendar!$A$1:$R$1377,18,0)=5,SUM(IFERROR(INDEX(Weekly_Model!$D$2:$D$9,MATCH(F18,Weekly_Model!$A$2:$A$9,0)),0),IFERROR(INDEX(Weekly_Model!$D$2:$D$9,MATCH(F19,Weekly_Model!$A$2:$A$9,0)),0),IFERROR(INDEX(Weekly_Model!$D$2:$D$9,MATCH(F20,Weekly_Model!$A$2:$A$9,0)),0),IFERROR(INDEX(Weekly_Model!$D$2:$D$9,MATCH(F21,Weekly_Model!$A$2:$A$9,0)),0),IFERROR(INDEX(Weekly_Model!$D$2:$D$9,MATCH(F22,Weekly_Model!$A$2:$A$9,0)),0)),0))))))</f>
        <v>2.3200000000000002E-2</v>
      </c>
      <c r="L18" s="27">
        <f>IF(VLOOKUP($A18,Calendar!$A$1:$R$1377,18,0)=0,0,IF(VLOOKUP($A18,Calendar!$A$1:$R$1377,18,0)=1,IFERROR(INDEX(Fortnightly_Model!$D$2:$D$15,MATCH(G18,Fortnightly_Model!$B$2:$B$15,0)),0),IF(VLOOKUP($A18,Calendar!$A$1:$R$1377,18,0)=2,SUM(IFERROR(INDEX(Fortnightly_Model!$D$2:$D$15,MATCH(G18,Fortnightly_Model!$B$2:$B$15,0)),0),IFERROR(INDEX(Fortnightly_Model!$D$2:$D$15,MATCH(G19,Fortnightly_Model!$B$2:$B$15,0)),0)),IF(VLOOKUP($A18,Calendar!$A$1:$R$1377,18,0)=3,SUM(IFERROR(INDEX(Fortnightly_Model!$D$2:$D$15,MATCH(G18,Fortnightly_Model!$B$2:$B$15,0)),0),IFERROR(INDEX(Fortnightly_Model!$D$2:$D$15,MATCH(G19,Fortnightly_Model!$B$2:$B$15,0)),0),IFERROR(INDEX(Fortnightly_Model!$D$2:$D$15,MATCH(G20,Fortnightly_Model!$B$2:$B$15,0)),0)),IF(VLOOKUP($A18,Calendar!$A$1:$R$1377,18,0)=4,SUM(IFERROR(INDEX(Fortnightly_Model!$D$2:$D$15,MATCH(G18,Fortnightly_Model!$B$2:$B$15,0)),0),IFERROR(INDEX(Fortnightly_Model!$D$2:$D$15,MATCH(G19,Fortnightly_Model!$B$2:$B$15,0)),0),IFERROR(INDEX(Fortnightly_Model!$D$2:$D$15,MATCH(G20,Fortnightly_Model!$B$2:$B$15,0)),0),IFERROR(INDEX(Fortnightly_Model!$D$2:$D$15,MATCH(G21,Fortnightly_Model!$B$2:$B$15,0)),0)),IF(VLOOKUP($A18,Calendar!$A$1:$R$1377,18,0)=5,SUM(IFERROR(INDEX(Fortnightly_Model!$D$2:$D$15,MATCH(G18,Fortnightly_Model!$B$2:$B$15,0)),0),IFERROR(INDEX(Fortnightly_Model!$D$2:$D$15,MATCH(G19,Fortnightly_Model!$B$2:$B$15,0)),0),IFERROR(INDEX(Fortnightly_Model!$D$2:$D$15,MATCH(G20,Fortnightly_Model!$B$2:$B$15,0)),0),IFERROR(INDEX(Fortnightly_Model!$D$2:$D$15,MATCH(G21,Fortnightly_Model!$B$2:$B$15,0)),0),IFERROR(INDEX(Fortnightly_Model!$D$2:$D$15,MATCH(G22,Fortnightly_Model!$B$2:$B$15,0)),0)),0))))))</f>
        <v>1.0714285499999999E-3</v>
      </c>
      <c r="M18" s="27">
        <f>IF(VLOOKUP($A18,Calendar!$A$1:$R$1377,18,0)=0,0,IF(VLOOKUP($A18,Calendar!$A$1:$R$1377,18,0)=1,IFERROR(INDEX(FourWeekly_Model!$D$2:$D$29,MATCH(H18,FourWeekly_Model!$B$2:$B$29,0)),0),IF(VLOOKUP($A18,Calendar!$A$1:$R$1377,18,0)=2,SUM(IFERROR(INDEX(FourWeekly_Model!$D$2:$D$29,MATCH(H18,FourWeekly_Model!$B$2:$B$29,0)),0),IFERROR(INDEX(FourWeekly_Model!$D$2:$D$29,MATCH(H19,FourWeekly_Model!$B$2:$B$29,0)),0)),IF(VLOOKUP($A18,Calendar!$A$1:$R$1377,18,0)=3,SUM(IFERROR(INDEX(FourWeekly_Model!$D$2:$D$29,MATCH(H18,FourWeekly_Model!$B$2:$B$29,0)),0),IFERROR(INDEX(FourWeekly_Model!$D$2:$D$29,MATCH(H19,FourWeekly_Model!$B$2:$B$29,0)),0),IFERROR(INDEX(FourWeekly_Model!$D$2:$D$29,MATCH(H20,FourWeekly_Model!$B$2:$B$29,0)),0)),IF(VLOOKUP($A18,Calendar!$A$1:$R$1377,18,0)=4,SUM(IFERROR(INDEX(FourWeekly_Model!$D$2:$D$29,MATCH(H18,FourWeekly_Model!$B$2:$B$29,0)),0),IFERROR(INDEX(FourWeekly_Model!$D$2:$D$29,MATCH(H19,FourWeekly_Model!$B$2:$B$29,0)),0),IFERROR(INDEX(FourWeekly_Model!$D$2:$D$29,MATCH(H20,FourWeekly_Model!$B$2:$B$29,0)),0),IFERROR(INDEX(FourWeekly_Model!$D$2:$D$29,MATCH(H21,FourWeekly_Model!$B$2:$B$29,0)),0)),IF(VLOOKUP($A18,Calendar!$A$1:$R$1377,18,0)=5,SUM(IFERROR(INDEX(FourWeekly_Model!$D$2:$D$29,MATCH(H18,FourWeekly_Model!$B$2:$B$29,0)),0),IFERROR(INDEX(FourWeekly_Model!$D$2:$D$29,MATCH(H19,FourWeekly_Model!$B$2:$B$29,0)),0),IFERROR(INDEX(FourWeekly_Model!$D$2:$D$29,MATCH(H20,FourWeekly_Model!$B$2:$B$29,0)),0),IFERROR(INDEX(FourWeekly_Model!$D$2:$D$29,MATCH(H21,FourWeekly_Model!$B$2:$B$29,0)),0),IFERROR(INDEX(FourWeekly_Model!$D$2:$D$29,MATCH(H22,FourWeekly_Model!$B$2:$B$29,0)),0)),0))))))</f>
        <v>3.3214289700000004E-3</v>
      </c>
      <c r="N18" s="27">
        <f>SUM(I18:M18)</f>
        <v>2.840542296502618E-2</v>
      </c>
      <c r="O18" s="28">
        <f>Population_Data!$B$8*N18</f>
        <v>860684.3158402933</v>
      </c>
      <c r="P18" s="27">
        <f>IF(VLOOKUP($A18,Calendar!$A$1:$R$1377,18,0)=0,0,IF(VLOOKUP($A18,Calendar!$A$1:$R$1377,18,0)=1,IFERROR(INDEX(Pension_Model!$D$2:$D$29,MATCH(H18,Pension_Model!$B$2:$B$29,0)),0),IF(VLOOKUP($A18,Calendar!$A$1:$R$1377,18,0)=2,SUM(IFERROR(INDEX(Pension_Model!$D$2:$D$29,MATCH(H18,Pension_Model!$B$2:$B$29,0)),0),IFERROR(INDEX(Pension_Model!$D$2:$D$29,MATCH(H19,Pension_Model!$B$2:$B$29,0)),0)),IF(VLOOKUP($A18,Calendar!$A$1:$R$1377,18,0)=3,SUM(IFERROR(INDEX(Pension_Model!$D$2:$D$29,MATCH(H18,Pension_Model!$B$2:$B$29,0)),0),IFERROR(INDEX(Pension_Model!$D$2:$D$29,MATCH(H19,Pension_Model!$B$2:$B$29,0)),0),IFERROR(INDEX(Pension_Model!$D$2:$D$29,MATCH(H20,Pension_Model!$B$2:$B$29,0)),0)),IF(VLOOKUP($A18,Calendar!$A$1:$R$1377,18,0)=4,SUM(IFERROR(INDEX(Pension_Model!$D$2:$D$29,MATCH(H18,Pension_Model!$B$2:$B$29,0)),0),IFERROR(INDEX(Pension_Model!$D$2:$D$29,MATCH(H19,Pension_Model!$B$2:$B$29,0)),0),IFERROR(INDEX(Pension_Model!$D$2:$D$29,MATCH(H20,Pension_Model!$B$2:$B$29,0)),0),IFERROR(INDEX(Pension_Model!$D$2:$D$29,MATCH(H21,Pension_Model!$B$2:$B$29,0)),0)),IF(VLOOKUP($A18,Calendar!$A$1:$R$1377,18,0)=5,SUM(IFERROR(INDEX(Pension_Model!$D$2:$D$29,MATCH(H18,Pension_Model!$B$2:$B$29,0)),0),IFERROR(INDEX(Pension_Model!$D$2:$D$29,MATCH(H19,Pension_Model!$B$2:$B$29,0)),0),IFERROR(INDEX(Pension_Model!$D$2:$D$29,MATCH(H20,Pension_Model!$B$2:$B$29,0)),0),IFERROR(INDEX(Pension_Model!$D$2:$D$29,MATCH(H21,Pension_Model!$B$2:$B$29,0)),0),IFERROR(INDEX(Pension_Model!$D$2:$D$29,MATCH(H22,Pension_Model!$B$2:$B$29,0)),0)),0))))))</f>
        <v>0.05</v>
      </c>
      <c r="Q18" s="28">
        <f>Population_Data!$B$15*P18</f>
        <v>660600</v>
      </c>
      <c r="R18" s="32"/>
      <c r="S18">
        <f t="shared" si="0"/>
        <v>1521284.3158402932</v>
      </c>
      <c r="U18" s="33">
        <f>S18/Population_Data!$B$19</f>
        <v>2.7559498475367629E-2</v>
      </c>
    </row>
    <row r="19" spans="1:21">
      <c r="A19" s="25">
        <f>Calendar!A19</f>
        <v>46252</v>
      </c>
      <c r="B19" t="str">
        <f>Calendar!L19</f>
        <v>Yes</v>
      </c>
      <c r="C19" t="str">
        <f>Calendar!O19</f>
        <v>No</v>
      </c>
      <c r="D19" t="str">
        <f>Calendar!P19</f>
        <v>No</v>
      </c>
      <c r="E19" t="str">
        <f>Calendar!Q19</f>
        <v>No</v>
      </c>
      <c r="F19" t="str">
        <f>Calendar!I19</f>
        <v>Tuesday</v>
      </c>
      <c r="G19">
        <f>Calendar!S19</f>
        <v>10</v>
      </c>
      <c r="H19">
        <f>Calendar!T19</f>
        <v>24</v>
      </c>
      <c r="I19" s="27">
        <f>IF(VLOOKUP(A19,Calendar!$A$1:$R$1377,18,0)=0,0,IF(VLOOKUP(A19,Calendar!$A$1:$R$1377,18,0)=1,INDEX(Monthly_Pay_Model!$A$9:$D$40,MATCH(TEXT(A19,"dd"),Monthly_Pay_Model!$C$9:$C$39,0),4),IF(VLOOKUP(A19,Calendar!$A$1:$R$1377,18,0)=2,SUM(INDEX(Monthly_Pay_Model!$A$9:$D$40,MATCH(TEXT(A19,"dd"),Monthly_Pay_Model!$C$9:$C$39,0),4),INDEX(Monthly_Pay_Model!$A$9:$D$40,MATCH(TEXT(A20,"dd"),Monthly_Pay_Model!$C$9:$C$39,0),4)),IF(VLOOKUP(A19,Calendar!$A$1:$R$1377,18,0)=3,SUM(INDEX(Monthly_Pay_Model!$A$9:$D$40,MATCH(TEXT(A19,"dd"),Monthly_Pay_Model!$C$9:$C$39,0),4),INDEX(Monthly_Pay_Model!$A$9:$D$40,MATCH(TEXT(A20,"dd"),Monthly_Pay_Model!$C$9:$C$39,0),4),INDEX(Monthly_Pay_Model!$A$9:$D$40,MATCH(TEXT(A21,"dd"),Monthly_Pay_Model!$C$9:$C$39,0),4)),IF(VLOOKUP(A19,Calendar!$A$1:$R$1377,18,0)=4,SUM(INDEX(Monthly_Pay_Model!$A$9:$D$40,MATCH(TEXT(A19,"dd"),Monthly_Pay_Model!$C$9:$C$39,0),4),INDEX(Monthly_Pay_Model!$A$9:$D$40,MATCH(TEXT(A20,"dd"),Monthly_Pay_Model!$C$9:$C$39,0),4),INDEX(Monthly_Pay_Model!$A$9:$D$40,MATCH(TEXT(A21,"dd"),Monthly_Pay_Model!$C$9:$C$39,0),4),INDEX(Monthly_Pay_Model!$A$9:$D$40,MATCH(TEXT(A22,"dd"),Monthly_Pay_Model!$C$9:$C$39,0),4)),IF(VLOOKUP(A19,Calendar!$A$1:$R$1377,18,0)=5,SUM(INDEX(Monthly_Pay_Model!$A$9:$D$40,MATCH(TEXT(A19,"dd"),Monthly_Pay_Model!$C$9:$C$39,0),4),INDEX(Monthly_Pay_Model!$A$9:$D$40,MATCH(TEXT(A20,"dd"),Monthly_Pay_Model!$C$9:$C$39,0),4),INDEX(Monthly_Pay_Model!$A$9:$D$40,MATCH(TEXT(A21,"dd"),Monthly_Pay_Model!$C$9:$C$39,0),4),INDEX(Monthly_Pay_Model!$A$9:$D$40,MATCH(TEXT(A22,"dd"),Monthly_Pay_Model!$C$9:$C$39,0),4),INDEX(Monthly_Pay_Model!$A$9:$D$40,MATCH(TEXT(A23,"dd"),Monthly_Pay_Model!$C$9:$C$39,0),4)),))))))</f>
        <v>2.4376963350785331E-3</v>
      </c>
      <c r="J19" s="33">
        <f>IF(C19="Yes",Monthly_Pay_Model!$D$2,0)
+IF(Calendar!N19="Yes",Monthly_Pay_Model!$D$3,0)
+IF(D19="Yes",Monthly_Pay_Model!$D$4,0)
+IF(E19="Yes",Monthly_Pay_Model!$D$5,0)</f>
        <v>0</v>
      </c>
      <c r="K19" s="27">
        <f>IF(VLOOKUP($A19,Calendar!$A$1:$R$1377,18,0)=0,0,IF(VLOOKUP($A19,Calendar!$A$1:$R$1377,18,0)=1,IFERROR(INDEX(Weekly_Model!$D$2:$D$9,MATCH(F19,Weekly_Model!$A$2:$A$9,0)),0),IF(VLOOKUP($A19,Calendar!$A$1:$R$1377,18,0)=2,SUM(IFERROR(INDEX(Weekly_Model!$D$2:$D$9,MATCH(F19,Weekly_Model!$A$2:$A$9,0)),0),IFERROR(INDEX(Weekly_Model!$D$2:$D$9,MATCH(F20,Weekly_Model!$A$2:$A$9,0)),0)),IF(VLOOKUP($A19,Calendar!$A$1:$R$1377,18,0)=3,SUM(IFERROR(INDEX(Weekly_Model!$D$2:$D$9,MATCH(F19,Weekly_Model!$A$2:$A$9,0)),0),IFERROR(INDEX(Weekly_Model!$D$2:$D$9,MATCH(F20,Weekly_Model!$A$2:$A$9,0)),0),IFERROR(INDEX(Weekly_Model!$D$2:$D$9,MATCH(F21,Weekly_Model!$A$2:$A$9,0)),0)),IF(VLOOKUP($A19,Calendar!$A$1:$R$1377,18,0)=4,SUM(IFERROR(INDEX(Weekly_Model!$D$2:$D$9,MATCH(F19,Weekly_Model!$A$2:$A$9,0)),0),IFERROR(INDEX(Weekly_Model!$D$2:$D$9,MATCH(F20,Weekly_Model!$A$2:$A$9,0)),0),IFERROR(INDEX(Weekly_Model!$D$2:$D$9,MATCH(F21,Weekly_Model!$A$2:$A$9,0)),0),IFERROR(INDEX(Weekly_Model!$D$2:$D$9,MATCH(F22,Weekly_Model!$A$2:$A$9,0)),0)),IF(VLOOKUP($A19,Calendar!$A$1:$R$1377,18,0)=5,SUM(IFERROR(INDEX(Weekly_Model!$D$2:$D$9,MATCH(F19,Weekly_Model!$A$2:$A$9,0)),0),IFERROR(INDEX(Weekly_Model!$D$2:$D$9,MATCH(F20,Weekly_Model!$A$2:$A$9,0)),0),IFERROR(INDEX(Weekly_Model!$D$2:$D$9,MATCH(F21,Weekly_Model!$A$2:$A$9,0)),0),IFERROR(INDEX(Weekly_Model!$D$2:$D$9,MATCH(F22,Weekly_Model!$A$2:$A$9,0)),0),IFERROR(INDEX(Weekly_Model!$D$2:$D$9,MATCH(F23,Weekly_Model!$A$2:$A$9,0)),0)),0))))))</f>
        <v>2.3200000000000002E-2</v>
      </c>
      <c r="L19" s="27">
        <f>IF(VLOOKUP($A19,Calendar!$A$1:$R$1377,18,0)=0,0,IF(VLOOKUP($A19,Calendar!$A$1:$R$1377,18,0)=1,IFERROR(INDEX(Fortnightly_Model!$D$2:$D$15,MATCH(G19,Fortnightly_Model!$B$2:$B$15,0)),0),IF(VLOOKUP($A19,Calendar!$A$1:$R$1377,18,0)=2,SUM(IFERROR(INDEX(Fortnightly_Model!$D$2:$D$15,MATCH(G19,Fortnightly_Model!$B$2:$B$15,0)),0),IFERROR(INDEX(Fortnightly_Model!$D$2:$D$15,MATCH(G20,Fortnightly_Model!$B$2:$B$15,0)),0)),IF(VLOOKUP($A19,Calendar!$A$1:$R$1377,18,0)=3,SUM(IFERROR(INDEX(Fortnightly_Model!$D$2:$D$15,MATCH(G19,Fortnightly_Model!$B$2:$B$15,0)),0),IFERROR(INDEX(Fortnightly_Model!$D$2:$D$15,MATCH(G20,Fortnightly_Model!$B$2:$B$15,0)),0),IFERROR(INDEX(Fortnightly_Model!$D$2:$D$15,MATCH(G21,Fortnightly_Model!$B$2:$B$15,0)),0)),IF(VLOOKUP($A19,Calendar!$A$1:$R$1377,18,0)=4,SUM(IFERROR(INDEX(Fortnightly_Model!$D$2:$D$15,MATCH(G19,Fortnightly_Model!$B$2:$B$15,0)),0),IFERROR(INDEX(Fortnightly_Model!$D$2:$D$15,MATCH(G20,Fortnightly_Model!$B$2:$B$15,0)),0),IFERROR(INDEX(Fortnightly_Model!$D$2:$D$15,MATCH(G21,Fortnightly_Model!$B$2:$B$15,0)),0),IFERROR(INDEX(Fortnightly_Model!$D$2:$D$15,MATCH(G22,Fortnightly_Model!$B$2:$B$15,0)),0)),IF(VLOOKUP($A19,Calendar!$A$1:$R$1377,18,0)=5,SUM(IFERROR(INDEX(Fortnightly_Model!$D$2:$D$15,MATCH(G19,Fortnightly_Model!$B$2:$B$15,0)),0),IFERROR(INDEX(Fortnightly_Model!$D$2:$D$15,MATCH(G20,Fortnightly_Model!$B$2:$B$15,0)),0),IFERROR(INDEX(Fortnightly_Model!$D$2:$D$15,MATCH(G21,Fortnightly_Model!$B$2:$B$15,0)),0),IFERROR(INDEX(Fortnightly_Model!$D$2:$D$15,MATCH(G22,Fortnightly_Model!$B$2:$B$15,0)),0),IFERROR(INDEX(Fortnightly_Model!$D$2:$D$15,MATCH(G23,Fortnightly_Model!$B$2:$B$15,0)),0)),0))))))</f>
        <v>1.0714285499999999E-3</v>
      </c>
      <c r="M19" s="27">
        <f>IF(VLOOKUP($A19,Calendar!$A$1:$R$1377,18,0)=0,0,IF(VLOOKUP($A19,Calendar!$A$1:$R$1377,18,0)=1,IFERROR(INDEX(FourWeekly_Model!$D$2:$D$29,MATCH(H19,FourWeekly_Model!$B$2:$B$29,0)),0),IF(VLOOKUP($A19,Calendar!$A$1:$R$1377,18,0)=2,SUM(IFERROR(INDEX(FourWeekly_Model!$D$2:$D$29,MATCH(H19,FourWeekly_Model!$B$2:$B$29,0)),0),IFERROR(INDEX(FourWeekly_Model!$D$2:$D$29,MATCH(H20,FourWeekly_Model!$B$2:$B$29,0)),0)),IF(VLOOKUP($A19,Calendar!$A$1:$R$1377,18,0)=3,SUM(IFERROR(INDEX(FourWeekly_Model!$D$2:$D$29,MATCH(H19,FourWeekly_Model!$B$2:$B$29,0)),0),IFERROR(INDEX(FourWeekly_Model!$D$2:$D$29,MATCH(H20,FourWeekly_Model!$B$2:$B$29,0)),0),IFERROR(INDEX(FourWeekly_Model!$D$2:$D$29,MATCH(H21,FourWeekly_Model!$B$2:$B$29,0)),0)),IF(VLOOKUP($A19,Calendar!$A$1:$R$1377,18,0)=4,SUM(IFERROR(INDEX(FourWeekly_Model!$D$2:$D$29,MATCH(H19,FourWeekly_Model!$B$2:$B$29,0)),0),IFERROR(INDEX(FourWeekly_Model!$D$2:$D$29,MATCH(H20,FourWeekly_Model!$B$2:$B$29,0)),0),IFERROR(INDEX(FourWeekly_Model!$D$2:$D$29,MATCH(H21,FourWeekly_Model!$B$2:$B$29,0)),0),IFERROR(INDEX(FourWeekly_Model!$D$2:$D$29,MATCH(H22,FourWeekly_Model!$B$2:$B$29,0)),0)),IF(VLOOKUP($A19,Calendar!$A$1:$R$1377,18,0)=5,SUM(IFERROR(INDEX(FourWeekly_Model!$D$2:$D$29,MATCH(H19,FourWeekly_Model!$B$2:$B$29,0)),0),IFERROR(INDEX(FourWeekly_Model!$D$2:$D$29,MATCH(H20,FourWeekly_Model!$B$2:$B$29,0)),0),IFERROR(INDEX(FourWeekly_Model!$D$2:$D$29,MATCH(H21,FourWeekly_Model!$B$2:$B$29,0)),0),IFERROR(INDEX(FourWeekly_Model!$D$2:$D$29,MATCH(H22,FourWeekly_Model!$B$2:$B$29,0)),0),IFERROR(INDEX(FourWeekly_Model!$D$2:$D$29,MATCH(H23,FourWeekly_Model!$B$2:$B$29,0)),0)),0))))))</f>
        <v>3.3214289700000004E-3</v>
      </c>
      <c r="N19" s="27">
        <f>SUM(I19:M19)</f>
        <v>3.0030553855078537E-2</v>
      </c>
      <c r="O19" s="28">
        <f>Population_Data!$B$8*N19</f>
        <v>909925.78180887969</v>
      </c>
      <c r="P19" s="27">
        <f>IF(VLOOKUP($A19,Calendar!$A$1:$R$1377,18,0)=0,0,IF(VLOOKUP($A19,Calendar!$A$1:$R$1377,18,0)=1,IFERROR(INDEX(Pension_Model!$D$2:$D$29,MATCH(H19,Pension_Model!$B$2:$B$29,0)),0),IF(VLOOKUP($A19,Calendar!$A$1:$R$1377,18,0)=2,SUM(IFERROR(INDEX(Pension_Model!$D$2:$D$29,MATCH(H19,Pension_Model!$B$2:$B$29,0)),0),IFERROR(INDEX(Pension_Model!$D$2:$D$29,MATCH(H20,Pension_Model!$B$2:$B$29,0)),0)),IF(VLOOKUP($A19,Calendar!$A$1:$R$1377,18,0)=3,SUM(IFERROR(INDEX(Pension_Model!$D$2:$D$29,MATCH(H19,Pension_Model!$B$2:$B$29,0)),0),IFERROR(INDEX(Pension_Model!$D$2:$D$29,MATCH(H20,Pension_Model!$B$2:$B$29,0)),0),IFERROR(INDEX(Pension_Model!$D$2:$D$29,MATCH(H21,Pension_Model!$B$2:$B$29,0)),0)),IF(VLOOKUP($A19,Calendar!$A$1:$R$1377,18,0)=4,SUM(IFERROR(INDEX(Pension_Model!$D$2:$D$29,MATCH(H19,Pension_Model!$B$2:$B$29,0)),0),IFERROR(INDEX(Pension_Model!$D$2:$D$29,MATCH(H20,Pension_Model!$B$2:$B$29,0)),0),IFERROR(INDEX(Pension_Model!$D$2:$D$29,MATCH(H21,Pension_Model!$B$2:$B$29,0)),0),IFERROR(INDEX(Pension_Model!$D$2:$D$29,MATCH(H22,Pension_Model!$B$2:$B$29,0)),0)),IF(VLOOKUP($A19,Calendar!$A$1:$R$1377,18,0)=5,SUM(IFERROR(INDEX(Pension_Model!$D$2:$D$29,MATCH(H19,Pension_Model!$B$2:$B$29,0)),0),IFERROR(INDEX(Pension_Model!$D$2:$D$29,MATCH(H20,Pension_Model!$B$2:$B$29,0)),0),IFERROR(INDEX(Pension_Model!$D$2:$D$29,MATCH(H21,Pension_Model!$B$2:$B$29,0)),0),IFERROR(INDEX(Pension_Model!$D$2:$D$29,MATCH(H22,Pension_Model!$B$2:$B$29,0)),0),IFERROR(INDEX(Pension_Model!$D$2:$D$29,MATCH(H23,Pension_Model!$B$2:$B$29,0)),0)),0))))))</f>
        <v>0.05</v>
      </c>
      <c r="Q19" s="28">
        <f>Population_Data!$B$15*P19</f>
        <v>660600</v>
      </c>
      <c r="R19" s="32"/>
      <c r="S19">
        <f t="shared" si="0"/>
        <v>1570525.7818088797</v>
      </c>
      <c r="U19" s="33">
        <f>S19/Population_Data!$B$19</f>
        <v>2.8451554018276808E-2</v>
      </c>
    </row>
    <row r="20" spans="1:21">
      <c r="A20" s="25">
        <f>Calendar!A20</f>
        <v>46253</v>
      </c>
      <c r="B20" t="str">
        <f>Calendar!L20</f>
        <v>Yes</v>
      </c>
      <c r="C20" t="str">
        <f>Calendar!O20</f>
        <v>No</v>
      </c>
      <c r="D20" t="str">
        <f>Calendar!P20</f>
        <v>No</v>
      </c>
      <c r="E20" t="str">
        <f>Calendar!Q20</f>
        <v>No</v>
      </c>
      <c r="F20" t="str">
        <f>Calendar!I20</f>
        <v>Wednesday</v>
      </c>
      <c r="G20">
        <f>Calendar!S20</f>
        <v>11</v>
      </c>
      <c r="H20">
        <f>Calendar!T20</f>
        <v>25</v>
      </c>
      <c r="I20" s="27">
        <f>IF(VLOOKUP(A20,Calendar!$A$1:$R$1377,18,0)=0,0,IF(VLOOKUP(A20,Calendar!$A$1:$R$1377,18,0)=1,INDEX(Monthly_Pay_Model!$A$9:$D$40,MATCH(TEXT(A20,"dd"),Monthly_Pay_Model!$C$9:$C$39,0),4),IF(VLOOKUP(A20,Calendar!$A$1:$R$1377,18,0)=2,SUM(INDEX(Monthly_Pay_Model!$A$9:$D$40,MATCH(TEXT(A20,"dd"),Monthly_Pay_Model!$C$9:$C$39,0),4),INDEX(Monthly_Pay_Model!$A$9:$D$40,MATCH(TEXT(A21,"dd"),Monthly_Pay_Model!$C$9:$C$39,0),4)),IF(VLOOKUP(A20,Calendar!$A$1:$R$1377,18,0)=3,SUM(INDEX(Monthly_Pay_Model!$A$9:$D$40,MATCH(TEXT(A20,"dd"),Monthly_Pay_Model!$C$9:$C$39,0),4),INDEX(Monthly_Pay_Model!$A$9:$D$40,MATCH(TEXT(A21,"dd"),Monthly_Pay_Model!$C$9:$C$39,0),4),INDEX(Monthly_Pay_Model!$A$9:$D$40,MATCH(TEXT(A22,"dd"),Monthly_Pay_Model!$C$9:$C$39,0),4)),IF(VLOOKUP(A20,Calendar!$A$1:$R$1377,18,0)=4,SUM(INDEX(Monthly_Pay_Model!$A$9:$D$40,MATCH(TEXT(A20,"dd"),Monthly_Pay_Model!$C$9:$C$39,0),4),INDEX(Monthly_Pay_Model!$A$9:$D$40,MATCH(TEXT(A21,"dd"),Monthly_Pay_Model!$C$9:$C$39,0),4),INDEX(Monthly_Pay_Model!$A$9:$D$40,MATCH(TEXT(A22,"dd"),Monthly_Pay_Model!$C$9:$C$39,0),4),INDEX(Monthly_Pay_Model!$A$9:$D$40,MATCH(TEXT(A23,"dd"),Monthly_Pay_Model!$C$9:$C$39,0),4)),IF(VLOOKUP(A20,Calendar!$A$1:$R$1377,18,0)=5,SUM(INDEX(Monthly_Pay_Model!$A$9:$D$40,MATCH(TEXT(A20,"dd"),Monthly_Pay_Model!$C$9:$C$39,0),4),INDEX(Monthly_Pay_Model!$A$9:$D$40,MATCH(TEXT(A21,"dd"),Monthly_Pay_Model!$C$9:$C$39,0),4),INDEX(Monthly_Pay_Model!$A$9:$D$40,MATCH(TEXT(A22,"dd"),Monthly_Pay_Model!$C$9:$C$39,0),4),INDEX(Monthly_Pay_Model!$A$9:$D$40,MATCH(TEXT(A23,"dd"),Monthly_Pay_Model!$C$9:$C$39,0),4),INDEX(Monthly_Pay_Model!$A$9:$D$40,MATCH(TEXT(A24,"dd"),Monthly_Pay_Model!$C$9:$C$39,0),4)),))))))</f>
        <v>1.6251308900523558E-3</v>
      </c>
      <c r="J20" s="33">
        <f>IF(C20="Yes",Monthly_Pay_Model!$D$2,0)
+IF(Calendar!N20="Yes",Monthly_Pay_Model!$D$3,0)
+IF(D20="Yes",Monthly_Pay_Model!$D$4,0)
+IF(E20="Yes",Monthly_Pay_Model!$D$5,0)</f>
        <v>0</v>
      </c>
      <c r="K20" s="27">
        <f>IF(VLOOKUP($A20,Calendar!$A$1:$R$1377,18,0)=0,0,IF(VLOOKUP($A20,Calendar!$A$1:$R$1377,18,0)=1,IFERROR(INDEX(Weekly_Model!$D$2:$D$9,MATCH(F20,Weekly_Model!$A$2:$A$9,0)),0),IF(VLOOKUP($A20,Calendar!$A$1:$R$1377,18,0)=2,SUM(IFERROR(INDEX(Weekly_Model!$D$2:$D$9,MATCH(F20,Weekly_Model!$A$2:$A$9,0)),0),IFERROR(INDEX(Weekly_Model!$D$2:$D$9,MATCH(F21,Weekly_Model!$A$2:$A$9,0)),0)),IF(VLOOKUP($A20,Calendar!$A$1:$R$1377,18,0)=3,SUM(IFERROR(INDEX(Weekly_Model!$D$2:$D$9,MATCH(F20,Weekly_Model!$A$2:$A$9,0)),0),IFERROR(INDEX(Weekly_Model!$D$2:$D$9,MATCH(F21,Weekly_Model!$A$2:$A$9,0)),0),IFERROR(INDEX(Weekly_Model!$D$2:$D$9,MATCH(F22,Weekly_Model!$A$2:$A$9,0)),0)),IF(VLOOKUP($A20,Calendar!$A$1:$R$1377,18,0)=4,SUM(IFERROR(INDEX(Weekly_Model!$D$2:$D$9,MATCH(F20,Weekly_Model!$A$2:$A$9,0)),0),IFERROR(INDEX(Weekly_Model!$D$2:$D$9,MATCH(F21,Weekly_Model!$A$2:$A$9,0)),0),IFERROR(INDEX(Weekly_Model!$D$2:$D$9,MATCH(F22,Weekly_Model!$A$2:$A$9,0)),0),IFERROR(INDEX(Weekly_Model!$D$2:$D$9,MATCH(F23,Weekly_Model!$A$2:$A$9,0)),0)),IF(VLOOKUP($A20,Calendar!$A$1:$R$1377,18,0)=5,SUM(IFERROR(INDEX(Weekly_Model!$D$2:$D$9,MATCH(F20,Weekly_Model!$A$2:$A$9,0)),0),IFERROR(INDEX(Weekly_Model!$D$2:$D$9,MATCH(F21,Weekly_Model!$A$2:$A$9,0)),0),IFERROR(INDEX(Weekly_Model!$D$2:$D$9,MATCH(F22,Weekly_Model!$A$2:$A$9,0)),0),IFERROR(INDEX(Weekly_Model!$D$2:$D$9,MATCH(F23,Weekly_Model!$A$2:$A$9,0)),0),IFERROR(INDEX(Weekly_Model!$D$2:$D$9,MATCH(F24,Weekly_Model!$A$2:$A$9,0)),0)),0))))))</f>
        <v>2.3200000000000002E-2</v>
      </c>
      <c r="L20" s="27">
        <f>IF(VLOOKUP($A20,Calendar!$A$1:$R$1377,18,0)=0,0,IF(VLOOKUP($A20,Calendar!$A$1:$R$1377,18,0)=1,IFERROR(INDEX(Fortnightly_Model!$D$2:$D$15,MATCH(G20,Fortnightly_Model!$B$2:$B$15,0)),0),IF(VLOOKUP($A20,Calendar!$A$1:$R$1377,18,0)=2,SUM(IFERROR(INDEX(Fortnightly_Model!$D$2:$D$15,MATCH(G20,Fortnightly_Model!$B$2:$B$15,0)),0),IFERROR(INDEX(Fortnightly_Model!$D$2:$D$15,MATCH(G21,Fortnightly_Model!$B$2:$B$15,0)),0)),IF(VLOOKUP($A20,Calendar!$A$1:$R$1377,18,0)=3,SUM(IFERROR(INDEX(Fortnightly_Model!$D$2:$D$15,MATCH(G20,Fortnightly_Model!$B$2:$B$15,0)),0),IFERROR(INDEX(Fortnightly_Model!$D$2:$D$15,MATCH(G21,Fortnightly_Model!$B$2:$B$15,0)),0),IFERROR(INDEX(Fortnightly_Model!$D$2:$D$15,MATCH(G22,Fortnightly_Model!$B$2:$B$15,0)),0)),IF(VLOOKUP($A20,Calendar!$A$1:$R$1377,18,0)=4,SUM(IFERROR(INDEX(Fortnightly_Model!$D$2:$D$15,MATCH(G20,Fortnightly_Model!$B$2:$B$15,0)),0),IFERROR(INDEX(Fortnightly_Model!$D$2:$D$15,MATCH(G21,Fortnightly_Model!$B$2:$B$15,0)),0),IFERROR(INDEX(Fortnightly_Model!$D$2:$D$15,MATCH(G22,Fortnightly_Model!$B$2:$B$15,0)),0),IFERROR(INDEX(Fortnightly_Model!$D$2:$D$15,MATCH(G23,Fortnightly_Model!$B$2:$B$15,0)),0)),IF(VLOOKUP($A20,Calendar!$A$1:$R$1377,18,0)=5,SUM(IFERROR(INDEX(Fortnightly_Model!$D$2:$D$15,MATCH(G20,Fortnightly_Model!$B$2:$B$15,0)),0),IFERROR(INDEX(Fortnightly_Model!$D$2:$D$15,MATCH(G21,Fortnightly_Model!$B$2:$B$15,0)),0),IFERROR(INDEX(Fortnightly_Model!$D$2:$D$15,MATCH(G22,Fortnightly_Model!$B$2:$B$15,0)),0),IFERROR(INDEX(Fortnightly_Model!$D$2:$D$15,MATCH(G23,Fortnightly_Model!$B$2:$B$15,0)),0),IFERROR(INDEX(Fortnightly_Model!$D$2:$D$15,MATCH(G24,Fortnightly_Model!$B$2:$B$15,0)),0)),0))))))</f>
        <v>1.0714285499999999E-3</v>
      </c>
      <c r="M20" s="27">
        <f>IF(VLOOKUP($A20,Calendar!$A$1:$R$1377,18,0)=0,0,IF(VLOOKUP($A20,Calendar!$A$1:$R$1377,18,0)=1,IFERROR(INDEX(FourWeekly_Model!$D$2:$D$29,MATCH(H20,FourWeekly_Model!$B$2:$B$29,0)),0),IF(VLOOKUP($A20,Calendar!$A$1:$R$1377,18,0)=2,SUM(IFERROR(INDEX(FourWeekly_Model!$D$2:$D$29,MATCH(H20,FourWeekly_Model!$B$2:$B$29,0)),0),IFERROR(INDEX(FourWeekly_Model!$D$2:$D$29,MATCH(H21,FourWeekly_Model!$B$2:$B$29,0)),0)),IF(VLOOKUP($A20,Calendar!$A$1:$R$1377,18,0)=3,SUM(IFERROR(INDEX(FourWeekly_Model!$D$2:$D$29,MATCH(H20,FourWeekly_Model!$B$2:$B$29,0)),0),IFERROR(INDEX(FourWeekly_Model!$D$2:$D$29,MATCH(H21,FourWeekly_Model!$B$2:$B$29,0)),0),IFERROR(INDEX(FourWeekly_Model!$D$2:$D$29,MATCH(H22,FourWeekly_Model!$B$2:$B$29,0)),0)),IF(VLOOKUP($A20,Calendar!$A$1:$R$1377,18,0)=4,SUM(IFERROR(INDEX(FourWeekly_Model!$D$2:$D$29,MATCH(H20,FourWeekly_Model!$B$2:$B$29,0)),0),IFERROR(INDEX(FourWeekly_Model!$D$2:$D$29,MATCH(H21,FourWeekly_Model!$B$2:$B$29,0)),0),IFERROR(INDEX(FourWeekly_Model!$D$2:$D$29,MATCH(H22,FourWeekly_Model!$B$2:$B$29,0)),0),IFERROR(INDEX(FourWeekly_Model!$D$2:$D$29,MATCH(H23,FourWeekly_Model!$B$2:$B$29,0)),0)),IF(VLOOKUP($A20,Calendar!$A$1:$R$1377,18,0)=5,SUM(IFERROR(INDEX(FourWeekly_Model!$D$2:$D$29,MATCH(H20,FourWeekly_Model!$B$2:$B$29,0)),0),IFERROR(INDEX(FourWeekly_Model!$D$2:$D$29,MATCH(H21,FourWeekly_Model!$B$2:$B$29,0)),0),IFERROR(INDEX(FourWeekly_Model!$D$2:$D$29,MATCH(H22,FourWeekly_Model!$B$2:$B$29,0)),0),IFERROR(INDEX(FourWeekly_Model!$D$2:$D$29,MATCH(H23,FourWeekly_Model!$B$2:$B$29,0)),0),IFERROR(INDEX(FourWeekly_Model!$D$2:$D$29,MATCH(H24,FourWeekly_Model!$B$2:$B$29,0)),0)),0))))))</f>
        <v>3.3214289700000004E-3</v>
      </c>
      <c r="N20" s="27">
        <f>SUM(I20:M20)</f>
        <v>2.921798841005236E-2</v>
      </c>
      <c r="O20" s="28">
        <f>Population_Data!$B$8*N20</f>
        <v>885305.04882458656</v>
      </c>
      <c r="P20" s="27">
        <f>IF(VLOOKUP($A20,Calendar!$A$1:$R$1377,18,0)=0,0,IF(VLOOKUP($A20,Calendar!$A$1:$R$1377,18,0)=1,IFERROR(INDEX(Pension_Model!$D$2:$D$29,MATCH(H20,Pension_Model!$B$2:$B$29,0)),0),IF(VLOOKUP($A20,Calendar!$A$1:$R$1377,18,0)=2,SUM(IFERROR(INDEX(Pension_Model!$D$2:$D$29,MATCH(H20,Pension_Model!$B$2:$B$29,0)),0),IFERROR(INDEX(Pension_Model!$D$2:$D$29,MATCH(H21,Pension_Model!$B$2:$B$29,0)),0)),IF(VLOOKUP($A20,Calendar!$A$1:$R$1377,18,0)=3,SUM(IFERROR(INDEX(Pension_Model!$D$2:$D$29,MATCH(H20,Pension_Model!$B$2:$B$29,0)),0),IFERROR(INDEX(Pension_Model!$D$2:$D$29,MATCH(H21,Pension_Model!$B$2:$B$29,0)),0),IFERROR(INDEX(Pension_Model!$D$2:$D$29,MATCH(H22,Pension_Model!$B$2:$B$29,0)),0)),IF(VLOOKUP($A20,Calendar!$A$1:$R$1377,18,0)=4,SUM(IFERROR(INDEX(Pension_Model!$D$2:$D$29,MATCH(H20,Pension_Model!$B$2:$B$29,0)),0),IFERROR(INDEX(Pension_Model!$D$2:$D$29,MATCH(H21,Pension_Model!$B$2:$B$29,0)),0),IFERROR(INDEX(Pension_Model!$D$2:$D$29,MATCH(H22,Pension_Model!$B$2:$B$29,0)),0),IFERROR(INDEX(Pension_Model!$D$2:$D$29,MATCH(H23,Pension_Model!$B$2:$B$29,0)),0)),IF(VLOOKUP($A20,Calendar!$A$1:$R$1377,18,0)=5,SUM(IFERROR(INDEX(Pension_Model!$D$2:$D$29,MATCH(H20,Pension_Model!$B$2:$B$29,0)),0),IFERROR(INDEX(Pension_Model!$D$2:$D$29,MATCH(H21,Pension_Model!$B$2:$B$29,0)),0),IFERROR(INDEX(Pension_Model!$D$2:$D$29,MATCH(H22,Pension_Model!$B$2:$B$29,0)),0),IFERROR(INDEX(Pension_Model!$D$2:$D$29,MATCH(H23,Pension_Model!$B$2:$B$29,0)),0),IFERROR(INDEX(Pension_Model!$D$2:$D$29,MATCH(H24,Pension_Model!$B$2:$B$29,0)),0)),0))))))</f>
        <v>0.05</v>
      </c>
      <c r="Q20" s="28">
        <f>Population_Data!$B$15*P20</f>
        <v>660600</v>
      </c>
      <c r="R20" s="32"/>
      <c r="S20">
        <f t="shared" si="0"/>
        <v>1545905.0488245864</v>
      </c>
      <c r="U20" s="33">
        <f>S20/Population_Data!$B$19</f>
        <v>2.8005526246822218E-2</v>
      </c>
    </row>
    <row r="21" spans="1:21">
      <c r="A21" s="25">
        <f>Calendar!A21</f>
        <v>46254</v>
      </c>
      <c r="B21" t="str">
        <f>Calendar!L21</f>
        <v>Yes</v>
      </c>
      <c r="C21" t="str">
        <f>Calendar!O21</f>
        <v>No</v>
      </c>
      <c r="D21" t="str">
        <f>Calendar!P21</f>
        <v>No</v>
      </c>
      <c r="E21" t="str">
        <f>Calendar!Q21</f>
        <v>No</v>
      </c>
      <c r="F21" t="str">
        <f>Calendar!I21</f>
        <v>Thursday</v>
      </c>
      <c r="G21">
        <f>Calendar!S21</f>
        <v>12</v>
      </c>
      <c r="H21">
        <f>Calendar!T21</f>
        <v>26</v>
      </c>
      <c r="I21" s="27">
        <f>IF(VLOOKUP(A21,Calendar!$A$1:$R$1377,18,0)=0,0,IF(VLOOKUP(A21,Calendar!$A$1:$R$1377,18,0)=1,INDEX(Monthly_Pay_Model!$A$9:$D$40,MATCH(TEXT(A21,"dd"),Monthly_Pay_Model!$C$9:$C$39,0),4),IF(VLOOKUP(A21,Calendar!$A$1:$R$1377,18,0)=2,SUM(INDEX(Monthly_Pay_Model!$A$9:$D$40,MATCH(TEXT(A21,"dd"),Monthly_Pay_Model!$C$9:$C$39,0),4),INDEX(Monthly_Pay_Model!$A$9:$D$40,MATCH(TEXT(A22,"dd"),Monthly_Pay_Model!$C$9:$C$39,0),4)),IF(VLOOKUP(A21,Calendar!$A$1:$R$1377,18,0)=3,SUM(INDEX(Monthly_Pay_Model!$A$9:$D$40,MATCH(TEXT(A21,"dd"),Monthly_Pay_Model!$C$9:$C$39,0),4),INDEX(Monthly_Pay_Model!$A$9:$D$40,MATCH(TEXT(A22,"dd"),Monthly_Pay_Model!$C$9:$C$39,0),4),INDEX(Monthly_Pay_Model!$A$9:$D$40,MATCH(TEXT(A23,"dd"),Monthly_Pay_Model!$C$9:$C$39,0),4)),IF(VLOOKUP(A21,Calendar!$A$1:$R$1377,18,0)=4,SUM(INDEX(Monthly_Pay_Model!$A$9:$D$40,MATCH(TEXT(A21,"dd"),Monthly_Pay_Model!$C$9:$C$39,0),4),INDEX(Monthly_Pay_Model!$A$9:$D$40,MATCH(TEXT(A22,"dd"),Monthly_Pay_Model!$C$9:$C$39,0),4),INDEX(Monthly_Pay_Model!$A$9:$D$40,MATCH(TEXT(A23,"dd"),Monthly_Pay_Model!$C$9:$C$39,0),4),INDEX(Monthly_Pay_Model!$A$9:$D$40,MATCH(TEXT(A24,"dd"),Monthly_Pay_Model!$C$9:$C$39,0),4)),IF(VLOOKUP(A21,Calendar!$A$1:$R$1377,18,0)=5,SUM(INDEX(Monthly_Pay_Model!$A$9:$D$40,MATCH(TEXT(A21,"dd"),Monthly_Pay_Model!$C$9:$C$39,0),4),INDEX(Monthly_Pay_Model!$A$9:$D$40,MATCH(TEXT(A22,"dd"),Monthly_Pay_Model!$C$9:$C$39,0),4),INDEX(Monthly_Pay_Model!$A$9:$D$40,MATCH(TEXT(A23,"dd"),Monthly_Pay_Model!$C$9:$C$39,0),4),INDEX(Monthly_Pay_Model!$A$9:$D$40,MATCH(TEXT(A24,"dd"),Monthly_Pay_Model!$C$9:$C$39,0),4),INDEX(Monthly_Pay_Model!$A$9:$D$40,MATCH(TEXT(A25,"dd"),Monthly_Pay_Model!$C$9:$C$39,0),4)),))))))</f>
        <v>8.1256544502617788E-3</v>
      </c>
      <c r="J21" s="33">
        <f>IF(C21="Yes",Monthly_Pay_Model!$D$2,0)
+IF(Calendar!N21="Yes",Monthly_Pay_Model!$D$3,0)
+IF(D21="Yes",Monthly_Pay_Model!$D$4,0)
+IF(E21="Yes",Monthly_Pay_Model!$D$5,0)</f>
        <v>0</v>
      </c>
      <c r="K21" s="27">
        <f>IF(VLOOKUP($A21,Calendar!$A$1:$R$1377,18,0)=0,0,IF(VLOOKUP($A21,Calendar!$A$1:$R$1377,18,0)=1,IFERROR(INDEX(Weekly_Model!$D$2:$D$9,MATCH(F21,Weekly_Model!$A$2:$A$9,0)),0),IF(VLOOKUP($A21,Calendar!$A$1:$R$1377,18,0)=2,SUM(IFERROR(INDEX(Weekly_Model!$D$2:$D$9,MATCH(F21,Weekly_Model!$A$2:$A$9,0)),0),IFERROR(INDEX(Weekly_Model!$D$2:$D$9,MATCH(F22,Weekly_Model!$A$2:$A$9,0)),0)),IF(VLOOKUP($A21,Calendar!$A$1:$R$1377,18,0)=3,SUM(IFERROR(INDEX(Weekly_Model!$D$2:$D$9,MATCH(F21,Weekly_Model!$A$2:$A$9,0)),0),IFERROR(INDEX(Weekly_Model!$D$2:$D$9,MATCH(F22,Weekly_Model!$A$2:$A$9,0)),0),IFERROR(INDEX(Weekly_Model!$D$2:$D$9,MATCH(F23,Weekly_Model!$A$2:$A$9,0)),0)),IF(VLOOKUP($A21,Calendar!$A$1:$R$1377,18,0)=4,SUM(IFERROR(INDEX(Weekly_Model!$D$2:$D$9,MATCH(F21,Weekly_Model!$A$2:$A$9,0)),0),IFERROR(INDEX(Weekly_Model!$D$2:$D$9,MATCH(F22,Weekly_Model!$A$2:$A$9,0)),0),IFERROR(INDEX(Weekly_Model!$D$2:$D$9,MATCH(F23,Weekly_Model!$A$2:$A$9,0)),0),IFERROR(INDEX(Weekly_Model!$D$2:$D$9,MATCH(F24,Weekly_Model!$A$2:$A$9,0)),0)),IF(VLOOKUP($A21,Calendar!$A$1:$R$1377,18,0)=5,SUM(IFERROR(INDEX(Weekly_Model!$D$2:$D$9,MATCH(F21,Weekly_Model!$A$2:$A$9,0)),0),IFERROR(INDEX(Weekly_Model!$D$2:$D$9,MATCH(F22,Weekly_Model!$A$2:$A$9,0)),0),IFERROR(INDEX(Weekly_Model!$D$2:$D$9,MATCH(F23,Weekly_Model!$A$2:$A$9,0)),0),IFERROR(INDEX(Weekly_Model!$D$2:$D$9,MATCH(F24,Weekly_Model!$A$2:$A$9,0)),0),IFERROR(INDEX(Weekly_Model!$D$2:$D$9,MATCH(F25,Weekly_Model!$A$2:$A$9,0)),0)),0))))))</f>
        <v>2.3200000000000002E-2</v>
      </c>
      <c r="L21" s="27">
        <f>IF(VLOOKUP($A21,Calendar!$A$1:$R$1377,18,0)=0,0,IF(VLOOKUP($A21,Calendar!$A$1:$R$1377,18,0)=1,IFERROR(INDEX(Fortnightly_Model!$D$2:$D$15,MATCH(G21,Fortnightly_Model!$B$2:$B$15,0)),0),IF(VLOOKUP($A21,Calendar!$A$1:$R$1377,18,0)=2,SUM(IFERROR(INDEX(Fortnightly_Model!$D$2:$D$15,MATCH(G21,Fortnightly_Model!$B$2:$B$15,0)),0),IFERROR(INDEX(Fortnightly_Model!$D$2:$D$15,MATCH(G22,Fortnightly_Model!$B$2:$B$15,0)),0)),IF(VLOOKUP($A21,Calendar!$A$1:$R$1377,18,0)=3,SUM(IFERROR(INDEX(Fortnightly_Model!$D$2:$D$15,MATCH(G21,Fortnightly_Model!$B$2:$B$15,0)),0),IFERROR(INDEX(Fortnightly_Model!$D$2:$D$15,MATCH(G22,Fortnightly_Model!$B$2:$B$15,0)),0),IFERROR(INDEX(Fortnightly_Model!$D$2:$D$15,MATCH(G23,Fortnightly_Model!$B$2:$B$15,0)),0)),IF(VLOOKUP($A21,Calendar!$A$1:$R$1377,18,0)=4,SUM(IFERROR(INDEX(Fortnightly_Model!$D$2:$D$15,MATCH(G21,Fortnightly_Model!$B$2:$B$15,0)),0),IFERROR(INDEX(Fortnightly_Model!$D$2:$D$15,MATCH(G22,Fortnightly_Model!$B$2:$B$15,0)),0),IFERROR(INDEX(Fortnightly_Model!$D$2:$D$15,MATCH(G23,Fortnightly_Model!$B$2:$B$15,0)),0),IFERROR(INDEX(Fortnightly_Model!$D$2:$D$15,MATCH(G24,Fortnightly_Model!$B$2:$B$15,0)),0)),IF(VLOOKUP($A21,Calendar!$A$1:$R$1377,18,0)=5,SUM(IFERROR(INDEX(Fortnightly_Model!$D$2:$D$15,MATCH(G21,Fortnightly_Model!$B$2:$B$15,0)),0),IFERROR(INDEX(Fortnightly_Model!$D$2:$D$15,MATCH(G22,Fortnightly_Model!$B$2:$B$15,0)),0),IFERROR(INDEX(Fortnightly_Model!$D$2:$D$15,MATCH(G23,Fortnightly_Model!$B$2:$B$15,0)),0),IFERROR(INDEX(Fortnightly_Model!$D$2:$D$15,MATCH(G24,Fortnightly_Model!$B$2:$B$15,0)),0),IFERROR(INDEX(Fortnightly_Model!$D$2:$D$15,MATCH(G25,Fortnightly_Model!$B$2:$B$15,0)),0)),0))))))</f>
        <v>1.0714285499999999E-3</v>
      </c>
      <c r="M21" s="27">
        <f>IF(VLOOKUP($A21,Calendar!$A$1:$R$1377,18,0)=0,0,IF(VLOOKUP($A21,Calendar!$A$1:$R$1377,18,0)=1,IFERROR(INDEX(FourWeekly_Model!$D$2:$D$29,MATCH(H21,FourWeekly_Model!$B$2:$B$29,0)),0),IF(VLOOKUP($A21,Calendar!$A$1:$R$1377,18,0)=2,SUM(IFERROR(INDEX(FourWeekly_Model!$D$2:$D$29,MATCH(H21,FourWeekly_Model!$B$2:$B$29,0)),0),IFERROR(INDEX(FourWeekly_Model!$D$2:$D$29,MATCH(H22,FourWeekly_Model!$B$2:$B$29,0)),0)),IF(VLOOKUP($A21,Calendar!$A$1:$R$1377,18,0)=3,SUM(IFERROR(INDEX(FourWeekly_Model!$D$2:$D$29,MATCH(H21,FourWeekly_Model!$B$2:$B$29,0)),0),IFERROR(INDEX(FourWeekly_Model!$D$2:$D$29,MATCH(H22,FourWeekly_Model!$B$2:$B$29,0)),0),IFERROR(INDEX(FourWeekly_Model!$D$2:$D$29,MATCH(H23,FourWeekly_Model!$B$2:$B$29,0)),0)),IF(VLOOKUP($A21,Calendar!$A$1:$R$1377,18,0)=4,SUM(IFERROR(INDEX(FourWeekly_Model!$D$2:$D$29,MATCH(H21,FourWeekly_Model!$B$2:$B$29,0)),0),IFERROR(INDEX(FourWeekly_Model!$D$2:$D$29,MATCH(H22,FourWeekly_Model!$B$2:$B$29,0)),0),IFERROR(INDEX(FourWeekly_Model!$D$2:$D$29,MATCH(H23,FourWeekly_Model!$B$2:$B$29,0)),0),IFERROR(INDEX(FourWeekly_Model!$D$2:$D$29,MATCH(H24,FourWeekly_Model!$B$2:$B$29,0)),0)),IF(VLOOKUP($A21,Calendar!$A$1:$R$1377,18,0)=5,SUM(IFERROR(INDEX(FourWeekly_Model!$D$2:$D$29,MATCH(H21,FourWeekly_Model!$B$2:$B$29,0)),0),IFERROR(INDEX(FourWeekly_Model!$D$2:$D$29,MATCH(H22,FourWeekly_Model!$B$2:$B$29,0)),0),IFERROR(INDEX(FourWeekly_Model!$D$2:$D$29,MATCH(H23,FourWeekly_Model!$B$2:$B$29,0)),0),IFERROR(INDEX(FourWeekly_Model!$D$2:$D$29,MATCH(H24,FourWeekly_Model!$B$2:$B$29,0)),0),IFERROR(INDEX(FourWeekly_Model!$D$2:$D$29,MATCH(H25,FourWeekly_Model!$B$2:$B$29,0)),0)),0))))))</f>
        <v>3.3214289700000004E-3</v>
      </c>
      <c r="N21" s="27">
        <f>SUM(I21:M21)</f>
        <v>3.5718511970261782E-2</v>
      </c>
      <c r="O21" s="28">
        <f>Population_Data!$B$8*N21</f>
        <v>1082270.912698932</v>
      </c>
      <c r="P21" s="27">
        <f>IF(VLOOKUP($A21,Calendar!$A$1:$R$1377,18,0)=0,0,IF(VLOOKUP($A21,Calendar!$A$1:$R$1377,18,0)=1,IFERROR(INDEX(Pension_Model!$D$2:$D$29,MATCH(H21,Pension_Model!$B$2:$B$29,0)),0),IF(VLOOKUP($A21,Calendar!$A$1:$R$1377,18,0)=2,SUM(IFERROR(INDEX(Pension_Model!$D$2:$D$29,MATCH(H21,Pension_Model!$B$2:$B$29,0)),0),IFERROR(INDEX(Pension_Model!$D$2:$D$29,MATCH(H22,Pension_Model!$B$2:$B$29,0)),0)),IF(VLOOKUP($A21,Calendar!$A$1:$R$1377,18,0)=3,SUM(IFERROR(INDEX(Pension_Model!$D$2:$D$29,MATCH(H21,Pension_Model!$B$2:$B$29,0)),0),IFERROR(INDEX(Pension_Model!$D$2:$D$29,MATCH(H22,Pension_Model!$B$2:$B$29,0)),0),IFERROR(INDEX(Pension_Model!$D$2:$D$29,MATCH(H23,Pension_Model!$B$2:$B$29,0)),0)),IF(VLOOKUP($A21,Calendar!$A$1:$R$1377,18,0)=4,SUM(IFERROR(INDEX(Pension_Model!$D$2:$D$29,MATCH(H21,Pension_Model!$B$2:$B$29,0)),0),IFERROR(INDEX(Pension_Model!$D$2:$D$29,MATCH(H22,Pension_Model!$B$2:$B$29,0)),0),IFERROR(INDEX(Pension_Model!$D$2:$D$29,MATCH(H23,Pension_Model!$B$2:$B$29,0)),0),IFERROR(INDEX(Pension_Model!$D$2:$D$29,MATCH(H24,Pension_Model!$B$2:$B$29,0)),0)),IF(VLOOKUP($A21,Calendar!$A$1:$R$1377,18,0)=5,SUM(IFERROR(INDEX(Pension_Model!$D$2:$D$29,MATCH(H21,Pension_Model!$B$2:$B$29,0)),0),IFERROR(INDEX(Pension_Model!$D$2:$D$29,MATCH(H22,Pension_Model!$B$2:$B$29,0)),0),IFERROR(INDEX(Pension_Model!$D$2:$D$29,MATCH(H23,Pension_Model!$B$2:$B$29,0)),0),IFERROR(INDEX(Pension_Model!$D$2:$D$29,MATCH(H24,Pension_Model!$B$2:$B$29,0)),0),IFERROR(INDEX(Pension_Model!$D$2:$D$29,MATCH(H25,Pension_Model!$B$2:$B$29,0)),0)),0))))))</f>
        <v>0.05</v>
      </c>
      <c r="Q21" s="28">
        <f>Population_Data!$B$15*P21</f>
        <v>660600</v>
      </c>
      <c r="R21" s="32"/>
      <c r="S21">
        <f t="shared" si="0"/>
        <v>1742870.912698932</v>
      </c>
      <c r="U21" s="33">
        <f>S21/Population_Data!$B$19</f>
        <v>3.1573748418458912E-2</v>
      </c>
    </row>
    <row r="22" spans="1:21">
      <c r="A22" s="25">
        <f>Calendar!A22</f>
        <v>46255</v>
      </c>
      <c r="B22" t="str">
        <f>Calendar!L22</f>
        <v>Yes</v>
      </c>
      <c r="C22" t="str">
        <f>Calendar!O22</f>
        <v>No</v>
      </c>
      <c r="D22" t="str">
        <f>Calendar!P22</f>
        <v>No</v>
      </c>
      <c r="E22" t="str">
        <f>Calendar!Q22</f>
        <v>No</v>
      </c>
      <c r="F22" t="str">
        <f>Calendar!I22</f>
        <v>Friday</v>
      </c>
      <c r="G22">
        <f>Calendar!S22</f>
        <v>13</v>
      </c>
      <c r="H22">
        <f>Calendar!T22</f>
        <v>27</v>
      </c>
      <c r="I22" s="27">
        <f>IF(VLOOKUP(A22,Calendar!$A$1:$R$1377,18,0)=0,0,IF(VLOOKUP(A22,Calendar!$A$1:$R$1377,18,0)=1,INDEX(Monthly_Pay_Model!$A$9:$D$40,MATCH(TEXT(A22,"dd"),Monthly_Pay_Model!$C$9:$C$39,0),4),IF(VLOOKUP(A22,Calendar!$A$1:$R$1377,18,0)=2,SUM(INDEX(Monthly_Pay_Model!$A$9:$D$40,MATCH(TEXT(A22,"dd"),Monthly_Pay_Model!$C$9:$C$39,0),4),INDEX(Monthly_Pay_Model!$A$9:$D$40,MATCH(TEXT(A23,"dd"),Monthly_Pay_Model!$C$9:$C$39,0),4)),IF(VLOOKUP(A22,Calendar!$A$1:$R$1377,18,0)=3,SUM(INDEX(Monthly_Pay_Model!$A$9:$D$40,MATCH(TEXT(A22,"dd"),Monthly_Pay_Model!$C$9:$C$39,0),4),INDEX(Monthly_Pay_Model!$A$9:$D$40,MATCH(TEXT(A23,"dd"),Monthly_Pay_Model!$C$9:$C$39,0),4),INDEX(Monthly_Pay_Model!$A$9:$D$40,MATCH(TEXT(A24,"dd"),Monthly_Pay_Model!$C$9:$C$39,0),4)),IF(VLOOKUP(A22,Calendar!$A$1:$R$1377,18,0)=4,SUM(INDEX(Monthly_Pay_Model!$A$9:$D$40,MATCH(TEXT(A22,"dd"),Monthly_Pay_Model!$C$9:$C$39,0),4),INDEX(Monthly_Pay_Model!$A$9:$D$40,MATCH(TEXT(A23,"dd"),Monthly_Pay_Model!$C$9:$C$39,0),4),INDEX(Monthly_Pay_Model!$A$9:$D$40,MATCH(TEXT(A24,"dd"),Monthly_Pay_Model!$C$9:$C$39,0),4),INDEX(Monthly_Pay_Model!$A$9:$D$40,MATCH(TEXT(A25,"dd"),Monthly_Pay_Model!$C$9:$C$39,0),4)),IF(VLOOKUP(A22,Calendar!$A$1:$R$1377,18,0)=5,SUM(INDEX(Monthly_Pay_Model!$A$9:$D$40,MATCH(TEXT(A22,"dd"),Monthly_Pay_Model!$C$9:$C$39,0),4),INDEX(Monthly_Pay_Model!$A$9:$D$40,MATCH(TEXT(A23,"dd"),Monthly_Pay_Model!$C$9:$C$39,0),4),INDEX(Monthly_Pay_Model!$A$9:$D$40,MATCH(TEXT(A24,"dd"),Monthly_Pay_Model!$C$9:$C$39,0),4),INDEX(Monthly_Pay_Model!$A$9:$D$40,MATCH(TEXT(A25,"dd"),Monthly_Pay_Model!$C$9:$C$39,0),4),INDEX(Monthly_Pay_Model!$A$9:$D$40,MATCH(TEXT(A26,"dd"),Monthly_Pay_Model!$C$9:$C$39,0),4)),))))))</f>
        <v>1.2188481675392668E-2</v>
      </c>
      <c r="J22" s="33">
        <f>IF(C22="Yes",Monthly_Pay_Model!$D$2,0)
+IF(Calendar!N22="Yes",Monthly_Pay_Model!$D$3,0)
+IF(D22="Yes",Monthly_Pay_Model!$D$4,0)
+IF(E22="Yes",Monthly_Pay_Model!$D$5,0)</f>
        <v>0</v>
      </c>
      <c r="K22" s="27">
        <f>IF(VLOOKUP($A22,Calendar!$A$1:$R$1377,18,0)=0,0,IF(VLOOKUP($A22,Calendar!$A$1:$R$1377,18,0)=1,IFERROR(INDEX(Weekly_Model!$D$2:$D$9,MATCH(F22,Weekly_Model!$A$2:$A$9,0)),0),IF(VLOOKUP($A22,Calendar!$A$1:$R$1377,18,0)=2,SUM(IFERROR(INDEX(Weekly_Model!$D$2:$D$9,MATCH(F22,Weekly_Model!$A$2:$A$9,0)),0),IFERROR(INDEX(Weekly_Model!$D$2:$D$9,MATCH(F23,Weekly_Model!$A$2:$A$9,0)),0)),IF(VLOOKUP($A22,Calendar!$A$1:$R$1377,18,0)=3,SUM(IFERROR(INDEX(Weekly_Model!$D$2:$D$9,MATCH(F22,Weekly_Model!$A$2:$A$9,0)),0),IFERROR(INDEX(Weekly_Model!$D$2:$D$9,MATCH(F23,Weekly_Model!$A$2:$A$9,0)),0),IFERROR(INDEX(Weekly_Model!$D$2:$D$9,MATCH(F24,Weekly_Model!$A$2:$A$9,0)),0)),IF(VLOOKUP($A22,Calendar!$A$1:$R$1377,18,0)=4,SUM(IFERROR(INDEX(Weekly_Model!$D$2:$D$9,MATCH(F22,Weekly_Model!$A$2:$A$9,0)),0),IFERROR(INDEX(Weekly_Model!$D$2:$D$9,MATCH(F23,Weekly_Model!$A$2:$A$9,0)),0),IFERROR(INDEX(Weekly_Model!$D$2:$D$9,MATCH(F24,Weekly_Model!$A$2:$A$9,0)),0),IFERROR(INDEX(Weekly_Model!$D$2:$D$9,MATCH(F25,Weekly_Model!$A$2:$A$9,0)),0)),IF(VLOOKUP($A22,Calendar!$A$1:$R$1377,18,0)=5,SUM(IFERROR(INDEX(Weekly_Model!$D$2:$D$9,MATCH(F22,Weekly_Model!$A$2:$A$9,0)),0),IFERROR(INDEX(Weekly_Model!$D$2:$D$9,MATCH(F23,Weekly_Model!$A$2:$A$9,0)),0),IFERROR(INDEX(Weekly_Model!$D$2:$D$9,MATCH(F24,Weekly_Model!$A$2:$A$9,0)),0),IFERROR(INDEX(Weekly_Model!$D$2:$D$9,MATCH(F25,Weekly_Model!$A$2:$A$9,0)),0),IFERROR(INDEX(Weekly_Model!$D$2:$D$9,MATCH(F26,Weekly_Model!$A$2:$A$9,0)),0)),0))))))</f>
        <v>2.3200000000000002E-2</v>
      </c>
      <c r="L22" s="27">
        <f>IF(VLOOKUP($A22,Calendar!$A$1:$R$1377,18,0)=0,0,IF(VLOOKUP($A22,Calendar!$A$1:$R$1377,18,0)=1,IFERROR(INDEX(Fortnightly_Model!$D$2:$D$15,MATCH(G22,Fortnightly_Model!$B$2:$B$15,0)),0),IF(VLOOKUP($A22,Calendar!$A$1:$R$1377,18,0)=2,SUM(IFERROR(INDEX(Fortnightly_Model!$D$2:$D$15,MATCH(G22,Fortnightly_Model!$B$2:$B$15,0)),0),IFERROR(INDEX(Fortnightly_Model!$D$2:$D$15,MATCH(G23,Fortnightly_Model!$B$2:$B$15,0)),0)),IF(VLOOKUP($A22,Calendar!$A$1:$R$1377,18,0)=3,SUM(IFERROR(INDEX(Fortnightly_Model!$D$2:$D$15,MATCH(G22,Fortnightly_Model!$B$2:$B$15,0)),0),IFERROR(INDEX(Fortnightly_Model!$D$2:$D$15,MATCH(G23,Fortnightly_Model!$B$2:$B$15,0)),0),IFERROR(INDEX(Fortnightly_Model!$D$2:$D$15,MATCH(G24,Fortnightly_Model!$B$2:$B$15,0)),0)),IF(VLOOKUP($A22,Calendar!$A$1:$R$1377,18,0)=4,SUM(IFERROR(INDEX(Fortnightly_Model!$D$2:$D$15,MATCH(G22,Fortnightly_Model!$B$2:$B$15,0)),0),IFERROR(INDEX(Fortnightly_Model!$D$2:$D$15,MATCH(G23,Fortnightly_Model!$B$2:$B$15,0)),0),IFERROR(INDEX(Fortnightly_Model!$D$2:$D$15,MATCH(G24,Fortnightly_Model!$B$2:$B$15,0)),0),IFERROR(INDEX(Fortnightly_Model!$D$2:$D$15,MATCH(G25,Fortnightly_Model!$B$2:$B$15,0)),0)),IF(VLOOKUP($A22,Calendar!$A$1:$R$1377,18,0)=5,SUM(IFERROR(INDEX(Fortnightly_Model!$D$2:$D$15,MATCH(G22,Fortnightly_Model!$B$2:$B$15,0)),0),IFERROR(INDEX(Fortnightly_Model!$D$2:$D$15,MATCH(G23,Fortnightly_Model!$B$2:$B$15,0)),0),IFERROR(INDEX(Fortnightly_Model!$D$2:$D$15,MATCH(G24,Fortnightly_Model!$B$2:$B$15,0)),0),IFERROR(INDEX(Fortnightly_Model!$D$2:$D$15,MATCH(G25,Fortnightly_Model!$B$2:$B$15,0)),0),IFERROR(INDEX(Fortnightly_Model!$D$2:$D$15,MATCH(G26,Fortnightly_Model!$B$2:$B$15,0)),0)),0))))))</f>
        <v>3.2142856499999999E-3</v>
      </c>
      <c r="M22" s="27">
        <f>IF(VLOOKUP($A22,Calendar!$A$1:$R$1377,18,0)=0,0,IF(VLOOKUP($A22,Calendar!$A$1:$R$1377,18,0)=1,IFERROR(INDEX(FourWeekly_Model!$D$2:$D$29,MATCH(H22,FourWeekly_Model!$B$2:$B$29,0)),0),IF(VLOOKUP($A22,Calendar!$A$1:$R$1377,18,0)=2,SUM(IFERROR(INDEX(FourWeekly_Model!$D$2:$D$29,MATCH(H22,FourWeekly_Model!$B$2:$B$29,0)),0),IFERROR(INDEX(FourWeekly_Model!$D$2:$D$29,MATCH(H23,FourWeekly_Model!$B$2:$B$29,0)),0)),IF(VLOOKUP($A22,Calendar!$A$1:$R$1377,18,0)=3,SUM(IFERROR(INDEX(FourWeekly_Model!$D$2:$D$29,MATCH(H22,FourWeekly_Model!$B$2:$B$29,0)),0),IFERROR(INDEX(FourWeekly_Model!$D$2:$D$29,MATCH(H23,FourWeekly_Model!$B$2:$B$29,0)),0),IFERROR(INDEX(FourWeekly_Model!$D$2:$D$29,MATCH(H24,FourWeekly_Model!$B$2:$B$29,0)),0)),IF(VLOOKUP($A22,Calendar!$A$1:$R$1377,18,0)=4,SUM(IFERROR(INDEX(FourWeekly_Model!$D$2:$D$29,MATCH(H22,FourWeekly_Model!$B$2:$B$29,0)),0),IFERROR(INDEX(FourWeekly_Model!$D$2:$D$29,MATCH(H23,FourWeekly_Model!$B$2:$B$29,0)),0),IFERROR(INDEX(FourWeekly_Model!$D$2:$D$29,MATCH(H24,FourWeekly_Model!$B$2:$B$29,0)),0),IFERROR(INDEX(FourWeekly_Model!$D$2:$D$29,MATCH(H25,FourWeekly_Model!$B$2:$B$29,0)),0)),IF(VLOOKUP($A22,Calendar!$A$1:$R$1377,18,0)=5,SUM(IFERROR(INDEX(FourWeekly_Model!$D$2:$D$29,MATCH(H22,FourWeekly_Model!$B$2:$B$29,0)),0),IFERROR(INDEX(FourWeekly_Model!$D$2:$D$29,MATCH(H23,FourWeekly_Model!$B$2:$B$29,0)),0),IFERROR(INDEX(FourWeekly_Model!$D$2:$D$29,MATCH(H24,FourWeekly_Model!$B$2:$B$29,0)),0),IFERROR(INDEX(FourWeekly_Model!$D$2:$D$29,MATCH(H25,FourWeekly_Model!$B$2:$B$29,0)),0),IFERROR(INDEX(FourWeekly_Model!$D$2:$D$29,MATCH(H26,FourWeekly_Model!$B$2:$B$29,0)),0)),0))))))</f>
        <v>9.9642859800000011E-3</v>
      </c>
      <c r="N22" s="27">
        <f>SUM(I22:M22)</f>
        <v>4.8567053305392675E-2</v>
      </c>
      <c r="O22" s="28">
        <f>Population_Data!$B$8*N22</f>
        <v>1471581.715153398</v>
      </c>
      <c r="P22" s="27">
        <f>IF(VLOOKUP($A22,Calendar!$A$1:$R$1377,18,0)=0,0,IF(VLOOKUP($A22,Calendar!$A$1:$R$1377,18,0)=1,IFERROR(INDEX(Pension_Model!$D$2:$D$29,MATCH(H22,Pension_Model!$B$2:$B$29,0)),0),IF(VLOOKUP($A22,Calendar!$A$1:$R$1377,18,0)=2,SUM(IFERROR(INDEX(Pension_Model!$D$2:$D$29,MATCH(H22,Pension_Model!$B$2:$B$29,0)),0),IFERROR(INDEX(Pension_Model!$D$2:$D$29,MATCH(H23,Pension_Model!$B$2:$B$29,0)),0)),IF(VLOOKUP($A22,Calendar!$A$1:$R$1377,18,0)=3,SUM(IFERROR(INDEX(Pension_Model!$D$2:$D$29,MATCH(H22,Pension_Model!$B$2:$B$29,0)),0),IFERROR(INDEX(Pension_Model!$D$2:$D$29,MATCH(H23,Pension_Model!$B$2:$B$29,0)),0),IFERROR(INDEX(Pension_Model!$D$2:$D$29,MATCH(H24,Pension_Model!$B$2:$B$29,0)),0)),IF(VLOOKUP($A22,Calendar!$A$1:$R$1377,18,0)=4,SUM(IFERROR(INDEX(Pension_Model!$D$2:$D$29,MATCH(H22,Pension_Model!$B$2:$B$29,0)),0),IFERROR(INDEX(Pension_Model!$D$2:$D$29,MATCH(H23,Pension_Model!$B$2:$B$29,0)),0),IFERROR(INDEX(Pension_Model!$D$2:$D$29,MATCH(H24,Pension_Model!$B$2:$B$29,0)),0),IFERROR(INDEX(Pension_Model!$D$2:$D$29,MATCH(H25,Pension_Model!$B$2:$B$29,0)),0)),IF(VLOOKUP($A22,Calendar!$A$1:$R$1377,18,0)=5,SUM(IFERROR(INDEX(Pension_Model!$D$2:$D$29,MATCH(H22,Pension_Model!$B$2:$B$29,0)),0),IFERROR(INDEX(Pension_Model!$D$2:$D$29,MATCH(H23,Pension_Model!$B$2:$B$29,0)),0),IFERROR(INDEX(Pension_Model!$D$2:$D$29,MATCH(H24,Pension_Model!$B$2:$B$29,0)),0),IFERROR(INDEX(Pension_Model!$D$2:$D$29,MATCH(H25,Pension_Model!$B$2:$B$29,0)),0),IFERROR(INDEX(Pension_Model!$D$2:$D$29,MATCH(H26,Pension_Model!$B$2:$B$29,0)),0)),0))))))</f>
        <v>0.05</v>
      </c>
      <c r="Q22" s="28">
        <f>Population_Data!$B$15*P22</f>
        <v>660600</v>
      </c>
      <c r="R22" s="32"/>
      <c r="S22">
        <f t="shared" si="0"/>
        <v>2132181.715153398</v>
      </c>
      <c r="U22" s="33">
        <f>S22/Population_Data!$B$19</f>
        <v>3.8626480346981851E-2</v>
      </c>
    </row>
    <row r="23" spans="1:21">
      <c r="A23" s="25">
        <f>Calendar!A23</f>
        <v>46256</v>
      </c>
      <c r="B23" t="str">
        <f>Calendar!L23</f>
        <v>No</v>
      </c>
      <c r="C23" t="str">
        <f>Calendar!O23</f>
        <v>No</v>
      </c>
      <c r="D23" t="str">
        <f>Calendar!P23</f>
        <v>No</v>
      </c>
      <c r="E23" t="str">
        <f>Calendar!Q23</f>
        <v>No</v>
      </c>
      <c r="F23" t="str">
        <f>Calendar!I23</f>
        <v>Saturday</v>
      </c>
      <c r="G23">
        <f>Calendar!S23</f>
        <v>0</v>
      </c>
      <c r="H23">
        <f>Calendar!T23</f>
        <v>0</v>
      </c>
      <c r="I23" s="27">
        <f>IF(VLOOKUP(A23,Calendar!$A$1:$R$1377,18,0)=0,0,IF(VLOOKUP(A23,Calendar!$A$1:$R$1377,18,0)=1,INDEX(Monthly_Pay_Model!$A$9:$D$40,MATCH(TEXT(A23,"dd"),Monthly_Pay_Model!$C$9:$C$39,0),4),IF(VLOOKUP(A23,Calendar!$A$1:$R$1377,18,0)=2,SUM(INDEX(Monthly_Pay_Model!$A$9:$D$40,MATCH(TEXT(A23,"dd"),Monthly_Pay_Model!$C$9:$C$39,0),4),INDEX(Monthly_Pay_Model!$A$9:$D$40,MATCH(TEXT(A24,"dd"),Monthly_Pay_Model!$C$9:$C$39,0),4)),IF(VLOOKUP(A23,Calendar!$A$1:$R$1377,18,0)=3,SUM(INDEX(Monthly_Pay_Model!$A$9:$D$40,MATCH(TEXT(A23,"dd"),Monthly_Pay_Model!$C$9:$C$39,0),4),INDEX(Monthly_Pay_Model!$A$9:$D$40,MATCH(TEXT(A24,"dd"),Monthly_Pay_Model!$C$9:$C$39,0),4),INDEX(Monthly_Pay_Model!$A$9:$D$40,MATCH(TEXT(A25,"dd"),Monthly_Pay_Model!$C$9:$C$39,0),4)),IF(VLOOKUP(A23,Calendar!$A$1:$R$1377,18,0)=4,SUM(INDEX(Monthly_Pay_Model!$A$9:$D$40,MATCH(TEXT(A23,"dd"),Monthly_Pay_Model!$C$9:$C$39,0),4),INDEX(Monthly_Pay_Model!$A$9:$D$40,MATCH(TEXT(A24,"dd"),Monthly_Pay_Model!$C$9:$C$39,0),4),INDEX(Monthly_Pay_Model!$A$9:$D$40,MATCH(TEXT(A25,"dd"),Monthly_Pay_Model!$C$9:$C$39,0),4),INDEX(Monthly_Pay_Model!$A$9:$D$40,MATCH(TEXT(A26,"dd"),Monthly_Pay_Model!$C$9:$C$39,0),4)),IF(VLOOKUP(A23,Calendar!$A$1:$R$1377,18,0)=5,SUM(INDEX(Monthly_Pay_Model!$A$9:$D$40,MATCH(TEXT(A23,"dd"),Monthly_Pay_Model!$C$9:$C$39,0),4),INDEX(Monthly_Pay_Model!$A$9:$D$40,MATCH(TEXT(A24,"dd"),Monthly_Pay_Model!$C$9:$C$39,0),4),INDEX(Monthly_Pay_Model!$A$9:$D$40,MATCH(TEXT(A25,"dd"),Monthly_Pay_Model!$C$9:$C$39,0),4),INDEX(Monthly_Pay_Model!$A$9:$D$40,MATCH(TEXT(A26,"dd"),Monthly_Pay_Model!$C$9:$C$39,0),4),INDEX(Monthly_Pay_Model!$A$9:$D$40,MATCH(TEXT(A27,"dd"),Monthly_Pay_Model!$C$9:$C$39,0),4)),))))))</f>
        <v>0</v>
      </c>
      <c r="J23" s="33">
        <f>IF(C23="Yes",Monthly_Pay_Model!$D$2,0)
+IF(Calendar!N23="Yes",Monthly_Pay_Model!$D$3,0)
+IF(D23="Yes",Monthly_Pay_Model!$D$4,0)
+IF(E23="Yes",Monthly_Pay_Model!$D$5,0)</f>
        <v>0</v>
      </c>
      <c r="K23" s="27">
        <f>IF(VLOOKUP($A23,Calendar!$A$1:$R$1377,18,0)=0,0,IF(VLOOKUP($A23,Calendar!$A$1:$R$1377,18,0)=1,IFERROR(INDEX(Weekly_Model!$D$2:$D$9,MATCH(F23,Weekly_Model!$A$2:$A$9,0)),0),IF(VLOOKUP($A23,Calendar!$A$1:$R$1377,18,0)=2,SUM(IFERROR(INDEX(Weekly_Model!$D$2:$D$9,MATCH(F23,Weekly_Model!$A$2:$A$9,0)),0),IFERROR(INDEX(Weekly_Model!$D$2:$D$9,MATCH(F24,Weekly_Model!$A$2:$A$9,0)),0)),IF(VLOOKUP($A23,Calendar!$A$1:$R$1377,18,0)=3,SUM(IFERROR(INDEX(Weekly_Model!$D$2:$D$9,MATCH(F23,Weekly_Model!$A$2:$A$9,0)),0),IFERROR(INDEX(Weekly_Model!$D$2:$D$9,MATCH(F24,Weekly_Model!$A$2:$A$9,0)),0),IFERROR(INDEX(Weekly_Model!$D$2:$D$9,MATCH(F25,Weekly_Model!$A$2:$A$9,0)),0)),IF(VLOOKUP($A23,Calendar!$A$1:$R$1377,18,0)=4,SUM(IFERROR(INDEX(Weekly_Model!$D$2:$D$9,MATCH(F23,Weekly_Model!$A$2:$A$9,0)),0),IFERROR(INDEX(Weekly_Model!$D$2:$D$9,MATCH(F24,Weekly_Model!$A$2:$A$9,0)),0),IFERROR(INDEX(Weekly_Model!$D$2:$D$9,MATCH(F25,Weekly_Model!$A$2:$A$9,0)),0),IFERROR(INDEX(Weekly_Model!$D$2:$D$9,MATCH(F26,Weekly_Model!$A$2:$A$9,0)),0)),IF(VLOOKUP($A23,Calendar!$A$1:$R$1377,18,0)=5,SUM(IFERROR(INDEX(Weekly_Model!$D$2:$D$9,MATCH(F23,Weekly_Model!$A$2:$A$9,0)),0),IFERROR(INDEX(Weekly_Model!$D$2:$D$9,MATCH(F24,Weekly_Model!$A$2:$A$9,0)),0),IFERROR(INDEX(Weekly_Model!$D$2:$D$9,MATCH(F25,Weekly_Model!$A$2:$A$9,0)),0),IFERROR(INDEX(Weekly_Model!$D$2:$D$9,MATCH(F26,Weekly_Model!$A$2:$A$9,0)),0),IFERROR(INDEX(Weekly_Model!$D$2:$D$9,MATCH(F27,Weekly_Model!$A$2:$A$9,0)),0)),0))))))</f>
        <v>0</v>
      </c>
      <c r="L23" s="27">
        <f>IF(VLOOKUP($A23,Calendar!$A$1:$R$1377,18,0)=0,0,IF(VLOOKUP($A23,Calendar!$A$1:$R$1377,18,0)=1,IFERROR(INDEX(Fortnightly_Model!$D$2:$D$15,MATCH(G23,Fortnightly_Model!$B$2:$B$15,0)),0),IF(VLOOKUP($A23,Calendar!$A$1:$R$1377,18,0)=2,SUM(IFERROR(INDEX(Fortnightly_Model!$D$2:$D$15,MATCH(G23,Fortnightly_Model!$B$2:$B$15,0)),0),IFERROR(INDEX(Fortnightly_Model!$D$2:$D$15,MATCH(G24,Fortnightly_Model!$B$2:$B$15,0)),0)),IF(VLOOKUP($A23,Calendar!$A$1:$R$1377,18,0)=3,SUM(IFERROR(INDEX(Fortnightly_Model!$D$2:$D$15,MATCH(G23,Fortnightly_Model!$B$2:$B$15,0)),0),IFERROR(INDEX(Fortnightly_Model!$D$2:$D$15,MATCH(G24,Fortnightly_Model!$B$2:$B$15,0)),0),IFERROR(INDEX(Fortnightly_Model!$D$2:$D$15,MATCH(G25,Fortnightly_Model!$B$2:$B$15,0)),0)),IF(VLOOKUP($A23,Calendar!$A$1:$R$1377,18,0)=4,SUM(IFERROR(INDEX(Fortnightly_Model!$D$2:$D$15,MATCH(G23,Fortnightly_Model!$B$2:$B$15,0)),0),IFERROR(INDEX(Fortnightly_Model!$D$2:$D$15,MATCH(G24,Fortnightly_Model!$B$2:$B$15,0)),0),IFERROR(INDEX(Fortnightly_Model!$D$2:$D$15,MATCH(G25,Fortnightly_Model!$B$2:$B$15,0)),0),IFERROR(INDEX(Fortnightly_Model!$D$2:$D$15,MATCH(G26,Fortnightly_Model!$B$2:$B$15,0)),0)),IF(VLOOKUP($A23,Calendar!$A$1:$R$1377,18,0)=5,SUM(IFERROR(INDEX(Fortnightly_Model!$D$2:$D$15,MATCH(G23,Fortnightly_Model!$B$2:$B$15,0)),0),IFERROR(INDEX(Fortnightly_Model!$D$2:$D$15,MATCH(G24,Fortnightly_Model!$B$2:$B$15,0)),0),IFERROR(INDEX(Fortnightly_Model!$D$2:$D$15,MATCH(G25,Fortnightly_Model!$B$2:$B$15,0)),0),IFERROR(INDEX(Fortnightly_Model!$D$2:$D$15,MATCH(G26,Fortnightly_Model!$B$2:$B$15,0)),0),IFERROR(INDEX(Fortnightly_Model!$D$2:$D$15,MATCH(G27,Fortnightly_Model!$B$2:$B$15,0)),0)),0))))))</f>
        <v>0</v>
      </c>
      <c r="M23" s="27">
        <f>IF(VLOOKUP($A23,Calendar!$A$1:$R$1377,18,0)=0,0,IF(VLOOKUP($A23,Calendar!$A$1:$R$1377,18,0)=1,IFERROR(INDEX(FourWeekly_Model!$D$2:$D$29,MATCH(H23,FourWeekly_Model!$B$2:$B$29,0)),0),IF(VLOOKUP($A23,Calendar!$A$1:$R$1377,18,0)=2,SUM(IFERROR(INDEX(FourWeekly_Model!$D$2:$D$29,MATCH(H23,FourWeekly_Model!$B$2:$B$29,0)),0),IFERROR(INDEX(FourWeekly_Model!$D$2:$D$29,MATCH(H24,FourWeekly_Model!$B$2:$B$29,0)),0)),IF(VLOOKUP($A23,Calendar!$A$1:$R$1377,18,0)=3,SUM(IFERROR(INDEX(FourWeekly_Model!$D$2:$D$29,MATCH(H23,FourWeekly_Model!$B$2:$B$29,0)),0),IFERROR(INDEX(FourWeekly_Model!$D$2:$D$29,MATCH(H24,FourWeekly_Model!$B$2:$B$29,0)),0),IFERROR(INDEX(FourWeekly_Model!$D$2:$D$29,MATCH(H25,FourWeekly_Model!$B$2:$B$29,0)),0)),IF(VLOOKUP($A23,Calendar!$A$1:$R$1377,18,0)=4,SUM(IFERROR(INDEX(FourWeekly_Model!$D$2:$D$29,MATCH(H23,FourWeekly_Model!$B$2:$B$29,0)),0),IFERROR(INDEX(FourWeekly_Model!$D$2:$D$29,MATCH(H24,FourWeekly_Model!$B$2:$B$29,0)),0),IFERROR(INDEX(FourWeekly_Model!$D$2:$D$29,MATCH(H25,FourWeekly_Model!$B$2:$B$29,0)),0),IFERROR(INDEX(FourWeekly_Model!$D$2:$D$29,MATCH(H26,FourWeekly_Model!$B$2:$B$29,0)),0)),IF(VLOOKUP($A23,Calendar!$A$1:$R$1377,18,0)=5,SUM(IFERROR(INDEX(FourWeekly_Model!$D$2:$D$29,MATCH(H23,FourWeekly_Model!$B$2:$B$29,0)),0),IFERROR(INDEX(FourWeekly_Model!$D$2:$D$29,MATCH(H24,FourWeekly_Model!$B$2:$B$29,0)),0),IFERROR(INDEX(FourWeekly_Model!$D$2:$D$29,MATCH(H25,FourWeekly_Model!$B$2:$B$29,0)),0),IFERROR(INDEX(FourWeekly_Model!$D$2:$D$29,MATCH(H26,FourWeekly_Model!$B$2:$B$29,0)),0),IFERROR(INDEX(FourWeekly_Model!$D$2:$D$29,MATCH(H27,FourWeekly_Model!$B$2:$B$29,0)),0)),0))))))</f>
        <v>0</v>
      </c>
      <c r="N23" s="27">
        <f>SUM(I23:M23)</f>
        <v>0</v>
      </c>
      <c r="O23" s="28">
        <f>Population_Data!$B$8*N23</f>
        <v>0</v>
      </c>
      <c r="P23" s="27">
        <f>IF(VLOOKUP($A23,Calendar!$A$1:$R$1377,18,0)=0,0,IF(VLOOKUP($A23,Calendar!$A$1:$R$1377,18,0)=1,IFERROR(INDEX(Pension_Model!$D$2:$D$29,MATCH(H23,Pension_Model!$B$2:$B$29,0)),0),IF(VLOOKUP($A23,Calendar!$A$1:$R$1377,18,0)=2,SUM(IFERROR(INDEX(Pension_Model!$D$2:$D$29,MATCH(H23,Pension_Model!$B$2:$B$29,0)),0),IFERROR(INDEX(Pension_Model!$D$2:$D$29,MATCH(H24,Pension_Model!$B$2:$B$29,0)),0)),IF(VLOOKUP($A23,Calendar!$A$1:$R$1377,18,0)=3,SUM(IFERROR(INDEX(Pension_Model!$D$2:$D$29,MATCH(H23,Pension_Model!$B$2:$B$29,0)),0),IFERROR(INDEX(Pension_Model!$D$2:$D$29,MATCH(H24,Pension_Model!$B$2:$B$29,0)),0),IFERROR(INDEX(Pension_Model!$D$2:$D$29,MATCH(H25,Pension_Model!$B$2:$B$29,0)),0)),IF(VLOOKUP($A23,Calendar!$A$1:$R$1377,18,0)=4,SUM(IFERROR(INDEX(Pension_Model!$D$2:$D$29,MATCH(H23,Pension_Model!$B$2:$B$29,0)),0),IFERROR(INDEX(Pension_Model!$D$2:$D$29,MATCH(H24,Pension_Model!$B$2:$B$29,0)),0),IFERROR(INDEX(Pension_Model!$D$2:$D$29,MATCH(H25,Pension_Model!$B$2:$B$29,0)),0),IFERROR(INDEX(Pension_Model!$D$2:$D$29,MATCH(H26,Pension_Model!$B$2:$B$29,0)),0)),IF(VLOOKUP($A23,Calendar!$A$1:$R$1377,18,0)=5,SUM(IFERROR(INDEX(Pension_Model!$D$2:$D$29,MATCH(H23,Pension_Model!$B$2:$B$29,0)),0),IFERROR(INDEX(Pension_Model!$D$2:$D$29,MATCH(H24,Pension_Model!$B$2:$B$29,0)),0),IFERROR(INDEX(Pension_Model!$D$2:$D$29,MATCH(H25,Pension_Model!$B$2:$B$29,0)),0),IFERROR(INDEX(Pension_Model!$D$2:$D$29,MATCH(H26,Pension_Model!$B$2:$B$29,0)),0),IFERROR(INDEX(Pension_Model!$D$2:$D$29,MATCH(H27,Pension_Model!$B$2:$B$29,0)),0)),0))))))</f>
        <v>0</v>
      </c>
      <c r="Q23" s="28">
        <f>Population_Data!$B$15*P23</f>
        <v>0</v>
      </c>
      <c r="R23" s="32"/>
      <c r="S23">
        <f t="shared" si="0"/>
        <v>0</v>
      </c>
      <c r="U23" s="33">
        <f>S23/Population_Data!$B$19</f>
        <v>0</v>
      </c>
    </row>
    <row r="24" spans="1:21">
      <c r="A24" s="25">
        <f>Calendar!A24</f>
        <v>46257</v>
      </c>
      <c r="B24" t="str">
        <f>Calendar!L24</f>
        <v>No</v>
      </c>
      <c r="C24" t="str">
        <f>Calendar!O24</f>
        <v>No</v>
      </c>
      <c r="D24" t="str">
        <f>Calendar!P24</f>
        <v>No</v>
      </c>
      <c r="E24" t="str">
        <f>Calendar!Q24</f>
        <v>No</v>
      </c>
      <c r="F24" t="str">
        <f>Calendar!I24</f>
        <v>Sunday</v>
      </c>
      <c r="G24">
        <f>Calendar!S24</f>
        <v>1</v>
      </c>
      <c r="H24">
        <f>Calendar!T24</f>
        <v>1</v>
      </c>
      <c r="I24" s="27">
        <f>IF(VLOOKUP(A24,Calendar!$A$1:$R$1377,18,0)=0,0,IF(VLOOKUP(A24,Calendar!$A$1:$R$1377,18,0)=1,INDEX(Monthly_Pay_Model!$A$9:$D$40,MATCH(TEXT(A24,"dd"),Monthly_Pay_Model!$C$9:$C$39,0),4),IF(VLOOKUP(A24,Calendar!$A$1:$R$1377,18,0)=2,SUM(INDEX(Monthly_Pay_Model!$A$9:$D$40,MATCH(TEXT(A24,"dd"),Monthly_Pay_Model!$C$9:$C$39,0),4),INDEX(Monthly_Pay_Model!$A$9:$D$40,MATCH(TEXT(A25,"dd"),Monthly_Pay_Model!$C$9:$C$39,0),4)),IF(VLOOKUP(A24,Calendar!$A$1:$R$1377,18,0)=3,SUM(INDEX(Monthly_Pay_Model!$A$9:$D$40,MATCH(TEXT(A24,"dd"),Monthly_Pay_Model!$C$9:$C$39,0),4),INDEX(Monthly_Pay_Model!$A$9:$D$40,MATCH(TEXT(A25,"dd"),Monthly_Pay_Model!$C$9:$C$39,0),4),INDEX(Monthly_Pay_Model!$A$9:$D$40,MATCH(TEXT(A26,"dd"),Monthly_Pay_Model!$C$9:$C$39,0),4)),IF(VLOOKUP(A24,Calendar!$A$1:$R$1377,18,0)=4,SUM(INDEX(Monthly_Pay_Model!$A$9:$D$40,MATCH(TEXT(A24,"dd"),Monthly_Pay_Model!$C$9:$C$39,0),4),INDEX(Monthly_Pay_Model!$A$9:$D$40,MATCH(TEXT(A25,"dd"),Monthly_Pay_Model!$C$9:$C$39,0),4),INDEX(Monthly_Pay_Model!$A$9:$D$40,MATCH(TEXT(A26,"dd"),Monthly_Pay_Model!$C$9:$C$39,0),4),INDEX(Monthly_Pay_Model!$A$9:$D$40,MATCH(TEXT(A27,"dd"),Monthly_Pay_Model!$C$9:$C$39,0),4)),IF(VLOOKUP(A24,Calendar!$A$1:$R$1377,18,0)=5,SUM(INDEX(Monthly_Pay_Model!$A$9:$D$40,MATCH(TEXT(A24,"dd"),Monthly_Pay_Model!$C$9:$C$39,0),4),INDEX(Monthly_Pay_Model!$A$9:$D$40,MATCH(TEXT(A25,"dd"),Monthly_Pay_Model!$C$9:$C$39,0),4),INDEX(Monthly_Pay_Model!$A$9:$D$40,MATCH(TEXT(A26,"dd"),Monthly_Pay_Model!$C$9:$C$39,0),4),INDEX(Monthly_Pay_Model!$A$9:$D$40,MATCH(TEXT(A27,"dd"),Monthly_Pay_Model!$C$9:$C$39,0),4),INDEX(Monthly_Pay_Model!$A$9:$D$40,MATCH(TEXT(A28,"dd"),Monthly_Pay_Model!$C$9:$C$39,0),4)),))))))</f>
        <v>0</v>
      </c>
      <c r="J24" s="33">
        <f>IF(C24="Yes",Monthly_Pay_Model!$D$2,0)
+IF(Calendar!N24="Yes",Monthly_Pay_Model!$D$3,0)
+IF(D24="Yes",Monthly_Pay_Model!$D$4,0)
+IF(E24="Yes",Monthly_Pay_Model!$D$5,0)</f>
        <v>0</v>
      </c>
      <c r="K24" s="27">
        <f>IF(VLOOKUP($A24,Calendar!$A$1:$R$1377,18,0)=0,0,IF(VLOOKUP($A24,Calendar!$A$1:$R$1377,18,0)=1,IFERROR(INDEX(Weekly_Model!$D$2:$D$9,MATCH(F24,Weekly_Model!$A$2:$A$9,0)),0),IF(VLOOKUP($A24,Calendar!$A$1:$R$1377,18,0)=2,SUM(IFERROR(INDEX(Weekly_Model!$D$2:$D$9,MATCH(F24,Weekly_Model!$A$2:$A$9,0)),0),IFERROR(INDEX(Weekly_Model!$D$2:$D$9,MATCH(F25,Weekly_Model!$A$2:$A$9,0)),0)),IF(VLOOKUP($A24,Calendar!$A$1:$R$1377,18,0)=3,SUM(IFERROR(INDEX(Weekly_Model!$D$2:$D$9,MATCH(F24,Weekly_Model!$A$2:$A$9,0)),0),IFERROR(INDEX(Weekly_Model!$D$2:$D$9,MATCH(F25,Weekly_Model!$A$2:$A$9,0)),0),IFERROR(INDEX(Weekly_Model!$D$2:$D$9,MATCH(F26,Weekly_Model!$A$2:$A$9,0)),0)),IF(VLOOKUP($A24,Calendar!$A$1:$R$1377,18,0)=4,SUM(IFERROR(INDEX(Weekly_Model!$D$2:$D$9,MATCH(F24,Weekly_Model!$A$2:$A$9,0)),0),IFERROR(INDEX(Weekly_Model!$D$2:$D$9,MATCH(F25,Weekly_Model!$A$2:$A$9,0)),0),IFERROR(INDEX(Weekly_Model!$D$2:$D$9,MATCH(F26,Weekly_Model!$A$2:$A$9,0)),0),IFERROR(INDEX(Weekly_Model!$D$2:$D$9,MATCH(F27,Weekly_Model!$A$2:$A$9,0)),0)),IF(VLOOKUP($A24,Calendar!$A$1:$R$1377,18,0)=5,SUM(IFERROR(INDEX(Weekly_Model!$D$2:$D$9,MATCH(F24,Weekly_Model!$A$2:$A$9,0)),0),IFERROR(INDEX(Weekly_Model!$D$2:$D$9,MATCH(F25,Weekly_Model!$A$2:$A$9,0)),0),IFERROR(INDEX(Weekly_Model!$D$2:$D$9,MATCH(F26,Weekly_Model!$A$2:$A$9,0)),0),IFERROR(INDEX(Weekly_Model!$D$2:$D$9,MATCH(F27,Weekly_Model!$A$2:$A$9,0)),0),IFERROR(INDEX(Weekly_Model!$D$2:$D$9,MATCH(F28,Weekly_Model!$A$2:$A$9,0)),0)),0))))))</f>
        <v>0</v>
      </c>
      <c r="L24" s="27">
        <f>IF(VLOOKUP($A24,Calendar!$A$1:$R$1377,18,0)=0,0,IF(VLOOKUP($A24,Calendar!$A$1:$R$1377,18,0)=1,IFERROR(INDEX(Fortnightly_Model!$D$2:$D$15,MATCH(G24,Fortnightly_Model!$B$2:$B$15,0)),0),IF(VLOOKUP($A24,Calendar!$A$1:$R$1377,18,0)=2,SUM(IFERROR(INDEX(Fortnightly_Model!$D$2:$D$15,MATCH(G24,Fortnightly_Model!$B$2:$B$15,0)),0),IFERROR(INDEX(Fortnightly_Model!$D$2:$D$15,MATCH(G25,Fortnightly_Model!$B$2:$B$15,0)),0)),IF(VLOOKUP($A24,Calendar!$A$1:$R$1377,18,0)=3,SUM(IFERROR(INDEX(Fortnightly_Model!$D$2:$D$15,MATCH(G24,Fortnightly_Model!$B$2:$B$15,0)),0),IFERROR(INDEX(Fortnightly_Model!$D$2:$D$15,MATCH(G25,Fortnightly_Model!$B$2:$B$15,0)),0),IFERROR(INDEX(Fortnightly_Model!$D$2:$D$15,MATCH(G26,Fortnightly_Model!$B$2:$B$15,0)),0)),IF(VLOOKUP($A24,Calendar!$A$1:$R$1377,18,0)=4,SUM(IFERROR(INDEX(Fortnightly_Model!$D$2:$D$15,MATCH(G24,Fortnightly_Model!$B$2:$B$15,0)),0),IFERROR(INDEX(Fortnightly_Model!$D$2:$D$15,MATCH(G25,Fortnightly_Model!$B$2:$B$15,0)),0),IFERROR(INDEX(Fortnightly_Model!$D$2:$D$15,MATCH(G26,Fortnightly_Model!$B$2:$B$15,0)),0),IFERROR(INDEX(Fortnightly_Model!$D$2:$D$15,MATCH(G27,Fortnightly_Model!$B$2:$B$15,0)),0)),IF(VLOOKUP($A24,Calendar!$A$1:$R$1377,18,0)=5,SUM(IFERROR(INDEX(Fortnightly_Model!$D$2:$D$15,MATCH(G24,Fortnightly_Model!$B$2:$B$15,0)),0),IFERROR(INDEX(Fortnightly_Model!$D$2:$D$15,MATCH(G25,Fortnightly_Model!$B$2:$B$15,0)),0),IFERROR(INDEX(Fortnightly_Model!$D$2:$D$15,MATCH(G26,Fortnightly_Model!$B$2:$B$15,0)),0),IFERROR(INDEX(Fortnightly_Model!$D$2:$D$15,MATCH(G27,Fortnightly_Model!$B$2:$B$15,0)),0),IFERROR(INDEX(Fortnightly_Model!$D$2:$D$15,MATCH(G28,Fortnightly_Model!$B$2:$B$15,0)),0)),0))))))</f>
        <v>0</v>
      </c>
      <c r="M24" s="27">
        <f>IF(VLOOKUP($A24,Calendar!$A$1:$R$1377,18,0)=0,0,IF(VLOOKUP($A24,Calendar!$A$1:$R$1377,18,0)=1,IFERROR(INDEX(FourWeekly_Model!$D$2:$D$29,MATCH(H24,FourWeekly_Model!$B$2:$B$29,0)),0),IF(VLOOKUP($A24,Calendar!$A$1:$R$1377,18,0)=2,SUM(IFERROR(INDEX(FourWeekly_Model!$D$2:$D$29,MATCH(H24,FourWeekly_Model!$B$2:$B$29,0)),0),IFERROR(INDEX(FourWeekly_Model!$D$2:$D$29,MATCH(H25,FourWeekly_Model!$B$2:$B$29,0)),0)),IF(VLOOKUP($A24,Calendar!$A$1:$R$1377,18,0)=3,SUM(IFERROR(INDEX(FourWeekly_Model!$D$2:$D$29,MATCH(H24,FourWeekly_Model!$B$2:$B$29,0)),0),IFERROR(INDEX(FourWeekly_Model!$D$2:$D$29,MATCH(H25,FourWeekly_Model!$B$2:$B$29,0)),0),IFERROR(INDEX(FourWeekly_Model!$D$2:$D$29,MATCH(H26,FourWeekly_Model!$B$2:$B$29,0)),0)),IF(VLOOKUP($A24,Calendar!$A$1:$R$1377,18,0)=4,SUM(IFERROR(INDEX(FourWeekly_Model!$D$2:$D$29,MATCH(H24,FourWeekly_Model!$B$2:$B$29,0)),0),IFERROR(INDEX(FourWeekly_Model!$D$2:$D$29,MATCH(H25,FourWeekly_Model!$B$2:$B$29,0)),0),IFERROR(INDEX(FourWeekly_Model!$D$2:$D$29,MATCH(H26,FourWeekly_Model!$B$2:$B$29,0)),0),IFERROR(INDEX(FourWeekly_Model!$D$2:$D$29,MATCH(H27,FourWeekly_Model!$B$2:$B$29,0)),0)),IF(VLOOKUP($A24,Calendar!$A$1:$R$1377,18,0)=5,SUM(IFERROR(INDEX(FourWeekly_Model!$D$2:$D$29,MATCH(H24,FourWeekly_Model!$B$2:$B$29,0)),0),IFERROR(INDEX(FourWeekly_Model!$D$2:$D$29,MATCH(H25,FourWeekly_Model!$B$2:$B$29,0)),0),IFERROR(INDEX(FourWeekly_Model!$D$2:$D$29,MATCH(H26,FourWeekly_Model!$B$2:$B$29,0)),0),IFERROR(INDEX(FourWeekly_Model!$D$2:$D$29,MATCH(H27,FourWeekly_Model!$B$2:$B$29,0)),0),IFERROR(INDEX(FourWeekly_Model!$D$2:$D$29,MATCH(H28,FourWeekly_Model!$B$2:$B$29,0)),0)),0))))))</f>
        <v>0</v>
      </c>
      <c r="N24" s="27">
        <f>SUM(I24:M24)</f>
        <v>0</v>
      </c>
      <c r="O24" s="28">
        <f>Population_Data!$B$8*N24</f>
        <v>0</v>
      </c>
      <c r="P24" s="27">
        <f>IF(VLOOKUP($A24,Calendar!$A$1:$R$1377,18,0)=0,0,IF(VLOOKUP($A24,Calendar!$A$1:$R$1377,18,0)=1,IFERROR(INDEX(Pension_Model!$D$2:$D$29,MATCH(H24,Pension_Model!$B$2:$B$29,0)),0),IF(VLOOKUP($A24,Calendar!$A$1:$R$1377,18,0)=2,SUM(IFERROR(INDEX(Pension_Model!$D$2:$D$29,MATCH(H24,Pension_Model!$B$2:$B$29,0)),0),IFERROR(INDEX(Pension_Model!$D$2:$D$29,MATCH(H25,Pension_Model!$B$2:$B$29,0)),0)),IF(VLOOKUP($A24,Calendar!$A$1:$R$1377,18,0)=3,SUM(IFERROR(INDEX(Pension_Model!$D$2:$D$29,MATCH(H24,Pension_Model!$B$2:$B$29,0)),0),IFERROR(INDEX(Pension_Model!$D$2:$D$29,MATCH(H25,Pension_Model!$B$2:$B$29,0)),0),IFERROR(INDEX(Pension_Model!$D$2:$D$29,MATCH(H26,Pension_Model!$B$2:$B$29,0)),0)),IF(VLOOKUP($A24,Calendar!$A$1:$R$1377,18,0)=4,SUM(IFERROR(INDEX(Pension_Model!$D$2:$D$29,MATCH(H24,Pension_Model!$B$2:$B$29,0)),0),IFERROR(INDEX(Pension_Model!$D$2:$D$29,MATCH(H25,Pension_Model!$B$2:$B$29,0)),0),IFERROR(INDEX(Pension_Model!$D$2:$D$29,MATCH(H26,Pension_Model!$B$2:$B$29,0)),0),IFERROR(INDEX(Pension_Model!$D$2:$D$29,MATCH(H27,Pension_Model!$B$2:$B$29,0)),0)),IF(VLOOKUP($A24,Calendar!$A$1:$R$1377,18,0)=5,SUM(IFERROR(INDEX(Pension_Model!$D$2:$D$29,MATCH(H24,Pension_Model!$B$2:$B$29,0)),0),IFERROR(INDEX(Pension_Model!$D$2:$D$29,MATCH(H25,Pension_Model!$B$2:$B$29,0)),0),IFERROR(INDEX(Pension_Model!$D$2:$D$29,MATCH(H26,Pension_Model!$B$2:$B$29,0)),0),IFERROR(INDEX(Pension_Model!$D$2:$D$29,MATCH(H27,Pension_Model!$B$2:$B$29,0)),0),IFERROR(INDEX(Pension_Model!$D$2:$D$29,MATCH(H28,Pension_Model!$B$2:$B$29,0)),0)),0))))))</f>
        <v>0</v>
      </c>
      <c r="Q24" s="28">
        <f>Population_Data!$B$15*P24</f>
        <v>0</v>
      </c>
      <c r="R24" s="32"/>
      <c r="S24">
        <f t="shared" si="0"/>
        <v>0</v>
      </c>
      <c r="U24" s="33">
        <f>S24/Population_Data!$B$19</f>
        <v>0</v>
      </c>
    </row>
    <row r="25" spans="1:21">
      <c r="A25" s="25">
        <f>Calendar!A25</f>
        <v>46258</v>
      </c>
      <c r="B25" t="str">
        <f>Calendar!L25</f>
        <v>Yes</v>
      </c>
      <c r="C25" t="str">
        <f>Calendar!O25</f>
        <v>No</v>
      </c>
      <c r="D25" t="str">
        <f>Calendar!P25</f>
        <v>No</v>
      </c>
      <c r="E25" t="str">
        <f>Calendar!Q25</f>
        <v>No</v>
      </c>
      <c r="F25" t="str">
        <f>Calendar!I25</f>
        <v>Monday</v>
      </c>
      <c r="G25">
        <f>Calendar!S25</f>
        <v>2</v>
      </c>
      <c r="H25">
        <f>Calendar!T25</f>
        <v>2</v>
      </c>
      <c r="I25" s="27">
        <f>IF(VLOOKUP(A25,Calendar!$A$1:$R$1377,18,0)=0,0,IF(VLOOKUP(A25,Calendar!$A$1:$R$1377,18,0)=1,INDEX(Monthly_Pay_Model!$A$9:$D$40,MATCH(TEXT(A25,"dd"),Monthly_Pay_Model!$C$9:$C$39,0),4),IF(VLOOKUP(A25,Calendar!$A$1:$R$1377,18,0)=2,SUM(INDEX(Monthly_Pay_Model!$A$9:$D$40,MATCH(TEXT(A25,"dd"),Monthly_Pay_Model!$C$9:$C$39,0),4),INDEX(Monthly_Pay_Model!$A$9:$D$40,MATCH(TEXT(A26,"dd"),Monthly_Pay_Model!$C$9:$C$39,0),4)),IF(VLOOKUP(A25,Calendar!$A$1:$R$1377,18,0)=3,SUM(INDEX(Monthly_Pay_Model!$A$9:$D$40,MATCH(TEXT(A25,"dd"),Monthly_Pay_Model!$C$9:$C$39,0),4),INDEX(Monthly_Pay_Model!$A$9:$D$40,MATCH(TEXT(A26,"dd"),Monthly_Pay_Model!$C$9:$C$39,0),4),INDEX(Monthly_Pay_Model!$A$9:$D$40,MATCH(TEXT(A27,"dd"),Monthly_Pay_Model!$C$9:$C$39,0),4)),IF(VLOOKUP(A25,Calendar!$A$1:$R$1377,18,0)=4,SUM(INDEX(Monthly_Pay_Model!$A$9:$D$40,MATCH(TEXT(A25,"dd"),Monthly_Pay_Model!$C$9:$C$39,0),4),INDEX(Monthly_Pay_Model!$A$9:$D$40,MATCH(TEXT(A26,"dd"),Monthly_Pay_Model!$C$9:$C$39,0),4),INDEX(Monthly_Pay_Model!$A$9:$D$40,MATCH(TEXT(A27,"dd"),Monthly_Pay_Model!$C$9:$C$39,0),4),INDEX(Monthly_Pay_Model!$A$9:$D$40,MATCH(TEXT(A28,"dd"),Monthly_Pay_Model!$C$9:$C$39,0),4)),IF(VLOOKUP(A25,Calendar!$A$1:$R$1377,18,0)=5,SUM(INDEX(Monthly_Pay_Model!$A$9:$D$40,MATCH(TEXT(A25,"dd"),Monthly_Pay_Model!$C$9:$C$39,0),4),INDEX(Monthly_Pay_Model!$A$9:$D$40,MATCH(TEXT(A26,"dd"),Monthly_Pay_Model!$C$9:$C$39,0),4),INDEX(Monthly_Pay_Model!$A$9:$D$40,MATCH(TEXT(A27,"dd"),Monthly_Pay_Model!$C$9:$C$39,0),4),INDEX(Monthly_Pay_Model!$A$9:$D$40,MATCH(TEXT(A28,"dd"),Monthly_Pay_Model!$C$9:$C$39,0),4),INDEX(Monthly_Pay_Model!$A$9:$D$40,MATCH(TEXT(A29,"dd"),Monthly_Pay_Model!$C$9:$C$39,0),4)),))))))</f>
        <v>7.3130890052356002E-3</v>
      </c>
      <c r="J25" s="33">
        <f>IF(C25="Yes",Monthly_Pay_Model!$D$2,0)
+IF(Calendar!N25="Yes",Monthly_Pay_Model!$D$3,0)
+IF(D25="Yes",Monthly_Pay_Model!$D$4,0)
+IF(E25="Yes",Monthly_Pay_Model!$D$5,0)</f>
        <v>0</v>
      </c>
      <c r="K25" s="27">
        <f>IF(VLOOKUP($A25,Calendar!$A$1:$R$1377,18,0)=0,0,IF(VLOOKUP($A25,Calendar!$A$1:$R$1377,18,0)=1,IFERROR(INDEX(Weekly_Model!$D$2:$D$9,MATCH(F25,Weekly_Model!$A$2:$A$9,0)),0),IF(VLOOKUP($A25,Calendar!$A$1:$R$1377,18,0)=2,SUM(IFERROR(INDEX(Weekly_Model!$D$2:$D$9,MATCH(F25,Weekly_Model!$A$2:$A$9,0)),0),IFERROR(INDEX(Weekly_Model!$D$2:$D$9,MATCH(F26,Weekly_Model!$A$2:$A$9,0)),0)),IF(VLOOKUP($A25,Calendar!$A$1:$R$1377,18,0)=3,SUM(IFERROR(INDEX(Weekly_Model!$D$2:$D$9,MATCH(F25,Weekly_Model!$A$2:$A$9,0)),0),IFERROR(INDEX(Weekly_Model!$D$2:$D$9,MATCH(F26,Weekly_Model!$A$2:$A$9,0)),0),IFERROR(INDEX(Weekly_Model!$D$2:$D$9,MATCH(F27,Weekly_Model!$A$2:$A$9,0)),0)),IF(VLOOKUP($A25,Calendar!$A$1:$R$1377,18,0)=4,SUM(IFERROR(INDEX(Weekly_Model!$D$2:$D$9,MATCH(F25,Weekly_Model!$A$2:$A$9,0)),0),IFERROR(INDEX(Weekly_Model!$D$2:$D$9,MATCH(F26,Weekly_Model!$A$2:$A$9,0)),0),IFERROR(INDEX(Weekly_Model!$D$2:$D$9,MATCH(F27,Weekly_Model!$A$2:$A$9,0)),0),IFERROR(INDEX(Weekly_Model!$D$2:$D$9,MATCH(F28,Weekly_Model!$A$2:$A$9,0)),0)),IF(VLOOKUP($A25,Calendar!$A$1:$R$1377,18,0)=5,SUM(IFERROR(INDEX(Weekly_Model!$D$2:$D$9,MATCH(F25,Weekly_Model!$A$2:$A$9,0)),0),IFERROR(INDEX(Weekly_Model!$D$2:$D$9,MATCH(F26,Weekly_Model!$A$2:$A$9,0)),0),IFERROR(INDEX(Weekly_Model!$D$2:$D$9,MATCH(F27,Weekly_Model!$A$2:$A$9,0)),0),IFERROR(INDEX(Weekly_Model!$D$2:$D$9,MATCH(F28,Weekly_Model!$A$2:$A$9,0)),0),IFERROR(INDEX(Weekly_Model!$D$2:$D$9,MATCH(F29,Weekly_Model!$A$2:$A$9,0)),0)),0))))))</f>
        <v>2.3200000000000002E-2</v>
      </c>
      <c r="L25" s="27">
        <f>IF(VLOOKUP($A25,Calendar!$A$1:$R$1377,18,0)=0,0,IF(VLOOKUP($A25,Calendar!$A$1:$R$1377,18,0)=1,IFERROR(INDEX(Fortnightly_Model!$D$2:$D$15,MATCH(G25,Fortnightly_Model!$B$2:$B$15,0)),0),IF(VLOOKUP($A25,Calendar!$A$1:$R$1377,18,0)=2,SUM(IFERROR(INDEX(Fortnightly_Model!$D$2:$D$15,MATCH(G25,Fortnightly_Model!$B$2:$B$15,0)),0),IFERROR(INDEX(Fortnightly_Model!$D$2:$D$15,MATCH(G26,Fortnightly_Model!$B$2:$B$15,0)),0)),IF(VLOOKUP($A25,Calendar!$A$1:$R$1377,18,0)=3,SUM(IFERROR(INDEX(Fortnightly_Model!$D$2:$D$15,MATCH(G25,Fortnightly_Model!$B$2:$B$15,0)),0),IFERROR(INDEX(Fortnightly_Model!$D$2:$D$15,MATCH(G26,Fortnightly_Model!$B$2:$B$15,0)),0),IFERROR(INDEX(Fortnightly_Model!$D$2:$D$15,MATCH(G27,Fortnightly_Model!$B$2:$B$15,0)),0)),IF(VLOOKUP($A25,Calendar!$A$1:$R$1377,18,0)=4,SUM(IFERROR(INDEX(Fortnightly_Model!$D$2:$D$15,MATCH(G25,Fortnightly_Model!$B$2:$B$15,0)),0),IFERROR(INDEX(Fortnightly_Model!$D$2:$D$15,MATCH(G26,Fortnightly_Model!$B$2:$B$15,0)),0),IFERROR(INDEX(Fortnightly_Model!$D$2:$D$15,MATCH(G27,Fortnightly_Model!$B$2:$B$15,0)),0),IFERROR(INDEX(Fortnightly_Model!$D$2:$D$15,MATCH(G28,Fortnightly_Model!$B$2:$B$15,0)),0)),IF(VLOOKUP($A25,Calendar!$A$1:$R$1377,18,0)=5,SUM(IFERROR(INDEX(Fortnightly_Model!$D$2:$D$15,MATCH(G25,Fortnightly_Model!$B$2:$B$15,0)),0),IFERROR(INDEX(Fortnightly_Model!$D$2:$D$15,MATCH(G26,Fortnightly_Model!$B$2:$B$15,0)),0),IFERROR(INDEX(Fortnightly_Model!$D$2:$D$15,MATCH(G27,Fortnightly_Model!$B$2:$B$15,0)),0),IFERROR(INDEX(Fortnightly_Model!$D$2:$D$15,MATCH(G28,Fortnightly_Model!$B$2:$B$15,0)),0),IFERROR(INDEX(Fortnightly_Model!$D$2:$D$15,MATCH(G29,Fortnightly_Model!$B$2:$B$15,0)),0)),0))))))</f>
        <v>1.0714285499999999E-3</v>
      </c>
      <c r="M25" s="27">
        <f>IF(VLOOKUP($A25,Calendar!$A$1:$R$1377,18,0)=0,0,IF(VLOOKUP($A25,Calendar!$A$1:$R$1377,18,0)=1,IFERROR(INDEX(FourWeekly_Model!$D$2:$D$29,MATCH(H25,FourWeekly_Model!$B$2:$B$29,0)),0),IF(VLOOKUP($A25,Calendar!$A$1:$R$1377,18,0)=2,SUM(IFERROR(INDEX(FourWeekly_Model!$D$2:$D$29,MATCH(H25,FourWeekly_Model!$B$2:$B$29,0)),0),IFERROR(INDEX(FourWeekly_Model!$D$2:$D$29,MATCH(H26,FourWeekly_Model!$B$2:$B$29,0)),0)),IF(VLOOKUP($A25,Calendar!$A$1:$R$1377,18,0)=3,SUM(IFERROR(INDEX(FourWeekly_Model!$D$2:$D$29,MATCH(H25,FourWeekly_Model!$B$2:$B$29,0)),0),IFERROR(INDEX(FourWeekly_Model!$D$2:$D$29,MATCH(H26,FourWeekly_Model!$B$2:$B$29,0)),0),IFERROR(INDEX(FourWeekly_Model!$D$2:$D$29,MATCH(H27,FourWeekly_Model!$B$2:$B$29,0)),0)),IF(VLOOKUP($A25,Calendar!$A$1:$R$1377,18,0)=4,SUM(IFERROR(INDEX(FourWeekly_Model!$D$2:$D$29,MATCH(H25,FourWeekly_Model!$B$2:$B$29,0)),0),IFERROR(INDEX(FourWeekly_Model!$D$2:$D$29,MATCH(H26,FourWeekly_Model!$B$2:$B$29,0)),0),IFERROR(INDEX(FourWeekly_Model!$D$2:$D$29,MATCH(H27,FourWeekly_Model!$B$2:$B$29,0)),0),IFERROR(INDEX(FourWeekly_Model!$D$2:$D$29,MATCH(H28,FourWeekly_Model!$B$2:$B$29,0)),0)),IF(VLOOKUP($A25,Calendar!$A$1:$R$1377,18,0)=5,SUM(IFERROR(INDEX(FourWeekly_Model!$D$2:$D$29,MATCH(H25,FourWeekly_Model!$B$2:$B$29,0)),0),IFERROR(INDEX(FourWeekly_Model!$D$2:$D$29,MATCH(H26,FourWeekly_Model!$B$2:$B$29,0)),0),IFERROR(INDEX(FourWeekly_Model!$D$2:$D$29,MATCH(H27,FourWeekly_Model!$B$2:$B$29,0)),0),IFERROR(INDEX(FourWeekly_Model!$D$2:$D$29,MATCH(H28,FourWeekly_Model!$B$2:$B$29,0)),0),IFERROR(INDEX(FourWeekly_Model!$D$2:$D$29,MATCH(H29,FourWeekly_Model!$B$2:$B$29,0)),0)),0))))))</f>
        <v>3.3214289700000004E-3</v>
      </c>
      <c r="N25" s="27">
        <f>SUM(I25:M25)</f>
        <v>3.4905946525235605E-2</v>
      </c>
      <c r="O25" s="28">
        <f>Population_Data!$B$8*N25</f>
        <v>1057650.1797146387</v>
      </c>
      <c r="P25" s="27">
        <f>IF(VLOOKUP($A25,Calendar!$A$1:$R$1377,18,0)=0,0,IF(VLOOKUP($A25,Calendar!$A$1:$R$1377,18,0)=1,IFERROR(INDEX(Pension_Model!$D$2:$D$29,MATCH(H25,Pension_Model!$B$2:$B$29,0)),0),IF(VLOOKUP($A25,Calendar!$A$1:$R$1377,18,0)=2,SUM(IFERROR(INDEX(Pension_Model!$D$2:$D$29,MATCH(H25,Pension_Model!$B$2:$B$29,0)),0),IFERROR(INDEX(Pension_Model!$D$2:$D$29,MATCH(H26,Pension_Model!$B$2:$B$29,0)),0)),IF(VLOOKUP($A25,Calendar!$A$1:$R$1377,18,0)=3,SUM(IFERROR(INDEX(Pension_Model!$D$2:$D$29,MATCH(H25,Pension_Model!$B$2:$B$29,0)),0),IFERROR(INDEX(Pension_Model!$D$2:$D$29,MATCH(H26,Pension_Model!$B$2:$B$29,0)),0),IFERROR(INDEX(Pension_Model!$D$2:$D$29,MATCH(H27,Pension_Model!$B$2:$B$29,0)),0)),IF(VLOOKUP($A25,Calendar!$A$1:$R$1377,18,0)=4,SUM(IFERROR(INDEX(Pension_Model!$D$2:$D$29,MATCH(H25,Pension_Model!$B$2:$B$29,0)),0),IFERROR(INDEX(Pension_Model!$D$2:$D$29,MATCH(H26,Pension_Model!$B$2:$B$29,0)),0),IFERROR(INDEX(Pension_Model!$D$2:$D$29,MATCH(H27,Pension_Model!$B$2:$B$29,0)),0),IFERROR(INDEX(Pension_Model!$D$2:$D$29,MATCH(H28,Pension_Model!$B$2:$B$29,0)),0)),IF(VLOOKUP($A25,Calendar!$A$1:$R$1377,18,0)=5,SUM(IFERROR(INDEX(Pension_Model!$D$2:$D$29,MATCH(H25,Pension_Model!$B$2:$B$29,0)),0),IFERROR(INDEX(Pension_Model!$D$2:$D$29,MATCH(H26,Pension_Model!$B$2:$B$29,0)),0),IFERROR(INDEX(Pension_Model!$D$2:$D$29,MATCH(H27,Pension_Model!$B$2:$B$29,0)),0),IFERROR(INDEX(Pension_Model!$D$2:$D$29,MATCH(H28,Pension_Model!$B$2:$B$29,0)),0),IFERROR(INDEX(Pension_Model!$D$2:$D$29,MATCH(H29,Pension_Model!$B$2:$B$29,0)),0)),0))))))</f>
        <v>0.05</v>
      </c>
      <c r="Q25" s="28">
        <f>Population_Data!$B$15*P25</f>
        <v>660600</v>
      </c>
      <c r="R25" s="32"/>
      <c r="S25">
        <f t="shared" si="0"/>
        <v>1718250.1797146387</v>
      </c>
      <c r="U25" s="33">
        <f>S25/Population_Data!$B$19</f>
        <v>3.1127720647004326E-2</v>
      </c>
    </row>
    <row r="26" spans="1:21">
      <c r="A26" s="25">
        <f>Calendar!A26</f>
        <v>46259</v>
      </c>
      <c r="B26" t="str">
        <f>Calendar!L26</f>
        <v>Yes</v>
      </c>
      <c r="C26" t="str">
        <f>Calendar!O26</f>
        <v>No</v>
      </c>
      <c r="D26" t="str">
        <f>Calendar!P26</f>
        <v>No</v>
      </c>
      <c r="E26" t="str">
        <f>Calendar!Q26</f>
        <v>No</v>
      </c>
      <c r="F26" t="str">
        <f>Calendar!I26</f>
        <v>Tuesday</v>
      </c>
      <c r="G26">
        <f>Calendar!S26</f>
        <v>3</v>
      </c>
      <c r="H26">
        <f>Calendar!T26</f>
        <v>3</v>
      </c>
      <c r="I26" s="27">
        <f>IF(VLOOKUP(A26,Calendar!$A$1:$R$1377,18,0)=0,0,IF(VLOOKUP(A26,Calendar!$A$1:$R$1377,18,0)=1,INDEX(Monthly_Pay_Model!$A$9:$D$40,MATCH(TEXT(A26,"dd"),Monthly_Pay_Model!$C$9:$C$39,0),4),IF(VLOOKUP(A26,Calendar!$A$1:$R$1377,18,0)=2,SUM(INDEX(Monthly_Pay_Model!$A$9:$D$40,MATCH(TEXT(A26,"dd"),Monthly_Pay_Model!$C$9:$C$39,0),4),INDEX(Monthly_Pay_Model!$A$9:$D$40,MATCH(TEXT(A27,"dd"),Monthly_Pay_Model!$C$9:$C$39,0),4)),IF(VLOOKUP(A26,Calendar!$A$1:$R$1377,18,0)=3,SUM(INDEX(Monthly_Pay_Model!$A$9:$D$40,MATCH(TEXT(A26,"dd"),Monthly_Pay_Model!$C$9:$C$39,0),4),INDEX(Monthly_Pay_Model!$A$9:$D$40,MATCH(TEXT(A27,"dd"),Monthly_Pay_Model!$C$9:$C$39,0),4),INDEX(Monthly_Pay_Model!$A$9:$D$40,MATCH(TEXT(A28,"dd"),Monthly_Pay_Model!$C$9:$C$39,0),4)),IF(VLOOKUP(A26,Calendar!$A$1:$R$1377,18,0)=4,SUM(INDEX(Monthly_Pay_Model!$A$9:$D$40,MATCH(TEXT(A26,"dd"),Monthly_Pay_Model!$C$9:$C$39,0),4),INDEX(Monthly_Pay_Model!$A$9:$D$40,MATCH(TEXT(A27,"dd"),Monthly_Pay_Model!$C$9:$C$39,0),4),INDEX(Monthly_Pay_Model!$A$9:$D$40,MATCH(TEXT(A28,"dd"),Monthly_Pay_Model!$C$9:$C$39,0),4),INDEX(Monthly_Pay_Model!$A$9:$D$40,MATCH(TEXT(A29,"dd"),Monthly_Pay_Model!$C$9:$C$39,0),4)),IF(VLOOKUP(A26,Calendar!$A$1:$R$1377,18,0)=5,SUM(INDEX(Monthly_Pay_Model!$A$9:$D$40,MATCH(TEXT(A26,"dd"),Monthly_Pay_Model!$C$9:$C$39,0),4),INDEX(Monthly_Pay_Model!$A$9:$D$40,MATCH(TEXT(A27,"dd"),Monthly_Pay_Model!$C$9:$C$39,0),4),INDEX(Monthly_Pay_Model!$A$9:$D$40,MATCH(TEXT(A28,"dd"),Monthly_Pay_Model!$C$9:$C$39,0),4),INDEX(Monthly_Pay_Model!$A$9:$D$40,MATCH(TEXT(A29,"dd"),Monthly_Pay_Model!$C$9:$C$39,0),4),INDEX(Monthly_Pay_Model!$A$9:$D$40,MATCH(TEXT(A30,"dd"),Monthly_Pay_Model!$C$9:$C$39,0),4)),))))))</f>
        <v>2.1939267015706802E-2</v>
      </c>
      <c r="J26" s="33">
        <f>IF(C26="Yes",Monthly_Pay_Model!$D$2,0)
+IF(Calendar!N26="Yes",Monthly_Pay_Model!$D$3,0)
+IF(D26="Yes",Monthly_Pay_Model!$D$4,0)
+IF(E26="Yes",Monthly_Pay_Model!$D$5,0)</f>
        <v>0</v>
      </c>
      <c r="K26" s="27">
        <f>IF(VLOOKUP($A26,Calendar!$A$1:$R$1377,18,0)=0,0,IF(VLOOKUP($A26,Calendar!$A$1:$R$1377,18,0)=1,IFERROR(INDEX(Weekly_Model!$D$2:$D$9,MATCH(F26,Weekly_Model!$A$2:$A$9,0)),0),IF(VLOOKUP($A26,Calendar!$A$1:$R$1377,18,0)=2,SUM(IFERROR(INDEX(Weekly_Model!$D$2:$D$9,MATCH(F26,Weekly_Model!$A$2:$A$9,0)),0),IFERROR(INDEX(Weekly_Model!$D$2:$D$9,MATCH(F27,Weekly_Model!$A$2:$A$9,0)),0)),IF(VLOOKUP($A26,Calendar!$A$1:$R$1377,18,0)=3,SUM(IFERROR(INDEX(Weekly_Model!$D$2:$D$9,MATCH(F26,Weekly_Model!$A$2:$A$9,0)),0),IFERROR(INDEX(Weekly_Model!$D$2:$D$9,MATCH(F27,Weekly_Model!$A$2:$A$9,0)),0),IFERROR(INDEX(Weekly_Model!$D$2:$D$9,MATCH(F28,Weekly_Model!$A$2:$A$9,0)),0)),IF(VLOOKUP($A26,Calendar!$A$1:$R$1377,18,0)=4,SUM(IFERROR(INDEX(Weekly_Model!$D$2:$D$9,MATCH(F26,Weekly_Model!$A$2:$A$9,0)),0),IFERROR(INDEX(Weekly_Model!$D$2:$D$9,MATCH(F27,Weekly_Model!$A$2:$A$9,0)),0),IFERROR(INDEX(Weekly_Model!$D$2:$D$9,MATCH(F28,Weekly_Model!$A$2:$A$9,0)),0),IFERROR(INDEX(Weekly_Model!$D$2:$D$9,MATCH(F29,Weekly_Model!$A$2:$A$9,0)),0)),IF(VLOOKUP($A26,Calendar!$A$1:$R$1377,18,0)=5,SUM(IFERROR(INDEX(Weekly_Model!$D$2:$D$9,MATCH(F26,Weekly_Model!$A$2:$A$9,0)),0),IFERROR(INDEX(Weekly_Model!$D$2:$D$9,MATCH(F27,Weekly_Model!$A$2:$A$9,0)),0),IFERROR(INDEX(Weekly_Model!$D$2:$D$9,MATCH(F28,Weekly_Model!$A$2:$A$9,0)),0),IFERROR(INDEX(Weekly_Model!$D$2:$D$9,MATCH(F29,Weekly_Model!$A$2:$A$9,0)),0),IFERROR(INDEX(Weekly_Model!$D$2:$D$9,MATCH(F30,Weekly_Model!$A$2:$A$9,0)),0)),0))))))</f>
        <v>2.3200000000000002E-2</v>
      </c>
      <c r="L26" s="27">
        <f>IF(VLOOKUP($A26,Calendar!$A$1:$R$1377,18,0)=0,0,IF(VLOOKUP($A26,Calendar!$A$1:$R$1377,18,0)=1,IFERROR(INDEX(Fortnightly_Model!$D$2:$D$15,MATCH(G26,Fortnightly_Model!$B$2:$B$15,0)),0),IF(VLOOKUP($A26,Calendar!$A$1:$R$1377,18,0)=2,SUM(IFERROR(INDEX(Fortnightly_Model!$D$2:$D$15,MATCH(G26,Fortnightly_Model!$B$2:$B$15,0)),0),IFERROR(INDEX(Fortnightly_Model!$D$2:$D$15,MATCH(G27,Fortnightly_Model!$B$2:$B$15,0)),0)),IF(VLOOKUP($A26,Calendar!$A$1:$R$1377,18,0)=3,SUM(IFERROR(INDEX(Fortnightly_Model!$D$2:$D$15,MATCH(G26,Fortnightly_Model!$B$2:$B$15,0)),0),IFERROR(INDEX(Fortnightly_Model!$D$2:$D$15,MATCH(G27,Fortnightly_Model!$B$2:$B$15,0)),0),IFERROR(INDEX(Fortnightly_Model!$D$2:$D$15,MATCH(G28,Fortnightly_Model!$B$2:$B$15,0)),0)),IF(VLOOKUP($A26,Calendar!$A$1:$R$1377,18,0)=4,SUM(IFERROR(INDEX(Fortnightly_Model!$D$2:$D$15,MATCH(G26,Fortnightly_Model!$B$2:$B$15,0)),0),IFERROR(INDEX(Fortnightly_Model!$D$2:$D$15,MATCH(G27,Fortnightly_Model!$B$2:$B$15,0)),0),IFERROR(INDEX(Fortnightly_Model!$D$2:$D$15,MATCH(G28,Fortnightly_Model!$B$2:$B$15,0)),0),IFERROR(INDEX(Fortnightly_Model!$D$2:$D$15,MATCH(G29,Fortnightly_Model!$B$2:$B$15,0)),0)),IF(VLOOKUP($A26,Calendar!$A$1:$R$1377,18,0)=5,SUM(IFERROR(INDEX(Fortnightly_Model!$D$2:$D$15,MATCH(G26,Fortnightly_Model!$B$2:$B$15,0)),0),IFERROR(INDEX(Fortnightly_Model!$D$2:$D$15,MATCH(G27,Fortnightly_Model!$B$2:$B$15,0)),0),IFERROR(INDEX(Fortnightly_Model!$D$2:$D$15,MATCH(G28,Fortnightly_Model!$B$2:$B$15,0)),0),IFERROR(INDEX(Fortnightly_Model!$D$2:$D$15,MATCH(G29,Fortnightly_Model!$B$2:$B$15,0)),0),IFERROR(INDEX(Fortnightly_Model!$D$2:$D$15,MATCH(G30,Fortnightly_Model!$B$2:$B$15,0)),0)),0))))))</f>
        <v>1.0714285499999999E-3</v>
      </c>
      <c r="M26" s="27">
        <f>IF(VLOOKUP($A26,Calendar!$A$1:$R$1377,18,0)=0,0,IF(VLOOKUP($A26,Calendar!$A$1:$R$1377,18,0)=1,IFERROR(INDEX(FourWeekly_Model!$D$2:$D$29,MATCH(H26,FourWeekly_Model!$B$2:$B$29,0)),0),IF(VLOOKUP($A26,Calendar!$A$1:$R$1377,18,0)=2,SUM(IFERROR(INDEX(FourWeekly_Model!$D$2:$D$29,MATCH(H26,FourWeekly_Model!$B$2:$B$29,0)),0),IFERROR(INDEX(FourWeekly_Model!$D$2:$D$29,MATCH(H27,FourWeekly_Model!$B$2:$B$29,0)),0)),IF(VLOOKUP($A26,Calendar!$A$1:$R$1377,18,0)=3,SUM(IFERROR(INDEX(FourWeekly_Model!$D$2:$D$29,MATCH(H26,FourWeekly_Model!$B$2:$B$29,0)),0),IFERROR(INDEX(FourWeekly_Model!$D$2:$D$29,MATCH(H27,FourWeekly_Model!$B$2:$B$29,0)),0),IFERROR(INDEX(FourWeekly_Model!$D$2:$D$29,MATCH(H28,FourWeekly_Model!$B$2:$B$29,0)),0)),IF(VLOOKUP($A26,Calendar!$A$1:$R$1377,18,0)=4,SUM(IFERROR(INDEX(FourWeekly_Model!$D$2:$D$29,MATCH(H26,FourWeekly_Model!$B$2:$B$29,0)),0),IFERROR(INDEX(FourWeekly_Model!$D$2:$D$29,MATCH(H27,FourWeekly_Model!$B$2:$B$29,0)),0),IFERROR(INDEX(FourWeekly_Model!$D$2:$D$29,MATCH(H28,FourWeekly_Model!$B$2:$B$29,0)),0),IFERROR(INDEX(FourWeekly_Model!$D$2:$D$29,MATCH(H29,FourWeekly_Model!$B$2:$B$29,0)),0)),IF(VLOOKUP($A26,Calendar!$A$1:$R$1377,18,0)=5,SUM(IFERROR(INDEX(FourWeekly_Model!$D$2:$D$29,MATCH(H26,FourWeekly_Model!$B$2:$B$29,0)),0),IFERROR(INDEX(FourWeekly_Model!$D$2:$D$29,MATCH(H27,FourWeekly_Model!$B$2:$B$29,0)),0),IFERROR(INDEX(FourWeekly_Model!$D$2:$D$29,MATCH(H28,FourWeekly_Model!$B$2:$B$29,0)),0),IFERROR(INDEX(FourWeekly_Model!$D$2:$D$29,MATCH(H29,FourWeekly_Model!$B$2:$B$29,0)),0),IFERROR(INDEX(FourWeekly_Model!$D$2:$D$29,MATCH(H30,FourWeekly_Model!$B$2:$B$29,0)),0)),0))))))</f>
        <v>3.3214289700000004E-3</v>
      </c>
      <c r="N26" s="27">
        <f>SUM(I26:M26)</f>
        <v>4.9532124535706809E-2</v>
      </c>
      <c r="O26" s="28">
        <f>Population_Data!$B$8*N26</f>
        <v>1500823.3734319163</v>
      </c>
      <c r="P26" s="27">
        <f>IF(VLOOKUP($A26,Calendar!$A$1:$R$1377,18,0)=0,0,IF(VLOOKUP($A26,Calendar!$A$1:$R$1377,18,0)=1,IFERROR(INDEX(Pension_Model!$D$2:$D$29,MATCH(H26,Pension_Model!$B$2:$B$29,0)),0),IF(VLOOKUP($A26,Calendar!$A$1:$R$1377,18,0)=2,SUM(IFERROR(INDEX(Pension_Model!$D$2:$D$29,MATCH(H26,Pension_Model!$B$2:$B$29,0)),0),IFERROR(INDEX(Pension_Model!$D$2:$D$29,MATCH(H27,Pension_Model!$B$2:$B$29,0)),0)),IF(VLOOKUP($A26,Calendar!$A$1:$R$1377,18,0)=3,SUM(IFERROR(INDEX(Pension_Model!$D$2:$D$29,MATCH(H26,Pension_Model!$B$2:$B$29,0)),0),IFERROR(INDEX(Pension_Model!$D$2:$D$29,MATCH(H27,Pension_Model!$B$2:$B$29,0)),0),IFERROR(INDEX(Pension_Model!$D$2:$D$29,MATCH(H28,Pension_Model!$B$2:$B$29,0)),0)),IF(VLOOKUP($A26,Calendar!$A$1:$R$1377,18,0)=4,SUM(IFERROR(INDEX(Pension_Model!$D$2:$D$29,MATCH(H26,Pension_Model!$B$2:$B$29,0)),0),IFERROR(INDEX(Pension_Model!$D$2:$D$29,MATCH(H27,Pension_Model!$B$2:$B$29,0)),0),IFERROR(INDEX(Pension_Model!$D$2:$D$29,MATCH(H28,Pension_Model!$B$2:$B$29,0)),0),IFERROR(INDEX(Pension_Model!$D$2:$D$29,MATCH(H29,Pension_Model!$B$2:$B$29,0)),0)),IF(VLOOKUP($A26,Calendar!$A$1:$R$1377,18,0)=5,SUM(IFERROR(INDEX(Pension_Model!$D$2:$D$29,MATCH(H26,Pension_Model!$B$2:$B$29,0)),0),IFERROR(INDEX(Pension_Model!$D$2:$D$29,MATCH(H27,Pension_Model!$B$2:$B$29,0)),0),IFERROR(INDEX(Pension_Model!$D$2:$D$29,MATCH(H28,Pension_Model!$B$2:$B$29,0)),0),IFERROR(INDEX(Pension_Model!$D$2:$D$29,MATCH(H29,Pension_Model!$B$2:$B$29,0)),0),IFERROR(INDEX(Pension_Model!$D$2:$D$29,MATCH(H30,Pension_Model!$B$2:$B$29,0)),0)),0))))))</f>
        <v>0.05</v>
      </c>
      <c r="Q26" s="28">
        <f>Population_Data!$B$15*P26</f>
        <v>660600</v>
      </c>
      <c r="R26" s="32"/>
      <c r="S26">
        <f t="shared" si="0"/>
        <v>2161423.3734319163</v>
      </c>
      <c r="U26" s="33">
        <f>S26/Population_Data!$B$19</f>
        <v>3.9156220533186889E-2</v>
      </c>
    </row>
    <row r="27" spans="1:21">
      <c r="A27" s="25">
        <f>Calendar!A27</f>
        <v>46260</v>
      </c>
      <c r="B27" t="str">
        <f>Calendar!L27</f>
        <v>Yes</v>
      </c>
      <c r="C27" t="str">
        <f>Calendar!O27</f>
        <v>No</v>
      </c>
      <c r="D27" t="str">
        <f>Calendar!P27</f>
        <v>No</v>
      </c>
      <c r="E27" t="str">
        <f>Calendar!Q27</f>
        <v>No</v>
      </c>
      <c r="F27" t="str">
        <f>Calendar!I27</f>
        <v>Wednesday</v>
      </c>
      <c r="G27">
        <f>Calendar!S27</f>
        <v>4</v>
      </c>
      <c r="H27">
        <f>Calendar!T27</f>
        <v>4</v>
      </c>
      <c r="I27" s="27">
        <f>IF(VLOOKUP(A27,Calendar!$A$1:$R$1377,18,0)=0,0,IF(VLOOKUP(A27,Calendar!$A$1:$R$1377,18,0)=1,INDEX(Monthly_Pay_Model!$A$9:$D$40,MATCH(TEXT(A27,"dd"),Monthly_Pay_Model!$C$9:$C$39,0),4),IF(VLOOKUP(A27,Calendar!$A$1:$R$1377,18,0)=2,SUM(INDEX(Monthly_Pay_Model!$A$9:$D$40,MATCH(TEXT(A27,"dd"),Monthly_Pay_Model!$C$9:$C$39,0),4),INDEX(Monthly_Pay_Model!$A$9:$D$40,MATCH(TEXT(A28,"dd"),Monthly_Pay_Model!$C$9:$C$39,0),4)),IF(VLOOKUP(A27,Calendar!$A$1:$R$1377,18,0)=3,SUM(INDEX(Monthly_Pay_Model!$A$9:$D$40,MATCH(TEXT(A27,"dd"),Monthly_Pay_Model!$C$9:$C$39,0),4),INDEX(Monthly_Pay_Model!$A$9:$D$40,MATCH(TEXT(A28,"dd"),Monthly_Pay_Model!$C$9:$C$39,0),4),INDEX(Monthly_Pay_Model!$A$9:$D$40,MATCH(TEXT(A29,"dd"),Monthly_Pay_Model!$C$9:$C$39,0),4)),IF(VLOOKUP(A27,Calendar!$A$1:$R$1377,18,0)=4,SUM(INDEX(Monthly_Pay_Model!$A$9:$D$40,MATCH(TEXT(A27,"dd"),Monthly_Pay_Model!$C$9:$C$39,0),4),INDEX(Monthly_Pay_Model!$A$9:$D$40,MATCH(TEXT(A28,"dd"),Monthly_Pay_Model!$C$9:$C$39,0),4),INDEX(Monthly_Pay_Model!$A$9:$D$40,MATCH(TEXT(A29,"dd"),Monthly_Pay_Model!$C$9:$C$39,0),4),INDEX(Monthly_Pay_Model!$A$9:$D$40,MATCH(TEXT(A30,"dd"),Monthly_Pay_Model!$C$9:$C$39,0),4)),IF(VLOOKUP(A27,Calendar!$A$1:$R$1377,18,0)=5,SUM(INDEX(Monthly_Pay_Model!$A$9:$D$40,MATCH(TEXT(A27,"dd"),Monthly_Pay_Model!$C$9:$C$39,0),4),INDEX(Monthly_Pay_Model!$A$9:$D$40,MATCH(TEXT(A28,"dd"),Monthly_Pay_Model!$C$9:$C$39,0),4),INDEX(Monthly_Pay_Model!$A$9:$D$40,MATCH(TEXT(A29,"dd"),Monthly_Pay_Model!$C$9:$C$39,0),4),INDEX(Monthly_Pay_Model!$A$9:$D$40,MATCH(TEXT(A30,"dd"),Monthly_Pay_Model!$C$9:$C$39,0),4),INDEX(Monthly_Pay_Model!$A$9:$D$40,MATCH(TEXT(A31,"dd"),Monthly_Pay_Model!$C$9:$C$39,0),4)),))))))</f>
        <v>9.7507853403141324E-3</v>
      </c>
      <c r="J27" s="33">
        <f>IF(C27="Yes",Monthly_Pay_Model!$D$2,0)
+IF(Calendar!N27="Yes",Monthly_Pay_Model!$D$3,0)
+IF(D27="Yes",Monthly_Pay_Model!$D$4,0)
+IF(E27="Yes",Monthly_Pay_Model!$D$5,0)</f>
        <v>0</v>
      </c>
      <c r="K27" s="27">
        <f>IF(VLOOKUP($A27,Calendar!$A$1:$R$1377,18,0)=0,0,IF(VLOOKUP($A27,Calendar!$A$1:$R$1377,18,0)=1,IFERROR(INDEX(Weekly_Model!$D$2:$D$9,MATCH(F27,Weekly_Model!$A$2:$A$9,0)),0),IF(VLOOKUP($A27,Calendar!$A$1:$R$1377,18,0)=2,SUM(IFERROR(INDEX(Weekly_Model!$D$2:$D$9,MATCH(F27,Weekly_Model!$A$2:$A$9,0)),0),IFERROR(INDEX(Weekly_Model!$D$2:$D$9,MATCH(F28,Weekly_Model!$A$2:$A$9,0)),0)),IF(VLOOKUP($A27,Calendar!$A$1:$R$1377,18,0)=3,SUM(IFERROR(INDEX(Weekly_Model!$D$2:$D$9,MATCH(F27,Weekly_Model!$A$2:$A$9,0)),0),IFERROR(INDEX(Weekly_Model!$D$2:$D$9,MATCH(F28,Weekly_Model!$A$2:$A$9,0)),0),IFERROR(INDEX(Weekly_Model!$D$2:$D$9,MATCH(F29,Weekly_Model!$A$2:$A$9,0)),0)),IF(VLOOKUP($A27,Calendar!$A$1:$R$1377,18,0)=4,SUM(IFERROR(INDEX(Weekly_Model!$D$2:$D$9,MATCH(F27,Weekly_Model!$A$2:$A$9,0)),0),IFERROR(INDEX(Weekly_Model!$D$2:$D$9,MATCH(F28,Weekly_Model!$A$2:$A$9,0)),0),IFERROR(INDEX(Weekly_Model!$D$2:$D$9,MATCH(F29,Weekly_Model!$A$2:$A$9,0)),0),IFERROR(INDEX(Weekly_Model!$D$2:$D$9,MATCH(F30,Weekly_Model!$A$2:$A$9,0)),0)),IF(VLOOKUP($A27,Calendar!$A$1:$R$1377,18,0)=5,SUM(IFERROR(INDEX(Weekly_Model!$D$2:$D$9,MATCH(F27,Weekly_Model!$A$2:$A$9,0)),0),IFERROR(INDEX(Weekly_Model!$D$2:$D$9,MATCH(F28,Weekly_Model!$A$2:$A$9,0)),0),IFERROR(INDEX(Weekly_Model!$D$2:$D$9,MATCH(F29,Weekly_Model!$A$2:$A$9,0)),0),IFERROR(INDEX(Weekly_Model!$D$2:$D$9,MATCH(F30,Weekly_Model!$A$2:$A$9,0)),0),IFERROR(INDEX(Weekly_Model!$D$2:$D$9,MATCH(F31,Weekly_Model!$A$2:$A$9,0)),0)),0))))))</f>
        <v>2.3200000000000002E-2</v>
      </c>
      <c r="L27" s="27">
        <f>IF(VLOOKUP($A27,Calendar!$A$1:$R$1377,18,0)=0,0,IF(VLOOKUP($A27,Calendar!$A$1:$R$1377,18,0)=1,IFERROR(INDEX(Fortnightly_Model!$D$2:$D$15,MATCH(G27,Fortnightly_Model!$B$2:$B$15,0)),0),IF(VLOOKUP($A27,Calendar!$A$1:$R$1377,18,0)=2,SUM(IFERROR(INDEX(Fortnightly_Model!$D$2:$D$15,MATCH(G27,Fortnightly_Model!$B$2:$B$15,0)),0),IFERROR(INDEX(Fortnightly_Model!$D$2:$D$15,MATCH(G28,Fortnightly_Model!$B$2:$B$15,0)),0)),IF(VLOOKUP($A27,Calendar!$A$1:$R$1377,18,0)=3,SUM(IFERROR(INDEX(Fortnightly_Model!$D$2:$D$15,MATCH(G27,Fortnightly_Model!$B$2:$B$15,0)),0),IFERROR(INDEX(Fortnightly_Model!$D$2:$D$15,MATCH(G28,Fortnightly_Model!$B$2:$B$15,0)),0),IFERROR(INDEX(Fortnightly_Model!$D$2:$D$15,MATCH(G29,Fortnightly_Model!$B$2:$B$15,0)),0)),IF(VLOOKUP($A27,Calendar!$A$1:$R$1377,18,0)=4,SUM(IFERROR(INDEX(Fortnightly_Model!$D$2:$D$15,MATCH(G27,Fortnightly_Model!$B$2:$B$15,0)),0),IFERROR(INDEX(Fortnightly_Model!$D$2:$D$15,MATCH(G28,Fortnightly_Model!$B$2:$B$15,0)),0),IFERROR(INDEX(Fortnightly_Model!$D$2:$D$15,MATCH(G29,Fortnightly_Model!$B$2:$B$15,0)),0),IFERROR(INDEX(Fortnightly_Model!$D$2:$D$15,MATCH(G30,Fortnightly_Model!$B$2:$B$15,0)),0)),IF(VLOOKUP($A27,Calendar!$A$1:$R$1377,18,0)=5,SUM(IFERROR(INDEX(Fortnightly_Model!$D$2:$D$15,MATCH(G27,Fortnightly_Model!$B$2:$B$15,0)),0),IFERROR(INDEX(Fortnightly_Model!$D$2:$D$15,MATCH(G28,Fortnightly_Model!$B$2:$B$15,0)),0),IFERROR(INDEX(Fortnightly_Model!$D$2:$D$15,MATCH(G29,Fortnightly_Model!$B$2:$B$15,0)),0),IFERROR(INDEX(Fortnightly_Model!$D$2:$D$15,MATCH(G30,Fortnightly_Model!$B$2:$B$15,0)),0),IFERROR(INDEX(Fortnightly_Model!$D$2:$D$15,MATCH(G31,Fortnightly_Model!$B$2:$B$15,0)),0)),0))))))</f>
        <v>1.0714285499999999E-3</v>
      </c>
      <c r="M27" s="27">
        <f>IF(VLOOKUP($A27,Calendar!$A$1:$R$1377,18,0)=0,0,IF(VLOOKUP($A27,Calendar!$A$1:$R$1377,18,0)=1,IFERROR(INDEX(FourWeekly_Model!$D$2:$D$29,MATCH(H27,FourWeekly_Model!$B$2:$B$29,0)),0),IF(VLOOKUP($A27,Calendar!$A$1:$R$1377,18,0)=2,SUM(IFERROR(INDEX(FourWeekly_Model!$D$2:$D$29,MATCH(H27,FourWeekly_Model!$B$2:$B$29,0)),0),IFERROR(INDEX(FourWeekly_Model!$D$2:$D$29,MATCH(H28,FourWeekly_Model!$B$2:$B$29,0)),0)),IF(VLOOKUP($A27,Calendar!$A$1:$R$1377,18,0)=3,SUM(IFERROR(INDEX(FourWeekly_Model!$D$2:$D$29,MATCH(H27,FourWeekly_Model!$B$2:$B$29,0)),0),IFERROR(INDEX(FourWeekly_Model!$D$2:$D$29,MATCH(H28,FourWeekly_Model!$B$2:$B$29,0)),0),IFERROR(INDEX(FourWeekly_Model!$D$2:$D$29,MATCH(H29,FourWeekly_Model!$B$2:$B$29,0)),0)),IF(VLOOKUP($A27,Calendar!$A$1:$R$1377,18,0)=4,SUM(IFERROR(INDEX(FourWeekly_Model!$D$2:$D$29,MATCH(H27,FourWeekly_Model!$B$2:$B$29,0)),0),IFERROR(INDEX(FourWeekly_Model!$D$2:$D$29,MATCH(H28,FourWeekly_Model!$B$2:$B$29,0)),0),IFERROR(INDEX(FourWeekly_Model!$D$2:$D$29,MATCH(H29,FourWeekly_Model!$B$2:$B$29,0)),0),IFERROR(INDEX(FourWeekly_Model!$D$2:$D$29,MATCH(H30,FourWeekly_Model!$B$2:$B$29,0)),0)),IF(VLOOKUP($A27,Calendar!$A$1:$R$1377,18,0)=5,SUM(IFERROR(INDEX(FourWeekly_Model!$D$2:$D$29,MATCH(H27,FourWeekly_Model!$B$2:$B$29,0)),0),IFERROR(INDEX(FourWeekly_Model!$D$2:$D$29,MATCH(H28,FourWeekly_Model!$B$2:$B$29,0)),0),IFERROR(INDEX(FourWeekly_Model!$D$2:$D$29,MATCH(H29,FourWeekly_Model!$B$2:$B$29,0)),0),IFERROR(INDEX(FourWeekly_Model!$D$2:$D$29,MATCH(H30,FourWeekly_Model!$B$2:$B$29,0)),0),IFERROR(INDEX(FourWeekly_Model!$D$2:$D$29,MATCH(H31,FourWeekly_Model!$B$2:$B$29,0)),0)),0))))))</f>
        <v>3.3214289700000004E-3</v>
      </c>
      <c r="N27" s="27">
        <f>SUM(I27:M27)</f>
        <v>3.7343642860314136E-2</v>
      </c>
      <c r="O27" s="28">
        <f>Population_Data!$B$8*N27</f>
        <v>1131512.3786675183</v>
      </c>
      <c r="P27" s="27">
        <f>IF(VLOOKUP($A27,Calendar!$A$1:$R$1377,18,0)=0,0,IF(VLOOKUP($A27,Calendar!$A$1:$R$1377,18,0)=1,IFERROR(INDEX(Pension_Model!$D$2:$D$29,MATCH(H27,Pension_Model!$B$2:$B$29,0)),0),IF(VLOOKUP($A27,Calendar!$A$1:$R$1377,18,0)=2,SUM(IFERROR(INDEX(Pension_Model!$D$2:$D$29,MATCH(H27,Pension_Model!$B$2:$B$29,0)),0),IFERROR(INDEX(Pension_Model!$D$2:$D$29,MATCH(H28,Pension_Model!$B$2:$B$29,0)),0)),IF(VLOOKUP($A27,Calendar!$A$1:$R$1377,18,0)=3,SUM(IFERROR(INDEX(Pension_Model!$D$2:$D$29,MATCH(H27,Pension_Model!$B$2:$B$29,0)),0),IFERROR(INDEX(Pension_Model!$D$2:$D$29,MATCH(H28,Pension_Model!$B$2:$B$29,0)),0),IFERROR(INDEX(Pension_Model!$D$2:$D$29,MATCH(H29,Pension_Model!$B$2:$B$29,0)),0)),IF(VLOOKUP($A27,Calendar!$A$1:$R$1377,18,0)=4,SUM(IFERROR(INDEX(Pension_Model!$D$2:$D$29,MATCH(H27,Pension_Model!$B$2:$B$29,0)),0),IFERROR(INDEX(Pension_Model!$D$2:$D$29,MATCH(H28,Pension_Model!$B$2:$B$29,0)),0),IFERROR(INDEX(Pension_Model!$D$2:$D$29,MATCH(H29,Pension_Model!$B$2:$B$29,0)),0),IFERROR(INDEX(Pension_Model!$D$2:$D$29,MATCH(H30,Pension_Model!$B$2:$B$29,0)),0)),IF(VLOOKUP($A27,Calendar!$A$1:$R$1377,18,0)=5,SUM(IFERROR(INDEX(Pension_Model!$D$2:$D$29,MATCH(H27,Pension_Model!$B$2:$B$29,0)),0),IFERROR(INDEX(Pension_Model!$D$2:$D$29,MATCH(H28,Pension_Model!$B$2:$B$29,0)),0),IFERROR(INDEX(Pension_Model!$D$2:$D$29,MATCH(H29,Pension_Model!$B$2:$B$29,0)),0),IFERROR(INDEX(Pension_Model!$D$2:$D$29,MATCH(H30,Pension_Model!$B$2:$B$29,0)),0),IFERROR(INDEX(Pension_Model!$D$2:$D$29,MATCH(H31,Pension_Model!$B$2:$B$29,0)),0)),0))))))</f>
        <v>0.05</v>
      </c>
      <c r="Q27" s="28">
        <f>Population_Data!$B$15*P27</f>
        <v>660600</v>
      </c>
      <c r="R27" s="32"/>
      <c r="S27">
        <f t="shared" si="0"/>
        <v>1792112.3786675183</v>
      </c>
      <c r="U27" s="33">
        <f>S27/Population_Data!$B$19</f>
        <v>3.2465803961368084E-2</v>
      </c>
    </row>
    <row r="28" spans="1:21">
      <c r="A28" s="25">
        <f>Calendar!A28</f>
        <v>46261</v>
      </c>
      <c r="B28" t="str">
        <f>Calendar!L28</f>
        <v>Yes</v>
      </c>
      <c r="C28" t="str">
        <f>Calendar!O28</f>
        <v>No</v>
      </c>
      <c r="D28" t="str">
        <f>Calendar!P28</f>
        <v>No</v>
      </c>
      <c r="E28" t="str">
        <f>Calendar!Q28</f>
        <v>Yes</v>
      </c>
      <c r="F28" t="str">
        <f>Calendar!I28</f>
        <v>Thursday</v>
      </c>
      <c r="G28">
        <f>Calendar!S28</f>
        <v>5</v>
      </c>
      <c r="H28">
        <f>Calendar!T28</f>
        <v>5</v>
      </c>
      <c r="I28" s="27">
        <f>IF(VLOOKUP(A28,Calendar!$A$1:$R$1377,18,0)=0,0,IF(VLOOKUP(A28,Calendar!$A$1:$R$1377,18,0)=1,INDEX(Monthly_Pay_Model!$A$9:$D$40,MATCH(TEXT(A28,"dd"),Monthly_Pay_Model!$C$9:$C$39,0),4),IF(VLOOKUP(A28,Calendar!$A$1:$R$1377,18,0)=2,SUM(INDEX(Monthly_Pay_Model!$A$9:$D$40,MATCH(TEXT(A28,"dd"),Monthly_Pay_Model!$C$9:$C$39,0),4),INDEX(Monthly_Pay_Model!$A$9:$D$40,MATCH(TEXT(A29,"dd"),Monthly_Pay_Model!$C$9:$C$39,0),4)),IF(VLOOKUP(A28,Calendar!$A$1:$R$1377,18,0)=3,SUM(INDEX(Monthly_Pay_Model!$A$9:$D$40,MATCH(TEXT(A28,"dd"),Monthly_Pay_Model!$C$9:$C$39,0),4),INDEX(Monthly_Pay_Model!$A$9:$D$40,MATCH(TEXT(A29,"dd"),Monthly_Pay_Model!$C$9:$C$39,0),4),INDEX(Monthly_Pay_Model!$A$9:$D$40,MATCH(TEXT(A30,"dd"),Monthly_Pay_Model!$C$9:$C$39,0),4)),IF(VLOOKUP(A28,Calendar!$A$1:$R$1377,18,0)=4,SUM(INDEX(Monthly_Pay_Model!$A$9:$D$40,MATCH(TEXT(A28,"dd"),Monthly_Pay_Model!$C$9:$C$39,0),4),INDEX(Monthly_Pay_Model!$A$9:$D$40,MATCH(TEXT(A29,"dd"),Monthly_Pay_Model!$C$9:$C$39,0),4),INDEX(Monthly_Pay_Model!$A$9:$D$40,MATCH(TEXT(A30,"dd"),Monthly_Pay_Model!$C$9:$C$39,0),4),INDEX(Monthly_Pay_Model!$A$9:$D$40,MATCH(TEXT(A31,"dd"),Monthly_Pay_Model!$C$9:$C$39,0),4)),IF(VLOOKUP(A28,Calendar!$A$1:$R$1377,18,0)=5,SUM(INDEX(Monthly_Pay_Model!$A$9:$D$40,MATCH(TEXT(A28,"dd"),Monthly_Pay_Model!$C$9:$C$39,0),4),INDEX(Monthly_Pay_Model!$A$9:$D$40,MATCH(TEXT(A29,"dd"),Monthly_Pay_Model!$C$9:$C$39,0),4),INDEX(Monthly_Pay_Model!$A$9:$D$40,MATCH(TEXT(A30,"dd"),Monthly_Pay_Model!$C$9:$C$39,0),4),INDEX(Monthly_Pay_Model!$A$9:$D$40,MATCH(TEXT(A31,"dd"),Monthly_Pay_Model!$C$9:$C$39,0),4),INDEX(Monthly_Pay_Model!$A$9:$D$40,MATCH(TEXT(A32,"dd"),Monthly_Pay_Model!$C$9:$C$39,0),4)),))))))</f>
        <v>9.7507853403141324E-3</v>
      </c>
      <c r="J28" s="33">
        <f>IF(C28="Yes",Monthly_Pay_Model!$D$2,0)
+IF(Calendar!N28="Yes",Monthly_Pay_Model!$D$3,0)
+IF(D28="Yes",Monthly_Pay_Model!$D$4,0)
+IF(E28="Yes",Monthly_Pay_Model!$D$5,0)</f>
        <v>5.4320000000000007E-2</v>
      </c>
      <c r="K28" s="27">
        <f>IF(VLOOKUP($A28,Calendar!$A$1:$R$1377,18,0)=0,0,IF(VLOOKUP($A28,Calendar!$A$1:$R$1377,18,0)=1,IFERROR(INDEX(Weekly_Model!$D$2:$D$9,MATCH(F28,Weekly_Model!$A$2:$A$9,0)),0),IF(VLOOKUP($A28,Calendar!$A$1:$R$1377,18,0)=2,SUM(IFERROR(INDEX(Weekly_Model!$D$2:$D$9,MATCH(F28,Weekly_Model!$A$2:$A$9,0)),0),IFERROR(INDEX(Weekly_Model!$D$2:$D$9,MATCH(F29,Weekly_Model!$A$2:$A$9,0)),0)),IF(VLOOKUP($A28,Calendar!$A$1:$R$1377,18,0)=3,SUM(IFERROR(INDEX(Weekly_Model!$D$2:$D$9,MATCH(F28,Weekly_Model!$A$2:$A$9,0)),0),IFERROR(INDEX(Weekly_Model!$D$2:$D$9,MATCH(F29,Weekly_Model!$A$2:$A$9,0)),0),IFERROR(INDEX(Weekly_Model!$D$2:$D$9,MATCH(F30,Weekly_Model!$A$2:$A$9,0)),0)),IF(VLOOKUP($A28,Calendar!$A$1:$R$1377,18,0)=4,SUM(IFERROR(INDEX(Weekly_Model!$D$2:$D$9,MATCH(F28,Weekly_Model!$A$2:$A$9,0)),0),IFERROR(INDEX(Weekly_Model!$D$2:$D$9,MATCH(F29,Weekly_Model!$A$2:$A$9,0)),0),IFERROR(INDEX(Weekly_Model!$D$2:$D$9,MATCH(F30,Weekly_Model!$A$2:$A$9,0)),0),IFERROR(INDEX(Weekly_Model!$D$2:$D$9,MATCH(F31,Weekly_Model!$A$2:$A$9,0)),0)),IF(VLOOKUP($A28,Calendar!$A$1:$R$1377,18,0)=5,SUM(IFERROR(INDEX(Weekly_Model!$D$2:$D$9,MATCH(F28,Weekly_Model!$A$2:$A$9,0)),0),IFERROR(INDEX(Weekly_Model!$D$2:$D$9,MATCH(F29,Weekly_Model!$A$2:$A$9,0)),0),IFERROR(INDEX(Weekly_Model!$D$2:$D$9,MATCH(F30,Weekly_Model!$A$2:$A$9,0)),0),IFERROR(INDEX(Weekly_Model!$D$2:$D$9,MATCH(F31,Weekly_Model!$A$2:$A$9,0)),0),IFERROR(INDEX(Weekly_Model!$D$2:$D$9,MATCH(F32,Weekly_Model!$A$2:$A$9,0)),0)),0))))))</f>
        <v>2.3200000000000002E-2</v>
      </c>
      <c r="L28" s="27">
        <f>IF(VLOOKUP($A28,Calendar!$A$1:$R$1377,18,0)=0,0,IF(VLOOKUP($A28,Calendar!$A$1:$R$1377,18,0)=1,IFERROR(INDEX(Fortnightly_Model!$D$2:$D$15,MATCH(G28,Fortnightly_Model!$B$2:$B$15,0)),0),IF(VLOOKUP($A28,Calendar!$A$1:$R$1377,18,0)=2,SUM(IFERROR(INDEX(Fortnightly_Model!$D$2:$D$15,MATCH(G28,Fortnightly_Model!$B$2:$B$15,0)),0),IFERROR(INDEX(Fortnightly_Model!$D$2:$D$15,MATCH(G29,Fortnightly_Model!$B$2:$B$15,0)),0)),IF(VLOOKUP($A28,Calendar!$A$1:$R$1377,18,0)=3,SUM(IFERROR(INDEX(Fortnightly_Model!$D$2:$D$15,MATCH(G28,Fortnightly_Model!$B$2:$B$15,0)),0),IFERROR(INDEX(Fortnightly_Model!$D$2:$D$15,MATCH(G29,Fortnightly_Model!$B$2:$B$15,0)),0),IFERROR(INDEX(Fortnightly_Model!$D$2:$D$15,MATCH(G30,Fortnightly_Model!$B$2:$B$15,0)),0)),IF(VLOOKUP($A28,Calendar!$A$1:$R$1377,18,0)=4,SUM(IFERROR(INDEX(Fortnightly_Model!$D$2:$D$15,MATCH(G28,Fortnightly_Model!$B$2:$B$15,0)),0),IFERROR(INDEX(Fortnightly_Model!$D$2:$D$15,MATCH(G29,Fortnightly_Model!$B$2:$B$15,0)),0),IFERROR(INDEX(Fortnightly_Model!$D$2:$D$15,MATCH(G30,Fortnightly_Model!$B$2:$B$15,0)),0),IFERROR(INDEX(Fortnightly_Model!$D$2:$D$15,MATCH(G31,Fortnightly_Model!$B$2:$B$15,0)),0)),IF(VLOOKUP($A28,Calendar!$A$1:$R$1377,18,0)=5,SUM(IFERROR(INDEX(Fortnightly_Model!$D$2:$D$15,MATCH(G28,Fortnightly_Model!$B$2:$B$15,0)),0),IFERROR(INDEX(Fortnightly_Model!$D$2:$D$15,MATCH(G29,Fortnightly_Model!$B$2:$B$15,0)),0),IFERROR(INDEX(Fortnightly_Model!$D$2:$D$15,MATCH(G30,Fortnightly_Model!$B$2:$B$15,0)),0),IFERROR(INDEX(Fortnightly_Model!$D$2:$D$15,MATCH(G31,Fortnightly_Model!$B$2:$B$15,0)),0),IFERROR(INDEX(Fortnightly_Model!$D$2:$D$15,MATCH(G32,Fortnightly_Model!$B$2:$B$15,0)),0)),0))))))</f>
        <v>1.0714285499999999E-3</v>
      </c>
      <c r="M28" s="27">
        <f>IF(VLOOKUP($A28,Calendar!$A$1:$R$1377,18,0)=0,0,IF(VLOOKUP($A28,Calendar!$A$1:$R$1377,18,0)=1,IFERROR(INDEX(FourWeekly_Model!$D$2:$D$29,MATCH(H28,FourWeekly_Model!$B$2:$B$29,0)),0),IF(VLOOKUP($A28,Calendar!$A$1:$R$1377,18,0)=2,SUM(IFERROR(INDEX(FourWeekly_Model!$D$2:$D$29,MATCH(H28,FourWeekly_Model!$B$2:$B$29,0)),0),IFERROR(INDEX(FourWeekly_Model!$D$2:$D$29,MATCH(H29,FourWeekly_Model!$B$2:$B$29,0)),0)),IF(VLOOKUP($A28,Calendar!$A$1:$R$1377,18,0)=3,SUM(IFERROR(INDEX(FourWeekly_Model!$D$2:$D$29,MATCH(H28,FourWeekly_Model!$B$2:$B$29,0)),0),IFERROR(INDEX(FourWeekly_Model!$D$2:$D$29,MATCH(H29,FourWeekly_Model!$B$2:$B$29,0)),0),IFERROR(INDEX(FourWeekly_Model!$D$2:$D$29,MATCH(H30,FourWeekly_Model!$B$2:$B$29,0)),0)),IF(VLOOKUP($A28,Calendar!$A$1:$R$1377,18,0)=4,SUM(IFERROR(INDEX(FourWeekly_Model!$D$2:$D$29,MATCH(H28,FourWeekly_Model!$B$2:$B$29,0)),0),IFERROR(INDEX(FourWeekly_Model!$D$2:$D$29,MATCH(H29,FourWeekly_Model!$B$2:$B$29,0)),0),IFERROR(INDEX(FourWeekly_Model!$D$2:$D$29,MATCH(H30,FourWeekly_Model!$B$2:$B$29,0)),0),IFERROR(INDEX(FourWeekly_Model!$D$2:$D$29,MATCH(H31,FourWeekly_Model!$B$2:$B$29,0)),0)),IF(VLOOKUP($A28,Calendar!$A$1:$R$1377,18,0)=5,SUM(IFERROR(INDEX(FourWeekly_Model!$D$2:$D$29,MATCH(H28,FourWeekly_Model!$B$2:$B$29,0)),0),IFERROR(INDEX(FourWeekly_Model!$D$2:$D$29,MATCH(H29,FourWeekly_Model!$B$2:$B$29,0)),0),IFERROR(INDEX(FourWeekly_Model!$D$2:$D$29,MATCH(H30,FourWeekly_Model!$B$2:$B$29,0)),0),IFERROR(INDEX(FourWeekly_Model!$D$2:$D$29,MATCH(H31,FourWeekly_Model!$B$2:$B$29,0)),0),IFERROR(INDEX(FourWeekly_Model!$D$2:$D$29,MATCH(H32,FourWeekly_Model!$B$2:$B$29,0)),0)),0))))))</f>
        <v>3.3214289700000004E-3</v>
      </c>
      <c r="N28" s="27">
        <f>SUM(I28:M28)</f>
        <v>9.1663642860314143E-2</v>
      </c>
      <c r="O28" s="28">
        <f>Population_Data!$B$8*N28</f>
        <v>2777408.3786675185</v>
      </c>
      <c r="P28" s="27">
        <f>IF(VLOOKUP($A28,Calendar!$A$1:$R$1377,18,0)=0,0,IF(VLOOKUP($A28,Calendar!$A$1:$R$1377,18,0)=1,IFERROR(INDEX(Pension_Model!$D$2:$D$29,MATCH(H28,Pension_Model!$B$2:$B$29,0)),0),IF(VLOOKUP($A28,Calendar!$A$1:$R$1377,18,0)=2,SUM(IFERROR(INDEX(Pension_Model!$D$2:$D$29,MATCH(H28,Pension_Model!$B$2:$B$29,0)),0),IFERROR(INDEX(Pension_Model!$D$2:$D$29,MATCH(H29,Pension_Model!$B$2:$B$29,0)),0)),IF(VLOOKUP($A28,Calendar!$A$1:$R$1377,18,0)=3,SUM(IFERROR(INDEX(Pension_Model!$D$2:$D$29,MATCH(H28,Pension_Model!$B$2:$B$29,0)),0),IFERROR(INDEX(Pension_Model!$D$2:$D$29,MATCH(H29,Pension_Model!$B$2:$B$29,0)),0),IFERROR(INDEX(Pension_Model!$D$2:$D$29,MATCH(H30,Pension_Model!$B$2:$B$29,0)),0)),IF(VLOOKUP($A28,Calendar!$A$1:$R$1377,18,0)=4,SUM(IFERROR(INDEX(Pension_Model!$D$2:$D$29,MATCH(H28,Pension_Model!$B$2:$B$29,0)),0),IFERROR(INDEX(Pension_Model!$D$2:$D$29,MATCH(H29,Pension_Model!$B$2:$B$29,0)),0),IFERROR(INDEX(Pension_Model!$D$2:$D$29,MATCH(H30,Pension_Model!$B$2:$B$29,0)),0),IFERROR(INDEX(Pension_Model!$D$2:$D$29,MATCH(H31,Pension_Model!$B$2:$B$29,0)),0)),IF(VLOOKUP($A28,Calendar!$A$1:$R$1377,18,0)=5,SUM(IFERROR(INDEX(Pension_Model!$D$2:$D$29,MATCH(H28,Pension_Model!$B$2:$B$29,0)),0),IFERROR(INDEX(Pension_Model!$D$2:$D$29,MATCH(H29,Pension_Model!$B$2:$B$29,0)),0),IFERROR(INDEX(Pension_Model!$D$2:$D$29,MATCH(H30,Pension_Model!$B$2:$B$29,0)),0),IFERROR(INDEX(Pension_Model!$D$2:$D$29,MATCH(H31,Pension_Model!$B$2:$B$29,0)),0),IFERROR(INDEX(Pension_Model!$D$2:$D$29,MATCH(H32,Pension_Model!$B$2:$B$29,0)),0)),0))))))</f>
        <v>0.05</v>
      </c>
      <c r="Q28" s="28">
        <f>Population_Data!$B$15*P28</f>
        <v>660600</v>
      </c>
      <c r="R28" s="32"/>
      <c r="S28">
        <f t="shared" si="0"/>
        <v>3438008.3786675185</v>
      </c>
      <c r="U28" s="33">
        <f>S28/Population_Data!$B$19</f>
        <v>6.228276048310722E-2</v>
      </c>
    </row>
    <row r="29" spans="1:21">
      <c r="A29" s="25">
        <f>Calendar!A29</f>
        <v>46262</v>
      </c>
      <c r="B29" t="str">
        <f>Calendar!L29</f>
        <v>Yes</v>
      </c>
      <c r="C29" t="str">
        <f>Calendar!O29</f>
        <v>Yes</v>
      </c>
      <c r="D29" t="str">
        <f>Calendar!P29</f>
        <v>Yes</v>
      </c>
      <c r="E29" t="str">
        <f>Calendar!Q29</f>
        <v>No</v>
      </c>
      <c r="F29" t="str">
        <f>Calendar!I29</f>
        <v>Friday</v>
      </c>
      <c r="G29">
        <f>Calendar!S29</f>
        <v>6</v>
      </c>
      <c r="H29">
        <f>Calendar!T29</f>
        <v>6</v>
      </c>
      <c r="I29" s="27">
        <f>IF(VLOOKUP(A29,Calendar!$A$1:$R$1377,18,0)=0,0,IF(VLOOKUP(A29,Calendar!$A$1:$R$1377,18,0)=1,INDEX(Monthly_Pay_Model!$A$9:$D$40,MATCH(TEXT(A29,"dd"),Monthly_Pay_Model!$C$9:$C$39,0),4),IF(VLOOKUP(A29,Calendar!$A$1:$R$1377,18,0)=2,SUM(INDEX(Monthly_Pay_Model!$A$9:$D$40,MATCH(TEXT(A29,"dd"),Monthly_Pay_Model!$C$9:$C$39,0),4),INDEX(Monthly_Pay_Model!$A$9:$D$40,MATCH(TEXT(A30,"dd"),Monthly_Pay_Model!$C$9:$C$39,0),4)),IF(VLOOKUP(A29,Calendar!$A$1:$R$1377,18,0)=3,SUM(INDEX(Monthly_Pay_Model!$A$9:$D$40,MATCH(TEXT(A29,"dd"),Monthly_Pay_Model!$C$9:$C$39,0),4),INDEX(Monthly_Pay_Model!$A$9:$D$40,MATCH(TEXT(A30,"dd"),Monthly_Pay_Model!$C$9:$C$39,0),4),INDEX(Monthly_Pay_Model!$A$9:$D$40,MATCH(TEXT(A31,"dd"),Monthly_Pay_Model!$C$9:$C$39,0),4)),IF(VLOOKUP(A29,Calendar!$A$1:$R$1377,18,0)=4,SUM(INDEX(Monthly_Pay_Model!$A$9:$D$40,MATCH(TEXT(A29,"dd"),Monthly_Pay_Model!$C$9:$C$39,0),4),INDEX(Monthly_Pay_Model!$A$9:$D$40,MATCH(TEXT(A30,"dd"),Monthly_Pay_Model!$C$9:$C$39,0),4),INDEX(Monthly_Pay_Model!$A$9:$D$40,MATCH(TEXT(A31,"dd"),Monthly_Pay_Model!$C$9:$C$39,0),4),INDEX(Monthly_Pay_Model!$A$9:$D$40,MATCH(TEXT(A32,"dd"),Monthly_Pay_Model!$C$9:$C$39,0),4)),IF(VLOOKUP(A29,Calendar!$A$1:$R$1377,18,0)=5,SUM(INDEX(Monthly_Pay_Model!$A$9:$D$40,MATCH(TEXT(A29,"dd"),Monthly_Pay_Model!$C$9:$C$39,0),4),INDEX(Monthly_Pay_Model!$A$9:$D$40,MATCH(TEXT(A30,"dd"),Monthly_Pay_Model!$C$9:$C$39,0),4),INDEX(Monthly_Pay_Model!$A$9:$D$40,MATCH(TEXT(A31,"dd"),Monthly_Pay_Model!$C$9:$C$39,0),4),INDEX(Monthly_Pay_Model!$A$9:$D$40,MATCH(TEXT(A32,"dd"),Monthly_Pay_Model!$C$9:$C$39,0),4),INDEX(Monthly_Pay_Model!$A$9:$D$40,MATCH(TEXT(A33,"dd"),Monthly_Pay_Model!$C$9:$C$39,0),4)),))))))</f>
        <v>3.5752879581151829E-2</v>
      </c>
      <c r="J29" s="33">
        <f>IF(C29="Yes",Monthly_Pay_Model!$D$2,0)
+IF(Calendar!N29="Yes",Monthly_Pay_Model!$D$3,0)
+IF(D29="Yes",Monthly_Pay_Model!$D$4,0)
+IF(E29="Yes",Monthly_Pay_Model!$D$5,0)</f>
        <v>0.44231999999999999</v>
      </c>
      <c r="K29" s="27">
        <f>IF(VLOOKUP($A29,Calendar!$A$1:$R$1377,18,0)=0,0,IF(VLOOKUP($A29,Calendar!$A$1:$R$1377,18,0)=1,IFERROR(INDEX(Weekly_Model!$D$2:$D$9,MATCH(F29,Weekly_Model!$A$2:$A$9,0)),0),IF(VLOOKUP($A29,Calendar!$A$1:$R$1377,18,0)=2,SUM(IFERROR(INDEX(Weekly_Model!$D$2:$D$9,MATCH(F29,Weekly_Model!$A$2:$A$9,0)),0),IFERROR(INDEX(Weekly_Model!$D$2:$D$9,MATCH(F30,Weekly_Model!$A$2:$A$9,0)),0)),IF(VLOOKUP($A29,Calendar!$A$1:$R$1377,18,0)=3,SUM(IFERROR(INDEX(Weekly_Model!$D$2:$D$9,MATCH(F29,Weekly_Model!$A$2:$A$9,0)),0),IFERROR(INDEX(Weekly_Model!$D$2:$D$9,MATCH(F30,Weekly_Model!$A$2:$A$9,0)),0),IFERROR(INDEX(Weekly_Model!$D$2:$D$9,MATCH(F31,Weekly_Model!$A$2:$A$9,0)),0)),IF(VLOOKUP($A29,Calendar!$A$1:$R$1377,18,0)=4,SUM(IFERROR(INDEX(Weekly_Model!$D$2:$D$9,MATCH(F29,Weekly_Model!$A$2:$A$9,0)),0),IFERROR(INDEX(Weekly_Model!$D$2:$D$9,MATCH(F30,Weekly_Model!$A$2:$A$9,0)),0),IFERROR(INDEX(Weekly_Model!$D$2:$D$9,MATCH(F31,Weekly_Model!$A$2:$A$9,0)),0),IFERROR(INDEX(Weekly_Model!$D$2:$D$9,MATCH(F32,Weekly_Model!$A$2:$A$9,0)),0)),IF(VLOOKUP($A29,Calendar!$A$1:$R$1377,18,0)=5,SUM(IFERROR(INDEX(Weekly_Model!$D$2:$D$9,MATCH(F29,Weekly_Model!$A$2:$A$9,0)),0),IFERROR(INDEX(Weekly_Model!$D$2:$D$9,MATCH(F30,Weekly_Model!$A$2:$A$9,0)),0),IFERROR(INDEX(Weekly_Model!$D$2:$D$9,MATCH(F31,Weekly_Model!$A$2:$A$9,0)),0),IFERROR(INDEX(Weekly_Model!$D$2:$D$9,MATCH(F32,Weekly_Model!$A$2:$A$9,0)),0),IFERROR(INDEX(Weekly_Model!$D$2:$D$9,MATCH(F33,Weekly_Model!$A$2:$A$9,0)),0)),0))))))</f>
        <v>4.6400000000000004E-2</v>
      </c>
      <c r="L29" s="27">
        <f>IF(VLOOKUP($A29,Calendar!$A$1:$R$1377,18,0)=0,0,IF(VLOOKUP($A29,Calendar!$A$1:$R$1377,18,0)=1,IFERROR(INDEX(Fortnightly_Model!$D$2:$D$15,MATCH(G29,Fortnightly_Model!$B$2:$B$15,0)),0),IF(VLOOKUP($A29,Calendar!$A$1:$R$1377,18,0)=2,SUM(IFERROR(INDEX(Fortnightly_Model!$D$2:$D$15,MATCH(G29,Fortnightly_Model!$B$2:$B$15,0)),0),IFERROR(INDEX(Fortnightly_Model!$D$2:$D$15,MATCH(G30,Fortnightly_Model!$B$2:$B$15,0)),0)),IF(VLOOKUP($A29,Calendar!$A$1:$R$1377,18,0)=3,SUM(IFERROR(INDEX(Fortnightly_Model!$D$2:$D$15,MATCH(G29,Fortnightly_Model!$B$2:$B$15,0)),0),IFERROR(INDEX(Fortnightly_Model!$D$2:$D$15,MATCH(G30,Fortnightly_Model!$B$2:$B$15,0)),0),IFERROR(INDEX(Fortnightly_Model!$D$2:$D$15,MATCH(G31,Fortnightly_Model!$B$2:$B$15,0)),0)),IF(VLOOKUP($A29,Calendar!$A$1:$R$1377,18,0)=4,SUM(IFERROR(INDEX(Fortnightly_Model!$D$2:$D$15,MATCH(G29,Fortnightly_Model!$B$2:$B$15,0)),0),IFERROR(INDEX(Fortnightly_Model!$D$2:$D$15,MATCH(G30,Fortnightly_Model!$B$2:$B$15,0)),0),IFERROR(INDEX(Fortnightly_Model!$D$2:$D$15,MATCH(G31,Fortnightly_Model!$B$2:$B$15,0)),0),IFERROR(INDEX(Fortnightly_Model!$D$2:$D$15,MATCH(G32,Fortnightly_Model!$B$2:$B$15,0)),0)),IF(VLOOKUP($A29,Calendar!$A$1:$R$1377,18,0)=5,SUM(IFERROR(INDEX(Fortnightly_Model!$D$2:$D$15,MATCH(G29,Fortnightly_Model!$B$2:$B$15,0)),0),IFERROR(INDEX(Fortnightly_Model!$D$2:$D$15,MATCH(G30,Fortnightly_Model!$B$2:$B$15,0)),0),IFERROR(INDEX(Fortnightly_Model!$D$2:$D$15,MATCH(G31,Fortnightly_Model!$B$2:$B$15,0)),0),IFERROR(INDEX(Fortnightly_Model!$D$2:$D$15,MATCH(G32,Fortnightly_Model!$B$2:$B$15,0)),0),IFERROR(INDEX(Fortnightly_Model!$D$2:$D$15,MATCH(G33,Fortnightly_Model!$B$2:$B$15,0)),0)),0))))))</f>
        <v>4.2857141999999996E-3</v>
      </c>
      <c r="M29" s="27">
        <f>IF(VLOOKUP($A29,Calendar!$A$1:$R$1377,18,0)=0,0,IF(VLOOKUP($A29,Calendar!$A$1:$R$1377,18,0)=1,IFERROR(INDEX(FourWeekly_Model!$D$2:$D$29,MATCH(H29,FourWeekly_Model!$B$2:$B$29,0)),0),IF(VLOOKUP($A29,Calendar!$A$1:$R$1377,18,0)=2,SUM(IFERROR(INDEX(FourWeekly_Model!$D$2:$D$29,MATCH(H29,FourWeekly_Model!$B$2:$B$29,0)),0),IFERROR(INDEX(FourWeekly_Model!$D$2:$D$29,MATCH(H30,FourWeekly_Model!$B$2:$B$29,0)),0)),IF(VLOOKUP($A29,Calendar!$A$1:$R$1377,18,0)=3,SUM(IFERROR(INDEX(FourWeekly_Model!$D$2:$D$29,MATCH(H29,FourWeekly_Model!$B$2:$B$29,0)),0),IFERROR(INDEX(FourWeekly_Model!$D$2:$D$29,MATCH(H30,FourWeekly_Model!$B$2:$B$29,0)),0),IFERROR(INDEX(FourWeekly_Model!$D$2:$D$29,MATCH(H31,FourWeekly_Model!$B$2:$B$29,0)),0)),IF(VLOOKUP($A29,Calendar!$A$1:$R$1377,18,0)=4,SUM(IFERROR(INDEX(FourWeekly_Model!$D$2:$D$29,MATCH(H29,FourWeekly_Model!$B$2:$B$29,0)),0),IFERROR(INDEX(FourWeekly_Model!$D$2:$D$29,MATCH(H30,FourWeekly_Model!$B$2:$B$29,0)),0),IFERROR(INDEX(FourWeekly_Model!$D$2:$D$29,MATCH(H31,FourWeekly_Model!$B$2:$B$29,0)),0),IFERROR(INDEX(FourWeekly_Model!$D$2:$D$29,MATCH(H32,FourWeekly_Model!$B$2:$B$29,0)),0)),IF(VLOOKUP($A29,Calendar!$A$1:$R$1377,18,0)=5,SUM(IFERROR(INDEX(FourWeekly_Model!$D$2:$D$29,MATCH(H29,FourWeekly_Model!$B$2:$B$29,0)),0),IFERROR(INDEX(FourWeekly_Model!$D$2:$D$29,MATCH(H30,FourWeekly_Model!$B$2:$B$29,0)),0),IFERROR(INDEX(FourWeekly_Model!$D$2:$D$29,MATCH(H31,FourWeekly_Model!$B$2:$B$29,0)),0),IFERROR(INDEX(FourWeekly_Model!$D$2:$D$29,MATCH(H32,FourWeekly_Model!$B$2:$B$29,0)),0),IFERROR(INDEX(FourWeekly_Model!$D$2:$D$29,MATCH(H33,FourWeekly_Model!$B$2:$B$29,0)),0)),0))))))</f>
        <v>1.3285714950000001E-2</v>
      </c>
      <c r="N29" s="27">
        <f>SUM(I29:M29)</f>
        <v>0.54204430873115184</v>
      </c>
      <c r="O29" s="28">
        <f>Population_Data!$B$8*N29</f>
        <v>16423942.5545539</v>
      </c>
      <c r="P29" s="27">
        <f>IF(VLOOKUP($A29,Calendar!$A$1:$R$1377,18,0)=0,0,IF(VLOOKUP($A29,Calendar!$A$1:$R$1377,18,0)=1,IFERROR(INDEX(Pension_Model!$D$2:$D$29,MATCH(H29,Pension_Model!$B$2:$B$29,0)),0),IF(VLOOKUP($A29,Calendar!$A$1:$R$1377,18,0)=2,SUM(IFERROR(INDEX(Pension_Model!$D$2:$D$29,MATCH(H29,Pension_Model!$B$2:$B$29,0)),0),IFERROR(INDEX(Pension_Model!$D$2:$D$29,MATCH(H30,Pension_Model!$B$2:$B$29,0)),0)),IF(VLOOKUP($A29,Calendar!$A$1:$R$1377,18,0)=3,SUM(IFERROR(INDEX(Pension_Model!$D$2:$D$29,MATCH(H29,Pension_Model!$B$2:$B$29,0)),0),IFERROR(INDEX(Pension_Model!$D$2:$D$29,MATCH(H30,Pension_Model!$B$2:$B$29,0)),0),IFERROR(INDEX(Pension_Model!$D$2:$D$29,MATCH(H31,Pension_Model!$B$2:$B$29,0)),0)),IF(VLOOKUP($A29,Calendar!$A$1:$R$1377,18,0)=4,SUM(IFERROR(INDEX(Pension_Model!$D$2:$D$29,MATCH(H29,Pension_Model!$B$2:$B$29,0)),0),IFERROR(INDEX(Pension_Model!$D$2:$D$29,MATCH(H30,Pension_Model!$B$2:$B$29,0)),0),IFERROR(INDEX(Pension_Model!$D$2:$D$29,MATCH(H31,Pension_Model!$B$2:$B$29,0)),0),IFERROR(INDEX(Pension_Model!$D$2:$D$29,MATCH(H32,Pension_Model!$B$2:$B$29,0)),0)),IF(VLOOKUP($A29,Calendar!$A$1:$R$1377,18,0)=5,SUM(IFERROR(INDEX(Pension_Model!$D$2:$D$29,MATCH(H29,Pension_Model!$B$2:$B$29,0)),0),IFERROR(INDEX(Pension_Model!$D$2:$D$29,MATCH(H30,Pension_Model!$B$2:$B$29,0)),0),IFERROR(INDEX(Pension_Model!$D$2:$D$29,MATCH(H31,Pension_Model!$B$2:$B$29,0)),0),IFERROR(INDEX(Pension_Model!$D$2:$D$29,MATCH(H32,Pension_Model!$B$2:$B$29,0)),0),IFERROR(INDEX(Pension_Model!$D$2:$D$29,MATCH(H33,Pension_Model!$B$2:$B$29,0)),0)),0))))))</f>
        <v>0.1</v>
      </c>
      <c r="Q29" s="28">
        <f>Population_Data!$B$15*P29</f>
        <v>1321200</v>
      </c>
      <c r="R29" s="32"/>
      <c r="S29">
        <f>SUM(Q29,O29)</f>
        <v>17745142.5545539</v>
      </c>
      <c r="U29" s="33">
        <f>S29/Population_Data!$B$19</f>
        <v>0.32146997381438225</v>
      </c>
    </row>
    <row r="30" spans="1:21">
      <c r="A30" s="25">
        <f>Calendar!A30</f>
        <v>46263</v>
      </c>
      <c r="B30" t="str">
        <f>Calendar!L30</f>
        <v>No</v>
      </c>
      <c r="C30" t="str">
        <f>Calendar!O30</f>
        <v>No</v>
      </c>
      <c r="D30" t="str">
        <f>Calendar!P30</f>
        <v>No</v>
      </c>
      <c r="E30" t="str">
        <f>Calendar!Q30</f>
        <v>No</v>
      </c>
      <c r="F30" t="str">
        <f>Calendar!I30</f>
        <v>Saturday</v>
      </c>
      <c r="G30">
        <f>Calendar!S30</f>
        <v>7</v>
      </c>
      <c r="H30">
        <f>Calendar!T30</f>
        <v>7</v>
      </c>
      <c r="I30" s="27">
        <f>IF(VLOOKUP(A30,Calendar!$A$1:$R$1377,18,0)=0,0,IF(VLOOKUP(A30,Calendar!$A$1:$R$1377,18,0)=1,INDEX(Monthly_Pay_Model!$A$9:$D$40,MATCH(TEXT(A30,"dd"),Monthly_Pay_Model!$C$9:$C$39,0),4),IF(VLOOKUP(A30,Calendar!$A$1:$R$1377,18,0)=2,SUM(INDEX(Monthly_Pay_Model!$A$9:$D$40,MATCH(TEXT(A30,"dd"),Monthly_Pay_Model!$C$9:$C$39,0),4),INDEX(Monthly_Pay_Model!$A$9:$D$40,MATCH(TEXT(A31,"dd"),Monthly_Pay_Model!$C$9:$C$39,0),4)),IF(VLOOKUP(A30,Calendar!$A$1:$R$1377,18,0)=3,SUM(INDEX(Monthly_Pay_Model!$A$9:$D$40,MATCH(TEXT(A30,"dd"),Monthly_Pay_Model!$C$9:$C$39,0),4),INDEX(Monthly_Pay_Model!$A$9:$D$40,MATCH(TEXT(A31,"dd"),Monthly_Pay_Model!$C$9:$C$39,0),4),INDEX(Monthly_Pay_Model!$A$9:$D$40,MATCH(TEXT(A32,"dd"),Monthly_Pay_Model!$C$9:$C$39,0),4)),IF(VLOOKUP(A30,Calendar!$A$1:$R$1377,18,0)=4,SUM(INDEX(Monthly_Pay_Model!$A$9:$D$40,MATCH(TEXT(A30,"dd"),Monthly_Pay_Model!$C$9:$C$39,0),4),INDEX(Monthly_Pay_Model!$A$9:$D$40,MATCH(TEXT(A31,"dd"),Monthly_Pay_Model!$C$9:$C$39,0),4),INDEX(Monthly_Pay_Model!$A$9:$D$40,MATCH(TEXT(A32,"dd"),Monthly_Pay_Model!$C$9:$C$39,0),4),INDEX(Monthly_Pay_Model!$A$9:$D$40,MATCH(TEXT(A33,"dd"),Monthly_Pay_Model!$C$9:$C$39,0),4)),IF(VLOOKUP(A30,Calendar!$A$1:$R$1377,18,0)=5,SUM(INDEX(Monthly_Pay_Model!$A$9:$D$40,MATCH(TEXT(A30,"dd"),Monthly_Pay_Model!$C$9:$C$39,0),4),INDEX(Monthly_Pay_Model!$A$9:$D$40,MATCH(TEXT(A31,"dd"),Monthly_Pay_Model!$C$9:$C$39,0),4),INDEX(Monthly_Pay_Model!$A$9:$D$40,MATCH(TEXT(A32,"dd"),Monthly_Pay_Model!$C$9:$C$39,0),4),INDEX(Monthly_Pay_Model!$A$9:$D$40,MATCH(TEXT(A33,"dd"),Monthly_Pay_Model!$C$9:$C$39,0),4),INDEX(Monthly_Pay_Model!$A$9:$D$40,MATCH(TEXT(A34,"dd"),Monthly_Pay_Model!$C$9:$C$39,0),4)),))))))</f>
        <v>0</v>
      </c>
      <c r="J30" s="33">
        <f>IF(C30="Yes",Monthly_Pay_Model!$D$2,0)
+IF(Calendar!N30="Yes",Monthly_Pay_Model!$D$3,0)
+IF(D30="Yes",Monthly_Pay_Model!$D$4,0)
+IF(E30="Yes",Monthly_Pay_Model!$D$5,0)</f>
        <v>0</v>
      </c>
      <c r="K30" s="27">
        <f>IF(VLOOKUP($A30,Calendar!$A$1:$R$1377,18,0)=0,0,IF(VLOOKUP($A30,Calendar!$A$1:$R$1377,18,0)=1,IFERROR(INDEX(Weekly_Model!$D$2:$D$9,MATCH(F30,Weekly_Model!$A$2:$A$9,0)),0),IF(VLOOKUP($A30,Calendar!$A$1:$R$1377,18,0)=2,SUM(IFERROR(INDEX(Weekly_Model!$D$2:$D$9,MATCH(F30,Weekly_Model!$A$2:$A$9,0)),0),IFERROR(INDEX(Weekly_Model!$D$2:$D$9,MATCH(F31,Weekly_Model!$A$2:$A$9,0)),0)),IF(VLOOKUP($A30,Calendar!$A$1:$R$1377,18,0)=3,SUM(IFERROR(INDEX(Weekly_Model!$D$2:$D$9,MATCH(F30,Weekly_Model!$A$2:$A$9,0)),0),IFERROR(INDEX(Weekly_Model!$D$2:$D$9,MATCH(F31,Weekly_Model!$A$2:$A$9,0)),0),IFERROR(INDEX(Weekly_Model!$D$2:$D$9,MATCH(F32,Weekly_Model!$A$2:$A$9,0)),0)),IF(VLOOKUP($A30,Calendar!$A$1:$R$1377,18,0)=4,SUM(IFERROR(INDEX(Weekly_Model!$D$2:$D$9,MATCH(F30,Weekly_Model!$A$2:$A$9,0)),0),IFERROR(INDEX(Weekly_Model!$D$2:$D$9,MATCH(F31,Weekly_Model!$A$2:$A$9,0)),0),IFERROR(INDEX(Weekly_Model!$D$2:$D$9,MATCH(F32,Weekly_Model!$A$2:$A$9,0)),0),IFERROR(INDEX(Weekly_Model!$D$2:$D$9,MATCH(F33,Weekly_Model!$A$2:$A$9,0)),0)),IF(VLOOKUP($A30,Calendar!$A$1:$R$1377,18,0)=5,SUM(IFERROR(INDEX(Weekly_Model!$D$2:$D$9,MATCH(F30,Weekly_Model!$A$2:$A$9,0)),0),IFERROR(INDEX(Weekly_Model!$D$2:$D$9,MATCH(F31,Weekly_Model!$A$2:$A$9,0)),0),IFERROR(INDEX(Weekly_Model!$D$2:$D$9,MATCH(F32,Weekly_Model!$A$2:$A$9,0)),0),IFERROR(INDEX(Weekly_Model!$D$2:$D$9,MATCH(F33,Weekly_Model!$A$2:$A$9,0)),0),IFERROR(INDEX(Weekly_Model!$D$2:$D$9,MATCH(F34,Weekly_Model!$A$2:$A$9,0)),0)),0))))))</f>
        <v>0</v>
      </c>
      <c r="L30" s="27">
        <f>IF(VLOOKUP($A30,Calendar!$A$1:$R$1377,18,0)=0,0,IF(VLOOKUP($A30,Calendar!$A$1:$R$1377,18,0)=1,IFERROR(INDEX(Fortnightly_Model!$D$2:$D$15,MATCH(G30,Fortnightly_Model!$B$2:$B$15,0)),0),IF(VLOOKUP($A30,Calendar!$A$1:$R$1377,18,0)=2,SUM(IFERROR(INDEX(Fortnightly_Model!$D$2:$D$15,MATCH(G30,Fortnightly_Model!$B$2:$B$15,0)),0),IFERROR(INDEX(Fortnightly_Model!$D$2:$D$15,MATCH(G31,Fortnightly_Model!$B$2:$B$15,0)),0)),IF(VLOOKUP($A30,Calendar!$A$1:$R$1377,18,0)=3,SUM(IFERROR(INDEX(Fortnightly_Model!$D$2:$D$15,MATCH(G30,Fortnightly_Model!$B$2:$B$15,0)),0),IFERROR(INDEX(Fortnightly_Model!$D$2:$D$15,MATCH(G31,Fortnightly_Model!$B$2:$B$15,0)),0),IFERROR(INDEX(Fortnightly_Model!$D$2:$D$15,MATCH(G32,Fortnightly_Model!$B$2:$B$15,0)),0)),IF(VLOOKUP($A30,Calendar!$A$1:$R$1377,18,0)=4,SUM(IFERROR(INDEX(Fortnightly_Model!$D$2:$D$15,MATCH(G30,Fortnightly_Model!$B$2:$B$15,0)),0),IFERROR(INDEX(Fortnightly_Model!$D$2:$D$15,MATCH(G31,Fortnightly_Model!$B$2:$B$15,0)),0),IFERROR(INDEX(Fortnightly_Model!$D$2:$D$15,MATCH(G32,Fortnightly_Model!$B$2:$B$15,0)),0),IFERROR(INDEX(Fortnightly_Model!$D$2:$D$15,MATCH(G33,Fortnightly_Model!$B$2:$B$15,0)),0)),IF(VLOOKUP($A30,Calendar!$A$1:$R$1377,18,0)=5,SUM(IFERROR(INDEX(Fortnightly_Model!$D$2:$D$15,MATCH(G30,Fortnightly_Model!$B$2:$B$15,0)),0),IFERROR(INDEX(Fortnightly_Model!$D$2:$D$15,MATCH(G31,Fortnightly_Model!$B$2:$B$15,0)),0),IFERROR(INDEX(Fortnightly_Model!$D$2:$D$15,MATCH(G32,Fortnightly_Model!$B$2:$B$15,0)),0),IFERROR(INDEX(Fortnightly_Model!$D$2:$D$15,MATCH(G33,Fortnightly_Model!$B$2:$B$15,0)),0),IFERROR(INDEX(Fortnightly_Model!$D$2:$D$15,MATCH(G34,Fortnightly_Model!$B$2:$B$15,0)),0)),0))))))</f>
        <v>0</v>
      </c>
      <c r="M30" s="27">
        <f>IF(VLOOKUP($A30,Calendar!$A$1:$R$1377,18,0)=0,0,IF(VLOOKUP($A30,Calendar!$A$1:$R$1377,18,0)=1,IFERROR(INDEX(FourWeekly_Model!$D$2:$D$29,MATCH(H30,FourWeekly_Model!$B$2:$B$29,0)),0),IF(VLOOKUP($A30,Calendar!$A$1:$R$1377,18,0)=2,SUM(IFERROR(INDEX(FourWeekly_Model!$D$2:$D$29,MATCH(H30,FourWeekly_Model!$B$2:$B$29,0)),0),IFERROR(INDEX(FourWeekly_Model!$D$2:$D$29,MATCH(H31,FourWeekly_Model!$B$2:$B$29,0)),0)),IF(VLOOKUP($A30,Calendar!$A$1:$R$1377,18,0)=3,SUM(IFERROR(INDEX(FourWeekly_Model!$D$2:$D$29,MATCH(H30,FourWeekly_Model!$B$2:$B$29,0)),0),IFERROR(INDEX(FourWeekly_Model!$D$2:$D$29,MATCH(H31,FourWeekly_Model!$B$2:$B$29,0)),0),IFERROR(INDEX(FourWeekly_Model!$D$2:$D$29,MATCH(H32,FourWeekly_Model!$B$2:$B$29,0)),0)),IF(VLOOKUP($A30,Calendar!$A$1:$R$1377,18,0)=4,SUM(IFERROR(INDEX(FourWeekly_Model!$D$2:$D$29,MATCH(H30,FourWeekly_Model!$B$2:$B$29,0)),0),IFERROR(INDEX(FourWeekly_Model!$D$2:$D$29,MATCH(H31,FourWeekly_Model!$B$2:$B$29,0)),0),IFERROR(INDEX(FourWeekly_Model!$D$2:$D$29,MATCH(H32,FourWeekly_Model!$B$2:$B$29,0)),0),IFERROR(INDEX(FourWeekly_Model!$D$2:$D$29,MATCH(H33,FourWeekly_Model!$B$2:$B$29,0)),0)),IF(VLOOKUP($A30,Calendar!$A$1:$R$1377,18,0)=5,SUM(IFERROR(INDEX(FourWeekly_Model!$D$2:$D$29,MATCH(H30,FourWeekly_Model!$B$2:$B$29,0)),0),IFERROR(INDEX(FourWeekly_Model!$D$2:$D$29,MATCH(H31,FourWeekly_Model!$B$2:$B$29,0)),0),IFERROR(INDEX(FourWeekly_Model!$D$2:$D$29,MATCH(H32,FourWeekly_Model!$B$2:$B$29,0)),0),IFERROR(INDEX(FourWeekly_Model!$D$2:$D$29,MATCH(H33,FourWeekly_Model!$B$2:$B$29,0)),0),IFERROR(INDEX(FourWeekly_Model!$D$2:$D$29,MATCH(H34,FourWeekly_Model!$B$2:$B$29,0)),0)),0))))))</f>
        <v>0</v>
      </c>
      <c r="N30" s="27">
        <f>SUM(I30:M30)</f>
        <v>0</v>
      </c>
      <c r="O30" s="28">
        <f>Population_Data!$B$8*N30</f>
        <v>0</v>
      </c>
      <c r="P30" s="27">
        <f>IF(VLOOKUP($A30,Calendar!$A$1:$R$1377,18,0)=0,0,IF(VLOOKUP($A30,Calendar!$A$1:$R$1377,18,0)=1,IFERROR(INDEX(Pension_Model!$D$2:$D$29,MATCH(H30,Pension_Model!$B$2:$B$29,0)),0),IF(VLOOKUP($A30,Calendar!$A$1:$R$1377,18,0)=2,SUM(IFERROR(INDEX(Pension_Model!$D$2:$D$29,MATCH(H30,Pension_Model!$B$2:$B$29,0)),0),IFERROR(INDEX(Pension_Model!$D$2:$D$29,MATCH(H31,Pension_Model!$B$2:$B$29,0)),0)),IF(VLOOKUP($A30,Calendar!$A$1:$R$1377,18,0)=3,SUM(IFERROR(INDEX(Pension_Model!$D$2:$D$29,MATCH(H30,Pension_Model!$B$2:$B$29,0)),0),IFERROR(INDEX(Pension_Model!$D$2:$D$29,MATCH(H31,Pension_Model!$B$2:$B$29,0)),0),IFERROR(INDEX(Pension_Model!$D$2:$D$29,MATCH(H32,Pension_Model!$B$2:$B$29,0)),0)),IF(VLOOKUP($A30,Calendar!$A$1:$R$1377,18,0)=4,SUM(IFERROR(INDEX(Pension_Model!$D$2:$D$29,MATCH(H30,Pension_Model!$B$2:$B$29,0)),0),IFERROR(INDEX(Pension_Model!$D$2:$D$29,MATCH(H31,Pension_Model!$B$2:$B$29,0)),0),IFERROR(INDEX(Pension_Model!$D$2:$D$29,MATCH(H32,Pension_Model!$B$2:$B$29,0)),0),IFERROR(INDEX(Pension_Model!$D$2:$D$29,MATCH(H33,Pension_Model!$B$2:$B$29,0)),0)),IF(VLOOKUP($A30,Calendar!$A$1:$R$1377,18,0)=5,SUM(IFERROR(INDEX(Pension_Model!$D$2:$D$29,MATCH(H30,Pension_Model!$B$2:$B$29,0)),0),IFERROR(INDEX(Pension_Model!$D$2:$D$29,MATCH(H31,Pension_Model!$B$2:$B$29,0)),0),IFERROR(INDEX(Pension_Model!$D$2:$D$29,MATCH(H32,Pension_Model!$B$2:$B$29,0)),0),IFERROR(INDEX(Pension_Model!$D$2:$D$29,MATCH(H33,Pension_Model!$B$2:$B$29,0)),0),IFERROR(INDEX(Pension_Model!$D$2:$D$29,MATCH(H34,Pension_Model!$B$2:$B$29,0)),0)),0))))))</f>
        <v>0</v>
      </c>
      <c r="Q30" s="28">
        <f>Population_Data!$B$15*P30</f>
        <v>0</v>
      </c>
      <c r="R30" s="32"/>
      <c r="S30">
        <f t="shared" si="0"/>
        <v>0</v>
      </c>
      <c r="U30" s="33">
        <f>S30/Population_Data!$B$19</f>
        <v>0</v>
      </c>
    </row>
    <row r="31" spans="1:21">
      <c r="A31" s="25">
        <f>Calendar!A31</f>
        <v>46264</v>
      </c>
      <c r="B31" t="str">
        <f>Calendar!L31</f>
        <v>No</v>
      </c>
      <c r="C31" t="str">
        <f>Calendar!O31</f>
        <v>No</v>
      </c>
      <c r="D31" t="str">
        <f>Calendar!P31</f>
        <v>No</v>
      </c>
      <c r="E31" t="str">
        <f>Calendar!Q31</f>
        <v>No</v>
      </c>
      <c r="F31" t="str">
        <f>Calendar!I31</f>
        <v>Sunday</v>
      </c>
      <c r="G31">
        <f>Calendar!S31</f>
        <v>8</v>
      </c>
      <c r="H31">
        <f>Calendar!T31</f>
        <v>8</v>
      </c>
      <c r="I31" s="27">
        <f>IF(VLOOKUP(A31,Calendar!$A$1:$R$1377,18,0)=0,0,IF(VLOOKUP(A31,Calendar!$A$1:$R$1377,18,0)=1,INDEX(Monthly_Pay_Model!$A$9:$D$40,MATCH(TEXT(A31,"dd"),Monthly_Pay_Model!$C$9:$C$39,0),4),IF(VLOOKUP(A31,Calendar!$A$1:$R$1377,18,0)=2,SUM(INDEX(Monthly_Pay_Model!$A$9:$D$40,MATCH(TEXT(A31,"dd"),Monthly_Pay_Model!$C$9:$C$39,0),4),INDEX(Monthly_Pay_Model!$A$9:$D$40,MATCH(TEXT(A32,"dd"),Monthly_Pay_Model!$C$9:$C$39,0),4)),IF(VLOOKUP(A31,Calendar!$A$1:$R$1377,18,0)=3,SUM(INDEX(Monthly_Pay_Model!$A$9:$D$40,MATCH(TEXT(A31,"dd"),Monthly_Pay_Model!$C$9:$C$39,0),4),INDEX(Monthly_Pay_Model!$A$9:$D$40,MATCH(TEXT(A32,"dd"),Monthly_Pay_Model!$C$9:$C$39,0),4),INDEX(Monthly_Pay_Model!$A$9:$D$40,MATCH(TEXT(A33,"dd"),Monthly_Pay_Model!$C$9:$C$39,0),4)),IF(VLOOKUP(A31,Calendar!$A$1:$R$1377,18,0)=4,SUM(INDEX(Monthly_Pay_Model!$A$9:$D$40,MATCH(TEXT(A31,"dd"),Monthly_Pay_Model!$C$9:$C$39,0),4),INDEX(Monthly_Pay_Model!$A$9:$D$40,MATCH(TEXT(A32,"dd"),Monthly_Pay_Model!$C$9:$C$39,0),4),INDEX(Monthly_Pay_Model!$A$9:$D$40,MATCH(TEXT(A33,"dd"),Monthly_Pay_Model!$C$9:$C$39,0),4),INDEX(Monthly_Pay_Model!$A$9:$D$40,MATCH(TEXT(A34,"dd"),Monthly_Pay_Model!$C$9:$C$39,0),4)),IF(VLOOKUP(A31,Calendar!$A$1:$R$1377,18,0)=5,SUM(INDEX(Monthly_Pay_Model!$A$9:$D$40,MATCH(TEXT(A31,"dd"),Monthly_Pay_Model!$C$9:$C$39,0),4),INDEX(Monthly_Pay_Model!$A$9:$D$40,MATCH(TEXT(A32,"dd"),Monthly_Pay_Model!$C$9:$C$39,0),4),INDEX(Monthly_Pay_Model!$A$9:$D$40,MATCH(TEXT(A33,"dd"),Monthly_Pay_Model!$C$9:$C$39,0),4),INDEX(Monthly_Pay_Model!$A$9:$D$40,MATCH(TEXT(A34,"dd"),Monthly_Pay_Model!$C$9:$C$39,0),4),INDEX(Monthly_Pay_Model!$A$9:$D$40,MATCH(TEXT(A35,"dd"),Monthly_Pay_Model!$C$9:$C$39,0),4)),))))))</f>
        <v>0</v>
      </c>
      <c r="J31" s="33">
        <f>IF(C31="Yes",Monthly_Pay_Model!$D$2,0)
+IF(Calendar!N31="Yes",Monthly_Pay_Model!$D$3,0)
+IF(D31="Yes",Monthly_Pay_Model!$D$4,0)
+IF(E31="Yes",Monthly_Pay_Model!$D$5,0)</f>
        <v>0</v>
      </c>
      <c r="K31" s="27">
        <f>IF(VLOOKUP($A31,Calendar!$A$1:$R$1377,18,0)=0,0,IF(VLOOKUP($A31,Calendar!$A$1:$R$1377,18,0)=1,IFERROR(INDEX(Weekly_Model!$D$2:$D$9,MATCH(F31,Weekly_Model!$A$2:$A$9,0)),0),IF(VLOOKUP($A31,Calendar!$A$1:$R$1377,18,0)=2,SUM(IFERROR(INDEX(Weekly_Model!$D$2:$D$9,MATCH(F31,Weekly_Model!$A$2:$A$9,0)),0),IFERROR(INDEX(Weekly_Model!$D$2:$D$9,MATCH(F32,Weekly_Model!$A$2:$A$9,0)),0)),IF(VLOOKUP($A31,Calendar!$A$1:$R$1377,18,0)=3,SUM(IFERROR(INDEX(Weekly_Model!$D$2:$D$9,MATCH(F31,Weekly_Model!$A$2:$A$9,0)),0),IFERROR(INDEX(Weekly_Model!$D$2:$D$9,MATCH(F32,Weekly_Model!$A$2:$A$9,0)),0),IFERROR(INDEX(Weekly_Model!$D$2:$D$9,MATCH(F33,Weekly_Model!$A$2:$A$9,0)),0)),IF(VLOOKUP($A31,Calendar!$A$1:$R$1377,18,0)=4,SUM(IFERROR(INDEX(Weekly_Model!$D$2:$D$9,MATCH(F31,Weekly_Model!$A$2:$A$9,0)),0),IFERROR(INDEX(Weekly_Model!$D$2:$D$9,MATCH(F32,Weekly_Model!$A$2:$A$9,0)),0),IFERROR(INDEX(Weekly_Model!$D$2:$D$9,MATCH(F33,Weekly_Model!$A$2:$A$9,0)),0),IFERROR(INDEX(Weekly_Model!$D$2:$D$9,MATCH(F34,Weekly_Model!$A$2:$A$9,0)),0)),IF(VLOOKUP($A31,Calendar!$A$1:$R$1377,18,0)=5,SUM(IFERROR(INDEX(Weekly_Model!$D$2:$D$9,MATCH(F31,Weekly_Model!$A$2:$A$9,0)),0),IFERROR(INDEX(Weekly_Model!$D$2:$D$9,MATCH(F32,Weekly_Model!$A$2:$A$9,0)),0),IFERROR(INDEX(Weekly_Model!$D$2:$D$9,MATCH(F33,Weekly_Model!$A$2:$A$9,0)),0),IFERROR(INDEX(Weekly_Model!$D$2:$D$9,MATCH(F34,Weekly_Model!$A$2:$A$9,0)),0),IFERROR(INDEX(Weekly_Model!$D$2:$D$9,MATCH(F35,Weekly_Model!$A$2:$A$9,0)),0)),0))))))</f>
        <v>0</v>
      </c>
      <c r="L31" s="27">
        <f>IF(VLOOKUP($A31,Calendar!$A$1:$R$1377,18,0)=0,0,IF(VLOOKUP($A31,Calendar!$A$1:$R$1377,18,0)=1,IFERROR(INDEX(Fortnightly_Model!$D$2:$D$15,MATCH(G31,Fortnightly_Model!$B$2:$B$15,0)),0),IF(VLOOKUP($A31,Calendar!$A$1:$R$1377,18,0)=2,SUM(IFERROR(INDEX(Fortnightly_Model!$D$2:$D$15,MATCH(G31,Fortnightly_Model!$B$2:$B$15,0)),0),IFERROR(INDEX(Fortnightly_Model!$D$2:$D$15,MATCH(G32,Fortnightly_Model!$B$2:$B$15,0)),0)),IF(VLOOKUP($A31,Calendar!$A$1:$R$1377,18,0)=3,SUM(IFERROR(INDEX(Fortnightly_Model!$D$2:$D$15,MATCH(G31,Fortnightly_Model!$B$2:$B$15,0)),0),IFERROR(INDEX(Fortnightly_Model!$D$2:$D$15,MATCH(G32,Fortnightly_Model!$B$2:$B$15,0)),0),IFERROR(INDEX(Fortnightly_Model!$D$2:$D$15,MATCH(G33,Fortnightly_Model!$B$2:$B$15,0)),0)),IF(VLOOKUP($A31,Calendar!$A$1:$R$1377,18,0)=4,SUM(IFERROR(INDEX(Fortnightly_Model!$D$2:$D$15,MATCH(G31,Fortnightly_Model!$B$2:$B$15,0)),0),IFERROR(INDEX(Fortnightly_Model!$D$2:$D$15,MATCH(G32,Fortnightly_Model!$B$2:$B$15,0)),0),IFERROR(INDEX(Fortnightly_Model!$D$2:$D$15,MATCH(G33,Fortnightly_Model!$B$2:$B$15,0)),0),IFERROR(INDEX(Fortnightly_Model!$D$2:$D$15,MATCH(G34,Fortnightly_Model!$B$2:$B$15,0)),0)),IF(VLOOKUP($A31,Calendar!$A$1:$R$1377,18,0)=5,SUM(IFERROR(INDEX(Fortnightly_Model!$D$2:$D$15,MATCH(G31,Fortnightly_Model!$B$2:$B$15,0)),0),IFERROR(INDEX(Fortnightly_Model!$D$2:$D$15,MATCH(G32,Fortnightly_Model!$B$2:$B$15,0)),0),IFERROR(INDEX(Fortnightly_Model!$D$2:$D$15,MATCH(G33,Fortnightly_Model!$B$2:$B$15,0)),0),IFERROR(INDEX(Fortnightly_Model!$D$2:$D$15,MATCH(G34,Fortnightly_Model!$B$2:$B$15,0)),0),IFERROR(INDEX(Fortnightly_Model!$D$2:$D$15,MATCH(G35,Fortnightly_Model!$B$2:$B$15,0)),0)),0))))))</f>
        <v>0</v>
      </c>
      <c r="M31" s="27">
        <f>IF(VLOOKUP($A31,Calendar!$A$1:$R$1377,18,0)=0,0,IF(VLOOKUP($A31,Calendar!$A$1:$R$1377,18,0)=1,IFERROR(INDEX(FourWeekly_Model!$D$2:$D$29,MATCH(H31,FourWeekly_Model!$B$2:$B$29,0)),0),IF(VLOOKUP($A31,Calendar!$A$1:$R$1377,18,0)=2,SUM(IFERROR(INDEX(FourWeekly_Model!$D$2:$D$29,MATCH(H31,FourWeekly_Model!$B$2:$B$29,0)),0),IFERROR(INDEX(FourWeekly_Model!$D$2:$D$29,MATCH(H32,FourWeekly_Model!$B$2:$B$29,0)),0)),IF(VLOOKUP($A31,Calendar!$A$1:$R$1377,18,0)=3,SUM(IFERROR(INDEX(FourWeekly_Model!$D$2:$D$29,MATCH(H31,FourWeekly_Model!$B$2:$B$29,0)),0),IFERROR(INDEX(FourWeekly_Model!$D$2:$D$29,MATCH(H32,FourWeekly_Model!$B$2:$B$29,0)),0),IFERROR(INDEX(FourWeekly_Model!$D$2:$D$29,MATCH(H33,FourWeekly_Model!$B$2:$B$29,0)),0)),IF(VLOOKUP($A31,Calendar!$A$1:$R$1377,18,0)=4,SUM(IFERROR(INDEX(FourWeekly_Model!$D$2:$D$29,MATCH(H31,FourWeekly_Model!$B$2:$B$29,0)),0),IFERROR(INDEX(FourWeekly_Model!$D$2:$D$29,MATCH(H32,FourWeekly_Model!$B$2:$B$29,0)),0),IFERROR(INDEX(FourWeekly_Model!$D$2:$D$29,MATCH(H33,FourWeekly_Model!$B$2:$B$29,0)),0),IFERROR(INDEX(FourWeekly_Model!$D$2:$D$29,MATCH(H34,FourWeekly_Model!$B$2:$B$29,0)),0)),IF(VLOOKUP($A31,Calendar!$A$1:$R$1377,18,0)=5,SUM(IFERROR(INDEX(FourWeekly_Model!$D$2:$D$29,MATCH(H31,FourWeekly_Model!$B$2:$B$29,0)),0),IFERROR(INDEX(FourWeekly_Model!$D$2:$D$29,MATCH(H32,FourWeekly_Model!$B$2:$B$29,0)),0),IFERROR(INDEX(FourWeekly_Model!$D$2:$D$29,MATCH(H33,FourWeekly_Model!$B$2:$B$29,0)),0),IFERROR(INDEX(FourWeekly_Model!$D$2:$D$29,MATCH(H34,FourWeekly_Model!$B$2:$B$29,0)),0),IFERROR(INDEX(FourWeekly_Model!$D$2:$D$29,MATCH(H35,FourWeekly_Model!$B$2:$B$29,0)),0)),0))))))</f>
        <v>0</v>
      </c>
      <c r="N31" s="27">
        <f>SUM(I31:M31)</f>
        <v>0</v>
      </c>
      <c r="O31" s="28">
        <f>Population_Data!$B$8*N31</f>
        <v>0</v>
      </c>
      <c r="P31" s="27">
        <f>IF(VLOOKUP($A31,Calendar!$A$1:$R$1377,18,0)=0,0,IF(VLOOKUP($A31,Calendar!$A$1:$R$1377,18,0)=1,IFERROR(INDEX(Pension_Model!$D$2:$D$29,MATCH(H31,Pension_Model!$B$2:$B$29,0)),0),IF(VLOOKUP($A31,Calendar!$A$1:$R$1377,18,0)=2,SUM(IFERROR(INDEX(Pension_Model!$D$2:$D$29,MATCH(H31,Pension_Model!$B$2:$B$29,0)),0),IFERROR(INDEX(Pension_Model!$D$2:$D$29,MATCH(H32,Pension_Model!$B$2:$B$29,0)),0)),IF(VLOOKUP($A31,Calendar!$A$1:$R$1377,18,0)=3,SUM(IFERROR(INDEX(Pension_Model!$D$2:$D$29,MATCH(H31,Pension_Model!$B$2:$B$29,0)),0),IFERROR(INDEX(Pension_Model!$D$2:$D$29,MATCH(H32,Pension_Model!$B$2:$B$29,0)),0),IFERROR(INDEX(Pension_Model!$D$2:$D$29,MATCH(H33,Pension_Model!$B$2:$B$29,0)),0)),IF(VLOOKUP($A31,Calendar!$A$1:$R$1377,18,0)=4,SUM(IFERROR(INDEX(Pension_Model!$D$2:$D$29,MATCH(H31,Pension_Model!$B$2:$B$29,0)),0),IFERROR(INDEX(Pension_Model!$D$2:$D$29,MATCH(H32,Pension_Model!$B$2:$B$29,0)),0),IFERROR(INDEX(Pension_Model!$D$2:$D$29,MATCH(H33,Pension_Model!$B$2:$B$29,0)),0),IFERROR(INDEX(Pension_Model!$D$2:$D$29,MATCH(H34,Pension_Model!$B$2:$B$29,0)),0)),IF(VLOOKUP($A31,Calendar!$A$1:$R$1377,18,0)=5,SUM(IFERROR(INDEX(Pension_Model!$D$2:$D$29,MATCH(H31,Pension_Model!$B$2:$B$29,0)),0),IFERROR(INDEX(Pension_Model!$D$2:$D$29,MATCH(H32,Pension_Model!$B$2:$B$29,0)),0),IFERROR(INDEX(Pension_Model!$D$2:$D$29,MATCH(H33,Pension_Model!$B$2:$B$29,0)),0),IFERROR(INDEX(Pension_Model!$D$2:$D$29,MATCH(H34,Pension_Model!$B$2:$B$29,0)),0),IFERROR(INDEX(Pension_Model!$D$2:$D$29,MATCH(H35,Pension_Model!$B$2:$B$29,0)),0)),0))))))</f>
        <v>0</v>
      </c>
      <c r="Q31" s="28">
        <f>Population_Data!$B$15*P31</f>
        <v>0</v>
      </c>
      <c r="R31" s="32"/>
      <c r="S31">
        <f t="shared" si="0"/>
        <v>0</v>
      </c>
      <c r="U31" s="33">
        <f>S31/Population_Data!$B$19</f>
        <v>0</v>
      </c>
    </row>
    <row r="32" spans="1:21">
      <c r="A32" s="25">
        <f>Calendar!A32</f>
        <v>46265</v>
      </c>
      <c r="B32" t="str">
        <f>Calendar!L32</f>
        <v>No</v>
      </c>
      <c r="C32" t="str">
        <f>Calendar!O32</f>
        <v>No</v>
      </c>
      <c r="D32" t="str">
        <f>Calendar!P32</f>
        <v>No</v>
      </c>
      <c r="E32" t="str">
        <f>Calendar!Q32</f>
        <v>No</v>
      </c>
      <c r="F32" t="str">
        <f>Calendar!I32</f>
        <v>Monday</v>
      </c>
      <c r="G32">
        <f>Calendar!S32</f>
        <v>9</v>
      </c>
      <c r="H32">
        <f>Calendar!T32</f>
        <v>9</v>
      </c>
      <c r="I32" s="27">
        <f>IF(VLOOKUP(A32,Calendar!$A$1:$R$1377,18,0)=0,0,IF(VLOOKUP(A32,Calendar!$A$1:$R$1377,18,0)=1,INDEX(Monthly_Pay_Model!$A$9:$D$40,MATCH(TEXT(A32,"dd"),Monthly_Pay_Model!$C$9:$C$39,0),4),IF(VLOOKUP(A32,Calendar!$A$1:$R$1377,18,0)=2,SUM(INDEX(Monthly_Pay_Model!$A$9:$D$40,MATCH(TEXT(A32,"dd"),Monthly_Pay_Model!$C$9:$C$39,0),4),INDEX(Monthly_Pay_Model!$A$9:$D$40,MATCH(TEXT(A33,"dd"),Monthly_Pay_Model!$C$9:$C$39,0),4)),IF(VLOOKUP(A32,Calendar!$A$1:$R$1377,18,0)=3,SUM(INDEX(Monthly_Pay_Model!$A$9:$D$40,MATCH(TEXT(A32,"dd"),Monthly_Pay_Model!$C$9:$C$39,0),4),INDEX(Monthly_Pay_Model!$A$9:$D$40,MATCH(TEXT(A33,"dd"),Monthly_Pay_Model!$C$9:$C$39,0),4),INDEX(Monthly_Pay_Model!$A$9:$D$40,MATCH(TEXT(A34,"dd"),Monthly_Pay_Model!$C$9:$C$39,0),4)),IF(VLOOKUP(A32,Calendar!$A$1:$R$1377,18,0)=4,SUM(INDEX(Monthly_Pay_Model!$A$9:$D$40,MATCH(TEXT(A32,"dd"),Monthly_Pay_Model!$C$9:$C$39,0),4),INDEX(Monthly_Pay_Model!$A$9:$D$40,MATCH(TEXT(A33,"dd"),Monthly_Pay_Model!$C$9:$C$39,0),4),INDEX(Monthly_Pay_Model!$A$9:$D$40,MATCH(TEXT(A34,"dd"),Monthly_Pay_Model!$C$9:$C$39,0),4),INDEX(Monthly_Pay_Model!$A$9:$D$40,MATCH(TEXT(A35,"dd"),Monthly_Pay_Model!$C$9:$C$39,0),4)),IF(VLOOKUP(A32,Calendar!$A$1:$R$1377,18,0)=5,SUM(INDEX(Monthly_Pay_Model!$A$9:$D$40,MATCH(TEXT(A32,"dd"),Monthly_Pay_Model!$C$9:$C$39,0),4),INDEX(Monthly_Pay_Model!$A$9:$D$40,MATCH(TEXT(A33,"dd"),Monthly_Pay_Model!$C$9:$C$39,0),4),INDEX(Monthly_Pay_Model!$A$9:$D$40,MATCH(TEXT(A34,"dd"),Monthly_Pay_Model!$C$9:$C$39,0),4),INDEX(Monthly_Pay_Model!$A$9:$D$40,MATCH(TEXT(A35,"dd"),Monthly_Pay_Model!$C$9:$C$39,0),4),INDEX(Monthly_Pay_Model!$A$9:$D$40,MATCH(TEXT(A36,"dd"),Monthly_Pay_Model!$C$9:$C$39,0),4)),))))))</f>
        <v>0</v>
      </c>
      <c r="J32" s="33">
        <f>IF(C32="Yes",Monthly_Pay_Model!$D$2,0)
+IF(Calendar!N32="Yes",Monthly_Pay_Model!$D$3,0)
+IF(D32="Yes",Monthly_Pay_Model!$D$4,0)
+IF(E32="Yes",Monthly_Pay_Model!$D$5,0)</f>
        <v>0.12416000000000001</v>
      </c>
      <c r="K32" s="27">
        <f>IF(VLOOKUP($A32,Calendar!$A$1:$R$1377,18,0)=0,0,IF(VLOOKUP($A32,Calendar!$A$1:$R$1377,18,0)=1,IFERROR(INDEX(Weekly_Model!$D$2:$D$9,MATCH(F32,Weekly_Model!$A$2:$A$9,0)),0),IF(VLOOKUP($A32,Calendar!$A$1:$R$1377,18,0)=2,SUM(IFERROR(INDEX(Weekly_Model!$D$2:$D$9,MATCH(F32,Weekly_Model!$A$2:$A$9,0)),0),IFERROR(INDEX(Weekly_Model!$D$2:$D$9,MATCH(F33,Weekly_Model!$A$2:$A$9,0)),0)),IF(VLOOKUP($A32,Calendar!$A$1:$R$1377,18,0)=3,SUM(IFERROR(INDEX(Weekly_Model!$D$2:$D$9,MATCH(F32,Weekly_Model!$A$2:$A$9,0)),0),IFERROR(INDEX(Weekly_Model!$D$2:$D$9,MATCH(F33,Weekly_Model!$A$2:$A$9,0)),0),IFERROR(INDEX(Weekly_Model!$D$2:$D$9,MATCH(F34,Weekly_Model!$A$2:$A$9,0)),0)),IF(VLOOKUP($A32,Calendar!$A$1:$R$1377,18,0)=4,SUM(IFERROR(INDEX(Weekly_Model!$D$2:$D$9,MATCH(F32,Weekly_Model!$A$2:$A$9,0)),0),IFERROR(INDEX(Weekly_Model!$D$2:$D$9,MATCH(F33,Weekly_Model!$A$2:$A$9,0)),0),IFERROR(INDEX(Weekly_Model!$D$2:$D$9,MATCH(F34,Weekly_Model!$A$2:$A$9,0)),0),IFERROR(INDEX(Weekly_Model!$D$2:$D$9,MATCH(F35,Weekly_Model!$A$2:$A$9,0)),0)),IF(VLOOKUP($A32,Calendar!$A$1:$R$1377,18,0)=5,SUM(IFERROR(INDEX(Weekly_Model!$D$2:$D$9,MATCH(F32,Weekly_Model!$A$2:$A$9,0)),0),IFERROR(INDEX(Weekly_Model!$D$2:$D$9,MATCH(F33,Weekly_Model!$A$2:$A$9,0)),0),IFERROR(INDEX(Weekly_Model!$D$2:$D$9,MATCH(F34,Weekly_Model!$A$2:$A$9,0)),0),IFERROR(INDEX(Weekly_Model!$D$2:$D$9,MATCH(F35,Weekly_Model!$A$2:$A$9,0)),0),IFERROR(INDEX(Weekly_Model!$D$2:$D$9,MATCH(F36,Weekly_Model!$A$2:$A$9,0)),0)),0))))))</f>
        <v>0</v>
      </c>
      <c r="L32" s="27">
        <f>IF(VLOOKUP($A32,Calendar!$A$1:$R$1377,18,0)=0,0,IF(VLOOKUP($A32,Calendar!$A$1:$R$1377,18,0)=1,IFERROR(INDEX(Fortnightly_Model!$D$2:$D$15,MATCH(G32,Fortnightly_Model!$B$2:$B$15,0)),0),IF(VLOOKUP($A32,Calendar!$A$1:$R$1377,18,0)=2,SUM(IFERROR(INDEX(Fortnightly_Model!$D$2:$D$15,MATCH(G32,Fortnightly_Model!$B$2:$B$15,0)),0),IFERROR(INDEX(Fortnightly_Model!$D$2:$D$15,MATCH(G33,Fortnightly_Model!$B$2:$B$15,0)),0)),IF(VLOOKUP($A32,Calendar!$A$1:$R$1377,18,0)=3,SUM(IFERROR(INDEX(Fortnightly_Model!$D$2:$D$15,MATCH(G32,Fortnightly_Model!$B$2:$B$15,0)),0),IFERROR(INDEX(Fortnightly_Model!$D$2:$D$15,MATCH(G33,Fortnightly_Model!$B$2:$B$15,0)),0),IFERROR(INDEX(Fortnightly_Model!$D$2:$D$15,MATCH(G34,Fortnightly_Model!$B$2:$B$15,0)),0)),IF(VLOOKUP($A32,Calendar!$A$1:$R$1377,18,0)=4,SUM(IFERROR(INDEX(Fortnightly_Model!$D$2:$D$15,MATCH(G32,Fortnightly_Model!$B$2:$B$15,0)),0),IFERROR(INDEX(Fortnightly_Model!$D$2:$D$15,MATCH(G33,Fortnightly_Model!$B$2:$B$15,0)),0),IFERROR(INDEX(Fortnightly_Model!$D$2:$D$15,MATCH(G34,Fortnightly_Model!$B$2:$B$15,0)),0),IFERROR(INDEX(Fortnightly_Model!$D$2:$D$15,MATCH(G35,Fortnightly_Model!$B$2:$B$15,0)),0)),IF(VLOOKUP($A32,Calendar!$A$1:$R$1377,18,0)=5,SUM(IFERROR(INDEX(Fortnightly_Model!$D$2:$D$15,MATCH(G32,Fortnightly_Model!$B$2:$B$15,0)),0),IFERROR(INDEX(Fortnightly_Model!$D$2:$D$15,MATCH(G33,Fortnightly_Model!$B$2:$B$15,0)),0),IFERROR(INDEX(Fortnightly_Model!$D$2:$D$15,MATCH(G34,Fortnightly_Model!$B$2:$B$15,0)),0),IFERROR(INDEX(Fortnightly_Model!$D$2:$D$15,MATCH(G35,Fortnightly_Model!$B$2:$B$15,0)),0),IFERROR(INDEX(Fortnightly_Model!$D$2:$D$15,MATCH(G36,Fortnightly_Model!$B$2:$B$15,0)),0)),0))))))</f>
        <v>0</v>
      </c>
      <c r="M32" s="27">
        <f>IF(VLOOKUP($A32,Calendar!$A$1:$R$1377,18,0)=0,0,IF(VLOOKUP($A32,Calendar!$A$1:$R$1377,18,0)=1,IFERROR(INDEX(FourWeekly_Model!$D$2:$D$29,MATCH(H32,FourWeekly_Model!$B$2:$B$29,0)),0),IF(VLOOKUP($A32,Calendar!$A$1:$R$1377,18,0)=2,SUM(IFERROR(INDEX(FourWeekly_Model!$D$2:$D$29,MATCH(H32,FourWeekly_Model!$B$2:$B$29,0)),0),IFERROR(INDEX(FourWeekly_Model!$D$2:$D$29,MATCH(H33,FourWeekly_Model!$B$2:$B$29,0)),0)),IF(VLOOKUP($A32,Calendar!$A$1:$R$1377,18,0)=3,SUM(IFERROR(INDEX(FourWeekly_Model!$D$2:$D$29,MATCH(H32,FourWeekly_Model!$B$2:$B$29,0)),0),IFERROR(INDEX(FourWeekly_Model!$D$2:$D$29,MATCH(H33,FourWeekly_Model!$B$2:$B$29,0)),0),IFERROR(INDEX(FourWeekly_Model!$D$2:$D$29,MATCH(H34,FourWeekly_Model!$B$2:$B$29,0)),0)),IF(VLOOKUP($A32,Calendar!$A$1:$R$1377,18,0)=4,SUM(IFERROR(INDEX(FourWeekly_Model!$D$2:$D$29,MATCH(H32,FourWeekly_Model!$B$2:$B$29,0)),0),IFERROR(INDEX(FourWeekly_Model!$D$2:$D$29,MATCH(H33,FourWeekly_Model!$B$2:$B$29,0)),0),IFERROR(INDEX(FourWeekly_Model!$D$2:$D$29,MATCH(H34,FourWeekly_Model!$B$2:$B$29,0)),0),IFERROR(INDEX(FourWeekly_Model!$D$2:$D$29,MATCH(H35,FourWeekly_Model!$B$2:$B$29,0)),0)),IF(VLOOKUP($A32,Calendar!$A$1:$R$1377,18,0)=5,SUM(IFERROR(INDEX(FourWeekly_Model!$D$2:$D$29,MATCH(H32,FourWeekly_Model!$B$2:$B$29,0)),0),IFERROR(INDEX(FourWeekly_Model!$D$2:$D$29,MATCH(H33,FourWeekly_Model!$B$2:$B$29,0)),0),IFERROR(INDEX(FourWeekly_Model!$D$2:$D$29,MATCH(H34,FourWeekly_Model!$B$2:$B$29,0)),0),IFERROR(INDEX(FourWeekly_Model!$D$2:$D$29,MATCH(H35,FourWeekly_Model!$B$2:$B$29,0)),0),IFERROR(INDEX(FourWeekly_Model!$D$2:$D$29,MATCH(H36,FourWeekly_Model!$B$2:$B$29,0)),0)),0))))))</f>
        <v>0</v>
      </c>
      <c r="N32" s="27">
        <f>SUM(I32:M32)</f>
        <v>0.12416000000000001</v>
      </c>
      <c r="O32" s="28">
        <f>Population_Data!$B$8*N32</f>
        <v>3762048</v>
      </c>
      <c r="P32" s="27">
        <f>IF(VLOOKUP($A32,Calendar!$A$1:$R$1377,18,0)=0,0,IF(VLOOKUP($A32,Calendar!$A$1:$R$1377,18,0)=1,IFERROR(INDEX(Pension_Model!$D$2:$D$29,MATCH(H32,Pension_Model!$B$2:$B$29,0)),0),IF(VLOOKUP($A32,Calendar!$A$1:$R$1377,18,0)=2,SUM(IFERROR(INDEX(Pension_Model!$D$2:$D$29,MATCH(H32,Pension_Model!$B$2:$B$29,0)),0),IFERROR(INDEX(Pension_Model!$D$2:$D$29,MATCH(H33,Pension_Model!$B$2:$B$29,0)),0)),IF(VLOOKUP($A32,Calendar!$A$1:$R$1377,18,0)=3,SUM(IFERROR(INDEX(Pension_Model!$D$2:$D$29,MATCH(H32,Pension_Model!$B$2:$B$29,0)),0),IFERROR(INDEX(Pension_Model!$D$2:$D$29,MATCH(H33,Pension_Model!$B$2:$B$29,0)),0),IFERROR(INDEX(Pension_Model!$D$2:$D$29,MATCH(H34,Pension_Model!$B$2:$B$29,0)),0)),IF(VLOOKUP($A32,Calendar!$A$1:$R$1377,18,0)=4,SUM(IFERROR(INDEX(Pension_Model!$D$2:$D$29,MATCH(H32,Pension_Model!$B$2:$B$29,0)),0),IFERROR(INDEX(Pension_Model!$D$2:$D$29,MATCH(H33,Pension_Model!$B$2:$B$29,0)),0),IFERROR(INDEX(Pension_Model!$D$2:$D$29,MATCH(H34,Pension_Model!$B$2:$B$29,0)),0),IFERROR(INDEX(Pension_Model!$D$2:$D$29,MATCH(H35,Pension_Model!$B$2:$B$29,0)),0)),IF(VLOOKUP($A32,Calendar!$A$1:$R$1377,18,0)=5,SUM(IFERROR(INDEX(Pension_Model!$D$2:$D$29,MATCH(H32,Pension_Model!$B$2:$B$29,0)),0),IFERROR(INDEX(Pension_Model!$D$2:$D$29,MATCH(H33,Pension_Model!$B$2:$B$29,0)),0),IFERROR(INDEX(Pension_Model!$D$2:$D$29,MATCH(H34,Pension_Model!$B$2:$B$29,0)),0),IFERROR(INDEX(Pension_Model!$D$2:$D$29,MATCH(H35,Pension_Model!$B$2:$B$29,0)),0),IFERROR(INDEX(Pension_Model!$D$2:$D$29,MATCH(H36,Pension_Model!$B$2:$B$29,0)),0)),0))))))</f>
        <v>0</v>
      </c>
      <c r="Q32" s="28">
        <f>Population_Data!$B$15*P32</f>
        <v>0</v>
      </c>
      <c r="R32" s="32"/>
      <c r="S32">
        <f t="shared" si="0"/>
        <v>3762048</v>
      </c>
      <c r="U32" s="33">
        <f>S32/Population_Data!$B$19</f>
        <v>6.8153043478260872E-2</v>
      </c>
    </row>
    <row r="33" spans="1:21">
      <c r="A33" s="25">
        <f>Calendar!A33</f>
        <v>46266</v>
      </c>
      <c r="B33" t="str">
        <f>Calendar!L33</f>
        <v>Yes</v>
      </c>
      <c r="C33" t="str">
        <f>Calendar!O33</f>
        <v>No</v>
      </c>
      <c r="D33" t="str">
        <f>Calendar!P33</f>
        <v>No</v>
      </c>
      <c r="E33" t="str">
        <f>Calendar!Q33</f>
        <v>No</v>
      </c>
      <c r="F33" t="str">
        <f>Calendar!I33</f>
        <v>Tuesday</v>
      </c>
      <c r="G33">
        <f>Calendar!S33</f>
        <v>10</v>
      </c>
      <c r="H33">
        <f>Calendar!T33</f>
        <v>10</v>
      </c>
      <c r="I33" s="27">
        <f>IF(VLOOKUP(A33,Calendar!$A$1:$R$1377,18,0)=0,0,IF(VLOOKUP(A33,Calendar!$A$1:$R$1377,18,0)=1,INDEX(Monthly_Pay_Model!$A$9:$D$40,MATCH(TEXT(A33,"dd"),Monthly_Pay_Model!$C$9:$C$39,0),4),IF(VLOOKUP(A33,Calendar!$A$1:$R$1377,18,0)=2,SUM(INDEX(Monthly_Pay_Model!$A$9:$D$40,MATCH(TEXT(A33,"dd"),Monthly_Pay_Model!$C$9:$C$39,0),4),INDEX(Monthly_Pay_Model!$A$9:$D$40,MATCH(TEXT(A34,"dd"),Monthly_Pay_Model!$C$9:$C$39,0),4)),IF(VLOOKUP(A33,Calendar!$A$1:$R$1377,18,0)=3,SUM(INDEX(Monthly_Pay_Model!$A$9:$D$40,MATCH(TEXT(A33,"dd"),Monthly_Pay_Model!$C$9:$C$39,0),4),INDEX(Monthly_Pay_Model!$A$9:$D$40,MATCH(TEXT(A34,"dd"),Monthly_Pay_Model!$C$9:$C$39,0),4),INDEX(Monthly_Pay_Model!$A$9:$D$40,MATCH(TEXT(A35,"dd"),Monthly_Pay_Model!$C$9:$C$39,0),4)),IF(VLOOKUP(A33,Calendar!$A$1:$R$1377,18,0)=4,SUM(INDEX(Monthly_Pay_Model!$A$9:$D$40,MATCH(TEXT(A33,"dd"),Monthly_Pay_Model!$C$9:$C$39,0),4),INDEX(Monthly_Pay_Model!$A$9:$D$40,MATCH(TEXT(A34,"dd"),Monthly_Pay_Model!$C$9:$C$39,0),4),INDEX(Monthly_Pay_Model!$A$9:$D$40,MATCH(TEXT(A35,"dd"),Monthly_Pay_Model!$C$9:$C$39,0),4),INDEX(Monthly_Pay_Model!$A$9:$D$40,MATCH(TEXT(A36,"dd"),Monthly_Pay_Model!$C$9:$C$39,0),4)),IF(VLOOKUP(A33,Calendar!$A$1:$R$1377,18,0)=5,SUM(INDEX(Monthly_Pay_Model!$A$9:$D$40,MATCH(TEXT(A33,"dd"),Monthly_Pay_Model!$C$9:$C$39,0),4),INDEX(Monthly_Pay_Model!$A$9:$D$40,MATCH(TEXT(A34,"dd"),Monthly_Pay_Model!$C$9:$C$39,0),4),INDEX(Monthly_Pay_Model!$A$9:$D$40,MATCH(TEXT(A35,"dd"),Monthly_Pay_Model!$C$9:$C$39,0),4),INDEX(Monthly_Pay_Model!$A$9:$D$40,MATCH(TEXT(A36,"dd"),Monthly_Pay_Model!$C$9:$C$39,0),4),INDEX(Monthly_Pay_Model!$A$9:$D$40,MATCH(TEXT(A37,"dd"),Monthly_Pay_Model!$C$9:$C$39,0),4)),))))))</f>
        <v>4.0628272251308894E-3</v>
      </c>
      <c r="J33" s="33">
        <f>IF(C33="Yes",Monthly_Pay_Model!$D$2,0)
+IF(Calendar!N33="Yes",Monthly_Pay_Model!$D$3,0)
+IF(D33="Yes",Monthly_Pay_Model!$D$4,0)
+IF(E33="Yes",Monthly_Pay_Model!$D$5,0)</f>
        <v>0</v>
      </c>
      <c r="K33" s="27">
        <f>IF(VLOOKUP($A33,Calendar!$A$1:$R$1377,18,0)=0,0,IF(VLOOKUP($A33,Calendar!$A$1:$R$1377,18,0)=1,IFERROR(INDEX(Weekly_Model!$D$2:$D$9,MATCH(F33,Weekly_Model!$A$2:$A$9,0)),0),IF(VLOOKUP($A33,Calendar!$A$1:$R$1377,18,0)=2,SUM(IFERROR(INDEX(Weekly_Model!$D$2:$D$9,MATCH(F33,Weekly_Model!$A$2:$A$9,0)),0),IFERROR(INDEX(Weekly_Model!$D$2:$D$9,MATCH(F34,Weekly_Model!$A$2:$A$9,0)),0)),IF(VLOOKUP($A33,Calendar!$A$1:$R$1377,18,0)=3,SUM(IFERROR(INDEX(Weekly_Model!$D$2:$D$9,MATCH(F33,Weekly_Model!$A$2:$A$9,0)),0),IFERROR(INDEX(Weekly_Model!$D$2:$D$9,MATCH(F34,Weekly_Model!$A$2:$A$9,0)),0),IFERROR(INDEX(Weekly_Model!$D$2:$D$9,MATCH(F35,Weekly_Model!$A$2:$A$9,0)),0)),IF(VLOOKUP($A33,Calendar!$A$1:$R$1377,18,0)=4,SUM(IFERROR(INDEX(Weekly_Model!$D$2:$D$9,MATCH(F33,Weekly_Model!$A$2:$A$9,0)),0),IFERROR(INDEX(Weekly_Model!$D$2:$D$9,MATCH(F34,Weekly_Model!$A$2:$A$9,0)),0),IFERROR(INDEX(Weekly_Model!$D$2:$D$9,MATCH(F35,Weekly_Model!$A$2:$A$9,0)),0),IFERROR(INDEX(Weekly_Model!$D$2:$D$9,MATCH(F36,Weekly_Model!$A$2:$A$9,0)),0)),IF(VLOOKUP($A33,Calendar!$A$1:$R$1377,18,0)=5,SUM(IFERROR(INDEX(Weekly_Model!$D$2:$D$9,MATCH(F33,Weekly_Model!$A$2:$A$9,0)),0),IFERROR(INDEX(Weekly_Model!$D$2:$D$9,MATCH(F34,Weekly_Model!$A$2:$A$9,0)),0),IFERROR(INDEX(Weekly_Model!$D$2:$D$9,MATCH(F35,Weekly_Model!$A$2:$A$9,0)),0),IFERROR(INDEX(Weekly_Model!$D$2:$D$9,MATCH(F36,Weekly_Model!$A$2:$A$9,0)),0),IFERROR(INDEX(Weekly_Model!$D$2:$D$9,MATCH(F37,Weekly_Model!$A$2:$A$9,0)),0)),0))))))</f>
        <v>2.3200000000000002E-2</v>
      </c>
      <c r="L33" s="27">
        <f>IF(VLOOKUP($A33,Calendar!$A$1:$R$1377,18,0)=0,0,IF(VLOOKUP($A33,Calendar!$A$1:$R$1377,18,0)=1,IFERROR(INDEX(Fortnightly_Model!$D$2:$D$15,MATCH(G33,Fortnightly_Model!$B$2:$B$15,0)),0),IF(VLOOKUP($A33,Calendar!$A$1:$R$1377,18,0)=2,SUM(IFERROR(INDEX(Fortnightly_Model!$D$2:$D$15,MATCH(G33,Fortnightly_Model!$B$2:$B$15,0)),0),IFERROR(INDEX(Fortnightly_Model!$D$2:$D$15,MATCH(G34,Fortnightly_Model!$B$2:$B$15,0)),0)),IF(VLOOKUP($A33,Calendar!$A$1:$R$1377,18,0)=3,SUM(IFERROR(INDEX(Fortnightly_Model!$D$2:$D$15,MATCH(G33,Fortnightly_Model!$B$2:$B$15,0)),0),IFERROR(INDEX(Fortnightly_Model!$D$2:$D$15,MATCH(G34,Fortnightly_Model!$B$2:$B$15,0)),0),IFERROR(INDEX(Fortnightly_Model!$D$2:$D$15,MATCH(G35,Fortnightly_Model!$B$2:$B$15,0)),0)),IF(VLOOKUP($A33,Calendar!$A$1:$R$1377,18,0)=4,SUM(IFERROR(INDEX(Fortnightly_Model!$D$2:$D$15,MATCH(G33,Fortnightly_Model!$B$2:$B$15,0)),0),IFERROR(INDEX(Fortnightly_Model!$D$2:$D$15,MATCH(G34,Fortnightly_Model!$B$2:$B$15,0)),0),IFERROR(INDEX(Fortnightly_Model!$D$2:$D$15,MATCH(G35,Fortnightly_Model!$B$2:$B$15,0)),0),IFERROR(INDEX(Fortnightly_Model!$D$2:$D$15,MATCH(G36,Fortnightly_Model!$B$2:$B$15,0)),0)),IF(VLOOKUP($A33,Calendar!$A$1:$R$1377,18,0)=5,SUM(IFERROR(INDEX(Fortnightly_Model!$D$2:$D$15,MATCH(G33,Fortnightly_Model!$B$2:$B$15,0)),0),IFERROR(INDEX(Fortnightly_Model!$D$2:$D$15,MATCH(G34,Fortnightly_Model!$B$2:$B$15,0)),0),IFERROR(INDEX(Fortnightly_Model!$D$2:$D$15,MATCH(G35,Fortnightly_Model!$B$2:$B$15,0)),0),IFERROR(INDEX(Fortnightly_Model!$D$2:$D$15,MATCH(G36,Fortnightly_Model!$B$2:$B$15,0)),0),IFERROR(INDEX(Fortnightly_Model!$D$2:$D$15,MATCH(G37,Fortnightly_Model!$B$2:$B$15,0)),0)),0))))))</f>
        <v>1.0714285499999999E-3</v>
      </c>
      <c r="M33" s="27">
        <f>IF(VLOOKUP($A33,Calendar!$A$1:$R$1377,18,0)=0,0,IF(VLOOKUP($A33,Calendar!$A$1:$R$1377,18,0)=1,IFERROR(INDEX(FourWeekly_Model!$D$2:$D$29,MATCH(H33,FourWeekly_Model!$B$2:$B$29,0)),0),IF(VLOOKUP($A33,Calendar!$A$1:$R$1377,18,0)=2,SUM(IFERROR(INDEX(FourWeekly_Model!$D$2:$D$29,MATCH(H33,FourWeekly_Model!$B$2:$B$29,0)),0),IFERROR(INDEX(FourWeekly_Model!$D$2:$D$29,MATCH(H34,FourWeekly_Model!$B$2:$B$29,0)),0)),IF(VLOOKUP($A33,Calendar!$A$1:$R$1377,18,0)=3,SUM(IFERROR(INDEX(FourWeekly_Model!$D$2:$D$29,MATCH(H33,FourWeekly_Model!$B$2:$B$29,0)),0),IFERROR(INDEX(FourWeekly_Model!$D$2:$D$29,MATCH(H34,FourWeekly_Model!$B$2:$B$29,0)),0),IFERROR(INDEX(FourWeekly_Model!$D$2:$D$29,MATCH(H35,FourWeekly_Model!$B$2:$B$29,0)),0)),IF(VLOOKUP($A33,Calendar!$A$1:$R$1377,18,0)=4,SUM(IFERROR(INDEX(FourWeekly_Model!$D$2:$D$29,MATCH(H33,FourWeekly_Model!$B$2:$B$29,0)),0),IFERROR(INDEX(FourWeekly_Model!$D$2:$D$29,MATCH(H34,FourWeekly_Model!$B$2:$B$29,0)),0),IFERROR(INDEX(FourWeekly_Model!$D$2:$D$29,MATCH(H35,FourWeekly_Model!$B$2:$B$29,0)),0),IFERROR(INDEX(FourWeekly_Model!$D$2:$D$29,MATCH(H36,FourWeekly_Model!$B$2:$B$29,0)),0)),IF(VLOOKUP($A33,Calendar!$A$1:$R$1377,18,0)=5,SUM(IFERROR(INDEX(FourWeekly_Model!$D$2:$D$29,MATCH(H33,FourWeekly_Model!$B$2:$B$29,0)),0),IFERROR(INDEX(FourWeekly_Model!$D$2:$D$29,MATCH(H34,FourWeekly_Model!$B$2:$B$29,0)),0),IFERROR(INDEX(FourWeekly_Model!$D$2:$D$29,MATCH(H35,FourWeekly_Model!$B$2:$B$29,0)),0),IFERROR(INDEX(FourWeekly_Model!$D$2:$D$29,MATCH(H36,FourWeekly_Model!$B$2:$B$29,0)),0),IFERROR(INDEX(FourWeekly_Model!$D$2:$D$29,MATCH(H37,FourWeekly_Model!$B$2:$B$29,0)),0)),0))))))</f>
        <v>3.3214289700000004E-3</v>
      </c>
      <c r="N33" s="27">
        <f>SUM(I33:M33)</f>
        <v>3.1655684745130891E-2</v>
      </c>
      <c r="O33" s="28">
        <f>Population_Data!$B$8*N33</f>
        <v>959167.24777746596</v>
      </c>
      <c r="P33" s="27">
        <f>IF(VLOOKUP($A33,Calendar!$A$1:$R$1377,18,0)=0,0,IF(VLOOKUP($A33,Calendar!$A$1:$R$1377,18,0)=1,IFERROR(INDEX(Pension_Model!$D$2:$D$29,MATCH(H33,Pension_Model!$B$2:$B$29,0)),0),IF(VLOOKUP($A33,Calendar!$A$1:$R$1377,18,0)=2,SUM(IFERROR(INDEX(Pension_Model!$D$2:$D$29,MATCH(H33,Pension_Model!$B$2:$B$29,0)),0),IFERROR(INDEX(Pension_Model!$D$2:$D$29,MATCH(H34,Pension_Model!$B$2:$B$29,0)),0)),IF(VLOOKUP($A33,Calendar!$A$1:$R$1377,18,0)=3,SUM(IFERROR(INDEX(Pension_Model!$D$2:$D$29,MATCH(H33,Pension_Model!$B$2:$B$29,0)),0),IFERROR(INDEX(Pension_Model!$D$2:$D$29,MATCH(H34,Pension_Model!$B$2:$B$29,0)),0),IFERROR(INDEX(Pension_Model!$D$2:$D$29,MATCH(H35,Pension_Model!$B$2:$B$29,0)),0)),IF(VLOOKUP($A33,Calendar!$A$1:$R$1377,18,0)=4,SUM(IFERROR(INDEX(Pension_Model!$D$2:$D$29,MATCH(H33,Pension_Model!$B$2:$B$29,0)),0),IFERROR(INDEX(Pension_Model!$D$2:$D$29,MATCH(H34,Pension_Model!$B$2:$B$29,0)),0),IFERROR(INDEX(Pension_Model!$D$2:$D$29,MATCH(H35,Pension_Model!$B$2:$B$29,0)),0),IFERROR(INDEX(Pension_Model!$D$2:$D$29,MATCH(H36,Pension_Model!$B$2:$B$29,0)),0)),IF(VLOOKUP($A33,Calendar!$A$1:$R$1377,18,0)=5,SUM(IFERROR(INDEX(Pension_Model!$D$2:$D$29,MATCH(H33,Pension_Model!$B$2:$B$29,0)),0),IFERROR(INDEX(Pension_Model!$D$2:$D$29,MATCH(H34,Pension_Model!$B$2:$B$29,0)),0),IFERROR(INDEX(Pension_Model!$D$2:$D$29,MATCH(H35,Pension_Model!$B$2:$B$29,0)),0),IFERROR(INDEX(Pension_Model!$D$2:$D$29,MATCH(H36,Pension_Model!$B$2:$B$29,0)),0),IFERROR(INDEX(Pension_Model!$D$2:$D$29,MATCH(H37,Pension_Model!$B$2:$B$29,0)),0)),0))))))</f>
        <v>0.05</v>
      </c>
      <c r="Q33" s="28">
        <f>Population_Data!$B$15*P33</f>
        <v>660600</v>
      </c>
      <c r="R33" s="32"/>
      <c r="S33">
        <f t="shared" si="0"/>
        <v>1619767.247777466</v>
      </c>
      <c r="U33" s="33">
        <f>S33/Population_Data!$B$19</f>
        <v>2.9343609561185979E-2</v>
      </c>
    </row>
    <row r="34" spans="1:21">
      <c r="A34" s="25">
        <f>Calendar!A34</f>
        <v>46267</v>
      </c>
      <c r="B34" t="str">
        <f>Calendar!L34</f>
        <v>Yes</v>
      </c>
      <c r="C34" t="str">
        <f>Calendar!O34</f>
        <v>No</v>
      </c>
      <c r="D34" t="str">
        <f>Calendar!P34</f>
        <v>No</v>
      </c>
      <c r="E34" t="str">
        <f>Calendar!Q34</f>
        <v>No</v>
      </c>
      <c r="F34" t="str">
        <f>Calendar!I34</f>
        <v>Wednesday</v>
      </c>
      <c r="G34">
        <f>Calendar!S34</f>
        <v>11</v>
      </c>
      <c r="H34">
        <f>Calendar!T34</f>
        <v>11</v>
      </c>
      <c r="I34" s="27">
        <f>IF(VLOOKUP(A34,Calendar!$A$1:$R$1377,18,0)=0,0,IF(VLOOKUP(A34,Calendar!$A$1:$R$1377,18,0)=1,INDEX(Monthly_Pay_Model!$A$9:$D$40,MATCH(TEXT(A34,"dd"),Monthly_Pay_Model!$C$9:$C$39,0),4),IF(VLOOKUP(A34,Calendar!$A$1:$R$1377,18,0)=2,SUM(INDEX(Monthly_Pay_Model!$A$9:$D$40,MATCH(TEXT(A34,"dd"),Monthly_Pay_Model!$C$9:$C$39,0),4),INDEX(Monthly_Pay_Model!$A$9:$D$40,MATCH(TEXT(A35,"dd"),Monthly_Pay_Model!$C$9:$C$39,0),4)),IF(VLOOKUP(A34,Calendar!$A$1:$R$1377,18,0)=3,SUM(INDEX(Monthly_Pay_Model!$A$9:$D$40,MATCH(TEXT(A34,"dd"),Monthly_Pay_Model!$C$9:$C$39,0),4),INDEX(Monthly_Pay_Model!$A$9:$D$40,MATCH(TEXT(A35,"dd"),Monthly_Pay_Model!$C$9:$C$39,0),4),INDEX(Monthly_Pay_Model!$A$9:$D$40,MATCH(TEXT(A36,"dd"),Monthly_Pay_Model!$C$9:$C$39,0),4)),IF(VLOOKUP(A34,Calendar!$A$1:$R$1377,18,0)=4,SUM(INDEX(Monthly_Pay_Model!$A$9:$D$40,MATCH(TEXT(A34,"dd"),Monthly_Pay_Model!$C$9:$C$39,0),4),INDEX(Monthly_Pay_Model!$A$9:$D$40,MATCH(TEXT(A35,"dd"),Monthly_Pay_Model!$C$9:$C$39,0),4),INDEX(Monthly_Pay_Model!$A$9:$D$40,MATCH(TEXT(A36,"dd"),Monthly_Pay_Model!$C$9:$C$39,0),4),INDEX(Monthly_Pay_Model!$A$9:$D$40,MATCH(TEXT(A37,"dd"),Monthly_Pay_Model!$C$9:$C$39,0),4)),IF(VLOOKUP(A34,Calendar!$A$1:$R$1377,18,0)=5,SUM(INDEX(Monthly_Pay_Model!$A$9:$D$40,MATCH(TEXT(A34,"dd"),Monthly_Pay_Model!$C$9:$C$39,0),4),INDEX(Monthly_Pay_Model!$A$9:$D$40,MATCH(TEXT(A35,"dd"),Monthly_Pay_Model!$C$9:$C$39,0),4),INDEX(Monthly_Pay_Model!$A$9:$D$40,MATCH(TEXT(A36,"dd"),Monthly_Pay_Model!$C$9:$C$39,0),4),INDEX(Monthly_Pay_Model!$A$9:$D$40,MATCH(TEXT(A37,"dd"),Monthly_Pay_Model!$C$9:$C$39,0),4),INDEX(Monthly_Pay_Model!$A$9:$D$40,MATCH(TEXT(A38,"dd"),Monthly_Pay_Model!$C$9:$C$39,0),4)),))))))</f>
        <v>8.1256544502617792E-4</v>
      </c>
      <c r="J34" s="33">
        <f>IF(C34="Yes",Monthly_Pay_Model!$D$2,0)
+IF(Calendar!N34="Yes",Monthly_Pay_Model!$D$3,0)
+IF(D34="Yes",Monthly_Pay_Model!$D$4,0)
+IF(E34="Yes",Monthly_Pay_Model!$D$5,0)</f>
        <v>0</v>
      </c>
      <c r="K34" s="27">
        <f>IF(VLOOKUP($A34,Calendar!$A$1:$R$1377,18,0)=0,0,IF(VLOOKUP($A34,Calendar!$A$1:$R$1377,18,0)=1,IFERROR(INDEX(Weekly_Model!$D$2:$D$9,MATCH(F34,Weekly_Model!$A$2:$A$9,0)),0),IF(VLOOKUP($A34,Calendar!$A$1:$R$1377,18,0)=2,SUM(IFERROR(INDEX(Weekly_Model!$D$2:$D$9,MATCH(F34,Weekly_Model!$A$2:$A$9,0)),0),IFERROR(INDEX(Weekly_Model!$D$2:$D$9,MATCH(F35,Weekly_Model!$A$2:$A$9,0)),0)),IF(VLOOKUP($A34,Calendar!$A$1:$R$1377,18,0)=3,SUM(IFERROR(INDEX(Weekly_Model!$D$2:$D$9,MATCH(F34,Weekly_Model!$A$2:$A$9,0)),0),IFERROR(INDEX(Weekly_Model!$D$2:$D$9,MATCH(F35,Weekly_Model!$A$2:$A$9,0)),0),IFERROR(INDEX(Weekly_Model!$D$2:$D$9,MATCH(F36,Weekly_Model!$A$2:$A$9,0)),0)),IF(VLOOKUP($A34,Calendar!$A$1:$R$1377,18,0)=4,SUM(IFERROR(INDEX(Weekly_Model!$D$2:$D$9,MATCH(F34,Weekly_Model!$A$2:$A$9,0)),0),IFERROR(INDEX(Weekly_Model!$D$2:$D$9,MATCH(F35,Weekly_Model!$A$2:$A$9,0)),0),IFERROR(INDEX(Weekly_Model!$D$2:$D$9,MATCH(F36,Weekly_Model!$A$2:$A$9,0)),0),IFERROR(INDEX(Weekly_Model!$D$2:$D$9,MATCH(F37,Weekly_Model!$A$2:$A$9,0)),0)),IF(VLOOKUP($A34,Calendar!$A$1:$R$1377,18,0)=5,SUM(IFERROR(INDEX(Weekly_Model!$D$2:$D$9,MATCH(F34,Weekly_Model!$A$2:$A$9,0)),0),IFERROR(INDEX(Weekly_Model!$D$2:$D$9,MATCH(F35,Weekly_Model!$A$2:$A$9,0)),0),IFERROR(INDEX(Weekly_Model!$D$2:$D$9,MATCH(F36,Weekly_Model!$A$2:$A$9,0)),0),IFERROR(INDEX(Weekly_Model!$D$2:$D$9,MATCH(F37,Weekly_Model!$A$2:$A$9,0)),0),IFERROR(INDEX(Weekly_Model!$D$2:$D$9,MATCH(F38,Weekly_Model!$A$2:$A$9,0)),0)),0))))))</f>
        <v>2.3200000000000002E-2</v>
      </c>
      <c r="L34" s="27">
        <f>IF(VLOOKUP($A34,Calendar!$A$1:$R$1377,18,0)=0,0,IF(VLOOKUP($A34,Calendar!$A$1:$R$1377,18,0)=1,IFERROR(INDEX(Fortnightly_Model!$D$2:$D$15,MATCH(G34,Fortnightly_Model!$B$2:$B$15,0)),0),IF(VLOOKUP($A34,Calendar!$A$1:$R$1377,18,0)=2,SUM(IFERROR(INDEX(Fortnightly_Model!$D$2:$D$15,MATCH(G34,Fortnightly_Model!$B$2:$B$15,0)),0),IFERROR(INDEX(Fortnightly_Model!$D$2:$D$15,MATCH(G35,Fortnightly_Model!$B$2:$B$15,0)),0)),IF(VLOOKUP($A34,Calendar!$A$1:$R$1377,18,0)=3,SUM(IFERROR(INDEX(Fortnightly_Model!$D$2:$D$15,MATCH(G34,Fortnightly_Model!$B$2:$B$15,0)),0),IFERROR(INDEX(Fortnightly_Model!$D$2:$D$15,MATCH(G35,Fortnightly_Model!$B$2:$B$15,0)),0),IFERROR(INDEX(Fortnightly_Model!$D$2:$D$15,MATCH(G36,Fortnightly_Model!$B$2:$B$15,0)),0)),IF(VLOOKUP($A34,Calendar!$A$1:$R$1377,18,0)=4,SUM(IFERROR(INDEX(Fortnightly_Model!$D$2:$D$15,MATCH(G34,Fortnightly_Model!$B$2:$B$15,0)),0),IFERROR(INDEX(Fortnightly_Model!$D$2:$D$15,MATCH(G35,Fortnightly_Model!$B$2:$B$15,0)),0),IFERROR(INDEX(Fortnightly_Model!$D$2:$D$15,MATCH(G36,Fortnightly_Model!$B$2:$B$15,0)),0),IFERROR(INDEX(Fortnightly_Model!$D$2:$D$15,MATCH(G37,Fortnightly_Model!$B$2:$B$15,0)),0)),IF(VLOOKUP($A34,Calendar!$A$1:$R$1377,18,0)=5,SUM(IFERROR(INDEX(Fortnightly_Model!$D$2:$D$15,MATCH(G34,Fortnightly_Model!$B$2:$B$15,0)),0),IFERROR(INDEX(Fortnightly_Model!$D$2:$D$15,MATCH(G35,Fortnightly_Model!$B$2:$B$15,0)),0),IFERROR(INDEX(Fortnightly_Model!$D$2:$D$15,MATCH(G36,Fortnightly_Model!$B$2:$B$15,0)),0),IFERROR(INDEX(Fortnightly_Model!$D$2:$D$15,MATCH(G37,Fortnightly_Model!$B$2:$B$15,0)),0),IFERROR(INDEX(Fortnightly_Model!$D$2:$D$15,MATCH(G38,Fortnightly_Model!$B$2:$B$15,0)),0)),0))))))</f>
        <v>1.0714285499999999E-3</v>
      </c>
      <c r="M34" s="27">
        <f>IF(VLOOKUP($A34,Calendar!$A$1:$R$1377,18,0)=0,0,IF(VLOOKUP($A34,Calendar!$A$1:$R$1377,18,0)=1,IFERROR(INDEX(FourWeekly_Model!$D$2:$D$29,MATCH(H34,FourWeekly_Model!$B$2:$B$29,0)),0),IF(VLOOKUP($A34,Calendar!$A$1:$R$1377,18,0)=2,SUM(IFERROR(INDEX(FourWeekly_Model!$D$2:$D$29,MATCH(H34,FourWeekly_Model!$B$2:$B$29,0)),0),IFERROR(INDEX(FourWeekly_Model!$D$2:$D$29,MATCH(H35,FourWeekly_Model!$B$2:$B$29,0)),0)),IF(VLOOKUP($A34,Calendar!$A$1:$R$1377,18,0)=3,SUM(IFERROR(INDEX(FourWeekly_Model!$D$2:$D$29,MATCH(H34,FourWeekly_Model!$B$2:$B$29,0)),0),IFERROR(INDEX(FourWeekly_Model!$D$2:$D$29,MATCH(H35,FourWeekly_Model!$B$2:$B$29,0)),0),IFERROR(INDEX(FourWeekly_Model!$D$2:$D$29,MATCH(H36,FourWeekly_Model!$B$2:$B$29,0)),0)),IF(VLOOKUP($A34,Calendar!$A$1:$R$1377,18,0)=4,SUM(IFERROR(INDEX(FourWeekly_Model!$D$2:$D$29,MATCH(H34,FourWeekly_Model!$B$2:$B$29,0)),0),IFERROR(INDEX(FourWeekly_Model!$D$2:$D$29,MATCH(H35,FourWeekly_Model!$B$2:$B$29,0)),0),IFERROR(INDEX(FourWeekly_Model!$D$2:$D$29,MATCH(H36,FourWeekly_Model!$B$2:$B$29,0)),0),IFERROR(INDEX(FourWeekly_Model!$D$2:$D$29,MATCH(H37,FourWeekly_Model!$B$2:$B$29,0)),0)),IF(VLOOKUP($A34,Calendar!$A$1:$R$1377,18,0)=5,SUM(IFERROR(INDEX(FourWeekly_Model!$D$2:$D$29,MATCH(H34,FourWeekly_Model!$B$2:$B$29,0)),0),IFERROR(INDEX(FourWeekly_Model!$D$2:$D$29,MATCH(H35,FourWeekly_Model!$B$2:$B$29,0)),0),IFERROR(INDEX(FourWeekly_Model!$D$2:$D$29,MATCH(H36,FourWeekly_Model!$B$2:$B$29,0)),0),IFERROR(INDEX(FourWeekly_Model!$D$2:$D$29,MATCH(H37,FourWeekly_Model!$B$2:$B$29,0)),0),IFERROR(INDEX(FourWeekly_Model!$D$2:$D$29,MATCH(H38,FourWeekly_Model!$B$2:$B$29,0)),0)),0))))))</f>
        <v>3.3214289700000004E-3</v>
      </c>
      <c r="N34" s="27">
        <f>SUM(I34:M34)</f>
        <v>2.840542296502618E-2</v>
      </c>
      <c r="O34" s="28">
        <f>Population_Data!$B$8*N34</f>
        <v>860684.3158402933</v>
      </c>
      <c r="P34" s="27">
        <f>IF(VLOOKUP($A34,Calendar!$A$1:$R$1377,18,0)=0,0,IF(VLOOKUP($A34,Calendar!$A$1:$R$1377,18,0)=1,IFERROR(INDEX(Pension_Model!$D$2:$D$29,MATCH(H34,Pension_Model!$B$2:$B$29,0)),0),IF(VLOOKUP($A34,Calendar!$A$1:$R$1377,18,0)=2,SUM(IFERROR(INDEX(Pension_Model!$D$2:$D$29,MATCH(H34,Pension_Model!$B$2:$B$29,0)),0),IFERROR(INDEX(Pension_Model!$D$2:$D$29,MATCH(H35,Pension_Model!$B$2:$B$29,0)),0)),IF(VLOOKUP($A34,Calendar!$A$1:$R$1377,18,0)=3,SUM(IFERROR(INDEX(Pension_Model!$D$2:$D$29,MATCH(H34,Pension_Model!$B$2:$B$29,0)),0),IFERROR(INDEX(Pension_Model!$D$2:$D$29,MATCH(H35,Pension_Model!$B$2:$B$29,0)),0),IFERROR(INDEX(Pension_Model!$D$2:$D$29,MATCH(H36,Pension_Model!$B$2:$B$29,0)),0)),IF(VLOOKUP($A34,Calendar!$A$1:$R$1377,18,0)=4,SUM(IFERROR(INDEX(Pension_Model!$D$2:$D$29,MATCH(H34,Pension_Model!$B$2:$B$29,0)),0),IFERROR(INDEX(Pension_Model!$D$2:$D$29,MATCH(H35,Pension_Model!$B$2:$B$29,0)),0),IFERROR(INDEX(Pension_Model!$D$2:$D$29,MATCH(H36,Pension_Model!$B$2:$B$29,0)),0),IFERROR(INDEX(Pension_Model!$D$2:$D$29,MATCH(H37,Pension_Model!$B$2:$B$29,0)),0)),IF(VLOOKUP($A34,Calendar!$A$1:$R$1377,18,0)=5,SUM(IFERROR(INDEX(Pension_Model!$D$2:$D$29,MATCH(H34,Pension_Model!$B$2:$B$29,0)),0),IFERROR(INDEX(Pension_Model!$D$2:$D$29,MATCH(H35,Pension_Model!$B$2:$B$29,0)),0),IFERROR(INDEX(Pension_Model!$D$2:$D$29,MATCH(H36,Pension_Model!$B$2:$B$29,0)),0),IFERROR(INDEX(Pension_Model!$D$2:$D$29,MATCH(H37,Pension_Model!$B$2:$B$29,0)),0),IFERROR(INDEX(Pension_Model!$D$2:$D$29,MATCH(H38,Pension_Model!$B$2:$B$29,0)),0)),0))))))</f>
        <v>0.05</v>
      </c>
      <c r="Q34" s="28">
        <f>Population_Data!$B$15*P34</f>
        <v>660600</v>
      </c>
      <c r="S34">
        <f t="shared" si="0"/>
        <v>1521284.3158402932</v>
      </c>
      <c r="U34" s="33">
        <f>S34/Population_Data!$B$19</f>
        <v>2.7559498475367629E-2</v>
      </c>
    </row>
    <row r="35" spans="1:21">
      <c r="A35" s="25">
        <f>Calendar!A35</f>
        <v>46268</v>
      </c>
      <c r="B35" t="str">
        <f>Calendar!L35</f>
        <v>Yes</v>
      </c>
      <c r="C35" t="str">
        <f>Calendar!O35</f>
        <v>No</v>
      </c>
      <c r="D35" t="str">
        <f>Calendar!P35</f>
        <v>No</v>
      </c>
      <c r="E35" t="str">
        <f>Calendar!Q35</f>
        <v>No</v>
      </c>
      <c r="F35" t="str">
        <f>Calendar!I35</f>
        <v>Thursday</v>
      </c>
      <c r="G35">
        <f>Calendar!S35</f>
        <v>12</v>
      </c>
      <c r="H35">
        <f>Calendar!T35</f>
        <v>12</v>
      </c>
      <c r="I35" s="27">
        <f>IF(VLOOKUP(A35,Calendar!$A$1:$R$1377,18,0)=0,0,IF(VLOOKUP(A35,Calendar!$A$1:$R$1377,18,0)=1,INDEX(Monthly_Pay_Model!$A$9:$D$40,MATCH(TEXT(A35,"dd"),Monthly_Pay_Model!$C$9:$C$39,0),4),IF(VLOOKUP(A35,Calendar!$A$1:$R$1377,18,0)=2,SUM(INDEX(Monthly_Pay_Model!$A$9:$D$40,MATCH(TEXT(A35,"dd"),Monthly_Pay_Model!$C$9:$C$39,0),4),INDEX(Monthly_Pay_Model!$A$9:$D$40,MATCH(TEXT(A36,"dd"),Monthly_Pay_Model!$C$9:$C$39,0),4)),IF(VLOOKUP(A35,Calendar!$A$1:$R$1377,18,0)=3,SUM(INDEX(Monthly_Pay_Model!$A$9:$D$40,MATCH(TEXT(A35,"dd"),Monthly_Pay_Model!$C$9:$C$39,0),4),INDEX(Monthly_Pay_Model!$A$9:$D$40,MATCH(TEXT(A36,"dd"),Monthly_Pay_Model!$C$9:$C$39,0),4),INDEX(Monthly_Pay_Model!$A$9:$D$40,MATCH(TEXT(A37,"dd"),Monthly_Pay_Model!$C$9:$C$39,0),4)),IF(VLOOKUP(A35,Calendar!$A$1:$R$1377,18,0)=4,SUM(INDEX(Monthly_Pay_Model!$A$9:$D$40,MATCH(TEXT(A35,"dd"),Monthly_Pay_Model!$C$9:$C$39,0),4),INDEX(Monthly_Pay_Model!$A$9:$D$40,MATCH(TEXT(A36,"dd"),Monthly_Pay_Model!$C$9:$C$39,0),4),INDEX(Monthly_Pay_Model!$A$9:$D$40,MATCH(TEXT(A37,"dd"),Monthly_Pay_Model!$C$9:$C$39,0),4),INDEX(Monthly_Pay_Model!$A$9:$D$40,MATCH(TEXT(A38,"dd"),Monthly_Pay_Model!$C$9:$C$39,0),4)),IF(VLOOKUP(A35,Calendar!$A$1:$R$1377,18,0)=5,SUM(INDEX(Monthly_Pay_Model!$A$9:$D$40,MATCH(TEXT(A35,"dd"),Monthly_Pay_Model!$C$9:$C$39,0),4),INDEX(Monthly_Pay_Model!$A$9:$D$40,MATCH(TEXT(A36,"dd"),Monthly_Pay_Model!$C$9:$C$39,0),4),INDEX(Monthly_Pay_Model!$A$9:$D$40,MATCH(TEXT(A37,"dd"),Monthly_Pay_Model!$C$9:$C$39,0),4),INDEX(Monthly_Pay_Model!$A$9:$D$40,MATCH(TEXT(A38,"dd"),Monthly_Pay_Model!$C$9:$C$39,0),4),INDEX(Monthly_Pay_Model!$A$9:$D$40,MATCH(TEXT(A39,"dd"),Monthly_Pay_Model!$C$9:$C$39,0),4)),))))))</f>
        <v>8.1256544502617792E-4</v>
      </c>
      <c r="J35" s="33">
        <f>IF(C35="Yes",Monthly_Pay_Model!$D$2,0)
+IF(Calendar!N35="Yes",Monthly_Pay_Model!$D$3,0)
+IF(D35="Yes",Monthly_Pay_Model!$D$4,0)
+IF(E35="Yes",Monthly_Pay_Model!$D$5,0)</f>
        <v>0</v>
      </c>
      <c r="K35" s="27">
        <f>IF(VLOOKUP($A35,Calendar!$A$1:$R$1377,18,0)=0,0,IF(VLOOKUP($A35,Calendar!$A$1:$R$1377,18,0)=1,IFERROR(INDEX(Weekly_Model!$D$2:$D$9,MATCH(F35,Weekly_Model!$A$2:$A$9,0)),0),IF(VLOOKUP($A35,Calendar!$A$1:$R$1377,18,0)=2,SUM(IFERROR(INDEX(Weekly_Model!$D$2:$D$9,MATCH(F35,Weekly_Model!$A$2:$A$9,0)),0),IFERROR(INDEX(Weekly_Model!$D$2:$D$9,MATCH(F36,Weekly_Model!$A$2:$A$9,0)),0)),IF(VLOOKUP($A35,Calendar!$A$1:$R$1377,18,0)=3,SUM(IFERROR(INDEX(Weekly_Model!$D$2:$D$9,MATCH(F35,Weekly_Model!$A$2:$A$9,0)),0),IFERROR(INDEX(Weekly_Model!$D$2:$D$9,MATCH(F36,Weekly_Model!$A$2:$A$9,0)),0),IFERROR(INDEX(Weekly_Model!$D$2:$D$9,MATCH(F37,Weekly_Model!$A$2:$A$9,0)),0)),IF(VLOOKUP($A35,Calendar!$A$1:$R$1377,18,0)=4,SUM(IFERROR(INDEX(Weekly_Model!$D$2:$D$9,MATCH(F35,Weekly_Model!$A$2:$A$9,0)),0),IFERROR(INDEX(Weekly_Model!$D$2:$D$9,MATCH(F36,Weekly_Model!$A$2:$A$9,0)),0),IFERROR(INDEX(Weekly_Model!$D$2:$D$9,MATCH(F37,Weekly_Model!$A$2:$A$9,0)),0),IFERROR(INDEX(Weekly_Model!$D$2:$D$9,MATCH(F38,Weekly_Model!$A$2:$A$9,0)),0)),IF(VLOOKUP($A35,Calendar!$A$1:$R$1377,18,0)=5,SUM(IFERROR(INDEX(Weekly_Model!$D$2:$D$9,MATCH(F35,Weekly_Model!$A$2:$A$9,0)),0),IFERROR(INDEX(Weekly_Model!$D$2:$D$9,MATCH(F36,Weekly_Model!$A$2:$A$9,0)),0),IFERROR(INDEX(Weekly_Model!$D$2:$D$9,MATCH(F37,Weekly_Model!$A$2:$A$9,0)),0),IFERROR(INDEX(Weekly_Model!$D$2:$D$9,MATCH(F38,Weekly_Model!$A$2:$A$9,0)),0),IFERROR(INDEX(Weekly_Model!$D$2:$D$9,MATCH(F39,Weekly_Model!$A$2:$A$9,0)),0)),0))))))</f>
        <v>2.3200000000000002E-2</v>
      </c>
      <c r="L35" s="27">
        <f>IF(VLOOKUP($A35,Calendar!$A$1:$R$1377,18,0)=0,0,IF(VLOOKUP($A35,Calendar!$A$1:$R$1377,18,0)=1,IFERROR(INDEX(Fortnightly_Model!$D$2:$D$15,MATCH(G35,Fortnightly_Model!$B$2:$B$15,0)),0),IF(VLOOKUP($A35,Calendar!$A$1:$R$1377,18,0)=2,SUM(IFERROR(INDEX(Fortnightly_Model!$D$2:$D$15,MATCH(G35,Fortnightly_Model!$B$2:$B$15,0)),0),IFERROR(INDEX(Fortnightly_Model!$D$2:$D$15,MATCH(G36,Fortnightly_Model!$B$2:$B$15,0)),0)),IF(VLOOKUP($A35,Calendar!$A$1:$R$1377,18,0)=3,SUM(IFERROR(INDEX(Fortnightly_Model!$D$2:$D$15,MATCH(G35,Fortnightly_Model!$B$2:$B$15,0)),0),IFERROR(INDEX(Fortnightly_Model!$D$2:$D$15,MATCH(G36,Fortnightly_Model!$B$2:$B$15,0)),0),IFERROR(INDEX(Fortnightly_Model!$D$2:$D$15,MATCH(G37,Fortnightly_Model!$B$2:$B$15,0)),0)),IF(VLOOKUP($A35,Calendar!$A$1:$R$1377,18,0)=4,SUM(IFERROR(INDEX(Fortnightly_Model!$D$2:$D$15,MATCH(G35,Fortnightly_Model!$B$2:$B$15,0)),0),IFERROR(INDEX(Fortnightly_Model!$D$2:$D$15,MATCH(G36,Fortnightly_Model!$B$2:$B$15,0)),0),IFERROR(INDEX(Fortnightly_Model!$D$2:$D$15,MATCH(G37,Fortnightly_Model!$B$2:$B$15,0)),0),IFERROR(INDEX(Fortnightly_Model!$D$2:$D$15,MATCH(G38,Fortnightly_Model!$B$2:$B$15,0)),0)),IF(VLOOKUP($A35,Calendar!$A$1:$R$1377,18,0)=5,SUM(IFERROR(INDEX(Fortnightly_Model!$D$2:$D$15,MATCH(G35,Fortnightly_Model!$B$2:$B$15,0)),0),IFERROR(INDEX(Fortnightly_Model!$D$2:$D$15,MATCH(G36,Fortnightly_Model!$B$2:$B$15,0)),0),IFERROR(INDEX(Fortnightly_Model!$D$2:$D$15,MATCH(G37,Fortnightly_Model!$B$2:$B$15,0)),0),IFERROR(INDEX(Fortnightly_Model!$D$2:$D$15,MATCH(G38,Fortnightly_Model!$B$2:$B$15,0)),0),IFERROR(INDEX(Fortnightly_Model!$D$2:$D$15,MATCH(G39,Fortnightly_Model!$B$2:$B$15,0)),0)),0))))))</f>
        <v>1.0714285499999999E-3</v>
      </c>
      <c r="M35" s="27">
        <f>IF(VLOOKUP($A35,Calendar!$A$1:$R$1377,18,0)=0,0,IF(VLOOKUP($A35,Calendar!$A$1:$R$1377,18,0)=1,IFERROR(INDEX(FourWeekly_Model!$D$2:$D$29,MATCH(H35,FourWeekly_Model!$B$2:$B$29,0)),0),IF(VLOOKUP($A35,Calendar!$A$1:$R$1377,18,0)=2,SUM(IFERROR(INDEX(FourWeekly_Model!$D$2:$D$29,MATCH(H35,FourWeekly_Model!$B$2:$B$29,0)),0),IFERROR(INDEX(FourWeekly_Model!$D$2:$D$29,MATCH(H36,FourWeekly_Model!$B$2:$B$29,0)),0)),IF(VLOOKUP($A35,Calendar!$A$1:$R$1377,18,0)=3,SUM(IFERROR(INDEX(FourWeekly_Model!$D$2:$D$29,MATCH(H35,FourWeekly_Model!$B$2:$B$29,0)),0),IFERROR(INDEX(FourWeekly_Model!$D$2:$D$29,MATCH(H36,FourWeekly_Model!$B$2:$B$29,0)),0),IFERROR(INDEX(FourWeekly_Model!$D$2:$D$29,MATCH(H37,FourWeekly_Model!$B$2:$B$29,0)),0)),IF(VLOOKUP($A35,Calendar!$A$1:$R$1377,18,0)=4,SUM(IFERROR(INDEX(FourWeekly_Model!$D$2:$D$29,MATCH(H35,FourWeekly_Model!$B$2:$B$29,0)),0),IFERROR(INDEX(FourWeekly_Model!$D$2:$D$29,MATCH(H36,FourWeekly_Model!$B$2:$B$29,0)),0),IFERROR(INDEX(FourWeekly_Model!$D$2:$D$29,MATCH(H37,FourWeekly_Model!$B$2:$B$29,0)),0),IFERROR(INDEX(FourWeekly_Model!$D$2:$D$29,MATCH(H38,FourWeekly_Model!$B$2:$B$29,0)),0)),IF(VLOOKUP($A35,Calendar!$A$1:$R$1377,18,0)=5,SUM(IFERROR(INDEX(FourWeekly_Model!$D$2:$D$29,MATCH(H35,FourWeekly_Model!$B$2:$B$29,0)),0),IFERROR(INDEX(FourWeekly_Model!$D$2:$D$29,MATCH(H36,FourWeekly_Model!$B$2:$B$29,0)),0),IFERROR(INDEX(FourWeekly_Model!$D$2:$D$29,MATCH(H37,FourWeekly_Model!$B$2:$B$29,0)),0),IFERROR(INDEX(FourWeekly_Model!$D$2:$D$29,MATCH(H38,FourWeekly_Model!$B$2:$B$29,0)),0),IFERROR(INDEX(FourWeekly_Model!$D$2:$D$29,MATCH(H39,FourWeekly_Model!$B$2:$B$29,0)),0)),0))))))</f>
        <v>3.3214289700000004E-3</v>
      </c>
      <c r="N35" s="27">
        <f>SUM(I35:M35)</f>
        <v>2.840542296502618E-2</v>
      </c>
      <c r="O35" s="28">
        <f>Population_Data!$B$8*N35</f>
        <v>860684.3158402933</v>
      </c>
      <c r="P35" s="27">
        <f>IF(VLOOKUP($A35,Calendar!$A$1:$R$1377,18,0)=0,0,IF(VLOOKUP($A35,Calendar!$A$1:$R$1377,18,0)=1,IFERROR(INDEX(Pension_Model!$D$2:$D$29,MATCH(H35,Pension_Model!$B$2:$B$29,0)),0),IF(VLOOKUP($A35,Calendar!$A$1:$R$1377,18,0)=2,SUM(IFERROR(INDEX(Pension_Model!$D$2:$D$29,MATCH(H35,Pension_Model!$B$2:$B$29,0)),0),IFERROR(INDEX(Pension_Model!$D$2:$D$29,MATCH(H36,Pension_Model!$B$2:$B$29,0)),0)),IF(VLOOKUP($A35,Calendar!$A$1:$R$1377,18,0)=3,SUM(IFERROR(INDEX(Pension_Model!$D$2:$D$29,MATCH(H35,Pension_Model!$B$2:$B$29,0)),0),IFERROR(INDEX(Pension_Model!$D$2:$D$29,MATCH(H36,Pension_Model!$B$2:$B$29,0)),0),IFERROR(INDEX(Pension_Model!$D$2:$D$29,MATCH(H37,Pension_Model!$B$2:$B$29,0)),0)),IF(VLOOKUP($A35,Calendar!$A$1:$R$1377,18,0)=4,SUM(IFERROR(INDEX(Pension_Model!$D$2:$D$29,MATCH(H35,Pension_Model!$B$2:$B$29,0)),0),IFERROR(INDEX(Pension_Model!$D$2:$D$29,MATCH(H36,Pension_Model!$B$2:$B$29,0)),0),IFERROR(INDEX(Pension_Model!$D$2:$D$29,MATCH(H37,Pension_Model!$B$2:$B$29,0)),0),IFERROR(INDEX(Pension_Model!$D$2:$D$29,MATCH(H38,Pension_Model!$B$2:$B$29,0)),0)),IF(VLOOKUP($A35,Calendar!$A$1:$R$1377,18,0)=5,SUM(IFERROR(INDEX(Pension_Model!$D$2:$D$29,MATCH(H35,Pension_Model!$B$2:$B$29,0)),0),IFERROR(INDEX(Pension_Model!$D$2:$D$29,MATCH(H36,Pension_Model!$B$2:$B$29,0)),0),IFERROR(INDEX(Pension_Model!$D$2:$D$29,MATCH(H37,Pension_Model!$B$2:$B$29,0)),0),IFERROR(INDEX(Pension_Model!$D$2:$D$29,MATCH(H38,Pension_Model!$B$2:$B$29,0)),0),IFERROR(INDEX(Pension_Model!$D$2:$D$29,MATCH(H39,Pension_Model!$B$2:$B$29,0)),0)),0))))))</f>
        <v>0.05</v>
      </c>
      <c r="Q35" s="28">
        <f>Population_Data!$B$15*P35</f>
        <v>660600</v>
      </c>
      <c r="S35">
        <f t="shared" si="0"/>
        <v>1521284.3158402932</v>
      </c>
      <c r="U35" s="33">
        <f>S35/Population_Data!$B$19</f>
        <v>2.7559498475367629E-2</v>
      </c>
    </row>
    <row r="36" spans="1:21">
      <c r="A36" s="25">
        <f>Calendar!A36</f>
        <v>46269</v>
      </c>
      <c r="B36" t="str">
        <f>Calendar!L36</f>
        <v>Yes</v>
      </c>
      <c r="C36" t="str">
        <f>Calendar!O36</f>
        <v>No</v>
      </c>
      <c r="D36" t="str">
        <f>Calendar!P36</f>
        <v>No</v>
      </c>
      <c r="E36" t="str">
        <f>Calendar!Q36</f>
        <v>No</v>
      </c>
      <c r="F36" t="str">
        <f>Calendar!I36</f>
        <v>Friday</v>
      </c>
      <c r="G36">
        <f>Calendar!S36</f>
        <v>13</v>
      </c>
      <c r="H36">
        <f>Calendar!T36</f>
        <v>13</v>
      </c>
      <c r="I36" s="27">
        <f>IF(VLOOKUP(A36,Calendar!$A$1:$R$1377,18,0)=0,0,IF(VLOOKUP(A36,Calendar!$A$1:$R$1377,18,0)=1,INDEX(Monthly_Pay_Model!$A$9:$D$40,MATCH(TEXT(A36,"dd"),Monthly_Pay_Model!$C$9:$C$39,0),4),IF(VLOOKUP(A36,Calendar!$A$1:$R$1377,18,0)=2,SUM(INDEX(Monthly_Pay_Model!$A$9:$D$40,MATCH(TEXT(A36,"dd"),Monthly_Pay_Model!$C$9:$C$39,0),4),INDEX(Monthly_Pay_Model!$A$9:$D$40,MATCH(TEXT(A37,"dd"),Monthly_Pay_Model!$C$9:$C$39,0),4)),IF(VLOOKUP(A36,Calendar!$A$1:$R$1377,18,0)=3,SUM(INDEX(Monthly_Pay_Model!$A$9:$D$40,MATCH(TEXT(A36,"dd"),Monthly_Pay_Model!$C$9:$C$39,0),4),INDEX(Monthly_Pay_Model!$A$9:$D$40,MATCH(TEXT(A37,"dd"),Monthly_Pay_Model!$C$9:$C$39,0),4),INDEX(Monthly_Pay_Model!$A$9:$D$40,MATCH(TEXT(A38,"dd"),Monthly_Pay_Model!$C$9:$C$39,0),4)),IF(VLOOKUP(A36,Calendar!$A$1:$R$1377,18,0)=4,SUM(INDEX(Monthly_Pay_Model!$A$9:$D$40,MATCH(TEXT(A36,"dd"),Monthly_Pay_Model!$C$9:$C$39,0),4),INDEX(Monthly_Pay_Model!$A$9:$D$40,MATCH(TEXT(A37,"dd"),Monthly_Pay_Model!$C$9:$C$39,0),4),INDEX(Monthly_Pay_Model!$A$9:$D$40,MATCH(TEXT(A38,"dd"),Monthly_Pay_Model!$C$9:$C$39,0),4),INDEX(Monthly_Pay_Model!$A$9:$D$40,MATCH(TEXT(A39,"dd"),Monthly_Pay_Model!$C$9:$C$39,0),4)),IF(VLOOKUP(A36,Calendar!$A$1:$R$1377,18,0)=5,SUM(INDEX(Monthly_Pay_Model!$A$9:$D$40,MATCH(TEXT(A36,"dd"),Monthly_Pay_Model!$C$9:$C$39,0),4),INDEX(Monthly_Pay_Model!$A$9:$D$40,MATCH(TEXT(A37,"dd"),Monthly_Pay_Model!$C$9:$C$39,0),4),INDEX(Monthly_Pay_Model!$A$9:$D$40,MATCH(TEXT(A38,"dd"),Monthly_Pay_Model!$C$9:$C$39,0),4),INDEX(Monthly_Pay_Model!$A$9:$D$40,MATCH(TEXT(A39,"dd"),Monthly_Pay_Model!$C$9:$C$39,0),4),INDEX(Monthly_Pay_Model!$A$9:$D$40,MATCH(TEXT(A40,"dd"),Monthly_Pay_Model!$C$9:$C$39,0),4)),))))))</f>
        <v>1.137591623036649E-2</v>
      </c>
      <c r="J36" s="33">
        <f>IF(C36="Yes",Monthly_Pay_Model!$D$2,0)
+IF(Calendar!N36="Yes",Monthly_Pay_Model!$D$3,0)
+IF(D36="Yes",Monthly_Pay_Model!$D$4,0)
+IF(E36="Yes",Monthly_Pay_Model!$D$5,0)</f>
        <v>0</v>
      </c>
      <c r="K36" s="27">
        <f>IF(VLOOKUP($A36,Calendar!$A$1:$R$1377,18,0)=0,0,IF(VLOOKUP($A36,Calendar!$A$1:$R$1377,18,0)=1,IFERROR(INDEX(Weekly_Model!$D$2:$D$9,MATCH(F36,Weekly_Model!$A$2:$A$9,0)),0),IF(VLOOKUP($A36,Calendar!$A$1:$R$1377,18,0)=2,SUM(IFERROR(INDEX(Weekly_Model!$D$2:$D$9,MATCH(F36,Weekly_Model!$A$2:$A$9,0)),0),IFERROR(INDEX(Weekly_Model!$D$2:$D$9,MATCH(F37,Weekly_Model!$A$2:$A$9,0)),0)),IF(VLOOKUP($A36,Calendar!$A$1:$R$1377,18,0)=3,SUM(IFERROR(INDEX(Weekly_Model!$D$2:$D$9,MATCH(F36,Weekly_Model!$A$2:$A$9,0)),0),IFERROR(INDEX(Weekly_Model!$D$2:$D$9,MATCH(F37,Weekly_Model!$A$2:$A$9,0)),0),IFERROR(INDEX(Weekly_Model!$D$2:$D$9,MATCH(F38,Weekly_Model!$A$2:$A$9,0)),0)),IF(VLOOKUP($A36,Calendar!$A$1:$R$1377,18,0)=4,SUM(IFERROR(INDEX(Weekly_Model!$D$2:$D$9,MATCH(F36,Weekly_Model!$A$2:$A$9,0)),0),IFERROR(INDEX(Weekly_Model!$D$2:$D$9,MATCH(F37,Weekly_Model!$A$2:$A$9,0)),0),IFERROR(INDEX(Weekly_Model!$D$2:$D$9,MATCH(F38,Weekly_Model!$A$2:$A$9,0)),0),IFERROR(INDEX(Weekly_Model!$D$2:$D$9,MATCH(F39,Weekly_Model!$A$2:$A$9,0)),0)),IF(VLOOKUP($A36,Calendar!$A$1:$R$1377,18,0)=5,SUM(IFERROR(INDEX(Weekly_Model!$D$2:$D$9,MATCH(F36,Weekly_Model!$A$2:$A$9,0)),0),IFERROR(INDEX(Weekly_Model!$D$2:$D$9,MATCH(F37,Weekly_Model!$A$2:$A$9,0)),0),IFERROR(INDEX(Weekly_Model!$D$2:$D$9,MATCH(F38,Weekly_Model!$A$2:$A$9,0)),0),IFERROR(INDEX(Weekly_Model!$D$2:$D$9,MATCH(F39,Weekly_Model!$A$2:$A$9,0)),0),IFERROR(INDEX(Weekly_Model!$D$2:$D$9,MATCH(F40,Weekly_Model!$A$2:$A$9,0)),0)),0))))))</f>
        <v>2.3200000000000002E-2</v>
      </c>
      <c r="L36" s="27">
        <f>IF(VLOOKUP($A36,Calendar!$A$1:$R$1377,18,0)=0,0,IF(VLOOKUP($A36,Calendar!$A$1:$R$1377,18,0)=1,IFERROR(INDEX(Fortnightly_Model!$D$2:$D$15,MATCH(G36,Fortnightly_Model!$B$2:$B$15,0)),0),IF(VLOOKUP($A36,Calendar!$A$1:$R$1377,18,0)=2,SUM(IFERROR(INDEX(Fortnightly_Model!$D$2:$D$15,MATCH(G36,Fortnightly_Model!$B$2:$B$15,0)),0),IFERROR(INDEX(Fortnightly_Model!$D$2:$D$15,MATCH(G37,Fortnightly_Model!$B$2:$B$15,0)),0)),IF(VLOOKUP($A36,Calendar!$A$1:$R$1377,18,0)=3,SUM(IFERROR(INDEX(Fortnightly_Model!$D$2:$D$15,MATCH(G36,Fortnightly_Model!$B$2:$B$15,0)),0),IFERROR(INDEX(Fortnightly_Model!$D$2:$D$15,MATCH(G37,Fortnightly_Model!$B$2:$B$15,0)),0),IFERROR(INDEX(Fortnightly_Model!$D$2:$D$15,MATCH(G38,Fortnightly_Model!$B$2:$B$15,0)),0)),IF(VLOOKUP($A36,Calendar!$A$1:$R$1377,18,0)=4,SUM(IFERROR(INDEX(Fortnightly_Model!$D$2:$D$15,MATCH(G36,Fortnightly_Model!$B$2:$B$15,0)),0),IFERROR(INDEX(Fortnightly_Model!$D$2:$D$15,MATCH(G37,Fortnightly_Model!$B$2:$B$15,0)),0),IFERROR(INDEX(Fortnightly_Model!$D$2:$D$15,MATCH(G38,Fortnightly_Model!$B$2:$B$15,0)),0),IFERROR(INDEX(Fortnightly_Model!$D$2:$D$15,MATCH(G39,Fortnightly_Model!$B$2:$B$15,0)),0)),IF(VLOOKUP($A36,Calendar!$A$1:$R$1377,18,0)=5,SUM(IFERROR(INDEX(Fortnightly_Model!$D$2:$D$15,MATCH(G36,Fortnightly_Model!$B$2:$B$15,0)),0),IFERROR(INDEX(Fortnightly_Model!$D$2:$D$15,MATCH(G37,Fortnightly_Model!$B$2:$B$15,0)),0),IFERROR(INDEX(Fortnightly_Model!$D$2:$D$15,MATCH(G38,Fortnightly_Model!$B$2:$B$15,0)),0),IFERROR(INDEX(Fortnightly_Model!$D$2:$D$15,MATCH(G39,Fortnightly_Model!$B$2:$B$15,0)),0),IFERROR(INDEX(Fortnightly_Model!$D$2:$D$15,MATCH(G40,Fortnightly_Model!$B$2:$B$15,0)),0)),0))))))</f>
        <v>3.2142856499999999E-3</v>
      </c>
      <c r="M36" s="27">
        <f>IF(VLOOKUP($A36,Calendar!$A$1:$R$1377,18,0)=0,0,IF(VLOOKUP($A36,Calendar!$A$1:$R$1377,18,0)=1,IFERROR(INDEX(FourWeekly_Model!$D$2:$D$29,MATCH(H36,FourWeekly_Model!$B$2:$B$29,0)),0),IF(VLOOKUP($A36,Calendar!$A$1:$R$1377,18,0)=2,SUM(IFERROR(INDEX(FourWeekly_Model!$D$2:$D$29,MATCH(H36,FourWeekly_Model!$B$2:$B$29,0)),0),IFERROR(INDEX(FourWeekly_Model!$D$2:$D$29,MATCH(H37,FourWeekly_Model!$B$2:$B$29,0)),0)),IF(VLOOKUP($A36,Calendar!$A$1:$R$1377,18,0)=3,SUM(IFERROR(INDEX(FourWeekly_Model!$D$2:$D$29,MATCH(H36,FourWeekly_Model!$B$2:$B$29,0)),0),IFERROR(INDEX(FourWeekly_Model!$D$2:$D$29,MATCH(H37,FourWeekly_Model!$B$2:$B$29,0)),0),IFERROR(INDEX(FourWeekly_Model!$D$2:$D$29,MATCH(H38,FourWeekly_Model!$B$2:$B$29,0)),0)),IF(VLOOKUP($A36,Calendar!$A$1:$R$1377,18,0)=4,SUM(IFERROR(INDEX(FourWeekly_Model!$D$2:$D$29,MATCH(H36,FourWeekly_Model!$B$2:$B$29,0)),0),IFERROR(INDEX(FourWeekly_Model!$D$2:$D$29,MATCH(H37,FourWeekly_Model!$B$2:$B$29,0)),0),IFERROR(INDEX(FourWeekly_Model!$D$2:$D$29,MATCH(H38,FourWeekly_Model!$B$2:$B$29,0)),0),IFERROR(INDEX(FourWeekly_Model!$D$2:$D$29,MATCH(H39,FourWeekly_Model!$B$2:$B$29,0)),0)),IF(VLOOKUP($A36,Calendar!$A$1:$R$1377,18,0)=5,SUM(IFERROR(INDEX(FourWeekly_Model!$D$2:$D$29,MATCH(H36,FourWeekly_Model!$B$2:$B$29,0)),0),IFERROR(INDEX(FourWeekly_Model!$D$2:$D$29,MATCH(H37,FourWeekly_Model!$B$2:$B$29,0)),0),IFERROR(INDEX(FourWeekly_Model!$D$2:$D$29,MATCH(H38,FourWeekly_Model!$B$2:$B$29,0)),0),IFERROR(INDEX(FourWeekly_Model!$D$2:$D$29,MATCH(H39,FourWeekly_Model!$B$2:$B$29,0)),0),IFERROR(INDEX(FourWeekly_Model!$D$2:$D$29,MATCH(H40,FourWeekly_Model!$B$2:$B$29,0)),0)),0))))))</f>
        <v>9.9642859800000011E-3</v>
      </c>
      <c r="N36" s="27">
        <f>SUM(I36:M36)</f>
        <v>4.7754487860366492E-2</v>
      </c>
      <c r="O36" s="28">
        <f>Population_Data!$B$8*N36</f>
        <v>1446960.9821691047</v>
      </c>
      <c r="P36" s="27">
        <f>IF(VLOOKUP($A36,Calendar!$A$1:$R$1377,18,0)=0,0,IF(VLOOKUP($A36,Calendar!$A$1:$R$1377,18,0)=1,IFERROR(INDEX(Pension_Model!$D$2:$D$29,MATCH(H36,Pension_Model!$B$2:$B$29,0)),0),IF(VLOOKUP($A36,Calendar!$A$1:$R$1377,18,0)=2,SUM(IFERROR(INDEX(Pension_Model!$D$2:$D$29,MATCH(H36,Pension_Model!$B$2:$B$29,0)),0),IFERROR(INDEX(Pension_Model!$D$2:$D$29,MATCH(H37,Pension_Model!$B$2:$B$29,0)),0)),IF(VLOOKUP($A36,Calendar!$A$1:$R$1377,18,0)=3,SUM(IFERROR(INDEX(Pension_Model!$D$2:$D$29,MATCH(H36,Pension_Model!$B$2:$B$29,0)),0),IFERROR(INDEX(Pension_Model!$D$2:$D$29,MATCH(H37,Pension_Model!$B$2:$B$29,0)),0),IFERROR(INDEX(Pension_Model!$D$2:$D$29,MATCH(H38,Pension_Model!$B$2:$B$29,0)),0)),IF(VLOOKUP($A36,Calendar!$A$1:$R$1377,18,0)=4,SUM(IFERROR(INDEX(Pension_Model!$D$2:$D$29,MATCH(H36,Pension_Model!$B$2:$B$29,0)),0),IFERROR(INDEX(Pension_Model!$D$2:$D$29,MATCH(H37,Pension_Model!$B$2:$B$29,0)),0),IFERROR(INDEX(Pension_Model!$D$2:$D$29,MATCH(H38,Pension_Model!$B$2:$B$29,0)),0),IFERROR(INDEX(Pension_Model!$D$2:$D$29,MATCH(H39,Pension_Model!$B$2:$B$29,0)),0)),IF(VLOOKUP($A36,Calendar!$A$1:$R$1377,18,0)=5,SUM(IFERROR(INDEX(Pension_Model!$D$2:$D$29,MATCH(H36,Pension_Model!$B$2:$B$29,0)),0),IFERROR(INDEX(Pension_Model!$D$2:$D$29,MATCH(H37,Pension_Model!$B$2:$B$29,0)),0),IFERROR(INDEX(Pension_Model!$D$2:$D$29,MATCH(H38,Pension_Model!$B$2:$B$29,0)),0),IFERROR(INDEX(Pension_Model!$D$2:$D$29,MATCH(H39,Pension_Model!$B$2:$B$29,0)),0),IFERROR(INDEX(Pension_Model!$D$2:$D$29,MATCH(H40,Pension_Model!$B$2:$B$29,0)),0)),0))))))</f>
        <v>0.05</v>
      </c>
      <c r="Q36" s="28">
        <f>Population_Data!$B$15*P36</f>
        <v>660600</v>
      </c>
      <c r="S36">
        <f t="shared" si="0"/>
        <v>2107560.9821691047</v>
      </c>
      <c r="U36" s="33">
        <f>S36/Population_Data!$B$19</f>
        <v>3.8180452575527261E-2</v>
      </c>
    </row>
    <row r="37" spans="1:21">
      <c r="A37" s="25">
        <f>Calendar!A37</f>
        <v>46270</v>
      </c>
      <c r="B37" t="str">
        <f>Calendar!L37</f>
        <v>No</v>
      </c>
      <c r="C37" t="str">
        <f>Calendar!O37</f>
        <v>No</v>
      </c>
      <c r="D37" t="str">
        <f>Calendar!P37</f>
        <v>No</v>
      </c>
      <c r="E37" t="str">
        <f>Calendar!Q37</f>
        <v>No</v>
      </c>
      <c r="F37" t="str">
        <f>Calendar!I37</f>
        <v>Saturday</v>
      </c>
      <c r="G37">
        <f>Calendar!S37</f>
        <v>0</v>
      </c>
      <c r="H37">
        <f>Calendar!T37</f>
        <v>14</v>
      </c>
      <c r="I37" s="27">
        <f>IF(VLOOKUP(A37,Calendar!$A$1:$R$1377,18,0)=0,0,IF(VLOOKUP(A37,Calendar!$A$1:$R$1377,18,0)=1,INDEX(Monthly_Pay_Model!$A$9:$D$40,MATCH(TEXT(A37,"dd"),Monthly_Pay_Model!$C$9:$C$39,0),4),IF(VLOOKUP(A37,Calendar!$A$1:$R$1377,18,0)=2,SUM(INDEX(Monthly_Pay_Model!$A$9:$D$40,MATCH(TEXT(A37,"dd"),Monthly_Pay_Model!$C$9:$C$39,0),4),INDEX(Monthly_Pay_Model!$A$9:$D$40,MATCH(TEXT(A38,"dd"),Monthly_Pay_Model!$C$9:$C$39,0),4)),IF(VLOOKUP(A37,Calendar!$A$1:$R$1377,18,0)=3,SUM(INDEX(Monthly_Pay_Model!$A$9:$D$40,MATCH(TEXT(A37,"dd"),Monthly_Pay_Model!$C$9:$C$39,0),4),INDEX(Monthly_Pay_Model!$A$9:$D$40,MATCH(TEXT(A38,"dd"),Monthly_Pay_Model!$C$9:$C$39,0),4),INDEX(Monthly_Pay_Model!$A$9:$D$40,MATCH(TEXT(A39,"dd"),Monthly_Pay_Model!$C$9:$C$39,0),4)),IF(VLOOKUP(A37,Calendar!$A$1:$R$1377,18,0)=4,SUM(INDEX(Monthly_Pay_Model!$A$9:$D$40,MATCH(TEXT(A37,"dd"),Monthly_Pay_Model!$C$9:$C$39,0),4),INDEX(Monthly_Pay_Model!$A$9:$D$40,MATCH(TEXT(A38,"dd"),Monthly_Pay_Model!$C$9:$C$39,0),4),INDEX(Monthly_Pay_Model!$A$9:$D$40,MATCH(TEXT(A39,"dd"),Monthly_Pay_Model!$C$9:$C$39,0),4),INDEX(Monthly_Pay_Model!$A$9:$D$40,MATCH(TEXT(A40,"dd"),Monthly_Pay_Model!$C$9:$C$39,0),4)),IF(VLOOKUP(A37,Calendar!$A$1:$R$1377,18,0)=5,SUM(INDEX(Monthly_Pay_Model!$A$9:$D$40,MATCH(TEXT(A37,"dd"),Monthly_Pay_Model!$C$9:$C$39,0),4),INDEX(Monthly_Pay_Model!$A$9:$D$40,MATCH(TEXT(A38,"dd"),Monthly_Pay_Model!$C$9:$C$39,0),4),INDEX(Monthly_Pay_Model!$A$9:$D$40,MATCH(TEXT(A39,"dd"),Monthly_Pay_Model!$C$9:$C$39,0),4),INDEX(Monthly_Pay_Model!$A$9:$D$40,MATCH(TEXT(A40,"dd"),Monthly_Pay_Model!$C$9:$C$39,0),4),INDEX(Monthly_Pay_Model!$A$9:$D$40,MATCH(TEXT(A41,"dd"),Monthly_Pay_Model!$C$9:$C$39,0),4)),))))))</f>
        <v>0</v>
      </c>
      <c r="J37" s="33">
        <f>IF(C37="Yes",Monthly_Pay_Model!$D$2,0)
+IF(Calendar!N37="Yes",Monthly_Pay_Model!$D$3,0)
+IF(D37="Yes",Monthly_Pay_Model!$D$4,0)
+IF(E37="Yes",Monthly_Pay_Model!$D$5,0)</f>
        <v>0</v>
      </c>
      <c r="K37" s="27">
        <f>IF(VLOOKUP($A37,Calendar!$A$1:$R$1377,18,0)=0,0,IF(VLOOKUP($A37,Calendar!$A$1:$R$1377,18,0)=1,IFERROR(INDEX(Weekly_Model!$D$2:$D$9,MATCH(F37,Weekly_Model!$A$2:$A$9,0)),0),IF(VLOOKUP($A37,Calendar!$A$1:$R$1377,18,0)=2,SUM(IFERROR(INDEX(Weekly_Model!$D$2:$D$9,MATCH(F37,Weekly_Model!$A$2:$A$9,0)),0),IFERROR(INDEX(Weekly_Model!$D$2:$D$9,MATCH(F38,Weekly_Model!$A$2:$A$9,0)),0)),IF(VLOOKUP($A37,Calendar!$A$1:$R$1377,18,0)=3,SUM(IFERROR(INDEX(Weekly_Model!$D$2:$D$9,MATCH(F37,Weekly_Model!$A$2:$A$9,0)),0),IFERROR(INDEX(Weekly_Model!$D$2:$D$9,MATCH(F38,Weekly_Model!$A$2:$A$9,0)),0),IFERROR(INDEX(Weekly_Model!$D$2:$D$9,MATCH(F39,Weekly_Model!$A$2:$A$9,0)),0)),IF(VLOOKUP($A37,Calendar!$A$1:$R$1377,18,0)=4,SUM(IFERROR(INDEX(Weekly_Model!$D$2:$D$9,MATCH(F37,Weekly_Model!$A$2:$A$9,0)),0),IFERROR(INDEX(Weekly_Model!$D$2:$D$9,MATCH(F38,Weekly_Model!$A$2:$A$9,0)),0),IFERROR(INDEX(Weekly_Model!$D$2:$D$9,MATCH(F39,Weekly_Model!$A$2:$A$9,0)),0),IFERROR(INDEX(Weekly_Model!$D$2:$D$9,MATCH(F40,Weekly_Model!$A$2:$A$9,0)),0)),IF(VLOOKUP($A37,Calendar!$A$1:$R$1377,18,0)=5,SUM(IFERROR(INDEX(Weekly_Model!$D$2:$D$9,MATCH(F37,Weekly_Model!$A$2:$A$9,0)),0),IFERROR(INDEX(Weekly_Model!$D$2:$D$9,MATCH(F38,Weekly_Model!$A$2:$A$9,0)),0),IFERROR(INDEX(Weekly_Model!$D$2:$D$9,MATCH(F39,Weekly_Model!$A$2:$A$9,0)),0),IFERROR(INDEX(Weekly_Model!$D$2:$D$9,MATCH(F40,Weekly_Model!$A$2:$A$9,0)),0),IFERROR(INDEX(Weekly_Model!$D$2:$D$9,MATCH(F41,Weekly_Model!$A$2:$A$9,0)),0)),0))))))</f>
        <v>0</v>
      </c>
      <c r="L37" s="27">
        <f>IF(VLOOKUP($A37,Calendar!$A$1:$R$1377,18,0)=0,0,IF(VLOOKUP($A37,Calendar!$A$1:$R$1377,18,0)=1,IFERROR(INDEX(Fortnightly_Model!$D$2:$D$15,MATCH(G37,Fortnightly_Model!$B$2:$B$15,0)),0),IF(VLOOKUP($A37,Calendar!$A$1:$R$1377,18,0)=2,SUM(IFERROR(INDEX(Fortnightly_Model!$D$2:$D$15,MATCH(G37,Fortnightly_Model!$B$2:$B$15,0)),0),IFERROR(INDEX(Fortnightly_Model!$D$2:$D$15,MATCH(G38,Fortnightly_Model!$B$2:$B$15,0)),0)),IF(VLOOKUP($A37,Calendar!$A$1:$R$1377,18,0)=3,SUM(IFERROR(INDEX(Fortnightly_Model!$D$2:$D$15,MATCH(G37,Fortnightly_Model!$B$2:$B$15,0)),0),IFERROR(INDEX(Fortnightly_Model!$D$2:$D$15,MATCH(G38,Fortnightly_Model!$B$2:$B$15,0)),0),IFERROR(INDEX(Fortnightly_Model!$D$2:$D$15,MATCH(G39,Fortnightly_Model!$B$2:$B$15,0)),0)),IF(VLOOKUP($A37,Calendar!$A$1:$R$1377,18,0)=4,SUM(IFERROR(INDEX(Fortnightly_Model!$D$2:$D$15,MATCH(G37,Fortnightly_Model!$B$2:$B$15,0)),0),IFERROR(INDEX(Fortnightly_Model!$D$2:$D$15,MATCH(G38,Fortnightly_Model!$B$2:$B$15,0)),0),IFERROR(INDEX(Fortnightly_Model!$D$2:$D$15,MATCH(G39,Fortnightly_Model!$B$2:$B$15,0)),0),IFERROR(INDEX(Fortnightly_Model!$D$2:$D$15,MATCH(G40,Fortnightly_Model!$B$2:$B$15,0)),0)),IF(VLOOKUP($A37,Calendar!$A$1:$R$1377,18,0)=5,SUM(IFERROR(INDEX(Fortnightly_Model!$D$2:$D$15,MATCH(G37,Fortnightly_Model!$B$2:$B$15,0)),0),IFERROR(INDEX(Fortnightly_Model!$D$2:$D$15,MATCH(G38,Fortnightly_Model!$B$2:$B$15,0)),0),IFERROR(INDEX(Fortnightly_Model!$D$2:$D$15,MATCH(G39,Fortnightly_Model!$B$2:$B$15,0)),0),IFERROR(INDEX(Fortnightly_Model!$D$2:$D$15,MATCH(G40,Fortnightly_Model!$B$2:$B$15,0)),0),IFERROR(INDEX(Fortnightly_Model!$D$2:$D$15,MATCH(G41,Fortnightly_Model!$B$2:$B$15,0)),0)),0))))))</f>
        <v>0</v>
      </c>
      <c r="M37" s="27">
        <f>IF(VLOOKUP($A37,Calendar!$A$1:$R$1377,18,0)=0,0,IF(VLOOKUP($A37,Calendar!$A$1:$R$1377,18,0)=1,IFERROR(INDEX(FourWeekly_Model!$D$2:$D$29,MATCH(H37,FourWeekly_Model!$B$2:$B$29,0)),0),IF(VLOOKUP($A37,Calendar!$A$1:$R$1377,18,0)=2,SUM(IFERROR(INDEX(FourWeekly_Model!$D$2:$D$29,MATCH(H37,FourWeekly_Model!$B$2:$B$29,0)),0),IFERROR(INDEX(FourWeekly_Model!$D$2:$D$29,MATCH(H38,FourWeekly_Model!$B$2:$B$29,0)),0)),IF(VLOOKUP($A37,Calendar!$A$1:$R$1377,18,0)=3,SUM(IFERROR(INDEX(FourWeekly_Model!$D$2:$D$29,MATCH(H37,FourWeekly_Model!$B$2:$B$29,0)),0),IFERROR(INDEX(FourWeekly_Model!$D$2:$D$29,MATCH(H38,FourWeekly_Model!$B$2:$B$29,0)),0),IFERROR(INDEX(FourWeekly_Model!$D$2:$D$29,MATCH(H39,FourWeekly_Model!$B$2:$B$29,0)),0)),IF(VLOOKUP($A37,Calendar!$A$1:$R$1377,18,0)=4,SUM(IFERROR(INDEX(FourWeekly_Model!$D$2:$D$29,MATCH(H37,FourWeekly_Model!$B$2:$B$29,0)),0),IFERROR(INDEX(FourWeekly_Model!$D$2:$D$29,MATCH(H38,FourWeekly_Model!$B$2:$B$29,0)),0),IFERROR(INDEX(FourWeekly_Model!$D$2:$D$29,MATCH(H39,FourWeekly_Model!$B$2:$B$29,0)),0),IFERROR(INDEX(FourWeekly_Model!$D$2:$D$29,MATCH(H40,FourWeekly_Model!$B$2:$B$29,0)),0)),IF(VLOOKUP($A37,Calendar!$A$1:$R$1377,18,0)=5,SUM(IFERROR(INDEX(FourWeekly_Model!$D$2:$D$29,MATCH(H37,FourWeekly_Model!$B$2:$B$29,0)),0),IFERROR(INDEX(FourWeekly_Model!$D$2:$D$29,MATCH(H38,FourWeekly_Model!$B$2:$B$29,0)),0),IFERROR(INDEX(FourWeekly_Model!$D$2:$D$29,MATCH(H39,FourWeekly_Model!$B$2:$B$29,0)),0),IFERROR(INDEX(FourWeekly_Model!$D$2:$D$29,MATCH(H40,FourWeekly_Model!$B$2:$B$29,0)),0),IFERROR(INDEX(FourWeekly_Model!$D$2:$D$29,MATCH(H41,FourWeekly_Model!$B$2:$B$29,0)),0)),0))))))</f>
        <v>0</v>
      </c>
      <c r="N37" s="27">
        <f>SUM(I37:M37)</f>
        <v>0</v>
      </c>
      <c r="O37" s="28">
        <f>Population_Data!$B$8*N37</f>
        <v>0</v>
      </c>
      <c r="P37" s="27">
        <f>IF(VLOOKUP($A37,Calendar!$A$1:$R$1377,18,0)=0,0,IF(VLOOKUP($A37,Calendar!$A$1:$R$1377,18,0)=1,IFERROR(INDEX(Pension_Model!$D$2:$D$29,MATCH(H37,Pension_Model!$B$2:$B$29,0)),0),IF(VLOOKUP($A37,Calendar!$A$1:$R$1377,18,0)=2,SUM(IFERROR(INDEX(Pension_Model!$D$2:$D$29,MATCH(H37,Pension_Model!$B$2:$B$29,0)),0),IFERROR(INDEX(Pension_Model!$D$2:$D$29,MATCH(H38,Pension_Model!$B$2:$B$29,0)),0)),IF(VLOOKUP($A37,Calendar!$A$1:$R$1377,18,0)=3,SUM(IFERROR(INDEX(Pension_Model!$D$2:$D$29,MATCH(H37,Pension_Model!$B$2:$B$29,0)),0),IFERROR(INDEX(Pension_Model!$D$2:$D$29,MATCH(H38,Pension_Model!$B$2:$B$29,0)),0),IFERROR(INDEX(Pension_Model!$D$2:$D$29,MATCH(H39,Pension_Model!$B$2:$B$29,0)),0)),IF(VLOOKUP($A37,Calendar!$A$1:$R$1377,18,0)=4,SUM(IFERROR(INDEX(Pension_Model!$D$2:$D$29,MATCH(H37,Pension_Model!$B$2:$B$29,0)),0),IFERROR(INDEX(Pension_Model!$D$2:$D$29,MATCH(H38,Pension_Model!$B$2:$B$29,0)),0),IFERROR(INDEX(Pension_Model!$D$2:$D$29,MATCH(H39,Pension_Model!$B$2:$B$29,0)),0),IFERROR(INDEX(Pension_Model!$D$2:$D$29,MATCH(H40,Pension_Model!$B$2:$B$29,0)),0)),IF(VLOOKUP($A37,Calendar!$A$1:$R$1377,18,0)=5,SUM(IFERROR(INDEX(Pension_Model!$D$2:$D$29,MATCH(H37,Pension_Model!$B$2:$B$29,0)),0),IFERROR(INDEX(Pension_Model!$D$2:$D$29,MATCH(H38,Pension_Model!$B$2:$B$29,0)),0),IFERROR(INDEX(Pension_Model!$D$2:$D$29,MATCH(H39,Pension_Model!$B$2:$B$29,0)),0),IFERROR(INDEX(Pension_Model!$D$2:$D$29,MATCH(H40,Pension_Model!$B$2:$B$29,0)),0),IFERROR(INDEX(Pension_Model!$D$2:$D$29,MATCH(H41,Pension_Model!$B$2:$B$29,0)),0)),0))))))</f>
        <v>0</v>
      </c>
      <c r="Q37" s="28">
        <f>Population_Data!$B$15*P37</f>
        <v>0</v>
      </c>
      <c r="S37">
        <f t="shared" si="0"/>
        <v>0</v>
      </c>
      <c r="U37" s="33">
        <f>S37/Population_Data!$B$19</f>
        <v>0</v>
      </c>
    </row>
    <row r="38" spans="1:21">
      <c r="A38" s="25">
        <f>Calendar!A38</f>
        <v>46271</v>
      </c>
      <c r="B38" t="str">
        <f>Calendar!L38</f>
        <v>No</v>
      </c>
      <c r="C38" t="str">
        <f>Calendar!O38</f>
        <v>No</v>
      </c>
      <c r="D38" t="str">
        <f>Calendar!P38</f>
        <v>No</v>
      </c>
      <c r="E38" t="str">
        <f>Calendar!Q38</f>
        <v>No</v>
      </c>
      <c r="F38" t="str">
        <f>Calendar!I38</f>
        <v>Sunday</v>
      </c>
      <c r="G38">
        <f>Calendar!S38</f>
        <v>1</v>
      </c>
      <c r="H38">
        <f>Calendar!T38</f>
        <v>15</v>
      </c>
      <c r="I38" s="27">
        <f>IF(VLOOKUP(A38,Calendar!$A$1:$R$1377,18,0)=0,0,IF(VLOOKUP(A38,Calendar!$A$1:$R$1377,18,0)=1,INDEX(Monthly_Pay_Model!$A$9:$D$40,MATCH(TEXT(A38,"dd"),Monthly_Pay_Model!$C$9:$C$39,0),4),IF(VLOOKUP(A38,Calendar!$A$1:$R$1377,18,0)=2,SUM(INDEX(Monthly_Pay_Model!$A$9:$D$40,MATCH(TEXT(A38,"dd"),Monthly_Pay_Model!$C$9:$C$39,0),4),INDEX(Monthly_Pay_Model!$A$9:$D$40,MATCH(TEXT(A39,"dd"),Monthly_Pay_Model!$C$9:$C$39,0),4)),IF(VLOOKUP(A38,Calendar!$A$1:$R$1377,18,0)=3,SUM(INDEX(Monthly_Pay_Model!$A$9:$D$40,MATCH(TEXT(A38,"dd"),Monthly_Pay_Model!$C$9:$C$39,0),4),INDEX(Monthly_Pay_Model!$A$9:$D$40,MATCH(TEXT(A39,"dd"),Monthly_Pay_Model!$C$9:$C$39,0),4),INDEX(Monthly_Pay_Model!$A$9:$D$40,MATCH(TEXT(A40,"dd"),Monthly_Pay_Model!$C$9:$C$39,0),4)),IF(VLOOKUP(A38,Calendar!$A$1:$R$1377,18,0)=4,SUM(INDEX(Monthly_Pay_Model!$A$9:$D$40,MATCH(TEXT(A38,"dd"),Monthly_Pay_Model!$C$9:$C$39,0),4),INDEX(Monthly_Pay_Model!$A$9:$D$40,MATCH(TEXT(A39,"dd"),Monthly_Pay_Model!$C$9:$C$39,0),4),INDEX(Monthly_Pay_Model!$A$9:$D$40,MATCH(TEXT(A40,"dd"),Monthly_Pay_Model!$C$9:$C$39,0),4),INDEX(Monthly_Pay_Model!$A$9:$D$40,MATCH(TEXT(A41,"dd"),Monthly_Pay_Model!$C$9:$C$39,0),4)),IF(VLOOKUP(A38,Calendar!$A$1:$R$1377,18,0)=5,SUM(INDEX(Monthly_Pay_Model!$A$9:$D$40,MATCH(TEXT(A38,"dd"),Monthly_Pay_Model!$C$9:$C$39,0),4),INDEX(Monthly_Pay_Model!$A$9:$D$40,MATCH(TEXT(A39,"dd"),Monthly_Pay_Model!$C$9:$C$39,0),4),INDEX(Monthly_Pay_Model!$A$9:$D$40,MATCH(TEXT(A40,"dd"),Monthly_Pay_Model!$C$9:$C$39,0),4),INDEX(Monthly_Pay_Model!$A$9:$D$40,MATCH(TEXT(A41,"dd"),Monthly_Pay_Model!$C$9:$C$39,0),4),INDEX(Monthly_Pay_Model!$A$9:$D$40,MATCH(TEXT(A42,"dd"),Monthly_Pay_Model!$C$9:$C$39,0),4)),))))))</f>
        <v>0</v>
      </c>
      <c r="J38" s="33">
        <f>IF(C38="Yes",Monthly_Pay_Model!$D$2,0)
+IF(Calendar!N38="Yes",Monthly_Pay_Model!$D$3,0)
+IF(D38="Yes",Monthly_Pay_Model!$D$4,0)
+IF(E38="Yes",Monthly_Pay_Model!$D$5,0)</f>
        <v>0</v>
      </c>
      <c r="K38" s="27">
        <f>IF(VLOOKUP($A38,Calendar!$A$1:$R$1377,18,0)=0,0,IF(VLOOKUP($A38,Calendar!$A$1:$R$1377,18,0)=1,IFERROR(INDEX(Weekly_Model!$D$2:$D$9,MATCH(F38,Weekly_Model!$A$2:$A$9,0)),0),IF(VLOOKUP($A38,Calendar!$A$1:$R$1377,18,0)=2,SUM(IFERROR(INDEX(Weekly_Model!$D$2:$D$9,MATCH(F38,Weekly_Model!$A$2:$A$9,0)),0),IFERROR(INDEX(Weekly_Model!$D$2:$D$9,MATCH(F39,Weekly_Model!$A$2:$A$9,0)),0)),IF(VLOOKUP($A38,Calendar!$A$1:$R$1377,18,0)=3,SUM(IFERROR(INDEX(Weekly_Model!$D$2:$D$9,MATCH(F38,Weekly_Model!$A$2:$A$9,0)),0),IFERROR(INDEX(Weekly_Model!$D$2:$D$9,MATCH(F39,Weekly_Model!$A$2:$A$9,0)),0),IFERROR(INDEX(Weekly_Model!$D$2:$D$9,MATCH(F40,Weekly_Model!$A$2:$A$9,0)),0)),IF(VLOOKUP($A38,Calendar!$A$1:$R$1377,18,0)=4,SUM(IFERROR(INDEX(Weekly_Model!$D$2:$D$9,MATCH(F38,Weekly_Model!$A$2:$A$9,0)),0),IFERROR(INDEX(Weekly_Model!$D$2:$D$9,MATCH(F39,Weekly_Model!$A$2:$A$9,0)),0),IFERROR(INDEX(Weekly_Model!$D$2:$D$9,MATCH(F40,Weekly_Model!$A$2:$A$9,0)),0),IFERROR(INDEX(Weekly_Model!$D$2:$D$9,MATCH(F41,Weekly_Model!$A$2:$A$9,0)),0)),IF(VLOOKUP($A38,Calendar!$A$1:$R$1377,18,0)=5,SUM(IFERROR(INDEX(Weekly_Model!$D$2:$D$9,MATCH(F38,Weekly_Model!$A$2:$A$9,0)),0),IFERROR(INDEX(Weekly_Model!$D$2:$D$9,MATCH(F39,Weekly_Model!$A$2:$A$9,0)),0),IFERROR(INDEX(Weekly_Model!$D$2:$D$9,MATCH(F40,Weekly_Model!$A$2:$A$9,0)),0),IFERROR(INDEX(Weekly_Model!$D$2:$D$9,MATCH(F41,Weekly_Model!$A$2:$A$9,0)),0),IFERROR(INDEX(Weekly_Model!$D$2:$D$9,MATCH(F42,Weekly_Model!$A$2:$A$9,0)),0)),0))))))</f>
        <v>0</v>
      </c>
      <c r="L38" s="27">
        <f>IF(VLOOKUP($A38,Calendar!$A$1:$R$1377,18,0)=0,0,IF(VLOOKUP($A38,Calendar!$A$1:$R$1377,18,0)=1,IFERROR(INDEX(Fortnightly_Model!$D$2:$D$15,MATCH(G38,Fortnightly_Model!$B$2:$B$15,0)),0),IF(VLOOKUP($A38,Calendar!$A$1:$R$1377,18,0)=2,SUM(IFERROR(INDEX(Fortnightly_Model!$D$2:$D$15,MATCH(G38,Fortnightly_Model!$B$2:$B$15,0)),0),IFERROR(INDEX(Fortnightly_Model!$D$2:$D$15,MATCH(G39,Fortnightly_Model!$B$2:$B$15,0)),0)),IF(VLOOKUP($A38,Calendar!$A$1:$R$1377,18,0)=3,SUM(IFERROR(INDEX(Fortnightly_Model!$D$2:$D$15,MATCH(G38,Fortnightly_Model!$B$2:$B$15,0)),0),IFERROR(INDEX(Fortnightly_Model!$D$2:$D$15,MATCH(G39,Fortnightly_Model!$B$2:$B$15,0)),0),IFERROR(INDEX(Fortnightly_Model!$D$2:$D$15,MATCH(G40,Fortnightly_Model!$B$2:$B$15,0)),0)),IF(VLOOKUP($A38,Calendar!$A$1:$R$1377,18,0)=4,SUM(IFERROR(INDEX(Fortnightly_Model!$D$2:$D$15,MATCH(G38,Fortnightly_Model!$B$2:$B$15,0)),0),IFERROR(INDEX(Fortnightly_Model!$D$2:$D$15,MATCH(G39,Fortnightly_Model!$B$2:$B$15,0)),0),IFERROR(INDEX(Fortnightly_Model!$D$2:$D$15,MATCH(G40,Fortnightly_Model!$B$2:$B$15,0)),0),IFERROR(INDEX(Fortnightly_Model!$D$2:$D$15,MATCH(G41,Fortnightly_Model!$B$2:$B$15,0)),0)),IF(VLOOKUP($A38,Calendar!$A$1:$R$1377,18,0)=5,SUM(IFERROR(INDEX(Fortnightly_Model!$D$2:$D$15,MATCH(G38,Fortnightly_Model!$B$2:$B$15,0)),0),IFERROR(INDEX(Fortnightly_Model!$D$2:$D$15,MATCH(G39,Fortnightly_Model!$B$2:$B$15,0)),0),IFERROR(INDEX(Fortnightly_Model!$D$2:$D$15,MATCH(G40,Fortnightly_Model!$B$2:$B$15,0)),0),IFERROR(INDEX(Fortnightly_Model!$D$2:$D$15,MATCH(G41,Fortnightly_Model!$B$2:$B$15,0)),0),IFERROR(INDEX(Fortnightly_Model!$D$2:$D$15,MATCH(G42,Fortnightly_Model!$B$2:$B$15,0)),0)),0))))))</f>
        <v>0</v>
      </c>
      <c r="M38" s="27">
        <f>IF(VLOOKUP($A38,Calendar!$A$1:$R$1377,18,0)=0,0,IF(VLOOKUP($A38,Calendar!$A$1:$R$1377,18,0)=1,IFERROR(INDEX(FourWeekly_Model!$D$2:$D$29,MATCH(H38,FourWeekly_Model!$B$2:$B$29,0)),0),IF(VLOOKUP($A38,Calendar!$A$1:$R$1377,18,0)=2,SUM(IFERROR(INDEX(FourWeekly_Model!$D$2:$D$29,MATCH(H38,FourWeekly_Model!$B$2:$B$29,0)),0),IFERROR(INDEX(FourWeekly_Model!$D$2:$D$29,MATCH(H39,FourWeekly_Model!$B$2:$B$29,0)),0)),IF(VLOOKUP($A38,Calendar!$A$1:$R$1377,18,0)=3,SUM(IFERROR(INDEX(FourWeekly_Model!$D$2:$D$29,MATCH(H38,FourWeekly_Model!$B$2:$B$29,0)),0),IFERROR(INDEX(FourWeekly_Model!$D$2:$D$29,MATCH(H39,FourWeekly_Model!$B$2:$B$29,0)),0),IFERROR(INDEX(FourWeekly_Model!$D$2:$D$29,MATCH(H40,FourWeekly_Model!$B$2:$B$29,0)),0)),IF(VLOOKUP($A38,Calendar!$A$1:$R$1377,18,0)=4,SUM(IFERROR(INDEX(FourWeekly_Model!$D$2:$D$29,MATCH(H38,FourWeekly_Model!$B$2:$B$29,0)),0),IFERROR(INDEX(FourWeekly_Model!$D$2:$D$29,MATCH(H39,FourWeekly_Model!$B$2:$B$29,0)),0),IFERROR(INDEX(FourWeekly_Model!$D$2:$D$29,MATCH(H40,FourWeekly_Model!$B$2:$B$29,0)),0),IFERROR(INDEX(FourWeekly_Model!$D$2:$D$29,MATCH(H41,FourWeekly_Model!$B$2:$B$29,0)),0)),IF(VLOOKUP($A38,Calendar!$A$1:$R$1377,18,0)=5,SUM(IFERROR(INDEX(FourWeekly_Model!$D$2:$D$29,MATCH(H38,FourWeekly_Model!$B$2:$B$29,0)),0),IFERROR(INDEX(FourWeekly_Model!$D$2:$D$29,MATCH(H39,FourWeekly_Model!$B$2:$B$29,0)),0),IFERROR(INDEX(FourWeekly_Model!$D$2:$D$29,MATCH(H40,FourWeekly_Model!$B$2:$B$29,0)),0),IFERROR(INDEX(FourWeekly_Model!$D$2:$D$29,MATCH(H41,FourWeekly_Model!$B$2:$B$29,0)),0),IFERROR(INDEX(FourWeekly_Model!$D$2:$D$29,MATCH(H42,FourWeekly_Model!$B$2:$B$29,0)),0)),0))))))</f>
        <v>0</v>
      </c>
      <c r="N38" s="27">
        <f>SUM(I38:M38)</f>
        <v>0</v>
      </c>
      <c r="O38" s="28">
        <f>Population_Data!$B$8*N38</f>
        <v>0</v>
      </c>
      <c r="P38" s="27">
        <f>IF(VLOOKUP($A38,Calendar!$A$1:$R$1377,18,0)=0,0,IF(VLOOKUP($A38,Calendar!$A$1:$R$1377,18,0)=1,IFERROR(INDEX(Pension_Model!$D$2:$D$29,MATCH(H38,Pension_Model!$B$2:$B$29,0)),0),IF(VLOOKUP($A38,Calendar!$A$1:$R$1377,18,0)=2,SUM(IFERROR(INDEX(Pension_Model!$D$2:$D$29,MATCH(H38,Pension_Model!$B$2:$B$29,0)),0),IFERROR(INDEX(Pension_Model!$D$2:$D$29,MATCH(H39,Pension_Model!$B$2:$B$29,0)),0)),IF(VLOOKUP($A38,Calendar!$A$1:$R$1377,18,0)=3,SUM(IFERROR(INDEX(Pension_Model!$D$2:$D$29,MATCH(H38,Pension_Model!$B$2:$B$29,0)),0),IFERROR(INDEX(Pension_Model!$D$2:$D$29,MATCH(H39,Pension_Model!$B$2:$B$29,0)),0),IFERROR(INDEX(Pension_Model!$D$2:$D$29,MATCH(H40,Pension_Model!$B$2:$B$29,0)),0)),IF(VLOOKUP($A38,Calendar!$A$1:$R$1377,18,0)=4,SUM(IFERROR(INDEX(Pension_Model!$D$2:$D$29,MATCH(H38,Pension_Model!$B$2:$B$29,0)),0),IFERROR(INDEX(Pension_Model!$D$2:$D$29,MATCH(H39,Pension_Model!$B$2:$B$29,0)),0),IFERROR(INDEX(Pension_Model!$D$2:$D$29,MATCH(H40,Pension_Model!$B$2:$B$29,0)),0),IFERROR(INDEX(Pension_Model!$D$2:$D$29,MATCH(H41,Pension_Model!$B$2:$B$29,0)),0)),IF(VLOOKUP($A38,Calendar!$A$1:$R$1377,18,0)=5,SUM(IFERROR(INDEX(Pension_Model!$D$2:$D$29,MATCH(H38,Pension_Model!$B$2:$B$29,0)),0),IFERROR(INDEX(Pension_Model!$D$2:$D$29,MATCH(H39,Pension_Model!$B$2:$B$29,0)),0),IFERROR(INDEX(Pension_Model!$D$2:$D$29,MATCH(H40,Pension_Model!$B$2:$B$29,0)),0),IFERROR(INDEX(Pension_Model!$D$2:$D$29,MATCH(H41,Pension_Model!$B$2:$B$29,0)),0),IFERROR(INDEX(Pension_Model!$D$2:$D$29,MATCH(H42,Pension_Model!$B$2:$B$29,0)),0)),0))))))</f>
        <v>0</v>
      </c>
      <c r="Q38" s="28">
        <f>Population_Data!$B$15*P38</f>
        <v>0</v>
      </c>
      <c r="S38">
        <f t="shared" si="0"/>
        <v>0</v>
      </c>
      <c r="U38" s="33">
        <f>S38/Population_Data!$B$19</f>
        <v>0</v>
      </c>
    </row>
    <row r="39" spans="1:21">
      <c r="A39" s="25">
        <f>Calendar!A39</f>
        <v>46272</v>
      </c>
      <c r="B39" t="str">
        <f>Calendar!L39</f>
        <v>Yes</v>
      </c>
      <c r="C39" t="str">
        <f>Calendar!O39</f>
        <v>No</v>
      </c>
      <c r="D39" t="str">
        <f>Calendar!P39</f>
        <v>No</v>
      </c>
      <c r="E39" t="str">
        <f>Calendar!Q39</f>
        <v>No</v>
      </c>
      <c r="F39" t="str">
        <f>Calendar!I39</f>
        <v>Monday</v>
      </c>
      <c r="G39">
        <f>Calendar!S39</f>
        <v>2</v>
      </c>
      <c r="H39">
        <f>Calendar!T39</f>
        <v>16</v>
      </c>
      <c r="I39" s="27">
        <f>IF(VLOOKUP(A39,Calendar!$A$1:$R$1377,18,0)=0,0,IF(VLOOKUP(A39,Calendar!$A$1:$R$1377,18,0)=1,INDEX(Monthly_Pay_Model!$A$9:$D$40,MATCH(TEXT(A39,"dd"),Monthly_Pay_Model!$C$9:$C$39,0),4),IF(VLOOKUP(A39,Calendar!$A$1:$R$1377,18,0)=2,SUM(INDEX(Monthly_Pay_Model!$A$9:$D$40,MATCH(TEXT(A39,"dd"),Monthly_Pay_Model!$C$9:$C$39,0),4),INDEX(Monthly_Pay_Model!$A$9:$D$40,MATCH(TEXT(A40,"dd"),Monthly_Pay_Model!$C$9:$C$39,0),4)),IF(VLOOKUP(A39,Calendar!$A$1:$R$1377,18,0)=3,SUM(INDEX(Monthly_Pay_Model!$A$9:$D$40,MATCH(TEXT(A39,"dd"),Monthly_Pay_Model!$C$9:$C$39,0),4),INDEX(Monthly_Pay_Model!$A$9:$D$40,MATCH(TEXT(A40,"dd"),Monthly_Pay_Model!$C$9:$C$39,0),4),INDEX(Monthly_Pay_Model!$A$9:$D$40,MATCH(TEXT(A41,"dd"),Monthly_Pay_Model!$C$9:$C$39,0),4)),IF(VLOOKUP(A39,Calendar!$A$1:$R$1377,18,0)=4,SUM(INDEX(Monthly_Pay_Model!$A$9:$D$40,MATCH(TEXT(A39,"dd"),Monthly_Pay_Model!$C$9:$C$39,0),4),INDEX(Monthly_Pay_Model!$A$9:$D$40,MATCH(TEXT(A40,"dd"),Monthly_Pay_Model!$C$9:$C$39,0),4),INDEX(Monthly_Pay_Model!$A$9:$D$40,MATCH(TEXT(A41,"dd"),Monthly_Pay_Model!$C$9:$C$39,0),4),INDEX(Monthly_Pay_Model!$A$9:$D$40,MATCH(TEXT(A42,"dd"),Monthly_Pay_Model!$C$9:$C$39,0),4)),IF(VLOOKUP(A39,Calendar!$A$1:$R$1377,18,0)=5,SUM(INDEX(Monthly_Pay_Model!$A$9:$D$40,MATCH(TEXT(A39,"dd"),Monthly_Pay_Model!$C$9:$C$39,0),4),INDEX(Monthly_Pay_Model!$A$9:$D$40,MATCH(TEXT(A40,"dd"),Monthly_Pay_Model!$C$9:$C$39,0),4),INDEX(Monthly_Pay_Model!$A$9:$D$40,MATCH(TEXT(A41,"dd"),Monthly_Pay_Model!$C$9:$C$39,0),4),INDEX(Monthly_Pay_Model!$A$9:$D$40,MATCH(TEXT(A42,"dd"),Monthly_Pay_Model!$C$9:$C$39,0),4),INDEX(Monthly_Pay_Model!$A$9:$D$40,MATCH(TEXT(A43,"dd"),Monthly_Pay_Model!$C$9:$C$39,0),4)),))))))</f>
        <v>2.4376963350785331E-3</v>
      </c>
      <c r="J39" s="33">
        <f>IF(C39="Yes",Monthly_Pay_Model!$D$2,0)
+IF(Calendar!N39="Yes",Monthly_Pay_Model!$D$3,0)
+IF(D39="Yes",Monthly_Pay_Model!$D$4,0)
+IF(E39="Yes",Monthly_Pay_Model!$D$5,0)</f>
        <v>0</v>
      </c>
      <c r="K39" s="27">
        <f>IF(VLOOKUP($A39,Calendar!$A$1:$R$1377,18,0)=0,0,IF(VLOOKUP($A39,Calendar!$A$1:$R$1377,18,0)=1,IFERROR(INDEX(Weekly_Model!$D$2:$D$9,MATCH(F39,Weekly_Model!$A$2:$A$9,0)),0),IF(VLOOKUP($A39,Calendar!$A$1:$R$1377,18,0)=2,SUM(IFERROR(INDEX(Weekly_Model!$D$2:$D$9,MATCH(F39,Weekly_Model!$A$2:$A$9,0)),0),IFERROR(INDEX(Weekly_Model!$D$2:$D$9,MATCH(F40,Weekly_Model!$A$2:$A$9,0)),0)),IF(VLOOKUP($A39,Calendar!$A$1:$R$1377,18,0)=3,SUM(IFERROR(INDEX(Weekly_Model!$D$2:$D$9,MATCH(F39,Weekly_Model!$A$2:$A$9,0)),0),IFERROR(INDEX(Weekly_Model!$D$2:$D$9,MATCH(F40,Weekly_Model!$A$2:$A$9,0)),0),IFERROR(INDEX(Weekly_Model!$D$2:$D$9,MATCH(F41,Weekly_Model!$A$2:$A$9,0)),0)),IF(VLOOKUP($A39,Calendar!$A$1:$R$1377,18,0)=4,SUM(IFERROR(INDEX(Weekly_Model!$D$2:$D$9,MATCH(F39,Weekly_Model!$A$2:$A$9,0)),0),IFERROR(INDEX(Weekly_Model!$D$2:$D$9,MATCH(F40,Weekly_Model!$A$2:$A$9,0)),0),IFERROR(INDEX(Weekly_Model!$D$2:$D$9,MATCH(F41,Weekly_Model!$A$2:$A$9,0)),0),IFERROR(INDEX(Weekly_Model!$D$2:$D$9,MATCH(F42,Weekly_Model!$A$2:$A$9,0)),0)),IF(VLOOKUP($A39,Calendar!$A$1:$R$1377,18,0)=5,SUM(IFERROR(INDEX(Weekly_Model!$D$2:$D$9,MATCH(F39,Weekly_Model!$A$2:$A$9,0)),0),IFERROR(INDEX(Weekly_Model!$D$2:$D$9,MATCH(F40,Weekly_Model!$A$2:$A$9,0)),0),IFERROR(INDEX(Weekly_Model!$D$2:$D$9,MATCH(F41,Weekly_Model!$A$2:$A$9,0)),0),IFERROR(INDEX(Weekly_Model!$D$2:$D$9,MATCH(F42,Weekly_Model!$A$2:$A$9,0)),0),IFERROR(INDEX(Weekly_Model!$D$2:$D$9,MATCH(F43,Weekly_Model!$A$2:$A$9,0)),0)),0))))))</f>
        <v>2.3200000000000002E-2</v>
      </c>
      <c r="L39" s="27">
        <f>IF(VLOOKUP($A39,Calendar!$A$1:$R$1377,18,0)=0,0,IF(VLOOKUP($A39,Calendar!$A$1:$R$1377,18,0)=1,IFERROR(INDEX(Fortnightly_Model!$D$2:$D$15,MATCH(G39,Fortnightly_Model!$B$2:$B$15,0)),0),IF(VLOOKUP($A39,Calendar!$A$1:$R$1377,18,0)=2,SUM(IFERROR(INDEX(Fortnightly_Model!$D$2:$D$15,MATCH(G39,Fortnightly_Model!$B$2:$B$15,0)),0),IFERROR(INDEX(Fortnightly_Model!$D$2:$D$15,MATCH(G40,Fortnightly_Model!$B$2:$B$15,0)),0)),IF(VLOOKUP($A39,Calendar!$A$1:$R$1377,18,0)=3,SUM(IFERROR(INDEX(Fortnightly_Model!$D$2:$D$15,MATCH(G39,Fortnightly_Model!$B$2:$B$15,0)),0),IFERROR(INDEX(Fortnightly_Model!$D$2:$D$15,MATCH(G40,Fortnightly_Model!$B$2:$B$15,0)),0),IFERROR(INDEX(Fortnightly_Model!$D$2:$D$15,MATCH(G41,Fortnightly_Model!$B$2:$B$15,0)),0)),IF(VLOOKUP($A39,Calendar!$A$1:$R$1377,18,0)=4,SUM(IFERROR(INDEX(Fortnightly_Model!$D$2:$D$15,MATCH(G39,Fortnightly_Model!$B$2:$B$15,0)),0),IFERROR(INDEX(Fortnightly_Model!$D$2:$D$15,MATCH(G40,Fortnightly_Model!$B$2:$B$15,0)),0),IFERROR(INDEX(Fortnightly_Model!$D$2:$D$15,MATCH(G41,Fortnightly_Model!$B$2:$B$15,0)),0),IFERROR(INDEX(Fortnightly_Model!$D$2:$D$15,MATCH(G42,Fortnightly_Model!$B$2:$B$15,0)),0)),IF(VLOOKUP($A39,Calendar!$A$1:$R$1377,18,0)=5,SUM(IFERROR(INDEX(Fortnightly_Model!$D$2:$D$15,MATCH(G39,Fortnightly_Model!$B$2:$B$15,0)),0),IFERROR(INDEX(Fortnightly_Model!$D$2:$D$15,MATCH(G40,Fortnightly_Model!$B$2:$B$15,0)),0),IFERROR(INDEX(Fortnightly_Model!$D$2:$D$15,MATCH(G41,Fortnightly_Model!$B$2:$B$15,0)),0),IFERROR(INDEX(Fortnightly_Model!$D$2:$D$15,MATCH(G42,Fortnightly_Model!$B$2:$B$15,0)),0),IFERROR(INDEX(Fortnightly_Model!$D$2:$D$15,MATCH(G43,Fortnightly_Model!$B$2:$B$15,0)),0)),0))))))</f>
        <v>1.0714285499999999E-3</v>
      </c>
      <c r="M39" s="27">
        <f>IF(VLOOKUP($A39,Calendar!$A$1:$R$1377,18,0)=0,0,IF(VLOOKUP($A39,Calendar!$A$1:$R$1377,18,0)=1,IFERROR(INDEX(FourWeekly_Model!$D$2:$D$29,MATCH(H39,FourWeekly_Model!$B$2:$B$29,0)),0),IF(VLOOKUP($A39,Calendar!$A$1:$R$1377,18,0)=2,SUM(IFERROR(INDEX(FourWeekly_Model!$D$2:$D$29,MATCH(H39,FourWeekly_Model!$B$2:$B$29,0)),0),IFERROR(INDEX(FourWeekly_Model!$D$2:$D$29,MATCH(H40,FourWeekly_Model!$B$2:$B$29,0)),0)),IF(VLOOKUP($A39,Calendar!$A$1:$R$1377,18,0)=3,SUM(IFERROR(INDEX(FourWeekly_Model!$D$2:$D$29,MATCH(H39,FourWeekly_Model!$B$2:$B$29,0)),0),IFERROR(INDEX(FourWeekly_Model!$D$2:$D$29,MATCH(H40,FourWeekly_Model!$B$2:$B$29,0)),0),IFERROR(INDEX(FourWeekly_Model!$D$2:$D$29,MATCH(H41,FourWeekly_Model!$B$2:$B$29,0)),0)),IF(VLOOKUP($A39,Calendar!$A$1:$R$1377,18,0)=4,SUM(IFERROR(INDEX(FourWeekly_Model!$D$2:$D$29,MATCH(H39,FourWeekly_Model!$B$2:$B$29,0)),0),IFERROR(INDEX(FourWeekly_Model!$D$2:$D$29,MATCH(H40,FourWeekly_Model!$B$2:$B$29,0)),0),IFERROR(INDEX(FourWeekly_Model!$D$2:$D$29,MATCH(H41,FourWeekly_Model!$B$2:$B$29,0)),0),IFERROR(INDEX(FourWeekly_Model!$D$2:$D$29,MATCH(H42,FourWeekly_Model!$B$2:$B$29,0)),0)),IF(VLOOKUP($A39,Calendar!$A$1:$R$1377,18,0)=5,SUM(IFERROR(INDEX(FourWeekly_Model!$D$2:$D$29,MATCH(H39,FourWeekly_Model!$B$2:$B$29,0)),0),IFERROR(INDEX(FourWeekly_Model!$D$2:$D$29,MATCH(H40,FourWeekly_Model!$B$2:$B$29,0)),0),IFERROR(INDEX(FourWeekly_Model!$D$2:$D$29,MATCH(H41,FourWeekly_Model!$B$2:$B$29,0)),0),IFERROR(INDEX(FourWeekly_Model!$D$2:$D$29,MATCH(H42,FourWeekly_Model!$B$2:$B$29,0)),0),IFERROR(INDEX(FourWeekly_Model!$D$2:$D$29,MATCH(H43,FourWeekly_Model!$B$2:$B$29,0)),0)),0))))))</f>
        <v>3.3214289700000004E-3</v>
      </c>
      <c r="N39" s="27">
        <f>SUM(I39:M39)</f>
        <v>3.0030553855078537E-2</v>
      </c>
      <c r="O39" s="28">
        <f>Population_Data!$B$8*N39</f>
        <v>909925.78180887969</v>
      </c>
      <c r="P39" s="27">
        <f>IF(VLOOKUP($A39,Calendar!$A$1:$R$1377,18,0)=0,0,IF(VLOOKUP($A39,Calendar!$A$1:$R$1377,18,0)=1,IFERROR(INDEX(Pension_Model!$D$2:$D$29,MATCH(H39,Pension_Model!$B$2:$B$29,0)),0),IF(VLOOKUP($A39,Calendar!$A$1:$R$1377,18,0)=2,SUM(IFERROR(INDEX(Pension_Model!$D$2:$D$29,MATCH(H39,Pension_Model!$B$2:$B$29,0)),0),IFERROR(INDEX(Pension_Model!$D$2:$D$29,MATCH(H40,Pension_Model!$B$2:$B$29,0)),0)),IF(VLOOKUP($A39,Calendar!$A$1:$R$1377,18,0)=3,SUM(IFERROR(INDEX(Pension_Model!$D$2:$D$29,MATCH(H39,Pension_Model!$B$2:$B$29,0)),0),IFERROR(INDEX(Pension_Model!$D$2:$D$29,MATCH(H40,Pension_Model!$B$2:$B$29,0)),0),IFERROR(INDEX(Pension_Model!$D$2:$D$29,MATCH(H41,Pension_Model!$B$2:$B$29,0)),0)),IF(VLOOKUP($A39,Calendar!$A$1:$R$1377,18,0)=4,SUM(IFERROR(INDEX(Pension_Model!$D$2:$D$29,MATCH(H39,Pension_Model!$B$2:$B$29,0)),0),IFERROR(INDEX(Pension_Model!$D$2:$D$29,MATCH(H40,Pension_Model!$B$2:$B$29,0)),0),IFERROR(INDEX(Pension_Model!$D$2:$D$29,MATCH(H41,Pension_Model!$B$2:$B$29,0)),0),IFERROR(INDEX(Pension_Model!$D$2:$D$29,MATCH(H42,Pension_Model!$B$2:$B$29,0)),0)),IF(VLOOKUP($A39,Calendar!$A$1:$R$1377,18,0)=5,SUM(IFERROR(INDEX(Pension_Model!$D$2:$D$29,MATCH(H39,Pension_Model!$B$2:$B$29,0)),0),IFERROR(INDEX(Pension_Model!$D$2:$D$29,MATCH(H40,Pension_Model!$B$2:$B$29,0)),0),IFERROR(INDEX(Pension_Model!$D$2:$D$29,MATCH(H41,Pension_Model!$B$2:$B$29,0)),0),IFERROR(INDEX(Pension_Model!$D$2:$D$29,MATCH(H42,Pension_Model!$B$2:$B$29,0)),0),IFERROR(INDEX(Pension_Model!$D$2:$D$29,MATCH(H43,Pension_Model!$B$2:$B$29,0)),0)),0))))))</f>
        <v>0.05</v>
      </c>
      <c r="Q39" s="28">
        <f>Population_Data!$B$15*P39</f>
        <v>660600</v>
      </c>
      <c r="S39">
        <f t="shared" si="0"/>
        <v>1570525.7818088797</v>
      </c>
      <c r="U39" s="33">
        <f>S39/Population_Data!$B$19</f>
        <v>2.8451554018276808E-2</v>
      </c>
    </row>
    <row r="40" spans="1:21">
      <c r="A40" s="25">
        <f>Calendar!A40</f>
        <v>46273</v>
      </c>
      <c r="B40" t="str">
        <f>Calendar!L40</f>
        <v>Yes</v>
      </c>
      <c r="C40" t="str">
        <f>Calendar!O40</f>
        <v>No</v>
      </c>
      <c r="D40" t="str">
        <f>Calendar!P40</f>
        <v>No</v>
      </c>
      <c r="E40" t="str">
        <f>Calendar!Q40</f>
        <v>No</v>
      </c>
      <c r="F40" t="str">
        <f>Calendar!I40</f>
        <v>Tuesday</v>
      </c>
      <c r="G40">
        <f>Calendar!S40</f>
        <v>3</v>
      </c>
      <c r="H40">
        <f>Calendar!T40</f>
        <v>17</v>
      </c>
      <c r="I40" s="27">
        <f>IF(VLOOKUP(A40,Calendar!$A$1:$R$1377,18,0)=0,0,IF(VLOOKUP(A40,Calendar!$A$1:$R$1377,18,0)=1,INDEX(Monthly_Pay_Model!$A$9:$D$40,MATCH(TEXT(A40,"dd"),Monthly_Pay_Model!$C$9:$C$39,0),4),IF(VLOOKUP(A40,Calendar!$A$1:$R$1377,18,0)=2,SUM(INDEX(Monthly_Pay_Model!$A$9:$D$40,MATCH(TEXT(A40,"dd"),Monthly_Pay_Model!$C$9:$C$39,0),4),INDEX(Monthly_Pay_Model!$A$9:$D$40,MATCH(TEXT(A41,"dd"),Monthly_Pay_Model!$C$9:$C$39,0),4)),IF(VLOOKUP(A40,Calendar!$A$1:$R$1377,18,0)=3,SUM(INDEX(Monthly_Pay_Model!$A$9:$D$40,MATCH(TEXT(A40,"dd"),Monthly_Pay_Model!$C$9:$C$39,0),4),INDEX(Monthly_Pay_Model!$A$9:$D$40,MATCH(TEXT(A41,"dd"),Monthly_Pay_Model!$C$9:$C$39,0),4),INDEX(Monthly_Pay_Model!$A$9:$D$40,MATCH(TEXT(A42,"dd"),Monthly_Pay_Model!$C$9:$C$39,0),4)),IF(VLOOKUP(A40,Calendar!$A$1:$R$1377,18,0)=4,SUM(INDEX(Monthly_Pay_Model!$A$9:$D$40,MATCH(TEXT(A40,"dd"),Monthly_Pay_Model!$C$9:$C$39,0),4),INDEX(Monthly_Pay_Model!$A$9:$D$40,MATCH(TEXT(A41,"dd"),Monthly_Pay_Model!$C$9:$C$39,0),4),INDEX(Monthly_Pay_Model!$A$9:$D$40,MATCH(TEXT(A42,"dd"),Monthly_Pay_Model!$C$9:$C$39,0),4),INDEX(Monthly_Pay_Model!$A$9:$D$40,MATCH(TEXT(A43,"dd"),Monthly_Pay_Model!$C$9:$C$39,0),4)),IF(VLOOKUP(A40,Calendar!$A$1:$R$1377,18,0)=5,SUM(INDEX(Monthly_Pay_Model!$A$9:$D$40,MATCH(TEXT(A40,"dd"),Monthly_Pay_Model!$C$9:$C$39,0),4),INDEX(Monthly_Pay_Model!$A$9:$D$40,MATCH(TEXT(A41,"dd"),Monthly_Pay_Model!$C$9:$C$39,0),4),INDEX(Monthly_Pay_Model!$A$9:$D$40,MATCH(TEXT(A42,"dd"),Monthly_Pay_Model!$C$9:$C$39,0),4),INDEX(Monthly_Pay_Model!$A$9:$D$40,MATCH(TEXT(A43,"dd"),Monthly_Pay_Model!$C$9:$C$39,0),4),INDEX(Monthly_Pay_Model!$A$9:$D$40,MATCH(TEXT(A44,"dd"),Monthly_Pay_Model!$C$9:$C$39,0),4)),))))))</f>
        <v>1.6251308900523558E-3</v>
      </c>
      <c r="J40" s="33">
        <f>IF(C40="Yes",Monthly_Pay_Model!$D$2,0)
+IF(Calendar!N40="Yes",Monthly_Pay_Model!$D$3,0)
+IF(D40="Yes",Monthly_Pay_Model!$D$4,0)
+IF(E40="Yes",Monthly_Pay_Model!$D$5,0)</f>
        <v>0</v>
      </c>
      <c r="K40" s="27">
        <f>IF(VLOOKUP($A40,Calendar!$A$1:$R$1377,18,0)=0,0,IF(VLOOKUP($A40,Calendar!$A$1:$R$1377,18,0)=1,IFERROR(INDEX(Weekly_Model!$D$2:$D$9,MATCH(F40,Weekly_Model!$A$2:$A$9,0)),0),IF(VLOOKUP($A40,Calendar!$A$1:$R$1377,18,0)=2,SUM(IFERROR(INDEX(Weekly_Model!$D$2:$D$9,MATCH(F40,Weekly_Model!$A$2:$A$9,0)),0),IFERROR(INDEX(Weekly_Model!$D$2:$D$9,MATCH(F41,Weekly_Model!$A$2:$A$9,0)),0)),IF(VLOOKUP($A40,Calendar!$A$1:$R$1377,18,0)=3,SUM(IFERROR(INDEX(Weekly_Model!$D$2:$D$9,MATCH(F40,Weekly_Model!$A$2:$A$9,0)),0),IFERROR(INDEX(Weekly_Model!$D$2:$D$9,MATCH(F41,Weekly_Model!$A$2:$A$9,0)),0),IFERROR(INDEX(Weekly_Model!$D$2:$D$9,MATCH(F42,Weekly_Model!$A$2:$A$9,0)),0)),IF(VLOOKUP($A40,Calendar!$A$1:$R$1377,18,0)=4,SUM(IFERROR(INDEX(Weekly_Model!$D$2:$D$9,MATCH(F40,Weekly_Model!$A$2:$A$9,0)),0),IFERROR(INDEX(Weekly_Model!$D$2:$D$9,MATCH(F41,Weekly_Model!$A$2:$A$9,0)),0),IFERROR(INDEX(Weekly_Model!$D$2:$D$9,MATCH(F42,Weekly_Model!$A$2:$A$9,0)),0),IFERROR(INDEX(Weekly_Model!$D$2:$D$9,MATCH(F43,Weekly_Model!$A$2:$A$9,0)),0)),IF(VLOOKUP($A40,Calendar!$A$1:$R$1377,18,0)=5,SUM(IFERROR(INDEX(Weekly_Model!$D$2:$D$9,MATCH(F40,Weekly_Model!$A$2:$A$9,0)),0),IFERROR(INDEX(Weekly_Model!$D$2:$D$9,MATCH(F41,Weekly_Model!$A$2:$A$9,0)),0),IFERROR(INDEX(Weekly_Model!$D$2:$D$9,MATCH(F42,Weekly_Model!$A$2:$A$9,0)),0),IFERROR(INDEX(Weekly_Model!$D$2:$D$9,MATCH(F43,Weekly_Model!$A$2:$A$9,0)),0),IFERROR(INDEX(Weekly_Model!$D$2:$D$9,MATCH(F44,Weekly_Model!$A$2:$A$9,0)),0)),0))))))</f>
        <v>2.3200000000000002E-2</v>
      </c>
      <c r="L40" s="27">
        <f>IF(VLOOKUP($A40,Calendar!$A$1:$R$1377,18,0)=0,0,IF(VLOOKUP($A40,Calendar!$A$1:$R$1377,18,0)=1,IFERROR(INDEX(Fortnightly_Model!$D$2:$D$15,MATCH(G40,Fortnightly_Model!$B$2:$B$15,0)),0),IF(VLOOKUP($A40,Calendar!$A$1:$R$1377,18,0)=2,SUM(IFERROR(INDEX(Fortnightly_Model!$D$2:$D$15,MATCH(G40,Fortnightly_Model!$B$2:$B$15,0)),0),IFERROR(INDEX(Fortnightly_Model!$D$2:$D$15,MATCH(G41,Fortnightly_Model!$B$2:$B$15,0)),0)),IF(VLOOKUP($A40,Calendar!$A$1:$R$1377,18,0)=3,SUM(IFERROR(INDEX(Fortnightly_Model!$D$2:$D$15,MATCH(G40,Fortnightly_Model!$B$2:$B$15,0)),0),IFERROR(INDEX(Fortnightly_Model!$D$2:$D$15,MATCH(G41,Fortnightly_Model!$B$2:$B$15,0)),0),IFERROR(INDEX(Fortnightly_Model!$D$2:$D$15,MATCH(G42,Fortnightly_Model!$B$2:$B$15,0)),0)),IF(VLOOKUP($A40,Calendar!$A$1:$R$1377,18,0)=4,SUM(IFERROR(INDEX(Fortnightly_Model!$D$2:$D$15,MATCH(G40,Fortnightly_Model!$B$2:$B$15,0)),0),IFERROR(INDEX(Fortnightly_Model!$D$2:$D$15,MATCH(G41,Fortnightly_Model!$B$2:$B$15,0)),0),IFERROR(INDEX(Fortnightly_Model!$D$2:$D$15,MATCH(G42,Fortnightly_Model!$B$2:$B$15,0)),0),IFERROR(INDEX(Fortnightly_Model!$D$2:$D$15,MATCH(G43,Fortnightly_Model!$B$2:$B$15,0)),0)),IF(VLOOKUP($A40,Calendar!$A$1:$R$1377,18,0)=5,SUM(IFERROR(INDEX(Fortnightly_Model!$D$2:$D$15,MATCH(G40,Fortnightly_Model!$B$2:$B$15,0)),0),IFERROR(INDEX(Fortnightly_Model!$D$2:$D$15,MATCH(G41,Fortnightly_Model!$B$2:$B$15,0)),0),IFERROR(INDEX(Fortnightly_Model!$D$2:$D$15,MATCH(G42,Fortnightly_Model!$B$2:$B$15,0)),0),IFERROR(INDEX(Fortnightly_Model!$D$2:$D$15,MATCH(G43,Fortnightly_Model!$B$2:$B$15,0)),0),IFERROR(INDEX(Fortnightly_Model!$D$2:$D$15,MATCH(G44,Fortnightly_Model!$B$2:$B$15,0)),0)),0))))))</f>
        <v>1.0714285499999999E-3</v>
      </c>
      <c r="M40" s="27">
        <f>IF(VLOOKUP($A40,Calendar!$A$1:$R$1377,18,0)=0,0,IF(VLOOKUP($A40,Calendar!$A$1:$R$1377,18,0)=1,IFERROR(INDEX(FourWeekly_Model!$D$2:$D$29,MATCH(H40,FourWeekly_Model!$B$2:$B$29,0)),0),IF(VLOOKUP($A40,Calendar!$A$1:$R$1377,18,0)=2,SUM(IFERROR(INDEX(FourWeekly_Model!$D$2:$D$29,MATCH(H40,FourWeekly_Model!$B$2:$B$29,0)),0),IFERROR(INDEX(FourWeekly_Model!$D$2:$D$29,MATCH(H41,FourWeekly_Model!$B$2:$B$29,0)),0)),IF(VLOOKUP($A40,Calendar!$A$1:$R$1377,18,0)=3,SUM(IFERROR(INDEX(FourWeekly_Model!$D$2:$D$29,MATCH(H40,FourWeekly_Model!$B$2:$B$29,0)),0),IFERROR(INDEX(FourWeekly_Model!$D$2:$D$29,MATCH(H41,FourWeekly_Model!$B$2:$B$29,0)),0),IFERROR(INDEX(FourWeekly_Model!$D$2:$D$29,MATCH(H42,FourWeekly_Model!$B$2:$B$29,0)),0)),IF(VLOOKUP($A40,Calendar!$A$1:$R$1377,18,0)=4,SUM(IFERROR(INDEX(FourWeekly_Model!$D$2:$D$29,MATCH(H40,FourWeekly_Model!$B$2:$B$29,0)),0),IFERROR(INDEX(FourWeekly_Model!$D$2:$D$29,MATCH(H41,FourWeekly_Model!$B$2:$B$29,0)),0),IFERROR(INDEX(FourWeekly_Model!$D$2:$D$29,MATCH(H42,FourWeekly_Model!$B$2:$B$29,0)),0),IFERROR(INDEX(FourWeekly_Model!$D$2:$D$29,MATCH(H43,FourWeekly_Model!$B$2:$B$29,0)),0)),IF(VLOOKUP($A40,Calendar!$A$1:$R$1377,18,0)=5,SUM(IFERROR(INDEX(FourWeekly_Model!$D$2:$D$29,MATCH(H40,FourWeekly_Model!$B$2:$B$29,0)),0),IFERROR(INDEX(FourWeekly_Model!$D$2:$D$29,MATCH(H41,FourWeekly_Model!$B$2:$B$29,0)),0),IFERROR(INDEX(FourWeekly_Model!$D$2:$D$29,MATCH(H42,FourWeekly_Model!$B$2:$B$29,0)),0),IFERROR(INDEX(FourWeekly_Model!$D$2:$D$29,MATCH(H43,FourWeekly_Model!$B$2:$B$29,0)),0),IFERROR(INDEX(FourWeekly_Model!$D$2:$D$29,MATCH(H44,FourWeekly_Model!$B$2:$B$29,0)),0)),0))))))</f>
        <v>3.3214289700000004E-3</v>
      </c>
      <c r="N40" s="27">
        <f>SUM(I40:M40)</f>
        <v>2.921798841005236E-2</v>
      </c>
      <c r="O40" s="28">
        <f>Population_Data!$B$8*N40</f>
        <v>885305.04882458656</v>
      </c>
      <c r="P40" s="27">
        <f>IF(VLOOKUP($A40,Calendar!$A$1:$R$1377,18,0)=0,0,IF(VLOOKUP($A40,Calendar!$A$1:$R$1377,18,0)=1,IFERROR(INDEX(Pension_Model!$D$2:$D$29,MATCH(H40,Pension_Model!$B$2:$B$29,0)),0),IF(VLOOKUP($A40,Calendar!$A$1:$R$1377,18,0)=2,SUM(IFERROR(INDEX(Pension_Model!$D$2:$D$29,MATCH(H40,Pension_Model!$B$2:$B$29,0)),0),IFERROR(INDEX(Pension_Model!$D$2:$D$29,MATCH(H41,Pension_Model!$B$2:$B$29,0)),0)),IF(VLOOKUP($A40,Calendar!$A$1:$R$1377,18,0)=3,SUM(IFERROR(INDEX(Pension_Model!$D$2:$D$29,MATCH(H40,Pension_Model!$B$2:$B$29,0)),0),IFERROR(INDEX(Pension_Model!$D$2:$D$29,MATCH(H41,Pension_Model!$B$2:$B$29,0)),0),IFERROR(INDEX(Pension_Model!$D$2:$D$29,MATCH(H42,Pension_Model!$B$2:$B$29,0)),0)),IF(VLOOKUP($A40,Calendar!$A$1:$R$1377,18,0)=4,SUM(IFERROR(INDEX(Pension_Model!$D$2:$D$29,MATCH(H40,Pension_Model!$B$2:$B$29,0)),0),IFERROR(INDEX(Pension_Model!$D$2:$D$29,MATCH(H41,Pension_Model!$B$2:$B$29,0)),0),IFERROR(INDEX(Pension_Model!$D$2:$D$29,MATCH(H42,Pension_Model!$B$2:$B$29,0)),0),IFERROR(INDEX(Pension_Model!$D$2:$D$29,MATCH(H43,Pension_Model!$B$2:$B$29,0)),0)),IF(VLOOKUP($A40,Calendar!$A$1:$R$1377,18,0)=5,SUM(IFERROR(INDEX(Pension_Model!$D$2:$D$29,MATCH(H40,Pension_Model!$B$2:$B$29,0)),0),IFERROR(INDEX(Pension_Model!$D$2:$D$29,MATCH(H41,Pension_Model!$B$2:$B$29,0)),0),IFERROR(INDEX(Pension_Model!$D$2:$D$29,MATCH(H42,Pension_Model!$B$2:$B$29,0)),0),IFERROR(INDEX(Pension_Model!$D$2:$D$29,MATCH(H43,Pension_Model!$B$2:$B$29,0)),0),IFERROR(INDEX(Pension_Model!$D$2:$D$29,MATCH(H44,Pension_Model!$B$2:$B$29,0)),0)),0))))))</f>
        <v>0.05</v>
      </c>
      <c r="Q40" s="28">
        <f>Population_Data!$B$15*P40</f>
        <v>660600</v>
      </c>
      <c r="S40">
        <f t="shared" si="0"/>
        <v>1545905.0488245864</v>
      </c>
      <c r="U40" s="33">
        <f>S40/Population_Data!$B$19</f>
        <v>2.8005526246822218E-2</v>
      </c>
    </row>
    <row r="41" spans="1:21">
      <c r="A41" s="25">
        <f>Calendar!A41</f>
        <v>46274</v>
      </c>
      <c r="B41" t="str">
        <f>Calendar!L41</f>
        <v>Yes</v>
      </c>
      <c r="C41" t="str">
        <f>Calendar!O41</f>
        <v>No</v>
      </c>
      <c r="D41" t="str">
        <f>Calendar!P41</f>
        <v>No</v>
      </c>
      <c r="E41" t="str">
        <f>Calendar!Q41</f>
        <v>No</v>
      </c>
      <c r="F41" t="str">
        <f>Calendar!I41</f>
        <v>Wednesday</v>
      </c>
      <c r="G41">
        <f>Calendar!S41</f>
        <v>4</v>
      </c>
      <c r="H41">
        <f>Calendar!T41</f>
        <v>18</v>
      </c>
      <c r="I41" s="27">
        <f>IF(VLOOKUP(A41,Calendar!$A$1:$R$1377,18,0)=0,0,IF(VLOOKUP(A41,Calendar!$A$1:$R$1377,18,0)=1,INDEX(Monthly_Pay_Model!$A$9:$D$40,MATCH(TEXT(A41,"dd"),Monthly_Pay_Model!$C$9:$C$39,0),4),IF(VLOOKUP(A41,Calendar!$A$1:$R$1377,18,0)=2,SUM(INDEX(Monthly_Pay_Model!$A$9:$D$40,MATCH(TEXT(A41,"dd"),Monthly_Pay_Model!$C$9:$C$39,0),4),INDEX(Monthly_Pay_Model!$A$9:$D$40,MATCH(TEXT(A42,"dd"),Monthly_Pay_Model!$C$9:$C$39,0),4)),IF(VLOOKUP(A41,Calendar!$A$1:$R$1377,18,0)=3,SUM(INDEX(Monthly_Pay_Model!$A$9:$D$40,MATCH(TEXT(A41,"dd"),Monthly_Pay_Model!$C$9:$C$39,0),4),INDEX(Monthly_Pay_Model!$A$9:$D$40,MATCH(TEXT(A42,"dd"),Monthly_Pay_Model!$C$9:$C$39,0),4),INDEX(Monthly_Pay_Model!$A$9:$D$40,MATCH(TEXT(A43,"dd"),Monthly_Pay_Model!$C$9:$C$39,0),4)),IF(VLOOKUP(A41,Calendar!$A$1:$R$1377,18,0)=4,SUM(INDEX(Monthly_Pay_Model!$A$9:$D$40,MATCH(TEXT(A41,"dd"),Monthly_Pay_Model!$C$9:$C$39,0),4),INDEX(Monthly_Pay_Model!$A$9:$D$40,MATCH(TEXT(A42,"dd"),Monthly_Pay_Model!$C$9:$C$39,0),4),INDEX(Monthly_Pay_Model!$A$9:$D$40,MATCH(TEXT(A43,"dd"),Monthly_Pay_Model!$C$9:$C$39,0),4),INDEX(Monthly_Pay_Model!$A$9:$D$40,MATCH(TEXT(A44,"dd"),Monthly_Pay_Model!$C$9:$C$39,0),4)),IF(VLOOKUP(A41,Calendar!$A$1:$R$1377,18,0)=5,SUM(INDEX(Monthly_Pay_Model!$A$9:$D$40,MATCH(TEXT(A41,"dd"),Monthly_Pay_Model!$C$9:$C$39,0),4),INDEX(Monthly_Pay_Model!$A$9:$D$40,MATCH(TEXT(A42,"dd"),Monthly_Pay_Model!$C$9:$C$39,0),4),INDEX(Monthly_Pay_Model!$A$9:$D$40,MATCH(TEXT(A43,"dd"),Monthly_Pay_Model!$C$9:$C$39,0),4),INDEX(Monthly_Pay_Model!$A$9:$D$40,MATCH(TEXT(A44,"dd"),Monthly_Pay_Model!$C$9:$C$39,0),4),INDEX(Monthly_Pay_Model!$A$9:$D$40,MATCH(TEXT(A45,"dd"),Monthly_Pay_Model!$C$9:$C$39,0),4)),))))))</f>
        <v>8.1256544502617792E-4</v>
      </c>
      <c r="J41" s="33">
        <f>IF(C41="Yes",Monthly_Pay_Model!$D$2,0)
+IF(Calendar!N41="Yes",Monthly_Pay_Model!$D$3,0)
+IF(D41="Yes",Monthly_Pay_Model!$D$4,0)
+IF(E41="Yes",Monthly_Pay_Model!$D$5,0)</f>
        <v>0</v>
      </c>
      <c r="K41" s="27">
        <f>IF(VLOOKUP($A41,Calendar!$A$1:$R$1377,18,0)=0,0,IF(VLOOKUP($A41,Calendar!$A$1:$R$1377,18,0)=1,IFERROR(INDEX(Weekly_Model!$D$2:$D$9,MATCH(F41,Weekly_Model!$A$2:$A$9,0)),0),IF(VLOOKUP($A41,Calendar!$A$1:$R$1377,18,0)=2,SUM(IFERROR(INDEX(Weekly_Model!$D$2:$D$9,MATCH(F41,Weekly_Model!$A$2:$A$9,0)),0),IFERROR(INDEX(Weekly_Model!$D$2:$D$9,MATCH(F42,Weekly_Model!$A$2:$A$9,0)),0)),IF(VLOOKUP($A41,Calendar!$A$1:$R$1377,18,0)=3,SUM(IFERROR(INDEX(Weekly_Model!$D$2:$D$9,MATCH(F41,Weekly_Model!$A$2:$A$9,0)),0),IFERROR(INDEX(Weekly_Model!$D$2:$D$9,MATCH(F42,Weekly_Model!$A$2:$A$9,0)),0),IFERROR(INDEX(Weekly_Model!$D$2:$D$9,MATCH(F43,Weekly_Model!$A$2:$A$9,0)),0)),IF(VLOOKUP($A41,Calendar!$A$1:$R$1377,18,0)=4,SUM(IFERROR(INDEX(Weekly_Model!$D$2:$D$9,MATCH(F41,Weekly_Model!$A$2:$A$9,0)),0),IFERROR(INDEX(Weekly_Model!$D$2:$D$9,MATCH(F42,Weekly_Model!$A$2:$A$9,0)),0),IFERROR(INDEX(Weekly_Model!$D$2:$D$9,MATCH(F43,Weekly_Model!$A$2:$A$9,0)),0),IFERROR(INDEX(Weekly_Model!$D$2:$D$9,MATCH(F44,Weekly_Model!$A$2:$A$9,0)),0)),IF(VLOOKUP($A41,Calendar!$A$1:$R$1377,18,0)=5,SUM(IFERROR(INDEX(Weekly_Model!$D$2:$D$9,MATCH(F41,Weekly_Model!$A$2:$A$9,0)),0),IFERROR(INDEX(Weekly_Model!$D$2:$D$9,MATCH(F42,Weekly_Model!$A$2:$A$9,0)),0),IFERROR(INDEX(Weekly_Model!$D$2:$D$9,MATCH(F43,Weekly_Model!$A$2:$A$9,0)),0),IFERROR(INDEX(Weekly_Model!$D$2:$D$9,MATCH(F44,Weekly_Model!$A$2:$A$9,0)),0),IFERROR(INDEX(Weekly_Model!$D$2:$D$9,MATCH(F45,Weekly_Model!$A$2:$A$9,0)),0)),0))))))</f>
        <v>2.3200000000000002E-2</v>
      </c>
      <c r="L41" s="27">
        <f>IF(VLOOKUP($A41,Calendar!$A$1:$R$1377,18,0)=0,0,IF(VLOOKUP($A41,Calendar!$A$1:$R$1377,18,0)=1,IFERROR(INDEX(Fortnightly_Model!$D$2:$D$15,MATCH(G41,Fortnightly_Model!$B$2:$B$15,0)),0),IF(VLOOKUP($A41,Calendar!$A$1:$R$1377,18,0)=2,SUM(IFERROR(INDEX(Fortnightly_Model!$D$2:$D$15,MATCH(G41,Fortnightly_Model!$B$2:$B$15,0)),0),IFERROR(INDEX(Fortnightly_Model!$D$2:$D$15,MATCH(G42,Fortnightly_Model!$B$2:$B$15,0)),0)),IF(VLOOKUP($A41,Calendar!$A$1:$R$1377,18,0)=3,SUM(IFERROR(INDEX(Fortnightly_Model!$D$2:$D$15,MATCH(G41,Fortnightly_Model!$B$2:$B$15,0)),0),IFERROR(INDEX(Fortnightly_Model!$D$2:$D$15,MATCH(G42,Fortnightly_Model!$B$2:$B$15,0)),0),IFERROR(INDEX(Fortnightly_Model!$D$2:$D$15,MATCH(G43,Fortnightly_Model!$B$2:$B$15,0)),0)),IF(VLOOKUP($A41,Calendar!$A$1:$R$1377,18,0)=4,SUM(IFERROR(INDEX(Fortnightly_Model!$D$2:$D$15,MATCH(G41,Fortnightly_Model!$B$2:$B$15,0)),0),IFERROR(INDEX(Fortnightly_Model!$D$2:$D$15,MATCH(G42,Fortnightly_Model!$B$2:$B$15,0)),0),IFERROR(INDEX(Fortnightly_Model!$D$2:$D$15,MATCH(G43,Fortnightly_Model!$B$2:$B$15,0)),0),IFERROR(INDEX(Fortnightly_Model!$D$2:$D$15,MATCH(G44,Fortnightly_Model!$B$2:$B$15,0)),0)),IF(VLOOKUP($A41,Calendar!$A$1:$R$1377,18,0)=5,SUM(IFERROR(INDEX(Fortnightly_Model!$D$2:$D$15,MATCH(G41,Fortnightly_Model!$B$2:$B$15,0)),0),IFERROR(INDEX(Fortnightly_Model!$D$2:$D$15,MATCH(G42,Fortnightly_Model!$B$2:$B$15,0)),0),IFERROR(INDEX(Fortnightly_Model!$D$2:$D$15,MATCH(G43,Fortnightly_Model!$B$2:$B$15,0)),0),IFERROR(INDEX(Fortnightly_Model!$D$2:$D$15,MATCH(G44,Fortnightly_Model!$B$2:$B$15,0)),0),IFERROR(INDEX(Fortnightly_Model!$D$2:$D$15,MATCH(G45,Fortnightly_Model!$B$2:$B$15,0)),0)),0))))))</f>
        <v>1.0714285499999999E-3</v>
      </c>
      <c r="M41" s="27">
        <f>IF(VLOOKUP($A41,Calendar!$A$1:$R$1377,18,0)=0,0,IF(VLOOKUP($A41,Calendar!$A$1:$R$1377,18,0)=1,IFERROR(INDEX(FourWeekly_Model!$D$2:$D$29,MATCH(H41,FourWeekly_Model!$B$2:$B$29,0)),0),IF(VLOOKUP($A41,Calendar!$A$1:$R$1377,18,0)=2,SUM(IFERROR(INDEX(FourWeekly_Model!$D$2:$D$29,MATCH(H41,FourWeekly_Model!$B$2:$B$29,0)),0),IFERROR(INDEX(FourWeekly_Model!$D$2:$D$29,MATCH(H42,FourWeekly_Model!$B$2:$B$29,0)),0)),IF(VLOOKUP($A41,Calendar!$A$1:$R$1377,18,0)=3,SUM(IFERROR(INDEX(FourWeekly_Model!$D$2:$D$29,MATCH(H41,FourWeekly_Model!$B$2:$B$29,0)),0),IFERROR(INDEX(FourWeekly_Model!$D$2:$D$29,MATCH(H42,FourWeekly_Model!$B$2:$B$29,0)),0),IFERROR(INDEX(FourWeekly_Model!$D$2:$D$29,MATCH(H43,FourWeekly_Model!$B$2:$B$29,0)),0)),IF(VLOOKUP($A41,Calendar!$A$1:$R$1377,18,0)=4,SUM(IFERROR(INDEX(FourWeekly_Model!$D$2:$D$29,MATCH(H41,FourWeekly_Model!$B$2:$B$29,0)),0),IFERROR(INDEX(FourWeekly_Model!$D$2:$D$29,MATCH(H42,FourWeekly_Model!$B$2:$B$29,0)),0),IFERROR(INDEX(FourWeekly_Model!$D$2:$D$29,MATCH(H43,FourWeekly_Model!$B$2:$B$29,0)),0),IFERROR(INDEX(FourWeekly_Model!$D$2:$D$29,MATCH(H44,FourWeekly_Model!$B$2:$B$29,0)),0)),IF(VLOOKUP($A41,Calendar!$A$1:$R$1377,18,0)=5,SUM(IFERROR(INDEX(FourWeekly_Model!$D$2:$D$29,MATCH(H41,FourWeekly_Model!$B$2:$B$29,0)),0),IFERROR(INDEX(FourWeekly_Model!$D$2:$D$29,MATCH(H42,FourWeekly_Model!$B$2:$B$29,0)),0),IFERROR(INDEX(FourWeekly_Model!$D$2:$D$29,MATCH(H43,FourWeekly_Model!$B$2:$B$29,0)),0),IFERROR(INDEX(FourWeekly_Model!$D$2:$D$29,MATCH(H44,FourWeekly_Model!$B$2:$B$29,0)),0),IFERROR(INDEX(FourWeekly_Model!$D$2:$D$29,MATCH(H45,FourWeekly_Model!$B$2:$B$29,0)),0)),0))))))</f>
        <v>3.3214289700000004E-3</v>
      </c>
      <c r="N41" s="27">
        <f>SUM(I41:M41)</f>
        <v>2.840542296502618E-2</v>
      </c>
      <c r="O41" s="28">
        <f>Population_Data!$B$8*N41</f>
        <v>860684.3158402933</v>
      </c>
      <c r="P41" s="27">
        <f>IF(VLOOKUP($A41,Calendar!$A$1:$R$1377,18,0)=0,0,IF(VLOOKUP($A41,Calendar!$A$1:$R$1377,18,0)=1,IFERROR(INDEX(Pension_Model!$D$2:$D$29,MATCH(H41,Pension_Model!$B$2:$B$29,0)),0),IF(VLOOKUP($A41,Calendar!$A$1:$R$1377,18,0)=2,SUM(IFERROR(INDEX(Pension_Model!$D$2:$D$29,MATCH(H41,Pension_Model!$B$2:$B$29,0)),0),IFERROR(INDEX(Pension_Model!$D$2:$D$29,MATCH(H42,Pension_Model!$B$2:$B$29,0)),0)),IF(VLOOKUP($A41,Calendar!$A$1:$R$1377,18,0)=3,SUM(IFERROR(INDEX(Pension_Model!$D$2:$D$29,MATCH(H41,Pension_Model!$B$2:$B$29,0)),0),IFERROR(INDEX(Pension_Model!$D$2:$D$29,MATCH(H42,Pension_Model!$B$2:$B$29,0)),0),IFERROR(INDEX(Pension_Model!$D$2:$D$29,MATCH(H43,Pension_Model!$B$2:$B$29,0)),0)),IF(VLOOKUP($A41,Calendar!$A$1:$R$1377,18,0)=4,SUM(IFERROR(INDEX(Pension_Model!$D$2:$D$29,MATCH(H41,Pension_Model!$B$2:$B$29,0)),0),IFERROR(INDEX(Pension_Model!$D$2:$D$29,MATCH(H42,Pension_Model!$B$2:$B$29,0)),0),IFERROR(INDEX(Pension_Model!$D$2:$D$29,MATCH(H43,Pension_Model!$B$2:$B$29,0)),0),IFERROR(INDEX(Pension_Model!$D$2:$D$29,MATCH(H44,Pension_Model!$B$2:$B$29,0)),0)),IF(VLOOKUP($A41,Calendar!$A$1:$R$1377,18,0)=5,SUM(IFERROR(INDEX(Pension_Model!$D$2:$D$29,MATCH(H41,Pension_Model!$B$2:$B$29,0)),0),IFERROR(INDEX(Pension_Model!$D$2:$D$29,MATCH(H42,Pension_Model!$B$2:$B$29,0)),0),IFERROR(INDEX(Pension_Model!$D$2:$D$29,MATCH(H43,Pension_Model!$B$2:$B$29,0)),0),IFERROR(INDEX(Pension_Model!$D$2:$D$29,MATCH(H44,Pension_Model!$B$2:$B$29,0)),0),IFERROR(INDEX(Pension_Model!$D$2:$D$29,MATCH(H45,Pension_Model!$B$2:$B$29,0)),0)),0))))))</f>
        <v>0.05</v>
      </c>
      <c r="Q41" s="28">
        <f>Population_Data!$B$15*P41</f>
        <v>660600</v>
      </c>
      <c r="S41">
        <f t="shared" si="0"/>
        <v>1521284.3158402932</v>
      </c>
      <c r="U41" s="33">
        <f>S41/Population_Data!$B$19</f>
        <v>2.7559498475367629E-2</v>
      </c>
    </row>
    <row r="42" spans="1:21">
      <c r="A42" s="25">
        <f>Calendar!A42</f>
        <v>46275</v>
      </c>
      <c r="B42" t="str">
        <f>Calendar!L42</f>
        <v>Yes</v>
      </c>
      <c r="C42" t="str">
        <f>Calendar!O42</f>
        <v>No</v>
      </c>
      <c r="D42" t="str">
        <f>Calendar!P42</f>
        <v>No</v>
      </c>
      <c r="E42" t="str">
        <f>Calendar!Q42</f>
        <v>No</v>
      </c>
      <c r="F42" t="str">
        <f>Calendar!I42</f>
        <v>Thursday</v>
      </c>
      <c r="G42">
        <f>Calendar!S42</f>
        <v>5</v>
      </c>
      <c r="H42">
        <f>Calendar!T42</f>
        <v>19</v>
      </c>
      <c r="I42" s="27">
        <f>IF(VLOOKUP(A42,Calendar!$A$1:$R$1377,18,0)=0,0,IF(VLOOKUP(A42,Calendar!$A$1:$R$1377,18,0)=1,INDEX(Monthly_Pay_Model!$A$9:$D$40,MATCH(TEXT(A42,"dd"),Monthly_Pay_Model!$C$9:$C$39,0),4),IF(VLOOKUP(A42,Calendar!$A$1:$R$1377,18,0)=2,SUM(INDEX(Monthly_Pay_Model!$A$9:$D$40,MATCH(TEXT(A42,"dd"),Monthly_Pay_Model!$C$9:$C$39,0),4),INDEX(Monthly_Pay_Model!$A$9:$D$40,MATCH(TEXT(A43,"dd"),Monthly_Pay_Model!$C$9:$C$39,0),4)),IF(VLOOKUP(A42,Calendar!$A$1:$R$1377,18,0)=3,SUM(INDEX(Monthly_Pay_Model!$A$9:$D$40,MATCH(TEXT(A42,"dd"),Monthly_Pay_Model!$C$9:$C$39,0),4),INDEX(Monthly_Pay_Model!$A$9:$D$40,MATCH(TEXT(A43,"dd"),Monthly_Pay_Model!$C$9:$C$39,0),4),INDEX(Monthly_Pay_Model!$A$9:$D$40,MATCH(TEXT(A44,"dd"),Monthly_Pay_Model!$C$9:$C$39,0),4)),IF(VLOOKUP(A42,Calendar!$A$1:$R$1377,18,0)=4,SUM(INDEX(Monthly_Pay_Model!$A$9:$D$40,MATCH(TEXT(A42,"dd"),Monthly_Pay_Model!$C$9:$C$39,0),4),INDEX(Monthly_Pay_Model!$A$9:$D$40,MATCH(TEXT(A43,"dd"),Monthly_Pay_Model!$C$9:$C$39,0),4),INDEX(Monthly_Pay_Model!$A$9:$D$40,MATCH(TEXT(A44,"dd"),Monthly_Pay_Model!$C$9:$C$39,0),4),INDEX(Monthly_Pay_Model!$A$9:$D$40,MATCH(TEXT(A45,"dd"),Monthly_Pay_Model!$C$9:$C$39,0),4)),IF(VLOOKUP(A42,Calendar!$A$1:$R$1377,18,0)=5,SUM(INDEX(Monthly_Pay_Model!$A$9:$D$40,MATCH(TEXT(A42,"dd"),Monthly_Pay_Model!$C$9:$C$39,0),4),INDEX(Monthly_Pay_Model!$A$9:$D$40,MATCH(TEXT(A43,"dd"),Monthly_Pay_Model!$C$9:$C$39,0),4),INDEX(Monthly_Pay_Model!$A$9:$D$40,MATCH(TEXT(A44,"dd"),Monthly_Pay_Model!$C$9:$C$39,0),4),INDEX(Monthly_Pay_Model!$A$9:$D$40,MATCH(TEXT(A45,"dd"),Monthly_Pay_Model!$C$9:$C$39,0),4),INDEX(Monthly_Pay_Model!$A$9:$D$40,MATCH(TEXT(A46,"dd"),Monthly_Pay_Model!$C$9:$C$39,0),4)),))))))</f>
        <v>4.8753926701570662E-3</v>
      </c>
      <c r="J42" s="33">
        <f>IF(C42="Yes",Monthly_Pay_Model!$D$2,0)
+IF(Calendar!N42="Yes",Monthly_Pay_Model!$D$3,0)
+IF(D42="Yes",Monthly_Pay_Model!$D$4,0)
+IF(E42="Yes",Monthly_Pay_Model!$D$5,0)</f>
        <v>0</v>
      </c>
      <c r="K42" s="27">
        <f>IF(VLOOKUP($A42,Calendar!$A$1:$R$1377,18,0)=0,0,IF(VLOOKUP($A42,Calendar!$A$1:$R$1377,18,0)=1,IFERROR(INDEX(Weekly_Model!$D$2:$D$9,MATCH(F42,Weekly_Model!$A$2:$A$9,0)),0),IF(VLOOKUP($A42,Calendar!$A$1:$R$1377,18,0)=2,SUM(IFERROR(INDEX(Weekly_Model!$D$2:$D$9,MATCH(F42,Weekly_Model!$A$2:$A$9,0)),0),IFERROR(INDEX(Weekly_Model!$D$2:$D$9,MATCH(F43,Weekly_Model!$A$2:$A$9,0)),0)),IF(VLOOKUP($A42,Calendar!$A$1:$R$1377,18,0)=3,SUM(IFERROR(INDEX(Weekly_Model!$D$2:$D$9,MATCH(F42,Weekly_Model!$A$2:$A$9,0)),0),IFERROR(INDEX(Weekly_Model!$D$2:$D$9,MATCH(F43,Weekly_Model!$A$2:$A$9,0)),0),IFERROR(INDEX(Weekly_Model!$D$2:$D$9,MATCH(F44,Weekly_Model!$A$2:$A$9,0)),0)),IF(VLOOKUP($A42,Calendar!$A$1:$R$1377,18,0)=4,SUM(IFERROR(INDEX(Weekly_Model!$D$2:$D$9,MATCH(F42,Weekly_Model!$A$2:$A$9,0)),0),IFERROR(INDEX(Weekly_Model!$D$2:$D$9,MATCH(F43,Weekly_Model!$A$2:$A$9,0)),0),IFERROR(INDEX(Weekly_Model!$D$2:$D$9,MATCH(F44,Weekly_Model!$A$2:$A$9,0)),0),IFERROR(INDEX(Weekly_Model!$D$2:$D$9,MATCH(F45,Weekly_Model!$A$2:$A$9,0)),0)),IF(VLOOKUP($A42,Calendar!$A$1:$R$1377,18,0)=5,SUM(IFERROR(INDEX(Weekly_Model!$D$2:$D$9,MATCH(F42,Weekly_Model!$A$2:$A$9,0)),0),IFERROR(INDEX(Weekly_Model!$D$2:$D$9,MATCH(F43,Weekly_Model!$A$2:$A$9,0)),0),IFERROR(INDEX(Weekly_Model!$D$2:$D$9,MATCH(F44,Weekly_Model!$A$2:$A$9,0)),0),IFERROR(INDEX(Weekly_Model!$D$2:$D$9,MATCH(F45,Weekly_Model!$A$2:$A$9,0)),0),IFERROR(INDEX(Weekly_Model!$D$2:$D$9,MATCH(F46,Weekly_Model!$A$2:$A$9,0)),0)),0))))))</f>
        <v>2.3200000000000002E-2</v>
      </c>
      <c r="L42" s="27">
        <f>IF(VLOOKUP($A42,Calendar!$A$1:$R$1377,18,0)=0,0,IF(VLOOKUP($A42,Calendar!$A$1:$R$1377,18,0)=1,IFERROR(INDEX(Fortnightly_Model!$D$2:$D$15,MATCH(G42,Fortnightly_Model!$B$2:$B$15,0)),0),IF(VLOOKUP($A42,Calendar!$A$1:$R$1377,18,0)=2,SUM(IFERROR(INDEX(Fortnightly_Model!$D$2:$D$15,MATCH(G42,Fortnightly_Model!$B$2:$B$15,0)),0),IFERROR(INDEX(Fortnightly_Model!$D$2:$D$15,MATCH(G43,Fortnightly_Model!$B$2:$B$15,0)),0)),IF(VLOOKUP($A42,Calendar!$A$1:$R$1377,18,0)=3,SUM(IFERROR(INDEX(Fortnightly_Model!$D$2:$D$15,MATCH(G42,Fortnightly_Model!$B$2:$B$15,0)),0),IFERROR(INDEX(Fortnightly_Model!$D$2:$D$15,MATCH(G43,Fortnightly_Model!$B$2:$B$15,0)),0),IFERROR(INDEX(Fortnightly_Model!$D$2:$D$15,MATCH(G44,Fortnightly_Model!$B$2:$B$15,0)),0)),IF(VLOOKUP($A42,Calendar!$A$1:$R$1377,18,0)=4,SUM(IFERROR(INDEX(Fortnightly_Model!$D$2:$D$15,MATCH(G42,Fortnightly_Model!$B$2:$B$15,0)),0),IFERROR(INDEX(Fortnightly_Model!$D$2:$D$15,MATCH(G43,Fortnightly_Model!$B$2:$B$15,0)),0),IFERROR(INDEX(Fortnightly_Model!$D$2:$D$15,MATCH(G44,Fortnightly_Model!$B$2:$B$15,0)),0),IFERROR(INDEX(Fortnightly_Model!$D$2:$D$15,MATCH(G45,Fortnightly_Model!$B$2:$B$15,0)),0)),IF(VLOOKUP($A42,Calendar!$A$1:$R$1377,18,0)=5,SUM(IFERROR(INDEX(Fortnightly_Model!$D$2:$D$15,MATCH(G42,Fortnightly_Model!$B$2:$B$15,0)),0),IFERROR(INDEX(Fortnightly_Model!$D$2:$D$15,MATCH(G43,Fortnightly_Model!$B$2:$B$15,0)),0),IFERROR(INDEX(Fortnightly_Model!$D$2:$D$15,MATCH(G44,Fortnightly_Model!$B$2:$B$15,0)),0),IFERROR(INDEX(Fortnightly_Model!$D$2:$D$15,MATCH(G45,Fortnightly_Model!$B$2:$B$15,0)),0),IFERROR(INDEX(Fortnightly_Model!$D$2:$D$15,MATCH(G46,Fortnightly_Model!$B$2:$B$15,0)),0)),0))))))</f>
        <v>1.0714285499999999E-3</v>
      </c>
      <c r="M42" s="27">
        <f>IF(VLOOKUP($A42,Calendar!$A$1:$R$1377,18,0)=0,0,IF(VLOOKUP($A42,Calendar!$A$1:$R$1377,18,0)=1,IFERROR(INDEX(FourWeekly_Model!$D$2:$D$29,MATCH(H42,FourWeekly_Model!$B$2:$B$29,0)),0),IF(VLOOKUP($A42,Calendar!$A$1:$R$1377,18,0)=2,SUM(IFERROR(INDEX(FourWeekly_Model!$D$2:$D$29,MATCH(H42,FourWeekly_Model!$B$2:$B$29,0)),0),IFERROR(INDEX(FourWeekly_Model!$D$2:$D$29,MATCH(H43,FourWeekly_Model!$B$2:$B$29,0)),0)),IF(VLOOKUP($A42,Calendar!$A$1:$R$1377,18,0)=3,SUM(IFERROR(INDEX(FourWeekly_Model!$D$2:$D$29,MATCH(H42,FourWeekly_Model!$B$2:$B$29,0)),0),IFERROR(INDEX(FourWeekly_Model!$D$2:$D$29,MATCH(H43,FourWeekly_Model!$B$2:$B$29,0)),0),IFERROR(INDEX(FourWeekly_Model!$D$2:$D$29,MATCH(H44,FourWeekly_Model!$B$2:$B$29,0)),0)),IF(VLOOKUP($A42,Calendar!$A$1:$R$1377,18,0)=4,SUM(IFERROR(INDEX(FourWeekly_Model!$D$2:$D$29,MATCH(H42,FourWeekly_Model!$B$2:$B$29,0)),0),IFERROR(INDEX(FourWeekly_Model!$D$2:$D$29,MATCH(H43,FourWeekly_Model!$B$2:$B$29,0)),0),IFERROR(INDEX(FourWeekly_Model!$D$2:$D$29,MATCH(H44,FourWeekly_Model!$B$2:$B$29,0)),0),IFERROR(INDEX(FourWeekly_Model!$D$2:$D$29,MATCH(H45,FourWeekly_Model!$B$2:$B$29,0)),0)),IF(VLOOKUP($A42,Calendar!$A$1:$R$1377,18,0)=5,SUM(IFERROR(INDEX(FourWeekly_Model!$D$2:$D$29,MATCH(H42,FourWeekly_Model!$B$2:$B$29,0)),0),IFERROR(INDEX(FourWeekly_Model!$D$2:$D$29,MATCH(H43,FourWeekly_Model!$B$2:$B$29,0)),0),IFERROR(INDEX(FourWeekly_Model!$D$2:$D$29,MATCH(H44,FourWeekly_Model!$B$2:$B$29,0)),0),IFERROR(INDEX(FourWeekly_Model!$D$2:$D$29,MATCH(H45,FourWeekly_Model!$B$2:$B$29,0)),0),IFERROR(INDEX(FourWeekly_Model!$D$2:$D$29,MATCH(H46,FourWeekly_Model!$B$2:$B$29,0)),0)),0))))))</f>
        <v>3.3214289700000004E-3</v>
      </c>
      <c r="N42" s="27">
        <f>SUM(I42:M42)</f>
        <v>3.2468250190157068E-2</v>
      </c>
      <c r="O42" s="28">
        <f>Population_Data!$B$8*N42</f>
        <v>983787.9807617591</v>
      </c>
      <c r="P42" s="27">
        <f>IF(VLOOKUP($A42,Calendar!$A$1:$R$1377,18,0)=0,0,IF(VLOOKUP($A42,Calendar!$A$1:$R$1377,18,0)=1,IFERROR(INDEX(Pension_Model!$D$2:$D$29,MATCH(H42,Pension_Model!$B$2:$B$29,0)),0),IF(VLOOKUP($A42,Calendar!$A$1:$R$1377,18,0)=2,SUM(IFERROR(INDEX(Pension_Model!$D$2:$D$29,MATCH(H42,Pension_Model!$B$2:$B$29,0)),0),IFERROR(INDEX(Pension_Model!$D$2:$D$29,MATCH(H43,Pension_Model!$B$2:$B$29,0)),0)),IF(VLOOKUP($A42,Calendar!$A$1:$R$1377,18,0)=3,SUM(IFERROR(INDEX(Pension_Model!$D$2:$D$29,MATCH(H42,Pension_Model!$B$2:$B$29,0)),0),IFERROR(INDEX(Pension_Model!$D$2:$D$29,MATCH(H43,Pension_Model!$B$2:$B$29,0)),0),IFERROR(INDEX(Pension_Model!$D$2:$D$29,MATCH(H44,Pension_Model!$B$2:$B$29,0)),0)),IF(VLOOKUP($A42,Calendar!$A$1:$R$1377,18,0)=4,SUM(IFERROR(INDEX(Pension_Model!$D$2:$D$29,MATCH(H42,Pension_Model!$B$2:$B$29,0)),0),IFERROR(INDEX(Pension_Model!$D$2:$D$29,MATCH(H43,Pension_Model!$B$2:$B$29,0)),0),IFERROR(INDEX(Pension_Model!$D$2:$D$29,MATCH(H44,Pension_Model!$B$2:$B$29,0)),0),IFERROR(INDEX(Pension_Model!$D$2:$D$29,MATCH(H45,Pension_Model!$B$2:$B$29,0)),0)),IF(VLOOKUP($A42,Calendar!$A$1:$R$1377,18,0)=5,SUM(IFERROR(INDEX(Pension_Model!$D$2:$D$29,MATCH(H42,Pension_Model!$B$2:$B$29,0)),0),IFERROR(INDEX(Pension_Model!$D$2:$D$29,MATCH(H43,Pension_Model!$B$2:$B$29,0)),0),IFERROR(INDEX(Pension_Model!$D$2:$D$29,MATCH(H44,Pension_Model!$B$2:$B$29,0)),0),IFERROR(INDEX(Pension_Model!$D$2:$D$29,MATCH(H45,Pension_Model!$B$2:$B$29,0)),0),IFERROR(INDEX(Pension_Model!$D$2:$D$29,MATCH(H46,Pension_Model!$B$2:$B$29,0)),0)),0))))))</f>
        <v>0.05</v>
      </c>
      <c r="Q42" s="28">
        <f>Population_Data!$B$15*P42</f>
        <v>660600</v>
      </c>
      <c r="S42">
        <f t="shared" si="0"/>
        <v>1644387.980761759</v>
      </c>
      <c r="U42" s="33">
        <f>S42/Population_Data!$B$19</f>
        <v>2.9789637332640562E-2</v>
      </c>
    </row>
    <row r="43" spans="1:21">
      <c r="A43" s="25">
        <f>Calendar!A43</f>
        <v>46276</v>
      </c>
      <c r="B43" t="str">
        <f>Calendar!L43</f>
        <v>Yes</v>
      </c>
      <c r="C43" t="str">
        <f>Calendar!O43</f>
        <v>No</v>
      </c>
      <c r="D43" t="str">
        <f>Calendar!P43</f>
        <v>No</v>
      </c>
      <c r="E43" t="str">
        <f>Calendar!Q43</f>
        <v>No</v>
      </c>
      <c r="F43" t="str">
        <f>Calendar!I43</f>
        <v>Friday</v>
      </c>
      <c r="G43">
        <f>Calendar!S43</f>
        <v>6</v>
      </c>
      <c r="H43">
        <f>Calendar!T43</f>
        <v>20</v>
      </c>
      <c r="I43" s="27">
        <f>IF(VLOOKUP(A43,Calendar!$A$1:$R$1377,18,0)=0,0,IF(VLOOKUP(A43,Calendar!$A$1:$R$1377,18,0)=1,INDEX(Monthly_Pay_Model!$A$9:$D$40,MATCH(TEXT(A43,"dd"),Monthly_Pay_Model!$C$9:$C$39,0),4),IF(VLOOKUP(A43,Calendar!$A$1:$R$1377,18,0)=2,SUM(INDEX(Monthly_Pay_Model!$A$9:$D$40,MATCH(TEXT(A43,"dd"),Monthly_Pay_Model!$C$9:$C$39,0),4),INDEX(Monthly_Pay_Model!$A$9:$D$40,MATCH(TEXT(A44,"dd"),Monthly_Pay_Model!$C$9:$C$39,0),4)),IF(VLOOKUP(A43,Calendar!$A$1:$R$1377,18,0)=3,SUM(INDEX(Monthly_Pay_Model!$A$9:$D$40,MATCH(TEXT(A43,"dd"),Monthly_Pay_Model!$C$9:$C$39,0),4),INDEX(Monthly_Pay_Model!$A$9:$D$40,MATCH(TEXT(A44,"dd"),Monthly_Pay_Model!$C$9:$C$39,0),4),INDEX(Monthly_Pay_Model!$A$9:$D$40,MATCH(TEXT(A45,"dd"),Monthly_Pay_Model!$C$9:$C$39,0),4)),IF(VLOOKUP(A43,Calendar!$A$1:$R$1377,18,0)=4,SUM(INDEX(Monthly_Pay_Model!$A$9:$D$40,MATCH(TEXT(A43,"dd"),Monthly_Pay_Model!$C$9:$C$39,0),4),INDEX(Monthly_Pay_Model!$A$9:$D$40,MATCH(TEXT(A44,"dd"),Monthly_Pay_Model!$C$9:$C$39,0),4),INDEX(Monthly_Pay_Model!$A$9:$D$40,MATCH(TEXT(A45,"dd"),Monthly_Pay_Model!$C$9:$C$39,0),4),INDEX(Monthly_Pay_Model!$A$9:$D$40,MATCH(TEXT(A46,"dd"),Monthly_Pay_Model!$C$9:$C$39,0),4)),IF(VLOOKUP(A43,Calendar!$A$1:$R$1377,18,0)=5,SUM(INDEX(Monthly_Pay_Model!$A$9:$D$40,MATCH(TEXT(A43,"dd"),Monthly_Pay_Model!$C$9:$C$39,0),4),INDEX(Monthly_Pay_Model!$A$9:$D$40,MATCH(TEXT(A44,"dd"),Monthly_Pay_Model!$C$9:$C$39,0),4),INDEX(Monthly_Pay_Model!$A$9:$D$40,MATCH(TEXT(A45,"dd"),Monthly_Pay_Model!$C$9:$C$39,0),4),INDEX(Monthly_Pay_Model!$A$9:$D$40,MATCH(TEXT(A46,"dd"),Monthly_Pay_Model!$C$9:$C$39,0),4),INDEX(Monthly_Pay_Model!$A$9:$D$40,MATCH(TEXT(A47,"dd"),Monthly_Pay_Model!$C$9:$C$39,0),4)),))))))</f>
        <v>3.2502617801047117E-3</v>
      </c>
      <c r="J43" s="33">
        <f>IF(C43="Yes",Monthly_Pay_Model!$D$2,0)
+IF(Calendar!N43="Yes",Monthly_Pay_Model!$D$3,0)
+IF(D43="Yes",Monthly_Pay_Model!$D$4,0)
+IF(E43="Yes",Monthly_Pay_Model!$D$5,0)</f>
        <v>0</v>
      </c>
      <c r="K43" s="27">
        <f>IF(VLOOKUP($A43,Calendar!$A$1:$R$1377,18,0)=0,0,IF(VLOOKUP($A43,Calendar!$A$1:$R$1377,18,0)=1,IFERROR(INDEX(Weekly_Model!$D$2:$D$9,MATCH(F43,Weekly_Model!$A$2:$A$9,0)),0),IF(VLOOKUP($A43,Calendar!$A$1:$R$1377,18,0)=2,SUM(IFERROR(INDEX(Weekly_Model!$D$2:$D$9,MATCH(F43,Weekly_Model!$A$2:$A$9,0)),0),IFERROR(INDEX(Weekly_Model!$D$2:$D$9,MATCH(F44,Weekly_Model!$A$2:$A$9,0)),0)),IF(VLOOKUP($A43,Calendar!$A$1:$R$1377,18,0)=3,SUM(IFERROR(INDEX(Weekly_Model!$D$2:$D$9,MATCH(F43,Weekly_Model!$A$2:$A$9,0)),0),IFERROR(INDEX(Weekly_Model!$D$2:$D$9,MATCH(F44,Weekly_Model!$A$2:$A$9,0)),0),IFERROR(INDEX(Weekly_Model!$D$2:$D$9,MATCH(F45,Weekly_Model!$A$2:$A$9,0)),0)),IF(VLOOKUP($A43,Calendar!$A$1:$R$1377,18,0)=4,SUM(IFERROR(INDEX(Weekly_Model!$D$2:$D$9,MATCH(F43,Weekly_Model!$A$2:$A$9,0)),0),IFERROR(INDEX(Weekly_Model!$D$2:$D$9,MATCH(F44,Weekly_Model!$A$2:$A$9,0)),0),IFERROR(INDEX(Weekly_Model!$D$2:$D$9,MATCH(F45,Weekly_Model!$A$2:$A$9,0)),0),IFERROR(INDEX(Weekly_Model!$D$2:$D$9,MATCH(F46,Weekly_Model!$A$2:$A$9,0)),0)),IF(VLOOKUP($A43,Calendar!$A$1:$R$1377,18,0)=5,SUM(IFERROR(INDEX(Weekly_Model!$D$2:$D$9,MATCH(F43,Weekly_Model!$A$2:$A$9,0)),0),IFERROR(INDEX(Weekly_Model!$D$2:$D$9,MATCH(F44,Weekly_Model!$A$2:$A$9,0)),0),IFERROR(INDEX(Weekly_Model!$D$2:$D$9,MATCH(F45,Weekly_Model!$A$2:$A$9,0)),0),IFERROR(INDEX(Weekly_Model!$D$2:$D$9,MATCH(F46,Weekly_Model!$A$2:$A$9,0)),0),IFERROR(INDEX(Weekly_Model!$D$2:$D$9,MATCH(F47,Weekly_Model!$A$2:$A$9,0)),0)),0))))))</f>
        <v>2.3200000000000002E-2</v>
      </c>
      <c r="L43" s="27">
        <f>IF(VLOOKUP($A43,Calendar!$A$1:$R$1377,18,0)=0,0,IF(VLOOKUP($A43,Calendar!$A$1:$R$1377,18,0)=1,IFERROR(INDEX(Fortnightly_Model!$D$2:$D$15,MATCH(G43,Fortnightly_Model!$B$2:$B$15,0)),0),IF(VLOOKUP($A43,Calendar!$A$1:$R$1377,18,0)=2,SUM(IFERROR(INDEX(Fortnightly_Model!$D$2:$D$15,MATCH(G43,Fortnightly_Model!$B$2:$B$15,0)),0),IFERROR(INDEX(Fortnightly_Model!$D$2:$D$15,MATCH(G44,Fortnightly_Model!$B$2:$B$15,0)),0)),IF(VLOOKUP($A43,Calendar!$A$1:$R$1377,18,0)=3,SUM(IFERROR(INDEX(Fortnightly_Model!$D$2:$D$15,MATCH(G43,Fortnightly_Model!$B$2:$B$15,0)),0),IFERROR(INDEX(Fortnightly_Model!$D$2:$D$15,MATCH(G44,Fortnightly_Model!$B$2:$B$15,0)),0),IFERROR(INDEX(Fortnightly_Model!$D$2:$D$15,MATCH(G45,Fortnightly_Model!$B$2:$B$15,0)),0)),IF(VLOOKUP($A43,Calendar!$A$1:$R$1377,18,0)=4,SUM(IFERROR(INDEX(Fortnightly_Model!$D$2:$D$15,MATCH(G43,Fortnightly_Model!$B$2:$B$15,0)),0),IFERROR(INDEX(Fortnightly_Model!$D$2:$D$15,MATCH(G44,Fortnightly_Model!$B$2:$B$15,0)),0),IFERROR(INDEX(Fortnightly_Model!$D$2:$D$15,MATCH(G45,Fortnightly_Model!$B$2:$B$15,0)),0),IFERROR(INDEX(Fortnightly_Model!$D$2:$D$15,MATCH(G46,Fortnightly_Model!$B$2:$B$15,0)),0)),IF(VLOOKUP($A43,Calendar!$A$1:$R$1377,18,0)=5,SUM(IFERROR(INDEX(Fortnightly_Model!$D$2:$D$15,MATCH(G43,Fortnightly_Model!$B$2:$B$15,0)),0),IFERROR(INDEX(Fortnightly_Model!$D$2:$D$15,MATCH(G44,Fortnightly_Model!$B$2:$B$15,0)),0),IFERROR(INDEX(Fortnightly_Model!$D$2:$D$15,MATCH(G45,Fortnightly_Model!$B$2:$B$15,0)),0),IFERROR(INDEX(Fortnightly_Model!$D$2:$D$15,MATCH(G46,Fortnightly_Model!$B$2:$B$15,0)),0),IFERROR(INDEX(Fortnightly_Model!$D$2:$D$15,MATCH(G47,Fortnightly_Model!$B$2:$B$15,0)),0)),0))))))</f>
        <v>3.2142856499999999E-3</v>
      </c>
      <c r="M43" s="27">
        <f>IF(VLOOKUP($A43,Calendar!$A$1:$R$1377,18,0)=0,0,IF(VLOOKUP($A43,Calendar!$A$1:$R$1377,18,0)=1,IFERROR(INDEX(FourWeekly_Model!$D$2:$D$29,MATCH(H43,FourWeekly_Model!$B$2:$B$29,0)),0),IF(VLOOKUP($A43,Calendar!$A$1:$R$1377,18,0)=2,SUM(IFERROR(INDEX(FourWeekly_Model!$D$2:$D$29,MATCH(H43,FourWeekly_Model!$B$2:$B$29,0)),0),IFERROR(INDEX(FourWeekly_Model!$D$2:$D$29,MATCH(H44,FourWeekly_Model!$B$2:$B$29,0)),0)),IF(VLOOKUP($A43,Calendar!$A$1:$R$1377,18,0)=3,SUM(IFERROR(INDEX(FourWeekly_Model!$D$2:$D$29,MATCH(H43,FourWeekly_Model!$B$2:$B$29,0)),0),IFERROR(INDEX(FourWeekly_Model!$D$2:$D$29,MATCH(H44,FourWeekly_Model!$B$2:$B$29,0)),0),IFERROR(INDEX(FourWeekly_Model!$D$2:$D$29,MATCH(H45,FourWeekly_Model!$B$2:$B$29,0)),0)),IF(VLOOKUP($A43,Calendar!$A$1:$R$1377,18,0)=4,SUM(IFERROR(INDEX(FourWeekly_Model!$D$2:$D$29,MATCH(H43,FourWeekly_Model!$B$2:$B$29,0)),0),IFERROR(INDEX(FourWeekly_Model!$D$2:$D$29,MATCH(H44,FourWeekly_Model!$B$2:$B$29,0)),0),IFERROR(INDEX(FourWeekly_Model!$D$2:$D$29,MATCH(H45,FourWeekly_Model!$B$2:$B$29,0)),0),IFERROR(INDEX(FourWeekly_Model!$D$2:$D$29,MATCH(H46,FourWeekly_Model!$B$2:$B$29,0)),0)),IF(VLOOKUP($A43,Calendar!$A$1:$R$1377,18,0)=5,SUM(IFERROR(INDEX(FourWeekly_Model!$D$2:$D$29,MATCH(H43,FourWeekly_Model!$B$2:$B$29,0)),0),IFERROR(INDEX(FourWeekly_Model!$D$2:$D$29,MATCH(H44,FourWeekly_Model!$B$2:$B$29,0)),0),IFERROR(INDEX(FourWeekly_Model!$D$2:$D$29,MATCH(H45,FourWeekly_Model!$B$2:$B$29,0)),0),IFERROR(INDEX(FourWeekly_Model!$D$2:$D$29,MATCH(H46,FourWeekly_Model!$B$2:$B$29,0)),0),IFERROR(INDEX(FourWeekly_Model!$D$2:$D$29,MATCH(H47,FourWeekly_Model!$B$2:$B$29,0)),0)),0))))))</f>
        <v>9.9642859800000011E-3</v>
      </c>
      <c r="N43" s="27">
        <f>SUM(I43:M43)</f>
        <v>3.9628833410104716E-2</v>
      </c>
      <c r="O43" s="28">
        <f>Population_Data!$B$8*N43</f>
        <v>1200753.6523261729</v>
      </c>
      <c r="P43" s="27">
        <f>IF(VLOOKUP($A43,Calendar!$A$1:$R$1377,18,0)=0,0,IF(VLOOKUP($A43,Calendar!$A$1:$R$1377,18,0)=1,IFERROR(INDEX(Pension_Model!$D$2:$D$29,MATCH(H43,Pension_Model!$B$2:$B$29,0)),0),IF(VLOOKUP($A43,Calendar!$A$1:$R$1377,18,0)=2,SUM(IFERROR(INDEX(Pension_Model!$D$2:$D$29,MATCH(H43,Pension_Model!$B$2:$B$29,0)),0),IFERROR(INDEX(Pension_Model!$D$2:$D$29,MATCH(H44,Pension_Model!$B$2:$B$29,0)),0)),IF(VLOOKUP($A43,Calendar!$A$1:$R$1377,18,0)=3,SUM(IFERROR(INDEX(Pension_Model!$D$2:$D$29,MATCH(H43,Pension_Model!$B$2:$B$29,0)),0),IFERROR(INDEX(Pension_Model!$D$2:$D$29,MATCH(H44,Pension_Model!$B$2:$B$29,0)),0),IFERROR(INDEX(Pension_Model!$D$2:$D$29,MATCH(H45,Pension_Model!$B$2:$B$29,0)),0)),IF(VLOOKUP($A43,Calendar!$A$1:$R$1377,18,0)=4,SUM(IFERROR(INDEX(Pension_Model!$D$2:$D$29,MATCH(H43,Pension_Model!$B$2:$B$29,0)),0),IFERROR(INDEX(Pension_Model!$D$2:$D$29,MATCH(H44,Pension_Model!$B$2:$B$29,0)),0),IFERROR(INDEX(Pension_Model!$D$2:$D$29,MATCH(H45,Pension_Model!$B$2:$B$29,0)),0),IFERROR(INDEX(Pension_Model!$D$2:$D$29,MATCH(H46,Pension_Model!$B$2:$B$29,0)),0)),IF(VLOOKUP($A43,Calendar!$A$1:$R$1377,18,0)=5,SUM(IFERROR(INDEX(Pension_Model!$D$2:$D$29,MATCH(H43,Pension_Model!$B$2:$B$29,0)),0),IFERROR(INDEX(Pension_Model!$D$2:$D$29,MATCH(H44,Pension_Model!$B$2:$B$29,0)),0),IFERROR(INDEX(Pension_Model!$D$2:$D$29,MATCH(H45,Pension_Model!$B$2:$B$29,0)),0),IFERROR(INDEX(Pension_Model!$D$2:$D$29,MATCH(H46,Pension_Model!$B$2:$B$29,0)),0),IFERROR(INDEX(Pension_Model!$D$2:$D$29,MATCH(H47,Pension_Model!$B$2:$B$29,0)),0)),0))))))</f>
        <v>0.05</v>
      </c>
      <c r="Q43" s="28">
        <f>Population_Data!$B$15*P43</f>
        <v>660600</v>
      </c>
      <c r="S43">
        <f t="shared" si="0"/>
        <v>1861353.6523261729</v>
      </c>
      <c r="U43" s="33">
        <f>S43/Population_Data!$B$19</f>
        <v>3.3720174860981396E-2</v>
      </c>
    </row>
    <row r="44" spans="1:21">
      <c r="A44" s="25">
        <f>Calendar!A44</f>
        <v>46277</v>
      </c>
      <c r="B44" t="str">
        <f>Calendar!L44</f>
        <v>No</v>
      </c>
      <c r="C44" t="str">
        <f>Calendar!O44</f>
        <v>No</v>
      </c>
      <c r="D44" t="str">
        <f>Calendar!P44</f>
        <v>No</v>
      </c>
      <c r="E44" t="str">
        <f>Calendar!Q44</f>
        <v>No</v>
      </c>
      <c r="F44" t="str">
        <f>Calendar!I44</f>
        <v>Saturday</v>
      </c>
      <c r="G44">
        <f>Calendar!S44</f>
        <v>7</v>
      </c>
      <c r="H44">
        <f>Calendar!T44</f>
        <v>21</v>
      </c>
      <c r="I44" s="27">
        <f>IF(VLOOKUP(A44,Calendar!$A$1:$R$1377,18,0)=0,0,IF(VLOOKUP(A44,Calendar!$A$1:$R$1377,18,0)=1,INDEX(Monthly_Pay_Model!$A$9:$D$40,MATCH(TEXT(A44,"dd"),Monthly_Pay_Model!$C$9:$C$39,0),4),IF(VLOOKUP(A44,Calendar!$A$1:$R$1377,18,0)=2,SUM(INDEX(Monthly_Pay_Model!$A$9:$D$40,MATCH(TEXT(A44,"dd"),Monthly_Pay_Model!$C$9:$C$39,0),4),INDEX(Monthly_Pay_Model!$A$9:$D$40,MATCH(TEXT(A45,"dd"),Monthly_Pay_Model!$C$9:$C$39,0),4)),IF(VLOOKUP(A44,Calendar!$A$1:$R$1377,18,0)=3,SUM(INDEX(Monthly_Pay_Model!$A$9:$D$40,MATCH(TEXT(A44,"dd"),Monthly_Pay_Model!$C$9:$C$39,0),4),INDEX(Monthly_Pay_Model!$A$9:$D$40,MATCH(TEXT(A45,"dd"),Monthly_Pay_Model!$C$9:$C$39,0),4),INDEX(Monthly_Pay_Model!$A$9:$D$40,MATCH(TEXT(A46,"dd"),Monthly_Pay_Model!$C$9:$C$39,0),4)),IF(VLOOKUP(A44,Calendar!$A$1:$R$1377,18,0)=4,SUM(INDEX(Monthly_Pay_Model!$A$9:$D$40,MATCH(TEXT(A44,"dd"),Monthly_Pay_Model!$C$9:$C$39,0),4),INDEX(Monthly_Pay_Model!$A$9:$D$40,MATCH(TEXT(A45,"dd"),Monthly_Pay_Model!$C$9:$C$39,0),4),INDEX(Monthly_Pay_Model!$A$9:$D$40,MATCH(TEXT(A46,"dd"),Monthly_Pay_Model!$C$9:$C$39,0),4),INDEX(Monthly_Pay_Model!$A$9:$D$40,MATCH(TEXT(A47,"dd"),Monthly_Pay_Model!$C$9:$C$39,0),4)),IF(VLOOKUP(A44,Calendar!$A$1:$R$1377,18,0)=5,SUM(INDEX(Monthly_Pay_Model!$A$9:$D$40,MATCH(TEXT(A44,"dd"),Monthly_Pay_Model!$C$9:$C$39,0),4),INDEX(Monthly_Pay_Model!$A$9:$D$40,MATCH(TEXT(A45,"dd"),Monthly_Pay_Model!$C$9:$C$39,0),4),INDEX(Monthly_Pay_Model!$A$9:$D$40,MATCH(TEXT(A46,"dd"),Monthly_Pay_Model!$C$9:$C$39,0),4),INDEX(Monthly_Pay_Model!$A$9:$D$40,MATCH(TEXT(A47,"dd"),Monthly_Pay_Model!$C$9:$C$39,0),4),INDEX(Monthly_Pay_Model!$A$9:$D$40,MATCH(TEXT(A48,"dd"),Monthly_Pay_Model!$C$9:$C$39,0),4)),))))))</f>
        <v>0</v>
      </c>
      <c r="J44" s="33">
        <f>IF(C44="Yes",Monthly_Pay_Model!$D$2,0)
+IF(Calendar!N44="Yes",Monthly_Pay_Model!$D$3,0)
+IF(D44="Yes",Monthly_Pay_Model!$D$4,0)
+IF(E44="Yes",Monthly_Pay_Model!$D$5,0)</f>
        <v>0</v>
      </c>
      <c r="K44" s="27">
        <f>IF(VLOOKUP($A44,Calendar!$A$1:$R$1377,18,0)=0,0,IF(VLOOKUP($A44,Calendar!$A$1:$R$1377,18,0)=1,IFERROR(INDEX(Weekly_Model!$D$2:$D$9,MATCH(F44,Weekly_Model!$A$2:$A$9,0)),0),IF(VLOOKUP($A44,Calendar!$A$1:$R$1377,18,0)=2,SUM(IFERROR(INDEX(Weekly_Model!$D$2:$D$9,MATCH(F44,Weekly_Model!$A$2:$A$9,0)),0),IFERROR(INDEX(Weekly_Model!$D$2:$D$9,MATCH(F45,Weekly_Model!$A$2:$A$9,0)),0)),IF(VLOOKUP($A44,Calendar!$A$1:$R$1377,18,0)=3,SUM(IFERROR(INDEX(Weekly_Model!$D$2:$D$9,MATCH(F44,Weekly_Model!$A$2:$A$9,0)),0),IFERROR(INDEX(Weekly_Model!$D$2:$D$9,MATCH(F45,Weekly_Model!$A$2:$A$9,0)),0),IFERROR(INDEX(Weekly_Model!$D$2:$D$9,MATCH(F46,Weekly_Model!$A$2:$A$9,0)),0)),IF(VLOOKUP($A44,Calendar!$A$1:$R$1377,18,0)=4,SUM(IFERROR(INDEX(Weekly_Model!$D$2:$D$9,MATCH(F44,Weekly_Model!$A$2:$A$9,0)),0),IFERROR(INDEX(Weekly_Model!$D$2:$D$9,MATCH(F45,Weekly_Model!$A$2:$A$9,0)),0),IFERROR(INDEX(Weekly_Model!$D$2:$D$9,MATCH(F46,Weekly_Model!$A$2:$A$9,0)),0),IFERROR(INDEX(Weekly_Model!$D$2:$D$9,MATCH(F47,Weekly_Model!$A$2:$A$9,0)),0)),IF(VLOOKUP($A44,Calendar!$A$1:$R$1377,18,0)=5,SUM(IFERROR(INDEX(Weekly_Model!$D$2:$D$9,MATCH(F44,Weekly_Model!$A$2:$A$9,0)),0),IFERROR(INDEX(Weekly_Model!$D$2:$D$9,MATCH(F45,Weekly_Model!$A$2:$A$9,0)),0),IFERROR(INDEX(Weekly_Model!$D$2:$D$9,MATCH(F46,Weekly_Model!$A$2:$A$9,0)),0),IFERROR(INDEX(Weekly_Model!$D$2:$D$9,MATCH(F47,Weekly_Model!$A$2:$A$9,0)),0),IFERROR(INDEX(Weekly_Model!$D$2:$D$9,MATCH(F48,Weekly_Model!$A$2:$A$9,0)),0)),0))))))</f>
        <v>0</v>
      </c>
      <c r="L44" s="27">
        <f>IF(VLOOKUP($A44,Calendar!$A$1:$R$1377,18,0)=0,0,IF(VLOOKUP($A44,Calendar!$A$1:$R$1377,18,0)=1,IFERROR(INDEX(Fortnightly_Model!$D$2:$D$15,MATCH(G44,Fortnightly_Model!$B$2:$B$15,0)),0),IF(VLOOKUP($A44,Calendar!$A$1:$R$1377,18,0)=2,SUM(IFERROR(INDEX(Fortnightly_Model!$D$2:$D$15,MATCH(G44,Fortnightly_Model!$B$2:$B$15,0)),0),IFERROR(INDEX(Fortnightly_Model!$D$2:$D$15,MATCH(G45,Fortnightly_Model!$B$2:$B$15,0)),0)),IF(VLOOKUP($A44,Calendar!$A$1:$R$1377,18,0)=3,SUM(IFERROR(INDEX(Fortnightly_Model!$D$2:$D$15,MATCH(G44,Fortnightly_Model!$B$2:$B$15,0)),0),IFERROR(INDEX(Fortnightly_Model!$D$2:$D$15,MATCH(G45,Fortnightly_Model!$B$2:$B$15,0)),0),IFERROR(INDEX(Fortnightly_Model!$D$2:$D$15,MATCH(G46,Fortnightly_Model!$B$2:$B$15,0)),0)),IF(VLOOKUP($A44,Calendar!$A$1:$R$1377,18,0)=4,SUM(IFERROR(INDEX(Fortnightly_Model!$D$2:$D$15,MATCH(G44,Fortnightly_Model!$B$2:$B$15,0)),0),IFERROR(INDEX(Fortnightly_Model!$D$2:$D$15,MATCH(G45,Fortnightly_Model!$B$2:$B$15,0)),0),IFERROR(INDEX(Fortnightly_Model!$D$2:$D$15,MATCH(G46,Fortnightly_Model!$B$2:$B$15,0)),0),IFERROR(INDEX(Fortnightly_Model!$D$2:$D$15,MATCH(G47,Fortnightly_Model!$B$2:$B$15,0)),0)),IF(VLOOKUP($A44,Calendar!$A$1:$R$1377,18,0)=5,SUM(IFERROR(INDEX(Fortnightly_Model!$D$2:$D$15,MATCH(G44,Fortnightly_Model!$B$2:$B$15,0)),0),IFERROR(INDEX(Fortnightly_Model!$D$2:$D$15,MATCH(G45,Fortnightly_Model!$B$2:$B$15,0)),0),IFERROR(INDEX(Fortnightly_Model!$D$2:$D$15,MATCH(G46,Fortnightly_Model!$B$2:$B$15,0)),0),IFERROR(INDEX(Fortnightly_Model!$D$2:$D$15,MATCH(G47,Fortnightly_Model!$B$2:$B$15,0)),0),IFERROR(INDEX(Fortnightly_Model!$D$2:$D$15,MATCH(G48,Fortnightly_Model!$B$2:$B$15,0)),0)),0))))))</f>
        <v>0</v>
      </c>
      <c r="M44" s="27">
        <f>IF(VLOOKUP($A44,Calendar!$A$1:$R$1377,18,0)=0,0,IF(VLOOKUP($A44,Calendar!$A$1:$R$1377,18,0)=1,IFERROR(INDEX(FourWeekly_Model!$D$2:$D$29,MATCH(H44,FourWeekly_Model!$B$2:$B$29,0)),0),IF(VLOOKUP($A44,Calendar!$A$1:$R$1377,18,0)=2,SUM(IFERROR(INDEX(FourWeekly_Model!$D$2:$D$29,MATCH(H44,FourWeekly_Model!$B$2:$B$29,0)),0),IFERROR(INDEX(FourWeekly_Model!$D$2:$D$29,MATCH(H45,FourWeekly_Model!$B$2:$B$29,0)),0)),IF(VLOOKUP($A44,Calendar!$A$1:$R$1377,18,0)=3,SUM(IFERROR(INDEX(FourWeekly_Model!$D$2:$D$29,MATCH(H44,FourWeekly_Model!$B$2:$B$29,0)),0),IFERROR(INDEX(FourWeekly_Model!$D$2:$D$29,MATCH(H45,FourWeekly_Model!$B$2:$B$29,0)),0),IFERROR(INDEX(FourWeekly_Model!$D$2:$D$29,MATCH(H46,FourWeekly_Model!$B$2:$B$29,0)),0)),IF(VLOOKUP($A44,Calendar!$A$1:$R$1377,18,0)=4,SUM(IFERROR(INDEX(FourWeekly_Model!$D$2:$D$29,MATCH(H44,FourWeekly_Model!$B$2:$B$29,0)),0),IFERROR(INDEX(FourWeekly_Model!$D$2:$D$29,MATCH(H45,FourWeekly_Model!$B$2:$B$29,0)),0),IFERROR(INDEX(FourWeekly_Model!$D$2:$D$29,MATCH(H46,FourWeekly_Model!$B$2:$B$29,0)),0),IFERROR(INDEX(FourWeekly_Model!$D$2:$D$29,MATCH(H47,FourWeekly_Model!$B$2:$B$29,0)),0)),IF(VLOOKUP($A44,Calendar!$A$1:$R$1377,18,0)=5,SUM(IFERROR(INDEX(FourWeekly_Model!$D$2:$D$29,MATCH(H44,FourWeekly_Model!$B$2:$B$29,0)),0),IFERROR(INDEX(FourWeekly_Model!$D$2:$D$29,MATCH(H45,FourWeekly_Model!$B$2:$B$29,0)),0),IFERROR(INDEX(FourWeekly_Model!$D$2:$D$29,MATCH(H46,FourWeekly_Model!$B$2:$B$29,0)),0),IFERROR(INDEX(FourWeekly_Model!$D$2:$D$29,MATCH(H47,FourWeekly_Model!$B$2:$B$29,0)),0),IFERROR(INDEX(FourWeekly_Model!$D$2:$D$29,MATCH(H48,FourWeekly_Model!$B$2:$B$29,0)),0)),0))))))</f>
        <v>0</v>
      </c>
      <c r="N44" s="27">
        <f>SUM(I44:M44)</f>
        <v>0</v>
      </c>
      <c r="O44" s="28">
        <f>Population_Data!$B$8*N44</f>
        <v>0</v>
      </c>
      <c r="P44" s="27">
        <f>IF(VLOOKUP($A44,Calendar!$A$1:$R$1377,18,0)=0,0,IF(VLOOKUP($A44,Calendar!$A$1:$R$1377,18,0)=1,IFERROR(INDEX(Pension_Model!$D$2:$D$29,MATCH(H44,Pension_Model!$B$2:$B$29,0)),0),IF(VLOOKUP($A44,Calendar!$A$1:$R$1377,18,0)=2,SUM(IFERROR(INDEX(Pension_Model!$D$2:$D$29,MATCH(H44,Pension_Model!$B$2:$B$29,0)),0),IFERROR(INDEX(Pension_Model!$D$2:$D$29,MATCH(H45,Pension_Model!$B$2:$B$29,0)),0)),IF(VLOOKUP($A44,Calendar!$A$1:$R$1377,18,0)=3,SUM(IFERROR(INDEX(Pension_Model!$D$2:$D$29,MATCH(H44,Pension_Model!$B$2:$B$29,0)),0),IFERROR(INDEX(Pension_Model!$D$2:$D$29,MATCH(H45,Pension_Model!$B$2:$B$29,0)),0),IFERROR(INDEX(Pension_Model!$D$2:$D$29,MATCH(H46,Pension_Model!$B$2:$B$29,0)),0)),IF(VLOOKUP($A44,Calendar!$A$1:$R$1377,18,0)=4,SUM(IFERROR(INDEX(Pension_Model!$D$2:$D$29,MATCH(H44,Pension_Model!$B$2:$B$29,0)),0),IFERROR(INDEX(Pension_Model!$D$2:$D$29,MATCH(H45,Pension_Model!$B$2:$B$29,0)),0),IFERROR(INDEX(Pension_Model!$D$2:$D$29,MATCH(H46,Pension_Model!$B$2:$B$29,0)),0),IFERROR(INDEX(Pension_Model!$D$2:$D$29,MATCH(H47,Pension_Model!$B$2:$B$29,0)),0)),IF(VLOOKUP($A44,Calendar!$A$1:$R$1377,18,0)=5,SUM(IFERROR(INDEX(Pension_Model!$D$2:$D$29,MATCH(H44,Pension_Model!$B$2:$B$29,0)),0),IFERROR(INDEX(Pension_Model!$D$2:$D$29,MATCH(H45,Pension_Model!$B$2:$B$29,0)),0),IFERROR(INDEX(Pension_Model!$D$2:$D$29,MATCH(H46,Pension_Model!$B$2:$B$29,0)),0),IFERROR(INDEX(Pension_Model!$D$2:$D$29,MATCH(H47,Pension_Model!$B$2:$B$29,0)),0),IFERROR(INDEX(Pension_Model!$D$2:$D$29,MATCH(H48,Pension_Model!$B$2:$B$29,0)),0)),0))))))</f>
        <v>0</v>
      </c>
      <c r="Q44" s="28">
        <f>Population_Data!$B$15*P44</f>
        <v>0</v>
      </c>
      <c r="S44">
        <f t="shared" si="0"/>
        <v>0</v>
      </c>
      <c r="U44" s="33">
        <f>S44/Population_Data!$B$19</f>
        <v>0</v>
      </c>
    </row>
    <row r="45" spans="1:21">
      <c r="A45" s="25">
        <f>Calendar!A45</f>
        <v>46278</v>
      </c>
      <c r="B45" t="str">
        <f>Calendar!L45</f>
        <v>No</v>
      </c>
      <c r="C45" t="str">
        <f>Calendar!O45</f>
        <v>No</v>
      </c>
      <c r="D45" t="str">
        <f>Calendar!P45</f>
        <v>No</v>
      </c>
      <c r="E45" t="str">
        <f>Calendar!Q45</f>
        <v>No</v>
      </c>
      <c r="F45" t="str">
        <f>Calendar!I45</f>
        <v>Sunday</v>
      </c>
      <c r="G45">
        <f>Calendar!S45</f>
        <v>8</v>
      </c>
      <c r="H45">
        <f>Calendar!T45</f>
        <v>22</v>
      </c>
      <c r="I45" s="27">
        <f>IF(VLOOKUP(A45,Calendar!$A$1:$R$1377,18,0)=0,0,IF(VLOOKUP(A45,Calendar!$A$1:$R$1377,18,0)=1,INDEX(Monthly_Pay_Model!$A$9:$D$40,MATCH(TEXT(A45,"dd"),Monthly_Pay_Model!$C$9:$C$39,0),4),IF(VLOOKUP(A45,Calendar!$A$1:$R$1377,18,0)=2,SUM(INDEX(Monthly_Pay_Model!$A$9:$D$40,MATCH(TEXT(A45,"dd"),Monthly_Pay_Model!$C$9:$C$39,0),4),INDEX(Monthly_Pay_Model!$A$9:$D$40,MATCH(TEXT(A46,"dd"),Monthly_Pay_Model!$C$9:$C$39,0),4)),IF(VLOOKUP(A45,Calendar!$A$1:$R$1377,18,0)=3,SUM(INDEX(Monthly_Pay_Model!$A$9:$D$40,MATCH(TEXT(A45,"dd"),Monthly_Pay_Model!$C$9:$C$39,0),4),INDEX(Monthly_Pay_Model!$A$9:$D$40,MATCH(TEXT(A46,"dd"),Monthly_Pay_Model!$C$9:$C$39,0),4),INDEX(Monthly_Pay_Model!$A$9:$D$40,MATCH(TEXT(A47,"dd"),Monthly_Pay_Model!$C$9:$C$39,0),4)),IF(VLOOKUP(A45,Calendar!$A$1:$R$1377,18,0)=4,SUM(INDEX(Monthly_Pay_Model!$A$9:$D$40,MATCH(TEXT(A45,"dd"),Monthly_Pay_Model!$C$9:$C$39,0),4),INDEX(Monthly_Pay_Model!$A$9:$D$40,MATCH(TEXT(A46,"dd"),Monthly_Pay_Model!$C$9:$C$39,0),4),INDEX(Monthly_Pay_Model!$A$9:$D$40,MATCH(TEXT(A47,"dd"),Monthly_Pay_Model!$C$9:$C$39,0),4),INDEX(Monthly_Pay_Model!$A$9:$D$40,MATCH(TEXT(A48,"dd"),Monthly_Pay_Model!$C$9:$C$39,0),4)),IF(VLOOKUP(A45,Calendar!$A$1:$R$1377,18,0)=5,SUM(INDEX(Monthly_Pay_Model!$A$9:$D$40,MATCH(TEXT(A45,"dd"),Monthly_Pay_Model!$C$9:$C$39,0),4),INDEX(Monthly_Pay_Model!$A$9:$D$40,MATCH(TEXT(A46,"dd"),Monthly_Pay_Model!$C$9:$C$39,0),4),INDEX(Monthly_Pay_Model!$A$9:$D$40,MATCH(TEXT(A47,"dd"),Monthly_Pay_Model!$C$9:$C$39,0),4),INDEX(Monthly_Pay_Model!$A$9:$D$40,MATCH(TEXT(A48,"dd"),Monthly_Pay_Model!$C$9:$C$39,0),4),INDEX(Monthly_Pay_Model!$A$9:$D$40,MATCH(TEXT(A49,"dd"),Monthly_Pay_Model!$C$9:$C$39,0),4)),))))))</f>
        <v>0</v>
      </c>
      <c r="J45" s="33">
        <f>IF(C45="Yes",Monthly_Pay_Model!$D$2,0)
+IF(Calendar!N45="Yes",Monthly_Pay_Model!$D$3,0)
+IF(D45="Yes",Monthly_Pay_Model!$D$4,0)
+IF(E45="Yes",Monthly_Pay_Model!$D$5,0)</f>
        <v>0</v>
      </c>
      <c r="K45" s="27">
        <f>IF(VLOOKUP($A45,Calendar!$A$1:$R$1377,18,0)=0,0,IF(VLOOKUP($A45,Calendar!$A$1:$R$1377,18,0)=1,IFERROR(INDEX(Weekly_Model!$D$2:$D$9,MATCH(F45,Weekly_Model!$A$2:$A$9,0)),0),IF(VLOOKUP($A45,Calendar!$A$1:$R$1377,18,0)=2,SUM(IFERROR(INDEX(Weekly_Model!$D$2:$D$9,MATCH(F45,Weekly_Model!$A$2:$A$9,0)),0),IFERROR(INDEX(Weekly_Model!$D$2:$D$9,MATCH(F46,Weekly_Model!$A$2:$A$9,0)),0)),IF(VLOOKUP($A45,Calendar!$A$1:$R$1377,18,0)=3,SUM(IFERROR(INDEX(Weekly_Model!$D$2:$D$9,MATCH(F45,Weekly_Model!$A$2:$A$9,0)),0),IFERROR(INDEX(Weekly_Model!$D$2:$D$9,MATCH(F46,Weekly_Model!$A$2:$A$9,0)),0),IFERROR(INDEX(Weekly_Model!$D$2:$D$9,MATCH(F47,Weekly_Model!$A$2:$A$9,0)),0)),IF(VLOOKUP($A45,Calendar!$A$1:$R$1377,18,0)=4,SUM(IFERROR(INDEX(Weekly_Model!$D$2:$D$9,MATCH(F45,Weekly_Model!$A$2:$A$9,0)),0),IFERROR(INDEX(Weekly_Model!$D$2:$D$9,MATCH(F46,Weekly_Model!$A$2:$A$9,0)),0),IFERROR(INDEX(Weekly_Model!$D$2:$D$9,MATCH(F47,Weekly_Model!$A$2:$A$9,0)),0),IFERROR(INDEX(Weekly_Model!$D$2:$D$9,MATCH(F48,Weekly_Model!$A$2:$A$9,0)),0)),IF(VLOOKUP($A45,Calendar!$A$1:$R$1377,18,0)=5,SUM(IFERROR(INDEX(Weekly_Model!$D$2:$D$9,MATCH(F45,Weekly_Model!$A$2:$A$9,0)),0),IFERROR(INDEX(Weekly_Model!$D$2:$D$9,MATCH(F46,Weekly_Model!$A$2:$A$9,0)),0),IFERROR(INDEX(Weekly_Model!$D$2:$D$9,MATCH(F47,Weekly_Model!$A$2:$A$9,0)),0),IFERROR(INDEX(Weekly_Model!$D$2:$D$9,MATCH(F48,Weekly_Model!$A$2:$A$9,0)),0),IFERROR(INDEX(Weekly_Model!$D$2:$D$9,MATCH(F49,Weekly_Model!$A$2:$A$9,0)),0)),0))))))</f>
        <v>0</v>
      </c>
      <c r="L45" s="27">
        <f>IF(VLOOKUP($A45,Calendar!$A$1:$R$1377,18,0)=0,0,IF(VLOOKUP($A45,Calendar!$A$1:$R$1377,18,0)=1,IFERROR(INDEX(Fortnightly_Model!$D$2:$D$15,MATCH(G45,Fortnightly_Model!$B$2:$B$15,0)),0),IF(VLOOKUP($A45,Calendar!$A$1:$R$1377,18,0)=2,SUM(IFERROR(INDEX(Fortnightly_Model!$D$2:$D$15,MATCH(G45,Fortnightly_Model!$B$2:$B$15,0)),0),IFERROR(INDEX(Fortnightly_Model!$D$2:$D$15,MATCH(G46,Fortnightly_Model!$B$2:$B$15,0)),0)),IF(VLOOKUP($A45,Calendar!$A$1:$R$1377,18,0)=3,SUM(IFERROR(INDEX(Fortnightly_Model!$D$2:$D$15,MATCH(G45,Fortnightly_Model!$B$2:$B$15,0)),0),IFERROR(INDEX(Fortnightly_Model!$D$2:$D$15,MATCH(G46,Fortnightly_Model!$B$2:$B$15,0)),0),IFERROR(INDEX(Fortnightly_Model!$D$2:$D$15,MATCH(G47,Fortnightly_Model!$B$2:$B$15,0)),0)),IF(VLOOKUP($A45,Calendar!$A$1:$R$1377,18,0)=4,SUM(IFERROR(INDEX(Fortnightly_Model!$D$2:$D$15,MATCH(G45,Fortnightly_Model!$B$2:$B$15,0)),0),IFERROR(INDEX(Fortnightly_Model!$D$2:$D$15,MATCH(G46,Fortnightly_Model!$B$2:$B$15,0)),0),IFERROR(INDEX(Fortnightly_Model!$D$2:$D$15,MATCH(G47,Fortnightly_Model!$B$2:$B$15,0)),0),IFERROR(INDEX(Fortnightly_Model!$D$2:$D$15,MATCH(G48,Fortnightly_Model!$B$2:$B$15,0)),0)),IF(VLOOKUP($A45,Calendar!$A$1:$R$1377,18,0)=5,SUM(IFERROR(INDEX(Fortnightly_Model!$D$2:$D$15,MATCH(G45,Fortnightly_Model!$B$2:$B$15,0)),0),IFERROR(INDEX(Fortnightly_Model!$D$2:$D$15,MATCH(G46,Fortnightly_Model!$B$2:$B$15,0)),0),IFERROR(INDEX(Fortnightly_Model!$D$2:$D$15,MATCH(G47,Fortnightly_Model!$B$2:$B$15,0)),0),IFERROR(INDEX(Fortnightly_Model!$D$2:$D$15,MATCH(G48,Fortnightly_Model!$B$2:$B$15,0)),0),IFERROR(INDEX(Fortnightly_Model!$D$2:$D$15,MATCH(G49,Fortnightly_Model!$B$2:$B$15,0)),0)),0))))))</f>
        <v>0</v>
      </c>
      <c r="M45" s="27">
        <f>IF(VLOOKUP($A45,Calendar!$A$1:$R$1377,18,0)=0,0,IF(VLOOKUP($A45,Calendar!$A$1:$R$1377,18,0)=1,IFERROR(INDEX(FourWeekly_Model!$D$2:$D$29,MATCH(H45,FourWeekly_Model!$B$2:$B$29,0)),0),IF(VLOOKUP($A45,Calendar!$A$1:$R$1377,18,0)=2,SUM(IFERROR(INDEX(FourWeekly_Model!$D$2:$D$29,MATCH(H45,FourWeekly_Model!$B$2:$B$29,0)),0),IFERROR(INDEX(FourWeekly_Model!$D$2:$D$29,MATCH(H46,FourWeekly_Model!$B$2:$B$29,0)),0)),IF(VLOOKUP($A45,Calendar!$A$1:$R$1377,18,0)=3,SUM(IFERROR(INDEX(FourWeekly_Model!$D$2:$D$29,MATCH(H45,FourWeekly_Model!$B$2:$B$29,0)),0),IFERROR(INDEX(FourWeekly_Model!$D$2:$D$29,MATCH(H46,FourWeekly_Model!$B$2:$B$29,0)),0),IFERROR(INDEX(FourWeekly_Model!$D$2:$D$29,MATCH(H47,FourWeekly_Model!$B$2:$B$29,0)),0)),IF(VLOOKUP($A45,Calendar!$A$1:$R$1377,18,0)=4,SUM(IFERROR(INDEX(FourWeekly_Model!$D$2:$D$29,MATCH(H45,FourWeekly_Model!$B$2:$B$29,0)),0),IFERROR(INDEX(FourWeekly_Model!$D$2:$D$29,MATCH(H46,FourWeekly_Model!$B$2:$B$29,0)),0),IFERROR(INDEX(FourWeekly_Model!$D$2:$D$29,MATCH(H47,FourWeekly_Model!$B$2:$B$29,0)),0),IFERROR(INDEX(FourWeekly_Model!$D$2:$D$29,MATCH(H48,FourWeekly_Model!$B$2:$B$29,0)),0)),IF(VLOOKUP($A45,Calendar!$A$1:$R$1377,18,0)=5,SUM(IFERROR(INDEX(FourWeekly_Model!$D$2:$D$29,MATCH(H45,FourWeekly_Model!$B$2:$B$29,0)),0),IFERROR(INDEX(FourWeekly_Model!$D$2:$D$29,MATCH(H46,FourWeekly_Model!$B$2:$B$29,0)),0),IFERROR(INDEX(FourWeekly_Model!$D$2:$D$29,MATCH(H47,FourWeekly_Model!$B$2:$B$29,0)),0),IFERROR(INDEX(FourWeekly_Model!$D$2:$D$29,MATCH(H48,FourWeekly_Model!$B$2:$B$29,0)),0),IFERROR(INDEX(FourWeekly_Model!$D$2:$D$29,MATCH(H49,FourWeekly_Model!$B$2:$B$29,0)),0)),0))))))</f>
        <v>0</v>
      </c>
      <c r="N45" s="27">
        <f>SUM(I45:M45)</f>
        <v>0</v>
      </c>
      <c r="O45" s="28">
        <f>Population_Data!$B$8*N45</f>
        <v>0</v>
      </c>
      <c r="P45" s="27">
        <f>IF(VLOOKUP($A45,Calendar!$A$1:$R$1377,18,0)=0,0,IF(VLOOKUP($A45,Calendar!$A$1:$R$1377,18,0)=1,IFERROR(INDEX(Pension_Model!$D$2:$D$29,MATCH(H45,Pension_Model!$B$2:$B$29,0)),0),IF(VLOOKUP($A45,Calendar!$A$1:$R$1377,18,0)=2,SUM(IFERROR(INDEX(Pension_Model!$D$2:$D$29,MATCH(H45,Pension_Model!$B$2:$B$29,0)),0),IFERROR(INDEX(Pension_Model!$D$2:$D$29,MATCH(H46,Pension_Model!$B$2:$B$29,0)),0)),IF(VLOOKUP($A45,Calendar!$A$1:$R$1377,18,0)=3,SUM(IFERROR(INDEX(Pension_Model!$D$2:$D$29,MATCH(H45,Pension_Model!$B$2:$B$29,0)),0),IFERROR(INDEX(Pension_Model!$D$2:$D$29,MATCH(H46,Pension_Model!$B$2:$B$29,0)),0),IFERROR(INDEX(Pension_Model!$D$2:$D$29,MATCH(H47,Pension_Model!$B$2:$B$29,0)),0)),IF(VLOOKUP($A45,Calendar!$A$1:$R$1377,18,0)=4,SUM(IFERROR(INDEX(Pension_Model!$D$2:$D$29,MATCH(H45,Pension_Model!$B$2:$B$29,0)),0),IFERROR(INDEX(Pension_Model!$D$2:$D$29,MATCH(H46,Pension_Model!$B$2:$B$29,0)),0),IFERROR(INDEX(Pension_Model!$D$2:$D$29,MATCH(H47,Pension_Model!$B$2:$B$29,0)),0),IFERROR(INDEX(Pension_Model!$D$2:$D$29,MATCH(H48,Pension_Model!$B$2:$B$29,0)),0)),IF(VLOOKUP($A45,Calendar!$A$1:$R$1377,18,0)=5,SUM(IFERROR(INDEX(Pension_Model!$D$2:$D$29,MATCH(H45,Pension_Model!$B$2:$B$29,0)),0),IFERROR(INDEX(Pension_Model!$D$2:$D$29,MATCH(H46,Pension_Model!$B$2:$B$29,0)),0),IFERROR(INDEX(Pension_Model!$D$2:$D$29,MATCH(H47,Pension_Model!$B$2:$B$29,0)),0),IFERROR(INDEX(Pension_Model!$D$2:$D$29,MATCH(H48,Pension_Model!$B$2:$B$29,0)),0),IFERROR(INDEX(Pension_Model!$D$2:$D$29,MATCH(H49,Pension_Model!$B$2:$B$29,0)),0)),0))))))</f>
        <v>0</v>
      </c>
      <c r="Q45" s="28">
        <f>Population_Data!$B$15*P45</f>
        <v>0</v>
      </c>
      <c r="S45">
        <f t="shared" si="0"/>
        <v>0</v>
      </c>
      <c r="U45" s="33">
        <f>S45/Population_Data!$B$19</f>
        <v>0</v>
      </c>
    </row>
    <row r="46" spans="1:21">
      <c r="A46" s="25">
        <f>Calendar!A46</f>
        <v>46279</v>
      </c>
      <c r="B46" t="str">
        <f>Calendar!L46</f>
        <v>Yes</v>
      </c>
      <c r="C46" t="str">
        <f>Calendar!O46</f>
        <v>No</v>
      </c>
      <c r="D46" t="str">
        <f>Calendar!P46</f>
        <v>No</v>
      </c>
      <c r="E46" t="str">
        <f>Calendar!Q46</f>
        <v>No</v>
      </c>
      <c r="F46" t="str">
        <f>Calendar!I46</f>
        <v>Monday</v>
      </c>
      <c r="G46">
        <f>Calendar!S46</f>
        <v>9</v>
      </c>
      <c r="H46">
        <f>Calendar!T46</f>
        <v>23</v>
      </c>
      <c r="I46" s="27">
        <f>IF(VLOOKUP(A46,Calendar!$A$1:$R$1377,18,0)=0,0,IF(VLOOKUP(A46,Calendar!$A$1:$R$1377,18,0)=1,INDEX(Monthly_Pay_Model!$A$9:$D$40,MATCH(TEXT(A46,"dd"),Monthly_Pay_Model!$C$9:$C$39,0),4),IF(VLOOKUP(A46,Calendar!$A$1:$R$1377,18,0)=2,SUM(INDEX(Monthly_Pay_Model!$A$9:$D$40,MATCH(TEXT(A46,"dd"),Monthly_Pay_Model!$C$9:$C$39,0),4),INDEX(Monthly_Pay_Model!$A$9:$D$40,MATCH(TEXT(A47,"dd"),Monthly_Pay_Model!$C$9:$C$39,0),4)),IF(VLOOKUP(A46,Calendar!$A$1:$R$1377,18,0)=3,SUM(INDEX(Monthly_Pay_Model!$A$9:$D$40,MATCH(TEXT(A46,"dd"),Monthly_Pay_Model!$C$9:$C$39,0),4),INDEX(Monthly_Pay_Model!$A$9:$D$40,MATCH(TEXT(A47,"dd"),Monthly_Pay_Model!$C$9:$C$39,0),4),INDEX(Monthly_Pay_Model!$A$9:$D$40,MATCH(TEXT(A48,"dd"),Monthly_Pay_Model!$C$9:$C$39,0),4)),IF(VLOOKUP(A46,Calendar!$A$1:$R$1377,18,0)=4,SUM(INDEX(Monthly_Pay_Model!$A$9:$D$40,MATCH(TEXT(A46,"dd"),Monthly_Pay_Model!$C$9:$C$39,0),4),INDEX(Monthly_Pay_Model!$A$9:$D$40,MATCH(TEXT(A47,"dd"),Monthly_Pay_Model!$C$9:$C$39,0),4),INDEX(Monthly_Pay_Model!$A$9:$D$40,MATCH(TEXT(A48,"dd"),Monthly_Pay_Model!$C$9:$C$39,0),4),INDEX(Monthly_Pay_Model!$A$9:$D$40,MATCH(TEXT(A49,"dd"),Monthly_Pay_Model!$C$9:$C$39,0),4)),IF(VLOOKUP(A46,Calendar!$A$1:$R$1377,18,0)=5,SUM(INDEX(Monthly_Pay_Model!$A$9:$D$40,MATCH(TEXT(A46,"dd"),Monthly_Pay_Model!$C$9:$C$39,0),4),INDEX(Monthly_Pay_Model!$A$9:$D$40,MATCH(TEXT(A47,"dd"),Monthly_Pay_Model!$C$9:$C$39,0),4),INDEX(Monthly_Pay_Model!$A$9:$D$40,MATCH(TEXT(A48,"dd"),Monthly_Pay_Model!$C$9:$C$39,0),4),INDEX(Monthly_Pay_Model!$A$9:$D$40,MATCH(TEXT(A49,"dd"),Monthly_Pay_Model!$C$9:$C$39,0),4),INDEX(Monthly_Pay_Model!$A$9:$D$40,MATCH(TEXT(A50,"dd"),Monthly_Pay_Model!$C$9:$C$39,0),4)),))))))</f>
        <v>8.1256544502617792E-4</v>
      </c>
      <c r="J46" s="33">
        <f>IF(C46="Yes",Monthly_Pay_Model!$D$2,0)
+IF(Calendar!N46="Yes",Monthly_Pay_Model!$D$3,0)
+IF(D46="Yes",Monthly_Pay_Model!$D$4,0)
+IF(E46="Yes",Monthly_Pay_Model!$D$5,0)</f>
        <v>0</v>
      </c>
      <c r="K46" s="27">
        <f>IF(VLOOKUP($A46,Calendar!$A$1:$R$1377,18,0)=0,0,IF(VLOOKUP($A46,Calendar!$A$1:$R$1377,18,0)=1,IFERROR(INDEX(Weekly_Model!$D$2:$D$9,MATCH(F46,Weekly_Model!$A$2:$A$9,0)),0),IF(VLOOKUP($A46,Calendar!$A$1:$R$1377,18,0)=2,SUM(IFERROR(INDEX(Weekly_Model!$D$2:$D$9,MATCH(F46,Weekly_Model!$A$2:$A$9,0)),0),IFERROR(INDEX(Weekly_Model!$D$2:$D$9,MATCH(F47,Weekly_Model!$A$2:$A$9,0)),0)),IF(VLOOKUP($A46,Calendar!$A$1:$R$1377,18,0)=3,SUM(IFERROR(INDEX(Weekly_Model!$D$2:$D$9,MATCH(F46,Weekly_Model!$A$2:$A$9,0)),0),IFERROR(INDEX(Weekly_Model!$D$2:$D$9,MATCH(F47,Weekly_Model!$A$2:$A$9,0)),0),IFERROR(INDEX(Weekly_Model!$D$2:$D$9,MATCH(F48,Weekly_Model!$A$2:$A$9,0)),0)),IF(VLOOKUP($A46,Calendar!$A$1:$R$1377,18,0)=4,SUM(IFERROR(INDEX(Weekly_Model!$D$2:$D$9,MATCH(F46,Weekly_Model!$A$2:$A$9,0)),0),IFERROR(INDEX(Weekly_Model!$D$2:$D$9,MATCH(F47,Weekly_Model!$A$2:$A$9,0)),0),IFERROR(INDEX(Weekly_Model!$D$2:$D$9,MATCH(F48,Weekly_Model!$A$2:$A$9,0)),0),IFERROR(INDEX(Weekly_Model!$D$2:$D$9,MATCH(F49,Weekly_Model!$A$2:$A$9,0)),0)),IF(VLOOKUP($A46,Calendar!$A$1:$R$1377,18,0)=5,SUM(IFERROR(INDEX(Weekly_Model!$D$2:$D$9,MATCH(F46,Weekly_Model!$A$2:$A$9,0)),0),IFERROR(INDEX(Weekly_Model!$D$2:$D$9,MATCH(F47,Weekly_Model!$A$2:$A$9,0)),0),IFERROR(INDEX(Weekly_Model!$D$2:$D$9,MATCH(F48,Weekly_Model!$A$2:$A$9,0)),0),IFERROR(INDEX(Weekly_Model!$D$2:$D$9,MATCH(F49,Weekly_Model!$A$2:$A$9,0)),0),IFERROR(INDEX(Weekly_Model!$D$2:$D$9,MATCH(F50,Weekly_Model!$A$2:$A$9,0)),0)),0))))))</f>
        <v>2.3200000000000002E-2</v>
      </c>
      <c r="L46" s="27">
        <f>IF(VLOOKUP($A46,Calendar!$A$1:$R$1377,18,0)=0,0,IF(VLOOKUP($A46,Calendar!$A$1:$R$1377,18,0)=1,IFERROR(INDEX(Fortnightly_Model!$D$2:$D$15,MATCH(G46,Fortnightly_Model!$B$2:$B$15,0)),0),IF(VLOOKUP($A46,Calendar!$A$1:$R$1377,18,0)=2,SUM(IFERROR(INDEX(Fortnightly_Model!$D$2:$D$15,MATCH(G46,Fortnightly_Model!$B$2:$B$15,0)),0),IFERROR(INDEX(Fortnightly_Model!$D$2:$D$15,MATCH(G47,Fortnightly_Model!$B$2:$B$15,0)),0)),IF(VLOOKUP($A46,Calendar!$A$1:$R$1377,18,0)=3,SUM(IFERROR(INDEX(Fortnightly_Model!$D$2:$D$15,MATCH(G46,Fortnightly_Model!$B$2:$B$15,0)),0),IFERROR(INDEX(Fortnightly_Model!$D$2:$D$15,MATCH(G47,Fortnightly_Model!$B$2:$B$15,0)),0),IFERROR(INDEX(Fortnightly_Model!$D$2:$D$15,MATCH(G48,Fortnightly_Model!$B$2:$B$15,0)),0)),IF(VLOOKUP($A46,Calendar!$A$1:$R$1377,18,0)=4,SUM(IFERROR(INDEX(Fortnightly_Model!$D$2:$D$15,MATCH(G46,Fortnightly_Model!$B$2:$B$15,0)),0),IFERROR(INDEX(Fortnightly_Model!$D$2:$D$15,MATCH(G47,Fortnightly_Model!$B$2:$B$15,0)),0),IFERROR(INDEX(Fortnightly_Model!$D$2:$D$15,MATCH(G48,Fortnightly_Model!$B$2:$B$15,0)),0),IFERROR(INDEX(Fortnightly_Model!$D$2:$D$15,MATCH(G49,Fortnightly_Model!$B$2:$B$15,0)),0)),IF(VLOOKUP($A46,Calendar!$A$1:$R$1377,18,0)=5,SUM(IFERROR(INDEX(Fortnightly_Model!$D$2:$D$15,MATCH(G46,Fortnightly_Model!$B$2:$B$15,0)),0),IFERROR(INDEX(Fortnightly_Model!$D$2:$D$15,MATCH(G47,Fortnightly_Model!$B$2:$B$15,0)),0),IFERROR(INDEX(Fortnightly_Model!$D$2:$D$15,MATCH(G48,Fortnightly_Model!$B$2:$B$15,0)),0),IFERROR(INDEX(Fortnightly_Model!$D$2:$D$15,MATCH(G49,Fortnightly_Model!$B$2:$B$15,0)),0),IFERROR(INDEX(Fortnightly_Model!$D$2:$D$15,MATCH(G50,Fortnightly_Model!$B$2:$B$15,0)),0)),0))))))</f>
        <v>1.0714285499999999E-3</v>
      </c>
      <c r="M46" s="27">
        <f>IF(VLOOKUP($A46,Calendar!$A$1:$R$1377,18,0)=0,0,IF(VLOOKUP($A46,Calendar!$A$1:$R$1377,18,0)=1,IFERROR(INDEX(FourWeekly_Model!$D$2:$D$29,MATCH(H46,FourWeekly_Model!$B$2:$B$29,0)),0),IF(VLOOKUP($A46,Calendar!$A$1:$R$1377,18,0)=2,SUM(IFERROR(INDEX(FourWeekly_Model!$D$2:$D$29,MATCH(H46,FourWeekly_Model!$B$2:$B$29,0)),0),IFERROR(INDEX(FourWeekly_Model!$D$2:$D$29,MATCH(H47,FourWeekly_Model!$B$2:$B$29,0)),0)),IF(VLOOKUP($A46,Calendar!$A$1:$R$1377,18,0)=3,SUM(IFERROR(INDEX(FourWeekly_Model!$D$2:$D$29,MATCH(H46,FourWeekly_Model!$B$2:$B$29,0)),0),IFERROR(INDEX(FourWeekly_Model!$D$2:$D$29,MATCH(H47,FourWeekly_Model!$B$2:$B$29,0)),0),IFERROR(INDEX(FourWeekly_Model!$D$2:$D$29,MATCH(H48,FourWeekly_Model!$B$2:$B$29,0)),0)),IF(VLOOKUP($A46,Calendar!$A$1:$R$1377,18,0)=4,SUM(IFERROR(INDEX(FourWeekly_Model!$D$2:$D$29,MATCH(H46,FourWeekly_Model!$B$2:$B$29,0)),0),IFERROR(INDEX(FourWeekly_Model!$D$2:$D$29,MATCH(H47,FourWeekly_Model!$B$2:$B$29,0)),0),IFERROR(INDEX(FourWeekly_Model!$D$2:$D$29,MATCH(H48,FourWeekly_Model!$B$2:$B$29,0)),0),IFERROR(INDEX(FourWeekly_Model!$D$2:$D$29,MATCH(H49,FourWeekly_Model!$B$2:$B$29,0)),0)),IF(VLOOKUP($A46,Calendar!$A$1:$R$1377,18,0)=5,SUM(IFERROR(INDEX(FourWeekly_Model!$D$2:$D$29,MATCH(H46,FourWeekly_Model!$B$2:$B$29,0)),0),IFERROR(INDEX(FourWeekly_Model!$D$2:$D$29,MATCH(H47,FourWeekly_Model!$B$2:$B$29,0)),0),IFERROR(INDEX(FourWeekly_Model!$D$2:$D$29,MATCH(H48,FourWeekly_Model!$B$2:$B$29,0)),0),IFERROR(INDEX(FourWeekly_Model!$D$2:$D$29,MATCH(H49,FourWeekly_Model!$B$2:$B$29,0)),0),IFERROR(INDEX(FourWeekly_Model!$D$2:$D$29,MATCH(H50,FourWeekly_Model!$B$2:$B$29,0)),0)),0))))))</f>
        <v>3.3214289700000004E-3</v>
      </c>
      <c r="N46" s="27">
        <f>SUM(I46:M46)</f>
        <v>2.840542296502618E-2</v>
      </c>
      <c r="O46" s="28">
        <f>Population_Data!$B$8*N46</f>
        <v>860684.3158402933</v>
      </c>
      <c r="P46" s="27">
        <f>IF(VLOOKUP($A46,Calendar!$A$1:$R$1377,18,0)=0,0,IF(VLOOKUP($A46,Calendar!$A$1:$R$1377,18,0)=1,IFERROR(INDEX(Pension_Model!$D$2:$D$29,MATCH(H46,Pension_Model!$B$2:$B$29,0)),0),IF(VLOOKUP($A46,Calendar!$A$1:$R$1377,18,0)=2,SUM(IFERROR(INDEX(Pension_Model!$D$2:$D$29,MATCH(H46,Pension_Model!$B$2:$B$29,0)),0),IFERROR(INDEX(Pension_Model!$D$2:$D$29,MATCH(H47,Pension_Model!$B$2:$B$29,0)),0)),IF(VLOOKUP($A46,Calendar!$A$1:$R$1377,18,0)=3,SUM(IFERROR(INDEX(Pension_Model!$D$2:$D$29,MATCH(H46,Pension_Model!$B$2:$B$29,0)),0),IFERROR(INDEX(Pension_Model!$D$2:$D$29,MATCH(H47,Pension_Model!$B$2:$B$29,0)),0),IFERROR(INDEX(Pension_Model!$D$2:$D$29,MATCH(H48,Pension_Model!$B$2:$B$29,0)),0)),IF(VLOOKUP($A46,Calendar!$A$1:$R$1377,18,0)=4,SUM(IFERROR(INDEX(Pension_Model!$D$2:$D$29,MATCH(H46,Pension_Model!$B$2:$B$29,0)),0),IFERROR(INDEX(Pension_Model!$D$2:$D$29,MATCH(H47,Pension_Model!$B$2:$B$29,0)),0),IFERROR(INDEX(Pension_Model!$D$2:$D$29,MATCH(H48,Pension_Model!$B$2:$B$29,0)),0),IFERROR(INDEX(Pension_Model!$D$2:$D$29,MATCH(H49,Pension_Model!$B$2:$B$29,0)),0)),IF(VLOOKUP($A46,Calendar!$A$1:$R$1377,18,0)=5,SUM(IFERROR(INDEX(Pension_Model!$D$2:$D$29,MATCH(H46,Pension_Model!$B$2:$B$29,0)),0),IFERROR(INDEX(Pension_Model!$D$2:$D$29,MATCH(H47,Pension_Model!$B$2:$B$29,0)),0),IFERROR(INDEX(Pension_Model!$D$2:$D$29,MATCH(H48,Pension_Model!$B$2:$B$29,0)),0),IFERROR(INDEX(Pension_Model!$D$2:$D$29,MATCH(H49,Pension_Model!$B$2:$B$29,0)),0),IFERROR(INDEX(Pension_Model!$D$2:$D$29,MATCH(H50,Pension_Model!$B$2:$B$29,0)),0)),0))))))</f>
        <v>0.05</v>
      </c>
      <c r="Q46" s="28">
        <f>Population_Data!$B$15*P46</f>
        <v>660600</v>
      </c>
      <c r="S46">
        <f t="shared" si="0"/>
        <v>1521284.3158402932</v>
      </c>
      <c r="U46" s="33">
        <f>S46/Population_Data!$B$19</f>
        <v>2.7559498475367629E-2</v>
      </c>
    </row>
    <row r="47" spans="1:21">
      <c r="A47" s="25">
        <f>Calendar!A47</f>
        <v>46280</v>
      </c>
      <c r="B47" t="str">
        <f>Calendar!L47</f>
        <v>Yes</v>
      </c>
      <c r="C47" t="str">
        <f>Calendar!O47</f>
        <v>No</v>
      </c>
      <c r="D47" t="str">
        <f>Calendar!P47</f>
        <v>No</v>
      </c>
      <c r="E47" t="str">
        <f>Calendar!Q47</f>
        <v>No</v>
      </c>
      <c r="F47" t="str">
        <f>Calendar!I47</f>
        <v>Tuesday</v>
      </c>
      <c r="G47">
        <f>Calendar!S47</f>
        <v>10</v>
      </c>
      <c r="H47">
        <f>Calendar!T47</f>
        <v>24</v>
      </c>
      <c r="I47" s="27">
        <f>IF(VLOOKUP(A47,Calendar!$A$1:$R$1377,18,0)=0,0,IF(VLOOKUP(A47,Calendar!$A$1:$R$1377,18,0)=1,INDEX(Monthly_Pay_Model!$A$9:$D$40,MATCH(TEXT(A47,"dd"),Monthly_Pay_Model!$C$9:$C$39,0),4),IF(VLOOKUP(A47,Calendar!$A$1:$R$1377,18,0)=2,SUM(INDEX(Monthly_Pay_Model!$A$9:$D$40,MATCH(TEXT(A47,"dd"),Monthly_Pay_Model!$C$9:$C$39,0),4),INDEX(Monthly_Pay_Model!$A$9:$D$40,MATCH(TEXT(A48,"dd"),Monthly_Pay_Model!$C$9:$C$39,0),4)),IF(VLOOKUP(A47,Calendar!$A$1:$R$1377,18,0)=3,SUM(INDEX(Monthly_Pay_Model!$A$9:$D$40,MATCH(TEXT(A47,"dd"),Monthly_Pay_Model!$C$9:$C$39,0),4),INDEX(Monthly_Pay_Model!$A$9:$D$40,MATCH(TEXT(A48,"dd"),Monthly_Pay_Model!$C$9:$C$39,0),4),INDEX(Monthly_Pay_Model!$A$9:$D$40,MATCH(TEXT(A49,"dd"),Monthly_Pay_Model!$C$9:$C$39,0),4)),IF(VLOOKUP(A47,Calendar!$A$1:$R$1377,18,0)=4,SUM(INDEX(Monthly_Pay_Model!$A$9:$D$40,MATCH(TEXT(A47,"dd"),Monthly_Pay_Model!$C$9:$C$39,0),4),INDEX(Monthly_Pay_Model!$A$9:$D$40,MATCH(TEXT(A48,"dd"),Monthly_Pay_Model!$C$9:$C$39,0),4),INDEX(Monthly_Pay_Model!$A$9:$D$40,MATCH(TEXT(A49,"dd"),Monthly_Pay_Model!$C$9:$C$39,0),4),INDEX(Monthly_Pay_Model!$A$9:$D$40,MATCH(TEXT(A50,"dd"),Monthly_Pay_Model!$C$9:$C$39,0),4)),IF(VLOOKUP(A47,Calendar!$A$1:$R$1377,18,0)=5,SUM(INDEX(Monthly_Pay_Model!$A$9:$D$40,MATCH(TEXT(A47,"dd"),Monthly_Pay_Model!$C$9:$C$39,0),4),INDEX(Monthly_Pay_Model!$A$9:$D$40,MATCH(TEXT(A48,"dd"),Monthly_Pay_Model!$C$9:$C$39,0),4),INDEX(Monthly_Pay_Model!$A$9:$D$40,MATCH(TEXT(A49,"dd"),Monthly_Pay_Model!$C$9:$C$39,0),4),INDEX(Monthly_Pay_Model!$A$9:$D$40,MATCH(TEXT(A50,"dd"),Monthly_Pay_Model!$C$9:$C$39,0),4),INDEX(Monthly_Pay_Model!$A$9:$D$40,MATCH(TEXT(A51,"dd"),Monthly_Pay_Model!$C$9:$C$39,0),4)),))))))</f>
        <v>1.3001047120418847E-2</v>
      </c>
      <c r="J47" s="33">
        <f>IF(C47="Yes",Monthly_Pay_Model!$D$2,0)
+IF(Calendar!N47="Yes",Monthly_Pay_Model!$D$3,0)
+IF(D47="Yes",Monthly_Pay_Model!$D$4,0)
+IF(E47="Yes",Monthly_Pay_Model!$D$5,0)</f>
        <v>0</v>
      </c>
      <c r="K47" s="27">
        <f>IF(VLOOKUP($A47,Calendar!$A$1:$R$1377,18,0)=0,0,IF(VLOOKUP($A47,Calendar!$A$1:$R$1377,18,0)=1,IFERROR(INDEX(Weekly_Model!$D$2:$D$9,MATCH(F47,Weekly_Model!$A$2:$A$9,0)),0),IF(VLOOKUP($A47,Calendar!$A$1:$R$1377,18,0)=2,SUM(IFERROR(INDEX(Weekly_Model!$D$2:$D$9,MATCH(F47,Weekly_Model!$A$2:$A$9,0)),0),IFERROR(INDEX(Weekly_Model!$D$2:$D$9,MATCH(F48,Weekly_Model!$A$2:$A$9,0)),0)),IF(VLOOKUP($A47,Calendar!$A$1:$R$1377,18,0)=3,SUM(IFERROR(INDEX(Weekly_Model!$D$2:$D$9,MATCH(F47,Weekly_Model!$A$2:$A$9,0)),0),IFERROR(INDEX(Weekly_Model!$D$2:$D$9,MATCH(F48,Weekly_Model!$A$2:$A$9,0)),0),IFERROR(INDEX(Weekly_Model!$D$2:$D$9,MATCH(F49,Weekly_Model!$A$2:$A$9,0)),0)),IF(VLOOKUP($A47,Calendar!$A$1:$R$1377,18,0)=4,SUM(IFERROR(INDEX(Weekly_Model!$D$2:$D$9,MATCH(F47,Weekly_Model!$A$2:$A$9,0)),0),IFERROR(INDEX(Weekly_Model!$D$2:$D$9,MATCH(F48,Weekly_Model!$A$2:$A$9,0)),0),IFERROR(INDEX(Weekly_Model!$D$2:$D$9,MATCH(F49,Weekly_Model!$A$2:$A$9,0)),0),IFERROR(INDEX(Weekly_Model!$D$2:$D$9,MATCH(F50,Weekly_Model!$A$2:$A$9,0)),0)),IF(VLOOKUP($A47,Calendar!$A$1:$R$1377,18,0)=5,SUM(IFERROR(INDEX(Weekly_Model!$D$2:$D$9,MATCH(F47,Weekly_Model!$A$2:$A$9,0)),0),IFERROR(INDEX(Weekly_Model!$D$2:$D$9,MATCH(F48,Weekly_Model!$A$2:$A$9,0)),0),IFERROR(INDEX(Weekly_Model!$D$2:$D$9,MATCH(F49,Weekly_Model!$A$2:$A$9,0)),0),IFERROR(INDEX(Weekly_Model!$D$2:$D$9,MATCH(F50,Weekly_Model!$A$2:$A$9,0)),0),IFERROR(INDEX(Weekly_Model!$D$2:$D$9,MATCH(F51,Weekly_Model!$A$2:$A$9,0)),0)),0))))))</f>
        <v>2.3200000000000002E-2</v>
      </c>
      <c r="L47" s="27">
        <f>IF(VLOOKUP($A47,Calendar!$A$1:$R$1377,18,0)=0,0,IF(VLOOKUP($A47,Calendar!$A$1:$R$1377,18,0)=1,IFERROR(INDEX(Fortnightly_Model!$D$2:$D$15,MATCH(G47,Fortnightly_Model!$B$2:$B$15,0)),0),IF(VLOOKUP($A47,Calendar!$A$1:$R$1377,18,0)=2,SUM(IFERROR(INDEX(Fortnightly_Model!$D$2:$D$15,MATCH(G47,Fortnightly_Model!$B$2:$B$15,0)),0),IFERROR(INDEX(Fortnightly_Model!$D$2:$D$15,MATCH(G48,Fortnightly_Model!$B$2:$B$15,0)),0)),IF(VLOOKUP($A47,Calendar!$A$1:$R$1377,18,0)=3,SUM(IFERROR(INDEX(Fortnightly_Model!$D$2:$D$15,MATCH(G47,Fortnightly_Model!$B$2:$B$15,0)),0),IFERROR(INDEX(Fortnightly_Model!$D$2:$D$15,MATCH(G48,Fortnightly_Model!$B$2:$B$15,0)),0),IFERROR(INDEX(Fortnightly_Model!$D$2:$D$15,MATCH(G49,Fortnightly_Model!$B$2:$B$15,0)),0)),IF(VLOOKUP($A47,Calendar!$A$1:$R$1377,18,0)=4,SUM(IFERROR(INDEX(Fortnightly_Model!$D$2:$D$15,MATCH(G47,Fortnightly_Model!$B$2:$B$15,0)),0),IFERROR(INDEX(Fortnightly_Model!$D$2:$D$15,MATCH(G48,Fortnightly_Model!$B$2:$B$15,0)),0),IFERROR(INDEX(Fortnightly_Model!$D$2:$D$15,MATCH(G49,Fortnightly_Model!$B$2:$B$15,0)),0),IFERROR(INDEX(Fortnightly_Model!$D$2:$D$15,MATCH(G50,Fortnightly_Model!$B$2:$B$15,0)),0)),IF(VLOOKUP($A47,Calendar!$A$1:$R$1377,18,0)=5,SUM(IFERROR(INDEX(Fortnightly_Model!$D$2:$D$15,MATCH(G47,Fortnightly_Model!$B$2:$B$15,0)),0),IFERROR(INDEX(Fortnightly_Model!$D$2:$D$15,MATCH(G48,Fortnightly_Model!$B$2:$B$15,0)),0),IFERROR(INDEX(Fortnightly_Model!$D$2:$D$15,MATCH(G49,Fortnightly_Model!$B$2:$B$15,0)),0),IFERROR(INDEX(Fortnightly_Model!$D$2:$D$15,MATCH(G50,Fortnightly_Model!$B$2:$B$15,0)),0),IFERROR(INDEX(Fortnightly_Model!$D$2:$D$15,MATCH(G51,Fortnightly_Model!$B$2:$B$15,0)),0)),0))))))</f>
        <v>1.0714285499999999E-3</v>
      </c>
      <c r="M47" s="27">
        <f>IF(VLOOKUP($A47,Calendar!$A$1:$R$1377,18,0)=0,0,IF(VLOOKUP($A47,Calendar!$A$1:$R$1377,18,0)=1,IFERROR(INDEX(FourWeekly_Model!$D$2:$D$29,MATCH(H47,FourWeekly_Model!$B$2:$B$29,0)),0),IF(VLOOKUP($A47,Calendar!$A$1:$R$1377,18,0)=2,SUM(IFERROR(INDEX(FourWeekly_Model!$D$2:$D$29,MATCH(H47,FourWeekly_Model!$B$2:$B$29,0)),0),IFERROR(INDEX(FourWeekly_Model!$D$2:$D$29,MATCH(H48,FourWeekly_Model!$B$2:$B$29,0)),0)),IF(VLOOKUP($A47,Calendar!$A$1:$R$1377,18,0)=3,SUM(IFERROR(INDEX(FourWeekly_Model!$D$2:$D$29,MATCH(H47,FourWeekly_Model!$B$2:$B$29,0)),0),IFERROR(INDEX(FourWeekly_Model!$D$2:$D$29,MATCH(H48,FourWeekly_Model!$B$2:$B$29,0)),0),IFERROR(INDEX(FourWeekly_Model!$D$2:$D$29,MATCH(H49,FourWeekly_Model!$B$2:$B$29,0)),0)),IF(VLOOKUP($A47,Calendar!$A$1:$R$1377,18,0)=4,SUM(IFERROR(INDEX(FourWeekly_Model!$D$2:$D$29,MATCH(H47,FourWeekly_Model!$B$2:$B$29,0)),0),IFERROR(INDEX(FourWeekly_Model!$D$2:$D$29,MATCH(H48,FourWeekly_Model!$B$2:$B$29,0)),0),IFERROR(INDEX(FourWeekly_Model!$D$2:$D$29,MATCH(H49,FourWeekly_Model!$B$2:$B$29,0)),0),IFERROR(INDEX(FourWeekly_Model!$D$2:$D$29,MATCH(H50,FourWeekly_Model!$B$2:$B$29,0)),0)),IF(VLOOKUP($A47,Calendar!$A$1:$R$1377,18,0)=5,SUM(IFERROR(INDEX(FourWeekly_Model!$D$2:$D$29,MATCH(H47,FourWeekly_Model!$B$2:$B$29,0)),0),IFERROR(INDEX(FourWeekly_Model!$D$2:$D$29,MATCH(H48,FourWeekly_Model!$B$2:$B$29,0)),0),IFERROR(INDEX(FourWeekly_Model!$D$2:$D$29,MATCH(H49,FourWeekly_Model!$B$2:$B$29,0)),0),IFERROR(INDEX(FourWeekly_Model!$D$2:$D$29,MATCH(H50,FourWeekly_Model!$B$2:$B$29,0)),0),IFERROR(INDEX(FourWeekly_Model!$D$2:$D$29,MATCH(H51,FourWeekly_Model!$B$2:$B$29,0)),0)),0))))))</f>
        <v>3.3214289700000004E-3</v>
      </c>
      <c r="N47" s="27">
        <f>SUM(I47:M47)</f>
        <v>4.059390464041885E-2</v>
      </c>
      <c r="O47" s="28">
        <f>Population_Data!$B$8*N47</f>
        <v>1229995.310604691</v>
      </c>
      <c r="P47" s="27">
        <f>IF(VLOOKUP($A47,Calendar!$A$1:$R$1377,18,0)=0,0,IF(VLOOKUP($A47,Calendar!$A$1:$R$1377,18,0)=1,IFERROR(INDEX(Pension_Model!$D$2:$D$29,MATCH(H47,Pension_Model!$B$2:$B$29,0)),0),IF(VLOOKUP($A47,Calendar!$A$1:$R$1377,18,0)=2,SUM(IFERROR(INDEX(Pension_Model!$D$2:$D$29,MATCH(H47,Pension_Model!$B$2:$B$29,0)),0),IFERROR(INDEX(Pension_Model!$D$2:$D$29,MATCH(H48,Pension_Model!$B$2:$B$29,0)),0)),IF(VLOOKUP($A47,Calendar!$A$1:$R$1377,18,0)=3,SUM(IFERROR(INDEX(Pension_Model!$D$2:$D$29,MATCH(H47,Pension_Model!$B$2:$B$29,0)),0),IFERROR(INDEX(Pension_Model!$D$2:$D$29,MATCH(H48,Pension_Model!$B$2:$B$29,0)),0),IFERROR(INDEX(Pension_Model!$D$2:$D$29,MATCH(H49,Pension_Model!$B$2:$B$29,0)),0)),IF(VLOOKUP($A47,Calendar!$A$1:$R$1377,18,0)=4,SUM(IFERROR(INDEX(Pension_Model!$D$2:$D$29,MATCH(H47,Pension_Model!$B$2:$B$29,0)),0),IFERROR(INDEX(Pension_Model!$D$2:$D$29,MATCH(H48,Pension_Model!$B$2:$B$29,0)),0),IFERROR(INDEX(Pension_Model!$D$2:$D$29,MATCH(H49,Pension_Model!$B$2:$B$29,0)),0),IFERROR(INDEX(Pension_Model!$D$2:$D$29,MATCH(H50,Pension_Model!$B$2:$B$29,0)),0)),IF(VLOOKUP($A47,Calendar!$A$1:$R$1377,18,0)=5,SUM(IFERROR(INDEX(Pension_Model!$D$2:$D$29,MATCH(H47,Pension_Model!$B$2:$B$29,0)),0),IFERROR(INDEX(Pension_Model!$D$2:$D$29,MATCH(H48,Pension_Model!$B$2:$B$29,0)),0),IFERROR(INDEX(Pension_Model!$D$2:$D$29,MATCH(H49,Pension_Model!$B$2:$B$29,0)),0),IFERROR(INDEX(Pension_Model!$D$2:$D$29,MATCH(H50,Pension_Model!$B$2:$B$29,0)),0),IFERROR(INDEX(Pension_Model!$D$2:$D$29,MATCH(H51,Pension_Model!$B$2:$B$29,0)),0)),0))))))</f>
        <v>0.05</v>
      </c>
      <c r="Q47" s="28">
        <f>Population_Data!$B$15*P47</f>
        <v>660600</v>
      </c>
      <c r="S47">
        <f t="shared" si="0"/>
        <v>1890595.310604691</v>
      </c>
      <c r="U47" s="33">
        <f>S47/Population_Data!$B$19</f>
        <v>3.4249915047186434E-2</v>
      </c>
    </row>
    <row r="48" spans="1:21">
      <c r="A48" s="25">
        <f>Calendar!A48</f>
        <v>46281</v>
      </c>
      <c r="B48" t="str">
        <f>Calendar!L48</f>
        <v>Yes</v>
      </c>
      <c r="C48" t="str">
        <f>Calendar!O48</f>
        <v>No</v>
      </c>
      <c r="D48" t="str">
        <f>Calendar!P48</f>
        <v>No</v>
      </c>
      <c r="E48" t="str">
        <f>Calendar!Q48</f>
        <v>No</v>
      </c>
      <c r="F48" t="str">
        <f>Calendar!I48</f>
        <v>Wednesday</v>
      </c>
      <c r="G48">
        <f>Calendar!S48</f>
        <v>11</v>
      </c>
      <c r="H48">
        <f>Calendar!T48</f>
        <v>25</v>
      </c>
      <c r="I48" s="27">
        <f>IF(VLOOKUP(A48,Calendar!$A$1:$R$1377,18,0)=0,0,IF(VLOOKUP(A48,Calendar!$A$1:$R$1377,18,0)=1,INDEX(Monthly_Pay_Model!$A$9:$D$40,MATCH(TEXT(A48,"dd"),Monthly_Pay_Model!$C$9:$C$39,0),4),IF(VLOOKUP(A48,Calendar!$A$1:$R$1377,18,0)=2,SUM(INDEX(Monthly_Pay_Model!$A$9:$D$40,MATCH(TEXT(A48,"dd"),Monthly_Pay_Model!$C$9:$C$39,0),4),INDEX(Monthly_Pay_Model!$A$9:$D$40,MATCH(TEXT(A49,"dd"),Monthly_Pay_Model!$C$9:$C$39,0),4)),IF(VLOOKUP(A48,Calendar!$A$1:$R$1377,18,0)=3,SUM(INDEX(Monthly_Pay_Model!$A$9:$D$40,MATCH(TEXT(A48,"dd"),Monthly_Pay_Model!$C$9:$C$39,0),4),INDEX(Monthly_Pay_Model!$A$9:$D$40,MATCH(TEXT(A49,"dd"),Monthly_Pay_Model!$C$9:$C$39,0),4),INDEX(Monthly_Pay_Model!$A$9:$D$40,MATCH(TEXT(A50,"dd"),Monthly_Pay_Model!$C$9:$C$39,0),4)),IF(VLOOKUP(A48,Calendar!$A$1:$R$1377,18,0)=4,SUM(INDEX(Monthly_Pay_Model!$A$9:$D$40,MATCH(TEXT(A48,"dd"),Monthly_Pay_Model!$C$9:$C$39,0),4),INDEX(Monthly_Pay_Model!$A$9:$D$40,MATCH(TEXT(A49,"dd"),Monthly_Pay_Model!$C$9:$C$39,0),4),INDEX(Monthly_Pay_Model!$A$9:$D$40,MATCH(TEXT(A50,"dd"),Monthly_Pay_Model!$C$9:$C$39,0),4),INDEX(Monthly_Pay_Model!$A$9:$D$40,MATCH(TEXT(A51,"dd"),Monthly_Pay_Model!$C$9:$C$39,0),4)),IF(VLOOKUP(A48,Calendar!$A$1:$R$1377,18,0)=5,SUM(INDEX(Monthly_Pay_Model!$A$9:$D$40,MATCH(TEXT(A48,"dd"),Monthly_Pay_Model!$C$9:$C$39,0),4),INDEX(Monthly_Pay_Model!$A$9:$D$40,MATCH(TEXT(A49,"dd"),Monthly_Pay_Model!$C$9:$C$39,0),4),INDEX(Monthly_Pay_Model!$A$9:$D$40,MATCH(TEXT(A50,"dd"),Monthly_Pay_Model!$C$9:$C$39,0),4),INDEX(Monthly_Pay_Model!$A$9:$D$40,MATCH(TEXT(A51,"dd"),Monthly_Pay_Model!$C$9:$C$39,0),4),INDEX(Monthly_Pay_Model!$A$9:$D$40,MATCH(TEXT(A52,"dd"),Monthly_Pay_Model!$C$9:$C$39,0),4)),))))))</f>
        <v>1.6251308900523558E-3</v>
      </c>
      <c r="J48" s="33">
        <f>IF(C48="Yes",Monthly_Pay_Model!$D$2,0)
+IF(Calendar!N48="Yes",Monthly_Pay_Model!$D$3,0)
+IF(D48="Yes",Monthly_Pay_Model!$D$4,0)
+IF(E48="Yes",Monthly_Pay_Model!$D$5,0)</f>
        <v>0</v>
      </c>
      <c r="K48" s="27">
        <f>IF(VLOOKUP($A48,Calendar!$A$1:$R$1377,18,0)=0,0,IF(VLOOKUP($A48,Calendar!$A$1:$R$1377,18,0)=1,IFERROR(INDEX(Weekly_Model!$D$2:$D$9,MATCH(F48,Weekly_Model!$A$2:$A$9,0)),0),IF(VLOOKUP($A48,Calendar!$A$1:$R$1377,18,0)=2,SUM(IFERROR(INDEX(Weekly_Model!$D$2:$D$9,MATCH(F48,Weekly_Model!$A$2:$A$9,0)),0),IFERROR(INDEX(Weekly_Model!$D$2:$D$9,MATCH(F49,Weekly_Model!$A$2:$A$9,0)),0)),IF(VLOOKUP($A48,Calendar!$A$1:$R$1377,18,0)=3,SUM(IFERROR(INDEX(Weekly_Model!$D$2:$D$9,MATCH(F48,Weekly_Model!$A$2:$A$9,0)),0),IFERROR(INDEX(Weekly_Model!$D$2:$D$9,MATCH(F49,Weekly_Model!$A$2:$A$9,0)),0),IFERROR(INDEX(Weekly_Model!$D$2:$D$9,MATCH(F50,Weekly_Model!$A$2:$A$9,0)),0)),IF(VLOOKUP($A48,Calendar!$A$1:$R$1377,18,0)=4,SUM(IFERROR(INDEX(Weekly_Model!$D$2:$D$9,MATCH(F48,Weekly_Model!$A$2:$A$9,0)),0),IFERROR(INDEX(Weekly_Model!$D$2:$D$9,MATCH(F49,Weekly_Model!$A$2:$A$9,0)),0),IFERROR(INDEX(Weekly_Model!$D$2:$D$9,MATCH(F50,Weekly_Model!$A$2:$A$9,0)),0),IFERROR(INDEX(Weekly_Model!$D$2:$D$9,MATCH(F51,Weekly_Model!$A$2:$A$9,0)),0)),IF(VLOOKUP($A48,Calendar!$A$1:$R$1377,18,0)=5,SUM(IFERROR(INDEX(Weekly_Model!$D$2:$D$9,MATCH(F48,Weekly_Model!$A$2:$A$9,0)),0),IFERROR(INDEX(Weekly_Model!$D$2:$D$9,MATCH(F49,Weekly_Model!$A$2:$A$9,0)),0),IFERROR(INDEX(Weekly_Model!$D$2:$D$9,MATCH(F50,Weekly_Model!$A$2:$A$9,0)),0),IFERROR(INDEX(Weekly_Model!$D$2:$D$9,MATCH(F51,Weekly_Model!$A$2:$A$9,0)),0),IFERROR(INDEX(Weekly_Model!$D$2:$D$9,MATCH(F52,Weekly_Model!$A$2:$A$9,0)),0)),0))))))</f>
        <v>2.3200000000000002E-2</v>
      </c>
      <c r="L48" s="27">
        <f>IF(VLOOKUP($A48,Calendar!$A$1:$R$1377,18,0)=0,0,IF(VLOOKUP($A48,Calendar!$A$1:$R$1377,18,0)=1,IFERROR(INDEX(Fortnightly_Model!$D$2:$D$15,MATCH(G48,Fortnightly_Model!$B$2:$B$15,0)),0),IF(VLOOKUP($A48,Calendar!$A$1:$R$1377,18,0)=2,SUM(IFERROR(INDEX(Fortnightly_Model!$D$2:$D$15,MATCH(G48,Fortnightly_Model!$B$2:$B$15,0)),0),IFERROR(INDEX(Fortnightly_Model!$D$2:$D$15,MATCH(G49,Fortnightly_Model!$B$2:$B$15,0)),0)),IF(VLOOKUP($A48,Calendar!$A$1:$R$1377,18,0)=3,SUM(IFERROR(INDEX(Fortnightly_Model!$D$2:$D$15,MATCH(G48,Fortnightly_Model!$B$2:$B$15,0)),0),IFERROR(INDEX(Fortnightly_Model!$D$2:$D$15,MATCH(G49,Fortnightly_Model!$B$2:$B$15,0)),0),IFERROR(INDEX(Fortnightly_Model!$D$2:$D$15,MATCH(G50,Fortnightly_Model!$B$2:$B$15,0)),0)),IF(VLOOKUP($A48,Calendar!$A$1:$R$1377,18,0)=4,SUM(IFERROR(INDEX(Fortnightly_Model!$D$2:$D$15,MATCH(G48,Fortnightly_Model!$B$2:$B$15,0)),0),IFERROR(INDEX(Fortnightly_Model!$D$2:$D$15,MATCH(G49,Fortnightly_Model!$B$2:$B$15,0)),0),IFERROR(INDEX(Fortnightly_Model!$D$2:$D$15,MATCH(G50,Fortnightly_Model!$B$2:$B$15,0)),0),IFERROR(INDEX(Fortnightly_Model!$D$2:$D$15,MATCH(G51,Fortnightly_Model!$B$2:$B$15,0)),0)),IF(VLOOKUP($A48,Calendar!$A$1:$R$1377,18,0)=5,SUM(IFERROR(INDEX(Fortnightly_Model!$D$2:$D$15,MATCH(G48,Fortnightly_Model!$B$2:$B$15,0)),0),IFERROR(INDEX(Fortnightly_Model!$D$2:$D$15,MATCH(G49,Fortnightly_Model!$B$2:$B$15,0)),0),IFERROR(INDEX(Fortnightly_Model!$D$2:$D$15,MATCH(G50,Fortnightly_Model!$B$2:$B$15,0)),0),IFERROR(INDEX(Fortnightly_Model!$D$2:$D$15,MATCH(G51,Fortnightly_Model!$B$2:$B$15,0)),0),IFERROR(INDEX(Fortnightly_Model!$D$2:$D$15,MATCH(G52,Fortnightly_Model!$B$2:$B$15,0)),0)),0))))))</f>
        <v>1.0714285499999999E-3</v>
      </c>
      <c r="M48" s="27">
        <f>IF(VLOOKUP($A48,Calendar!$A$1:$R$1377,18,0)=0,0,IF(VLOOKUP($A48,Calendar!$A$1:$R$1377,18,0)=1,IFERROR(INDEX(FourWeekly_Model!$D$2:$D$29,MATCH(H48,FourWeekly_Model!$B$2:$B$29,0)),0),IF(VLOOKUP($A48,Calendar!$A$1:$R$1377,18,0)=2,SUM(IFERROR(INDEX(FourWeekly_Model!$D$2:$D$29,MATCH(H48,FourWeekly_Model!$B$2:$B$29,0)),0),IFERROR(INDEX(FourWeekly_Model!$D$2:$D$29,MATCH(H49,FourWeekly_Model!$B$2:$B$29,0)),0)),IF(VLOOKUP($A48,Calendar!$A$1:$R$1377,18,0)=3,SUM(IFERROR(INDEX(FourWeekly_Model!$D$2:$D$29,MATCH(H48,FourWeekly_Model!$B$2:$B$29,0)),0),IFERROR(INDEX(FourWeekly_Model!$D$2:$D$29,MATCH(H49,FourWeekly_Model!$B$2:$B$29,0)),0),IFERROR(INDEX(FourWeekly_Model!$D$2:$D$29,MATCH(H50,FourWeekly_Model!$B$2:$B$29,0)),0)),IF(VLOOKUP($A48,Calendar!$A$1:$R$1377,18,0)=4,SUM(IFERROR(INDEX(FourWeekly_Model!$D$2:$D$29,MATCH(H48,FourWeekly_Model!$B$2:$B$29,0)),0),IFERROR(INDEX(FourWeekly_Model!$D$2:$D$29,MATCH(H49,FourWeekly_Model!$B$2:$B$29,0)),0),IFERROR(INDEX(FourWeekly_Model!$D$2:$D$29,MATCH(H50,FourWeekly_Model!$B$2:$B$29,0)),0),IFERROR(INDEX(FourWeekly_Model!$D$2:$D$29,MATCH(H51,FourWeekly_Model!$B$2:$B$29,0)),0)),IF(VLOOKUP($A48,Calendar!$A$1:$R$1377,18,0)=5,SUM(IFERROR(INDEX(FourWeekly_Model!$D$2:$D$29,MATCH(H48,FourWeekly_Model!$B$2:$B$29,0)),0),IFERROR(INDEX(FourWeekly_Model!$D$2:$D$29,MATCH(H49,FourWeekly_Model!$B$2:$B$29,0)),0),IFERROR(INDEX(FourWeekly_Model!$D$2:$D$29,MATCH(H50,FourWeekly_Model!$B$2:$B$29,0)),0),IFERROR(INDEX(FourWeekly_Model!$D$2:$D$29,MATCH(H51,FourWeekly_Model!$B$2:$B$29,0)),0),IFERROR(INDEX(FourWeekly_Model!$D$2:$D$29,MATCH(H52,FourWeekly_Model!$B$2:$B$29,0)),0)),0))))))</f>
        <v>3.3214289700000004E-3</v>
      </c>
      <c r="N48" s="27">
        <f>SUM(I48:M48)</f>
        <v>2.921798841005236E-2</v>
      </c>
      <c r="O48" s="28">
        <f>Population_Data!$B$8*N48</f>
        <v>885305.04882458656</v>
      </c>
      <c r="P48" s="27">
        <f>IF(VLOOKUP($A48,Calendar!$A$1:$R$1377,18,0)=0,0,IF(VLOOKUP($A48,Calendar!$A$1:$R$1377,18,0)=1,IFERROR(INDEX(Pension_Model!$D$2:$D$29,MATCH(H48,Pension_Model!$B$2:$B$29,0)),0),IF(VLOOKUP($A48,Calendar!$A$1:$R$1377,18,0)=2,SUM(IFERROR(INDEX(Pension_Model!$D$2:$D$29,MATCH(H48,Pension_Model!$B$2:$B$29,0)),0),IFERROR(INDEX(Pension_Model!$D$2:$D$29,MATCH(H49,Pension_Model!$B$2:$B$29,0)),0)),IF(VLOOKUP($A48,Calendar!$A$1:$R$1377,18,0)=3,SUM(IFERROR(INDEX(Pension_Model!$D$2:$D$29,MATCH(H48,Pension_Model!$B$2:$B$29,0)),0),IFERROR(INDEX(Pension_Model!$D$2:$D$29,MATCH(H49,Pension_Model!$B$2:$B$29,0)),0),IFERROR(INDEX(Pension_Model!$D$2:$D$29,MATCH(H50,Pension_Model!$B$2:$B$29,0)),0)),IF(VLOOKUP($A48,Calendar!$A$1:$R$1377,18,0)=4,SUM(IFERROR(INDEX(Pension_Model!$D$2:$D$29,MATCH(H48,Pension_Model!$B$2:$B$29,0)),0),IFERROR(INDEX(Pension_Model!$D$2:$D$29,MATCH(H49,Pension_Model!$B$2:$B$29,0)),0),IFERROR(INDEX(Pension_Model!$D$2:$D$29,MATCH(H50,Pension_Model!$B$2:$B$29,0)),0),IFERROR(INDEX(Pension_Model!$D$2:$D$29,MATCH(H51,Pension_Model!$B$2:$B$29,0)),0)),IF(VLOOKUP($A48,Calendar!$A$1:$R$1377,18,0)=5,SUM(IFERROR(INDEX(Pension_Model!$D$2:$D$29,MATCH(H48,Pension_Model!$B$2:$B$29,0)),0),IFERROR(INDEX(Pension_Model!$D$2:$D$29,MATCH(H49,Pension_Model!$B$2:$B$29,0)),0),IFERROR(INDEX(Pension_Model!$D$2:$D$29,MATCH(H50,Pension_Model!$B$2:$B$29,0)),0),IFERROR(INDEX(Pension_Model!$D$2:$D$29,MATCH(H51,Pension_Model!$B$2:$B$29,0)),0),IFERROR(INDEX(Pension_Model!$D$2:$D$29,MATCH(H52,Pension_Model!$B$2:$B$29,0)),0)),0))))))</f>
        <v>0.05</v>
      </c>
      <c r="Q48" s="28">
        <f>Population_Data!$B$15*P48</f>
        <v>660600</v>
      </c>
      <c r="S48">
        <f t="shared" si="0"/>
        <v>1545905.0488245864</v>
      </c>
      <c r="U48" s="33">
        <f>S48/Population_Data!$B$19</f>
        <v>2.8005526246822218E-2</v>
      </c>
    </row>
    <row r="49" spans="1:21">
      <c r="A49" s="25">
        <f>Calendar!A49</f>
        <v>46282</v>
      </c>
      <c r="B49" t="str">
        <f>Calendar!L49</f>
        <v>Yes</v>
      </c>
      <c r="C49" t="str">
        <f>Calendar!O49</f>
        <v>No</v>
      </c>
      <c r="D49" t="str">
        <f>Calendar!P49</f>
        <v>No</v>
      </c>
      <c r="E49" t="str">
        <f>Calendar!Q49</f>
        <v>No</v>
      </c>
      <c r="F49" t="str">
        <f>Calendar!I49</f>
        <v>Thursday</v>
      </c>
      <c r="G49">
        <f>Calendar!S49</f>
        <v>12</v>
      </c>
      <c r="H49">
        <f>Calendar!T49</f>
        <v>26</v>
      </c>
      <c r="I49" s="27">
        <f>IF(VLOOKUP(A49,Calendar!$A$1:$R$1377,18,0)=0,0,IF(VLOOKUP(A49,Calendar!$A$1:$R$1377,18,0)=1,INDEX(Monthly_Pay_Model!$A$9:$D$40,MATCH(TEXT(A49,"dd"),Monthly_Pay_Model!$C$9:$C$39,0),4),IF(VLOOKUP(A49,Calendar!$A$1:$R$1377,18,0)=2,SUM(INDEX(Monthly_Pay_Model!$A$9:$D$40,MATCH(TEXT(A49,"dd"),Monthly_Pay_Model!$C$9:$C$39,0),4),INDEX(Monthly_Pay_Model!$A$9:$D$40,MATCH(TEXT(A50,"dd"),Monthly_Pay_Model!$C$9:$C$39,0),4)),IF(VLOOKUP(A49,Calendar!$A$1:$R$1377,18,0)=3,SUM(INDEX(Monthly_Pay_Model!$A$9:$D$40,MATCH(TEXT(A49,"dd"),Monthly_Pay_Model!$C$9:$C$39,0),4),INDEX(Monthly_Pay_Model!$A$9:$D$40,MATCH(TEXT(A50,"dd"),Monthly_Pay_Model!$C$9:$C$39,0),4),INDEX(Monthly_Pay_Model!$A$9:$D$40,MATCH(TEXT(A51,"dd"),Monthly_Pay_Model!$C$9:$C$39,0),4)),IF(VLOOKUP(A49,Calendar!$A$1:$R$1377,18,0)=4,SUM(INDEX(Monthly_Pay_Model!$A$9:$D$40,MATCH(TEXT(A49,"dd"),Monthly_Pay_Model!$C$9:$C$39,0),4),INDEX(Monthly_Pay_Model!$A$9:$D$40,MATCH(TEXT(A50,"dd"),Monthly_Pay_Model!$C$9:$C$39,0),4),INDEX(Monthly_Pay_Model!$A$9:$D$40,MATCH(TEXT(A51,"dd"),Monthly_Pay_Model!$C$9:$C$39,0),4),INDEX(Monthly_Pay_Model!$A$9:$D$40,MATCH(TEXT(A52,"dd"),Monthly_Pay_Model!$C$9:$C$39,0),4)),IF(VLOOKUP(A49,Calendar!$A$1:$R$1377,18,0)=5,SUM(INDEX(Monthly_Pay_Model!$A$9:$D$40,MATCH(TEXT(A49,"dd"),Monthly_Pay_Model!$C$9:$C$39,0),4),INDEX(Monthly_Pay_Model!$A$9:$D$40,MATCH(TEXT(A50,"dd"),Monthly_Pay_Model!$C$9:$C$39,0),4),INDEX(Monthly_Pay_Model!$A$9:$D$40,MATCH(TEXT(A51,"dd"),Monthly_Pay_Model!$C$9:$C$39,0),4),INDEX(Monthly_Pay_Model!$A$9:$D$40,MATCH(TEXT(A52,"dd"),Monthly_Pay_Model!$C$9:$C$39,0),4),INDEX(Monthly_Pay_Model!$A$9:$D$40,MATCH(TEXT(A53,"dd"),Monthly_Pay_Model!$C$9:$C$39,0),4)),))))))</f>
        <v>8.1256544502617792E-4</v>
      </c>
      <c r="J49" s="33">
        <f>IF(C49="Yes",Monthly_Pay_Model!$D$2,0)
+IF(Calendar!N49="Yes",Monthly_Pay_Model!$D$3,0)
+IF(D49="Yes",Monthly_Pay_Model!$D$4,0)
+IF(E49="Yes",Monthly_Pay_Model!$D$5,0)</f>
        <v>0</v>
      </c>
      <c r="K49" s="27">
        <f>IF(VLOOKUP($A49,Calendar!$A$1:$R$1377,18,0)=0,0,IF(VLOOKUP($A49,Calendar!$A$1:$R$1377,18,0)=1,IFERROR(INDEX(Weekly_Model!$D$2:$D$9,MATCH(F49,Weekly_Model!$A$2:$A$9,0)),0),IF(VLOOKUP($A49,Calendar!$A$1:$R$1377,18,0)=2,SUM(IFERROR(INDEX(Weekly_Model!$D$2:$D$9,MATCH(F49,Weekly_Model!$A$2:$A$9,0)),0),IFERROR(INDEX(Weekly_Model!$D$2:$D$9,MATCH(F50,Weekly_Model!$A$2:$A$9,0)),0)),IF(VLOOKUP($A49,Calendar!$A$1:$R$1377,18,0)=3,SUM(IFERROR(INDEX(Weekly_Model!$D$2:$D$9,MATCH(F49,Weekly_Model!$A$2:$A$9,0)),0),IFERROR(INDEX(Weekly_Model!$D$2:$D$9,MATCH(F50,Weekly_Model!$A$2:$A$9,0)),0),IFERROR(INDEX(Weekly_Model!$D$2:$D$9,MATCH(F51,Weekly_Model!$A$2:$A$9,0)),0)),IF(VLOOKUP($A49,Calendar!$A$1:$R$1377,18,0)=4,SUM(IFERROR(INDEX(Weekly_Model!$D$2:$D$9,MATCH(F49,Weekly_Model!$A$2:$A$9,0)),0),IFERROR(INDEX(Weekly_Model!$D$2:$D$9,MATCH(F50,Weekly_Model!$A$2:$A$9,0)),0),IFERROR(INDEX(Weekly_Model!$D$2:$D$9,MATCH(F51,Weekly_Model!$A$2:$A$9,0)),0),IFERROR(INDEX(Weekly_Model!$D$2:$D$9,MATCH(F52,Weekly_Model!$A$2:$A$9,0)),0)),IF(VLOOKUP($A49,Calendar!$A$1:$R$1377,18,0)=5,SUM(IFERROR(INDEX(Weekly_Model!$D$2:$D$9,MATCH(F49,Weekly_Model!$A$2:$A$9,0)),0),IFERROR(INDEX(Weekly_Model!$D$2:$D$9,MATCH(F50,Weekly_Model!$A$2:$A$9,0)),0),IFERROR(INDEX(Weekly_Model!$D$2:$D$9,MATCH(F51,Weekly_Model!$A$2:$A$9,0)),0),IFERROR(INDEX(Weekly_Model!$D$2:$D$9,MATCH(F52,Weekly_Model!$A$2:$A$9,0)),0),IFERROR(INDEX(Weekly_Model!$D$2:$D$9,MATCH(F53,Weekly_Model!$A$2:$A$9,0)),0)),0))))))</f>
        <v>2.3200000000000002E-2</v>
      </c>
      <c r="L49" s="27">
        <f>IF(VLOOKUP($A49,Calendar!$A$1:$R$1377,18,0)=0,0,IF(VLOOKUP($A49,Calendar!$A$1:$R$1377,18,0)=1,IFERROR(INDEX(Fortnightly_Model!$D$2:$D$15,MATCH(G49,Fortnightly_Model!$B$2:$B$15,0)),0),IF(VLOOKUP($A49,Calendar!$A$1:$R$1377,18,0)=2,SUM(IFERROR(INDEX(Fortnightly_Model!$D$2:$D$15,MATCH(G49,Fortnightly_Model!$B$2:$B$15,0)),0),IFERROR(INDEX(Fortnightly_Model!$D$2:$D$15,MATCH(G50,Fortnightly_Model!$B$2:$B$15,0)),0)),IF(VLOOKUP($A49,Calendar!$A$1:$R$1377,18,0)=3,SUM(IFERROR(INDEX(Fortnightly_Model!$D$2:$D$15,MATCH(G49,Fortnightly_Model!$B$2:$B$15,0)),0),IFERROR(INDEX(Fortnightly_Model!$D$2:$D$15,MATCH(G50,Fortnightly_Model!$B$2:$B$15,0)),0),IFERROR(INDEX(Fortnightly_Model!$D$2:$D$15,MATCH(G51,Fortnightly_Model!$B$2:$B$15,0)),0)),IF(VLOOKUP($A49,Calendar!$A$1:$R$1377,18,0)=4,SUM(IFERROR(INDEX(Fortnightly_Model!$D$2:$D$15,MATCH(G49,Fortnightly_Model!$B$2:$B$15,0)),0),IFERROR(INDEX(Fortnightly_Model!$D$2:$D$15,MATCH(G50,Fortnightly_Model!$B$2:$B$15,0)),0),IFERROR(INDEX(Fortnightly_Model!$D$2:$D$15,MATCH(G51,Fortnightly_Model!$B$2:$B$15,0)),0),IFERROR(INDEX(Fortnightly_Model!$D$2:$D$15,MATCH(G52,Fortnightly_Model!$B$2:$B$15,0)),0)),IF(VLOOKUP($A49,Calendar!$A$1:$R$1377,18,0)=5,SUM(IFERROR(INDEX(Fortnightly_Model!$D$2:$D$15,MATCH(G49,Fortnightly_Model!$B$2:$B$15,0)),0),IFERROR(INDEX(Fortnightly_Model!$D$2:$D$15,MATCH(G50,Fortnightly_Model!$B$2:$B$15,0)),0),IFERROR(INDEX(Fortnightly_Model!$D$2:$D$15,MATCH(G51,Fortnightly_Model!$B$2:$B$15,0)),0),IFERROR(INDEX(Fortnightly_Model!$D$2:$D$15,MATCH(G52,Fortnightly_Model!$B$2:$B$15,0)),0),IFERROR(INDEX(Fortnightly_Model!$D$2:$D$15,MATCH(G53,Fortnightly_Model!$B$2:$B$15,0)),0)),0))))))</f>
        <v>1.0714285499999999E-3</v>
      </c>
      <c r="M49" s="27">
        <f>IF(VLOOKUP($A49,Calendar!$A$1:$R$1377,18,0)=0,0,IF(VLOOKUP($A49,Calendar!$A$1:$R$1377,18,0)=1,IFERROR(INDEX(FourWeekly_Model!$D$2:$D$29,MATCH(H49,FourWeekly_Model!$B$2:$B$29,0)),0),IF(VLOOKUP($A49,Calendar!$A$1:$R$1377,18,0)=2,SUM(IFERROR(INDEX(FourWeekly_Model!$D$2:$D$29,MATCH(H49,FourWeekly_Model!$B$2:$B$29,0)),0),IFERROR(INDEX(FourWeekly_Model!$D$2:$D$29,MATCH(H50,FourWeekly_Model!$B$2:$B$29,0)),0)),IF(VLOOKUP($A49,Calendar!$A$1:$R$1377,18,0)=3,SUM(IFERROR(INDEX(FourWeekly_Model!$D$2:$D$29,MATCH(H49,FourWeekly_Model!$B$2:$B$29,0)),0),IFERROR(INDEX(FourWeekly_Model!$D$2:$D$29,MATCH(H50,FourWeekly_Model!$B$2:$B$29,0)),0),IFERROR(INDEX(FourWeekly_Model!$D$2:$D$29,MATCH(H51,FourWeekly_Model!$B$2:$B$29,0)),0)),IF(VLOOKUP($A49,Calendar!$A$1:$R$1377,18,0)=4,SUM(IFERROR(INDEX(FourWeekly_Model!$D$2:$D$29,MATCH(H49,FourWeekly_Model!$B$2:$B$29,0)),0),IFERROR(INDEX(FourWeekly_Model!$D$2:$D$29,MATCH(H50,FourWeekly_Model!$B$2:$B$29,0)),0),IFERROR(INDEX(FourWeekly_Model!$D$2:$D$29,MATCH(H51,FourWeekly_Model!$B$2:$B$29,0)),0),IFERROR(INDEX(FourWeekly_Model!$D$2:$D$29,MATCH(H52,FourWeekly_Model!$B$2:$B$29,0)),0)),IF(VLOOKUP($A49,Calendar!$A$1:$R$1377,18,0)=5,SUM(IFERROR(INDEX(FourWeekly_Model!$D$2:$D$29,MATCH(H49,FourWeekly_Model!$B$2:$B$29,0)),0),IFERROR(INDEX(FourWeekly_Model!$D$2:$D$29,MATCH(H50,FourWeekly_Model!$B$2:$B$29,0)),0),IFERROR(INDEX(FourWeekly_Model!$D$2:$D$29,MATCH(H51,FourWeekly_Model!$B$2:$B$29,0)),0),IFERROR(INDEX(FourWeekly_Model!$D$2:$D$29,MATCH(H52,FourWeekly_Model!$B$2:$B$29,0)),0),IFERROR(INDEX(FourWeekly_Model!$D$2:$D$29,MATCH(H53,FourWeekly_Model!$B$2:$B$29,0)),0)),0))))))</f>
        <v>3.3214289700000004E-3</v>
      </c>
      <c r="N49" s="27">
        <f>SUM(I49:M49)</f>
        <v>2.840542296502618E-2</v>
      </c>
      <c r="O49" s="28">
        <f>Population_Data!$B$8*N49</f>
        <v>860684.3158402933</v>
      </c>
      <c r="P49" s="27">
        <f>IF(VLOOKUP($A49,Calendar!$A$1:$R$1377,18,0)=0,0,IF(VLOOKUP($A49,Calendar!$A$1:$R$1377,18,0)=1,IFERROR(INDEX(Pension_Model!$D$2:$D$29,MATCH(H49,Pension_Model!$B$2:$B$29,0)),0),IF(VLOOKUP($A49,Calendar!$A$1:$R$1377,18,0)=2,SUM(IFERROR(INDEX(Pension_Model!$D$2:$D$29,MATCH(H49,Pension_Model!$B$2:$B$29,0)),0),IFERROR(INDEX(Pension_Model!$D$2:$D$29,MATCH(H50,Pension_Model!$B$2:$B$29,0)),0)),IF(VLOOKUP($A49,Calendar!$A$1:$R$1377,18,0)=3,SUM(IFERROR(INDEX(Pension_Model!$D$2:$D$29,MATCH(H49,Pension_Model!$B$2:$B$29,0)),0),IFERROR(INDEX(Pension_Model!$D$2:$D$29,MATCH(H50,Pension_Model!$B$2:$B$29,0)),0),IFERROR(INDEX(Pension_Model!$D$2:$D$29,MATCH(H51,Pension_Model!$B$2:$B$29,0)),0)),IF(VLOOKUP($A49,Calendar!$A$1:$R$1377,18,0)=4,SUM(IFERROR(INDEX(Pension_Model!$D$2:$D$29,MATCH(H49,Pension_Model!$B$2:$B$29,0)),0),IFERROR(INDEX(Pension_Model!$D$2:$D$29,MATCH(H50,Pension_Model!$B$2:$B$29,0)),0),IFERROR(INDEX(Pension_Model!$D$2:$D$29,MATCH(H51,Pension_Model!$B$2:$B$29,0)),0),IFERROR(INDEX(Pension_Model!$D$2:$D$29,MATCH(H52,Pension_Model!$B$2:$B$29,0)),0)),IF(VLOOKUP($A49,Calendar!$A$1:$R$1377,18,0)=5,SUM(IFERROR(INDEX(Pension_Model!$D$2:$D$29,MATCH(H49,Pension_Model!$B$2:$B$29,0)),0),IFERROR(INDEX(Pension_Model!$D$2:$D$29,MATCH(H50,Pension_Model!$B$2:$B$29,0)),0),IFERROR(INDEX(Pension_Model!$D$2:$D$29,MATCH(H51,Pension_Model!$B$2:$B$29,0)),0),IFERROR(INDEX(Pension_Model!$D$2:$D$29,MATCH(H52,Pension_Model!$B$2:$B$29,0)),0),IFERROR(INDEX(Pension_Model!$D$2:$D$29,MATCH(H53,Pension_Model!$B$2:$B$29,0)),0)),0))))))</f>
        <v>0.05</v>
      </c>
      <c r="Q49" s="28">
        <f>Population_Data!$B$15*P49</f>
        <v>660600</v>
      </c>
      <c r="S49">
        <f t="shared" si="0"/>
        <v>1521284.3158402932</v>
      </c>
      <c r="U49" s="33">
        <f>S49/Population_Data!$B$19</f>
        <v>2.7559498475367629E-2</v>
      </c>
    </row>
    <row r="50" spans="1:21">
      <c r="A50" s="25">
        <f>Calendar!A50</f>
        <v>46283</v>
      </c>
      <c r="B50" t="str">
        <f>Calendar!L50</f>
        <v>Yes</v>
      </c>
      <c r="C50" t="str">
        <f>Calendar!O50</f>
        <v>No</v>
      </c>
      <c r="D50" t="str">
        <f>Calendar!P50</f>
        <v>No</v>
      </c>
      <c r="E50" t="str">
        <f>Calendar!Q50</f>
        <v>No</v>
      </c>
      <c r="F50" t="str">
        <f>Calendar!I50</f>
        <v>Friday</v>
      </c>
      <c r="G50">
        <f>Calendar!S50</f>
        <v>13</v>
      </c>
      <c r="H50">
        <f>Calendar!T50</f>
        <v>27</v>
      </c>
      <c r="I50" s="27">
        <f>IF(VLOOKUP(A50,Calendar!$A$1:$R$1377,18,0)=0,0,IF(VLOOKUP(A50,Calendar!$A$1:$R$1377,18,0)=1,INDEX(Monthly_Pay_Model!$A$9:$D$40,MATCH(TEXT(A50,"dd"),Monthly_Pay_Model!$C$9:$C$39,0),4),IF(VLOOKUP(A50,Calendar!$A$1:$R$1377,18,0)=2,SUM(INDEX(Monthly_Pay_Model!$A$9:$D$40,MATCH(TEXT(A50,"dd"),Monthly_Pay_Model!$C$9:$C$39,0),4),INDEX(Monthly_Pay_Model!$A$9:$D$40,MATCH(TEXT(A51,"dd"),Monthly_Pay_Model!$C$9:$C$39,0),4)),IF(VLOOKUP(A50,Calendar!$A$1:$R$1377,18,0)=3,SUM(INDEX(Monthly_Pay_Model!$A$9:$D$40,MATCH(TEXT(A50,"dd"),Monthly_Pay_Model!$C$9:$C$39,0),4),INDEX(Monthly_Pay_Model!$A$9:$D$40,MATCH(TEXT(A51,"dd"),Monthly_Pay_Model!$C$9:$C$39,0),4),INDEX(Monthly_Pay_Model!$A$9:$D$40,MATCH(TEXT(A52,"dd"),Monthly_Pay_Model!$C$9:$C$39,0),4)),IF(VLOOKUP(A50,Calendar!$A$1:$R$1377,18,0)=4,SUM(INDEX(Monthly_Pay_Model!$A$9:$D$40,MATCH(TEXT(A50,"dd"),Monthly_Pay_Model!$C$9:$C$39,0),4),INDEX(Monthly_Pay_Model!$A$9:$D$40,MATCH(TEXT(A51,"dd"),Monthly_Pay_Model!$C$9:$C$39,0),4),INDEX(Monthly_Pay_Model!$A$9:$D$40,MATCH(TEXT(A52,"dd"),Monthly_Pay_Model!$C$9:$C$39,0),4),INDEX(Monthly_Pay_Model!$A$9:$D$40,MATCH(TEXT(A53,"dd"),Monthly_Pay_Model!$C$9:$C$39,0),4)),IF(VLOOKUP(A50,Calendar!$A$1:$R$1377,18,0)=5,SUM(INDEX(Monthly_Pay_Model!$A$9:$D$40,MATCH(TEXT(A50,"dd"),Monthly_Pay_Model!$C$9:$C$39,0),4),INDEX(Monthly_Pay_Model!$A$9:$D$40,MATCH(TEXT(A51,"dd"),Monthly_Pay_Model!$C$9:$C$39,0),4),INDEX(Monthly_Pay_Model!$A$9:$D$40,MATCH(TEXT(A52,"dd"),Monthly_Pay_Model!$C$9:$C$39,0),4),INDEX(Monthly_Pay_Model!$A$9:$D$40,MATCH(TEXT(A53,"dd"),Monthly_Pay_Model!$C$9:$C$39,0),4),INDEX(Monthly_Pay_Model!$A$9:$D$40,MATCH(TEXT(A54,"dd"),Monthly_Pay_Model!$C$9:$C$39,0),4)),))))))</f>
        <v>1.2188481675392668E-2</v>
      </c>
      <c r="J50" s="33">
        <f>IF(C50="Yes",Monthly_Pay_Model!$D$2,0)
+IF(Calendar!N50="Yes",Monthly_Pay_Model!$D$3,0)
+IF(D50="Yes",Monthly_Pay_Model!$D$4,0)
+IF(E50="Yes",Monthly_Pay_Model!$D$5,0)</f>
        <v>0</v>
      </c>
      <c r="K50" s="27">
        <f>IF(VLOOKUP($A50,Calendar!$A$1:$R$1377,18,0)=0,0,IF(VLOOKUP($A50,Calendar!$A$1:$R$1377,18,0)=1,IFERROR(INDEX(Weekly_Model!$D$2:$D$9,MATCH(F50,Weekly_Model!$A$2:$A$9,0)),0),IF(VLOOKUP($A50,Calendar!$A$1:$R$1377,18,0)=2,SUM(IFERROR(INDEX(Weekly_Model!$D$2:$D$9,MATCH(F50,Weekly_Model!$A$2:$A$9,0)),0),IFERROR(INDEX(Weekly_Model!$D$2:$D$9,MATCH(F51,Weekly_Model!$A$2:$A$9,0)),0)),IF(VLOOKUP($A50,Calendar!$A$1:$R$1377,18,0)=3,SUM(IFERROR(INDEX(Weekly_Model!$D$2:$D$9,MATCH(F50,Weekly_Model!$A$2:$A$9,0)),0),IFERROR(INDEX(Weekly_Model!$D$2:$D$9,MATCH(F51,Weekly_Model!$A$2:$A$9,0)),0),IFERROR(INDEX(Weekly_Model!$D$2:$D$9,MATCH(F52,Weekly_Model!$A$2:$A$9,0)),0)),IF(VLOOKUP($A50,Calendar!$A$1:$R$1377,18,0)=4,SUM(IFERROR(INDEX(Weekly_Model!$D$2:$D$9,MATCH(F50,Weekly_Model!$A$2:$A$9,0)),0),IFERROR(INDEX(Weekly_Model!$D$2:$D$9,MATCH(F51,Weekly_Model!$A$2:$A$9,0)),0),IFERROR(INDEX(Weekly_Model!$D$2:$D$9,MATCH(F52,Weekly_Model!$A$2:$A$9,0)),0),IFERROR(INDEX(Weekly_Model!$D$2:$D$9,MATCH(F53,Weekly_Model!$A$2:$A$9,0)),0)),IF(VLOOKUP($A50,Calendar!$A$1:$R$1377,18,0)=5,SUM(IFERROR(INDEX(Weekly_Model!$D$2:$D$9,MATCH(F50,Weekly_Model!$A$2:$A$9,0)),0),IFERROR(INDEX(Weekly_Model!$D$2:$D$9,MATCH(F51,Weekly_Model!$A$2:$A$9,0)),0),IFERROR(INDEX(Weekly_Model!$D$2:$D$9,MATCH(F52,Weekly_Model!$A$2:$A$9,0)),0),IFERROR(INDEX(Weekly_Model!$D$2:$D$9,MATCH(F53,Weekly_Model!$A$2:$A$9,0)),0),IFERROR(INDEX(Weekly_Model!$D$2:$D$9,MATCH(F54,Weekly_Model!$A$2:$A$9,0)),0)),0))))))</f>
        <v>2.3200000000000002E-2</v>
      </c>
      <c r="L50" s="27">
        <f>IF(VLOOKUP($A50,Calendar!$A$1:$R$1377,18,0)=0,0,IF(VLOOKUP($A50,Calendar!$A$1:$R$1377,18,0)=1,IFERROR(INDEX(Fortnightly_Model!$D$2:$D$15,MATCH(G50,Fortnightly_Model!$B$2:$B$15,0)),0),IF(VLOOKUP($A50,Calendar!$A$1:$R$1377,18,0)=2,SUM(IFERROR(INDEX(Fortnightly_Model!$D$2:$D$15,MATCH(G50,Fortnightly_Model!$B$2:$B$15,0)),0),IFERROR(INDEX(Fortnightly_Model!$D$2:$D$15,MATCH(G51,Fortnightly_Model!$B$2:$B$15,0)),0)),IF(VLOOKUP($A50,Calendar!$A$1:$R$1377,18,0)=3,SUM(IFERROR(INDEX(Fortnightly_Model!$D$2:$D$15,MATCH(G50,Fortnightly_Model!$B$2:$B$15,0)),0),IFERROR(INDEX(Fortnightly_Model!$D$2:$D$15,MATCH(G51,Fortnightly_Model!$B$2:$B$15,0)),0),IFERROR(INDEX(Fortnightly_Model!$D$2:$D$15,MATCH(G52,Fortnightly_Model!$B$2:$B$15,0)),0)),IF(VLOOKUP($A50,Calendar!$A$1:$R$1377,18,0)=4,SUM(IFERROR(INDEX(Fortnightly_Model!$D$2:$D$15,MATCH(G50,Fortnightly_Model!$B$2:$B$15,0)),0),IFERROR(INDEX(Fortnightly_Model!$D$2:$D$15,MATCH(G51,Fortnightly_Model!$B$2:$B$15,0)),0),IFERROR(INDEX(Fortnightly_Model!$D$2:$D$15,MATCH(G52,Fortnightly_Model!$B$2:$B$15,0)),0),IFERROR(INDEX(Fortnightly_Model!$D$2:$D$15,MATCH(G53,Fortnightly_Model!$B$2:$B$15,0)),0)),IF(VLOOKUP($A50,Calendar!$A$1:$R$1377,18,0)=5,SUM(IFERROR(INDEX(Fortnightly_Model!$D$2:$D$15,MATCH(G50,Fortnightly_Model!$B$2:$B$15,0)),0),IFERROR(INDEX(Fortnightly_Model!$D$2:$D$15,MATCH(G51,Fortnightly_Model!$B$2:$B$15,0)),0),IFERROR(INDEX(Fortnightly_Model!$D$2:$D$15,MATCH(G52,Fortnightly_Model!$B$2:$B$15,0)),0),IFERROR(INDEX(Fortnightly_Model!$D$2:$D$15,MATCH(G53,Fortnightly_Model!$B$2:$B$15,0)),0),IFERROR(INDEX(Fortnightly_Model!$D$2:$D$15,MATCH(G54,Fortnightly_Model!$B$2:$B$15,0)),0)),0))))))</f>
        <v>3.2142856499999999E-3</v>
      </c>
      <c r="M50" s="27">
        <f>IF(VLOOKUP($A50,Calendar!$A$1:$R$1377,18,0)=0,0,IF(VLOOKUP($A50,Calendar!$A$1:$R$1377,18,0)=1,IFERROR(INDEX(FourWeekly_Model!$D$2:$D$29,MATCH(H50,FourWeekly_Model!$B$2:$B$29,0)),0),IF(VLOOKUP($A50,Calendar!$A$1:$R$1377,18,0)=2,SUM(IFERROR(INDEX(FourWeekly_Model!$D$2:$D$29,MATCH(H50,FourWeekly_Model!$B$2:$B$29,0)),0),IFERROR(INDEX(FourWeekly_Model!$D$2:$D$29,MATCH(H51,FourWeekly_Model!$B$2:$B$29,0)),0)),IF(VLOOKUP($A50,Calendar!$A$1:$R$1377,18,0)=3,SUM(IFERROR(INDEX(FourWeekly_Model!$D$2:$D$29,MATCH(H50,FourWeekly_Model!$B$2:$B$29,0)),0),IFERROR(INDEX(FourWeekly_Model!$D$2:$D$29,MATCH(H51,FourWeekly_Model!$B$2:$B$29,0)),0),IFERROR(INDEX(FourWeekly_Model!$D$2:$D$29,MATCH(H52,FourWeekly_Model!$B$2:$B$29,0)),0)),IF(VLOOKUP($A50,Calendar!$A$1:$R$1377,18,0)=4,SUM(IFERROR(INDEX(FourWeekly_Model!$D$2:$D$29,MATCH(H50,FourWeekly_Model!$B$2:$B$29,0)),0),IFERROR(INDEX(FourWeekly_Model!$D$2:$D$29,MATCH(H51,FourWeekly_Model!$B$2:$B$29,0)),0),IFERROR(INDEX(FourWeekly_Model!$D$2:$D$29,MATCH(H52,FourWeekly_Model!$B$2:$B$29,0)),0),IFERROR(INDEX(FourWeekly_Model!$D$2:$D$29,MATCH(H53,FourWeekly_Model!$B$2:$B$29,0)),0)),IF(VLOOKUP($A50,Calendar!$A$1:$R$1377,18,0)=5,SUM(IFERROR(INDEX(FourWeekly_Model!$D$2:$D$29,MATCH(H50,FourWeekly_Model!$B$2:$B$29,0)),0),IFERROR(INDEX(FourWeekly_Model!$D$2:$D$29,MATCH(H51,FourWeekly_Model!$B$2:$B$29,0)),0),IFERROR(INDEX(FourWeekly_Model!$D$2:$D$29,MATCH(H52,FourWeekly_Model!$B$2:$B$29,0)),0),IFERROR(INDEX(FourWeekly_Model!$D$2:$D$29,MATCH(H53,FourWeekly_Model!$B$2:$B$29,0)),0),IFERROR(INDEX(FourWeekly_Model!$D$2:$D$29,MATCH(H54,FourWeekly_Model!$B$2:$B$29,0)),0)),0))))))</f>
        <v>9.9642859800000011E-3</v>
      </c>
      <c r="N50" s="27">
        <f>SUM(I50:M50)</f>
        <v>4.8567053305392675E-2</v>
      </c>
      <c r="O50" s="28">
        <f>Population_Data!$B$8*N50</f>
        <v>1471581.715153398</v>
      </c>
      <c r="P50" s="27">
        <f>IF(VLOOKUP($A50,Calendar!$A$1:$R$1377,18,0)=0,0,IF(VLOOKUP($A50,Calendar!$A$1:$R$1377,18,0)=1,IFERROR(INDEX(Pension_Model!$D$2:$D$29,MATCH(H50,Pension_Model!$B$2:$B$29,0)),0),IF(VLOOKUP($A50,Calendar!$A$1:$R$1377,18,0)=2,SUM(IFERROR(INDEX(Pension_Model!$D$2:$D$29,MATCH(H50,Pension_Model!$B$2:$B$29,0)),0),IFERROR(INDEX(Pension_Model!$D$2:$D$29,MATCH(H51,Pension_Model!$B$2:$B$29,0)),0)),IF(VLOOKUP($A50,Calendar!$A$1:$R$1377,18,0)=3,SUM(IFERROR(INDEX(Pension_Model!$D$2:$D$29,MATCH(H50,Pension_Model!$B$2:$B$29,0)),0),IFERROR(INDEX(Pension_Model!$D$2:$D$29,MATCH(H51,Pension_Model!$B$2:$B$29,0)),0),IFERROR(INDEX(Pension_Model!$D$2:$D$29,MATCH(H52,Pension_Model!$B$2:$B$29,0)),0)),IF(VLOOKUP($A50,Calendar!$A$1:$R$1377,18,0)=4,SUM(IFERROR(INDEX(Pension_Model!$D$2:$D$29,MATCH(H50,Pension_Model!$B$2:$B$29,0)),0),IFERROR(INDEX(Pension_Model!$D$2:$D$29,MATCH(H51,Pension_Model!$B$2:$B$29,0)),0),IFERROR(INDEX(Pension_Model!$D$2:$D$29,MATCH(H52,Pension_Model!$B$2:$B$29,0)),0),IFERROR(INDEX(Pension_Model!$D$2:$D$29,MATCH(H53,Pension_Model!$B$2:$B$29,0)),0)),IF(VLOOKUP($A50,Calendar!$A$1:$R$1377,18,0)=5,SUM(IFERROR(INDEX(Pension_Model!$D$2:$D$29,MATCH(H50,Pension_Model!$B$2:$B$29,0)),0),IFERROR(INDEX(Pension_Model!$D$2:$D$29,MATCH(H51,Pension_Model!$B$2:$B$29,0)),0),IFERROR(INDEX(Pension_Model!$D$2:$D$29,MATCH(H52,Pension_Model!$B$2:$B$29,0)),0),IFERROR(INDEX(Pension_Model!$D$2:$D$29,MATCH(H53,Pension_Model!$B$2:$B$29,0)),0),IFERROR(INDEX(Pension_Model!$D$2:$D$29,MATCH(H54,Pension_Model!$B$2:$B$29,0)),0)),0))))))</f>
        <v>0.05</v>
      </c>
      <c r="Q50" s="28">
        <f>Population_Data!$B$15*P50</f>
        <v>660600</v>
      </c>
      <c r="S50">
        <f t="shared" si="0"/>
        <v>2132181.715153398</v>
      </c>
      <c r="U50" s="33">
        <f>S50/Population_Data!$B$19</f>
        <v>3.8626480346981851E-2</v>
      </c>
    </row>
    <row r="51" spans="1:21">
      <c r="A51" s="25">
        <f>Calendar!A51</f>
        <v>46284</v>
      </c>
      <c r="B51" t="str">
        <f>Calendar!L51</f>
        <v>No</v>
      </c>
      <c r="C51" t="str">
        <f>Calendar!O51</f>
        <v>No</v>
      </c>
      <c r="D51" t="str">
        <f>Calendar!P51</f>
        <v>No</v>
      </c>
      <c r="E51" t="str">
        <f>Calendar!Q51</f>
        <v>No</v>
      </c>
      <c r="F51" t="str">
        <f>Calendar!I51</f>
        <v>Saturday</v>
      </c>
      <c r="G51">
        <f>Calendar!S51</f>
        <v>0</v>
      </c>
      <c r="H51">
        <f>Calendar!T51</f>
        <v>0</v>
      </c>
      <c r="I51" s="27">
        <f>IF(VLOOKUP(A51,Calendar!$A$1:$R$1377,18,0)=0,0,IF(VLOOKUP(A51,Calendar!$A$1:$R$1377,18,0)=1,INDEX(Monthly_Pay_Model!$A$9:$D$40,MATCH(TEXT(A51,"dd"),Monthly_Pay_Model!$C$9:$C$39,0),4),IF(VLOOKUP(A51,Calendar!$A$1:$R$1377,18,0)=2,SUM(INDEX(Monthly_Pay_Model!$A$9:$D$40,MATCH(TEXT(A51,"dd"),Monthly_Pay_Model!$C$9:$C$39,0),4),INDEX(Monthly_Pay_Model!$A$9:$D$40,MATCH(TEXT(A52,"dd"),Monthly_Pay_Model!$C$9:$C$39,0),4)),IF(VLOOKUP(A51,Calendar!$A$1:$R$1377,18,0)=3,SUM(INDEX(Monthly_Pay_Model!$A$9:$D$40,MATCH(TEXT(A51,"dd"),Monthly_Pay_Model!$C$9:$C$39,0),4),INDEX(Monthly_Pay_Model!$A$9:$D$40,MATCH(TEXT(A52,"dd"),Monthly_Pay_Model!$C$9:$C$39,0),4),INDEX(Monthly_Pay_Model!$A$9:$D$40,MATCH(TEXT(A53,"dd"),Monthly_Pay_Model!$C$9:$C$39,0),4)),IF(VLOOKUP(A51,Calendar!$A$1:$R$1377,18,0)=4,SUM(INDEX(Monthly_Pay_Model!$A$9:$D$40,MATCH(TEXT(A51,"dd"),Monthly_Pay_Model!$C$9:$C$39,0),4),INDEX(Monthly_Pay_Model!$A$9:$D$40,MATCH(TEXT(A52,"dd"),Monthly_Pay_Model!$C$9:$C$39,0),4),INDEX(Monthly_Pay_Model!$A$9:$D$40,MATCH(TEXT(A53,"dd"),Monthly_Pay_Model!$C$9:$C$39,0),4),INDEX(Monthly_Pay_Model!$A$9:$D$40,MATCH(TEXT(A54,"dd"),Monthly_Pay_Model!$C$9:$C$39,0),4)),IF(VLOOKUP(A51,Calendar!$A$1:$R$1377,18,0)=5,SUM(INDEX(Monthly_Pay_Model!$A$9:$D$40,MATCH(TEXT(A51,"dd"),Monthly_Pay_Model!$C$9:$C$39,0),4),INDEX(Monthly_Pay_Model!$A$9:$D$40,MATCH(TEXT(A52,"dd"),Monthly_Pay_Model!$C$9:$C$39,0),4),INDEX(Monthly_Pay_Model!$A$9:$D$40,MATCH(TEXT(A53,"dd"),Monthly_Pay_Model!$C$9:$C$39,0),4),INDEX(Monthly_Pay_Model!$A$9:$D$40,MATCH(TEXT(A54,"dd"),Monthly_Pay_Model!$C$9:$C$39,0),4),INDEX(Monthly_Pay_Model!$A$9:$D$40,MATCH(TEXT(A55,"dd"),Monthly_Pay_Model!$C$9:$C$39,0),4)),))))))</f>
        <v>0</v>
      </c>
      <c r="J51" s="33">
        <f>IF(C51="Yes",Monthly_Pay_Model!$D$2,0)
+IF(Calendar!N51="Yes",Monthly_Pay_Model!$D$3,0)
+IF(D51="Yes",Monthly_Pay_Model!$D$4,0)
+IF(E51="Yes",Monthly_Pay_Model!$D$5,0)</f>
        <v>0</v>
      </c>
      <c r="K51" s="27">
        <f>IF(VLOOKUP($A51,Calendar!$A$1:$R$1377,18,0)=0,0,IF(VLOOKUP($A51,Calendar!$A$1:$R$1377,18,0)=1,IFERROR(INDEX(Weekly_Model!$D$2:$D$9,MATCH(F51,Weekly_Model!$A$2:$A$9,0)),0),IF(VLOOKUP($A51,Calendar!$A$1:$R$1377,18,0)=2,SUM(IFERROR(INDEX(Weekly_Model!$D$2:$D$9,MATCH(F51,Weekly_Model!$A$2:$A$9,0)),0),IFERROR(INDEX(Weekly_Model!$D$2:$D$9,MATCH(F52,Weekly_Model!$A$2:$A$9,0)),0)),IF(VLOOKUP($A51,Calendar!$A$1:$R$1377,18,0)=3,SUM(IFERROR(INDEX(Weekly_Model!$D$2:$D$9,MATCH(F51,Weekly_Model!$A$2:$A$9,0)),0),IFERROR(INDEX(Weekly_Model!$D$2:$D$9,MATCH(F52,Weekly_Model!$A$2:$A$9,0)),0),IFERROR(INDEX(Weekly_Model!$D$2:$D$9,MATCH(F53,Weekly_Model!$A$2:$A$9,0)),0)),IF(VLOOKUP($A51,Calendar!$A$1:$R$1377,18,0)=4,SUM(IFERROR(INDEX(Weekly_Model!$D$2:$D$9,MATCH(F51,Weekly_Model!$A$2:$A$9,0)),0),IFERROR(INDEX(Weekly_Model!$D$2:$D$9,MATCH(F52,Weekly_Model!$A$2:$A$9,0)),0),IFERROR(INDEX(Weekly_Model!$D$2:$D$9,MATCH(F53,Weekly_Model!$A$2:$A$9,0)),0),IFERROR(INDEX(Weekly_Model!$D$2:$D$9,MATCH(F54,Weekly_Model!$A$2:$A$9,0)),0)),IF(VLOOKUP($A51,Calendar!$A$1:$R$1377,18,0)=5,SUM(IFERROR(INDEX(Weekly_Model!$D$2:$D$9,MATCH(F51,Weekly_Model!$A$2:$A$9,0)),0),IFERROR(INDEX(Weekly_Model!$D$2:$D$9,MATCH(F52,Weekly_Model!$A$2:$A$9,0)),0),IFERROR(INDEX(Weekly_Model!$D$2:$D$9,MATCH(F53,Weekly_Model!$A$2:$A$9,0)),0),IFERROR(INDEX(Weekly_Model!$D$2:$D$9,MATCH(F54,Weekly_Model!$A$2:$A$9,0)),0),IFERROR(INDEX(Weekly_Model!$D$2:$D$9,MATCH(F55,Weekly_Model!$A$2:$A$9,0)),0)),0))))))</f>
        <v>0</v>
      </c>
      <c r="L51" s="27">
        <f>IF(VLOOKUP($A51,Calendar!$A$1:$R$1377,18,0)=0,0,IF(VLOOKUP($A51,Calendar!$A$1:$R$1377,18,0)=1,IFERROR(INDEX(Fortnightly_Model!$D$2:$D$15,MATCH(G51,Fortnightly_Model!$B$2:$B$15,0)),0),IF(VLOOKUP($A51,Calendar!$A$1:$R$1377,18,0)=2,SUM(IFERROR(INDEX(Fortnightly_Model!$D$2:$D$15,MATCH(G51,Fortnightly_Model!$B$2:$B$15,0)),0),IFERROR(INDEX(Fortnightly_Model!$D$2:$D$15,MATCH(G52,Fortnightly_Model!$B$2:$B$15,0)),0)),IF(VLOOKUP($A51,Calendar!$A$1:$R$1377,18,0)=3,SUM(IFERROR(INDEX(Fortnightly_Model!$D$2:$D$15,MATCH(G51,Fortnightly_Model!$B$2:$B$15,0)),0),IFERROR(INDEX(Fortnightly_Model!$D$2:$D$15,MATCH(G52,Fortnightly_Model!$B$2:$B$15,0)),0),IFERROR(INDEX(Fortnightly_Model!$D$2:$D$15,MATCH(G53,Fortnightly_Model!$B$2:$B$15,0)),0)),IF(VLOOKUP($A51,Calendar!$A$1:$R$1377,18,0)=4,SUM(IFERROR(INDEX(Fortnightly_Model!$D$2:$D$15,MATCH(G51,Fortnightly_Model!$B$2:$B$15,0)),0),IFERROR(INDEX(Fortnightly_Model!$D$2:$D$15,MATCH(G52,Fortnightly_Model!$B$2:$B$15,0)),0),IFERROR(INDEX(Fortnightly_Model!$D$2:$D$15,MATCH(G53,Fortnightly_Model!$B$2:$B$15,0)),0),IFERROR(INDEX(Fortnightly_Model!$D$2:$D$15,MATCH(G54,Fortnightly_Model!$B$2:$B$15,0)),0)),IF(VLOOKUP($A51,Calendar!$A$1:$R$1377,18,0)=5,SUM(IFERROR(INDEX(Fortnightly_Model!$D$2:$D$15,MATCH(G51,Fortnightly_Model!$B$2:$B$15,0)),0),IFERROR(INDEX(Fortnightly_Model!$D$2:$D$15,MATCH(G52,Fortnightly_Model!$B$2:$B$15,0)),0),IFERROR(INDEX(Fortnightly_Model!$D$2:$D$15,MATCH(G53,Fortnightly_Model!$B$2:$B$15,0)),0),IFERROR(INDEX(Fortnightly_Model!$D$2:$D$15,MATCH(G54,Fortnightly_Model!$B$2:$B$15,0)),0),IFERROR(INDEX(Fortnightly_Model!$D$2:$D$15,MATCH(G55,Fortnightly_Model!$B$2:$B$15,0)),0)),0))))))</f>
        <v>0</v>
      </c>
      <c r="M51" s="27">
        <f>IF(VLOOKUP($A51,Calendar!$A$1:$R$1377,18,0)=0,0,IF(VLOOKUP($A51,Calendar!$A$1:$R$1377,18,0)=1,IFERROR(INDEX(FourWeekly_Model!$D$2:$D$29,MATCH(H51,FourWeekly_Model!$B$2:$B$29,0)),0),IF(VLOOKUP($A51,Calendar!$A$1:$R$1377,18,0)=2,SUM(IFERROR(INDEX(FourWeekly_Model!$D$2:$D$29,MATCH(H51,FourWeekly_Model!$B$2:$B$29,0)),0),IFERROR(INDEX(FourWeekly_Model!$D$2:$D$29,MATCH(H52,FourWeekly_Model!$B$2:$B$29,0)),0)),IF(VLOOKUP($A51,Calendar!$A$1:$R$1377,18,0)=3,SUM(IFERROR(INDEX(FourWeekly_Model!$D$2:$D$29,MATCH(H51,FourWeekly_Model!$B$2:$B$29,0)),0),IFERROR(INDEX(FourWeekly_Model!$D$2:$D$29,MATCH(H52,FourWeekly_Model!$B$2:$B$29,0)),0),IFERROR(INDEX(FourWeekly_Model!$D$2:$D$29,MATCH(H53,FourWeekly_Model!$B$2:$B$29,0)),0)),IF(VLOOKUP($A51,Calendar!$A$1:$R$1377,18,0)=4,SUM(IFERROR(INDEX(FourWeekly_Model!$D$2:$D$29,MATCH(H51,FourWeekly_Model!$B$2:$B$29,0)),0),IFERROR(INDEX(FourWeekly_Model!$D$2:$D$29,MATCH(H52,FourWeekly_Model!$B$2:$B$29,0)),0),IFERROR(INDEX(FourWeekly_Model!$D$2:$D$29,MATCH(H53,FourWeekly_Model!$B$2:$B$29,0)),0),IFERROR(INDEX(FourWeekly_Model!$D$2:$D$29,MATCH(H54,FourWeekly_Model!$B$2:$B$29,0)),0)),IF(VLOOKUP($A51,Calendar!$A$1:$R$1377,18,0)=5,SUM(IFERROR(INDEX(FourWeekly_Model!$D$2:$D$29,MATCH(H51,FourWeekly_Model!$B$2:$B$29,0)),0),IFERROR(INDEX(FourWeekly_Model!$D$2:$D$29,MATCH(H52,FourWeekly_Model!$B$2:$B$29,0)),0),IFERROR(INDEX(FourWeekly_Model!$D$2:$D$29,MATCH(H53,FourWeekly_Model!$B$2:$B$29,0)),0),IFERROR(INDEX(FourWeekly_Model!$D$2:$D$29,MATCH(H54,FourWeekly_Model!$B$2:$B$29,0)),0),IFERROR(INDEX(FourWeekly_Model!$D$2:$D$29,MATCH(H55,FourWeekly_Model!$B$2:$B$29,0)),0)),0))))))</f>
        <v>0</v>
      </c>
      <c r="N51" s="27">
        <f>SUM(I51:M51)</f>
        <v>0</v>
      </c>
      <c r="O51" s="28">
        <f>Population_Data!$B$8*N51</f>
        <v>0</v>
      </c>
      <c r="P51" s="27">
        <f>IF(VLOOKUP($A51,Calendar!$A$1:$R$1377,18,0)=0,0,IF(VLOOKUP($A51,Calendar!$A$1:$R$1377,18,0)=1,IFERROR(INDEX(Pension_Model!$D$2:$D$29,MATCH(H51,Pension_Model!$B$2:$B$29,0)),0),IF(VLOOKUP($A51,Calendar!$A$1:$R$1377,18,0)=2,SUM(IFERROR(INDEX(Pension_Model!$D$2:$D$29,MATCH(H51,Pension_Model!$B$2:$B$29,0)),0),IFERROR(INDEX(Pension_Model!$D$2:$D$29,MATCH(H52,Pension_Model!$B$2:$B$29,0)),0)),IF(VLOOKUP($A51,Calendar!$A$1:$R$1377,18,0)=3,SUM(IFERROR(INDEX(Pension_Model!$D$2:$D$29,MATCH(H51,Pension_Model!$B$2:$B$29,0)),0),IFERROR(INDEX(Pension_Model!$D$2:$D$29,MATCH(H52,Pension_Model!$B$2:$B$29,0)),0),IFERROR(INDEX(Pension_Model!$D$2:$D$29,MATCH(H53,Pension_Model!$B$2:$B$29,0)),0)),IF(VLOOKUP($A51,Calendar!$A$1:$R$1377,18,0)=4,SUM(IFERROR(INDEX(Pension_Model!$D$2:$D$29,MATCH(H51,Pension_Model!$B$2:$B$29,0)),0),IFERROR(INDEX(Pension_Model!$D$2:$D$29,MATCH(H52,Pension_Model!$B$2:$B$29,0)),0),IFERROR(INDEX(Pension_Model!$D$2:$D$29,MATCH(H53,Pension_Model!$B$2:$B$29,0)),0),IFERROR(INDEX(Pension_Model!$D$2:$D$29,MATCH(H54,Pension_Model!$B$2:$B$29,0)),0)),IF(VLOOKUP($A51,Calendar!$A$1:$R$1377,18,0)=5,SUM(IFERROR(INDEX(Pension_Model!$D$2:$D$29,MATCH(H51,Pension_Model!$B$2:$B$29,0)),0),IFERROR(INDEX(Pension_Model!$D$2:$D$29,MATCH(H52,Pension_Model!$B$2:$B$29,0)),0),IFERROR(INDEX(Pension_Model!$D$2:$D$29,MATCH(H53,Pension_Model!$B$2:$B$29,0)),0),IFERROR(INDEX(Pension_Model!$D$2:$D$29,MATCH(H54,Pension_Model!$B$2:$B$29,0)),0),IFERROR(INDEX(Pension_Model!$D$2:$D$29,MATCH(H55,Pension_Model!$B$2:$B$29,0)),0)),0))))))</f>
        <v>0</v>
      </c>
      <c r="Q51" s="28">
        <f>Population_Data!$B$15*P51</f>
        <v>0</v>
      </c>
      <c r="S51">
        <f t="shared" si="0"/>
        <v>0</v>
      </c>
      <c r="U51" s="33">
        <f>S51/Population_Data!$B$19</f>
        <v>0</v>
      </c>
    </row>
    <row r="52" spans="1:21">
      <c r="A52" s="25">
        <f>Calendar!A52</f>
        <v>46285</v>
      </c>
      <c r="B52" t="str">
        <f>Calendar!L52</f>
        <v>No</v>
      </c>
      <c r="C52" t="str">
        <f>Calendar!O52</f>
        <v>No</v>
      </c>
      <c r="D52" t="str">
        <f>Calendar!P52</f>
        <v>No</v>
      </c>
      <c r="E52" t="str">
        <f>Calendar!Q52</f>
        <v>No</v>
      </c>
      <c r="F52" t="str">
        <f>Calendar!I52</f>
        <v>Sunday</v>
      </c>
      <c r="G52">
        <f>Calendar!S52</f>
        <v>1</v>
      </c>
      <c r="H52">
        <f>Calendar!T52</f>
        <v>1</v>
      </c>
      <c r="I52" s="27">
        <f>IF(VLOOKUP(A52,Calendar!$A$1:$R$1377,18,0)=0,0,IF(VLOOKUP(A52,Calendar!$A$1:$R$1377,18,0)=1,INDEX(Monthly_Pay_Model!$A$9:$D$40,MATCH(TEXT(A52,"dd"),Monthly_Pay_Model!$C$9:$C$39,0),4),IF(VLOOKUP(A52,Calendar!$A$1:$R$1377,18,0)=2,SUM(INDEX(Monthly_Pay_Model!$A$9:$D$40,MATCH(TEXT(A52,"dd"),Monthly_Pay_Model!$C$9:$C$39,0),4),INDEX(Monthly_Pay_Model!$A$9:$D$40,MATCH(TEXT(A53,"dd"),Monthly_Pay_Model!$C$9:$C$39,0),4)),IF(VLOOKUP(A52,Calendar!$A$1:$R$1377,18,0)=3,SUM(INDEX(Monthly_Pay_Model!$A$9:$D$40,MATCH(TEXT(A52,"dd"),Monthly_Pay_Model!$C$9:$C$39,0),4),INDEX(Monthly_Pay_Model!$A$9:$D$40,MATCH(TEXT(A53,"dd"),Monthly_Pay_Model!$C$9:$C$39,0),4),INDEX(Monthly_Pay_Model!$A$9:$D$40,MATCH(TEXT(A54,"dd"),Monthly_Pay_Model!$C$9:$C$39,0),4)),IF(VLOOKUP(A52,Calendar!$A$1:$R$1377,18,0)=4,SUM(INDEX(Monthly_Pay_Model!$A$9:$D$40,MATCH(TEXT(A52,"dd"),Monthly_Pay_Model!$C$9:$C$39,0),4),INDEX(Monthly_Pay_Model!$A$9:$D$40,MATCH(TEXT(A53,"dd"),Monthly_Pay_Model!$C$9:$C$39,0),4),INDEX(Monthly_Pay_Model!$A$9:$D$40,MATCH(TEXT(A54,"dd"),Monthly_Pay_Model!$C$9:$C$39,0),4),INDEX(Monthly_Pay_Model!$A$9:$D$40,MATCH(TEXT(A55,"dd"),Monthly_Pay_Model!$C$9:$C$39,0),4)),IF(VLOOKUP(A52,Calendar!$A$1:$R$1377,18,0)=5,SUM(INDEX(Monthly_Pay_Model!$A$9:$D$40,MATCH(TEXT(A52,"dd"),Monthly_Pay_Model!$C$9:$C$39,0),4),INDEX(Monthly_Pay_Model!$A$9:$D$40,MATCH(TEXT(A53,"dd"),Monthly_Pay_Model!$C$9:$C$39,0),4),INDEX(Monthly_Pay_Model!$A$9:$D$40,MATCH(TEXT(A54,"dd"),Monthly_Pay_Model!$C$9:$C$39,0),4),INDEX(Monthly_Pay_Model!$A$9:$D$40,MATCH(TEXT(A55,"dd"),Monthly_Pay_Model!$C$9:$C$39,0),4),INDEX(Monthly_Pay_Model!$A$9:$D$40,MATCH(TEXT(A56,"dd"),Monthly_Pay_Model!$C$9:$C$39,0),4)),))))))</f>
        <v>0</v>
      </c>
      <c r="J52" s="33">
        <f>IF(C52="Yes",Monthly_Pay_Model!$D$2,0)
+IF(Calendar!N52="Yes",Monthly_Pay_Model!$D$3,0)
+IF(D52="Yes",Monthly_Pay_Model!$D$4,0)
+IF(E52="Yes",Monthly_Pay_Model!$D$5,0)</f>
        <v>0</v>
      </c>
      <c r="K52" s="27">
        <f>IF(VLOOKUP($A52,Calendar!$A$1:$R$1377,18,0)=0,0,IF(VLOOKUP($A52,Calendar!$A$1:$R$1377,18,0)=1,IFERROR(INDEX(Weekly_Model!$D$2:$D$9,MATCH(F52,Weekly_Model!$A$2:$A$9,0)),0),IF(VLOOKUP($A52,Calendar!$A$1:$R$1377,18,0)=2,SUM(IFERROR(INDEX(Weekly_Model!$D$2:$D$9,MATCH(F52,Weekly_Model!$A$2:$A$9,0)),0),IFERROR(INDEX(Weekly_Model!$D$2:$D$9,MATCH(F53,Weekly_Model!$A$2:$A$9,0)),0)),IF(VLOOKUP($A52,Calendar!$A$1:$R$1377,18,0)=3,SUM(IFERROR(INDEX(Weekly_Model!$D$2:$D$9,MATCH(F52,Weekly_Model!$A$2:$A$9,0)),0),IFERROR(INDEX(Weekly_Model!$D$2:$D$9,MATCH(F53,Weekly_Model!$A$2:$A$9,0)),0),IFERROR(INDEX(Weekly_Model!$D$2:$D$9,MATCH(F54,Weekly_Model!$A$2:$A$9,0)),0)),IF(VLOOKUP($A52,Calendar!$A$1:$R$1377,18,0)=4,SUM(IFERROR(INDEX(Weekly_Model!$D$2:$D$9,MATCH(F52,Weekly_Model!$A$2:$A$9,0)),0),IFERROR(INDEX(Weekly_Model!$D$2:$D$9,MATCH(F53,Weekly_Model!$A$2:$A$9,0)),0),IFERROR(INDEX(Weekly_Model!$D$2:$D$9,MATCH(F54,Weekly_Model!$A$2:$A$9,0)),0),IFERROR(INDEX(Weekly_Model!$D$2:$D$9,MATCH(F55,Weekly_Model!$A$2:$A$9,0)),0)),IF(VLOOKUP($A52,Calendar!$A$1:$R$1377,18,0)=5,SUM(IFERROR(INDEX(Weekly_Model!$D$2:$D$9,MATCH(F52,Weekly_Model!$A$2:$A$9,0)),0),IFERROR(INDEX(Weekly_Model!$D$2:$D$9,MATCH(F53,Weekly_Model!$A$2:$A$9,0)),0),IFERROR(INDEX(Weekly_Model!$D$2:$D$9,MATCH(F54,Weekly_Model!$A$2:$A$9,0)),0),IFERROR(INDEX(Weekly_Model!$D$2:$D$9,MATCH(F55,Weekly_Model!$A$2:$A$9,0)),0),IFERROR(INDEX(Weekly_Model!$D$2:$D$9,MATCH(F56,Weekly_Model!$A$2:$A$9,0)),0)),0))))))</f>
        <v>0</v>
      </c>
      <c r="L52" s="27">
        <f>IF(VLOOKUP($A52,Calendar!$A$1:$R$1377,18,0)=0,0,IF(VLOOKUP($A52,Calendar!$A$1:$R$1377,18,0)=1,IFERROR(INDEX(Fortnightly_Model!$D$2:$D$15,MATCH(G52,Fortnightly_Model!$B$2:$B$15,0)),0),IF(VLOOKUP($A52,Calendar!$A$1:$R$1377,18,0)=2,SUM(IFERROR(INDEX(Fortnightly_Model!$D$2:$D$15,MATCH(G52,Fortnightly_Model!$B$2:$B$15,0)),0),IFERROR(INDEX(Fortnightly_Model!$D$2:$D$15,MATCH(G53,Fortnightly_Model!$B$2:$B$15,0)),0)),IF(VLOOKUP($A52,Calendar!$A$1:$R$1377,18,0)=3,SUM(IFERROR(INDEX(Fortnightly_Model!$D$2:$D$15,MATCH(G52,Fortnightly_Model!$B$2:$B$15,0)),0),IFERROR(INDEX(Fortnightly_Model!$D$2:$D$15,MATCH(G53,Fortnightly_Model!$B$2:$B$15,0)),0),IFERROR(INDEX(Fortnightly_Model!$D$2:$D$15,MATCH(G54,Fortnightly_Model!$B$2:$B$15,0)),0)),IF(VLOOKUP($A52,Calendar!$A$1:$R$1377,18,0)=4,SUM(IFERROR(INDEX(Fortnightly_Model!$D$2:$D$15,MATCH(G52,Fortnightly_Model!$B$2:$B$15,0)),0),IFERROR(INDEX(Fortnightly_Model!$D$2:$D$15,MATCH(G53,Fortnightly_Model!$B$2:$B$15,0)),0),IFERROR(INDEX(Fortnightly_Model!$D$2:$D$15,MATCH(G54,Fortnightly_Model!$B$2:$B$15,0)),0),IFERROR(INDEX(Fortnightly_Model!$D$2:$D$15,MATCH(G55,Fortnightly_Model!$B$2:$B$15,0)),0)),IF(VLOOKUP($A52,Calendar!$A$1:$R$1377,18,0)=5,SUM(IFERROR(INDEX(Fortnightly_Model!$D$2:$D$15,MATCH(G52,Fortnightly_Model!$B$2:$B$15,0)),0),IFERROR(INDEX(Fortnightly_Model!$D$2:$D$15,MATCH(G53,Fortnightly_Model!$B$2:$B$15,0)),0),IFERROR(INDEX(Fortnightly_Model!$D$2:$D$15,MATCH(G54,Fortnightly_Model!$B$2:$B$15,0)),0),IFERROR(INDEX(Fortnightly_Model!$D$2:$D$15,MATCH(G55,Fortnightly_Model!$B$2:$B$15,0)),0),IFERROR(INDEX(Fortnightly_Model!$D$2:$D$15,MATCH(G56,Fortnightly_Model!$B$2:$B$15,0)),0)),0))))))</f>
        <v>0</v>
      </c>
      <c r="M52" s="27">
        <f>IF(VLOOKUP($A52,Calendar!$A$1:$R$1377,18,0)=0,0,IF(VLOOKUP($A52,Calendar!$A$1:$R$1377,18,0)=1,IFERROR(INDEX(FourWeekly_Model!$D$2:$D$29,MATCH(H52,FourWeekly_Model!$B$2:$B$29,0)),0),IF(VLOOKUP($A52,Calendar!$A$1:$R$1377,18,0)=2,SUM(IFERROR(INDEX(FourWeekly_Model!$D$2:$D$29,MATCH(H52,FourWeekly_Model!$B$2:$B$29,0)),0),IFERROR(INDEX(FourWeekly_Model!$D$2:$D$29,MATCH(H53,FourWeekly_Model!$B$2:$B$29,0)),0)),IF(VLOOKUP($A52,Calendar!$A$1:$R$1377,18,0)=3,SUM(IFERROR(INDEX(FourWeekly_Model!$D$2:$D$29,MATCH(H52,FourWeekly_Model!$B$2:$B$29,0)),0),IFERROR(INDEX(FourWeekly_Model!$D$2:$D$29,MATCH(H53,FourWeekly_Model!$B$2:$B$29,0)),0),IFERROR(INDEX(FourWeekly_Model!$D$2:$D$29,MATCH(H54,FourWeekly_Model!$B$2:$B$29,0)),0)),IF(VLOOKUP($A52,Calendar!$A$1:$R$1377,18,0)=4,SUM(IFERROR(INDEX(FourWeekly_Model!$D$2:$D$29,MATCH(H52,FourWeekly_Model!$B$2:$B$29,0)),0),IFERROR(INDEX(FourWeekly_Model!$D$2:$D$29,MATCH(H53,FourWeekly_Model!$B$2:$B$29,0)),0),IFERROR(INDEX(FourWeekly_Model!$D$2:$D$29,MATCH(H54,FourWeekly_Model!$B$2:$B$29,0)),0),IFERROR(INDEX(FourWeekly_Model!$D$2:$D$29,MATCH(H55,FourWeekly_Model!$B$2:$B$29,0)),0)),IF(VLOOKUP($A52,Calendar!$A$1:$R$1377,18,0)=5,SUM(IFERROR(INDEX(FourWeekly_Model!$D$2:$D$29,MATCH(H52,FourWeekly_Model!$B$2:$B$29,0)),0),IFERROR(INDEX(FourWeekly_Model!$D$2:$D$29,MATCH(H53,FourWeekly_Model!$B$2:$B$29,0)),0),IFERROR(INDEX(FourWeekly_Model!$D$2:$D$29,MATCH(H54,FourWeekly_Model!$B$2:$B$29,0)),0),IFERROR(INDEX(FourWeekly_Model!$D$2:$D$29,MATCH(H55,FourWeekly_Model!$B$2:$B$29,0)),0),IFERROR(INDEX(FourWeekly_Model!$D$2:$D$29,MATCH(H56,FourWeekly_Model!$B$2:$B$29,0)),0)),0))))))</f>
        <v>0</v>
      </c>
      <c r="N52" s="27">
        <f>SUM(I52:M52)</f>
        <v>0</v>
      </c>
      <c r="O52" s="28">
        <f>Population_Data!$B$8*N52</f>
        <v>0</v>
      </c>
      <c r="P52" s="27">
        <f>IF(VLOOKUP($A52,Calendar!$A$1:$R$1377,18,0)=0,0,IF(VLOOKUP($A52,Calendar!$A$1:$R$1377,18,0)=1,IFERROR(INDEX(Pension_Model!$D$2:$D$29,MATCH(H52,Pension_Model!$B$2:$B$29,0)),0),IF(VLOOKUP($A52,Calendar!$A$1:$R$1377,18,0)=2,SUM(IFERROR(INDEX(Pension_Model!$D$2:$D$29,MATCH(H52,Pension_Model!$B$2:$B$29,0)),0),IFERROR(INDEX(Pension_Model!$D$2:$D$29,MATCH(H53,Pension_Model!$B$2:$B$29,0)),0)),IF(VLOOKUP($A52,Calendar!$A$1:$R$1377,18,0)=3,SUM(IFERROR(INDEX(Pension_Model!$D$2:$D$29,MATCH(H52,Pension_Model!$B$2:$B$29,0)),0),IFERROR(INDEX(Pension_Model!$D$2:$D$29,MATCH(H53,Pension_Model!$B$2:$B$29,0)),0),IFERROR(INDEX(Pension_Model!$D$2:$D$29,MATCH(H54,Pension_Model!$B$2:$B$29,0)),0)),IF(VLOOKUP($A52,Calendar!$A$1:$R$1377,18,0)=4,SUM(IFERROR(INDEX(Pension_Model!$D$2:$D$29,MATCH(H52,Pension_Model!$B$2:$B$29,0)),0),IFERROR(INDEX(Pension_Model!$D$2:$D$29,MATCH(H53,Pension_Model!$B$2:$B$29,0)),0),IFERROR(INDEX(Pension_Model!$D$2:$D$29,MATCH(H54,Pension_Model!$B$2:$B$29,0)),0),IFERROR(INDEX(Pension_Model!$D$2:$D$29,MATCH(H55,Pension_Model!$B$2:$B$29,0)),0)),IF(VLOOKUP($A52,Calendar!$A$1:$R$1377,18,0)=5,SUM(IFERROR(INDEX(Pension_Model!$D$2:$D$29,MATCH(H52,Pension_Model!$B$2:$B$29,0)),0),IFERROR(INDEX(Pension_Model!$D$2:$D$29,MATCH(H53,Pension_Model!$B$2:$B$29,0)),0),IFERROR(INDEX(Pension_Model!$D$2:$D$29,MATCH(H54,Pension_Model!$B$2:$B$29,0)),0),IFERROR(INDEX(Pension_Model!$D$2:$D$29,MATCH(H55,Pension_Model!$B$2:$B$29,0)),0),IFERROR(INDEX(Pension_Model!$D$2:$D$29,MATCH(H56,Pension_Model!$B$2:$B$29,0)),0)),0))))))</f>
        <v>0</v>
      </c>
      <c r="Q52" s="28">
        <f>Population_Data!$B$15*P52</f>
        <v>0</v>
      </c>
      <c r="S52">
        <f t="shared" si="0"/>
        <v>0</v>
      </c>
      <c r="U52" s="33">
        <f>S52/Population_Data!$B$19</f>
        <v>0</v>
      </c>
    </row>
    <row r="53" spans="1:21">
      <c r="A53" s="25">
        <f>Calendar!A53</f>
        <v>46286</v>
      </c>
      <c r="B53" t="str">
        <f>Calendar!L53</f>
        <v>Yes</v>
      </c>
      <c r="C53" t="str">
        <f>Calendar!O53</f>
        <v>No</v>
      </c>
      <c r="D53" t="str">
        <f>Calendar!P53</f>
        <v>No</v>
      </c>
      <c r="E53" t="str">
        <f>Calendar!Q53</f>
        <v>No</v>
      </c>
      <c r="F53" t="str">
        <f>Calendar!I53</f>
        <v>Monday</v>
      </c>
      <c r="G53">
        <f>Calendar!S53</f>
        <v>2</v>
      </c>
      <c r="H53">
        <f>Calendar!T53</f>
        <v>2</v>
      </c>
      <c r="I53" s="27">
        <f>IF(VLOOKUP(A53,Calendar!$A$1:$R$1377,18,0)=0,0,IF(VLOOKUP(A53,Calendar!$A$1:$R$1377,18,0)=1,INDEX(Monthly_Pay_Model!$A$9:$D$40,MATCH(TEXT(A53,"dd"),Monthly_Pay_Model!$C$9:$C$39,0),4),IF(VLOOKUP(A53,Calendar!$A$1:$R$1377,18,0)=2,SUM(INDEX(Monthly_Pay_Model!$A$9:$D$40,MATCH(TEXT(A53,"dd"),Monthly_Pay_Model!$C$9:$C$39,0),4),INDEX(Monthly_Pay_Model!$A$9:$D$40,MATCH(TEXT(A54,"dd"),Monthly_Pay_Model!$C$9:$C$39,0),4)),IF(VLOOKUP(A53,Calendar!$A$1:$R$1377,18,0)=3,SUM(INDEX(Monthly_Pay_Model!$A$9:$D$40,MATCH(TEXT(A53,"dd"),Monthly_Pay_Model!$C$9:$C$39,0),4),INDEX(Monthly_Pay_Model!$A$9:$D$40,MATCH(TEXT(A54,"dd"),Monthly_Pay_Model!$C$9:$C$39,0),4),INDEX(Monthly_Pay_Model!$A$9:$D$40,MATCH(TEXT(A55,"dd"),Monthly_Pay_Model!$C$9:$C$39,0),4)),IF(VLOOKUP(A53,Calendar!$A$1:$R$1377,18,0)=4,SUM(INDEX(Monthly_Pay_Model!$A$9:$D$40,MATCH(TEXT(A53,"dd"),Monthly_Pay_Model!$C$9:$C$39,0),4),INDEX(Monthly_Pay_Model!$A$9:$D$40,MATCH(TEXT(A54,"dd"),Monthly_Pay_Model!$C$9:$C$39,0),4),INDEX(Monthly_Pay_Model!$A$9:$D$40,MATCH(TEXT(A55,"dd"),Monthly_Pay_Model!$C$9:$C$39,0),4),INDEX(Monthly_Pay_Model!$A$9:$D$40,MATCH(TEXT(A56,"dd"),Monthly_Pay_Model!$C$9:$C$39,0),4)),IF(VLOOKUP(A53,Calendar!$A$1:$R$1377,18,0)=5,SUM(INDEX(Monthly_Pay_Model!$A$9:$D$40,MATCH(TEXT(A53,"dd"),Monthly_Pay_Model!$C$9:$C$39,0),4),INDEX(Monthly_Pay_Model!$A$9:$D$40,MATCH(TEXT(A54,"dd"),Monthly_Pay_Model!$C$9:$C$39,0),4),INDEX(Monthly_Pay_Model!$A$9:$D$40,MATCH(TEXT(A55,"dd"),Monthly_Pay_Model!$C$9:$C$39,0),4),INDEX(Monthly_Pay_Model!$A$9:$D$40,MATCH(TEXT(A56,"dd"),Monthly_Pay_Model!$C$9:$C$39,0),4),INDEX(Monthly_Pay_Model!$A$9:$D$40,MATCH(TEXT(A57,"dd"),Monthly_Pay_Model!$C$9:$C$39,0),4)),))))))</f>
        <v>4.8753926701570662E-3</v>
      </c>
      <c r="J53" s="33">
        <f>IF(C53="Yes",Monthly_Pay_Model!$D$2,0)
+IF(Calendar!N53="Yes",Monthly_Pay_Model!$D$3,0)
+IF(D53="Yes",Monthly_Pay_Model!$D$4,0)
+IF(E53="Yes",Monthly_Pay_Model!$D$5,0)</f>
        <v>0</v>
      </c>
      <c r="K53" s="27">
        <f>IF(VLOOKUP($A53,Calendar!$A$1:$R$1377,18,0)=0,0,IF(VLOOKUP($A53,Calendar!$A$1:$R$1377,18,0)=1,IFERROR(INDEX(Weekly_Model!$D$2:$D$9,MATCH(F53,Weekly_Model!$A$2:$A$9,0)),0),IF(VLOOKUP($A53,Calendar!$A$1:$R$1377,18,0)=2,SUM(IFERROR(INDEX(Weekly_Model!$D$2:$D$9,MATCH(F53,Weekly_Model!$A$2:$A$9,0)),0),IFERROR(INDEX(Weekly_Model!$D$2:$D$9,MATCH(F54,Weekly_Model!$A$2:$A$9,0)),0)),IF(VLOOKUP($A53,Calendar!$A$1:$R$1377,18,0)=3,SUM(IFERROR(INDEX(Weekly_Model!$D$2:$D$9,MATCH(F53,Weekly_Model!$A$2:$A$9,0)),0),IFERROR(INDEX(Weekly_Model!$D$2:$D$9,MATCH(F54,Weekly_Model!$A$2:$A$9,0)),0),IFERROR(INDEX(Weekly_Model!$D$2:$D$9,MATCH(F55,Weekly_Model!$A$2:$A$9,0)),0)),IF(VLOOKUP($A53,Calendar!$A$1:$R$1377,18,0)=4,SUM(IFERROR(INDEX(Weekly_Model!$D$2:$D$9,MATCH(F53,Weekly_Model!$A$2:$A$9,0)),0),IFERROR(INDEX(Weekly_Model!$D$2:$D$9,MATCH(F54,Weekly_Model!$A$2:$A$9,0)),0),IFERROR(INDEX(Weekly_Model!$D$2:$D$9,MATCH(F55,Weekly_Model!$A$2:$A$9,0)),0),IFERROR(INDEX(Weekly_Model!$D$2:$D$9,MATCH(F56,Weekly_Model!$A$2:$A$9,0)),0)),IF(VLOOKUP($A53,Calendar!$A$1:$R$1377,18,0)=5,SUM(IFERROR(INDEX(Weekly_Model!$D$2:$D$9,MATCH(F53,Weekly_Model!$A$2:$A$9,0)),0),IFERROR(INDEX(Weekly_Model!$D$2:$D$9,MATCH(F54,Weekly_Model!$A$2:$A$9,0)),0),IFERROR(INDEX(Weekly_Model!$D$2:$D$9,MATCH(F55,Weekly_Model!$A$2:$A$9,0)),0),IFERROR(INDEX(Weekly_Model!$D$2:$D$9,MATCH(F56,Weekly_Model!$A$2:$A$9,0)),0),IFERROR(INDEX(Weekly_Model!$D$2:$D$9,MATCH(F57,Weekly_Model!$A$2:$A$9,0)),0)),0))))))</f>
        <v>2.3200000000000002E-2</v>
      </c>
      <c r="L53" s="27">
        <f>IF(VLOOKUP($A53,Calendar!$A$1:$R$1377,18,0)=0,0,IF(VLOOKUP($A53,Calendar!$A$1:$R$1377,18,0)=1,IFERROR(INDEX(Fortnightly_Model!$D$2:$D$15,MATCH(G53,Fortnightly_Model!$B$2:$B$15,0)),0),IF(VLOOKUP($A53,Calendar!$A$1:$R$1377,18,0)=2,SUM(IFERROR(INDEX(Fortnightly_Model!$D$2:$D$15,MATCH(G53,Fortnightly_Model!$B$2:$B$15,0)),0),IFERROR(INDEX(Fortnightly_Model!$D$2:$D$15,MATCH(G54,Fortnightly_Model!$B$2:$B$15,0)),0)),IF(VLOOKUP($A53,Calendar!$A$1:$R$1377,18,0)=3,SUM(IFERROR(INDEX(Fortnightly_Model!$D$2:$D$15,MATCH(G53,Fortnightly_Model!$B$2:$B$15,0)),0),IFERROR(INDEX(Fortnightly_Model!$D$2:$D$15,MATCH(G54,Fortnightly_Model!$B$2:$B$15,0)),0),IFERROR(INDEX(Fortnightly_Model!$D$2:$D$15,MATCH(G55,Fortnightly_Model!$B$2:$B$15,0)),0)),IF(VLOOKUP($A53,Calendar!$A$1:$R$1377,18,0)=4,SUM(IFERROR(INDEX(Fortnightly_Model!$D$2:$D$15,MATCH(G53,Fortnightly_Model!$B$2:$B$15,0)),0),IFERROR(INDEX(Fortnightly_Model!$D$2:$D$15,MATCH(G54,Fortnightly_Model!$B$2:$B$15,0)),0),IFERROR(INDEX(Fortnightly_Model!$D$2:$D$15,MATCH(G55,Fortnightly_Model!$B$2:$B$15,0)),0),IFERROR(INDEX(Fortnightly_Model!$D$2:$D$15,MATCH(G56,Fortnightly_Model!$B$2:$B$15,0)),0)),IF(VLOOKUP($A53,Calendar!$A$1:$R$1377,18,0)=5,SUM(IFERROR(INDEX(Fortnightly_Model!$D$2:$D$15,MATCH(G53,Fortnightly_Model!$B$2:$B$15,0)),0),IFERROR(INDEX(Fortnightly_Model!$D$2:$D$15,MATCH(G54,Fortnightly_Model!$B$2:$B$15,0)),0),IFERROR(INDEX(Fortnightly_Model!$D$2:$D$15,MATCH(G55,Fortnightly_Model!$B$2:$B$15,0)),0),IFERROR(INDEX(Fortnightly_Model!$D$2:$D$15,MATCH(G56,Fortnightly_Model!$B$2:$B$15,0)),0),IFERROR(INDEX(Fortnightly_Model!$D$2:$D$15,MATCH(G57,Fortnightly_Model!$B$2:$B$15,0)),0)),0))))))</f>
        <v>1.0714285499999999E-3</v>
      </c>
      <c r="M53" s="27">
        <f>IF(VLOOKUP($A53,Calendar!$A$1:$R$1377,18,0)=0,0,IF(VLOOKUP($A53,Calendar!$A$1:$R$1377,18,0)=1,IFERROR(INDEX(FourWeekly_Model!$D$2:$D$29,MATCH(H53,FourWeekly_Model!$B$2:$B$29,0)),0),IF(VLOOKUP($A53,Calendar!$A$1:$R$1377,18,0)=2,SUM(IFERROR(INDEX(FourWeekly_Model!$D$2:$D$29,MATCH(H53,FourWeekly_Model!$B$2:$B$29,0)),0),IFERROR(INDEX(FourWeekly_Model!$D$2:$D$29,MATCH(H54,FourWeekly_Model!$B$2:$B$29,0)),0)),IF(VLOOKUP($A53,Calendar!$A$1:$R$1377,18,0)=3,SUM(IFERROR(INDEX(FourWeekly_Model!$D$2:$D$29,MATCH(H53,FourWeekly_Model!$B$2:$B$29,0)),0),IFERROR(INDEX(FourWeekly_Model!$D$2:$D$29,MATCH(H54,FourWeekly_Model!$B$2:$B$29,0)),0),IFERROR(INDEX(FourWeekly_Model!$D$2:$D$29,MATCH(H55,FourWeekly_Model!$B$2:$B$29,0)),0)),IF(VLOOKUP($A53,Calendar!$A$1:$R$1377,18,0)=4,SUM(IFERROR(INDEX(FourWeekly_Model!$D$2:$D$29,MATCH(H53,FourWeekly_Model!$B$2:$B$29,0)),0),IFERROR(INDEX(FourWeekly_Model!$D$2:$D$29,MATCH(H54,FourWeekly_Model!$B$2:$B$29,0)),0),IFERROR(INDEX(FourWeekly_Model!$D$2:$D$29,MATCH(H55,FourWeekly_Model!$B$2:$B$29,0)),0),IFERROR(INDEX(FourWeekly_Model!$D$2:$D$29,MATCH(H56,FourWeekly_Model!$B$2:$B$29,0)),0)),IF(VLOOKUP($A53,Calendar!$A$1:$R$1377,18,0)=5,SUM(IFERROR(INDEX(FourWeekly_Model!$D$2:$D$29,MATCH(H53,FourWeekly_Model!$B$2:$B$29,0)),0),IFERROR(INDEX(FourWeekly_Model!$D$2:$D$29,MATCH(H54,FourWeekly_Model!$B$2:$B$29,0)),0),IFERROR(INDEX(FourWeekly_Model!$D$2:$D$29,MATCH(H55,FourWeekly_Model!$B$2:$B$29,0)),0),IFERROR(INDEX(FourWeekly_Model!$D$2:$D$29,MATCH(H56,FourWeekly_Model!$B$2:$B$29,0)),0),IFERROR(INDEX(FourWeekly_Model!$D$2:$D$29,MATCH(H57,FourWeekly_Model!$B$2:$B$29,0)),0)),0))))))</f>
        <v>3.3214289700000004E-3</v>
      </c>
      <c r="N53" s="27">
        <f>SUM(I53:M53)</f>
        <v>3.2468250190157068E-2</v>
      </c>
      <c r="O53" s="28">
        <f>Population_Data!$B$8*N53</f>
        <v>983787.9807617591</v>
      </c>
      <c r="P53" s="27">
        <f>IF(VLOOKUP($A53,Calendar!$A$1:$R$1377,18,0)=0,0,IF(VLOOKUP($A53,Calendar!$A$1:$R$1377,18,0)=1,IFERROR(INDEX(Pension_Model!$D$2:$D$29,MATCH(H53,Pension_Model!$B$2:$B$29,0)),0),IF(VLOOKUP($A53,Calendar!$A$1:$R$1377,18,0)=2,SUM(IFERROR(INDEX(Pension_Model!$D$2:$D$29,MATCH(H53,Pension_Model!$B$2:$B$29,0)),0),IFERROR(INDEX(Pension_Model!$D$2:$D$29,MATCH(H54,Pension_Model!$B$2:$B$29,0)),0)),IF(VLOOKUP($A53,Calendar!$A$1:$R$1377,18,0)=3,SUM(IFERROR(INDEX(Pension_Model!$D$2:$D$29,MATCH(H53,Pension_Model!$B$2:$B$29,0)),0),IFERROR(INDEX(Pension_Model!$D$2:$D$29,MATCH(H54,Pension_Model!$B$2:$B$29,0)),0),IFERROR(INDEX(Pension_Model!$D$2:$D$29,MATCH(H55,Pension_Model!$B$2:$B$29,0)),0)),IF(VLOOKUP($A53,Calendar!$A$1:$R$1377,18,0)=4,SUM(IFERROR(INDEX(Pension_Model!$D$2:$D$29,MATCH(H53,Pension_Model!$B$2:$B$29,0)),0),IFERROR(INDEX(Pension_Model!$D$2:$D$29,MATCH(H54,Pension_Model!$B$2:$B$29,0)),0),IFERROR(INDEX(Pension_Model!$D$2:$D$29,MATCH(H55,Pension_Model!$B$2:$B$29,0)),0),IFERROR(INDEX(Pension_Model!$D$2:$D$29,MATCH(H56,Pension_Model!$B$2:$B$29,0)),0)),IF(VLOOKUP($A53,Calendar!$A$1:$R$1377,18,0)=5,SUM(IFERROR(INDEX(Pension_Model!$D$2:$D$29,MATCH(H53,Pension_Model!$B$2:$B$29,0)),0),IFERROR(INDEX(Pension_Model!$D$2:$D$29,MATCH(H54,Pension_Model!$B$2:$B$29,0)),0),IFERROR(INDEX(Pension_Model!$D$2:$D$29,MATCH(H55,Pension_Model!$B$2:$B$29,0)),0),IFERROR(INDEX(Pension_Model!$D$2:$D$29,MATCH(H56,Pension_Model!$B$2:$B$29,0)),0),IFERROR(INDEX(Pension_Model!$D$2:$D$29,MATCH(H57,Pension_Model!$B$2:$B$29,0)),0)),0))))))</f>
        <v>0.05</v>
      </c>
      <c r="Q53" s="28">
        <f>Population_Data!$B$15*P53</f>
        <v>660600</v>
      </c>
      <c r="S53">
        <f t="shared" si="0"/>
        <v>1644387.980761759</v>
      </c>
      <c r="U53" s="33">
        <f>S53/Population_Data!$B$19</f>
        <v>2.9789637332640562E-2</v>
      </c>
    </row>
    <row r="54" spans="1:21">
      <c r="A54" s="25">
        <f>Calendar!A54</f>
        <v>46287</v>
      </c>
      <c r="B54" t="str">
        <f>Calendar!L54</f>
        <v>Yes</v>
      </c>
      <c r="C54" t="str">
        <f>Calendar!O54</f>
        <v>No</v>
      </c>
      <c r="D54" t="str">
        <f>Calendar!P54</f>
        <v>No</v>
      </c>
      <c r="E54" t="str">
        <f>Calendar!Q54</f>
        <v>No</v>
      </c>
      <c r="F54" t="str">
        <f>Calendar!I54</f>
        <v>Tuesday</v>
      </c>
      <c r="G54">
        <f>Calendar!S54</f>
        <v>3</v>
      </c>
      <c r="H54">
        <f>Calendar!T54</f>
        <v>3</v>
      </c>
      <c r="I54" s="27">
        <f>IF(VLOOKUP(A54,Calendar!$A$1:$R$1377,18,0)=0,0,IF(VLOOKUP(A54,Calendar!$A$1:$R$1377,18,0)=1,INDEX(Monthly_Pay_Model!$A$9:$D$40,MATCH(TEXT(A54,"dd"),Monthly_Pay_Model!$C$9:$C$39,0),4),IF(VLOOKUP(A54,Calendar!$A$1:$R$1377,18,0)=2,SUM(INDEX(Monthly_Pay_Model!$A$9:$D$40,MATCH(TEXT(A54,"dd"),Monthly_Pay_Model!$C$9:$C$39,0),4),INDEX(Monthly_Pay_Model!$A$9:$D$40,MATCH(TEXT(A55,"dd"),Monthly_Pay_Model!$C$9:$C$39,0),4)),IF(VLOOKUP(A54,Calendar!$A$1:$R$1377,18,0)=3,SUM(INDEX(Monthly_Pay_Model!$A$9:$D$40,MATCH(TEXT(A54,"dd"),Monthly_Pay_Model!$C$9:$C$39,0),4),INDEX(Monthly_Pay_Model!$A$9:$D$40,MATCH(TEXT(A55,"dd"),Monthly_Pay_Model!$C$9:$C$39,0),4),INDEX(Monthly_Pay_Model!$A$9:$D$40,MATCH(TEXT(A56,"dd"),Monthly_Pay_Model!$C$9:$C$39,0),4)),IF(VLOOKUP(A54,Calendar!$A$1:$R$1377,18,0)=4,SUM(INDEX(Monthly_Pay_Model!$A$9:$D$40,MATCH(TEXT(A54,"dd"),Monthly_Pay_Model!$C$9:$C$39,0),4),INDEX(Monthly_Pay_Model!$A$9:$D$40,MATCH(TEXT(A55,"dd"),Monthly_Pay_Model!$C$9:$C$39,0),4),INDEX(Monthly_Pay_Model!$A$9:$D$40,MATCH(TEXT(A56,"dd"),Monthly_Pay_Model!$C$9:$C$39,0),4),INDEX(Monthly_Pay_Model!$A$9:$D$40,MATCH(TEXT(A57,"dd"),Monthly_Pay_Model!$C$9:$C$39,0),4)),IF(VLOOKUP(A54,Calendar!$A$1:$R$1377,18,0)=5,SUM(INDEX(Monthly_Pay_Model!$A$9:$D$40,MATCH(TEXT(A54,"dd"),Monthly_Pay_Model!$C$9:$C$39,0),4),INDEX(Monthly_Pay_Model!$A$9:$D$40,MATCH(TEXT(A55,"dd"),Monthly_Pay_Model!$C$9:$C$39,0),4),INDEX(Monthly_Pay_Model!$A$9:$D$40,MATCH(TEXT(A56,"dd"),Monthly_Pay_Model!$C$9:$C$39,0),4),INDEX(Monthly_Pay_Model!$A$9:$D$40,MATCH(TEXT(A57,"dd"),Monthly_Pay_Model!$C$9:$C$39,0),4),INDEX(Monthly_Pay_Model!$A$9:$D$40,MATCH(TEXT(A58,"dd"),Monthly_Pay_Model!$C$9:$C$39,0),4)),))))))</f>
        <v>3.2502617801047117E-3</v>
      </c>
      <c r="J54" s="33">
        <f>IF(C54="Yes",Monthly_Pay_Model!$D$2,0)
+IF(Calendar!N54="Yes",Monthly_Pay_Model!$D$3,0)
+IF(D54="Yes",Monthly_Pay_Model!$D$4,0)
+IF(E54="Yes",Monthly_Pay_Model!$D$5,0)</f>
        <v>0</v>
      </c>
      <c r="K54" s="27">
        <f>IF(VLOOKUP($A54,Calendar!$A$1:$R$1377,18,0)=0,0,IF(VLOOKUP($A54,Calendar!$A$1:$R$1377,18,0)=1,IFERROR(INDEX(Weekly_Model!$D$2:$D$9,MATCH(F54,Weekly_Model!$A$2:$A$9,0)),0),IF(VLOOKUP($A54,Calendar!$A$1:$R$1377,18,0)=2,SUM(IFERROR(INDEX(Weekly_Model!$D$2:$D$9,MATCH(F54,Weekly_Model!$A$2:$A$9,0)),0),IFERROR(INDEX(Weekly_Model!$D$2:$D$9,MATCH(F55,Weekly_Model!$A$2:$A$9,0)),0)),IF(VLOOKUP($A54,Calendar!$A$1:$R$1377,18,0)=3,SUM(IFERROR(INDEX(Weekly_Model!$D$2:$D$9,MATCH(F54,Weekly_Model!$A$2:$A$9,0)),0),IFERROR(INDEX(Weekly_Model!$D$2:$D$9,MATCH(F55,Weekly_Model!$A$2:$A$9,0)),0),IFERROR(INDEX(Weekly_Model!$D$2:$D$9,MATCH(F56,Weekly_Model!$A$2:$A$9,0)),0)),IF(VLOOKUP($A54,Calendar!$A$1:$R$1377,18,0)=4,SUM(IFERROR(INDEX(Weekly_Model!$D$2:$D$9,MATCH(F54,Weekly_Model!$A$2:$A$9,0)),0),IFERROR(INDEX(Weekly_Model!$D$2:$D$9,MATCH(F55,Weekly_Model!$A$2:$A$9,0)),0),IFERROR(INDEX(Weekly_Model!$D$2:$D$9,MATCH(F56,Weekly_Model!$A$2:$A$9,0)),0),IFERROR(INDEX(Weekly_Model!$D$2:$D$9,MATCH(F57,Weekly_Model!$A$2:$A$9,0)),0)),IF(VLOOKUP($A54,Calendar!$A$1:$R$1377,18,0)=5,SUM(IFERROR(INDEX(Weekly_Model!$D$2:$D$9,MATCH(F54,Weekly_Model!$A$2:$A$9,0)),0),IFERROR(INDEX(Weekly_Model!$D$2:$D$9,MATCH(F55,Weekly_Model!$A$2:$A$9,0)),0),IFERROR(INDEX(Weekly_Model!$D$2:$D$9,MATCH(F56,Weekly_Model!$A$2:$A$9,0)),0),IFERROR(INDEX(Weekly_Model!$D$2:$D$9,MATCH(F57,Weekly_Model!$A$2:$A$9,0)),0),IFERROR(INDEX(Weekly_Model!$D$2:$D$9,MATCH(F58,Weekly_Model!$A$2:$A$9,0)),0)),0))))))</f>
        <v>2.3200000000000002E-2</v>
      </c>
      <c r="L54" s="27">
        <f>IF(VLOOKUP($A54,Calendar!$A$1:$R$1377,18,0)=0,0,IF(VLOOKUP($A54,Calendar!$A$1:$R$1377,18,0)=1,IFERROR(INDEX(Fortnightly_Model!$D$2:$D$15,MATCH(G54,Fortnightly_Model!$B$2:$B$15,0)),0),IF(VLOOKUP($A54,Calendar!$A$1:$R$1377,18,0)=2,SUM(IFERROR(INDEX(Fortnightly_Model!$D$2:$D$15,MATCH(G54,Fortnightly_Model!$B$2:$B$15,0)),0),IFERROR(INDEX(Fortnightly_Model!$D$2:$D$15,MATCH(G55,Fortnightly_Model!$B$2:$B$15,0)),0)),IF(VLOOKUP($A54,Calendar!$A$1:$R$1377,18,0)=3,SUM(IFERROR(INDEX(Fortnightly_Model!$D$2:$D$15,MATCH(G54,Fortnightly_Model!$B$2:$B$15,0)),0),IFERROR(INDEX(Fortnightly_Model!$D$2:$D$15,MATCH(G55,Fortnightly_Model!$B$2:$B$15,0)),0),IFERROR(INDEX(Fortnightly_Model!$D$2:$D$15,MATCH(G56,Fortnightly_Model!$B$2:$B$15,0)),0)),IF(VLOOKUP($A54,Calendar!$A$1:$R$1377,18,0)=4,SUM(IFERROR(INDEX(Fortnightly_Model!$D$2:$D$15,MATCH(G54,Fortnightly_Model!$B$2:$B$15,0)),0),IFERROR(INDEX(Fortnightly_Model!$D$2:$D$15,MATCH(G55,Fortnightly_Model!$B$2:$B$15,0)),0),IFERROR(INDEX(Fortnightly_Model!$D$2:$D$15,MATCH(G56,Fortnightly_Model!$B$2:$B$15,0)),0),IFERROR(INDEX(Fortnightly_Model!$D$2:$D$15,MATCH(G57,Fortnightly_Model!$B$2:$B$15,0)),0)),IF(VLOOKUP($A54,Calendar!$A$1:$R$1377,18,0)=5,SUM(IFERROR(INDEX(Fortnightly_Model!$D$2:$D$15,MATCH(G54,Fortnightly_Model!$B$2:$B$15,0)),0),IFERROR(INDEX(Fortnightly_Model!$D$2:$D$15,MATCH(G55,Fortnightly_Model!$B$2:$B$15,0)),0),IFERROR(INDEX(Fortnightly_Model!$D$2:$D$15,MATCH(G56,Fortnightly_Model!$B$2:$B$15,0)),0),IFERROR(INDEX(Fortnightly_Model!$D$2:$D$15,MATCH(G57,Fortnightly_Model!$B$2:$B$15,0)),0),IFERROR(INDEX(Fortnightly_Model!$D$2:$D$15,MATCH(G58,Fortnightly_Model!$B$2:$B$15,0)),0)),0))))))</f>
        <v>1.0714285499999999E-3</v>
      </c>
      <c r="M54" s="27">
        <f>IF(VLOOKUP($A54,Calendar!$A$1:$R$1377,18,0)=0,0,IF(VLOOKUP($A54,Calendar!$A$1:$R$1377,18,0)=1,IFERROR(INDEX(FourWeekly_Model!$D$2:$D$29,MATCH(H54,FourWeekly_Model!$B$2:$B$29,0)),0),IF(VLOOKUP($A54,Calendar!$A$1:$R$1377,18,0)=2,SUM(IFERROR(INDEX(FourWeekly_Model!$D$2:$D$29,MATCH(H54,FourWeekly_Model!$B$2:$B$29,0)),0),IFERROR(INDEX(FourWeekly_Model!$D$2:$D$29,MATCH(H55,FourWeekly_Model!$B$2:$B$29,0)),0)),IF(VLOOKUP($A54,Calendar!$A$1:$R$1377,18,0)=3,SUM(IFERROR(INDEX(FourWeekly_Model!$D$2:$D$29,MATCH(H54,FourWeekly_Model!$B$2:$B$29,0)),0),IFERROR(INDEX(FourWeekly_Model!$D$2:$D$29,MATCH(H55,FourWeekly_Model!$B$2:$B$29,0)),0),IFERROR(INDEX(FourWeekly_Model!$D$2:$D$29,MATCH(H56,FourWeekly_Model!$B$2:$B$29,0)),0)),IF(VLOOKUP($A54,Calendar!$A$1:$R$1377,18,0)=4,SUM(IFERROR(INDEX(FourWeekly_Model!$D$2:$D$29,MATCH(H54,FourWeekly_Model!$B$2:$B$29,0)),0),IFERROR(INDEX(FourWeekly_Model!$D$2:$D$29,MATCH(H55,FourWeekly_Model!$B$2:$B$29,0)),0),IFERROR(INDEX(FourWeekly_Model!$D$2:$D$29,MATCH(H56,FourWeekly_Model!$B$2:$B$29,0)),0),IFERROR(INDEX(FourWeekly_Model!$D$2:$D$29,MATCH(H57,FourWeekly_Model!$B$2:$B$29,0)),0)),IF(VLOOKUP($A54,Calendar!$A$1:$R$1377,18,0)=5,SUM(IFERROR(INDEX(FourWeekly_Model!$D$2:$D$29,MATCH(H54,FourWeekly_Model!$B$2:$B$29,0)),0),IFERROR(INDEX(FourWeekly_Model!$D$2:$D$29,MATCH(H55,FourWeekly_Model!$B$2:$B$29,0)),0),IFERROR(INDEX(FourWeekly_Model!$D$2:$D$29,MATCH(H56,FourWeekly_Model!$B$2:$B$29,0)),0),IFERROR(INDEX(FourWeekly_Model!$D$2:$D$29,MATCH(H57,FourWeekly_Model!$B$2:$B$29,0)),0),IFERROR(INDEX(FourWeekly_Model!$D$2:$D$29,MATCH(H58,FourWeekly_Model!$B$2:$B$29,0)),0)),0))))))</f>
        <v>3.3214289700000004E-3</v>
      </c>
      <c r="N54" s="27">
        <f>SUM(I54:M54)</f>
        <v>3.0843119300104714E-2</v>
      </c>
      <c r="O54" s="28">
        <f>Population_Data!$B$8*N54</f>
        <v>934546.51479317283</v>
      </c>
      <c r="P54" s="27">
        <f>IF(VLOOKUP($A54,Calendar!$A$1:$R$1377,18,0)=0,0,IF(VLOOKUP($A54,Calendar!$A$1:$R$1377,18,0)=1,IFERROR(INDEX(Pension_Model!$D$2:$D$29,MATCH(H54,Pension_Model!$B$2:$B$29,0)),0),IF(VLOOKUP($A54,Calendar!$A$1:$R$1377,18,0)=2,SUM(IFERROR(INDEX(Pension_Model!$D$2:$D$29,MATCH(H54,Pension_Model!$B$2:$B$29,0)),0),IFERROR(INDEX(Pension_Model!$D$2:$D$29,MATCH(H55,Pension_Model!$B$2:$B$29,0)),0)),IF(VLOOKUP($A54,Calendar!$A$1:$R$1377,18,0)=3,SUM(IFERROR(INDEX(Pension_Model!$D$2:$D$29,MATCH(H54,Pension_Model!$B$2:$B$29,0)),0),IFERROR(INDEX(Pension_Model!$D$2:$D$29,MATCH(H55,Pension_Model!$B$2:$B$29,0)),0),IFERROR(INDEX(Pension_Model!$D$2:$D$29,MATCH(H56,Pension_Model!$B$2:$B$29,0)),0)),IF(VLOOKUP($A54,Calendar!$A$1:$R$1377,18,0)=4,SUM(IFERROR(INDEX(Pension_Model!$D$2:$D$29,MATCH(H54,Pension_Model!$B$2:$B$29,0)),0),IFERROR(INDEX(Pension_Model!$D$2:$D$29,MATCH(H55,Pension_Model!$B$2:$B$29,0)),0),IFERROR(INDEX(Pension_Model!$D$2:$D$29,MATCH(H56,Pension_Model!$B$2:$B$29,0)),0),IFERROR(INDEX(Pension_Model!$D$2:$D$29,MATCH(H57,Pension_Model!$B$2:$B$29,0)),0)),IF(VLOOKUP($A54,Calendar!$A$1:$R$1377,18,0)=5,SUM(IFERROR(INDEX(Pension_Model!$D$2:$D$29,MATCH(H54,Pension_Model!$B$2:$B$29,0)),0),IFERROR(INDEX(Pension_Model!$D$2:$D$29,MATCH(H55,Pension_Model!$B$2:$B$29,0)),0),IFERROR(INDEX(Pension_Model!$D$2:$D$29,MATCH(H56,Pension_Model!$B$2:$B$29,0)),0),IFERROR(INDEX(Pension_Model!$D$2:$D$29,MATCH(H57,Pension_Model!$B$2:$B$29,0)),0),IFERROR(INDEX(Pension_Model!$D$2:$D$29,MATCH(H58,Pension_Model!$B$2:$B$29,0)),0)),0))))))</f>
        <v>0.05</v>
      </c>
      <c r="Q54" s="28">
        <f>Population_Data!$B$15*P54</f>
        <v>660600</v>
      </c>
      <c r="S54">
        <f t="shared" si="0"/>
        <v>1595146.5147931729</v>
      </c>
      <c r="U54" s="33">
        <f>S54/Population_Data!$B$19</f>
        <v>2.8897581789731393E-2</v>
      </c>
    </row>
    <row r="55" spans="1:21">
      <c r="A55" s="25">
        <f>Calendar!A55</f>
        <v>46288</v>
      </c>
      <c r="B55" t="str">
        <f>Calendar!L55</f>
        <v>Yes</v>
      </c>
      <c r="C55" t="str">
        <f>Calendar!O55</f>
        <v>No</v>
      </c>
      <c r="D55" t="str">
        <f>Calendar!P55</f>
        <v>No</v>
      </c>
      <c r="E55" t="str">
        <f>Calendar!Q55</f>
        <v>No</v>
      </c>
      <c r="F55" t="str">
        <f>Calendar!I55</f>
        <v>Wednesday</v>
      </c>
      <c r="G55">
        <f>Calendar!S55</f>
        <v>4</v>
      </c>
      <c r="H55">
        <f>Calendar!T55</f>
        <v>4</v>
      </c>
      <c r="I55" s="27">
        <f>IF(VLOOKUP(A55,Calendar!$A$1:$R$1377,18,0)=0,0,IF(VLOOKUP(A55,Calendar!$A$1:$R$1377,18,0)=1,INDEX(Monthly_Pay_Model!$A$9:$D$40,MATCH(TEXT(A55,"dd"),Monthly_Pay_Model!$C$9:$C$39,0),4),IF(VLOOKUP(A55,Calendar!$A$1:$R$1377,18,0)=2,SUM(INDEX(Monthly_Pay_Model!$A$9:$D$40,MATCH(TEXT(A55,"dd"),Monthly_Pay_Model!$C$9:$C$39,0),4),INDEX(Monthly_Pay_Model!$A$9:$D$40,MATCH(TEXT(A56,"dd"),Monthly_Pay_Model!$C$9:$C$39,0),4)),IF(VLOOKUP(A55,Calendar!$A$1:$R$1377,18,0)=3,SUM(INDEX(Monthly_Pay_Model!$A$9:$D$40,MATCH(TEXT(A55,"dd"),Monthly_Pay_Model!$C$9:$C$39,0),4),INDEX(Monthly_Pay_Model!$A$9:$D$40,MATCH(TEXT(A56,"dd"),Monthly_Pay_Model!$C$9:$C$39,0),4),INDEX(Monthly_Pay_Model!$A$9:$D$40,MATCH(TEXT(A57,"dd"),Monthly_Pay_Model!$C$9:$C$39,0),4)),IF(VLOOKUP(A55,Calendar!$A$1:$R$1377,18,0)=4,SUM(INDEX(Monthly_Pay_Model!$A$9:$D$40,MATCH(TEXT(A55,"dd"),Monthly_Pay_Model!$C$9:$C$39,0),4),INDEX(Monthly_Pay_Model!$A$9:$D$40,MATCH(TEXT(A56,"dd"),Monthly_Pay_Model!$C$9:$C$39,0),4),INDEX(Monthly_Pay_Model!$A$9:$D$40,MATCH(TEXT(A57,"dd"),Monthly_Pay_Model!$C$9:$C$39,0),4),INDEX(Monthly_Pay_Model!$A$9:$D$40,MATCH(TEXT(A58,"dd"),Monthly_Pay_Model!$C$9:$C$39,0),4)),IF(VLOOKUP(A55,Calendar!$A$1:$R$1377,18,0)=5,SUM(INDEX(Monthly_Pay_Model!$A$9:$D$40,MATCH(TEXT(A55,"dd"),Monthly_Pay_Model!$C$9:$C$39,0),4),INDEX(Monthly_Pay_Model!$A$9:$D$40,MATCH(TEXT(A56,"dd"),Monthly_Pay_Model!$C$9:$C$39,0),4),INDEX(Monthly_Pay_Model!$A$9:$D$40,MATCH(TEXT(A57,"dd"),Monthly_Pay_Model!$C$9:$C$39,0),4),INDEX(Monthly_Pay_Model!$A$9:$D$40,MATCH(TEXT(A58,"dd"),Monthly_Pay_Model!$C$9:$C$39,0),4),INDEX(Monthly_Pay_Model!$A$9:$D$40,MATCH(TEXT(A59,"dd"),Monthly_Pay_Model!$C$9:$C$39,0),4)),))))))</f>
        <v>4.0628272251308894E-3</v>
      </c>
      <c r="J55" s="33">
        <f>IF(C55="Yes",Monthly_Pay_Model!$D$2,0)
+IF(Calendar!N55="Yes",Monthly_Pay_Model!$D$3,0)
+IF(D55="Yes",Monthly_Pay_Model!$D$4,0)
+IF(E55="Yes",Monthly_Pay_Model!$D$5,0)</f>
        <v>0</v>
      </c>
      <c r="K55" s="27">
        <f>IF(VLOOKUP($A55,Calendar!$A$1:$R$1377,18,0)=0,0,IF(VLOOKUP($A55,Calendar!$A$1:$R$1377,18,0)=1,IFERROR(INDEX(Weekly_Model!$D$2:$D$9,MATCH(F55,Weekly_Model!$A$2:$A$9,0)),0),IF(VLOOKUP($A55,Calendar!$A$1:$R$1377,18,0)=2,SUM(IFERROR(INDEX(Weekly_Model!$D$2:$D$9,MATCH(F55,Weekly_Model!$A$2:$A$9,0)),0),IFERROR(INDEX(Weekly_Model!$D$2:$D$9,MATCH(F56,Weekly_Model!$A$2:$A$9,0)),0)),IF(VLOOKUP($A55,Calendar!$A$1:$R$1377,18,0)=3,SUM(IFERROR(INDEX(Weekly_Model!$D$2:$D$9,MATCH(F55,Weekly_Model!$A$2:$A$9,0)),0),IFERROR(INDEX(Weekly_Model!$D$2:$D$9,MATCH(F56,Weekly_Model!$A$2:$A$9,0)),0),IFERROR(INDEX(Weekly_Model!$D$2:$D$9,MATCH(F57,Weekly_Model!$A$2:$A$9,0)),0)),IF(VLOOKUP($A55,Calendar!$A$1:$R$1377,18,0)=4,SUM(IFERROR(INDEX(Weekly_Model!$D$2:$D$9,MATCH(F55,Weekly_Model!$A$2:$A$9,0)),0),IFERROR(INDEX(Weekly_Model!$D$2:$D$9,MATCH(F56,Weekly_Model!$A$2:$A$9,0)),0),IFERROR(INDEX(Weekly_Model!$D$2:$D$9,MATCH(F57,Weekly_Model!$A$2:$A$9,0)),0),IFERROR(INDEX(Weekly_Model!$D$2:$D$9,MATCH(F58,Weekly_Model!$A$2:$A$9,0)),0)),IF(VLOOKUP($A55,Calendar!$A$1:$R$1377,18,0)=5,SUM(IFERROR(INDEX(Weekly_Model!$D$2:$D$9,MATCH(F55,Weekly_Model!$A$2:$A$9,0)),0),IFERROR(INDEX(Weekly_Model!$D$2:$D$9,MATCH(F56,Weekly_Model!$A$2:$A$9,0)),0),IFERROR(INDEX(Weekly_Model!$D$2:$D$9,MATCH(F57,Weekly_Model!$A$2:$A$9,0)),0),IFERROR(INDEX(Weekly_Model!$D$2:$D$9,MATCH(F58,Weekly_Model!$A$2:$A$9,0)),0),IFERROR(INDEX(Weekly_Model!$D$2:$D$9,MATCH(F59,Weekly_Model!$A$2:$A$9,0)),0)),0))))))</f>
        <v>2.3200000000000002E-2</v>
      </c>
      <c r="L55" s="27">
        <f>IF(VLOOKUP($A55,Calendar!$A$1:$R$1377,18,0)=0,0,IF(VLOOKUP($A55,Calendar!$A$1:$R$1377,18,0)=1,IFERROR(INDEX(Fortnightly_Model!$D$2:$D$15,MATCH(G55,Fortnightly_Model!$B$2:$B$15,0)),0),IF(VLOOKUP($A55,Calendar!$A$1:$R$1377,18,0)=2,SUM(IFERROR(INDEX(Fortnightly_Model!$D$2:$D$15,MATCH(G55,Fortnightly_Model!$B$2:$B$15,0)),0),IFERROR(INDEX(Fortnightly_Model!$D$2:$D$15,MATCH(G56,Fortnightly_Model!$B$2:$B$15,0)),0)),IF(VLOOKUP($A55,Calendar!$A$1:$R$1377,18,0)=3,SUM(IFERROR(INDEX(Fortnightly_Model!$D$2:$D$15,MATCH(G55,Fortnightly_Model!$B$2:$B$15,0)),0),IFERROR(INDEX(Fortnightly_Model!$D$2:$D$15,MATCH(G56,Fortnightly_Model!$B$2:$B$15,0)),0),IFERROR(INDEX(Fortnightly_Model!$D$2:$D$15,MATCH(G57,Fortnightly_Model!$B$2:$B$15,0)),0)),IF(VLOOKUP($A55,Calendar!$A$1:$R$1377,18,0)=4,SUM(IFERROR(INDEX(Fortnightly_Model!$D$2:$D$15,MATCH(G55,Fortnightly_Model!$B$2:$B$15,0)),0),IFERROR(INDEX(Fortnightly_Model!$D$2:$D$15,MATCH(G56,Fortnightly_Model!$B$2:$B$15,0)),0),IFERROR(INDEX(Fortnightly_Model!$D$2:$D$15,MATCH(G57,Fortnightly_Model!$B$2:$B$15,0)),0),IFERROR(INDEX(Fortnightly_Model!$D$2:$D$15,MATCH(G58,Fortnightly_Model!$B$2:$B$15,0)),0)),IF(VLOOKUP($A55,Calendar!$A$1:$R$1377,18,0)=5,SUM(IFERROR(INDEX(Fortnightly_Model!$D$2:$D$15,MATCH(G55,Fortnightly_Model!$B$2:$B$15,0)),0),IFERROR(INDEX(Fortnightly_Model!$D$2:$D$15,MATCH(G56,Fortnightly_Model!$B$2:$B$15,0)),0),IFERROR(INDEX(Fortnightly_Model!$D$2:$D$15,MATCH(G57,Fortnightly_Model!$B$2:$B$15,0)),0),IFERROR(INDEX(Fortnightly_Model!$D$2:$D$15,MATCH(G58,Fortnightly_Model!$B$2:$B$15,0)),0),IFERROR(INDEX(Fortnightly_Model!$D$2:$D$15,MATCH(G59,Fortnightly_Model!$B$2:$B$15,0)),0)),0))))))</f>
        <v>1.0714285499999999E-3</v>
      </c>
      <c r="M55" s="27">
        <f>IF(VLOOKUP($A55,Calendar!$A$1:$R$1377,18,0)=0,0,IF(VLOOKUP($A55,Calendar!$A$1:$R$1377,18,0)=1,IFERROR(INDEX(FourWeekly_Model!$D$2:$D$29,MATCH(H55,FourWeekly_Model!$B$2:$B$29,0)),0),IF(VLOOKUP($A55,Calendar!$A$1:$R$1377,18,0)=2,SUM(IFERROR(INDEX(FourWeekly_Model!$D$2:$D$29,MATCH(H55,FourWeekly_Model!$B$2:$B$29,0)),0),IFERROR(INDEX(FourWeekly_Model!$D$2:$D$29,MATCH(H56,FourWeekly_Model!$B$2:$B$29,0)),0)),IF(VLOOKUP($A55,Calendar!$A$1:$R$1377,18,0)=3,SUM(IFERROR(INDEX(FourWeekly_Model!$D$2:$D$29,MATCH(H55,FourWeekly_Model!$B$2:$B$29,0)),0),IFERROR(INDEX(FourWeekly_Model!$D$2:$D$29,MATCH(H56,FourWeekly_Model!$B$2:$B$29,0)),0),IFERROR(INDEX(FourWeekly_Model!$D$2:$D$29,MATCH(H57,FourWeekly_Model!$B$2:$B$29,0)),0)),IF(VLOOKUP($A55,Calendar!$A$1:$R$1377,18,0)=4,SUM(IFERROR(INDEX(FourWeekly_Model!$D$2:$D$29,MATCH(H55,FourWeekly_Model!$B$2:$B$29,0)),0),IFERROR(INDEX(FourWeekly_Model!$D$2:$D$29,MATCH(H56,FourWeekly_Model!$B$2:$B$29,0)),0),IFERROR(INDEX(FourWeekly_Model!$D$2:$D$29,MATCH(H57,FourWeekly_Model!$B$2:$B$29,0)),0),IFERROR(INDEX(FourWeekly_Model!$D$2:$D$29,MATCH(H58,FourWeekly_Model!$B$2:$B$29,0)),0)),IF(VLOOKUP($A55,Calendar!$A$1:$R$1377,18,0)=5,SUM(IFERROR(INDEX(FourWeekly_Model!$D$2:$D$29,MATCH(H55,FourWeekly_Model!$B$2:$B$29,0)),0),IFERROR(INDEX(FourWeekly_Model!$D$2:$D$29,MATCH(H56,FourWeekly_Model!$B$2:$B$29,0)),0),IFERROR(INDEX(FourWeekly_Model!$D$2:$D$29,MATCH(H57,FourWeekly_Model!$B$2:$B$29,0)),0),IFERROR(INDEX(FourWeekly_Model!$D$2:$D$29,MATCH(H58,FourWeekly_Model!$B$2:$B$29,0)),0),IFERROR(INDEX(FourWeekly_Model!$D$2:$D$29,MATCH(H59,FourWeekly_Model!$B$2:$B$29,0)),0)),0))))))</f>
        <v>3.3214289700000004E-3</v>
      </c>
      <c r="N55" s="27">
        <f>SUM(I55:M55)</f>
        <v>3.1655684745130891E-2</v>
      </c>
      <c r="O55" s="28">
        <f>Population_Data!$B$8*N55</f>
        <v>959167.24777746596</v>
      </c>
      <c r="P55" s="27">
        <f>IF(VLOOKUP($A55,Calendar!$A$1:$R$1377,18,0)=0,0,IF(VLOOKUP($A55,Calendar!$A$1:$R$1377,18,0)=1,IFERROR(INDEX(Pension_Model!$D$2:$D$29,MATCH(H55,Pension_Model!$B$2:$B$29,0)),0),IF(VLOOKUP($A55,Calendar!$A$1:$R$1377,18,0)=2,SUM(IFERROR(INDEX(Pension_Model!$D$2:$D$29,MATCH(H55,Pension_Model!$B$2:$B$29,0)),0),IFERROR(INDEX(Pension_Model!$D$2:$D$29,MATCH(H56,Pension_Model!$B$2:$B$29,0)),0)),IF(VLOOKUP($A55,Calendar!$A$1:$R$1377,18,0)=3,SUM(IFERROR(INDEX(Pension_Model!$D$2:$D$29,MATCH(H55,Pension_Model!$B$2:$B$29,0)),0),IFERROR(INDEX(Pension_Model!$D$2:$D$29,MATCH(H56,Pension_Model!$B$2:$B$29,0)),0),IFERROR(INDEX(Pension_Model!$D$2:$D$29,MATCH(H57,Pension_Model!$B$2:$B$29,0)),0)),IF(VLOOKUP($A55,Calendar!$A$1:$R$1377,18,0)=4,SUM(IFERROR(INDEX(Pension_Model!$D$2:$D$29,MATCH(H55,Pension_Model!$B$2:$B$29,0)),0),IFERROR(INDEX(Pension_Model!$D$2:$D$29,MATCH(H56,Pension_Model!$B$2:$B$29,0)),0),IFERROR(INDEX(Pension_Model!$D$2:$D$29,MATCH(H57,Pension_Model!$B$2:$B$29,0)),0),IFERROR(INDEX(Pension_Model!$D$2:$D$29,MATCH(H58,Pension_Model!$B$2:$B$29,0)),0)),IF(VLOOKUP($A55,Calendar!$A$1:$R$1377,18,0)=5,SUM(IFERROR(INDEX(Pension_Model!$D$2:$D$29,MATCH(H55,Pension_Model!$B$2:$B$29,0)),0),IFERROR(INDEX(Pension_Model!$D$2:$D$29,MATCH(H56,Pension_Model!$B$2:$B$29,0)),0),IFERROR(INDEX(Pension_Model!$D$2:$D$29,MATCH(H57,Pension_Model!$B$2:$B$29,0)),0),IFERROR(INDEX(Pension_Model!$D$2:$D$29,MATCH(H58,Pension_Model!$B$2:$B$29,0)),0),IFERROR(INDEX(Pension_Model!$D$2:$D$29,MATCH(H59,Pension_Model!$B$2:$B$29,0)),0)),0))))))</f>
        <v>0.05</v>
      </c>
      <c r="Q55" s="28">
        <f>Population_Data!$B$15*P55</f>
        <v>660600</v>
      </c>
      <c r="S55">
        <f t="shared" si="0"/>
        <v>1619767.247777466</v>
      </c>
      <c r="U55" s="33">
        <f>S55/Population_Data!$B$19</f>
        <v>2.9343609561185979E-2</v>
      </c>
    </row>
    <row r="56" spans="1:21">
      <c r="A56" s="25">
        <f>Calendar!A56</f>
        <v>46289</v>
      </c>
      <c r="B56" t="str">
        <f>Calendar!L56</f>
        <v>Yes</v>
      </c>
      <c r="C56" t="str">
        <f>Calendar!O56</f>
        <v>No</v>
      </c>
      <c r="D56" t="str">
        <f>Calendar!P56</f>
        <v>No</v>
      </c>
      <c r="E56" t="str">
        <f>Calendar!Q56</f>
        <v>Yes</v>
      </c>
      <c r="F56" t="str">
        <f>Calendar!I56</f>
        <v>Thursday</v>
      </c>
      <c r="G56">
        <f>Calendar!S56</f>
        <v>5</v>
      </c>
      <c r="H56">
        <f>Calendar!T56</f>
        <v>5</v>
      </c>
      <c r="I56" s="27">
        <f>IF(VLOOKUP(A56,Calendar!$A$1:$R$1377,18,0)=0,0,IF(VLOOKUP(A56,Calendar!$A$1:$R$1377,18,0)=1,INDEX(Monthly_Pay_Model!$A$9:$D$40,MATCH(TEXT(A56,"dd"),Monthly_Pay_Model!$C$9:$C$39,0),4),IF(VLOOKUP(A56,Calendar!$A$1:$R$1377,18,0)=2,SUM(INDEX(Monthly_Pay_Model!$A$9:$D$40,MATCH(TEXT(A56,"dd"),Monthly_Pay_Model!$C$9:$C$39,0),4),INDEX(Monthly_Pay_Model!$A$9:$D$40,MATCH(TEXT(A57,"dd"),Monthly_Pay_Model!$C$9:$C$39,0),4)),IF(VLOOKUP(A56,Calendar!$A$1:$R$1377,18,0)=3,SUM(INDEX(Monthly_Pay_Model!$A$9:$D$40,MATCH(TEXT(A56,"dd"),Monthly_Pay_Model!$C$9:$C$39,0),4),INDEX(Monthly_Pay_Model!$A$9:$D$40,MATCH(TEXT(A57,"dd"),Monthly_Pay_Model!$C$9:$C$39,0),4),INDEX(Monthly_Pay_Model!$A$9:$D$40,MATCH(TEXT(A58,"dd"),Monthly_Pay_Model!$C$9:$C$39,0),4)),IF(VLOOKUP(A56,Calendar!$A$1:$R$1377,18,0)=4,SUM(INDEX(Monthly_Pay_Model!$A$9:$D$40,MATCH(TEXT(A56,"dd"),Monthly_Pay_Model!$C$9:$C$39,0),4),INDEX(Monthly_Pay_Model!$A$9:$D$40,MATCH(TEXT(A57,"dd"),Monthly_Pay_Model!$C$9:$C$39,0),4),INDEX(Monthly_Pay_Model!$A$9:$D$40,MATCH(TEXT(A58,"dd"),Monthly_Pay_Model!$C$9:$C$39,0),4),INDEX(Monthly_Pay_Model!$A$9:$D$40,MATCH(TEXT(A59,"dd"),Monthly_Pay_Model!$C$9:$C$39,0),4)),IF(VLOOKUP(A56,Calendar!$A$1:$R$1377,18,0)=5,SUM(INDEX(Monthly_Pay_Model!$A$9:$D$40,MATCH(TEXT(A56,"dd"),Monthly_Pay_Model!$C$9:$C$39,0),4),INDEX(Monthly_Pay_Model!$A$9:$D$40,MATCH(TEXT(A57,"dd"),Monthly_Pay_Model!$C$9:$C$39,0),4),INDEX(Monthly_Pay_Model!$A$9:$D$40,MATCH(TEXT(A58,"dd"),Monthly_Pay_Model!$C$9:$C$39,0),4),INDEX(Monthly_Pay_Model!$A$9:$D$40,MATCH(TEXT(A59,"dd"),Monthly_Pay_Model!$C$9:$C$39,0),4),INDEX(Monthly_Pay_Model!$A$9:$D$40,MATCH(TEXT(A60,"dd"),Monthly_Pay_Model!$C$9:$C$39,0),4)),))))))</f>
        <v>7.3130890052356002E-3</v>
      </c>
      <c r="J56" s="33">
        <f>IF(C56="Yes",Monthly_Pay_Model!$D$2,0)
+IF(Calendar!N56="Yes",Monthly_Pay_Model!$D$3,0)
+IF(D56="Yes",Monthly_Pay_Model!$D$4,0)
+IF(E56="Yes",Monthly_Pay_Model!$D$5,0)</f>
        <v>5.4320000000000007E-2</v>
      </c>
      <c r="K56" s="27">
        <f>IF(VLOOKUP($A56,Calendar!$A$1:$R$1377,18,0)=0,0,IF(VLOOKUP($A56,Calendar!$A$1:$R$1377,18,0)=1,IFERROR(INDEX(Weekly_Model!$D$2:$D$9,MATCH(F56,Weekly_Model!$A$2:$A$9,0)),0),IF(VLOOKUP($A56,Calendar!$A$1:$R$1377,18,0)=2,SUM(IFERROR(INDEX(Weekly_Model!$D$2:$D$9,MATCH(F56,Weekly_Model!$A$2:$A$9,0)),0),IFERROR(INDEX(Weekly_Model!$D$2:$D$9,MATCH(F57,Weekly_Model!$A$2:$A$9,0)),0)),IF(VLOOKUP($A56,Calendar!$A$1:$R$1377,18,0)=3,SUM(IFERROR(INDEX(Weekly_Model!$D$2:$D$9,MATCH(F56,Weekly_Model!$A$2:$A$9,0)),0),IFERROR(INDEX(Weekly_Model!$D$2:$D$9,MATCH(F57,Weekly_Model!$A$2:$A$9,0)),0),IFERROR(INDEX(Weekly_Model!$D$2:$D$9,MATCH(F58,Weekly_Model!$A$2:$A$9,0)),0)),IF(VLOOKUP($A56,Calendar!$A$1:$R$1377,18,0)=4,SUM(IFERROR(INDEX(Weekly_Model!$D$2:$D$9,MATCH(F56,Weekly_Model!$A$2:$A$9,0)),0),IFERROR(INDEX(Weekly_Model!$D$2:$D$9,MATCH(F57,Weekly_Model!$A$2:$A$9,0)),0),IFERROR(INDEX(Weekly_Model!$D$2:$D$9,MATCH(F58,Weekly_Model!$A$2:$A$9,0)),0),IFERROR(INDEX(Weekly_Model!$D$2:$D$9,MATCH(F59,Weekly_Model!$A$2:$A$9,0)),0)),IF(VLOOKUP($A56,Calendar!$A$1:$R$1377,18,0)=5,SUM(IFERROR(INDEX(Weekly_Model!$D$2:$D$9,MATCH(F56,Weekly_Model!$A$2:$A$9,0)),0),IFERROR(INDEX(Weekly_Model!$D$2:$D$9,MATCH(F57,Weekly_Model!$A$2:$A$9,0)),0),IFERROR(INDEX(Weekly_Model!$D$2:$D$9,MATCH(F58,Weekly_Model!$A$2:$A$9,0)),0),IFERROR(INDEX(Weekly_Model!$D$2:$D$9,MATCH(F59,Weekly_Model!$A$2:$A$9,0)),0),IFERROR(INDEX(Weekly_Model!$D$2:$D$9,MATCH(F60,Weekly_Model!$A$2:$A$9,0)),0)),0))))))</f>
        <v>2.3200000000000002E-2</v>
      </c>
      <c r="L56" s="27">
        <f>IF(VLOOKUP($A56,Calendar!$A$1:$R$1377,18,0)=0,0,IF(VLOOKUP($A56,Calendar!$A$1:$R$1377,18,0)=1,IFERROR(INDEX(Fortnightly_Model!$D$2:$D$15,MATCH(G56,Fortnightly_Model!$B$2:$B$15,0)),0),IF(VLOOKUP($A56,Calendar!$A$1:$R$1377,18,0)=2,SUM(IFERROR(INDEX(Fortnightly_Model!$D$2:$D$15,MATCH(G56,Fortnightly_Model!$B$2:$B$15,0)),0),IFERROR(INDEX(Fortnightly_Model!$D$2:$D$15,MATCH(G57,Fortnightly_Model!$B$2:$B$15,0)),0)),IF(VLOOKUP($A56,Calendar!$A$1:$R$1377,18,0)=3,SUM(IFERROR(INDEX(Fortnightly_Model!$D$2:$D$15,MATCH(G56,Fortnightly_Model!$B$2:$B$15,0)),0),IFERROR(INDEX(Fortnightly_Model!$D$2:$D$15,MATCH(G57,Fortnightly_Model!$B$2:$B$15,0)),0),IFERROR(INDEX(Fortnightly_Model!$D$2:$D$15,MATCH(G58,Fortnightly_Model!$B$2:$B$15,0)),0)),IF(VLOOKUP($A56,Calendar!$A$1:$R$1377,18,0)=4,SUM(IFERROR(INDEX(Fortnightly_Model!$D$2:$D$15,MATCH(G56,Fortnightly_Model!$B$2:$B$15,0)),0),IFERROR(INDEX(Fortnightly_Model!$D$2:$D$15,MATCH(G57,Fortnightly_Model!$B$2:$B$15,0)),0),IFERROR(INDEX(Fortnightly_Model!$D$2:$D$15,MATCH(G58,Fortnightly_Model!$B$2:$B$15,0)),0),IFERROR(INDEX(Fortnightly_Model!$D$2:$D$15,MATCH(G59,Fortnightly_Model!$B$2:$B$15,0)),0)),IF(VLOOKUP($A56,Calendar!$A$1:$R$1377,18,0)=5,SUM(IFERROR(INDEX(Fortnightly_Model!$D$2:$D$15,MATCH(G56,Fortnightly_Model!$B$2:$B$15,0)),0),IFERROR(INDEX(Fortnightly_Model!$D$2:$D$15,MATCH(G57,Fortnightly_Model!$B$2:$B$15,0)),0),IFERROR(INDEX(Fortnightly_Model!$D$2:$D$15,MATCH(G58,Fortnightly_Model!$B$2:$B$15,0)),0),IFERROR(INDEX(Fortnightly_Model!$D$2:$D$15,MATCH(G59,Fortnightly_Model!$B$2:$B$15,0)),0),IFERROR(INDEX(Fortnightly_Model!$D$2:$D$15,MATCH(G60,Fortnightly_Model!$B$2:$B$15,0)),0)),0))))))</f>
        <v>1.0714285499999999E-3</v>
      </c>
      <c r="M56" s="27">
        <f>IF(VLOOKUP($A56,Calendar!$A$1:$R$1377,18,0)=0,0,IF(VLOOKUP($A56,Calendar!$A$1:$R$1377,18,0)=1,IFERROR(INDEX(FourWeekly_Model!$D$2:$D$29,MATCH(H56,FourWeekly_Model!$B$2:$B$29,0)),0),IF(VLOOKUP($A56,Calendar!$A$1:$R$1377,18,0)=2,SUM(IFERROR(INDEX(FourWeekly_Model!$D$2:$D$29,MATCH(H56,FourWeekly_Model!$B$2:$B$29,0)),0),IFERROR(INDEX(FourWeekly_Model!$D$2:$D$29,MATCH(H57,FourWeekly_Model!$B$2:$B$29,0)),0)),IF(VLOOKUP($A56,Calendar!$A$1:$R$1377,18,0)=3,SUM(IFERROR(INDEX(FourWeekly_Model!$D$2:$D$29,MATCH(H56,FourWeekly_Model!$B$2:$B$29,0)),0),IFERROR(INDEX(FourWeekly_Model!$D$2:$D$29,MATCH(H57,FourWeekly_Model!$B$2:$B$29,0)),0),IFERROR(INDEX(FourWeekly_Model!$D$2:$D$29,MATCH(H58,FourWeekly_Model!$B$2:$B$29,0)),0)),IF(VLOOKUP($A56,Calendar!$A$1:$R$1377,18,0)=4,SUM(IFERROR(INDEX(FourWeekly_Model!$D$2:$D$29,MATCH(H56,FourWeekly_Model!$B$2:$B$29,0)),0),IFERROR(INDEX(FourWeekly_Model!$D$2:$D$29,MATCH(H57,FourWeekly_Model!$B$2:$B$29,0)),0),IFERROR(INDEX(FourWeekly_Model!$D$2:$D$29,MATCH(H58,FourWeekly_Model!$B$2:$B$29,0)),0),IFERROR(INDEX(FourWeekly_Model!$D$2:$D$29,MATCH(H59,FourWeekly_Model!$B$2:$B$29,0)),0)),IF(VLOOKUP($A56,Calendar!$A$1:$R$1377,18,0)=5,SUM(IFERROR(INDEX(FourWeekly_Model!$D$2:$D$29,MATCH(H56,FourWeekly_Model!$B$2:$B$29,0)),0),IFERROR(INDEX(FourWeekly_Model!$D$2:$D$29,MATCH(H57,FourWeekly_Model!$B$2:$B$29,0)),0),IFERROR(INDEX(FourWeekly_Model!$D$2:$D$29,MATCH(H58,FourWeekly_Model!$B$2:$B$29,0)),0),IFERROR(INDEX(FourWeekly_Model!$D$2:$D$29,MATCH(H59,FourWeekly_Model!$B$2:$B$29,0)),0),IFERROR(INDEX(FourWeekly_Model!$D$2:$D$29,MATCH(H60,FourWeekly_Model!$B$2:$B$29,0)),0)),0))))))</f>
        <v>3.3214289700000004E-3</v>
      </c>
      <c r="N56" s="27">
        <f>SUM(I56:M56)</f>
        <v>8.9225946525235605E-2</v>
      </c>
      <c r="O56" s="28">
        <f>Population_Data!$B$8*N56</f>
        <v>2703546.1797146387</v>
      </c>
      <c r="P56" s="27">
        <f>IF(VLOOKUP($A56,Calendar!$A$1:$R$1377,18,0)=0,0,IF(VLOOKUP($A56,Calendar!$A$1:$R$1377,18,0)=1,IFERROR(INDEX(Pension_Model!$D$2:$D$29,MATCH(H56,Pension_Model!$B$2:$B$29,0)),0),IF(VLOOKUP($A56,Calendar!$A$1:$R$1377,18,0)=2,SUM(IFERROR(INDEX(Pension_Model!$D$2:$D$29,MATCH(H56,Pension_Model!$B$2:$B$29,0)),0),IFERROR(INDEX(Pension_Model!$D$2:$D$29,MATCH(H57,Pension_Model!$B$2:$B$29,0)),0)),IF(VLOOKUP($A56,Calendar!$A$1:$R$1377,18,0)=3,SUM(IFERROR(INDEX(Pension_Model!$D$2:$D$29,MATCH(H56,Pension_Model!$B$2:$B$29,0)),0),IFERROR(INDEX(Pension_Model!$D$2:$D$29,MATCH(H57,Pension_Model!$B$2:$B$29,0)),0),IFERROR(INDEX(Pension_Model!$D$2:$D$29,MATCH(H58,Pension_Model!$B$2:$B$29,0)),0)),IF(VLOOKUP($A56,Calendar!$A$1:$R$1377,18,0)=4,SUM(IFERROR(INDEX(Pension_Model!$D$2:$D$29,MATCH(H56,Pension_Model!$B$2:$B$29,0)),0),IFERROR(INDEX(Pension_Model!$D$2:$D$29,MATCH(H57,Pension_Model!$B$2:$B$29,0)),0),IFERROR(INDEX(Pension_Model!$D$2:$D$29,MATCH(H58,Pension_Model!$B$2:$B$29,0)),0),IFERROR(INDEX(Pension_Model!$D$2:$D$29,MATCH(H59,Pension_Model!$B$2:$B$29,0)),0)),IF(VLOOKUP($A56,Calendar!$A$1:$R$1377,18,0)=5,SUM(IFERROR(INDEX(Pension_Model!$D$2:$D$29,MATCH(H56,Pension_Model!$B$2:$B$29,0)),0),IFERROR(INDEX(Pension_Model!$D$2:$D$29,MATCH(H57,Pension_Model!$B$2:$B$29,0)),0),IFERROR(INDEX(Pension_Model!$D$2:$D$29,MATCH(H58,Pension_Model!$B$2:$B$29,0)),0),IFERROR(INDEX(Pension_Model!$D$2:$D$29,MATCH(H59,Pension_Model!$B$2:$B$29,0)),0),IFERROR(INDEX(Pension_Model!$D$2:$D$29,MATCH(H60,Pension_Model!$B$2:$B$29,0)),0)),0))))))</f>
        <v>0.05</v>
      </c>
      <c r="Q56" s="28">
        <f>Population_Data!$B$15*P56</f>
        <v>660600</v>
      </c>
      <c r="S56">
        <f t="shared" si="0"/>
        <v>3364146.1797146387</v>
      </c>
      <c r="U56" s="33">
        <f>S56/Population_Data!$B$19</f>
        <v>6.0944677168743452E-2</v>
      </c>
    </row>
    <row r="57" spans="1:21">
      <c r="A57" s="25">
        <f>Calendar!A57</f>
        <v>46290</v>
      </c>
      <c r="B57" t="str">
        <f>Calendar!L57</f>
        <v>Yes</v>
      </c>
      <c r="C57" t="str">
        <f>Calendar!O57</f>
        <v>No</v>
      </c>
      <c r="D57" t="str">
        <f>Calendar!P57</f>
        <v>Yes</v>
      </c>
      <c r="E57" t="str">
        <f>Calendar!Q57</f>
        <v>No</v>
      </c>
      <c r="F57" t="str">
        <f>Calendar!I57</f>
        <v>Friday</v>
      </c>
      <c r="G57">
        <f>Calendar!S57</f>
        <v>6</v>
      </c>
      <c r="H57">
        <f>Calendar!T57</f>
        <v>6</v>
      </c>
      <c r="I57" s="27">
        <f>IF(VLOOKUP(A57,Calendar!$A$1:$R$1377,18,0)=0,0,IF(VLOOKUP(A57,Calendar!$A$1:$R$1377,18,0)=1,INDEX(Monthly_Pay_Model!$A$9:$D$40,MATCH(TEXT(A57,"dd"),Monthly_Pay_Model!$C$9:$C$39,0),4),IF(VLOOKUP(A57,Calendar!$A$1:$R$1377,18,0)=2,SUM(INDEX(Monthly_Pay_Model!$A$9:$D$40,MATCH(TEXT(A57,"dd"),Monthly_Pay_Model!$C$9:$C$39,0),4),INDEX(Monthly_Pay_Model!$A$9:$D$40,MATCH(TEXT(A58,"dd"),Monthly_Pay_Model!$C$9:$C$39,0),4)),IF(VLOOKUP(A57,Calendar!$A$1:$R$1377,18,0)=3,SUM(INDEX(Monthly_Pay_Model!$A$9:$D$40,MATCH(TEXT(A57,"dd"),Monthly_Pay_Model!$C$9:$C$39,0),4),INDEX(Monthly_Pay_Model!$A$9:$D$40,MATCH(TEXT(A58,"dd"),Monthly_Pay_Model!$C$9:$C$39,0),4),INDEX(Monthly_Pay_Model!$A$9:$D$40,MATCH(TEXT(A59,"dd"),Monthly_Pay_Model!$C$9:$C$39,0),4)),IF(VLOOKUP(A57,Calendar!$A$1:$R$1377,18,0)=4,SUM(INDEX(Monthly_Pay_Model!$A$9:$D$40,MATCH(TEXT(A57,"dd"),Monthly_Pay_Model!$C$9:$C$39,0),4),INDEX(Monthly_Pay_Model!$A$9:$D$40,MATCH(TEXT(A58,"dd"),Monthly_Pay_Model!$C$9:$C$39,0),4),INDEX(Monthly_Pay_Model!$A$9:$D$40,MATCH(TEXT(A59,"dd"),Monthly_Pay_Model!$C$9:$C$39,0),4),INDEX(Monthly_Pay_Model!$A$9:$D$40,MATCH(TEXT(A60,"dd"),Monthly_Pay_Model!$C$9:$C$39,0),4)),IF(VLOOKUP(A57,Calendar!$A$1:$R$1377,18,0)=5,SUM(INDEX(Monthly_Pay_Model!$A$9:$D$40,MATCH(TEXT(A57,"dd"),Monthly_Pay_Model!$C$9:$C$39,0),4),INDEX(Monthly_Pay_Model!$A$9:$D$40,MATCH(TEXT(A58,"dd"),Monthly_Pay_Model!$C$9:$C$39,0),4),INDEX(Monthly_Pay_Model!$A$9:$D$40,MATCH(TEXT(A59,"dd"),Monthly_Pay_Model!$C$9:$C$39,0),4),INDEX(Monthly_Pay_Model!$A$9:$D$40,MATCH(TEXT(A60,"dd"),Monthly_Pay_Model!$C$9:$C$39,0),4),INDEX(Monthly_Pay_Model!$A$9:$D$40,MATCH(TEXT(A61,"dd"),Monthly_Pay_Model!$C$9:$C$39,0),4)),))))))</f>
        <v>4.1440837696335067E-2</v>
      </c>
      <c r="J57" s="33">
        <f>IF(C57="Yes",Monthly_Pay_Model!$D$2,0)
+IF(Calendar!N57="Yes",Monthly_Pay_Model!$D$3,0)
+IF(D57="Yes",Monthly_Pay_Model!$D$4,0)
+IF(E57="Yes",Monthly_Pay_Model!$D$5,0)</f>
        <v>0.1552</v>
      </c>
      <c r="K57" s="27">
        <f>IF(VLOOKUP($A57,Calendar!$A$1:$R$1377,18,0)=0,0,IF(VLOOKUP($A57,Calendar!$A$1:$R$1377,18,0)=1,IFERROR(INDEX(Weekly_Model!$D$2:$D$9,MATCH(F57,Weekly_Model!$A$2:$A$9,0)),0),IF(VLOOKUP($A57,Calendar!$A$1:$R$1377,18,0)=2,SUM(IFERROR(INDEX(Weekly_Model!$D$2:$D$9,MATCH(F57,Weekly_Model!$A$2:$A$9,0)),0),IFERROR(INDEX(Weekly_Model!$D$2:$D$9,MATCH(F58,Weekly_Model!$A$2:$A$9,0)),0)),IF(VLOOKUP($A57,Calendar!$A$1:$R$1377,18,0)=3,SUM(IFERROR(INDEX(Weekly_Model!$D$2:$D$9,MATCH(F57,Weekly_Model!$A$2:$A$9,0)),0),IFERROR(INDEX(Weekly_Model!$D$2:$D$9,MATCH(F58,Weekly_Model!$A$2:$A$9,0)),0),IFERROR(INDEX(Weekly_Model!$D$2:$D$9,MATCH(F59,Weekly_Model!$A$2:$A$9,0)),0)),IF(VLOOKUP($A57,Calendar!$A$1:$R$1377,18,0)=4,SUM(IFERROR(INDEX(Weekly_Model!$D$2:$D$9,MATCH(F57,Weekly_Model!$A$2:$A$9,0)),0),IFERROR(INDEX(Weekly_Model!$D$2:$D$9,MATCH(F58,Weekly_Model!$A$2:$A$9,0)),0),IFERROR(INDEX(Weekly_Model!$D$2:$D$9,MATCH(F59,Weekly_Model!$A$2:$A$9,0)),0),IFERROR(INDEX(Weekly_Model!$D$2:$D$9,MATCH(F60,Weekly_Model!$A$2:$A$9,0)),0)),IF(VLOOKUP($A57,Calendar!$A$1:$R$1377,18,0)=5,SUM(IFERROR(INDEX(Weekly_Model!$D$2:$D$9,MATCH(F57,Weekly_Model!$A$2:$A$9,0)),0),IFERROR(INDEX(Weekly_Model!$D$2:$D$9,MATCH(F58,Weekly_Model!$A$2:$A$9,0)),0),IFERROR(INDEX(Weekly_Model!$D$2:$D$9,MATCH(F59,Weekly_Model!$A$2:$A$9,0)),0),IFERROR(INDEX(Weekly_Model!$D$2:$D$9,MATCH(F60,Weekly_Model!$A$2:$A$9,0)),0),IFERROR(INDEX(Weekly_Model!$D$2:$D$9,MATCH(F61,Weekly_Model!$A$2:$A$9,0)),0)),0))))))</f>
        <v>2.3200000000000002E-2</v>
      </c>
      <c r="L57" s="27">
        <f>IF(VLOOKUP($A57,Calendar!$A$1:$R$1377,18,0)=0,0,IF(VLOOKUP($A57,Calendar!$A$1:$R$1377,18,0)=1,IFERROR(INDEX(Fortnightly_Model!$D$2:$D$15,MATCH(G57,Fortnightly_Model!$B$2:$B$15,0)),0),IF(VLOOKUP($A57,Calendar!$A$1:$R$1377,18,0)=2,SUM(IFERROR(INDEX(Fortnightly_Model!$D$2:$D$15,MATCH(G57,Fortnightly_Model!$B$2:$B$15,0)),0),IFERROR(INDEX(Fortnightly_Model!$D$2:$D$15,MATCH(G58,Fortnightly_Model!$B$2:$B$15,0)),0)),IF(VLOOKUP($A57,Calendar!$A$1:$R$1377,18,0)=3,SUM(IFERROR(INDEX(Fortnightly_Model!$D$2:$D$15,MATCH(G57,Fortnightly_Model!$B$2:$B$15,0)),0),IFERROR(INDEX(Fortnightly_Model!$D$2:$D$15,MATCH(G58,Fortnightly_Model!$B$2:$B$15,0)),0),IFERROR(INDEX(Fortnightly_Model!$D$2:$D$15,MATCH(G59,Fortnightly_Model!$B$2:$B$15,0)),0)),IF(VLOOKUP($A57,Calendar!$A$1:$R$1377,18,0)=4,SUM(IFERROR(INDEX(Fortnightly_Model!$D$2:$D$15,MATCH(G57,Fortnightly_Model!$B$2:$B$15,0)),0),IFERROR(INDEX(Fortnightly_Model!$D$2:$D$15,MATCH(G58,Fortnightly_Model!$B$2:$B$15,0)),0),IFERROR(INDEX(Fortnightly_Model!$D$2:$D$15,MATCH(G59,Fortnightly_Model!$B$2:$B$15,0)),0),IFERROR(INDEX(Fortnightly_Model!$D$2:$D$15,MATCH(G60,Fortnightly_Model!$B$2:$B$15,0)),0)),IF(VLOOKUP($A57,Calendar!$A$1:$R$1377,18,0)=5,SUM(IFERROR(INDEX(Fortnightly_Model!$D$2:$D$15,MATCH(G57,Fortnightly_Model!$B$2:$B$15,0)),0),IFERROR(INDEX(Fortnightly_Model!$D$2:$D$15,MATCH(G58,Fortnightly_Model!$B$2:$B$15,0)),0),IFERROR(INDEX(Fortnightly_Model!$D$2:$D$15,MATCH(G59,Fortnightly_Model!$B$2:$B$15,0)),0),IFERROR(INDEX(Fortnightly_Model!$D$2:$D$15,MATCH(G60,Fortnightly_Model!$B$2:$B$15,0)),0),IFERROR(INDEX(Fortnightly_Model!$D$2:$D$15,MATCH(G61,Fortnightly_Model!$B$2:$B$15,0)),0)),0))))))</f>
        <v>3.2142856499999999E-3</v>
      </c>
      <c r="M57" s="27">
        <f>IF(VLOOKUP($A57,Calendar!$A$1:$R$1377,18,0)=0,0,IF(VLOOKUP($A57,Calendar!$A$1:$R$1377,18,0)=1,IFERROR(INDEX(FourWeekly_Model!$D$2:$D$29,MATCH(H57,FourWeekly_Model!$B$2:$B$29,0)),0),IF(VLOOKUP($A57,Calendar!$A$1:$R$1377,18,0)=2,SUM(IFERROR(INDEX(FourWeekly_Model!$D$2:$D$29,MATCH(H57,FourWeekly_Model!$B$2:$B$29,0)),0),IFERROR(INDEX(FourWeekly_Model!$D$2:$D$29,MATCH(H58,FourWeekly_Model!$B$2:$B$29,0)),0)),IF(VLOOKUP($A57,Calendar!$A$1:$R$1377,18,0)=3,SUM(IFERROR(INDEX(FourWeekly_Model!$D$2:$D$29,MATCH(H57,FourWeekly_Model!$B$2:$B$29,0)),0),IFERROR(INDEX(FourWeekly_Model!$D$2:$D$29,MATCH(H58,FourWeekly_Model!$B$2:$B$29,0)),0),IFERROR(INDEX(FourWeekly_Model!$D$2:$D$29,MATCH(H59,FourWeekly_Model!$B$2:$B$29,0)),0)),IF(VLOOKUP($A57,Calendar!$A$1:$R$1377,18,0)=4,SUM(IFERROR(INDEX(FourWeekly_Model!$D$2:$D$29,MATCH(H57,FourWeekly_Model!$B$2:$B$29,0)),0),IFERROR(INDEX(FourWeekly_Model!$D$2:$D$29,MATCH(H58,FourWeekly_Model!$B$2:$B$29,0)),0),IFERROR(INDEX(FourWeekly_Model!$D$2:$D$29,MATCH(H59,FourWeekly_Model!$B$2:$B$29,0)),0),IFERROR(INDEX(FourWeekly_Model!$D$2:$D$29,MATCH(H60,FourWeekly_Model!$B$2:$B$29,0)),0)),IF(VLOOKUP($A57,Calendar!$A$1:$R$1377,18,0)=5,SUM(IFERROR(INDEX(FourWeekly_Model!$D$2:$D$29,MATCH(H57,FourWeekly_Model!$B$2:$B$29,0)),0),IFERROR(INDEX(FourWeekly_Model!$D$2:$D$29,MATCH(H58,FourWeekly_Model!$B$2:$B$29,0)),0),IFERROR(INDEX(FourWeekly_Model!$D$2:$D$29,MATCH(H59,FourWeekly_Model!$B$2:$B$29,0)),0),IFERROR(INDEX(FourWeekly_Model!$D$2:$D$29,MATCH(H60,FourWeekly_Model!$B$2:$B$29,0)),0),IFERROR(INDEX(FourWeekly_Model!$D$2:$D$29,MATCH(H61,FourWeekly_Model!$B$2:$B$29,0)),0)),0))))))</f>
        <v>9.9642859800000011E-3</v>
      </c>
      <c r="N57" s="27">
        <f>SUM(I57:M57)</f>
        <v>0.23301940932633508</v>
      </c>
      <c r="O57" s="28">
        <f>Population_Data!$B$8*N57</f>
        <v>7060488.1025879532</v>
      </c>
      <c r="P57" s="27">
        <f>IF(VLOOKUP($A57,Calendar!$A$1:$R$1377,18,0)=0,0,IF(VLOOKUP($A57,Calendar!$A$1:$R$1377,18,0)=1,IFERROR(INDEX(Pension_Model!$D$2:$D$29,MATCH(H57,Pension_Model!$B$2:$B$29,0)),0),IF(VLOOKUP($A57,Calendar!$A$1:$R$1377,18,0)=2,SUM(IFERROR(INDEX(Pension_Model!$D$2:$D$29,MATCH(H57,Pension_Model!$B$2:$B$29,0)),0),IFERROR(INDEX(Pension_Model!$D$2:$D$29,MATCH(H58,Pension_Model!$B$2:$B$29,0)),0)),IF(VLOOKUP($A57,Calendar!$A$1:$R$1377,18,0)=3,SUM(IFERROR(INDEX(Pension_Model!$D$2:$D$29,MATCH(H57,Pension_Model!$B$2:$B$29,0)),0),IFERROR(INDEX(Pension_Model!$D$2:$D$29,MATCH(H58,Pension_Model!$B$2:$B$29,0)),0),IFERROR(INDEX(Pension_Model!$D$2:$D$29,MATCH(H59,Pension_Model!$B$2:$B$29,0)),0)),IF(VLOOKUP($A57,Calendar!$A$1:$R$1377,18,0)=4,SUM(IFERROR(INDEX(Pension_Model!$D$2:$D$29,MATCH(H57,Pension_Model!$B$2:$B$29,0)),0),IFERROR(INDEX(Pension_Model!$D$2:$D$29,MATCH(H58,Pension_Model!$B$2:$B$29,0)),0),IFERROR(INDEX(Pension_Model!$D$2:$D$29,MATCH(H59,Pension_Model!$B$2:$B$29,0)),0),IFERROR(INDEX(Pension_Model!$D$2:$D$29,MATCH(H60,Pension_Model!$B$2:$B$29,0)),0)),IF(VLOOKUP($A57,Calendar!$A$1:$R$1377,18,0)=5,SUM(IFERROR(INDEX(Pension_Model!$D$2:$D$29,MATCH(H57,Pension_Model!$B$2:$B$29,0)),0),IFERROR(INDEX(Pension_Model!$D$2:$D$29,MATCH(H58,Pension_Model!$B$2:$B$29,0)),0),IFERROR(INDEX(Pension_Model!$D$2:$D$29,MATCH(H59,Pension_Model!$B$2:$B$29,0)),0),IFERROR(INDEX(Pension_Model!$D$2:$D$29,MATCH(H60,Pension_Model!$B$2:$B$29,0)),0),IFERROR(INDEX(Pension_Model!$D$2:$D$29,MATCH(H61,Pension_Model!$B$2:$B$29,0)),0)),0))))))</f>
        <v>0.05</v>
      </c>
      <c r="Q57" s="28">
        <f>Population_Data!$B$15*P57</f>
        <v>660600</v>
      </c>
      <c r="S57">
        <f t="shared" si="0"/>
        <v>7721088.1025879532</v>
      </c>
      <c r="U57" s="33">
        <f>S57/Population_Data!$B$19</f>
        <v>0.13987478446717305</v>
      </c>
    </row>
    <row r="58" spans="1:21">
      <c r="A58" s="25">
        <f>Calendar!A58</f>
        <v>46291</v>
      </c>
      <c r="B58" t="str">
        <f>Calendar!L58</f>
        <v>No</v>
      </c>
      <c r="C58" t="str">
        <f>Calendar!O58</f>
        <v>No</v>
      </c>
      <c r="D58" t="str">
        <f>Calendar!P58</f>
        <v>No</v>
      </c>
      <c r="E58" t="str">
        <f>Calendar!Q58</f>
        <v>No</v>
      </c>
      <c r="F58" t="str">
        <f>Calendar!I58</f>
        <v>Saturday</v>
      </c>
      <c r="G58">
        <f>Calendar!S58</f>
        <v>7</v>
      </c>
      <c r="H58">
        <f>Calendar!T58</f>
        <v>7</v>
      </c>
      <c r="I58" s="27">
        <f>IF(VLOOKUP(A58,Calendar!$A$1:$R$1377,18,0)=0,0,IF(VLOOKUP(A58,Calendar!$A$1:$R$1377,18,0)=1,INDEX(Monthly_Pay_Model!$A$9:$D$40,MATCH(TEXT(A58,"dd"),Monthly_Pay_Model!$C$9:$C$39,0),4),IF(VLOOKUP(A58,Calendar!$A$1:$R$1377,18,0)=2,SUM(INDEX(Monthly_Pay_Model!$A$9:$D$40,MATCH(TEXT(A58,"dd"),Monthly_Pay_Model!$C$9:$C$39,0),4),INDEX(Monthly_Pay_Model!$A$9:$D$40,MATCH(TEXT(A59,"dd"),Monthly_Pay_Model!$C$9:$C$39,0),4)),IF(VLOOKUP(A58,Calendar!$A$1:$R$1377,18,0)=3,SUM(INDEX(Monthly_Pay_Model!$A$9:$D$40,MATCH(TEXT(A58,"dd"),Monthly_Pay_Model!$C$9:$C$39,0),4),INDEX(Monthly_Pay_Model!$A$9:$D$40,MATCH(TEXT(A59,"dd"),Monthly_Pay_Model!$C$9:$C$39,0),4),INDEX(Monthly_Pay_Model!$A$9:$D$40,MATCH(TEXT(A60,"dd"),Monthly_Pay_Model!$C$9:$C$39,0),4)),IF(VLOOKUP(A58,Calendar!$A$1:$R$1377,18,0)=4,SUM(INDEX(Monthly_Pay_Model!$A$9:$D$40,MATCH(TEXT(A58,"dd"),Monthly_Pay_Model!$C$9:$C$39,0),4),INDEX(Monthly_Pay_Model!$A$9:$D$40,MATCH(TEXT(A59,"dd"),Monthly_Pay_Model!$C$9:$C$39,0),4),INDEX(Monthly_Pay_Model!$A$9:$D$40,MATCH(TEXT(A60,"dd"),Monthly_Pay_Model!$C$9:$C$39,0),4),INDEX(Monthly_Pay_Model!$A$9:$D$40,MATCH(TEXT(A61,"dd"),Monthly_Pay_Model!$C$9:$C$39,0),4)),IF(VLOOKUP(A58,Calendar!$A$1:$R$1377,18,0)=5,SUM(INDEX(Monthly_Pay_Model!$A$9:$D$40,MATCH(TEXT(A58,"dd"),Monthly_Pay_Model!$C$9:$C$39,0),4),INDEX(Monthly_Pay_Model!$A$9:$D$40,MATCH(TEXT(A59,"dd"),Monthly_Pay_Model!$C$9:$C$39,0),4),INDEX(Monthly_Pay_Model!$A$9:$D$40,MATCH(TEXT(A60,"dd"),Monthly_Pay_Model!$C$9:$C$39,0),4),INDEX(Monthly_Pay_Model!$A$9:$D$40,MATCH(TEXT(A61,"dd"),Monthly_Pay_Model!$C$9:$C$39,0),4),INDEX(Monthly_Pay_Model!$A$9:$D$40,MATCH(TEXT(A62,"dd"),Monthly_Pay_Model!$C$9:$C$39,0),4)),))))))</f>
        <v>0</v>
      </c>
      <c r="J58" s="33">
        <f>IF(C58="Yes",Monthly_Pay_Model!$D$2,0)
+IF(Calendar!N58="Yes",Monthly_Pay_Model!$D$3,0)
+IF(D58="Yes",Monthly_Pay_Model!$D$4,0)
+IF(E58="Yes",Monthly_Pay_Model!$D$5,0)</f>
        <v>0</v>
      </c>
      <c r="K58" s="27">
        <f>IF(VLOOKUP($A58,Calendar!$A$1:$R$1377,18,0)=0,0,IF(VLOOKUP($A58,Calendar!$A$1:$R$1377,18,0)=1,IFERROR(INDEX(Weekly_Model!$D$2:$D$9,MATCH(F58,Weekly_Model!$A$2:$A$9,0)),0),IF(VLOOKUP($A58,Calendar!$A$1:$R$1377,18,0)=2,SUM(IFERROR(INDEX(Weekly_Model!$D$2:$D$9,MATCH(F58,Weekly_Model!$A$2:$A$9,0)),0),IFERROR(INDEX(Weekly_Model!$D$2:$D$9,MATCH(F59,Weekly_Model!$A$2:$A$9,0)),0)),IF(VLOOKUP($A58,Calendar!$A$1:$R$1377,18,0)=3,SUM(IFERROR(INDEX(Weekly_Model!$D$2:$D$9,MATCH(F58,Weekly_Model!$A$2:$A$9,0)),0),IFERROR(INDEX(Weekly_Model!$D$2:$D$9,MATCH(F59,Weekly_Model!$A$2:$A$9,0)),0),IFERROR(INDEX(Weekly_Model!$D$2:$D$9,MATCH(F60,Weekly_Model!$A$2:$A$9,0)),0)),IF(VLOOKUP($A58,Calendar!$A$1:$R$1377,18,0)=4,SUM(IFERROR(INDEX(Weekly_Model!$D$2:$D$9,MATCH(F58,Weekly_Model!$A$2:$A$9,0)),0),IFERROR(INDEX(Weekly_Model!$D$2:$D$9,MATCH(F59,Weekly_Model!$A$2:$A$9,0)),0),IFERROR(INDEX(Weekly_Model!$D$2:$D$9,MATCH(F60,Weekly_Model!$A$2:$A$9,0)),0),IFERROR(INDEX(Weekly_Model!$D$2:$D$9,MATCH(F61,Weekly_Model!$A$2:$A$9,0)),0)),IF(VLOOKUP($A58,Calendar!$A$1:$R$1377,18,0)=5,SUM(IFERROR(INDEX(Weekly_Model!$D$2:$D$9,MATCH(F58,Weekly_Model!$A$2:$A$9,0)),0),IFERROR(INDEX(Weekly_Model!$D$2:$D$9,MATCH(F59,Weekly_Model!$A$2:$A$9,0)),0),IFERROR(INDEX(Weekly_Model!$D$2:$D$9,MATCH(F60,Weekly_Model!$A$2:$A$9,0)),0),IFERROR(INDEX(Weekly_Model!$D$2:$D$9,MATCH(F61,Weekly_Model!$A$2:$A$9,0)),0),IFERROR(INDEX(Weekly_Model!$D$2:$D$9,MATCH(F62,Weekly_Model!$A$2:$A$9,0)),0)),0))))))</f>
        <v>0</v>
      </c>
      <c r="L58" s="27">
        <f>IF(VLOOKUP($A58,Calendar!$A$1:$R$1377,18,0)=0,0,IF(VLOOKUP($A58,Calendar!$A$1:$R$1377,18,0)=1,IFERROR(INDEX(Fortnightly_Model!$D$2:$D$15,MATCH(G58,Fortnightly_Model!$B$2:$B$15,0)),0),IF(VLOOKUP($A58,Calendar!$A$1:$R$1377,18,0)=2,SUM(IFERROR(INDEX(Fortnightly_Model!$D$2:$D$15,MATCH(G58,Fortnightly_Model!$B$2:$B$15,0)),0),IFERROR(INDEX(Fortnightly_Model!$D$2:$D$15,MATCH(G59,Fortnightly_Model!$B$2:$B$15,0)),0)),IF(VLOOKUP($A58,Calendar!$A$1:$R$1377,18,0)=3,SUM(IFERROR(INDEX(Fortnightly_Model!$D$2:$D$15,MATCH(G58,Fortnightly_Model!$B$2:$B$15,0)),0),IFERROR(INDEX(Fortnightly_Model!$D$2:$D$15,MATCH(G59,Fortnightly_Model!$B$2:$B$15,0)),0),IFERROR(INDEX(Fortnightly_Model!$D$2:$D$15,MATCH(G60,Fortnightly_Model!$B$2:$B$15,0)),0)),IF(VLOOKUP($A58,Calendar!$A$1:$R$1377,18,0)=4,SUM(IFERROR(INDEX(Fortnightly_Model!$D$2:$D$15,MATCH(G58,Fortnightly_Model!$B$2:$B$15,0)),0),IFERROR(INDEX(Fortnightly_Model!$D$2:$D$15,MATCH(G59,Fortnightly_Model!$B$2:$B$15,0)),0),IFERROR(INDEX(Fortnightly_Model!$D$2:$D$15,MATCH(G60,Fortnightly_Model!$B$2:$B$15,0)),0),IFERROR(INDEX(Fortnightly_Model!$D$2:$D$15,MATCH(G61,Fortnightly_Model!$B$2:$B$15,0)),0)),IF(VLOOKUP($A58,Calendar!$A$1:$R$1377,18,0)=5,SUM(IFERROR(INDEX(Fortnightly_Model!$D$2:$D$15,MATCH(G58,Fortnightly_Model!$B$2:$B$15,0)),0),IFERROR(INDEX(Fortnightly_Model!$D$2:$D$15,MATCH(G59,Fortnightly_Model!$B$2:$B$15,0)),0),IFERROR(INDEX(Fortnightly_Model!$D$2:$D$15,MATCH(G60,Fortnightly_Model!$B$2:$B$15,0)),0),IFERROR(INDEX(Fortnightly_Model!$D$2:$D$15,MATCH(G61,Fortnightly_Model!$B$2:$B$15,0)),0),IFERROR(INDEX(Fortnightly_Model!$D$2:$D$15,MATCH(G62,Fortnightly_Model!$B$2:$B$15,0)),0)),0))))))</f>
        <v>0</v>
      </c>
      <c r="M58" s="27">
        <f>IF(VLOOKUP($A58,Calendar!$A$1:$R$1377,18,0)=0,0,IF(VLOOKUP($A58,Calendar!$A$1:$R$1377,18,0)=1,IFERROR(INDEX(FourWeekly_Model!$D$2:$D$29,MATCH(H58,FourWeekly_Model!$B$2:$B$29,0)),0),IF(VLOOKUP($A58,Calendar!$A$1:$R$1377,18,0)=2,SUM(IFERROR(INDEX(FourWeekly_Model!$D$2:$D$29,MATCH(H58,FourWeekly_Model!$B$2:$B$29,0)),0),IFERROR(INDEX(FourWeekly_Model!$D$2:$D$29,MATCH(H59,FourWeekly_Model!$B$2:$B$29,0)),0)),IF(VLOOKUP($A58,Calendar!$A$1:$R$1377,18,0)=3,SUM(IFERROR(INDEX(FourWeekly_Model!$D$2:$D$29,MATCH(H58,FourWeekly_Model!$B$2:$B$29,0)),0),IFERROR(INDEX(FourWeekly_Model!$D$2:$D$29,MATCH(H59,FourWeekly_Model!$B$2:$B$29,0)),0),IFERROR(INDEX(FourWeekly_Model!$D$2:$D$29,MATCH(H60,FourWeekly_Model!$B$2:$B$29,0)),0)),IF(VLOOKUP($A58,Calendar!$A$1:$R$1377,18,0)=4,SUM(IFERROR(INDEX(FourWeekly_Model!$D$2:$D$29,MATCH(H58,FourWeekly_Model!$B$2:$B$29,0)),0),IFERROR(INDEX(FourWeekly_Model!$D$2:$D$29,MATCH(H59,FourWeekly_Model!$B$2:$B$29,0)),0),IFERROR(INDEX(FourWeekly_Model!$D$2:$D$29,MATCH(H60,FourWeekly_Model!$B$2:$B$29,0)),0),IFERROR(INDEX(FourWeekly_Model!$D$2:$D$29,MATCH(H61,FourWeekly_Model!$B$2:$B$29,0)),0)),IF(VLOOKUP($A58,Calendar!$A$1:$R$1377,18,0)=5,SUM(IFERROR(INDEX(FourWeekly_Model!$D$2:$D$29,MATCH(H58,FourWeekly_Model!$B$2:$B$29,0)),0),IFERROR(INDEX(FourWeekly_Model!$D$2:$D$29,MATCH(H59,FourWeekly_Model!$B$2:$B$29,0)),0),IFERROR(INDEX(FourWeekly_Model!$D$2:$D$29,MATCH(H60,FourWeekly_Model!$B$2:$B$29,0)),0),IFERROR(INDEX(FourWeekly_Model!$D$2:$D$29,MATCH(H61,FourWeekly_Model!$B$2:$B$29,0)),0),IFERROR(INDEX(FourWeekly_Model!$D$2:$D$29,MATCH(H62,FourWeekly_Model!$B$2:$B$29,0)),0)),0))))))</f>
        <v>0</v>
      </c>
      <c r="N58" s="27">
        <f>SUM(I58:M58)</f>
        <v>0</v>
      </c>
      <c r="O58" s="28">
        <f>Population_Data!$B$8*N58</f>
        <v>0</v>
      </c>
      <c r="P58" s="27">
        <f>IF(VLOOKUP($A58,Calendar!$A$1:$R$1377,18,0)=0,0,IF(VLOOKUP($A58,Calendar!$A$1:$R$1377,18,0)=1,IFERROR(INDEX(Pension_Model!$D$2:$D$29,MATCH(H58,Pension_Model!$B$2:$B$29,0)),0),IF(VLOOKUP($A58,Calendar!$A$1:$R$1377,18,0)=2,SUM(IFERROR(INDEX(Pension_Model!$D$2:$D$29,MATCH(H58,Pension_Model!$B$2:$B$29,0)),0),IFERROR(INDEX(Pension_Model!$D$2:$D$29,MATCH(H59,Pension_Model!$B$2:$B$29,0)),0)),IF(VLOOKUP($A58,Calendar!$A$1:$R$1377,18,0)=3,SUM(IFERROR(INDEX(Pension_Model!$D$2:$D$29,MATCH(H58,Pension_Model!$B$2:$B$29,0)),0),IFERROR(INDEX(Pension_Model!$D$2:$D$29,MATCH(H59,Pension_Model!$B$2:$B$29,0)),0),IFERROR(INDEX(Pension_Model!$D$2:$D$29,MATCH(H60,Pension_Model!$B$2:$B$29,0)),0)),IF(VLOOKUP($A58,Calendar!$A$1:$R$1377,18,0)=4,SUM(IFERROR(INDEX(Pension_Model!$D$2:$D$29,MATCH(H58,Pension_Model!$B$2:$B$29,0)),0),IFERROR(INDEX(Pension_Model!$D$2:$D$29,MATCH(H59,Pension_Model!$B$2:$B$29,0)),0),IFERROR(INDEX(Pension_Model!$D$2:$D$29,MATCH(H60,Pension_Model!$B$2:$B$29,0)),0),IFERROR(INDEX(Pension_Model!$D$2:$D$29,MATCH(H61,Pension_Model!$B$2:$B$29,0)),0)),IF(VLOOKUP($A58,Calendar!$A$1:$R$1377,18,0)=5,SUM(IFERROR(INDEX(Pension_Model!$D$2:$D$29,MATCH(H58,Pension_Model!$B$2:$B$29,0)),0),IFERROR(INDEX(Pension_Model!$D$2:$D$29,MATCH(H59,Pension_Model!$B$2:$B$29,0)),0),IFERROR(INDEX(Pension_Model!$D$2:$D$29,MATCH(H60,Pension_Model!$B$2:$B$29,0)),0),IFERROR(INDEX(Pension_Model!$D$2:$D$29,MATCH(H61,Pension_Model!$B$2:$B$29,0)),0),IFERROR(INDEX(Pension_Model!$D$2:$D$29,MATCH(H62,Pension_Model!$B$2:$B$29,0)),0)),0))))))</f>
        <v>0</v>
      </c>
      <c r="Q58" s="28">
        <f>Population_Data!$B$15*P58</f>
        <v>0</v>
      </c>
      <c r="S58">
        <f t="shared" si="0"/>
        <v>0</v>
      </c>
      <c r="U58" s="33">
        <f>S58/Population_Data!$B$19</f>
        <v>0</v>
      </c>
    </row>
    <row r="59" spans="1:21">
      <c r="A59" s="25">
        <f>Calendar!A59</f>
        <v>46292</v>
      </c>
      <c r="B59" t="str">
        <f>Calendar!L59</f>
        <v>No</v>
      </c>
      <c r="C59" t="str">
        <f>Calendar!O59</f>
        <v>No</v>
      </c>
      <c r="D59" t="str">
        <f>Calendar!P59</f>
        <v>No</v>
      </c>
      <c r="E59" t="str">
        <f>Calendar!Q59</f>
        <v>No</v>
      </c>
      <c r="F59" t="str">
        <f>Calendar!I59</f>
        <v>Sunday</v>
      </c>
      <c r="G59">
        <f>Calendar!S59</f>
        <v>8</v>
      </c>
      <c r="H59">
        <f>Calendar!T59</f>
        <v>8</v>
      </c>
      <c r="I59" s="27">
        <f>IF(VLOOKUP(A59,Calendar!$A$1:$R$1377,18,0)=0,0,IF(VLOOKUP(A59,Calendar!$A$1:$R$1377,18,0)=1,INDEX(Monthly_Pay_Model!$A$9:$D$40,MATCH(TEXT(A59,"dd"),Monthly_Pay_Model!$C$9:$C$39,0),4),IF(VLOOKUP(A59,Calendar!$A$1:$R$1377,18,0)=2,SUM(INDEX(Monthly_Pay_Model!$A$9:$D$40,MATCH(TEXT(A59,"dd"),Monthly_Pay_Model!$C$9:$C$39,0),4),INDEX(Monthly_Pay_Model!$A$9:$D$40,MATCH(TEXT(A60,"dd"),Monthly_Pay_Model!$C$9:$C$39,0),4)),IF(VLOOKUP(A59,Calendar!$A$1:$R$1377,18,0)=3,SUM(INDEX(Monthly_Pay_Model!$A$9:$D$40,MATCH(TEXT(A59,"dd"),Monthly_Pay_Model!$C$9:$C$39,0),4),INDEX(Monthly_Pay_Model!$A$9:$D$40,MATCH(TEXT(A60,"dd"),Monthly_Pay_Model!$C$9:$C$39,0),4),INDEX(Monthly_Pay_Model!$A$9:$D$40,MATCH(TEXT(A61,"dd"),Monthly_Pay_Model!$C$9:$C$39,0),4)),IF(VLOOKUP(A59,Calendar!$A$1:$R$1377,18,0)=4,SUM(INDEX(Monthly_Pay_Model!$A$9:$D$40,MATCH(TEXT(A59,"dd"),Monthly_Pay_Model!$C$9:$C$39,0),4),INDEX(Monthly_Pay_Model!$A$9:$D$40,MATCH(TEXT(A60,"dd"),Monthly_Pay_Model!$C$9:$C$39,0),4),INDEX(Monthly_Pay_Model!$A$9:$D$40,MATCH(TEXT(A61,"dd"),Monthly_Pay_Model!$C$9:$C$39,0),4),INDEX(Monthly_Pay_Model!$A$9:$D$40,MATCH(TEXT(A62,"dd"),Monthly_Pay_Model!$C$9:$C$39,0),4)),IF(VLOOKUP(A59,Calendar!$A$1:$R$1377,18,0)=5,SUM(INDEX(Monthly_Pay_Model!$A$9:$D$40,MATCH(TEXT(A59,"dd"),Monthly_Pay_Model!$C$9:$C$39,0),4),INDEX(Monthly_Pay_Model!$A$9:$D$40,MATCH(TEXT(A60,"dd"),Monthly_Pay_Model!$C$9:$C$39,0),4),INDEX(Monthly_Pay_Model!$A$9:$D$40,MATCH(TEXT(A61,"dd"),Monthly_Pay_Model!$C$9:$C$39,0),4),INDEX(Monthly_Pay_Model!$A$9:$D$40,MATCH(TEXT(A62,"dd"),Monthly_Pay_Model!$C$9:$C$39,0),4),INDEX(Monthly_Pay_Model!$A$9:$D$40,MATCH(TEXT(A63,"dd"),Monthly_Pay_Model!$C$9:$C$39,0),4)),))))))</f>
        <v>0</v>
      </c>
      <c r="J59" s="33">
        <f>IF(C59="Yes",Monthly_Pay_Model!$D$2,0)
+IF(Calendar!N59="Yes",Monthly_Pay_Model!$D$3,0)
+IF(D59="Yes",Monthly_Pay_Model!$D$4,0)
+IF(E59="Yes",Monthly_Pay_Model!$D$5,0)</f>
        <v>0</v>
      </c>
      <c r="K59" s="27">
        <f>IF(VLOOKUP($A59,Calendar!$A$1:$R$1377,18,0)=0,0,IF(VLOOKUP($A59,Calendar!$A$1:$R$1377,18,0)=1,IFERROR(INDEX(Weekly_Model!$D$2:$D$9,MATCH(F59,Weekly_Model!$A$2:$A$9,0)),0),IF(VLOOKUP($A59,Calendar!$A$1:$R$1377,18,0)=2,SUM(IFERROR(INDEX(Weekly_Model!$D$2:$D$9,MATCH(F59,Weekly_Model!$A$2:$A$9,0)),0),IFERROR(INDEX(Weekly_Model!$D$2:$D$9,MATCH(F60,Weekly_Model!$A$2:$A$9,0)),0)),IF(VLOOKUP($A59,Calendar!$A$1:$R$1377,18,0)=3,SUM(IFERROR(INDEX(Weekly_Model!$D$2:$D$9,MATCH(F59,Weekly_Model!$A$2:$A$9,0)),0),IFERROR(INDEX(Weekly_Model!$D$2:$D$9,MATCH(F60,Weekly_Model!$A$2:$A$9,0)),0),IFERROR(INDEX(Weekly_Model!$D$2:$D$9,MATCH(F61,Weekly_Model!$A$2:$A$9,0)),0)),IF(VLOOKUP($A59,Calendar!$A$1:$R$1377,18,0)=4,SUM(IFERROR(INDEX(Weekly_Model!$D$2:$D$9,MATCH(F59,Weekly_Model!$A$2:$A$9,0)),0),IFERROR(INDEX(Weekly_Model!$D$2:$D$9,MATCH(F60,Weekly_Model!$A$2:$A$9,0)),0),IFERROR(INDEX(Weekly_Model!$D$2:$D$9,MATCH(F61,Weekly_Model!$A$2:$A$9,0)),0),IFERROR(INDEX(Weekly_Model!$D$2:$D$9,MATCH(F62,Weekly_Model!$A$2:$A$9,0)),0)),IF(VLOOKUP($A59,Calendar!$A$1:$R$1377,18,0)=5,SUM(IFERROR(INDEX(Weekly_Model!$D$2:$D$9,MATCH(F59,Weekly_Model!$A$2:$A$9,0)),0),IFERROR(INDEX(Weekly_Model!$D$2:$D$9,MATCH(F60,Weekly_Model!$A$2:$A$9,0)),0),IFERROR(INDEX(Weekly_Model!$D$2:$D$9,MATCH(F61,Weekly_Model!$A$2:$A$9,0)),0),IFERROR(INDEX(Weekly_Model!$D$2:$D$9,MATCH(F62,Weekly_Model!$A$2:$A$9,0)),0),IFERROR(INDEX(Weekly_Model!$D$2:$D$9,MATCH(F63,Weekly_Model!$A$2:$A$9,0)),0)),0))))))</f>
        <v>0</v>
      </c>
      <c r="L59" s="27">
        <f>IF(VLOOKUP($A59,Calendar!$A$1:$R$1377,18,0)=0,0,IF(VLOOKUP($A59,Calendar!$A$1:$R$1377,18,0)=1,IFERROR(INDEX(Fortnightly_Model!$D$2:$D$15,MATCH(G59,Fortnightly_Model!$B$2:$B$15,0)),0),IF(VLOOKUP($A59,Calendar!$A$1:$R$1377,18,0)=2,SUM(IFERROR(INDEX(Fortnightly_Model!$D$2:$D$15,MATCH(G59,Fortnightly_Model!$B$2:$B$15,0)),0),IFERROR(INDEX(Fortnightly_Model!$D$2:$D$15,MATCH(G60,Fortnightly_Model!$B$2:$B$15,0)),0)),IF(VLOOKUP($A59,Calendar!$A$1:$R$1377,18,0)=3,SUM(IFERROR(INDEX(Fortnightly_Model!$D$2:$D$15,MATCH(G59,Fortnightly_Model!$B$2:$B$15,0)),0),IFERROR(INDEX(Fortnightly_Model!$D$2:$D$15,MATCH(G60,Fortnightly_Model!$B$2:$B$15,0)),0),IFERROR(INDEX(Fortnightly_Model!$D$2:$D$15,MATCH(G61,Fortnightly_Model!$B$2:$B$15,0)),0)),IF(VLOOKUP($A59,Calendar!$A$1:$R$1377,18,0)=4,SUM(IFERROR(INDEX(Fortnightly_Model!$D$2:$D$15,MATCH(G59,Fortnightly_Model!$B$2:$B$15,0)),0),IFERROR(INDEX(Fortnightly_Model!$D$2:$D$15,MATCH(G60,Fortnightly_Model!$B$2:$B$15,0)),0),IFERROR(INDEX(Fortnightly_Model!$D$2:$D$15,MATCH(G61,Fortnightly_Model!$B$2:$B$15,0)),0),IFERROR(INDEX(Fortnightly_Model!$D$2:$D$15,MATCH(G62,Fortnightly_Model!$B$2:$B$15,0)),0)),IF(VLOOKUP($A59,Calendar!$A$1:$R$1377,18,0)=5,SUM(IFERROR(INDEX(Fortnightly_Model!$D$2:$D$15,MATCH(G59,Fortnightly_Model!$B$2:$B$15,0)),0),IFERROR(INDEX(Fortnightly_Model!$D$2:$D$15,MATCH(G60,Fortnightly_Model!$B$2:$B$15,0)),0),IFERROR(INDEX(Fortnightly_Model!$D$2:$D$15,MATCH(G61,Fortnightly_Model!$B$2:$B$15,0)),0),IFERROR(INDEX(Fortnightly_Model!$D$2:$D$15,MATCH(G62,Fortnightly_Model!$B$2:$B$15,0)),0),IFERROR(INDEX(Fortnightly_Model!$D$2:$D$15,MATCH(G63,Fortnightly_Model!$B$2:$B$15,0)),0)),0))))))</f>
        <v>0</v>
      </c>
      <c r="M59" s="27">
        <f>IF(VLOOKUP($A59,Calendar!$A$1:$R$1377,18,0)=0,0,IF(VLOOKUP($A59,Calendar!$A$1:$R$1377,18,0)=1,IFERROR(INDEX(FourWeekly_Model!$D$2:$D$29,MATCH(H59,FourWeekly_Model!$B$2:$B$29,0)),0),IF(VLOOKUP($A59,Calendar!$A$1:$R$1377,18,0)=2,SUM(IFERROR(INDEX(FourWeekly_Model!$D$2:$D$29,MATCH(H59,FourWeekly_Model!$B$2:$B$29,0)),0),IFERROR(INDEX(FourWeekly_Model!$D$2:$D$29,MATCH(H60,FourWeekly_Model!$B$2:$B$29,0)),0)),IF(VLOOKUP($A59,Calendar!$A$1:$R$1377,18,0)=3,SUM(IFERROR(INDEX(FourWeekly_Model!$D$2:$D$29,MATCH(H59,FourWeekly_Model!$B$2:$B$29,0)),0),IFERROR(INDEX(FourWeekly_Model!$D$2:$D$29,MATCH(H60,FourWeekly_Model!$B$2:$B$29,0)),0),IFERROR(INDEX(FourWeekly_Model!$D$2:$D$29,MATCH(H61,FourWeekly_Model!$B$2:$B$29,0)),0)),IF(VLOOKUP($A59,Calendar!$A$1:$R$1377,18,0)=4,SUM(IFERROR(INDEX(FourWeekly_Model!$D$2:$D$29,MATCH(H59,FourWeekly_Model!$B$2:$B$29,0)),0),IFERROR(INDEX(FourWeekly_Model!$D$2:$D$29,MATCH(H60,FourWeekly_Model!$B$2:$B$29,0)),0),IFERROR(INDEX(FourWeekly_Model!$D$2:$D$29,MATCH(H61,FourWeekly_Model!$B$2:$B$29,0)),0),IFERROR(INDEX(FourWeekly_Model!$D$2:$D$29,MATCH(H62,FourWeekly_Model!$B$2:$B$29,0)),0)),IF(VLOOKUP($A59,Calendar!$A$1:$R$1377,18,0)=5,SUM(IFERROR(INDEX(FourWeekly_Model!$D$2:$D$29,MATCH(H59,FourWeekly_Model!$B$2:$B$29,0)),0),IFERROR(INDEX(FourWeekly_Model!$D$2:$D$29,MATCH(H60,FourWeekly_Model!$B$2:$B$29,0)),0),IFERROR(INDEX(FourWeekly_Model!$D$2:$D$29,MATCH(H61,FourWeekly_Model!$B$2:$B$29,0)),0),IFERROR(INDEX(FourWeekly_Model!$D$2:$D$29,MATCH(H62,FourWeekly_Model!$B$2:$B$29,0)),0),IFERROR(INDEX(FourWeekly_Model!$D$2:$D$29,MATCH(H63,FourWeekly_Model!$B$2:$B$29,0)),0)),0))))))</f>
        <v>0</v>
      </c>
      <c r="N59" s="27">
        <f>SUM(I59:M59)</f>
        <v>0</v>
      </c>
      <c r="O59" s="28">
        <f>Population_Data!$B$8*N59</f>
        <v>0</v>
      </c>
      <c r="P59" s="27">
        <f>IF(VLOOKUP($A59,Calendar!$A$1:$R$1377,18,0)=0,0,IF(VLOOKUP($A59,Calendar!$A$1:$R$1377,18,0)=1,IFERROR(INDEX(Pension_Model!$D$2:$D$29,MATCH(H59,Pension_Model!$B$2:$B$29,0)),0),IF(VLOOKUP($A59,Calendar!$A$1:$R$1377,18,0)=2,SUM(IFERROR(INDEX(Pension_Model!$D$2:$D$29,MATCH(H59,Pension_Model!$B$2:$B$29,0)),0),IFERROR(INDEX(Pension_Model!$D$2:$D$29,MATCH(H60,Pension_Model!$B$2:$B$29,0)),0)),IF(VLOOKUP($A59,Calendar!$A$1:$R$1377,18,0)=3,SUM(IFERROR(INDEX(Pension_Model!$D$2:$D$29,MATCH(H59,Pension_Model!$B$2:$B$29,0)),0),IFERROR(INDEX(Pension_Model!$D$2:$D$29,MATCH(H60,Pension_Model!$B$2:$B$29,0)),0),IFERROR(INDEX(Pension_Model!$D$2:$D$29,MATCH(H61,Pension_Model!$B$2:$B$29,0)),0)),IF(VLOOKUP($A59,Calendar!$A$1:$R$1377,18,0)=4,SUM(IFERROR(INDEX(Pension_Model!$D$2:$D$29,MATCH(H59,Pension_Model!$B$2:$B$29,0)),0),IFERROR(INDEX(Pension_Model!$D$2:$D$29,MATCH(H60,Pension_Model!$B$2:$B$29,0)),0),IFERROR(INDEX(Pension_Model!$D$2:$D$29,MATCH(H61,Pension_Model!$B$2:$B$29,0)),0),IFERROR(INDEX(Pension_Model!$D$2:$D$29,MATCH(H62,Pension_Model!$B$2:$B$29,0)),0)),IF(VLOOKUP($A59,Calendar!$A$1:$R$1377,18,0)=5,SUM(IFERROR(INDEX(Pension_Model!$D$2:$D$29,MATCH(H59,Pension_Model!$B$2:$B$29,0)),0),IFERROR(INDEX(Pension_Model!$D$2:$D$29,MATCH(H60,Pension_Model!$B$2:$B$29,0)),0),IFERROR(INDEX(Pension_Model!$D$2:$D$29,MATCH(H61,Pension_Model!$B$2:$B$29,0)),0),IFERROR(INDEX(Pension_Model!$D$2:$D$29,MATCH(H62,Pension_Model!$B$2:$B$29,0)),0),IFERROR(INDEX(Pension_Model!$D$2:$D$29,MATCH(H63,Pension_Model!$B$2:$B$29,0)),0)),0))))))</f>
        <v>0</v>
      </c>
      <c r="Q59" s="28">
        <f>Population_Data!$B$15*P59</f>
        <v>0</v>
      </c>
      <c r="S59">
        <f t="shared" si="0"/>
        <v>0</v>
      </c>
      <c r="U59" s="33">
        <f>S59/Population_Data!$B$19</f>
        <v>0</v>
      </c>
    </row>
    <row r="60" spans="1:21">
      <c r="A60" s="25">
        <f>Calendar!A60</f>
        <v>46293</v>
      </c>
      <c r="B60" t="str">
        <f>Calendar!L60</f>
        <v>Yes</v>
      </c>
      <c r="C60" t="str">
        <f>Calendar!O60</f>
        <v>No</v>
      </c>
      <c r="D60" t="str">
        <f>Calendar!P60</f>
        <v>No</v>
      </c>
      <c r="E60" t="str">
        <f>Calendar!Q60</f>
        <v>No</v>
      </c>
      <c r="F60" t="str">
        <f>Calendar!I60</f>
        <v>Monday</v>
      </c>
      <c r="G60">
        <f>Calendar!S60</f>
        <v>9</v>
      </c>
      <c r="H60">
        <f>Calendar!T60</f>
        <v>9</v>
      </c>
      <c r="I60" s="27">
        <f>IF(VLOOKUP(A60,Calendar!$A$1:$R$1377,18,0)=0,0,IF(VLOOKUP(A60,Calendar!$A$1:$R$1377,18,0)=1,INDEX(Monthly_Pay_Model!$A$9:$D$40,MATCH(TEXT(A60,"dd"),Monthly_Pay_Model!$C$9:$C$39,0),4),IF(VLOOKUP(A60,Calendar!$A$1:$R$1377,18,0)=2,SUM(INDEX(Monthly_Pay_Model!$A$9:$D$40,MATCH(TEXT(A60,"dd"),Monthly_Pay_Model!$C$9:$C$39,0),4),INDEX(Monthly_Pay_Model!$A$9:$D$40,MATCH(TEXT(A61,"dd"),Monthly_Pay_Model!$C$9:$C$39,0),4)),IF(VLOOKUP(A60,Calendar!$A$1:$R$1377,18,0)=3,SUM(INDEX(Monthly_Pay_Model!$A$9:$D$40,MATCH(TEXT(A60,"dd"),Monthly_Pay_Model!$C$9:$C$39,0),4),INDEX(Monthly_Pay_Model!$A$9:$D$40,MATCH(TEXT(A61,"dd"),Monthly_Pay_Model!$C$9:$C$39,0),4),INDEX(Monthly_Pay_Model!$A$9:$D$40,MATCH(TEXT(A62,"dd"),Monthly_Pay_Model!$C$9:$C$39,0),4)),IF(VLOOKUP(A60,Calendar!$A$1:$R$1377,18,0)=4,SUM(INDEX(Monthly_Pay_Model!$A$9:$D$40,MATCH(TEXT(A60,"dd"),Monthly_Pay_Model!$C$9:$C$39,0),4),INDEX(Monthly_Pay_Model!$A$9:$D$40,MATCH(TEXT(A61,"dd"),Monthly_Pay_Model!$C$9:$C$39,0),4),INDEX(Monthly_Pay_Model!$A$9:$D$40,MATCH(TEXT(A62,"dd"),Monthly_Pay_Model!$C$9:$C$39,0),4),INDEX(Monthly_Pay_Model!$A$9:$D$40,MATCH(TEXT(A63,"dd"),Monthly_Pay_Model!$C$9:$C$39,0),4)),IF(VLOOKUP(A60,Calendar!$A$1:$R$1377,18,0)=5,SUM(INDEX(Monthly_Pay_Model!$A$9:$D$40,MATCH(TEXT(A60,"dd"),Monthly_Pay_Model!$C$9:$C$39,0),4),INDEX(Monthly_Pay_Model!$A$9:$D$40,MATCH(TEXT(A61,"dd"),Monthly_Pay_Model!$C$9:$C$39,0),4),INDEX(Monthly_Pay_Model!$A$9:$D$40,MATCH(TEXT(A62,"dd"),Monthly_Pay_Model!$C$9:$C$39,0),4),INDEX(Monthly_Pay_Model!$A$9:$D$40,MATCH(TEXT(A63,"dd"),Monthly_Pay_Model!$C$9:$C$39,0),4),INDEX(Monthly_Pay_Model!$A$9:$D$40,MATCH(TEXT(A64,"dd"),Monthly_Pay_Model!$C$9:$C$39,0),4)),))))))</f>
        <v>2.1126701570680625E-2</v>
      </c>
      <c r="J60" s="33">
        <f>IF(C60="Yes",Monthly_Pay_Model!$D$2,0)
+IF(Calendar!N60="Yes",Monthly_Pay_Model!$D$3,0)
+IF(D60="Yes",Monthly_Pay_Model!$D$4,0)
+IF(E60="Yes",Monthly_Pay_Model!$D$5,0)</f>
        <v>0</v>
      </c>
      <c r="K60" s="27">
        <f>IF(VLOOKUP($A60,Calendar!$A$1:$R$1377,18,0)=0,0,IF(VLOOKUP($A60,Calendar!$A$1:$R$1377,18,0)=1,IFERROR(INDEX(Weekly_Model!$D$2:$D$9,MATCH(F60,Weekly_Model!$A$2:$A$9,0)),0),IF(VLOOKUP($A60,Calendar!$A$1:$R$1377,18,0)=2,SUM(IFERROR(INDEX(Weekly_Model!$D$2:$D$9,MATCH(F60,Weekly_Model!$A$2:$A$9,0)),0),IFERROR(INDEX(Weekly_Model!$D$2:$D$9,MATCH(F61,Weekly_Model!$A$2:$A$9,0)),0)),IF(VLOOKUP($A60,Calendar!$A$1:$R$1377,18,0)=3,SUM(IFERROR(INDEX(Weekly_Model!$D$2:$D$9,MATCH(F60,Weekly_Model!$A$2:$A$9,0)),0),IFERROR(INDEX(Weekly_Model!$D$2:$D$9,MATCH(F61,Weekly_Model!$A$2:$A$9,0)),0),IFERROR(INDEX(Weekly_Model!$D$2:$D$9,MATCH(F62,Weekly_Model!$A$2:$A$9,0)),0)),IF(VLOOKUP($A60,Calendar!$A$1:$R$1377,18,0)=4,SUM(IFERROR(INDEX(Weekly_Model!$D$2:$D$9,MATCH(F60,Weekly_Model!$A$2:$A$9,0)),0),IFERROR(INDEX(Weekly_Model!$D$2:$D$9,MATCH(F61,Weekly_Model!$A$2:$A$9,0)),0),IFERROR(INDEX(Weekly_Model!$D$2:$D$9,MATCH(F62,Weekly_Model!$A$2:$A$9,0)),0),IFERROR(INDEX(Weekly_Model!$D$2:$D$9,MATCH(F63,Weekly_Model!$A$2:$A$9,0)),0)),IF(VLOOKUP($A60,Calendar!$A$1:$R$1377,18,0)=5,SUM(IFERROR(INDEX(Weekly_Model!$D$2:$D$9,MATCH(F60,Weekly_Model!$A$2:$A$9,0)),0),IFERROR(INDEX(Weekly_Model!$D$2:$D$9,MATCH(F61,Weekly_Model!$A$2:$A$9,0)),0),IFERROR(INDEX(Weekly_Model!$D$2:$D$9,MATCH(F62,Weekly_Model!$A$2:$A$9,0)),0),IFERROR(INDEX(Weekly_Model!$D$2:$D$9,MATCH(F63,Weekly_Model!$A$2:$A$9,0)),0),IFERROR(INDEX(Weekly_Model!$D$2:$D$9,MATCH(F64,Weekly_Model!$A$2:$A$9,0)),0)),0))))))</f>
        <v>2.3200000000000002E-2</v>
      </c>
      <c r="L60" s="27">
        <f>IF(VLOOKUP($A60,Calendar!$A$1:$R$1377,18,0)=0,0,IF(VLOOKUP($A60,Calendar!$A$1:$R$1377,18,0)=1,IFERROR(INDEX(Fortnightly_Model!$D$2:$D$15,MATCH(G60,Fortnightly_Model!$B$2:$B$15,0)),0),IF(VLOOKUP($A60,Calendar!$A$1:$R$1377,18,0)=2,SUM(IFERROR(INDEX(Fortnightly_Model!$D$2:$D$15,MATCH(G60,Fortnightly_Model!$B$2:$B$15,0)),0),IFERROR(INDEX(Fortnightly_Model!$D$2:$D$15,MATCH(G61,Fortnightly_Model!$B$2:$B$15,0)),0)),IF(VLOOKUP($A60,Calendar!$A$1:$R$1377,18,0)=3,SUM(IFERROR(INDEX(Fortnightly_Model!$D$2:$D$15,MATCH(G60,Fortnightly_Model!$B$2:$B$15,0)),0),IFERROR(INDEX(Fortnightly_Model!$D$2:$D$15,MATCH(G61,Fortnightly_Model!$B$2:$B$15,0)),0),IFERROR(INDEX(Fortnightly_Model!$D$2:$D$15,MATCH(G62,Fortnightly_Model!$B$2:$B$15,0)),0)),IF(VLOOKUP($A60,Calendar!$A$1:$R$1377,18,0)=4,SUM(IFERROR(INDEX(Fortnightly_Model!$D$2:$D$15,MATCH(G60,Fortnightly_Model!$B$2:$B$15,0)),0),IFERROR(INDEX(Fortnightly_Model!$D$2:$D$15,MATCH(G61,Fortnightly_Model!$B$2:$B$15,0)),0),IFERROR(INDEX(Fortnightly_Model!$D$2:$D$15,MATCH(G62,Fortnightly_Model!$B$2:$B$15,0)),0),IFERROR(INDEX(Fortnightly_Model!$D$2:$D$15,MATCH(G63,Fortnightly_Model!$B$2:$B$15,0)),0)),IF(VLOOKUP($A60,Calendar!$A$1:$R$1377,18,0)=5,SUM(IFERROR(INDEX(Fortnightly_Model!$D$2:$D$15,MATCH(G60,Fortnightly_Model!$B$2:$B$15,0)),0),IFERROR(INDEX(Fortnightly_Model!$D$2:$D$15,MATCH(G61,Fortnightly_Model!$B$2:$B$15,0)),0),IFERROR(INDEX(Fortnightly_Model!$D$2:$D$15,MATCH(G62,Fortnightly_Model!$B$2:$B$15,0)),0),IFERROR(INDEX(Fortnightly_Model!$D$2:$D$15,MATCH(G63,Fortnightly_Model!$B$2:$B$15,0)),0),IFERROR(INDEX(Fortnightly_Model!$D$2:$D$15,MATCH(G64,Fortnightly_Model!$B$2:$B$15,0)),0)),0))))))</f>
        <v>1.0714285499999999E-3</v>
      </c>
      <c r="M60" s="27">
        <f>IF(VLOOKUP($A60,Calendar!$A$1:$R$1377,18,0)=0,0,IF(VLOOKUP($A60,Calendar!$A$1:$R$1377,18,0)=1,IFERROR(INDEX(FourWeekly_Model!$D$2:$D$29,MATCH(H60,FourWeekly_Model!$B$2:$B$29,0)),0),IF(VLOOKUP($A60,Calendar!$A$1:$R$1377,18,0)=2,SUM(IFERROR(INDEX(FourWeekly_Model!$D$2:$D$29,MATCH(H60,FourWeekly_Model!$B$2:$B$29,0)),0),IFERROR(INDEX(FourWeekly_Model!$D$2:$D$29,MATCH(H61,FourWeekly_Model!$B$2:$B$29,0)),0)),IF(VLOOKUP($A60,Calendar!$A$1:$R$1377,18,0)=3,SUM(IFERROR(INDEX(FourWeekly_Model!$D$2:$D$29,MATCH(H60,FourWeekly_Model!$B$2:$B$29,0)),0),IFERROR(INDEX(FourWeekly_Model!$D$2:$D$29,MATCH(H61,FourWeekly_Model!$B$2:$B$29,0)),0),IFERROR(INDEX(FourWeekly_Model!$D$2:$D$29,MATCH(H62,FourWeekly_Model!$B$2:$B$29,0)),0)),IF(VLOOKUP($A60,Calendar!$A$1:$R$1377,18,0)=4,SUM(IFERROR(INDEX(FourWeekly_Model!$D$2:$D$29,MATCH(H60,FourWeekly_Model!$B$2:$B$29,0)),0),IFERROR(INDEX(FourWeekly_Model!$D$2:$D$29,MATCH(H61,FourWeekly_Model!$B$2:$B$29,0)),0),IFERROR(INDEX(FourWeekly_Model!$D$2:$D$29,MATCH(H62,FourWeekly_Model!$B$2:$B$29,0)),0),IFERROR(INDEX(FourWeekly_Model!$D$2:$D$29,MATCH(H63,FourWeekly_Model!$B$2:$B$29,0)),0)),IF(VLOOKUP($A60,Calendar!$A$1:$R$1377,18,0)=5,SUM(IFERROR(INDEX(FourWeekly_Model!$D$2:$D$29,MATCH(H60,FourWeekly_Model!$B$2:$B$29,0)),0),IFERROR(INDEX(FourWeekly_Model!$D$2:$D$29,MATCH(H61,FourWeekly_Model!$B$2:$B$29,0)),0),IFERROR(INDEX(FourWeekly_Model!$D$2:$D$29,MATCH(H62,FourWeekly_Model!$B$2:$B$29,0)),0),IFERROR(INDEX(FourWeekly_Model!$D$2:$D$29,MATCH(H63,FourWeekly_Model!$B$2:$B$29,0)),0),IFERROR(INDEX(FourWeekly_Model!$D$2:$D$29,MATCH(H64,FourWeekly_Model!$B$2:$B$29,0)),0)),0))))))</f>
        <v>3.3214289700000004E-3</v>
      </c>
      <c r="N60" s="27">
        <f>SUM(I60:M60)</f>
        <v>4.8719559090680625E-2</v>
      </c>
      <c r="O60" s="28">
        <f>Population_Data!$B$8*N60</f>
        <v>1476202.6404476229</v>
      </c>
      <c r="P60" s="27">
        <f>IF(VLOOKUP($A60,Calendar!$A$1:$R$1377,18,0)=0,0,IF(VLOOKUP($A60,Calendar!$A$1:$R$1377,18,0)=1,IFERROR(INDEX(Pension_Model!$D$2:$D$29,MATCH(H60,Pension_Model!$B$2:$B$29,0)),0),IF(VLOOKUP($A60,Calendar!$A$1:$R$1377,18,0)=2,SUM(IFERROR(INDEX(Pension_Model!$D$2:$D$29,MATCH(H60,Pension_Model!$B$2:$B$29,0)),0),IFERROR(INDEX(Pension_Model!$D$2:$D$29,MATCH(H61,Pension_Model!$B$2:$B$29,0)),0)),IF(VLOOKUP($A60,Calendar!$A$1:$R$1377,18,0)=3,SUM(IFERROR(INDEX(Pension_Model!$D$2:$D$29,MATCH(H60,Pension_Model!$B$2:$B$29,0)),0),IFERROR(INDEX(Pension_Model!$D$2:$D$29,MATCH(H61,Pension_Model!$B$2:$B$29,0)),0),IFERROR(INDEX(Pension_Model!$D$2:$D$29,MATCH(H62,Pension_Model!$B$2:$B$29,0)),0)),IF(VLOOKUP($A60,Calendar!$A$1:$R$1377,18,0)=4,SUM(IFERROR(INDEX(Pension_Model!$D$2:$D$29,MATCH(H60,Pension_Model!$B$2:$B$29,0)),0),IFERROR(INDEX(Pension_Model!$D$2:$D$29,MATCH(H61,Pension_Model!$B$2:$B$29,0)),0),IFERROR(INDEX(Pension_Model!$D$2:$D$29,MATCH(H62,Pension_Model!$B$2:$B$29,0)),0),IFERROR(INDEX(Pension_Model!$D$2:$D$29,MATCH(H63,Pension_Model!$B$2:$B$29,0)),0)),IF(VLOOKUP($A60,Calendar!$A$1:$R$1377,18,0)=5,SUM(IFERROR(INDEX(Pension_Model!$D$2:$D$29,MATCH(H60,Pension_Model!$B$2:$B$29,0)),0),IFERROR(INDEX(Pension_Model!$D$2:$D$29,MATCH(H61,Pension_Model!$B$2:$B$29,0)),0),IFERROR(INDEX(Pension_Model!$D$2:$D$29,MATCH(H62,Pension_Model!$B$2:$B$29,0)),0),IFERROR(INDEX(Pension_Model!$D$2:$D$29,MATCH(H63,Pension_Model!$B$2:$B$29,0)),0),IFERROR(INDEX(Pension_Model!$D$2:$D$29,MATCH(H64,Pension_Model!$B$2:$B$29,0)),0)),0))))))</f>
        <v>0.05</v>
      </c>
      <c r="Q60" s="28">
        <f>Population_Data!$B$15*P60</f>
        <v>660600</v>
      </c>
      <c r="S60">
        <f t="shared" si="0"/>
        <v>2136802.6404476231</v>
      </c>
      <c r="U60" s="33">
        <f>S60/Population_Data!$B$19</f>
        <v>3.87101927617323E-2</v>
      </c>
    </row>
    <row r="61" spans="1:21">
      <c r="A61" s="25">
        <f>Calendar!A61</f>
        <v>46294</v>
      </c>
      <c r="B61" t="str">
        <f>Calendar!L61</f>
        <v>Yes</v>
      </c>
      <c r="C61" t="str">
        <f>Calendar!O61</f>
        <v>No</v>
      </c>
      <c r="D61" t="str">
        <f>Calendar!P61</f>
        <v>No</v>
      </c>
      <c r="E61" t="str">
        <f>Calendar!Q61</f>
        <v>No</v>
      </c>
      <c r="F61" t="str">
        <f>Calendar!I61</f>
        <v>Tuesday</v>
      </c>
      <c r="G61">
        <f>Calendar!S61</f>
        <v>10</v>
      </c>
      <c r="H61">
        <f>Calendar!T61</f>
        <v>10</v>
      </c>
      <c r="I61" s="27">
        <f>IF(VLOOKUP(A61,Calendar!$A$1:$R$1377,18,0)=0,0,IF(VLOOKUP(A61,Calendar!$A$1:$R$1377,18,0)=1,INDEX(Monthly_Pay_Model!$A$9:$D$40,MATCH(TEXT(A61,"dd"),Monthly_Pay_Model!$C$9:$C$39,0),4),IF(VLOOKUP(A61,Calendar!$A$1:$R$1377,18,0)=2,SUM(INDEX(Monthly_Pay_Model!$A$9:$D$40,MATCH(TEXT(A61,"dd"),Monthly_Pay_Model!$C$9:$C$39,0),4),INDEX(Monthly_Pay_Model!$A$9:$D$40,MATCH(TEXT(A62,"dd"),Monthly_Pay_Model!$C$9:$C$39,0),4)),IF(VLOOKUP(A61,Calendar!$A$1:$R$1377,18,0)=3,SUM(INDEX(Monthly_Pay_Model!$A$9:$D$40,MATCH(TEXT(A61,"dd"),Monthly_Pay_Model!$C$9:$C$39,0),4),INDEX(Monthly_Pay_Model!$A$9:$D$40,MATCH(TEXT(A62,"dd"),Monthly_Pay_Model!$C$9:$C$39,0),4),INDEX(Monthly_Pay_Model!$A$9:$D$40,MATCH(TEXT(A63,"dd"),Monthly_Pay_Model!$C$9:$C$39,0),4)),IF(VLOOKUP(A61,Calendar!$A$1:$R$1377,18,0)=4,SUM(INDEX(Monthly_Pay_Model!$A$9:$D$40,MATCH(TEXT(A61,"dd"),Monthly_Pay_Model!$C$9:$C$39,0),4),INDEX(Monthly_Pay_Model!$A$9:$D$40,MATCH(TEXT(A62,"dd"),Monthly_Pay_Model!$C$9:$C$39,0),4),INDEX(Monthly_Pay_Model!$A$9:$D$40,MATCH(TEXT(A63,"dd"),Monthly_Pay_Model!$C$9:$C$39,0),4),INDEX(Monthly_Pay_Model!$A$9:$D$40,MATCH(TEXT(A64,"dd"),Monthly_Pay_Model!$C$9:$C$39,0),4)),IF(VLOOKUP(A61,Calendar!$A$1:$R$1377,18,0)=5,SUM(INDEX(Monthly_Pay_Model!$A$9:$D$40,MATCH(TEXT(A61,"dd"),Monthly_Pay_Model!$C$9:$C$39,0),4),INDEX(Monthly_Pay_Model!$A$9:$D$40,MATCH(TEXT(A62,"dd"),Monthly_Pay_Model!$C$9:$C$39,0),4),INDEX(Monthly_Pay_Model!$A$9:$D$40,MATCH(TEXT(A63,"dd"),Monthly_Pay_Model!$C$9:$C$39,0),4),INDEX(Monthly_Pay_Model!$A$9:$D$40,MATCH(TEXT(A64,"dd"),Monthly_Pay_Model!$C$9:$C$39,0),4),INDEX(Monthly_Pay_Model!$A$9:$D$40,MATCH(TEXT(A65,"dd"),Monthly_Pay_Model!$C$9:$C$39,0),4)),))))))</f>
        <v>4.0628272251308894E-3</v>
      </c>
      <c r="J61" s="33">
        <f>IF(C61="Yes",Monthly_Pay_Model!$D$2,0)
+IF(Calendar!N61="Yes",Monthly_Pay_Model!$D$3,0)
+IF(D61="Yes",Monthly_Pay_Model!$D$4,0)
+IF(E61="Yes",Monthly_Pay_Model!$D$5,0)</f>
        <v>0</v>
      </c>
      <c r="K61" s="27">
        <f>IF(VLOOKUP($A61,Calendar!$A$1:$R$1377,18,0)=0,0,IF(VLOOKUP($A61,Calendar!$A$1:$R$1377,18,0)=1,IFERROR(INDEX(Weekly_Model!$D$2:$D$9,MATCH(F61,Weekly_Model!$A$2:$A$9,0)),0),IF(VLOOKUP($A61,Calendar!$A$1:$R$1377,18,0)=2,SUM(IFERROR(INDEX(Weekly_Model!$D$2:$D$9,MATCH(F61,Weekly_Model!$A$2:$A$9,0)),0),IFERROR(INDEX(Weekly_Model!$D$2:$D$9,MATCH(F62,Weekly_Model!$A$2:$A$9,0)),0)),IF(VLOOKUP($A61,Calendar!$A$1:$R$1377,18,0)=3,SUM(IFERROR(INDEX(Weekly_Model!$D$2:$D$9,MATCH(F61,Weekly_Model!$A$2:$A$9,0)),0),IFERROR(INDEX(Weekly_Model!$D$2:$D$9,MATCH(F62,Weekly_Model!$A$2:$A$9,0)),0),IFERROR(INDEX(Weekly_Model!$D$2:$D$9,MATCH(F63,Weekly_Model!$A$2:$A$9,0)),0)),IF(VLOOKUP($A61,Calendar!$A$1:$R$1377,18,0)=4,SUM(IFERROR(INDEX(Weekly_Model!$D$2:$D$9,MATCH(F61,Weekly_Model!$A$2:$A$9,0)),0),IFERROR(INDEX(Weekly_Model!$D$2:$D$9,MATCH(F62,Weekly_Model!$A$2:$A$9,0)),0),IFERROR(INDEX(Weekly_Model!$D$2:$D$9,MATCH(F63,Weekly_Model!$A$2:$A$9,0)),0),IFERROR(INDEX(Weekly_Model!$D$2:$D$9,MATCH(F64,Weekly_Model!$A$2:$A$9,0)),0)),IF(VLOOKUP($A61,Calendar!$A$1:$R$1377,18,0)=5,SUM(IFERROR(INDEX(Weekly_Model!$D$2:$D$9,MATCH(F61,Weekly_Model!$A$2:$A$9,0)),0),IFERROR(INDEX(Weekly_Model!$D$2:$D$9,MATCH(F62,Weekly_Model!$A$2:$A$9,0)),0),IFERROR(INDEX(Weekly_Model!$D$2:$D$9,MATCH(F63,Weekly_Model!$A$2:$A$9,0)),0),IFERROR(INDEX(Weekly_Model!$D$2:$D$9,MATCH(F64,Weekly_Model!$A$2:$A$9,0)),0),IFERROR(INDEX(Weekly_Model!$D$2:$D$9,MATCH(F65,Weekly_Model!$A$2:$A$9,0)),0)),0))))))</f>
        <v>2.3200000000000002E-2</v>
      </c>
      <c r="L61" s="27">
        <f>IF(VLOOKUP($A61,Calendar!$A$1:$R$1377,18,0)=0,0,IF(VLOOKUP($A61,Calendar!$A$1:$R$1377,18,0)=1,IFERROR(INDEX(Fortnightly_Model!$D$2:$D$15,MATCH(G61,Fortnightly_Model!$B$2:$B$15,0)),0),IF(VLOOKUP($A61,Calendar!$A$1:$R$1377,18,0)=2,SUM(IFERROR(INDEX(Fortnightly_Model!$D$2:$D$15,MATCH(G61,Fortnightly_Model!$B$2:$B$15,0)),0),IFERROR(INDEX(Fortnightly_Model!$D$2:$D$15,MATCH(G62,Fortnightly_Model!$B$2:$B$15,0)),0)),IF(VLOOKUP($A61,Calendar!$A$1:$R$1377,18,0)=3,SUM(IFERROR(INDEX(Fortnightly_Model!$D$2:$D$15,MATCH(G61,Fortnightly_Model!$B$2:$B$15,0)),0),IFERROR(INDEX(Fortnightly_Model!$D$2:$D$15,MATCH(G62,Fortnightly_Model!$B$2:$B$15,0)),0),IFERROR(INDEX(Fortnightly_Model!$D$2:$D$15,MATCH(G63,Fortnightly_Model!$B$2:$B$15,0)),0)),IF(VLOOKUP($A61,Calendar!$A$1:$R$1377,18,0)=4,SUM(IFERROR(INDEX(Fortnightly_Model!$D$2:$D$15,MATCH(G61,Fortnightly_Model!$B$2:$B$15,0)),0),IFERROR(INDEX(Fortnightly_Model!$D$2:$D$15,MATCH(G62,Fortnightly_Model!$B$2:$B$15,0)),0),IFERROR(INDEX(Fortnightly_Model!$D$2:$D$15,MATCH(G63,Fortnightly_Model!$B$2:$B$15,0)),0),IFERROR(INDEX(Fortnightly_Model!$D$2:$D$15,MATCH(G64,Fortnightly_Model!$B$2:$B$15,0)),0)),IF(VLOOKUP($A61,Calendar!$A$1:$R$1377,18,0)=5,SUM(IFERROR(INDEX(Fortnightly_Model!$D$2:$D$15,MATCH(G61,Fortnightly_Model!$B$2:$B$15,0)),0),IFERROR(INDEX(Fortnightly_Model!$D$2:$D$15,MATCH(G62,Fortnightly_Model!$B$2:$B$15,0)),0),IFERROR(INDEX(Fortnightly_Model!$D$2:$D$15,MATCH(G63,Fortnightly_Model!$B$2:$B$15,0)),0),IFERROR(INDEX(Fortnightly_Model!$D$2:$D$15,MATCH(G64,Fortnightly_Model!$B$2:$B$15,0)),0),IFERROR(INDEX(Fortnightly_Model!$D$2:$D$15,MATCH(G65,Fortnightly_Model!$B$2:$B$15,0)),0)),0))))))</f>
        <v>1.0714285499999999E-3</v>
      </c>
      <c r="M61" s="27">
        <f>IF(VLOOKUP($A61,Calendar!$A$1:$R$1377,18,0)=0,0,IF(VLOOKUP($A61,Calendar!$A$1:$R$1377,18,0)=1,IFERROR(INDEX(FourWeekly_Model!$D$2:$D$29,MATCH(H61,FourWeekly_Model!$B$2:$B$29,0)),0),IF(VLOOKUP($A61,Calendar!$A$1:$R$1377,18,0)=2,SUM(IFERROR(INDEX(FourWeekly_Model!$D$2:$D$29,MATCH(H61,FourWeekly_Model!$B$2:$B$29,0)),0),IFERROR(INDEX(FourWeekly_Model!$D$2:$D$29,MATCH(H62,FourWeekly_Model!$B$2:$B$29,0)),0)),IF(VLOOKUP($A61,Calendar!$A$1:$R$1377,18,0)=3,SUM(IFERROR(INDEX(FourWeekly_Model!$D$2:$D$29,MATCH(H61,FourWeekly_Model!$B$2:$B$29,0)),0),IFERROR(INDEX(FourWeekly_Model!$D$2:$D$29,MATCH(H62,FourWeekly_Model!$B$2:$B$29,0)),0),IFERROR(INDEX(FourWeekly_Model!$D$2:$D$29,MATCH(H63,FourWeekly_Model!$B$2:$B$29,0)),0)),IF(VLOOKUP($A61,Calendar!$A$1:$R$1377,18,0)=4,SUM(IFERROR(INDEX(FourWeekly_Model!$D$2:$D$29,MATCH(H61,FourWeekly_Model!$B$2:$B$29,0)),0),IFERROR(INDEX(FourWeekly_Model!$D$2:$D$29,MATCH(H62,FourWeekly_Model!$B$2:$B$29,0)),0),IFERROR(INDEX(FourWeekly_Model!$D$2:$D$29,MATCH(H63,FourWeekly_Model!$B$2:$B$29,0)),0),IFERROR(INDEX(FourWeekly_Model!$D$2:$D$29,MATCH(H64,FourWeekly_Model!$B$2:$B$29,0)),0)),IF(VLOOKUP($A61,Calendar!$A$1:$R$1377,18,0)=5,SUM(IFERROR(INDEX(FourWeekly_Model!$D$2:$D$29,MATCH(H61,FourWeekly_Model!$B$2:$B$29,0)),0),IFERROR(INDEX(FourWeekly_Model!$D$2:$D$29,MATCH(H62,FourWeekly_Model!$B$2:$B$29,0)),0),IFERROR(INDEX(FourWeekly_Model!$D$2:$D$29,MATCH(H63,FourWeekly_Model!$B$2:$B$29,0)),0),IFERROR(INDEX(FourWeekly_Model!$D$2:$D$29,MATCH(H64,FourWeekly_Model!$B$2:$B$29,0)),0),IFERROR(INDEX(FourWeekly_Model!$D$2:$D$29,MATCH(H65,FourWeekly_Model!$B$2:$B$29,0)),0)),0))))))</f>
        <v>3.3214289700000004E-3</v>
      </c>
      <c r="N61" s="27">
        <f>SUM(I61:M61)</f>
        <v>3.1655684745130891E-2</v>
      </c>
      <c r="O61" s="28">
        <f>Population_Data!$B$8*N61</f>
        <v>959167.24777746596</v>
      </c>
      <c r="P61" s="27">
        <f>IF(VLOOKUP($A61,Calendar!$A$1:$R$1377,18,0)=0,0,IF(VLOOKUP($A61,Calendar!$A$1:$R$1377,18,0)=1,IFERROR(INDEX(Pension_Model!$D$2:$D$29,MATCH(H61,Pension_Model!$B$2:$B$29,0)),0),IF(VLOOKUP($A61,Calendar!$A$1:$R$1377,18,0)=2,SUM(IFERROR(INDEX(Pension_Model!$D$2:$D$29,MATCH(H61,Pension_Model!$B$2:$B$29,0)),0),IFERROR(INDEX(Pension_Model!$D$2:$D$29,MATCH(H62,Pension_Model!$B$2:$B$29,0)),0)),IF(VLOOKUP($A61,Calendar!$A$1:$R$1377,18,0)=3,SUM(IFERROR(INDEX(Pension_Model!$D$2:$D$29,MATCH(H61,Pension_Model!$B$2:$B$29,0)),0),IFERROR(INDEX(Pension_Model!$D$2:$D$29,MATCH(H62,Pension_Model!$B$2:$B$29,0)),0),IFERROR(INDEX(Pension_Model!$D$2:$D$29,MATCH(H63,Pension_Model!$B$2:$B$29,0)),0)),IF(VLOOKUP($A61,Calendar!$A$1:$R$1377,18,0)=4,SUM(IFERROR(INDEX(Pension_Model!$D$2:$D$29,MATCH(H61,Pension_Model!$B$2:$B$29,0)),0),IFERROR(INDEX(Pension_Model!$D$2:$D$29,MATCH(H62,Pension_Model!$B$2:$B$29,0)),0),IFERROR(INDEX(Pension_Model!$D$2:$D$29,MATCH(H63,Pension_Model!$B$2:$B$29,0)),0),IFERROR(INDEX(Pension_Model!$D$2:$D$29,MATCH(H64,Pension_Model!$B$2:$B$29,0)),0)),IF(VLOOKUP($A61,Calendar!$A$1:$R$1377,18,0)=5,SUM(IFERROR(INDEX(Pension_Model!$D$2:$D$29,MATCH(H61,Pension_Model!$B$2:$B$29,0)),0),IFERROR(INDEX(Pension_Model!$D$2:$D$29,MATCH(H62,Pension_Model!$B$2:$B$29,0)),0),IFERROR(INDEX(Pension_Model!$D$2:$D$29,MATCH(H63,Pension_Model!$B$2:$B$29,0)),0),IFERROR(INDEX(Pension_Model!$D$2:$D$29,MATCH(H64,Pension_Model!$B$2:$B$29,0)),0),IFERROR(INDEX(Pension_Model!$D$2:$D$29,MATCH(H65,Pension_Model!$B$2:$B$29,0)),0)),0))))))</f>
        <v>0.05</v>
      </c>
      <c r="Q61" s="28">
        <f>Population_Data!$B$15*P61</f>
        <v>660600</v>
      </c>
      <c r="S61">
        <f t="shared" si="0"/>
        <v>1619767.247777466</v>
      </c>
      <c r="U61" s="33">
        <f>S61/Population_Data!$B$19</f>
        <v>2.9343609561185979E-2</v>
      </c>
    </row>
    <row r="62" spans="1:21">
      <c r="A62" s="25">
        <f>Calendar!A62</f>
        <v>46295</v>
      </c>
      <c r="B62" t="str">
        <f>Calendar!L62</f>
        <v>Yes</v>
      </c>
      <c r="C62" t="str">
        <f>Calendar!O62</f>
        <v>Yes</v>
      </c>
      <c r="D62" t="str">
        <f>Calendar!P62</f>
        <v>No</v>
      </c>
      <c r="E62" t="str">
        <f>Calendar!Q62</f>
        <v>No</v>
      </c>
      <c r="F62" t="str">
        <f>Calendar!I62</f>
        <v>Wednesday</v>
      </c>
      <c r="G62">
        <f>Calendar!S62</f>
        <v>11</v>
      </c>
      <c r="H62">
        <f>Calendar!T62</f>
        <v>11</v>
      </c>
      <c r="I62" s="27">
        <f>IF(VLOOKUP(A62,Calendar!$A$1:$R$1377,18,0)=0,0,IF(VLOOKUP(A62,Calendar!$A$1:$R$1377,18,0)=1,INDEX(Monthly_Pay_Model!$A$9:$D$40,MATCH(TEXT(A62,"dd"),Monthly_Pay_Model!$C$9:$C$39,0),4),IF(VLOOKUP(A62,Calendar!$A$1:$R$1377,18,0)=2,SUM(INDEX(Monthly_Pay_Model!$A$9:$D$40,MATCH(TEXT(A62,"dd"),Monthly_Pay_Model!$C$9:$C$39,0),4),INDEX(Monthly_Pay_Model!$A$9:$D$40,MATCH(TEXT(A63,"dd"),Monthly_Pay_Model!$C$9:$C$39,0),4)),IF(VLOOKUP(A62,Calendar!$A$1:$R$1377,18,0)=3,SUM(INDEX(Monthly_Pay_Model!$A$9:$D$40,MATCH(TEXT(A62,"dd"),Monthly_Pay_Model!$C$9:$C$39,0),4),INDEX(Monthly_Pay_Model!$A$9:$D$40,MATCH(TEXT(A63,"dd"),Monthly_Pay_Model!$C$9:$C$39,0),4),INDEX(Monthly_Pay_Model!$A$9:$D$40,MATCH(TEXT(A64,"dd"),Monthly_Pay_Model!$C$9:$C$39,0),4)),IF(VLOOKUP(A62,Calendar!$A$1:$R$1377,18,0)=4,SUM(INDEX(Monthly_Pay_Model!$A$9:$D$40,MATCH(TEXT(A62,"dd"),Monthly_Pay_Model!$C$9:$C$39,0),4),INDEX(Monthly_Pay_Model!$A$9:$D$40,MATCH(TEXT(A63,"dd"),Monthly_Pay_Model!$C$9:$C$39,0),4),INDEX(Monthly_Pay_Model!$A$9:$D$40,MATCH(TEXT(A64,"dd"),Monthly_Pay_Model!$C$9:$C$39,0),4),INDEX(Monthly_Pay_Model!$A$9:$D$40,MATCH(TEXT(A65,"dd"),Monthly_Pay_Model!$C$9:$C$39,0),4)),IF(VLOOKUP(A62,Calendar!$A$1:$R$1377,18,0)=5,SUM(INDEX(Monthly_Pay_Model!$A$9:$D$40,MATCH(TEXT(A62,"dd"),Monthly_Pay_Model!$C$9:$C$39,0),4),INDEX(Monthly_Pay_Model!$A$9:$D$40,MATCH(TEXT(A63,"dd"),Monthly_Pay_Model!$C$9:$C$39,0),4),INDEX(Monthly_Pay_Model!$A$9:$D$40,MATCH(TEXT(A64,"dd"),Monthly_Pay_Model!$C$9:$C$39,0),4),INDEX(Monthly_Pay_Model!$A$9:$D$40,MATCH(TEXT(A65,"dd"),Monthly_Pay_Model!$C$9:$C$39,0),4),INDEX(Monthly_Pay_Model!$A$9:$D$40,MATCH(TEXT(A66,"dd"),Monthly_Pay_Model!$C$9:$C$39,0),4)),))))))</f>
        <v>4.8753926701570662E-3</v>
      </c>
      <c r="J62" s="33">
        <f>IF(C62="Yes",Monthly_Pay_Model!$D$2,0)
+IF(Calendar!N62="Yes",Monthly_Pay_Model!$D$3,0)
+IF(D62="Yes",Monthly_Pay_Model!$D$4,0)
+IF(E62="Yes",Monthly_Pay_Model!$D$5,0)</f>
        <v>0.41127999999999998</v>
      </c>
      <c r="K62" s="27">
        <f>IF(VLOOKUP($A62,Calendar!$A$1:$R$1377,18,0)=0,0,IF(VLOOKUP($A62,Calendar!$A$1:$R$1377,18,0)=1,IFERROR(INDEX(Weekly_Model!$D$2:$D$9,MATCH(F62,Weekly_Model!$A$2:$A$9,0)),0),IF(VLOOKUP($A62,Calendar!$A$1:$R$1377,18,0)=2,SUM(IFERROR(INDEX(Weekly_Model!$D$2:$D$9,MATCH(F62,Weekly_Model!$A$2:$A$9,0)),0),IFERROR(INDEX(Weekly_Model!$D$2:$D$9,MATCH(F63,Weekly_Model!$A$2:$A$9,0)),0)),IF(VLOOKUP($A62,Calendar!$A$1:$R$1377,18,0)=3,SUM(IFERROR(INDEX(Weekly_Model!$D$2:$D$9,MATCH(F62,Weekly_Model!$A$2:$A$9,0)),0),IFERROR(INDEX(Weekly_Model!$D$2:$D$9,MATCH(F63,Weekly_Model!$A$2:$A$9,0)),0),IFERROR(INDEX(Weekly_Model!$D$2:$D$9,MATCH(F64,Weekly_Model!$A$2:$A$9,0)),0)),IF(VLOOKUP($A62,Calendar!$A$1:$R$1377,18,0)=4,SUM(IFERROR(INDEX(Weekly_Model!$D$2:$D$9,MATCH(F62,Weekly_Model!$A$2:$A$9,0)),0),IFERROR(INDEX(Weekly_Model!$D$2:$D$9,MATCH(F63,Weekly_Model!$A$2:$A$9,0)),0),IFERROR(INDEX(Weekly_Model!$D$2:$D$9,MATCH(F64,Weekly_Model!$A$2:$A$9,0)),0),IFERROR(INDEX(Weekly_Model!$D$2:$D$9,MATCH(F65,Weekly_Model!$A$2:$A$9,0)),0)),IF(VLOOKUP($A62,Calendar!$A$1:$R$1377,18,0)=5,SUM(IFERROR(INDEX(Weekly_Model!$D$2:$D$9,MATCH(F62,Weekly_Model!$A$2:$A$9,0)),0),IFERROR(INDEX(Weekly_Model!$D$2:$D$9,MATCH(F63,Weekly_Model!$A$2:$A$9,0)),0),IFERROR(INDEX(Weekly_Model!$D$2:$D$9,MATCH(F64,Weekly_Model!$A$2:$A$9,0)),0),IFERROR(INDEX(Weekly_Model!$D$2:$D$9,MATCH(F65,Weekly_Model!$A$2:$A$9,0)),0),IFERROR(INDEX(Weekly_Model!$D$2:$D$9,MATCH(F66,Weekly_Model!$A$2:$A$9,0)),0)),0))))))</f>
        <v>2.3200000000000002E-2</v>
      </c>
      <c r="L62" s="27">
        <f>IF(VLOOKUP($A62,Calendar!$A$1:$R$1377,18,0)=0,0,IF(VLOOKUP($A62,Calendar!$A$1:$R$1377,18,0)=1,IFERROR(INDEX(Fortnightly_Model!$D$2:$D$15,MATCH(G62,Fortnightly_Model!$B$2:$B$15,0)),0),IF(VLOOKUP($A62,Calendar!$A$1:$R$1377,18,0)=2,SUM(IFERROR(INDEX(Fortnightly_Model!$D$2:$D$15,MATCH(G62,Fortnightly_Model!$B$2:$B$15,0)),0),IFERROR(INDEX(Fortnightly_Model!$D$2:$D$15,MATCH(G63,Fortnightly_Model!$B$2:$B$15,0)),0)),IF(VLOOKUP($A62,Calendar!$A$1:$R$1377,18,0)=3,SUM(IFERROR(INDEX(Fortnightly_Model!$D$2:$D$15,MATCH(G62,Fortnightly_Model!$B$2:$B$15,0)),0),IFERROR(INDEX(Fortnightly_Model!$D$2:$D$15,MATCH(G63,Fortnightly_Model!$B$2:$B$15,0)),0),IFERROR(INDEX(Fortnightly_Model!$D$2:$D$15,MATCH(G64,Fortnightly_Model!$B$2:$B$15,0)),0)),IF(VLOOKUP($A62,Calendar!$A$1:$R$1377,18,0)=4,SUM(IFERROR(INDEX(Fortnightly_Model!$D$2:$D$15,MATCH(G62,Fortnightly_Model!$B$2:$B$15,0)),0),IFERROR(INDEX(Fortnightly_Model!$D$2:$D$15,MATCH(G63,Fortnightly_Model!$B$2:$B$15,0)),0),IFERROR(INDEX(Fortnightly_Model!$D$2:$D$15,MATCH(G64,Fortnightly_Model!$B$2:$B$15,0)),0),IFERROR(INDEX(Fortnightly_Model!$D$2:$D$15,MATCH(G65,Fortnightly_Model!$B$2:$B$15,0)),0)),IF(VLOOKUP($A62,Calendar!$A$1:$R$1377,18,0)=5,SUM(IFERROR(INDEX(Fortnightly_Model!$D$2:$D$15,MATCH(G62,Fortnightly_Model!$B$2:$B$15,0)),0),IFERROR(INDEX(Fortnightly_Model!$D$2:$D$15,MATCH(G63,Fortnightly_Model!$B$2:$B$15,0)),0),IFERROR(INDEX(Fortnightly_Model!$D$2:$D$15,MATCH(G64,Fortnightly_Model!$B$2:$B$15,0)),0),IFERROR(INDEX(Fortnightly_Model!$D$2:$D$15,MATCH(G65,Fortnightly_Model!$B$2:$B$15,0)),0),IFERROR(INDEX(Fortnightly_Model!$D$2:$D$15,MATCH(G66,Fortnightly_Model!$B$2:$B$15,0)),0)),0))))))</f>
        <v>1.0714285499999999E-3</v>
      </c>
      <c r="M62" s="27">
        <f>IF(VLOOKUP($A62,Calendar!$A$1:$R$1377,18,0)=0,0,IF(VLOOKUP($A62,Calendar!$A$1:$R$1377,18,0)=1,IFERROR(INDEX(FourWeekly_Model!$D$2:$D$29,MATCH(H62,FourWeekly_Model!$B$2:$B$29,0)),0),IF(VLOOKUP($A62,Calendar!$A$1:$R$1377,18,0)=2,SUM(IFERROR(INDEX(FourWeekly_Model!$D$2:$D$29,MATCH(H62,FourWeekly_Model!$B$2:$B$29,0)),0),IFERROR(INDEX(FourWeekly_Model!$D$2:$D$29,MATCH(H63,FourWeekly_Model!$B$2:$B$29,0)),0)),IF(VLOOKUP($A62,Calendar!$A$1:$R$1377,18,0)=3,SUM(IFERROR(INDEX(FourWeekly_Model!$D$2:$D$29,MATCH(H62,FourWeekly_Model!$B$2:$B$29,0)),0),IFERROR(INDEX(FourWeekly_Model!$D$2:$D$29,MATCH(H63,FourWeekly_Model!$B$2:$B$29,0)),0),IFERROR(INDEX(FourWeekly_Model!$D$2:$D$29,MATCH(H64,FourWeekly_Model!$B$2:$B$29,0)),0)),IF(VLOOKUP($A62,Calendar!$A$1:$R$1377,18,0)=4,SUM(IFERROR(INDEX(FourWeekly_Model!$D$2:$D$29,MATCH(H62,FourWeekly_Model!$B$2:$B$29,0)),0),IFERROR(INDEX(FourWeekly_Model!$D$2:$D$29,MATCH(H63,FourWeekly_Model!$B$2:$B$29,0)),0),IFERROR(INDEX(FourWeekly_Model!$D$2:$D$29,MATCH(H64,FourWeekly_Model!$B$2:$B$29,0)),0),IFERROR(INDEX(FourWeekly_Model!$D$2:$D$29,MATCH(H65,FourWeekly_Model!$B$2:$B$29,0)),0)),IF(VLOOKUP($A62,Calendar!$A$1:$R$1377,18,0)=5,SUM(IFERROR(INDEX(FourWeekly_Model!$D$2:$D$29,MATCH(H62,FourWeekly_Model!$B$2:$B$29,0)),0),IFERROR(INDEX(FourWeekly_Model!$D$2:$D$29,MATCH(H63,FourWeekly_Model!$B$2:$B$29,0)),0),IFERROR(INDEX(FourWeekly_Model!$D$2:$D$29,MATCH(H64,FourWeekly_Model!$B$2:$B$29,0)),0),IFERROR(INDEX(FourWeekly_Model!$D$2:$D$29,MATCH(H65,FourWeekly_Model!$B$2:$B$29,0)),0),IFERROR(INDEX(FourWeekly_Model!$D$2:$D$29,MATCH(H66,FourWeekly_Model!$B$2:$B$29,0)),0)),0))))))</f>
        <v>3.3214289700000004E-3</v>
      </c>
      <c r="N62" s="27">
        <f>SUM(I62:M62)</f>
        <v>0.44374825019015701</v>
      </c>
      <c r="O62" s="28">
        <f>Population_Data!$B$8*N62</f>
        <v>13445571.980761757</v>
      </c>
      <c r="P62" s="27">
        <f>IF(VLOOKUP($A62,Calendar!$A$1:$R$1377,18,0)=0,0,IF(VLOOKUP($A62,Calendar!$A$1:$R$1377,18,0)=1,IFERROR(INDEX(Pension_Model!$D$2:$D$29,MATCH(H62,Pension_Model!$B$2:$B$29,0)),0),IF(VLOOKUP($A62,Calendar!$A$1:$R$1377,18,0)=2,SUM(IFERROR(INDEX(Pension_Model!$D$2:$D$29,MATCH(H62,Pension_Model!$B$2:$B$29,0)),0),IFERROR(INDEX(Pension_Model!$D$2:$D$29,MATCH(H63,Pension_Model!$B$2:$B$29,0)),0)),IF(VLOOKUP($A62,Calendar!$A$1:$R$1377,18,0)=3,SUM(IFERROR(INDEX(Pension_Model!$D$2:$D$29,MATCH(H62,Pension_Model!$B$2:$B$29,0)),0),IFERROR(INDEX(Pension_Model!$D$2:$D$29,MATCH(H63,Pension_Model!$B$2:$B$29,0)),0),IFERROR(INDEX(Pension_Model!$D$2:$D$29,MATCH(H64,Pension_Model!$B$2:$B$29,0)),0)),IF(VLOOKUP($A62,Calendar!$A$1:$R$1377,18,0)=4,SUM(IFERROR(INDEX(Pension_Model!$D$2:$D$29,MATCH(H62,Pension_Model!$B$2:$B$29,0)),0),IFERROR(INDEX(Pension_Model!$D$2:$D$29,MATCH(H63,Pension_Model!$B$2:$B$29,0)),0),IFERROR(INDEX(Pension_Model!$D$2:$D$29,MATCH(H64,Pension_Model!$B$2:$B$29,0)),0),IFERROR(INDEX(Pension_Model!$D$2:$D$29,MATCH(H65,Pension_Model!$B$2:$B$29,0)),0)),IF(VLOOKUP($A62,Calendar!$A$1:$R$1377,18,0)=5,SUM(IFERROR(INDEX(Pension_Model!$D$2:$D$29,MATCH(H62,Pension_Model!$B$2:$B$29,0)),0),IFERROR(INDEX(Pension_Model!$D$2:$D$29,MATCH(H63,Pension_Model!$B$2:$B$29,0)),0),IFERROR(INDEX(Pension_Model!$D$2:$D$29,MATCH(H64,Pension_Model!$B$2:$B$29,0)),0),IFERROR(INDEX(Pension_Model!$D$2:$D$29,MATCH(H65,Pension_Model!$B$2:$B$29,0)),0),IFERROR(INDEX(Pension_Model!$D$2:$D$29,MATCH(H66,Pension_Model!$B$2:$B$29,0)),0)),0))))))</f>
        <v>0.05</v>
      </c>
      <c r="Q62" s="28">
        <f>Population_Data!$B$15*P62</f>
        <v>660600</v>
      </c>
      <c r="S62">
        <f t="shared" si="0"/>
        <v>14106171.980761757</v>
      </c>
      <c r="U62" s="33">
        <f>S62/Population_Data!$B$19</f>
        <v>0.25554659385437967</v>
      </c>
    </row>
    <row r="63" spans="1:21">
      <c r="A63" s="25">
        <f>Calendar!A63</f>
        <v>46296</v>
      </c>
      <c r="B63" t="str">
        <f>Calendar!L63</f>
        <v>Yes</v>
      </c>
      <c r="C63" t="str">
        <f>Calendar!O63</f>
        <v>No</v>
      </c>
      <c r="D63" t="str">
        <f>Calendar!P63</f>
        <v>No</v>
      </c>
      <c r="E63" t="str">
        <f>Calendar!Q63</f>
        <v>No</v>
      </c>
      <c r="F63" t="str">
        <f>Calendar!I63</f>
        <v>Thursday</v>
      </c>
      <c r="G63">
        <f>Calendar!S63</f>
        <v>12</v>
      </c>
      <c r="H63">
        <f>Calendar!T63</f>
        <v>12</v>
      </c>
      <c r="I63" s="27">
        <f>IF(VLOOKUP(A63,Calendar!$A$1:$R$1377,18,0)=0,0,IF(VLOOKUP(A63,Calendar!$A$1:$R$1377,18,0)=1,INDEX(Monthly_Pay_Model!$A$9:$D$40,MATCH(TEXT(A63,"dd"),Monthly_Pay_Model!$C$9:$C$39,0),4),IF(VLOOKUP(A63,Calendar!$A$1:$R$1377,18,0)=2,SUM(INDEX(Monthly_Pay_Model!$A$9:$D$40,MATCH(TEXT(A63,"dd"),Monthly_Pay_Model!$C$9:$C$39,0),4),INDEX(Monthly_Pay_Model!$A$9:$D$40,MATCH(TEXT(A64,"dd"),Monthly_Pay_Model!$C$9:$C$39,0),4)),IF(VLOOKUP(A63,Calendar!$A$1:$R$1377,18,0)=3,SUM(INDEX(Monthly_Pay_Model!$A$9:$D$40,MATCH(TEXT(A63,"dd"),Monthly_Pay_Model!$C$9:$C$39,0),4),INDEX(Monthly_Pay_Model!$A$9:$D$40,MATCH(TEXT(A64,"dd"),Monthly_Pay_Model!$C$9:$C$39,0),4),INDEX(Monthly_Pay_Model!$A$9:$D$40,MATCH(TEXT(A65,"dd"),Monthly_Pay_Model!$C$9:$C$39,0),4)),IF(VLOOKUP(A63,Calendar!$A$1:$R$1377,18,0)=4,SUM(INDEX(Monthly_Pay_Model!$A$9:$D$40,MATCH(TEXT(A63,"dd"),Monthly_Pay_Model!$C$9:$C$39,0),4),INDEX(Monthly_Pay_Model!$A$9:$D$40,MATCH(TEXT(A64,"dd"),Monthly_Pay_Model!$C$9:$C$39,0),4),INDEX(Monthly_Pay_Model!$A$9:$D$40,MATCH(TEXT(A65,"dd"),Monthly_Pay_Model!$C$9:$C$39,0),4),INDEX(Monthly_Pay_Model!$A$9:$D$40,MATCH(TEXT(A66,"dd"),Monthly_Pay_Model!$C$9:$C$39,0),4)),IF(VLOOKUP(A63,Calendar!$A$1:$R$1377,18,0)=5,SUM(INDEX(Monthly_Pay_Model!$A$9:$D$40,MATCH(TEXT(A63,"dd"),Monthly_Pay_Model!$C$9:$C$39,0),4),INDEX(Monthly_Pay_Model!$A$9:$D$40,MATCH(TEXT(A64,"dd"),Monthly_Pay_Model!$C$9:$C$39,0),4),INDEX(Monthly_Pay_Model!$A$9:$D$40,MATCH(TEXT(A65,"dd"),Monthly_Pay_Model!$C$9:$C$39,0),4),INDEX(Monthly_Pay_Model!$A$9:$D$40,MATCH(TEXT(A66,"dd"),Monthly_Pay_Model!$C$9:$C$39,0),4),INDEX(Monthly_Pay_Model!$A$9:$D$40,MATCH(TEXT(A67,"dd"),Monthly_Pay_Model!$C$9:$C$39,0),4)),))))))</f>
        <v>4.0628272251308894E-3</v>
      </c>
      <c r="J63" s="33">
        <f>IF(C63="Yes",Monthly_Pay_Model!$D$2,0)
+IF(Calendar!N63="Yes",Monthly_Pay_Model!$D$3,0)
+IF(D63="Yes",Monthly_Pay_Model!$D$4,0)
+IF(E63="Yes",Monthly_Pay_Model!$D$5,0)</f>
        <v>0</v>
      </c>
      <c r="K63" s="27">
        <f>IF(VLOOKUP($A63,Calendar!$A$1:$R$1377,18,0)=0,0,IF(VLOOKUP($A63,Calendar!$A$1:$R$1377,18,0)=1,IFERROR(INDEX(Weekly_Model!$D$2:$D$9,MATCH(F63,Weekly_Model!$A$2:$A$9,0)),0),IF(VLOOKUP($A63,Calendar!$A$1:$R$1377,18,0)=2,SUM(IFERROR(INDEX(Weekly_Model!$D$2:$D$9,MATCH(F63,Weekly_Model!$A$2:$A$9,0)),0),IFERROR(INDEX(Weekly_Model!$D$2:$D$9,MATCH(F64,Weekly_Model!$A$2:$A$9,0)),0)),IF(VLOOKUP($A63,Calendar!$A$1:$R$1377,18,0)=3,SUM(IFERROR(INDEX(Weekly_Model!$D$2:$D$9,MATCH(F63,Weekly_Model!$A$2:$A$9,0)),0),IFERROR(INDEX(Weekly_Model!$D$2:$D$9,MATCH(F64,Weekly_Model!$A$2:$A$9,0)),0),IFERROR(INDEX(Weekly_Model!$D$2:$D$9,MATCH(F65,Weekly_Model!$A$2:$A$9,0)),0)),IF(VLOOKUP($A63,Calendar!$A$1:$R$1377,18,0)=4,SUM(IFERROR(INDEX(Weekly_Model!$D$2:$D$9,MATCH(F63,Weekly_Model!$A$2:$A$9,0)),0),IFERROR(INDEX(Weekly_Model!$D$2:$D$9,MATCH(F64,Weekly_Model!$A$2:$A$9,0)),0),IFERROR(INDEX(Weekly_Model!$D$2:$D$9,MATCH(F65,Weekly_Model!$A$2:$A$9,0)),0),IFERROR(INDEX(Weekly_Model!$D$2:$D$9,MATCH(F66,Weekly_Model!$A$2:$A$9,0)),0)),IF(VLOOKUP($A63,Calendar!$A$1:$R$1377,18,0)=5,SUM(IFERROR(INDEX(Weekly_Model!$D$2:$D$9,MATCH(F63,Weekly_Model!$A$2:$A$9,0)),0),IFERROR(INDEX(Weekly_Model!$D$2:$D$9,MATCH(F64,Weekly_Model!$A$2:$A$9,0)),0),IFERROR(INDEX(Weekly_Model!$D$2:$D$9,MATCH(F65,Weekly_Model!$A$2:$A$9,0)),0),IFERROR(INDEX(Weekly_Model!$D$2:$D$9,MATCH(F66,Weekly_Model!$A$2:$A$9,0)),0),IFERROR(INDEX(Weekly_Model!$D$2:$D$9,MATCH(F67,Weekly_Model!$A$2:$A$9,0)),0)),0))))))</f>
        <v>2.3200000000000002E-2</v>
      </c>
      <c r="L63" s="27">
        <f>IF(VLOOKUP($A63,Calendar!$A$1:$R$1377,18,0)=0,0,IF(VLOOKUP($A63,Calendar!$A$1:$R$1377,18,0)=1,IFERROR(INDEX(Fortnightly_Model!$D$2:$D$15,MATCH(G63,Fortnightly_Model!$B$2:$B$15,0)),0),IF(VLOOKUP($A63,Calendar!$A$1:$R$1377,18,0)=2,SUM(IFERROR(INDEX(Fortnightly_Model!$D$2:$D$15,MATCH(G63,Fortnightly_Model!$B$2:$B$15,0)),0),IFERROR(INDEX(Fortnightly_Model!$D$2:$D$15,MATCH(G64,Fortnightly_Model!$B$2:$B$15,0)),0)),IF(VLOOKUP($A63,Calendar!$A$1:$R$1377,18,0)=3,SUM(IFERROR(INDEX(Fortnightly_Model!$D$2:$D$15,MATCH(G63,Fortnightly_Model!$B$2:$B$15,0)),0),IFERROR(INDEX(Fortnightly_Model!$D$2:$D$15,MATCH(G64,Fortnightly_Model!$B$2:$B$15,0)),0),IFERROR(INDEX(Fortnightly_Model!$D$2:$D$15,MATCH(G65,Fortnightly_Model!$B$2:$B$15,0)),0)),IF(VLOOKUP($A63,Calendar!$A$1:$R$1377,18,0)=4,SUM(IFERROR(INDEX(Fortnightly_Model!$D$2:$D$15,MATCH(G63,Fortnightly_Model!$B$2:$B$15,0)),0),IFERROR(INDEX(Fortnightly_Model!$D$2:$D$15,MATCH(G64,Fortnightly_Model!$B$2:$B$15,0)),0),IFERROR(INDEX(Fortnightly_Model!$D$2:$D$15,MATCH(G65,Fortnightly_Model!$B$2:$B$15,0)),0),IFERROR(INDEX(Fortnightly_Model!$D$2:$D$15,MATCH(G66,Fortnightly_Model!$B$2:$B$15,0)),0)),IF(VLOOKUP($A63,Calendar!$A$1:$R$1377,18,0)=5,SUM(IFERROR(INDEX(Fortnightly_Model!$D$2:$D$15,MATCH(G63,Fortnightly_Model!$B$2:$B$15,0)),0),IFERROR(INDEX(Fortnightly_Model!$D$2:$D$15,MATCH(G64,Fortnightly_Model!$B$2:$B$15,0)),0),IFERROR(INDEX(Fortnightly_Model!$D$2:$D$15,MATCH(G65,Fortnightly_Model!$B$2:$B$15,0)),0),IFERROR(INDEX(Fortnightly_Model!$D$2:$D$15,MATCH(G66,Fortnightly_Model!$B$2:$B$15,0)),0),IFERROR(INDEX(Fortnightly_Model!$D$2:$D$15,MATCH(G67,Fortnightly_Model!$B$2:$B$15,0)),0)),0))))))</f>
        <v>1.0714285499999999E-3</v>
      </c>
      <c r="M63" s="27">
        <f>IF(VLOOKUP($A63,Calendar!$A$1:$R$1377,18,0)=0,0,IF(VLOOKUP($A63,Calendar!$A$1:$R$1377,18,0)=1,IFERROR(INDEX(FourWeekly_Model!$D$2:$D$29,MATCH(H63,FourWeekly_Model!$B$2:$B$29,0)),0),IF(VLOOKUP($A63,Calendar!$A$1:$R$1377,18,0)=2,SUM(IFERROR(INDEX(FourWeekly_Model!$D$2:$D$29,MATCH(H63,FourWeekly_Model!$B$2:$B$29,0)),0),IFERROR(INDEX(FourWeekly_Model!$D$2:$D$29,MATCH(H64,FourWeekly_Model!$B$2:$B$29,0)),0)),IF(VLOOKUP($A63,Calendar!$A$1:$R$1377,18,0)=3,SUM(IFERROR(INDEX(FourWeekly_Model!$D$2:$D$29,MATCH(H63,FourWeekly_Model!$B$2:$B$29,0)),0),IFERROR(INDEX(FourWeekly_Model!$D$2:$D$29,MATCH(H64,FourWeekly_Model!$B$2:$B$29,0)),0),IFERROR(INDEX(FourWeekly_Model!$D$2:$D$29,MATCH(H65,FourWeekly_Model!$B$2:$B$29,0)),0)),IF(VLOOKUP($A63,Calendar!$A$1:$R$1377,18,0)=4,SUM(IFERROR(INDEX(FourWeekly_Model!$D$2:$D$29,MATCH(H63,FourWeekly_Model!$B$2:$B$29,0)),0),IFERROR(INDEX(FourWeekly_Model!$D$2:$D$29,MATCH(H64,FourWeekly_Model!$B$2:$B$29,0)),0),IFERROR(INDEX(FourWeekly_Model!$D$2:$D$29,MATCH(H65,FourWeekly_Model!$B$2:$B$29,0)),0),IFERROR(INDEX(FourWeekly_Model!$D$2:$D$29,MATCH(H66,FourWeekly_Model!$B$2:$B$29,0)),0)),IF(VLOOKUP($A63,Calendar!$A$1:$R$1377,18,0)=5,SUM(IFERROR(INDEX(FourWeekly_Model!$D$2:$D$29,MATCH(H63,FourWeekly_Model!$B$2:$B$29,0)),0),IFERROR(INDEX(FourWeekly_Model!$D$2:$D$29,MATCH(H64,FourWeekly_Model!$B$2:$B$29,0)),0),IFERROR(INDEX(FourWeekly_Model!$D$2:$D$29,MATCH(H65,FourWeekly_Model!$B$2:$B$29,0)),0),IFERROR(INDEX(FourWeekly_Model!$D$2:$D$29,MATCH(H66,FourWeekly_Model!$B$2:$B$29,0)),0),IFERROR(INDEX(FourWeekly_Model!$D$2:$D$29,MATCH(H67,FourWeekly_Model!$B$2:$B$29,0)),0)),0))))))</f>
        <v>3.3214289700000004E-3</v>
      </c>
      <c r="N63" s="27">
        <f>SUM(I63:M63)</f>
        <v>3.1655684745130891E-2</v>
      </c>
      <c r="O63" s="28">
        <f>Population_Data!$B$8*N63</f>
        <v>959167.24777746596</v>
      </c>
      <c r="P63" s="27">
        <f>IF(VLOOKUP($A63,Calendar!$A$1:$R$1377,18,0)=0,0,IF(VLOOKUP($A63,Calendar!$A$1:$R$1377,18,0)=1,IFERROR(INDEX(Pension_Model!$D$2:$D$29,MATCH(H63,Pension_Model!$B$2:$B$29,0)),0),IF(VLOOKUP($A63,Calendar!$A$1:$R$1377,18,0)=2,SUM(IFERROR(INDEX(Pension_Model!$D$2:$D$29,MATCH(H63,Pension_Model!$B$2:$B$29,0)),0),IFERROR(INDEX(Pension_Model!$D$2:$D$29,MATCH(H64,Pension_Model!$B$2:$B$29,0)),0)),IF(VLOOKUP($A63,Calendar!$A$1:$R$1377,18,0)=3,SUM(IFERROR(INDEX(Pension_Model!$D$2:$D$29,MATCH(H63,Pension_Model!$B$2:$B$29,0)),0),IFERROR(INDEX(Pension_Model!$D$2:$D$29,MATCH(H64,Pension_Model!$B$2:$B$29,0)),0),IFERROR(INDEX(Pension_Model!$D$2:$D$29,MATCH(H65,Pension_Model!$B$2:$B$29,0)),0)),IF(VLOOKUP($A63,Calendar!$A$1:$R$1377,18,0)=4,SUM(IFERROR(INDEX(Pension_Model!$D$2:$D$29,MATCH(H63,Pension_Model!$B$2:$B$29,0)),0),IFERROR(INDEX(Pension_Model!$D$2:$D$29,MATCH(H64,Pension_Model!$B$2:$B$29,0)),0),IFERROR(INDEX(Pension_Model!$D$2:$D$29,MATCH(H65,Pension_Model!$B$2:$B$29,0)),0),IFERROR(INDEX(Pension_Model!$D$2:$D$29,MATCH(H66,Pension_Model!$B$2:$B$29,0)),0)),IF(VLOOKUP($A63,Calendar!$A$1:$R$1377,18,0)=5,SUM(IFERROR(INDEX(Pension_Model!$D$2:$D$29,MATCH(H63,Pension_Model!$B$2:$B$29,0)),0),IFERROR(INDEX(Pension_Model!$D$2:$D$29,MATCH(H64,Pension_Model!$B$2:$B$29,0)),0),IFERROR(INDEX(Pension_Model!$D$2:$D$29,MATCH(H65,Pension_Model!$B$2:$B$29,0)),0),IFERROR(INDEX(Pension_Model!$D$2:$D$29,MATCH(H66,Pension_Model!$B$2:$B$29,0)),0),IFERROR(INDEX(Pension_Model!$D$2:$D$29,MATCH(H67,Pension_Model!$B$2:$B$29,0)),0)),0))))))</f>
        <v>0.05</v>
      </c>
      <c r="Q63" s="28">
        <f>Population_Data!$B$15*P63</f>
        <v>660600</v>
      </c>
      <c r="S63">
        <f t="shared" si="0"/>
        <v>1619767.247777466</v>
      </c>
      <c r="U63" s="33">
        <f>S63/Population_Data!$B$19</f>
        <v>2.9343609561185979E-2</v>
      </c>
    </row>
    <row r="64" spans="1:21">
      <c r="A64" s="25">
        <f>Calendar!A64</f>
        <v>46297</v>
      </c>
      <c r="B64" t="str">
        <f>Calendar!L64</f>
        <v>Yes</v>
      </c>
      <c r="C64" t="str">
        <f>Calendar!O64</f>
        <v>No</v>
      </c>
      <c r="D64" t="str">
        <f>Calendar!P64</f>
        <v>No</v>
      </c>
      <c r="E64" t="str">
        <f>Calendar!Q64</f>
        <v>No</v>
      </c>
      <c r="F64" t="str">
        <f>Calendar!I64</f>
        <v>Friday</v>
      </c>
      <c r="G64">
        <f>Calendar!S64</f>
        <v>13</v>
      </c>
      <c r="H64">
        <f>Calendar!T64</f>
        <v>13</v>
      </c>
      <c r="I64" s="27">
        <f>IF(VLOOKUP(A64,Calendar!$A$1:$R$1377,18,0)=0,0,IF(VLOOKUP(A64,Calendar!$A$1:$R$1377,18,0)=1,INDEX(Monthly_Pay_Model!$A$9:$D$40,MATCH(TEXT(A64,"dd"),Monthly_Pay_Model!$C$9:$C$39,0),4),IF(VLOOKUP(A64,Calendar!$A$1:$R$1377,18,0)=2,SUM(INDEX(Monthly_Pay_Model!$A$9:$D$40,MATCH(TEXT(A64,"dd"),Monthly_Pay_Model!$C$9:$C$39,0),4),INDEX(Monthly_Pay_Model!$A$9:$D$40,MATCH(TEXT(A65,"dd"),Monthly_Pay_Model!$C$9:$C$39,0),4)),IF(VLOOKUP(A64,Calendar!$A$1:$R$1377,18,0)=3,SUM(INDEX(Monthly_Pay_Model!$A$9:$D$40,MATCH(TEXT(A64,"dd"),Monthly_Pay_Model!$C$9:$C$39,0),4),INDEX(Monthly_Pay_Model!$A$9:$D$40,MATCH(TEXT(A65,"dd"),Monthly_Pay_Model!$C$9:$C$39,0),4),INDEX(Monthly_Pay_Model!$A$9:$D$40,MATCH(TEXT(A66,"dd"),Monthly_Pay_Model!$C$9:$C$39,0),4)),IF(VLOOKUP(A64,Calendar!$A$1:$R$1377,18,0)=4,SUM(INDEX(Monthly_Pay_Model!$A$9:$D$40,MATCH(TEXT(A64,"dd"),Monthly_Pay_Model!$C$9:$C$39,0),4),INDEX(Monthly_Pay_Model!$A$9:$D$40,MATCH(TEXT(A65,"dd"),Monthly_Pay_Model!$C$9:$C$39,0),4),INDEX(Monthly_Pay_Model!$A$9:$D$40,MATCH(TEXT(A66,"dd"),Monthly_Pay_Model!$C$9:$C$39,0),4),INDEX(Monthly_Pay_Model!$A$9:$D$40,MATCH(TEXT(A67,"dd"),Monthly_Pay_Model!$C$9:$C$39,0),4)),IF(VLOOKUP(A64,Calendar!$A$1:$R$1377,18,0)=5,SUM(INDEX(Monthly_Pay_Model!$A$9:$D$40,MATCH(TEXT(A64,"dd"),Monthly_Pay_Model!$C$9:$C$39,0),4),INDEX(Monthly_Pay_Model!$A$9:$D$40,MATCH(TEXT(A65,"dd"),Monthly_Pay_Model!$C$9:$C$39,0),4),INDEX(Monthly_Pay_Model!$A$9:$D$40,MATCH(TEXT(A66,"dd"),Monthly_Pay_Model!$C$9:$C$39,0),4),INDEX(Monthly_Pay_Model!$A$9:$D$40,MATCH(TEXT(A67,"dd"),Monthly_Pay_Model!$C$9:$C$39,0),4),INDEX(Monthly_Pay_Model!$A$9:$D$40,MATCH(TEXT(A68,"dd"),Monthly_Pay_Model!$C$9:$C$39,0),4)),))))))</f>
        <v>2.437696335078534E-3</v>
      </c>
      <c r="J64" s="33">
        <f>IF(C64="Yes",Monthly_Pay_Model!$D$2,0)
+IF(Calendar!N64="Yes",Monthly_Pay_Model!$D$3,0)
+IF(D64="Yes",Monthly_Pay_Model!$D$4,0)
+IF(E64="Yes",Monthly_Pay_Model!$D$5,0)</f>
        <v>0</v>
      </c>
      <c r="K64" s="27">
        <f>IF(VLOOKUP($A64,Calendar!$A$1:$R$1377,18,0)=0,0,IF(VLOOKUP($A64,Calendar!$A$1:$R$1377,18,0)=1,IFERROR(INDEX(Weekly_Model!$D$2:$D$9,MATCH(F64,Weekly_Model!$A$2:$A$9,0)),0),IF(VLOOKUP($A64,Calendar!$A$1:$R$1377,18,0)=2,SUM(IFERROR(INDEX(Weekly_Model!$D$2:$D$9,MATCH(F64,Weekly_Model!$A$2:$A$9,0)),0),IFERROR(INDEX(Weekly_Model!$D$2:$D$9,MATCH(F65,Weekly_Model!$A$2:$A$9,0)),0)),IF(VLOOKUP($A64,Calendar!$A$1:$R$1377,18,0)=3,SUM(IFERROR(INDEX(Weekly_Model!$D$2:$D$9,MATCH(F64,Weekly_Model!$A$2:$A$9,0)),0),IFERROR(INDEX(Weekly_Model!$D$2:$D$9,MATCH(F65,Weekly_Model!$A$2:$A$9,0)),0),IFERROR(INDEX(Weekly_Model!$D$2:$D$9,MATCH(F66,Weekly_Model!$A$2:$A$9,0)),0)),IF(VLOOKUP($A64,Calendar!$A$1:$R$1377,18,0)=4,SUM(IFERROR(INDEX(Weekly_Model!$D$2:$D$9,MATCH(F64,Weekly_Model!$A$2:$A$9,0)),0),IFERROR(INDEX(Weekly_Model!$D$2:$D$9,MATCH(F65,Weekly_Model!$A$2:$A$9,0)),0),IFERROR(INDEX(Weekly_Model!$D$2:$D$9,MATCH(F66,Weekly_Model!$A$2:$A$9,0)),0),IFERROR(INDEX(Weekly_Model!$D$2:$D$9,MATCH(F67,Weekly_Model!$A$2:$A$9,0)),0)),IF(VLOOKUP($A64,Calendar!$A$1:$R$1377,18,0)=5,SUM(IFERROR(INDEX(Weekly_Model!$D$2:$D$9,MATCH(F64,Weekly_Model!$A$2:$A$9,0)),0),IFERROR(INDEX(Weekly_Model!$D$2:$D$9,MATCH(F65,Weekly_Model!$A$2:$A$9,0)),0),IFERROR(INDEX(Weekly_Model!$D$2:$D$9,MATCH(F66,Weekly_Model!$A$2:$A$9,0)),0),IFERROR(INDEX(Weekly_Model!$D$2:$D$9,MATCH(F67,Weekly_Model!$A$2:$A$9,0)),0),IFERROR(INDEX(Weekly_Model!$D$2:$D$9,MATCH(F68,Weekly_Model!$A$2:$A$9,0)),0)),0))))))</f>
        <v>2.3200000000000002E-2</v>
      </c>
      <c r="L64" s="27">
        <f>IF(VLOOKUP($A64,Calendar!$A$1:$R$1377,18,0)=0,0,IF(VLOOKUP($A64,Calendar!$A$1:$R$1377,18,0)=1,IFERROR(INDEX(Fortnightly_Model!$D$2:$D$15,MATCH(G64,Fortnightly_Model!$B$2:$B$15,0)),0),IF(VLOOKUP($A64,Calendar!$A$1:$R$1377,18,0)=2,SUM(IFERROR(INDEX(Fortnightly_Model!$D$2:$D$15,MATCH(G64,Fortnightly_Model!$B$2:$B$15,0)),0),IFERROR(INDEX(Fortnightly_Model!$D$2:$D$15,MATCH(G65,Fortnightly_Model!$B$2:$B$15,0)),0)),IF(VLOOKUP($A64,Calendar!$A$1:$R$1377,18,0)=3,SUM(IFERROR(INDEX(Fortnightly_Model!$D$2:$D$15,MATCH(G64,Fortnightly_Model!$B$2:$B$15,0)),0),IFERROR(INDEX(Fortnightly_Model!$D$2:$D$15,MATCH(G65,Fortnightly_Model!$B$2:$B$15,0)),0),IFERROR(INDEX(Fortnightly_Model!$D$2:$D$15,MATCH(G66,Fortnightly_Model!$B$2:$B$15,0)),0)),IF(VLOOKUP($A64,Calendar!$A$1:$R$1377,18,0)=4,SUM(IFERROR(INDEX(Fortnightly_Model!$D$2:$D$15,MATCH(G64,Fortnightly_Model!$B$2:$B$15,0)),0),IFERROR(INDEX(Fortnightly_Model!$D$2:$D$15,MATCH(G65,Fortnightly_Model!$B$2:$B$15,0)),0),IFERROR(INDEX(Fortnightly_Model!$D$2:$D$15,MATCH(G66,Fortnightly_Model!$B$2:$B$15,0)),0),IFERROR(INDEX(Fortnightly_Model!$D$2:$D$15,MATCH(G67,Fortnightly_Model!$B$2:$B$15,0)),0)),IF(VLOOKUP($A64,Calendar!$A$1:$R$1377,18,0)=5,SUM(IFERROR(INDEX(Fortnightly_Model!$D$2:$D$15,MATCH(G64,Fortnightly_Model!$B$2:$B$15,0)),0),IFERROR(INDEX(Fortnightly_Model!$D$2:$D$15,MATCH(G65,Fortnightly_Model!$B$2:$B$15,0)),0),IFERROR(INDEX(Fortnightly_Model!$D$2:$D$15,MATCH(G66,Fortnightly_Model!$B$2:$B$15,0)),0),IFERROR(INDEX(Fortnightly_Model!$D$2:$D$15,MATCH(G67,Fortnightly_Model!$B$2:$B$15,0)),0),IFERROR(INDEX(Fortnightly_Model!$D$2:$D$15,MATCH(G68,Fortnightly_Model!$B$2:$B$15,0)),0)),0))))))</f>
        <v>3.2142856499999999E-3</v>
      </c>
      <c r="M64" s="27">
        <f>IF(VLOOKUP($A64,Calendar!$A$1:$R$1377,18,0)=0,0,IF(VLOOKUP($A64,Calendar!$A$1:$R$1377,18,0)=1,IFERROR(INDEX(FourWeekly_Model!$D$2:$D$29,MATCH(H64,FourWeekly_Model!$B$2:$B$29,0)),0),IF(VLOOKUP($A64,Calendar!$A$1:$R$1377,18,0)=2,SUM(IFERROR(INDEX(FourWeekly_Model!$D$2:$D$29,MATCH(H64,FourWeekly_Model!$B$2:$B$29,0)),0),IFERROR(INDEX(FourWeekly_Model!$D$2:$D$29,MATCH(H65,FourWeekly_Model!$B$2:$B$29,0)),0)),IF(VLOOKUP($A64,Calendar!$A$1:$R$1377,18,0)=3,SUM(IFERROR(INDEX(FourWeekly_Model!$D$2:$D$29,MATCH(H64,FourWeekly_Model!$B$2:$B$29,0)),0),IFERROR(INDEX(FourWeekly_Model!$D$2:$D$29,MATCH(H65,FourWeekly_Model!$B$2:$B$29,0)),0),IFERROR(INDEX(FourWeekly_Model!$D$2:$D$29,MATCH(H66,FourWeekly_Model!$B$2:$B$29,0)),0)),IF(VLOOKUP($A64,Calendar!$A$1:$R$1377,18,0)=4,SUM(IFERROR(INDEX(FourWeekly_Model!$D$2:$D$29,MATCH(H64,FourWeekly_Model!$B$2:$B$29,0)),0),IFERROR(INDEX(FourWeekly_Model!$D$2:$D$29,MATCH(H65,FourWeekly_Model!$B$2:$B$29,0)),0),IFERROR(INDEX(FourWeekly_Model!$D$2:$D$29,MATCH(H66,FourWeekly_Model!$B$2:$B$29,0)),0),IFERROR(INDEX(FourWeekly_Model!$D$2:$D$29,MATCH(H67,FourWeekly_Model!$B$2:$B$29,0)),0)),IF(VLOOKUP($A64,Calendar!$A$1:$R$1377,18,0)=5,SUM(IFERROR(INDEX(FourWeekly_Model!$D$2:$D$29,MATCH(H64,FourWeekly_Model!$B$2:$B$29,0)),0),IFERROR(INDEX(FourWeekly_Model!$D$2:$D$29,MATCH(H65,FourWeekly_Model!$B$2:$B$29,0)),0),IFERROR(INDEX(FourWeekly_Model!$D$2:$D$29,MATCH(H66,FourWeekly_Model!$B$2:$B$29,0)),0),IFERROR(INDEX(FourWeekly_Model!$D$2:$D$29,MATCH(H67,FourWeekly_Model!$B$2:$B$29,0)),0),IFERROR(INDEX(FourWeekly_Model!$D$2:$D$29,MATCH(H68,FourWeekly_Model!$B$2:$B$29,0)),0)),0))))))</f>
        <v>9.9642859800000011E-3</v>
      </c>
      <c r="N64" s="27">
        <f>SUM(I64:M64)</f>
        <v>3.8816267965078532E-2</v>
      </c>
      <c r="O64" s="28">
        <f>Population_Data!$B$8*N64</f>
        <v>1176132.9193418794</v>
      </c>
      <c r="P64" s="27">
        <f>IF(VLOOKUP($A64,Calendar!$A$1:$R$1377,18,0)=0,0,IF(VLOOKUP($A64,Calendar!$A$1:$R$1377,18,0)=1,IFERROR(INDEX(Pension_Model!$D$2:$D$29,MATCH(H64,Pension_Model!$B$2:$B$29,0)),0),IF(VLOOKUP($A64,Calendar!$A$1:$R$1377,18,0)=2,SUM(IFERROR(INDEX(Pension_Model!$D$2:$D$29,MATCH(H64,Pension_Model!$B$2:$B$29,0)),0),IFERROR(INDEX(Pension_Model!$D$2:$D$29,MATCH(H65,Pension_Model!$B$2:$B$29,0)),0)),IF(VLOOKUP($A64,Calendar!$A$1:$R$1377,18,0)=3,SUM(IFERROR(INDEX(Pension_Model!$D$2:$D$29,MATCH(H64,Pension_Model!$B$2:$B$29,0)),0),IFERROR(INDEX(Pension_Model!$D$2:$D$29,MATCH(H65,Pension_Model!$B$2:$B$29,0)),0),IFERROR(INDEX(Pension_Model!$D$2:$D$29,MATCH(H66,Pension_Model!$B$2:$B$29,0)),0)),IF(VLOOKUP($A64,Calendar!$A$1:$R$1377,18,0)=4,SUM(IFERROR(INDEX(Pension_Model!$D$2:$D$29,MATCH(H64,Pension_Model!$B$2:$B$29,0)),0),IFERROR(INDEX(Pension_Model!$D$2:$D$29,MATCH(H65,Pension_Model!$B$2:$B$29,0)),0),IFERROR(INDEX(Pension_Model!$D$2:$D$29,MATCH(H66,Pension_Model!$B$2:$B$29,0)),0),IFERROR(INDEX(Pension_Model!$D$2:$D$29,MATCH(H67,Pension_Model!$B$2:$B$29,0)),0)),IF(VLOOKUP($A64,Calendar!$A$1:$R$1377,18,0)=5,SUM(IFERROR(INDEX(Pension_Model!$D$2:$D$29,MATCH(H64,Pension_Model!$B$2:$B$29,0)),0),IFERROR(INDEX(Pension_Model!$D$2:$D$29,MATCH(H65,Pension_Model!$B$2:$B$29,0)),0),IFERROR(INDEX(Pension_Model!$D$2:$D$29,MATCH(H66,Pension_Model!$B$2:$B$29,0)),0),IFERROR(INDEX(Pension_Model!$D$2:$D$29,MATCH(H67,Pension_Model!$B$2:$B$29,0)),0),IFERROR(INDEX(Pension_Model!$D$2:$D$29,MATCH(H68,Pension_Model!$B$2:$B$29,0)),0)),0))))))</f>
        <v>0.05</v>
      </c>
      <c r="Q64" s="28">
        <f>Population_Data!$B$15*P64</f>
        <v>660600</v>
      </c>
      <c r="S64">
        <f t="shared" si="0"/>
        <v>1836732.9193418794</v>
      </c>
      <c r="U64" s="33">
        <f>S64/Population_Data!$B$19</f>
        <v>3.32741470895268E-2</v>
      </c>
    </row>
    <row r="65" spans="1:21">
      <c r="A65" s="25">
        <f>Calendar!A65</f>
        <v>46298</v>
      </c>
      <c r="B65" t="str">
        <f>Calendar!L65</f>
        <v>No</v>
      </c>
      <c r="C65" t="str">
        <f>Calendar!O65</f>
        <v>No</v>
      </c>
      <c r="D65" t="str">
        <f>Calendar!P65</f>
        <v>No</v>
      </c>
      <c r="E65" t="str">
        <f>Calendar!Q65</f>
        <v>No</v>
      </c>
      <c r="F65" t="str">
        <f>Calendar!I65</f>
        <v>Saturday</v>
      </c>
      <c r="G65">
        <f>Calendar!S65</f>
        <v>0</v>
      </c>
      <c r="H65">
        <f>Calendar!T65</f>
        <v>14</v>
      </c>
      <c r="I65" s="27">
        <f>IF(VLOOKUP(A65,Calendar!$A$1:$R$1377,18,0)=0,0,IF(VLOOKUP(A65,Calendar!$A$1:$R$1377,18,0)=1,INDEX(Monthly_Pay_Model!$A$9:$D$40,MATCH(TEXT(A65,"dd"),Monthly_Pay_Model!$C$9:$C$39,0),4),IF(VLOOKUP(A65,Calendar!$A$1:$R$1377,18,0)=2,SUM(INDEX(Monthly_Pay_Model!$A$9:$D$40,MATCH(TEXT(A65,"dd"),Monthly_Pay_Model!$C$9:$C$39,0),4),INDEX(Monthly_Pay_Model!$A$9:$D$40,MATCH(TEXT(A66,"dd"),Monthly_Pay_Model!$C$9:$C$39,0),4)),IF(VLOOKUP(A65,Calendar!$A$1:$R$1377,18,0)=3,SUM(INDEX(Monthly_Pay_Model!$A$9:$D$40,MATCH(TEXT(A65,"dd"),Monthly_Pay_Model!$C$9:$C$39,0),4),INDEX(Monthly_Pay_Model!$A$9:$D$40,MATCH(TEXT(A66,"dd"),Monthly_Pay_Model!$C$9:$C$39,0),4),INDEX(Monthly_Pay_Model!$A$9:$D$40,MATCH(TEXT(A67,"dd"),Monthly_Pay_Model!$C$9:$C$39,0),4)),IF(VLOOKUP(A65,Calendar!$A$1:$R$1377,18,0)=4,SUM(INDEX(Monthly_Pay_Model!$A$9:$D$40,MATCH(TEXT(A65,"dd"),Monthly_Pay_Model!$C$9:$C$39,0),4),INDEX(Monthly_Pay_Model!$A$9:$D$40,MATCH(TEXT(A66,"dd"),Monthly_Pay_Model!$C$9:$C$39,0),4),INDEX(Monthly_Pay_Model!$A$9:$D$40,MATCH(TEXT(A67,"dd"),Monthly_Pay_Model!$C$9:$C$39,0),4),INDEX(Monthly_Pay_Model!$A$9:$D$40,MATCH(TEXT(A68,"dd"),Monthly_Pay_Model!$C$9:$C$39,0),4)),IF(VLOOKUP(A65,Calendar!$A$1:$R$1377,18,0)=5,SUM(INDEX(Monthly_Pay_Model!$A$9:$D$40,MATCH(TEXT(A65,"dd"),Monthly_Pay_Model!$C$9:$C$39,0),4),INDEX(Monthly_Pay_Model!$A$9:$D$40,MATCH(TEXT(A66,"dd"),Monthly_Pay_Model!$C$9:$C$39,0),4),INDEX(Monthly_Pay_Model!$A$9:$D$40,MATCH(TEXT(A67,"dd"),Monthly_Pay_Model!$C$9:$C$39,0),4),INDEX(Monthly_Pay_Model!$A$9:$D$40,MATCH(TEXT(A68,"dd"),Monthly_Pay_Model!$C$9:$C$39,0),4),INDEX(Monthly_Pay_Model!$A$9:$D$40,MATCH(TEXT(A69,"dd"),Monthly_Pay_Model!$C$9:$C$39,0),4)),))))))</f>
        <v>0</v>
      </c>
      <c r="J65" s="33">
        <f>IF(C65="Yes",Monthly_Pay_Model!$D$2,0)
+IF(Calendar!N65="Yes",Monthly_Pay_Model!$D$3,0)
+IF(D65="Yes",Monthly_Pay_Model!$D$4,0)
+IF(E65="Yes",Monthly_Pay_Model!$D$5,0)</f>
        <v>0</v>
      </c>
      <c r="K65" s="27">
        <f>IF(VLOOKUP($A65,Calendar!$A$1:$R$1377,18,0)=0,0,IF(VLOOKUP($A65,Calendar!$A$1:$R$1377,18,0)=1,IFERROR(INDEX(Weekly_Model!$D$2:$D$9,MATCH(F65,Weekly_Model!$A$2:$A$9,0)),0),IF(VLOOKUP($A65,Calendar!$A$1:$R$1377,18,0)=2,SUM(IFERROR(INDEX(Weekly_Model!$D$2:$D$9,MATCH(F65,Weekly_Model!$A$2:$A$9,0)),0),IFERROR(INDEX(Weekly_Model!$D$2:$D$9,MATCH(F66,Weekly_Model!$A$2:$A$9,0)),0)),IF(VLOOKUP($A65,Calendar!$A$1:$R$1377,18,0)=3,SUM(IFERROR(INDEX(Weekly_Model!$D$2:$D$9,MATCH(F65,Weekly_Model!$A$2:$A$9,0)),0),IFERROR(INDEX(Weekly_Model!$D$2:$D$9,MATCH(F66,Weekly_Model!$A$2:$A$9,0)),0),IFERROR(INDEX(Weekly_Model!$D$2:$D$9,MATCH(F67,Weekly_Model!$A$2:$A$9,0)),0)),IF(VLOOKUP($A65,Calendar!$A$1:$R$1377,18,0)=4,SUM(IFERROR(INDEX(Weekly_Model!$D$2:$D$9,MATCH(F65,Weekly_Model!$A$2:$A$9,0)),0),IFERROR(INDEX(Weekly_Model!$D$2:$D$9,MATCH(F66,Weekly_Model!$A$2:$A$9,0)),0),IFERROR(INDEX(Weekly_Model!$D$2:$D$9,MATCH(F67,Weekly_Model!$A$2:$A$9,0)),0),IFERROR(INDEX(Weekly_Model!$D$2:$D$9,MATCH(F68,Weekly_Model!$A$2:$A$9,0)),0)),IF(VLOOKUP($A65,Calendar!$A$1:$R$1377,18,0)=5,SUM(IFERROR(INDEX(Weekly_Model!$D$2:$D$9,MATCH(F65,Weekly_Model!$A$2:$A$9,0)),0),IFERROR(INDEX(Weekly_Model!$D$2:$D$9,MATCH(F66,Weekly_Model!$A$2:$A$9,0)),0),IFERROR(INDEX(Weekly_Model!$D$2:$D$9,MATCH(F67,Weekly_Model!$A$2:$A$9,0)),0),IFERROR(INDEX(Weekly_Model!$D$2:$D$9,MATCH(F68,Weekly_Model!$A$2:$A$9,0)),0),IFERROR(INDEX(Weekly_Model!$D$2:$D$9,MATCH(F69,Weekly_Model!$A$2:$A$9,0)),0)),0))))))</f>
        <v>0</v>
      </c>
      <c r="L65" s="27">
        <f>IF(VLOOKUP($A65,Calendar!$A$1:$R$1377,18,0)=0,0,IF(VLOOKUP($A65,Calendar!$A$1:$R$1377,18,0)=1,IFERROR(INDEX(Fortnightly_Model!$D$2:$D$15,MATCH(G65,Fortnightly_Model!$B$2:$B$15,0)),0),IF(VLOOKUP($A65,Calendar!$A$1:$R$1377,18,0)=2,SUM(IFERROR(INDEX(Fortnightly_Model!$D$2:$D$15,MATCH(G65,Fortnightly_Model!$B$2:$B$15,0)),0),IFERROR(INDEX(Fortnightly_Model!$D$2:$D$15,MATCH(G66,Fortnightly_Model!$B$2:$B$15,0)),0)),IF(VLOOKUP($A65,Calendar!$A$1:$R$1377,18,0)=3,SUM(IFERROR(INDEX(Fortnightly_Model!$D$2:$D$15,MATCH(G65,Fortnightly_Model!$B$2:$B$15,0)),0),IFERROR(INDEX(Fortnightly_Model!$D$2:$D$15,MATCH(G66,Fortnightly_Model!$B$2:$B$15,0)),0),IFERROR(INDEX(Fortnightly_Model!$D$2:$D$15,MATCH(G67,Fortnightly_Model!$B$2:$B$15,0)),0)),IF(VLOOKUP($A65,Calendar!$A$1:$R$1377,18,0)=4,SUM(IFERROR(INDEX(Fortnightly_Model!$D$2:$D$15,MATCH(G65,Fortnightly_Model!$B$2:$B$15,0)),0),IFERROR(INDEX(Fortnightly_Model!$D$2:$D$15,MATCH(G66,Fortnightly_Model!$B$2:$B$15,0)),0),IFERROR(INDEX(Fortnightly_Model!$D$2:$D$15,MATCH(G67,Fortnightly_Model!$B$2:$B$15,0)),0),IFERROR(INDEX(Fortnightly_Model!$D$2:$D$15,MATCH(G68,Fortnightly_Model!$B$2:$B$15,0)),0)),IF(VLOOKUP($A65,Calendar!$A$1:$R$1377,18,0)=5,SUM(IFERROR(INDEX(Fortnightly_Model!$D$2:$D$15,MATCH(G65,Fortnightly_Model!$B$2:$B$15,0)),0),IFERROR(INDEX(Fortnightly_Model!$D$2:$D$15,MATCH(G66,Fortnightly_Model!$B$2:$B$15,0)),0),IFERROR(INDEX(Fortnightly_Model!$D$2:$D$15,MATCH(G67,Fortnightly_Model!$B$2:$B$15,0)),0),IFERROR(INDEX(Fortnightly_Model!$D$2:$D$15,MATCH(G68,Fortnightly_Model!$B$2:$B$15,0)),0),IFERROR(INDEX(Fortnightly_Model!$D$2:$D$15,MATCH(G69,Fortnightly_Model!$B$2:$B$15,0)),0)),0))))))</f>
        <v>0</v>
      </c>
      <c r="M65" s="27">
        <f>IF(VLOOKUP($A65,Calendar!$A$1:$R$1377,18,0)=0,0,IF(VLOOKUP($A65,Calendar!$A$1:$R$1377,18,0)=1,IFERROR(INDEX(FourWeekly_Model!$D$2:$D$29,MATCH(H65,FourWeekly_Model!$B$2:$B$29,0)),0),IF(VLOOKUP($A65,Calendar!$A$1:$R$1377,18,0)=2,SUM(IFERROR(INDEX(FourWeekly_Model!$D$2:$D$29,MATCH(H65,FourWeekly_Model!$B$2:$B$29,0)),0),IFERROR(INDEX(FourWeekly_Model!$D$2:$D$29,MATCH(H66,FourWeekly_Model!$B$2:$B$29,0)),0)),IF(VLOOKUP($A65,Calendar!$A$1:$R$1377,18,0)=3,SUM(IFERROR(INDEX(FourWeekly_Model!$D$2:$D$29,MATCH(H65,FourWeekly_Model!$B$2:$B$29,0)),0),IFERROR(INDEX(FourWeekly_Model!$D$2:$D$29,MATCH(H66,FourWeekly_Model!$B$2:$B$29,0)),0),IFERROR(INDEX(FourWeekly_Model!$D$2:$D$29,MATCH(H67,FourWeekly_Model!$B$2:$B$29,0)),0)),IF(VLOOKUP($A65,Calendar!$A$1:$R$1377,18,0)=4,SUM(IFERROR(INDEX(FourWeekly_Model!$D$2:$D$29,MATCH(H65,FourWeekly_Model!$B$2:$B$29,0)),0),IFERROR(INDEX(FourWeekly_Model!$D$2:$D$29,MATCH(H66,FourWeekly_Model!$B$2:$B$29,0)),0),IFERROR(INDEX(FourWeekly_Model!$D$2:$D$29,MATCH(H67,FourWeekly_Model!$B$2:$B$29,0)),0),IFERROR(INDEX(FourWeekly_Model!$D$2:$D$29,MATCH(H68,FourWeekly_Model!$B$2:$B$29,0)),0)),IF(VLOOKUP($A65,Calendar!$A$1:$R$1377,18,0)=5,SUM(IFERROR(INDEX(FourWeekly_Model!$D$2:$D$29,MATCH(H65,FourWeekly_Model!$B$2:$B$29,0)),0),IFERROR(INDEX(FourWeekly_Model!$D$2:$D$29,MATCH(H66,FourWeekly_Model!$B$2:$B$29,0)),0),IFERROR(INDEX(FourWeekly_Model!$D$2:$D$29,MATCH(H67,FourWeekly_Model!$B$2:$B$29,0)),0),IFERROR(INDEX(FourWeekly_Model!$D$2:$D$29,MATCH(H68,FourWeekly_Model!$B$2:$B$29,0)),0),IFERROR(INDEX(FourWeekly_Model!$D$2:$D$29,MATCH(H69,FourWeekly_Model!$B$2:$B$29,0)),0)),0))))))</f>
        <v>0</v>
      </c>
      <c r="N65" s="27">
        <f>SUM(I65:M65)</f>
        <v>0</v>
      </c>
      <c r="O65" s="28">
        <f>Population_Data!$B$8*N65</f>
        <v>0</v>
      </c>
      <c r="P65" s="27">
        <f>IF(VLOOKUP($A65,Calendar!$A$1:$R$1377,18,0)=0,0,IF(VLOOKUP($A65,Calendar!$A$1:$R$1377,18,0)=1,IFERROR(INDEX(Pension_Model!$D$2:$D$29,MATCH(H65,Pension_Model!$B$2:$B$29,0)),0),IF(VLOOKUP($A65,Calendar!$A$1:$R$1377,18,0)=2,SUM(IFERROR(INDEX(Pension_Model!$D$2:$D$29,MATCH(H65,Pension_Model!$B$2:$B$29,0)),0),IFERROR(INDEX(Pension_Model!$D$2:$D$29,MATCH(H66,Pension_Model!$B$2:$B$29,0)),0)),IF(VLOOKUP($A65,Calendar!$A$1:$R$1377,18,0)=3,SUM(IFERROR(INDEX(Pension_Model!$D$2:$D$29,MATCH(H65,Pension_Model!$B$2:$B$29,0)),0),IFERROR(INDEX(Pension_Model!$D$2:$D$29,MATCH(H66,Pension_Model!$B$2:$B$29,0)),0),IFERROR(INDEX(Pension_Model!$D$2:$D$29,MATCH(H67,Pension_Model!$B$2:$B$29,0)),0)),IF(VLOOKUP($A65,Calendar!$A$1:$R$1377,18,0)=4,SUM(IFERROR(INDEX(Pension_Model!$D$2:$D$29,MATCH(H65,Pension_Model!$B$2:$B$29,0)),0),IFERROR(INDEX(Pension_Model!$D$2:$D$29,MATCH(H66,Pension_Model!$B$2:$B$29,0)),0),IFERROR(INDEX(Pension_Model!$D$2:$D$29,MATCH(H67,Pension_Model!$B$2:$B$29,0)),0),IFERROR(INDEX(Pension_Model!$D$2:$D$29,MATCH(H68,Pension_Model!$B$2:$B$29,0)),0)),IF(VLOOKUP($A65,Calendar!$A$1:$R$1377,18,0)=5,SUM(IFERROR(INDEX(Pension_Model!$D$2:$D$29,MATCH(H65,Pension_Model!$B$2:$B$29,0)),0),IFERROR(INDEX(Pension_Model!$D$2:$D$29,MATCH(H66,Pension_Model!$B$2:$B$29,0)),0),IFERROR(INDEX(Pension_Model!$D$2:$D$29,MATCH(H67,Pension_Model!$B$2:$B$29,0)),0),IFERROR(INDEX(Pension_Model!$D$2:$D$29,MATCH(H68,Pension_Model!$B$2:$B$29,0)),0),IFERROR(INDEX(Pension_Model!$D$2:$D$29,MATCH(H69,Pension_Model!$B$2:$B$29,0)),0)),0))))))</f>
        <v>0</v>
      </c>
      <c r="Q65" s="28">
        <f>Population_Data!$B$15*P65</f>
        <v>0</v>
      </c>
      <c r="S65">
        <f t="shared" si="0"/>
        <v>0</v>
      </c>
      <c r="U65" s="33">
        <f>S65/Population_Data!$B$19</f>
        <v>0</v>
      </c>
    </row>
    <row r="66" spans="1:21">
      <c r="A66" s="25">
        <f>Calendar!A66</f>
        <v>46299</v>
      </c>
      <c r="B66" t="str">
        <f>Calendar!L66</f>
        <v>No</v>
      </c>
      <c r="C66" t="str">
        <f>Calendar!O66</f>
        <v>No</v>
      </c>
      <c r="D66" t="str">
        <f>Calendar!P66</f>
        <v>No</v>
      </c>
      <c r="E66" t="str">
        <f>Calendar!Q66</f>
        <v>No</v>
      </c>
      <c r="F66" t="str">
        <f>Calendar!I66</f>
        <v>Sunday</v>
      </c>
      <c r="G66">
        <f>Calendar!S66</f>
        <v>1</v>
      </c>
      <c r="H66">
        <f>Calendar!T66</f>
        <v>15</v>
      </c>
      <c r="I66" s="27">
        <f>IF(VLOOKUP(A66,Calendar!$A$1:$R$1377,18,0)=0,0,IF(VLOOKUP(A66,Calendar!$A$1:$R$1377,18,0)=1,INDEX(Monthly_Pay_Model!$A$9:$D$40,MATCH(TEXT(A66,"dd"),Monthly_Pay_Model!$C$9:$C$39,0),4),IF(VLOOKUP(A66,Calendar!$A$1:$R$1377,18,0)=2,SUM(INDEX(Monthly_Pay_Model!$A$9:$D$40,MATCH(TEXT(A66,"dd"),Monthly_Pay_Model!$C$9:$C$39,0),4),INDEX(Monthly_Pay_Model!$A$9:$D$40,MATCH(TEXT(A67,"dd"),Monthly_Pay_Model!$C$9:$C$39,0),4)),IF(VLOOKUP(A66,Calendar!$A$1:$R$1377,18,0)=3,SUM(INDEX(Monthly_Pay_Model!$A$9:$D$40,MATCH(TEXT(A66,"dd"),Monthly_Pay_Model!$C$9:$C$39,0),4),INDEX(Monthly_Pay_Model!$A$9:$D$40,MATCH(TEXT(A67,"dd"),Monthly_Pay_Model!$C$9:$C$39,0),4),INDEX(Monthly_Pay_Model!$A$9:$D$40,MATCH(TEXT(A68,"dd"),Monthly_Pay_Model!$C$9:$C$39,0),4)),IF(VLOOKUP(A66,Calendar!$A$1:$R$1377,18,0)=4,SUM(INDEX(Monthly_Pay_Model!$A$9:$D$40,MATCH(TEXT(A66,"dd"),Monthly_Pay_Model!$C$9:$C$39,0),4),INDEX(Monthly_Pay_Model!$A$9:$D$40,MATCH(TEXT(A67,"dd"),Monthly_Pay_Model!$C$9:$C$39,0),4),INDEX(Monthly_Pay_Model!$A$9:$D$40,MATCH(TEXT(A68,"dd"),Monthly_Pay_Model!$C$9:$C$39,0),4),INDEX(Monthly_Pay_Model!$A$9:$D$40,MATCH(TEXT(A69,"dd"),Monthly_Pay_Model!$C$9:$C$39,0),4)),IF(VLOOKUP(A66,Calendar!$A$1:$R$1377,18,0)=5,SUM(INDEX(Monthly_Pay_Model!$A$9:$D$40,MATCH(TEXT(A66,"dd"),Monthly_Pay_Model!$C$9:$C$39,0),4),INDEX(Monthly_Pay_Model!$A$9:$D$40,MATCH(TEXT(A67,"dd"),Monthly_Pay_Model!$C$9:$C$39,0),4),INDEX(Monthly_Pay_Model!$A$9:$D$40,MATCH(TEXT(A68,"dd"),Monthly_Pay_Model!$C$9:$C$39,0),4),INDEX(Monthly_Pay_Model!$A$9:$D$40,MATCH(TEXT(A69,"dd"),Monthly_Pay_Model!$C$9:$C$39,0),4),INDEX(Monthly_Pay_Model!$A$9:$D$40,MATCH(TEXT(A70,"dd"),Monthly_Pay_Model!$C$9:$C$39,0),4)),))))))</f>
        <v>0</v>
      </c>
      <c r="J66" s="33">
        <f>IF(C66="Yes",Monthly_Pay_Model!$D$2,0)
+IF(Calendar!N66="Yes",Monthly_Pay_Model!$D$3,0)
+IF(D66="Yes",Monthly_Pay_Model!$D$4,0)
+IF(E66="Yes",Monthly_Pay_Model!$D$5,0)</f>
        <v>0</v>
      </c>
      <c r="K66" s="27">
        <f>IF(VLOOKUP($A66,Calendar!$A$1:$R$1377,18,0)=0,0,IF(VLOOKUP($A66,Calendar!$A$1:$R$1377,18,0)=1,IFERROR(INDEX(Weekly_Model!$D$2:$D$9,MATCH(F66,Weekly_Model!$A$2:$A$9,0)),0),IF(VLOOKUP($A66,Calendar!$A$1:$R$1377,18,0)=2,SUM(IFERROR(INDEX(Weekly_Model!$D$2:$D$9,MATCH(F66,Weekly_Model!$A$2:$A$9,0)),0),IFERROR(INDEX(Weekly_Model!$D$2:$D$9,MATCH(F67,Weekly_Model!$A$2:$A$9,0)),0)),IF(VLOOKUP($A66,Calendar!$A$1:$R$1377,18,0)=3,SUM(IFERROR(INDEX(Weekly_Model!$D$2:$D$9,MATCH(F66,Weekly_Model!$A$2:$A$9,0)),0),IFERROR(INDEX(Weekly_Model!$D$2:$D$9,MATCH(F67,Weekly_Model!$A$2:$A$9,0)),0),IFERROR(INDEX(Weekly_Model!$D$2:$D$9,MATCH(F68,Weekly_Model!$A$2:$A$9,0)),0)),IF(VLOOKUP($A66,Calendar!$A$1:$R$1377,18,0)=4,SUM(IFERROR(INDEX(Weekly_Model!$D$2:$D$9,MATCH(F66,Weekly_Model!$A$2:$A$9,0)),0),IFERROR(INDEX(Weekly_Model!$D$2:$D$9,MATCH(F67,Weekly_Model!$A$2:$A$9,0)),0),IFERROR(INDEX(Weekly_Model!$D$2:$D$9,MATCH(F68,Weekly_Model!$A$2:$A$9,0)),0),IFERROR(INDEX(Weekly_Model!$D$2:$D$9,MATCH(F69,Weekly_Model!$A$2:$A$9,0)),0)),IF(VLOOKUP($A66,Calendar!$A$1:$R$1377,18,0)=5,SUM(IFERROR(INDEX(Weekly_Model!$D$2:$D$9,MATCH(F66,Weekly_Model!$A$2:$A$9,0)),0),IFERROR(INDEX(Weekly_Model!$D$2:$D$9,MATCH(F67,Weekly_Model!$A$2:$A$9,0)),0),IFERROR(INDEX(Weekly_Model!$D$2:$D$9,MATCH(F68,Weekly_Model!$A$2:$A$9,0)),0),IFERROR(INDEX(Weekly_Model!$D$2:$D$9,MATCH(F69,Weekly_Model!$A$2:$A$9,0)),0),IFERROR(INDEX(Weekly_Model!$D$2:$D$9,MATCH(F70,Weekly_Model!$A$2:$A$9,0)),0)),0))))))</f>
        <v>0</v>
      </c>
      <c r="L66" s="27">
        <f>IF(VLOOKUP($A66,Calendar!$A$1:$R$1377,18,0)=0,0,IF(VLOOKUP($A66,Calendar!$A$1:$R$1377,18,0)=1,IFERROR(INDEX(Fortnightly_Model!$D$2:$D$15,MATCH(G66,Fortnightly_Model!$B$2:$B$15,0)),0),IF(VLOOKUP($A66,Calendar!$A$1:$R$1377,18,0)=2,SUM(IFERROR(INDEX(Fortnightly_Model!$D$2:$D$15,MATCH(G66,Fortnightly_Model!$B$2:$B$15,0)),0),IFERROR(INDEX(Fortnightly_Model!$D$2:$D$15,MATCH(G67,Fortnightly_Model!$B$2:$B$15,0)),0)),IF(VLOOKUP($A66,Calendar!$A$1:$R$1377,18,0)=3,SUM(IFERROR(INDEX(Fortnightly_Model!$D$2:$D$15,MATCH(G66,Fortnightly_Model!$B$2:$B$15,0)),0),IFERROR(INDEX(Fortnightly_Model!$D$2:$D$15,MATCH(G67,Fortnightly_Model!$B$2:$B$15,0)),0),IFERROR(INDEX(Fortnightly_Model!$D$2:$D$15,MATCH(G68,Fortnightly_Model!$B$2:$B$15,0)),0)),IF(VLOOKUP($A66,Calendar!$A$1:$R$1377,18,0)=4,SUM(IFERROR(INDEX(Fortnightly_Model!$D$2:$D$15,MATCH(G66,Fortnightly_Model!$B$2:$B$15,0)),0),IFERROR(INDEX(Fortnightly_Model!$D$2:$D$15,MATCH(G67,Fortnightly_Model!$B$2:$B$15,0)),0),IFERROR(INDEX(Fortnightly_Model!$D$2:$D$15,MATCH(G68,Fortnightly_Model!$B$2:$B$15,0)),0),IFERROR(INDEX(Fortnightly_Model!$D$2:$D$15,MATCH(G69,Fortnightly_Model!$B$2:$B$15,0)),0)),IF(VLOOKUP($A66,Calendar!$A$1:$R$1377,18,0)=5,SUM(IFERROR(INDEX(Fortnightly_Model!$D$2:$D$15,MATCH(G66,Fortnightly_Model!$B$2:$B$15,0)),0),IFERROR(INDEX(Fortnightly_Model!$D$2:$D$15,MATCH(G67,Fortnightly_Model!$B$2:$B$15,0)),0),IFERROR(INDEX(Fortnightly_Model!$D$2:$D$15,MATCH(G68,Fortnightly_Model!$B$2:$B$15,0)),0),IFERROR(INDEX(Fortnightly_Model!$D$2:$D$15,MATCH(G69,Fortnightly_Model!$B$2:$B$15,0)),0),IFERROR(INDEX(Fortnightly_Model!$D$2:$D$15,MATCH(G70,Fortnightly_Model!$B$2:$B$15,0)),0)),0))))))</f>
        <v>0</v>
      </c>
      <c r="M66" s="27">
        <f>IF(VLOOKUP($A66,Calendar!$A$1:$R$1377,18,0)=0,0,IF(VLOOKUP($A66,Calendar!$A$1:$R$1377,18,0)=1,IFERROR(INDEX(FourWeekly_Model!$D$2:$D$29,MATCH(H66,FourWeekly_Model!$B$2:$B$29,0)),0),IF(VLOOKUP($A66,Calendar!$A$1:$R$1377,18,0)=2,SUM(IFERROR(INDEX(FourWeekly_Model!$D$2:$D$29,MATCH(H66,FourWeekly_Model!$B$2:$B$29,0)),0),IFERROR(INDEX(FourWeekly_Model!$D$2:$D$29,MATCH(H67,FourWeekly_Model!$B$2:$B$29,0)),0)),IF(VLOOKUP($A66,Calendar!$A$1:$R$1377,18,0)=3,SUM(IFERROR(INDEX(FourWeekly_Model!$D$2:$D$29,MATCH(H66,FourWeekly_Model!$B$2:$B$29,0)),0),IFERROR(INDEX(FourWeekly_Model!$D$2:$D$29,MATCH(H67,FourWeekly_Model!$B$2:$B$29,0)),0),IFERROR(INDEX(FourWeekly_Model!$D$2:$D$29,MATCH(H68,FourWeekly_Model!$B$2:$B$29,0)),0)),IF(VLOOKUP($A66,Calendar!$A$1:$R$1377,18,0)=4,SUM(IFERROR(INDEX(FourWeekly_Model!$D$2:$D$29,MATCH(H66,FourWeekly_Model!$B$2:$B$29,0)),0),IFERROR(INDEX(FourWeekly_Model!$D$2:$D$29,MATCH(H67,FourWeekly_Model!$B$2:$B$29,0)),0),IFERROR(INDEX(FourWeekly_Model!$D$2:$D$29,MATCH(H68,FourWeekly_Model!$B$2:$B$29,0)),0),IFERROR(INDEX(FourWeekly_Model!$D$2:$D$29,MATCH(H69,FourWeekly_Model!$B$2:$B$29,0)),0)),IF(VLOOKUP($A66,Calendar!$A$1:$R$1377,18,0)=5,SUM(IFERROR(INDEX(FourWeekly_Model!$D$2:$D$29,MATCH(H66,FourWeekly_Model!$B$2:$B$29,0)),0),IFERROR(INDEX(FourWeekly_Model!$D$2:$D$29,MATCH(H67,FourWeekly_Model!$B$2:$B$29,0)),0),IFERROR(INDEX(FourWeekly_Model!$D$2:$D$29,MATCH(H68,FourWeekly_Model!$B$2:$B$29,0)),0),IFERROR(INDEX(FourWeekly_Model!$D$2:$D$29,MATCH(H69,FourWeekly_Model!$B$2:$B$29,0)),0),IFERROR(INDEX(FourWeekly_Model!$D$2:$D$29,MATCH(H70,FourWeekly_Model!$B$2:$B$29,0)),0)),0))))))</f>
        <v>0</v>
      </c>
      <c r="N66" s="27">
        <f>SUM(I66:M66)</f>
        <v>0</v>
      </c>
      <c r="O66" s="28">
        <f>Population_Data!$B$8*N66</f>
        <v>0</v>
      </c>
      <c r="P66" s="27">
        <f>IF(VLOOKUP($A66,Calendar!$A$1:$R$1377,18,0)=0,0,IF(VLOOKUP($A66,Calendar!$A$1:$R$1377,18,0)=1,IFERROR(INDEX(Pension_Model!$D$2:$D$29,MATCH(H66,Pension_Model!$B$2:$B$29,0)),0),IF(VLOOKUP($A66,Calendar!$A$1:$R$1377,18,0)=2,SUM(IFERROR(INDEX(Pension_Model!$D$2:$D$29,MATCH(H66,Pension_Model!$B$2:$B$29,0)),0),IFERROR(INDEX(Pension_Model!$D$2:$D$29,MATCH(H67,Pension_Model!$B$2:$B$29,0)),0)),IF(VLOOKUP($A66,Calendar!$A$1:$R$1377,18,0)=3,SUM(IFERROR(INDEX(Pension_Model!$D$2:$D$29,MATCH(H66,Pension_Model!$B$2:$B$29,0)),0),IFERROR(INDEX(Pension_Model!$D$2:$D$29,MATCH(H67,Pension_Model!$B$2:$B$29,0)),0),IFERROR(INDEX(Pension_Model!$D$2:$D$29,MATCH(H68,Pension_Model!$B$2:$B$29,0)),0)),IF(VLOOKUP($A66,Calendar!$A$1:$R$1377,18,0)=4,SUM(IFERROR(INDEX(Pension_Model!$D$2:$D$29,MATCH(H66,Pension_Model!$B$2:$B$29,0)),0),IFERROR(INDEX(Pension_Model!$D$2:$D$29,MATCH(H67,Pension_Model!$B$2:$B$29,0)),0),IFERROR(INDEX(Pension_Model!$D$2:$D$29,MATCH(H68,Pension_Model!$B$2:$B$29,0)),0),IFERROR(INDEX(Pension_Model!$D$2:$D$29,MATCH(H69,Pension_Model!$B$2:$B$29,0)),0)),IF(VLOOKUP($A66,Calendar!$A$1:$R$1377,18,0)=5,SUM(IFERROR(INDEX(Pension_Model!$D$2:$D$29,MATCH(H66,Pension_Model!$B$2:$B$29,0)),0),IFERROR(INDEX(Pension_Model!$D$2:$D$29,MATCH(H67,Pension_Model!$B$2:$B$29,0)),0),IFERROR(INDEX(Pension_Model!$D$2:$D$29,MATCH(H68,Pension_Model!$B$2:$B$29,0)),0),IFERROR(INDEX(Pension_Model!$D$2:$D$29,MATCH(H69,Pension_Model!$B$2:$B$29,0)),0),IFERROR(INDEX(Pension_Model!$D$2:$D$29,MATCH(H70,Pension_Model!$B$2:$B$29,0)),0)),0))))))</f>
        <v>0</v>
      </c>
      <c r="Q66" s="28">
        <f>Population_Data!$B$15*P66</f>
        <v>0</v>
      </c>
      <c r="S66">
        <f t="shared" si="0"/>
        <v>0</v>
      </c>
      <c r="U66" s="33">
        <f>S66/Population_Data!$B$19</f>
        <v>0</v>
      </c>
    </row>
    <row r="67" spans="1:21">
      <c r="A67" s="25">
        <f>Calendar!A67</f>
        <v>46300</v>
      </c>
      <c r="B67" t="str">
        <f>Calendar!L67</f>
        <v>Yes</v>
      </c>
      <c r="C67" t="str">
        <f>Calendar!O67</f>
        <v>No</v>
      </c>
      <c r="D67" t="str">
        <f>Calendar!P67</f>
        <v>No</v>
      </c>
      <c r="E67" t="str">
        <f>Calendar!Q67</f>
        <v>No</v>
      </c>
      <c r="F67" t="str">
        <f>Calendar!I67</f>
        <v>Monday</v>
      </c>
      <c r="G67">
        <f>Calendar!S67</f>
        <v>2</v>
      </c>
      <c r="H67">
        <f>Calendar!T67</f>
        <v>16</v>
      </c>
      <c r="I67" s="27">
        <f>IF(VLOOKUP(A67,Calendar!$A$1:$R$1377,18,0)=0,0,IF(VLOOKUP(A67,Calendar!$A$1:$R$1377,18,0)=1,INDEX(Monthly_Pay_Model!$A$9:$D$40,MATCH(TEXT(A67,"dd"),Monthly_Pay_Model!$C$9:$C$39,0),4),IF(VLOOKUP(A67,Calendar!$A$1:$R$1377,18,0)=2,SUM(INDEX(Monthly_Pay_Model!$A$9:$D$40,MATCH(TEXT(A67,"dd"),Monthly_Pay_Model!$C$9:$C$39,0),4),INDEX(Monthly_Pay_Model!$A$9:$D$40,MATCH(TEXT(A68,"dd"),Monthly_Pay_Model!$C$9:$C$39,0),4)),IF(VLOOKUP(A67,Calendar!$A$1:$R$1377,18,0)=3,SUM(INDEX(Monthly_Pay_Model!$A$9:$D$40,MATCH(TEXT(A67,"dd"),Monthly_Pay_Model!$C$9:$C$39,0),4),INDEX(Monthly_Pay_Model!$A$9:$D$40,MATCH(TEXT(A68,"dd"),Monthly_Pay_Model!$C$9:$C$39,0),4),INDEX(Monthly_Pay_Model!$A$9:$D$40,MATCH(TEXT(A69,"dd"),Monthly_Pay_Model!$C$9:$C$39,0),4)),IF(VLOOKUP(A67,Calendar!$A$1:$R$1377,18,0)=4,SUM(INDEX(Monthly_Pay_Model!$A$9:$D$40,MATCH(TEXT(A67,"dd"),Monthly_Pay_Model!$C$9:$C$39,0),4),INDEX(Monthly_Pay_Model!$A$9:$D$40,MATCH(TEXT(A68,"dd"),Monthly_Pay_Model!$C$9:$C$39,0),4),INDEX(Monthly_Pay_Model!$A$9:$D$40,MATCH(TEXT(A69,"dd"),Monthly_Pay_Model!$C$9:$C$39,0),4),INDEX(Monthly_Pay_Model!$A$9:$D$40,MATCH(TEXT(A70,"dd"),Monthly_Pay_Model!$C$9:$C$39,0),4)),IF(VLOOKUP(A67,Calendar!$A$1:$R$1377,18,0)=5,SUM(INDEX(Monthly_Pay_Model!$A$9:$D$40,MATCH(TEXT(A67,"dd"),Monthly_Pay_Model!$C$9:$C$39,0),4),INDEX(Monthly_Pay_Model!$A$9:$D$40,MATCH(TEXT(A68,"dd"),Monthly_Pay_Model!$C$9:$C$39,0),4),INDEX(Monthly_Pay_Model!$A$9:$D$40,MATCH(TEXT(A69,"dd"),Monthly_Pay_Model!$C$9:$C$39,0),4),INDEX(Monthly_Pay_Model!$A$9:$D$40,MATCH(TEXT(A70,"dd"),Monthly_Pay_Model!$C$9:$C$39,0),4),INDEX(Monthly_Pay_Model!$A$9:$D$40,MATCH(TEXT(A71,"dd"),Monthly_Pay_Model!$C$9:$C$39,0),4)),))))))</f>
        <v>7.3130890052356002E-3</v>
      </c>
      <c r="J67" s="33">
        <f>IF(C67="Yes",Monthly_Pay_Model!$D$2,0)
+IF(Calendar!N67="Yes",Monthly_Pay_Model!$D$3,0)
+IF(D67="Yes",Monthly_Pay_Model!$D$4,0)
+IF(E67="Yes",Monthly_Pay_Model!$D$5,0)</f>
        <v>0</v>
      </c>
      <c r="K67" s="27">
        <f>IF(VLOOKUP($A67,Calendar!$A$1:$R$1377,18,0)=0,0,IF(VLOOKUP($A67,Calendar!$A$1:$R$1377,18,0)=1,IFERROR(INDEX(Weekly_Model!$D$2:$D$9,MATCH(F67,Weekly_Model!$A$2:$A$9,0)),0),IF(VLOOKUP($A67,Calendar!$A$1:$R$1377,18,0)=2,SUM(IFERROR(INDEX(Weekly_Model!$D$2:$D$9,MATCH(F67,Weekly_Model!$A$2:$A$9,0)),0),IFERROR(INDEX(Weekly_Model!$D$2:$D$9,MATCH(F68,Weekly_Model!$A$2:$A$9,0)),0)),IF(VLOOKUP($A67,Calendar!$A$1:$R$1377,18,0)=3,SUM(IFERROR(INDEX(Weekly_Model!$D$2:$D$9,MATCH(F67,Weekly_Model!$A$2:$A$9,0)),0),IFERROR(INDEX(Weekly_Model!$D$2:$D$9,MATCH(F68,Weekly_Model!$A$2:$A$9,0)),0),IFERROR(INDEX(Weekly_Model!$D$2:$D$9,MATCH(F69,Weekly_Model!$A$2:$A$9,0)),0)),IF(VLOOKUP($A67,Calendar!$A$1:$R$1377,18,0)=4,SUM(IFERROR(INDEX(Weekly_Model!$D$2:$D$9,MATCH(F67,Weekly_Model!$A$2:$A$9,0)),0),IFERROR(INDEX(Weekly_Model!$D$2:$D$9,MATCH(F68,Weekly_Model!$A$2:$A$9,0)),0),IFERROR(INDEX(Weekly_Model!$D$2:$D$9,MATCH(F69,Weekly_Model!$A$2:$A$9,0)),0),IFERROR(INDEX(Weekly_Model!$D$2:$D$9,MATCH(F70,Weekly_Model!$A$2:$A$9,0)),0)),IF(VLOOKUP($A67,Calendar!$A$1:$R$1377,18,0)=5,SUM(IFERROR(INDEX(Weekly_Model!$D$2:$D$9,MATCH(F67,Weekly_Model!$A$2:$A$9,0)),0),IFERROR(INDEX(Weekly_Model!$D$2:$D$9,MATCH(F68,Weekly_Model!$A$2:$A$9,0)),0),IFERROR(INDEX(Weekly_Model!$D$2:$D$9,MATCH(F69,Weekly_Model!$A$2:$A$9,0)),0),IFERROR(INDEX(Weekly_Model!$D$2:$D$9,MATCH(F70,Weekly_Model!$A$2:$A$9,0)),0),IFERROR(INDEX(Weekly_Model!$D$2:$D$9,MATCH(F71,Weekly_Model!$A$2:$A$9,0)),0)),0))))))</f>
        <v>2.3200000000000002E-2</v>
      </c>
      <c r="L67" s="27">
        <f>IF(VLOOKUP($A67,Calendar!$A$1:$R$1377,18,0)=0,0,IF(VLOOKUP($A67,Calendar!$A$1:$R$1377,18,0)=1,IFERROR(INDEX(Fortnightly_Model!$D$2:$D$15,MATCH(G67,Fortnightly_Model!$B$2:$B$15,0)),0),IF(VLOOKUP($A67,Calendar!$A$1:$R$1377,18,0)=2,SUM(IFERROR(INDEX(Fortnightly_Model!$D$2:$D$15,MATCH(G67,Fortnightly_Model!$B$2:$B$15,0)),0),IFERROR(INDEX(Fortnightly_Model!$D$2:$D$15,MATCH(G68,Fortnightly_Model!$B$2:$B$15,0)),0)),IF(VLOOKUP($A67,Calendar!$A$1:$R$1377,18,0)=3,SUM(IFERROR(INDEX(Fortnightly_Model!$D$2:$D$15,MATCH(G67,Fortnightly_Model!$B$2:$B$15,0)),0),IFERROR(INDEX(Fortnightly_Model!$D$2:$D$15,MATCH(G68,Fortnightly_Model!$B$2:$B$15,0)),0),IFERROR(INDEX(Fortnightly_Model!$D$2:$D$15,MATCH(G69,Fortnightly_Model!$B$2:$B$15,0)),0)),IF(VLOOKUP($A67,Calendar!$A$1:$R$1377,18,0)=4,SUM(IFERROR(INDEX(Fortnightly_Model!$D$2:$D$15,MATCH(G67,Fortnightly_Model!$B$2:$B$15,0)),0),IFERROR(INDEX(Fortnightly_Model!$D$2:$D$15,MATCH(G68,Fortnightly_Model!$B$2:$B$15,0)),0),IFERROR(INDEX(Fortnightly_Model!$D$2:$D$15,MATCH(G69,Fortnightly_Model!$B$2:$B$15,0)),0),IFERROR(INDEX(Fortnightly_Model!$D$2:$D$15,MATCH(G70,Fortnightly_Model!$B$2:$B$15,0)),0)),IF(VLOOKUP($A67,Calendar!$A$1:$R$1377,18,0)=5,SUM(IFERROR(INDEX(Fortnightly_Model!$D$2:$D$15,MATCH(G67,Fortnightly_Model!$B$2:$B$15,0)),0),IFERROR(INDEX(Fortnightly_Model!$D$2:$D$15,MATCH(G68,Fortnightly_Model!$B$2:$B$15,0)),0),IFERROR(INDEX(Fortnightly_Model!$D$2:$D$15,MATCH(G69,Fortnightly_Model!$B$2:$B$15,0)),0),IFERROR(INDEX(Fortnightly_Model!$D$2:$D$15,MATCH(G70,Fortnightly_Model!$B$2:$B$15,0)),0),IFERROR(INDEX(Fortnightly_Model!$D$2:$D$15,MATCH(G71,Fortnightly_Model!$B$2:$B$15,0)),0)),0))))))</f>
        <v>1.0714285499999999E-3</v>
      </c>
      <c r="M67" s="27">
        <f>IF(VLOOKUP($A67,Calendar!$A$1:$R$1377,18,0)=0,0,IF(VLOOKUP($A67,Calendar!$A$1:$R$1377,18,0)=1,IFERROR(INDEX(FourWeekly_Model!$D$2:$D$29,MATCH(H67,FourWeekly_Model!$B$2:$B$29,0)),0),IF(VLOOKUP($A67,Calendar!$A$1:$R$1377,18,0)=2,SUM(IFERROR(INDEX(FourWeekly_Model!$D$2:$D$29,MATCH(H67,FourWeekly_Model!$B$2:$B$29,0)),0),IFERROR(INDEX(FourWeekly_Model!$D$2:$D$29,MATCH(H68,FourWeekly_Model!$B$2:$B$29,0)),0)),IF(VLOOKUP($A67,Calendar!$A$1:$R$1377,18,0)=3,SUM(IFERROR(INDEX(FourWeekly_Model!$D$2:$D$29,MATCH(H67,FourWeekly_Model!$B$2:$B$29,0)),0),IFERROR(INDEX(FourWeekly_Model!$D$2:$D$29,MATCH(H68,FourWeekly_Model!$B$2:$B$29,0)),0),IFERROR(INDEX(FourWeekly_Model!$D$2:$D$29,MATCH(H69,FourWeekly_Model!$B$2:$B$29,0)),0)),IF(VLOOKUP($A67,Calendar!$A$1:$R$1377,18,0)=4,SUM(IFERROR(INDEX(FourWeekly_Model!$D$2:$D$29,MATCH(H67,FourWeekly_Model!$B$2:$B$29,0)),0),IFERROR(INDEX(FourWeekly_Model!$D$2:$D$29,MATCH(H68,FourWeekly_Model!$B$2:$B$29,0)),0),IFERROR(INDEX(FourWeekly_Model!$D$2:$D$29,MATCH(H69,FourWeekly_Model!$B$2:$B$29,0)),0),IFERROR(INDEX(FourWeekly_Model!$D$2:$D$29,MATCH(H70,FourWeekly_Model!$B$2:$B$29,0)),0)),IF(VLOOKUP($A67,Calendar!$A$1:$R$1377,18,0)=5,SUM(IFERROR(INDEX(FourWeekly_Model!$D$2:$D$29,MATCH(H67,FourWeekly_Model!$B$2:$B$29,0)),0),IFERROR(INDEX(FourWeekly_Model!$D$2:$D$29,MATCH(H68,FourWeekly_Model!$B$2:$B$29,0)),0),IFERROR(INDEX(FourWeekly_Model!$D$2:$D$29,MATCH(H69,FourWeekly_Model!$B$2:$B$29,0)),0),IFERROR(INDEX(FourWeekly_Model!$D$2:$D$29,MATCH(H70,FourWeekly_Model!$B$2:$B$29,0)),0),IFERROR(INDEX(FourWeekly_Model!$D$2:$D$29,MATCH(H71,FourWeekly_Model!$B$2:$B$29,0)),0)),0))))))</f>
        <v>3.3214289700000004E-3</v>
      </c>
      <c r="N67" s="27">
        <f>SUM(I67:M67)</f>
        <v>3.4905946525235605E-2</v>
      </c>
      <c r="O67" s="28">
        <f>Population_Data!$B$8*N67</f>
        <v>1057650.1797146387</v>
      </c>
      <c r="P67" s="27">
        <f>IF(VLOOKUP($A67,Calendar!$A$1:$R$1377,18,0)=0,0,IF(VLOOKUP($A67,Calendar!$A$1:$R$1377,18,0)=1,IFERROR(INDEX(Pension_Model!$D$2:$D$29,MATCH(H67,Pension_Model!$B$2:$B$29,0)),0),IF(VLOOKUP($A67,Calendar!$A$1:$R$1377,18,0)=2,SUM(IFERROR(INDEX(Pension_Model!$D$2:$D$29,MATCH(H67,Pension_Model!$B$2:$B$29,0)),0),IFERROR(INDEX(Pension_Model!$D$2:$D$29,MATCH(H68,Pension_Model!$B$2:$B$29,0)),0)),IF(VLOOKUP($A67,Calendar!$A$1:$R$1377,18,0)=3,SUM(IFERROR(INDEX(Pension_Model!$D$2:$D$29,MATCH(H67,Pension_Model!$B$2:$B$29,0)),0),IFERROR(INDEX(Pension_Model!$D$2:$D$29,MATCH(H68,Pension_Model!$B$2:$B$29,0)),0),IFERROR(INDEX(Pension_Model!$D$2:$D$29,MATCH(H69,Pension_Model!$B$2:$B$29,0)),0)),IF(VLOOKUP($A67,Calendar!$A$1:$R$1377,18,0)=4,SUM(IFERROR(INDEX(Pension_Model!$D$2:$D$29,MATCH(H67,Pension_Model!$B$2:$B$29,0)),0),IFERROR(INDEX(Pension_Model!$D$2:$D$29,MATCH(H68,Pension_Model!$B$2:$B$29,0)),0),IFERROR(INDEX(Pension_Model!$D$2:$D$29,MATCH(H69,Pension_Model!$B$2:$B$29,0)),0),IFERROR(INDEX(Pension_Model!$D$2:$D$29,MATCH(H70,Pension_Model!$B$2:$B$29,0)),0)),IF(VLOOKUP($A67,Calendar!$A$1:$R$1377,18,0)=5,SUM(IFERROR(INDEX(Pension_Model!$D$2:$D$29,MATCH(H67,Pension_Model!$B$2:$B$29,0)),0),IFERROR(INDEX(Pension_Model!$D$2:$D$29,MATCH(H68,Pension_Model!$B$2:$B$29,0)),0),IFERROR(INDEX(Pension_Model!$D$2:$D$29,MATCH(H69,Pension_Model!$B$2:$B$29,0)),0),IFERROR(INDEX(Pension_Model!$D$2:$D$29,MATCH(H70,Pension_Model!$B$2:$B$29,0)),0),IFERROR(INDEX(Pension_Model!$D$2:$D$29,MATCH(H71,Pension_Model!$B$2:$B$29,0)),0)),0))))))</f>
        <v>0.05</v>
      </c>
      <c r="Q67" s="28">
        <f>Population_Data!$B$15*P67</f>
        <v>660600</v>
      </c>
      <c r="S67">
        <f t="shared" ref="S67:S130" si="1">SUM(Q67,O67)</f>
        <v>1718250.1797146387</v>
      </c>
      <c r="U67" s="33">
        <f>S67/Population_Data!$B$19</f>
        <v>3.1127720647004326E-2</v>
      </c>
    </row>
    <row r="68" spans="1:21">
      <c r="A68" s="25">
        <f>Calendar!A68</f>
        <v>46301</v>
      </c>
      <c r="B68" t="str">
        <f>Calendar!L68</f>
        <v>Yes</v>
      </c>
      <c r="C68" t="str">
        <f>Calendar!O68</f>
        <v>No</v>
      </c>
      <c r="D68" t="str">
        <f>Calendar!P68</f>
        <v>No</v>
      </c>
      <c r="E68" t="str">
        <f>Calendar!Q68</f>
        <v>No</v>
      </c>
      <c r="F68" t="str">
        <f>Calendar!I68</f>
        <v>Tuesday</v>
      </c>
      <c r="G68">
        <f>Calendar!S68</f>
        <v>3</v>
      </c>
      <c r="H68">
        <f>Calendar!T68</f>
        <v>17</v>
      </c>
      <c r="I68" s="27">
        <f>IF(VLOOKUP(A68,Calendar!$A$1:$R$1377,18,0)=0,0,IF(VLOOKUP(A68,Calendar!$A$1:$R$1377,18,0)=1,INDEX(Monthly_Pay_Model!$A$9:$D$40,MATCH(TEXT(A68,"dd"),Monthly_Pay_Model!$C$9:$C$39,0),4),IF(VLOOKUP(A68,Calendar!$A$1:$R$1377,18,0)=2,SUM(INDEX(Monthly_Pay_Model!$A$9:$D$40,MATCH(TEXT(A68,"dd"),Monthly_Pay_Model!$C$9:$C$39,0),4),INDEX(Monthly_Pay_Model!$A$9:$D$40,MATCH(TEXT(A69,"dd"),Monthly_Pay_Model!$C$9:$C$39,0),4)),IF(VLOOKUP(A68,Calendar!$A$1:$R$1377,18,0)=3,SUM(INDEX(Monthly_Pay_Model!$A$9:$D$40,MATCH(TEXT(A68,"dd"),Monthly_Pay_Model!$C$9:$C$39,0),4),INDEX(Monthly_Pay_Model!$A$9:$D$40,MATCH(TEXT(A69,"dd"),Monthly_Pay_Model!$C$9:$C$39,0),4),INDEX(Monthly_Pay_Model!$A$9:$D$40,MATCH(TEXT(A70,"dd"),Monthly_Pay_Model!$C$9:$C$39,0),4)),IF(VLOOKUP(A68,Calendar!$A$1:$R$1377,18,0)=4,SUM(INDEX(Monthly_Pay_Model!$A$9:$D$40,MATCH(TEXT(A68,"dd"),Monthly_Pay_Model!$C$9:$C$39,0),4),INDEX(Monthly_Pay_Model!$A$9:$D$40,MATCH(TEXT(A69,"dd"),Monthly_Pay_Model!$C$9:$C$39,0),4),INDEX(Monthly_Pay_Model!$A$9:$D$40,MATCH(TEXT(A70,"dd"),Monthly_Pay_Model!$C$9:$C$39,0),4),INDEX(Monthly_Pay_Model!$A$9:$D$40,MATCH(TEXT(A71,"dd"),Monthly_Pay_Model!$C$9:$C$39,0),4)),IF(VLOOKUP(A68,Calendar!$A$1:$R$1377,18,0)=5,SUM(INDEX(Monthly_Pay_Model!$A$9:$D$40,MATCH(TEXT(A68,"dd"),Monthly_Pay_Model!$C$9:$C$39,0),4),INDEX(Monthly_Pay_Model!$A$9:$D$40,MATCH(TEXT(A69,"dd"),Monthly_Pay_Model!$C$9:$C$39,0),4),INDEX(Monthly_Pay_Model!$A$9:$D$40,MATCH(TEXT(A70,"dd"),Monthly_Pay_Model!$C$9:$C$39,0),4),INDEX(Monthly_Pay_Model!$A$9:$D$40,MATCH(TEXT(A71,"dd"),Monthly_Pay_Model!$C$9:$C$39,0),4),INDEX(Monthly_Pay_Model!$A$9:$D$40,MATCH(TEXT(A72,"dd"),Monthly_Pay_Model!$C$9:$C$39,0),4)),))))))</f>
        <v>3.2502617801047117E-3</v>
      </c>
      <c r="J68" s="33">
        <f>IF(C68="Yes",Monthly_Pay_Model!$D$2,0)
+IF(Calendar!N68="Yes",Monthly_Pay_Model!$D$3,0)
+IF(D68="Yes",Monthly_Pay_Model!$D$4,0)
+IF(E68="Yes",Monthly_Pay_Model!$D$5,0)</f>
        <v>0</v>
      </c>
      <c r="K68" s="27">
        <f>IF(VLOOKUP($A68,Calendar!$A$1:$R$1377,18,0)=0,0,IF(VLOOKUP($A68,Calendar!$A$1:$R$1377,18,0)=1,IFERROR(INDEX(Weekly_Model!$D$2:$D$9,MATCH(F68,Weekly_Model!$A$2:$A$9,0)),0),IF(VLOOKUP($A68,Calendar!$A$1:$R$1377,18,0)=2,SUM(IFERROR(INDEX(Weekly_Model!$D$2:$D$9,MATCH(F68,Weekly_Model!$A$2:$A$9,0)),0),IFERROR(INDEX(Weekly_Model!$D$2:$D$9,MATCH(F69,Weekly_Model!$A$2:$A$9,0)),0)),IF(VLOOKUP($A68,Calendar!$A$1:$R$1377,18,0)=3,SUM(IFERROR(INDEX(Weekly_Model!$D$2:$D$9,MATCH(F68,Weekly_Model!$A$2:$A$9,0)),0),IFERROR(INDEX(Weekly_Model!$D$2:$D$9,MATCH(F69,Weekly_Model!$A$2:$A$9,0)),0),IFERROR(INDEX(Weekly_Model!$D$2:$D$9,MATCH(F70,Weekly_Model!$A$2:$A$9,0)),0)),IF(VLOOKUP($A68,Calendar!$A$1:$R$1377,18,0)=4,SUM(IFERROR(INDEX(Weekly_Model!$D$2:$D$9,MATCH(F68,Weekly_Model!$A$2:$A$9,0)),0),IFERROR(INDEX(Weekly_Model!$D$2:$D$9,MATCH(F69,Weekly_Model!$A$2:$A$9,0)),0),IFERROR(INDEX(Weekly_Model!$D$2:$D$9,MATCH(F70,Weekly_Model!$A$2:$A$9,0)),0),IFERROR(INDEX(Weekly_Model!$D$2:$D$9,MATCH(F71,Weekly_Model!$A$2:$A$9,0)),0)),IF(VLOOKUP($A68,Calendar!$A$1:$R$1377,18,0)=5,SUM(IFERROR(INDEX(Weekly_Model!$D$2:$D$9,MATCH(F68,Weekly_Model!$A$2:$A$9,0)),0),IFERROR(INDEX(Weekly_Model!$D$2:$D$9,MATCH(F69,Weekly_Model!$A$2:$A$9,0)),0),IFERROR(INDEX(Weekly_Model!$D$2:$D$9,MATCH(F70,Weekly_Model!$A$2:$A$9,0)),0),IFERROR(INDEX(Weekly_Model!$D$2:$D$9,MATCH(F71,Weekly_Model!$A$2:$A$9,0)),0),IFERROR(INDEX(Weekly_Model!$D$2:$D$9,MATCH(F72,Weekly_Model!$A$2:$A$9,0)),0)),0))))))</f>
        <v>2.3200000000000002E-2</v>
      </c>
      <c r="L68" s="27">
        <f>IF(VLOOKUP($A68,Calendar!$A$1:$R$1377,18,0)=0,0,IF(VLOOKUP($A68,Calendar!$A$1:$R$1377,18,0)=1,IFERROR(INDEX(Fortnightly_Model!$D$2:$D$15,MATCH(G68,Fortnightly_Model!$B$2:$B$15,0)),0),IF(VLOOKUP($A68,Calendar!$A$1:$R$1377,18,0)=2,SUM(IFERROR(INDEX(Fortnightly_Model!$D$2:$D$15,MATCH(G68,Fortnightly_Model!$B$2:$B$15,0)),0),IFERROR(INDEX(Fortnightly_Model!$D$2:$D$15,MATCH(G69,Fortnightly_Model!$B$2:$B$15,0)),0)),IF(VLOOKUP($A68,Calendar!$A$1:$R$1377,18,0)=3,SUM(IFERROR(INDEX(Fortnightly_Model!$D$2:$D$15,MATCH(G68,Fortnightly_Model!$B$2:$B$15,0)),0),IFERROR(INDEX(Fortnightly_Model!$D$2:$D$15,MATCH(G69,Fortnightly_Model!$B$2:$B$15,0)),0),IFERROR(INDEX(Fortnightly_Model!$D$2:$D$15,MATCH(G70,Fortnightly_Model!$B$2:$B$15,0)),0)),IF(VLOOKUP($A68,Calendar!$A$1:$R$1377,18,0)=4,SUM(IFERROR(INDEX(Fortnightly_Model!$D$2:$D$15,MATCH(G68,Fortnightly_Model!$B$2:$B$15,0)),0),IFERROR(INDEX(Fortnightly_Model!$D$2:$D$15,MATCH(G69,Fortnightly_Model!$B$2:$B$15,0)),0),IFERROR(INDEX(Fortnightly_Model!$D$2:$D$15,MATCH(G70,Fortnightly_Model!$B$2:$B$15,0)),0),IFERROR(INDEX(Fortnightly_Model!$D$2:$D$15,MATCH(G71,Fortnightly_Model!$B$2:$B$15,0)),0)),IF(VLOOKUP($A68,Calendar!$A$1:$R$1377,18,0)=5,SUM(IFERROR(INDEX(Fortnightly_Model!$D$2:$D$15,MATCH(G68,Fortnightly_Model!$B$2:$B$15,0)),0),IFERROR(INDEX(Fortnightly_Model!$D$2:$D$15,MATCH(G69,Fortnightly_Model!$B$2:$B$15,0)),0),IFERROR(INDEX(Fortnightly_Model!$D$2:$D$15,MATCH(G70,Fortnightly_Model!$B$2:$B$15,0)),0),IFERROR(INDEX(Fortnightly_Model!$D$2:$D$15,MATCH(G71,Fortnightly_Model!$B$2:$B$15,0)),0),IFERROR(INDEX(Fortnightly_Model!$D$2:$D$15,MATCH(G72,Fortnightly_Model!$B$2:$B$15,0)),0)),0))))))</f>
        <v>1.0714285499999999E-3</v>
      </c>
      <c r="M68" s="27">
        <f>IF(VLOOKUP($A68,Calendar!$A$1:$R$1377,18,0)=0,0,IF(VLOOKUP($A68,Calendar!$A$1:$R$1377,18,0)=1,IFERROR(INDEX(FourWeekly_Model!$D$2:$D$29,MATCH(H68,FourWeekly_Model!$B$2:$B$29,0)),0),IF(VLOOKUP($A68,Calendar!$A$1:$R$1377,18,0)=2,SUM(IFERROR(INDEX(FourWeekly_Model!$D$2:$D$29,MATCH(H68,FourWeekly_Model!$B$2:$B$29,0)),0),IFERROR(INDEX(FourWeekly_Model!$D$2:$D$29,MATCH(H69,FourWeekly_Model!$B$2:$B$29,0)),0)),IF(VLOOKUP($A68,Calendar!$A$1:$R$1377,18,0)=3,SUM(IFERROR(INDEX(FourWeekly_Model!$D$2:$D$29,MATCH(H68,FourWeekly_Model!$B$2:$B$29,0)),0),IFERROR(INDEX(FourWeekly_Model!$D$2:$D$29,MATCH(H69,FourWeekly_Model!$B$2:$B$29,0)),0),IFERROR(INDEX(FourWeekly_Model!$D$2:$D$29,MATCH(H70,FourWeekly_Model!$B$2:$B$29,0)),0)),IF(VLOOKUP($A68,Calendar!$A$1:$R$1377,18,0)=4,SUM(IFERROR(INDEX(FourWeekly_Model!$D$2:$D$29,MATCH(H68,FourWeekly_Model!$B$2:$B$29,0)),0),IFERROR(INDEX(FourWeekly_Model!$D$2:$D$29,MATCH(H69,FourWeekly_Model!$B$2:$B$29,0)),0),IFERROR(INDEX(FourWeekly_Model!$D$2:$D$29,MATCH(H70,FourWeekly_Model!$B$2:$B$29,0)),0),IFERROR(INDEX(FourWeekly_Model!$D$2:$D$29,MATCH(H71,FourWeekly_Model!$B$2:$B$29,0)),0)),IF(VLOOKUP($A68,Calendar!$A$1:$R$1377,18,0)=5,SUM(IFERROR(INDEX(FourWeekly_Model!$D$2:$D$29,MATCH(H68,FourWeekly_Model!$B$2:$B$29,0)),0),IFERROR(INDEX(FourWeekly_Model!$D$2:$D$29,MATCH(H69,FourWeekly_Model!$B$2:$B$29,0)),0),IFERROR(INDEX(FourWeekly_Model!$D$2:$D$29,MATCH(H70,FourWeekly_Model!$B$2:$B$29,0)),0),IFERROR(INDEX(FourWeekly_Model!$D$2:$D$29,MATCH(H71,FourWeekly_Model!$B$2:$B$29,0)),0),IFERROR(INDEX(FourWeekly_Model!$D$2:$D$29,MATCH(H72,FourWeekly_Model!$B$2:$B$29,0)),0)),0))))))</f>
        <v>3.3214289700000004E-3</v>
      </c>
      <c r="N68" s="27">
        <f>SUM(I68:M68)</f>
        <v>3.0843119300104714E-2</v>
      </c>
      <c r="O68" s="28">
        <f>Population_Data!$B$8*N68</f>
        <v>934546.51479317283</v>
      </c>
      <c r="P68" s="27">
        <f>IF(VLOOKUP($A68,Calendar!$A$1:$R$1377,18,0)=0,0,IF(VLOOKUP($A68,Calendar!$A$1:$R$1377,18,0)=1,IFERROR(INDEX(Pension_Model!$D$2:$D$29,MATCH(H68,Pension_Model!$B$2:$B$29,0)),0),IF(VLOOKUP($A68,Calendar!$A$1:$R$1377,18,0)=2,SUM(IFERROR(INDEX(Pension_Model!$D$2:$D$29,MATCH(H68,Pension_Model!$B$2:$B$29,0)),0),IFERROR(INDEX(Pension_Model!$D$2:$D$29,MATCH(H69,Pension_Model!$B$2:$B$29,0)),0)),IF(VLOOKUP($A68,Calendar!$A$1:$R$1377,18,0)=3,SUM(IFERROR(INDEX(Pension_Model!$D$2:$D$29,MATCH(H68,Pension_Model!$B$2:$B$29,0)),0),IFERROR(INDEX(Pension_Model!$D$2:$D$29,MATCH(H69,Pension_Model!$B$2:$B$29,0)),0),IFERROR(INDEX(Pension_Model!$D$2:$D$29,MATCH(H70,Pension_Model!$B$2:$B$29,0)),0)),IF(VLOOKUP($A68,Calendar!$A$1:$R$1377,18,0)=4,SUM(IFERROR(INDEX(Pension_Model!$D$2:$D$29,MATCH(H68,Pension_Model!$B$2:$B$29,0)),0),IFERROR(INDEX(Pension_Model!$D$2:$D$29,MATCH(H69,Pension_Model!$B$2:$B$29,0)),0),IFERROR(INDEX(Pension_Model!$D$2:$D$29,MATCH(H70,Pension_Model!$B$2:$B$29,0)),0),IFERROR(INDEX(Pension_Model!$D$2:$D$29,MATCH(H71,Pension_Model!$B$2:$B$29,0)),0)),IF(VLOOKUP($A68,Calendar!$A$1:$R$1377,18,0)=5,SUM(IFERROR(INDEX(Pension_Model!$D$2:$D$29,MATCH(H68,Pension_Model!$B$2:$B$29,0)),0),IFERROR(INDEX(Pension_Model!$D$2:$D$29,MATCH(H69,Pension_Model!$B$2:$B$29,0)),0),IFERROR(INDEX(Pension_Model!$D$2:$D$29,MATCH(H70,Pension_Model!$B$2:$B$29,0)),0),IFERROR(INDEX(Pension_Model!$D$2:$D$29,MATCH(H71,Pension_Model!$B$2:$B$29,0)),0),IFERROR(INDEX(Pension_Model!$D$2:$D$29,MATCH(H72,Pension_Model!$B$2:$B$29,0)),0)),0))))))</f>
        <v>0.05</v>
      </c>
      <c r="Q68" s="28">
        <f>Population_Data!$B$15*P68</f>
        <v>660600</v>
      </c>
      <c r="S68">
        <f t="shared" si="1"/>
        <v>1595146.5147931729</v>
      </c>
      <c r="U68" s="33">
        <f>S68/Population_Data!$B$19</f>
        <v>2.8897581789731393E-2</v>
      </c>
    </row>
    <row r="69" spans="1:21">
      <c r="A69" s="25">
        <f>Calendar!A69</f>
        <v>46302</v>
      </c>
      <c r="B69" t="str">
        <f>Calendar!L69</f>
        <v>Yes</v>
      </c>
      <c r="C69" t="str">
        <f>Calendar!O69</f>
        <v>No</v>
      </c>
      <c r="D69" t="str">
        <f>Calendar!P69</f>
        <v>No</v>
      </c>
      <c r="E69" t="str">
        <f>Calendar!Q69</f>
        <v>No</v>
      </c>
      <c r="F69" t="str">
        <f>Calendar!I69</f>
        <v>Wednesday</v>
      </c>
      <c r="G69">
        <f>Calendar!S69</f>
        <v>4</v>
      </c>
      <c r="H69">
        <f>Calendar!T69</f>
        <v>18</v>
      </c>
      <c r="I69" s="27">
        <f>IF(VLOOKUP(A69,Calendar!$A$1:$R$1377,18,0)=0,0,IF(VLOOKUP(A69,Calendar!$A$1:$R$1377,18,0)=1,INDEX(Monthly_Pay_Model!$A$9:$D$40,MATCH(TEXT(A69,"dd"),Monthly_Pay_Model!$C$9:$C$39,0),4),IF(VLOOKUP(A69,Calendar!$A$1:$R$1377,18,0)=2,SUM(INDEX(Monthly_Pay_Model!$A$9:$D$40,MATCH(TEXT(A69,"dd"),Monthly_Pay_Model!$C$9:$C$39,0),4),INDEX(Monthly_Pay_Model!$A$9:$D$40,MATCH(TEXT(A70,"dd"),Monthly_Pay_Model!$C$9:$C$39,0),4)),IF(VLOOKUP(A69,Calendar!$A$1:$R$1377,18,0)=3,SUM(INDEX(Monthly_Pay_Model!$A$9:$D$40,MATCH(TEXT(A69,"dd"),Monthly_Pay_Model!$C$9:$C$39,0),4),INDEX(Monthly_Pay_Model!$A$9:$D$40,MATCH(TEXT(A70,"dd"),Monthly_Pay_Model!$C$9:$C$39,0),4),INDEX(Monthly_Pay_Model!$A$9:$D$40,MATCH(TEXT(A71,"dd"),Monthly_Pay_Model!$C$9:$C$39,0),4)),IF(VLOOKUP(A69,Calendar!$A$1:$R$1377,18,0)=4,SUM(INDEX(Monthly_Pay_Model!$A$9:$D$40,MATCH(TEXT(A69,"dd"),Monthly_Pay_Model!$C$9:$C$39,0),4),INDEX(Monthly_Pay_Model!$A$9:$D$40,MATCH(TEXT(A70,"dd"),Monthly_Pay_Model!$C$9:$C$39,0),4),INDEX(Monthly_Pay_Model!$A$9:$D$40,MATCH(TEXT(A71,"dd"),Monthly_Pay_Model!$C$9:$C$39,0),4),INDEX(Monthly_Pay_Model!$A$9:$D$40,MATCH(TEXT(A72,"dd"),Monthly_Pay_Model!$C$9:$C$39,0),4)),IF(VLOOKUP(A69,Calendar!$A$1:$R$1377,18,0)=5,SUM(INDEX(Monthly_Pay_Model!$A$9:$D$40,MATCH(TEXT(A69,"dd"),Monthly_Pay_Model!$C$9:$C$39,0),4),INDEX(Monthly_Pay_Model!$A$9:$D$40,MATCH(TEXT(A70,"dd"),Monthly_Pay_Model!$C$9:$C$39,0),4),INDEX(Monthly_Pay_Model!$A$9:$D$40,MATCH(TEXT(A71,"dd"),Monthly_Pay_Model!$C$9:$C$39,0),4),INDEX(Monthly_Pay_Model!$A$9:$D$40,MATCH(TEXT(A72,"dd"),Monthly_Pay_Model!$C$9:$C$39,0),4),INDEX(Monthly_Pay_Model!$A$9:$D$40,MATCH(TEXT(A73,"dd"),Monthly_Pay_Model!$C$9:$C$39,0),4)),))))))</f>
        <v>2.4376963350785331E-3</v>
      </c>
      <c r="J69" s="33">
        <f>IF(C69="Yes",Monthly_Pay_Model!$D$2,0)
+IF(Calendar!N69="Yes",Monthly_Pay_Model!$D$3,0)
+IF(D69="Yes",Monthly_Pay_Model!$D$4,0)
+IF(E69="Yes",Monthly_Pay_Model!$D$5,0)</f>
        <v>0</v>
      </c>
      <c r="K69" s="27">
        <f>IF(VLOOKUP($A69,Calendar!$A$1:$R$1377,18,0)=0,0,IF(VLOOKUP($A69,Calendar!$A$1:$R$1377,18,0)=1,IFERROR(INDEX(Weekly_Model!$D$2:$D$9,MATCH(F69,Weekly_Model!$A$2:$A$9,0)),0),IF(VLOOKUP($A69,Calendar!$A$1:$R$1377,18,0)=2,SUM(IFERROR(INDEX(Weekly_Model!$D$2:$D$9,MATCH(F69,Weekly_Model!$A$2:$A$9,0)),0),IFERROR(INDEX(Weekly_Model!$D$2:$D$9,MATCH(F70,Weekly_Model!$A$2:$A$9,0)),0)),IF(VLOOKUP($A69,Calendar!$A$1:$R$1377,18,0)=3,SUM(IFERROR(INDEX(Weekly_Model!$D$2:$D$9,MATCH(F69,Weekly_Model!$A$2:$A$9,0)),0),IFERROR(INDEX(Weekly_Model!$D$2:$D$9,MATCH(F70,Weekly_Model!$A$2:$A$9,0)),0),IFERROR(INDEX(Weekly_Model!$D$2:$D$9,MATCH(F71,Weekly_Model!$A$2:$A$9,0)),0)),IF(VLOOKUP($A69,Calendar!$A$1:$R$1377,18,0)=4,SUM(IFERROR(INDEX(Weekly_Model!$D$2:$D$9,MATCH(F69,Weekly_Model!$A$2:$A$9,0)),0),IFERROR(INDEX(Weekly_Model!$D$2:$D$9,MATCH(F70,Weekly_Model!$A$2:$A$9,0)),0),IFERROR(INDEX(Weekly_Model!$D$2:$D$9,MATCH(F71,Weekly_Model!$A$2:$A$9,0)),0),IFERROR(INDEX(Weekly_Model!$D$2:$D$9,MATCH(F72,Weekly_Model!$A$2:$A$9,0)),0)),IF(VLOOKUP($A69,Calendar!$A$1:$R$1377,18,0)=5,SUM(IFERROR(INDEX(Weekly_Model!$D$2:$D$9,MATCH(F69,Weekly_Model!$A$2:$A$9,0)),0),IFERROR(INDEX(Weekly_Model!$D$2:$D$9,MATCH(F70,Weekly_Model!$A$2:$A$9,0)),0),IFERROR(INDEX(Weekly_Model!$D$2:$D$9,MATCH(F71,Weekly_Model!$A$2:$A$9,0)),0),IFERROR(INDEX(Weekly_Model!$D$2:$D$9,MATCH(F72,Weekly_Model!$A$2:$A$9,0)),0),IFERROR(INDEX(Weekly_Model!$D$2:$D$9,MATCH(F73,Weekly_Model!$A$2:$A$9,0)),0)),0))))))</f>
        <v>2.3200000000000002E-2</v>
      </c>
      <c r="L69" s="27">
        <f>IF(VLOOKUP($A69,Calendar!$A$1:$R$1377,18,0)=0,0,IF(VLOOKUP($A69,Calendar!$A$1:$R$1377,18,0)=1,IFERROR(INDEX(Fortnightly_Model!$D$2:$D$15,MATCH(G69,Fortnightly_Model!$B$2:$B$15,0)),0),IF(VLOOKUP($A69,Calendar!$A$1:$R$1377,18,0)=2,SUM(IFERROR(INDEX(Fortnightly_Model!$D$2:$D$15,MATCH(G69,Fortnightly_Model!$B$2:$B$15,0)),0),IFERROR(INDEX(Fortnightly_Model!$D$2:$D$15,MATCH(G70,Fortnightly_Model!$B$2:$B$15,0)),0)),IF(VLOOKUP($A69,Calendar!$A$1:$R$1377,18,0)=3,SUM(IFERROR(INDEX(Fortnightly_Model!$D$2:$D$15,MATCH(G69,Fortnightly_Model!$B$2:$B$15,0)),0),IFERROR(INDEX(Fortnightly_Model!$D$2:$D$15,MATCH(G70,Fortnightly_Model!$B$2:$B$15,0)),0),IFERROR(INDEX(Fortnightly_Model!$D$2:$D$15,MATCH(G71,Fortnightly_Model!$B$2:$B$15,0)),0)),IF(VLOOKUP($A69,Calendar!$A$1:$R$1377,18,0)=4,SUM(IFERROR(INDEX(Fortnightly_Model!$D$2:$D$15,MATCH(G69,Fortnightly_Model!$B$2:$B$15,0)),0),IFERROR(INDEX(Fortnightly_Model!$D$2:$D$15,MATCH(G70,Fortnightly_Model!$B$2:$B$15,0)),0),IFERROR(INDEX(Fortnightly_Model!$D$2:$D$15,MATCH(G71,Fortnightly_Model!$B$2:$B$15,0)),0),IFERROR(INDEX(Fortnightly_Model!$D$2:$D$15,MATCH(G72,Fortnightly_Model!$B$2:$B$15,0)),0)),IF(VLOOKUP($A69,Calendar!$A$1:$R$1377,18,0)=5,SUM(IFERROR(INDEX(Fortnightly_Model!$D$2:$D$15,MATCH(G69,Fortnightly_Model!$B$2:$B$15,0)),0),IFERROR(INDEX(Fortnightly_Model!$D$2:$D$15,MATCH(G70,Fortnightly_Model!$B$2:$B$15,0)),0),IFERROR(INDEX(Fortnightly_Model!$D$2:$D$15,MATCH(G71,Fortnightly_Model!$B$2:$B$15,0)),0),IFERROR(INDEX(Fortnightly_Model!$D$2:$D$15,MATCH(G72,Fortnightly_Model!$B$2:$B$15,0)),0),IFERROR(INDEX(Fortnightly_Model!$D$2:$D$15,MATCH(G73,Fortnightly_Model!$B$2:$B$15,0)),0)),0))))))</f>
        <v>1.0714285499999999E-3</v>
      </c>
      <c r="M69" s="27">
        <f>IF(VLOOKUP($A69,Calendar!$A$1:$R$1377,18,0)=0,0,IF(VLOOKUP($A69,Calendar!$A$1:$R$1377,18,0)=1,IFERROR(INDEX(FourWeekly_Model!$D$2:$D$29,MATCH(H69,FourWeekly_Model!$B$2:$B$29,0)),0),IF(VLOOKUP($A69,Calendar!$A$1:$R$1377,18,0)=2,SUM(IFERROR(INDEX(FourWeekly_Model!$D$2:$D$29,MATCH(H69,FourWeekly_Model!$B$2:$B$29,0)),0),IFERROR(INDEX(FourWeekly_Model!$D$2:$D$29,MATCH(H70,FourWeekly_Model!$B$2:$B$29,0)),0)),IF(VLOOKUP($A69,Calendar!$A$1:$R$1377,18,0)=3,SUM(IFERROR(INDEX(FourWeekly_Model!$D$2:$D$29,MATCH(H69,FourWeekly_Model!$B$2:$B$29,0)),0),IFERROR(INDEX(FourWeekly_Model!$D$2:$D$29,MATCH(H70,FourWeekly_Model!$B$2:$B$29,0)),0),IFERROR(INDEX(FourWeekly_Model!$D$2:$D$29,MATCH(H71,FourWeekly_Model!$B$2:$B$29,0)),0)),IF(VLOOKUP($A69,Calendar!$A$1:$R$1377,18,0)=4,SUM(IFERROR(INDEX(FourWeekly_Model!$D$2:$D$29,MATCH(H69,FourWeekly_Model!$B$2:$B$29,0)),0),IFERROR(INDEX(FourWeekly_Model!$D$2:$D$29,MATCH(H70,FourWeekly_Model!$B$2:$B$29,0)),0),IFERROR(INDEX(FourWeekly_Model!$D$2:$D$29,MATCH(H71,FourWeekly_Model!$B$2:$B$29,0)),0),IFERROR(INDEX(FourWeekly_Model!$D$2:$D$29,MATCH(H72,FourWeekly_Model!$B$2:$B$29,0)),0)),IF(VLOOKUP($A69,Calendar!$A$1:$R$1377,18,0)=5,SUM(IFERROR(INDEX(FourWeekly_Model!$D$2:$D$29,MATCH(H69,FourWeekly_Model!$B$2:$B$29,0)),0),IFERROR(INDEX(FourWeekly_Model!$D$2:$D$29,MATCH(H70,FourWeekly_Model!$B$2:$B$29,0)),0),IFERROR(INDEX(FourWeekly_Model!$D$2:$D$29,MATCH(H71,FourWeekly_Model!$B$2:$B$29,0)),0),IFERROR(INDEX(FourWeekly_Model!$D$2:$D$29,MATCH(H72,FourWeekly_Model!$B$2:$B$29,0)),0),IFERROR(INDEX(FourWeekly_Model!$D$2:$D$29,MATCH(H73,FourWeekly_Model!$B$2:$B$29,0)),0)),0))))))</f>
        <v>3.3214289700000004E-3</v>
      </c>
      <c r="N69" s="27">
        <f>SUM(I69:M69)</f>
        <v>3.0030553855078537E-2</v>
      </c>
      <c r="O69" s="28">
        <f>Population_Data!$B$8*N69</f>
        <v>909925.78180887969</v>
      </c>
      <c r="P69" s="27">
        <f>IF(VLOOKUP($A69,Calendar!$A$1:$R$1377,18,0)=0,0,IF(VLOOKUP($A69,Calendar!$A$1:$R$1377,18,0)=1,IFERROR(INDEX(Pension_Model!$D$2:$D$29,MATCH(H69,Pension_Model!$B$2:$B$29,0)),0),IF(VLOOKUP($A69,Calendar!$A$1:$R$1377,18,0)=2,SUM(IFERROR(INDEX(Pension_Model!$D$2:$D$29,MATCH(H69,Pension_Model!$B$2:$B$29,0)),0),IFERROR(INDEX(Pension_Model!$D$2:$D$29,MATCH(H70,Pension_Model!$B$2:$B$29,0)),0)),IF(VLOOKUP($A69,Calendar!$A$1:$R$1377,18,0)=3,SUM(IFERROR(INDEX(Pension_Model!$D$2:$D$29,MATCH(H69,Pension_Model!$B$2:$B$29,0)),0),IFERROR(INDEX(Pension_Model!$D$2:$D$29,MATCH(H70,Pension_Model!$B$2:$B$29,0)),0),IFERROR(INDEX(Pension_Model!$D$2:$D$29,MATCH(H71,Pension_Model!$B$2:$B$29,0)),0)),IF(VLOOKUP($A69,Calendar!$A$1:$R$1377,18,0)=4,SUM(IFERROR(INDEX(Pension_Model!$D$2:$D$29,MATCH(H69,Pension_Model!$B$2:$B$29,0)),0),IFERROR(INDEX(Pension_Model!$D$2:$D$29,MATCH(H70,Pension_Model!$B$2:$B$29,0)),0),IFERROR(INDEX(Pension_Model!$D$2:$D$29,MATCH(H71,Pension_Model!$B$2:$B$29,0)),0),IFERROR(INDEX(Pension_Model!$D$2:$D$29,MATCH(H72,Pension_Model!$B$2:$B$29,0)),0)),IF(VLOOKUP($A69,Calendar!$A$1:$R$1377,18,0)=5,SUM(IFERROR(INDEX(Pension_Model!$D$2:$D$29,MATCH(H69,Pension_Model!$B$2:$B$29,0)),0),IFERROR(INDEX(Pension_Model!$D$2:$D$29,MATCH(H70,Pension_Model!$B$2:$B$29,0)),0),IFERROR(INDEX(Pension_Model!$D$2:$D$29,MATCH(H71,Pension_Model!$B$2:$B$29,0)),0),IFERROR(INDEX(Pension_Model!$D$2:$D$29,MATCH(H72,Pension_Model!$B$2:$B$29,0)),0),IFERROR(INDEX(Pension_Model!$D$2:$D$29,MATCH(H73,Pension_Model!$B$2:$B$29,0)),0)),0))))))</f>
        <v>0.05</v>
      </c>
      <c r="Q69" s="28">
        <f>Population_Data!$B$15*P69</f>
        <v>660600</v>
      </c>
      <c r="S69">
        <f t="shared" si="1"/>
        <v>1570525.7818088797</v>
      </c>
      <c r="U69" s="33">
        <f>S69/Population_Data!$B$19</f>
        <v>2.8451554018276808E-2</v>
      </c>
    </row>
    <row r="70" spans="1:21">
      <c r="A70" s="25">
        <f>Calendar!A70</f>
        <v>46303</v>
      </c>
      <c r="B70" t="str">
        <f>Calendar!L70</f>
        <v>Yes</v>
      </c>
      <c r="C70" t="str">
        <f>Calendar!O70</f>
        <v>No</v>
      </c>
      <c r="D70" t="str">
        <f>Calendar!P70</f>
        <v>No</v>
      </c>
      <c r="E70" t="str">
        <f>Calendar!Q70</f>
        <v>No</v>
      </c>
      <c r="F70" t="str">
        <f>Calendar!I70</f>
        <v>Thursday</v>
      </c>
      <c r="G70">
        <f>Calendar!S70</f>
        <v>5</v>
      </c>
      <c r="H70">
        <f>Calendar!T70</f>
        <v>19</v>
      </c>
      <c r="I70" s="27">
        <f>IF(VLOOKUP(A70,Calendar!$A$1:$R$1377,18,0)=0,0,IF(VLOOKUP(A70,Calendar!$A$1:$R$1377,18,0)=1,INDEX(Monthly_Pay_Model!$A$9:$D$40,MATCH(TEXT(A70,"dd"),Monthly_Pay_Model!$C$9:$C$39,0),4),IF(VLOOKUP(A70,Calendar!$A$1:$R$1377,18,0)=2,SUM(INDEX(Monthly_Pay_Model!$A$9:$D$40,MATCH(TEXT(A70,"dd"),Monthly_Pay_Model!$C$9:$C$39,0),4),INDEX(Monthly_Pay_Model!$A$9:$D$40,MATCH(TEXT(A71,"dd"),Monthly_Pay_Model!$C$9:$C$39,0),4)),IF(VLOOKUP(A70,Calendar!$A$1:$R$1377,18,0)=3,SUM(INDEX(Monthly_Pay_Model!$A$9:$D$40,MATCH(TEXT(A70,"dd"),Monthly_Pay_Model!$C$9:$C$39,0),4),INDEX(Monthly_Pay_Model!$A$9:$D$40,MATCH(TEXT(A71,"dd"),Monthly_Pay_Model!$C$9:$C$39,0),4),INDEX(Monthly_Pay_Model!$A$9:$D$40,MATCH(TEXT(A72,"dd"),Monthly_Pay_Model!$C$9:$C$39,0),4)),IF(VLOOKUP(A70,Calendar!$A$1:$R$1377,18,0)=4,SUM(INDEX(Monthly_Pay_Model!$A$9:$D$40,MATCH(TEXT(A70,"dd"),Monthly_Pay_Model!$C$9:$C$39,0),4),INDEX(Monthly_Pay_Model!$A$9:$D$40,MATCH(TEXT(A71,"dd"),Monthly_Pay_Model!$C$9:$C$39,0),4),INDEX(Monthly_Pay_Model!$A$9:$D$40,MATCH(TEXT(A72,"dd"),Monthly_Pay_Model!$C$9:$C$39,0),4),INDEX(Monthly_Pay_Model!$A$9:$D$40,MATCH(TEXT(A73,"dd"),Monthly_Pay_Model!$C$9:$C$39,0),4)),IF(VLOOKUP(A70,Calendar!$A$1:$R$1377,18,0)=5,SUM(INDEX(Monthly_Pay_Model!$A$9:$D$40,MATCH(TEXT(A70,"dd"),Monthly_Pay_Model!$C$9:$C$39,0),4),INDEX(Monthly_Pay_Model!$A$9:$D$40,MATCH(TEXT(A71,"dd"),Monthly_Pay_Model!$C$9:$C$39,0),4),INDEX(Monthly_Pay_Model!$A$9:$D$40,MATCH(TEXT(A72,"dd"),Monthly_Pay_Model!$C$9:$C$39,0),4),INDEX(Monthly_Pay_Model!$A$9:$D$40,MATCH(TEXT(A73,"dd"),Monthly_Pay_Model!$C$9:$C$39,0),4),INDEX(Monthly_Pay_Model!$A$9:$D$40,MATCH(TEXT(A74,"dd"),Monthly_Pay_Model!$C$9:$C$39,0),4)),))))))</f>
        <v>1.6251308900523558E-3</v>
      </c>
      <c r="J70" s="33">
        <f>IF(C70="Yes",Monthly_Pay_Model!$D$2,0)
+IF(Calendar!N70="Yes",Monthly_Pay_Model!$D$3,0)
+IF(D70="Yes",Monthly_Pay_Model!$D$4,0)
+IF(E70="Yes",Monthly_Pay_Model!$D$5,0)</f>
        <v>0</v>
      </c>
      <c r="K70" s="27">
        <f>IF(VLOOKUP($A70,Calendar!$A$1:$R$1377,18,0)=0,0,IF(VLOOKUP($A70,Calendar!$A$1:$R$1377,18,0)=1,IFERROR(INDEX(Weekly_Model!$D$2:$D$9,MATCH(F70,Weekly_Model!$A$2:$A$9,0)),0),IF(VLOOKUP($A70,Calendar!$A$1:$R$1377,18,0)=2,SUM(IFERROR(INDEX(Weekly_Model!$D$2:$D$9,MATCH(F70,Weekly_Model!$A$2:$A$9,0)),0),IFERROR(INDEX(Weekly_Model!$D$2:$D$9,MATCH(F71,Weekly_Model!$A$2:$A$9,0)),0)),IF(VLOOKUP($A70,Calendar!$A$1:$R$1377,18,0)=3,SUM(IFERROR(INDEX(Weekly_Model!$D$2:$D$9,MATCH(F70,Weekly_Model!$A$2:$A$9,0)),0),IFERROR(INDEX(Weekly_Model!$D$2:$D$9,MATCH(F71,Weekly_Model!$A$2:$A$9,0)),0),IFERROR(INDEX(Weekly_Model!$D$2:$D$9,MATCH(F72,Weekly_Model!$A$2:$A$9,0)),0)),IF(VLOOKUP($A70,Calendar!$A$1:$R$1377,18,0)=4,SUM(IFERROR(INDEX(Weekly_Model!$D$2:$D$9,MATCH(F70,Weekly_Model!$A$2:$A$9,0)),0),IFERROR(INDEX(Weekly_Model!$D$2:$D$9,MATCH(F71,Weekly_Model!$A$2:$A$9,0)),0),IFERROR(INDEX(Weekly_Model!$D$2:$D$9,MATCH(F72,Weekly_Model!$A$2:$A$9,0)),0),IFERROR(INDEX(Weekly_Model!$D$2:$D$9,MATCH(F73,Weekly_Model!$A$2:$A$9,0)),0)),IF(VLOOKUP($A70,Calendar!$A$1:$R$1377,18,0)=5,SUM(IFERROR(INDEX(Weekly_Model!$D$2:$D$9,MATCH(F70,Weekly_Model!$A$2:$A$9,0)),0),IFERROR(INDEX(Weekly_Model!$D$2:$D$9,MATCH(F71,Weekly_Model!$A$2:$A$9,0)),0),IFERROR(INDEX(Weekly_Model!$D$2:$D$9,MATCH(F72,Weekly_Model!$A$2:$A$9,0)),0),IFERROR(INDEX(Weekly_Model!$D$2:$D$9,MATCH(F73,Weekly_Model!$A$2:$A$9,0)),0),IFERROR(INDEX(Weekly_Model!$D$2:$D$9,MATCH(F74,Weekly_Model!$A$2:$A$9,0)),0)),0))))))</f>
        <v>2.3200000000000002E-2</v>
      </c>
      <c r="L70" s="27">
        <f>IF(VLOOKUP($A70,Calendar!$A$1:$R$1377,18,0)=0,0,IF(VLOOKUP($A70,Calendar!$A$1:$R$1377,18,0)=1,IFERROR(INDEX(Fortnightly_Model!$D$2:$D$15,MATCH(G70,Fortnightly_Model!$B$2:$B$15,0)),0),IF(VLOOKUP($A70,Calendar!$A$1:$R$1377,18,0)=2,SUM(IFERROR(INDEX(Fortnightly_Model!$D$2:$D$15,MATCH(G70,Fortnightly_Model!$B$2:$B$15,0)),0),IFERROR(INDEX(Fortnightly_Model!$D$2:$D$15,MATCH(G71,Fortnightly_Model!$B$2:$B$15,0)),0)),IF(VLOOKUP($A70,Calendar!$A$1:$R$1377,18,0)=3,SUM(IFERROR(INDEX(Fortnightly_Model!$D$2:$D$15,MATCH(G70,Fortnightly_Model!$B$2:$B$15,0)),0),IFERROR(INDEX(Fortnightly_Model!$D$2:$D$15,MATCH(G71,Fortnightly_Model!$B$2:$B$15,0)),0),IFERROR(INDEX(Fortnightly_Model!$D$2:$D$15,MATCH(G72,Fortnightly_Model!$B$2:$B$15,0)),0)),IF(VLOOKUP($A70,Calendar!$A$1:$R$1377,18,0)=4,SUM(IFERROR(INDEX(Fortnightly_Model!$D$2:$D$15,MATCH(G70,Fortnightly_Model!$B$2:$B$15,0)),0),IFERROR(INDEX(Fortnightly_Model!$D$2:$D$15,MATCH(G71,Fortnightly_Model!$B$2:$B$15,0)),0),IFERROR(INDEX(Fortnightly_Model!$D$2:$D$15,MATCH(G72,Fortnightly_Model!$B$2:$B$15,0)),0),IFERROR(INDEX(Fortnightly_Model!$D$2:$D$15,MATCH(G73,Fortnightly_Model!$B$2:$B$15,0)),0)),IF(VLOOKUP($A70,Calendar!$A$1:$R$1377,18,0)=5,SUM(IFERROR(INDEX(Fortnightly_Model!$D$2:$D$15,MATCH(G70,Fortnightly_Model!$B$2:$B$15,0)),0),IFERROR(INDEX(Fortnightly_Model!$D$2:$D$15,MATCH(G71,Fortnightly_Model!$B$2:$B$15,0)),0),IFERROR(INDEX(Fortnightly_Model!$D$2:$D$15,MATCH(G72,Fortnightly_Model!$B$2:$B$15,0)),0),IFERROR(INDEX(Fortnightly_Model!$D$2:$D$15,MATCH(G73,Fortnightly_Model!$B$2:$B$15,0)),0),IFERROR(INDEX(Fortnightly_Model!$D$2:$D$15,MATCH(G74,Fortnightly_Model!$B$2:$B$15,0)),0)),0))))))</f>
        <v>1.0714285499999999E-3</v>
      </c>
      <c r="M70" s="27">
        <f>IF(VLOOKUP($A70,Calendar!$A$1:$R$1377,18,0)=0,0,IF(VLOOKUP($A70,Calendar!$A$1:$R$1377,18,0)=1,IFERROR(INDEX(FourWeekly_Model!$D$2:$D$29,MATCH(H70,FourWeekly_Model!$B$2:$B$29,0)),0),IF(VLOOKUP($A70,Calendar!$A$1:$R$1377,18,0)=2,SUM(IFERROR(INDEX(FourWeekly_Model!$D$2:$D$29,MATCH(H70,FourWeekly_Model!$B$2:$B$29,0)),0),IFERROR(INDEX(FourWeekly_Model!$D$2:$D$29,MATCH(H71,FourWeekly_Model!$B$2:$B$29,0)),0)),IF(VLOOKUP($A70,Calendar!$A$1:$R$1377,18,0)=3,SUM(IFERROR(INDEX(FourWeekly_Model!$D$2:$D$29,MATCH(H70,FourWeekly_Model!$B$2:$B$29,0)),0),IFERROR(INDEX(FourWeekly_Model!$D$2:$D$29,MATCH(H71,FourWeekly_Model!$B$2:$B$29,0)),0),IFERROR(INDEX(FourWeekly_Model!$D$2:$D$29,MATCH(H72,FourWeekly_Model!$B$2:$B$29,0)),0)),IF(VLOOKUP($A70,Calendar!$A$1:$R$1377,18,0)=4,SUM(IFERROR(INDEX(FourWeekly_Model!$D$2:$D$29,MATCH(H70,FourWeekly_Model!$B$2:$B$29,0)),0),IFERROR(INDEX(FourWeekly_Model!$D$2:$D$29,MATCH(H71,FourWeekly_Model!$B$2:$B$29,0)),0),IFERROR(INDEX(FourWeekly_Model!$D$2:$D$29,MATCH(H72,FourWeekly_Model!$B$2:$B$29,0)),0),IFERROR(INDEX(FourWeekly_Model!$D$2:$D$29,MATCH(H73,FourWeekly_Model!$B$2:$B$29,0)),0)),IF(VLOOKUP($A70,Calendar!$A$1:$R$1377,18,0)=5,SUM(IFERROR(INDEX(FourWeekly_Model!$D$2:$D$29,MATCH(H70,FourWeekly_Model!$B$2:$B$29,0)),0),IFERROR(INDEX(FourWeekly_Model!$D$2:$D$29,MATCH(H71,FourWeekly_Model!$B$2:$B$29,0)),0),IFERROR(INDEX(FourWeekly_Model!$D$2:$D$29,MATCH(H72,FourWeekly_Model!$B$2:$B$29,0)),0),IFERROR(INDEX(FourWeekly_Model!$D$2:$D$29,MATCH(H73,FourWeekly_Model!$B$2:$B$29,0)),0),IFERROR(INDEX(FourWeekly_Model!$D$2:$D$29,MATCH(H74,FourWeekly_Model!$B$2:$B$29,0)),0)),0))))))</f>
        <v>3.3214289700000004E-3</v>
      </c>
      <c r="N70" s="27">
        <f>SUM(I70:M70)</f>
        <v>2.921798841005236E-2</v>
      </c>
      <c r="O70" s="28">
        <f>Population_Data!$B$8*N70</f>
        <v>885305.04882458656</v>
      </c>
      <c r="P70" s="27">
        <f>IF(VLOOKUP($A70,Calendar!$A$1:$R$1377,18,0)=0,0,IF(VLOOKUP($A70,Calendar!$A$1:$R$1377,18,0)=1,IFERROR(INDEX(Pension_Model!$D$2:$D$29,MATCH(H70,Pension_Model!$B$2:$B$29,0)),0),IF(VLOOKUP($A70,Calendar!$A$1:$R$1377,18,0)=2,SUM(IFERROR(INDEX(Pension_Model!$D$2:$D$29,MATCH(H70,Pension_Model!$B$2:$B$29,0)),0),IFERROR(INDEX(Pension_Model!$D$2:$D$29,MATCH(H71,Pension_Model!$B$2:$B$29,0)),0)),IF(VLOOKUP($A70,Calendar!$A$1:$R$1377,18,0)=3,SUM(IFERROR(INDEX(Pension_Model!$D$2:$D$29,MATCH(H70,Pension_Model!$B$2:$B$29,0)),0),IFERROR(INDEX(Pension_Model!$D$2:$D$29,MATCH(H71,Pension_Model!$B$2:$B$29,0)),0),IFERROR(INDEX(Pension_Model!$D$2:$D$29,MATCH(H72,Pension_Model!$B$2:$B$29,0)),0)),IF(VLOOKUP($A70,Calendar!$A$1:$R$1377,18,0)=4,SUM(IFERROR(INDEX(Pension_Model!$D$2:$D$29,MATCH(H70,Pension_Model!$B$2:$B$29,0)),0),IFERROR(INDEX(Pension_Model!$D$2:$D$29,MATCH(H71,Pension_Model!$B$2:$B$29,0)),0),IFERROR(INDEX(Pension_Model!$D$2:$D$29,MATCH(H72,Pension_Model!$B$2:$B$29,0)),0),IFERROR(INDEX(Pension_Model!$D$2:$D$29,MATCH(H73,Pension_Model!$B$2:$B$29,0)),0)),IF(VLOOKUP($A70,Calendar!$A$1:$R$1377,18,0)=5,SUM(IFERROR(INDEX(Pension_Model!$D$2:$D$29,MATCH(H70,Pension_Model!$B$2:$B$29,0)),0),IFERROR(INDEX(Pension_Model!$D$2:$D$29,MATCH(H71,Pension_Model!$B$2:$B$29,0)),0),IFERROR(INDEX(Pension_Model!$D$2:$D$29,MATCH(H72,Pension_Model!$B$2:$B$29,0)),0),IFERROR(INDEX(Pension_Model!$D$2:$D$29,MATCH(H73,Pension_Model!$B$2:$B$29,0)),0),IFERROR(INDEX(Pension_Model!$D$2:$D$29,MATCH(H74,Pension_Model!$B$2:$B$29,0)),0)),0))))))</f>
        <v>0.05</v>
      </c>
      <c r="Q70" s="28">
        <f>Population_Data!$B$15*P70</f>
        <v>660600</v>
      </c>
      <c r="S70">
        <f t="shared" si="1"/>
        <v>1545905.0488245864</v>
      </c>
      <c r="U70" s="33">
        <f>S70/Population_Data!$B$19</f>
        <v>2.8005526246822218E-2</v>
      </c>
    </row>
    <row r="71" spans="1:21">
      <c r="A71" s="25">
        <f>Calendar!A71</f>
        <v>46304</v>
      </c>
      <c r="B71" t="str">
        <f>Calendar!L71</f>
        <v>Yes</v>
      </c>
      <c r="C71" t="str">
        <f>Calendar!O71</f>
        <v>No</v>
      </c>
      <c r="D71" t="str">
        <f>Calendar!P71</f>
        <v>No</v>
      </c>
      <c r="E71" t="str">
        <f>Calendar!Q71</f>
        <v>No</v>
      </c>
      <c r="F71" t="str">
        <f>Calendar!I71</f>
        <v>Friday</v>
      </c>
      <c r="G71">
        <f>Calendar!S71</f>
        <v>6</v>
      </c>
      <c r="H71">
        <f>Calendar!T71</f>
        <v>20</v>
      </c>
      <c r="I71" s="27">
        <f>IF(VLOOKUP(A71,Calendar!$A$1:$R$1377,18,0)=0,0,IF(VLOOKUP(A71,Calendar!$A$1:$R$1377,18,0)=1,INDEX(Monthly_Pay_Model!$A$9:$D$40,MATCH(TEXT(A71,"dd"),Monthly_Pay_Model!$C$9:$C$39,0),4),IF(VLOOKUP(A71,Calendar!$A$1:$R$1377,18,0)=2,SUM(INDEX(Monthly_Pay_Model!$A$9:$D$40,MATCH(TEXT(A71,"dd"),Monthly_Pay_Model!$C$9:$C$39,0),4),INDEX(Monthly_Pay_Model!$A$9:$D$40,MATCH(TEXT(A72,"dd"),Monthly_Pay_Model!$C$9:$C$39,0),4)),IF(VLOOKUP(A71,Calendar!$A$1:$R$1377,18,0)=3,SUM(INDEX(Monthly_Pay_Model!$A$9:$D$40,MATCH(TEXT(A71,"dd"),Monthly_Pay_Model!$C$9:$C$39,0),4),INDEX(Monthly_Pay_Model!$A$9:$D$40,MATCH(TEXT(A72,"dd"),Monthly_Pay_Model!$C$9:$C$39,0),4),INDEX(Monthly_Pay_Model!$A$9:$D$40,MATCH(TEXT(A73,"dd"),Monthly_Pay_Model!$C$9:$C$39,0),4)),IF(VLOOKUP(A71,Calendar!$A$1:$R$1377,18,0)=4,SUM(INDEX(Monthly_Pay_Model!$A$9:$D$40,MATCH(TEXT(A71,"dd"),Monthly_Pay_Model!$C$9:$C$39,0),4),INDEX(Monthly_Pay_Model!$A$9:$D$40,MATCH(TEXT(A72,"dd"),Monthly_Pay_Model!$C$9:$C$39,0),4),INDEX(Monthly_Pay_Model!$A$9:$D$40,MATCH(TEXT(A73,"dd"),Monthly_Pay_Model!$C$9:$C$39,0),4),INDEX(Monthly_Pay_Model!$A$9:$D$40,MATCH(TEXT(A74,"dd"),Monthly_Pay_Model!$C$9:$C$39,0),4)),IF(VLOOKUP(A71,Calendar!$A$1:$R$1377,18,0)=5,SUM(INDEX(Monthly_Pay_Model!$A$9:$D$40,MATCH(TEXT(A71,"dd"),Monthly_Pay_Model!$C$9:$C$39,0),4),INDEX(Monthly_Pay_Model!$A$9:$D$40,MATCH(TEXT(A72,"dd"),Monthly_Pay_Model!$C$9:$C$39,0),4),INDEX(Monthly_Pay_Model!$A$9:$D$40,MATCH(TEXT(A73,"dd"),Monthly_Pay_Model!$C$9:$C$39,0),4),INDEX(Monthly_Pay_Model!$A$9:$D$40,MATCH(TEXT(A74,"dd"),Monthly_Pay_Model!$C$9:$C$39,0),4),INDEX(Monthly_Pay_Model!$A$9:$D$40,MATCH(TEXT(A75,"dd"),Monthly_Pay_Model!$C$9:$C$39,0),4)),))))))</f>
        <v>6.5005235602094216E-3</v>
      </c>
      <c r="J71" s="33">
        <f>IF(C71="Yes",Monthly_Pay_Model!$D$2,0)
+IF(Calendar!N71="Yes",Monthly_Pay_Model!$D$3,0)
+IF(D71="Yes",Monthly_Pay_Model!$D$4,0)
+IF(E71="Yes",Monthly_Pay_Model!$D$5,0)</f>
        <v>0</v>
      </c>
      <c r="K71" s="27">
        <f>IF(VLOOKUP($A71,Calendar!$A$1:$R$1377,18,0)=0,0,IF(VLOOKUP($A71,Calendar!$A$1:$R$1377,18,0)=1,IFERROR(INDEX(Weekly_Model!$D$2:$D$9,MATCH(F71,Weekly_Model!$A$2:$A$9,0)),0),IF(VLOOKUP($A71,Calendar!$A$1:$R$1377,18,0)=2,SUM(IFERROR(INDEX(Weekly_Model!$D$2:$D$9,MATCH(F71,Weekly_Model!$A$2:$A$9,0)),0),IFERROR(INDEX(Weekly_Model!$D$2:$D$9,MATCH(F72,Weekly_Model!$A$2:$A$9,0)),0)),IF(VLOOKUP($A71,Calendar!$A$1:$R$1377,18,0)=3,SUM(IFERROR(INDEX(Weekly_Model!$D$2:$D$9,MATCH(F71,Weekly_Model!$A$2:$A$9,0)),0),IFERROR(INDEX(Weekly_Model!$D$2:$D$9,MATCH(F72,Weekly_Model!$A$2:$A$9,0)),0),IFERROR(INDEX(Weekly_Model!$D$2:$D$9,MATCH(F73,Weekly_Model!$A$2:$A$9,0)),0)),IF(VLOOKUP($A71,Calendar!$A$1:$R$1377,18,0)=4,SUM(IFERROR(INDEX(Weekly_Model!$D$2:$D$9,MATCH(F71,Weekly_Model!$A$2:$A$9,0)),0),IFERROR(INDEX(Weekly_Model!$D$2:$D$9,MATCH(F72,Weekly_Model!$A$2:$A$9,0)),0),IFERROR(INDEX(Weekly_Model!$D$2:$D$9,MATCH(F73,Weekly_Model!$A$2:$A$9,0)),0),IFERROR(INDEX(Weekly_Model!$D$2:$D$9,MATCH(F74,Weekly_Model!$A$2:$A$9,0)),0)),IF(VLOOKUP($A71,Calendar!$A$1:$R$1377,18,0)=5,SUM(IFERROR(INDEX(Weekly_Model!$D$2:$D$9,MATCH(F71,Weekly_Model!$A$2:$A$9,0)),0),IFERROR(INDEX(Weekly_Model!$D$2:$D$9,MATCH(F72,Weekly_Model!$A$2:$A$9,0)),0),IFERROR(INDEX(Weekly_Model!$D$2:$D$9,MATCH(F73,Weekly_Model!$A$2:$A$9,0)),0),IFERROR(INDEX(Weekly_Model!$D$2:$D$9,MATCH(F74,Weekly_Model!$A$2:$A$9,0)),0),IFERROR(INDEX(Weekly_Model!$D$2:$D$9,MATCH(F75,Weekly_Model!$A$2:$A$9,0)),0)),0))))))</f>
        <v>2.3200000000000002E-2</v>
      </c>
      <c r="L71" s="27">
        <f>IF(VLOOKUP($A71,Calendar!$A$1:$R$1377,18,0)=0,0,IF(VLOOKUP($A71,Calendar!$A$1:$R$1377,18,0)=1,IFERROR(INDEX(Fortnightly_Model!$D$2:$D$15,MATCH(G71,Fortnightly_Model!$B$2:$B$15,0)),0),IF(VLOOKUP($A71,Calendar!$A$1:$R$1377,18,0)=2,SUM(IFERROR(INDEX(Fortnightly_Model!$D$2:$D$15,MATCH(G71,Fortnightly_Model!$B$2:$B$15,0)),0),IFERROR(INDEX(Fortnightly_Model!$D$2:$D$15,MATCH(G72,Fortnightly_Model!$B$2:$B$15,0)),0)),IF(VLOOKUP($A71,Calendar!$A$1:$R$1377,18,0)=3,SUM(IFERROR(INDEX(Fortnightly_Model!$D$2:$D$15,MATCH(G71,Fortnightly_Model!$B$2:$B$15,0)),0),IFERROR(INDEX(Fortnightly_Model!$D$2:$D$15,MATCH(G72,Fortnightly_Model!$B$2:$B$15,0)),0),IFERROR(INDEX(Fortnightly_Model!$D$2:$D$15,MATCH(G73,Fortnightly_Model!$B$2:$B$15,0)),0)),IF(VLOOKUP($A71,Calendar!$A$1:$R$1377,18,0)=4,SUM(IFERROR(INDEX(Fortnightly_Model!$D$2:$D$15,MATCH(G71,Fortnightly_Model!$B$2:$B$15,0)),0),IFERROR(INDEX(Fortnightly_Model!$D$2:$D$15,MATCH(G72,Fortnightly_Model!$B$2:$B$15,0)),0),IFERROR(INDEX(Fortnightly_Model!$D$2:$D$15,MATCH(G73,Fortnightly_Model!$B$2:$B$15,0)),0),IFERROR(INDEX(Fortnightly_Model!$D$2:$D$15,MATCH(G74,Fortnightly_Model!$B$2:$B$15,0)),0)),IF(VLOOKUP($A71,Calendar!$A$1:$R$1377,18,0)=5,SUM(IFERROR(INDEX(Fortnightly_Model!$D$2:$D$15,MATCH(G71,Fortnightly_Model!$B$2:$B$15,0)),0),IFERROR(INDEX(Fortnightly_Model!$D$2:$D$15,MATCH(G72,Fortnightly_Model!$B$2:$B$15,0)),0),IFERROR(INDEX(Fortnightly_Model!$D$2:$D$15,MATCH(G73,Fortnightly_Model!$B$2:$B$15,0)),0),IFERROR(INDEX(Fortnightly_Model!$D$2:$D$15,MATCH(G74,Fortnightly_Model!$B$2:$B$15,0)),0),IFERROR(INDEX(Fortnightly_Model!$D$2:$D$15,MATCH(G75,Fortnightly_Model!$B$2:$B$15,0)),0)),0))))))</f>
        <v>3.2142856499999999E-3</v>
      </c>
      <c r="M71" s="27">
        <f>IF(VLOOKUP($A71,Calendar!$A$1:$R$1377,18,0)=0,0,IF(VLOOKUP($A71,Calendar!$A$1:$R$1377,18,0)=1,IFERROR(INDEX(FourWeekly_Model!$D$2:$D$29,MATCH(H71,FourWeekly_Model!$B$2:$B$29,0)),0),IF(VLOOKUP($A71,Calendar!$A$1:$R$1377,18,0)=2,SUM(IFERROR(INDEX(FourWeekly_Model!$D$2:$D$29,MATCH(H71,FourWeekly_Model!$B$2:$B$29,0)),0),IFERROR(INDEX(FourWeekly_Model!$D$2:$D$29,MATCH(H72,FourWeekly_Model!$B$2:$B$29,0)),0)),IF(VLOOKUP($A71,Calendar!$A$1:$R$1377,18,0)=3,SUM(IFERROR(INDEX(FourWeekly_Model!$D$2:$D$29,MATCH(H71,FourWeekly_Model!$B$2:$B$29,0)),0),IFERROR(INDEX(FourWeekly_Model!$D$2:$D$29,MATCH(H72,FourWeekly_Model!$B$2:$B$29,0)),0),IFERROR(INDEX(FourWeekly_Model!$D$2:$D$29,MATCH(H73,FourWeekly_Model!$B$2:$B$29,0)),0)),IF(VLOOKUP($A71,Calendar!$A$1:$R$1377,18,0)=4,SUM(IFERROR(INDEX(FourWeekly_Model!$D$2:$D$29,MATCH(H71,FourWeekly_Model!$B$2:$B$29,0)),0),IFERROR(INDEX(FourWeekly_Model!$D$2:$D$29,MATCH(H72,FourWeekly_Model!$B$2:$B$29,0)),0),IFERROR(INDEX(FourWeekly_Model!$D$2:$D$29,MATCH(H73,FourWeekly_Model!$B$2:$B$29,0)),0),IFERROR(INDEX(FourWeekly_Model!$D$2:$D$29,MATCH(H74,FourWeekly_Model!$B$2:$B$29,0)),0)),IF(VLOOKUP($A71,Calendar!$A$1:$R$1377,18,0)=5,SUM(IFERROR(INDEX(FourWeekly_Model!$D$2:$D$29,MATCH(H71,FourWeekly_Model!$B$2:$B$29,0)),0),IFERROR(INDEX(FourWeekly_Model!$D$2:$D$29,MATCH(H72,FourWeekly_Model!$B$2:$B$29,0)),0),IFERROR(INDEX(FourWeekly_Model!$D$2:$D$29,MATCH(H73,FourWeekly_Model!$B$2:$B$29,0)),0),IFERROR(INDEX(FourWeekly_Model!$D$2:$D$29,MATCH(H74,FourWeekly_Model!$B$2:$B$29,0)),0),IFERROR(INDEX(FourWeekly_Model!$D$2:$D$29,MATCH(H75,FourWeekly_Model!$B$2:$B$29,0)),0)),0))))))</f>
        <v>9.9642859800000011E-3</v>
      </c>
      <c r="N71" s="27">
        <f>SUM(I71:M71)</f>
        <v>4.2879095190209424E-2</v>
      </c>
      <c r="O71" s="28">
        <f>Population_Data!$B$8*N71</f>
        <v>1299236.5842633455</v>
      </c>
      <c r="P71" s="27">
        <f>IF(VLOOKUP($A71,Calendar!$A$1:$R$1377,18,0)=0,0,IF(VLOOKUP($A71,Calendar!$A$1:$R$1377,18,0)=1,IFERROR(INDEX(Pension_Model!$D$2:$D$29,MATCH(H71,Pension_Model!$B$2:$B$29,0)),0),IF(VLOOKUP($A71,Calendar!$A$1:$R$1377,18,0)=2,SUM(IFERROR(INDEX(Pension_Model!$D$2:$D$29,MATCH(H71,Pension_Model!$B$2:$B$29,0)),0),IFERROR(INDEX(Pension_Model!$D$2:$D$29,MATCH(H72,Pension_Model!$B$2:$B$29,0)),0)),IF(VLOOKUP($A71,Calendar!$A$1:$R$1377,18,0)=3,SUM(IFERROR(INDEX(Pension_Model!$D$2:$D$29,MATCH(H71,Pension_Model!$B$2:$B$29,0)),0),IFERROR(INDEX(Pension_Model!$D$2:$D$29,MATCH(H72,Pension_Model!$B$2:$B$29,0)),0),IFERROR(INDEX(Pension_Model!$D$2:$D$29,MATCH(H73,Pension_Model!$B$2:$B$29,0)),0)),IF(VLOOKUP($A71,Calendar!$A$1:$R$1377,18,0)=4,SUM(IFERROR(INDEX(Pension_Model!$D$2:$D$29,MATCH(H71,Pension_Model!$B$2:$B$29,0)),0),IFERROR(INDEX(Pension_Model!$D$2:$D$29,MATCH(H72,Pension_Model!$B$2:$B$29,0)),0),IFERROR(INDEX(Pension_Model!$D$2:$D$29,MATCH(H73,Pension_Model!$B$2:$B$29,0)),0),IFERROR(INDEX(Pension_Model!$D$2:$D$29,MATCH(H74,Pension_Model!$B$2:$B$29,0)),0)),IF(VLOOKUP($A71,Calendar!$A$1:$R$1377,18,0)=5,SUM(IFERROR(INDEX(Pension_Model!$D$2:$D$29,MATCH(H71,Pension_Model!$B$2:$B$29,0)),0),IFERROR(INDEX(Pension_Model!$D$2:$D$29,MATCH(H72,Pension_Model!$B$2:$B$29,0)),0),IFERROR(INDEX(Pension_Model!$D$2:$D$29,MATCH(H73,Pension_Model!$B$2:$B$29,0)),0),IFERROR(INDEX(Pension_Model!$D$2:$D$29,MATCH(H74,Pension_Model!$B$2:$B$29,0)),0),IFERROR(INDEX(Pension_Model!$D$2:$D$29,MATCH(H75,Pension_Model!$B$2:$B$29,0)),0)),0))))))</f>
        <v>0.05</v>
      </c>
      <c r="Q71" s="28">
        <f>Population_Data!$B$15*P71</f>
        <v>660600</v>
      </c>
      <c r="S71">
        <f t="shared" si="1"/>
        <v>1959836.5842633455</v>
      </c>
      <c r="U71" s="33">
        <f>S71/Population_Data!$B$19</f>
        <v>3.5504285946799739E-2</v>
      </c>
    </row>
    <row r="72" spans="1:21">
      <c r="A72" s="25">
        <f>Calendar!A72</f>
        <v>46305</v>
      </c>
      <c r="B72" t="str">
        <f>Calendar!L72</f>
        <v>No</v>
      </c>
      <c r="C72" t="str">
        <f>Calendar!O72</f>
        <v>No</v>
      </c>
      <c r="D72" t="str">
        <f>Calendar!P72</f>
        <v>No</v>
      </c>
      <c r="E72" t="str">
        <f>Calendar!Q72</f>
        <v>No</v>
      </c>
      <c r="F72" t="str">
        <f>Calendar!I72</f>
        <v>Saturday</v>
      </c>
      <c r="G72">
        <f>Calendar!S72</f>
        <v>7</v>
      </c>
      <c r="H72">
        <f>Calendar!T72</f>
        <v>21</v>
      </c>
      <c r="I72" s="27">
        <f>IF(VLOOKUP(A72,Calendar!$A$1:$R$1377,18,0)=0,0,IF(VLOOKUP(A72,Calendar!$A$1:$R$1377,18,0)=1,INDEX(Monthly_Pay_Model!$A$9:$D$40,MATCH(TEXT(A72,"dd"),Monthly_Pay_Model!$C$9:$C$39,0),4),IF(VLOOKUP(A72,Calendar!$A$1:$R$1377,18,0)=2,SUM(INDEX(Monthly_Pay_Model!$A$9:$D$40,MATCH(TEXT(A72,"dd"),Monthly_Pay_Model!$C$9:$C$39,0),4),INDEX(Monthly_Pay_Model!$A$9:$D$40,MATCH(TEXT(A73,"dd"),Monthly_Pay_Model!$C$9:$C$39,0),4)),IF(VLOOKUP(A72,Calendar!$A$1:$R$1377,18,0)=3,SUM(INDEX(Monthly_Pay_Model!$A$9:$D$40,MATCH(TEXT(A72,"dd"),Monthly_Pay_Model!$C$9:$C$39,0),4),INDEX(Monthly_Pay_Model!$A$9:$D$40,MATCH(TEXT(A73,"dd"),Monthly_Pay_Model!$C$9:$C$39,0),4),INDEX(Monthly_Pay_Model!$A$9:$D$40,MATCH(TEXT(A74,"dd"),Monthly_Pay_Model!$C$9:$C$39,0),4)),IF(VLOOKUP(A72,Calendar!$A$1:$R$1377,18,0)=4,SUM(INDEX(Monthly_Pay_Model!$A$9:$D$40,MATCH(TEXT(A72,"dd"),Monthly_Pay_Model!$C$9:$C$39,0),4),INDEX(Monthly_Pay_Model!$A$9:$D$40,MATCH(TEXT(A73,"dd"),Monthly_Pay_Model!$C$9:$C$39,0),4),INDEX(Monthly_Pay_Model!$A$9:$D$40,MATCH(TEXT(A74,"dd"),Monthly_Pay_Model!$C$9:$C$39,0),4),INDEX(Monthly_Pay_Model!$A$9:$D$40,MATCH(TEXT(A75,"dd"),Monthly_Pay_Model!$C$9:$C$39,0),4)),IF(VLOOKUP(A72,Calendar!$A$1:$R$1377,18,0)=5,SUM(INDEX(Monthly_Pay_Model!$A$9:$D$40,MATCH(TEXT(A72,"dd"),Monthly_Pay_Model!$C$9:$C$39,0),4),INDEX(Monthly_Pay_Model!$A$9:$D$40,MATCH(TEXT(A73,"dd"),Monthly_Pay_Model!$C$9:$C$39,0),4),INDEX(Monthly_Pay_Model!$A$9:$D$40,MATCH(TEXT(A74,"dd"),Monthly_Pay_Model!$C$9:$C$39,0),4),INDEX(Monthly_Pay_Model!$A$9:$D$40,MATCH(TEXT(A75,"dd"),Monthly_Pay_Model!$C$9:$C$39,0),4),INDEX(Monthly_Pay_Model!$A$9:$D$40,MATCH(TEXT(A76,"dd"),Monthly_Pay_Model!$C$9:$C$39,0),4)),))))))</f>
        <v>0</v>
      </c>
      <c r="J72" s="33">
        <f>IF(C72="Yes",Monthly_Pay_Model!$D$2,0)
+IF(Calendar!N72="Yes",Monthly_Pay_Model!$D$3,0)
+IF(D72="Yes",Monthly_Pay_Model!$D$4,0)
+IF(E72="Yes",Monthly_Pay_Model!$D$5,0)</f>
        <v>0</v>
      </c>
      <c r="K72" s="27">
        <f>IF(VLOOKUP($A72,Calendar!$A$1:$R$1377,18,0)=0,0,IF(VLOOKUP($A72,Calendar!$A$1:$R$1377,18,0)=1,IFERROR(INDEX(Weekly_Model!$D$2:$D$9,MATCH(F72,Weekly_Model!$A$2:$A$9,0)),0),IF(VLOOKUP($A72,Calendar!$A$1:$R$1377,18,0)=2,SUM(IFERROR(INDEX(Weekly_Model!$D$2:$D$9,MATCH(F72,Weekly_Model!$A$2:$A$9,0)),0),IFERROR(INDEX(Weekly_Model!$D$2:$D$9,MATCH(F73,Weekly_Model!$A$2:$A$9,0)),0)),IF(VLOOKUP($A72,Calendar!$A$1:$R$1377,18,0)=3,SUM(IFERROR(INDEX(Weekly_Model!$D$2:$D$9,MATCH(F72,Weekly_Model!$A$2:$A$9,0)),0),IFERROR(INDEX(Weekly_Model!$D$2:$D$9,MATCH(F73,Weekly_Model!$A$2:$A$9,0)),0),IFERROR(INDEX(Weekly_Model!$D$2:$D$9,MATCH(F74,Weekly_Model!$A$2:$A$9,0)),0)),IF(VLOOKUP($A72,Calendar!$A$1:$R$1377,18,0)=4,SUM(IFERROR(INDEX(Weekly_Model!$D$2:$D$9,MATCH(F72,Weekly_Model!$A$2:$A$9,0)),0),IFERROR(INDEX(Weekly_Model!$D$2:$D$9,MATCH(F73,Weekly_Model!$A$2:$A$9,0)),0),IFERROR(INDEX(Weekly_Model!$D$2:$D$9,MATCH(F74,Weekly_Model!$A$2:$A$9,0)),0),IFERROR(INDEX(Weekly_Model!$D$2:$D$9,MATCH(F75,Weekly_Model!$A$2:$A$9,0)),0)),IF(VLOOKUP($A72,Calendar!$A$1:$R$1377,18,0)=5,SUM(IFERROR(INDEX(Weekly_Model!$D$2:$D$9,MATCH(F72,Weekly_Model!$A$2:$A$9,0)),0),IFERROR(INDEX(Weekly_Model!$D$2:$D$9,MATCH(F73,Weekly_Model!$A$2:$A$9,0)),0),IFERROR(INDEX(Weekly_Model!$D$2:$D$9,MATCH(F74,Weekly_Model!$A$2:$A$9,0)),0),IFERROR(INDEX(Weekly_Model!$D$2:$D$9,MATCH(F75,Weekly_Model!$A$2:$A$9,0)),0),IFERROR(INDEX(Weekly_Model!$D$2:$D$9,MATCH(F76,Weekly_Model!$A$2:$A$9,0)),0)),0))))))</f>
        <v>0</v>
      </c>
      <c r="L72" s="27">
        <f>IF(VLOOKUP($A72,Calendar!$A$1:$R$1377,18,0)=0,0,IF(VLOOKUP($A72,Calendar!$A$1:$R$1377,18,0)=1,IFERROR(INDEX(Fortnightly_Model!$D$2:$D$15,MATCH(G72,Fortnightly_Model!$B$2:$B$15,0)),0),IF(VLOOKUP($A72,Calendar!$A$1:$R$1377,18,0)=2,SUM(IFERROR(INDEX(Fortnightly_Model!$D$2:$D$15,MATCH(G72,Fortnightly_Model!$B$2:$B$15,0)),0),IFERROR(INDEX(Fortnightly_Model!$D$2:$D$15,MATCH(G73,Fortnightly_Model!$B$2:$B$15,0)),0)),IF(VLOOKUP($A72,Calendar!$A$1:$R$1377,18,0)=3,SUM(IFERROR(INDEX(Fortnightly_Model!$D$2:$D$15,MATCH(G72,Fortnightly_Model!$B$2:$B$15,0)),0),IFERROR(INDEX(Fortnightly_Model!$D$2:$D$15,MATCH(G73,Fortnightly_Model!$B$2:$B$15,0)),0),IFERROR(INDEX(Fortnightly_Model!$D$2:$D$15,MATCH(G74,Fortnightly_Model!$B$2:$B$15,0)),0)),IF(VLOOKUP($A72,Calendar!$A$1:$R$1377,18,0)=4,SUM(IFERROR(INDEX(Fortnightly_Model!$D$2:$D$15,MATCH(G72,Fortnightly_Model!$B$2:$B$15,0)),0),IFERROR(INDEX(Fortnightly_Model!$D$2:$D$15,MATCH(G73,Fortnightly_Model!$B$2:$B$15,0)),0),IFERROR(INDEX(Fortnightly_Model!$D$2:$D$15,MATCH(G74,Fortnightly_Model!$B$2:$B$15,0)),0),IFERROR(INDEX(Fortnightly_Model!$D$2:$D$15,MATCH(G75,Fortnightly_Model!$B$2:$B$15,0)),0)),IF(VLOOKUP($A72,Calendar!$A$1:$R$1377,18,0)=5,SUM(IFERROR(INDEX(Fortnightly_Model!$D$2:$D$15,MATCH(G72,Fortnightly_Model!$B$2:$B$15,0)),0),IFERROR(INDEX(Fortnightly_Model!$D$2:$D$15,MATCH(G73,Fortnightly_Model!$B$2:$B$15,0)),0),IFERROR(INDEX(Fortnightly_Model!$D$2:$D$15,MATCH(G74,Fortnightly_Model!$B$2:$B$15,0)),0),IFERROR(INDEX(Fortnightly_Model!$D$2:$D$15,MATCH(G75,Fortnightly_Model!$B$2:$B$15,0)),0),IFERROR(INDEX(Fortnightly_Model!$D$2:$D$15,MATCH(G76,Fortnightly_Model!$B$2:$B$15,0)),0)),0))))))</f>
        <v>0</v>
      </c>
      <c r="M72" s="27">
        <f>IF(VLOOKUP($A72,Calendar!$A$1:$R$1377,18,0)=0,0,IF(VLOOKUP($A72,Calendar!$A$1:$R$1377,18,0)=1,IFERROR(INDEX(FourWeekly_Model!$D$2:$D$29,MATCH(H72,FourWeekly_Model!$B$2:$B$29,0)),0),IF(VLOOKUP($A72,Calendar!$A$1:$R$1377,18,0)=2,SUM(IFERROR(INDEX(FourWeekly_Model!$D$2:$D$29,MATCH(H72,FourWeekly_Model!$B$2:$B$29,0)),0),IFERROR(INDEX(FourWeekly_Model!$D$2:$D$29,MATCH(H73,FourWeekly_Model!$B$2:$B$29,0)),0)),IF(VLOOKUP($A72,Calendar!$A$1:$R$1377,18,0)=3,SUM(IFERROR(INDEX(FourWeekly_Model!$D$2:$D$29,MATCH(H72,FourWeekly_Model!$B$2:$B$29,0)),0),IFERROR(INDEX(FourWeekly_Model!$D$2:$D$29,MATCH(H73,FourWeekly_Model!$B$2:$B$29,0)),0),IFERROR(INDEX(FourWeekly_Model!$D$2:$D$29,MATCH(H74,FourWeekly_Model!$B$2:$B$29,0)),0)),IF(VLOOKUP($A72,Calendar!$A$1:$R$1377,18,0)=4,SUM(IFERROR(INDEX(FourWeekly_Model!$D$2:$D$29,MATCH(H72,FourWeekly_Model!$B$2:$B$29,0)),0),IFERROR(INDEX(FourWeekly_Model!$D$2:$D$29,MATCH(H73,FourWeekly_Model!$B$2:$B$29,0)),0),IFERROR(INDEX(FourWeekly_Model!$D$2:$D$29,MATCH(H74,FourWeekly_Model!$B$2:$B$29,0)),0),IFERROR(INDEX(FourWeekly_Model!$D$2:$D$29,MATCH(H75,FourWeekly_Model!$B$2:$B$29,0)),0)),IF(VLOOKUP($A72,Calendar!$A$1:$R$1377,18,0)=5,SUM(IFERROR(INDEX(FourWeekly_Model!$D$2:$D$29,MATCH(H72,FourWeekly_Model!$B$2:$B$29,0)),0),IFERROR(INDEX(FourWeekly_Model!$D$2:$D$29,MATCH(H73,FourWeekly_Model!$B$2:$B$29,0)),0),IFERROR(INDEX(FourWeekly_Model!$D$2:$D$29,MATCH(H74,FourWeekly_Model!$B$2:$B$29,0)),0),IFERROR(INDEX(FourWeekly_Model!$D$2:$D$29,MATCH(H75,FourWeekly_Model!$B$2:$B$29,0)),0),IFERROR(INDEX(FourWeekly_Model!$D$2:$D$29,MATCH(H76,FourWeekly_Model!$B$2:$B$29,0)),0)),0))))))</f>
        <v>0</v>
      </c>
      <c r="N72" s="27">
        <f>SUM(I72:M72)</f>
        <v>0</v>
      </c>
      <c r="O72" s="28">
        <f>Population_Data!$B$8*N72</f>
        <v>0</v>
      </c>
      <c r="P72" s="27">
        <f>IF(VLOOKUP($A72,Calendar!$A$1:$R$1377,18,0)=0,0,IF(VLOOKUP($A72,Calendar!$A$1:$R$1377,18,0)=1,IFERROR(INDEX(Pension_Model!$D$2:$D$29,MATCH(H72,Pension_Model!$B$2:$B$29,0)),0),IF(VLOOKUP($A72,Calendar!$A$1:$R$1377,18,0)=2,SUM(IFERROR(INDEX(Pension_Model!$D$2:$D$29,MATCH(H72,Pension_Model!$B$2:$B$29,0)),0),IFERROR(INDEX(Pension_Model!$D$2:$D$29,MATCH(H73,Pension_Model!$B$2:$B$29,0)),0)),IF(VLOOKUP($A72,Calendar!$A$1:$R$1377,18,0)=3,SUM(IFERROR(INDEX(Pension_Model!$D$2:$D$29,MATCH(H72,Pension_Model!$B$2:$B$29,0)),0),IFERROR(INDEX(Pension_Model!$D$2:$D$29,MATCH(H73,Pension_Model!$B$2:$B$29,0)),0),IFERROR(INDEX(Pension_Model!$D$2:$D$29,MATCH(H74,Pension_Model!$B$2:$B$29,0)),0)),IF(VLOOKUP($A72,Calendar!$A$1:$R$1377,18,0)=4,SUM(IFERROR(INDEX(Pension_Model!$D$2:$D$29,MATCH(H72,Pension_Model!$B$2:$B$29,0)),0),IFERROR(INDEX(Pension_Model!$D$2:$D$29,MATCH(H73,Pension_Model!$B$2:$B$29,0)),0),IFERROR(INDEX(Pension_Model!$D$2:$D$29,MATCH(H74,Pension_Model!$B$2:$B$29,0)),0),IFERROR(INDEX(Pension_Model!$D$2:$D$29,MATCH(H75,Pension_Model!$B$2:$B$29,0)),0)),IF(VLOOKUP($A72,Calendar!$A$1:$R$1377,18,0)=5,SUM(IFERROR(INDEX(Pension_Model!$D$2:$D$29,MATCH(H72,Pension_Model!$B$2:$B$29,0)),0),IFERROR(INDEX(Pension_Model!$D$2:$D$29,MATCH(H73,Pension_Model!$B$2:$B$29,0)),0),IFERROR(INDEX(Pension_Model!$D$2:$D$29,MATCH(H74,Pension_Model!$B$2:$B$29,0)),0),IFERROR(INDEX(Pension_Model!$D$2:$D$29,MATCH(H75,Pension_Model!$B$2:$B$29,0)),0),IFERROR(INDEX(Pension_Model!$D$2:$D$29,MATCH(H76,Pension_Model!$B$2:$B$29,0)),0)),0))))))</f>
        <v>0</v>
      </c>
      <c r="Q72" s="28">
        <f>Population_Data!$B$15*P72</f>
        <v>0</v>
      </c>
      <c r="S72">
        <f t="shared" si="1"/>
        <v>0</v>
      </c>
      <c r="U72" s="33">
        <f>S72/Population_Data!$B$19</f>
        <v>0</v>
      </c>
    </row>
    <row r="73" spans="1:21">
      <c r="A73" s="25">
        <f>Calendar!A73</f>
        <v>46306</v>
      </c>
      <c r="B73" t="str">
        <f>Calendar!L73</f>
        <v>No</v>
      </c>
      <c r="C73" t="str">
        <f>Calendar!O73</f>
        <v>No</v>
      </c>
      <c r="D73" t="str">
        <f>Calendar!P73</f>
        <v>No</v>
      </c>
      <c r="E73" t="str">
        <f>Calendar!Q73</f>
        <v>No</v>
      </c>
      <c r="F73" t="str">
        <f>Calendar!I73</f>
        <v>Sunday</v>
      </c>
      <c r="G73">
        <f>Calendar!S73</f>
        <v>8</v>
      </c>
      <c r="H73">
        <f>Calendar!T73</f>
        <v>22</v>
      </c>
      <c r="I73" s="27">
        <f>IF(VLOOKUP(A73,Calendar!$A$1:$R$1377,18,0)=0,0,IF(VLOOKUP(A73,Calendar!$A$1:$R$1377,18,0)=1,INDEX(Monthly_Pay_Model!$A$9:$D$40,MATCH(TEXT(A73,"dd"),Monthly_Pay_Model!$C$9:$C$39,0),4),IF(VLOOKUP(A73,Calendar!$A$1:$R$1377,18,0)=2,SUM(INDEX(Monthly_Pay_Model!$A$9:$D$40,MATCH(TEXT(A73,"dd"),Monthly_Pay_Model!$C$9:$C$39,0),4),INDEX(Monthly_Pay_Model!$A$9:$D$40,MATCH(TEXT(A74,"dd"),Monthly_Pay_Model!$C$9:$C$39,0),4)),IF(VLOOKUP(A73,Calendar!$A$1:$R$1377,18,0)=3,SUM(INDEX(Monthly_Pay_Model!$A$9:$D$40,MATCH(TEXT(A73,"dd"),Monthly_Pay_Model!$C$9:$C$39,0),4),INDEX(Monthly_Pay_Model!$A$9:$D$40,MATCH(TEXT(A74,"dd"),Monthly_Pay_Model!$C$9:$C$39,0),4),INDEX(Monthly_Pay_Model!$A$9:$D$40,MATCH(TEXT(A75,"dd"),Monthly_Pay_Model!$C$9:$C$39,0),4)),IF(VLOOKUP(A73,Calendar!$A$1:$R$1377,18,0)=4,SUM(INDEX(Monthly_Pay_Model!$A$9:$D$40,MATCH(TEXT(A73,"dd"),Monthly_Pay_Model!$C$9:$C$39,0),4),INDEX(Monthly_Pay_Model!$A$9:$D$40,MATCH(TEXT(A74,"dd"),Monthly_Pay_Model!$C$9:$C$39,0),4),INDEX(Monthly_Pay_Model!$A$9:$D$40,MATCH(TEXT(A75,"dd"),Monthly_Pay_Model!$C$9:$C$39,0),4),INDEX(Monthly_Pay_Model!$A$9:$D$40,MATCH(TEXT(A76,"dd"),Monthly_Pay_Model!$C$9:$C$39,0),4)),IF(VLOOKUP(A73,Calendar!$A$1:$R$1377,18,0)=5,SUM(INDEX(Monthly_Pay_Model!$A$9:$D$40,MATCH(TEXT(A73,"dd"),Monthly_Pay_Model!$C$9:$C$39,0),4),INDEX(Monthly_Pay_Model!$A$9:$D$40,MATCH(TEXT(A74,"dd"),Monthly_Pay_Model!$C$9:$C$39,0),4),INDEX(Monthly_Pay_Model!$A$9:$D$40,MATCH(TEXT(A75,"dd"),Monthly_Pay_Model!$C$9:$C$39,0),4),INDEX(Monthly_Pay_Model!$A$9:$D$40,MATCH(TEXT(A76,"dd"),Monthly_Pay_Model!$C$9:$C$39,0),4),INDEX(Monthly_Pay_Model!$A$9:$D$40,MATCH(TEXT(A77,"dd"),Monthly_Pay_Model!$C$9:$C$39,0),4)),))))))</f>
        <v>0</v>
      </c>
      <c r="J73" s="33">
        <f>IF(C73="Yes",Monthly_Pay_Model!$D$2,0)
+IF(Calendar!N73="Yes",Monthly_Pay_Model!$D$3,0)
+IF(D73="Yes",Monthly_Pay_Model!$D$4,0)
+IF(E73="Yes",Monthly_Pay_Model!$D$5,0)</f>
        <v>0</v>
      </c>
      <c r="K73" s="27">
        <f>IF(VLOOKUP($A73,Calendar!$A$1:$R$1377,18,0)=0,0,IF(VLOOKUP($A73,Calendar!$A$1:$R$1377,18,0)=1,IFERROR(INDEX(Weekly_Model!$D$2:$D$9,MATCH(F73,Weekly_Model!$A$2:$A$9,0)),0),IF(VLOOKUP($A73,Calendar!$A$1:$R$1377,18,0)=2,SUM(IFERROR(INDEX(Weekly_Model!$D$2:$D$9,MATCH(F73,Weekly_Model!$A$2:$A$9,0)),0),IFERROR(INDEX(Weekly_Model!$D$2:$D$9,MATCH(F74,Weekly_Model!$A$2:$A$9,0)),0)),IF(VLOOKUP($A73,Calendar!$A$1:$R$1377,18,0)=3,SUM(IFERROR(INDEX(Weekly_Model!$D$2:$D$9,MATCH(F73,Weekly_Model!$A$2:$A$9,0)),0),IFERROR(INDEX(Weekly_Model!$D$2:$D$9,MATCH(F74,Weekly_Model!$A$2:$A$9,0)),0),IFERROR(INDEX(Weekly_Model!$D$2:$D$9,MATCH(F75,Weekly_Model!$A$2:$A$9,0)),0)),IF(VLOOKUP($A73,Calendar!$A$1:$R$1377,18,0)=4,SUM(IFERROR(INDEX(Weekly_Model!$D$2:$D$9,MATCH(F73,Weekly_Model!$A$2:$A$9,0)),0),IFERROR(INDEX(Weekly_Model!$D$2:$D$9,MATCH(F74,Weekly_Model!$A$2:$A$9,0)),0),IFERROR(INDEX(Weekly_Model!$D$2:$D$9,MATCH(F75,Weekly_Model!$A$2:$A$9,0)),0),IFERROR(INDEX(Weekly_Model!$D$2:$D$9,MATCH(F76,Weekly_Model!$A$2:$A$9,0)),0)),IF(VLOOKUP($A73,Calendar!$A$1:$R$1377,18,0)=5,SUM(IFERROR(INDEX(Weekly_Model!$D$2:$D$9,MATCH(F73,Weekly_Model!$A$2:$A$9,0)),0),IFERROR(INDEX(Weekly_Model!$D$2:$D$9,MATCH(F74,Weekly_Model!$A$2:$A$9,0)),0),IFERROR(INDEX(Weekly_Model!$D$2:$D$9,MATCH(F75,Weekly_Model!$A$2:$A$9,0)),0),IFERROR(INDEX(Weekly_Model!$D$2:$D$9,MATCH(F76,Weekly_Model!$A$2:$A$9,0)),0),IFERROR(INDEX(Weekly_Model!$D$2:$D$9,MATCH(F77,Weekly_Model!$A$2:$A$9,0)),0)),0))))))</f>
        <v>0</v>
      </c>
      <c r="L73" s="27">
        <f>IF(VLOOKUP($A73,Calendar!$A$1:$R$1377,18,0)=0,0,IF(VLOOKUP($A73,Calendar!$A$1:$R$1377,18,0)=1,IFERROR(INDEX(Fortnightly_Model!$D$2:$D$15,MATCH(G73,Fortnightly_Model!$B$2:$B$15,0)),0),IF(VLOOKUP($A73,Calendar!$A$1:$R$1377,18,0)=2,SUM(IFERROR(INDEX(Fortnightly_Model!$D$2:$D$15,MATCH(G73,Fortnightly_Model!$B$2:$B$15,0)),0),IFERROR(INDEX(Fortnightly_Model!$D$2:$D$15,MATCH(G74,Fortnightly_Model!$B$2:$B$15,0)),0)),IF(VLOOKUP($A73,Calendar!$A$1:$R$1377,18,0)=3,SUM(IFERROR(INDEX(Fortnightly_Model!$D$2:$D$15,MATCH(G73,Fortnightly_Model!$B$2:$B$15,0)),0),IFERROR(INDEX(Fortnightly_Model!$D$2:$D$15,MATCH(G74,Fortnightly_Model!$B$2:$B$15,0)),0),IFERROR(INDEX(Fortnightly_Model!$D$2:$D$15,MATCH(G75,Fortnightly_Model!$B$2:$B$15,0)),0)),IF(VLOOKUP($A73,Calendar!$A$1:$R$1377,18,0)=4,SUM(IFERROR(INDEX(Fortnightly_Model!$D$2:$D$15,MATCH(G73,Fortnightly_Model!$B$2:$B$15,0)),0),IFERROR(INDEX(Fortnightly_Model!$D$2:$D$15,MATCH(G74,Fortnightly_Model!$B$2:$B$15,0)),0),IFERROR(INDEX(Fortnightly_Model!$D$2:$D$15,MATCH(G75,Fortnightly_Model!$B$2:$B$15,0)),0),IFERROR(INDEX(Fortnightly_Model!$D$2:$D$15,MATCH(G76,Fortnightly_Model!$B$2:$B$15,0)),0)),IF(VLOOKUP($A73,Calendar!$A$1:$R$1377,18,0)=5,SUM(IFERROR(INDEX(Fortnightly_Model!$D$2:$D$15,MATCH(G73,Fortnightly_Model!$B$2:$B$15,0)),0),IFERROR(INDEX(Fortnightly_Model!$D$2:$D$15,MATCH(G74,Fortnightly_Model!$B$2:$B$15,0)),0),IFERROR(INDEX(Fortnightly_Model!$D$2:$D$15,MATCH(G75,Fortnightly_Model!$B$2:$B$15,0)),0),IFERROR(INDEX(Fortnightly_Model!$D$2:$D$15,MATCH(G76,Fortnightly_Model!$B$2:$B$15,0)),0),IFERROR(INDEX(Fortnightly_Model!$D$2:$D$15,MATCH(G77,Fortnightly_Model!$B$2:$B$15,0)),0)),0))))))</f>
        <v>0</v>
      </c>
      <c r="M73" s="27">
        <f>IF(VLOOKUP($A73,Calendar!$A$1:$R$1377,18,0)=0,0,IF(VLOOKUP($A73,Calendar!$A$1:$R$1377,18,0)=1,IFERROR(INDEX(FourWeekly_Model!$D$2:$D$29,MATCH(H73,FourWeekly_Model!$B$2:$B$29,0)),0),IF(VLOOKUP($A73,Calendar!$A$1:$R$1377,18,0)=2,SUM(IFERROR(INDEX(FourWeekly_Model!$D$2:$D$29,MATCH(H73,FourWeekly_Model!$B$2:$B$29,0)),0),IFERROR(INDEX(FourWeekly_Model!$D$2:$D$29,MATCH(H74,FourWeekly_Model!$B$2:$B$29,0)),0)),IF(VLOOKUP($A73,Calendar!$A$1:$R$1377,18,0)=3,SUM(IFERROR(INDEX(FourWeekly_Model!$D$2:$D$29,MATCH(H73,FourWeekly_Model!$B$2:$B$29,0)),0),IFERROR(INDEX(FourWeekly_Model!$D$2:$D$29,MATCH(H74,FourWeekly_Model!$B$2:$B$29,0)),0),IFERROR(INDEX(FourWeekly_Model!$D$2:$D$29,MATCH(H75,FourWeekly_Model!$B$2:$B$29,0)),0)),IF(VLOOKUP($A73,Calendar!$A$1:$R$1377,18,0)=4,SUM(IFERROR(INDEX(FourWeekly_Model!$D$2:$D$29,MATCH(H73,FourWeekly_Model!$B$2:$B$29,0)),0),IFERROR(INDEX(FourWeekly_Model!$D$2:$D$29,MATCH(H74,FourWeekly_Model!$B$2:$B$29,0)),0),IFERROR(INDEX(FourWeekly_Model!$D$2:$D$29,MATCH(H75,FourWeekly_Model!$B$2:$B$29,0)),0),IFERROR(INDEX(FourWeekly_Model!$D$2:$D$29,MATCH(H76,FourWeekly_Model!$B$2:$B$29,0)),0)),IF(VLOOKUP($A73,Calendar!$A$1:$R$1377,18,0)=5,SUM(IFERROR(INDEX(FourWeekly_Model!$D$2:$D$29,MATCH(H73,FourWeekly_Model!$B$2:$B$29,0)),0),IFERROR(INDEX(FourWeekly_Model!$D$2:$D$29,MATCH(H74,FourWeekly_Model!$B$2:$B$29,0)),0),IFERROR(INDEX(FourWeekly_Model!$D$2:$D$29,MATCH(H75,FourWeekly_Model!$B$2:$B$29,0)),0),IFERROR(INDEX(FourWeekly_Model!$D$2:$D$29,MATCH(H76,FourWeekly_Model!$B$2:$B$29,0)),0),IFERROR(INDEX(FourWeekly_Model!$D$2:$D$29,MATCH(H77,FourWeekly_Model!$B$2:$B$29,0)),0)),0))))))</f>
        <v>0</v>
      </c>
      <c r="N73" s="27">
        <f>SUM(I73:M73)</f>
        <v>0</v>
      </c>
      <c r="O73" s="28">
        <f>Population_Data!$B$8*N73</f>
        <v>0</v>
      </c>
      <c r="P73" s="27">
        <f>IF(VLOOKUP($A73,Calendar!$A$1:$R$1377,18,0)=0,0,IF(VLOOKUP($A73,Calendar!$A$1:$R$1377,18,0)=1,IFERROR(INDEX(Pension_Model!$D$2:$D$29,MATCH(H73,Pension_Model!$B$2:$B$29,0)),0),IF(VLOOKUP($A73,Calendar!$A$1:$R$1377,18,0)=2,SUM(IFERROR(INDEX(Pension_Model!$D$2:$D$29,MATCH(H73,Pension_Model!$B$2:$B$29,0)),0),IFERROR(INDEX(Pension_Model!$D$2:$D$29,MATCH(H74,Pension_Model!$B$2:$B$29,0)),0)),IF(VLOOKUP($A73,Calendar!$A$1:$R$1377,18,0)=3,SUM(IFERROR(INDEX(Pension_Model!$D$2:$D$29,MATCH(H73,Pension_Model!$B$2:$B$29,0)),0),IFERROR(INDEX(Pension_Model!$D$2:$D$29,MATCH(H74,Pension_Model!$B$2:$B$29,0)),0),IFERROR(INDEX(Pension_Model!$D$2:$D$29,MATCH(H75,Pension_Model!$B$2:$B$29,0)),0)),IF(VLOOKUP($A73,Calendar!$A$1:$R$1377,18,0)=4,SUM(IFERROR(INDEX(Pension_Model!$D$2:$D$29,MATCH(H73,Pension_Model!$B$2:$B$29,0)),0),IFERROR(INDEX(Pension_Model!$D$2:$D$29,MATCH(H74,Pension_Model!$B$2:$B$29,0)),0),IFERROR(INDEX(Pension_Model!$D$2:$D$29,MATCH(H75,Pension_Model!$B$2:$B$29,0)),0),IFERROR(INDEX(Pension_Model!$D$2:$D$29,MATCH(H76,Pension_Model!$B$2:$B$29,0)),0)),IF(VLOOKUP($A73,Calendar!$A$1:$R$1377,18,0)=5,SUM(IFERROR(INDEX(Pension_Model!$D$2:$D$29,MATCH(H73,Pension_Model!$B$2:$B$29,0)),0),IFERROR(INDEX(Pension_Model!$D$2:$D$29,MATCH(H74,Pension_Model!$B$2:$B$29,0)),0),IFERROR(INDEX(Pension_Model!$D$2:$D$29,MATCH(H75,Pension_Model!$B$2:$B$29,0)),0),IFERROR(INDEX(Pension_Model!$D$2:$D$29,MATCH(H76,Pension_Model!$B$2:$B$29,0)),0),IFERROR(INDEX(Pension_Model!$D$2:$D$29,MATCH(H77,Pension_Model!$B$2:$B$29,0)),0)),0))))))</f>
        <v>0</v>
      </c>
      <c r="Q73" s="28">
        <f>Population_Data!$B$15*P73</f>
        <v>0</v>
      </c>
      <c r="S73">
        <f t="shared" si="1"/>
        <v>0</v>
      </c>
      <c r="U73" s="33">
        <f>S73/Population_Data!$B$19</f>
        <v>0</v>
      </c>
    </row>
    <row r="74" spans="1:21">
      <c r="A74" s="25">
        <f>Calendar!A74</f>
        <v>46307</v>
      </c>
      <c r="B74" t="str">
        <f>Calendar!L74</f>
        <v>Yes</v>
      </c>
      <c r="C74" t="str">
        <f>Calendar!O74</f>
        <v>No</v>
      </c>
      <c r="D74" t="str">
        <f>Calendar!P74</f>
        <v>No</v>
      </c>
      <c r="E74" t="str">
        <f>Calendar!Q74</f>
        <v>No</v>
      </c>
      <c r="F74" t="str">
        <f>Calendar!I74</f>
        <v>Monday</v>
      </c>
      <c r="G74">
        <f>Calendar!S74</f>
        <v>9</v>
      </c>
      <c r="H74">
        <f>Calendar!T74</f>
        <v>23</v>
      </c>
      <c r="I74" s="27">
        <f>IF(VLOOKUP(A74,Calendar!$A$1:$R$1377,18,0)=0,0,IF(VLOOKUP(A74,Calendar!$A$1:$R$1377,18,0)=1,INDEX(Monthly_Pay_Model!$A$9:$D$40,MATCH(TEXT(A74,"dd"),Monthly_Pay_Model!$C$9:$C$39,0),4),IF(VLOOKUP(A74,Calendar!$A$1:$R$1377,18,0)=2,SUM(INDEX(Monthly_Pay_Model!$A$9:$D$40,MATCH(TEXT(A74,"dd"),Monthly_Pay_Model!$C$9:$C$39,0),4),INDEX(Monthly_Pay_Model!$A$9:$D$40,MATCH(TEXT(A75,"dd"),Monthly_Pay_Model!$C$9:$C$39,0),4)),IF(VLOOKUP(A74,Calendar!$A$1:$R$1377,18,0)=3,SUM(INDEX(Monthly_Pay_Model!$A$9:$D$40,MATCH(TEXT(A74,"dd"),Monthly_Pay_Model!$C$9:$C$39,0),4),INDEX(Monthly_Pay_Model!$A$9:$D$40,MATCH(TEXT(A75,"dd"),Monthly_Pay_Model!$C$9:$C$39,0),4),INDEX(Monthly_Pay_Model!$A$9:$D$40,MATCH(TEXT(A76,"dd"),Monthly_Pay_Model!$C$9:$C$39,0),4)),IF(VLOOKUP(A74,Calendar!$A$1:$R$1377,18,0)=4,SUM(INDEX(Monthly_Pay_Model!$A$9:$D$40,MATCH(TEXT(A74,"dd"),Monthly_Pay_Model!$C$9:$C$39,0),4),INDEX(Monthly_Pay_Model!$A$9:$D$40,MATCH(TEXT(A75,"dd"),Monthly_Pay_Model!$C$9:$C$39,0),4),INDEX(Monthly_Pay_Model!$A$9:$D$40,MATCH(TEXT(A76,"dd"),Monthly_Pay_Model!$C$9:$C$39,0),4),INDEX(Monthly_Pay_Model!$A$9:$D$40,MATCH(TEXT(A77,"dd"),Monthly_Pay_Model!$C$9:$C$39,0),4)),IF(VLOOKUP(A74,Calendar!$A$1:$R$1377,18,0)=5,SUM(INDEX(Monthly_Pay_Model!$A$9:$D$40,MATCH(TEXT(A74,"dd"),Monthly_Pay_Model!$C$9:$C$39,0),4),INDEX(Monthly_Pay_Model!$A$9:$D$40,MATCH(TEXT(A75,"dd"),Monthly_Pay_Model!$C$9:$C$39,0),4),INDEX(Monthly_Pay_Model!$A$9:$D$40,MATCH(TEXT(A76,"dd"),Monthly_Pay_Model!$C$9:$C$39,0),4),INDEX(Monthly_Pay_Model!$A$9:$D$40,MATCH(TEXT(A77,"dd"),Monthly_Pay_Model!$C$9:$C$39,0),4),INDEX(Monthly_Pay_Model!$A$9:$D$40,MATCH(TEXT(A78,"dd"),Monthly_Pay_Model!$C$9:$C$39,0),4)),))))))</f>
        <v>1.6251308900523558E-3</v>
      </c>
      <c r="J74" s="33">
        <f>IF(C74="Yes",Monthly_Pay_Model!$D$2,0)
+IF(Calendar!N74="Yes",Monthly_Pay_Model!$D$3,0)
+IF(D74="Yes",Monthly_Pay_Model!$D$4,0)
+IF(E74="Yes",Monthly_Pay_Model!$D$5,0)</f>
        <v>0</v>
      </c>
      <c r="K74" s="27">
        <f>IF(VLOOKUP($A74,Calendar!$A$1:$R$1377,18,0)=0,0,IF(VLOOKUP($A74,Calendar!$A$1:$R$1377,18,0)=1,IFERROR(INDEX(Weekly_Model!$D$2:$D$9,MATCH(F74,Weekly_Model!$A$2:$A$9,0)),0),IF(VLOOKUP($A74,Calendar!$A$1:$R$1377,18,0)=2,SUM(IFERROR(INDEX(Weekly_Model!$D$2:$D$9,MATCH(F74,Weekly_Model!$A$2:$A$9,0)),0),IFERROR(INDEX(Weekly_Model!$D$2:$D$9,MATCH(F75,Weekly_Model!$A$2:$A$9,0)),0)),IF(VLOOKUP($A74,Calendar!$A$1:$R$1377,18,0)=3,SUM(IFERROR(INDEX(Weekly_Model!$D$2:$D$9,MATCH(F74,Weekly_Model!$A$2:$A$9,0)),0),IFERROR(INDEX(Weekly_Model!$D$2:$D$9,MATCH(F75,Weekly_Model!$A$2:$A$9,0)),0),IFERROR(INDEX(Weekly_Model!$D$2:$D$9,MATCH(F76,Weekly_Model!$A$2:$A$9,0)),0)),IF(VLOOKUP($A74,Calendar!$A$1:$R$1377,18,0)=4,SUM(IFERROR(INDEX(Weekly_Model!$D$2:$D$9,MATCH(F74,Weekly_Model!$A$2:$A$9,0)),0),IFERROR(INDEX(Weekly_Model!$D$2:$D$9,MATCH(F75,Weekly_Model!$A$2:$A$9,0)),0),IFERROR(INDEX(Weekly_Model!$D$2:$D$9,MATCH(F76,Weekly_Model!$A$2:$A$9,0)),0),IFERROR(INDEX(Weekly_Model!$D$2:$D$9,MATCH(F77,Weekly_Model!$A$2:$A$9,0)),0)),IF(VLOOKUP($A74,Calendar!$A$1:$R$1377,18,0)=5,SUM(IFERROR(INDEX(Weekly_Model!$D$2:$D$9,MATCH(F74,Weekly_Model!$A$2:$A$9,0)),0),IFERROR(INDEX(Weekly_Model!$D$2:$D$9,MATCH(F75,Weekly_Model!$A$2:$A$9,0)),0),IFERROR(INDEX(Weekly_Model!$D$2:$D$9,MATCH(F76,Weekly_Model!$A$2:$A$9,0)),0),IFERROR(INDEX(Weekly_Model!$D$2:$D$9,MATCH(F77,Weekly_Model!$A$2:$A$9,0)),0),IFERROR(INDEX(Weekly_Model!$D$2:$D$9,MATCH(F78,Weekly_Model!$A$2:$A$9,0)),0)),0))))))</f>
        <v>2.3200000000000002E-2</v>
      </c>
      <c r="L74" s="27">
        <f>IF(VLOOKUP($A74,Calendar!$A$1:$R$1377,18,0)=0,0,IF(VLOOKUP($A74,Calendar!$A$1:$R$1377,18,0)=1,IFERROR(INDEX(Fortnightly_Model!$D$2:$D$15,MATCH(G74,Fortnightly_Model!$B$2:$B$15,0)),0),IF(VLOOKUP($A74,Calendar!$A$1:$R$1377,18,0)=2,SUM(IFERROR(INDEX(Fortnightly_Model!$D$2:$D$15,MATCH(G74,Fortnightly_Model!$B$2:$B$15,0)),0),IFERROR(INDEX(Fortnightly_Model!$D$2:$D$15,MATCH(G75,Fortnightly_Model!$B$2:$B$15,0)),0)),IF(VLOOKUP($A74,Calendar!$A$1:$R$1377,18,0)=3,SUM(IFERROR(INDEX(Fortnightly_Model!$D$2:$D$15,MATCH(G74,Fortnightly_Model!$B$2:$B$15,0)),0),IFERROR(INDEX(Fortnightly_Model!$D$2:$D$15,MATCH(G75,Fortnightly_Model!$B$2:$B$15,0)),0),IFERROR(INDEX(Fortnightly_Model!$D$2:$D$15,MATCH(G76,Fortnightly_Model!$B$2:$B$15,0)),0)),IF(VLOOKUP($A74,Calendar!$A$1:$R$1377,18,0)=4,SUM(IFERROR(INDEX(Fortnightly_Model!$D$2:$D$15,MATCH(G74,Fortnightly_Model!$B$2:$B$15,0)),0),IFERROR(INDEX(Fortnightly_Model!$D$2:$D$15,MATCH(G75,Fortnightly_Model!$B$2:$B$15,0)),0),IFERROR(INDEX(Fortnightly_Model!$D$2:$D$15,MATCH(G76,Fortnightly_Model!$B$2:$B$15,0)),0),IFERROR(INDEX(Fortnightly_Model!$D$2:$D$15,MATCH(G77,Fortnightly_Model!$B$2:$B$15,0)),0)),IF(VLOOKUP($A74,Calendar!$A$1:$R$1377,18,0)=5,SUM(IFERROR(INDEX(Fortnightly_Model!$D$2:$D$15,MATCH(G74,Fortnightly_Model!$B$2:$B$15,0)),0),IFERROR(INDEX(Fortnightly_Model!$D$2:$D$15,MATCH(G75,Fortnightly_Model!$B$2:$B$15,0)),0),IFERROR(INDEX(Fortnightly_Model!$D$2:$D$15,MATCH(G76,Fortnightly_Model!$B$2:$B$15,0)),0),IFERROR(INDEX(Fortnightly_Model!$D$2:$D$15,MATCH(G77,Fortnightly_Model!$B$2:$B$15,0)),0),IFERROR(INDEX(Fortnightly_Model!$D$2:$D$15,MATCH(G78,Fortnightly_Model!$B$2:$B$15,0)),0)),0))))))</f>
        <v>1.0714285499999999E-3</v>
      </c>
      <c r="M74" s="27">
        <f>IF(VLOOKUP($A74,Calendar!$A$1:$R$1377,18,0)=0,0,IF(VLOOKUP($A74,Calendar!$A$1:$R$1377,18,0)=1,IFERROR(INDEX(FourWeekly_Model!$D$2:$D$29,MATCH(H74,FourWeekly_Model!$B$2:$B$29,0)),0),IF(VLOOKUP($A74,Calendar!$A$1:$R$1377,18,0)=2,SUM(IFERROR(INDEX(FourWeekly_Model!$D$2:$D$29,MATCH(H74,FourWeekly_Model!$B$2:$B$29,0)),0),IFERROR(INDEX(FourWeekly_Model!$D$2:$D$29,MATCH(H75,FourWeekly_Model!$B$2:$B$29,0)),0)),IF(VLOOKUP($A74,Calendar!$A$1:$R$1377,18,0)=3,SUM(IFERROR(INDEX(FourWeekly_Model!$D$2:$D$29,MATCH(H74,FourWeekly_Model!$B$2:$B$29,0)),0),IFERROR(INDEX(FourWeekly_Model!$D$2:$D$29,MATCH(H75,FourWeekly_Model!$B$2:$B$29,0)),0),IFERROR(INDEX(FourWeekly_Model!$D$2:$D$29,MATCH(H76,FourWeekly_Model!$B$2:$B$29,0)),0)),IF(VLOOKUP($A74,Calendar!$A$1:$R$1377,18,0)=4,SUM(IFERROR(INDEX(FourWeekly_Model!$D$2:$D$29,MATCH(H74,FourWeekly_Model!$B$2:$B$29,0)),0),IFERROR(INDEX(FourWeekly_Model!$D$2:$D$29,MATCH(H75,FourWeekly_Model!$B$2:$B$29,0)),0),IFERROR(INDEX(FourWeekly_Model!$D$2:$D$29,MATCH(H76,FourWeekly_Model!$B$2:$B$29,0)),0),IFERROR(INDEX(FourWeekly_Model!$D$2:$D$29,MATCH(H77,FourWeekly_Model!$B$2:$B$29,0)),0)),IF(VLOOKUP($A74,Calendar!$A$1:$R$1377,18,0)=5,SUM(IFERROR(INDEX(FourWeekly_Model!$D$2:$D$29,MATCH(H74,FourWeekly_Model!$B$2:$B$29,0)),0),IFERROR(INDEX(FourWeekly_Model!$D$2:$D$29,MATCH(H75,FourWeekly_Model!$B$2:$B$29,0)),0),IFERROR(INDEX(FourWeekly_Model!$D$2:$D$29,MATCH(H76,FourWeekly_Model!$B$2:$B$29,0)),0),IFERROR(INDEX(FourWeekly_Model!$D$2:$D$29,MATCH(H77,FourWeekly_Model!$B$2:$B$29,0)),0),IFERROR(INDEX(FourWeekly_Model!$D$2:$D$29,MATCH(H78,FourWeekly_Model!$B$2:$B$29,0)),0)),0))))))</f>
        <v>3.3214289700000004E-3</v>
      </c>
      <c r="N74" s="27">
        <f>SUM(I74:M74)</f>
        <v>2.921798841005236E-2</v>
      </c>
      <c r="O74" s="28">
        <f>Population_Data!$B$8*N74</f>
        <v>885305.04882458656</v>
      </c>
      <c r="P74" s="27">
        <f>IF(VLOOKUP($A74,Calendar!$A$1:$R$1377,18,0)=0,0,IF(VLOOKUP($A74,Calendar!$A$1:$R$1377,18,0)=1,IFERROR(INDEX(Pension_Model!$D$2:$D$29,MATCH(H74,Pension_Model!$B$2:$B$29,0)),0),IF(VLOOKUP($A74,Calendar!$A$1:$R$1377,18,0)=2,SUM(IFERROR(INDEX(Pension_Model!$D$2:$D$29,MATCH(H74,Pension_Model!$B$2:$B$29,0)),0),IFERROR(INDEX(Pension_Model!$D$2:$D$29,MATCH(H75,Pension_Model!$B$2:$B$29,0)),0)),IF(VLOOKUP($A74,Calendar!$A$1:$R$1377,18,0)=3,SUM(IFERROR(INDEX(Pension_Model!$D$2:$D$29,MATCH(H74,Pension_Model!$B$2:$B$29,0)),0),IFERROR(INDEX(Pension_Model!$D$2:$D$29,MATCH(H75,Pension_Model!$B$2:$B$29,0)),0),IFERROR(INDEX(Pension_Model!$D$2:$D$29,MATCH(H76,Pension_Model!$B$2:$B$29,0)),0)),IF(VLOOKUP($A74,Calendar!$A$1:$R$1377,18,0)=4,SUM(IFERROR(INDEX(Pension_Model!$D$2:$D$29,MATCH(H74,Pension_Model!$B$2:$B$29,0)),0),IFERROR(INDEX(Pension_Model!$D$2:$D$29,MATCH(H75,Pension_Model!$B$2:$B$29,0)),0),IFERROR(INDEX(Pension_Model!$D$2:$D$29,MATCH(H76,Pension_Model!$B$2:$B$29,0)),0),IFERROR(INDEX(Pension_Model!$D$2:$D$29,MATCH(H77,Pension_Model!$B$2:$B$29,0)),0)),IF(VLOOKUP($A74,Calendar!$A$1:$R$1377,18,0)=5,SUM(IFERROR(INDEX(Pension_Model!$D$2:$D$29,MATCH(H74,Pension_Model!$B$2:$B$29,0)),0),IFERROR(INDEX(Pension_Model!$D$2:$D$29,MATCH(H75,Pension_Model!$B$2:$B$29,0)),0),IFERROR(INDEX(Pension_Model!$D$2:$D$29,MATCH(H76,Pension_Model!$B$2:$B$29,0)),0),IFERROR(INDEX(Pension_Model!$D$2:$D$29,MATCH(H77,Pension_Model!$B$2:$B$29,0)),0),IFERROR(INDEX(Pension_Model!$D$2:$D$29,MATCH(H78,Pension_Model!$B$2:$B$29,0)),0)),0))))))</f>
        <v>0.05</v>
      </c>
      <c r="Q74" s="28">
        <f>Population_Data!$B$15*P74</f>
        <v>660600</v>
      </c>
      <c r="S74">
        <f t="shared" si="1"/>
        <v>1545905.0488245864</v>
      </c>
      <c r="U74" s="33">
        <f>S74/Population_Data!$B$19</f>
        <v>2.8005526246822218E-2</v>
      </c>
    </row>
    <row r="75" spans="1:21">
      <c r="A75" s="25">
        <f>Calendar!A75</f>
        <v>46308</v>
      </c>
      <c r="B75" t="str">
        <f>Calendar!L75</f>
        <v>Yes</v>
      </c>
      <c r="C75" t="str">
        <f>Calendar!O75</f>
        <v>No</v>
      </c>
      <c r="D75" t="str">
        <f>Calendar!P75</f>
        <v>No</v>
      </c>
      <c r="E75" t="str">
        <f>Calendar!Q75</f>
        <v>No</v>
      </c>
      <c r="F75" t="str">
        <f>Calendar!I75</f>
        <v>Tuesday</v>
      </c>
      <c r="G75">
        <f>Calendar!S75</f>
        <v>10</v>
      </c>
      <c r="H75">
        <f>Calendar!T75</f>
        <v>24</v>
      </c>
      <c r="I75" s="27">
        <f>IF(VLOOKUP(A75,Calendar!$A$1:$R$1377,18,0)=0,0,IF(VLOOKUP(A75,Calendar!$A$1:$R$1377,18,0)=1,INDEX(Monthly_Pay_Model!$A$9:$D$40,MATCH(TEXT(A75,"dd"),Monthly_Pay_Model!$C$9:$C$39,0),4),IF(VLOOKUP(A75,Calendar!$A$1:$R$1377,18,0)=2,SUM(INDEX(Monthly_Pay_Model!$A$9:$D$40,MATCH(TEXT(A75,"dd"),Monthly_Pay_Model!$C$9:$C$39,0),4),INDEX(Monthly_Pay_Model!$A$9:$D$40,MATCH(TEXT(A76,"dd"),Monthly_Pay_Model!$C$9:$C$39,0),4)),IF(VLOOKUP(A75,Calendar!$A$1:$R$1377,18,0)=3,SUM(INDEX(Monthly_Pay_Model!$A$9:$D$40,MATCH(TEXT(A75,"dd"),Monthly_Pay_Model!$C$9:$C$39,0),4),INDEX(Monthly_Pay_Model!$A$9:$D$40,MATCH(TEXT(A76,"dd"),Monthly_Pay_Model!$C$9:$C$39,0),4),INDEX(Monthly_Pay_Model!$A$9:$D$40,MATCH(TEXT(A77,"dd"),Monthly_Pay_Model!$C$9:$C$39,0),4)),IF(VLOOKUP(A75,Calendar!$A$1:$R$1377,18,0)=4,SUM(INDEX(Monthly_Pay_Model!$A$9:$D$40,MATCH(TEXT(A75,"dd"),Monthly_Pay_Model!$C$9:$C$39,0),4),INDEX(Monthly_Pay_Model!$A$9:$D$40,MATCH(TEXT(A76,"dd"),Monthly_Pay_Model!$C$9:$C$39,0),4),INDEX(Monthly_Pay_Model!$A$9:$D$40,MATCH(TEXT(A77,"dd"),Monthly_Pay_Model!$C$9:$C$39,0),4),INDEX(Monthly_Pay_Model!$A$9:$D$40,MATCH(TEXT(A78,"dd"),Monthly_Pay_Model!$C$9:$C$39,0),4)),IF(VLOOKUP(A75,Calendar!$A$1:$R$1377,18,0)=5,SUM(INDEX(Monthly_Pay_Model!$A$9:$D$40,MATCH(TEXT(A75,"dd"),Monthly_Pay_Model!$C$9:$C$39,0),4),INDEX(Monthly_Pay_Model!$A$9:$D$40,MATCH(TEXT(A76,"dd"),Monthly_Pay_Model!$C$9:$C$39,0),4),INDEX(Monthly_Pay_Model!$A$9:$D$40,MATCH(TEXT(A77,"dd"),Monthly_Pay_Model!$C$9:$C$39,0),4),INDEX(Monthly_Pay_Model!$A$9:$D$40,MATCH(TEXT(A78,"dd"),Monthly_Pay_Model!$C$9:$C$39,0),4),INDEX(Monthly_Pay_Model!$A$9:$D$40,MATCH(TEXT(A79,"dd"),Monthly_Pay_Model!$C$9:$C$39,0),4)),))))))</f>
        <v>8.1256544502617792E-4</v>
      </c>
      <c r="J75" s="33">
        <f>IF(C75="Yes",Monthly_Pay_Model!$D$2,0)
+IF(Calendar!N75="Yes",Monthly_Pay_Model!$D$3,0)
+IF(D75="Yes",Monthly_Pay_Model!$D$4,0)
+IF(E75="Yes",Monthly_Pay_Model!$D$5,0)</f>
        <v>0</v>
      </c>
      <c r="K75" s="27">
        <f>IF(VLOOKUP($A75,Calendar!$A$1:$R$1377,18,0)=0,0,IF(VLOOKUP($A75,Calendar!$A$1:$R$1377,18,0)=1,IFERROR(INDEX(Weekly_Model!$D$2:$D$9,MATCH(F75,Weekly_Model!$A$2:$A$9,0)),0),IF(VLOOKUP($A75,Calendar!$A$1:$R$1377,18,0)=2,SUM(IFERROR(INDEX(Weekly_Model!$D$2:$D$9,MATCH(F75,Weekly_Model!$A$2:$A$9,0)),0),IFERROR(INDEX(Weekly_Model!$D$2:$D$9,MATCH(F76,Weekly_Model!$A$2:$A$9,0)),0)),IF(VLOOKUP($A75,Calendar!$A$1:$R$1377,18,0)=3,SUM(IFERROR(INDEX(Weekly_Model!$D$2:$D$9,MATCH(F75,Weekly_Model!$A$2:$A$9,0)),0),IFERROR(INDEX(Weekly_Model!$D$2:$D$9,MATCH(F76,Weekly_Model!$A$2:$A$9,0)),0),IFERROR(INDEX(Weekly_Model!$D$2:$D$9,MATCH(F77,Weekly_Model!$A$2:$A$9,0)),0)),IF(VLOOKUP($A75,Calendar!$A$1:$R$1377,18,0)=4,SUM(IFERROR(INDEX(Weekly_Model!$D$2:$D$9,MATCH(F75,Weekly_Model!$A$2:$A$9,0)),0),IFERROR(INDEX(Weekly_Model!$D$2:$D$9,MATCH(F76,Weekly_Model!$A$2:$A$9,0)),0),IFERROR(INDEX(Weekly_Model!$D$2:$D$9,MATCH(F77,Weekly_Model!$A$2:$A$9,0)),0),IFERROR(INDEX(Weekly_Model!$D$2:$D$9,MATCH(F78,Weekly_Model!$A$2:$A$9,0)),0)),IF(VLOOKUP($A75,Calendar!$A$1:$R$1377,18,0)=5,SUM(IFERROR(INDEX(Weekly_Model!$D$2:$D$9,MATCH(F75,Weekly_Model!$A$2:$A$9,0)),0),IFERROR(INDEX(Weekly_Model!$D$2:$D$9,MATCH(F76,Weekly_Model!$A$2:$A$9,0)),0),IFERROR(INDEX(Weekly_Model!$D$2:$D$9,MATCH(F77,Weekly_Model!$A$2:$A$9,0)),0),IFERROR(INDEX(Weekly_Model!$D$2:$D$9,MATCH(F78,Weekly_Model!$A$2:$A$9,0)),0),IFERROR(INDEX(Weekly_Model!$D$2:$D$9,MATCH(F79,Weekly_Model!$A$2:$A$9,0)),0)),0))))))</f>
        <v>2.3200000000000002E-2</v>
      </c>
      <c r="L75" s="27">
        <f>IF(VLOOKUP($A75,Calendar!$A$1:$R$1377,18,0)=0,0,IF(VLOOKUP($A75,Calendar!$A$1:$R$1377,18,0)=1,IFERROR(INDEX(Fortnightly_Model!$D$2:$D$15,MATCH(G75,Fortnightly_Model!$B$2:$B$15,0)),0),IF(VLOOKUP($A75,Calendar!$A$1:$R$1377,18,0)=2,SUM(IFERROR(INDEX(Fortnightly_Model!$D$2:$D$15,MATCH(G75,Fortnightly_Model!$B$2:$B$15,0)),0),IFERROR(INDEX(Fortnightly_Model!$D$2:$D$15,MATCH(G76,Fortnightly_Model!$B$2:$B$15,0)),0)),IF(VLOOKUP($A75,Calendar!$A$1:$R$1377,18,0)=3,SUM(IFERROR(INDEX(Fortnightly_Model!$D$2:$D$15,MATCH(G75,Fortnightly_Model!$B$2:$B$15,0)),0),IFERROR(INDEX(Fortnightly_Model!$D$2:$D$15,MATCH(G76,Fortnightly_Model!$B$2:$B$15,0)),0),IFERROR(INDEX(Fortnightly_Model!$D$2:$D$15,MATCH(G77,Fortnightly_Model!$B$2:$B$15,0)),0)),IF(VLOOKUP($A75,Calendar!$A$1:$R$1377,18,0)=4,SUM(IFERROR(INDEX(Fortnightly_Model!$D$2:$D$15,MATCH(G75,Fortnightly_Model!$B$2:$B$15,0)),0),IFERROR(INDEX(Fortnightly_Model!$D$2:$D$15,MATCH(G76,Fortnightly_Model!$B$2:$B$15,0)),0),IFERROR(INDEX(Fortnightly_Model!$D$2:$D$15,MATCH(G77,Fortnightly_Model!$B$2:$B$15,0)),0),IFERROR(INDEX(Fortnightly_Model!$D$2:$D$15,MATCH(G78,Fortnightly_Model!$B$2:$B$15,0)),0)),IF(VLOOKUP($A75,Calendar!$A$1:$R$1377,18,0)=5,SUM(IFERROR(INDEX(Fortnightly_Model!$D$2:$D$15,MATCH(G75,Fortnightly_Model!$B$2:$B$15,0)),0),IFERROR(INDEX(Fortnightly_Model!$D$2:$D$15,MATCH(G76,Fortnightly_Model!$B$2:$B$15,0)),0),IFERROR(INDEX(Fortnightly_Model!$D$2:$D$15,MATCH(G77,Fortnightly_Model!$B$2:$B$15,0)),0),IFERROR(INDEX(Fortnightly_Model!$D$2:$D$15,MATCH(G78,Fortnightly_Model!$B$2:$B$15,0)),0),IFERROR(INDEX(Fortnightly_Model!$D$2:$D$15,MATCH(G79,Fortnightly_Model!$B$2:$B$15,0)),0)),0))))))</f>
        <v>1.0714285499999999E-3</v>
      </c>
      <c r="M75" s="27">
        <f>IF(VLOOKUP($A75,Calendar!$A$1:$R$1377,18,0)=0,0,IF(VLOOKUP($A75,Calendar!$A$1:$R$1377,18,0)=1,IFERROR(INDEX(FourWeekly_Model!$D$2:$D$29,MATCH(H75,FourWeekly_Model!$B$2:$B$29,0)),0),IF(VLOOKUP($A75,Calendar!$A$1:$R$1377,18,0)=2,SUM(IFERROR(INDEX(FourWeekly_Model!$D$2:$D$29,MATCH(H75,FourWeekly_Model!$B$2:$B$29,0)),0),IFERROR(INDEX(FourWeekly_Model!$D$2:$D$29,MATCH(H76,FourWeekly_Model!$B$2:$B$29,0)),0)),IF(VLOOKUP($A75,Calendar!$A$1:$R$1377,18,0)=3,SUM(IFERROR(INDEX(FourWeekly_Model!$D$2:$D$29,MATCH(H75,FourWeekly_Model!$B$2:$B$29,0)),0),IFERROR(INDEX(FourWeekly_Model!$D$2:$D$29,MATCH(H76,FourWeekly_Model!$B$2:$B$29,0)),0),IFERROR(INDEX(FourWeekly_Model!$D$2:$D$29,MATCH(H77,FourWeekly_Model!$B$2:$B$29,0)),0)),IF(VLOOKUP($A75,Calendar!$A$1:$R$1377,18,0)=4,SUM(IFERROR(INDEX(FourWeekly_Model!$D$2:$D$29,MATCH(H75,FourWeekly_Model!$B$2:$B$29,0)),0),IFERROR(INDEX(FourWeekly_Model!$D$2:$D$29,MATCH(H76,FourWeekly_Model!$B$2:$B$29,0)),0),IFERROR(INDEX(FourWeekly_Model!$D$2:$D$29,MATCH(H77,FourWeekly_Model!$B$2:$B$29,0)),0),IFERROR(INDEX(FourWeekly_Model!$D$2:$D$29,MATCH(H78,FourWeekly_Model!$B$2:$B$29,0)),0)),IF(VLOOKUP($A75,Calendar!$A$1:$R$1377,18,0)=5,SUM(IFERROR(INDEX(FourWeekly_Model!$D$2:$D$29,MATCH(H75,FourWeekly_Model!$B$2:$B$29,0)),0),IFERROR(INDEX(FourWeekly_Model!$D$2:$D$29,MATCH(H76,FourWeekly_Model!$B$2:$B$29,0)),0),IFERROR(INDEX(FourWeekly_Model!$D$2:$D$29,MATCH(H77,FourWeekly_Model!$B$2:$B$29,0)),0),IFERROR(INDEX(FourWeekly_Model!$D$2:$D$29,MATCH(H78,FourWeekly_Model!$B$2:$B$29,0)),0),IFERROR(INDEX(FourWeekly_Model!$D$2:$D$29,MATCH(H79,FourWeekly_Model!$B$2:$B$29,0)),0)),0))))))</f>
        <v>3.3214289700000004E-3</v>
      </c>
      <c r="N75" s="27">
        <f>SUM(I75:M75)</f>
        <v>2.840542296502618E-2</v>
      </c>
      <c r="O75" s="28">
        <f>Population_Data!$B$8*N75</f>
        <v>860684.3158402933</v>
      </c>
      <c r="P75" s="27">
        <f>IF(VLOOKUP($A75,Calendar!$A$1:$R$1377,18,0)=0,0,IF(VLOOKUP($A75,Calendar!$A$1:$R$1377,18,0)=1,IFERROR(INDEX(Pension_Model!$D$2:$D$29,MATCH(H75,Pension_Model!$B$2:$B$29,0)),0),IF(VLOOKUP($A75,Calendar!$A$1:$R$1377,18,0)=2,SUM(IFERROR(INDEX(Pension_Model!$D$2:$D$29,MATCH(H75,Pension_Model!$B$2:$B$29,0)),0),IFERROR(INDEX(Pension_Model!$D$2:$D$29,MATCH(H76,Pension_Model!$B$2:$B$29,0)),0)),IF(VLOOKUP($A75,Calendar!$A$1:$R$1377,18,0)=3,SUM(IFERROR(INDEX(Pension_Model!$D$2:$D$29,MATCH(H75,Pension_Model!$B$2:$B$29,0)),0),IFERROR(INDEX(Pension_Model!$D$2:$D$29,MATCH(H76,Pension_Model!$B$2:$B$29,0)),0),IFERROR(INDEX(Pension_Model!$D$2:$D$29,MATCH(H77,Pension_Model!$B$2:$B$29,0)),0)),IF(VLOOKUP($A75,Calendar!$A$1:$R$1377,18,0)=4,SUM(IFERROR(INDEX(Pension_Model!$D$2:$D$29,MATCH(H75,Pension_Model!$B$2:$B$29,0)),0),IFERROR(INDEX(Pension_Model!$D$2:$D$29,MATCH(H76,Pension_Model!$B$2:$B$29,0)),0),IFERROR(INDEX(Pension_Model!$D$2:$D$29,MATCH(H77,Pension_Model!$B$2:$B$29,0)),0),IFERROR(INDEX(Pension_Model!$D$2:$D$29,MATCH(H78,Pension_Model!$B$2:$B$29,0)),0)),IF(VLOOKUP($A75,Calendar!$A$1:$R$1377,18,0)=5,SUM(IFERROR(INDEX(Pension_Model!$D$2:$D$29,MATCH(H75,Pension_Model!$B$2:$B$29,0)),0),IFERROR(INDEX(Pension_Model!$D$2:$D$29,MATCH(H76,Pension_Model!$B$2:$B$29,0)),0),IFERROR(INDEX(Pension_Model!$D$2:$D$29,MATCH(H77,Pension_Model!$B$2:$B$29,0)),0),IFERROR(INDEX(Pension_Model!$D$2:$D$29,MATCH(H78,Pension_Model!$B$2:$B$29,0)),0),IFERROR(INDEX(Pension_Model!$D$2:$D$29,MATCH(H79,Pension_Model!$B$2:$B$29,0)),0)),0))))))</f>
        <v>0.05</v>
      </c>
      <c r="Q75" s="28">
        <f>Population_Data!$B$15*P75</f>
        <v>660600</v>
      </c>
      <c r="S75">
        <f t="shared" si="1"/>
        <v>1521284.3158402932</v>
      </c>
      <c r="U75" s="33">
        <f>S75/Population_Data!$B$19</f>
        <v>2.7559498475367629E-2</v>
      </c>
    </row>
    <row r="76" spans="1:21">
      <c r="A76" s="25">
        <f>Calendar!A76</f>
        <v>46309</v>
      </c>
      <c r="B76" t="str">
        <f>Calendar!L76</f>
        <v>Yes</v>
      </c>
      <c r="C76" t="str">
        <f>Calendar!O76</f>
        <v>No</v>
      </c>
      <c r="D76" t="str">
        <f>Calendar!P76</f>
        <v>No</v>
      </c>
      <c r="E76" t="str">
        <f>Calendar!Q76</f>
        <v>No</v>
      </c>
      <c r="F76" t="str">
        <f>Calendar!I76</f>
        <v>Wednesday</v>
      </c>
      <c r="G76">
        <f>Calendar!S76</f>
        <v>11</v>
      </c>
      <c r="H76">
        <f>Calendar!T76</f>
        <v>25</v>
      </c>
      <c r="I76" s="27">
        <f>IF(VLOOKUP(A76,Calendar!$A$1:$R$1377,18,0)=0,0,IF(VLOOKUP(A76,Calendar!$A$1:$R$1377,18,0)=1,INDEX(Monthly_Pay_Model!$A$9:$D$40,MATCH(TEXT(A76,"dd"),Monthly_Pay_Model!$C$9:$C$39,0),4),IF(VLOOKUP(A76,Calendar!$A$1:$R$1377,18,0)=2,SUM(INDEX(Monthly_Pay_Model!$A$9:$D$40,MATCH(TEXT(A76,"dd"),Monthly_Pay_Model!$C$9:$C$39,0),4),INDEX(Monthly_Pay_Model!$A$9:$D$40,MATCH(TEXT(A77,"dd"),Monthly_Pay_Model!$C$9:$C$39,0),4)),IF(VLOOKUP(A76,Calendar!$A$1:$R$1377,18,0)=3,SUM(INDEX(Monthly_Pay_Model!$A$9:$D$40,MATCH(TEXT(A76,"dd"),Monthly_Pay_Model!$C$9:$C$39,0),4),INDEX(Monthly_Pay_Model!$A$9:$D$40,MATCH(TEXT(A77,"dd"),Monthly_Pay_Model!$C$9:$C$39,0),4),INDEX(Monthly_Pay_Model!$A$9:$D$40,MATCH(TEXT(A78,"dd"),Monthly_Pay_Model!$C$9:$C$39,0),4)),IF(VLOOKUP(A76,Calendar!$A$1:$R$1377,18,0)=4,SUM(INDEX(Monthly_Pay_Model!$A$9:$D$40,MATCH(TEXT(A76,"dd"),Monthly_Pay_Model!$C$9:$C$39,0),4),INDEX(Monthly_Pay_Model!$A$9:$D$40,MATCH(TEXT(A77,"dd"),Monthly_Pay_Model!$C$9:$C$39,0),4),INDEX(Monthly_Pay_Model!$A$9:$D$40,MATCH(TEXT(A78,"dd"),Monthly_Pay_Model!$C$9:$C$39,0),4),INDEX(Monthly_Pay_Model!$A$9:$D$40,MATCH(TEXT(A79,"dd"),Monthly_Pay_Model!$C$9:$C$39,0),4)),IF(VLOOKUP(A76,Calendar!$A$1:$R$1377,18,0)=5,SUM(INDEX(Monthly_Pay_Model!$A$9:$D$40,MATCH(TEXT(A76,"dd"),Monthly_Pay_Model!$C$9:$C$39,0),4),INDEX(Monthly_Pay_Model!$A$9:$D$40,MATCH(TEXT(A77,"dd"),Monthly_Pay_Model!$C$9:$C$39,0),4),INDEX(Monthly_Pay_Model!$A$9:$D$40,MATCH(TEXT(A78,"dd"),Monthly_Pay_Model!$C$9:$C$39,0),4),INDEX(Monthly_Pay_Model!$A$9:$D$40,MATCH(TEXT(A79,"dd"),Monthly_Pay_Model!$C$9:$C$39,0),4),INDEX(Monthly_Pay_Model!$A$9:$D$40,MATCH(TEXT(A80,"dd"),Monthly_Pay_Model!$C$9:$C$39,0),4)),))))))</f>
        <v>8.1256544502617792E-4</v>
      </c>
      <c r="J76" s="33">
        <f>IF(C76="Yes",Monthly_Pay_Model!$D$2,0)
+IF(Calendar!N76="Yes",Monthly_Pay_Model!$D$3,0)
+IF(D76="Yes",Monthly_Pay_Model!$D$4,0)
+IF(E76="Yes",Monthly_Pay_Model!$D$5,0)</f>
        <v>0</v>
      </c>
      <c r="K76" s="27">
        <f>IF(VLOOKUP($A76,Calendar!$A$1:$R$1377,18,0)=0,0,IF(VLOOKUP($A76,Calendar!$A$1:$R$1377,18,0)=1,IFERROR(INDEX(Weekly_Model!$D$2:$D$9,MATCH(F76,Weekly_Model!$A$2:$A$9,0)),0),IF(VLOOKUP($A76,Calendar!$A$1:$R$1377,18,0)=2,SUM(IFERROR(INDEX(Weekly_Model!$D$2:$D$9,MATCH(F76,Weekly_Model!$A$2:$A$9,0)),0),IFERROR(INDEX(Weekly_Model!$D$2:$D$9,MATCH(F77,Weekly_Model!$A$2:$A$9,0)),0)),IF(VLOOKUP($A76,Calendar!$A$1:$R$1377,18,0)=3,SUM(IFERROR(INDEX(Weekly_Model!$D$2:$D$9,MATCH(F76,Weekly_Model!$A$2:$A$9,0)),0),IFERROR(INDEX(Weekly_Model!$D$2:$D$9,MATCH(F77,Weekly_Model!$A$2:$A$9,0)),0),IFERROR(INDEX(Weekly_Model!$D$2:$D$9,MATCH(F78,Weekly_Model!$A$2:$A$9,0)),0)),IF(VLOOKUP($A76,Calendar!$A$1:$R$1377,18,0)=4,SUM(IFERROR(INDEX(Weekly_Model!$D$2:$D$9,MATCH(F76,Weekly_Model!$A$2:$A$9,0)),0),IFERROR(INDEX(Weekly_Model!$D$2:$D$9,MATCH(F77,Weekly_Model!$A$2:$A$9,0)),0),IFERROR(INDEX(Weekly_Model!$D$2:$D$9,MATCH(F78,Weekly_Model!$A$2:$A$9,0)),0),IFERROR(INDEX(Weekly_Model!$D$2:$D$9,MATCH(F79,Weekly_Model!$A$2:$A$9,0)),0)),IF(VLOOKUP($A76,Calendar!$A$1:$R$1377,18,0)=5,SUM(IFERROR(INDEX(Weekly_Model!$D$2:$D$9,MATCH(F76,Weekly_Model!$A$2:$A$9,0)),0),IFERROR(INDEX(Weekly_Model!$D$2:$D$9,MATCH(F77,Weekly_Model!$A$2:$A$9,0)),0),IFERROR(INDEX(Weekly_Model!$D$2:$D$9,MATCH(F78,Weekly_Model!$A$2:$A$9,0)),0),IFERROR(INDEX(Weekly_Model!$D$2:$D$9,MATCH(F79,Weekly_Model!$A$2:$A$9,0)),0),IFERROR(INDEX(Weekly_Model!$D$2:$D$9,MATCH(F80,Weekly_Model!$A$2:$A$9,0)),0)),0))))))</f>
        <v>2.3200000000000002E-2</v>
      </c>
      <c r="L76" s="27">
        <f>IF(VLOOKUP($A76,Calendar!$A$1:$R$1377,18,0)=0,0,IF(VLOOKUP($A76,Calendar!$A$1:$R$1377,18,0)=1,IFERROR(INDEX(Fortnightly_Model!$D$2:$D$15,MATCH(G76,Fortnightly_Model!$B$2:$B$15,0)),0),IF(VLOOKUP($A76,Calendar!$A$1:$R$1377,18,0)=2,SUM(IFERROR(INDEX(Fortnightly_Model!$D$2:$D$15,MATCH(G76,Fortnightly_Model!$B$2:$B$15,0)),0),IFERROR(INDEX(Fortnightly_Model!$D$2:$D$15,MATCH(G77,Fortnightly_Model!$B$2:$B$15,0)),0)),IF(VLOOKUP($A76,Calendar!$A$1:$R$1377,18,0)=3,SUM(IFERROR(INDEX(Fortnightly_Model!$D$2:$D$15,MATCH(G76,Fortnightly_Model!$B$2:$B$15,0)),0),IFERROR(INDEX(Fortnightly_Model!$D$2:$D$15,MATCH(G77,Fortnightly_Model!$B$2:$B$15,0)),0),IFERROR(INDEX(Fortnightly_Model!$D$2:$D$15,MATCH(G78,Fortnightly_Model!$B$2:$B$15,0)),0)),IF(VLOOKUP($A76,Calendar!$A$1:$R$1377,18,0)=4,SUM(IFERROR(INDEX(Fortnightly_Model!$D$2:$D$15,MATCH(G76,Fortnightly_Model!$B$2:$B$15,0)),0),IFERROR(INDEX(Fortnightly_Model!$D$2:$D$15,MATCH(G77,Fortnightly_Model!$B$2:$B$15,0)),0),IFERROR(INDEX(Fortnightly_Model!$D$2:$D$15,MATCH(G78,Fortnightly_Model!$B$2:$B$15,0)),0),IFERROR(INDEX(Fortnightly_Model!$D$2:$D$15,MATCH(G79,Fortnightly_Model!$B$2:$B$15,0)),0)),IF(VLOOKUP($A76,Calendar!$A$1:$R$1377,18,0)=5,SUM(IFERROR(INDEX(Fortnightly_Model!$D$2:$D$15,MATCH(G76,Fortnightly_Model!$B$2:$B$15,0)),0),IFERROR(INDEX(Fortnightly_Model!$D$2:$D$15,MATCH(G77,Fortnightly_Model!$B$2:$B$15,0)),0),IFERROR(INDEX(Fortnightly_Model!$D$2:$D$15,MATCH(G78,Fortnightly_Model!$B$2:$B$15,0)),0),IFERROR(INDEX(Fortnightly_Model!$D$2:$D$15,MATCH(G79,Fortnightly_Model!$B$2:$B$15,0)),0),IFERROR(INDEX(Fortnightly_Model!$D$2:$D$15,MATCH(G80,Fortnightly_Model!$B$2:$B$15,0)),0)),0))))))</f>
        <v>1.0714285499999999E-3</v>
      </c>
      <c r="M76" s="27">
        <f>IF(VLOOKUP($A76,Calendar!$A$1:$R$1377,18,0)=0,0,IF(VLOOKUP($A76,Calendar!$A$1:$R$1377,18,0)=1,IFERROR(INDEX(FourWeekly_Model!$D$2:$D$29,MATCH(H76,FourWeekly_Model!$B$2:$B$29,0)),0),IF(VLOOKUP($A76,Calendar!$A$1:$R$1377,18,0)=2,SUM(IFERROR(INDEX(FourWeekly_Model!$D$2:$D$29,MATCH(H76,FourWeekly_Model!$B$2:$B$29,0)),0),IFERROR(INDEX(FourWeekly_Model!$D$2:$D$29,MATCH(H77,FourWeekly_Model!$B$2:$B$29,0)),0)),IF(VLOOKUP($A76,Calendar!$A$1:$R$1377,18,0)=3,SUM(IFERROR(INDEX(FourWeekly_Model!$D$2:$D$29,MATCH(H76,FourWeekly_Model!$B$2:$B$29,0)),0),IFERROR(INDEX(FourWeekly_Model!$D$2:$D$29,MATCH(H77,FourWeekly_Model!$B$2:$B$29,0)),0),IFERROR(INDEX(FourWeekly_Model!$D$2:$D$29,MATCH(H78,FourWeekly_Model!$B$2:$B$29,0)),0)),IF(VLOOKUP($A76,Calendar!$A$1:$R$1377,18,0)=4,SUM(IFERROR(INDEX(FourWeekly_Model!$D$2:$D$29,MATCH(H76,FourWeekly_Model!$B$2:$B$29,0)),0),IFERROR(INDEX(FourWeekly_Model!$D$2:$D$29,MATCH(H77,FourWeekly_Model!$B$2:$B$29,0)),0),IFERROR(INDEX(FourWeekly_Model!$D$2:$D$29,MATCH(H78,FourWeekly_Model!$B$2:$B$29,0)),0),IFERROR(INDEX(FourWeekly_Model!$D$2:$D$29,MATCH(H79,FourWeekly_Model!$B$2:$B$29,0)),0)),IF(VLOOKUP($A76,Calendar!$A$1:$R$1377,18,0)=5,SUM(IFERROR(INDEX(FourWeekly_Model!$D$2:$D$29,MATCH(H76,FourWeekly_Model!$B$2:$B$29,0)),0),IFERROR(INDEX(FourWeekly_Model!$D$2:$D$29,MATCH(H77,FourWeekly_Model!$B$2:$B$29,0)),0),IFERROR(INDEX(FourWeekly_Model!$D$2:$D$29,MATCH(H78,FourWeekly_Model!$B$2:$B$29,0)),0),IFERROR(INDEX(FourWeekly_Model!$D$2:$D$29,MATCH(H79,FourWeekly_Model!$B$2:$B$29,0)),0),IFERROR(INDEX(FourWeekly_Model!$D$2:$D$29,MATCH(H80,FourWeekly_Model!$B$2:$B$29,0)),0)),0))))))</f>
        <v>3.3214289700000004E-3</v>
      </c>
      <c r="N76" s="27">
        <f>SUM(I76:M76)</f>
        <v>2.840542296502618E-2</v>
      </c>
      <c r="O76" s="28">
        <f>Population_Data!$B$8*N76</f>
        <v>860684.3158402933</v>
      </c>
      <c r="P76" s="27">
        <f>IF(VLOOKUP($A76,Calendar!$A$1:$R$1377,18,0)=0,0,IF(VLOOKUP($A76,Calendar!$A$1:$R$1377,18,0)=1,IFERROR(INDEX(Pension_Model!$D$2:$D$29,MATCH(H76,Pension_Model!$B$2:$B$29,0)),0),IF(VLOOKUP($A76,Calendar!$A$1:$R$1377,18,0)=2,SUM(IFERROR(INDEX(Pension_Model!$D$2:$D$29,MATCH(H76,Pension_Model!$B$2:$B$29,0)),0),IFERROR(INDEX(Pension_Model!$D$2:$D$29,MATCH(H77,Pension_Model!$B$2:$B$29,0)),0)),IF(VLOOKUP($A76,Calendar!$A$1:$R$1377,18,0)=3,SUM(IFERROR(INDEX(Pension_Model!$D$2:$D$29,MATCH(H76,Pension_Model!$B$2:$B$29,0)),0),IFERROR(INDEX(Pension_Model!$D$2:$D$29,MATCH(H77,Pension_Model!$B$2:$B$29,0)),0),IFERROR(INDEX(Pension_Model!$D$2:$D$29,MATCH(H78,Pension_Model!$B$2:$B$29,0)),0)),IF(VLOOKUP($A76,Calendar!$A$1:$R$1377,18,0)=4,SUM(IFERROR(INDEX(Pension_Model!$D$2:$D$29,MATCH(H76,Pension_Model!$B$2:$B$29,0)),0),IFERROR(INDEX(Pension_Model!$D$2:$D$29,MATCH(H77,Pension_Model!$B$2:$B$29,0)),0),IFERROR(INDEX(Pension_Model!$D$2:$D$29,MATCH(H78,Pension_Model!$B$2:$B$29,0)),0),IFERROR(INDEX(Pension_Model!$D$2:$D$29,MATCH(H79,Pension_Model!$B$2:$B$29,0)),0)),IF(VLOOKUP($A76,Calendar!$A$1:$R$1377,18,0)=5,SUM(IFERROR(INDEX(Pension_Model!$D$2:$D$29,MATCH(H76,Pension_Model!$B$2:$B$29,0)),0),IFERROR(INDEX(Pension_Model!$D$2:$D$29,MATCH(H77,Pension_Model!$B$2:$B$29,0)),0),IFERROR(INDEX(Pension_Model!$D$2:$D$29,MATCH(H78,Pension_Model!$B$2:$B$29,0)),0),IFERROR(INDEX(Pension_Model!$D$2:$D$29,MATCH(H79,Pension_Model!$B$2:$B$29,0)),0),IFERROR(INDEX(Pension_Model!$D$2:$D$29,MATCH(H80,Pension_Model!$B$2:$B$29,0)),0)),0))))))</f>
        <v>0.05</v>
      </c>
      <c r="Q76" s="28">
        <f>Population_Data!$B$15*P76</f>
        <v>660600</v>
      </c>
      <c r="S76">
        <f t="shared" si="1"/>
        <v>1521284.3158402932</v>
      </c>
      <c r="U76" s="33">
        <f>S76/Population_Data!$B$19</f>
        <v>2.7559498475367629E-2</v>
      </c>
    </row>
    <row r="77" spans="1:21">
      <c r="A77" s="25">
        <f>Calendar!A77</f>
        <v>46310</v>
      </c>
      <c r="B77" t="str">
        <f>Calendar!L77</f>
        <v>Yes</v>
      </c>
      <c r="C77" t="str">
        <f>Calendar!O77</f>
        <v>No</v>
      </c>
      <c r="D77" t="str">
        <f>Calendar!P77</f>
        <v>No</v>
      </c>
      <c r="E77" t="str">
        <f>Calendar!Q77</f>
        <v>No</v>
      </c>
      <c r="F77" t="str">
        <f>Calendar!I77</f>
        <v>Thursday</v>
      </c>
      <c r="G77">
        <f>Calendar!S77</f>
        <v>12</v>
      </c>
      <c r="H77">
        <f>Calendar!T77</f>
        <v>26</v>
      </c>
      <c r="I77" s="27">
        <f>IF(VLOOKUP(A77,Calendar!$A$1:$R$1377,18,0)=0,0,IF(VLOOKUP(A77,Calendar!$A$1:$R$1377,18,0)=1,INDEX(Monthly_Pay_Model!$A$9:$D$40,MATCH(TEXT(A77,"dd"),Monthly_Pay_Model!$C$9:$C$39,0),4),IF(VLOOKUP(A77,Calendar!$A$1:$R$1377,18,0)=2,SUM(INDEX(Monthly_Pay_Model!$A$9:$D$40,MATCH(TEXT(A77,"dd"),Monthly_Pay_Model!$C$9:$C$39,0),4),INDEX(Monthly_Pay_Model!$A$9:$D$40,MATCH(TEXT(A78,"dd"),Monthly_Pay_Model!$C$9:$C$39,0),4)),IF(VLOOKUP(A77,Calendar!$A$1:$R$1377,18,0)=3,SUM(INDEX(Monthly_Pay_Model!$A$9:$D$40,MATCH(TEXT(A77,"dd"),Monthly_Pay_Model!$C$9:$C$39,0),4),INDEX(Monthly_Pay_Model!$A$9:$D$40,MATCH(TEXT(A78,"dd"),Monthly_Pay_Model!$C$9:$C$39,0),4),INDEX(Monthly_Pay_Model!$A$9:$D$40,MATCH(TEXT(A79,"dd"),Monthly_Pay_Model!$C$9:$C$39,0),4)),IF(VLOOKUP(A77,Calendar!$A$1:$R$1377,18,0)=4,SUM(INDEX(Monthly_Pay_Model!$A$9:$D$40,MATCH(TEXT(A77,"dd"),Monthly_Pay_Model!$C$9:$C$39,0),4),INDEX(Monthly_Pay_Model!$A$9:$D$40,MATCH(TEXT(A78,"dd"),Monthly_Pay_Model!$C$9:$C$39,0),4),INDEX(Monthly_Pay_Model!$A$9:$D$40,MATCH(TEXT(A79,"dd"),Monthly_Pay_Model!$C$9:$C$39,0),4),INDEX(Monthly_Pay_Model!$A$9:$D$40,MATCH(TEXT(A80,"dd"),Monthly_Pay_Model!$C$9:$C$39,0),4)),IF(VLOOKUP(A77,Calendar!$A$1:$R$1377,18,0)=5,SUM(INDEX(Monthly_Pay_Model!$A$9:$D$40,MATCH(TEXT(A77,"dd"),Monthly_Pay_Model!$C$9:$C$39,0),4),INDEX(Monthly_Pay_Model!$A$9:$D$40,MATCH(TEXT(A78,"dd"),Monthly_Pay_Model!$C$9:$C$39,0),4),INDEX(Monthly_Pay_Model!$A$9:$D$40,MATCH(TEXT(A79,"dd"),Monthly_Pay_Model!$C$9:$C$39,0),4),INDEX(Monthly_Pay_Model!$A$9:$D$40,MATCH(TEXT(A80,"dd"),Monthly_Pay_Model!$C$9:$C$39,0),4),INDEX(Monthly_Pay_Model!$A$9:$D$40,MATCH(TEXT(A81,"dd"),Monthly_Pay_Model!$C$9:$C$39,0),4)),))))))</f>
        <v>1.3001047120418847E-2</v>
      </c>
      <c r="J77" s="33">
        <f>IF(C77="Yes",Monthly_Pay_Model!$D$2,0)
+IF(Calendar!N77="Yes",Monthly_Pay_Model!$D$3,0)
+IF(D77="Yes",Monthly_Pay_Model!$D$4,0)
+IF(E77="Yes",Monthly_Pay_Model!$D$5,0)</f>
        <v>0</v>
      </c>
      <c r="K77" s="27">
        <f>IF(VLOOKUP($A77,Calendar!$A$1:$R$1377,18,0)=0,0,IF(VLOOKUP($A77,Calendar!$A$1:$R$1377,18,0)=1,IFERROR(INDEX(Weekly_Model!$D$2:$D$9,MATCH(F77,Weekly_Model!$A$2:$A$9,0)),0),IF(VLOOKUP($A77,Calendar!$A$1:$R$1377,18,0)=2,SUM(IFERROR(INDEX(Weekly_Model!$D$2:$D$9,MATCH(F77,Weekly_Model!$A$2:$A$9,0)),0),IFERROR(INDEX(Weekly_Model!$D$2:$D$9,MATCH(F78,Weekly_Model!$A$2:$A$9,0)),0)),IF(VLOOKUP($A77,Calendar!$A$1:$R$1377,18,0)=3,SUM(IFERROR(INDEX(Weekly_Model!$D$2:$D$9,MATCH(F77,Weekly_Model!$A$2:$A$9,0)),0),IFERROR(INDEX(Weekly_Model!$D$2:$D$9,MATCH(F78,Weekly_Model!$A$2:$A$9,0)),0),IFERROR(INDEX(Weekly_Model!$D$2:$D$9,MATCH(F79,Weekly_Model!$A$2:$A$9,0)),0)),IF(VLOOKUP($A77,Calendar!$A$1:$R$1377,18,0)=4,SUM(IFERROR(INDEX(Weekly_Model!$D$2:$D$9,MATCH(F77,Weekly_Model!$A$2:$A$9,0)),0),IFERROR(INDEX(Weekly_Model!$D$2:$D$9,MATCH(F78,Weekly_Model!$A$2:$A$9,0)),0),IFERROR(INDEX(Weekly_Model!$D$2:$D$9,MATCH(F79,Weekly_Model!$A$2:$A$9,0)),0),IFERROR(INDEX(Weekly_Model!$D$2:$D$9,MATCH(F80,Weekly_Model!$A$2:$A$9,0)),0)),IF(VLOOKUP($A77,Calendar!$A$1:$R$1377,18,0)=5,SUM(IFERROR(INDEX(Weekly_Model!$D$2:$D$9,MATCH(F77,Weekly_Model!$A$2:$A$9,0)),0),IFERROR(INDEX(Weekly_Model!$D$2:$D$9,MATCH(F78,Weekly_Model!$A$2:$A$9,0)),0),IFERROR(INDEX(Weekly_Model!$D$2:$D$9,MATCH(F79,Weekly_Model!$A$2:$A$9,0)),0),IFERROR(INDEX(Weekly_Model!$D$2:$D$9,MATCH(F80,Weekly_Model!$A$2:$A$9,0)),0),IFERROR(INDEX(Weekly_Model!$D$2:$D$9,MATCH(F81,Weekly_Model!$A$2:$A$9,0)),0)),0))))))</f>
        <v>2.3200000000000002E-2</v>
      </c>
      <c r="L77" s="27">
        <f>IF(VLOOKUP($A77,Calendar!$A$1:$R$1377,18,0)=0,0,IF(VLOOKUP($A77,Calendar!$A$1:$R$1377,18,0)=1,IFERROR(INDEX(Fortnightly_Model!$D$2:$D$15,MATCH(G77,Fortnightly_Model!$B$2:$B$15,0)),0),IF(VLOOKUP($A77,Calendar!$A$1:$R$1377,18,0)=2,SUM(IFERROR(INDEX(Fortnightly_Model!$D$2:$D$15,MATCH(G77,Fortnightly_Model!$B$2:$B$15,0)),0),IFERROR(INDEX(Fortnightly_Model!$D$2:$D$15,MATCH(G78,Fortnightly_Model!$B$2:$B$15,0)),0)),IF(VLOOKUP($A77,Calendar!$A$1:$R$1377,18,0)=3,SUM(IFERROR(INDEX(Fortnightly_Model!$D$2:$D$15,MATCH(G77,Fortnightly_Model!$B$2:$B$15,0)),0),IFERROR(INDEX(Fortnightly_Model!$D$2:$D$15,MATCH(G78,Fortnightly_Model!$B$2:$B$15,0)),0),IFERROR(INDEX(Fortnightly_Model!$D$2:$D$15,MATCH(G79,Fortnightly_Model!$B$2:$B$15,0)),0)),IF(VLOOKUP($A77,Calendar!$A$1:$R$1377,18,0)=4,SUM(IFERROR(INDEX(Fortnightly_Model!$D$2:$D$15,MATCH(G77,Fortnightly_Model!$B$2:$B$15,0)),0),IFERROR(INDEX(Fortnightly_Model!$D$2:$D$15,MATCH(G78,Fortnightly_Model!$B$2:$B$15,0)),0),IFERROR(INDEX(Fortnightly_Model!$D$2:$D$15,MATCH(G79,Fortnightly_Model!$B$2:$B$15,0)),0),IFERROR(INDEX(Fortnightly_Model!$D$2:$D$15,MATCH(G80,Fortnightly_Model!$B$2:$B$15,0)),0)),IF(VLOOKUP($A77,Calendar!$A$1:$R$1377,18,0)=5,SUM(IFERROR(INDEX(Fortnightly_Model!$D$2:$D$15,MATCH(G77,Fortnightly_Model!$B$2:$B$15,0)),0),IFERROR(INDEX(Fortnightly_Model!$D$2:$D$15,MATCH(G78,Fortnightly_Model!$B$2:$B$15,0)),0),IFERROR(INDEX(Fortnightly_Model!$D$2:$D$15,MATCH(G79,Fortnightly_Model!$B$2:$B$15,0)),0),IFERROR(INDEX(Fortnightly_Model!$D$2:$D$15,MATCH(G80,Fortnightly_Model!$B$2:$B$15,0)),0),IFERROR(INDEX(Fortnightly_Model!$D$2:$D$15,MATCH(G81,Fortnightly_Model!$B$2:$B$15,0)),0)),0))))))</f>
        <v>1.0714285499999999E-3</v>
      </c>
      <c r="M77" s="27">
        <f>IF(VLOOKUP($A77,Calendar!$A$1:$R$1377,18,0)=0,0,IF(VLOOKUP($A77,Calendar!$A$1:$R$1377,18,0)=1,IFERROR(INDEX(FourWeekly_Model!$D$2:$D$29,MATCH(H77,FourWeekly_Model!$B$2:$B$29,0)),0),IF(VLOOKUP($A77,Calendar!$A$1:$R$1377,18,0)=2,SUM(IFERROR(INDEX(FourWeekly_Model!$D$2:$D$29,MATCH(H77,FourWeekly_Model!$B$2:$B$29,0)),0),IFERROR(INDEX(FourWeekly_Model!$D$2:$D$29,MATCH(H78,FourWeekly_Model!$B$2:$B$29,0)),0)),IF(VLOOKUP($A77,Calendar!$A$1:$R$1377,18,0)=3,SUM(IFERROR(INDEX(FourWeekly_Model!$D$2:$D$29,MATCH(H77,FourWeekly_Model!$B$2:$B$29,0)),0),IFERROR(INDEX(FourWeekly_Model!$D$2:$D$29,MATCH(H78,FourWeekly_Model!$B$2:$B$29,0)),0),IFERROR(INDEX(FourWeekly_Model!$D$2:$D$29,MATCH(H79,FourWeekly_Model!$B$2:$B$29,0)),0)),IF(VLOOKUP($A77,Calendar!$A$1:$R$1377,18,0)=4,SUM(IFERROR(INDEX(FourWeekly_Model!$D$2:$D$29,MATCH(H77,FourWeekly_Model!$B$2:$B$29,0)),0),IFERROR(INDEX(FourWeekly_Model!$D$2:$D$29,MATCH(H78,FourWeekly_Model!$B$2:$B$29,0)),0),IFERROR(INDEX(FourWeekly_Model!$D$2:$D$29,MATCH(H79,FourWeekly_Model!$B$2:$B$29,0)),0),IFERROR(INDEX(FourWeekly_Model!$D$2:$D$29,MATCH(H80,FourWeekly_Model!$B$2:$B$29,0)),0)),IF(VLOOKUP($A77,Calendar!$A$1:$R$1377,18,0)=5,SUM(IFERROR(INDEX(FourWeekly_Model!$D$2:$D$29,MATCH(H77,FourWeekly_Model!$B$2:$B$29,0)),0),IFERROR(INDEX(FourWeekly_Model!$D$2:$D$29,MATCH(H78,FourWeekly_Model!$B$2:$B$29,0)),0),IFERROR(INDEX(FourWeekly_Model!$D$2:$D$29,MATCH(H79,FourWeekly_Model!$B$2:$B$29,0)),0),IFERROR(INDEX(FourWeekly_Model!$D$2:$D$29,MATCH(H80,FourWeekly_Model!$B$2:$B$29,0)),0),IFERROR(INDEX(FourWeekly_Model!$D$2:$D$29,MATCH(H81,FourWeekly_Model!$B$2:$B$29,0)),0)),0))))))</f>
        <v>3.3214289700000004E-3</v>
      </c>
      <c r="N77" s="27">
        <f>SUM(I77:M77)</f>
        <v>4.059390464041885E-2</v>
      </c>
      <c r="O77" s="28">
        <f>Population_Data!$B$8*N77</f>
        <v>1229995.310604691</v>
      </c>
      <c r="P77" s="27">
        <f>IF(VLOOKUP($A77,Calendar!$A$1:$R$1377,18,0)=0,0,IF(VLOOKUP($A77,Calendar!$A$1:$R$1377,18,0)=1,IFERROR(INDEX(Pension_Model!$D$2:$D$29,MATCH(H77,Pension_Model!$B$2:$B$29,0)),0),IF(VLOOKUP($A77,Calendar!$A$1:$R$1377,18,0)=2,SUM(IFERROR(INDEX(Pension_Model!$D$2:$D$29,MATCH(H77,Pension_Model!$B$2:$B$29,0)),0),IFERROR(INDEX(Pension_Model!$D$2:$D$29,MATCH(H78,Pension_Model!$B$2:$B$29,0)),0)),IF(VLOOKUP($A77,Calendar!$A$1:$R$1377,18,0)=3,SUM(IFERROR(INDEX(Pension_Model!$D$2:$D$29,MATCH(H77,Pension_Model!$B$2:$B$29,0)),0),IFERROR(INDEX(Pension_Model!$D$2:$D$29,MATCH(H78,Pension_Model!$B$2:$B$29,0)),0),IFERROR(INDEX(Pension_Model!$D$2:$D$29,MATCH(H79,Pension_Model!$B$2:$B$29,0)),0)),IF(VLOOKUP($A77,Calendar!$A$1:$R$1377,18,0)=4,SUM(IFERROR(INDEX(Pension_Model!$D$2:$D$29,MATCH(H77,Pension_Model!$B$2:$B$29,0)),0),IFERROR(INDEX(Pension_Model!$D$2:$D$29,MATCH(H78,Pension_Model!$B$2:$B$29,0)),0),IFERROR(INDEX(Pension_Model!$D$2:$D$29,MATCH(H79,Pension_Model!$B$2:$B$29,0)),0),IFERROR(INDEX(Pension_Model!$D$2:$D$29,MATCH(H80,Pension_Model!$B$2:$B$29,0)),0)),IF(VLOOKUP($A77,Calendar!$A$1:$R$1377,18,0)=5,SUM(IFERROR(INDEX(Pension_Model!$D$2:$D$29,MATCH(H77,Pension_Model!$B$2:$B$29,0)),0),IFERROR(INDEX(Pension_Model!$D$2:$D$29,MATCH(H78,Pension_Model!$B$2:$B$29,0)),0),IFERROR(INDEX(Pension_Model!$D$2:$D$29,MATCH(H79,Pension_Model!$B$2:$B$29,0)),0),IFERROR(INDEX(Pension_Model!$D$2:$D$29,MATCH(H80,Pension_Model!$B$2:$B$29,0)),0),IFERROR(INDEX(Pension_Model!$D$2:$D$29,MATCH(H81,Pension_Model!$B$2:$B$29,0)),0)),0))))))</f>
        <v>0.05</v>
      </c>
      <c r="Q77" s="28">
        <f>Population_Data!$B$15*P77</f>
        <v>660600</v>
      </c>
      <c r="S77">
        <f t="shared" si="1"/>
        <v>1890595.310604691</v>
      </c>
      <c r="U77" s="33">
        <f>S77/Population_Data!$B$19</f>
        <v>3.4249915047186434E-2</v>
      </c>
    </row>
    <row r="78" spans="1:21">
      <c r="A78" s="25">
        <f>Calendar!A78</f>
        <v>46311</v>
      </c>
      <c r="B78" t="str">
        <f>Calendar!L78</f>
        <v>Yes</v>
      </c>
      <c r="C78" t="str">
        <f>Calendar!O78</f>
        <v>No</v>
      </c>
      <c r="D78" t="str">
        <f>Calendar!P78</f>
        <v>No</v>
      </c>
      <c r="E78" t="str">
        <f>Calendar!Q78</f>
        <v>No</v>
      </c>
      <c r="F78" t="str">
        <f>Calendar!I78</f>
        <v>Friday</v>
      </c>
      <c r="G78">
        <f>Calendar!S78</f>
        <v>13</v>
      </c>
      <c r="H78">
        <f>Calendar!T78</f>
        <v>27</v>
      </c>
      <c r="I78" s="27">
        <f>IF(VLOOKUP(A78,Calendar!$A$1:$R$1377,18,0)=0,0,IF(VLOOKUP(A78,Calendar!$A$1:$R$1377,18,0)=1,INDEX(Monthly_Pay_Model!$A$9:$D$40,MATCH(TEXT(A78,"dd"),Monthly_Pay_Model!$C$9:$C$39,0),4),IF(VLOOKUP(A78,Calendar!$A$1:$R$1377,18,0)=2,SUM(INDEX(Monthly_Pay_Model!$A$9:$D$40,MATCH(TEXT(A78,"dd"),Monthly_Pay_Model!$C$9:$C$39,0),4),INDEX(Monthly_Pay_Model!$A$9:$D$40,MATCH(TEXT(A79,"dd"),Monthly_Pay_Model!$C$9:$C$39,0),4)),IF(VLOOKUP(A78,Calendar!$A$1:$R$1377,18,0)=3,SUM(INDEX(Monthly_Pay_Model!$A$9:$D$40,MATCH(TEXT(A78,"dd"),Monthly_Pay_Model!$C$9:$C$39,0),4),INDEX(Monthly_Pay_Model!$A$9:$D$40,MATCH(TEXT(A79,"dd"),Monthly_Pay_Model!$C$9:$C$39,0),4),INDEX(Monthly_Pay_Model!$A$9:$D$40,MATCH(TEXT(A80,"dd"),Monthly_Pay_Model!$C$9:$C$39,0),4)),IF(VLOOKUP(A78,Calendar!$A$1:$R$1377,18,0)=4,SUM(INDEX(Monthly_Pay_Model!$A$9:$D$40,MATCH(TEXT(A78,"dd"),Monthly_Pay_Model!$C$9:$C$39,0),4),INDEX(Monthly_Pay_Model!$A$9:$D$40,MATCH(TEXT(A79,"dd"),Monthly_Pay_Model!$C$9:$C$39,0),4),INDEX(Monthly_Pay_Model!$A$9:$D$40,MATCH(TEXT(A80,"dd"),Monthly_Pay_Model!$C$9:$C$39,0),4),INDEX(Monthly_Pay_Model!$A$9:$D$40,MATCH(TEXT(A81,"dd"),Monthly_Pay_Model!$C$9:$C$39,0),4)),IF(VLOOKUP(A78,Calendar!$A$1:$R$1377,18,0)=5,SUM(INDEX(Monthly_Pay_Model!$A$9:$D$40,MATCH(TEXT(A78,"dd"),Monthly_Pay_Model!$C$9:$C$39,0),4),INDEX(Monthly_Pay_Model!$A$9:$D$40,MATCH(TEXT(A79,"dd"),Monthly_Pay_Model!$C$9:$C$39,0),4),INDEX(Monthly_Pay_Model!$A$9:$D$40,MATCH(TEXT(A80,"dd"),Monthly_Pay_Model!$C$9:$C$39,0),4),INDEX(Monthly_Pay_Model!$A$9:$D$40,MATCH(TEXT(A81,"dd"),Monthly_Pay_Model!$C$9:$C$39,0),4),INDEX(Monthly_Pay_Model!$A$9:$D$40,MATCH(TEXT(A82,"dd"),Monthly_Pay_Model!$C$9:$C$39,0),4)),))))))</f>
        <v>4.8753926701570671E-3</v>
      </c>
      <c r="J78" s="33">
        <f>IF(C78="Yes",Monthly_Pay_Model!$D$2,0)
+IF(Calendar!N78="Yes",Monthly_Pay_Model!$D$3,0)
+IF(D78="Yes",Monthly_Pay_Model!$D$4,0)
+IF(E78="Yes",Monthly_Pay_Model!$D$5,0)</f>
        <v>0</v>
      </c>
      <c r="K78" s="27">
        <f>IF(VLOOKUP($A78,Calendar!$A$1:$R$1377,18,0)=0,0,IF(VLOOKUP($A78,Calendar!$A$1:$R$1377,18,0)=1,IFERROR(INDEX(Weekly_Model!$D$2:$D$9,MATCH(F78,Weekly_Model!$A$2:$A$9,0)),0),IF(VLOOKUP($A78,Calendar!$A$1:$R$1377,18,0)=2,SUM(IFERROR(INDEX(Weekly_Model!$D$2:$D$9,MATCH(F78,Weekly_Model!$A$2:$A$9,0)),0),IFERROR(INDEX(Weekly_Model!$D$2:$D$9,MATCH(F79,Weekly_Model!$A$2:$A$9,0)),0)),IF(VLOOKUP($A78,Calendar!$A$1:$R$1377,18,0)=3,SUM(IFERROR(INDEX(Weekly_Model!$D$2:$D$9,MATCH(F78,Weekly_Model!$A$2:$A$9,0)),0),IFERROR(INDEX(Weekly_Model!$D$2:$D$9,MATCH(F79,Weekly_Model!$A$2:$A$9,0)),0),IFERROR(INDEX(Weekly_Model!$D$2:$D$9,MATCH(F80,Weekly_Model!$A$2:$A$9,0)),0)),IF(VLOOKUP($A78,Calendar!$A$1:$R$1377,18,0)=4,SUM(IFERROR(INDEX(Weekly_Model!$D$2:$D$9,MATCH(F78,Weekly_Model!$A$2:$A$9,0)),0),IFERROR(INDEX(Weekly_Model!$D$2:$D$9,MATCH(F79,Weekly_Model!$A$2:$A$9,0)),0),IFERROR(INDEX(Weekly_Model!$D$2:$D$9,MATCH(F80,Weekly_Model!$A$2:$A$9,0)),0),IFERROR(INDEX(Weekly_Model!$D$2:$D$9,MATCH(F81,Weekly_Model!$A$2:$A$9,0)),0)),IF(VLOOKUP($A78,Calendar!$A$1:$R$1377,18,0)=5,SUM(IFERROR(INDEX(Weekly_Model!$D$2:$D$9,MATCH(F78,Weekly_Model!$A$2:$A$9,0)),0),IFERROR(INDEX(Weekly_Model!$D$2:$D$9,MATCH(F79,Weekly_Model!$A$2:$A$9,0)),0),IFERROR(INDEX(Weekly_Model!$D$2:$D$9,MATCH(F80,Weekly_Model!$A$2:$A$9,0)),0),IFERROR(INDEX(Weekly_Model!$D$2:$D$9,MATCH(F81,Weekly_Model!$A$2:$A$9,0)),0),IFERROR(INDEX(Weekly_Model!$D$2:$D$9,MATCH(F82,Weekly_Model!$A$2:$A$9,0)),0)),0))))))</f>
        <v>2.3200000000000002E-2</v>
      </c>
      <c r="L78" s="27">
        <f>IF(VLOOKUP($A78,Calendar!$A$1:$R$1377,18,0)=0,0,IF(VLOOKUP($A78,Calendar!$A$1:$R$1377,18,0)=1,IFERROR(INDEX(Fortnightly_Model!$D$2:$D$15,MATCH(G78,Fortnightly_Model!$B$2:$B$15,0)),0),IF(VLOOKUP($A78,Calendar!$A$1:$R$1377,18,0)=2,SUM(IFERROR(INDEX(Fortnightly_Model!$D$2:$D$15,MATCH(G78,Fortnightly_Model!$B$2:$B$15,0)),0),IFERROR(INDEX(Fortnightly_Model!$D$2:$D$15,MATCH(G79,Fortnightly_Model!$B$2:$B$15,0)),0)),IF(VLOOKUP($A78,Calendar!$A$1:$R$1377,18,0)=3,SUM(IFERROR(INDEX(Fortnightly_Model!$D$2:$D$15,MATCH(G78,Fortnightly_Model!$B$2:$B$15,0)),0),IFERROR(INDEX(Fortnightly_Model!$D$2:$D$15,MATCH(G79,Fortnightly_Model!$B$2:$B$15,0)),0),IFERROR(INDEX(Fortnightly_Model!$D$2:$D$15,MATCH(G80,Fortnightly_Model!$B$2:$B$15,0)),0)),IF(VLOOKUP($A78,Calendar!$A$1:$R$1377,18,0)=4,SUM(IFERROR(INDEX(Fortnightly_Model!$D$2:$D$15,MATCH(G78,Fortnightly_Model!$B$2:$B$15,0)),0),IFERROR(INDEX(Fortnightly_Model!$D$2:$D$15,MATCH(G79,Fortnightly_Model!$B$2:$B$15,0)),0),IFERROR(INDEX(Fortnightly_Model!$D$2:$D$15,MATCH(G80,Fortnightly_Model!$B$2:$B$15,0)),0),IFERROR(INDEX(Fortnightly_Model!$D$2:$D$15,MATCH(G81,Fortnightly_Model!$B$2:$B$15,0)),0)),IF(VLOOKUP($A78,Calendar!$A$1:$R$1377,18,0)=5,SUM(IFERROR(INDEX(Fortnightly_Model!$D$2:$D$15,MATCH(G78,Fortnightly_Model!$B$2:$B$15,0)),0),IFERROR(INDEX(Fortnightly_Model!$D$2:$D$15,MATCH(G79,Fortnightly_Model!$B$2:$B$15,0)),0),IFERROR(INDEX(Fortnightly_Model!$D$2:$D$15,MATCH(G80,Fortnightly_Model!$B$2:$B$15,0)),0),IFERROR(INDEX(Fortnightly_Model!$D$2:$D$15,MATCH(G81,Fortnightly_Model!$B$2:$B$15,0)),0),IFERROR(INDEX(Fortnightly_Model!$D$2:$D$15,MATCH(G82,Fortnightly_Model!$B$2:$B$15,0)),0)),0))))))</f>
        <v>3.2142856499999999E-3</v>
      </c>
      <c r="M78" s="27">
        <f>IF(VLOOKUP($A78,Calendar!$A$1:$R$1377,18,0)=0,0,IF(VLOOKUP($A78,Calendar!$A$1:$R$1377,18,0)=1,IFERROR(INDEX(FourWeekly_Model!$D$2:$D$29,MATCH(H78,FourWeekly_Model!$B$2:$B$29,0)),0),IF(VLOOKUP($A78,Calendar!$A$1:$R$1377,18,0)=2,SUM(IFERROR(INDEX(FourWeekly_Model!$D$2:$D$29,MATCH(H78,FourWeekly_Model!$B$2:$B$29,0)),0),IFERROR(INDEX(FourWeekly_Model!$D$2:$D$29,MATCH(H79,FourWeekly_Model!$B$2:$B$29,0)),0)),IF(VLOOKUP($A78,Calendar!$A$1:$R$1377,18,0)=3,SUM(IFERROR(INDEX(FourWeekly_Model!$D$2:$D$29,MATCH(H78,FourWeekly_Model!$B$2:$B$29,0)),0),IFERROR(INDEX(FourWeekly_Model!$D$2:$D$29,MATCH(H79,FourWeekly_Model!$B$2:$B$29,0)),0),IFERROR(INDEX(FourWeekly_Model!$D$2:$D$29,MATCH(H80,FourWeekly_Model!$B$2:$B$29,0)),0)),IF(VLOOKUP($A78,Calendar!$A$1:$R$1377,18,0)=4,SUM(IFERROR(INDEX(FourWeekly_Model!$D$2:$D$29,MATCH(H78,FourWeekly_Model!$B$2:$B$29,0)),0),IFERROR(INDEX(FourWeekly_Model!$D$2:$D$29,MATCH(H79,FourWeekly_Model!$B$2:$B$29,0)),0),IFERROR(INDEX(FourWeekly_Model!$D$2:$D$29,MATCH(H80,FourWeekly_Model!$B$2:$B$29,0)),0),IFERROR(INDEX(FourWeekly_Model!$D$2:$D$29,MATCH(H81,FourWeekly_Model!$B$2:$B$29,0)),0)),IF(VLOOKUP($A78,Calendar!$A$1:$R$1377,18,0)=5,SUM(IFERROR(INDEX(FourWeekly_Model!$D$2:$D$29,MATCH(H78,FourWeekly_Model!$B$2:$B$29,0)),0),IFERROR(INDEX(FourWeekly_Model!$D$2:$D$29,MATCH(H79,FourWeekly_Model!$B$2:$B$29,0)),0),IFERROR(INDEX(FourWeekly_Model!$D$2:$D$29,MATCH(H80,FourWeekly_Model!$B$2:$B$29,0)),0),IFERROR(INDEX(FourWeekly_Model!$D$2:$D$29,MATCH(H81,FourWeekly_Model!$B$2:$B$29,0)),0),IFERROR(INDEX(FourWeekly_Model!$D$2:$D$29,MATCH(H82,FourWeekly_Model!$B$2:$B$29,0)),0)),0))))))</f>
        <v>9.9642859800000011E-3</v>
      </c>
      <c r="N78" s="27">
        <f>SUM(I78:M78)</f>
        <v>4.125396430015707E-2</v>
      </c>
      <c r="O78" s="28">
        <f>Population_Data!$B$8*N78</f>
        <v>1249995.1182947592</v>
      </c>
      <c r="P78" s="27">
        <f>IF(VLOOKUP($A78,Calendar!$A$1:$R$1377,18,0)=0,0,IF(VLOOKUP($A78,Calendar!$A$1:$R$1377,18,0)=1,IFERROR(INDEX(Pension_Model!$D$2:$D$29,MATCH(H78,Pension_Model!$B$2:$B$29,0)),0),IF(VLOOKUP($A78,Calendar!$A$1:$R$1377,18,0)=2,SUM(IFERROR(INDEX(Pension_Model!$D$2:$D$29,MATCH(H78,Pension_Model!$B$2:$B$29,0)),0),IFERROR(INDEX(Pension_Model!$D$2:$D$29,MATCH(H79,Pension_Model!$B$2:$B$29,0)),0)),IF(VLOOKUP($A78,Calendar!$A$1:$R$1377,18,0)=3,SUM(IFERROR(INDEX(Pension_Model!$D$2:$D$29,MATCH(H78,Pension_Model!$B$2:$B$29,0)),0),IFERROR(INDEX(Pension_Model!$D$2:$D$29,MATCH(H79,Pension_Model!$B$2:$B$29,0)),0),IFERROR(INDEX(Pension_Model!$D$2:$D$29,MATCH(H80,Pension_Model!$B$2:$B$29,0)),0)),IF(VLOOKUP($A78,Calendar!$A$1:$R$1377,18,0)=4,SUM(IFERROR(INDEX(Pension_Model!$D$2:$D$29,MATCH(H78,Pension_Model!$B$2:$B$29,0)),0),IFERROR(INDEX(Pension_Model!$D$2:$D$29,MATCH(H79,Pension_Model!$B$2:$B$29,0)),0),IFERROR(INDEX(Pension_Model!$D$2:$D$29,MATCH(H80,Pension_Model!$B$2:$B$29,0)),0),IFERROR(INDEX(Pension_Model!$D$2:$D$29,MATCH(H81,Pension_Model!$B$2:$B$29,0)),0)),IF(VLOOKUP($A78,Calendar!$A$1:$R$1377,18,0)=5,SUM(IFERROR(INDEX(Pension_Model!$D$2:$D$29,MATCH(H78,Pension_Model!$B$2:$B$29,0)),0),IFERROR(INDEX(Pension_Model!$D$2:$D$29,MATCH(H79,Pension_Model!$B$2:$B$29,0)),0),IFERROR(INDEX(Pension_Model!$D$2:$D$29,MATCH(H80,Pension_Model!$B$2:$B$29,0)),0),IFERROR(INDEX(Pension_Model!$D$2:$D$29,MATCH(H81,Pension_Model!$B$2:$B$29,0)),0),IFERROR(INDEX(Pension_Model!$D$2:$D$29,MATCH(H82,Pension_Model!$B$2:$B$29,0)),0)),0))))))</f>
        <v>0.05</v>
      </c>
      <c r="Q78" s="28">
        <f>Population_Data!$B$15*P78</f>
        <v>660600</v>
      </c>
      <c r="S78">
        <f t="shared" si="1"/>
        <v>1910595.1182947592</v>
      </c>
      <c r="U78" s="33">
        <f>S78/Population_Data!$B$19</f>
        <v>3.4612230403890568E-2</v>
      </c>
    </row>
    <row r="79" spans="1:21">
      <c r="A79" s="25">
        <f>Calendar!A79</f>
        <v>46312</v>
      </c>
      <c r="B79" t="str">
        <f>Calendar!L79</f>
        <v>No</v>
      </c>
      <c r="C79" t="str">
        <f>Calendar!O79</f>
        <v>No</v>
      </c>
      <c r="D79" t="str">
        <f>Calendar!P79</f>
        <v>No</v>
      </c>
      <c r="E79" t="str">
        <f>Calendar!Q79</f>
        <v>No</v>
      </c>
      <c r="F79" t="str">
        <f>Calendar!I79</f>
        <v>Saturday</v>
      </c>
      <c r="G79">
        <f>Calendar!S79</f>
        <v>0</v>
      </c>
      <c r="H79">
        <f>Calendar!T79</f>
        <v>0</v>
      </c>
      <c r="I79" s="27">
        <f>IF(VLOOKUP(A79,Calendar!$A$1:$R$1377,18,0)=0,0,IF(VLOOKUP(A79,Calendar!$A$1:$R$1377,18,0)=1,INDEX(Monthly_Pay_Model!$A$9:$D$40,MATCH(TEXT(A79,"dd"),Monthly_Pay_Model!$C$9:$C$39,0),4),IF(VLOOKUP(A79,Calendar!$A$1:$R$1377,18,0)=2,SUM(INDEX(Monthly_Pay_Model!$A$9:$D$40,MATCH(TEXT(A79,"dd"),Monthly_Pay_Model!$C$9:$C$39,0),4),INDEX(Monthly_Pay_Model!$A$9:$D$40,MATCH(TEXT(A80,"dd"),Monthly_Pay_Model!$C$9:$C$39,0),4)),IF(VLOOKUP(A79,Calendar!$A$1:$R$1377,18,0)=3,SUM(INDEX(Monthly_Pay_Model!$A$9:$D$40,MATCH(TEXT(A79,"dd"),Monthly_Pay_Model!$C$9:$C$39,0),4),INDEX(Monthly_Pay_Model!$A$9:$D$40,MATCH(TEXT(A80,"dd"),Monthly_Pay_Model!$C$9:$C$39,0),4),INDEX(Monthly_Pay_Model!$A$9:$D$40,MATCH(TEXT(A81,"dd"),Monthly_Pay_Model!$C$9:$C$39,0),4)),IF(VLOOKUP(A79,Calendar!$A$1:$R$1377,18,0)=4,SUM(INDEX(Monthly_Pay_Model!$A$9:$D$40,MATCH(TEXT(A79,"dd"),Monthly_Pay_Model!$C$9:$C$39,0),4),INDEX(Monthly_Pay_Model!$A$9:$D$40,MATCH(TEXT(A80,"dd"),Monthly_Pay_Model!$C$9:$C$39,0),4),INDEX(Monthly_Pay_Model!$A$9:$D$40,MATCH(TEXT(A81,"dd"),Monthly_Pay_Model!$C$9:$C$39,0),4),INDEX(Monthly_Pay_Model!$A$9:$D$40,MATCH(TEXT(A82,"dd"),Monthly_Pay_Model!$C$9:$C$39,0),4)),IF(VLOOKUP(A79,Calendar!$A$1:$R$1377,18,0)=5,SUM(INDEX(Monthly_Pay_Model!$A$9:$D$40,MATCH(TEXT(A79,"dd"),Monthly_Pay_Model!$C$9:$C$39,0),4),INDEX(Monthly_Pay_Model!$A$9:$D$40,MATCH(TEXT(A80,"dd"),Monthly_Pay_Model!$C$9:$C$39,0),4),INDEX(Monthly_Pay_Model!$A$9:$D$40,MATCH(TEXT(A81,"dd"),Monthly_Pay_Model!$C$9:$C$39,0),4),INDEX(Monthly_Pay_Model!$A$9:$D$40,MATCH(TEXT(A82,"dd"),Monthly_Pay_Model!$C$9:$C$39,0),4),INDEX(Monthly_Pay_Model!$A$9:$D$40,MATCH(TEXT(A83,"dd"),Monthly_Pay_Model!$C$9:$C$39,0),4)),))))))</f>
        <v>0</v>
      </c>
      <c r="J79" s="33">
        <f>IF(C79="Yes",Monthly_Pay_Model!$D$2,0)
+IF(Calendar!N79="Yes",Monthly_Pay_Model!$D$3,0)
+IF(D79="Yes",Monthly_Pay_Model!$D$4,0)
+IF(E79="Yes",Monthly_Pay_Model!$D$5,0)</f>
        <v>0</v>
      </c>
      <c r="K79" s="27">
        <f>IF(VLOOKUP($A79,Calendar!$A$1:$R$1377,18,0)=0,0,IF(VLOOKUP($A79,Calendar!$A$1:$R$1377,18,0)=1,IFERROR(INDEX(Weekly_Model!$D$2:$D$9,MATCH(F79,Weekly_Model!$A$2:$A$9,0)),0),IF(VLOOKUP($A79,Calendar!$A$1:$R$1377,18,0)=2,SUM(IFERROR(INDEX(Weekly_Model!$D$2:$D$9,MATCH(F79,Weekly_Model!$A$2:$A$9,0)),0),IFERROR(INDEX(Weekly_Model!$D$2:$D$9,MATCH(F80,Weekly_Model!$A$2:$A$9,0)),0)),IF(VLOOKUP($A79,Calendar!$A$1:$R$1377,18,0)=3,SUM(IFERROR(INDEX(Weekly_Model!$D$2:$D$9,MATCH(F79,Weekly_Model!$A$2:$A$9,0)),0),IFERROR(INDEX(Weekly_Model!$D$2:$D$9,MATCH(F80,Weekly_Model!$A$2:$A$9,0)),0),IFERROR(INDEX(Weekly_Model!$D$2:$D$9,MATCH(F81,Weekly_Model!$A$2:$A$9,0)),0)),IF(VLOOKUP($A79,Calendar!$A$1:$R$1377,18,0)=4,SUM(IFERROR(INDEX(Weekly_Model!$D$2:$D$9,MATCH(F79,Weekly_Model!$A$2:$A$9,0)),0),IFERROR(INDEX(Weekly_Model!$D$2:$D$9,MATCH(F80,Weekly_Model!$A$2:$A$9,0)),0),IFERROR(INDEX(Weekly_Model!$D$2:$D$9,MATCH(F81,Weekly_Model!$A$2:$A$9,0)),0),IFERROR(INDEX(Weekly_Model!$D$2:$D$9,MATCH(F82,Weekly_Model!$A$2:$A$9,0)),0)),IF(VLOOKUP($A79,Calendar!$A$1:$R$1377,18,0)=5,SUM(IFERROR(INDEX(Weekly_Model!$D$2:$D$9,MATCH(F79,Weekly_Model!$A$2:$A$9,0)),0),IFERROR(INDEX(Weekly_Model!$D$2:$D$9,MATCH(F80,Weekly_Model!$A$2:$A$9,0)),0),IFERROR(INDEX(Weekly_Model!$D$2:$D$9,MATCH(F81,Weekly_Model!$A$2:$A$9,0)),0),IFERROR(INDEX(Weekly_Model!$D$2:$D$9,MATCH(F82,Weekly_Model!$A$2:$A$9,0)),0),IFERROR(INDEX(Weekly_Model!$D$2:$D$9,MATCH(F83,Weekly_Model!$A$2:$A$9,0)),0)),0))))))</f>
        <v>0</v>
      </c>
      <c r="L79" s="27">
        <f>IF(VLOOKUP($A79,Calendar!$A$1:$R$1377,18,0)=0,0,IF(VLOOKUP($A79,Calendar!$A$1:$R$1377,18,0)=1,IFERROR(INDEX(Fortnightly_Model!$D$2:$D$15,MATCH(G79,Fortnightly_Model!$B$2:$B$15,0)),0),IF(VLOOKUP($A79,Calendar!$A$1:$R$1377,18,0)=2,SUM(IFERROR(INDEX(Fortnightly_Model!$D$2:$D$15,MATCH(G79,Fortnightly_Model!$B$2:$B$15,0)),0),IFERROR(INDEX(Fortnightly_Model!$D$2:$D$15,MATCH(G80,Fortnightly_Model!$B$2:$B$15,0)),0)),IF(VLOOKUP($A79,Calendar!$A$1:$R$1377,18,0)=3,SUM(IFERROR(INDEX(Fortnightly_Model!$D$2:$D$15,MATCH(G79,Fortnightly_Model!$B$2:$B$15,0)),0),IFERROR(INDEX(Fortnightly_Model!$D$2:$D$15,MATCH(G80,Fortnightly_Model!$B$2:$B$15,0)),0),IFERROR(INDEX(Fortnightly_Model!$D$2:$D$15,MATCH(G81,Fortnightly_Model!$B$2:$B$15,0)),0)),IF(VLOOKUP($A79,Calendar!$A$1:$R$1377,18,0)=4,SUM(IFERROR(INDEX(Fortnightly_Model!$D$2:$D$15,MATCH(G79,Fortnightly_Model!$B$2:$B$15,0)),0),IFERROR(INDEX(Fortnightly_Model!$D$2:$D$15,MATCH(G80,Fortnightly_Model!$B$2:$B$15,0)),0),IFERROR(INDEX(Fortnightly_Model!$D$2:$D$15,MATCH(G81,Fortnightly_Model!$B$2:$B$15,0)),0),IFERROR(INDEX(Fortnightly_Model!$D$2:$D$15,MATCH(G82,Fortnightly_Model!$B$2:$B$15,0)),0)),IF(VLOOKUP($A79,Calendar!$A$1:$R$1377,18,0)=5,SUM(IFERROR(INDEX(Fortnightly_Model!$D$2:$D$15,MATCH(G79,Fortnightly_Model!$B$2:$B$15,0)),0),IFERROR(INDEX(Fortnightly_Model!$D$2:$D$15,MATCH(G80,Fortnightly_Model!$B$2:$B$15,0)),0),IFERROR(INDEX(Fortnightly_Model!$D$2:$D$15,MATCH(G81,Fortnightly_Model!$B$2:$B$15,0)),0),IFERROR(INDEX(Fortnightly_Model!$D$2:$D$15,MATCH(G82,Fortnightly_Model!$B$2:$B$15,0)),0),IFERROR(INDEX(Fortnightly_Model!$D$2:$D$15,MATCH(G83,Fortnightly_Model!$B$2:$B$15,0)),0)),0))))))</f>
        <v>0</v>
      </c>
      <c r="M79" s="27">
        <f>IF(VLOOKUP($A79,Calendar!$A$1:$R$1377,18,0)=0,0,IF(VLOOKUP($A79,Calendar!$A$1:$R$1377,18,0)=1,IFERROR(INDEX(FourWeekly_Model!$D$2:$D$29,MATCH(H79,FourWeekly_Model!$B$2:$B$29,0)),0),IF(VLOOKUP($A79,Calendar!$A$1:$R$1377,18,0)=2,SUM(IFERROR(INDEX(FourWeekly_Model!$D$2:$D$29,MATCH(H79,FourWeekly_Model!$B$2:$B$29,0)),0),IFERROR(INDEX(FourWeekly_Model!$D$2:$D$29,MATCH(H80,FourWeekly_Model!$B$2:$B$29,0)),0)),IF(VLOOKUP($A79,Calendar!$A$1:$R$1377,18,0)=3,SUM(IFERROR(INDEX(FourWeekly_Model!$D$2:$D$29,MATCH(H79,FourWeekly_Model!$B$2:$B$29,0)),0),IFERROR(INDEX(FourWeekly_Model!$D$2:$D$29,MATCH(H80,FourWeekly_Model!$B$2:$B$29,0)),0),IFERROR(INDEX(FourWeekly_Model!$D$2:$D$29,MATCH(H81,FourWeekly_Model!$B$2:$B$29,0)),0)),IF(VLOOKUP($A79,Calendar!$A$1:$R$1377,18,0)=4,SUM(IFERROR(INDEX(FourWeekly_Model!$D$2:$D$29,MATCH(H79,FourWeekly_Model!$B$2:$B$29,0)),0),IFERROR(INDEX(FourWeekly_Model!$D$2:$D$29,MATCH(H80,FourWeekly_Model!$B$2:$B$29,0)),0),IFERROR(INDEX(FourWeekly_Model!$D$2:$D$29,MATCH(H81,FourWeekly_Model!$B$2:$B$29,0)),0),IFERROR(INDEX(FourWeekly_Model!$D$2:$D$29,MATCH(H82,FourWeekly_Model!$B$2:$B$29,0)),0)),IF(VLOOKUP($A79,Calendar!$A$1:$R$1377,18,0)=5,SUM(IFERROR(INDEX(FourWeekly_Model!$D$2:$D$29,MATCH(H79,FourWeekly_Model!$B$2:$B$29,0)),0),IFERROR(INDEX(FourWeekly_Model!$D$2:$D$29,MATCH(H80,FourWeekly_Model!$B$2:$B$29,0)),0),IFERROR(INDEX(FourWeekly_Model!$D$2:$D$29,MATCH(H81,FourWeekly_Model!$B$2:$B$29,0)),0),IFERROR(INDEX(FourWeekly_Model!$D$2:$D$29,MATCH(H82,FourWeekly_Model!$B$2:$B$29,0)),0),IFERROR(INDEX(FourWeekly_Model!$D$2:$D$29,MATCH(H83,FourWeekly_Model!$B$2:$B$29,0)),0)),0))))))</f>
        <v>0</v>
      </c>
      <c r="N79" s="27">
        <f>SUM(I79:M79)</f>
        <v>0</v>
      </c>
      <c r="O79" s="28">
        <f>Population_Data!$B$8*N79</f>
        <v>0</v>
      </c>
      <c r="P79" s="27">
        <f>IF(VLOOKUP($A79,Calendar!$A$1:$R$1377,18,0)=0,0,IF(VLOOKUP($A79,Calendar!$A$1:$R$1377,18,0)=1,IFERROR(INDEX(Pension_Model!$D$2:$D$29,MATCH(H79,Pension_Model!$B$2:$B$29,0)),0),IF(VLOOKUP($A79,Calendar!$A$1:$R$1377,18,0)=2,SUM(IFERROR(INDEX(Pension_Model!$D$2:$D$29,MATCH(H79,Pension_Model!$B$2:$B$29,0)),0),IFERROR(INDEX(Pension_Model!$D$2:$D$29,MATCH(H80,Pension_Model!$B$2:$B$29,0)),0)),IF(VLOOKUP($A79,Calendar!$A$1:$R$1377,18,0)=3,SUM(IFERROR(INDEX(Pension_Model!$D$2:$D$29,MATCH(H79,Pension_Model!$B$2:$B$29,0)),0),IFERROR(INDEX(Pension_Model!$D$2:$D$29,MATCH(H80,Pension_Model!$B$2:$B$29,0)),0),IFERROR(INDEX(Pension_Model!$D$2:$D$29,MATCH(H81,Pension_Model!$B$2:$B$29,0)),0)),IF(VLOOKUP($A79,Calendar!$A$1:$R$1377,18,0)=4,SUM(IFERROR(INDEX(Pension_Model!$D$2:$D$29,MATCH(H79,Pension_Model!$B$2:$B$29,0)),0),IFERROR(INDEX(Pension_Model!$D$2:$D$29,MATCH(H80,Pension_Model!$B$2:$B$29,0)),0),IFERROR(INDEX(Pension_Model!$D$2:$D$29,MATCH(H81,Pension_Model!$B$2:$B$29,0)),0),IFERROR(INDEX(Pension_Model!$D$2:$D$29,MATCH(H82,Pension_Model!$B$2:$B$29,0)),0)),IF(VLOOKUP($A79,Calendar!$A$1:$R$1377,18,0)=5,SUM(IFERROR(INDEX(Pension_Model!$D$2:$D$29,MATCH(H79,Pension_Model!$B$2:$B$29,0)),0),IFERROR(INDEX(Pension_Model!$D$2:$D$29,MATCH(H80,Pension_Model!$B$2:$B$29,0)),0),IFERROR(INDEX(Pension_Model!$D$2:$D$29,MATCH(H81,Pension_Model!$B$2:$B$29,0)),0),IFERROR(INDEX(Pension_Model!$D$2:$D$29,MATCH(H82,Pension_Model!$B$2:$B$29,0)),0),IFERROR(INDEX(Pension_Model!$D$2:$D$29,MATCH(H83,Pension_Model!$B$2:$B$29,0)),0)),0))))))</f>
        <v>0</v>
      </c>
      <c r="Q79" s="28">
        <f>Population_Data!$B$15*P79</f>
        <v>0</v>
      </c>
      <c r="S79">
        <f t="shared" si="1"/>
        <v>0</v>
      </c>
      <c r="U79" s="33">
        <f>S79/Population_Data!$B$19</f>
        <v>0</v>
      </c>
    </row>
    <row r="80" spans="1:21">
      <c r="A80" s="25">
        <f>Calendar!A80</f>
        <v>46313</v>
      </c>
      <c r="B80" t="str">
        <f>Calendar!L80</f>
        <v>No</v>
      </c>
      <c r="C80" t="str">
        <f>Calendar!O80</f>
        <v>No</v>
      </c>
      <c r="D80" t="str">
        <f>Calendar!P80</f>
        <v>No</v>
      </c>
      <c r="E80" t="str">
        <f>Calendar!Q80</f>
        <v>No</v>
      </c>
      <c r="F80" t="str">
        <f>Calendar!I80</f>
        <v>Sunday</v>
      </c>
      <c r="G80">
        <f>Calendar!S80</f>
        <v>1</v>
      </c>
      <c r="H80">
        <f>Calendar!T80</f>
        <v>1</v>
      </c>
      <c r="I80" s="27">
        <f>IF(VLOOKUP(A80,Calendar!$A$1:$R$1377,18,0)=0,0,IF(VLOOKUP(A80,Calendar!$A$1:$R$1377,18,0)=1,INDEX(Monthly_Pay_Model!$A$9:$D$40,MATCH(TEXT(A80,"dd"),Monthly_Pay_Model!$C$9:$C$39,0),4),IF(VLOOKUP(A80,Calendar!$A$1:$R$1377,18,0)=2,SUM(INDEX(Monthly_Pay_Model!$A$9:$D$40,MATCH(TEXT(A80,"dd"),Monthly_Pay_Model!$C$9:$C$39,0),4),INDEX(Monthly_Pay_Model!$A$9:$D$40,MATCH(TEXT(A81,"dd"),Monthly_Pay_Model!$C$9:$C$39,0),4)),IF(VLOOKUP(A80,Calendar!$A$1:$R$1377,18,0)=3,SUM(INDEX(Monthly_Pay_Model!$A$9:$D$40,MATCH(TEXT(A80,"dd"),Monthly_Pay_Model!$C$9:$C$39,0),4),INDEX(Monthly_Pay_Model!$A$9:$D$40,MATCH(TEXT(A81,"dd"),Monthly_Pay_Model!$C$9:$C$39,0),4),INDEX(Monthly_Pay_Model!$A$9:$D$40,MATCH(TEXT(A82,"dd"),Monthly_Pay_Model!$C$9:$C$39,0),4)),IF(VLOOKUP(A80,Calendar!$A$1:$R$1377,18,0)=4,SUM(INDEX(Monthly_Pay_Model!$A$9:$D$40,MATCH(TEXT(A80,"dd"),Monthly_Pay_Model!$C$9:$C$39,0),4),INDEX(Monthly_Pay_Model!$A$9:$D$40,MATCH(TEXT(A81,"dd"),Monthly_Pay_Model!$C$9:$C$39,0),4),INDEX(Monthly_Pay_Model!$A$9:$D$40,MATCH(TEXT(A82,"dd"),Monthly_Pay_Model!$C$9:$C$39,0),4),INDEX(Monthly_Pay_Model!$A$9:$D$40,MATCH(TEXT(A83,"dd"),Monthly_Pay_Model!$C$9:$C$39,0),4)),IF(VLOOKUP(A80,Calendar!$A$1:$R$1377,18,0)=5,SUM(INDEX(Monthly_Pay_Model!$A$9:$D$40,MATCH(TEXT(A80,"dd"),Monthly_Pay_Model!$C$9:$C$39,0),4),INDEX(Monthly_Pay_Model!$A$9:$D$40,MATCH(TEXT(A81,"dd"),Monthly_Pay_Model!$C$9:$C$39,0),4),INDEX(Monthly_Pay_Model!$A$9:$D$40,MATCH(TEXT(A82,"dd"),Monthly_Pay_Model!$C$9:$C$39,0),4),INDEX(Monthly_Pay_Model!$A$9:$D$40,MATCH(TEXT(A83,"dd"),Monthly_Pay_Model!$C$9:$C$39,0),4),INDEX(Monthly_Pay_Model!$A$9:$D$40,MATCH(TEXT(A84,"dd"),Monthly_Pay_Model!$C$9:$C$39,0),4)),))))))</f>
        <v>0</v>
      </c>
      <c r="J80" s="33">
        <f>IF(C80="Yes",Monthly_Pay_Model!$D$2,0)
+IF(Calendar!N80="Yes",Monthly_Pay_Model!$D$3,0)
+IF(D80="Yes",Monthly_Pay_Model!$D$4,0)
+IF(E80="Yes",Monthly_Pay_Model!$D$5,0)</f>
        <v>0</v>
      </c>
      <c r="K80" s="27">
        <f>IF(VLOOKUP($A80,Calendar!$A$1:$R$1377,18,0)=0,0,IF(VLOOKUP($A80,Calendar!$A$1:$R$1377,18,0)=1,IFERROR(INDEX(Weekly_Model!$D$2:$D$9,MATCH(F80,Weekly_Model!$A$2:$A$9,0)),0),IF(VLOOKUP($A80,Calendar!$A$1:$R$1377,18,0)=2,SUM(IFERROR(INDEX(Weekly_Model!$D$2:$D$9,MATCH(F80,Weekly_Model!$A$2:$A$9,0)),0),IFERROR(INDEX(Weekly_Model!$D$2:$D$9,MATCH(F81,Weekly_Model!$A$2:$A$9,0)),0)),IF(VLOOKUP($A80,Calendar!$A$1:$R$1377,18,0)=3,SUM(IFERROR(INDEX(Weekly_Model!$D$2:$D$9,MATCH(F80,Weekly_Model!$A$2:$A$9,0)),0),IFERROR(INDEX(Weekly_Model!$D$2:$D$9,MATCH(F81,Weekly_Model!$A$2:$A$9,0)),0),IFERROR(INDEX(Weekly_Model!$D$2:$D$9,MATCH(F82,Weekly_Model!$A$2:$A$9,0)),0)),IF(VLOOKUP($A80,Calendar!$A$1:$R$1377,18,0)=4,SUM(IFERROR(INDEX(Weekly_Model!$D$2:$D$9,MATCH(F80,Weekly_Model!$A$2:$A$9,0)),0),IFERROR(INDEX(Weekly_Model!$D$2:$D$9,MATCH(F81,Weekly_Model!$A$2:$A$9,0)),0),IFERROR(INDEX(Weekly_Model!$D$2:$D$9,MATCH(F82,Weekly_Model!$A$2:$A$9,0)),0),IFERROR(INDEX(Weekly_Model!$D$2:$D$9,MATCH(F83,Weekly_Model!$A$2:$A$9,0)),0)),IF(VLOOKUP($A80,Calendar!$A$1:$R$1377,18,0)=5,SUM(IFERROR(INDEX(Weekly_Model!$D$2:$D$9,MATCH(F80,Weekly_Model!$A$2:$A$9,0)),0),IFERROR(INDEX(Weekly_Model!$D$2:$D$9,MATCH(F81,Weekly_Model!$A$2:$A$9,0)),0),IFERROR(INDEX(Weekly_Model!$D$2:$D$9,MATCH(F82,Weekly_Model!$A$2:$A$9,0)),0),IFERROR(INDEX(Weekly_Model!$D$2:$D$9,MATCH(F83,Weekly_Model!$A$2:$A$9,0)),0),IFERROR(INDEX(Weekly_Model!$D$2:$D$9,MATCH(F84,Weekly_Model!$A$2:$A$9,0)),0)),0))))))</f>
        <v>0</v>
      </c>
      <c r="L80" s="27">
        <f>IF(VLOOKUP($A80,Calendar!$A$1:$R$1377,18,0)=0,0,IF(VLOOKUP($A80,Calendar!$A$1:$R$1377,18,0)=1,IFERROR(INDEX(Fortnightly_Model!$D$2:$D$15,MATCH(G80,Fortnightly_Model!$B$2:$B$15,0)),0),IF(VLOOKUP($A80,Calendar!$A$1:$R$1377,18,0)=2,SUM(IFERROR(INDEX(Fortnightly_Model!$D$2:$D$15,MATCH(G80,Fortnightly_Model!$B$2:$B$15,0)),0),IFERROR(INDEX(Fortnightly_Model!$D$2:$D$15,MATCH(G81,Fortnightly_Model!$B$2:$B$15,0)),0)),IF(VLOOKUP($A80,Calendar!$A$1:$R$1377,18,0)=3,SUM(IFERROR(INDEX(Fortnightly_Model!$D$2:$D$15,MATCH(G80,Fortnightly_Model!$B$2:$B$15,0)),0),IFERROR(INDEX(Fortnightly_Model!$D$2:$D$15,MATCH(G81,Fortnightly_Model!$B$2:$B$15,0)),0),IFERROR(INDEX(Fortnightly_Model!$D$2:$D$15,MATCH(G82,Fortnightly_Model!$B$2:$B$15,0)),0)),IF(VLOOKUP($A80,Calendar!$A$1:$R$1377,18,0)=4,SUM(IFERROR(INDEX(Fortnightly_Model!$D$2:$D$15,MATCH(G80,Fortnightly_Model!$B$2:$B$15,0)),0),IFERROR(INDEX(Fortnightly_Model!$D$2:$D$15,MATCH(G81,Fortnightly_Model!$B$2:$B$15,0)),0),IFERROR(INDEX(Fortnightly_Model!$D$2:$D$15,MATCH(G82,Fortnightly_Model!$B$2:$B$15,0)),0),IFERROR(INDEX(Fortnightly_Model!$D$2:$D$15,MATCH(G83,Fortnightly_Model!$B$2:$B$15,0)),0)),IF(VLOOKUP($A80,Calendar!$A$1:$R$1377,18,0)=5,SUM(IFERROR(INDEX(Fortnightly_Model!$D$2:$D$15,MATCH(G80,Fortnightly_Model!$B$2:$B$15,0)),0),IFERROR(INDEX(Fortnightly_Model!$D$2:$D$15,MATCH(G81,Fortnightly_Model!$B$2:$B$15,0)),0),IFERROR(INDEX(Fortnightly_Model!$D$2:$D$15,MATCH(G82,Fortnightly_Model!$B$2:$B$15,0)),0),IFERROR(INDEX(Fortnightly_Model!$D$2:$D$15,MATCH(G83,Fortnightly_Model!$B$2:$B$15,0)),0),IFERROR(INDEX(Fortnightly_Model!$D$2:$D$15,MATCH(G84,Fortnightly_Model!$B$2:$B$15,0)),0)),0))))))</f>
        <v>0</v>
      </c>
      <c r="M80" s="27">
        <f>IF(VLOOKUP($A80,Calendar!$A$1:$R$1377,18,0)=0,0,IF(VLOOKUP($A80,Calendar!$A$1:$R$1377,18,0)=1,IFERROR(INDEX(FourWeekly_Model!$D$2:$D$29,MATCH(H80,FourWeekly_Model!$B$2:$B$29,0)),0),IF(VLOOKUP($A80,Calendar!$A$1:$R$1377,18,0)=2,SUM(IFERROR(INDEX(FourWeekly_Model!$D$2:$D$29,MATCH(H80,FourWeekly_Model!$B$2:$B$29,0)),0),IFERROR(INDEX(FourWeekly_Model!$D$2:$D$29,MATCH(H81,FourWeekly_Model!$B$2:$B$29,0)),0)),IF(VLOOKUP($A80,Calendar!$A$1:$R$1377,18,0)=3,SUM(IFERROR(INDEX(FourWeekly_Model!$D$2:$D$29,MATCH(H80,FourWeekly_Model!$B$2:$B$29,0)),0),IFERROR(INDEX(FourWeekly_Model!$D$2:$D$29,MATCH(H81,FourWeekly_Model!$B$2:$B$29,0)),0),IFERROR(INDEX(FourWeekly_Model!$D$2:$D$29,MATCH(H82,FourWeekly_Model!$B$2:$B$29,0)),0)),IF(VLOOKUP($A80,Calendar!$A$1:$R$1377,18,0)=4,SUM(IFERROR(INDEX(FourWeekly_Model!$D$2:$D$29,MATCH(H80,FourWeekly_Model!$B$2:$B$29,0)),0),IFERROR(INDEX(FourWeekly_Model!$D$2:$D$29,MATCH(H81,FourWeekly_Model!$B$2:$B$29,0)),0),IFERROR(INDEX(FourWeekly_Model!$D$2:$D$29,MATCH(H82,FourWeekly_Model!$B$2:$B$29,0)),0),IFERROR(INDEX(FourWeekly_Model!$D$2:$D$29,MATCH(H83,FourWeekly_Model!$B$2:$B$29,0)),0)),IF(VLOOKUP($A80,Calendar!$A$1:$R$1377,18,0)=5,SUM(IFERROR(INDEX(FourWeekly_Model!$D$2:$D$29,MATCH(H80,FourWeekly_Model!$B$2:$B$29,0)),0),IFERROR(INDEX(FourWeekly_Model!$D$2:$D$29,MATCH(H81,FourWeekly_Model!$B$2:$B$29,0)),0),IFERROR(INDEX(FourWeekly_Model!$D$2:$D$29,MATCH(H82,FourWeekly_Model!$B$2:$B$29,0)),0),IFERROR(INDEX(FourWeekly_Model!$D$2:$D$29,MATCH(H83,FourWeekly_Model!$B$2:$B$29,0)),0),IFERROR(INDEX(FourWeekly_Model!$D$2:$D$29,MATCH(H84,FourWeekly_Model!$B$2:$B$29,0)),0)),0))))))</f>
        <v>0</v>
      </c>
      <c r="N80" s="27">
        <f>SUM(I80:M80)</f>
        <v>0</v>
      </c>
      <c r="O80" s="28">
        <f>Population_Data!$B$8*N80</f>
        <v>0</v>
      </c>
      <c r="P80" s="27">
        <f>IF(VLOOKUP($A80,Calendar!$A$1:$R$1377,18,0)=0,0,IF(VLOOKUP($A80,Calendar!$A$1:$R$1377,18,0)=1,IFERROR(INDEX(Pension_Model!$D$2:$D$29,MATCH(H80,Pension_Model!$B$2:$B$29,0)),0),IF(VLOOKUP($A80,Calendar!$A$1:$R$1377,18,0)=2,SUM(IFERROR(INDEX(Pension_Model!$D$2:$D$29,MATCH(H80,Pension_Model!$B$2:$B$29,0)),0),IFERROR(INDEX(Pension_Model!$D$2:$D$29,MATCH(H81,Pension_Model!$B$2:$B$29,0)),0)),IF(VLOOKUP($A80,Calendar!$A$1:$R$1377,18,0)=3,SUM(IFERROR(INDEX(Pension_Model!$D$2:$D$29,MATCH(H80,Pension_Model!$B$2:$B$29,0)),0),IFERROR(INDEX(Pension_Model!$D$2:$D$29,MATCH(H81,Pension_Model!$B$2:$B$29,0)),0),IFERROR(INDEX(Pension_Model!$D$2:$D$29,MATCH(H82,Pension_Model!$B$2:$B$29,0)),0)),IF(VLOOKUP($A80,Calendar!$A$1:$R$1377,18,0)=4,SUM(IFERROR(INDEX(Pension_Model!$D$2:$D$29,MATCH(H80,Pension_Model!$B$2:$B$29,0)),0),IFERROR(INDEX(Pension_Model!$D$2:$D$29,MATCH(H81,Pension_Model!$B$2:$B$29,0)),0),IFERROR(INDEX(Pension_Model!$D$2:$D$29,MATCH(H82,Pension_Model!$B$2:$B$29,0)),0),IFERROR(INDEX(Pension_Model!$D$2:$D$29,MATCH(H83,Pension_Model!$B$2:$B$29,0)),0)),IF(VLOOKUP($A80,Calendar!$A$1:$R$1377,18,0)=5,SUM(IFERROR(INDEX(Pension_Model!$D$2:$D$29,MATCH(H80,Pension_Model!$B$2:$B$29,0)),0),IFERROR(INDEX(Pension_Model!$D$2:$D$29,MATCH(H81,Pension_Model!$B$2:$B$29,0)),0),IFERROR(INDEX(Pension_Model!$D$2:$D$29,MATCH(H82,Pension_Model!$B$2:$B$29,0)),0),IFERROR(INDEX(Pension_Model!$D$2:$D$29,MATCH(H83,Pension_Model!$B$2:$B$29,0)),0),IFERROR(INDEX(Pension_Model!$D$2:$D$29,MATCH(H84,Pension_Model!$B$2:$B$29,0)),0)),0))))))</f>
        <v>0</v>
      </c>
      <c r="Q80" s="28">
        <f>Population_Data!$B$15*P80</f>
        <v>0</v>
      </c>
      <c r="S80">
        <f t="shared" si="1"/>
        <v>0</v>
      </c>
      <c r="U80" s="33">
        <f>S80/Population_Data!$B$19</f>
        <v>0</v>
      </c>
    </row>
    <row r="81" spans="1:21">
      <c r="A81" s="25">
        <f>Calendar!A81</f>
        <v>46314</v>
      </c>
      <c r="B81" t="str">
        <f>Calendar!L81</f>
        <v>Yes</v>
      </c>
      <c r="C81" t="str">
        <f>Calendar!O81</f>
        <v>No</v>
      </c>
      <c r="D81" t="str">
        <f>Calendar!P81</f>
        <v>No</v>
      </c>
      <c r="E81" t="str">
        <f>Calendar!Q81</f>
        <v>No</v>
      </c>
      <c r="F81" t="str">
        <f>Calendar!I81</f>
        <v>Monday</v>
      </c>
      <c r="G81">
        <f>Calendar!S81</f>
        <v>2</v>
      </c>
      <c r="H81">
        <f>Calendar!T81</f>
        <v>2</v>
      </c>
      <c r="I81" s="27">
        <f>IF(VLOOKUP(A81,Calendar!$A$1:$R$1377,18,0)=0,0,IF(VLOOKUP(A81,Calendar!$A$1:$R$1377,18,0)=1,INDEX(Monthly_Pay_Model!$A$9:$D$40,MATCH(TEXT(A81,"dd"),Monthly_Pay_Model!$C$9:$C$39,0),4),IF(VLOOKUP(A81,Calendar!$A$1:$R$1377,18,0)=2,SUM(INDEX(Monthly_Pay_Model!$A$9:$D$40,MATCH(TEXT(A81,"dd"),Monthly_Pay_Model!$C$9:$C$39,0),4),INDEX(Monthly_Pay_Model!$A$9:$D$40,MATCH(TEXT(A82,"dd"),Monthly_Pay_Model!$C$9:$C$39,0),4)),IF(VLOOKUP(A81,Calendar!$A$1:$R$1377,18,0)=3,SUM(INDEX(Monthly_Pay_Model!$A$9:$D$40,MATCH(TEXT(A81,"dd"),Monthly_Pay_Model!$C$9:$C$39,0),4),INDEX(Monthly_Pay_Model!$A$9:$D$40,MATCH(TEXT(A82,"dd"),Monthly_Pay_Model!$C$9:$C$39,0),4),INDEX(Monthly_Pay_Model!$A$9:$D$40,MATCH(TEXT(A83,"dd"),Monthly_Pay_Model!$C$9:$C$39,0),4)),IF(VLOOKUP(A81,Calendar!$A$1:$R$1377,18,0)=4,SUM(INDEX(Monthly_Pay_Model!$A$9:$D$40,MATCH(TEXT(A81,"dd"),Monthly_Pay_Model!$C$9:$C$39,0),4),INDEX(Monthly_Pay_Model!$A$9:$D$40,MATCH(TEXT(A82,"dd"),Monthly_Pay_Model!$C$9:$C$39,0),4),INDEX(Monthly_Pay_Model!$A$9:$D$40,MATCH(TEXT(A83,"dd"),Monthly_Pay_Model!$C$9:$C$39,0),4),INDEX(Monthly_Pay_Model!$A$9:$D$40,MATCH(TEXT(A84,"dd"),Monthly_Pay_Model!$C$9:$C$39,0),4)),IF(VLOOKUP(A81,Calendar!$A$1:$R$1377,18,0)=5,SUM(INDEX(Monthly_Pay_Model!$A$9:$D$40,MATCH(TEXT(A81,"dd"),Monthly_Pay_Model!$C$9:$C$39,0),4),INDEX(Monthly_Pay_Model!$A$9:$D$40,MATCH(TEXT(A82,"dd"),Monthly_Pay_Model!$C$9:$C$39,0),4),INDEX(Monthly_Pay_Model!$A$9:$D$40,MATCH(TEXT(A83,"dd"),Monthly_Pay_Model!$C$9:$C$39,0),4),INDEX(Monthly_Pay_Model!$A$9:$D$40,MATCH(TEXT(A84,"dd"),Monthly_Pay_Model!$C$9:$C$39,0),4),INDEX(Monthly_Pay_Model!$A$9:$D$40,MATCH(TEXT(A85,"dd"),Monthly_Pay_Model!$C$9:$C$39,0),4)),))))))</f>
        <v>1.6251308900523558E-3</v>
      </c>
      <c r="J81" s="33">
        <f>IF(C81="Yes",Monthly_Pay_Model!$D$2,0)
+IF(Calendar!N81="Yes",Monthly_Pay_Model!$D$3,0)
+IF(D81="Yes",Monthly_Pay_Model!$D$4,0)
+IF(E81="Yes",Monthly_Pay_Model!$D$5,0)</f>
        <v>0</v>
      </c>
      <c r="K81" s="27">
        <f>IF(VLOOKUP($A81,Calendar!$A$1:$R$1377,18,0)=0,0,IF(VLOOKUP($A81,Calendar!$A$1:$R$1377,18,0)=1,IFERROR(INDEX(Weekly_Model!$D$2:$D$9,MATCH(F81,Weekly_Model!$A$2:$A$9,0)),0),IF(VLOOKUP($A81,Calendar!$A$1:$R$1377,18,0)=2,SUM(IFERROR(INDEX(Weekly_Model!$D$2:$D$9,MATCH(F81,Weekly_Model!$A$2:$A$9,0)),0),IFERROR(INDEX(Weekly_Model!$D$2:$D$9,MATCH(F82,Weekly_Model!$A$2:$A$9,0)),0)),IF(VLOOKUP($A81,Calendar!$A$1:$R$1377,18,0)=3,SUM(IFERROR(INDEX(Weekly_Model!$D$2:$D$9,MATCH(F81,Weekly_Model!$A$2:$A$9,0)),0),IFERROR(INDEX(Weekly_Model!$D$2:$D$9,MATCH(F82,Weekly_Model!$A$2:$A$9,0)),0),IFERROR(INDEX(Weekly_Model!$D$2:$D$9,MATCH(F83,Weekly_Model!$A$2:$A$9,0)),0)),IF(VLOOKUP($A81,Calendar!$A$1:$R$1377,18,0)=4,SUM(IFERROR(INDEX(Weekly_Model!$D$2:$D$9,MATCH(F81,Weekly_Model!$A$2:$A$9,0)),0),IFERROR(INDEX(Weekly_Model!$D$2:$D$9,MATCH(F82,Weekly_Model!$A$2:$A$9,0)),0),IFERROR(INDEX(Weekly_Model!$D$2:$D$9,MATCH(F83,Weekly_Model!$A$2:$A$9,0)),0),IFERROR(INDEX(Weekly_Model!$D$2:$D$9,MATCH(F84,Weekly_Model!$A$2:$A$9,0)),0)),IF(VLOOKUP($A81,Calendar!$A$1:$R$1377,18,0)=5,SUM(IFERROR(INDEX(Weekly_Model!$D$2:$D$9,MATCH(F81,Weekly_Model!$A$2:$A$9,0)),0),IFERROR(INDEX(Weekly_Model!$D$2:$D$9,MATCH(F82,Weekly_Model!$A$2:$A$9,0)),0),IFERROR(INDEX(Weekly_Model!$D$2:$D$9,MATCH(F83,Weekly_Model!$A$2:$A$9,0)),0),IFERROR(INDEX(Weekly_Model!$D$2:$D$9,MATCH(F84,Weekly_Model!$A$2:$A$9,0)),0),IFERROR(INDEX(Weekly_Model!$D$2:$D$9,MATCH(F85,Weekly_Model!$A$2:$A$9,0)),0)),0))))))</f>
        <v>2.3200000000000002E-2</v>
      </c>
      <c r="L81" s="27">
        <f>IF(VLOOKUP($A81,Calendar!$A$1:$R$1377,18,0)=0,0,IF(VLOOKUP($A81,Calendar!$A$1:$R$1377,18,0)=1,IFERROR(INDEX(Fortnightly_Model!$D$2:$D$15,MATCH(G81,Fortnightly_Model!$B$2:$B$15,0)),0),IF(VLOOKUP($A81,Calendar!$A$1:$R$1377,18,0)=2,SUM(IFERROR(INDEX(Fortnightly_Model!$D$2:$D$15,MATCH(G81,Fortnightly_Model!$B$2:$B$15,0)),0),IFERROR(INDEX(Fortnightly_Model!$D$2:$D$15,MATCH(G82,Fortnightly_Model!$B$2:$B$15,0)),0)),IF(VLOOKUP($A81,Calendar!$A$1:$R$1377,18,0)=3,SUM(IFERROR(INDEX(Fortnightly_Model!$D$2:$D$15,MATCH(G81,Fortnightly_Model!$B$2:$B$15,0)),0),IFERROR(INDEX(Fortnightly_Model!$D$2:$D$15,MATCH(G82,Fortnightly_Model!$B$2:$B$15,0)),0),IFERROR(INDEX(Fortnightly_Model!$D$2:$D$15,MATCH(G83,Fortnightly_Model!$B$2:$B$15,0)),0)),IF(VLOOKUP($A81,Calendar!$A$1:$R$1377,18,0)=4,SUM(IFERROR(INDEX(Fortnightly_Model!$D$2:$D$15,MATCH(G81,Fortnightly_Model!$B$2:$B$15,0)),0),IFERROR(INDEX(Fortnightly_Model!$D$2:$D$15,MATCH(G82,Fortnightly_Model!$B$2:$B$15,0)),0),IFERROR(INDEX(Fortnightly_Model!$D$2:$D$15,MATCH(G83,Fortnightly_Model!$B$2:$B$15,0)),0),IFERROR(INDEX(Fortnightly_Model!$D$2:$D$15,MATCH(G84,Fortnightly_Model!$B$2:$B$15,0)),0)),IF(VLOOKUP($A81,Calendar!$A$1:$R$1377,18,0)=5,SUM(IFERROR(INDEX(Fortnightly_Model!$D$2:$D$15,MATCH(G81,Fortnightly_Model!$B$2:$B$15,0)),0),IFERROR(INDEX(Fortnightly_Model!$D$2:$D$15,MATCH(G82,Fortnightly_Model!$B$2:$B$15,0)),0),IFERROR(INDEX(Fortnightly_Model!$D$2:$D$15,MATCH(G83,Fortnightly_Model!$B$2:$B$15,0)),0),IFERROR(INDEX(Fortnightly_Model!$D$2:$D$15,MATCH(G84,Fortnightly_Model!$B$2:$B$15,0)),0),IFERROR(INDEX(Fortnightly_Model!$D$2:$D$15,MATCH(G85,Fortnightly_Model!$B$2:$B$15,0)),0)),0))))))</f>
        <v>1.0714285499999999E-3</v>
      </c>
      <c r="M81" s="27">
        <f>IF(VLOOKUP($A81,Calendar!$A$1:$R$1377,18,0)=0,0,IF(VLOOKUP($A81,Calendar!$A$1:$R$1377,18,0)=1,IFERROR(INDEX(FourWeekly_Model!$D$2:$D$29,MATCH(H81,FourWeekly_Model!$B$2:$B$29,0)),0),IF(VLOOKUP($A81,Calendar!$A$1:$R$1377,18,0)=2,SUM(IFERROR(INDEX(FourWeekly_Model!$D$2:$D$29,MATCH(H81,FourWeekly_Model!$B$2:$B$29,0)),0),IFERROR(INDEX(FourWeekly_Model!$D$2:$D$29,MATCH(H82,FourWeekly_Model!$B$2:$B$29,0)),0)),IF(VLOOKUP($A81,Calendar!$A$1:$R$1377,18,0)=3,SUM(IFERROR(INDEX(FourWeekly_Model!$D$2:$D$29,MATCH(H81,FourWeekly_Model!$B$2:$B$29,0)),0),IFERROR(INDEX(FourWeekly_Model!$D$2:$D$29,MATCH(H82,FourWeekly_Model!$B$2:$B$29,0)),0),IFERROR(INDEX(FourWeekly_Model!$D$2:$D$29,MATCH(H83,FourWeekly_Model!$B$2:$B$29,0)),0)),IF(VLOOKUP($A81,Calendar!$A$1:$R$1377,18,0)=4,SUM(IFERROR(INDEX(FourWeekly_Model!$D$2:$D$29,MATCH(H81,FourWeekly_Model!$B$2:$B$29,0)),0),IFERROR(INDEX(FourWeekly_Model!$D$2:$D$29,MATCH(H82,FourWeekly_Model!$B$2:$B$29,0)),0),IFERROR(INDEX(FourWeekly_Model!$D$2:$D$29,MATCH(H83,FourWeekly_Model!$B$2:$B$29,0)),0),IFERROR(INDEX(FourWeekly_Model!$D$2:$D$29,MATCH(H84,FourWeekly_Model!$B$2:$B$29,0)),0)),IF(VLOOKUP($A81,Calendar!$A$1:$R$1377,18,0)=5,SUM(IFERROR(INDEX(FourWeekly_Model!$D$2:$D$29,MATCH(H81,FourWeekly_Model!$B$2:$B$29,0)),0),IFERROR(INDEX(FourWeekly_Model!$D$2:$D$29,MATCH(H82,FourWeekly_Model!$B$2:$B$29,0)),0),IFERROR(INDEX(FourWeekly_Model!$D$2:$D$29,MATCH(H83,FourWeekly_Model!$B$2:$B$29,0)),0),IFERROR(INDEX(FourWeekly_Model!$D$2:$D$29,MATCH(H84,FourWeekly_Model!$B$2:$B$29,0)),0),IFERROR(INDEX(FourWeekly_Model!$D$2:$D$29,MATCH(H85,FourWeekly_Model!$B$2:$B$29,0)),0)),0))))))</f>
        <v>3.3214289700000004E-3</v>
      </c>
      <c r="N81" s="27">
        <f>SUM(I81:M81)</f>
        <v>2.921798841005236E-2</v>
      </c>
      <c r="O81" s="28">
        <f>Population_Data!$B$8*N81</f>
        <v>885305.04882458656</v>
      </c>
      <c r="P81" s="27">
        <f>IF(VLOOKUP($A81,Calendar!$A$1:$R$1377,18,0)=0,0,IF(VLOOKUP($A81,Calendar!$A$1:$R$1377,18,0)=1,IFERROR(INDEX(Pension_Model!$D$2:$D$29,MATCH(H81,Pension_Model!$B$2:$B$29,0)),0),IF(VLOOKUP($A81,Calendar!$A$1:$R$1377,18,0)=2,SUM(IFERROR(INDEX(Pension_Model!$D$2:$D$29,MATCH(H81,Pension_Model!$B$2:$B$29,0)),0),IFERROR(INDEX(Pension_Model!$D$2:$D$29,MATCH(H82,Pension_Model!$B$2:$B$29,0)),0)),IF(VLOOKUP($A81,Calendar!$A$1:$R$1377,18,0)=3,SUM(IFERROR(INDEX(Pension_Model!$D$2:$D$29,MATCH(H81,Pension_Model!$B$2:$B$29,0)),0),IFERROR(INDEX(Pension_Model!$D$2:$D$29,MATCH(H82,Pension_Model!$B$2:$B$29,0)),0),IFERROR(INDEX(Pension_Model!$D$2:$D$29,MATCH(H83,Pension_Model!$B$2:$B$29,0)),0)),IF(VLOOKUP($A81,Calendar!$A$1:$R$1377,18,0)=4,SUM(IFERROR(INDEX(Pension_Model!$D$2:$D$29,MATCH(H81,Pension_Model!$B$2:$B$29,0)),0),IFERROR(INDEX(Pension_Model!$D$2:$D$29,MATCH(H82,Pension_Model!$B$2:$B$29,0)),0),IFERROR(INDEX(Pension_Model!$D$2:$D$29,MATCH(H83,Pension_Model!$B$2:$B$29,0)),0),IFERROR(INDEX(Pension_Model!$D$2:$D$29,MATCH(H84,Pension_Model!$B$2:$B$29,0)),0)),IF(VLOOKUP($A81,Calendar!$A$1:$R$1377,18,0)=5,SUM(IFERROR(INDEX(Pension_Model!$D$2:$D$29,MATCH(H81,Pension_Model!$B$2:$B$29,0)),0),IFERROR(INDEX(Pension_Model!$D$2:$D$29,MATCH(H82,Pension_Model!$B$2:$B$29,0)),0),IFERROR(INDEX(Pension_Model!$D$2:$D$29,MATCH(H83,Pension_Model!$B$2:$B$29,0)),0),IFERROR(INDEX(Pension_Model!$D$2:$D$29,MATCH(H84,Pension_Model!$B$2:$B$29,0)),0),IFERROR(INDEX(Pension_Model!$D$2:$D$29,MATCH(H85,Pension_Model!$B$2:$B$29,0)),0)),0))))))</f>
        <v>0.05</v>
      </c>
      <c r="Q81" s="28">
        <f>Population_Data!$B$15*P81</f>
        <v>660600</v>
      </c>
      <c r="S81">
        <f t="shared" si="1"/>
        <v>1545905.0488245864</v>
      </c>
      <c r="U81" s="33">
        <f>S81/Population_Data!$B$19</f>
        <v>2.8005526246822218E-2</v>
      </c>
    </row>
    <row r="82" spans="1:21">
      <c r="A82" s="25">
        <f>Calendar!A82</f>
        <v>46315</v>
      </c>
      <c r="B82" t="str">
        <f>Calendar!L82</f>
        <v>Yes</v>
      </c>
      <c r="C82" t="str">
        <f>Calendar!O82</f>
        <v>No</v>
      </c>
      <c r="D82" t="str">
        <f>Calendar!P82</f>
        <v>No</v>
      </c>
      <c r="E82" t="str">
        <f>Calendar!Q82</f>
        <v>No</v>
      </c>
      <c r="F82" t="str">
        <f>Calendar!I82</f>
        <v>Tuesday</v>
      </c>
      <c r="G82">
        <f>Calendar!S82</f>
        <v>3</v>
      </c>
      <c r="H82">
        <f>Calendar!T82</f>
        <v>3</v>
      </c>
      <c r="I82" s="27">
        <f>IF(VLOOKUP(A82,Calendar!$A$1:$R$1377,18,0)=0,0,IF(VLOOKUP(A82,Calendar!$A$1:$R$1377,18,0)=1,INDEX(Monthly_Pay_Model!$A$9:$D$40,MATCH(TEXT(A82,"dd"),Monthly_Pay_Model!$C$9:$C$39,0),4),IF(VLOOKUP(A82,Calendar!$A$1:$R$1377,18,0)=2,SUM(INDEX(Monthly_Pay_Model!$A$9:$D$40,MATCH(TEXT(A82,"dd"),Monthly_Pay_Model!$C$9:$C$39,0),4),INDEX(Monthly_Pay_Model!$A$9:$D$40,MATCH(TEXT(A83,"dd"),Monthly_Pay_Model!$C$9:$C$39,0),4)),IF(VLOOKUP(A82,Calendar!$A$1:$R$1377,18,0)=3,SUM(INDEX(Monthly_Pay_Model!$A$9:$D$40,MATCH(TEXT(A82,"dd"),Monthly_Pay_Model!$C$9:$C$39,0),4),INDEX(Monthly_Pay_Model!$A$9:$D$40,MATCH(TEXT(A83,"dd"),Monthly_Pay_Model!$C$9:$C$39,0),4),INDEX(Monthly_Pay_Model!$A$9:$D$40,MATCH(TEXT(A84,"dd"),Monthly_Pay_Model!$C$9:$C$39,0),4)),IF(VLOOKUP(A82,Calendar!$A$1:$R$1377,18,0)=4,SUM(INDEX(Monthly_Pay_Model!$A$9:$D$40,MATCH(TEXT(A82,"dd"),Monthly_Pay_Model!$C$9:$C$39,0),4),INDEX(Monthly_Pay_Model!$A$9:$D$40,MATCH(TEXT(A83,"dd"),Monthly_Pay_Model!$C$9:$C$39,0),4),INDEX(Monthly_Pay_Model!$A$9:$D$40,MATCH(TEXT(A84,"dd"),Monthly_Pay_Model!$C$9:$C$39,0),4),INDEX(Monthly_Pay_Model!$A$9:$D$40,MATCH(TEXT(A85,"dd"),Monthly_Pay_Model!$C$9:$C$39,0),4)),IF(VLOOKUP(A82,Calendar!$A$1:$R$1377,18,0)=5,SUM(INDEX(Monthly_Pay_Model!$A$9:$D$40,MATCH(TEXT(A82,"dd"),Monthly_Pay_Model!$C$9:$C$39,0),4),INDEX(Monthly_Pay_Model!$A$9:$D$40,MATCH(TEXT(A83,"dd"),Monthly_Pay_Model!$C$9:$C$39,0),4),INDEX(Monthly_Pay_Model!$A$9:$D$40,MATCH(TEXT(A84,"dd"),Monthly_Pay_Model!$C$9:$C$39,0),4),INDEX(Monthly_Pay_Model!$A$9:$D$40,MATCH(TEXT(A85,"dd"),Monthly_Pay_Model!$C$9:$C$39,0),4),INDEX(Monthly_Pay_Model!$A$9:$D$40,MATCH(TEXT(A86,"dd"),Monthly_Pay_Model!$C$9:$C$39,0),4)),))))))</f>
        <v>8.1256544502617788E-3</v>
      </c>
      <c r="J82" s="33">
        <f>IF(C82="Yes",Monthly_Pay_Model!$D$2,0)
+IF(Calendar!N82="Yes",Monthly_Pay_Model!$D$3,0)
+IF(D82="Yes",Monthly_Pay_Model!$D$4,0)
+IF(E82="Yes",Monthly_Pay_Model!$D$5,0)</f>
        <v>0</v>
      </c>
      <c r="K82" s="27">
        <f>IF(VLOOKUP($A82,Calendar!$A$1:$R$1377,18,0)=0,0,IF(VLOOKUP($A82,Calendar!$A$1:$R$1377,18,0)=1,IFERROR(INDEX(Weekly_Model!$D$2:$D$9,MATCH(F82,Weekly_Model!$A$2:$A$9,0)),0),IF(VLOOKUP($A82,Calendar!$A$1:$R$1377,18,0)=2,SUM(IFERROR(INDEX(Weekly_Model!$D$2:$D$9,MATCH(F82,Weekly_Model!$A$2:$A$9,0)),0),IFERROR(INDEX(Weekly_Model!$D$2:$D$9,MATCH(F83,Weekly_Model!$A$2:$A$9,0)),0)),IF(VLOOKUP($A82,Calendar!$A$1:$R$1377,18,0)=3,SUM(IFERROR(INDEX(Weekly_Model!$D$2:$D$9,MATCH(F82,Weekly_Model!$A$2:$A$9,0)),0),IFERROR(INDEX(Weekly_Model!$D$2:$D$9,MATCH(F83,Weekly_Model!$A$2:$A$9,0)),0),IFERROR(INDEX(Weekly_Model!$D$2:$D$9,MATCH(F84,Weekly_Model!$A$2:$A$9,0)),0)),IF(VLOOKUP($A82,Calendar!$A$1:$R$1377,18,0)=4,SUM(IFERROR(INDEX(Weekly_Model!$D$2:$D$9,MATCH(F82,Weekly_Model!$A$2:$A$9,0)),0),IFERROR(INDEX(Weekly_Model!$D$2:$D$9,MATCH(F83,Weekly_Model!$A$2:$A$9,0)),0),IFERROR(INDEX(Weekly_Model!$D$2:$D$9,MATCH(F84,Weekly_Model!$A$2:$A$9,0)),0),IFERROR(INDEX(Weekly_Model!$D$2:$D$9,MATCH(F85,Weekly_Model!$A$2:$A$9,0)),0)),IF(VLOOKUP($A82,Calendar!$A$1:$R$1377,18,0)=5,SUM(IFERROR(INDEX(Weekly_Model!$D$2:$D$9,MATCH(F82,Weekly_Model!$A$2:$A$9,0)),0),IFERROR(INDEX(Weekly_Model!$D$2:$D$9,MATCH(F83,Weekly_Model!$A$2:$A$9,0)),0),IFERROR(INDEX(Weekly_Model!$D$2:$D$9,MATCH(F84,Weekly_Model!$A$2:$A$9,0)),0),IFERROR(INDEX(Weekly_Model!$D$2:$D$9,MATCH(F85,Weekly_Model!$A$2:$A$9,0)),0),IFERROR(INDEX(Weekly_Model!$D$2:$D$9,MATCH(F86,Weekly_Model!$A$2:$A$9,0)),0)),0))))))</f>
        <v>2.3200000000000002E-2</v>
      </c>
      <c r="L82" s="27">
        <f>IF(VLOOKUP($A82,Calendar!$A$1:$R$1377,18,0)=0,0,IF(VLOOKUP($A82,Calendar!$A$1:$R$1377,18,0)=1,IFERROR(INDEX(Fortnightly_Model!$D$2:$D$15,MATCH(G82,Fortnightly_Model!$B$2:$B$15,0)),0),IF(VLOOKUP($A82,Calendar!$A$1:$R$1377,18,0)=2,SUM(IFERROR(INDEX(Fortnightly_Model!$D$2:$D$15,MATCH(G82,Fortnightly_Model!$B$2:$B$15,0)),0),IFERROR(INDEX(Fortnightly_Model!$D$2:$D$15,MATCH(G83,Fortnightly_Model!$B$2:$B$15,0)),0)),IF(VLOOKUP($A82,Calendar!$A$1:$R$1377,18,0)=3,SUM(IFERROR(INDEX(Fortnightly_Model!$D$2:$D$15,MATCH(G82,Fortnightly_Model!$B$2:$B$15,0)),0),IFERROR(INDEX(Fortnightly_Model!$D$2:$D$15,MATCH(G83,Fortnightly_Model!$B$2:$B$15,0)),0),IFERROR(INDEX(Fortnightly_Model!$D$2:$D$15,MATCH(G84,Fortnightly_Model!$B$2:$B$15,0)),0)),IF(VLOOKUP($A82,Calendar!$A$1:$R$1377,18,0)=4,SUM(IFERROR(INDEX(Fortnightly_Model!$D$2:$D$15,MATCH(G82,Fortnightly_Model!$B$2:$B$15,0)),0),IFERROR(INDEX(Fortnightly_Model!$D$2:$D$15,MATCH(G83,Fortnightly_Model!$B$2:$B$15,0)),0),IFERROR(INDEX(Fortnightly_Model!$D$2:$D$15,MATCH(G84,Fortnightly_Model!$B$2:$B$15,0)),0),IFERROR(INDEX(Fortnightly_Model!$D$2:$D$15,MATCH(G85,Fortnightly_Model!$B$2:$B$15,0)),0)),IF(VLOOKUP($A82,Calendar!$A$1:$R$1377,18,0)=5,SUM(IFERROR(INDEX(Fortnightly_Model!$D$2:$D$15,MATCH(G82,Fortnightly_Model!$B$2:$B$15,0)),0),IFERROR(INDEX(Fortnightly_Model!$D$2:$D$15,MATCH(G83,Fortnightly_Model!$B$2:$B$15,0)),0),IFERROR(INDEX(Fortnightly_Model!$D$2:$D$15,MATCH(G84,Fortnightly_Model!$B$2:$B$15,0)),0),IFERROR(INDEX(Fortnightly_Model!$D$2:$D$15,MATCH(G85,Fortnightly_Model!$B$2:$B$15,0)),0),IFERROR(INDEX(Fortnightly_Model!$D$2:$D$15,MATCH(G86,Fortnightly_Model!$B$2:$B$15,0)),0)),0))))))</f>
        <v>1.0714285499999999E-3</v>
      </c>
      <c r="M82" s="27">
        <f>IF(VLOOKUP($A82,Calendar!$A$1:$R$1377,18,0)=0,0,IF(VLOOKUP($A82,Calendar!$A$1:$R$1377,18,0)=1,IFERROR(INDEX(FourWeekly_Model!$D$2:$D$29,MATCH(H82,FourWeekly_Model!$B$2:$B$29,0)),0),IF(VLOOKUP($A82,Calendar!$A$1:$R$1377,18,0)=2,SUM(IFERROR(INDEX(FourWeekly_Model!$D$2:$D$29,MATCH(H82,FourWeekly_Model!$B$2:$B$29,0)),0),IFERROR(INDEX(FourWeekly_Model!$D$2:$D$29,MATCH(H83,FourWeekly_Model!$B$2:$B$29,0)),0)),IF(VLOOKUP($A82,Calendar!$A$1:$R$1377,18,0)=3,SUM(IFERROR(INDEX(FourWeekly_Model!$D$2:$D$29,MATCH(H82,FourWeekly_Model!$B$2:$B$29,0)),0),IFERROR(INDEX(FourWeekly_Model!$D$2:$D$29,MATCH(H83,FourWeekly_Model!$B$2:$B$29,0)),0),IFERROR(INDEX(FourWeekly_Model!$D$2:$D$29,MATCH(H84,FourWeekly_Model!$B$2:$B$29,0)),0)),IF(VLOOKUP($A82,Calendar!$A$1:$R$1377,18,0)=4,SUM(IFERROR(INDEX(FourWeekly_Model!$D$2:$D$29,MATCH(H82,FourWeekly_Model!$B$2:$B$29,0)),0),IFERROR(INDEX(FourWeekly_Model!$D$2:$D$29,MATCH(H83,FourWeekly_Model!$B$2:$B$29,0)),0),IFERROR(INDEX(FourWeekly_Model!$D$2:$D$29,MATCH(H84,FourWeekly_Model!$B$2:$B$29,0)),0),IFERROR(INDEX(FourWeekly_Model!$D$2:$D$29,MATCH(H85,FourWeekly_Model!$B$2:$B$29,0)),0)),IF(VLOOKUP($A82,Calendar!$A$1:$R$1377,18,0)=5,SUM(IFERROR(INDEX(FourWeekly_Model!$D$2:$D$29,MATCH(H82,FourWeekly_Model!$B$2:$B$29,0)),0),IFERROR(INDEX(FourWeekly_Model!$D$2:$D$29,MATCH(H83,FourWeekly_Model!$B$2:$B$29,0)),0),IFERROR(INDEX(FourWeekly_Model!$D$2:$D$29,MATCH(H84,FourWeekly_Model!$B$2:$B$29,0)),0),IFERROR(INDEX(FourWeekly_Model!$D$2:$D$29,MATCH(H85,FourWeekly_Model!$B$2:$B$29,0)),0),IFERROR(INDEX(FourWeekly_Model!$D$2:$D$29,MATCH(H86,FourWeekly_Model!$B$2:$B$29,0)),0)),0))))))</f>
        <v>3.3214289700000004E-3</v>
      </c>
      <c r="N82" s="27">
        <f>SUM(I82:M82)</f>
        <v>3.5718511970261782E-2</v>
      </c>
      <c r="O82" s="28">
        <f>Population_Data!$B$8*N82</f>
        <v>1082270.912698932</v>
      </c>
      <c r="P82" s="27">
        <f>IF(VLOOKUP($A82,Calendar!$A$1:$R$1377,18,0)=0,0,IF(VLOOKUP($A82,Calendar!$A$1:$R$1377,18,0)=1,IFERROR(INDEX(Pension_Model!$D$2:$D$29,MATCH(H82,Pension_Model!$B$2:$B$29,0)),0),IF(VLOOKUP($A82,Calendar!$A$1:$R$1377,18,0)=2,SUM(IFERROR(INDEX(Pension_Model!$D$2:$D$29,MATCH(H82,Pension_Model!$B$2:$B$29,0)),0),IFERROR(INDEX(Pension_Model!$D$2:$D$29,MATCH(H83,Pension_Model!$B$2:$B$29,0)),0)),IF(VLOOKUP($A82,Calendar!$A$1:$R$1377,18,0)=3,SUM(IFERROR(INDEX(Pension_Model!$D$2:$D$29,MATCH(H82,Pension_Model!$B$2:$B$29,0)),0),IFERROR(INDEX(Pension_Model!$D$2:$D$29,MATCH(H83,Pension_Model!$B$2:$B$29,0)),0),IFERROR(INDEX(Pension_Model!$D$2:$D$29,MATCH(H84,Pension_Model!$B$2:$B$29,0)),0)),IF(VLOOKUP($A82,Calendar!$A$1:$R$1377,18,0)=4,SUM(IFERROR(INDEX(Pension_Model!$D$2:$D$29,MATCH(H82,Pension_Model!$B$2:$B$29,0)),0),IFERROR(INDEX(Pension_Model!$D$2:$D$29,MATCH(H83,Pension_Model!$B$2:$B$29,0)),0),IFERROR(INDEX(Pension_Model!$D$2:$D$29,MATCH(H84,Pension_Model!$B$2:$B$29,0)),0),IFERROR(INDEX(Pension_Model!$D$2:$D$29,MATCH(H85,Pension_Model!$B$2:$B$29,0)),0)),IF(VLOOKUP($A82,Calendar!$A$1:$R$1377,18,0)=5,SUM(IFERROR(INDEX(Pension_Model!$D$2:$D$29,MATCH(H82,Pension_Model!$B$2:$B$29,0)),0),IFERROR(INDEX(Pension_Model!$D$2:$D$29,MATCH(H83,Pension_Model!$B$2:$B$29,0)),0),IFERROR(INDEX(Pension_Model!$D$2:$D$29,MATCH(H84,Pension_Model!$B$2:$B$29,0)),0),IFERROR(INDEX(Pension_Model!$D$2:$D$29,MATCH(H85,Pension_Model!$B$2:$B$29,0)),0),IFERROR(INDEX(Pension_Model!$D$2:$D$29,MATCH(H86,Pension_Model!$B$2:$B$29,0)),0)),0))))))</f>
        <v>0.05</v>
      </c>
      <c r="Q82" s="28">
        <f>Population_Data!$B$15*P82</f>
        <v>660600</v>
      </c>
      <c r="S82">
        <f t="shared" si="1"/>
        <v>1742870.912698932</v>
      </c>
      <c r="U82" s="33">
        <f>S82/Population_Data!$B$19</f>
        <v>3.1573748418458912E-2</v>
      </c>
    </row>
    <row r="83" spans="1:21">
      <c r="A83" s="25">
        <f>Calendar!A83</f>
        <v>46316</v>
      </c>
      <c r="B83" t="str">
        <f>Calendar!L83</f>
        <v>Yes</v>
      </c>
      <c r="C83" t="str">
        <f>Calendar!O83</f>
        <v>No</v>
      </c>
      <c r="D83" t="str">
        <f>Calendar!P83</f>
        <v>No</v>
      </c>
      <c r="E83" t="str">
        <f>Calendar!Q83</f>
        <v>No</v>
      </c>
      <c r="F83" t="str">
        <f>Calendar!I83</f>
        <v>Wednesday</v>
      </c>
      <c r="G83">
        <f>Calendar!S83</f>
        <v>4</v>
      </c>
      <c r="H83">
        <f>Calendar!T83</f>
        <v>4</v>
      </c>
      <c r="I83" s="27">
        <f>IF(VLOOKUP(A83,Calendar!$A$1:$R$1377,18,0)=0,0,IF(VLOOKUP(A83,Calendar!$A$1:$R$1377,18,0)=1,INDEX(Monthly_Pay_Model!$A$9:$D$40,MATCH(TEXT(A83,"dd"),Monthly_Pay_Model!$C$9:$C$39,0),4),IF(VLOOKUP(A83,Calendar!$A$1:$R$1377,18,0)=2,SUM(INDEX(Monthly_Pay_Model!$A$9:$D$40,MATCH(TEXT(A83,"dd"),Monthly_Pay_Model!$C$9:$C$39,0),4),INDEX(Monthly_Pay_Model!$A$9:$D$40,MATCH(TEXT(A84,"dd"),Monthly_Pay_Model!$C$9:$C$39,0),4)),IF(VLOOKUP(A83,Calendar!$A$1:$R$1377,18,0)=3,SUM(INDEX(Monthly_Pay_Model!$A$9:$D$40,MATCH(TEXT(A83,"dd"),Monthly_Pay_Model!$C$9:$C$39,0),4),INDEX(Monthly_Pay_Model!$A$9:$D$40,MATCH(TEXT(A84,"dd"),Monthly_Pay_Model!$C$9:$C$39,0),4),INDEX(Monthly_Pay_Model!$A$9:$D$40,MATCH(TEXT(A85,"dd"),Monthly_Pay_Model!$C$9:$C$39,0),4)),IF(VLOOKUP(A83,Calendar!$A$1:$R$1377,18,0)=4,SUM(INDEX(Monthly_Pay_Model!$A$9:$D$40,MATCH(TEXT(A83,"dd"),Monthly_Pay_Model!$C$9:$C$39,0),4),INDEX(Monthly_Pay_Model!$A$9:$D$40,MATCH(TEXT(A84,"dd"),Monthly_Pay_Model!$C$9:$C$39,0),4),INDEX(Monthly_Pay_Model!$A$9:$D$40,MATCH(TEXT(A85,"dd"),Monthly_Pay_Model!$C$9:$C$39,0),4),INDEX(Monthly_Pay_Model!$A$9:$D$40,MATCH(TEXT(A86,"dd"),Monthly_Pay_Model!$C$9:$C$39,0),4)),IF(VLOOKUP(A83,Calendar!$A$1:$R$1377,18,0)=5,SUM(INDEX(Monthly_Pay_Model!$A$9:$D$40,MATCH(TEXT(A83,"dd"),Monthly_Pay_Model!$C$9:$C$39,0),4),INDEX(Monthly_Pay_Model!$A$9:$D$40,MATCH(TEXT(A84,"dd"),Monthly_Pay_Model!$C$9:$C$39,0),4),INDEX(Monthly_Pay_Model!$A$9:$D$40,MATCH(TEXT(A85,"dd"),Monthly_Pay_Model!$C$9:$C$39,0),4),INDEX(Monthly_Pay_Model!$A$9:$D$40,MATCH(TEXT(A86,"dd"),Monthly_Pay_Model!$C$9:$C$39,0),4),INDEX(Monthly_Pay_Model!$A$9:$D$40,MATCH(TEXT(A87,"dd"),Monthly_Pay_Model!$C$9:$C$39,0),4)),))))))</f>
        <v>4.8753926701570662E-3</v>
      </c>
      <c r="J83" s="33">
        <f>IF(C83="Yes",Monthly_Pay_Model!$D$2,0)
+IF(Calendar!N83="Yes",Monthly_Pay_Model!$D$3,0)
+IF(D83="Yes",Monthly_Pay_Model!$D$4,0)
+IF(E83="Yes",Monthly_Pay_Model!$D$5,0)</f>
        <v>0</v>
      </c>
      <c r="K83" s="27">
        <f>IF(VLOOKUP($A83,Calendar!$A$1:$R$1377,18,0)=0,0,IF(VLOOKUP($A83,Calendar!$A$1:$R$1377,18,0)=1,IFERROR(INDEX(Weekly_Model!$D$2:$D$9,MATCH(F83,Weekly_Model!$A$2:$A$9,0)),0),IF(VLOOKUP($A83,Calendar!$A$1:$R$1377,18,0)=2,SUM(IFERROR(INDEX(Weekly_Model!$D$2:$D$9,MATCH(F83,Weekly_Model!$A$2:$A$9,0)),0),IFERROR(INDEX(Weekly_Model!$D$2:$D$9,MATCH(F84,Weekly_Model!$A$2:$A$9,0)),0)),IF(VLOOKUP($A83,Calendar!$A$1:$R$1377,18,0)=3,SUM(IFERROR(INDEX(Weekly_Model!$D$2:$D$9,MATCH(F83,Weekly_Model!$A$2:$A$9,0)),0),IFERROR(INDEX(Weekly_Model!$D$2:$D$9,MATCH(F84,Weekly_Model!$A$2:$A$9,0)),0),IFERROR(INDEX(Weekly_Model!$D$2:$D$9,MATCH(F85,Weekly_Model!$A$2:$A$9,0)),0)),IF(VLOOKUP($A83,Calendar!$A$1:$R$1377,18,0)=4,SUM(IFERROR(INDEX(Weekly_Model!$D$2:$D$9,MATCH(F83,Weekly_Model!$A$2:$A$9,0)),0),IFERROR(INDEX(Weekly_Model!$D$2:$D$9,MATCH(F84,Weekly_Model!$A$2:$A$9,0)),0),IFERROR(INDEX(Weekly_Model!$D$2:$D$9,MATCH(F85,Weekly_Model!$A$2:$A$9,0)),0),IFERROR(INDEX(Weekly_Model!$D$2:$D$9,MATCH(F86,Weekly_Model!$A$2:$A$9,0)),0)),IF(VLOOKUP($A83,Calendar!$A$1:$R$1377,18,0)=5,SUM(IFERROR(INDEX(Weekly_Model!$D$2:$D$9,MATCH(F83,Weekly_Model!$A$2:$A$9,0)),0),IFERROR(INDEX(Weekly_Model!$D$2:$D$9,MATCH(F84,Weekly_Model!$A$2:$A$9,0)),0),IFERROR(INDEX(Weekly_Model!$D$2:$D$9,MATCH(F85,Weekly_Model!$A$2:$A$9,0)),0),IFERROR(INDEX(Weekly_Model!$D$2:$D$9,MATCH(F86,Weekly_Model!$A$2:$A$9,0)),0),IFERROR(INDEX(Weekly_Model!$D$2:$D$9,MATCH(F87,Weekly_Model!$A$2:$A$9,0)),0)),0))))))</f>
        <v>2.3200000000000002E-2</v>
      </c>
      <c r="L83" s="27">
        <f>IF(VLOOKUP($A83,Calendar!$A$1:$R$1377,18,0)=0,0,IF(VLOOKUP($A83,Calendar!$A$1:$R$1377,18,0)=1,IFERROR(INDEX(Fortnightly_Model!$D$2:$D$15,MATCH(G83,Fortnightly_Model!$B$2:$B$15,0)),0),IF(VLOOKUP($A83,Calendar!$A$1:$R$1377,18,0)=2,SUM(IFERROR(INDEX(Fortnightly_Model!$D$2:$D$15,MATCH(G83,Fortnightly_Model!$B$2:$B$15,0)),0),IFERROR(INDEX(Fortnightly_Model!$D$2:$D$15,MATCH(G84,Fortnightly_Model!$B$2:$B$15,0)),0)),IF(VLOOKUP($A83,Calendar!$A$1:$R$1377,18,0)=3,SUM(IFERROR(INDEX(Fortnightly_Model!$D$2:$D$15,MATCH(G83,Fortnightly_Model!$B$2:$B$15,0)),0),IFERROR(INDEX(Fortnightly_Model!$D$2:$D$15,MATCH(G84,Fortnightly_Model!$B$2:$B$15,0)),0),IFERROR(INDEX(Fortnightly_Model!$D$2:$D$15,MATCH(G85,Fortnightly_Model!$B$2:$B$15,0)),0)),IF(VLOOKUP($A83,Calendar!$A$1:$R$1377,18,0)=4,SUM(IFERROR(INDEX(Fortnightly_Model!$D$2:$D$15,MATCH(G83,Fortnightly_Model!$B$2:$B$15,0)),0),IFERROR(INDEX(Fortnightly_Model!$D$2:$D$15,MATCH(G84,Fortnightly_Model!$B$2:$B$15,0)),0),IFERROR(INDEX(Fortnightly_Model!$D$2:$D$15,MATCH(G85,Fortnightly_Model!$B$2:$B$15,0)),0),IFERROR(INDEX(Fortnightly_Model!$D$2:$D$15,MATCH(G86,Fortnightly_Model!$B$2:$B$15,0)),0)),IF(VLOOKUP($A83,Calendar!$A$1:$R$1377,18,0)=5,SUM(IFERROR(INDEX(Fortnightly_Model!$D$2:$D$15,MATCH(G83,Fortnightly_Model!$B$2:$B$15,0)),0),IFERROR(INDEX(Fortnightly_Model!$D$2:$D$15,MATCH(G84,Fortnightly_Model!$B$2:$B$15,0)),0),IFERROR(INDEX(Fortnightly_Model!$D$2:$D$15,MATCH(G85,Fortnightly_Model!$B$2:$B$15,0)),0),IFERROR(INDEX(Fortnightly_Model!$D$2:$D$15,MATCH(G86,Fortnightly_Model!$B$2:$B$15,0)),0),IFERROR(INDEX(Fortnightly_Model!$D$2:$D$15,MATCH(G87,Fortnightly_Model!$B$2:$B$15,0)),0)),0))))))</f>
        <v>1.0714285499999999E-3</v>
      </c>
      <c r="M83" s="27">
        <f>IF(VLOOKUP($A83,Calendar!$A$1:$R$1377,18,0)=0,0,IF(VLOOKUP($A83,Calendar!$A$1:$R$1377,18,0)=1,IFERROR(INDEX(FourWeekly_Model!$D$2:$D$29,MATCH(H83,FourWeekly_Model!$B$2:$B$29,0)),0),IF(VLOOKUP($A83,Calendar!$A$1:$R$1377,18,0)=2,SUM(IFERROR(INDEX(FourWeekly_Model!$D$2:$D$29,MATCH(H83,FourWeekly_Model!$B$2:$B$29,0)),0),IFERROR(INDEX(FourWeekly_Model!$D$2:$D$29,MATCH(H84,FourWeekly_Model!$B$2:$B$29,0)),0)),IF(VLOOKUP($A83,Calendar!$A$1:$R$1377,18,0)=3,SUM(IFERROR(INDEX(FourWeekly_Model!$D$2:$D$29,MATCH(H83,FourWeekly_Model!$B$2:$B$29,0)),0),IFERROR(INDEX(FourWeekly_Model!$D$2:$D$29,MATCH(H84,FourWeekly_Model!$B$2:$B$29,0)),0),IFERROR(INDEX(FourWeekly_Model!$D$2:$D$29,MATCH(H85,FourWeekly_Model!$B$2:$B$29,0)),0)),IF(VLOOKUP($A83,Calendar!$A$1:$R$1377,18,0)=4,SUM(IFERROR(INDEX(FourWeekly_Model!$D$2:$D$29,MATCH(H83,FourWeekly_Model!$B$2:$B$29,0)),0),IFERROR(INDEX(FourWeekly_Model!$D$2:$D$29,MATCH(H84,FourWeekly_Model!$B$2:$B$29,0)),0),IFERROR(INDEX(FourWeekly_Model!$D$2:$D$29,MATCH(H85,FourWeekly_Model!$B$2:$B$29,0)),0),IFERROR(INDEX(FourWeekly_Model!$D$2:$D$29,MATCH(H86,FourWeekly_Model!$B$2:$B$29,0)),0)),IF(VLOOKUP($A83,Calendar!$A$1:$R$1377,18,0)=5,SUM(IFERROR(INDEX(FourWeekly_Model!$D$2:$D$29,MATCH(H83,FourWeekly_Model!$B$2:$B$29,0)),0),IFERROR(INDEX(FourWeekly_Model!$D$2:$D$29,MATCH(H84,FourWeekly_Model!$B$2:$B$29,0)),0),IFERROR(INDEX(FourWeekly_Model!$D$2:$D$29,MATCH(H85,FourWeekly_Model!$B$2:$B$29,0)),0),IFERROR(INDEX(FourWeekly_Model!$D$2:$D$29,MATCH(H86,FourWeekly_Model!$B$2:$B$29,0)),0),IFERROR(INDEX(FourWeekly_Model!$D$2:$D$29,MATCH(H87,FourWeekly_Model!$B$2:$B$29,0)),0)),0))))))</f>
        <v>3.3214289700000004E-3</v>
      </c>
      <c r="N83" s="27">
        <f>SUM(I83:M83)</f>
        <v>3.2468250190157068E-2</v>
      </c>
      <c r="O83" s="28">
        <f>Population_Data!$B$8*N83</f>
        <v>983787.9807617591</v>
      </c>
      <c r="P83" s="27">
        <f>IF(VLOOKUP($A83,Calendar!$A$1:$R$1377,18,0)=0,0,IF(VLOOKUP($A83,Calendar!$A$1:$R$1377,18,0)=1,IFERROR(INDEX(Pension_Model!$D$2:$D$29,MATCH(H83,Pension_Model!$B$2:$B$29,0)),0),IF(VLOOKUP($A83,Calendar!$A$1:$R$1377,18,0)=2,SUM(IFERROR(INDEX(Pension_Model!$D$2:$D$29,MATCH(H83,Pension_Model!$B$2:$B$29,0)),0),IFERROR(INDEX(Pension_Model!$D$2:$D$29,MATCH(H84,Pension_Model!$B$2:$B$29,0)),0)),IF(VLOOKUP($A83,Calendar!$A$1:$R$1377,18,0)=3,SUM(IFERROR(INDEX(Pension_Model!$D$2:$D$29,MATCH(H83,Pension_Model!$B$2:$B$29,0)),0),IFERROR(INDEX(Pension_Model!$D$2:$D$29,MATCH(H84,Pension_Model!$B$2:$B$29,0)),0),IFERROR(INDEX(Pension_Model!$D$2:$D$29,MATCH(H85,Pension_Model!$B$2:$B$29,0)),0)),IF(VLOOKUP($A83,Calendar!$A$1:$R$1377,18,0)=4,SUM(IFERROR(INDEX(Pension_Model!$D$2:$D$29,MATCH(H83,Pension_Model!$B$2:$B$29,0)),0),IFERROR(INDEX(Pension_Model!$D$2:$D$29,MATCH(H84,Pension_Model!$B$2:$B$29,0)),0),IFERROR(INDEX(Pension_Model!$D$2:$D$29,MATCH(H85,Pension_Model!$B$2:$B$29,0)),0),IFERROR(INDEX(Pension_Model!$D$2:$D$29,MATCH(H86,Pension_Model!$B$2:$B$29,0)),0)),IF(VLOOKUP($A83,Calendar!$A$1:$R$1377,18,0)=5,SUM(IFERROR(INDEX(Pension_Model!$D$2:$D$29,MATCH(H83,Pension_Model!$B$2:$B$29,0)),0),IFERROR(INDEX(Pension_Model!$D$2:$D$29,MATCH(H84,Pension_Model!$B$2:$B$29,0)),0),IFERROR(INDEX(Pension_Model!$D$2:$D$29,MATCH(H85,Pension_Model!$B$2:$B$29,0)),0),IFERROR(INDEX(Pension_Model!$D$2:$D$29,MATCH(H86,Pension_Model!$B$2:$B$29,0)),0),IFERROR(INDEX(Pension_Model!$D$2:$D$29,MATCH(H87,Pension_Model!$B$2:$B$29,0)),0)),0))))))</f>
        <v>0.05</v>
      </c>
      <c r="Q83" s="28">
        <f>Population_Data!$B$15*P83</f>
        <v>660600</v>
      </c>
      <c r="S83">
        <f t="shared" si="1"/>
        <v>1644387.980761759</v>
      </c>
      <c r="U83" s="33">
        <f>S83/Population_Data!$B$19</f>
        <v>2.9789637332640562E-2</v>
      </c>
    </row>
    <row r="84" spans="1:21">
      <c r="A84" s="25">
        <f>Calendar!A84</f>
        <v>46317</v>
      </c>
      <c r="B84" t="str">
        <f>Calendar!L84</f>
        <v>Yes</v>
      </c>
      <c r="C84" t="str">
        <f>Calendar!O84</f>
        <v>No</v>
      </c>
      <c r="D84" t="str">
        <f>Calendar!P84</f>
        <v>No</v>
      </c>
      <c r="E84" t="str">
        <f>Calendar!Q84</f>
        <v>No</v>
      </c>
      <c r="F84" t="str">
        <f>Calendar!I84</f>
        <v>Thursday</v>
      </c>
      <c r="G84">
        <f>Calendar!S84</f>
        <v>5</v>
      </c>
      <c r="H84">
        <f>Calendar!T84</f>
        <v>5</v>
      </c>
      <c r="I84" s="27">
        <f>IF(VLOOKUP(A84,Calendar!$A$1:$R$1377,18,0)=0,0,IF(VLOOKUP(A84,Calendar!$A$1:$R$1377,18,0)=1,INDEX(Monthly_Pay_Model!$A$9:$D$40,MATCH(TEXT(A84,"dd"),Monthly_Pay_Model!$C$9:$C$39,0),4),IF(VLOOKUP(A84,Calendar!$A$1:$R$1377,18,0)=2,SUM(INDEX(Monthly_Pay_Model!$A$9:$D$40,MATCH(TEXT(A84,"dd"),Monthly_Pay_Model!$C$9:$C$39,0),4),INDEX(Monthly_Pay_Model!$A$9:$D$40,MATCH(TEXT(A85,"dd"),Monthly_Pay_Model!$C$9:$C$39,0),4)),IF(VLOOKUP(A84,Calendar!$A$1:$R$1377,18,0)=3,SUM(INDEX(Monthly_Pay_Model!$A$9:$D$40,MATCH(TEXT(A84,"dd"),Monthly_Pay_Model!$C$9:$C$39,0),4),INDEX(Monthly_Pay_Model!$A$9:$D$40,MATCH(TEXT(A85,"dd"),Monthly_Pay_Model!$C$9:$C$39,0),4),INDEX(Monthly_Pay_Model!$A$9:$D$40,MATCH(TEXT(A86,"dd"),Monthly_Pay_Model!$C$9:$C$39,0),4)),IF(VLOOKUP(A84,Calendar!$A$1:$R$1377,18,0)=4,SUM(INDEX(Monthly_Pay_Model!$A$9:$D$40,MATCH(TEXT(A84,"dd"),Monthly_Pay_Model!$C$9:$C$39,0),4),INDEX(Monthly_Pay_Model!$A$9:$D$40,MATCH(TEXT(A85,"dd"),Monthly_Pay_Model!$C$9:$C$39,0),4),INDEX(Monthly_Pay_Model!$A$9:$D$40,MATCH(TEXT(A86,"dd"),Monthly_Pay_Model!$C$9:$C$39,0),4),INDEX(Monthly_Pay_Model!$A$9:$D$40,MATCH(TEXT(A87,"dd"),Monthly_Pay_Model!$C$9:$C$39,0),4)),IF(VLOOKUP(A84,Calendar!$A$1:$R$1377,18,0)=5,SUM(INDEX(Monthly_Pay_Model!$A$9:$D$40,MATCH(TEXT(A84,"dd"),Monthly_Pay_Model!$C$9:$C$39,0),4),INDEX(Monthly_Pay_Model!$A$9:$D$40,MATCH(TEXT(A85,"dd"),Monthly_Pay_Model!$C$9:$C$39,0),4),INDEX(Monthly_Pay_Model!$A$9:$D$40,MATCH(TEXT(A86,"dd"),Monthly_Pay_Model!$C$9:$C$39,0),4),INDEX(Monthly_Pay_Model!$A$9:$D$40,MATCH(TEXT(A87,"dd"),Monthly_Pay_Model!$C$9:$C$39,0),4),INDEX(Monthly_Pay_Model!$A$9:$D$40,MATCH(TEXT(A88,"dd"),Monthly_Pay_Model!$C$9:$C$39,0),4)),))))))</f>
        <v>3.2502617801047117E-3</v>
      </c>
      <c r="J84" s="33">
        <f>IF(C84="Yes",Monthly_Pay_Model!$D$2,0)
+IF(Calendar!N84="Yes",Monthly_Pay_Model!$D$3,0)
+IF(D84="Yes",Monthly_Pay_Model!$D$4,0)
+IF(E84="Yes",Monthly_Pay_Model!$D$5,0)</f>
        <v>0</v>
      </c>
      <c r="K84" s="27">
        <f>IF(VLOOKUP($A84,Calendar!$A$1:$R$1377,18,0)=0,0,IF(VLOOKUP($A84,Calendar!$A$1:$R$1377,18,0)=1,IFERROR(INDEX(Weekly_Model!$D$2:$D$9,MATCH(F84,Weekly_Model!$A$2:$A$9,0)),0),IF(VLOOKUP($A84,Calendar!$A$1:$R$1377,18,0)=2,SUM(IFERROR(INDEX(Weekly_Model!$D$2:$D$9,MATCH(F84,Weekly_Model!$A$2:$A$9,0)),0),IFERROR(INDEX(Weekly_Model!$D$2:$D$9,MATCH(F85,Weekly_Model!$A$2:$A$9,0)),0)),IF(VLOOKUP($A84,Calendar!$A$1:$R$1377,18,0)=3,SUM(IFERROR(INDEX(Weekly_Model!$D$2:$D$9,MATCH(F84,Weekly_Model!$A$2:$A$9,0)),0),IFERROR(INDEX(Weekly_Model!$D$2:$D$9,MATCH(F85,Weekly_Model!$A$2:$A$9,0)),0),IFERROR(INDEX(Weekly_Model!$D$2:$D$9,MATCH(F86,Weekly_Model!$A$2:$A$9,0)),0)),IF(VLOOKUP($A84,Calendar!$A$1:$R$1377,18,0)=4,SUM(IFERROR(INDEX(Weekly_Model!$D$2:$D$9,MATCH(F84,Weekly_Model!$A$2:$A$9,0)),0),IFERROR(INDEX(Weekly_Model!$D$2:$D$9,MATCH(F85,Weekly_Model!$A$2:$A$9,0)),0),IFERROR(INDEX(Weekly_Model!$D$2:$D$9,MATCH(F86,Weekly_Model!$A$2:$A$9,0)),0),IFERROR(INDEX(Weekly_Model!$D$2:$D$9,MATCH(F87,Weekly_Model!$A$2:$A$9,0)),0)),IF(VLOOKUP($A84,Calendar!$A$1:$R$1377,18,0)=5,SUM(IFERROR(INDEX(Weekly_Model!$D$2:$D$9,MATCH(F84,Weekly_Model!$A$2:$A$9,0)),0),IFERROR(INDEX(Weekly_Model!$D$2:$D$9,MATCH(F85,Weekly_Model!$A$2:$A$9,0)),0),IFERROR(INDEX(Weekly_Model!$D$2:$D$9,MATCH(F86,Weekly_Model!$A$2:$A$9,0)),0),IFERROR(INDEX(Weekly_Model!$D$2:$D$9,MATCH(F87,Weekly_Model!$A$2:$A$9,0)),0),IFERROR(INDEX(Weekly_Model!$D$2:$D$9,MATCH(F88,Weekly_Model!$A$2:$A$9,0)),0)),0))))))</f>
        <v>2.3200000000000002E-2</v>
      </c>
      <c r="L84" s="27">
        <f>IF(VLOOKUP($A84,Calendar!$A$1:$R$1377,18,0)=0,0,IF(VLOOKUP($A84,Calendar!$A$1:$R$1377,18,0)=1,IFERROR(INDEX(Fortnightly_Model!$D$2:$D$15,MATCH(G84,Fortnightly_Model!$B$2:$B$15,0)),0),IF(VLOOKUP($A84,Calendar!$A$1:$R$1377,18,0)=2,SUM(IFERROR(INDEX(Fortnightly_Model!$D$2:$D$15,MATCH(G84,Fortnightly_Model!$B$2:$B$15,0)),0),IFERROR(INDEX(Fortnightly_Model!$D$2:$D$15,MATCH(G85,Fortnightly_Model!$B$2:$B$15,0)),0)),IF(VLOOKUP($A84,Calendar!$A$1:$R$1377,18,0)=3,SUM(IFERROR(INDEX(Fortnightly_Model!$D$2:$D$15,MATCH(G84,Fortnightly_Model!$B$2:$B$15,0)),0),IFERROR(INDEX(Fortnightly_Model!$D$2:$D$15,MATCH(G85,Fortnightly_Model!$B$2:$B$15,0)),0),IFERROR(INDEX(Fortnightly_Model!$D$2:$D$15,MATCH(G86,Fortnightly_Model!$B$2:$B$15,0)),0)),IF(VLOOKUP($A84,Calendar!$A$1:$R$1377,18,0)=4,SUM(IFERROR(INDEX(Fortnightly_Model!$D$2:$D$15,MATCH(G84,Fortnightly_Model!$B$2:$B$15,0)),0),IFERROR(INDEX(Fortnightly_Model!$D$2:$D$15,MATCH(G85,Fortnightly_Model!$B$2:$B$15,0)),0),IFERROR(INDEX(Fortnightly_Model!$D$2:$D$15,MATCH(G86,Fortnightly_Model!$B$2:$B$15,0)),0),IFERROR(INDEX(Fortnightly_Model!$D$2:$D$15,MATCH(G87,Fortnightly_Model!$B$2:$B$15,0)),0)),IF(VLOOKUP($A84,Calendar!$A$1:$R$1377,18,0)=5,SUM(IFERROR(INDEX(Fortnightly_Model!$D$2:$D$15,MATCH(G84,Fortnightly_Model!$B$2:$B$15,0)),0),IFERROR(INDEX(Fortnightly_Model!$D$2:$D$15,MATCH(G85,Fortnightly_Model!$B$2:$B$15,0)),0),IFERROR(INDEX(Fortnightly_Model!$D$2:$D$15,MATCH(G86,Fortnightly_Model!$B$2:$B$15,0)),0),IFERROR(INDEX(Fortnightly_Model!$D$2:$D$15,MATCH(G87,Fortnightly_Model!$B$2:$B$15,0)),0),IFERROR(INDEX(Fortnightly_Model!$D$2:$D$15,MATCH(G88,Fortnightly_Model!$B$2:$B$15,0)),0)),0))))))</f>
        <v>1.0714285499999999E-3</v>
      </c>
      <c r="M84" s="27">
        <f>IF(VLOOKUP($A84,Calendar!$A$1:$R$1377,18,0)=0,0,IF(VLOOKUP($A84,Calendar!$A$1:$R$1377,18,0)=1,IFERROR(INDEX(FourWeekly_Model!$D$2:$D$29,MATCH(H84,FourWeekly_Model!$B$2:$B$29,0)),0),IF(VLOOKUP($A84,Calendar!$A$1:$R$1377,18,0)=2,SUM(IFERROR(INDEX(FourWeekly_Model!$D$2:$D$29,MATCH(H84,FourWeekly_Model!$B$2:$B$29,0)),0),IFERROR(INDEX(FourWeekly_Model!$D$2:$D$29,MATCH(H85,FourWeekly_Model!$B$2:$B$29,0)),0)),IF(VLOOKUP($A84,Calendar!$A$1:$R$1377,18,0)=3,SUM(IFERROR(INDEX(FourWeekly_Model!$D$2:$D$29,MATCH(H84,FourWeekly_Model!$B$2:$B$29,0)),0),IFERROR(INDEX(FourWeekly_Model!$D$2:$D$29,MATCH(H85,FourWeekly_Model!$B$2:$B$29,0)),0),IFERROR(INDEX(FourWeekly_Model!$D$2:$D$29,MATCH(H86,FourWeekly_Model!$B$2:$B$29,0)),0)),IF(VLOOKUP($A84,Calendar!$A$1:$R$1377,18,0)=4,SUM(IFERROR(INDEX(FourWeekly_Model!$D$2:$D$29,MATCH(H84,FourWeekly_Model!$B$2:$B$29,0)),0),IFERROR(INDEX(FourWeekly_Model!$D$2:$D$29,MATCH(H85,FourWeekly_Model!$B$2:$B$29,0)),0),IFERROR(INDEX(FourWeekly_Model!$D$2:$D$29,MATCH(H86,FourWeekly_Model!$B$2:$B$29,0)),0),IFERROR(INDEX(FourWeekly_Model!$D$2:$D$29,MATCH(H87,FourWeekly_Model!$B$2:$B$29,0)),0)),IF(VLOOKUP($A84,Calendar!$A$1:$R$1377,18,0)=5,SUM(IFERROR(INDEX(FourWeekly_Model!$D$2:$D$29,MATCH(H84,FourWeekly_Model!$B$2:$B$29,0)),0),IFERROR(INDEX(FourWeekly_Model!$D$2:$D$29,MATCH(H85,FourWeekly_Model!$B$2:$B$29,0)),0),IFERROR(INDEX(FourWeekly_Model!$D$2:$D$29,MATCH(H86,FourWeekly_Model!$B$2:$B$29,0)),0),IFERROR(INDEX(FourWeekly_Model!$D$2:$D$29,MATCH(H87,FourWeekly_Model!$B$2:$B$29,0)),0),IFERROR(INDEX(FourWeekly_Model!$D$2:$D$29,MATCH(H88,FourWeekly_Model!$B$2:$B$29,0)),0)),0))))))</f>
        <v>3.3214289700000004E-3</v>
      </c>
      <c r="N84" s="27">
        <f>SUM(I84:M84)</f>
        <v>3.0843119300104714E-2</v>
      </c>
      <c r="O84" s="28">
        <f>Population_Data!$B$8*N84</f>
        <v>934546.51479317283</v>
      </c>
      <c r="P84" s="27">
        <f>IF(VLOOKUP($A84,Calendar!$A$1:$R$1377,18,0)=0,0,IF(VLOOKUP($A84,Calendar!$A$1:$R$1377,18,0)=1,IFERROR(INDEX(Pension_Model!$D$2:$D$29,MATCH(H84,Pension_Model!$B$2:$B$29,0)),0),IF(VLOOKUP($A84,Calendar!$A$1:$R$1377,18,0)=2,SUM(IFERROR(INDEX(Pension_Model!$D$2:$D$29,MATCH(H84,Pension_Model!$B$2:$B$29,0)),0),IFERROR(INDEX(Pension_Model!$D$2:$D$29,MATCH(H85,Pension_Model!$B$2:$B$29,0)),0)),IF(VLOOKUP($A84,Calendar!$A$1:$R$1377,18,0)=3,SUM(IFERROR(INDEX(Pension_Model!$D$2:$D$29,MATCH(H84,Pension_Model!$B$2:$B$29,0)),0),IFERROR(INDEX(Pension_Model!$D$2:$D$29,MATCH(H85,Pension_Model!$B$2:$B$29,0)),0),IFERROR(INDEX(Pension_Model!$D$2:$D$29,MATCH(H86,Pension_Model!$B$2:$B$29,0)),0)),IF(VLOOKUP($A84,Calendar!$A$1:$R$1377,18,0)=4,SUM(IFERROR(INDEX(Pension_Model!$D$2:$D$29,MATCH(H84,Pension_Model!$B$2:$B$29,0)),0),IFERROR(INDEX(Pension_Model!$D$2:$D$29,MATCH(H85,Pension_Model!$B$2:$B$29,0)),0),IFERROR(INDEX(Pension_Model!$D$2:$D$29,MATCH(H86,Pension_Model!$B$2:$B$29,0)),0),IFERROR(INDEX(Pension_Model!$D$2:$D$29,MATCH(H87,Pension_Model!$B$2:$B$29,0)),0)),IF(VLOOKUP($A84,Calendar!$A$1:$R$1377,18,0)=5,SUM(IFERROR(INDEX(Pension_Model!$D$2:$D$29,MATCH(H84,Pension_Model!$B$2:$B$29,0)),0),IFERROR(INDEX(Pension_Model!$D$2:$D$29,MATCH(H85,Pension_Model!$B$2:$B$29,0)),0),IFERROR(INDEX(Pension_Model!$D$2:$D$29,MATCH(H86,Pension_Model!$B$2:$B$29,0)),0),IFERROR(INDEX(Pension_Model!$D$2:$D$29,MATCH(H87,Pension_Model!$B$2:$B$29,0)),0),IFERROR(INDEX(Pension_Model!$D$2:$D$29,MATCH(H88,Pension_Model!$B$2:$B$29,0)),0)),0))))))</f>
        <v>0.05</v>
      </c>
      <c r="Q84" s="28">
        <f>Population_Data!$B$15*P84</f>
        <v>660600</v>
      </c>
      <c r="S84">
        <f t="shared" si="1"/>
        <v>1595146.5147931729</v>
      </c>
      <c r="U84" s="33">
        <f>S84/Population_Data!$B$19</f>
        <v>2.8897581789731393E-2</v>
      </c>
    </row>
    <row r="85" spans="1:21">
      <c r="A85" s="25">
        <f>Calendar!A85</f>
        <v>46318</v>
      </c>
      <c r="B85" t="str">
        <f>Calendar!L85</f>
        <v>Yes</v>
      </c>
      <c r="C85" t="str">
        <f>Calendar!O85</f>
        <v>No</v>
      </c>
      <c r="D85" t="str">
        <f>Calendar!P85</f>
        <v>No</v>
      </c>
      <c r="E85" t="str">
        <f>Calendar!Q85</f>
        <v>No</v>
      </c>
      <c r="F85" t="str">
        <f>Calendar!I85</f>
        <v>Friday</v>
      </c>
      <c r="G85">
        <f>Calendar!S85</f>
        <v>6</v>
      </c>
      <c r="H85">
        <f>Calendar!T85</f>
        <v>6</v>
      </c>
      <c r="I85" s="27">
        <f>IF(VLOOKUP(A85,Calendar!$A$1:$R$1377,18,0)=0,0,IF(VLOOKUP(A85,Calendar!$A$1:$R$1377,18,0)=1,INDEX(Monthly_Pay_Model!$A$9:$D$40,MATCH(TEXT(A85,"dd"),Monthly_Pay_Model!$C$9:$C$39,0),4),IF(VLOOKUP(A85,Calendar!$A$1:$R$1377,18,0)=2,SUM(INDEX(Monthly_Pay_Model!$A$9:$D$40,MATCH(TEXT(A85,"dd"),Monthly_Pay_Model!$C$9:$C$39,0),4),INDEX(Monthly_Pay_Model!$A$9:$D$40,MATCH(TEXT(A86,"dd"),Monthly_Pay_Model!$C$9:$C$39,0),4)),IF(VLOOKUP(A85,Calendar!$A$1:$R$1377,18,0)=3,SUM(INDEX(Monthly_Pay_Model!$A$9:$D$40,MATCH(TEXT(A85,"dd"),Monthly_Pay_Model!$C$9:$C$39,0),4),INDEX(Monthly_Pay_Model!$A$9:$D$40,MATCH(TEXT(A86,"dd"),Monthly_Pay_Model!$C$9:$C$39,0),4),INDEX(Monthly_Pay_Model!$A$9:$D$40,MATCH(TEXT(A87,"dd"),Monthly_Pay_Model!$C$9:$C$39,0),4)),IF(VLOOKUP(A85,Calendar!$A$1:$R$1377,18,0)=4,SUM(INDEX(Monthly_Pay_Model!$A$9:$D$40,MATCH(TEXT(A85,"dd"),Monthly_Pay_Model!$C$9:$C$39,0),4),INDEX(Monthly_Pay_Model!$A$9:$D$40,MATCH(TEXT(A86,"dd"),Monthly_Pay_Model!$C$9:$C$39,0),4),INDEX(Monthly_Pay_Model!$A$9:$D$40,MATCH(TEXT(A87,"dd"),Monthly_Pay_Model!$C$9:$C$39,0),4),INDEX(Monthly_Pay_Model!$A$9:$D$40,MATCH(TEXT(A88,"dd"),Monthly_Pay_Model!$C$9:$C$39,0),4)),IF(VLOOKUP(A85,Calendar!$A$1:$R$1377,18,0)=5,SUM(INDEX(Monthly_Pay_Model!$A$9:$D$40,MATCH(TEXT(A85,"dd"),Monthly_Pay_Model!$C$9:$C$39,0),4),INDEX(Monthly_Pay_Model!$A$9:$D$40,MATCH(TEXT(A86,"dd"),Monthly_Pay_Model!$C$9:$C$39,0),4),INDEX(Monthly_Pay_Model!$A$9:$D$40,MATCH(TEXT(A87,"dd"),Monthly_Pay_Model!$C$9:$C$39,0),4),INDEX(Monthly_Pay_Model!$A$9:$D$40,MATCH(TEXT(A88,"dd"),Monthly_Pay_Model!$C$9:$C$39,0),4),INDEX(Monthly_Pay_Model!$A$9:$D$40,MATCH(TEXT(A89,"dd"),Monthly_Pay_Model!$C$9:$C$39,0),4)),))))))</f>
        <v>3.3315183246073292E-2</v>
      </c>
      <c r="J85" s="33">
        <f>IF(C85="Yes",Monthly_Pay_Model!$D$2,0)
+IF(Calendar!N85="Yes",Monthly_Pay_Model!$D$3,0)
+IF(D85="Yes",Monthly_Pay_Model!$D$4,0)
+IF(E85="Yes",Monthly_Pay_Model!$D$5,0)</f>
        <v>0</v>
      </c>
      <c r="K85" s="27">
        <f>IF(VLOOKUP($A85,Calendar!$A$1:$R$1377,18,0)=0,0,IF(VLOOKUP($A85,Calendar!$A$1:$R$1377,18,0)=1,IFERROR(INDEX(Weekly_Model!$D$2:$D$9,MATCH(F85,Weekly_Model!$A$2:$A$9,0)),0),IF(VLOOKUP($A85,Calendar!$A$1:$R$1377,18,0)=2,SUM(IFERROR(INDEX(Weekly_Model!$D$2:$D$9,MATCH(F85,Weekly_Model!$A$2:$A$9,0)),0),IFERROR(INDEX(Weekly_Model!$D$2:$D$9,MATCH(F86,Weekly_Model!$A$2:$A$9,0)),0)),IF(VLOOKUP($A85,Calendar!$A$1:$R$1377,18,0)=3,SUM(IFERROR(INDEX(Weekly_Model!$D$2:$D$9,MATCH(F85,Weekly_Model!$A$2:$A$9,0)),0),IFERROR(INDEX(Weekly_Model!$D$2:$D$9,MATCH(F86,Weekly_Model!$A$2:$A$9,0)),0),IFERROR(INDEX(Weekly_Model!$D$2:$D$9,MATCH(F87,Weekly_Model!$A$2:$A$9,0)),0)),IF(VLOOKUP($A85,Calendar!$A$1:$R$1377,18,0)=4,SUM(IFERROR(INDEX(Weekly_Model!$D$2:$D$9,MATCH(F85,Weekly_Model!$A$2:$A$9,0)),0),IFERROR(INDEX(Weekly_Model!$D$2:$D$9,MATCH(F86,Weekly_Model!$A$2:$A$9,0)),0),IFERROR(INDEX(Weekly_Model!$D$2:$D$9,MATCH(F87,Weekly_Model!$A$2:$A$9,0)),0),IFERROR(INDEX(Weekly_Model!$D$2:$D$9,MATCH(F88,Weekly_Model!$A$2:$A$9,0)),0)),IF(VLOOKUP($A85,Calendar!$A$1:$R$1377,18,0)=5,SUM(IFERROR(INDEX(Weekly_Model!$D$2:$D$9,MATCH(F85,Weekly_Model!$A$2:$A$9,0)),0),IFERROR(INDEX(Weekly_Model!$D$2:$D$9,MATCH(F86,Weekly_Model!$A$2:$A$9,0)),0),IFERROR(INDEX(Weekly_Model!$D$2:$D$9,MATCH(F87,Weekly_Model!$A$2:$A$9,0)),0),IFERROR(INDEX(Weekly_Model!$D$2:$D$9,MATCH(F88,Weekly_Model!$A$2:$A$9,0)),0),IFERROR(INDEX(Weekly_Model!$D$2:$D$9,MATCH(F89,Weekly_Model!$A$2:$A$9,0)),0)),0))))))</f>
        <v>2.3200000000000002E-2</v>
      </c>
      <c r="L85" s="27">
        <f>IF(VLOOKUP($A85,Calendar!$A$1:$R$1377,18,0)=0,0,IF(VLOOKUP($A85,Calendar!$A$1:$R$1377,18,0)=1,IFERROR(INDEX(Fortnightly_Model!$D$2:$D$15,MATCH(G85,Fortnightly_Model!$B$2:$B$15,0)),0),IF(VLOOKUP($A85,Calendar!$A$1:$R$1377,18,0)=2,SUM(IFERROR(INDEX(Fortnightly_Model!$D$2:$D$15,MATCH(G85,Fortnightly_Model!$B$2:$B$15,0)),0),IFERROR(INDEX(Fortnightly_Model!$D$2:$D$15,MATCH(G86,Fortnightly_Model!$B$2:$B$15,0)),0)),IF(VLOOKUP($A85,Calendar!$A$1:$R$1377,18,0)=3,SUM(IFERROR(INDEX(Fortnightly_Model!$D$2:$D$15,MATCH(G85,Fortnightly_Model!$B$2:$B$15,0)),0),IFERROR(INDEX(Fortnightly_Model!$D$2:$D$15,MATCH(G86,Fortnightly_Model!$B$2:$B$15,0)),0),IFERROR(INDEX(Fortnightly_Model!$D$2:$D$15,MATCH(G87,Fortnightly_Model!$B$2:$B$15,0)),0)),IF(VLOOKUP($A85,Calendar!$A$1:$R$1377,18,0)=4,SUM(IFERROR(INDEX(Fortnightly_Model!$D$2:$D$15,MATCH(G85,Fortnightly_Model!$B$2:$B$15,0)),0),IFERROR(INDEX(Fortnightly_Model!$D$2:$D$15,MATCH(G86,Fortnightly_Model!$B$2:$B$15,0)),0),IFERROR(INDEX(Fortnightly_Model!$D$2:$D$15,MATCH(G87,Fortnightly_Model!$B$2:$B$15,0)),0),IFERROR(INDEX(Fortnightly_Model!$D$2:$D$15,MATCH(G88,Fortnightly_Model!$B$2:$B$15,0)),0)),IF(VLOOKUP($A85,Calendar!$A$1:$R$1377,18,0)=5,SUM(IFERROR(INDEX(Fortnightly_Model!$D$2:$D$15,MATCH(G85,Fortnightly_Model!$B$2:$B$15,0)),0),IFERROR(INDEX(Fortnightly_Model!$D$2:$D$15,MATCH(G86,Fortnightly_Model!$B$2:$B$15,0)),0),IFERROR(INDEX(Fortnightly_Model!$D$2:$D$15,MATCH(G87,Fortnightly_Model!$B$2:$B$15,0)),0),IFERROR(INDEX(Fortnightly_Model!$D$2:$D$15,MATCH(G88,Fortnightly_Model!$B$2:$B$15,0)),0),IFERROR(INDEX(Fortnightly_Model!$D$2:$D$15,MATCH(G89,Fortnightly_Model!$B$2:$B$15,0)),0)),0))))))</f>
        <v>3.2142856499999999E-3</v>
      </c>
      <c r="M85" s="27">
        <f>IF(VLOOKUP($A85,Calendar!$A$1:$R$1377,18,0)=0,0,IF(VLOOKUP($A85,Calendar!$A$1:$R$1377,18,0)=1,IFERROR(INDEX(FourWeekly_Model!$D$2:$D$29,MATCH(H85,FourWeekly_Model!$B$2:$B$29,0)),0),IF(VLOOKUP($A85,Calendar!$A$1:$R$1377,18,0)=2,SUM(IFERROR(INDEX(FourWeekly_Model!$D$2:$D$29,MATCH(H85,FourWeekly_Model!$B$2:$B$29,0)),0),IFERROR(INDEX(FourWeekly_Model!$D$2:$D$29,MATCH(H86,FourWeekly_Model!$B$2:$B$29,0)),0)),IF(VLOOKUP($A85,Calendar!$A$1:$R$1377,18,0)=3,SUM(IFERROR(INDEX(FourWeekly_Model!$D$2:$D$29,MATCH(H85,FourWeekly_Model!$B$2:$B$29,0)),0),IFERROR(INDEX(FourWeekly_Model!$D$2:$D$29,MATCH(H86,FourWeekly_Model!$B$2:$B$29,0)),0),IFERROR(INDEX(FourWeekly_Model!$D$2:$D$29,MATCH(H87,FourWeekly_Model!$B$2:$B$29,0)),0)),IF(VLOOKUP($A85,Calendar!$A$1:$R$1377,18,0)=4,SUM(IFERROR(INDEX(FourWeekly_Model!$D$2:$D$29,MATCH(H85,FourWeekly_Model!$B$2:$B$29,0)),0),IFERROR(INDEX(FourWeekly_Model!$D$2:$D$29,MATCH(H86,FourWeekly_Model!$B$2:$B$29,0)),0),IFERROR(INDEX(FourWeekly_Model!$D$2:$D$29,MATCH(H87,FourWeekly_Model!$B$2:$B$29,0)),0),IFERROR(INDEX(FourWeekly_Model!$D$2:$D$29,MATCH(H88,FourWeekly_Model!$B$2:$B$29,0)),0)),IF(VLOOKUP($A85,Calendar!$A$1:$R$1377,18,0)=5,SUM(IFERROR(INDEX(FourWeekly_Model!$D$2:$D$29,MATCH(H85,FourWeekly_Model!$B$2:$B$29,0)),0),IFERROR(INDEX(FourWeekly_Model!$D$2:$D$29,MATCH(H86,FourWeekly_Model!$B$2:$B$29,0)),0),IFERROR(INDEX(FourWeekly_Model!$D$2:$D$29,MATCH(H87,FourWeekly_Model!$B$2:$B$29,0)),0),IFERROR(INDEX(FourWeekly_Model!$D$2:$D$29,MATCH(H88,FourWeekly_Model!$B$2:$B$29,0)),0),IFERROR(INDEX(FourWeekly_Model!$D$2:$D$29,MATCH(H89,FourWeekly_Model!$B$2:$B$29,0)),0)),0))))))</f>
        <v>9.9642859800000011E-3</v>
      </c>
      <c r="N85" s="27">
        <f>SUM(I85:M85)</f>
        <v>6.9693754876073294E-2</v>
      </c>
      <c r="O85" s="28">
        <f>Population_Data!$B$8*N85</f>
        <v>2111720.7727450207</v>
      </c>
      <c r="P85" s="27">
        <f>IF(VLOOKUP($A85,Calendar!$A$1:$R$1377,18,0)=0,0,IF(VLOOKUP($A85,Calendar!$A$1:$R$1377,18,0)=1,IFERROR(INDEX(Pension_Model!$D$2:$D$29,MATCH(H85,Pension_Model!$B$2:$B$29,0)),0),IF(VLOOKUP($A85,Calendar!$A$1:$R$1377,18,0)=2,SUM(IFERROR(INDEX(Pension_Model!$D$2:$D$29,MATCH(H85,Pension_Model!$B$2:$B$29,0)),0),IFERROR(INDEX(Pension_Model!$D$2:$D$29,MATCH(H86,Pension_Model!$B$2:$B$29,0)),0)),IF(VLOOKUP($A85,Calendar!$A$1:$R$1377,18,0)=3,SUM(IFERROR(INDEX(Pension_Model!$D$2:$D$29,MATCH(H85,Pension_Model!$B$2:$B$29,0)),0),IFERROR(INDEX(Pension_Model!$D$2:$D$29,MATCH(H86,Pension_Model!$B$2:$B$29,0)),0),IFERROR(INDEX(Pension_Model!$D$2:$D$29,MATCH(H87,Pension_Model!$B$2:$B$29,0)),0)),IF(VLOOKUP($A85,Calendar!$A$1:$R$1377,18,0)=4,SUM(IFERROR(INDEX(Pension_Model!$D$2:$D$29,MATCH(H85,Pension_Model!$B$2:$B$29,0)),0),IFERROR(INDEX(Pension_Model!$D$2:$D$29,MATCH(H86,Pension_Model!$B$2:$B$29,0)),0),IFERROR(INDEX(Pension_Model!$D$2:$D$29,MATCH(H87,Pension_Model!$B$2:$B$29,0)),0),IFERROR(INDEX(Pension_Model!$D$2:$D$29,MATCH(H88,Pension_Model!$B$2:$B$29,0)),0)),IF(VLOOKUP($A85,Calendar!$A$1:$R$1377,18,0)=5,SUM(IFERROR(INDEX(Pension_Model!$D$2:$D$29,MATCH(H85,Pension_Model!$B$2:$B$29,0)),0),IFERROR(INDEX(Pension_Model!$D$2:$D$29,MATCH(H86,Pension_Model!$B$2:$B$29,0)),0),IFERROR(INDEX(Pension_Model!$D$2:$D$29,MATCH(H87,Pension_Model!$B$2:$B$29,0)),0),IFERROR(INDEX(Pension_Model!$D$2:$D$29,MATCH(H88,Pension_Model!$B$2:$B$29,0)),0),IFERROR(INDEX(Pension_Model!$D$2:$D$29,MATCH(H89,Pension_Model!$B$2:$B$29,0)),0)),0))))))</f>
        <v>0.05</v>
      </c>
      <c r="Q85" s="28">
        <f>Population_Data!$B$15*P85</f>
        <v>660600</v>
      </c>
      <c r="S85">
        <f t="shared" si="1"/>
        <v>2772320.7727450207</v>
      </c>
      <c r="U85" s="33">
        <f>S85/Population_Data!$B$19</f>
        <v>5.0223202404801097E-2</v>
      </c>
    </row>
    <row r="86" spans="1:21">
      <c r="A86" s="25">
        <f>Calendar!A86</f>
        <v>46319</v>
      </c>
      <c r="B86" t="str">
        <f>Calendar!L86</f>
        <v>No</v>
      </c>
      <c r="C86" t="str">
        <f>Calendar!O86</f>
        <v>No</v>
      </c>
      <c r="D86" t="str">
        <f>Calendar!P86</f>
        <v>No</v>
      </c>
      <c r="E86" t="str">
        <f>Calendar!Q86</f>
        <v>No</v>
      </c>
      <c r="F86" t="str">
        <f>Calendar!I86</f>
        <v>Saturday</v>
      </c>
      <c r="G86">
        <f>Calendar!S86</f>
        <v>7</v>
      </c>
      <c r="H86">
        <f>Calendar!T86</f>
        <v>7</v>
      </c>
      <c r="I86" s="27">
        <f>IF(VLOOKUP(A86,Calendar!$A$1:$R$1377,18,0)=0,0,IF(VLOOKUP(A86,Calendar!$A$1:$R$1377,18,0)=1,INDEX(Monthly_Pay_Model!$A$9:$D$40,MATCH(TEXT(A86,"dd"),Monthly_Pay_Model!$C$9:$C$39,0),4),IF(VLOOKUP(A86,Calendar!$A$1:$R$1377,18,0)=2,SUM(INDEX(Monthly_Pay_Model!$A$9:$D$40,MATCH(TEXT(A86,"dd"),Monthly_Pay_Model!$C$9:$C$39,0),4),INDEX(Monthly_Pay_Model!$A$9:$D$40,MATCH(TEXT(A87,"dd"),Monthly_Pay_Model!$C$9:$C$39,0),4)),IF(VLOOKUP(A86,Calendar!$A$1:$R$1377,18,0)=3,SUM(INDEX(Monthly_Pay_Model!$A$9:$D$40,MATCH(TEXT(A86,"dd"),Monthly_Pay_Model!$C$9:$C$39,0),4),INDEX(Monthly_Pay_Model!$A$9:$D$40,MATCH(TEXT(A87,"dd"),Monthly_Pay_Model!$C$9:$C$39,0),4),INDEX(Monthly_Pay_Model!$A$9:$D$40,MATCH(TEXT(A88,"dd"),Monthly_Pay_Model!$C$9:$C$39,0),4)),IF(VLOOKUP(A86,Calendar!$A$1:$R$1377,18,0)=4,SUM(INDEX(Monthly_Pay_Model!$A$9:$D$40,MATCH(TEXT(A86,"dd"),Monthly_Pay_Model!$C$9:$C$39,0),4),INDEX(Monthly_Pay_Model!$A$9:$D$40,MATCH(TEXT(A87,"dd"),Monthly_Pay_Model!$C$9:$C$39,0),4),INDEX(Monthly_Pay_Model!$A$9:$D$40,MATCH(TEXT(A88,"dd"),Monthly_Pay_Model!$C$9:$C$39,0),4),INDEX(Monthly_Pay_Model!$A$9:$D$40,MATCH(TEXT(A89,"dd"),Monthly_Pay_Model!$C$9:$C$39,0),4)),IF(VLOOKUP(A86,Calendar!$A$1:$R$1377,18,0)=5,SUM(INDEX(Monthly_Pay_Model!$A$9:$D$40,MATCH(TEXT(A86,"dd"),Monthly_Pay_Model!$C$9:$C$39,0),4),INDEX(Monthly_Pay_Model!$A$9:$D$40,MATCH(TEXT(A87,"dd"),Monthly_Pay_Model!$C$9:$C$39,0),4),INDEX(Monthly_Pay_Model!$A$9:$D$40,MATCH(TEXT(A88,"dd"),Monthly_Pay_Model!$C$9:$C$39,0),4),INDEX(Monthly_Pay_Model!$A$9:$D$40,MATCH(TEXT(A89,"dd"),Monthly_Pay_Model!$C$9:$C$39,0),4),INDEX(Monthly_Pay_Model!$A$9:$D$40,MATCH(TEXT(A90,"dd"),Monthly_Pay_Model!$C$9:$C$39,0),4)),))))))</f>
        <v>0</v>
      </c>
      <c r="J86" s="33">
        <f>IF(C86="Yes",Monthly_Pay_Model!$D$2,0)
+IF(Calendar!N86="Yes",Monthly_Pay_Model!$D$3,0)
+IF(D86="Yes",Monthly_Pay_Model!$D$4,0)
+IF(E86="Yes",Monthly_Pay_Model!$D$5,0)</f>
        <v>0</v>
      </c>
      <c r="K86" s="27">
        <f>IF(VLOOKUP($A86,Calendar!$A$1:$R$1377,18,0)=0,0,IF(VLOOKUP($A86,Calendar!$A$1:$R$1377,18,0)=1,IFERROR(INDEX(Weekly_Model!$D$2:$D$9,MATCH(F86,Weekly_Model!$A$2:$A$9,0)),0),IF(VLOOKUP($A86,Calendar!$A$1:$R$1377,18,0)=2,SUM(IFERROR(INDEX(Weekly_Model!$D$2:$D$9,MATCH(F86,Weekly_Model!$A$2:$A$9,0)),0),IFERROR(INDEX(Weekly_Model!$D$2:$D$9,MATCH(F87,Weekly_Model!$A$2:$A$9,0)),0)),IF(VLOOKUP($A86,Calendar!$A$1:$R$1377,18,0)=3,SUM(IFERROR(INDEX(Weekly_Model!$D$2:$D$9,MATCH(F86,Weekly_Model!$A$2:$A$9,0)),0),IFERROR(INDEX(Weekly_Model!$D$2:$D$9,MATCH(F87,Weekly_Model!$A$2:$A$9,0)),0),IFERROR(INDEX(Weekly_Model!$D$2:$D$9,MATCH(F88,Weekly_Model!$A$2:$A$9,0)),0)),IF(VLOOKUP($A86,Calendar!$A$1:$R$1377,18,0)=4,SUM(IFERROR(INDEX(Weekly_Model!$D$2:$D$9,MATCH(F86,Weekly_Model!$A$2:$A$9,0)),0),IFERROR(INDEX(Weekly_Model!$D$2:$D$9,MATCH(F87,Weekly_Model!$A$2:$A$9,0)),0),IFERROR(INDEX(Weekly_Model!$D$2:$D$9,MATCH(F88,Weekly_Model!$A$2:$A$9,0)),0),IFERROR(INDEX(Weekly_Model!$D$2:$D$9,MATCH(F89,Weekly_Model!$A$2:$A$9,0)),0)),IF(VLOOKUP($A86,Calendar!$A$1:$R$1377,18,0)=5,SUM(IFERROR(INDEX(Weekly_Model!$D$2:$D$9,MATCH(F86,Weekly_Model!$A$2:$A$9,0)),0),IFERROR(INDEX(Weekly_Model!$D$2:$D$9,MATCH(F87,Weekly_Model!$A$2:$A$9,0)),0),IFERROR(INDEX(Weekly_Model!$D$2:$D$9,MATCH(F88,Weekly_Model!$A$2:$A$9,0)),0),IFERROR(INDEX(Weekly_Model!$D$2:$D$9,MATCH(F89,Weekly_Model!$A$2:$A$9,0)),0),IFERROR(INDEX(Weekly_Model!$D$2:$D$9,MATCH(F90,Weekly_Model!$A$2:$A$9,0)),0)),0))))))</f>
        <v>0</v>
      </c>
      <c r="L86" s="27">
        <f>IF(VLOOKUP($A86,Calendar!$A$1:$R$1377,18,0)=0,0,IF(VLOOKUP($A86,Calendar!$A$1:$R$1377,18,0)=1,IFERROR(INDEX(Fortnightly_Model!$D$2:$D$15,MATCH(G86,Fortnightly_Model!$B$2:$B$15,0)),0),IF(VLOOKUP($A86,Calendar!$A$1:$R$1377,18,0)=2,SUM(IFERROR(INDEX(Fortnightly_Model!$D$2:$D$15,MATCH(G86,Fortnightly_Model!$B$2:$B$15,0)),0),IFERROR(INDEX(Fortnightly_Model!$D$2:$D$15,MATCH(G87,Fortnightly_Model!$B$2:$B$15,0)),0)),IF(VLOOKUP($A86,Calendar!$A$1:$R$1377,18,0)=3,SUM(IFERROR(INDEX(Fortnightly_Model!$D$2:$D$15,MATCH(G86,Fortnightly_Model!$B$2:$B$15,0)),0),IFERROR(INDEX(Fortnightly_Model!$D$2:$D$15,MATCH(G87,Fortnightly_Model!$B$2:$B$15,0)),0),IFERROR(INDEX(Fortnightly_Model!$D$2:$D$15,MATCH(G88,Fortnightly_Model!$B$2:$B$15,0)),0)),IF(VLOOKUP($A86,Calendar!$A$1:$R$1377,18,0)=4,SUM(IFERROR(INDEX(Fortnightly_Model!$D$2:$D$15,MATCH(G86,Fortnightly_Model!$B$2:$B$15,0)),0),IFERROR(INDEX(Fortnightly_Model!$D$2:$D$15,MATCH(G87,Fortnightly_Model!$B$2:$B$15,0)),0),IFERROR(INDEX(Fortnightly_Model!$D$2:$D$15,MATCH(G88,Fortnightly_Model!$B$2:$B$15,0)),0),IFERROR(INDEX(Fortnightly_Model!$D$2:$D$15,MATCH(G89,Fortnightly_Model!$B$2:$B$15,0)),0)),IF(VLOOKUP($A86,Calendar!$A$1:$R$1377,18,0)=5,SUM(IFERROR(INDEX(Fortnightly_Model!$D$2:$D$15,MATCH(G86,Fortnightly_Model!$B$2:$B$15,0)),0),IFERROR(INDEX(Fortnightly_Model!$D$2:$D$15,MATCH(G87,Fortnightly_Model!$B$2:$B$15,0)),0),IFERROR(INDEX(Fortnightly_Model!$D$2:$D$15,MATCH(G88,Fortnightly_Model!$B$2:$B$15,0)),0),IFERROR(INDEX(Fortnightly_Model!$D$2:$D$15,MATCH(G89,Fortnightly_Model!$B$2:$B$15,0)),0),IFERROR(INDEX(Fortnightly_Model!$D$2:$D$15,MATCH(G90,Fortnightly_Model!$B$2:$B$15,0)),0)),0))))))</f>
        <v>0</v>
      </c>
      <c r="M86" s="27">
        <f>IF(VLOOKUP($A86,Calendar!$A$1:$R$1377,18,0)=0,0,IF(VLOOKUP($A86,Calendar!$A$1:$R$1377,18,0)=1,IFERROR(INDEX(FourWeekly_Model!$D$2:$D$29,MATCH(H86,FourWeekly_Model!$B$2:$B$29,0)),0),IF(VLOOKUP($A86,Calendar!$A$1:$R$1377,18,0)=2,SUM(IFERROR(INDEX(FourWeekly_Model!$D$2:$D$29,MATCH(H86,FourWeekly_Model!$B$2:$B$29,0)),0),IFERROR(INDEX(FourWeekly_Model!$D$2:$D$29,MATCH(H87,FourWeekly_Model!$B$2:$B$29,0)),0)),IF(VLOOKUP($A86,Calendar!$A$1:$R$1377,18,0)=3,SUM(IFERROR(INDEX(FourWeekly_Model!$D$2:$D$29,MATCH(H86,FourWeekly_Model!$B$2:$B$29,0)),0),IFERROR(INDEX(FourWeekly_Model!$D$2:$D$29,MATCH(H87,FourWeekly_Model!$B$2:$B$29,0)),0),IFERROR(INDEX(FourWeekly_Model!$D$2:$D$29,MATCH(H88,FourWeekly_Model!$B$2:$B$29,0)),0)),IF(VLOOKUP($A86,Calendar!$A$1:$R$1377,18,0)=4,SUM(IFERROR(INDEX(FourWeekly_Model!$D$2:$D$29,MATCH(H86,FourWeekly_Model!$B$2:$B$29,0)),0),IFERROR(INDEX(FourWeekly_Model!$D$2:$D$29,MATCH(H87,FourWeekly_Model!$B$2:$B$29,0)),0),IFERROR(INDEX(FourWeekly_Model!$D$2:$D$29,MATCH(H88,FourWeekly_Model!$B$2:$B$29,0)),0),IFERROR(INDEX(FourWeekly_Model!$D$2:$D$29,MATCH(H89,FourWeekly_Model!$B$2:$B$29,0)),0)),IF(VLOOKUP($A86,Calendar!$A$1:$R$1377,18,0)=5,SUM(IFERROR(INDEX(FourWeekly_Model!$D$2:$D$29,MATCH(H86,FourWeekly_Model!$B$2:$B$29,0)),0),IFERROR(INDEX(FourWeekly_Model!$D$2:$D$29,MATCH(H87,FourWeekly_Model!$B$2:$B$29,0)),0),IFERROR(INDEX(FourWeekly_Model!$D$2:$D$29,MATCH(H88,FourWeekly_Model!$B$2:$B$29,0)),0),IFERROR(INDEX(FourWeekly_Model!$D$2:$D$29,MATCH(H89,FourWeekly_Model!$B$2:$B$29,0)),0),IFERROR(INDEX(FourWeekly_Model!$D$2:$D$29,MATCH(H90,FourWeekly_Model!$B$2:$B$29,0)),0)),0))))))</f>
        <v>0</v>
      </c>
      <c r="N86" s="27">
        <f>SUM(I86:M86)</f>
        <v>0</v>
      </c>
      <c r="O86" s="28">
        <f>Population_Data!$B$8*N86</f>
        <v>0</v>
      </c>
      <c r="P86" s="27">
        <f>IF(VLOOKUP($A86,Calendar!$A$1:$R$1377,18,0)=0,0,IF(VLOOKUP($A86,Calendar!$A$1:$R$1377,18,0)=1,IFERROR(INDEX(Pension_Model!$D$2:$D$29,MATCH(H86,Pension_Model!$B$2:$B$29,0)),0),IF(VLOOKUP($A86,Calendar!$A$1:$R$1377,18,0)=2,SUM(IFERROR(INDEX(Pension_Model!$D$2:$D$29,MATCH(H86,Pension_Model!$B$2:$B$29,0)),0),IFERROR(INDEX(Pension_Model!$D$2:$D$29,MATCH(H87,Pension_Model!$B$2:$B$29,0)),0)),IF(VLOOKUP($A86,Calendar!$A$1:$R$1377,18,0)=3,SUM(IFERROR(INDEX(Pension_Model!$D$2:$D$29,MATCH(H86,Pension_Model!$B$2:$B$29,0)),0),IFERROR(INDEX(Pension_Model!$D$2:$D$29,MATCH(H87,Pension_Model!$B$2:$B$29,0)),0),IFERROR(INDEX(Pension_Model!$D$2:$D$29,MATCH(H88,Pension_Model!$B$2:$B$29,0)),0)),IF(VLOOKUP($A86,Calendar!$A$1:$R$1377,18,0)=4,SUM(IFERROR(INDEX(Pension_Model!$D$2:$D$29,MATCH(H86,Pension_Model!$B$2:$B$29,0)),0),IFERROR(INDEX(Pension_Model!$D$2:$D$29,MATCH(H87,Pension_Model!$B$2:$B$29,0)),0),IFERROR(INDEX(Pension_Model!$D$2:$D$29,MATCH(H88,Pension_Model!$B$2:$B$29,0)),0),IFERROR(INDEX(Pension_Model!$D$2:$D$29,MATCH(H89,Pension_Model!$B$2:$B$29,0)),0)),IF(VLOOKUP($A86,Calendar!$A$1:$R$1377,18,0)=5,SUM(IFERROR(INDEX(Pension_Model!$D$2:$D$29,MATCH(H86,Pension_Model!$B$2:$B$29,0)),0),IFERROR(INDEX(Pension_Model!$D$2:$D$29,MATCH(H87,Pension_Model!$B$2:$B$29,0)),0),IFERROR(INDEX(Pension_Model!$D$2:$D$29,MATCH(H88,Pension_Model!$B$2:$B$29,0)),0),IFERROR(INDEX(Pension_Model!$D$2:$D$29,MATCH(H89,Pension_Model!$B$2:$B$29,0)),0),IFERROR(INDEX(Pension_Model!$D$2:$D$29,MATCH(H90,Pension_Model!$B$2:$B$29,0)),0)),0))))))</f>
        <v>0</v>
      </c>
      <c r="Q86" s="28">
        <f>Population_Data!$B$15*P86</f>
        <v>0</v>
      </c>
      <c r="S86">
        <f t="shared" si="1"/>
        <v>0</v>
      </c>
      <c r="U86" s="33">
        <f>S86/Population_Data!$B$19</f>
        <v>0</v>
      </c>
    </row>
    <row r="87" spans="1:21">
      <c r="A87" s="25">
        <f>Calendar!A87</f>
        <v>46320</v>
      </c>
      <c r="B87" t="str">
        <f>Calendar!L87</f>
        <v>No</v>
      </c>
      <c r="C87" t="str">
        <f>Calendar!O87</f>
        <v>No</v>
      </c>
      <c r="D87" t="str">
        <f>Calendar!P87</f>
        <v>No</v>
      </c>
      <c r="E87" t="str">
        <f>Calendar!Q87</f>
        <v>No</v>
      </c>
      <c r="F87" t="str">
        <f>Calendar!I87</f>
        <v>Sunday</v>
      </c>
      <c r="G87">
        <f>Calendar!S87</f>
        <v>8</v>
      </c>
      <c r="H87">
        <f>Calendar!T87</f>
        <v>8</v>
      </c>
      <c r="I87" s="27">
        <f>IF(VLOOKUP(A87,Calendar!$A$1:$R$1377,18,0)=0,0,IF(VLOOKUP(A87,Calendar!$A$1:$R$1377,18,0)=1,INDEX(Monthly_Pay_Model!$A$9:$D$40,MATCH(TEXT(A87,"dd"),Monthly_Pay_Model!$C$9:$C$39,0),4),IF(VLOOKUP(A87,Calendar!$A$1:$R$1377,18,0)=2,SUM(INDEX(Monthly_Pay_Model!$A$9:$D$40,MATCH(TEXT(A87,"dd"),Monthly_Pay_Model!$C$9:$C$39,0),4),INDEX(Monthly_Pay_Model!$A$9:$D$40,MATCH(TEXT(A88,"dd"),Monthly_Pay_Model!$C$9:$C$39,0),4)),IF(VLOOKUP(A87,Calendar!$A$1:$R$1377,18,0)=3,SUM(INDEX(Monthly_Pay_Model!$A$9:$D$40,MATCH(TEXT(A87,"dd"),Monthly_Pay_Model!$C$9:$C$39,0),4),INDEX(Monthly_Pay_Model!$A$9:$D$40,MATCH(TEXT(A88,"dd"),Monthly_Pay_Model!$C$9:$C$39,0),4),INDEX(Monthly_Pay_Model!$A$9:$D$40,MATCH(TEXT(A89,"dd"),Monthly_Pay_Model!$C$9:$C$39,0),4)),IF(VLOOKUP(A87,Calendar!$A$1:$R$1377,18,0)=4,SUM(INDEX(Monthly_Pay_Model!$A$9:$D$40,MATCH(TEXT(A87,"dd"),Monthly_Pay_Model!$C$9:$C$39,0),4),INDEX(Monthly_Pay_Model!$A$9:$D$40,MATCH(TEXT(A88,"dd"),Monthly_Pay_Model!$C$9:$C$39,0),4),INDEX(Monthly_Pay_Model!$A$9:$D$40,MATCH(TEXT(A89,"dd"),Monthly_Pay_Model!$C$9:$C$39,0),4),INDEX(Monthly_Pay_Model!$A$9:$D$40,MATCH(TEXT(A90,"dd"),Monthly_Pay_Model!$C$9:$C$39,0),4)),IF(VLOOKUP(A87,Calendar!$A$1:$R$1377,18,0)=5,SUM(INDEX(Monthly_Pay_Model!$A$9:$D$40,MATCH(TEXT(A87,"dd"),Monthly_Pay_Model!$C$9:$C$39,0),4),INDEX(Monthly_Pay_Model!$A$9:$D$40,MATCH(TEXT(A88,"dd"),Monthly_Pay_Model!$C$9:$C$39,0),4),INDEX(Monthly_Pay_Model!$A$9:$D$40,MATCH(TEXT(A89,"dd"),Monthly_Pay_Model!$C$9:$C$39,0),4),INDEX(Monthly_Pay_Model!$A$9:$D$40,MATCH(TEXT(A90,"dd"),Monthly_Pay_Model!$C$9:$C$39,0),4),INDEX(Monthly_Pay_Model!$A$9:$D$40,MATCH(TEXT(A91,"dd"),Monthly_Pay_Model!$C$9:$C$39,0),4)),))))))</f>
        <v>0</v>
      </c>
      <c r="J87" s="33">
        <f>IF(C87="Yes",Monthly_Pay_Model!$D$2,0)
+IF(Calendar!N87="Yes",Monthly_Pay_Model!$D$3,0)
+IF(D87="Yes",Monthly_Pay_Model!$D$4,0)
+IF(E87="Yes",Monthly_Pay_Model!$D$5,0)</f>
        <v>0</v>
      </c>
      <c r="K87" s="27">
        <f>IF(VLOOKUP($A87,Calendar!$A$1:$R$1377,18,0)=0,0,IF(VLOOKUP($A87,Calendar!$A$1:$R$1377,18,0)=1,IFERROR(INDEX(Weekly_Model!$D$2:$D$9,MATCH(F87,Weekly_Model!$A$2:$A$9,0)),0),IF(VLOOKUP($A87,Calendar!$A$1:$R$1377,18,0)=2,SUM(IFERROR(INDEX(Weekly_Model!$D$2:$D$9,MATCH(F87,Weekly_Model!$A$2:$A$9,0)),0),IFERROR(INDEX(Weekly_Model!$D$2:$D$9,MATCH(F88,Weekly_Model!$A$2:$A$9,0)),0)),IF(VLOOKUP($A87,Calendar!$A$1:$R$1377,18,0)=3,SUM(IFERROR(INDEX(Weekly_Model!$D$2:$D$9,MATCH(F87,Weekly_Model!$A$2:$A$9,0)),0),IFERROR(INDEX(Weekly_Model!$D$2:$D$9,MATCH(F88,Weekly_Model!$A$2:$A$9,0)),0),IFERROR(INDEX(Weekly_Model!$D$2:$D$9,MATCH(F89,Weekly_Model!$A$2:$A$9,0)),0)),IF(VLOOKUP($A87,Calendar!$A$1:$R$1377,18,0)=4,SUM(IFERROR(INDEX(Weekly_Model!$D$2:$D$9,MATCH(F87,Weekly_Model!$A$2:$A$9,0)),0),IFERROR(INDEX(Weekly_Model!$D$2:$D$9,MATCH(F88,Weekly_Model!$A$2:$A$9,0)),0),IFERROR(INDEX(Weekly_Model!$D$2:$D$9,MATCH(F89,Weekly_Model!$A$2:$A$9,0)),0),IFERROR(INDEX(Weekly_Model!$D$2:$D$9,MATCH(F90,Weekly_Model!$A$2:$A$9,0)),0)),IF(VLOOKUP($A87,Calendar!$A$1:$R$1377,18,0)=5,SUM(IFERROR(INDEX(Weekly_Model!$D$2:$D$9,MATCH(F87,Weekly_Model!$A$2:$A$9,0)),0),IFERROR(INDEX(Weekly_Model!$D$2:$D$9,MATCH(F88,Weekly_Model!$A$2:$A$9,0)),0),IFERROR(INDEX(Weekly_Model!$D$2:$D$9,MATCH(F89,Weekly_Model!$A$2:$A$9,0)),0),IFERROR(INDEX(Weekly_Model!$D$2:$D$9,MATCH(F90,Weekly_Model!$A$2:$A$9,0)),0),IFERROR(INDEX(Weekly_Model!$D$2:$D$9,MATCH(F91,Weekly_Model!$A$2:$A$9,0)),0)),0))))))</f>
        <v>0</v>
      </c>
      <c r="L87" s="27">
        <f>IF(VLOOKUP($A87,Calendar!$A$1:$R$1377,18,0)=0,0,IF(VLOOKUP($A87,Calendar!$A$1:$R$1377,18,0)=1,IFERROR(INDEX(Fortnightly_Model!$D$2:$D$15,MATCH(G87,Fortnightly_Model!$B$2:$B$15,0)),0),IF(VLOOKUP($A87,Calendar!$A$1:$R$1377,18,0)=2,SUM(IFERROR(INDEX(Fortnightly_Model!$D$2:$D$15,MATCH(G87,Fortnightly_Model!$B$2:$B$15,0)),0),IFERROR(INDEX(Fortnightly_Model!$D$2:$D$15,MATCH(G88,Fortnightly_Model!$B$2:$B$15,0)),0)),IF(VLOOKUP($A87,Calendar!$A$1:$R$1377,18,0)=3,SUM(IFERROR(INDEX(Fortnightly_Model!$D$2:$D$15,MATCH(G87,Fortnightly_Model!$B$2:$B$15,0)),0),IFERROR(INDEX(Fortnightly_Model!$D$2:$D$15,MATCH(G88,Fortnightly_Model!$B$2:$B$15,0)),0),IFERROR(INDEX(Fortnightly_Model!$D$2:$D$15,MATCH(G89,Fortnightly_Model!$B$2:$B$15,0)),0)),IF(VLOOKUP($A87,Calendar!$A$1:$R$1377,18,0)=4,SUM(IFERROR(INDEX(Fortnightly_Model!$D$2:$D$15,MATCH(G87,Fortnightly_Model!$B$2:$B$15,0)),0),IFERROR(INDEX(Fortnightly_Model!$D$2:$D$15,MATCH(G88,Fortnightly_Model!$B$2:$B$15,0)),0),IFERROR(INDEX(Fortnightly_Model!$D$2:$D$15,MATCH(G89,Fortnightly_Model!$B$2:$B$15,0)),0),IFERROR(INDEX(Fortnightly_Model!$D$2:$D$15,MATCH(G90,Fortnightly_Model!$B$2:$B$15,0)),0)),IF(VLOOKUP($A87,Calendar!$A$1:$R$1377,18,0)=5,SUM(IFERROR(INDEX(Fortnightly_Model!$D$2:$D$15,MATCH(G87,Fortnightly_Model!$B$2:$B$15,0)),0),IFERROR(INDEX(Fortnightly_Model!$D$2:$D$15,MATCH(G88,Fortnightly_Model!$B$2:$B$15,0)),0),IFERROR(INDEX(Fortnightly_Model!$D$2:$D$15,MATCH(G89,Fortnightly_Model!$B$2:$B$15,0)),0),IFERROR(INDEX(Fortnightly_Model!$D$2:$D$15,MATCH(G90,Fortnightly_Model!$B$2:$B$15,0)),0),IFERROR(INDEX(Fortnightly_Model!$D$2:$D$15,MATCH(G91,Fortnightly_Model!$B$2:$B$15,0)),0)),0))))))</f>
        <v>0</v>
      </c>
      <c r="M87" s="27">
        <f>IF(VLOOKUP($A87,Calendar!$A$1:$R$1377,18,0)=0,0,IF(VLOOKUP($A87,Calendar!$A$1:$R$1377,18,0)=1,IFERROR(INDEX(FourWeekly_Model!$D$2:$D$29,MATCH(H87,FourWeekly_Model!$B$2:$B$29,0)),0),IF(VLOOKUP($A87,Calendar!$A$1:$R$1377,18,0)=2,SUM(IFERROR(INDEX(FourWeekly_Model!$D$2:$D$29,MATCH(H87,FourWeekly_Model!$B$2:$B$29,0)),0),IFERROR(INDEX(FourWeekly_Model!$D$2:$D$29,MATCH(H88,FourWeekly_Model!$B$2:$B$29,0)),0)),IF(VLOOKUP($A87,Calendar!$A$1:$R$1377,18,0)=3,SUM(IFERROR(INDEX(FourWeekly_Model!$D$2:$D$29,MATCH(H87,FourWeekly_Model!$B$2:$B$29,0)),0),IFERROR(INDEX(FourWeekly_Model!$D$2:$D$29,MATCH(H88,FourWeekly_Model!$B$2:$B$29,0)),0),IFERROR(INDEX(FourWeekly_Model!$D$2:$D$29,MATCH(H89,FourWeekly_Model!$B$2:$B$29,0)),0)),IF(VLOOKUP($A87,Calendar!$A$1:$R$1377,18,0)=4,SUM(IFERROR(INDEX(FourWeekly_Model!$D$2:$D$29,MATCH(H87,FourWeekly_Model!$B$2:$B$29,0)),0),IFERROR(INDEX(FourWeekly_Model!$D$2:$D$29,MATCH(H88,FourWeekly_Model!$B$2:$B$29,0)),0),IFERROR(INDEX(FourWeekly_Model!$D$2:$D$29,MATCH(H89,FourWeekly_Model!$B$2:$B$29,0)),0),IFERROR(INDEX(FourWeekly_Model!$D$2:$D$29,MATCH(H90,FourWeekly_Model!$B$2:$B$29,0)),0)),IF(VLOOKUP($A87,Calendar!$A$1:$R$1377,18,0)=5,SUM(IFERROR(INDEX(FourWeekly_Model!$D$2:$D$29,MATCH(H87,FourWeekly_Model!$B$2:$B$29,0)),0),IFERROR(INDEX(FourWeekly_Model!$D$2:$D$29,MATCH(H88,FourWeekly_Model!$B$2:$B$29,0)),0),IFERROR(INDEX(FourWeekly_Model!$D$2:$D$29,MATCH(H89,FourWeekly_Model!$B$2:$B$29,0)),0),IFERROR(INDEX(FourWeekly_Model!$D$2:$D$29,MATCH(H90,FourWeekly_Model!$B$2:$B$29,0)),0),IFERROR(INDEX(FourWeekly_Model!$D$2:$D$29,MATCH(H91,FourWeekly_Model!$B$2:$B$29,0)),0)),0))))))</f>
        <v>0</v>
      </c>
      <c r="N87" s="27">
        <f>SUM(I87:M87)</f>
        <v>0</v>
      </c>
      <c r="O87" s="28">
        <f>Population_Data!$B$8*N87</f>
        <v>0</v>
      </c>
      <c r="P87" s="27">
        <f>IF(VLOOKUP($A87,Calendar!$A$1:$R$1377,18,0)=0,0,IF(VLOOKUP($A87,Calendar!$A$1:$R$1377,18,0)=1,IFERROR(INDEX(Pension_Model!$D$2:$D$29,MATCH(H87,Pension_Model!$B$2:$B$29,0)),0),IF(VLOOKUP($A87,Calendar!$A$1:$R$1377,18,0)=2,SUM(IFERROR(INDEX(Pension_Model!$D$2:$D$29,MATCH(H87,Pension_Model!$B$2:$B$29,0)),0),IFERROR(INDEX(Pension_Model!$D$2:$D$29,MATCH(H88,Pension_Model!$B$2:$B$29,0)),0)),IF(VLOOKUP($A87,Calendar!$A$1:$R$1377,18,0)=3,SUM(IFERROR(INDEX(Pension_Model!$D$2:$D$29,MATCH(H87,Pension_Model!$B$2:$B$29,0)),0),IFERROR(INDEX(Pension_Model!$D$2:$D$29,MATCH(H88,Pension_Model!$B$2:$B$29,0)),0),IFERROR(INDEX(Pension_Model!$D$2:$D$29,MATCH(H89,Pension_Model!$B$2:$B$29,0)),0)),IF(VLOOKUP($A87,Calendar!$A$1:$R$1377,18,0)=4,SUM(IFERROR(INDEX(Pension_Model!$D$2:$D$29,MATCH(H87,Pension_Model!$B$2:$B$29,0)),0),IFERROR(INDEX(Pension_Model!$D$2:$D$29,MATCH(H88,Pension_Model!$B$2:$B$29,0)),0),IFERROR(INDEX(Pension_Model!$D$2:$D$29,MATCH(H89,Pension_Model!$B$2:$B$29,0)),0),IFERROR(INDEX(Pension_Model!$D$2:$D$29,MATCH(H90,Pension_Model!$B$2:$B$29,0)),0)),IF(VLOOKUP($A87,Calendar!$A$1:$R$1377,18,0)=5,SUM(IFERROR(INDEX(Pension_Model!$D$2:$D$29,MATCH(H87,Pension_Model!$B$2:$B$29,0)),0),IFERROR(INDEX(Pension_Model!$D$2:$D$29,MATCH(H88,Pension_Model!$B$2:$B$29,0)),0),IFERROR(INDEX(Pension_Model!$D$2:$D$29,MATCH(H89,Pension_Model!$B$2:$B$29,0)),0),IFERROR(INDEX(Pension_Model!$D$2:$D$29,MATCH(H90,Pension_Model!$B$2:$B$29,0)),0),IFERROR(INDEX(Pension_Model!$D$2:$D$29,MATCH(H91,Pension_Model!$B$2:$B$29,0)),0)),0))))))</f>
        <v>0</v>
      </c>
      <c r="Q87" s="28">
        <f>Population_Data!$B$15*P87</f>
        <v>0</v>
      </c>
      <c r="S87">
        <f t="shared" si="1"/>
        <v>0</v>
      </c>
      <c r="U87" s="33">
        <f>S87/Population_Data!$B$19</f>
        <v>0</v>
      </c>
    </row>
    <row r="88" spans="1:21">
      <c r="A88" s="25">
        <f>Calendar!A88</f>
        <v>46321</v>
      </c>
      <c r="B88" t="str">
        <f>Calendar!L88</f>
        <v>Yes</v>
      </c>
      <c r="C88" t="str">
        <f>Calendar!O88</f>
        <v>No</v>
      </c>
      <c r="D88" t="str">
        <f>Calendar!P88</f>
        <v>No</v>
      </c>
      <c r="E88" t="str">
        <f>Calendar!Q88</f>
        <v>No</v>
      </c>
      <c r="F88" t="str">
        <f>Calendar!I88</f>
        <v>Monday</v>
      </c>
      <c r="G88">
        <f>Calendar!S88</f>
        <v>9</v>
      </c>
      <c r="H88">
        <f>Calendar!T88</f>
        <v>9</v>
      </c>
      <c r="I88" s="27">
        <f>IF(VLOOKUP(A88,Calendar!$A$1:$R$1377,18,0)=0,0,IF(VLOOKUP(A88,Calendar!$A$1:$R$1377,18,0)=1,INDEX(Monthly_Pay_Model!$A$9:$D$40,MATCH(TEXT(A88,"dd"),Monthly_Pay_Model!$C$9:$C$39,0),4),IF(VLOOKUP(A88,Calendar!$A$1:$R$1377,18,0)=2,SUM(INDEX(Monthly_Pay_Model!$A$9:$D$40,MATCH(TEXT(A88,"dd"),Monthly_Pay_Model!$C$9:$C$39,0),4),INDEX(Monthly_Pay_Model!$A$9:$D$40,MATCH(TEXT(A89,"dd"),Monthly_Pay_Model!$C$9:$C$39,0),4)),IF(VLOOKUP(A88,Calendar!$A$1:$R$1377,18,0)=3,SUM(INDEX(Monthly_Pay_Model!$A$9:$D$40,MATCH(TEXT(A88,"dd"),Monthly_Pay_Model!$C$9:$C$39,0),4),INDEX(Monthly_Pay_Model!$A$9:$D$40,MATCH(TEXT(A89,"dd"),Monthly_Pay_Model!$C$9:$C$39,0),4),INDEX(Monthly_Pay_Model!$A$9:$D$40,MATCH(TEXT(A90,"dd"),Monthly_Pay_Model!$C$9:$C$39,0),4)),IF(VLOOKUP(A88,Calendar!$A$1:$R$1377,18,0)=4,SUM(INDEX(Monthly_Pay_Model!$A$9:$D$40,MATCH(TEXT(A88,"dd"),Monthly_Pay_Model!$C$9:$C$39,0),4),INDEX(Monthly_Pay_Model!$A$9:$D$40,MATCH(TEXT(A89,"dd"),Monthly_Pay_Model!$C$9:$C$39,0),4),INDEX(Monthly_Pay_Model!$A$9:$D$40,MATCH(TEXT(A90,"dd"),Monthly_Pay_Model!$C$9:$C$39,0),4),INDEX(Monthly_Pay_Model!$A$9:$D$40,MATCH(TEXT(A91,"dd"),Monthly_Pay_Model!$C$9:$C$39,0),4)),IF(VLOOKUP(A88,Calendar!$A$1:$R$1377,18,0)=5,SUM(INDEX(Monthly_Pay_Model!$A$9:$D$40,MATCH(TEXT(A88,"dd"),Monthly_Pay_Model!$C$9:$C$39,0),4),INDEX(Monthly_Pay_Model!$A$9:$D$40,MATCH(TEXT(A89,"dd"),Monthly_Pay_Model!$C$9:$C$39,0),4),INDEX(Monthly_Pay_Model!$A$9:$D$40,MATCH(TEXT(A90,"dd"),Monthly_Pay_Model!$C$9:$C$39,0),4),INDEX(Monthly_Pay_Model!$A$9:$D$40,MATCH(TEXT(A91,"dd"),Monthly_Pay_Model!$C$9:$C$39,0),4),INDEX(Monthly_Pay_Model!$A$9:$D$40,MATCH(TEXT(A92,"dd"),Monthly_Pay_Model!$C$9:$C$39,0),4)),))))))</f>
        <v>9.7507853403141324E-3</v>
      </c>
      <c r="J88" s="33">
        <f>IF(C88="Yes",Monthly_Pay_Model!$D$2,0)
+IF(Calendar!N88="Yes",Monthly_Pay_Model!$D$3,0)
+IF(D88="Yes",Monthly_Pay_Model!$D$4,0)
+IF(E88="Yes",Monthly_Pay_Model!$D$5,0)</f>
        <v>0</v>
      </c>
      <c r="K88" s="27">
        <f>IF(VLOOKUP($A88,Calendar!$A$1:$R$1377,18,0)=0,0,IF(VLOOKUP($A88,Calendar!$A$1:$R$1377,18,0)=1,IFERROR(INDEX(Weekly_Model!$D$2:$D$9,MATCH(F88,Weekly_Model!$A$2:$A$9,0)),0),IF(VLOOKUP($A88,Calendar!$A$1:$R$1377,18,0)=2,SUM(IFERROR(INDEX(Weekly_Model!$D$2:$D$9,MATCH(F88,Weekly_Model!$A$2:$A$9,0)),0),IFERROR(INDEX(Weekly_Model!$D$2:$D$9,MATCH(F89,Weekly_Model!$A$2:$A$9,0)),0)),IF(VLOOKUP($A88,Calendar!$A$1:$R$1377,18,0)=3,SUM(IFERROR(INDEX(Weekly_Model!$D$2:$D$9,MATCH(F88,Weekly_Model!$A$2:$A$9,0)),0),IFERROR(INDEX(Weekly_Model!$D$2:$D$9,MATCH(F89,Weekly_Model!$A$2:$A$9,0)),0),IFERROR(INDEX(Weekly_Model!$D$2:$D$9,MATCH(F90,Weekly_Model!$A$2:$A$9,0)),0)),IF(VLOOKUP($A88,Calendar!$A$1:$R$1377,18,0)=4,SUM(IFERROR(INDEX(Weekly_Model!$D$2:$D$9,MATCH(F88,Weekly_Model!$A$2:$A$9,0)),0),IFERROR(INDEX(Weekly_Model!$D$2:$D$9,MATCH(F89,Weekly_Model!$A$2:$A$9,0)),0),IFERROR(INDEX(Weekly_Model!$D$2:$D$9,MATCH(F90,Weekly_Model!$A$2:$A$9,0)),0),IFERROR(INDEX(Weekly_Model!$D$2:$D$9,MATCH(F91,Weekly_Model!$A$2:$A$9,0)),0)),IF(VLOOKUP($A88,Calendar!$A$1:$R$1377,18,0)=5,SUM(IFERROR(INDEX(Weekly_Model!$D$2:$D$9,MATCH(F88,Weekly_Model!$A$2:$A$9,0)),0),IFERROR(INDEX(Weekly_Model!$D$2:$D$9,MATCH(F89,Weekly_Model!$A$2:$A$9,0)),0),IFERROR(INDEX(Weekly_Model!$D$2:$D$9,MATCH(F90,Weekly_Model!$A$2:$A$9,0)),0),IFERROR(INDEX(Weekly_Model!$D$2:$D$9,MATCH(F91,Weekly_Model!$A$2:$A$9,0)),0),IFERROR(INDEX(Weekly_Model!$D$2:$D$9,MATCH(F92,Weekly_Model!$A$2:$A$9,0)),0)),0))))))</f>
        <v>2.3200000000000002E-2</v>
      </c>
      <c r="L88" s="27">
        <f>IF(VLOOKUP($A88,Calendar!$A$1:$R$1377,18,0)=0,0,IF(VLOOKUP($A88,Calendar!$A$1:$R$1377,18,0)=1,IFERROR(INDEX(Fortnightly_Model!$D$2:$D$15,MATCH(G88,Fortnightly_Model!$B$2:$B$15,0)),0),IF(VLOOKUP($A88,Calendar!$A$1:$R$1377,18,0)=2,SUM(IFERROR(INDEX(Fortnightly_Model!$D$2:$D$15,MATCH(G88,Fortnightly_Model!$B$2:$B$15,0)),0),IFERROR(INDEX(Fortnightly_Model!$D$2:$D$15,MATCH(G89,Fortnightly_Model!$B$2:$B$15,0)),0)),IF(VLOOKUP($A88,Calendar!$A$1:$R$1377,18,0)=3,SUM(IFERROR(INDEX(Fortnightly_Model!$D$2:$D$15,MATCH(G88,Fortnightly_Model!$B$2:$B$15,0)),0),IFERROR(INDEX(Fortnightly_Model!$D$2:$D$15,MATCH(G89,Fortnightly_Model!$B$2:$B$15,0)),0),IFERROR(INDEX(Fortnightly_Model!$D$2:$D$15,MATCH(G90,Fortnightly_Model!$B$2:$B$15,0)),0)),IF(VLOOKUP($A88,Calendar!$A$1:$R$1377,18,0)=4,SUM(IFERROR(INDEX(Fortnightly_Model!$D$2:$D$15,MATCH(G88,Fortnightly_Model!$B$2:$B$15,0)),0),IFERROR(INDEX(Fortnightly_Model!$D$2:$D$15,MATCH(G89,Fortnightly_Model!$B$2:$B$15,0)),0),IFERROR(INDEX(Fortnightly_Model!$D$2:$D$15,MATCH(G90,Fortnightly_Model!$B$2:$B$15,0)),0),IFERROR(INDEX(Fortnightly_Model!$D$2:$D$15,MATCH(G91,Fortnightly_Model!$B$2:$B$15,0)),0)),IF(VLOOKUP($A88,Calendar!$A$1:$R$1377,18,0)=5,SUM(IFERROR(INDEX(Fortnightly_Model!$D$2:$D$15,MATCH(G88,Fortnightly_Model!$B$2:$B$15,0)),0),IFERROR(INDEX(Fortnightly_Model!$D$2:$D$15,MATCH(G89,Fortnightly_Model!$B$2:$B$15,0)),0),IFERROR(INDEX(Fortnightly_Model!$D$2:$D$15,MATCH(G90,Fortnightly_Model!$B$2:$B$15,0)),0),IFERROR(INDEX(Fortnightly_Model!$D$2:$D$15,MATCH(G91,Fortnightly_Model!$B$2:$B$15,0)),0),IFERROR(INDEX(Fortnightly_Model!$D$2:$D$15,MATCH(G92,Fortnightly_Model!$B$2:$B$15,0)),0)),0))))))</f>
        <v>1.0714285499999999E-3</v>
      </c>
      <c r="M88" s="27">
        <f>IF(VLOOKUP($A88,Calendar!$A$1:$R$1377,18,0)=0,0,IF(VLOOKUP($A88,Calendar!$A$1:$R$1377,18,0)=1,IFERROR(INDEX(FourWeekly_Model!$D$2:$D$29,MATCH(H88,FourWeekly_Model!$B$2:$B$29,0)),0),IF(VLOOKUP($A88,Calendar!$A$1:$R$1377,18,0)=2,SUM(IFERROR(INDEX(FourWeekly_Model!$D$2:$D$29,MATCH(H88,FourWeekly_Model!$B$2:$B$29,0)),0),IFERROR(INDEX(FourWeekly_Model!$D$2:$D$29,MATCH(H89,FourWeekly_Model!$B$2:$B$29,0)),0)),IF(VLOOKUP($A88,Calendar!$A$1:$R$1377,18,0)=3,SUM(IFERROR(INDEX(FourWeekly_Model!$D$2:$D$29,MATCH(H88,FourWeekly_Model!$B$2:$B$29,0)),0),IFERROR(INDEX(FourWeekly_Model!$D$2:$D$29,MATCH(H89,FourWeekly_Model!$B$2:$B$29,0)),0),IFERROR(INDEX(FourWeekly_Model!$D$2:$D$29,MATCH(H90,FourWeekly_Model!$B$2:$B$29,0)),0)),IF(VLOOKUP($A88,Calendar!$A$1:$R$1377,18,0)=4,SUM(IFERROR(INDEX(FourWeekly_Model!$D$2:$D$29,MATCH(H88,FourWeekly_Model!$B$2:$B$29,0)),0),IFERROR(INDEX(FourWeekly_Model!$D$2:$D$29,MATCH(H89,FourWeekly_Model!$B$2:$B$29,0)),0),IFERROR(INDEX(FourWeekly_Model!$D$2:$D$29,MATCH(H90,FourWeekly_Model!$B$2:$B$29,0)),0),IFERROR(INDEX(FourWeekly_Model!$D$2:$D$29,MATCH(H91,FourWeekly_Model!$B$2:$B$29,0)),0)),IF(VLOOKUP($A88,Calendar!$A$1:$R$1377,18,0)=5,SUM(IFERROR(INDEX(FourWeekly_Model!$D$2:$D$29,MATCH(H88,FourWeekly_Model!$B$2:$B$29,0)),0),IFERROR(INDEX(FourWeekly_Model!$D$2:$D$29,MATCH(H89,FourWeekly_Model!$B$2:$B$29,0)),0),IFERROR(INDEX(FourWeekly_Model!$D$2:$D$29,MATCH(H90,FourWeekly_Model!$B$2:$B$29,0)),0),IFERROR(INDEX(FourWeekly_Model!$D$2:$D$29,MATCH(H91,FourWeekly_Model!$B$2:$B$29,0)),0),IFERROR(INDEX(FourWeekly_Model!$D$2:$D$29,MATCH(H92,FourWeekly_Model!$B$2:$B$29,0)),0)),0))))))</f>
        <v>3.3214289700000004E-3</v>
      </c>
      <c r="N88" s="27">
        <f>SUM(I88:M88)</f>
        <v>3.7343642860314136E-2</v>
      </c>
      <c r="O88" s="28">
        <f>Population_Data!$B$8*N88</f>
        <v>1131512.3786675183</v>
      </c>
      <c r="P88" s="27">
        <f>IF(VLOOKUP($A88,Calendar!$A$1:$R$1377,18,0)=0,0,IF(VLOOKUP($A88,Calendar!$A$1:$R$1377,18,0)=1,IFERROR(INDEX(Pension_Model!$D$2:$D$29,MATCH(H88,Pension_Model!$B$2:$B$29,0)),0),IF(VLOOKUP($A88,Calendar!$A$1:$R$1377,18,0)=2,SUM(IFERROR(INDEX(Pension_Model!$D$2:$D$29,MATCH(H88,Pension_Model!$B$2:$B$29,0)),0),IFERROR(INDEX(Pension_Model!$D$2:$D$29,MATCH(H89,Pension_Model!$B$2:$B$29,0)),0)),IF(VLOOKUP($A88,Calendar!$A$1:$R$1377,18,0)=3,SUM(IFERROR(INDEX(Pension_Model!$D$2:$D$29,MATCH(H88,Pension_Model!$B$2:$B$29,0)),0),IFERROR(INDEX(Pension_Model!$D$2:$D$29,MATCH(H89,Pension_Model!$B$2:$B$29,0)),0),IFERROR(INDEX(Pension_Model!$D$2:$D$29,MATCH(H90,Pension_Model!$B$2:$B$29,0)),0)),IF(VLOOKUP($A88,Calendar!$A$1:$R$1377,18,0)=4,SUM(IFERROR(INDEX(Pension_Model!$D$2:$D$29,MATCH(H88,Pension_Model!$B$2:$B$29,0)),0),IFERROR(INDEX(Pension_Model!$D$2:$D$29,MATCH(H89,Pension_Model!$B$2:$B$29,0)),0),IFERROR(INDEX(Pension_Model!$D$2:$D$29,MATCH(H90,Pension_Model!$B$2:$B$29,0)),0),IFERROR(INDEX(Pension_Model!$D$2:$D$29,MATCH(H91,Pension_Model!$B$2:$B$29,0)),0)),IF(VLOOKUP($A88,Calendar!$A$1:$R$1377,18,0)=5,SUM(IFERROR(INDEX(Pension_Model!$D$2:$D$29,MATCH(H88,Pension_Model!$B$2:$B$29,0)),0),IFERROR(INDEX(Pension_Model!$D$2:$D$29,MATCH(H89,Pension_Model!$B$2:$B$29,0)),0),IFERROR(INDEX(Pension_Model!$D$2:$D$29,MATCH(H90,Pension_Model!$B$2:$B$29,0)),0),IFERROR(INDEX(Pension_Model!$D$2:$D$29,MATCH(H91,Pension_Model!$B$2:$B$29,0)),0),IFERROR(INDEX(Pension_Model!$D$2:$D$29,MATCH(H92,Pension_Model!$B$2:$B$29,0)),0)),0))))))</f>
        <v>0.05</v>
      </c>
      <c r="Q88" s="28">
        <f>Population_Data!$B$15*P88</f>
        <v>660600</v>
      </c>
      <c r="S88">
        <f t="shared" si="1"/>
        <v>1792112.3786675183</v>
      </c>
      <c r="U88" s="33">
        <f>S88/Population_Data!$B$19</f>
        <v>3.2465803961368084E-2</v>
      </c>
    </row>
    <row r="89" spans="1:21">
      <c r="A89" s="25">
        <f>Calendar!A89</f>
        <v>46322</v>
      </c>
      <c r="B89" t="str">
        <f>Calendar!L89</f>
        <v>Yes</v>
      </c>
      <c r="C89" t="str">
        <f>Calendar!O89</f>
        <v>No</v>
      </c>
      <c r="D89" t="str">
        <f>Calendar!P89</f>
        <v>No</v>
      </c>
      <c r="E89" t="str">
        <f>Calendar!Q89</f>
        <v>No</v>
      </c>
      <c r="F89" t="str">
        <f>Calendar!I89</f>
        <v>Tuesday</v>
      </c>
      <c r="G89">
        <f>Calendar!S89</f>
        <v>10</v>
      </c>
      <c r="H89">
        <f>Calendar!T89</f>
        <v>10</v>
      </c>
      <c r="I89" s="27">
        <f>IF(VLOOKUP(A89,Calendar!$A$1:$R$1377,18,0)=0,0,IF(VLOOKUP(A89,Calendar!$A$1:$R$1377,18,0)=1,INDEX(Monthly_Pay_Model!$A$9:$D$40,MATCH(TEXT(A89,"dd"),Monthly_Pay_Model!$C$9:$C$39,0),4),IF(VLOOKUP(A89,Calendar!$A$1:$R$1377,18,0)=2,SUM(INDEX(Monthly_Pay_Model!$A$9:$D$40,MATCH(TEXT(A89,"dd"),Monthly_Pay_Model!$C$9:$C$39,0),4),INDEX(Monthly_Pay_Model!$A$9:$D$40,MATCH(TEXT(A90,"dd"),Monthly_Pay_Model!$C$9:$C$39,0),4)),IF(VLOOKUP(A89,Calendar!$A$1:$R$1377,18,0)=3,SUM(INDEX(Monthly_Pay_Model!$A$9:$D$40,MATCH(TEXT(A89,"dd"),Monthly_Pay_Model!$C$9:$C$39,0),4),INDEX(Monthly_Pay_Model!$A$9:$D$40,MATCH(TEXT(A90,"dd"),Monthly_Pay_Model!$C$9:$C$39,0),4),INDEX(Monthly_Pay_Model!$A$9:$D$40,MATCH(TEXT(A91,"dd"),Monthly_Pay_Model!$C$9:$C$39,0),4)),IF(VLOOKUP(A89,Calendar!$A$1:$R$1377,18,0)=4,SUM(INDEX(Monthly_Pay_Model!$A$9:$D$40,MATCH(TEXT(A89,"dd"),Monthly_Pay_Model!$C$9:$C$39,0),4),INDEX(Monthly_Pay_Model!$A$9:$D$40,MATCH(TEXT(A90,"dd"),Monthly_Pay_Model!$C$9:$C$39,0),4),INDEX(Monthly_Pay_Model!$A$9:$D$40,MATCH(TEXT(A91,"dd"),Monthly_Pay_Model!$C$9:$C$39,0),4),INDEX(Monthly_Pay_Model!$A$9:$D$40,MATCH(TEXT(A92,"dd"),Monthly_Pay_Model!$C$9:$C$39,0),4)),IF(VLOOKUP(A89,Calendar!$A$1:$R$1377,18,0)=5,SUM(INDEX(Monthly_Pay_Model!$A$9:$D$40,MATCH(TEXT(A89,"dd"),Monthly_Pay_Model!$C$9:$C$39,0),4),INDEX(Monthly_Pay_Model!$A$9:$D$40,MATCH(TEXT(A90,"dd"),Monthly_Pay_Model!$C$9:$C$39,0),4),INDEX(Monthly_Pay_Model!$A$9:$D$40,MATCH(TEXT(A91,"dd"),Monthly_Pay_Model!$C$9:$C$39,0),4),INDEX(Monthly_Pay_Model!$A$9:$D$40,MATCH(TEXT(A92,"dd"),Monthly_Pay_Model!$C$9:$C$39,0),4),INDEX(Monthly_Pay_Model!$A$9:$D$40,MATCH(TEXT(A93,"dd"),Monthly_Pay_Model!$C$9:$C$39,0),4)),))))))</f>
        <v>9.7507853403141324E-3</v>
      </c>
      <c r="J89" s="33">
        <f>IF(C89="Yes",Monthly_Pay_Model!$D$2,0)
+IF(Calendar!N89="Yes",Monthly_Pay_Model!$D$3,0)
+IF(D89="Yes",Monthly_Pay_Model!$D$4,0)
+IF(E89="Yes",Monthly_Pay_Model!$D$5,0)</f>
        <v>0</v>
      </c>
      <c r="K89" s="27">
        <f>IF(VLOOKUP($A89,Calendar!$A$1:$R$1377,18,0)=0,0,IF(VLOOKUP($A89,Calendar!$A$1:$R$1377,18,0)=1,IFERROR(INDEX(Weekly_Model!$D$2:$D$9,MATCH(F89,Weekly_Model!$A$2:$A$9,0)),0),IF(VLOOKUP($A89,Calendar!$A$1:$R$1377,18,0)=2,SUM(IFERROR(INDEX(Weekly_Model!$D$2:$D$9,MATCH(F89,Weekly_Model!$A$2:$A$9,0)),0),IFERROR(INDEX(Weekly_Model!$D$2:$D$9,MATCH(F90,Weekly_Model!$A$2:$A$9,0)),0)),IF(VLOOKUP($A89,Calendar!$A$1:$R$1377,18,0)=3,SUM(IFERROR(INDEX(Weekly_Model!$D$2:$D$9,MATCH(F89,Weekly_Model!$A$2:$A$9,0)),0),IFERROR(INDEX(Weekly_Model!$D$2:$D$9,MATCH(F90,Weekly_Model!$A$2:$A$9,0)),0),IFERROR(INDEX(Weekly_Model!$D$2:$D$9,MATCH(F91,Weekly_Model!$A$2:$A$9,0)),0)),IF(VLOOKUP($A89,Calendar!$A$1:$R$1377,18,0)=4,SUM(IFERROR(INDEX(Weekly_Model!$D$2:$D$9,MATCH(F89,Weekly_Model!$A$2:$A$9,0)),0),IFERROR(INDEX(Weekly_Model!$D$2:$D$9,MATCH(F90,Weekly_Model!$A$2:$A$9,0)),0),IFERROR(INDEX(Weekly_Model!$D$2:$D$9,MATCH(F91,Weekly_Model!$A$2:$A$9,0)),0),IFERROR(INDEX(Weekly_Model!$D$2:$D$9,MATCH(F92,Weekly_Model!$A$2:$A$9,0)),0)),IF(VLOOKUP($A89,Calendar!$A$1:$R$1377,18,0)=5,SUM(IFERROR(INDEX(Weekly_Model!$D$2:$D$9,MATCH(F89,Weekly_Model!$A$2:$A$9,0)),0),IFERROR(INDEX(Weekly_Model!$D$2:$D$9,MATCH(F90,Weekly_Model!$A$2:$A$9,0)),0),IFERROR(INDEX(Weekly_Model!$D$2:$D$9,MATCH(F91,Weekly_Model!$A$2:$A$9,0)),0),IFERROR(INDEX(Weekly_Model!$D$2:$D$9,MATCH(F92,Weekly_Model!$A$2:$A$9,0)),0),IFERROR(INDEX(Weekly_Model!$D$2:$D$9,MATCH(F93,Weekly_Model!$A$2:$A$9,0)),0)),0))))))</f>
        <v>2.3200000000000002E-2</v>
      </c>
      <c r="L89" s="27">
        <f>IF(VLOOKUP($A89,Calendar!$A$1:$R$1377,18,0)=0,0,IF(VLOOKUP($A89,Calendar!$A$1:$R$1377,18,0)=1,IFERROR(INDEX(Fortnightly_Model!$D$2:$D$15,MATCH(G89,Fortnightly_Model!$B$2:$B$15,0)),0),IF(VLOOKUP($A89,Calendar!$A$1:$R$1377,18,0)=2,SUM(IFERROR(INDEX(Fortnightly_Model!$D$2:$D$15,MATCH(G89,Fortnightly_Model!$B$2:$B$15,0)),0),IFERROR(INDEX(Fortnightly_Model!$D$2:$D$15,MATCH(G90,Fortnightly_Model!$B$2:$B$15,0)),0)),IF(VLOOKUP($A89,Calendar!$A$1:$R$1377,18,0)=3,SUM(IFERROR(INDEX(Fortnightly_Model!$D$2:$D$15,MATCH(G89,Fortnightly_Model!$B$2:$B$15,0)),0),IFERROR(INDEX(Fortnightly_Model!$D$2:$D$15,MATCH(G90,Fortnightly_Model!$B$2:$B$15,0)),0),IFERROR(INDEX(Fortnightly_Model!$D$2:$D$15,MATCH(G91,Fortnightly_Model!$B$2:$B$15,0)),0)),IF(VLOOKUP($A89,Calendar!$A$1:$R$1377,18,0)=4,SUM(IFERROR(INDEX(Fortnightly_Model!$D$2:$D$15,MATCH(G89,Fortnightly_Model!$B$2:$B$15,0)),0),IFERROR(INDEX(Fortnightly_Model!$D$2:$D$15,MATCH(G90,Fortnightly_Model!$B$2:$B$15,0)),0),IFERROR(INDEX(Fortnightly_Model!$D$2:$D$15,MATCH(G91,Fortnightly_Model!$B$2:$B$15,0)),0),IFERROR(INDEX(Fortnightly_Model!$D$2:$D$15,MATCH(G92,Fortnightly_Model!$B$2:$B$15,0)),0)),IF(VLOOKUP($A89,Calendar!$A$1:$R$1377,18,0)=5,SUM(IFERROR(INDEX(Fortnightly_Model!$D$2:$D$15,MATCH(G89,Fortnightly_Model!$B$2:$B$15,0)),0),IFERROR(INDEX(Fortnightly_Model!$D$2:$D$15,MATCH(G90,Fortnightly_Model!$B$2:$B$15,0)),0),IFERROR(INDEX(Fortnightly_Model!$D$2:$D$15,MATCH(G91,Fortnightly_Model!$B$2:$B$15,0)),0),IFERROR(INDEX(Fortnightly_Model!$D$2:$D$15,MATCH(G92,Fortnightly_Model!$B$2:$B$15,0)),0),IFERROR(INDEX(Fortnightly_Model!$D$2:$D$15,MATCH(G93,Fortnightly_Model!$B$2:$B$15,0)),0)),0))))))</f>
        <v>1.0714285499999999E-3</v>
      </c>
      <c r="M89" s="27">
        <f>IF(VLOOKUP($A89,Calendar!$A$1:$R$1377,18,0)=0,0,IF(VLOOKUP($A89,Calendar!$A$1:$R$1377,18,0)=1,IFERROR(INDEX(FourWeekly_Model!$D$2:$D$29,MATCH(H89,FourWeekly_Model!$B$2:$B$29,0)),0),IF(VLOOKUP($A89,Calendar!$A$1:$R$1377,18,0)=2,SUM(IFERROR(INDEX(FourWeekly_Model!$D$2:$D$29,MATCH(H89,FourWeekly_Model!$B$2:$B$29,0)),0),IFERROR(INDEX(FourWeekly_Model!$D$2:$D$29,MATCH(H90,FourWeekly_Model!$B$2:$B$29,0)),0)),IF(VLOOKUP($A89,Calendar!$A$1:$R$1377,18,0)=3,SUM(IFERROR(INDEX(FourWeekly_Model!$D$2:$D$29,MATCH(H89,FourWeekly_Model!$B$2:$B$29,0)),0),IFERROR(INDEX(FourWeekly_Model!$D$2:$D$29,MATCH(H90,FourWeekly_Model!$B$2:$B$29,0)),0),IFERROR(INDEX(FourWeekly_Model!$D$2:$D$29,MATCH(H91,FourWeekly_Model!$B$2:$B$29,0)),0)),IF(VLOOKUP($A89,Calendar!$A$1:$R$1377,18,0)=4,SUM(IFERROR(INDEX(FourWeekly_Model!$D$2:$D$29,MATCH(H89,FourWeekly_Model!$B$2:$B$29,0)),0),IFERROR(INDEX(FourWeekly_Model!$D$2:$D$29,MATCH(H90,FourWeekly_Model!$B$2:$B$29,0)),0),IFERROR(INDEX(FourWeekly_Model!$D$2:$D$29,MATCH(H91,FourWeekly_Model!$B$2:$B$29,0)),0),IFERROR(INDEX(FourWeekly_Model!$D$2:$D$29,MATCH(H92,FourWeekly_Model!$B$2:$B$29,0)),0)),IF(VLOOKUP($A89,Calendar!$A$1:$R$1377,18,0)=5,SUM(IFERROR(INDEX(FourWeekly_Model!$D$2:$D$29,MATCH(H89,FourWeekly_Model!$B$2:$B$29,0)),0),IFERROR(INDEX(FourWeekly_Model!$D$2:$D$29,MATCH(H90,FourWeekly_Model!$B$2:$B$29,0)),0),IFERROR(INDEX(FourWeekly_Model!$D$2:$D$29,MATCH(H91,FourWeekly_Model!$B$2:$B$29,0)),0),IFERROR(INDEX(FourWeekly_Model!$D$2:$D$29,MATCH(H92,FourWeekly_Model!$B$2:$B$29,0)),0),IFERROR(INDEX(FourWeekly_Model!$D$2:$D$29,MATCH(H93,FourWeekly_Model!$B$2:$B$29,0)),0)),0))))))</f>
        <v>3.3214289700000004E-3</v>
      </c>
      <c r="N89" s="27">
        <f>SUM(I89:M89)</f>
        <v>3.7343642860314136E-2</v>
      </c>
      <c r="O89" s="28">
        <f>Population_Data!$B$8*N89</f>
        <v>1131512.3786675183</v>
      </c>
      <c r="P89" s="27">
        <f>IF(VLOOKUP($A89,Calendar!$A$1:$R$1377,18,0)=0,0,IF(VLOOKUP($A89,Calendar!$A$1:$R$1377,18,0)=1,IFERROR(INDEX(Pension_Model!$D$2:$D$29,MATCH(H89,Pension_Model!$B$2:$B$29,0)),0),IF(VLOOKUP($A89,Calendar!$A$1:$R$1377,18,0)=2,SUM(IFERROR(INDEX(Pension_Model!$D$2:$D$29,MATCH(H89,Pension_Model!$B$2:$B$29,0)),0),IFERROR(INDEX(Pension_Model!$D$2:$D$29,MATCH(H90,Pension_Model!$B$2:$B$29,0)),0)),IF(VLOOKUP($A89,Calendar!$A$1:$R$1377,18,0)=3,SUM(IFERROR(INDEX(Pension_Model!$D$2:$D$29,MATCH(H89,Pension_Model!$B$2:$B$29,0)),0),IFERROR(INDEX(Pension_Model!$D$2:$D$29,MATCH(H90,Pension_Model!$B$2:$B$29,0)),0),IFERROR(INDEX(Pension_Model!$D$2:$D$29,MATCH(H91,Pension_Model!$B$2:$B$29,0)),0)),IF(VLOOKUP($A89,Calendar!$A$1:$R$1377,18,0)=4,SUM(IFERROR(INDEX(Pension_Model!$D$2:$D$29,MATCH(H89,Pension_Model!$B$2:$B$29,0)),0),IFERROR(INDEX(Pension_Model!$D$2:$D$29,MATCH(H90,Pension_Model!$B$2:$B$29,0)),0),IFERROR(INDEX(Pension_Model!$D$2:$D$29,MATCH(H91,Pension_Model!$B$2:$B$29,0)),0),IFERROR(INDEX(Pension_Model!$D$2:$D$29,MATCH(H92,Pension_Model!$B$2:$B$29,0)),0)),IF(VLOOKUP($A89,Calendar!$A$1:$R$1377,18,0)=5,SUM(IFERROR(INDEX(Pension_Model!$D$2:$D$29,MATCH(H89,Pension_Model!$B$2:$B$29,0)),0),IFERROR(INDEX(Pension_Model!$D$2:$D$29,MATCH(H90,Pension_Model!$B$2:$B$29,0)),0),IFERROR(INDEX(Pension_Model!$D$2:$D$29,MATCH(H91,Pension_Model!$B$2:$B$29,0)),0),IFERROR(INDEX(Pension_Model!$D$2:$D$29,MATCH(H92,Pension_Model!$B$2:$B$29,0)),0),IFERROR(INDEX(Pension_Model!$D$2:$D$29,MATCH(H93,Pension_Model!$B$2:$B$29,0)),0)),0))))))</f>
        <v>0.05</v>
      </c>
      <c r="Q89" s="28">
        <f>Population_Data!$B$15*P89</f>
        <v>660600</v>
      </c>
      <c r="S89">
        <f t="shared" si="1"/>
        <v>1792112.3786675183</v>
      </c>
      <c r="U89" s="33">
        <f>S89/Population_Data!$B$19</f>
        <v>3.2465803961368084E-2</v>
      </c>
    </row>
    <row r="90" spans="1:21">
      <c r="A90" s="25">
        <f>Calendar!A90</f>
        <v>46323</v>
      </c>
      <c r="B90" t="str">
        <f>Calendar!L90</f>
        <v>Yes</v>
      </c>
      <c r="C90" t="str">
        <f>Calendar!O90</f>
        <v>No</v>
      </c>
      <c r="D90" t="str">
        <f>Calendar!P90</f>
        <v>No</v>
      </c>
      <c r="E90" t="str">
        <f>Calendar!Q90</f>
        <v>No</v>
      </c>
      <c r="F90" t="str">
        <f>Calendar!I90</f>
        <v>Wednesday</v>
      </c>
      <c r="G90">
        <f>Calendar!S90</f>
        <v>11</v>
      </c>
      <c r="H90">
        <f>Calendar!T90</f>
        <v>11</v>
      </c>
      <c r="I90" s="27">
        <f>IF(VLOOKUP(A90,Calendar!$A$1:$R$1377,18,0)=0,0,IF(VLOOKUP(A90,Calendar!$A$1:$R$1377,18,0)=1,INDEX(Monthly_Pay_Model!$A$9:$D$40,MATCH(TEXT(A90,"dd"),Monthly_Pay_Model!$C$9:$C$39,0),4),IF(VLOOKUP(A90,Calendar!$A$1:$R$1377,18,0)=2,SUM(INDEX(Monthly_Pay_Model!$A$9:$D$40,MATCH(TEXT(A90,"dd"),Monthly_Pay_Model!$C$9:$C$39,0),4),INDEX(Monthly_Pay_Model!$A$9:$D$40,MATCH(TEXT(A91,"dd"),Monthly_Pay_Model!$C$9:$C$39,0),4)),IF(VLOOKUP(A90,Calendar!$A$1:$R$1377,18,0)=3,SUM(INDEX(Monthly_Pay_Model!$A$9:$D$40,MATCH(TEXT(A90,"dd"),Monthly_Pay_Model!$C$9:$C$39,0),4),INDEX(Monthly_Pay_Model!$A$9:$D$40,MATCH(TEXT(A91,"dd"),Monthly_Pay_Model!$C$9:$C$39,0),4),INDEX(Monthly_Pay_Model!$A$9:$D$40,MATCH(TEXT(A92,"dd"),Monthly_Pay_Model!$C$9:$C$39,0),4)),IF(VLOOKUP(A90,Calendar!$A$1:$R$1377,18,0)=4,SUM(INDEX(Monthly_Pay_Model!$A$9:$D$40,MATCH(TEXT(A90,"dd"),Monthly_Pay_Model!$C$9:$C$39,0),4),INDEX(Monthly_Pay_Model!$A$9:$D$40,MATCH(TEXT(A91,"dd"),Monthly_Pay_Model!$C$9:$C$39,0),4),INDEX(Monthly_Pay_Model!$A$9:$D$40,MATCH(TEXT(A92,"dd"),Monthly_Pay_Model!$C$9:$C$39,0),4),INDEX(Monthly_Pay_Model!$A$9:$D$40,MATCH(TEXT(A93,"dd"),Monthly_Pay_Model!$C$9:$C$39,0),4)),IF(VLOOKUP(A90,Calendar!$A$1:$R$1377,18,0)=5,SUM(INDEX(Monthly_Pay_Model!$A$9:$D$40,MATCH(TEXT(A90,"dd"),Monthly_Pay_Model!$C$9:$C$39,0),4),INDEX(Monthly_Pay_Model!$A$9:$D$40,MATCH(TEXT(A91,"dd"),Monthly_Pay_Model!$C$9:$C$39,0),4),INDEX(Monthly_Pay_Model!$A$9:$D$40,MATCH(TEXT(A92,"dd"),Monthly_Pay_Model!$C$9:$C$39,0),4),INDEX(Monthly_Pay_Model!$A$9:$D$40,MATCH(TEXT(A93,"dd"),Monthly_Pay_Model!$C$9:$C$39,0),4),INDEX(Monthly_Pay_Model!$A$9:$D$40,MATCH(TEXT(A94,"dd"),Monthly_Pay_Model!$C$9:$C$39,0),4)),))))))</f>
        <v>2.1126701570680625E-2</v>
      </c>
      <c r="J90" s="33">
        <f>IF(C90="Yes",Monthly_Pay_Model!$D$2,0)
+IF(Calendar!N90="Yes",Monthly_Pay_Model!$D$3,0)
+IF(D90="Yes",Monthly_Pay_Model!$D$4,0)
+IF(E90="Yes",Monthly_Pay_Model!$D$5,0)</f>
        <v>0</v>
      </c>
      <c r="K90" s="27">
        <f>IF(VLOOKUP($A90,Calendar!$A$1:$R$1377,18,0)=0,0,IF(VLOOKUP($A90,Calendar!$A$1:$R$1377,18,0)=1,IFERROR(INDEX(Weekly_Model!$D$2:$D$9,MATCH(F90,Weekly_Model!$A$2:$A$9,0)),0),IF(VLOOKUP($A90,Calendar!$A$1:$R$1377,18,0)=2,SUM(IFERROR(INDEX(Weekly_Model!$D$2:$D$9,MATCH(F90,Weekly_Model!$A$2:$A$9,0)),0),IFERROR(INDEX(Weekly_Model!$D$2:$D$9,MATCH(F91,Weekly_Model!$A$2:$A$9,0)),0)),IF(VLOOKUP($A90,Calendar!$A$1:$R$1377,18,0)=3,SUM(IFERROR(INDEX(Weekly_Model!$D$2:$D$9,MATCH(F90,Weekly_Model!$A$2:$A$9,0)),0),IFERROR(INDEX(Weekly_Model!$D$2:$D$9,MATCH(F91,Weekly_Model!$A$2:$A$9,0)),0),IFERROR(INDEX(Weekly_Model!$D$2:$D$9,MATCH(F92,Weekly_Model!$A$2:$A$9,0)),0)),IF(VLOOKUP($A90,Calendar!$A$1:$R$1377,18,0)=4,SUM(IFERROR(INDEX(Weekly_Model!$D$2:$D$9,MATCH(F90,Weekly_Model!$A$2:$A$9,0)),0),IFERROR(INDEX(Weekly_Model!$D$2:$D$9,MATCH(F91,Weekly_Model!$A$2:$A$9,0)),0),IFERROR(INDEX(Weekly_Model!$D$2:$D$9,MATCH(F92,Weekly_Model!$A$2:$A$9,0)),0),IFERROR(INDEX(Weekly_Model!$D$2:$D$9,MATCH(F93,Weekly_Model!$A$2:$A$9,0)),0)),IF(VLOOKUP($A90,Calendar!$A$1:$R$1377,18,0)=5,SUM(IFERROR(INDEX(Weekly_Model!$D$2:$D$9,MATCH(F90,Weekly_Model!$A$2:$A$9,0)),0),IFERROR(INDEX(Weekly_Model!$D$2:$D$9,MATCH(F91,Weekly_Model!$A$2:$A$9,0)),0),IFERROR(INDEX(Weekly_Model!$D$2:$D$9,MATCH(F92,Weekly_Model!$A$2:$A$9,0)),0),IFERROR(INDEX(Weekly_Model!$D$2:$D$9,MATCH(F93,Weekly_Model!$A$2:$A$9,0)),0),IFERROR(INDEX(Weekly_Model!$D$2:$D$9,MATCH(F94,Weekly_Model!$A$2:$A$9,0)),0)),0))))))</f>
        <v>2.3200000000000002E-2</v>
      </c>
      <c r="L90" s="27">
        <f>IF(VLOOKUP($A90,Calendar!$A$1:$R$1377,18,0)=0,0,IF(VLOOKUP($A90,Calendar!$A$1:$R$1377,18,0)=1,IFERROR(INDEX(Fortnightly_Model!$D$2:$D$15,MATCH(G90,Fortnightly_Model!$B$2:$B$15,0)),0),IF(VLOOKUP($A90,Calendar!$A$1:$R$1377,18,0)=2,SUM(IFERROR(INDEX(Fortnightly_Model!$D$2:$D$15,MATCH(G90,Fortnightly_Model!$B$2:$B$15,0)),0),IFERROR(INDEX(Fortnightly_Model!$D$2:$D$15,MATCH(G91,Fortnightly_Model!$B$2:$B$15,0)),0)),IF(VLOOKUP($A90,Calendar!$A$1:$R$1377,18,0)=3,SUM(IFERROR(INDEX(Fortnightly_Model!$D$2:$D$15,MATCH(G90,Fortnightly_Model!$B$2:$B$15,0)),0),IFERROR(INDEX(Fortnightly_Model!$D$2:$D$15,MATCH(G91,Fortnightly_Model!$B$2:$B$15,0)),0),IFERROR(INDEX(Fortnightly_Model!$D$2:$D$15,MATCH(G92,Fortnightly_Model!$B$2:$B$15,0)),0)),IF(VLOOKUP($A90,Calendar!$A$1:$R$1377,18,0)=4,SUM(IFERROR(INDEX(Fortnightly_Model!$D$2:$D$15,MATCH(G90,Fortnightly_Model!$B$2:$B$15,0)),0),IFERROR(INDEX(Fortnightly_Model!$D$2:$D$15,MATCH(G91,Fortnightly_Model!$B$2:$B$15,0)),0),IFERROR(INDEX(Fortnightly_Model!$D$2:$D$15,MATCH(G92,Fortnightly_Model!$B$2:$B$15,0)),0),IFERROR(INDEX(Fortnightly_Model!$D$2:$D$15,MATCH(G93,Fortnightly_Model!$B$2:$B$15,0)),0)),IF(VLOOKUP($A90,Calendar!$A$1:$R$1377,18,0)=5,SUM(IFERROR(INDEX(Fortnightly_Model!$D$2:$D$15,MATCH(G90,Fortnightly_Model!$B$2:$B$15,0)),0),IFERROR(INDEX(Fortnightly_Model!$D$2:$D$15,MATCH(G91,Fortnightly_Model!$B$2:$B$15,0)),0),IFERROR(INDEX(Fortnightly_Model!$D$2:$D$15,MATCH(G92,Fortnightly_Model!$B$2:$B$15,0)),0),IFERROR(INDEX(Fortnightly_Model!$D$2:$D$15,MATCH(G93,Fortnightly_Model!$B$2:$B$15,0)),0),IFERROR(INDEX(Fortnightly_Model!$D$2:$D$15,MATCH(G94,Fortnightly_Model!$B$2:$B$15,0)),0)),0))))))</f>
        <v>1.0714285499999999E-3</v>
      </c>
      <c r="M90" s="27">
        <f>IF(VLOOKUP($A90,Calendar!$A$1:$R$1377,18,0)=0,0,IF(VLOOKUP($A90,Calendar!$A$1:$R$1377,18,0)=1,IFERROR(INDEX(FourWeekly_Model!$D$2:$D$29,MATCH(H90,FourWeekly_Model!$B$2:$B$29,0)),0),IF(VLOOKUP($A90,Calendar!$A$1:$R$1377,18,0)=2,SUM(IFERROR(INDEX(FourWeekly_Model!$D$2:$D$29,MATCH(H90,FourWeekly_Model!$B$2:$B$29,0)),0),IFERROR(INDEX(FourWeekly_Model!$D$2:$D$29,MATCH(H91,FourWeekly_Model!$B$2:$B$29,0)),0)),IF(VLOOKUP($A90,Calendar!$A$1:$R$1377,18,0)=3,SUM(IFERROR(INDEX(FourWeekly_Model!$D$2:$D$29,MATCH(H90,FourWeekly_Model!$B$2:$B$29,0)),0),IFERROR(INDEX(FourWeekly_Model!$D$2:$D$29,MATCH(H91,FourWeekly_Model!$B$2:$B$29,0)),0),IFERROR(INDEX(FourWeekly_Model!$D$2:$D$29,MATCH(H92,FourWeekly_Model!$B$2:$B$29,0)),0)),IF(VLOOKUP($A90,Calendar!$A$1:$R$1377,18,0)=4,SUM(IFERROR(INDEX(FourWeekly_Model!$D$2:$D$29,MATCH(H90,FourWeekly_Model!$B$2:$B$29,0)),0),IFERROR(INDEX(FourWeekly_Model!$D$2:$D$29,MATCH(H91,FourWeekly_Model!$B$2:$B$29,0)),0),IFERROR(INDEX(FourWeekly_Model!$D$2:$D$29,MATCH(H92,FourWeekly_Model!$B$2:$B$29,0)),0),IFERROR(INDEX(FourWeekly_Model!$D$2:$D$29,MATCH(H93,FourWeekly_Model!$B$2:$B$29,0)),0)),IF(VLOOKUP($A90,Calendar!$A$1:$R$1377,18,0)=5,SUM(IFERROR(INDEX(FourWeekly_Model!$D$2:$D$29,MATCH(H90,FourWeekly_Model!$B$2:$B$29,0)),0),IFERROR(INDEX(FourWeekly_Model!$D$2:$D$29,MATCH(H91,FourWeekly_Model!$B$2:$B$29,0)),0),IFERROR(INDEX(FourWeekly_Model!$D$2:$D$29,MATCH(H92,FourWeekly_Model!$B$2:$B$29,0)),0),IFERROR(INDEX(FourWeekly_Model!$D$2:$D$29,MATCH(H93,FourWeekly_Model!$B$2:$B$29,0)),0),IFERROR(INDEX(FourWeekly_Model!$D$2:$D$29,MATCH(H94,FourWeekly_Model!$B$2:$B$29,0)),0)),0))))))</f>
        <v>3.3214289700000004E-3</v>
      </c>
      <c r="N90" s="27">
        <f>SUM(I90:M90)</f>
        <v>4.8719559090680625E-2</v>
      </c>
      <c r="O90" s="28">
        <f>Population_Data!$B$8*N90</f>
        <v>1476202.6404476229</v>
      </c>
      <c r="P90" s="27">
        <f>IF(VLOOKUP($A90,Calendar!$A$1:$R$1377,18,0)=0,0,IF(VLOOKUP($A90,Calendar!$A$1:$R$1377,18,0)=1,IFERROR(INDEX(Pension_Model!$D$2:$D$29,MATCH(H90,Pension_Model!$B$2:$B$29,0)),0),IF(VLOOKUP($A90,Calendar!$A$1:$R$1377,18,0)=2,SUM(IFERROR(INDEX(Pension_Model!$D$2:$D$29,MATCH(H90,Pension_Model!$B$2:$B$29,0)),0),IFERROR(INDEX(Pension_Model!$D$2:$D$29,MATCH(H91,Pension_Model!$B$2:$B$29,0)),0)),IF(VLOOKUP($A90,Calendar!$A$1:$R$1377,18,0)=3,SUM(IFERROR(INDEX(Pension_Model!$D$2:$D$29,MATCH(H90,Pension_Model!$B$2:$B$29,0)),0),IFERROR(INDEX(Pension_Model!$D$2:$D$29,MATCH(H91,Pension_Model!$B$2:$B$29,0)),0),IFERROR(INDEX(Pension_Model!$D$2:$D$29,MATCH(H92,Pension_Model!$B$2:$B$29,0)),0)),IF(VLOOKUP($A90,Calendar!$A$1:$R$1377,18,0)=4,SUM(IFERROR(INDEX(Pension_Model!$D$2:$D$29,MATCH(H90,Pension_Model!$B$2:$B$29,0)),0),IFERROR(INDEX(Pension_Model!$D$2:$D$29,MATCH(H91,Pension_Model!$B$2:$B$29,0)),0),IFERROR(INDEX(Pension_Model!$D$2:$D$29,MATCH(H92,Pension_Model!$B$2:$B$29,0)),0),IFERROR(INDEX(Pension_Model!$D$2:$D$29,MATCH(H93,Pension_Model!$B$2:$B$29,0)),0)),IF(VLOOKUP($A90,Calendar!$A$1:$R$1377,18,0)=5,SUM(IFERROR(INDEX(Pension_Model!$D$2:$D$29,MATCH(H90,Pension_Model!$B$2:$B$29,0)),0),IFERROR(INDEX(Pension_Model!$D$2:$D$29,MATCH(H91,Pension_Model!$B$2:$B$29,0)),0),IFERROR(INDEX(Pension_Model!$D$2:$D$29,MATCH(H92,Pension_Model!$B$2:$B$29,0)),0),IFERROR(INDEX(Pension_Model!$D$2:$D$29,MATCH(H93,Pension_Model!$B$2:$B$29,0)),0),IFERROR(INDEX(Pension_Model!$D$2:$D$29,MATCH(H94,Pension_Model!$B$2:$B$29,0)),0)),0))))))</f>
        <v>0.05</v>
      </c>
      <c r="Q90" s="28">
        <f>Population_Data!$B$15*P90</f>
        <v>660600</v>
      </c>
      <c r="S90">
        <f t="shared" si="1"/>
        <v>2136802.6404476231</v>
      </c>
      <c r="U90" s="33">
        <f>S90/Population_Data!$B$19</f>
        <v>3.87101927617323E-2</v>
      </c>
    </row>
    <row r="91" spans="1:21">
      <c r="A91" s="25">
        <f>Calendar!A91</f>
        <v>46324</v>
      </c>
      <c r="B91" t="str">
        <f>Calendar!L91</f>
        <v>Yes</v>
      </c>
      <c r="C91" t="str">
        <f>Calendar!O91</f>
        <v>No</v>
      </c>
      <c r="D91" t="str">
        <f>Calendar!P91</f>
        <v>No</v>
      </c>
      <c r="E91" t="str">
        <f>Calendar!Q91</f>
        <v>Yes</v>
      </c>
      <c r="F91" t="str">
        <f>Calendar!I91</f>
        <v>Thursday</v>
      </c>
      <c r="G91">
        <f>Calendar!S91</f>
        <v>12</v>
      </c>
      <c r="H91">
        <f>Calendar!T91</f>
        <v>12</v>
      </c>
      <c r="I91" s="27">
        <f>IF(VLOOKUP(A91,Calendar!$A$1:$R$1377,18,0)=0,0,IF(VLOOKUP(A91,Calendar!$A$1:$R$1377,18,0)=1,INDEX(Monthly_Pay_Model!$A$9:$D$40,MATCH(TEXT(A91,"dd"),Monthly_Pay_Model!$C$9:$C$39,0),4),IF(VLOOKUP(A91,Calendar!$A$1:$R$1377,18,0)=2,SUM(INDEX(Monthly_Pay_Model!$A$9:$D$40,MATCH(TEXT(A91,"dd"),Monthly_Pay_Model!$C$9:$C$39,0),4),INDEX(Monthly_Pay_Model!$A$9:$D$40,MATCH(TEXT(A92,"dd"),Monthly_Pay_Model!$C$9:$C$39,0),4)),IF(VLOOKUP(A91,Calendar!$A$1:$R$1377,18,0)=3,SUM(INDEX(Monthly_Pay_Model!$A$9:$D$40,MATCH(TEXT(A91,"dd"),Monthly_Pay_Model!$C$9:$C$39,0),4),INDEX(Monthly_Pay_Model!$A$9:$D$40,MATCH(TEXT(A92,"dd"),Monthly_Pay_Model!$C$9:$C$39,0),4),INDEX(Monthly_Pay_Model!$A$9:$D$40,MATCH(TEXT(A93,"dd"),Monthly_Pay_Model!$C$9:$C$39,0),4)),IF(VLOOKUP(A91,Calendar!$A$1:$R$1377,18,0)=4,SUM(INDEX(Monthly_Pay_Model!$A$9:$D$40,MATCH(TEXT(A91,"dd"),Monthly_Pay_Model!$C$9:$C$39,0),4),INDEX(Monthly_Pay_Model!$A$9:$D$40,MATCH(TEXT(A92,"dd"),Monthly_Pay_Model!$C$9:$C$39,0),4),INDEX(Monthly_Pay_Model!$A$9:$D$40,MATCH(TEXT(A93,"dd"),Monthly_Pay_Model!$C$9:$C$39,0),4),INDEX(Monthly_Pay_Model!$A$9:$D$40,MATCH(TEXT(A94,"dd"),Monthly_Pay_Model!$C$9:$C$39,0),4)),IF(VLOOKUP(A91,Calendar!$A$1:$R$1377,18,0)=5,SUM(INDEX(Monthly_Pay_Model!$A$9:$D$40,MATCH(TEXT(A91,"dd"),Monthly_Pay_Model!$C$9:$C$39,0),4),INDEX(Monthly_Pay_Model!$A$9:$D$40,MATCH(TEXT(A92,"dd"),Monthly_Pay_Model!$C$9:$C$39,0),4),INDEX(Monthly_Pay_Model!$A$9:$D$40,MATCH(TEXT(A93,"dd"),Monthly_Pay_Model!$C$9:$C$39,0),4),INDEX(Monthly_Pay_Model!$A$9:$D$40,MATCH(TEXT(A94,"dd"),Monthly_Pay_Model!$C$9:$C$39,0),4),INDEX(Monthly_Pay_Model!$A$9:$D$40,MATCH(TEXT(A95,"dd"),Monthly_Pay_Model!$C$9:$C$39,0),4)),))))))</f>
        <v>4.0628272251308894E-3</v>
      </c>
      <c r="J91" s="33">
        <f>IF(C91="Yes",Monthly_Pay_Model!$D$2,0)
+IF(Calendar!N91="Yes",Monthly_Pay_Model!$D$3,0)
+IF(D91="Yes",Monthly_Pay_Model!$D$4,0)
+IF(E91="Yes",Monthly_Pay_Model!$D$5,0)</f>
        <v>5.4320000000000007E-2</v>
      </c>
      <c r="K91" s="27">
        <f>IF(VLOOKUP($A91,Calendar!$A$1:$R$1377,18,0)=0,0,IF(VLOOKUP($A91,Calendar!$A$1:$R$1377,18,0)=1,IFERROR(INDEX(Weekly_Model!$D$2:$D$9,MATCH(F91,Weekly_Model!$A$2:$A$9,0)),0),IF(VLOOKUP($A91,Calendar!$A$1:$R$1377,18,0)=2,SUM(IFERROR(INDEX(Weekly_Model!$D$2:$D$9,MATCH(F91,Weekly_Model!$A$2:$A$9,0)),0),IFERROR(INDEX(Weekly_Model!$D$2:$D$9,MATCH(F92,Weekly_Model!$A$2:$A$9,0)),0)),IF(VLOOKUP($A91,Calendar!$A$1:$R$1377,18,0)=3,SUM(IFERROR(INDEX(Weekly_Model!$D$2:$D$9,MATCH(F91,Weekly_Model!$A$2:$A$9,0)),0),IFERROR(INDEX(Weekly_Model!$D$2:$D$9,MATCH(F92,Weekly_Model!$A$2:$A$9,0)),0),IFERROR(INDEX(Weekly_Model!$D$2:$D$9,MATCH(F93,Weekly_Model!$A$2:$A$9,0)),0)),IF(VLOOKUP($A91,Calendar!$A$1:$R$1377,18,0)=4,SUM(IFERROR(INDEX(Weekly_Model!$D$2:$D$9,MATCH(F91,Weekly_Model!$A$2:$A$9,0)),0),IFERROR(INDEX(Weekly_Model!$D$2:$D$9,MATCH(F92,Weekly_Model!$A$2:$A$9,0)),0),IFERROR(INDEX(Weekly_Model!$D$2:$D$9,MATCH(F93,Weekly_Model!$A$2:$A$9,0)),0),IFERROR(INDEX(Weekly_Model!$D$2:$D$9,MATCH(F94,Weekly_Model!$A$2:$A$9,0)),0)),IF(VLOOKUP($A91,Calendar!$A$1:$R$1377,18,0)=5,SUM(IFERROR(INDEX(Weekly_Model!$D$2:$D$9,MATCH(F91,Weekly_Model!$A$2:$A$9,0)),0),IFERROR(INDEX(Weekly_Model!$D$2:$D$9,MATCH(F92,Weekly_Model!$A$2:$A$9,0)),0),IFERROR(INDEX(Weekly_Model!$D$2:$D$9,MATCH(F93,Weekly_Model!$A$2:$A$9,0)),0),IFERROR(INDEX(Weekly_Model!$D$2:$D$9,MATCH(F94,Weekly_Model!$A$2:$A$9,0)),0),IFERROR(INDEX(Weekly_Model!$D$2:$D$9,MATCH(F95,Weekly_Model!$A$2:$A$9,0)),0)),0))))))</f>
        <v>2.3200000000000002E-2</v>
      </c>
      <c r="L91" s="27">
        <f>IF(VLOOKUP($A91,Calendar!$A$1:$R$1377,18,0)=0,0,IF(VLOOKUP($A91,Calendar!$A$1:$R$1377,18,0)=1,IFERROR(INDEX(Fortnightly_Model!$D$2:$D$15,MATCH(G91,Fortnightly_Model!$B$2:$B$15,0)),0),IF(VLOOKUP($A91,Calendar!$A$1:$R$1377,18,0)=2,SUM(IFERROR(INDEX(Fortnightly_Model!$D$2:$D$15,MATCH(G91,Fortnightly_Model!$B$2:$B$15,0)),0),IFERROR(INDEX(Fortnightly_Model!$D$2:$D$15,MATCH(G92,Fortnightly_Model!$B$2:$B$15,0)),0)),IF(VLOOKUP($A91,Calendar!$A$1:$R$1377,18,0)=3,SUM(IFERROR(INDEX(Fortnightly_Model!$D$2:$D$15,MATCH(G91,Fortnightly_Model!$B$2:$B$15,0)),0),IFERROR(INDEX(Fortnightly_Model!$D$2:$D$15,MATCH(G92,Fortnightly_Model!$B$2:$B$15,0)),0),IFERROR(INDEX(Fortnightly_Model!$D$2:$D$15,MATCH(G93,Fortnightly_Model!$B$2:$B$15,0)),0)),IF(VLOOKUP($A91,Calendar!$A$1:$R$1377,18,0)=4,SUM(IFERROR(INDEX(Fortnightly_Model!$D$2:$D$15,MATCH(G91,Fortnightly_Model!$B$2:$B$15,0)),0),IFERROR(INDEX(Fortnightly_Model!$D$2:$D$15,MATCH(G92,Fortnightly_Model!$B$2:$B$15,0)),0),IFERROR(INDEX(Fortnightly_Model!$D$2:$D$15,MATCH(G93,Fortnightly_Model!$B$2:$B$15,0)),0),IFERROR(INDEX(Fortnightly_Model!$D$2:$D$15,MATCH(G94,Fortnightly_Model!$B$2:$B$15,0)),0)),IF(VLOOKUP($A91,Calendar!$A$1:$R$1377,18,0)=5,SUM(IFERROR(INDEX(Fortnightly_Model!$D$2:$D$15,MATCH(G91,Fortnightly_Model!$B$2:$B$15,0)),0),IFERROR(INDEX(Fortnightly_Model!$D$2:$D$15,MATCH(G92,Fortnightly_Model!$B$2:$B$15,0)),0),IFERROR(INDEX(Fortnightly_Model!$D$2:$D$15,MATCH(G93,Fortnightly_Model!$B$2:$B$15,0)),0),IFERROR(INDEX(Fortnightly_Model!$D$2:$D$15,MATCH(G94,Fortnightly_Model!$B$2:$B$15,0)),0),IFERROR(INDEX(Fortnightly_Model!$D$2:$D$15,MATCH(G95,Fortnightly_Model!$B$2:$B$15,0)),0)),0))))))</f>
        <v>1.0714285499999999E-3</v>
      </c>
      <c r="M91" s="27">
        <f>IF(VLOOKUP($A91,Calendar!$A$1:$R$1377,18,0)=0,0,IF(VLOOKUP($A91,Calendar!$A$1:$R$1377,18,0)=1,IFERROR(INDEX(FourWeekly_Model!$D$2:$D$29,MATCH(H91,FourWeekly_Model!$B$2:$B$29,0)),0),IF(VLOOKUP($A91,Calendar!$A$1:$R$1377,18,0)=2,SUM(IFERROR(INDEX(FourWeekly_Model!$D$2:$D$29,MATCH(H91,FourWeekly_Model!$B$2:$B$29,0)),0),IFERROR(INDEX(FourWeekly_Model!$D$2:$D$29,MATCH(H92,FourWeekly_Model!$B$2:$B$29,0)),0)),IF(VLOOKUP($A91,Calendar!$A$1:$R$1377,18,0)=3,SUM(IFERROR(INDEX(FourWeekly_Model!$D$2:$D$29,MATCH(H91,FourWeekly_Model!$B$2:$B$29,0)),0),IFERROR(INDEX(FourWeekly_Model!$D$2:$D$29,MATCH(H92,FourWeekly_Model!$B$2:$B$29,0)),0),IFERROR(INDEX(FourWeekly_Model!$D$2:$D$29,MATCH(H93,FourWeekly_Model!$B$2:$B$29,0)),0)),IF(VLOOKUP($A91,Calendar!$A$1:$R$1377,18,0)=4,SUM(IFERROR(INDEX(FourWeekly_Model!$D$2:$D$29,MATCH(H91,FourWeekly_Model!$B$2:$B$29,0)),0),IFERROR(INDEX(FourWeekly_Model!$D$2:$D$29,MATCH(H92,FourWeekly_Model!$B$2:$B$29,0)),0),IFERROR(INDEX(FourWeekly_Model!$D$2:$D$29,MATCH(H93,FourWeekly_Model!$B$2:$B$29,0)),0),IFERROR(INDEX(FourWeekly_Model!$D$2:$D$29,MATCH(H94,FourWeekly_Model!$B$2:$B$29,0)),0)),IF(VLOOKUP($A91,Calendar!$A$1:$R$1377,18,0)=5,SUM(IFERROR(INDEX(FourWeekly_Model!$D$2:$D$29,MATCH(H91,FourWeekly_Model!$B$2:$B$29,0)),0),IFERROR(INDEX(FourWeekly_Model!$D$2:$D$29,MATCH(H92,FourWeekly_Model!$B$2:$B$29,0)),0),IFERROR(INDEX(FourWeekly_Model!$D$2:$D$29,MATCH(H93,FourWeekly_Model!$B$2:$B$29,0)),0),IFERROR(INDEX(FourWeekly_Model!$D$2:$D$29,MATCH(H94,FourWeekly_Model!$B$2:$B$29,0)),0),IFERROR(INDEX(FourWeekly_Model!$D$2:$D$29,MATCH(H95,FourWeekly_Model!$B$2:$B$29,0)),0)),0))))))</f>
        <v>3.3214289700000004E-3</v>
      </c>
      <c r="N91" s="27">
        <f>SUM(I91:M91)</f>
        <v>8.5975684745130898E-2</v>
      </c>
      <c r="O91" s="28">
        <f>Population_Data!$B$8*N91</f>
        <v>2605063.2477774662</v>
      </c>
      <c r="P91" s="27">
        <f>IF(VLOOKUP($A91,Calendar!$A$1:$R$1377,18,0)=0,0,IF(VLOOKUP($A91,Calendar!$A$1:$R$1377,18,0)=1,IFERROR(INDEX(Pension_Model!$D$2:$D$29,MATCH(H91,Pension_Model!$B$2:$B$29,0)),0),IF(VLOOKUP($A91,Calendar!$A$1:$R$1377,18,0)=2,SUM(IFERROR(INDEX(Pension_Model!$D$2:$D$29,MATCH(H91,Pension_Model!$B$2:$B$29,0)),0),IFERROR(INDEX(Pension_Model!$D$2:$D$29,MATCH(H92,Pension_Model!$B$2:$B$29,0)),0)),IF(VLOOKUP($A91,Calendar!$A$1:$R$1377,18,0)=3,SUM(IFERROR(INDEX(Pension_Model!$D$2:$D$29,MATCH(H91,Pension_Model!$B$2:$B$29,0)),0),IFERROR(INDEX(Pension_Model!$D$2:$D$29,MATCH(H92,Pension_Model!$B$2:$B$29,0)),0),IFERROR(INDEX(Pension_Model!$D$2:$D$29,MATCH(H93,Pension_Model!$B$2:$B$29,0)),0)),IF(VLOOKUP($A91,Calendar!$A$1:$R$1377,18,0)=4,SUM(IFERROR(INDEX(Pension_Model!$D$2:$D$29,MATCH(H91,Pension_Model!$B$2:$B$29,0)),0),IFERROR(INDEX(Pension_Model!$D$2:$D$29,MATCH(H92,Pension_Model!$B$2:$B$29,0)),0),IFERROR(INDEX(Pension_Model!$D$2:$D$29,MATCH(H93,Pension_Model!$B$2:$B$29,0)),0),IFERROR(INDEX(Pension_Model!$D$2:$D$29,MATCH(H94,Pension_Model!$B$2:$B$29,0)),0)),IF(VLOOKUP($A91,Calendar!$A$1:$R$1377,18,0)=5,SUM(IFERROR(INDEX(Pension_Model!$D$2:$D$29,MATCH(H91,Pension_Model!$B$2:$B$29,0)),0),IFERROR(INDEX(Pension_Model!$D$2:$D$29,MATCH(H92,Pension_Model!$B$2:$B$29,0)),0),IFERROR(INDEX(Pension_Model!$D$2:$D$29,MATCH(H93,Pension_Model!$B$2:$B$29,0)),0),IFERROR(INDEX(Pension_Model!$D$2:$D$29,MATCH(H94,Pension_Model!$B$2:$B$29,0)),0),IFERROR(INDEX(Pension_Model!$D$2:$D$29,MATCH(H95,Pension_Model!$B$2:$B$29,0)),0)),0))))))</f>
        <v>0.05</v>
      </c>
      <c r="Q91" s="28">
        <f>Population_Data!$B$15*P91</f>
        <v>660600</v>
      </c>
      <c r="S91">
        <f t="shared" si="1"/>
        <v>3265663.2477774662</v>
      </c>
      <c r="U91" s="33">
        <f>S91/Population_Data!$B$19</f>
        <v>5.9160566082925109E-2</v>
      </c>
    </row>
    <row r="92" spans="1:21">
      <c r="A92" s="25">
        <f>Calendar!A92</f>
        <v>46325</v>
      </c>
      <c r="B92" t="str">
        <f>Calendar!L92</f>
        <v>Yes</v>
      </c>
      <c r="C92" t="str">
        <f>Calendar!O92</f>
        <v>Yes</v>
      </c>
      <c r="D92" t="str">
        <f>Calendar!P92</f>
        <v>Yes</v>
      </c>
      <c r="E92" t="str">
        <f>Calendar!Q92</f>
        <v>No</v>
      </c>
      <c r="F92" t="str">
        <f>Calendar!I92</f>
        <v>Friday</v>
      </c>
      <c r="G92">
        <f>Calendar!S92</f>
        <v>13</v>
      </c>
      <c r="H92">
        <f>Calendar!T92</f>
        <v>13</v>
      </c>
      <c r="I92" s="27">
        <f>IF(VLOOKUP(A92,Calendar!$A$1:$R$1377,18,0)=0,0,IF(VLOOKUP(A92,Calendar!$A$1:$R$1377,18,0)=1,INDEX(Monthly_Pay_Model!$A$9:$D$40,MATCH(TEXT(A92,"dd"),Monthly_Pay_Model!$C$9:$C$39,0),4),IF(VLOOKUP(A92,Calendar!$A$1:$R$1377,18,0)=2,SUM(INDEX(Monthly_Pay_Model!$A$9:$D$40,MATCH(TEXT(A92,"dd"),Monthly_Pay_Model!$C$9:$C$39,0),4),INDEX(Monthly_Pay_Model!$A$9:$D$40,MATCH(TEXT(A93,"dd"),Monthly_Pay_Model!$C$9:$C$39,0),4)),IF(VLOOKUP(A92,Calendar!$A$1:$R$1377,18,0)=3,SUM(INDEX(Monthly_Pay_Model!$A$9:$D$40,MATCH(TEXT(A92,"dd"),Monthly_Pay_Model!$C$9:$C$39,0),4),INDEX(Monthly_Pay_Model!$A$9:$D$40,MATCH(TEXT(A93,"dd"),Monthly_Pay_Model!$C$9:$C$39,0),4),INDEX(Monthly_Pay_Model!$A$9:$D$40,MATCH(TEXT(A94,"dd"),Monthly_Pay_Model!$C$9:$C$39,0),4)),IF(VLOOKUP(A92,Calendar!$A$1:$R$1377,18,0)=4,SUM(INDEX(Monthly_Pay_Model!$A$9:$D$40,MATCH(TEXT(A92,"dd"),Monthly_Pay_Model!$C$9:$C$39,0),4),INDEX(Monthly_Pay_Model!$A$9:$D$40,MATCH(TEXT(A93,"dd"),Monthly_Pay_Model!$C$9:$C$39,0),4),INDEX(Monthly_Pay_Model!$A$9:$D$40,MATCH(TEXT(A94,"dd"),Monthly_Pay_Model!$C$9:$C$39,0),4),INDEX(Monthly_Pay_Model!$A$9:$D$40,MATCH(TEXT(A95,"dd"),Monthly_Pay_Model!$C$9:$C$39,0),4)),IF(VLOOKUP(A92,Calendar!$A$1:$R$1377,18,0)=5,SUM(INDEX(Monthly_Pay_Model!$A$9:$D$40,MATCH(TEXT(A92,"dd"),Monthly_Pay_Model!$C$9:$C$39,0),4),INDEX(Monthly_Pay_Model!$A$9:$D$40,MATCH(TEXT(A93,"dd"),Monthly_Pay_Model!$C$9:$C$39,0),4),INDEX(Monthly_Pay_Model!$A$9:$D$40,MATCH(TEXT(A94,"dd"),Monthly_Pay_Model!$C$9:$C$39,0),4),INDEX(Monthly_Pay_Model!$A$9:$D$40,MATCH(TEXT(A95,"dd"),Monthly_Pay_Model!$C$9:$C$39,0),4),INDEX(Monthly_Pay_Model!$A$9:$D$40,MATCH(TEXT(A96,"dd"),Monthly_Pay_Model!$C$9:$C$39,0),4)),))))))</f>
        <v>1.4626178010471202E-2</v>
      </c>
      <c r="J92" s="33">
        <f>IF(C92="Yes",Monthly_Pay_Model!$D$2,0)
+IF(Calendar!N92="Yes",Monthly_Pay_Model!$D$3,0)
+IF(D92="Yes",Monthly_Pay_Model!$D$4,0)
+IF(E92="Yes",Monthly_Pay_Model!$D$5,0)</f>
        <v>0.44231999999999999</v>
      </c>
      <c r="K92" s="27">
        <f>IF(VLOOKUP($A92,Calendar!$A$1:$R$1377,18,0)=0,0,IF(VLOOKUP($A92,Calendar!$A$1:$R$1377,18,0)=1,IFERROR(INDEX(Weekly_Model!$D$2:$D$9,MATCH(F92,Weekly_Model!$A$2:$A$9,0)),0),IF(VLOOKUP($A92,Calendar!$A$1:$R$1377,18,0)=2,SUM(IFERROR(INDEX(Weekly_Model!$D$2:$D$9,MATCH(F92,Weekly_Model!$A$2:$A$9,0)),0),IFERROR(INDEX(Weekly_Model!$D$2:$D$9,MATCH(F93,Weekly_Model!$A$2:$A$9,0)),0)),IF(VLOOKUP($A92,Calendar!$A$1:$R$1377,18,0)=3,SUM(IFERROR(INDEX(Weekly_Model!$D$2:$D$9,MATCH(F92,Weekly_Model!$A$2:$A$9,0)),0),IFERROR(INDEX(Weekly_Model!$D$2:$D$9,MATCH(F93,Weekly_Model!$A$2:$A$9,0)),0),IFERROR(INDEX(Weekly_Model!$D$2:$D$9,MATCH(F94,Weekly_Model!$A$2:$A$9,0)),0)),IF(VLOOKUP($A92,Calendar!$A$1:$R$1377,18,0)=4,SUM(IFERROR(INDEX(Weekly_Model!$D$2:$D$9,MATCH(F92,Weekly_Model!$A$2:$A$9,0)),0),IFERROR(INDEX(Weekly_Model!$D$2:$D$9,MATCH(F93,Weekly_Model!$A$2:$A$9,0)),0),IFERROR(INDEX(Weekly_Model!$D$2:$D$9,MATCH(F94,Weekly_Model!$A$2:$A$9,0)),0),IFERROR(INDEX(Weekly_Model!$D$2:$D$9,MATCH(F95,Weekly_Model!$A$2:$A$9,0)),0)),IF(VLOOKUP($A92,Calendar!$A$1:$R$1377,18,0)=5,SUM(IFERROR(INDEX(Weekly_Model!$D$2:$D$9,MATCH(F92,Weekly_Model!$A$2:$A$9,0)),0),IFERROR(INDEX(Weekly_Model!$D$2:$D$9,MATCH(F93,Weekly_Model!$A$2:$A$9,0)),0),IFERROR(INDEX(Weekly_Model!$D$2:$D$9,MATCH(F94,Weekly_Model!$A$2:$A$9,0)),0),IFERROR(INDEX(Weekly_Model!$D$2:$D$9,MATCH(F95,Weekly_Model!$A$2:$A$9,0)),0),IFERROR(INDEX(Weekly_Model!$D$2:$D$9,MATCH(F96,Weekly_Model!$A$2:$A$9,0)),0)),0))))))</f>
        <v>2.3200000000000002E-2</v>
      </c>
      <c r="L92" s="27">
        <f>IF(VLOOKUP($A92,Calendar!$A$1:$R$1377,18,0)=0,0,IF(VLOOKUP($A92,Calendar!$A$1:$R$1377,18,0)=1,IFERROR(INDEX(Fortnightly_Model!$D$2:$D$15,MATCH(G92,Fortnightly_Model!$B$2:$B$15,0)),0),IF(VLOOKUP($A92,Calendar!$A$1:$R$1377,18,0)=2,SUM(IFERROR(INDEX(Fortnightly_Model!$D$2:$D$15,MATCH(G92,Fortnightly_Model!$B$2:$B$15,0)),0),IFERROR(INDEX(Fortnightly_Model!$D$2:$D$15,MATCH(G93,Fortnightly_Model!$B$2:$B$15,0)),0)),IF(VLOOKUP($A92,Calendar!$A$1:$R$1377,18,0)=3,SUM(IFERROR(INDEX(Fortnightly_Model!$D$2:$D$15,MATCH(G92,Fortnightly_Model!$B$2:$B$15,0)),0),IFERROR(INDEX(Fortnightly_Model!$D$2:$D$15,MATCH(G93,Fortnightly_Model!$B$2:$B$15,0)),0),IFERROR(INDEX(Fortnightly_Model!$D$2:$D$15,MATCH(G94,Fortnightly_Model!$B$2:$B$15,0)),0)),IF(VLOOKUP($A92,Calendar!$A$1:$R$1377,18,0)=4,SUM(IFERROR(INDEX(Fortnightly_Model!$D$2:$D$15,MATCH(G92,Fortnightly_Model!$B$2:$B$15,0)),0),IFERROR(INDEX(Fortnightly_Model!$D$2:$D$15,MATCH(G93,Fortnightly_Model!$B$2:$B$15,0)),0),IFERROR(INDEX(Fortnightly_Model!$D$2:$D$15,MATCH(G94,Fortnightly_Model!$B$2:$B$15,0)),0),IFERROR(INDEX(Fortnightly_Model!$D$2:$D$15,MATCH(G95,Fortnightly_Model!$B$2:$B$15,0)),0)),IF(VLOOKUP($A92,Calendar!$A$1:$R$1377,18,0)=5,SUM(IFERROR(INDEX(Fortnightly_Model!$D$2:$D$15,MATCH(G92,Fortnightly_Model!$B$2:$B$15,0)),0),IFERROR(INDEX(Fortnightly_Model!$D$2:$D$15,MATCH(G93,Fortnightly_Model!$B$2:$B$15,0)),0),IFERROR(INDEX(Fortnightly_Model!$D$2:$D$15,MATCH(G94,Fortnightly_Model!$B$2:$B$15,0)),0),IFERROR(INDEX(Fortnightly_Model!$D$2:$D$15,MATCH(G95,Fortnightly_Model!$B$2:$B$15,0)),0),IFERROR(INDEX(Fortnightly_Model!$D$2:$D$15,MATCH(G96,Fortnightly_Model!$B$2:$B$15,0)),0)),0))))))</f>
        <v>3.2142856499999999E-3</v>
      </c>
      <c r="M92" s="27">
        <f>IF(VLOOKUP($A92,Calendar!$A$1:$R$1377,18,0)=0,0,IF(VLOOKUP($A92,Calendar!$A$1:$R$1377,18,0)=1,IFERROR(INDEX(FourWeekly_Model!$D$2:$D$29,MATCH(H92,FourWeekly_Model!$B$2:$B$29,0)),0),IF(VLOOKUP($A92,Calendar!$A$1:$R$1377,18,0)=2,SUM(IFERROR(INDEX(FourWeekly_Model!$D$2:$D$29,MATCH(H92,FourWeekly_Model!$B$2:$B$29,0)),0),IFERROR(INDEX(FourWeekly_Model!$D$2:$D$29,MATCH(H93,FourWeekly_Model!$B$2:$B$29,0)),0)),IF(VLOOKUP($A92,Calendar!$A$1:$R$1377,18,0)=3,SUM(IFERROR(INDEX(FourWeekly_Model!$D$2:$D$29,MATCH(H92,FourWeekly_Model!$B$2:$B$29,0)),0),IFERROR(INDEX(FourWeekly_Model!$D$2:$D$29,MATCH(H93,FourWeekly_Model!$B$2:$B$29,0)),0),IFERROR(INDEX(FourWeekly_Model!$D$2:$D$29,MATCH(H94,FourWeekly_Model!$B$2:$B$29,0)),0)),IF(VLOOKUP($A92,Calendar!$A$1:$R$1377,18,0)=4,SUM(IFERROR(INDEX(FourWeekly_Model!$D$2:$D$29,MATCH(H92,FourWeekly_Model!$B$2:$B$29,0)),0),IFERROR(INDEX(FourWeekly_Model!$D$2:$D$29,MATCH(H93,FourWeekly_Model!$B$2:$B$29,0)),0),IFERROR(INDEX(FourWeekly_Model!$D$2:$D$29,MATCH(H94,FourWeekly_Model!$B$2:$B$29,0)),0),IFERROR(INDEX(FourWeekly_Model!$D$2:$D$29,MATCH(H95,FourWeekly_Model!$B$2:$B$29,0)),0)),IF(VLOOKUP($A92,Calendar!$A$1:$R$1377,18,0)=5,SUM(IFERROR(INDEX(FourWeekly_Model!$D$2:$D$29,MATCH(H92,FourWeekly_Model!$B$2:$B$29,0)),0),IFERROR(INDEX(FourWeekly_Model!$D$2:$D$29,MATCH(H93,FourWeekly_Model!$B$2:$B$29,0)),0),IFERROR(INDEX(FourWeekly_Model!$D$2:$D$29,MATCH(H94,FourWeekly_Model!$B$2:$B$29,0)),0),IFERROR(INDEX(FourWeekly_Model!$D$2:$D$29,MATCH(H95,FourWeekly_Model!$B$2:$B$29,0)),0),IFERROR(INDEX(FourWeekly_Model!$D$2:$D$29,MATCH(H96,FourWeekly_Model!$B$2:$B$29,0)),0)),0))))))</f>
        <v>9.9642859800000011E-3</v>
      </c>
      <c r="N92" s="27">
        <f>SUM(I92:M92)</f>
        <v>0.49332474964047118</v>
      </c>
      <c r="O92" s="28">
        <f>Population_Data!$B$8*N92</f>
        <v>14947739.914106278</v>
      </c>
      <c r="P92" s="27">
        <f>IF(VLOOKUP($A92,Calendar!$A$1:$R$1377,18,0)=0,0,IF(VLOOKUP($A92,Calendar!$A$1:$R$1377,18,0)=1,IFERROR(INDEX(Pension_Model!$D$2:$D$29,MATCH(H92,Pension_Model!$B$2:$B$29,0)),0),IF(VLOOKUP($A92,Calendar!$A$1:$R$1377,18,0)=2,SUM(IFERROR(INDEX(Pension_Model!$D$2:$D$29,MATCH(H92,Pension_Model!$B$2:$B$29,0)),0),IFERROR(INDEX(Pension_Model!$D$2:$D$29,MATCH(H93,Pension_Model!$B$2:$B$29,0)),0)),IF(VLOOKUP($A92,Calendar!$A$1:$R$1377,18,0)=3,SUM(IFERROR(INDEX(Pension_Model!$D$2:$D$29,MATCH(H92,Pension_Model!$B$2:$B$29,0)),0),IFERROR(INDEX(Pension_Model!$D$2:$D$29,MATCH(H93,Pension_Model!$B$2:$B$29,0)),0),IFERROR(INDEX(Pension_Model!$D$2:$D$29,MATCH(H94,Pension_Model!$B$2:$B$29,0)),0)),IF(VLOOKUP($A92,Calendar!$A$1:$R$1377,18,0)=4,SUM(IFERROR(INDEX(Pension_Model!$D$2:$D$29,MATCH(H92,Pension_Model!$B$2:$B$29,0)),0),IFERROR(INDEX(Pension_Model!$D$2:$D$29,MATCH(H93,Pension_Model!$B$2:$B$29,0)),0),IFERROR(INDEX(Pension_Model!$D$2:$D$29,MATCH(H94,Pension_Model!$B$2:$B$29,0)),0),IFERROR(INDEX(Pension_Model!$D$2:$D$29,MATCH(H95,Pension_Model!$B$2:$B$29,0)),0)),IF(VLOOKUP($A92,Calendar!$A$1:$R$1377,18,0)=5,SUM(IFERROR(INDEX(Pension_Model!$D$2:$D$29,MATCH(H92,Pension_Model!$B$2:$B$29,0)),0),IFERROR(INDEX(Pension_Model!$D$2:$D$29,MATCH(H93,Pension_Model!$B$2:$B$29,0)),0),IFERROR(INDEX(Pension_Model!$D$2:$D$29,MATCH(H94,Pension_Model!$B$2:$B$29,0)),0),IFERROR(INDEX(Pension_Model!$D$2:$D$29,MATCH(H95,Pension_Model!$B$2:$B$29,0)),0),IFERROR(INDEX(Pension_Model!$D$2:$D$29,MATCH(H96,Pension_Model!$B$2:$B$29,0)),0)),0))))))</f>
        <v>0.05</v>
      </c>
      <c r="Q92" s="28">
        <f>Population_Data!$B$15*P92</f>
        <v>660600</v>
      </c>
      <c r="S92">
        <f t="shared" si="1"/>
        <v>15608339.914106278</v>
      </c>
      <c r="U92" s="33">
        <f>S92/Population_Data!$B$19</f>
        <v>0.28275978105264998</v>
      </c>
    </row>
    <row r="93" spans="1:21">
      <c r="A93" s="25">
        <f>Calendar!A93</f>
        <v>46326</v>
      </c>
      <c r="B93" t="str">
        <f>Calendar!L93</f>
        <v>No</v>
      </c>
      <c r="C93" t="str">
        <f>Calendar!O93</f>
        <v>No</v>
      </c>
      <c r="D93" t="str">
        <f>Calendar!P93</f>
        <v>No</v>
      </c>
      <c r="E93" t="str">
        <f>Calendar!Q93</f>
        <v>No</v>
      </c>
      <c r="F93" t="str">
        <f>Calendar!I93</f>
        <v>Saturday</v>
      </c>
      <c r="G93">
        <f>Calendar!S93</f>
        <v>0</v>
      </c>
      <c r="H93">
        <f>Calendar!T93</f>
        <v>14</v>
      </c>
      <c r="I93" s="27">
        <f>IF(VLOOKUP(A93,Calendar!$A$1:$R$1377,18,0)=0,0,IF(VLOOKUP(A93,Calendar!$A$1:$R$1377,18,0)=1,INDEX(Monthly_Pay_Model!$A$9:$D$40,MATCH(TEXT(A93,"dd"),Monthly_Pay_Model!$C$9:$C$39,0),4),IF(VLOOKUP(A93,Calendar!$A$1:$R$1377,18,0)=2,SUM(INDEX(Monthly_Pay_Model!$A$9:$D$40,MATCH(TEXT(A93,"dd"),Monthly_Pay_Model!$C$9:$C$39,0),4),INDEX(Monthly_Pay_Model!$A$9:$D$40,MATCH(TEXT(A94,"dd"),Monthly_Pay_Model!$C$9:$C$39,0),4)),IF(VLOOKUP(A93,Calendar!$A$1:$R$1377,18,0)=3,SUM(INDEX(Monthly_Pay_Model!$A$9:$D$40,MATCH(TEXT(A93,"dd"),Monthly_Pay_Model!$C$9:$C$39,0),4),INDEX(Monthly_Pay_Model!$A$9:$D$40,MATCH(TEXT(A94,"dd"),Monthly_Pay_Model!$C$9:$C$39,0),4),INDEX(Monthly_Pay_Model!$A$9:$D$40,MATCH(TEXT(A95,"dd"),Monthly_Pay_Model!$C$9:$C$39,0),4)),IF(VLOOKUP(A93,Calendar!$A$1:$R$1377,18,0)=4,SUM(INDEX(Monthly_Pay_Model!$A$9:$D$40,MATCH(TEXT(A93,"dd"),Monthly_Pay_Model!$C$9:$C$39,0),4),INDEX(Monthly_Pay_Model!$A$9:$D$40,MATCH(TEXT(A94,"dd"),Monthly_Pay_Model!$C$9:$C$39,0),4),INDEX(Monthly_Pay_Model!$A$9:$D$40,MATCH(TEXT(A95,"dd"),Monthly_Pay_Model!$C$9:$C$39,0),4),INDEX(Monthly_Pay_Model!$A$9:$D$40,MATCH(TEXT(A96,"dd"),Monthly_Pay_Model!$C$9:$C$39,0),4)),IF(VLOOKUP(A93,Calendar!$A$1:$R$1377,18,0)=5,SUM(INDEX(Monthly_Pay_Model!$A$9:$D$40,MATCH(TEXT(A93,"dd"),Monthly_Pay_Model!$C$9:$C$39,0),4),INDEX(Monthly_Pay_Model!$A$9:$D$40,MATCH(TEXT(A94,"dd"),Monthly_Pay_Model!$C$9:$C$39,0),4),INDEX(Monthly_Pay_Model!$A$9:$D$40,MATCH(TEXT(A95,"dd"),Monthly_Pay_Model!$C$9:$C$39,0),4),INDEX(Monthly_Pay_Model!$A$9:$D$40,MATCH(TEXT(A96,"dd"),Monthly_Pay_Model!$C$9:$C$39,0),4),INDEX(Monthly_Pay_Model!$A$9:$D$40,MATCH(TEXT(A97,"dd"),Monthly_Pay_Model!$C$9:$C$39,0),4)),))))))</f>
        <v>0</v>
      </c>
      <c r="J93" s="33">
        <f>IF(C93="Yes",Monthly_Pay_Model!$D$2,0)
+IF(Calendar!N93="Yes",Monthly_Pay_Model!$D$3,0)
+IF(D93="Yes",Monthly_Pay_Model!$D$4,0)
+IF(E93="Yes",Monthly_Pay_Model!$D$5,0)</f>
        <v>0.12416000000000001</v>
      </c>
      <c r="K93" s="27">
        <f>IF(VLOOKUP($A93,Calendar!$A$1:$R$1377,18,0)=0,0,IF(VLOOKUP($A93,Calendar!$A$1:$R$1377,18,0)=1,IFERROR(INDEX(Weekly_Model!$D$2:$D$9,MATCH(F93,Weekly_Model!$A$2:$A$9,0)),0),IF(VLOOKUP($A93,Calendar!$A$1:$R$1377,18,0)=2,SUM(IFERROR(INDEX(Weekly_Model!$D$2:$D$9,MATCH(F93,Weekly_Model!$A$2:$A$9,0)),0),IFERROR(INDEX(Weekly_Model!$D$2:$D$9,MATCH(F94,Weekly_Model!$A$2:$A$9,0)),0)),IF(VLOOKUP($A93,Calendar!$A$1:$R$1377,18,0)=3,SUM(IFERROR(INDEX(Weekly_Model!$D$2:$D$9,MATCH(F93,Weekly_Model!$A$2:$A$9,0)),0),IFERROR(INDEX(Weekly_Model!$D$2:$D$9,MATCH(F94,Weekly_Model!$A$2:$A$9,0)),0),IFERROR(INDEX(Weekly_Model!$D$2:$D$9,MATCH(F95,Weekly_Model!$A$2:$A$9,0)),0)),IF(VLOOKUP($A93,Calendar!$A$1:$R$1377,18,0)=4,SUM(IFERROR(INDEX(Weekly_Model!$D$2:$D$9,MATCH(F93,Weekly_Model!$A$2:$A$9,0)),0),IFERROR(INDEX(Weekly_Model!$D$2:$D$9,MATCH(F94,Weekly_Model!$A$2:$A$9,0)),0),IFERROR(INDEX(Weekly_Model!$D$2:$D$9,MATCH(F95,Weekly_Model!$A$2:$A$9,0)),0),IFERROR(INDEX(Weekly_Model!$D$2:$D$9,MATCH(F96,Weekly_Model!$A$2:$A$9,0)),0)),IF(VLOOKUP($A93,Calendar!$A$1:$R$1377,18,0)=5,SUM(IFERROR(INDEX(Weekly_Model!$D$2:$D$9,MATCH(F93,Weekly_Model!$A$2:$A$9,0)),0),IFERROR(INDEX(Weekly_Model!$D$2:$D$9,MATCH(F94,Weekly_Model!$A$2:$A$9,0)),0),IFERROR(INDEX(Weekly_Model!$D$2:$D$9,MATCH(F95,Weekly_Model!$A$2:$A$9,0)),0),IFERROR(INDEX(Weekly_Model!$D$2:$D$9,MATCH(F96,Weekly_Model!$A$2:$A$9,0)),0),IFERROR(INDEX(Weekly_Model!$D$2:$D$9,MATCH(F97,Weekly_Model!$A$2:$A$9,0)),0)),0))))))</f>
        <v>0</v>
      </c>
      <c r="L93" s="27">
        <f>IF(VLOOKUP($A93,Calendar!$A$1:$R$1377,18,0)=0,0,IF(VLOOKUP($A93,Calendar!$A$1:$R$1377,18,0)=1,IFERROR(INDEX(Fortnightly_Model!$D$2:$D$15,MATCH(G93,Fortnightly_Model!$B$2:$B$15,0)),0),IF(VLOOKUP($A93,Calendar!$A$1:$R$1377,18,0)=2,SUM(IFERROR(INDEX(Fortnightly_Model!$D$2:$D$15,MATCH(G93,Fortnightly_Model!$B$2:$B$15,0)),0),IFERROR(INDEX(Fortnightly_Model!$D$2:$D$15,MATCH(G94,Fortnightly_Model!$B$2:$B$15,0)),0)),IF(VLOOKUP($A93,Calendar!$A$1:$R$1377,18,0)=3,SUM(IFERROR(INDEX(Fortnightly_Model!$D$2:$D$15,MATCH(G93,Fortnightly_Model!$B$2:$B$15,0)),0),IFERROR(INDEX(Fortnightly_Model!$D$2:$D$15,MATCH(G94,Fortnightly_Model!$B$2:$B$15,0)),0),IFERROR(INDEX(Fortnightly_Model!$D$2:$D$15,MATCH(G95,Fortnightly_Model!$B$2:$B$15,0)),0)),IF(VLOOKUP($A93,Calendar!$A$1:$R$1377,18,0)=4,SUM(IFERROR(INDEX(Fortnightly_Model!$D$2:$D$15,MATCH(G93,Fortnightly_Model!$B$2:$B$15,0)),0),IFERROR(INDEX(Fortnightly_Model!$D$2:$D$15,MATCH(G94,Fortnightly_Model!$B$2:$B$15,0)),0),IFERROR(INDEX(Fortnightly_Model!$D$2:$D$15,MATCH(G95,Fortnightly_Model!$B$2:$B$15,0)),0),IFERROR(INDEX(Fortnightly_Model!$D$2:$D$15,MATCH(G96,Fortnightly_Model!$B$2:$B$15,0)),0)),IF(VLOOKUP($A93,Calendar!$A$1:$R$1377,18,0)=5,SUM(IFERROR(INDEX(Fortnightly_Model!$D$2:$D$15,MATCH(G93,Fortnightly_Model!$B$2:$B$15,0)),0),IFERROR(INDEX(Fortnightly_Model!$D$2:$D$15,MATCH(G94,Fortnightly_Model!$B$2:$B$15,0)),0),IFERROR(INDEX(Fortnightly_Model!$D$2:$D$15,MATCH(G95,Fortnightly_Model!$B$2:$B$15,0)),0),IFERROR(INDEX(Fortnightly_Model!$D$2:$D$15,MATCH(G96,Fortnightly_Model!$B$2:$B$15,0)),0),IFERROR(INDEX(Fortnightly_Model!$D$2:$D$15,MATCH(G97,Fortnightly_Model!$B$2:$B$15,0)),0)),0))))))</f>
        <v>0</v>
      </c>
      <c r="M93" s="27">
        <f>IF(VLOOKUP($A93,Calendar!$A$1:$R$1377,18,0)=0,0,IF(VLOOKUP($A93,Calendar!$A$1:$R$1377,18,0)=1,IFERROR(INDEX(FourWeekly_Model!$D$2:$D$29,MATCH(H93,FourWeekly_Model!$B$2:$B$29,0)),0),IF(VLOOKUP($A93,Calendar!$A$1:$R$1377,18,0)=2,SUM(IFERROR(INDEX(FourWeekly_Model!$D$2:$D$29,MATCH(H93,FourWeekly_Model!$B$2:$B$29,0)),0),IFERROR(INDEX(FourWeekly_Model!$D$2:$D$29,MATCH(H94,FourWeekly_Model!$B$2:$B$29,0)),0)),IF(VLOOKUP($A93,Calendar!$A$1:$R$1377,18,0)=3,SUM(IFERROR(INDEX(FourWeekly_Model!$D$2:$D$29,MATCH(H93,FourWeekly_Model!$B$2:$B$29,0)),0),IFERROR(INDEX(FourWeekly_Model!$D$2:$D$29,MATCH(H94,FourWeekly_Model!$B$2:$B$29,0)),0),IFERROR(INDEX(FourWeekly_Model!$D$2:$D$29,MATCH(H95,FourWeekly_Model!$B$2:$B$29,0)),0)),IF(VLOOKUP($A93,Calendar!$A$1:$R$1377,18,0)=4,SUM(IFERROR(INDEX(FourWeekly_Model!$D$2:$D$29,MATCH(H93,FourWeekly_Model!$B$2:$B$29,0)),0),IFERROR(INDEX(FourWeekly_Model!$D$2:$D$29,MATCH(H94,FourWeekly_Model!$B$2:$B$29,0)),0),IFERROR(INDEX(FourWeekly_Model!$D$2:$D$29,MATCH(H95,FourWeekly_Model!$B$2:$B$29,0)),0),IFERROR(INDEX(FourWeekly_Model!$D$2:$D$29,MATCH(H96,FourWeekly_Model!$B$2:$B$29,0)),0)),IF(VLOOKUP($A93,Calendar!$A$1:$R$1377,18,0)=5,SUM(IFERROR(INDEX(FourWeekly_Model!$D$2:$D$29,MATCH(H93,FourWeekly_Model!$B$2:$B$29,0)),0),IFERROR(INDEX(FourWeekly_Model!$D$2:$D$29,MATCH(H94,FourWeekly_Model!$B$2:$B$29,0)),0),IFERROR(INDEX(FourWeekly_Model!$D$2:$D$29,MATCH(H95,FourWeekly_Model!$B$2:$B$29,0)),0),IFERROR(INDEX(FourWeekly_Model!$D$2:$D$29,MATCH(H96,FourWeekly_Model!$B$2:$B$29,0)),0),IFERROR(INDEX(FourWeekly_Model!$D$2:$D$29,MATCH(H97,FourWeekly_Model!$B$2:$B$29,0)),0)),0))))))</f>
        <v>0</v>
      </c>
      <c r="N93" s="27">
        <f>SUM(I93:M93)</f>
        <v>0.12416000000000001</v>
      </c>
      <c r="O93" s="28">
        <f>Population_Data!$B$8*N93</f>
        <v>3762048</v>
      </c>
      <c r="P93" s="27">
        <f>IF(VLOOKUP($A93,Calendar!$A$1:$R$1377,18,0)=0,0,IF(VLOOKUP($A93,Calendar!$A$1:$R$1377,18,0)=1,IFERROR(INDEX(Pension_Model!$D$2:$D$29,MATCH(H93,Pension_Model!$B$2:$B$29,0)),0),IF(VLOOKUP($A93,Calendar!$A$1:$R$1377,18,0)=2,SUM(IFERROR(INDEX(Pension_Model!$D$2:$D$29,MATCH(H93,Pension_Model!$B$2:$B$29,0)),0),IFERROR(INDEX(Pension_Model!$D$2:$D$29,MATCH(H94,Pension_Model!$B$2:$B$29,0)),0)),IF(VLOOKUP($A93,Calendar!$A$1:$R$1377,18,0)=3,SUM(IFERROR(INDEX(Pension_Model!$D$2:$D$29,MATCH(H93,Pension_Model!$B$2:$B$29,0)),0),IFERROR(INDEX(Pension_Model!$D$2:$D$29,MATCH(H94,Pension_Model!$B$2:$B$29,0)),0),IFERROR(INDEX(Pension_Model!$D$2:$D$29,MATCH(H95,Pension_Model!$B$2:$B$29,0)),0)),IF(VLOOKUP($A93,Calendar!$A$1:$R$1377,18,0)=4,SUM(IFERROR(INDEX(Pension_Model!$D$2:$D$29,MATCH(H93,Pension_Model!$B$2:$B$29,0)),0),IFERROR(INDEX(Pension_Model!$D$2:$D$29,MATCH(H94,Pension_Model!$B$2:$B$29,0)),0),IFERROR(INDEX(Pension_Model!$D$2:$D$29,MATCH(H95,Pension_Model!$B$2:$B$29,0)),0),IFERROR(INDEX(Pension_Model!$D$2:$D$29,MATCH(H96,Pension_Model!$B$2:$B$29,0)),0)),IF(VLOOKUP($A93,Calendar!$A$1:$R$1377,18,0)=5,SUM(IFERROR(INDEX(Pension_Model!$D$2:$D$29,MATCH(H93,Pension_Model!$B$2:$B$29,0)),0),IFERROR(INDEX(Pension_Model!$D$2:$D$29,MATCH(H94,Pension_Model!$B$2:$B$29,0)),0),IFERROR(INDEX(Pension_Model!$D$2:$D$29,MATCH(H95,Pension_Model!$B$2:$B$29,0)),0),IFERROR(INDEX(Pension_Model!$D$2:$D$29,MATCH(H96,Pension_Model!$B$2:$B$29,0)),0),IFERROR(INDEX(Pension_Model!$D$2:$D$29,MATCH(H97,Pension_Model!$B$2:$B$29,0)),0)),0))))))</f>
        <v>0</v>
      </c>
      <c r="Q93" s="28">
        <f>Population_Data!$B$15*P93</f>
        <v>0</v>
      </c>
      <c r="S93">
        <f t="shared" si="1"/>
        <v>3762048</v>
      </c>
      <c r="U93" s="33">
        <f>S93/Population_Data!$B$19</f>
        <v>6.8153043478260872E-2</v>
      </c>
    </row>
    <row r="94" spans="1:21">
      <c r="A94" s="25">
        <f>Calendar!A94</f>
        <v>46327</v>
      </c>
      <c r="B94" t="str">
        <f>Calendar!L94</f>
        <v>No</v>
      </c>
      <c r="C94" t="str">
        <f>Calendar!O94</f>
        <v>No</v>
      </c>
      <c r="D94" t="str">
        <f>Calendar!P94</f>
        <v>No</v>
      </c>
      <c r="E94" t="str">
        <f>Calendar!Q94</f>
        <v>No</v>
      </c>
      <c r="F94" t="str">
        <f>Calendar!I94</f>
        <v>Sunday</v>
      </c>
      <c r="G94">
        <f>Calendar!S94</f>
        <v>1</v>
      </c>
      <c r="H94">
        <f>Calendar!T94</f>
        <v>15</v>
      </c>
      <c r="I94" s="27">
        <f>IF(VLOOKUP(A94,Calendar!$A$1:$R$1377,18,0)=0,0,IF(VLOOKUP(A94,Calendar!$A$1:$R$1377,18,0)=1,INDEX(Monthly_Pay_Model!$A$9:$D$40,MATCH(TEXT(A94,"dd"),Monthly_Pay_Model!$C$9:$C$39,0),4),IF(VLOOKUP(A94,Calendar!$A$1:$R$1377,18,0)=2,SUM(INDEX(Monthly_Pay_Model!$A$9:$D$40,MATCH(TEXT(A94,"dd"),Monthly_Pay_Model!$C$9:$C$39,0),4),INDEX(Monthly_Pay_Model!$A$9:$D$40,MATCH(TEXT(A95,"dd"),Monthly_Pay_Model!$C$9:$C$39,0),4)),IF(VLOOKUP(A94,Calendar!$A$1:$R$1377,18,0)=3,SUM(INDEX(Monthly_Pay_Model!$A$9:$D$40,MATCH(TEXT(A94,"dd"),Monthly_Pay_Model!$C$9:$C$39,0),4),INDEX(Monthly_Pay_Model!$A$9:$D$40,MATCH(TEXT(A95,"dd"),Monthly_Pay_Model!$C$9:$C$39,0),4),INDEX(Monthly_Pay_Model!$A$9:$D$40,MATCH(TEXT(A96,"dd"),Monthly_Pay_Model!$C$9:$C$39,0),4)),IF(VLOOKUP(A94,Calendar!$A$1:$R$1377,18,0)=4,SUM(INDEX(Monthly_Pay_Model!$A$9:$D$40,MATCH(TEXT(A94,"dd"),Monthly_Pay_Model!$C$9:$C$39,0),4),INDEX(Monthly_Pay_Model!$A$9:$D$40,MATCH(TEXT(A95,"dd"),Monthly_Pay_Model!$C$9:$C$39,0),4),INDEX(Monthly_Pay_Model!$A$9:$D$40,MATCH(TEXT(A96,"dd"),Monthly_Pay_Model!$C$9:$C$39,0),4),INDEX(Monthly_Pay_Model!$A$9:$D$40,MATCH(TEXT(A97,"dd"),Monthly_Pay_Model!$C$9:$C$39,0),4)),IF(VLOOKUP(A94,Calendar!$A$1:$R$1377,18,0)=5,SUM(INDEX(Monthly_Pay_Model!$A$9:$D$40,MATCH(TEXT(A94,"dd"),Monthly_Pay_Model!$C$9:$C$39,0),4),INDEX(Monthly_Pay_Model!$A$9:$D$40,MATCH(TEXT(A95,"dd"),Monthly_Pay_Model!$C$9:$C$39,0),4),INDEX(Monthly_Pay_Model!$A$9:$D$40,MATCH(TEXT(A96,"dd"),Monthly_Pay_Model!$C$9:$C$39,0),4),INDEX(Monthly_Pay_Model!$A$9:$D$40,MATCH(TEXT(A97,"dd"),Monthly_Pay_Model!$C$9:$C$39,0),4),INDEX(Monthly_Pay_Model!$A$9:$D$40,MATCH(TEXT(A98,"dd"),Monthly_Pay_Model!$C$9:$C$39,0),4)),))))))</f>
        <v>0</v>
      </c>
      <c r="J94" s="33">
        <f>IF(C94="Yes",Monthly_Pay_Model!$D$2,0)
+IF(Calendar!N94="Yes",Monthly_Pay_Model!$D$3,0)
+IF(D94="Yes",Monthly_Pay_Model!$D$4,0)
+IF(E94="Yes",Monthly_Pay_Model!$D$5,0)</f>
        <v>0</v>
      </c>
      <c r="K94" s="27">
        <f>IF(VLOOKUP($A94,Calendar!$A$1:$R$1377,18,0)=0,0,IF(VLOOKUP($A94,Calendar!$A$1:$R$1377,18,0)=1,IFERROR(INDEX(Weekly_Model!$D$2:$D$9,MATCH(F94,Weekly_Model!$A$2:$A$9,0)),0),IF(VLOOKUP($A94,Calendar!$A$1:$R$1377,18,0)=2,SUM(IFERROR(INDEX(Weekly_Model!$D$2:$D$9,MATCH(F94,Weekly_Model!$A$2:$A$9,0)),0),IFERROR(INDEX(Weekly_Model!$D$2:$D$9,MATCH(F95,Weekly_Model!$A$2:$A$9,0)),0)),IF(VLOOKUP($A94,Calendar!$A$1:$R$1377,18,0)=3,SUM(IFERROR(INDEX(Weekly_Model!$D$2:$D$9,MATCH(F94,Weekly_Model!$A$2:$A$9,0)),0),IFERROR(INDEX(Weekly_Model!$D$2:$D$9,MATCH(F95,Weekly_Model!$A$2:$A$9,0)),0),IFERROR(INDEX(Weekly_Model!$D$2:$D$9,MATCH(F96,Weekly_Model!$A$2:$A$9,0)),0)),IF(VLOOKUP($A94,Calendar!$A$1:$R$1377,18,0)=4,SUM(IFERROR(INDEX(Weekly_Model!$D$2:$D$9,MATCH(F94,Weekly_Model!$A$2:$A$9,0)),0),IFERROR(INDEX(Weekly_Model!$D$2:$D$9,MATCH(F95,Weekly_Model!$A$2:$A$9,0)),0),IFERROR(INDEX(Weekly_Model!$D$2:$D$9,MATCH(F96,Weekly_Model!$A$2:$A$9,0)),0),IFERROR(INDEX(Weekly_Model!$D$2:$D$9,MATCH(F97,Weekly_Model!$A$2:$A$9,0)),0)),IF(VLOOKUP($A94,Calendar!$A$1:$R$1377,18,0)=5,SUM(IFERROR(INDEX(Weekly_Model!$D$2:$D$9,MATCH(F94,Weekly_Model!$A$2:$A$9,0)),0),IFERROR(INDEX(Weekly_Model!$D$2:$D$9,MATCH(F95,Weekly_Model!$A$2:$A$9,0)),0),IFERROR(INDEX(Weekly_Model!$D$2:$D$9,MATCH(F96,Weekly_Model!$A$2:$A$9,0)),0),IFERROR(INDEX(Weekly_Model!$D$2:$D$9,MATCH(F97,Weekly_Model!$A$2:$A$9,0)),0),IFERROR(INDEX(Weekly_Model!$D$2:$D$9,MATCH(F98,Weekly_Model!$A$2:$A$9,0)),0)),0))))))</f>
        <v>0</v>
      </c>
      <c r="L94" s="27">
        <f>IF(VLOOKUP($A94,Calendar!$A$1:$R$1377,18,0)=0,0,IF(VLOOKUP($A94,Calendar!$A$1:$R$1377,18,0)=1,IFERROR(INDEX(Fortnightly_Model!$D$2:$D$15,MATCH(G94,Fortnightly_Model!$B$2:$B$15,0)),0),IF(VLOOKUP($A94,Calendar!$A$1:$R$1377,18,0)=2,SUM(IFERROR(INDEX(Fortnightly_Model!$D$2:$D$15,MATCH(G94,Fortnightly_Model!$B$2:$B$15,0)),0),IFERROR(INDEX(Fortnightly_Model!$D$2:$D$15,MATCH(G95,Fortnightly_Model!$B$2:$B$15,0)),0)),IF(VLOOKUP($A94,Calendar!$A$1:$R$1377,18,0)=3,SUM(IFERROR(INDEX(Fortnightly_Model!$D$2:$D$15,MATCH(G94,Fortnightly_Model!$B$2:$B$15,0)),0),IFERROR(INDEX(Fortnightly_Model!$D$2:$D$15,MATCH(G95,Fortnightly_Model!$B$2:$B$15,0)),0),IFERROR(INDEX(Fortnightly_Model!$D$2:$D$15,MATCH(G96,Fortnightly_Model!$B$2:$B$15,0)),0)),IF(VLOOKUP($A94,Calendar!$A$1:$R$1377,18,0)=4,SUM(IFERROR(INDEX(Fortnightly_Model!$D$2:$D$15,MATCH(G94,Fortnightly_Model!$B$2:$B$15,0)),0),IFERROR(INDEX(Fortnightly_Model!$D$2:$D$15,MATCH(G95,Fortnightly_Model!$B$2:$B$15,0)),0),IFERROR(INDEX(Fortnightly_Model!$D$2:$D$15,MATCH(G96,Fortnightly_Model!$B$2:$B$15,0)),0),IFERROR(INDEX(Fortnightly_Model!$D$2:$D$15,MATCH(G97,Fortnightly_Model!$B$2:$B$15,0)),0)),IF(VLOOKUP($A94,Calendar!$A$1:$R$1377,18,0)=5,SUM(IFERROR(INDEX(Fortnightly_Model!$D$2:$D$15,MATCH(G94,Fortnightly_Model!$B$2:$B$15,0)),0),IFERROR(INDEX(Fortnightly_Model!$D$2:$D$15,MATCH(G95,Fortnightly_Model!$B$2:$B$15,0)),0),IFERROR(INDEX(Fortnightly_Model!$D$2:$D$15,MATCH(G96,Fortnightly_Model!$B$2:$B$15,0)),0),IFERROR(INDEX(Fortnightly_Model!$D$2:$D$15,MATCH(G97,Fortnightly_Model!$B$2:$B$15,0)),0),IFERROR(INDEX(Fortnightly_Model!$D$2:$D$15,MATCH(G98,Fortnightly_Model!$B$2:$B$15,0)),0)),0))))))</f>
        <v>0</v>
      </c>
      <c r="M94" s="27">
        <f>IF(VLOOKUP($A94,Calendar!$A$1:$R$1377,18,0)=0,0,IF(VLOOKUP($A94,Calendar!$A$1:$R$1377,18,0)=1,IFERROR(INDEX(FourWeekly_Model!$D$2:$D$29,MATCH(H94,FourWeekly_Model!$B$2:$B$29,0)),0),IF(VLOOKUP($A94,Calendar!$A$1:$R$1377,18,0)=2,SUM(IFERROR(INDEX(FourWeekly_Model!$D$2:$D$29,MATCH(H94,FourWeekly_Model!$B$2:$B$29,0)),0),IFERROR(INDEX(FourWeekly_Model!$D$2:$D$29,MATCH(H95,FourWeekly_Model!$B$2:$B$29,0)),0)),IF(VLOOKUP($A94,Calendar!$A$1:$R$1377,18,0)=3,SUM(IFERROR(INDEX(FourWeekly_Model!$D$2:$D$29,MATCH(H94,FourWeekly_Model!$B$2:$B$29,0)),0),IFERROR(INDEX(FourWeekly_Model!$D$2:$D$29,MATCH(H95,FourWeekly_Model!$B$2:$B$29,0)),0),IFERROR(INDEX(FourWeekly_Model!$D$2:$D$29,MATCH(H96,FourWeekly_Model!$B$2:$B$29,0)),0)),IF(VLOOKUP($A94,Calendar!$A$1:$R$1377,18,0)=4,SUM(IFERROR(INDEX(FourWeekly_Model!$D$2:$D$29,MATCH(H94,FourWeekly_Model!$B$2:$B$29,0)),0),IFERROR(INDEX(FourWeekly_Model!$D$2:$D$29,MATCH(H95,FourWeekly_Model!$B$2:$B$29,0)),0),IFERROR(INDEX(FourWeekly_Model!$D$2:$D$29,MATCH(H96,FourWeekly_Model!$B$2:$B$29,0)),0),IFERROR(INDEX(FourWeekly_Model!$D$2:$D$29,MATCH(H97,FourWeekly_Model!$B$2:$B$29,0)),0)),IF(VLOOKUP($A94,Calendar!$A$1:$R$1377,18,0)=5,SUM(IFERROR(INDEX(FourWeekly_Model!$D$2:$D$29,MATCH(H94,FourWeekly_Model!$B$2:$B$29,0)),0),IFERROR(INDEX(FourWeekly_Model!$D$2:$D$29,MATCH(H95,FourWeekly_Model!$B$2:$B$29,0)),0),IFERROR(INDEX(FourWeekly_Model!$D$2:$D$29,MATCH(H96,FourWeekly_Model!$B$2:$B$29,0)),0),IFERROR(INDEX(FourWeekly_Model!$D$2:$D$29,MATCH(H97,FourWeekly_Model!$B$2:$B$29,0)),0),IFERROR(INDEX(FourWeekly_Model!$D$2:$D$29,MATCH(H98,FourWeekly_Model!$B$2:$B$29,0)),0)),0))))))</f>
        <v>0</v>
      </c>
      <c r="N94" s="27">
        <f>SUM(I94:M94)</f>
        <v>0</v>
      </c>
      <c r="O94" s="28">
        <f>Population_Data!$B$8*N94</f>
        <v>0</v>
      </c>
      <c r="P94" s="27">
        <f>IF(VLOOKUP($A94,Calendar!$A$1:$R$1377,18,0)=0,0,IF(VLOOKUP($A94,Calendar!$A$1:$R$1377,18,0)=1,IFERROR(INDEX(Pension_Model!$D$2:$D$29,MATCH(H94,Pension_Model!$B$2:$B$29,0)),0),IF(VLOOKUP($A94,Calendar!$A$1:$R$1377,18,0)=2,SUM(IFERROR(INDEX(Pension_Model!$D$2:$D$29,MATCH(H94,Pension_Model!$B$2:$B$29,0)),0),IFERROR(INDEX(Pension_Model!$D$2:$D$29,MATCH(H95,Pension_Model!$B$2:$B$29,0)),0)),IF(VLOOKUP($A94,Calendar!$A$1:$R$1377,18,0)=3,SUM(IFERROR(INDEX(Pension_Model!$D$2:$D$29,MATCH(H94,Pension_Model!$B$2:$B$29,0)),0),IFERROR(INDEX(Pension_Model!$D$2:$D$29,MATCH(H95,Pension_Model!$B$2:$B$29,0)),0),IFERROR(INDEX(Pension_Model!$D$2:$D$29,MATCH(H96,Pension_Model!$B$2:$B$29,0)),0)),IF(VLOOKUP($A94,Calendar!$A$1:$R$1377,18,0)=4,SUM(IFERROR(INDEX(Pension_Model!$D$2:$D$29,MATCH(H94,Pension_Model!$B$2:$B$29,0)),0),IFERROR(INDEX(Pension_Model!$D$2:$D$29,MATCH(H95,Pension_Model!$B$2:$B$29,0)),0),IFERROR(INDEX(Pension_Model!$D$2:$D$29,MATCH(H96,Pension_Model!$B$2:$B$29,0)),0),IFERROR(INDEX(Pension_Model!$D$2:$D$29,MATCH(H97,Pension_Model!$B$2:$B$29,0)),0)),IF(VLOOKUP($A94,Calendar!$A$1:$R$1377,18,0)=5,SUM(IFERROR(INDEX(Pension_Model!$D$2:$D$29,MATCH(H94,Pension_Model!$B$2:$B$29,0)),0),IFERROR(INDEX(Pension_Model!$D$2:$D$29,MATCH(H95,Pension_Model!$B$2:$B$29,0)),0),IFERROR(INDEX(Pension_Model!$D$2:$D$29,MATCH(H96,Pension_Model!$B$2:$B$29,0)),0),IFERROR(INDEX(Pension_Model!$D$2:$D$29,MATCH(H97,Pension_Model!$B$2:$B$29,0)),0),IFERROR(INDEX(Pension_Model!$D$2:$D$29,MATCH(H98,Pension_Model!$B$2:$B$29,0)),0)),0))))))</f>
        <v>0</v>
      </c>
      <c r="Q94" s="28">
        <f>Population_Data!$B$15*P94</f>
        <v>0</v>
      </c>
      <c r="S94">
        <f t="shared" si="1"/>
        <v>0</v>
      </c>
      <c r="U94" s="33">
        <f>S94/Population_Data!$B$19</f>
        <v>0</v>
      </c>
    </row>
    <row r="95" spans="1:21">
      <c r="A95" s="25">
        <f>Calendar!A95</f>
        <v>46328</v>
      </c>
      <c r="B95" t="str">
        <f>Calendar!L95</f>
        <v>Yes</v>
      </c>
      <c r="C95" t="str">
        <f>Calendar!O95</f>
        <v>No</v>
      </c>
      <c r="D95" t="str">
        <f>Calendar!P95</f>
        <v>No</v>
      </c>
      <c r="E95" t="str">
        <f>Calendar!Q95</f>
        <v>No</v>
      </c>
      <c r="F95" t="str">
        <f>Calendar!I95</f>
        <v>Monday</v>
      </c>
      <c r="G95">
        <f>Calendar!S95</f>
        <v>2</v>
      </c>
      <c r="H95">
        <f>Calendar!T95</f>
        <v>16</v>
      </c>
      <c r="I95" s="27">
        <f>IF(VLOOKUP(A95,Calendar!$A$1:$R$1377,18,0)=0,0,IF(VLOOKUP(A95,Calendar!$A$1:$R$1377,18,0)=1,INDEX(Monthly_Pay_Model!$A$9:$D$40,MATCH(TEXT(A95,"dd"),Monthly_Pay_Model!$C$9:$C$39,0),4),IF(VLOOKUP(A95,Calendar!$A$1:$R$1377,18,0)=2,SUM(INDEX(Monthly_Pay_Model!$A$9:$D$40,MATCH(TEXT(A95,"dd"),Monthly_Pay_Model!$C$9:$C$39,0),4),INDEX(Monthly_Pay_Model!$A$9:$D$40,MATCH(TEXT(A96,"dd"),Monthly_Pay_Model!$C$9:$C$39,0),4)),IF(VLOOKUP(A95,Calendar!$A$1:$R$1377,18,0)=3,SUM(INDEX(Monthly_Pay_Model!$A$9:$D$40,MATCH(TEXT(A95,"dd"),Monthly_Pay_Model!$C$9:$C$39,0),4),INDEX(Monthly_Pay_Model!$A$9:$D$40,MATCH(TEXT(A96,"dd"),Monthly_Pay_Model!$C$9:$C$39,0),4),INDEX(Monthly_Pay_Model!$A$9:$D$40,MATCH(TEXT(A97,"dd"),Monthly_Pay_Model!$C$9:$C$39,0),4)),IF(VLOOKUP(A95,Calendar!$A$1:$R$1377,18,0)=4,SUM(INDEX(Monthly_Pay_Model!$A$9:$D$40,MATCH(TEXT(A95,"dd"),Monthly_Pay_Model!$C$9:$C$39,0),4),INDEX(Monthly_Pay_Model!$A$9:$D$40,MATCH(TEXT(A96,"dd"),Monthly_Pay_Model!$C$9:$C$39,0),4),INDEX(Monthly_Pay_Model!$A$9:$D$40,MATCH(TEXT(A97,"dd"),Monthly_Pay_Model!$C$9:$C$39,0),4),INDEX(Monthly_Pay_Model!$A$9:$D$40,MATCH(TEXT(A98,"dd"),Monthly_Pay_Model!$C$9:$C$39,0),4)),IF(VLOOKUP(A95,Calendar!$A$1:$R$1377,18,0)=5,SUM(INDEX(Monthly_Pay_Model!$A$9:$D$40,MATCH(TEXT(A95,"dd"),Monthly_Pay_Model!$C$9:$C$39,0),4),INDEX(Monthly_Pay_Model!$A$9:$D$40,MATCH(TEXT(A96,"dd"),Monthly_Pay_Model!$C$9:$C$39,0),4),INDEX(Monthly_Pay_Model!$A$9:$D$40,MATCH(TEXT(A97,"dd"),Monthly_Pay_Model!$C$9:$C$39,0),4),INDEX(Monthly_Pay_Model!$A$9:$D$40,MATCH(TEXT(A98,"dd"),Monthly_Pay_Model!$C$9:$C$39,0),4),INDEX(Monthly_Pay_Model!$A$9:$D$40,MATCH(TEXT(A99,"dd"),Monthly_Pay_Model!$C$9:$C$39,0),4)),))))))</f>
        <v>8.1256544502617792E-4</v>
      </c>
      <c r="J95" s="33">
        <f>IF(C95="Yes",Monthly_Pay_Model!$D$2,0)
+IF(Calendar!N95="Yes",Monthly_Pay_Model!$D$3,0)
+IF(D95="Yes",Monthly_Pay_Model!$D$4,0)
+IF(E95="Yes",Monthly_Pay_Model!$D$5,0)</f>
        <v>0</v>
      </c>
      <c r="K95" s="27">
        <f>IF(VLOOKUP($A95,Calendar!$A$1:$R$1377,18,0)=0,0,IF(VLOOKUP($A95,Calendar!$A$1:$R$1377,18,0)=1,IFERROR(INDEX(Weekly_Model!$D$2:$D$9,MATCH(F95,Weekly_Model!$A$2:$A$9,0)),0),IF(VLOOKUP($A95,Calendar!$A$1:$R$1377,18,0)=2,SUM(IFERROR(INDEX(Weekly_Model!$D$2:$D$9,MATCH(F95,Weekly_Model!$A$2:$A$9,0)),0),IFERROR(INDEX(Weekly_Model!$D$2:$D$9,MATCH(F96,Weekly_Model!$A$2:$A$9,0)),0)),IF(VLOOKUP($A95,Calendar!$A$1:$R$1377,18,0)=3,SUM(IFERROR(INDEX(Weekly_Model!$D$2:$D$9,MATCH(F95,Weekly_Model!$A$2:$A$9,0)),0),IFERROR(INDEX(Weekly_Model!$D$2:$D$9,MATCH(F96,Weekly_Model!$A$2:$A$9,0)),0),IFERROR(INDEX(Weekly_Model!$D$2:$D$9,MATCH(F97,Weekly_Model!$A$2:$A$9,0)),0)),IF(VLOOKUP($A95,Calendar!$A$1:$R$1377,18,0)=4,SUM(IFERROR(INDEX(Weekly_Model!$D$2:$D$9,MATCH(F95,Weekly_Model!$A$2:$A$9,0)),0),IFERROR(INDEX(Weekly_Model!$D$2:$D$9,MATCH(F96,Weekly_Model!$A$2:$A$9,0)),0),IFERROR(INDEX(Weekly_Model!$D$2:$D$9,MATCH(F97,Weekly_Model!$A$2:$A$9,0)),0),IFERROR(INDEX(Weekly_Model!$D$2:$D$9,MATCH(F98,Weekly_Model!$A$2:$A$9,0)),0)),IF(VLOOKUP($A95,Calendar!$A$1:$R$1377,18,0)=5,SUM(IFERROR(INDEX(Weekly_Model!$D$2:$D$9,MATCH(F95,Weekly_Model!$A$2:$A$9,0)),0),IFERROR(INDEX(Weekly_Model!$D$2:$D$9,MATCH(F96,Weekly_Model!$A$2:$A$9,0)),0),IFERROR(INDEX(Weekly_Model!$D$2:$D$9,MATCH(F97,Weekly_Model!$A$2:$A$9,0)),0),IFERROR(INDEX(Weekly_Model!$D$2:$D$9,MATCH(F98,Weekly_Model!$A$2:$A$9,0)),0),IFERROR(INDEX(Weekly_Model!$D$2:$D$9,MATCH(F99,Weekly_Model!$A$2:$A$9,0)),0)),0))))))</f>
        <v>2.3200000000000002E-2</v>
      </c>
      <c r="L95" s="27">
        <f>IF(VLOOKUP($A95,Calendar!$A$1:$R$1377,18,0)=0,0,IF(VLOOKUP($A95,Calendar!$A$1:$R$1377,18,0)=1,IFERROR(INDEX(Fortnightly_Model!$D$2:$D$15,MATCH(G95,Fortnightly_Model!$B$2:$B$15,0)),0),IF(VLOOKUP($A95,Calendar!$A$1:$R$1377,18,0)=2,SUM(IFERROR(INDEX(Fortnightly_Model!$D$2:$D$15,MATCH(G95,Fortnightly_Model!$B$2:$B$15,0)),0),IFERROR(INDEX(Fortnightly_Model!$D$2:$D$15,MATCH(G96,Fortnightly_Model!$B$2:$B$15,0)),0)),IF(VLOOKUP($A95,Calendar!$A$1:$R$1377,18,0)=3,SUM(IFERROR(INDEX(Fortnightly_Model!$D$2:$D$15,MATCH(G95,Fortnightly_Model!$B$2:$B$15,0)),0),IFERROR(INDEX(Fortnightly_Model!$D$2:$D$15,MATCH(G96,Fortnightly_Model!$B$2:$B$15,0)),0),IFERROR(INDEX(Fortnightly_Model!$D$2:$D$15,MATCH(G97,Fortnightly_Model!$B$2:$B$15,0)),0)),IF(VLOOKUP($A95,Calendar!$A$1:$R$1377,18,0)=4,SUM(IFERROR(INDEX(Fortnightly_Model!$D$2:$D$15,MATCH(G95,Fortnightly_Model!$B$2:$B$15,0)),0),IFERROR(INDEX(Fortnightly_Model!$D$2:$D$15,MATCH(G96,Fortnightly_Model!$B$2:$B$15,0)),0),IFERROR(INDEX(Fortnightly_Model!$D$2:$D$15,MATCH(G97,Fortnightly_Model!$B$2:$B$15,0)),0),IFERROR(INDEX(Fortnightly_Model!$D$2:$D$15,MATCH(G98,Fortnightly_Model!$B$2:$B$15,0)),0)),IF(VLOOKUP($A95,Calendar!$A$1:$R$1377,18,0)=5,SUM(IFERROR(INDEX(Fortnightly_Model!$D$2:$D$15,MATCH(G95,Fortnightly_Model!$B$2:$B$15,0)),0),IFERROR(INDEX(Fortnightly_Model!$D$2:$D$15,MATCH(G96,Fortnightly_Model!$B$2:$B$15,0)),0),IFERROR(INDEX(Fortnightly_Model!$D$2:$D$15,MATCH(G97,Fortnightly_Model!$B$2:$B$15,0)),0),IFERROR(INDEX(Fortnightly_Model!$D$2:$D$15,MATCH(G98,Fortnightly_Model!$B$2:$B$15,0)),0),IFERROR(INDEX(Fortnightly_Model!$D$2:$D$15,MATCH(G99,Fortnightly_Model!$B$2:$B$15,0)),0)),0))))))</f>
        <v>1.0714285499999999E-3</v>
      </c>
      <c r="M95" s="27">
        <f>IF(VLOOKUP($A95,Calendar!$A$1:$R$1377,18,0)=0,0,IF(VLOOKUP($A95,Calendar!$A$1:$R$1377,18,0)=1,IFERROR(INDEX(FourWeekly_Model!$D$2:$D$29,MATCH(H95,FourWeekly_Model!$B$2:$B$29,0)),0),IF(VLOOKUP($A95,Calendar!$A$1:$R$1377,18,0)=2,SUM(IFERROR(INDEX(FourWeekly_Model!$D$2:$D$29,MATCH(H95,FourWeekly_Model!$B$2:$B$29,0)),0),IFERROR(INDEX(FourWeekly_Model!$D$2:$D$29,MATCH(H96,FourWeekly_Model!$B$2:$B$29,0)),0)),IF(VLOOKUP($A95,Calendar!$A$1:$R$1377,18,0)=3,SUM(IFERROR(INDEX(FourWeekly_Model!$D$2:$D$29,MATCH(H95,FourWeekly_Model!$B$2:$B$29,0)),0),IFERROR(INDEX(FourWeekly_Model!$D$2:$D$29,MATCH(H96,FourWeekly_Model!$B$2:$B$29,0)),0),IFERROR(INDEX(FourWeekly_Model!$D$2:$D$29,MATCH(H97,FourWeekly_Model!$B$2:$B$29,0)),0)),IF(VLOOKUP($A95,Calendar!$A$1:$R$1377,18,0)=4,SUM(IFERROR(INDEX(FourWeekly_Model!$D$2:$D$29,MATCH(H95,FourWeekly_Model!$B$2:$B$29,0)),0),IFERROR(INDEX(FourWeekly_Model!$D$2:$D$29,MATCH(H96,FourWeekly_Model!$B$2:$B$29,0)),0),IFERROR(INDEX(FourWeekly_Model!$D$2:$D$29,MATCH(H97,FourWeekly_Model!$B$2:$B$29,0)),0),IFERROR(INDEX(FourWeekly_Model!$D$2:$D$29,MATCH(H98,FourWeekly_Model!$B$2:$B$29,0)),0)),IF(VLOOKUP($A95,Calendar!$A$1:$R$1377,18,0)=5,SUM(IFERROR(INDEX(FourWeekly_Model!$D$2:$D$29,MATCH(H95,FourWeekly_Model!$B$2:$B$29,0)),0),IFERROR(INDEX(FourWeekly_Model!$D$2:$D$29,MATCH(H96,FourWeekly_Model!$B$2:$B$29,0)),0),IFERROR(INDEX(FourWeekly_Model!$D$2:$D$29,MATCH(H97,FourWeekly_Model!$B$2:$B$29,0)),0),IFERROR(INDEX(FourWeekly_Model!$D$2:$D$29,MATCH(H98,FourWeekly_Model!$B$2:$B$29,0)),0),IFERROR(INDEX(FourWeekly_Model!$D$2:$D$29,MATCH(H99,FourWeekly_Model!$B$2:$B$29,0)),0)),0))))))</f>
        <v>3.3214289700000004E-3</v>
      </c>
      <c r="N95" s="27">
        <f>SUM(I95:M95)</f>
        <v>2.840542296502618E-2</v>
      </c>
      <c r="O95" s="28">
        <f>Population_Data!$B$8*N95</f>
        <v>860684.3158402933</v>
      </c>
      <c r="P95" s="27">
        <f>IF(VLOOKUP($A95,Calendar!$A$1:$R$1377,18,0)=0,0,IF(VLOOKUP($A95,Calendar!$A$1:$R$1377,18,0)=1,IFERROR(INDEX(Pension_Model!$D$2:$D$29,MATCH(H95,Pension_Model!$B$2:$B$29,0)),0),IF(VLOOKUP($A95,Calendar!$A$1:$R$1377,18,0)=2,SUM(IFERROR(INDEX(Pension_Model!$D$2:$D$29,MATCH(H95,Pension_Model!$B$2:$B$29,0)),0),IFERROR(INDEX(Pension_Model!$D$2:$D$29,MATCH(H96,Pension_Model!$B$2:$B$29,0)),0)),IF(VLOOKUP($A95,Calendar!$A$1:$R$1377,18,0)=3,SUM(IFERROR(INDEX(Pension_Model!$D$2:$D$29,MATCH(H95,Pension_Model!$B$2:$B$29,0)),0),IFERROR(INDEX(Pension_Model!$D$2:$D$29,MATCH(H96,Pension_Model!$B$2:$B$29,0)),0),IFERROR(INDEX(Pension_Model!$D$2:$D$29,MATCH(H97,Pension_Model!$B$2:$B$29,0)),0)),IF(VLOOKUP($A95,Calendar!$A$1:$R$1377,18,0)=4,SUM(IFERROR(INDEX(Pension_Model!$D$2:$D$29,MATCH(H95,Pension_Model!$B$2:$B$29,0)),0),IFERROR(INDEX(Pension_Model!$D$2:$D$29,MATCH(H96,Pension_Model!$B$2:$B$29,0)),0),IFERROR(INDEX(Pension_Model!$D$2:$D$29,MATCH(H97,Pension_Model!$B$2:$B$29,0)),0),IFERROR(INDEX(Pension_Model!$D$2:$D$29,MATCH(H98,Pension_Model!$B$2:$B$29,0)),0)),IF(VLOOKUP($A95,Calendar!$A$1:$R$1377,18,0)=5,SUM(IFERROR(INDEX(Pension_Model!$D$2:$D$29,MATCH(H95,Pension_Model!$B$2:$B$29,0)),0),IFERROR(INDEX(Pension_Model!$D$2:$D$29,MATCH(H96,Pension_Model!$B$2:$B$29,0)),0),IFERROR(INDEX(Pension_Model!$D$2:$D$29,MATCH(H97,Pension_Model!$B$2:$B$29,0)),0),IFERROR(INDEX(Pension_Model!$D$2:$D$29,MATCH(H98,Pension_Model!$B$2:$B$29,0)),0),IFERROR(INDEX(Pension_Model!$D$2:$D$29,MATCH(H99,Pension_Model!$B$2:$B$29,0)),0)),0))))))</f>
        <v>0.05</v>
      </c>
      <c r="Q95" s="28">
        <f>Population_Data!$B$15*P95</f>
        <v>660600</v>
      </c>
      <c r="S95">
        <f t="shared" si="1"/>
        <v>1521284.3158402932</v>
      </c>
      <c r="U95" s="33">
        <f>S95/Population_Data!$B$19</f>
        <v>2.7559498475367629E-2</v>
      </c>
    </row>
    <row r="96" spans="1:21">
      <c r="A96" s="25">
        <f>Calendar!A96</f>
        <v>46329</v>
      </c>
      <c r="B96" t="str">
        <f>Calendar!L96</f>
        <v>Yes</v>
      </c>
      <c r="C96" t="str">
        <f>Calendar!O96</f>
        <v>No</v>
      </c>
      <c r="D96" t="str">
        <f>Calendar!P96</f>
        <v>No</v>
      </c>
      <c r="E96" t="str">
        <f>Calendar!Q96</f>
        <v>No</v>
      </c>
      <c r="F96" t="str">
        <f>Calendar!I96</f>
        <v>Tuesday</v>
      </c>
      <c r="G96">
        <f>Calendar!S96</f>
        <v>3</v>
      </c>
      <c r="H96">
        <f>Calendar!T96</f>
        <v>17</v>
      </c>
      <c r="I96" s="27">
        <f>IF(VLOOKUP(A96,Calendar!$A$1:$R$1377,18,0)=0,0,IF(VLOOKUP(A96,Calendar!$A$1:$R$1377,18,0)=1,INDEX(Monthly_Pay_Model!$A$9:$D$40,MATCH(TEXT(A96,"dd"),Monthly_Pay_Model!$C$9:$C$39,0),4),IF(VLOOKUP(A96,Calendar!$A$1:$R$1377,18,0)=2,SUM(INDEX(Monthly_Pay_Model!$A$9:$D$40,MATCH(TEXT(A96,"dd"),Monthly_Pay_Model!$C$9:$C$39,0),4),INDEX(Monthly_Pay_Model!$A$9:$D$40,MATCH(TEXT(A97,"dd"),Monthly_Pay_Model!$C$9:$C$39,0),4)),IF(VLOOKUP(A96,Calendar!$A$1:$R$1377,18,0)=3,SUM(INDEX(Monthly_Pay_Model!$A$9:$D$40,MATCH(TEXT(A96,"dd"),Monthly_Pay_Model!$C$9:$C$39,0),4),INDEX(Monthly_Pay_Model!$A$9:$D$40,MATCH(TEXT(A97,"dd"),Monthly_Pay_Model!$C$9:$C$39,0),4),INDEX(Monthly_Pay_Model!$A$9:$D$40,MATCH(TEXT(A98,"dd"),Monthly_Pay_Model!$C$9:$C$39,0),4)),IF(VLOOKUP(A96,Calendar!$A$1:$R$1377,18,0)=4,SUM(INDEX(Monthly_Pay_Model!$A$9:$D$40,MATCH(TEXT(A96,"dd"),Monthly_Pay_Model!$C$9:$C$39,0),4),INDEX(Monthly_Pay_Model!$A$9:$D$40,MATCH(TEXT(A97,"dd"),Monthly_Pay_Model!$C$9:$C$39,0),4),INDEX(Monthly_Pay_Model!$A$9:$D$40,MATCH(TEXT(A98,"dd"),Monthly_Pay_Model!$C$9:$C$39,0),4),INDEX(Monthly_Pay_Model!$A$9:$D$40,MATCH(TEXT(A99,"dd"),Monthly_Pay_Model!$C$9:$C$39,0),4)),IF(VLOOKUP(A96,Calendar!$A$1:$R$1377,18,0)=5,SUM(INDEX(Monthly_Pay_Model!$A$9:$D$40,MATCH(TEXT(A96,"dd"),Monthly_Pay_Model!$C$9:$C$39,0),4),INDEX(Monthly_Pay_Model!$A$9:$D$40,MATCH(TEXT(A97,"dd"),Monthly_Pay_Model!$C$9:$C$39,0),4),INDEX(Monthly_Pay_Model!$A$9:$D$40,MATCH(TEXT(A98,"dd"),Monthly_Pay_Model!$C$9:$C$39,0),4),INDEX(Monthly_Pay_Model!$A$9:$D$40,MATCH(TEXT(A99,"dd"),Monthly_Pay_Model!$C$9:$C$39,0),4),INDEX(Monthly_Pay_Model!$A$9:$D$40,MATCH(TEXT(A100,"dd"),Monthly_Pay_Model!$C$9:$C$39,0),4)),))))))</f>
        <v>8.1256544502617792E-4</v>
      </c>
      <c r="J96" s="33">
        <f>IF(C96="Yes",Monthly_Pay_Model!$D$2,0)
+IF(Calendar!N96="Yes",Monthly_Pay_Model!$D$3,0)
+IF(D96="Yes",Monthly_Pay_Model!$D$4,0)
+IF(E96="Yes",Monthly_Pay_Model!$D$5,0)</f>
        <v>0</v>
      </c>
      <c r="K96" s="27">
        <f>IF(VLOOKUP($A96,Calendar!$A$1:$R$1377,18,0)=0,0,IF(VLOOKUP($A96,Calendar!$A$1:$R$1377,18,0)=1,IFERROR(INDEX(Weekly_Model!$D$2:$D$9,MATCH(F96,Weekly_Model!$A$2:$A$9,0)),0),IF(VLOOKUP($A96,Calendar!$A$1:$R$1377,18,0)=2,SUM(IFERROR(INDEX(Weekly_Model!$D$2:$D$9,MATCH(F96,Weekly_Model!$A$2:$A$9,0)),0),IFERROR(INDEX(Weekly_Model!$D$2:$D$9,MATCH(F97,Weekly_Model!$A$2:$A$9,0)),0)),IF(VLOOKUP($A96,Calendar!$A$1:$R$1377,18,0)=3,SUM(IFERROR(INDEX(Weekly_Model!$D$2:$D$9,MATCH(F96,Weekly_Model!$A$2:$A$9,0)),0),IFERROR(INDEX(Weekly_Model!$D$2:$D$9,MATCH(F97,Weekly_Model!$A$2:$A$9,0)),0),IFERROR(INDEX(Weekly_Model!$D$2:$D$9,MATCH(F98,Weekly_Model!$A$2:$A$9,0)),0)),IF(VLOOKUP($A96,Calendar!$A$1:$R$1377,18,0)=4,SUM(IFERROR(INDEX(Weekly_Model!$D$2:$D$9,MATCH(F96,Weekly_Model!$A$2:$A$9,0)),0),IFERROR(INDEX(Weekly_Model!$D$2:$D$9,MATCH(F97,Weekly_Model!$A$2:$A$9,0)),0),IFERROR(INDEX(Weekly_Model!$D$2:$D$9,MATCH(F98,Weekly_Model!$A$2:$A$9,0)),0),IFERROR(INDEX(Weekly_Model!$D$2:$D$9,MATCH(F99,Weekly_Model!$A$2:$A$9,0)),0)),IF(VLOOKUP($A96,Calendar!$A$1:$R$1377,18,0)=5,SUM(IFERROR(INDEX(Weekly_Model!$D$2:$D$9,MATCH(F96,Weekly_Model!$A$2:$A$9,0)),0),IFERROR(INDEX(Weekly_Model!$D$2:$D$9,MATCH(F97,Weekly_Model!$A$2:$A$9,0)),0),IFERROR(INDEX(Weekly_Model!$D$2:$D$9,MATCH(F98,Weekly_Model!$A$2:$A$9,0)),0),IFERROR(INDEX(Weekly_Model!$D$2:$D$9,MATCH(F99,Weekly_Model!$A$2:$A$9,0)),0),IFERROR(INDEX(Weekly_Model!$D$2:$D$9,MATCH(F100,Weekly_Model!$A$2:$A$9,0)),0)),0))))))</f>
        <v>2.3200000000000002E-2</v>
      </c>
      <c r="L96" s="27">
        <f>IF(VLOOKUP($A96,Calendar!$A$1:$R$1377,18,0)=0,0,IF(VLOOKUP($A96,Calendar!$A$1:$R$1377,18,0)=1,IFERROR(INDEX(Fortnightly_Model!$D$2:$D$15,MATCH(G96,Fortnightly_Model!$B$2:$B$15,0)),0),IF(VLOOKUP($A96,Calendar!$A$1:$R$1377,18,0)=2,SUM(IFERROR(INDEX(Fortnightly_Model!$D$2:$D$15,MATCH(G96,Fortnightly_Model!$B$2:$B$15,0)),0),IFERROR(INDEX(Fortnightly_Model!$D$2:$D$15,MATCH(G97,Fortnightly_Model!$B$2:$B$15,0)),0)),IF(VLOOKUP($A96,Calendar!$A$1:$R$1377,18,0)=3,SUM(IFERROR(INDEX(Fortnightly_Model!$D$2:$D$15,MATCH(G96,Fortnightly_Model!$B$2:$B$15,0)),0),IFERROR(INDEX(Fortnightly_Model!$D$2:$D$15,MATCH(G97,Fortnightly_Model!$B$2:$B$15,0)),0),IFERROR(INDEX(Fortnightly_Model!$D$2:$D$15,MATCH(G98,Fortnightly_Model!$B$2:$B$15,0)),0)),IF(VLOOKUP($A96,Calendar!$A$1:$R$1377,18,0)=4,SUM(IFERROR(INDEX(Fortnightly_Model!$D$2:$D$15,MATCH(G96,Fortnightly_Model!$B$2:$B$15,0)),0),IFERROR(INDEX(Fortnightly_Model!$D$2:$D$15,MATCH(G97,Fortnightly_Model!$B$2:$B$15,0)),0),IFERROR(INDEX(Fortnightly_Model!$D$2:$D$15,MATCH(G98,Fortnightly_Model!$B$2:$B$15,0)),0),IFERROR(INDEX(Fortnightly_Model!$D$2:$D$15,MATCH(G99,Fortnightly_Model!$B$2:$B$15,0)),0)),IF(VLOOKUP($A96,Calendar!$A$1:$R$1377,18,0)=5,SUM(IFERROR(INDEX(Fortnightly_Model!$D$2:$D$15,MATCH(G96,Fortnightly_Model!$B$2:$B$15,0)),0),IFERROR(INDEX(Fortnightly_Model!$D$2:$D$15,MATCH(G97,Fortnightly_Model!$B$2:$B$15,0)),0),IFERROR(INDEX(Fortnightly_Model!$D$2:$D$15,MATCH(G98,Fortnightly_Model!$B$2:$B$15,0)),0),IFERROR(INDEX(Fortnightly_Model!$D$2:$D$15,MATCH(G99,Fortnightly_Model!$B$2:$B$15,0)),0),IFERROR(INDEX(Fortnightly_Model!$D$2:$D$15,MATCH(G100,Fortnightly_Model!$B$2:$B$15,0)),0)),0))))))</f>
        <v>1.0714285499999999E-3</v>
      </c>
      <c r="M96" s="27">
        <f>IF(VLOOKUP($A96,Calendar!$A$1:$R$1377,18,0)=0,0,IF(VLOOKUP($A96,Calendar!$A$1:$R$1377,18,0)=1,IFERROR(INDEX(FourWeekly_Model!$D$2:$D$29,MATCH(H96,FourWeekly_Model!$B$2:$B$29,0)),0),IF(VLOOKUP($A96,Calendar!$A$1:$R$1377,18,0)=2,SUM(IFERROR(INDEX(FourWeekly_Model!$D$2:$D$29,MATCH(H96,FourWeekly_Model!$B$2:$B$29,0)),0),IFERROR(INDEX(FourWeekly_Model!$D$2:$D$29,MATCH(H97,FourWeekly_Model!$B$2:$B$29,0)),0)),IF(VLOOKUP($A96,Calendar!$A$1:$R$1377,18,0)=3,SUM(IFERROR(INDEX(FourWeekly_Model!$D$2:$D$29,MATCH(H96,FourWeekly_Model!$B$2:$B$29,0)),0),IFERROR(INDEX(FourWeekly_Model!$D$2:$D$29,MATCH(H97,FourWeekly_Model!$B$2:$B$29,0)),0),IFERROR(INDEX(FourWeekly_Model!$D$2:$D$29,MATCH(H98,FourWeekly_Model!$B$2:$B$29,0)),0)),IF(VLOOKUP($A96,Calendar!$A$1:$R$1377,18,0)=4,SUM(IFERROR(INDEX(FourWeekly_Model!$D$2:$D$29,MATCH(H96,FourWeekly_Model!$B$2:$B$29,0)),0),IFERROR(INDEX(FourWeekly_Model!$D$2:$D$29,MATCH(H97,FourWeekly_Model!$B$2:$B$29,0)),0),IFERROR(INDEX(FourWeekly_Model!$D$2:$D$29,MATCH(H98,FourWeekly_Model!$B$2:$B$29,0)),0),IFERROR(INDEX(FourWeekly_Model!$D$2:$D$29,MATCH(H99,FourWeekly_Model!$B$2:$B$29,0)),0)),IF(VLOOKUP($A96,Calendar!$A$1:$R$1377,18,0)=5,SUM(IFERROR(INDEX(FourWeekly_Model!$D$2:$D$29,MATCH(H96,FourWeekly_Model!$B$2:$B$29,0)),0),IFERROR(INDEX(FourWeekly_Model!$D$2:$D$29,MATCH(H97,FourWeekly_Model!$B$2:$B$29,0)),0),IFERROR(INDEX(FourWeekly_Model!$D$2:$D$29,MATCH(H98,FourWeekly_Model!$B$2:$B$29,0)),0),IFERROR(INDEX(FourWeekly_Model!$D$2:$D$29,MATCH(H99,FourWeekly_Model!$B$2:$B$29,0)),0),IFERROR(INDEX(FourWeekly_Model!$D$2:$D$29,MATCH(H100,FourWeekly_Model!$B$2:$B$29,0)),0)),0))))))</f>
        <v>3.3214289700000004E-3</v>
      </c>
      <c r="N96" s="27">
        <f>SUM(I96:M96)</f>
        <v>2.840542296502618E-2</v>
      </c>
      <c r="O96" s="28">
        <f>Population_Data!$B$8*N96</f>
        <v>860684.3158402933</v>
      </c>
      <c r="P96" s="27">
        <f>IF(VLOOKUP($A96,Calendar!$A$1:$R$1377,18,0)=0,0,IF(VLOOKUP($A96,Calendar!$A$1:$R$1377,18,0)=1,IFERROR(INDEX(Pension_Model!$D$2:$D$29,MATCH(H96,Pension_Model!$B$2:$B$29,0)),0),IF(VLOOKUP($A96,Calendar!$A$1:$R$1377,18,0)=2,SUM(IFERROR(INDEX(Pension_Model!$D$2:$D$29,MATCH(H96,Pension_Model!$B$2:$B$29,0)),0),IFERROR(INDEX(Pension_Model!$D$2:$D$29,MATCH(H97,Pension_Model!$B$2:$B$29,0)),0)),IF(VLOOKUP($A96,Calendar!$A$1:$R$1377,18,0)=3,SUM(IFERROR(INDEX(Pension_Model!$D$2:$D$29,MATCH(H96,Pension_Model!$B$2:$B$29,0)),0),IFERROR(INDEX(Pension_Model!$D$2:$D$29,MATCH(H97,Pension_Model!$B$2:$B$29,0)),0),IFERROR(INDEX(Pension_Model!$D$2:$D$29,MATCH(H98,Pension_Model!$B$2:$B$29,0)),0)),IF(VLOOKUP($A96,Calendar!$A$1:$R$1377,18,0)=4,SUM(IFERROR(INDEX(Pension_Model!$D$2:$D$29,MATCH(H96,Pension_Model!$B$2:$B$29,0)),0),IFERROR(INDEX(Pension_Model!$D$2:$D$29,MATCH(H97,Pension_Model!$B$2:$B$29,0)),0),IFERROR(INDEX(Pension_Model!$D$2:$D$29,MATCH(H98,Pension_Model!$B$2:$B$29,0)),0),IFERROR(INDEX(Pension_Model!$D$2:$D$29,MATCH(H99,Pension_Model!$B$2:$B$29,0)),0)),IF(VLOOKUP($A96,Calendar!$A$1:$R$1377,18,0)=5,SUM(IFERROR(INDEX(Pension_Model!$D$2:$D$29,MATCH(H96,Pension_Model!$B$2:$B$29,0)),0),IFERROR(INDEX(Pension_Model!$D$2:$D$29,MATCH(H97,Pension_Model!$B$2:$B$29,0)),0),IFERROR(INDEX(Pension_Model!$D$2:$D$29,MATCH(H98,Pension_Model!$B$2:$B$29,0)),0),IFERROR(INDEX(Pension_Model!$D$2:$D$29,MATCH(H99,Pension_Model!$B$2:$B$29,0)),0),IFERROR(INDEX(Pension_Model!$D$2:$D$29,MATCH(H100,Pension_Model!$B$2:$B$29,0)),0)),0))))))</f>
        <v>0.05</v>
      </c>
      <c r="Q96" s="28">
        <f>Population_Data!$B$15*P96</f>
        <v>660600</v>
      </c>
      <c r="S96">
        <f t="shared" si="1"/>
        <v>1521284.3158402932</v>
      </c>
      <c r="U96" s="33">
        <f>S96/Population_Data!$B$19</f>
        <v>2.7559498475367629E-2</v>
      </c>
    </row>
    <row r="97" spans="1:21">
      <c r="A97" s="25">
        <f>Calendar!A97</f>
        <v>46330</v>
      </c>
      <c r="B97" t="str">
        <f>Calendar!L97</f>
        <v>Yes</v>
      </c>
      <c r="C97" t="str">
        <f>Calendar!O97</f>
        <v>No</v>
      </c>
      <c r="D97" t="str">
        <f>Calendar!P97</f>
        <v>No</v>
      </c>
      <c r="E97" t="str">
        <f>Calendar!Q97</f>
        <v>No</v>
      </c>
      <c r="F97" t="str">
        <f>Calendar!I97</f>
        <v>Wednesday</v>
      </c>
      <c r="G97">
        <f>Calendar!S97</f>
        <v>4</v>
      </c>
      <c r="H97">
        <f>Calendar!T97</f>
        <v>18</v>
      </c>
      <c r="I97" s="27">
        <f>IF(VLOOKUP(A97,Calendar!$A$1:$R$1377,18,0)=0,0,IF(VLOOKUP(A97,Calendar!$A$1:$R$1377,18,0)=1,INDEX(Monthly_Pay_Model!$A$9:$D$40,MATCH(TEXT(A97,"dd"),Monthly_Pay_Model!$C$9:$C$39,0),4),IF(VLOOKUP(A97,Calendar!$A$1:$R$1377,18,0)=2,SUM(INDEX(Monthly_Pay_Model!$A$9:$D$40,MATCH(TEXT(A97,"dd"),Monthly_Pay_Model!$C$9:$C$39,0),4),INDEX(Monthly_Pay_Model!$A$9:$D$40,MATCH(TEXT(A98,"dd"),Monthly_Pay_Model!$C$9:$C$39,0),4)),IF(VLOOKUP(A97,Calendar!$A$1:$R$1377,18,0)=3,SUM(INDEX(Monthly_Pay_Model!$A$9:$D$40,MATCH(TEXT(A97,"dd"),Monthly_Pay_Model!$C$9:$C$39,0),4),INDEX(Monthly_Pay_Model!$A$9:$D$40,MATCH(TEXT(A98,"dd"),Monthly_Pay_Model!$C$9:$C$39,0),4),INDEX(Monthly_Pay_Model!$A$9:$D$40,MATCH(TEXT(A99,"dd"),Monthly_Pay_Model!$C$9:$C$39,0),4)),IF(VLOOKUP(A97,Calendar!$A$1:$R$1377,18,0)=4,SUM(INDEX(Monthly_Pay_Model!$A$9:$D$40,MATCH(TEXT(A97,"dd"),Monthly_Pay_Model!$C$9:$C$39,0),4),INDEX(Monthly_Pay_Model!$A$9:$D$40,MATCH(TEXT(A98,"dd"),Monthly_Pay_Model!$C$9:$C$39,0),4),INDEX(Monthly_Pay_Model!$A$9:$D$40,MATCH(TEXT(A99,"dd"),Monthly_Pay_Model!$C$9:$C$39,0),4),INDEX(Monthly_Pay_Model!$A$9:$D$40,MATCH(TEXT(A100,"dd"),Monthly_Pay_Model!$C$9:$C$39,0),4)),IF(VLOOKUP(A97,Calendar!$A$1:$R$1377,18,0)=5,SUM(INDEX(Monthly_Pay_Model!$A$9:$D$40,MATCH(TEXT(A97,"dd"),Monthly_Pay_Model!$C$9:$C$39,0),4),INDEX(Monthly_Pay_Model!$A$9:$D$40,MATCH(TEXT(A98,"dd"),Monthly_Pay_Model!$C$9:$C$39,0),4),INDEX(Monthly_Pay_Model!$A$9:$D$40,MATCH(TEXT(A99,"dd"),Monthly_Pay_Model!$C$9:$C$39,0),4),INDEX(Monthly_Pay_Model!$A$9:$D$40,MATCH(TEXT(A100,"dd"),Monthly_Pay_Model!$C$9:$C$39,0),4),INDEX(Monthly_Pay_Model!$A$9:$D$40,MATCH(TEXT(A101,"dd"),Monthly_Pay_Model!$C$9:$C$39,0),4)),))))))</f>
        <v>8.1256544502617792E-4</v>
      </c>
      <c r="J97" s="33">
        <f>IF(C97="Yes",Monthly_Pay_Model!$D$2,0)
+IF(Calendar!N97="Yes",Monthly_Pay_Model!$D$3,0)
+IF(D97="Yes",Monthly_Pay_Model!$D$4,0)
+IF(E97="Yes",Monthly_Pay_Model!$D$5,0)</f>
        <v>0</v>
      </c>
      <c r="K97" s="27">
        <f>IF(VLOOKUP($A97,Calendar!$A$1:$R$1377,18,0)=0,0,IF(VLOOKUP($A97,Calendar!$A$1:$R$1377,18,0)=1,IFERROR(INDEX(Weekly_Model!$D$2:$D$9,MATCH(F97,Weekly_Model!$A$2:$A$9,0)),0),IF(VLOOKUP($A97,Calendar!$A$1:$R$1377,18,0)=2,SUM(IFERROR(INDEX(Weekly_Model!$D$2:$D$9,MATCH(F97,Weekly_Model!$A$2:$A$9,0)),0),IFERROR(INDEX(Weekly_Model!$D$2:$D$9,MATCH(F98,Weekly_Model!$A$2:$A$9,0)),0)),IF(VLOOKUP($A97,Calendar!$A$1:$R$1377,18,0)=3,SUM(IFERROR(INDEX(Weekly_Model!$D$2:$D$9,MATCH(F97,Weekly_Model!$A$2:$A$9,0)),0),IFERROR(INDEX(Weekly_Model!$D$2:$D$9,MATCH(F98,Weekly_Model!$A$2:$A$9,0)),0),IFERROR(INDEX(Weekly_Model!$D$2:$D$9,MATCH(F99,Weekly_Model!$A$2:$A$9,0)),0)),IF(VLOOKUP($A97,Calendar!$A$1:$R$1377,18,0)=4,SUM(IFERROR(INDEX(Weekly_Model!$D$2:$D$9,MATCH(F97,Weekly_Model!$A$2:$A$9,0)),0),IFERROR(INDEX(Weekly_Model!$D$2:$D$9,MATCH(F98,Weekly_Model!$A$2:$A$9,0)),0),IFERROR(INDEX(Weekly_Model!$D$2:$D$9,MATCH(F99,Weekly_Model!$A$2:$A$9,0)),0),IFERROR(INDEX(Weekly_Model!$D$2:$D$9,MATCH(F100,Weekly_Model!$A$2:$A$9,0)),0)),IF(VLOOKUP($A97,Calendar!$A$1:$R$1377,18,0)=5,SUM(IFERROR(INDEX(Weekly_Model!$D$2:$D$9,MATCH(F97,Weekly_Model!$A$2:$A$9,0)),0),IFERROR(INDEX(Weekly_Model!$D$2:$D$9,MATCH(F98,Weekly_Model!$A$2:$A$9,0)),0),IFERROR(INDEX(Weekly_Model!$D$2:$D$9,MATCH(F99,Weekly_Model!$A$2:$A$9,0)),0),IFERROR(INDEX(Weekly_Model!$D$2:$D$9,MATCH(F100,Weekly_Model!$A$2:$A$9,0)),0),IFERROR(INDEX(Weekly_Model!$D$2:$D$9,MATCH(F101,Weekly_Model!$A$2:$A$9,0)),0)),0))))))</f>
        <v>2.3200000000000002E-2</v>
      </c>
      <c r="L97" s="27">
        <f>IF(VLOOKUP($A97,Calendar!$A$1:$R$1377,18,0)=0,0,IF(VLOOKUP($A97,Calendar!$A$1:$R$1377,18,0)=1,IFERROR(INDEX(Fortnightly_Model!$D$2:$D$15,MATCH(G97,Fortnightly_Model!$B$2:$B$15,0)),0),IF(VLOOKUP($A97,Calendar!$A$1:$R$1377,18,0)=2,SUM(IFERROR(INDEX(Fortnightly_Model!$D$2:$D$15,MATCH(G97,Fortnightly_Model!$B$2:$B$15,0)),0),IFERROR(INDEX(Fortnightly_Model!$D$2:$D$15,MATCH(G98,Fortnightly_Model!$B$2:$B$15,0)),0)),IF(VLOOKUP($A97,Calendar!$A$1:$R$1377,18,0)=3,SUM(IFERROR(INDEX(Fortnightly_Model!$D$2:$D$15,MATCH(G97,Fortnightly_Model!$B$2:$B$15,0)),0),IFERROR(INDEX(Fortnightly_Model!$D$2:$D$15,MATCH(G98,Fortnightly_Model!$B$2:$B$15,0)),0),IFERROR(INDEX(Fortnightly_Model!$D$2:$D$15,MATCH(G99,Fortnightly_Model!$B$2:$B$15,0)),0)),IF(VLOOKUP($A97,Calendar!$A$1:$R$1377,18,0)=4,SUM(IFERROR(INDEX(Fortnightly_Model!$D$2:$D$15,MATCH(G97,Fortnightly_Model!$B$2:$B$15,0)),0),IFERROR(INDEX(Fortnightly_Model!$D$2:$D$15,MATCH(G98,Fortnightly_Model!$B$2:$B$15,0)),0),IFERROR(INDEX(Fortnightly_Model!$D$2:$D$15,MATCH(G99,Fortnightly_Model!$B$2:$B$15,0)),0),IFERROR(INDEX(Fortnightly_Model!$D$2:$D$15,MATCH(G100,Fortnightly_Model!$B$2:$B$15,0)),0)),IF(VLOOKUP($A97,Calendar!$A$1:$R$1377,18,0)=5,SUM(IFERROR(INDEX(Fortnightly_Model!$D$2:$D$15,MATCH(G97,Fortnightly_Model!$B$2:$B$15,0)),0),IFERROR(INDEX(Fortnightly_Model!$D$2:$D$15,MATCH(G98,Fortnightly_Model!$B$2:$B$15,0)),0),IFERROR(INDEX(Fortnightly_Model!$D$2:$D$15,MATCH(G99,Fortnightly_Model!$B$2:$B$15,0)),0),IFERROR(INDEX(Fortnightly_Model!$D$2:$D$15,MATCH(G100,Fortnightly_Model!$B$2:$B$15,0)),0),IFERROR(INDEX(Fortnightly_Model!$D$2:$D$15,MATCH(G101,Fortnightly_Model!$B$2:$B$15,0)),0)),0))))))</f>
        <v>1.0714285499999999E-3</v>
      </c>
      <c r="M97" s="27">
        <f>IF(VLOOKUP($A97,Calendar!$A$1:$R$1377,18,0)=0,0,IF(VLOOKUP($A97,Calendar!$A$1:$R$1377,18,0)=1,IFERROR(INDEX(FourWeekly_Model!$D$2:$D$29,MATCH(H97,FourWeekly_Model!$B$2:$B$29,0)),0),IF(VLOOKUP($A97,Calendar!$A$1:$R$1377,18,0)=2,SUM(IFERROR(INDEX(FourWeekly_Model!$D$2:$D$29,MATCH(H97,FourWeekly_Model!$B$2:$B$29,0)),0),IFERROR(INDEX(FourWeekly_Model!$D$2:$D$29,MATCH(H98,FourWeekly_Model!$B$2:$B$29,0)),0)),IF(VLOOKUP($A97,Calendar!$A$1:$R$1377,18,0)=3,SUM(IFERROR(INDEX(FourWeekly_Model!$D$2:$D$29,MATCH(H97,FourWeekly_Model!$B$2:$B$29,0)),0),IFERROR(INDEX(FourWeekly_Model!$D$2:$D$29,MATCH(H98,FourWeekly_Model!$B$2:$B$29,0)),0),IFERROR(INDEX(FourWeekly_Model!$D$2:$D$29,MATCH(H99,FourWeekly_Model!$B$2:$B$29,0)),0)),IF(VLOOKUP($A97,Calendar!$A$1:$R$1377,18,0)=4,SUM(IFERROR(INDEX(FourWeekly_Model!$D$2:$D$29,MATCH(H97,FourWeekly_Model!$B$2:$B$29,0)),0),IFERROR(INDEX(FourWeekly_Model!$D$2:$D$29,MATCH(H98,FourWeekly_Model!$B$2:$B$29,0)),0),IFERROR(INDEX(FourWeekly_Model!$D$2:$D$29,MATCH(H99,FourWeekly_Model!$B$2:$B$29,0)),0),IFERROR(INDEX(FourWeekly_Model!$D$2:$D$29,MATCH(H100,FourWeekly_Model!$B$2:$B$29,0)),0)),IF(VLOOKUP($A97,Calendar!$A$1:$R$1377,18,0)=5,SUM(IFERROR(INDEX(FourWeekly_Model!$D$2:$D$29,MATCH(H97,FourWeekly_Model!$B$2:$B$29,0)),0),IFERROR(INDEX(FourWeekly_Model!$D$2:$D$29,MATCH(H98,FourWeekly_Model!$B$2:$B$29,0)),0),IFERROR(INDEX(FourWeekly_Model!$D$2:$D$29,MATCH(H99,FourWeekly_Model!$B$2:$B$29,0)),0),IFERROR(INDEX(FourWeekly_Model!$D$2:$D$29,MATCH(H100,FourWeekly_Model!$B$2:$B$29,0)),0),IFERROR(INDEX(FourWeekly_Model!$D$2:$D$29,MATCH(H101,FourWeekly_Model!$B$2:$B$29,0)),0)),0))))))</f>
        <v>3.3214289700000004E-3</v>
      </c>
      <c r="N97" s="27">
        <f>SUM(I97:M97)</f>
        <v>2.840542296502618E-2</v>
      </c>
      <c r="O97" s="28">
        <f>Population_Data!$B$8*N97</f>
        <v>860684.3158402933</v>
      </c>
      <c r="P97" s="27">
        <f>IF(VLOOKUP($A97,Calendar!$A$1:$R$1377,18,0)=0,0,IF(VLOOKUP($A97,Calendar!$A$1:$R$1377,18,0)=1,IFERROR(INDEX(Pension_Model!$D$2:$D$29,MATCH(H97,Pension_Model!$B$2:$B$29,0)),0),IF(VLOOKUP($A97,Calendar!$A$1:$R$1377,18,0)=2,SUM(IFERROR(INDEX(Pension_Model!$D$2:$D$29,MATCH(H97,Pension_Model!$B$2:$B$29,0)),0),IFERROR(INDEX(Pension_Model!$D$2:$D$29,MATCH(H98,Pension_Model!$B$2:$B$29,0)),0)),IF(VLOOKUP($A97,Calendar!$A$1:$R$1377,18,0)=3,SUM(IFERROR(INDEX(Pension_Model!$D$2:$D$29,MATCH(H97,Pension_Model!$B$2:$B$29,0)),0),IFERROR(INDEX(Pension_Model!$D$2:$D$29,MATCH(H98,Pension_Model!$B$2:$B$29,0)),0),IFERROR(INDEX(Pension_Model!$D$2:$D$29,MATCH(H99,Pension_Model!$B$2:$B$29,0)),0)),IF(VLOOKUP($A97,Calendar!$A$1:$R$1377,18,0)=4,SUM(IFERROR(INDEX(Pension_Model!$D$2:$D$29,MATCH(H97,Pension_Model!$B$2:$B$29,0)),0),IFERROR(INDEX(Pension_Model!$D$2:$D$29,MATCH(H98,Pension_Model!$B$2:$B$29,0)),0),IFERROR(INDEX(Pension_Model!$D$2:$D$29,MATCH(H99,Pension_Model!$B$2:$B$29,0)),0),IFERROR(INDEX(Pension_Model!$D$2:$D$29,MATCH(H100,Pension_Model!$B$2:$B$29,0)),0)),IF(VLOOKUP($A97,Calendar!$A$1:$R$1377,18,0)=5,SUM(IFERROR(INDEX(Pension_Model!$D$2:$D$29,MATCH(H97,Pension_Model!$B$2:$B$29,0)),0),IFERROR(INDEX(Pension_Model!$D$2:$D$29,MATCH(H98,Pension_Model!$B$2:$B$29,0)),0),IFERROR(INDEX(Pension_Model!$D$2:$D$29,MATCH(H99,Pension_Model!$B$2:$B$29,0)),0),IFERROR(INDEX(Pension_Model!$D$2:$D$29,MATCH(H100,Pension_Model!$B$2:$B$29,0)),0),IFERROR(INDEX(Pension_Model!$D$2:$D$29,MATCH(H101,Pension_Model!$B$2:$B$29,0)),0)),0))))))</f>
        <v>0.05</v>
      </c>
      <c r="Q97" s="28">
        <f>Population_Data!$B$15*P97</f>
        <v>660600</v>
      </c>
      <c r="S97">
        <f t="shared" si="1"/>
        <v>1521284.3158402932</v>
      </c>
      <c r="U97" s="33">
        <f>S97/Population_Data!$B$19</f>
        <v>2.7559498475367629E-2</v>
      </c>
    </row>
    <row r="98" spans="1:21">
      <c r="A98" s="25">
        <f>Calendar!A98</f>
        <v>46331</v>
      </c>
      <c r="B98" t="str">
        <f>Calendar!L98</f>
        <v>Yes</v>
      </c>
      <c r="C98" t="str">
        <f>Calendar!O98</f>
        <v>No</v>
      </c>
      <c r="D98" t="str">
        <f>Calendar!P98</f>
        <v>No</v>
      </c>
      <c r="E98" t="str">
        <f>Calendar!Q98</f>
        <v>No</v>
      </c>
      <c r="F98" t="str">
        <f>Calendar!I98</f>
        <v>Thursday</v>
      </c>
      <c r="G98">
        <f>Calendar!S98</f>
        <v>5</v>
      </c>
      <c r="H98">
        <f>Calendar!T98</f>
        <v>19</v>
      </c>
      <c r="I98" s="27">
        <f>IF(VLOOKUP(A98,Calendar!$A$1:$R$1377,18,0)=0,0,IF(VLOOKUP(A98,Calendar!$A$1:$R$1377,18,0)=1,INDEX(Monthly_Pay_Model!$A$9:$D$40,MATCH(TEXT(A98,"dd"),Monthly_Pay_Model!$C$9:$C$39,0),4),IF(VLOOKUP(A98,Calendar!$A$1:$R$1377,18,0)=2,SUM(INDEX(Monthly_Pay_Model!$A$9:$D$40,MATCH(TEXT(A98,"dd"),Monthly_Pay_Model!$C$9:$C$39,0),4),INDEX(Monthly_Pay_Model!$A$9:$D$40,MATCH(TEXT(A99,"dd"),Monthly_Pay_Model!$C$9:$C$39,0),4)),IF(VLOOKUP(A98,Calendar!$A$1:$R$1377,18,0)=3,SUM(INDEX(Monthly_Pay_Model!$A$9:$D$40,MATCH(TEXT(A98,"dd"),Monthly_Pay_Model!$C$9:$C$39,0),4),INDEX(Monthly_Pay_Model!$A$9:$D$40,MATCH(TEXT(A99,"dd"),Monthly_Pay_Model!$C$9:$C$39,0),4),INDEX(Monthly_Pay_Model!$A$9:$D$40,MATCH(TEXT(A100,"dd"),Monthly_Pay_Model!$C$9:$C$39,0),4)),IF(VLOOKUP(A98,Calendar!$A$1:$R$1377,18,0)=4,SUM(INDEX(Monthly_Pay_Model!$A$9:$D$40,MATCH(TEXT(A98,"dd"),Monthly_Pay_Model!$C$9:$C$39,0),4),INDEX(Monthly_Pay_Model!$A$9:$D$40,MATCH(TEXT(A99,"dd"),Monthly_Pay_Model!$C$9:$C$39,0),4),INDEX(Monthly_Pay_Model!$A$9:$D$40,MATCH(TEXT(A100,"dd"),Monthly_Pay_Model!$C$9:$C$39,0),4),INDEX(Monthly_Pay_Model!$A$9:$D$40,MATCH(TEXT(A101,"dd"),Monthly_Pay_Model!$C$9:$C$39,0),4)),IF(VLOOKUP(A98,Calendar!$A$1:$R$1377,18,0)=5,SUM(INDEX(Monthly_Pay_Model!$A$9:$D$40,MATCH(TEXT(A98,"dd"),Monthly_Pay_Model!$C$9:$C$39,0),4),INDEX(Monthly_Pay_Model!$A$9:$D$40,MATCH(TEXT(A99,"dd"),Monthly_Pay_Model!$C$9:$C$39,0),4),INDEX(Monthly_Pay_Model!$A$9:$D$40,MATCH(TEXT(A100,"dd"),Monthly_Pay_Model!$C$9:$C$39,0),4),INDEX(Monthly_Pay_Model!$A$9:$D$40,MATCH(TEXT(A101,"dd"),Monthly_Pay_Model!$C$9:$C$39,0),4),INDEX(Monthly_Pay_Model!$A$9:$D$40,MATCH(TEXT(A102,"dd"),Monthly_Pay_Model!$C$9:$C$39,0),4)),))))))</f>
        <v>7.3130890052356002E-3</v>
      </c>
      <c r="J98" s="33">
        <f>IF(C98="Yes",Monthly_Pay_Model!$D$2,0)
+IF(Calendar!N98="Yes",Monthly_Pay_Model!$D$3,0)
+IF(D98="Yes",Monthly_Pay_Model!$D$4,0)
+IF(E98="Yes",Monthly_Pay_Model!$D$5,0)</f>
        <v>0</v>
      </c>
      <c r="K98" s="27">
        <f>IF(VLOOKUP($A98,Calendar!$A$1:$R$1377,18,0)=0,0,IF(VLOOKUP($A98,Calendar!$A$1:$R$1377,18,0)=1,IFERROR(INDEX(Weekly_Model!$D$2:$D$9,MATCH(F98,Weekly_Model!$A$2:$A$9,0)),0),IF(VLOOKUP($A98,Calendar!$A$1:$R$1377,18,0)=2,SUM(IFERROR(INDEX(Weekly_Model!$D$2:$D$9,MATCH(F98,Weekly_Model!$A$2:$A$9,0)),0),IFERROR(INDEX(Weekly_Model!$D$2:$D$9,MATCH(F99,Weekly_Model!$A$2:$A$9,0)),0)),IF(VLOOKUP($A98,Calendar!$A$1:$R$1377,18,0)=3,SUM(IFERROR(INDEX(Weekly_Model!$D$2:$D$9,MATCH(F98,Weekly_Model!$A$2:$A$9,0)),0),IFERROR(INDEX(Weekly_Model!$D$2:$D$9,MATCH(F99,Weekly_Model!$A$2:$A$9,0)),0),IFERROR(INDEX(Weekly_Model!$D$2:$D$9,MATCH(F100,Weekly_Model!$A$2:$A$9,0)),0)),IF(VLOOKUP($A98,Calendar!$A$1:$R$1377,18,0)=4,SUM(IFERROR(INDEX(Weekly_Model!$D$2:$D$9,MATCH(F98,Weekly_Model!$A$2:$A$9,0)),0),IFERROR(INDEX(Weekly_Model!$D$2:$D$9,MATCH(F99,Weekly_Model!$A$2:$A$9,0)),0),IFERROR(INDEX(Weekly_Model!$D$2:$D$9,MATCH(F100,Weekly_Model!$A$2:$A$9,0)),0),IFERROR(INDEX(Weekly_Model!$D$2:$D$9,MATCH(F101,Weekly_Model!$A$2:$A$9,0)),0)),IF(VLOOKUP($A98,Calendar!$A$1:$R$1377,18,0)=5,SUM(IFERROR(INDEX(Weekly_Model!$D$2:$D$9,MATCH(F98,Weekly_Model!$A$2:$A$9,0)),0),IFERROR(INDEX(Weekly_Model!$D$2:$D$9,MATCH(F99,Weekly_Model!$A$2:$A$9,0)),0),IFERROR(INDEX(Weekly_Model!$D$2:$D$9,MATCH(F100,Weekly_Model!$A$2:$A$9,0)),0),IFERROR(INDEX(Weekly_Model!$D$2:$D$9,MATCH(F101,Weekly_Model!$A$2:$A$9,0)),0),IFERROR(INDEX(Weekly_Model!$D$2:$D$9,MATCH(F102,Weekly_Model!$A$2:$A$9,0)),0)),0))))))</f>
        <v>2.3200000000000002E-2</v>
      </c>
      <c r="L98" s="27">
        <f>IF(VLOOKUP($A98,Calendar!$A$1:$R$1377,18,0)=0,0,IF(VLOOKUP($A98,Calendar!$A$1:$R$1377,18,0)=1,IFERROR(INDEX(Fortnightly_Model!$D$2:$D$15,MATCH(G98,Fortnightly_Model!$B$2:$B$15,0)),0),IF(VLOOKUP($A98,Calendar!$A$1:$R$1377,18,0)=2,SUM(IFERROR(INDEX(Fortnightly_Model!$D$2:$D$15,MATCH(G98,Fortnightly_Model!$B$2:$B$15,0)),0),IFERROR(INDEX(Fortnightly_Model!$D$2:$D$15,MATCH(G99,Fortnightly_Model!$B$2:$B$15,0)),0)),IF(VLOOKUP($A98,Calendar!$A$1:$R$1377,18,0)=3,SUM(IFERROR(INDEX(Fortnightly_Model!$D$2:$D$15,MATCH(G98,Fortnightly_Model!$B$2:$B$15,0)),0),IFERROR(INDEX(Fortnightly_Model!$D$2:$D$15,MATCH(G99,Fortnightly_Model!$B$2:$B$15,0)),0),IFERROR(INDEX(Fortnightly_Model!$D$2:$D$15,MATCH(G100,Fortnightly_Model!$B$2:$B$15,0)),0)),IF(VLOOKUP($A98,Calendar!$A$1:$R$1377,18,0)=4,SUM(IFERROR(INDEX(Fortnightly_Model!$D$2:$D$15,MATCH(G98,Fortnightly_Model!$B$2:$B$15,0)),0),IFERROR(INDEX(Fortnightly_Model!$D$2:$D$15,MATCH(G99,Fortnightly_Model!$B$2:$B$15,0)),0),IFERROR(INDEX(Fortnightly_Model!$D$2:$D$15,MATCH(G100,Fortnightly_Model!$B$2:$B$15,0)),0),IFERROR(INDEX(Fortnightly_Model!$D$2:$D$15,MATCH(G101,Fortnightly_Model!$B$2:$B$15,0)),0)),IF(VLOOKUP($A98,Calendar!$A$1:$R$1377,18,0)=5,SUM(IFERROR(INDEX(Fortnightly_Model!$D$2:$D$15,MATCH(G98,Fortnightly_Model!$B$2:$B$15,0)),0),IFERROR(INDEX(Fortnightly_Model!$D$2:$D$15,MATCH(G99,Fortnightly_Model!$B$2:$B$15,0)),0),IFERROR(INDEX(Fortnightly_Model!$D$2:$D$15,MATCH(G100,Fortnightly_Model!$B$2:$B$15,0)),0),IFERROR(INDEX(Fortnightly_Model!$D$2:$D$15,MATCH(G101,Fortnightly_Model!$B$2:$B$15,0)),0),IFERROR(INDEX(Fortnightly_Model!$D$2:$D$15,MATCH(G102,Fortnightly_Model!$B$2:$B$15,0)),0)),0))))))</f>
        <v>1.0714285499999999E-3</v>
      </c>
      <c r="M98" s="27">
        <f>IF(VLOOKUP($A98,Calendar!$A$1:$R$1377,18,0)=0,0,IF(VLOOKUP($A98,Calendar!$A$1:$R$1377,18,0)=1,IFERROR(INDEX(FourWeekly_Model!$D$2:$D$29,MATCH(H98,FourWeekly_Model!$B$2:$B$29,0)),0),IF(VLOOKUP($A98,Calendar!$A$1:$R$1377,18,0)=2,SUM(IFERROR(INDEX(FourWeekly_Model!$D$2:$D$29,MATCH(H98,FourWeekly_Model!$B$2:$B$29,0)),0),IFERROR(INDEX(FourWeekly_Model!$D$2:$D$29,MATCH(H99,FourWeekly_Model!$B$2:$B$29,0)),0)),IF(VLOOKUP($A98,Calendar!$A$1:$R$1377,18,0)=3,SUM(IFERROR(INDEX(FourWeekly_Model!$D$2:$D$29,MATCH(H98,FourWeekly_Model!$B$2:$B$29,0)),0),IFERROR(INDEX(FourWeekly_Model!$D$2:$D$29,MATCH(H99,FourWeekly_Model!$B$2:$B$29,0)),0),IFERROR(INDEX(FourWeekly_Model!$D$2:$D$29,MATCH(H100,FourWeekly_Model!$B$2:$B$29,0)),0)),IF(VLOOKUP($A98,Calendar!$A$1:$R$1377,18,0)=4,SUM(IFERROR(INDEX(FourWeekly_Model!$D$2:$D$29,MATCH(H98,FourWeekly_Model!$B$2:$B$29,0)),0),IFERROR(INDEX(FourWeekly_Model!$D$2:$D$29,MATCH(H99,FourWeekly_Model!$B$2:$B$29,0)),0),IFERROR(INDEX(FourWeekly_Model!$D$2:$D$29,MATCH(H100,FourWeekly_Model!$B$2:$B$29,0)),0),IFERROR(INDEX(FourWeekly_Model!$D$2:$D$29,MATCH(H101,FourWeekly_Model!$B$2:$B$29,0)),0)),IF(VLOOKUP($A98,Calendar!$A$1:$R$1377,18,0)=5,SUM(IFERROR(INDEX(FourWeekly_Model!$D$2:$D$29,MATCH(H98,FourWeekly_Model!$B$2:$B$29,0)),0),IFERROR(INDEX(FourWeekly_Model!$D$2:$D$29,MATCH(H99,FourWeekly_Model!$B$2:$B$29,0)),0),IFERROR(INDEX(FourWeekly_Model!$D$2:$D$29,MATCH(H100,FourWeekly_Model!$B$2:$B$29,0)),0),IFERROR(INDEX(FourWeekly_Model!$D$2:$D$29,MATCH(H101,FourWeekly_Model!$B$2:$B$29,0)),0),IFERROR(INDEX(FourWeekly_Model!$D$2:$D$29,MATCH(H102,FourWeekly_Model!$B$2:$B$29,0)),0)),0))))))</f>
        <v>3.3214289700000004E-3</v>
      </c>
      <c r="N98" s="27">
        <f>SUM(I98:M98)</f>
        <v>3.4905946525235605E-2</v>
      </c>
      <c r="O98" s="28">
        <f>Population_Data!$B$8*N98</f>
        <v>1057650.1797146387</v>
      </c>
      <c r="P98" s="27">
        <f>IF(VLOOKUP($A98,Calendar!$A$1:$R$1377,18,0)=0,0,IF(VLOOKUP($A98,Calendar!$A$1:$R$1377,18,0)=1,IFERROR(INDEX(Pension_Model!$D$2:$D$29,MATCH(H98,Pension_Model!$B$2:$B$29,0)),0),IF(VLOOKUP($A98,Calendar!$A$1:$R$1377,18,0)=2,SUM(IFERROR(INDEX(Pension_Model!$D$2:$D$29,MATCH(H98,Pension_Model!$B$2:$B$29,0)),0),IFERROR(INDEX(Pension_Model!$D$2:$D$29,MATCH(H99,Pension_Model!$B$2:$B$29,0)),0)),IF(VLOOKUP($A98,Calendar!$A$1:$R$1377,18,0)=3,SUM(IFERROR(INDEX(Pension_Model!$D$2:$D$29,MATCH(H98,Pension_Model!$B$2:$B$29,0)),0),IFERROR(INDEX(Pension_Model!$D$2:$D$29,MATCH(H99,Pension_Model!$B$2:$B$29,0)),0),IFERROR(INDEX(Pension_Model!$D$2:$D$29,MATCH(H100,Pension_Model!$B$2:$B$29,0)),0)),IF(VLOOKUP($A98,Calendar!$A$1:$R$1377,18,0)=4,SUM(IFERROR(INDEX(Pension_Model!$D$2:$D$29,MATCH(H98,Pension_Model!$B$2:$B$29,0)),0),IFERROR(INDEX(Pension_Model!$D$2:$D$29,MATCH(H99,Pension_Model!$B$2:$B$29,0)),0),IFERROR(INDEX(Pension_Model!$D$2:$D$29,MATCH(H100,Pension_Model!$B$2:$B$29,0)),0),IFERROR(INDEX(Pension_Model!$D$2:$D$29,MATCH(H101,Pension_Model!$B$2:$B$29,0)),0)),IF(VLOOKUP($A98,Calendar!$A$1:$R$1377,18,0)=5,SUM(IFERROR(INDEX(Pension_Model!$D$2:$D$29,MATCH(H98,Pension_Model!$B$2:$B$29,0)),0),IFERROR(INDEX(Pension_Model!$D$2:$D$29,MATCH(H99,Pension_Model!$B$2:$B$29,0)),0),IFERROR(INDEX(Pension_Model!$D$2:$D$29,MATCH(H100,Pension_Model!$B$2:$B$29,0)),0),IFERROR(INDEX(Pension_Model!$D$2:$D$29,MATCH(H101,Pension_Model!$B$2:$B$29,0)),0),IFERROR(INDEX(Pension_Model!$D$2:$D$29,MATCH(H102,Pension_Model!$B$2:$B$29,0)),0)),0))))))</f>
        <v>0.05</v>
      </c>
      <c r="Q98" s="28">
        <f>Population_Data!$B$15*P98</f>
        <v>660600</v>
      </c>
      <c r="S98">
        <f t="shared" si="1"/>
        <v>1718250.1797146387</v>
      </c>
      <c r="U98" s="33">
        <f>S98/Population_Data!$B$19</f>
        <v>3.1127720647004326E-2</v>
      </c>
    </row>
    <row r="99" spans="1:21">
      <c r="A99" s="25">
        <f>Calendar!A99</f>
        <v>46332</v>
      </c>
      <c r="B99" t="str">
        <f>Calendar!L99</f>
        <v>Yes</v>
      </c>
      <c r="C99" t="str">
        <f>Calendar!O99</f>
        <v>No</v>
      </c>
      <c r="D99" t="str">
        <f>Calendar!P99</f>
        <v>No</v>
      </c>
      <c r="E99" t="str">
        <f>Calendar!Q99</f>
        <v>No</v>
      </c>
      <c r="F99" t="str">
        <f>Calendar!I99</f>
        <v>Friday</v>
      </c>
      <c r="G99">
        <f>Calendar!S99</f>
        <v>6</v>
      </c>
      <c r="H99">
        <f>Calendar!T99</f>
        <v>20</v>
      </c>
      <c r="I99" s="27">
        <f>IF(VLOOKUP(A99,Calendar!$A$1:$R$1377,18,0)=0,0,IF(VLOOKUP(A99,Calendar!$A$1:$R$1377,18,0)=1,INDEX(Monthly_Pay_Model!$A$9:$D$40,MATCH(TEXT(A99,"dd"),Monthly_Pay_Model!$C$9:$C$39,0),4),IF(VLOOKUP(A99,Calendar!$A$1:$R$1377,18,0)=2,SUM(INDEX(Monthly_Pay_Model!$A$9:$D$40,MATCH(TEXT(A99,"dd"),Monthly_Pay_Model!$C$9:$C$39,0),4),INDEX(Monthly_Pay_Model!$A$9:$D$40,MATCH(TEXT(A100,"dd"),Monthly_Pay_Model!$C$9:$C$39,0),4)),IF(VLOOKUP(A99,Calendar!$A$1:$R$1377,18,0)=3,SUM(INDEX(Monthly_Pay_Model!$A$9:$D$40,MATCH(TEXT(A99,"dd"),Monthly_Pay_Model!$C$9:$C$39,0),4),INDEX(Monthly_Pay_Model!$A$9:$D$40,MATCH(TEXT(A100,"dd"),Monthly_Pay_Model!$C$9:$C$39,0),4),INDEX(Monthly_Pay_Model!$A$9:$D$40,MATCH(TEXT(A101,"dd"),Monthly_Pay_Model!$C$9:$C$39,0),4)),IF(VLOOKUP(A99,Calendar!$A$1:$R$1377,18,0)=4,SUM(INDEX(Monthly_Pay_Model!$A$9:$D$40,MATCH(TEXT(A99,"dd"),Monthly_Pay_Model!$C$9:$C$39,0),4),INDEX(Monthly_Pay_Model!$A$9:$D$40,MATCH(TEXT(A100,"dd"),Monthly_Pay_Model!$C$9:$C$39,0),4),INDEX(Monthly_Pay_Model!$A$9:$D$40,MATCH(TEXT(A101,"dd"),Monthly_Pay_Model!$C$9:$C$39,0),4),INDEX(Monthly_Pay_Model!$A$9:$D$40,MATCH(TEXT(A102,"dd"),Monthly_Pay_Model!$C$9:$C$39,0),4)),IF(VLOOKUP(A99,Calendar!$A$1:$R$1377,18,0)=5,SUM(INDEX(Monthly_Pay_Model!$A$9:$D$40,MATCH(TEXT(A99,"dd"),Monthly_Pay_Model!$C$9:$C$39,0),4),INDEX(Monthly_Pay_Model!$A$9:$D$40,MATCH(TEXT(A100,"dd"),Monthly_Pay_Model!$C$9:$C$39,0),4),INDEX(Monthly_Pay_Model!$A$9:$D$40,MATCH(TEXT(A101,"dd"),Monthly_Pay_Model!$C$9:$C$39,0),4),INDEX(Monthly_Pay_Model!$A$9:$D$40,MATCH(TEXT(A102,"dd"),Monthly_Pay_Model!$C$9:$C$39,0),4),INDEX(Monthly_Pay_Model!$A$9:$D$40,MATCH(TEXT(A103,"dd"),Monthly_Pay_Model!$C$9:$C$39,0),4)),))))))</f>
        <v>7.3130890052356002E-3</v>
      </c>
      <c r="J99" s="33">
        <f>IF(C99="Yes",Monthly_Pay_Model!$D$2,0)
+IF(Calendar!N99="Yes",Monthly_Pay_Model!$D$3,0)
+IF(D99="Yes",Monthly_Pay_Model!$D$4,0)
+IF(E99="Yes",Monthly_Pay_Model!$D$5,0)</f>
        <v>0</v>
      </c>
      <c r="K99" s="27">
        <f>IF(VLOOKUP($A99,Calendar!$A$1:$R$1377,18,0)=0,0,IF(VLOOKUP($A99,Calendar!$A$1:$R$1377,18,0)=1,IFERROR(INDEX(Weekly_Model!$D$2:$D$9,MATCH(F99,Weekly_Model!$A$2:$A$9,0)),0),IF(VLOOKUP($A99,Calendar!$A$1:$R$1377,18,0)=2,SUM(IFERROR(INDEX(Weekly_Model!$D$2:$D$9,MATCH(F99,Weekly_Model!$A$2:$A$9,0)),0),IFERROR(INDEX(Weekly_Model!$D$2:$D$9,MATCH(F100,Weekly_Model!$A$2:$A$9,0)),0)),IF(VLOOKUP($A99,Calendar!$A$1:$R$1377,18,0)=3,SUM(IFERROR(INDEX(Weekly_Model!$D$2:$D$9,MATCH(F99,Weekly_Model!$A$2:$A$9,0)),0),IFERROR(INDEX(Weekly_Model!$D$2:$D$9,MATCH(F100,Weekly_Model!$A$2:$A$9,0)),0),IFERROR(INDEX(Weekly_Model!$D$2:$D$9,MATCH(F101,Weekly_Model!$A$2:$A$9,0)),0)),IF(VLOOKUP($A99,Calendar!$A$1:$R$1377,18,0)=4,SUM(IFERROR(INDEX(Weekly_Model!$D$2:$D$9,MATCH(F99,Weekly_Model!$A$2:$A$9,0)),0),IFERROR(INDEX(Weekly_Model!$D$2:$D$9,MATCH(F100,Weekly_Model!$A$2:$A$9,0)),0),IFERROR(INDEX(Weekly_Model!$D$2:$D$9,MATCH(F101,Weekly_Model!$A$2:$A$9,0)),0),IFERROR(INDEX(Weekly_Model!$D$2:$D$9,MATCH(F102,Weekly_Model!$A$2:$A$9,0)),0)),IF(VLOOKUP($A99,Calendar!$A$1:$R$1377,18,0)=5,SUM(IFERROR(INDEX(Weekly_Model!$D$2:$D$9,MATCH(F99,Weekly_Model!$A$2:$A$9,0)),0),IFERROR(INDEX(Weekly_Model!$D$2:$D$9,MATCH(F100,Weekly_Model!$A$2:$A$9,0)),0),IFERROR(INDEX(Weekly_Model!$D$2:$D$9,MATCH(F101,Weekly_Model!$A$2:$A$9,0)),0),IFERROR(INDEX(Weekly_Model!$D$2:$D$9,MATCH(F102,Weekly_Model!$A$2:$A$9,0)),0),IFERROR(INDEX(Weekly_Model!$D$2:$D$9,MATCH(F103,Weekly_Model!$A$2:$A$9,0)),0)),0))))))</f>
        <v>2.3200000000000002E-2</v>
      </c>
      <c r="L99" s="27">
        <f>IF(VLOOKUP($A99,Calendar!$A$1:$R$1377,18,0)=0,0,IF(VLOOKUP($A99,Calendar!$A$1:$R$1377,18,0)=1,IFERROR(INDEX(Fortnightly_Model!$D$2:$D$15,MATCH(G99,Fortnightly_Model!$B$2:$B$15,0)),0),IF(VLOOKUP($A99,Calendar!$A$1:$R$1377,18,0)=2,SUM(IFERROR(INDEX(Fortnightly_Model!$D$2:$D$15,MATCH(G99,Fortnightly_Model!$B$2:$B$15,0)),0),IFERROR(INDEX(Fortnightly_Model!$D$2:$D$15,MATCH(G100,Fortnightly_Model!$B$2:$B$15,0)),0)),IF(VLOOKUP($A99,Calendar!$A$1:$R$1377,18,0)=3,SUM(IFERROR(INDEX(Fortnightly_Model!$D$2:$D$15,MATCH(G99,Fortnightly_Model!$B$2:$B$15,0)),0),IFERROR(INDEX(Fortnightly_Model!$D$2:$D$15,MATCH(G100,Fortnightly_Model!$B$2:$B$15,0)),0),IFERROR(INDEX(Fortnightly_Model!$D$2:$D$15,MATCH(G101,Fortnightly_Model!$B$2:$B$15,0)),0)),IF(VLOOKUP($A99,Calendar!$A$1:$R$1377,18,0)=4,SUM(IFERROR(INDEX(Fortnightly_Model!$D$2:$D$15,MATCH(G99,Fortnightly_Model!$B$2:$B$15,0)),0),IFERROR(INDEX(Fortnightly_Model!$D$2:$D$15,MATCH(G100,Fortnightly_Model!$B$2:$B$15,0)),0),IFERROR(INDEX(Fortnightly_Model!$D$2:$D$15,MATCH(G101,Fortnightly_Model!$B$2:$B$15,0)),0),IFERROR(INDEX(Fortnightly_Model!$D$2:$D$15,MATCH(G102,Fortnightly_Model!$B$2:$B$15,0)),0)),IF(VLOOKUP($A99,Calendar!$A$1:$R$1377,18,0)=5,SUM(IFERROR(INDEX(Fortnightly_Model!$D$2:$D$15,MATCH(G99,Fortnightly_Model!$B$2:$B$15,0)),0),IFERROR(INDEX(Fortnightly_Model!$D$2:$D$15,MATCH(G100,Fortnightly_Model!$B$2:$B$15,0)),0),IFERROR(INDEX(Fortnightly_Model!$D$2:$D$15,MATCH(G101,Fortnightly_Model!$B$2:$B$15,0)),0),IFERROR(INDEX(Fortnightly_Model!$D$2:$D$15,MATCH(G102,Fortnightly_Model!$B$2:$B$15,0)),0),IFERROR(INDEX(Fortnightly_Model!$D$2:$D$15,MATCH(G103,Fortnightly_Model!$B$2:$B$15,0)),0)),0))))))</f>
        <v>3.2142856499999999E-3</v>
      </c>
      <c r="M99" s="27">
        <f>IF(VLOOKUP($A99,Calendar!$A$1:$R$1377,18,0)=0,0,IF(VLOOKUP($A99,Calendar!$A$1:$R$1377,18,0)=1,IFERROR(INDEX(FourWeekly_Model!$D$2:$D$29,MATCH(H99,FourWeekly_Model!$B$2:$B$29,0)),0),IF(VLOOKUP($A99,Calendar!$A$1:$R$1377,18,0)=2,SUM(IFERROR(INDEX(FourWeekly_Model!$D$2:$D$29,MATCH(H99,FourWeekly_Model!$B$2:$B$29,0)),0),IFERROR(INDEX(FourWeekly_Model!$D$2:$D$29,MATCH(H100,FourWeekly_Model!$B$2:$B$29,0)),0)),IF(VLOOKUP($A99,Calendar!$A$1:$R$1377,18,0)=3,SUM(IFERROR(INDEX(FourWeekly_Model!$D$2:$D$29,MATCH(H99,FourWeekly_Model!$B$2:$B$29,0)),0),IFERROR(INDEX(FourWeekly_Model!$D$2:$D$29,MATCH(H100,FourWeekly_Model!$B$2:$B$29,0)),0),IFERROR(INDEX(FourWeekly_Model!$D$2:$D$29,MATCH(H101,FourWeekly_Model!$B$2:$B$29,0)),0)),IF(VLOOKUP($A99,Calendar!$A$1:$R$1377,18,0)=4,SUM(IFERROR(INDEX(FourWeekly_Model!$D$2:$D$29,MATCH(H99,FourWeekly_Model!$B$2:$B$29,0)),0),IFERROR(INDEX(FourWeekly_Model!$D$2:$D$29,MATCH(H100,FourWeekly_Model!$B$2:$B$29,0)),0),IFERROR(INDEX(FourWeekly_Model!$D$2:$D$29,MATCH(H101,FourWeekly_Model!$B$2:$B$29,0)),0),IFERROR(INDEX(FourWeekly_Model!$D$2:$D$29,MATCH(H102,FourWeekly_Model!$B$2:$B$29,0)),0)),IF(VLOOKUP($A99,Calendar!$A$1:$R$1377,18,0)=5,SUM(IFERROR(INDEX(FourWeekly_Model!$D$2:$D$29,MATCH(H99,FourWeekly_Model!$B$2:$B$29,0)),0),IFERROR(INDEX(FourWeekly_Model!$D$2:$D$29,MATCH(H100,FourWeekly_Model!$B$2:$B$29,0)),0),IFERROR(INDEX(FourWeekly_Model!$D$2:$D$29,MATCH(H101,FourWeekly_Model!$B$2:$B$29,0)),0),IFERROR(INDEX(FourWeekly_Model!$D$2:$D$29,MATCH(H102,FourWeekly_Model!$B$2:$B$29,0)),0),IFERROR(INDEX(FourWeekly_Model!$D$2:$D$29,MATCH(H103,FourWeekly_Model!$B$2:$B$29,0)),0)),0))))))</f>
        <v>9.9642859800000011E-3</v>
      </c>
      <c r="N99" s="27">
        <f>SUM(I99:M99)</f>
        <v>4.3691660635235607E-2</v>
      </c>
      <c r="O99" s="28">
        <f>Population_Data!$B$8*N99</f>
        <v>1323857.3172476389</v>
      </c>
      <c r="P99" s="27">
        <f>IF(VLOOKUP($A99,Calendar!$A$1:$R$1377,18,0)=0,0,IF(VLOOKUP($A99,Calendar!$A$1:$R$1377,18,0)=1,IFERROR(INDEX(Pension_Model!$D$2:$D$29,MATCH(H99,Pension_Model!$B$2:$B$29,0)),0),IF(VLOOKUP($A99,Calendar!$A$1:$R$1377,18,0)=2,SUM(IFERROR(INDEX(Pension_Model!$D$2:$D$29,MATCH(H99,Pension_Model!$B$2:$B$29,0)),0),IFERROR(INDEX(Pension_Model!$D$2:$D$29,MATCH(H100,Pension_Model!$B$2:$B$29,0)),0)),IF(VLOOKUP($A99,Calendar!$A$1:$R$1377,18,0)=3,SUM(IFERROR(INDEX(Pension_Model!$D$2:$D$29,MATCH(H99,Pension_Model!$B$2:$B$29,0)),0),IFERROR(INDEX(Pension_Model!$D$2:$D$29,MATCH(H100,Pension_Model!$B$2:$B$29,0)),0),IFERROR(INDEX(Pension_Model!$D$2:$D$29,MATCH(H101,Pension_Model!$B$2:$B$29,0)),0)),IF(VLOOKUP($A99,Calendar!$A$1:$R$1377,18,0)=4,SUM(IFERROR(INDEX(Pension_Model!$D$2:$D$29,MATCH(H99,Pension_Model!$B$2:$B$29,0)),0),IFERROR(INDEX(Pension_Model!$D$2:$D$29,MATCH(H100,Pension_Model!$B$2:$B$29,0)),0),IFERROR(INDEX(Pension_Model!$D$2:$D$29,MATCH(H101,Pension_Model!$B$2:$B$29,0)),0),IFERROR(INDEX(Pension_Model!$D$2:$D$29,MATCH(H102,Pension_Model!$B$2:$B$29,0)),0)),IF(VLOOKUP($A99,Calendar!$A$1:$R$1377,18,0)=5,SUM(IFERROR(INDEX(Pension_Model!$D$2:$D$29,MATCH(H99,Pension_Model!$B$2:$B$29,0)),0),IFERROR(INDEX(Pension_Model!$D$2:$D$29,MATCH(H100,Pension_Model!$B$2:$B$29,0)),0),IFERROR(INDEX(Pension_Model!$D$2:$D$29,MATCH(H101,Pension_Model!$B$2:$B$29,0)),0),IFERROR(INDEX(Pension_Model!$D$2:$D$29,MATCH(H102,Pension_Model!$B$2:$B$29,0)),0),IFERROR(INDEX(Pension_Model!$D$2:$D$29,MATCH(H103,Pension_Model!$B$2:$B$29,0)),0)),0))))))</f>
        <v>0.05</v>
      </c>
      <c r="Q99" s="28">
        <f>Population_Data!$B$15*P99</f>
        <v>660600</v>
      </c>
      <c r="S99">
        <f t="shared" si="1"/>
        <v>1984457.3172476389</v>
      </c>
      <c r="U99" s="33">
        <f>S99/Population_Data!$B$19</f>
        <v>3.5950313718254329E-2</v>
      </c>
    </row>
    <row r="100" spans="1:21">
      <c r="A100" s="25">
        <f>Calendar!A100</f>
        <v>46333</v>
      </c>
      <c r="B100" t="str">
        <f>Calendar!L100</f>
        <v>No</v>
      </c>
      <c r="C100" t="str">
        <f>Calendar!O100</f>
        <v>No</v>
      </c>
      <c r="D100" t="str">
        <f>Calendar!P100</f>
        <v>No</v>
      </c>
      <c r="E100" t="str">
        <f>Calendar!Q100</f>
        <v>No</v>
      </c>
      <c r="F100" t="str">
        <f>Calendar!I100</f>
        <v>Saturday</v>
      </c>
      <c r="G100">
        <f>Calendar!S100</f>
        <v>7</v>
      </c>
      <c r="H100">
        <f>Calendar!T100</f>
        <v>21</v>
      </c>
      <c r="I100" s="27">
        <f>IF(VLOOKUP(A100,Calendar!$A$1:$R$1377,18,0)=0,0,IF(VLOOKUP(A100,Calendar!$A$1:$R$1377,18,0)=1,INDEX(Monthly_Pay_Model!$A$9:$D$40,MATCH(TEXT(A100,"dd"),Monthly_Pay_Model!$C$9:$C$39,0),4),IF(VLOOKUP(A100,Calendar!$A$1:$R$1377,18,0)=2,SUM(INDEX(Monthly_Pay_Model!$A$9:$D$40,MATCH(TEXT(A100,"dd"),Monthly_Pay_Model!$C$9:$C$39,0),4),INDEX(Monthly_Pay_Model!$A$9:$D$40,MATCH(TEXT(A101,"dd"),Monthly_Pay_Model!$C$9:$C$39,0),4)),IF(VLOOKUP(A100,Calendar!$A$1:$R$1377,18,0)=3,SUM(INDEX(Monthly_Pay_Model!$A$9:$D$40,MATCH(TEXT(A100,"dd"),Monthly_Pay_Model!$C$9:$C$39,0),4),INDEX(Monthly_Pay_Model!$A$9:$D$40,MATCH(TEXT(A101,"dd"),Monthly_Pay_Model!$C$9:$C$39,0),4),INDEX(Monthly_Pay_Model!$A$9:$D$40,MATCH(TEXT(A102,"dd"),Monthly_Pay_Model!$C$9:$C$39,0),4)),IF(VLOOKUP(A100,Calendar!$A$1:$R$1377,18,0)=4,SUM(INDEX(Monthly_Pay_Model!$A$9:$D$40,MATCH(TEXT(A100,"dd"),Monthly_Pay_Model!$C$9:$C$39,0),4),INDEX(Monthly_Pay_Model!$A$9:$D$40,MATCH(TEXT(A101,"dd"),Monthly_Pay_Model!$C$9:$C$39,0),4),INDEX(Monthly_Pay_Model!$A$9:$D$40,MATCH(TEXT(A102,"dd"),Monthly_Pay_Model!$C$9:$C$39,0),4),INDEX(Monthly_Pay_Model!$A$9:$D$40,MATCH(TEXT(A103,"dd"),Monthly_Pay_Model!$C$9:$C$39,0),4)),IF(VLOOKUP(A100,Calendar!$A$1:$R$1377,18,0)=5,SUM(INDEX(Monthly_Pay_Model!$A$9:$D$40,MATCH(TEXT(A100,"dd"),Monthly_Pay_Model!$C$9:$C$39,0),4),INDEX(Monthly_Pay_Model!$A$9:$D$40,MATCH(TEXT(A101,"dd"),Monthly_Pay_Model!$C$9:$C$39,0),4),INDEX(Monthly_Pay_Model!$A$9:$D$40,MATCH(TEXT(A102,"dd"),Monthly_Pay_Model!$C$9:$C$39,0),4),INDEX(Monthly_Pay_Model!$A$9:$D$40,MATCH(TEXT(A103,"dd"),Monthly_Pay_Model!$C$9:$C$39,0),4),INDEX(Monthly_Pay_Model!$A$9:$D$40,MATCH(TEXT(A104,"dd"),Monthly_Pay_Model!$C$9:$C$39,0),4)),))))))</f>
        <v>0</v>
      </c>
      <c r="J100" s="33">
        <f>IF(C100="Yes",Monthly_Pay_Model!$D$2,0)
+IF(Calendar!N100="Yes",Monthly_Pay_Model!$D$3,0)
+IF(D100="Yes",Monthly_Pay_Model!$D$4,0)
+IF(E100="Yes",Monthly_Pay_Model!$D$5,0)</f>
        <v>0</v>
      </c>
      <c r="K100" s="27">
        <f>IF(VLOOKUP($A100,Calendar!$A$1:$R$1377,18,0)=0,0,IF(VLOOKUP($A100,Calendar!$A$1:$R$1377,18,0)=1,IFERROR(INDEX(Weekly_Model!$D$2:$D$9,MATCH(F100,Weekly_Model!$A$2:$A$9,0)),0),IF(VLOOKUP($A100,Calendar!$A$1:$R$1377,18,0)=2,SUM(IFERROR(INDEX(Weekly_Model!$D$2:$D$9,MATCH(F100,Weekly_Model!$A$2:$A$9,0)),0),IFERROR(INDEX(Weekly_Model!$D$2:$D$9,MATCH(F101,Weekly_Model!$A$2:$A$9,0)),0)),IF(VLOOKUP($A100,Calendar!$A$1:$R$1377,18,0)=3,SUM(IFERROR(INDEX(Weekly_Model!$D$2:$D$9,MATCH(F100,Weekly_Model!$A$2:$A$9,0)),0),IFERROR(INDEX(Weekly_Model!$D$2:$D$9,MATCH(F101,Weekly_Model!$A$2:$A$9,0)),0),IFERROR(INDEX(Weekly_Model!$D$2:$D$9,MATCH(F102,Weekly_Model!$A$2:$A$9,0)),0)),IF(VLOOKUP($A100,Calendar!$A$1:$R$1377,18,0)=4,SUM(IFERROR(INDEX(Weekly_Model!$D$2:$D$9,MATCH(F100,Weekly_Model!$A$2:$A$9,0)),0),IFERROR(INDEX(Weekly_Model!$D$2:$D$9,MATCH(F101,Weekly_Model!$A$2:$A$9,0)),0),IFERROR(INDEX(Weekly_Model!$D$2:$D$9,MATCH(F102,Weekly_Model!$A$2:$A$9,0)),0),IFERROR(INDEX(Weekly_Model!$D$2:$D$9,MATCH(F103,Weekly_Model!$A$2:$A$9,0)),0)),IF(VLOOKUP($A100,Calendar!$A$1:$R$1377,18,0)=5,SUM(IFERROR(INDEX(Weekly_Model!$D$2:$D$9,MATCH(F100,Weekly_Model!$A$2:$A$9,0)),0),IFERROR(INDEX(Weekly_Model!$D$2:$D$9,MATCH(F101,Weekly_Model!$A$2:$A$9,0)),0),IFERROR(INDEX(Weekly_Model!$D$2:$D$9,MATCH(F102,Weekly_Model!$A$2:$A$9,0)),0),IFERROR(INDEX(Weekly_Model!$D$2:$D$9,MATCH(F103,Weekly_Model!$A$2:$A$9,0)),0),IFERROR(INDEX(Weekly_Model!$D$2:$D$9,MATCH(F104,Weekly_Model!$A$2:$A$9,0)),0)),0))))))</f>
        <v>0</v>
      </c>
      <c r="L100" s="27">
        <f>IF(VLOOKUP($A100,Calendar!$A$1:$R$1377,18,0)=0,0,IF(VLOOKUP($A100,Calendar!$A$1:$R$1377,18,0)=1,IFERROR(INDEX(Fortnightly_Model!$D$2:$D$15,MATCH(G100,Fortnightly_Model!$B$2:$B$15,0)),0),IF(VLOOKUP($A100,Calendar!$A$1:$R$1377,18,0)=2,SUM(IFERROR(INDEX(Fortnightly_Model!$D$2:$D$15,MATCH(G100,Fortnightly_Model!$B$2:$B$15,0)),0),IFERROR(INDEX(Fortnightly_Model!$D$2:$D$15,MATCH(G101,Fortnightly_Model!$B$2:$B$15,0)),0)),IF(VLOOKUP($A100,Calendar!$A$1:$R$1377,18,0)=3,SUM(IFERROR(INDEX(Fortnightly_Model!$D$2:$D$15,MATCH(G100,Fortnightly_Model!$B$2:$B$15,0)),0),IFERROR(INDEX(Fortnightly_Model!$D$2:$D$15,MATCH(G101,Fortnightly_Model!$B$2:$B$15,0)),0),IFERROR(INDEX(Fortnightly_Model!$D$2:$D$15,MATCH(G102,Fortnightly_Model!$B$2:$B$15,0)),0)),IF(VLOOKUP($A100,Calendar!$A$1:$R$1377,18,0)=4,SUM(IFERROR(INDEX(Fortnightly_Model!$D$2:$D$15,MATCH(G100,Fortnightly_Model!$B$2:$B$15,0)),0),IFERROR(INDEX(Fortnightly_Model!$D$2:$D$15,MATCH(G101,Fortnightly_Model!$B$2:$B$15,0)),0),IFERROR(INDEX(Fortnightly_Model!$D$2:$D$15,MATCH(G102,Fortnightly_Model!$B$2:$B$15,0)),0),IFERROR(INDEX(Fortnightly_Model!$D$2:$D$15,MATCH(G103,Fortnightly_Model!$B$2:$B$15,0)),0)),IF(VLOOKUP($A100,Calendar!$A$1:$R$1377,18,0)=5,SUM(IFERROR(INDEX(Fortnightly_Model!$D$2:$D$15,MATCH(G100,Fortnightly_Model!$B$2:$B$15,0)),0),IFERROR(INDEX(Fortnightly_Model!$D$2:$D$15,MATCH(G101,Fortnightly_Model!$B$2:$B$15,0)),0),IFERROR(INDEX(Fortnightly_Model!$D$2:$D$15,MATCH(G102,Fortnightly_Model!$B$2:$B$15,0)),0),IFERROR(INDEX(Fortnightly_Model!$D$2:$D$15,MATCH(G103,Fortnightly_Model!$B$2:$B$15,0)),0),IFERROR(INDEX(Fortnightly_Model!$D$2:$D$15,MATCH(G104,Fortnightly_Model!$B$2:$B$15,0)),0)),0))))))</f>
        <v>0</v>
      </c>
      <c r="M100" s="27">
        <f>IF(VLOOKUP($A100,Calendar!$A$1:$R$1377,18,0)=0,0,IF(VLOOKUP($A100,Calendar!$A$1:$R$1377,18,0)=1,IFERROR(INDEX(FourWeekly_Model!$D$2:$D$29,MATCH(H100,FourWeekly_Model!$B$2:$B$29,0)),0),IF(VLOOKUP($A100,Calendar!$A$1:$R$1377,18,0)=2,SUM(IFERROR(INDEX(FourWeekly_Model!$D$2:$D$29,MATCH(H100,FourWeekly_Model!$B$2:$B$29,0)),0),IFERROR(INDEX(FourWeekly_Model!$D$2:$D$29,MATCH(H101,FourWeekly_Model!$B$2:$B$29,0)),0)),IF(VLOOKUP($A100,Calendar!$A$1:$R$1377,18,0)=3,SUM(IFERROR(INDEX(FourWeekly_Model!$D$2:$D$29,MATCH(H100,FourWeekly_Model!$B$2:$B$29,0)),0),IFERROR(INDEX(FourWeekly_Model!$D$2:$D$29,MATCH(H101,FourWeekly_Model!$B$2:$B$29,0)),0),IFERROR(INDEX(FourWeekly_Model!$D$2:$D$29,MATCH(H102,FourWeekly_Model!$B$2:$B$29,0)),0)),IF(VLOOKUP($A100,Calendar!$A$1:$R$1377,18,0)=4,SUM(IFERROR(INDEX(FourWeekly_Model!$D$2:$D$29,MATCH(H100,FourWeekly_Model!$B$2:$B$29,0)),0),IFERROR(INDEX(FourWeekly_Model!$D$2:$D$29,MATCH(H101,FourWeekly_Model!$B$2:$B$29,0)),0),IFERROR(INDEX(FourWeekly_Model!$D$2:$D$29,MATCH(H102,FourWeekly_Model!$B$2:$B$29,0)),0),IFERROR(INDEX(FourWeekly_Model!$D$2:$D$29,MATCH(H103,FourWeekly_Model!$B$2:$B$29,0)),0)),IF(VLOOKUP($A100,Calendar!$A$1:$R$1377,18,0)=5,SUM(IFERROR(INDEX(FourWeekly_Model!$D$2:$D$29,MATCH(H100,FourWeekly_Model!$B$2:$B$29,0)),0),IFERROR(INDEX(FourWeekly_Model!$D$2:$D$29,MATCH(H101,FourWeekly_Model!$B$2:$B$29,0)),0),IFERROR(INDEX(FourWeekly_Model!$D$2:$D$29,MATCH(H102,FourWeekly_Model!$B$2:$B$29,0)),0),IFERROR(INDEX(FourWeekly_Model!$D$2:$D$29,MATCH(H103,FourWeekly_Model!$B$2:$B$29,0)),0),IFERROR(INDEX(FourWeekly_Model!$D$2:$D$29,MATCH(H104,FourWeekly_Model!$B$2:$B$29,0)),0)),0))))))</f>
        <v>0</v>
      </c>
      <c r="N100" s="27">
        <f>SUM(I100:M100)</f>
        <v>0</v>
      </c>
      <c r="O100" s="28">
        <f>Population_Data!$B$8*N100</f>
        <v>0</v>
      </c>
      <c r="P100" s="27">
        <f>IF(VLOOKUP($A100,Calendar!$A$1:$R$1377,18,0)=0,0,IF(VLOOKUP($A100,Calendar!$A$1:$R$1377,18,0)=1,IFERROR(INDEX(Pension_Model!$D$2:$D$29,MATCH(H100,Pension_Model!$B$2:$B$29,0)),0),IF(VLOOKUP($A100,Calendar!$A$1:$R$1377,18,0)=2,SUM(IFERROR(INDEX(Pension_Model!$D$2:$D$29,MATCH(H100,Pension_Model!$B$2:$B$29,0)),0),IFERROR(INDEX(Pension_Model!$D$2:$D$29,MATCH(H101,Pension_Model!$B$2:$B$29,0)),0)),IF(VLOOKUP($A100,Calendar!$A$1:$R$1377,18,0)=3,SUM(IFERROR(INDEX(Pension_Model!$D$2:$D$29,MATCH(H100,Pension_Model!$B$2:$B$29,0)),0),IFERROR(INDEX(Pension_Model!$D$2:$D$29,MATCH(H101,Pension_Model!$B$2:$B$29,0)),0),IFERROR(INDEX(Pension_Model!$D$2:$D$29,MATCH(H102,Pension_Model!$B$2:$B$29,0)),0)),IF(VLOOKUP($A100,Calendar!$A$1:$R$1377,18,0)=4,SUM(IFERROR(INDEX(Pension_Model!$D$2:$D$29,MATCH(H100,Pension_Model!$B$2:$B$29,0)),0),IFERROR(INDEX(Pension_Model!$D$2:$D$29,MATCH(H101,Pension_Model!$B$2:$B$29,0)),0),IFERROR(INDEX(Pension_Model!$D$2:$D$29,MATCH(H102,Pension_Model!$B$2:$B$29,0)),0),IFERROR(INDEX(Pension_Model!$D$2:$D$29,MATCH(H103,Pension_Model!$B$2:$B$29,0)),0)),IF(VLOOKUP($A100,Calendar!$A$1:$R$1377,18,0)=5,SUM(IFERROR(INDEX(Pension_Model!$D$2:$D$29,MATCH(H100,Pension_Model!$B$2:$B$29,0)),0),IFERROR(INDEX(Pension_Model!$D$2:$D$29,MATCH(H101,Pension_Model!$B$2:$B$29,0)),0),IFERROR(INDEX(Pension_Model!$D$2:$D$29,MATCH(H102,Pension_Model!$B$2:$B$29,0)),0),IFERROR(INDEX(Pension_Model!$D$2:$D$29,MATCH(H103,Pension_Model!$B$2:$B$29,0)),0),IFERROR(INDEX(Pension_Model!$D$2:$D$29,MATCH(H104,Pension_Model!$B$2:$B$29,0)),0)),0))))))</f>
        <v>0</v>
      </c>
      <c r="Q100" s="28">
        <f>Population_Data!$B$15*P100</f>
        <v>0</v>
      </c>
      <c r="S100">
        <f t="shared" si="1"/>
        <v>0</v>
      </c>
      <c r="U100" s="33">
        <f>S100/Population_Data!$B$19</f>
        <v>0</v>
      </c>
    </row>
    <row r="101" spans="1:21">
      <c r="A101" s="25">
        <f>Calendar!A101</f>
        <v>46334</v>
      </c>
      <c r="B101" t="str">
        <f>Calendar!L101</f>
        <v>No</v>
      </c>
      <c r="C101" t="str">
        <f>Calendar!O101</f>
        <v>No</v>
      </c>
      <c r="D101" t="str">
        <f>Calendar!P101</f>
        <v>No</v>
      </c>
      <c r="E101" t="str">
        <f>Calendar!Q101</f>
        <v>No</v>
      </c>
      <c r="F101" t="str">
        <f>Calendar!I101</f>
        <v>Sunday</v>
      </c>
      <c r="G101">
        <f>Calendar!S101</f>
        <v>8</v>
      </c>
      <c r="H101">
        <f>Calendar!T101</f>
        <v>22</v>
      </c>
      <c r="I101" s="27">
        <f>IF(VLOOKUP(A101,Calendar!$A$1:$R$1377,18,0)=0,0,IF(VLOOKUP(A101,Calendar!$A$1:$R$1377,18,0)=1,INDEX(Monthly_Pay_Model!$A$9:$D$40,MATCH(TEXT(A101,"dd"),Monthly_Pay_Model!$C$9:$C$39,0),4),IF(VLOOKUP(A101,Calendar!$A$1:$R$1377,18,0)=2,SUM(INDEX(Monthly_Pay_Model!$A$9:$D$40,MATCH(TEXT(A101,"dd"),Monthly_Pay_Model!$C$9:$C$39,0),4),INDEX(Monthly_Pay_Model!$A$9:$D$40,MATCH(TEXT(A102,"dd"),Monthly_Pay_Model!$C$9:$C$39,0),4)),IF(VLOOKUP(A101,Calendar!$A$1:$R$1377,18,0)=3,SUM(INDEX(Monthly_Pay_Model!$A$9:$D$40,MATCH(TEXT(A101,"dd"),Monthly_Pay_Model!$C$9:$C$39,0),4),INDEX(Monthly_Pay_Model!$A$9:$D$40,MATCH(TEXT(A102,"dd"),Monthly_Pay_Model!$C$9:$C$39,0),4),INDEX(Monthly_Pay_Model!$A$9:$D$40,MATCH(TEXT(A103,"dd"),Monthly_Pay_Model!$C$9:$C$39,0),4)),IF(VLOOKUP(A101,Calendar!$A$1:$R$1377,18,0)=4,SUM(INDEX(Monthly_Pay_Model!$A$9:$D$40,MATCH(TEXT(A101,"dd"),Monthly_Pay_Model!$C$9:$C$39,0),4),INDEX(Monthly_Pay_Model!$A$9:$D$40,MATCH(TEXT(A102,"dd"),Monthly_Pay_Model!$C$9:$C$39,0),4),INDEX(Monthly_Pay_Model!$A$9:$D$40,MATCH(TEXT(A103,"dd"),Monthly_Pay_Model!$C$9:$C$39,0),4),INDEX(Monthly_Pay_Model!$A$9:$D$40,MATCH(TEXT(A104,"dd"),Monthly_Pay_Model!$C$9:$C$39,0),4)),IF(VLOOKUP(A101,Calendar!$A$1:$R$1377,18,0)=5,SUM(INDEX(Monthly_Pay_Model!$A$9:$D$40,MATCH(TEXT(A101,"dd"),Monthly_Pay_Model!$C$9:$C$39,0),4),INDEX(Monthly_Pay_Model!$A$9:$D$40,MATCH(TEXT(A102,"dd"),Monthly_Pay_Model!$C$9:$C$39,0),4),INDEX(Monthly_Pay_Model!$A$9:$D$40,MATCH(TEXT(A103,"dd"),Monthly_Pay_Model!$C$9:$C$39,0),4),INDEX(Monthly_Pay_Model!$A$9:$D$40,MATCH(TEXT(A104,"dd"),Monthly_Pay_Model!$C$9:$C$39,0),4),INDEX(Monthly_Pay_Model!$A$9:$D$40,MATCH(TEXT(A105,"dd"),Monthly_Pay_Model!$C$9:$C$39,0),4)),))))))</f>
        <v>0</v>
      </c>
      <c r="J101" s="33">
        <f>IF(C101="Yes",Monthly_Pay_Model!$D$2,0)
+IF(Calendar!N101="Yes",Monthly_Pay_Model!$D$3,0)
+IF(D101="Yes",Monthly_Pay_Model!$D$4,0)
+IF(E101="Yes",Monthly_Pay_Model!$D$5,0)</f>
        <v>0</v>
      </c>
      <c r="K101" s="27">
        <f>IF(VLOOKUP($A101,Calendar!$A$1:$R$1377,18,0)=0,0,IF(VLOOKUP($A101,Calendar!$A$1:$R$1377,18,0)=1,IFERROR(INDEX(Weekly_Model!$D$2:$D$9,MATCH(F101,Weekly_Model!$A$2:$A$9,0)),0),IF(VLOOKUP($A101,Calendar!$A$1:$R$1377,18,0)=2,SUM(IFERROR(INDEX(Weekly_Model!$D$2:$D$9,MATCH(F101,Weekly_Model!$A$2:$A$9,0)),0),IFERROR(INDEX(Weekly_Model!$D$2:$D$9,MATCH(F102,Weekly_Model!$A$2:$A$9,0)),0)),IF(VLOOKUP($A101,Calendar!$A$1:$R$1377,18,0)=3,SUM(IFERROR(INDEX(Weekly_Model!$D$2:$D$9,MATCH(F101,Weekly_Model!$A$2:$A$9,0)),0),IFERROR(INDEX(Weekly_Model!$D$2:$D$9,MATCH(F102,Weekly_Model!$A$2:$A$9,0)),0),IFERROR(INDEX(Weekly_Model!$D$2:$D$9,MATCH(F103,Weekly_Model!$A$2:$A$9,0)),0)),IF(VLOOKUP($A101,Calendar!$A$1:$R$1377,18,0)=4,SUM(IFERROR(INDEX(Weekly_Model!$D$2:$D$9,MATCH(F101,Weekly_Model!$A$2:$A$9,0)),0),IFERROR(INDEX(Weekly_Model!$D$2:$D$9,MATCH(F102,Weekly_Model!$A$2:$A$9,0)),0),IFERROR(INDEX(Weekly_Model!$D$2:$D$9,MATCH(F103,Weekly_Model!$A$2:$A$9,0)),0),IFERROR(INDEX(Weekly_Model!$D$2:$D$9,MATCH(F104,Weekly_Model!$A$2:$A$9,0)),0)),IF(VLOOKUP($A101,Calendar!$A$1:$R$1377,18,0)=5,SUM(IFERROR(INDEX(Weekly_Model!$D$2:$D$9,MATCH(F101,Weekly_Model!$A$2:$A$9,0)),0),IFERROR(INDEX(Weekly_Model!$D$2:$D$9,MATCH(F102,Weekly_Model!$A$2:$A$9,0)),0),IFERROR(INDEX(Weekly_Model!$D$2:$D$9,MATCH(F103,Weekly_Model!$A$2:$A$9,0)),0),IFERROR(INDEX(Weekly_Model!$D$2:$D$9,MATCH(F104,Weekly_Model!$A$2:$A$9,0)),0),IFERROR(INDEX(Weekly_Model!$D$2:$D$9,MATCH(F105,Weekly_Model!$A$2:$A$9,0)),0)),0))))))</f>
        <v>0</v>
      </c>
      <c r="L101" s="27">
        <f>IF(VLOOKUP($A101,Calendar!$A$1:$R$1377,18,0)=0,0,IF(VLOOKUP($A101,Calendar!$A$1:$R$1377,18,0)=1,IFERROR(INDEX(Fortnightly_Model!$D$2:$D$15,MATCH(G101,Fortnightly_Model!$B$2:$B$15,0)),0),IF(VLOOKUP($A101,Calendar!$A$1:$R$1377,18,0)=2,SUM(IFERROR(INDEX(Fortnightly_Model!$D$2:$D$15,MATCH(G101,Fortnightly_Model!$B$2:$B$15,0)),0),IFERROR(INDEX(Fortnightly_Model!$D$2:$D$15,MATCH(G102,Fortnightly_Model!$B$2:$B$15,0)),0)),IF(VLOOKUP($A101,Calendar!$A$1:$R$1377,18,0)=3,SUM(IFERROR(INDEX(Fortnightly_Model!$D$2:$D$15,MATCH(G101,Fortnightly_Model!$B$2:$B$15,0)),0),IFERROR(INDEX(Fortnightly_Model!$D$2:$D$15,MATCH(G102,Fortnightly_Model!$B$2:$B$15,0)),0),IFERROR(INDEX(Fortnightly_Model!$D$2:$D$15,MATCH(G103,Fortnightly_Model!$B$2:$B$15,0)),0)),IF(VLOOKUP($A101,Calendar!$A$1:$R$1377,18,0)=4,SUM(IFERROR(INDEX(Fortnightly_Model!$D$2:$D$15,MATCH(G101,Fortnightly_Model!$B$2:$B$15,0)),0),IFERROR(INDEX(Fortnightly_Model!$D$2:$D$15,MATCH(G102,Fortnightly_Model!$B$2:$B$15,0)),0),IFERROR(INDEX(Fortnightly_Model!$D$2:$D$15,MATCH(G103,Fortnightly_Model!$B$2:$B$15,0)),0),IFERROR(INDEX(Fortnightly_Model!$D$2:$D$15,MATCH(G104,Fortnightly_Model!$B$2:$B$15,0)),0)),IF(VLOOKUP($A101,Calendar!$A$1:$R$1377,18,0)=5,SUM(IFERROR(INDEX(Fortnightly_Model!$D$2:$D$15,MATCH(G101,Fortnightly_Model!$B$2:$B$15,0)),0),IFERROR(INDEX(Fortnightly_Model!$D$2:$D$15,MATCH(G102,Fortnightly_Model!$B$2:$B$15,0)),0),IFERROR(INDEX(Fortnightly_Model!$D$2:$D$15,MATCH(G103,Fortnightly_Model!$B$2:$B$15,0)),0),IFERROR(INDEX(Fortnightly_Model!$D$2:$D$15,MATCH(G104,Fortnightly_Model!$B$2:$B$15,0)),0),IFERROR(INDEX(Fortnightly_Model!$D$2:$D$15,MATCH(G105,Fortnightly_Model!$B$2:$B$15,0)),0)),0))))))</f>
        <v>0</v>
      </c>
      <c r="M101" s="27">
        <f>IF(VLOOKUP($A101,Calendar!$A$1:$R$1377,18,0)=0,0,IF(VLOOKUP($A101,Calendar!$A$1:$R$1377,18,0)=1,IFERROR(INDEX(FourWeekly_Model!$D$2:$D$29,MATCH(H101,FourWeekly_Model!$B$2:$B$29,0)),0),IF(VLOOKUP($A101,Calendar!$A$1:$R$1377,18,0)=2,SUM(IFERROR(INDEX(FourWeekly_Model!$D$2:$D$29,MATCH(H101,FourWeekly_Model!$B$2:$B$29,0)),0),IFERROR(INDEX(FourWeekly_Model!$D$2:$D$29,MATCH(H102,FourWeekly_Model!$B$2:$B$29,0)),0)),IF(VLOOKUP($A101,Calendar!$A$1:$R$1377,18,0)=3,SUM(IFERROR(INDEX(FourWeekly_Model!$D$2:$D$29,MATCH(H101,FourWeekly_Model!$B$2:$B$29,0)),0),IFERROR(INDEX(FourWeekly_Model!$D$2:$D$29,MATCH(H102,FourWeekly_Model!$B$2:$B$29,0)),0),IFERROR(INDEX(FourWeekly_Model!$D$2:$D$29,MATCH(H103,FourWeekly_Model!$B$2:$B$29,0)),0)),IF(VLOOKUP($A101,Calendar!$A$1:$R$1377,18,0)=4,SUM(IFERROR(INDEX(FourWeekly_Model!$D$2:$D$29,MATCH(H101,FourWeekly_Model!$B$2:$B$29,0)),0),IFERROR(INDEX(FourWeekly_Model!$D$2:$D$29,MATCH(H102,FourWeekly_Model!$B$2:$B$29,0)),0),IFERROR(INDEX(FourWeekly_Model!$D$2:$D$29,MATCH(H103,FourWeekly_Model!$B$2:$B$29,0)),0),IFERROR(INDEX(FourWeekly_Model!$D$2:$D$29,MATCH(H104,FourWeekly_Model!$B$2:$B$29,0)),0)),IF(VLOOKUP($A101,Calendar!$A$1:$R$1377,18,0)=5,SUM(IFERROR(INDEX(FourWeekly_Model!$D$2:$D$29,MATCH(H101,FourWeekly_Model!$B$2:$B$29,0)),0),IFERROR(INDEX(FourWeekly_Model!$D$2:$D$29,MATCH(H102,FourWeekly_Model!$B$2:$B$29,0)),0),IFERROR(INDEX(FourWeekly_Model!$D$2:$D$29,MATCH(H103,FourWeekly_Model!$B$2:$B$29,0)),0),IFERROR(INDEX(FourWeekly_Model!$D$2:$D$29,MATCH(H104,FourWeekly_Model!$B$2:$B$29,0)),0),IFERROR(INDEX(FourWeekly_Model!$D$2:$D$29,MATCH(H105,FourWeekly_Model!$B$2:$B$29,0)),0)),0))))))</f>
        <v>0</v>
      </c>
      <c r="N101" s="27">
        <f>SUM(I101:M101)</f>
        <v>0</v>
      </c>
      <c r="O101" s="28">
        <f>Population_Data!$B$8*N101</f>
        <v>0</v>
      </c>
      <c r="P101" s="27">
        <f>IF(VLOOKUP($A101,Calendar!$A$1:$R$1377,18,0)=0,0,IF(VLOOKUP($A101,Calendar!$A$1:$R$1377,18,0)=1,IFERROR(INDEX(Pension_Model!$D$2:$D$29,MATCH(H101,Pension_Model!$B$2:$B$29,0)),0),IF(VLOOKUP($A101,Calendar!$A$1:$R$1377,18,0)=2,SUM(IFERROR(INDEX(Pension_Model!$D$2:$D$29,MATCH(H101,Pension_Model!$B$2:$B$29,0)),0),IFERROR(INDEX(Pension_Model!$D$2:$D$29,MATCH(H102,Pension_Model!$B$2:$B$29,0)),0)),IF(VLOOKUP($A101,Calendar!$A$1:$R$1377,18,0)=3,SUM(IFERROR(INDEX(Pension_Model!$D$2:$D$29,MATCH(H101,Pension_Model!$B$2:$B$29,0)),0),IFERROR(INDEX(Pension_Model!$D$2:$D$29,MATCH(H102,Pension_Model!$B$2:$B$29,0)),0),IFERROR(INDEX(Pension_Model!$D$2:$D$29,MATCH(H103,Pension_Model!$B$2:$B$29,0)),0)),IF(VLOOKUP($A101,Calendar!$A$1:$R$1377,18,0)=4,SUM(IFERROR(INDEX(Pension_Model!$D$2:$D$29,MATCH(H101,Pension_Model!$B$2:$B$29,0)),0),IFERROR(INDEX(Pension_Model!$D$2:$D$29,MATCH(H102,Pension_Model!$B$2:$B$29,0)),0),IFERROR(INDEX(Pension_Model!$D$2:$D$29,MATCH(H103,Pension_Model!$B$2:$B$29,0)),0),IFERROR(INDEX(Pension_Model!$D$2:$D$29,MATCH(H104,Pension_Model!$B$2:$B$29,0)),0)),IF(VLOOKUP($A101,Calendar!$A$1:$R$1377,18,0)=5,SUM(IFERROR(INDEX(Pension_Model!$D$2:$D$29,MATCH(H101,Pension_Model!$B$2:$B$29,0)),0),IFERROR(INDEX(Pension_Model!$D$2:$D$29,MATCH(H102,Pension_Model!$B$2:$B$29,0)),0),IFERROR(INDEX(Pension_Model!$D$2:$D$29,MATCH(H103,Pension_Model!$B$2:$B$29,0)),0),IFERROR(INDEX(Pension_Model!$D$2:$D$29,MATCH(H104,Pension_Model!$B$2:$B$29,0)),0),IFERROR(INDEX(Pension_Model!$D$2:$D$29,MATCH(H105,Pension_Model!$B$2:$B$29,0)),0)),0))))))</f>
        <v>0</v>
      </c>
      <c r="Q101" s="28">
        <f>Population_Data!$B$15*P101</f>
        <v>0</v>
      </c>
      <c r="S101">
        <f t="shared" si="1"/>
        <v>0</v>
      </c>
      <c r="U101" s="33">
        <f>S101/Population_Data!$B$19</f>
        <v>0</v>
      </c>
    </row>
    <row r="102" spans="1:21">
      <c r="A102" s="25">
        <f>Calendar!A102</f>
        <v>46335</v>
      </c>
      <c r="B102" t="str">
        <f>Calendar!L102</f>
        <v>Yes</v>
      </c>
      <c r="C102" t="str">
        <f>Calendar!O102</f>
        <v>No</v>
      </c>
      <c r="D102" t="str">
        <f>Calendar!P102</f>
        <v>No</v>
      </c>
      <c r="E102" t="str">
        <f>Calendar!Q102</f>
        <v>No</v>
      </c>
      <c r="F102" t="str">
        <f>Calendar!I102</f>
        <v>Monday</v>
      </c>
      <c r="G102">
        <f>Calendar!S102</f>
        <v>9</v>
      </c>
      <c r="H102">
        <f>Calendar!T102</f>
        <v>23</v>
      </c>
      <c r="I102" s="27">
        <f>IF(VLOOKUP(A102,Calendar!$A$1:$R$1377,18,0)=0,0,IF(VLOOKUP(A102,Calendar!$A$1:$R$1377,18,0)=1,INDEX(Monthly_Pay_Model!$A$9:$D$40,MATCH(TEXT(A102,"dd"),Monthly_Pay_Model!$C$9:$C$39,0),4),IF(VLOOKUP(A102,Calendar!$A$1:$R$1377,18,0)=2,SUM(INDEX(Monthly_Pay_Model!$A$9:$D$40,MATCH(TEXT(A102,"dd"),Monthly_Pay_Model!$C$9:$C$39,0),4),INDEX(Monthly_Pay_Model!$A$9:$D$40,MATCH(TEXT(A103,"dd"),Monthly_Pay_Model!$C$9:$C$39,0),4)),IF(VLOOKUP(A102,Calendar!$A$1:$R$1377,18,0)=3,SUM(INDEX(Monthly_Pay_Model!$A$9:$D$40,MATCH(TEXT(A102,"dd"),Monthly_Pay_Model!$C$9:$C$39,0),4),INDEX(Monthly_Pay_Model!$A$9:$D$40,MATCH(TEXT(A103,"dd"),Monthly_Pay_Model!$C$9:$C$39,0),4),INDEX(Monthly_Pay_Model!$A$9:$D$40,MATCH(TEXT(A104,"dd"),Monthly_Pay_Model!$C$9:$C$39,0),4)),IF(VLOOKUP(A102,Calendar!$A$1:$R$1377,18,0)=4,SUM(INDEX(Monthly_Pay_Model!$A$9:$D$40,MATCH(TEXT(A102,"dd"),Monthly_Pay_Model!$C$9:$C$39,0),4),INDEX(Monthly_Pay_Model!$A$9:$D$40,MATCH(TEXT(A103,"dd"),Monthly_Pay_Model!$C$9:$C$39,0),4),INDEX(Monthly_Pay_Model!$A$9:$D$40,MATCH(TEXT(A104,"dd"),Monthly_Pay_Model!$C$9:$C$39,0),4),INDEX(Monthly_Pay_Model!$A$9:$D$40,MATCH(TEXT(A105,"dd"),Monthly_Pay_Model!$C$9:$C$39,0),4)),IF(VLOOKUP(A102,Calendar!$A$1:$R$1377,18,0)=5,SUM(INDEX(Monthly_Pay_Model!$A$9:$D$40,MATCH(TEXT(A102,"dd"),Monthly_Pay_Model!$C$9:$C$39,0),4),INDEX(Monthly_Pay_Model!$A$9:$D$40,MATCH(TEXT(A103,"dd"),Monthly_Pay_Model!$C$9:$C$39,0),4),INDEX(Monthly_Pay_Model!$A$9:$D$40,MATCH(TEXT(A104,"dd"),Monthly_Pay_Model!$C$9:$C$39,0),4),INDEX(Monthly_Pay_Model!$A$9:$D$40,MATCH(TEXT(A105,"dd"),Monthly_Pay_Model!$C$9:$C$39,0),4),INDEX(Monthly_Pay_Model!$A$9:$D$40,MATCH(TEXT(A106,"dd"),Monthly_Pay_Model!$C$9:$C$39,0),4)),))))))</f>
        <v>8.1256544502617792E-4</v>
      </c>
      <c r="J102" s="33">
        <f>IF(C102="Yes",Monthly_Pay_Model!$D$2,0)
+IF(Calendar!N102="Yes",Monthly_Pay_Model!$D$3,0)
+IF(D102="Yes",Monthly_Pay_Model!$D$4,0)
+IF(E102="Yes",Monthly_Pay_Model!$D$5,0)</f>
        <v>0</v>
      </c>
      <c r="K102" s="27">
        <f>IF(VLOOKUP($A102,Calendar!$A$1:$R$1377,18,0)=0,0,IF(VLOOKUP($A102,Calendar!$A$1:$R$1377,18,0)=1,IFERROR(INDEX(Weekly_Model!$D$2:$D$9,MATCH(F102,Weekly_Model!$A$2:$A$9,0)),0),IF(VLOOKUP($A102,Calendar!$A$1:$R$1377,18,0)=2,SUM(IFERROR(INDEX(Weekly_Model!$D$2:$D$9,MATCH(F102,Weekly_Model!$A$2:$A$9,0)),0),IFERROR(INDEX(Weekly_Model!$D$2:$D$9,MATCH(F103,Weekly_Model!$A$2:$A$9,0)),0)),IF(VLOOKUP($A102,Calendar!$A$1:$R$1377,18,0)=3,SUM(IFERROR(INDEX(Weekly_Model!$D$2:$D$9,MATCH(F102,Weekly_Model!$A$2:$A$9,0)),0),IFERROR(INDEX(Weekly_Model!$D$2:$D$9,MATCH(F103,Weekly_Model!$A$2:$A$9,0)),0),IFERROR(INDEX(Weekly_Model!$D$2:$D$9,MATCH(F104,Weekly_Model!$A$2:$A$9,0)),0)),IF(VLOOKUP($A102,Calendar!$A$1:$R$1377,18,0)=4,SUM(IFERROR(INDEX(Weekly_Model!$D$2:$D$9,MATCH(F102,Weekly_Model!$A$2:$A$9,0)),0),IFERROR(INDEX(Weekly_Model!$D$2:$D$9,MATCH(F103,Weekly_Model!$A$2:$A$9,0)),0),IFERROR(INDEX(Weekly_Model!$D$2:$D$9,MATCH(F104,Weekly_Model!$A$2:$A$9,0)),0),IFERROR(INDEX(Weekly_Model!$D$2:$D$9,MATCH(F105,Weekly_Model!$A$2:$A$9,0)),0)),IF(VLOOKUP($A102,Calendar!$A$1:$R$1377,18,0)=5,SUM(IFERROR(INDEX(Weekly_Model!$D$2:$D$9,MATCH(F102,Weekly_Model!$A$2:$A$9,0)),0),IFERROR(INDEX(Weekly_Model!$D$2:$D$9,MATCH(F103,Weekly_Model!$A$2:$A$9,0)),0),IFERROR(INDEX(Weekly_Model!$D$2:$D$9,MATCH(F104,Weekly_Model!$A$2:$A$9,0)),0),IFERROR(INDEX(Weekly_Model!$D$2:$D$9,MATCH(F105,Weekly_Model!$A$2:$A$9,0)),0),IFERROR(INDEX(Weekly_Model!$D$2:$D$9,MATCH(F106,Weekly_Model!$A$2:$A$9,0)),0)),0))))))</f>
        <v>2.3200000000000002E-2</v>
      </c>
      <c r="L102" s="27">
        <f>IF(VLOOKUP($A102,Calendar!$A$1:$R$1377,18,0)=0,0,IF(VLOOKUP($A102,Calendar!$A$1:$R$1377,18,0)=1,IFERROR(INDEX(Fortnightly_Model!$D$2:$D$15,MATCH(G102,Fortnightly_Model!$B$2:$B$15,0)),0),IF(VLOOKUP($A102,Calendar!$A$1:$R$1377,18,0)=2,SUM(IFERROR(INDEX(Fortnightly_Model!$D$2:$D$15,MATCH(G102,Fortnightly_Model!$B$2:$B$15,0)),0),IFERROR(INDEX(Fortnightly_Model!$D$2:$D$15,MATCH(G103,Fortnightly_Model!$B$2:$B$15,0)),0)),IF(VLOOKUP($A102,Calendar!$A$1:$R$1377,18,0)=3,SUM(IFERROR(INDEX(Fortnightly_Model!$D$2:$D$15,MATCH(G102,Fortnightly_Model!$B$2:$B$15,0)),0),IFERROR(INDEX(Fortnightly_Model!$D$2:$D$15,MATCH(G103,Fortnightly_Model!$B$2:$B$15,0)),0),IFERROR(INDEX(Fortnightly_Model!$D$2:$D$15,MATCH(G104,Fortnightly_Model!$B$2:$B$15,0)),0)),IF(VLOOKUP($A102,Calendar!$A$1:$R$1377,18,0)=4,SUM(IFERROR(INDEX(Fortnightly_Model!$D$2:$D$15,MATCH(G102,Fortnightly_Model!$B$2:$B$15,0)),0),IFERROR(INDEX(Fortnightly_Model!$D$2:$D$15,MATCH(G103,Fortnightly_Model!$B$2:$B$15,0)),0),IFERROR(INDEX(Fortnightly_Model!$D$2:$D$15,MATCH(G104,Fortnightly_Model!$B$2:$B$15,0)),0),IFERROR(INDEX(Fortnightly_Model!$D$2:$D$15,MATCH(G105,Fortnightly_Model!$B$2:$B$15,0)),0)),IF(VLOOKUP($A102,Calendar!$A$1:$R$1377,18,0)=5,SUM(IFERROR(INDEX(Fortnightly_Model!$D$2:$D$15,MATCH(G102,Fortnightly_Model!$B$2:$B$15,0)),0),IFERROR(INDEX(Fortnightly_Model!$D$2:$D$15,MATCH(G103,Fortnightly_Model!$B$2:$B$15,0)),0),IFERROR(INDEX(Fortnightly_Model!$D$2:$D$15,MATCH(G104,Fortnightly_Model!$B$2:$B$15,0)),0),IFERROR(INDEX(Fortnightly_Model!$D$2:$D$15,MATCH(G105,Fortnightly_Model!$B$2:$B$15,0)),0),IFERROR(INDEX(Fortnightly_Model!$D$2:$D$15,MATCH(G106,Fortnightly_Model!$B$2:$B$15,0)),0)),0))))))</f>
        <v>1.0714285499999999E-3</v>
      </c>
      <c r="M102" s="27">
        <f>IF(VLOOKUP($A102,Calendar!$A$1:$R$1377,18,0)=0,0,IF(VLOOKUP($A102,Calendar!$A$1:$R$1377,18,0)=1,IFERROR(INDEX(FourWeekly_Model!$D$2:$D$29,MATCH(H102,FourWeekly_Model!$B$2:$B$29,0)),0),IF(VLOOKUP($A102,Calendar!$A$1:$R$1377,18,0)=2,SUM(IFERROR(INDEX(FourWeekly_Model!$D$2:$D$29,MATCH(H102,FourWeekly_Model!$B$2:$B$29,0)),0),IFERROR(INDEX(FourWeekly_Model!$D$2:$D$29,MATCH(H103,FourWeekly_Model!$B$2:$B$29,0)),0)),IF(VLOOKUP($A102,Calendar!$A$1:$R$1377,18,0)=3,SUM(IFERROR(INDEX(FourWeekly_Model!$D$2:$D$29,MATCH(H102,FourWeekly_Model!$B$2:$B$29,0)),0),IFERROR(INDEX(FourWeekly_Model!$D$2:$D$29,MATCH(H103,FourWeekly_Model!$B$2:$B$29,0)),0),IFERROR(INDEX(FourWeekly_Model!$D$2:$D$29,MATCH(H104,FourWeekly_Model!$B$2:$B$29,0)),0)),IF(VLOOKUP($A102,Calendar!$A$1:$R$1377,18,0)=4,SUM(IFERROR(INDEX(FourWeekly_Model!$D$2:$D$29,MATCH(H102,FourWeekly_Model!$B$2:$B$29,0)),0),IFERROR(INDEX(FourWeekly_Model!$D$2:$D$29,MATCH(H103,FourWeekly_Model!$B$2:$B$29,0)),0),IFERROR(INDEX(FourWeekly_Model!$D$2:$D$29,MATCH(H104,FourWeekly_Model!$B$2:$B$29,0)),0),IFERROR(INDEX(FourWeekly_Model!$D$2:$D$29,MATCH(H105,FourWeekly_Model!$B$2:$B$29,0)),0)),IF(VLOOKUP($A102,Calendar!$A$1:$R$1377,18,0)=5,SUM(IFERROR(INDEX(FourWeekly_Model!$D$2:$D$29,MATCH(H102,FourWeekly_Model!$B$2:$B$29,0)),0),IFERROR(INDEX(FourWeekly_Model!$D$2:$D$29,MATCH(H103,FourWeekly_Model!$B$2:$B$29,0)),0),IFERROR(INDEX(FourWeekly_Model!$D$2:$D$29,MATCH(H104,FourWeekly_Model!$B$2:$B$29,0)),0),IFERROR(INDEX(FourWeekly_Model!$D$2:$D$29,MATCH(H105,FourWeekly_Model!$B$2:$B$29,0)),0),IFERROR(INDEX(FourWeekly_Model!$D$2:$D$29,MATCH(H106,FourWeekly_Model!$B$2:$B$29,0)),0)),0))))))</f>
        <v>3.3214289700000004E-3</v>
      </c>
      <c r="N102" s="27">
        <f>SUM(I102:M102)</f>
        <v>2.840542296502618E-2</v>
      </c>
      <c r="O102" s="28">
        <f>Population_Data!$B$8*N102</f>
        <v>860684.3158402933</v>
      </c>
      <c r="P102" s="27">
        <f>IF(VLOOKUP($A102,Calendar!$A$1:$R$1377,18,0)=0,0,IF(VLOOKUP($A102,Calendar!$A$1:$R$1377,18,0)=1,IFERROR(INDEX(Pension_Model!$D$2:$D$29,MATCH(H102,Pension_Model!$B$2:$B$29,0)),0),IF(VLOOKUP($A102,Calendar!$A$1:$R$1377,18,0)=2,SUM(IFERROR(INDEX(Pension_Model!$D$2:$D$29,MATCH(H102,Pension_Model!$B$2:$B$29,0)),0),IFERROR(INDEX(Pension_Model!$D$2:$D$29,MATCH(H103,Pension_Model!$B$2:$B$29,0)),0)),IF(VLOOKUP($A102,Calendar!$A$1:$R$1377,18,0)=3,SUM(IFERROR(INDEX(Pension_Model!$D$2:$D$29,MATCH(H102,Pension_Model!$B$2:$B$29,0)),0),IFERROR(INDEX(Pension_Model!$D$2:$D$29,MATCH(H103,Pension_Model!$B$2:$B$29,0)),0),IFERROR(INDEX(Pension_Model!$D$2:$D$29,MATCH(H104,Pension_Model!$B$2:$B$29,0)),0)),IF(VLOOKUP($A102,Calendar!$A$1:$R$1377,18,0)=4,SUM(IFERROR(INDEX(Pension_Model!$D$2:$D$29,MATCH(H102,Pension_Model!$B$2:$B$29,0)),0),IFERROR(INDEX(Pension_Model!$D$2:$D$29,MATCH(H103,Pension_Model!$B$2:$B$29,0)),0),IFERROR(INDEX(Pension_Model!$D$2:$D$29,MATCH(H104,Pension_Model!$B$2:$B$29,0)),0),IFERROR(INDEX(Pension_Model!$D$2:$D$29,MATCH(H105,Pension_Model!$B$2:$B$29,0)),0)),IF(VLOOKUP($A102,Calendar!$A$1:$R$1377,18,0)=5,SUM(IFERROR(INDEX(Pension_Model!$D$2:$D$29,MATCH(H102,Pension_Model!$B$2:$B$29,0)),0),IFERROR(INDEX(Pension_Model!$D$2:$D$29,MATCH(H103,Pension_Model!$B$2:$B$29,0)),0),IFERROR(INDEX(Pension_Model!$D$2:$D$29,MATCH(H104,Pension_Model!$B$2:$B$29,0)),0),IFERROR(INDEX(Pension_Model!$D$2:$D$29,MATCH(H105,Pension_Model!$B$2:$B$29,0)),0),IFERROR(INDEX(Pension_Model!$D$2:$D$29,MATCH(H106,Pension_Model!$B$2:$B$29,0)),0)),0))))))</f>
        <v>0.05</v>
      </c>
      <c r="Q102" s="28">
        <f>Population_Data!$B$15*P102</f>
        <v>660600</v>
      </c>
      <c r="S102">
        <f t="shared" si="1"/>
        <v>1521284.3158402932</v>
      </c>
      <c r="U102" s="33">
        <f>S102/Population_Data!$B$19</f>
        <v>2.7559498475367629E-2</v>
      </c>
    </row>
    <row r="103" spans="1:21">
      <c r="A103" s="25">
        <f>Calendar!A103</f>
        <v>46336</v>
      </c>
      <c r="B103" t="str">
        <f>Calendar!L103</f>
        <v>Yes</v>
      </c>
      <c r="C103" t="str">
        <f>Calendar!O103</f>
        <v>No</v>
      </c>
      <c r="D103" t="str">
        <f>Calendar!P103</f>
        <v>No</v>
      </c>
      <c r="E103" t="str">
        <f>Calendar!Q103</f>
        <v>No</v>
      </c>
      <c r="F103" t="str">
        <f>Calendar!I103</f>
        <v>Tuesday</v>
      </c>
      <c r="G103">
        <f>Calendar!S103</f>
        <v>10</v>
      </c>
      <c r="H103">
        <f>Calendar!T103</f>
        <v>24</v>
      </c>
      <c r="I103" s="27">
        <f>IF(VLOOKUP(A103,Calendar!$A$1:$R$1377,18,0)=0,0,IF(VLOOKUP(A103,Calendar!$A$1:$R$1377,18,0)=1,INDEX(Monthly_Pay_Model!$A$9:$D$40,MATCH(TEXT(A103,"dd"),Monthly_Pay_Model!$C$9:$C$39,0),4),IF(VLOOKUP(A103,Calendar!$A$1:$R$1377,18,0)=2,SUM(INDEX(Monthly_Pay_Model!$A$9:$D$40,MATCH(TEXT(A103,"dd"),Monthly_Pay_Model!$C$9:$C$39,0),4),INDEX(Monthly_Pay_Model!$A$9:$D$40,MATCH(TEXT(A104,"dd"),Monthly_Pay_Model!$C$9:$C$39,0),4)),IF(VLOOKUP(A103,Calendar!$A$1:$R$1377,18,0)=3,SUM(INDEX(Monthly_Pay_Model!$A$9:$D$40,MATCH(TEXT(A103,"dd"),Monthly_Pay_Model!$C$9:$C$39,0),4),INDEX(Monthly_Pay_Model!$A$9:$D$40,MATCH(TEXT(A104,"dd"),Monthly_Pay_Model!$C$9:$C$39,0),4),INDEX(Monthly_Pay_Model!$A$9:$D$40,MATCH(TEXT(A105,"dd"),Monthly_Pay_Model!$C$9:$C$39,0),4)),IF(VLOOKUP(A103,Calendar!$A$1:$R$1377,18,0)=4,SUM(INDEX(Monthly_Pay_Model!$A$9:$D$40,MATCH(TEXT(A103,"dd"),Monthly_Pay_Model!$C$9:$C$39,0),4),INDEX(Monthly_Pay_Model!$A$9:$D$40,MATCH(TEXT(A104,"dd"),Monthly_Pay_Model!$C$9:$C$39,0),4),INDEX(Monthly_Pay_Model!$A$9:$D$40,MATCH(TEXT(A105,"dd"),Monthly_Pay_Model!$C$9:$C$39,0),4),INDEX(Monthly_Pay_Model!$A$9:$D$40,MATCH(TEXT(A106,"dd"),Monthly_Pay_Model!$C$9:$C$39,0),4)),IF(VLOOKUP(A103,Calendar!$A$1:$R$1377,18,0)=5,SUM(INDEX(Monthly_Pay_Model!$A$9:$D$40,MATCH(TEXT(A103,"dd"),Monthly_Pay_Model!$C$9:$C$39,0),4),INDEX(Monthly_Pay_Model!$A$9:$D$40,MATCH(TEXT(A104,"dd"),Monthly_Pay_Model!$C$9:$C$39,0),4),INDEX(Monthly_Pay_Model!$A$9:$D$40,MATCH(TEXT(A105,"dd"),Monthly_Pay_Model!$C$9:$C$39,0),4),INDEX(Monthly_Pay_Model!$A$9:$D$40,MATCH(TEXT(A106,"dd"),Monthly_Pay_Model!$C$9:$C$39,0),4),INDEX(Monthly_Pay_Model!$A$9:$D$40,MATCH(TEXT(A107,"dd"),Monthly_Pay_Model!$C$9:$C$39,0),4)),))))))</f>
        <v>4.8753926701570662E-3</v>
      </c>
      <c r="J103" s="33">
        <f>IF(C103="Yes",Monthly_Pay_Model!$D$2,0)
+IF(Calendar!N103="Yes",Monthly_Pay_Model!$D$3,0)
+IF(D103="Yes",Monthly_Pay_Model!$D$4,0)
+IF(E103="Yes",Monthly_Pay_Model!$D$5,0)</f>
        <v>0</v>
      </c>
      <c r="K103" s="27">
        <f>IF(VLOOKUP($A103,Calendar!$A$1:$R$1377,18,0)=0,0,IF(VLOOKUP($A103,Calendar!$A$1:$R$1377,18,0)=1,IFERROR(INDEX(Weekly_Model!$D$2:$D$9,MATCH(F103,Weekly_Model!$A$2:$A$9,0)),0),IF(VLOOKUP($A103,Calendar!$A$1:$R$1377,18,0)=2,SUM(IFERROR(INDEX(Weekly_Model!$D$2:$D$9,MATCH(F103,Weekly_Model!$A$2:$A$9,0)),0),IFERROR(INDEX(Weekly_Model!$D$2:$D$9,MATCH(F104,Weekly_Model!$A$2:$A$9,0)),0)),IF(VLOOKUP($A103,Calendar!$A$1:$R$1377,18,0)=3,SUM(IFERROR(INDEX(Weekly_Model!$D$2:$D$9,MATCH(F103,Weekly_Model!$A$2:$A$9,0)),0),IFERROR(INDEX(Weekly_Model!$D$2:$D$9,MATCH(F104,Weekly_Model!$A$2:$A$9,0)),0),IFERROR(INDEX(Weekly_Model!$D$2:$D$9,MATCH(F105,Weekly_Model!$A$2:$A$9,0)),0)),IF(VLOOKUP($A103,Calendar!$A$1:$R$1377,18,0)=4,SUM(IFERROR(INDEX(Weekly_Model!$D$2:$D$9,MATCH(F103,Weekly_Model!$A$2:$A$9,0)),0),IFERROR(INDEX(Weekly_Model!$D$2:$D$9,MATCH(F104,Weekly_Model!$A$2:$A$9,0)),0),IFERROR(INDEX(Weekly_Model!$D$2:$D$9,MATCH(F105,Weekly_Model!$A$2:$A$9,0)),0),IFERROR(INDEX(Weekly_Model!$D$2:$D$9,MATCH(F106,Weekly_Model!$A$2:$A$9,0)),0)),IF(VLOOKUP($A103,Calendar!$A$1:$R$1377,18,0)=5,SUM(IFERROR(INDEX(Weekly_Model!$D$2:$D$9,MATCH(F103,Weekly_Model!$A$2:$A$9,0)),0),IFERROR(INDEX(Weekly_Model!$D$2:$D$9,MATCH(F104,Weekly_Model!$A$2:$A$9,0)),0),IFERROR(INDEX(Weekly_Model!$D$2:$D$9,MATCH(F105,Weekly_Model!$A$2:$A$9,0)),0),IFERROR(INDEX(Weekly_Model!$D$2:$D$9,MATCH(F106,Weekly_Model!$A$2:$A$9,0)),0),IFERROR(INDEX(Weekly_Model!$D$2:$D$9,MATCH(F107,Weekly_Model!$A$2:$A$9,0)),0)),0))))))</f>
        <v>2.3200000000000002E-2</v>
      </c>
      <c r="L103" s="27">
        <f>IF(VLOOKUP($A103,Calendar!$A$1:$R$1377,18,0)=0,0,IF(VLOOKUP($A103,Calendar!$A$1:$R$1377,18,0)=1,IFERROR(INDEX(Fortnightly_Model!$D$2:$D$15,MATCH(G103,Fortnightly_Model!$B$2:$B$15,0)),0),IF(VLOOKUP($A103,Calendar!$A$1:$R$1377,18,0)=2,SUM(IFERROR(INDEX(Fortnightly_Model!$D$2:$D$15,MATCH(G103,Fortnightly_Model!$B$2:$B$15,0)),0),IFERROR(INDEX(Fortnightly_Model!$D$2:$D$15,MATCH(G104,Fortnightly_Model!$B$2:$B$15,0)),0)),IF(VLOOKUP($A103,Calendar!$A$1:$R$1377,18,0)=3,SUM(IFERROR(INDEX(Fortnightly_Model!$D$2:$D$15,MATCH(G103,Fortnightly_Model!$B$2:$B$15,0)),0),IFERROR(INDEX(Fortnightly_Model!$D$2:$D$15,MATCH(G104,Fortnightly_Model!$B$2:$B$15,0)),0),IFERROR(INDEX(Fortnightly_Model!$D$2:$D$15,MATCH(G105,Fortnightly_Model!$B$2:$B$15,0)),0)),IF(VLOOKUP($A103,Calendar!$A$1:$R$1377,18,0)=4,SUM(IFERROR(INDEX(Fortnightly_Model!$D$2:$D$15,MATCH(G103,Fortnightly_Model!$B$2:$B$15,0)),0),IFERROR(INDEX(Fortnightly_Model!$D$2:$D$15,MATCH(G104,Fortnightly_Model!$B$2:$B$15,0)),0),IFERROR(INDEX(Fortnightly_Model!$D$2:$D$15,MATCH(G105,Fortnightly_Model!$B$2:$B$15,0)),0),IFERROR(INDEX(Fortnightly_Model!$D$2:$D$15,MATCH(G106,Fortnightly_Model!$B$2:$B$15,0)),0)),IF(VLOOKUP($A103,Calendar!$A$1:$R$1377,18,0)=5,SUM(IFERROR(INDEX(Fortnightly_Model!$D$2:$D$15,MATCH(G103,Fortnightly_Model!$B$2:$B$15,0)),0),IFERROR(INDEX(Fortnightly_Model!$D$2:$D$15,MATCH(G104,Fortnightly_Model!$B$2:$B$15,0)),0),IFERROR(INDEX(Fortnightly_Model!$D$2:$D$15,MATCH(G105,Fortnightly_Model!$B$2:$B$15,0)),0),IFERROR(INDEX(Fortnightly_Model!$D$2:$D$15,MATCH(G106,Fortnightly_Model!$B$2:$B$15,0)),0),IFERROR(INDEX(Fortnightly_Model!$D$2:$D$15,MATCH(G107,Fortnightly_Model!$B$2:$B$15,0)),0)),0))))))</f>
        <v>1.0714285499999999E-3</v>
      </c>
      <c r="M103" s="27">
        <f>IF(VLOOKUP($A103,Calendar!$A$1:$R$1377,18,0)=0,0,IF(VLOOKUP($A103,Calendar!$A$1:$R$1377,18,0)=1,IFERROR(INDEX(FourWeekly_Model!$D$2:$D$29,MATCH(H103,FourWeekly_Model!$B$2:$B$29,0)),0),IF(VLOOKUP($A103,Calendar!$A$1:$R$1377,18,0)=2,SUM(IFERROR(INDEX(FourWeekly_Model!$D$2:$D$29,MATCH(H103,FourWeekly_Model!$B$2:$B$29,0)),0),IFERROR(INDEX(FourWeekly_Model!$D$2:$D$29,MATCH(H104,FourWeekly_Model!$B$2:$B$29,0)),0)),IF(VLOOKUP($A103,Calendar!$A$1:$R$1377,18,0)=3,SUM(IFERROR(INDEX(FourWeekly_Model!$D$2:$D$29,MATCH(H103,FourWeekly_Model!$B$2:$B$29,0)),0),IFERROR(INDEX(FourWeekly_Model!$D$2:$D$29,MATCH(H104,FourWeekly_Model!$B$2:$B$29,0)),0),IFERROR(INDEX(FourWeekly_Model!$D$2:$D$29,MATCH(H105,FourWeekly_Model!$B$2:$B$29,0)),0)),IF(VLOOKUP($A103,Calendar!$A$1:$R$1377,18,0)=4,SUM(IFERROR(INDEX(FourWeekly_Model!$D$2:$D$29,MATCH(H103,FourWeekly_Model!$B$2:$B$29,0)),0),IFERROR(INDEX(FourWeekly_Model!$D$2:$D$29,MATCH(H104,FourWeekly_Model!$B$2:$B$29,0)),0),IFERROR(INDEX(FourWeekly_Model!$D$2:$D$29,MATCH(H105,FourWeekly_Model!$B$2:$B$29,0)),0),IFERROR(INDEX(FourWeekly_Model!$D$2:$D$29,MATCH(H106,FourWeekly_Model!$B$2:$B$29,0)),0)),IF(VLOOKUP($A103,Calendar!$A$1:$R$1377,18,0)=5,SUM(IFERROR(INDEX(FourWeekly_Model!$D$2:$D$29,MATCH(H103,FourWeekly_Model!$B$2:$B$29,0)),0),IFERROR(INDEX(FourWeekly_Model!$D$2:$D$29,MATCH(H104,FourWeekly_Model!$B$2:$B$29,0)),0),IFERROR(INDEX(FourWeekly_Model!$D$2:$D$29,MATCH(H105,FourWeekly_Model!$B$2:$B$29,0)),0),IFERROR(INDEX(FourWeekly_Model!$D$2:$D$29,MATCH(H106,FourWeekly_Model!$B$2:$B$29,0)),0),IFERROR(INDEX(FourWeekly_Model!$D$2:$D$29,MATCH(H107,FourWeekly_Model!$B$2:$B$29,0)),0)),0))))))</f>
        <v>3.3214289700000004E-3</v>
      </c>
      <c r="N103" s="27">
        <f>SUM(I103:M103)</f>
        <v>3.2468250190157068E-2</v>
      </c>
      <c r="O103" s="28">
        <f>Population_Data!$B$8*N103</f>
        <v>983787.9807617591</v>
      </c>
      <c r="P103" s="27">
        <f>IF(VLOOKUP($A103,Calendar!$A$1:$R$1377,18,0)=0,0,IF(VLOOKUP($A103,Calendar!$A$1:$R$1377,18,0)=1,IFERROR(INDEX(Pension_Model!$D$2:$D$29,MATCH(H103,Pension_Model!$B$2:$B$29,0)),0),IF(VLOOKUP($A103,Calendar!$A$1:$R$1377,18,0)=2,SUM(IFERROR(INDEX(Pension_Model!$D$2:$D$29,MATCH(H103,Pension_Model!$B$2:$B$29,0)),0),IFERROR(INDEX(Pension_Model!$D$2:$D$29,MATCH(H104,Pension_Model!$B$2:$B$29,0)),0)),IF(VLOOKUP($A103,Calendar!$A$1:$R$1377,18,0)=3,SUM(IFERROR(INDEX(Pension_Model!$D$2:$D$29,MATCH(H103,Pension_Model!$B$2:$B$29,0)),0),IFERROR(INDEX(Pension_Model!$D$2:$D$29,MATCH(H104,Pension_Model!$B$2:$B$29,0)),0),IFERROR(INDEX(Pension_Model!$D$2:$D$29,MATCH(H105,Pension_Model!$B$2:$B$29,0)),0)),IF(VLOOKUP($A103,Calendar!$A$1:$R$1377,18,0)=4,SUM(IFERROR(INDEX(Pension_Model!$D$2:$D$29,MATCH(H103,Pension_Model!$B$2:$B$29,0)),0),IFERROR(INDEX(Pension_Model!$D$2:$D$29,MATCH(H104,Pension_Model!$B$2:$B$29,0)),0),IFERROR(INDEX(Pension_Model!$D$2:$D$29,MATCH(H105,Pension_Model!$B$2:$B$29,0)),0),IFERROR(INDEX(Pension_Model!$D$2:$D$29,MATCH(H106,Pension_Model!$B$2:$B$29,0)),0)),IF(VLOOKUP($A103,Calendar!$A$1:$R$1377,18,0)=5,SUM(IFERROR(INDEX(Pension_Model!$D$2:$D$29,MATCH(H103,Pension_Model!$B$2:$B$29,0)),0),IFERROR(INDEX(Pension_Model!$D$2:$D$29,MATCH(H104,Pension_Model!$B$2:$B$29,0)),0),IFERROR(INDEX(Pension_Model!$D$2:$D$29,MATCH(H105,Pension_Model!$B$2:$B$29,0)),0),IFERROR(INDEX(Pension_Model!$D$2:$D$29,MATCH(H106,Pension_Model!$B$2:$B$29,0)),0),IFERROR(INDEX(Pension_Model!$D$2:$D$29,MATCH(H107,Pension_Model!$B$2:$B$29,0)),0)),0))))))</f>
        <v>0.05</v>
      </c>
      <c r="Q103" s="28">
        <f>Population_Data!$B$15*P103</f>
        <v>660600</v>
      </c>
      <c r="S103">
        <f t="shared" si="1"/>
        <v>1644387.980761759</v>
      </c>
      <c r="U103" s="33">
        <f>S103/Population_Data!$B$19</f>
        <v>2.9789637332640562E-2</v>
      </c>
    </row>
    <row r="104" spans="1:21">
      <c r="A104" s="25">
        <f>Calendar!A104</f>
        <v>46337</v>
      </c>
      <c r="B104" t="str">
        <f>Calendar!L104</f>
        <v>Yes</v>
      </c>
      <c r="C104" t="str">
        <f>Calendar!O104</f>
        <v>No</v>
      </c>
      <c r="D104" t="str">
        <f>Calendar!P104</f>
        <v>No</v>
      </c>
      <c r="E104" t="str">
        <f>Calendar!Q104</f>
        <v>No</v>
      </c>
      <c r="F104" t="str">
        <f>Calendar!I104</f>
        <v>Wednesday</v>
      </c>
      <c r="G104">
        <f>Calendar!S104</f>
        <v>11</v>
      </c>
      <c r="H104">
        <f>Calendar!T104</f>
        <v>25</v>
      </c>
      <c r="I104" s="27">
        <f>IF(VLOOKUP(A104,Calendar!$A$1:$R$1377,18,0)=0,0,IF(VLOOKUP(A104,Calendar!$A$1:$R$1377,18,0)=1,INDEX(Monthly_Pay_Model!$A$9:$D$40,MATCH(TEXT(A104,"dd"),Monthly_Pay_Model!$C$9:$C$39,0),4),IF(VLOOKUP(A104,Calendar!$A$1:$R$1377,18,0)=2,SUM(INDEX(Monthly_Pay_Model!$A$9:$D$40,MATCH(TEXT(A104,"dd"),Monthly_Pay_Model!$C$9:$C$39,0),4),INDEX(Monthly_Pay_Model!$A$9:$D$40,MATCH(TEXT(A105,"dd"),Monthly_Pay_Model!$C$9:$C$39,0),4)),IF(VLOOKUP(A104,Calendar!$A$1:$R$1377,18,0)=3,SUM(INDEX(Monthly_Pay_Model!$A$9:$D$40,MATCH(TEXT(A104,"dd"),Monthly_Pay_Model!$C$9:$C$39,0),4),INDEX(Monthly_Pay_Model!$A$9:$D$40,MATCH(TEXT(A105,"dd"),Monthly_Pay_Model!$C$9:$C$39,0),4),INDEX(Monthly_Pay_Model!$A$9:$D$40,MATCH(TEXT(A106,"dd"),Monthly_Pay_Model!$C$9:$C$39,0),4)),IF(VLOOKUP(A104,Calendar!$A$1:$R$1377,18,0)=4,SUM(INDEX(Monthly_Pay_Model!$A$9:$D$40,MATCH(TEXT(A104,"dd"),Monthly_Pay_Model!$C$9:$C$39,0),4),INDEX(Monthly_Pay_Model!$A$9:$D$40,MATCH(TEXT(A105,"dd"),Monthly_Pay_Model!$C$9:$C$39,0),4),INDEX(Monthly_Pay_Model!$A$9:$D$40,MATCH(TEXT(A106,"dd"),Monthly_Pay_Model!$C$9:$C$39,0),4),INDEX(Monthly_Pay_Model!$A$9:$D$40,MATCH(TEXT(A107,"dd"),Monthly_Pay_Model!$C$9:$C$39,0),4)),IF(VLOOKUP(A104,Calendar!$A$1:$R$1377,18,0)=5,SUM(INDEX(Monthly_Pay_Model!$A$9:$D$40,MATCH(TEXT(A104,"dd"),Monthly_Pay_Model!$C$9:$C$39,0),4),INDEX(Monthly_Pay_Model!$A$9:$D$40,MATCH(TEXT(A105,"dd"),Monthly_Pay_Model!$C$9:$C$39,0),4),INDEX(Monthly_Pay_Model!$A$9:$D$40,MATCH(TEXT(A106,"dd"),Monthly_Pay_Model!$C$9:$C$39,0),4),INDEX(Monthly_Pay_Model!$A$9:$D$40,MATCH(TEXT(A107,"dd"),Monthly_Pay_Model!$C$9:$C$39,0),4),INDEX(Monthly_Pay_Model!$A$9:$D$40,MATCH(TEXT(A108,"dd"),Monthly_Pay_Model!$C$9:$C$39,0),4)),))))))</f>
        <v>8.1256544502617792E-4</v>
      </c>
      <c r="J104" s="33">
        <f>IF(C104="Yes",Monthly_Pay_Model!$D$2,0)
+IF(Calendar!N104="Yes",Monthly_Pay_Model!$D$3,0)
+IF(D104="Yes",Monthly_Pay_Model!$D$4,0)
+IF(E104="Yes",Monthly_Pay_Model!$D$5,0)</f>
        <v>0</v>
      </c>
      <c r="K104" s="27">
        <f>IF(VLOOKUP($A104,Calendar!$A$1:$R$1377,18,0)=0,0,IF(VLOOKUP($A104,Calendar!$A$1:$R$1377,18,0)=1,IFERROR(INDEX(Weekly_Model!$D$2:$D$9,MATCH(F104,Weekly_Model!$A$2:$A$9,0)),0),IF(VLOOKUP($A104,Calendar!$A$1:$R$1377,18,0)=2,SUM(IFERROR(INDEX(Weekly_Model!$D$2:$D$9,MATCH(F104,Weekly_Model!$A$2:$A$9,0)),0),IFERROR(INDEX(Weekly_Model!$D$2:$D$9,MATCH(F105,Weekly_Model!$A$2:$A$9,0)),0)),IF(VLOOKUP($A104,Calendar!$A$1:$R$1377,18,0)=3,SUM(IFERROR(INDEX(Weekly_Model!$D$2:$D$9,MATCH(F104,Weekly_Model!$A$2:$A$9,0)),0),IFERROR(INDEX(Weekly_Model!$D$2:$D$9,MATCH(F105,Weekly_Model!$A$2:$A$9,0)),0),IFERROR(INDEX(Weekly_Model!$D$2:$D$9,MATCH(F106,Weekly_Model!$A$2:$A$9,0)),0)),IF(VLOOKUP($A104,Calendar!$A$1:$R$1377,18,0)=4,SUM(IFERROR(INDEX(Weekly_Model!$D$2:$D$9,MATCH(F104,Weekly_Model!$A$2:$A$9,0)),0),IFERROR(INDEX(Weekly_Model!$D$2:$D$9,MATCH(F105,Weekly_Model!$A$2:$A$9,0)),0),IFERROR(INDEX(Weekly_Model!$D$2:$D$9,MATCH(F106,Weekly_Model!$A$2:$A$9,0)),0),IFERROR(INDEX(Weekly_Model!$D$2:$D$9,MATCH(F107,Weekly_Model!$A$2:$A$9,0)),0)),IF(VLOOKUP($A104,Calendar!$A$1:$R$1377,18,0)=5,SUM(IFERROR(INDEX(Weekly_Model!$D$2:$D$9,MATCH(F104,Weekly_Model!$A$2:$A$9,0)),0),IFERROR(INDEX(Weekly_Model!$D$2:$D$9,MATCH(F105,Weekly_Model!$A$2:$A$9,0)),0),IFERROR(INDEX(Weekly_Model!$D$2:$D$9,MATCH(F106,Weekly_Model!$A$2:$A$9,0)),0),IFERROR(INDEX(Weekly_Model!$D$2:$D$9,MATCH(F107,Weekly_Model!$A$2:$A$9,0)),0),IFERROR(INDEX(Weekly_Model!$D$2:$D$9,MATCH(F108,Weekly_Model!$A$2:$A$9,0)),0)),0))))))</f>
        <v>2.3200000000000002E-2</v>
      </c>
      <c r="L104" s="27">
        <f>IF(VLOOKUP($A104,Calendar!$A$1:$R$1377,18,0)=0,0,IF(VLOOKUP($A104,Calendar!$A$1:$R$1377,18,0)=1,IFERROR(INDEX(Fortnightly_Model!$D$2:$D$15,MATCH(G104,Fortnightly_Model!$B$2:$B$15,0)),0),IF(VLOOKUP($A104,Calendar!$A$1:$R$1377,18,0)=2,SUM(IFERROR(INDEX(Fortnightly_Model!$D$2:$D$15,MATCH(G104,Fortnightly_Model!$B$2:$B$15,0)),0),IFERROR(INDEX(Fortnightly_Model!$D$2:$D$15,MATCH(G105,Fortnightly_Model!$B$2:$B$15,0)),0)),IF(VLOOKUP($A104,Calendar!$A$1:$R$1377,18,0)=3,SUM(IFERROR(INDEX(Fortnightly_Model!$D$2:$D$15,MATCH(G104,Fortnightly_Model!$B$2:$B$15,0)),0),IFERROR(INDEX(Fortnightly_Model!$D$2:$D$15,MATCH(G105,Fortnightly_Model!$B$2:$B$15,0)),0),IFERROR(INDEX(Fortnightly_Model!$D$2:$D$15,MATCH(G106,Fortnightly_Model!$B$2:$B$15,0)),0)),IF(VLOOKUP($A104,Calendar!$A$1:$R$1377,18,0)=4,SUM(IFERROR(INDEX(Fortnightly_Model!$D$2:$D$15,MATCH(G104,Fortnightly_Model!$B$2:$B$15,0)),0),IFERROR(INDEX(Fortnightly_Model!$D$2:$D$15,MATCH(G105,Fortnightly_Model!$B$2:$B$15,0)),0),IFERROR(INDEX(Fortnightly_Model!$D$2:$D$15,MATCH(G106,Fortnightly_Model!$B$2:$B$15,0)),0),IFERROR(INDEX(Fortnightly_Model!$D$2:$D$15,MATCH(G107,Fortnightly_Model!$B$2:$B$15,0)),0)),IF(VLOOKUP($A104,Calendar!$A$1:$R$1377,18,0)=5,SUM(IFERROR(INDEX(Fortnightly_Model!$D$2:$D$15,MATCH(G104,Fortnightly_Model!$B$2:$B$15,0)),0),IFERROR(INDEX(Fortnightly_Model!$D$2:$D$15,MATCH(G105,Fortnightly_Model!$B$2:$B$15,0)),0),IFERROR(INDEX(Fortnightly_Model!$D$2:$D$15,MATCH(G106,Fortnightly_Model!$B$2:$B$15,0)),0),IFERROR(INDEX(Fortnightly_Model!$D$2:$D$15,MATCH(G107,Fortnightly_Model!$B$2:$B$15,0)),0),IFERROR(INDEX(Fortnightly_Model!$D$2:$D$15,MATCH(G108,Fortnightly_Model!$B$2:$B$15,0)),0)),0))))))</f>
        <v>1.0714285499999999E-3</v>
      </c>
      <c r="M104" s="27">
        <f>IF(VLOOKUP($A104,Calendar!$A$1:$R$1377,18,0)=0,0,IF(VLOOKUP($A104,Calendar!$A$1:$R$1377,18,0)=1,IFERROR(INDEX(FourWeekly_Model!$D$2:$D$29,MATCH(H104,FourWeekly_Model!$B$2:$B$29,0)),0),IF(VLOOKUP($A104,Calendar!$A$1:$R$1377,18,0)=2,SUM(IFERROR(INDEX(FourWeekly_Model!$D$2:$D$29,MATCH(H104,FourWeekly_Model!$B$2:$B$29,0)),0),IFERROR(INDEX(FourWeekly_Model!$D$2:$D$29,MATCH(H105,FourWeekly_Model!$B$2:$B$29,0)),0)),IF(VLOOKUP($A104,Calendar!$A$1:$R$1377,18,0)=3,SUM(IFERROR(INDEX(FourWeekly_Model!$D$2:$D$29,MATCH(H104,FourWeekly_Model!$B$2:$B$29,0)),0),IFERROR(INDEX(FourWeekly_Model!$D$2:$D$29,MATCH(H105,FourWeekly_Model!$B$2:$B$29,0)),0),IFERROR(INDEX(FourWeekly_Model!$D$2:$D$29,MATCH(H106,FourWeekly_Model!$B$2:$B$29,0)),0)),IF(VLOOKUP($A104,Calendar!$A$1:$R$1377,18,0)=4,SUM(IFERROR(INDEX(FourWeekly_Model!$D$2:$D$29,MATCH(H104,FourWeekly_Model!$B$2:$B$29,0)),0),IFERROR(INDEX(FourWeekly_Model!$D$2:$D$29,MATCH(H105,FourWeekly_Model!$B$2:$B$29,0)),0),IFERROR(INDEX(FourWeekly_Model!$D$2:$D$29,MATCH(H106,FourWeekly_Model!$B$2:$B$29,0)),0),IFERROR(INDEX(FourWeekly_Model!$D$2:$D$29,MATCH(H107,FourWeekly_Model!$B$2:$B$29,0)),0)),IF(VLOOKUP($A104,Calendar!$A$1:$R$1377,18,0)=5,SUM(IFERROR(INDEX(FourWeekly_Model!$D$2:$D$29,MATCH(H104,FourWeekly_Model!$B$2:$B$29,0)),0),IFERROR(INDEX(FourWeekly_Model!$D$2:$D$29,MATCH(H105,FourWeekly_Model!$B$2:$B$29,0)),0),IFERROR(INDEX(FourWeekly_Model!$D$2:$D$29,MATCH(H106,FourWeekly_Model!$B$2:$B$29,0)),0),IFERROR(INDEX(FourWeekly_Model!$D$2:$D$29,MATCH(H107,FourWeekly_Model!$B$2:$B$29,0)),0),IFERROR(INDEX(FourWeekly_Model!$D$2:$D$29,MATCH(H108,FourWeekly_Model!$B$2:$B$29,0)),0)),0))))))</f>
        <v>3.3214289700000004E-3</v>
      </c>
      <c r="N104" s="27">
        <f>SUM(I104:M104)</f>
        <v>2.840542296502618E-2</v>
      </c>
      <c r="O104" s="28">
        <f>Population_Data!$B$8*N104</f>
        <v>860684.3158402933</v>
      </c>
      <c r="P104" s="27">
        <f>IF(VLOOKUP($A104,Calendar!$A$1:$R$1377,18,0)=0,0,IF(VLOOKUP($A104,Calendar!$A$1:$R$1377,18,0)=1,IFERROR(INDEX(Pension_Model!$D$2:$D$29,MATCH(H104,Pension_Model!$B$2:$B$29,0)),0),IF(VLOOKUP($A104,Calendar!$A$1:$R$1377,18,0)=2,SUM(IFERROR(INDEX(Pension_Model!$D$2:$D$29,MATCH(H104,Pension_Model!$B$2:$B$29,0)),0),IFERROR(INDEX(Pension_Model!$D$2:$D$29,MATCH(H105,Pension_Model!$B$2:$B$29,0)),0)),IF(VLOOKUP($A104,Calendar!$A$1:$R$1377,18,0)=3,SUM(IFERROR(INDEX(Pension_Model!$D$2:$D$29,MATCH(H104,Pension_Model!$B$2:$B$29,0)),0),IFERROR(INDEX(Pension_Model!$D$2:$D$29,MATCH(H105,Pension_Model!$B$2:$B$29,0)),0),IFERROR(INDEX(Pension_Model!$D$2:$D$29,MATCH(H106,Pension_Model!$B$2:$B$29,0)),0)),IF(VLOOKUP($A104,Calendar!$A$1:$R$1377,18,0)=4,SUM(IFERROR(INDEX(Pension_Model!$D$2:$D$29,MATCH(H104,Pension_Model!$B$2:$B$29,0)),0),IFERROR(INDEX(Pension_Model!$D$2:$D$29,MATCH(H105,Pension_Model!$B$2:$B$29,0)),0),IFERROR(INDEX(Pension_Model!$D$2:$D$29,MATCH(H106,Pension_Model!$B$2:$B$29,0)),0),IFERROR(INDEX(Pension_Model!$D$2:$D$29,MATCH(H107,Pension_Model!$B$2:$B$29,0)),0)),IF(VLOOKUP($A104,Calendar!$A$1:$R$1377,18,0)=5,SUM(IFERROR(INDEX(Pension_Model!$D$2:$D$29,MATCH(H104,Pension_Model!$B$2:$B$29,0)),0),IFERROR(INDEX(Pension_Model!$D$2:$D$29,MATCH(H105,Pension_Model!$B$2:$B$29,0)),0),IFERROR(INDEX(Pension_Model!$D$2:$D$29,MATCH(H106,Pension_Model!$B$2:$B$29,0)),0),IFERROR(INDEX(Pension_Model!$D$2:$D$29,MATCH(H107,Pension_Model!$B$2:$B$29,0)),0),IFERROR(INDEX(Pension_Model!$D$2:$D$29,MATCH(H108,Pension_Model!$B$2:$B$29,0)),0)),0))))))</f>
        <v>0.05</v>
      </c>
      <c r="Q104" s="28">
        <f>Population_Data!$B$15*P104</f>
        <v>660600</v>
      </c>
      <c r="S104">
        <f t="shared" si="1"/>
        <v>1521284.3158402932</v>
      </c>
      <c r="U104" s="33">
        <f>S104/Population_Data!$B$19</f>
        <v>2.7559498475367629E-2</v>
      </c>
    </row>
    <row r="105" spans="1:21">
      <c r="A105" s="25">
        <f>Calendar!A105</f>
        <v>46338</v>
      </c>
      <c r="B105" t="str">
        <f>Calendar!L105</f>
        <v>Yes</v>
      </c>
      <c r="C105" t="str">
        <f>Calendar!O105</f>
        <v>No</v>
      </c>
      <c r="D105" t="str">
        <f>Calendar!P105</f>
        <v>No</v>
      </c>
      <c r="E105" t="str">
        <f>Calendar!Q105</f>
        <v>No</v>
      </c>
      <c r="F105" t="str">
        <f>Calendar!I105</f>
        <v>Thursday</v>
      </c>
      <c r="G105">
        <f>Calendar!S105</f>
        <v>12</v>
      </c>
      <c r="H105">
        <f>Calendar!T105</f>
        <v>26</v>
      </c>
      <c r="I105" s="27">
        <f>IF(VLOOKUP(A105,Calendar!$A$1:$R$1377,18,0)=0,0,IF(VLOOKUP(A105,Calendar!$A$1:$R$1377,18,0)=1,INDEX(Monthly_Pay_Model!$A$9:$D$40,MATCH(TEXT(A105,"dd"),Monthly_Pay_Model!$C$9:$C$39,0),4),IF(VLOOKUP(A105,Calendar!$A$1:$R$1377,18,0)=2,SUM(INDEX(Monthly_Pay_Model!$A$9:$D$40,MATCH(TEXT(A105,"dd"),Monthly_Pay_Model!$C$9:$C$39,0),4),INDEX(Monthly_Pay_Model!$A$9:$D$40,MATCH(TEXT(A106,"dd"),Monthly_Pay_Model!$C$9:$C$39,0),4)),IF(VLOOKUP(A105,Calendar!$A$1:$R$1377,18,0)=3,SUM(INDEX(Monthly_Pay_Model!$A$9:$D$40,MATCH(TEXT(A105,"dd"),Monthly_Pay_Model!$C$9:$C$39,0),4),INDEX(Monthly_Pay_Model!$A$9:$D$40,MATCH(TEXT(A106,"dd"),Monthly_Pay_Model!$C$9:$C$39,0),4),INDEX(Monthly_Pay_Model!$A$9:$D$40,MATCH(TEXT(A107,"dd"),Monthly_Pay_Model!$C$9:$C$39,0),4)),IF(VLOOKUP(A105,Calendar!$A$1:$R$1377,18,0)=4,SUM(INDEX(Monthly_Pay_Model!$A$9:$D$40,MATCH(TEXT(A105,"dd"),Monthly_Pay_Model!$C$9:$C$39,0),4),INDEX(Monthly_Pay_Model!$A$9:$D$40,MATCH(TEXT(A106,"dd"),Monthly_Pay_Model!$C$9:$C$39,0),4),INDEX(Monthly_Pay_Model!$A$9:$D$40,MATCH(TEXT(A107,"dd"),Monthly_Pay_Model!$C$9:$C$39,0),4),INDEX(Monthly_Pay_Model!$A$9:$D$40,MATCH(TEXT(A108,"dd"),Monthly_Pay_Model!$C$9:$C$39,0),4)),IF(VLOOKUP(A105,Calendar!$A$1:$R$1377,18,0)=5,SUM(INDEX(Monthly_Pay_Model!$A$9:$D$40,MATCH(TEXT(A105,"dd"),Monthly_Pay_Model!$C$9:$C$39,0),4),INDEX(Monthly_Pay_Model!$A$9:$D$40,MATCH(TEXT(A106,"dd"),Monthly_Pay_Model!$C$9:$C$39,0),4),INDEX(Monthly_Pay_Model!$A$9:$D$40,MATCH(TEXT(A107,"dd"),Monthly_Pay_Model!$C$9:$C$39,0),4),INDEX(Monthly_Pay_Model!$A$9:$D$40,MATCH(TEXT(A108,"dd"),Monthly_Pay_Model!$C$9:$C$39,0),4),INDEX(Monthly_Pay_Model!$A$9:$D$40,MATCH(TEXT(A109,"dd"),Monthly_Pay_Model!$C$9:$C$39,0),4)),))))))</f>
        <v>1.6251308900523558E-3</v>
      </c>
      <c r="J105" s="33">
        <f>IF(C105="Yes",Monthly_Pay_Model!$D$2,0)
+IF(Calendar!N105="Yes",Monthly_Pay_Model!$D$3,0)
+IF(D105="Yes",Monthly_Pay_Model!$D$4,0)
+IF(E105="Yes",Monthly_Pay_Model!$D$5,0)</f>
        <v>0</v>
      </c>
      <c r="K105" s="27">
        <f>IF(VLOOKUP($A105,Calendar!$A$1:$R$1377,18,0)=0,0,IF(VLOOKUP($A105,Calendar!$A$1:$R$1377,18,0)=1,IFERROR(INDEX(Weekly_Model!$D$2:$D$9,MATCH(F105,Weekly_Model!$A$2:$A$9,0)),0),IF(VLOOKUP($A105,Calendar!$A$1:$R$1377,18,0)=2,SUM(IFERROR(INDEX(Weekly_Model!$D$2:$D$9,MATCH(F105,Weekly_Model!$A$2:$A$9,0)),0),IFERROR(INDEX(Weekly_Model!$D$2:$D$9,MATCH(F106,Weekly_Model!$A$2:$A$9,0)),0)),IF(VLOOKUP($A105,Calendar!$A$1:$R$1377,18,0)=3,SUM(IFERROR(INDEX(Weekly_Model!$D$2:$D$9,MATCH(F105,Weekly_Model!$A$2:$A$9,0)),0),IFERROR(INDEX(Weekly_Model!$D$2:$D$9,MATCH(F106,Weekly_Model!$A$2:$A$9,0)),0),IFERROR(INDEX(Weekly_Model!$D$2:$D$9,MATCH(F107,Weekly_Model!$A$2:$A$9,0)),0)),IF(VLOOKUP($A105,Calendar!$A$1:$R$1377,18,0)=4,SUM(IFERROR(INDEX(Weekly_Model!$D$2:$D$9,MATCH(F105,Weekly_Model!$A$2:$A$9,0)),0),IFERROR(INDEX(Weekly_Model!$D$2:$D$9,MATCH(F106,Weekly_Model!$A$2:$A$9,0)),0),IFERROR(INDEX(Weekly_Model!$D$2:$D$9,MATCH(F107,Weekly_Model!$A$2:$A$9,0)),0),IFERROR(INDEX(Weekly_Model!$D$2:$D$9,MATCH(F108,Weekly_Model!$A$2:$A$9,0)),0)),IF(VLOOKUP($A105,Calendar!$A$1:$R$1377,18,0)=5,SUM(IFERROR(INDEX(Weekly_Model!$D$2:$D$9,MATCH(F105,Weekly_Model!$A$2:$A$9,0)),0),IFERROR(INDEX(Weekly_Model!$D$2:$D$9,MATCH(F106,Weekly_Model!$A$2:$A$9,0)),0),IFERROR(INDEX(Weekly_Model!$D$2:$D$9,MATCH(F107,Weekly_Model!$A$2:$A$9,0)),0),IFERROR(INDEX(Weekly_Model!$D$2:$D$9,MATCH(F108,Weekly_Model!$A$2:$A$9,0)),0),IFERROR(INDEX(Weekly_Model!$D$2:$D$9,MATCH(F109,Weekly_Model!$A$2:$A$9,0)),0)),0))))))</f>
        <v>2.3200000000000002E-2</v>
      </c>
      <c r="L105" s="27">
        <f>IF(VLOOKUP($A105,Calendar!$A$1:$R$1377,18,0)=0,0,IF(VLOOKUP($A105,Calendar!$A$1:$R$1377,18,0)=1,IFERROR(INDEX(Fortnightly_Model!$D$2:$D$15,MATCH(G105,Fortnightly_Model!$B$2:$B$15,0)),0),IF(VLOOKUP($A105,Calendar!$A$1:$R$1377,18,0)=2,SUM(IFERROR(INDEX(Fortnightly_Model!$D$2:$D$15,MATCH(G105,Fortnightly_Model!$B$2:$B$15,0)),0),IFERROR(INDEX(Fortnightly_Model!$D$2:$D$15,MATCH(G106,Fortnightly_Model!$B$2:$B$15,0)),0)),IF(VLOOKUP($A105,Calendar!$A$1:$R$1377,18,0)=3,SUM(IFERROR(INDEX(Fortnightly_Model!$D$2:$D$15,MATCH(G105,Fortnightly_Model!$B$2:$B$15,0)),0),IFERROR(INDEX(Fortnightly_Model!$D$2:$D$15,MATCH(G106,Fortnightly_Model!$B$2:$B$15,0)),0),IFERROR(INDEX(Fortnightly_Model!$D$2:$D$15,MATCH(G107,Fortnightly_Model!$B$2:$B$15,0)),0)),IF(VLOOKUP($A105,Calendar!$A$1:$R$1377,18,0)=4,SUM(IFERROR(INDEX(Fortnightly_Model!$D$2:$D$15,MATCH(G105,Fortnightly_Model!$B$2:$B$15,0)),0),IFERROR(INDEX(Fortnightly_Model!$D$2:$D$15,MATCH(G106,Fortnightly_Model!$B$2:$B$15,0)),0),IFERROR(INDEX(Fortnightly_Model!$D$2:$D$15,MATCH(G107,Fortnightly_Model!$B$2:$B$15,0)),0),IFERROR(INDEX(Fortnightly_Model!$D$2:$D$15,MATCH(G108,Fortnightly_Model!$B$2:$B$15,0)),0)),IF(VLOOKUP($A105,Calendar!$A$1:$R$1377,18,0)=5,SUM(IFERROR(INDEX(Fortnightly_Model!$D$2:$D$15,MATCH(G105,Fortnightly_Model!$B$2:$B$15,0)),0),IFERROR(INDEX(Fortnightly_Model!$D$2:$D$15,MATCH(G106,Fortnightly_Model!$B$2:$B$15,0)),0),IFERROR(INDEX(Fortnightly_Model!$D$2:$D$15,MATCH(G107,Fortnightly_Model!$B$2:$B$15,0)),0),IFERROR(INDEX(Fortnightly_Model!$D$2:$D$15,MATCH(G108,Fortnightly_Model!$B$2:$B$15,0)),0),IFERROR(INDEX(Fortnightly_Model!$D$2:$D$15,MATCH(G109,Fortnightly_Model!$B$2:$B$15,0)),0)),0))))))</f>
        <v>1.0714285499999999E-3</v>
      </c>
      <c r="M105" s="27">
        <f>IF(VLOOKUP($A105,Calendar!$A$1:$R$1377,18,0)=0,0,IF(VLOOKUP($A105,Calendar!$A$1:$R$1377,18,0)=1,IFERROR(INDEX(FourWeekly_Model!$D$2:$D$29,MATCH(H105,FourWeekly_Model!$B$2:$B$29,0)),0),IF(VLOOKUP($A105,Calendar!$A$1:$R$1377,18,0)=2,SUM(IFERROR(INDEX(FourWeekly_Model!$D$2:$D$29,MATCH(H105,FourWeekly_Model!$B$2:$B$29,0)),0),IFERROR(INDEX(FourWeekly_Model!$D$2:$D$29,MATCH(H106,FourWeekly_Model!$B$2:$B$29,0)),0)),IF(VLOOKUP($A105,Calendar!$A$1:$R$1377,18,0)=3,SUM(IFERROR(INDEX(FourWeekly_Model!$D$2:$D$29,MATCH(H105,FourWeekly_Model!$B$2:$B$29,0)),0),IFERROR(INDEX(FourWeekly_Model!$D$2:$D$29,MATCH(H106,FourWeekly_Model!$B$2:$B$29,0)),0),IFERROR(INDEX(FourWeekly_Model!$D$2:$D$29,MATCH(H107,FourWeekly_Model!$B$2:$B$29,0)),0)),IF(VLOOKUP($A105,Calendar!$A$1:$R$1377,18,0)=4,SUM(IFERROR(INDEX(FourWeekly_Model!$D$2:$D$29,MATCH(H105,FourWeekly_Model!$B$2:$B$29,0)),0),IFERROR(INDEX(FourWeekly_Model!$D$2:$D$29,MATCH(H106,FourWeekly_Model!$B$2:$B$29,0)),0),IFERROR(INDEX(FourWeekly_Model!$D$2:$D$29,MATCH(H107,FourWeekly_Model!$B$2:$B$29,0)),0),IFERROR(INDEX(FourWeekly_Model!$D$2:$D$29,MATCH(H108,FourWeekly_Model!$B$2:$B$29,0)),0)),IF(VLOOKUP($A105,Calendar!$A$1:$R$1377,18,0)=5,SUM(IFERROR(INDEX(FourWeekly_Model!$D$2:$D$29,MATCH(H105,FourWeekly_Model!$B$2:$B$29,0)),0),IFERROR(INDEX(FourWeekly_Model!$D$2:$D$29,MATCH(H106,FourWeekly_Model!$B$2:$B$29,0)),0),IFERROR(INDEX(FourWeekly_Model!$D$2:$D$29,MATCH(H107,FourWeekly_Model!$B$2:$B$29,0)),0),IFERROR(INDEX(FourWeekly_Model!$D$2:$D$29,MATCH(H108,FourWeekly_Model!$B$2:$B$29,0)),0),IFERROR(INDEX(FourWeekly_Model!$D$2:$D$29,MATCH(H109,FourWeekly_Model!$B$2:$B$29,0)),0)),0))))))</f>
        <v>3.3214289700000004E-3</v>
      </c>
      <c r="N105" s="27">
        <f>SUM(I105:M105)</f>
        <v>2.921798841005236E-2</v>
      </c>
      <c r="O105" s="28">
        <f>Population_Data!$B$8*N105</f>
        <v>885305.04882458656</v>
      </c>
      <c r="P105" s="27">
        <f>IF(VLOOKUP($A105,Calendar!$A$1:$R$1377,18,0)=0,0,IF(VLOOKUP($A105,Calendar!$A$1:$R$1377,18,0)=1,IFERROR(INDEX(Pension_Model!$D$2:$D$29,MATCH(H105,Pension_Model!$B$2:$B$29,0)),0),IF(VLOOKUP($A105,Calendar!$A$1:$R$1377,18,0)=2,SUM(IFERROR(INDEX(Pension_Model!$D$2:$D$29,MATCH(H105,Pension_Model!$B$2:$B$29,0)),0),IFERROR(INDEX(Pension_Model!$D$2:$D$29,MATCH(H106,Pension_Model!$B$2:$B$29,0)),0)),IF(VLOOKUP($A105,Calendar!$A$1:$R$1377,18,0)=3,SUM(IFERROR(INDEX(Pension_Model!$D$2:$D$29,MATCH(H105,Pension_Model!$B$2:$B$29,0)),0),IFERROR(INDEX(Pension_Model!$D$2:$D$29,MATCH(H106,Pension_Model!$B$2:$B$29,0)),0),IFERROR(INDEX(Pension_Model!$D$2:$D$29,MATCH(H107,Pension_Model!$B$2:$B$29,0)),0)),IF(VLOOKUP($A105,Calendar!$A$1:$R$1377,18,0)=4,SUM(IFERROR(INDEX(Pension_Model!$D$2:$D$29,MATCH(H105,Pension_Model!$B$2:$B$29,0)),0),IFERROR(INDEX(Pension_Model!$D$2:$D$29,MATCH(H106,Pension_Model!$B$2:$B$29,0)),0),IFERROR(INDEX(Pension_Model!$D$2:$D$29,MATCH(H107,Pension_Model!$B$2:$B$29,0)),0),IFERROR(INDEX(Pension_Model!$D$2:$D$29,MATCH(H108,Pension_Model!$B$2:$B$29,0)),0)),IF(VLOOKUP($A105,Calendar!$A$1:$R$1377,18,0)=5,SUM(IFERROR(INDEX(Pension_Model!$D$2:$D$29,MATCH(H105,Pension_Model!$B$2:$B$29,0)),0),IFERROR(INDEX(Pension_Model!$D$2:$D$29,MATCH(H106,Pension_Model!$B$2:$B$29,0)),0),IFERROR(INDEX(Pension_Model!$D$2:$D$29,MATCH(H107,Pension_Model!$B$2:$B$29,0)),0),IFERROR(INDEX(Pension_Model!$D$2:$D$29,MATCH(H108,Pension_Model!$B$2:$B$29,0)),0),IFERROR(INDEX(Pension_Model!$D$2:$D$29,MATCH(H109,Pension_Model!$B$2:$B$29,0)),0)),0))))))</f>
        <v>0.05</v>
      </c>
      <c r="Q105" s="28">
        <f>Population_Data!$B$15*P105</f>
        <v>660600</v>
      </c>
      <c r="S105">
        <f t="shared" si="1"/>
        <v>1545905.0488245864</v>
      </c>
      <c r="U105" s="33">
        <f>S105/Population_Data!$B$19</f>
        <v>2.8005526246822218E-2</v>
      </c>
    </row>
    <row r="106" spans="1:21">
      <c r="A106" s="25">
        <f>Calendar!A106</f>
        <v>46339</v>
      </c>
      <c r="B106" t="str">
        <f>Calendar!L106</f>
        <v>Yes</v>
      </c>
      <c r="C106" t="str">
        <f>Calendar!O106</f>
        <v>No</v>
      </c>
      <c r="D106" t="str">
        <f>Calendar!P106</f>
        <v>No</v>
      </c>
      <c r="E106" t="str">
        <f>Calendar!Q106</f>
        <v>No</v>
      </c>
      <c r="F106" t="str">
        <f>Calendar!I106</f>
        <v>Friday</v>
      </c>
      <c r="G106">
        <f>Calendar!S106</f>
        <v>13</v>
      </c>
      <c r="H106">
        <f>Calendar!T106</f>
        <v>27</v>
      </c>
      <c r="I106" s="27">
        <f>IF(VLOOKUP(A106,Calendar!$A$1:$R$1377,18,0)=0,0,IF(VLOOKUP(A106,Calendar!$A$1:$R$1377,18,0)=1,INDEX(Monthly_Pay_Model!$A$9:$D$40,MATCH(TEXT(A106,"dd"),Monthly_Pay_Model!$C$9:$C$39,0),4),IF(VLOOKUP(A106,Calendar!$A$1:$R$1377,18,0)=2,SUM(INDEX(Monthly_Pay_Model!$A$9:$D$40,MATCH(TEXT(A106,"dd"),Monthly_Pay_Model!$C$9:$C$39,0),4),INDEX(Monthly_Pay_Model!$A$9:$D$40,MATCH(TEXT(A107,"dd"),Monthly_Pay_Model!$C$9:$C$39,0),4)),IF(VLOOKUP(A106,Calendar!$A$1:$R$1377,18,0)=3,SUM(INDEX(Monthly_Pay_Model!$A$9:$D$40,MATCH(TEXT(A106,"dd"),Monthly_Pay_Model!$C$9:$C$39,0),4),INDEX(Monthly_Pay_Model!$A$9:$D$40,MATCH(TEXT(A107,"dd"),Monthly_Pay_Model!$C$9:$C$39,0),4),INDEX(Monthly_Pay_Model!$A$9:$D$40,MATCH(TEXT(A108,"dd"),Monthly_Pay_Model!$C$9:$C$39,0),4)),IF(VLOOKUP(A106,Calendar!$A$1:$R$1377,18,0)=4,SUM(INDEX(Monthly_Pay_Model!$A$9:$D$40,MATCH(TEXT(A106,"dd"),Monthly_Pay_Model!$C$9:$C$39,0),4),INDEX(Monthly_Pay_Model!$A$9:$D$40,MATCH(TEXT(A107,"dd"),Monthly_Pay_Model!$C$9:$C$39,0),4),INDEX(Monthly_Pay_Model!$A$9:$D$40,MATCH(TEXT(A108,"dd"),Monthly_Pay_Model!$C$9:$C$39,0),4),INDEX(Monthly_Pay_Model!$A$9:$D$40,MATCH(TEXT(A109,"dd"),Monthly_Pay_Model!$C$9:$C$39,0),4)),IF(VLOOKUP(A106,Calendar!$A$1:$R$1377,18,0)=5,SUM(INDEX(Monthly_Pay_Model!$A$9:$D$40,MATCH(TEXT(A106,"dd"),Monthly_Pay_Model!$C$9:$C$39,0),4),INDEX(Monthly_Pay_Model!$A$9:$D$40,MATCH(TEXT(A107,"dd"),Monthly_Pay_Model!$C$9:$C$39,0),4),INDEX(Monthly_Pay_Model!$A$9:$D$40,MATCH(TEXT(A108,"dd"),Monthly_Pay_Model!$C$9:$C$39,0),4),INDEX(Monthly_Pay_Model!$A$9:$D$40,MATCH(TEXT(A109,"dd"),Monthly_Pay_Model!$C$9:$C$39,0),4),INDEX(Monthly_Pay_Model!$A$9:$D$40,MATCH(TEXT(A110,"dd"),Monthly_Pay_Model!$C$9:$C$39,0),4)),))))))</f>
        <v>1.4626178010471202E-2</v>
      </c>
      <c r="J106" s="33">
        <f>IF(C106="Yes",Monthly_Pay_Model!$D$2,0)
+IF(Calendar!N106="Yes",Monthly_Pay_Model!$D$3,0)
+IF(D106="Yes",Monthly_Pay_Model!$D$4,0)
+IF(E106="Yes",Monthly_Pay_Model!$D$5,0)</f>
        <v>0</v>
      </c>
      <c r="K106" s="27">
        <f>IF(VLOOKUP($A106,Calendar!$A$1:$R$1377,18,0)=0,0,IF(VLOOKUP($A106,Calendar!$A$1:$R$1377,18,0)=1,IFERROR(INDEX(Weekly_Model!$D$2:$D$9,MATCH(F106,Weekly_Model!$A$2:$A$9,0)),0),IF(VLOOKUP($A106,Calendar!$A$1:$R$1377,18,0)=2,SUM(IFERROR(INDEX(Weekly_Model!$D$2:$D$9,MATCH(F106,Weekly_Model!$A$2:$A$9,0)),0),IFERROR(INDEX(Weekly_Model!$D$2:$D$9,MATCH(F107,Weekly_Model!$A$2:$A$9,0)),0)),IF(VLOOKUP($A106,Calendar!$A$1:$R$1377,18,0)=3,SUM(IFERROR(INDEX(Weekly_Model!$D$2:$D$9,MATCH(F106,Weekly_Model!$A$2:$A$9,0)),0),IFERROR(INDEX(Weekly_Model!$D$2:$D$9,MATCH(F107,Weekly_Model!$A$2:$A$9,0)),0),IFERROR(INDEX(Weekly_Model!$D$2:$D$9,MATCH(F108,Weekly_Model!$A$2:$A$9,0)),0)),IF(VLOOKUP($A106,Calendar!$A$1:$R$1377,18,0)=4,SUM(IFERROR(INDEX(Weekly_Model!$D$2:$D$9,MATCH(F106,Weekly_Model!$A$2:$A$9,0)),0),IFERROR(INDEX(Weekly_Model!$D$2:$D$9,MATCH(F107,Weekly_Model!$A$2:$A$9,0)),0),IFERROR(INDEX(Weekly_Model!$D$2:$D$9,MATCH(F108,Weekly_Model!$A$2:$A$9,0)),0),IFERROR(INDEX(Weekly_Model!$D$2:$D$9,MATCH(F109,Weekly_Model!$A$2:$A$9,0)),0)),IF(VLOOKUP($A106,Calendar!$A$1:$R$1377,18,0)=5,SUM(IFERROR(INDEX(Weekly_Model!$D$2:$D$9,MATCH(F106,Weekly_Model!$A$2:$A$9,0)),0),IFERROR(INDEX(Weekly_Model!$D$2:$D$9,MATCH(F107,Weekly_Model!$A$2:$A$9,0)),0),IFERROR(INDEX(Weekly_Model!$D$2:$D$9,MATCH(F108,Weekly_Model!$A$2:$A$9,0)),0),IFERROR(INDEX(Weekly_Model!$D$2:$D$9,MATCH(F109,Weekly_Model!$A$2:$A$9,0)),0),IFERROR(INDEX(Weekly_Model!$D$2:$D$9,MATCH(F110,Weekly_Model!$A$2:$A$9,0)),0)),0))))))</f>
        <v>2.3200000000000002E-2</v>
      </c>
      <c r="L106" s="27">
        <f>IF(VLOOKUP($A106,Calendar!$A$1:$R$1377,18,0)=0,0,IF(VLOOKUP($A106,Calendar!$A$1:$R$1377,18,0)=1,IFERROR(INDEX(Fortnightly_Model!$D$2:$D$15,MATCH(G106,Fortnightly_Model!$B$2:$B$15,0)),0),IF(VLOOKUP($A106,Calendar!$A$1:$R$1377,18,0)=2,SUM(IFERROR(INDEX(Fortnightly_Model!$D$2:$D$15,MATCH(G106,Fortnightly_Model!$B$2:$B$15,0)),0),IFERROR(INDEX(Fortnightly_Model!$D$2:$D$15,MATCH(G107,Fortnightly_Model!$B$2:$B$15,0)),0)),IF(VLOOKUP($A106,Calendar!$A$1:$R$1377,18,0)=3,SUM(IFERROR(INDEX(Fortnightly_Model!$D$2:$D$15,MATCH(G106,Fortnightly_Model!$B$2:$B$15,0)),0),IFERROR(INDEX(Fortnightly_Model!$D$2:$D$15,MATCH(G107,Fortnightly_Model!$B$2:$B$15,0)),0),IFERROR(INDEX(Fortnightly_Model!$D$2:$D$15,MATCH(G108,Fortnightly_Model!$B$2:$B$15,0)),0)),IF(VLOOKUP($A106,Calendar!$A$1:$R$1377,18,0)=4,SUM(IFERROR(INDEX(Fortnightly_Model!$D$2:$D$15,MATCH(G106,Fortnightly_Model!$B$2:$B$15,0)),0),IFERROR(INDEX(Fortnightly_Model!$D$2:$D$15,MATCH(G107,Fortnightly_Model!$B$2:$B$15,0)),0),IFERROR(INDEX(Fortnightly_Model!$D$2:$D$15,MATCH(G108,Fortnightly_Model!$B$2:$B$15,0)),0),IFERROR(INDEX(Fortnightly_Model!$D$2:$D$15,MATCH(G109,Fortnightly_Model!$B$2:$B$15,0)),0)),IF(VLOOKUP($A106,Calendar!$A$1:$R$1377,18,0)=5,SUM(IFERROR(INDEX(Fortnightly_Model!$D$2:$D$15,MATCH(G106,Fortnightly_Model!$B$2:$B$15,0)),0),IFERROR(INDEX(Fortnightly_Model!$D$2:$D$15,MATCH(G107,Fortnightly_Model!$B$2:$B$15,0)),0),IFERROR(INDEX(Fortnightly_Model!$D$2:$D$15,MATCH(G108,Fortnightly_Model!$B$2:$B$15,0)),0),IFERROR(INDEX(Fortnightly_Model!$D$2:$D$15,MATCH(G109,Fortnightly_Model!$B$2:$B$15,0)),0),IFERROR(INDEX(Fortnightly_Model!$D$2:$D$15,MATCH(G110,Fortnightly_Model!$B$2:$B$15,0)),0)),0))))))</f>
        <v>3.2142856499999999E-3</v>
      </c>
      <c r="M106" s="27">
        <f>IF(VLOOKUP($A106,Calendar!$A$1:$R$1377,18,0)=0,0,IF(VLOOKUP($A106,Calendar!$A$1:$R$1377,18,0)=1,IFERROR(INDEX(FourWeekly_Model!$D$2:$D$29,MATCH(H106,FourWeekly_Model!$B$2:$B$29,0)),0),IF(VLOOKUP($A106,Calendar!$A$1:$R$1377,18,0)=2,SUM(IFERROR(INDEX(FourWeekly_Model!$D$2:$D$29,MATCH(H106,FourWeekly_Model!$B$2:$B$29,0)),0),IFERROR(INDEX(FourWeekly_Model!$D$2:$D$29,MATCH(H107,FourWeekly_Model!$B$2:$B$29,0)),0)),IF(VLOOKUP($A106,Calendar!$A$1:$R$1377,18,0)=3,SUM(IFERROR(INDEX(FourWeekly_Model!$D$2:$D$29,MATCH(H106,FourWeekly_Model!$B$2:$B$29,0)),0),IFERROR(INDEX(FourWeekly_Model!$D$2:$D$29,MATCH(H107,FourWeekly_Model!$B$2:$B$29,0)),0),IFERROR(INDEX(FourWeekly_Model!$D$2:$D$29,MATCH(H108,FourWeekly_Model!$B$2:$B$29,0)),0)),IF(VLOOKUP($A106,Calendar!$A$1:$R$1377,18,0)=4,SUM(IFERROR(INDEX(FourWeekly_Model!$D$2:$D$29,MATCH(H106,FourWeekly_Model!$B$2:$B$29,0)),0),IFERROR(INDEX(FourWeekly_Model!$D$2:$D$29,MATCH(H107,FourWeekly_Model!$B$2:$B$29,0)),0),IFERROR(INDEX(FourWeekly_Model!$D$2:$D$29,MATCH(H108,FourWeekly_Model!$B$2:$B$29,0)),0),IFERROR(INDEX(FourWeekly_Model!$D$2:$D$29,MATCH(H109,FourWeekly_Model!$B$2:$B$29,0)),0)),IF(VLOOKUP($A106,Calendar!$A$1:$R$1377,18,0)=5,SUM(IFERROR(INDEX(FourWeekly_Model!$D$2:$D$29,MATCH(H106,FourWeekly_Model!$B$2:$B$29,0)),0),IFERROR(INDEX(FourWeekly_Model!$D$2:$D$29,MATCH(H107,FourWeekly_Model!$B$2:$B$29,0)),0),IFERROR(INDEX(FourWeekly_Model!$D$2:$D$29,MATCH(H108,FourWeekly_Model!$B$2:$B$29,0)),0),IFERROR(INDEX(FourWeekly_Model!$D$2:$D$29,MATCH(H109,FourWeekly_Model!$B$2:$B$29,0)),0),IFERROR(INDEX(FourWeekly_Model!$D$2:$D$29,MATCH(H110,FourWeekly_Model!$B$2:$B$29,0)),0)),0))))))</f>
        <v>9.9642859800000011E-3</v>
      </c>
      <c r="N106" s="27">
        <f>SUM(I106:M106)</f>
        <v>5.1004749640471206E-2</v>
      </c>
      <c r="O106" s="28">
        <f>Population_Data!$B$8*N106</f>
        <v>1545443.9141062775</v>
      </c>
      <c r="P106" s="27">
        <f>IF(VLOOKUP($A106,Calendar!$A$1:$R$1377,18,0)=0,0,IF(VLOOKUP($A106,Calendar!$A$1:$R$1377,18,0)=1,IFERROR(INDEX(Pension_Model!$D$2:$D$29,MATCH(H106,Pension_Model!$B$2:$B$29,0)),0),IF(VLOOKUP($A106,Calendar!$A$1:$R$1377,18,0)=2,SUM(IFERROR(INDEX(Pension_Model!$D$2:$D$29,MATCH(H106,Pension_Model!$B$2:$B$29,0)),0),IFERROR(INDEX(Pension_Model!$D$2:$D$29,MATCH(H107,Pension_Model!$B$2:$B$29,0)),0)),IF(VLOOKUP($A106,Calendar!$A$1:$R$1377,18,0)=3,SUM(IFERROR(INDEX(Pension_Model!$D$2:$D$29,MATCH(H106,Pension_Model!$B$2:$B$29,0)),0),IFERROR(INDEX(Pension_Model!$D$2:$D$29,MATCH(H107,Pension_Model!$B$2:$B$29,0)),0),IFERROR(INDEX(Pension_Model!$D$2:$D$29,MATCH(H108,Pension_Model!$B$2:$B$29,0)),0)),IF(VLOOKUP($A106,Calendar!$A$1:$R$1377,18,0)=4,SUM(IFERROR(INDEX(Pension_Model!$D$2:$D$29,MATCH(H106,Pension_Model!$B$2:$B$29,0)),0),IFERROR(INDEX(Pension_Model!$D$2:$D$29,MATCH(H107,Pension_Model!$B$2:$B$29,0)),0),IFERROR(INDEX(Pension_Model!$D$2:$D$29,MATCH(H108,Pension_Model!$B$2:$B$29,0)),0),IFERROR(INDEX(Pension_Model!$D$2:$D$29,MATCH(H109,Pension_Model!$B$2:$B$29,0)),0)),IF(VLOOKUP($A106,Calendar!$A$1:$R$1377,18,0)=5,SUM(IFERROR(INDEX(Pension_Model!$D$2:$D$29,MATCH(H106,Pension_Model!$B$2:$B$29,0)),0),IFERROR(INDEX(Pension_Model!$D$2:$D$29,MATCH(H107,Pension_Model!$B$2:$B$29,0)),0),IFERROR(INDEX(Pension_Model!$D$2:$D$29,MATCH(H108,Pension_Model!$B$2:$B$29,0)),0),IFERROR(INDEX(Pension_Model!$D$2:$D$29,MATCH(H109,Pension_Model!$B$2:$B$29,0)),0),IFERROR(INDEX(Pension_Model!$D$2:$D$29,MATCH(H110,Pension_Model!$B$2:$B$29,0)),0)),0))))))</f>
        <v>0.05</v>
      </c>
      <c r="Q106" s="28">
        <f>Population_Data!$B$15*P106</f>
        <v>660600</v>
      </c>
      <c r="S106">
        <f t="shared" si="1"/>
        <v>2206043.9141062777</v>
      </c>
      <c r="U106" s="33">
        <f>S106/Population_Data!$B$19</f>
        <v>3.9964563661345612E-2</v>
      </c>
    </row>
    <row r="107" spans="1:21">
      <c r="A107" s="25">
        <f>Calendar!A107</f>
        <v>46340</v>
      </c>
      <c r="B107" t="str">
        <f>Calendar!L107</f>
        <v>No</v>
      </c>
      <c r="C107" t="str">
        <f>Calendar!O107</f>
        <v>No</v>
      </c>
      <c r="D107" t="str">
        <f>Calendar!P107</f>
        <v>No</v>
      </c>
      <c r="E107" t="str">
        <f>Calendar!Q107</f>
        <v>No</v>
      </c>
      <c r="F107" t="str">
        <f>Calendar!I107</f>
        <v>Saturday</v>
      </c>
      <c r="G107">
        <f>Calendar!S107</f>
        <v>0</v>
      </c>
      <c r="H107">
        <f>Calendar!T107</f>
        <v>0</v>
      </c>
      <c r="I107" s="27">
        <f>IF(VLOOKUP(A107,Calendar!$A$1:$R$1377,18,0)=0,0,IF(VLOOKUP(A107,Calendar!$A$1:$R$1377,18,0)=1,INDEX(Monthly_Pay_Model!$A$9:$D$40,MATCH(TEXT(A107,"dd"),Monthly_Pay_Model!$C$9:$C$39,0),4),IF(VLOOKUP(A107,Calendar!$A$1:$R$1377,18,0)=2,SUM(INDEX(Monthly_Pay_Model!$A$9:$D$40,MATCH(TEXT(A107,"dd"),Monthly_Pay_Model!$C$9:$C$39,0),4),INDEX(Monthly_Pay_Model!$A$9:$D$40,MATCH(TEXT(A108,"dd"),Monthly_Pay_Model!$C$9:$C$39,0),4)),IF(VLOOKUP(A107,Calendar!$A$1:$R$1377,18,0)=3,SUM(INDEX(Monthly_Pay_Model!$A$9:$D$40,MATCH(TEXT(A107,"dd"),Monthly_Pay_Model!$C$9:$C$39,0),4),INDEX(Monthly_Pay_Model!$A$9:$D$40,MATCH(TEXT(A108,"dd"),Monthly_Pay_Model!$C$9:$C$39,0),4),INDEX(Monthly_Pay_Model!$A$9:$D$40,MATCH(TEXT(A109,"dd"),Monthly_Pay_Model!$C$9:$C$39,0),4)),IF(VLOOKUP(A107,Calendar!$A$1:$R$1377,18,0)=4,SUM(INDEX(Monthly_Pay_Model!$A$9:$D$40,MATCH(TEXT(A107,"dd"),Monthly_Pay_Model!$C$9:$C$39,0),4),INDEX(Monthly_Pay_Model!$A$9:$D$40,MATCH(TEXT(A108,"dd"),Monthly_Pay_Model!$C$9:$C$39,0),4),INDEX(Monthly_Pay_Model!$A$9:$D$40,MATCH(TEXT(A109,"dd"),Monthly_Pay_Model!$C$9:$C$39,0),4),INDEX(Monthly_Pay_Model!$A$9:$D$40,MATCH(TEXT(A110,"dd"),Monthly_Pay_Model!$C$9:$C$39,0),4)),IF(VLOOKUP(A107,Calendar!$A$1:$R$1377,18,0)=5,SUM(INDEX(Monthly_Pay_Model!$A$9:$D$40,MATCH(TEXT(A107,"dd"),Monthly_Pay_Model!$C$9:$C$39,0),4),INDEX(Monthly_Pay_Model!$A$9:$D$40,MATCH(TEXT(A108,"dd"),Monthly_Pay_Model!$C$9:$C$39,0),4),INDEX(Monthly_Pay_Model!$A$9:$D$40,MATCH(TEXT(A109,"dd"),Monthly_Pay_Model!$C$9:$C$39,0),4),INDEX(Monthly_Pay_Model!$A$9:$D$40,MATCH(TEXT(A110,"dd"),Monthly_Pay_Model!$C$9:$C$39,0),4),INDEX(Monthly_Pay_Model!$A$9:$D$40,MATCH(TEXT(A111,"dd"),Monthly_Pay_Model!$C$9:$C$39,0),4)),))))))</f>
        <v>0</v>
      </c>
      <c r="J107" s="33">
        <f>IF(C107="Yes",Monthly_Pay_Model!$D$2,0)
+IF(Calendar!N107="Yes",Monthly_Pay_Model!$D$3,0)
+IF(D107="Yes",Monthly_Pay_Model!$D$4,0)
+IF(E107="Yes",Monthly_Pay_Model!$D$5,0)</f>
        <v>0</v>
      </c>
      <c r="K107" s="27">
        <f>IF(VLOOKUP($A107,Calendar!$A$1:$R$1377,18,0)=0,0,IF(VLOOKUP($A107,Calendar!$A$1:$R$1377,18,0)=1,IFERROR(INDEX(Weekly_Model!$D$2:$D$9,MATCH(F107,Weekly_Model!$A$2:$A$9,0)),0),IF(VLOOKUP($A107,Calendar!$A$1:$R$1377,18,0)=2,SUM(IFERROR(INDEX(Weekly_Model!$D$2:$D$9,MATCH(F107,Weekly_Model!$A$2:$A$9,0)),0),IFERROR(INDEX(Weekly_Model!$D$2:$D$9,MATCH(F108,Weekly_Model!$A$2:$A$9,0)),0)),IF(VLOOKUP($A107,Calendar!$A$1:$R$1377,18,0)=3,SUM(IFERROR(INDEX(Weekly_Model!$D$2:$D$9,MATCH(F107,Weekly_Model!$A$2:$A$9,0)),0),IFERROR(INDEX(Weekly_Model!$D$2:$D$9,MATCH(F108,Weekly_Model!$A$2:$A$9,0)),0),IFERROR(INDEX(Weekly_Model!$D$2:$D$9,MATCH(F109,Weekly_Model!$A$2:$A$9,0)),0)),IF(VLOOKUP($A107,Calendar!$A$1:$R$1377,18,0)=4,SUM(IFERROR(INDEX(Weekly_Model!$D$2:$D$9,MATCH(F107,Weekly_Model!$A$2:$A$9,0)),0),IFERROR(INDEX(Weekly_Model!$D$2:$D$9,MATCH(F108,Weekly_Model!$A$2:$A$9,0)),0),IFERROR(INDEX(Weekly_Model!$D$2:$D$9,MATCH(F109,Weekly_Model!$A$2:$A$9,0)),0),IFERROR(INDEX(Weekly_Model!$D$2:$D$9,MATCH(F110,Weekly_Model!$A$2:$A$9,0)),0)),IF(VLOOKUP($A107,Calendar!$A$1:$R$1377,18,0)=5,SUM(IFERROR(INDEX(Weekly_Model!$D$2:$D$9,MATCH(F107,Weekly_Model!$A$2:$A$9,0)),0),IFERROR(INDEX(Weekly_Model!$D$2:$D$9,MATCH(F108,Weekly_Model!$A$2:$A$9,0)),0),IFERROR(INDEX(Weekly_Model!$D$2:$D$9,MATCH(F109,Weekly_Model!$A$2:$A$9,0)),0),IFERROR(INDEX(Weekly_Model!$D$2:$D$9,MATCH(F110,Weekly_Model!$A$2:$A$9,0)),0),IFERROR(INDEX(Weekly_Model!$D$2:$D$9,MATCH(F111,Weekly_Model!$A$2:$A$9,0)),0)),0))))))</f>
        <v>0</v>
      </c>
      <c r="L107" s="27">
        <f>IF(VLOOKUP($A107,Calendar!$A$1:$R$1377,18,0)=0,0,IF(VLOOKUP($A107,Calendar!$A$1:$R$1377,18,0)=1,IFERROR(INDEX(Fortnightly_Model!$D$2:$D$15,MATCH(G107,Fortnightly_Model!$B$2:$B$15,0)),0),IF(VLOOKUP($A107,Calendar!$A$1:$R$1377,18,0)=2,SUM(IFERROR(INDEX(Fortnightly_Model!$D$2:$D$15,MATCH(G107,Fortnightly_Model!$B$2:$B$15,0)),0),IFERROR(INDEX(Fortnightly_Model!$D$2:$D$15,MATCH(G108,Fortnightly_Model!$B$2:$B$15,0)),0)),IF(VLOOKUP($A107,Calendar!$A$1:$R$1377,18,0)=3,SUM(IFERROR(INDEX(Fortnightly_Model!$D$2:$D$15,MATCH(G107,Fortnightly_Model!$B$2:$B$15,0)),0),IFERROR(INDEX(Fortnightly_Model!$D$2:$D$15,MATCH(G108,Fortnightly_Model!$B$2:$B$15,0)),0),IFERROR(INDEX(Fortnightly_Model!$D$2:$D$15,MATCH(G109,Fortnightly_Model!$B$2:$B$15,0)),0)),IF(VLOOKUP($A107,Calendar!$A$1:$R$1377,18,0)=4,SUM(IFERROR(INDEX(Fortnightly_Model!$D$2:$D$15,MATCH(G107,Fortnightly_Model!$B$2:$B$15,0)),0),IFERROR(INDEX(Fortnightly_Model!$D$2:$D$15,MATCH(G108,Fortnightly_Model!$B$2:$B$15,0)),0),IFERROR(INDEX(Fortnightly_Model!$D$2:$D$15,MATCH(G109,Fortnightly_Model!$B$2:$B$15,0)),0),IFERROR(INDEX(Fortnightly_Model!$D$2:$D$15,MATCH(G110,Fortnightly_Model!$B$2:$B$15,0)),0)),IF(VLOOKUP($A107,Calendar!$A$1:$R$1377,18,0)=5,SUM(IFERROR(INDEX(Fortnightly_Model!$D$2:$D$15,MATCH(G107,Fortnightly_Model!$B$2:$B$15,0)),0),IFERROR(INDEX(Fortnightly_Model!$D$2:$D$15,MATCH(G108,Fortnightly_Model!$B$2:$B$15,0)),0),IFERROR(INDEX(Fortnightly_Model!$D$2:$D$15,MATCH(G109,Fortnightly_Model!$B$2:$B$15,0)),0),IFERROR(INDEX(Fortnightly_Model!$D$2:$D$15,MATCH(G110,Fortnightly_Model!$B$2:$B$15,0)),0),IFERROR(INDEX(Fortnightly_Model!$D$2:$D$15,MATCH(G111,Fortnightly_Model!$B$2:$B$15,0)),0)),0))))))</f>
        <v>0</v>
      </c>
      <c r="M107" s="27">
        <f>IF(VLOOKUP($A107,Calendar!$A$1:$R$1377,18,0)=0,0,IF(VLOOKUP($A107,Calendar!$A$1:$R$1377,18,0)=1,IFERROR(INDEX(FourWeekly_Model!$D$2:$D$29,MATCH(H107,FourWeekly_Model!$B$2:$B$29,0)),0),IF(VLOOKUP($A107,Calendar!$A$1:$R$1377,18,0)=2,SUM(IFERROR(INDEX(FourWeekly_Model!$D$2:$D$29,MATCH(H107,FourWeekly_Model!$B$2:$B$29,0)),0),IFERROR(INDEX(FourWeekly_Model!$D$2:$D$29,MATCH(H108,FourWeekly_Model!$B$2:$B$29,0)),0)),IF(VLOOKUP($A107,Calendar!$A$1:$R$1377,18,0)=3,SUM(IFERROR(INDEX(FourWeekly_Model!$D$2:$D$29,MATCH(H107,FourWeekly_Model!$B$2:$B$29,0)),0),IFERROR(INDEX(FourWeekly_Model!$D$2:$D$29,MATCH(H108,FourWeekly_Model!$B$2:$B$29,0)),0),IFERROR(INDEX(FourWeekly_Model!$D$2:$D$29,MATCH(H109,FourWeekly_Model!$B$2:$B$29,0)),0)),IF(VLOOKUP($A107,Calendar!$A$1:$R$1377,18,0)=4,SUM(IFERROR(INDEX(FourWeekly_Model!$D$2:$D$29,MATCH(H107,FourWeekly_Model!$B$2:$B$29,0)),0),IFERROR(INDEX(FourWeekly_Model!$D$2:$D$29,MATCH(H108,FourWeekly_Model!$B$2:$B$29,0)),0),IFERROR(INDEX(FourWeekly_Model!$D$2:$D$29,MATCH(H109,FourWeekly_Model!$B$2:$B$29,0)),0),IFERROR(INDEX(FourWeekly_Model!$D$2:$D$29,MATCH(H110,FourWeekly_Model!$B$2:$B$29,0)),0)),IF(VLOOKUP($A107,Calendar!$A$1:$R$1377,18,0)=5,SUM(IFERROR(INDEX(FourWeekly_Model!$D$2:$D$29,MATCH(H107,FourWeekly_Model!$B$2:$B$29,0)),0),IFERROR(INDEX(FourWeekly_Model!$D$2:$D$29,MATCH(H108,FourWeekly_Model!$B$2:$B$29,0)),0),IFERROR(INDEX(FourWeekly_Model!$D$2:$D$29,MATCH(H109,FourWeekly_Model!$B$2:$B$29,0)),0),IFERROR(INDEX(FourWeekly_Model!$D$2:$D$29,MATCH(H110,FourWeekly_Model!$B$2:$B$29,0)),0),IFERROR(INDEX(FourWeekly_Model!$D$2:$D$29,MATCH(H111,FourWeekly_Model!$B$2:$B$29,0)),0)),0))))))</f>
        <v>0</v>
      </c>
      <c r="N107" s="27">
        <f>SUM(I107:M107)</f>
        <v>0</v>
      </c>
      <c r="O107" s="28">
        <f>Population_Data!$B$8*N107</f>
        <v>0</v>
      </c>
      <c r="P107" s="27">
        <f>IF(VLOOKUP($A107,Calendar!$A$1:$R$1377,18,0)=0,0,IF(VLOOKUP($A107,Calendar!$A$1:$R$1377,18,0)=1,IFERROR(INDEX(Pension_Model!$D$2:$D$29,MATCH(H107,Pension_Model!$B$2:$B$29,0)),0),IF(VLOOKUP($A107,Calendar!$A$1:$R$1377,18,0)=2,SUM(IFERROR(INDEX(Pension_Model!$D$2:$D$29,MATCH(H107,Pension_Model!$B$2:$B$29,0)),0),IFERROR(INDEX(Pension_Model!$D$2:$D$29,MATCH(H108,Pension_Model!$B$2:$B$29,0)),0)),IF(VLOOKUP($A107,Calendar!$A$1:$R$1377,18,0)=3,SUM(IFERROR(INDEX(Pension_Model!$D$2:$D$29,MATCH(H107,Pension_Model!$B$2:$B$29,0)),0),IFERROR(INDEX(Pension_Model!$D$2:$D$29,MATCH(H108,Pension_Model!$B$2:$B$29,0)),0),IFERROR(INDEX(Pension_Model!$D$2:$D$29,MATCH(H109,Pension_Model!$B$2:$B$29,0)),0)),IF(VLOOKUP($A107,Calendar!$A$1:$R$1377,18,0)=4,SUM(IFERROR(INDEX(Pension_Model!$D$2:$D$29,MATCH(H107,Pension_Model!$B$2:$B$29,0)),0),IFERROR(INDEX(Pension_Model!$D$2:$D$29,MATCH(H108,Pension_Model!$B$2:$B$29,0)),0),IFERROR(INDEX(Pension_Model!$D$2:$D$29,MATCH(H109,Pension_Model!$B$2:$B$29,0)),0),IFERROR(INDEX(Pension_Model!$D$2:$D$29,MATCH(H110,Pension_Model!$B$2:$B$29,0)),0)),IF(VLOOKUP($A107,Calendar!$A$1:$R$1377,18,0)=5,SUM(IFERROR(INDEX(Pension_Model!$D$2:$D$29,MATCH(H107,Pension_Model!$B$2:$B$29,0)),0),IFERROR(INDEX(Pension_Model!$D$2:$D$29,MATCH(H108,Pension_Model!$B$2:$B$29,0)),0),IFERROR(INDEX(Pension_Model!$D$2:$D$29,MATCH(H109,Pension_Model!$B$2:$B$29,0)),0),IFERROR(INDEX(Pension_Model!$D$2:$D$29,MATCH(H110,Pension_Model!$B$2:$B$29,0)),0),IFERROR(INDEX(Pension_Model!$D$2:$D$29,MATCH(H111,Pension_Model!$B$2:$B$29,0)),0)),0))))))</f>
        <v>0</v>
      </c>
      <c r="Q107" s="28">
        <f>Population_Data!$B$15*P107</f>
        <v>0</v>
      </c>
      <c r="S107">
        <f t="shared" si="1"/>
        <v>0</v>
      </c>
      <c r="U107" s="33">
        <f>S107/Population_Data!$B$19</f>
        <v>0</v>
      </c>
    </row>
    <row r="108" spans="1:21">
      <c r="A108" s="25">
        <f>Calendar!A108</f>
        <v>46341</v>
      </c>
      <c r="B108" t="str">
        <f>Calendar!L108</f>
        <v>No</v>
      </c>
      <c r="C108" t="str">
        <f>Calendar!O108</f>
        <v>No</v>
      </c>
      <c r="D108" t="str">
        <f>Calendar!P108</f>
        <v>No</v>
      </c>
      <c r="E108" t="str">
        <f>Calendar!Q108</f>
        <v>No</v>
      </c>
      <c r="F108" t="str">
        <f>Calendar!I108</f>
        <v>Sunday</v>
      </c>
      <c r="G108">
        <f>Calendar!S108</f>
        <v>1</v>
      </c>
      <c r="H108">
        <f>Calendar!T108</f>
        <v>1</v>
      </c>
      <c r="I108" s="27">
        <f>IF(VLOOKUP(A108,Calendar!$A$1:$R$1377,18,0)=0,0,IF(VLOOKUP(A108,Calendar!$A$1:$R$1377,18,0)=1,INDEX(Monthly_Pay_Model!$A$9:$D$40,MATCH(TEXT(A108,"dd"),Monthly_Pay_Model!$C$9:$C$39,0),4),IF(VLOOKUP(A108,Calendar!$A$1:$R$1377,18,0)=2,SUM(INDEX(Monthly_Pay_Model!$A$9:$D$40,MATCH(TEXT(A108,"dd"),Monthly_Pay_Model!$C$9:$C$39,0),4),INDEX(Monthly_Pay_Model!$A$9:$D$40,MATCH(TEXT(A109,"dd"),Monthly_Pay_Model!$C$9:$C$39,0),4)),IF(VLOOKUP(A108,Calendar!$A$1:$R$1377,18,0)=3,SUM(INDEX(Monthly_Pay_Model!$A$9:$D$40,MATCH(TEXT(A108,"dd"),Monthly_Pay_Model!$C$9:$C$39,0),4),INDEX(Monthly_Pay_Model!$A$9:$D$40,MATCH(TEXT(A109,"dd"),Monthly_Pay_Model!$C$9:$C$39,0),4),INDEX(Monthly_Pay_Model!$A$9:$D$40,MATCH(TEXT(A110,"dd"),Monthly_Pay_Model!$C$9:$C$39,0),4)),IF(VLOOKUP(A108,Calendar!$A$1:$R$1377,18,0)=4,SUM(INDEX(Monthly_Pay_Model!$A$9:$D$40,MATCH(TEXT(A108,"dd"),Monthly_Pay_Model!$C$9:$C$39,0),4),INDEX(Monthly_Pay_Model!$A$9:$D$40,MATCH(TEXT(A109,"dd"),Monthly_Pay_Model!$C$9:$C$39,0),4),INDEX(Monthly_Pay_Model!$A$9:$D$40,MATCH(TEXT(A110,"dd"),Monthly_Pay_Model!$C$9:$C$39,0),4),INDEX(Monthly_Pay_Model!$A$9:$D$40,MATCH(TEXT(A111,"dd"),Monthly_Pay_Model!$C$9:$C$39,0),4)),IF(VLOOKUP(A108,Calendar!$A$1:$R$1377,18,0)=5,SUM(INDEX(Monthly_Pay_Model!$A$9:$D$40,MATCH(TEXT(A108,"dd"),Monthly_Pay_Model!$C$9:$C$39,0),4),INDEX(Monthly_Pay_Model!$A$9:$D$40,MATCH(TEXT(A109,"dd"),Monthly_Pay_Model!$C$9:$C$39,0),4),INDEX(Monthly_Pay_Model!$A$9:$D$40,MATCH(TEXT(A110,"dd"),Monthly_Pay_Model!$C$9:$C$39,0),4),INDEX(Monthly_Pay_Model!$A$9:$D$40,MATCH(TEXT(A111,"dd"),Monthly_Pay_Model!$C$9:$C$39,0),4),INDEX(Monthly_Pay_Model!$A$9:$D$40,MATCH(TEXT(A112,"dd"),Monthly_Pay_Model!$C$9:$C$39,0),4)),))))))</f>
        <v>0</v>
      </c>
      <c r="J108" s="33">
        <f>IF(C108="Yes",Monthly_Pay_Model!$D$2,0)
+IF(Calendar!N108="Yes",Monthly_Pay_Model!$D$3,0)
+IF(D108="Yes",Monthly_Pay_Model!$D$4,0)
+IF(E108="Yes",Monthly_Pay_Model!$D$5,0)</f>
        <v>0</v>
      </c>
      <c r="K108" s="27">
        <f>IF(VLOOKUP($A108,Calendar!$A$1:$R$1377,18,0)=0,0,IF(VLOOKUP($A108,Calendar!$A$1:$R$1377,18,0)=1,IFERROR(INDEX(Weekly_Model!$D$2:$D$9,MATCH(F108,Weekly_Model!$A$2:$A$9,0)),0),IF(VLOOKUP($A108,Calendar!$A$1:$R$1377,18,0)=2,SUM(IFERROR(INDEX(Weekly_Model!$D$2:$D$9,MATCH(F108,Weekly_Model!$A$2:$A$9,0)),0),IFERROR(INDEX(Weekly_Model!$D$2:$D$9,MATCH(F109,Weekly_Model!$A$2:$A$9,0)),0)),IF(VLOOKUP($A108,Calendar!$A$1:$R$1377,18,0)=3,SUM(IFERROR(INDEX(Weekly_Model!$D$2:$D$9,MATCH(F108,Weekly_Model!$A$2:$A$9,0)),0),IFERROR(INDEX(Weekly_Model!$D$2:$D$9,MATCH(F109,Weekly_Model!$A$2:$A$9,0)),0),IFERROR(INDEX(Weekly_Model!$D$2:$D$9,MATCH(F110,Weekly_Model!$A$2:$A$9,0)),0)),IF(VLOOKUP($A108,Calendar!$A$1:$R$1377,18,0)=4,SUM(IFERROR(INDEX(Weekly_Model!$D$2:$D$9,MATCH(F108,Weekly_Model!$A$2:$A$9,0)),0),IFERROR(INDEX(Weekly_Model!$D$2:$D$9,MATCH(F109,Weekly_Model!$A$2:$A$9,0)),0),IFERROR(INDEX(Weekly_Model!$D$2:$D$9,MATCH(F110,Weekly_Model!$A$2:$A$9,0)),0),IFERROR(INDEX(Weekly_Model!$D$2:$D$9,MATCH(F111,Weekly_Model!$A$2:$A$9,0)),0)),IF(VLOOKUP($A108,Calendar!$A$1:$R$1377,18,0)=5,SUM(IFERROR(INDEX(Weekly_Model!$D$2:$D$9,MATCH(F108,Weekly_Model!$A$2:$A$9,0)),0),IFERROR(INDEX(Weekly_Model!$D$2:$D$9,MATCH(F109,Weekly_Model!$A$2:$A$9,0)),0),IFERROR(INDEX(Weekly_Model!$D$2:$D$9,MATCH(F110,Weekly_Model!$A$2:$A$9,0)),0),IFERROR(INDEX(Weekly_Model!$D$2:$D$9,MATCH(F111,Weekly_Model!$A$2:$A$9,0)),0),IFERROR(INDEX(Weekly_Model!$D$2:$D$9,MATCH(F112,Weekly_Model!$A$2:$A$9,0)),0)),0))))))</f>
        <v>0</v>
      </c>
      <c r="L108" s="27">
        <f>IF(VLOOKUP($A108,Calendar!$A$1:$R$1377,18,0)=0,0,IF(VLOOKUP($A108,Calendar!$A$1:$R$1377,18,0)=1,IFERROR(INDEX(Fortnightly_Model!$D$2:$D$15,MATCH(G108,Fortnightly_Model!$B$2:$B$15,0)),0),IF(VLOOKUP($A108,Calendar!$A$1:$R$1377,18,0)=2,SUM(IFERROR(INDEX(Fortnightly_Model!$D$2:$D$15,MATCH(G108,Fortnightly_Model!$B$2:$B$15,0)),0),IFERROR(INDEX(Fortnightly_Model!$D$2:$D$15,MATCH(G109,Fortnightly_Model!$B$2:$B$15,0)),0)),IF(VLOOKUP($A108,Calendar!$A$1:$R$1377,18,0)=3,SUM(IFERROR(INDEX(Fortnightly_Model!$D$2:$D$15,MATCH(G108,Fortnightly_Model!$B$2:$B$15,0)),0),IFERROR(INDEX(Fortnightly_Model!$D$2:$D$15,MATCH(G109,Fortnightly_Model!$B$2:$B$15,0)),0),IFERROR(INDEX(Fortnightly_Model!$D$2:$D$15,MATCH(G110,Fortnightly_Model!$B$2:$B$15,0)),0)),IF(VLOOKUP($A108,Calendar!$A$1:$R$1377,18,0)=4,SUM(IFERROR(INDEX(Fortnightly_Model!$D$2:$D$15,MATCH(G108,Fortnightly_Model!$B$2:$B$15,0)),0),IFERROR(INDEX(Fortnightly_Model!$D$2:$D$15,MATCH(G109,Fortnightly_Model!$B$2:$B$15,0)),0),IFERROR(INDEX(Fortnightly_Model!$D$2:$D$15,MATCH(G110,Fortnightly_Model!$B$2:$B$15,0)),0),IFERROR(INDEX(Fortnightly_Model!$D$2:$D$15,MATCH(G111,Fortnightly_Model!$B$2:$B$15,0)),0)),IF(VLOOKUP($A108,Calendar!$A$1:$R$1377,18,0)=5,SUM(IFERROR(INDEX(Fortnightly_Model!$D$2:$D$15,MATCH(G108,Fortnightly_Model!$B$2:$B$15,0)),0),IFERROR(INDEX(Fortnightly_Model!$D$2:$D$15,MATCH(G109,Fortnightly_Model!$B$2:$B$15,0)),0),IFERROR(INDEX(Fortnightly_Model!$D$2:$D$15,MATCH(G110,Fortnightly_Model!$B$2:$B$15,0)),0),IFERROR(INDEX(Fortnightly_Model!$D$2:$D$15,MATCH(G111,Fortnightly_Model!$B$2:$B$15,0)),0),IFERROR(INDEX(Fortnightly_Model!$D$2:$D$15,MATCH(G112,Fortnightly_Model!$B$2:$B$15,0)),0)),0))))))</f>
        <v>0</v>
      </c>
      <c r="M108" s="27">
        <f>IF(VLOOKUP($A108,Calendar!$A$1:$R$1377,18,0)=0,0,IF(VLOOKUP($A108,Calendar!$A$1:$R$1377,18,0)=1,IFERROR(INDEX(FourWeekly_Model!$D$2:$D$29,MATCH(H108,FourWeekly_Model!$B$2:$B$29,0)),0),IF(VLOOKUP($A108,Calendar!$A$1:$R$1377,18,0)=2,SUM(IFERROR(INDEX(FourWeekly_Model!$D$2:$D$29,MATCH(H108,FourWeekly_Model!$B$2:$B$29,0)),0),IFERROR(INDEX(FourWeekly_Model!$D$2:$D$29,MATCH(H109,FourWeekly_Model!$B$2:$B$29,0)),0)),IF(VLOOKUP($A108,Calendar!$A$1:$R$1377,18,0)=3,SUM(IFERROR(INDEX(FourWeekly_Model!$D$2:$D$29,MATCH(H108,FourWeekly_Model!$B$2:$B$29,0)),0),IFERROR(INDEX(FourWeekly_Model!$D$2:$D$29,MATCH(H109,FourWeekly_Model!$B$2:$B$29,0)),0),IFERROR(INDEX(FourWeekly_Model!$D$2:$D$29,MATCH(H110,FourWeekly_Model!$B$2:$B$29,0)),0)),IF(VLOOKUP($A108,Calendar!$A$1:$R$1377,18,0)=4,SUM(IFERROR(INDEX(FourWeekly_Model!$D$2:$D$29,MATCH(H108,FourWeekly_Model!$B$2:$B$29,0)),0),IFERROR(INDEX(FourWeekly_Model!$D$2:$D$29,MATCH(H109,FourWeekly_Model!$B$2:$B$29,0)),0),IFERROR(INDEX(FourWeekly_Model!$D$2:$D$29,MATCH(H110,FourWeekly_Model!$B$2:$B$29,0)),0),IFERROR(INDEX(FourWeekly_Model!$D$2:$D$29,MATCH(H111,FourWeekly_Model!$B$2:$B$29,0)),0)),IF(VLOOKUP($A108,Calendar!$A$1:$R$1377,18,0)=5,SUM(IFERROR(INDEX(FourWeekly_Model!$D$2:$D$29,MATCH(H108,FourWeekly_Model!$B$2:$B$29,0)),0),IFERROR(INDEX(FourWeekly_Model!$D$2:$D$29,MATCH(H109,FourWeekly_Model!$B$2:$B$29,0)),0),IFERROR(INDEX(FourWeekly_Model!$D$2:$D$29,MATCH(H110,FourWeekly_Model!$B$2:$B$29,0)),0),IFERROR(INDEX(FourWeekly_Model!$D$2:$D$29,MATCH(H111,FourWeekly_Model!$B$2:$B$29,0)),0),IFERROR(INDEX(FourWeekly_Model!$D$2:$D$29,MATCH(H112,FourWeekly_Model!$B$2:$B$29,0)),0)),0))))))</f>
        <v>0</v>
      </c>
      <c r="N108" s="27">
        <f>SUM(I108:M108)</f>
        <v>0</v>
      </c>
      <c r="O108" s="28">
        <f>Population_Data!$B$8*N108</f>
        <v>0</v>
      </c>
      <c r="P108" s="27">
        <f>IF(VLOOKUP($A108,Calendar!$A$1:$R$1377,18,0)=0,0,IF(VLOOKUP($A108,Calendar!$A$1:$R$1377,18,0)=1,IFERROR(INDEX(Pension_Model!$D$2:$D$29,MATCH(H108,Pension_Model!$B$2:$B$29,0)),0),IF(VLOOKUP($A108,Calendar!$A$1:$R$1377,18,0)=2,SUM(IFERROR(INDEX(Pension_Model!$D$2:$D$29,MATCH(H108,Pension_Model!$B$2:$B$29,0)),0),IFERROR(INDEX(Pension_Model!$D$2:$D$29,MATCH(H109,Pension_Model!$B$2:$B$29,0)),0)),IF(VLOOKUP($A108,Calendar!$A$1:$R$1377,18,0)=3,SUM(IFERROR(INDEX(Pension_Model!$D$2:$D$29,MATCH(H108,Pension_Model!$B$2:$B$29,0)),0),IFERROR(INDEX(Pension_Model!$D$2:$D$29,MATCH(H109,Pension_Model!$B$2:$B$29,0)),0),IFERROR(INDEX(Pension_Model!$D$2:$D$29,MATCH(H110,Pension_Model!$B$2:$B$29,0)),0)),IF(VLOOKUP($A108,Calendar!$A$1:$R$1377,18,0)=4,SUM(IFERROR(INDEX(Pension_Model!$D$2:$D$29,MATCH(H108,Pension_Model!$B$2:$B$29,0)),0),IFERROR(INDEX(Pension_Model!$D$2:$D$29,MATCH(H109,Pension_Model!$B$2:$B$29,0)),0),IFERROR(INDEX(Pension_Model!$D$2:$D$29,MATCH(H110,Pension_Model!$B$2:$B$29,0)),0),IFERROR(INDEX(Pension_Model!$D$2:$D$29,MATCH(H111,Pension_Model!$B$2:$B$29,0)),0)),IF(VLOOKUP($A108,Calendar!$A$1:$R$1377,18,0)=5,SUM(IFERROR(INDEX(Pension_Model!$D$2:$D$29,MATCH(H108,Pension_Model!$B$2:$B$29,0)),0),IFERROR(INDEX(Pension_Model!$D$2:$D$29,MATCH(H109,Pension_Model!$B$2:$B$29,0)),0),IFERROR(INDEX(Pension_Model!$D$2:$D$29,MATCH(H110,Pension_Model!$B$2:$B$29,0)),0),IFERROR(INDEX(Pension_Model!$D$2:$D$29,MATCH(H111,Pension_Model!$B$2:$B$29,0)),0),IFERROR(INDEX(Pension_Model!$D$2:$D$29,MATCH(H112,Pension_Model!$B$2:$B$29,0)),0)),0))))))</f>
        <v>0</v>
      </c>
      <c r="Q108" s="28">
        <f>Population_Data!$B$15*P108</f>
        <v>0</v>
      </c>
      <c r="S108">
        <f t="shared" si="1"/>
        <v>0</v>
      </c>
      <c r="U108" s="33">
        <f>S108/Population_Data!$B$19</f>
        <v>0</v>
      </c>
    </row>
    <row r="109" spans="1:21">
      <c r="A109" s="25">
        <f>Calendar!A109</f>
        <v>46342</v>
      </c>
      <c r="B109" t="str">
        <f>Calendar!L109</f>
        <v>Yes</v>
      </c>
      <c r="C109" t="str">
        <f>Calendar!O109</f>
        <v>No</v>
      </c>
      <c r="D109" t="str">
        <f>Calendar!P109</f>
        <v>No</v>
      </c>
      <c r="E109" t="str">
        <f>Calendar!Q109</f>
        <v>No</v>
      </c>
      <c r="F109" t="str">
        <f>Calendar!I109</f>
        <v>Monday</v>
      </c>
      <c r="G109">
        <f>Calendar!S109</f>
        <v>2</v>
      </c>
      <c r="H109">
        <f>Calendar!T109</f>
        <v>2</v>
      </c>
      <c r="I109" s="27">
        <f>IF(VLOOKUP(A109,Calendar!$A$1:$R$1377,18,0)=0,0,IF(VLOOKUP(A109,Calendar!$A$1:$R$1377,18,0)=1,INDEX(Monthly_Pay_Model!$A$9:$D$40,MATCH(TEXT(A109,"dd"),Monthly_Pay_Model!$C$9:$C$39,0),4),IF(VLOOKUP(A109,Calendar!$A$1:$R$1377,18,0)=2,SUM(INDEX(Monthly_Pay_Model!$A$9:$D$40,MATCH(TEXT(A109,"dd"),Monthly_Pay_Model!$C$9:$C$39,0),4),INDEX(Monthly_Pay_Model!$A$9:$D$40,MATCH(TEXT(A110,"dd"),Monthly_Pay_Model!$C$9:$C$39,0),4)),IF(VLOOKUP(A109,Calendar!$A$1:$R$1377,18,0)=3,SUM(INDEX(Monthly_Pay_Model!$A$9:$D$40,MATCH(TEXT(A109,"dd"),Monthly_Pay_Model!$C$9:$C$39,0),4),INDEX(Monthly_Pay_Model!$A$9:$D$40,MATCH(TEXT(A110,"dd"),Monthly_Pay_Model!$C$9:$C$39,0),4),INDEX(Monthly_Pay_Model!$A$9:$D$40,MATCH(TEXT(A111,"dd"),Monthly_Pay_Model!$C$9:$C$39,0),4)),IF(VLOOKUP(A109,Calendar!$A$1:$R$1377,18,0)=4,SUM(INDEX(Monthly_Pay_Model!$A$9:$D$40,MATCH(TEXT(A109,"dd"),Monthly_Pay_Model!$C$9:$C$39,0),4),INDEX(Monthly_Pay_Model!$A$9:$D$40,MATCH(TEXT(A110,"dd"),Monthly_Pay_Model!$C$9:$C$39,0),4),INDEX(Monthly_Pay_Model!$A$9:$D$40,MATCH(TEXT(A111,"dd"),Monthly_Pay_Model!$C$9:$C$39,0),4),INDEX(Monthly_Pay_Model!$A$9:$D$40,MATCH(TEXT(A112,"dd"),Monthly_Pay_Model!$C$9:$C$39,0),4)),IF(VLOOKUP(A109,Calendar!$A$1:$R$1377,18,0)=5,SUM(INDEX(Monthly_Pay_Model!$A$9:$D$40,MATCH(TEXT(A109,"dd"),Monthly_Pay_Model!$C$9:$C$39,0),4),INDEX(Monthly_Pay_Model!$A$9:$D$40,MATCH(TEXT(A110,"dd"),Monthly_Pay_Model!$C$9:$C$39,0),4),INDEX(Monthly_Pay_Model!$A$9:$D$40,MATCH(TEXT(A111,"dd"),Monthly_Pay_Model!$C$9:$C$39,0),4),INDEX(Monthly_Pay_Model!$A$9:$D$40,MATCH(TEXT(A112,"dd"),Monthly_Pay_Model!$C$9:$C$39,0),4),INDEX(Monthly_Pay_Model!$A$9:$D$40,MATCH(TEXT(A113,"dd"),Monthly_Pay_Model!$C$9:$C$39,0),4)),))))))</f>
        <v>1.6251308900523558E-3</v>
      </c>
      <c r="J109" s="33">
        <f>IF(C109="Yes",Monthly_Pay_Model!$D$2,0)
+IF(Calendar!N109="Yes",Monthly_Pay_Model!$D$3,0)
+IF(D109="Yes",Monthly_Pay_Model!$D$4,0)
+IF(E109="Yes",Monthly_Pay_Model!$D$5,0)</f>
        <v>0</v>
      </c>
      <c r="K109" s="27">
        <f>IF(VLOOKUP($A109,Calendar!$A$1:$R$1377,18,0)=0,0,IF(VLOOKUP($A109,Calendar!$A$1:$R$1377,18,0)=1,IFERROR(INDEX(Weekly_Model!$D$2:$D$9,MATCH(F109,Weekly_Model!$A$2:$A$9,0)),0),IF(VLOOKUP($A109,Calendar!$A$1:$R$1377,18,0)=2,SUM(IFERROR(INDEX(Weekly_Model!$D$2:$D$9,MATCH(F109,Weekly_Model!$A$2:$A$9,0)),0),IFERROR(INDEX(Weekly_Model!$D$2:$D$9,MATCH(F110,Weekly_Model!$A$2:$A$9,0)),0)),IF(VLOOKUP($A109,Calendar!$A$1:$R$1377,18,0)=3,SUM(IFERROR(INDEX(Weekly_Model!$D$2:$D$9,MATCH(F109,Weekly_Model!$A$2:$A$9,0)),0),IFERROR(INDEX(Weekly_Model!$D$2:$D$9,MATCH(F110,Weekly_Model!$A$2:$A$9,0)),0),IFERROR(INDEX(Weekly_Model!$D$2:$D$9,MATCH(F111,Weekly_Model!$A$2:$A$9,0)),0)),IF(VLOOKUP($A109,Calendar!$A$1:$R$1377,18,0)=4,SUM(IFERROR(INDEX(Weekly_Model!$D$2:$D$9,MATCH(F109,Weekly_Model!$A$2:$A$9,0)),0),IFERROR(INDEX(Weekly_Model!$D$2:$D$9,MATCH(F110,Weekly_Model!$A$2:$A$9,0)),0),IFERROR(INDEX(Weekly_Model!$D$2:$D$9,MATCH(F111,Weekly_Model!$A$2:$A$9,0)),0),IFERROR(INDEX(Weekly_Model!$D$2:$D$9,MATCH(F112,Weekly_Model!$A$2:$A$9,0)),0)),IF(VLOOKUP($A109,Calendar!$A$1:$R$1377,18,0)=5,SUM(IFERROR(INDEX(Weekly_Model!$D$2:$D$9,MATCH(F109,Weekly_Model!$A$2:$A$9,0)),0),IFERROR(INDEX(Weekly_Model!$D$2:$D$9,MATCH(F110,Weekly_Model!$A$2:$A$9,0)),0),IFERROR(INDEX(Weekly_Model!$D$2:$D$9,MATCH(F111,Weekly_Model!$A$2:$A$9,0)),0),IFERROR(INDEX(Weekly_Model!$D$2:$D$9,MATCH(F112,Weekly_Model!$A$2:$A$9,0)),0),IFERROR(INDEX(Weekly_Model!$D$2:$D$9,MATCH(F113,Weekly_Model!$A$2:$A$9,0)),0)),0))))))</f>
        <v>2.3200000000000002E-2</v>
      </c>
      <c r="L109" s="27">
        <f>IF(VLOOKUP($A109,Calendar!$A$1:$R$1377,18,0)=0,0,IF(VLOOKUP($A109,Calendar!$A$1:$R$1377,18,0)=1,IFERROR(INDEX(Fortnightly_Model!$D$2:$D$15,MATCH(G109,Fortnightly_Model!$B$2:$B$15,0)),0),IF(VLOOKUP($A109,Calendar!$A$1:$R$1377,18,0)=2,SUM(IFERROR(INDEX(Fortnightly_Model!$D$2:$D$15,MATCH(G109,Fortnightly_Model!$B$2:$B$15,0)),0),IFERROR(INDEX(Fortnightly_Model!$D$2:$D$15,MATCH(G110,Fortnightly_Model!$B$2:$B$15,0)),0)),IF(VLOOKUP($A109,Calendar!$A$1:$R$1377,18,0)=3,SUM(IFERROR(INDEX(Fortnightly_Model!$D$2:$D$15,MATCH(G109,Fortnightly_Model!$B$2:$B$15,0)),0),IFERROR(INDEX(Fortnightly_Model!$D$2:$D$15,MATCH(G110,Fortnightly_Model!$B$2:$B$15,0)),0),IFERROR(INDEX(Fortnightly_Model!$D$2:$D$15,MATCH(G111,Fortnightly_Model!$B$2:$B$15,0)),0)),IF(VLOOKUP($A109,Calendar!$A$1:$R$1377,18,0)=4,SUM(IFERROR(INDEX(Fortnightly_Model!$D$2:$D$15,MATCH(G109,Fortnightly_Model!$B$2:$B$15,0)),0),IFERROR(INDEX(Fortnightly_Model!$D$2:$D$15,MATCH(G110,Fortnightly_Model!$B$2:$B$15,0)),0),IFERROR(INDEX(Fortnightly_Model!$D$2:$D$15,MATCH(G111,Fortnightly_Model!$B$2:$B$15,0)),0),IFERROR(INDEX(Fortnightly_Model!$D$2:$D$15,MATCH(G112,Fortnightly_Model!$B$2:$B$15,0)),0)),IF(VLOOKUP($A109,Calendar!$A$1:$R$1377,18,0)=5,SUM(IFERROR(INDEX(Fortnightly_Model!$D$2:$D$15,MATCH(G109,Fortnightly_Model!$B$2:$B$15,0)),0),IFERROR(INDEX(Fortnightly_Model!$D$2:$D$15,MATCH(G110,Fortnightly_Model!$B$2:$B$15,0)),0),IFERROR(INDEX(Fortnightly_Model!$D$2:$D$15,MATCH(G111,Fortnightly_Model!$B$2:$B$15,0)),0),IFERROR(INDEX(Fortnightly_Model!$D$2:$D$15,MATCH(G112,Fortnightly_Model!$B$2:$B$15,0)),0),IFERROR(INDEX(Fortnightly_Model!$D$2:$D$15,MATCH(G113,Fortnightly_Model!$B$2:$B$15,0)),0)),0))))))</f>
        <v>1.0714285499999999E-3</v>
      </c>
      <c r="M109" s="27">
        <f>IF(VLOOKUP($A109,Calendar!$A$1:$R$1377,18,0)=0,0,IF(VLOOKUP($A109,Calendar!$A$1:$R$1377,18,0)=1,IFERROR(INDEX(FourWeekly_Model!$D$2:$D$29,MATCH(H109,FourWeekly_Model!$B$2:$B$29,0)),0),IF(VLOOKUP($A109,Calendar!$A$1:$R$1377,18,0)=2,SUM(IFERROR(INDEX(FourWeekly_Model!$D$2:$D$29,MATCH(H109,FourWeekly_Model!$B$2:$B$29,0)),0),IFERROR(INDEX(FourWeekly_Model!$D$2:$D$29,MATCH(H110,FourWeekly_Model!$B$2:$B$29,0)),0)),IF(VLOOKUP($A109,Calendar!$A$1:$R$1377,18,0)=3,SUM(IFERROR(INDEX(FourWeekly_Model!$D$2:$D$29,MATCH(H109,FourWeekly_Model!$B$2:$B$29,0)),0),IFERROR(INDEX(FourWeekly_Model!$D$2:$D$29,MATCH(H110,FourWeekly_Model!$B$2:$B$29,0)),0),IFERROR(INDEX(FourWeekly_Model!$D$2:$D$29,MATCH(H111,FourWeekly_Model!$B$2:$B$29,0)),0)),IF(VLOOKUP($A109,Calendar!$A$1:$R$1377,18,0)=4,SUM(IFERROR(INDEX(FourWeekly_Model!$D$2:$D$29,MATCH(H109,FourWeekly_Model!$B$2:$B$29,0)),0),IFERROR(INDEX(FourWeekly_Model!$D$2:$D$29,MATCH(H110,FourWeekly_Model!$B$2:$B$29,0)),0),IFERROR(INDEX(FourWeekly_Model!$D$2:$D$29,MATCH(H111,FourWeekly_Model!$B$2:$B$29,0)),0),IFERROR(INDEX(FourWeekly_Model!$D$2:$D$29,MATCH(H112,FourWeekly_Model!$B$2:$B$29,0)),0)),IF(VLOOKUP($A109,Calendar!$A$1:$R$1377,18,0)=5,SUM(IFERROR(INDEX(FourWeekly_Model!$D$2:$D$29,MATCH(H109,FourWeekly_Model!$B$2:$B$29,0)),0),IFERROR(INDEX(FourWeekly_Model!$D$2:$D$29,MATCH(H110,FourWeekly_Model!$B$2:$B$29,0)),0),IFERROR(INDEX(FourWeekly_Model!$D$2:$D$29,MATCH(H111,FourWeekly_Model!$B$2:$B$29,0)),0),IFERROR(INDEX(FourWeekly_Model!$D$2:$D$29,MATCH(H112,FourWeekly_Model!$B$2:$B$29,0)),0),IFERROR(INDEX(FourWeekly_Model!$D$2:$D$29,MATCH(H113,FourWeekly_Model!$B$2:$B$29,0)),0)),0))))))</f>
        <v>3.3214289700000004E-3</v>
      </c>
      <c r="N109" s="27">
        <f>SUM(I109:M109)</f>
        <v>2.921798841005236E-2</v>
      </c>
      <c r="O109" s="28">
        <f>Population_Data!$B$8*N109</f>
        <v>885305.04882458656</v>
      </c>
      <c r="P109" s="27">
        <f>IF(VLOOKUP($A109,Calendar!$A$1:$R$1377,18,0)=0,0,IF(VLOOKUP($A109,Calendar!$A$1:$R$1377,18,0)=1,IFERROR(INDEX(Pension_Model!$D$2:$D$29,MATCH(H109,Pension_Model!$B$2:$B$29,0)),0),IF(VLOOKUP($A109,Calendar!$A$1:$R$1377,18,0)=2,SUM(IFERROR(INDEX(Pension_Model!$D$2:$D$29,MATCH(H109,Pension_Model!$B$2:$B$29,0)),0),IFERROR(INDEX(Pension_Model!$D$2:$D$29,MATCH(H110,Pension_Model!$B$2:$B$29,0)),0)),IF(VLOOKUP($A109,Calendar!$A$1:$R$1377,18,0)=3,SUM(IFERROR(INDEX(Pension_Model!$D$2:$D$29,MATCH(H109,Pension_Model!$B$2:$B$29,0)),0),IFERROR(INDEX(Pension_Model!$D$2:$D$29,MATCH(H110,Pension_Model!$B$2:$B$29,0)),0),IFERROR(INDEX(Pension_Model!$D$2:$D$29,MATCH(H111,Pension_Model!$B$2:$B$29,0)),0)),IF(VLOOKUP($A109,Calendar!$A$1:$R$1377,18,0)=4,SUM(IFERROR(INDEX(Pension_Model!$D$2:$D$29,MATCH(H109,Pension_Model!$B$2:$B$29,0)),0),IFERROR(INDEX(Pension_Model!$D$2:$D$29,MATCH(H110,Pension_Model!$B$2:$B$29,0)),0),IFERROR(INDEX(Pension_Model!$D$2:$D$29,MATCH(H111,Pension_Model!$B$2:$B$29,0)),0),IFERROR(INDEX(Pension_Model!$D$2:$D$29,MATCH(H112,Pension_Model!$B$2:$B$29,0)),0)),IF(VLOOKUP($A109,Calendar!$A$1:$R$1377,18,0)=5,SUM(IFERROR(INDEX(Pension_Model!$D$2:$D$29,MATCH(H109,Pension_Model!$B$2:$B$29,0)),0),IFERROR(INDEX(Pension_Model!$D$2:$D$29,MATCH(H110,Pension_Model!$B$2:$B$29,0)),0),IFERROR(INDEX(Pension_Model!$D$2:$D$29,MATCH(H111,Pension_Model!$B$2:$B$29,0)),0),IFERROR(INDEX(Pension_Model!$D$2:$D$29,MATCH(H112,Pension_Model!$B$2:$B$29,0)),0),IFERROR(INDEX(Pension_Model!$D$2:$D$29,MATCH(H113,Pension_Model!$B$2:$B$29,0)),0)),0))))))</f>
        <v>0.05</v>
      </c>
      <c r="Q109" s="28">
        <f>Population_Data!$B$15*P109</f>
        <v>660600</v>
      </c>
      <c r="S109">
        <f t="shared" si="1"/>
        <v>1545905.0488245864</v>
      </c>
      <c r="U109" s="33">
        <f>S109/Population_Data!$B$19</f>
        <v>2.8005526246822218E-2</v>
      </c>
    </row>
    <row r="110" spans="1:21">
      <c r="A110" s="25">
        <f>Calendar!A110</f>
        <v>46343</v>
      </c>
      <c r="B110" t="str">
        <f>Calendar!L110</f>
        <v>Yes</v>
      </c>
      <c r="C110" t="str">
        <f>Calendar!O110</f>
        <v>No</v>
      </c>
      <c r="D110" t="str">
        <f>Calendar!P110</f>
        <v>No</v>
      </c>
      <c r="E110" t="str">
        <f>Calendar!Q110</f>
        <v>No</v>
      </c>
      <c r="F110" t="str">
        <f>Calendar!I110</f>
        <v>Tuesday</v>
      </c>
      <c r="G110">
        <f>Calendar!S110</f>
        <v>3</v>
      </c>
      <c r="H110">
        <f>Calendar!T110</f>
        <v>3</v>
      </c>
      <c r="I110" s="27">
        <f>IF(VLOOKUP(A110,Calendar!$A$1:$R$1377,18,0)=0,0,IF(VLOOKUP(A110,Calendar!$A$1:$R$1377,18,0)=1,INDEX(Monthly_Pay_Model!$A$9:$D$40,MATCH(TEXT(A110,"dd"),Monthly_Pay_Model!$C$9:$C$39,0),4),IF(VLOOKUP(A110,Calendar!$A$1:$R$1377,18,0)=2,SUM(INDEX(Monthly_Pay_Model!$A$9:$D$40,MATCH(TEXT(A110,"dd"),Monthly_Pay_Model!$C$9:$C$39,0),4),INDEX(Monthly_Pay_Model!$A$9:$D$40,MATCH(TEXT(A111,"dd"),Monthly_Pay_Model!$C$9:$C$39,0),4)),IF(VLOOKUP(A110,Calendar!$A$1:$R$1377,18,0)=3,SUM(INDEX(Monthly_Pay_Model!$A$9:$D$40,MATCH(TEXT(A110,"dd"),Monthly_Pay_Model!$C$9:$C$39,0),4),INDEX(Monthly_Pay_Model!$A$9:$D$40,MATCH(TEXT(A111,"dd"),Monthly_Pay_Model!$C$9:$C$39,0),4),INDEX(Monthly_Pay_Model!$A$9:$D$40,MATCH(TEXT(A112,"dd"),Monthly_Pay_Model!$C$9:$C$39,0),4)),IF(VLOOKUP(A110,Calendar!$A$1:$R$1377,18,0)=4,SUM(INDEX(Monthly_Pay_Model!$A$9:$D$40,MATCH(TEXT(A110,"dd"),Monthly_Pay_Model!$C$9:$C$39,0),4),INDEX(Monthly_Pay_Model!$A$9:$D$40,MATCH(TEXT(A111,"dd"),Monthly_Pay_Model!$C$9:$C$39,0),4),INDEX(Monthly_Pay_Model!$A$9:$D$40,MATCH(TEXT(A112,"dd"),Monthly_Pay_Model!$C$9:$C$39,0),4),INDEX(Monthly_Pay_Model!$A$9:$D$40,MATCH(TEXT(A113,"dd"),Monthly_Pay_Model!$C$9:$C$39,0),4)),IF(VLOOKUP(A110,Calendar!$A$1:$R$1377,18,0)=5,SUM(INDEX(Monthly_Pay_Model!$A$9:$D$40,MATCH(TEXT(A110,"dd"),Monthly_Pay_Model!$C$9:$C$39,0),4),INDEX(Monthly_Pay_Model!$A$9:$D$40,MATCH(TEXT(A111,"dd"),Monthly_Pay_Model!$C$9:$C$39,0),4),INDEX(Monthly_Pay_Model!$A$9:$D$40,MATCH(TEXT(A112,"dd"),Monthly_Pay_Model!$C$9:$C$39,0),4),INDEX(Monthly_Pay_Model!$A$9:$D$40,MATCH(TEXT(A113,"dd"),Monthly_Pay_Model!$C$9:$C$39,0),4),INDEX(Monthly_Pay_Model!$A$9:$D$40,MATCH(TEXT(A114,"dd"),Monthly_Pay_Model!$C$9:$C$39,0),4)),))))))</f>
        <v>8.1256544502617792E-4</v>
      </c>
      <c r="J110" s="33">
        <f>IF(C110="Yes",Monthly_Pay_Model!$D$2,0)
+IF(Calendar!N110="Yes",Monthly_Pay_Model!$D$3,0)
+IF(D110="Yes",Monthly_Pay_Model!$D$4,0)
+IF(E110="Yes",Monthly_Pay_Model!$D$5,0)</f>
        <v>0</v>
      </c>
      <c r="K110" s="27">
        <f>IF(VLOOKUP($A110,Calendar!$A$1:$R$1377,18,0)=0,0,IF(VLOOKUP($A110,Calendar!$A$1:$R$1377,18,0)=1,IFERROR(INDEX(Weekly_Model!$D$2:$D$9,MATCH(F110,Weekly_Model!$A$2:$A$9,0)),0),IF(VLOOKUP($A110,Calendar!$A$1:$R$1377,18,0)=2,SUM(IFERROR(INDEX(Weekly_Model!$D$2:$D$9,MATCH(F110,Weekly_Model!$A$2:$A$9,0)),0),IFERROR(INDEX(Weekly_Model!$D$2:$D$9,MATCH(F111,Weekly_Model!$A$2:$A$9,0)),0)),IF(VLOOKUP($A110,Calendar!$A$1:$R$1377,18,0)=3,SUM(IFERROR(INDEX(Weekly_Model!$D$2:$D$9,MATCH(F110,Weekly_Model!$A$2:$A$9,0)),0),IFERROR(INDEX(Weekly_Model!$D$2:$D$9,MATCH(F111,Weekly_Model!$A$2:$A$9,0)),0),IFERROR(INDEX(Weekly_Model!$D$2:$D$9,MATCH(F112,Weekly_Model!$A$2:$A$9,0)),0)),IF(VLOOKUP($A110,Calendar!$A$1:$R$1377,18,0)=4,SUM(IFERROR(INDEX(Weekly_Model!$D$2:$D$9,MATCH(F110,Weekly_Model!$A$2:$A$9,0)),0),IFERROR(INDEX(Weekly_Model!$D$2:$D$9,MATCH(F111,Weekly_Model!$A$2:$A$9,0)),0),IFERROR(INDEX(Weekly_Model!$D$2:$D$9,MATCH(F112,Weekly_Model!$A$2:$A$9,0)),0),IFERROR(INDEX(Weekly_Model!$D$2:$D$9,MATCH(F113,Weekly_Model!$A$2:$A$9,0)),0)),IF(VLOOKUP($A110,Calendar!$A$1:$R$1377,18,0)=5,SUM(IFERROR(INDEX(Weekly_Model!$D$2:$D$9,MATCH(F110,Weekly_Model!$A$2:$A$9,0)),0),IFERROR(INDEX(Weekly_Model!$D$2:$D$9,MATCH(F111,Weekly_Model!$A$2:$A$9,0)),0),IFERROR(INDEX(Weekly_Model!$D$2:$D$9,MATCH(F112,Weekly_Model!$A$2:$A$9,0)),0),IFERROR(INDEX(Weekly_Model!$D$2:$D$9,MATCH(F113,Weekly_Model!$A$2:$A$9,0)),0),IFERROR(INDEX(Weekly_Model!$D$2:$D$9,MATCH(F114,Weekly_Model!$A$2:$A$9,0)),0)),0))))))</f>
        <v>2.3200000000000002E-2</v>
      </c>
      <c r="L110" s="27">
        <f>IF(VLOOKUP($A110,Calendar!$A$1:$R$1377,18,0)=0,0,IF(VLOOKUP($A110,Calendar!$A$1:$R$1377,18,0)=1,IFERROR(INDEX(Fortnightly_Model!$D$2:$D$15,MATCH(G110,Fortnightly_Model!$B$2:$B$15,0)),0),IF(VLOOKUP($A110,Calendar!$A$1:$R$1377,18,0)=2,SUM(IFERROR(INDEX(Fortnightly_Model!$D$2:$D$15,MATCH(G110,Fortnightly_Model!$B$2:$B$15,0)),0),IFERROR(INDEX(Fortnightly_Model!$D$2:$D$15,MATCH(G111,Fortnightly_Model!$B$2:$B$15,0)),0)),IF(VLOOKUP($A110,Calendar!$A$1:$R$1377,18,0)=3,SUM(IFERROR(INDEX(Fortnightly_Model!$D$2:$D$15,MATCH(G110,Fortnightly_Model!$B$2:$B$15,0)),0),IFERROR(INDEX(Fortnightly_Model!$D$2:$D$15,MATCH(G111,Fortnightly_Model!$B$2:$B$15,0)),0),IFERROR(INDEX(Fortnightly_Model!$D$2:$D$15,MATCH(G112,Fortnightly_Model!$B$2:$B$15,0)),0)),IF(VLOOKUP($A110,Calendar!$A$1:$R$1377,18,0)=4,SUM(IFERROR(INDEX(Fortnightly_Model!$D$2:$D$15,MATCH(G110,Fortnightly_Model!$B$2:$B$15,0)),0),IFERROR(INDEX(Fortnightly_Model!$D$2:$D$15,MATCH(G111,Fortnightly_Model!$B$2:$B$15,0)),0),IFERROR(INDEX(Fortnightly_Model!$D$2:$D$15,MATCH(G112,Fortnightly_Model!$B$2:$B$15,0)),0),IFERROR(INDEX(Fortnightly_Model!$D$2:$D$15,MATCH(G113,Fortnightly_Model!$B$2:$B$15,0)),0)),IF(VLOOKUP($A110,Calendar!$A$1:$R$1377,18,0)=5,SUM(IFERROR(INDEX(Fortnightly_Model!$D$2:$D$15,MATCH(G110,Fortnightly_Model!$B$2:$B$15,0)),0),IFERROR(INDEX(Fortnightly_Model!$D$2:$D$15,MATCH(G111,Fortnightly_Model!$B$2:$B$15,0)),0),IFERROR(INDEX(Fortnightly_Model!$D$2:$D$15,MATCH(G112,Fortnightly_Model!$B$2:$B$15,0)),0),IFERROR(INDEX(Fortnightly_Model!$D$2:$D$15,MATCH(G113,Fortnightly_Model!$B$2:$B$15,0)),0),IFERROR(INDEX(Fortnightly_Model!$D$2:$D$15,MATCH(G114,Fortnightly_Model!$B$2:$B$15,0)),0)),0))))))</f>
        <v>1.0714285499999999E-3</v>
      </c>
      <c r="M110" s="27">
        <f>IF(VLOOKUP($A110,Calendar!$A$1:$R$1377,18,0)=0,0,IF(VLOOKUP($A110,Calendar!$A$1:$R$1377,18,0)=1,IFERROR(INDEX(FourWeekly_Model!$D$2:$D$29,MATCH(H110,FourWeekly_Model!$B$2:$B$29,0)),0),IF(VLOOKUP($A110,Calendar!$A$1:$R$1377,18,0)=2,SUM(IFERROR(INDEX(FourWeekly_Model!$D$2:$D$29,MATCH(H110,FourWeekly_Model!$B$2:$B$29,0)),0),IFERROR(INDEX(FourWeekly_Model!$D$2:$D$29,MATCH(H111,FourWeekly_Model!$B$2:$B$29,0)),0)),IF(VLOOKUP($A110,Calendar!$A$1:$R$1377,18,0)=3,SUM(IFERROR(INDEX(FourWeekly_Model!$D$2:$D$29,MATCH(H110,FourWeekly_Model!$B$2:$B$29,0)),0),IFERROR(INDEX(FourWeekly_Model!$D$2:$D$29,MATCH(H111,FourWeekly_Model!$B$2:$B$29,0)),0),IFERROR(INDEX(FourWeekly_Model!$D$2:$D$29,MATCH(H112,FourWeekly_Model!$B$2:$B$29,0)),0)),IF(VLOOKUP($A110,Calendar!$A$1:$R$1377,18,0)=4,SUM(IFERROR(INDEX(FourWeekly_Model!$D$2:$D$29,MATCH(H110,FourWeekly_Model!$B$2:$B$29,0)),0),IFERROR(INDEX(FourWeekly_Model!$D$2:$D$29,MATCH(H111,FourWeekly_Model!$B$2:$B$29,0)),0),IFERROR(INDEX(FourWeekly_Model!$D$2:$D$29,MATCH(H112,FourWeekly_Model!$B$2:$B$29,0)),0),IFERROR(INDEX(FourWeekly_Model!$D$2:$D$29,MATCH(H113,FourWeekly_Model!$B$2:$B$29,0)),0)),IF(VLOOKUP($A110,Calendar!$A$1:$R$1377,18,0)=5,SUM(IFERROR(INDEX(FourWeekly_Model!$D$2:$D$29,MATCH(H110,FourWeekly_Model!$B$2:$B$29,0)),0),IFERROR(INDEX(FourWeekly_Model!$D$2:$D$29,MATCH(H111,FourWeekly_Model!$B$2:$B$29,0)),0),IFERROR(INDEX(FourWeekly_Model!$D$2:$D$29,MATCH(H112,FourWeekly_Model!$B$2:$B$29,0)),0),IFERROR(INDEX(FourWeekly_Model!$D$2:$D$29,MATCH(H113,FourWeekly_Model!$B$2:$B$29,0)),0),IFERROR(INDEX(FourWeekly_Model!$D$2:$D$29,MATCH(H114,FourWeekly_Model!$B$2:$B$29,0)),0)),0))))))</f>
        <v>3.3214289700000004E-3</v>
      </c>
      <c r="N110" s="27">
        <f>SUM(I110:M110)</f>
        <v>2.840542296502618E-2</v>
      </c>
      <c r="O110" s="28">
        <f>Population_Data!$B$8*N110</f>
        <v>860684.3158402933</v>
      </c>
      <c r="P110" s="27">
        <f>IF(VLOOKUP($A110,Calendar!$A$1:$R$1377,18,0)=0,0,IF(VLOOKUP($A110,Calendar!$A$1:$R$1377,18,0)=1,IFERROR(INDEX(Pension_Model!$D$2:$D$29,MATCH(H110,Pension_Model!$B$2:$B$29,0)),0),IF(VLOOKUP($A110,Calendar!$A$1:$R$1377,18,0)=2,SUM(IFERROR(INDEX(Pension_Model!$D$2:$D$29,MATCH(H110,Pension_Model!$B$2:$B$29,0)),0),IFERROR(INDEX(Pension_Model!$D$2:$D$29,MATCH(H111,Pension_Model!$B$2:$B$29,0)),0)),IF(VLOOKUP($A110,Calendar!$A$1:$R$1377,18,0)=3,SUM(IFERROR(INDEX(Pension_Model!$D$2:$D$29,MATCH(H110,Pension_Model!$B$2:$B$29,0)),0),IFERROR(INDEX(Pension_Model!$D$2:$D$29,MATCH(H111,Pension_Model!$B$2:$B$29,0)),0),IFERROR(INDEX(Pension_Model!$D$2:$D$29,MATCH(H112,Pension_Model!$B$2:$B$29,0)),0)),IF(VLOOKUP($A110,Calendar!$A$1:$R$1377,18,0)=4,SUM(IFERROR(INDEX(Pension_Model!$D$2:$D$29,MATCH(H110,Pension_Model!$B$2:$B$29,0)),0),IFERROR(INDEX(Pension_Model!$D$2:$D$29,MATCH(H111,Pension_Model!$B$2:$B$29,0)),0),IFERROR(INDEX(Pension_Model!$D$2:$D$29,MATCH(H112,Pension_Model!$B$2:$B$29,0)),0),IFERROR(INDEX(Pension_Model!$D$2:$D$29,MATCH(H113,Pension_Model!$B$2:$B$29,0)),0)),IF(VLOOKUP($A110,Calendar!$A$1:$R$1377,18,0)=5,SUM(IFERROR(INDEX(Pension_Model!$D$2:$D$29,MATCH(H110,Pension_Model!$B$2:$B$29,0)),0),IFERROR(INDEX(Pension_Model!$D$2:$D$29,MATCH(H111,Pension_Model!$B$2:$B$29,0)),0),IFERROR(INDEX(Pension_Model!$D$2:$D$29,MATCH(H112,Pension_Model!$B$2:$B$29,0)),0),IFERROR(INDEX(Pension_Model!$D$2:$D$29,MATCH(H113,Pension_Model!$B$2:$B$29,0)),0),IFERROR(INDEX(Pension_Model!$D$2:$D$29,MATCH(H114,Pension_Model!$B$2:$B$29,0)),0)),0))))))</f>
        <v>0.05</v>
      </c>
      <c r="Q110" s="28">
        <f>Population_Data!$B$15*P110</f>
        <v>660600</v>
      </c>
      <c r="S110">
        <f t="shared" si="1"/>
        <v>1521284.3158402932</v>
      </c>
      <c r="U110" s="33">
        <f>S110/Population_Data!$B$19</f>
        <v>2.7559498475367629E-2</v>
      </c>
    </row>
    <row r="111" spans="1:21">
      <c r="A111" s="25">
        <f>Calendar!A111</f>
        <v>46344</v>
      </c>
      <c r="B111" t="str">
        <f>Calendar!L111</f>
        <v>Yes</v>
      </c>
      <c r="C111" t="str">
        <f>Calendar!O111</f>
        <v>No</v>
      </c>
      <c r="D111" t="str">
        <f>Calendar!P111</f>
        <v>No</v>
      </c>
      <c r="E111" t="str">
        <f>Calendar!Q111</f>
        <v>No</v>
      </c>
      <c r="F111" t="str">
        <f>Calendar!I111</f>
        <v>Wednesday</v>
      </c>
      <c r="G111">
        <f>Calendar!S111</f>
        <v>4</v>
      </c>
      <c r="H111">
        <f>Calendar!T111</f>
        <v>4</v>
      </c>
      <c r="I111" s="27">
        <f>IF(VLOOKUP(A111,Calendar!$A$1:$R$1377,18,0)=0,0,IF(VLOOKUP(A111,Calendar!$A$1:$R$1377,18,0)=1,INDEX(Monthly_Pay_Model!$A$9:$D$40,MATCH(TEXT(A111,"dd"),Monthly_Pay_Model!$C$9:$C$39,0),4),IF(VLOOKUP(A111,Calendar!$A$1:$R$1377,18,0)=2,SUM(INDEX(Monthly_Pay_Model!$A$9:$D$40,MATCH(TEXT(A111,"dd"),Monthly_Pay_Model!$C$9:$C$39,0),4),INDEX(Monthly_Pay_Model!$A$9:$D$40,MATCH(TEXT(A112,"dd"),Monthly_Pay_Model!$C$9:$C$39,0),4)),IF(VLOOKUP(A111,Calendar!$A$1:$R$1377,18,0)=3,SUM(INDEX(Monthly_Pay_Model!$A$9:$D$40,MATCH(TEXT(A111,"dd"),Monthly_Pay_Model!$C$9:$C$39,0),4),INDEX(Monthly_Pay_Model!$A$9:$D$40,MATCH(TEXT(A112,"dd"),Monthly_Pay_Model!$C$9:$C$39,0),4),INDEX(Monthly_Pay_Model!$A$9:$D$40,MATCH(TEXT(A113,"dd"),Monthly_Pay_Model!$C$9:$C$39,0),4)),IF(VLOOKUP(A111,Calendar!$A$1:$R$1377,18,0)=4,SUM(INDEX(Monthly_Pay_Model!$A$9:$D$40,MATCH(TEXT(A111,"dd"),Monthly_Pay_Model!$C$9:$C$39,0),4),INDEX(Monthly_Pay_Model!$A$9:$D$40,MATCH(TEXT(A112,"dd"),Monthly_Pay_Model!$C$9:$C$39,0),4),INDEX(Monthly_Pay_Model!$A$9:$D$40,MATCH(TEXT(A113,"dd"),Monthly_Pay_Model!$C$9:$C$39,0),4),INDEX(Monthly_Pay_Model!$A$9:$D$40,MATCH(TEXT(A114,"dd"),Monthly_Pay_Model!$C$9:$C$39,0),4)),IF(VLOOKUP(A111,Calendar!$A$1:$R$1377,18,0)=5,SUM(INDEX(Monthly_Pay_Model!$A$9:$D$40,MATCH(TEXT(A111,"dd"),Monthly_Pay_Model!$C$9:$C$39,0),4),INDEX(Monthly_Pay_Model!$A$9:$D$40,MATCH(TEXT(A112,"dd"),Monthly_Pay_Model!$C$9:$C$39,0),4),INDEX(Monthly_Pay_Model!$A$9:$D$40,MATCH(TEXT(A113,"dd"),Monthly_Pay_Model!$C$9:$C$39,0),4),INDEX(Monthly_Pay_Model!$A$9:$D$40,MATCH(TEXT(A114,"dd"),Monthly_Pay_Model!$C$9:$C$39,0),4),INDEX(Monthly_Pay_Model!$A$9:$D$40,MATCH(TEXT(A115,"dd"),Monthly_Pay_Model!$C$9:$C$39,0),4)),))))))</f>
        <v>2.4376963350785331E-3</v>
      </c>
      <c r="J111" s="33">
        <f>IF(C111="Yes",Monthly_Pay_Model!$D$2,0)
+IF(Calendar!N111="Yes",Monthly_Pay_Model!$D$3,0)
+IF(D111="Yes",Monthly_Pay_Model!$D$4,0)
+IF(E111="Yes",Monthly_Pay_Model!$D$5,0)</f>
        <v>0</v>
      </c>
      <c r="K111" s="27">
        <f>IF(VLOOKUP($A111,Calendar!$A$1:$R$1377,18,0)=0,0,IF(VLOOKUP($A111,Calendar!$A$1:$R$1377,18,0)=1,IFERROR(INDEX(Weekly_Model!$D$2:$D$9,MATCH(F111,Weekly_Model!$A$2:$A$9,0)),0),IF(VLOOKUP($A111,Calendar!$A$1:$R$1377,18,0)=2,SUM(IFERROR(INDEX(Weekly_Model!$D$2:$D$9,MATCH(F111,Weekly_Model!$A$2:$A$9,0)),0),IFERROR(INDEX(Weekly_Model!$D$2:$D$9,MATCH(F112,Weekly_Model!$A$2:$A$9,0)),0)),IF(VLOOKUP($A111,Calendar!$A$1:$R$1377,18,0)=3,SUM(IFERROR(INDEX(Weekly_Model!$D$2:$D$9,MATCH(F111,Weekly_Model!$A$2:$A$9,0)),0),IFERROR(INDEX(Weekly_Model!$D$2:$D$9,MATCH(F112,Weekly_Model!$A$2:$A$9,0)),0),IFERROR(INDEX(Weekly_Model!$D$2:$D$9,MATCH(F113,Weekly_Model!$A$2:$A$9,0)),0)),IF(VLOOKUP($A111,Calendar!$A$1:$R$1377,18,0)=4,SUM(IFERROR(INDEX(Weekly_Model!$D$2:$D$9,MATCH(F111,Weekly_Model!$A$2:$A$9,0)),0),IFERROR(INDEX(Weekly_Model!$D$2:$D$9,MATCH(F112,Weekly_Model!$A$2:$A$9,0)),0),IFERROR(INDEX(Weekly_Model!$D$2:$D$9,MATCH(F113,Weekly_Model!$A$2:$A$9,0)),0),IFERROR(INDEX(Weekly_Model!$D$2:$D$9,MATCH(F114,Weekly_Model!$A$2:$A$9,0)),0)),IF(VLOOKUP($A111,Calendar!$A$1:$R$1377,18,0)=5,SUM(IFERROR(INDEX(Weekly_Model!$D$2:$D$9,MATCH(F111,Weekly_Model!$A$2:$A$9,0)),0),IFERROR(INDEX(Weekly_Model!$D$2:$D$9,MATCH(F112,Weekly_Model!$A$2:$A$9,0)),0),IFERROR(INDEX(Weekly_Model!$D$2:$D$9,MATCH(F113,Weekly_Model!$A$2:$A$9,0)),0),IFERROR(INDEX(Weekly_Model!$D$2:$D$9,MATCH(F114,Weekly_Model!$A$2:$A$9,0)),0),IFERROR(INDEX(Weekly_Model!$D$2:$D$9,MATCH(F115,Weekly_Model!$A$2:$A$9,0)),0)),0))))))</f>
        <v>2.3200000000000002E-2</v>
      </c>
      <c r="L111" s="27">
        <f>IF(VLOOKUP($A111,Calendar!$A$1:$R$1377,18,0)=0,0,IF(VLOOKUP($A111,Calendar!$A$1:$R$1377,18,0)=1,IFERROR(INDEX(Fortnightly_Model!$D$2:$D$15,MATCH(G111,Fortnightly_Model!$B$2:$B$15,0)),0),IF(VLOOKUP($A111,Calendar!$A$1:$R$1377,18,0)=2,SUM(IFERROR(INDEX(Fortnightly_Model!$D$2:$D$15,MATCH(G111,Fortnightly_Model!$B$2:$B$15,0)),0),IFERROR(INDEX(Fortnightly_Model!$D$2:$D$15,MATCH(G112,Fortnightly_Model!$B$2:$B$15,0)),0)),IF(VLOOKUP($A111,Calendar!$A$1:$R$1377,18,0)=3,SUM(IFERROR(INDEX(Fortnightly_Model!$D$2:$D$15,MATCH(G111,Fortnightly_Model!$B$2:$B$15,0)),0),IFERROR(INDEX(Fortnightly_Model!$D$2:$D$15,MATCH(G112,Fortnightly_Model!$B$2:$B$15,0)),0),IFERROR(INDEX(Fortnightly_Model!$D$2:$D$15,MATCH(G113,Fortnightly_Model!$B$2:$B$15,0)),0)),IF(VLOOKUP($A111,Calendar!$A$1:$R$1377,18,0)=4,SUM(IFERROR(INDEX(Fortnightly_Model!$D$2:$D$15,MATCH(G111,Fortnightly_Model!$B$2:$B$15,0)),0),IFERROR(INDEX(Fortnightly_Model!$D$2:$D$15,MATCH(G112,Fortnightly_Model!$B$2:$B$15,0)),0),IFERROR(INDEX(Fortnightly_Model!$D$2:$D$15,MATCH(G113,Fortnightly_Model!$B$2:$B$15,0)),0),IFERROR(INDEX(Fortnightly_Model!$D$2:$D$15,MATCH(G114,Fortnightly_Model!$B$2:$B$15,0)),0)),IF(VLOOKUP($A111,Calendar!$A$1:$R$1377,18,0)=5,SUM(IFERROR(INDEX(Fortnightly_Model!$D$2:$D$15,MATCH(G111,Fortnightly_Model!$B$2:$B$15,0)),0),IFERROR(INDEX(Fortnightly_Model!$D$2:$D$15,MATCH(G112,Fortnightly_Model!$B$2:$B$15,0)),0),IFERROR(INDEX(Fortnightly_Model!$D$2:$D$15,MATCH(G113,Fortnightly_Model!$B$2:$B$15,0)),0),IFERROR(INDEX(Fortnightly_Model!$D$2:$D$15,MATCH(G114,Fortnightly_Model!$B$2:$B$15,0)),0),IFERROR(INDEX(Fortnightly_Model!$D$2:$D$15,MATCH(G115,Fortnightly_Model!$B$2:$B$15,0)),0)),0))))))</f>
        <v>1.0714285499999999E-3</v>
      </c>
      <c r="M111" s="27">
        <f>IF(VLOOKUP($A111,Calendar!$A$1:$R$1377,18,0)=0,0,IF(VLOOKUP($A111,Calendar!$A$1:$R$1377,18,0)=1,IFERROR(INDEX(FourWeekly_Model!$D$2:$D$29,MATCH(H111,FourWeekly_Model!$B$2:$B$29,0)),0),IF(VLOOKUP($A111,Calendar!$A$1:$R$1377,18,0)=2,SUM(IFERROR(INDEX(FourWeekly_Model!$D$2:$D$29,MATCH(H111,FourWeekly_Model!$B$2:$B$29,0)),0),IFERROR(INDEX(FourWeekly_Model!$D$2:$D$29,MATCH(H112,FourWeekly_Model!$B$2:$B$29,0)),0)),IF(VLOOKUP($A111,Calendar!$A$1:$R$1377,18,0)=3,SUM(IFERROR(INDEX(FourWeekly_Model!$D$2:$D$29,MATCH(H111,FourWeekly_Model!$B$2:$B$29,0)),0),IFERROR(INDEX(FourWeekly_Model!$D$2:$D$29,MATCH(H112,FourWeekly_Model!$B$2:$B$29,0)),0),IFERROR(INDEX(FourWeekly_Model!$D$2:$D$29,MATCH(H113,FourWeekly_Model!$B$2:$B$29,0)),0)),IF(VLOOKUP($A111,Calendar!$A$1:$R$1377,18,0)=4,SUM(IFERROR(INDEX(FourWeekly_Model!$D$2:$D$29,MATCH(H111,FourWeekly_Model!$B$2:$B$29,0)),0),IFERROR(INDEX(FourWeekly_Model!$D$2:$D$29,MATCH(H112,FourWeekly_Model!$B$2:$B$29,0)),0),IFERROR(INDEX(FourWeekly_Model!$D$2:$D$29,MATCH(H113,FourWeekly_Model!$B$2:$B$29,0)),0),IFERROR(INDEX(FourWeekly_Model!$D$2:$D$29,MATCH(H114,FourWeekly_Model!$B$2:$B$29,0)),0)),IF(VLOOKUP($A111,Calendar!$A$1:$R$1377,18,0)=5,SUM(IFERROR(INDEX(FourWeekly_Model!$D$2:$D$29,MATCH(H111,FourWeekly_Model!$B$2:$B$29,0)),0),IFERROR(INDEX(FourWeekly_Model!$D$2:$D$29,MATCH(H112,FourWeekly_Model!$B$2:$B$29,0)),0),IFERROR(INDEX(FourWeekly_Model!$D$2:$D$29,MATCH(H113,FourWeekly_Model!$B$2:$B$29,0)),0),IFERROR(INDEX(FourWeekly_Model!$D$2:$D$29,MATCH(H114,FourWeekly_Model!$B$2:$B$29,0)),0),IFERROR(INDEX(FourWeekly_Model!$D$2:$D$29,MATCH(H115,FourWeekly_Model!$B$2:$B$29,0)),0)),0))))))</f>
        <v>3.3214289700000004E-3</v>
      </c>
      <c r="N111" s="27">
        <f>SUM(I111:M111)</f>
        <v>3.0030553855078537E-2</v>
      </c>
      <c r="O111" s="28">
        <f>Population_Data!$B$8*N111</f>
        <v>909925.78180887969</v>
      </c>
      <c r="P111" s="27">
        <f>IF(VLOOKUP($A111,Calendar!$A$1:$R$1377,18,0)=0,0,IF(VLOOKUP($A111,Calendar!$A$1:$R$1377,18,0)=1,IFERROR(INDEX(Pension_Model!$D$2:$D$29,MATCH(H111,Pension_Model!$B$2:$B$29,0)),0),IF(VLOOKUP($A111,Calendar!$A$1:$R$1377,18,0)=2,SUM(IFERROR(INDEX(Pension_Model!$D$2:$D$29,MATCH(H111,Pension_Model!$B$2:$B$29,0)),0),IFERROR(INDEX(Pension_Model!$D$2:$D$29,MATCH(H112,Pension_Model!$B$2:$B$29,0)),0)),IF(VLOOKUP($A111,Calendar!$A$1:$R$1377,18,0)=3,SUM(IFERROR(INDEX(Pension_Model!$D$2:$D$29,MATCH(H111,Pension_Model!$B$2:$B$29,0)),0),IFERROR(INDEX(Pension_Model!$D$2:$D$29,MATCH(H112,Pension_Model!$B$2:$B$29,0)),0),IFERROR(INDEX(Pension_Model!$D$2:$D$29,MATCH(H113,Pension_Model!$B$2:$B$29,0)),0)),IF(VLOOKUP($A111,Calendar!$A$1:$R$1377,18,0)=4,SUM(IFERROR(INDEX(Pension_Model!$D$2:$D$29,MATCH(H111,Pension_Model!$B$2:$B$29,0)),0),IFERROR(INDEX(Pension_Model!$D$2:$D$29,MATCH(H112,Pension_Model!$B$2:$B$29,0)),0),IFERROR(INDEX(Pension_Model!$D$2:$D$29,MATCH(H113,Pension_Model!$B$2:$B$29,0)),0),IFERROR(INDEX(Pension_Model!$D$2:$D$29,MATCH(H114,Pension_Model!$B$2:$B$29,0)),0)),IF(VLOOKUP($A111,Calendar!$A$1:$R$1377,18,0)=5,SUM(IFERROR(INDEX(Pension_Model!$D$2:$D$29,MATCH(H111,Pension_Model!$B$2:$B$29,0)),0),IFERROR(INDEX(Pension_Model!$D$2:$D$29,MATCH(H112,Pension_Model!$B$2:$B$29,0)),0),IFERROR(INDEX(Pension_Model!$D$2:$D$29,MATCH(H113,Pension_Model!$B$2:$B$29,0)),0),IFERROR(INDEX(Pension_Model!$D$2:$D$29,MATCH(H114,Pension_Model!$B$2:$B$29,0)),0),IFERROR(INDEX(Pension_Model!$D$2:$D$29,MATCH(H115,Pension_Model!$B$2:$B$29,0)),0)),0))))))</f>
        <v>0.05</v>
      </c>
      <c r="Q111" s="28">
        <f>Population_Data!$B$15*P111</f>
        <v>660600</v>
      </c>
      <c r="S111">
        <f t="shared" si="1"/>
        <v>1570525.7818088797</v>
      </c>
      <c r="U111" s="33">
        <f>S111/Population_Data!$B$19</f>
        <v>2.8451554018276808E-2</v>
      </c>
    </row>
    <row r="112" spans="1:21">
      <c r="A112" s="25">
        <f>Calendar!A112</f>
        <v>46345</v>
      </c>
      <c r="B112" t="str">
        <f>Calendar!L112</f>
        <v>Yes</v>
      </c>
      <c r="C112" t="str">
        <f>Calendar!O112</f>
        <v>No</v>
      </c>
      <c r="D112" t="str">
        <f>Calendar!P112</f>
        <v>No</v>
      </c>
      <c r="E112" t="str">
        <f>Calendar!Q112</f>
        <v>No</v>
      </c>
      <c r="F112" t="str">
        <f>Calendar!I112</f>
        <v>Thursday</v>
      </c>
      <c r="G112">
        <f>Calendar!S112</f>
        <v>5</v>
      </c>
      <c r="H112">
        <f>Calendar!T112</f>
        <v>5</v>
      </c>
      <c r="I112" s="27">
        <f>IF(VLOOKUP(A112,Calendar!$A$1:$R$1377,18,0)=0,0,IF(VLOOKUP(A112,Calendar!$A$1:$R$1377,18,0)=1,INDEX(Monthly_Pay_Model!$A$9:$D$40,MATCH(TEXT(A112,"dd"),Monthly_Pay_Model!$C$9:$C$39,0),4),IF(VLOOKUP(A112,Calendar!$A$1:$R$1377,18,0)=2,SUM(INDEX(Monthly_Pay_Model!$A$9:$D$40,MATCH(TEXT(A112,"dd"),Monthly_Pay_Model!$C$9:$C$39,0),4),INDEX(Monthly_Pay_Model!$A$9:$D$40,MATCH(TEXT(A113,"dd"),Monthly_Pay_Model!$C$9:$C$39,0),4)),IF(VLOOKUP(A112,Calendar!$A$1:$R$1377,18,0)=3,SUM(INDEX(Monthly_Pay_Model!$A$9:$D$40,MATCH(TEXT(A112,"dd"),Monthly_Pay_Model!$C$9:$C$39,0),4),INDEX(Monthly_Pay_Model!$A$9:$D$40,MATCH(TEXT(A113,"dd"),Monthly_Pay_Model!$C$9:$C$39,0),4),INDEX(Monthly_Pay_Model!$A$9:$D$40,MATCH(TEXT(A114,"dd"),Monthly_Pay_Model!$C$9:$C$39,0),4)),IF(VLOOKUP(A112,Calendar!$A$1:$R$1377,18,0)=4,SUM(INDEX(Monthly_Pay_Model!$A$9:$D$40,MATCH(TEXT(A112,"dd"),Monthly_Pay_Model!$C$9:$C$39,0),4),INDEX(Monthly_Pay_Model!$A$9:$D$40,MATCH(TEXT(A113,"dd"),Monthly_Pay_Model!$C$9:$C$39,0),4),INDEX(Monthly_Pay_Model!$A$9:$D$40,MATCH(TEXT(A114,"dd"),Monthly_Pay_Model!$C$9:$C$39,0),4),INDEX(Monthly_Pay_Model!$A$9:$D$40,MATCH(TEXT(A115,"dd"),Monthly_Pay_Model!$C$9:$C$39,0),4)),IF(VLOOKUP(A112,Calendar!$A$1:$R$1377,18,0)=5,SUM(INDEX(Monthly_Pay_Model!$A$9:$D$40,MATCH(TEXT(A112,"dd"),Monthly_Pay_Model!$C$9:$C$39,0),4),INDEX(Monthly_Pay_Model!$A$9:$D$40,MATCH(TEXT(A113,"dd"),Monthly_Pay_Model!$C$9:$C$39,0),4),INDEX(Monthly_Pay_Model!$A$9:$D$40,MATCH(TEXT(A114,"dd"),Monthly_Pay_Model!$C$9:$C$39,0),4),INDEX(Monthly_Pay_Model!$A$9:$D$40,MATCH(TEXT(A115,"dd"),Monthly_Pay_Model!$C$9:$C$39,0),4),INDEX(Monthly_Pay_Model!$A$9:$D$40,MATCH(TEXT(A116,"dd"),Monthly_Pay_Model!$C$9:$C$39,0),4)),))))))</f>
        <v>1.6251308900523558E-3</v>
      </c>
      <c r="J112" s="33">
        <f>IF(C112="Yes",Monthly_Pay_Model!$D$2,0)
+IF(Calendar!N112="Yes",Monthly_Pay_Model!$D$3,0)
+IF(D112="Yes",Monthly_Pay_Model!$D$4,0)
+IF(E112="Yes",Monthly_Pay_Model!$D$5,0)</f>
        <v>0</v>
      </c>
      <c r="K112" s="27">
        <f>IF(VLOOKUP($A112,Calendar!$A$1:$R$1377,18,0)=0,0,IF(VLOOKUP($A112,Calendar!$A$1:$R$1377,18,0)=1,IFERROR(INDEX(Weekly_Model!$D$2:$D$9,MATCH(F112,Weekly_Model!$A$2:$A$9,0)),0),IF(VLOOKUP($A112,Calendar!$A$1:$R$1377,18,0)=2,SUM(IFERROR(INDEX(Weekly_Model!$D$2:$D$9,MATCH(F112,Weekly_Model!$A$2:$A$9,0)),0),IFERROR(INDEX(Weekly_Model!$D$2:$D$9,MATCH(F113,Weekly_Model!$A$2:$A$9,0)),0)),IF(VLOOKUP($A112,Calendar!$A$1:$R$1377,18,0)=3,SUM(IFERROR(INDEX(Weekly_Model!$D$2:$D$9,MATCH(F112,Weekly_Model!$A$2:$A$9,0)),0),IFERROR(INDEX(Weekly_Model!$D$2:$D$9,MATCH(F113,Weekly_Model!$A$2:$A$9,0)),0),IFERROR(INDEX(Weekly_Model!$D$2:$D$9,MATCH(F114,Weekly_Model!$A$2:$A$9,0)),0)),IF(VLOOKUP($A112,Calendar!$A$1:$R$1377,18,0)=4,SUM(IFERROR(INDEX(Weekly_Model!$D$2:$D$9,MATCH(F112,Weekly_Model!$A$2:$A$9,0)),0),IFERROR(INDEX(Weekly_Model!$D$2:$D$9,MATCH(F113,Weekly_Model!$A$2:$A$9,0)),0),IFERROR(INDEX(Weekly_Model!$D$2:$D$9,MATCH(F114,Weekly_Model!$A$2:$A$9,0)),0),IFERROR(INDEX(Weekly_Model!$D$2:$D$9,MATCH(F115,Weekly_Model!$A$2:$A$9,0)),0)),IF(VLOOKUP($A112,Calendar!$A$1:$R$1377,18,0)=5,SUM(IFERROR(INDEX(Weekly_Model!$D$2:$D$9,MATCH(F112,Weekly_Model!$A$2:$A$9,0)),0),IFERROR(INDEX(Weekly_Model!$D$2:$D$9,MATCH(F113,Weekly_Model!$A$2:$A$9,0)),0),IFERROR(INDEX(Weekly_Model!$D$2:$D$9,MATCH(F114,Weekly_Model!$A$2:$A$9,0)),0),IFERROR(INDEX(Weekly_Model!$D$2:$D$9,MATCH(F115,Weekly_Model!$A$2:$A$9,0)),0),IFERROR(INDEX(Weekly_Model!$D$2:$D$9,MATCH(F116,Weekly_Model!$A$2:$A$9,0)),0)),0))))))</f>
        <v>2.3200000000000002E-2</v>
      </c>
      <c r="L112" s="27">
        <f>IF(VLOOKUP($A112,Calendar!$A$1:$R$1377,18,0)=0,0,IF(VLOOKUP($A112,Calendar!$A$1:$R$1377,18,0)=1,IFERROR(INDEX(Fortnightly_Model!$D$2:$D$15,MATCH(G112,Fortnightly_Model!$B$2:$B$15,0)),0),IF(VLOOKUP($A112,Calendar!$A$1:$R$1377,18,0)=2,SUM(IFERROR(INDEX(Fortnightly_Model!$D$2:$D$15,MATCH(G112,Fortnightly_Model!$B$2:$B$15,0)),0),IFERROR(INDEX(Fortnightly_Model!$D$2:$D$15,MATCH(G113,Fortnightly_Model!$B$2:$B$15,0)),0)),IF(VLOOKUP($A112,Calendar!$A$1:$R$1377,18,0)=3,SUM(IFERROR(INDEX(Fortnightly_Model!$D$2:$D$15,MATCH(G112,Fortnightly_Model!$B$2:$B$15,0)),0),IFERROR(INDEX(Fortnightly_Model!$D$2:$D$15,MATCH(G113,Fortnightly_Model!$B$2:$B$15,0)),0),IFERROR(INDEX(Fortnightly_Model!$D$2:$D$15,MATCH(G114,Fortnightly_Model!$B$2:$B$15,0)),0)),IF(VLOOKUP($A112,Calendar!$A$1:$R$1377,18,0)=4,SUM(IFERROR(INDEX(Fortnightly_Model!$D$2:$D$15,MATCH(G112,Fortnightly_Model!$B$2:$B$15,0)),0),IFERROR(INDEX(Fortnightly_Model!$D$2:$D$15,MATCH(G113,Fortnightly_Model!$B$2:$B$15,0)),0),IFERROR(INDEX(Fortnightly_Model!$D$2:$D$15,MATCH(G114,Fortnightly_Model!$B$2:$B$15,0)),0),IFERROR(INDEX(Fortnightly_Model!$D$2:$D$15,MATCH(G115,Fortnightly_Model!$B$2:$B$15,0)),0)),IF(VLOOKUP($A112,Calendar!$A$1:$R$1377,18,0)=5,SUM(IFERROR(INDEX(Fortnightly_Model!$D$2:$D$15,MATCH(G112,Fortnightly_Model!$B$2:$B$15,0)),0),IFERROR(INDEX(Fortnightly_Model!$D$2:$D$15,MATCH(G113,Fortnightly_Model!$B$2:$B$15,0)),0),IFERROR(INDEX(Fortnightly_Model!$D$2:$D$15,MATCH(G114,Fortnightly_Model!$B$2:$B$15,0)),0),IFERROR(INDEX(Fortnightly_Model!$D$2:$D$15,MATCH(G115,Fortnightly_Model!$B$2:$B$15,0)),0),IFERROR(INDEX(Fortnightly_Model!$D$2:$D$15,MATCH(G116,Fortnightly_Model!$B$2:$B$15,0)),0)),0))))))</f>
        <v>1.0714285499999999E-3</v>
      </c>
      <c r="M112" s="27">
        <f>IF(VLOOKUP($A112,Calendar!$A$1:$R$1377,18,0)=0,0,IF(VLOOKUP($A112,Calendar!$A$1:$R$1377,18,0)=1,IFERROR(INDEX(FourWeekly_Model!$D$2:$D$29,MATCH(H112,FourWeekly_Model!$B$2:$B$29,0)),0),IF(VLOOKUP($A112,Calendar!$A$1:$R$1377,18,0)=2,SUM(IFERROR(INDEX(FourWeekly_Model!$D$2:$D$29,MATCH(H112,FourWeekly_Model!$B$2:$B$29,0)),0),IFERROR(INDEX(FourWeekly_Model!$D$2:$D$29,MATCH(H113,FourWeekly_Model!$B$2:$B$29,0)),0)),IF(VLOOKUP($A112,Calendar!$A$1:$R$1377,18,0)=3,SUM(IFERROR(INDEX(FourWeekly_Model!$D$2:$D$29,MATCH(H112,FourWeekly_Model!$B$2:$B$29,0)),0),IFERROR(INDEX(FourWeekly_Model!$D$2:$D$29,MATCH(H113,FourWeekly_Model!$B$2:$B$29,0)),0),IFERROR(INDEX(FourWeekly_Model!$D$2:$D$29,MATCH(H114,FourWeekly_Model!$B$2:$B$29,0)),0)),IF(VLOOKUP($A112,Calendar!$A$1:$R$1377,18,0)=4,SUM(IFERROR(INDEX(FourWeekly_Model!$D$2:$D$29,MATCH(H112,FourWeekly_Model!$B$2:$B$29,0)),0),IFERROR(INDEX(FourWeekly_Model!$D$2:$D$29,MATCH(H113,FourWeekly_Model!$B$2:$B$29,0)),0),IFERROR(INDEX(FourWeekly_Model!$D$2:$D$29,MATCH(H114,FourWeekly_Model!$B$2:$B$29,0)),0),IFERROR(INDEX(FourWeekly_Model!$D$2:$D$29,MATCH(H115,FourWeekly_Model!$B$2:$B$29,0)),0)),IF(VLOOKUP($A112,Calendar!$A$1:$R$1377,18,0)=5,SUM(IFERROR(INDEX(FourWeekly_Model!$D$2:$D$29,MATCH(H112,FourWeekly_Model!$B$2:$B$29,0)),0),IFERROR(INDEX(FourWeekly_Model!$D$2:$D$29,MATCH(H113,FourWeekly_Model!$B$2:$B$29,0)),0),IFERROR(INDEX(FourWeekly_Model!$D$2:$D$29,MATCH(H114,FourWeekly_Model!$B$2:$B$29,0)),0),IFERROR(INDEX(FourWeekly_Model!$D$2:$D$29,MATCH(H115,FourWeekly_Model!$B$2:$B$29,0)),0),IFERROR(INDEX(FourWeekly_Model!$D$2:$D$29,MATCH(H116,FourWeekly_Model!$B$2:$B$29,0)),0)),0))))))</f>
        <v>3.3214289700000004E-3</v>
      </c>
      <c r="N112" s="27">
        <f>SUM(I112:M112)</f>
        <v>2.921798841005236E-2</v>
      </c>
      <c r="O112" s="28">
        <f>Population_Data!$B$8*N112</f>
        <v>885305.04882458656</v>
      </c>
      <c r="P112" s="27">
        <f>IF(VLOOKUP($A112,Calendar!$A$1:$R$1377,18,0)=0,0,IF(VLOOKUP($A112,Calendar!$A$1:$R$1377,18,0)=1,IFERROR(INDEX(Pension_Model!$D$2:$D$29,MATCH(H112,Pension_Model!$B$2:$B$29,0)),0),IF(VLOOKUP($A112,Calendar!$A$1:$R$1377,18,0)=2,SUM(IFERROR(INDEX(Pension_Model!$D$2:$D$29,MATCH(H112,Pension_Model!$B$2:$B$29,0)),0),IFERROR(INDEX(Pension_Model!$D$2:$D$29,MATCH(H113,Pension_Model!$B$2:$B$29,0)),0)),IF(VLOOKUP($A112,Calendar!$A$1:$R$1377,18,0)=3,SUM(IFERROR(INDEX(Pension_Model!$D$2:$D$29,MATCH(H112,Pension_Model!$B$2:$B$29,0)),0),IFERROR(INDEX(Pension_Model!$D$2:$D$29,MATCH(H113,Pension_Model!$B$2:$B$29,0)),0),IFERROR(INDEX(Pension_Model!$D$2:$D$29,MATCH(H114,Pension_Model!$B$2:$B$29,0)),0)),IF(VLOOKUP($A112,Calendar!$A$1:$R$1377,18,0)=4,SUM(IFERROR(INDEX(Pension_Model!$D$2:$D$29,MATCH(H112,Pension_Model!$B$2:$B$29,0)),0),IFERROR(INDEX(Pension_Model!$D$2:$D$29,MATCH(H113,Pension_Model!$B$2:$B$29,0)),0),IFERROR(INDEX(Pension_Model!$D$2:$D$29,MATCH(H114,Pension_Model!$B$2:$B$29,0)),0),IFERROR(INDEX(Pension_Model!$D$2:$D$29,MATCH(H115,Pension_Model!$B$2:$B$29,0)),0)),IF(VLOOKUP($A112,Calendar!$A$1:$R$1377,18,0)=5,SUM(IFERROR(INDEX(Pension_Model!$D$2:$D$29,MATCH(H112,Pension_Model!$B$2:$B$29,0)),0),IFERROR(INDEX(Pension_Model!$D$2:$D$29,MATCH(H113,Pension_Model!$B$2:$B$29,0)),0),IFERROR(INDEX(Pension_Model!$D$2:$D$29,MATCH(H114,Pension_Model!$B$2:$B$29,0)),0),IFERROR(INDEX(Pension_Model!$D$2:$D$29,MATCH(H115,Pension_Model!$B$2:$B$29,0)),0),IFERROR(INDEX(Pension_Model!$D$2:$D$29,MATCH(H116,Pension_Model!$B$2:$B$29,0)),0)),0))))))</f>
        <v>0.05</v>
      </c>
      <c r="Q112" s="28">
        <f>Population_Data!$B$15*P112</f>
        <v>660600</v>
      </c>
      <c r="S112">
        <f t="shared" si="1"/>
        <v>1545905.0488245864</v>
      </c>
      <c r="U112" s="33">
        <f>S112/Population_Data!$B$19</f>
        <v>2.8005526246822218E-2</v>
      </c>
    </row>
    <row r="113" spans="1:21">
      <c r="A113" s="25">
        <f>Calendar!A113</f>
        <v>46346</v>
      </c>
      <c r="B113" t="str">
        <f>Calendar!L113</f>
        <v>Yes</v>
      </c>
      <c r="C113" t="str">
        <f>Calendar!O113</f>
        <v>No</v>
      </c>
      <c r="D113" t="str">
        <f>Calendar!P113</f>
        <v>No</v>
      </c>
      <c r="E113" t="str">
        <f>Calendar!Q113</f>
        <v>No</v>
      </c>
      <c r="F113" t="str">
        <f>Calendar!I113</f>
        <v>Friday</v>
      </c>
      <c r="G113">
        <f>Calendar!S113</f>
        <v>6</v>
      </c>
      <c r="H113">
        <f>Calendar!T113</f>
        <v>6</v>
      </c>
      <c r="I113" s="27">
        <f>IF(VLOOKUP(A113,Calendar!$A$1:$R$1377,18,0)=0,0,IF(VLOOKUP(A113,Calendar!$A$1:$R$1377,18,0)=1,INDEX(Monthly_Pay_Model!$A$9:$D$40,MATCH(TEXT(A113,"dd"),Monthly_Pay_Model!$C$9:$C$39,0),4),IF(VLOOKUP(A113,Calendar!$A$1:$R$1377,18,0)=2,SUM(INDEX(Monthly_Pay_Model!$A$9:$D$40,MATCH(TEXT(A113,"dd"),Monthly_Pay_Model!$C$9:$C$39,0),4),INDEX(Monthly_Pay_Model!$A$9:$D$40,MATCH(TEXT(A114,"dd"),Monthly_Pay_Model!$C$9:$C$39,0),4)),IF(VLOOKUP(A113,Calendar!$A$1:$R$1377,18,0)=3,SUM(INDEX(Monthly_Pay_Model!$A$9:$D$40,MATCH(TEXT(A113,"dd"),Monthly_Pay_Model!$C$9:$C$39,0),4),INDEX(Monthly_Pay_Model!$A$9:$D$40,MATCH(TEXT(A114,"dd"),Monthly_Pay_Model!$C$9:$C$39,0),4),INDEX(Monthly_Pay_Model!$A$9:$D$40,MATCH(TEXT(A115,"dd"),Monthly_Pay_Model!$C$9:$C$39,0),4)),IF(VLOOKUP(A113,Calendar!$A$1:$R$1377,18,0)=4,SUM(INDEX(Monthly_Pay_Model!$A$9:$D$40,MATCH(TEXT(A113,"dd"),Monthly_Pay_Model!$C$9:$C$39,0),4),INDEX(Monthly_Pay_Model!$A$9:$D$40,MATCH(TEXT(A114,"dd"),Monthly_Pay_Model!$C$9:$C$39,0),4),INDEX(Monthly_Pay_Model!$A$9:$D$40,MATCH(TEXT(A115,"dd"),Monthly_Pay_Model!$C$9:$C$39,0),4),INDEX(Monthly_Pay_Model!$A$9:$D$40,MATCH(TEXT(A116,"dd"),Monthly_Pay_Model!$C$9:$C$39,0),4)),IF(VLOOKUP(A113,Calendar!$A$1:$R$1377,18,0)=5,SUM(INDEX(Monthly_Pay_Model!$A$9:$D$40,MATCH(TEXT(A113,"dd"),Monthly_Pay_Model!$C$9:$C$39,0),4),INDEX(Monthly_Pay_Model!$A$9:$D$40,MATCH(TEXT(A114,"dd"),Monthly_Pay_Model!$C$9:$C$39,0),4),INDEX(Monthly_Pay_Model!$A$9:$D$40,MATCH(TEXT(A115,"dd"),Monthly_Pay_Model!$C$9:$C$39,0),4),INDEX(Monthly_Pay_Model!$A$9:$D$40,MATCH(TEXT(A116,"dd"),Monthly_Pay_Model!$C$9:$C$39,0),4),INDEX(Monthly_Pay_Model!$A$9:$D$40,MATCH(TEXT(A117,"dd"),Monthly_Pay_Model!$C$9:$C$39,0),4)),))))))</f>
        <v>1.6251308900523558E-2</v>
      </c>
      <c r="J113" s="33">
        <f>IF(C113="Yes",Monthly_Pay_Model!$D$2,0)
+IF(Calendar!N113="Yes",Monthly_Pay_Model!$D$3,0)
+IF(D113="Yes",Monthly_Pay_Model!$D$4,0)
+IF(E113="Yes",Monthly_Pay_Model!$D$5,0)</f>
        <v>0</v>
      </c>
      <c r="K113" s="27">
        <f>IF(VLOOKUP($A113,Calendar!$A$1:$R$1377,18,0)=0,0,IF(VLOOKUP($A113,Calendar!$A$1:$R$1377,18,0)=1,IFERROR(INDEX(Weekly_Model!$D$2:$D$9,MATCH(F113,Weekly_Model!$A$2:$A$9,0)),0),IF(VLOOKUP($A113,Calendar!$A$1:$R$1377,18,0)=2,SUM(IFERROR(INDEX(Weekly_Model!$D$2:$D$9,MATCH(F113,Weekly_Model!$A$2:$A$9,0)),0),IFERROR(INDEX(Weekly_Model!$D$2:$D$9,MATCH(F114,Weekly_Model!$A$2:$A$9,0)),0)),IF(VLOOKUP($A113,Calendar!$A$1:$R$1377,18,0)=3,SUM(IFERROR(INDEX(Weekly_Model!$D$2:$D$9,MATCH(F113,Weekly_Model!$A$2:$A$9,0)),0),IFERROR(INDEX(Weekly_Model!$D$2:$D$9,MATCH(F114,Weekly_Model!$A$2:$A$9,0)),0),IFERROR(INDEX(Weekly_Model!$D$2:$D$9,MATCH(F115,Weekly_Model!$A$2:$A$9,0)),0)),IF(VLOOKUP($A113,Calendar!$A$1:$R$1377,18,0)=4,SUM(IFERROR(INDEX(Weekly_Model!$D$2:$D$9,MATCH(F113,Weekly_Model!$A$2:$A$9,0)),0),IFERROR(INDEX(Weekly_Model!$D$2:$D$9,MATCH(F114,Weekly_Model!$A$2:$A$9,0)),0),IFERROR(INDEX(Weekly_Model!$D$2:$D$9,MATCH(F115,Weekly_Model!$A$2:$A$9,0)),0),IFERROR(INDEX(Weekly_Model!$D$2:$D$9,MATCH(F116,Weekly_Model!$A$2:$A$9,0)),0)),IF(VLOOKUP($A113,Calendar!$A$1:$R$1377,18,0)=5,SUM(IFERROR(INDEX(Weekly_Model!$D$2:$D$9,MATCH(F113,Weekly_Model!$A$2:$A$9,0)),0),IFERROR(INDEX(Weekly_Model!$D$2:$D$9,MATCH(F114,Weekly_Model!$A$2:$A$9,0)),0),IFERROR(INDEX(Weekly_Model!$D$2:$D$9,MATCH(F115,Weekly_Model!$A$2:$A$9,0)),0),IFERROR(INDEX(Weekly_Model!$D$2:$D$9,MATCH(F116,Weekly_Model!$A$2:$A$9,0)),0),IFERROR(INDEX(Weekly_Model!$D$2:$D$9,MATCH(F117,Weekly_Model!$A$2:$A$9,0)),0)),0))))))</f>
        <v>2.3200000000000002E-2</v>
      </c>
      <c r="L113" s="27">
        <f>IF(VLOOKUP($A113,Calendar!$A$1:$R$1377,18,0)=0,0,IF(VLOOKUP($A113,Calendar!$A$1:$R$1377,18,0)=1,IFERROR(INDEX(Fortnightly_Model!$D$2:$D$15,MATCH(G113,Fortnightly_Model!$B$2:$B$15,0)),0),IF(VLOOKUP($A113,Calendar!$A$1:$R$1377,18,0)=2,SUM(IFERROR(INDEX(Fortnightly_Model!$D$2:$D$15,MATCH(G113,Fortnightly_Model!$B$2:$B$15,0)),0),IFERROR(INDEX(Fortnightly_Model!$D$2:$D$15,MATCH(G114,Fortnightly_Model!$B$2:$B$15,0)),0)),IF(VLOOKUP($A113,Calendar!$A$1:$R$1377,18,0)=3,SUM(IFERROR(INDEX(Fortnightly_Model!$D$2:$D$15,MATCH(G113,Fortnightly_Model!$B$2:$B$15,0)),0),IFERROR(INDEX(Fortnightly_Model!$D$2:$D$15,MATCH(G114,Fortnightly_Model!$B$2:$B$15,0)),0),IFERROR(INDEX(Fortnightly_Model!$D$2:$D$15,MATCH(G115,Fortnightly_Model!$B$2:$B$15,0)),0)),IF(VLOOKUP($A113,Calendar!$A$1:$R$1377,18,0)=4,SUM(IFERROR(INDEX(Fortnightly_Model!$D$2:$D$15,MATCH(G113,Fortnightly_Model!$B$2:$B$15,0)),0),IFERROR(INDEX(Fortnightly_Model!$D$2:$D$15,MATCH(G114,Fortnightly_Model!$B$2:$B$15,0)),0),IFERROR(INDEX(Fortnightly_Model!$D$2:$D$15,MATCH(G115,Fortnightly_Model!$B$2:$B$15,0)),0),IFERROR(INDEX(Fortnightly_Model!$D$2:$D$15,MATCH(G116,Fortnightly_Model!$B$2:$B$15,0)),0)),IF(VLOOKUP($A113,Calendar!$A$1:$R$1377,18,0)=5,SUM(IFERROR(INDEX(Fortnightly_Model!$D$2:$D$15,MATCH(G113,Fortnightly_Model!$B$2:$B$15,0)),0),IFERROR(INDEX(Fortnightly_Model!$D$2:$D$15,MATCH(G114,Fortnightly_Model!$B$2:$B$15,0)),0),IFERROR(INDEX(Fortnightly_Model!$D$2:$D$15,MATCH(G115,Fortnightly_Model!$B$2:$B$15,0)),0),IFERROR(INDEX(Fortnightly_Model!$D$2:$D$15,MATCH(G116,Fortnightly_Model!$B$2:$B$15,0)),0),IFERROR(INDEX(Fortnightly_Model!$D$2:$D$15,MATCH(G117,Fortnightly_Model!$B$2:$B$15,0)),0)),0))))))</f>
        <v>3.2142856499999999E-3</v>
      </c>
      <c r="M113" s="27">
        <f>IF(VLOOKUP($A113,Calendar!$A$1:$R$1377,18,0)=0,0,IF(VLOOKUP($A113,Calendar!$A$1:$R$1377,18,0)=1,IFERROR(INDEX(FourWeekly_Model!$D$2:$D$29,MATCH(H113,FourWeekly_Model!$B$2:$B$29,0)),0),IF(VLOOKUP($A113,Calendar!$A$1:$R$1377,18,0)=2,SUM(IFERROR(INDEX(FourWeekly_Model!$D$2:$D$29,MATCH(H113,FourWeekly_Model!$B$2:$B$29,0)),0),IFERROR(INDEX(FourWeekly_Model!$D$2:$D$29,MATCH(H114,FourWeekly_Model!$B$2:$B$29,0)),0)),IF(VLOOKUP($A113,Calendar!$A$1:$R$1377,18,0)=3,SUM(IFERROR(INDEX(FourWeekly_Model!$D$2:$D$29,MATCH(H113,FourWeekly_Model!$B$2:$B$29,0)),0),IFERROR(INDEX(FourWeekly_Model!$D$2:$D$29,MATCH(H114,FourWeekly_Model!$B$2:$B$29,0)),0),IFERROR(INDEX(FourWeekly_Model!$D$2:$D$29,MATCH(H115,FourWeekly_Model!$B$2:$B$29,0)),0)),IF(VLOOKUP($A113,Calendar!$A$1:$R$1377,18,0)=4,SUM(IFERROR(INDEX(FourWeekly_Model!$D$2:$D$29,MATCH(H113,FourWeekly_Model!$B$2:$B$29,0)),0),IFERROR(INDEX(FourWeekly_Model!$D$2:$D$29,MATCH(H114,FourWeekly_Model!$B$2:$B$29,0)),0),IFERROR(INDEX(FourWeekly_Model!$D$2:$D$29,MATCH(H115,FourWeekly_Model!$B$2:$B$29,0)),0),IFERROR(INDEX(FourWeekly_Model!$D$2:$D$29,MATCH(H116,FourWeekly_Model!$B$2:$B$29,0)),0)),IF(VLOOKUP($A113,Calendar!$A$1:$R$1377,18,0)=5,SUM(IFERROR(INDEX(FourWeekly_Model!$D$2:$D$29,MATCH(H113,FourWeekly_Model!$B$2:$B$29,0)),0),IFERROR(INDEX(FourWeekly_Model!$D$2:$D$29,MATCH(H114,FourWeekly_Model!$B$2:$B$29,0)),0),IFERROR(INDEX(FourWeekly_Model!$D$2:$D$29,MATCH(H115,FourWeekly_Model!$B$2:$B$29,0)),0),IFERROR(INDEX(FourWeekly_Model!$D$2:$D$29,MATCH(H116,FourWeekly_Model!$B$2:$B$29,0)),0),IFERROR(INDEX(FourWeekly_Model!$D$2:$D$29,MATCH(H117,FourWeekly_Model!$B$2:$B$29,0)),0)),0))))))</f>
        <v>9.9642859800000011E-3</v>
      </c>
      <c r="N113" s="27">
        <f>SUM(I113:M113)</f>
        <v>5.2629880530523566E-2</v>
      </c>
      <c r="O113" s="28">
        <f>Population_Data!$B$8*N113</f>
        <v>1594685.380074864</v>
      </c>
      <c r="P113" s="27">
        <f>IF(VLOOKUP($A113,Calendar!$A$1:$R$1377,18,0)=0,0,IF(VLOOKUP($A113,Calendar!$A$1:$R$1377,18,0)=1,IFERROR(INDEX(Pension_Model!$D$2:$D$29,MATCH(H113,Pension_Model!$B$2:$B$29,0)),0),IF(VLOOKUP($A113,Calendar!$A$1:$R$1377,18,0)=2,SUM(IFERROR(INDEX(Pension_Model!$D$2:$D$29,MATCH(H113,Pension_Model!$B$2:$B$29,0)),0),IFERROR(INDEX(Pension_Model!$D$2:$D$29,MATCH(H114,Pension_Model!$B$2:$B$29,0)),0)),IF(VLOOKUP($A113,Calendar!$A$1:$R$1377,18,0)=3,SUM(IFERROR(INDEX(Pension_Model!$D$2:$D$29,MATCH(H113,Pension_Model!$B$2:$B$29,0)),0),IFERROR(INDEX(Pension_Model!$D$2:$D$29,MATCH(H114,Pension_Model!$B$2:$B$29,0)),0),IFERROR(INDEX(Pension_Model!$D$2:$D$29,MATCH(H115,Pension_Model!$B$2:$B$29,0)),0)),IF(VLOOKUP($A113,Calendar!$A$1:$R$1377,18,0)=4,SUM(IFERROR(INDEX(Pension_Model!$D$2:$D$29,MATCH(H113,Pension_Model!$B$2:$B$29,0)),0),IFERROR(INDEX(Pension_Model!$D$2:$D$29,MATCH(H114,Pension_Model!$B$2:$B$29,0)),0),IFERROR(INDEX(Pension_Model!$D$2:$D$29,MATCH(H115,Pension_Model!$B$2:$B$29,0)),0),IFERROR(INDEX(Pension_Model!$D$2:$D$29,MATCH(H116,Pension_Model!$B$2:$B$29,0)),0)),IF(VLOOKUP($A113,Calendar!$A$1:$R$1377,18,0)=5,SUM(IFERROR(INDEX(Pension_Model!$D$2:$D$29,MATCH(H113,Pension_Model!$B$2:$B$29,0)),0),IFERROR(INDEX(Pension_Model!$D$2:$D$29,MATCH(H114,Pension_Model!$B$2:$B$29,0)),0),IFERROR(INDEX(Pension_Model!$D$2:$D$29,MATCH(H115,Pension_Model!$B$2:$B$29,0)),0),IFERROR(INDEX(Pension_Model!$D$2:$D$29,MATCH(H116,Pension_Model!$B$2:$B$29,0)),0),IFERROR(INDEX(Pension_Model!$D$2:$D$29,MATCH(H117,Pension_Model!$B$2:$B$29,0)),0)),0))))))</f>
        <v>0.05</v>
      </c>
      <c r="Q113" s="28">
        <f>Population_Data!$B$15*P113</f>
        <v>660600</v>
      </c>
      <c r="S113">
        <f t="shared" si="1"/>
        <v>2255285.3800748643</v>
      </c>
      <c r="U113" s="33">
        <f>S113/Population_Data!$B$19</f>
        <v>4.085661920425479E-2</v>
      </c>
    </row>
    <row r="114" spans="1:21">
      <c r="A114" s="25">
        <f>Calendar!A114</f>
        <v>46347</v>
      </c>
      <c r="B114" t="str">
        <f>Calendar!L114</f>
        <v>No</v>
      </c>
      <c r="C114" t="str">
        <f>Calendar!O114</f>
        <v>No</v>
      </c>
      <c r="D114" t="str">
        <f>Calendar!P114</f>
        <v>No</v>
      </c>
      <c r="E114" t="str">
        <f>Calendar!Q114</f>
        <v>No</v>
      </c>
      <c r="F114" t="str">
        <f>Calendar!I114</f>
        <v>Saturday</v>
      </c>
      <c r="G114">
        <f>Calendar!S114</f>
        <v>7</v>
      </c>
      <c r="H114">
        <f>Calendar!T114</f>
        <v>7</v>
      </c>
      <c r="I114" s="27">
        <f>IF(VLOOKUP(A114,Calendar!$A$1:$R$1377,18,0)=0,0,IF(VLOOKUP(A114,Calendar!$A$1:$R$1377,18,0)=1,INDEX(Monthly_Pay_Model!$A$9:$D$40,MATCH(TEXT(A114,"dd"),Monthly_Pay_Model!$C$9:$C$39,0),4),IF(VLOOKUP(A114,Calendar!$A$1:$R$1377,18,0)=2,SUM(INDEX(Monthly_Pay_Model!$A$9:$D$40,MATCH(TEXT(A114,"dd"),Monthly_Pay_Model!$C$9:$C$39,0),4),INDEX(Monthly_Pay_Model!$A$9:$D$40,MATCH(TEXT(A115,"dd"),Monthly_Pay_Model!$C$9:$C$39,0),4)),IF(VLOOKUP(A114,Calendar!$A$1:$R$1377,18,0)=3,SUM(INDEX(Monthly_Pay_Model!$A$9:$D$40,MATCH(TEXT(A114,"dd"),Monthly_Pay_Model!$C$9:$C$39,0),4),INDEX(Monthly_Pay_Model!$A$9:$D$40,MATCH(TEXT(A115,"dd"),Monthly_Pay_Model!$C$9:$C$39,0),4),INDEX(Monthly_Pay_Model!$A$9:$D$40,MATCH(TEXT(A116,"dd"),Monthly_Pay_Model!$C$9:$C$39,0),4)),IF(VLOOKUP(A114,Calendar!$A$1:$R$1377,18,0)=4,SUM(INDEX(Monthly_Pay_Model!$A$9:$D$40,MATCH(TEXT(A114,"dd"),Monthly_Pay_Model!$C$9:$C$39,0),4),INDEX(Monthly_Pay_Model!$A$9:$D$40,MATCH(TEXT(A115,"dd"),Monthly_Pay_Model!$C$9:$C$39,0),4),INDEX(Monthly_Pay_Model!$A$9:$D$40,MATCH(TEXT(A116,"dd"),Monthly_Pay_Model!$C$9:$C$39,0),4),INDEX(Monthly_Pay_Model!$A$9:$D$40,MATCH(TEXT(A117,"dd"),Monthly_Pay_Model!$C$9:$C$39,0),4)),IF(VLOOKUP(A114,Calendar!$A$1:$R$1377,18,0)=5,SUM(INDEX(Monthly_Pay_Model!$A$9:$D$40,MATCH(TEXT(A114,"dd"),Monthly_Pay_Model!$C$9:$C$39,0),4),INDEX(Monthly_Pay_Model!$A$9:$D$40,MATCH(TEXT(A115,"dd"),Monthly_Pay_Model!$C$9:$C$39,0),4),INDEX(Monthly_Pay_Model!$A$9:$D$40,MATCH(TEXT(A116,"dd"),Monthly_Pay_Model!$C$9:$C$39,0),4),INDEX(Monthly_Pay_Model!$A$9:$D$40,MATCH(TEXT(A117,"dd"),Monthly_Pay_Model!$C$9:$C$39,0),4),INDEX(Monthly_Pay_Model!$A$9:$D$40,MATCH(TEXT(A118,"dd"),Monthly_Pay_Model!$C$9:$C$39,0),4)),))))))</f>
        <v>0</v>
      </c>
      <c r="J114" s="33">
        <f>IF(C114="Yes",Monthly_Pay_Model!$D$2,0)
+IF(Calendar!N114="Yes",Monthly_Pay_Model!$D$3,0)
+IF(D114="Yes",Monthly_Pay_Model!$D$4,0)
+IF(E114="Yes",Monthly_Pay_Model!$D$5,0)</f>
        <v>0</v>
      </c>
      <c r="K114" s="27">
        <f>IF(VLOOKUP($A114,Calendar!$A$1:$R$1377,18,0)=0,0,IF(VLOOKUP($A114,Calendar!$A$1:$R$1377,18,0)=1,IFERROR(INDEX(Weekly_Model!$D$2:$D$9,MATCH(F114,Weekly_Model!$A$2:$A$9,0)),0),IF(VLOOKUP($A114,Calendar!$A$1:$R$1377,18,0)=2,SUM(IFERROR(INDEX(Weekly_Model!$D$2:$D$9,MATCH(F114,Weekly_Model!$A$2:$A$9,0)),0),IFERROR(INDEX(Weekly_Model!$D$2:$D$9,MATCH(F115,Weekly_Model!$A$2:$A$9,0)),0)),IF(VLOOKUP($A114,Calendar!$A$1:$R$1377,18,0)=3,SUM(IFERROR(INDEX(Weekly_Model!$D$2:$D$9,MATCH(F114,Weekly_Model!$A$2:$A$9,0)),0),IFERROR(INDEX(Weekly_Model!$D$2:$D$9,MATCH(F115,Weekly_Model!$A$2:$A$9,0)),0),IFERROR(INDEX(Weekly_Model!$D$2:$D$9,MATCH(F116,Weekly_Model!$A$2:$A$9,0)),0)),IF(VLOOKUP($A114,Calendar!$A$1:$R$1377,18,0)=4,SUM(IFERROR(INDEX(Weekly_Model!$D$2:$D$9,MATCH(F114,Weekly_Model!$A$2:$A$9,0)),0),IFERROR(INDEX(Weekly_Model!$D$2:$D$9,MATCH(F115,Weekly_Model!$A$2:$A$9,0)),0),IFERROR(INDEX(Weekly_Model!$D$2:$D$9,MATCH(F116,Weekly_Model!$A$2:$A$9,0)),0),IFERROR(INDEX(Weekly_Model!$D$2:$D$9,MATCH(F117,Weekly_Model!$A$2:$A$9,0)),0)),IF(VLOOKUP($A114,Calendar!$A$1:$R$1377,18,0)=5,SUM(IFERROR(INDEX(Weekly_Model!$D$2:$D$9,MATCH(F114,Weekly_Model!$A$2:$A$9,0)),0),IFERROR(INDEX(Weekly_Model!$D$2:$D$9,MATCH(F115,Weekly_Model!$A$2:$A$9,0)),0),IFERROR(INDEX(Weekly_Model!$D$2:$D$9,MATCH(F116,Weekly_Model!$A$2:$A$9,0)),0),IFERROR(INDEX(Weekly_Model!$D$2:$D$9,MATCH(F117,Weekly_Model!$A$2:$A$9,0)),0),IFERROR(INDEX(Weekly_Model!$D$2:$D$9,MATCH(F118,Weekly_Model!$A$2:$A$9,0)),0)),0))))))</f>
        <v>0</v>
      </c>
      <c r="L114" s="27">
        <f>IF(VLOOKUP($A114,Calendar!$A$1:$R$1377,18,0)=0,0,IF(VLOOKUP($A114,Calendar!$A$1:$R$1377,18,0)=1,IFERROR(INDEX(Fortnightly_Model!$D$2:$D$15,MATCH(G114,Fortnightly_Model!$B$2:$B$15,0)),0),IF(VLOOKUP($A114,Calendar!$A$1:$R$1377,18,0)=2,SUM(IFERROR(INDEX(Fortnightly_Model!$D$2:$D$15,MATCH(G114,Fortnightly_Model!$B$2:$B$15,0)),0),IFERROR(INDEX(Fortnightly_Model!$D$2:$D$15,MATCH(G115,Fortnightly_Model!$B$2:$B$15,0)),0)),IF(VLOOKUP($A114,Calendar!$A$1:$R$1377,18,0)=3,SUM(IFERROR(INDEX(Fortnightly_Model!$D$2:$D$15,MATCH(G114,Fortnightly_Model!$B$2:$B$15,0)),0),IFERROR(INDEX(Fortnightly_Model!$D$2:$D$15,MATCH(G115,Fortnightly_Model!$B$2:$B$15,0)),0),IFERROR(INDEX(Fortnightly_Model!$D$2:$D$15,MATCH(G116,Fortnightly_Model!$B$2:$B$15,0)),0)),IF(VLOOKUP($A114,Calendar!$A$1:$R$1377,18,0)=4,SUM(IFERROR(INDEX(Fortnightly_Model!$D$2:$D$15,MATCH(G114,Fortnightly_Model!$B$2:$B$15,0)),0),IFERROR(INDEX(Fortnightly_Model!$D$2:$D$15,MATCH(G115,Fortnightly_Model!$B$2:$B$15,0)),0),IFERROR(INDEX(Fortnightly_Model!$D$2:$D$15,MATCH(G116,Fortnightly_Model!$B$2:$B$15,0)),0),IFERROR(INDEX(Fortnightly_Model!$D$2:$D$15,MATCH(G117,Fortnightly_Model!$B$2:$B$15,0)),0)),IF(VLOOKUP($A114,Calendar!$A$1:$R$1377,18,0)=5,SUM(IFERROR(INDEX(Fortnightly_Model!$D$2:$D$15,MATCH(G114,Fortnightly_Model!$B$2:$B$15,0)),0),IFERROR(INDEX(Fortnightly_Model!$D$2:$D$15,MATCH(G115,Fortnightly_Model!$B$2:$B$15,0)),0),IFERROR(INDEX(Fortnightly_Model!$D$2:$D$15,MATCH(G116,Fortnightly_Model!$B$2:$B$15,0)),0),IFERROR(INDEX(Fortnightly_Model!$D$2:$D$15,MATCH(G117,Fortnightly_Model!$B$2:$B$15,0)),0),IFERROR(INDEX(Fortnightly_Model!$D$2:$D$15,MATCH(G118,Fortnightly_Model!$B$2:$B$15,0)),0)),0))))))</f>
        <v>0</v>
      </c>
      <c r="M114" s="27">
        <f>IF(VLOOKUP($A114,Calendar!$A$1:$R$1377,18,0)=0,0,IF(VLOOKUP($A114,Calendar!$A$1:$R$1377,18,0)=1,IFERROR(INDEX(FourWeekly_Model!$D$2:$D$29,MATCH(H114,FourWeekly_Model!$B$2:$B$29,0)),0),IF(VLOOKUP($A114,Calendar!$A$1:$R$1377,18,0)=2,SUM(IFERROR(INDEX(FourWeekly_Model!$D$2:$D$29,MATCH(H114,FourWeekly_Model!$B$2:$B$29,0)),0),IFERROR(INDEX(FourWeekly_Model!$D$2:$D$29,MATCH(H115,FourWeekly_Model!$B$2:$B$29,0)),0)),IF(VLOOKUP($A114,Calendar!$A$1:$R$1377,18,0)=3,SUM(IFERROR(INDEX(FourWeekly_Model!$D$2:$D$29,MATCH(H114,FourWeekly_Model!$B$2:$B$29,0)),0),IFERROR(INDEX(FourWeekly_Model!$D$2:$D$29,MATCH(H115,FourWeekly_Model!$B$2:$B$29,0)),0),IFERROR(INDEX(FourWeekly_Model!$D$2:$D$29,MATCH(H116,FourWeekly_Model!$B$2:$B$29,0)),0)),IF(VLOOKUP($A114,Calendar!$A$1:$R$1377,18,0)=4,SUM(IFERROR(INDEX(FourWeekly_Model!$D$2:$D$29,MATCH(H114,FourWeekly_Model!$B$2:$B$29,0)),0),IFERROR(INDEX(FourWeekly_Model!$D$2:$D$29,MATCH(H115,FourWeekly_Model!$B$2:$B$29,0)),0),IFERROR(INDEX(FourWeekly_Model!$D$2:$D$29,MATCH(H116,FourWeekly_Model!$B$2:$B$29,0)),0),IFERROR(INDEX(FourWeekly_Model!$D$2:$D$29,MATCH(H117,FourWeekly_Model!$B$2:$B$29,0)),0)),IF(VLOOKUP($A114,Calendar!$A$1:$R$1377,18,0)=5,SUM(IFERROR(INDEX(FourWeekly_Model!$D$2:$D$29,MATCH(H114,FourWeekly_Model!$B$2:$B$29,0)),0),IFERROR(INDEX(FourWeekly_Model!$D$2:$D$29,MATCH(H115,FourWeekly_Model!$B$2:$B$29,0)),0),IFERROR(INDEX(FourWeekly_Model!$D$2:$D$29,MATCH(H116,FourWeekly_Model!$B$2:$B$29,0)),0),IFERROR(INDEX(FourWeekly_Model!$D$2:$D$29,MATCH(H117,FourWeekly_Model!$B$2:$B$29,0)),0),IFERROR(INDEX(FourWeekly_Model!$D$2:$D$29,MATCH(H118,FourWeekly_Model!$B$2:$B$29,0)),0)),0))))))</f>
        <v>0</v>
      </c>
      <c r="N114" s="27">
        <f>SUM(I114:M114)</f>
        <v>0</v>
      </c>
      <c r="O114" s="28">
        <f>Population_Data!$B$8*N114</f>
        <v>0</v>
      </c>
      <c r="P114" s="27">
        <f>IF(VLOOKUP($A114,Calendar!$A$1:$R$1377,18,0)=0,0,IF(VLOOKUP($A114,Calendar!$A$1:$R$1377,18,0)=1,IFERROR(INDEX(Pension_Model!$D$2:$D$29,MATCH(H114,Pension_Model!$B$2:$B$29,0)),0),IF(VLOOKUP($A114,Calendar!$A$1:$R$1377,18,0)=2,SUM(IFERROR(INDEX(Pension_Model!$D$2:$D$29,MATCH(H114,Pension_Model!$B$2:$B$29,0)),0),IFERROR(INDEX(Pension_Model!$D$2:$D$29,MATCH(H115,Pension_Model!$B$2:$B$29,0)),0)),IF(VLOOKUP($A114,Calendar!$A$1:$R$1377,18,0)=3,SUM(IFERROR(INDEX(Pension_Model!$D$2:$D$29,MATCH(H114,Pension_Model!$B$2:$B$29,0)),0),IFERROR(INDEX(Pension_Model!$D$2:$D$29,MATCH(H115,Pension_Model!$B$2:$B$29,0)),0),IFERROR(INDEX(Pension_Model!$D$2:$D$29,MATCH(H116,Pension_Model!$B$2:$B$29,0)),0)),IF(VLOOKUP($A114,Calendar!$A$1:$R$1377,18,0)=4,SUM(IFERROR(INDEX(Pension_Model!$D$2:$D$29,MATCH(H114,Pension_Model!$B$2:$B$29,0)),0),IFERROR(INDEX(Pension_Model!$D$2:$D$29,MATCH(H115,Pension_Model!$B$2:$B$29,0)),0),IFERROR(INDEX(Pension_Model!$D$2:$D$29,MATCH(H116,Pension_Model!$B$2:$B$29,0)),0),IFERROR(INDEX(Pension_Model!$D$2:$D$29,MATCH(H117,Pension_Model!$B$2:$B$29,0)),0)),IF(VLOOKUP($A114,Calendar!$A$1:$R$1377,18,0)=5,SUM(IFERROR(INDEX(Pension_Model!$D$2:$D$29,MATCH(H114,Pension_Model!$B$2:$B$29,0)),0),IFERROR(INDEX(Pension_Model!$D$2:$D$29,MATCH(H115,Pension_Model!$B$2:$B$29,0)),0),IFERROR(INDEX(Pension_Model!$D$2:$D$29,MATCH(H116,Pension_Model!$B$2:$B$29,0)),0),IFERROR(INDEX(Pension_Model!$D$2:$D$29,MATCH(H117,Pension_Model!$B$2:$B$29,0)),0),IFERROR(INDEX(Pension_Model!$D$2:$D$29,MATCH(H118,Pension_Model!$B$2:$B$29,0)),0)),0))))))</f>
        <v>0</v>
      </c>
      <c r="Q114" s="28">
        <f>Population_Data!$B$15*P114</f>
        <v>0</v>
      </c>
      <c r="S114">
        <f t="shared" si="1"/>
        <v>0</v>
      </c>
      <c r="U114" s="33">
        <f>S114/Population_Data!$B$19</f>
        <v>0</v>
      </c>
    </row>
    <row r="115" spans="1:21">
      <c r="A115" s="25">
        <f>Calendar!A115</f>
        <v>46348</v>
      </c>
      <c r="B115" t="str">
        <f>Calendar!L115</f>
        <v>No</v>
      </c>
      <c r="C115" t="str">
        <f>Calendar!O115</f>
        <v>No</v>
      </c>
      <c r="D115" t="str">
        <f>Calendar!P115</f>
        <v>No</v>
      </c>
      <c r="E115" t="str">
        <f>Calendar!Q115</f>
        <v>No</v>
      </c>
      <c r="F115" t="str">
        <f>Calendar!I115</f>
        <v>Sunday</v>
      </c>
      <c r="G115">
        <f>Calendar!S115</f>
        <v>8</v>
      </c>
      <c r="H115">
        <f>Calendar!T115</f>
        <v>8</v>
      </c>
      <c r="I115" s="27">
        <f>IF(VLOOKUP(A115,Calendar!$A$1:$R$1377,18,0)=0,0,IF(VLOOKUP(A115,Calendar!$A$1:$R$1377,18,0)=1,INDEX(Monthly_Pay_Model!$A$9:$D$40,MATCH(TEXT(A115,"dd"),Monthly_Pay_Model!$C$9:$C$39,0),4),IF(VLOOKUP(A115,Calendar!$A$1:$R$1377,18,0)=2,SUM(INDEX(Monthly_Pay_Model!$A$9:$D$40,MATCH(TEXT(A115,"dd"),Monthly_Pay_Model!$C$9:$C$39,0),4),INDEX(Monthly_Pay_Model!$A$9:$D$40,MATCH(TEXT(A116,"dd"),Monthly_Pay_Model!$C$9:$C$39,0),4)),IF(VLOOKUP(A115,Calendar!$A$1:$R$1377,18,0)=3,SUM(INDEX(Monthly_Pay_Model!$A$9:$D$40,MATCH(TEXT(A115,"dd"),Monthly_Pay_Model!$C$9:$C$39,0),4),INDEX(Monthly_Pay_Model!$A$9:$D$40,MATCH(TEXT(A116,"dd"),Monthly_Pay_Model!$C$9:$C$39,0),4),INDEX(Monthly_Pay_Model!$A$9:$D$40,MATCH(TEXT(A117,"dd"),Monthly_Pay_Model!$C$9:$C$39,0),4)),IF(VLOOKUP(A115,Calendar!$A$1:$R$1377,18,0)=4,SUM(INDEX(Monthly_Pay_Model!$A$9:$D$40,MATCH(TEXT(A115,"dd"),Monthly_Pay_Model!$C$9:$C$39,0),4),INDEX(Monthly_Pay_Model!$A$9:$D$40,MATCH(TEXT(A116,"dd"),Monthly_Pay_Model!$C$9:$C$39,0),4),INDEX(Monthly_Pay_Model!$A$9:$D$40,MATCH(TEXT(A117,"dd"),Monthly_Pay_Model!$C$9:$C$39,0),4),INDEX(Monthly_Pay_Model!$A$9:$D$40,MATCH(TEXT(A118,"dd"),Monthly_Pay_Model!$C$9:$C$39,0),4)),IF(VLOOKUP(A115,Calendar!$A$1:$R$1377,18,0)=5,SUM(INDEX(Monthly_Pay_Model!$A$9:$D$40,MATCH(TEXT(A115,"dd"),Monthly_Pay_Model!$C$9:$C$39,0),4),INDEX(Monthly_Pay_Model!$A$9:$D$40,MATCH(TEXT(A116,"dd"),Monthly_Pay_Model!$C$9:$C$39,0),4),INDEX(Monthly_Pay_Model!$A$9:$D$40,MATCH(TEXT(A117,"dd"),Monthly_Pay_Model!$C$9:$C$39,0),4),INDEX(Monthly_Pay_Model!$A$9:$D$40,MATCH(TEXT(A118,"dd"),Monthly_Pay_Model!$C$9:$C$39,0),4),INDEX(Monthly_Pay_Model!$A$9:$D$40,MATCH(TEXT(A119,"dd"),Monthly_Pay_Model!$C$9:$C$39,0),4)),))))))</f>
        <v>0</v>
      </c>
      <c r="J115" s="33">
        <f>IF(C115="Yes",Monthly_Pay_Model!$D$2,0)
+IF(Calendar!N115="Yes",Monthly_Pay_Model!$D$3,0)
+IF(D115="Yes",Monthly_Pay_Model!$D$4,0)
+IF(E115="Yes",Monthly_Pay_Model!$D$5,0)</f>
        <v>0</v>
      </c>
      <c r="K115" s="27">
        <f>IF(VLOOKUP($A115,Calendar!$A$1:$R$1377,18,0)=0,0,IF(VLOOKUP($A115,Calendar!$A$1:$R$1377,18,0)=1,IFERROR(INDEX(Weekly_Model!$D$2:$D$9,MATCH(F115,Weekly_Model!$A$2:$A$9,0)),0),IF(VLOOKUP($A115,Calendar!$A$1:$R$1377,18,0)=2,SUM(IFERROR(INDEX(Weekly_Model!$D$2:$D$9,MATCH(F115,Weekly_Model!$A$2:$A$9,0)),0),IFERROR(INDEX(Weekly_Model!$D$2:$D$9,MATCH(F116,Weekly_Model!$A$2:$A$9,0)),0)),IF(VLOOKUP($A115,Calendar!$A$1:$R$1377,18,0)=3,SUM(IFERROR(INDEX(Weekly_Model!$D$2:$D$9,MATCH(F115,Weekly_Model!$A$2:$A$9,0)),0),IFERROR(INDEX(Weekly_Model!$D$2:$D$9,MATCH(F116,Weekly_Model!$A$2:$A$9,0)),0),IFERROR(INDEX(Weekly_Model!$D$2:$D$9,MATCH(F117,Weekly_Model!$A$2:$A$9,0)),0)),IF(VLOOKUP($A115,Calendar!$A$1:$R$1377,18,0)=4,SUM(IFERROR(INDEX(Weekly_Model!$D$2:$D$9,MATCH(F115,Weekly_Model!$A$2:$A$9,0)),0),IFERROR(INDEX(Weekly_Model!$D$2:$D$9,MATCH(F116,Weekly_Model!$A$2:$A$9,0)),0),IFERROR(INDEX(Weekly_Model!$D$2:$D$9,MATCH(F117,Weekly_Model!$A$2:$A$9,0)),0),IFERROR(INDEX(Weekly_Model!$D$2:$D$9,MATCH(F118,Weekly_Model!$A$2:$A$9,0)),0)),IF(VLOOKUP($A115,Calendar!$A$1:$R$1377,18,0)=5,SUM(IFERROR(INDEX(Weekly_Model!$D$2:$D$9,MATCH(F115,Weekly_Model!$A$2:$A$9,0)),0),IFERROR(INDEX(Weekly_Model!$D$2:$D$9,MATCH(F116,Weekly_Model!$A$2:$A$9,0)),0),IFERROR(INDEX(Weekly_Model!$D$2:$D$9,MATCH(F117,Weekly_Model!$A$2:$A$9,0)),0),IFERROR(INDEX(Weekly_Model!$D$2:$D$9,MATCH(F118,Weekly_Model!$A$2:$A$9,0)),0),IFERROR(INDEX(Weekly_Model!$D$2:$D$9,MATCH(F119,Weekly_Model!$A$2:$A$9,0)),0)),0))))))</f>
        <v>0</v>
      </c>
      <c r="L115" s="27">
        <f>IF(VLOOKUP($A115,Calendar!$A$1:$R$1377,18,0)=0,0,IF(VLOOKUP($A115,Calendar!$A$1:$R$1377,18,0)=1,IFERROR(INDEX(Fortnightly_Model!$D$2:$D$15,MATCH(G115,Fortnightly_Model!$B$2:$B$15,0)),0),IF(VLOOKUP($A115,Calendar!$A$1:$R$1377,18,0)=2,SUM(IFERROR(INDEX(Fortnightly_Model!$D$2:$D$15,MATCH(G115,Fortnightly_Model!$B$2:$B$15,0)),0),IFERROR(INDEX(Fortnightly_Model!$D$2:$D$15,MATCH(G116,Fortnightly_Model!$B$2:$B$15,0)),0)),IF(VLOOKUP($A115,Calendar!$A$1:$R$1377,18,0)=3,SUM(IFERROR(INDEX(Fortnightly_Model!$D$2:$D$15,MATCH(G115,Fortnightly_Model!$B$2:$B$15,0)),0),IFERROR(INDEX(Fortnightly_Model!$D$2:$D$15,MATCH(G116,Fortnightly_Model!$B$2:$B$15,0)),0),IFERROR(INDEX(Fortnightly_Model!$D$2:$D$15,MATCH(G117,Fortnightly_Model!$B$2:$B$15,0)),0)),IF(VLOOKUP($A115,Calendar!$A$1:$R$1377,18,0)=4,SUM(IFERROR(INDEX(Fortnightly_Model!$D$2:$D$15,MATCH(G115,Fortnightly_Model!$B$2:$B$15,0)),0),IFERROR(INDEX(Fortnightly_Model!$D$2:$D$15,MATCH(G116,Fortnightly_Model!$B$2:$B$15,0)),0),IFERROR(INDEX(Fortnightly_Model!$D$2:$D$15,MATCH(G117,Fortnightly_Model!$B$2:$B$15,0)),0),IFERROR(INDEX(Fortnightly_Model!$D$2:$D$15,MATCH(G118,Fortnightly_Model!$B$2:$B$15,0)),0)),IF(VLOOKUP($A115,Calendar!$A$1:$R$1377,18,0)=5,SUM(IFERROR(INDEX(Fortnightly_Model!$D$2:$D$15,MATCH(G115,Fortnightly_Model!$B$2:$B$15,0)),0),IFERROR(INDEX(Fortnightly_Model!$D$2:$D$15,MATCH(G116,Fortnightly_Model!$B$2:$B$15,0)),0),IFERROR(INDEX(Fortnightly_Model!$D$2:$D$15,MATCH(G117,Fortnightly_Model!$B$2:$B$15,0)),0),IFERROR(INDEX(Fortnightly_Model!$D$2:$D$15,MATCH(G118,Fortnightly_Model!$B$2:$B$15,0)),0),IFERROR(INDEX(Fortnightly_Model!$D$2:$D$15,MATCH(G119,Fortnightly_Model!$B$2:$B$15,0)),0)),0))))))</f>
        <v>0</v>
      </c>
      <c r="M115" s="27">
        <f>IF(VLOOKUP($A115,Calendar!$A$1:$R$1377,18,0)=0,0,IF(VLOOKUP($A115,Calendar!$A$1:$R$1377,18,0)=1,IFERROR(INDEX(FourWeekly_Model!$D$2:$D$29,MATCH(H115,FourWeekly_Model!$B$2:$B$29,0)),0),IF(VLOOKUP($A115,Calendar!$A$1:$R$1377,18,0)=2,SUM(IFERROR(INDEX(FourWeekly_Model!$D$2:$D$29,MATCH(H115,FourWeekly_Model!$B$2:$B$29,0)),0),IFERROR(INDEX(FourWeekly_Model!$D$2:$D$29,MATCH(H116,FourWeekly_Model!$B$2:$B$29,0)),0)),IF(VLOOKUP($A115,Calendar!$A$1:$R$1377,18,0)=3,SUM(IFERROR(INDEX(FourWeekly_Model!$D$2:$D$29,MATCH(H115,FourWeekly_Model!$B$2:$B$29,0)),0),IFERROR(INDEX(FourWeekly_Model!$D$2:$D$29,MATCH(H116,FourWeekly_Model!$B$2:$B$29,0)),0),IFERROR(INDEX(FourWeekly_Model!$D$2:$D$29,MATCH(H117,FourWeekly_Model!$B$2:$B$29,0)),0)),IF(VLOOKUP($A115,Calendar!$A$1:$R$1377,18,0)=4,SUM(IFERROR(INDEX(FourWeekly_Model!$D$2:$D$29,MATCH(H115,FourWeekly_Model!$B$2:$B$29,0)),0),IFERROR(INDEX(FourWeekly_Model!$D$2:$D$29,MATCH(H116,FourWeekly_Model!$B$2:$B$29,0)),0),IFERROR(INDEX(FourWeekly_Model!$D$2:$D$29,MATCH(H117,FourWeekly_Model!$B$2:$B$29,0)),0),IFERROR(INDEX(FourWeekly_Model!$D$2:$D$29,MATCH(H118,FourWeekly_Model!$B$2:$B$29,0)),0)),IF(VLOOKUP($A115,Calendar!$A$1:$R$1377,18,0)=5,SUM(IFERROR(INDEX(FourWeekly_Model!$D$2:$D$29,MATCH(H115,FourWeekly_Model!$B$2:$B$29,0)),0),IFERROR(INDEX(FourWeekly_Model!$D$2:$D$29,MATCH(H116,FourWeekly_Model!$B$2:$B$29,0)),0),IFERROR(INDEX(FourWeekly_Model!$D$2:$D$29,MATCH(H117,FourWeekly_Model!$B$2:$B$29,0)),0),IFERROR(INDEX(FourWeekly_Model!$D$2:$D$29,MATCH(H118,FourWeekly_Model!$B$2:$B$29,0)),0),IFERROR(INDEX(FourWeekly_Model!$D$2:$D$29,MATCH(H119,FourWeekly_Model!$B$2:$B$29,0)),0)),0))))))</f>
        <v>0</v>
      </c>
      <c r="N115" s="27">
        <f>SUM(I115:M115)</f>
        <v>0</v>
      </c>
      <c r="O115" s="28">
        <f>Population_Data!$B$8*N115</f>
        <v>0</v>
      </c>
      <c r="P115" s="27">
        <f>IF(VLOOKUP($A115,Calendar!$A$1:$R$1377,18,0)=0,0,IF(VLOOKUP($A115,Calendar!$A$1:$R$1377,18,0)=1,IFERROR(INDEX(Pension_Model!$D$2:$D$29,MATCH(H115,Pension_Model!$B$2:$B$29,0)),0),IF(VLOOKUP($A115,Calendar!$A$1:$R$1377,18,0)=2,SUM(IFERROR(INDEX(Pension_Model!$D$2:$D$29,MATCH(H115,Pension_Model!$B$2:$B$29,0)),0),IFERROR(INDEX(Pension_Model!$D$2:$D$29,MATCH(H116,Pension_Model!$B$2:$B$29,0)),0)),IF(VLOOKUP($A115,Calendar!$A$1:$R$1377,18,0)=3,SUM(IFERROR(INDEX(Pension_Model!$D$2:$D$29,MATCH(H115,Pension_Model!$B$2:$B$29,0)),0),IFERROR(INDEX(Pension_Model!$D$2:$D$29,MATCH(H116,Pension_Model!$B$2:$B$29,0)),0),IFERROR(INDEX(Pension_Model!$D$2:$D$29,MATCH(H117,Pension_Model!$B$2:$B$29,0)),0)),IF(VLOOKUP($A115,Calendar!$A$1:$R$1377,18,0)=4,SUM(IFERROR(INDEX(Pension_Model!$D$2:$D$29,MATCH(H115,Pension_Model!$B$2:$B$29,0)),0),IFERROR(INDEX(Pension_Model!$D$2:$D$29,MATCH(H116,Pension_Model!$B$2:$B$29,0)),0),IFERROR(INDEX(Pension_Model!$D$2:$D$29,MATCH(H117,Pension_Model!$B$2:$B$29,0)),0),IFERROR(INDEX(Pension_Model!$D$2:$D$29,MATCH(H118,Pension_Model!$B$2:$B$29,0)),0)),IF(VLOOKUP($A115,Calendar!$A$1:$R$1377,18,0)=5,SUM(IFERROR(INDEX(Pension_Model!$D$2:$D$29,MATCH(H115,Pension_Model!$B$2:$B$29,0)),0),IFERROR(INDEX(Pension_Model!$D$2:$D$29,MATCH(H116,Pension_Model!$B$2:$B$29,0)),0),IFERROR(INDEX(Pension_Model!$D$2:$D$29,MATCH(H117,Pension_Model!$B$2:$B$29,0)),0),IFERROR(INDEX(Pension_Model!$D$2:$D$29,MATCH(H118,Pension_Model!$B$2:$B$29,0)),0),IFERROR(INDEX(Pension_Model!$D$2:$D$29,MATCH(H119,Pension_Model!$B$2:$B$29,0)),0)),0))))))</f>
        <v>0</v>
      </c>
      <c r="Q115" s="28">
        <f>Population_Data!$B$15*P115</f>
        <v>0</v>
      </c>
      <c r="S115">
        <f t="shared" si="1"/>
        <v>0</v>
      </c>
      <c r="U115" s="33">
        <f>S115/Population_Data!$B$19</f>
        <v>0</v>
      </c>
    </row>
    <row r="116" spans="1:21">
      <c r="A116" s="25">
        <f>Calendar!A116</f>
        <v>46349</v>
      </c>
      <c r="B116" t="str">
        <f>Calendar!L116</f>
        <v>Yes</v>
      </c>
      <c r="C116" t="str">
        <f>Calendar!O116</f>
        <v>No</v>
      </c>
      <c r="D116" t="str">
        <f>Calendar!P116</f>
        <v>No</v>
      </c>
      <c r="E116" t="str">
        <f>Calendar!Q116</f>
        <v>No</v>
      </c>
      <c r="F116" t="str">
        <f>Calendar!I116</f>
        <v>Monday</v>
      </c>
      <c r="G116">
        <f>Calendar!S116</f>
        <v>9</v>
      </c>
      <c r="H116">
        <f>Calendar!T116</f>
        <v>9</v>
      </c>
      <c r="I116" s="27">
        <f>IF(VLOOKUP(A116,Calendar!$A$1:$R$1377,18,0)=0,0,IF(VLOOKUP(A116,Calendar!$A$1:$R$1377,18,0)=1,INDEX(Monthly_Pay_Model!$A$9:$D$40,MATCH(TEXT(A116,"dd"),Monthly_Pay_Model!$C$9:$C$39,0),4),IF(VLOOKUP(A116,Calendar!$A$1:$R$1377,18,0)=2,SUM(INDEX(Monthly_Pay_Model!$A$9:$D$40,MATCH(TEXT(A116,"dd"),Monthly_Pay_Model!$C$9:$C$39,0),4),INDEX(Monthly_Pay_Model!$A$9:$D$40,MATCH(TEXT(A117,"dd"),Monthly_Pay_Model!$C$9:$C$39,0),4)),IF(VLOOKUP(A116,Calendar!$A$1:$R$1377,18,0)=3,SUM(INDEX(Monthly_Pay_Model!$A$9:$D$40,MATCH(TEXT(A116,"dd"),Monthly_Pay_Model!$C$9:$C$39,0),4),INDEX(Monthly_Pay_Model!$A$9:$D$40,MATCH(TEXT(A117,"dd"),Monthly_Pay_Model!$C$9:$C$39,0),4),INDEX(Monthly_Pay_Model!$A$9:$D$40,MATCH(TEXT(A118,"dd"),Monthly_Pay_Model!$C$9:$C$39,0),4)),IF(VLOOKUP(A116,Calendar!$A$1:$R$1377,18,0)=4,SUM(INDEX(Monthly_Pay_Model!$A$9:$D$40,MATCH(TEXT(A116,"dd"),Monthly_Pay_Model!$C$9:$C$39,0),4),INDEX(Monthly_Pay_Model!$A$9:$D$40,MATCH(TEXT(A117,"dd"),Monthly_Pay_Model!$C$9:$C$39,0),4),INDEX(Monthly_Pay_Model!$A$9:$D$40,MATCH(TEXT(A118,"dd"),Monthly_Pay_Model!$C$9:$C$39,0),4),INDEX(Monthly_Pay_Model!$A$9:$D$40,MATCH(TEXT(A119,"dd"),Monthly_Pay_Model!$C$9:$C$39,0),4)),IF(VLOOKUP(A116,Calendar!$A$1:$R$1377,18,0)=5,SUM(INDEX(Monthly_Pay_Model!$A$9:$D$40,MATCH(TEXT(A116,"dd"),Monthly_Pay_Model!$C$9:$C$39,0),4),INDEX(Monthly_Pay_Model!$A$9:$D$40,MATCH(TEXT(A117,"dd"),Monthly_Pay_Model!$C$9:$C$39,0),4),INDEX(Monthly_Pay_Model!$A$9:$D$40,MATCH(TEXT(A118,"dd"),Monthly_Pay_Model!$C$9:$C$39,0),4),INDEX(Monthly_Pay_Model!$A$9:$D$40,MATCH(TEXT(A119,"dd"),Monthly_Pay_Model!$C$9:$C$39,0),4),INDEX(Monthly_Pay_Model!$A$9:$D$40,MATCH(TEXT(A120,"dd"),Monthly_Pay_Model!$C$9:$C$39,0),4)),))))))</f>
        <v>4.0628272251308894E-3</v>
      </c>
      <c r="J116" s="33">
        <f>IF(C116="Yes",Monthly_Pay_Model!$D$2,0)
+IF(Calendar!N116="Yes",Monthly_Pay_Model!$D$3,0)
+IF(D116="Yes",Monthly_Pay_Model!$D$4,0)
+IF(E116="Yes",Monthly_Pay_Model!$D$5,0)</f>
        <v>0</v>
      </c>
      <c r="K116" s="27">
        <f>IF(VLOOKUP($A116,Calendar!$A$1:$R$1377,18,0)=0,0,IF(VLOOKUP($A116,Calendar!$A$1:$R$1377,18,0)=1,IFERROR(INDEX(Weekly_Model!$D$2:$D$9,MATCH(F116,Weekly_Model!$A$2:$A$9,0)),0),IF(VLOOKUP($A116,Calendar!$A$1:$R$1377,18,0)=2,SUM(IFERROR(INDEX(Weekly_Model!$D$2:$D$9,MATCH(F116,Weekly_Model!$A$2:$A$9,0)),0),IFERROR(INDEX(Weekly_Model!$D$2:$D$9,MATCH(F117,Weekly_Model!$A$2:$A$9,0)),0)),IF(VLOOKUP($A116,Calendar!$A$1:$R$1377,18,0)=3,SUM(IFERROR(INDEX(Weekly_Model!$D$2:$D$9,MATCH(F116,Weekly_Model!$A$2:$A$9,0)),0),IFERROR(INDEX(Weekly_Model!$D$2:$D$9,MATCH(F117,Weekly_Model!$A$2:$A$9,0)),0),IFERROR(INDEX(Weekly_Model!$D$2:$D$9,MATCH(F118,Weekly_Model!$A$2:$A$9,0)),0)),IF(VLOOKUP($A116,Calendar!$A$1:$R$1377,18,0)=4,SUM(IFERROR(INDEX(Weekly_Model!$D$2:$D$9,MATCH(F116,Weekly_Model!$A$2:$A$9,0)),0),IFERROR(INDEX(Weekly_Model!$D$2:$D$9,MATCH(F117,Weekly_Model!$A$2:$A$9,0)),0),IFERROR(INDEX(Weekly_Model!$D$2:$D$9,MATCH(F118,Weekly_Model!$A$2:$A$9,0)),0),IFERROR(INDEX(Weekly_Model!$D$2:$D$9,MATCH(F119,Weekly_Model!$A$2:$A$9,0)),0)),IF(VLOOKUP($A116,Calendar!$A$1:$R$1377,18,0)=5,SUM(IFERROR(INDEX(Weekly_Model!$D$2:$D$9,MATCH(F116,Weekly_Model!$A$2:$A$9,0)),0),IFERROR(INDEX(Weekly_Model!$D$2:$D$9,MATCH(F117,Weekly_Model!$A$2:$A$9,0)),0),IFERROR(INDEX(Weekly_Model!$D$2:$D$9,MATCH(F118,Weekly_Model!$A$2:$A$9,0)),0),IFERROR(INDEX(Weekly_Model!$D$2:$D$9,MATCH(F119,Weekly_Model!$A$2:$A$9,0)),0),IFERROR(INDEX(Weekly_Model!$D$2:$D$9,MATCH(F120,Weekly_Model!$A$2:$A$9,0)),0)),0))))))</f>
        <v>2.3200000000000002E-2</v>
      </c>
      <c r="L116" s="27">
        <f>IF(VLOOKUP($A116,Calendar!$A$1:$R$1377,18,0)=0,0,IF(VLOOKUP($A116,Calendar!$A$1:$R$1377,18,0)=1,IFERROR(INDEX(Fortnightly_Model!$D$2:$D$15,MATCH(G116,Fortnightly_Model!$B$2:$B$15,0)),0),IF(VLOOKUP($A116,Calendar!$A$1:$R$1377,18,0)=2,SUM(IFERROR(INDEX(Fortnightly_Model!$D$2:$D$15,MATCH(G116,Fortnightly_Model!$B$2:$B$15,0)),0),IFERROR(INDEX(Fortnightly_Model!$D$2:$D$15,MATCH(G117,Fortnightly_Model!$B$2:$B$15,0)),0)),IF(VLOOKUP($A116,Calendar!$A$1:$R$1377,18,0)=3,SUM(IFERROR(INDEX(Fortnightly_Model!$D$2:$D$15,MATCH(G116,Fortnightly_Model!$B$2:$B$15,0)),0),IFERROR(INDEX(Fortnightly_Model!$D$2:$D$15,MATCH(G117,Fortnightly_Model!$B$2:$B$15,0)),0),IFERROR(INDEX(Fortnightly_Model!$D$2:$D$15,MATCH(G118,Fortnightly_Model!$B$2:$B$15,0)),0)),IF(VLOOKUP($A116,Calendar!$A$1:$R$1377,18,0)=4,SUM(IFERROR(INDEX(Fortnightly_Model!$D$2:$D$15,MATCH(G116,Fortnightly_Model!$B$2:$B$15,0)),0),IFERROR(INDEX(Fortnightly_Model!$D$2:$D$15,MATCH(G117,Fortnightly_Model!$B$2:$B$15,0)),0),IFERROR(INDEX(Fortnightly_Model!$D$2:$D$15,MATCH(G118,Fortnightly_Model!$B$2:$B$15,0)),0),IFERROR(INDEX(Fortnightly_Model!$D$2:$D$15,MATCH(G119,Fortnightly_Model!$B$2:$B$15,0)),0)),IF(VLOOKUP($A116,Calendar!$A$1:$R$1377,18,0)=5,SUM(IFERROR(INDEX(Fortnightly_Model!$D$2:$D$15,MATCH(G116,Fortnightly_Model!$B$2:$B$15,0)),0),IFERROR(INDEX(Fortnightly_Model!$D$2:$D$15,MATCH(G117,Fortnightly_Model!$B$2:$B$15,0)),0),IFERROR(INDEX(Fortnightly_Model!$D$2:$D$15,MATCH(G118,Fortnightly_Model!$B$2:$B$15,0)),0),IFERROR(INDEX(Fortnightly_Model!$D$2:$D$15,MATCH(G119,Fortnightly_Model!$B$2:$B$15,0)),0),IFERROR(INDEX(Fortnightly_Model!$D$2:$D$15,MATCH(G120,Fortnightly_Model!$B$2:$B$15,0)),0)),0))))))</f>
        <v>1.0714285499999999E-3</v>
      </c>
      <c r="M116" s="27">
        <f>IF(VLOOKUP($A116,Calendar!$A$1:$R$1377,18,0)=0,0,IF(VLOOKUP($A116,Calendar!$A$1:$R$1377,18,0)=1,IFERROR(INDEX(FourWeekly_Model!$D$2:$D$29,MATCH(H116,FourWeekly_Model!$B$2:$B$29,0)),0),IF(VLOOKUP($A116,Calendar!$A$1:$R$1377,18,0)=2,SUM(IFERROR(INDEX(FourWeekly_Model!$D$2:$D$29,MATCH(H116,FourWeekly_Model!$B$2:$B$29,0)),0),IFERROR(INDEX(FourWeekly_Model!$D$2:$D$29,MATCH(H117,FourWeekly_Model!$B$2:$B$29,0)),0)),IF(VLOOKUP($A116,Calendar!$A$1:$R$1377,18,0)=3,SUM(IFERROR(INDEX(FourWeekly_Model!$D$2:$D$29,MATCH(H116,FourWeekly_Model!$B$2:$B$29,0)),0),IFERROR(INDEX(FourWeekly_Model!$D$2:$D$29,MATCH(H117,FourWeekly_Model!$B$2:$B$29,0)),0),IFERROR(INDEX(FourWeekly_Model!$D$2:$D$29,MATCH(H118,FourWeekly_Model!$B$2:$B$29,0)),0)),IF(VLOOKUP($A116,Calendar!$A$1:$R$1377,18,0)=4,SUM(IFERROR(INDEX(FourWeekly_Model!$D$2:$D$29,MATCH(H116,FourWeekly_Model!$B$2:$B$29,0)),0),IFERROR(INDEX(FourWeekly_Model!$D$2:$D$29,MATCH(H117,FourWeekly_Model!$B$2:$B$29,0)),0),IFERROR(INDEX(FourWeekly_Model!$D$2:$D$29,MATCH(H118,FourWeekly_Model!$B$2:$B$29,0)),0),IFERROR(INDEX(FourWeekly_Model!$D$2:$D$29,MATCH(H119,FourWeekly_Model!$B$2:$B$29,0)),0)),IF(VLOOKUP($A116,Calendar!$A$1:$R$1377,18,0)=5,SUM(IFERROR(INDEX(FourWeekly_Model!$D$2:$D$29,MATCH(H116,FourWeekly_Model!$B$2:$B$29,0)),0),IFERROR(INDEX(FourWeekly_Model!$D$2:$D$29,MATCH(H117,FourWeekly_Model!$B$2:$B$29,0)),0),IFERROR(INDEX(FourWeekly_Model!$D$2:$D$29,MATCH(H118,FourWeekly_Model!$B$2:$B$29,0)),0),IFERROR(INDEX(FourWeekly_Model!$D$2:$D$29,MATCH(H119,FourWeekly_Model!$B$2:$B$29,0)),0),IFERROR(INDEX(FourWeekly_Model!$D$2:$D$29,MATCH(H120,FourWeekly_Model!$B$2:$B$29,0)),0)),0))))))</f>
        <v>3.3214289700000004E-3</v>
      </c>
      <c r="N116" s="27">
        <f>SUM(I116:M116)</f>
        <v>3.1655684745130891E-2</v>
      </c>
      <c r="O116" s="28">
        <f>Population_Data!$B$8*N116</f>
        <v>959167.24777746596</v>
      </c>
      <c r="P116" s="27">
        <f>IF(VLOOKUP($A116,Calendar!$A$1:$R$1377,18,0)=0,0,IF(VLOOKUP($A116,Calendar!$A$1:$R$1377,18,0)=1,IFERROR(INDEX(Pension_Model!$D$2:$D$29,MATCH(H116,Pension_Model!$B$2:$B$29,0)),0),IF(VLOOKUP($A116,Calendar!$A$1:$R$1377,18,0)=2,SUM(IFERROR(INDEX(Pension_Model!$D$2:$D$29,MATCH(H116,Pension_Model!$B$2:$B$29,0)),0),IFERROR(INDEX(Pension_Model!$D$2:$D$29,MATCH(H117,Pension_Model!$B$2:$B$29,0)),0)),IF(VLOOKUP($A116,Calendar!$A$1:$R$1377,18,0)=3,SUM(IFERROR(INDEX(Pension_Model!$D$2:$D$29,MATCH(H116,Pension_Model!$B$2:$B$29,0)),0),IFERROR(INDEX(Pension_Model!$D$2:$D$29,MATCH(H117,Pension_Model!$B$2:$B$29,0)),0),IFERROR(INDEX(Pension_Model!$D$2:$D$29,MATCH(H118,Pension_Model!$B$2:$B$29,0)),0)),IF(VLOOKUP($A116,Calendar!$A$1:$R$1377,18,0)=4,SUM(IFERROR(INDEX(Pension_Model!$D$2:$D$29,MATCH(H116,Pension_Model!$B$2:$B$29,0)),0),IFERROR(INDEX(Pension_Model!$D$2:$D$29,MATCH(H117,Pension_Model!$B$2:$B$29,0)),0),IFERROR(INDEX(Pension_Model!$D$2:$D$29,MATCH(H118,Pension_Model!$B$2:$B$29,0)),0),IFERROR(INDEX(Pension_Model!$D$2:$D$29,MATCH(H119,Pension_Model!$B$2:$B$29,0)),0)),IF(VLOOKUP($A116,Calendar!$A$1:$R$1377,18,0)=5,SUM(IFERROR(INDEX(Pension_Model!$D$2:$D$29,MATCH(H116,Pension_Model!$B$2:$B$29,0)),0),IFERROR(INDEX(Pension_Model!$D$2:$D$29,MATCH(H117,Pension_Model!$B$2:$B$29,0)),0),IFERROR(INDEX(Pension_Model!$D$2:$D$29,MATCH(H118,Pension_Model!$B$2:$B$29,0)),0),IFERROR(INDEX(Pension_Model!$D$2:$D$29,MATCH(H119,Pension_Model!$B$2:$B$29,0)),0),IFERROR(INDEX(Pension_Model!$D$2:$D$29,MATCH(H120,Pension_Model!$B$2:$B$29,0)),0)),0))))))</f>
        <v>0.05</v>
      </c>
      <c r="Q116" s="28">
        <f>Population_Data!$B$15*P116</f>
        <v>660600</v>
      </c>
      <c r="S116">
        <f t="shared" si="1"/>
        <v>1619767.247777466</v>
      </c>
      <c r="U116" s="33">
        <f>S116/Population_Data!$B$19</f>
        <v>2.9343609561185979E-2</v>
      </c>
    </row>
    <row r="117" spans="1:21">
      <c r="A117" s="25">
        <f>Calendar!A117</f>
        <v>46350</v>
      </c>
      <c r="B117" t="str">
        <f>Calendar!L117</f>
        <v>Yes</v>
      </c>
      <c r="C117" t="str">
        <f>Calendar!O117</f>
        <v>No</v>
      </c>
      <c r="D117" t="str">
        <f>Calendar!P117</f>
        <v>No</v>
      </c>
      <c r="E117" t="str">
        <f>Calendar!Q117</f>
        <v>No</v>
      </c>
      <c r="F117" t="str">
        <f>Calendar!I117</f>
        <v>Tuesday</v>
      </c>
      <c r="G117">
        <f>Calendar!S117</f>
        <v>10</v>
      </c>
      <c r="H117">
        <f>Calendar!T117</f>
        <v>10</v>
      </c>
      <c r="I117" s="27">
        <f>IF(VLOOKUP(A117,Calendar!$A$1:$R$1377,18,0)=0,0,IF(VLOOKUP(A117,Calendar!$A$1:$R$1377,18,0)=1,INDEX(Monthly_Pay_Model!$A$9:$D$40,MATCH(TEXT(A117,"dd"),Monthly_Pay_Model!$C$9:$C$39,0),4),IF(VLOOKUP(A117,Calendar!$A$1:$R$1377,18,0)=2,SUM(INDEX(Monthly_Pay_Model!$A$9:$D$40,MATCH(TEXT(A117,"dd"),Monthly_Pay_Model!$C$9:$C$39,0),4),INDEX(Monthly_Pay_Model!$A$9:$D$40,MATCH(TEXT(A118,"dd"),Monthly_Pay_Model!$C$9:$C$39,0),4)),IF(VLOOKUP(A117,Calendar!$A$1:$R$1377,18,0)=3,SUM(INDEX(Monthly_Pay_Model!$A$9:$D$40,MATCH(TEXT(A117,"dd"),Monthly_Pay_Model!$C$9:$C$39,0),4),INDEX(Monthly_Pay_Model!$A$9:$D$40,MATCH(TEXT(A118,"dd"),Monthly_Pay_Model!$C$9:$C$39,0),4),INDEX(Monthly_Pay_Model!$A$9:$D$40,MATCH(TEXT(A119,"dd"),Monthly_Pay_Model!$C$9:$C$39,0),4)),IF(VLOOKUP(A117,Calendar!$A$1:$R$1377,18,0)=4,SUM(INDEX(Monthly_Pay_Model!$A$9:$D$40,MATCH(TEXT(A117,"dd"),Monthly_Pay_Model!$C$9:$C$39,0),4),INDEX(Monthly_Pay_Model!$A$9:$D$40,MATCH(TEXT(A118,"dd"),Monthly_Pay_Model!$C$9:$C$39,0),4),INDEX(Monthly_Pay_Model!$A$9:$D$40,MATCH(TEXT(A119,"dd"),Monthly_Pay_Model!$C$9:$C$39,0),4),INDEX(Monthly_Pay_Model!$A$9:$D$40,MATCH(TEXT(A120,"dd"),Monthly_Pay_Model!$C$9:$C$39,0),4)),IF(VLOOKUP(A117,Calendar!$A$1:$R$1377,18,0)=5,SUM(INDEX(Monthly_Pay_Model!$A$9:$D$40,MATCH(TEXT(A117,"dd"),Monthly_Pay_Model!$C$9:$C$39,0),4),INDEX(Monthly_Pay_Model!$A$9:$D$40,MATCH(TEXT(A118,"dd"),Monthly_Pay_Model!$C$9:$C$39,0),4),INDEX(Monthly_Pay_Model!$A$9:$D$40,MATCH(TEXT(A119,"dd"),Monthly_Pay_Model!$C$9:$C$39,0),4),INDEX(Monthly_Pay_Model!$A$9:$D$40,MATCH(TEXT(A120,"dd"),Monthly_Pay_Model!$C$9:$C$39,0),4),INDEX(Monthly_Pay_Model!$A$9:$D$40,MATCH(TEXT(A121,"dd"),Monthly_Pay_Model!$C$9:$C$39,0),4)),))))))</f>
        <v>7.3130890052356002E-3</v>
      </c>
      <c r="J117" s="33">
        <f>IF(C117="Yes",Monthly_Pay_Model!$D$2,0)
+IF(Calendar!N117="Yes",Monthly_Pay_Model!$D$3,0)
+IF(D117="Yes",Monthly_Pay_Model!$D$4,0)
+IF(E117="Yes",Monthly_Pay_Model!$D$5,0)</f>
        <v>0</v>
      </c>
      <c r="K117" s="27">
        <f>IF(VLOOKUP($A117,Calendar!$A$1:$R$1377,18,0)=0,0,IF(VLOOKUP($A117,Calendar!$A$1:$R$1377,18,0)=1,IFERROR(INDEX(Weekly_Model!$D$2:$D$9,MATCH(F117,Weekly_Model!$A$2:$A$9,0)),0),IF(VLOOKUP($A117,Calendar!$A$1:$R$1377,18,0)=2,SUM(IFERROR(INDEX(Weekly_Model!$D$2:$D$9,MATCH(F117,Weekly_Model!$A$2:$A$9,0)),0),IFERROR(INDEX(Weekly_Model!$D$2:$D$9,MATCH(F118,Weekly_Model!$A$2:$A$9,0)),0)),IF(VLOOKUP($A117,Calendar!$A$1:$R$1377,18,0)=3,SUM(IFERROR(INDEX(Weekly_Model!$D$2:$D$9,MATCH(F117,Weekly_Model!$A$2:$A$9,0)),0),IFERROR(INDEX(Weekly_Model!$D$2:$D$9,MATCH(F118,Weekly_Model!$A$2:$A$9,0)),0),IFERROR(INDEX(Weekly_Model!$D$2:$D$9,MATCH(F119,Weekly_Model!$A$2:$A$9,0)),0)),IF(VLOOKUP($A117,Calendar!$A$1:$R$1377,18,0)=4,SUM(IFERROR(INDEX(Weekly_Model!$D$2:$D$9,MATCH(F117,Weekly_Model!$A$2:$A$9,0)),0),IFERROR(INDEX(Weekly_Model!$D$2:$D$9,MATCH(F118,Weekly_Model!$A$2:$A$9,0)),0),IFERROR(INDEX(Weekly_Model!$D$2:$D$9,MATCH(F119,Weekly_Model!$A$2:$A$9,0)),0),IFERROR(INDEX(Weekly_Model!$D$2:$D$9,MATCH(F120,Weekly_Model!$A$2:$A$9,0)),0)),IF(VLOOKUP($A117,Calendar!$A$1:$R$1377,18,0)=5,SUM(IFERROR(INDEX(Weekly_Model!$D$2:$D$9,MATCH(F117,Weekly_Model!$A$2:$A$9,0)),0),IFERROR(INDEX(Weekly_Model!$D$2:$D$9,MATCH(F118,Weekly_Model!$A$2:$A$9,0)),0),IFERROR(INDEX(Weekly_Model!$D$2:$D$9,MATCH(F119,Weekly_Model!$A$2:$A$9,0)),0),IFERROR(INDEX(Weekly_Model!$D$2:$D$9,MATCH(F120,Weekly_Model!$A$2:$A$9,0)),0),IFERROR(INDEX(Weekly_Model!$D$2:$D$9,MATCH(F121,Weekly_Model!$A$2:$A$9,0)),0)),0))))))</f>
        <v>2.3200000000000002E-2</v>
      </c>
      <c r="L117" s="27">
        <f>IF(VLOOKUP($A117,Calendar!$A$1:$R$1377,18,0)=0,0,IF(VLOOKUP($A117,Calendar!$A$1:$R$1377,18,0)=1,IFERROR(INDEX(Fortnightly_Model!$D$2:$D$15,MATCH(G117,Fortnightly_Model!$B$2:$B$15,0)),0),IF(VLOOKUP($A117,Calendar!$A$1:$R$1377,18,0)=2,SUM(IFERROR(INDEX(Fortnightly_Model!$D$2:$D$15,MATCH(G117,Fortnightly_Model!$B$2:$B$15,0)),0),IFERROR(INDEX(Fortnightly_Model!$D$2:$D$15,MATCH(G118,Fortnightly_Model!$B$2:$B$15,0)),0)),IF(VLOOKUP($A117,Calendar!$A$1:$R$1377,18,0)=3,SUM(IFERROR(INDEX(Fortnightly_Model!$D$2:$D$15,MATCH(G117,Fortnightly_Model!$B$2:$B$15,0)),0),IFERROR(INDEX(Fortnightly_Model!$D$2:$D$15,MATCH(G118,Fortnightly_Model!$B$2:$B$15,0)),0),IFERROR(INDEX(Fortnightly_Model!$D$2:$D$15,MATCH(G119,Fortnightly_Model!$B$2:$B$15,0)),0)),IF(VLOOKUP($A117,Calendar!$A$1:$R$1377,18,0)=4,SUM(IFERROR(INDEX(Fortnightly_Model!$D$2:$D$15,MATCH(G117,Fortnightly_Model!$B$2:$B$15,0)),0),IFERROR(INDEX(Fortnightly_Model!$D$2:$D$15,MATCH(G118,Fortnightly_Model!$B$2:$B$15,0)),0),IFERROR(INDEX(Fortnightly_Model!$D$2:$D$15,MATCH(G119,Fortnightly_Model!$B$2:$B$15,0)),0),IFERROR(INDEX(Fortnightly_Model!$D$2:$D$15,MATCH(G120,Fortnightly_Model!$B$2:$B$15,0)),0)),IF(VLOOKUP($A117,Calendar!$A$1:$R$1377,18,0)=5,SUM(IFERROR(INDEX(Fortnightly_Model!$D$2:$D$15,MATCH(G117,Fortnightly_Model!$B$2:$B$15,0)),0),IFERROR(INDEX(Fortnightly_Model!$D$2:$D$15,MATCH(G118,Fortnightly_Model!$B$2:$B$15,0)),0),IFERROR(INDEX(Fortnightly_Model!$D$2:$D$15,MATCH(G119,Fortnightly_Model!$B$2:$B$15,0)),0),IFERROR(INDEX(Fortnightly_Model!$D$2:$D$15,MATCH(G120,Fortnightly_Model!$B$2:$B$15,0)),0),IFERROR(INDEX(Fortnightly_Model!$D$2:$D$15,MATCH(G121,Fortnightly_Model!$B$2:$B$15,0)),0)),0))))))</f>
        <v>1.0714285499999999E-3</v>
      </c>
      <c r="M117" s="27">
        <f>IF(VLOOKUP($A117,Calendar!$A$1:$R$1377,18,0)=0,0,IF(VLOOKUP($A117,Calendar!$A$1:$R$1377,18,0)=1,IFERROR(INDEX(FourWeekly_Model!$D$2:$D$29,MATCH(H117,FourWeekly_Model!$B$2:$B$29,0)),0),IF(VLOOKUP($A117,Calendar!$A$1:$R$1377,18,0)=2,SUM(IFERROR(INDEX(FourWeekly_Model!$D$2:$D$29,MATCH(H117,FourWeekly_Model!$B$2:$B$29,0)),0),IFERROR(INDEX(FourWeekly_Model!$D$2:$D$29,MATCH(H118,FourWeekly_Model!$B$2:$B$29,0)),0)),IF(VLOOKUP($A117,Calendar!$A$1:$R$1377,18,0)=3,SUM(IFERROR(INDEX(FourWeekly_Model!$D$2:$D$29,MATCH(H117,FourWeekly_Model!$B$2:$B$29,0)),0),IFERROR(INDEX(FourWeekly_Model!$D$2:$D$29,MATCH(H118,FourWeekly_Model!$B$2:$B$29,0)),0),IFERROR(INDEX(FourWeekly_Model!$D$2:$D$29,MATCH(H119,FourWeekly_Model!$B$2:$B$29,0)),0)),IF(VLOOKUP($A117,Calendar!$A$1:$R$1377,18,0)=4,SUM(IFERROR(INDEX(FourWeekly_Model!$D$2:$D$29,MATCH(H117,FourWeekly_Model!$B$2:$B$29,0)),0),IFERROR(INDEX(FourWeekly_Model!$D$2:$D$29,MATCH(H118,FourWeekly_Model!$B$2:$B$29,0)),0),IFERROR(INDEX(FourWeekly_Model!$D$2:$D$29,MATCH(H119,FourWeekly_Model!$B$2:$B$29,0)),0),IFERROR(INDEX(FourWeekly_Model!$D$2:$D$29,MATCH(H120,FourWeekly_Model!$B$2:$B$29,0)),0)),IF(VLOOKUP($A117,Calendar!$A$1:$R$1377,18,0)=5,SUM(IFERROR(INDEX(FourWeekly_Model!$D$2:$D$29,MATCH(H117,FourWeekly_Model!$B$2:$B$29,0)),0),IFERROR(INDEX(FourWeekly_Model!$D$2:$D$29,MATCH(H118,FourWeekly_Model!$B$2:$B$29,0)),0),IFERROR(INDEX(FourWeekly_Model!$D$2:$D$29,MATCH(H119,FourWeekly_Model!$B$2:$B$29,0)),0),IFERROR(INDEX(FourWeekly_Model!$D$2:$D$29,MATCH(H120,FourWeekly_Model!$B$2:$B$29,0)),0),IFERROR(INDEX(FourWeekly_Model!$D$2:$D$29,MATCH(H121,FourWeekly_Model!$B$2:$B$29,0)),0)),0))))))</f>
        <v>3.3214289700000004E-3</v>
      </c>
      <c r="N117" s="27">
        <f>SUM(I117:M117)</f>
        <v>3.4905946525235605E-2</v>
      </c>
      <c r="O117" s="28">
        <f>Population_Data!$B$8*N117</f>
        <v>1057650.1797146387</v>
      </c>
      <c r="P117" s="27">
        <f>IF(VLOOKUP($A117,Calendar!$A$1:$R$1377,18,0)=0,0,IF(VLOOKUP($A117,Calendar!$A$1:$R$1377,18,0)=1,IFERROR(INDEX(Pension_Model!$D$2:$D$29,MATCH(H117,Pension_Model!$B$2:$B$29,0)),0),IF(VLOOKUP($A117,Calendar!$A$1:$R$1377,18,0)=2,SUM(IFERROR(INDEX(Pension_Model!$D$2:$D$29,MATCH(H117,Pension_Model!$B$2:$B$29,0)),0),IFERROR(INDEX(Pension_Model!$D$2:$D$29,MATCH(H118,Pension_Model!$B$2:$B$29,0)),0)),IF(VLOOKUP($A117,Calendar!$A$1:$R$1377,18,0)=3,SUM(IFERROR(INDEX(Pension_Model!$D$2:$D$29,MATCH(H117,Pension_Model!$B$2:$B$29,0)),0),IFERROR(INDEX(Pension_Model!$D$2:$D$29,MATCH(H118,Pension_Model!$B$2:$B$29,0)),0),IFERROR(INDEX(Pension_Model!$D$2:$D$29,MATCH(H119,Pension_Model!$B$2:$B$29,0)),0)),IF(VLOOKUP($A117,Calendar!$A$1:$R$1377,18,0)=4,SUM(IFERROR(INDEX(Pension_Model!$D$2:$D$29,MATCH(H117,Pension_Model!$B$2:$B$29,0)),0),IFERROR(INDEX(Pension_Model!$D$2:$D$29,MATCH(H118,Pension_Model!$B$2:$B$29,0)),0),IFERROR(INDEX(Pension_Model!$D$2:$D$29,MATCH(H119,Pension_Model!$B$2:$B$29,0)),0),IFERROR(INDEX(Pension_Model!$D$2:$D$29,MATCH(H120,Pension_Model!$B$2:$B$29,0)),0)),IF(VLOOKUP($A117,Calendar!$A$1:$R$1377,18,0)=5,SUM(IFERROR(INDEX(Pension_Model!$D$2:$D$29,MATCH(H117,Pension_Model!$B$2:$B$29,0)),0),IFERROR(INDEX(Pension_Model!$D$2:$D$29,MATCH(H118,Pension_Model!$B$2:$B$29,0)),0),IFERROR(INDEX(Pension_Model!$D$2:$D$29,MATCH(H119,Pension_Model!$B$2:$B$29,0)),0),IFERROR(INDEX(Pension_Model!$D$2:$D$29,MATCH(H120,Pension_Model!$B$2:$B$29,0)),0),IFERROR(INDEX(Pension_Model!$D$2:$D$29,MATCH(H121,Pension_Model!$B$2:$B$29,0)),0)),0))))))</f>
        <v>0.05</v>
      </c>
      <c r="Q117" s="28">
        <f>Population_Data!$B$15*P117</f>
        <v>660600</v>
      </c>
      <c r="S117">
        <f t="shared" si="1"/>
        <v>1718250.1797146387</v>
      </c>
      <c r="U117" s="33">
        <f>S117/Population_Data!$B$19</f>
        <v>3.1127720647004326E-2</v>
      </c>
    </row>
    <row r="118" spans="1:21">
      <c r="A118" s="25">
        <f>Calendar!A118</f>
        <v>46351</v>
      </c>
      <c r="B118" t="str">
        <f>Calendar!L118</f>
        <v>Yes</v>
      </c>
      <c r="C118" t="str">
        <f>Calendar!O118</f>
        <v>No</v>
      </c>
      <c r="D118" t="str">
        <f>Calendar!P118</f>
        <v>No</v>
      </c>
      <c r="E118" t="str">
        <f>Calendar!Q118</f>
        <v>No</v>
      </c>
      <c r="F118" t="str">
        <f>Calendar!I118</f>
        <v>Wednesday</v>
      </c>
      <c r="G118">
        <f>Calendar!S118</f>
        <v>11</v>
      </c>
      <c r="H118">
        <f>Calendar!T118</f>
        <v>11</v>
      </c>
      <c r="I118" s="27">
        <f>IF(VLOOKUP(A118,Calendar!$A$1:$R$1377,18,0)=0,0,IF(VLOOKUP(A118,Calendar!$A$1:$R$1377,18,0)=1,INDEX(Monthly_Pay_Model!$A$9:$D$40,MATCH(TEXT(A118,"dd"),Monthly_Pay_Model!$C$9:$C$39,0),4),IF(VLOOKUP(A118,Calendar!$A$1:$R$1377,18,0)=2,SUM(INDEX(Monthly_Pay_Model!$A$9:$D$40,MATCH(TEXT(A118,"dd"),Monthly_Pay_Model!$C$9:$C$39,0),4),INDEX(Monthly_Pay_Model!$A$9:$D$40,MATCH(TEXT(A119,"dd"),Monthly_Pay_Model!$C$9:$C$39,0),4)),IF(VLOOKUP(A118,Calendar!$A$1:$R$1377,18,0)=3,SUM(INDEX(Monthly_Pay_Model!$A$9:$D$40,MATCH(TEXT(A118,"dd"),Monthly_Pay_Model!$C$9:$C$39,0),4),INDEX(Monthly_Pay_Model!$A$9:$D$40,MATCH(TEXT(A119,"dd"),Monthly_Pay_Model!$C$9:$C$39,0),4),INDEX(Monthly_Pay_Model!$A$9:$D$40,MATCH(TEXT(A120,"dd"),Monthly_Pay_Model!$C$9:$C$39,0),4)),IF(VLOOKUP(A118,Calendar!$A$1:$R$1377,18,0)=4,SUM(INDEX(Monthly_Pay_Model!$A$9:$D$40,MATCH(TEXT(A118,"dd"),Monthly_Pay_Model!$C$9:$C$39,0),4),INDEX(Monthly_Pay_Model!$A$9:$D$40,MATCH(TEXT(A119,"dd"),Monthly_Pay_Model!$C$9:$C$39,0),4),INDEX(Monthly_Pay_Model!$A$9:$D$40,MATCH(TEXT(A120,"dd"),Monthly_Pay_Model!$C$9:$C$39,0),4),INDEX(Monthly_Pay_Model!$A$9:$D$40,MATCH(TEXT(A121,"dd"),Monthly_Pay_Model!$C$9:$C$39,0),4)),IF(VLOOKUP(A118,Calendar!$A$1:$R$1377,18,0)=5,SUM(INDEX(Monthly_Pay_Model!$A$9:$D$40,MATCH(TEXT(A118,"dd"),Monthly_Pay_Model!$C$9:$C$39,0),4),INDEX(Monthly_Pay_Model!$A$9:$D$40,MATCH(TEXT(A119,"dd"),Monthly_Pay_Model!$C$9:$C$39,0),4),INDEX(Monthly_Pay_Model!$A$9:$D$40,MATCH(TEXT(A120,"dd"),Monthly_Pay_Model!$C$9:$C$39,0),4),INDEX(Monthly_Pay_Model!$A$9:$D$40,MATCH(TEXT(A121,"dd"),Monthly_Pay_Model!$C$9:$C$39,0),4),INDEX(Monthly_Pay_Model!$A$9:$D$40,MATCH(TEXT(A122,"dd"),Monthly_Pay_Model!$C$9:$C$39,0),4)),))))))</f>
        <v>2.1939267015706802E-2</v>
      </c>
      <c r="J118" s="33">
        <f>IF(C118="Yes",Monthly_Pay_Model!$D$2,0)
+IF(Calendar!N118="Yes",Monthly_Pay_Model!$D$3,0)
+IF(D118="Yes",Monthly_Pay_Model!$D$4,0)
+IF(E118="Yes",Monthly_Pay_Model!$D$5,0)</f>
        <v>0</v>
      </c>
      <c r="K118" s="27">
        <f>IF(VLOOKUP($A118,Calendar!$A$1:$R$1377,18,0)=0,0,IF(VLOOKUP($A118,Calendar!$A$1:$R$1377,18,0)=1,IFERROR(INDEX(Weekly_Model!$D$2:$D$9,MATCH(F118,Weekly_Model!$A$2:$A$9,0)),0),IF(VLOOKUP($A118,Calendar!$A$1:$R$1377,18,0)=2,SUM(IFERROR(INDEX(Weekly_Model!$D$2:$D$9,MATCH(F118,Weekly_Model!$A$2:$A$9,0)),0),IFERROR(INDEX(Weekly_Model!$D$2:$D$9,MATCH(F119,Weekly_Model!$A$2:$A$9,0)),0)),IF(VLOOKUP($A118,Calendar!$A$1:$R$1377,18,0)=3,SUM(IFERROR(INDEX(Weekly_Model!$D$2:$D$9,MATCH(F118,Weekly_Model!$A$2:$A$9,0)),0),IFERROR(INDEX(Weekly_Model!$D$2:$D$9,MATCH(F119,Weekly_Model!$A$2:$A$9,0)),0),IFERROR(INDEX(Weekly_Model!$D$2:$D$9,MATCH(F120,Weekly_Model!$A$2:$A$9,0)),0)),IF(VLOOKUP($A118,Calendar!$A$1:$R$1377,18,0)=4,SUM(IFERROR(INDEX(Weekly_Model!$D$2:$D$9,MATCH(F118,Weekly_Model!$A$2:$A$9,0)),0),IFERROR(INDEX(Weekly_Model!$D$2:$D$9,MATCH(F119,Weekly_Model!$A$2:$A$9,0)),0),IFERROR(INDEX(Weekly_Model!$D$2:$D$9,MATCH(F120,Weekly_Model!$A$2:$A$9,0)),0),IFERROR(INDEX(Weekly_Model!$D$2:$D$9,MATCH(F121,Weekly_Model!$A$2:$A$9,0)),0)),IF(VLOOKUP($A118,Calendar!$A$1:$R$1377,18,0)=5,SUM(IFERROR(INDEX(Weekly_Model!$D$2:$D$9,MATCH(F118,Weekly_Model!$A$2:$A$9,0)),0),IFERROR(INDEX(Weekly_Model!$D$2:$D$9,MATCH(F119,Weekly_Model!$A$2:$A$9,0)),0),IFERROR(INDEX(Weekly_Model!$D$2:$D$9,MATCH(F120,Weekly_Model!$A$2:$A$9,0)),0),IFERROR(INDEX(Weekly_Model!$D$2:$D$9,MATCH(F121,Weekly_Model!$A$2:$A$9,0)),0),IFERROR(INDEX(Weekly_Model!$D$2:$D$9,MATCH(F122,Weekly_Model!$A$2:$A$9,0)),0)),0))))))</f>
        <v>2.3200000000000002E-2</v>
      </c>
      <c r="L118" s="27">
        <f>IF(VLOOKUP($A118,Calendar!$A$1:$R$1377,18,0)=0,0,IF(VLOOKUP($A118,Calendar!$A$1:$R$1377,18,0)=1,IFERROR(INDEX(Fortnightly_Model!$D$2:$D$15,MATCH(G118,Fortnightly_Model!$B$2:$B$15,0)),0),IF(VLOOKUP($A118,Calendar!$A$1:$R$1377,18,0)=2,SUM(IFERROR(INDEX(Fortnightly_Model!$D$2:$D$15,MATCH(G118,Fortnightly_Model!$B$2:$B$15,0)),0),IFERROR(INDEX(Fortnightly_Model!$D$2:$D$15,MATCH(G119,Fortnightly_Model!$B$2:$B$15,0)),0)),IF(VLOOKUP($A118,Calendar!$A$1:$R$1377,18,0)=3,SUM(IFERROR(INDEX(Fortnightly_Model!$D$2:$D$15,MATCH(G118,Fortnightly_Model!$B$2:$B$15,0)),0),IFERROR(INDEX(Fortnightly_Model!$D$2:$D$15,MATCH(G119,Fortnightly_Model!$B$2:$B$15,0)),0),IFERROR(INDEX(Fortnightly_Model!$D$2:$D$15,MATCH(G120,Fortnightly_Model!$B$2:$B$15,0)),0)),IF(VLOOKUP($A118,Calendar!$A$1:$R$1377,18,0)=4,SUM(IFERROR(INDEX(Fortnightly_Model!$D$2:$D$15,MATCH(G118,Fortnightly_Model!$B$2:$B$15,0)),0),IFERROR(INDEX(Fortnightly_Model!$D$2:$D$15,MATCH(G119,Fortnightly_Model!$B$2:$B$15,0)),0),IFERROR(INDEX(Fortnightly_Model!$D$2:$D$15,MATCH(G120,Fortnightly_Model!$B$2:$B$15,0)),0),IFERROR(INDEX(Fortnightly_Model!$D$2:$D$15,MATCH(G121,Fortnightly_Model!$B$2:$B$15,0)),0)),IF(VLOOKUP($A118,Calendar!$A$1:$R$1377,18,0)=5,SUM(IFERROR(INDEX(Fortnightly_Model!$D$2:$D$15,MATCH(G118,Fortnightly_Model!$B$2:$B$15,0)),0),IFERROR(INDEX(Fortnightly_Model!$D$2:$D$15,MATCH(G119,Fortnightly_Model!$B$2:$B$15,0)),0),IFERROR(INDEX(Fortnightly_Model!$D$2:$D$15,MATCH(G120,Fortnightly_Model!$B$2:$B$15,0)),0),IFERROR(INDEX(Fortnightly_Model!$D$2:$D$15,MATCH(G121,Fortnightly_Model!$B$2:$B$15,0)),0),IFERROR(INDEX(Fortnightly_Model!$D$2:$D$15,MATCH(G122,Fortnightly_Model!$B$2:$B$15,0)),0)),0))))))</f>
        <v>1.0714285499999999E-3</v>
      </c>
      <c r="M118" s="27">
        <f>IF(VLOOKUP($A118,Calendar!$A$1:$R$1377,18,0)=0,0,IF(VLOOKUP($A118,Calendar!$A$1:$R$1377,18,0)=1,IFERROR(INDEX(FourWeekly_Model!$D$2:$D$29,MATCH(H118,FourWeekly_Model!$B$2:$B$29,0)),0),IF(VLOOKUP($A118,Calendar!$A$1:$R$1377,18,0)=2,SUM(IFERROR(INDEX(FourWeekly_Model!$D$2:$D$29,MATCH(H118,FourWeekly_Model!$B$2:$B$29,0)),0),IFERROR(INDEX(FourWeekly_Model!$D$2:$D$29,MATCH(H119,FourWeekly_Model!$B$2:$B$29,0)),0)),IF(VLOOKUP($A118,Calendar!$A$1:$R$1377,18,0)=3,SUM(IFERROR(INDEX(FourWeekly_Model!$D$2:$D$29,MATCH(H118,FourWeekly_Model!$B$2:$B$29,0)),0),IFERROR(INDEX(FourWeekly_Model!$D$2:$D$29,MATCH(H119,FourWeekly_Model!$B$2:$B$29,0)),0),IFERROR(INDEX(FourWeekly_Model!$D$2:$D$29,MATCH(H120,FourWeekly_Model!$B$2:$B$29,0)),0)),IF(VLOOKUP($A118,Calendar!$A$1:$R$1377,18,0)=4,SUM(IFERROR(INDEX(FourWeekly_Model!$D$2:$D$29,MATCH(H118,FourWeekly_Model!$B$2:$B$29,0)),0),IFERROR(INDEX(FourWeekly_Model!$D$2:$D$29,MATCH(H119,FourWeekly_Model!$B$2:$B$29,0)),0),IFERROR(INDEX(FourWeekly_Model!$D$2:$D$29,MATCH(H120,FourWeekly_Model!$B$2:$B$29,0)),0),IFERROR(INDEX(FourWeekly_Model!$D$2:$D$29,MATCH(H121,FourWeekly_Model!$B$2:$B$29,0)),0)),IF(VLOOKUP($A118,Calendar!$A$1:$R$1377,18,0)=5,SUM(IFERROR(INDEX(FourWeekly_Model!$D$2:$D$29,MATCH(H118,FourWeekly_Model!$B$2:$B$29,0)),0),IFERROR(INDEX(FourWeekly_Model!$D$2:$D$29,MATCH(H119,FourWeekly_Model!$B$2:$B$29,0)),0),IFERROR(INDEX(FourWeekly_Model!$D$2:$D$29,MATCH(H120,FourWeekly_Model!$B$2:$B$29,0)),0),IFERROR(INDEX(FourWeekly_Model!$D$2:$D$29,MATCH(H121,FourWeekly_Model!$B$2:$B$29,0)),0),IFERROR(INDEX(FourWeekly_Model!$D$2:$D$29,MATCH(H122,FourWeekly_Model!$B$2:$B$29,0)),0)),0))))))</f>
        <v>3.3214289700000004E-3</v>
      </c>
      <c r="N118" s="27">
        <f>SUM(I118:M118)</f>
        <v>4.9532124535706809E-2</v>
      </c>
      <c r="O118" s="28">
        <f>Population_Data!$B$8*N118</f>
        <v>1500823.3734319163</v>
      </c>
      <c r="P118" s="27">
        <f>IF(VLOOKUP($A118,Calendar!$A$1:$R$1377,18,0)=0,0,IF(VLOOKUP($A118,Calendar!$A$1:$R$1377,18,0)=1,IFERROR(INDEX(Pension_Model!$D$2:$D$29,MATCH(H118,Pension_Model!$B$2:$B$29,0)),0),IF(VLOOKUP($A118,Calendar!$A$1:$R$1377,18,0)=2,SUM(IFERROR(INDEX(Pension_Model!$D$2:$D$29,MATCH(H118,Pension_Model!$B$2:$B$29,0)),0),IFERROR(INDEX(Pension_Model!$D$2:$D$29,MATCH(H119,Pension_Model!$B$2:$B$29,0)),0)),IF(VLOOKUP($A118,Calendar!$A$1:$R$1377,18,0)=3,SUM(IFERROR(INDEX(Pension_Model!$D$2:$D$29,MATCH(H118,Pension_Model!$B$2:$B$29,0)),0),IFERROR(INDEX(Pension_Model!$D$2:$D$29,MATCH(H119,Pension_Model!$B$2:$B$29,0)),0),IFERROR(INDEX(Pension_Model!$D$2:$D$29,MATCH(H120,Pension_Model!$B$2:$B$29,0)),0)),IF(VLOOKUP($A118,Calendar!$A$1:$R$1377,18,0)=4,SUM(IFERROR(INDEX(Pension_Model!$D$2:$D$29,MATCH(H118,Pension_Model!$B$2:$B$29,0)),0),IFERROR(INDEX(Pension_Model!$D$2:$D$29,MATCH(H119,Pension_Model!$B$2:$B$29,0)),0),IFERROR(INDEX(Pension_Model!$D$2:$D$29,MATCH(H120,Pension_Model!$B$2:$B$29,0)),0),IFERROR(INDEX(Pension_Model!$D$2:$D$29,MATCH(H121,Pension_Model!$B$2:$B$29,0)),0)),IF(VLOOKUP($A118,Calendar!$A$1:$R$1377,18,0)=5,SUM(IFERROR(INDEX(Pension_Model!$D$2:$D$29,MATCH(H118,Pension_Model!$B$2:$B$29,0)),0),IFERROR(INDEX(Pension_Model!$D$2:$D$29,MATCH(H119,Pension_Model!$B$2:$B$29,0)),0),IFERROR(INDEX(Pension_Model!$D$2:$D$29,MATCH(H120,Pension_Model!$B$2:$B$29,0)),0),IFERROR(INDEX(Pension_Model!$D$2:$D$29,MATCH(H121,Pension_Model!$B$2:$B$29,0)),0),IFERROR(INDEX(Pension_Model!$D$2:$D$29,MATCH(H122,Pension_Model!$B$2:$B$29,0)),0)),0))))))</f>
        <v>0.05</v>
      </c>
      <c r="Q118" s="28">
        <f>Population_Data!$B$15*P118</f>
        <v>660600</v>
      </c>
      <c r="S118">
        <f t="shared" si="1"/>
        <v>2161423.3734319163</v>
      </c>
      <c r="U118" s="33">
        <f>S118/Population_Data!$B$19</f>
        <v>3.9156220533186889E-2</v>
      </c>
    </row>
    <row r="119" spans="1:21">
      <c r="A119" s="25">
        <f>Calendar!A119</f>
        <v>46352</v>
      </c>
      <c r="B119" t="str">
        <f>Calendar!L119</f>
        <v>Yes</v>
      </c>
      <c r="C119" t="str">
        <f>Calendar!O119</f>
        <v>No</v>
      </c>
      <c r="D119" t="str">
        <f>Calendar!P119</f>
        <v>No</v>
      </c>
      <c r="E119" t="str">
        <f>Calendar!Q119</f>
        <v>Yes</v>
      </c>
      <c r="F119" t="str">
        <f>Calendar!I119</f>
        <v>Thursday</v>
      </c>
      <c r="G119">
        <f>Calendar!S119</f>
        <v>12</v>
      </c>
      <c r="H119">
        <f>Calendar!T119</f>
        <v>12</v>
      </c>
      <c r="I119" s="27">
        <f>IF(VLOOKUP(A119,Calendar!$A$1:$R$1377,18,0)=0,0,IF(VLOOKUP(A119,Calendar!$A$1:$R$1377,18,0)=1,INDEX(Monthly_Pay_Model!$A$9:$D$40,MATCH(TEXT(A119,"dd"),Monthly_Pay_Model!$C$9:$C$39,0),4),IF(VLOOKUP(A119,Calendar!$A$1:$R$1377,18,0)=2,SUM(INDEX(Monthly_Pay_Model!$A$9:$D$40,MATCH(TEXT(A119,"dd"),Monthly_Pay_Model!$C$9:$C$39,0),4),INDEX(Monthly_Pay_Model!$A$9:$D$40,MATCH(TEXT(A120,"dd"),Monthly_Pay_Model!$C$9:$C$39,0),4)),IF(VLOOKUP(A119,Calendar!$A$1:$R$1377,18,0)=3,SUM(INDEX(Monthly_Pay_Model!$A$9:$D$40,MATCH(TEXT(A119,"dd"),Monthly_Pay_Model!$C$9:$C$39,0),4),INDEX(Monthly_Pay_Model!$A$9:$D$40,MATCH(TEXT(A120,"dd"),Monthly_Pay_Model!$C$9:$C$39,0),4),INDEX(Monthly_Pay_Model!$A$9:$D$40,MATCH(TEXT(A121,"dd"),Monthly_Pay_Model!$C$9:$C$39,0),4)),IF(VLOOKUP(A119,Calendar!$A$1:$R$1377,18,0)=4,SUM(INDEX(Monthly_Pay_Model!$A$9:$D$40,MATCH(TEXT(A119,"dd"),Monthly_Pay_Model!$C$9:$C$39,0),4),INDEX(Monthly_Pay_Model!$A$9:$D$40,MATCH(TEXT(A120,"dd"),Monthly_Pay_Model!$C$9:$C$39,0),4),INDEX(Monthly_Pay_Model!$A$9:$D$40,MATCH(TEXT(A121,"dd"),Monthly_Pay_Model!$C$9:$C$39,0),4),INDEX(Monthly_Pay_Model!$A$9:$D$40,MATCH(TEXT(A122,"dd"),Monthly_Pay_Model!$C$9:$C$39,0),4)),IF(VLOOKUP(A119,Calendar!$A$1:$R$1377,18,0)=5,SUM(INDEX(Monthly_Pay_Model!$A$9:$D$40,MATCH(TEXT(A119,"dd"),Monthly_Pay_Model!$C$9:$C$39,0),4),INDEX(Monthly_Pay_Model!$A$9:$D$40,MATCH(TEXT(A120,"dd"),Monthly_Pay_Model!$C$9:$C$39,0),4),INDEX(Monthly_Pay_Model!$A$9:$D$40,MATCH(TEXT(A121,"dd"),Monthly_Pay_Model!$C$9:$C$39,0),4),INDEX(Monthly_Pay_Model!$A$9:$D$40,MATCH(TEXT(A122,"dd"),Monthly_Pay_Model!$C$9:$C$39,0),4),INDEX(Monthly_Pay_Model!$A$9:$D$40,MATCH(TEXT(A123,"dd"),Monthly_Pay_Model!$C$9:$C$39,0),4)),))))))</f>
        <v>9.7507853403141324E-3</v>
      </c>
      <c r="J119" s="33">
        <f>IF(C119="Yes",Monthly_Pay_Model!$D$2,0)
+IF(Calendar!N119="Yes",Monthly_Pay_Model!$D$3,0)
+IF(D119="Yes",Monthly_Pay_Model!$D$4,0)
+IF(E119="Yes",Monthly_Pay_Model!$D$5,0)</f>
        <v>5.4320000000000007E-2</v>
      </c>
      <c r="K119" s="27">
        <f>IF(VLOOKUP($A119,Calendar!$A$1:$R$1377,18,0)=0,0,IF(VLOOKUP($A119,Calendar!$A$1:$R$1377,18,0)=1,IFERROR(INDEX(Weekly_Model!$D$2:$D$9,MATCH(F119,Weekly_Model!$A$2:$A$9,0)),0),IF(VLOOKUP($A119,Calendar!$A$1:$R$1377,18,0)=2,SUM(IFERROR(INDEX(Weekly_Model!$D$2:$D$9,MATCH(F119,Weekly_Model!$A$2:$A$9,0)),0),IFERROR(INDEX(Weekly_Model!$D$2:$D$9,MATCH(F120,Weekly_Model!$A$2:$A$9,0)),0)),IF(VLOOKUP($A119,Calendar!$A$1:$R$1377,18,0)=3,SUM(IFERROR(INDEX(Weekly_Model!$D$2:$D$9,MATCH(F119,Weekly_Model!$A$2:$A$9,0)),0),IFERROR(INDEX(Weekly_Model!$D$2:$D$9,MATCH(F120,Weekly_Model!$A$2:$A$9,0)),0),IFERROR(INDEX(Weekly_Model!$D$2:$D$9,MATCH(F121,Weekly_Model!$A$2:$A$9,0)),0)),IF(VLOOKUP($A119,Calendar!$A$1:$R$1377,18,0)=4,SUM(IFERROR(INDEX(Weekly_Model!$D$2:$D$9,MATCH(F119,Weekly_Model!$A$2:$A$9,0)),0),IFERROR(INDEX(Weekly_Model!$D$2:$D$9,MATCH(F120,Weekly_Model!$A$2:$A$9,0)),0),IFERROR(INDEX(Weekly_Model!$D$2:$D$9,MATCH(F121,Weekly_Model!$A$2:$A$9,0)),0),IFERROR(INDEX(Weekly_Model!$D$2:$D$9,MATCH(F122,Weekly_Model!$A$2:$A$9,0)),0)),IF(VLOOKUP($A119,Calendar!$A$1:$R$1377,18,0)=5,SUM(IFERROR(INDEX(Weekly_Model!$D$2:$D$9,MATCH(F119,Weekly_Model!$A$2:$A$9,0)),0),IFERROR(INDEX(Weekly_Model!$D$2:$D$9,MATCH(F120,Weekly_Model!$A$2:$A$9,0)),0),IFERROR(INDEX(Weekly_Model!$D$2:$D$9,MATCH(F121,Weekly_Model!$A$2:$A$9,0)),0),IFERROR(INDEX(Weekly_Model!$D$2:$D$9,MATCH(F122,Weekly_Model!$A$2:$A$9,0)),0),IFERROR(INDEX(Weekly_Model!$D$2:$D$9,MATCH(F123,Weekly_Model!$A$2:$A$9,0)),0)),0))))))</f>
        <v>2.3200000000000002E-2</v>
      </c>
      <c r="L119" s="27">
        <f>IF(VLOOKUP($A119,Calendar!$A$1:$R$1377,18,0)=0,0,IF(VLOOKUP($A119,Calendar!$A$1:$R$1377,18,0)=1,IFERROR(INDEX(Fortnightly_Model!$D$2:$D$15,MATCH(G119,Fortnightly_Model!$B$2:$B$15,0)),0),IF(VLOOKUP($A119,Calendar!$A$1:$R$1377,18,0)=2,SUM(IFERROR(INDEX(Fortnightly_Model!$D$2:$D$15,MATCH(G119,Fortnightly_Model!$B$2:$B$15,0)),0),IFERROR(INDEX(Fortnightly_Model!$D$2:$D$15,MATCH(G120,Fortnightly_Model!$B$2:$B$15,0)),0)),IF(VLOOKUP($A119,Calendar!$A$1:$R$1377,18,0)=3,SUM(IFERROR(INDEX(Fortnightly_Model!$D$2:$D$15,MATCH(G119,Fortnightly_Model!$B$2:$B$15,0)),0),IFERROR(INDEX(Fortnightly_Model!$D$2:$D$15,MATCH(G120,Fortnightly_Model!$B$2:$B$15,0)),0),IFERROR(INDEX(Fortnightly_Model!$D$2:$D$15,MATCH(G121,Fortnightly_Model!$B$2:$B$15,0)),0)),IF(VLOOKUP($A119,Calendar!$A$1:$R$1377,18,0)=4,SUM(IFERROR(INDEX(Fortnightly_Model!$D$2:$D$15,MATCH(G119,Fortnightly_Model!$B$2:$B$15,0)),0),IFERROR(INDEX(Fortnightly_Model!$D$2:$D$15,MATCH(G120,Fortnightly_Model!$B$2:$B$15,0)),0),IFERROR(INDEX(Fortnightly_Model!$D$2:$D$15,MATCH(G121,Fortnightly_Model!$B$2:$B$15,0)),0),IFERROR(INDEX(Fortnightly_Model!$D$2:$D$15,MATCH(G122,Fortnightly_Model!$B$2:$B$15,0)),0)),IF(VLOOKUP($A119,Calendar!$A$1:$R$1377,18,0)=5,SUM(IFERROR(INDEX(Fortnightly_Model!$D$2:$D$15,MATCH(G119,Fortnightly_Model!$B$2:$B$15,0)),0),IFERROR(INDEX(Fortnightly_Model!$D$2:$D$15,MATCH(G120,Fortnightly_Model!$B$2:$B$15,0)),0),IFERROR(INDEX(Fortnightly_Model!$D$2:$D$15,MATCH(G121,Fortnightly_Model!$B$2:$B$15,0)),0),IFERROR(INDEX(Fortnightly_Model!$D$2:$D$15,MATCH(G122,Fortnightly_Model!$B$2:$B$15,0)),0),IFERROR(INDEX(Fortnightly_Model!$D$2:$D$15,MATCH(G123,Fortnightly_Model!$B$2:$B$15,0)),0)),0))))))</f>
        <v>1.0714285499999999E-3</v>
      </c>
      <c r="M119" s="27">
        <f>IF(VLOOKUP($A119,Calendar!$A$1:$R$1377,18,0)=0,0,IF(VLOOKUP($A119,Calendar!$A$1:$R$1377,18,0)=1,IFERROR(INDEX(FourWeekly_Model!$D$2:$D$29,MATCH(H119,FourWeekly_Model!$B$2:$B$29,0)),0),IF(VLOOKUP($A119,Calendar!$A$1:$R$1377,18,0)=2,SUM(IFERROR(INDEX(FourWeekly_Model!$D$2:$D$29,MATCH(H119,FourWeekly_Model!$B$2:$B$29,0)),0),IFERROR(INDEX(FourWeekly_Model!$D$2:$D$29,MATCH(H120,FourWeekly_Model!$B$2:$B$29,0)),0)),IF(VLOOKUP($A119,Calendar!$A$1:$R$1377,18,0)=3,SUM(IFERROR(INDEX(FourWeekly_Model!$D$2:$D$29,MATCH(H119,FourWeekly_Model!$B$2:$B$29,0)),0),IFERROR(INDEX(FourWeekly_Model!$D$2:$D$29,MATCH(H120,FourWeekly_Model!$B$2:$B$29,0)),0),IFERROR(INDEX(FourWeekly_Model!$D$2:$D$29,MATCH(H121,FourWeekly_Model!$B$2:$B$29,0)),0)),IF(VLOOKUP($A119,Calendar!$A$1:$R$1377,18,0)=4,SUM(IFERROR(INDEX(FourWeekly_Model!$D$2:$D$29,MATCH(H119,FourWeekly_Model!$B$2:$B$29,0)),0),IFERROR(INDEX(FourWeekly_Model!$D$2:$D$29,MATCH(H120,FourWeekly_Model!$B$2:$B$29,0)),0),IFERROR(INDEX(FourWeekly_Model!$D$2:$D$29,MATCH(H121,FourWeekly_Model!$B$2:$B$29,0)),0),IFERROR(INDEX(FourWeekly_Model!$D$2:$D$29,MATCH(H122,FourWeekly_Model!$B$2:$B$29,0)),0)),IF(VLOOKUP($A119,Calendar!$A$1:$R$1377,18,0)=5,SUM(IFERROR(INDEX(FourWeekly_Model!$D$2:$D$29,MATCH(H119,FourWeekly_Model!$B$2:$B$29,0)),0),IFERROR(INDEX(FourWeekly_Model!$D$2:$D$29,MATCH(H120,FourWeekly_Model!$B$2:$B$29,0)),0),IFERROR(INDEX(FourWeekly_Model!$D$2:$D$29,MATCH(H121,FourWeekly_Model!$B$2:$B$29,0)),0),IFERROR(INDEX(FourWeekly_Model!$D$2:$D$29,MATCH(H122,FourWeekly_Model!$B$2:$B$29,0)),0),IFERROR(INDEX(FourWeekly_Model!$D$2:$D$29,MATCH(H123,FourWeekly_Model!$B$2:$B$29,0)),0)),0))))))</f>
        <v>3.3214289700000004E-3</v>
      </c>
      <c r="N119" s="27">
        <f>SUM(I119:M119)</f>
        <v>9.1663642860314143E-2</v>
      </c>
      <c r="O119" s="28">
        <f>Population_Data!$B$8*N119</f>
        <v>2777408.3786675185</v>
      </c>
      <c r="P119" s="27">
        <f>IF(VLOOKUP($A119,Calendar!$A$1:$R$1377,18,0)=0,0,IF(VLOOKUP($A119,Calendar!$A$1:$R$1377,18,0)=1,IFERROR(INDEX(Pension_Model!$D$2:$D$29,MATCH(H119,Pension_Model!$B$2:$B$29,0)),0),IF(VLOOKUP($A119,Calendar!$A$1:$R$1377,18,0)=2,SUM(IFERROR(INDEX(Pension_Model!$D$2:$D$29,MATCH(H119,Pension_Model!$B$2:$B$29,0)),0),IFERROR(INDEX(Pension_Model!$D$2:$D$29,MATCH(H120,Pension_Model!$B$2:$B$29,0)),0)),IF(VLOOKUP($A119,Calendar!$A$1:$R$1377,18,0)=3,SUM(IFERROR(INDEX(Pension_Model!$D$2:$D$29,MATCH(H119,Pension_Model!$B$2:$B$29,0)),0),IFERROR(INDEX(Pension_Model!$D$2:$D$29,MATCH(H120,Pension_Model!$B$2:$B$29,0)),0),IFERROR(INDEX(Pension_Model!$D$2:$D$29,MATCH(H121,Pension_Model!$B$2:$B$29,0)),0)),IF(VLOOKUP($A119,Calendar!$A$1:$R$1377,18,0)=4,SUM(IFERROR(INDEX(Pension_Model!$D$2:$D$29,MATCH(H119,Pension_Model!$B$2:$B$29,0)),0),IFERROR(INDEX(Pension_Model!$D$2:$D$29,MATCH(H120,Pension_Model!$B$2:$B$29,0)),0),IFERROR(INDEX(Pension_Model!$D$2:$D$29,MATCH(H121,Pension_Model!$B$2:$B$29,0)),0),IFERROR(INDEX(Pension_Model!$D$2:$D$29,MATCH(H122,Pension_Model!$B$2:$B$29,0)),0)),IF(VLOOKUP($A119,Calendar!$A$1:$R$1377,18,0)=5,SUM(IFERROR(INDEX(Pension_Model!$D$2:$D$29,MATCH(H119,Pension_Model!$B$2:$B$29,0)),0),IFERROR(INDEX(Pension_Model!$D$2:$D$29,MATCH(H120,Pension_Model!$B$2:$B$29,0)),0),IFERROR(INDEX(Pension_Model!$D$2:$D$29,MATCH(H121,Pension_Model!$B$2:$B$29,0)),0),IFERROR(INDEX(Pension_Model!$D$2:$D$29,MATCH(H122,Pension_Model!$B$2:$B$29,0)),0),IFERROR(INDEX(Pension_Model!$D$2:$D$29,MATCH(H123,Pension_Model!$B$2:$B$29,0)),0)),0))))))</f>
        <v>0.05</v>
      </c>
      <c r="Q119" s="28">
        <f>Population_Data!$B$15*P119</f>
        <v>660600</v>
      </c>
      <c r="S119">
        <f t="shared" si="1"/>
        <v>3438008.3786675185</v>
      </c>
      <c r="U119" s="33">
        <f>S119/Population_Data!$B$19</f>
        <v>6.228276048310722E-2</v>
      </c>
    </row>
    <row r="120" spans="1:21">
      <c r="A120" s="25">
        <f>Calendar!A120</f>
        <v>46353</v>
      </c>
      <c r="B120" t="str">
        <f>Calendar!L120</f>
        <v>Yes</v>
      </c>
      <c r="C120" t="str">
        <f>Calendar!O120</f>
        <v>No</v>
      </c>
      <c r="D120" t="str">
        <f>Calendar!P120</f>
        <v>Yes</v>
      </c>
      <c r="E120" t="str">
        <f>Calendar!Q120</f>
        <v>No</v>
      </c>
      <c r="F120" t="str">
        <f>Calendar!I120</f>
        <v>Friday</v>
      </c>
      <c r="G120">
        <f>Calendar!S120</f>
        <v>13</v>
      </c>
      <c r="H120">
        <f>Calendar!T120</f>
        <v>13</v>
      </c>
      <c r="I120" s="27">
        <f>IF(VLOOKUP(A120,Calendar!$A$1:$R$1377,18,0)=0,0,IF(VLOOKUP(A120,Calendar!$A$1:$R$1377,18,0)=1,INDEX(Monthly_Pay_Model!$A$9:$D$40,MATCH(TEXT(A120,"dd"),Monthly_Pay_Model!$C$9:$C$39,0),4),IF(VLOOKUP(A120,Calendar!$A$1:$R$1377,18,0)=2,SUM(INDEX(Monthly_Pay_Model!$A$9:$D$40,MATCH(TEXT(A120,"dd"),Monthly_Pay_Model!$C$9:$C$39,0),4),INDEX(Monthly_Pay_Model!$A$9:$D$40,MATCH(TEXT(A121,"dd"),Monthly_Pay_Model!$C$9:$C$39,0),4)),IF(VLOOKUP(A120,Calendar!$A$1:$R$1377,18,0)=3,SUM(INDEX(Monthly_Pay_Model!$A$9:$D$40,MATCH(TEXT(A120,"dd"),Monthly_Pay_Model!$C$9:$C$39,0),4),INDEX(Monthly_Pay_Model!$A$9:$D$40,MATCH(TEXT(A121,"dd"),Monthly_Pay_Model!$C$9:$C$39,0),4),INDEX(Monthly_Pay_Model!$A$9:$D$40,MATCH(TEXT(A122,"dd"),Monthly_Pay_Model!$C$9:$C$39,0),4)),IF(VLOOKUP(A120,Calendar!$A$1:$R$1377,18,0)=4,SUM(INDEX(Monthly_Pay_Model!$A$9:$D$40,MATCH(TEXT(A120,"dd"),Monthly_Pay_Model!$C$9:$C$39,0),4),INDEX(Monthly_Pay_Model!$A$9:$D$40,MATCH(TEXT(A121,"dd"),Monthly_Pay_Model!$C$9:$C$39,0),4),INDEX(Monthly_Pay_Model!$A$9:$D$40,MATCH(TEXT(A122,"dd"),Monthly_Pay_Model!$C$9:$C$39,0),4),INDEX(Monthly_Pay_Model!$A$9:$D$40,MATCH(TEXT(A123,"dd"),Monthly_Pay_Model!$C$9:$C$39,0),4)),IF(VLOOKUP(A120,Calendar!$A$1:$R$1377,18,0)=5,SUM(INDEX(Monthly_Pay_Model!$A$9:$D$40,MATCH(TEXT(A120,"dd"),Monthly_Pay_Model!$C$9:$C$39,0),4),INDEX(Monthly_Pay_Model!$A$9:$D$40,MATCH(TEXT(A121,"dd"),Monthly_Pay_Model!$C$9:$C$39,0),4),INDEX(Monthly_Pay_Model!$A$9:$D$40,MATCH(TEXT(A122,"dd"),Monthly_Pay_Model!$C$9:$C$39,0),4),INDEX(Monthly_Pay_Model!$A$9:$D$40,MATCH(TEXT(A123,"dd"),Monthly_Pay_Model!$C$9:$C$39,0),4),INDEX(Monthly_Pay_Model!$A$9:$D$40,MATCH(TEXT(A124,"dd"),Monthly_Pay_Model!$C$9:$C$39,0),4)),))))))</f>
        <v>3.4940314136125646E-2</v>
      </c>
      <c r="J120" s="33">
        <f>IF(C120="Yes",Monthly_Pay_Model!$D$2,0)
+IF(Calendar!N120="Yes",Monthly_Pay_Model!$D$3,0)
+IF(D120="Yes",Monthly_Pay_Model!$D$4,0)
+IF(E120="Yes",Monthly_Pay_Model!$D$5,0)</f>
        <v>0.1552</v>
      </c>
      <c r="K120" s="27">
        <f>IF(VLOOKUP($A120,Calendar!$A$1:$R$1377,18,0)=0,0,IF(VLOOKUP($A120,Calendar!$A$1:$R$1377,18,0)=1,IFERROR(INDEX(Weekly_Model!$D$2:$D$9,MATCH(F120,Weekly_Model!$A$2:$A$9,0)),0),IF(VLOOKUP($A120,Calendar!$A$1:$R$1377,18,0)=2,SUM(IFERROR(INDEX(Weekly_Model!$D$2:$D$9,MATCH(F120,Weekly_Model!$A$2:$A$9,0)),0),IFERROR(INDEX(Weekly_Model!$D$2:$D$9,MATCH(F121,Weekly_Model!$A$2:$A$9,0)),0)),IF(VLOOKUP($A120,Calendar!$A$1:$R$1377,18,0)=3,SUM(IFERROR(INDEX(Weekly_Model!$D$2:$D$9,MATCH(F120,Weekly_Model!$A$2:$A$9,0)),0),IFERROR(INDEX(Weekly_Model!$D$2:$D$9,MATCH(F121,Weekly_Model!$A$2:$A$9,0)),0),IFERROR(INDEX(Weekly_Model!$D$2:$D$9,MATCH(F122,Weekly_Model!$A$2:$A$9,0)),0)),IF(VLOOKUP($A120,Calendar!$A$1:$R$1377,18,0)=4,SUM(IFERROR(INDEX(Weekly_Model!$D$2:$D$9,MATCH(F120,Weekly_Model!$A$2:$A$9,0)),0),IFERROR(INDEX(Weekly_Model!$D$2:$D$9,MATCH(F121,Weekly_Model!$A$2:$A$9,0)),0),IFERROR(INDEX(Weekly_Model!$D$2:$D$9,MATCH(F122,Weekly_Model!$A$2:$A$9,0)),0),IFERROR(INDEX(Weekly_Model!$D$2:$D$9,MATCH(F123,Weekly_Model!$A$2:$A$9,0)),0)),IF(VLOOKUP($A120,Calendar!$A$1:$R$1377,18,0)=5,SUM(IFERROR(INDEX(Weekly_Model!$D$2:$D$9,MATCH(F120,Weekly_Model!$A$2:$A$9,0)),0),IFERROR(INDEX(Weekly_Model!$D$2:$D$9,MATCH(F121,Weekly_Model!$A$2:$A$9,0)),0),IFERROR(INDEX(Weekly_Model!$D$2:$D$9,MATCH(F122,Weekly_Model!$A$2:$A$9,0)),0),IFERROR(INDEX(Weekly_Model!$D$2:$D$9,MATCH(F123,Weekly_Model!$A$2:$A$9,0)),0),IFERROR(INDEX(Weekly_Model!$D$2:$D$9,MATCH(F124,Weekly_Model!$A$2:$A$9,0)),0)),0))))))</f>
        <v>2.3200000000000002E-2</v>
      </c>
      <c r="L120" s="27">
        <f>IF(VLOOKUP($A120,Calendar!$A$1:$R$1377,18,0)=0,0,IF(VLOOKUP($A120,Calendar!$A$1:$R$1377,18,0)=1,IFERROR(INDEX(Fortnightly_Model!$D$2:$D$15,MATCH(G120,Fortnightly_Model!$B$2:$B$15,0)),0),IF(VLOOKUP($A120,Calendar!$A$1:$R$1377,18,0)=2,SUM(IFERROR(INDEX(Fortnightly_Model!$D$2:$D$15,MATCH(G120,Fortnightly_Model!$B$2:$B$15,0)),0),IFERROR(INDEX(Fortnightly_Model!$D$2:$D$15,MATCH(G121,Fortnightly_Model!$B$2:$B$15,0)),0)),IF(VLOOKUP($A120,Calendar!$A$1:$R$1377,18,0)=3,SUM(IFERROR(INDEX(Fortnightly_Model!$D$2:$D$15,MATCH(G120,Fortnightly_Model!$B$2:$B$15,0)),0),IFERROR(INDEX(Fortnightly_Model!$D$2:$D$15,MATCH(G121,Fortnightly_Model!$B$2:$B$15,0)),0),IFERROR(INDEX(Fortnightly_Model!$D$2:$D$15,MATCH(G122,Fortnightly_Model!$B$2:$B$15,0)),0)),IF(VLOOKUP($A120,Calendar!$A$1:$R$1377,18,0)=4,SUM(IFERROR(INDEX(Fortnightly_Model!$D$2:$D$15,MATCH(G120,Fortnightly_Model!$B$2:$B$15,0)),0),IFERROR(INDEX(Fortnightly_Model!$D$2:$D$15,MATCH(G121,Fortnightly_Model!$B$2:$B$15,0)),0),IFERROR(INDEX(Fortnightly_Model!$D$2:$D$15,MATCH(G122,Fortnightly_Model!$B$2:$B$15,0)),0),IFERROR(INDEX(Fortnightly_Model!$D$2:$D$15,MATCH(G123,Fortnightly_Model!$B$2:$B$15,0)),0)),IF(VLOOKUP($A120,Calendar!$A$1:$R$1377,18,0)=5,SUM(IFERROR(INDEX(Fortnightly_Model!$D$2:$D$15,MATCH(G120,Fortnightly_Model!$B$2:$B$15,0)),0),IFERROR(INDEX(Fortnightly_Model!$D$2:$D$15,MATCH(G121,Fortnightly_Model!$B$2:$B$15,0)),0),IFERROR(INDEX(Fortnightly_Model!$D$2:$D$15,MATCH(G122,Fortnightly_Model!$B$2:$B$15,0)),0),IFERROR(INDEX(Fortnightly_Model!$D$2:$D$15,MATCH(G123,Fortnightly_Model!$B$2:$B$15,0)),0),IFERROR(INDEX(Fortnightly_Model!$D$2:$D$15,MATCH(G124,Fortnightly_Model!$B$2:$B$15,0)),0)),0))))))</f>
        <v>3.2142856499999999E-3</v>
      </c>
      <c r="M120" s="27">
        <f>IF(VLOOKUP($A120,Calendar!$A$1:$R$1377,18,0)=0,0,IF(VLOOKUP($A120,Calendar!$A$1:$R$1377,18,0)=1,IFERROR(INDEX(FourWeekly_Model!$D$2:$D$29,MATCH(H120,FourWeekly_Model!$B$2:$B$29,0)),0),IF(VLOOKUP($A120,Calendar!$A$1:$R$1377,18,0)=2,SUM(IFERROR(INDEX(FourWeekly_Model!$D$2:$D$29,MATCH(H120,FourWeekly_Model!$B$2:$B$29,0)),0),IFERROR(INDEX(FourWeekly_Model!$D$2:$D$29,MATCH(H121,FourWeekly_Model!$B$2:$B$29,0)),0)),IF(VLOOKUP($A120,Calendar!$A$1:$R$1377,18,0)=3,SUM(IFERROR(INDEX(FourWeekly_Model!$D$2:$D$29,MATCH(H120,FourWeekly_Model!$B$2:$B$29,0)),0),IFERROR(INDEX(FourWeekly_Model!$D$2:$D$29,MATCH(H121,FourWeekly_Model!$B$2:$B$29,0)),0),IFERROR(INDEX(FourWeekly_Model!$D$2:$D$29,MATCH(H122,FourWeekly_Model!$B$2:$B$29,0)),0)),IF(VLOOKUP($A120,Calendar!$A$1:$R$1377,18,0)=4,SUM(IFERROR(INDEX(FourWeekly_Model!$D$2:$D$29,MATCH(H120,FourWeekly_Model!$B$2:$B$29,0)),0),IFERROR(INDEX(FourWeekly_Model!$D$2:$D$29,MATCH(H121,FourWeekly_Model!$B$2:$B$29,0)),0),IFERROR(INDEX(FourWeekly_Model!$D$2:$D$29,MATCH(H122,FourWeekly_Model!$B$2:$B$29,0)),0),IFERROR(INDEX(FourWeekly_Model!$D$2:$D$29,MATCH(H123,FourWeekly_Model!$B$2:$B$29,0)),0)),IF(VLOOKUP($A120,Calendar!$A$1:$R$1377,18,0)=5,SUM(IFERROR(INDEX(FourWeekly_Model!$D$2:$D$29,MATCH(H120,FourWeekly_Model!$B$2:$B$29,0)),0),IFERROR(INDEX(FourWeekly_Model!$D$2:$D$29,MATCH(H121,FourWeekly_Model!$B$2:$B$29,0)),0),IFERROR(INDEX(FourWeekly_Model!$D$2:$D$29,MATCH(H122,FourWeekly_Model!$B$2:$B$29,0)),0),IFERROR(INDEX(FourWeekly_Model!$D$2:$D$29,MATCH(H123,FourWeekly_Model!$B$2:$B$29,0)),0),IFERROR(INDEX(FourWeekly_Model!$D$2:$D$29,MATCH(H124,FourWeekly_Model!$B$2:$B$29,0)),0)),0))))))</f>
        <v>9.9642859800000011E-3</v>
      </c>
      <c r="N120" s="27">
        <f>SUM(I120:M120)</f>
        <v>0.22651888576612567</v>
      </c>
      <c r="O120" s="28">
        <f>Population_Data!$B$8*N120</f>
        <v>6863522.2387136081</v>
      </c>
      <c r="P120" s="27">
        <f>IF(VLOOKUP($A120,Calendar!$A$1:$R$1377,18,0)=0,0,IF(VLOOKUP($A120,Calendar!$A$1:$R$1377,18,0)=1,IFERROR(INDEX(Pension_Model!$D$2:$D$29,MATCH(H120,Pension_Model!$B$2:$B$29,0)),0),IF(VLOOKUP($A120,Calendar!$A$1:$R$1377,18,0)=2,SUM(IFERROR(INDEX(Pension_Model!$D$2:$D$29,MATCH(H120,Pension_Model!$B$2:$B$29,0)),0),IFERROR(INDEX(Pension_Model!$D$2:$D$29,MATCH(H121,Pension_Model!$B$2:$B$29,0)),0)),IF(VLOOKUP($A120,Calendar!$A$1:$R$1377,18,0)=3,SUM(IFERROR(INDEX(Pension_Model!$D$2:$D$29,MATCH(H120,Pension_Model!$B$2:$B$29,0)),0),IFERROR(INDEX(Pension_Model!$D$2:$D$29,MATCH(H121,Pension_Model!$B$2:$B$29,0)),0),IFERROR(INDEX(Pension_Model!$D$2:$D$29,MATCH(H122,Pension_Model!$B$2:$B$29,0)),0)),IF(VLOOKUP($A120,Calendar!$A$1:$R$1377,18,0)=4,SUM(IFERROR(INDEX(Pension_Model!$D$2:$D$29,MATCH(H120,Pension_Model!$B$2:$B$29,0)),0),IFERROR(INDEX(Pension_Model!$D$2:$D$29,MATCH(H121,Pension_Model!$B$2:$B$29,0)),0),IFERROR(INDEX(Pension_Model!$D$2:$D$29,MATCH(H122,Pension_Model!$B$2:$B$29,0)),0),IFERROR(INDEX(Pension_Model!$D$2:$D$29,MATCH(H123,Pension_Model!$B$2:$B$29,0)),0)),IF(VLOOKUP($A120,Calendar!$A$1:$R$1377,18,0)=5,SUM(IFERROR(INDEX(Pension_Model!$D$2:$D$29,MATCH(H120,Pension_Model!$B$2:$B$29,0)),0),IFERROR(INDEX(Pension_Model!$D$2:$D$29,MATCH(H121,Pension_Model!$B$2:$B$29,0)),0),IFERROR(INDEX(Pension_Model!$D$2:$D$29,MATCH(H122,Pension_Model!$B$2:$B$29,0)),0),IFERROR(INDEX(Pension_Model!$D$2:$D$29,MATCH(H123,Pension_Model!$B$2:$B$29,0)),0),IFERROR(INDEX(Pension_Model!$D$2:$D$29,MATCH(H124,Pension_Model!$B$2:$B$29,0)),0)),0))))))</f>
        <v>0.05</v>
      </c>
      <c r="Q120" s="28">
        <f>Population_Data!$B$15*P120</f>
        <v>660600</v>
      </c>
      <c r="S120">
        <f t="shared" si="1"/>
        <v>7524122.2387136081</v>
      </c>
      <c r="U120" s="33">
        <f>S120/Population_Data!$B$19</f>
        <v>0.13630656229553637</v>
      </c>
    </row>
    <row r="121" spans="1:21">
      <c r="A121" s="25">
        <f>Calendar!A121</f>
        <v>46354</v>
      </c>
      <c r="B121" t="str">
        <f>Calendar!L121</f>
        <v>No</v>
      </c>
      <c r="C121" t="str">
        <f>Calendar!O121</f>
        <v>No</v>
      </c>
      <c r="D121" t="str">
        <f>Calendar!P121</f>
        <v>No</v>
      </c>
      <c r="E121" t="str">
        <f>Calendar!Q121</f>
        <v>No</v>
      </c>
      <c r="F121" t="str">
        <f>Calendar!I121</f>
        <v>Saturday</v>
      </c>
      <c r="G121">
        <f>Calendar!S121</f>
        <v>0</v>
      </c>
      <c r="H121">
        <f>Calendar!T121</f>
        <v>14</v>
      </c>
      <c r="I121" s="27">
        <f>IF(VLOOKUP(A121,Calendar!$A$1:$R$1377,18,0)=0,0,IF(VLOOKUP(A121,Calendar!$A$1:$R$1377,18,0)=1,INDEX(Monthly_Pay_Model!$A$9:$D$40,MATCH(TEXT(A121,"dd"),Monthly_Pay_Model!$C$9:$C$39,0),4),IF(VLOOKUP(A121,Calendar!$A$1:$R$1377,18,0)=2,SUM(INDEX(Monthly_Pay_Model!$A$9:$D$40,MATCH(TEXT(A121,"dd"),Monthly_Pay_Model!$C$9:$C$39,0),4),INDEX(Monthly_Pay_Model!$A$9:$D$40,MATCH(TEXT(A122,"dd"),Monthly_Pay_Model!$C$9:$C$39,0),4)),IF(VLOOKUP(A121,Calendar!$A$1:$R$1377,18,0)=3,SUM(INDEX(Monthly_Pay_Model!$A$9:$D$40,MATCH(TEXT(A121,"dd"),Monthly_Pay_Model!$C$9:$C$39,0),4),INDEX(Monthly_Pay_Model!$A$9:$D$40,MATCH(TEXT(A122,"dd"),Monthly_Pay_Model!$C$9:$C$39,0),4),INDEX(Monthly_Pay_Model!$A$9:$D$40,MATCH(TEXT(A123,"dd"),Monthly_Pay_Model!$C$9:$C$39,0),4)),IF(VLOOKUP(A121,Calendar!$A$1:$R$1377,18,0)=4,SUM(INDEX(Monthly_Pay_Model!$A$9:$D$40,MATCH(TEXT(A121,"dd"),Monthly_Pay_Model!$C$9:$C$39,0),4),INDEX(Monthly_Pay_Model!$A$9:$D$40,MATCH(TEXT(A122,"dd"),Monthly_Pay_Model!$C$9:$C$39,0),4),INDEX(Monthly_Pay_Model!$A$9:$D$40,MATCH(TEXT(A123,"dd"),Monthly_Pay_Model!$C$9:$C$39,0),4),INDEX(Monthly_Pay_Model!$A$9:$D$40,MATCH(TEXT(A124,"dd"),Monthly_Pay_Model!$C$9:$C$39,0),4)),IF(VLOOKUP(A121,Calendar!$A$1:$R$1377,18,0)=5,SUM(INDEX(Monthly_Pay_Model!$A$9:$D$40,MATCH(TEXT(A121,"dd"),Monthly_Pay_Model!$C$9:$C$39,0),4),INDEX(Monthly_Pay_Model!$A$9:$D$40,MATCH(TEXT(A122,"dd"),Monthly_Pay_Model!$C$9:$C$39,0),4),INDEX(Monthly_Pay_Model!$A$9:$D$40,MATCH(TEXT(A123,"dd"),Monthly_Pay_Model!$C$9:$C$39,0),4),INDEX(Monthly_Pay_Model!$A$9:$D$40,MATCH(TEXT(A124,"dd"),Monthly_Pay_Model!$C$9:$C$39,0),4),INDEX(Monthly_Pay_Model!$A$9:$D$40,MATCH(TEXT(A125,"dd"),Monthly_Pay_Model!$C$9:$C$39,0),4)),))))))</f>
        <v>0</v>
      </c>
      <c r="J121" s="33">
        <f>IF(C121="Yes",Monthly_Pay_Model!$D$2,0)
+IF(Calendar!N121="Yes",Monthly_Pay_Model!$D$3,0)
+IF(D121="Yes",Monthly_Pay_Model!$D$4,0)
+IF(E121="Yes",Monthly_Pay_Model!$D$5,0)</f>
        <v>0</v>
      </c>
      <c r="K121" s="27">
        <f>IF(VLOOKUP($A121,Calendar!$A$1:$R$1377,18,0)=0,0,IF(VLOOKUP($A121,Calendar!$A$1:$R$1377,18,0)=1,IFERROR(INDEX(Weekly_Model!$D$2:$D$9,MATCH(F121,Weekly_Model!$A$2:$A$9,0)),0),IF(VLOOKUP($A121,Calendar!$A$1:$R$1377,18,0)=2,SUM(IFERROR(INDEX(Weekly_Model!$D$2:$D$9,MATCH(F121,Weekly_Model!$A$2:$A$9,0)),0),IFERROR(INDEX(Weekly_Model!$D$2:$D$9,MATCH(F122,Weekly_Model!$A$2:$A$9,0)),0)),IF(VLOOKUP($A121,Calendar!$A$1:$R$1377,18,0)=3,SUM(IFERROR(INDEX(Weekly_Model!$D$2:$D$9,MATCH(F121,Weekly_Model!$A$2:$A$9,0)),0),IFERROR(INDEX(Weekly_Model!$D$2:$D$9,MATCH(F122,Weekly_Model!$A$2:$A$9,0)),0),IFERROR(INDEX(Weekly_Model!$D$2:$D$9,MATCH(F123,Weekly_Model!$A$2:$A$9,0)),0)),IF(VLOOKUP($A121,Calendar!$A$1:$R$1377,18,0)=4,SUM(IFERROR(INDEX(Weekly_Model!$D$2:$D$9,MATCH(F121,Weekly_Model!$A$2:$A$9,0)),0),IFERROR(INDEX(Weekly_Model!$D$2:$D$9,MATCH(F122,Weekly_Model!$A$2:$A$9,0)),0),IFERROR(INDEX(Weekly_Model!$D$2:$D$9,MATCH(F123,Weekly_Model!$A$2:$A$9,0)),0),IFERROR(INDEX(Weekly_Model!$D$2:$D$9,MATCH(F124,Weekly_Model!$A$2:$A$9,0)),0)),IF(VLOOKUP($A121,Calendar!$A$1:$R$1377,18,0)=5,SUM(IFERROR(INDEX(Weekly_Model!$D$2:$D$9,MATCH(F121,Weekly_Model!$A$2:$A$9,0)),0),IFERROR(INDEX(Weekly_Model!$D$2:$D$9,MATCH(F122,Weekly_Model!$A$2:$A$9,0)),0),IFERROR(INDEX(Weekly_Model!$D$2:$D$9,MATCH(F123,Weekly_Model!$A$2:$A$9,0)),0),IFERROR(INDEX(Weekly_Model!$D$2:$D$9,MATCH(F124,Weekly_Model!$A$2:$A$9,0)),0),IFERROR(INDEX(Weekly_Model!$D$2:$D$9,MATCH(F125,Weekly_Model!$A$2:$A$9,0)),0)),0))))))</f>
        <v>0</v>
      </c>
      <c r="L121" s="27">
        <f>IF(VLOOKUP($A121,Calendar!$A$1:$R$1377,18,0)=0,0,IF(VLOOKUP($A121,Calendar!$A$1:$R$1377,18,0)=1,IFERROR(INDEX(Fortnightly_Model!$D$2:$D$15,MATCH(G121,Fortnightly_Model!$B$2:$B$15,0)),0),IF(VLOOKUP($A121,Calendar!$A$1:$R$1377,18,0)=2,SUM(IFERROR(INDEX(Fortnightly_Model!$D$2:$D$15,MATCH(G121,Fortnightly_Model!$B$2:$B$15,0)),0),IFERROR(INDEX(Fortnightly_Model!$D$2:$D$15,MATCH(G122,Fortnightly_Model!$B$2:$B$15,0)),0)),IF(VLOOKUP($A121,Calendar!$A$1:$R$1377,18,0)=3,SUM(IFERROR(INDEX(Fortnightly_Model!$D$2:$D$15,MATCH(G121,Fortnightly_Model!$B$2:$B$15,0)),0),IFERROR(INDEX(Fortnightly_Model!$D$2:$D$15,MATCH(G122,Fortnightly_Model!$B$2:$B$15,0)),0),IFERROR(INDEX(Fortnightly_Model!$D$2:$D$15,MATCH(G123,Fortnightly_Model!$B$2:$B$15,0)),0)),IF(VLOOKUP($A121,Calendar!$A$1:$R$1377,18,0)=4,SUM(IFERROR(INDEX(Fortnightly_Model!$D$2:$D$15,MATCH(G121,Fortnightly_Model!$B$2:$B$15,0)),0),IFERROR(INDEX(Fortnightly_Model!$D$2:$D$15,MATCH(G122,Fortnightly_Model!$B$2:$B$15,0)),0),IFERROR(INDEX(Fortnightly_Model!$D$2:$D$15,MATCH(G123,Fortnightly_Model!$B$2:$B$15,0)),0),IFERROR(INDEX(Fortnightly_Model!$D$2:$D$15,MATCH(G124,Fortnightly_Model!$B$2:$B$15,0)),0)),IF(VLOOKUP($A121,Calendar!$A$1:$R$1377,18,0)=5,SUM(IFERROR(INDEX(Fortnightly_Model!$D$2:$D$15,MATCH(G121,Fortnightly_Model!$B$2:$B$15,0)),0),IFERROR(INDEX(Fortnightly_Model!$D$2:$D$15,MATCH(G122,Fortnightly_Model!$B$2:$B$15,0)),0),IFERROR(INDEX(Fortnightly_Model!$D$2:$D$15,MATCH(G123,Fortnightly_Model!$B$2:$B$15,0)),0),IFERROR(INDEX(Fortnightly_Model!$D$2:$D$15,MATCH(G124,Fortnightly_Model!$B$2:$B$15,0)),0),IFERROR(INDEX(Fortnightly_Model!$D$2:$D$15,MATCH(G125,Fortnightly_Model!$B$2:$B$15,0)),0)),0))))))</f>
        <v>0</v>
      </c>
      <c r="M121" s="27">
        <f>IF(VLOOKUP($A121,Calendar!$A$1:$R$1377,18,0)=0,0,IF(VLOOKUP($A121,Calendar!$A$1:$R$1377,18,0)=1,IFERROR(INDEX(FourWeekly_Model!$D$2:$D$29,MATCH(H121,FourWeekly_Model!$B$2:$B$29,0)),0),IF(VLOOKUP($A121,Calendar!$A$1:$R$1377,18,0)=2,SUM(IFERROR(INDEX(FourWeekly_Model!$D$2:$D$29,MATCH(H121,FourWeekly_Model!$B$2:$B$29,0)),0),IFERROR(INDEX(FourWeekly_Model!$D$2:$D$29,MATCH(H122,FourWeekly_Model!$B$2:$B$29,0)),0)),IF(VLOOKUP($A121,Calendar!$A$1:$R$1377,18,0)=3,SUM(IFERROR(INDEX(FourWeekly_Model!$D$2:$D$29,MATCH(H121,FourWeekly_Model!$B$2:$B$29,0)),0),IFERROR(INDEX(FourWeekly_Model!$D$2:$D$29,MATCH(H122,FourWeekly_Model!$B$2:$B$29,0)),0),IFERROR(INDEX(FourWeekly_Model!$D$2:$D$29,MATCH(H123,FourWeekly_Model!$B$2:$B$29,0)),0)),IF(VLOOKUP($A121,Calendar!$A$1:$R$1377,18,0)=4,SUM(IFERROR(INDEX(FourWeekly_Model!$D$2:$D$29,MATCH(H121,FourWeekly_Model!$B$2:$B$29,0)),0),IFERROR(INDEX(FourWeekly_Model!$D$2:$D$29,MATCH(H122,FourWeekly_Model!$B$2:$B$29,0)),0),IFERROR(INDEX(FourWeekly_Model!$D$2:$D$29,MATCH(H123,FourWeekly_Model!$B$2:$B$29,0)),0),IFERROR(INDEX(FourWeekly_Model!$D$2:$D$29,MATCH(H124,FourWeekly_Model!$B$2:$B$29,0)),0)),IF(VLOOKUP($A121,Calendar!$A$1:$R$1377,18,0)=5,SUM(IFERROR(INDEX(FourWeekly_Model!$D$2:$D$29,MATCH(H121,FourWeekly_Model!$B$2:$B$29,0)),0),IFERROR(INDEX(FourWeekly_Model!$D$2:$D$29,MATCH(H122,FourWeekly_Model!$B$2:$B$29,0)),0),IFERROR(INDEX(FourWeekly_Model!$D$2:$D$29,MATCH(H123,FourWeekly_Model!$B$2:$B$29,0)),0),IFERROR(INDEX(FourWeekly_Model!$D$2:$D$29,MATCH(H124,FourWeekly_Model!$B$2:$B$29,0)),0),IFERROR(INDEX(FourWeekly_Model!$D$2:$D$29,MATCH(H125,FourWeekly_Model!$B$2:$B$29,0)),0)),0))))))</f>
        <v>0</v>
      </c>
      <c r="N121" s="27">
        <f>SUM(I121:M121)</f>
        <v>0</v>
      </c>
      <c r="O121" s="28">
        <f>Population_Data!$B$8*N121</f>
        <v>0</v>
      </c>
      <c r="P121" s="27">
        <f>IF(VLOOKUP($A121,Calendar!$A$1:$R$1377,18,0)=0,0,IF(VLOOKUP($A121,Calendar!$A$1:$R$1377,18,0)=1,IFERROR(INDEX(Pension_Model!$D$2:$D$29,MATCH(H121,Pension_Model!$B$2:$B$29,0)),0),IF(VLOOKUP($A121,Calendar!$A$1:$R$1377,18,0)=2,SUM(IFERROR(INDEX(Pension_Model!$D$2:$D$29,MATCH(H121,Pension_Model!$B$2:$B$29,0)),0),IFERROR(INDEX(Pension_Model!$D$2:$D$29,MATCH(H122,Pension_Model!$B$2:$B$29,0)),0)),IF(VLOOKUP($A121,Calendar!$A$1:$R$1377,18,0)=3,SUM(IFERROR(INDEX(Pension_Model!$D$2:$D$29,MATCH(H121,Pension_Model!$B$2:$B$29,0)),0),IFERROR(INDEX(Pension_Model!$D$2:$D$29,MATCH(H122,Pension_Model!$B$2:$B$29,0)),0),IFERROR(INDEX(Pension_Model!$D$2:$D$29,MATCH(H123,Pension_Model!$B$2:$B$29,0)),0)),IF(VLOOKUP($A121,Calendar!$A$1:$R$1377,18,0)=4,SUM(IFERROR(INDEX(Pension_Model!$D$2:$D$29,MATCH(H121,Pension_Model!$B$2:$B$29,0)),0),IFERROR(INDEX(Pension_Model!$D$2:$D$29,MATCH(H122,Pension_Model!$B$2:$B$29,0)),0),IFERROR(INDEX(Pension_Model!$D$2:$D$29,MATCH(H123,Pension_Model!$B$2:$B$29,0)),0),IFERROR(INDEX(Pension_Model!$D$2:$D$29,MATCH(H124,Pension_Model!$B$2:$B$29,0)),0)),IF(VLOOKUP($A121,Calendar!$A$1:$R$1377,18,0)=5,SUM(IFERROR(INDEX(Pension_Model!$D$2:$D$29,MATCH(H121,Pension_Model!$B$2:$B$29,0)),0),IFERROR(INDEX(Pension_Model!$D$2:$D$29,MATCH(H122,Pension_Model!$B$2:$B$29,0)),0),IFERROR(INDEX(Pension_Model!$D$2:$D$29,MATCH(H123,Pension_Model!$B$2:$B$29,0)),0),IFERROR(INDEX(Pension_Model!$D$2:$D$29,MATCH(H124,Pension_Model!$B$2:$B$29,0)),0),IFERROR(INDEX(Pension_Model!$D$2:$D$29,MATCH(H125,Pension_Model!$B$2:$B$29,0)),0)),0))))))</f>
        <v>0</v>
      </c>
      <c r="Q121" s="28">
        <f>Population_Data!$B$15*P121</f>
        <v>0</v>
      </c>
      <c r="S121">
        <f t="shared" si="1"/>
        <v>0</v>
      </c>
      <c r="U121" s="33">
        <f>S121/Population_Data!$B$19</f>
        <v>0</v>
      </c>
    </row>
    <row r="122" spans="1:21">
      <c r="A122" s="25">
        <f>Calendar!A122</f>
        <v>46355</v>
      </c>
      <c r="B122" t="str">
        <f>Calendar!L122</f>
        <v>No</v>
      </c>
      <c r="C122" t="str">
        <f>Calendar!O122</f>
        <v>No</v>
      </c>
      <c r="D122" t="str">
        <f>Calendar!P122</f>
        <v>No</v>
      </c>
      <c r="E122" t="str">
        <f>Calendar!Q122</f>
        <v>No</v>
      </c>
      <c r="F122" t="str">
        <f>Calendar!I122</f>
        <v>Sunday</v>
      </c>
      <c r="G122">
        <f>Calendar!S122</f>
        <v>1</v>
      </c>
      <c r="H122">
        <f>Calendar!T122</f>
        <v>15</v>
      </c>
      <c r="I122" s="27">
        <f>IF(VLOOKUP(A122,Calendar!$A$1:$R$1377,18,0)=0,0,IF(VLOOKUP(A122,Calendar!$A$1:$R$1377,18,0)=1,INDEX(Monthly_Pay_Model!$A$9:$D$40,MATCH(TEXT(A122,"dd"),Monthly_Pay_Model!$C$9:$C$39,0),4),IF(VLOOKUP(A122,Calendar!$A$1:$R$1377,18,0)=2,SUM(INDEX(Monthly_Pay_Model!$A$9:$D$40,MATCH(TEXT(A122,"dd"),Monthly_Pay_Model!$C$9:$C$39,0),4),INDEX(Monthly_Pay_Model!$A$9:$D$40,MATCH(TEXT(A123,"dd"),Monthly_Pay_Model!$C$9:$C$39,0),4)),IF(VLOOKUP(A122,Calendar!$A$1:$R$1377,18,0)=3,SUM(INDEX(Monthly_Pay_Model!$A$9:$D$40,MATCH(TEXT(A122,"dd"),Monthly_Pay_Model!$C$9:$C$39,0),4),INDEX(Monthly_Pay_Model!$A$9:$D$40,MATCH(TEXT(A123,"dd"),Monthly_Pay_Model!$C$9:$C$39,0),4),INDEX(Monthly_Pay_Model!$A$9:$D$40,MATCH(TEXT(A124,"dd"),Monthly_Pay_Model!$C$9:$C$39,0),4)),IF(VLOOKUP(A122,Calendar!$A$1:$R$1377,18,0)=4,SUM(INDEX(Monthly_Pay_Model!$A$9:$D$40,MATCH(TEXT(A122,"dd"),Monthly_Pay_Model!$C$9:$C$39,0),4),INDEX(Monthly_Pay_Model!$A$9:$D$40,MATCH(TEXT(A123,"dd"),Monthly_Pay_Model!$C$9:$C$39,0),4),INDEX(Monthly_Pay_Model!$A$9:$D$40,MATCH(TEXT(A124,"dd"),Monthly_Pay_Model!$C$9:$C$39,0),4),INDEX(Monthly_Pay_Model!$A$9:$D$40,MATCH(TEXT(A125,"dd"),Monthly_Pay_Model!$C$9:$C$39,0),4)),IF(VLOOKUP(A122,Calendar!$A$1:$R$1377,18,0)=5,SUM(INDEX(Monthly_Pay_Model!$A$9:$D$40,MATCH(TEXT(A122,"dd"),Monthly_Pay_Model!$C$9:$C$39,0),4),INDEX(Monthly_Pay_Model!$A$9:$D$40,MATCH(TEXT(A123,"dd"),Monthly_Pay_Model!$C$9:$C$39,0),4),INDEX(Monthly_Pay_Model!$A$9:$D$40,MATCH(TEXT(A124,"dd"),Monthly_Pay_Model!$C$9:$C$39,0),4),INDEX(Monthly_Pay_Model!$A$9:$D$40,MATCH(TEXT(A125,"dd"),Monthly_Pay_Model!$C$9:$C$39,0),4),INDEX(Monthly_Pay_Model!$A$9:$D$40,MATCH(TEXT(A126,"dd"),Monthly_Pay_Model!$C$9:$C$39,0),4)),))))))</f>
        <v>0</v>
      </c>
      <c r="J122" s="33">
        <f>IF(C122="Yes",Monthly_Pay_Model!$D$2,0)
+IF(Calendar!N122="Yes",Monthly_Pay_Model!$D$3,0)
+IF(D122="Yes",Monthly_Pay_Model!$D$4,0)
+IF(E122="Yes",Monthly_Pay_Model!$D$5,0)</f>
        <v>0</v>
      </c>
      <c r="K122" s="27">
        <f>IF(VLOOKUP($A122,Calendar!$A$1:$R$1377,18,0)=0,0,IF(VLOOKUP($A122,Calendar!$A$1:$R$1377,18,0)=1,IFERROR(INDEX(Weekly_Model!$D$2:$D$9,MATCH(F122,Weekly_Model!$A$2:$A$9,0)),0),IF(VLOOKUP($A122,Calendar!$A$1:$R$1377,18,0)=2,SUM(IFERROR(INDEX(Weekly_Model!$D$2:$D$9,MATCH(F122,Weekly_Model!$A$2:$A$9,0)),0),IFERROR(INDEX(Weekly_Model!$D$2:$D$9,MATCH(F123,Weekly_Model!$A$2:$A$9,0)),0)),IF(VLOOKUP($A122,Calendar!$A$1:$R$1377,18,0)=3,SUM(IFERROR(INDEX(Weekly_Model!$D$2:$D$9,MATCH(F122,Weekly_Model!$A$2:$A$9,0)),0),IFERROR(INDEX(Weekly_Model!$D$2:$D$9,MATCH(F123,Weekly_Model!$A$2:$A$9,0)),0),IFERROR(INDEX(Weekly_Model!$D$2:$D$9,MATCH(F124,Weekly_Model!$A$2:$A$9,0)),0)),IF(VLOOKUP($A122,Calendar!$A$1:$R$1377,18,0)=4,SUM(IFERROR(INDEX(Weekly_Model!$D$2:$D$9,MATCH(F122,Weekly_Model!$A$2:$A$9,0)),0),IFERROR(INDEX(Weekly_Model!$D$2:$D$9,MATCH(F123,Weekly_Model!$A$2:$A$9,0)),0),IFERROR(INDEX(Weekly_Model!$D$2:$D$9,MATCH(F124,Weekly_Model!$A$2:$A$9,0)),0),IFERROR(INDEX(Weekly_Model!$D$2:$D$9,MATCH(F125,Weekly_Model!$A$2:$A$9,0)),0)),IF(VLOOKUP($A122,Calendar!$A$1:$R$1377,18,0)=5,SUM(IFERROR(INDEX(Weekly_Model!$D$2:$D$9,MATCH(F122,Weekly_Model!$A$2:$A$9,0)),0),IFERROR(INDEX(Weekly_Model!$D$2:$D$9,MATCH(F123,Weekly_Model!$A$2:$A$9,0)),0),IFERROR(INDEX(Weekly_Model!$D$2:$D$9,MATCH(F124,Weekly_Model!$A$2:$A$9,0)),0),IFERROR(INDEX(Weekly_Model!$D$2:$D$9,MATCH(F125,Weekly_Model!$A$2:$A$9,0)),0),IFERROR(INDEX(Weekly_Model!$D$2:$D$9,MATCH(F126,Weekly_Model!$A$2:$A$9,0)),0)),0))))))</f>
        <v>0</v>
      </c>
      <c r="L122" s="27">
        <f>IF(VLOOKUP($A122,Calendar!$A$1:$R$1377,18,0)=0,0,IF(VLOOKUP($A122,Calendar!$A$1:$R$1377,18,0)=1,IFERROR(INDEX(Fortnightly_Model!$D$2:$D$15,MATCH(G122,Fortnightly_Model!$B$2:$B$15,0)),0),IF(VLOOKUP($A122,Calendar!$A$1:$R$1377,18,0)=2,SUM(IFERROR(INDEX(Fortnightly_Model!$D$2:$D$15,MATCH(G122,Fortnightly_Model!$B$2:$B$15,0)),0),IFERROR(INDEX(Fortnightly_Model!$D$2:$D$15,MATCH(G123,Fortnightly_Model!$B$2:$B$15,0)),0)),IF(VLOOKUP($A122,Calendar!$A$1:$R$1377,18,0)=3,SUM(IFERROR(INDEX(Fortnightly_Model!$D$2:$D$15,MATCH(G122,Fortnightly_Model!$B$2:$B$15,0)),0),IFERROR(INDEX(Fortnightly_Model!$D$2:$D$15,MATCH(G123,Fortnightly_Model!$B$2:$B$15,0)),0),IFERROR(INDEX(Fortnightly_Model!$D$2:$D$15,MATCH(G124,Fortnightly_Model!$B$2:$B$15,0)),0)),IF(VLOOKUP($A122,Calendar!$A$1:$R$1377,18,0)=4,SUM(IFERROR(INDEX(Fortnightly_Model!$D$2:$D$15,MATCH(G122,Fortnightly_Model!$B$2:$B$15,0)),0),IFERROR(INDEX(Fortnightly_Model!$D$2:$D$15,MATCH(G123,Fortnightly_Model!$B$2:$B$15,0)),0),IFERROR(INDEX(Fortnightly_Model!$D$2:$D$15,MATCH(G124,Fortnightly_Model!$B$2:$B$15,0)),0),IFERROR(INDEX(Fortnightly_Model!$D$2:$D$15,MATCH(G125,Fortnightly_Model!$B$2:$B$15,0)),0)),IF(VLOOKUP($A122,Calendar!$A$1:$R$1377,18,0)=5,SUM(IFERROR(INDEX(Fortnightly_Model!$D$2:$D$15,MATCH(G122,Fortnightly_Model!$B$2:$B$15,0)),0),IFERROR(INDEX(Fortnightly_Model!$D$2:$D$15,MATCH(G123,Fortnightly_Model!$B$2:$B$15,0)),0),IFERROR(INDEX(Fortnightly_Model!$D$2:$D$15,MATCH(G124,Fortnightly_Model!$B$2:$B$15,0)),0),IFERROR(INDEX(Fortnightly_Model!$D$2:$D$15,MATCH(G125,Fortnightly_Model!$B$2:$B$15,0)),0),IFERROR(INDEX(Fortnightly_Model!$D$2:$D$15,MATCH(G126,Fortnightly_Model!$B$2:$B$15,0)),0)),0))))))</f>
        <v>0</v>
      </c>
      <c r="M122" s="27">
        <f>IF(VLOOKUP($A122,Calendar!$A$1:$R$1377,18,0)=0,0,IF(VLOOKUP($A122,Calendar!$A$1:$R$1377,18,0)=1,IFERROR(INDEX(FourWeekly_Model!$D$2:$D$29,MATCH(H122,FourWeekly_Model!$B$2:$B$29,0)),0),IF(VLOOKUP($A122,Calendar!$A$1:$R$1377,18,0)=2,SUM(IFERROR(INDEX(FourWeekly_Model!$D$2:$D$29,MATCH(H122,FourWeekly_Model!$B$2:$B$29,0)),0),IFERROR(INDEX(FourWeekly_Model!$D$2:$D$29,MATCH(H123,FourWeekly_Model!$B$2:$B$29,0)),0)),IF(VLOOKUP($A122,Calendar!$A$1:$R$1377,18,0)=3,SUM(IFERROR(INDEX(FourWeekly_Model!$D$2:$D$29,MATCH(H122,FourWeekly_Model!$B$2:$B$29,0)),0),IFERROR(INDEX(FourWeekly_Model!$D$2:$D$29,MATCH(H123,FourWeekly_Model!$B$2:$B$29,0)),0),IFERROR(INDEX(FourWeekly_Model!$D$2:$D$29,MATCH(H124,FourWeekly_Model!$B$2:$B$29,0)),0)),IF(VLOOKUP($A122,Calendar!$A$1:$R$1377,18,0)=4,SUM(IFERROR(INDEX(FourWeekly_Model!$D$2:$D$29,MATCH(H122,FourWeekly_Model!$B$2:$B$29,0)),0),IFERROR(INDEX(FourWeekly_Model!$D$2:$D$29,MATCH(H123,FourWeekly_Model!$B$2:$B$29,0)),0),IFERROR(INDEX(FourWeekly_Model!$D$2:$D$29,MATCH(H124,FourWeekly_Model!$B$2:$B$29,0)),0),IFERROR(INDEX(FourWeekly_Model!$D$2:$D$29,MATCH(H125,FourWeekly_Model!$B$2:$B$29,0)),0)),IF(VLOOKUP($A122,Calendar!$A$1:$R$1377,18,0)=5,SUM(IFERROR(INDEX(FourWeekly_Model!$D$2:$D$29,MATCH(H122,FourWeekly_Model!$B$2:$B$29,0)),0),IFERROR(INDEX(FourWeekly_Model!$D$2:$D$29,MATCH(H123,FourWeekly_Model!$B$2:$B$29,0)),0),IFERROR(INDEX(FourWeekly_Model!$D$2:$D$29,MATCH(H124,FourWeekly_Model!$B$2:$B$29,0)),0),IFERROR(INDEX(FourWeekly_Model!$D$2:$D$29,MATCH(H125,FourWeekly_Model!$B$2:$B$29,0)),0),IFERROR(INDEX(FourWeekly_Model!$D$2:$D$29,MATCH(H126,FourWeekly_Model!$B$2:$B$29,0)),0)),0))))))</f>
        <v>0</v>
      </c>
      <c r="N122" s="27">
        <f>SUM(I122:M122)</f>
        <v>0</v>
      </c>
      <c r="O122" s="28">
        <f>Population_Data!$B$8*N122</f>
        <v>0</v>
      </c>
      <c r="P122" s="27">
        <f>IF(VLOOKUP($A122,Calendar!$A$1:$R$1377,18,0)=0,0,IF(VLOOKUP($A122,Calendar!$A$1:$R$1377,18,0)=1,IFERROR(INDEX(Pension_Model!$D$2:$D$29,MATCH(H122,Pension_Model!$B$2:$B$29,0)),0),IF(VLOOKUP($A122,Calendar!$A$1:$R$1377,18,0)=2,SUM(IFERROR(INDEX(Pension_Model!$D$2:$D$29,MATCH(H122,Pension_Model!$B$2:$B$29,0)),0),IFERROR(INDEX(Pension_Model!$D$2:$D$29,MATCH(H123,Pension_Model!$B$2:$B$29,0)),0)),IF(VLOOKUP($A122,Calendar!$A$1:$R$1377,18,0)=3,SUM(IFERROR(INDEX(Pension_Model!$D$2:$D$29,MATCH(H122,Pension_Model!$B$2:$B$29,0)),0),IFERROR(INDEX(Pension_Model!$D$2:$D$29,MATCH(H123,Pension_Model!$B$2:$B$29,0)),0),IFERROR(INDEX(Pension_Model!$D$2:$D$29,MATCH(H124,Pension_Model!$B$2:$B$29,0)),0)),IF(VLOOKUP($A122,Calendar!$A$1:$R$1377,18,0)=4,SUM(IFERROR(INDEX(Pension_Model!$D$2:$D$29,MATCH(H122,Pension_Model!$B$2:$B$29,0)),0),IFERROR(INDEX(Pension_Model!$D$2:$D$29,MATCH(H123,Pension_Model!$B$2:$B$29,0)),0),IFERROR(INDEX(Pension_Model!$D$2:$D$29,MATCH(H124,Pension_Model!$B$2:$B$29,0)),0),IFERROR(INDEX(Pension_Model!$D$2:$D$29,MATCH(H125,Pension_Model!$B$2:$B$29,0)),0)),IF(VLOOKUP($A122,Calendar!$A$1:$R$1377,18,0)=5,SUM(IFERROR(INDEX(Pension_Model!$D$2:$D$29,MATCH(H122,Pension_Model!$B$2:$B$29,0)),0),IFERROR(INDEX(Pension_Model!$D$2:$D$29,MATCH(H123,Pension_Model!$B$2:$B$29,0)),0),IFERROR(INDEX(Pension_Model!$D$2:$D$29,MATCH(H124,Pension_Model!$B$2:$B$29,0)),0),IFERROR(INDEX(Pension_Model!$D$2:$D$29,MATCH(H125,Pension_Model!$B$2:$B$29,0)),0),IFERROR(INDEX(Pension_Model!$D$2:$D$29,MATCH(H126,Pension_Model!$B$2:$B$29,0)),0)),0))))))</f>
        <v>0</v>
      </c>
      <c r="Q122" s="28">
        <f>Population_Data!$B$15*P122</f>
        <v>0</v>
      </c>
      <c r="S122">
        <f t="shared" si="1"/>
        <v>0</v>
      </c>
      <c r="U122" s="33">
        <f>S122/Population_Data!$B$19</f>
        <v>0</v>
      </c>
    </row>
    <row r="123" spans="1:21">
      <c r="A123" s="25">
        <f>Calendar!A123</f>
        <v>46356</v>
      </c>
      <c r="B123" t="str">
        <f>Calendar!L123</f>
        <v>Yes</v>
      </c>
      <c r="C123" t="str">
        <f>Calendar!O123</f>
        <v>Yes</v>
      </c>
      <c r="D123" t="str">
        <f>Calendar!P123</f>
        <v>No</v>
      </c>
      <c r="E123" t="str">
        <f>Calendar!Q123</f>
        <v>No</v>
      </c>
      <c r="F123" t="str">
        <f>Calendar!I123</f>
        <v>Monday</v>
      </c>
      <c r="G123">
        <f>Calendar!S123</f>
        <v>2</v>
      </c>
      <c r="H123">
        <f>Calendar!T123</f>
        <v>16</v>
      </c>
      <c r="I123" s="27">
        <f>IF(VLOOKUP(A123,Calendar!$A$1:$R$1377,18,0)=0,0,IF(VLOOKUP(A123,Calendar!$A$1:$R$1377,18,0)=1,INDEX(Monthly_Pay_Model!$A$9:$D$40,MATCH(TEXT(A123,"dd"),Monthly_Pay_Model!$C$9:$C$39,0),4),IF(VLOOKUP(A123,Calendar!$A$1:$R$1377,18,0)=2,SUM(INDEX(Monthly_Pay_Model!$A$9:$D$40,MATCH(TEXT(A123,"dd"),Monthly_Pay_Model!$C$9:$C$39,0),4),INDEX(Monthly_Pay_Model!$A$9:$D$40,MATCH(TEXT(A124,"dd"),Monthly_Pay_Model!$C$9:$C$39,0),4)),IF(VLOOKUP(A123,Calendar!$A$1:$R$1377,18,0)=3,SUM(INDEX(Monthly_Pay_Model!$A$9:$D$40,MATCH(TEXT(A123,"dd"),Monthly_Pay_Model!$C$9:$C$39,0),4),INDEX(Monthly_Pay_Model!$A$9:$D$40,MATCH(TEXT(A124,"dd"),Monthly_Pay_Model!$C$9:$C$39,0),4),INDEX(Monthly_Pay_Model!$A$9:$D$40,MATCH(TEXT(A125,"dd"),Monthly_Pay_Model!$C$9:$C$39,0),4)),IF(VLOOKUP(A123,Calendar!$A$1:$R$1377,18,0)=4,SUM(INDEX(Monthly_Pay_Model!$A$9:$D$40,MATCH(TEXT(A123,"dd"),Monthly_Pay_Model!$C$9:$C$39,0),4),INDEX(Monthly_Pay_Model!$A$9:$D$40,MATCH(TEXT(A124,"dd"),Monthly_Pay_Model!$C$9:$C$39,0),4),INDEX(Monthly_Pay_Model!$A$9:$D$40,MATCH(TEXT(A125,"dd"),Monthly_Pay_Model!$C$9:$C$39,0),4),INDEX(Monthly_Pay_Model!$A$9:$D$40,MATCH(TEXT(A126,"dd"),Monthly_Pay_Model!$C$9:$C$39,0),4)),IF(VLOOKUP(A123,Calendar!$A$1:$R$1377,18,0)=5,SUM(INDEX(Monthly_Pay_Model!$A$9:$D$40,MATCH(TEXT(A123,"dd"),Monthly_Pay_Model!$C$9:$C$39,0),4),INDEX(Monthly_Pay_Model!$A$9:$D$40,MATCH(TEXT(A124,"dd"),Monthly_Pay_Model!$C$9:$C$39,0),4),INDEX(Monthly_Pay_Model!$A$9:$D$40,MATCH(TEXT(A125,"dd"),Monthly_Pay_Model!$C$9:$C$39,0),4),INDEX(Monthly_Pay_Model!$A$9:$D$40,MATCH(TEXT(A126,"dd"),Monthly_Pay_Model!$C$9:$C$39,0),4),INDEX(Monthly_Pay_Model!$A$9:$D$40,MATCH(TEXT(A127,"dd"),Monthly_Pay_Model!$C$9:$C$39,0),4)),))))))</f>
        <v>4.8753926701570662E-3</v>
      </c>
      <c r="J123" s="33">
        <f>IF(C123="Yes",Monthly_Pay_Model!$D$2,0)
+IF(Calendar!N123="Yes",Monthly_Pay_Model!$D$3,0)
+IF(D123="Yes",Monthly_Pay_Model!$D$4,0)
+IF(E123="Yes",Monthly_Pay_Model!$D$5,0)</f>
        <v>0.41127999999999998</v>
      </c>
      <c r="K123" s="27">
        <f>IF(VLOOKUP($A123,Calendar!$A$1:$R$1377,18,0)=0,0,IF(VLOOKUP($A123,Calendar!$A$1:$R$1377,18,0)=1,IFERROR(INDEX(Weekly_Model!$D$2:$D$9,MATCH(F123,Weekly_Model!$A$2:$A$9,0)),0),IF(VLOOKUP($A123,Calendar!$A$1:$R$1377,18,0)=2,SUM(IFERROR(INDEX(Weekly_Model!$D$2:$D$9,MATCH(F123,Weekly_Model!$A$2:$A$9,0)),0),IFERROR(INDEX(Weekly_Model!$D$2:$D$9,MATCH(F124,Weekly_Model!$A$2:$A$9,0)),0)),IF(VLOOKUP($A123,Calendar!$A$1:$R$1377,18,0)=3,SUM(IFERROR(INDEX(Weekly_Model!$D$2:$D$9,MATCH(F123,Weekly_Model!$A$2:$A$9,0)),0),IFERROR(INDEX(Weekly_Model!$D$2:$D$9,MATCH(F124,Weekly_Model!$A$2:$A$9,0)),0),IFERROR(INDEX(Weekly_Model!$D$2:$D$9,MATCH(F125,Weekly_Model!$A$2:$A$9,0)),0)),IF(VLOOKUP($A123,Calendar!$A$1:$R$1377,18,0)=4,SUM(IFERROR(INDEX(Weekly_Model!$D$2:$D$9,MATCH(F123,Weekly_Model!$A$2:$A$9,0)),0),IFERROR(INDEX(Weekly_Model!$D$2:$D$9,MATCH(F124,Weekly_Model!$A$2:$A$9,0)),0),IFERROR(INDEX(Weekly_Model!$D$2:$D$9,MATCH(F125,Weekly_Model!$A$2:$A$9,0)),0),IFERROR(INDEX(Weekly_Model!$D$2:$D$9,MATCH(F126,Weekly_Model!$A$2:$A$9,0)),0)),IF(VLOOKUP($A123,Calendar!$A$1:$R$1377,18,0)=5,SUM(IFERROR(INDEX(Weekly_Model!$D$2:$D$9,MATCH(F123,Weekly_Model!$A$2:$A$9,0)),0),IFERROR(INDEX(Weekly_Model!$D$2:$D$9,MATCH(F124,Weekly_Model!$A$2:$A$9,0)),0),IFERROR(INDEX(Weekly_Model!$D$2:$D$9,MATCH(F125,Weekly_Model!$A$2:$A$9,0)),0),IFERROR(INDEX(Weekly_Model!$D$2:$D$9,MATCH(F126,Weekly_Model!$A$2:$A$9,0)),0),IFERROR(INDEX(Weekly_Model!$D$2:$D$9,MATCH(F127,Weekly_Model!$A$2:$A$9,0)),0)),0))))))</f>
        <v>2.3200000000000002E-2</v>
      </c>
      <c r="L123" s="27">
        <f>IF(VLOOKUP($A123,Calendar!$A$1:$R$1377,18,0)=0,0,IF(VLOOKUP($A123,Calendar!$A$1:$R$1377,18,0)=1,IFERROR(INDEX(Fortnightly_Model!$D$2:$D$15,MATCH(G123,Fortnightly_Model!$B$2:$B$15,0)),0),IF(VLOOKUP($A123,Calendar!$A$1:$R$1377,18,0)=2,SUM(IFERROR(INDEX(Fortnightly_Model!$D$2:$D$15,MATCH(G123,Fortnightly_Model!$B$2:$B$15,0)),0),IFERROR(INDEX(Fortnightly_Model!$D$2:$D$15,MATCH(G124,Fortnightly_Model!$B$2:$B$15,0)),0)),IF(VLOOKUP($A123,Calendar!$A$1:$R$1377,18,0)=3,SUM(IFERROR(INDEX(Fortnightly_Model!$D$2:$D$15,MATCH(G123,Fortnightly_Model!$B$2:$B$15,0)),0),IFERROR(INDEX(Fortnightly_Model!$D$2:$D$15,MATCH(G124,Fortnightly_Model!$B$2:$B$15,0)),0),IFERROR(INDEX(Fortnightly_Model!$D$2:$D$15,MATCH(G125,Fortnightly_Model!$B$2:$B$15,0)),0)),IF(VLOOKUP($A123,Calendar!$A$1:$R$1377,18,0)=4,SUM(IFERROR(INDEX(Fortnightly_Model!$D$2:$D$15,MATCH(G123,Fortnightly_Model!$B$2:$B$15,0)),0),IFERROR(INDEX(Fortnightly_Model!$D$2:$D$15,MATCH(G124,Fortnightly_Model!$B$2:$B$15,0)),0),IFERROR(INDEX(Fortnightly_Model!$D$2:$D$15,MATCH(G125,Fortnightly_Model!$B$2:$B$15,0)),0),IFERROR(INDEX(Fortnightly_Model!$D$2:$D$15,MATCH(G126,Fortnightly_Model!$B$2:$B$15,0)),0)),IF(VLOOKUP($A123,Calendar!$A$1:$R$1377,18,0)=5,SUM(IFERROR(INDEX(Fortnightly_Model!$D$2:$D$15,MATCH(G123,Fortnightly_Model!$B$2:$B$15,0)),0),IFERROR(INDEX(Fortnightly_Model!$D$2:$D$15,MATCH(G124,Fortnightly_Model!$B$2:$B$15,0)),0),IFERROR(INDEX(Fortnightly_Model!$D$2:$D$15,MATCH(G125,Fortnightly_Model!$B$2:$B$15,0)),0),IFERROR(INDEX(Fortnightly_Model!$D$2:$D$15,MATCH(G126,Fortnightly_Model!$B$2:$B$15,0)),0),IFERROR(INDEX(Fortnightly_Model!$D$2:$D$15,MATCH(G127,Fortnightly_Model!$B$2:$B$15,0)),0)),0))))))</f>
        <v>1.0714285499999999E-3</v>
      </c>
      <c r="M123" s="27">
        <f>IF(VLOOKUP($A123,Calendar!$A$1:$R$1377,18,0)=0,0,IF(VLOOKUP($A123,Calendar!$A$1:$R$1377,18,0)=1,IFERROR(INDEX(FourWeekly_Model!$D$2:$D$29,MATCH(H123,FourWeekly_Model!$B$2:$B$29,0)),0),IF(VLOOKUP($A123,Calendar!$A$1:$R$1377,18,0)=2,SUM(IFERROR(INDEX(FourWeekly_Model!$D$2:$D$29,MATCH(H123,FourWeekly_Model!$B$2:$B$29,0)),0),IFERROR(INDEX(FourWeekly_Model!$D$2:$D$29,MATCH(H124,FourWeekly_Model!$B$2:$B$29,0)),0)),IF(VLOOKUP($A123,Calendar!$A$1:$R$1377,18,0)=3,SUM(IFERROR(INDEX(FourWeekly_Model!$D$2:$D$29,MATCH(H123,FourWeekly_Model!$B$2:$B$29,0)),0),IFERROR(INDEX(FourWeekly_Model!$D$2:$D$29,MATCH(H124,FourWeekly_Model!$B$2:$B$29,0)),0),IFERROR(INDEX(FourWeekly_Model!$D$2:$D$29,MATCH(H125,FourWeekly_Model!$B$2:$B$29,0)),0)),IF(VLOOKUP($A123,Calendar!$A$1:$R$1377,18,0)=4,SUM(IFERROR(INDEX(FourWeekly_Model!$D$2:$D$29,MATCH(H123,FourWeekly_Model!$B$2:$B$29,0)),0),IFERROR(INDEX(FourWeekly_Model!$D$2:$D$29,MATCH(H124,FourWeekly_Model!$B$2:$B$29,0)),0),IFERROR(INDEX(FourWeekly_Model!$D$2:$D$29,MATCH(H125,FourWeekly_Model!$B$2:$B$29,0)),0),IFERROR(INDEX(FourWeekly_Model!$D$2:$D$29,MATCH(H126,FourWeekly_Model!$B$2:$B$29,0)),0)),IF(VLOOKUP($A123,Calendar!$A$1:$R$1377,18,0)=5,SUM(IFERROR(INDEX(FourWeekly_Model!$D$2:$D$29,MATCH(H123,FourWeekly_Model!$B$2:$B$29,0)),0),IFERROR(INDEX(FourWeekly_Model!$D$2:$D$29,MATCH(H124,FourWeekly_Model!$B$2:$B$29,0)),0),IFERROR(INDEX(FourWeekly_Model!$D$2:$D$29,MATCH(H125,FourWeekly_Model!$B$2:$B$29,0)),0),IFERROR(INDEX(FourWeekly_Model!$D$2:$D$29,MATCH(H126,FourWeekly_Model!$B$2:$B$29,0)),0),IFERROR(INDEX(FourWeekly_Model!$D$2:$D$29,MATCH(H127,FourWeekly_Model!$B$2:$B$29,0)),0)),0))))))</f>
        <v>3.3214289700000004E-3</v>
      </c>
      <c r="N123" s="27">
        <f>SUM(I123:M123)</f>
        <v>0.44374825019015701</v>
      </c>
      <c r="O123" s="28">
        <f>Population_Data!$B$8*N123</f>
        <v>13445571.980761757</v>
      </c>
      <c r="P123" s="27">
        <f>IF(VLOOKUP($A123,Calendar!$A$1:$R$1377,18,0)=0,0,IF(VLOOKUP($A123,Calendar!$A$1:$R$1377,18,0)=1,IFERROR(INDEX(Pension_Model!$D$2:$D$29,MATCH(H123,Pension_Model!$B$2:$B$29,0)),0),IF(VLOOKUP($A123,Calendar!$A$1:$R$1377,18,0)=2,SUM(IFERROR(INDEX(Pension_Model!$D$2:$D$29,MATCH(H123,Pension_Model!$B$2:$B$29,0)),0),IFERROR(INDEX(Pension_Model!$D$2:$D$29,MATCH(H124,Pension_Model!$B$2:$B$29,0)),0)),IF(VLOOKUP($A123,Calendar!$A$1:$R$1377,18,0)=3,SUM(IFERROR(INDEX(Pension_Model!$D$2:$D$29,MATCH(H123,Pension_Model!$B$2:$B$29,0)),0),IFERROR(INDEX(Pension_Model!$D$2:$D$29,MATCH(H124,Pension_Model!$B$2:$B$29,0)),0),IFERROR(INDEX(Pension_Model!$D$2:$D$29,MATCH(H125,Pension_Model!$B$2:$B$29,0)),0)),IF(VLOOKUP($A123,Calendar!$A$1:$R$1377,18,0)=4,SUM(IFERROR(INDEX(Pension_Model!$D$2:$D$29,MATCH(H123,Pension_Model!$B$2:$B$29,0)),0),IFERROR(INDEX(Pension_Model!$D$2:$D$29,MATCH(H124,Pension_Model!$B$2:$B$29,0)),0),IFERROR(INDEX(Pension_Model!$D$2:$D$29,MATCH(H125,Pension_Model!$B$2:$B$29,0)),0),IFERROR(INDEX(Pension_Model!$D$2:$D$29,MATCH(H126,Pension_Model!$B$2:$B$29,0)),0)),IF(VLOOKUP($A123,Calendar!$A$1:$R$1377,18,0)=5,SUM(IFERROR(INDEX(Pension_Model!$D$2:$D$29,MATCH(H123,Pension_Model!$B$2:$B$29,0)),0),IFERROR(INDEX(Pension_Model!$D$2:$D$29,MATCH(H124,Pension_Model!$B$2:$B$29,0)),0),IFERROR(INDEX(Pension_Model!$D$2:$D$29,MATCH(H125,Pension_Model!$B$2:$B$29,0)),0),IFERROR(INDEX(Pension_Model!$D$2:$D$29,MATCH(H126,Pension_Model!$B$2:$B$29,0)),0),IFERROR(INDEX(Pension_Model!$D$2:$D$29,MATCH(H127,Pension_Model!$B$2:$B$29,0)),0)),0))))))</f>
        <v>0.05</v>
      </c>
      <c r="Q123" s="28">
        <f>Population_Data!$B$15*P123</f>
        <v>660600</v>
      </c>
      <c r="S123">
        <f t="shared" si="1"/>
        <v>14106171.980761757</v>
      </c>
      <c r="U123" s="33">
        <f>S123/Population_Data!$B$19</f>
        <v>0.25554659385437967</v>
      </c>
    </row>
    <row r="124" spans="1:21">
      <c r="A124" s="25">
        <f>Calendar!A124</f>
        <v>46357</v>
      </c>
      <c r="B124" t="str">
        <f>Calendar!L124</f>
        <v>Yes</v>
      </c>
      <c r="C124" t="str">
        <f>Calendar!O124</f>
        <v>No</v>
      </c>
      <c r="D124" t="str">
        <f>Calendar!P124</f>
        <v>No</v>
      </c>
      <c r="E124" t="str">
        <f>Calendar!Q124</f>
        <v>No</v>
      </c>
      <c r="F124" t="str">
        <f>Calendar!I124</f>
        <v>Tuesday</v>
      </c>
      <c r="G124">
        <f>Calendar!S124</f>
        <v>3</v>
      </c>
      <c r="H124">
        <f>Calendar!T124</f>
        <v>17</v>
      </c>
      <c r="I124" s="27">
        <f>IF(VLOOKUP(A124,Calendar!$A$1:$R$1377,18,0)=0,0,IF(VLOOKUP(A124,Calendar!$A$1:$R$1377,18,0)=1,INDEX(Monthly_Pay_Model!$A$9:$D$40,MATCH(TEXT(A124,"dd"),Monthly_Pay_Model!$C$9:$C$39,0),4),IF(VLOOKUP(A124,Calendar!$A$1:$R$1377,18,0)=2,SUM(INDEX(Monthly_Pay_Model!$A$9:$D$40,MATCH(TEXT(A124,"dd"),Monthly_Pay_Model!$C$9:$C$39,0),4),INDEX(Monthly_Pay_Model!$A$9:$D$40,MATCH(TEXT(A125,"dd"),Monthly_Pay_Model!$C$9:$C$39,0),4)),IF(VLOOKUP(A124,Calendar!$A$1:$R$1377,18,0)=3,SUM(INDEX(Monthly_Pay_Model!$A$9:$D$40,MATCH(TEXT(A124,"dd"),Monthly_Pay_Model!$C$9:$C$39,0),4),INDEX(Monthly_Pay_Model!$A$9:$D$40,MATCH(TEXT(A125,"dd"),Monthly_Pay_Model!$C$9:$C$39,0),4),INDEX(Monthly_Pay_Model!$A$9:$D$40,MATCH(TEXT(A126,"dd"),Monthly_Pay_Model!$C$9:$C$39,0),4)),IF(VLOOKUP(A124,Calendar!$A$1:$R$1377,18,0)=4,SUM(INDEX(Monthly_Pay_Model!$A$9:$D$40,MATCH(TEXT(A124,"dd"),Monthly_Pay_Model!$C$9:$C$39,0),4),INDEX(Monthly_Pay_Model!$A$9:$D$40,MATCH(TEXT(A125,"dd"),Monthly_Pay_Model!$C$9:$C$39,0),4),INDEX(Monthly_Pay_Model!$A$9:$D$40,MATCH(TEXT(A126,"dd"),Monthly_Pay_Model!$C$9:$C$39,0),4),INDEX(Monthly_Pay_Model!$A$9:$D$40,MATCH(TEXT(A127,"dd"),Monthly_Pay_Model!$C$9:$C$39,0),4)),IF(VLOOKUP(A124,Calendar!$A$1:$R$1377,18,0)=5,SUM(INDEX(Monthly_Pay_Model!$A$9:$D$40,MATCH(TEXT(A124,"dd"),Monthly_Pay_Model!$C$9:$C$39,0),4),INDEX(Monthly_Pay_Model!$A$9:$D$40,MATCH(TEXT(A125,"dd"),Monthly_Pay_Model!$C$9:$C$39,0),4),INDEX(Monthly_Pay_Model!$A$9:$D$40,MATCH(TEXT(A126,"dd"),Monthly_Pay_Model!$C$9:$C$39,0),4),INDEX(Monthly_Pay_Model!$A$9:$D$40,MATCH(TEXT(A127,"dd"),Monthly_Pay_Model!$C$9:$C$39,0),4),INDEX(Monthly_Pay_Model!$A$9:$D$40,MATCH(TEXT(A128,"dd"),Monthly_Pay_Model!$C$9:$C$39,0),4)),))))))</f>
        <v>4.0628272251308894E-3</v>
      </c>
      <c r="J124" s="33">
        <f>IF(C124="Yes",Monthly_Pay_Model!$D$2,0)
+IF(Calendar!N124="Yes",Monthly_Pay_Model!$D$3,0)
+IF(D124="Yes",Monthly_Pay_Model!$D$4,0)
+IF(E124="Yes",Monthly_Pay_Model!$D$5,0)</f>
        <v>0</v>
      </c>
      <c r="K124" s="27">
        <f>IF(VLOOKUP($A124,Calendar!$A$1:$R$1377,18,0)=0,0,IF(VLOOKUP($A124,Calendar!$A$1:$R$1377,18,0)=1,IFERROR(INDEX(Weekly_Model!$D$2:$D$9,MATCH(F124,Weekly_Model!$A$2:$A$9,0)),0),IF(VLOOKUP($A124,Calendar!$A$1:$R$1377,18,0)=2,SUM(IFERROR(INDEX(Weekly_Model!$D$2:$D$9,MATCH(F124,Weekly_Model!$A$2:$A$9,0)),0),IFERROR(INDEX(Weekly_Model!$D$2:$D$9,MATCH(F125,Weekly_Model!$A$2:$A$9,0)),0)),IF(VLOOKUP($A124,Calendar!$A$1:$R$1377,18,0)=3,SUM(IFERROR(INDEX(Weekly_Model!$D$2:$D$9,MATCH(F124,Weekly_Model!$A$2:$A$9,0)),0),IFERROR(INDEX(Weekly_Model!$D$2:$D$9,MATCH(F125,Weekly_Model!$A$2:$A$9,0)),0),IFERROR(INDEX(Weekly_Model!$D$2:$D$9,MATCH(F126,Weekly_Model!$A$2:$A$9,0)),0)),IF(VLOOKUP($A124,Calendar!$A$1:$R$1377,18,0)=4,SUM(IFERROR(INDEX(Weekly_Model!$D$2:$D$9,MATCH(F124,Weekly_Model!$A$2:$A$9,0)),0),IFERROR(INDEX(Weekly_Model!$D$2:$D$9,MATCH(F125,Weekly_Model!$A$2:$A$9,0)),0),IFERROR(INDEX(Weekly_Model!$D$2:$D$9,MATCH(F126,Weekly_Model!$A$2:$A$9,0)),0),IFERROR(INDEX(Weekly_Model!$D$2:$D$9,MATCH(F127,Weekly_Model!$A$2:$A$9,0)),0)),IF(VLOOKUP($A124,Calendar!$A$1:$R$1377,18,0)=5,SUM(IFERROR(INDEX(Weekly_Model!$D$2:$D$9,MATCH(F124,Weekly_Model!$A$2:$A$9,0)),0),IFERROR(INDEX(Weekly_Model!$D$2:$D$9,MATCH(F125,Weekly_Model!$A$2:$A$9,0)),0),IFERROR(INDEX(Weekly_Model!$D$2:$D$9,MATCH(F126,Weekly_Model!$A$2:$A$9,0)),0),IFERROR(INDEX(Weekly_Model!$D$2:$D$9,MATCH(F127,Weekly_Model!$A$2:$A$9,0)),0),IFERROR(INDEX(Weekly_Model!$D$2:$D$9,MATCH(F128,Weekly_Model!$A$2:$A$9,0)),0)),0))))))</f>
        <v>2.3200000000000002E-2</v>
      </c>
      <c r="L124" s="27">
        <f>IF(VLOOKUP($A124,Calendar!$A$1:$R$1377,18,0)=0,0,IF(VLOOKUP($A124,Calendar!$A$1:$R$1377,18,0)=1,IFERROR(INDEX(Fortnightly_Model!$D$2:$D$15,MATCH(G124,Fortnightly_Model!$B$2:$B$15,0)),0),IF(VLOOKUP($A124,Calendar!$A$1:$R$1377,18,0)=2,SUM(IFERROR(INDEX(Fortnightly_Model!$D$2:$D$15,MATCH(G124,Fortnightly_Model!$B$2:$B$15,0)),0),IFERROR(INDEX(Fortnightly_Model!$D$2:$D$15,MATCH(G125,Fortnightly_Model!$B$2:$B$15,0)),0)),IF(VLOOKUP($A124,Calendar!$A$1:$R$1377,18,0)=3,SUM(IFERROR(INDEX(Fortnightly_Model!$D$2:$D$15,MATCH(G124,Fortnightly_Model!$B$2:$B$15,0)),0),IFERROR(INDEX(Fortnightly_Model!$D$2:$D$15,MATCH(G125,Fortnightly_Model!$B$2:$B$15,0)),0),IFERROR(INDEX(Fortnightly_Model!$D$2:$D$15,MATCH(G126,Fortnightly_Model!$B$2:$B$15,0)),0)),IF(VLOOKUP($A124,Calendar!$A$1:$R$1377,18,0)=4,SUM(IFERROR(INDEX(Fortnightly_Model!$D$2:$D$15,MATCH(G124,Fortnightly_Model!$B$2:$B$15,0)),0),IFERROR(INDEX(Fortnightly_Model!$D$2:$D$15,MATCH(G125,Fortnightly_Model!$B$2:$B$15,0)),0),IFERROR(INDEX(Fortnightly_Model!$D$2:$D$15,MATCH(G126,Fortnightly_Model!$B$2:$B$15,0)),0),IFERROR(INDEX(Fortnightly_Model!$D$2:$D$15,MATCH(G127,Fortnightly_Model!$B$2:$B$15,0)),0)),IF(VLOOKUP($A124,Calendar!$A$1:$R$1377,18,0)=5,SUM(IFERROR(INDEX(Fortnightly_Model!$D$2:$D$15,MATCH(G124,Fortnightly_Model!$B$2:$B$15,0)),0),IFERROR(INDEX(Fortnightly_Model!$D$2:$D$15,MATCH(G125,Fortnightly_Model!$B$2:$B$15,0)),0),IFERROR(INDEX(Fortnightly_Model!$D$2:$D$15,MATCH(G126,Fortnightly_Model!$B$2:$B$15,0)),0),IFERROR(INDEX(Fortnightly_Model!$D$2:$D$15,MATCH(G127,Fortnightly_Model!$B$2:$B$15,0)),0),IFERROR(INDEX(Fortnightly_Model!$D$2:$D$15,MATCH(G128,Fortnightly_Model!$B$2:$B$15,0)),0)),0))))))</f>
        <v>1.0714285499999999E-3</v>
      </c>
      <c r="M124" s="27">
        <f>IF(VLOOKUP($A124,Calendar!$A$1:$R$1377,18,0)=0,0,IF(VLOOKUP($A124,Calendar!$A$1:$R$1377,18,0)=1,IFERROR(INDEX(FourWeekly_Model!$D$2:$D$29,MATCH(H124,FourWeekly_Model!$B$2:$B$29,0)),0),IF(VLOOKUP($A124,Calendar!$A$1:$R$1377,18,0)=2,SUM(IFERROR(INDEX(FourWeekly_Model!$D$2:$D$29,MATCH(H124,FourWeekly_Model!$B$2:$B$29,0)),0),IFERROR(INDEX(FourWeekly_Model!$D$2:$D$29,MATCH(H125,FourWeekly_Model!$B$2:$B$29,0)),0)),IF(VLOOKUP($A124,Calendar!$A$1:$R$1377,18,0)=3,SUM(IFERROR(INDEX(FourWeekly_Model!$D$2:$D$29,MATCH(H124,FourWeekly_Model!$B$2:$B$29,0)),0),IFERROR(INDEX(FourWeekly_Model!$D$2:$D$29,MATCH(H125,FourWeekly_Model!$B$2:$B$29,0)),0),IFERROR(INDEX(FourWeekly_Model!$D$2:$D$29,MATCH(H126,FourWeekly_Model!$B$2:$B$29,0)),0)),IF(VLOOKUP($A124,Calendar!$A$1:$R$1377,18,0)=4,SUM(IFERROR(INDEX(FourWeekly_Model!$D$2:$D$29,MATCH(H124,FourWeekly_Model!$B$2:$B$29,0)),0),IFERROR(INDEX(FourWeekly_Model!$D$2:$D$29,MATCH(H125,FourWeekly_Model!$B$2:$B$29,0)),0),IFERROR(INDEX(FourWeekly_Model!$D$2:$D$29,MATCH(H126,FourWeekly_Model!$B$2:$B$29,0)),0),IFERROR(INDEX(FourWeekly_Model!$D$2:$D$29,MATCH(H127,FourWeekly_Model!$B$2:$B$29,0)),0)),IF(VLOOKUP($A124,Calendar!$A$1:$R$1377,18,0)=5,SUM(IFERROR(INDEX(FourWeekly_Model!$D$2:$D$29,MATCH(H124,FourWeekly_Model!$B$2:$B$29,0)),0),IFERROR(INDEX(FourWeekly_Model!$D$2:$D$29,MATCH(H125,FourWeekly_Model!$B$2:$B$29,0)),0),IFERROR(INDEX(FourWeekly_Model!$D$2:$D$29,MATCH(H126,FourWeekly_Model!$B$2:$B$29,0)),0),IFERROR(INDEX(FourWeekly_Model!$D$2:$D$29,MATCH(H127,FourWeekly_Model!$B$2:$B$29,0)),0),IFERROR(INDEX(FourWeekly_Model!$D$2:$D$29,MATCH(H128,FourWeekly_Model!$B$2:$B$29,0)),0)),0))))))</f>
        <v>3.3214289700000004E-3</v>
      </c>
      <c r="N124" s="27">
        <f>SUM(I124:M124)</f>
        <v>3.1655684745130891E-2</v>
      </c>
      <c r="O124" s="28">
        <f>Population_Data!$B$8*N124</f>
        <v>959167.24777746596</v>
      </c>
      <c r="P124" s="27">
        <f>IF(VLOOKUP($A124,Calendar!$A$1:$R$1377,18,0)=0,0,IF(VLOOKUP($A124,Calendar!$A$1:$R$1377,18,0)=1,IFERROR(INDEX(Pension_Model!$D$2:$D$29,MATCH(H124,Pension_Model!$B$2:$B$29,0)),0),IF(VLOOKUP($A124,Calendar!$A$1:$R$1377,18,0)=2,SUM(IFERROR(INDEX(Pension_Model!$D$2:$D$29,MATCH(H124,Pension_Model!$B$2:$B$29,0)),0),IFERROR(INDEX(Pension_Model!$D$2:$D$29,MATCH(H125,Pension_Model!$B$2:$B$29,0)),0)),IF(VLOOKUP($A124,Calendar!$A$1:$R$1377,18,0)=3,SUM(IFERROR(INDEX(Pension_Model!$D$2:$D$29,MATCH(H124,Pension_Model!$B$2:$B$29,0)),0),IFERROR(INDEX(Pension_Model!$D$2:$D$29,MATCH(H125,Pension_Model!$B$2:$B$29,0)),0),IFERROR(INDEX(Pension_Model!$D$2:$D$29,MATCH(H126,Pension_Model!$B$2:$B$29,0)),0)),IF(VLOOKUP($A124,Calendar!$A$1:$R$1377,18,0)=4,SUM(IFERROR(INDEX(Pension_Model!$D$2:$D$29,MATCH(H124,Pension_Model!$B$2:$B$29,0)),0),IFERROR(INDEX(Pension_Model!$D$2:$D$29,MATCH(H125,Pension_Model!$B$2:$B$29,0)),0),IFERROR(INDEX(Pension_Model!$D$2:$D$29,MATCH(H126,Pension_Model!$B$2:$B$29,0)),0),IFERROR(INDEX(Pension_Model!$D$2:$D$29,MATCH(H127,Pension_Model!$B$2:$B$29,0)),0)),IF(VLOOKUP($A124,Calendar!$A$1:$R$1377,18,0)=5,SUM(IFERROR(INDEX(Pension_Model!$D$2:$D$29,MATCH(H124,Pension_Model!$B$2:$B$29,0)),0),IFERROR(INDEX(Pension_Model!$D$2:$D$29,MATCH(H125,Pension_Model!$B$2:$B$29,0)),0),IFERROR(INDEX(Pension_Model!$D$2:$D$29,MATCH(H126,Pension_Model!$B$2:$B$29,0)),0),IFERROR(INDEX(Pension_Model!$D$2:$D$29,MATCH(H127,Pension_Model!$B$2:$B$29,0)),0),IFERROR(INDEX(Pension_Model!$D$2:$D$29,MATCH(H128,Pension_Model!$B$2:$B$29,0)),0)),0))))))</f>
        <v>0.05</v>
      </c>
      <c r="Q124" s="28">
        <f>Population_Data!$B$15*P124</f>
        <v>660600</v>
      </c>
      <c r="S124">
        <f t="shared" si="1"/>
        <v>1619767.247777466</v>
      </c>
      <c r="U124" s="33">
        <f>S124/Population_Data!$B$19</f>
        <v>2.9343609561185979E-2</v>
      </c>
    </row>
    <row r="125" spans="1:21">
      <c r="A125" s="25">
        <f>Calendar!A125</f>
        <v>46358</v>
      </c>
      <c r="B125" t="str">
        <f>Calendar!L125</f>
        <v>Yes</v>
      </c>
      <c r="C125" t="str">
        <f>Calendar!O125</f>
        <v>No</v>
      </c>
      <c r="D125" t="str">
        <f>Calendar!P125</f>
        <v>No</v>
      </c>
      <c r="E125" t="str">
        <f>Calendar!Q125</f>
        <v>No</v>
      </c>
      <c r="F125" t="str">
        <f>Calendar!I125</f>
        <v>Wednesday</v>
      </c>
      <c r="G125">
        <f>Calendar!S125</f>
        <v>4</v>
      </c>
      <c r="H125">
        <f>Calendar!T125</f>
        <v>18</v>
      </c>
      <c r="I125" s="27">
        <f>IF(VLOOKUP(A125,Calendar!$A$1:$R$1377,18,0)=0,0,IF(VLOOKUP(A125,Calendar!$A$1:$R$1377,18,0)=1,INDEX(Monthly_Pay_Model!$A$9:$D$40,MATCH(TEXT(A125,"dd"),Monthly_Pay_Model!$C$9:$C$39,0),4),IF(VLOOKUP(A125,Calendar!$A$1:$R$1377,18,0)=2,SUM(INDEX(Monthly_Pay_Model!$A$9:$D$40,MATCH(TEXT(A125,"dd"),Monthly_Pay_Model!$C$9:$C$39,0),4),INDEX(Monthly_Pay_Model!$A$9:$D$40,MATCH(TEXT(A126,"dd"),Monthly_Pay_Model!$C$9:$C$39,0),4)),IF(VLOOKUP(A125,Calendar!$A$1:$R$1377,18,0)=3,SUM(INDEX(Monthly_Pay_Model!$A$9:$D$40,MATCH(TEXT(A125,"dd"),Monthly_Pay_Model!$C$9:$C$39,0),4),INDEX(Monthly_Pay_Model!$A$9:$D$40,MATCH(TEXT(A126,"dd"),Monthly_Pay_Model!$C$9:$C$39,0),4),INDEX(Monthly_Pay_Model!$A$9:$D$40,MATCH(TEXT(A127,"dd"),Monthly_Pay_Model!$C$9:$C$39,0),4)),IF(VLOOKUP(A125,Calendar!$A$1:$R$1377,18,0)=4,SUM(INDEX(Monthly_Pay_Model!$A$9:$D$40,MATCH(TEXT(A125,"dd"),Monthly_Pay_Model!$C$9:$C$39,0),4),INDEX(Monthly_Pay_Model!$A$9:$D$40,MATCH(TEXT(A126,"dd"),Monthly_Pay_Model!$C$9:$C$39,0),4),INDEX(Monthly_Pay_Model!$A$9:$D$40,MATCH(TEXT(A127,"dd"),Monthly_Pay_Model!$C$9:$C$39,0),4),INDEX(Monthly_Pay_Model!$A$9:$D$40,MATCH(TEXT(A128,"dd"),Monthly_Pay_Model!$C$9:$C$39,0),4)),IF(VLOOKUP(A125,Calendar!$A$1:$R$1377,18,0)=5,SUM(INDEX(Monthly_Pay_Model!$A$9:$D$40,MATCH(TEXT(A125,"dd"),Monthly_Pay_Model!$C$9:$C$39,0),4),INDEX(Monthly_Pay_Model!$A$9:$D$40,MATCH(TEXT(A126,"dd"),Monthly_Pay_Model!$C$9:$C$39,0),4),INDEX(Monthly_Pay_Model!$A$9:$D$40,MATCH(TEXT(A127,"dd"),Monthly_Pay_Model!$C$9:$C$39,0),4),INDEX(Monthly_Pay_Model!$A$9:$D$40,MATCH(TEXT(A128,"dd"),Monthly_Pay_Model!$C$9:$C$39,0),4),INDEX(Monthly_Pay_Model!$A$9:$D$40,MATCH(TEXT(A129,"dd"),Monthly_Pay_Model!$C$9:$C$39,0),4)),))))))</f>
        <v>8.1256544502617792E-4</v>
      </c>
      <c r="J125" s="33">
        <f>IF(C125="Yes",Monthly_Pay_Model!$D$2,0)
+IF(Calendar!N125="Yes",Monthly_Pay_Model!$D$3,0)
+IF(D125="Yes",Monthly_Pay_Model!$D$4,0)
+IF(E125="Yes",Monthly_Pay_Model!$D$5,0)</f>
        <v>0</v>
      </c>
      <c r="K125" s="27">
        <f>IF(VLOOKUP($A125,Calendar!$A$1:$R$1377,18,0)=0,0,IF(VLOOKUP($A125,Calendar!$A$1:$R$1377,18,0)=1,IFERROR(INDEX(Weekly_Model!$D$2:$D$9,MATCH(F125,Weekly_Model!$A$2:$A$9,0)),0),IF(VLOOKUP($A125,Calendar!$A$1:$R$1377,18,0)=2,SUM(IFERROR(INDEX(Weekly_Model!$D$2:$D$9,MATCH(F125,Weekly_Model!$A$2:$A$9,0)),0),IFERROR(INDEX(Weekly_Model!$D$2:$D$9,MATCH(F126,Weekly_Model!$A$2:$A$9,0)),0)),IF(VLOOKUP($A125,Calendar!$A$1:$R$1377,18,0)=3,SUM(IFERROR(INDEX(Weekly_Model!$D$2:$D$9,MATCH(F125,Weekly_Model!$A$2:$A$9,0)),0),IFERROR(INDEX(Weekly_Model!$D$2:$D$9,MATCH(F126,Weekly_Model!$A$2:$A$9,0)),0),IFERROR(INDEX(Weekly_Model!$D$2:$D$9,MATCH(F127,Weekly_Model!$A$2:$A$9,0)),0)),IF(VLOOKUP($A125,Calendar!$A$1:$R$1377,18,0)=4,SUM(IFERROR(INDEX(Weekly_Model!$D$2:$D$9,MATCH(F125,Weekly_Model!$A$2:$A$9,0)),0),IFERROR(INDEX(Weekly_Model!$D$2:$D$9,MATCH(F126,Weekly_Model!$A$2:$A$9,0)),0),IFERROR(INDEX(Weekly_Model!$D$2:$D$9,MATCH(F127,Weekly_Model!$A$2:$A$9,0)),0),IFERROR(INDEX(Weekly_Model!$D$2:$D$9,MATCH(F128,Weekly_Model!$A$2:$A$9,0)),0)),IF(VLOOKUP($A125,Calendar!$A$1:$R$1377,18,0)=5,SUM(IFERROR(INDEX(Weekly_Model!$D$2:$D$9,MATCH(F125,Weekly_Model!$A$2:$A$9,0)),0),IFERROR(INDEX(Weekly_Model!$D$2:$D$9,MATCH(F126,Weekly_Model!$A$2:$A$9,0)),0),IFERROR(INDEX(Weekly_Model!$D$2:$D$9,MATCH(F127,Weekly_Model!$A$2:$A$9,0)),0),IFERROR(INDEX(Weekly_Model!$D$2:$D$9,MATCH(F128,Weekly_Model!$A$2:$A$9,0)),0),IFERROR(INDEX(Weekly_Model!$D$2:$D$9,MATCH(F129,Weekly_Model!$A$2:$A$9,0)),0)),0))))))</f>
        <v>2.3200000000000002E-2</v>
      </c>
      <c r="L125" s="27">
        <f>IF(VLOOKUP($A125,Calendar!$A$1:$R$1377,18,0)=0,0,IF(VLOOKUP($A125,Calendar!$A$1:$R$1377,18,0)=1,IFERROR(INDEX(Fortnightly_Model!$D$2:$D$15,MATCH(G125,Fortnightly_Model!$B$2:$B$15,0)),0),IF(VLOOKUP($A125,Calendar!$A$1:$R$1377,18,0)=2,SUM(IFERROR(INDEX(Fortnightly_Model!$D$2:$D$15,MATCH(G125,Fortnightly_Model!$B$2:$B$15,0)),0),IFERROR(INDEX(Fortnightly_Model!$D$2:$D$15,MATCH(G126,Fortnightly_Model!$B$2:$B$15,0)),0)),IF(VLOOKUP($A125,Calendar!$A$1:$R$1377,18,0)=3,SUM(IFERROR(INDEX(Fortnightly_Model!$D$2:$D$15,MATCH(G125,Fortnightly_Model!$B$2:$B$15,0)),0),IFERROR(INDEX(Fortnightly_Model!$D$2:$D$15,MATCH(G126,Fortnightly_Model!$B$2:$B$15,0)),0),IFERROR(INDEX(Fortnightly_Model!$D$2:$D$15,MATCH(G127,Fortnightly_Model!$B$2:$B$15,0)),0)),IF(VLOOKUP($A125,Calendar!$A$1:$R$1377,18,0)=4,SUM(IFERROR(INDEX(Fortnightly_Model!$D$2:$D$15,MATCH(G125,Fortnightly_Model!$B$2:$B$15,0)),0),IFERROR(INDEX(Fortnightly_Model!$D$2:$D$15,MATCH(G126,Fortnightly_Model!$B$2:$B$15,0)),0),IFERROR(INDEX(Fortnightly_Model!$D$2:$D$15,MATCH(G127,Fortnightly_Model!$B$2:$B$15,0)),0),IFERROR(INDEX(Fortnightly_Model!$D$2:$D$15,MATCH(G128,Fortnightly_Model!$B$2:$B$15,0)),0)),IF(VLOOKUP($A125,Calendar!$A$1:$R$1377,18,0)=5,SUM(IFERROR(INDEX(Fortnightly_Model!$D$2:$D$15,MATCH(G125,Fortnightly_Model!$B$2:$B$15,0)),0),IFERROR(INDEX(Fortnightly_Model!$D$2:$D$15,MATCH(G126,Fortnightly_Model!$B$2:$B$15,0)),0),IFERROR(INDEX(Fortnightly_Model!$D$2:$D$15,MATCH(G127,Fortnightly_Model!$B$2:$B$15,0)),0),IFERROR(INDEX(Fortnightly_Model!$D$2:$D$15,MATCH(G128,Fortnightly_Model!$B$2:$B$15,0)),0),IFERROR(INDEX(Fortnightly_Model!$D$2:$D$15,MATCH(G129,Fortnightly_Model!$B$2:$B$15,0)),0)),0))))))</f>
        <v>1.0714285499999999E-3</v>
      </c>
      <c r="M125" s="27">
        <f>IF(VLOOKUP($A125,Calendar!$A$1:$R$1377,18,0)=0,0,IF(VLOOKUP($A125,Calendar!$A$1:$R$1377,18,0)=1,IFERROR(INDEX(FourWeekly_Model!$D$2:$D$29,MATCH(H125,FourWeekly_Model!$B$2:$B$29,0)),0),IF(VLOOKUP($A125,Calendar!$A$1:$R$1377,18,0)=2,SUM(IFERROR(INDEX(FourWeekly_Model!$D$2:$D$29,MATCH(H125,FourWeekly_Model!$B$2:$B$29,0)),0),IFERROR(INDEX(FourWeekly_Model!$D$2:$D$29,MATCH(H126,FourWeekly_Model!$B$2:$B$29,0)),0)),IF(VLOOKUP($A125,Calendar!$A$1:$R$1377,18,0)=3,SUM(IFERROR(INDEX(FourWeekly_Model!$D$2:$D$29,MATCH(H125,FourWeekly_Model!$B$2:$B$29,0)),0),IFERROR(INDEX(FourWeekly_Model!$D$2:$D$29,MATCH(H126,FourWeekly_Model!$B$2:$B$29,0)),0),IFERROR(INDEX(FourWeekly_Model!$D$2:$D$29,MATCH(H127,FourWeekly_Model!$B$2:$B$29,0)),0)),IF(VLOOKUP($A125,Calendar!$A$1:$R$1377,18,0)=4,SUM(IFERROR(INDEX(FourWeekly_Model!$D$2:$D$29,MATCH(H125,FourWeekly_Model!$B$2:$B$29,0)),0),IFERROR(INDEX(FourWeekly_Model!$D$2:$D$29,MATCH(H126,FourWeekly_Model!$B$2:$B$29,0)),0),IFERROR(INDEX(FourWeekly_Model!$D$2:$D$29,MATCH(H127,FourWeekly_Model!$B$2:$B$29,0)),0),IFERROR(INDEX(FourWeekly_Model!$D$2:$D$29,MATCH(H128,FourWeekly_Model!$B$2:$B$29,0)),0)),IF(VLOOKUP($A125,Calendar!$A$1:$R$1377,18,0)=5,SUM(IFERROR(INDEX(FourWeekly_Model!$D$2:$D$29,MATCH(H125,FourWeekly_Model!$B$2:$B$29,0)),0),IFERROR(INDEX(FourWeekly_Model!$D$2:$D$29,MATCH(H126,FourWeekly_Model!$B$2:$B$29,0)),0),IFERROR(INDEX(FourWeekly_Model!$D$2:$D$29,MATCH(H127,FourWeekly_Model!$B$2:$B$29,0)),0),IFERROR(INDEX(FourWeekly_Model!$D$2:$D$29,MATCH(H128,FourWeekly_Model!$B$2:$B$29,0)),0),IFERROR(INDEX(FourWeekly_Model!$D$2:$D$29,MATCH(H129,FourWeekly_Model!$B$2:$B$29,0)),0)),0))))))</f>
        <v>3.3214289700000004E-3</v>
      </c>
      <c r="N125" s="27">
        <f>SUM(I125:M125)</f>
        <v>2.840542296502618E-2</v>
      </c>
      <c r="O125" s="28">
        <f>Population_Data!$B$8*N125</f>
        <v>860684.3158402933</v>
      </c>
      <c r="P125" s="27">
        <f>IF(VLOOKUP($A125,Calendar!$A$1:$R$1377,18,0)=0,0,IF(VLOOKUP($A125,Calendar!$A$1:$R$1377,18,0)=1,IFERROR(INDEX(Pension_Model!$D$2:$D$29,MATCH(H125,Pension_Model!$B$2:$B$29,0)),0),IF(VLOOKUP($A125,Calendar!$A$1:$R$1377,18,0)=2,SUM(IFERROR(INDEX(Pension_Model!$D$2:$D$29,MATCH(H125,Pension_Model!$B$2:$B$29,0)),0),IFERROR(INDEX(Pension_Model!$D$2:$D$29,MATCH(H126,Pension_Model!$B$2:$B$29,0)),0)),IF(VLOOKUP($A125,Calendar!$A$1:$R$1377,18,0)=3,SUM(IFERROR(INDEX(Pension_Model!$D$2:$D$29,MATCH(H125,Pension_Model!$B$2:$B$29,0)),0),IFERROR(INDEX(Pension_Model!$D$2:$D$29,MATCH(H126,Pension_Model!$B$2:$B$29,0)),0),IFERROR(INDEX(Pension_Model!$D$2:$D$29,MATCH(H127,Pension_Model!$B$2:$B$29,0)),0)),IF(VLOOKUP($A125,Calendar!$A$1:$R$1377,18,0)=4,SUM(IFERROR(INDEX(Pension_Model!$D$2:$D$29,MATCH(H125,Pension_Model!$B$2:$B$29,0)),0),IFERROR(INDEX(Pension_Model!$D$2:$D$29,MATCH(H126,Pension_Model!$B$2:$B$29,0)),0),IFERROR(INDEX(Pension_Model!$D$2:$D$29,MATCH(H127,Pension_Model!$B$2:$B$29,0)),0),IFERROR(INDEX(Pension_Model!$D$2:$D$29,MATCH(H128,Pension_Model!$B$2:$B$29,0)),0)),IF(VLOOKUP($A125,Calendar!$A$1:$R$1377,18,0)=5,SUM(IFERROR(INDEX(Pension_Model!$D$2:$D$29,MATCH(H125,Pension_Model!$B$2:$B$29,0)),0),IFERROR(INDEX(Pension_Model!$D$2:$D$29,MATCH(H126,Pension_Model!$B$2:$B$29,0)),0),IFERROR(INDEX(Pension_Model!$D$2:$D$29,MATCH(H127,Pension_Model!$B$2:$B$29,0)),0),IFERROR(INDEX(Pension_Model!$D$2:$D$29,MATCH(H128,Pension_Model!$B$2:$B$29,0)),0),IFERROR(INDEX(Pension_Model!$D$2:$D$29,MATCH(H129,Pension_Model!$B$2:$B$29,0)),0)),0))))))</f>
        <v>0.05</v>
      </c>
      <c r="Q125" s="28">
        <f>Population_Data!$B$15*P125</f>
        <v>660600</v>
      </c>
      <c r="S125">
        <f t="shared" si="1"/>
        <v>1521284.3158402932</v>
      </c>
      <c r="U125" s="33">
        <f>S125/Population_Data!$B$19</f>
        <v>2.7559498475367629E-2</v>
      </c>
    </row>
    <row r="126" spans="1:21">
      <c r="A126" s="25">
        <f>Calendar!A126</f>
        <v>46359</v>
      </c>
      <c r="B126" t="str">
        <f>Calendar!L126</f>
        <v>Yes</v>
      </c>
      <c r="C126" t="str">
        <f>Calendar!O126</f>
        <v>No</v>
      </c>
      <c r="D126" t="str">
        <f>Calendar!P126</f>
        <v>No</v>
      </c>
      <c r="E126" t="str">
        <f>Calendar!Q126</f>
        <v>No</v>
      </c>
      <c r="F126" t="str">
        <f>Calendar!I126</f>
        <v>Thursday</v>
      </c>
      <c r="G126">
        <f>Calendar!S126</f>
        <v>5</v>
      </c>
      <c r="H126">
        <f>Calendar!T126</f>
        <v>19</v>
      </c>
      <c r="I126" s="27">
        <f>IF(VLOOKUP(A126,Calendar!$A$1:$R$1377,18,0)=0,0,IF(VLOOKUP(A126,Calendar!$A$1:$R$1377,18,0)=1,INDEX(Monthly_Pay_Model!$A$9:$D$40,MATCH(TEXT(A126,"dd"),Monthly_Pay_Model!$C$9:$C$39,0),4),IF(VLOOKUP(A126,Calendar!$A$1:$R$1377,18,0)=2,SUM(INDEX(Monthly_Pay_Model!$A$9:$D$40,MATCH(TEXT(A126,"dd"),Monthly_Pay_Model!$C$9:$C$39,0),4),INDEX(Monthly_Pay_Model!$A$9:$D$40,MATCH(TEXT(A127,"dd"),Monthly_Pay_Model!$C$9:$C$39,0),4)),IF(VLOOKUP(A126,Calendar!$A$1:$R$1377,18,0)=3,SUM(INDEX(Monthly_Pay_Model!$A$9:$D$40,MATCH(TEXT(A126,"dd"),Monthly_Pay_Model!$C$9:$C$39,0),4),INDEX(Monthly_Pay_Model!$A$9:$D$40,MATCH(TEXT(A127,"dd"),Monthly_Pay_Model!$C$9:$C$39,0),4),INDEX(Monthly_Pay_Model!$A$9:$D$40,MATCH(TEXT(A128,"dd"),Monthly_Pay_Model!$C$9:$C$39,0),4)),IF(VLOOKUP(A126,Calendar!$A$1:$R$1377,18,0)=4,SUM(INDEX(Monthly_Pay_Model!$A$9:$D$40,MATCH(TEXT(A126,"dd"),Monthly_Pay_Model!$C$9:$C$39,0),4),INDEX(Monthly_Pay_Model!$A$9:$D$40,MATCH(TEXT(A127,"dd"),Monthly_Pay_Model!$C$9:$C$39,0),4),INDEX(Monthly_Pay_Model!$A$9:$D$40,MATCH(TEXT(A128,"dd"),Monthly_Pay_Model!$C$9:$C$39,0),4),INDEX(Monthly_Pay_Model!$A$9:$D$40,MATCH(TEXT(A129,"dd"),Monthly_Pay_Model!$C$9:$C$39,0),4)),IF(VLOOKUP(A126,Calendar!$A$1:$R$1377,18,0)=5,SUM(INDEX(Monthly_Pay_Model!$A$9:$D$40,MATCH(TEXT(A126,"dd"),Monthly_Pay_Model!$C$9:$C$39,0),4),INDEX(Monthly_Pay_Model!$A$9:$D$40,MATCH(TEXT(A127,"dd"),Monthly_Pay_Model!$C$9:$C$39,0),4),INDEX(Monthly_Pay_Model!$A$9:$D$40,MATCH(TEXT(A128,"dd"),Monthly_Pay_Model!$C$9:$C$39,0),4),INDEX(Monthly_Pay_Model!$A$9:$D$40,MATCH(TEXT(A129,"dd"),Monthly_Pay_Model!$C$9:$C$39,0),4),INDEX(Monthly_Pay_Model!$A$9:$D$40,MATCH(TEXT(A130,"dd"),Monthly_Pay_Model!$C$9:$C$39,0),4)),))))))</f>
        <v>8.1256544502617792E-4</v>
      </c>
      <c r="J126" s="33">
        <f>IF(C126="Yes",Monthly_Pay_Model!$D$2,0)
+IF(Calendar!N126="Yes",Monthly_Pay_Model!$D$3,0)
+IF(D126="Yes",Monthly_Pay_Model!$D$4,0)
+IF(E126="Yes",Monthly_Pay_Model!$D$5,0)</f>
        <v>0</v>
      </c>
      <c r="K126" s="27">
        <f>IF(VLOOKUP($A126,Calendar!$A$1:$R$1377,18,0)=0,0,IF(VLOOKUP($A126,Calendar!$A$1:$R$1377,18,0)=1,IFERROR(INDEX(Weekly_Model!$D$2:$D$9,MATCH(F126,Weekly_Model!$A$2:$A$9,0)),0),IF(VLOOKUP($A126,Calendar!$A$1:$R$1377,18,0)=2,SUM(IFERROR(INDEX(Weekly_Model!$D$2:$D$9,MATCH(F126,Weekly_Model!$A$2:$A$9,0)),0),IFERROR(INDEX(Weekly_Model!$D$2:$D$9,MATCH(F127,Weekly_Model!$A$2:$A$9,0)),0)),IF(VLOOKUP($A126,Calendar!$A$1:$R$1377,18,0)=3,SUM(IFERROR(INDEX(Weekly_Model!$D$2:$D$9,MATCH(F126,Weekly_Model!$A$2:$A$9,0)),0),IFERROR(INDEX(Weekly_Model!$D$2:$D$9,MATCH(F127,Weekly_Model!$A$2:$A$9,0)),0),IFERROR(INDEX(Weekly_Model!$D$2:$D$9,MATCH(F128,Weekly_Model!$A$2:$A$9,0)),0)),IF(VLOOKUP($A126,Calendar!$A$1:$R$1377,18,0)=4,SUM(IFERROR(INDEX(Weekly_Model!$D$2:$D$9,MATCH(F126,Weekly_Model!$A$2:$A$9,0)),0),IFERROR(INDEX(Weekly_Model!$D$2:$D$9,MATCH(F127,Weekly_Model!$A$2:$A$9,0)),0),IFERROR(INDEX(Weekly_Model!$D$2:$D$9,MATCH(F128,Weekly_Model!$A$2:$A$9,0)),0),IFERROR(INDEX(Weekly_Model!$D$2:$D$9,MATCH(F129,Weekly_Model!$A$2:$A$9,0)),0)),IF(VLOOKUP($A126,Calendar!$A$1:$R$1377,18,0)=5,SUM(IFERROR(INDEX(Weekly_Model!$D$2:$D$9,MATCH(F126,Weekly_Model!$A$2:$A$9,0)),0),IFERROR(INDEX(Weekly_Model!$D$2:$D$9,MATCH(F127,Weekly_Model!$A$2:$A$9,0)),0),IFERROR(INDEX(Weekly_Model!$D$2:$D$9,MATCH(F128,Weekly_Model!$A$2:$A$9,0)),0),IFERROR(INDEX(Weekly_Model!$D$2:$D$9,MATCH(F129,Weekly_Model!$A$2:$A$9,0)),0),IFERROR(INDEX(Weekly_Model!$D$2:$D$9,MATCH(F130,Weekly_Model!$A$2:$A$9,0)),0)),0))))))</f>
        <v>2.3200000000000002E-2</v>
      </c>
      <c r="L126" s="27">
        <f>IF(VLOOKUP($A126,Calendar!$A$1:$R$1377,18,0)=0,0,IF(VLOOKUP($A126,Calendar!$A$1:$R$1377,18,0)=1,IFERROR(INDEX(Fortnightly_Model!$D$2:$D$15,MATCH(G126,Fortnightly_Model!$B$2:$B$15,0)),0),IF(VLOOKUP($A126,Calendar!$A$1:$R$1377,18,0)=2,SUM(IFERROR(INDEX(Fortnightly_Model!$D$2:$D$15,MATCH(G126,Fortnightly_Model!$B$2:$B$15,0)),0),IFERROR(INDEX(Fortnightly_Model!$D$2:$D$15,MATCH(G127,Fortnightly_Model!$B$2:$B$15,0)),0)),IF(VLOOKUP($A126,Calendar!$A$1:$R$1377,18,0)=3,SUM(IFERROR(INDEX(Fortnightly_Model!$D$2:$D$15,MATCH(G126,Fortnightly_Model!$B$2:$B$15,0)),0),IFERROR(INDEX(Fortnightly_Model!$D$2:$D$15,MATCH(G127,Fortnightly_Model!$B$2:$B$15,0)),0),IFERROR(INDEX(Fortnightly_Model!$D$2:$D$15,MATCH(G128,Fortnightly_Model!$B$2:$B$15,0)),0)),IF(VLOOKUP($A126,Calendar!$A$1:$R$1377,18,0)=4,SUM(IFERROR(INDEX(Fortnightly_Model!$D$2:$D$15,MATCH(G126,Fortnightly_Model!$B$2:$B$15,0)),0),IFERROR(INDEX(Fortnightly_Model!$D$2:$D$15,MATCH(G127,Fortnightly_Model!$B$2:$B$15,0)),0),IFERROR(INDEX(Fortnightly_Model!$D$2:$D$15,MATCH(G128,Fortnightly_Model!$B$2:$B$15,0)),0),IFERROR(INDEX(Fortnightly_Model!$D$2:$D$15,MATCH(G129,Fortnightly_Model!$B$2:$B$15,0)),0)),IF(VLOOKUP($A126,Calendar!$A$1:$R$1377,18,0)=5,SUM(IFERROR(INDEX(Fortnightly_Model!$D$2:$D$15,MATCH(G126,Fortnightly_Model!$B$2:$B$15,0)),0),IFERROR(INDEX(Fortnightly_Model!$D$2:$D$15,MATCH(G127,Fortnightly_Model!$B$2:$B$15,0)),0),IFERROR(INDEX(Fortnightly_Model!$D$2:$D$15,MATCH(G128,Fortnightly_Model!$B$2:$B$15,0)),0),IFERROR(INDEX(Fortnightly_Model!$D$2:$D$15,MATCH(G129,Fortnightly_Model!$B$2:$B$15,0)),0),IFERROR(INDEX(Fortnightly_Model!$D$2:$D$15,MATCH(G130,Fortnightly_Model!$B$2:$B$15,0)),0)),0))))))</f>
        <v>1.0714285499999999E-3</v>
      </c>
      <c r="M126" s="27">
        <f>IF(VLOOKUP($A126,Calendar!$A$1:$R$1377,18,0)=0,0,IF(VLOOKUP($A126,Calendar!$A$1:$R$1377,18,0)=1,IFERROR(INDEX(FourWeekly_Model!$D$2:$D$29,MATCH(H126,FourWeekly_Model!$B$2:$B$29,0)),0),IF(VLOOKUP($A126,Calendar!$A$1:$R$1377,18,0)=2,SUM(IFERROR(INDEX(FourWeekly_Model!$D$2:$D$29,MATCH(H126,FourWeekly_Model!$B$2:$B$29,0)),0),IFERROR(INDEX(FourWeekly_Model!$D$2:$D$29,MATCH(H127,FourWeekly_Model!$B$2:$B$29,0)),0)),IF(VLOOKUP($A126,Calendar!$A$1:$R$1377,18,0)=3,SUM(IFERROR(INDEX(FourWeekly_Model!$D$2:$D$29,MATCH(H126,FourWeekly_Model!$B$2:$B$29,0)),0),IFERROR(INDEX(FourWeekly_Model!$D$2:$D$29,MATCH(H127,FourWeekly_Model!$B$2:$B$29,0)),0),IFERROR(INDEX(FourWeekly_Model!$D$2:$D$29,MATCH(H128,FourWeekly_Model!$B$2:$B$29,0)),0)),IF(VLOOKUP($A126,Calendar!$A$1:$R$1377,18,0)=4,SUM(IFERROR(INDEX(FourWeekly_Model!$D$2:$D$29,MATCH(H126,FourWeekly_Model!$B$2:$B$29,0)),0),IFERROR(INDEX(FourWeekly_Model!$D$2:$D$29,MATCH(H127,FourWeekly_Model!$B$2:$B$29,0)),0),IFERROR(INDEX(FourWeekly_Model!$D$2:$D$29,MATCH(H128,FourWeekly_Model!$B$2:$B$29,0)),0),IFERROR(INDEX(FourWeekly_Model!$D$2:$D$29,MATCH(H129,FourWeekly_Model!$B$2:$B$29,0)),0)),IF(VLOOKUP($A126,Calendar!$A$1:$R$1377,18,0)=5,SUM(IFERROR(INDEX(FourWeekly_Model!$D$2:$D$29,MATCH(H126,FourWeekly_Model!$B$2:$B$29,0)),0),IFERROR(INDEX(FourWeekly_Model!$D$2:$D$29,MATCH(H127,FourWeekly_Model!$B$2:$B$29,0)),0),IFERROR(INDEX(FourWeekly_Model!$D$2:$D$29,MATCH(H128,FourWeekly_Model!$B$2:$B$29,0)),0),IFERROR(INDEX(FourWeekly_Model!$D$2:$D$29,MATCH(H129,FourWeekly_Model!$B$2:$B$29,0)),0),IFERROR(INDEX(FourWeekly_Model!$D$2:$D$29,MATCH(H130,FourWeekly_Model!$B$2:$B$29,0)),0)),0))))))</f>
        <v>3.3214289700000004E-3</v>
      </c>
      <c r="N126" s="27">
        <f>SUM(I126:M126)</f>
        <v>2.840542296502618E-2</v>
      </c>
      <c r="O126" s="28">
        <f>Population_Data!$B$8*N126</f>
        <v>860684.3158402933</v>
      </c>
      <c r="P126" s="27">
        <f>IF(VLOOKUP($A126,Calendar!$A$1:$R$1377,18,0)=0,0,IF(VLOOKUP($A126,Calendar!$A$1:$R$1377,18,0)=1,IFERROR(INDEX(Pension_Model!$D$2:$D$29,MATCH(H126,Pension_Model!$B$2:$B$29,0)),0),IF(VLOOKUP($A126,Calendar!$A$1:$R$1377,18,0)=2,SUM(IFERROR(INDEX(Pension_Model!$D$2:$D$29,MATCH(H126,Pension_Model!$B$2:$B$29,0)),0),IFERROR(INDEX(Pension_Model!$D$2:$D$29,MATCH(H127,Pension_Model!$B$2:$B$29,0)),0)),IF(VLOOKUP($A126,Calendar!$A$1:$R$1377,18,0)=3,SUM(IFERROR(INDEX(Pension_Model!$D$2:$D$29,MATCH(H126,Pension_Model!$B$2:$B$29,0)),0),IFERROR(INDEX(Pension_Model!$D$2:$D$29,MATCH(H127,Pension_Model!$B$2:$B$29,0)),0),IFERROR(INDEX(Pension_Model!$D$2:$D$29,MATCH(H128,Pension_Model!$B$2:$B$29,0)),0)),IF(VLOOKUP($A126,Calendar!$A$1:$R$1377,18,0)=4,SUM(IFERROR(INDEX(Pension_Model!$D$2:$D$29,MATCH(H126,Pension_Model!$B$2:$B$29,0)),0),IFERROR(INDEX(Pension_Model!$D$2:$D$29,MATCH(H127,Pension_Model!$B$2:$B$29,0)),0),IFERROR(INDEX(Pension_Model!$D$2:$D$29,MATCH(H128,Pension_Model!$B$2:$B$29,0)),0),IFERROR(INDEX(Pension_Model!$D$2:$D$29,MATCH(H129,Pension_Model!$B$2:$B$29,0)),0)),IF(VLOOKUP($A126,Calendar!$A$1:$R$1377,18,0)=5,SUM(IFERROR(INDEX(Pension_Model!$D$2:$D$29,MATCH(H126,Pension_Model!$B$2:$B$29,0)),0),IFERROR(INDEX(Pension_Model!$D$2:$D$29,MATCH(H127,Pension_Model!$B$2:$B$29,0)),0),IFERROR(INDEX(Pension_Model!$D$2:$D$29,MATCH(H128,Pension_Model!$B$2:$B$29,0)),0),IFERROR(INDEX(Pension_Model!$D$2:$D$29,MATCH(H129,Pension_Model!$B$2:$B$29,0)),0),IFERROR(INDEX(Pension_Model!$D$2:$D$29,MATCH(H130,Pension_Model!$B$2:$B$29,0)),0)),0))))))</f>
        <v>0.05</v>
      </c>
      <c r="Q126" s="28">
        <f>Population_Data!$B$15*P126</f>
        <v>660600</v>
      </c>
      <c r="S126">
        <f t="shared" si="1"/>
        <v>1521284.3158402932</v>
      </c>
      <c r="U126" s="33">
        <f>S126/Population_Data!$B$19</f>
        <v>2.7559498475367629E-2</v>
      </c>
    </row>
    <row r="127" spans="1:21">
      <c r="A127" s="25">
        <f>Calendar!A127</f>
        <v>46360</v>
      </c>
      <c r="B127" t="str">
        <f>Calendar!L127</f>
        <v>Yes</v>
      </c>
      <c r="C127" t="str">
        <f>Calendar!O127</f>
        <v>No</v>
      </c>
      <c r="D127" t="str">
        <f>Calendar!P127</f>
        <v>No</v>
      </c>
      <c r="E127" t="str">
        <f>Calendar!Q127</f>
        <v>No</v>
      </c>
      <c r="F127" t="str">
        <f>Calendar!I127</f>
        <v>Friday</v>
      </c>
      <c r="G127">
        <f>Calendar!S127</f>
        <v>6</v>
      </c>
      <c r="H127">
        <f>Calendar!T127</f>
        <v>20</v>
      </c>
      <c r="I127" s="27">
        <f>IF(VLOOKUP(A127,Calendar!$A$1:$R$1377,18,0)=0,0,IF(VLOOKUP(A127,Calendar!$A$1:$R$1377,18,0)=1,INDEX(Monthly_Pay_Model!$A$9:$D$40,MATCH(TEXT(A127,"dd"),Monthly_Pay_Model!$C$9:$C$39,0),4),IF(VLOOKUP(A127,Calendar!$A$1:$R$1377,18,0)=2,SUM(INDEX(Monthly_Pay_Model!$A$9:$D$40,MATCH(TEXT(A127,"dd"),Monthly_Pay_Model!$C$9:$C$39,0),4),INDEX(Monthly_Pay_Model!$A$9:$D$40,MATCH(TEXT(A128,"dd"),Monthly_Pay_Model!$C$9:$C$39,0),4)),IF(VLOOKUP(A127,Calendar!$A$1:$R$1377,18,0)=3,SUM(INDEX(Monthly_Pay_Model!$A$9:$D$40,MATCH(TEXT(A127,"dd"),Monthly_Pay_Model!$C$9:$C$39,0),4),INDEX(Monthly_Pay_Model!$A$9:$D$40,MATCH(TEXT(A128,"dd"),Monthly_Pay_Model!$C$9:$C$39,0),4),INDEX(Monthly_Pay_Model!$A$9:$D$40,MATCH(TEXT(A129,"dd"),Monthly_Pay_Model!$C$9:$C$39,0),4)),IF(VLOOKUP(A127,Calendar!$A$1:$R$1377,18,0)=4,SUM(INDEX(Monthly_Pay_Model!$A$9:$D$40,MATCH(TEXT(A127,"dd"),Monthly_Pay_Model!$C$9:$C$39,0),4),INDEX(Monthly_Pay_Model!$A$9:$D$40,MATCH(TEXT(A128,"dd"),Monthly_Pay_Model!$C$9:$C$39,0),4),INDEX(Monthly_Pay_Model!$A$9:$D$40,MATCH(TEXT(A129,"dd"),Monthly_Pay_Model!$C$9:$C$39,0),4),INDEX(Monthly_Pay_Model!$A$9:$D$40,MATCH(TEXT(A130,"dd"),Monthly_Pay_Model!$C$9:$C$39,0),4)),IF(VLOOKUP(A127,Calendar!$A$1:$R$1377,18,0)=5,SUM(INDEX(Monthly_Pay_Model!$A$9:$D$40,MATCH(TEXT(A127,"dd"),Monthly_Pay_Model!$C$9:$C$39,0),4),INDEX(Monthly_Pay_Model!$A$9:$D$40,MATCH(TEXT(A128,"dd"),Monthly_Pay_Model!$C$9:$C$39,0),4),INDEX(Monthly_Pay_Model!$A$9:$D$40,MATCH(TEXT(A129,"dd"),Monthly_Pay_Model!$C$9:$C$39,0),4),INDEX(Monthly_Pay_Model!$A$9:$D$40,MATCH(TEXT(A130,"dd"),Monthly_Pay_Model!$C$9:$C$39,0),4),INDEX(Monthly_Pay_Model!$A$9:$D$40,MATCH(TEXT(A131,"dd"),Monthly_Pay_Model!$C$9:$C$39,0),4)),))))))</f>
        <v>1.137591623036649E-2</v>
      </c>
      <c r="J127" s="33">
        <f>IF(C127="Yes",Monthly_Pay_Model!$D$2,0)
+IF(Calendar!N127="Yes",Monthly_Pay_Model!$D$3,0)
+IF(D127="Yes",Monthly_Pay_Model!$D$4,0)
+IF(E127="Yes",Monthly_Pay_Model!$D$5,0)</f>
        <v>0</v>
      </c>
      <c r="K127" s="27">
        <f>IF(VLOOKUP($A127,Calendar!$A$1:$R$1377,18,0)=0,0,IF(VLOOKUP($A127,Calendar!$A$1:$R$1377,18,0)=1,IFERROR(INDEX(Weekly_Model!$D$2:$D$9,MATCH(F127,Weekly_Model!$A$2:$A$9,0)),0),IF(VLOOKUP($A127,Calendar!$A$1:$R$1377,18,0)=2,SUM(IFERROR(INDEX(Weekly_Model!$D$2:$D$9,MATCH(F127,Weekly_Model!$A$2:$A$9,0)),0),IFERROR(INDEX(Weekly_Model!$D$2:$D$9,MATCH(F128,Weekly_Model!$A$2:$A$9,0)),0)),IF(VLOOKUP($A127,Calendar!$A$1:$R$1377,18,0)=3,SUM(IFERROR(INDEX(Weekly_Model!$D$2:$D$9,MATCH(F127,Weekly_Model!$A$2:$A$9,0)),0),IFERROR(INDEX(Weekly_Model!$D$2:$D$9,MATCH(F128,Weekly_Model!$A$2:$A$9,0)),0),IFERROR(INDEX(Weekly_Model!$D$2:$D$9,MATCH(F129,Weekly_Model!$A$2:$A$9,0)),0)),IF(VLOOKUP($A127,Calendar!$A$1:$R$1377,18,0)=4,SUM(IFERROR(INDEX(Weekly_Model!$D$2:$D$9,MATCH(F127,Weekly_Model!$A$2:$A$9,0)),0),IFERROR(INDEX(Weekly_Model!$D$2:$D$9,MATCH(F128,Weekly_Model!$A$2:$A$9,0)),0),IFERROR(INDEX(Weekly_Model!$D$2:$D$9,MATCH(F129,Weekly_Model!$A$2:$A$9,0)),0),IFERROR(INDEX(Weekly_Model!$D$2:$D$9,MATCH(F130,Weekly_Model!$A$2:$A$9,0)),0)),IF(VLOOKUP($A127,Calendar!$A$1:$R$1377,18,0)=5,SUM(IFERROR(INDEX(Weekly_Model!$D$2:$D$9,MATCH(F127,Weekly_Model!$A$2:$A$9,0)),0),IFERROR(INDEX(Weekly_Model!$D$2:$D$9,MATCH(F128,Weekly_Model!$A$2:$A$9,0)),0),IFERROR(INDEX(Weekly_Model!$D$2:$D$9,MATCH(F129,Weekly_Model!$A$2:$A$9,0)),0),IFERROR(INDEX(Weekly_Model!$D$2:$D$9,MATCH(F130,Weekly_Model!$A$2:$A$9,0)),0),IFERROR(INDEX(Weekly_Model!$D$2:$D$9,MATCH(F131,Weekly_Model!$A$2:$A$9,0)),0)),0))))))</f>
        <v>2.3200000000000002E-2</v>
      </c>
      <c r="L127" s="27">
        <f>IF(VLOOKUP($A127,Calendar!$A$1:$R$1377,18,0)=0,0,IF(VLOOKUP($A127,Calendar!$A$1:$R$1377,18,0)=1,IFERROR(INDEX(Fortnightly_Model!$D$2:$D$15,MATCH(G127,Fortnightly_Model!$B$2:$B$15,0)),0),IF(VLOOKUP($A127,Calendar!$A$1:$R$1377,18,0)=2,SUM(IFERROR(INDEX(Fortnightly_Model!$D$2:$D$15,MATCH(G127,Fortnightly_Model!$B$2:$B$15,0)),0),IFERROR(INDEX(Fortnightly_Model!$D$2:$D$15,MATCH(G128,Fortnightly_Model!$B$2:$B$15,0)),0)),IF(VLOOKUP($A127,Calendar!$A$1:$R$1377,18,0)=3,SUM(IFERROR(INDEX(Fortnightly_Model!$D$2:$D$15,MATCH(G127,Fortnightly_Model!$B$2:$B$15,0)),0),IFERROR(INDEX(Fortnightly_Model!$D$2:$D$15,MATCH(G128,Fortnightly_Model!$B$2:$B$15,0)),0),IFERROR(INDEX(Fortnightly_Model!$D$2:$D$15,MATCH(G129,Fortnightly_Model!$B$2:$B$15,0)),0)),IF(VLOOKUP($A127,Calendar!$A$1:$R$1377,18,0)=4,SUM(IFERROR(INDEX(Fortnightly_Model!$D$2:$D$15,MATCH(G127,Fortnightly_Model!$B$2:$B$15,0)),0),IFERROR(INDEX(Fortnightly_Model!$D$2:$D$15,MATCH(G128,Fortnightly_Model!$B$2:$B$15,0)),0),IFERROR(INDEX(Fortnightly_Model!$D$2:$D$15,MATCH(G129,Fortnightly_Model!$B$2:$B$15,0)),0),IFERROR(INDEX(Fortnightly_Model!$D$2:$D$15,MATCH(G130,Fortnightly_Model!$B$2:$B$15,0)),0)),IF(VLOOKUP($A127,Calendar!$A$1:$R$1377,18,0)=5,SUM(IFERROR(INDEX(Fortnightly_Model!$D$2:$D$15,MATCH(G127,Fortnightly_Model!$B$2:$B$15,0)),0),IFERROR(INDEX(Fortnightly_Model!$D$2:$D$15,MATCH(G128,Fortnightly_Model!$B$2:$B$15,0)),0),IFERROR(INDEX(Fortnightly_Model!$D$2:$D$15,MATCH(G129,Fortnightly_Model!$B$2:$B$15,0)),0),IFERROR(INDEX(Fortnightly_Model!$D$2:$D$15,MATCH(G130,Fortnightly_Model!$B$2:$B$15,0)),0),IFERROR(INDEX(Fortnightly_Model!$D$2:$D$15,MATCH(G131,Fortnightly_Model!$B$2:$B$15,0)),0)),0))))))</f>
        <v>3.2142856499999999E-3</v>
      </c>
      <c r="M127" s="27">
        <f>IF(VLOOKUP($A127,Calendar!$A$1:$R$1377,18,0)=0,0,IF(VLOOKUP($A127,Calendar!$A$1:$R$1377,18,0)=1,IFERROR(INDEX(FourWeekly_Model!$D$2:$D$29,MATCH(H127,FourWeekly_Model!$B$2:$B$29,0)),0),IF(VLOOKUP($A127,Calendar!$A$1:$R$1377,18,0)=2,SUM(IFERROR(INDEX(FourWeekly_Model!$D$2:$D$29,MATCH(H127,FourWeekly_Model!$B$2:$B$29,0)),0),IFERROR(INDEX(FourWeekly_Model!$D$2:$D$29,MATCH(H128,FourWeekly_Model!$B$2:$B$29,0)),0)),IF(VLOOKUP($A127,Calendar!$A$1:$R$1377,18,0)=3,SUM(IFERROR(INDEX(FourWeekly_Model!$D$2:$D$29,MATCH(H127,FourWeekly_Model!$B$2:$B$29,0)),0),IFERROR(INDEX(FourWeekly_Model!$D$2:$D$29,MATCH(H128,FourWeekly_Model!$B$2:$B$29,0)),0),IFERROR(INDEX(FourWeekly_Model!$D$2:$D$29,MATCH(H129,FourWeekly_Model!$B$2:$B$29,0)),0)),IF(VLOOKUP($A127,Calendar!$A$1:$R$1377,18,0)=4,SUM(IFERROR(INDEX(FourWeekly_Model!$D$2:$D$29,MATCH(H127,FourWeekly_Model!$B$2:$B$29,0)),0),IFERROR(INDEX(FourWeekly_Model!$D$2:$D$29,MATCH(H128,FourWeekly_Model!$B$2:$B$29,0)),0),IFERROR(INDEX(FourWeekly_Model!$D$2:$D$29,MATCH(H129,FourWeekly_Model!$B$2:$B$29,0)),0),IFERROR(INDEX(FourWeekly_Model!$D$2:$D$29,MATCH(H130,FourWeekly_Model!$B$2:$B$29,0)),0)),IF(VLOOKUP($A127,Calendar!$A$1:$R$1377,18,0)=5,SUM(IFERROR(INDEX(FourWeekly_Model!$D$2:$D$29,MATCH(H127,FourWeekly_Model!$B$2:$B$29,0)),0),IFERROR(INDEX(FourWeekly_Model!$D$2:$D$29,MATCH(H128,FourWeekly_Model!$B$2:$B$29,0)),0),IFERROR(INDEX(FourWeekly_Model!$D$2:$D$29,MATCH(H129,FourWeekly_Model!$B$2:$B$29,0)),0),IFERROR(INDEX(FourWeekly_Model!$D$2:$D$29,MATCH(H130,FourWeekly_Model!$B$2:$B$29,0)),0),IFERROR(INDEX(FourWeekly_Model!$D$2:$D$29,MATCH(H131,FourWeekly_Model!$B$2:$B$29,0)),0)),0))))))</f>
        <v>9.9642859800000011E-3</v>
      </c>
      <c r="N127" s="27">
        <f>SUM(I127:M127)</f>
        <v>4.7754487860366492E-2</v>
      </c>
      <c r="O127" s="28">
        <f>Population_Data!$B$8*N127</f>
        <v>1446960.9821691047</v>
      </c>
      <c r="P127" s="27">
        <f>IF(VLOOKUP($A127,Calendar!$A$1:$R$1377,18,0)=0,0,IF(VLOOKUP($A127,Calendar!$A$1:$R$1377,18,0)=1,IFERROR(INDEX(Pension_Model!$D$2:$D$29,MATCH(H127,Pension_Model!$B$2:$B$29,0)),0),IF(VLOOKUP($A127,Calendar!$A$1:$R$1377,18,0)=2,SUM(IFERROR(INDEX(Pension_Model!$D$2:$D$29,MATCH(H127,Pension_Model!$B$2:$B$29,0)),0),IFERROR(INDEX(Pension_Model!$D$2:$D$29,MATCH(H128,Pension_Model!$B$2:$B$29,0)),0)),IF(VLOOKUP($A127,Calendar!$A$1:$R$1377,18,0)=3,SUM(IFERROR(INDEX(Pension_Model!$D$2:$D$29,MATCH(H127,Pension_Model!$B$2:$B$29,0)),0),IFERROR(INDEX(Pension_Model!$D$2:$D$29,MATCH(H128,Pension_Model!$B$2:$B$29,0)),0),IFERROR(INDEX(Pension_Model!$D$2:$D$29,MATCH(H129,Pension_Model!$B$2:$B$29,0)),0)),IF(VLOOKUP($A127,Calendar!$A$1:$R$1377,18,0)=4,SUM(IFERROR(INDEX(Pension_Model!$D$2:$D$29,MATCH(H127,Pension_Model!$B$2:$B$29,0)),0),IFERROR(INDEX(Pension_Model!$D$2:$D$29,MATCH(H128,Pension_Model!$B$2:$B$29,0)),0),IFERROR(INDEX(Pension_Model!$D$2:$D$29,MATCH(H129,Pension_Model!$B$2:$B$29,0)),0),IFERROR(INDEX(Pension_Model!$D$2:$D$29,MATCH(H130,Pension_Model!$B$2:$B$29,0)),0)),IF(VLOOKUP($A127,Calendar!$A$1:$R$1377,18,0)=5,SUM(IFERROR(INDEX(Pension_Model!$D$2:$D$29,MATCH(H127,Pension_Model!$B$2:$B$29,0)),0),IFERROR(INDEX(Pension_Model!$D$2:$D$29,MATCH(H128,Pension_Model!$B$2:$B$29,0)),0),IFERROR(INDEX(Pension_Model!$D$2:$D$29,MATCH(H129,Pension_Model!$B$2:$B$29,0)),0),IFERROR(INDEX(Pension_Model!$D$2:$D$29,MATCH(H130,Pension_Model!$B$2:$B$29,0)),0),IFERROR(INDEX(Pension_Model!$D$2:$D$29,MATCH(H131,Pension_Model!$B$2:$B$29,0)),0)),0))))))</f>
        <v>0.05</v>
      </c>
      <c r="Q127" s="28">
        <f>Population_Data!$B$15*P127</f>
        <v>660600</v>
      </c>
      <c r="S127">
        <f t="shared" si="1"/>
        <v>2107560.9821691047</v>
      </c>
      <c r="U127" s="33">
        <f>S127/Population_Data!$B$19</f>
        <v>3.8180452575527261E-2</v>
      </c>
    </row>
    <row r="128" spans="1:21">
      <c r="A128" s="25">
        <f>Calendar!A128</f>
        <v>46361</v>
      </c>
      <c r="B128" t="str">
        <f>Calendar!L128</f>
        <v>No</v>
      </c>
      <c r="C128" t="str">
        <f>Calendar!O128</f>
        <v>No</v>
      </c>
      <c r="D128" t="str">
        <f>Calendar!P128</f>
        <v>No</v>
      </c>
      <c r="E128" t="str">
        <f>Calendar!Q128</f>
        <v>No</v>
      </c>
      <c r="F128" t="str">
        <f>Calendar!I128</f>
        <v>Saturday</v>
      </c>
      <c r="G128">
        <f>Calendar!S128</f>
        <v>7</v>
      </c>
      <c r="H128">
        <f>Calendar!T128</f>
        <v>21</v>
      </c>
      <c r="I128" s="27">
        <f>IF(VLOOKUP(A128,Calendar!$A$1:$R$1377,18,0)=0,0,IF(VLOOKUP(A128,Calendar!$A$1:$R$1377,18,0)=1,INDEX(Monthly_Pay_Model!$A$9:$D$40,MATCH(TEXT(A128,"dd"),Monthly_Pay_Model!$C$9:$C$39,0),4),IF(VLOOKUP(A128,Calendar!$A$1:$R$1377,18,0)=2,SUM(INDEX(Monthly_Pay_Model!$A$9:$D$40,MATCH(TEXT(A128,"dd"),Monthly_Pay_Model!$C$9:$C$39,0),4),INDEX(Monthly_Pay_Model!$A$9:$D$40,MATCH(TEXT(A129,"dd"),Monthly_Pay_Model!$C$9:$C$39,0),4)),IF(VLOOKUP(A128,Calendar!$A$1:$R$1377,18,0)=3,SUM(INDEX(Monthly_Pay_Model!$A$9:$D$40,MATCH(TEXT(A128,"dd"),Monthly_Pay_Model!$C$9:$C$39,0),4),INDEX(Monthly_Pay_Model!$A$9:$D$40,MATCH(TEXT(A129,"dd"),Monthly_Pay_Model!$C$9:$C$39,0),4),INDEX(Monthly_Pay_Model!$A$9:$D$40,MATCH(TEXT(A130,"dd"),Monthly_Pay_Model!$C$9:$C$39,0),4)),IF(VLOOKUP(A128,Calendar!$A$1:$R$1377,18,0)=4,SUM(INDEX(Monthly_Pay_Model!$A$9:$D$40,MATCH(TEXT(A128,"dd"),Monthly_Pay_Model!$C$9:$C$39,0),4),INDEX(Monthly_Pay_Model!$A$9:$D$40,MATCH(TEXT(A129,"dd"),Monthly_Pay_Model!$C$9:$C$39,0),4),INDEX(Monthly_Pay_Model!$A$9:$D$40,MATCH(TEXT(A130,"dd"),Monthly_Pay_Model!$C$9:$C$39,0),4),INDEX(Monthly_Pay_Model!$A$9:$D$40,MATCH(TEXT(A131,"dd"),Monthly_Pay_Model!$C$9:$C$39,0),4)),IF(VLOOKUP(A128,Calendar!$A$1:$R$1377,18,0)=5,SUM(INDEX(Monthly_Pay_Model!$A$9:$D$40,MATCH(TEXT(A128,"dd"),Monthly_Pay_Model!$C$9:$C$39,0),4),INDEX(Monthly_Pay_Model!$A$9:$D$40,MATCH(TEXT(A129,"dd"),Monthly_Pay_Model!$C$9:$C$39,0),4),INDEX(Monthly_Pay_Model!$A$9:$D$40,MATCH(TEXT(A130,"dd"),Monthly_Pay_Model!$C$9:$C$39,0),4),INDEX(Monthly_Pay_Model!$A$9:$D$40,MATCH(TEXT(A131,"dd"),Monthly_Pay_Model!$C$9:$C$39,0),4),INDEX(Monthly_Pay_Model!$A$9:$D$40,MATCH(TEXT(A132,"dd"),Monthly_Pay_Model!$C$9:$C$39,0),4)),))))))</f>
        <v>0</v>
      </c>
      <c r="J128" s="33">
        <f>IF(C128="Yes",Monthly_Pay_Model!$D$2,0)
+IF(Calendar!N128="Yes",Monthly_Pay_Model!$D$3,0)
+IF(D128="Yes",Monthly_Pay_Model!$D$4,0)
+IF(E128="Yes",Monthly_Pay_Model!$D$5,0)</f>
        <v>0</v>
      </c>
      <c r="K128" s="27">
        <f>IF(VLOOKUP($A128,Calendar!$A$1:$R$1377,18,0)=0,0,IF(VLOOKUP($A128,Calendar!$A$1:$R$1377,18,0)=1,IFERROR(INDEX(Weekly_Model!$D$2:$D$9,MATCH(F128,Weekly_Model!$A$2:$A$9,0)),0),IF(VLOOKUP($A128,Calendar!$A$1:$R$1377,18,0)=2,SUM(IFERROR(INDEX(Weekly_Model!$D$2:$D$9,MATCH(F128,Weekly_Model!$A$2:$A$9,0)),0),IFERROR(INDEX(Weekly_Model!$D$2:$D$9,MATCH(F129,Weekly_Model!$A$2:$A$9,0)),0)),IF(VLOOKUP($A128,Calendar!$A$1:$R$1377,18,0)=3,SUM(IFERROR(INDEX(Weekly_Model!$D$2:$D$9,MATCH(F128,Weekly_Model!$A$2:$A$9,0)),0),IFERROR(INDEX(Weekly_Model!$D$2:$D$9,MATCH(F129,Weekly_Model!$A$2:$A$9,0)),0),IFERROR(INDEX(Weekly_Model!$D$2:$D$9,MATCH(F130,Weekly_Model!$A$2:$A$9,0)),0)),IF(VLOOKUP($A128,Calendar!$A$1:$R$1377,18,0)=4,SUM(IFERROR(INDEX(Weekly_Model!$D$2:$D$9,MATCH(F128,Weekly_Model!$A$2:$A$9,0)),0),IFERROR(INDEX(Weekly_Model!$D$2:$D$9,MATCH(F129,Weekly_Model!$A$2:$A$9,0)),0),IFERROR(INDEX(Weekly_Model!$D$2:$D$9,MATCH(F130,Weekly_Model!$A$2:$A$9,0)),0),IFERROR(INDEX(Weekly_Model!$D$2:$D$9,MATCH(F131,Weekly_Model!$A$2:$A$9,0)),0)),IF(VLOOKUP($A128,Calendar!$A$1:$R$1377,18,0)=5,SUM(IFERROR(INDEX(Weekly_Model!$D$2:$D$9,MATCH(F128,Weekly_Model!$A$2:$A$9,0)),0),IFERROR(INDEX(Weekly_Model!$D$2:$D$9,MATCH(F129,Weekly_Model!$A$2:$A$9,0)),0),IFERROR(INDEX(Weekly_Model!$D$2:$D$9,MATCH(F130,Weekly_Model!$A$2:$A$9,0)),0),IFERROR(INDEX(Weekly_Model!$D$2:$D$9,MATCH(F131,Weekly_Model!$A$2:$A$9,0)),0),IFERROR(INDEX(Weekly_Model!$D$2:$D$9,MATCH(F132,Weekly_Model!$A$2:$A$9,0)),0)),0))))))</f>
        <v>0</v>
      </c>
      <c r="L128" s="27">
        <f>IF(VLOOKUP($A128,Calendar!$A$1:$R$1377,18,0)=0,0,IF(VLOOKUP($A128,Calendar!$A$1:$R$1377,18,0)=1,IFERROR(INDEX(Fortnightly_Model!$D$2:$D$15,MATCH(G128,Fortnightly_Model!$B$2:$B$15,0)),0),IF(VLOOKUP($A128,Calendar!$A$1:$R$1377,18,0)=2,SUM(IFERROR(INDEX(Fortnightly_Model!$D$2:$D$15,MATCH(G128,Fortnightly_Model!$B$2:$B$15,0)),0),IFERROR(INDEX(Fortnightly_Model!$D$2:$D$15,MATCH(G129,Fortnightly_Model!$B$2:$B$15,0)),0)),IF(VLOOKUP($A128,Calendar!$A$1:$R$1377,18,0)=3,SUM(IFERROR(INDEX(Fortnightly_Model!$D$2:$D$15,MATCH(G128,Fortnightly_Model!$B$2:$B$15,0)),0),IFERROR(INDEX(Fortnightly_Model!$D$2:$D$15,MATCH(G129,Fortnightly_Model!$B$2:$B$15,0)),0),IFERROR(INDEX(Fortnightly_Model!$D$2:$D$15,MATCH(G130,Fortnightly_Model!$B$2:$B$15,0)),0)),IF(VLOOKUP($A128,Calendar!$A$1:$R$1377,18,0)=4,SUM(IFERROR(INDEX(Fortnightly_Model!$D$2:$D$15,MATCH(G128,Fortnightly_Model!$B$2:$B$15,0)),0),IFERROR(INDEX(Fortnightly_Model!$D$2:$D$15,MATCH(G129,Fortnightly_Model!$B$2:$B$15,0)),0),IFERROR(INDEX(Fortnightly_Model!$D$2:$D$15,MATCH(G130,Fortnightly_Model!$B$2:$B$15,0)),0),IFERROR(INDEX(Fortnightly_Model!$D$2:$D$15,MATCH(G131,Fortnightly_Model!$B$2:$B$15,0)),0)),IF(VLOOKUP($A128,Calendar!$A$1:$R$1377,18,0)=5,SUM(IFERROR(INDEX(Fortnightly_Model!$D$2:$D$15,MATCH(G128,Fortnightly_Model!$B$2:$B$15,0)),0),IFERROR(INDEX(Fortnightly_Model!$D$2:$D$15,MATCH(G129,Fortnightly_Model!$B$2:$B$15,0)),0),IFERROR(INDEX(Fortnightly_Model!$D$2:$D$15,MATCH(G130,Fortnightly_Model!$B$2:$B$15,0)),0),IFERROR(INDEX(Fortnightly_Model!$D$2:$D$15,MATCH(G131,Fortnightly_Model!$B$2:$B$15,0)),0),IFERROR(INDEX(Fortnightly_Model!$D$2:$D$15,MATCH(G132,Fortnightly_Model!$B$2:$B$15,0)),0)),0))))))</f>
        <v>0</v>
      </c>
      <c r="M128" s="27">
        <f>IF(VLOOKUP($A128,Calendar!$A$1:$R$1377,18,0)=0,0,IF(VLOOKUP($A128,Calendar!$A$1:$R$1377,18,0)=1,IFERROR(INDEX(FourWeekly_Model!$D$2:$D$29,MATCH(H128,FourWeekly_Model!$B$2:$B$29,0)),0),IF(VLOOKUP($A128,Calendar!$A$1:$R$1377,18,0)=2,SUM(IFERROR(INDEX(FourWeekly_Model!$D$2:$D$29,MATCH(H128,FourWeekly_Model!$B$2:$B$29,0)),0),IFERROR(INDEX(FourWeekly_Model!$D$2:$D$29,MATCH(H129,FourWeekly_Model!$B$2:$B$29,0)),0)),IF(VLOOKUP($A128,Calendar!$A$1:$R$1377,18,0)=3,SUM(IFERROR(INDEX(FourWeekly_Model!$D$2:$D$29,MATCH(H128,FourWeekly_Model!$B$2:$B$29,0)),0),IFERROR(INDEX(FourWeekly_Model!$D$2:$D$29,MATCH(H129,FourWeekly_Model!$B$2:$B$29,0)),0),IFERROR(INDEX(FourWeekly_Model!$D$2:$D$29,MATCH(H130,FourWeekly_Model!$B$2:$B$29,0)),0)),IF(VLOOKUP($A128,Calendar!$A$1:$R$1377,18,0)=4,SUM(IFERROR(INDEX(FourWeekly_Model!$D$2:$D$29,MATCH(H128,FourWeekly_Model!$B$2:$B$29,0)),0),IFERROR(INDEX(FourWeekly_Model!$D$2:$D$29,MATCH(H129,FourWeekly_Model!$B$2:$B$29,0)),0),IFERROR(INDEX(FourWeekly_Model!$D$2:$D$29,MATCH(H130,FourWeekly_Model!$B$2:$B$29,0)),0),IFERROR(INDEX(FourWeekly_Model!$D$2:$D$29,MATCH(H131,FourWeekly_Model!$B$2:$B$29,0)),0)),IF(VLOOKUP($A128,Calendar!$A$1:$R$1377,18,0)=5,SUM(IFERROR(INDEX(FourWeekly_Model!$D$2:$D$29,MATCH(H128,FourWeekly_Model!$B$2:$B$29,0)),0),IFERROR(INDEX(FourWeekly_Model!$D$2:$D$29,MATCH(H129,FourWeekly_Model!$B$2:$B$29,0)),0),IFERROR(INDEX(FourWeekly_Model!$D$2:$D$29,MATCH(H130,FourWeekly_Model!$B$2:$B$29,0)),0),IFERROR(INDEX(FourWeekly_Model!$D$2:$D$29,MATCH(H131,FourWeekly_Model!$B$2:$B$29,0)),0),IFERROR(INDEX(FourWeekly_Model!$D$2:$D$29,MATCH(H132,FourWeekly_Model!$B$2:$B$29,0)),0)),0))))))</f>
        <v>0</v>
      </c>
      <c r="N128" s="27">
        <f>SUM(I128:M128)</f>
        <v>0</v>
      </c>
      <c r="O128" s="28">
        <f>Population_Data!$B$8*N128</f>
        <v>0</v>
      </c>
      <c r="P128" s="27">
        <f>IF(VLOOKUP($A128,Calendar!$A$1:$R$1377,18,0)=0,0,IF(VLOOKUP($A128,Calendar!$A$1:$R$1377,18,0)=1,IFERROR(INDEX(Pension_Model!$D$2:$D$29,MATCH(H128,Pension_Model!$B$2:$B$29,0)),0),IF(VLOOKUP($A128,Calendar!$A$1:$R$1377,18,0)=2,SUM(IFERROR(INDEX(Pension_Model!$D$2:$D$29,MATCH(H128,Pension_Model!$B$2:$B$29,0)),0),IFERROR(INDEX(Pension_Model!$D$2:$D$29,MATCH(H129,Pension_Model!$B$2:$B$29,0)),0)),IF(VLOOKUP($A128,Calendar!$A$1:$R$1377,18,0)=3,SUM(IFERROR(INDEX(Pension_Model!$D$2:$D$29,MATCH(H128,Pension_Model!$B$2:$B$29,0)),0),IFERROR(INDEX(Pension_Model!$D$2:$D$29,MATCH(H129,Pension_Model!$B$2:$B$29,0)),0),IFERROR(INDEX(Pension_Model!$D$2:$D$29,MATCH(H130,Pension_Model!$B$2:$B$29,0)),0)),IF(VLOOKUP($A128,Calendar!$A$1:$R$1377,18,0)=4,SUM(IFERROR(INDEX(Pension_Model!$D$2:$D$29,MATCH(H128,Pension_Model!$B$2:$B$29,0)),0),IFERROR(INDEX(Pension_Model!$D$2:$D$29,MATCH(H129,Pension_Model!$B$2:$B$29,0)),0),IFERROR(INDEX(Pension_Model!$D$2:$D$29,MATCH(H130,Pension_Model!$B$2:$B$29,0)),0),IFERROR(INDEX(Pension_Model!$D$2:$D$29,MATCH(H131,Pension_Model!$B$2:$B$29,0)),0)),IF(VLOOKUP($A128,Calendar!$A$1:$R$1377,18,0)=5,SUM(IFERROR(INDEX(Pension_Model!$D$2:$D$29,MATCH(H128,Pension_Model!$B$2:$B$29,0)),0),IFERROR(INDEX(Pension_Model!$D$2:$D$29,MATCH(H129,Pension_Model!$B$2:$B$29,0)),0),IFERROR(INDEX(Pension_Model!$D$2:$D$29,MATCH(H130,Pension_Model!$B$2:$B$29,0)),0),IFERROR(INDEX(Pension_Model!$D$2:$D$29,MATCH(H131,Pension_Model!$B$2:$B$29,0)),0),IFERROR(INDEX(Pension_Model!$D$2:$D$29,MATCH(H132,Pension_Model!$B$2:$B$29,0)),0)),0))))))</f>
        <v>0</v>
      </c>
      <c r="Q128" s="28">
        <f>Population_Data!$B$15*P128</f>
        <v>0</v>
      </c>
      <c r="S128">
        <f t="shared" si="1"/>
        <v>0</v>
      </c>
      <c r="U128" s="33">
        <f>S128/Population_Data!$B$19</f>
        <v>0</v>
      </c>
    </row>
    <row r="129" spans="1:21">
      <c r="A129" s="25">
        <f>Calendar!A129</f>
        <v>46362</v>
      </c>
      <c r="B129" t="str">
        <f>Calendar!L129</f>
        <v>No</v>
      </c>
      <c r="C129" t="str">
        <f>Calendar!O129</f>
        <v>No</v>
      </c>
      <c r="D129" t="str">
        <f>Calendar!P129</f>
        <v>No</v>
      </c>
      <c r="E129" t="str">
        <f>Calendar!Q129</f>
        <v>No</v>
      </c>
      <c r="F129" t="str">
        <f>Calendar!I129</f>
        <v>Sunday</v>
      </c>
      <c r="G129">
        <f>Calendar!S129</f>
        <v>8</v>
      </c>
      <c r="H129">
        <f>Calendar!T129</f>
        <v>22</v>
      </c>
      <c r="I129" s="27">
        <f>IF(VLOOKUP(A129,Calendar!$A$1:$R$1377,18,0)=0,0,IF(VLOOKUP(A129,Calendar!$A$1:$R$1377,18,0)=1,INDEX(Monthly_Pay_Model!$A$9:$D$40,MATCH(TEXT(A129,"dd"),Monthly_Pay_Model!$C$9:$C$39,0),4),IF(VLOOKUP(A129,Calendar!$A$1:$R$1377,18,0)=2,SUM(INDEX(Monthly_Pay_Model!$A$9:$D$40,MATCH(TEXT(A129,"dd"),Monthly_Pay_Model!$C$9:$C$39,0),4),INDEX(Monthly_Pay_Model!$A$9:$D$40,MATCH(TEXT(A130,"dd"),Monthly_Pay_Model!$C$9:$C$39,0),4)),IF(VLOOKUP(A129,Calendar!$A$1:$R$1377,18,0)=3,SUM(INDEX(Monthly_Pay_Model!$A$9:$D$40,MATCH(TEXT(A129,"dd"),Monthly_Pay_Model!$C$9:$C$39,0),4),INDEX(Monthly_Pay_Model!$A$9:$D$40,MATCH(TEXT(A130,"dd"),Monthly_Pay_Model!$C$9:$C$39,0),4),INDEX(Monthly_Pay_Model!$A$9:$D$40,MATCH(TEXT(A131,"dd"),Monthly_Pay_Model!$C$9:$C$39,0),4)),IF(VLOOKUP(A129,Calendar!$A$1:$R$1377,18,0)=4,SUM(INDEX(Monthly_Pay_Model!$A$9:$D$40,MATCH(TEXT(A129,"dd"),Monthly_Pay_Model!$C$9:$C$39,0),4),INDEX(Monthly_Pay_Model!$A$9:$D$40,MATCH(TEXT(A130,"dd"),Monthly_Pay_Model!$C$9:$C$39,0),4),INDEX(Monthly_Pay_Model!$A$9:$D$40,MATCH(TEXT(A131,"dd"),Monthly_Pay_Model!$C$9:$C$39,0),4),INDEX(Monthly_Pay_Model!$A$9:$D$40,MATCH(TEXT(A132,"dd"),Monthly_Pay_Model!$C$9:$C$39,0),4)),IF(VLOOKUP(A129,Calendar!$A$1:$R$1377,18,0)=5,SUM(INDEX(Monthly_Pay_Model!$A$9:$D$40,MATCH(TEXT(A129,"dd"),Monthly_Pay_Model!$C$9:$C$39,0),4),INDEX(Monthly_Pay_Model!$A$9:$D$40,MATCH(TEXT(A130,"dd"),Monthly_Pay_Model!$C$9:$C$39,0),4),INDEX(Monthly_Pay_Model!$A$9:$D$40,MATCH(TEXT(A131,"dd"),Monthly_Pay_Model!$C$9:$C$39,0),4),INDEX(Monthly_Pay_Model!$A$9:$D$40,MATCH(TEXT(A132,"dd"),Monthly_Pay_Model!$C$9:$C$39,0),4),INDEX(Monthly_Pay_Model!$A$9:$D$40,MATCH(TEXT(A133,"dd"),Monthly_Pay_Model!$C$9:$C$39,0),4)),))))))</f>
        <v>0</v>
      </c>
      <c r="J129" s="33">
        <f>IF(C129="Yes",Monthly_Pay_Model!$D$2,0)
+IF(Calendar!N129="Yes",Monthly_Pay_Model!$D$3,0)
+IF(D129="Yes",Monthly_Pay_Model!$D$4,0)
+IF(E129="Yes",Monthly_Pay_Model!$D$5,0)</f>
        <v>0</v>
      </c>
      <c r="K129" s="27">
        <f>IF(VLOOKUP($A129,Calendar!$A$1:$R$1377,18,0)=0,0,IF(VLOOKUP($A129,Calendar!$A$1:$R$1377,18,0)=1,IFERROR(INDEX(Weekly_Model!$D$2:$D$9,MATCH(F129,Weekly_Model!$A$2:$A$9,0)),0),IF(VLOOKUP($A129,Calendar!$A$1:$R$1377,18,0)=2,SUM(IFERROR(INDEX(Weekly_Model!$D$2:$D$9,MATCH(F129,Weekly_Model!$A$2:$A$9,0)),0),IFERROR(INDEX(Weekly_Model!$D$2:$D$9,MATCH(F130,Weekly_Model!$A$2:$A$9,0)),0)),IF(VLOOKUP($A129,Calendar!$A$1:$R$1377,18,0)=3,SUM(IFERROR(INDEX(Weekly_Model!$D$2:$D$9,MATCH(F129,Weekly_Model!$A$2:$A$9,0)),0),IFERROR(INDEX(Weekly_Model!$D$2:$D$9,MATCH(F130,Weekly_Model!$A$2:$A$9,0)),0),IFERROR(INDEX(Weekly_Model!$D$2:$D$9,MATCH(F131,Weekly_Model!$A$2:$A$9,0)),0)),IF(VLOOKUP($A129,Calendar!$A$1:$R$1377,18,0)=4,SUM(IFERROR(INDEX(Weekly_Model!$D$2:$D$9,MATCH(F129,Weekly_Model!$A$2:$A$9,0)),0),IFERROR(INDEX(Weekly_Model!$D$2:$D$9,MATCH(F130,Weekly_Model!$A$2:$A$9,0)),0),IFERROR(INDEX(Weekly_Model!$D$2:$D$9,MATCH(F131,Weekly_Model!$A$2:$A$9,0)),0),IFERROR(INDEX(Weekly_Model!$D$2:$D$9,MATCH(F132,Weekly_Model!$A$2:$A$9,0)),0)),IF(VLOOKUP($A129,Calendar!$A$1:$R$1377,18,0)=5,SUM(IFERROR(INDEX(Weekly_Model!$D$2:$D$9,MATCH(F129,Weekly_Model!$A$2:$A$9,0)),0),IFERROR(INDEX(Weekly_Model!$D$2:$D$9,MATCH(F130,Weekly_Model!$A$2:$A$9,0)),0),IFERROR(INDEX(Weekly_Model!$D$2:$D$9,MATCH(F131,Weekly_Model!$A$2:$A$9,0)),0),IFERROR(INDEX(Weekly_Model!$D$2:$D$9,MATCH(F132,Weekly_Model!$A$2:$A$9,0)),0),IFERROR(INDEX(Weekly_Model!$D$2:$D$9,MATCH(F133,Weekly_Model!$A$2:$A$9,0)),0)),0))))))</f>
        <v>0</v>
      </c>
      <c r="L129" s="27">
        <f>IF(VLOOKUP($A129,Calendar!$A$1:$R$1377,18,0)=0,0,IF(VLOOKUP($A129,Calendar!$A$1:$R$1377,18,0)=1,IFERROR(INDEX(Fortnightly_Model!$D$2:$D$15,MATCH(G129,Fortnightly_Model!$B$2:$B$15,0)),0),IF(VLOOKUP($A129,Calendar!$A$1:$R$1377,18,0)=2,SUM(IFERROR(INDEX(Fortnightly_Model!$D$2:$D$15,MATCH(G129,Fortnightly_Model!$B$2:$B$15,0)),0),IFERROR(INDEX(Fortnightly_Model!$D$2:$D$15,MATCH(G130,Fortnightly_Model!$B$2:$B$15,0)),0)),IF(VLOOKUP($A129,Calendar!$A$1:$R$1377,18,0)=3,SUM(IFERROR(INDEX(Fortnightly_Model!$D$2:$D$15,MATCH(G129,Fortnightly_Model!$B$2:$B$15,0)),0),IFERROR(INDEX(Fortnightly_Model!$D$2:$D$15,MATCH(G130,Fortnightly_Model!$B$2:$B$15,0)),0),IFERROR(INDEX(Fortnightly_Model!$D$2:$D$15,MATCH(G131,Fortnightly_Model!$B$2:$B$15,0)),0)),IF(VLOOKUP($A129,Calendar!$A$1:$R$1377,18,0)=4,SUM(IFERROR(INDEX(Fortnightly_Model!$D$2:$D$15,MATCH(G129,Fortnightly_Model!$B$2:$B$15,0)),0),IFERROR(INDEX(Fortnightly_Model!$D$2:$D$15,MATCH(G130,Fortnightly_Model!$B$2:$B$15,0)),0),IFERROR(INDEX(Fortnightly_Model!$D$2:$D$15,MATCH(G131,Fortnightly_Model!$B$2:$B$15,0)),0),IFERROR(INDEX(Fortnightly_Model!$D$2:$D$15,MATCH(G132,Fortnightly_Model!$B$2:$B$15,0)),0)),IF(VLOOKUP($A129,Calendar!$A$1:$R$1377,18,0)=5,SUM(IFERROR(INDEX(Fortnightly_Model!$D$2:$D$15,MATCH(G129,Fortnightly_Model!$B$2:$B$15,0)),0),IFERROR(INDEX(Fortnightly_Model!$D$2:$D$15,MATCH(G130,Fortnightly_Model!$B$2:$B$15,0)),0),IFERROR(INDEX(Fortnightly_Model!$D$2:$D$15,MATCH(G131,Fortnightly_Model!$B$2:$B$15,0)),0),IFERROR(INDEX(Fortnightly_Model!$D$2:$D$15,MATCH(G132,Fortnightly_Model!$B$2:$B$15,0)),0),IFERROR(INDEX(Fortnightly_Model!$D$2:$D$15,MATCH(G133,Fortnightly_Model!$B$2:$B$15,0)),0)),0))))))</f>
        <v>0</v>
      </c>
      <c r="M129" s="27">
        <f>IF(VLOOKUP($A129,Calendar!$A$1:$R$1377,18,0)=0,0,IF(VLOOKUP($A129,Calendar!$A$1:$R$1377,18,0)=1,IFERROR(INDEX(FourWeekly_Model!$D$2:$D$29,MATCH(H129,FourWeekly_Model!$B$2:$B$29,0)),0),IF(VLOOKUP($A129,Calendar!$A$1:$R$1377,18,0)=2,SUM(IFERROR(INDEX(FourWeekly_Model!$D$2:$D$29,MATCH(H129,FourWeekly_Model!$B$2:$B$29,0)),0),IFERROR(INDEX(FourWeekly_Model!$D$2:$D$29,MATCH(H130,FourWeekly_Model!$B$2:$B$29,0)),0)),IF(VLOOKUP($A129,Calendar!$A$1:$R$1377,18,0)=3,SUM(IFERROR(INDEX(FourWeekly_Model!$D$2:$D$29,MATCH(H129,FourWeekly_Model!$B$2:$B$29,0)),0),IFERROR(INDEX(FourWeekly_Model!$D$2:$D$29,MATCH(H130,FourWeekly_Model!$B$2:$B$29,0)),0),IFERROR(INDEX(FourWeekly_Model!$D$2:$D$29,MATCH(H131,FourWeekly_Model!$B$2:$B$29,0)),0)),IF(VLOOKUP($A129,Calendar!$A$1:$R$1377,18,0)=4,SUM(IFERROR(INDEX(FourWeekly_Model!$D$2:$D$29,MATCH(H129,FourWeekly_Model!$B$2:$B$29,0)),0),IFERROR(INDEX(FourWeekly_Model!$D$2:$D$29,MATCH(H130,FourWeekly_Model!$B$2:$B$29,0)),0),IFERROR(INDEX(FourWeekly_Model!$D$2:$D$29,MATCH(H131,FourWeekly_Model!$B$2:$B$29,0)),0),IFERROR(INDEX(FourWeekly_Model!$D$2:$D$29,MATCH(H132,FourWeekly_Model!$B$2:$B$29,0)),0)),IF(VLOOKUP($A129,Calendar!$A$1:$R$1377,18,0)=5,SUM(IFERROR(INDEX(FourWeekly_Model!$D$2:$D$29,MATCH(H129,FourWeekly_Model!$B$2:$B$29,0)),0),IFERROR(INDEX(FourWeekly_Model!$D$2:$D$29,MATCH(H130,FourWeekly_Model!$B$2:$B$29,0)),0),IFERROR(INDEX(FourWeekly_Model!$D$2:$D$29,MATCH(H131,FourWeekly_Model!$B$2:$B$29,0)),0),IFERROR(INDEX(FourWeekly_Model!$D$2:$D$29,MATCH(H132,FourWeekly_Model!$B$2:$B$29,0)),0),IFERROR(INDEX(FourWeekly_Model!$D$2:$D$29,MATCH(H133,FourWeekly_Model!$B$2:$B$29,0)),0)),0))))))</f>
        <v>0</v>
      </c>
      <c r="N129" s="27">
        <f>SUM(I129:M129)</f>
        <v>0</v>
      </c>
      <c r="O129" s="28">
        <f>Population_Data!$B$8*N129</f>
        <v>0</v>
      </c>
      <c r="P129" s="27">
        <f>IF(VLOOKUP($A129,Calendar!$A$1:$R$1377,18,0)=0,0,IF(VLOOKUP($A129,Calendar!$A$1:$R$1377,18,0)=1,IFERROR(INDEX(Pension_Model!$D$2:$D$29,MATCH(H129,Pension_Model!$B$2:$B$29,0)),0),IF(VLOOKUP($A129,Calendar!$A$1:$R$1377,18,0)=2,SUM(IFERROR(INDEX(Pension_Model!$D$2:$D$29,MATCH(H129,Pension_Model!$B$2:$B$29,0)),0),IFERROR(INDEX(Pension_Model!$D$2:$D$29,MATCH(H130,Pension_Model!$B$2:$B$29,0)),0)),IF(VLOOKUP($A129,Calendar!$A$1:$R$1377,18,0)=3,SUM(IFERROR(INDEX(Pension_Model!$D$2:$D$29,MATCH(H129,Pension_Model!$B$2:$B$29,0)),0),IFERROR(INDEX(Pension_Model!$D$2:$D$29,MATCH(H130,Pension_Model!$B$2:$B$29,0)),0),IFERROR(INDEX(Pension_Model!$D$2:$D$29,MATCH(H131,Pension_Model!$B$2:$B$29,0)),0)),IF(VLOOKUP($A129,Calendar!$A$1:$R$1377,18,0)=4,SUM(IFERROR(INDEX(Pension_Model!$D$2:$D$29,MATCH(H129,Pension_Model!$B$2:$B$29,0)),0),IFERROR(INDEX(Pension_Model!$D$2:$D$29,MATCH(H130,Pension_Model!$B$2:$B$29,0)),0),IFERROR(INDEX(Pension_Model!$D$2:$D$29,MATCH(H131,Pension_Model!$B$2:$B$29,0)),0),IFERROR(INDEX(Pension_Model!$D$2:$D$29,MATCH(H132,Pension_Model!$B$2:$B$29,0)),0)),IF(VLOOKUP($A129,Calendar!$A$1:$R$1377,18,0)=5,SUM(IFERROR(INDEX(Pension_Model!$D$2:$D$29,MATCH(H129,Pension_Model!$B$2:$B$29,0)),0),IFERROR(INDEX(Pension_Model!$D$2:$D$29,MATCH(H130,Pension_Model!$B$2:$B$29,0)),0),IFERROR(INDEX(Pension_Model!$D$2:$D$29,MATCH(H131,Pension_Model!$B$2:$B$29,0)),0),IFERROR(INDEX(Pension_Model!$D$2:$D$29,MATCH(H132,Pension_Model!$B$2:$B$29,0)),0),IFERROR(INDEX(Pension_Model!$D$2:$D$29,MATCH(H133,Pension_Model!$B$2:$B$29,0)),0)),0))))))</f>
        <v>0</v>
      </c>
      <c r="Q129" s="28">
        <f>Population_Data!$B$15*P129</f>
        <v>0</v>
      </c>
      <c r="S129">
        <f t="shared" si="1"/>
        <v>0</v>
      </c>
      <c r="U129" s="33">
        <f>S129/Population_Data!$B$19</f>
        <v>0</v>
      </c>
    </row>
    <row r="130" spans="1:21">
      <c r="A130" s="25">
        <f>Calendar!A130</f>
        <v>46363</v>
      </c>
      <c r="B130" t="str">
        <f>Calendar!L130</f>
        <v>Yes</v>
      </c>
      <c r="C130" t="str">
        <f>Calendar!O130</f>
        <v>No</v>
      </c>
      <c r="D130" t="str">
        <f>Calendar!P130</f>
        <v>No</v>
      </c>
      <c r="E130" t="str">
        <f>Calendar!Q130</f>
        <v>No</v>
      </c>
      <c r="F130" t="str">
        <f>Calendar!I130</f>
        <v>Monday</v>
      </c>
      <c r="G130">
        <f>Calendar!S130</f>
        <v>9</v>
      </c>
      <c r="H130">
        <f>Calendar!T130</f>
        <v>23</v>
      </c>
      <c r="I130" s="27">
        <f>IF(VLOOKUP(A130,Calendar!$A$1:$R$1377,18,0)=0,0,IF(VLOOKUP(A130,Calendar!$A$1:$R$1377,18,0)=1,INDEX(Monthly_Pay_Model!$A$9:$D$40,MATCH(TEXT(A130,"dd"),Monthly_Pay_Model!$C$9:$C$39,0),4),IF(VLOOKUP(A130,Calendar!$A$1:$R$1377,18,0)=2,SUM(INDEX(Monthly_Pay_Model!$A$9:$D$40,MATCH(TEXT(A130,"dd"),Monthly_Pay_Model!$C$9:$C$39,0),4),INDEX(Monthly_Pay_Model!$A$9:$D$40,MATCH(TEXT(A131,"dd"),Monthly_Pay_Model!$C$9:$C$39,0),4)),IF(VLOOKUP(A130,Calendar!$A$1:$R$1377,18,0)=3,SUM(INDEX(Monthly_Pay_Model!$A$9:$D$40,MATCH(TEXT(A130,"dd"),Monthly_Pay_Model!$C$9:$C$39,0),4),INDEX(Monthly_Pay_Model!$A$9:$D$40,MATCH(TEXT(A131,"dd"),Monthly_Pay_Model!$C$9:$C$39,0),4),INDEX(Monthly_Pay_Model!$A$9:$D$40,MATCH(TEXT(A132,"dd"),Monthly_Pay_Model!$C$9:$C$39,0),4)),IF(VLOOKUP(A130,Calendar!$A$1:$R$1377,18,0)=4,SUM(INDEX(Monthly_Pay_Model!$A$9:$D$40,MATCH(TEXT(A130,"dd"),Monthly_Pay_Model!$C$9:$C$39,0),4),INDEX(Monthly_Pay_Model!$A$9:$D$40,MATCH(TEXT(A131,"dd"),Monthly_Pay_Model!$C$9:$C$39,0),4),INDEX(Monthly_Pay_Model!$A$9:$D$40,MATCH(TEXT(A132,"dd"),Monthly_Pay_Model!$C$9:$C$39,0),4),INDEX(Monthly_Pay_Model!$A$9:$D$40,MATCH(TEXT(A133,"dd"),Monthly_Pay_Model!$C$9:$C$39,0),4)),IF(VLOOKUP(A130,Calendar!$A$1:$R$1377,18,0)=5,SUM(INDEX(Monthly_Pay_Model!$A$9:$D$40,MATCH(TEXT(A130,"dd"),Monthly_Pay_Model!$C$9:$C$39,0),4),INDEX(Monthly_Pay_Model!$A$9:$D$40,MATCH(TEXT(A131,"dd"),Monthly_Pay_Model!$C$9:$C$39,0),4),INDEX(Monthly_Pay_Model!$A$9:$D$40,MATCH(TEXT(A132,"dd"),Monthly_Pay_Model!$C$9:$C$39,0),4),INDEX(Monthly_Pay_Model!$A$9:$D$40,MATCH(TEXT(A133,"dd"),Monthly_Pay_Model!$C$9:$C$39,0),4),INDEX(Monthly_Pay_Model!$A$9:$D$40,MATCH(TEXT(A134,"dd"),Monthly_Pay_Model!$C$9:$C$39,0),4)),))))))</f>
        <v>2.4376963350785331E-3</v>
      </c>
      <c r="J130" s="33">
        <f>IF(C130="Yes",Monthly_Pay_Model!$D$2,0)
+IF(Calendar!N130="Yes",Monthly_Pay_Model!$D$3,0)
+IF(D130="Yes",Monthly_Pay_Model!$D$4,0)
+IF(E130="Yes",Monthly_Pay_Model!$D$5,0)</f>
        <v>0</v>
      </c>
      <c r="K130" s="27">
        <f>IF(VLOOKUP($A130,Calendar!$A$1:$R$1377,18,0)=0,0,IF(VLOOKUP($A130,Calendar!$A$1:$R$1377,18,0)=1,IFERROR(INDEX(Weekly_Model!$D$2:$D$9,MATCH(F130,Weekly_Model!$A$2:$A$9,0)),0),IF(VLOOKUP($A130,Calendar!$A$1:$R$1377,18,0)=2,SUM(IFERROR(INDEX(Weekly_Model!$D$2:$D$9,MATCH(F130,Weekly_Model!$A$2:$A$9,0)),0),IFERROR(INDEX(Weekly_Model!$D$2:$D$9,MATCH(F131,Weekly_Model!$A$2:$A$9,0)),0)),IF(VLOOKUP($A130,Calendar!$A$1:$R$1377,18,0)=3,SUM(IFERROR(INDEX(Weekly_Model!$D$2:$D$9,MATCH(F130,Weekly_Model!$A$2:$A$9,0)),0),IFERROR(INDEX(Weekly_Model!$D$2:$D$9,MATCH(F131,Weekly_Model!$A$2:$A$9,0)),0),IFERROR(INDEX(Weekly_Model!$D$2:$D$9,MATCH(F132,Weekly_Model!$A$2:$A$9,0)),0)),IF(VLOOKUP($A130,Calendar!$A$1:$R$1377,18,0)=4,SUM(IFERROR(INDEX(Weekly_Model!$D$2:$D$9,MATCH(F130,Weekly_Model!$A$2:$A$9,0)),0),IFERROR(INDEX(Weekly_Model!$D$2:$D$9,MATCH(F131,Weekly_Model!$A$2:$A$9,0)),0),IFERROR(INDEX(Weekly_Model!$D$2:$D$9,MATCH(F132,Weekly_Model!$A$2:$A$9,0)),0),IFERROR(INDEX(Weekly_Model!$D$2:$D$9,MATCH(F133,Weekly_Model!$A$2:$A$9,0)),0)),IF(VLOOKUP($A130,Calendar!$A$1:$R$1377,18,0)=5,SUM(IFERROR(INDEX(Weekly_Model!$D$2:$D$9,MATCH(F130,Weekly_Model!$A$2:$A$9,0)),0),IFERROR(INDEX(Weekly_Model!$D$2:$D$9,MATCH(F131,Weekly_Model!$A$2:$A$9,0)),0),IFERROR(INDEX(Weekly_Model!$D$2:$D$9,MATCH(F132,Weekly_Model!$A$2:$A$9,0)),0),IFERROR(INDEX(Weekly_Model!$D$2:$D$9,MATCH(F133,Weekly_Model!$A$2:$A$9,0)),0),IFERROR(INDEX(Weekly_Model!$D$2:$D$9,MATCH(F134,Weekly_Model!$A$2:$A$9,0)),0)),0))))))</f>
        <v>2.3200000000000002E-2</v>
      </c>
      <c r="L130" s="27">
        <f>IF(VLOOKUP($A130,Calendar!$A$1:$R$1377,18,0)=0,0,IF(VLOOKUP($A130,Calendar!$A$1:$R$1377,18,0)=1,IFERROR(INDEX(Fortnightly_Model!$D$2:$D$15,MATCH(G130,Fortnightly_Model!$B$2:$B$15,0)),0),IF(VLOOKUP($A130,Calendar!$A$1:$R$1377,18,0)=2,SUM(IFERROR(INDEX(Fortnightly_Model!$D$2:$D$15,MATCH(G130,Fortnightly_Model!$B$2:$B$15,0)),0),IFERROR(INDEX(Fortnightly_Model!$D$2:$D$15,MATCH(G131,Fortnightly_Model!$B$2:$B$15,0)),0)),IF(VLOOKUP($A130,Calendar!$A$1:$R$1377,18,0)=3,SUM(IFERROR(INDEX(Fortnightly_Model!$D$2:$D$15,MATCH(G130,Fortnightly_Model!$B$2:$B$15,0)),0),IFERROR(INDEX(Fortnightly_Model!$D$2:$D$15,MATCH(G131,Fortnightly_Model!$B$2:$B$15,0)),0),IFERROR(INDEX(Fortnightly_Model!$D$2:$D$15,MATCH(G132,Fortnightly_Model!$B$2:$B$15,0)),0)),IF(VLOOKUP($A130,Calendar!$A$1:$R$1377,18,0)=4,SUM(IFERROR(INDEX(Fortnightly_Model!$D$2:$D$15,MATCH(G130,Fortnightly_Model!$B$2:$B$15,0)),0),IFERROR(INDEX(Fortnightly_Model!$D$2:$D$15,MATCH(G131,Fortnightly_Model!$B$2:$B$15,0)),0),IFERROR(INDEX(Fortnightly_Model!$D$2:$D$15,MATCH(G132,Fortnightly_Model!$B$2:$B$15,0)),0),IFERROR(INDEX(Fortnightly_Model!$D$2:$D$15,MATCH(G133,Fortnightly_Model!$B$2:$B$15,0)),0)),IF(VLOOKUP($A130,Calendar!$A$1:$R$1377,18,0)=5,SUM(IFERROR(INDEX(Fortnightly_Model!$D$2:$D$15,MATCH(G130,Fortnightly_Model!$B$2:$B$15,0)),0),IFERROR(INDEX(Fortnightly_Model!$D$2:$D$15,MATCH(G131,Fortnightly_Model!$B$2:$B$15,0)),0),IFERROR(INDEX(Fortnightly_Model!$D$2:$D$15,MATCH(G132,Fortnightly_Model!$B$2:$B$15,0)),0),IFERROR(INDEX(Fortnightly_Model!$D$2:$D$15,MATCH(G133,Fortnightly_Model!$B$2:$B$15,0)),0),IFERROR(INDEX(Fortnightly_Model!$D$2:$D$15,MATCH(G134,Fortnightly_Model!$B$2:$B$15,0)),0)),0))))))</f>
        <v>1.0714285499999999E-3</v>
      </c>
      <c r="M130" s="27">
        <f>IF(VLOOKUP($A130,Calendar!$A$1:$R$1377,18,0)=0,0,IF(VLOOKUP($A130,Calendar!$A$1:$R$1377,18,0)=1,IFERROR(INDEX(FourWeekly_Model!$D$2:$D$29,MATCH(H130,FourWeekly_Model!$B$2:$B$29,0)),0),IF(VLOOKUP($A130,Calendar!$A$1:$R$1377,18,0)=2,SUM(IFERROR(INDEX(FourWeekly_Model!$D$2:$D$29,MATCH(H130,FourWeekly_Model!$B$2:$B$29,0)),0),IFERROR(INDEX(FourWeekly_Model!$D$2:$D$29,MATCH(H131,FourWeekly_Model!$B$2:$B$29,0)),0)),IF(VLOOKUP($A130,Calendar!$A$1:$R$1377,18,0)=3,SUM(IFERROR(INDEX(FourWeekly_Model!$D$2:$D$29,MATCH(H130,FourWeekly_Model!$B$2:$B$29,0)),0),IFERROR(INDEX(FourWeekly_Model!$D$2:$D$29,MATCH(H131,FourWeekly_Model!$B$2:$B$29,0)),0),IFERROR(INDEX(FourWeekly_Model!$D$2:$D$29,MATCH(H132,FourWeekly_Model!$B$2:$B$29,0)),0)),IF(VLOOKUP($A130,Calendar!$A$1:$R$1377,18,0)=4,SUM(IFERROR(INDEX(FourWeekly_Model!$D$2:$D$29,MATCH(H130,FourWeekly_Model!$B$2:$B$29,0)),0),IFERROR(INDEX(FourWeekly_Model!$D$2:$D$29,MATCH(H131,FourWeekly_Model!$B$2:$B$29,0)),0),IFERROR(INDEX(FourWeekly_Model!$D$2:$D$29,MATCH(H132,FourWeekly_Model!$B$2:$B$29,0)),0),IFERROR(INDEX(FourWeekly_Model!$D$2:$D$29,MATCH(H133,FourWeekly_Model!$B$2:$B$29,0)),0)),IF(VLOOKUP($A130,Calendar!$A$1:$R$1377,18,0)=5,SUM(IFERROR(INDEX(FourWeekly_Model!$D$2:$D$29,MATCH(H130,FourWeekly_Model!$B$2:$B$29,0)),0),IFERROR(INDEX(FourWeekly_Model!$D$2:$D$29,MATCH(H131,FourWeekly_Model!$B$2:$B$29,0)),0),IFERROR(INDEX(FourWeekly_Model!$D$2:$D$29,MATCH(H132,FourWeekly_Model!$B$2:$B$29,0)),0),IFERROR(INDEX(FourWeekly_Model!$D$2:$D$29,MATCH(H133,FourWeekly_Model!$B$2:$B$29,0)),0),IFERROR(INDEX(FourWeekly_Model!$D$2:$D$29,MATCH(H134,FourWeekly_Model!$B$2:$B$29,0)),0)),0))))))</f>
        <v>3.3214289700000004E-3</v>
      </c>
      <c r="N130" s="27">
        <f>SUM(I130:M130)</f>
        <v>3.0030553855078537E-2</v>
      </c>
      <c r="O130" s="28">
        <f>Population_Data!$B$8*N130</f>
        <v>909925.78180887969</v>
      </c>
      <c r="P130" s="27">
        <f>IF(VLOOKUP($A130,Calendar!$A$1:$R$1377,18,0)=0,0,IF(VLOOKUP($A130,Calendar!$A$1:$R$1377,18,0)=1,IFERROR(INDEX(Pension_Model!$D$2:$D$29,MATCH(H130,Pension_Model!$B$2:$B$29,0)),0),IF(VLOOKUP($A130,Calendar!$A$1:$R$1377,18,0)=2,SUM(IFERROR(INDEX(Pension_Model!$D$2:$D$29,MATCH(H130,Pension_Model!$B$2:$B$29,0)),0),IFERROR(INDEX(Pension_Model!$D$2:$D$29,MATCH(H131,Pension_Model!$B$2:$B$29,0)),0)),IF(VLOOKUP($A130,Calendar!$A$1:$R$1377,18,0)=3,SUM(IFERROR(INDEX(Pension_Model!$D$2:$D$29,MATCH(H130,Pension_Model!$B$2:$B$29,0)),0),IFERROR(INDEX(Pension_Model!$D$2:$D$29,MATCH(H131,Pension_Model!$B$2:$B$29,0)),0),IFERROR(INDEX(Pension_Model!$D$2:$D$29,MATCH(H132,Pension_Model!$B$2:$B$29,0)),0)),IF(VLOOKUP($A130,Calendar!$A$1:$R$1377,18,0)=4,SUM(IFERROR(INDEX(Pension_Model!$D$2:$D$29,MATCH(H130,Pension_Model!$B$2:$B$29,0)),0),IFERROR(INDEX(Pension_Model!$D$2:$D$29,MATCH(H131,Pension_Model!$B$2:$B$29,0)),0),IFERROR(INDEX(Pension_Model!$D$2:$D$29,MATCH(H132,Pension_Model!$B$2:$B$29,0)),0),IFERROR(INDEX(Pension_Model!$D$2:$D$29,MATCH(H133,Pension_Model!$B$2:$B$29,0)),0)),IF(VLOOKUP($A130,Calendar!$A$1:$R$1377,18,0)=5,SUM(IFERROR(INDEX(Pension_Model!$D$2:$D$29,MATCH(H130,Pension_Model!$B$2:$B$29,0)),0),IFERROR(INDEX(Pension_Model!$D$2:$D$29,MATCH(H131,Pension_Model!$B$2:$B$29,0)),0),IFERROR(INDEX(Pension_Model!$D$2:$D$29,MATCH(H132,Pension_Model!$B$2:$B$29,0)),0),IFERROR(INDEX(Pension_Model!$D$2:$D$29,MATCH(H133,Pension_Model!$B$2:$B$29,0)),0),IFERROR(INDEX(Pension_Model!$D$2:$D$29,MATCH(H134,Pension_Model!$B$2:$B$29,0)),0)),0))))))</f>
        <v>0.05</v>
      </c>
      <c r="Q130" s="28">
        <f>Population_Data!$B$15*P130</f>
        <v>660600</v>
      </c>
      <c r="S130">
        <f t="shared" si="1"/>
        <v>1570525.7818088797</v>
      </c>
      <c r="U130" s="33">
        <f>S130/Population_Data!$B$19</f>
        <v>2.8451554018276808E-2</v>
      </c>
    </row>
    <row r="131" spans="1:21">
      <c r="A131" s="25">
        <f>Calendar!A131</f>
        <v>46364</v>
      </c>
      <c r="B131" t="str">
        <f>Calendar!L131</f>
        <v>Yes</v>
      </c>
      <c r="C131" t="str">
        <f>Calendar!O131</f>
        <v>No</v>
      </c>
      <c r="D131" t="str">
        <f>Calendar!P131</f>
        <v>No</v>
      </c>
      <c r="E131" t="str">
        <f>Calendar!Q131</f>
        <v>No</v>
      </c>
      <c r="F131" t="str">
        <f>Calendar!I131</f>
        <v>Tuesday</v>
      </c>
      <c r="G131">
        <f>Calendar!S131</f>
        <v>10</v>
      </c>
      <c r="H131">
        <f>Calendar!T131</f>
        <v>24</v>
      </c>
      <c r="I131" s="27">
        <f>IF(VLOOKUP(A131,Calendar!$A$1:$R$1377,18,0)=0,0,IF(VLOOKUP(A131,Calendar!$A$1:$R$1377,18,0)=1,INDEX(Monthly_Pay_Model!$A$9:$D$40,MATCH(TEXT(A131,"dd"),Monthly_Pay_Model!$C$9:$C$39,0),4),IF(VLOOKUP(A131,Calendar!$A$1:$R$1377,18,0)=2,SUM(INDEX(Monthly_Pay_Model!$A$9:$D$40,MATCH(TEXT(A131,"dd"),Monthly_Pay_Model!$C$9:$C$39,0),4),INDEX(Monthly_Pay_Model!$A$9:$D$40,MATCH(TEXT(A132,"dd"),Monthly_Pay_Model!$C$9:$C$39,0),4)),IF(VLOOKUP(A131,Calendar!$A$1:$R$1377,18,0)=3,SUM(INDEX(Monthly_Pay_Model!$A$9:$D$40,MATCH(TEXT(A131,"dd"),Monthly_Pay_Model!$C$9:$C$39,0),4),INDEX(Monthly_Pay_Model!$A$9:$D$40,MATCH(TEXT(A132,"dd"),Monthly_Pay_Model!$C$9:$C$39,0),4),INDEX(Monthly_Pay_Model!$A$9:$D$40,MATCH(TEXT(A133,"dd"),Monthly_Pay_Model!$C$9:$C$39,0),4)),IF(VLOOKUP(A131,Calendar!$A$1:$R$1377,18,0)=4,SUM(INDEX(Monthly_Pay_Model!$A$9:$D$40,MATCH(TEXT(A131,"dd"),Monthly_Pay_Model!$C$9:$C$39,0),4),INDEX(Monthly_Pay_Model!$A$9:$D$40,MATCH(TEXT(A132,"dd"),Monthly_Pay_Model!$C$9:$C$39,0),4),INDEX(Monthly_Pay_Model!$A$9:$D$40,MATCH(TEXT(A133,"dd"),Monthly_Pay_Model!$C$9:$C$39,0),4),INDEX(Monthly_Pay_Model!$A$9:$D$40,MATCH(TEXT(A134,"dd"),Monthly_Pay_Model!$C$9:$C$39,0),4)),IF(VLOOKUP(A131,Calendar!$A$1:$R$1377,18,0)=5,SUM(INDEX(Monthly_Pay_Model!$A$9:$D$40,MATCH(TEXT(A131,"dd"),Monthly_Pay_Model!$C$9:$C$39,0),4),INDEX(Monthly_Pay_Model!$A$9:$D$40,MATCH(TEXT(A132,"dd"),Monthly_Pay_Model!$C$9:$C$39,0),4),INDEX(Monthly_Pay_Model!$A$9:$D$40,MATCH(TEXT(A133,"dd"),Monthly_Pay_Model!$C$9:$C$39,0),4),INDEX(Monthly_Pay_Model!$A$9:$D$40,MATCH(TEXT(A134,"dd"),Monthly_Pay_Model!$C$9:$C$39,0),4),INDEX(Monthly_Pay_Model!$A$9:$D$40,MATCH(TEXT(A135,"dd"),Monthly_Pay_Model!$C$9:$C$39,0),4)),))))))</f>
        <v>1.6251308900523558E-3</v>
      </c>
      <c r="J131" s="33">
        <f>IF(C131="Yes",Monthly_Pay_Model!$D$2,0)
+IF(Calendar!N131="Yes",Monthly_Pay_Model!$D$3,0)
+IF(D131="Yes",Monthly_Pay_Model!$D$4,0)
+IF(E131="Yes",Monthly_Pay_Model!$D$5,0)</f>
        <v>0</v>
      </c>
      <c r="K131" s="27">
        <f>IF(VLOOKUP($A131,Calendar!$A$1:$R$1377,18,0)=0,0,IF(VLOOKUP($A131,Calendar!$A$1:$R$1377,18,0)=1,IFERROR(INDEX(Weekly_Model!$D$2:$D$9,MATCH(F131,Weekly_Model!$A$2:$A$9,0)),0),IF(VLOOKUP($A131,Calendar!$A$1:$R$1377,18,0)=2,SUM(IFERROR(INDEX(Weekly_Model!$D$2:$D$9,MATCH(F131,Weekly_Model!$A$2:$A$9,0)),0),IFERROR(INDEX(Weekly_Model!$D$2:$D$9,MATCH(F132,Weekly_Model!$A$2:$A$9,0)),0)),IF(VLOOKUP($A131,Calendar!$A$1:$R$1377,18,0)=3,SUM(IFERROR(INDEX(Weekly_Model!$D$2:$D$9,MATCH(F131,Weekly_Model!$A$2:$A$9,0)),0),IFERROR(INDEX(Weekly_Model!$D$2:$D$9,MATCH(F132,Weekly_Model!$A$2:$A$9,0)),0),IFERROR(INDEX(Weekly_Model!$D$2:$D$9,MATCH(F133,Weekly_Model!$A$2:$A$9,0)),0)),IF(VLOOKUP($A131,Calendar!$A$1:$R$1377,18,0)=4,SUM(IFERROR(INDEX(Weekly_Model!$D$2:$D$9,MATCH(F131,Weekly_Model!$A$2:$A$9,0)),0),IFERROR(INDEX(Weekly_Model!$D$2:$D$9,MATCH(F132,Weekly_Model!$A$2:$A$9,0)),0),IFERROR(INDEX(Weekly_Model!$D$2:$D$9,MATCH(F133,Weekly_Model!$A$2:$A$9,0)),0),IFERROR(INDEX(Weekly_Model!$D$2:$D$9,MATCH(F134,Weekly_Model!$A$2:$A$9,0)),0)),IF(VLOOKUP($A131,Calendar!$A$1:$R$1377,18,0)=5,SUM(IFERROR(INDEX(Weekly_Model!$D$2:$D$9,MATCH(F131,Weekly_Model!$A$2:$A$9,0)),0),IFERROR(INDEX(Weekly_Model!$D$2:$D$9,MATCH(F132,Weekly_Model!$A$2:$A$9,0)),0),IFERROR(INDEX(Weekly_Model!$D$2:$D$9,MATCH(F133,Weekly_Model!$A$2:$A$9,0)),0),IFERROR(INDEX(Weekly_Model!$D$2:$D$9,MATCH(F134,Weekly_Model!$A$2:$A$9,0)),0),IFERROR(INDEX(Weekly_Model!$D$2:$D$9,MATCH(F135,Weekly_Model!$A$2:$A$9,0)),0)),0))))))</f>
        <v>2.3200000000000002E-2</v>
      </c>
      <c r="L131" s="27">
        <f>IF(VLOOKUP($A131,Calendar!$A$1:$R$1377,18,0)=0,0,IF(VLOOKUP($A131,Calendar!$A$1:$R$1377,18,0)=1,IFERROR(INDEX(Fortnightly_Model!$D$2:$D$15,MATCH(G131,Fortnightly_Model!$B$2:$B$15,0)),0),IF(VLOOKUP($A131,Calendar!$A$1:$R$1377,18,0)=2,SUM(IFERROR(INDEX(Fortnightly_Model!$D$2:$D$15,MATCH(G131,Fortnightly_Model!$B$2:$B$15,0)),0),IFERROR(INDEX(Fortnightly_Model!$D$2:$D$15,MATCH(G132,Fortnightly_Model!$B$2:$B$15,0)),0)),IF(VLOOKUP($A131,Calendar!$A$1:$R$1377,18,0)=3,SUM(IFERROR(INDEX(Fortnightly_Model!$D$2:$D$15,MATCH(G131,Fortnightly_Model!$B$2:$B$15,0)),0),IFERROR(INDEX(Fortnightly_Model!$D$2:$D$15,MATCH(G132,Fortnightly_Model!$B$2:$B$15,0)),0),IFERROR(INDEX(Fortnightly_Model!$D$2:$D$15,MATCH(G133,Fortnightly_Model!$B$2:$B$15,0)),0)),IF(VLOOKUP($A131,Calendar!$A$1:$R$1377,18,0)=4,SUM(IFERROR(INDEX(Fortnightly_Model!$D$2:$D$15,MATCH(G131,Fortnightly_Model!$B$2:$B$15,0)),0),IFERROR(INDEX(Fortnightly_Model!$D$2:$D$15,MATCH(G132,Fortnightly_Model!$B$2:$B$15,0)),0),IFERROR(INDEX(Fortnightly_Model!$D$2:$D$15,MATCH(G133,Fortnightly_Model!$B$2:$B$15,0)),0),IFERROR(INDEX(Fortnightly_Model!$D$2:$D$15,MATCH(G134,Fortnightly_Model!$B$2:$B$15,0)),0)),IF(VLOOKUP($A131,Calendar!$A$1:$R$1377,18,0)=5,SUM(IFERROR(INDEX(Fortnightly_Model!$D$2:$D$15,MATCH(G131,Fortnightly_Model!$B$2:$B$15,0)),0),IFERROR(INDEX(Fortnightly_Model!$D$2:$D$15,MATCH(G132,Fortnightly_Model!$B$2:$B$15,0)),0),IFERROR(INDEX(Fortnightly_Model!$D$2:$D$15,MATCH(G133,Fortnightly_Model!$B$2:$B$15,0)),0),IFERROR(INDEX(Fortnightly_Model!$D$2:$D$15,MATCH(G134,Fortnightly_Model!$B$2:$B$15,0)),0),IFERROR(INDEX(Fortnightly_Model!$D$2:$D$15,MATCH(G135,Fortnightly_Model!$B$2:$B$15,0)),0)),0))))))</f>
        <v>1.0714285499999999E-3</v>
      </c>
      <c r="M131" s="27">
        <f>IF(VLOOKUP($A131,Calendar!$A$1:$R$1377,18,0)=0,0,IF(VLOOKUP($A131,Calendar!$A$1:$R$1377,18,0)=1,IFERROR(INDEX(FourWeekly_Model!$D$2:$D$29,MATCH(H131,FourWeekly_Model!$B$2:$B$29,0)),0),IF(VLOOKUP($A131,Calendar!$A$1:$R$1377,18,0)=2,SUM(IFERROR(INDEX(FourWeekly_Model!$D$2:$D$29,MATCH(H131,FourWeekly_Model!$B$2:$B$29,0)),0),IFERROR(INDEX(FourWeekly_Model!$D$2:$D$29,MATCH(H132,FourWeekly_Model!$B$2:$B$29,0)),0)),IF(VLOOKUP($A131,Calendar!$A$1:$R$1377,18,0)=3,SUM(IFERROR(INDEX(FourWeekly_Model!$D$2:$D$29,MATCH(H131,FourWeekly_Model!$B$2:$B$29,0)),0),IFERROR(INDEX(FourWeekly_Model!$D$2:$D$29,MATCH(H132,FourWeekly_Model!$B$2:$B$29,0)),0),IFERROR(INDEX(FourWeekly_Model!$D$2:$D$29,MATCH(H133,FourWeekly_Model!$B$2:$B$29,0)),0)),IF(VLOOKUP($A131,Calendar!$A$1:$R$1377,18,0)=4,SUM(IFERROR(INDEX(FourWeekly_Model!$D$2:$D$29,MATCH(H131,FourWeekly_Model!$B$2:$B$29,0)),0),IFERROR(INDEX(FourWeekly_Model!$D$2:$D$29,MATCH(H132,FourWeekly_Model!$B$2:$B$29,0)),0),IFERROR(INDEX(FourWeekly_Model!$D$2:$D$29,MATCH(H133,FourWeekly_Model!$B$2:$B$29,0)),0),IFERROR(INDEX(FourWeekly_Model!$D$2:$D$29,MATCH(H134,FourWeekly_Model!$B$2:$B$29,0)),0)),IF(VLOOKUP($A131,Calendar!$A$1:$R$1377,18,0)=5,SUM(IFERROR(INDEX(FourWeekly_Model!$D$2:$D$29,MATCH(H131,FourWeekly_Model!$B$2:$B$29,0)),0),IFERROR(INDEX(FourWeekly_Model!$D$2:$D$29,MATCH(H132,FourWeekly_Model!$B$2:$B$29,0)),0),IFERROR(INDEX(FourWeekly_Model!$D$2:$D$29,MATCH(H133,FourWeekly_Model!$B$2:$B$29,0)),0),IFERROR(INDEX(FourWeekly_Model!$D$2:$D$29,MATCH(H134,FourWeekly_Model!$B$2:$B$29,0)),0),IFERROR(INDEX(FourWeekly_Model!$D$2:$D$29,MATCH(H135,FourWeekly_Model!$B$2:$B$29,0)),0)),0))))))</f>
        <v>3.3214289700000004E-3</v>
      </c>
      <c r="N131" s="27">
        <f>SUM(I131:M131)</f>
        <v>2.921798841005236E-2</v>
      </c>
      <c r="O131" s="28">
        <f>Population_Data!$B$8*N131</f>
        <v>885305.04882458656</v>
      </c>
      <c r="P131" s="27">
        <f>IF(VLOOKUP($A131,Calendar!$A$1:$R$1377,18,0)=0,0,IF(VLOOKUP($A131,Calendar!$A$1:$R$1377,18,0)=1,IFERROR(INDEX(Pension_Model!$D$2:$D$29,MATCH(H131,Pension_Model!$B$2:$B$29,0)),0),IF(VLOOKUP($A131,Calendar!$A$1:$R$1377,18,0)=2,SUM(IFERROR(INDEX(Pension_Model!$D$2:$D$29,MATCH(H131,Pension_Model!$B$2:$B$29,0)),0),IFERROR(INDEX(Pension_Model!$D$2:$D$29,MATCH(H132,Pension_Model!$B$2:$B$29,0)),0)),IF(VLOOKUP($A131,Calendar!$A$1:$R$1377,18,0)=3,SUM(IFERROR(INDEX(Pension_Model!$D$2:$D$29,MATCH(H131,Pension_Model!$B$2:$B$29,0)),0),IFERROR(INDEX(Pension_Model!$D$2:$D$29,MATCH(H132,Pension_Model!$B$2:$B$29,0)),0),IFERROR(INDEX(Pension_Model!$D$2:$D$29,MATCH(H133,Pension_Model!$B$2:$B$29,0)),0)),IF(VLOOKUP($A131,Calendar!$A$1:$R$1377,18,0)=4,SUM(IFERROR(INDEX(Pension_Model!$D$2:$D$29,MATCH(H131,Pension_Model!$B$2:$B$29,0)),0),IFERROR(INDEX(Pension_Model!$D$2:$D$29,MATCH(H132,Pension_Model!$B$2:$B$29,0)),0),IFERROR(INDEX(Pension_Model!$D$2:$D$29,MATCH(H133,Pension_Model!$B$2:$B$29,0)),0),IFERROR(INDEX(Pension_Model!$D$2:$D$29,MATCH(H134,Pension_Model!$B$2:$B$29,0)),0)),IF(VLOOKUP($A131,Calendar!$A$1:$R$1377,18,0)=5,SUM(IFERROR(INDEX(Pension_Model!$D$2:$D$29,MATCH(H131,Pension_Model!$B$2:$B$29,0)),0),IFERROR(INDEX(Pension_Model!$D$2:$D$29,MATCH(H132,Pension_Model!$B$2:$B$29,0)),0),IFERROR(INDEX(Pension_Model!$D$2:$D$29,MATCH(H133,Pension_Model!$B$2:$B$29,0)),0),IFERROR(INDEX(Pension_Model!$D$2:$D$29,MATCH(H134,Pension_Model!$B$2:$B$29,0)),0),IFERROR(INDEX(Pension_Model!$D$2:$D$29,MATCH(H135,Pension_Model!$B$2:$B$29,0)),0)),0))))))</f>
        <v>0.05</v>
      </c>
      <c r="Q131" s="28">
        <f>Population_Data!$B$15*P131</f>
        <v>660600</v>
      </c>
      <c r="S131">
        <f t="shared" ref="S131:S194" si="2">SUM(Q131,O131)</f>
        <v>1545905.0488245864</v>
      </c>
      <c r="U131" s="33">
        <f>S131/Population_Data!$B$19</f>
        <v>2.8005526246822218E-2</v>
      </c>
    </row>
    <row r="132" spans="1:21">
      <c r="A132" s="25">
        <f>Calendar!A132</f>
        <v>46365</v>
      </c>
      <c r="B132" t="str">
        <f>Calendar!L132</f>
        <v>Yes</v>
      </c>
      <c r="C132" t="str">
        <f>Calendar!O132</f>
        <v>No</v>
      </c>
      <c r="D132" t="str">
        <f>Calendar!P132</f>
        <v>No</v>
      </c>
      <c r="E132" t="str">
        <f>Calendar!Q132</f>
        <v>No</v>
      </c>
      <c r="F132" t="str">
        <f>Calendar!I132</f>
        <v>Wednesday</v>
      </c>
      <c r="G132">
        <f>Calendar!S132</f>
        <v>11</v>
      </c>
      <c r="H132">
        <f>Calendar!T132</f>
        <v>25</v>
      </c>
      <c r="I132" s="27">
        <f>IF(VLOOKUP(A132,Calendar!$A$1:$R$1377,18,0)=0,0,IF(VLOOKUP(A132,Calendar!$A$1:$R$1377,18,0)=1,INDEX(Monthly_Pay_Model!$A$9:$D$40,MATCH(TEXT(A132,"dd"),Monthly_Pay_Model!$C$9:$C$39,0),4),IF(VLOOKUP(A132,Calendar!$A$1:$R$1377,18,0)=2,SUM(INDEX(Monthly_Pay_Model!$A$9:$D$40,MATCH(TEXT(A132,"dd"),Monthly_Pay_Model!$C$9:$C$39,0),4),INDEX(Monthly_Pay_Model!$A$9:$D$40,MATCH(TEXT(A133,"dd"),Monthly_Pay_Model!$C$9:$C$39,0),4)),IF(VLOOKUP(A132,Calendar!$A$1:$R$1377,18,0)=3,SUM(INDEX(Monthly_Pay_Model!$A$9:$D$40,MATCH(TEXT(A132,"dd"),Monthly_Pay_Model!$C$9:$C$39,0),4),INDEX(Monthly_Pay_Model!$A$9:$D$40,MATCH(TEXT(A133,"dd"),Monthly_Pay_Model!$C$9:$C$39,0),4),INDEX(Monthly_Pay_Model!$A$9:$D$40,MATCH(TEXT(A134,"dd"),Monthly_Pay_Model!$C$9:$C$39,0),4)),IF(VLOOKUP(A132,Calendar!$A$1:$R$1377,18,0)=4,SUM(INDEX(Monthly_Pay_Model!$A$9:$D$40,MATCH(TEXT(A132,"dd"),Monthly_Pay_Model!$C$9:$C$39,0),4),INDEX(Monthly_Pay_Model!$A$9:$D$40,MATCH(TEXT(A133,"dd"),Monthly_Pay_Model!$C$9:$C$39,0),4),INDEX(Monthly_Pay_Model!$A$9:$D$40,MATCH(TEXT(A134,"dd"),Monthly_Pay_Model!$C$9:$C$39,0),4),INDEX(Monthly_Pay_Model!$A$9:$D$40,MATCH(TEXT(A135,"dd"),Monthly_Pay_Model!$C$9:$C$39,0),4)),IF(VLOOKUP(A132,Calendar!$A$1:$R$1377,18,0)=5,SUM(INDEX(Monthly_Pay_Model!$A$9:$D$40,MATCH(TEXT(A132,"dd"),Monthly_Pay_Model!$C$9:$C$39,0),4),INDEX(Monthly_Pay_Model!$A$9:$D$40,MATCH(TEXT(A133,"dd"),Monthly_Pay_Model!$C$9:$C$39,0),4),INDEX(Monthly_Pay_Model!$A$9:$D$40,MATCH(TEXT(A134,"dd"),Monthly_Pay_Model!$C$9:$C$39,0),4),INDEX(Monthly_Pay_Model!$A$9:$D$40,MATCH(TEXT(A135,"dd"),Monthly_Pay_Model!$C$9:$C$39,0),4),INDEX(Monthly_Pay_Model!$A$9:$D$40,MATCH(TEXT(A136,"dd"),Monthly_Pay_Model!$C$9:$C$39,0),4)),))))))</f>
        <v>8.1256544502617792E-4</v>
      </c>
      <c r="J132" s="33">
        <f>IF(C132="Yes",Monthly_Pay_Model!$D$2,0)
+IF(Calendar!N132="Yes",Monthly_Pay_Model!$D$3,0)
+IF(D132="Yes",Monthly_Pay_Model!$D$4,0)
+IF(E132="Yes",Monthly_Pay_Model!$D$5,0)</f>
        <v>0</v>
      </c>
      <c r="K132" s="27">
        <f>IF(VLOOKUP($A132,Calendar!$A$1:$R$1377,18,0)=0,0,IF(VLOOKUP($A132,Calendar!$A$1:$R$1377,18,0)=1,IFERROR(INDEX(Weekly_Model!$D$2:$D$9,MATCH(F132,Weekly_Model!$A$2:$A$9,0)),0),IF(VLOOKUP($A132,Calendar!$A$1:$R$1377,18,0)=2,SUM(IFERROR(INDEX(Weekly_Model!$D$2:$D$9,MATCH(F132,Weekly_Model!$A$2:$A$9,0)),0),IFERROR(INDEX(Weekly_Model!$D$2:$D$9,MATCH(F133,Weekly_Model!$A$2:$A$9,0)),0)),IF(VLOOKUP($A132,Calendar!$A$1:$R$1377,18,0)=3,SUM(IFERROR(INDEX(Weekly_Model!$D$2:$D$9,MATCH(F132,Weekly_Model!$A$2:$A$9,0)),0),IFERROR(INDEX(Weekly_Model!$D$2:$D$9,MATCH(F133,Weekly_Model!$A$2:$A$9,0)),0),IFERROR(INDEX(Weekly_Model!$D$2:$D$9,MATCH(F134,Weekly_Model!$A$2:$A$9,0)),0)),IF(VLOOKUP($A132,Calendar!$A$1:$R$1377,18,0)=4,SUM(IFERROR(INDEX(Weekly_Model!$D$2:$D$9,MATCH(F132,Weekly_Model!$A$2:$A$9,0)),0),IFERROR(INDEX(Weekly_Model!$D$2:$D$9,MATCH(F133,Weekly_Model!$A$2:$A$9,0)),0),IFERROR(INDEX(Weekly_Model!$D$2:$D$9,MATCH(F134,Weekly_Model!$A$2:$A$9,0)),0),IFERROR(INDEX(Weekly_Model!$D$2:$D$9,MATCH(F135,Weekly_Model!$A$2:$A$9,0)),0)),IF(VLOOKUP($A132,Calendar!$A$1:$R$1377,18,0)=5,SUM(IFERROR(INDEX(Weekly_Model!$D$2:$D$9,MATCH(F132,Weekly_Model!$A$2:$A$9,0)),0),IFERROR(INDEX(Weekly_Model!$D$2:$D$9,MATCH(F133,Weekly_Model!$A$2:$A$9,0)),0),IFERROR(INDEX(Weekly_Model!$D$2:$D$9,MATCH(F134,Weekly_Model!$A$2:$A$9,0)),0),IFERROR(INDEX(Weekly_Model!$D$2:$D$9,MATCH(F135,Weekly_Model!$A$2:$A$9,0)),0),IFERROR(INDEX(Weekly_Model!$D$2:$D$9,MATCH(F136,Weekly_Model!$A$2:$A$9,0)),0)),0))))))</f>
        <v>2.3200000000000002E-2</v>
      </c>
      <c r="L132" s="27">
        <f>IF(VLOOKUP($A132,Calendar!$A$1:$R$1377,18,0)=0,0,IF(VLOOKUP($A132,Calendar!$A$1:$R$1377,18,0)=1,IFERROR(INDEX(Fortnightly_Model!$D$2:$D$15,MATCH(G132,Fortnightly_Model!$B$2:$B$15,0)),0),IF(VLOOKUP($A132,Calendar!$A$1:$R$1377,18,0)=2,SUM(IFERROR(INDEX(Fortnightly_Model!$D$2:$D$15,MATCH(G132,Fortnightly_Model!$B$2:$B$15,0)),0),IFERROR(INDEX(Fortnightly_Model!$D$2:$D$15,MATCH(G133,Fortnightly_Model!$B$2:$B$15,0)),0)),IF(VLOOKUP($A132,Calendar!$A$1:$R$1377,18,0)=3,SUM(IFERROR(INDEX(Fortnightly_Model!$D$2:$D$15,MATCH(G132,Fortnightly_Model!$B$2:$B$15,0)),0),IFERROR(INDEX(Fortnightly_Model!$D$2:$D$15,MATCH(G133,Fortnightly_Model!$B$2:$B$15,0)),0),IFERROR(INDEX(Fortnightly_Model!$D$2:$D$15,MATCH(G134,Fortnightly_Model!$B$2:$B$15,0)),0)),IF(VLOOKUP($A132,Calendar!$A$1:$R$1377,18,0)=4,SUM(IFERROR(INDEX(Fortnightly_Model!$D$2:$D$15,MATCH(G132,Fortnightly_Model!$B$2:$B$15,0)),0),IFERROR(INDEX(Fortnightly_Model!$D$2:$D$15,MATCH(G133,Fortnightly_Model!$B$2:$B$15,0)),0),IFERROR(INDEX(Fortnightly_Model!$D$2:$D$15,MATCH(G134,Fortnightly_Model!$B$2:$B$15,0)),0),IFERROR(INDEX(Fortnightly_Model!$D$2:$D$15,MATCH(G135,Fortnightly_Model!$B$2:$B$15,0)),0)),IF(VLOOKUP($A132,Calendar!$A$1:$R$1377,18,0)=5,SUM(IFERROR(INDEX(Fortnightly_Model!$D$2:$D$15,MATCH(G132,Fortnightly_Model!$B$2:$B$15,0)),0),IFERROR(INDEX(Fortnightly_Model!$D$2:$D$15,MATCH(G133,Fortnightly_Model!$B$2:$B$15,0)),0),IFERROR(INDEX(Fortnightly_Model!$D$2:$D$15,MATCH(G134,Fortnightly_Model!$B$2:$B$15,0)),0),IFERROR(INDEX(Fortnightly_Model!$D$2:$D$15,MATCH(G135,Fortnightly_Model!$B$2:$B$15,0)),0),IFERROR(INDEX(Fortnightly_Model!$D$2:$D$15,MATCH(G136,Fortnightly_Model!$B$2:$B$15,0)),0)),0))))))</f>
        <v>1.0714285499999999E-3</v>
      </c>
      <c r="M132" s="27">
        <f>IF(VLOOKUP($A132,Calendar!$A$1:$R$1377,18,0)=0,0,IF(VLOOKUP($A132,Calendar!$A$1:$R$1377,18,0)=1,IFERROR(INDEX(FourWeekly_Model!$D$2:$D$29,MATCH(H132,FourWeekly_Model!$B$2:$B$29,0)),0),IF(VLOOKUP($A132,Calendar!$A$1:$R$1377,18,0)=2,SUM(IFERROR(INDEX(FourWeekly_Model!$D$2:$D$29,MATCH(H132,FourWeekly_Model!$B$2:$B$29,0)),0),IFERROR(INDEX(FourWeekly_Model!$D$2:$D$29,MATCH(H133,FourWeekly_Model!$B$2:$B$29,0)),0)),IF(VLOOKUP($A132,Calendar!$A$1:$R$1377,18,0)=3,SUM(IFERROR(INDEX(FourWeekly_Model!$D$2:$D$29,MATCH(H132,FourWeekly_Model!$B$2:$B$29,0)),0),IFERROR(INDEX(FourWeekly_Model!$D$2:$D$29,MATCH(H133,FourWeekly_Model!$B$2:$B$29,0)),0),IFERROR(INDEX(FourWeekly_Model!$D$2:$D$29,MATCH(H134,FourWeekly_Model!$B$2:$B$29,0)),0)),IF(VLOOKUP($A132,Calendar!$A$1:$R$1377,18,0)=4,SUM(IFERROR(INDEX(FourWeekly_Model!$D$2:$D$29,MATCH(H132,FourWeekly_Model!$B$2:$B$29,0)),0),IFERROR(INDEX(FourWeekly_Model!$D$2:$D$29,MATCH(H133,FourWeekly_Model!$B$2:$B$29,0)),0),IFERROR(INDEX(FourWeekly_Model!$D$2:$D$29,MATCH(H134,FourWeekly_Model!$B$2:$B$29,0)),0),IFERROR(INDEX(FourWeekly_Model!$D$2:$D$29,MATCH(H135,FourWeekly_Model!$B$2:$B$29,0)),0)),IF(VLOOKUP($A132,Calendar!$A$1:$R$1377,18,0)=5,SUM(IFERROR(INDEX(FourWeekly_Model!$D$2:$D$29,MATCH(H132,FourWeekly_Model!$B$2:$B$29,0)),0),IFERROR(INDEX(FourWeekly_Model!$D$2:$D$29,MATCH(H133,FourWeekly_Model!$B$2:$B$29,0)),0),IFERROR(INDEX(FourWeekly_Model!$D$2:$D$29,MATCH(H134,FourWeekly_Model!$B$2:$B$29,0)),0),IFERROR(INDEX(FourWeekly_Model!$D$2:$D$29,MATCH(H135,FourWeekly_Model!$B$2:$B$29,0)),0),IFERROR(INDEX(FourWeekly_Model!$D$2:$D$29,MATCH(H136,FourWeekly_Model!$B$2:$B$29,0)),0)),0))))))</f>
        <v>3.3214289700000004E-3</v>
      </c>
      <c r="N132" s="27">
        <f>SUM(I132:M132)</f>
        <v>2.840542296502618E-2</v>
      </c>
      <c r="O132" s="28">
        <f>Population_Data!$B$8*N132</f>
        <v>860684.3158402933</v>
      </c>
      <c r="P132" s="27">
        <f>IF(VLOOKUP($A132,Calendar!$A$1:$R$1377,18,0)=0,0,IF(VLOOKUP($A132,Calendar!$A$1:$R$1377,18,0)=1,IFERROR(INDEX(Pension_Model!$D$2:$D$29,MATCH(H132,Pension_Model!$B$2:$B$29,0)),0),IF(VLOOKUP($A132,Calendar!$A$1:$R$1377,18,0)=2,SUM(IFERROR(INDEX(Pension_Model!$D$2:$D$29,MATCH(H132,Pension_Model!$B$2:$B$29,0)),0),IFERROR(INDEX(Pension_Model!$D$2:$D$29,MATCH(H133,Pension_Model!$B$2:$B$29,0)),0)),IF(VLOOKUP($A132,Calendar!$A$1:$R$1377,18,0)=3,SUM(IFERROR(INDEX(Pension_Model!$D$2:$D$29,MATCH(H132,Pension_Model!$B$2:$B$29,0)),0),IFERROR(INDEX(Pension_Model!$D$2:$D$29,MATCH(H133,Pension_Model!$B$2:$B$29,0)),0),IFERROR(INDEX(Pension_Model!$D$2:$D$29,MATCH(H134,Pension_Model!$B$2:$B$29,0)),0)),IF(VLOOKUP($A132,Calendar!$A$1:$R$1377,18,0)=4,SUM(IFERROR(INDEX(Pension_Model!$D$2:$D$29,MATCH(H132,Pension_Model!$B$2:$B$29,0)),0),IFERROR(INDEX(Pension_Model!$D$2:$D$29,MATCH(H133,Pension_Model!$B$2:$B$29,0)),0),IFERROR(INDEX(Pension_Model!$D$2:$D$29,MATCH(H134,Pension_Model!$B$2:$B$29,0)),0),IFERROR(INDEX(Pension_Model!$D$2:$D$29,MATCH(H135,Pension_Model!$B$2:$B$29,0)),0)),IF(VLOOKUP($A132,Calendar!$A$1:$R$1377,18,0)=5,SUM(IFERROR(INDEX(Pension_Model!$D$2:$D$29,MATCH(H132,Pension_Model!$B$2:$B$29,0)),0),IFERROR(INDEX(Pension_Model!$D$2:$D$29,MATCH(H133,Pension_Model!$B$2:$B$29,0)),0),IFERROR(INDEX(Pension_Model!$D$2:$D$29,MATCH(H134,Pension_Model!$B$2:$B$29,0)),0),IFERROR(INDEX(Pension_Model!$D$2:$D$29,MATCH(H135,Pension_Model!$B$2:$B$29,0)),0),IFERROR(INDEX(Pension_Model!$D$2:$D$29,MATCH(H136,Pension_Model!$B$2:$B$29,0)),0)),0))))))</f>
        <v>0.05</v>
      </c>
      <c r="Q132" s="28">
        <f>Population_Data!$B$15*P132</f>
        <v>660600</v>
      </c>
      <c r="S132">
        <f t="shared" si="2"/>
        <v>1521284.3158402932</v>
      </c>
      <c r="U132" s="33">
        <f>S132/Population_Data!$B$19</f>
        <v>2.7559498475367629E-2</v>
      </c>
    </row>
    <row r="133" spans="1:21">
      <c r="A133" s="25">
        <f>Calendar!A133</f>
        <v>46366</v>
      </c>
      <c r="B133" t="str">
        <f>Calendar!L133</f>
        <v>Yes</v>
      </c>
      <c r="C133" t="str">
        <f>Calendar!O133</f>
        <v>No</v>
      </c>
      <c r="D133" t="str">
        <f>Calendar!P133</f>
        <v>No</v>
      </c>
      <c r="E133" t="str">
        <f>Calendar!Q133</f>
        <v>No</v>
      </c>
      <c r="F133" t="str">
        <f>Calendar!I133</f>
        <v>Thursday</v>
      </c>
      <c r="G133">
        <f>Calendar!S133</f>
        <v>12</v>
      </c>
      <c r="H133">
        <f>Calendar!T133</f>
        <v>26</v>
      </c>
      <c r="I133" s="27">
        <f>IF(VLOOKUP(A133,Calendar!$A$1:$R$1377,18,0)=0,0,IF(VLOOKUP(A133,Calendar!$A$1:$R$1377,18,0)=1,INDEX(Monthly_Pay_Model!$A$9:$D$40,MATCH(TEXT(A133,"dd"),Monthly_Pay_Model!$C$9:$C$39,0),4),IF(VLOOKUP(A133,Calendar!$A$1:$R$1377,18,0)=2,SUM(INDEX(Monthly_Pay_Model!$A$9:$D$40,MATCH(TEXT(A133,"dd"),Monthly_Pay_Model!$C$9:$C$39,0),4),INDEX(Monthly_Pay_Model!$A$9:$D$40,MATCH(TEXT(A134,"dd"),Monthly_Pay_Model!$C$9:$C$39,0),4)),IF(VLOOKUP(A133,Calendar!$A$1:$R$1377,18,0)=3,SUM(INDEX(Monthly_Pay_Model!$A$9:$D$40,MATCH(TEXT(A133,"dd"),Monthly_Pay_Model!$C$9:$C$39,0),4),INDEX(Monthly_Pay_Model!$A$9:$D$40,MATCH(TEXT(A134,"dd"),Monthly_Pay_Model!$C$9:$C$39,0),4),INDEX(Monthly_Pay_Model!$A$9:$D$40,MATCH(TEXT(A135,"dd"),Monthly_Pay_Model!$C$9:$C$39,0),4)),IF(VLOOKUP(A133,Calendar!$A$1:$R$1377,18,0)=4,SUM(INDEX(Monthly_Pay_Model!$A$9:$D$40,MATCH(TEXT(A133,"dd"),Monthly_Pay_Model!$C$9:$C$39,0),4),INDEX(Monthly_Pay_Model!$A$9:$D$40,MATCH(TEXT(A134,"dd"),Monthly_Pay_Model!$C$9:$C$39,0),4),INDEX(Monthly_Pay_Model!$A$9:$D$40,MATCH(TEXT(A135,"dd"),Monthly_Pay_Model!$C$9:$C$39,0),4),INDEX(Monthly_Pay_Model!$A$9:$D$40,MATCH(TEXT(A136,"dd"),Monthly_Pay_Model!$C$9:$C$39,0),4)),IF(VLOOKUP(A133,Calendar!$A$1:$R$1377,18,0)=5,SUM(INDEX(Monthly_Pay_Model!$A$9:$D$40,MATCH(TEXT(A133,"dd"),Monthly_Pay_Model!$C$9:$C$39,0),4),INDEX(Monthly_Pay_Model!$A$9:$D$40,MATCH(TEXT(A134,"dd"),Monthly_Pay_Model!$C$9:$C$39,0),4),INDEX(Monthly_Pay_Model!$A$9:$D$40,MATCH(TEXT(A135,"dd"),Monthly_Pay_Model!$C$9:$C$39,0),4),INDEX(Monthly_Pay_Model!$A$9:$D$40,MATCH(TEXT(A136,"dd"),Monthly_Pay_Model!$C$9:$C$39,0),4),INDEX(Monthly_Pay_Model!$A$9:$D$40,MATCH(TEXT(A137,"dd"),Monthly_Pay_Model!$C$9:$C$39,0),4)),))))))</f>
        <v>4.8753926701570662E-3</v>
      </c>
      <c r="J133" s="33">
        <f>IF(C133="Yes",Monthly_Pay_Model!$D$2,0)
+IF(Calendar!N133="Yes",Monthly_Pay_Model!$D$3,0)
+IF(D133="Yes",Monthly_Pay_Model!$D$4,0)
+IF(E133="Yes",Monthly_Pay_Model!$D$5,0)</f>
        <v>0</v>
      </c>
      <c r="K133" s="27">
        <f>IF(VLOOKUP($A133,Calendar!$A$1:$R$1377,18,0)=0,0,IF(VLOOKUP($A133,Calendar!$A$1:$R$1377,18,0)=1,IFERROR(INDEX(Weekly_Model!$D$2:$D$9,MATCH(F133,Weekly_Model!$A$2:$A$9,0)),0),IF(VLOOKUP($A133,Calendar!$A$1:$R$1377,18,0)=2,SUM(IFERROR(INDEX(Weekly_Model!$D$2:$D$9,MATCH(F133,Weekly_Model!$A$2:$A$9,0)),0),IFERROR(INDEX(Weekly_Model!$D$2:$D$9,MATCH(F134,Weekly_Model!$A$2:$A$9,0)),0)),IF(VLOOKUP($A133,Calendar!$A$1:$R$1377,18,0)=3,SUM(IFERROR(INDEX(Weekly_Model!$D$2:$D$9,MATCH(F133,Weekly_Model!$A$2:$A$9,0)),0),IFERROR(INDEX(Weekly_Model!$D$2:$D$9,MATCH(F134,Weekly_Model!$A$2:$A$9,0)),0),IFERROR(INDEX(Weekly_Model!$D$2:$D$9,MATCH(F135,Weekly_Model!$A$2:$A$9,0)),0)),IF(VLOOKUP($A133,Calendar!$A$1:$R$1377,18,0)=4,SUM(IFERROR(INDEX(Weekly_Model!$D$2:$D$9,MATCH(F133,Weekly_Model!$A$2:$A$9,0)),0),IFERROR(INDEX(Weekly_Model!$D$2:$D$9,MATCH(F134,Weekly_Model!$A$2:$A$9,0)),0),IFERROR(INDEX(Weekly_Model!$D$2:$D$9,MATCH(F135,Weekly_Model!$A$2:$A$9,0)),0),IFERROR(INDEX(Weekly_Model!$D$2:$D$9,MATCH(F136,Weekly_Model!$A$2:$A$9,0)),0)),IF(VLOOKUP($A133,Calendar!$A$1:$R$1377,18,0)=5,SUM(IFERROR(INDEX(Weekly_Model!$D$2:$D$9,MATCH(F133,Weekly_Model!$A$2:$A$9,0)),0),IFERROR(INDEX(Weekly_Model!$D$2:$D$9,MATCH(F134,Weekly_Model!$A$2:$A$9,0)),0),IFERROR(INDEX(Weekly_Model!$D$2:$D$9,MATCH(F135,Weekly_Model!$A$2:$A$9,0)),0),IFERROR(INDEX(Weekly_Model!$D$2:$D$9,MATCH(F136,Weekly_Model!$A$2:$A$9,0)),0),IFERROR(INDEX(Weekly_Model!$D$2:$D$9,MATCH(F137,Weekly_Model!$A$2:$A$9,0)),0)),0))))))</f>
        <v>2.3200000000000002E-2</v>
      </c>
      <c r="L133" s="27">
        <f>IF(VLOOKUP($A133,Calendar!$A$1:$R$1377,18,0)=0,0,IF(VLOOKUP($A133,Calendar!$A$1:$R$1377,18,0)=1,IFERROR(INDEX(Fortnightly_Model!$D$2:$D$15,MATCH(G133,Fortnightly_Model!$B$2:$B$15,0)),0),IF(VLOOKUP($A133,Calendar!$A$1:$R$1377,18,0)=2,SUM(IFERROR(INDEX(Fortnightly_Model!$D$2:$D$15,MATCH(G133,Fortnightly_Model!$B$2:$B$15,0)),0),IFERROR(INDEX(Fortnightly_Model!$D$2:$D$15,MATCH(G134,Fortnightly_Model!$B$2:$B$15,0)),0)),IF(VLOOKUP($A133,Calendar!$A$1:$R$1377,18,0)=3,SUM(IFERROR(INDEX(Fortnightly_Model!$D$2:$D$15,MATCH(G133,Fortnightly_Model!$B$2:$B$15,0)),0),IFERROR(INDEX(Fortnightly_Model!$D$2:$D$15,MATCH(G134,Fortnightly_Model!$B$2:$B$15,0)),0),IFERROR(INDEX(Fortnightly_Model!$D$2:$D$15,MATCH(G135,Fortnightly_Model!$B$2:$B$15,0)),0)),IF(VLOOKUP($A133,Calendar!$A$1:$R$1377,18,0)=4,SUM(IFERROR(INDEX(Fortnightly_Model!$D$2:$D$15,MATCH(G133,Fortnightly_Model!$B$2:$B$15,0)),0),IFERROR(INDEX(Fortnightly_Model!$D$2:$D$15,MATCH(G134,Fortnightly_Model!$B$2:$B$15,0)),0),IFERROR(INDEX(Fortnightly_Model!$D$2:$D$15,MATCH(G135,Fortnightly_Model!$B$2:$B$15,0)),0),IFERROR(INDEX(Fortnightly_Model!$D$2:$D$15,MATCH(G136,Fortnightly_Model!$B$2:$B$15,0)),0)),IF(VLOOKUP($A133,Calendar!$A$1:$R$1377,18,0)=5,SUM(IFERROR(INDEX(Fortnightly_Model!$D$2:$D$15,MATCH(G133,Fortnightly_Model!$B$2:$B$15,0)),0),IFERROR(INDEX(Fortnightly_Model!$D$2:$D$15,MATCH(G134,Fortnightly_Model!$B$2:$B$15,0)),0),IFERROR(INDEX(Fortnightly_Model!$D$2:$D$15,MATCH(G135,Fortnightly_Model!$B$2:$B$15,0)),0),IFERROR(INDEX(Fortnightly_Model!$D$2:$D$15,MATCH(G136,Fortnightly_Model!$B$2:$B$15,0)),0),IFERROR(INDEX(Fortnightly_Model!$D$2:$D$15,MATCH(G137,Fortnightly_Model!$B$2:$B$15,0)),0)),0))))))</f>
        <v>1.0714285499999999E-3</v>
      </c>
      <c r="M133" s="27">
        <f>IF(VLOOKUP($A133,Calendar!$A$1:$R$1377,18,0)=0,0,IF(VLOOKUP($A133,Calendar!$A$1:$R$1377,18,0)=1,IFERROR(INDEX(FourWeekly_Model!$D$2:$D$29,MATCH(H133,FourWeekly_Model!$B$2:$B$29,0)),0),IF(VLOOKUP($A133,Calendar!$A$1:$R$1377,18,0)=2,SUM(IFERROR(INDEX(FourWeekly_Model!$D$2:$D$29,MATCH(H133,FourWeekly_Model!$B$2:$B$29,0)),0),IFERROR(INDEX(FourWeekly_Model!$D$2:$D$29,MATCH(H134,FourWeekly_Model!$B$2:$B$29,0)),0)),IF(VLOOKUP($A133,Calendar!$A$1:$R$1377,18,0)=3,SUM(IFERROR(INDEX(FourWeekly_Model!$D$2:$D$29,MATCH(H133,FourWeekly_Model!$B$2:$B$29,0)),0),IFERROR(INDEX(FourWeekly_Model!$D$2:$D$29,MATCH(H134,FourWeekly_Model!$B$2:$B$29,0)),0),IFERROR(INDEX(FourWeekly_Model!$D$2:$D$29,MATCH(H135,FourWeekly_Model!$B$2:$B$29,0)),0)),IF(VLOOKUP($A133,Calendar!$A$1:$R$1377,18,0)=4,SUM(IFERROR(INDEX(FourWeekly_Model!$D$2:$D$29,MATCH(H133,FourWeekly_Model!$B$2:$B$29,0)),0),IFERROR(INDEX(FourWeekly_Model!$D$2:$D$29,MATCH(H134,FourWeekly_Model!$B$2:$B$29,0)),0),IFERROR(INDEX(FourWeekly_Model!$D$2:$D$29,MATCH(H135,FourWeekly_Model!$B$2:$B$29,0)),0),IFERROR(INDEX(FourWeekly_Model!$D$2:$D$29,MATCH(H136,FourWeekly_Model!$B$2:$B$29,0)),0)),IF(VLOOKUP($A133,Calendar!$A$1:$R$1377,18,0)=5,SUM(IFERROR(INDEX(FourWeekly_Model!$D$2:$D$29,MATCH(H133,FourWeekly_Model!$B$2:$B$29,0)),0),IFERROR(INDEX(FourWeekly_Model!$D$2:$D$29,MATCH(H134,FourWeekly_Model!$B$2:$B$29,0)),0),IFERROR(INDEX(FourWeekly_Model!$D$2:$D$29,MATCH(H135,FourWeekly_Model!$B$2:$B$29,0)),0),IFERROR(INDEX(FourWeekly_Model!$D$2:$D$29,MATCH(H136,FourWeekly_Model!$B$2:$B$29,0)),0),IFERROR(INDEX(FourWeekly_Model!$D$2:$D$29,MATCH(H137,FourWeekly_Model!$B$2:$B$29,0)),0)),0))))))</f>
        <v>3.3214289700000004E-3</v>
      </c>
      <c r="N133" s="27">
        <f>SUM(I133:M133)</f>
        <v>3.2468250190157068E-2</v>
      </c>
      <c r="O133" s="28">
        <f>Population_Data!$B$8*N133</f>
        <v>983787.9807617591</v>
      </c>
      <c r="P133" s="27">
        <f>IF(VLOOKUP($A133,Calendar!$A$1:$R$1377,18,0)=0,0,IF(VLOOKUP($A133,Calendar!$A$1:$R$1377,18,0)=1,IFERROR(INDEX(Pension_Model!$D$2:$D$29,MATCH(H133,Pension_Model!$B$2:$B$29,0)),0),IF(VLOOKUP($A133,Calendar!$A$1:$R$1377,18,0)=2,SUM(IFERROR(INDEX(Pension_Model!$D$2:$D$29,MATCH(H133,Pension_Model!$B$2:$B$29,0)),0),IFERROR(INDEX(Pension_Model!$D$2:$D$29,MATCH(H134,Pension_Model!$B$2:$B$29,0)),0)),IF(VLOOKUP($A133,Calendar!$A$1:$R$1377,18,0)=3,SUM(IFERROR(INDEX(Pension_Model!$D$2:$D$29,MATCH(H133,Pension_Model!$B$2:$B$29,0)),0),IFERROR(INDEX(Pension_Model!$D$2:$D$29,MATCH(H134,Pension_Model!$B$2:$B$29,0)),0),IFERROR(INDEX(Pension_Model!$D$2:$D$29,MATCH(H135,Pension_Model!$B$2:$B$29,0)),0)),IF(VLOOKUP($A133,Calendar!$A$1:$R$1377,18,0)=4,SUM(IFERROR(INDEX(Pension_Model!$D$2:$D$29,MATCH(H133,Pension_Model!$B$2:$B$29,0)),0),IFERROR(INDEX(Pension_Model!$D$2:$D$29,MATCH(H134,Pension_Model!$B$2:$B$29,0)),0),IFERROR(INDEX(Pension_Model!$D$2:$D$29,MATCH(H135,Pension_Model!$B$2:$B$29,0)),0),IFERROR(INDEX(Pension_Model!$D$2:$D$29,MATCH(H136,Pension_Model!$B$2:$B$29,0)),0)),IF(VLOOKUP($A133,Calendar!$A$1:$R$1377,18,0)=5,SUM(IFERROR(INDEX(Pension_Model!$D$2:$D$29,MATCH(H133,Pension_Model!$B$2:$B$29,0)),0),IFERROR(INDEX(Pension_Model!$D$2:$D$29,MATCH(H134,Pension_Model!$B$2:$B$29,0)),0),IFERROR(INDEX(Pension_Model!$D$2:$D$29,MATCH(H135,Pension_Model!$B$2:$B$29,0)),0),IFERROR(INDEX(Pension_Model!$D$2:$D$29,MATCH(H136,Pension_Model!$B$2:$B$29,0)),0),IFERROR(INDEX(Pension_Model!$D$2:$D$29,MATCH(H137,Pension_Model!$B$2:$B$29,0)),0)),0))))))</f>
        <v>0.05</v>
      </c>
      <c r="Q133" s="28">
        <f>Population_Data!$B$15*P133</f>
        <v>660600</v>
      </c>
      <c r="S133">
        <f t="shared" si="2"/>
        <v>1644387.980761759</v>
      </c>
      <c r="U133" s="33">
        <f>S133/Population_Data!$B$19</f>
        <v>2.9789637332640562E-2</v>
      </c>
    </row>
    <row r="134" spans="1:21">
      <c r="A134" s="25">
        <f>Calendar!A134</f>
        <v>46367</v>
      </c>
      <c r="B134" t="str">
        <f>Calendar!L134</f>
        <v>Yes</v>
      </c>
      <c r="C134" t="str">
        <f>Calendar!O134</f>
        <v>No</v>
      </c>
      <c r="D134" t="str">
        <f>Calendar!P134</f>
        <v>No</v>
      </c>
      <c r="E134" t="str">
        <f>Calendar!Q134</f>
        <v>No</v>
      </c>
      <c r="F134" t="str">
        <f>Calendar!I134</f>
        <v>Friday</v>
      </c>
      <c r="G134">
        <f>Calendar!S134</f>
        <v>13</v>
      </c>
      <c r="H134">
        <f>Calendar!T134</f>
        <v>27</v>
      </c>
      <c r="I134" s="27">
        <f>IF(VLOOKUP(A134,Calendar!$A$1:$R$1377,18,0)=0,0,IF(VLOOKUP(A134,Calendar!$A$1:$R$1377,18,0)=1,INDEX(Monthly_Pay_Model!$A$9:$D$40,MATCH(TEXT(A134,"dd"),Monthly_Pay_Model!$C$9:$C$39,0),4),IF(VLOOKUP(A134,Calendar!$A$1:$R$1377,18,0)=2,SUM(INDEX(Monthly_Pay_Model!$A$9:$D$40,MATCH(TEXT(A134,"dd"),Monthly_Pay_Model!$C$9:$C$39,0),4),INDEX(Monthly_Pay_Model!$A$9:$D$40,MATCH(TEXT(A135,"dd"),Monthly_Pay_Model!$C$9:$C$39,0),4)),IF(VLOOKUP(A134,Calendar!$A$1:$R$1377,18,0)=3,SUM(INDEX(Monthly_Pay_Model!$A$9:$D$40,MATCH(TEXT(A134,"dd"),Monthly_Pay_Model!$C$9:$C$39,0),4),INDEX(Monthly_Pay_Model!$A$9:$D$40,MATCH(TEXT(A135,"dd"),Monthly_Pay_Model!$C$9:$C$39,0),4),INDEX(Monthly_Pay_Model!$A$9:$D$40,MATCH(TEXT(A136,"dd"),Monthly_Pay_Model!$C$9:$C$39,0),4)),IF(VLOOKUP(A134,Calendar!$A$1:$R$1377,18,0)=4,SUM(INDEX(Monthly_Pay_Model!$A$9:$D$40,MATCH(TEXT(A134,"dd"),Monthly_Pay_Model!$C$9:$C$39,0),4),INDEX(Monthly_Pay_Model!$A$9:$D$40,MATCH(TEXT(A135,"dd"),Monthly_Pay_Model!$C$9:$C$39,0),4),INDEX(Monthly_Pay_Model!$A$9:$D$40,MATCH(TEXT(A136,"dd"),Monthly_Pay_Model!$C$9:$C$39,0),4),INDEX(Monthly_Pay_Model!$A$9:$D$40,MATCH(TEXT(A137,"dd"),Monthly_Pay_Model!$C$9:$C$39,0),4)),IF(VLOOKUP(A134,Calendar!$A$1:$R$1377,18,0)=5,SUM(INDEX(Monthly_Pay_Model!$A$9:$D$40,MATCH(TEXT(A134,"dd"),Monthly_Pay_Model!$C$9:$C$39,0),4),INDEX(Monthly_Pay_Model!$A$9:$D$40,MATCH(TEXT(A135,"dd"),Monthly_Pay_Model!$C$9:$C$39,0),4),INDEX(Monthly_Pay_Model!$A$9:$D$40,MATCH(TEXT(A136,"dd"),Monthly_Pay_Model!$C$9:$C$39,0),4),INDEX(Monthly_Pay_Model!$A$9:$D$40,MATCH(TEXT(A137,"dd"),Monthly_Pay_Model!$C$9:$C$39,0),4),INDEX(Monthly_Pay_Model!$A$9:$D$40,MATCH(TEXT(A138,"dd"),Monthly_Pay_Model!$C$9:$C$39,0),4)),))))))</f>
        <v>3.2502617801047117E-3</v>
      </c>
      <c r="J134" s="33">
        <f>IF(C134="Yes",Monthly_Pay_Model!$D$2,0)
+IF(Calendar!N134="Yes",Monthly_Pay_Model!$D$3,0)
+IF(D134="Yes",Monthly_Pay_Model!$D$4,0)
+IF(E134="Yes",Monthly_Pay_Model!$D$5,0)</f>
        <v>0</v>
      </c>
      <c r="K134" s="27">
        <f>IF(VLOOKUP($A134,Calendar!$A$1:$R$1377,18,0)=0,0,IF(VLOOKUP($A134,Calendar!$A$1:$R$1377,18,0)=1,IFERROR(INDEX(Weekly_Model!$D$2:$D$9,MATCH(F134,Weekly_Model!$A$2:$A$9,0)),0),IF(VLOOKUP($A134,Calendar!$A$1:$R$1377,18,0)=2,SUM(IFERROR(INDEX(Weekly_Model!$D$2:$D$9,MATCH(F134,Weekly_Model!$A$2:$A$9,0)),0),IFERROR(INDEX(Weekly_Model!$D$2:$D$9,MATCH(F135,Weekly_Model!$A$2:$A$9,0)),0)),IF(VLOOKUP($A134,Calendar!$A$1:$R$1377,18,0)=3,SUM(IFERROR(INDEX(Weekly_Model!$D$2:$D$9,MATCH(F134,Weekly_Model!$A$2:$A$9,0)),0),IFERROR(INDEX(Weekly_Model!$D$2:$D$9,MATCH(F135,Weekly_Model!$A$2:$A$9,0)),0),IFERROR(INDEX(Weekly_Model!$D$2:$D$9,MATCH(F136,Weekly_Model!$A$2:$A$9,0)),0)),IF(VLOOKUP($A134,Calendar!$A$1:$R$1377,18,0)=4,SUM(IFERROR(INDEX(Weekly_Model!$D$2:$D$9,MATCH(F134,Weekly_Model!$A$2:$A$9,0)),0),IFERROR(INDEX(Weekly_Model!$D$2:$D$9,MATCH(F135,Weekly_Model!$A$2:$A$9,0)),0),IFERROR(INDEX(Weekly_Model!$D$2:$D$9,MATCH(F136,Weekly_Model!$A$2:$A$9,0)),0),IFERROR(INDEX(Weekly_Model!$D$2:$D$9,MATCH(F137,Weekly_Model!$A$2:$A$9,0)),0)),IF(VLOOKUP($A134,Calendar!$A$1:$R$1377,18,0)=5,SUM(IFERROR(INDEX(Weekly_Model!$D$2:$D$9,MATCH(F134,Weekly_Model!$A$2:$A$9,0)),0),IFERROR(INDEX(Weekly_Model!$D$2:$D$9,MATCH(F135,Weekly_Model!$A$2:$A$9,0)),0),IFERROR(INDEX(Weekly_Model!$D$2:$D$9,MATCH(F136,Weekly_Model!$A$2:$A$9,0)),0),IFERROR(INDEX(Weekly_Model!$D$2:$D$9,MATCH(F137,Weekly_Model!$A$2:$A$9,0)),0),IFERROR(INDEX(Weekly_Model!$D$2:$D$9,MATCH(F138,Weekly_Model!$A$2:$A$9,0)),0)),0))))))</f>
        <v>2.3200000000000002E-2</v>
      </c>
      <c r="L134" s="27">
        <f>IF(VLOOKUP($A134,Calendar!$A$1:$R$1377,18,0)=0,0,IF(VLOOKUP($A134,Calendar!$A$1:$R$1377,18,0)=1,IFERROR(INDEX(Fortnightly_Model!$D$2:$D$15,MATCH(G134,Fortnightly_Model!$B$2:$B$15,0)),0),IF(VLOOKUP($A134,Calendar!$A$1:$R$1377,18,0)=2,SUM(IFERROR(INDEX(Fortnightly_Model!$D$2:$D$15,MATCH(G134,Fortnightly_Model!$B$2:$B$15,0)),0),IFERROR(INDEX(Fortnightly_Model!$D$2:$D$15,MATCH(G135,Fortnightly_Model!$B$2:$B$15,0)),0)),IF(VLOOKUP($A134,Calendar!$A$1:$R$1377,18,0)=3,SUM(IFERROR(INDEX(Fortnightly_Model!$D$2:$D$15,MATCH(G134,Fortnightly_Model!$B$2:$B$15,0)),0),IFERROR(INDEX(Fortnightly_Model!$D$2:$D$15,MATCH(G135,Fortnightly_Model!$B$2:$B$15,0)),0),IFERROR(INDEX(Fortnightly_Model!$D$2:$D$15,MATCH(G136,Fortnightly_Model!$B$2:$B$15,0)),0)),IF(VLOOKUP($A134,Calendar!$A$1:$R$1377,18,0)=4,SUM(IFERROR(INDEX(Fortnightly_Model!$D$2:$D$15,MATCH(G134,Fortnightly_Model!$B$2:$B$15,0)),0),IFERROR(INDEX(Fortnightly_Model!$D$2:$D$15,MATCH(G135,Fortnightly_Model!$B$2:$B$15,0)),0),IFERROR(INDEX(Fortnightly_Model!$D$2:$D$15,MATCH(G136,Fortnightly_Model!$B$2:$B$15,0)),0),IFERROR(INDEX(Fortnightly_Model!$D$2:$D$15,MATCH(G137,Fortnightly_Model!$B$2:$B$15,0)),0)),IF(VLOOKUP($A134,Calendar!$A$1:$R$1377,18,0)=5,SUM(IFERROR(INDEX(Fortnightly_Model!$D$2:$D$15,MATCH(G134,Fortnightly_Model!$B$2:$B$15,0)),0),IFERROR(INDEX(Fortnightly_Model!$D$2:$D$15,MATCH(G135,Fortnightly_Model!$B$2:$B$15,0)),0),IFERROR(INDEX(Fortnightly_Model!$D$2:$D$15,MATCH(G136,Fortnightly_Model!$B$2:$B$15,0)),0),IFERROR(INDEX(Fortnightly_Model!$D$2:$D$15,MATCH(G137,Fortnightly_Model!$B$2:$B$15,0)),0),IFERROR(INDEX(Fortnightly_Model!$D$2:$D$15,MATCH(G138,Fortnightly_Model!$B$2:$B$15,0)),0)),0))))))</f>
        <v>3.2142856499999999E-3</v>
      </c>
      <c r="M134" s="27">
        <f>IF(VLOOKUP($A134,Calendar!$A$1:$R$1377,18,0)=0,0,IF(VLOOKUP($A134,Calendar!$A$1:$R$1377,18,0)=1,IFERROR(INDEX(FourWeekly_Model!$D$2:$D$29,MATCH(H134,FourWeekly_Model!$B$2:$B$29,0)),0),IF(VLOOKUP($A134,Calendar!$A$1:$R$1377,18,0)=2,SUM(IFERROR(INDEX(FourWeekly_Model!$D$2:$D$29,MATCH(H134,FourWeekly_Model!$B$2:$B$29,0)),0),IFERROR(INDEX(FourWeekly_Model!$D$2:$D$29,MATCH(H135,FourWeekly_Model!$B$2:$B$29,0)),0)),IF(VLOOKUP($A134,Calendar!$A$1:$R$1377,18,0)=3,SUM(IFERROR(INDEX(FourWeekly_Model!$D$2:$D$29,MATCH(H134,FourWeekly_Model!$B$2:$B$29,0)),0),IFERROR(INDEX(FourWeekly_Model!$D$2:$D$29,MATCH(H135,FourWeekly_Model!$B$2:$B$29,0)),0),IFERROR(INDEX(FourWeekly_Model!$D$2:$D$29,MATCH(H136,FourWeekly_Model!$B$2:$B$29,0)),0)),IF(VLOOKUP($A134,Calendar!$A$1:$R$1377,18,0)=4,SUM(IFERROR(INDEX(FourWeekly_Model!$D$2:$D$29,MATCH(H134,FourWeekly_Model!$B$2:$B$29,0)),0),IFERROR(INDEX(FourWeekly_Model!$D$2:$D$29,MATCH(H135,FourWeekly_Model!$B$2:$B$29,0)),0),IFERROR(INDEX(FourWeekly_Model!$D$2:$D$29,MATCH(H136,FourWeekly_Model!$B$2:$B$29,0)),0),IFERROR(INDEX(FourWeekly_Model!$D$2:$D$29,MATCH(H137,FourWeekly_Model!$B$2:$B$29,0)),0)),IF(VLOOKUP($A134,Calendar!$A$1:$R$1377,18,0)=5,SUM(IFERROR(INDEX(FourWeekly_Model!$D$2:$D$29,MATCH(H134,FourWeekly_Model!$B$2:$B$29,0)),0),IFERROR(INDEX(FourWeekly_Model!$D$2:$D$29,MATCH(H135,FourWeekly_Model!$B$2:$B$29,0)),0),IFERROR(INDEX(FourWeekly_Model!$D$2:$D$29,MATCH(H136,FourWeekly_Model!$B$2:$B$29,0)),0),IFERROR(INDEX(FourWeekly_Model!$D$2:$D$29,MATCH(H137,FourWeekly_Model!$B$2:$B$29,0)),0),IFERROR(INDEX(FourWeekly_Model!$D$2:$D$29,MATCH(H138,FourWeekly_Model!$B$2:$B$29,0)),0)),0))))))</f>
        <v>9.9642859800000011E-3</v>
      </c>
      <c r="N134" s="27">
        <f>SUM(I134:M134)</f>
        <v>3.9628833410104716E-2</v>
      </c>
      <c r="O134" s="28">
        <f>Population_Data!$B$8*N134</f>
        <v>1200753.6523261729</v>
      </c>
      <c r="P134" s="27">
        <f>IF(VLOOKUP($A134,Calendar!$A$1:$R$1377,18,0)=0,0,IF(VLOOKUP($A134,Calendar!$A$1:$R$1377,18,0)=1,IFERROR(INDEX(Pension_Model!$D$2:$D$29,MATCH(H134,Pension_Model!$B$2:$B$29,0)),0),IF(VLOOKUP($A134,Calendar!$A$1:$R$1377,18,0)=2,SUM(IFERROR(INDEX(Pension_Model!$D$2:$D$29,MATCH(H134,Pension_Model!$B$2:$B$29,0)),0),IFERROR(INDEX(Pension_Model!$D$2:$D$29,MATCH(H135,Pension_Model!$B$2:$B$29,0)),0)),IF(VLOOKUP($A134,Calendar!$A$1:$R$1377,18,0)=3,SUM(IFERROR(INDEX(Pension_Model!$D$2:$D$29,MATCH(H134,Pension_Model!$B$2:$B$29,0)),0),IFERROR(INDEX(Pension_Model!$D$2:$D$29,MATCH(H135,Pension_Model!$B$2:$B$29,0)),0),IFERROR(INDEX(Pension_Model!$D$2:$D$29,MATCH(H136,Pension_Model!$B$2:$B$29,0)),0)),IF(VLOOKUP($A134,Calendar!$A$1:$R$1377,18,0)=4,SUM(IFERROR(INDEX(Pension_Model!$D$2:$D$29,MATCH(H134,Pension_Model!$B$2:$B$29,0)),0),IFERROR(INDEX(Pension_Model!$D$2:$D$29,MATCH(H135,Pension_Model!$B$2:$B$29,0)),0),IFERROR(INDEX(Pension_Model!$D$2:$D$29,MATCH(H136,Pension_Model!$B$2:$B$29,0)),0),IFERROR(INDEX(Pension_Model!$D$2:$D$29,MATCH(H137,Pension_Model!$B$2:$B$29,0)),0)),IF(VLOOKUP($A134,Calendar!$A$1:$R$1377,18,0)=5,SUM(IFERROR(INDEX(Pension_Model!$D$2:$D$29,MATCH(H134,Pension_Model!$B$2:$B$29,0)),0),IFERROR(INDEX(Pension_Model!$D$2:$D$29,MATCH(H135,Pension_Model!$B$2:$B$29,0)),0),IFERROR(INDEX(Pension_Model!$D$2:$D$29,MATCH(H136,Pension_Model!$B$2:$B$29,0)),0),IFERROR(INDEX(Pension_Model!$D$2:$D$29,MATCH(H137,Pension_Model!$B$2:$B$29,0)),0),IFERROR(INDEX(Pension_Model!$D$2:$D$29,MATCH(H138,Pension_Model!$B$2:$B$29,0)),0)),0))))))</f>
        <v>0.05</v>
      </c>
      <c r="Q134" s="28">
        <f>Population_Data!$B$15*P134</f>
        <v>660600</v>
      </c>
      <c r="S134">
        <f t="shared" si="2"/>
        <v>1861353.6523261729</v>
      </c>
      <c r="U134" s="33">
        <f>S134/Population_Data!$B$19</f>
        <v>3.3720174860981396E-2</v>
      </c>
    </row>
    <row r="135" spans="1:21">
      <c r="A135" s="25">
        <f>Calendar!A135</f>
        <v>46368</v>
      </c>
      <c r="B135" t="str">
        <f>Calendar!L135</f>
        <v>No</v>
      </c>
      <c r="C135" t="str">
        <f>Calendar!O135</f>
        <v>No</v>
      </c>
      <c r="D135" t="str">
        <f>Calendar!P135</f>
        <v>No</v>
      </c>
      <c r="E135" t="str">
        <f>Calendar!Q135</f>
        <v>No</v>
      </c>
      <c r="F135" t="str">
        <f>Calendar!I135</f>
        <v>Saturday</v>
      </c>
      <c r="G135">
        <f>Calendar!S135</f>
        <v>0</v>
      </c>
      <c r="H135">
        <f>Calendar!T135</f>
        <v>0</v>
      </c>
      <c r="I135" s="27">
        <f>IF(VLOOKUP(A135,Calendar!$A$1:$R$1377,18,0)=0,0,IF(VLOOKUP(A135,Calendar!$A$1:$R$1377,18,0)=1,INDEX(Monthly_Pay_Model!$A$9:$D$40,MATCH(TEXT(A135,"dd"),Monthly_Pay_Model!$C$9:$C$39,0),4),IF(VLOOKUP(A135,Calendar!$A$1:$R$1377,18,0)=2,SUM(INDEX(Monthly_Pay_Model!$A$9:$D$40,MATCH(TEXT(A135,"dd"),Monthly_Pay_Model!$C$9:$C$39,0),4),INDEX(Monthly_Pay_Model!$A$9:$D$40,MATCH(TEXT(A136,"dd"),Monthly_Pay_Model!$C$9:$C$39,0),4)),IF(VLOOKUP(A135,Calendar!$A$1:$R$1377,18,0)=3,SUM(INDEX(Monthly_Pay_Model!$A$9:$D$40,MATCH(TEXT(A135,"dd"),Monthly_Pay_Model!$C$9:$C$39,0),4),INDEX(Monthly_Pay_Model!$A$9:$D$40,MATCH(TEXT(A136,"dd"),Monthly_Pay_Model!$C$9:$C$39,0),4),INDEX(Monthly_Pay_Model!$A$9:$D$40,MATCH(TEXT(A137,"dd"),Monthly_Pay_Model!$C$9:$C$39,0),4)),IF(VLOOKUP(A135,Calendar!$A$1:$R$1377,18,0)=4,SUM(INDEX(Monthly_Pay_Model!$A$9:$D$40,MATCH(TEXT(A135,"dd"),Monthly_Pay_Model!$C$9:$C$39,0),4),INDEX(Monthly_Pay_Model!$A$9:$D$40,MATCH(TEXT(A136,"dd"),Monthly_Pay_Model!$C$9:$C$39,0),4),INDEX(Monthly_Pay_Model!$A$9:$D$40,MATCH(TEXT(A137,"dd"),Monthly_Pay_Model!$C$9:$C$39,0),4),INDEX(Monthly_Pay_Model!$A$9:$D$40,MATCH(TEXT(A138,"dd"),Monthly_Pay_Model!$C$9:$C$39,0),4)),IF(VLOOKUP(A135,Calendar!$A$1:$R$1377,18,0)=5,SUM(INDEX(Monthly_Pay_Model!$A$9:$D$40,MATCH(TEXT(A135,"dd"),Monthly_Pay_Model!$C$9:$C$39,0),4),INDEX(Monthly_Pay_Model!$A$9:$D$40,MATCH(TEXT(A136,"dd"),Monthly_Pay_Model!$C$9:$C$39,0),4),INDEX(Monthly_Pay_Model!$A$9:$D$40,MATCH(TEXT(A137,"dd"),Monthly_Pay_Model!$C$9:$C$39,0),4),INDEX(Monthly_Pay_Model!$A$9:$D$40,MATCH(TEXT(A138,"dd"),Monthly_Pay_Model!$C$9:$C$39,0),4),INDEX(Monthly_Pay_Model!$A$9:$D$40,MATCH(TEXT(A139,"dd"),Monthly_Pay_Model!$C$9:$C$39,0),4)),))))))</f>
        <v>0</v>
      </c>
      <c r="J135" s="33">
        <f>IF(C135="Yes",Monthly_Pay_Model!$D$2,0)
+IF(Calendar!N135="Yes",Monthly_Pay_Model!$D$3,0)
+IF(D135="Yes",Monthly_Pay_Model!$D$4,0)
+IF(E135="Yes",Monthly_Pay_Model!$D$5,0)</f>
        <v>0</v>
      </c>
      <c r="K135" s="27">
        <f>IF(VLOOKUP($A135,Calendar!$A$1:$R$1377,18,0)=0,0,IF(VLOOKUP($A135,Calendar!$A$1:$R$1377,18,0)=1,IFERROR(INDEX(Weekly_Model!$D$2:$D$9,MATCH(F135,Weekly_Model!$A$2:$A$9,0)),0),IF(VLOOKUP($A135,Calendar!$A$1:$R$1377,18,0)=2,SUM(IFERROR(INDEX(Weekly_Model!$D$2:$D$9,MATCH(F135,Weekly_Model!$A$2:$A$9,0)),0),IFERROR(INDEX(Weekly_Model!$D$2:$D$9,MATCH(F136,Weekly_Model!$A$2:$A$9,0)),0)),IF(VLOOKUP($A135,Calendar!$A$1:$R$1377,18,0)=3,SUM(IFERROR(INDEX(Weekly_Model!$D$2:$D$9,MATCH(F135,Weekly_Model!$A$2:$A$9,0)),0),IFERROR(INDEX(Weekly_Model!$D$2:$D$9,MATCH(F136,Weekly_Model!$A$2:$A$9,0)),0),IFERROR(INDEX(Weekly_Model!$D$2:$D$9,MATCH(F137,Weekly_Model!$A$2:$A$9,0)),0)),IF(VLOOKUP($A135,Calendar!$A$1:$R$1377,18,0)=4,SUM(IFERROR(INDEX(Weekly_Model!$D$2:$D$9,MATCH(F135,Weekly_Model!$A$2:$A$9,0)),0),IFERROR(INDEX(Weekly_Model!$D$2:$D$9,MATCH(F136,Weekly_Model!$A$2:$A$9,0)),0),IFERROR(INDEX(Weekly_Model!$D$2:$D$9,MATCH(F137,Weekly_Model!$A$2:$A$9,0)),0),IFERROR(INDEX(Weekly_Model!$D$2:$D$9,MATCH(F138,Weekly_Model!$A$2:$A$9,0)),0)),IF(VLOOKUP($A135,Calendar!$A$1:$R$1377,18,0)=5,SUM(IFERROR(INDEX(Weekly_Model!$D$2:$D$9,MATCH(F135,Weekly_Model!$A$2:$A$9,0)),0),IFERROR(INDEX(Weekly_Model!$D$2:$D$9,MATCH(F136,Weekly_Model!$A$2:$A$9,0)),0),IFERROR(INDEX(Weekly_Model!$D$2:$D$9,MATCH(F137,Weekly_Model!$A$2:$A$9,0)),0),IFERROR(INDEX(Weekly_Model!$D$2:$D$9,MATCH(F138,Weekly_Model!$A$2:$A$9,0)),0),IFERROR(INDEX(Weekly_Model!$D$2:$D$9,MATCH(F139,Weekly_Model!$A$2:$A$9,0)),0)),0))))))</f>
        <v>0</v>
      </c>
      <c r="L135" s="27">
        <f>IF(VLOOKUP($A135,Calendar!$A$1:$R$1377,18,0)=0,0,IF(VLOOKUP($A135,Calendar!$A$1:$R$1377,18,0)=1,IFERROR(INDEX(Fortnightly_Model!$D$2:$D$15,MATCH(G135,Fortnightly_Model!$B$2:$B$15,0)),0),IF(VLOOKUP($A135,Calendar!$A$1:$R$1377,18,0)=2,SUM(IFERROR(INDEX(Fortnightly_Model!$D$2:$D$15,MATCH(G135,Fortnightly_Model!$B$2:$B$15,0)),0),IFERROR(INDEX(Fortnightly_Model!$D$2:$D$15,MATCH(G136,Fortnightly_Model!$B$2:$B$15,0)),0)),IF(VLOOKUP($A135,Calendar!$A$1:$R$1377,18,0)=3,SUM(IFERROR(INDEX(Fortnightly_Model!$D$2:$D$15,MATCH(G135,Fortnightly_Model!$B$2:$B$15,0)),0),IFERROR(INDEX(Fortnightly_Model!$D$2:$D$15,MATCH(G136,Fortnightly_Model!$B$2:$B$15,0)),0),IFERROR(INDEX(Fortnightly_Model!$D$2:$D$15,MATCH(G137,Fortnightly_Model!$B$2:$B$15,0)),0)),IF(VLOOKUP($A135,Calendar!$A$1:$R$1377,18,0)=4,SUM(IFERROR(INDEX(Fortnightly_Model!$D$2:$D$15,MATCH(G135,Fortnightly_Model!$B$2:$B$15,0)),0),IFERROR(INDEX(Fortnightly_Model!$D$2:$D$15,MATCH(G136,Fortnightly_Model!$B$2:$B$15,0)),0),IFERROR(INDEX(Fortnightly_Model!$D$2:$D$15,MATCH(G137,Fortnightly_Model!$B$2:$B$15,0)),0),IFERROR(INDEX(Fortnightly_Model!$D$2:$D$15,MATCH(G138,Fortnightly_Model!$B$2:$B$15,0)),0)),IF(VLOOKUP($A135,Calendar!$A$1:$R$1377,18,0)=5,SUM(IFERROR(INDEX(Fortnightly_Model!$D$2:$D$15,MATCH(G135,Fortnightly_Model!$B$2:$B$15,0)),0),IFERROR(INDEX(Fortnightly_Model!$D$2:$D$15,MATCH(G136,Fortnightly_Model!$B$2:$B$15,0)),0),IFERROR(INDEX(Fortnightly_Model!$D$2:$D$15,MATCH(G137,Fortnightly_Model!$B$2:$B$15,0)),0),IFERROR(INDEX(Fortnightly_Model!$D$2:$D$15,MATCH(G138,Fortnightly_Model!$B$2:$B$15,0)),0),IFERROR(INDEX(Fortnightly_Model!$D$2:$D$15,MATCH(G139,Fortnightly_Model!$B$2:$B$15,0)),0)),0))))))</f>
        <v>0</v>
      </c>
      <c r="M135" s="27">
        <f>IF(VLOOKUP($A135,Calendar!$A$1:$R$1377,18,0)=0,0,IF(VLOOKUP($A135,Calendar!$A$1:$R$1377,18,0)=1,IFERROR(INDEX(FourWeekly_Model!$D$2:$D$29,MATCH(H135,FourWeekly_Model!$B$2:$B$29,0)),0),IF(VLOOKUP($A135,Calendar!$A$1:$R$1377,18,0)=2,SUM(IFERROR(INDEX(FourWeekly_Model!$D$2:$D$29,MATCH(H135,FourWeekly_Model!$B$2:$B$29,0)),0),IFERROR(INDEX(FourWeekly_Model!$D$2:$D$29,MATCH(H136,FourWeekly_Model!$B$2:$B$29,0)),0)),IF(VLOOKUP($A135,Calendar!$A$1:$R$1377,18,0)=3,SUM(IFERROR(INDEX(FourWeekly_Model!$D$2:$D$29,MATCH(H135,FourWeekly_Model!$B$2:$B$29,0)),0),IFERROR(INDEX(FourWeekly_Model!$D$2:$D$29,MATCH(H136,FourWeekly_Model!$B$2:$B$29,0)),0),IFERROR(INDEX(FourWeekly_Model!$D$2:$D$29,MATCH(H137,FourWeekly_Model!$B$2:$B$29,0)),0)),IF(VLOOKUP($A135,Calendar!$A$1:$R$1377,18,0)=4,SUM(IFERROR(INDEX(FourWeekly_Model!$D$2:$D$29,MATCH(H135,FourWeekly_Model!$B$2:$B$29,0)),0),IFERROR(INDEX(FourWeekly_Model!$D$2:$D$29,MATCH(H136,FourWeekly_Model!$B$2:$B$29,0)),0),IFERROR(INDEX(FourWeekly_Model!$D$2:$D$29,MATCH(H137,FourWeekly_Model!$B$2:$B$29,0)),0),IFERROR(INDEX(FourWeekly_Model!$D$2:$D$29,MATCH(H138,FourWeekly_Model!$B$2:$B$29,0)),0)),IF(VLOOKUP($A135,Calendar!$A$1:$R$1377,18,0)=5,SUM(IFERROR(INDEX(FourWeekly_Model!$D$2:$D$29,MATCH(H135,FourWeekly_Model!$B$2:$B$29,0)),0),IFERROR(INDEX(FourWeekly_Model!$D$2:$D$29,MATCH(H136,FourWeekly_Model!$B$2:$B$29,0)),0),IFERROR(INDEX(FourWeekly_Model!$D$2:$D$29,MATCH(H137,FourWeekly_Model!$B$2:$B$29,0)),0),IFERROR(INDEX(FourWeekly_Model!$D$2:$D$29,MATCH(H138,FourWeekly_Model!$B$2:$B$29,0)),0),IFERROR(INDEX(FourWeekly_Model!$D$2:$D$29,MATCH(H139,FourWeekly_Model!$B$2:$B$29,0)),0)),0))))))</f>
        <v>0</v>
      </c>
      <c r="N135" s="27">
        <f>SUM(I135:M135)</f>
        <v>0</v>
      </c>
      <c r="O135" s="28">
        <f>Population_Data!$B$8*N135</f>
        <v>0</v>
      </c>
      <c r="P135" s="27">
        <f>IF(VLOOKUP($A135,Calendar!$A$1:$R$1377,18,0)=0,0,IF(VLOOKUP($A135,Calendar!$A$1:$R$1377,18,0)=1,IFERROR(INDEX(Pension_Model!$D$2:$D$29,MATCH(H135,Pension_Model!$B$2:$B$29,0)),0),IF(VLOOKUP($A135,Calendar!$A$1:$R$1377,18,0)=2,SUM(IFERROR(INDEX(Pension_Model!$D$2:$D$29,MATCH(H135,Pension_Model!$B$2:$B$29,0)),0),IFERROR(INDEX(Pension_Model!$D$2:$D$29,MATCH(H136,Pension_Model!$B$2:$B$29,0)),0)),IF(VLOOKUP($A135,Calendar!$A$1:$R$1377,18,0)=3,SUM(IFERROR(INDEX(Pension_Model!$D$2:$D$29,MATCH(H135,Pension_Model!$B$2:$B$29,0)),0),IFERROR(INDEX(Pension_Model!$D$2:$D$29,MATCH(H136,Pension_Model!$B$2:$B$29,0)),0),IFERROR(INDEX(Pension_Model!$D$2:$D$29,MATCH(H137,Pension_Model!$B$2:$B$29,0)),0)),IF(VLOOKUP($A135,Calendar!$A$1:$R$1377,18,0)=4,SUM(IFERROR(INDEX(Pension_Model!$D$2:$D$29,MATCH(H135,Pension_Model!$B$2:$B$29,0)),0),IFERROR(INDEX(Pension_Model!$D$2:$D$29,MATCH(H136,Pension_Model!$B$2:$B$29,0)),0),IFERROR(INDEX(Pension_Model!$D$2:$D$29,MATCH(H137,Pension_Model!$B$2:$B$29,0)),0),IFERROR(INDEX(Pension_Model!$D$2:$D$29,MATCH(H138,Pension_Model!$B$2:$B$29,0)),0)),IF(VLOOKUP($A135,Calendar!$A$1:$R$1377,18,0)=5,SUM(IFERROR(INDEX(Pension_Model!$D$2:$D$29,MATCH(H135,Pension_Model!$B$2:$B$29,0)),0),IFERROR(INDEX(Pension_Model!$D$2:$D$29,MATCH(H136,Pension_Model!$B$2:$B$29,0)),0),IFERROR(INDEX(Pension_Model!$D$2:$D$29,MATCH(H137,Pension_Model!$B$2:$B$29,0)),0),IFERROR(INDEX(Pension_Model!$D$2:$D$29,MATCH(H138,Pension_Model!$B$2:$B$29,0)),0),IFERROR(INDEX(Pension_Model!$D$2:$D$29,MATCH(H139,Pension_Model!$B$2:$B$29,0)),0)),0))))))</f>
        <v>0</v>
      </c>
      <c r="Q135" s="28">
        <f>Population_Data!$B$15*P135</f>
        <v>0</v>
      </c>
      <c r="S135">
        <f t="shared" si="2"/>
        <v>0</v>
      </c>
      <c r="U135" s="33">
        <f>S135/Population_Data!$B$19</f>
        <v>0</v>
      </c>
    </row>
    <row r="136" spans="1:21">
      <c r="A136" s="25">
        <f>Calendar!A136</f>
        <v>46369</v>
      </c>
      <c r="B136" t="str">
        <f>Calendar!L136</f>
        <v>No</v>
      </c>
      <c r="C136" t="str">
        <f>Calendar!O136</f>
        <v>No</v>
      </c>
      <c r="D136" t="str">
        <f>Calendar!P136</f>
        <v>No</v>
      </c>
      <c r="E136" t="str">
        <f>Calendar!Q136</f>
        <v>No</v>
      </c>
      <c r="F136" t="str">
        <f>Calendar!I136</f>
        <v>Sunday</v>
      </c>
      <c r="G136">
        <f>Calendar!S136</f>
        <v>1</v>
      </c>
      <c r="H136">
        <f>Calendar!T136</f>
        <v>1</v>
      </c>
      <c r="I136" s="27">
        <f>IF(VLOOKUP(A136,Calendar!$A$1:$R$1377,18,0)=0,0,IF(VLOOKUP(A136,Calendar!$A$1:$R$1377,18,0)=1,INDEX(Monthly_Pay_Model!$A$9:$D$40,MATCH(TEXT(A136,"dd"),Monthly_Pay_Model!$C$9:$C$39,0),4),IF(VLOOKUP(A136,Calendar!$A$1:$R$1377,18,0)=2,SUM(INDEX(Monthly_Pay_Model!$A$9:$D$40,MATCH(TEXT(A136,"dd"),Monthly_Pay_Model!$C$9:$C$39,0),4),INDEX(Monthly_Pay_Model!$A$9:$D$40,MATCH(TEXT(A137,"dd"),Monthly_Pay_Model!$C$9:$C$39,0),4)),IF(VLOOKUP(A136,Calendar!$A$1:$R$1377,18,0)=3,SUM(INDEX(Monthly_Pay_Model!$A$9:$D$40,MATCH(TEXT(A136,"dd"),Monthly_Pay_Model!$C$9:$C$39,0),4),INDEX(Monthly_Pay_Model!$A$9:$D$40,MATCH(TEXT(A137,"dd"),Monthly_Pay_Model!$C$9:$C$39,0),4),INDEX(Monthly_Pay_Model!$A$9:$D$40,MATCH(TEXT(A138,"dd"),Monthly_Pay_Model!$C$9:$C$39,0),4)),IF(VLOOKUP(A136,Calendar!$A$1:$R$1377,18,0)=4,SUM(INDEX(Monthly_Pay_Model!$A$9:$D$40,MATCH(TEXT(A136,"dd"),Monthly_Pay_Model!$C$9:$C$39,0),4),INDEX(Monthly_Pay_Model!$A$9:$D$40,MATCH(TEXT(A137,"dd"),Monthly_Pay_Model!$C$9:$C$39,0),4),INDEX(Monthly_Pay_Model!$A$9:$D$40,MATCH(TEXT(A138,"dd"),Monthly_Pay_Model!$C$9:$C$39,0),4),INDEX(Monthly_Pay_Model!$A$9:$D$40,MATCH(TEXT(A139,"dd"),Monthly_Pay_Model!$C$9:$C$39,0),4)),IF(VLOOKUP(A136,Calendar!$A$1:$R$1377,18,0)=5,SUM(INDEX(Monthly_Pay_Model!$A$9:$D$40,MATCH(TEXT(A136,"dd"),Monthly_Pay_Model!$C$9:$C$39,0),4),INDEX(Monthly_Pay_Model!$A$9:$D$40,MATCH(TEXT(A137,"dd"),Monthly_Pay_Model!$C$9:$C$39,0),4),INDEX(Monthly_Pay_Model!$A$9:$D$40,MATCH(TEXT(A138,"dd"),Monthly_Pay_Model!$C$9:$C$39,0),4),INDEX(Monthly_Pay_Model!$A$9:$D$40,MATCH(TEXT(A139,"dd"),Monthly_Pay_Model!$C$9:$C$39,0),4),INDEX(Monthly_Pay_Model!$A$9:$D$40,MATCH(TEXT(A140,"dd"),Monthly_Pay_Model!$C$9:$C$39,0),4)),))))))</f>
        <v>0</v>
      </c>
      <c r="J136" s="33">
        <f>IF(C136="Yes",Monthly_Pay_Model!$D$2,0)
+IF(Calendar!N136="Yes",Monthly_Pay_Model!$D$3,0)
+IF(D136="Yes",Monthly_Pay_Model!$D$4,0)
+IF(E136="Yes",Monthly_Pay_Model!$D$5,0)</f>
        <v>0</v>
      </c>
      <c r="K136" s="27">
        <f>IF(VLOOKUP($A136,Calendar!$A$1:$R$1377,18,0)=0,0,IF(VLOOKUP($A136,Calendar!$A$1:$R$1377,18,0)=1,IFERROR(INDEX(Weekly_Model!$D$2:$D$9,MATCH(F136,Weekly_Model!$A$2:$A$9,0)),0),IF(VLOOKUP($A136,Calendar!$A$1:$R$1377,18,0)=2,SUM(IFERROR(INDEX(Weekly_Model!$D$2:$D$9,MATCH(F136,Weekly_Model!$A$2:$A$9,0)),0),IFERROR(INDEX(Weekly_Model!$D$2:$D$9,MATCH(F137,Weekly_Model!$A$2:$A$9,0)),0)),IF(VLOOKUP($A136,Calendar!$A$1:$R$1377,18,0)=3,SUM(IFERROR(INDEX(Weekly_Model!$D$2:$D$9,MATCH(F136,Weekly_Model!$A$2:$A$9,0)),0),IFERROR(INDEX(Weekly_Model!$D$2:$D$9,MATCH(F137,Weekly_Model!$A$2:$A$9,0)),0),IFERROR(INDEX(Weekly_Model!$D$2:$D$9,MATCH(F138,Weekly_Model!$A$2:$A$9,0)),0)),IF(VLOOKUP($A136,Calendar!$A$1:$R$1377,18,0)=4,SUM(IFERROR(INDEX(Weekly_Model!$D$2:$D$9,MATCH(F136,Weekly_Model!$A$2:$A$9,0)),0),IFERROR(INDEX(Weekly_Model!$D$2:$D$9,MATCH(F137,Weekly_Model!$A$2:$A$9,0)),0),IFERROR(INDEX(Weekly_Model!$D$2:$D$9,MATCH(F138,Weekly_Model!$A$2:$A$9,0)),0),IFERROR(INDEX(Weekly_Model!$D$2:$D$9,MATCH(F139,Weekly_Model!$A$2:$A$9,0)),0)),IF(VLOOKUP($A136,Calendar!$A$1:$R$1377,18,0)=5,SUM(IFERROR(INDEX(Weekly_Model!$D$2:$D$9,MATCH(F136,Weekly_Model!$A$2:$A$9,0)),0),IFERROR(INDEX(Weekly_Model!$D$2:$D$9,MATCH(F137,Weekly_Model!$A$2:$A$9,0)),0),IFERROR(INDEX(Weekly_Model!$D$2:$D$9,MATCH(F138,Weekly_Model!$A$2:$A$9,0)),0),IFERROR(INDEX(Weekly_Model!$D$2:$D$9,MATCH(F139,Weekly_Model!$A$2:$A$9,0)),0),IFERROR(INDEX(Weekly_Model!$D$2:$D$9,MATCH(F140,Weekly_Model!$A$2:$A$9,0)),0)),0))))))</f>
        <v>0</v>
      </c>
      <c r="L136" s="27">
        <f>IF(VLOOKUP($A136,Calendar!$A$1:$R$1377,18,0)=0,0,IF(VLOOKUP($A136,Calendar!$A$1:$R$1377,18,0)=1,IFERROR(INDEX(Fortnightly_Model!$D$2:$D$15,MATCH(G136,Fortnightly_Model!$B$2:$B$15,0)),0),IF(VLOOKUP($A136,Calendar!$A$1:$R$1377,18,0)=2,SUM(IFERROR(INDEX(Fortnightly_Model!$D$2:$D$15,MATCH(G136,Fortnightly_Model!$B$2:$B$15,0)),0),IFERROR(INDEX(Fortnightly_Model!$D$2:$D$15,MATCH(G137,Fortnightly_Model!$B$2:$B$15,0)),0)),IF(VLOOKUP($A136,Calendar!$A$1:$R$1377,18,0)=3,SUM(IFERROR(INDEX(Fortnightly_Model!$D$2:$D$15,MATCH(G136,Fortnightly_Model!$B$2:$B$15,0)),0),IFERROR(INDEX(Fortnightly_Model!$D$2:$D$15,MATCH(G137,Fortnightly_Model!$B$2:$B$15,0)),0),IFERROR(INDEX(Fortnightly_Model!$D$2:$D$15,MATCH(G138,Fortnightly_Model!$B$2:$B$15,0)),0)),IF(VLOOKUP($A136,Calendar!$A$1:$R$1377,18,0)=4,SUM(IFERROR(INDEX(Fortnightly_Model!$D$2:$D$15,MATCH(G136,Fortnightly_Model!$B$2:$B$15,0)),0),IFERROR(INDEX(Fortnightly_Model!$D$2:$D$15,MATCH(G137,Fortnightly_Model!$B$2:$B$15,0)),0),IFERROR(INDEX(Fortnightly_Model!$D$2:$D$15,MATCH(G138,Fortnightly_Model!$B$2:$B$15,0)),0),IFERROR(INDEX(Fortnightly_Model!$D$2:$D$15,MATCH(G139,Fortnightly_Model!$B$2:$B$15,0)),0)),IF(VLOOKUP($A136,Calendar!$A$1:$R$1377,18,0)=5,SUM(IFERROR(INDEX(Fortnightly_Model!$D$2:$D$15,MATCH(G136,Fortnightly_Model!$B$2:$B$15,0)),0),IFERROR(INDEX(Fortnightly_Model!$D$2:$D$15,MATCH(G137,Fortnightly_Model!$B$2:$B$15,0)),0),IFERROR(INDEX(Fortnightly_Model!$D$2:$D$15,MATCH(G138,Fortnightly_Model!$B$2:$B$15,0)),0),IFERROR(INDEX(Fortnightly_Model!$D$2:$D$15,MATCH(G139,Fortnightly_Model!$B$2:$B$15,0)),0),IFERROR(INDEX(Fortnightly_Model!$D$2:$D$15,MATCH(G140,Fortnightly_Model!$B$2:$B$15,0)),0)),0))))))</f>
        <v>0</v>
      </c>
      <c r="M136" s="27">
        <f>IF(VLOOKUP($A136,Calendar!$A$1:$R$1377,18,0)=0,0,IF(VLOOKUP($A136,Calendar!$A$1:$R$1377,18,0)=1,IFERROR(INDEX(FourWeekly_Model!$D$2:$D$29,MATCH(H136,FourWeekly_Model!$B$2:$B$29,0)),0),IF(VLOOKUP($A136,Calendar!$A$1:$R$1377,18,0)=2,SUM(IFERROR(INDEX(FourWeekly_Model!$D$2:$D$29,MATCH(H136,FourWeekly_Model!$B$2:$B$29,0)),0),IFERROR(INDEX(FourWeekly_Model!$D$2:$D$29,MATCH(H137,FourWeekly_Model!$B$2:$B$29,0)),0)),IF(VLOOKUP($A136,Calendar!$A$1:$R$1377,18,0)=3,SUM(IFERROR(INDEX(FourWeekly_Model!$D$2:$D$29,MATCH(H136,FourWeekly_Model!$B$2:$B$29,0)),0),IFERROR(INDEX(FourWeekly_Model!$D$2:$D$29,MATCH(H137,FourWeekly_Model!$B$2:$B$29,0)),0),IFERROR(INDEX(FourWeekly_Model!$D$2:$D$29,MATCH(H138,FourWeekly_Model!$B$2:$B$29,0)),0)),IF(VLOOKUP($A136,Calendar!$A$1:$R$1377,18,0)=4,SUM(IFERROR(INDEX(FourWeekly_Model!$D$2:$D$29,MATCH(H136,FourWeekly_Model!$B$2:$B$29,0)),0),IFERROR(INDEX(FourWeekly_Model!$D$2:$D$29,MATCH(H137,FourWeekly_Model!$B$2:$B$29,0)),0),IFERROR(INDEX(FourWeekly_Model!$D$2:$D$29,MATCH(H138,FourWeekly_Model!$B$2:$B$29,0)),0),IFERROR(INDEX(FourWeekly_Model!$D$2:$D$29,MATCH(H139,FourWeekly_Model!$B$2:$B$29,0)),0)),IF(VLOOKUP($A136,Calendar!$A$1:$R$1377,18,0)=5,SUM(IFERROR(INDEX(FourWeekly_Model!$D$2:$D$29,MATCH(H136,FourWeekly_Model!$B$2:$B$29,0)),0),IFERROR(INDEX(FourWeekly_Model!$D$2:$D$29,MATCH(H137,FourWeekly_Model!$B$2:$B$29,0)),0),IFERROR(INDEX(FourWeekly_Model!$D$2:$D$29,MATCH(H138,FourWeekly_Model!$B$2:$B$29,0)),0),IFERROR(INDEX(FourWeekly_Model!$D$2:$D$29,MATCH(H139,FourWeekly_Model!$B$2:$B$29,0)),0),IFERROR(INDEX(FourWeekly_Model!$D$2:$D$29,MATCH(H140,FourWeekly_Model!$B$2:$B$29,0)),0)),0))))))</f>
        <v>0</v>
      </c>
      <c r="N136" s="27">
        <f>SUM(I136:M136)</f>
        <v>0</v>
      </c>
      <c r="O136" s="28">
        <f>Population_Data!$B$8*N136</f>
        <v>0</v>
      </c>
      <c r="P136" s="27">
        <f>IF(VLOOKUP($A136,Calendar!$A$1:$R$1377,18,0)=0,0,IF(VLOOKUP($A136,Calendar!$A$1:$R$1377,18,0)=1,IFERROR(INDEX(Pension_Model!$D$2:$D$29,MATCH(H136,Pension_Model!$B$2:$B$29,0)),0),IF(VLOOKUP($A136,Calendar!$A$1:$R$1377,18,0)=2,SUM(IFERROR(INDEX(Pension_Model!$D$2:$D$29,MATCH(H136,Pension_Model!$B$2:$B$29,0)),0),IFERROR(INDEX(Pension_Model!$D$2:$D$29,MATCH(H137,Pension_Model!$B$2:$B$29,0)),0)),IF(VLOOKUP($A136,Calendar!$A$1:$R$1377,18,0)=3,SUM(IFERROR(INDEX(Pension_Model!$D$2:$D$29,MATCH(H136,Pension_Model!$B$2:$B$29,0)),0),IFERROR(INDEX(Pension_Model!$D$2:$D$29,MATCH(H137,Pension_Model!$B$2:$B$29,0)),0),IFERROR(INDEX(Pension_Model!$D$2:$D$29,MATCH(H138,Pension_Model!$B$2:$B$29,0)),0)),IF(VLOOKUP($A136,Calendar!$A$1:$R$1377,18,0)=4,SUM(IFERROR(INDEX(Pension_Model!$D$2:$D$29,MATCH(H136,Pension_Model!$B$2:$B$29,0)),0),IFERROR(INDEX(Pension_Model!$D$2:$D$29,MATCH(H137,Pension_Model!$B$2:$B$29,0)),0),IFERROR(INDEX(Pension_Model!$D$2:$D$29,MATCH(H138,Pension_Model!$B$2:$B$29,0)),0),IFERROR(INDEX(Pension_Model!$D$2:$D$29,MATCH(H139,Pension_Model!$B$2:$B$29,0)),0)),IF(VLOOKUP($A136,Calendar!$A$1:$R$1377,18,0)=5,SUM(IFERROR(INDEX(Pension_Model!$D$2:$D$29,MATCH(H136,Pension_Model!$B$2:$B$29,0)),0),IFERROR(INDEX(Pension_Model!$D$2:$D$29,MATCH(H137,Pension_Model!$B$2:$B$29,0)),0),IFERROR(INDEX(Pension_Model!$D$2:$D$29,MATCH(H138,Pension_Model!$B$2:$B$29,0)),0),IFERROR(INDEX(Pension_Model!$D$2:$D$29,MATCH(H139,Pension_Model!$B$2:$B$29,0)),0),IFERROR(INDEX(Pension_Model!$D$2:$D$29,MATCH(H140,Pension_Model!$B$2:$B$29,0)),0)),0))))))</f>
        <v>0</v>
      </c>
      <c r="Q136" s="28">
        <f>Population_Data!$B$15*P136</f>
        <v>0</v>
      </c>
      <c r="S136">
        <f t="shared" si="2"/>
        <v>0</v>
      </c>
      <c r="U136" s="33">
        <f>S136/Population_Data!$B$19</f>
        <v>0</v>
      </c>
    </row>
    <row r="137" spans="1:21">
      <c r="A137" s="25">
        <f>Calendar!A137</f>
        <v>46370</v>
      </c>
      <c r="B137" t="str">
        <f>Calendar!L137</f>
        <v>Yes</v>
      </c>
      <c r="C137" t="str">
        <f>Calendar!O137</f>
        <v>No</v>
      </c>
      <c r="D137" t="str">
        <f>Calendar!P137</f>
        <v>No</v>
      </c>
      <c r="E137" t="str">
        <f>Calendar!Q137</f>
        <v>No</v>
      </c>
      <c r="F137" t="str">
        <f>Calendar!I137</f>
        <v>Monday</v>
      </c>
      <c r="G137">
        <f>Calendar!S137</f>
        <v>2</v>
      </c>
      <c r="H137">
        <f>Calendar!T137</f>
        <v>2</v>
      </c>
      <c r="I137" s="27">
        <f>IF(VLOOKUP(A137,Calendar!$A$1:$R$1377,18,0)=0,0,IF(VLOOKUP(A137,Calendar!$A$1:$R$1377,18,0)=1,INDEX(Monthly_Pay_Model!$A$9:$D$40,MATCH(TEXT(A137,"dd"),Monthly_Pay_Model!$C$9:$C$39,0),4),IF(VLOOKUP(A137,Calendar!$A$1:$R$1377,18,0)=2,SUM(INDEX(Monthly_Pay_Model!$A$9:$D$40,MATCH(TEXT(A137,"dd"),Monthly_Pay_Model!$C$9:$C$39,0),4),INDEX(Monthly_Pay_Model!$A$9:$D$40,MATCH(TEXT(A138,"dd"),Monthly_Pay_Model!$C$9:$C$39,0),4)),IF(VLOOKUP(A137,Calendar!$A$1:$R$1377,18,0)=3,SUM(INDEX(Monthly_Pay_Model!$A$9:$D$40,MATCH(TEXT(A137,"dd"),Monthly_Pay_Model!$C$9:$C$39,0),4),INDEX(Monthly_Pay_Model!$A$9:$D$40,MATCH(TEXT(A138,"dd"),Monthly_Pay_Model!$C$9:$C$39,0),4),INDEX(Monthly_Pay_Model!$A$9:$D$40,MATCH(TEXT(A139,"dd"),Monthly_Pay_Model!$C$9:$C$39,0),4)),IF(VLOOKUP(A137,Calendar!$A$1:$R$1377,18,0)=4,SUM(INDEX(Monthly_Pay_Model!$A$9:$D$40,MATCH(TEXT(A137,"dd"),Monthly_Pay_Model!$C$9:$C$39,0),4),INDEX(Monthly_Pay_Model!$A$9:$D$40,MATCH(TEXT(A138,"dd"),Monthly_Pay_Model!$C$9:$C$39,0),4),INDEX(Monthly_Pay_Model!$A$9:$D$40,MATCH(TEXT(A139,"dd"),Monthly_Pay_Model!$C$9:$C$39,0),4),INDEX(Monthly_Pay_Model!$A$9:$D$40,MATCH(TEXT(A140,"dd"),Monthly_Pay_Model!$C$9:$C$39,0),4)),IF(VLOOKUP(A137,Calendar!$A$1:$R$1377,18,0)=5,SUM(INDEX(Monthly_Pay_Model!$A$9:$D$40,MATCH(TEXT(A137,"dd"),Monthly_Pay_Model!$C$9:$C$39,0),4),INDEX(Monthly_Pay_Model!$A$9:$D$40,MATCH(TEXT(A138,"dd"),Monthly_Pay_Model!$C$9:$C$39,0),4),INDEX(Monthly_Pay_Model!$A$9:$D$40,MATCH(TEXT(A139,"dd"),Monthly_Pay_Model!$C$9:$C$39,0),4),INDEX(Monthly_Pay_Model!$A$9:$D$40,MATCH(TEXT(A140,"dd"),Monthly_Pay_Model!$C$9:$C$39,0),4),INDEX(Monthly_Pay_Model!$A$9:$D$40,MATCH(TEXT(A141,"dd"),Monthly_Pay_Model!$C$9:$C$39,0),4)),))))))</f>
        <v>8.1256544502617792E-4</v>
      </c>
      <c r="J137" s="33">
        <f>IF(C137="Yes",Monthly_Pay_Model!$D$2,0)
+IF(Calendar!N137="Yes",Monthly_Pay_Model!$D$3,0)
+IF(D137="Yes",Monthly_Pay_Model!$D$4,0)
+IF(E137="Yes",Monthly_Pay_Model!$D$5,0)</f>
        <v>0</v>
      </c>
      <c r="K137" s="27">
        <f>IF(VLOOKUP($A137,Calendar!$A$1:$R$1377,18,0)=0,0,IF(VLOOKUP($A137,Calendar!$A$1:$R$1377,18,0)=1,IFERROR(INDEX(Weekly_Model!$D$2:$D$9,MATCH(F137,Weekly_Model!$A$2:$A$9,0)),0),IF(VLOOKUP($A137,Calendar!$A$1:$R$1377,18,0)=2,SUM(IFERROR(INDEX(Weekly_Model!$D$2:$D$9,MATCH(F137,Weekly_Model!$A$2:$A$9,0)),0),IFERROR(INDEX(Weekly_Model!$D$2:$D$9,MATCH(F138,Weekly_Model!$A$2:$A$9,0)),0)),IF(VLOOKUP($A137,Calendar!$A$1:$R$1377,18,0)=3,SUM(IFERROR(INDEX(Weekly_Model!$D$2:$D$9,MATCH(F137,Weekly_Model!$A$2:$A$9,0)),0),IFERROR(INDEX(Weekly_Model!$D$2:$D$9,MATCH(F138,Weekly_Model!$A$2:$A$9,0)),0),IFERROR(INDEX(Weekly_Model!$D$2:$D$9,MATCH(F139,Weekly_Model!$A$2:$A$9,0)),0)),IF(VLOOKUP($A137,Calendar!$A$1:$R$1377,18,0)=4,SUM(IFERROR(INDEX(Weekly_Model!$D$2:$D$9,MATCH(F137,Weekly_Model!$A$2:$A$9,0)),0),IFERROR(INDEX(Weekly_Model!$D$2:$D$9,MATCH(F138,Weekly_Model!$A$2:$A$9,0)),0),IFERROR(INDEX(Weekly_Model!$D$2:$D$9,MATCH(F139,Weekly_Model!$A$2:$A$9,0)),0),IFERROR(INDEX(Weekly_Model!$D$2:$D$9,MATCH(F140,Weekly_Model!$A$2:$A$9,0)),0)),IF(VLOOKUP($A137,Calendar!$A$1:$R$1377,18,0)=5,SUM(IFERROR(INDEX(Weekly_Model!$D$2:$D$9,MATCH(F137,Weekly_Model!$A$2:$A$9,0)),0),IFERROR(INDEX(Weekly_Model!$D$2:$D$9,MATCH(F138,Weekly_Model!$A$2:$A$9,0)),0),IFERROR(INDEX(Weekly_Model!$D$2:$D$9,MATCH(F139,Weekly_Model!$A$2:$A$9,0)),0),IFERROR(INDEX(Weekly_Model!$D$2:$D$9,MATCH(F140,Weekly_Model!$A$2:$A$9,0)),0),IFERROR(INDEX(Weekly_Model!$D$2:$D$9,MATCH(F141,Weekly_Model!$A$2:$A$9,0)),0)),0))))))</f>
        <v>2.3200000000000002E-2</v>
      </c>
      <c r="L137" s="27">
        <f>IF(VLOOKUP($A137,Calendar!$A$1:$R$1377,18,0)=0,0,IF(VLOOKUP($A137,Calendar!$A$1:$R$1377,18,0)=1,IFERROR(INDEX(Fortnightly_Model!$D$2:$D$15,MATCH(G137,Fortnightly_Model!$B$2:$B$15,0)),0),IF(VLOOKUP($A137,Calendar!$A$1:$R$1377,18,0)=2,SUM(IFERROR(INDEX(Fortnightly_Model!$D$2:$D$15,MATCH(G137,Fortnightly_Model!$B$2:$B$15,0)),0),IFERROR(INDEX(Fortnightly_Model!$D$2:$D$15,MATCH(G138,Fortnightly_Model!$B$2:$B$15,0)),0)),IF(VLOOKUP($A137,Calendar!$A$1:$R$1377,18,0)=3,SUM(IFERROR(INDEX(Fortnightly_Model!$D$2:$D$15,MATCH(G137,Fortnightly_Model!$B$2:$B$15,0)),0),IFERROR(INDEX(Fortnightly_Model!$D$2:$D$15,MATCH(G138,Fortnightly_Model!$B$2:$B$15,0)),0),IFERROR(INDEX(Fortnightly_Model!$D$2:$D$15,MATCH(G139,Fortnightly_Model!$B$2:$B$15,0)),0)),IF(VLOOKUP($A137,Calendar!$A$1:$R$1377,18,0)=4,SUM(IFERROR(INDEX(Fortnightly_Model!$D$2:$D$15,MATCH(G137,Fortnightly_Model!$B$2:$B$15,0)),0),IFERROR(INDEX(Fortnightly_Model!$D$2:$D$15,MATCH(G138,Fortnightly_Model!$B$2:$B$15,0)),0),IFERROR(INDEX(Fortnightly_Model!$D$2:$D$15,MATCH(G139,Fortnightly_Model!$B$2:$B$15,0)),0),IFERROR(INDEX(Fortnightly_Model!$D$2:$D$15,MATCH(G140,Fortnightly_Model!$B$2:$B$15,0)),0)),IF(VLOOKUP($A137,Calendar!$A$1:$R$1377,18,0)=5,SUM(IFERROR(INDEX(Fortnightly_Model!$D$2:$D$15,MATCH(G137,Fortnightly_Model!$B$2:$B$15,0)),0),IFERROR(INDEX(Fortnightly_Model!$D$2:$D$15,MATCH(G138,Fortnightly_Model!$B$2:$B$15,0)),0),IFERROR(INDEX(Fortnightly_Model!$D$2:$D$15,MATCH(G139,Fortnightly_Model!$B$2:$B$15,0)),0),IFERROR(INDEX(Fortnightly_Model!$D$2:$D$15,MATCH(G140,Fortnightly_Model!$B$2:$B$15,0)),0),IFERROR(INDEX(Fortnightly_Model!$D$2:$D$15,MATCH(G141,Fortnightly_Model!$B$2:$B$15,0)),0)),0))))))</f>
        <v>1.0714285499999999E-3</v>
      </c>
      <c r="M137" s="27">
        <f>IF(VLOOKUP($A137,Calendar!$A$1:$R$1377,18,0)=0,0,IF(VLOOKUP($A137,Calendar!$A$1:$R$1377,18,0)=1,IFERROR(INDEX(FourWeekly_Model!$D$2:$D$29,MATCH(H137,FourWeekly_Model!$B$2:$B$29,0)),0),IF(VLOOKUP($A137,Calendar!$A$1:$R$1377,18,0)=2,SUM(IFERROR(INDEX(FourWeekly_Model!$D$2:$D$29,MATCH(H137,FourWeekly_Model!$B$2:$B$29,0)),0),IFERROR(INDEX(FourWeekly_Model!$D$2:$D$29,MATCH(H138,FourWeekly_Model!$B$2:$B$29,0)),0)),IF(VLOOKUP($A137,Calendar!$A$1:$R$1377,18,0)=3,SUM(IFERROR(INDEX(FourWeekly_Model!$D$2:$D$29,MATCH(H137,FourWeekly_Model!$B$2:$B$29,0)),0),IFERROR(INDEX(FourWeekly_Model!$D$2:$D$29,MATCH(H138,FourWeekly_Model!$B$2:$B$29,0)),0),IFERROR(INDEX(FourWeekly_Model!$D$2:$D$29,MATCH(H139,FourWeekly_Model!$B$2:$B$29,0)),0)),IF(VLOOKUP($A137,Calendar!$A$1:$R$1377,18,0)=4,SUM(IFERROR(INDEX(FourWeekly_Model!$D$2:$D$29,MATCH(H137,FourWeekly_Model!$B$2:$B$29,0)),0),IFERROR(INDEX(FourWeekly_Model!$D$2:$D$29,MATCH(H138,FourWeekly_Model!$B$2:$B$29,0)),0),IFERROR(INDEX(FourWeekly_Model!$D$2:$D$29,MATCH(H139,FourWeekly_Model!$B$2:$B$29,0)),0),IFERROR(INDEX(FourWeekly_Model!$D$2:$D$29,MATCH(H140,FourWeekly_Model!$B$2:$B$29,0)),0)),IF(VLOOKUP($A137,Calendar!$A$1:$R$1377,18,0)=5,SUM(IFERROR(INDEX(FourWeekly_Model!$D$2:$D$29,MATCH(H137,FourWeekly_Model!$B$2:$B$29,0)),0),IFERROR(INDEX(FourWeekly_Model!$D$2:$D$29,MATCH(H138,FourWeekly_Model!$B$2:$B$29,0)),0),IFERROR(INDEX(FourWeekly_Model!$D$2:$D$29,MATCH(H139,FourWeekly_Model!$B$2:$B$29,0)),0),IFERROR(INDEX(FourWeekly_Model!$D$2:$D$29,MATCH(H140,FourWeekly_Model!$B$2:$B$29,0)),0),IFERROR(INDEX(FourWeekly_Model!$D$2:$D$29,MATCH(H141,FourWeekly_Model!$B$2:$B$29,0)),0)),0))))))</f>
        <v>3.3214289700000004E-3</v>
      </c>
      <c r="N137" s="27">
        <f>SUM(I137:M137)</f>
        <v>2.840542296502618E-2</v>
      </c>
      <c r="O137" s="28">
        <f>Population_Data!$B$8*N137</f>
        <v>860684.3158402933</v>
      </c>
      <c r="P137" s="27">
        <f>IF(VLOOKUP($A137,Calendar!$A$1:$R$1377,18,0)=0,0,IF(VLOOKUP($A137,Calendar!$A$1:$R$1377,18,0)=1,IFERROR(INDEX(Pension_Model!$D$2:$D$29,MATCH(H137,Pension_Model!$B$2:$B$29,0)),0),IF(VLOOKUP($A137,Calendar!$A$1:$R$1377,18,0)=2,SUM(IFERROR(INDEX(Pension_Model!$D$2:$D$29,MATCH(H137,Pension_Model!$B$2:$B$29,0)),0),IFERROR(INDEX(Pension_Model!$D$2:$D$29,MATCH(H138,Pension_Model!$B$2:$B$29,0)),0)),IF(VLOOKUP($A137,Calendar!$A$1:$R$1377,18,0)=3,SUM(IFERROR(INDEX(Pension_Model!$D$2:$D$29,MATCH(H137,Pension_Model!$B$2:$B$29,0)),0),IFERROR(INDEX(Pension_Model!$D$2:$D$29,MATCH(H138,Pension_Model!$B$2:$B$29,0)),0),IFERROR(INDEX(Pension_Model!$D$2:$D$29,MATCH(H139,Pension_Model!$B$2:$B$29,0)),0)),IF(VLOOKUP($A137,Calendar!$A$1:$R$1377,18,0)=4,SUM(IFERROR(INDEX(Pension_Model!$D$2:$D$29,MATCH(H137,Pension_Model!$B$2:$B$29,0)),0),IFERROR(INDEX(Pension_Model!$D$2:$D$29,MATCH(H138,Pension_Model!$B$2:$B$29,0)),0),IFERROR(INDEX(Pension_Model!$D$2:$D$29,MATCH(H139,Pension_Model!$B$2:$B$29,0)),0),IFERROR(INDEX(Pension_Model!$D$2:$D$29,MATCH(H140,Pension_Model!$B$2:$B$29,0)),0)),IF(VLOOKUP($A137,Calendar!$A$1:$R$1377,18,0)=5,SUM(IFERROR(INDEX(Pension_Model!$D$2:$D$29,MATCH(H137,Pension_Model!$B$2:$B$29,0)),0),IFERROR(INDEX(Pension_Model!$D$2:$D$29,MATCH(H138,Pension_Model!$B$2:$B$29,0)),0),IFERROR(INDEX(Pension_Model!$D$2:$D$29,MATCH(H139,Pension_Model!$B$2:$B$29,0)),0),IFERROR(INDEX(Pension_Model!$D$2:$D$29,MATCH(H140,Pension_Model!$B$2:$B$29,0)),0),IFERROR(INDEX(Pension_Model!$D$2:$D$29,MATCH(H141,Pension_Model!$B$2:$B$29,0)),0)),0))))))</f>
        <v>0.05</v>
      </c>
      <c r="Q137" s="28">
        <f>Population_Data!$B$15*P137</f>
        <v>660600</v>
      </c>
      <c r="S137">
        <f t="shared" si="2"/>
        <v>1521284.3158402932</v>
      </c>
      <c r="U137" s="33">
        <f>S137/Population_Data!$B$19</f>
        <v>2.7559498475367629E-2</v>
      </c>
    </row>
    <row r="138" spans="1:21">
      <c r="A138" s="25">
        <f>Calendar!A138</f>
        <v>46371</v>
      </c>
      <c r="B138" t="str">
        <f>Calendar!L138</f>
        <v>Yes</v>
      </c>
      <c r="C138" t="str">
        <f>Calendar!O138</f>
        <v>No</v>
      </c>
      <c r="D138" t="str">
        <f>Calendar!P138</f>
        <v>No</v>
      </c>
      <c r="E138" t="str">
        <f>Calendar!Q138</f>
        <v>No</v>
      </c>
      <c r="F138" t="str">
        <f>Calendar!I138</f>
        <v>Tuesday</v>
      </c>
      <c r="G138">
        <f>Calendar!S138</f>
        <v>3</v>
      </c>
      <c r="H138">
        <f>Calendar!T138</f>
        <v>3</v>
      </c>
      <c r="I138" s="27">
        <f>IF(VLOOKUP(A138,Calendar!$A$1:$R$1377,18,0)=0,0,IF(VLOOKUP(A138,Calendar!$A$1:$R$1377,18,0)=1,INDEX(Monthly_Pay_Model!$A$9:$D$40,MATCH(TEXT(A138,"dd"),Monthly_Pay_Model!$C$9:$C$39,0),4),IF(VLOOKUP(A138,Calendar!$A$1:$R$1377,18,0)=2,SUM(INDEX(Monthly_Pay_Model!$A$9:$D$40,MATCH(TEXT(A138,"dd"),Monthly_Pay_Model!$C$9:$C$39,0),4),INDEX(Monthly_Pay_Model!$A$9:$D$40,MATCH(TEXT(A139,"dd"),Monthly_Pay_Model!$C$9:$C$39,0),4)),IF(VLOOKUP(A138,Calendar!$A$1:$R$1377,18,0)=3,SUM(INDEX(Monthly_Pay_Model!$A$9:$D$40,MATCH(TEXT(A138,"dd"),Monthly_Pay_Model!$C$9:$C$39,0),4),INDEX(Monthly_Pay_Model!$A$9:$D$40,MATCH(TEXT(A139,"dd"),Monthly_Pay_Model!$C$9:$C$39,0),4),INDEX(Monthly_Pay_Model!$A$9:$D$40,MATCH(TEXT(A140,"dd"),Monthly_Pay_Model!$C$9:$C$39,0),4)),IF(VLOOKUP(A138,Calendar!$A$1:$R$1377,18,0)=4,SUM(INDEX(Monthly_Pay_Model!$A$9:$D$40,MATCH(TEXT(A138,"dd"),Monthly_Pay_Model!$C$9:$C$39,0),4),INDEX(Monthly_Pay_Model!$A$9:$D$40,MATCH(TEXT(A139,"dd"),Monthly_Pay_Model!$C$9:$C$39,0),4),INDEX(Monthly_Pay_Model!$A$9:$D$40,MATCH(TEXT(A140,"dd"),Monthly_Pay_Model!$C$9:$C$39,0),4),INDEX(Monthly_Pay_Model!$A$9:$D$40,MATCH(TEXT(A141,"dd"),Monthly_Pay_Model!$C$9:$C$39,0),4)),IF(VLOOKUP(A138,Calendar!$A$1:$R$1377,18,0)=5,SUM(INDEX(Monthly_Pay_Model!$A$9:$D$40,MATCH(TEXT(A138,"dd"),Monthly_Pay_Model!$C$9:$C$39,0),4),INDEX(Monthly_Pay_Model!$A$9:$D$40,MATCH(TEXT(A139,"dd"),Monthly_Pay_Model!$C$9:$C$39,0),4),INDEX(Monthly_Pay_Model!$A$9:$D$40,MATCH(TEXT(A140,"dd"),Monthly_Pay_Model!$C$9:$C$39,0),4),INDEX(Monthly_Pay_Model!$A$9:$D$40,MATCH(TEXT(A141,"dd"),Monthly_Pay_Model!$C$9:$C$39,0),4),INDEX(Monthly_Pay_Model!$A$9:$D$40,MATCH(TEXT(A142,"dd"),Monthly_Pay_Model!$C$9:$C$39,0),4)),))))))</f>
        <v>1.3001047120418847E-2</v>
      </c>
      <c r="J138" s="33">
        <f>IF(C138="Yes",Monthly_Pay_Model!$D$2,0)
+IF(Calendar!N138="Yes",Monthly_Pay_Model!$D$3,0)
+IF(D138="Yes",Monthly_Pay_Model!$D$4,0)
+IF(E138="Yes",Monthly_Pay_Model!$D$5,0)</f>
        <v>0</v>
      </c>
      <c r="K138" s="27">
        <f>IF(VLOOKUP($A138,Calendar!$A$1:$R$1377,18,0)=0,0,IF(VLOOKUP($A138,Calendar!$A$1:$R$1377,18,0)=1,IFERROR(INDEX(Weekly_Model!$D$2:$D$9,MATCH(F138,Weekly_Model!$A$2:$A$9,0)),0),IF(VLOOKUP($A138,Calendar!$A$1:$R$1377,18,0)=2,SUM(IFERROR(INDEX(Weekly_Model!$D$2:$D$9,MATCH(F138,Weekly_Model!$A$2:$A$9,0)),0),IFERROR(INDEX(Weekly_Model!$D$2:$D$9,MATCH(F139,Weekly_Model!$A$2:$A$9,0)),0)),IF(VLOOKUP($A138,Calendar!$A$1:$R$1377,18,0)=3,SUM(IFERROR(INDEX(Weekly_Model!$D$2:$D$9,MATCH(F138,Weekly_Model!$A$2:$A$9,0)),0),IFERROR(INDEX(Weekly_Model!$D$2:$D$9,MATCH(F139,Weekly_Model!$A$2:$A$9,0)),0),IFERROR(INDEX(Weekly_Model!$D$2:$D$9,MATCH(F140,Weekly_Model!$A$2:$A$9,0)),0)),IF(VLOOKUP($A138,Calendar!$A$1:$R$1377,18,0)=4,SUM(IFERROR(INDEX(Weekly_Model!$D$2:$D$9,MATCH(F138,Weekly_Model!$A$2:$A$9,0)),0),IFERROR(INDEX(Weekly_Model!$D$2:$D$9,MATCH(F139,Weekly_Model!$A$2:$A$9,0)),0),IFERROR(INDEX(Weekly_Model!$D$2:$D$9,MATCH(F140,Weekly_Model!$A$2:$A$9,0)),0),IFERROR(INDEX(Weekly_Model!$D$2:$D$9,MATCH(F141,Weekly_Model!$A$2:$A$9,0)),0)),IF(VLOOKUP($A138,Calendar!$A$1:$R$1377,18,0)=5,SUM(IFERROR(INDEX(Weekly_Model!$D$2:$D$9,MATCH(F138,Weekly_Model!$A$2:$A$9,0)),0),IFERROR(INDEX(Weekly_Model!$D$2:$D$9,MATCH(F139,Weekly_Model!$A$2:$A$9,0)),0),IFERROR(INDEX(Weekly_Model!$D$2:$D$9,MATCH(F140,Weekly_Model!$A$2:$A$9,0)),0),IFERROR(INDEX(Weekly_Model!$D$2:$D$9,MATCH(F141,Weekly_Model!$A$2:$A$9,0)),0),IFERROR(INDEX(Weekly_Model!$D$2:$D$9,MATCH(F142,Weekly_Model!$A$2:$A$9,0)),0)),0))))))</f>
        <v>2.3200000000000002E-2</v>
      </c>
      <c r="L138" s="27">
        <f>IF(VLOOKUP($A138,Calendar!$A$1:$R$1377,18,0)=0,0,IF(VLOOKUP($A138,Calendar!$A$1:$R$1377,18,0)=1,IFERROR(INDEX(Fortnightly_Model!$D$2:$D$15,MATCH(G138,Fortnightly_Model!$B$2:$B$15,0)),0),IF(VLOOKUP($A138,Calendar!$A$1:$R$1377,18,0)=2,SUM(IFERROR(INDEX(Fortnightly_Model!$D$2:$D$15,MATCH(G138,Fortnightly_Model!$B$2:$B$15,0)),0),IFERROR(INDEX(Fortnightly_Model!$D$2:$D$15,MATCH(G139,Fortnightly_Model!$B$2:$B$15,0)),0)),IF(VLOOKUP($A138,Calendar!$A$1:$R$1377,18,0)=3,SUM(IFERROR(INDEX(Fortnightly_Model!$D$2:$D$15,MATCH(G138,Fortnightly_Model!$B$2:$B$15,0)),0),IFERROR(INDEX(Fortnightly_Model!$D$2:$D$15,MATCH(G139,Fortnightly_Model!$B$2:$B$15,0)),0),IFERROR(INDEX(Fortnightly_Model!$D$2:$D$15,MATCH(G140,Fortnightly_Model!$B$2:$B$15,0)),0)),IF(VLOOKUP($A138,Calendar!$A$1:$R$1377,18,0)=4,SUM(IFERROR(INDEX(Fortnightly_Model!$D$2:$D$15,MATCH(G138,Fortnightly_Model!$B$2:$B$15,0)),0),IFERROR(INDEX(Fortnightly_Model!$D$2:$D$15,MATCH(G139,Fortnightly_Model!$B$2:$B$15,0)),0),IFERROR(INDEX(Fortnightly_Model!$D$2:$D$15,MATCH(G140,Fortnightly_Model!$B$2:$B$15,0)),0),IFERROR(INDEX(Fortnightly_Model!$D$2:$D$15,MATCH(G141,Fortnightly_Model!$B$2:$B$15,0)),0)),IF(VLOOKUP($A138,Calendar!$A$1:$R$1377,18,0)=5,SUM(IFERROR(INDEX(Fortnightly_Model!$D$2:$D$15,MATCH(G138,Fortnightly_Model!$B$2:$B$15,0)),0),IFERROR(INDEX(Fortnightly_Model!$D$2:$D$15,MATCH(G139,Fortnightly_Model!$B$2:$B$15,0)),0),IFERROR(INDEX(Fortnightly_Model!$D$2:$D$15,MATCH(G140,Fortnightly_Model!$B$2:$B$15,0)),0),IFERROR(INDEX(Fortnightly_Model!$D$2:$D$15,MATCH(G141,Fortnightly_Model!$B$2:$B$15,0)),0),IFERROR(INDEX(Fortnightly_Model!$D$2:$D$15,MATCH(G142,Fortnightly_Model!$B$2:$B$15,0)),0)),0))))))</f>
        <v>1.0714285499999999E-3</v>
      </c>
      <c r="M138" s="27">
        <f>IF(VLOOKUP($A138,Calendar!$A$1:$R$1377,18,0)=0,0,IF(VLOOKUP($A138,Calendar!$A$1:$R$1377,18,0)=1,IFERROR(INDEX(FourWeekly_Model!$D$2:$D$29,MATCH(H138,FourWeekly_Model!$B$2:$B$29,0)),0),IF(VLOOKUP($A138,Calendar!$A$1:$R$1377,18,0)=2,SUM(IFERROR(INDEX(FourWeekly_Model!$D$2:$D$29,MATCH(H138,FourWeekly_Model!$B$2:$B$29,0)),0),IFERROR(INDEX(FourWeekly_Model!$D$2:$D$29,MATCH(H139,FourWeekly_Model!$B$2:$B$29,0)),0)),IF(VLOOKUP($A138,Calendar!$A$1:$R$1377,18,0)=3,SUM(IFERROR(INDEX(FourWeekly_Model!$D$2:$D$29,MATCH(H138,FourWeekly_Model!$B$2:$B$29,0)),0),IFERROR(INDEX(FourWeekly_Model!$D$2:$D$29,MATCH(H139,FourWeekly_Model!$B$2:$B$29,0)),0),IFERROR(INDEX(FourWeekly_Model!$D$2:$D$29,MATCH(H140,FourWeekly_Model!$B$2:$B$29,0)),0)),IF(VLOOKUP($A138,Calendar!$A$1:$R$1377,18,0)=4,SUM(IFERROR(INDEX(FourWeekly_Model!$D$2:$D$29,MATCH(H138,FourWeekly_Model!$B$2:$B$29,0)),0),IFERROR(INDEX(FourWeekly_Model!$D$2:$D$29,MATCH(H139,FourWeekly_Model!$B$2:$B$29,0)),0),IFERROR(INDEX(FourWeekly_Model!$D$2:$D$29,MATCH(H140,FourWeekly_Model!$B$2:$B$29,0)),0),IFERROR(INDEX(FourWeekly_Model!$D$2:$D$29,MATCH(H141,FourWeekly_Model!$B$2:$B$29,0)),0)),IF(VLOOKUP($A138,Calendar!$A$1:$R$1377,18,0)=5,SUM(IFERROR(INDEX(FourWeekly_Model!$D$2:$D$29,MATCH(H138,FourWeekly_Model!$B$2:$B$29,0)),0),IFERROR(INDEX(FourWeekly_Model!$D$2:$D$29,MATCH(H139,FourWeekly_Model!$B$2:$B$29,0)),0),IFERROR(INDEX(FourWeekly_Model!$D$2:$D$29,MATCH(H140,FourWeekly_Model!$B$2:$B$29,0)),0),IFERROR(INDEX(FourWeekly_Model!$D$2:$D$29,MATCH(H141,FourWeekly_Model!$B$2:$B$29,0)),0),IFERROR(INDEX(FourWeekly_Model!$D$2:$D$29,MATCH(H142,FourWeekly_Model!$B$2:$B$29,0)),0)),0))))))</f>
        <v>3.3214289700000004E-3</v>
      </c>
      <c r="N138" s="27">
        <f>SUM(I138:M138)</f>
        <v>4.059390464041885E-2</v>
      </c>
      <c r="O138" s="28">
        <f>Population_Data!$B$8*N138</f>
        <v>1229995.310604691</v>
      </c>
      <c r="P138" s="27">
        <f>IF(VLOOKUP($A138,Calendar!$A$1:$R$1377,18,0)=0,0,IF(VLOOKUP($A138,Calendar!$A$1:$R$1377,18,0)=1,IFERROR(INDEX(Pension_Model!$D$2:$D$29,MATCH(H138,Pension_Model!$B$2:$B$29,0)),0),IF(VLOOKUP($A138,Calendar!$A$1:$R$1377,18,0)=2,SUM(IFERROR(INDEX(Pension_Model!$D$2:$D$29,MATCH(H138,Pension_Model!$B$2:$B$29,0)),0),IFERROR(INDEX(Pension_Model!$D$2:$D$29,MATCH(H139,Pension_Model!$B$2:$B$29,0)),0)),IF(VLOOKUP($A138,Calendar!$A$1:$R$1377,18,0)=3,SUM(IFERROR(INDEX(Pension_Model!$D$2:$D$29,MATCH(H138,Pension_Model!$B$2:$B$29,0)),0),IFERROR(INDEX(Pension_Model!$D$2:$D$29,MATCH(H139,Pension_Model!$B$2:$B$29,0)),0),IFERROR(INDEX(Pension_Model!$D$2:$D$29,MATCH(H140,Pension_Model!$B$2:$B$29,0)),0)),IF(VLOOKUP($A138,Calendar!$A$1:$R$1377,18,0)=4,SUM(IFERROR(INDEX(Pension_Model!$D$2:$D$29,MATCH(H138,Pension_Model!$B$2:$B$29,0)),0),IFERROR(INDEX(Pension_Model!$D$2:$D$29,MATCH(H139,Pension_Model!$B$2:$B$29,0)),0),IFERROR(INDEX(Pension_Model!$D$2:$D$29,MATCH(H140,Pension_Model!$B$2:$B$29,0)),0),IFERROR(INDEX(Pension_Model!$D$2:$D$29,MATCH(H141,Pension_Model!$B$2:$B$29,0)),0)),IF(VLOOKUP($A138,Calendar!$A$1:$R$1377,18,0)=5,SUM(IFERROR(INDEX(Pension_Model!$D$2:$D$29,MATCH(H138,Pension_Model!$B$2:$B$29,0)),0),IFERROR(INDEX(Pension_Model!$D$2:$D$29,MATCH(H139,Pension_Model!$B$2:$B$29,0)),0),IFERROR(INDEX(Pension_Model!$D$2:$D$29,MATCH(H140,Pension_Model!$B$2:$B$29,0)),0),IFERROR(INDEX(Pension_Model!$D$2:$D$29,MATCH(H141,Pension_Model!$B$2:$B$29,0)),0),IFERROR(INDEX(Pension_Model!$D$2:$D$29,MATCH(H142,Pension_Model!$B$2:$B$29,0)),0)),0))))))</f>
        <v>0.05</v>
      </c>
      <c r="Q138" s="28">
        <f>Population_Data!$B$15*P138</f>
        <v>660600</v>
      </c>
      <c r="S138">
        <f t="shared" si="2"/>
        <v>1890595.310604691</v>
      </c>
      <c r="U138" s="33">
        <f>S138/Population_Data!$B$19</f>
        <v>3.4249915047186434E-2</v>
      </c>
    </row>
    <row r="139" spans="1:21">
      <c r="A139" s="25">
        <f>Calendar!A139</f>
        <v>46372</v>
      </c>
      <c r="B139" t="str">
        <f>Calendar!L139</f>
        <v>Yes</v>
      </c>
      <c r="C139" t="str">
        <f>Calendar!O139</f>
        <v>No</v>
      </c>
      <c r="D139" t="str">
        <f>Calendar!P139</f>
        <v>No</v>
      </c>
      <c r="E139" t="str">
        <f>Calendar!Q139</f>
        <v>No</v>
      </c>
      <c r="F139" t="str">
        <f>Calendar!I139</f>
        <v>Wednesday</v>
      </c>
      <c r="G139">
        <f>Calendar!S139</f>
        <v>4</v>
      </c>
      <c r="H139">
        <f>Calendar!T139</f>
        <v>4</v>
      </c>
      <c r="I139" s="27">
        <f>IF(VLOOKUP(A139,Calendar!$A$1:$R$1377,18,0)=0,0,IF(VLOOKUP(A139,Calendar!$A$1:$R$1377,18,0)=1,INDEX(Monthly_Pay_Model!$A$9:$D$40,MATCH(TEXT(A139,"dd"),Monthly_Pay_Model!$C$9:$C$39,0),4),IF(VLOOKUP(A139,Calendar!$A$1:$R$1377,18,0)=2,SUM(INDEX(Monthly_Pay_Model!$A$9:$D$40,MATCH(TEXT(A139,"dd"),Monthly_Pay_Model!$C$9:$C$39,0),4),INDEX(Monthly_Pay_Model!$A$9:$D$40,MATCH(TEXT(A140,"dd"),Monthly_Pay_Model!$C$9:$C$39,0),4)),IF(VLOOKUP(A139,Calendar!$A$1:$R$1377,18,0)=3,SUM(INDEX(Monthly_Pay_Model!$A$9:$D$40,MATCH(TEXT(A139,"dd"),Monthly_Pay_Model!$C$9:$C$39,0),4),INDEX(Monthly_Pay_Model!$A$9:$D$40,MATCH(TEXT(A140,"dd"),Monthly_Pay_Model!$C$9:$C$39,0),4),INDEX(Monthly_Pay_Model!$A$9:$D$40,MATCH(TEXT(A141,"dd"),Monthly_Pay_Model!$C$9:$C$39,0),4)),IF(VLOOKUP(A139,Calendar!$A$1:$R$1377,18,0)=4,SUM(INDEX(Monthly_Pay_Model!$A$9:$D$40,MATCH(TEXT(A139,"dd"),Monthly_Pay_Model!$C$9:$C$39,0),4),INDEX(Monthly_Pay_Model!$A$9:$D$40,MATCH(TEXT(A140,"dd"),Monthly_Pay_Model!$C$9:$C$39,0),4),INDEX(Monthly_Pay_Model!$A$9:$D$40,MATCH(TEXT(A141,"dd"),Monthly_Pay_Model!$C$9:$C$39,0),4),INDEX(Monthly_Pay_Model!$A$9:$D$40,MATCH(TEXT(A142,"dd"),Monthly_Pay_Model!$C$9:$C$39,0),4)),IF(VLOOKUP(A139,Calendar!$A$1:$R$1377,18,0)=5,SUM(INDEX(Monthly_Pay_Model!$A$9:$D$40,MATCH(TEXT(A139,"dd"),Monthly_Pay_Model!$C$9:$C$39,0),4),INDEX(Monthly_Pay_Model!$A$9:$D$40,MATCH(TEXT(A140,"dd"),Monthly_Pay_Model!$C$9:$C$39,0),4),INDEX(Monthly_Pay_Model!$A$9:$D$40,MATCH(TEXT(A141,"dd"),Monthly_Pay_Model!$C$9:$C$39,0),4),INDEX(Monthly_Pay_Model!$A$9:$D$40,MATCH(TEXT(A142,"dd"),Monthly_Pay_Model!$C$9:$C$39,0),4),INDEX(Monthly_Pay_Model!$A$9:$D$40,MATCH(TEXT(A143,"dd"),Monthly_Pay_Model!$C$9:$C$39,0),4)),))))))</f>
        <v>1.6251308900523558E-3</v>
      </c>
      <c r="J139" s="33">
        <f>IF(C139="Yes",Monthly_Pay_Model!$D$2,0)
+IF(Calendar!N139="Yes",Monthly_Pay_Model!$D$3,0)
+IF(D139="Yes",Monthly_Pay_Model!$D$4,0)
+IF(E139="Yes",Monthly_Pay_Model!$D$5,0)</f>
        <v>0</v>
      </c>
      <c r="K139" s="27">
        <f>IF(VLOOKUP($A139,Calendar!$A$1:$R$1377,18,0)=0,0,IF(VLOOKUP($A139,Calendar!$A$1:$R$1377,18,0)=1,IFERROR(INDEX(Weekly_Model!$D$2:$D$9,MATCH(F139,Weekly_Model!$A$2:$A$9,0)),0),IF(VLOOKUP($A139,Calendar!$A$1:$R$1377,18,0)=2,SUM(IFERROR(INDEX(Weekly_Model!$D$2:$D$9,MATCH(F139,Weekly_Model!$A$2:$A$9,0)),0),IFERROR(INDEX(Weekly_Model!$D$2:$D$9,MATCH(F140,Weekly_Model!$A$2:$A$9,0)),0)),IF(VLOOKUP($A139,Calendar!$A$1:$R$1377,18,0)=3,SUM(IFERROR(INDEX(Weekly_Model!$D$2:$D$9,MATCH(F139,Weekly_Model!$A$2:$A$9,0)),0),IFERROR(INDEX(Weekly_Model!$D$2:$D$9,MATCH(F140,Weekly_Model!$A$2:$A$9,0)),0),IFERROR(INDEX(Weekly_Model!$D$2:$D$9,MATCH(F141,Weekly_Model!$A$2:$A$9,0)),0)),IF(VLOOKUP($A139,Calendar!$A$1:$R$1377,18,0)=4,SUM(IFERROR(INDEX(Weekly_Model!$D$2:$D$9,MATCH(F139,Weekly_Model!$A$2:$A$9,0)),0),IFERROR(INDEX(Weekly_Model!$D$2:$D$9,MATCH(F140,Weekly_Model!$A$2:$A$9,0)),0),IFERROR(INDEX(Weekly_Model!$D$2:$D$9,MATCH(F141,Weekly_Model!$A$2:$A$9,0)),0),IFERROR(INDEX(Weekly_Model!$D$2:$D$9,MATCH(F142,Weekly_Model!$A$2:$A$9,0)),0)),IF(VLOOKUP($A139,Calendar!$A$1:$R$1377,18,0)=5,SUM(IFERROR(INDEX(Weekly_Model!$D$2:$D$9,MATCH(F139,Weekly_Model!$A$2:$A$9,0)),0),IFERROR(INDEX(Weekly_Model!$D$2:$D$9,MATCH(F140,Weekly_Model!$A$2:$A$9,0)),0),IFERROR(INDEX(Weekly_Model!$D$2:$D$9,MATCH(F141,Weekly_Model!$A$2:$A$9,0)),0),IFERROR(INDEX(Weekly_Model!$D$2:$D$9,MATCH(F142,Weekly_Model!$A$2:$A$9,0)),0),IFERROR(INDEX(Weekly_Model!$D$2:$D$9,MATCH(F143,Weekly_Model!$A$2:$A$9,0)),0)),0))))))</f>
        <v>2.3200000000000002E-2</v>
      </c>
      <c r="L139" s="27">
        <f>IF(VLOOKUP($A139,Calendar!$A$1:$R$1377,18,0)=0,0,IF(VLOOKUP($A139,Calendar!$A$1:$R$1377,18,0)=1,IFERROR(INDEX(Fortnightly_Model!$D$2:$D$15,MATCH(G139,Fortnightly_Model!$B$2:$B$15,0)),0),IF(VLOOKUP($A139,Calendar!$A$1:$R$1377,18,0)=2,SUM(IFERROR(INDEX(Fortnightly_Model!$D$2:$D$15,MATCH(G139,Fortnightly_Model!$B$2:$B$15,0)),0),IFERROR(INDEX(Fortnightly_Model!$D$2:$D$15,MATCH(G140,Fortnightly_Model!$B$2:$B$15,0)),0)),IF(VLOOKUP($A139,Calendar!$A$1:$R$1377,18,0)=3,SUM(IFERROR(INDEX(Fortnightly_Model!$D$2:$D$15,MATCH(G139,Fortnightly_Model!$B$2:$B$15,0)),0),IFERROR(INDEX(Fortnightly_Model!$D$2:$D$15,MATCH(G140,Fortnightly_Model!$B$2:$B$15,0)),0),IFERROR(INDEX(Fortnightly_Model!$D$2:$D$15,MATCH(G141,Fortnightly_Model!$B$2:$B$15,0)),0)),IF(VLOOKUP($A139,Calendar!$A$1:$R$1377,18,0)=4,SUM(IFERROR(INDEX(Fortnightly_Model!$D$2:$D$15,MATCH(G139,Fortnightly_Model!$B$2:$B$15,0)),0),IFERROR(INDEX(Fortnightly_Model!$D$2:$D$15,MATCH(G140,Fortnightly_Model!$B$2:$B$15,0)),0),IFERROR(INDEX(Fortnightly_Model!$D$2:$D$15,MATCH(G141,Fortnightly_Model!$B$2:$B$15,0)),0),IFERROR(INDEX(Fortnightly_Model!$D$2:$D$15,MATCH(G142,Fortnightly_Model!$B$2:$B$15,0)),0)),IF(VLOOKUP($A139,Calendar!$A$1:$R$1377,18,0)=5,SUM(IFERROR(INDEX(Fortnightly_Model!$D$2:$D$15,MATCH(G139,Fortnightly_Model!$B$2:$B$15,0)),0),IFERROR(INDEX(Fortnightly_Model!$D$2:$D$15,MATCH(G140,Fortnightly_Model!$B$2:$B$15,0)),0),IFERROR(INDEX(Fortnightly_Model!$D$2:$D$15,MATCH(G141,Fortnightly_Model!$B$2:$B$15,0)),0),IFERROR(INDEX(Fortnightly_Model!$D$2:$D$15,MATCH(G142,Fortnightly_Model!$B$2:$B$15,0)),0),IFERROR(INDEX(Fortnightly_Model!$D$2:$D$15,MATCH(G143,Fortnightly_Model!$B$2:$B$15,0)),0)),0))))))</f>
        <v>1.0714285499999999E-3</v>
      </c>
      <c r="M139" s="27">
        <f>IF(VLOOKUP($A139,Calendar!$A$1:$R$1377,18,0)=0,0,IF(VLOOKUP($A139,Calendar!$A$1:$R$1377,18,0)=1,IFERROR(INDEX(FourWeekly_Model!$D$2:$D$29,MATCH(H139,FourWeekly_Model!$B$2:$B$29,0)),0),IF(VLOOKUP($A139,Calendar!$A$1:$R$1377,18,0)=2,SUM(IFERROR(INDEX(FourWeekly_Model!$D$2:$D$29,MATCH(H139,FourWeekly_Model!$B$2:$B$29,0)),0),IFERROR(INDEX(FourWeekly_Model!$D$2:$D$29,MATCH(H140,FourWeekly_Model!$B$2:$B$29,0)),0)),IF(VLOOKUP($A139,Calendar!$A$1:$R$1377,18,0)=3,SUM(IFERROR(INDEX(FourWeekly_Model!$D$2:$D$29,MATCH(H139,FourWeekly_Model!$B$2:$B$29,0)),0),IFERROR(INDEX(FourWeekly_Model!$D$2:$D$29,MATCH(H140,FourWeekly_Model!$B$2:$B$29,0)),0),IFERROR(INDEX(FourWeekly_Model!$D$2:$D$29,MATCH(H141,FourWeekly_Model!$B$2:$B$29,0)),0)),IF(VLOOKUP($A139,Calendar!$A$1:$R$1377,18,0)=4,SUM(IFERROR(INDEX(FourWeekly_Model!$D$2:$D$29,MATCH(H139,FourWeekly_Model!$B$2:$B$29,0)),0),IFERROR(INDEX(FourWeekly_Model!$D$2:$D$29,MATCH(H140,FourWeekly_Model!$B$2:$B$29,0)),0),IFERROR(INDEX(FourWeekly_Model!$D$2:$D$29,MATCH(H141,FourWeekly_Model!$B$2:$B$29,0)),0),IFERROR(INDEX(FourWeekly_Model!$D$2:$D$29,MATCH(H142,FourWeekly_Model!$B$2:$B$29,0)),0)),IF(VLOOKUP($A139,Calendar!$A$1:$R$1377,18,0)=5,SUM(IFERROR(INDEX(FourWeekly_Model!$D$2:$D$29,MATCH(H139,FourWeekly_Model!$B$2:$B$29,0)),0),IFERROR(INDEX(FourWeekly_Model!$D$2:$D$29,MATCH(H140,FourWeekly_Model!$B$2:$B$29,0)),0),IFERROR(INDEX(FourWeekly_Model!$D$2:$D$29,MATCH(H141,FourWeekly_Model!$B$2:$B$29,0)),0),IFERROR(INDEX(FourWeekly_Model!$D$2:$D$29,MATCH(H142,FourWeekly_Model!$B$2:$B$29,0)),0),IFERROR(INDEX(FourWeekly_Model!$D$2:$D$29,MATCH(H143,FourWeekly_Model!$B$2:$B$29,0)),0)),0))))))</f>
        <v>3.3214289700000004E-3</v>
      </c>
      <c r="N139" s="27">
        <f>SUM(I139:M139)</f>
        <v>2.921798841005236E-2</v>
      </c>
      <c r="O139" s="28">
        <f>Population_Data!$B$8*N139</f>
        <v>885305.04882458656</v>
      </c>
      <c r="P139" s="27">
        <f>IF(VLOOKUP($A139,Calendar!$A$1:$R$1377,18,0)=0,0,IF(VLOOKUP($A139,Calendar!$A$1:$R$1377,18,0)=1,IFERROR(INDEX(Pension_Model!$D$2:$D$29,MATCH(H139,Pension_Model!$B$2:$B$29,0)),0),IF(VLOOKUP($A139,Calendar!$A$1:$R$1377,18,0)=2,SUM(IFERROR(INDEX(Pension_Model!$D$2:$D$29,MATCH(H139,Pension_Model!$B$2:$B$29,0)),0),IFERROR(INDEX(Pension_Model!$D$2:$D$29,MATCH(H140,Pension_Model!$B$2:$B$29,0)),0)),IF(VLOOKUP($A139,Calendar!$A$1:$R$1377,18,0)=3,SUM(IFERROR(INDEX(Pension_Model!$D$2:$D$29,MATCH(H139,Pension_Model!$B$2:$B$29,0)),0),IFERROR(INDEX(Pension_Model!$D$2:$D$29,MATCH(H140,Pension_Model!$B$2:$B$29,0)),0),IFERROR(INDEX(Pension_Model!$D$2:$D$29,MATCH(H141,Pension_Model!$B$2:$B$29,0)),0)),IF(VLOOKUP($A139,Calendar!$A$1:$R$1377,18,0)=4,SUM(IFERROR(INDEX(Pension_Model!$D$2:$D$29,MATCH(H139,Pension_Model!$B$2:$B$29,0)),0),IFERROR(INDEX(Pension_Model!$D$2:$D$29,MATCH(H140,Pension_Model!$B$2:$B$29,0)),0),IFERROR(INDEX(Pension_Model!$D$2:$D$29,MATCH(H141,Pension_Model!$B$2:$B$29,0)),0),IFERROR(INDEX(Pension_Model!$D$2:$D$29,MATCH(H142,Pension_Model!$B$2:$B$29,0)),0)),IF(VLOOKUP($A139,Calendar!$A$1:$R$1377,18,0)=5,SUM(IFERROR(INDEX(Pension_Model!$D$2:$D$29,MATCH(H139,Pension_Model!$B$2:$B$29,0)),0),IFERROR(INDEX(Pension_Model!$D$2:$D$29,MATCH(H140,Pension_Model!$B$2:$B$29,0)),0),IFERROR(INDEX(Pension_Model!$D$2:$D$29,MATCH(H141,Pension_Model!$B$2:$B$29,0)),0),IFERROR(INDEX(Pension_Model!$D$2:$D$29,MATCH(H142,Pension_Model!$B$2:$B$29,0)),0),IFERROR(INDEX(Pension_Model!$D$2:$D$29,MATCH(H143,Pension_Model!$B$2:$B$29,0)),0)),0))))))</f>
        <v>0.05</v>
      </c>
      <c r="Q139" s="28">
        <f>Population_Data!$B$15*P139</f>
        <v>660600</v>
      </c>
      <c r="S139">
        <f t="shared" si="2"/>
        <v>1545905.0488245864</v>
      </c>
      <c r="U139" s="33">
        <f>S139/Population_Data!$B$19</f>
        <v>2.8005526246822218E-2</v>
      </c>
    </row>
    <row r="140" spans="1:21">
      <c r="A140" s="25">
        <f>Calendar!A140</f>
        <v>46373</v>
      </c>
      <c r="B140" t="str">
        <f>Calendar!L140</f>
        <v>Yes</v>
      </c>
      <c r="C140" t="str">
        <f>Calendar!O140</f>
        <v>No</v>
      </c>
      <c r="D140" t="str">
        <f>Calendar!P140</f>
        <v>No</v>
      </c>
      <c r="E140" t="str">
        <f>Calendar!Q140</f>
        <v>No</v>
      </c>
      <c r="F140" t="str">
        <f>Calendar!I140</f>
        <v>Thursday</v>
      </c>
      <c r="G140">
        <f>Calendar!S140</f>
        <v>5</v>
      </c>
      <c r="H140">
        <f>Calendar!T140</f>
        <v>5</v>
      </c>
      <c r="I140" s="27">
        <f>IF(VLOOKUP(A140,Calendar!$A$1:$R$1377,18,0)=0,0,IF(VLOOKUP(A140,Calendar!$A$1:$R$1377,18,0)=1,INDEX(Monthly_Pay_Model!$A$9:$D$40,MATCH(TEXT(A140,"dd"),Monthly_Pay_Model!$C$9:$C$39,0),4),IF(VLOOKUP(A140,Calendar!$A$1:$R$1377,18,0)=2,SUM(INDEX(Monthly_Pay_Model!$A$9:$D$40,MATCH(TEXT(A140,"dd"),Monthly_Pay_Model!$C$9:$C$39,0),4),INDEX(Monthly_Pay_Model!$A$9:$D$40,MATCH(TEXT(A141,"dd"),Monthly_Pay_Model!$C$9:$C$39,0),4)),IF(VLOOKUP(A140,Calendar!$A$1:$R$1377,18,0)=3,SUM(INDEX(Monthly_Pay_Model!$A$9:$D$40,MATCH(TEXT(A140,"dd"),Monthly_Pay_Model!$C$9:$C$39,0),4),INDEX(Monthly_Pay_Model!$A$9:$D$40,MATCH(TEXT(A141,"dd"),Monthly_Pay_Model!$C$9:$C$39,0),4),INDEX(Monthly_Pay_Model!$A$9:$D$40,MATCH(TEXT(A142,"dd"),Monthly_Pay_Model!$C$9:$C$39,0),4)),IF(VLOOKUP(A140,Calendar!$A$1:$R$1377,18,0)=4,SUM(INDEX(Monthly_Pay_Model!$A$9:$D$40,MATCH(TEXT(A140,"dd"),Monthly_Pay_Model!$C$9:$C$39,0),4),INDEX(Monthly_Pay_Model!$A$9:$D$40,MATCH(TEXT(A141,"dd"),Monthly_Pay_Model!$C$9:$C$39,0),4),INDEX(Monthly_Pay_Model!$A$9:$D$40,MATCH(TEXT(A142,"dd"),Monthly_Pay_Model!$C$9:$C$39,0),4),INDEX(Monthly_Pay_Model!$A$9:$D$40,MATCH(TEXT(A143,"dd"),Monthly_Pay_Model!$C$9:$C$39,0),4)),IF(VLOOKUP(A140,Calendar!$A$1:$R$1377,18,0)=5,SUM(INDEX(Monthly_Pay_Model!$A$9:$D$40,MATCH(TEXT(A140,"dd"),Monthly_Pay_Model!$C$9:$C$39,0),4),INDEX(Monthly_Pay_Model!$A$9:$D$40,MATCH(TEXT(A141,"dd"),Monthly_Pay_Model!$C$9:$C$39,0),4),INDEX(Monthly_Pay_Model!$A$9:$D$40,MATCH(TEXT(A142,"dd"),Monthly_Pay_Model!$C$9:$C$39,0),4),INDEX(Monthly_Pay_Model!$A$9:$D$40,MATCH(TEXT(A143,"dd"),Monthly_Pay_Model!$C$9:$C$39,0),4),INDEX(Monthly_Pay_Model!$A$9:$D$40,MATCH(TEXT(A144,"dd"),Monthly_Pay_Model!$C$9:$C$39,0),4)),))))))</f>
        <v>8.1256544502617792E-4</v>
      </c>
      <c r="J140" s="33">
        <f>IF(C140="Yes",Monthly_Pay_Model!$D$2,0)
+IF(Calendar!N140="Yes",Monthly_Pay_Model!$D$3,0)
+IF(D140="Yes",Monthly_Pay_Model!$D$4,0)
+IF(E140="Yes",Monthly_Pay_Model!$D$5,0)</f>
        <v>0</v>
      </c>
      <c r="K140" s="27">
        <f>IF(VLOOKUP($A140,Calendar!$A$1:$R$1377,18,0)=0,0,IF(VLOOKUP($A140,Calendar!$A$1:$R$1377,18,0)=1,IFERROR(INDEX(Weekly_Model!$D$2:$D$9,MATCH(F140,Weekly_Model!$A$2:$A$9,0)),0),IF(VLOOKUP($A140,Calendar!$A$1:$R$1377,18,0)=2,SUM(IFERROR(INDEX(Weekly_Model!$D$2:$D$9,MATCH(F140,Weekly_Model!$A$2:$A$9,0)),0),IFERROR(INDEX(Weekly_Model!$D$2:$D$9,MATCH(F141,Weekly_Model!$A$2:$A$9,0)),0)),IF(VLOOKUP($A140,Calendar!$A$1:$R$1377,18,0)=3,SUM(IFERROR(INDEX(Weekly_Model!$D$2:$D$9,MATCH(F140,Weekly_Model!$A$2:$A$9,0)),0),IFERROR(INDEX(Weekly_Model!$D$2:$D$9,MATCH(F141,Weekly_Model!$A$2:$A$9,0)),0),IFERROR(INDEX(Weekly_Model!$D$2:$D$9,MATCH(F142,Weekly_Model!$A$2:$A$9,0)),0)),IF(VLOOKUP($A140,Calendar!$A$1:$R$1377,18,0)=4,SUM(IFERROR(INDEX(Weekly_Model!$D$2:$D$9,MATCH(F140,Weekly_Model!$A$2:$A$9,0)),0),IFERROR(INDEX(Weekly_Model!$D$2:$D$9,MATCH(F141,Weekly_Model!$A$2:$A$9,0)),0),IFERROR(INDEX(Weekly_Model!$D$2:$D$9,MATCH(F142,Weekly_Model!$A$2:$A$9,0)),0),IFERROR(INDEX(Weekly_Model!$D$2:$D$9,MATCH(F143,Weekly_Model!$A$2:$A$9,0)),0)),IF(VLOOKUP($A140,Calendar!$A$1:$R$1377,18,0)=5,SUM(IFERROR(INDEX(Weekly_Model!$D$2:$D$9,MATCH(F140,Weekly_Model!$A$2:$A$9,0)),0),IFERROR(INDEX(Weekly_Model!$D$2:$D$9,MATCH(F141,Weekly_Model!$A$2:$A$9,0)),0),IFERROR(INDEX(Weekly_Model!$D$2:$D$9,MATCH(F142,Weekly_Model!$A$2:$A$9,0)),0),IFERROR(INDEX(Weekly_Model!$D$2:$D$9,MATCH(F143,Weekly_Model!$A$2:$A$9,0)),0),IFERROR(INDEX(Weekly_Model!$D$2:$D$9,MATCH(F144,Weekly_Model!$A$2:$A$9,0)),0)),0))))))</f>
        <v>2.3200000000000002E-2</v>
      </c>
      <c r="L140" s="27">
        <f>IF(VLOOKUP($A140,Calendar!$A$1:$R$1377,18,0)=0,0,IF(VLOOKUP($A140,Calendar!$A$1:$R$1377,18,0)=1,IFERROR(INDEX(Fortnightly_Model!$D$2:$D$15,MATCH(G140,Fortnightly_Model!$B$2:$B$15,0)),0),IF(VLOOKUP($A140,Calendar!$A$1:$R$1377,18,0)=2,SUM(IFERROR(INDEX(Fortnightly_Model!$D$2:$D$15,MATCH(G140,Fortnightly_Model!$B$2:$B$15,0)),0),IFERROR(INDEX(Fortnightly_Model!$D$2:$D$15,MATCH(G141,Fortnightly_Model!$B$2:$B$15,0)),0)),IF(VLOOKUP($A140,Calendar!$A$1:$R$1377,18,0)=3,SUM(IFERROR(INDEX(Fortnightly_Model!$D$2:$D$15,MATCH(G140,Fortnightly_Model!$B$2:$B$15,0)),0),IFERROR(INDEX(Fortnightly_Model!$D$2:$D$15,MATCH(G141,Fortnightly_Model!$B$2:$B$15,0)),0),IFERROR(INDEX(Fortnightly_Model!$D$2:$D$15,MATCH(G142,Fortnightly_Model!$B$2:$B$15,0)),0)),IF(VLOOKUP($A140,Calendar!$A$1:$R$1377,18,0)=4,SUM(IFERROR(INDEX(Fortnightly_Model!$D$2:$D$15,MATCH(G140,Fortnightly_Model!$B$2:$B$15,0)),0),IFERROR(INDEX(Fortnightly_Model!$D$2:$D$15,MATCH(G141,Fortnightly_Model!$B$2:$B$15,0)),0),IFERROR(INDEX(Fortnightly_Model!$D$2:$D$15,MATCH(G142,Fortnightly_Model!$B$2:$B$15,0)),0),IFERROR(INDEX(Fortnightly_Model!$D$2:$D$15,MATCH(G143,Fortnightly_Model!$B$2:$B$15,0)),0)),IF(VLOOKUP($A140,Calendar!$A$1:$R$1377,18,0)=5,SUM(IFERROR(INDEX(Fortnightly_Model!$D$2:$D$15,MATCH(G140,Fortnightly_Model!$B$2:$B$15,0)),0),IFERROR(INDEX(Fortnightly_Model!$D$2:$D$15,MATCH(G141,Fortnightly_Model!$B$2:$B$15,0)),0),IFERROR(INDEX(Fortnightly_Model!$D$2:$D$15,MATCH(G142,Fortnightly_Model!$B$2:$B$15,0)),0),IFERROR(INDEX(Fortnightly_Model!$D$2:$D$15,MATCH(G143,Fortnightly_Model!$B$2:$B$15,0)),0),IFERROR(INDEX(Fortnightly_Model!$D$2:$D$15,MATCH(G144,Fortnightly_Model!$B$2:$B$15,0)),0)),0))))))</f>
        <v>1.0714285499999999E-3</v>
      </c>
      <c r="M140" s="27">
        <f>IF(VLOOKUP($A140,Calendar!$A$1:$R$1377,18,0)=0,0,IF(VLOOKUP($A140,Calendar!$A$1:$R$1377,18,0)=1,IFERROR(INDEX(FourWeekly_Model!$D$2:$D$29,MATCH(H140,FourWeekly_Model!$B$2:$B$29,0)),0),IF(VLOOKUP($A140,Calendar!$A$1:$R$1377,18,0)=2,SUM(IFERROR(INDEX(FourWeekly_Model!$D$2:$D$29,MATCH(H140,FourWeekly_Model!$B$2:$B$29,0)),0),IFERROR(INDEX(FourWeekly_Model!$D$2:$D$29,MATCH(H141,FourWeekly_Model!$B$2:$B$29,0)),0)),IF(VLOOKUP($A140,Calendar!$A$1:$R$1377,18,0)=3,SUM(IFERROR(INDEX(FourWeekly_Model!$D$2:$D$29,MATCH(H140,FourWeekly_Model!$B$2:$B$29,0)),0),IFERROR(INDEX(FourWeekly_Model!$D$2:$D$29,MATCH(H141,FourWeekly_Model!$B$2:$B$29,0)),0),IFERROR(INDEX(FourWeekly_Model!$D$2:$D$29,MATCH(H142,FourWeekly_Model!$B$2:$B$29,0)),0)),IF(VLOOKUP($A140,Calendar!$A$1:$R$1377,18,0)=4,SUM(IFERROR(INDEX(FourWeekly_Model!$D$2:$D$29,MATCH(H140,FourWeekly_Model!$B$2:$B$29,0)),0),IFERROR(INDEX(FourWeekly_Model!$D$2:$D$29,MATCH(H141,FourWeekly_Model!$B$2:$B$29,0)),0),IFERROR(INDEX(FourWeekly_Model!$D$2:$D$29,MATCH(H142,FourWeekly_Model!$B$2:$B$29,0)),0),IFERROR(INDEX(FourWeekly_Model!$D$2:$D$29,MATCH(H143,FourWeekly_Model!$B$2:$B$29,0)),0)),IF(VLOOKUP($A140,Calendar!$A$1:$R$1377,18,0)=5,SUM(IFERROR(INDEX(FourWeekly_Model!$D$2:$D$29,MATCH(H140,FourWeekly_Model!$B$2:$B$29,0)),0),IFERROR(INDEX(FourWeekly_Model!$D$2:$D$29,MATCH(H141,FourWeekly_Model!$B$2:$B$29,0)),0),IFERROR(INDEX(FourWeekly_Model!$D$2:$D$29,MATCH(H142,FourWeekly_Model!$B$2:$B$29,0)),0),IFERROR(INDEX(FourWeekly_Model!$D$2:$D$29,MATCH(H143,FourWeekly_Model!$B$2:$B$29,0)),0),IFERROR(INDEX(FourWeekly_Model!$D$2:$D$29,MATCH(H144,FourWeekly_Model!$B$2:$B$29,0)),0)),0))))))</f>
        <v>3.3214289700000004E-3</v>
      </c>
      <c r="N140" s="27">
        <f>SUM(I140:M140)</f>
        <v>2.840542296502618E-2</v>
      </c>
      <c r="O140" s="28">
        <f>Population_Data!$B$8*N140</f>
        <v>860684.3158402933</v>
      </c>
      <c r="P140" s="27">
        <f>IF(VLOOKUP($A140,Calendar!$A$1:$R$1377,18,0)=0,0,IF(VLOOKUP($A140,Calendar!$A$1:$R$1377,18,0)=1,IFERROR(INDEX(Pension_Model!$D$2:$D$29,MATCH(H140,Pension_Model!$B$2:$B$29,0)),0),IF(VLOOKUP($A140,Calendar!$A$1:$R$1377,18,0)=2,SUM(IFERROR(INDEX(Pension_Model!$D$2:$D$29,MATCH(H140,Pension_Model!$B$2:$B$29,0)),0),IFERROR(INDEX(Pension_Model!$D$2:$D$29,MATCH(H141,Pension_Model!$B$2:$B$29,0)),0)),IF(VLOOKUP($A140,Calendar!$A$1:$R$1377,18,0)=3,SUM(IFERROR(INDEX(Pension_Model!$D$2:$D$29,MATCH(H140,Pension_Model!$B$2:$B$29,0)),0),IFERROR(INDEX(Pension_Model!$D$2:$D$29,MATCH(H141,Pension_Model!$B$2:$B$29,0)),0),IFERROR(INDEX(Pension_Model!$D$2:$D$29,MATCH(H142,Pension_Model!$B$2:$B$29,0)),0)),IF(VLOOKUP($A140,Calendar!$A$1:$R$1377,18,0)=4,SUM(IFERROR(INDEX(Pension_Model!$D$2:$D$29,MATCH(H140,Pension_Model!$B$2:$B$29,0)),0),IFERROR(INDEX(Pension_Model!$D$2:$D$29,MATCH(H141,Pension_Model!$B$2:$B$29,0)),0),IFERROR(INDEX(Pension_Model!$D$2:$D$29,MATCH(H142,Pension_Model!$B$2:$B$29,0)),0),IFERROR(INDEX(Pension_Model!$D$2:$D$29,MATCH(H143,Pension_Model!$B$2:$B$29,0)),0)),IF(VLOOKUP($A140,Calendar!$A$1:$R$1377,18,0)=5,SUM(IFERROR(INDEX(Pension_Model!$D$2:$D$29,MATCH(H140,Pension_Model!$B$2:$B$29,0)),0),IFERROR(INDEX(Pension_Model!$D$2:$D$29,MATCH(H141,Pension_Model!$B$2:$B$29,0)),0),IFERROR(INDEX(Pension_Model!$D$2:$D$29,MATCH(H142,Pension_Model!$B$2:$B$29,0)),0),IFERROR(INDEX(Pension_Model!$D$2:$D$29,MATCH(H143,Pension_Model!$B$2:$B$29,0)),0),IFERROR(INDEX(Pension_Model!$D$2:$D$29,MATCH(H144,Pension_Model!$B$2:$B$29,0)),0)),0))))))</f>
        <v>0.05</v>
      </c>
      <c r="Q140" s="28">
        <f>Population_Data!$B$15*P140</f>
        <v>660600</v>
      </c>
      <c r="S140">
        <f t="shared" si="2"/>
        <v>1521284.3158402932</v>
      </c>
      <c r="U140" s="33">
        <f>S140/Population_Data!$B$19</f>
        <v>2.7559498475367629E-2</v>
      </c>
    </row>
    <row r="141" spans="1:21">
      <c r="A141" s="25">
        <f>Calendar!A141</f>
        <v>46374</v>
      </c>
      <c r="B141" t="str">
        <f>Calendar!L141</f>
        <v>Yes</v>
      </c>
      <c r="C141" t="str">
        <f>Calendar!O141</f>
        <v>No</v>
      </c>
      <c r="D141" t="str">
        <f>Calendar!P141</f>
        <v>No</v>
      </c>
      <c r="E141" t="str">
        <f>Calendar!Q141</f>
        <v>No</v>
      </c>
      <c r="F141" t="str">
        <f>Calendar!I141</f>
        <v>Friday</v>
      </c>
      <c r="G141">
        <f>Calendar!S141</f>
        <v>6</v>
      </c>
      <c r="H141">
        <f>Calendar!T141</f>
        <v>6</v>
      </c>
      <c r="I141" s="27">
        <f>IF(VLOOKUP(A141,Calendar!$A$1:$R$1377,18,0)=0,0,IF(VLOOKUP(A141,Calendar!$A$1:$R$1377,18,0)=1,INDEX(Monthly_Pay_Model!$A$9:$D$40,MATCH(TEXT(A141,"dd"),Monthly_Pay_Model!$C$9:$C$39,0),4),IF(VLOOKUP(A141,Calendar!$A$1:$R$1377,18,0)=2,SUM(INDEX(Monthly_Pay_Model!$A$9:$D$40,MATCH(TEXT(A141,"dd"),Monthly_Pay_Model!$C$9:$C$39,0),4),INDEX(Monthly_Pay_Model!$A$9:$D$40,MATCH(TEXT(A142,"dd"),Monthly_Pay_Model!$C$9:$C$39,0),4)),IF(VLOOKUP(A141,Calendar!$A$1:$R$1377,18,0)=3,SUM(INDEX(Monthly_Pay_Model!$A$9:$D$40,MATCH(TEXT(A141,"dd"),Monthly_Pay_Model!$C$9:$C$39,0),4),INDEX(Monthly_Pay_Model!$A$9:$D$40,MATCH(TEXT(A142,"dd"),Monthly_Pay_Model!$C$9:$C$39,0),4),INDEX(Monthly_Pay_Model!$A$9:$D$40,MATCH(TEXT(A143,"dd"),Monthly_Pay_Model!$C$9:$C$39,0),4)),IF(VLOOKUP(A141,Calendar!$A$1:$R$1377,18,0)=4,SUM(INDEX(Monthly_Pay_Model!$A$9:$D$40,MATCH(TEXT(A141,"dd"),Monthly_Pay_Model!$C$9:$C$39,0),4),INDEX(Monthly_Pay_Model!$A$9:$D$40,MATCH(TEXT(A142,"dd"),Monthly_Pay_Model!$C$9:$C$39,0),4),INDEX(Monthly_Pay_Model!$A$9:$D$40,MATCH(TEXT(A143,"dd"),Monthly_Pay_Model!$C$9:$C$39,0),4),INDEX(Monthly_Pay_Model!$A$9:$D$40,MATCH(TEXT(A144,"dd"),Monthly_Pay_Model!$C$9:$C$39,0),4)),IF(VLOOKUP(A141,Calendar!$A$1:$R$1377,18,0)=5,SUM(INDEX(Monthly_Pay_Model!$A$9:$D$40,MATCH(TEXT(A141,"dd"),Monthly_Pay_Model!$C$9:$C$39,0),4),INDEX(Monthly_Pay_Model!$A$9:$D$40,MATCH(TEXT(A142,"dd"),Monthly_Pay_Model!$C$9:$C$39,0),4),INDEX(Monthly_Pay_Model!$A$9:$D$40,MATCH(TEXT(A143,"dd"),Monthly_Pay_Model!$C$9:$C$39,0),4),INDEX(Monthly_Pay_Model!$A$9:$D$40,MATCH(TEXT(A144,"dd"),Monthly_Pay_Model!$C$9:$C$39,0),4),INDEX(Monthly_Pay_Model!$A$9:$D$40,MATCH(TEXT(A145,"dd"),Monthly_Pay_Model!$C$9:$C$39,0),4)),))))))</f>
        <v>1.2188481675392668E-2</v>
      </c>
      <c r="J141" s="33">
        <f>IF(C141="Yes",Monthly_Pay_Model!$D$2,0)
+IF(Calendar!N141="Yes",Monthly_Pay_Model!$D$3,0)
+IF(D141="Yes",Monthly_Pay_Model!$D$4,0)
+IF(E141="Yes",Monthly_Pay_Model!$D$5,0)</f>
        <v>0</v>
      </c>
      <c r="K141" s="27">
        <f>IF(VLOOKUP($A141,Calendar!$A$1:$R$1377,18,0)=0,0,IF(VLOOKUP($A141,Calendar!$A$1:$R$1377,18,0)=1,IFERROR(INDEX(Weekly_Model!$D$2:$D$9,MATCH(F141,Weekly_Model!$A$2:$A$9,0)),0),IF(VLOOKUP($A141,Calendar!$A$1:$R$1377,18,0)=2,SUM(IFERROR(INDEX(Weekly_Model!$D$2:$D$9,MATCH(F141,Weekly_Model!$A$2:$A$9,0)),0),IFERROR(INDEX(Weekly_Model!$D$2:$D$9,MATCH(F142,Weekly_Model!$A$2:$A$9,0)),0)),IF(VLOOKUP($A141,Calendar!$A$1:$R$1377,18,0)=3,SUM(IFERROR(INDEX(Weekly_Model!$D$2:$D$9,MATCH(F141,Weekly_Model!$A$2:$A$9,0)),0),IFERROR(INDEX(Weekly_Model!$D$2:$D$9,MATCH(F142,Weekly_Model!$A$2:$A$9,0)),0),IFERROR(INDEX(Weekly_Model!$D$2:$D$9,MATCH(F143,Weekly_Model!$A$2:$A$9,0)),0)),IF(VLOOKUP($A141,Calendar!$A$1:$R$1377,18,0)=4,SUM(IFERROR(INDEX(Weekly_Model!$D$2:$D$9,MATCH(F141,Weekly_Model!$A$2:$A$9,0)),0),IFERROR(INDEX(Weekly_Model!$D$2:$D$9,MATCH(F142,Weekly_Model!$A$2:$A$9,0)),0),IFERROR(INDEX(Weekly_Model!$D$2:$D$9,MATCH(F143,Weekly_Model!$A$2:$A$9,0)),0),IFERROR(INDEX(Weekly_Model!$D$2:$D$9,MATCH(F144,Weekly_Model!$A$2:$A$9,0)),0)),IF(VLOOKUP($A141,Calendar!$A$1:$R$1377,18,0)=5,SUM(IFERROR(INDEX(Weekly_Model!$D$2:$D$9,MATCH(F141,Weekly_Model!$A$2:$A$9,0)),0),IFERROR(INDEX(Weekly_Model!$D$2:$D$9,MATCH(F142,Weekly_Model!$A$2:$A$9,0)),0),IFERROR(INDEX(Weekly_Model!$D$2:$D$9,MATCH(F143,Weekly_Model!$A$2:$A$9,0)),0),IFERROR(INDEX(Weekly_Model!$D$2:$D$9,MATCH(F144,Weekly_Model!$A$2:$A$9,0)),0),IFERROR(INDEX(Weekly_Model!$D$2:$D$9,MATCH(F145,Weekly_Model!$A$2:$A$9,0)),0)),0))))))</f>
        <v>2.3200000000000002E-2</v>
      </c>
      <c r="L141" s="27">
        <f>IF(VLOOKUP($A141,Calendar!$A$1:$R$1377,18,0)=0,0,IF(VLOOKUP($A141,Calendar!$A$1:$R$1377,18,0)=1,IFERROR(INDEX(Fortnightly_Model!$D$2:$D$15,MATCH(G141,Fortnightly_Model!$B$2:$B$15,0)),0),IF(VLOOKUP($A141,Calendar!$A$1:$R$1377,18,0)=2,SUM(IFERROR(INDEX(Fortnightly_Model!$D$2:$D$15,MATCH(G141,Fortnightly_Model!$B$2:$B$15,0)),0),IFERROR(INDEX(Fortnightly_Model!$D$2:$D$15,MATCH(G142,Fortnightly_Model!$B$2:$B$15,0)),0)),IF(VLOOKUP($A141,Calendar!$A$1:$R$1377,18,0)=3,SUM(IFERROR(INDEX(Fortnightly_Model!$D$2:$D$15,MATCH(G141,Fortnightly_Model!$B$2:$B$15,0)),0),IFERROR(INDEX(Fortnightly_Model!$D$2:$D$15,MATCH(G142,Fortnightly_Model!$B$2:$B$15,0)),0),IFERROR(INDEX(Fortnightly_Model!$D$2:$D$15,MATCH(G143,Fortnightly_Model!$B$2:$B$15,0)),0)),IF(VLOOKUP($A141,Calendar!$A$1:$R$1377,18,0)=4,SUM(IFERROR(INDEX(Fortnightly_Model!$D$2:$D$15,MATCH(G141,Fortnightly_Model!$B$2:$B$15,0)),0),IFERROR(INDEX(Fortnightly_Model!$D$2:$D$15,MATCH(G142,Fortnightly_Model!$B$2:$B$15,0)),0),IFERROR(INDEX(Fortnightly_Model!$D$2:$D$15,MATCH(G143,Fortnightly_Model!$B$2:$B$15,0)),0),IFERROR(INDEX(Fortnightly_Model!$D$2:$D$15,MATCH(G144,Fortnightly_Model!$B$2:$B$15,0)),0)),IF(VLOOKUP($A141,Calendar!$A$1:$R$1377,18,0)=5,SUM(IFERROR(INDEX(Fortnightly_Model!$D$2:$D$15,MATCH(G141,Fortnightly_Model!$B$2:$B$15,0)),0),IFERROR(INDEX(Fortnightly_Model!$D$2:$D$15,MATCH(G142,Fortnightly_Model!$B$2:$B$15,0)),0),IFERROR(INDEX(Fortnightly_Model!$D$2:$D$15,MATCH(G143,Fortnightly_Model!$B$2:$B$15,0)),0),IFERROR(INDEX(Fortnightly_Model!$D$2:$D$15,MATCH(G144,Fortnightly_Model!$B$2:$B$15,0)),0),IFERROR(INDEX(Fortnightly_Model!$D$2:$D$15,MATCH(G145,Fortnightly_Model!$B$2:$B$15,0)),0)),0))))))</f>
        <v>3.2142856499999999E-3</v>
      </c>
      <c r="M141" s="27">
        <f>IF(VLOOKUP($A141,Calendar!$A$1:$R$1377,18,0)=0,0,IF(VLOOKUP($A141,Calendar!$A$1:$R$1377,18,0)=1,IFERROR(INDEX(FourWeekly_Model!$D$2:$D$29,MATCH(H141,FourWeekly_Model!$B$2:$B$29,0)),0),IF(VLOOKUP($A141,Calendar!$A$1:$R$1377,18,0)=2,SUM(IFERROR(INDEX(FourWeekly_Model!$D$2:$D$29,MATCH(H141,FourWeekly_Model!$B$2:$B$29,0)),0),IFERROR(INDEX(FourWeekly_Model!$D$2:$D$29,MATCH(H142,FourWeekly_Model!$B$2:$B$29,0)),0)),IF(VLOOKUP($A141,Calendar!$A$1:$R$1377,18,0)=3,SUM(IFERROR(INDEX(FourWeekly_Model!$D$2:$D$29,MATCH(H141,FourWeekly_Model!$B$2:$B$29,0)),0),IFERROR(INDEX(FourWeekly_Model!$D$2:$D$29,MATCH(H142,FourWeekly_Model!$B$2:$B$29,0)),0),IFERROR(INDEX(FourWeekly_Model!$D$2:$D$29,MATCH(H143,FourWeekly_Model!$B$2:$B$29,0)),0)),IF(VLOOKUP($A141,Calendar!$A$1:$R$1377,18,0)=4,SUM(IFERROR(INDEX(FourWeekly_Model!$D$2:$D$29,MATCH(H141,FourWeekly_Model!$B$2:$B$29,0)),0),IFERROR(INDEX(FourWeekly_Model!$D$2:$D$29,MATCH(H142,FourWeekly_Model!$B$2:$B$29,0)),0),IFERROR(INDEX(FourWeekly_Model!$D$2:$D$29,MATCH(H143,FourWeekly_Model!$B$2:$B$29,0)),0),IFERROR(INDEX(FourWeekly_Model!$D$2:$D$29,MATCH(H144,FourWeekly_Model!$B$2:$B$29,0)),0)),IF(VLOOKUP($A141,Calendar!$A$1:$R$1377,18,0)=5,SUM(IFERROR(INDEX(FourWeekly_Model!$D$2:$D$29,MATCH(H141,FourWeekly_Model!$B$2:$B$29,0)),0),IFERROR(INDEX(FourWeekly_Model!$D$2:$D$29,MATCH(H142,FourWeekly_Model!$B$2:$B$29,0)),0),IFERROR(INDEX(FourWeekly_Model!$D$2:$D$29,MATCH(H143,FourWeekly_Model!$B$2:$B$29,0)),0),IFERROR(INDEX(FourWeekly_Model!$D$2:$D$29,MATCH(H144,FourWeekly_Model!$B$2:$B$29,0)),0),IFERROR(INDEX(FourWeekly_Model!$D$2:$D$29,MATCH(H145,FourWeekly_Model!$B$2:$B$29,0)),0)),0))))))</f>
        <v>9.9642859800000011E-3</v>
      </c>
      <c r="N141" s="27">
        <f>SUM(I141:M141)</f>
        <v>4.8567053305392675E-2</v>
      </c>
      <c r="O141" s="28">
        <f>Population_Data!$B$8*N141</f>
        <v>1471581.715153398</v>
      </c>
      <c r="P141" s="27">
        <f>IF(VLOOKUP($A141,Calendar!$A$1:$R$1377,18,0)=0,0,IF(VLOOKUP($A141,Calendar!$A$1:$R$1377,18,0)=1,IFERROR(INDEX(Pension_Model!$D$2:$D$29,MATCH(H141,Pension_Model!$B$2:$B$29,0)),0),IF(VLOOKUP($A141,Calendar!$A$1:$R$1377,18,0)=2,SUM(IFERROR(INDEX(Pension_Model!$D$2:$D$29,MATCH(H141,Pension_Model!$B$2:$B$29,0)),0),IFERROR(INDEX(Pension_Model!$D$2:$D$29,MATCH(H142,Pension_Model!$B$2:$B$29,0)),0)),IF(VLOOKUP($A141,Calendar!$A$1:$R$1377,18,0)=3,SUM(IFERROR(INDEX(Pension_Model!$D$2:$D$29,MATCH(H141,Pension_Model!$B$2:$B$29,0)),0),IFERROR(INDEX(Pension_Model!$D$2:$D$29,MATCH(H142,Pension_Model!$B$2:$B$29,0)),0),IFERROR(INDEX(Pension_Model!$D$2:$D$29,MATCH(H143,Pension_Model!$B$2:$B$29,0)),0)),IF(VLOOKUP($A141,Calendar!$A$1:$R$1377,18,0)=4,SUM(IFERROR(INDEX(Pension_Model!$D$2:$D$29,MATCH(H141,Pension_Model!$B$2:$B$29,0)),0),IFERROR(INDEX(Pension_Model!$D$2:$D$29,MATCH(H142,Pension_Model!$B$2:$B$29,0)),0),IFERROR(INDEX(Pension_Model!$D$2:$D$29,MATCH(H143,Pension_Model!$B$2:$B$29,0)),0),IFERROR(INDEX(Pension_Model!$D$2:$D$29,MATCH(H144,Pension_Model!$B$2:$B$29,0)),0)),IF(VLOOKUP($A141,Calendar!$A$1:$R$1377,18,0)=5,SUM(IFERROR(INDEX(Pension_Model!$D$2:$D$29,MATCH(H141,Pension_Model!$B$2:$B$29,0)),0),IFERROR(INDEX(Pension_Model!$D$2:$D$29,MATCH(H142,Pension_Model!$B$2:$B$29,0)),0),IFERROR(INDEX(Pension_Model!$D$2:$D$29,MATCH(H143,Pension_Model!$B$2:$B$29,0)),0),IFERROR(INDEX(Pension_Model!$D$2:$D$29,MATCH(H144,Pension_Model!$B$2:$B$29,0)),0),IFERROR(INDEX(Pension_Model!$D$2:$D$29,MATCH(H145,Pension_Model!$B$2:$B$29,0)),0)),0))))))</f>
        <v>0.05</v>
      </c>
      <c r="Q141" s="28">
        <f>Population_Data!$B$15*P141</f>
        <v>660600</v>
      </c>
      <c r="S141">
        <f t="shared" si="2"/>
        <v>2132181.715153398</v>
      </c>
      <c r="U141" s="33">
        <f>S141/Population_Data!$B$19</f>
        <v>3.8626480346981851E-2</v>
      </c>
    </row>
    <row r="142" spans="1:21">
      <c r="A142" s="25">
        <f>Calendar!A142</f>
        <v>46375</v>
      </c>
      <c r="B142" t="str">
        <f>Calendar!L142</f>
        <v>No</v>
      </c>
      <c r="C142" t="str">
        <f>Calendar!O142</f>
        <v>No</v>
      </c>
      <c r="D142" t="str">
        <f>Calendar!P142</f>
        <v>No</v>
      </c>
      <c r="E142" t="str">
        <f>Calendar!Q142</f>
        <v>No</v>
      </c>
      <c r="F142" t="str">
        <f>Calendar!I142</f>
        <v>Saturday</v>
      </c>
      <c r="G142">
        <f>Calendar!S142</f>
        <v>7</v>
      </c>
      <c r="H142">
        <f>Calendar!T142</f>
        <v>7</v>
      </c>
      <c r="I142" s="27">
        <f>IF(VLOOKUP(A142,Calendar!$A$1:$R$1377,18,0)=0,0,IF(VLOOKUP(A142,Calendar!$A$1:$R$1377,18,0)=1,INDEX(Monthly_Pay_Model!$A$9:$D$40,MATCH(TEXT(A142,"dd"),Monthly_Pay_Model!$C$9:$C$39,0),4),IF(VLOOKUP(A142,Calendar!$A$1:$R$1377,18,0)=2,SUM(INDEX(Monthly_Pay_Model!$A$9:$D$40,MATCH(TEXT(A142,"dd"),Monthly_Pay_Model!$C$9:$C$39,0),4),INDEX(Monthly_Pay_Model!$A$9:$D$40,MATCH(TEXT(A143,"dd"),Monthly_Pay_Model!$C$9:$C$39,0),4)),IF(VLOOKUP(A142,Calendar!$A$1:$R$1377,18,0)=3,SUM(INDEX(Monthly_Pay_Model!$A$9:$D$40,MATCH(TEXT(A142,"dd"),Monthly_Pay_Model!$C$9:$C$39,0),4),INDEX(Monthly_Pay_Model!$A$9:$D$40,MATCH(TEXT(A143,"dd"),Monthly_Pay_Model!$C$9:$C$39,0),4),INDEX(Monthly_Pay_Model!$A$9:$D$40,MATCH(TEXT(A144,"dd"),Monthly_Pay_Model!$C$9:$C$39,0),4)),IF(VLOOKUP(A142,Calendar!$A$1:$R$1377,18,0)=4,SUM(INDEX(Monthly_Pay_Model!$A$9:$D$40,MATCH(TEXT(A142,"dd"),Monthly_Pay_Model!$C$9:$C$39,0),4),INDEX(Monthly_Pay_Model!$A$9:$D$40,MATCH(TEXT(A143,"dd"),Monthly_Pay_Model!$C$9:$C$39,0),4),INDEX(Monthly_Pay_Model!$A$9:$D$40,MATCH(TEXT(A144,"dd"),Monthly_Pay_Model!$C$9:$C$39,0),4),INDEX(Monthly_Pay_Model!$A$9:$D$40,MATCH(TEXT(A145,"dd"),Monthly_Pay_Model!$C$9:$C$39,0),4)),IF(VLOOKUP(A142,Calendar!$A$1:$R$1377,18,0)=5,SUM(INDEX(Monthly_Pay_Model!$A$9:$D$40,MATCH(TEXT(A142,"dd"),Monthly_Pay_Model!$C$9:$C$39,0),4),INDEX(Monthly_Pay_Model!$A$9:$D$40,MATCH(TEXT(A143,"dd"),Monthly_Pay_Model!$C$9:$C$39,0),4),INDEX(Monthly_Pay_Model!$A$9:$D$40,MATCH(TEXT(A144,"dd"),Monthly_Pay_Model!$C$9:$C$39,0),4),INDEX(Monthly_Pay_Model!$A$9:$D$40,MATCH(TEXT(A145,"dd"),Monthly_Pay_Model!$C$9:$C$39,0),4),INDEX(Monthly_Pay_Model!$A$9:$D$40,MATCH(TEXT(A146,"dd"),Monthly_Pay_Model!$C$9:$C$39,0),4)),))))))</f>
        <v>0</v>
      </c>
      <c r="J142" s="33">
        <f>IF(C142="Yes",Monthly_Pay_Model!$D$2,0)
+IF(Calendar!N142="Yes",Monthly_Pay_Model!$D$3,0)
+IF(D142="Yes",Monthly_Pay_Model!$D$4,0)
+IF(E142="Yes",Monthly_Pay_Model!$D$5,0)</f>
        <v>0</v>
      </c>
      <c r="K142" s="27">
        <f>IF(VLOOKUP($A142,Calendar!$A$1:$R$1377,18,0)=0,0,IF(VLOOKUP($A142,Calendar!$A$1:$R$1377,18,0)=1,IFERROR(INDEX(Weekly_Model!$D$2:$D$9,MATCH(F142,Weekly_Model!$A$2:$A$9,0)),0),IF(VLOOKUP($A142,Calendar!$A$1:$R$1377,18,0)=2,SUM(IFERROR(INDEX(Weekly_Model!$D$2:$D$9,MATCH(F142,Weekly_Model!$A$2:$A$9,0)),0),IFERROR(INDEX(Weekly_Model!$D$2:$D$9,MATCH(F143,Weekly_Model!$A$2:$A$9,0)),0)),IF(VLOOKUP($A142,Calendar!$A$1:$R$1377,18,0)=3,SUM(IFERROR(INDEX(Weekly_Model!$D$2:$D$9,MATCH(F142,Weekly_Model!$A$2:$A$9,0)),0),IFERROR(INDEX(Weekly_Model!$D$2:$D$9,MATCH(F143,Weekly_Model!$A$2:$A$9,0)),0),IFERROR(INDEX(Weekly_Model!$D$2:$D$9,MATCH(F144,Weekly_Model!$A$2:$A$9,0)),0)),IF(VLOOKUP($A142,Calendar!$A$1:$R$1377,18,0)=4,SUM(IFERROR(INDEX(Weekly_Model!$D$2:$D$9,MATCH(F142,Weekly_Model!$A$2:$A$9,0)),0),IFERROR(INDEX(Weekly_Model!$D$2:$D$9,MATCH(F143,Weekly_Model!$A$2:$A$9,0)),0),IFERROR(INDEX(Weekly_Model!$D$2:$D$9,MATCH(F144,Weekly_Model!$A$2:$A$9,0)),0),IFERROR(INDEX(Weekly_Model!$D$2:$D$9,MATCH(F145,Weekly_Model!$A$2:$A$9,0)),0)),IF(VLOOKUP($A142,Calendar!$A$1:$R$1377,18,0)=5,SUM(IFERROR(INDEX(Weekly_Model!$D$2:$D$9,MATCH(F142,Weekly_Model!$A$2:$A$9,0)),0),IFERROR(INDEX(Weekly_Model!$D$2:$D$9,MATCH(F143,Weekly_Model!$A$2:$A$9,0)),0),IFERROR(INDEX(Weekly_Model!$D$2:$D$9,MATCH(F144,Weekly_Model!$A$2:$A$9,0)),0),IFERROR(INDEX(Weekly_Model!$D$2:$D$9,MATCH(F145,Weekly_Model!$A$2:$A$9,0)),0),IFERROR(INDEX(Weekly_Model!$D$2:$D$9,MATCH(F146,Weekly_Model!$A$2:$A$9,0)),0)),0))))))</f>
        <v>0</v>
      </c>
      <c r="L142" s="27">
        <f>IF(VLOOKUP($A142,Calendar!$A$1:$R$1377,18,0)=0,0,IF(VLOOKUP($A142,Calendar!$A$1:$R$1377,18,0)=1,IFERROR(INDEX(Fortnightly_Model!$D$2:$D$15,MATCH(G142,Fortnightly_Model!$B$2:$B$15,0)),0),IF(VLOOKUP($A142,Calendar!$A$1:$R$1377,18,0)=2,SUM(IFERROR(INDEX(Fortnightly_Model!$D$2:$D$15,MATCH(G142,Fortnightly_Model!$B$2:$B$15,0)),0),IFERROR(INDEX(Fortnightly_Model!$D$2:$D$15,MATCH(G143,Fortnightly_Model!$B$2:$B$15,0)),0)),IF(VLOOKUP($A142,Calendar!$A$1:$R$1377,18,0)=3,SUM(IFERROR(INDEX(Fortnightly_Model!$D$2:$D$15,MATCH(G142,Fortnightly_Model!$B$2:$B$15,0)),0),IFERROR(INDEX(Fortnightly_Model!$D$2:$D$15,MATCH(G143,Fortnightly_Model!$B$2:$B$15,0)),0),IFERROR(INDEX(Fortnightly_Model!$D$2:$D$15,MATCH(G144,Fortnightly_Model!$B$2:$B$15,0)),0)),IF(VLOOKUP($A142,Calendar!$A$1:$R$1377,18,0)=4,SUM(IFERROR(INDEX(Fortnightly_Model!$D$2:$D$15,MATCH(G142,Fortnightly_Model!$B$2:$B$15,0)),0),IFERROR(INDEX(Fortnightly_Model!$D$2:$D$15,MATCH(G143,Fortnightly_Model!$B$2:$B$15,0)),0),IFERROR(INDEX(Fortnightly_Model!$D$2:$D$15,MATCH(G144,Fortnightly_Model!$B$2:$B$15,0)),0),IFERROR(INDEX(Fortnightly_Model!$D$2:$D$15,MATCH(G145,Fortnightly_Model!$B$2:$B$15,0)),0)),IF(VLOOKUP($A142,Calendar!$A$1:$R$1377,18,0)=5,SUM(IFERROR(INDEX(Fortnightly_Model!$D$2:$D$15,MATCH(G142,Fortnightly_Model!$B$2:$B$15,0)),0),IFERROR(INDEX(Fortnightly_Model!$D$2:$D$15,MATCH(G143,Fortnightly_Model!$B$2:$B$15,0)),0),IFERROR(INDEX(Fortnightly_Model!$D$2:$D$15,MATCH(G144,Fortnightly_Model!$B$2:$B$15,0)),0),IFERROR(INDEX(Fortnightly_Model!$D$2:$D$15,MATCH(G145,Fortnightly_Model!$B$2:$B$15,0)),0),IFERROR(INDEX(Fortnightly_Model!$D$2:$D$15,MATCH(G146,Fortnightly_Model!$B$2:$B$15,0)),0)),0))))))</f>
        <v>0</v>
      </c>
      <c r="M142" s="27">
        <f>IF(VLOOKUP($A142,Calendar!$A$1:$R$1377,18,0)=0,0,IF(VLOOKUP($A142,Calendar!$A$1:$R$1377,18,0)=1,IFERROR(INDEX(FourWeekly_Model!$D$2:$D$29,MATCH(H142,FourWeekly_Model!$B$2:$B$29,0)),0),IF(VLOOKUP($A142,Calendar!$A$1:$R$1377,18,0)=2,SUM(IFERROR(INDEX(FourWeekly_Model!$D$2:$D$29,MATCH(H142,FourWeekly_Model!$B$2:$B$29,0)),0),IFERROR(INDEX(FourWeekly_Model!$D$2:$D$29,MATCH(H143,FourWeekly_Model!$B$2:$B$29,0)),0)),IF(VLOOKUP($A142,Calendar!$A$1:$R$1377,18,0)=3,SUM(IFERROR(INDEX(FourWeekly_Model!$D$2:$D$29,MATCH(H142,FourWeekly_Model!$B$2:$B$29,0)),0),IFERROR(INDEX(FourWeekly_Model!$D$2:$D$29,MATCH(H143,FourWeekly_Model!$B$2:$B$29,0)),0),IFERROR(INDEX(FourWeekly_Model!$D$2:$D$29,MATCH(H144,FourWeekly_Model!$B$2:$B$29,0)),0)),IF(VLOOKUP($A142,Calendar!$A$1:$R$1377,18,0)=4,SUM(IFERROR(INDEX(FourWeekly_Model!$D$2:$D$29,MATCH(H142,FourWeekly_Model!$B$2:$B$29,0)),0),IFERROR(INDEX(FourWeekly_Model!$D$2:$D$29,MATCH(H143,FourWeekly_Model!$B$2:$B$29,0)),0),IFERROR(INDEX(FourWeekly_Model!$D$2:$D$29,MATCH(H144,FourWeekly_Model!$B$2:$B$29,0)),0),IFERROR(INDEX(FourWeekly_Model!$D$2:$D$29,MATCH(H145,FourWeekly_Model!$B$2:$B$29,0)),0)),IF(VLOOKUP($A142,Calendar!$A$1:$R$1377,18,0)=5,SUM(IFERROR(INDEX(FourWeekly_Model!$D$2:$D$29,MATCH(H142,FourWeekly_Model!$B$2:$B$29,0)),0),IFERROR(INDEX(FourWeekly_Model!$D$2:$D$29,MATCH(H143,FourWeekly_Model!$B$2:$B$29,0)),0),IFERROR(INDEX(FourWeekly_Model!$D$2:$D$29,MATCH(H144,FourWeekly_Model!$B$2:$B$29,0)),0),IFERROR(INDEX(FourWeekly_Model!$D$2:$D$29,MATCH(H145,FourWeekly_Model!$B$2:$B$29,0)),0),IFERROR(INDEX(FourWeekly_Model!$D$2:$D$29,MATCH(H146,FourWeekly_Model!$B$2:$B$29,0)),0)),0))))))</f>
        <v>0</v>
      </c>
      <c r="N142" s="27">
        <f>SUM(I142:M142)</f>
        <v>0</v>
      </c>
      <c r="O142" s="28">
        <f>Population_Data!$B$8*N142</f>
        <v>0</v>
      </c>
      <c r="P142" s="27">
        <f>IF(VLOOKUP($A142,Calendar!$A$1:$R$1377,18,0)=0,0,IF(VLOOKUP($A142,Calendar!$A$1:$R$1377,18,0)=1,IFERROR(INDEX(Pension_Model!$D$2:$D$29,MATCH(H142,Pension_Model!$B$2:$B$29,0)),0),IF(VLOOKUP($A142,Calendar!$A$1:$R$1377,18,0)=2,SUM(IFERROR(INDEX(Pension_Model!$D$2:$D$29,MATCH(H142,Pension_Model!$B$2:$B$29,0)),0),IFERROR(INDEX(Pension_Model!$D$2:$D$29,MATCH(H143,Pension_Model!$B$2:$B$29,0)),0)),IF(VLOOKUP($A142,Calendar!$A$1:$R$1377,18,0)=3,SUM(IFERROR(INDEX(Pension_Model!$D$2:$D$29,MATCH(H142,Pension_Model!$B$2:$B$29,0)),0),IFERROR(INDEX(Pension_Model!$D$2:$D$29,MATCH(H143,Pension_Model!$B$2:$B$29,0)),0),IFERROR(INDEX(Pension_Model!$D$2:$D$29,MATCH(H144,Pension_Model!$B$2:$B$29,0)),0)),IF(VLOOKUP($A142,Calendar!$A$1:$R$1377,18,0)=4,SUM(IFERROR(INDEX(Pension_Model!$D$2:$D$29,MATCH(H142,Pension_Model!$B$2:$B$29,0)),0),IFERROR(INDEX(Pension_Model!$D$2:$D$29,MATCH(H143,Pension_Model!$B$2:$B$29,0)),0),IFERROR(INDEX(Pension_Model!$D$2:$D$29,MATCH(H144,Pension_Model!$B$2:$B$29,0)),0),IFERROR(INDEX(Pension_Model!$D$2:$D$29,MATCH(H145,Pension_Model!$B$2:$B$29,0)),0)),IF(VLOOKUP($A142,Calendar!$A$1:$R$1377,18,0)=5,SUM(IFERROR(INDEX(Pension_Model!$D$2:$D$29,MATCH(H142,Pension_Model!$B$2:$B$29,0)),0),IFERROR(INDEX(Pension_Model!$D$2:$D$29,MATCH(H143,Pension_Model!$B$2:$B$29,0)),0),IFERROR(INDEX(Pension_Model!$D$2:$D$29,MATCH(H144,Pension_Model!$B$2:$B$29,0)),0),IFERROR(INDEX(Pension_Model!$D$2:$D$29,MATCH(H145,Pension_Model!$B$2:$B$29,0)),0),IFERROR(INDEX(Pension_Model!$D$2:$D$29,MATCH(H146,Pension_Model!$B$2:$B$29,0)),0)),0))))))</f>
        <v>0</v>
      </c>
      <c r="Q142" s="28">
        <f>Population_Data!$B$15*P142</f>
        <v>0</v>
      </c>
      <c r="S142">
        <f t="shared" si="2"/>
        <v>0</v>
      </c>
      <c r="U142" s="33">
        <f>S142/Population_Data!$B$19</f>
        <v>0</v>
      </c>
    </row>
    <row r="143" spans="1:21">
      <c r="A143" s="25">
        <f>Calendar!A143</f>
        <v>46376</v>
      </c>
      <c r="B143" t="str">
        <f>Calendar!L143</f>
        <v>No</v>
      </c>
      <c r="C143" t="str">
        <f>Calendar!O143</f>
        <v>No</v>
      </c>
      <c r="D143" t="str">
        <f>Calendar!P143</f>
        <v>No</v>
      </c>
      <c r="E143" t="str">
        <f>Calendar!Q143</f>
        <v>No</v>
      </c>
      <c r="F143" t="str">
        <f>Calendar!I143</f>
        <v>Sunday</v>
      </c>
      <c r="G143">
        <f>Calendar!S143</f>
        <v>8</v>
      </c>
      <c r="H143">
        <f>Calendar!T143</f>
        <v>8</v>
      </c>
      <c r="I143" s="27">
        <f>IF(VLOOKUP(A143,Calendar!$A$1:$R$1377,18,0)=0,0,IF(VLOOKUP(A143,Calendar!$A$1:$R$1377,18,0)=1,INDEX(Monthly_Pay_Model!$A$9:$D$40,MATCH(TEXT(A143,"dd"),Monthly_Pay_Model!$C$9:$C$39,0),4),IF(VLOOKUP(A143,Calendar!$A$1:$R$1377,18,0)=2,SUM(INDEX(Monthly_Pay_Model!$A$9:$D$40,MATCH(TEXT(A143,"dd"),Monthly_Pay_Model!$C$9:$C$39,0),4),INDEX(Monthly_Pay_Model!$A$9:$D$40,MATCH(TEXT(A144,"dd"),Monthly_Pay_Model!$C$9:$C$39,0),4)),IF(VLOOKUP(A143,Calendar!$A$1:$R$1377,18,0)=3,SUM(INDEX(Monthly_Pay_Model!$A$9:$D$40,MATCH(TEXT(A143,"dd"),Monthly_Pay_Model!$C$9:$C$39,0),4),INDEX(Monthly_Pay_Model!$A$9:$D$40,MATCH(TEXT(A144,"dd"),Monthly_Pay_Model!$C$9:$C$39,0),4),INDEX(Monthly_Pay_Model!$A$9:$D$40,MATCH(TEXT(A145,"dd"),Monthly_Pay_Model!$C$9:$C$39,0),4)),IF(VLOOKUP(A143,Calendar!$A$1:$R$1377,18,0)=4,SUM(INDEX(Monthly_Pay_Model!$A$9:$D$40,MATCH(TEXT(A143,"dd"),Monthly_Pay_Model!$C$9:$C$39,0),4),INDEX(Monthly_Pay_Model!$A$9:$D$40,MATCH(TEXT(A144,"dd"),Monthly_Pay_Model!$C$9:$C$39,0),4),INDEX(Monthly_Pay_Model!$A$9:$D$40,MATCH(TEXT(A145,"dd"),Monthly_Pay_Model!$C$9:$C$39,0),4),INDEX(Monthly_Pay_Model!$A$9:$D$40,MATCH(TEXT(A146,"dd"),Monthly_Pay_Model!$C$9:$C$39,0),4)),IF(VLOOKUP(A143,Calendar!$A$1:$R$1377,18,0)=5,SUM(INDEX(Monthly_Pay_Model!$A$9:$D$40,MATCH(TEXT(A143,"dd"),Monthly_Pay_Model!$C$9:$C$39,0),4),INDEX(Monthly_Pay_Model!$A$9:$D$40,MATCH(TEXT(A144,"dd"),Monthly_Pay_Model!$C$9:$C$39,0),4),INDEX(Monthly_Pay_Model!$A$9:$D$40,MATCH(TEXT(A145,"dd"),Monthly_Pay_Model!$C$9:$C$39,0),4),INDEX(Monthly_Pay_Model!$A$9:$D$40,MATCH(TEXT(A146,"dd"),Monthly_Pay_Model!$C$9:$C$39,0),4),INDEX(Monthly_Pay_Model!$A$9:$D$40,MATCH(TEXT(A147,"dd"),Monthly_Pay_Model!$C$9:$C$39,0),4)),))))))</f>
        <v>0</v>
      </c>
      <c r="J143" s="33">
        <f>IF(C143="Yes",Monthly_Pay_Model!$D$2,0)
+IF(Calendar!N143="Yes",Monthly_Pay_Model!$D$3,0)
+IF(D143="Yes",Monthly_Pay_Model!$D$4,0)
+IF(E143="Yes",Monthly_Pay_Model!$D$5,0)</f>
        <v>0</v>
      </c>
      <c r="K143" s="27">
        <f>IF(VLOOKUP($A143,Calendar!$A$1:$R$1377,18,0)=0,0,IF(VLOOKUP($A143,Calendar!$A$1:$R$1377,18,0)=1,IFERROR(INDEX(Weekly_Model!$D$2:$D$9,MATCH(F143,Weekly_Model!$A$2:$A$9,0)),0),IF(VLOOKUP($A143,Calendar!$A$1:$R$1377,18,0)=2,SUM(IFERROR(INDEX(Weekly_Model!$D$2:$D$9,MATCH(F143,Weekly_Model!$A$2:$A$9,0)),0),IFERROR(INDEX(Weekly_Model!$D$2:$D$9,MATCH(F144,Weekly_Model!$A$2:$A$9,0)),0)),IF(VLOOKUP($A143,Calendar!$A$1:$R$1377,18,0)=3,SUM(IFERROR(INDEX(Weekly_Model!$D$2:$D$9,MATCH(F143,Weekly_Model!$A$2:$A$9,0)),0),IFERROR(INDEX(Weekly_Model!$D$2:$D$9,MATCH(F144,Weekly_Model!$A$2:$A$9,0)),0),IFERROR(INDEX(Weekly_Model!$D$2:$D$9,MATCH(F145,Weekly_Model!$A$2:$A$9,0)),0)),IF(VLOOKUP($A143,Calendar!$A$1:$R$1377,18,0)=4,SUM(IFERROR(INDEX(Weekly_Model!$D$2:$D$9,MATCH(F143,Weekly_Model!$A$2:$A$9,0)),0),IFERROR(INDEX(Weekly_Model!$D$2:$D$9,MATCH(F144,Weekly_Model!$A$2:$A$9,0)),0),IFERROR(INDEX(Weekly_Model!$D$2:$D$9,MATCH(F145,Weekly_Model!$A$2:$A$9,0)),0),IFERROR(INDEX(Weekly_Model!$D$2:$D$9,MATCH(F146,Weekly_Model!$A$2:$A$9,0)),0)),IF(VLOOKUP($A143,Calendar!$A$1:$R$1377,18,0)=5,SUM(IFERROR(INDEX(Weekly_Model!$D$2:$D$9,MATCH(F143,Weekly_Model!$A$2:$A$9,0)),0),IFERROR(INDEX(Weekly_Model!$D$2:$D$9,MATCH(F144,Weekly_Model!$A$2:$A$9,0)),0),IFERROR(INDEX(Weekly_Model!$D$2:$D$9,MATCH(F145,Weekly_Model!$A$2:$A$9,0)),0),IFERROR(INDEX(Weekly_Model!$D$2:$D$9,MATCH(F146,Weekly_Model!$A$2:$A$9,0)),0),IFERROR(INDEX(Weekly_Model!$D$2:$D$9,MATCH(F147,Weekly_Model!$A$2:$A$9,0)),0)),0))))))</f>
        <v>0</v>
      </c>
      <c r="L143" s="27">
        <f>IF(VLOOKUP($A143,Calendar!$A$1:$R$1377,18,0)=0,0,IF(VLOOKUP($A143,Calendar!$A$1:$R$1377,18,0)=1,IFERROR(INDEX(Fortnightly_Model!$D$2:$D$15,MATCH(G143,Fortnightly_Model!$B$2:$B$15,0)),0),IF(VLOOKUP($A143,Calendar!$A$1:$R$1377,18,0)=2,SUM(IFERROR(INDEX(Fortnightly_Model!$D$2:$D$15,MATCH(G143,Fortnightly_Model!$B$2:$B$15,0)),0),IFERROR(INDEX(Fortnightly_Model!$D$2:$D$15,MATCH(G144,Fortnightly_Model!$B$2:$B$15,0)),0)),IF(VLOOKUP($A143,Calendar!$A$1:$R$1377,18,0)=3,SUM(IFERROR(INDEX(Fortnightly_Model!$D$2:$D$15,MATCH(G143,Fortnightly_Model!$B$2:$B$15,0)),0),IFERROR(INDEX(Fortnightly_Model!$D$2:$D$15,MATCH(G144,Fortnightly_Model!$B$2:$B$15,0)),0),IFERROR(INDEX(Fortnightly_Model!$D$2:$D$15,MATCH(G145,Fortnightly_Model!$B$2:$B$15,0)),0)),IF(VLOOKUP($A143,Calendar!$A$1:$R$1377,18,0)=4,SUM(IFERROR(INDEX(Fortnightly_Model!$D$2:$D$15,MATCH(G143,Fortnightly_Model!$B$2:$B$15,0)),0),IFERROR(INDEX(Fortnightly_Model!$D$2:$D$15,MATCH(G144,Fortnightly_Model!$B$2:$B$15,0)),0),IFERROR(INDEX(Fortnightly_Model!$D$2:$D$15,MATCH(G145,Fortnightly_Model!$B$2:$B$15,0)),0),IFERROR(INDEX(Fortnightly_Model!$D$2:$D$15,MATCH(G146,Fortnightly_Model!$B$2:$B$15,0)),0)),IF(VLOOKUP($A143,Calendar!$A$1:$R$1377,18,0)=5,SUM(IFERROR(INDEX(Fortnightly_Model!$D$2:$D$15,MATCH(G143,Fortnightly_Model!$B$2:$B$15,0)),0),IFERROR(INDEX(Fortnightly_Model!$D$2:$D$15,MATCH(G144,Fortnightly_Model!$B$2:$B$15,0)),0),IFERROR(INDEX(Fortnightly_Model!$D$2:$D$15,MATCH(G145,Fortnightly_Model!$B$2:$B$15,0)),0),IFERROR(INDEX(Fortnightly_Model!$D$2:$D$15,MATCH(G146,Fortnightly_Model!$B$2:$B$15,0)),0),IFERROR(INDEX(Fortnightly_Model!$D$2:$D$15,MATCH(G147,Fortnightly_Model!$B$2:$B$15,0)),0)),0))))))</f>
        <v>0</v>
      </c>
      <c r="M143" s="27">
        <f>IF(VLOOKUP($A143,Calendar!$A$1:$R$1377,18,0)=0,0,IF(VLOOKUP($A143,Calendar!$A$1:$R$1377,18,0)=1,IFERROR(INDEX(FourWeekly_Model!$D$2:$D$29,MATCH(H143,FourWeekly_Model!$B$2:$B$29,0)),0),IF(VLOOKUP($A143,Calendar!$A$1:$R$1377,18,0)=2,SUM(IFERROR(INDEX(FourWeekly_Model!$D$2:$D$29,MATCH(H143,FourWeekly_Model!$B$2:$B$29,0)),0),IFERROR(INDEX(FourWeekly_Model!$D$2:$D$29,MATCH(H144,FourWeekly_Model!$B$2:$B$29,0)),0)),IF(VLOOKUP($A143,Calendar!$A$1:$R$1377,18,0)=3,SUM(IFERROR(INDEX(FourWeekly_Model!$D$2:$D$29,MATCH(H143,FourWeekly_Model!$B$2:$B$29,0)),0),IFERROR(INDEX(FourWeekly_Model!$D$2:$D$29,MATCH(H144,FourWeekly_Model!$B$2:$B$29,0)),0),IFERROR(INDEX(FourWeekly_Model!$D$2:$D$29,MATCH(H145,FourWeekly_Model!$B$2:$B$29,0)),0)),IF(VLOOKUP($A143,Calendar!$A$1:$R$1377,18,0)=4,SUM(IFERROR(INDEX(FourWeekly_Model!$D$2:$D$29,MATCH(H143,FourWeekly_Model!$B$2:$B$29,0)),0),IFERROR(INDEX(FourWeekly_Model!$D$2:$D$29,MATCH(H144,FourWeekly_Model!$B$2:$B$29,0)),0),IFERROR(INDEX(FourWeekly_Model!$D$2:$D$29,MATCH(H145,FourWeekly_Model!$B$2:$B$29,0)),0),IFERROR(INDEX(FourWeekly_Model!$D$2:$D$29,MATCH(H146,FourWeekly_Model!$B$2:$B$29,0)),0)),IF(VLOOKUP($A143,Calendar!$A$1:$R$1377,18,0)=5,SUM(IFERROR(INDEX(FourWeekly_Model!$D$2:$D$29,MATCH(H143,FourWeekly_Model!$B$2:$B$29,0)),0),IFERROR(INDEX(FourWeekly_Model!$D$2:$D$29,MATCH(H144,FourWeekly_Model!$B$2:$B$29,0)),0),IFERROR(INDEX(FourWeekly_Model!$D$2:$D$29,MATCH(H145,FourWeekly_Model!$B$2:$B$29,0)),0),IFERROR(INDEX(FourWeekly_Model!$D$2:$D$29,MATCH(H146,FourWeekly_Model!$B$2:$B$29,0)),0),IFERROR(INDEX(FourWeekly_Model!$D$2:$D$29,MATCH(H147,FourWeekly_Model!$B$2:$B$29,0)),0)),0))))))</f>
        <v>0</v>
      </c>
      <c r="N143" s="27">
        <f>SUM(I143:M143)</f>
        <v>0</v>
      </c>
      <c r="O143" s="28">
        <f>Population_Data!$B$8*N143</f>
        <v>0</v>
      </c>
      <c r="P143" s="27">
        <f>IF(VLOOKUP($A143,Calendar!$A$1:$R$1377,18,0)=0,0,IF(VLOOKUP($A143,Calendar!$A$1:$R$1377,18,0)=1,IFERROR(INDEX(Pension_Model!$D$2:$D$29,MATCH(H143,Pension_Model!$B$2:$B$29,0)),0),IF(VLOOKUP($A143,Calendar!$A$1:$R$1377,18,0)=2,SUM(IFERROR(INDEX(Pension_Model!$D$2:$D$29,MATCH(H143,Pension_Model!$B$2:$B$29,0)),0),IFERROR(INDEX(Pension_Model!$D$2:$D$29,MATCH(H144,Pension_Model!$B$2:$B$29,0)),0)),IF(VLOOKUP($A143,Calendar!$A$1:$R$1377,18,0)=3,SUM(IFERROR(INDEX(Pension_Model!$D$2:$D$29,MATCH(H143,Pension_Model!$B$2:$B$29,0)),0),IFERROR(INDEX(Pension_Model!$D$2:$D$29,MATCH(H144,Pension_Model!$B$2:$B$29,0)),0),IFERROR(INDEX(Pension_Model!$D$2:$D$29,MATCH(H145,Pension_Model!$B$2:$B$29,0)),0)),IF(VLOOKUP($A143,Calendar!$A$1:$R$1377,18,0)=4,SUM(IFERROR(INDEX(Pension_Model!$D$2:$D$29,MATCH(H143,Pension_Model!$B$2:$B$29,0)),0),IFERROR(INDEX(Pension_Model!$D$2:$D$29,MATCH(H144,Pension_Model!$B$2:$B$29,0)),0),IFERROR(INDEX(Pension_Model!$D$2:$D$29,MATCH(H145,Pension_Model!$B$2:$B$29,0)),0),IFERROR(INDEX(Pension_Model!$D$2:$D$29,MATCH(H146,Pension_Model!$B$2:$B$29,0)),0)),IF(VLOOKUP($A143,Calendar!$A$1:$R$1377,18,0)=5,SUM(IFERROR(INDEX(Pension_Model!$D$2:$D$29,MATCH(H143,Pension_Model!$B$2:$B$29,0)),0),IFERROR(INDEX(Pension_Model!$D$2:$D$29,MATCH(H144,Pension_Model!$B$2:$B$29,0)),0),IFERROR(INDEX(Pension_Model!$D$2:$D$29,MATCH(H145,Pension_Model!$B$2:$B$29,0)),0),IFERROR(INDEX(Pension_Model!$D$2:$D$29,MATCH(H146,Pension_Model!$B$2:$B$29,0)),0),IFERROR(INDEX(Pension_Model!$D$2:$D$29,MATCH(H147,Pension_Model!$B$2:$B$29,0)),0)),0))))))</f>
        <v>0</v>
      </c>
      <c r="Q143" s="28">
        <f>Population_Data!$B$15*P143</f>
        <v>0</v>
      </c>
      <c r="S143">
        <f t="shared" si="2"/>
        <v>0</v>
      </c>
      <c r="U143" s="33">
        <f>S143/Population_Data!$B$19</f>
        <v>0</v>
      </c>
    </row>
    <row r="144" spans="1:21">
      <c r="A144" s="25">
        <f>Calendar!A144</f>
        <v>46377</v>
      </c>
      <c r="B144" t="str">
        <f>Calendar!L144</f>
        <v>Yes</v>
      </c>
      <c r="C144" t="str">
        <f>Calendar!O144</f>
        <v>No</v>
      </c>
      <c r="D144" t="str">
        <f>Calendar!P144</f>
        <v>No</v>
      </c>
      <c r="E144" t="str">
        <f>Calendar!Q144</f>
        <v>No</v>
      </c>
      <c r="F144" t="str">
        <f>Calendar!I144</f>
        <v>Monday</v>
      </c>
      <c r="G144">
        <f>Calendar!S144</f>
        <v>9</v>
      </c>
      <c r="H144">
        <f>Calendar!T144</f>
        <v>9</v>
      </c>
      <c r="I144" s="27">
        <f>IF(VLOOKUP(A144,Calendar!$A$1:$R$1377,18,0)=0,0,IF(VLOOKUP(A144,Calendar!$A$1:$R$1377,18,0)=1,INDEX(Monthly_Pay_Model!$A$9:$D$40,MATCH(TEXT(A144,"dd"),Monthly_Pay_Model!$C$9:$C$39,0),4),IF(VLOOKUP(A144,Calendar!$A$1:$R$1377,18,0)=2,SUM(INDEX(Monthly_Pay_Model!$A$9:$D$40,MATCH(TEXT(A144,"dd"),Monthly_Pay_Model!$C$9:$C$39,0),4),INDEX(Monthly_Pay_Model!$A$9:$D$40,MATCH(TEXT(A145,"dd"),Monthly_Pay_Model!$C$9:$C$39,0),4)),IF(VLOOKUP(A144,Calendar!$A$1:$R$1377,18,0)=3,SUM(INDEX(Monthly_Pay_Model!$A$9:$D$40,MATCH(TEXT(A144,"dd"),Monthly_Pay_Model!$C$9:$C$39,0),4),INDEX(Monthly_Pay_Model!$A$9:$D$40,MATCH(TEXT(A145,"dd"),Monthly_Pay_Model!$C$9:$C$39,0),4),INDEX(Monthly_Pay_Model!$A$9:$D$40,MATCH(TEXT(A146,"dd"),Monthly_Pay_Model!$C$9:$C$39,0),4)),IF(VLOOKUP(A144,Calendar!$A$1:$R$1377,18,0)=4,SUM(INDEX(Monthly_Pay_Model!$A$9:$D$40,MATCH(TEXT(A144,"dd"),Monthly_Pay_Model!$C$9:$C$39,0),4),INDEX(Monthly_Pay_Model!$A$9:$D$40,MATCH(TEXT(A145,"dd"),Monthly_Pay_Model!$C$9:$C$39,0),4),INDEX(Monthly_Pay_Model!$A$9:$D$40,MATCH(TEXT(A146,"dd"),Monthly_Pay_Model!$C$9:$C$39,0),4),INDEX(Monthly_Pay_Model!$A$9:$D$40,MATCH(TEXT(A147,"dd"),Monthly_Pay_Model!$C$9:$C$39,0),4)),IF(VLOOKUP(A144,Calendar!$A$1:$R$1377,18,0)=5,SUM(INDEX(Monthly_Pay_Model!$A$9:$D$40,MATCH(TEXT(A144,"dd"),Monthly_Pay_Model!$C$9:$C$39,0),4),INDEX(Monthly_Pay_Model!$A$9:$D$40,MATCH(TEXT(A145,"dd"),Monthly_Pay_Model!$C$9:$C$39,0),4),INDEX(Monthly_Pay_Model!$A$9:$D$40,MATCH(TEXT(A146,"dd"),Monthly_Pay_Model!$C$9:$C$39,0),4),INDEX(Monthly_Pay_Model!$A$9:$D$40,MATCH(TEXT(A147,"dd"),Monthly_Pay_Model!$C$9:$C$39,0),4),INDEX(Monthly_Pay_Model!$A$9:$D$40,MATCH(TEXT(A148,"dd"),Monthly_Pay_Model!$C$9:$C$39,0),4)),))))))</f>
        <v>4.8753926701570662E-3</v>
      </c>
      <c r="J144" s="33">
        <f>IF(C144="Yes",Monthly_Pay_Model!$D$2,0)
+IF(Calendar!N144="Yes",Monthly_Pay_Model!$D$3,0)
+IF(D144="Yes",Monthly_Pay_Model!$D$4,0)
+IF(E144="Yes",Monthly_Pay_Model!$D$5,0)</f>
        <v>0</v>
      </c>
      <c r="K144" s="27">
        <f>IF(VLOOKUP($A144,Calendar!$A$1:$R$1377,18,0)=0,0,IF(VLOOKUP($A144,Calendar!$A$1:$R$1377,18,0)=1,IFERROR(INDEX(Weekly_Model!$D$2:$D$9,MATCH(F144,Weekly_Model!$A$2:$A$9,0)),0),IF(VLOOKUP($A144,Calendar!$A$1:$R$1377,18,0)=2,SUM(IFERROR(INDEX(Weekly_Model!$D$2:$D$9,MATCH(F144,Weekly_Model!$A$2:$A$9,0)),0),IFERROR(INDEX(Weekly_Model!$D$2:$D$9,MATCH(F145,Weekly_Model!$A$2:$A$9,0)),0)),IF(VLOOKUP($A144,Calendar!$A$1:$R$1377,18,0)=3,SUM(IFERROR(INDEX(Weekly_Model!$D$2:$D$9,MATCH(F144,Weekly_Model!$A$2:$A$9,0)),0),IFERROR(INDEX(Weekly_Model!$D$2:$D$9,MATCH(F145,Weekly_Model!$A$2:$A$9,0)),0),IFERROR(INDEX(Weekly_Model!$D$2:$D$9,MATCH(F146,Weekly_Model!$A$2:$A$9,0)),0)),IF(VLOOKUP($A144,Calendar!$A$1:$R$1377,18,0)=4,SUM(IFERROR(INDEX(Weekly_Model!$D$2:$D$9,MATCH(F144,Weekly_Model!$A$2:$A$9,0)),0),IFERROR(INDEX(Weekly_Model!$D$2:$D$9,MATCH(F145,Weekly_Model!$A$2:$A$9,0)),0),IFERROR(INDEX(Weekly_Model!$D$2:$D$9,MATCH(F146,Weekly_Model!$A$2:$A$9,0)),0),IFERROR(INDEX(Weekly_Model!$D$2:$D$9,MATCH(F147,Weekly_Model!$A$2:$A$9,0)),0)),IF(VLOOKUP($A144,Calendar!$A$1:$R$1377,18,0)=5,SUM(IFERROR(INDEX(Weekly_Model!$D$2:$D$9,MATCH(F144,Weekly_Model!$A$2:$A$9,0)),0),IFERROR(INDEX(Weekly_Model!$D$2:$D$9,MATCH(F145,Weekly_Model!$A$2:$A$9,0)),0),IFERROR(INDEX(Weekly_Model!$D$2:$D$9,MATCH(F146,Weekly_Model!$A$2:$A$9,0)),0),IFERROR(INDEX(Weekly_Model!$D$2:$D$9,MATCH(F147,Weekly_Model!$A$2:$A$9,0)),0),IFERROR(INDEX(Weekly_Model!$D$2:$D$9,MATCH(F148,Weekly_Model!$A$2:$A$9,0)),0)),0))))))</f>
        <v>2.3200000000000002E-2</v>
      </c>
      <c r="L144" s="27">
        <f>IF(VLOOKUP($A144,Calendar!$A$1:$R$1377,18,0)=0,0,IF(VLOOKUP($A144,Calendar!$A$1:$R$1377,18,0)=1,IFERROR(INDEX(Fortnightly_Model!$D$2:$D$15,MATCH(G144,Fortnightly_Model!$B$2:$B$15,0)),0),IF(VLOOKUP($A144,Calendar!$A$1:$R$1377,18,0)=2,SUM(IFERROR(INDEX(Fortnightly_Model!$D$2:$D$15,MATCH(G144,Fortnightly_Model!$B$2:$B$15,0)),0),IFERROR(INDEX(Fortnightly_Model!$D$2:$D$15,MATCH(G145,Fortnightly_Model!$B$2:$B$15,0)),0)),IF(VLOOKUP($A144,Calendar!$A$1:$R$1377,18,0)=3,SUM(IFERROR(INDEX(Fortnightly_Model!$D$2:$D$15,MATCH(G144,Fortnightly_Model!$B$2:$B$15,0)),0),IFERROR(INDEX(Fortnightly_Model!$D$2:$D$15,MATCH(G145,Fortnightly_Model!$B$2:$B$15,0)),0),IFERROR(INDEX(Fortnightly_Model!$D$2:$D$15,MATCH(G146,Fortnightly_Model!$B$2:$B$15,0)),0)),IF(VLOOKUP($A144,Calendar!$A$1:$R$1377,18,0)=4,SUM(IFERROR(INDEX(Fortnightly_Model!$D$2:$D$15,MATCH(G144,Fortnightly_Model!$B$2:$B$15,0)),0),IFERROR(INDEX(Fortnightly_Model!$D$2:$D$15,MATCH(G145,Fortnightly_Model!$B$2:$B$15,0)),0),IFERROR(INDEX(Fortnightly_Model!$D$2:$D$15,MATCH(G146,Fortnightly_Model!$B$2:$B$15,0)),0),IFERROR(INDEX(Fortnightly_Model!$D$2:$D$15,MATCH(G147,Fortnightly_Model!$B$2:$B$15,0)),0)),IF(VLOOKUP($A144,Calendar!$A$1:$R$1377,18,0)=5,SUM(IFERROR(INDEX(Fortnightly_Model!$D$2:$D$15,MATCH(G144,Fortnightly_Model!$B$2:$B$15,0)),0),IFERROR(INDEX(Fortnightly_Model!$D$2:$D$15,MATCH(G145,Fortnightly_Model!$B$2:$B$15,0)),0),IFERROR(INDEX(Fortnightly_Model!$D$2:$D$15,MATCH(G146,Fortnightly_Model!$B$2:$B$15,0)),0),IFERROR(INDEX(Fortnightly_Model!$D$2:$D$15,MATCH(G147,Fortnightly_Model!$B$2:$B$15,0)),0),IFERROR(INDEX(Fortnightly_Model!$D$2:$D$15,MATCH(G148,Fortnightly_Model!$B$2:$B$15,0)),0)),0))))))</f>
        <v>1.0714285499999999E-3</v>
      </c>
      <c r="M144" s="27">
        <f>IF(VLOOKUP($A144,Calendar!$A$1:$R$1377,18,0)=0,0,IF(VLOOKUP($A144,Calendar!$A$1:$R$1377,18,0)=1,IFERROR(INDEX(FourWeekly_Model!$D$2:$D$29,MATCH(H144,FourWeekly_Model!$B$2:$B$29,0)),0),IF(VLOOKUP($A144,Calendar!$A$1:$R$1377,18,0)=2,SUM(IFERROR(INDEX(FourWeekly_Model!$D$2:$D$29,MATCH(H144,FourWeekly_Model!$B$2:$B$29,0)),0),IFERROR(INDEX(FourWeekly_Model!$D$2:$D$29,MATCH(H145,FourWeekly_Model!$B$2:$B$29,0)),0)),IF(VLOOKUP($A144,Calendar!$A$1:$R$1377,18,0)=3,SUM(IFERROR(INDEX(FourWeekly_Model!$D$2:$D$29,MATCH(H144,FourWeekly_Model!$B$2:$B$29,0)),0),IFERROR(INDEX(FourWeekly_Model!$D$2:$D$29,MATCH(H145,FourWeekly_Model!$B$2:$B$29,0)),0),IFERROR(INDEX(FourWeekly_Model!$D$2:$D$29,MATCH(H146,FourWeekly_Model!$B$2:$B$29,0)),0)),IF(VLOOKUP($A144,Calendar!$A$1:$R$1377,18,0)=4,SUM(IFERROR(INDEX(FourWeekly_Model!$D$2:$D$29,MATCH(H144,FourWeekly_Model!$B$2:$B$29,0)),0),IFERROR(INDEX(FourWeekly_Model!$D$2:$D$29,MATCH(H145,FourWeekly_Model!$B$2:$B$29,0)),0),IFERROR(INDEX(FourWeekly_Model!$D$2:$D$29,MATCH(H146,FourWeekly_Model!$B$2:$B$29,0)),0),IFERROR(INDEX(FourWeekly_Model!$D$2:$D$29,MATCH(H147,FourWeekly_Model!$B$2:$B$29,0)),0)),IF(VLOOKUP($A144,Calendar!$A$1:$R$1377,18,0)=5,SUM(IFERROR(INDEX(FourWeekly_Model!$D$2:$D$29,MATCH(H144,FourWeekly_Model!$B$2:$B$29,0)),0),IFERROR(INDEX(FourWeekly_Model!$D$2:$D$29,MATCH(H145,FourWeekly_Model!$B$2:$B$29,0)),0),IFERROR(INDEX(FourWeekly_Model!$D$2:$D$29,MATCH(H146,FourWeekly_Model!$B$2:$B$29,0)),0),IFERROR(INDEX(FourWeekly_Model!$D$2:$D$29,MATCH(H147,FourWeekly_Model!$B$2:$B$29,0)),0),IFERROR(INDEX(FourWeekly_Model!$D$2:$D$29,MATCH(H148,FourWeekly_Model!$B$2:$B$29,0)),0)),0))))))</f>
        <v>3.3214289700000004E-3</v>
      </c>
      <c r="N144" s="27">
        <f>SUM(I144:M144)</f>
        <v>3.2468250190157068E-2</v>
      </c>
      <c r="O144" s="28">
        <f>Population_Data!$B$8*N144</f>
        <v>983787.9807617591</v>
      </c>
      <c r="P144" s="27">
        <f>IF(VLOOKUP($A144,Calendar!$A$1:$R$1377,18,0)=0,0,IF(VLOOKUP($A144,Calendar!$A$1:$R$1377,18,0)=1,IFERROR(INDEX(Pension_Model!$D$2:$D$29,MATCH(H144,Pension_Model!$B$2:$B$29,0)),0),IF(VLOOKUP($A144,Calendar!$A$1:$R$1377,18,0)=2,SUM(IFERROR(INDEX(Pension_Model!$D$2:$D$29,MATCH(H144,Pension_Model!$B$2:$B$29,0)),0),IFERROR(INDEX(Pension_Model!$D$2:$D$29,MATCH(H145,Pension_Model!$B$2:$B$29,0)),0)),IF(VLOOKUP($A144,Calendar!$A$1:$R$1377,18,0)=3,SUM(IFERROR(INDEX(Pension_Model!$D$2:$D$29,MATCH(H144,Pension_Model!$B$2:$B$29,0)),0),IFERROR(INDEX(Pension_Model!$D$2:$D$29,MATCH(H145,Pension_Model!$B$2:$B$29,0)),0),IFERROR(INDEX(Pension_Model!$D$2:$D$29,MATCH(H146,Pension_Model!$B$2:$B$29,0)),0)),IF(VLOOKUP($A144,Calendar!$A$1:$R$1377,18,0)=4,SUM(IFERROR(INDEX(Pension_Model!$D$2:$D$29,MATCH(H144,Pension_Model!$B$2:$B$29,0)),0),IFERROR(INDEX(Pension_Model!$D$2:$D$29,MATCH(H145,Pension_Model!$B$2:$B$29,0)),0),IFERROR(INDEX(Pension_Model!$D$2:$D$29,MATCH(H146,Pension_Model!$B$2:$B$29,0)),0),IFERROR(INDEX(Pension_Model!$D$2:$D$29,MATCH(H147,Pension_Model!$B$2:$B$29,0)),0)),IF(VLOOKUP($A144,Calendar!$A$1:$R$1377,18,0)=5,SUM(IFERROR(INDEX(Pension_Model!$D$2:$D$29,MATCH(H144,Pension_Model!$B$2:$B$29,0)),0),IFERROR(INDEX(Pension_Model!$D$2:$D$29,MATCH(H145,Pension_Model!$B$2:$B$29,0)),0),IFERROR(INDEX(Pension_Model!$D$2:$D$29,MATCH(H146,Pension_Model!$B$2:$B$29,0)),0),IFERROR(INDEX(Pension_Model!$D$2:$D$29,MATCH(H147,Pension_Model!$B$2:$B$29,0)),0),IFERROR(INDEX(Pension_Model!$D$2:$D$29,MATCH(H148,Pension_Model!$B$2:$B$29,0)),0)),0))))))</f>
        <v>0.05</v>
      </c>
      <c r="Q144" s="28">
        <f>Population_Data!$B$15*P144</f>
        <v>660600</v>
      </c>
      <c r="S144">
        <f t="shared" si="2"/>
        <v>1644387.980761759</v>
      </c>
      <c r="U144" s="33">
        <f>S144/Population_Data!$B$19</f>
        <v>2.9789637332640562E-2</v>
      </c>
    </row>
    <row r="145" spans="1:21">
      <c r="A145" s="25">
        <f>Calendar!A145</f>
        <v>46378</v>
      </c>
      <c r="B145" t="str">
        <f>Calendar!L145</f>
        <v>Yes</v>
      </c>
      <c r="C145" t="str">
        <f>Calendar!O145</f>
        <v>No</v>
      </c>
      <c r="D145" t="str">
        <f>Calendar!P145</f>
        <v>No</v>
      </c>
      <c r="E145" t="str">
        <f>Calendar!Q145</f>
        <v>No</v>
      </c>
      <c r="F145" t="str">
        <f>Calendar!I145</f>
        <v>Tuesday</v>
      </c>
      <c r="G145">
        <f>Calendar!S145</f>
        <v>10</v>
      </c>
      <c r="H145">
        <f>Calendar!T145</f>
        <v>10</v>
      </c>
      <c r="I145" s="27">
        <f>IF(VLOOKUP(A145,Calendar!$A$1:$R$1377,18,0)=0,0,IF(VLOOKUP(A145,Calendar!$A$1:$R$1377,18,0)=1,INDEX(Monthly_Pay_Model!$A$9:$D$40,MATCH(TEXT(A145,"dd"),Monthly_Pay_Model!$C$9:$C$39,0),4),IF(VLOOKUP(A145,Calendar!$A$1:$R$1377,18,0)=2,SUM(INDEX(Monthly_Pay_Model!$A$9:$D$40,MATCH(TEXT(A145,"dd"),Monthly_Pay_Model!$C$9:$C$39,0),4),INDEX(Monthly_Pay_Model!$A$9:$D$40,MATCH(TEXT(A146,"dd"),Monthly_Pay_Model!$C$9:$C$39,0),4)),IF(VLOOKUP(A145,Calendar!$A$1:$R$1377,18,0)=3,SUM(INDEX(Monthly_Pay_Model!$A$9:$D$40,MATCH(TEXT(A145,"dd"),Monthly_Pay_Model!$C$9:$C$39,0),4),INDEX(Monthly_Pay_Model!$A$9:$D$40,MATCH(TEXT(A146,"dd"),Monthly_Pay_Model!$C$9:$C$39,0),4),INDEX(Monthly_Pay_Model!$A$9:$D$40,MATCH(TEXT(A147,"dd"),Monthly_Pay_Model!$C$9:$C$39,0),4)),IF(VLOOKUP(A145,Calendar!$A$1:$R$1377,18,0)=4,SUM(INDEX(Monthly_Pay_Model!$A$9:$D$40,MATCH(TEXT(A145,"dd"),Monthly_Pay_Model!$C$9:$C$39,0),4),INDEX(Monthly_Pay_Model!$A$9:$D$40,MATCH(TEXT(A146,"dd"),Monthly_Pay_Model!$C$9:$C$39,0),4),INDEX(Monthly_Pay_Model!$A$9:$D$40,MATCH(TEXT(A147,"dd"),Monthly_Pay_Model!$C$9:$C$39,0),4),INDEX(Monthly_Pay_Model!$A$9:$D$40,MATCH(TEXT(A148,"dd"),Monthly_Pay_Model!$C$9:$C$39,0),4)),IF(VLOOKUP(A145,Calendar!$A$1:$R$1377,18,0)=5,SUM(INDEX(Monthly_Pay_Model!$A$9:$D$40,MATCH(TEXT(A145,"dd"),Monthly_Pay_Model!$C$9:$C$39,0),4),INDEX(Monthly_Pay_Model!$A$9:$D$40,MATCH(TEXT(A146,"dd"),Monthly_Pay_Model!$C$9:$C$39,0),4),INDEX(Monthly_Pay_Model!$A$9:$D$40,MATCH(TEXT(A147,"dd"),Monthly_Pay_Model!$C$9:$C$39,0),4),INDEX(Monthly_Pay_Model!$A$9:$D$40,MATCH(TEXT(A148,"dd"),Monthly_Pay_Model!$C$9:$C$39,0),4),INDEX(Monthly_Pay_Model!$A$9:$D$40,MATCH(TEXT(A149,"dd"),Monthly_Pay_Model!$C$9:$C$39,0),4)),))))))</f>
        <v>3.2502617801047117E-3</v>
      </c>
      <c r="J145" s="33">
        <f>IF(C145="Yes",Monthly_Pay_Model!$D$2,0)
+IF(Calendar!N145="Yes",Monthly_Pay_Model!$D$3,0)
+IF(D145="Yes",Monthly_Pay_Model!$D$4,0)
+IF(E145="Yes",Monthly_Pay_Model!$D$5,0)</f>
        <v>0</v>
      </c>
      <c r="K145" s="27">
        <f>IF(VLOOKUP($A145,Calendar!$A$1:$R$1377,18,0)=0,0,IF(VLOOKUP($A145,Calendar!$A$1:$R$1377,18,0)=1,IFERROR(INDEX(Weekly_Model!$D$2:$D$9,MATCH(F145,Weekly_Model!$A$2:$A$9,0)),0),IF(VLOOKUP($A145,Calendar!$A$1:$R$1377,18,0)=2,SUM(IFERROR(INDEX(Weekly_Model!$D$2:$D$9,MATCH(F145,Weekly_Model!$A$2:$A$9,0)),0),IFERROR(INDEX(Weekly_Model!$D$2:$D$9,MATCH(F146,Weekly_Model!$A$2:$A$9,0)),0)),IF(VLOOKUP($A145,Calendar!$A$1:$R$1377,18,0)=3,SUM(IFERROR(INDEX(Weekly_Model!$D$2:$D$9,MATCH(F145,Weekly_Model!$A$2:$A$9,0)),0),IFERROR(INDEX(Weekly_Model!$D$2:$D$9,MATCH(F146,Weekly_Model!$A$2:$A$9,0)),0),IFERROR(INDEX(Weekly_Model!$D$2:$D$9,MATCH(F147,Weekly_Model!$A$2:$A$9,0)),0)),IF(VLOOKUP($A145,Calendar!$A$1:$R$1377,18,0)=4,SUM(IFERROR(INDEX(Weekly_Model!$D$2:$D$9,MATCH(F145,Weekly_Model!$A$2:$A$9,0)),0),IFERROR(INDEX(Weekly_Model!$D$2:$D$9,MATCH(F146,Weekly_Model!$A$2:$A$9,0)),0),IFERROR(INDEX(Weekly_Model!$D$2:$D$9,MATCH(F147,Weekly_Model!$A$2:$A$9,0)),0),IFERROR(INDEX(Weekly_Model!$D$2:$D$9,MATCH(F148,Weekly_Model!$A$2:$A$9,0)),0)),IF(VLOOKUP($A145,Calendar!$A$1:$R$1377,18,0)=5,SUM(IFERROR(INDEX(Weekly_Model!$D$2:$D$9,MATCH(F145,Weekly_Model!$A$2:$A$9,0)),0),IFERROR(INDEX(Weekly_Model!$D$2:$D$9,MATCH(F146,Weekly_Model!$A$2:$A$9,0)),0),IFERROR(INDEX(Weekly_Model!$D$2:$D$9,MATCH(F147,Weekly_Model!$A$2:$A$9,0)),0),IFERROR(INDEX(Weekly_Model!$D$2:$D$9,MATCH(F148,Weekly_Model!$A$2:$A$9,0)),0),IFERROR(INDEX(Weekly_Model!$D$2:$D$9,MATCH(F149,Weekly_Model!$A$2:$A$9,0)),0)),0))))))</f>
        <v>2.3200000000000002E-2</v>
      </c>
      <c r="L145" s="27">
        <f>IF(VLOOKUP($A145,Calendar!$A$1:$R$1377,18,0)=0,0,IF(VLOOKUP($A145,Calendar!$A$1:$R$1377,18,0)=1,IFERROR(INDEX(Fortnightly_Model!$D$2:$D$15,MATCH(G145,Fortnightly_Model!$B$2:$B$15,0)),0),IF(VLOOKUP($A145,Calendar!$A$1:$R$1377,18,0)=2,SUM(IFERROR(INDEX(Fortnightly_Model!$D$2:$D$15,MATCH(G145,Fortnightly_Model!$B$2:$B$15,0)),0),IFERROR(INDEX(Fortnightly_Model!$D$2:$D$15,MATCH(G146,Fortnightly_Model!$B$2:$B$15,0)),0)),IF(VLOOKUP($A145,Calendar!$A$1:$R$1377,18,0)=3,SUM(IFERROR(INDEX(Fortnightly_Model!$D$2:$D$15,MATCH(G145,Fortnightly_Model!$B$2:$B$15,0)),0),IFERROR(INDEX(Fortnightly_Model!$D$2:$D$15,MATCH(G146,Fortnightly_Model!$B$2:$B$15,0)),0),IFERROR(INDEX(Fortnightly_Model!$D$2:$D$15,MATCH(G147,Fortnightly_Model!$B$2:$B$15,0)),0)),IF(VLOOKUP($A145,Calendar!$A$1:$R$1377,18,0)=4,SUM(IFERROR(INDEX(Fortnightly_Model!$D$2:$D$15,MATCH(G145,Fortnightly_Model!$B$2:$B$15,0)),0),IFERROR(INDEX(Fortnightly_Model!$D$2:$D$15,MATCH(G146,Fortnightly_Model!$B$2:$B$15,0)),0),IFERROR(INDEX(Fortnightly_Model!$D$2:$D$15,MATCH(G147,Fortnightly_Model!$B$2:$B$15,0)),0),IFERROR(INDEX(Fortnightly_Model!$D$2:$D$15,MATCH(G148,Fortnightly_Model!$B$2:$B$15,0)),0)),IF(VLOOKUP($A145,Calendar!$A$1:$R$1377,18,0)=5,SUM(IFERROR(INDEX(Fortnightly_Model!$D$2:$D$15,MATCH(G145,Fortnightly_Model!$B$2:$B$15,0)),0),IFERROR(INDEX(Fortnightly_Model!$D$2:$D$15,MATCH(G146,Fortnightly_Model!$B$2:$B$15,0)),0),IFERROR(INDEX(Fortnightly_Model!$D$2:$D$15,MATCH(G147,Fortnightly_Model!$B$2:$B$15,0)),0),IFERROR(INDEX(Fortnightly_Model!$D$2:$D$15,MATCH(G148,Fortnightly_Model!$B$2:$B$15,0)),0),IFERROR(INDEX(Fortnightly_Model!$D$2:$D$15,MATCH(G149,Fortnightly_Model!$B$2:$B$15,0)),0)),0))))))</f>
        <v>1.0714285499999999E-3</v>
      </c>
      <c r="M145" s="27">
        <f>IF(VLOOKUP($A145,Calendar!$A$1:$R$1377,18,0)=0,0,IF(VLOOKUP($A145,Calendar!$A$1:$R$1377,18,0)=1,IFERROR(INDEX(FourWeekly_Model!$D$2:$D$29,MATCH(H145,FourWeekly_Model!$B$2:$B$29,0)),0),IF(VLOOKUP($A145,Calendar!$A$1:$R$1377,18,0)=2,SUM(IFERROR(INDEX(FourWeekly_Model!$D$2:$D$29,MATCH(H145,FourWeekly_Model!$B$2:$B$29,0)),0),IFERROR(INDEX(FourWeekly_Model!$D$2:$D$29,MATCH(H146,FourWeekly_Model!$B$2:$B$29,0)),0)),IF(VLOOKUP($A145,Calendar!$A$1:$R$1377,18,0)=3,SUM(IFERROR(INDEX(FourWeekly_Model!$D$2:$D$29,MATCH(H145,FourWeekly_Model!$B$2:$B$29,0)),0),IFERROR(INDEX(FourWeekly_Model!$D$2:$D$29,MATCH(H146,FourWeekly_Model!$B$2:$B$29,0)),0),IFERROR(INDEX(FourWeekly_Model!$D$2:$D$29,MATCH(H147,FourWeekly_Model!$B$2:$B$29,0)),0)),IF(VLOOKUP($A145,Calendar!$A$1:$R$1377,18,0)=4,SUM(IFERROR(INDEX(FourWeekly_Model!$D$2:$D$29,MATCH(H145,FourWeekly_Model!$B$2:$B$29,0)),0),IFERROR(INDEX(FourWeekly_Model!$D$2:$D$29,MATCH(H146,FourWeekly_Model!$B$2:$B$29,0)),0),IFERROR(INDEX(FourWeekly_Model!$D$2:$D$29,MATCH(H147,FourWeekly_Model!$B$2:$B$29,0)),0),IFERROR(INDEX(FourWeekly_Model!$D$2:$D$29,MATCH(H148,FourWeekly_Model!$B$2:$B$29,0)),0)),IF(VLOOKUP($A145,Calendar!$A$1:$R$1377,18,0)=5,SUM(IFERROR(INDEX(FourWeekly_Model!$D$2:$D$29,MATCH(H145,FourWeekly_Model!$B$2:$B$29,0)),0),IFERROR(INDEX(FourWeekly_Model!$D$2:$D$29,MATCH(H146,FourWeekly_Model!$B$2:$B$29,0)),0),IFERROR(INDEX(FourWeekly_Model!$D$2:$D$29,MATCH(H147,FourWeekly_Model!$B$2:$B$29,0)),0),IFERROR(INDEX(FourWeekly_Model!$D$2:$D$29,MATCH(H148,FourWeekly_Model!$B$2:$B$29,0)),0),IFERROR(INDEX(FourWeekly_Model!$D$2:$D$29,MATCH(H149,FourWeekly_Model!$B$2:$B$29,0)),0)),0))))))</f>
        <v>3.3214289700000004E-3</v>
      </c>
      <c r="N145" s="27">
        <f>SUM(I145:M145)</f>
        <v>3.0843119300104714E-2</v>
      </c>
      <c r="O145" s="28">
        <f>Population_Data!$B$8*N145</f>
        <v>934546.51479317283</v>
      </c>
      <c r="P145" s="27">
        <f>IF(VLOOKUP($A145,Calendar!$A$1:$R$1377,18,0)=0,0,IF(VLOOKUP($A145,Calendar!$A$1:$R$1377,18,0)=1,IFERROR(INDEX(Pension_Model!$D$2:$D$29,MATCH(H145,Pension_Model!$B$2:$B$29,0)),0),IF(VLOOKUP($A145,Calendar!$A$1:$R$1377,18,0)=2,SUM(IFERROR(INDEX(Pension_Model!$D$2:$D$29,MATCH(H145,Pension_Model!$B$2:$B$29,0)),0),IFERROR(INDEX(Pension_Model!$D$2:$D$29,MATCH(H146,Pension_Model!$B$2:$B$29,0)),0)),IF(VLOOKUP($A145,Calendar!$A$1:$R$1377,18,0)=3,SUM(IFERROR(INDEX(Pension_Model!$D$2:$D$29,MATCH(H145,Pension_Model!$B$2:$B$29,0)),0),IFERROR(INDEX(Pension_Model!$D$2:$D$29,MATCH(H146,Pension_Model!$B$2:$B$29,0)),0),IFERROR(INDEX(Pension_Model!$D$2:$D$29,MATCH(H147,Pension_Model!$B$2:$B$29,0)),0)),IF(VLOOKUP($A145,Calendar!$A$1:$R$1377,18,0)=4,SUM(IFERROR(INDEX(Pension_Model!$D$2:$D$29,MATCH(H145,Pension_Model!$B$2:$B$29,0)),0),IFERROR(INDEX(Pension_Model!$D$2:$D$29,MATCH(H146,Pension_Model!$B$2:$B$29,0)),0),IFERROR(INDEX(Pension_Model!$D$2:$D$29,MATCH(H147,Pension_Model!$B$2:$B$29,0)),0),IFERROR(INDEX(Pension_Model!$D$2:$D$29,MATCH(H148,Pension_Model!$B$2:$B$29,0)),0)),IF(VLOOKUP($A145,Calendar!$A$1:$R$1377,18,0)=5,SUM(IFERROR(INDEX(Pension_Model!$D$2:$D$29,MATCH(H145,Pension_Model!$B$2:$B$29,0)),0),IFERROR(INDEX(Pension_Model!$D$2:$D$29,MATCH(H146,Pension_Model!$B$2:$B$29,0)),0),IFERROR(INDEX(Pension_Model!$D$2:$D$29,MATCH(H147,Pension_Model!$B$2:$B$29,0)),0),IFERROR(INDEX(Pension_Model!$D$2:$D$29,MATCH(H148,Pension_Model!$B$2:$B$29,0)),0),IFERROR(INDEX(Pension_Model!$D$2:$D$29,MATCH(H149,Pension_Model!$B$2:$B$29,0)),0)),0))))))</f>
        <v>0.05</v>
      </c>
      <c r="Q145" s="28">
        <f>Population_Data!$B$15*P145</f>
        <v>660600</v>
      </c>
      <c r="S145">
        <f t="shared" si="2"/>
        <v>1595146.5147931729</v>
      </c>
      <c r="U145" s="33">
        <f>S145/Population_Data!$B$19</f>
        <v>2.8897581789731393E-2</v>
      </c>
    </row>
    <row r="146" spans="1:21">
      <c r="A146" s="25">
        <f>Calendar!A146</f>
        <v>46379</v>
      </c>
      <c r="B146" t="str">
        <f>Calendar!L146</f>
        <v>Yes</v>
      </c>
      <c r="C146" t="str">
        <f>Calendar!O146</f>
        <v>No</v>
      </c>
      <c r="D146" t="str">
        <f>Calendar!P146</f>
        <v>No</v>
      </c>
      <c r="E146" t="str">
        <f>Calendar!Q146</f>
        <v>No</v>
      </c>
      <c r="F146" t="str">
        <f>Calendar!I146</f>
        <v>Wednesday</v>
      </c>
      <c r="G146">
        <f>Calendar!S146</f>
        <v>11</v>
      </c>
      <c r="H146">
        <f>Calendar!T146</f>
        <v>11</v>
      </c>
      <c r="I146" s="27">
        <f>IF(VLOOKUP(A146,Calendar!$A$1:$R$1377,18,0)=0,0,IF(VLOOKUP(A146,Calendar!$A$1:$R$1377,18,0)=1,INDEX(Monthly_Pay_Model!$A$9:$D$40,MATCH(TEXT(A146,"dd"),Monthly_Pay_Model!$C$9:$C$39,0),4),IF(VLOOKUP(A146,Calendar!$A$1:$R$1377,18,0)=2,SUM(INDEX(Monthly_Pay_Model!$A$9:$D$40,MATCH(TEXT(A146,"dd"),Monthly_Pay_Model!$C$9:$C$39,0),4),INDEX(Monthly_Pay_Model!$A$9:$D$40,MATCH(TEXT(A147,"dd"),Monthly_Pay_Model!$C$9:$C$39,0),4)),IF(VLOOKUP(A146,Calendar!$A$1:$R$1377,18,0)=3,SUM(INDEX(Monthly_Pay_Model!$A$9:$D$40,MATCH(TEXT(A146,"dd"),Monthly_Pay_Model!$C$9:$C$39,0),4),INDEX(Monthly_Pay_Model!$A$9:$D$40,MATCH(TEXT(A147,"dd"),Monthly_Pay_Model!$C$9:$C$39,0),4),INDEX(Monthly_Pay_Model!$A$9:$D$40,MATCH(TEXT(A148,"dd"),Monthly_Pay_Model!$C$9:$C$39,0),4)),IF(VLOOKUP(A146,Calendar!$A$1:$R$1377,18,0)=4,SUM(INDEX(Monthly_Pay_Model!$A$9:$D$40,MATCH(TEXT(A146,"dd"),Monthly_Pay_Model!$C$9:$C$39,0),4),INDEX(Monthly_Pay_Model!$A$9:$D$40,MATCH(TEXT(A147,"dd"),Monthly_Pay_Model!$C$9:$C$39,0),4),INDEX(Monthly_Pay_Model!$A$9:$D$40,MATCH(TEXT(A148,"dd"),Monthly_Pay_Model!$C$9:$C$39,0),4),INDEX(Monthly_Pay_Model!$A$9:$D$40,MATCH(TEXT(A149,"dd"),Monthly_Pay_Model!$C$9:$C$39,0),4)),IF(VLOOKUP(A146,Calendar!$A$1:$R$1377,18,0)=5,SUM(INDEX(Monthly_Pay_Model!$A$9:$D$40,MATCH(TEXT(A146,"dd"),Monthly_Pay_Model!$C$9:$C$39,0),4),INDEX(Monthly_Pay_Model!$A$9:$D$40,MATCH(TEXT(A147,"dd"),Monthly_Pay_Model!$C$9:$C$39,0),4),INDEX(Monthly_Pay_Model!$A$9:$D$40,MATCH(TEXT(A148,"dd"),Monthly_Pay_Model!$C$9:$C$39,0),4),INDEX(Monthly_Pay_Model!$A$9:$D$40,MATCH(TEXT(A149,"dd"),Monthly_Pay_Model!$C$9:$C$39,0),4),INDEX(Monthly_Pay_Model!$A$9:$D$40,MATCH(TEXT(A150,"dd"),Monthly_Pay_Model!$C$9:$C$39,0),4)),))))))</f>
        <v>4.0628272251308894E-3</v>
      </c>
      <c r="J146" s="33">
        <f>IF(C146="Yes",Monthly_Pay_Model!$D$2,0)
+IF(Calendar!N146="Yes",Monthly_Pay_Model!$D$3,0)
+IF(D146="Yes",Monthly_Pay_Model!$D$4,0)
+IF(E146="Yes",Monthly_Pay_Model!$D$5,0)</f>
        <v>0</v>
      </c>
      <c r="K146" s="27">
        <f>IF(VLOOKUP($A146,Calendar!$A$1:$R$1377,18,0)=0,0,IF(VLOOKUP($A146,Calendar!$A$1:$R$1377,18,0)=1,IFERROR(INDEX(Weekly_Model!$D$2:$D$9,MATCH(F146,Weekly_Model!$A$2:$A$9,0)),0),IF(VLOOKUP($A146,Calendar!$A$1:$R$1377,18,0)=2,SUM(IFERROR(INDEX(Weekly_Model!$D$2:$D$9,MATCH(F146,Weekly_Model!$A$2:$A$9,0)),0),IFERROR(INDEX(Weekly_Model!$D$2:$D$9,MATCH(F147,Weekly_Model!$A$2:$A$9,0)),0)),IF(VLOOKUP($A146,Calendar!$A$1:$R$1377,18,0)=3,SUM(IFERROR(INDEX(Weekly_Model!$D$2:$D$9,MATCH(F146,Weekly_Model!$A$2:$A$9,0)),0),IFERROR(INDEX(Weekly_Model!$D$2:$D$9,MATCH(F147,Weekly_Model!$A$2:$A$9,0)),0),IFERROR(INDEX(Weekly_Model!$D$2:$D$9,MATCH(F148,Weekly_Model!$A$2:$A$9,0)),0)),IF(VLOOKUP($A146,Calendar!$A$1:$R$1377,18,0)=4,SUM(IFERROR(INDEX(Weekly_Model!$D$2:$D$9,MATCH(F146,Weekly_Model!$A$2:$A$9,0)),0),IFERROR(INDEX(Weekly_Model!$D$2:$D$9,MATCH(F147,Weekly_Model!$A$2:$A$9,0)),0),IFERROR(INDEX(Weekly_Model!$D$2:$D$9,MATCH(F148,Weekly_Model!$A$2:$A$9,0)),0),IFERROR(INDEX(Weekly_Model!$D$2:$D$9,MATCH(F149,Weekly_Model!$A$2:$A$9,0)),0)),IF(VLOOKUP($A146,Calendar!$A$1:$R$1377,18,0)=5,SUM(IFERROR(INDEX(Weekly_Model!$D$2:$D$9,MATCH(F146,Weekly_Model!$A$2:$A$9,0)),0),IFERROR(INDEX(Weekly_Model!$D$2:$D$9,MATCH(F147,Weekly_Model!$A$2:$A$9,0)),0),IFERROR(INDEX(Weekly_Model!$D$2:$D$9,MATCH(F148,Weekly_Model!$A$2:$A$9,0)),0),IFERROR(INDEX(Weekly_Model!$D$2:$D$9,MATCH(F149,Weekly_Model!$A$2:$A$9,0)),0),IFERROR(INDEX(Weekly_Model!$D$2:$D$9,MATCH(F150,Weekly_Model!$A$2:$A$9,0)),0)),0))))))</f>
        <v>2.3200000000000002E-2</v>
      </c>
      <c r="L146" s="27">
        <f>IF(VLOOKUP($A146,Calendar!$A$1:$R$1377,18,0)=0,0,IF(VLOOKUP($A146,Calendar!$A$1:$R$1377,18,0)=1,IFERROR(INDEX(Fortnightly_Model!$D$2:$D$15,MATCH(G146,Fortnightly_Model!$B$2:$B$15,0)),0),IF(VLOOKUP($A146,Calendar!$A$1:$R$1377,18,0)=2,SUM(IFERROR(INDEX(Fortnightly_Model!$D$2:$D$15,MATCH(G146,Fortnightly_Model!$B$2:$B$15,0)),0),IFERROR(INDEX(Fortnightly_Model!$D$2:$D$15,MATCH(G147,Fortnightly_Model!$B$2:$B$15,0)),0)),IF(VLOOKUP($A146,Calendar!$A$1:$R$1377,18,0)=3,SUM(IFERROR(INDEX(Fortnightly_Model!$D$2:$D$15,MATCH(G146,Fortnightly_Model!$B$2:$B$15,0)),0),IFERROR(INDEX(Fortnightly_Model!$D$2:$D$15,MATCH(G147,Fortnightly_Model!$B$2:$B$15,0)),0),IFERROR(INDEX(Fortnightly_Model!$D$2:$D$15,MATCH(G148,Fortnightly_Model!$B$2:$B$15,0)),0)),IF(VLOOKUP($A146,Calendar!$A$1:$R$1377,18,0)=4,SUM(IFERROR(INDEX(Fortnightly_Model!$D$2:$D$15,MATCH(G146,Fortnightly_Model!$B$2:$B$15,0)),0),IFERROR(INDEX(Fortnightly_Model!$D$2:$D$15,MATCH(G147,Fortnightly_Model!$B$2:$B$15,0)),0),IFERROR(INDEX(Fortnightly_Model!$D$2:$D$15,MATCH(G148,Fortnightly_Model!$B$2:$B$15,0)),0),IFERROR(INDEX(Fortnightly_Model!$D$2:$D$15,MATCH(G149,Fortnightly_Model!$B$2:$B$15,0)),0)),IF(VLOOKUP($A146,Calendar!$A$1:$R$1377,18,0)=5,SUM(IFERROR(INDEX(Fortnightly_Model!$D$2:$D$15,MATCH(G146,Fortnightly_Model!$B$2:$B$15,0)),0),IFERROR(INDEX(Fortnightly_Model!$D$2:$D$15,MATCH(G147,Fortnightly_Model!$B$2:$B$15,0)),0),IFERROR(INDEX(Fortnightly_Model!$D$2:$D$15,MATCH(G148,Fortnightly_Model!$B$2:$B$15,0)),0),IFERROR(INDEX(Fortnightly_Model!$D$2:$D$15,MATCH(G149,Fortnightly_Model!$B$2:$B$15,0)),0),IFERROR(INDEX(Fortnightly_Model!$D$2:$D$15,MATCH(G150,Fortnightly_Model!$B$2:$B$15,0)),0)),0))))))</f>
        <v>1.0714285499999999E-3</v>
      </c>
      <c r="M146" s="27">
        <f>IF(VLOOKUP($A146,Calendar!$A$1:$R$1377,18,0)=0,0,IF(VLOOKUP($A146,Calendar!$A$1:$R$1377,18,0)=1,IFERROR(INDEX(FourWeekly_Model!$D$2:$D$29,MATCH(H146,FourWeekly_Model!$B$2:$B$29,0)),0),IF(VLOOKUP($A146,Calendar!$A$1:$R$1377,18,0)=2,SUM(IFERROR(INDEX(FourWeekly_Model!$D$2:$D$29,MATCH(H146,FourWeekly_Model!$B$2:$B$29,0)),0),IFERROR(INDEX(FourWeekly_Model!$D$2:$D$29,MATCH(H147,FourWeekly_Model!$B$2:$B$29,0)),0)),IF(VLOOKUP($A146,Calendar!$A$1:$R$1377,18,0)=3,SUM(IFERROR(INDEX(FourWeekly_Model!$D$2:$D$29,MATCH(H146,FourWeekly_Model!$B$2:$B$29,0)),0),IFERROR(INDEX(FourWeekly_Model!$D$2:$D$29,MATCH(H147,FourWeekly_Model!$B$2:$B$29,0)),0),IFERROR(INDEX(FourWeekly_Model!$D$2:$D$29,MATCH(H148,FourWeekly_Model!$B$2:$B$29,0)),0)),IF(VLOOKUP($A146,Calendar!$A$1:$R$1377,18,0)=4,SUM(IFERROR(INDEX(FourWeekly_Model!$D$2:$D$29,MATCH(H146,FourWeekly_Model!$B$2:$B$29,0)),0),IFERROR(INDEX(FourWeekly_Model!$D$2:$D$29,MATCH(H147,FourWeekly_Model!$B$2:$B$29,0)),0),IFERROR(INDEX(FourWeekly_Model!$D$2:$D$29,MATCH(H148,FourWeekly_Model!$B$2:$B$29,0)),0),IFERROR(INDEX(FourWeekly_Model!$D$2:$D$29,MATCH(H149,FourWeekly_Model!$B$2:$B$29,0)),0)),IF(VLOOKUP($A146,Calendar!$A$1:$R$1377,18,0)=5,SUM(IFERROR(INDEX(FourWeekly_Model!$D$2:$D$29,MATCH(H146,FourWeekly_Model!$B$2:$B$29,0)),0),IFERROR(INDEX(FourWeekly_Model!$D$2:$D$29,MATCH(H147,FourWeekly_Model!$B$2:$B$29,0)),0),IFERROR(INDEX(FourWeekly_Model!$D$2:$D$29,MATCH(H148,FourWeekly_Model!$B$2:$B$29,0)),0),IFERROR(INDEX(FourWeekly_Model!$D$2:$D$29,MATCH(H149,FourWeekly_Model!$B$2:$B$29,0)),0),IFERROR(INDEX(FourWeekly_Model!$D$2:$D$29,MATCH(H150,FourWeekly_Model!$B$2:$B$29,0)),0)),0))))))</f>
        <v>3.3214289700000004E-3</v>
      </c>
      <c r="N146" s="27">
        <f>SUM(I146:M146)</f>
        <v>3.1655684745130891E-2</v>
      </c>
      <c r="O146" s="28">
        <f>Population_Data!$B$8*N146</f>
        <v>959167.24777746596</v>
      </c>
      <c r="P146" s="27">
        <f>IF(VLOOKUP($A146,Calendar!$A$1:$R$1377,18,0)=0,0,IF(VLOOKUP($A146,Calendar!$A$1:$R$1377,18,0)=1,IFERROR(INDEX(Pension_Model!$D$2:$D$29,MATCH(H146,Pension_Model!$B$2:$B$29,0)),0),IF(VLOOKUP($A146,Calendar!$A$1:$R$1377,18,0)=2,SUM(IFERROR(INDEX(Pension_Model!$D$2:$D$29,MATCH(H146,Pension_Model!$B$2:$B$29,0)),0),IFERROR(INDEX(Pension_Model!$D$2:$D$29,MATCH(H147,Pension_Model!$B$2:$B$29,0)),0)),IF(VLOOKUP($A146,Calendar!$A$1:$R$1377,18,0)=3,SUM(IFERROR(INDEX(Pension_Model!$D$2:$D$29,MATCH(H146,Pension_Model!$B$2:$B$29,0)),0),IFERROR(INDEX(Pension_Model!$D$2:$D$29,MATCH(H147,Pension_Model!$B$2:$B$29,0)),0),IFERROR(INDEX(Pension_Model!$D$2:$D$29,MATCH(H148,Pension_Model!$B$2:$B$29,0)),0)),IF(VLOOKUP($A146,Calendar!$A$1:$R$1377,18,0)=4,SUM(IFERROR(INDEX(Pension_Model!$D$2:$D$29,MATCH(H146,Pension_Model!$B$2:$B$29,0)),0),IFERROR(INDEX(Pension_Model!$D$2:$D$29,MATCH(H147,Pension_Model!$B$2:$B$29,0)),0),IFERROR(INDEX(Pension_Model!$D$2:$D$29,MATCH(H148,Pension_Model!$B$2:$B$29,0)),0),IFERROR(INDEX(Pension_Model!$D$2:$D$29,MATCH(H149,Pension_Model!$B$2:$B$29,0)),0)),IF(VLOOKUP($A146,Calendar!$A$1:$R$1377,18,0)=5,SUM(IFERROR(INDEX(Pension_Model!$D$2:$D$29,MATCH(H146,Pension_Model!$B$2:$B$29,0)),0),IFERROR(INDEX(Pension_Model!$D$2:$D$29,MATCH(H147,Pension_Model!$B$2:$B$29,0)),0),IFERROR(INDEX(Pension_Model!$D$2:$D$29,MATCH(H148,Pension_Model!$B$2:$B$29,0)),0),IFERROR(INDEX(Pension_Model!$D$2:$D$29,MATCH(H149,Pension_Model!$B$2:$B$29,0)),0),IFERROR(INDEX(Pension_Model!$D$2:$D$29,MATCH(H150,Pension_Model!$B$2:$B$29,0)),0)),0))))))</f>
        <v>0.05</v>
      </c>
      <c r="Q146" s="28">
        <f>Population_Data!$B$15*P146</f>
        <v>660600</v>
      </c>
      <c r="S146">
        <f t="shared" si="2"/>
        <v>1619767.247777466</v>
      </c>
      <c r="U146" s="33">
        <f>S146/Population_Data!$B$19</f>
        <v>2.9343609561185979E-2</v>
      </c>
    </row>
    <row r="147" spans="1:21">
      <c r="A147" s="25">
        <f>Calendar!A147</f>
        <v>46380</v>
      </c>
      <c r="B147" t="str">
        <f>Calendar!L147</f>
        <v>Yes</v>
      </c>
      <c r="C147" t="str">
        <f>Calendar!O147</f>
        <v>No</v>
      </c>
      <c r="D147" t="str">
        <f>Calendar!P147</f>
        <v>No</v>
      </c>
      <c r="E147" t="str">
        <f>Calendar!Q147</f>
        <v>No</v>
      </c>
      <c r="F147" t="str">
        <f>Calendar!I147</f>
        <v>Thursday</v>
      </c>
      <c r="G147">
        <f>Calendar!S147</f>
        <v>12</v>
      </c>
      <c r="H147">
        <f>Calendar!T147</f>
        <v>12</v>
      </c>
      <c r="I147" s="27">
        <f>IF(VLOOKUP(A147,Calendar!$A$1:$R$1377,18,0)=0,0,IF(VLOOKUP(A147,Calendar!$A$1:$R$1377,18,0)=1,INDEX(Monthly_Pay_Model!$A$9:$D$40,MATCH(TEXT(A147,"dd"),Monthly_Pay_Model!$C$9:$C$39,0),4),IF(VLOOKUP(A147,Calendar!$A$1:$R$1377,18,0)=2,SUM(INDEX(Monthly_Pay_Model!$A$9:$D$40,MATCH(TEXT(A147,"dd"),Monthly_Pay_Model!$C$9:$C$39,0),4),INDEX(Monthly_Pay_Model!$A$9:$D$40,MATCH(TEXT(A148,"dd"),Monthly_Pay_Model!$C$9:$C$39,0),4)),IF(VLOOKUP(A147,Calendar!$A$1:$R$1377,18,0)=3,SUM(INDEX(Monthly_Pay_Model!$A$9:$D$40,MATCH(TEXT(A147,"dd"),Monthly_Pay_Model!$C$9:$C$39,0),4),INDEX(Monthly_Pay_Model!$A$9:$D$40,MATCH(TEXT(A148,"dd"),Monthly_Pay_Model!$C$9:$C$39,0),4),INDEX(Monthly_Pay_Model!$A$9:$D$40,MATCH(TEXT(A149,"dd"),Monthly_Pay_Model!$C$9:$C$39,0),4)),IF(VLOOKUP(A147,Calendar!$A$1:$R$1377,18,0)=4,SUM(INDEX(Monthly_Pay_Model!$A$9:$D$40,MATCH(TEXT(A147,"dd"),Monthly_Pay_Model!$C$9:$C$39,0),4),INDEX(Monthly_Pay_Model!$A$9:$D$40,MATCH(TEXT(A148,"dd"),Monthly_Pay_Model!$C$9:$C$39,0),4),INDEX(Monthly_Pay_Model!$A$9:$D$40,MATCH(TEXT(A149,"dd"),Monthly_Pay_Model!$C$9:$C$39,0),4),INDEX(Monthly_Pay_Model!$A$9:$D$40,MATCH(TEXT(A150,"dd"),Monthly_Pay_Model!$C$9:$C$39,0),4)),IF(VLOOKUP(A147,Calendar!$A$1:$R$1377,18,0)=5,SUM(INDEX(Monthly_Pay_Model!$A$9:$D$40,MATCH(TEXT(A147,"dd"),Monthly_Pay_Model!$C$9:$C$39,0),4),INDEX(Monthly_Pay_Model!$A$9:$D$40,MATCH(TEXT(A148,"dd"),Monthly_Pay_Model!$C$9:$C$39,0),4),INDEX(Monthly_Pay_Model!$A$9:$D$40,MATCH(TEXT(A149,"dd"),Monthly_Pay_Model!$C$9:$C$39,0),4),INDEX(Monthly_Pay_Model!$A$9:$D$40,MATCH(TEXT(A150,"dd"),Monthly_Pay_Model!$C$9:$C$39,0),4),INDEX(Monthly_Pay_Model!$A$9:$D$40,MATCH(TEXT(A151,"dd"),Monthly_Pay_Model!$C$9:$C$39,0),4)),))))))</f>
        <v>6.9880628272251291E-2</v>
      </c>
      <c r="J147" s="33">
        <f>IF(C147="Yes",Monthly_Pay_Model!$D$2,0)
+IF(Calendar!N147="Yes",Monthly_Pay_Model!$D$3,0)
+IF(D147="Yes",Monthly_Pay_Model!$D$4,0)
+IF(E147="Yes",Monthly_Pay_Model!$D$5,0)</f>
        <v>0</v>
      </c>
      <c r="K147" s="27">
        <f>IF(VLOOKUP($A147,Calendar!$A$1:$R$1377,18,0)=0,0,IF(VLOOKUP($A147,Calendar!$A$1:$R$1377,18,0)=1,IFERROR(INDEX(Weekly_Model!$D$2:$D$9,MATCH(F147,Weekly_Model!$A$2:$A$9,0)),0),IF(VLOOKUP($A147,Calendar!$A$1:$R$1377,18,0)=2,SUM(IFERROR(INDEX(Weekly_Model!$D$2:$D$9,MATCH(F147,Weekly_Model!$A$2:$A$9,0)),0),IFERROR(INDEX(Weekly_Model!$D$2:$D$9,MATCH(F148,Weekly_Model!$A$2:$A$9,0)),0)),IF(VLOOKUP($A147,Calendar!$A$1:$R$1377,18,0)=3,SUM(IFERROR(INDEX(Weekly_Model!$D$2:$D$9,MATCH(F147,Weekly_Model!$A$2:$A$9,0)),0),IFERROR(INDEX(Weekly_Model!$D$2:$D$9,MATCH(F148,Weekly_Model!$A$2:$A$9,0)),0),IFERROR(INDEX(Weekly_Model!$D$2:$D$9,MATCH(F149,Weekly_Model!$A$2:$A$9,0)),0)),IF(VLOOKUP($A147,Calendar!$A$1:$R$1377,18,0)=4,SUM(IFERROR(INDEX(Weekly_Model!$D$2:$D$9,MATCH(F147,Weekly_Model!$A$2:$A$9,0)),0),IFERROR(INDEX(Weekly_Model!$D$2:$D$9,MATCH(F148,Weekly_Model!$A$2:$A$9,0)),0),IFERROR(INDEX(Weekly_Model!$D$2:$D$9,MATCH(F149,Weekly_Model!$A$2:$A$9,0)),0),IFERROR(INDEX(Weekly_Model!$D$2:$D$9,MATCH(F150,Weekly_Model!$A$2:$A$9,0)),0)),IF(VLOOKUP($A147,Calendar!$A$1:$R$1377,18,0)=5,SUM(IFERROR(INDEX(Weekly_Model!$D$2:$D$9,MATCH(F147,Weekly_Model!$A$2:$A$9,0)),0),IFERROR(INDEX(Weekly_Model!$D$2:$D$9,MATCH(F148,Weekly_Model!$A$2:$A$9,0)),0),IFERROR(INDEX(Weekly_Model!$D$2:$D$9,MATCH(F149,Weekly_Model!$A$2:$A$9,0)),0),IFERROR(INDEX(Weekly_Model!$D$2:$D$9,MATCH(F150,Weekly_Model!$A$2:$A$9,0)),0),IFERROR(INDEX(Weekly_Model!$D$2:$D$9,MATCH(F151,Weekly_Model!$A$2:$A$9,0)),0)),0))))))</f>
        <v>6.9600000000000009E-2</v>
      </c>
      <c r="L147" s="27">
        <f>IF(VLOOKUP($A147,Calendar!$A$1:$R$1377,18,0)=0,0,IF(VLOOKUP($A147,Calendar!$A$1:$R$1377,18,0)=1,IFERROR(INDEX(Fortnightly_Model!$D$2:$D$15,MATCH(G147,Fortnightly_Model!$B$2:$B$15,0)),0),IF(VLOOKUP($A147,Calendar!$A$1:$R$1377,18,0)=2,SUM(IFERROR(INDEX(Fortnightly_Model!$D$2:$D$15,MATCH(G147,Fortnightly_Model!$B$2:$B$15,0)),0),IFERROR(INDEX(Fortnightly_Model!$D$2:$D$15,MATCH(G148,Fortnightly_Model!$B$2:$B$15,0)),0)),IF(VLOOKUP($A147,Calendar!$A$1:$R$1377,18,0)=3,SUM(IFERROR(INDEX(Fortnightly_Model!$D$2:$D$15,MATCH(G147,Fortnightly_Model!$B$2:$B$15,0)),0),IFERROR(INDEX(Fortnightly_Model!$D$2:$D$15,MATCH(G148,Fortnightly_Model!$B$2:$B$15,0)),0),IFERROR(INDEX(Fortnightly_Model!$D$2:$D$15,MATCH(G149,Fortnightly_Model!$B$2:$B$15,0)),0)),IF(VLOOKUP($A147,Calendar!$A$1:$R$1377,18,0)=4,SUM(IFERROR(INDEX(Fortnightly_Model!$D$2:$D$15,MATCH(G147,Fortnightly_Model!$B$2:$B$15,0)),0),IFERROR(INDEX(Fortnightly_Model!$D$2:$D$15,MATCH(G148,Fortnightly_Model!$B$2:$B$15,0)),0),IFERROR(INDEX(Fortnightly_Model!$D$2:$D$15,MATCH(G149,Fortnightly_Model!$B$2:$B$15,0)),0),IFERROR(INDEX(Fortnightly_Model!$D$2:$D$15,MATCH(G150,Fortnightly_Model!$B$2:$B$15,0)),0)),IF(VLOOKUP($A147,Calendar!$A$1:$R$1377,18,0)=5,SUM(IFERROR(INDEX(Fortnightly_Model!$D$2:$D$15,MATCH(G147,Fortnightly_Model!$B$2:$B$15,0)),0),IFERROR(INDEX(Fortnightly_Model!$D$2:$D$15,MATCH(G148,Fortnightly_Model!$B$2:$B$15,0)),0),IFERROR(INDEX(Fortnightly_Model!$D$2:$D$15,MATCH(G149,Fortnightly_Model!$B$2:$B$15,0)),0),IFERROR(INDEX(Fortnightly_Model!$D$2:$D$15,MATCH(G150,Fortnightly_Model!$B$2:$B$15,0)),0),IFERROR(INDEX(Fortnightly_Model!$D$2:$D$15,MATCH(G151,Fortnightly_Model!$B$2:$B$15,0)),0)),0))))))</f>
        <v>5.3571427499999992E-3</v>
      </c>
      <c r="M147" s="27">
        <f>IF(VLOOKUP($A147,Calendar!$A$1:$R$1377,18,0)=0,0,IF(VLOOKUP($A147,Calendar!$A$1:$R$1377,18,0)=1,IFERROR(INDEX(FourWeekly_Model!$D$2:$D$29,MATCH(H147,FourWeekly_Model!$B$2:$B$29,0)),0),IF(VLOOKUP($A147,Calendar!$A$1:$R$1377,18,0)=2,SUM(IFERROR(INDEX(FourWeekly_Model!$D$2:$D$29,MATCH(H147,FourWeekly_Model!$B$2:$B$29,0)),0),IFERROR(INDEX(FourWeekly_Model!$D$2:$D$29,MATCH(H148,FourWeekly_Model!$B$2:$B$29,0)),0)),IF(VLOOKUP($A147,Calendar!$A$1:$R$1377,18,0)=3,SUM(IFERROR(INDEX(FourWeekly_Model!$D$2:$D$29,MATCH(H147,FourWeekly_Model!$B$2:$B$29,0)),0),IFERROR(INDEX(FourWeekly_Model!$D$2:$D$29,MATCH(H148,FourWeekly_Model!$B$2:$B$29,0)),0),IFERROR(INDEX(FourWeekly_Model!$D$2:$D$29,MATCH(H149,FourWeekly_Model!$B$2:$B$29,0)),0)),IF(VLOOKUP($A147,Calendar!$A$1:$R$1377,18,0)=4,SUM(IFERROR(INDEX(FourWeekly_Model!$D$2:$D$29,MATCH(H147,FourWeekly_Model!$B$2:$B$29,0)),0),IFERROR(INDEX(FourWeekly_Model!$D$2:$D$29,MATCH(H148,FourWeekly_Model!$B$2:$B$29,0)),0),IFERROR(INDEX(FourWeekly_Model!$D$2:$D$29,MATCH(H149,FourWeekly_Model!$B$2:$B$29,0)),0),IFERROR(INDEX(FourWeekly_Model!$D$2:$D$29,MATCH(H150,FourWeekly_Model!$B$2:$B$29,0)),0)),IF(VLOOKUP($A147,Calendar!$A$1:$R$1377,18,0)=5,SUM(IFERROR(INDEX(FourWeekly_Model!$D$2:$D$29,MATCH(H147,FourWeekly_Model!$B$2:$B$29,0)),0),IFERROR(INDEX(FourWeekly_Model!$D$2:$D$29,MATCH(H148,FourWeekly_Model!$B$2:$B$29,0)),0),IFERROR(INDEX(FourWeekly_Model!$D$2:$D$29,MATCH(H149,FourWeekly_Model!$B$2:$B$29,0)),0),IFERROR(INDEX(FourWeekly_Model!$D$2:$D$29,MATCH(H150,FourWeekly_Model!$B$2:$B$29,0)),0),IFERROR(INDEX(FourWeekly_Model!$D$2:$D$29,MATCH(H151,FourWeekly_Model!$B$2:$B$29,0)),0)),0))))))</f>
        <v>1.6607143920000001E-2</v>
      </c>
      <c r="N147" s="27">
        <f>SUM(I147:M147)</f>
        <v>0.1614449149422513</v>
      </c>
      <c r="O147" s="28">
        <f>Population_Data!$B$8*N147</f>
        <v>4891780.9227502141</v>
      </c>
      <c r="P147" s="27">
        <f>IF(VLOOKUP($A147,Calendar!$A$1:$R$1377,18,0)=0,0,IF(VLOOKUP($A147,Calendar!$A$1:$R$1377,18,0)=1,IFERROR(INDEX(Pension_Model!$D$2:$D$29,MATCH(H147,Pension_Model!$B$2:$B$29,0)),0),IF(VLOOKUP($A147,Calendar!$A$1:$R$1377,18,0)=2,SUM(IFERROR(INDEX(Pension_Model!$D$2:$D$29,MATCH(H147,Pension_Model!$B$2:$B$29,0)),0),IFERROR(INDEX(Pension_Model!$D$2:$D$29,MATCH(H148,Pension_Model!$B$2:$B$29,0)),0)),IF(VLOOKUP($A147,Calendar!$A$1:$R$1377,18,0)=3,SUM(IFERROR(INDEX(Pension_Model!$D$2:$D$29,MATCH(H147,Pension_Model!$B$2:$B$29,0)),0),IFERROR(INDEX(Pension_Model!$D$2:$D$29,MATCH(H148,Pension_Model!$B$2:$B$29,0)),0),IFERROR(INDEX(Pension_Model!$D$2:$D$29,MATCH(H149,Pension_Model!$B$2:$B$29,0)),0)),IF(VLOOKUP($A147,Calendar!$A$1:$R$1377,18,0)=4,SUM(IFERROR(INDEX(Pension_Model!$D$2:$D$29,MATCH(H147,Pension_Model!$B$2:$B$29,0)),0),IFERROR(INDEX(Pension_Model!$D$2:$D$29,MATCH(H148,Pension_Model!$B$2:$B$29,0)),0),IFERROR(INDEX(Pension_Model!$D$2:$D$29,MATCH(H149,Pension_Model!$B$2:$B$29,0)),0),IFERROR(INDEX(Pension_Model!$D$2:$D$29,MATCH(H150,Pension_Model!$B$2:$B$29,0)),0)),IF(VLOOKUP($A147,Calendar!$A$1:$R$1377,18,0)=5,SUM(IFERROR(INDEX(Pension_Model!$D$2:$D$29,MATCH(H147,Pension_Model!$B$2:$B$29,0)),0),IFERROR(INDEX(Pension_Model!$D$2:$D$29,MATCH(H148,Pension_Model!$B$2:$B$29,0)),0),IFERROR(INDEX(Pension_Model!$D$2:$D$29,MATCH(H149,Pension_Model!$B$2:$B$29,0)),0),IFERROR(INDEX(Pension_Model!$D$2:$D$29,MATCH(H150,Pension_Model!$B$2:$B$29,0)),0),IFERROR(INDEX(Pension_Model!$D$2:$D$29,MATCH(H151,Pension_Model!$B$2:$B$29,0)),0)),0))))))</f>
        <v>0.15000000000000002</v>
      </c>
      <c r="Q147" s="28">
        <f>Population_Data!$B$15*P147</f>
        <v>1981800.0000000002</v>
      </c>
      <c r="S147">
        <f t="shared" si="2"/>
        <v>6873580.9227502141</v>
      </c>
      <c r="U147" s="33">
        <f>S147/Population_Data!$B$19</f>
        <v>0.12452139352808358</v>
      </c>
    </row>
    <row r="148" spans="1:21">
      <c r="A148" s="25">
        <f>Calendar!A148</f>
        <v>46381</v>
      </c>
      <c r="B148" t="str">
        <f>Calendar!L148</f>
        <v>No</v>
      </c>
      <c r="C148" t="str">
        <f>Calendar!O148</f>
        <v>No</v>
      </c>
      <c r="D148" t="str">
        <f>Calendar!P148</f>
        <v>Yes</v>
      </c>
      <c r="E148" t="str">
        <f>Calendar!Q148</f>
        <v>No</v>
      </c>
      <c r="F148" t="str">
        <f>Calendar!I148</f>
        <v>Friday</v>
      </c>
      <c r="G148">
        <f>Calendar!S148</f>
        <v>13</v>
      </c>
      <c r="H148">
        <f>Calendar!T148</f>
        <v>13</v>
      </c>
      <c r="I148" s="27">
        <f>IF(VLOOKUP(A148,Calendar!$A$1:$R$1377,18,0)=0,0,IF(VLOOKUP(A148,Calendar!$A$1:$R$1377,18,0)=1,INDEX(Monthly_Pay_Model!$A$9:$D$40,MATCH(TEXT(A148,"dd"),Monthly_Pay_Model!$C$9:$C$39,0),4),IF(VLOOKUP(A148,Calendar!$A$1:$R$1377,18,0)=2,SUM(INDEX(Monthly_Pay_Model!$A$9:$D$40,MATCH(TEXT(A148,"dd"),Monthly_Pay_Model!$C$9:$C$39,0),4),INDEX(Monthly_Pay_Model!$A$9:$D$40,MATCH(TEXT(A149,"dd"),Monthly_Pay_Model!$C$9:$C$39,0),4)),IF(VLOOKUP(A148,Calendar!$A$1:$R$1377,18,0)=3,SUM(INDEX(Monthly_Pay_Model!$A$9:$D$40,MATCH(TEXT(A148,"dd"),Monthly_Pay_Model!$C$9:$C$39,0),4),INDEX(Monthly_Pay_Model!$A$9:$D$40,MATCH(TEXT(A149,"dd"),Monthly_Pay_Model!$C$9:$C$39,0),4),INDEX(Monthly_Pay_Model!$A$9:$D$40,MATCH(TEXT(A150,"dd"),Monthly_Pay_Model!$C$9:$C$39,0),4)),IF(VLOOKUP(A148,Calendar!$A$1:$R$1377,18,0)=4,SUM(INDEX(Monthly_Pay_Model!$A$9:$D$40,MATCH(TEXT(A148,"dd"),Monthly_Pay_Model!$C$9:$C$39,0),4),INDEX(Monthly_Pay_Model!$A$9:$D$40,MATCH(TEXT(A149,"dd"),Monthly_Pay_Model!$C$9:$C$39,0),4),INDEX(Monthly_Pay_Model!$A$9:$D$40,MATCH(TEXT(A150,"dd"),Monthly_Pay_Model!$C$9:$C$39,0),4),INDEX(Monthly_Pay_Model!$A$9:$D$40,MATCH(TEXT(A151,"dd"),Monthly_Pay_Model!$C$9:$C$39,0),4)),IF(VLOOKUP(A148,Calendar!$A$1:$R$1377,18,0)=5,SUM(INDEX(Monthly_Pay_Model!$A$9:$D$40,MATCH(TEXT(A148,"dd"),Monthly_Pay_Model!$C$9:$C$39,0),4),INDEX(Monthly_Pay_Model!$A$9:$D$40,MATCH(TEXT(A149,"dd"),Monthly_Pay_Model!$C$9:$C$39,0),4),INDEX(Monthly_Pay_Model!$A$9:$D$40,MATCH(TEXT(A150,"dd"),Monthly_Pay_Model!$C$9:$C$39,0),4),INDEX(Monthly_Pay_Model!$A$9:$D$40,MATCH(TEXT(A151,"dd"),Monthly_Pay_Model!$C$9:$C$39,0),4),INDEX(Monthly_Pay_Model!$A$9:$D$40,MATCH(TEXT(A152,"dd"),Monthly_Pay_Model!$C$9:$C$39,0),4)),))))))</f>
        <v>0</v>
      </c>
      <c r="J148" s="33">
        <f>IF(C148="Yes",Monthly_Pay_Model!$D$2,0)
+IF(Calendar!N148="Yes",Monthly_Pay_Model!$D$3,0)
+IF(D148="Yes",Monthly_Pay_Model!$D$4,0)
+IF(E148="Yes",Monthly_Pay_Model!$D$5,0)</f>
        <v>0.1552</v>
      </c>
      <c r="K148" s="27">
        <f>IF(VLOOKUP($A148,Calendar!$A$1:$R$1377,18,0)=0,0,IF(VLOOKUP($A148,Calendar!$A$1:$R$1377,18,0)=1,IFERROR(INDEX(Weekly_Model!$D$2:$D$9,MATCH(F148,Weekly_Model!$A$2:$A$9,0)),0),IF(VLOOKUP($A148,Calendar!$A$1:$R$1377,18,0)=2,SUM(IFERROR(INDEX(Weekly_Model!$D$2:$D$9,MATCH(F148,Weekly_Model!$A$2:$A$9,0)),0),IFERROR(INDEX(Weekly_Model!$D$2:$D$9,MATCH(F149,Weekly_Model!$A$2:$A$9,0)),0)),IF(VLOOKUP($A148,Calendar!$A$1:$R$1377,18,0)=3,SUM(IFERROR(INDEX(Weekly_Model!$D$2:$D$9,MATCH(F148,Weekly_Model!$A$2:$A$9,0)),0),IFERROR(INDEX(Weekly_Model!$D$2:$D$9,MATCH(F149,Weekly_Model!$A$2:$A$9,0)),0),IFERROR(INDEX(Weekly_Model!$D$2:$D$9,MATCH(F150,Weekly_Model!$A$2:$A$9,0)),0)),IF(VLOOKUP($A148,Calendar!$A$1:$R$1377,18,0)=4,SUM(IFERROR(INDEX(Weekly_Model!$D$2:$D$9,MATCH(F148,Weekly_Model!$A$2:$A$9,0)),0),IFERROR(INDEX(Weekly_Model!$D$2:$D$9,MATCH(F149,Weekly_Model!$A$2:$A$9,0)),0),IFERROR(INDEX(Weekly_Model!$D$2:$D$9,MATCH(F150,Weekly_Model!$A$2:$A$9,0)),0),IFERROR(INDEX(Weekly_Model!$D$2:$D$9,MATCH(F151,Weekly_Model!$A$2:$A$9,0)),0)),IF(VLOOKUP($A148,Calendar!$A$1:$R$1377,18,0)=5,SUM(IFERROR(INDEX(Weekly_Model!$D$2:$D$9,MATCH(F148,Weekly_Model!$A$2:$A$9,0)),0),IFERROR(INDEX(Weekly_Model!$D$2:$D$9,MATCH(F149,Weekly_Model!$A$2:$A$9,0)),0),IFERROR(INDEX(Weekly_Model!$D$2:$D$9,MATCH(F150,Weekly_Model!$A$2:$A$9,0)),0),IFERROR(INDEX(Weekly_Model!$D$2:$D$9,MATCH(F151,Weekly_Model!$A$2:$A$9,0)),0),IFERROR(INDEX(Weekly_Model!$D$2:$D$9,MATCH(F152,Weekly_Model!$A$2:$A$9,0)),0)),0))))))</f>
        <v>0</v>
      </c>
      <c r="L148" s="27">
        <f>IF(VLOOKUP($A148,Calendar!$A$1:$R$1377,18,0)=0,0,IF(VLOOKUP($A148,Calendar!$A$1:$R$1377,18,0)=1,IFERROR(INDEX(Fortnightly_Model!$D$2:$D$15,MATCH(G148,Fortnightly_Model!$B$2:$B$15,0)),0),IF(VLOOKUP($A148,Calendar!$A$1:$R$1377,18,0)=2,SUM(IFERROR(INDEX(Fortnightly_Model!$D$2:$D$15,MATCH(G148,Fortnightly_Model!$B$2:$B$15,0)),0),IFERROR(INDEX(Fortnightly_Model!$D$2:$D$15,MATCH(G149,Fortnightly_Model!$B$2:$B$15,0)),0)),IF(VLOOKUP($A148,Calendar!$A$1:$R$1377,18,0)=3,SUM(IFERROR(INDEX(Fortnightly_Model!$D$2:$D$15,MATCH(G148,Fortnightly_Model!$B$2:$B$15,0)),0),IFERROR(INDEX(Fortnightly_Model!$D$2:$D$15,MATCH(G149,Fortnightly_Model!$B$2:$B$15,0)),0),IFERROR(INDEX(Fortnightly_Model!$D$2:$D$15,MATCH(G150,Fortnightly_Model!$B$2:$B$15,0)),0)),IF(VLOOKUP($A148,Calendar!$A$1:$R$1377,18,0)=4,SUM(IFERROR(INDEX(Fortnightly_Model!$D$2:$D$15,MATCH(G148,Fortnightly_Model!$B$2:$B$15,0)),0),IFERROR(INDEX(Fortnightly_Model!$D$2:$D$15,MATCH(G149,Fortnightly_Model!$B$2:$B$15,0)),0),IFERROR(INDEX(Fortnightly_Model!$D$2:$D$15,MATCH(G150,Fortnightly_Model!$B$2:$B$15,0)),0),IFERROR(INDEX(Fortnightly_Model!$D$2:$D$15,MATCH(G151,Fortnightly_Model!$B$2:$B$15,0)),0)),IF(VLOOKUP($A148,Calendar!$A$1:$R$1377,18,0)=5,SUM(IFERROR(INDEX(Fortnightly_Model!$D$2:$D$15,MATCH(G148,Fortnightly_Model!$B$2:$B$15,0)),0),IFERROR(INDEX(Fortnightly_Model!$D$2:$D$15,MATCH(G149,Fortnightly_Model!$B$2:$B$15,0)),0),IFERROR(INDEX(Fortnightly_Model!$D$2:$D$15,MATCH(G150,Fortnightly_Model!$B$2:$B$15,0)),0),IFERROR(INDEX(Fortnightly_Model!$D$2:$D$15,MATCH(G151,Fortnightly_Model!$B$2:$B$15,0)),0),IFERROR(INDEX(Fortnightly_Model!$D$2:$D$15,MATCH(G152,Fortnightly_Model!$B$2:$B$15,0)),0)),0))))))</f>
        <v>0</v>
      </c>
      <c r="M148" s="27">
        <f>IF(VLOOKUP($A148,Calendar!$A$1:$R$1377,18,0)=0,0,IF(VLOOKUP($A148,Calendar!$A$1:$R$1377,18,0)=1,IFERROR(INDEX(FourWeekly_Model!$D$2:$D$29,MATCH(H148,FourWeekly_Model!$B$2:$B$29,0)),0),IF(VLOOKUP($A148,Calendar!$A$1:$R$1377,18,0)=2,SUM(IFERROR(INDEX(FourWeekly_Model!$D$2:$D$29,MATCH(H148,FourWeekly_Model!$B$2:$B$29,0)),0),IFERROR(INDEX(FourWeekly_Model!$D$2:$D$29,MATCH(H149,FourWeekly_Model!$B$2:$B$29,0)),0)),IF(VLOOKUP($A148,Calendar!$A$1:$R$1377,18,0)=3,SUM(IFERROR(INDEX(FourWeekly_Model!$D$2:$D$29,MATCH(H148,FourWeekly_Model!$B$2:$B$29,0)),0),IFERROR(INDEX(FourWeekly_Model!$D$2:$D$29,MATCH(H149,FourWeekly_Model!$B$2:$B$29,0)),0),IFERROR(INDEX(FourWeekly_Model!$D$2:$D$29,MATCH(H150,FourWeekly_Model!$B$2:$B$29,0)),0)),IF(VLOOKUP($A148,Calendar!$A$1:$R$1377,18,0)=4,SUM(IFERROR(INDEX(FourWeekly_Model!$D$2:$D$29,MATCH(H148,FourWeekly_Model!$B$2:$B$29,0)),0),IFERROR(INDEX(FourWeekly_Model!$D$2:$D$29,MATCH(H149,FourWeekly_Model!$B$2:$B$29,0)),0),IFERROR(INDEX(FourWeekly_Model!$D$2:$D$29,MATCH(H150,FourWeekly_Model!$B$2:$B$29,0)),0),IFERROR(INDEX(FourWeekly_Model!$D$2:$D$29,MATCH(H151,FourWeekly_Model!$B$2:$B$29,0)),0)),IF(VLOOKUP($A148,Calendar!$A$1:$R$1377,18,0)=5,SUM(IFERROR(INDEX(FourWeekly_Model!$D$2:$D$29,MATCH(H148,FourWeekly_Model!$B$2:$B$29,0)),0),IFERROR(INDEX(FourWeekly_Model!$D$2:$D$29,MATCH(H149,FourWeekly_Model!$B$2:$B$29,0)),0),IFERROR(INDEX(FourWeekly_Model!$D$2:$D$29,MATCH(H150,FourWeekly_Model!$B$2:$B$29,0)),0),IFERROR(INDEX(FourWeekly_Model!$D$2:$D$29,MATCH(H151,FourWeekly_Model!$B$2:$B$29,0)),0),IFERROR(INDEX(FourWeekly_Model!$D$2:$D$29,MATCH(H152,FourWeekly_Model!$B$2:$B$29,0)),0)),0))))))</f>
        <v>0</v>
      </c>
      <c r="N148" s="27">
        <f>SUM(I148:M148)</f>
        <v>0.1552</v>
      </c>
      <c r="O148" s="28">
        <f>Population_Data!$B$8*N148</f>
        <v>4702560</v>
      </c>
      <c r="P148" s="27">
        <f>IF(VLOOKUP($A148,Calendar!$A$1:$R$1377,18,0)=0,0,IF(VLOOKUP($A148,Calendar!$A$1:$R$1377,18,0)=1,IFERROR(INDEX(Pension_Model!$D$2:$D$29,MATCH(H148,Pension_Model!$B$2:$B$29,0)),0),IF(VLOOKUP($A148,Calendar!$A$1:$R$1377,18,0)=2,SUM(IFERROR(INDEX(Pension_Model!$D$2:$D$29,MATCH(H148,Pension_Model!$B$2:$B$29,0)),0),IFERROR(INDEX(Pension_Model!$D$2:$D$29,MATCH(H149,Pension_Model!$B$2:$B$29,0)),0)),IF(VLOOKUP($A148,Calendar!$A$1:$R$1377,18,0)=3,SUM(IFERROR(INDEX(Pension_Model!$D$2:$D$29,MATCH(H148,Pension_Model!$B$2:$B$29,0)),0),IFERROR(INDEX(Pension_Model!$D$2:$D$29,MATCH(H149,Pension_Model!$B$2:$B$29,0)),0),IFERROR(INDEX(Pension_Model!$D$2:$D$29,MATCH(H150,Pension_Model!$B$2:$B$29,0)),0)),IF(VLOOKUP($A148,Calendar!$A$1:$R$1377,18,0)=4,SUM(IFERROR(INDEX(Pension_Model!$D$2:$D$29,MATCH(H148,Pension_Model!$B$2:$B$29,0)),0),IFERROR(INDEX(Pension_Model!$D$2:$D$29,MATCH(H149,Pension_Model!$B$2:$B$29,0)),0),IFERROR(INDEX(Pension_Model!$D$2:$D$29,MATCH(H150,Pension_Model!$B$2:$B$29,0)),0),IFERROR(INDEX(Pension_Model!$D$2:$D$29,MATCH(H151,Pension_Model!$B$2:$B$29,0)),0)),IF(VLOOKUP($A148,Calendar!$A$1:$R$1377,18,0)=5,SUM(IFERROR(INDEX(Pension_Model!$D$2:$D$29,MATCH(H148,Pension_Model!$B$2:$B$29,0)),0),IFERROR(INDEX(Pension_Model!$D$2:$D$29,MATCH(H149,Pension_Model!$B$2:$B$29,0)),0),IFERROR(INDEX(Pension_Model!$D$2:$D$29,MATCH(H150,Pension_Model!$B$2:$B$29,0)),0),IFERROR(INDEX(Pension_Model!$D$2:$D$29,MATCH(H151,Pension_Model!$B$2:$B$29,0)),0),IFERROR(INDEX(Pension_Model!$D$2:$D$29,MATCH(H152,Pension_Model!$B$2:$B$29,0)),0)),0))))))</f>
        <v>0</v>
      </c>
      <c r="Q148" s="28">
        <f>Population_Data!$B$15*P148</f>
        <v>0</v>
      </c>
      <c r="S148">
        <f t="shared" si="2"/>
        <v>4702560</v>
      </c>
      <c r="U148" s="33">
        <f>S148/Population_Data!$B$19</f>
        <v>8.5191304347826083E-2</v>
      </c>
    </row>
    <row r="149" spans="1:21">
      <c r="A149" s="25">
        <f>Calendar!A149</f>
        <v>46382</v>
      </c>
      <c r="B149" t="str">
        <f>Calendar!L149</f>
        <v>No</v>
      </c>
      <c r="C149" t="str">
        <f>Calendar!O149</f>
        <v>No</v>
      </c>
      <c r="D149" t="str">
        <f>Calendar!P149</f>
        <v>No</v>
      </c>
      <c r="E149" t="str">
        <f>Calendar!Q149</f>
        <v>No</v>
      </c>
      <c r="F149" t="str">
        <f>Calendar!I149</f>
        <v>Saturday</v>
      </c>
      <c r="G149">
        <f>Calendar!S149</f>
        <v>0</v>
      </c>
      <c r="H149">
        <f>Calendar!T149</f>
        <v>14</v>
      </c>
      <c r="I149" s="27">
        <f>IF(VLOOKUP(A149,Calendar!$A$1:$R$1377,18,0)=0,0,IF(VLOOKUP(A149,Calendar!$A$1:$R$1377,18,0)=1,INDEX(Monthly_Pay_Model!$A$9:$D$40,MATCH(TEXT(A149,"dd"),Monthly_Pay_Model!$C$9:$C$39,0),4),IF(VLOOKUP(A149,Calendar!$A$1:$R$1377,18,0)=2,SUM(INDEX(Monthly_Pay_Model!$A$9:$D$40,MATCH(TEXT(A149,"dd"),Monthly_Pay_Model!$C$9:$C$39,0),4),INDEX(Monthly_Pay_Model!$A$9:$D$40,MATCH(TEXT(A150,"dd"),Monthly_Pay_Model!$C$9:$C$39,0),4)),IF(VLOOKUP(A149,Calendar!$A$1:$R$1377,18,0)=3,SUM(INDEX(Monthly_Pay_Model!$A$9:$D$40,MATCH(TEXT(A149,"dd"),Monthly_Pay_Model!$C$9:$C$39,0),4),INDEX(Monthly_Pay_Model!$A$9:$D$40,MATCH(TEXT(A150,"dd"),Monthly_Pay_Model!$C$9:$C$39,0),4),INDEX(Monthly_Pay_Model!$A$9:$D$40,MATCH(TEXT(A151,"dd"),Monthly_Pay_Model!$C$9:$C$39,0),4)),IF(VLOOKUP(A149,Calendar!$A$1:$R$1377,18,0)=4,SUM(INDEX(Monthly_Pay_Model!$A$9:$D$40,MATCH(TEXT(A149,"dd"),Monthly_Pay_Model!$C$9:$C$39,0),4),INDEX(Monthly_Pay_Model!$A$9:$D$40,MATCH(TEXT(A150,"dd"),Monthly_Pay_Model!$C$9:$C$39,0),4),INDEX(Monthly_Pay_Model!$A$9:$D$40,MATCH(TEXT(A151,"dd"),Monthly_Pay_Model!$C$9:$C$39,0),4),INDEX(Monthly_Pay_Model!$A$9:$D$40,MATCH(TEXT(A152,"dd"),Monthly_Pay_Model!$C$9:$C$39,0),4)),IF(VLOOKUP(A149,Calendar!$A$1:$R$1377,18,0)=5,SUM(INDEX(Monthly_Pay_Model!$A$9:$D$40,MATCH(TEXT(A149,"dd"),Monthly_Pay_Model!$C$9:$C$39,0),4),INDEX(Monthly_Pay_Model!$A$9:$D$40,MATCH(TEXT(A150,"dd"),Monthly_Pay_Model!$C$9:$C$39,0),4),INDEX(Monthly_Pay_Model!$A$9:$D$40,MATCH(TEXT(A151,"dd"),Monthly_Pay_Model!$C$9:$C$39,0),4),INDEX(Monthly_Pay_Model!$A$9:$D$40,MATCH(TEXT(A152,"dd"),Monthly_Pay_Model!$C$9:$C$39,0),4),INDEX(Monthly_Pay_Model!$A$9:$D$40,MATCH(TEXT(A153,"dd"),Monthly_Pay_Model!$C$9:$C$39,0),4)),))))))</f>
        <v>0</v>
      </c>
      <c r="J149" s="33">
        <f>IF(C149="Yes",Monthly_Pay_Model!$D$2,0)
+IF(Calendar!N149="Yes",Monthly_Pay_Model!$D$3,0)
+IF(D149="Yes",Monthly_Pay_Model!$D$4,0)
+IF(E149="Yes",Monthly_Pay_Model!$D$5,0)</f>
        <v>0</v>
      </c>
      <c r="K149" s="27">
        <f>IF(VLOOKUP($A149,Calendar!$A$1:$R$1377,18,0)=0,0,IF(VLOOKUP($A149,Calendar!$A$1:$R$1377,18,0)=1,IFERROR(INDEX(Weekly_Model!$D$2:$D$9,MATCH(F149,Weekly_Model!$A$2:$A$9,0)),0),IF(VLOOKUP($A149,Calendar!$A$1:$R$1377,18,0)=2,SUM(IFERROR(INDEX(Weekly_Model!$D$2:$D$9,MATCH(F149,Weekly_Model!$A$2:$A$9,0)),0),IFERROR(INDEX(Weekly_Model!$D$2:$D$9,MATCH(F150,Weekly_Model!$A$2:$A$9,0)),0)),IF(VLOOKUP($A149,Calendar!$A$1:$R$1377,18,0)=3,SUM(IFERROR(INDEX(Weekly_Model!$D$2:$D$9,MATCH(F149,Weekly_Model!$A$2:$A$9,0)),0),IFERROR(INDEX(Weekly_Model!$D$2:$D$9,MATCH(F150,Weekly_Model!$A$2:$A$9,0)),0),IFERROR(INDEX(Weekly_Model!$D$2:$D$9,MATCH(F151,Weekly_Model!$A$2:$A$9,0)),0)),IF(VLOOKUP($A149,Calendar!$A$1:$R$1377,18,0)=4,SUM(IFERROR(INDEX(Weekly_Model!$D$2:$D$9,MATCH(F149,Weekly_Model!$A$2:$A$9,0)),0),IFERROR(INDEX(Weekly_Model!$D$2:$D$9,MATCH(F150,Weekly_Model!$A$2:$A$9,0)),0),IFERROR(INDEX(Weekly_Model!$D$2:$D$9,MATCH(F151,Weekly_Model!$A$2:$A$9,0)),0),IFERROR(INDEX(Weekly_Model!$D$2:$D$9,MATCH(F152,Weekly_Model!$A$2:$A$9,0)),0)),IF(VLOOKUP($A149,Calendar!$A$1:$R$1377,18,0)=5,SUM(IFERROR(INDEX(Weekly_Model!$D$2:$D$9,MATCH(F149,Weekly_Model!$A$2:$A$9,0)),0),IFERROR(INDEX(Weekly_Model!$D$2:$D$9,MATCH(F150,Weekly_Model!$A$2:$A$9,0)),0),IFERROR(INDEX(Weekly_Model!$D$2:$D$9,MATCH(F151,Weekly_Model!$A$2:$A$9,0)),0),IFERROR(INDEX(Weekly_Model!$D$2:$D$9,MATCH(F152,Weekly_Model!$A$2:$A$9,0)),0),IFERROR(INDEX(Weekly_Model!$D$2:$D$9,MATCH(F153,Weekly_Model!$A$2:$A$9,0)),0)),0))))))</f>
        <v>0</v>
      </c>
      <c r="L149" s="27">
        <f>IF(VLOOKUP($A149,Calendar!$A$1:$R$1377,18,0)=0,0,IF(VLOOKUP($A149,Calendar!$A$1:$R$1377,18,0)=1,IFERROR(INDEX(Fortnightly_Model!$D$2:$D$15,MATCH(G149,Fortnightly_Model!$B$2:$B$15,0)),0),IF(VLOOKUP($A149,Calendar!$A$1:$R$1377,18,0)=2,SUM(IFERROR(INDEX(Fortnightly_Model!$D$2:$D$15,MATCH(G149,Fortnightly_Model!$B$2:$B$15,0)),0),IFERROR(INDEX(Fortnightly_Model!$D$2:$D$15,MATCH(G150,Fortnightly_Model!$B$2:$B$15,0)),0)),IF(VLOOKUP($A149,Calendar!$A$1:$R$1377,18,0)=3,SUM(IFERROR(INDEX(Fortnightly_Model!$D$2:$D$15,MATCH(G149,Fortnightly_Model!$B$2:$B$15,0)),0),IFERROR(INDEX(Fortnightly_Model!$D$2:$D$15,MATCH(G150,Fortnightly_Model!$B$2:$B$15,0)),0),IFERROR(INDEX(Fortnightly_Model!$D$2:$D$15,MATCH(G151,Fortnightly_Model!$B$2:$B$15,0)),0)),IF(VLOOKUP($A149,Calendar!$A$1:$R$1377,18,0)=4,SUM(IFERROR(INDEX(Fortnightly_Model!$D$2:$D$15,MATCH(G149,Fortnightly_Model!$B$2:$B$15,0)),0),IFERROR(INDEX(Fortnightly_Model!$D$2:$D$15,MATCH(G150,Fortnightly_Model!$B$2:$B$15,0)),0),IFERROR(INDEX(Fortnightly_Model!$D$2:$D$15,MATCH(G151,Fortnightly_Model!$B$2:$B$15,0)),0),IFERROR(INDEX(Fortnightly_Model!$D$2:$D$15,MATCH(G152,Fortnightly_Model!$B$2:$B$15,0)),0)),IF(VLOOKUP($A149,Calendar!$A$1:$R$1377,18,0)=5,SUM(IFERROR(INDEX(Fortnightly_Model!$D$2:$D$15,MATCH(G149,Fortnightly_Model!$B$2:$B$15,0)),0),IFERROR(INDEX(Fortnightly_Model!$D$2:$D$15,MATCH(G150,Fortnightly_Model!$B$2:$B$15,0)),0),IFERROR(INDEX(Fortnightly_Model!$D$2:$D$15,MATCH(G151,Fortnightly_Model!$B$2:$B$15,0)),0),IFERROR(INDEX(Fortnightly_Model!$D$2:$D$15,MATCH(G152,Fortnightly_Model!$B$2:$B$15,0)),0),IFERROR(INDEX(Fortnightly_Model!$D$2:$D$15,MATCH(G153,Fortnightly_Model!$B$2:$B$15,0)),0)),0))))))</f>
        <v>0</v>
      </c>
      <c r="M149" s="27">
        <f>IF(VLOOKUP($A149,Calendar!$A$1:$R$1377,18,0)=0,0,IF(VLOOKUP($A149,Calendar!$A$1:$R$1377,18,0)=1,IFERROR(INDEX(FourWeekly_Model!$D$2:$D$29,MATCH(H149,FourWeekly_Model!$B$2:$B$29,0)),0),IF(VLOOKUP($A149,Calendar!$A$1:$R$1377,18,0)=2,SUM(IFERROR(INDEX(FourWeekly_Model!$D$2:$D$29,MATCH(H149,FourWeekly_Model!$B$2:$B$29,0)),0),IFERROR(INDEX(FourWeekly_Model!$D$2:$D$29,MATCH(H150,FourWeekly_Model!$B$2:$B$29,0)),0)),IF(VLOOKUP($A149,Calendar!$A$1:$R$1377,18,0)=3,SUM(IFERROR(INDEX(FourWeekly_Model!$D$2:$D$29,MATCH(H149,FourWeekly_Model!$B$2:$B$29,0)),0),IFERROR(INDEX(FourWeekly_Model!$D$2:$D$29,MATCH(H150,FourWeekly_Model!$B$2:$B$29,0)),0),IFERROR(INDEX(FourWeekly_Model!$D$2:$D$29,MATCH(H151,FourWeekly_Model!$B$2:$B$29,0)),0)),IF(VLOOKUP($A149,Calendar!$A$1:$R$1377,18,0)=4,SUM(IFERROR(INDEX(FourWeekly_Model!$D$2:$D$29,MATCH(H149,FourWeekly_Model!$B$2:$B$29,0)),0),IFERROR(INDEX(FourWeekly_Model!$D$2:$D$29,MATCH(H150,FourWeekly_Model!$B$2:$B$29,0)),0),IFERROR(INDEX(FourWeekly_Model!$D$2:$D$29,MATCH(H151,FourWeekly_Model!$B$2:$B$29,0)),0),IFERROR(INDEX(FourWeekly_Model!$D$2:$D$29,MATCH(H152,FourWeekly_Model!$B$2:$B$29,0)),0)),IF(VLOOKUP($A149,Calendar!$A$1:$R$1377,18,0)=5,SUM(IFERROR(INDEX(FourWeekly_Model!$D$2:$D$29,MATCH(H149,FourWeekly_Model!$B$2:$B$29,0)),0),IFERROR(INDEX(FourWeekly_Model!$D$2:$D$29,MATCH(H150,FourWeekly_Model!$B$2:$B$29,0)),0),IFERROR(INDEX(FourWeekly_Model!$D$2:$D$29,MATCH(H151,FourWeekly_Model!$B$2:$B$29,0)),0),IFERROR(INDEX(FourWeekly_Model!$D$2:$D$29,MATCH(H152,FourWeekly_Model!$B$2:$B$29,0)),0),IFERROR(INDEX(FourWeekly_Model!$D$2:$D$29,MATCH(H153,FourWeekly_Model!$B$2:$B$29,0)),0)),0))))))</f>
        <v>0</v>
      </c>
      <c r="N149" s="27">
        <f>SUM(I149:M149)</f>
        <v>0</v>
      </c>
      <c r="O149" s="28">
        <f>Population_Data!$B$8*N149</f>
        <v>0</v>
      </c>
      <c r="P149" s="27">
        <f>IF(VLOOKUP($A149,Calendar!$A$1:$R$1377,18,0)=0,0,IF(VLOOKUP($A149,Calendar!$A$1:$R$1377,18,0)=1,IFERROR(INDEX(Pension_Model!$D$2:$D$29,MATCH(H149,Pension_Model!$B$2:$B$29,0)),0),IF(VLOOKUP($A149,Calendar!$A$1:$R$1377,18,0)=2,SUM(IFERROR(INDEX(Pension_Model!$D$2:$D$29,MATCH(H149,Pension_Model!$B$2:$B$29,0)),0),IFERROR(INDEX(Pension_Model!$D$2:$D$29,MATCH(H150,Pension_Model!$B$2:$B$29,0)),0)),IF(VLOOKUP($A149,Calendar!$A$1:$R$1377,18,0)=3,SUM(IFERROR(INDEX(Pension_Model!$D$2:$D$29,MATCH(H149,Pension_Model!$B$2:$B$29,0)),0),IFERROR(INDEX(Pension_Model!$D$2:$D$29,MATCH(H150,Pension_Model!$B$2:$B$29,0)),0),IFERROR(INDEX(Pension_Model!$D$2:$D$29,MATCH(H151,Pension_Model!$B$2:$B$29,0)),0)),IF(VLOOKUP($A149,Calendar!$A$1:$R$1377,18,0)=4,SUM(IFERROR(INDEX(Pension_Model!$D$2:$D$29,MATCH(H149,Pension_Model!$B$2:$B$29,0)),0),IFERROR(INDEX(Pension_Model!$D$2:$D$29,MATCH(H150,Pension_Model!$B$2:$B$29,0)),0),IFERROR(INDEX(Pension_Model!$D$2:$D$29,MATCH(H151,Pension_Model!$B$2:$B$29,0)),0),IFERROR(INDEX(Pension_Model!$D$2:$D$29,MATCH(H152,Pension_Model!$B$2:$B$29,0)),0)),IF(VLOOKUP($A149,Calendar!$A$1:$R$1377,18,0)=5,SUM(IFERROR(INDEX(Pension_Model!$D$2:$D$29,MATCH(H149,Pension_Model!$B$2:$B$29,0)),0),IFERROR(INDEX(Pension_Model!$D$2:$D$29,MATCH(H150,Pension_Model!$B$2:$B$29,0)),0),IFERROR(INDEX(Pension_Model!$D$2:$D$29,MATCH(H151,Pension_Model!$B$2:$B$29,0)),0),IFERROR(INDEX(Pension_Model!$D$2:$D$29,MATCH(H152,Pension_Model!$B$2:$B$29,0)),0),IFERROR(INDEX(Pension_Model!$D$2:$D$29,MATCH(H153,Pension_Model!$B$2:$B$29,0)),0)),0))))))</f>
        <v>0</v>
      </c>
      <c r="Q149" s="28">
        <f>Population_Data!$B$15*P149</f>
        <v>0</v>
      </c>
      <c r="S149">
        <f t="shared" si="2"/>
        <v>0</v>
      </c>
      <c r="U149" s="33">
        <f>S149/Population_Data!$B$19</f>
        <v>0</v>
      </c>
    </row>
    <row r="150" spans="1:21">
      <c r="A150" s="25">
        <f>Calendar!A150</f>
        <v>46383</v>
      </c>
      <c r="B150" t="str">
        <f>Calendar!L150</f>
        <v>No</v>
      </c>
      <c r="C150" t="str">
        <f>Calendar!O150</f>
        <v>No</v>
      </c>
      <c r="D150" t="str">
        <f>Calendar!P150</f>
        <v>No</v>
      </c>
      <c r="E150" t="str">
        <f>Calendar!Q150</f>
        <v>No</v>
      </c>
      <c r="F150" t="str">
        <f>Calendar!I150</f>
        <v>Sunday</v>
      </c>
      <c r="G150">
        <f>Calendar!S150</f>
        <v>1</v>
      </c>
      <c r="H150">
        <f>Calendar!T150</f>
        <v>15</v>
      </c>
      <c r="I150" s="27">
        <f>IF(VLOOKUP(A150,Calendar!$A$1:$R$1377,18,0)=0,0,IF(VLOOKUP(A150,Calendar!$A$1:$R$1377,18,0)=1,INDEX(Monthly_Pay_Model!$A$9:$D$40,MATCH(TEXT(A150,"dd"),Monthly_Pay_Model!$C$9:$C$39,0),4),IF(VLOOKUP(A150,Calendar!$A$1:$R$1377,18,0)=2,SUM(INDEX(Monthly_Pay_Model!$A$9:$D$40,MATCH(TEXT(A150,"dd"),Monthly_Pay_Model!$C$9:$C$39,0),4),INDEX(Monthly_Pay_Model!$A$9:$D$40,MATCH(TEXT(A151,"dd"),Monthly_Pay_Model!$C$9:$C$39,0),4)),IF(VLOOKUP(A150,Calendar!$A$1:$R$1377,18,0)=3,SUM(INDEX(Monthly_Pay_Model!$A$9:$D$40,MATCH(TEXT(A150,"dd"),Monthly_Pay_Model!$C$9:$C$39,0),4),INDEX(Monthly_Pay_Model!$A$9:$D$40,MATCH(TEXT(A151,"dd"),Monthly_Pay_Model!$C$9:$C$39,0),4),INDEX(Monthly_Pay_Model!$A$9:$D$40,MATCH(TEXT(A152,"dd"),Monthly_Pay_Model!$C$9:$C$39,0),4)),IF(VLOOKUP(A150,Calendar!$A$1:$R$1377,18,0)=4,SUM(INDEX(Monthly_Pay_Model!$A$9:$D$40,MATCH(TEXT(A150,"dd"),Monthly_Pay_Model!$C$9:$C$39,0),4),INDEX(Monthly_Pay_Model!$A$9:$D$40,MATCH(TEXT(A151,"dd"),Monthly_Pay_Model!$C$9:$C$39,0),4),INDEX(Monthly_Pay_Model!$A$9:$D$40,MATCH(TEXT(A152,"dd"),Monthly_Pay_Model!$C$9:$C$39,0),4),INDEX(Monthly_Pay_Model!$A$9:$D$40,MATCH(TEXT(A153,"dd"),Monthly_Pay_Model!$C$9:$C$39,0),4)),IF(VLOOKUP(A150,Calendar!$A$1:$R$1377,18,0)=5,SUM(INDEX(Monthly_Pay_Model!$A$9:$D$40,MATCH(TEXT(A150,"dd"),Monthly_Pay_Model!$C$9:$C$39,0),4),INDEX(Monthly_Pay_Model!$A$9:$D$40,MATCH(TEXT(A151,"dd"),Monthly_Pay_Model!$C$9:$C$39,0),4),INDEX(Monthly_Pay_Model!$A$9:$D$40,MATCH(TEXT(A152,"dd"),Monthly_Pay_Model!$C$9:$C$39,0),4),INDEX(Monthly_Pay_Model!$A$9:$D$40,MATCH(TEXT(A153,"dd"),Monthly_Pay_Model!$C$9:$C$39,0),4),INDEX(Monthly_Pay_Model!$A$9:$D$40,MATCH(TEXT(A154,"dd"),Monthly_Pay_Model!$C$9:$C$39,0),4)),))))))</f>
        <v>0</v>
      </c>
      <c r="J150" s="33">
        <f>IF(C150="Yes",Monthly_Pay_Model!$D$2,0)
+IF(Calendar!N150="Yes",Monthly_Pay_Model!$D$3,0)
+IF(D150="Yes",Monthly_Pay_Model!$D$4,0)
+IF(E150="Yes",Monthly_Pay_Model!$D$5,0)</f>
        <v>0</v>
      </c>
      <c r="K150" s="27">
        <f>IF(VLOOKUP($A150,Calendar!$A$1:$R$1377,18,0)=0,0,IF(VLOOKUP($A150,Calendar!$A$1:$R$1377,18,0)=1,IFERROR(INDEX(Weekly_Model!$D$2:$D$9,MATCH(F150,Weekly_Model!$A$2:$A$9,0)),0),IF(VLOOKUP($A150,Calendar!$A$1:$R$1377,18,0)=2,SUM(IFERROR(INDEX(Weekly_Model!$D$2:$D$9,MATCH(F150,Weekly_Model!$A$2:$A$9,0)),0),IFERROR(INDEX(Weekly_Model!$D$2:$D$9,MATCH(F151,Weekly_Model!$A$2:$A$9,0)),0)),IF(VLOOKUP($A150,Calendar!$A$1:$R$1377,18,0)=3,SUM(IFERROR(INDEX(Weekly_Model!$D$2:$D$9,MATCH(F150,Weekly_Model!$A$2:$A$9,0)),0),IFERROR(INDEX(Weekly_Model!$D$2:$D$9,MATCH(F151,Weekly_Model!$A$2:$A$9,0)),0),IFERROR(INDEX(Weekly_Model!$D$2:$D$9,MATCH(F152,Weekly_Model!$A$2:$A$9,0)),0)),IF(VLOOKUP($A150,Calendar!$A$1:$R$1377,18,0)=4,SUM(IFERROR(INDEX(Weekly_Model!$D$2:$D$9,MATCH(F150,Weekly_Model!$A$2:$A$9,0)),0),IFERROR(INDEX(Weekly_Model!$D$2:$D$9,MATCH(F151,Weekly_Model!$A$2:$A$9,0)),0),IFERROR(INDEX(Weekly_Model!$D$2:$D$9,MATCH(F152,Weekly_Model!$A$2:$A$9,0)),0),IFERROR(INDEX(Weekly_Model!$D$2:$D$9,MATCH(F153,Weekly_Model!$A$2:$A$9,0)),0)),IF(VLOOKUP($A150,Calendar!$A$1:$R$1377,18,0)=5,SUM(IFERROR(INDEX(Weekly_Model!$D$2:$D$9,MATCH(F150,Weekly_Model!$A$2:$A$9,0)),0),IFERROR(INDEX(Weekly_Model!$D$2:$D$9,MATCH(F151,Weekly_Model!$A$2:$A$9,0)),0),IFERROR(INDEX(Weekly_Model!$D$2:$D$9,MATCH(F152,Weekly_Model!$A$2:$A$9,0)),0),IFERROR(INDEX(Weekly_Model!$D$2:$D$9,MATCH(F153,Weekly_Model!$A$2:$A$9,0)),0),IFERROR(INDEX(Weekly_Model!$D$2:$D$9,MATCH(F154,Weekly_Model!$A$2:$A$9,0)),0)),0))))))</f>
        <v>0</v>
      </c>
      <c r="L150" s="27">
        <f>IF(VLOOKUP($A150,Calendar!$A$1:$R$1377,18,0)=0,0,IF(VLOOKUP($A150,Calendar!$A$1:$R$1377,18,0)=1,IFERROR(INDEX(Fortnightly_Model!$D$2:$D$15,MATCH(G150,Fortnightly_Model!$B$2:$B$15,0)),0),IF(VLOOKUP($A150,Calendar!$A$1:$R$1377,18,0)=2,SUM(IFERROR(INDEX(Fortnightly_Model!$D$2:$D$15,MATCH(G150,Fortnightly_Model!$B$2:$B$15,0)),0),IFERROR(INDEX(Fortnightly_Model!$D$2:$D$15,MATCH(G151,Fortnightly_Model!$B$2:$B$15,0)),0)),IF(VLOOKUP($A150,Calendar!$A$1:$R$1377,18,0)=3,SUM(IFERROR(INDEX(Fortnightly_Model!$D$2:$D$15,MATCH(G150,Fortnightly_Model!$B$2:$B$15,0)),0),IFERROR(INDEX(Fortnightly_Model!$D$2:$D$15,MATCH(G151,Fortnightly_Model!$B$2:$B$15,0)),0),IFERROR(INDEX(Fortnightly_Model!$D$2:$D$15,MATCH(G152,Fortnightly_Model!$B$2:$B$15,0)),0)),IF(VLOOKUP($A150,Calendar!$A$1:$R$1377,18,0)=4,SUM(IFERROR(INDEX(Fortnightly_Model!$D$2:$D$15,MATCH(G150,Fortnightly_Model!$B$2:$B$15,0)),0),IFERROR(INDEX(Fortnightly_Model!$D$2:$D$15,MATCH(G151,Fortnightly_Model!$B$2:$B$15,0)),0),IFERROR(INDEX(Fortnightly_Model!$D$2:$D$15,MATCH(G152,Fortnightly_Model!$B$2:$B$15,0)),0),IFERROR(INDEX(Fortnightly_Model!$D$2:$D$15,MATCH(G153,Fortnightly_Model!$B$2:$B$15,0)),0)),IF(VLOOKUP($A150,Calendar!$A$1:$R$1377,18,0)=5,SUM(IFERROR(INDEX(Fortnightly_Model!$D$2:$D$15,MATCH(G150,Fortnightly_Model!$B$2:$B$15,0)),0),IFERROR(INDEX(Fortnightly_Model!$D$2:$D$15,MATCH(G151,Fortnightly_Model!$B$2:$B$15,0)),0),IFERROR(INDEX(Fortnightly_Model!$D$2:$D$15,MATCH(G152,Fortnightly_Model!$B$2:$B$15,0)),0),IFERROR(INDEX(Fortnightly_Model!$D$2:$D$15,MATCH(G153,Fortnightly_Model!$B$2:$B$15,0)),0),IFERROR(INDEX(Fortnightly_Model!$D$2:$D$15,MATCH(G154,Fortnightly_Model!$B$2:$B$15,0)),0)),0))))))</f>
        <v>0</v>
      </c>
      <c r="M150" s="27">
        <f>IF(VLOOKUP($A150,Calendar!$A$1:$R$1377,18,0)=0,0,IF(VLOOKUP($A150,Calendar!$A$1:$R$1377,18,0)=1,IFERROR(INDEX(FourWeekly_Model!$D$2:$D$29,MATCH(H150,FourWeekly_Model!$B$2:$B$29,0)),0),IF(VLOOKUP($A150,Calendar!$A$1:$R$1377,18,0)=2,SUM(IFERROR(INDEX(FourWeekly_Model!$D$2:$D$29,MATCH(H150,FourWeekly_Model!$B$2:$B$29,0)),0),IFERROR(INDEX(FourWeekly_Model!$D$2:$D$29,MATCH(H151,FourWeekly_Model!$B$2:$B$29,0)),0)),IF(VLOOKUP($A150,Calendar!$A$1:$R$1377,18,0)=3,SUM(IFERROR(INDEX(FourWeekly_Model!$D$2:$D$29,MATCH(H150,FourWeekly_Model!$B$2:$B$29,0)),0),IFERROR(INDEX(FourWeekly_Model!$D$2:$D$29,MATCH(H151,FourWeekly_Model!$B$2:$B$29,0)),0),IFERROR(INDEX(FourWeekly_Model!$D$2:$D$29,MATCH(H152,FourWeekly_Model!$B$2:$B$29,0)),0)),IF(VLOOKUP($A150,Calendar!$A$1:$R$1377,18,0)=4,SUM(IFERROR(INDEX(FourWeekly_Model!$D$2:$D$29,MATCH(H150,FourWeekly_Model!$B$2:$B$29,0)),0),IFERROR(INDEX(FourWeekly_Model!$D$2:$D$29,MATCH(H151,FourWeekly_Model!$B$2:$B$29,0)),0),IFERROR(INDEX(FourWeekly_Model!$D$2:$D$29,MATCH(H152,FourWeekly_Model!$B$2:$B$29,0)),0),IFERROR(INDEX(FourWeekly_Model!$D$2:$D$29,MATCH(H153,FourWeekly_Model!$B$2:$B$29,0)),0)),IF(VLOOKUP($A150,Calendar!$A$1:$R$1377,18,0)=5,SUM(IFERROR(INDEX(FourWeekly_Model!$D$2:$D$29,MATCH(H150,FourWeekly_Model!$B$2:$B$29,0)),0),IFERROR(INDEX(FourWeekly_Model!$D$2:$D$29,MATCH(H151,FourWeekly_Model!$B$2:$B$29,0)),0),IFERROR(INDEX(FourWeekly_Model!$D$2:$D$29,MATCH(H152,FourWeekly_Model!$B$2:$B$29,0)),0),IFERROR(INDEX(FourWeekly_Model!$D$2:$D$29,MATCH(H153,FourWeekly_Model!$B$2:$B$29,0)),0),IFERROR(INDEX(FourWeekly_Model!$D$2:$D$29,MATCH(H154,FourWeekly_Model!$B$2:$B$29,0)),0)),0))))))</f>
        <v>0</v>
      </c>
      <c r="N150" s="27">
        <f>SUM(I150:M150)</f>
        <v>0</v>
      </c>
      <c r="O150" s="28">
        <f>Population_Data!$B$8*N150</f>
        <v>0</v>
      </c>
      <c r="P150" s="27">
        <f>IF(VLOOKUP($A150,Calendar!$A$1:$R$1377,18,0)=0,0,IF(VLOOKUP($A150,Calendar!$A$1:$R$1377,18,0)=1,IFERROR(INDEX(Pension_Model!$D$2:$D$29,MATCH(H150,Pension_Model!$B$2:$B$29,0)),0),IF(VLOOKUP($A150,Calendar!$A$1:$R$1377,18,0)=2,SUM(IFERROR(INDEX(Pension_Model!$D$2:$D$29,MATCH(H150,Pension_Model!$B$2:$B$29,0)),0),IFERROR(INDEX(Pension_Model!$D$2:$D$29,MATCH(H151,Pension_Model!$B$2:$B$29,0)),0)),IF(VLOOKUP($A150,Calendar!$A$1:$R$1377,18,0)=3,SUM(IFERROR(INDEX(Pension_Model!$D$2:$D$29,MATCH(H150,Pension_Model!$B$2:$B$29,0)),0),IFERROR(INDEX(Pension_Model!$D$2:$D$29,MATCH(H151,Pension_Model!$B$2:$B$29,0)),0),IFERROR(INDEX(Pension_Model!$D$2:$D$29,MATCH(H152,Pension_Model!$B$2:$B$29,0)),0)),IF(VLOOKUP($A150,Calendar!$A$1:$R$1377,18,0)=4,SUM(IFERROR(INDEX(Pension_Model!$D$2:$D$29,MATCH(H150,Pension_Model!$B$2:$B$29,0)),0),IFERROR(INDEX(Pension_Model!$D$2:$D$29,MATCH(H151,Pension_Model!$B$2:$B$29,0)),0),IFERROR(INDEX(Pension_Model!$D$2:$D$29,MATCH(H152,Pension_Model!$B$2:$B$29,0)),0),IFERROR(INDEX(Pension_Model!$D$2:$D$29,MATCH(H153,Pension_Model!$B$2:$B$29,0)),0)),IF(VLOOKUP($A150,Calendar!$A$1:$R$1377,18,0)=5,SUM(IFERROR(INDEX(Pension_Model!$D$2:$D$29,MATCH(H150,Pension_Model!$B$2:$B$29,0)),0),IFERROR(INDEX(Pension_Model!$D$2:$D$29,MATCH(H151,Pension_Model!$B$2:$B$29,0)),0),IFERROR(INDEX(Pension_Model!$D$2:$D$29,MATCH(H152,Pension_Model!$B$2:$B$29,0)),0),IFERROR(INDEX(Pension_Model!$D$2:$D$29,MATCH(H153,Pension_Model!$B$2:$B$29,0)),0),IFERROR(INDEX(Pension_Model!$D$2:$D$29,MATCH(H154,Pension_Model!$B$2:$B$29,0)),0)),0))))))</f>
        <v>0</v>
      </c>
      <c r="Q150" s="28">
        <f>Population_Data!$B$15*P150</f>
        <v>0</v>
      </c>
      <c r="S150">
        <f t="shared" si="2"/>
        <v>0</v>
      </c>
      <c r="U150" s="33">
        <f>S150/Population_Data!$B$19</f>
        <v>0</v>
      </c>
    </row>
    <row r="151" spans="1:21">
      <c r="A151" s="25">
        <f>Calendar!A151</f>
        <v>46384</v>
      </c>
      <c r="B151" t="str">
        <f>Calendar!L151</f>
        <v>No</v>
      </c>
      <c r="C151" t="str">
        <f>Calendar!O151</f>
        <v>No</v>
      </c>
      <c r="D151" t="str">
        <f>Calendar!P151</f>
        <v>No</v>
      </c>
      <c r="E151" t="str">
        <f>Calendar!Q151</f>
        <v>No</v>
      </c>
      <c r="F151" t="str">
        <f>Calendar!I151</f>
        <v>Monday</v>
      </c>
      <c r="G151">
        <f>Calendar!S151</f>
        <v>2</v>
      </c>
      <c r="H151">
        <f>Calendar!T151</f>
        <v>16</v>
      </c>
      <c r="I151" s="27">
        <f>IF(VLOOKUP(A151,Calendar!$A$1:$R$1377,18,0)=0,0,IF(VLOOKUP(A151,Calendar!$A$1:$R$1377,18,0)=1,INDEX(Monthly_Pay_Model!$A$9:$D$40,MATCH(TEXT(A151,"dd"),Monthly_Pay_Model!$C$9:$C$39,0),4),IF(VLOOKUP(A151,Calendar!$A$1:$R$1377,18,0)=2,SUM(INDEX(Monthly_Pay_Model!$A$9:$D$40,MATCH(TEXT(A151,"dd"),Monthly_Pay_Model!$C$9:$C$39,0),4),INDEX(Monthly_Pay_Model!$A$9:$D$40,MATCH(TEXT(A152,"dd"),Monthly_Pay_Model!$C$9:$C$39,0),4)),IF(VLOOKUP(A151,Calendar!$A$1:$R$1377,18,0)=3,SUM(INDEX(Monthly_Pay_Model!$A$9:$D$40,MATCH(TEXT(A151,"dd"),Monthly_Pay_Model!$C$9:$C$39,0),4),INDEX(Monthly_Pay_Model!$A$9:$D$40,MATCH(TEXT(A152,"dd"),Monthly_Pay_Model!$C$9:$C$39,0),4),INDEX(Monthly_Pay_Model!$A$9:$D$40,MATCH(TEXT(A153,"dd"),Monthly_Pay_Model!$C$9:$C$39,0),4)),IF(VLOOKUP(A151,Calendar!$A$1:$R$1377,18,0)=4,SUM(INDEX(Monthly_Pay_Model!$A$9:$D$40,MATCH(TEXT(A151,"dd"),Monthly_Pay_Model!$C$9:$C$39,0),4),INDEX(Monthly_Pay_Model!$A$9:$D$40,MATCH(TEXT(A152,"dd"),Monthly_Pay_Model!$C$9:$C$39,0),4),INDEX(Monthly_Pay_Model!$A$9:$D$40,MATCH(TEXT(A153,"dd"),Monthly_Pay_Model!$C$9:$C$39,0),4),INDEX(Monthly_Pay_Model!$A$9:$D$40,MATCH(TEXT(A154,"dd"),Monthly_Pay_Model!$C$9:$C$39,0),4)),IF(VLOOKUP(A151,Calendar!$A$1:$R$1377,18,0)=5,SUM(INDEX(Monthly_Pay_Model!$A$9:$D$40,MATCH(TEXT(A151,"dd"),Monthly_Pay_Model!$C$9:$C$39,0),4),INDEX(Monthly_Pay_Model!$A$9:$D$40,MATCH(TEXT(A152,"dd"),Monthly_Pay_Model!$C$9:$C$39,0),4),INDEX(Monthly_Pay_Model!$A$9:$D$40,MATCH(TEXT(A153,"dd"),Monthly_Pay_Model!$C$9:$C$39,0),4),INDEX(Monthly_Pay_Model!$A$9:$D$40,MATCH(TEXT(A154,"dd"),Monthly_Pay_Model!$C$9:$C$39,0),4),INDEX(Monthly_Pay_Model!$A$9:$D$40,MATCH(TEXT(A155,"dd"),Monthly_Pay_Model!$C$9:$C$39,0),4)),))))))</f>
        <v>0</v>
      </c>
      <c r="J151" s="33">
        <f>IF(C151="Yes",Monthly_Pay_Model!$D$2,0)
+IF(Calendar!N151="Yes",Monthly_Pay_Model!$D$3,0)
+IF(D151="Yes",Monthly_Pay_Model!$D$4,0)
+IF(E151="Yes",Monthly_Pay_Model!$D$5,0)</f>
        <v>0</v>
      </c>
      <c r="K151" s="27">
        <f>IF(VLOOKUP($A151,Calendar!$A$1:$R$1377,18,0)=0,0,IF(VLOOKUP($A151,Calendar!$A$1:$R$1377,18,0)=1,IFERROR(INDEX(Weekly_Model!$D$2:$D$9,MATCH(F151,Weekly_Model!$A$2:$A$9,0)),0),IF(VLOOKUP($A151,Calendar!$A$1:$R$1377,18,0)=2,SUM(IFERROR(INDEX(Weekly_Model!$D$2:$D$9,MATCH(F151,Weekly_Model!$A$2:$A$9,0)),0),IFERROR(INDEX(Weekly_Model!$D$2:$D$9,MATCH(F152,Weekly_Model!$A$2:$A$9,0)),0)),IF(VLOOKUP($A151,Calendar!$A$1:$R$1377,18,0)=3,SUM(IFERROR(INDEX(Weekly_Model!$D$2:$D$9,MATCH(F151,Weekly_Model!$A$2:$A$9,0)),0),IFERROR(INDEX(Weekly_Model!$D$2:$D$9,MATCH(F152,Weekly_Model!$A$2:$A$9,0)),0),IFERROR(INDEX(Weekly_Model!$D$2:$D$9,MATCH(F153,Weekly_Model!$A$2:$A$9,0)),0)),IF(VLOOKUP($A151,Calendar!$A$1:$R$1377,18,0)=4,SUM(IFERROR(INDEX(Weekly_Model!$D$2:$D$9,MATCH(F151,Weekly_Model!$A$2:$A$9,0)),0),IFERROR(INDEX(Weekly_Model!$D$2:$D$9,MATCH(F152,Weekly_Model!$A$2:$A$9,0)),0),IFERROR(INDEX(Weekly_Model!$D$2:$D$9,MATCH(F153,Weekly_Model!$A$2:$A$9,0)),0),IFERROR(INDEX(Weekly_Model!$D$2:$D$9,MATCH(F154,Weekly_Model!$A$2:$A$9,0)),0)),IF(VLOOKUP($A151,Calendar!$A$1:$R$1377,18,0)=5,SUM(IFERROR(INDEX(Weekly_Model!$D$2:$D$9,MATCH(F151,Weekly_Model!$A$2:$A$9,0)),0),IFERROR(INDEX(Weekly_Model!$D$2:$D$9,MATCH(F152,Weekly_Model!$A$2:$A$9,0)),0),IFERROR(INDEX(Weekly_Model!$D$2:$D$9,MATCH(F153,Weekly_Model!$A$2:$A$9,0)),0),IFERROR(INDEX(Weekly_Model!$D$2:$D$9,MATCH(F154,Weekly_Model!$A$2:$A$9,0)),0),IFERROR(INDEX(Weekly_Model!$D$2:$D$9,MATCH(F155,Weekly_Model!$A$2:$A$9,0)),0)),0))))))</f>
        <v>0</v>
      </c>
      <c r="L151" s="27">
        <f>IF(VLOOKUP($A151,Calendar!$A$1:$R$1377,18,0)=0,0,IF(VLOOKUP($A151,Calendar!$A$1:$R$1377,18,0)=1,IFERROR(INDEX(Fortnightly_Model!$D$2:$D$15,MATCH(G151,Fortnightly_Model!$B$2:$B$15,0)),0),IF(VLOOKUP($A151,Calendar!$A$1:$R$1377,18,0)=2,SUM(IFERROR(INDEX(Fortnightly_Model!$D$2:$D$15,MATCH(G151,Fortnightly_Model!$B$2:$B$15,0)),0),IFERROR(INDEX(Fortnightly_Model!$D$2:$D$15,MATCH(G152,Fortnightly_Model!$B$2:$B$15,0)),0)),IF(VLOOKUP($A151,Calendar!$A$1:$R$1377,18,0)=3,SUM(IFERROR(INDEX(Fortnightly_Model!$D$2:$D$15,MATCH(G151,Fortnightly_Model!$B$2:$B$15,0)),0),IFERROR(INDEX(Fortnightly_Model!$D$2:$D$15,MATCH(G152,Fortnightly_Model!$B$2:$B$15,0)),0),IFERROR(INDEX(Fortnightly_Model!$D$2:$D$15,MATCH(G153,Fortnightly_Model!$B$2:$B$15,0)),0)),IF(VLOOKUP($A151,Calendar!$A$1:$R$1377,18,0)=4,SUM(IFERROR(INDEX(Fortnightly_Model!$D$2:$D$15,MATCH(G151,Fortnightly_Model!$B$2:$B$15,0)),0),IFERROR(INDEX(Fortnightly_Model!$D$2:$D$15,MATCH(G152,Fortnightly_Model!$B$2:$B$15,0)),0),IFERROR(INDEX(Fortnightly_Model!$D$2:$D$15,MATCH(G153,Fortnightly_Model!$B$2:$B$15,0)),0),IFERROR(INDEX(Fortnightly_Model!$D$2:$D$15,MATCH(G154,Fortnightly_Model!$B$2:$B$15,0)),0)),IF(VLOOKUP($A151,Calendar!$A$1:$R$1377,18,0)=5,SUM(IFERROR(INDEX(Fortnightly_Model!$D$2:$D$15,MATCH(G151,Fortnightly_Model!$B$2:$B$15,0)),0),IFERROR(INDEX(Fortnightly_Model!$D$2:$D$15,MATCH(G152,Fortnightly_Model!$B$2:$B$15,0)),0),IFERROR(INDEX(Fortnightly_Model!$D$2:$D$15,MATCH(G153,Fortnightly_Model!$B$2:$B$15,0)),0),IFERROR(INDEX(Fortnightly_Model!$D$2:$D$15,MATCH(G154,Fortnightly_Model!$B$2:$B$15,0)),0),IFERROR(INDEX(Fortnightly_Model!$D$2:$D$15,MATCH(G155,Fortnightly_Model!$B$2:$B$15,0)),0)),0))))))</f>
        <v>0</v>
      </c>
      <c r="M151" s="27">
        <f>IF(VLOOKUP($A151,Calendar!$A$1:$R$1377,18,0)=0,0,IF(VLOOKUP($A151,Calendar!$A$1:$R$1377,18,0)=1,IFERROR(INDEX(FourWeekly_Model!$D$2:$D$29,MATCH(H151,FourWeekly_Model!$B$2:$B$29,0)),0),IF(VLOOKUP($A151,Calendar!$A$1:$R$1377,18,0)=2,SUM(IFERROR(INDEX(FourWeekly_Model!$D$2:$D$29,MATCH(H151,FourWeekly_Model!$B$2:$B$29,0)),0),IFERROR(INDEX(FourWeekly_Model!$D$2:$D$29,MATCH(H152,FourWeekly_Model!$B$2:$B$29,0)),0)),IF(VLOOKUP($A151,Calendar!$A$1:$R$1377,18,0)=3,SUM(IFERROR(INDEX(FourWeekly_Model!$D$2:$D$29,MATCH(H151,FourWeekly_Model!$B$2:$B$29,0)),0),IFERROR(INDEX(FourWeekly_Model!$D$2:$D$29,MATCH(H152,FourWeekly_Model!$B$2:$B$29,0)),0),IFERROR(INDEX(FourWeekly_Model!$D$2:$D$29,MATCH(H153,FourWeekly_Model!$B$2:$B$29,0)),0)),IF(VLOOKUP($A151,Calendar!$A$1:$R$1377,18,0)=4,SUM(IFERROR(INDEX(FourWeekly_Model!$D$2:$D$29,MATCH(H151,FourWeekly_Model!$B$2:$B$29,0)),0),IFERROR(INDEX(FourWeekly_Model!$D$2:$D$29,MATCH(H152,FourWeekly_Model!$B$2:$B$29,0)),0),IFERROR(INDEX(FourWeekly_Model!$D$2:$D$29,MATCH(H153,FourWeekly_Model!$B$2:$B$29,0)),0),IFERROR(INDEX(FourWeekly_Model!$D$2:$D$29,MATCH(H154,FourWeekly_Model!$B$2:$B$29,0)),0)),IF(VLOOKUP($A151,Calendar!$A$1:$R$1377,18,0)=5,SUM(IFERROR(INDEX(FourWeekly_Model!$D$2:$D$29,MATCH(H151,FourWeekly_Model!$B$2:$B$29,0)),0),IFERROR(INDEX(FourWeekly_Model!$D$2:$D$29,MATCH(H152,FourWeekly_Model!$B$2:$B$29,0)),0),IFERROR(INDEX(FourWeekly_Model!$D$2:$D$29,MATCH(H153,FourWeekly_Model!$B$2:$B$29,0)),0),IFERROR(INDEX(FourWeekly_Model!$D$2:$D$29,MATCH(H154,FourWeekly_Model!$B$2:$B$29,0)),0),IFERROR(INDEX(FourWeekly_Model!$D$2:$D$29,MATCH(H155,FourWeekly_Model!$B$2:$B$29,0)),0)),0))))))</f>
        <v>0</v>
      </c>
      <c r="N151" s="27">
        <f>SUM(I151:M151)</f>
        <v>0</v>
      </c>
      <c r="O151" s="28">
        <f>Population_Data!$B$8*N151</f>
        <v>0</v>
      </c>
      <c r="P151" s="27">
        <f>IF(VLOOKUP($A151,Calendar!$A$1:$R$1377,18,0)=0,0,IF(VLOOKUP($A151,Calendar!$A$1:$R$1377,18,0)=1,IFERROR(INDEX(Pension_Model!$D$2:$D$29,MATCH(H151,Pension_Model!$B$2:$B$29,0)),0),IF(VLOOKUP($A151,Calendar!$A$1:$R$1377,18,0)=2,SUM(IFERROR(INDEX(Pension_Model!$D$2:$D$29,MATCH(H151,Pension_Model!$B$2:$B$29,0)),0),IFERROR(INDEX(Pension_Model!$D$2:$D$29,MATCH(H152,Pension_Model!$B$2:$B$29,0)),0)),IF(VLOOKUP($A151,Calendar!$A$1:$R$1377,18,0)=3,SUM(IFERROR(INDEX(Pension_Model!$D$2:$D$29,MATCH(H151,Pension_Model!$B$2:$B$29,0)),0),IFERROR(INDEX(Pension_Model!$D$2:$D$29,MATCH(H152,Pension_Model!$B$2:$B$29,0)),0),IFERROR(INDEX(Pension_Model!$D$2:$D$29,MATCH(H153,Pension_Model!$B$2:$B$29,0)),0)),IF(VLOOKUP($A151,Calendar!$A$1:$R$1377,18,0)=4,SUM(IFERROR(INDEX(Pension_Model!$D$2:$D$29,MATCH(H151,Pension_Model!$B$2:$B$29,0)),0),IFERROR(INDEX(Pension_Model!$D$2:$D$29,MATCH(H152,Pension_Model!$B$2:$B$29,0)),0),IFERROR(INDEX(Pension_Model!$D$2:$D$29,MATCH(H153,Pension_Model!$B$2:$B$29,0)),0),IFERROR(INDEX(Pension_Model!$D$2:$D$29,MATCH(H154,Pension_Model!$B$2:$B$29,0)),0)),IF(VLOOKUP($A151,Calendar!$A$1:$R$1377,18,0)=5,SUM(IFERROR(INDEX(Pension_Model!$D$2:$D$29,MATCH(H151,Pension_Model!$B$2:$B$29,0)),0),IFERROR(INDEX(Pension_Model!$D$2:$D$29,MATCH(H152,Pension_Model!$B$2:$B$29,0)),0),IFERROR(INDEX(Pension_Model!$D$2:$D$29,MATCH(H153,Pension_Model!$B$2:$B$29,0)),0),IFERROR(INDEX(Pension_Model!$D$2:$D$29,MATCH(H154,Pension_Model!$B$2:$B$29,0)),0),IFERROR(INDEX(Pension_Model!$D$2:$D$29,MATCH(H155,Pension_Model!$B$2:$B$29,0)),0)),0))))))</f>
        <v>0</v>
      </c>
      <c r="Q151" s="28">
        <f>Population_Data!$B$15*P151</f>
        <v>0</v>
      </c>
      <c r="S151">
        <f t="shared" si="2"/>
        <v>0</v>
      </c>
      <c r="U151" s="33">
        <f>S151/Population_Data!$B$19</f>
        <v>0</v>
      </c>
    </row>
    <row r="152" spans="1:21">
      <c r="A152" s="25">
        <f>Calendar!A152</f>
        <v>46385</v>
      </c>
      <c r="B152" t="str">
        <f>Calendar!L152</f>
        <v>Yes</v>
      </c>
      <c r="C152" t="str">
        <f>Calendar!O152</f>
        <v>No</v>
      </c>
      <c r="D152" t="str">
        <f>Calendar!P152</f>
        <v>No</v>
      </c>
      <c r="E152" t="str">
        <f>Calendar!Q152</f>
        <v>No</v>
      </c>
      <c r="F152" t="str">
        <f>Calendar!I152</f>
        <v>Tuesday</v>
      </c>
      <c r="G152">
        <f>Calendar!S152</f>
        <v>3</v>
      </c>
      <c r="H152">
        <f>Calendar!T152</f>
        <v>17</v>
      </c>
      <c r="I152" s="27">
        <f>IF(VLOOKUP(A152,Calendar!$A$1:$R$1377,18,0)=0,0,IF(VLOOKUP(A152,Calendar!$A$1:$R$1377,18,0)=1,INDEX(Monthly_Pay_Model!$A$9:$D$40,MATCH(TEXT(A152,"dd"),Monthly_Pay_Model!$C$9:$C$39,0),4),IF(VLOOKUP(A152,Calendar!$A$1:$R$1377,18,0)=2,SUM(INDEX(Monthly_Pay_Model!$A$9:$D$40,MATCH(TEXT(A152,"dd"),Monthly_Pay_Model!$C$9:$C$39,0),4),INDEX(Monthly_Pay_Model!$A$9:$D$40,MATCH(TEXT(A153,"dd"),Monthly_Pay_Model!$C$9:$C$39,0),4)),IF(VLOOKUP(A152,Calendar!$A$1:$R$1377,18,0)=3,SUM(INDEX(Monthly_Pay_Model!$A$9:$D$40,MATCH(TEXT(A152,"dd"),Monthly_Pay_Model!$C$9:$C$39,0),4),INDEX(Monthly_Pay_Model!$A$9:$D$40,MATCH(TEXT(A153,"dd"),Monthly_Pay_Model!$C$9:$C$39,0),4),INDEX(Monthly_Pay_Model!$A$9:$D$40,MATCH(TEXT(A154,"dd"),Monthly_Pay_Model!$C$9:$C$39,0),4)),IF(VLOOKUP(A152,Calendar!$A$1:$R$1377,18,0)=4,SUM(INDEX(Monthly_Pay_Model!$A$9:$D$40,MATCH(TEXT(A152,"dd"),Monthly_Pay_Model!$C$9:$C$39,0),4),INDEX(Monthly_Pay_Model!$A$9:$D$40,MATCH(TEXT(A153,"dd"),Monthly_Pay_Model!$C$9:$C$39,0),4),INDEX(Monthly_Pay_Model!$A$9:$D$40,MATCH(TEXT(A154,"dd"),Monthly_Pay_Model!$C$9:$C$39,0),4),INDEX(Monthly_Pay_Model!$A$9:$D$40,MATCH(TEXT(A155,"dd"),Monthly_Pay_Model!$C$9:$C$39,0),4)),IF(VLOOKUP(A152,Calendar!$A$1:$R$1377,18,0)=5,SUM(INDEX(Monthly_Pay_Model!$A$9:$D$40,MATCH(TEXT(A152,"dd"),Monthly_Pay_Model!$C$9:$C$39,0),4),INDEX(Monthly_Pay_Model!$A$9:$D$40,MATCH(TEXT(A153,"dd"),Monthly_Pay_Model!$C$9:$C$39,0),4),INDEX(Monthly_Pay_Model!$A$9:$D$40,MATCH(TEXT(A154,"dd"),Monthly_Pay_Model!$C$9:$C$39,0),4),INDEX(Monthly_Pay_Model!$A$9:$D$40,MATCH(TEXT(A155,"dd"),Monthly_Pay_Model!$C$9:$C$39,0),4),INDEX(Monthly_Pay_Model!$A$9:$D$40,MATCH(TEXT(A156,"dd"),Monthly_Pay_Model!$C$9:$C$39,0),4)),))))))</f>
        <v>4.0628272251308894E-3</v>
      </c>
      <c r="J152" s="33">
        <f>IF(C152="Yes",Monthly_Pay_Model!$D$2,0)
+IF(Calendar!N152="Yes",Monthly_Pay_Model!$D$3,0)
+IF(D152="Yes",Monthly_Pay_Model!$D$4,0)
+IF(E152="Yes",Monthly_Pay_Model!$D$5,0)</f>
        <v>0</v>
      </c>
      <c r="K152" s="27">
        <f>IF(VLOOKUP($A152,Calendar!$A$1:$R$1377,18,0)=0,0,IF(VLOOKUP($A152,Calendar!$A$1:$R$1377,18,0)=1,IFERROR(INDEX(Weekly_Model!$D$2:$D$9,MATCH(F152,Weekly_Model!$A$2:$A$9,0)),0),IF(VLOOKUP($A152,Calendar!$A$1:$R$1377,18,0)=2,SUM(IFERROR(INDEX(Weekly_Model!$D$2:$D$9,MATCH(F152,Weekly_Model!$A$2:$A$9,0)),0),IFERROR(INDEX(Weekly_Model!$D$2:$D$9,MATCH(F153,Weekly_Model!$A$2:$A$9,0)),0)),IF(VLOOKUP($A152,Calendar!$A$1:$R$1377,18,0)=3,SUM(IFERROR(INDEX(Weekly_Model!$D$2:$D$9,MATCH(F152,Weekly_Model!$A$2:$A$9,0)),0),IFERROR(INDEX(Weekly_Model!$D$2:$D$9,MATCH(F153,Weekly_Model!$A$2:$A$9,0)),0),IFERROR(INDEX(Weekly_Model!$D$2:$D$9,MATCH(F154,Weekly_Model!$A$2:$A$9,0)),0)),IF(VLOOKUP($A152,Calendar!$A$1:$R$1377,18,0)=4,SUM(IFERROR(INDEX(Weekly_Model!$D$2:$D$9,MATCH(F152,Weekly_Model!$A$2:$A$9,0)),0),IFERROR(INDEX(Weekly_Model!$D$2:$D$9,MATCH(F153,Weekly_Model!$A$2:$A$9,0)),0),IFERROR(INDEX(Weekly_Model!$D$2:$D$9,MATCH(F154,Weekly_Model!$A$2:$A$9,0)),0),IFERROR(INDEX(Weekly_Model!$D$2:$D$9,MATCH(F155,Weekly_Model!$A$2:$A$9,0)),0)),IF(VLOOKUP($A152,Calendar!$A$1:$R$1377,18,0)=5,SUM(IFERROR(INDEX(Weekly_Model!$D$2:$D$9,MATCH(F152,Weekly_Model!$A$2:$A$9,0)),0),IFERROR(INDEX(Weekly_Model!$D$2:$D$9,MATCH(F153,Weekly_Model!$A$2:$A$9,0)),0),IFERROR(INDEX(Weekly_Model!$D$2:$D$9,MATCH(F154,Weekly_Model!$A$2:$A$9,0)),0),IFERROR(INDEX(Weekly_Model!$D$2:$D$9,MATCH(F155,Weekly_Model!$A$2:$A$9,0)),0),IFERROR(INDEX(Weekly_Model!$D$2:$D$9,MATCH(F156,Weekly_Model!$A$2:$A$9,0)),0)),0))))))</f>
        <v>2.3200000000000002E-2</v>
      </c>
      <c r="L152" s="27">
        <f>IF(VLOOKUP($A152,Calendar!$A$1:$R$1377,18,0)=0,0,IF(VLOOKUP($A152,Calendar!$A$1:$R$1377,18,0)=1,IFERROR(INDEX(Fortnightly_Model!$D$2:$D$15,MATCH(G152,Fortnightly_Model!$B$2:$B$15,0)),0),IF(VLOOKUP($A152,Calendar!$A$1:$R$1377,18,0)=2,SUM(IFERROR(INDEX(Fortnightly_Model!$D$2:$D$15,MATCH(G152,Fortnightly_Model!$B$2:$B$15,0)),0),IFERROR(INDEX(Fortnightly_Model!$D$2:$D$15,MATCH(G153,Fortnightly_Model!$B$2:$B$15,0)),0)),IF(VLOOKUP($A152,Calendar!$A$1:$R$1377,18,0)=3,SUM(IFERROR(INDEX(Fortnightly_Model!$D$2:$D$15,MATCH(G152,Fortnightly_Model!$B$2:$B$15,0)),0),IFERROR(INDEX(Fortnightly_Model!$D$2:$D$15,MATCH(G153,Fortnightly_Model!$B$2:$B$15,0)),0),IFERROR(INDEX(Fortnightly_Model!$D$2:$D$15,MATCH(G154,Fortnightly_Model!$B$2:$B$15,0)),0)),IF(VLOOKUP($A152,Calendar!$A$1:$R$1377,18,0)=4,SUM(IFERROR(INDEX(Fortnightly_Model!$D$2:$D$15,MATCH(G152,Fortnightly_Model!$B$2:$B$15,0)),0),IFERROR(INDEX(Fortnightly_Model!$D$2:$D$15,MATCH(G153,Fortnightly_Model!$B$2:$B$15,0)),0),IFERROR(INDEX(Fortnightly_Model!$D$2:$D$15,MATCH(G154,Fortnightly_Model!$B$2:$B$15,0)),0),IFERROR(INDEX(Fortnightly_Model!$D$2:$D$15,MATCH(G155,Fortnightly_Model!$B$2:$B$15,0)),0)),IF(VLOOKUP($A152,Calendar!$A$1:$R$1377,18,0)=5,SUM(IFERROR(INDEX(Fortnightly_Model!$D$2:$D$15,MATCH(G152,Fortnightly_Model!$B$2:$B$15,0)),0),IFERROR(INDEX(Fortnightly_Model!$D$2:$D$15,MATCH(G153,Fortnightly_Model!$B$2:$B$15,0)),0),IFERROR(INDEX(Fortnightly_Model!$D$2:$D$15,MATCH(G154,Fortnightly_Model!$B$2:$B$15,0)),0),IFERROR(INDEX(Fortnightly_Model!$D$2:$D$15,MATCH(G155,Fortnightly_Model!$B$2:$B$15,0)),0),IFERROR(INDEX(Fortnightly_Model!$D$2:$D$15,MATCH(G156,Fortnightly_Model!$B$2:$B$15,0)),0)),0))))))</f>
        <v>1.0714285499999999E-3</v>
      </c>
      <c r="M152" s="27">
        <f>IF(VLOOKUP($A152,Calendar!$A$1:$R$1377,18,0)=0,0,IF(VLOOKUP($A152,Calendar!$A$1:$R$1377,18,0)=1,IFERROR(INDEX(FourWeekly_Model!$D$2:$D$29,MATCH(H152,FourWeekly_Model!$B$2:$B$29,0)),0),IF(VLOOKUP($A152,Calendar!$A$1:$R$1377,18,0)=2,SUM(IFERROR(INDEX(FourWeekly_Model!$D$2:$D$29,MATCH(H152,FourWeekly_Model!$B$2:$B$29,0)),0),IFERROR(INDEX(FourWeekly_Model!$D$2:$D$29,MATCH(H153,FourWeekly_Model!$B$2:$B$29,0)),0)),IF(VLOOKUP($A152,Calendar!$A$1:$R$1377,18,0)=3,SUM(IFERROR(INDEX(FourWeekly_Model!$D$2:$D$29,MATCH(H152,FourWeekly_Model!$B$2:$B$29,0)),0),IFERROR(INDEX(FourWeekly_Model!$D$2:$D$29,MATCH(H153,FourWeekly_Model!$B$2:$B$29,0)),0),IFERROR(INDEX(FourWeekly_Model!$D$2:$D$29,MATCH(H154,FourWeekly_Model!$B$2:$B$29,0)),0)),IF(VLOOKUP($A152,Calendar!$A$1:$R$1377,18,0)=4,SUM(IFERROR(INDEX(FourWeekly_Model!$D$2:$D$29,MATCH(H152,FourWeekly_Model!$B$2:$B$29,0)),0),IFERROR(INDEX(FourWeekly_Model!$D$2:$D$29,MATCH(H153,FourWeekly_Model!$B$2:$B$29,0)),0),IFERROR(INDEX(FourWeekly_Model!$D$2:$D$29,MATCH(H154,FourWeekly_Model!$B$2:$B$29,0)),0),IFERROR(INDEX(FourWeekly_Model!$D$2:$D$29,MATCH(H155,FourWeekly_Model!$B$2:$B$29,0)),0)),IF(VLOOKUP($A152,Calendar!$A$1:$R$1377,18,0)=5,SUM(IFERROR(INDEX(FourWeekly_Model!$D$2:$D$29,MATCH(H152,FourWeekly_Model!$B$2:$B$29,0)),0),IFERROR(INDEX(FourWeekly_Model!$D$2:$D$29,MATCH(H153,FourWeekly_Model!$B$2:$B$29,0)),0),IFERROR(INDEX(FourWeekly_Model!$D$2:$D$29,MATCH(H154,FourWeekly_Model!$B$2:$B$29,0)),0),IFERROR(INDEX(FourWeekly_Model!$D$2:$D$29,MATCH(H155,FourWeekly_Model!$B$2:$B$29,0)),0),IFERROR(INDEX(FourWeekly_Model!$D$2:$D$29,MATCH(H156,FourWeekly_Model!$B$2:$B$29,0)),0)),0))))))</f>
        <v>3.3214289700000004E-3</v>
      </c>
      <c r="N152" s="27">
        <f>SUM(I152:M152)</f>
        <v>3.1655684745130891E-2</v>
      </c>
      <c r="O152" s="28">
        <f>Population_Data!$B$8*N152</f>
        <v>959167.24777746596</v>
      </c>
      <c r="P152" s="27">
        <f>IF(VLOOKUP($A152,Calendar!$A$1:$R$1377,18,0)=0,0,IF(VLOOKUP($A152,Calendar!$A$1:$R$1377,18,0)=1,IFERROR(INDEX(Pension_Model!$D$2:$D$29,MATCH(H152,Pension_Model!$B$2:$B$29,0)),0),IF(VLOOKUP($A152,Calendar!$A$1:$R$1377,18,0)=2,SUM(IFERROR(INDEX(Pension_Model!$D$2:$D$29,MATCH(H152,Pension_Model!$B$2:$B$29,0)),0),IFERROR(INDEX(Pension_Model!$D$2:$D$29,MATCH(H153,Pension_Model!$B$2:$B$29,0)),0)),IF(VLOOKUP($A152,Calendar!$A$1:$R$1377,18,0)=3,SUM(IFERROR(INDEX(Pension_Model!$D$2:$D$29,MATCH(H152,Pension_Model!$B$2:$B$29,0)),0),IFERROR(INDEX(Pension_Model!$D$2:$D$29,MATCH(H153,Pension_Model!$B$2:$B$29,0)),0),IFERROR(INDEX(Pension_Model!$D$2:$D$29,MATCH(H154,Pension_Model!$B$2:$B$29,0)),0)),IF(VLOOKUP($A152,Calendar!$A$1:$R$1377,18,0)=4,SUM(IFERROR(INDEX(Pension_Model!$D$2:$D$29,MATCH(H152,Pension_Model!$B$2:$B$29,0)),0),IFERROR(INDEX(Pension_Model!$D$2:$D$29,MATCH(H153,Pension_Model!$B$2:$B$29,0)),0),IFERROR(INDEX(Pension_Model!$D$2:$D$29,MATCH(H154,Pension_Model!$B$2:$B$29,0)),0),IFERROR(INDEX(Pension_Model!$D$2:$D$29,MATCH(H155,Pension_Model!$B$2:$B$29,0)),0)),IF(VLOOKUP($A152,Calendar!$A$1:$R$1377,18,0)=5,SUM(IFERROR(INDEX(Pension_Model!$D$2:$D$29,MATCH(H152,Pension_Model!$B$2:$B$29,0)),0),IFERROR(INDEX(Pension_Model!$D$2:$D$29,MATCH(H153,Pension_Model!$B$2:$B$29,0)),0),IFERROR(INDEX(Pension_Model!$D$2:$D$29,MATCH(H154,Pension_Model!$B$2:$B$29,0)),0),IFERROR(INDEX(Pension_Model!$D$2:$D$29,MATCH(H155,Pension_Model!$B$2:$B$29,0)),0),IFERROR(INDEX(Pension_Model!$D$2:$D$29,MATCH(H156,Pension_Model!$B$2:$B$29,0)),0)),0))))))</f>
        <v>0.05</v>
      </c>
      <c r="Q152" s="28">
        <f>Population_Data!$B$15*P152</f>
        <v>660600</v>
      </c>
      <c r="S152">
        <f t="shared" si="2"/>
        <v>1619767.247777466</v>
      </c>
      <c r="U152" s="33">
        <f>S152/Population_Data!$B$19</f>
        <v>2.9343609561185979E-2</v>
      </c>
    </row>
    <row r="153" spans="1:21">
      <c r="A153" s="25">
        <f>Calendar!A153</f>
        <v>46386</v>
      </c>
      <c r="B153" t="str">
        <f>Calendar!L153</f>
        <v>Yes</v>
      </c>
      <c r="C153" t="str">
        <f>Calendar!O153</f>
        <v>No</v>
      </c>
      <c r="D153" t="str">
        <f>Calendar!P153</f>
        <v>No</v>
      </c>
      <c r="E153" t="str">
        <f>Calendar!Q153</f>
        <v>No</v>
      </c>
      <c r="F153" t="str">
        <f>Calendar!I153</f>
        <v>Wednesday</v>
      </c>
      <c r="G153">
        <f>Calendar!S153</f>
        <v>4</v>
      </c>
      <c r="H153">
        <f>Calendar!T153</f>
        <v>18</v>
      </c>
      <c r="I153" s="27">
        <f>IF(VLOOKUP(A153,Calendar!$A$1:$R$1377,18,0)=0,0,IF(VLOOKUP(A153,Calendar!$A$1:$R$1377,18,0)=1,INDEX(Monthly_Pay_Model!$A$9:$D$40,MATCH(TEXT(A153,"dd"),Monthly_Pay_Model!$C$9:$C$39,0),4),IF(VLOOKUP(A153,Calendar!$A$1:$R$1377,18,0)=2,SUM(INDEX(Monthly_Pay_Model!$A$9:$D$40,MATCH(TEXT(A153,"dd"),Monthly_Pay_Model!$C$9:$C$39,0),4),INDEX(Monthly_Pay_Model!$A$9:$D$40,MATCH(TEXT(A154,"dd"),Monthly_Pay_Model!$C$9:$C$39,0),4)),IF(VLOOKUP(A153,Calendar!$A$1:$R$1377,18,0)=3,SUM(INDEX(Monthly_Pay_Model!$A$9:$D$40,MATCH(TEXT(A153,"dd"),Monthly_Pay_Model!$C$9:$C$39,0),4),INDEX(Monthly_Pay_Model!$A$9:$D$40,MATCH(TEXT(A154,"dd"),Monthly_Pay_Model!$C$9:$C$39,0),4),INDEX(Monthly_Pay_Model!$A$9:$D$40,MATCH(TEXT(A155,"dd"),Monthly_Pay_Model!$C$9:$C$39,0),4)),IF(VLOOKUP(A153,Calendar!$A$1:$R$1377,18,0)=4,SUM(INDEX(Monthly_Pay_Model!$A$9:$D$40,MATCH(TEXT(A153,"dd"),Monthly_Pay_Model!$C$9:$C$39,0),4),INDEX(Monthly_Pay_Model!$A$9:$D$40,MATCH(TEXT(A154,"dd"),Monthly_Pay_Model!$C$9:$C$39,0),4),INDEX(Monthly_Pay_Model!$A$9:$D$40,MATCH(TEXT(A155,"dd"),Monthly_Pay_Model!$C$9:$C$39,0),4),INDEX(Monthly_Pay_Model!$A$9:$D$40,MATCH(TEXT(A156,"dd"),Monthly_Pay_Model!$C$9:$C$39,0),4)),IF(VLOOKUP(A153,Calendar!$A$1:$R$1377,18,0)=5,SUM(INDEX(Monthly_Pay_Model!$A$9:$D$40,MATCH(TEXT(A153,"dd"),Monthly_Pay_Model!$C$9:$C$39,0),4),INDEX(Monthly_Pay_Model!$A$9:$D$40,MATCH(TEXT(A154,"dd"),Monthly_Pay_Model!$C$9:$C$39,0),4),INDEX(Monthly_Pay_Model!$A$9:$D$40,MATCH(TEXT(A155,"dd"),Monthly_Pay_Model!$C$9:$C$39,0),4),INDEX(Monthly_Pay_Model!$A$9:$D$40,MATCH(TEXT(A156,"dd"),Monthly_Pay_Model!$C$9:$C$39,0),4),INDEX(Monthly_Pay_Model!$A$9:$D$40,MATCH(TEXT(A157,"dd"),Monthly_Pay_Model!$C$9:$C$39,0),4)),))))))</f>
        <v>4.8753926701570662E-3</v>
      </c>
      <c r="J153" s="33">
        <f>IF(C153="Yes",Monthly_Pay_Model!$D$2,0)
+IF(Calendar!N153="Yes",Monthly_Pay_Model!$D$3,0)
+IF(D153="Yes",Monthly_Pay_Model!$D$4,0)
+IF(E153="Yes",Monthly_Pay_Model!$D$5,0)</f>
        <v>0</v>
      </c>
      <c r="K153" s="27">
        <f>IF(VLOOKUP($A153,Calendar!$A$1:$R$1377,18,0)=0,0,IF(VLOOKUP($A153,Calendar!$A$1:$R$1377,18,0)=1,IFERROR(INDEX(Weekly_Model!$D$2:$D$9,MATCH(F153,Weekly_Model!$A$2:$A$9,0)),0),IF(VLOOKUP($A153,Calendar!$A$1:$R$1377,18,0)=2,SUM(IFERROR(INDEX(Weekly_Model!$D$2:$D$9,MATCH(F153,Weekly_Model!$A$2:$A$9,0)),0),IFERROR(INDEX(Weekly_Model!$D$2:$D$9,MATCH(F154,Weekly_Model!$A$2:$A$9,0)),0)),IF(VLOOKUP($A153,Calendar!$A$1:$R$1377,18,0)=3,SUM(IFERROR(INDEX(Weekly_Model!$D$2:$D$9,MATCH(F153,Weekly_Model!$A$2:$A$9,0)),0),IFERROR(INDEX(Weekly_Model!$D$2:$D$9,MATCH(F154,Weekly_Model!$A$2:$A$9,0)),0),IFERROR(INDEX(Weekly_Model!$D$2:$D$9,MATCH(F155,Weekly_Model!$A$2:$A$9,0)),0)),IF(VLOOKUP($A153,Calendar!$A$1:$R$1377,18,0)=4,SUM(IFERROR(INDEX(Weekly_Model!$D$2:$D$9,MATCH(F153,Weekly_Model!$A$2:$A$9,0)),0),IFERROR(INDEX(Weekly_Model!$D$2:$D$9,MATCH(F154,Weekly_Model!$A$2:$A$9,0)),0),IFERROR(INDEX(Weekly_Model!$D$2:$D$9,MATCH(F155,Weekly_Model!$A$2:$A$9,0)),0),IFERROR(INDEX(Weekly_Model!$D$2:$D$9,MATCH(F156,Weekly_Model!$A$2:$A$9,0)),0)),IF(VLOOKUP($A153,Calendar!$A$1:$R$1377,18,0)=5,SUM(IFERROR(INDEX(Weekly_Model!$D$2:$D$9,MATCH(F153,Weekly_Model!$A$2:$A$9,0)),0),IFERROR(INDEX(Weekly_Model!$D$2:$D$9,MATCH(F154,Weekly_Model!$A$2:$A$9,0)),0),IFERROR(INDEX(Weekly_Model!$D$2:$D$9,MATCH(F155,Weekly_Model!$A$2:$A$9,0)),0),IFERROR(INDEX(Weekly_Model!$D$2:$D$9,MATCH(F156,Weekly_Model!$A$2:$A$9,0)),0),IFERROR(INDEX(Weekly_Model!$D$2:$D$9,MATCH(F157,Weekly_Model!$A$2:$A$9,0)),0)),0))))))</f>
        <v>2.3200000000000002E-2</v>
      </c>
      <c r="L153" s="27">
        <f>IF(VLOOKUP($A153,Calendar!$A$1:$R$1377,18,0)=0,0,IF(VLOOKUP($A153,Calendar!$A$1:$R$1377,18,0)=1,IFERROR(INDEX(Fortnightly_Model!$D$2:$D$15,MATCH(G153,Fortnightly_Model!$B$2:$B$15,0)),0),IF(VLOOKUP($A153,Calendar!$A$1:$R$1377,18,0)=2,SUM(IFERROR(INDEX(Fortnightly_Model!$D$2:$D$15,MATCH(G153,Fortnightly_Model!$B$2:$B$15,0)),0),IFERROR(INDEX(Fortnightly_Model!$D$2:$D$15,MATCH(G154,Fortnightly_Model!$B$2:$B$15,0)),0)),IF(VLOOKUP($A153,Calendar!$A$1:$R$1377,18,0)=3,SUM(IFERROR(INDEX(Fortnightly_Model!$D$2:$D$15,MATCH(G153,Fortnightly_Model!$B$2:$B$15,0)),0),IFERROR(INDEX(Fortnightly_Model!$D$2:$D$15,MATCH(G154,Fortnightly_Model!$B$2:$B$15,0)),0),IFERROR(INDEX(Fortnightly_Model!$D$2:$D$15,MATCH(G155,Fortnightly_Model!$B$2:$B$15,0)),0)),IF(VLOOKUP($A153,Calendar!$A$1:$R$1377,18,0)=4,SUM(IFERROR(INDEX(Fortnightly_Model!$D$2:$D$15,MATCH(G153,Fortnightly_Model!$B$2:$B$15,0)),0),IFERROR(INDEX(Fortnightly_Model!$D$2:$D$15,MATCH(G154,Fortnightly_Model!$B$2:$B$15,0)),0),IFERROR(INDEX(Fortnightly_Model!$D$2:$D$15,MATCH(G155,Fortnightly_Model!$B$2:$B$15,0)),0),IFERROR(INDEX(Fortnightly_Model!$D$2:$D$15,MATCH(G156,Fortnightly_Model!$B$2:$B$15,0)),0)),IF(VLOOKUP($A153,Calendar!$A$1:$R$1377,18,0)=5,SUM(IFERROR(INDEX(Fortnightly_Model!$D$2:$D$15,MATCH(G153,Fortnightly_Model!$B$2:$B$15,0)),0),IFERROR(INDEX(Fortnightly_Model!$D$2:$D$15,MATCH(G154,Fortnightly_Model!$B$2:$B$15,0)),0),IFERROR(INDEX(Fortnightly_Model!$D$2:$D$15,MATCH(G155,Fortnightly_Model!$B$2:$B$15,0)),0),IFERROR(INDEX(Fortnightly_Model!$D$2:$D$15,MATCH(G156,Fortnightly_Model!$B$2:$B$15,0)),0),IFERROR(INDEX(Fortnightly_Model!$D$2:$D$15,MATCH(G157,Fortnightly_Model!$B$2:$B$15,0)),0)),0))))))</f>
        <v>1.0714285499999999E-3</v>
      </c>
      <c r="M153" s="27">
        <f>IF(VLOOKUP($A153,Calendar!$A$1:$R$1377,18,0)=0,0,IF(VLOOKUP($A153,Calendar!$A$1:$R$1377,18,0)=1,IFERROR(INDEX(FourWeekly_Model!$D$2:$D$29,MATCH(H153,FourWeekly_Model!$B$2:$B$29,0)),0),IF(VLOOKUP($A153,Calendar!$A$1:$R$1377,18,0)=2,SUM(IFERROR(INDEX(FourWeekly_Model!$D$2:$D$29,MATCH(H153,FourWeekly_Model!$B$2:$B$29,0)),0),IFERROR(INDEX(FourWeekly_Model!$D$2:$D$29,MATCH(H154,FourWeekly_Model!$B$2:$B$29,0)),0)),IF(VLOOKUP($A153,Calendar!$A$1:$R$1377,18,0)=3,SUM(IFERROR(INDEX(FourWeekly_Model!$D$2:$D$29,MATCH(H153,FourWeekly_Model!$B$2:$B$29,0)),0),IFERROR(INDEX(FourWeekly_Model!$D$2:$D$29,MATCH(H154,FourWeekly_Model!$B$2:$B$29,0)),0),IFERROR(INDEX(FourWeekly_Model!$D$2:$D$29,MATCH(H155,FourWeekly_Model!$B$2:$B$29,0)),0)),IF(VLOOKUP($A153,Calendar!$A$1:$R$1377,18,0)=4,SUM(IFERROR(INDEX(FourWeekly_Model!$D$2:$D$29,MATCH(H153,FourWeekly_Model!$B$2:$B$29,0)),0),IFERROR(INDEX(FourWeekly_Model!$D$2:$D$29,MATCH(H154,FourWeekly_Model!$B$2:$B$29,0)),0),IFERROR(INDEX(FourWeekly_Model!$D$2:$D$29,MATCH(H155,FourWeekly_Model!$B$2:$B$29,0)),0),IFERROR(INDEX(FourWeekly_Model!$D$2:$D$29,MATCH(H156,FourWeekly_Model!$B$2:$B$29,0)),0)),IF(VLOOKUP($A153,Calendar!$A$1:$R$1377,18,0)=5,SUM(IFERROR(INDEX(FourWeekly_Model!$D$2:$D$29,MATCH(H153,FourWeekly_Model!$B$2:$B$29,0)),0),IFERROR(INDEX(FourWeekly_Model!$D$2:$D$29,MATCH(H154,FourWeekly_Model!$B$2:$B$29,0)),0),IFERROR(INDEX(FourWeekly_Model!$D$2:$D$29,MATCH(H155,FourWeekly_Model!$B$2:$B$29,0)),0),IFERROR(INDEX(FourWeekly_Model!$D$2:$D$29,MATCH(H156,FourWeekly_Model!$B$2:$B$29,0)),0),IFERROR(INDEX(FourWeekly_Model!$D$2:$D$29,MATCH(H157,FourWeekly_Model!$B$2:$B$29,0)),0)),0))))))</f>
        <v>3.3214289700000004E-3</v>
      </c>
      <c r="N153" s="27">
        <f>SUM(I153:M153)</f>
        <v>3.2468250190157068E-2</v>
      </c>
      <c r="O153" s="28">
        <f>Population_Data!$B$8*N153</f>
        <v>983787.9807617591</v>
      </c>
      <c r="P153" s="27">
        <f>IF(VLOOKUP($A153,Calendar!$A$1:$R$1377,18,0)=0,0,IF(VLOOKUP($A153,Calendar!$A$1:$R$1377,18,0)=1,IFERROR(INDEX(Pension_Model!$D$2:$D$29,MATCH(H153,Pension_Model!$B$2:$B$29,0)),0),IF(VLOOKUP($A153,Calendar!$A$1:$R$1377,18,0)=2,SUM(IFERROR(INDEX(Pension_Model!$D$2:$D$29,MATCH(H153,Pension_Model!$B$2:$B$29,0)),0),IFERROR(INDEX(Pension_Model!$D$2:$D$29,MATCH(H154,Pension_Model!$B$2:$B$29,0)),0)),IF(VLOOKUP($A153,Calendar!$A$1:$R$1377,18,0)=3,SUM(IFERROR(INDEX(Pension_Model!$D$2:$D$29,MATCH(H153,Pension_Model!$B$2:$B$29,0)),0),IFERROR(INDEX(Pension_Model!$D$2:$D$29,MATCH(H154,Pension_Model!$B$2:$B$29,0)),0),IFERROR(INDEX(Pension_Model!$D$2:$D$29,MATCH(H155,Pension_Model!$B$2:$B$29,0)),0)),IF(VLOOKUP($A153,Calendar!$A$1:$R$1377,18,0)=4,SUM(IFERROR(INDEX(Pension_Model!$D$2:$D$29,MATCH(H153,Pension_Model!$B$2:$B$29,0)),0),IFERROR(INDEX(Pension_Model!$D$2:$D$29,MATCH(H154,Pension_Model!$B$2:$B$29,0)),0),IFERROR(INDEX(Pension_Model!$D$2:$D$29,MATCH(H155,Pension_Model!$B$2:$B$29,0)),0),IFERROR(INDEX(Pension_Model!$D$2:$D$29,MATCH(H156,Pension_Model!$B$2:$B$29,0)),0)),IF(VLOOKUP($A153,Calendar!$A$1:$R$1377,18,0)=5,SUM(IFERROR(INDEX(Pension_Model!$D$2:$D$29,MATCH(H153,Pension_Model!$B$2:$B$29,0)),0),IFERROR(INDEX(Pension_Model!$D$2:$D$29,MATCH(H154,Pension_Model!$B$2:$B$29,0)),0),IFERROR(INDEX(Pension_Model!$D$2:$D$29,MATCH(H155,Pension_Model!$B$2:$B$29,0)),0),IFERROR(INDEX(Pension_Model!$D$2:$D$29,MATCH(H156,Pension_Model!$B$2:$B$29,0)),0),IFERROR(INDEX(Pension_Model!$D$2:$D$29,MATCH(H157,Pension_Model!$B$2:$B$29,0)),0)),0))))))</f>
        <v>0.05</v>
      </c>
      <c r="Q153" s="28">
        <f>Population_Data!$B$15*P153</f>
        <v>660600</v>
      </c>
      <c r="S153">
        <f t="shared" si="2"/>
        <v>1644387.980761759</v>
      </c>
      <c r="U153" s="33">
        <f>S153/Population_Data!$B$19</f>
        <v>2.9789637332640562E-2</v>
      </c>
    </row>
    <row r="154" spans="1:21">
      <c r="A154" s="25">
        <f>Calendar!A154</f>
        <v>46387</v>
      </c>
      <c r="B154" t="str">
        <f>Calendar!L154</f>
        <v>Yes</v>
      </c>
      <c r="C154" t="str">
        <f>Calendar!O154</f>
        <v>Yes</v>
      </c>
      <c r="D154" t="str">
        <f>Calendar!P154</f>
        <v>No</v>
      </c>
      <c r="E154" t="str">
        <f>Calendar!Q154</f>
        <v>Yes</v>
      </c>
      <c r="F154" t="str">
        <f>Calendar!I154</f>
        <v>Thursday</v>
      </c>
      <c r="G154">
        <f>Calendar!S154</f>
        <v>5</v>
      </c>
      <c r="H154">
        <f>Calendar!T154</f>
        <v>19</v>
      </c>
      <c r="I154" s="27">
        <f>IF(VLOOKUP(A154,Calendar!$A$1:$R$1377,18,0)=0,0,IF(VLOOKUP(A154,Calendar!$A$1:$R$1377,18,0)=1,INDEX(Monthly_Pay_Model!$A$9:$D$40,MATCH(TEXT(A154,"dd"),Monthly_Pay_Model!$C$9:$C$39,0),4),IF(VLOOKUP(A154,Calendar!$A$1:$R$1377,18,0)=2,SUM(INDEX(Monthly_Pay_Model!$A$9:$D$40,MATCH(TEXT(A154,"dd"),Monthly_Pay_Model!$C$9:$C$39,0),4),INDEX(Monthly_Pay_Model!$A$9:$D$40,MATCH(TEXT(A155,"dd"),Monthly_Pay_Model!$C$9:$C$39,0),4)),IF(VLOOKUP(A154,Calendar!$A$1:$R$1377,18,0)=3,SUM(INDEX(Monthly_Pay_Model!$A$9:$D$40,MATCH(TEXT(A154,"dd"),Monthly_Pay_Model!$C$9:$C$39,0),4),INDEX(Monthly_Pay_Model!$A$9:$D$40,MATCH(TEXT(A155,"dd"),Monthly_Pay_Model!$C$9:$C$39,0),4),INDEX(Monthly_Pay_Model!$A$9:$D$40,MATCH(TEXT(A156,"dd"),Monthly_Pay_Model!$C$9:$C$39,0),4)),IF(VLOOKUP(A154,Calendar!$A$1:$R$1377,18,0)=4,SUM(INDEX(Monthly_Pay_Model!$A$9:$D$40,MATCH(TEXT(A154,"dd"),Monthly_Pay_Model!$C$9:$C$39,0),4),INDEX(Monthly_Pay_Model!$A$9:$D$40,MATCH(TEXT(A155,"dd"),Monthly_Pay_Model!$C$9:$C$39,0),4),INDEX(Monthly_Pay_Model!$A$9:$D$40,MATCH(TEXT(A156,"dd"),Monthly_Pay_Model!$C$9:$C$39,0),4),INDEX(Monthly_Pay_Model!$A$9:$D$40,MATCH(TEXT(A157,"dd"),Monthly_Pay_Model!$C$9:$C$39,0),4)),IF(VLOOKUP(A154,Calendar!$A$1:$R$1377,18,0)=5,SUM(INDEX(Monthly_Pay_Model!$A$9:$D$40,MATCH(TEXT(A154,"dd"),Monthly_Pay_Model!$C$9:$C$39,0),4),INDEX(Monthly_Pay_Model!$A$9:$D$40,MATCH(TEXT(A155,"dd"),Monthly_Pay_Model!$C$9:$C$39,0),4),INDEX(Monthly_Pay_Model!$A$9:$D$40,MATCH(TEXT(A156,"dd"),Monthly_Pay_Model!$C$9:$C$39,0),4),INDEX(Monthly_Pay_Model!$A$9:$D$40,MATCH(TEXT(A157,"dd"),Monthly_Pay_Model!$C$9:$C$39,0),4),INDEX(Monthly_Pay_Model!$A$9:$D$40,MATCH(TEXT(A158,"dd"),Monthly_Pay_Model!$C$9:$C$39,0),4)),))))))</f>
        <v>1.1375916230366493E-2</v>
      </c>
      <c r="J154" s="33">
        <f>IF(C154="Yes",Monthly_Pay_Model!$D$2,0)
+IF(Calendar!N154="Yes",Monthly_Pay_Model!$D$3,0)
+IF(D154="Yes",Monthly_Pay_Model!$D$4,0)
+IF(E154="Yes",Monthly_Pay_Model!$D$5,0)</f>
        <v>0.46560000000000001</v>
      </c>
      <c r="K154" s="27">
        <f>IF(VLOOKUP($A154,Calendar!$A$1:$R$1377,18,0)=0,0,IF(VLOOKUP($A154,Calendar!$A$1:$R$1377,18,0)=1,IFERROR(INDEX(Weekly_Model!$D$2:$D$9,MATCH(F154,Weekly_Model!$A$2:$A$9,0)),0),IF(VLOOKUP($A154,Calendar!$A$1:$R$1377,18,0)=2,SUM(IFERROR(INDEX(Weekly_Model!$D$2:$D$9,MATCH(F154,Weekly_Model!$A$2:$A$9,0)),0),IFERROR(INDEX(Weekly_Model!$D$2:$D$9,MATCH(F155,Weekly_Model!$A$2:$A$9,0)),0)),IF(VLOOKUP($A154,Calendar!$A$1:$R$1377,18,0)=3,SUM(IFERROR(INDEX(Weekly_Model!$D$2:$D$9,MATCH(F154,Weekly_Model!$A$2:$A$9,0)),0),IFERROR(INDEX(Weekly_Model!$D$2:$D$9,MATCH(F155,Weekly_Model!$A$2:$A$9,0)),0),IFERROR(INDEX(Weekly_Model!$D$2:$D$9,MATCH(F156,Weekly_Model!$A$2:$A$9,0)),0)),IF(VLOOKUP($A154,Calendar!$A$1:$R$1377,18,0)=4,SUM(IFERROR(INDEX(Weekly_Model!$D$2:$D$9,MATCH(F154,Weekly_Model!$A$2:$A$9,0)),0),IFERROR(INDEX(Weekly_Model!$D$2:$D$9,MATCH(F155,Weekly_Model!$A$2:$A$9,0)),0),IFERROR(INDEX(Weekly_Model!$D$2:$D$9,MATCH(F156,Weekly_Model!$A$2:$A$9,0)),0),IFERROR(INDEX(Weekly_Model!$D$2:$D$9,MATCH(F157,Weekly_Model!$A$2:$A$9,0)),0)),IF(VLOOKUP($A154,Calendar!$A$1:$R$1377,18,0)=5,SUM(IFERROR(INDEX(Weekly_Model!$D$2:$D$9,MATCH(F154,Weekly_Model!$A$2:$A$9,0)),0),IFERROR(INDEX(Weekly_Model!$D$2:$D$9,MATCH(F155,Weekly_Model!$A$2:$A$9,0)),0),IFERROR(INDEX(Weekly_Model!$D$2:$D$9,MATCH(F156,Weekly_Model!$A$2:$A$9,0)),0),IFERROR(INDEX(Weekly_Model!$D$2:$D$9,MATCH(F157,Weekly_Model!$A$2:$A$9,0)),0),IFERROR(INDEX(Weekly_Model!$D$2:$D$9,MATCH(F158,Weekly_Model!$A$2:$A$9,0)),0)),0))))))</f>
        <v>4.6400000000000004E-2</v>
      </c>
      <c r="L154" s="27">
        <f>IF(VLOOKUP($A154,Calendar!$A$1:$R$1377,18,0)=0,0,IF(VLOOKUP($A154,Calendar!$A$1:$R$1377,18,0)=1,IFERROR(INDEX(Fortnightly_Model!$D$2:$D$15,MATCH(G154,Fortnightly_Model!$B$2:$B$15,0)),0),IF(VLOOKUP($A154,Calendar!$A$1:$R$1377,18,0)=2,SUM(IFERROR(INDEX(Fortnightly_Model!$D$2:$D$15,MATCH(G154,Fortnightly_Model!$B$2:$B$15,0)),0),IFERROR(INDEX(Fortnightly_Model!$D$2:$D$15,MATCH(G155,Fortnightly_Model!$B$2:$B$15,0)),0)),IF(VLOOKUP($A154,Calendar!$A$1:$R$1377,18,0)=3,SUM(IFERROR(INDEX(Fortnightly_Model!$D$2:$D$15,MATCH(G154,Fortnightly_Model!$B$2:$B$15,0)),0),IFERROR(INDEX(Fortnightly_Model!$D$2:$D$15,MATCH(G155,Fortnightly_Model!$B$2:$B$15,0)),0),IFERROR(INDEX(Fortnightly_Model!$D$2:$D$15,MATCH(G156,Fortnightly_Model!$B$2:$B$15,0)),0)),IF(VLOOKUP($A154,Calendar!$A$1:$R$1377,18,0)=4,SUM(IFERROR(INDEX(Fortnightly_Model!$D$2:$D$15,MATCH(G154,Fortnightly_Model!$B$2:$B$15,0)),0),IFERROR(INDEX(Fortnightly_Model!$D$2:$D$15,MATCH(G155,Fortnightly_Model!$B$2:$B$15,0)),0),IFERROR(INDEX(Fortnightly_Model!$D$2:$D$15,MATCH(G156,Fortnightly_Model!$B$2:$B$15,0)),0),IFERROR(INDEX(Fortnightly_Model!$D$2:$D$15,MATCH(G157,Fortnightly_Model!$B$2:$B$15,0)),0)),IF(VLOOKUP($A154,Calendar!$A$1:$R$1377,18,0)=5,SUM(IFERROR(INDEX(Fortnightly_Model!$D$2:$D$15,MATCH(G154,Fortnightly_Model!$B$2:$B$15,0)),0),IFERROR(INDEX(Fortnightly_Model!$D$2:$D$15,MATCH(G155,Fortnightly_Model!$B$2:$B$15,0)),0),IFERROR(INDEX(Fortnightly_Model!$D$2:$D$15,MATCH(G156,Fortnightly_Model!$B$2:$B$15,0)),0),IFERROR(INDEX(Fortnightly_Model!$D$2:$D$15,MATCH(G157,Fortnightly_Model!$B$2:$B$15,0)),0),IFERROR(INDEX(Fortnightly_Model!$D$2:$D$15,MATCH(G158,Fortnightly_Model!$B$2:$B$15,0)),0)),0))))))</f>
        <v>4.2857141999999996E-3</v>
      </c>
      <c r="M154" s="27">
        <f>IF(VLOOKUP($A154,Calendar!$A$1:$R$1377,18,0)=0,0,IF(VLOOKUP($A154,Calendar!$A$1:$R$1377,18,0)=1,IFERROR(INDEX(FourWeekly_Model!$D$2:$D$29,MATCH(H154,FourWeekly_Model!$B$2:$B$29,0)),0),IF(VLOOKUP($A154,Calendar!$A$1:$R$1377,18,0)=2,SUM(IFERROR(INDEX(FourWeekly_Model!$D$2:$D$29,MATCH(H154,FourWeekly_Model!$B$2:$B$29,0)),0),IFERROR(INDEX(FourWeekly_Model!$D$2:$D$29,MATCH(H155,FourWeekly_Model!$B$2:$B$29,0)),0)),IF(VLOOKUP($A154,Calendar!$A$1:$R$1377,18,0)=3,SUM(IFERROR(INDEX(FourWeekly_Model!$D$2:$D$29,MATCH(H154,FourWeekly_Model!$B$2:$B$29,0)),0),IFERROR(INDEX(FourWeekly_Model!$D$2:$D$29,MATCH(H155,FourWeekly_Model!$B$2:$B$29,0)),0),IFERROR(INDEX(FourWeekly_Model!$D$2:$D$29,MATCH(H156,FourWeekly_Model!$B$2:$B$29,0)),0)),IF(VLOOKUP($A154,Calendar!$A$1:$R$1377,18,0)=4,SUM(IFERROR(INDEX(FourWeekly_Model!$D$2:$D$29,MATCH(H154,FourWeekly_Model!$B$2:$B$29,0)),0),IFERROR(INDEX(FourWeekly_Model!$D$2:$D$29,MATCH(H155,FourWeekly_Model!$B$2:$B$29,0)),0),IFERROR(INDEX(FourWeekly_Model!$D$2:$D$29,MATCH(H156,FourWeekly_Model!$B$2:$B$29,0)),0),IFERROR(INDEX(FourWeekly_Model!$D$2:$D$29,MATCH(H157,FourWeekly_Model!$B$2:$B$29,0)),0)),IF(VLOOKUP($A154,Calendar!$A$1:$R$1377,18,0)=5,SUM(IFERROR(INDEX(FourWeekly_Model!$D$2:$D$29,MATCH(H154,FourWeekly_Model!$B$2:$B$29,0)),0),IFERROR(INDEX(FourWeekly_Model!$D$2:$D$29,MATCH(H155,FourWeekly_Model!$B$2:$B$29,0)),0),IFERROR(INDEX(FourWeekly_Model!$D$2:$D$29,MATCH(H156,FourWeekly_Model!$B$2:$B$29,0)),0),IFERROR(INDEX(FourWeekly_Model!$D$2:$D$29,MATCH(H157,FourWeekly_Model!$B$2:$B$29,0)),0),IFERROR(INDEX(FourWeekly_Model!$D$2:$D$29,MATCH(H158,FourWeekly_Model!$B$2:$B$29,0)),0)),0))))))</f>
        <v>1.3285714950000001E-2</v>
      </c>
      <c r="N154" s="27">
        <f>SUM(I154:M154)</f>
        <v>0.54094734538036648</v>
      </c>
      <c r="O154" s="28">
        <f>Population_Data!$B$8*N154</f>
        <v>16390704.565025104</v>
      </c>
      <c r="P154" s="27">
        <f>IF(VLOOKUP($A154,Calendar!$A$1:$R$1377,18,0)=0,0,IF(VLOOKUP($A154,Calendar!$A$1:$R$1377,18,0)=1,IFERROR(INDEX(Pension_Model!$D$2:$D$29,MATCH(H154,Pension_Model!$B$2:$B$29,0)),0),IF(VLOOKUP($A154,Calendar!$A$1:$R$1377,18,0)=2,SUM(IFERROR(INDEX(Pension_Model!$D$2:$D$29,MATCH(H154,Pension_Model!$B$2:$B$29,0)),0),IFERROR(INDEX(Pension_Model!$D$2:$D$29,MATCH(H155,Pension_Model!$B$2:$B$29,0)),0)),IF(VLOOKUP($A154,Calendar!$A$1:$R$1377,18,0)=3,SUM(IFERROR(INDEX(Pension_Model!$D$2:$D$29,MATCH(H154,Pension_Model!$B$2:$B$29,0)),0),IFERROR(INDEX(Pension_Model!$D$2:$D$29,MATCH(H155,Pension_Model!$B$2:$B$29,0)),0),IFERROR(INDEX(Pension_Model!$D$2:$D$29,MATCH(H156,Pension_Model!$B$2:$B$29,0)),0)),IF(VLOOKUP($A154,Calendar!$A$1:$R$1377,18,0)=4,SUM(IFERROR(INDEX(Pension_Model!$D$2:$D$29,MATCH(H154,Pension_Model!$B$2:$B$29,0)),0),IFERROR(INDEX(Pension_Model!$D$2:$D$29,MATCH(H155,Pension_Model!$B$2:$B$29,0)),0),IFERROR(INDEX(Pension_Model!$D$2:$D$29,MATCH(H156,Pension_Model!$B$2:$B$29,0)),0),IFERROR(INDEX(Pension_Model!$D$2:$D$29,MATCH(H157,Pension_Model!$B$2:$B$29,0)),0)),IF(VLOOKUP($A154,Calendar!$A$1:$R$1377,18,0)=5,SUM(IFERROR(INDEX(Pension_Model!$D$2:$D$29,MATCH(H154,Pension_Model!$B$2:$B$29,0)),0),IFERROR(INDEX(Pension_Model!$D$2:$D$29,MATCH(H155,Pension_Model!$B$2:$B$29,0)),0),IFERROR(INDEX(Pension_Model!$D$2:$D$29,MATCH(H156,Pension_Model!$B$2:$B$29,0)),0),IFERROR(INDEX(Pension_Model!$D$2:$D$29,MATCH(H157,Pension_Model!$B$2:$B$29,0)),0),IFERROR(INDEX(Pension_Model!$D$2:$D$29,MATCH(H158,Pension_Model!$B$2:$B$29,0)),0)),0))))))</f>
        <v>0.1</v>
      </c>
      <c r="Q154" s="28">
        <f>Population_Data!$B$15*P154</f>
        <v>1321200</v>
      </c>
      <c r="S154">
        <f t="shared" si="2"/>
        <v>17711904.565025106</v>
      </c>
      <c r="U154" s="33">
        <f>S154/Population_Data!$B$19</f>
        <v>0.3208678363229186</v>
      </c>
    </row>
    <row r="155" spans="1:21">
      <c r="A155" s="25">
        <f>Calendar!A155</f>
        <v>46388</v>
      </c>
      <c r="B155" t="str">
        <f>Calendar!L155</f>
        <v>No</v>
      </c>
      <c r="C155" t="str">
        <f>Calendar!O155</f>
        <v>No</v>
      </c>
      <c r="D155" t="str">
        <f>Calendar!P155</f>
        <v>No</v>
      </c>
      <c r="E155" t="str">
        <f>Calendar!Q155</f>
        <v>No</v>
      </c>
      <c r="F155" t="str">
        <f>Calendar!I155</f>
        <v>Friday</v>
      </c>
      <c r="G155">
        <f>Calendar!S155</f>
        <v>6</v>
      </c>
      <c r="H155">
        <f>Calendar!T155</f>
        <v>20</v>
      </c>
      <c r="I155" s="27">
        <f>IF(VLOOKUP(A155,Calendar!$A$1:$R$1377,18,0)=0,0,IF(VLOOKUP(A155,Calendar!$A$1:$R$1377,18,0)=1,INDEX(Monthly_Pay_Model!$A$9:$D$40,MATCH(TEXT(A155,"dd"),Monthly_Pay_Model!$C$9:$C$39,0),4),IF(VLOOKUP(A155,Calendar!$A$1:$R$1377,18,0)=2,SUM(INDEX(Monthly_Pay_Model!$A$9:$D$40,MATCH(TEXT(A155,"dd"),Monthly_Pay_Model!$C$9:$C$39,0),4),INDEX(Monthly_Pay_Model!$A$9:$D$40,MATCH(TEXT(A156,"dd"),Monthly_Pay_Model!$C$9:$C$39,0),4)),IF(VLOOKUP(A155,Calendar!$A$1:$R$1377,18,0)=3,SUM(INDEX(Monthly_Pay_Model!$A$9:$D$40,MATCH(TEXT(A155,"dd"),Monthly_Pay_Model!$C$9:$C$39,0),4),INDEX(Monthly_Pay_Model!$A$9:$D$40,MATCH(TEXT(A156,"dd"),Monthly_Pay_Model!$C$9:$C$39,0),4),INDEX(Monthly_Pay_Model!$A$9:$D$40,MATCH(TEXT(A157,"dd"),Monthly_Pay_Model!$C$9:$C$39,0),4)),IF(VLOOKUP(A155,Calendar!$A$1:$R$1377,18,0)=4,SUM(INDEX(Monthly_Pay_Model!$A$9:$D$40,MATCH(TEXT(A155,"dd"),Monthly_Pay_Model!$C$9:$C$39,0),4),INDEX(Monthly_Pay_Model!$A$9:$D$40,MATCH(TEXT(A156,"dd"),Monthly_Pay_Model!$C$9:$C$39,0),4),INDEX(Monthly_Pay_Model!$A$9:$D$40,MATCH(TEXT(A157,"dd"),Monthly_Pay_Model!$C$9:$C$39,0),4),INDEX(Monthly_Pay_Model!$A$9:$D$40,MATCH(TEXT(A158,"dd"),Monthly_Pay_Model!$C$9:$C$39,0),4)),IF(VLOOKUP(A155,Calendar!$A$1:$R$1377,18,0)=5,SUM(INDEX(Monthly_Pay_Model!$A$9:$D$40,MATCH(TEXT(A155,"dd"),Monthly_Pay_Model!$C$9:$C$39,0),4),INDEX(Monthly_Pay_Model!$A$9:$D$40,MATCH(TEXT(A156,"dd"),Monthly_Pay_Model!$C$9:$C$39,0),4),INDEX(Monthly_Pay_Model!$A$9:$D$40,MATCH(TEXT(A157,"dd"),Monthly_Pay_Model!$C$9:$C$39,0),4),INDEX(Monthly_Pay_Model!$A$9:$D$40,MATCH(TEXT(A158,"dd"),Monthly_Pay_Model!$C$9:$C$39,0),4),INDEX(Monthly_Pay_Model!$A$9:$D$40,MATCH(TEXT(A159,"dd"),Monthly_Pay_Model!$C$9:$C$39,0),4)),))))))</f>
        <v>0</v>
      </c>
      <c r="J155" s="33">
        <f>IF(C155="Yes",Monthly_Pay_Model!$D$2,0)
+IF(Calendar!N155="Yes",Monthly_Pay_Model!$D$3,0)
+IF(D155="Yes",Monthly_Pay_Model!$D$4,0)
+IF(E155="Yes",Monthly_Pay_Model!$D$5,0)</f>
        <v>0</v>
      </c>
      <c r="K155" s="27">
        <f>IF(VLOOKUP($A155,Calendar!$A$1:$R$1377,18,0)=0,0,IF(VLOOKUP($A155,Calendar!$A$1:$R$1377,18,0)=1,IFERROR(INDEX(Weekly_Model!$D$2:$D$9,MATCH(F155,Weekly_Model!$A$2:$A$9,0)),0),IF(VLOOKUP($A155,Calendar!$A$1:$R$1377,18,0)=2,SUM(IFERROR(INDEX(Weekly_Model!$D$2:$D$9,MATCH(F155,Weekly_Model!$A$2:$A$9,0)),0),IFERROR(INDEX(Weekly_Model!$D$2:$D$9,MATCH(F156,Weekly_Model!$A$2:$A$9,0)),0)),IF(VLOOKUP($A155,Calendar!$A$1:$R$1377,18,0)=3,SUM(IFERROR(INDEX(Weekly_Model!$D$2:$D$9,MATCH(F155,Weekly_Model!$A$2:$A$9,0)),0),IFERROR(INDEX(Weekly_Model!$D$2:$D$9,MATCH(F156,Weekly_Model!$A$2:$A$9,0)),0),IFERROR(INDEX(Weekly_Model!$D$2:$D$9,MATCH(F157,Weekly_Model!$A$2:$A$9,0)),0)),IF(VLOOKUP($A155,Calendar!$A$1:$R$1377,18,0)=4,SUM(IFERROR(INDEX(Weekly_Model!$D$2:$D$9,MATCH(F155,Weekly_Model!$A$2:$A$9,0)),0),IFERROR(INDEX(Weekly_Model!$D$2:$D$9,MATCH(F156,Weekly_Model!$A$2:$A$9,0)),0),IFERROR(INDEX(Weekly_Model!$D$2:$D$9,MATCH(F157,Weekly_Model!$A$2:$A$9,0)),0),IFERROR(INDEX(Weekly_Model!$D$2:$D$9,MATCH(F158,Weekly_Model!$A$2:$A$9,0)),0)),IF(VLOOKUP($A155,Calendar!$A$1:$R$1377,18,0)=5,SUM(IFERROR(INDEX(Weekly_Model!$D$2:$D$9,MATCH(F155,Weekly_Model!$A$2:$A$9,0)),0),IFERROR(INDEX(Weekly_Model!$D$2:$D$9,MATCH(F156,Weekly_Model!$A$2:$A$9,0)),0),IFERROR(INDEX(Weekly_Model!$D$2:$D$9,MATCH(F157,Weekly_Model!$A$2:$A$9,0)),0),IFERROR(INDEX(Weekly_Model!$D$2:$D$9,MATCH(F158,Weekly_Model!$A$2:$A$9,0)),0),IFERROR(INDEX(Weekly_Model!$D$2:$D$9,MATCH(F159,Weekly_Model!$A$2:$A$9,0)),0)),0))))))</f>
        <v>0</v>
      </c>
      <c r="L155" s="27">
        <f>IF(VLOOKUP($A155,Calendar!$A$1:$R$1377,18,0)=0,0,IF(VLOOKUP($A155,Calendar!$A$1:$R$1377,18,0)=1,IFERROR(INDEX(Fortnightly_Model!$D$2:$D$15,MATCH(G155,Fortnightly_Model!$B$2:$B$15,0)),0),IF(VLOOKUP($A155,Calendar!$A$1:$R$1377,18,0)=2,SUM(IFERROR(INDEX(Fortnightly_Model!$D$2:$D$15,MATCH(G155,Fortnightly_Model!$B$2:$B$15,0)),0),IFERROR(INDEX(Fortnightly_Model!$D$2:$D$15,MATCH(G156,Fortnightly_Model!$B$2:$B$15,0)),0)),IF(VLOOKUP($A155,Calendar!$A$1:$R$1377,18,0)=3,SUM(IFERROR(INDEX(Fortnightly_Model!$D$2:$D$15,MATCH(G155,Fortnightly_Model!$B$2:$B$15,0)),0),IFERROR(INDEX(Fortnightly_Model!$D$2:$D$15,MATCH(G156,Fortnightly_Model!$B$2:$B$15,0)),0),IFERROR(INDEX(Fortnightly_Model!$D$2:$D$15,MATCH(G157,Fortnightly_Model!$B$2:$B$15,0)),0)),IF(VLOOKUP($A155,Calendar!$A$1:$R$1377,18,0)=4,SUM(IFERROR(INDEX(Fortnightly_Model!$D$2:$D$15,MATCH(G155,Fortnightly_Model!$B$2:$B$15,0)),0),IFERROR(INDEX(Fortnightly_Model!$D$2:$D$15,MATCH(G156,Fortnightly_Model!$B$2:$B$15,0)),0),IFERROR(INDEX(Fortnightly_Model!$D$2:$D$15,MATCH(G157,Fortnightly_Model!$B$2:$B$15,0)),0),IFERROR(INDEX(Fortnightly_Model!$D$2:$D$15,MATCH(G158,Fortnightly_Model!$B$2:$B$15,0)),0)),IF(VLOOKUP($A155,Calendar!$A$1:$R$1377,18,0)=5,SUM(IFERROR(INDEX(Fortnightly_Model!$D$2:$D$15,MATCH(G155,Fortnightly_Model!$B$2:$B$15,0)),0),IFERROR(INDEX(Fortnightly_Model!$D$2:$D$15,MATCH(G156,Fortnightly_Model!$B$2:$B$15,0)),0),IFERROR(INDEX(Fortnightly_Model!$D$2:$D$15,MATCH(G157,Fortnightly_Model!$B$2:$B$15,0)),0),IFERROR(INDEX(Fortnightly_Model!$D$2:$D$15,MATCH(G158,Fortnightly_Model!$B$2:$B$15,0)),0),IFERROR(INDEX(Fortnightly_Model!$D$2:$D$15,MATCH(G159,Fortnightly_Model!$B$2:$B$15,0)),0)),0))))))</f>
        <v>0</v>
      </c>
      <c r="M155" s="27">
        <f>IF(VLOOKUP($A155,Calendar!$A$1:$R$1377,18,0)=0,0,IF(VLOOKUP($A155,Calendar!$A$1:$R$1377,18,0)=1,IFERROR(INDEX(FourWeekly_Model!$D$2:$D$29,MATCH(H155,FourWeekly_Model!$B$2:$B$29,0)),0),IF(VLOOKUP($A155,Calendar!$A$1:$R$1377,18,0)=2,SUM(IFERROR(INDEX(FourWeekly_Model!$D$2:$D$29,MATCH(H155,FourWeekly_Model!$B$2:$B$29,0)),0),IFERROR(INDEX(FourWeekly_Model!$D$2:$D$29,MATCH(H156,FourWeekly_Model!$B$2:$B$29,0)),0)),IF(VLOOKUP($A155,Calendar!$A$1:$R$1377,18,0)=3,SUM(IFERROR(INDEX(FourWeekly_Model!$D$2:$D$29,MATCH(H155,FourWeekly_Model!$B$2:$B$29,0)),0),IFERROR(INDEX(FourWeekly_Model!$D$2:$D$29,MATCH(H156,FourWeekly_Model!$B$2:$B$29,0)),0),IFERROR(INDEX(FourWeekly_Model!$D$2:$D$29,MATCH(H157,FourWeekly_Model!$B$2:$B$29,0)),0)),IF(VLOOKUP($A155,Calendar!$A$1:$R$1377,18,0)=4,SUM(IFERROR(INDEX(FourWeekly_Model!$D$2:$D$29,MATCH(H155,FourWeekly_Model!$B$2:$B$29,0)),0),IFERROR(INDEX(FourWeekly_Model!$D$2:$D$29,MATCH(H156,FourWeekly_Model!$B$2:$B$29,0)),0),IFERROR(INDEX(FourWeekly_Model!$D$2:$D$29,MATCH(H157,FourWeekly_Model!$B$2:$B$29,0)),0),IFERROR(INDEX(FourWeekly_Model!$D$2:$D$29,MATCH(H158,FourWeekly_Model!$B$2:$B$29,0)),0)),IF(VLOOKUP($A155,Calendar!$A$1:$R$1377,18,0)=5,SUM(IFERROR(INDEX(FourWeekly_Model!$D$2:$D$29,MATCH(H155,FourWeekly_Model!$B$2:$B$29,0)),0),IFERROR(INDEX(FourWeekly_Model!$D$2:$D$29,MATCH(H156,FourWeekly_Model!$B$2:$B$29,0)),0),IFERROR(INDEX(FourWeekly_Model!$D$2:$D$29,MATCH(H157,FourWeekly_Model!$B$2:$B$29,0)),0),IFERROR(INDEX(FourWeekly_Model!$D$2:$D$29,MATCH(H158,FourWeekly_Model!$B$2:$B$29,0)),0),IFERROR(INDEX(FourWeekly_Model!$D$2:$D$29,MATCH(H159,FourWeekly_Model!$B$2:$B$29,0)),0)),0))))))</f>
        <v>0</v>
      </c>
      <c r="N155" s="27">
        <f>SUM(I155:M155)</f>
        <v>0</v>
      </c>
      <c r="O155" s="28">
        <f>Population_Data!$B$8*N155</f>
        <v>0</v>
      </c>
      <c r="P155" s="27">
        <f>IF(VLOOKUP($A155,Calendar!$A$1:$R$1377,18,0)=0,0,IF(VLOOKUP($A155,Calendar!$A$1:$R$1377,18,0)=1,IFERROR(INDEX(Pension_Model!$D$2:$D$29,MATCH(H155,Pension_Model!$B$2:$B$29,0)),0),IF(VLOOKUP($A155,Calendar!$A$1:$R$1377,18,0)=2,SUM(IFERROR(INDEX(Pension_Model!$D$2:$D$29,MATCH(H155,Pension_Model!$B$2:$B$29,0)),0),IFERROR(INDEX(Pension_Model!$D$2:$D$29,MATCH(H156,Pension_Model!$B$2:$B$29,0)),0)),IF(VLOOKUP($A155,Calendar!$A$1:$R$1377,18,0)=3,SUM(IFERROR(INDEX(Pension_Model!$D$2:$D$29,MATCH(H155,Pension_Model!$B$2:$B$29,0)),0),IFERROR(INDEX(Pension_Model!$D$2:$D$29,MATCH(H156,Pension_Model!$B$2:$B$29,0)),0),IFERROR(INDEX(Pension_Model!$D$2:$D$29,MATCH(H157,Pension_Model!$B$2:$B$29,0)),0)),IF(VLOOKUP($A155,Calendar!$A$1:$R$1377,18,0)=4,SUM(IFERROR(INDEX(Pension_Model!$D$2:$D$29,MATCH(H155,Pension_Model!$B$2:$B$29,0)),0),IFERROR(INDEX(Pension_Model!$D$2:$D$29,MATCH(H156,Pension_Model!$B$2:$B$29,0)),0),IFERROR(INDEX(Pension_Model!$D$2:$D$29,MATCH(H157,Pension_Model!$B$2:$B$29,0)),0),IFERROR(INDEX(Pension_Model!$D$2:$D$29,MATCH(H158,Pension_Model!$B$2:$B$29,0)),0)),IF(VLOOKUP($A155,Calendar!$A$1:$R$1377,18,0)=5,SUM(IFERROR(INDEX(Pension_Model!$D$2:$D$29,MATCH(H155,Pension_Model!$B$2:$B$29,0)),0),IFERROR(INDEX(Pension_Model!$D$2:$D$29,MATCH(H156,Pension_Model!$B$2:$B$29,0)),0),IFERROR(INDEX(Pension_Model!$D$2:$D$29,MATCH(H157,Pension_Model!$B$2:$B$29,0)),0),IFERROR(INDEX(Pension_Model!$D$2:$D$29,MATCH(H158,Pension_Model!$B$2:$B$29,0)),0),IFERROR(INDEX(Pension_Model!$D$2:$D$29,MATCH(H159,Pension_Model!$B$2:$B$29,0)),0)),0))))))</f>
        <v>0</v>
      </c>
      <c r="Q155" s="28">
        <f>Population_Data!$B$15*P155</f>
        <v>0</v>
      </c>
      <c r="S155">
        <f t="shared" si="2"/>
        <v>0</v>
      </c>
      <c r="U155" s="33">
        <f>S155/Population_Data!$B$19</f>
        <v>0</v>
      </c>
    </row>
    <row r="156" spans="1:21">
      <c r="A156" s="25">
        <f>Calendar!A156</f>
        <v>46389</v>
      </c>
      <c r="B156" t="str">
        <f>Calendar!L156</f>
        <v>No</v>
      </c>
      <c r="C156" t="str">
        <f>Calendar!O156</f>
        <v>No</v>
      </c>
      <c r="D156" t="str">
        <f>Calendar!P156</f>
        <v>No</v>
      </c>
      <c r="E156" t="str">
        <f>Calendar!Q156</f>
        <v>No</v>
      </c>
      <c r="F156" t="str">
        <f>Calendar!I156</f>
        <v>Saturday</v>
      </c>
      <c r="G156">
        <f>Calendar!S156</f>
        <v>7</v>
      </c>
      <c r="H156">
        <f>Calendar!T156</f>
        <v>21</v>
      </c>
      <c r="I156" s="27">
        <f>IF(VLOOKUP(A156,Calendar!$A$1:$R$1377,18,0)=0,0,IF(VLOOKUP(A156,Calendar!$A$1:$R$1377,18,0)=1,INDEX(Monthly_Pay_Model!$A$9:$D$40,MATCH(TEXT(A156,"dd"),Monthly_Pay_Model!$C$9:$C$39,0),4),IF(VLOOKUP(A156,Calendar!$A$1:$R$1377,18,0)=2,SUM(INDEX(Monthly_Pay_Model!$A$9:$D$40,MATCH(TEXT(A156,"dd"),Monthly_Pay_Model!$C$9:$C$39,0),4),INDEX(Monthly_Pay_Model!$A$9:$D$40,MATCH(TEXT(A157,"dd"),Monthly_Pay_Model!$C$9:$C$39,0),4)),IF(VLOOKUP(A156,Calendar!$A$1:$R$1377,18,0)=3,SUM(INDEX(Monthly_Pay_Model!$A$9:$D$40,MATCH(TEXT(A156,"dd"),Monthly_Pay_Model!$C$9:$C$39,0),4),INDEX(Monthly_Pay_Model!$A$9:$D$40,MATCH(TEXT(A157,"dd"),Monthly_Pay_Model!$C$9:$C$39,0),4),INDEX(Monthly_Pay_Model!$A$9:$D$40,MATCH(TEXT(A158,"dd"),Monthly_Pay_Model!$C$9:$C$39,0),4)),IF(VLOOKUP(A156,Calendar!$A$1:$R$1377,18,0)=4,SUM(INDEX(Monthly_Pay_Model!$A$9:$D$40,MATCH(TEXT(A156,"dd"),Monthly_Pay_Model!$C$9:$C$39,0),4),INDEX(Monthly_Pay_Model!$A$9:$D$40,MATCH(TEXT(A157,"dd"),Monthly_Pay_Model!$C$9:$C$39,0),4),INDEX(Monthly_Pay_Model!$A$9:$D$40,MATCH(TEXT(A158,"dd"),Monthly_Pay_Model!$C$9:$C$39,0),4),INDEX(Monthly_Pay_Model!$A$9:$D$40,MATCH(TEXT(A159,"dd"),Monthly_Pay_Model!$C$9:$C$39,0),4)),IF(VLOOKUP(A156,Calendar!$A$1:$R$1377,18,0)=5,SUM(INDEX(Monthly_Pay_Model!$A$9:$D$40,MATCH(TEXT(A156,"dd"),Monthly_Pay_Model!$C$9:$C$39,0),4),INDEX(Monthly_Pay_Model!$A$9:$D$40,MATCH(TEXT(A157,"dd"),Monthly_Pay_Model!$C$9:$C$39,0),4),INDEX(Monthly_Pay_Model!$A$9:$D$40,MATCH(TEXT(A158,"dd"),Monthly_Pay_Model!$C$9:$C$39,0),4),INDEX(Monthly_Pay_Model!$A$9:$D$40,MATCH(TEXT(A159,"dd"),Monthly_Pay_Model!$C$9:$C$39,0),4),INDEX(Monthly_Pay_Model!$A$9:$D$40,MATCH(TEXT(A160,"dd"),Monthly_Pay_Model!$C$9:$C$39,0),4)),))))))</f>
        <v>0</v>
      </c>
      <c r="J156" s="33">
        <f>IF(C156="Yes",Monthly_Pay_Model!$D$2,0)
+IF(Calendar!N156="Yes",Monthly_Pay_Model!$D$3,0)
+IF(D156="Yes",Monthly_Pay_Model!$D$4,0)
+IF(E156="Yes",Monthly_Pay_Model!$D$5,0)</f>
        <v>0</v>
      </c>
      <c r="K156" s="27">
        <f>IF(VLOOKUP($A156,Calendar!$A$1:$R$1377,18,0)=0,0,IF(VLOOKUP($A156,Calendar!$A$1:$R$1377,18,0)=1,IFERROR(INDEX(Weekly_Model!$D$2:$D$9,MATCH(F156,Weekly_Model!$A$2:$A$9,0)),0),IF(VLOOKUP($A156,Calendar!$A$1:$R$1377,18,0)=2,SUM(IFERROR(INDEX(Weekly_Model!$D$2:$D$9,MATCH(F156,Weekly_Model!$A$2:$A$9,0)),0),IFERROR(INDEX(Weekly_Model!$D$2:$D$9,MATCH(F157,Weekly_Model!$A$2:$A$9,0)),0)),IF(VLOOKUP($A156,Calendar!$A$1:$R$1377,18,0)=3,SUM(IFERROR(INDEX(Weekly_Model!$D$2:$D$9,MATCH(F156,Weekly_Model!$A$2:$A$9,0)),0),IFERROR(INDEX(Weekly_Model!$D$2:$D$9,MATCH(F157,Weekly_Model!$A$2:$A$9,0)),0),IFERROR(INDEX(Weekly_Model!$D$2:$D$9,MATCH(F158,Weekly_Model!$A$2:$A$9,0)),0)),IF(VLOOKUP($A156,Calendar!$A$1:$R$1377,18,0)=4,SUM(IFERROR(INDEX(Weekly_Model!$D$2:$D$9,MATCH(F156,Weekly_Model!$A$2:$A$9,0)),0),IFERROR(INDEX(Weekly_Model!$D$2:$D$9,MATCH(F157,Weekly_Model!$A$2:$A$9,0)),0),IFERROR(INDEX(Weekly_Model!$D$2:$D$9,MATCH(F158,Weekly_Model!$A$2:$A$9,0)),0),IFERROR(INDEX(Weekly_Model!$D$2:$D$9,MATCH(F159,Weekly_Model!$A$2:$A$9,0)),0)),IF(VLOOKUP($A156,Calendar!$A$1:$R$1377,18,0)=5,SUM(IFERROR(INDEX(Weekly_Model!$D$2:$D$9,MATCH(F156,Weekly_Model!$A$2:$A$9,0)),0),IFERROR(INDEX(Weekly_Model!$D$2:$D$9,MATCH(F157,Weekly_Model!$A$2:$A$9,0)),0),IFERROR(INDEX(Weekly_Model!$D$2:$D$9,MATCH(F158,Weekly_Model!$A$2:$A$9,0)),0),IFERROR(INDEX(Weekly_Model!$D$2:$D$9,MATCH(F159,Weekly_Model!$A$2:$A$9,0)),0),IFERROR(INDEX(Weekly_Model!$D$2:$D$9,MATCH(F160,Weekly_Model!$A$2:$A$9,0)),0)),0))))))</f>
        <v>0</v>
      </c>
      <c r="L156" s="27">
        <f>IF(VLOOKUP($A156,Calendar!$A$1:$R$1377,18,0)=0,0,IF(VLOOKUP($A156,Calendar!$A$1:$R$1377,18,0)=1,IFERROR(INDEX(Fortnightly_Model!$D$2:$D$15,MATCH(G156,Fortnightly_Model!$B$2:$B$15,0)),0),IF(VLOOKUP($A156,Calendar!$A$1:$R$1377,18,0)=2,SUM(IFERROR(INDEX(Fortnightly_Model!$D$2:$D$15,MATCH(G156,Fortnightly_Model!$B$2:$B$15,0)),0),IFERROR(INDEX(Fortnightly_Model!$D$2:$D$15,MATCH(G157,Fortnightly_Model!$B$2:$B$15,0)),0)),IF(VLOOKUP($A156,Calendar!$A$1:$R$1377,18,0)=3,SUM(IFERROR(INDEX(Fortnightly_Model!$D$2:$D$15,MATCH(G156,Fortnightly_Model!$B$2:$B$15,0)),0),IFERROR(INDEX(Fortnightly_Model!$D$2:$D$15,MATCH(G157,Fortnightly_Model!$B$2:$B$15,0)),0),IFERROR(INDEX(Fortnightly_Model!$D$2:$D$15,MATCH(G158,Fortnightly_Model!$B$2:$B$15,0)),0)),IF(VLOOKUP($A156,Calendar!$A$1:$R$1377,18,0)=4,SUM(IFERROR(INDEX(Fortnightly_Model!$D$2:$D$15,MATCH(G156,Fortnightly_Model!$B$2:$B$15,0)),0),IFERROR(INDEX(Fortnightly_Model!$D$2:$D$15,MATCH(G157,Fortnightly_Model!$B$2:$B$15,0)),0),IFERROR(INDEX(Fortnightly_Model!$D$2:$D$15,MATCH(G158,Fortnightly_Model!$B$2:$B$15,0)),0),IFERROR(INDEX(Fortnightly_Model!$D$2:$D$15,MATCH(G159,Fortnightly_Model!$B$2:$B$15,0)),0)),IF(VLOOKUP($A156,Calendar!$A$1:$R$1377,18,0)=5,SUM(IFERROR(INDEX(Fortnightly_Model!$D$2:$D$15,MATCH(G156,Fortnightly_Model!$B$2:$B$15,0)),0),IFERROR(INDEX(Fortnightly_Model!$D$2:$D$15,MATCH(G157,Fortnightly_Model!$B$2:$B$15,0)),0),IFERROR(INDEX(Fortnightly_Model!$D$2:$D$15,MATCH(G158,Fortnightly_Model!$B$2:$B$15,0)),0),IFERROR(INDEX(Fortnightly_Model!$D$2:$D$15,MATCH(G159,Fortnightly_Model!$B$2:$B$15,0)),0),IFERROR(INDEX(Fortnightly_Model!$D$2:$D$15,MATCH(G160,Fortnightly_Model!$B$2:$B$15,0)),0)),0))))))</f>
        <v>0</v>
      </c>
      <c r="M156" s="27">
        <f>IF(VLOOKUP($A156,Calendar!$A$1:$R$1377,18,0)=0,0,IF(VLOOKUP($A156,Calendar!$A$1:$R$1377,18,0)=1,IFERROR(INDEX(FourWeekly_Model!$D$2:$D$29,MATCH(H156,FourWeekly_Model!$B$2:$B$29,0)),0),IF(VLOOKUP($A156,Calendar!$A$1:$R$1377,18,0)=2,SUM(IFERROR(INDEX(FourWeekly_Model!$D$2:$D$29,MATCH(H156,FourWeekly_Model!$B$2:$B$29,0)),0),IFERROR(INDEX(FourWeekly_Model!$D$2:$D$29,MATCH(H157,FourWeekly_Model!$B$2:$B$29,0)),0)),IF(VLOOKUP($A156,Calendar!$A$1:$R$1377,18,0)=3,SUM(IFERROR(INDEX(FourWeekly_Model!$D$2:$D$29,MATCH(H156,FourWeekly_Model!$B$2:$B$29,0)),0),IFERROR(INDEX(FourWeekly_Model!$D$2:$D$29,MATCH(H157,FourWeekly_Model!$B$2:$B$29,0)),0),IFERROR(INDEX(FourWeekly_Model!$D$2:$D$29,MATCH(H158,FourWeekly_Model!$B$2:$B$29,0)),0)),IF(VLOOKUP($A156,Calendar!$A$1:$R$1377,18,0)=4,SUM(IFERROR(INDEX(FourWeekly_Model!$D$2:$D$29,MATCH(H156,FourWeekly_Model!$B$2:$B$29,0)),0),IFERROR(INDEX(FourWeekly_Model!$D$2:$D$29,MATCH(H157,FourWeekly_Model!$B$2:$B$29,0)),0),IFERROR(INDEX(FourWeekly_Model!$D$2:$D$29,MATCH(H158,FourWeekly_Model!$B$2:$B$29,0)),0),IFERROR(INDEX(FourWeekly_Model!$D$2:$D$29,MATCH(H159,FourWeekly_Model!$B$2:$B$29,0)),0)),IF(VLOOKUP($A156,Calendar!$A$1:$R$1377,18,0)=5,SUM(IFERROR(INDEX(FourWeekly_Model!$D$2:$D$29,MATCH(H156,FourWeekly_Model!$B$2:$B$29,0)),0),IFERROR(INDEX(FourWeekly_Model!$D$2:$D$29,MATCH(H157,FourWeekly_Model!$B$2:$B$29,0)),0),IFERROR(INDEX(FourWeekly_Model!$D$2:$D$29,MATCH(H158,FourWeekly_Model!$B$2:$B$29,0)),0),IFERROR(INDEX(FourWeekly_Model!$D$2:$D$29,MATCH(H159,FourWeekly_Model!$B$2:$B$29,0)),0),IFERROR(INDEX(FourWeekly_Model!$D$2:$D$29,MATCH(H160,FourWeekly_Model!$B$2:$B$29,0)),0)),0))))))</f>
        <v>0</v>
      </c>
      <c r="N156" s="27">
        <f>SUM(I156:M156)</f>
        <v>0</v>
      </c>
      <c r="O156" s="28">
        <f>Population_Data!$B$8*N156</f>
        <v>0</v>
      </c>
      <c r="P156" s="27">
        <f>IF(VLOOKUP($A156,Calendar!$A$1:$R$1377,18,0)=0,0,IF(VLOOKUP($A156,Calendar!$A$1:$R$1377,18,0)=1,IFERROR(INDEX(Pension_Model!$D$2:$D$29,MATCH(H156,Pension_Model!$B$2:$B$29,0)),0),IF(VLOOKUP($A156,Calendar!$A$1:$R$1377,18,0)=2,SUM(IFERROR(INDEX(Pension_Model!$D$2:$D$29,MATCH(H156,Pension_Model!$B$2:$B$29,0)),0),IFERROR(INDEX(Pension_Model!$D$2:$D$29,MATCH(H157,Pension_Model!$B$2:$B$29,0)),0)),IF(VLOOKUP($A156,Calendar!$A$1:$R$1377,18,0)=3,SUM(IFERROR(INDEX(Pension_Model!$D$2:$D$29,MATCH(H156,Pension_Model!$B$2:$B$29,0)),0),IFERROR(INDEX(Pension_Model!$D$2:$D$29,MATCH(H157,Pension_Model!$B$2:$B$29,0)),0),IFERROR(INDEX(Pension_Model!$D$2:$D$29,MATCH(H158,Pension_Model!$B$2:$B$29,0)),0)),IF(VLOOKUP($A156,Calendar!$A$1:$R$1377,18,0)=4,SUM(IFERROR(INDEX(Pension_Model!$D$2:$D$29,MATCH(H156,Pension_Model!$B$2:$B$29,0)),0),IFERROR(INDEX(Pension_Model!$D$2:$D$29,MATCH(H157,Pension_Model!$B$2:$B$29,0)),0),IFERROR(INDEX(Pension_Model!$D$2:$D$29,MATCH(H158,Pension_Model!$B$2:$B$29,0)),0),IFERROR(INDEX(Pension_Model!$D$2:$D$29,MATCH(H159,Pension_Model!$B$2:$B$29,0)),0)),IF(VLOOKUP($A156,Calendar!$A$1:$R$1377,18,0)=5,SUM(IFERROR(INDEX(Pension_Model!$D$2:$D$29,MATCH(H156,Pension_Model!$B$2:$B$29,0)),0),IFERROR(INDEX(Pension_Model!$D$2:$D$29,MATCH(H157,Pension_Model!$B$2:$B$29,0)),0),IFERROR(INDEX(Pension_Model!$D$2:$D$29,MATCH(H158,Pension_Model!$B$2:$B$29,0)),0),IFERROR(INDEX(Pension_Model!$D$2:$D$29,MATCH(H159,Pension_Model!$B$2:$B$29,0)),0),IFERROR(INDEX(Pension_Model!$D$2:$D$29,MATCH(H160,Pension_Model!$B$2:$B$29,0)),0)),0))))))</f>
        <v>0</v>
      </c>
      <c r="Q156" s="28">
        <f>Population_Data!$B$15*P156</f>
        <v>0</v>
      </c>
      <c r="S156">
        <f t="shared" si="2"/>
        <v>0</v>
      </c>
      <c r="U156" s="33">
        <f>S156/Population_Data!$B$19</f>
        <v>0</v>
      </c>
    </row>
    <row r="157" spans="1:21">
      <c r="A157" s="25">
        <f>Calendar!A157</f>
        <v>46390</v>
      </c>
      <c r="B157" t="str">
        <f>Calendar!L157</f>
        <v>No</v>
      </c>
      <c r="C157" t="str">
        <f>Calendar!O157</f>
        <v>No</v>
      </c>
      <c r="D157" t="str">
        <f>Calendar!P157</f>
        <v>No</v>
      </c>
      <c r="E157" t="str">
        <f>Calendar!Q157</f>
        <v>No</v>
      </c>
      <c r="F157" t="str">
        <f>Calendar!I157</f>
        <v>Sunday</v>
      </c>
      <c r="G157">
        <f>Calendar!S157</f>
        <v>8</v>
      </c>
      <c r="H157">
        <f>Calendar!T157</f>
        <v>22</v>
      </c>
      <c r="I157" s="27">
        <f>IF(VLOOKUP(A157,Calendar!$A$1:$R$1377,18,0)=0,0,IF(VLOOKUP(A157,Calendar!$A$1:$R$1377,18,0)=1,INDEX(Monthly_Pay_Model!$A$9:$D$40,MATCH(TEXT(A157,"dd"),Monthly_Pay_Model!$C$9:$C$39,0),4),IF(VLOOKUP(A157,Calendar!$A$1:$R$1377,18,0)=2,SUM(INDEX(Monthly_Pay_Model!$A$9:$D$40,MATCH(TEXT(A157,"dd"),Monthly_Pay_Model!$C$9:$C$39,0),4),INDEX(Monthly_Pay_Model!$A$9:$D$40,MATCH(TEXT(A158,"dd"),Monthly_Pay_Model!$C$9:$C$39,0),4)),IF(VLOOKUP(A157,Calendar!$A$1:$R$1377,18,0)=3,SUM(INDEX(Monthly_Pay_Model!$A$9:$D$40,MATCH(TEXT(A157,"dd"),Monthly_Pay_Model!$C$9:$C$39,0),4),INDEX(Monthly_Pay_Model!$A$9:$D$40,MATCH(TEXT(A158,"dd"),Monthly_Pay_Model!$C$9:$C$39,0),4),INDEX(Monthly_Pay_Model!$A$9:$D$40,MATCH(TEXT(A159,"dd"),Monthly_Pay_Model!$C$9:$C$39,0),4)),IF(VLOOKUP(A157,Calendar!$A$1:$R$1377,18,0)=4,SUM(INDEX(Monthly_Pay_Model!$A$9:$D$40,MATCH(TEXT(A157,"dd"),Monthly_Pay_Model!$C$9:$C$39,0),4),INDEX(Monthly_Pay_Model!$A$9:$D$40,MATCH(TEXT(A158,"dd"),Monthly_Pay_Model!$C$9:$C$39,0),4),INDEX(Monthly_Pay_Model!$A$9:$D$40,MATCH(TEXT(A159,"dd"),Monthly_Pay_Model!$C$9:$C$39,0),4),INDEX(Monthly_Pay_Model!$A$9:$D$40,MATCH(TEXT(A160,"dd"),Monthly_Pay_Model!$C$9:$C$39,0),4)),IF(VLOOKUP(A157,Calendar!$A$1:$R$1377,18,0)=5,SUM(INDEX(Monthly_Pay_Model!$A$9:$D$40,MATCH(TEXT(A157,"dd"),Monthly_Pay_Model!$C$9:$C$39,0),4),INDEX(Monthly_Pay_Model!$A$9:$D$40,MATCH(TEXT(A158,"dd"),Monthly_Pay_Model!$C$9:$C$39,0),4),INDEX(Monthly_Pay_Model!$A$9:$D$40,MATCH(TEXT(A159,"dd"),Monthly_Pay_Model!$C$9:$C$39,0),4),INDEX(Monthly_Pay_Model!$A$9:$D$40,MATCH(TEXT(A160,"dd"),Monthly_Pay_Model!$C$9:$C$39,0),4),INDEX(Monthly_Pay_Model!$A$9:$D$40,MATCH(TEXT(A161,"dd"),Monthly_Pay_Model!$C$9:$C$39,0),4)),))))))</f>
        <v>0</v>
      </c>
      <c r="J157" s="33">
        <f>IF(C157="Yes",Monthly_Pay_Model!$D$2,0)
+IF(Calendar!N157="Yes",Monthly_Pay_Model!$D$3,0)
+IF(D157="Yes",Monthly_Pay_Model!$D$4,0)
+IF(E157="Yes",Monthly_Pay_Model!$D$5,0)</f>
        <v>0</v>
      </c>
      <c r="K157" s="27">
        <f>IF(VLOOKUP($A157,Calendar!$A$1:$R$1377,18,0)=0,0,IF(VLOOKUP($A157,Calendar!$A$1:$R$1377,18,0)=1,IFERROR(INDEX(Weekly_Model!$D$2:$D$9,MATCH(F157,Weekly_Model!$A$2:$A$9,0)),0),IF(VLOOKUP($A157,Calendar!$A$1:$R$1377,18,0)=2,SUM(IFERROR(INDEX(Weekly_Model!$D$2:$D$9,MATCH(F157,Weekly_Model!$A$2:$A$9,0)),0),IFERROR(INDEX(Weekly_Model!$D$2:$D$9,MATCH(F158,Weekly_Model!$A$2:$A$9,0)),0)),IF(VLOOKUP($A157,Calendar!$A$1:$R$1377,18,0)=3,SUM(IFERROR(INDEX(Weekly_Model!$D$2:$D$9,MATCH(F157,Weekly_Model!$A$2:$A$9,0)),0),IFERROR(INDEX(Weekly_Model!$D$2:$D$9,MATCH(F158,Weekly_Model!$A$2:$A$9,0)),0),IFERROR(INDEX(Weekly_Model!$D$2:$D$9,MATCH(F159,Weekly_Model!$A$2:$A$9,0)),0)),IF(VLOOKUP($A157,Calendar!$A$1:$R$1377,18,0)=4,SUM(IFERROR(INDEX(Weekly_Model!$D$2:$D$9,MATCH(F157,Weekly_Model!$A$2:$A$9,0)),0),IFERROR(INDEX(Weekly_Model!$D$2:$D$9,MATCH(F158,Weekly_Model!$A$2:$A$9,0)),0),IFERROR(INDEX(Weekly_Model!$D$2:$D$9,MATCH(F159,Weekly_Model!$A$2:$A$9,0)),0),IFERROR(INDEX(Weekly_Model!$D$2:$D$9,MATCH(F160,Weekly_Model!$A$2:$A$9,0)),0)),IF(VLOOKUP($A157,Calendar!$A$1:$R$1377,18,0)=5,SUM(IFERROR(INDEX(Weekly_Model!$D$2:$D$9,MATCH(F157,Weekly_Model!$A$2:$A$9,0)),0),IFERROR(INDEX(Weekly_Model!$D$2:$D$9,MATCH(F158,Weekly_Model!$A$2:$A$9,0)),0),IFERROR(INDEX(Weekly_Model!$D$2:$D$9,MATCH(F159,Weekly_Model!$A$2:$A$9,0)),0),IFERROR(INDEX(Weekly_Model!$D$2:$D$9,MATCH(F160,Weekly_Model!$A$2:$A$9,0)),0),IFERROR(INDEX(Weekly_Model!$D$2:$D$9,MATCH(F161,Weekly_Model!$A$2:$A$9,0)),0)),0))))))</f>
        <v>0</v>
      </c>
      <c r="L157" s="27">
        <f>IF(VLOOKUP($A157,Calendar!$A$1:$R$1377,18,0)=0,0,IF(VLOOKUP($A157,Calendar!$A$1:$R$1377,18,0)=1,IFERROR(INDEX(Fortnightly_Model!$D$2:$D$15,MATCH(G157,Fortnightly_Model!$B$2:$B$15,0)),0),IF(VLOOKUP($A157,Calendar!$A$1:$R$1377,18,0)=2,SUM(IFERROR(INDEX(Fortnightly_Model!$D$2:$D$15,MATCH(G157,Fortnightly_Model!$B$2:$B$15,0)),0),IFERROR(INDEX(Fortnightly_Model!$D$2:$D$15,MATCH(G158,Fortnightly_Model!$B$2:$B$15,0)),0)),IF(VLOOKUP($A157,Calendar!$A$1:$R$1377,18,0)=3,SUM(IFERROR(INDEX(Fortnightly_Model!$D$2:$D$15,MATCH(G157,Fortnightly_Model!$B$2:$B$15,0)),0),IFERROR(INDEX(Fortnightly_Model!$D$2:$D$15,MATCH(G158,Fortnightly_Model!$B$2:$B$15,0)),0),IFERROR(INDEX(Fortnightly_Model!$D$2:$D$15,MATCH(G159,Fortnightly_Model!$B$2:$B$15,0)),0)),IF(VLOOKUP($A157,Calendar!$A$1:$R$1377,18,0)=4,SUM(IFERROR(INDEX(Fortnightly_Model!$D$2:$D$15,MATCH(G157,Fortnightly_Model!$B$2:$B$15,0)),0),IFERROR(INDEX(Fortnightly_Model!$D$2:$D$15,MATCH(G158,Fortnightly_Model!$B$2:$B$15,0)),0),IFERROR(INDEX(Fortnightly_Model!$D$2:$D$15,MATCH(G159,Fortnightly_Model!$B$2:$B$15,0)),0),IFERROR(INDEX(Fortnightly_Model!$D$2:$D$15,MATCH(G160,Fortnightly_Model!$B$2:$B$15,0)),0)),IF(VLOOKUP($A157,Calendar!$A$1:$R$1377,18,0)=5,SUM(IFERROR(INDEX(Fortnightly_Model!$D$2:$D$15,MATCH(G157,Fortnightly_Model!$B$2:$B$15,0)),0),IFERROR(INDEX(Fortnightly_Model!$D$2:$D$15,MATCH(G158,Fortnightly_Model!$B$2:$B$15,0)),0),IFERROR(INDEX(Fortnightly_Model!$D$2:$D$15,MATCH(G159,Fortnightly_Model!$B$2:$B$15,0)),0),IFERROR(INDEX(Fortnightly_Model!$D$2:$D$15,MATCH(G160,Fortnightly_Model!$B$2:$B$15,0)),0),IFERROR(INDEX(Fortnightly_Model!$D$2:$D$15,MATCH(G161,Fortnightly_Model!$B$2:$B$15,0)),0)),0))))))</f>
        <v>0</v>
      </c>
      <c r="M157" s="27">
        <f>IF(VLOOKUP($A157,Calendar!$A$1:$R$1377,18,0)=0,0,IF(VLOOKUP($A157,Calendar!$A$1:$R$1377,18,0)=1,IFERROR(INDEX(FourWeekly_Model!$D$2:$D$29,MATCH(H157,FourWeekly_Model!$B$2:$B$29,0)),0),IF(VLOOKUP($A157,Calendar!$A$1:$R$1377,18,0)=2,SUM(IFERROR(INDEX(FourWeekly_Model!$D$2:$D$29,MATCH(H157,FourWeekly_Model!$B$2:$B$29,0)),0),IFERROR(INDEX(FourWeekly_Model!$D$2:$D$29,MATCH(H158,FourWeekly_Model!$B$2:$B$29,0)),0)),IF(VLOOKUP($A157,Calendar!$A$1:$R$1377,18,0)=3,SUM(IFERROR(INDEX(FourWeekly_Model!$D$2:$D$29,MATCH(H157,FourWeekly_Model!$B$2:$B$29,0)),0),IFERROR(INDEX(FourWeekly_Model!$D$2:$D$29,MATCH(H158,FourWeekly_Model!$B$2:$B$29,0)),0),IFERROR(INDEX(FourWeekly_Model!$D$2:$D$29,MATCH(H159,FourWeekly_Model!$B$2:$B$29,0)),0)),IF(VLOOKUP($A157,Calendar!$A$1:$R$1377,18,0)=4,SUM(IFERROR(INDEX(FourWeekly_Model!$D$2:$D$29,MATCH(H157,FourWeekly_Model!$B$2:$B$29,0)),0),IFERROR(INDEX(FourWeekly_Model!$D$2:$D$29,MATCH(H158,FourWeekly_Model!$B$2:$B$29,0)),0),IFERROR(INDEX(FourWeekly_Model!$D$2:$D$29,MATCH(H159,FourWeekly_Model!$B$2:$B$29,0)),0),IFERROR(INDEX(FourWeekly_Model!$D$2:$D$29,MATCH(H160,FourWeekly_Model!$B$2:$B$29,0)),0)),IF(VLOOKUP($A157,Calendar!$A$1:$R$1377,18,0)=5,SUM(IFERROR(INDEX(FourWeekly_Model!$D$2:$D$29,MATCH(H157,FourWeekly_Model!$B$2:$B$29,0)),0),IFERROR(INDEX(FourWeekly_Model!$D$2:$D$29,MATCH(H158,FourWeekly_Model!$B$2:$B$29,0)),0),IFERROR(INDEX(FourWeekly_Model!$D$2:$D$29,MATCH(H159,FourWeekly_Model!$B$2:$B$29,0)),0),IFERROR(INDEX(FourWeekly_Model!$D$2:$D$29,MATCH(H160,FourWeekly_Model!$B$2:$B$29,0)),0),IFERROR(INDEX(FourWeekly_Model!$D$2:$D$29,MATCH(H161,FourWeekly_Model!$B$2:$B$29,0)),0)),0))))))</f>
        <v>0</v>
      </c>
      <c r="N157" s="27">
        <f>SUM(I157:M157)</f>
        <v>0</v>
      </c>
      <c r="O157" s="28">
        <f>Population_Data!$B$8*N157</f>
        <v>0</v>
      </c>
      <c r="P157" s="27">
        <f>IF(VLOOKUP($A157,Calendar!$A$1:$R$1377,18,0)=0,0,IF(VLOOKUP($A157,Calendar!$A$1:$R$1377,18,0)=1,IFERROR(INDEX(Pension_Model!$D$2:$D$29,MATCH(H157,Pension_Model!$B$2:$B$29,0)),0),IF(VLOOKUP($A157,Calendar!$A$1:$R$1377,18,0)=2,SUM(IFERROR(INDEX(Pension_Model!$D$2:$D$29,MATCH(H157,Pension_Model!$B$2:$B$29,0)),0),IFERROR(INDEX(Pension_Model!$D$2:$D$29,MATCH(H158,Pension_Model!$B$2:$B$29,0)),0)),IF(VLOOKUP($A157,Calendar!$A$1:$R$1377,18,0)=3,SUM(IFERROR(INDEX(Pension_Model!$D$2:$D$29,MATCH(H157,Pension_Model!$B$2:$B$29,0)),0),IFERROR(INDEX(Pension_Model!$D$2:$D$29,MATCH(H158,Pension_Model!$B$2:$B$29,0)),0),IFERROR(INDEX(Pension_Model!$D$2:$D$29,MATCH(H159,Pension_Model!$B$2:$B$29,0)),0)),IF(VLOOKUP($A157,Calendar!$A$1:$R$1377,18,0)=4,SUM(IFERROR(INDEX(Pension_Model!$D$2:$D$29,MATCH(H157,Pension_Model!$B$2:$B$29,0)),0),IFERROR(INDEX(Pension_Model!$D$2:$D$29,MATCH(H158,Pension_Model!$B$2:$B$29,0)),0),IFERROR(INDEX(Pension_Model!$D$2:$D$29,MATCH(H159,Pension_Model!$B$2:$B$29,0)),0),IFERROR(INDEX(Pension_Model!$D$2:$D$29,MATCH(H160,Pension_Model!$B$2:$B$29,0)),0)),IF(VLOOKUP($A157,Calendar!$A$1:$R$1377,18,0)=5,SUM(IFERROR(INDEX(Pension_Model!$D$2:$D$29,MATCH(H157,Pension_Model!$B$2:$B$29,0)),0),IFERROR(INDEX(Pension_Model!$D$2:$D$29,MATCH(H158,Pension_Model!$B$2:$B$29,0)),0),IFERROR(INDEX(Pension_Model!$D$2:$D$29,MATCH(H159,Pension_Model!$B$2:$B$29,0)),0),IFERROR(INDEX(Pension_Model!$D$2:$D$29,MATCH(H160,Pension_Model!$B$2:$B$29,0)),0),IFERROR(INDEX(Pension_Model!$D$2:$D$29,MATCH(H161,Pension_Model!$B$2:$B$29,0)),0)),0))))))</f>
        <v>0</v>
      </c>
      <c r="Q157" s="28">
        <f>Population_Data!$B$15*P157</f>
        <v>0</v>
      </c>
      <c r="S157">
        <f t="shared" si="2"/>
        <v>0</v>
      </c>
      <c r="U157" s="33">
        <f>S157/Population_Data!$B$19</f>
        <v>0</v>
      </c>
    </row>
    <row r="158" spans="1:21">
      <c r="A158" s="25">
        <f>Calendar!A158</f>
        <v>46391</v>
      </c>
      <c r="B158" t="str">
        <f>Calendar!L158</f>
        <v>Yes</v>
      </c>
      <c r="C158" t="str">
        <f>Calendar!O158</f>
        <v>No</v>
      </c>
      <c r="D158" t="str">
        <f>Calendar!P158</f>
        <v>No</v>
      </c>
      <c r="E158" t="str">
        <f>Calendar!Q158</f>
        <v>No</v>
      </c>
      <c r="F158" t="str">
        <f>Calendar!I158</f>
        <v>Monday</v>
      </c>
      <c r="G158">
        <f>Calendar!S158</f>
        <v>9</v>
      </c>
      <c r="H158">
        <f>Calendar!T158</f>
        <v>23</v>
      </c>
      <c r="I158" s="27">
        <f>IF(VLOOKUP(A158,Calendar!$A$1:$R$1377,18,0)=0,0,IF(VLOOKUP(A158,Calendar!$A$1:$R$1377,18,0)=1,INDEX(Monthly_Pay_Model!$A$9:$D$40,MATCH(TEXT(A158,"dd"),Monthly_Pay_Model!$C$9:$C$39,0),4),IF(VLOOKUP(A158,Calendar!$A$1:$R$1377,18,0)=2,SUM(INDEX(Monthly_Pay_Model!$A$9:$D$40,MATCH(TEXT(A158,"dd"),Monthly_Pay_Model!$C$9:$C$39,0),4),INDEX(Monthly_Pay_Model!$A$9:$D$40,MATCH(TEXT(A159,"dd"),Monthly_Pay_Model!$C$9:$C$39,0),4)),IF(VLOOKUP(A158,Calendar!$A$1:$R$1377,18,0)=3,SUM(INDEX(Monthly_Pay_Model!$A$9:$D$40,MATCH(TEXT(A158,"dd"),Monthly_Pay_Model!$C$9:$C$39,0),4),INDEX(Monthly_Pay_Model!$A$9:$D$40,MATCH(TEXT(A159,"dd"),Monthly_Pay_Model!$C$9:$C$39,0),4),INDEX(Monthly_Pay_Model!$A$9:$D$40,MATCH(TEXT(A160,"dd"),Monthly_Pay_Model!$C$9:$C$39,0),4)),IF(VLOOKUP(A158,Calendar!$A$1:$R$1377,18,0)=4,SUM(INDEX(Monthly_Pay_Model!$A$9:$D$40,MATCH(TEXT(A158,"dd"),Monthly_Pay_Model!$C$9:$C$39,0),4),INDEX(Monthly_Pay_Model!$A$9:$D$40,MATCH(TEXT(A159,"dd"),Monthly_Pay_Model!$C$9:$C$39,0),4),INDEX(Monthly_Pay_Model!$A$9:$D$40,MATCH(TEXT(A160,"dd"),Monthly_Pay_Model!$C$9:$C$39,0),4),INDEX(Monthly_Pay_Model!$A$9:$D$40,MATCH(TEXT(A161,"dd"),Monthly_Pay_Model!$C$9:$C$39,0),4)),IF(VLOOKUP(A158,Calendar!$A$1:$R$1377,18,0)=5,SUM(INDEX(Monthly_Pay_Model!$A$9:$D$40,MATCH(TEXT(A158,"dd"),Monthly_Pay_Model!$C$9:$C$39,0),4),INDEX(Monthly_Pay_Model!$A$9:$D$40,MATCH(TEXT(A159,"dd"),Monthly_Pay_Model!$C$9:$C$39,0),4),INDEX(Monthly_Pay_Model!$A$9:$D$40,MATCH(TEXT(A160,"dd"),Monthly_Pay_Model!$C$9:$C$39,0),4),INDEX(Monthly_Pay_Model!$A$9:$D$40,MATCH(TEXT(A161,"dd"),Monthly_Pay_Model!$C$9:$C$39,0),4),INDEX(Monthly_Pay_Model!$A$9:$D$40,MATCH(TEXT(A162,"dd"),Monthly_Pay_Model!$C$9:$C$39,0),4)),))))))</f>
        <v>8.1256544502617792E-4</v>
      </c>
      <c r="J158" s="33">
        <f>IF(C158="Yes",Monthly_Pay_Model!$D$2,0)
+IF(Calendar!N158="Yes",Monthly_Pay_Model!$D$3,0)
+IF(D158="Yes",Monthly_Pay_Model!$D$4,0)
+IF(E158="Yes",Monthly_Pay_Model!$D$5,0)</f>
        <v>0</v>
      </c>
      <c r="K158" s="27">
        <f>IF(VLOOKUP($A158,Calendar!$A$1:$R$1377,18,0)=0,0,IF(VLOOKUP($A158,Calendar!$A$1:$R$1377,18,0)=1,IFERROR(INDEX(Weekly_Model!$D$2:$D$9,MATCH(F158,Weekly_Model!$A$2:$A$9,0)),0),IF(VLOOKUP($A158,Calendar!$A$1:$R$1377,18,0)=2,SUM(IFERROR(INDEX(Weekly_Model!$D$2:$D$9,MATCH(F158,Weekly_Model!$A$2:$A$9,0)),0),IFERROR(INDEX(Weekly_Model!$D$2:$D$9,MATCH(F159,Weekly_Model!$A$2:$A$9,0)),0)),IF(VLOOKUP($A158,Calendar!$A$1:$R$1377,18,0)=3,SUM(IFERROR(INDEX(Weekly_Model!$D$2:$D$9,MATCH(F158,Weekly_Model!$A$2:$A$9,0)),0),IFERROR(INDEX(Weekly_Model!$D$2:$D$9,MATCH(F159,Weekly_Model!$A$2:$A$9,0)),0),IFERROR(INDEX(Weekly_Model!$D$2:$D$9,MATCH(F160,Weekly_Model!$A$2:$A$9,0)),0)),IF(VLOOKUP($A158,Calendar!$A$1:$R$1377,18,0)=4,SUM(IFERROR(INDEX(Weekly_Model!$D$2:$D$9,MATCH(F158,Weekly_Model!$A$2:$A$9,0)),0),IFERROR(INDEX(Weekly_Model!$D$2:$D$9,MATCH(F159,Weekly_Model!$A$2:$A$9,0)),0),IFERROR(INDEX(Weekly_Model!$D$2:$D$9,MATCH(F160,Weekly_Model!$A$2:$A$9,0)),0),IFERROR(INDEX(Weekly_Model!$D$2:$D$9,MATCH(F161,Weekly_Model!$A$2:$A$9,0)),0)),IF(VLOOKUP($A158,Calendar!$A$1:$R$1377,18,0)=5,SUM(IFERROR(INDEX(Weekly_Model!$D$2:$D$9,MATCH(F158,Weekly_Model!$A$2:$A$9,0)),0),IFERROR(INDEX(Weekly_Model!$D$2:$D$9,MATCH(F159,Weekly_Model!$A$2:$A$9,0)),0),IFERROR(INDEX(Weekly_Model!$D$2:$D$9,MATCH(F160,Weekly_Model!$A$2:$A$9,0)),0),IFERROR(INDEX(Weekly_Model!$D$2:$D$9,MATCH(F161,Weekly_Model!$A$2:$A$9,0)),0),IFERROR(INDEX(Weekly_Model!$D$2:$D$9,MATCH(F162,Weekly_Model!$A$2:$A$9,0)),0)),0))))))</f>
        <v>2.3200000000000002E-2</v>
      </c>
      <c r="L158" s="27">
        <f>IF(VLOOKUP($A158,Calendar!$A$1:$R$1377,18,0)=0,0,IF(VLOOKUP($A158,Calendar!$A$1:$R$1377,18,0)=1,IFERROR(INDEX(Fortnightly_Model!$D$2:$D$15,MATCH(G158,Fortnightly_Model!$B$2:$B$15,0)),0),IF(VLOOKUP($A158,Calendar!$A$1:$R$1377,18,0)=2,SUM(IFERROR(INDEX(Fortnightly_Model!$D$2:$D$15,MATCH(G158,Fortnightly_Model!$B$2:$B$15,0)),0),IFERROR(INDEX(Fortnightly_Model!$D$2:$D$15,MATCH(G159,Fortnightly_Model!$B$2:$B$15,0)),0)),IF(VLOOKUP($A158,Calendar!$A$1:$R$1377,18,0)=3,SUM(IFERROR(INDEX(Fortnightly_Model!$D$2:$D$15,MATCH(G158,Fortnightly_Model!$B$2:$B$15,0)),0),IFERROR(INDEX(Fortnightly_Model!$D$2:$D$15,MATCH(G159,Fortnightly_Model!$B$2:$B$15,0)),0),IFERROR(INDEX(Fortnightly_Model!$D$2:$D$15,MATCH(G160,Fortnightly_Model!$B$2:$B$15,0)),0)),IF(VLOOKUP($A158,Calendar!$A$1:$R$1377,18,0)=4,SUM(IFERROR(INDEX(Fortnightly_Model!$D$2:$D$15,MATCH(G158,Fortnightly_Model!$B$2:$B$15,0)),0),IFERROR(INDEX(Fortnightly_Model!$D$2:$D$15,MATCH(G159,Fortnightly_Model!$B$2:$B$15,0)),0),IFERROR(INDEX(Fortnightly_Model!$D$2:$D$15,MATCH(G160,Fortnightly_Model!$B$2:$B$15,0)),0),IFERROR(INDEX(Fortnightly_Model!$D$2:$D$15,MATCH(G161,Fortnightly_Model!$B$2:$B$15,0)),0)),IF(VLOOKUP($A158,Calendar!$A$1:$R$1377,18,0)=5,SUM(IFERROR(INDEX(Fortnightly_Model!$D$2:$D$15,MATCH(G158,Fortnightly_Model!$B$2:$B$15,0)),0),IFERROR(INDEX(Fortnightly_Model!$D$2:$D$15,MATCH(G159,Fortnightly_Model!$B$2:$B$15,0)),0),IFERROR(INDEX(Fortnightly_Model!$D$2:$D$15,MATCH(G160,Fortnightly_Model!$B$2:$B$15,0)),0),IFERROR(INDEX(Fortnightly_Model!$D$2:$D$15,MATCH(G161,Fortnightly_Model!$B$2:$B$15,0)),0),IFERROR(INDEX(Fortnightly_Model!$D$2:$D$15,MATCH(G162,Fortnightly_Model!$B$2:$B$15,0)),0)),0))))))</f>
        <v>1.0714285499999999E-3</v>
      </c>
      <c r="M158" s="27">
        <f>IF(VLOOKUP($A158,Calendar!$A$1:$R$1377,18,0)=0,0,IF(VLOOKUP($A158,Calendar!$A$1:$R$1377,18,0)=1,IFERROR(INDEX(FourWeekly_Model!$D$2:$D$29,MATCH(H158,FourWeekly_Model!$B$2:$B$29,0)),0),IF(VLOOKUP($A158,Calendar!$A$1:$R$1377,18,0)=2,SUM(IFERROR(INDEX(FourWeekly_Model!$D$2:$D$29,MATCH(H158,FourWeekly_Model!$B$2:$B$29,0)),0),IFERROR(INDEX(FourWeekly_Model!$D$2:$D$29,MATCH(H159,FourWeekly_Model!$B$2:$B$29,0)),0)),IF(VLOOKUP($A158,Calendar!$A$1:$R$1377,18,0)=3,SUM(IFERROR(INDEX(FourWeekly_Model!$D$2:$D$29,MATCH(H158,FourWeekly_Model!$B$2:$B$29,0)),0),IFERROR(INDEX(FourWeekly_Model!$D$2:$D$29,MATCH(H159,FourWeekly_Model!$B$2:$B$29,0)),0),IFERROR(INDEX(FourWeekly_Model!$D$2:$D$29,MATCH(H160,FourWeekly_Model!$B$2:$B$29,0)),0)),IF(VLOOKUP($A158,Calendar!$A$1:$R$1377,18,0)=4,SUM(IFERROR(INDEX(FourWeekly_Model!$D$2:$D$29,MATCH(H158,FourWeekly_Model!$B$2:$B$29,0)),0),IFERROR(INDEX(FourWeekly_Model!$D$2:$D$29,MATCH(H159,FourWeekly_Model!$B$2:$B$29,0)),0),IFERROR(INDEX(FourWeekly_Model!$D$2:$D$29,MATCH(H160,FourWeekly_Model!$B$2:$B$29,0)),0),IFERROR(INDEX(FourWeekly_Model!$D$2:$D$29,MATCH(H161,FourWeekly_Model!$B$2:$B$29,0)),0)),IF(VLOOKUP($A158,Calendar!$A$1:$R$1377,18,0)=5,SUM(IFERROR(INDEX(FourWeekly_Model!$D$2:$D$29,MATCH(H158,FourWeekly_Model!$B$2:$B$29,0)),0),IFERROR(INDEX(FourWeekly_Model!$D$2:$D$29,MATCH(H159,FourWeekly_Model!$B$2:$B$29,0)),0),IFERROR(INDEX(FourWeekly_Model!$D$2:$D$29,MATCH(H160,FourWeekly_Model!$B$2:$B$29,0)),0),IFERROR(INDEX(FourWeekly_Model!$D$2:$D$29,MATCH(H161,FourWeekly_Model!$B$2:$B$29,0)),0),IFERROR(INDEX(FourWeekly_Model!$D$2:$D$29,MATCH(H162,FourWeekly_Model!$B$2:$B$29,0)),0)),0))))))</f>
        <v>3.3214289700000004E-3</v>
      </c>
      <c r="N158" s="27">
        <f>SUM(I158:M158)</f>
        <v>2.840542296502618E-2</v>
      </c>
      <c r="O158" s="28">
        <f>Population_Data!$B$8*N158</f>
        <v>860684.3158402933</v>
      </c>
      <c r="P158" s="27">
        <f>IF(VLOOKUP($A158,Calendar!$A$1:$R$1377,18,0)=0,0,IF(VLOOKUP($A158,Calendar!$A$1:$R$1377,18,0)=1,IFERROR(INDEX(Pension_Model!$D$2:$D$29,MATCH(H158,Pension_Model!$B$2:$B$29,0)),0),IF(VLOOKUP($A158,Calendar!$A$1:$R$1377,18,0)=2,SUM(IFERROR(INDEX(Pension_Model!$D$2:$D$29,MATCH(H158,Pension_Model!$B$2:$B$29,0)),0),IFERROR(INDEX(Pension_Model!$D$2:$D$29,MATCH(H159,Pension_Model!$B$2:$B$29,0)),0)),IF(VLOOKUP($A158,Calendar!$A$1:$R$1377,18,0)=3,SUM(IFERROR(INDEX(Pension_Model!$D$2:$D$29,MATCH(H158,Pension_Model!$B$2:$B$29,0)),0),IFERROR(INDEX(Pension_Model!$D$2:$D$29,MATCH(H159,Pension_Model!$B$2:$B$29,0)),0),IFERROR(INDEX(Pension_Model!$D$2:$D$29,MATCH(H160,Pension_Model!$B$2:$B$29,0)),0)),IF(VLOOKUP($A158,Calendar!$A$1:$R$1377,18,0)=4,SUM(IFERROR(INDEX(Pension_Model!$D$2:$D$29,MATCH(H158,Pension_Model!$B$2:$B$29,0)),0),IFERROR(INDEX(Pension_Model!$D$2:$D$29,MATCH(H159,Pension_Model!$B$2:$B$29,0)),0),IFERROR(INDEX(Pension_Model!$D$2:$D$29,MATCH(H160,Pension_Model!$B$2:$B$29,0)),0),IFERROR(INDEX(Pension_Model!$D$2:$D$29,MATCH(H161,Pension_Model!$B$2:$B$29,0)),0)),IF(VLOOKUP($A158,Calendar!$A$1:$R$1377,18,0)=5,SUM(IFERROR(INDEX(Pension_Model!$D$2:$D$29,MATCH(H158,Pension_Model!$B$2:$B$29,0)),0),IFERROR(INDEX(Pension_Model!$D$2:$D$29,MATCH(H159,Pension_Model!$B$2:$B$29,0)),0),IFERROR(INDEX(Pension_Model!$D$2:$D$29,MATCH(H160,Pension_Model!$B$2:$B$29,0)),0),IFERROR(INDEX(Pension_Model!$D$2:$D$29,MATCH(H161,Pension_Model!$B$2:$B$29,0)),0),IFERROR(INDEX(Pension_Model!$D$2:$D$29,MATCH(H162,Pension_Model!$B$2:$B$29,0)),0)),0))))))</f>
        <v>0.05</v>
      </c>
      <c r="Q158" s="28">
        <f>Population_Data!$B$15*P158</f>
        <v>660600</v>
      </c>
      <c r="S158">
        <f t="shared" si="2"/>
        <v>1521284.3158402932</v>
      </c>
      <c r="U158" s="33">
        <f>S158/Population_Data!$B$19</f>
        <v>2.7559498475367629E-2</v>
      </c>
    </row>
    <row r="159" spans="1:21">
      <c r="A159" s="25">
        <f>Calendar!A159</f>
        <v>46392</v>
      </c>
      <c r="B159" t="str">
        <f>Calendar!L159</f>
        <v>Yes</v>
      </c>
      <c r="C159" t="str">
        <f>Calendar!O159</f>
        <v>No</v>
      </c>
      <c r="D159" t="str">
        <f>Calendar!P159</f>
        <v>No</v>
      </c>
      <c r="E159" t="str">
        <f>Calendar!Q159</f>
        <v>No</v>
      </c>
      <c r="F159" t="str">
        <f>Calendar!I159</f>
        <v>Tuesday</v>
      </c>
      <c r="G159">
        <f>Calendar!S159</f>
        <v>10</v>
      </c>
      <c r="H159">
        <f>Calendar!T159</f>
        <v>24</v>
      </c>
      <c r="I159" s="27">
        <f>IF(VLOOKUP(A159,Calendar!$A$1:$R$1377,18,0)=0,0,IF(VLOOKUP(A159,Calendar!$A$1:$R$1377,18,0)=1,INDEX(Monthly_Pay_Model!$A$9:$D$40,MATCH(TEXT(A159,"dd"),Monthly_Pay_Model!$C$9:$C$39,0),4),IF(VLOOKUP(A159,Calendar!$A$1:$R$1377,18,0)=2,SUM(INDEX(Monthly_Pay_Model!$A$9:$D$40,MATCH(TEXT(A159,"dd"),Monthly_Pay_Model!$C$9:$C$39,0),4),INDEX(Monthly_Pay_Model!$A$9:$D$40,MATCH(TEXT(A160,"dd"),Monthly_Pay_Model!$C$9:$C$39,0),4)),IF(VLOOKUP(A159,Calendar!$A$1:$R$1377,18,0)=3,SUM(INDEX(Monthly_Pay_Model!$A$9:$D$40,MATCH(TEXT(A159,"dd"),Monthly_Pay_Model!$C$9:$C$39,0),4),INDEX(Monthly_Pay_Model!$A$9:$D$40,MATCH(TEXT(A160,"dd"),Monthly_Pay_Model!$C$9:$C$39,0),4),INDEX(Monthly_Pay_Model!$A$9:$D$40,MATCH(TEXT(A161,"dd"),Monthly_Pay_Model!$C$9:$C$39,0),4)),IF(VLOOKUP(A159,Calendar!$A$1:$R$1377,18,0)=4,SUM(INDEX(Monthly_Pay_Model!$A$9:$D$40,MATCH(TEXT(A159,"dd"),Monthly_Pay_Model!$C$9:$C$39,0),4),INDEX(Monthly_Pay_Model!$A$9:$D$40,MATCH(TEXT(A160,"dd"),Monthly_Pay_Model!$C$9:$C$39,0),4),INDEX(Monthly_Pay_Model!$A$9:$D$40,MATCH(TEXT(A161,"dd"),Monthly_Pay_Model!$C$9:$C$39,0),4),INDEX(Monthly_Pay_Model!$A$9:$D$40,MATCH(TEXT(A162,"dd"),Monthly_Pay_Model!$C$9:$C$39,0),4)),IF(VLOOKUP(A159,Calendar!$A$1:$R$1377,18,0)=5,SUM(INDEX(Monthly_Pay_Model!$A$9:$D$40,MATCH(TEXT(A159,"dd"),Monthly_Pay_Model!$C$9:$C$39,0),4),INDEX(Monthly_Pay_Model!$A$9:$D$40,MATCH(TEXT(A160,"dd"),Monthly_Pay_Model!$C$9:$C$39,0),4),INDEX(Monthly_Pay_Model!$A$9:$D$40,MATCH(TEXT(A161,"dd"),Monthly_Pay_Model!$C$9:$C$39,0),4),INDEX(Monthly_Pay_Model!$A$9:$D$40,MATCH(TEXT(A162,"dd"),Monthly_Pay_Model!$C$9:$C$39,0),4),INDEX(Monthly_Pay_Model!$A$9:$D$40,MATCH(TEXT(A163,"dd"),Monthly_Pay_Model!$C$9:$C$39,0),4)),))))))</f>
        <v>7.3130890052356002E-3</v>
      </c>
      <c r="J159" s="33">
        <f>IF(C159="Yes",Monthly_Pay_Model!$D$2,0)
+IF(Calendar!N159="Yes",Monthly_Pay_Model!$D$3,0)
+IF(D159="Yes",Monthly_Pay_Model!$D$4,0)
+IF(E159="Yes",Monthly_Pay_Model!$D$5,0)</f>
        <v>0</v>
      </c>
      <c r="K159" s="27">
        <f>IF(VLOOKUP($A159,Calendar!$A$1:$R$1377,18,0)=0,0,IF(VLOOKUP($A159,Calendar!$A$1:$R$1377,18,0)=1,IFERROR(INDEX(Weekly_Model!$D$2:$D$9,MATCH(F159,Weekly_Model!$A$2:$A$9,0)),0),IF(VLOOKUP($A159,Calendar!$A$1:$R$1377,18,0)=2,SUM(IFERROR(INDEX(Weekly_Model!$D$2:$D$9,MATCH(F159,Weekly_Model!$A$2:$A$9,0)),0),IFERROR(INDEX(Weekly_Model!$D$2:$D$9,MATCH(F160,Weekly_Model!$A$2:$A$9,0)),0)),IF(VLOOKUP($A159,Calendar!$A$1:$R$1377,18,0)=3,SUM(IFERROR(INDEX(Weekly_Model!$D$2:$D$9,MATCH(F159,Weekly_Model!$A$2:$A$9,0)),0),IFERROR(INDEX(Weekly_Model!$D$2:$D$9,MATCH(F160,Weekly_Model!$A$2:$A$9,0)),0),IFERROR(INDEX(Weekly_Model!$D$2:$D$9,MATCH(F161,Weekly_Model!$A$2:$A$9,0)),0)),IF(VLOOKUP($A159,Calendar!$A$1:$R$1377,18,0)=4,SUM(IFERROR(INDEX(Weekly_Model!$D$2:$D$9,MATCH(F159,Weekly_Model!$A$2:$A$9,0)),0),IFERROR(INDEX(Weekly_Model!$D$2:$D$9,MATCH(F160,Weekly_Model!$A$2:$A$9,0)),0),IFERROR(INDEX(Weekly_Model!$D$2:$D$9,MATCH(F161,Weekly_Model!$A$2:$A$9,0)),0),IFERROR(INDEX(Weekly_Model!$D$2:$D$9,MATCH(F162,Weekly_Model!$A$2:$A$9,0)),0)),IF(VLOOKUP($A159,Calendar!$A$1:$R$1377,18,0)=5,SUM(IFERROR(INDEX(Weekly_Model!$D$2:$D$9,MATCH(F159,Weekly_Model!$A$2:$A$9,0)),0),IFERROR(INDEX(Weekly_Model!$D$2:$D$9,MATCH(F160,Weekly_Model!$A$2:$A$9,0)),0),IFERROR(INDEX(Weekly_Model!$D$2:$D$9,MATCH(F161,Weekly_Model!$A$2:$A$9,0)),0),IFERROR(INDEX(Weekly_Model!$D$2:$D$9,MATCH(F162,Weekly_Model!$A$2:$A$9,0)),0),IFERROR(INDEX(Weekly_Model!$D$2:$D$9,MATCH(F163,Weekly_Model!$A$2:$A$9,0)),0)),0))))))</f>
        <v>2.3200000000000002E-2</v>
      </c>
      <c r="L159" s="27">
        <f>IF(VLOOKUP($A159,Calendar!$A$1:$R$1377,18,0)=0,0,IF(VLOOKUP($A159,Calendar!$A$1:$R$1377,18,0)=1,IFERROR(INDEX(Fortnightly_Model!$D$2:$D$15,MATCH(G159,Fortnightly_Model!$B$2:$B$15,0)),0),IF(VLOOKUP($A159,Calendar!$A$1:$R$1377,18,0)=2,SUM(IFERROR(INDEX(Fortnightly_Model!$D$2:$D$15,MATCH(G159,Fortnightly_Model!$B$2:$B$15,0)),0),IFERROR(INDEX(Fortnightly_Model!$D$2:$D$15,MATCH(G160,Fortnightly_Model!$B$2:$B$15,0)),0)),IF(VLOOKUP($A159,Calendar!$A$1:$R$1377,18,0)=3,SUM(IFERROR(INDEX(Fortnightly_Model!$D$2:$D$15,MATCH(G159,Fortnightly_Model!$B$2:$B$15,0)),0),IFERROR(INDEX(Fortnightly_Model!$D$2:$D$15,MATCH(G160,Fortnightly_Model!$B$2:$B$15,0)),0),IFERROR(INDEX(Fortnightly_Model!$D$2:$D$15,MATCH(G161,Fortnightly_Model!$B$2:$B$15,0)),0)),IF(VLOOKUP($A159,Calendar!$A$1:$R$1377,18,0)=4,SUM(IFERROR(INDEX(Fortnightly_Model!$D$2:$D$15,MATCH(G159,Fortnightly_Model!$B$2:$B$15,0)),0),IFERROR(INDEX(Fortnightly_Model!$D$2:$D$15,MATCH(G160,Fortnightly_Model!$B$2:$B$15,0)),0),IFERROR(INDEX(Fortnightly_Model!$D$2:$D$15,MATCH(G161,Fortnightly_Model!$B$2:$B$15,0)),0),IFERROR(INDEX(Fortnightly_Model!$D$2:$D$15,MATCH(G162,Fortnightly_Model!$B$2:$B$15,0)),0)),IF(VLOOKUP($A159,Calendar!$A$1:$R$1377,18,0)=5,SUM(IFERROR(INDEX(Fortnightly_Model!$D$2:$D$15,MATCH(G159,Fortnightly_Model!$B$2:$B$15,0)),0),IFERROR(INDEX(Fortnightly_Model!$D$2:$D$15,MATCH(G160,Fortnightly_Model!$B$2:$B$15,0)),0),IFERROR(INDEX(Fortnightly_Model!$D$2:$D$15,MATCH(G161,Fortnightly_Model!$B$2:$B$15,0)),0),IFERROR(INDEX(Fortnightly_Model!$D$2:$D$15,MATCH(G162,Fortnightly_Model!$B$2:$B$15,0)),0),IFERROR(INDEX(Fortnightly_Model!$D$2:$D$15,MATCH(G163,Fortnightly_Model!$B$2:$B$15,0)),0)),0))))))</f>
        <v>1.0714285499999999E-3</v>
      </c>
      <c r="M159" s="27">
        <f>IF(VLOOKUP($A159,Calendar!$A$1:$R$1377,18,0)=0,0,IF(VLOOKUP($A159,Calendar!$A$1:$R$1377,18,0)=1,IFERROR(INDEX(FourWeekly_Model!$D$2:$D$29,MATCH(H159,FourWeekly_Model!$B$2:$B$29,0)),0),IF(VLOOKUP($A159,Calendar!$A$1:$R$1377,18,0)=2,SUM(IFERROR(INDEX(FourWeekly_Model!$D$2:$D$29,MATCH(H159,FourWeekly_Model!$B$2:$B$29,0)),0),IFERROR(INDEX(FourWeekly_Model!$D$2:$D$29,MATCH(H160,FourWeekly_Model!$B$2:$B$29,0)),0)),IF(VLOOKUP($A159,Calendar!$A$1:$R$1377,18,0)=3,SUM(IFERROR(INDEX(FourWeekly_Model!$D$2:$D$29,MATCH(H159,FourWeekly_Model!$B$2:$B$29,0)),0),IFERROR(INDEX(FourWeekly_Model!$D$2:$D$29,MATCH(H160,FourWeekly_Model!$B$2:$B$29,0)),0),IFERROR(INDEX(FourWeekly_Model!$D$2:$D$29,MATCH(H161,FourWeekly_Model!$B$2:$B$29,0)),0)),IF(VLOOKUP($A159,Calendar!$A$1:$R$1377,18,0)=4,SUM(IFERROR(INDEX(FourWeekly_Model!$D$2:$D$29,MATCH(H159,FourWeekly_Model!$B$2:$B$29,0)),0),IFERROR(INDEX(FourWeekly_Model!$D$2:$D$29,MATCH(H160,FourWeekly_Model!$B$2:$B$29,0)),0),IFERROR(INDEX(FourWeekly_Model!$D$2:$D$29,MATCH(H161,FourWeekly_Model!$B$2:$B$29,0)),0),IFERROR(INDEX(FourWeekly_Model!$D$2:$D$29,MATCH(H162,FourWeekly_Model!$B$2:$B$29,0)),0)),IF(VLOOKUP($A159,Calendar!$A$1:$R$1377,18,0)=5,SUM(IFERROR(INDEX(FourWeekly_Model!$D$2:$D$29,MATCH(H159,FourWeekly_Model!$B$2:$B$29,0)),0),IFERROR(INDEX(FourWeekly_Model!$D$2:$D$29,MATCH(H160,FourWeekly_Model!$B$2:$B$29,0)),0),IFERROR(INDEX(FourWeekly_Model!$D$2:$D$29,MATCH(H161,FourWeekly_Model!$B$2:$B$29,0)),0),IFERROR(INDEX(FourWeekly_Model!$D$2:$D$29,MATCH(H162,FourWeekly_Model!$B$2:$B$29,0)),0),IFERROR(INDEX(FourWeekly_Model!$D$2:$D$29,MATCH(H163,FourWeekly_Model!$B$2:$B$29,0)),0)),0))))))</f>
        <v>3.3214289700000004E-3</v>
      </c>
      <c r="N159" s="27">
        <f>SUM(I159:M159)</f>
        <v>3.4905946525235605E-2</v>
      </c>
      <c r="O159" s="28">
        <f>Population_Data!$B$8*N159</f>
        <v>1057650.1797146387</v>
      </c>
      <c r="P159" s="27">
        <f>IF(VLOOKUP($A159,Calendar!$A$1:$R$1377,18,0)=0,0,IF(VLOOKUP($A159,Calendar!$A$1:$R$1377,18,0)=1,IFERROR(INDEX(Pension_Model!$D$2:$D$29,MATCH(H159,Pension_Model!$B$2:$B$29,0)),0),IF(VLOOKUP($A159,Calendar!$A$1:$R$1377,18,0)=2,SUM(IFERROR(INDEX(Pension_Model!$D$2:$D$29,MATCH(H159,Pension_Model!$B$2:$B$29,0)),0),IFERROR(INDEX(Pension_Model!$D$2:$D$29,MATCH(H160,Pension_Model!$B$2:$B$29,0)),0)),IF(VLOOKUP($A159,Calendar!$A$1:$R$1377,18,0)=3,SUM(IFERROR(INDEX(Pension_Model!$D$2:$D$29,MATCH(H159,Pension_Model!$B$2:$B$29,0)),0),IFERROR(INDEX(Pension_Model!$D$2:$D$29,MATCH(H160,Pension_Model!$B$2:$B$29,0)),0),IFERROR(INDEX(Pension_Model!$D$2:$D$29,MATCH(H161,Pension_Model!$B$2:$B$29,0)),0)),IF(VLOOKUP($A159,Calendar!$A$1:$R$1377,18,0)=4,SUM(IFERROR(INDEX(Pension_Model!$D$2:$D$29,MATCH(H159,Pension_Model!$B$2:$B$29,0)),0),IFERROR(INDEX(Pension_Model!$D$2:$D$29,MATCH(H160,Pension_Model!$B$2:$B$29,0)),0),IFERROR(INDEX(Pension_Model!$D$2:$D$29,MATCH(H161,Pension_Model!$B$2:$B$29,0)),0),IFERROR(INDEX(Pension_Model!$D$2:$D$29,MATCH(H162,Pension_Model!$B$2:$B$29,0)),0)),IF(VLOOKUP($A159,Calendar!$A$1:$R$1377,18,0)=5,SUM(IFERROR(INDEX(Pension_Model!$D$2:$D$29,MATCH(H159,Pension_Model!$B$2:$B$29,0)),0),IFERROR(INDEX(Pension_Model!$D$2:$D$29,MATCH(H160,Pension_Model!$B$2:$B$29,0)),0),IFERROR(INDEX(Pension_Model!$D$2:$D$29,MATCH(H161,Pension_Model!$B$2:$B$29,0)),0),IFERROR(INDEX(Pension_Model!$D$2:$D$29,MATCH(H162,Pension_Model!$B$2:$B$29,0)),0),IFERROR(INDEX(Pension_Model!$D$2:$D$29,MATCH(H163,Pension_Model!$B$2:$B$29,0)),0)),0))))))</f>
        <v>0.05</v>
      </c>
      <c r="Q159" s="28">
        <f>Population_Data!$B$15*P159</f>
        <v>660600</v>
      </c>
      <c r="S159">
        <f t="shared" si="2"/>
        <v>1718250.1797146387</v>
      </c>
      <c r="U159" s="33">
        <f>S159/Population_Data!$B$19</f>
        <v>3.1127720647004326E-2</v>
      </c>
    </row>
    <row r="160" spans="1:21">
      <c r="A160" s="25">
        <f>Calendar!A160</f>
        <v>46393</v>
      </c>
      <c r="B160" t="str">
        <f>Calendar!L160</f>
        <v>Yes</v>
      </c>
      <c r="C160" t="str">
        <f>Calendar!O160</f>
        <v>No</v>
      </c>
      <c r="D160" t="str">
        <f>Calendar!P160</f>
        <v>No</v>
      </c>
      <c r="E160" t="str">
        <f>Calendar!Q160</f>
        <v>No</v>
      </c>
      <c r="F160" t="str">
        <f>Calendar!I160</f>
        <v>Wednesday</v>
      </c>
      <c r="G160">
        <f>Calendar!S160</f>
        <v>11</v>
      </c>
      <c r="H160">
        <f>Calendar!T160</f>
        <v>25</v>
      </c>
      <c r="I160" s="27">
        <f>IF(VLOOKUP(A160,Calendar!$A$1:$R$1377,18,0)=0,0,IF(VLOOKUP(A160,Calendar!$A$1:$R$1377,18,0)=1,INDEX(Monthly_Pay_Model!$A$9:$D$40,MATCH(TEXT(A160,"dd"),Monthly_Pay_Model!$C$9:$C$39,0),4),IF(VLOOKUP(A160,Calendar!$A$1:$R$1377,18,0)=2,SUM(INDEX(Monthly_Pay_Model!$A$9:$D$40,MATCH(TEXT(A160,"dd"),Monthly_Pay_Model!$C$9:$C$39,0),4),INDEX(Monthly_Pay_Model!$A$9:$D$40,MATCH(TEXT(A161,"dd"),Monthly_Pay_Model!$C$9:$C$39,0),4)),IF(VLOOKUP(A160,Calendar!$A$1:$R$1377,18,0)=3,SUM(INDEX(Monthly_Pay_Model!$A$9:$D$40,MATCH(TEXT(A160,"dd"),Monthly_Pay_Model!$C$9:$C$39,0),4),INDEX(Monthly_Pay_Model!$A$9:$D$40,MATCH(TEXT(A161,"dd"),Monthly_Pay_Model!$C$9:$C$39,0),4),INDEX(Monthly_Pay_Model!$A$9:$D$40,MATCH(TEXT(A162,"dd"),Monthly_Pay_Model!$C$9:$C$39,0),4)),IF(VLOOKUP(A160,Calendar!$A$1:$R$1377,18,0)=4,SUM(INDEX(Monthly_Pay_Model!$A$9:$D$40,MATCH(TEXT(A160,"dd"),Monthly_Pay_Model!$C$9:$C$39,0),4),INDEX(Monthly_Pay_Model!$A$9:$D$40,MATCH(TEXT(A161,"dd"),Monthly_Pay_Model!$C$9:$C$39,0),4),INDEX(Monthly_Pay_Model!$A$9:$D$40,MATCH(TEXT(A162,"dd"),Monthly_Pay_Model!$C$9:$C$39,0),4),INDEX(Monthly_Pay_Model!$A$9:$D$40,MATCH(TEXT(A163,"dd"),Monthly_Pay_Model!$C$9:$C$39,0),4)),IF(VLOOKUP(A160,Calendar!$A$1:$R$1377,18,0)=5,SUM(INDEX(Monthly_Pay_Model!$A$9:$D$40,MATCH(TEXT(A160,"dd"),Monthly_Pay_Model!$C$9:$C$39,0),4),INDEX(Monthly_Pay_Model!$A$9:$D$40,MATCH(TEXT(A161,"dd"),Monthly_Pay_Model!$C$9:$C$39,0),4),INDEX(Monthly_Pay_Model!$A$9:$D$40,MATCH(TEXT(A162,"dd"),Monthly_Pay_Model!$C$9:$C$39,0),4),INDEX(Monthly_Pay_Model!$A$9:$D$40,MATCH(TEXT(A163,"dd"),Monthly_Pay_Model!$C$9:$C$39,0),4),INDEX(Monthly_Pay_Model!$A$9:$D$40,MATCH(TEXT(A164,"dd"),Monthly_Pay_Model!$C$9:$C$39,0),4)),))))))</f>
        <v>3.2502617801047117E-3</v>
      </c>
      <c r="J160" s="33">
        <f>IF(C160="Yes",Monthly_Pay_Model!$D$2,0)
+IF(Calendar!N160="Yes",Monthly_Pay_Model!$D$3,0)
+IF(D160="Yes",Monthly_Pay_Model!$D$4,0)
+IF(E160="Yes",Monthly_Pay_Model!$D$5,0)</f>
        <v>0</v>
      </c>
      <c r="K160" s="27">
        <f>IF(VLOOKUP($A160,Calendar!$A$1:$R$1377,18,0)=0,0,IF(VLOOKUP($A160,Calendar!$A$1:$R$1377,18,0)=1,IFERROR(INDEX(Weekly_Model!$D$2:$D$9,MATCH(F160,Weekly_Model!$A$2:$A$9,0)),0),IF(VLOOKUP($A160,Calendar!$A$1:$R$1377,18,0)=2,SUM(IFERROR(INDEX(Weekly_Model!$D$2:$D$9,MATCH(F160,Weekly_Model!$A$2:$A$9,0)),0),IFERROR(INDEX(Weekly_Model!$D$2:$D$9,MATCH(F161,Weekly_Model!$A$2:$A$9,0)),0)),IF(VLOOKUP($A160,Calendar!$A$1:$R$1377,18,0)=3,SUM(IFERROR(INDEX(Weekly_Model!$D$2:$D$9,MATCH(F160,Weekly_Model!$A$2:$A$9,0)),0),IFERROR(INDEX(Weekly_Model!$D$2:$D$9,MATCH(F161,Weekly_Model!$A$2:$A$9,0)),0),IFERROR(INDEX(Weekly_Model!$D$2:$D$9,MATCH(F162,Weekly_Model!$A$2:$A$9,0)),0)),IF(VLOOKUP($A160,Calendar!$A$1:$R$1377,18,0)=4,SUM(IFERROR(INDEX(Weekly_Model!$D$2:$D$9,MATCH(F160,Weekly_Model!$A$2:$A$9,0)),0),IFERROR(INDEX(Weekly_Model!$D$2:$D$9,MATCH(F161,Weekly_Model!$A$2:$A$9,0)),0),IFERROR(INDEX(Weekly_Model!$D$2:$D$9,MATCH(F162,Weekly_Model!$A$2:$A$9,0)),0),IFERROR(INDEX(Weekly_Model!$D$2:$D$9,MATCH(F163,Weekly_Model!$A$2:$A$9,0)),0)),IF(VLOOKUP($A160,Calendar!$A$1:$R$1377,18,0)=5,SUM(IFERROR(INDEX(Weekly_Model!$D$2:$D$9,MATCH(F160,Weekly_Model!$A$2:$A$9,0)),0),IFERROR(INDEX(Weekly_Model!$D$2:$D$9,MATCH(F161,Weekly_Model!$A$2:$A$9,0)),0),IFERROR(INDEX(Weekly_Model!$D$2:$D$9,MATCH(F162,Weekly_Model!$A$2:$A$9,0)),0),IFERROR(INDEX(Weekly_Model!$D$2:$D$9,MATCH(F163,Weekly_Model!$A$2:$A$9,0)),0),IFERROR(INDEX(Weekly_Model!$D$2:$D$9,MATCH(F164,Weekly_Model!$A$2:$A$9,0)),0)),0))))))</f>
        <v>2.3200000000000002E-2</v>
      </c>
      <c r="L160" s="27">
        <f>IF(VLOOKUP($A160,Calendar!$A$1:$R$1377,18,0)=0,0,IF(VLOOKUP($A160,Calendar!$A$1:$R$1377,18,0)=1,IFERROR(INDEX(Fortnightly_Model!$D$2:$D$15,MATCH(G160,Fortnightly_Model!$B$2:$B$15,0)),0),IF(VLOOKUP($A160,Calendar!$A$1:$R$1377,18,0)=2,SUM(IFERROR(INDEX(Fortnightly_Model!$D$2:$D$15,MATCH(G160,Fortnightly_Model!$B$2:$B$15,0)),0),IFERROR(INDEX(Fortnightly_Model!$D$2:$D$15,MATCH(G161,Fortnightly_Model!$B$2:$B$15,0)),0)),IF(VLOOKUP($A160,Calendar!$A$1:$R$1377,18,0)=3,SUM(IFERROR(INDEX(Fortnightly_Model!$D$2:$D$15,MATCH(G160,Fortnightly_Model!$B$2:$B$15,0)),0),IFERROR(INDEX(Fortnightly_Model!$D$2:$D$15,MATCH(G161,Fortnightly_Model!$B$2:$B$15,0)),0),IFERROR(INDEX(Fortnightly_Model!$D$2:$D$15,MATCH(G162,Fortnightly_Model!$B$2:$B$15,0)),0)),IF(VLOOKUP($A160,Calendar!$A$1:$R$1377,18,0)=4,SUM(IFERROR(INDEX(Fortnightly_Model!$D$2:$D$15,MATCH(G160,Fortnightly_Model!$B$2:$B$15,0)),0),IFERROR(INDEX(Fortnightly_Model!$D$2:$D$15,MATCH(G161,Fortnightly_Model!$B$2:$B$15,0)),0),IFERROR(INDEX(Fortnightly_Model!$D$2:$D$15,MATCH(G162,Fortnightly_Model!$B$2:$B$15,0)),0),IFERROR(INDEX(Fortnightly_Model!$D$2:$D$15,MATCH(G163,Fortnightly_Model!$B$2:$B$15,0)),0)),IF(VLOOKUP($A160,Calendar!$A$1:$R$1377,18,0)=5,SUM(IFERROR(INDEX(Fortnightly_Model!$D$2:$D$15,MATCH(G160,Fortnightly_Model!$B$2:$B$15,0)),0),IFERROR(INDEX(Fortnightly_Model!$D$2:$D$15,MATCH(G161,Fortnightly_Model!$B$2:$B$15,0)),0),IFERROR(INDEX(Fortnightly_Model!$D$2:$D$15,MATCH(G162,Fortnightly_Model!$B$2:$B$15,0)),0),IFERROR(INDEX(Fortnightly_Model!$D$2:$D$15,MATCH(G163,Fortnightly_Model!$B$2:$B$15,0)),0),IFERROR(INDEX(Fortnightly_Model!$D$2:$D$15,MATCH(G164,Fortnightly_Model!$B$2:$B$15,0)),0)),0))))))</f>
        <v>1.0714285499999999E-3</v>
      </c>
      <c r="M160" s="27">
        <f>IF(VLOOKUP($A160,Calendar!$A$1:$R$1377,18,0)=0,0,IF(VLOOKUP($A160,Calendar!$A$1:$R$1377,18,0)=1,IFERROR(INDEX(FourWeekly_Model!$D$2:$D$29,MATCH(H160,FourWeekly_Model!$B$2:$B$29,0)),0),IF(VLOOKUP($A160,Calendar!$A$1:$R$1377,18,0)=2,SUM(IFERROR(INDEX(FourWeekly_Model!$D$2:$D$29,MATCH(H160,FourWeekly_Model!$B$2:$B$29,0)),0),IFERROR(INDEX(FourWeekly_Model!$D$2:$D$29,MATCH(H161,FourWeekly_Model!$B$2:$B$29,0)),0)),IF(VLOOKUP($A160,Calendar!$A$1:$R$1377,18,0)=3,SUM(IFERROR(INDEX(FourWeekly_Model!$D$2:$D$29,MATCH(H160,FourWeekly_Model!$B$2:$B$29,0)),0),IFERROR(INDEX(FourWeekly_Model!$D$2:$D$29,MATCH(H161,FourWeekly_Model!$B$2:$B$29,0)),0),IFERROR(INDEX(FourWeekly_Model!$D$2:$D$29,MATCH(H162,FourWeekly_Model!$B$2:$B$29,0)),0)),IF(VLOOKUP($A160,Calendar!$A$1:$R$1377,18,0)=4,SUM(IFERROR(INDEX(FourWeekly_Model!$D$2:$D$29,MATCH(H160,FourWeekly_Model!$B$2:$B$29,0)),0),IFERROR(INDEX(FourWeekly_Model!$D$2:$D$29,MATCH(H161,FourWeekly_Model!$B$2:$B$29,0)),0),IFERROR(INDEX(FourWeekly_Model!$D$2:$D$29,MATCH(H162,FourWeekly_Model!$B$2:$B$29,0)),0),IFERROR(INDEX(FourWeekly_Model!$D$2:$D$29,MATCH(H163,FourWeekly_Model!$B$2:$B$29,0)),0)),IF(VLOOKUP($A160,Calendar!$A$1:$R$1377,18,0)=5,SUM(IFERROR(INDEX(FourWeekly_Model!$D$2:$D$29,MATCH(H160,FourWeekly_Model!$B$2:$B$29,0)),0),IFERROR(INDEX(FourWeekly_Model!$D$2:$D$29,MATCH(H161,FourWeekly_Model!$B$2:$B$29,0)),0),IFERROR(INDEX(FourWeekly_Model!$D$2:$D$29,MATCH(H162,FourWeekly_Model!$B$2:$B$29,0)),0),IFERROR(INDEX(FourWeekly_Model!$D$2:$D$29,MATCH(H163,FourWeekly_Model!$B$2:$B$29,0)),0),IFERROR(INDEX(FourWeekly_Model!$D$2:$D$29,MATCH(H164,FourWeekly_Model!$B$2:$B$29,0)),0)),0))))))</f>
        <v>3.3214289700000004E-3</v>
      </c>
      <c r="N160" s="27">
        <f>SUM(I160:M160)</f>
        <v>3.0843119300104714E-2</v>
      </c>
      <c r="O160" s="28">
        <f>Population_Data!$B$8*N160</f>
        <v>934546.51479317283</v>
      </c>
      <c r="P160" s="27">
        <f>IF(VLOOKUP($A160,Calendar!$A$1:$R$1377,18,0)=0,0,IF(VLOOKUP($A160,Calendar!$A$1:$R$1377,18,0)=1,IFERROR(INDEX(Pension_Model!$D$2:$D$29,MATCH(H160,Pension_Model!$B$2:$B$29,0)),0),IF(VLOOKUP($A160,Calendar!$A$1:$R$1377,18,0)=2,SUM(IFERROR(INDEX(Pension_Model!$D$2:$D$29,MATCH(H160,Pension_Model!$B$2:$B$29,0)),0),IFERROR(INDEX(Pension_Model!$D$2:$D$29,MATCH(H161,Pension_Model!$B$2:$B$29,0)),0)),IF(VLOOKUP($A160,Calendar!$A$1:$R$1377,18,0)=3,SUM(IFERROR(INDEX(Pension_Model!$D$2:$D$29,MATCH(H160,Pension_Model!$B$2:$B$29,0)),0),IFERROR(INDEX(Pension_Model!$D$2:$D$29,MATCH(H161,Pension_Model!$B$2:$B$29,0)),0),IFERROR(INDEX(Pension_Model!$D$2:$D$29,MATCH(H162,Pension_Model!$B$2:$B$29,0)),0)),IF(VLOOKUP($A160,Calendar!$A$1:$R$1377,18,0)=4,SUM(IFERROR(INDEX(Pension_Model!$D$2:$D$29,MATCH(H160,Pension_Model!$B$2:$B$29,0)),0),IFERROR(INDEX(Pension_Model!$D$2:$D$29,MATCH(H161,Pension_Model!$B$2:$B$29,0)),0),IFERROR(INDEX(Pension_Model!$D$2:$D$29,MATCH(H162,Pension_Model!$B$2:$B$29,0)),0),IFERROR(INDEX(Pension_Model!$D$2:$D$29,MATCH(H163,Pension_Model!$B$2:$B$29,0)),0)),IF(VLOOKUP($A160,Calendar!$A$1:$R$1377,18,0)=5,SUM(IFERROR(INDEX(Pension_Model!$D$2:$D$29,MATCH(H160,Pension_Model!$B$2:$B$29,0)),0),IFERROR(INDEX(Pension_Model!$D$2:$D$29,MATCH(H161,Pension_Model!$B$2:$B$29,0)),0),IFERROR(INDEX(Pension_Model!$D$2:$D$29,MATCH(H162,Pension_Model!$B$2:$B$29,0)),0),IFERROR(INDEX(Pension_Model!$D$2:$D$29,MATCH(H163,Pension_Model!$B$2:$B$29,0)),0),IFERROR(INDEX(Pension_Model!$D$2:$D$29,MATCH(H164,Pension_Model!$B$2:$B$29,0)),0)),0))))))</f>
        <v>0.05</v>
      </c>
      <c r="Q160" s="28">
        <f>Population_Data!$B$15*P160</f>
        <v>660600</v>
      </c>
      <c r="S160">
        <f t="shared" si="2"/>
        <v>1595146.5147931729</v>
      </c>
      <c r="U160" s="33">
        <f>S160/Population_Data!$B$19</f>
        <v>2.8897581789731393E-2</v>
      </c>
    </row>
    <row r="161" spans="1:21">
      <c r="A161" s="25">
        <f>Calendar!A161</f>
        <v>46394</v>
      </c>
      <c r="B161" t="str">
        <f>Calendar!L161</f>
        <v>Yes</v>
      </c>
      <c r="C161" t="str">
        <f>Calendar!O161</f>
        <v>No</v>
      </c>
      <c r="D161" t="str">
        <f>Calendar!P161</f>
        <v>No</v>
      </c>
      <c r="E161" t="str">
        <f>Calendar!Q161</f>
        <v>No</v>
      </c>
      <c r="F161" t="str">
        <f>Calendar!I161</f>
        <v>Thursday</v>
      </c>
      <c r="G161">
        <f>Calendar!S161</f>
        <v>12</v>
      </c>
      <c r="H161">
        <f>Calendar!T161</f>
        <v>26</v>
      </c>
      <c r="I161" s="27">
        <f>IF(VLOOKUP(A161,Calendar!$A$1:$R$1377,18,0)=0,0,IF(VLOOKUP(A161,Calendar!$A$1:$R$1377,18,0)=1,INDEX(Monthly_Pay_Model!$A$9:$D$40,MATCH(TEXT(A161,"dd"),Monthly_Pay_Model!$C$9:$C$39,0),4),IF(VLOOKUP(A161,Calendar!$A$1:$R$1377,18,0)=2,SUM(INDEX(Monthly_Pay_Model!$A$9:$D$40,MATCH(TEXT(A161,"dd"),Monthly_Pay_Model!$C$9:$C$39,0),4),INDEX(Monthly_Pay_Model!$A$9:$D$40,MATCH(TEXT(A162,"dd"),Monthly_Pay_Model!$C$9:$C$39,0),4)),IF(VLOOKUP(A161,Calendar!$A$1:$R$1377,18,0)=3,SUM(INDEX(Monthly_Pay_Model!$A$9:$D$40,MATCH(TEXT(A161,"dd"),Monthly_Pay_Model!$C$9:$C$39,0),4),INDEX(Monthly_Pay_Model!$A$9:$D$40,MATCH(TEXT(A162,"dd"),Monthly_Pay_Model!$C$9:$C$39,0),4),INDEX(Monthly_Pay_Model!$A$9:$D$40,MATCH(TEXT(A163,"dd"),Monthly_Pay_Model!$C$9:$C$39,0),4)),IF(VLOOKUP(A161,Calendar!$A$1:$R$1377,18,0)=4,SUM(INDEX(Monthly_Pay_Model!$A$9:$D$40,MATCH(TEXT(A161,"dd"),Monthly_Pay_Model!$C$9:$C$39,0),4),INDEX(Monthly_Pay_Model!$A$9:$D$40,MATCH(TEXT(A162,"dd"),Monthly_Pay_Model!$C$9:$C$39,0),4),INDEX(Monthly_Pay_Model!$A$9:$D$40,MATCH(TEXT(A163,"dd"),Monthly_Pay_Model!$C$9:$C$39,0),4),INDEX(Monthly_Pay_Model!$A$9:$D$40,MATCH(TEXT(A164,"dd"),Monthly_Pay_Model!$C$9:$C$39,0),4)),IF(VLOOKUP(A161,Calendar!$A$1:$R$1377,18,0)=5,SUM(INDEX(Monthly_Pay_Model!$A$9:$D$40,MATCH(TEXT(A161,"dd"),Monthly_Pay_Model!$C$9:$C$39,0),4),INDEX(Monthly_Pay_Model!$A$9:$D$40,MATCH(TEXT(A162,"dd"),Monthly_Pay_Model!$C$9:$C$39,0),4),INDEX(Monthly_Pay_Model!$A$9:$D$40,MATCH(TEXT(A163,"dd"),Monthly_Pay_Model!$C$9:$C$39,0),4),INDEX(Monthly_Pay_Model!$A$9:$D$40,MATCH(TEXT(A164,"dd"),Monthly_Pay_Model!$C$9:$C$39,0),4),INDEX(Monthly_Pay_Model!$A$9:$D$40,MATCH(TEXT(A165,"dd"),Monthly_Pay_Model!$C$9:$C$39,0),4)),))))))</f>
        <v>2.4376963350785331E-3</v>
      </c>
      <c r="J161" s="33">
        <f>IF(C161="Yes",Monthly_Pay_Model!$D$2,0)
+IF(Calendar!N161="Yes",Monthly_Pay_Model!$D$3,0)
+IF(D161="Yes",Monthly_Pay_Model!$D$4,0)
+IF(E161="Yes",Monthly_Pay_Model!$D$5,0)</f>
        <v>0</v>
      </c>
      <c r="K161" s="27">
        <f>IF(VLOOKUP($A161,Calendar!$A$1:$R$1377,18,0)=0,0,IF(VLOOKUP($A161,Calendar!$A$1:$R$1377,18,0)=1,IFERROR(INDEX(Weekly_Model!$D$2:$D$9,MATCH(F161,Weekly_Model!$A$2:$A$9,0)),0),IF(VLOOKUP($A161,Calendar!$A$1:$R$1377,18,0)=2,SUM(IFERROR(INDEX(Weekly_Model!$D$2:$D$9,MATCH(F161,Weekly_Model!$A$2:$A$9,0)),0),IFERROR(INDEX(Weekly_Model!$D$2:$D$9,MATCH(F162,Weekly_Model!$A$2:$A$9,0)),0)),IF(VLOOKUP($A161,Calendar!$A$1:$R$1377,18,0)=3,SUM(IFERROR(INDEX(Weekly_Model!$D$2:$D$9,MATCH(F161,Weekly_Model!$A$2:$A$9,0)),0),IFERROR(INDEX(Weekly_Model!$D$2:$D$9,MATCH(F162,Weekly_Model!$A$2:$A$9,0)),0),IFERROR(INDEX(Weekly_Model!$D$2:$D$9,MATCH(F163,Weekly_Model!$A$2:$A$9,0)),0)),IF(VLOOKUP($A161,Calendar!$A$1:$R$1377,18,0)=4,SUM(IFERROR(INDEX(Weekly_Model!$D$2:$D$9,MATCH(F161,Weekly_Model!$A$2:$A$9,0)),0),IFERROR(INDEX(Weekly_Model!$D$2:$D$9,MATCH(F162,Weekly_Model!$A$2:$A$9,0)),0),IFERROR(INDEX(Weekly_Model!$D$2:$D$9,MATCH(F163,Weekly_Model!$A$2:$A$9,0)),0),IFERROR(INDEX(Weekly_Model!$D$2:$D$9,MATCH(F164,Weekly_Model!$A$2:$A$9,0)),0)),IF(VLOOKUP($A161,Calendar!$A$1:$R$1377,18,0)=5,SUM(IFERROR(INDEX(Weekly_Model!$D$2:$D$9,MATCH(F161,Weekly_Model!$A$2:$A$9,0)),0),IFERROR(INDEX(Weekly_Model!$D$2:$D$9,MATCH(F162,Weekly_Model!$A$2:$A$9,0)),0),IFERROR(INDEX(Weekly_Model!$D$2:$D$9,MATCH(F163,Weekly_Model!$A$2:$A$9,0)),0),IFERROR(INDEX(Weekly_Model!$D$2:$D$9,MATCH(F164,Weekly_Model!$A$2:$A$9,0)),0),IFERROR(INDEX(Weekly_Model!$D$2:$D$9,MATCH(F165,Weekly_Model!$A$2:$A$9,0)),0)),0))))))</f>
        <v>2.3200000000000002E-2</v>
      </c>
      <c r="L161" s="27">
        <f>IF(VLOOKUP($A161,Calendar!$A$1:$R$1377,18,0)=0,0,IF(VLOOKUP($A161,Calendar!$A$1:$R$1377,18,0)=1,IFERROR(INDEX(Fortnightly_Model!$D$2:$D$15,MATCH(G161,Fortnightly_Model!$B$2:$B$15,0)),0),IF(VLOOKUP($A161,Calendar!$A$1:$R$1377,18,0)=2,SUM(IFERROR(INDEX(Fortnightly_Model!$D$2:$D$15,MATCH(G161,Fortnightly_Model!$B$2:$B$15,0)),0),IFERROR(INDEX(Fortnightly_Model!$D$2:$D$15,MATCH(G162,Fortnightly_Model!$B$2:$B$15,0)),0)),IF(VLOOKUP($A161,Calendar!$A$1:$R$1377,18,0)=3,SUM(IFERROR(INDEX(Fortnightly_Model!$D$2:$D$15,MATCH(G161,Fortnightly_Model!$B$2:$B$15,0)),0),IFERROR(INDEX(Fortnightly_Model!$D$2:$D$15,MATCH(G162,Fortnightly_Model!$B$2:$B$15,0)),0),IFERROR(INDEX(Fortnightly_Model!$D$2:$D$15,MATCH(G163,Fortnightly_Model!$B$2:$B$15,0)),0)),IF(VLOOKUP($A161,Calendar!$A$1:$R$1377,18,0)=4,SUM(IFERROR(INDEX(Fortnightly_Model!$D$2:$D$15,MATCH(G161,Fortnightly_Model!$B$2:$B$15,0)),0),IFERROR(INDEX(Fortnightly_Model!$D$2:$D$15,MATCH(G162,Fortnightly_Model!$B$2:$B$15,0)),0),IFERROR(INDEX(Fortnightly_Model!$D$2:$D$15,MATCH(G163,Fortnightly_Model!$B$2:$B$15,0)),0),IFERROR(INDEX(Fortnightly_Model!$D$2:$D$15,MATCH(G164,Fortnightly_Model!$B$2:$B$15,0)),0)),IF(VLOOKUP($A161,Calendar!$A$1:$R$1377,18,0)=5,SUM(IFERROR(INDEX(Fortnightly_Model!$D$2:$D$15,MATCH(G161,Fortnightly_Model!$B$2:$B$15,0)),0),IFERROR(INDEX(Fortnightly_Model!$D$2:$D$15,MATCH(G162,Fortnightly_Model!$B$2:$B$15,0)),0),IFERROR(INDEX(Fortnightly_Model!$D$2:$D$15,MATCH(G163,Fortnightly_Model!$B$2:$B$15,0)),0),IFERROR(INDEX(Fortnightly_Model!$D$2:$D$15,MATCH(G164,Fortnightly_Model!$B$2:$B$15,0)),0),IFERROR(INDEX(Fortnightly_Model!$D$2:$D$15,MATCH(G165,Fortnightly_Model!$B$2:$B$15,0)),0)),0))))))</f>
        <v>1.0714285499999999E-3</v>
      </c>
      <c r="M161" s="27">
        <f>IF(VLOOKUP($A161,Calendar!$A$1:$R$1377,18,0)=0,0,IF(VLOOKUP($A161,Calendar!$A$1:$R$1377,18,0)=1,IFERROR(INDEX(FourWeekly_Model!$D$2:$D$29,MATCH(H161,FourWeekly_Model!$B$2:$B$29,0)),0),IF(VLOOKUP($A161,Calendar!$A$1:$R$1377,18,0)=2,SUM(IFERROR(INDEX(FourWeekly_Model!$D$2:$D$29,MATCH(H161,FourWeekly_Model!$B$2:$B$29,0)),0),IFERROR(INDEX(FourWeekly_Model!$D$2:$D$29,MATCH(H162,FourWeekly_Model!$B$2:$B$29,0)),0)),IF(VLOOKUP($A161,Calendar!$A$1:$R$1377,18,0)=3,SUM(IFERROR(INDEX(FourWeekly_Model!$D$2:$D$29,MATCH(H161,FourWeekly_Model!$B$2:$B$29,0)),0),IFERROR(INDEX(FourWeekly_Model!$D$2:$D$29,MATCH(H162,FourWeekly_Model!$B$2:$B$29,0)),0),IFERROR(INDEX(FourWeekly_Model!$D$2:$D$29,MATCH(H163,FourWeekly_Model!$B$2:$B$29,0)),0)),IF(VLOOKUP($A161,Calendar!$A$1:$R$1377,18,0)=4,SUM(IFERROR(INDEX(FourWeekly_Model!$D$2:$D$29,MATCH(H161,FourWeekly_Model!$B$2:$B$29,0)),0),IFERROR(INDEX(FourWeekly_Model!$D$2:$D$29,MATCH(H162,FourWeekly_Model!$B$2:$B$29,0)),0),IFERROR(INDEX(FourWeekly_Model!$D$2:$D$29,MATCH(H163,FourWeekly_Model!$B$2:$B$29,0)),0),IFERROR(INDEX(FourWeekly_Model!$D$2:$D$29,MATCH(H164,FourWeekly_Model!$B$2:$B$29,0)),0)),IF(VLOOKUP($A161,Calendar!$A$1:$R$1377,18,0)=5,SUM(IFERROR(INDEX(FourWeekly_Model!$D$2:$D$29,MATCH(H161,FourWeekly_Model!$B$2:$B$29,0)),0),IFERROR(INDEX(FourWeekly_Model!$D$2:$D$29,MATCH(H162,FourWeekly_Model!$B$2:$B$29,0)),0),IFERROR(INDEX(FourWeekly_Model!$D$2:$D$29,MATCH(H163,FourWeekly_Model!$B$2:$B$29,0)),0),IFERROR(INDEX(FourWeekly_Model!$D$2:$D$29,MATCH(H164,FourWeekly_Model!$B$2:$B$29,0)),0),IFERROR(INDEX(FourWeekly_Model!$D$2:$D$29,MATCH(H165,FourWeekly_Model!$B$2:$B$29,0)),0)),0))))))</f>
        <v>3.3214289700000004E-3</v>
      </c>
      <c r="N161" s="27">
        <f>SUM(I161:M161)</f>
        <v>3.0030553855078537E-2</v>
      </c>
      <c r="O161" s="28">
        <f>Population_Data!$B$8*N161</f>
        <v>909925.78180887969</v>
      </c>
      <c r="P161" s="27">
        <f>IF(VLOOKUP($A161,Calendar!$A$1:$R$1377,18,0)=0,0,IF(VLOOKUP($A161,Calendar!$A$1:$R$1377,18,0)=1,IFERROR(INDEX(Pension_Model!$D$2:$D$29,MATCH(H161,Pension_Model!$B$2:$B$29,0)),0),IF(VLOOKUP($A161,Calendar!$A$1:$R$1377,18,0)=2,SUM(IFERROR(INDEX(Pension_Model!$D$2:$D$29,MATCH(H161,Pension_Model!$B$2:$B$29,0)),0),IFERROR(INDEX(Pension_Model!$D$2:$D$29,MATCH(H162,Pension_Model!$B$2:$B$29,0)),0)),IF(VLOOKUP($A161,Calendar!$A$1:$R$1377,18,0)=3,SUM(IFERROR(INDEX(Pension_Model!$D$2:$D$29,MATCH(H161,Pension_Model!$B$2:$B$29,0)),0),IFERROR(INDEX(Pension_Model!$D$2:$D$29,MATCH(H162,Pension_Model!$B$2:$B$29,0)),0),IFERROR(INDEX(Pension_Model!$D$2:$D$29,MATCH(H163,Pension_Model!$B$2:$B$29,0)),0)),IF(VLOOKUP($A161,Calendar!$A$1:$R$1377,18,0)=4,SUM(IFERROR(INDEX(Pension_Model!$D$2:$D$29,MATCH(H161,Pension_Model!$B$2:$B$29,0)),0),IFERROR(INDEX(Pension_Model!$D$2:$D$29,MATCH(H162,Pension_Model!$B$2:$B$29,0)),0),IFERROR(INDEX(Pension_Model!$D$2:$D$29,MATCH(H163,Pension_Model!$B$2:$B$29,0)),0),IFERROR(INDEX(Pension_Model!$D$2:$D$29,MATCH(H164,Pension_Model!$B$2:$B$29,0)),0)),IF(VLOOKUP($A161,Calendar!$A$1:$R$1377,18,0)=5,SUM(IFERROR(INDEX(Pension_Model!$D$2:$D$29,MATCH(H161,Pension_Model!$B$2:$B$29,0)),0),IFERROR(INDEX(Pension_Model!$D$2:$D$29,MATCH(H162,Pension_Model!$B$2:$B$29,0)),0),IFERROR(INDEX(Pension_Model!$D$2:$D$29,MATCH(H163,Pension_Model!$B$2:$B$29,0)),0),IFERROR(INDEX(Pension_Model!$D$2:$D$29,MATCH(H164,Pension_Model!$B$2:$B$29,0)),0),IFERROR(INDEX(Pension_Model!$D$2:$D$29,MATCH(H165,Pension_Model!$B$2:$B$29,0)),0)),0))))))</f>
        <v>0.05</v>
      </c>
      <c r="Q161" s="28">
        <f>Population_Data!$B$15*P161</f>
        <v>660600</v>
      </c>
      <c r="S161">
        <f t="shared" si="2"/>
        <v>1570525.7818088797</v>
      </c>
      <c r="U161" s="33">
        <f>S161/Population_Data!$B$19</f>
        <v>2.8451554018276808E-2</v>
      </c>
    </row>
    <row r="162" spans="1:21">
      <c r="A162" s="25">
        <f>Calendar!A162</f>
        <v>46395</v>
      </c>
      <c r="B162" t="str">
        <f>Calendar!L162</f>
        <v>Yes</v>
      </c>
      <c r="C162" t="str">
        <f>Calendar!O162</f>
        <v>No</v>
      </c>
      <c r="D162" t="str">
        <f>Calendar!P162</f>
        <v>No</v>
      </c>
      <c r="E162" t="str">
        <f>Calendar!Q162</f>
        <v>No</v>
      </c>
      <c r="F162" t="str">
        <f>Calendar!I162</f>
        <v>Friday</v>
      </c>
      <c r="G162">
        <f>Calendar!S162</f>
        <v>13</v>
      </c>
      <c r="H162">
        <f>Calendar!T162</f>
        <v>27</v>
      </c>
      <c r="I162" s="27">
        <f>IF(VLOOKUP(A162,Calendar!$A$1:$R$1377,18,0)=0,0,IF(VLOOKUP(A162,Calendar!$A$1:$R$1377,18,0)=1,INDEX(Monthly_Pay_Model!$A$9:$D$40,MATCH(TEXT(A162,"dd"),Monthly_Pay_Model!$C$9:$C$39,0),4),IF(VLOOKUP(A162,Calendar!$A$1:$R$1377,18,0)=2,SUM(INDEX(Monthly_Pay_Model!$A$9:$D$40,MATCH(TEXT(A162,"dd"),Monthly_Pay_Model!$C$9:$C$39,0),4),INDEX(Monthly_Pay_Model!$A$9:$D$40,MATCH(TEXT(A163,"dd"),Monthly_Pay_Model!$C$9:$C$39,0),4)),IF(VLOOKUP(A162,Calendar!$A$1:$R$1377,18,0)=3,SUM(INDEX(Monthly_Pay_Model!$A$9:$D$40,MATCH(TEXT(A162,"dd"),Monthly_Pay_Model!$C$9:$C$39,0),4),INDEX(Monthly_Pay_Model!$A$9:$D$40,MATCH(TEXT(A163,"dd"),Monthly_Pay_Model!$C$9:$C$39,0),4),INDEX(Monthly_Pay_Model!$A$9:$D$40,MATCH(TEXT(A164,"dd"),Monthly_Pay_Model!$C$9:$C$39,0),4)),IF(VLOOKUP(A162,Calendar!$A$1:$R$1377,18,0)=4,SUM(INDEX(Monthly_Pay_Model!$A$9:$D$40,MATCH(TEXT(A162,"dd"),Monthly_Pay_Model!$C$9:$C$39,0),4),INDEX(Monthly_Pay_Model!$A$9:$D$40,MATCH(TEXT(A163,"dd"),Monthly_Pay_Model!$C$9:$C$39,0),4),INDEX(Monthly_Pay_Model!$A$9:$D$40,MATCH(TEXT(A164,"dd"),Monthly_Pay_Model!$C$9:$C$39,0),4),INDEX(Monthly_Pay_Model!$A$9:$D$40,MATCH(TEXT(A165,"dd"),Monthly_Pay_Model!$C$9:$C$39,0),4)),IF(VLOOKUP(A162,Calendar!$A$1:$R$1377,18,0)=5,SUM(INDEX(Monthly_Pay_Model!$A$9:$D$40,MATCH(TEXT(A162,"dd"),Monthly_Pay_Model!$C$9:$C$39,0),4),INDEX(Monthly_Pay_Model!$A$9:$D$40,MATCH(TEXT(A163,"dd"),Monthly_Pay_Model!$C$9:$C$39,0),4),INDEX(Monthly_Pay_Model!$A$9:$D$40,MATCH(TEXT(A164,"dd"),Monthly_Pay_Model!$C$9:$C$39,0),4),INDEX(Monthly_Pay_Model!$A$9:$D$40,MATCH(TEXT(A165,"dd"),Monthly_Pay_Model!$C$9:$C$39,0),4),INDEX(Monthly_Pay_Model!$A$9:$D$40,MATCH(TEXT(A166,"dd"),Monthly_Pay_Model!$C$9:$C$39,0),4)),))))))</f>
        <v>7.3130890052356002E-3</v>
      </c>
      <c r="J162" s="33">
        <f>IF(C162="Yes",Monthly_Pay_Model!$D$2,0)
+IF(Calendar!N162="Yes",Monthly_Pay_Model!$D$3,0)
+IF(D162="Yes",Monthly_Pay_Model!$D$4,0)
+IF(E162="Yes",Monthly_Pay_Model!$D$5,0)</f>
        <v>0</v>
      </c>
      <c r="K162" s="27">
        <f>IF(VLOOKUP($A162,Calendar!$A$1:$R$1377,18,0)=0,0,IF(VLOOKUP($A162,Calendar!$A$1:$R$1377,18,0)=1,IFERROR(INDEX(Weekly_Model!$D$2:$D$9,MATCH(F162,Weekly_Model!$A$2:$A$9,0)),0),IF(VLOOKUP($A162,Calendar!$A$1:$R$1377,18,0)=2,SUM(IFERROR(INDEX(Weekly_Model!$D$2:$D$9,MATCH(F162,Weekly_Model!$A$2:$A$9,0)),0),IFERROR(INDEX(Weekly_Model!$D$2:$D$9,MATCH(F163,Weekly_Model!$A$2:$A$9,0)),0)),IF(VLOOKUP($A162,Calendar!$A$1:$R$1377,18,0)=3,SUM(IFERROR(INDEX(Weekly_Model!$D$2:$D$9,MATCH(F162,Weekly_Model!$A$2:$A$9,0)),0),IFERROR(INDEX(Weekly_Model!$D$2:$D$9,MATCH(F163,Weekly_Model!$A$2:$A$9,0)),0),IFERROR(INDEX(Weekly_Model!$D$2:$D$9,MATCH(F164,Weekly_Model!$A$2:$A$9,0)),0)),IF(VLOOKUP($A162,Calendar!$A$1:$R$1377,18,0)=4,SUM(IFERROR(INDEX(Weekly_Model!$D$2:$D$9,MATCH(F162,Weekly_Model!$A$2:$A$9,0)),0),IFERROR(INDEX(Weekly_Model!$D$2:$D$9,MATCH(F163,Weekly_Model!$A$2:$A$9,0)),0),IFERROR(INDEX(Weekly_Model!$D$2:$D$9,MATCH(F164,Weekly_Model!$A$2:$A$9,0)),0),IFERROR(INDEX(Weekly_Model!$D$2:$D$9,MATCH(F165,Weekly_Model!$A$2:$A$9,0)),0)),IF(VLOOKUP($A162,Calendar!$A$1:$R$1377,18,0)=5,SUM(IFERROR(INDEX(Weekly_Model!$D$2:$D$9,MATCH(F162,Weekly_Model!$A$2:$A$9,0)),0),IFERROR(INDEX(Weekly_Model!$D$2:$D$9,MATCH(F163,Weekly_Model!$A$2:$A$9,0)),0),IFERROR(INDEX(Weekly_Model!$D$2:$D$9,MATCH(F164,Weekly_Model!$A$2:$A$9,0)),0),IFERROR(INDEX(Weekly_Model!$D$2:$D$9,MATCH(F165,Weekly_Model!$A$2:$A$9,0)),0),IFERROR(INDEX(Weekly_Model!$D$2:$D$9,MATCH(F166,Weekly_Model!$A$2:$A$9,0)),0)),0))))))</f>
        <v>2.3200000000000002E-2</v>
      </c>
      <c r="L162" s="27">
        <f>IF(VLOOKUP($A162,Calendar!$A$1:$R$1377,18,0)=0,0,IF(VLOOKUP($A162,Calendar!$A$1:$R$1377,18,0)=1,IFERROR(INDEX(Fortnightly_Model!$D$2:$D$15,MATCH(G162,Fortnightly_Model!$B$2:$B$15,0)),0),IF(VLOOKUP($A162,Calendar!$A$1:$R$1377,18,0)=2,SUM(IFERROR(INDEX(Fortnightly_Model!$D$2:$D$15,MATCH(G162,Fortnightly_Model!$B$2:$B$15,0)),0),IFERROR(INDEX(Fortnightly_Model!$D$2:$D$15,MATCH(G163,Fortnightly_Model!$B$2:$B$15,0)),0)),IF(VLOOKUP($A162,Calendar!$A$1:$R$1377,18,0)=3,SUM(IFERROR(INDEX(Fortnightly_Model!$D$2:$D$15,MATCH(G162,Fortnightly_Model!$B$2:$B$15,0)),0),IFERROR(INDEX(Fortnightly_Model!$D$2:$D$15,MATCH(G163,Fortnightly_Model!$B$2:$B$15,0)),0),IFERROR(INDEX(Fortnightly_Model!$D$2:$D$15,MATCH(G164,Fortnightly_Model!$B$2:$B$15,0)),0)),IF(VLOOKUP($A162,Calendar!$A$1:$R$1377,18,0)=4,SUM(IFERROR(INDEX(Fortnightly_Model!$D$2:$D$15,MATCH(G162,Fortnightly_Model!$B$2:$B$15,0)),0),IFERROR(INDEX(Fortnightly_Model!$D$2:$D$15,MATCH(G163,Fortnightly_Model!$B$2:$B$15,0)),0),IFERROR(INDEX(Fortnightly_Model!$D$2:$D$15,MATCH(G164,Fortnightly_Model!$B$2:$B$15,0)),0),IFERROR(INDEX(Fortnightly_Model!$D$2:$D$15,MATCH(G165,Fortnightly_Model!$B$2:$B$15,0)),0)),IF(VLOOKUP($A162,Calendar!$A$1:$R$1377,18,0)=5,SUM(IFERROR(INDEX(Fortnightly_Model!$D$2:$D$15,MATCH(G162,Fortnightly_Model!$B$2:$B$15,0)),0),IFERROR(INDEX(Fortnightly_Model!$D$2:$D$15,MATCH(G163,Fortnightly_Model!$B$2:$B$15,0)),0),IFERROR(INDEX(Fortnightly_Model!$D$2:$D$15,MATCH(G164,Fortnightly_Model!$B$2:$B$15,0)),0),IFERROR(INDEX(Fortnightly_Model!$D$2:$D$15,MATCH(G165,Fortnightly_Model!$B$2:$B$15,0)),0),IFERROR(INDEX(Fortnightly_Model!$D$2:$D$15,MATCH(G166,Fortnightly_Model!$B$2:$B$15,0)),0)),0))))))</f>
        <v>3.2142856499999999E-3</v>
      </c>
      <c r="M162" s="27">
        <f>IF(VLOOKUP($A162,Calendar!$A$1:$R$1377,18,0)=0,0,IF(VLOOKUP($A162,Calendar!$A$1:$R$1377,18,0)=1,IFERROR(INDEX(FourWeekly_Model!$D$2:$D$29,MATCH(H162,FourWeekly_Model!$B$2:$B$29,0)),0),IF(VLOOKUP($A162,Calendar!$A$1:$R$1377,18,0)=2,SUM(IFERROR(INDEX(FourWeekly_Model!$D$2:$D$29,MATCH(H162,FourWeekly_Model!$B$2:$B$29,0)),0),IFERROR(INDEX(FourWeekly_Model!$D$2:$D$29,MATCH(H163,FourWeekly_Model!$B$2:$B$29,0)),0)),IF(VLOOKUP($A162,Calendar!$A$1:$R$1377,18,0)=3,SUM(IFERROR(INDEX(FourWeekly_Model!$D$2:$D$29,MATCH(H162,FourWeekly_Model!$B$2:$B$29,0)),0),IFERROR(INDEX(FourWeekly_Model!$D$2:$D$29,MATCH(H163,FourWeekly_Model!$B$2:$B$29,0)),0),IFERROR(INDEX(FourWeekly_Model!$D$2:$D$29,MATCH(H164,FourWeekly_Model!$B$2:$B$29,0)),0)),IF(VLOOKUP($A162,Calendar!$A$1:$R$1377,18,0)=4,SUM(IFERROR(INDEX(FourWeekly_Model!$D$2:$D$29,MATCH(H162,FourWeekly_Model!$B$2:$B$29,0)),0),IFERROR(INDEX(FourWeekly_Model!$D$2:$D$29,MATCH(H163,FourWeekly_Model!$B$2:$B$29,0)),0),IFERROR(INDEX(FourWeekly_Model!$D$2:$D$29,MATCH(H164,FourWeekly_Model!$B$2:$B$29,0)),0),IFERROR(INDEX(FourWeekly_Model!$D$2:$D$29,MATCH(H165,FourWeekly_Model!$B$2:$B$29,0)),0)),IF(VLOOKUP($A162,Calendar!$A$1:$R$1377,18,0)=5,SUM(IFERROR(INDEX(FourWeekly_Model!$D$2:$D$29,MATCH(H162,FourWeekly_Model!$B$2:$B$29,0)),0),IFERROR(INDEX(FourWeekly_Model!$D$2:$D$29,MATCH(H163,FourWeekly_Model!$B$2:$B$29,0)),0),IFERROR(INDEX(FourWeekly_Model!$D$2:$D$29,MATCH(H164,FourWeekly_Model!$B$2:$B$29,0)),0),IFERROR(INDEX(FourWeekly_Model!$D$2:$D$29,MATCH(H165,FourWeekly_Model!$B$2:$B$29,0)),0),IFERROR(INDEX(FourWeekly_Model!$D$2:$D$29,MATCH(H166,FourWeekly_Model!$B$2:$B$29,0)),0)),0))))))</f>
        <v>9.9642859800000011E-3</v>
      </c>
      <c r="N162" s="27">
        <f>SUM(I162:M162)</f>
        <v>4.3691660635235607E-2</v>
      </c>
      <c r="O162" s="28">
        <f>Population_Data!$B$8*N162</f>
        <v>1323857.3172476389</v>
      </c>
      <c r="P162" s="27">
        <f>IF(VLOOKUP($A162,Calendar!$A$1:$R$1377,18,0)=0,0,IF(VLOOKUP($A162,Calendar!$A$1:$R$1377,18,0)=1,IFERROR(INDEX(Pension_Model!$D$2:$D$29,MATCH(H162,Pension_Model!$B$2:$B$29,0)),0),IF(VLOOKUP($A162,Calendar!$A$1:$R$1377,18,0)=2,SUM(IFERROR(INDEX(Pension_Model!$D$2:$D$29,MATCH(H162,Pension_Model!$B$2:$B$29,0)),0),IFERROR(INDEX(Pension_Model!$D$2:$D$29,MATCH(H163,Pension_Model!$B$2:$B$29,0)),0)),IF(VLOOKUP($A162,Calendar!$A$1:$R$1377,18,0)=3,SUM(IFERROR(INDEX(Pension_Model!$D$2:$D$29,MATCH(H162,Pension_Model!$B$2:$B$29,0)),0),IFERROR(INDEX(Pension_Model!$D$2:$D$29,MATCH(H163,Pension_Model!$B$2:$B$29,0)),0),IFERROR(INDEX(Pension_Model!$D$2:$D$29,MATCH(H164,Pension_Model!$B$2:$B$29,0)),0)),IF(VLOOKUP($A162,Calendar!$A$1:$R$1377,18,0)=4,SUM(IFERROR(INDEX(Pension_Model!$D$2:$D$29,MATCH(H162,Pension_Model!$B$2:$B$29,0)),0),IFERROR(INDEX(Pension_Model!$D$2:$D$29,MATCH(H163,Pension_Model!$B$2:$B$29,0)),0),IFERROR(INDEX(Pension_Model!$D$2:$D$29,MATCH(H164,Pension_Model!$B$2:$B$29,0)),0),IFERROR(INDEX(Pension_Model!$D$2:$D$29,MATCH(H165,Pension_Model!$B$2:$B$29,0)),0)),IF(VLOOKUP($A162,Calendar!$A$1:$R$1377,18,0)=5,SUM(IFERROR(INDEX(Pension_Model!$D$2:$D$29,MATCH(H162,Pension_Model!$B$2:$B$29,0)),0),IFERROR(INDEX(Pension_Model!$D$2:$D$29,MATCH(H163,Pension_Model!$B$2:$B$29,0)),0),IFERROR(INDEX(Pension_Model!$D$2:$D$29,MATCH(H164,Pension_Model!$B$2:$B$29,0)),0),IFERROR(INDEX(Pension_Model!$D$2:$D$29,MATCH(H165,Pension_Model!$B$2:$B$29,0)),0),IFERROR(INDEX(Pension_Model!$D$2:$D$29,MATCH(H166,Pension_Model!$B$2:$B$29,0)),0)),0))))))</f>
        <v>0.05</v>
      </c>
      <c r="Q162" s="28">
        <f>Population_Data!$B$15*P162</f>
        <v>660600</v>
      </c>
      <c r="S162">
        <f t="shared" si="2"/>
        <v>1984457.3172476389</v>
      </c>
      <c r="U162" s="33">
        <f>S162/Population_Data!$B$19</f>
        <v>3.5950313718254329E-2</v>
      </c>
    </row>
    <row r="163" spans="1:21">
      <c r="A163" s="25">
        <f>Calendar!A163</f>
        <v>46396</v>
      </c>
      <c r="B163" t="str">
        <f>Calendar!L163</f>
        <v>No</v>
      </c>
      <c r="C163" t="str">
        <f>Calendar!O163</f>
        <v>No</v>
      </c>
      <c r="D163" t="str">
        <f>Calendar!P163</f>
        <v>No</v>
      </c>
      <c r="E163" t="str">
        <f>Calendar!Q163</f>
        <v>No</v>
      </c>
      <c r="F163" t="str">
        <f>Calendar!I163</f>
        <v>Saturday</v>
      </c>
      <c r="G163">
        <f>Calendar!S163</f>
        <v>0</v>
      </c>
      <c r="H163">
        <f>Calendar!T163</f>
        <v>0</v>
      </c>
      <c r="I163" s="27">
        <f>IF(VLOOKUP(A163,Calendar!$A$1:$R$1377,18,0)=0,0,IF(VLOOKUP(A163,Calendar!$A$1:$R$1377,18,0)=1,INDEX(Monthly_Pay_Model!$A$9:$D$40,MATCH(TEXT(A163,"dd"),Monthly_Pay_Model!$C$9:$C$39,0),4),IF(VLOOKUP(A163,Calendar!$A$1:$R$1377,18,0)=2,SUM(INDEX(Monthly_Pay_Model!$A$9:$D$40,MATCH(TEXT(A163,"dd"),Monthly_Pay_Model!$C$9:$C$39,0),4),INDEX(Monthly_Pay_Model!$A$9:$D$40,MATCH(TEXT(A164,"dd"),Monthly_Pay_Model!$C$9:$C$39,0),4)),IF(VLOOKUP(A163,Calendar!$A$1:$R$1377,18,0)=3,SUM(INDEX(Monthly_Pay_Model!$A$9:$D$40,MATCH(TEXT(A163,"dd"),Monthly_Pay_Model!$C$9:$C$39,0),4),INDEX(Monthly_Pay_Model!$A$9:$D$40,MATCH(TEXT(A164,"dd"),Monthly_Pay_Model!$C$9:$C$39,0),4),INDEX(Monthly_Pay_Model!$A$9:$D$40,MATCH(TEXT(A165,"dd"),Monthly_Pay_Model!$C$9:$C$39,0),4)),IF(VLOOKUP(A163,Calendar!$A$1:$R$1377,18,0)=4,SUM(INDEX(Monthly_Pay_Model!$A$9:$D$40,MATCH(TEXT(A163,"dd"),Monthly_Pay_Model!$C$9:$C$39,0),4),INDEX(Monthly_Pay_Model!$A$9:$D$40,MATCH(TEXT(A164,"dd"),Monthly_Pay_Model!$C$9:$C$39,0),4),INDEX(Monthly_Pay_Model!$A$9:$D$40,MATCH(TEXT(A165,"dd"),Monthly_Pay_Model!$C$9:$C$39,0),4),INDEX(Monthly_Pay_Model!$A$9:$D$40,MATCH(TEXT(A166,"dd"),Monthly_Pay_Model!$C$9:$C$39,0),4)),IF(VLOOKUP(A163,Calendar!$A$1:$R$1377,18,0)=5,SUM(INDEX(Monthly_Pay_Model!$A$9:$D$40,MATCH(TEXT(A163,"dd"),Monthly_Pay_Model!$C$9:$C$39,0),4),INDEX(Monthly_Pay_Model!$A$9:$D$40,MATCH(TEXT(A164,"dd"),Monthly_Pay_Model!$C$9:$C$39,0),4),INDEX(Monthly_Pay_Model!$A$9:$D$40,MATCH(TEXT(A165,"dd"),Monthly_Pay_Model!$C$9:$C$39,0),4),INDEX(Monthly_Pay_Model!$A$9:$D$40,MATCH(TEXT(A166,"dd"),Monthly_Pay_Model!$C$9:$C$39,0),4),INDEX(Monthly_Pay_Model!$A$9:$D$40,MATCH(TEXT(A167,"dd"),Monthly_Pay_Model!$C$9:$C$39,0),4)),))))))</f>
        <v>0</v>
      </c>
      <c r="J163" s="33">
        <f>IF(C163="Yes",Monthly_Pay_Model!$D$2,0)
+IF(Calendar!N163="Yes",Monthly_Pay_Model!$D$3,0)
+IF(D163="Yes",Monthly_Pay_Model!$D$4,0)
+IF(E163="Yes",Monthly_Pay_Model!$D$5,0)</f>
        <v>0</v>
      </c>
      <c r="K163" s="27">
        <f>IF(VLOOKUP($A163,Calendar!$A$1:$R$1377,18,0)=0,0,IF(VLOOKUP($A163,Calendar!$A$1:$R$1377,18,0)=1,IFERROR(INDEX(Weekly_Model!$D$2:$D$9,MATCH(F163,Weekly_Model!$A$2:$A$9,0)),0),IF(VLOOKUP($A163,Calendar!$A$1:$R$1377,18,0)=2,SUM(IFERROR(INDEX(Weekly_Model!$D$2:$D$9,MATCH(F163,Weekly_Model!$A$2:$A$9,0)),0),IFERROR(INDEX(Weekly_Model!$D$2:$D$9,MATCH(F164,Weekly_Model!$A$2:$A$9,0)),0)),IF(VLOOKUP($A163,Calendar!$A$1:$R$1377,18,0)=3,SUM(IFERROR(INDEX(Weekly_Model!$D$2:$D$9,MATCH(F163,Weekly_Model!$A$2:$A$9,0)),0),IFERROR(INDEX(Weekly_Model!$D$2:$D$9,MATCH(F164,Weekly_Model!$A$2:$A$9,0)),0),IFERROR(INDEX(Weekly_Model!$D$2:$D$9,MATCH(F165,Weekly_Model!$A$2:$A$9,0)),0)),IF(VLOOKUP($A163,Calendar!$A$1:$R$1377,18,0)=4,SUM(IFERROR(INDEX(Weekly_Model!$D$2:$D$9,MATCH(F163,Weekly_Model!$A$2:$A$9,0)),0),IFERROR(INDEX(Weekly_Model!$D$2:$D$9,MATCH(F164,Weekly_Model!$A$2:$A$9,0)),0),IFERROR(INDEX(Weekly_Model!$D$2:$D$9,MATCH(F165,Weekly_Model!$A$2:$A$9,0)),0),IFERROR(INDEX(Weekly_Model!$D$2:$D$9,MATCH(F166,Weekly_Model!$A$2:$A$9,0)),0)),IF(VLOOKUP($A163,Calendar!$A$1:$R$1377,18,0)=5,SUM(IFERROR(INDEX(Weekly_Model!$D$2:$D$9,MATCH(F163,Weekly_Model!$A$2:$A$9,0)),0),IFERROR(INDEX(Weekly_Model!$D$2:$D$9,MATCH(F164,Weekly_Model!$A$2:$A$9,0)),0),IFERROR(INDEX(Weekly_Model!$D$2:$D$9,MATCH(F165,Weekly_Model!$A$2:$A$9,0)),0),IFERROR(INDEX(Weekly_Model!$D$2:$D$9,MATCH(F166,Weekly_Model!$A$2:$A$9,0)),0),IFERROR(INDEX(Weekly_Model!$D$2:$D$9,MATCH(F167,Weekly_Model!$A$2:$A$9,0)),0)),0))))))</f>
        <v>0</v>
      </c>
      <c r="L163" s="27">
        <f>IF(VLOOKUP($A163,Calendar!$A$1:$R$1377,18,0)=0,0,IF(VLOOKUP($A163,Calendar!$A$1:$R$1377,18,0)=1,IFERROR(INDEX(Fortnightly_Model!$D$2:$D$15,MATCH(G163,Fortnightly_Model!$B$2:$B$15,0)),0),IF(VLOOKUP($A163,Calendar!$A$1:$R$1377,18,0)=2,SUM(IFERROR(INDEX(Fortnightly_Model!$D$2:$D$15,MATCH(G163,Fortnightly_Model!$B$2:$B$15,0)),0),IFERROR(INDEX(Fortnightly_Model!$D$2:$D$15,MATCH(G164,Fortnightly_Model!$B$2:$B$15,0)),0)),IF(VLOOKUP($A163,Calendar!$A$1:$R$1377,18,0)=3,SUM(IFERROR(INDEX(Fortnightly_Model!$D$2:$D$15,MATCH(G163,Fortnightly_Model!$B$2:$B$15,0)),0),IFERROR(INDEX(Fortnightly_Model!$D$2:$D$15,MATCH(G164,Fortnightly_Model!$B$2:$B$15,0)),0),IFERROR(INDEX(Fortnightly_Model!$D$2:$D$15,MATCH(G165,Fortnightly_Model!$B$2:$B$15,0)),0)),IF(VLOOKUP($A163,Calendar!$A$1:$R$1377,18,0)=4,SUM(IFERROR(INDEX(Fortnightly_Model!$D$2:$D$15,MATCH(G163,Fortnightly_Model!$B$2:$B$15,0)),0),IFERROR(INDEX(Fortnightly_Model!$D$2:$D$15,MATCH(G164,Fortnightly_Model!$B$2:$B$15,0)),0),IFERROR(INDEX(Fortnightly_Model!$D$2:$D$15,MATCH(G165,Fortnightly_Model!$B$2:$B$15,0)),0),IFERROR(INDEX(Fortnightly_Model!$D$2:$D$15,MATCH(G166,Fortnightly_Model!$B$2:$B$15,0)),0)),IF(VLOOKUP($A163,Calendar!$A$1:$R$1377,18,0)=5,SUM(IFERROR(INDEX(Fortnightly_Model!$D$2:$D$15,MATCH(G163,Fortnightly_Model!$B$2:$B$15,0)),0),IFERROR(INDEX(Fortnightly_Model!$D$2:$D$15,MATCH(G164,Fortnightly_Model!$B$2:$B$15,0)),0),IFERROR(INDEX(Fortnightly_Model!$D$2:$D$15,MATCH(G165,Fortnightly_Model!$B$2:$B$15,0)),0),IFERROR(INDEX(Fortnightly_Model!$D$2:$D$15,MATCH(G166,Fortnightly_Model!$B$2:$B$15,0)),0),IFERROR(INDEX(Fortnightly_Model!$D$2:$D$15,MATCH(G167,Fortnightly_Model!$B$2:$B$15,0)),0)),0))))))</f>
        <v>0</v>
      </c>
      <c r="M163" s="27">
        <f>IF(VLOOKUP($A163,Calendar!$A$1:$R$1377,18,0)=0,0,IF(VLOOKUP($A163,Calendar!$A$1:$R$1377,18,0)=1,IFERROR(INDEX(FourWeekly_Model!$D$2:$D$29,MATCH(H163,FourWeekly_Model!$B$2:$B$29,0)),0),IF(VLOOKUP($A163,Calendar!$A$1:$R$1377,18,0)=2,SUM(IFERROR(INDEX(FourWeekly_Model!$D$2:$D$29,MATCH(H163,FourWeekly_Model!$B$2:$B$29,0)),0),IFERROR(INDEX(FourWeekly_Model!$D$2:$D$29,MATCH(H164,FourWeekly_Model!$B$2:$B$29,0)),0)),IF(VLOOKUP($A163,Calendar!$A$1:$R$1377,18,0)=3,SUM(IFERROR(INDEX(FourWeekly_Model!$D$2:$D$29,MATCH(H163,FourWeekly_Model!$B$2:$B$29,0)),0),IFERROR(INDEX(FourWeekly_Model!$D$2:$D$29,MATCH(H164,FourWeekly_Model!$B$2:$B$29,0)),0),IFERROR(INDEX(FourWeekly_Model!$D$2:$D$29,MATCH(H165,FourWeekly_Model!$B$2:$B$29,0)),0)),IF(VLOOKUP($A163,Calendar!$A$1:$R$1377,18,0)=4,SUM(IFERROR(INDEX(FourWeekly_Model!$D$2:$D$29,MATCH(H163,FourWeekly_Model!$B$2:$B$29,0)),0),IFERROR(INDEX(FourWeekly_Model!$D$2:$D$29,MATCH(H164,FourWeekly_Model!$B$2:$B$29,0)),0),IFERROR(INDEX(FourWeekly_Model!$D$2:$D$29,MATCH(H165,FourWeekly_Model!$B$2:$B$29,0)),0),IFERROR(INDEX(FourWeekly_Model!$D$2:$D$29,MATCH(H166,FourWeekly_Model!$B$2:$B$29,0)),0)),IF(VLOOKUP($A163,Calendar!$A$1:$R$1377,18,0)=5,SUM(IFERROR(INDEX(FourWeekly_Model!$D$2:$D$29,MATCH(H163,FourWeekly_Model!$B$2:$B$29,0)),0),IFERROR(INDEX(FourWeekly_Model!$D$2:$D$29,MATCH(H164,FourWeekly_Model!$B$2:$B$29,0)),0),IFERROR(INDEX(FourWeekly_Model!$D$2:$D$29,MATCH(H165,FourWeekly_Model!$B$2:$B$29,0)),0),IFERROR(INDEX(FourWeekly_Model!$D$2:$D$29,MATCH(H166,FourWeekly_Model!$B$2:$B$29,0)),0),IFERROR(INDEX(FourWeekly_Model!$D$2:$D$29,MATCH(H167,FourWeekly_Model!$B$2:$B$29,0)),0)),0))))))</f>
        <v>0</v>
      </c>
      <c r="N163" s="27">
        <f>SUM(I163:M163)</f>
        <v>0</v>
      </c>
      <c r="O163" s="28">
        <f>Population_Data!$B$8*N163</f>
        <v>0</v>
      </c>
      <c r="P163" s="27">
        <f>IF(VLOOKUP($A163,Calendar!$A$1:$R$1377,18,0)=0,0,IF(VLOOKUP($A163,Calendar!$A$1:$R$1377,18,0)=1,IFERROR(INDEX(Pension_Model!$D$2:$D$29,MATCH(H163,Pension_Model!$B$2:$B$29,0)),0),IF(VLOOKUP($A163,Calendar!$A$1:$R$1377,18,0)=2,SUM(IFERROR(INDEX(Pension_Model!$D$2:$D$29,MATCH(H163,Pension_Model!$B$2:$B$29,0)),0),IFERROR(INDEX(Pension_Model!$D$2:$D$29,MATCH(H164,Pension_Model!$B$2:$B$29,0)),0)),IF(VLOOKUP($A163,Calendar!$A$1:$R$1377,18,0)=3,SUM(IFERROR(INDEX(Pension_Model!$D$2:$D$29,MATCH(H163,Pension_Model!$B$2:$B$29,0)),0),IFERROR(INDEX(Pension_Model!$D$2:$D$29,MATCH(H164,Pension_Model!$B$2:$B$29,0)),0),IFERROR(INDEX(Pension_Model!$D$2:$D$29,MATCH(H165,Pension_Model!$B$2:$B$29,0)),0)),IF(VLOOKUP($A163,Calendar!$A$1:$R$1377,18,0)=4,SUM(IFERROR(INDEX(Pension_Model!$D$2:$D$29,MATCH(H163,Pension_Model!$B$2:$B$29,0)),0),IFERROR(INDEX(Pension_Model!$D$2:$D$29,MATCH(H164,Pension_Model!$B$2:$B$29,0)),0),IFERROR(INDEX(Pension_Model!$D$2:$D$29,MATCH(H165,Pension_Model!$B$2:$B$29,0)),0),IFERROR(INDEX(Pension_Model!$D$2:$D$29,MATCH(H166,Pension_Model!$B$2:$B$29,0)),0)),IF(VLOOKUP($A163,Calendar!$A$1:$R$1377,18,0)=5,SUM(IFERROR(INDEX(Pension_Model!$D$2:$D$29,MATCH(H163,Pension_Model!$B$2:$B$29,0)),0),IFERROR(INDEX(Pension_Model!$D$2:$D$29,MATCH(H164,Pension_Model!$B$2:$B$29,0)),0),IFERROR(INDEX(Pension_Model!$D$2:$D$29,MATCH(H165,Pension_Model!$B$2:$B$29,0)),0),IFERROR(INDEX(Pension_Model!$D$2:$D$29,MATCH(H166,Pension_Model!$B$2:$B$29,0)),0),IFERROR(INDEX(Pension_Model!$D$2:$D$29,MATCH(H167,Pension_Model!$B$2:$B$29,0)),0)),0))))))</f>
        <v>0</v>
      </c>
      <c r="Q163" s="28">
        <f>Population_Data!$B$15*P163</f>
        <v>0</v>
      </c>
      <c r="S163">
        <f t="shared" si="2"/>
        <v>0</v>
      </c>
      <c r="U163" s="33">
        <f>S163/Population_Data!$B$19</f>
        <v>0</v>
      </c>
    </row>
    <row r="164" spans="1:21">
      <c r="A164" s="25">
        <f>Calendar!A164</f>
        <v>46397</v>
      </c>
      <c r="B164" t="str">
        <f>Calendar!L164</f>
        <v>No</v>
      </c>
      <c r="C164" t="str">
        <f>Calendar!O164</f>
        <v>No</v>
      </c>
      <c r="D164" t="str">
        <f>Calendar!P164</f>
        <v>No</v>
      </c>
      <c r="E164" t="str">
        <f>Calendar!Q164</f>
        <v>No</v>
      </c>
      <c r="F164" t="str">
        <f>Calendar!I164</f>
        <v>Sunday</v>
      </c>
      <c r="G164">
        <f>Calendar!S164</f>
        <v>1</v>
      </c>
      <c r="H164">
        <f>Calendar!T164</f>
        <v>1</v>
      </c>
      <c r="I164" s="27">
        <f>IF(VLOOKUP(A164,Calendar!$A$1:$R$1377,18,0)=0,0,IF(VLOOKUP(A164,Calendar!$A$1:$R$1377,18,0)=1,INDEX(Monthly_Pay_Model!$A$9:$D$40,MATCH(TEXT(A164,"dd"),Monthly_Pay_Model!$C$9:$C$39,0),4),IF(VLOOKUP(A164,Calendar!$A$1:$R$1377,18,0)=2,SUM(INDEX(Monthly_Pay_Model!$A$9:$D$40,MATCH(TEXT(A164,"dd"),Monthly_Pay_Model!$C$9:$C$39,0),4),INDEX(Monthly_Pay_Model!$A$9:$D$40,MATCH(TEXT(A165,"dd"),Monthly_Pay_Model!$C$9:$C$39,0),4)),IF(VLOOKUP(A164,Calendar!$A$1:$R$1377,18,0)=3,SUM(INDEX(Monthly_Pay_Model!$A$9:$D$40,MATCH(TEXT(A164,"dd"),Monthly_Pay_Model!$C$9:$C$39,0),4),INDEX(Monthly_Pay_Model!$A$9:$D$40,MATCH(TEXT(A165,"dd"),Monthly_Pay_Model!$C$9:$C$39,0),4),INDEX(Monthly_Pay_Model!$A$9:$D$40,MATCH(TEXT(A166,"dd"),Monthly_Pay_Model!$C$9:$C$39,0),4)),IF(VLOOKUP(A164,Calendar!$A$1:$R$1377,18,0)=4,SUM(INDEX(Monthly_Pay_Model!$A$9:$D$40,MATCH(TEXT(A164,"dd"),Monthly_Pay_Model!$C$9:$C$39,0),4),INDEX(Monthly_Pay_Model!$A$9:$D$40,MATCH(TEXT(A165,"dd"),Monthly_Pay_Model!$C$9:$C$39,0),4),INDEX(Monthly_Pay_Model!$A$9:$D$40,MATCH(TEXT(A166,"dd"),Monthly_Pay_Model!$C$9:$C$39,0),4),INDEX(Monthly_Pay_Model!$A$9:$D$40,MATCH(TEXT(A167,"dd"),Monthly_Pay_Model!$C$9:$C$39,0),4)),IF(VLOOKUP(A164,Calendar!$A$1:$R$1377,18,0)=5,SUM(INDEX(Monthly_Pay_Model!$A$9:$D$40,MATCH(TEXT(A164,"dd"),Monthly_Pay_Model!$C$9:$C$39,0),4),INDEX(Monthly_Pay_Model!$A$9:$D$40,MATCH(TEXT(A165,"dd"),Monthly_Pay_Model!$C$9:$C$39,0),4),INDEX(Monthly_Pay_Model!$A$9:$D$40,MATCH(TEXT(A166,"dd"),Monthly_Pay_Model!$C$9:$C$39,0),4),INDEX(Monthly_Pay_Model!$A$9:$D$40,MATCH(TEXT(A167,"dd"),Monthly_Pay_Model!$C$9:$C$39,0),4),INDEX(Monthly_Pay_Model!$A$9:$D$40,MATCH(TEXT(A168,"dd"),Monthly_Pay_Model!$C$9:$C$39,0),4)),))))))</f>
        <v>0</v>
      </c>
      <c r="J164" s="33">
        <f>IF(C164="Yes",Monthly_Pay_Model!$D$2,0)
+IF(Calendar!N164="Yes",Monthly_Pay_Model!$D$3,0)
+IF(D164="Yes",Monthly_Pay_Model!$D$4,0)
+IF(E164="Yes",Monthly_Pay_Model!$D$5,0)</f>
        <v>0</v>
      </c>
      <c r="K164" s="27">
        <f>IF(VLOOKUP($A164,Calendar!$A$1:$R$1377,18,0)=0,0,IF(VLOOKUP($A164,Calendar!$A$1:$R$1377,18,0)=1,IFERROR(INDEX(Weekly_Model!$D$2:$D$9,MATCH(F164,Weekly_Model!$A$2:$A$9,0)),0),IF(VLOOKUP($A164,Calendar!$A$1:$R$1377,18,0)=2,SUM(IFERROR(INDEX(Weekly_Model!$D$2:$D$9,MATCH(F164,Weekly_Model!$A$2:$A$9,0)),0),IFERROR(INDEX(Weekly_Model!$D$2:$D$9,MATCH(F165,Weekly_Model!$A$2:$A$9,0)),0)),IF(VLOOKUP($A164,Calendar!$A$1:$R$1377,18,0)=3,SUM(IFERROR(INDEX(Weekly_Model!$D$2:$D$9,MATCH(F164,Weekly_Model!$A$2:$A$9,0)),0),IFERROR(INDEX(Weekly_Model!$D$2:$D$9,MATCH(F165,Weekly_Model!$A$2:$A$9,0)),0),IFERROR(INDEX(Weekly_Model!$D$2:$D$9,MATCH(F166,Weekly_Model!$A$2:$A$9,0)),0)),IF(VLOOKUP($A164,Calendar!$A$1:$R$1377,18,0)=4,SUM(IFERROR(INDEX(Weekly_Model!$D$2:$D$9,MATCH(F164,Weekly_Model!$A$2:$A$9,0)),0),IFERROR(INDEX(Weekly_Model!$D$2:$D$9,MATCH(F165,Weekly_Model!$A$2:$A$9,0)),0),IFERROR(INDEX(Weekly_Model!$D$2:$D$9,MATCH(F166,Weekly_Model!$A$2:$A$9,0)),0),IFERROR(INDEX(Weekly_Model!$D$2:$D$9,MATCH(F167,Weekly_Model!$A$2:$A$9,0)),0)),IF(VLOOKUP($A164,Calendar!$A$1:$R$1377,18,0)=5,SUM(IFERROR(INDEX(Weekly_Model!$D$2:$D$9,MATCH(F164,Weekly_Model!$A$2:$A$9,0)),0),IFERROR(INDEX(Weekly_Model!$D$2:$D$9,MATCH(F165,Weekly_Model!$A$2:$A$9,0)),0),IFERROR(INDEX(Weekly_Model!$D$2:$D$9,MATCH(F166,Weekly_Model!$A$2:$A$9,0)),0),IFERROR(INDEX(Weekly_Model!$D$2:$D$9,MATCH(F167,Weekly_Model!$A$2:$A$9,0)),0),IFERROR(INDEX(Weekly_Model!$D$2:$D$9,MATCH(F168,Weekly_Model!$A$2:$A$9,0)),0)),0))))))</f>
        <v>0</v>
      </c>
      <c r="L164" s="27">
        <f>IF(VLOOKUP($A164,Calendar!$A$1:$R$1377,18,0)=0,0,IF(VLOOKUP($A164,Calendar!$A$1:$R$1377,18,0)=1,IFERROR(INDEX(Fortnightly_Model!$D$2:$D$15,MATCH(G164,Fortnightly_Model!$B$2:$B$15,0)),0),IF(VLOOKUP($A164,Calendar!$A$1:$R$1377,18,0)=2,SUM(IFERROR(INDEX(Fortnightly_Model!$D$2:$D$15,MATCH(G164,Fortnightly_Model!$B$2:$B$15,0)),0),IFERROR(INDEX(Fortnightly_Model!$D$2:$D$15,MATCH(G165,Fortnightly_Model!$B$2:$B$15,0)),0)),IF(VLOOKUP($A164,Calendar!$A$1:$R$1377,18,0)=3,SUM(IFERROR(INDEX(Fortnightly_Model!$D$2:$D$15,MATCH(G164,Fortnightly_Model!$B$2:$B$15,0)),0),IFERROR(INDEX(Fortnightly_Model!$D$2:$D$15,MATCH(G165,Fortnightly_Model!$B$2:$B$15,0)),0),IFERROR(INDEX(Fortnightly_Model!$D$2:$D$15,MATCH(G166,Fortnightly_Model!$B$2:$B$15,0)),0)),IF(VLOOKUP($A164,Calendar!$A$1:$R$1377,18,0)=4,SUM(IFERROR(INDEX(Fortnightly_Model!$D$2:$D$15,MATCH(G164,Fortnightly_Model!$B$2:$B$15,0)),0),IFERROR(INDEX(Fortnightly_Model!$D$2:$D$15,MATCH(G165,Fortnightly_Model!$B$2:$B$15,0)),0),IFERROR(INDEX(Fortnightly_Model!$D$2:$D$15,MATCH(G166,Fortnightly_Model!$B$2:$B$15,0)),0),IFERROR(INDEX(Fortnightly_Model!$D$2:$D$15,MATCH(G167,Fortnightly_Model!$B$2:$B$15,0)),0)),IF(VLOOKUP($A164,Calendar!$A$1:$R$1377,18,0)=5,SUM(IFERROR(INDEX(Fortnightly_Model!$D$2:$D$15,MATCH(G164,Fortnightly_Model!$B$2:$B$15,0)),0),IFERROR(INDEX(Fortnightly_Model!$D$2:$D$15,MATCH(G165,Fortnightly_Model!$B$2:$B$15,0)),0),IFERROR(INDEX(Fortnightly_Model!$D$2:$D$15,MATCH(G166,Fortnightly_Model!$B$2:$B$15,0)),0),IFERROR(INDEX(Fortnightly_Model!$D$2:$D$15,MATCH(G167,Fortnightly_Model!$B$2:$B$15,0)),0),IFERROR(INDEX(Fortnightly_Model!$D$2:$D$15,MATCH(G168,Fortnightly_Model!$B$2:$B$15,0)),0)),0))))))</f>
        <v>0</v>
      </c>
      <c r="M164" s="27">
        <f>IF(VLOOKUP($A164,Calendar!$A$1:$R$1377,18,0)=0,0,IF(VLOOKUP($A164,Calendar!$A$1:$R$1377,18,0)=1,IFERROR(INDEX(FourWeekly_Model!$D$2:$D$29,MATCH(H164,FourWeekly_Model!$B$2:$B$29,0)),0),IF(VLOOKUP($A164,Calendar!$A$1:$R$1377,18,0)=2,SUM(IFERROR(INDEX(FourWeekly_Model!$D$2:$D$29,MATCH(H164,FourWeekly_Model!$B$2:$B$29,0)),0),IFERROR(INDEX(FourWeekly_Model!$D$2:$D$29,MATCH(H165,FourWeekly_Model!$B$2:$B$29,0)),0)),IF(VLOOKUP($A164,Calendar!$A$1:$R$1377,18,0)=3,SUM(IFERROR(INDEX(FourWeekly_Model!$D$2:$D$29,MATCH(H164,FourWeekly_Model!$B$2:$B$29,0)),0),IFERROR(INDEX(FourWeekly_Model!$D$2:$D$29,MATCH(H165,FourWeekly_Model!$B$2:$B$29,0)),0),IFERROR(INDEX(FourWeekly_Model!$D$2:$D$29,MATCH(H166,FourWeekly_Model!$B$2:$B$29,0)),0)),IF(VLOOKUP($A164,Calendar!$A$1:$R$1377,18,0)=4,SUM(IFERROR(INDEX(FourWeekly_Model!$D$2:$D$29,MATCH(H164,FourWeekly_Model!$B$2:$B$29,0)),0),IFERROR(INDEX(FourWeekly_Model!$D$2:$D$29,MATCH(H165,FourWeekly_Model!$B$2:$B$29,0)),0),IFERROR(INDEX(FourWeekly_Model!$D$2:$D$29,MATCH(H166,FourWeekly_Model!$B$2:$B$29,0)),0),IFERROR(INDEX(FourWeekly_Model!$D$2:$D$29,MATCH(H167,FourWeekly_Model!$B$2:$B$29,0)),0)),IF(VLOOKUP($A164,Calendar!$A$1:$R$1377,18,0)=5,SUM(IFERROR(INDEX(FourWeekly_Model!$D$2:$D$29,MATCH(H164,FourWeekly_Model!$B$2:$B$29,0)),0),IFERROR(INDEX(FourWeekly_Model!$D$2:$D$29,MATCH(H165,FourWeekly_Model!$B$2:$B$29,0)),0),IFERROR(INDEX(FourWeekly_Model!$D$2:$D$29,MATCH(H166,FourWeekly_Model!$B$2:$B$29,0)),0),IFERROR(INDEX(FourWeekly_Model!$D$2:$D$29,MATCH(H167,FourWeekly_Model!$B$2:$B$29,0)),0),IFERROR(INDEX(FourWeekly_Model!$D$2:$D$29,MATCH(H168,FourWeekly_Model!$B$2:$B$29,0)),0)),0))))))</f>
        <v>0</v>
      </c>
      <c r="N164" s="27">
        <f>SUM(I164:M164)</f>
        <v>0</v>
      </c>
      <c r="O164" s="28">
        <f>Population_Data!$B$8*N164</f>
        <v>0</v>
      </c>
      <c r="P164" s="27">
        <f>IF(VLOOKUP($A164,Calendar!$A$1:$R$1377,18,0)=0,0,IF(VLOOKUP($A164,Calendar!$A$1:$R$1377,18,0)=1,IFERROR(INDEX(Pension_Model!$D$2:$D$29,MATCH(H164,Pension_Model!$B$2:$B$29,0)),0),IF(VLOOKUP($A164,Calendar!$A$1:$R$1377,18,0)=2,SUM(IFERROR(INDEX(Pension_Model!$D$2:$D$29,MATCH(H164,Pension_Model!$B$2:$B$29,0)),0),IFERROR(INDEX(Pension_Model!$D$2:$D$29,MATCH(H165,Pension_Model!$B$2:$B$29,0)),0)),IF(VLOOKUP($A164,Calendar!$A$1:$R$1377,18,0)=3,SUM(IFERROR(INDEX(Pension_Model!$D$2:$D$29,MATCH(H164,Pension_Model!$B$2:$B$29,0)),0),IFERROR(INDEX(Pension_Model!$D$2:$D$29,MATCH(H165,Pension_Model!$B$2:$B$29,0)),0),IFERROR(INDEX(Pension_Model!$D$2:$D$29,MATCH(H166,Pension_Model!$B$2:$B$29,0)),0)),IF(VLOOKUP($A164,Calendar!$A$1:$R$1377,18,0)=4,SUM(IFERROR(INDEX(Pension_Model!$D$2:$D$29,MATCH(H164,Pension_Model!$B$2:$B$29,0)),0),IFERROR(INDEX(Pension_Model!$D$2:$D$29,MATCH(H165,Pension_Model!$B$2:$B$29,0)),0),IFERROR(INDEX(Pension_Model!$D$2:$D$29,MATCH(H166,Pension_Model!$B$2:$B$29,0)),0),IFERROR(INDEX(Pension_Model!$D$2:$D$29,MATCH(H167,Pension_Model!$B$2:$B$29,0)),0)),IF(VLOOKUP($A164,Calendar!$A$1:$R$1377,18,0)=5,SUM(IFERROR(INDEX(Pension_Model!$D$2:$D$29,MATCH(H164,Pension_Model!$B$2:$B$29,0)),0),IFERROR(INDEX(Pension_Model!$D$2:$D$29,MATCH(H165,Pension_Model!$B$2:$B$29,0)),0),IFERROR(INDEX(Pension_Model!$D$2:$D$29,MATCH(H166,Pension_Model!$B$2:$B$29,0)),0),IFERROR(INDEX(Pension_Model!$D$2:$D$29,MATCH(H167,Pension_Model!$B$2:$B$29,0)),0),IFERROR(INDEX(Pension_Model!$D$2:$D$29,MATCH(H168,Pension_Model!$B$2:$B$29,0)),0)),0))))))</f>
        <v>0</v>
      </c>
      <c r="Q164" s="28">
        <f>Population_Data!$B$15*P164</f>
        <v>0</v>
      </c>
      <c r="S164">
        <f t="shared" si="2"/>
        <v>0</v>
      </c>
      <c r="U164" s="33">
        <f>S164/Population_Data!$B$19</f>
        <v>0</v>
      </c>
    </row>
    <row r="165" spans="1:21">
      <c r="A165" s="25">
        <f>Calendar!A165</f>
        <v>46398</v>
      </c>
      <c r="B165" t="str">
        <f>Calendar!L165</f>
        <v>Yes</v>
      </c>
      <c r="C165" t="str">
        <f>Calendar!O165</f>
        <v>No</v>
      </c>
      <c r="D165" t="str">
        <f>Calendar!P165</f>
        <v>No</v>
      </c>
      <c r="E165" t="str">
        <f>Calendar!Q165</f>
        <v>No</v>
      </c>
      <c r="F165" t="str">
        <f>Calendar!I165</f>
        <v>Monday</v>
      </c>
      <c r="G165">
        <f>Calendar!S165</f>
        <v>2</v>
      </c>
      <c r="H165">
        <f>Calendar!T165</f>
        <v>2</v>
      </c>
      <c r="I165" s="27">
        <f>IF(VLOOKUP(A165,Calendar!$A$1:$R$1377,18,0)=0,0,IF(VLOOKUP(A165,Calendar!$A$1:$R$1377,18,0)=1,INDEX(Monthly_Pay_Model!$A$9:$D$40,MATCH(TEXT(A165,"dd"),Monthly_Pay_Model!$C$9:$C$39,0),4),IF(VLOOKUP(A165,Calendar!$A$1:$R$1377,18,0)=2,SUM(INDEX(Monthly_Pay_Model!$A$9:$D$40,MATCH(TEXT(A165,"dd"),Monthly_Pay_Model!$C$9:$C$39,0),4),INDEX(Monthly_Pay_Model!$A$9:$D$40,MATCH(TEXT(A166,"dd"),Monthly_Pay_Model!$C$9:$C$39,0),4)),IF(VLOOKUP(A165,Calendar!$A$1:$R$1377,18,0)=3,SUM(INDEX(Monthly_Pay_Model!$A$9:$D$40,MATCH(TEXT(A165,"dd"),Monthly_Pay_Model!$C$9:$C$39,0),4),INDEX(Monthly_Pay_Model!$A$9:$D$40,MATCH(TEXT(A166,"dd"),Monthly_Pay_Model!$C$9:$C$39,0),4),INDEX(Monthly_Pay_Model!$A$9:$D$40,MATCH(TEXT(A167,"dd"),Monthly_Pay_Model!$C$9:$C$39,0),4)),IF(VLOOKUP(A165,Calendar!$A$1:$R$1377,18,0)=4,SUM(INDEX(Monthly_Pay_Model!$A$9:$D$40,MATCH(TEXT(A165,"dd"),Monthly_Pay_Model!$C$9:$C$39,0),4),INDEX(Monthly_Pay_Model!$A$9:$D$40,MATCH(TEXT(A166,"dd"),Monthly_Pay_Model!$C$9:$C$39,0),4),INDEX(Monthly_Pay_Model!$A$9:$D$40,MATCH(TEXT(A167,"dd"),Monthly_Pay_Model!$C$9:$C$39,0),4),INDEX(Monthly_Pay_Model!$A$9:$D$40,MATCH(TEXT(A168,"dd"),Monthly_Pay_Model!$C$9:$C$39,0),4)),IF(VLOOKUP(A165,Calendar!$A$1:$R$1377,18,0)=5,SUM(INDEX(Monthly_Pay_Model!$A$9:$D$40,MATCH(TEXT(A165,"dd"),Monthly_Pay_Model!$C$9:$C$39,0),4),INDEX(Monthly_Pay_Model!$A$9:$D$40,MATCH(TEXT(A166,"dd"),Monthly_Pay_Model!$C$9:$C$39,0),4),INDEX(Monthly_Pay_Model!$A$9:$D$40,MATCH(TEXT(A167,"dd"),Monthly_Pay_Model!$C$9:$C$39,0),4),INDEX(Monthly_Pay_Model!$A$9:$D$40,MATCH(TEXT(A168,"dd"),Monthly_Pay_Model!$C$9:$C$39,0),4),INDEX(Monthly_Pay_Model!$A$9:$D$40,MATCH(TEXT(A169,"dd"),Monthly_Pay_Model!$C$9:$C$39,0),4)),))))))</f>
        <v>8.1256544502617792E-4</v>
      </c>
      <c r="J165" s="33">
        <f>IF(C165="Yes",Monthly_Pay_Model!$D$2,0)
+IF(Calendar!N165="Yes",Monthly_Pay_Model!$D$3,0)
+IF(D165="Yes",Monthly_Pay_Model!$D$4,0)
+IF(E165="Yes",Monthly_Pay_Model!$D$5,0)</f>
        <v>0</v>
      </c>
      <c r="K165" s="27">
        <f>IF(VLOOKUP($A165,Calendar!$A$1:$R$1377,18,0)=0,0,IF(VLOOKUP($A165,Calendar!$A$1:$R$1377,18,0)=1,IFERROR(INDEX(Weekly_Model!$D$2:$D$9,MATCH(F165,Weekly_Model!$A$2:$A$9,0)),0),IF(VLOOKUP($A165,Calendar!$A$1:$R$1377,18,0)=2,SUM(IFERROR(INDEX(Weekly_Model!$D$2:$D$9,MATCH(F165,Weekly_Model!$A$2:$A$9,0)),0),IFERROR(INDEX(Weekly_Model!$D$2:$D$9,MATCH(F166,Weekly_Model!$A$2:$A$9,0)),0)),IF(VLOOKUP($A165,Calendar!$A$1:$R$1377,18,0)=3,SUM(IFERROR(INDEX(Weekly_Model!$D$2:$D$9,MATCH(F165,Weekly_Model!$A$2:$A$9,0)),0),IFERROR(INDEX(Weekly_Model!$D$2:$D$9,MATCH(F166,Weekly_Model!$A$2:$A$9,0)),0),IFERROR(INDEX(Weekly_Model!$D$2:$D$9,MATCH(F167,Weekly_Model!$A$2:$A$9,0)),0)),IF(VLOOKUP($A165,Calendar!$A$1:$R$1377,18,0)=4,SUM(IFERROR(INDEX(Weekly_Model!$D$2:$D$9,MATCH(F165,Weekly_Model!$A$2:$A$9,0)),0),IFERROR(INDEX(Weekly_Model!$D$2:$D$9,MATCH(F166,Weekly_Model!$A$2:$A$9,0)),0),IFERROR(INDEX(Weekly_Model!$D$2:$D$9,MATCH(F167,Weekly_Model!$A$2:$A$9,0)),0),IFERROR(INDEX(Weekly_Model!$D$2:$D$9,MATCH(F168,Weekly_Model!$A$2:$A$9,0)),0)),IF(VLOOKUP($A165,Calendar!$A$1:$R$1377,18,0)=5,SUM(IFERROR(INDEX(Weekly_Model!$D$2:$D$9,MATCH(F165,Weekly_Model!$A$2:$A$9,0)),0),IFERROR(INDEX(Weekly_Model!$D$2:$D$9,MATCH(F166,Weekly_Model!$A$2:$A$9,0)),0),IFERROR(INDEX(Weekly_Model!$D$2:$D$9,MATCH(F167,Weekly_Model!$A$2:$A$9,0)),0),IFERROR(INDEX(Weekly_Model!$D$2:$D$9,MATCH(F168,Weekly_Model!$A$2:$A$9,0)),0),IFERROR(INDEX(Weekly_Model!$D$2:$D$9,MATCH(F169,Weekly_Model!$A$2:$A$9,0)),0)),0))))))</f>
        <v>2.3200000000000002E-2</v>
      </c>
      <c r="L165" s="27">
        <f>IF(VLOOKUP($A165,Calendar!$A$1:$R$1377,18,0)=0,0,IF(VLOOKUP($A165,Calendar!$A$1:$R$1377,18,0)=1,IFERROR(INDEX(Fortnightly_Model!$D$2:$D$15,MATCH(G165,Fortnightly_Model!$B$2:$B$15,0)),0),IF(VLOOKUP($A165,Calendar!$A$1:$R$1377,18,0)=2,SUM(IFERROR(INDEX(Fortnightly_Model!$D$2:$D$15,MATCH(G165,Fortnightly_Model!$B$2:$B$15,0)),0),IFERROR(INDEX(Fortnightly_Model!$D$2:$D$15,MATCH(G166,Fortnightly_Model!$B$2:$B$15,0)),0)),IF(VLOOKUP($A165,Calendar!$A$1:$R$1377,18,0)=3,SUM(IFERROR(INDEX(Fortnightly_Model!$D$2:$D$15,MATCH(G165,Fortnightly_Model!$B$2:$B$15,0)),0),IFERROR(INDEX(Fortnightly_Model!$D$2:$D$15,MATCH(G166,Fortnightly_Model!$B$2:$B$15,0)),0),IFERROR(INDEX(Fortnightly_Model!$D$2:$D$15,MATCH(G167,Fortnightly_Model!$B$2:$B$15,0)),0)),IF(VLOOKUP($A165,Calendar!$A$1:$R$1377,18,0)=4,SUM(IFERROR(INDEX(Fortnightly_Model!$D$2:$D$15,MATCH(G165,Fortnightly_Model!$B$2:$B$15,0)),0),IFERROR(INDEX(Fortnightly_Model!$D$2:$D$15,MATCH(G166,Fortnightly_Model!$B$2:$B$15,0)),0),IFERROR(INDEX(Fortnightly_Model!$D$2:$D$15,MATCH(G167,Fortnightly_Model!$B$2:$B$15,0)),0),IFERROR(INDEX(Fortnightly_Model!$D$2:$D$15,MATCH(G168,Fortnightly_Model!$B$2:$B$15,0)),0)),IF(VLOOKUP($A165,Calendar!$A$1:$R$1377,18,0)=5,SUM(IFERROR(INDEX(Fortnightly_Model!$D$2:$D$15,MATCH(G165,Fortnightly_Model!$B$2:$B$15,0)),0),IFERROR(INDEX(Fortnightly_Model!$D$2:$D$15,MATCH(G166,Fortnightly_Model!$B$2:$B$15,0)),0),IFERROR(INDEX(Fortnightly_Model!$D$2:$D$15,MATCH(G167,Fortnightly_Model!$B$2:$B$15,0)),0),IFERROR(INDEX(Fortnightly_Model!$D$2:$D$15,MATCH(G168,Fortnightly_Model!$B$2:$B$15,0)),0),IFERROR(INDEX(Fortnightly_Model!$D$2:$D$15,MATCH(G169,Fortnightly_Model!$B$2:$B$15,0)),0)),0))))))</f>
        <v>1.0714285499999999E-3</v>
      </c>
      <c r="M165" s="27">
        <f>IF(VLOOKUP($A165,Calendar!$A$1:$R$1377,18,0)=0,0,IF(VLOOKUP($A165,Calendar!$A$1:$R$1377,18,0)=1,IFERROR(INDEX(FourWeekly_Model!$D$2:$D$29,MATCH(H165,FourWeekly_Model!$B$2:$B$29,0)),0),IF(VLOOKUP($A165,Calendar!$A$1:$R$1377,18,0)=2,SUM(IFERROR(INDEX(FourWeekly_Model!$D$2:$D$29,MATCH(H165,FourWeekly_Model!$B$2:$B$29,0)),0),IFERROR(INDEX(FourWeekly_Model!$D$2:$D$29,MATCH(H166,FourWeekly_Model!$B$2:$B$29,0)),0)),IF(VLOOKUP($A165,Calendar!$A$1:$R$1377,18,0)=3,SUM(IFERROR(INDEX(FourWeekly_Model!$D$2:$D$29,MATCH(H165,FourWeekly_Model!$B$2:$B$29,0)),0),IFERROR(INDEX(FourWeekly_Model!$D$2:$D$29,MATCH(H166,FourWeekly_Model!$B$2:$B$29,0)),0),IFERROR(INDEX(FourWeekly_Model!$D$2:$D$29,MATCH(H167,FourWeekly_Model!$B$2:$B$29,0)),0)),IF(VLOOKUP($A165,Calendar!$A$1:$R$1377,18,0)=4,SUM(IFERROR(INDEX(FourWeekly_Model!$D$2:$D$29,MATCH(H165,FourWeekly_Model!$B$2:$B$29,0)),0),IFERROR(INDEX(FourWeekly_Model!$D$2:$D$29,MATCH(H166,FourWeekly_Model!$B$2:$B$29,0)),0),IFERROR(INDEX(FourWeekly_Model!$D$2:$D$29,MATCH(H167,FourWeekly_Model!$B$2:$B$29,0)),0),IFERROR(INDEX(FourWeekly_Model!$D$2:$D$29,MATCH(H168,FourWeekly_Model!$B$2:$B$29,0)),0)),IF(VLOOKUP($A165,Calendar!$A$1:$R$1377,18,0)=5,SUM(IFERROR(INDEX(FourWeekly_Model!$D$2:$D$29,MATCH(H165,FourWeekly_Model!$B$2:$B$29,0)),0),IFERROR(INDEX(FourWeekly_Model!$D$2:$D$29,MATCH(H166,FourWeekly_Model!$B$2:$B$29,0)),0),IFERROR(INDEX(FourWeekly_Model!$D$2:$D$29,MATCH(H167,FourWeekly_Model!$B$2:$B$29,0)),0),IFERROR(INDEX(FourWeekly_Model!$D$2:$D$29,MATCH(H168,FourWeekly_Model!$B$2:$B$29,0)),0),IFERROR(INDEX(FourWeekly_Model!$D$2:$D$29,MATCH(H169,FourWeekly_Model!$B$2:$B$29,0)),0)),0))))))</f>
        <v>3.3214289700000004E-3</v>
      </c>
      <c r="N165" s="27">
        <f>SUM(I165:M165)</f>
        <v>2.840542296502618E-2</v>
      </c>
      <c r="O165" s="28">
        <f>Population_Data!$B$8*N165</f>
        <v>860684.3158402933</v>
      </c>
      <c r="P165" s="27">
        <f>IF(VLOOKUP($A165,Calendar!$A$1:$R$1377,18,0)=0,0,IF(VLOOKUP($A165,Calendar!$A$1:$R$1377,18,0)=1,IFERROR(INDEX(Pension_Model!$D$2:$D$29,MATCH(H165,Pension_Model!$B$2:$B$29,0)),0),IF(VLOOKUP($A165,Calendar!$A$1:$R$1377,18,0)=2,SUM(IFERROR(INDEX(Pension_Model!$D$2:$D$29,MATCH(H165,Pension_Model!$B$2:$B$29,0)),0),IFERROR(INDEX(Pension_Model!$D$2:$D$29,MATCH(H166,Pension_Model!$B$2:$B$29,0)),0)),IF(VLOOKUP($A165,Calendar!$A$1:$R$1377,18,0)=3,SUM(IFERROR(INDEX(Pension_Model!$D$2:$D$29,MATCH(H165,Pension_Model!$B$2:$B$29,0)),0),IFERROR(INDEX(Pension_Model!$D$2:$D$29,MATCH(H166,Pension_Model!$B$2:$B$29,0)),0),IFERROR(INDEX(Pension_Model!$D$2:$D$29,MATCH(H167,Pension_Model!$B$2:$B$29,0)),0)),IF(VLOOKUP($A165,Calendar!$A$1:$R$1377,18,0)=4,SUM(IFERROR(INDEX(Pension_Model!$D$2:$D$29,MATCH(H165,Pension_Model!$B$2:$B$29,0)),0),IFERROR(INDEX(Pension_Model!$D$2:$D$29,MATCH(H166,Pension_Model!$B$2:$B$29,0)),0),IFERROR(INDEX(Pension_Model!$D$2:$D$29,MATCH(H167,Pension_Model!$B$2:$B$29,0)),0),IFERROR(INDEX(Pension_Model!$D$2:$D$29,MATCH(H168,Pension_Model!$B$2:$B$29,0)),0)),IF(VLOOKUP($A165,Calendar!$A$1:$R$1377,18,0)=5,SUM(IFERROR(INDEX(Pension_Model!$D$2:$D$29,MATCH(H165,Pension_Model!$B$2:$B$29,0)),0),IFERROR(INDEX(Pension_Model!$D$2:$D$29,MATCH(H166,Pension_Model!$B$2:$B$29,0)),0),IFERROR(INDEX(Pension_Model!$D$2:$D$29,MATCH(H167,Pension_Model!$B$2:$B$29,0)),0),IFERROR(INDEX(Pension_Model!$D$2:$D$29,MATCH(H168,Pension_Model!$B$2:$B$29,0)),0),IFERROR(INDEX(Pension_Model!$D$2:$D$29,MATCH(H169,Pension_Model!$B$2:$B$29,0)),0)),0))))))</f>
        <v>0.05</v>
      </c>
      <c r="Q165" s="28">
        <f>Population_Data!$B$15*P165</f>
        <v>660600</v>
      </c>
      <c r="S165">
        <f t="shared" si="2"/>
        <v>1521284.3158402932</v>
      </c>
      <c r="U165" s="33">
        <f>S165/Population_Data!$B$19</f>
        <v>2.7559498475367629E-2</v>
      </c>
    </row>
    <row r="166" spans="1:21">
      <c r="A166" s="25">
        <f>Calendar!A166</f>
        <v>46399</v>
      </c>
      <c r="B166" t="str">
        <f>Calendar!L166</f>
        <v>Yes</v>
      </c>
      <c r="C166" t="str">
        <f>Calendar!O166</f>
        <v>No</v>
      </c>
      <c r="D166" t="str">
        <f>Calendar!P166</f>
        <v>No</v>
      </c>
      <c r="E166" t="str">
        <f>Calendar!Q166</f>
        <v>No</v>
      </c>
      <c r="F166" t="str">
        <f>Calendar!I166</f>
        <v>Tuesday</v>
      </c>
      <c r="G166">
        <f>Calendar!S166</f>
        <v>3</v>
      </c>
      <c r="H166">
        <f>Calendar!T166</f>
        <v>3</v>
      </c>
      <c r="I166" s="27">
        <f>IF(VLOOKUP(A166,Calendar!$A$1:$R$1377,18,0)=0,0,IF(VLOOKUP(A166,Calendar!$A$1:$R$1377,18,0)=1,INDEX(Monthly_Pay_Model!$A$9:$D$40,MATCH(TEXT(A166,"dd"),Monthly_Pay_Model!$C$9:$C$39,0),4),IF(VLOOKUP(A166,Calendar!$A$1:$R$1377,18,0)=2,SUM(INDEX(Monthly_Pay_Model!$A$9:$D$40,MATCH(TEXT(A166,"dd"),Monthly_Pay_Model!$C$9:$C$39,0),4),INDEX(Monthly_Pay_Model!$A$9:$D$40,MATCH(TEXT(A167,"dd"),Monthly_Pay_Model!$C$9:$C$39,0),4)),IF(VLOOKUP(A166,Calendar!$A$1:$R$1377,18,0)=3,SUM(INDEX(Monthly_Pay_Model!$A$9:$D$40,MATCH(TEXT(A166,"dd"),Monthly_Pay_Model!$C$9:$C$39,0),4),INDEX(Monthly_Pay_Model!$A$9:$D$40,MATCH(TEXT(A167,"dd"),Monthly_Pay_Model!$C$9:$C$39,0),4),INDEX(Monthly_Pay_Model!$A$9:$D$40,MATCH(TEXT(A168,"dd"),Monthly_Pay_Model!$C$9:$C$39,0),4)),IF(VLOOKUP(A166,Calendar!$A$1:$R$1377,18,0)=4,SUM(INDEX(Monthly_Pay_Model!$A$9:$D$40,MATCH(TEXT(A166,"dd"),Monthly_Pay_Model!$C$9:$C$39,0),4),INDEX(Monthly_Pay_Model!$A$9:$D$40,MATCH(TEXT(A167,"dd"),Monthly_Pay_Model!$C$9:$C$39,0),4),INDEX(Monthly_Pay_Model!$A$9:$D$40,MATCH(TEXT(A168,"dd"),Monthly_Pay_Model!$C$9:$C$39,0),4),INDEX(Monthly_Pay_Model!$A$9:$D$40,MATCH(TEXT(A169,"dd"),Monthly_Pay_Model!$C$9:$C$39,0),4)),IF(VLOOKUP(A166,Calendar!$A$1:$R$1377,18,0)=5,SUM(INDEX(Monthly_Pay_Model!$A$9:$D$40,MATCH(TEXT(A166,"dd"),Monthly_Pay_Model!$C$9:$C$39,0),4),INDEX(Monthly_Pay_Model!$A$9:$D$40,MATCH(TEXT(A167,"dd"),Monthly_Pay_Model!$C$9:$C$39,0),4),INDEX(Monthly_Pay_Model!$A$9:$D$40,MATCH(TEXT(A168,"dd"),Monthly_Pay_Model!$C$9:$C$39,0),4),INDEX(Monthly_Pay_Model!$A$9:$D$40,MATCH(TEXT(A169,"dd"),Monthly_Pay_Model!$C$9:$C$39,0),4),INDEX(Monthly_Pay_Model!$A$9:$D$40,MATCH(TEXT(A170,"dd"),Monthly_Pay_Model!$C$9:$C$39,0),4)),))))))</f>
        <v>1.6251308900523558E-3</v>
      </c>
      <c r="J166" s="33">
        <f>IF(C166="Yes",Monthly_Pay_Model!$D$2,0)
+IF(Calendar!N166="Yes",Monthly_Pay_Model!$D$3,0)
+IF(D166="Yes",Monthly_Pay_Model!$D$4,0)
+IF(E166="Yes",Monthly_Pay_Model!$D$5,0)</f>
        <v>0</v>
      </c>
      <c r="K166" s="27">
        <f>IF(VLOOKUP($A166,Calendar!$A$1:$R$1377,18,0)=0,0,IF(VLOOKUP($A166,Calendar!$A$1:$R$1377,18,0)=1,IFERROR(INDEX(Weekly_Model!$D$2:$D$9,MATCH(F166,Weekly_Model!$A$2:$A$9,0)),0),IF(VLOOKUP($A166,Calendar!$A$1:$R$1377,18,0)=2,SUM(IFERROR(INDEX(Weekly_Model!$D$2:$D$9,MATCH(F166,Weekly_Model!$A$2:$A$9,0)),0),IFERROR(INDEX(Weekly_Model!$D$2:$D$9,MATCH(F167,Weekly_Model!$A$2:$A$9,0)),0)),IF(VLOOKUP($A166,Calendar!$A$1:$R$1377,18,0)=3,SUM(IFERROR(INDEX(Weekly_Model!$D$2:$D$9,MATCH(F166,Weekly_Model!$A$2:$A$9,0)),0),IFERROR(INDEX(Weekly_Model!$D$2:$D$9,MATCH(F167,Weekly_Model!$A$2:$A$9,0)),0),IFERROR(INDEX(Weekly_Model!$D$2:$D$9,MATCH(F168,Weekly_Model!$A$2:$A$9,0)),0)),IF(VLOOKUP($A166,Calendar!$A$1:$R$1377,18,0)=4,SUM(IFERROR(INDEX(Weekly_Model!$D$2:$D$9,MATCH(F166,Weekly_Model!$A$2:$A$9,0)),0),IFERROR(INDEX(Weekly_Model!$D$2:$D$9,MATCH(F167,Weekly_Model!$A$2:$A$9,0)),0),IFERROR(INDEX(Weekly_Model!$D$2:$D$9,MATCH(F168,Weekly_Model!$A$2:$A$9,0)),0),IFERROR(INDEX(Weekly_Model!$D$2:$D$9,MATCH(F169,Weekly_Model!$A$2:$A$9,0)),0)),IF(VLOOKUP($A166,Calendar!$A$1:$R$1377,18,0)=5,SUM(IFERROR(INDEX(Weekly_Model!$D$2:$D$9,MATCH(F166,Weekly_Model!$A$2:$A$9,0)),0),IFERROR(INDEX(Weekly_Model!$D$2:$D$9,MATCH(F167,Weekly_Model!$A$2:$A$9,0)),0),IFERROR(INDEX(Weekly_Model!$D$2:$D$9,MATCH(F168,Weekly_Model!$A$2:$A$9,0)),0),IFERROR(INDEX(Weekly_Model!$D$2:$D$9,MATCH(F169,Weekly_Model!$A$2:$A$9,0)),0),IFERROR(INDEX(Weekly_Model!$D$2:$D$9,MATCH(F170,Weekly_Model!$A$2:$A$9,0)),0)),0))))))</f>
        <v>2.3200000000000002E-2</v>
      </c>
      <c r="L166" s="27">
        <f>IF(VLOOKUP($A166,Calendar!$A$1:$R$1377,18,0)=0,0,IF(VLOOKUP($A166,Calendar!$A$1:$R$1377,18,0)=1,IFERROR(INDEX(Fortnightly_Model!$D$2:$D$15,MATCH(G166,Fortnightly_Model!$B$2:$B$15,0)),0),IF(VLOOKUP($A166,Calendar!$A$1:$R$1377,18,0)=2,SUM(IFERROR(INDEX(Fortnightly_Model!$D$2:$D$15,MATCH(G166,Fortnightly_Model!$B$2:$B$15,0)),0),IFERROR(INDEX(Fortnightly_Model!$D$2:$D$15,MATCH(G167,Fortnightly_Model!$B$2:$B$15,0)),0)),IF(VLOOKUP($A166,Calendar!$A$1:$R$1377,18,0)=3,SUM(IFERROR(INDEX(Fortnightly_Model!$D$2:$D$15,MATCH(G166,Fortnightly_Model!$B$2:$B$15,0)),0),IFERROR(INDEX(Fortnightly_Model!$D$2:$D$15,MATCH(G167,Fortnightly_Model!$B$2:$B$15,0)),0),IFERROR(INDEX(Fortnightly_Model!$D$2:$D$15,MATCH(G168,Fortnightly_Model!$B$2:$B$15,0)),0)),IF(VLOOKUP($A166,Calendar!$A$1:$R$1377,18,0)=4,SUM(IFERROR(INDEX(Fortnightly_Model!$D$2:$D$15,MATCH(G166,Fortnightly_Model!$B$2:$B$15,0)),0),IFERROR(INDEX(Fortnightly_Model!$D$2:$D$15,MATCH(G167,Fortnightly_Model!$B$2:$B$15,0)),0),IFERROR(INDEX(Fortnightly_Model!$D$2:$D$15,MATCH(G168,Fortnightly_Model!$B$2:$B$15,0)),0),IFERROR(INDEX(Fortnightly_Model!$D$2:$D$15,MATCH(G169,Fortnightly_Model!$B$2:$B$15,0)),0)),IF(VLOOKUP($A166,Calendar!$A$1:$R$1377,18,0)=5,SUM(IFERROR(INDEX(Fortnightly_Model!$D$2:$D$15,MATCH(G166,Fortnightly_Model!$B$2:$B$15,0)),0),IFERROR(INDEX(Fortnightly_Model!$D$2:$D$15,MATCH(G167,Fortnightly_Model!$B$2:$B$15,0)),0),IFERROR(INDEX(Fortnightly_Model!$D$2:$D$15,MATCH(G168,Fortnightly_Model!$B$2:$B$15,0)),0),IFERROR(INDEX(Fortnightly_Model!$D$2:$D$15,MATCH(G169,Fortnightly_Model!$B$2:$B$15,0)),0),IFERROR(INDEX(Fortnightly_Model!$D$2:$D$15,MATCH(G170,Fortnightly_Model!$B$2:$B$15,0)),0)),0))))))</f>
        <v>1.0714285499999999E-3</v>
      </c>
      <c r="M166" s="27">
        <f>IF(VLOOKUP($A166,Calendar!$A$1:$R$1377,18,0)=0,0,IF(VLOOKUP($A166,Calendar!$A$1:$R$1377,18,0)=1,IFERROR(INDEX(FourWeekly_Model!$D$2:$D$29,MATCH(H166,FourWeekly_Model!$B$2:$B$29,0)),0),IF(VLOOKUP($A166,Calendar!$A$1:$R$1377,18,0)=2,SUM(IFERROR(INDEX(FourWeekly_Model!$D$2:$D$29,MATCH(H166,FourWeekly_Model!$B$2:$B$29,0)),0),IFERROR(INDEX(FourWeekly_Model!$D$2:$D$29,MATCH(H167,FourWeekly_Model!$B$2:$B$29,0)),0)),IF(VLOOKUP($A166,Calendar!$A$1:$R$1377,18,0)=3,SUM(IFERROR(INDEX(FourWeekly_Model!$D$2:$D$29,MATCH(H166,FourWeekly_Model!$B$2:$B$29,0)),0),IFERROR(INDEX(FourWeekly_Model!$D$2:$D$29,MATCH(H167,FourWeekly_Model!$B$2:$B$29,0)),0),IFERROR(INDEX(FourWeekly_Model!$D$2:$D$29,MATCH(H168,FourWeekly_Model!$B$2:$B$29,0)),0)),IF(VLOOKUP($A166,Calendar!$A$1:$R$1377,18,0)=4,SUM(IFERROR(INDEX(FourWeekly_Model!$D$2:$D$29,MATCH(H166,FourWeekly_Model!$B$2:$B$29,0)),0),IFERROR(INDEX(FourWeekly_Model!$D$2:$D$29,MATCH(H167,FourWeekly_Model!$B$2:$B$29,0)),0),IFERROR(INDEX(FourWeekly_Model!$D$2:$D$29,MATCH(H168,FourWeekly_Model!$B$2:$B$29,0)),0),IFERROR(INDEX(FourWeekly_Model!$D$2:$D$29,MATCH(H169,FourWeekly_Model!$B$2:$B$29,0)),0)),IF(VLOOKUP($A166,Calendar!$A$1:$R$1377,18,0)=5,SUM(IFERROR(INDEX(FourWeekly_Model!$D$2:$D$29,MATCH(H166,FourWeekly_Model!$B$2:$B$29,0)),0),IFERROR(INDEX(FourWeekly_Model!$D$2:$D$29,MATCH(H167,FourWeekly_Model!$B$2:$B$29,0)),0),IFERROR(INDEX(FourWeekly_Model!$D$2:$D$29,MATCH(H168,FourWeekly_Model!$B$2:$B$29,0)),0),IFERROR(INDEX(FourWeekly_Model!$D$2:$D$29,MATCH(H169,FourWeekly_Model!$B$2:$B$29,0)),0),IFERROR(INDEX(FourWeekly_Model!$D$2:$D$29,MATCH(H170,FourWeekly_Model!$B$2:$B$29,0)),0)),0))))))</f>
        <v>3.3214289700000004E-3</v>
      </c>
      <c r="N166" s="27">
        <f>SUM(I166:M166)</f>
        <v>2.921798841005236E-2</v>
      </c>
      <c r="O166" s="28">
        <f>Population_Data!$B$8*N166</f>
        <v>885305.04882458656</v>
      </c>
      <c r="P166" s="27">
        <f>IF(VLOOKUP($A166,Calendar!$A$1:$R$1377,18,0)=0,0,IF(VLOOKUP($A166,Calendar!$A$1:$R$1377,18,0)=1,IFERROR(INDEX(Pension_Model!$D$2:$D$29,MATCH(H166,Pension_Model!$B$2:$B$29,0)),0),IF(VLOOKUP($A166,Calendar!$A$1:$R$1377,18,0)=2,SUM(IFERROR(INDEX(Pension_Model!$D$2:$D$29,MATCH(H166,Pension_Model!$B$2:$B$29,0)),0),IFERROR(INDEX(Pension_Model!$D$2:$D$29,MATCH(H167,Pension_Model!$B$2:$B$29,0)),0)),IF(VLOOKUP($A166,Calendar!$A$1:$R$1377,18,0)=3,SUM(IFERROR(INDEX(Pension_Model!$D$2:$D$29,MATCH(H166,Pension_Model!$B$2:$B$29,0)),0),IFERROR(INDEX(Pension_Model!$D$2:$D$29,MATCH(H167,Pension_Model!$B$2:$B$29,0)),0),IFERROR(INDEX(Pension_Model!$D$2:$D$29,MATCH(H168,Pension_Model!$B$2:$B$29,0)),0)),IF(VLOOKUP($A166,Calendar!$A$1:$R$1377,18,0)=4,SUM(IFERROR(INDEX(Pension_Model!$D$2:$D$29,MATCH(H166,Pension_Model!$B$2:$B$29,0)),0),IFERROR(INDEX(Pension_Model!$D$2:$D$29,MATCH(H167,Pension_Model!$B$2:$B$29,0)),0),IFERROR(INDEX(Pension_Model!$D$2:$D$29,MATCH(H168,Pension_Model!$B$2:$B$29,0)),0),IFERROR(INDEX(Pension_Model!$D$2:$D$29,MATCH(H169,Pension_Model!$B$2:$B$29,0)),0)),IF(VLOOKUP($A166,Calendar!$A$1:$R$1377,18,0)=5,SUM(IFERROR(INDEX(Pension_Model!$D$2:$D$29,MATCH(H166,Pension_Model!$B$2:$B$29,0)),0),IFERROR(INDEX(Pension_Model!$D$2:$D$29,MATCH(H167,Pension_Model!$B$2:$B$29,0)),0),IFERROR(INDEX(Pension_Model!$D$2:$D$29,MATCH(H168,Pension_Model!$B$2:$B$29,0)),0),IFERROR(INDEX(Pension_Model!$D$2:$D$29,MATCH(H169,Pension_Model!$B$2:$B$29,0)),0),IFERROR(INDEX(Pension_Model!$D$2:$D$29,MATCH(H170,Pension_Model!$B$2:$B$29,0)),0)),0))))))</f>
        <v>0.05</v>
      </c>
      <c r="Q166" s="28">
        <f>Population_Data!$B$15*P166</f>
        <v>660600</v>
      </c>
      <c r="S166">
        <f t="shared" si="2"/>
        <v>1545905.0488245864</v>
      </c>
      <c r="U166" s="33">
        <f>S166/Population_Data!$B$19</f>
        <v>2.8005526246822218E-2</v>
      </c>
    </row>
    <row r="167" spans="1:21">
      <c r="A167" s="25">
        <f>Calendar!A167</f>
        <v>46400</v>
      </c>
      <c r="B167" t="str">
        <f>Calendar!L167</f>
        <v>Yes</v>
      </c>
      <c r="C167" t="str">
        <f>Calendar!O167</f>
        <v>No</v>
      </c>
      <c r="D167" t="str">
        <f>Calendar!P167</f>
        <v>No</v>
      </c>
      <c r="E167" t="str">
        <f>Calendar!Q167</f>
        <v>No</v>
      </c>
      <c r="F167" t="str">
        <f>Calendar!I167</f>
        <v>Wednesday</v>
      </c>
      <c r="G167">
        <f>Calendar!S167</f>
        <v>4</v>
      </c>
      <c r="H167">
        <f>Calendar!T167</f>
        <v>4</v>
      </c>
      <c r="I167" s="27">
        <f>IF(VLOOKUP(A167,Calendar!$A$1:$R$1377,18,0)=0,0,IF(VLOOKUP(A167,Calendar!$A$1:$R$1377,18,0)=1,INDEX(Monthly_Pay_Model!$A$9:$D$40,MATCH(TEXT(A167,"dd"),Monthly_Pay_Model!$C$9:$C$39,0),4),IF(VLOOKUP(A167,Calendar!$A$1:$R$1377,18,0)=2,SUM(INDEX(Monthly_Pay_Model!$A$9:$D$40,MATCH(TEXT(A167,"dd"),Monthly_Pay_Model!$C$9:$C$39,0),4),INDEX(Monthly_Pay_Model!$A$9:$D$40,MATCH(TEXT(A168,"dd"),Monthly_Pay_Model!$C$9:$C$39,0),4)),IF(VLOOKUP(A167,Calendar!$A$1:$R$1377,18,0)=3,SUM(INDEX(Monthly_Pay_Model!$A$9:$D$40,MATCH(TEXT(A167,"dd"),Monthly_Pay_Model!$C$9:$C$39,0),4),INDEX(Monthly_Pay_Model!$A$9:$D$40,MATCH(TEXT(A168,"dd"),Monthly_Pay_Model!$C$9:$C$39,0),4),INDEX(Monthly_Pay_Model!$A$9:$D$40,MATCH(TEXT(A169,"dd"),Monthly_Pay_Model!$C$9:$C$39,0),4)),IF(VLOOKUP(A167,Calendar!$A$1:$R$1377,18,0)=4,SUM(INDEX(Monthly_Pay_Model!$A$9:$D$40,MATCH(TEXT(A167,"dd"),Monthly_Pay_Model!$C$9:$C$39,0),4),INDEX(Monthly_Pay_Model!$A$9:$D$40,MATCH(TEXT(A168,"dd"),Monthly_Pay_Model!$C$9:$C$39,0),4),INDEX(Monthly_Pay_Model!$A$9:$D$40,MATCH(TEXT(A169,"dd"),Monthly_Pay_Model!$C$9:$C$39,0),4),INDEX(Monthly_Pay_Model!$A$9:$D$40,MATCH(TEXT(A170,"dd"),Monthly_Pay_Model!$C$9:$C$39,0),4)),IF(VLOOKUP(A167,Calendar!$A$1:$R$1377,18,0)=5,SUM(INDEX(Monthly_Pay_Model!$A$9:$D$40,MATCH(TEXT(A167,"dd"),Monthly_Pay_Model!$C$9:$C$39,0),4),INDEX(Monthly_Pay_Model!$A$9:$D$40,MATCH(TEXT(A168,"dd"),Monthly_Pay_Model!$C$9:$C$39,0),4),INDEX(Monthly_Pay_Model!$A$9:$D$40,MATCH(TEXT(A169,"dd"),Monthly_Pay_Model!$C$9:$C$39,0),4),INDEX(Monthly_Pay_Model!$A$9:$D$40,MATCH(TEXT(A170,"dd"),Monthly_Pay_Model!$C$9:$C$39,0),4),INDEX(Monthly_Pay_Model!$A$9:$D$40,MATCH(TEXT(A171,"dd"),Monthly_Pay_Model!$C$9:$C$39,0),4)),))))))</f>
        <v>8.1256544502617792E-4</v>
      </c>
      <c r="J167" s="33">
        <f>IF(C167="Yes",Monthly_Pay_Model!$D$2,0)
+IF(Calendar!N167="Yes",Monthly_Pay_Model!$D$3,0)
+IF(D167="Yes",Monthly_Pay_Model!$D$4,0)
+IF(E167="Yes",Monthly_Pay_Model!$D$5,0)</f>
        <v>0</v>
      </c>
      <c r="K167" s="27">
        <f>IF(VLOOKUP($A167,Calendar!$A$1:$R$1377,18,0)=0,0,IF(VLOOKUP($A167,Calendar!$A$1:$R$1377,18,0)=1,IFERROR(INDEX(Weekly_Model!$D$2:$D$9,MATCH(F167,Weekly_Model!$A$2:$A$9,0)),0),IF(VLOOKUP($A167,Calendar!$A$1:$R$1377,18,0)=2,SUM(IFERROR(INDEX(Weekly_Model!$D$2:$D$9,MATCH(F167,Weekly_Model!$A$2:$A$9,0)),0),IFERROR(INDEX(Weekly_Model!$D$2:$D$9,MATCH(F168,Weekly_Model!$A$2:$A$9,0)),0)),IF(VLOOKUP($A167,Calendar!$A$1:$R$1377,18,0)=3,SUM(IFERROR(INDEX(Weekly_Model!$D$2:$D$9,MATCH(F167,Weekly_Model!$A$2:$A$9,0)),0),IFERROR(INDEX(Weekly_Model!$D$2:$D$9,MATCH(F168,Weekly_Model!$A$2:$A$9,0)),0),IFERROR(INDEX(Weekly_Model!$D$2:$D$9,MATCH(F169,Weekly_Model!$A$2:$A$9,0)),0)),IF(VLOOKUP($A167,Calendar!$A$1:$R$1377,18,0)=4,SUM(IFERROR(INDEX(Weekly_Model!$D$2:$D$9,MATCH(F167,Weekly_Model!$A$2:$A$9,0)),0),IFERROR(INDEX(Weekly_Model!$D$2:$D$9,MATCH(F168,Weekly_Model!$A$2:$A$9,0)),0),IFERROR(INDEX(Weekly_Model!$D$2:$D$9,MATCH(F169,Weekly_Model!$A$2:$A$9,0)),0),IFERROR(INDEX(Weekly_Model!$D$2:$D$9,MATCH(F170,Weekly_Model!$A$2:$A$9,0)),0)),IF(VLOOKUP($A167,Calendar!$A$1:$R$1377,18,0)=5,SUM(IFERROR(INDEX(Weekly_Model!$D$2:$D$9,MATCH(F167,Weekly_Model!$A$2:$A$9,0)),0),IFERROR(INDEX(Weekly_Model!$D$2:$D$9,MATCH(F168,Weekly_Model!$A$2:$A$9,0)),0),IFERROR(INDEX(Weekly_Model!$D$2:$D$9,MATCH(F169,Weekly_Model!$A$2:$A$9,0)),0),IFERROR(INDEX(Weekly_Model!$D$2:$D$9,MATCH(F170,Weekly_Model!$A$2:$A$9,0)),0),IFERROR(INDEX(Weekly_Model!$D$2:$D$9,MATCH(F171,Weekly_Model!$A$2:$A$9,0)),0)),0))))))</f>
        <v>2.3200000000000002E-2</v>
      </c>
      <c r="L167" s="27">
        <f>IF(VLOOKUP($A167,Calendar!$A$1:$R$1377,18,0)=0,0,IF(VLOOKUP($A167,Calendar!$A$1:$R$1377,18,0)=1,IFERROR(INDEX(Fortnightly_Model!$D$2:$D$15,MATCH(G167,Fortnightly_Model!$B$2:$B$15,0)),0),IF(VLOOKUP($A167,Calendar!$A$1:$R$1377,18,0)=2,SUM(IFERROR(INDEX(Fortnightly_Model!$D$2:$D$15,MATCH(G167,Fortnightly_Model!$B$2:$B$15,0)),0),IFERROR(INDEX(Fortnightly_Model!$D$2:$D$15,MATCH(G168,Fortnightly_Model!$B$2:$B$15,0)),0)),IF(VLOOKUP($A167,Calendar!$A$1:$R$1377,18,0)=3,SUM(IFERROR(INDEX(Fortnightly_Model!$D$2:$D$15,MATCH(G167,Fortnightly_Model!$B$2:$B$15,0)),0),IFERROR(INDEX(Fortnightly_Model!$D$2:$D$15,MATCH(G168,Fortnightly_Model!$B$2:$B$15,0)),0),IFERROR(INDEX(Fortnightly_Model!$D$2:$D$15,MATCH(G169,Fortnightly_Model!$B$2:$B$15,0)),0)),IF(VLOOKUP($A167,Calendar!$A$1:$R$1377,18,0)=4,SUM(IFERROR(INDEX(Fortnightly_Model!$D$2:$D$15,MATCH(G167,Fortnightly_Model!$B$2:$B$15,0)),0),IFERROR(INDEX(Fortnightly_Model!$D$2:$D$15,MATCH(G168,Fortnightly_Model!$B$2:$B$15,0)),0),IFERROR(INDEX(Fortnightly_Model!$D$2:$D$15,MATCH(G169,Fortnightly_Model!$B$2:$B$15,0)),0),IFERROR(INDEX(Fortnightly_Model!$D$2:$D$15,MATCH(G170,Fortnightly_Model!$B$2:$B$15,0)),0)),IF(VLOOKUP($A167,Calendar!$A$1:$R$1377,18,0)=5,SUM(IFERROR(INDEX(Fortnightly_Model!$D$2:$D$15,MATCH(G167,Fortnightly_Model!$B$2:$B$15,0)),0),IFERROR(INDEX(Fortnightly_Model!$D$2:$D$15,MATCH(G168,Fortnightly_Model!$B$2:$B$15,0)),0),IFERROR(INDEX(Fortnightly_Model!$D$2:$D$15,MATCH(G169,Fortnightly_Model!$B$2:$B$15,0)),0),IFERROR(INDEX(Fortnightly_Model!$D$2:$D$15,MATCH(G170,Fortnightly_Model!$B$2:$B$15,0)),0),IFERROR(INDEX(Fortnightly_Model!$D$2:$D$15,MATCH(G171,Fortnightly_Model!$B$2:$B$15,0)),0)),0))))))</f>
        <v>1.0714285499999999E-3</v>
      </c>
      <c r="M167" s="27">
        <f>IF(VLOOKUP($A167,Calendar!$A$1:$R$1377,18,0)=0,0,IF(VLOOKUP($A167,Calendar!$A$1:$R$1377,18,0)=1,IFERROR(INDEX(FourWeekly_Model!$D$2:$D$29,MATCH(H167,FourWeekly_Model!$B$2:$B$29,0)),0),IF(VLOOKUP($A167,Calendar!$A$1:$R$1377,18,0)=2,SUM(IFERROR(INDEX(FourWeekly_Model!$D$2:$D$29,MATCH(H167,FourWeekly_Model!$B$2:$B$29,0)),0),IFERROR(INDEX(FourWeekly_Model!$D$2:$D$29,MATCH(H168,FourWeekly_Model!$B$2:$B$29,0)),0)),IF(VLOOKUP($A167,Calendar!$A$1:$R$1377,18,0)=3,SUM(IFERROR(INDEX(FourWeekly_Model!$D$2:$D$29,MATCH(H167,FourWeekly_Model!$B$2:$B$29,0)),0),IFERROR(INDEX(FourWeekly_Model!$D$2:$D$29,MATCH(H168,FourWeekly_Model!$B$2:$B$29,0)),0),IFERROR(INDEX(FourWeekly_Model!$D$2:$D$29,MATCH(H169,FourWeekly_Model!$B$2:$B$29,0)),0)),IF(VLOOKUP($A167,Calendar!$A$1:$R$1377,18,0)=4,SUM(IFERROR(INDEX(FourWeekly_Model!$D$2:$D$29,MATCH(H167,FourWeekly_Model!$B$2:$B$29,0)),0),IFERROR(INDEX(FourWeekly_Model!$D$2:$D$29,MATCH(H168,FourWeekly_Model!$B$2:$B$29,0)),0),IFERROR(INDEX(FourWeekly_Model!$D$2:$D$29,MATCH(H169,FourWeekly_Model!$B$2:$B$29,0)),0),IFERROR(INDEX(FourWeekly_Model!$D$2:$D$29,MATCH(H170,FourWeekly_Model!$B$2:$B$29,0)),0)),IF(VLOOKUP($A167,Calendar!$A$1:$R$1377,18,0)=5,SUM(IFERROR(INDEX(FourWeekly_Model!$D$2:$D$29,MATCH(H167,FourWeekly_Model!$B$2:$B$29,0)),0),IFERROR(INDEX(FourWeekly_Model!$D$2:$D$29,MATCH(H168,FourWeekly_Model!$B$2:$B$29,0)),0),IFERROR(INDEX(FourWeekly_Model!$D$2:$D$29,MATCH(H169,FourWeekly_Model!$B$2:$B$29,0)),0),IFERROR(INDEX(FourWeekly_Model!$D$2:$D$29,MATCH(H170,FourWeekly_Model!$B$2:$B$29,0)),0),IFERROR(INDEX(FourWeekly_Model!$D$2:$D$29,MATCH(H171,FourWeekly_Model!$B$2:$B$29,0)),0)),0))))))</f>
        <v>3.3214289700000004E-3</v>
      </c>
      <c r="N167" s="27">
        <f>SUM(I167:M167)</f>
        <v>2.840542296502618E-2</v>
      </c>
      <c r="O167" s="28">
        <f>Population_Data!$B$8*N167</f>
        <v>860684.3158402933</v>
      </c>
      <c r="P167" s="27">
        <f>IF(VLOOKUP($A167,Calendar!$A$1:$R$1377,18,0)=0,0,IF(VLOOKUP($A167,Calendar!$A$1:$R$1377,18,0)=1,IFERROR(INDEX(Pension_Model!$D$2:$D$29,MATCH(H167,Pension_Model!$B$2:$B$29,0)),0),IF(VLOOKUP($A167,Calendar!$A$1:$R$1377,18,0)=2,SUM(IFERROR(INDEX(Pension_Model!$D$2:$D$29,MATCH(H167,Pension_Model!$B$2:$B$29,0)),0),IFERROR(INDEX(Pension_Model!$D$2:$D$29,MATCH(H168,Pension_Model!$B$2:$B$29,0)),0)),IF(VLOOKUP($A167,Calendar!$A$1:$R$1377,18,0)=3,SUM(IFERROR(INDEX(Pension_Model!$D$2:$D$29,MATCH(H167,Pension_Model!$B$2:$B$29,0)),0),IFERROR(INDEX(Pension_Model!$D$2:$D$29,MATCH(H168,Pension_Model!$B$2:$B$29,0)),0),IFERROR(INDEX(Pension_Model!$D$2:$D$29,MATCH(H169,Pension_Model!$B$2:$B$29,0)),0)),IF(VLOOKUP($A167,Calendar!$A$1:$R$1377,18,0)=4,SUM(IFERROR(INDEX(Pension_Model!$D$2:$D$29,MATCH(H167,Pension_Model!$B$2:$B$29,0)),0),IFERROR(INDEX(Pension_Model!$D$2:$D$29,MATCH(H168,Pension_Model!$B$2:$B$29,0)),0),IFERROR(INDEX(Pension_Model!$D$2:$D$29,MATCH(H169,Pension_Model!$B$2:$B$29,0)),0),IFERROR(INDEX(Pension_Model!$D$2:$D$29,MATCH(H170,Pension_Model!$B$2:$B$29,0)),0)),IF(VLOOKUP($A167,Calendar!$A$1:$R$1377,18,0)=5,SUM(IFERROR(INDEX(Pension_Model!$D$2:$D$29,MATCH(H167,Pension_Model!$B$2:$B$29,0)),0),IFERROR(INDEX(Pension_Model!$D$2:$D$29,MATCH(H168,Pension_Model!$B$2:$B$29,0)),0),IFERROR(INDEX(Pension_Model!$D$2:$D$29,MATCH(H169,Pension_Model!$B$2:$B$29,0)),0),IFERROR(INDEX(Pension_Model!$D$2:$D$29,MATCH(H170,Pension_Model!$B$2:$B$29,0)),0),IFERROR(INDEX(Pension_Model!$D$2:$D$29,MATCH(H171,Pension_Model!$B$2:$B$29,0)),0)),0))))))</f>
        <v>0.05</v>
      </c>
      <c r="Q167" s="28">
        <f>Population_Data!$B$15*P167</f>
        <v>660600</v>
      </c>
      <c r="S167">
        <f t="shared" si="2"/>
        <v>1521284.3158402932</v>
      </c>
      <c r="U167" s="33">
        <f>S167/Population_Data!$B$19</f>
        <v>2.7559498475367629E-2</v>
      </c>
    </row>
    <row r="168" spans="1:21">
      <c r="A168" s="25">
        <f>Calendar!A168</f>
        <v>46401</v>
      </c>
      <c r="B168" t="str">
        <f>Calendar!L168</f>
        <v>Yes</v>
      </c>
      <c r="C168" t="str">
        <f>Calendar!O168</f>
        <v>No</v>
      </c>
      <c r="D168" t="str">
        <f>Calendar!P168</f>
        <v>No</v>
      </c>
      <c r="E168" t="str">
        <f>Calendar!Q168</f>
        <v>No</v>
      </c>
      <c r="F168" t="str">
        <f>Calendar!I168</f>
        <v>Thursday</v>
      </c>
      <c r="G168">
        <f>Calendar!S168</f>
        <v>5</v>
      </c>
      <c r="H168">
        <f>Calendar!T168</f>
        <v>5</v>
      </c>
      <c r="I168" s="27">
        <f>IF(VLOOKUP(A168,Calendar!$A$1:$R$1377,18,0)=0,0,IF(VLOOKUP(A168,Calendar!$A$1:$R$1377,18,0)=1,INDEX(Monthly_Pay_Model!$A$9:$D$40,MATCH(TEXT(A168,"dd"),Monthly_Pay_Model!$C$9:$C$39,0),4),IF(VLOOKUP(A168,Calendar!$A$1:$R$1377,18,0)=2,SUM(INDEX(Monthly_Pay_Model!$A$9:$D$40,MATCH(TEXT(A168,"dd"),Monthly_Pay_Model!$C$9:$C$39,0),4),INDEX(Monthly_Pay_Model!$A$9:$D$40,MATCH(TEXT(A169,"dd"),Monthly_Pay_Model!$C$9:$C$39,0),4)),IF(VLOOKUP(A168,Calendar!$A$1:$R$1377,18,0)=3,SUM(INDEX(Monthly_Pay_Model!$A$9:$D$40,MATCH(TEXT(A168,"dd"),Monthly_Pay_Model!$C$9:$C$39,0),4),INDEX(Monthly_Pay_Model!$A$9:$D$40,MATCH(TEXT(A169,"dd"),Monthly_Pay_Model!$C$9:$C$39,0),4),INDEX(Monthly_Pay_Model!$A$9:$D$40,MATCH(TEXT(A170,"dd"),Monthly_Pay_Model!$C$9:$C$39,0),4)),IF(VLOOKUP(A168,Calendar!$A$1:$R$1377,18,0)=4,SUM(INDEX(Monthly_Pay_Model!$A$9:$D$40,MATCH(TEXT(A168,"dd"),Monthly_Pay_Model!$C$9:$C$39,0),4),INDEX(Monthly_Pay_Model!$A$9:$D$40,MATCH(TEXT(A169,"dd"),Monthly_Pay_Model!$C$9:$C$39,0),4),INDEX(Monthly_Pay_Model!$A$9:$D$40,MATCH(TEXT(A170,"dd"),Monthly_Pay_Model!$C$9:$C$39,0),4),INDEX(Monthly_Pay_Model!$A$9:$D$40,MATCH(TEXT(A171,"dd"),Monthly_Pay_Model!$C$9:$C$39,0),4)),IF(VLOOKUP(A168,Calendar!$A$1:$R$1377,18,0)=5,SUM(INDEX(Monthly_Pay_Model!$A$9:$D$40,MATCH(TEXT(A168,"dd"),Monthly_Pay_Model!$C$9:$C$39,0),4),INDEX(Monthly_Pay_Model!$A$9:$D$40,MATCH(TEXT(A169,"dd"),Monthly_Pay_Model!$C$9:$C$39,0),4),INDEX(Monthly_Pay_Model!$A$9:$D$40,MATCH(TEXT(A170,"dd"),Monthly_Pay_Model!$C$9:$C$39,0),4),INDEX(Monthly_Pay_Model!$A$9:$D$40,MATCH(TEXT(A171,"dd"),Monthly_Pay_Model!$C$9:$C$39,0),4),INDEX(Monthly_Pay_Model!$A$9:$D$40,MATCH(TEXT(A172,"dd"),Monthly_Pay_Model!$C$9:$C$39,0),4)),))))))</f>
        <v>8.1256544502617792E-4</v>
      </c>
      <c r="J168" s="33">
        <f>IF(C168="Yes",Monthly_Pay_Model!$D$2,0)
+IF(Calendar!N168="Yes",Monthly_Pay_Model!$D$3,0)
+IF(D168="Yes",Monthly_Pay_Model!$D$4,0)
+IF(E168="Yes",Monthly_Pay_Model!$D$5,0)</f>
        <v>0</v>
      </c>
      <c r="K168" s="27">
        <f>IF(VLOOKUP($A168,Calendar!$A$1:$R$1377,18,0)=0,0,IF(VLOOKUP($A168,Calendar!$A$1:$R$1377,18,0)=1,IFERROR(INDEX(Weekly_Model!$D$2:$D$9,MATCH(F168,Weekly_Model!$A$2:$A$9,0)),0),IF(VLOOKUP($A168,Calendar!$A$1:$R$1377,18,0)=2,SUM(IFERROR(INDEX(Weekly_Model!$D$2:$D$9,MATCH(F168,Weekly_Model!$A$2:$A$9,0)),0),IFERROR(INDEX(Weekly_Model!$D$2:$D$9,MATCH(F169,Weekly_Model!$A$2:$A$9,0)),0)),IF(VLOOKUP($A168,Calendar!$A$1:$R$1377,18,0)=3,SUM(IFERROR(INDEX(Weekly_Model!$D$2:$D$9,MATCH(F168,Weekly_Model!$A$2:$A$9,0)),0),IFERROR(INDEX(Weekly_Model!$D$2:$D$9,MATCH(F169,Weekly_Model!$A$2:$A$9,0)),0),IFERROR(INDEX(Weekly_Model!$D$2:$D$9,MATCH(F170,Weekly_Model!$A$2:$A$9,0)),0)),IF(VLOOKUP($A168,Calendar!$A$1:$R$1377,18,0)=4,SUM(IFERROR(INDEX(Weekly_Model!$D$2:$D$9,MATCH(F168,Weekly_Model!$A$2:$A$9,0)),0),IFERROR(INDEX(Weekly_Model!$D$2:$D$9,MATCH(F169,Weekly_Model!$A$2:$A$9,0)),0),IFERROR(INDEX(Weekly_Model!$D$2:$D$9,MATCH(F170,Weekly_Model!$A$2:$A$9,0)),0),IFERROR(INDEX(Weekly_Model!$D$2:$D$9,MATCH(F171,Weekly_Model!$A$2:$A$9,0)),0)),IF(VLOOKUP($A168,Calendar!$A$1:$R$1377,18,0)=5,SUM(IFERROR(INDEX(Weekly_Model!$D$2:$D$9,MATCH(F168,Weekly_Model!$A$2:$A$9,0)),0),IFERROR(INDEX(Weekly_Model!$D$2:$D$9,MATCH(F169,Weekly_Model!$A$2:$A$9,0)),0),IFERROR(INDEX(Weekly_Model!$D$2:$D$9,MATCH(F170,Weekly_Model!$A$2:$A$9,0)),0),IFERROR(INDEX(Weekly_Model!$D$2:$D$9,MATCH(F171,Weekly_Model!$A$2:$A$9,0)),0),IFERROR(INDEX(Weekly_Model!$D$2:$D$9,MATCH(F172,Weekly_Model!$A$2:$A$9,0)),0)),0))))))</f>
        <v>2.3200000000000002E-2</v>
      </c>
      <c r="L168" s="27">
        <f>IF(VLOOKUP($A168,Calendar!$A$1:$R$1377,18,0)=0,0,IF(VLOOKUP($A168,Calendar!$A$1:$R$1377,18,0)=1,IFERROR(INDEX(Fortnightly_Model!$D$2:$D$15,MATCH(G168,Fortnightly_Model!$B$2:$B$15,0)),0),IF(VLOOKUP($A168,Calendar!$A$1:$R$1377,18,0)=2,SUM(IFERROR(INDEX(Fortnightly_Model!$D$2:$D$15,MATCH(G168,Fortnightly_Model!$B$2:$B$15,0)),0),IFERROR(INDEX(Fortnightly_Model!$D$2:$D$15,MATCH(G169,Fortnightly_Model!$B$2:$B$15,0)),0)),IF(VLOOKUP($A168,Calendar!$A$1:$R$1377,18,0)=3,SUM(IFERROR(INDEX(Fortnightly_Model!$D$2:$D$15,MATCH(G168,Fortnightly_Model!$B$2:$B$15,0)),0),IFERROR(INDEX(Fortnightly_Model!$D$2:$D$15,MATCH(G169,Fortnightly_Model!$B$2:$B$15,0)),0),IFERROR(INDEX(Fortnightly_Model!$D$2:$D$15,MATCH(G170,Fortnightly_Model!$B$2:$B$15,0)),0)),IF(VLOOKUP($A168,Calendar!$A$1:$R$1377,18,0)=4,SUM(IFERROR(INDEX(Fortnightly_Model!$D$2:$D$15,MATCH(G168,Fortnightly_Model!$B$2:$B$15,0)),0),IFERROR(INDEX(Fortnightly_Model!$D$2:$D$15,MATCH(G169,Fortnightly_Model!$B$2:$B$15,0)),0),IFERROR(INDEX(Fortnightly_Model!$D$2:$D$15,MATCH(G170,Fortnightly_Model!$B$2:$B$15,0)),0),IFERROR(INDEX(Fortnightly_Model!$D$2:$D$15,MATCH(G171,Fortnightly_Model!$B$2:$B$15,0)),0)),IF(VLOOKUP($A168,Calendar!$A$1:$R$1377,18,0)=5,SUM(IFERROR(INDEX(Fortnightly_Model!$D$2:$D$15,MATCH(G168,Fortnightly_Model!$B$2:$B$15,0)),0),IFERROR(INDEX(Fortnightly_Model!$D$2:$D$15,MATCH(G169,Fortnightly_Model!$B$2:$B$15,0)),0),IFERROR(INDEX(Fortnightly_Model!$D$2:$D$15,MATCH(G170,Fortnightly_Model!$B$2:$B$15,0)),0),IFERROR(INDEX(Fortnightly_Model!$D$2:$D$15,MATCH(G171,Fortnightly_Model!$B$2:$B$15,0)),0),IFERROR(INDEX(Fortnightly_Model!$D$2:$D$15,MATCH(G172,Fortnightly_Model!$B$2:$B$15,0)),0)),0))))))</f>
        <v>1.0714285499999999E-3</v>
      </c>
      <c r="M168" s="27">
        <f>IF(VLOOKUP($A168,Calendar!$A$1:$R$1377,18,0)=0,0,IF(VLOOKUP($A168,Calendar!$A$1:$R$1377,18,0)=1,IFERROR(INDEX(FourWeekly_Model!$D$2:$D$29,MATCH(H168,FourWeekly_Model!$B$2:$B$29,0)),0),IF(VLOOKUP($A168,Calendar!$A$1:$R$1377,18,0)=2,SUM(IFERROR(INDEX(FourWeekly_Model!$D$2:$D$29,MATCH(H168,FourWeekly_Model!$B$2:$B$29,0)),0),IFERROR(INDEX(FourWeekly_Model!$D$2:$D$29,MATCH(H169,FourWeekly_Model!$B$2:$B$29,0)),0)),IF(VLOOKUP($A168,Calendar!$A$1:$R$1377,18,0)=3,SUM(IFERROR(INDEX(FourWeekly_Model!$D$2:$D$29,MATCH(H168,FourWeekly_Model!$B$2:$B$29,0)),0),IFERROR(INDEX(FourWeekly_Model!$D$2:$D$29,MATCH(H169,FourWeekly_Model!$B$2:$B$29,0)),0),IFERROR(INDEX(FourWeekly_Model!$D$2:$D$29,MATCH(H170,FourWeekly_Model!$B$2:$B$29,0)),0)),IF(VLOOKUP($A168,Calendar!$A$1:$R$1377,18,0)=4,SUM(IFERROR(INDEX(FourWeekly_Model!$D$2:$D$29,MATCH(H168,FourWeekly_Model!$B$2:$B$29,0)),0),IFERROR(INDEX(FourWeekly_Model!$D$2:$D$29,MATCH(H169,FourWeekly_Model!$B$2:$B$29,0)),0),IFERROR(INDEX(FourWeekly_Model!$D$2:$D$29,MATCH(H170,FourWeekly_Model!$B$2:$B$29,0)),0),IFERROR(INDEX(FourWeekly_Model!$D$2:$D$29,MATCH(H171,FourWeekly_Model!$B$2:$B$29,0)),0)),IF(VLOOKUP($A168,Calendar!$A$1:$R$1377,18,0)=5,SUM(IFERROR(INDEX(FourWeekly_Model!$D$2:$D$29,MATCH(H168,FourWeekly_Model!$B$2:$B$29,0)),0),IFERROR(INDEX(FourWeekly_Model!$D$2:$D$29,MATCH(H169,FourWeekly_Model!$B$2:$B$29,0)),0),IFERROR(INDEX(FourWeekly_Model!$D$2:$D$29,MATCH(H170,FourWeekly_Model!$B$2:$B$29,0)),0),IFERROR(INDEX(FourWeekly_Model!$D$2:$D$29,MATCH(H171,FourWeekly_Model!$B$2:$B$29,0)),0),IFERROR(INDEX(FourWeekly_Model!$D$2:$D$29,MATCH(H172,FourWeekly_Model!$B$2:$B$29,0)),0)),0))))))</f>
        <v>3.3214289700000004E-3</v>
      </c>
      <c r="N168" s="27">
        <f>SUM(I168:M168)</f>
        <v>2.840542296502618E-2</v>
      </c>
      <c r="O168" s="28">
        <f>Population_Data!$B$8*N168</f>
        <v>860684.3158402933</v>
      </c>
      <c r="P168" s="27">
        <f>IF(VLOOKUP($A168,Calendar!$A$1:$R$1377,18,0)=0,0,IF(VLOOKUP($A168,Calendar!$A$1:$R$1377,18,0)=1,IFERROR(INDEX(Pension_Model!$D$2:$D$29,MATCH(H168,Pension_Model!$B$2:$B$29,0)),0),IF(VLOOKUP($A168,Calendar!$A$1:$R$1377,18,0)=2,SUM(IFERROR(INDEX(Pension_Model!$D$2:$D$29,MATCH(H168,Pension_Model!$B$2:$B$29,0)),0),IFERROR(INDEX(Pension_Model!$D$2:$D$29,MATCH(H169,Pension_Model!$B$2:$B$29,0)),0)),IF(VLOOKUP($A168,Calendar!$A$1:$R$1377,18,0)=3,SUM(IFERROR(INDEX(Pension_Model!$D$2:$D$29,MATCH(H168,Pension_Model!$B$2:$B$29,0)),0),IFERROR(INDEX(Pension_Model!$D$2:$D$29,MATCH(H169,Pension_Model!$B$2:$B$29,0)),0),IFERROR(INDEX(Pension_Model!$D$2:$D$29,MATCH(H170,Pension_Model!$B$2:$B$29,0)),0)),IF(VLOOKUP($A168,Calendar!$A$1:$R$1377,18,0)=4,SUM(IFERROR(INDEX(Pension_Model!$D$2:$D$29,MATCH(H168,Pension_Model!$B$2:$B$29,0)),0),IFERROR(INDEX(Pension_Model!$D$2:$D$29,MATCH(H169,Pension_Model!$B$2:$B$29,0)),0),IFERROR(INDEX(Pension_Model!$D$2:$D$29,MATCH(H170,Pension_Model!$B$2:$B$29,0)),0),IFERROR(INDEX(Pension_Model!$D$2:$D$29,MATCH(H171,Pension_Model!$B$2:$B$29,0)),0)),IF(VLOOKUP($A168,Calendar!$A$1:$R$1377,18,0)=5,SUM(IFERROR(INDEX(Pension_Model!$D$2:$D$29,MATCH(H168,Pension_Model!$B$2:$B$29,0)),0),IFERROR(INDEX(Pension_Model!$D$2:$D$29,MATCH(H169,Pension_Model!$B$2:$B$29,0)),0),IFERROR(INDEX(Pension_Model!$D$2:$D$29,MATCH(H170,Pension_Model!$B$2:$B$29,0)),0),IFERROR(INDEX(Pension_Model!$D$2:$D$29,MATCH(H171,Pension_Model!$B$2:$B$29,0)),0),IFERROR(INDEX(Pension_Model!$D$2:$D$29,MATCH(H172,Pension_Model!$B$2:$B$29,0)),0)),0))))))</f>
        <v>0.05</v>
      </c>
      <c r="Q168" s="28">
        <f>Population_Data!$B$15*P168</f>
        <v>660600</v>
      </c>
      <c r="S168">
        <f t="shared" si="2"/>
        <v>1521284.3158402932</v>
      </c>
      <c r="U168" s="33">
        <f>S168/Population_Data!$B$19</f>
        <v>2.7559498475367629E-2</v>
      </c>
    </row>
    <row r="169" spans="1:21">
      <c r="A169" s="25">
        <f>Calendar!A169</f>
        <v>46402</v>
      </c>
      <c r="B169" t="str">
        <f>Calendar!L169</f>
        <v>Yes</v>
      </c>
      <c r="C169" t="str">
        <f>Calendar!O169</f>
        <v>No</v>
      </c>
      <c r="D169" t="str">
        <f>Calendar!P169</f>
        <v>No</v>
      </c>
      <c r="E169" t="str">
        <f>Calendar!Q169</f>
        <v>No</v>
      </c>
      <c r="F169" t="str">
        <f>Calendar!I169</f>
        <v>Friday</v>
      </c>
      <c r="G169">
        <f>Calendar!S169</f>
        <v>6</v>
      </c>
      <c r="H169">
        <f>Calendar!T169</f>
        <v>6</v>
      </c>
      <c r="I169" s="27">
        <f>IF(VLOOKUP(A169,Calendar!$A$1:$R$1377,18,0)=0,0,IF(VLOOKUP(A169,Calendar!$A$1:$R$1377,18,0)=1,INDEX(Monthly_Pay_Model!$A$9:$D$40,MATCH(TEXT(A169,"dd"),Monthly_Pay_Model!$C$9:$C$39,0),4),IF(VLOOKUP(A169,Calendar!$A$1:$R$1377,18,0)=2,SUM(INDEX(Monthly_Pay_Model!$A$9:$D$40,MATCH(TEXT(A169,"dd"),Monthly_Pay_Model!$C$9:$C$39,0),4),INDEX(Monthly_Pay_Model!$A$9:$D$40,MATCH(TEXT(A170,"dd"),Monthly_Pay_Model!$C$9:$C$39,0),4)),IF(VLOOKUP(A169,Calendar!$A$1:$R$1377,18,0)=3,SUM(INDEX(Monthly_Pay_Model!$A$9:$D$40,MATCH(TEXT(A169,"dd"),Monthly_Pay_Model!$C$9:$C$39,0),4),INDEX(Monthly_Pay_Model!$A$9:$D$40,MATCH(TEXT(A170,"dd"),Monthly_Pay_Model!$C$9:$C$39,0),4),INDEX(Monthly_Pay_Model!$A$9:$D$40,MATCH(TEXT(A171,"dd"),Monthly_Pay_Model!$C$9:$C$39,0),4)),IF(VLOOKUP(A169,Calendar!$A$1:$R$1377,18,0)=4,SUM(INDEX(Monthly_Pay_Model!$A$9:$D$40,MATCH(TEXT(A169,"dd"),Monthly_Pay_Model!$C$9:$C$39,0),4),INDEX(Monthly_Pay_Model!$A$9:$D$40,MATCH(TEXT(A170,"dd"),Monthly_Pay_Model!$C$9:$C$39,0),4),INDEX(Monthly_Pay_Model!$A$9:$D$40,MATCH(TEXT(A171,"dd"),Monthly_Pay_Model!$C$9:$C$39,0),4),INDEX(Monthly_Pay_Model!$A$9:$D$40,MATCH(TEXT(A172,"dd"),Monthly_Pay_Model!$C$9:$C$39,0),4)),IF(VLOOKUP(A169,Calendar!$A$1:$R$1377,18,0)=5,SUM(INDEX(Monthly_Pay_Model!$A$9:$D$40,MATCH(TEXT(A169,"dd"),Monthly_Pay_Model!$C$9:$C$39,0),4),INDEX(Monthly_Pay_Model!$A$9:$D$40,MATCH(TEXT(A170,"dd"),Monthly_Pay_Model!$C$9:$C$39,0),4),INDEX(Monthly_Pay_Model!$A$9:$D$40,MATCH(TEXT(A171,"dd"),Monthly_Pay_Model!$C$9:$C$39,0),4),INDEX(Monthly_Pay_Model!$A$9:$D$40,MATCH(TEXT(A172,"dd"),Monthly_Pay_Model!$C$9:$C$39,0),4),INDEX(Monthly_Pay_Model!$A$9:$D$40,MATCH(TEXT(A173,"dd"),Monthly_Pay_Model!$C$9:$C$39,0),4)),))))))</f>
        <v>1.5438743455497381E-2</v>
      </c>
      <c r="J169" s="33">
        <f>IF(C169="Yes",Monthly_Pay_Model!$D$2,0)
+IF(Calendar!N169="Yes",Monthly_Pay_Model!$D$3,0)
+IF(D169="Yes",Monthly_Pay_Model!$D$4,0)
+IF(E169="Yes",Monthly_Pay_Model!$D$5,0)</f>
        <v>0</v>
      </c>
      <c r="K169" s="27">
        <f>IF(VLOOKUP($A169,Calendar!$A$1:$R$1377,18,0)=0,0,IF(VLOOKUP($A169,Calendar!$A$1:$R$1377,18,0)=1,IFERROR(INDEX(Weekly_Model!$D$2:$D$9,MATCH(F169,Weekly_Model!$A$2:$A$9,0)),0),IF(VLOOKUP($A169,Calendar!$A$1:$R$1377,18,0)=2,SUM(IFERROR(INDEX(Weekly_Model!$D$2:$D$9,MATCH(F169,Weekly_Model!$A$2:$A$9,0)),0),IFERROR(INDEX(Weekly_Model!$D$2:$D$9,MATCH(F170,Weekly_Model!$A$2:$A$9,0)),0)),IF(VLOOKUP($A169,Calendar!$A$1:$R$1377,18,0)=3,SUM(IFERROR(INDEX(Weekly_Model!$D$2:$D$9,MATCH(F169,Weekly_Model!$A$2:$A$9,0)),0),IFERROR(INDEX(Weekly_Model!$D$2:$D$9,MATCH(F170,Weekly_Model!$A$2:$A$9,0)),0),IFERROR(INDEX(Weekly_Model!$D$2:$D$9,MATCH(F171,Weekly_Model!$A$2:$A$9,0)),0)),IF(VLOOKUP($A169,Calendar!$A$1:$R$1377,18,0)=4,SUM(IFERROR(INDEX(Weekly_Model!$D$2:$D$9,MATCH(F169,Weekly_Model!$A$2:$A$9,0)),0),IFERROR(INDEX(Weekly_Model!$D$2:$D$9,MATCH(F170,Weekly_Model!$A$2:$A$9,0)),0),IFERROR(INDEX(Weekly_Model!$D$2:$D$9,MATCH(F171,Weekly_Model!$A$2:$A$9,0)),0),IFERROR(INDEX(Weekly_Model!$D$2:$D$9,MATCH(F172,Weekly_Model!$A$2:$A$9,0)),0)),IF(VLOOKUP($A169,Calendar!$A$1:$R$1377,18,0)=5,SUM(IFERROR(INDEX(Weekly_Model!$D$2:$D$9,MATCH(F169,Weekly_Model!$A$2:$A$9,0)),0),IFERROR(INDEX(Weekly_Model!$D$2:$D$9,MATCH(F170,Weekly_Model!$A$2:$A$9,0)),0),IFERROR(INDEX(Weekly_Model!$D$2:$D$9,MATCH(F171,Weekly_Model!$A$2:$A$9,0)),0),IFERROR(INDEX(Weekly_Model!$D$2:$D$9,MATCH(F172,Weekly_Model!$A$2:$A$9,0)),0),IFERROR(INDEX(Weekly_Model!$D$2:$D$9,MATCH(F173,Weekly_Model!$A$2:$A$9,0)),0)),0))))))</f>
        <v>2.3200000000000002E-2</v>
      </c>
      <c r="L169" s="27">
        <f>IF(VLOOKUP($A169,Calendar!$A$1:$R$1377,18,0)=0,0,IF(VLOOKUP($A169,Calendar!$A$1:$R$1377,18,0)=1,IFERROR(INDEX(Fortnightly_Model!$D$2:$D$15,MATCH(G169,Fortnightly_Model!$B$2:$B$15,0)),0),IF(VLOOKUP($A169,Calendar!$A$1:$R$1377,18,0)=2,SUM(IFERROR(INDEX(Fortnightly_Model!$D$2:$D$15,MATCH(G169,Fortnightly_Model!$B$2:$B$15,0)),0),IFERROR(INDEX(Fortnightly_Model!$D$2:$D$15,MATCH(G170,Fortnightly_Model!$B$2:$B$15,0)),0)),IF(VLOOKUP($A169,Calendar!$A$1:$R$1377,18,0)=3,SUM(IFERROR(INDEX(Fortnightly_Model!$D$2:$D$15,MATCH(G169,Fortnightly_Model!$B$2:$B$15,0)),0),IFERROR(INDEX(Fortnightly_Model!$D$2:$D$15,MATCH(G170,Fortnightly_Model!$B$2:$B$15,0)),0),IFERROR(INDEX(Fortnightly_Model!$D$2:$D$15,MATCH(G171,Fortnightly_Model!$B$2:$B$15,0)),0)),IF(VLOOKUP($A169,Calendar!$A$1:$R$1377,18,0)=4,SUM(IFERROR(INDEX(Fortnightly_Model!$D$2:$D$15,MATCH(G169,Fortnightly_Model!$B$2:$B$15,0)),0),IFERROR(INDEX(Fortnightly_Model!$D$2:$D$15,MATCH(G170,Fortnightly_Model!$B$2:$B$15,0)),0),IFERROR(INDEX(Fortnightly_Model!$D$2:$D$15,MATCH(G171,Fortnightly_Model!$B$2:$B$15,0)),0),IFERROR(INDEX(Fortnightly_Model!$D$2:$D$15,MATCH(G172,Fortnightly_Model!$B$2:$B$15,0)),0)),IF(VLOOKUP($A169,Calendar!$A$1:$R$1377,18,0)=5,SUM(IFERROR(INDEX(Fortnightly_Model!$D$2:$D$15,MATCH(G169,Fortnightly_Model!$B$2:$B$15,0)),0),IFERROR(INDEX(Fortnightly_Model!$D$2:$D$15,MATCH(G170,Fortnightly_Model!$B$2:$B$15,0)),0),IFERROR(INDEX(Fortnightly_Model!$D$2:$D$15,MATCH(G171,Fortnightly_Model!$B$2:$B$15,0)),0),IFERROR(INDEX(Fortnightly_Model!$D$2:$D$15,MATCH(G172,Fortnightly_Model!$B$2:$B$15,0)),0),IFERROR(INDEX(Fortnightly_Model!$D$2:$D$15,MATCH(G173,Fortnightly_Model!$B$2:$B$15,0)),0)),0))))))</f>
        <v>3.2142856499999999E-3</v>
      </c>
      <c r="M169" s="27">
        <f>IF(VLOOKUP($A169,Calendar!$A$1:$R$1377,18,0)=0,0,IF(VLOOKUP($A169,Calendar!$A$1:$R$1377,18,0)=1,IFERROR(INDEX(FourWeekly_Model!$D$2:$D$29,MATCH(H169,FourWeekly_Model!$B$2:$B$29,0)),0),IF(VLOOKUP($A169,Calendar!$A$1:$R$1377,18,0)=2,SUM(IFERROR(INDEX(FourWeekly_Model!$D$2:$D$29,MATCH(H169,FourWeekly_Model!$B$2:$B$29,0)),0),IFERROR(INDEX(FourWeekly_Model!$D$2:$D$29,MATCH(H170,FourWeekly_Model!$B$2:$B$29,0)),0)),IF(VLOOKUP($A169,Calendar!$A$1:$R$1377,18,0)=3,SUM(IFERROR(INDEX(FourWeekly_Model!$D$2:$D$29,MATCH(H169,FourWeekly_Model!$B$2:$B$29,0)),0),IFERROR(INDEX(FourWeekly_Model!$D$2:$D$29,MATCH(H170,FourWeekly_Model!$B$2:$B$29,0)),0),IFERROR(INDEX(FourWeekly_Model!$D$2:$D$29,MATCH(H171,FourWeekly_Model!$B$2:$B$29,0)),0)),IF(VLOOKUP($A169,Calendar!$A$1:$R$1377,18,0)=4,SUM(IFERROR(INDEX(FourWeekly_Model!$D$2:$D$29,MATCH(H169,FourWeekly_Model!$B$2:$B$29,0)),0),IFERROR(INDEX(FourWeekly_Model!$D$2:$D$29,MATCH(H170,FourWeekly_Model!$B$2:$B$29,0)),0),IFERROR(INDEX(FourWeekly_Model!$D$2:$D$29,MATCH(H171,FourWeekly_Model!$B$2:$B$29,0)),0),IFERROR(INDEX(FourWeekly_Model!$D$2:$D$29,MATCH(H172,FourWeekly_Model!$B$2:$B$29,0)),0)),IF(VLOOKUP($A169,Calendar!$A$1:$R$1377,18,0)=5,SUM(IFERROR(INDEX(FourWeekly_Model!$D$2:$D$29,MATCH(H169,FourWeekly_Model!$B$2:$B$29,0)),0),IFERROR(INDEX(FourWeekly_Model!$D$2:$D$29,MATCH(H170,FourWeekly_Model!$B$2:$B$29,0)),0),IFERROR(INDEX(FourWeekly_Model!$D$2:$D$29,MATCH(H171,FourWeekly_Model!$B$2:$B$29,0)),0),IFERROR(INDEX(FourWeekly_Model!$D$2:$D$29,MATCH(H172,FourWeekly_Model!$B$2:$B$29,0)),0),IFERROR(INDEX(FourWeekly_Model!$D$2:$D$29,MATCH(H173,FourWeekly_Model!$B$2:$B$29,0)),0)),0))))))</f>
        <v>9.9642859800000011E-3</v>
      </c>
      <c r="N169" s="27">
        <f>SUM(I169:M169)</f>
        <v>5.1817315085497383E-2</v>
      </c>
      <c r="O169" s="28">
        <f>Population_Data!$B$8*N169</f>
        <v>1570064.6470905708</v>
      </c>
      <c r="P169" s="27">
        <f>IF(VLOOKUP($A169,Calendar!$A$1:$R$1377,18,0)=0,0,IF(VLOOKUP($A169,Calendar!$A$1:$R$1377,18,0)=1,IFERROR(INDEX(Pension_Model!$D$2:$D$29,MATCH(H169,Pension_Model!$B$2:$B$29,0)),0),IF(VLOOKUP($A169,Calendar!$A$1:$R$1377,18,0)=2,SUM(IFERROR(INDEX(Pension_Model!$D$2:$D$29,MATCH(H169,Pension_Model!$B$2:$B$29,0)),0),IFERROR(INDEX(Pension_Model!$D$2:$D$29,MATCH(H170,Pension_Model!$B$2:$B$29,0)),0)),IF(VLOOKUP($A169,Calendar!$A$1:$R$1377,18,0)=3,SUM(IFERROR(INDEX(Pension_Model!$D$2:$D$29,MATCH(H169,Pension_Model!$B$2:$B$29,0)),0),IFERROR(INDEX(Pension_Model!$D$2:$D$29,MATCH(H170,Pension_Model!$B$2:$B$29,0)),0),IFERROR(INDEX(Pension_Model!$D$2:$D$29,MATCH(H171,Pension_Model!$B$2:$B$29,0)),0)),IF(VLOOKUP($A169,Calendar!$A$1:$R$1377,18,0)=4,SUM(IFERROR(INDEX(Pension_Model!$D$2:$D$29,MATCH(H169,Pension_Model!$B$2:$B$29,0)),0),IFERROR(INDEX(Pension_Model!$D$2:$D$29,MATCH(H170,Pension_Model!$B$2:$B$29,0)),0),IFERROR(INDEX(Pension_Model!$D$2:$D$29,MATCH(H171,Pension_Model!$B$2:$B$29,0)),0),IFERROR(INDEX(Pension_Model!$D$2:$D$29,MATCH(H172,Pension_Model!$B$2:$B$29,0)),0)),IF(VLOOKUP($A169,Calendar!$A$1:$R$1377,18,0)=5,SUM(IFERROR(INDEX(Pension_Model!$D$2:$D$29,MATCH(H169,Pension_Model!$B$2:$B$29,0)),0),IFERROR(INDEX(Pension_Model!$D$2:$D$29,MATCH(H170,Pension_Model!$B$2:$B$29,0)),0),IFERROR(INDEX(Pension_Model!$D$2:$D$29,MATCH(H171,Pension_Model!$B$2:$B$29,0)),0),IFERROR(INDEX(Pension_Model!$D$2:$D$29,MATCH(H172,Pension_Model!$B$2:$B$29,0)),0),IFERROR(INDEX(Pension_Model!$D$2:$D$29,MATCH(H173,Pension_Model!$B$2:$B$29,0)),0)),0))))))</f>
        <v>0.05</v>
      </c>
      <c r="Q169" s="28">
        <f>Population_Data!$B$15*P169</f>
        <v>660600</v>
      </c>
      <c r="S169">
        <f t="shared" si="2"/>
        <v>2230664.647090571</v>
      </c>
      <c r="U169" s="33">
        <f>S169/Population_Data!$B$19</f>
        <v>4.0410591432800201E-2</v>
      </c>
    </row>
    <row r="170" spans="1:21">
      <c r="A170" s="25">
        <f>Calendar!A170</f>
        <v>46403</v>
      </c>
      <c r="B170" t="str">
        <f>Calendar!L170</f>
        <v>No</v>
      </c>
      <c r="C170" t="str">
        <f>Calendar!O170</f>
        <v>No</v>
      </c>
      <c r="D170" t="str">
        <f>Calendar!P170</f>
        <v>No</v>
      </c>
      <c r="E170" t="str">
        <f>Calendar!Q170</f>
        <v>No</v>
      </c>
      <c r="F170" t="str">
        <f>Calendar!I170</f>
        <v>Saturday</v>
      </c>
      <c r="G170">
        <f>Calendar!S170</f>
        <v>7</v>
      </c>
      <c r="H170">
        <f>Calendar!T170</f>
        <v>7</v>
      </c>
      <c r="I170" s="27">
        <f>IF(VLOOKUP(A170,Calendar!$A$1:$R$1377,18,0)=0,0,IF(VLOOKUP(A170,Calendar!$A$1:$R$1377,18,0)=1,INDEX(Monthly_Pay_Model!$A$9:$D$40,MATCH(TEXT(A170,"dd"),Monthly_Pay_Model!$C$9:$C$39,0),4),IF(VLOOKUP(A170,Calendar!$A$1:$R$1377,18,0)=2,SUM(INDEX(Monthly_Pay_Model!$A$9:$D$40,MATCH(TEXT(A170,"dd"),Monthly_Pay_Model!$C$9:$C$39,0),4),INDEX(Monthly_Pay_Model!$A$9:$D$40,MATCH(TEXT(A171,"dd"),Monthly_Pay_Model!$C$9:$C$39,0),4)),IF(VLOOKUP(A170,Calendar!$A$1:$R$1377,18,0)=3,SUM(INDEX(Monthly_Pay_Model!$A$9:$D$40,MATCH(TEXT(A170,"dd"),Monthly_Pay_Model!$C$9:$C$39,0),4),INDEX(Monthly_Pay_Model!$A$9:$D$40,MATCH(TEXT(A171,"dd"),Monthly_Pay_Model!$C$9:$C$39,0),4),INDEX(Monthly_Pay_Model!$A$9:$D$40,MATCH(TEXT(A172,"dd"),Monthly_Pay_Model!$C$9:$C$39,0),4)),IF(VLOOKUP(A170,Calendar!$A$1:$R$1377,18,0)=4,SUM(INDEX(Monthly_Pay_Model!$A$9:$D$40,MATCH(TEXT(A170,"dd"),Monthly_Pay_Model!$C$9:$C$39,0),4),INDEX(Monthly_Pay_Model!$A$9:$D$40,MATCH(TEXT(A171,"dd"),Monthly_Pay_Model!$C$9:$C$39,0),4),INDEX(Monthly_Pay_Model!$A$9:$D$40,MATCH(TEXT(A172,"dd"),Monthly_Pay_Model!$C$9:$C$39,0),4),INDEX(Monthly_Pay_Model!$A$9:$D$40,MATCH(TEXT(A173,"dd"),Monthly_Pay_Model!$C$9:$C$39,0),4)),IF(VLOOKUP(A170,Calendar!$A$1:$R$1377,18,0)=5,SUM(INDEX(Monthly_Pay_Model!$A$9:$D$40,MATCH(TEXT(A170,"dd"),Monthly_Pay_Model!$C$9:$C$39,0),4),INDEX(Monthly_Pay_Model!$A$9:$D$40,MATCH(TEXT(A171,"dd"),Monthly_Pay_Model!$C$9:$C$39,0),4),INDEX(Monthly_Pay_Model!$A$9:$D$40,MATCH(TEXT(A172,"dd"),Monthly_Pay_Model!$C$9:$C$39,0),4),INDEX(Monthly_Pay_Model!$A$9:$D$40,MATCH(TEXT(A173,"dd"),Monthly_Pay_Model!$C$9:$C$39,0),4),INDEX(Monthly_Pay_Model!$A$9:$D$40,MATCH(TEXT(A174,"dd"),Monthly_Pay_Model!$C$9:$C$39,0),4)),))))))</f>
        <v>0</v>
      </c>
      <c r="J170" s="33">
        <f>IF(C170="Yes",Monthly_Pay_Model!$D$2,0)
+IF(Calendar!N170="Yes",Monthly_Pay_Model!$D$3,0)
+IF(D170="Yes",Monthly_Pay_Model!$D$4,0)
+IF(E170="Yes",Monthly_Pay_Model!$D$5,0)</f>
        <v>0</v>
      </c>
      <c r="K170" s="27">
        <f>IF(VLOOKUP($A170,Calendar!$A$1:$R$1377,18,0)=0,0,IF(VLOOKUP($A170,Calendar!$A$1:$R$1377,18,0)=1,IFERROR(INDEX(Weekly_Model!$D$2:$D$9,MATCH(F170,Weekly_Model!$A$2:$A$9,0)),0),IF(VLOOKUP($A170,Calendar!$A$1:$R$1377,18,0)=2,SUM(IFERROR(INDEX(Weekly_Model!$D$2:$D$9,MATCH(F170,Weekly_Model!$A$2:$A$9,0)),0),IFERROR(INDEX(Weekly_Model!$D$2:$D$9,MATCH(F171,Weekly_Model!$A$2:$A$9,0)),0)),IF(VLOOKUP($A170,Calendar!$A$1:$R$1377,18,0)=3,SUM(IFERROR(INDEX(Weekly_Model!$D$2:$D$9,MATCH(F170,Weekly_Model!$A$2:$A$9,0)),0),IFERROR(INDEX(Weekly_Model!$D$2:$D$9,MATCH(F171,Weekly_Model!$A$2:$A$9,0)),0),IFERROR(INDEX(Weekly_Model!$D$2:$D$9,MATCH(F172,Weekly_Model!$A$2:$A$9,0)),0)),IF(VLOOKUP($A170,Calendar!$A$1:$R$1377,18,0)=4,SUM(IFERROR(INDEX(Weekly_Model!$D$2:$D$9,MATCH(F170,Weekly_Model!$A$2:$A$9,0)),0),IFERROR(INDEX(Weekly_Model!$D$2:$D$9,MATCH(F171,Weekly_Model!$A$2:$A$9,0)),0),IFERROR(INDEX(Weekly_Model!$D$2:$D$9,MATCH(F172,Weekly_Model!$A$2:$A$9,0)),0),IFERROR(INDEX(Weekly_Model!$D$2:$D$9,MATCH(F173,Weekly_Model!$A$2:$A$9,0)),0)),IF(VLOOKUP($A170,Calendar!$A$1:$R$1377,18,0)=5,SUM(IFERROR(INDEX(Weekly_Model!$D$2:$D$9,MATCH(F170,Weekly_Model!$A$2:$A$9,0)),0),IFERROR(INDEX(Weekly_Model!$D$2:$D$9,MATCH(F171,Weekly_Model!$A$2:$A$9,0)),0),IFERROR(INDEX(Weekly_Model!$D$2:$D$9,MATCH(F172,Weekly_Model!$A$2:$A$9,0)),0),IFERROR(INDEX(Weekly_Model!$D$2:$D$9,MATCH(F173,Weekly_Model!$A$2:$A$9,0)),0),IFERROR(INDEX(Weekly_Model!$D$2:$D$9,MATCH(F174,Weekly_Model!$A$2:$A$9,0)),0)),0))))))</f>
        <v>0</v>
      </c>
      <c r="L170" s="27">
        <f>IF(VLOOKUP($A170,Calendar!$A$1:$R$1377,18,0)=0,0,IF(VLOOKUP($A170,Calendar!$A$1:$R$1377,18,0)=1,IFERROR(INDEX(Fortnightly_Model!$D$2:$D$15,MATCH(G170,Fortnightly_Model!$B$2:$B$15,0)),0),IF(VLOOKUP($A170,Calendar!$A$1:$R$1377,18,0)=2,SUM(IFERROR(INDEX(Fortnightly_Model!$D$2:$D$15,MATCH(G170,Fortnightly_Model!$B$2:$B$15,0)),0),IFERROR(INDEX(Fortnightly_Model!$D$2:$D$15,MATCH(G171,Fortnightly_Model!$B$2:$B$15,0)),0)),IF(VLOOKUP($A170,Calendar!$A$1:$R$1377,18,0)=3,SUM(IFERROR(INDEX(Fortnightly_Model!$D$2:$D$15,MATCH(G170,Fortnightly_Model!$B$2:$B$15,0)),0),IFERROR(INDEX(Fortnightly_Model!$D$2:$D$15,MATCH(G171,Fortnightly_Model!$B$2:$B$15,0)),0),IFERROR(INDEX(Fortnightly_Model!$D$2:$D$15,MATCH(G172,Fortnightly_Model!$B$2:$B$15,0)),0)),IF(VLOOKUP($A170,Calendar!$A$1:$R$1377,18,0)=4,SUM(IFERROR(INDEX(Fortnightly_Model!$D$2:$D$15,MATCH(G170,Fortnightly_Model!$B$2:$B$15,0)),0),IFERROR(INDEX(Fortnightly_Model!$D$2:$D$15,MATCH(G171,Fortnightly_Model!$B$2:$B$15,0)),0),IFERROR(INDEX(Fortnightly_Model!$D$2:$D$15,MATCH(G172,Fortnightly_Model!$B$2:$B$15,0)),0),IFERROR(INDEX(Fortnightly_Model!$D$2:$D$15,MATCH(G173,Fortnightly_Model!$B$2:$B$15,0)),0)),IF(VLOOKUP($A170,Calendar!$A$1:$R$1377,18,0)=5,SUM(IFERROR(INDEX(Fortnightly_Model!$D$2:$D$15,MATCH(G170,Fortnightly_Model!$B$2:$B$15,0)),0),IFERROR(INDEX(Fortnightly_Model!$D$2:$D$15,MATCH(G171,Fortnightly_Model!$B$2:$B$15,0)),0),IFERROR(INDEX(Fortnightly_Model!$D$2:$D$15,MATCH(G172,Fortnightly_Model!$B$2:$B$15,0)),0),IFERROR(INDEX(Fortnightly_Model!$D$2:$D$15,MATCH(G173,Fortnightly_Model!$B$2:$B$15,0)),0),IFERROR(INDEX(Fortnightly_Model!$D$2:$D$15,MATCH(G174,Fortnightly_Model!$B$2:$B$15,0)),0)),0))))))</f>
        <v>0</v>
      </c>
      <c r="M170" s="27">
        <f>IF(VLOOKUP($A170,Calendar!$A$1:$R$1377,18,0)=0,0,IF(VLOOKUP($A170,Calendar!$A$1:$R$1377,18,0)=1,IFERROR(INDEX(FourWeekly_Model!$D$2:$D$29,MATCH(H170,FourWeekly_Model!$B$2:$B$29,0)),0),IF(VLOOKUP($A170,Calendar!$A$1:$R$1377,18,0)=2,SUM(IFERROR(INDEX(FourWeekly_Model!$D$2:$D$29,MATCH(H170,FourWeekly_Model!$B$2:$B$29,0)),0),IFERROR(INDEX(FourWeekly_Model!$D$2:$D$29,MATCH(H171,FourWeekly_Model!$B$2:$B$29,0)),0)),IF(VLOOKUP($A170,Calendar!$A$1:$R$1377,18,0)=3,SUM(IFERROR(INDEX(FourWeekly_Model!$D$2:$D$29,MATCH(H170,FourWeekly_Model!$B$2:$B$29,0)),0),IFERROR(INDEX(FourWeekly_Model!$D$2:$D$29,MATCH(H171,FourWeekly_Model!$B$2:$B$29,0)),0),IFERROR(INDEX(FourWeekly_Model!$D$2:$D$29,MATCH(H172,FourWeekly_Model!$B$2:$B$29,0)),0)),IF(VLOOKUP($A170,Calendar!$A$1:$R$1377,18,0)=4,SUM(IFERROR(INDEX(FourWeekly_Model!$D$2:$D$29,MATCH(H170,FourWeekly_Model!$B$2:$B$29,0)),0),IFERROR(INDEX(FourWeekly_Model!$D$2:$D$29,MATCH(H171,FourWeekly_Model!$B$2:$B$29,0)),0),IFERROR(INDEX(FourWeekly_Model!$D$2:$D$29,MATCH(H172,FourWeekly_Model!$B$2:$B$29,0)),0),IFERROR(INDEX(FourWeekly_Model!$D$2:$D$29,MATCH(H173,FourWeekly_Model!$B$2:$B$29,0)),0)),IF(VLOOKUP($A170,Calendar!$A$1:$R$1377,18,0)=5,SUM(IFERROR(INDEX(FourWeekly_Model!$D$2:$D$29,MATCH(H170,FourWeekly_Model!$B$2:$B$29,0)),0),IFERROR(INDEX(FourWeekly_Model!$D$2:$D$29,MATCH(H171,FourWeekly_Model!$B$2:$B$29,0)),0),IFERROR(INDEX(FourWeekly_Model!$D$2:$D$29,MATCH(H172,FourWeekly_Model!$B$2:$B$29,0)),0),IFERROR(INDEX(FourWeekly_Model!$D$2:$D$29,MATCH(H173,FourWeekly_Model!$B$2:$B$29,0)),0),IFERROR(INDEX(FourWeekly_Model!$D$2:$D$29,MATCH(H174,FourWeekly_Model!$B$2:$B$29,0)),0)),0))))))</f>
        <v>0</v>
      </c>
      <c r="N170" s="27">
        <f>SUM(I170:M170)</f>
        <v>0</v>
      </c>
      <c r="O170" s="28">
        <f>Population_Data!$B$8*N170</f>
        <v>0</v>
      </c>
      <c r="P170" s="27">
        <f>IF(VLOOKUP($A170,Calendar!$A$1:$R$1377,18,0)=0,0,IF(VLOOKUP($A170,Calendar!$A$1:$R$1377,18,0)=1,IFERROR(INDEX(Pension_Model!$D$2:$D$29,MATCH(H170,Pension_Model!$B$2:$B$29,0)),0),IF(VLOOKUP($A170,Calendar!$A$1:$R$1377,18,0)=2,SUM(IFERROR(INDEX(Pension_Model!$D$2:$D$29,MATCH(H170,Pension_Model!$B$2:$B$29,0)),0),IFERROR(INDEX(Pension_Model!$D$2:$D$29,MATCH(H171,Pension_Model!$B$2:$B$29,0)),0)),IF(VLOOKUP($A170,Calendar!$A$1:$R$1377,18,0)=3,SUM(IFERROR(INDEX(Pension_Model!$D$2:$D$29,MATCH(H170,Pension_Model!$B$2:$B$29,0)),0),IFERROR(INDEX(Pension_Model!$D$2:$D$29,MATCH(H171,Pension_Model!$B$2:$B$29,0)),0),IFERROR(INDEX(Pension_Model!$D$2:$D$29,MATCH(H172,Pension_Model!$B$2:$B$29,0)),0)),IF(VLOOKUP($A170,Calendar!$A$1:$R$1377,18,0)=4,SUM(IFERROR(INDEX(Pension_Model!$D$2:$D$29,MATCH(H170,Pension_Model!$B$2:$B$29,0)),0),IFERROR(INDEX(Pension_Model!$D$2:$D$29,MATCH(H171,Pension_Model!$B$2:$B$29,0)),0),IFERROR(INDEX(Pension_Model!$D$2:$D$29,MATCH(H172,Pension_Model!$B$2:$B$29,0)),0),IFERROR(INDEX(Pension_Model!$D$2:$D$29,MATCH(H173,Pension_Model!$B$2:$B$29,0)),0)),IF(VLOOKUP($A170,Calendar!$A$1:$R$1377,18,0)=5,SUM(IFERROR(INDEX(Pension_Model!$D$2:$D$29,MATCH(H170,Pension_Model!$B$2:$B$29,0)),0),IFERROR(INDEX(Pension_Model!$D$2:$D$29,MATCH(H171,Pension_Model!$B$2:$B$29,0)),0),IFERROR(INDEX(Pension_Model!$D$2:$D$29,MATCH(H172,Pension_Model!$B$2:$B$29,0)),0),IFERROR(INDEX(Pension_Model!$D$2:$D$29,MATCH(H173,Pension_Model!$B$2:$B$29,0)),0),IFERROR(INDEX(Pension_Model!$D$2:$D$29,MATCH(H174,Pension_Model!$B$2:$B$29,0)),0)),0))))))</f>
        <v>0</v>
      </c>
      <c r="Q170" s="28">
        <f>Population_Data!$B$15*P170</f>
        <v>0</v>
      </c>
      <c r="S170">
        <f t="shared" si="2"/>
        <v>0</v>
      </c>
      <c r="U170" s="33">
        <f>S170/Population_Data!$B$19</f>
        <v>0</v>
      </c>
    </row>
    <row r="171" spans="1:21">
      <c r="A171" s="25">
        <f>Calendar!A171</f>
        <v>46404</v>
      </c>
      <c r="B171" t="str">
        <f>Calendar!L171</f>
        <v>No</v>
      </c>
      <c r="C171" t="str">
        <f>Calendar!O171</f>
        <v>No</v>
      </c>
      <c r="D171" t="str">
        <f>Calendar!P171</f>
        <v>No</v>
      </c>
      <c r="E171" t="str">
        <f>Calendar!Q171</f>
        <v>No</v>
      </c>
      <c r="F171" t="str">
        <f>Calendar!I171</f>
        <v>Sunday</v>
      </c>
      <c r="G171">
        <f>Calendar!S171</f>
        <v>8</v>
      </c>
      <c r="H171">
        <f>Calendar!T171</f>
        <v>8</v>
      </c>
      <c r="I171" s="27">
        <f>IF(VLOOKUP(A171,Calendar!$A$1:$R$1377,18,0)=0,0,IF(VLOOKUP(A171,Calendar!$A$1:$R$1377,18,0)=1,INDEX(Monthly_Pay_Model!$A$9:$D$40,MATCH(TEXT(A171,"dd"),Monthly_Pay_Model!$C$9:$C$39,0),4),IF(VLOOKUP(A171,Calendar!$A$1:$R$1377,18,0)=2,SUM(INDEX(Monthly_Pay_Model!$A$9:$D$40,MATCH(TEXT(A171,"dd"),Monthly_Pay_Model!$C$9:$C$39,0),4),INDEX(Monthly_Pay_Model!$A$9:$D$40,MATCH(TEXT(A172,"dd"),Monthly_Pay_Model!$C$9:$C$39,0),4)),IF(VLOOKUP(A171,Calendar!$A$1:$R$1377,18,0)=3,SUM(INDEX(Monthly_Pay_Model!$A$9:$D$40,MATCH(TEXT(A171,"dd"),Monthly_Pay_Model!$C$9:$C$39,0),4),INDEX(Monthly_Pay_Model!$A$9:$D$40,MATCH(TEXT(A172,"dd"),Monthly_Pay_Model!$C$9:$C$39,0),4),INDEX(Monthly_Pay_Model!$A$9:$D$40,MATCH(TEXT(A173,"dd"),Monthly_Pay_Model!$C$9:$C$39,0),4)),IF(VLOOKUP(A171,Calendar!$A$1:$R$1377,18,0)=4,SUM(INDEX(Monthly_Pay_Model!$A$9:$D$40,MATCH(TEXT(A171,"dd"),Monthly_Pay_Model!$C$9:$C$39,0),4),INDEX(Monthly_Pay_Model!$A$9:$D$40,MATCH(TEXT(A172,"dd"),Monthly_Pay_Model!$C$9:$C$39,0),4),INDEX(Monthly_Pay_Model!$A$9:$D$40,MATCH(TEXT(A173,"dd"),Monthly_Pay_Model!$C$9:$C$39,0),4),INDEX(Monthly_Pay_Model!$A$9:$D$40,MATCH(TEXT(A174,"dd"),Monthly_Pay_Model!$C$9:$C$39,0),4)),IF(VLOOKUP(A171,Calendar!$A$1:$R$1377,18,0)=5,SUM(INDEX(Monthly_Pay_Model!$A$9:$D$40,MATCH(TEXT(A171,"dd"),Monthly_Pay_Model!$C$9:$C$39,0),4),INDEX(Monthly_Pay_Model!$A$9:$D$40,MATCH(TEXT(A172,"dd"),Monthly_Pay_Model!$C$9:$C$39,0),4),INDEX(Monthly_Pay_Model!$A$9:$D$40,MATCH(TEXT(A173,"dd"),Monthly_Pay_Model!$C$9:$C$39,0),4),INDEX(Monthly_Pay_Model!$A$9:$D$40,MATCH(TEXT(A174,"dd"),Monthly_Pay_Model!$C$9:$C$39,0),4),INDEX(Monthly_Pay_Model!$A$9:$D$40,MATCH(TEXT(A175,"dd"),Monthly_Pay_Model!$C$9:$C$39,0),4)),))))))</f>
        <v>0</v>
      </c>
      <c r="J171" s="33">
        <f>IF(C171="Yes",Monthly_Pay_Model!$D$2,0)
+IF(Calendar!N171="Yes",Monthly_Pay_Model!$D$3,0)
+IF(D171="Yes",Monthly_Pay_Model!$D$4,0)
+IF(E171="Yes",Monthly_Pay_Model!$D$5,0)</f>
        <v>0</v>
      </c>
      <c r="K171" s="27">
        <f>IF(VLOOKUP($A171,Calendar!$A$1:$R$1377,18,0)=0,0,IF(VLOOKUP($A171,Calendar!$A$1:$R$1377,18,0)=1,IFERROR(INDEX(Weekly_Model!$D$2:$D$9,MATCH(F171,Weekly_Model!$A$2:$A$9,0)),0),IF(VLOOKUP($A171,Calendar!$A$1:$R$1377,18,0)=2,SUM(IFERROR(INDEX(Weekly_Model!$D$2:$D$9,MATCH(F171,Weekly_Model!$A$2:$A$9,0)),0),IFERROR(INDEX(Weekly_Model!$D$2:$D$9,MATCH(F172,Weekly_Model!$A$2:$A$9,0)),0)),IF(VLOOKUP($A171,Calendar!$A$1:$R$1377,18,0)=3,SUM(IFERROR(INDEX(Weekly_Model!$D$2:$D$9,MATCH(F171,Weekly_Model!$A$2:$A$9,0)),0),IFERROR(INDEX(Weekly_Model!$D$2:$D$9,MATCH(F172,Weekly_Model!$A$2:$A$9,0)),0),IFERROR(INDEX(Weekly_Model!$D$2:$D$9,MATCH(F173,Weekly_Model!$A$2:$A$9,0)),0)),IF(VLOOKUP($A171,Calendar!$A$1:$R$1377,18,0)=4,SUM(IFERROR(INDEX(Weekly_Model!$D$2:$D$9,MATCH(F171,Weekly_Model!$A$2:$A$9,0)),0),IFERROR(INDEX(Weekly_Model!$D$2:$D$9,MATCH(F172,Weekly_Model!$A$2:$A$9,0)),0),IFERROR(INDEX(Weekly_Model!$D$2:$D$9,MATCH(F173,Weekly_Model!$A$2:$A$9,0)),0),IFERROR(INDEX(Weekly_Model!$D$2:$D$9,MATCH(F174,Weekly_Model!$A$2:$A$9,0)),0)),IF(VLOOKUP($A171,Calendar!$A$1:$R$1377,18,0)=5,SUM(IFERROR(INDEX(Weekly_Model!$D$2:$D$9,MATCH(F171,Weekly_Model!$A$2:$A$9,0)),0),IFERROR(INDEX(Weekly_Model!$D$2:$D$9,MATCH(F172,Weekly_Model!$A$2:$A$9,0)),0),IFERROR(INDEX(Weekly_Model!$D$2:$D$9,MATCH(F173,Weekly_Model!$A$2:$A$9,0)),0),IFERROR(INDEX(Weekly_Model!$D$2:$D$9,MATCH(F174,Weekly_Model!$A$2:$A$9,0)),0),IFERROR(INDEX(Weekly_Model!$D$2:$D$9,MATCH(F175,Weekly_Model!$A$2:$A$9,0)),0)),0))))))</f>
        <v>0</v>
      </c>
      <c r="L171" s="27">
        <f>IF(VLOOKUP($A171,Calendar!$A$1:$R$1377,18,0)=0,0,IF(VLOOKUP($A171,Calendar!$A$1:$R$1377,18,0)=1,IFERROR(INDEX(Fortnightly_Model!$D$2:$D$15,MATCH(G171,Fortnightly_Model!$B$2:$B$15,0)),0),IF(VLOOKUP($A171,Calendar!$A$1:$R$1377,18,0)=2,SUM(IFERROR(INDEX(Fortnightly_Model!$D$2:$D$15,MATCH(G171,Fortnightly_Model!$B$2:$B$15,0)),0),IFERROR(INDEX(Fortnightly_Model!$D$2:$D$15,MATCH(G172,Fortnightly_Model!$B$2:$B$15,0)),0)),IF(VLOOKUP($A171,Calendar!$A$1:$R$1377,18,0)=3,SUM(IFERROR(INDEX(Fortnightly_Model!$D$2:$D$15,MATCH(G171,Fortnightly_Model!$B$2:$B$15,0)),0),IFERROR(INDEX(Fortnightly_Model!$D$2:$D$15,MATCH(G172,Fortnightly_Model!$B$2:$B$15,0)),0),IFERROR(INDEX(Fortnightly_Model!$D$2:$D$15,MATCH(G173,Fortnightly_Model!$B$2:$B$15,0)),0)),IF(VLOOKUP($A171,Calendar!$A$1:$R$1377,18,0)=4,SUM(IFERROR(INDEX(Fortnightly_Model!$D$2:$D$15,MATCH(G171,Fortnightly_Model!$B$2:$B$15,0)),0),IFERROR(INDEX(Fortnightly_Model!$D$2:$D$15,MATCH(G172,Fortnightly_Model!$B$2:$B$15,0)),0),IFERROR(INDEX(Fortnightly_Model!$D$2:$D$15,MATCH(G173,Fortnightly_Model!$B$2:$B$15,0)),0),IFERROR(INDEX(Fortnightly_Model!$D$2:$D$15,MATCH(G174,Fortnightly_Model!$B$2:$B$15,0)),0)),IF(VLOOKUP($A171,Calendar!$A$1:$R$1377,18,0)=5,SUM(IFERROR(INDEX(Fortnightly_Model!$D$2:$D$15,MATCH(G171,Fortnightly_Model!$B$2:$B$15,0)),0),IFERROR(INDEX(Fortnightly_Model!$D$2:$D$15,MATCH(G172,Fortnightly_Model!$B$2:$B$15,0)),0),IFERROR(INDEX(Fortnightly_Model!$D$2:$D$15,MATCH(G173,Fortnightly_Model!$B$2:$B$15,0)),0),IFERROR(INDEX(Fortnightly_Model!$D$2:$D$15,MATCH(G174,Fortnightly_Model!$B$2:$B$15,0)),0),IFERROR(INDEX(Fortnightly_Model!$D$2:$D$15,MATCH(G175,Fortnightly_Model!$B$2:$B$15,0)),0)),0))))))</f>
        <v>0</v>
      </c>
      <c r="M171" s="27">
        <f>IF(VLOOKUP($A171,Calendar!$A$1:$R$1377,18,0)=0,0,IF(VLOOKUP($A171,Calendar!$A$1:$R$1377,18,0)=1,IFERROR(INDEX(FourWeekly_Model!$D$2:$D$29,MATCH(H171,FourWeekly_Model!$B$2:$B$29,0)),0),IF(VLOOKUP($A171,Calendar!$A$1:$R$1377,18,0)=2,SUM(IFERROR(INDEX(FourWeekly_Model!$D$2:$D$29,MATCH(H171,FourWeekly_Model!$B$2:$B$29,0)),0),IFERROR(INDEX(FourWeekly_Model!$D$2:$D$29,MATCH(H172,FourWeekly_Model!$B$2:$B$29,0)),0)),IF(VLOOKUP($A171,Calendar!$A$1:$R$1377,18,0)=3,SUM(IFERROR(INDEX(FourWeekly_Model!$D$2:$D$29,MATCH(H171,FourWeekly_Model!$B$2:$B$29,0)),0),IFERROR(INDEX(FourWeekly_Model!$D$2:$D$29,MATCH(H172,FourWeekly_Model!$B$2:$B$29,0)),0),IFERROR(INDEX(FourWeekly_Model!$D$2:$D$29,MATCH(H173,FourWeekly_Model!$B$2:$B$29,0)),0)),IF(VLOOKUP($A171,Calendar!$A$1:$R$1377,18,0)=4,SUM(IFERROR(INDEX(FourWeekly_Model!$D$2:$D$29,MATCH(H171,FourWeekly_Model!$B$2:$B$29,0)),0),IFERROR(INDEX(FourWeekly_Model!$D$2:$D$29,MATCH(H172,FourWeekly_Model!$B$2:$B$29,0)),0),IFERROR(INDEX(FourWeekly_Model!$D$2:$D$29,MATCH(H173,FourWeekly_Model!$B$2:$B$29,0)),0),IFERROR(INDEX(FourWeekly_Model!$D$2:$D$29,MATCH(H174,FourWeekly_Model!$B$2:$B$29,0)),0)),IF(VLOOKUP($A171,Calendar!$A$1:$R$1377,18,0)=5,SUM(IFERROR(INDEX(FourWeekly_Model!$D$2:$D$29,MATCH(H171,FourWeekly_Model!$B$2:$B$29,0)),0),IFERROR(INDEX(FourWeekly_Model!$D$2:$D$29,MATCH(H172,FourWeekly_Model!$B$2:$B$29,0)),0),IFERROR(INDEX(FourWeekly_Model!$D$2:$D$29,MATCH(H173,FourWeekly_Model!$B$2:$B$29,0)),0),IFERROR(INDEX(FourWeekly_Model!$D$2:$D$29,MATCH(H174,FourWeekly_Model!$B$2:$B$29,0)),0),IFERROR(INDEX(FourWeekly_Model!$D$2:$D$29,MATCH(H175,FourWeekly_Model!$B$2:$B$29,0)),0)),0))))))</f>
        <v>0</v>
      </c>
      <c r="N171" s="27">
        <f>SUM(I171:M171)</f>
        <v>0</v>
      </c>
      <c r="O171" s="28">
        <f>Population_Data!$B$8*N171</f>
        <v>0</v>
      </c>
      <c r="P171" s="27">
        <f>IF(VLOOKUP($A171,Calendar!$A$1:$R$1377,18,0)=0,0,IF(VLOOKUP($A171,Calendar!$A$1:$R$1377,18,0)=1,IFERROR(INDEX(Pension_Model!$D$2:$D$29,MATCH(H171,Pension_Model!$B$2:$B$29,0)),0),IF(VLOOKUP($A171,Calendar!$A$1:$R$1377,18,0)=2,SUM(IFERROR(INDEX(Pension_Model!$D$2:$D$29,MATCH(H171,Pension_Model!$B$2:$B$29,0)),0),IFERROR(INDEX(Pension_Model!$D$2:$D$29,MATCH(H172,Pension_Model!$B$2:$B$29,0)),0)),IF(VLOOKUP($A171,Calendar!$A$1:$R$1377,18,0)=3,SUM(IFERROR(INDEX(Pension_Model!$D$2:$D$29,MATCH(H171,Pension_Model!$B$2:$B$29,0)),0),IFERROR(INDEX(Pension_Model!$D$2:$D$29,MATCH(H172,Pension_Model!$B$2:$B$29,0)),0),IFERROR(INDEX(Pension_Model!$D$2:$D$29,MATCH(H173,Pension_Model!$B$2:$B$29,0)),0)),IF(VLOOKUP($A171,Calendar!$A$1:$R$1377,18,0)=4,SUM(IFERROR(INDEX(Pension_Model!$D$2:$D$29,MATCH(H171,Pension_Model!$B$2:$B$29,0)),0),IFERROR(INDEX(Pension_Model!$D$2:$D$29,MATCH(H172,Pension_Model!$B$2:$B$29,0)),0),IFERROR(INDEX(Pension_Model!$D$2:$D$29,MATCH(H173,Pension_Model!$B$2:$B$29,0)),0),IFERROR(INDEX(Pension_Model!$D$2:$D$29,MATCH(H174,Pension_Model!$B$2:$B$29,0)),0)),IF(VLOOKUP($A171,Calendar!$A$1:$R$1377,18,0)=5,SUM(IFERROR(INDEX(Pension_Model!$D$2:$D$29,MATCH(H171,Pension_Model!$B$2:$B$29,0)),0),IFERROR(INDEX(Pension_Model!$D$2:$D$29,MATCH(H172,Pension_Model!$B$2:$B$29,0)),0),IFERROR(INDEX(Pension_Model!$D$2:$D$29,MATCH(H173,Pension_Model!$B$2:$B$29,0)),0),IFERROR(INDEX(Pension_Model!$D$2:$D$29,MATCH(H174,Pension_Model!$B$2:$B$29,0)),0),IFERROR(INDEX(Pension_Model!$D$2:$D$29,MATCH(H175,Pension_Model!$B$2:$B$29,0)),0)),0))))))</f>
        <v>0</v>
      </c>
      <c r="Q171" s="28">
        <f>Population_Data!$B$15*P171</f>
        <v>0</v>
      </c>
      <c r="S171">
        <f t="shared" si="2"/>
        <v>0</v>
      </c>
      <c r="U171" s="33">
        <f>S171/Population_Data!$B$19</f>
        <v>0</v>
      </c>
    </row>
    <row r="172" spans="1:21">
      <c r="A172" s="25">
        <f>Calendar!A172</f>
        <v>46405</v>
      </c>
      <c r="B172" t="str">
        <f>Calendar!L172</f>
        <v>Yes</v>
      </c>
      <c r="C172" t="str">
        <f>Calendar!O172</f>
        <v>No</v>
      </c>
      <c r="D172" t="str">
        <f>Calendar!P172</f>
        <v>No</v>
      </c>
      <c r="E172" t="str">
        <f>Calendar!Q172</f>
        <v>No</v>
      </c>
      <c r="F172" t="str">
        <f>Calendar!I172</f>
        <v>Monday</v>
      </c>
      <c r="G172">
        <f>Calendar!S172</f>
        <v>9</v>
      </c>
      <c r="H172">
        <f>Calendar!T172</f>
        <v>9</v>
      </c>
      <c r="I172" s="27">
        <f>IF(VLOOKUP(A172,Calendar!$A$1:$R$1377,18,0)=0,0,IF(VLOOKUP(A172,Calendar!$A$1:$R$1377,18,0)=1,INDEX(Monthly_Pay_Model!$A$9:$D$40,MATCH(TEXT(A172,"dd"),Monthly_Pay_Model!$C$9:$C$39,0),4),IF(VLOOKUP(A172,Calendar!$A$1:$R$1377,18,0)=2,SUM(INDEX(Monthly_Pay_Model!$A$9:$D$40,MATCH(TEXT(A172,"dd"),Monthly_Pay_Model!$C$9:$C$39,0),4),INDEX(Monthly_Pay_Model!$A$9:$D$40,MATCH(TEXT(A173,"dd"),Monthly_Pay_Model!$C$9:$C$39,0),4)),IF(VLOOKUP(A172,Calendar!$A$1:$R$1377,18,0)=3,SUM(INDEX(Monthly_Pay_Model!$A$9:$D$40,MATCH(TEXT(A172,"dd"),Monthly_Pay_Model!$C$9:$C$39,0),4),INDEX(Monthly_Pay_Model!$A$9:$D$40,MATCH(TEXT(A173,"dd"),Monthly_Pay_Model!$C$9:$C$39,0),4),INDEX(Monthly_Pay_Model!$A$9:$D$40,MATCH(TEXT(A174,"dd"),Monthly_Pay_Model!$C$9:$C$39,0),4)),IF(VLOOKUP(A172,Calendar!$A$1:$R$1377,18,0)=4,SUM(INDEX(Monthly_Pay_Model!$A$9:$D$40,MATCH(TEXT(A172,"dd"),Monthly_Pay_Model!$C$9:$C$39,0),4),INDEX(Monthly_Pay_Model!$A$9:$D$40,MATCH(TEXT(A173,"dd"),Monthly_Pay_Model!$C$9:$C$39,0),4),INDEX(Monthly_Pay_Model!$A$9:$D$40,MATCH(TEXT(A174,"dd"),Monthly_Pay_Model!$C$9:$C$39,0),4),INDEX(Monthly_Pay_Model!$A$9:$D$40,MATCH(TEXT(A175,"dd"),Monthly_Pay_Model!$C$9:$C$39,0),4)),IF(VLOOKUP(A172,Calendar!$A$1:$R$1377,18,0)=5,SUM(INDEX(Monthly_Pay_Model!$A$9:$D$40,MATCH(TEXT(A172,"dd"),Monthly_Pay_Model!$C$9:$C$39,0),4),INDEX(Monthly_Pay_Model!$A$9:$D$40,MATCH(TEXT(A173,"dd"),Monthly_Pay_Model!$C$9:$C$39,0),4),INDEX(Monthly_Pay_Model!$A$9:$D$40,MATCH(TEXT(A174,"dd"),Monthly_Pay_Model!$C$9:$C$39,0),4),INDEX(Monthly_Pay_Model!$A$9:$D$40,MATCH(TEXT(A175,"dd"),Monthly_Pay_Model!$C$9:$C$39,0),4),INDEX(Monthly_Pay_Model!$A$9:$D$40,MATCH(TEXT(A176,"dd"),Monthly_Pay_Model!$C$9:$C$39,0),4)),))))))</f>
        <v>2.4376963350785331E-3</v>
      </c>
      <c r="J172" s="33">
        <f>IF(C172="Yes",Monthly_Pay_Model!$D$2,0)
+IF(Calendar!N172="Yes",Monthly_Pay_Model!$D$3,0)
+IF(D172="Yes",Monthly_Pay_Model!$D$4,0)
+IF(E172="Yes",Monthly_Pay_Model!$D$5,0)</f>
        <v>0</v>
      </c>
      <c r="K172" s="27">
        <f>IF(VLOOKUP($A172,Calendar!$A$1:$R$1377,18,0)=0,0,IF(VLOOKUP($A172,Calendar!$A$1:$R$1377,18,0)=1,IFERROR(INDEX(Weekly_Model!$D$2:$D$9,MATCH(F172,Weekly_Model!$A$2:$A$9,0)),0),IF(VLOOKUP($A172,Calendar!$A$1:$R$1377,18,0)=2,SUM(IFERROR(INDEX(Weekly_Model!$D$2:$D$9,MATCH(F172,Weekly_Model!$A$2:$A$9,0)),0),IFERROR(INDEX(Weekly_Model!$D$2:$D$9,MATCH(F173,Weekly_Model!$A$2:$A$9,0)),0)),IF(VLOOKUP($A172,Calendar!$A$1:$R$1377,18,0)=3,SUM(IFERROR(INDEX(Weekly_Model!$D$2:$D$9,MATCH(F172,Weekly_Model!$A$2:$A$9,0)),0),IFERROR(INDEX(Weekly_Model!$D$2:$D$9,MATCH(F173,Weekly_Model!$A$2:$A$9,0)),0),IFERROR(INDEX(Weekly_Model!$D$2:$D$9,MATCH(F174,Weekly_Model!$A$2:$A$9,0)),0)),IF(VLOOKUP($A172,Calendar!$A$1:$R$1377,18,0)=4,SUM(IFERROR(INDEX(Weekly_Model!$D$2:$D$9,MATCH(F172,Weekly_Model!$A$2:$A$9,0)),0),IFERROR(INDEX(Weekly_Model!$D$2:$D$9,MATCH(F173,Weekly_Model!$A$2:$A$9,0)),0),IFERROR(INDEX(Weekly_Model!$D$2:$D$9,MATCH(F174,Weekly_Model!$A$2:$A$9,0)),0),IFERROR(INDEX(Weekly_Model!$D$2:$D$9,MATCH(F175,Weekly_Model!$A$2:$A$9,0)),0)),IF(VLOOKUP($A172,Calendar!$A$1:$R$1377,18,0)=5,SUM(IFERROR(INDEX(Weekly_Model!$D$2:$D$9,MATCH(F172,Weekly_Model!$A$2:$A$9,0)),0),IFERROR(INDEX(Weekly_Model!$D$2:$D$9,MATCH(F173,Weekly_Model!$A$2:$A$9,0)),0),IFERROR(INDEX(Weekly_Model!$D$2:$D$9,MATCH(F174,Weekly_Model!$A$2:$A$9,0)),0),IFERROR(INDEX(Weekly_Model!$D$2:$D$9,MATCH(F175,Weekly_Model!$A$2:$A$9,0)),0),IFERROR(INDEX(Weekly_Model!$D$2:$D$9,MATCH(F176,Weekly_Model!$A$2:$A$9,0)),0)),0))))))</f>
        <v>2.3200000000000002E-2</v>
      </c>
      <c r="L172" s="27">
        <f>IF(VLOOKUP($A172,Calendar!$A$1:$R$1377,18,0)=0,0,IF(VLOOKUP($A172,Calendar!$A$1:$R$1377,18,0)=1,IFERROR(INDEX(Fortnightly_Model!$D$2:$D$15,MATCH(G172,Fortnightly_Model!$B$2:$B$15,0)),0),IF(VLOOKUP($A172,Calendar!$A$1:$R$1377,18,0)=2,SUM(IFERROR(INDEX(Fortnightly_Model!$D$2:$D$15,MATCH(G172,Fortnightly_Model!$B$2:$B$15,0)),0),IFERROR(INDEX(Fortnightly_Model!$D$2:$D$15,MATCH(G173,Fortnightly_Model!$B$2:$B$15,0)),0)),IF(VLOOKUP($A172,Calendar!$A$1:$R$1377,18,0)=3,SUM(IFERROR(INDEX(Fortnightly_Model!$D$2:$D$15,MATCH(G172,Fortnightly_Model!$B$2:$B$15,0)),0),IFERROR(INDEX(Fortnightly_Model!$D$2:$D$15,MATCH(G173,Fortnightly_Model!$B$2:$B$15,0)),0),IFERROR(INDEX(Fortnightly_Model!$D$2:$D$15,MATCH(G174,Fortnightly_Model!$B$2:$B$15,0)),0)),IF(VLOOKUP($A172,Calendar!$A$1:$R$1377,18,0)=4,SUM(IFERROR(INDEX(Fortnightly_Model!$D$2:$D$15,MATCH(G172,Fortnightly_Model!$B$2:$B$15,0)),0),IFERROR(INDEX(Fortnightly_Model!$D$2:$D$15,MATCH(G173,Fortnightly_Model!$B$2:$B$15,0)),0),IFERROR(INDEX(Fortnightly_Model!$D$2:$D$15,MATCH(G174,Fortnightly_Model!$B$2:$B$15,0)),0),IFERROR(INDEX(Fortnightly_Model!$D$2:$D$15,MATCH(G175,Fortnightly_Model!$B$2:$B$15,0)),0)),IF(VLOOKUP($A172,Calendar!$A$1:$R$1377,18,0)=5,SUM(IFERROR(INDEX(Fortnightly_Model!$D$2:$D$15,MATCH(G172,Fortnightly_Model!$B$2:$B$15,0)),0),IFERROR(INDEX(Fortnightly_Model!$D$2:$D$15,MATCH(G173,Fortnightly_Model!$B$2:$B$15,0)),0),IFERROR(INDEX(Fortnightly_Model!$D$2:$D$15,MATCH(G174,Fortnightly_Model!$B$2:$B$15,0)),0),IFERROR(INDEX(Fortnightly_Model!$D$2:$D$15,MATCH(G175,Fortnightly_Model!$B$2:$B$15,0)),0),IFERROR(INDEX(Fortnightly_Model!$D$2:$D$15,MATCH(G176,Fortnightly_Model!$B$2:$B$15,0)),0)),0))))))</f>
        <v>1.0714285499999999E-3</v>
      </c>
      <c r="M172" s="27">
        <f>IF(VLOOKUP($A172,Calendar!$A$1:$R$1377,18,0)=0,0,IF(VLOOKUP($A172,Calendar!$A$1:$R$1377,18,0)=1,IFERROR(INDEX(FourWeekly_Model!$D$2:$D$29,MATCH(H172,FourWeekly_Model!$B$2:$B$29,0)),0),IF(VLOOKUP($A172,Calendar!$A$1:$R$1377,18,0)=2,SUM(IFERROR(INDEX(FourWeekly_Model!$D$2:$D$29,MATCH(H172,FourWeekly_Model!$B$2:$B$29,0)),0),IFERROR(INDEX(FourWeekly_Model!$D$2:$D$29,MATCH(H173,FourWeekly_Model!$B$2:$B$29,0)),0)),IF(VLOOKUP($A172,Calendar!$A$1:$R$1377,18,0)=3,SUM(IFERROR(INDEX(FourWeekly_Model!$D$2:$D$29,MATCH(H172,FourWeekly_Model!$B$2:$B$29,0)),0),IFERROR(INDEX(FourWeekly_Model!$D$2:$D$29,MATCH(H173,FourWeekly_Model!$B$2:$B$29,0)),0),IFERROR(INDEX(FourWeekly_Model!$D$2:$D$29,MATCH(H174,FourWeekly_Model!$B$2:$B$29,0)),0)),IF(VLOOKUP($A172,Calendar!$A$1:$R$1377,18,0)=4,SUM(IFERROR(INDEX(FourWeekly_Model!$D$2:$D$29,MATCH(H172,FourWeekly_Model!$B$2:$B$29,0)),0),IFERROR(INDEX(FourWeekly_Model!$D$2:$D$29,MATCH(H173,FourWeekly_Model!$B$2:$B$29,0)),0),IFERROR(INDEX(FourWeekly_Model!$D$2:$D$29,MATCH(H174,FourWeekly_Model!$B$2:$B$29,0)),0),IFERROR(INDEX(FourWeekly_Model!$D$2:$D$29,MATCH(H175,FourWeekly_Model!$B$2:$B$29,0)),0)),IF(VLOOKUP($A172,Calendar!$A$1:$R$1377,18,0)=5,SUM(IFERROR(INDEX(FourWeekly_Model!$D$2:$D$29,MATCH(H172,FourWeekly_Model!$B$2:$B$29,0)),0),IFERROR(INDEX(FourWeekly_Model!$D$2:$D$29,MATCH(H173,FourWeekly_Model!$B$2:$B$29,0)),0),IFERROR(INDEX(FourWeekly_Model!$D$2:$D$29,MATCH(H174,FourWeekly_Model!$B$2:$B$29,0)),0),IFERROR(INDEX(FourWeekly_Model!$D$2:$D$29,MATCH(H175,FourWeekly_Model!$B$2:$B$29,0)),0),IFERROR(INDEX(FourWeekly_Model!$D$2:$D$29,MATCH(H176,FourWeekly_Model!$B$2:$B$29,0)),0)),0))))))</f>
        <v>3.3214289700000004E-3</v>
      </c>
      <c r="N172" s="27">
        <f>SUM(I172:M172)</f>
        <v>3.0030553855078537E-2</v>
      </c>
      <c r="O172" s="28">
        <f>Population_Data!$B$8*N172</f>
        <v>909925.78180887969</v>
      </c>
      <c r="P172" s="27">
        <f>IF(VLOOKUP($A172,Calendar!$A$1:$R$1377,18,0)=0,0,IF(VLOOKUP($A172,Calendar!$A$1:$R$1377,18,0)=1,IFERROR(INDEX(Pension_Model!$D$2:$D$29,MATCH(H172,Pension_Model!$B$2:$B$29,0)),0),IF(VLOOKUP($A172,Calendar!$A$1:$R$1377,18,0)=2,SUM(IFERROR(INDEX(Pension_Model!$D$2:$D$29,MATCH(H172,Pension_Model!$B$2:$B$29,0)),0),IFERROR(INDEX(Pension_Model!$D$2:$D$29,MATCH(H173,Pension_Model!$B$2:$B$29,0)),0)),IF(VLOOKUP($A172,Calendar!$A$1:$R$1377,18,0)=3,SUM(IFERROR(INDEX(Pension_Model!$D$2:$D$29,MATCH(H172,Pension_Model!$B$2:$B$29,0)),0),IFERROR(INDEX(Pension_Model!$D$2:$D$29,MATCH(H173,Pension_Model!$B$2:$B$29,0)),0),IFERROR(INDEX(Pension_Model!$D$2:$D$29,MATCH(H174,Pension_Model!$B$2:$B$29,0)),0)),IF(VLOOKUP($A172,Calendar!$A$1:$R$1377,18,0)=4,SUM(IFERROR(INDEX(Pension_Model!$D$2:$D$29,MATCH(H172,Pension_Model!$B$2:$B$29,0)),0),IFERROR(INDEX(Pension_Model!$D$2:$D$29,MATCH(H173,Pension_Model!$B$2:$B$29,0)),0),IFERROR(INDEX(Pension_Model!$D$2:$D$29,MATCH(H174,Pension_Model!$B$2:$B$29,0)),0),IFERROR(INDEX(Pension_Model!$D$2:$D$29,MATCH(H175,Pension_Model!$B$2:$B$29,0)),0)),IF(VLOOKUP($A172,Calendar!$A$1:$R$1377,18,0)=5,SUM(IFERROR(INDEX(Pension_Model!$D$2:$D$29,MATCH(H172,Pension_Model!$B$2:$B$29,0)),0),IFERROR(INDEX(Pension_Model!$D$2:$D$29,MATCH(H173,Pension_Model!$B$2:$B$29,0)),0),IFERROR(INDEX(Pension_Model!$D$2:$D$29,MATCH(H174,Pension_Model!$B$2:$B$29,0)),0),IFERROR(INDEX(Pension_Model!$D$2:$D$29,MATCH(H175,Pension_Model!$B$2:$B$29,0)),0),IFERROR(INDEX(Pension_Model!$D$2:$D$29,MATCH(H176,Pension_Model!$B$2:$B$29,0)),0)),0))))))</f>
        <v>0.05</v>
      </c>
      <c r="Q172" s="28">
        <f>Population_Data!$B$15*P172</f>
        <v>660600</v>
      </c>
      <c r="S172">
        <f t="shared" si="2"/>
        <v>1570525.7818088797</v>
      </c>
      <c r="U172" s="33">
        <f>S172/Population_Data!$B$19</f>
        <v>2.8451554018276808E-2</v>
      </c>
    </row>
    <row r="173" spans="1:21">
      <c r="A173" s="25">
        <f>Calendar!A173</f>
        <v>46406</v>
      </c>
      <c r="B173" t="str">
        <f>Calendar!L173</f>
        <v>Yes</v>
      </c>
      <c r="C173" t="str">
        <f>Calendar!O173</f>
        <v>No</v>
      </c>
      <c r="D173" t="str">
        <f>Calendar!P173</f>
        <v>No</v>
      </c>
      <c r="E173" t="str">
        <f>Calendar!Q173</f>
        <v>No</v>
      </c>
      <c r="F173" t="str">
        <f>Calendar!I173</f>
        <v>Tuesday</v>
      </c>
      <c r="G173">
        <f>Calendar!S173</f>
        <v>10</v>
      </c>
      <c r="H173">
        <f>Calendar!T173</f>
        <v>10</v>
      </c>
      <c r="I173" s="27">
        <f>IF(VLOOKUP(A173,Calendar!$A$1:$R$1377,18,0)=0,0,IF(VLOOKUP(A173,Calendar!$A$1:$R$1377,18,0)=1,INDEX(Monthly_Pay_Model!$A$9:$D$40,MATCH(TEXT(A173,"dd"),Monthly_Pay_Model!$C$9:$C$39,0),4),IF(VLOOKUP(A173,Calendar!$A$1:$R$1377,18,0)=2,SUM(INDEX(Monthly_Pay_Model!$A$9:$D$40,MATCH(TEXT(A173,"dd"),Monthly_Pay_Model!$C$9:$C$39,0),4),INDEX(Monthly_Pay_Model!$A$9:$D$40,MATCH(TEXT(A174,"dd"),Monthly_Pay_Model!$C$9:$C$39,0),4)),IF(VLOOKUP(A173,Calendar!$A$1:$R$1377,18,0)=3,SUM(INDEX(Monthly_Pay_Model!$A$9:$D$40,MATCH(TEXT(A173,"dd"),Monthly_Pay_Model!$C$9:$C$39,0),4),INDEX(Monthly_Pay_Model!$A$9:$D$40,MATCH(TEXT(A174,"dd"),Monthly_Pay_Model!$C$9:$C$39,0),4),INDEX(Monthly_Pay_Model!$A$9:$D$40,MATCH(TEXT(A175,"dd"),Monthly_Pay_Model!$C$9:$C$39,0),4)),IF(VLOOKUP(A173,Calendar!$A$1:$R$1377,18,0)=4,SUM(INDEX(Monthly_Pay_Model!$A$9:$D$40,MATCH(TEXT(A173,"dd"),Monthly_Pay_Model!$C$9:$C$39,0),4),INDEX(Monthly_Pay_Model!$A$9:$D$40,MATCH(TEXT(A174,"dd"),Monthly_Pay_Model!$C$9:$C$39,0),4),INDEX(Monthly_Pay_Model!$A$9:$D$40,MATCH(TEXT(A175,"dd"),Monthly_Pay_Model!$C$9:$C$39,0),4),INDEX(Monthly_Pay_Model!$A$9:$D$40,MATCH(TEXT(A176,"dd"),Monthly_Pay_Model!$C$9:$C$39,0),4)),IF(VLOOKUP(A173,Calendar!$A$1:$R$1377,18,0)=5,SUM(INDEX(Monthly_Pay_Model!$A$9:$D$40,MATCH(TEXT(A173,"dd"),Monthly_Pay_Model!$C$9:$C$39,0),4),INDEX(Monthly_Pay_Model!$A$9:$D$40,MATCH(TEXT(A174,"dd"),Monthly_Pay_Model!$C$9:$C$39,0),4),INDEX(Monthly_Pay_Model!$A$9:$D$40,MATCH(TEXT(A175,"dd"),Monthly_Pay_Model!$C$9:$C$39,0),4),INDEX(Monthly_Pay_Model!$A$9:$D$40,MATCH(TEXT(A176,"dd"),Monthly_Pay_Model!$C$9:$C$39,0),4),INDEX(Monthly_Pay_Model!$A$9:$D$40,MATCH(TEXT(A177,"dd"),Monthly_Pay_Model!$C$9:$C$39,0),4)),))))))</f>
        <v>1.6251308900523558E-3</v>
      </c>
      <c r="J173" s="33">
        <f>IF(C173="Yes",Monthly_Pay_Model!$D$2,0)
+IF(Calendar!N173="Yes",Monthly_Pay_Model!$D$3,0)
+IF(D173="Yes",Monthly_Pay_Model!$D$4,0)
+IF(E173="Yes",Monthly_Pay_Model!$D$5,0)</f>
        <v>0</v>
      </c>
      <c r="K173" s="27">
        <f>IF(VLOOKUP($A173,Calendar!$A$1:$R$1377,18,0)=0,0,IF(VLOOKUP($A173,Calendar!$A$1:$R$1377,18,0)=1,IFERROR(INDEX(Weekly_Model!$D$2:$D$9,MATCH(F173,Weekly_Model!$A$2:$A$9,0)),0),IF(VLOOKUP($A173,Calendar!$A$1:$R$1377,18,0)=2,SUM(IFERROR(INDEX(Weekly_Model!$D$2:$D$9,MATCH(F173,Weekly_Model!$A$2:$A$9,0)),0),IFERROR(INDEX(Weekly_Model!$D$2:$D$9,MATCH(F174,Weekly_Model!$A$2:$A$9,0)),0)),IF(VLOOKUP($A173,Calendar!$A$1:$R$1377,18,0)=3,SUM(IFERROR(INDEX(Weekly_Model!$D$2:$D$9,MATCH(F173,Weekly_Model!$A$2:$A$9,0)),0),IFERROR(INDEX(Weekly_Model!$D$2:$D$9,MATCH(F174,Weekly_Model!$A$2:$A$9,0)),0),IFERROR(INDEX(Weekly_Model!$D$2:$D$9,MATCH(F175,Weekly_Model!$A$2:$A$9,0)),0)),IF(VLOOKUP($A173,Calendar!$A$1:$R$1377,18,0)=4,SUM(IFERROR(INDEX(Weekly_Model!$D$2:$D$9,MATCH(F173,Weekly_Model!$A$2:$A$9,0)),0),IFERROR(INDEX(Weekly_Model!$D$2:$D$9,MATCH(F174,Weekly_Model!$A$2:$A$9,0)),0),IFERROR(INDEX(Weekly_Model!$D$2:$D$9,MATCH(F175,Weekly_Model!$A$2:$A$9,0)),0),IFERROR(INDEX(Weekly_Model!$D$2:$D$9,MATCH(F176,Weekly_Model!$A$2:$A$9,0)),0)),IF(VLOOKUP($A173,Calendar!$A$1:$R$1377,18,0)=5,SUM(IFERROR(INDEX(Weekly_Model!$D$2:$D$9,MATCH(F173,Weekly_Model!$A$2:$A$9,0)),0),IFERROR(INDEX(Weekly_Model!$D$2:$D$9,MATCH(F174,Weekly_Model!$A$2:$A$9,0)),0),IFERROR(INDEX(Weekly_Model!$D$2:$D$9,MATCH(F175,Weekly_Model!$A$2:$A$9,0)),0),IFERROR(INDEX(Weekly_Model!$D$2:$D$9,MATCH(F176,Weekly_Model!$A$2:$A$9,0)),0),IFERROR(INDEX(Weekly_Model!$D$2:$D$9,MATCH(F177,Weekly_Model!$A$2:$A$9,0)),0)),0))))))</f>
        <v>2.3200000000000002E-2</v>
      </c>
      <c r="L173" s="27">
        <f>IF(VLOOKUP($A173,Calendar!$A$1:$R$1377,18,0)=0,0,IF(VLOOKUP($A173,Calendar!$A$1:$R$1377,18,0)=1,IFERROR(INDEX(Fortnightly_Model!$D$2:$D$15,MATCH(G173,Fortnightly_Model!$B$2:$B$15,0)),0),IF(VLOOKUP($A173,Calendar!$A$1:$R$1377,18,0)=2,SUM(IFERROR(INDEX(Fortnightly_Model!$D$2:$D$15,MATCH(G173,Fortnightly_Model!$B$2:$B$15,0)),0),IFERROR(INDEX(Fortnightly_Model!$D$2:$D$15,MATCH(G174,Fortnightly_Model!$B$2:$B$15,0)),0)),IF(VLOOKUP($A173,Calendar!$A$1:$R$1377,18,0)=3,SUM(IFERROR(INDEX(Fortnightly_Model!$D$2:$D$15,MATCH(G173,Fortnightly_Model!$B$2:$B$15,0)),0),IFERROR(INDEX(Fortnightly_Model!$D$2:$D$15,MATCH(G174,Fortnightly_Model!$B$2:$B$15,0)),0),IFERROR(INDEX(Fortnightly_Model!$D$2:$D$15,MATCH(G175,Fortnightly_Model!$B$2:$B$15,0)),0)),IF(VLOOKUP($A173,Calendar!$A$1:$R$1377,18,0)=4,SUM(IFERROR(INDEX(Fortnightly_Model!$D$2:$D$15,MATCH(G173,Fortnightly_Model!$B$2:$B$15,0)),0),IFERROR(INDEX(Fortnightly_Model!$D$2:$D$15,MATCH(G174,Fortnightly_Model!$B$2:$B$15,0)),0),IFERROR(INDEX(Fortnightly_Model!$D$2:$D$15,MATCH(G175,Fortnightly_Model!$B$2:$B$15,0)),0),IFERROR(INDEX(Fortnightly_Model!$D$2:$D$15,MATCH(G176,Fortnightly_Model!$B$2:$B$15,0)),0)),IF(VLOOKUP($A173,Calendar!$A$1:$R$1377,18,0)=5,SUM(IFERROR(INDEX(Fortnightly_Model!$D$2:$D$15,MATCH(G173,Fortnightly_Model!$B$2:$B$15,0)),0),IFERROR(INDEX(Fortnightly_Model!$D$2:$D$15,MATCH(G174,Fortnightly_Model!$B$2:$B$15,0)),0),IFERROR(INDEX(Fortnightly_Model!$D$2:$D$15,MATCH(G175,Fortnightly_Model!$B$2:$B$15,0)),0),IFERROR(INDEX(Fortnightly_Model!$D$2:$D$15,MATCH(G176,Fortnightly_Model!$B$2:$B$15,0)),0),IFERROR(INDEX(Fortnightly_Model!$D$2:$D$15,MATCH(G177,Fortnightly_Model!$B$2:$B$15,0)),0)),0))))))</f>
        <v>1.0714285499999999E-3</v>
      </c>
      <c r="M173" s="27">
        <f>IF(VLOOKUP($A173,Calendar!$A$1:$R$1377,18,0)=0,0,IF(VLOOKUP($A173,Calendar!$A$1:$R$1377,18,0)=1,IFERROR(INDEX(FourWeekly_Model!$D$2:$D$29,MATCH(H173,FourWeekly_Model!$B$2:$B$29,0)),0),IF(VLOOKUP($A173,Calendar!$A$1:$R$1377,18,0)=2,SUM(IFERROR(INDEX(FourWeekly_Model!$D$2:$D$29,MATCH(H173,FourWeekly_Model!$B$2:$B$29,0)),0),IFERROR(INDEX(FourWeekly_Model!$D$2:$D$29,MATCH(H174,FourWeekly_Model!$B$2:$B$29,0)),0)),IF(VLOOKUP($A173,Calendar!$A$1:$R$1377,18,0)=3,SUM(IFERROR(INDEX(FourWeekly_Model!$D$2:$D$29,MATCH(H173,FourWeekly_Model!$B$2:$B$29,0)),0),IFERROR(INDEX(FourWeekly_Model!$D$2:$D$29,MATCH(H174,FourWeekly_Model!$B$2:$B$29,0)),0),IFERROR(INDEX(FourWeekly_Model!$D$2:$D$29,MATCH(H175,FourWeekly_Model!$B$2:$B$29,0)),0)),IF(VLOOKUP($A173,Calendar!$A$1:$R$1377,18,0)=4,SUM(IFERROR(INDEX(FourWeekly_Model!$D$2:$D$29,MATCH(H173,FourWeekly_Model!$B$2:$B$29,0)),0),IFERROR(INDEX(FourWeekly_Model!$D$2:$D$29,MATCH(H174,FourWeekly_Model!$B$2:$B$29,0)),0),IFERROR(INDEX(FourWeekly_Model!$D$2:$D$29,MATCH(H175,FourWeekly_Model!$B$2:$B$29,0)),0),IFERROR(INDEX(FourWeekly_Model!$D$2:$D$29,MATCH(H176,FourWeekly_Model!$B$2:$B$29,0)),0)),IF(VLOOKUP($A173,Calendar!$A$1:$R$1377,18,0)=5,SUM(IFERROR(INDEX(FourWeekly_Model!$D$2:$D$29,MATCH(H173,FourWeekly_Model!$B$2:$B$29,0)),0),IFERROR(INDEX(FourWeekly_Model!$D$2:$D$29,MATCH(H174,FourWeekly_Model!$B$2:$B$29,0)),0),IFERROR(INDEX(FourWeekly_Model!$D$2:$D$29,MATCH(H175,FourWeekly_Model!$B$2:$B$29,0)),0),IFERROR(INDEX(FourWeekly_Model!$D$2:$D$29,MATCH(H176,FourWeekly_Model!$B$2:$B$29,0)),0),IFERROR(INDEX(FourWeekly_Model!$D$2:$D$29,MATCH(H177,FourWeekly_Model!$B$2:$B$29,0)),0)),0))))))</f>
        <v>3.3214289700000004E-3</v>
      </c>
      <c r="N173" s="27">
        <f>SUM(I173:M173)</f>
        <v>2.921798841005236E-2</v>
      </c>
      <c r="O173" s="28">
        <f>Population_Data!$B$8*N173</f>
        <v>885305.04882458656</v>
      </c>
      <c r="P173" s="27">
        <f>IF(VLOOKUP($A173,Calendar!$A$1:$R$1377,18,0)=0,0,IF(VLOOKUP($A173,Calendar!$A$1:$R$1377,18,0)=1,IFERROR(INDEX(Pension_Model!$D$2:$D$29,MATCH(H173,Pension_Model!$B$2:$B$29,0)),0),IF(VLOOKUP($A173,Calendar!$A$1:$R$1377,18,0)=2,SUM(IFERROR(INDEX(Pension_Model!$D$2:$D$29,MATCH(H173,Pension_Model!$B$2:$B$29,0)),0),IFERROR(INDEX(Pension_Model!$D$2:$D$29,MATCH(H174,Pension_Model!$B$2:$B$29,0)),0)),IF(VLOOKUP($A173,Calendar!$A$1:$R$1377,18,0)=3,SUM(IFERROR(INDEX(Pension_Model!$D$2:$D$29,MATCH(H173,Pension_Model!$B$2:$B$29,0)),0),IFERROR(INDEX(Pension_Model!$D$2:$D$29,MATCH(H174,Pension_Model!$B$2:$B$29,0)),0),IFERROR(INDEX(Pension_Model!$D$2:$D$29,MATCH(H175,Pension_Model!$B$2:$B$29,0)),0)),IF(VLOOKUP($A173,Calendar!$A$1:$R$1377,18,0)=4,SUM(IFERROR(INDEX(Pension_Model!$D$2:$D$29,MATCH(H173,Pension_Model!$B$2:$B$29,0)),0),IFERROR(INDEX(Pension_Model!$D$2:$D$29,MATCH(H174,Pension_Model!$B$2:$B$29,0)),0),IFERROR(INDEX(Pension_Model!$D$2:$D$29,MATCH(H175,Pension_Model!$B$2:$B$29,0)),0),IFERROR(INDEX(Pension_Model!$D$2:$D$29,MATCH(H176,Pension_Model!$B$2:$B$29,0)),0)),IF(VLOOKUP($A173,Calendar!$A$1:$R$1377,18,0)=5,SUM(IFERROR(INDEX(Pension_Model!$D$2:$D$29,MATCH(H173,Pension_Model!$B$2:$B$29,0)),0),IFERROR(INDEX(Pension_Model!$D$2:$D$29,MATCH(H174,Pension_Model!$B$2:$B$29,0)),0),IFERROR(INDEX(Pension_Model!$D$2:$D$29,MATCH(H175,Pension_Model!$B$2:$B$29,0)),0),IFERROR(INDEX(Pension_Model!$D$2:$D$29,MATCH(H176,Pension_Model!$B$2:$B$29,0)),0),IFERROR(INDEX(Pension_Model!$D$2:$D$29,MATCH(H177,Pension_Model!$B$2:$B$29,0)),0)),0))))))</f>
        <v>0.05</v>
      </c>
      <c r="Q173" s="28">
        <f>Population_Data!$B$15*P173</f>
        <v>660600</v>
      </c>
      <c r="S173">
        <f t="shared" si="2"/>
        <v>1545905.0488245864</v>
      </c>
      <c r="U173" s="33">
        <f>S173/Population_Data!$B$19</f>
        <v>2.8005526246822218E-2</v>
      </c>
    </row>
    <row r="174" spans="1:21">
      <c r="A174" s="25">
        <f>Calendar!A174</f>
        <v>46407</v>
      </c>
      <c r="B174" t="str">
        <f>Calendar!L174</f>
        <v>Yes</v>
      </c>
      <c r="C174" t="str">
        <f>Calendar!O174</f>
        <v>No</v>
      </c>
      <c r="D174" t="str">
        <f>Calendar!P174</f>
        <v>No</v>
      </c>
      <c r="E174" t="str">
        <f>Calendar!Q174</f>
        <v>No</v>
      </c>
      <c r="F174" t="str">
        <f>Calendar!I174</f>
        <v>Wednesday</v>
      </c>
      <c r="G174">
        <f>Calendar!S174</f>
        <v>11</v>
      </c>
      <c r="H174">
        <f>Calendar!T174</f>
        <v>11</v>
      </c>
      <c r="I174" s="27">
        <f>IF(VLOOKUP(A174,Calendar!$A$1:$R$1377,18,0)=0,0,IF(VLOOKUP(A174,Calendar!$A$1:$R$1377,18,0)=1,INDEX(Monthly_Pay_Model!$A$9:$D$40,MATCH(TEXT(A174,"dd"),Monthly_Pay_Model!$C$9:$C$39,0),4),IF(VLOOKUP(A174,Calendar!$A$1:$R$1377,18,0)=2,SUM(INDEX(Monthly_Pay_Model!$A$9:$D$40,MATCH(TEXT(A174,"dd"),Monthly_Pay_Model!$C$9:$C$39,0),4),INDEX(Monthly_Pay_Model!$A$9:$D$40,MATCH(TEXT(A175,"dd"),Monthly_Pay_Model!$C$9:$C$39,0),4)),IF(VLOOKUP(A174,Calendar!$A$1:$R$1377,18,0)=3,SUM(INDEX(Monthly_Pay_Model!$A$9:$D$40,MATCH(TEXT(A174,"dd"),Monthly_Pay_Model!$C$9:$C$39,0),4),INDEX(Monthly_Pay_Model!$A$9:$D$40,MATCH(TEXT(A175,"dd"),Monthly_Pay_Model!$C$9:$C$39,0),4),INDEX(Monthly_Pay_Model!$A$9:$D$40,MATCH(TEXT(A176,"dd"),Monthly_Pay_Model!$C$9:$C$39,0),4)),IF(VLOOKUP(A174,Calendar!$A$1:$R$1377,18,0)=4,SUM(INDEX(Monthly_Pay_Model!$A$9:$D$40,MATCH(TEXT(A174,"dd"),Monthly_Pay_Model!$C$9:$C$39,0),4),INDEX(Monthly_Pay_Model!$A$9:$D$40,MATCH(TEXT(A175,"dd"),Monthly_Pay_Model!$C$9:$C$39,0),4),INDEX(Monthly_Pay_Model!$A$9:$D$40,MATCH(TEXT(A176,"dd"),Monthly_Pay_Model!$C$9:$C$39,0),4),INDEX(Monthly_Pay_Model!$A$9:$D$40,MATCH(TEXT(A177,"dd"),Monthly_Pay_Model!$C$9:$C$39,0),4)),IF(VLOOKUP(A174,Calendar!$A$1:$R$1377,18,0)=5,SUM(INDEX(Monthly_Pay_Model!$A$9:$D$40,MATCH(TEXT(A174,"dd"),Monthly_Pay_Model!$C$9:$C$39,0),4),INDEX(Monthly_Pay_Model!$A$9:$D$40,MATCH(TEXT(A175,"dd"),Monthly_Pay_Model!$C$9:$C$39,0),4),INDEX(Monthly_Pay_Model!$A$9:$D$40,MATCH(TEXT(A176,"dd"),Monthly_Pay_Model!$C$9:$C$39,0),4),INDEX(Monthly_Pay_Model!$A$9:$D$40,MATCH(TEXT(A177,"dd"),Monthly_Pay_Model!$C$9:$C$39,0),4),INDEX(Monthly_Pay_Model!$A$9:$D$40,MATCH(TEXT(A178,"dd"),Monthly_Pay_Model!$C$9:$C$39,0),4)),))))))</f>
        <v>8.1256544502617788E-3</v>
      </c>
      <c r="J174" s="33">
        <f>IF(C174="Yes",Monthly_Pay_Model!$D$2,0)
+IF(Calendar!N174="Yes",Monthly_Pay_Model!$D$3,0)
+IF(D174="Yes",Monthly_Pay_Model!$D$4,0)
+IF(E174="Yes",Monthly_Pay_Model!$D$5,0)</f>
        <v>0</v>
      </c>
      <c r="K174" s="27">
        <f>IF(VLOOKUP($A174,Calendar!$A$1:$R$1377,18,0)=0,0,IF(VLOOKUP($A174,Calendar!$A$1:$R$1377,18,0)=1,IFERROR(INDEX(Weekly_Model!$D$2:$D$9,MATCH(F174,Weekly_Model!$A$2:$A$9,0)),0),IF(VLOOKUP($A174,Calendar!$A$1:$R$1377,18,0)=2,SUM(IFERROR(INDEX(Weekly_Model!$D$2:$D$9,MATCH(F174,Weekly_Model!$A$2:$A$9,0)),0),IFERROR(INDEX(Weekly_Model!$D$2:$D$9,MATCH(F175,Weekly_Model!$A$2:$A$9,0)),0)),IF(VLOOKUP($A174,Calendar!$A$1:$R$1377,18,0)=3,SUM(IFERROR(INDEX(Weekly_Model!$D$2:$D$9,MATCH(F174,Weekly_Model!$A$2:$A$9,0)),0),IFERROR(INDEX(Weekly_Model!$D$2:$D$9,MATCH(F175,Weekly_Model!$A$2:$A$9,0)),0),IFERROR(INDEX(Weekly_Model!$D$2:$D$9,MATCH(F176,Weekly_Model!$A$2:$A$9,0)),0)),IF(VLOOKUP($A174,Calendar!$A$1:$R$1377,18,0)=4,SUM(IFERROR(INDEX(Weekly_Model!$D$2:$D$9,MATCH(F174,Weekly_Model!$A$2:$A$9,0)),0),IFERROR(INDEX(Weekly_Model!$D$2:$D$9,MATCH(F175,Weekly_Model!$A$2:$A$9,0)),0),IFERROR(INDEX(Weekly_Model!$D$2:$D$9,MATCH(F176,Weekly_Model!$A$2:$A$9,0)),0),IFERROR(INDEX(Weekly_Model!$D$2:$D$9,MATCH(F177,Weekly_Model!$A$2:$A$9,0)),0)),IF(VLOOKUP($A174,Calendar!$A$1:$R$1377,18,0)=5,SUM(IFERROR(INDEX(Weekly_Model!$D$2:$D$9,MATCH(F174,Weekly_Model!$A$2:$A$9,0)),0),IFERROR(INDEX(Weekly_Model!$D$2:$D$9,MATCH(F175,Weekly_Model!$A$2:$A$9,0)),0),IFERROR(INDEX(Weekly_Model!$D$2:$D$9,MATCH(F176,Weekly_Model!$A$2:$A$9,0)),0),IFERROR(INDEX(Weekly_Model!$D$2:$D$9,MATCH(F177,Weekly_Model!$A$2:$A$9,0)),0),IFERROR(INDEX(Weekly_Model!$D$2:$D$9,MATCH(F178,Weekly_Model!$A$2:$A$9,0)),0)),0))))))</f>
        <v>2.3200000000000002E-2</v>
      </c>
      <c r="L174" s="27">
        <f>IF(VLOOKUP($A174,Calendar!$A$1:$R$1377,18,0)=0,0,IF(VLOOKUP($A174,Calendar!$A$1:$R$1377,18,0)=1,IFERROR(INDEX(Fortnightly_Model!$D$2:$D$15,MATCH(G174,Fortnightly_Model!$B$2:$B$15,0)),0),IF(VLOOKUP($A174,Calendar!$A$1:$R$1377,18,0)=2,SUM(IFERROR(INDEX(Fortnightly_Model!$D$2:$D$15,MATCH(G174,Fortnightly_Model!$B$2:$B$15,0)),0),IFERROR(INDEX(Fortnightly_Model!$D$2:$D$15,MATCH(G175,Fortnightly_Model!$B$2:$B$15,0)),0)),IF(VLOOKUP($A174,Calendar!$A$1:$R$1377,18,0)=3,SUM(IFERROR(INDEX(Fortnightly_Model!$D$2:$D$15,MATCH(G174,Fortnightly_Model!$B$2:$B$15,0)),0),IFERROR(INDEX(Fortnightly_Model!$D$2:$D$15,MATCH(G175,Fortnightly_Model!$B$2:$B$15,0)),0),IFERROR(INDEX(Fortnightly_Model!$D$2:$D$15,MATCH(G176,Fortnightly_Model!$B$2:$B$15,0)),0)),IF(VLOOKUP($A174,Calendar!$A$1:$R$1377,18,0)=4,SUM(IFERROR(INDEX(Fortnightly_Model!$D$2:$D$15,MATCH(G174,Fortnightly_Model!$B$2:$B$15,0)),0),IFERROR(INDEX(Fortnightly_Model!$D$2:$D$15,MATCH(G175,Fortnightly_Model!$B$2:$B$15,0)),0),IFERROR(INDEX(Fortnightly_Model!$D$2:$D$15,MATCH(G176,Fortnightly_Model!$B$2:$B$15,0)),0),IFERROR(INDEX(Fortnightly_Model!$D$2:$D$15,MATCH(G177,Fortnightly_Model!$B$2:$B$15,0)),0)),IF(VLOOKUP($A174,Calendar!$A$1:$R$1377,18,0)=5,SUM(IFERROR(INDEX(Fortnightly_Model!$D$2:$D$15,MATCH(G174,Fortnightly_Model!$B$2:$B$15,0)),0),IFERROR(INDEX(Fortnightly_Model!$D$2:$D$15,MATCH(G175,Fortnightly_Model!$B$2:$B$15,0)),0),IFERROR(INDEX(Fortnightly_Model!$D$2:$D$15,MATCH(G176,Fortnightly_Model!$B$2:$B$15,0)),0),IFERROR(INDEX(Fortnightly_Model!$D$2:$D$15,MATCH(G177,Fortnightly_Model!$B$2:$B$15,0)),0),IFERROR(INDEX(Fortnightly_Model!$D$2:$D$15,MATCH(G178,Fortnightly_Model!$B$2:$B$15,0)),0)),0))))))</f>
        <v>1.0714285499999999E-3</v>
      </c>
      <c r="M174" s="27">
        <f>IF(VLOOKUP($A174,Calendar!$A$1:$R$1377,18,0)=0,0,IF(VLOOKUP($A174,Calendar!$A$1:$R$1377,18,0)=1,IFERROR(INDEX(FourWeekly_Model!$D$2:$D$29,MATCH(H174,FourWeekly_Model!$B$2:$B$29,0)),0),IF(VLOOKUP($A174,Calendar!$A$1:$R$1377,18,0)=2,SUM(IFERROR(INDEX(FourWeekly_Model!$D$2:$D$29,MATCH(H174,FourWeekly_Model!$B$2:$B$29,0)),0),IFERROR(INDEX(FourWeekly_Model!$D$2:$D$29,MATCH(H175,FourWeekly_Model!$B$2:$B$29,0)),0)),IF(VLOOKUP($A174,Calendar!$A$1:$R$1377,18,0)=3,SUM(IFERROR(INDEX(FourWeekly_Model!$D$2:$D$29,MATCH(H174,FourWeekly_Model!$B$2:$B$29,0)),0),IFERROR(INDEX(FourWeekly_Model!$D$2:$D$29,MATCH(H175,FourWeekly_Model!$B$2:$B$29,0)),0),IFERROR(INDEX(FourWeekly_Model!$D$2:$D$29,MATCH(H176,FourWeekly_Model!$B$2:$B$29,0)),0)),IF(VLOOKUP($A174,Calendar!$A$1:$R$1377,18,0)=4,SUM(IFERROR(INDEX(FourWeekly_Model!$D$2:$D$29,MATCH(H174,FourWeekly_Model!$B$2:$B$29,0)),0),IFERROR(INDEX(FourWeekly_Model!$D$2:$D$29,MATCH(H175,FourWeekly_Model!$B$2:$B$29,0)),0),IFERROR(INDEX(FourWeekly_Model!$D$2:$D$29,MATCH(H176,FourWeekly_Model!$B$2:$B$29,0)),0),IFERROR(INDEX(FourWeekly_Model!$D$2:$D$29,MATCH(H177,FourWeekly_Model!$B$2:$B$29,0)),0)),IF(VLOOKUP($A174,Calendar!$A$1:$R$1377,18,0)=5,SUM(IFERROR(INDEX(FourWeekly_Model!$D$2:$D$29,MATCH(H174,FourWeekly_Model!$B$2:$B$29,0)),0),IFERROR(INDEX(FourWeekly_Model!$D$2:$D$29,MATCH(H175,FourWeekly_Model!$B$2:$B$29,0)),0),IFERROR(INDEX(FourWeekly_Model!$D$2:$D$29,MATCH(H176,FourWeekly_Model!$B$2:$B$29,0)),0),IFERROR(INDEX(FourWeekly_Model!$D$2:$D$29,MATCH(H177,FourWeekly_Model!$B$2:$B$29,0)),0),IFERROR(INDEX(FourWeekly_Model!$D$2:$D$29,MATCH(H178,FourWeekly_Model!$B$2:$B$29,0)),0)),0))))))</f>
        <v>3.3214289700000004E-3</v>
      </c>
      <c r="N174" s="27">
        <f>SUM(I174:M174)</f>
        <v>3.5718511970261782E-2</v>
      </c>
      <c r="O174" s="28">
        <f>Population_Data!$B$8*N174</f>
        <v>1082270.912698932</v>
      </c>
      <c r="P174" s="27">
        <f>IF(VLOOKUP($A174,Calendar!$A$1:$R$1377,18,0)=0,0,IF(VLOOKUP($A174,Calendar!$A$1:$R$1377,18,0)=1,IFERROR(INDEX(Pension_Model!$D$2:$D$29,MATCH(H174,Pension_Model!$B$2:$B$29,0)),0),IF(VLOOKUP($A174,Calendar!$A$1:$R$1377,18,0)=2,SUM(IFERROR(INDEX(Pension_Model!$D$2:$D$29,MATCH(H174,Pension_Model!$B$2:$B$29,0)),0),IFERROR(INDEX(Pension_Model!$D$2:$D$29,MATCH(H175,Pension_Model!$B$2:$B$29,0)),0)),IF(VLOOKUP($A174,Calendar!$A$1:$R$1377,18,0)=3,SUM(IFERROR(INDEX(Pension_Model!$D$2:$D$29,MATCH(H174,Pension_Model!$B$2:$B$29,0)),0),IFERROR(INDEX(Pension_Model!$D$2:$D$29,MATCH(H175,Pension_Model!$B$2:$B$29,0)),0),IFERROR(INDEX(Pension_Model!$D$2:$D$29,MATCH(H176,Pension_Model!$B$2:$B$29,0)),0)),IF(VLOOKUP($A174,Calendar!$A$1:$R$1377,18,0)=4,SUM(IFERROR(INDEX(Pension_Model!$D$2:$D$29,MATCH(H174,Pension_Model!$B$2:$B$29,0)),0),IFERROR(INDEX(Pension_Model!$D$2:$D$29,MATCH(H175,Pension_Model!$B$2:$B$29,0)),0),IFERROR(INDEX(Pension_Model!$D$2:$D$29,MATCH(H176,Pension_Model!$B$2:$B$29,0)),0),IFERROR(INDEX(Pension_Model!$D$2:$D$29,MATCH(H177,Pension_Model!$B$2:$B$29,0)),0)),IF(VLOOKUP($A174,Calendar!$A$1:$R$1377,18,0)=5,SUM(IFERROR(INDEX(Pension_Model!$D$2:$D$29,MATCH(H174,Pension_Model!$B$2:$B$29,0)),0),IFERROR(INDEX(Pension_Model!$D$2:$D$29,MATCH(H175,Pension_Model!$B$2:$B$29,0)),0),IFERROR(INDEX(Pension_Model!$D$2:$D$29,MATCH(H176,Pension_Model!$B$2:$B$29,0)),0),IFERROR(INDEX(Pension_Model!$D$2:$D$29,MATCH(H177,Pension_Model!$B$2:$B$29,0)),0),IFERROR(INDEX(Pension_Model!$D$2:$D$29,MATCH(H178,Pension_Model!$B$2:$B$29,0)),0)),0))))))</f>
        <v>0.05</v>
      </c>
      <c r="Q174" s="28">
        <f>Population_Data!$B$15*P174</f>
        <v>660600</v>
      </c>
      <c r="S174">
        <f t="shared" si="2"/>
        <v>1742870.912698932</v>
      </c>
      <c r="U174" s="33">
        <f>S174/Population_Data!$B$19</f>
        <v>3.1573748418458912E-2</v>
      </c>
    </row>
    <row r="175" spans="1:21">
      <c r="A175" s="25">
        <f>Calendar!A175</f>
        <v>46408</v>
      </c>
      <c r="B175" t="str">
        <f>Calendar!L175</f>
        <v>Yes</v>
      </c>
      <c r="C175" t="str">
        <f>Calendar!O175</f>
        <v>No</v>
      </c>
      <c r="D175" t="str">
        <f>Calendar!P175</f>
        <v>No</v>
      </c>
      <c r="E175" t="str">
        <f>Calendar!Q175</f>
        <v>No</v>
      </c>
      <c r="F175" t="str">
        <f>Calendar!I175</f>
        <v>Thursday</v>
      </c>
      <c r="G175">
        <f>Calendar!S175</f>
        <v>12</v>
      </c>
      <c r="H175">
        <f>Calendar!T175</f>
        <v>12</v>
      </c>
      <c r="I175" s="27">
        <f>IF(VLOOKUP(A175,Calendar!$A$1:$R$1377,18,0)=0,0,IF(VLOOKUP(A175,Calendar!$A$1:$R$1377,18,0)=1,INDEX(Monthly_Pay_Model!$A$9:$D$40,MATCH(TEXT(A175,"dd"),Monthly_Pay_Model!$C$9:$C$39,0),4),IF(VLOOKUP(A175,Calendar!$A$1:$R$1377,18,0)=2,SUM(INDEX(Monthly_Pay_Model!$A$9:$D$40,MATCH(TEXT(A175,"dd"),Monthly_Pay_Model!$C$9:$C$39,0),4),INDEX(Monthly_Pay_Model!$A$9:$D$40,MATCH(TEXT(A176,"dd"),Monthly_Pay_Model!$C$9:$C$39,0),4)),IF(VLOOKUP(A175,Calendar!$A$1:$R$1377,18,0)=3,SUM(INDEX(Monthly_Pay_Model!$A$9:$D$40,MATCH(TEXT(A175,"dd"),Monthly_Pay_Model!$C$9:$C$39,0),4),INDEX(Monthly_Pay_Model!$A$9:$D$40,MATCH(TEXT(A176,"dd"),Monthly_Pay_Model!$C$9:$C$39,0),4),INDEX(Monthly_Pay_Model!$A$9:$D$40,MATCH(TEXT(A177,"dd"),Monthly_Pay_Model!$C$9:$C$39,0),4)),IF(VLOOKUP(A175,Calendar!$A$1:$R$1377,18,0)=4,SUM(INDEX(Monthly_Pay_Model!$A$9:$D$40,MATCH(TEXT(A175,"dd"),Monthly_Pay_Model!$C$9:$C$39,0),4),INDEX(Monthly_Pay_Model!$A$9:$D$40,MATCH(TEXT(A176,"dd"),Monthly_Pay_Model!$C$9:$C$39,0),4),INDEX(Monthly_Pay_Model!$A$9:$D$40,MATCH(TEXT(A177,"dd"),Monthly_Pay_Model!$C$9:$C$39,0),4),INDEX(Monthly_Pay_Model!$A$9:$D$40,MATCH(TEXT(A178,"dd"),Monthly_Pay_Model!$C$9:$C$39,0),4)),IF(VLOOKUP(A175,Calendar!$A$1:$R$1377,18,0)=5,SUM(INDEX(Monthly_Pay_Model!$A$9:$D$40,MATCH(TEXT(A175,"dd"),Monthly_Pay_Model!$C$9:$C$39,0),4),INDEX(Monthly_Pay_Model!$A$9:$D$40,MATCH(TEXT(A176,"dd"),Monthly_Pay_Model!$C$9:$C$39,0),4),INDEX(Monthly_Pay_Model!$A$9:$D$40,MATCH(TEXT(A177,"dd"),Monthly_Pay_Model!$C$9:$C$39,0),4),INDEX(Monthly_Pay_Model!$A$9:$D$40,MATCH(TEXT(A178,"dd"),Monthly_Pay_Model!$C$9:$C$39,0),4),INDEX(Monthly_Pay_Model!$A$9:$D$40,MATCH(TEXT(A179,"dd"),Monthly_Pay_Model!$C$9:$C$39,0),4)),))))))</f>
        <v>4.8753926701570662E-3</v>
      </c>
      <c r="J175" s="33">
        <f>IF(C175="Yes",Monthly_Pay_Model!$D$2,0)
+IF(Calendar!N175="Yes",Monthly_Pay_Model!$D$3,0)
+IF(D175="Yes",Monthly_Pay_Model!$D$4,0)
+IF(E175="Yes",Monthly_Pay_Model!$D$5,0)</f>
        <v>0</v>
      </c>
      <c r="K175" s="27">
        <f>IF(VLOOKUP($A175,Calendar!$A$1:$R$1377,18,0)=0,0,IF(VLOOKUP($A175,Calendar!$A$1:$R$1377,18,0)=1,IFERROR(INDEX(Weekly_Model!$D$2:$D$9,MATCH(F175,Weekly_Model!$A$2:$A$9,0)),0),IF(VLOOKUP($A175,Calendar!$A$1:$R$1377,18,0)=2,SUM(IFERROR(INDEX(Weekly_Model!$D$2:$D$9,MATCH(F175,Weekly_Model!$A$2:$A$9,0)),0),IFERROR(INDEX(Weekly_Model!$D$2:$D$9,MATCH(F176,Weekly_Model!$A$2:$A$9,0)),0)),IF(VLOOKUP($A175,Calendar!$A$1:$R$1377,18,0)=3,SUM(IFERROR(INDEX(Weekly_Model!$D$2:$D$9,MATCH(F175,Weekly_Model!$A$2:$A$9,0)),0),IFERROR(INDEX(Weekly_Model!$D$2:$D$9,MATCH(F176,Weekly_Model!$A$2:$A$9,0)),0),IFERROR(INDEX(Weekly_Model!$D$2:$D$9,MATCH(F177,Weekly_Model!$A$2:$A$9,0)),0)),IF(VLOOKUP($A175,Calendar!$A$1:$R$1377,18,0)=4,SUM(IFERROR(INDEX(Weekly_Model!$D$2:$D$9,MATCH(F175,Weekly_Model!$A$2:$A$9,0)),0),IFERROR(INDEX(Weekly_Model!$D$2:$D$9,MATCH(F176,Weekly_Model!$A$2:$A$9,0)),0),IFERROR(INDEX(Weekly_Model!$D$2:$D$9,MATCH(F177,Weekly_Model!$A$2:$A$9,0)),0),IFERROR(INDEX(Weekly_Model!$D$2:$D$9,MATCH(F178,Weekly_Model!$A$2:$A$9,0)),0)),IF(VLOOKUP($A175,Calendar!$A$1:$R$1377,18,0)=5,SUM(IFERROR(INDEX(Weekly_Model!$D$2:$D$9,MATCH(F175,Weekly_Model!$A$2:$A$9,0)),0),IFERROR(INDEX(Weekly_Model!$D$2:$D$9,MATCH(F176,Weekly_Model!$A$2:$A$9,0)),0),IFERROR(INDEX(Weekly_Model!$D$2:$D$9,MATCH(F177,Weekly_Model!$A$2:$A$9,0)),0),IFERROR(INDEX(Weekly_Model!$D$2:$D$9,MATCH(F178,Weekly_Model!$A$2:$A$9,0)),0),IFERROR(INDEX(Weekly_Model!$D$2:$D$9,MATCH(F179,Weekly_Model!$A$2:$A$9,0)),0)),0))))))</f>
        <v>2.3200000000000002E-2</v>
      </c>
      <c r="L175" s="27">
        <f>IF(VLOOKUP($A175,Calendar!$A$1:$R$1377,18,0)=0,0,IF(VLOOKUP($A175,Calendar!$A$1:$R$1377,18,0)=1,IFERROR(INDEX(Fortnightly_Model!$D$2:$D$15,MATCH(G175,Fortnightly_Model!$B$2:$B$15,0)),0),IF(VLOOKUP($A175,Calendar!$A$1:$R$1377,18,0)=2,SUM(IFERROR(INDEX(Fortnightly_Model!$D$2:$D$15,MATCH(G175,Fortnightly_Model!$B$2:$B$15,0)),0),IFERROR(INDEX(Fortnightly_Model!$D$2:$D$15,MATCH(G176,Fortnightly_Model!$B$2:$B$15,0)),0)),IF(VLOOKUP($A175,Calendar!$A$1:$R$1377,18,0)=3,SUM(IFERROR(INDEX(Fortnightly_Model!$D$2:$D$15,MATCH(G175,Fortnightly_Model!$B$2:$B$15,0)),0),IFERROR(INDEX(Fortnightly_Model!$D$2:$D$15,MATCH(G176,Fortnightly_Model!$B$2:$B$15,0)),0),IFERROR(INDEX(Fortnightly_Model!$D$2:$D$15,MATCH(G177,Fortnightly_Model!$B$2:$B$15,0)),0)),IF(VLOOKUP($A175,Calendar!$A$1:$R$1377,18,0)=4,SUM(IFERROR(INDEX(Fortnightly_Model!$D$2:$D$15,MATCH(G175,Fortnightly_Model!$B$2:$B$15,0)),0),IFERROR(INDEX(Fortnightly_Model!$D$2:$D$15,MATCH(G176,Fortnightly_Model!$B$2:$B$15,0)),0),IFERROR(INDEX(Fortnightly_Model!$D$2:$D$15,MATCH(G177,Fortnightly_Model!$B$2:$B$15,0)),0),IFERROR(INDEX(Fortnightly_Model!$D$2:$D$15,MATCH(G178,Fortnightly_Model!$B$2:$B$15,0)),0)),IF(VLOOKUP($A175,Calendar!$A$1:$R$1377,18,0)=5,SUM(IFERROR(INDEX(Fortnightly_Model!$D$2:$D$15,MATCH(G175,Fortnightly_Model!$B$2:$B$15,0)),0),IFERROR(INDEX(Fortnightly_Model!$D$2:$D$15,MATCH(G176,Fortnightly_Model!$B$2:$B$15,0)),0),IFERROR(INDEX(Fortnightly_Model!$D$2:$D$15,MATCH(G177,Fortnightly_Model!$B$2:$B$15,0)),0),IFERROR(INDEX(Fortnightly_Model!$D$2:$D$15,MATCH(G178,Fortnightly_Model!$B$2:$B$15,0)),0),IFERROR(INDEX(Fortnightly_Model!$D$2:$D$15,MATCH(G179,Fortnightly_Model!$B$2:$B$15,0)),0)),0))))))</f>
        <v>1.0714285499999999E-3</v>
      </c>
      <c r="M175" s="27">
        <f>IF(VLOOKUP($A175,Calendar!$A$1:$R$1377,18,0)=0,0,IF(VLOOKUP($A175,Calendar!$A$1:$R$1377,18,0)=1,IFERROR(INDEX(FourWeekly_Model!$D$2:$D$29,MATCH(H175,FourWeekly_Model!$B$2:$B$29,0)),0),IF(VLOOKUP($A175,Calendar!$A$1:$R$1377,18,0)=2,SUM(IFERROR(INDEX(FourWeekly_Model!$D$2:$D$29,MATCH(H175,FourWeekly_Model!$B$2:$B$29,0)),0),IFERROR(INDEX(FourWeekly_Model!$D$2:$D$29,MATCH(H176,FourWeekly_Model!$B$2:$B$29,0)),0)),IF(VLOOKUP($A175,Calendar!$A$1:$R$1377,18,0)=3,SUM(IFERROR(INDEX(FourWeekly_Model!$D$2:$D$29,MATCH(H175,FourWeekly_Model!$B$2:$B$29,0)),0),IFERROR(INDEX(FourWeekly_Model!$D$2:$D$29,MATCH(H176,FourWeekly_Model!$B$2:$B$29,0)),0),IFERROR(INDEX(FourWeekly_Model!$D$2:$D$29,MATCH(H177,FourWeekly_Model!$B$2:$B$29,0)),0)),IF(VLOOKUP($A175,Calendar!$A$1:$R$1377,18,0)=4,SUM(IFERROR(INDEX(FourWeekly_Model!$D$2:$D$29,MATCH(H175,FourWeekly_Model!$B$2:$B$29,0)),0),IFERROR(INDEX(FourWeekly_Model!$D$2:$D$29,MATCH(H176,FourWeekly_Model!$B$2:$B$29,0)),0),IFERROR(INDEX(FourWeekly_Model!$D$2:$D$29,MATCH(H177,FourWeekly_Model!$B$2:$B$29,0)),0),IFERROR(INDEX(FourWeekly_Model!$D$2:$D$29,MATCH(H178,FourWeekly_Model!$B$2:$B$29,0)),0)),IF(VLOOKUP($A175,Calendar!$A$1:$R$1377,18,0)=5,SUM(IFERROR(INDEX(FourWeekly_Model!$D$2:$D$29,MATCH(H175,FourWeekly_Model!$B$2:$B$29,0)),0),IFERROR(INDEX(FourWeekly_Model!$D$2:$D$29,MATCH(H176,FourWeekly_Model!$B$2:$B$29,0)),0),IFERROR(INDEX(FourWeekly_Model!$D$2:$D$29,MATCH(H177,FourWeekly_Model!$B$2:$B$29,0)),0),IFERROR(INDEX(FourWeekly_Model!$D$2:$D$29,MATCH(H178,FourWeekly_Model!$B$2:$B$29,0)),0),IFERROR(INDEX(FourWeekly_Model!$D$2:$D$29,MATCH(H179,FourWeekly_Model!$B$2:$B$29,0)),0)),0))))))</f>
        <v>3.3214289700000004E-3</v>
      </c>
      <c r="N175" s="27">
        <f>SUM(I175:M175)</f>
        <v>3.2468250190157068E-2</v>
      </c>
      <c r="O175" s="28">
        <f>Population_Data!$B$8*N175</f>
        <v>983787.9807617591</v>
      </c>
      <c r="P175" s="27">
        <f>IF(VLOOKUP($A175,Calendar!$A$1:$R$1377,18,0)=0,0,IF(VLOOKUP($A175,Calendar!$A$1:$R$1377,18,0)=1,IFERROR(INDEX(Pension_Model!$D$2:$D$29,MATCH(H175,Pension_Model!$B$2:$B$29,0)),0),IF(VLOOKUP($A175,Calendar!$A$1:$R$1377,18,0)=2,SUM(IFERROR(INDEX(Pension_Model!$D$2:$D$29,MATCH(H175,Pension_Model!$B$2:$B$29,0)),0),IFERROR(INDEX(Pension_Model!$D$2:$D$29,MATCH(H176,Pension_Model!$B$2:$B$29,0)),0)),IF(VLOOKUP($A175,Calendar!$A$1:$R$1377,18,0)=3,SUM(IFERROR(INDEX(Pension_Model!$D$2:$D$29,MATCH(H175,Pension_Model!$B$2:$B$29,0)),0),IFERROR(INDEX(Pension_Model!$D$2:$D$29,MATCH(H176,Pension_Model!$B$2:$B$29,0)),0),IFERROR(INDEX(Pension_Model!$D$2:$D$29,MATCH(H177,Pension_Model!$B$2:$B$29,0)),0)),IF(VLOOKUP($A175,Calendar!$A$1:$R$1377,18,0)=4,SUM(IFERROR(INDEX(Pension_Model!$D$2:$D$29,MATCH(H175,Pension_Model!$B$2:$B$29,0)),0),IFERROR(INDEX(Pension_Model!$D$2:$D$29,MATCH(H176,Pension_Model!$B$2:$B$29,0)),0),IFERROR(INDEX(Pension_Model!$D$2:$D$29,MATCH(H177,Pension_Model!$B$2:$B$29,0)),0),IFERROR(INDEX(Pension_Model!$D$2:$D$29,MATCH(H178,Pension_Model!$B$2:$B$29,0)),0)),IF(VLOOKUP($A175,Calendar!$A$1:$R$1377,18,0)=5,SUM(IFERROR(INDEX(Pension_Model!$D$2:$D$29,MATCH(H175,Pension_Model!$B$2:$B$29,0)),0),IFERROR(INDEX(Pension_Model!$D$2:$D$29,MATCH(H176,Pension_Model!$B$2:$B$29,0)),0),IFERROR(INDEX(Pension_Model!$D$2:$D$29,MATCH(H177,Pension_Model!$B$2:$B$29,0)),0),IFERROR(INDEX(Pension_Model!$D$2:$D$29,MATCH(H178,Pension_Model!$B$2:$B$29,0)),0),IFERROR(INDEX(Pension_Model!$D$2:$D$29,MATCH(H179,Pension_Model!$B$2:$B$29,0)),0)),0))))))</f>
        <v>0.05</v>
      </c>
      <c r="Q175" s="28">
        <f>Population_Data!$B$15*P175</f>
        <v>660600</v>
      </c>
      <c r="S175">
        <f t="shared" si="2"/>
        <v>1644387.980761759</v>
      </c>
      <c r="U175" s="33">
        <f>S175/Population_Data!$B$19</f>
        <v>2.9789637332640562E-2</v>
      </c>
    </row>
    <row r="176" spans="1:21">
      <c r="A176" s="25">
        <f>Calendar!A176</f>
        <v>46409</v>
      </c>
      <c r="B176" t="str">
        <f>Calendar!L176</f>
        <v>Yes</v>
      </c>
      <c r="C176" t="str">
        <f>Calendar!O176</f>
        <v>No</v>
      </c>
      <c r="D176" t="str">
        <f>Calendar!P176</f>
        <v>No</v>
      </c>
      <c r="E176" t="str">
        <f>Calendar!Q176</f>
        <v>No</v>
      </c>
      <c r="F176" t="str">
        <f>Calendar!I176</f>
        <v>Friday</v>
      </c>
      <c r="G176">
        <f>Calendar!S176</f>
        <v>13</v>
      </c>
      <c r="H176">
        <f>Calendar!T176</f>
        <v>13</v>
      </c>
      <c r="I176" s="27">
        <f>IF(VLOOKUP(A176,Calendar!$A$1:$R$1377,18,0)=0,0,IF(VLOOKUP(A176,Calendar!$A$1:$R$1377,18,0)=1,INDEX(Monthly_Pay_Model!$A$9:$D$40,MATCH(TEXT(A176,"dd"),Monthly_Pay_Model!$C$9:$C$39,0),4),IF(VLOOKUP(A176,Calendar!$A$1:$R$1377,18,0)=2,SUM(INDEX(Monthly_Pay_Model!$A$9:$D$40,MATCH(TEXT(A176,"dd"),Monthly_Pay_Model!$C$9:$C$39,0),4),INDEX(Monthly_Pay_Model!$A$9:$D$40,MATCH(TEXT(A177,"dd"),Monthly_Pay_Model!$C$9:$C$39,0),4)),IF(VLOOKUP(A176,Calendar!$A$1:$R$1377,18,0)=3,SUM(INDEX(Monthly_Pay_Model!$A$9:$D$40,MATCH(TEXT(A176,"dd"),Monthly_Pay_Model!$C$9:$C$39,0),4),INDEX(Monthly_Pay_Model!$A$9:$D$40,MATCH(TEXT(A177,"dd"),Monthly_Pay_Model!$C$9:$C$39,0),4),INDEX(Monthly_Pay_Model!$A$9:$D$40,MATCH(TEXT(A178,"dd"),Monthly_Pay_Model!$C$9:$C$39,0),4)),IF(VLOOKUP(A176,Calendar!$A$1:$R$1377,18,0)=4,SUM(INDEX(Monthly_Pay_Model!$A$9:$D$40,MATCH(TEXT(A176,"dd"),Monthly_Pay_Model!$C$9:$C$39,0),4),INDEX(Monthly_Pay_Model!$A$9:$D$40,MATCH(TEXT(A177,"dd"),Monthly_Pay_Model!$C$9:$C$39,0),4),INDEX(Monthly_Pay_Model!$A$9:$D$40,MATCH(TEXT(A178,"dd"),Monthly_Pay_Model!$C$9:$C$39,0),4),INDEX(Monthly_Pay_Model!$A$9:$D$40,MATCH(TEXT(A179,"dd"),Monthly_Pay_Model!$C$9:$C$39,0),4)),IF(VLOOKUP(A176,Calendar!$A$1:$R$1377,18,0)=5,SUM(INDEX(Monthly_Pay_Model!$A$9:$D$40,MATCH(TEXT(A176,"dd"),Monthly_Pay_Model!$C$9:$C$39,0),4),INDEX(Monthly_Pay_Model!$A$9:$D$40,MATCH(TEXT(A177,"dd"),Monthly_Pay_Model!$C$9:$C$39,0),4),INDEX(Monthly_Pay_Model!$A$9:$D$40,MATCH(TEXT(A178,"dd"),Monthly_Pay_Model!$C$9:$C$39,0),4),INDEX(Monthly_Pay_Model!$A$9:$D$40,MATCH(TEXT(A179,"dd"),Monthly_Pay_Model!$C$9:$C$39,0),4),INDEX(Monthly_Pay_Model!$A$9:$D$40,MATCH(TEXT(A180,"dd"),Monthly_Pay_Model!$C$9:$C$39,0),4)),))))))</f>
        <v>1.46261780104712E-2</v>
      </c>
      <c r="J176" s="33">
        <f>IF(C176="Yes",Monthly_Pay_Model!$D$2,0)
+IF(Calendar!N176="Yes",Monthly_Pay_Model!$D$3,0)
+IF(D176="Yes",Monthly_Pay_Model!$D$4,0)
+IF(E176="Yes",Monthly_Pay_Model!$D$5,0)</f>
        <v>0</v>
      </c>
      <c r="K176" s="27">
        <f>IF(VLOOKUP($A176,Calendar!$A$1:$R$1377,18,0)=0,0,IF(VLOOKUP($A176,Calendar!$A$1:$R$1377,18,0)=1,IFERROR(INDEX(Weekly_Model!$D$2:$D$9,MATCH(F176,Weekly_Model!$A$2:$A$9,0)),0),IF(VLOOKUP($A176,Calendar!$A$1:$R$1377,18,0)=2,SUM(IFERROR(INDEX(Weekly_Model!$D$2:$D$9,MATCH(F176,Weekly_Model!$A$2:$A$9,0)),0),IFERROR(INDEX(Weekly_Model!$D$2:$D$9,MATCH(F177,Weekly_Model!$A$2:$A$9,0)),0)),IF(VLOOKUP($A176,Calendar!$A$1:$R$1377,18,0)=3,SUM(IFERROR(INDEX(Weekly_Model!$D$2:$D$9,MATCH(F176,Weekly_Model!$A$2:$A$9,0)),0),IFERROR(INDEX(Weekly_Model!$D$2:$D$9,MATCH(F177,Weekly_Model!$A$2:$A$9,0)),0),IFERROR(INDEX(Weekly_Model!$D$2:$D$9,MATCH(F178,Weekly_Model!$A$2:$A$9,0)),0)),IF(VLOOKUP($A176,Calendar!$A$1:$R$1377,18,0)=4,SUM(IFERROR(INDEX(Weekly_Model!$D$2:$D$9,MATCH(F176,Weekly_Model!$A$2:$A$9,0)),0),IFERROR(INDEX(Weekly_Model!$D$2:$D$9,MATCH(F177,Weekly_Model!$A$2:$A$9,0)),0),IFERROR(INDEX(Weekly_Model!$D$2:$D$9,MATCH(F178,Weekly_Model!$A$2:$A$9,0)),0),IFERROR(INDEX(Weekly_Model!$D$2:$D$9,MATCH(F179,Weekly_Model!$A$2:$A$9,0)),0)),IF(VLOOKUP($A176,Calendar!$A$1:$R$1377,18,0)=5,SUM(IFERROR(INDEX(Weekly_Model!$D$2:$D$9,MATCH(F176,Weekly_Model!$A$2:$A$9,0)),0),IFERROR(INDEX(Weekly_Model!$D$2:$D$9,MATCH(F177,Weekly_Model!$A$2:$A$9,0)),0),IFERROR(INDEX(Weekly_Model!$D$2:$D$9,MATCH(F178,Weekly_Model!$A$2:$A$9,0)),0),IFERROR(INDEX(Weekly_Model!$D$2:$D$9,MATCH(F179,Weekly_Model!$A$2:$A$9,0)),0),IFERROR(INDEX(Weekly_Model!$D$2:$D$9,MATCH(F180,Weekly_Model!$A$2:$A$9,0)),0)),0))))))</f>
        <v>2.3200000000000002E-2</v>
      </c>
      <c r="L176" s="27">
        <f>IF(VLOOKUP($A176,Calendar!$A$1:$R$1377,18,0)=0,0,IF(VLOOKUP($A176,Calendar!$A$1:$R$1377,18,0)=1,IFERROR(INDEX(Fortnightly_Model!$D$2:$D$15,MATCH(G176,Fortnightly_Model!$B$2:$B$15,0)),0),IF(VLOOKUP($A176,Calendar!$A$1:$R$1377,18,0)=2,SUM(IFERROR(INDEX(Fortnightly_Model!$D$2:$D$15,MATCH(G176,Fortnightly_Model!$B$2:$B$15,0)),0),IFERROR(INDEX(Fortnightly_Model!$D$2:$D$15,MATCH(G177,Fortnightly_Model!$B$2:$B$15,0)),0)),IF(VLOOKUP($A176,Calendar!$A$1:$R$1377,18,0)=3,SUM(IFERROR(INDEX(Fortnightly_Model!$D$2:$D$15,MATCH(G176,Fortnightly_Model!$B$2:$B$15,0)),0),IFERROR(INDEX(Fortnightly_Model!$D$2:$D$15,MATCH(G177,Fortnightly_Model!$B$2:$B$15,0)),0),IFERROR(INDEX(Fortnightly_Model!$D$2:$D$15,MATCH(G178,Fortnightly_Model!$B$2:$B$15,0)),0)),IF(VLOOKUP($A176,Calendar!$A$1:$R$1377,18,0)=4,SUM(IFERROR(INDEX(Fortnightly_Model!$D$2:$D$15,MATCH(G176,Fortnightly_Model!$B$2:$B$15,0)),0),IFERROR(INDEX(Fortnightly_Model!$D$2:$D$15,MATCH(G177,Fortnightly_Model!$B$2:$B$15,0)),0),IFERROR(INDEX(Fortnightly_Model!$D$2:$D$15,MATCH(G178,Fortnightly_Model!$B$2:$B$15,0)),0),IFERROR(INDEX(Fortnightly_Model!$D$2:$D$15,MATCH(G179,Fortnightly_Model!$B$2:$B$15,0)),0)),IF(VLOOKUP($A176,Calendar!$A$1:$R$1377,18,0)=5,SUM(IFERROR(INDEX(Fortnightly_Model!$D$2:$D$15,MATCH(G176,Fortnightly_Model!$B$2:$B$15,0)),0),IFERROR(INDEX(Fortnightly_Model!$D$2:$D$15,MATCH(G177,Fortnightly_Model!$B$2:$B$15,0)),0),IFERROR(INDEX(Fortnightly_Model!$D$2:$D$15,MATCH(G178,Fortnightly_Model!$B$2:$B$15,0)),0),IFERROR(INDEX(Fortnightly_Model!$D$2:$D$15,MATCH(G179,Fortnightly_Model!$B$2:$B$15,0)),0),IFERROR(INDEX(Fortnightly_Model!$D$2:$D$15,MATCH(G180,Fortnightly_Model!$B$2:$B$15,0)),0)),0))))))</f>
        <v>3.2142856499999999E-3</v>
      </c>
      <c r="M176" s="27">
        <f>IF(VLOOKUP($A176,Calendar!$A$1:$R$1377,18,0)=0,0,IF(VLOOKUP($A176,Calendar!$A$1:$R$1377,18,0)=1,IFERROR(INDEX(FourWeekly_Model!$D$2:$D$29,MATCH(H176,FourWeekly_Model!$B$2:$B$29,0)),0),IF(VLOOKUP($A176,Calendar!$A$1:$R$1377,18,0)=2,SUM(IFERROR(INDEX(FourWeekly_Model!$D$2:$D$29,MATCH(H176,FourWeekly_Model!$B$2:$B$29,0)),0),IFERROR(INDEX(FourWeekly_Model!$D$2:$D$29,MATCH(H177,FourWeekly_Model!$B$2:$B$29,0)),0)),IF(VLOOKUP($A176,Calendar!$A$1:$R$1377,18,0)=3,SUM(IFERROR(INDEX(FourWeekly_Model!$D$2:$D$29,MATCH(H176,FourWeekly_Model!$B$2:$B$29,0)),0),IFERROR(INDEX(FourWeekly_Model!$D$2:$D$29,MATCH(H177,FourWeekly_Model!$B$2:$B$29,0)),0),IFERROR(INDEX(FourWeekly_Model!$D$2:$D$29,MATCH(H178,FourWeekly_Model!$B$2:$B$29,0)),0)),IF(VLOOKUP($A176,Calendar!$A$1:$R$1377,18,0)=4,SUM(IFERROR(INDEX(FourWeekly_Model!$D$2:$D$29,MATCH(H176,FourWeekly_Model!$B$2:$B$29,0)),0),IFERROR(INDEX(FourWeekly_Model!$D$2:$D$29,MATCH(H177,FourWeekly_Model!$B$2:$B$29,0)),0),IFERROR(INDEX(FourWeekly_Model!$D$2:$D$29,MATCH(H178,FourWeekly_Model!$B$2:$B$29,0)),0),IFERROR(INDEX(FourWeekly_Model!$D$2:$D$29,MATCH(H179,FourWeekly_Model!$B$2:$B$29,0)),0)),IF(VLOOKUP($A176,Calendar!$A$1:$R$1377,18,0)=5,SUM(IFERROR(INDEX(FourWeekly_Model!$D$2:$D$29,MATCH(H176,FourWeekly_Model!$B$2:$B$29,0)),0),IFERROR(INDEX(FourWeekly_Model!$D$2:$D$29,MATCH(H177,FourWeekly_Model!$B$2:$B$29,0)),0),IFERROR(INDEX(FourWeekly_Model!$D$2:$D$29,MATCH(H178,FourWeekly_Model!$B$2:$B$29,0)),0),IFERROR(INDEX(FourWeekly_Model!$D$2:$D$29,MATCH(H179,FourWeekly_Model!$B$2:$B$29,0)),0),IFERROR(INDEX(FourWeekly_Model!$D$2:$D$29,MATCH(H180,FourWeekly_Model!$B$2:$B$29,0)),0)),0))))))</f>
        <v>9.9642859800000011E-3</v>
      </c>
      <c r="N176" s="27">
        <f>SUM(I176:M176)</f>
        <v>5.1004749640471206E-2</v>
      </c>
      <c r="O176" s="28">
        <f>Population_Data!$B$8*N176</f>
        <v>1545443.9141062775</v>
      </c>
      <c r="P176" s="27">
        <f>IF(VLOOKUP($A176,Calendar!$A$1:$R$1377,18,0)=0,0,IF(VLOOKUP($A176,Calendar!$A$1:$R$1377,18,0)=1,IFERROR(INDEX(Pension_Model!$D$2:$D$29,MATCH(H176,Pension_Model!$B$2:$B$29,0)),0),IF(VLOOKUP($A176,Calendar!$A$1:$R$1377,18,0)=2,SUM(IFERROR(INDEX(Pension_Model!$D$2:$D$29,MATCH(H176,Pension_Model!$B$2:$B$29,0)),0),IFERROR(INDEX(Pension_Model!$D$2:$D$29,MATCH(H177,Pension_Model!$B$2:$B$29,0)),0)),IF(VLOOKUP($A176,Calendar!$A$1:$R$1377,18,0)=3,SUM(IFERROR(INDEX(Pension_Model!$D$2:$D$29,MATCH(H176,Pension_Model!$B$2:$B$29,0)),0),IFERROR(INDEX(Pension_Model!$D$2:$D$29,MATCH(H177,Pension_Model!$B$2:$B$29,0)),0),IFERROR(INDEX(Pension_Model!$D$2:$D$29,MATCH(H178,Pension_Model!$B$2:$B$29,0)),0)),IF(VLOOKUP($A176,Calendar!$A$1:$R$1377,18,0)=4,SUM(IFERROR(INDEX(Pension_Model!$D$2:$D$29,MATCH(H176,Pension_Model!$B$2:$B$29,0)),0),IFERROR(INDEX(Pension_Model!$D$2:$D$29,MATCH(H177,Pension_Model!$B$2:$B$29,0)),0),IFERROR(INDEX(Pension_Model!$D$2:$D$29,MATCH(H178,Pension_Model!$B$2:$B$29,0)),0),IFERROR(INDEX(Pension_Model!$D$2:$D$29,MATCH(H179,Pension_Model!$B$2:$B$29,0)),0)),IF(VLOOKUP($A176,Calendar!$A$1:$R$1377,18,0)=5,SUM(IFERROR(INDEX(Pension_Model!$D$2:$D$29,MATCH(H176,Pension_Model!$B$2:$B$29,0)),0),IFERROR(INDEX(Pension_Model!$D$2:$D$29,MATCH(H177,Pension_Model!$B$2:$B$29,0)),0),IFERROR(INDEX(Pension_Model!$D$2:$D$29,MATCH(H178,Pension_Model!$B$2:$B$29,0)),0),IFERROR(INDEX(Pension_Model!$D$2:$D$29,MATCH(H179,Pension_Model!$B$2:$B$29,0)),0),IFERROR(INDEX(Pension_Model!$D$2:$D$29,MATCH(H180,Pension_Model!$B$2:$B$29,0)),0)),0))))))</f>
        <v>0.05</v>
      </c>
      <c r="Q176" s="28">
        <f>Population_Data!$B$15*P176</f>
        <v>660600</v>
      </c>
      <c r="S176">
        <f t="shared" si="2"/>
        <v>2206043.9141062777</v>
      </c>
      <c r="U176" s="33">
        <f>S176/Population_Data!$B$19</f>
        <v>3.9964563661345612E-2</v>
      </c>
    </row>
    <row r="177" spans="1:21">
      <c r="A177" s="25">
        <f>Calendar!A177</f>
        <v>46410</v>
      </c>
      <c r="B177" t="str">
        <f>Calendar!L177</f>
        <v>No</v>
      </c>
      <c r="C177" t="str">
        <f>Calendar!O177</f>
        <v>No</v>
      </c>
      <c r="D177" t="str">
        <f>Calendar!P177</f>
        <v>No</v>
      </c>
      <c r="E177" t="str">
        <f>Calendar!Q177</f>
        <v>No</v>
      </c>
      <c r="F177" t="str">
        <f>Calendar!I177</f>
        <v>Saturday</v>
      </c>
      <c r="G177">
        <f>Calendar!S177</f>
        <v>0</v>
      </c>
      <c r="H177">
        <f>Calendar!T177</f>
        <v>14</v>
      </c>
      <c r="I177" s="27">
        <f>IF(VLOOKUP(A177,Calendar!$A$1:$R$1377,18,0)=0,0,IF(VLOOKUP(A177,Calendar!$A$1:$R$1377,18,0)=1,INDEX(Monthly_Pay_Model!$A$9:$D$40,MATCH(TEXT(A177,"dd"),Monthly_Pay_Model!$C$9:$C$39,0),4),IF(VLOOKUP(A177,Calendar!$A$1:$R$1377,18,0)=2,SUM(INDEX(Monthly_Pay_Model!$A$9:$D$40,MATCH(TEXT(A177,"dd"),Monthly_Pay_Model!$C$9:$C$39,0),4),INDEX(Monthly_Pay_Model!$A$9:$D$40,MATCH(TEXT(A178,"dd"),Monthly_Pay_Model!$C$9:$C$39,0),4)),IF(VLOOKUP(A177,Calendar!$A$1:$R$1377,18,0)=3,SUM(INDEX(Monthly_Pay_Model!$A$9:$D$40,MATCH(TEXT(A177,"dd"),Monthly_Pay_Model!$C$9:$C$39,0),4),INDEX(Monthly_Pay_Model!$A$9:$D$40,MATCH(TEXT(A178,"dd"),Monthly_Pay_Model!$C$9:$C$39,0),4),INDEX(Monthly_Pay_Model!$A$9:$D$40,MATCH(TEXT(A179,"dd"),Monthly_Pay_Model!$C$9:$C$39,0),4)),IF(VLOOKUP(A177,Calendar!$A$1:$R$1377,18,0)=4,SUM(INDEX(Monthly_Pay_Model!$A$9:$D$40,MATCH(TEXT(A177,"dd"),Monthly_Pay_Model!$C$9:$C$39,0),4),INDEX(Monthly_Pay_Model!$A$9:$D$40,MATCH(TEXT(A178,"dd"),Monthly_Pay_Model!$C$9:$C$39,0),4),INDEX(Monthly_Pay_Model!$A$9:$D$40,MATCH(TEXT(A179,"dd"),Monthly_Pay_Model!$C$9:$C$39,0),4),INDEX(Monthly_Pay_Model!$A$9:$D$40,MATCH(TEXT(A180,"dd"),Monthly_Pay_Model!$C$9:$C$39,0),4)),IF(VLOOKUP(A177,Calendar!$A$1:$R$1377,18,0)=5,SUM(INDEX(Monthly_Pay_Model!$A$9:$D$40,MATCH(TEXT(A177,"dd"),Monthly_Pay_Model!$C$9:$C$39,0),4),INDEX(Monthly_Pay_Model!$A$9:$D$40,MATCH(TEXT(A178,"dd"),Monthly_Pay_Model!$C$9:$C$39,0),4),INDEX(Monthly_Pay_Model!$A$9:$D$40,MATCH(TEXT(A179,"dd"),Monthly_Pay_Model!$C$9:$C$39,0),4),INDEX(Monthly_Pay_Model!$A$9:$D$40,MATCH(TEXT(A180,"dd"),Monthly_Pay_Model!$C$9:$C$39,0),4),INDEX(Monthly_Pay_Model!$A$9:$D$40,MATCH(TEXT(A181,"dd"),Monthly_Pay_Model!$C$9:$C$39,0),4)),))))))</f>
        <v>0</v>
      </c>
      <c r="J177" s="33">
        <f>IF(C177="Yes",Monthly_Pay_Model!$D$2,0)
+IF(Calendar!N177="Yes",Monthly_Pay_Model!$D$3,0)
+IF(D177="Yes",Monthly_Pay_Model!$D$4,0)
+IF(E177="Yes",Monthly_Pay_Model!$D$5,0)</f>
        <v>0</v>
      </c>
      <c r="K177" s="27">
        <f>IF(VLOOKUP($A177,Calendar!$A$1:$R$1377,18,0)=0,0,IF(VLOOKUP($A177,Calendar!$A$1:$R$1377,18,0)=1,IFERROR(INDEX(Weekly_Model!$D$2:$D$9,MATCH(F177,Weekly_Model!$A$2:$A$9,0)),0),IF(VLOOKUP($A177,Calendar!$A$1:$R$1377,18,0)=2,SUM(IFERROR(INDEX(Weekly_Model!$D$2:$D$9,MATCH(F177,Weekly_Model!$A$2:$A$9,0)),0),IFERROR(INDEX(Weekly_Model!$D$2:$D$9,MATCH(F178,Weekly_Model!$A$2:$A$9,0)),0)),IF(VLOOKUP($A177,Calendar!$A$1:$R$1377,18,0)=3,SUM(IFERROR(INDEX(Weekly_Model!$D$2:$D$9,MATCH(F177,Weekly_Model!$A$2:$A$9,0)),0),IFERROR(INDEX(Weekly_Model!$D$2:$D$9,MATCH(F178,Weekly_Model!$A$2:$A$9,0)),0),IFERROR(INDEX(Weekly_Model!$D$2:$D$9,MATCH(F179,Weekly_Model!$A$2:$A$9,0)),0)),IF(VLOOKUP($A177,Calendar!$A$1:$R$1377,18,0)=4,SUM(IFERROR(INDEX(Weekly_Model!$D$2:$D$9,MATCH(F177,Weekly_Model!$A$2:$A$9,0)),0),IFERROR(INDEX(Weekly_Model!$D$2:$D$9,MATCH(F178,Weekly_Model!$A$2:$A$9,0)),0),IFERROR(INDEX(Weekly_Model!$D$2:$D$9,MATCH(F179,Weekly_Model!$A$2:$A$9,0)),0),IFERROR(INDEX(Weekly_Model!$D$2:$D$9,MATCH(F180,Weekly_Model!$A$2:$A$9,0)),0)),IF(VLOOKUP($A177,Calendar!$A$1:$R$1377,18,0)=5,SUM(IFERROR(INDEX(Weekly_Model!$D$2:$D$9,MATCH(F177,Weekly_Model!$A$2:$A$9,0)),0),IFERROR(INDEX(Weekly_Model!$D$2:$D$9,MATCH(F178,Weekly_Model!$A$2:$A$9,0)),0),IFERROR(INDEX(Weekly_Model!$D$2:$D$9,MATCH(F179,Weekly_Model!$A$2:$A$9,0)),0),IFERROR(INDEX(Weekly_Model!$D$2:$D$9,MATCH(F180,Weekly_Model!$A$2:$A$9,0)),0),IFERROR(INDEX(Weekly_Model!$D$2:$D$9,MATCH(F181,Weekly_Model!$A$2:$A$9,0)),0)),0))))))</f>
        <v>0</v>
      </c>
      <c r="L177" s="27">
        <f>IF(VLOOKUP($A177,Calendar!$A$1:$R$1377,18,0)=0,0,IF(VLOOKUP($A177,Calendar!$A$1:$R$1377,18,0)=1,IFERROR(INDEX(Fortnightly_Model!$D$2:$D$15,MATCH(G177,Fortnightly_Model!$B$2:$B$15,0)),0),IF(VLOOKUP($A177,Calendar!$A$1:$R$1377,18,0)=2,SUM(IFERROR(INDEX(Fortnightly_Model!$D$2:$D$15,MATCH(G177,Fortnightly_Model!$B$2:$B$15,0)),0),IFERROR(INDEX(Fortnightly_Model!$D$2:$D$15,MATCH(G178,Fortnightly_Model!$B$2:$B$15,0)),0)),IF(VLOOKUP($A177,Calendar!$A$1:$R$1377,18,0)=3,SUM(IFERROR(INDEX(Fortnightly_Model!$D$2:$D$15,MATCH(G177,Fortnightly_Model!$B$2:$B$15,0)),0),IFERROR(INDEX(Fortnightly_Model!$D$2:$D$15,MATCH(G178,Fortnightly_Model!$B$2:$B$15,0)),0),IFERROR(INDEX(Fortnightly_Model!$D$2:$D$15,MATCH(G179,Fortnightly_Model!$B$2:$B$15,0)),0)),IF(VLOOKUP($A177,Calendar!$A$1:$R$1377,18,0)=4,SUM(IFERROR(INDEX(Fortnightly_Model!$D$2:$D$15,MATCH(G177,Fortnightly_Model!$B$2:$B$15,0)),0),IFERROR(INDEX(Fortnightly_Model!$D$2:$D$15,MATCH(G178,Fortnightly_Model!$B$2:$B$15,0)),0),IFERROR(INDEX(Fortnightly_Model!$D$2:$D$15,MATCH(G179,Fortnightly_Model!$B$2:$B$15,0)),0),IFERROR(INDEX(Fortnightly_Model!$D$2:$D$15,MATCH(G180,Fortnightly_Model!$B$2:$B$15,0)),0)),IF(VLOOKUP($A177,Calendar!$A$1:$R$1377,18,0)=5,SUM(IFERROR(INDEX(Fortnightly_Model!$D$2:$D$15,MATCH(G177,Fortnightly_Model!$B$2:$B$15,0)),0),IFERROR(INDEX(Fortnightly_Model!$D$2:$D$15,MATCH(G178,Fortnightly_Model!$B$2:$B$15,0)),0),IFERROR(INDEX(Fortnightly_Model!$D$2:$D$15,MATCH(G179,Fortnightly_Model!$B$2:$B$15,0)),0),IFERROR(INDEX(Fortnightly_Model!$D$2:$D$15,MATCH(G180,Fortnightly_Model!$B$2:$B$15,0)),0),IFERROR(INDEX(Fortnightly_Model!$D$2:$D$15,MATCH(G181,Fortnightly_Model!$B$2:$B$15,0)),0)),0))))))</f>
        <v>0</v>
      </c>
      <c r="M177" s="27">
        <f>IF(VLOOKUP($A177,Calendar!$A$1:$R$1377,18,0)=0,0,IF(VLOOKUP($A177,Calendar!$A$1:$R$1377,18,0)=1,IFERROR(INDEX(FourWeekly_Model!$D$2:$D$29,MATCH(H177,FourWeekly_Model!$B$2:$B$29,0)),0),IF(VLOOKUP($A177,Calendar!$A$1:$R$1377,18,0)=2,SUM(IFERROR(INDEX(FourWeekly_Model!$D$2:$D$29,MATCH(H177,FourWeekly_Model!$B$2:$B$29,0)),0),IFERROR(INDEX(FourWeekly_Model!$D$2:$D$29,MATCH(H178,FourWeekly_Model!$B$2:$B$29,0)),0)),IF(VLOOKUP($A177,Calendar!$A$1:$R$1377,18,0)=3,SUM(IFERROR(INDEX(FourWeekly_Model!$D$2:$D$29,MATCH(H177,FourWeekly_Model!$B$2:$B$29,0)),0),IFERROR(INDEX(FourWeekly_Model!$D$2:$D$29,MATCH(H178,FourWeekly_Model!$B$2:$B$29,0)),0),IFERROR(INDEX(FourWeekly_Model!$D$2:$D$29,MATCH(H179,FourWeekly_Model!$B$2:$B$29,0)),0)),IF(VLOOKUP($A177,Calendar!$A$1:$R$1377,18,0)=4,SUM(IFERROR(INDEX(FourWeekly_Model!$D$2:$D$29,MATCH(H177,FourWeekly_Model!$B$2:$B$29,0)),0),IFERROR(INDEX(FourWeekly_Model!$D$2:$D$29,MATCH(H178,FourWeekly_Model!$B$2:$B$29,0)),0),IFERROR(INDEX(FourWeekly_Model!$D$2:$D$29,MATCH(H179,FourWeekly_Model!$B$2:$B$29,0)),0),IFERROR(INDEX(FourWeekly_Model!$D$2:$D$29,MATCH(H180,FourWeekly_Model!$B$2:$B$29,0)),0)),IF(VLOOKUP($A177,Calendar!$A$1:$R$1377,18,0)=5,SUM(IFERROR(INDEX(FourWeekly_Model!$D$2:$D$29,MATCH(H177,FourWeekly_Model!$B$2:$B$29,0)),0),IFERROR(INDEX(FourWeekly_Model!$D$2:$D$29,MATCH(H178,FourWeekly_Model!$B$2:$B$29,0)),0),IFERROR(INDEX(FourWeekly_Model!$D$2:$D$29,MATCH(H179,FourWeekly_Model!$B$2:$B$29,0)),0),IFERROR(INDEX(FourWeekly_Model!$D$2:$D$29,MATCH(H180,FourWeekly_Model!$B$2:$B$29,0)),0),IFERROR(INDEX(FourWeekly_Model!$D$2:$D$29,MATCH(H181,FourWeekly_Model!$B$2:$B$29,0)),0)),0))))))</f>
        <v>0</v>
      </c>
      <c r="N177" s="27">
        <f>SUM(I177:M177)</f>
        <v>0</v>
      </c>
      <c r="O177" s="28">
        <f>Population_Data!$B$8*N177</f>
        <v>0</v>
      </c>
      <c r="P177" s="27">
        <f>IF(VLOOKUP($A177,Calendar!$A$1:$R$1377,18,0)=0,0,IF(VLOOKUP($A177,Calendar!$A$1:$R$1377,18,0)=1,IFERROR(INDEX(Pension_Model!$D$2:$D$29,MATCH(H177,Pension_Model!$B$2:$B$29,0)),0),IF(VLOOKUP($A177,Calendar!$A$1:$R$1377,18,0)=2,SUM(IFERROR(INDEX(Pension_Model!$D$2:$D$29,MATCH(H177,Pension_Model!$B$2:$B$29,0)),0),IFERROR(INDEX(Pension_Model!$D$2:$D$29,MATCH(H178,Pension_Model!$B$2:$B$29,0)),0)),IF(VLOOKUP($A177,Calendar!$A$1:$R$1377,18,0)=3,SUM(IFERROR(INDEX(Pension_Model!$D$2:$D$29,MATCH(H177,Pension_Model!$B$2:$B$29,0)),0),IFERROR(INDEX(Pension_Model!$D$2:$D$29,MATCH(H178,Pension_Model!$B$2:$B$29,0)),0),IFERROR(INDEX(Pension_Model!$D$2:$D$29,MATCH(H179,Pension_Model!$B$2:$B$29,0)),0)),IF(VLOOKUP($A177,Calendar!$A$1:$R$1377,18,0)=4,SUM(IFERROR(INDEX(Pension_Model!$D$2:$D$29,MATCH(H177,Pension_Model!$B$2:$B$29,0)),0),IFERROR(INDEX(Pension_Model!$D$2:$D$29,MATCH(H178,Pension_Model!$B$2:$B$29,0)),0),IFERROR(INDEX(Pension_Model!$D$2:$D$29,MATCH(H179,Pension_Model!$B$2:$B$29,0)),0),IFERROR(INDEX(Pension_Model!$D$2:$D$29,MATCH(H180,Pension_Model!$B$2:$B$29,0)),0)),IF(VLOOKUP($A177,Calendar!$A$1:$R$1377,18,0)=5,SUM(IFERROR(INDEX(Pension_Model!$D$2:$D$29,MATCH(H177,Pension_Model!$B$2:$B$29,0)),0),IFERROR(INDEX(Pension_Model!$D$2:$D$29,MATCH(H178,Pension_Model!$B$2:$B$29,0)),0),IFERROR(INDEX(Pension_Model!$D$2:$D$29,MATCH(H179,Pension_Model!$B$2:$B$29,0)),0),IFERROR(INDEX(Pension_Model!$D$2:$D$29,MATCH(H180,Pension_Model!$B$2:$B$29,0)),0),IFERROR(INDEX(Pension_Model!$D$2:$D$29,MATCH(H181,Pension_Model!$B$2:$B$29,0)),0)),0))))))</f>
        <v>0</v>
      </c>
      <c r="Q177" s="28">
        <f>Population_Data!$B$15*P177</f>
        <v>0</v>
      </c>
      <c r="S177">
        <f t="shared" si="2"/>
        <v>0</v>
      </c>
      <c r="U177" s="33">
        <f>S177/Population_Data!$B$19</f>
        <v>0</v>
      </c>
    </row>
    <row r="178" spans="1:21">
      <c r="A178" s="25">
        <f>Calendar!A178</f>
        <v>46411</v>
      </c>
      <c r="B178" t="str">
        <f>Calendar!L178</f>
        <v>No</v>
      </c>
      <c r="C178" t="str">
        <f>Calendar!O178</f>
        <v>No</v>
      </c>
      <c r="D178" t="str">
        <f>Calendar!P178</f>
        <v>No</v>
      </c>
      <c r="E178" t="str">
        <f>Calendar!Q178</f>
        <v>No</v>
      </c>
      <c r="F178" t="str">
        <f>Calendar!I178</f>
        <v>Sunday</v>
      </c>
      <c r="G178">
        <f>Calendar!S178</f>
        <v>1</v>
      </c>
      <c r="H178">
        <f>Calendar!T178</f>
        <v>15</v>
      </c>
      <c r="I178" s="27">
        <f>IF(VLOOKUP(A178,Calendar!$A$1:$R$1377,18,0)=0,0,IF(VLOOKUP(A178,Calendar!$A$1:$R$1377,18,0)=1,INDEX(Monthly_Pay_Model!$A$9:$D$40,MATCH(TEXT(A178,"dd"),Monthly_Pay_Model!$C$9:$C$39,0),4),IF(VLOOKUP(A178,Calendar!$A$1:$R$1377,18,0)=2,SUM(INDEX(Monthly_Pay_Model!$A$9:$D$40,MATCH(TEXT(A178,"dd"),Monthly_Pay_Model!$C$9:$C$39,0),4),INDEX(Monthly_Pay_Model!$A$9:$D$40,MATCH(TEXT(A179,"dd"),Monthly_Pay_Model!$C$9:$C$39,0),4)),IF(VLOOKUP(A178,Calendar!$A$1:$R$1377,18,0)=3,SUM(INDEX(Monthly_Pay_Model!$A$9:$D$40,MATCH(TEXT(A178,"dd"),Monthly_Pay_Model!$C$9:$C$39,0),4),INDEX(Monthly_Pay_Model!$A$9:$D$40,MATCH(TEXT(A179,"dd"),Monthly_Pay_Model!$C$9:$C$39,0),4),INDEX(Monthly_Pay_Model!$A$9:$D$40,MATCH(TEXT(A180,"dd"),Monthly_Pay_Model!$C$9:$C$39,0),4)),IF(VLOOKUP(A178,Calendar!$A$1:$R$1377,18,0)=4,SUM(INDEX(Monthly_Pay_Model!$A$9:$D$40,MATCH(TEXT(A178,"dd"),Monthly_Pay_Model!$C$9:$C$39,0),4),INDEX(Monthly_Pay_Model!$A$9:$D$40,MATCH(TEXT(A179,"dd"),Monthly_Pay_Model!$C$9:$C$39,0),4),INDEX(Monthly_Pay_Model!$A$9:$D$40,MATCH(TEXT(A180,"dd"),Monthly_Pay_Model!$C$9:$C$39,0),4),INDEX(Monthly_Pay_Model!$A$9:$D$40,MATCH(TEXT(A181,"dd"),Monthly_Pay_Model!$C$9:$C$39,0),4)),IF(VLOOKUP(A178,Calendar!$A$1:$R$1377,18,0)=5,SUM(INDEX(Monthly_Pay_Model!$A$9:$D$40,MATCH(TEXT(A178,"dd"),Monthly_Pay_Model!$C$9:$C$39,0),4),INDEX(Monthly_Pay_Model!$A$9:$D$40,MATCH(TEXT(A179,"dd"),Monthly_Pay_Model!$C$9:$C$39,0),4),INDEX(Monthly_Pay_Model!$A$9:$D$40,MATCH(TEXT(A180,"dd"),Monthly_Pay_Model!$C$9:$C$39,0),4),INDEX(Monthly_Pay_Model!$A$9:$D$40,MATCH(TEXT(A181,"dd"),Monthly_Pay_Model!$C$9:$C$39,0),4),INDEX(Monthly_Pay_Model!$A$9:$D$40,MATCH(TEXT(A182,"dd"),Monthly_Pay_Model!$C$9:$C$39,0),4)),))))))</f>
        <v>0</v>
      </c>
      <c r="J178" s="33">
        <f>IF(C178="Yes",Monthly_Pay_Model!$D$2,0)
+IF(Calendar!N178="Yes",Monthly_Pay_Model!$D$3,0)
+IF(D178="Yes",Monthly_Pay_Model!$D$4,0)
+IF(E178="Yes",Monthly_Pay_Model!$D$5,0)</f>
        <v>0</v>
      </c>
      <c r="K178" s="27">
        <f>IF(VLOOKUP($A178,Calendar!$A$1:$R$1377,18,0)=0,0,IF(VLOOKUP($A178,Calendar!$A$1:$R$1377,18,0)=1,IFERROR(INDEX(Weekly_Model!$D$2:$D$9,MATCH(F178,Weekly_Model!$A$2:$A$9,0)),0),IF(VLOOKUP($A178,Calendar!$A$1:$R$1377,18,0)=2,SUM(IFERROR(INDEX(Weekly_Model!$D$2:$D$9,MATCH(F178,Weekly_Model!$A$2:$A$9,0)),0),IFERROR(INDEX(Weekly_Model!$D$2:$D$9,MATCH(F179,Weekly_Model!$A$2:$A$9,0)),0)),IF(VLOOKUP($A178,Calendar!$A$1:$R$1377,18,0)=3,SUM(IFERROR(INDEX(Weekly_Model!$D$2:$D$9,MATCH(F178,Weekly_Model!$A$2:$A$9,0)),0),IFERROR(INDEX(Weekly_Model!$D$2:$D$9,MATCH(F179,Weekly_Model!$A$2:$A$9,0)),0),IFERROR(INDEX(Weekly_Model!$D$2:$D$9,MATCH(F180,Weekly_Model!$A$2:$A$9,0)),0)),IF(VLOOKUP($A178,Calendar!$A$1:$R$1377,18,0)=4,SUM(IFERROR(INDEX(Weekly_Model!$D$2:$D$9,MATCH(F178,Weekly_Model!$A$2:$A$9,0)),0),IFERROR(INDEX(Weekly_Model!$D$2:$D$9,MATCH(F179,Weekly_Model!$A$2:$A$9,0)),0),IFERROR(INDEX(Weekly_Model!$D$2:$D$9,MATCH(F180,Weekly_Model!$A$2:$A$9,0)),0),IFERROR(INDEX(Weekly_Model!$D$2:$D$9,MATCH(F181,Weekly_Model!$A$2:$A$9,0)),0)),IF(VLOOKUP($A178,Calendar!$A$1:$R$1377,18,0)=5,SUM(IFERROR(INDEX(Weekly_Model!$D$2:$D$9,MATCH(F178,Weekly_Model!$A$2:$A$9,0)),0),IFERROR(INDEX(Weekly_Model!$D$2:$D$9,MATCH(F179,Weekly_Model!$A$2:$A$9,0)),0),IFERROR(INDEX(Weekly_Model!$D$2:$D$9,MATCH(F180,Weekly_Model!$A$2:$A$9,0)),0),IFERROR(INDEX(Weekly_Model!$D$2:$D$9,MATCH(F181,Weekly_Model!$A$2:$A$9,0)),0),IFERROR(INDEX(Weekly_Model!$D$2:$D$9,MATCH(F182,Weekly_Model!$A$2:$A$9,0)),0)),0))))))</f>
        <v>0</v>
      </c>
      <c r="L178" s="27">
        <f>IF(VLOOKUP($A178,Calendar!$A$1:$R$1377,18,0)=0,0,IF(VLOOKUP($A178,Calendar!$A$1:$R$1377,18,0)=1,IFERROR(INDEX(Fortnightly_Model!$D$2:$D$15,MATCH(G178,Fortnightly_Model!$B$2:$B$15,0)),0),IF(VLOOKUP($A178,Calendar!$A$1:$R$1377,18,0)=2,SUM(IFERROR(INDEX(Fortnightly_Model!$D$2:$D$15,MATCH(G178,Fortnightly_Model!$B$2:$B$15,0)),0),IFERROR(INDEX(Fortnightly_Model!$D$2:$D$15,MATCH(G179,Fortnightly_Model!$B$2:$B$15,0)),0)),IF(VLOOKUP($A178,Calendar!$A$1:$R$1377,18,0)=3,SUM(IFERROR(INDEX(Fortnightly_Model!$D$2:$D$15,MATCH(G178,Fortnightly_Model!$B$2:$B$15,0)),0),IFERROR(INDEX(Fortnightly_Model!$D$2:$D$15,MATCH(G179,Fortnightly_Model!$B$2:$B$15,0)),0),IFERROR(INDEX(Fortnightly_Model!$D$2:$D$15,MATCH(G180,Fortnightly_Model!$B$2:$B$15,0)),0)),IF(VLOOKUP($A178,Calendar!$A$1:$R$1377,18,0)=4,SUM(IFERROR(INDEX(Fortnightly_Model!$D$2:$D$15,MATCH(G178,Fortnightly_Model!$B$2:$B$15,0)),0),IFERROR(INDEX(Fortnightly_Model!$D$2:$D$15,MATCH(G179,Fortnightly_Model!$B$2:$B$15,0)),0),IFERROR(INDEX(Fortnightly_Model!$D$2:$D$15,MATCH(G180,Fortnightly_Model!$B$2:$B$15,0)),0),IFERROR(INDEX(Fortnightly_Model!$D$2:$D$15,MATCH(G181,Fortnightly_Model!$B$2:$B$15,0)),0)),IF(VLOOKUP($A178,Calendar!$A$1:$R$1377,18,0)=5,SUM(IFERROR(INDEX(Fortnightly_Model!$D$2:$D$15,MATCH(G178,Fortnightly_Model!$B$2:$B$15,0)),0),IFERROR(INDEX(Fortnightly_Model!$D$2:$D$15,MATCH(G179,Fortnightly_Model!$B$2:$B$15,0)),0),IFERROR(INDEX(Fortnightly_Model!$D$2:$D$15,MATCH(G180,Fortnightly_Model!$B$2:$B$15,0)),0),IFERROR(INDEX(Fortnightly_Model!$D$2:$D$15,MATCH(G181,Fortnightly_Model!$B$2:$B$15,0)),0),IFERROR(INDEX(Fortnightly_Model!$D$2:$D$15,MATCH(G182,Fortnightly_Model!$B$2:$B$15,0)),0)),0))))))</f>
        <v>0</v>
      </c>
      <c r="M178" s="27">
        <f>IF(VLOOKUP($A178,Calendar!$A$1:$R$1377,18,0)=0,0,IF(VLOOKUP($A178,Calendar!$A$1:$R$1377,18,0)=1,IFERROR(INDEX(FourWeekly_Model!$D$2:$D$29,MATCH(H178,FourWeekly_Model!$B$2:$B$29,0)),0),IF(VLOOKUP($A178,Calendar!$A$1:$R$1377,18,0)=2,SUM(IFERROR(INDEX(FourWeekly_Model!$D$2:$D$29,MATCH(H178,FourWeekly_Model!$B$2:$B$29,0)),0),IFERROR(INDEX(FourWeekly_Model!$D$2:$D$29,MATCH(H179,FourWeekly_Model!$B$2:$B$29,0)),0)),IF(VLOOKUP($A178,Calendar!$A$1:$R$1377,18,0)=3,SUM(IFERROR(INDEX(FourWeekly_Model!$D$2:$D$29,MATCH(H178,FourWeekly_Model!$B$2:$B$29,0)),0),IFERROR(INDEX(FourWeekly_Model!$D$2:$D$29,MATCH(H179,FourWeekly_Model!$B$2:$B$29,0)),0),IFERROR(INDEX(FourWeekly_Model!$D$2:$D$29,MATCH(H180,FourWeekly_Model!$B$2:$B$29,0)),0)),IF(VLOOKUP($A178,Calendar!$A$1:$R$1377,18,0)=4,SUM(IFERROR(INDEX(FourWeekly_Model!$D$2:$D$29,MATCH(H178,FourWeekly_Model!$B$2:$B$29,0)),0),IFERROR(INDEX(FourWeekly_Model!$D$2:$D$29,MATCH(H179,FourWeekly_Model!$B$2:$B$29,0)),0),IFERROR(INDEX(FourWeekly_Model!$D$2:$D$29,MATCH(H180,FourWeekly_Model!$B$2:$B$29,0)),0),IFERROR(INDEX(FourWeekly_Model!$D$2:$D$29,MATCH(H181,FourWeekly_Model!$B$2:$B$29,0)),0)),IF(VLOOKUP($A178,Calendar!$A$1:$R$1377,18,0)=5,SUM(IFERROR(INDEX(FourWeekly_Model!$D$2:$D$29,MATCH(H178,FourWeekly_Model!$B$2:$B$29,0)),0),IFERROR(INDEX(FourWeekly_Model!$D$2:$D$29,MATCH(H179,FourWeekly_Model!$B$2:$B$29,0)),0),IFERROR(INDEX(FourWeekly_Model!$D$2:$D$29,MATCH(H180,FourWeekly_Model!$B$2:$B$29,0)),0),IFERROR(INDEX(FourWeekly_Model!$D$2:$D$29,MATCH(H181,FourWeekly_Model!$B$2:$B$29,0)),0),IFERROR(INDEX(FourWeekly_Model!$D$2:$D$29,MATCH(H182,FourWeekly_Model!$B$2:$B$29,0)),0)),0))))))</f>
        <v>0</v>
      </c>
      <c r="N178" s="27">
        <f>SUM(I178:M178)</f>
        <v>0</v>
      </c>
      <c r="O178" s="28">
        <f>Population_Data!$B$8*N178</f>
        <v>0</v>
      </c>
      <c r="P178" s="27">
        <f>IF(VLOOKUP($A178,Calendar!$A$1:$R$1377,18,0)=0,0,IF(VLOOKUP($A178,Calendar!$A$1:$R$1377,18,0)=1,IFERROR(INDEX(Pension_Model!$D$2:$D$29,MATCH(H178,Pension_Model!$B$2:$B$29,0)),0),IF(VLOOKUP($A178,Calendar!$A$1:$R$1377,18,0)=2,SUM(IFERROR(INDEX(Pension_Model!$D$2:$D$29,MATCH(H178,Pension_Model!$B$2:$B$29,0)),0),IFERROR(INDEX(Pension_Model!$D$2:$D$29,MATCH(H179,Pension_Model!$B$2:$B$29,0)),0)),IF(VLOOKUP($A178,Calendar!$A$1:$R$1377,18,0)=3,SUM(IFERROR(INDEX(Pension_Model!$D$2:$D$29,MATCH(H178,Pension_Model!$B$2:$B$29,0)),0),IFERROR(INDEX(Pension_Model!$D$2:$D$29,MATCH(H179,Pension_Model!$B$2:$B$29,0)),0),IFERROR(INDEX(Pension_Model!$D$2:$D$29,MATCH(H180,Pension_Model!$B$2:$B$29,0)),0)),IF(VLOOKUP($A178,Calendar!$A$1:$R$1377,18,0)=4,SUM(IFERROR(INDEX(Pension_Model!$D$2:$D$29,MATCH(H178,Pension_Model!$B$2:$B$29,0)),0),IFERROR(INDEX(Pension_Model!$D$2:$D$29,MATCH(H179,Pension_Model!$B$2:$B$29,0)),0),IFERROR(INDEX(Pension_Model!$D$2:$D$29,MATCH(H180,Pension_Model!$B$2:$B$29,0)),0),IFERROR(INDEX(Pension_Model!$D$2:$D$29,MATCH(H181,Pension_Model!$B$2:$B$29,0)),0)),IF(VLOOKUP($A178,Calendar!$A$1:$R$1377,18,0)=5,SUM(IFERROR(INDEX(Pension_Model!$D$2:$D$29,MATCH(H178,Pension_Model!$B$2:$B$29,0)),0),IFERROR(INDEX(Pension_Model!$D$2:$D$29,MATCH(H179,Pension_Model!$B$2:$B$29,0)),0),IFERROR(INDEX(Pension_Model!$D$2:$D$29,MATCH(H180,Pension_Model!$B$2:$B$29,0)),0),IFERROR(INDEX(Pension_Model!$D$2:$D$29,MATCH(H181,Pension_Model!$B$2:$B$29,0)),0),IFERROR(INDEX(Pension_Model!$D$2:$D$29,MATCH(H182,Pension_Model!$B$2:$B$29,0)),0)),0))))))</f>
        <v>0</v>
      </c>
      <c r="Q178" s="28">
        <f>Population_Data!$B$15*P178</f>
        <v>0</v>
      </c>
      <c r="S178">
        <f t="shared" si="2"/>
        <v>0</v>
      </c>
      <c r="U178" s="33">
        <f>S178/Population_Data!$B$19</f>
        <v>0</v>
      </c>
    </row>
    <row r="179" spans="1:21">
      <c r="A179" s="25">
        <f>Calendar!A179</f>
        <v>46412</v>
      </c>
      <c r="B179" t="str">
        <f>Calendar!L179</f>
        <v>Yes</v>
      </c>
      <c r="C179" t="str">
        <f>Calendar!O179</f>
        <v>No</v>
      </c>
      <c r="D179" t="str">
        <f>Calendar!P179</f>
        <v>No</v>
      </c>
      <c r="E179" t="str">
        <f>Calendar!Q179</f>
        <v>No</v>
      </c>
      <c r="F179" t="str">
        <f>Calendar!I179</f>
        <v>Monday</v>
      </c>
      <c r="G179">
        <f>Calendar!S179</f>
        <v>2</v>
      </c>
      <c r="H179">
        <f>Calendar!T179</f>
        <v>16</v>
      </c>
      <c r="I179" s="27">
        <f>IF(VLOOKUP(A179,Calendar!$A$1:$R$1377,18,0)=0,0,IF(VLOOKUP(A179,Calendar!$A$1:$R$1377,18,0)=1,INDEX(Monthly_Pay_Model!$A$9:$D$40,MATCH(TEXT(A179,"dd"),Monthly_Pay_Model!$C$9:$C$39,0),4),IF(VLOOKUP(A179,Calendar!$A$1:$R$1377,18,0)=2,SUM(INDEX(Monthly_Pay_Model!$A$9:$D$40,MATCH(TEXT(A179,"dd"),Monthly_Pay_Model!$C$9:$C$39,0),4),INDEX(Monthly_Pay_Model!$A$9:$D$40,MATCH(TEXT(A180,"dd"),Monthly_Pay_Model!$C$9:$C$39,0),4)),IF(VLOOKUP(A179,Calendar!$A$1:$R$1377,18,0)=3,SUM(INDEX(Monthly_Pay_Model!$A$9:$D$40,MATCH(TEXT(A179,"dd"),Monthly_Pay_Model!$C$9:$C$39,0),4),INDEX(Monthly_Pay_Model!$A$9:$D$40,MATCH(TEXT(A180,"dd"),Monthly_Pay_Model!$C$9:$C$39,0),4),INDEX(Monthly_Pay_Model!$A$9:$D$40,MATCH(TEXT(A181,"dd"),Monthly_Pay_Model!$C$9:$C$39,0),4)),IF(VLOOKUP(A179,Calendar!$A$1:$R$1377,18,0)=4,SUM(INDEX(Monthly_Pay_Model!$A$9:$D$40,MATCH(TEXT(A179,"dd"),Monthly_Pay_Model!$C$9:$C$39,0),4),INDEX(Monthly_Pay_Model!$A$9:$D$40,MATCH(TEXT(A180,"dd"),Monthly_Pay_Model!$C$9:$C$39,0),4),INDEX(Monthly_Pay_Model!$A$9:$D$40,MATCH(TEXT(A181,"dd"),Monthly_Pay_Model!$C$9:$C$39,0),4),INDEX(Monthly_Pay_Model!$A$9:$D$40,MATCH(TEXT(A182,"dd"),Monthly_Pay_Model!$C$9:$C$39,0),4)),IF(VLOOKUP(A179,Calendar!$A$1:$R$1377,18,0)=5,SUM(INDEX(Monthly_Pay_Model!$A$9:$D$40,MATCH(TEXT(A179,"dd"),Monthly_Pay_Model!$C$9:$C$39,0),4),INDEX(Monthly_Pay_Model!$A$9:$D$40,MATCH(TEXT(A180,"dd"),Monthly_Pay_Model!$C$9:$C$39,0),4),INDEX(Monthly_Pay_Model!$A$9:$D$40,MATCH(TEXT(A181,"dd"),Monthly_Pay_Model!$C$9:$C$39,0),4),INDEX(Monthly_Pay_Model!$A$9:$D$40,MATCH(TEXT(A182,"dd"),Monthly_Pay_Model!$C$9:$C$39,0),4),INDEX(Monthly_Pay_Model!$A$9:$D$40,MATCH(TEXT(A183,"dd"),Monthly_Pay_Model!$C$9:$C$39,0),4)),))))))</f>
        <v>2.1939267015706802E-2</v>
      </c>
      <c r="J179" s="33">
        <f>IF(C179="Yes",Monthly_Pay_Model!$D$2,0)
+IF(Calendar!N179="Yes",Monthly_Pay_Model!$D$3,0)
+IF(D179="Yes",Monthly_Pay_Model!$D$4,0)
+IF(E179="Yes",Monthly_Pay_Model!$D$5,0)</f>
        <v>0</v>
      </c>
      <c r="K179" s="27">
        <f>IF(VLOOKUP($A179,Calendar!$A$1:$R$1377,18,0)=0,0,IF(VLOOKUP($A179,Calendar!$A$1:$R$1377,18,0)=1,IFERROR(INDEX(Weekly_Model!$D$2:$D$9,MATCH(F179,Weekly_Model!$A$2:$A$9,0)),0),IF(VLOOKUP($A179,Calendar!$A$1:$R$1377,18,0)=2,SUM(IFERROR(INDEX(Weekly_Model!$D$2:$D$9,MATCH(F179,Weekly_Model!$A$2:$A$9,0)),0),IFERROR(INDEX(Weekly_Model!$D$2:$D$9,MATCH(F180,Weekly_Model!$A$2:$A$9,0)),0)),IF(VLOOKUP($A179,Calendar!$A$1:$R$1377,18,0)=3,SUM(IFERROR(INDEX(Weekly_Model!$D$2:$D$9,MATCH(F179,Weekly_Model!$A$2:$A$9,0)),0),IFERROR(INDEX(Weekly_Model!$D$2:$D$9,MATCH(F180,Weekly_Model!$A$2:$A$9,0)),0),IFERROR(INDEX(Weekly_Model!$D$2:$D$9,MATCH(F181,Weekly_Model!$A$2:$A$9,0)),0)),IF(VLOOKUP($A179,Calendar!$A$1:$R$1377,18,0)=4,SUM(IFERROR(INDEX(Weekly_Model!$D$2:$D$9,MATCH(F179,Weekly_Model!$A$2:$A$9,0)),0),IFERROR(INDEX(Weekly_Model!$D$2:$D$9,MATCH(F180,Weekly_Model!$A$2:$A$9,0)),0),IFERROR(INDEX(Weekly_Model!$D$2:$D$9,MATCH(F181,Weekly_Model!$A$2:$A$9,0)),0),IFERROR(INDEX(Weekly_Model!$D$2:$D$9,MATCH(F182,Weekly_Model!$A$2:$A$9,0)),0)),IF(VLOOKUP($A179,Calendar!$A$1:$R$1377,18,0)=5,SUM(IFERROR(INDEX(Weekly_Model!$D$2:$D$9,MATCH(F179,Weekly_Model!$A$2:$A$9,0)),0),IFERROR(INDEX(Weekly_Model!$D$2:$D$9,MATCH(F180,Weekly_Model!$A$2:$A$9,0)),0),IFERROR(INDEX(Weekly_Model!$D$2:$D$9,MATCH(F181,Weekly_Model!$A$2:$A$9,0)),0),IFERROR(INDEX(Weekly_Model!$D$2:$D$9,MATCH(F182,Weekly_Model!$A$2:$A$9,0)),0),IFERROR(INDEX(Weekly_Model!$D$2:$D$9,MATCH(F183,Weekly_Model!$A$2:$A$9,0)),0)),0))))))</f>
        <v>2.3200000000000002E-2</v>
      </c>
      <c r="L179" s="27">
        <f>IF(VLOOKUP($A179,Calendar!$A$1:$R$1377,18,0)=0,0,IF(VLOOKUP($A179,Calendar!$A$1:$R$1377,18,0)=1,IFERROR(INDEX(Fortnightly_Model!$D$2:$D$15,MATCH(G179,Fortnightly_Model!$B$2:$B$15,0)),0),IF(VLOOKUP($A179,Calendar!$A$1:$R$1377,18,0)=2,SUM(IFERROR(INDEX(Fortnightly_Model!$D$2:$D$15,MATCH(G179,Fortnightly_Model!$B$2:$B$15,0)),0),IFERROR(INDEX(Fortnightly_Model!$D$2:$D$15,MATCH(G180,Fortnightly_Model!$B$2:$B$15,0)),0)),IF(VLOOKUP($A179,Calendar!$A$1:$R$1377,18,0)=3,SUM(IFERROR(INDEX(Fortnightly_Model!$D$2:$D$15,MATCH(G179,Fortnightly_Model!$B$2:$B$15,0)),0),IFERROR(INDEX(Fortnightly_Model!$D$2:$D$15,MATCH(G180,Fortnightly_Model!$B$2:$B$15,0)),0),IFERROR(INDEX(Fortnightly_Model!$D$2:$D$15,MATCH(G181,Fortnightly_Model!$B$2:$B$15,0)),0)),IF(VLOOKUP($A179,Calendar!$A$1:$R$1377,18,0)=4,SUM(IFERROR(INDEX(Fortnightly_Model!$D$2:$D$15,MATCH(G179,Fortnightly_Model!$B$2:$B$15,0)),0),IFERROR(INDEX(Fortnightly_Model!$D$2:$D$15,MATCH(G180,Fortnightly_Model!$B$2:$B$15,0)),0),IFERROR(INDEX(Fortnightly_Model!$D$2:$D$15,MATCH(G181,Fortnightly_Model!$B$2:$B$15,0)),0),IFERROR(INDEX(Fortnightly_Model!$D$2:$D$15,MATCH(G182,Fortnightly_Model!$B$2:$B$15,0)),0)),IF(VLOOKUP($A179,Calendar!$A$1:$R$1377,18,0)=5,SUM(IFERROR(INDEX(Fortnightly_Model!$D$2:$D$15,MATCH(G179,Fortnightly_Model!$B$2:$B$15,0)),0),IFERROR(INDEX(Fortnightly_Model!$D$2:$D$15,MATCH(G180,Fortnightly_Model!$B$2:$B$15,0)),0),IFERROR(INDEX(Fortnightly_Model!$D$2:$D$15,MATCH(G181,Fortnightly_Model!$B$2:$B$15,0)),0),IFERROR(INDEX(Fortnightly_Model!$D$2:$D$15,MATCH(G182,Fortnightly_Model!$B$2:$B$15,0)),0),IFERROR(INDEX(Fortnightly_Model!$D$2:$D$15,MATCH(G183,Fortnightly_Model!$B$2:$B$15,0)),0)),0))))))</f>
        <v>1.0714285499999999E-3</v>
      </c>
      <c r="M179" s="27">
        <f>IF(VLOOKUP($A179,Calendar!$A$1:$R$1377,18,0)=0,0,IF(VLOOKUP($A179,Calendar!$A$1:$R$1377,18,0)=1,IFERROR(INDEX(FourWeekly_Model!$D$2:$D$29,MATCH(H179,FourWeekly_Model!$B$2:$B$29,0)),0),IF(VLOOKUP($A179,Calendar!$A$1:$R$1377,18,0)=2,SUM(IFERROR(INDEX(FourWeekly_Model!$D$2:$D$29,MATCH(H179,FourWeekly_Model!$B$2:$B$29,0)),0),IFERROR(INDEX(FourWeekly_Model!$D$2:$D$29,MATCH(H180,FourWeekly_Model!$B$2:$B$29,0)),0)),IF(VLOOKUP($A179,Calendar!$A$1:$R$1377,18,0)=3,SUM(IFERROR(INDEX(FourWeekly_Model!$D$2:$D$29,MATCH(H179,FourWeekly_Model!$B$2:$B$29,0)),0),IFERROR(INDEX(FourWeekly_Model!$D$2:$D$29,MATCH(H180,FourWeekly_Model!$B$2:$B$29,0)),0),IFERROR(INDEX(FourWeekly_Model!$D$2:$D$29,MATCH(H181,FourWeekly_Model!$B$2:$B$29,0)),0)),IF(VLOOKUP($A179,Calendar!$A$1:$R$1377,18,0)=4,SUM(IFERROR(INDEX(FourWeekly_Model!$D$2:$D$29,MATCH(H179,FourWeekly_Model!$B$2:$B$29,0)),0),IFERROR(INDEX(FourWeekly_Model!$D$2:$D$29,MATCH(H180,FourWeekly_Model!$B$2:$B$29,0)),0),IFERROR(INDEX(FourWeekly_Model!$D$2:$D$29,MATCH(H181,FourWeekly_Model!$B$2:$B$29,0)),0),IFERROR(INDEX(FourWeekly_Model!$D$2:$D$29,MATCH(H182,FourWeekly_Model!$B$2:$B$29,0)),0)),IF(VLOOKUP($A179,Calendar!$A$1:$R$1377,18,0)=5,SUM(IFERROR(INDEX(FourWeekly_Model!$D$2:$D$29,MATCH(H179,FourWeekly_Model!$B$2:$B$29,0)),0),IFERROR(INDEX(FourWeekly_Model!$D$2:$D$29,MATCH(H180,FourWeekly_Model!$B$2:$B$29,0)),0),IFERROR(INDEX(FourWeekly_Model!$D$2:$D$29,MATCH(H181,FourWeekly_Model!$B$2:$B$29,0)),0),IFERROR(INDEX(FourWeekly_Model!$D$2:$D$29,MATCH(H182,FourWeekly_Model!$B$2:$B$29,0)),0),IFERROR(INDEX(FourWeekly_Model!$D$2:$D$29,MATCH(H183,FourWeekly_Model!$B$2:$B$29,0)),0)),0))))))</f>
        <v>3.3214289700000004E-3</v>
      </c>
      <c r="N179" s="27">
        <f>SUM(I179:M179)</f>
        <v>4.9532124535706809E-2</v>
      </c>
      <c r="O179" s="28">
        <f>Population_Data!$B$8*N179</f>
        <v>1500823.3734319163</v>
      </c>
      <c r="P179" s="27">
        <f>IF(VLOOKUP($A179,Calendar!$A$1:$R$1377,18,0)=0,0,IF(VLOOKUP($A179,Calendar!$A$1:$R$1377,18,0)=1,IFERROR(INDEX(Pension_Model!$D$2:$D$29,MATCH(H179,Pension_Model!$B$2:$B$29,0)),0),IF(VLOOKUP($A179,Calendar!$A$1:$R$1377,18,0)=2,SUM(IFERROR(INDEX(Pension_Model!$D$2:$D$29,MATCH(H179,Pension_Model!$B$2:$B$29,0)),0),IFERROR(INDEX(Pension_Model!$D$2:$D$29,MATCH(H180,Pension_Model!$B$2:$B$29,0)),0)),IF(VLOOKUP($A179,Calendar!$A$1:$R$1377,18,0)=3,SUM(IFERROR(INDEX(Pension_Model!$D$2:$D$29,MATCH(H179,Pension_Model!$B$2:$B$29,0)),0),IFERROR(INDEX(Pension_Model!$D$2:$D$29,MATCH(H180,Pension_Model!$B$2:$B$29,0)),0),IFERROR(INDEX(Pension_Model!$D$2:$D$29,MATCH(H181,Pension_Model!$B$2:$B$29,0)),0)),IF(VLOOKUP($A179,Calendar!$A$1:$R$1377,18,0)=4,SUM(IFERROR(INDEX(Pension_Model!$D$2:$D$29,MATCH(H179,Pension_Model!$B$2:$B$29,0)),0),IFERROR(INDEX(Pension_Model!$D$2:$D$29,MATCH(H180,Pension_Model!$B$2:$B$29,0)),0),IFERROR(INDEX(Pension_Model!$D$2:$D$29,MATCH(H181,Pension_Model!$B$2:$B$29,0)),0),IFERROR(INDEX(Pension_Model!$D$2:$D$29,MATCH(H182,Pension_Model!$B$2:$B$29,0)),0)),IF(VLOOKUP($A179,Calendar!$A$1:$R$1377,18,0)=5,SUM(IFERROR(INDEX(Pension_Model!$D$2:$D$29,MATCH(H179,Pension_Model!$B$2:$B$29,0)),0),IFERROR(INDEX(Pension_Model!$D$2:$D$29,MATCH(H180,Pension_Model!$B$2:$B$29,0)),0),IFERROR(INDEX(Pension_Model!$D$2:$D$29,MATCH(H181,Pension_Model!$B$2:$B$29,0)),0),IFERROR(INDEX(Pension_Model!$D$2:$D$29,MATCH(H182,Pension_Model!$B$2:$B$29,0)),0),IFERROR(INDEX(Pension_Model!$D$2:$D$29,MATCH(H183,Pension_Model!$B$2:$B$29,0)),0)),0))))))</f>
        <v>0.05</v>
      </c>
      <c r="Q179" s="28">
        <f>Population_Data!$B$15*P179</f>
        <v>660600</v>
      </c>
      <c r="S179">
        <f t="shared" si="2"/>
        <v>2161423.3734319163</v>
      </c>
      <c r="U179" s="33">
        <f>S179/Population_Data!$B$19</f>
        <v>3.9156220533186889E-2</v>
      </c>
    </row>
    <row r="180" spans="1:21">
      <c r="A180" s="25">
        <f>Calendar!A180</f>
        <v>46413</v>
      </c>
      <c r="B180" t="str">
        <f>Calendar!L180</f>
        <v>Yes</v>
      </c>
      <c r="C180" t="str">
        <f>Calendar!O180</f>
        <v>No</v>
      </c>
      <c r="D180" t="str">
        <f>Calendar!P180</f>
        <v>No</v>
      </c>
      <c r="E180" t="str">
        <f>Calendar!Q180</f>
        <v>No</v>
      </c>
      <c r="F180" t="str">
        <f>Calendar!I180</f>
        <v>Tuesday</v>
      </c>
      <c r="G180">
        <f>Calendar!S180</f>
        <v>3</v>
      </c>
      <c r="H180">
        <f>Calendar!T180</f>
        <v>17</v>
      </c>
      <c r="I180" s="27">
        <f>IF(VLOOKUP(A180,Calendar!$A$1:$R$1377,18,0)=0,0,IF(VLOOKUP(A180,Calendar!$A$1:$R$1377,18,0)=1,INDEX(Monthly_Pay_Model!$A$9:$D$40,MATCH(TEXT(A180,"dd"),Monthly_Pay_Model!$C$9:$C$39,0),4),IF(VLOOKUP(A180,Calendar!$A$1:$R$1377,18,0)=2,SUM(INDEX(Monthly_Pay_Model!$A$9:$D$40,MATCH(TEXT(A180,"dd"),Monthly_Pay_Model!$C$9:$C$39,0),4),INDEX(Monthly_Pay_Model!$A$9:$D$40,MATCH(TEXT(A181,"dd"),Monthly_Pay_Model!$C$9:$C$39,0),4)),IF(VLOOKUP(A180,Calendar!$A$1:$R$1377,18,0)=3,SUM(INDEX(Monthly_Pay_Model!$A$9:$D$40,MATCH(TEXT(A180,"dd"),Monthly_Pay_Model!$C$9:$C$39,0),4),INDEX(Monthly_Pay_Model!$A$9:$D$40,MATCH(TEXT(A181,"dd"),Monthly_Pay_Model!$C$9:$C$39,0),4),INDEX(Monthly_Pay_Model!$A$9:$D$40,MATCH(TEXT(A182,"dd"),Monthly_Pay_Model!$C$9:$C$39,0),4)),IF(VLOOKUP(A180,Calendar!$A$1:$R$1377,18,0)=4,SUM(INDEX(Monthly_Pay_Model!$A$9:$D$40,MATCH(TEXT(A180,"dd"),Monthly_Pay_Model!$C$9:$C$39,0),4),INDEX(Monthly_Pay_Model!$A$9:$D$40,MATCH(TEXT(A181,"dd"),Monthly_Pay_Model!$C$9:$C$39,0),4),INDEX(Monthly_Pay_Model!$A$9:$D$40,MATCH(TEXT(A182,"dd"),Monthly_Pay_Model!$C$9:$C$39,0),4),INDEX(Monthly_Pay_Model!$A$9:$D$40,MATCH(TEXT(A183,"dd"),Monthly_Pay_Model!$C$9:$C$39,0),4)),IF(VLOOKUP(A180,Calendar!$A$1:$R$1377,18,0)=5,SUM(INDEX(Monthly_Pay_Model!$A$9:$D$40,MATCH(TEXT(A180,"dd"),Monthly_Pay_Model!$C$9:$C$39,0),4),INDEX(Monthly_Pay_Model!$A$9:$D$40,MATCH(TEXT(A181,"dd"),Monthly_Pay_Model!$C$9:$C$39,0),4),INDEX(Monthly_Pay_Model!$A$9:$D$40,MATCH(TEXT(A182,"dd"),Monthly_Pay_Model!$C$9:$C$39,0),4),INDEX(Monthly_Pay_Model!$A$9:$D$40,MATCH(TEXT(A183,"dd"),Monthly_Pay_Model!$C$9:$C$39,0),4),INDEX(Monthly_Pay_Model!$A$9:$D$40,MATCH(TEXT(A184,"dd"),Monthly_Pay_Model!$C$9:$C$39,0),4)),))))))</f>
        <v>9.7507853403141324E-3</v>
      </c>
      <c r="J180" s="33">
        <f>IF(C180="Yes",Monthly_Pay_Model!$D$2,0)
+IF(Calendar!N180="Yes",Monthly_Pay_Model!$D$3,0)
+IF(D180="Yes",Monthly_Pay_Model!$D$4,0)
+IF(E180="Yes",Monthly_Pay_Model!$D$5,0)</f>
        <v>0</v>
      </c>
      <c r="K180" s="27">
        <f>IF(VLOOKUP($A180,Calendar!$A$1:$R$1377,18,0)=0,0,IF(VLOOKUP($A180,Calendar!$A$1:$R$1377,18,0)=1,IFERROR(INDEX(Weekly_Model!$D$2:$D$9,MATCH(F180,Weekly_Model!$A$2:$A$9,0)),0),IF(VLOOKUP($A180,Calendar!$A$1:$R$1377,18,0)=2,SUM(IFERROR(INDEX(Weekly_Model!$D$2:$D$9,MATCH(F180,Weekly_Model!$A$2:$A$9,0)),0),IFERROR(INDEX(Weekly_Model!$D$2:$D$9,MATCH(F181,Weekly_Model!$A$2:$A$9,0)),0)),IF(VLOOKUP($A180,Calendar!$A$1:$R$1377,18,0)=3,SUM(IFERROR(INDEX(Weekly_Model!$D$2:$D$9,MATCH(F180,Weekly_Model!$A$2:$A$9,0)),0),IFERROR(INDEX(Weekly_Model!$D$2:$D$9,MATCH(F181,Weekly_Model!$A$2:$A$9,0)),0),IFERROR(INDEX(Weekly_Model!$D$2:$D$9,MATCH(F182,Weekly_Model!$A$2:$A$9,0)),0)),IF(VLOOKUP($A180,Calendar!$A$1:$R$1377,18,0)=4,SUM(IFERROR(INDEX(Weekly_Model!$D$2:$D$9,MATCH(F180,Weekly_Model!$A$2:$A$9,0)),0),IFERROR(INDEX(Weekly_Model!$D$2:$D$9,MATCH(F181,Weekly_Model!$A$2:$A$9,0)),0),IFERROR(INDEX(Weekly_Model!$D$2:$D$9,MATCH(F182,Weekly_Model!$A$2:$A$9,0)),0),IFERROR(INDEX(Weekly_Model!$D$2:$D$9,MATCH(F183,Weekly_Model!$A$2:$A$9,0)),0)),IF(VLOOKUP($A180,Calendar!$A$1:$R$1377,18,0)=5,SUM(IFERROR(INDEX(Weekly_Model!$D$2:$D$9,MATCH(F180,Weekly_Model!$A$2:$A$9,0)),0),IFERROR(INDEX(Weekly_Model!$D$2:$D$9,MATCH(F181,Weekly_Model!$A$2:$A$9,0)),0),IFERROR(INDEX(Weekly_Model!$D$2:$D$9,MATCH(F182,Weekly_Model!$A$2:$A$9,0)),0),IFERROR(INDEX(Weekly_Model!$D$2:$D$9,MATCH(F183,Weekly_Model!$A$2:$A$9,0)),0),IFERROR(INDEX(Weekly_Model!$D$2:$D$9,MATCH(F184,Weekly_Model!$A$2:$A$9,0)),0)),0))))))</f>
        <v>2.3200000000000002E-2</v>
      </c>
      <c r="L180" s="27">
        <f>IF(VLOOKUP($A180,Calendar!$A$1:$R$1377,18,0)=0,0,IF(VLOOKUP($A180,Calendar!$A$1:$R$1377,18,0)=1,IFERROR(INDEX(Fortnightly_Model!$D$2:$D$15,MATCH(G180,Fortnightly_Model!$B$2:$B$15,0)),0),IF(VLOOKUP($A180,Calendar!$A$1:$R$1377,18,0)=2,SUM(IFERROR(INDEX(Fortnightly_Model!$D$2:$D$15,MATCH(G180,Fortnightly_Model!$B$2:$B$15,0)),0),IFERROR(INDEX(Fortnightly_Model!$D$2:$D$15,MATCH(G181,Fortnightly_Model!$B$2:$B$15,0)),0)),IF(VLOOKUP($A180,Calendar!$A$1:$R$1377,18,0)=3,SUM(IFERROR(INDEX(Fortnightly_Model!$D$2:$D$15,MATCH(G180,Fortnightly_Model!$B$2:$B$15,0)),0),IFERROR(INDEX(Fortnightly_Model!$D$2:$D$15,MATCH(G181,Fortnightly_Model!$B$2:$B$15,0)),0),IFERROR(INDEX(Fortnightly_Model!$D$2:$D$15,MATCH(G182,Fortnightly_Model!$B$2:$B$15,0)),0)),IF(VLOOKUP($A180,Calendar!$A$1:$R$1377,18,0)=4,SUM(IFERROR(INDEX(Fortnightly_Model!$D$2:$D$15,MATCH(G180,Fortnightly_Model!$B$2:$B$15,0)),0),IFERROR(INDEX(Fortnightly_Model!$D$2:$D$15,MATCH(G181,Fortnightly_Model!$B$2:$B$15,0)),0),IFERROR(INDEX(Fortnightly_Model!$D$2:$D$15,MATCH(G182,Fortnightly_Model!$B$2:$B$15,0)),0),IFERROR(INDEX(Fortnightly_Model!$D$2:$D$15,MATCH(G183,Fortnightly_Model!$B$2:$B$15,0)),0)),IF(VLOOKUP($A180,Calendar!$A$1:$R$1377,18,0)=5,SUM(IFERROR(INDEX(Fortnightly_Model!$D$2:$D$15,MATCH(G180,Fortnightly_Model!$B$2:$B$15,0)),0),IFERROR(INDEX(Fortnightly_Model!$D$2:$D$15,MATCH(G181,Fortnightly_Model!$B$2:$B$15,0)),0),IFERROR(INDEX(Fortnightly_Model!$D$2:$D$15,MATCH(G182,Fortnightly_Model!$B$2:$B$15,0)),0),IFERROR(INDEX(Fortnightly_Model!$D$2:$D$15,MATCH(G183,Fortnightly_Model!$B$2:$B$15,0)),0),IFERROR(INDEX(Fortnightly_Model!$D$2:$D$15,MATCH(G184,Fortnightly_Model!$B$2:$B$15,0)),0)),0))))))</f>
        <v>1.0714285499999999E-3</v>
      </c>
      <c r="M180" s="27">
        <f>IF(VLOOKUP($A180,Calendar!$A$1:$R$1377,18,0)=0,0,IF(VLOOKUP($A180,Calendar!$A$1:$R$1377,18,0)=1,IFERROR(INDEX(FourWeekly_Model!$D$2:$D$29,MATCH(H180,FourWeekly_Model!$B$2:$B$29,0)),0),IF(VLOOKUP($A180,Calendar!$A$1:$R$1377,18,0)=2,SUM(IFERROR(INDEX(FourWeekly_Model!$D$2:$D$29,MATCH(H180,FourWeekly_Model!$B$2:$B$29,0)),0),IFERROR(INDEX(FourWeekly_Model!$D$2:$D$29,MATCH(H181,FourWeekly_Model!$B$2:$B$29,0)),0)),IF(VLOOKUP($A180,Calendar!$A$1:$R$1377,18,0)=3,SUM(IFERROR(INDEX(FourWeekly_Model!$D$2:$D$29,MATCH(H180,FourWeekly_Model!$B$2:$B$29,0)),0),IFERROR(INDEX(FourWeekly_Model!$D$2:$D$29,MATCH(H181,FourWeekly_Model!$B$2:$B$29,0)),0),IFERROR(INDEX(FourWeekly_Model!$D$2:$D$29,MATCH(H182,FourWeekly_Model!$B$2:$B$29,0)),0)),IF(VLOOKUP($A180,Calendar!$A$1:$R$1377,18,0)=4,SUM(IFERROR(INDEX(FourWeekly_Model!$D$2:$D$29,MATCH(H180,FourWeekly_Model!$B$2:$B$29,0)),0),IFERROR(INDEX(FourWeekly_Model!$D$2:$D$29,MATCH(H181,FourWeekly_Model!$B$2:$B$29,0)),0),IFERROR(INDEX(FourWeekly_Model!$D$2:$D$29,MATCH(H182,FourWeekly_Model!$B$2:$B$29,0)),0),IFERROR(INDEX(FourWeekly_Model!$D$2:$D$29,MATCH(H183,FourWeekly_Model!$B$2:$B$29,0)),0)),IF(VLOOKUP($A180,Calendar!$A$1:$R$1377,18,0)=5,SUM(IFERROR(INDEX(FourWeekly_Model!$D$2:$D$29,MATCH(H180,FourWeekly_Model!$B$2:$B$29,0)),0),IFERROR(INDEX(FourWeekly_Model!$D$2:$D$29,MATCH(H181,FourWeekly_Model!$B$2:$B$29,0)),0),IFERROR(INDEX(FourWeekly_Model!$D$2:$D$29,MATCH(H182,FourWeekly_Model!$B$2:$B$29,0)),0),IFERROR(INDEX(FourWeekly_Model!$D$2:$D$29,MATCH(H183,FourWeekly_Model!$B$2:$B$29,0)),0),IFERROR(INDEX(FourWeekly_Model!$D$2:$D$29,MATCH(H184,FourWeekly_Model!$B$2:$B$29,0)),0)),0))))))</f>
        <v>3.3214289700000004E-3</v>
      </c>
      <c r="N180" s="27">
        <f>SUM(I180:M180)</f>
        <v>3.7343642860314136E-2</v>
      </c>
      <c r="O180" s="28">
        <f>Population_Data!$B$8*N180</f>
        <v>1131512.3786675183</v>
      </c>
      <c r="P180" s="27">
        <f>IF(VLOOKUP($A180,Calendar!$A$1:$R$1377,18,0)=0,0,IF(VLOOKUP($A180,Calendar!$A$1:$R$1377,18,0)=1,IFERROR(INDEX(Pension_Model!$D$2:$D$29,MATCH(H180,Pension_Model!$B$2:$B$29,0)),0),IF(VLOOKUP($A180,Calendar!$A$1:$R$1377,18,0)=2,SUM(IFERROR(INDEX(Pension_Model!$D$2:$D$29,MATCH(H180,Pension_Model!$B$2:$B$29,0)),0),IFERROR(INDEX(Pension_Model!$D$2:$D$29,MATCH(H181,Pension_Model!$B$2:$B$29,0)),0)),IF(VLOOKUP($A180,Calendar!$A$1:$R$1377,18,0)=3,SUM(IFERROR(INDEX(Pension_Model!$D$2:$D$29,MATCH(H180,Pension_Model!$B$2:$B$29,0)),0),IFERROR(INDEX(Pension_Model!$D$2:$D$29,MATCH(H181,Pension_Model!$B$2:$B$29,0)),0),IFERROR(INDEX(Pension_Model!$D$2:$D$29,MATCH(H182,Pension_Model!$B$2:$B$29,0)),0)),IF(VLOOKUP($A180,Calendar!$A$1:$R$1377,18,0)=4,SUM(IFERROR(INDEX(Pension_Model!$D$2:$D$29,MATCH(H180,Pension_Model!$B$2:$B$29,0)),0),IFERROR(INDEX(Pension_Model!$D$2:$D$29,MATCH(H181,Pension_Model!$B$2:$B$29,0)),0),IFERROR(INDEX(Pension_Model!$D$2:$D$29,MATCH(H182,Pension_Model!$B$2:$B$29,0)),0),IFERROR(INDEX(Pension_Model!$D$2:$D$29,MATCH(H183,Pension_Model!$B$2:$B$29,0)),0)),IF(VLOOKUP($A180,Calendar!$A$1:$R$1377,18,0)=5,SUM(IFERROR(INDEX(Pension_Model!$D$2:$D$29,MATCH(H180,Pension_Model!$B$2:$B$29,0)),0),IFERROR(INDEX(Pension_Model!$D$2:$D$29,MATCH(H181,Pension_Model!$B$2:$B$29,0)),0),IFERROR(INDEX(Pension_Model!$D$2:$D$29,MATCH(H182,Pension_Model!$B$2:$B$29,0)),0),IFERROR(INDEX(Pension_Model!$D$2:$D$29,MATCH(H183,Pension_Model!$B$2:$B$29,0)),0),IFERROR(INDEX(Pension_Model!$D$2:$D$29,MATCH(H184,Pension_Model!$B$2:$B$29,0)),0)),0))))))</f>
        <v>0.05</v>
      </c>
      <c r="Q180" s="28">
        <f>Population_Data!$B$15*P180</f>
        <v>660600</v>
      </c>
      <c r="S180">
        <f t="shared" si="2"/>
        <v>1792112.3786675183</v>
      </c>
      <c r="U180" s="33">
        <f>S180/Population_Data!$B$19</f>
        <v>3.2465803961368084E-2</v>
      </c>
    </row>
    <row r="181" spans="1:21">
      <c r="A181" s="25">
        <f>Calendar!A181</f>
        <v>46414</v>
      </c>
      <c r="B181" t="str">
        <f>Calendar!L181</f>
        <v>Yes</v>
      </c>
      <c r="C181" t="str">
        <f>Calendar!O181</f>
        <v>No</v>
      </c>
      <c r="D181" t="str">
        <f>Calendar!P181</f>
        <v>No</v>
      </c>
      <c r="E181" t="str">
        <f>Calendar!Q181</f>
        <v>No</v>
      </c>
      <c r="F181" t="str">
        <f>Calendar!I181</f>
        <v>Wednesday</v>
      </c>
      <c r="G181">
        <f>Calendar!S181</f>
        <v>4</v>
      </c>
      <c r="H181">
        <f>Calendar!T181</f>
        <v>18</v>
      </c>
      <c r="I181" s="27">
        <f>IF(VLOOKUP(A181,Calendar!$A$1:$R$1377,18,0)=0,0,IF(VLOOKUP(A181,Calendar!$A$1:$R$1377,18,0)=1,INDEX(Monthly_Pay_Model!$A$9:$D$40,MATCH(TEXT(A181,"dd"),Monthly_Pay_Model!$C$9:$C$39,0),4),IF(VLOOKUP(A181,Calendar!$A$1:$R$1377,18,0)=2,SUM(INDEX(Monthly_Pay_Model!$A$9:$D$40,MATCH(TEXT(A181,"dd"),Monthly_Pay_Model!$C$9:$C$39,0),4),INDEX(Monthly_Pay_Model!$A$9:$D$40,MATCH(TEXT(A182,"dd"),Monthly_Pay_Model!$C$9:$C$39,0),4)),IF(VLOOKUP(A181,Calendar!$A$1:$R$1377,18,0)=3,SUM(INDEX(Monthly_Pay_Model!$A$9:$D$40,MATCH(TEXT(A181,"dd"),Monthly_Pay_Model!$C$9:$C$39,0),4),INDEX(Monthly_Pay_Model!$A$9:$D$40,MATCH(TEXT(A182,"dd"),Monthly_Pay_Model!$C$9:$C$39,0),4),INDEX(Monthly_Pay_Model!$A$9:$D$40,MATCH(TEXT(A183,"dd"),Monthly_Pay_Model!$C$9:$C$39,0),4)),IF(VLOOKUP(A181,Calendar!$A$1:$R$1377,18,0)=4,SUM(INDEX(Monthly_Pay_Model!$A$9:$D$40,MATCH(TEXT(A181,"dd"),Monthly_Pay_Model!$C$9:$C$39,0),4),INDEX(Monthly_Pay_Model!$A$9:$D$40,MATCH(TEXT(A182,"dd"),Monthly_Pay_Model!$C$9:$C$39,0),4),INDEX(Monthly_Pay_Model!$A$9:$D$40,MATCH(TEXT(A183,"dd"),Monthly_Pay_Model!$C$9:$C$39,0),4),INDEX(Monthly_Pay_Model!$A$9:$D$40,MATCH(TEXT(A184,"dd"),Monthly_Pay_Model!$C$9:$C$39,0),4)),IF(VLOOKUP(A181,Calendar!$A$1:$R$1377,18,0)=5,SUM(INDEX(Monthly_Pay_Model!$A$9:$D$40,MATCH(TEXT(A181,"dd"),Monthly_Pay_Model!$C$9:$C$39,0),4),INDEX(Monthly_Pay_Model!$A$9:$D$40,MATCH(TEXT(A182,"dd"),Monthly_Pay_Model!$C$9:$C$39,0),4),INDEX(Monthly_Pay_Model!$A$9:$D$40,MATCH(TEXT(A183,"dd"),Monthly_Pay_Model!$C$9:$C$39,0),4),INDEX(Monthly_Pay_Model!$A$9:$D$40,MATCH(TEXT(A184,"dd"),Monthly_Pay_Model!$C$9:$C$39,0),4),INDEX(Monthly_Pay_Model!$A$9:$D$40,MATCH(TEXT(A185,"dd"),Monthly_Pay_Model!$C$9:$C$39,0),4)),))))))</f>
        <v>9.7507853403141324E-3</v>
      </c>
      <c r="J181" s="33">
        <f>IF(C181="Yes",Monthly_Pay_Model!$D$2,0)
+IF(Calendar!N181="Yes",Monthly_Pay_Model!$D$3,0)
+IF(D181="Yes",Monthly_Pay_Model!$D$4,0)
+IF(E181="Yes",Monthly_Pay_Model!$D$5,0)</f>
        <v>0</v>
      </c>
      <c r="K181" s="27">
        <f>IF(VLOOKUP($A181,Calendar!$A$1:$R$1377,18,0)=0,0,IF(VLOOKUP($A181,Calendar!$A$1:$R$1377,18,0)=1,IFERROR(INDEX(Weekly_Model!$D$2:$D$9,MATCH(F181,Weekly_Model!$A$2:$A$9,0)),0),IF(VLOOKUP($A181,Calendar!$A$1:$R$1377,18,0)=2,SUM(IFERROR(INDEX(Weekly_Model!$D$2:$D$9,MATCH(F181,Weekly_Model!$A$2:$A$9,0)),0),IFERROR(INDEX(Weekly_Model!$D$2:$D$9,MATCH(F182,Weekly_Model!$A$2:$A$9,0)),0)),IF(VLOOKUP($A181,Calendar!$A$1:$R$1377,18,0)=3,SUM(IFERROR(INDEX(Weekly_Model!$D$2:$D$9,MATCH(F181,Weekly_Model!$A$2:$A$9,0)),0),IFERROR(INDEX(Weekly_Model!$D$2:$D$9,MATCH(F182,Weekly_Model!$A$2:$A$9,0)),0),IFERROR(INDEX(Weekly_Model!$D$2:$D$9,MATCH(F183,Weekly_Model!$A$2:$A$9,0)),0)),IF(VLOOKUP($A181,Calendar!$A$1:$R$1377,18,0)=4,SUM(IFERROR(INDEX(Weekly_Model!$D$2:$D$9,MATCH(F181,Weekly_Model!$A$2:$A$9,0)),0),IFERROR(INDEX(Weekly_Model!$D$2:$D$9,MATCH(F182,Weekly_Model!$A$2:$A$9,0)),0),IFERROR(INDEX(Weekly_Model!$D$2:$D$9,MATCH(F183,Weekly_Model!$A$2:$A$9,0)),0),IFERROR(INDEX(Weekly_Model!$D$2:$D$9,MATCH(F184,Weekly_Model!$A$2:$A$9,0)),0)),IF(VLOOKUP($A181,Calendar!$A$1:$R$1377,18,0)=5,SUM(IFERROR(INDEX(Weekly_Model!$D$2:$D$9,MATCH(F181,Weekly_Model!$A$2:$A$9,0)),0),IFERROR(INDEX(Weekly_Model!$D$2:$D$9,MATCH(F182,Weekly_Model!$A$2:$A$9,0)),0),IFERROR(INDEX(Weekly_Model!$D$2:$D$9,MATCH(F183,Weekly_Model!$A$2:$A$9,0)),0),IFERROR(INDEX(Weekly_Model!$D$2:$D$9,MATCH(F184,Weekly_Model!$A$2:$A$9,0)),0),IFERROR(INDEX(Weekly_Model!$D$2:$D$9,MATCH(F185,Weekly_Model!$A$2:$A$9,0)),0)),0))))))</f>
        <v>2.3200000000000002E-2</v>
      </c>
      <c r="L181" s="27">
        <f>IF(VLOOKUP($A181,Calendar!$A$1:$R$1377,18,0)=0,0,IF(VLOOKUP($A181,Calendar!$A$1:$R$1377,18,0)=1,IFERROR(INDEX(Fortnightly_Model!$D$2:$D$15,MATCH(G181,Fortnightly_Model!$B$2:$B$15,0)),0),IF(VLOOKUP($A181,Calendar!$A$1:$R$1377,18,0)=2,SUM(IFERROR(INDEX(Fortnightly_Model!$D$2:$D$15,MATCH(G181,Fortnightly_Model!$B$2:$B$15,0)),0),IFERROR(INDEX(Fortnightly_Model!$D$2:$D$15,MATCH(G182,Fortnightly_Model!$B$2:$B$15,0)),0)),IF(VLOOKUP($A181,Calendar!$A$1:$R$1377,18,0)=3,SUM(IFERROR(INDEX(Fortnightly_Model!$D$2:$D$15,MATCH(G181,Fortnightly_Model!$B$2:$B$15,0)),0),IFERROR(INDEX(Fortnightly_Model!$D$2:$D$15,MATCH(G182,Fortnightly_Model!$B$2:$B$15,0)),0),IFERROR(INDEX(Fortnightly_Model!$D$2:$D$15,MATCH(G183,Fortnightly_Model!$B$2:$B$15,0)),0)),IF(VLOOKUP($A181,Calendar!$A$1:$R$1377,18,0)=4,SUM(IFERROR(INDEX(Fortnightly_Model!$D$2:$D$15,MATCH(G181,Fortnightly_Model!$B$2:$B$15,0)),0),IFERROR(INDEX(Fortnightly_Model!$D$2:$D$15,MATCH(G182,Fortnightly_Model!$B$2:$B$15,0)),0),IFERROR(INDEX(Fortnightly_Model!$D$2:$D$15,MATCH(G183,Fortnightly_Model!$B$2:$B$15,0)),0),IFERROR(INDEX(Fortnightly_Model!$D$2:$D$15,MATCH(G184,Fortnightly_Model!$B$2:$B$15,0)),0)),IF(VLOOKUP($A181,Calendar!$A$1:$R$1377,18,0)=5,SUM(IFERROR(INDEX(Fortnightly_Model!$D$2:$D$15,MATCH(G181,Fortnightly_Model!$B$2:$B$15,0)),0),IFERROR(INDEX(Fortnightly_Model!$D$2:$D$15,MATCH(G182,Fortnightly_Model!$B$2:$B$15,0)),0),IFERROR(INDEX(Fortnightly_Model!$D$2:$D$15,MATCH(G183,Fortnightly_Model!$B$2:$B$15,0)),0),IFERROR(INDEX(Fortnightly_Model!$D$2:$D$15,MATCH(G184,Fortnightly_Model!$B$2:$B$15,0)),0),IFERROR(INDEX(Fortnightly_Model!$D$2:$D$15,MATCH(G185,Fortnightly_Model!$B$2:$B$15,0)),0)),0))))))</f>
        <v>1.0714285499999999E-3</v>
      </c>
      <c r="M181" s="27">
        <f>IF(VLOOKUP($A181,Calendar!$A$1:$R$1377,18,0)=0,0,IF(VLOOKUP($A181,Calendar!$A$1:$R$1377,18,0)=1,IFERROR(INDEX(FourWeekly_Model!$D$2:$D$29,MATCH(H181,FourWeekly_Model!$B$2:$B$29,0)),0),IF(VLOOKUP($A181,Calendar!$A$1:$R$1377,18,0)=2,SUM(IFERROR(INDEX(FourWeekly_Model!$D$2:$D$29,MATCH(H181,FourWeekly_Model!$B$2:$B$29,0)),0),IFERROR(INDEX(FourWeekly_Model!$D$2:$D$29,MATCH(H182,FourWeekly_Model!$B$2:$B$29,0)),0)),IF(VLOOKUP($A181,Calendar!$A$1:$R$1377,18,0)=3,SUM(IFERROR(INDEX(FourWeekly_Model!$D$2:$D$29,MATCH(H181,FourWeekly_Model!$B$2:$B$29,0)),0),IFERROR(INDEX(FourWeekly_Model!$D$2:$D$29,MATCH(H182,FourWeekly_Model!$B$2:$B$29,0)),0),IFERROR(INDEX(FourWeekly_Model!$D$2:$D$29,MATCH(H183,FourWeekly_Model!$B$2:$B$29,0)),0)),IF(VLOOKUP($A181,Calendar!$A$1:$R$1377,18,0)=4,SUM(IFERROR(INDEX(FourWeekly_Model!$D$2:$D$29,MATCH(H181,FourWeekly_Model!$B$2:$B$29,0)),0),IFERROR(INDEX(FourWeekly_Model!$D$2:$D$29,MATCH(H182,FourWeekly_Model!$B$2:$B$29,0)),0),IFERROR(INDEX(FourWeekly_Model!$D$2:$D$29,MATCH(H183,FourWeekly_Model!$B$2:$B$29,0)),0),IFERROR(INDEX(FourWeekly_Model!$D$2:$D$29,MATCH(H184,FourWeekly_Model!$B$2:$B$29,0)),0)),IF(VLOOKUP($A181,Calendar!$A$1:$R$1377,18,0)=5,SUM(IFERROR(INDEX(FourWeekly_Model!$D$2:$D$29,MATCH(H181,FourWeekly_Model!$B$2:$B$29,0)),0),IFERROR(INDEX(FourWeekly_Model!$D$2:$D$29,MATCH(H182,FourWeekly_Model!$B$2:$B$29,0)),0),IFERROR(INDEX(FourWeekly_Model!$D$2:$D$29,MATCH(H183,FourWeekly_Model!$B$2:$B$29,0)),0),IFERROR(INDEX(FourWeekly_Model!$D$2:$D$29,MATCH(H184,FourWeekly_Model!$B$2:$B$29,0)),0),IFERROR(INDEX(FourWeekly_Model!$D$2:$D$29,MATCH(H185,FourWeekly_Model!$B$2:$B$29,0)),0)),0))))))</f>
        <v>3.3214289700000004E-3</v>
      </c>
      <c r="N181" s="27">
        <f>SUM(I181:M181)</f>
        <v>3.7343642860314136E-2</v>
      </c>
      <c r="O181" s="28">
        <f>Population_Data!$B$8*N181</f>
        <v>1131512.3786675183</v>
      </c>
      <c r="P181" s="27">
        <f>IF(VLOOKUP($A181,Calendar!$A$1:$R$1377,18,0)=0,0,IF(VLOOKUP($A181,Calendar!$A$1:$R$1377,18,0)=1,IFERROR(INDEX(Pension_Model!$D$2:$D$29,MATCH(H181,Pension_Model!$B$2:$B$29,0)),0),IF(VLOOKUP($A181,Calendar!$A$1:$R$1377,18,0)=2,SUM(IFERROR(INDEX(Pension_Model!$D$2:$D$29,MATCH(H181,Pension_Model!$B$2:$B$29,0)),0),IFERROR(INDEX(Pension_Model!$D$2:$D$29,MATCH(H182,Pension_Model!$B$2:$B$29,0)),0)),IF(VLOOKUP($A181,Calendar!$A$1:$R$1377,18,0)=3,SUM(IFERROR(INDEX(Pension_Model!$D$2:$D$29,MATCH(H181,Pension_Model!$B$2:$B$29,0)),0),IFERROR(INDEX(Pension_Model!$D$2:$D$29,MATCH(H182,Pension_Model!$B$2:$B$29,0)),0),IFERROR(INDEX(Pension_Model!$D$2:$D$29,MATCH(H183,Pension_Model!$B$2:$B$29,0)),0)),IF(VLOOKUP($A181,Calendar!$A$1:$R$1377,18,0)=4,SUM(IFERROR(INDEX(Pension_Model!$D$2:$D$29,MATCH(H181,Pension_Model!$B$2:$B$29,0)),0),IFERROR(INDEX(Pension_Model!$D$2:$D$29,MATCH(H182,Pension_Model!$B$2:$B$29,0)),0),IFERROR(INDEX(Pension_Model!$D$2:$D$29,MATCH(H183,Pension_Model!$B$2:$B$29,0)),0),IFERROR(INDEX(Pension_Model!$D$2:$D$29,MATCH(H184,Pension_Model!$B$2:$B$29,0)),0)),IF(VLOOKUP($A181,Calendar!$A$1:$R$1377,18,0)=5,SUM(IFERROR(INDEX(Pension_Model!$D$2:$D$29,MATCH(H181,Pension_Model!$B$2:$B$29,0)),0),IFERROR(INDEX(Pension_Model!$D$2:$D$29,MATCH(H182,Pension_Model!$B$2:$B$29,0)),0),IFERROR(INDEX(Pension_Model!$D$2:$D$29,MATCH(H183,Pension_Model!$B$2:$B$29,0)),0),IFERROR(INDEX(Pension_Model!$D$2:$D$29,MATCH(H184,Pension_Model!$B$2:$B$29,0)),0),IFERROR(INDEX(Pension_Model!$D$2:$D$29,MATCH(H185,Pension_Model!$B$2:$B$29,0)),0)),0))))))</f>
        <v>0.05</v>
      </c>
      <c r="Q181" s="28">
        <f>Population_Data!$B$15*P181</f>
        <v>660600</v>
      </c>
      <c r="S181">
        <f t="shared" si="2"/>
        <v>1792112.3786675183</v>
      </c>
      <c r="U181" s="33">
        <f>S181/Population_Data!$B$19</f>
        <v>3.2465803961368084E-2</v>
      </c>
    </row>
    <row r="182" spans="1:21">
      <c r="A182" s="25">
        <f>Calendar!A182</f>
        <v>46415</v>
      </c>
      <c r="B182" t="str">
        <f>Calendar!L182</f>
        <v>Yes</v>
      </c>
      <c r="C182" t="str">
        <f>Calendar!O182</f>
        <v>No</v>
      </c>
      <c r="D182" t="str">
        <f>Calendar!P182</f>
        <v>No</v>
      </c>
      <c r="E182" t="str">
        <f>Calendar!Q182</f>
        <v>Yes</v>
      </c>
      <c r="F182" t="str">
        <f>Calendar!I182</f>
        <v>Thursday</v>
      </c>
      <c r="G182">
        <f>Calendar!S182</f>
        <v>5</v>
      </c>
      <c r="H182">
        <f>Calendar!T182</f>
        <v>19</v>
      </c>
      <c r="I182" s="27">
        <f>IF(VLOOKUP(A182,Calendar!$A$1:$R$1377,18,0)=0,0,IF(VLOOKUP(A182,Calendar!$A$1:$R$1377,18,0)=1,INDEX(Monthly_Pay_Model!$A$9:$D$40,MATCH(TEXT(A182,"dd"),Monthly_Pay_Model!$C$9:$C$39,0),4),IF(VLOOKUP(A182,Calendar!$A$1:$R$1377,18,0)=2,SUM(INDEX(Monthly_Pay_Model!$A$9:$D$40,MATCH(TEXT(A182,"dd"),Monthly_Pay_Model!$C$9:$C$39,0),4),INDEX(Monthly_Pay_Model!$A$9:$D$40,MATCH(TEXT(A183,"dd"),Monthly_Pay_Model!$C$9:$C$39,0),4)),IF(VLOOKUP(A182,Calendar!$A$1:$R$1377,18,0)=3,SUM(INDEX(Monthly_Pay_Model!$A$9:$D$40,MATCH(TEXT(A182,"dd"),Monthly_Pay_Model!$C$9:$C$39,0),4),INDEX(Monthly_Pay_Model!$A$9:$D$40,MATCH(TEXT(A183,"dd"),Monthly_Pay_Model!$C$9:$C$39,0),4),INDEX(Monthly_Pay_Model!$A$9:$D$40,MATCH(TEXT(A184,"dd"),Monthly_Pay_Model!$C$9:$C$39,0),4)),IF(VLOOKUP(A182,Calendar!$A$1:$R$1377,18,0)=4,SUM(INDEX(Monthly_Pay_Model!$A$9:$D$40,MATCH(TEXT(A182,"dd"),Monthly_Pay_Model!$C$9:$C$39,0),4),INDEX(Monthly_Pay_Model!$A$9:$D$40,MATCH(TEXT(A183,"dd"),Monthly_Pay_Model!$C$9:$C$39,0),4),INDEX(Monthly_Pay_Model!$A$9:$D$40,MATCH(TEXT(A184,"dd"),Monthly_Pay_Model!$C$9:$C$39,0),4),INDEX(Monthly_Pay_Model!$A$9:$D$40,MATCH(TEXT(A185,"dd"),Monthly_Pay_Model!$C$9:$C$39,0),4)),IF(VLOOKUP(A182,Calendar!$A$1:$R$1377,18,0)=5,SUM(INDEX(Monthly_Pay_Model!$A$9:$D$40,MATCH(TEXT(A182,"dd"),Monthly_Pay_Model!$C$9:$C$39,0),4),INDEX(Monthly_Pay_Model!$A$9:$D$40,MATCH(TEXT(A183,"dd"),Monthly_Pay_Model!$C$9:$C$39,0),4),INDEX(Monthly_Pay_Model!$A$9:$D$40,MATCH(TEXT(A184,"dd"),Monthly_Pay_Model!$C$9:$C$39,0),4),INDEX(Monthly_Pay_Model!$A$9:$D$40,MATCH(TEXT(A185,"dd"),Monthly_Pay_Model!$C$9:$C$39,0),4),INDEX(Monthly_Pay_Model!$A$9:$D$40,MATCH(TEXT(A186,"dd"),Monthly_Pay_Model!$C$9:$C$39,0),4)),))))))</f>
        <v>2.1126701570680625E-2</v>
      </c>
      <c r="J182" s="33">
        <f>IF(C182="Yes",Monthly_Pay_Model!$D$2,0)
+IF(Calendar!N182="Yes",Monthly_Pay_Model!$D$3,0)
+IF(D182="Yes",Monthly_Pay_Model!$D$4,0)
+IF(E182="Yes",Monthly_Pay_Model!$D$5,0)</f>
        <v>5.4320000000000007E-2</v>
      </c>
      <c r="K182" s="27">
        <f>IF(VLOOKUP($A182,Calendar!$A$1:$R$1377,18,0)=0,0,IF(VLOOKUP($A182,Calendar!$A$1:$R$1377,18,0)=1,IFERROR(INDEX(Weekly_Model!$D$2:$D$9,MATCH(F182,Weekly_Model!$A$2:$A$9,0)),0),IF(VLOOKUP($A182,Calendar!$A$1:$R$1377,18,0)=2,SUM(IFERROR(INDEX(Weekly_Model!$D$2:$D$9,MATCH(F182,Weekly_Model!$A$2:$A$9,0)),0),IFERROR(INDEX(Weekly_Model!$D$2:$D$9,MATCH(F183,Weekly_Model!$A$2:$A$9,0)),0)),IF(VLOOKUP($A182,Calendar!$A$1:$R$1377,18,0)=3,SUM(IFERROR(INDEX(Weekly_Model!$D$2:$D$9,MATCH(F182,Weekly_Model!$A$2:$A$9,0)),0),IFERROR(INDEX(Weekly_Model!$D$2:$D$9,MATCH(F183,Weekly_Model!$A$2:$A$9,0)),0),IFERROR(INDEX(Weekly_Model!$D$2:$D$9,MATCH(F184,Weekly_Model!$A$2:$A$9,0)),0)),IF(VLOOKUP($A182,Calendar!$A$1:$R$1377,18,0)=4,SUM(IFERROR(INDEX(Weekly_Model!$D$2:$D$9,MATCH(F182,Weekly_Model!$A$2:$A$9,0)),0),IFERROR(INDEX(Weekly_Model!$D$2:$D$9,MATCH(F183,Weekly_Model!$A$2:$A$9,0)),0),IFERROR(INDEX(Weekly_Model!$D$2:$D$9,MATCH(F184,Weekly_Model!$A$2:$A$9,0)),0),IFERROR(INDEX(Weekly_Model!$D$2:$D$9,MATCH(F185,Weekly_Model!$A$2:$A$9,0)),0)),IF(VLOOKUP($A182,Calendar!$A$1:$R$1377,18,0)=5,SUM(IFERROR(INDEX(Weekly_Model!$D$2:$D$9,MATCH(F182,Weekly_Model!$A$2:$A$9,0)),0),IFERROR(INDEX(Weekly_Model!$D$2:$D$9,MATCH(F183,Weekly_Model!$A$2:$A$9,0)),0),IFERROR(INDEX(Weekly_Model!$D$2:$D$9,MATCH(F184,Weekly_Model!$A$2:$A$9,0)),0),IFERROR(INDEX(Weekly_Model!$D$2:$D$9,MATCH(F185,Weekly_Model!$A$2:$A$9,0)),0),IFERROR(INDEX(Weekly_Model!$D$2:$D$9,MATCH(F186,Weekly_Model!$A$2:$A$9,0)),0)),0))))))</f>
        <v>2.3200000000000002E-2</v>
      </c>
      <c r="L182" s="27">
        <f>IF(VLOOKUP($A182,Calendar!$A$1:$R$1377,18,0)=0,0,IF(VLOOKUP($A182,Calendar!$A$1:$R$1377,18,0)=1,IFERROR(INDEX(Fortnightly_Model!$D$2:$D$15,MATCH(G182,Fortnightly_Model!$B$2:$B$15,0)),0),IF(VLOOKUP($A182,Calendar!$A$1:$R$1377,18,0)=2,SUM(IFERROR(INDEX(Fortnightly_Model!$D$2:$D$15,MATCH(G182,Fortnightly_Model!$B$2:$B$15,0)),0),IFERROR(INDEX(Fortnightly_Model!$D$2:$D$15,MATCH(G183,Fortnightly_Model!$B$2:$B$15,0)),0)),IF(VLOOKUP($A182,Calendar!$A$1:$R$1377,18,0)=3,SUM(IFERROR(INDEX(Fortnightly_Model!$D$2:$D$15,MATCH(G182,Fortnightly_Model!$B$2:$B$15,0)),0),IFERROR(INDEX(Fortnightly_Model!$D$2:$D$15,MATCH(G183,Fortnightly_Model!$B$2:$B$15,0)),0),IFERROR(INDEX(Fortnightly_Model!$D$2:$D$15,MATCH(G184,Fortnightly_Model!$B$2:$B$15,0)),0)),IF(VLOOKUP($A182,Calendar!$A$1:$R$1377,18,0)=4,SUM(IFERROR(INDEX(Fortnightly_Model!$D$2:$D$15,MATCH(G182,Fortnightly_Model!$B$2:$B$15,0)),0),IFERROR(INDEX(Fortnightly_Model!$D$2:$D$15,MATCH(G183,Fortnightly_Model!$B$2:$B$15,0)),0),IFERROR(INDEX(Fortnightly_Model!$D$2:$D$15,MATCH(G184,Fortnightly_Model!$B$2:$B$15,0)),0),IFERROR(INDEX(Fortnightly_Model!$D$2:$D$15,MATCH(G185,Fortnightly_Model!$B$2:$B$15,0)),0)),IF(VLOOKUP($A182,Calendar!$A$1:$R$1377,18,0)=5,SUM(IFERROR(INDEX(Fortnightly_Model!$D$2:$D$15,MATCH(G182,Fortnightly_Model!$B$2:$B$15,0)),0),IFERROR(INDEX(Fortnightly_Model!$D$2:$D$15,MATCH(G183,Fortnightly_Model!$B$2:$B$15,0)),0),IFERROR(INDEX(Fortnightly_Model!$D$2:$D$15,MATCH(G184,Fortnightly_Model!$B$2:$B$15,0)),0),IFERROR(INDEX(Fortnightly_Model!$D$2:$D$15,MATCH(G185,Fortnightly_Model!$B$2:$B$15,0)),0),IFERROR(INDEX(Fortnightly_Model!$D$2:$D$15,MATCH(G186,Fortnightly_Model!$B$2:$B$15,0)),0)),0))))))</f>
        <v>1.0714285499999999E-3</v>
      </c>
      <c r="M182" s="27">
        <f>IF(VLOOKUP($A182,Calendar!$A$1:$R$1377,18,0)=0,0,IF(VLOOKUP($A182,Calendar!$A$1:$R$1377,18,0)=1,IFERROR(INDEX(FourWeekly_Model!$D$2:$D$29,MATCH(H182,FourWeekly_Model!$B$2:$B$29,0)),0),IF(VLOOKUP($A182,Calendar!$A$1:$R$1377,18,0)=2,SUM(IFERROR(INDEX(FourWeekly_Model!$D$2:$D$29,MATCH(H182,FourWeekly_Model!$B$2:$B$29,0)),0),IFERROR(INDEX(FourWeekly_Model!$D$2:$D$29,MATCH(H183,FourWeekly_Model!$B$2:$B$29,0)),0)),IF(VLOOKUP($A182,Calendar!$A$1:$R$1377,18,0)=3,SUM(IFERROR(INDEX(FourWeekly_Model!$D$2:$D$29,MATCH(H182,FourWeekly_Model!$B$2:$B$29,0)),0),IFERROR(INDEX(FourWeekly_Model!$D$2:$D$29,MATCH(H183,FourWeekly_Model!$B$2:$B$29,0)),0),IFERROR(INDEX(FourWeekly_Model!$D$2:$D$29,MATCH(H184,FourWeekly_Model!$B$2:$B$29,0)),0)),IF(VLOOKUP($A182,Calendar!$A$1:$R$1377,18,0)=4,SUM(IFERROR(INDEX(FourWeekly_Model!$D$2:$D$29,MATCH(H182,FourWeekly_Model!$B$2:$B$29,0)),0),IFERROR(INDEX(FourWeekly_Model!$D$2:$D$29,MATCH(H183,FourWeekly_Model!$B$2:$B$29,0)),0),IFERROR(INDEX(FourWeekly_Model!$D$2:$D$29,MATCH(H184,FourWeekly_Model!$B$2:$B$29,0)),0),IFERROR(INDEX(FourWeekly_Model!$D$2:$D$29,MATCH(H185,FourWeekly_Model!$B$2:$B$29,0)),0)),IF(VLOOKUP($A182,Calendar!$A$1:$R$1377,18,0)=5,SUM(IFERROR(INDEX(FourWeekly_Model!$D$2:$D$29,MATCH(H182,FourWeekly_Model!$B$2:$B$29,0)),0),IFERROR(INDEX(FourWeekly_Model!$D$2:$D$29,MATCH(H183,FourWeekly_Model!$B$2:$B$29,0)),0),IFERROR(INDEX(FourWeekly_Model!$D$2:$D$29,MATCH(H184,FourWeekly_Model!$B$2:$B$29,0)),0),IFERROR(INDEX(FourWeekly_Model!$D$2:$D$29,MATCH(H185,FourWeekly_Model!$B$2:$B$29,0)),0),IFERROR(INDEX(FourWeekly_Model!$D$2:$D$29,MATCH(H186,FourWeekly_Model!$B$2:$B$29,0)),0)),0))))))</f>
        <v>3.3214289700000004E-3</v>
      </c>
      <c r="N182" s="27">
        <f>SUM(I182:M182)</f>
        <v>0.10303955909068063</v>
      </c>
      <c r="O182" s="28">
        <f>Population_Data!$B$8*N182</f>
        <v>3122098.6404476231</v>
      </c>
      <c r="P182" s="27">
        <f>IF(VLOOKUP($A182,Calendar!$A$1:$R$1377,18,0)=0,0,IF(VLOOKUP($A182,Calendar!$A$1:$R$1377,18,0)=1,IFERROR(INDEX(Pension_Model!$D$2:$D$29,MATCH(H182,Pension_Model!$B$2:$B$29,0)),0),IF(VLOOKUP($A182,Calendar!$A$1:$R$1377,18,0)=2,SUM(IFERROR(INDEX(Pension_Model!$D$2:$D$29,MATCH(H182,Pension_Model!$B$2:$B$29,0)),0),IFERROR(INDEX(Pension_Model!$D$2:$D$29,MATCH(H183,Pension_Model!$B$2:$B$29,0)),0)),IF(VLOOKUP($A182,Calendar!$A$1:$R$1377,18,0)=3,SUM(IFERROR(INDEX(Pension_Model!$D$2:$D$29,MATCH(H182,Pension_Model!$B$2:$B$29,0)),0),IFERROR(INDEX(Pension_Model!$D$2:$D$29,MATCH(H183,Pension_Model!$B$2:$B$29,0)),0),IFERROR(INDEX(Pension_Model!$D$2:$D$29,MATCH(H184,Pension_Model!$B$2:$B$29,0)),0)),IF(VLOOKUP($A182,Calendar!$A$1:$R$1377,18,0)=4,SUM(IFERROR(INDEX(Pension_Model!$D$2:$D$29,MATCH(H182,Pension_Model!$B$2:$B$29,0)),0),IFERROR(INDEX(Pension_Model!$D$2:$D$29,MATCH(H183,Pension_Model!$B$2:$B$29,0)),0),IFERROR(INDEX(Pension_Model!$D$2:$D$29,MATCH(H184,Pension_Model!$B$2:$B$29,0)),0),IFERROR(INDEX(Pension_Model!$D$2:$D$29,MATCH(H185,Pension_Model!$B$2:$B$29,0)),0)),IF(VLOOKUP($A182,Calendar!$A$1:$R$1377,18,0)=5,SUM(IFERROR(INDEX(Pension_Model!$D$2:$D$29,MATCH(H182,Pension_Model!$B$2:$B$29,0)),0),IFERROR(INDEX(Pension_Model!$D$2:$D$29,MATCH(H183,Pension_Model!$B$2:$B$29,0)),0),IFERROR(INDEX(Pension_Model!$D$2:$D$29,MATCH(H184,Pension_Model!$B$2:$B$29,0)),0),IFERROR(INDEX(Pension_Model!$D$2:$D$29,MATCH(H185,Pension_Model!$B$2:$B$29,0)),0),IFERROR(INDEX(Pension_Model!$D$2:$D$29,MATCH(H186,Pension_Model!$B$2:$B$29,0)),0)),0))))))</f>
        <v>0.05</v>
      </c>
      <c r="Q182" s="28">
        <f>Population_Data!$B$15*P182</f>
        <v>660600</v>
      </c>
      <c r="S182">
        <f t="shared" si="2"/>
        <v>3782698.6404476231</v>
      </c>
      <c r="U182" s="33">
        <f>S182/Population_Data!$B$19</f>
        <v>6.8527149283471436E-2</v>
      </c>
    </row>
    <row r="183" spans="1:21">
      <c r="A183" s="25">
        <f>Calendar!A183</f>
        <v>46416</v>
      </c>
      <c r="B183" t="str">
        <f>Calendar!L183</f>
        <v>Yes</v>
      </c>
      <c r="C183" t="str">
        <f>Calendar!O183</f>
        <v>Yes</v>
      </c>
      <c r="D183" t="str">
        <f>Calendar!P183</f>
        <v>Yes</v>
      </c>
      <c r="E183" t="str">
        <f>Calendar!Q183</f>
        <v>No</v>
      </c>
      <c r="F183" t="str">
        <f>Calendar!I183</f>
        <v>Friday</v>
      </c>
      <c r="G183">
        <f>Calendar!S183</f>
        <v>6</v>
      </c>
      <c r="H183">
        <f>Calendar!T183</f>
        <v>20</v>
      </c>
      <c r="I183" s="27">
        <f>IF(VLOOKUP(A183,Calendar!$A$1:$R$1377,18,0)=0,0,IF(VLOOKUP(A183,Calendar!$A$1:$R$1377,18,0)=1,INDEX(Monthly_Pay_Model!$A$9:$D$40,MATCH(TEXT(A183,"dd"),Monthly_Pay_Model!$C$9:$C$39,0),4),IF(VLOOKUP(A183,Calendar!$A$1:$R$1377,18,0)=2,SUM(INDEX(Monthly_Pay_Model!$A$9:$D$40,MATCH(TEXT(A183,"dd"),Monthly_Pay_Model!$C$9:$C$39,0),4),INDEX(Monthly_Pay_Model!$A$9:$D$40,MATCH(TEXT(A184,"dd"),Monthly_Pay_Model!$C$9:$C$39,0),4)),IF(VLOOKUP(A183,Calendar!$A$1:$R$1377,18,0)=3,SUM(INDEX(Monthly_Pay_Model!$A$9:$D$40,MATCH(TEXT(A183,"dd"),Monthly_Pay_Model!$C$9:$C$39,0),4),INDEX(Monthly_Pay_Model!$A$9:$D$40,MATCH(TEXT(A184,"dd"),Monthly_Pay_Model!$C$9:$C$39,0),4),INDEX(Monthly_Pay_Model!$A$9:$D$40,MATCH(TEXT(A185,"dd"),Monthly_Pay_Model!$C$9:$C$39,0),4)),IF(VLOOKUP(A183,Calendar!$A$1:$R$1377,18,0)=4,SUM(INDEX(Monthly_Pay_Model!$A$9:$D$40,MATCH(TEXT(A183,"dd"),Monthly_Pay_Model!$C$9:$C$39,0),4),INDEX(Monthly_Pay_Model!$A$9:$D$40,MATCH(TEXT(A184,"dd"),Monthly_Pay_Model!$C$9:$C$39,0),4),INDEX(Monthly_Pay_Model!$A$9:$D$40,MATCH(TEXT(A185,"dd"),Monthly_Pay_Model!$C$9:$C$39,0),4),INDEX(Monthly_Pay_Model!$A$9:$D$40,MATCH(TEXT(A186,"dd"),Monthly_Pay_Model!$C$9:$C$39,0),4)),IF(VLOOKUP(A183,Calendar!$A$1:$R$1377,18,0)=5,SUM(INDEX(Monthly_Pay_Model!$A$9:$D$40,MATCH(TEXT(A183,"dd"),Monthly_Pay_Model!$C$9:$C$39,0),4),INDEX(Monthly_Pay_Model!$A$9:$D$40,MATCH(TEXT(A184,"dd"),Monthly_Pay_Model!$C$9:$C$39,0),4),INDEX(Monthly_Pay_Model!$A$9:$D$40,MATCH(TEXT(A185,"dd"),Monthly_Pay_Model!$C$9:$C$39,0),4),INDEX(Monthly_Pay_Model!$A$9:$D$40,MATCH(TEXT(A186,"dd"),Monthly_Pay_Model!$C$9:$C$39,0),4),INDEX(Monthly_Pay_Model!$A$9:$D$40,MATCH(TEXT(A187,"dd"),Monthly_Pay_Model!$C$9:$C$39,0),4)),))))))</f>
        <v>1.46261780104712E-2</v>
      </c>
      <c r="J183" s="33">
        <f>IF(C183="Yes",Monthly_Pay_Model!$D$2,0)
+IF(Calendar!N183="Yes",Monthly_Pay_Model!$D$3,0)
+IF(D183="Yes",Monthly_Pay_Model!$D$4,0)
+IF(E183="Yes",Monthly_Pay_Model!$D$5,0)</f>
        <v>0.44231999999999999</v>
      </c>
      <c r="K183" s="27">
        <f>IF(VLOOKUP($A183,Calendar!$A$1:$R$1377,18,0)=0,0,IF(VLOOKUP($A183,Calendar!$A$1:$R$1377,18,0)=1,IFERROR(INDEX(Weekly_Model!$D$2:$D$9,MATCH(F183,Weekly_Model!$A$2:$A$9,0)),0),IF(VLOOKUP($A183,Calendar!$A$1:$R$1377,18,0)=2,SUM(IFERROR(INDEX(Weekly_Model!$D$2:$D$9,MATCH(F183,Weekly_Model!$A$2:$A$9,0)),0),IFERROR(INDEX(Weekly_Model!$D$2:$D$9,MATCH(F184,Weekly_Model!$A$2:$A$9,0)),0)),IF(VLOOKUP($A183,Calendar!$A$1:$R$1377,18,0)=3,SUM(IFERROR(INDEX(Weekly_Model!$D$2:$D$9,MATCH(F183,Weekly_Model!$A$2:$A$9,0)),0),IFERROR(INDEX(Weekly_Model!$D$2:$D$9,MATCH(F184,Weekly_Model!$A$2:$A$9,0)),0),IFERROR(INDEX(Weekly_Model!$D$2:$D$9,MATCH(F185,Weekly_Model!$A$2:$A$9,0)),0)),IF(VLOOKUP($A183,Calendar!$A$1:$R$1377,18,0)=4,SUM(IFERROR(INDEX(Weekly_Model!$D$2:$D$9,MATCH(F183,Weekly_Model!$A$2:$A$9,0)),0),IFERROR(INDEX(Weekly_Model!$D$2:$D$9,MATCH(F184,Weekly_Model!$A$2:$A$9,0)),0),IFERROR(INDEX(Weekly_Model!$D$2:$D$9,MATCH(F185,Weekly_Model!$A$2:$A$9,0)),0),IFERROR(INDEX(Weekly_Model!$D$2:$D$9,MATCH(F186,Weekly_Model!$A$2:$A$9,0)),0)),IF(VLOOKUP($A183,Calendar!$A$1:$R$1377,18,0)=5,SUM(IFERROR(INDEX(Weekly_Model!$D$2:$D$9,MATCH(F183,Weekly_Model!$A$2:$A$9,0)),0),IFERROR(INDEX(Weekly_Model!$D$2:$D$9,MATCH(F184,Weekly_Model!$A$2:$A$9,0)),0),IFERROR(INDEX(Weekly_Model!$D$2:$D$9,MATCH(F185,Weekly_Model!$A$2:$A$9,0)),0),IFERROR(INDEX(Weekly_Model!$D$2:$D$9,MATCH(F186,Weekly_Model!$A$2:$A$9,0)),0),IFERROR(INDEX(Weekly_Model!$D$2:$D$9,MATCH(F187,Weekly_Model!$A$2:$A$9,0)),0)),0))))))</f>
        <v>2.3200000000000002E-2</v>
      </c>
      <c r="L183" s="27">
        <f>IF(VLOOKUP($A183,Calendar!$A$1:$R$1377,18,0)=0,0,IF(VLOOKUP($A183,Calendar!$A$1:$R$1377,18,0)=1,IFERROR(INDEX(Fortnightly_Model!$D$2:$D$15,MATCH(G183,Fortnightly_Model!$B$2:$B$15,0)),0),IF(VLOOKUP($A183,Calendar!$A$1:$R$1377,18,0)=2,SUM(IFERROR(INDEX(Fortnightly_Model!$D$2:$D$15,MATCH(G183,Fortnightly_Model!$B$2:$B$15,0)),0),IFERROR(INDEX(Fortnightly_Model!$D$2:$D$15,MATCH(G184,Fortnightly_Model!$B$2:$B$15,0)),0)),IF(VLOOKUP($A183,Calendar!$A$1:$R$1377,18,0)=3,SUM(IFERROR(INDEX(Fortnightly_Model!$D$2:$D$15,MATCH(G183,Fortnightly_Model!$B$2:$B$15,0)),0),IFERROR(INDEX(Fortnightly_Model!$D$2:$D$15,MATCH(G184,Fortnightly_Model!$B$2:$B$15,0)),0),IFERROR(INDEX(Fortnightly_Model!$D$2:$D$15,MATCH(G185,Fortnightly_Model!$B$2:$B$15,0)),0)),IF(VLOOKUP($A183,Calendar!$A$1:$R$1377,18,0)=4,SUM(IFERROR(INDEX(Fortnightly_Model!$D$2:$D$15,MATCH(G183,Fortnightly_Model!$B$2:$B$15,0)),0),IFERROR(INDEX(Fortnightly_Model!$D$2:$D$15,MATCH(G184,Fortnightly_Model!$B$2:$B$15,0)),0),IFERROR(INDEX(Fortnightly_Model!$D$2:$D$15,MATCH(G185,Fortnightly_Model!$B$2:$B$15,0)),0),IFERROR(INDEX(Fortnightly_Model!$D$2:$D$15,MATCH(G186,Fortnightly_Model!$B$2:$B$15,0)),0)),IF(VLOOKUP($A183,Calendar!$A$1:$R$1377,18,0)=5,SUM(IFERROR(INDEX(Fortnightly_Model!$D$2:$D$15,MATCH(G183,Fortnightly_Model!$B$2:$B$15,0)),0),IFERROR(INDEX(Fortnightly_Model!$D$2:$D$15,MATCH(G184,Fortnightly_Model!$B$2:$B$15,0)),0),IFERROR(INDEX(Fortnightly_Model!$D$2:$D$15,MATCH(G185,Fortnightly_Model!$B$2:$B$15,0)),0),IFERROR(INDEX(Fortnightly_Model!$D$2:$D$15,MATCH(G186,Fortnightly_Model!$B$2:$B$15,0)),0),IFERROR(INDEX(Fortnightly_Model!$D$2:$D$15,MATCH(G187,Fortnightly_Model!$B$2:$B$15,0)),0)),0))))))</f>
        <v>3.2142856499999999E-3</v>
      </c>
      <c r="M183" s="27">
        <f>IF(VLOOKUP($A183,Calendar!$A$1:$R$1377,18,0)=0,0,IF(VLOOKUP($A183,Calendar!$A$1:$R$1377,18,0)=1,IFERROR(INDEX(FourWeekly_Model!$D$2:$D$29,MATCH(H183,FourWeekly_Model!$B$2:$B$29,0)),0),IF(VLOOKUP($A183,Calendar!$A$1:$R$1377,18,0)=2,SUM(IFERROR(INDEX(FourWeekly_Model!$D$2:$D$29,MATCH(H183,FourWeekly_Model!$B$2:$B$29,0)),0),IFERROR(INDEX(FourWeekly_Model!$D$2:$D$29,MATCH(H184,FourWeekly_Model!$B$2:$B$29,0)),0)),IF(VLOOKUP($A183,Calendar!$A$1:$R$1377,18,0)=3,SUM(IFERROR(INDEX(FourWeekly_Model!$D$2:$D$29,MATCH(H183,FourWeekly_Model!$B$2:$B$29,0)),0),IFERROR(INDEX(FourWeekly_Model!$D$2:$D$29,MATCH(H184,FourWeekly_Model!$B$2:$B$29,0)),0),IFERROR(INDEX(FourWeekly_Model!$D$2:$D$29,MATCH(H185,FourWeekly_Model!$B$2:$B$29,0)),0)),IF(VLOOKUP($A183,Calendar!$A$1:$R$1377,18,0)=4,SUM(IFERROR(INDEX(FourWeekly_Model!$D$2:$D$29,MATCH(H183,FourWeekly_Model!$B$2:$B$29,0)),0),IFERROR(INDEX(FourWeekly_Model!$D$2:$D$29,MATCH(H184,FourWeekly_Model!$B$2:$B$29,0)),0),IFERROR(INDEX(FourWeekly_Model!$D$2:$D$29,MATCH(H185,FourWeekly_Model!$B$2:$B$29,0)),0),IFERROR(INDEX(FourWeekly_Model!$D$2:$D$29,MATCH(H186,FourWeekly_Model!$B$2:$B$29,0)),0)),IF(VLOOKUP($A183,Calendar!$A$1:$R$1377,18,0)=5,SUM(IFERROR(INDEX(FourWeekly_Model!$D$2:$D$29,MATCH(H183,FourWeekly_Model!$B$2:$B$29,0)),0),IFERROR(INDEX(FourWeekly_Model!$D$2:$D$29,MATCH(H184,FourWeekly_Model!$B$2:$B$29,0)),0),IFERROR(INDEX(FourWeekly_Model!$D$2:$D$29,MATCH(H185,FourWeekly_Model!$B$2:$B$29,0)),0),IFERROR(INDEX(FourWeekly_Model!$D$2:$D$29,MATCH(H186,FourWeekly_Model!$B$2:$B$29,0)),0),IFERROR(INDEX(FourWeekly_Model!$D$2:$D$29,MATCH(H187,FourWeekly_Model!$B$2:$B$29,0)),0)),0))))))</f>
        <v>9.9642859800000011E-3</v>
      </c>
      <c r="N183" s="27">
        <f>SUM(I183:M183)</f>
        <v>0.49332474964047118</v>
      </c>
      <c r="O183" s="28">
        <f>Population_Data!$B$8*N183</f>
        <v>14947739.914106278</v>
      </c>
      <c r="P183" s="27">
        <f>IF(VLOOKUP($A183,Calendar!$A$1:$R$1377,18,0)=0,0,IF(VLOOKUP($A183,Calendar!$A$1:$R$1377,18,0)=1,IFERROR(INDEX(Pension_Model!$D$2:$D$29,MATCH(H183,Pension_Model!$B$2:$B$29,0)),0),IF(VLOOKUP($A183,Calendar!$A$1:$R$1377,18,0)=2,SUM(IFERROR(INDEX(Pension_Model!$D$2:$D$29,MATCH(H183,Pension_Model!$B$2:$B$29,0)),0),IFERROR(INDEX(Pension_Model!$D$2:$D$29,MATCH(H184,Pension_Model!$B$2:$B$29,0)),0)),IF(VLOOKUP($A183,Calendar!$A$1:$R$1377,18,0)=3,SUM(IFERROR(INDEX(Pension_Model!$D$2:$D$29,MATCH(H183,Pension_Model!$B$2:$B$29,0)),0),IFERROR(INDEX(Pension_Model!$D$2:$D$29,MATCH(H184,Pension_Model!$B$2:$B$29,0)),0),IFERROR(INDEX(Pension_Model!$D$2:$D$29,MATCH(H185,Pension_Model!$B$2:$B$29,0)),0)),IF(VLOOKUP($A183,Calendar!$A$1:$R$1377,18,0)=4,SUM(IFERROR(INDEX(Pension_Model!$D$2:$D$29,MATCH(H183,Pension_Model!$B$2:$B$29,0)),0),IFERROR(INDEX(Pension_Model!$D$2:$D$29,MATCH(H184,Pension_Model!$B$2:$B$29,0)),0),IFERROR(INDEX(Pension_Model!$D$2:$D$29,MATCH(H185,Pension_Model!$B$2:$B$29,0)),0),IFERROR(INDEX(Pension_Model!$D$2:$D$29,MATCH(H186,Pension_Model!$B$2:$B$29,0)),0)),IF(VLOOKUP($A183,Calendar!$A$1:$R$1377,18,0)=5,SUM(IFERROR(INDEX(Pension_Model!$D$2:$D$29,MATCH(H183,Pension_Model!$B$2:$B$29,0)),0),IFERROR(INDEX(Pension_Model!$D$2:$D$29,MATCH(H184,Pension_Model!$B$2:$B$29,0)),0),IFERROR(INDEX(Pension_Model!$D$2:$D$29,MATCH(H185,Pension_Model!$B$2:$B$29,0)),0),IFERROR(INDEX(Pension_Model!$D$2:$D$29,MATCH(H186,Pension_Model!$B$2:$B$29,0)),0),IFERROR(INDEX(Pension_Model!$D$2:$D$29,MATCH(H187,Pension_Model!$B$2:$B$29,0)),0)),0))))))</f>
        <v>0.05</v>
      </c>
      <c r="Q183" s="28">
        <f>Population_Data!$B$15*P183</f>
        <v>660600</v>
      </c>
      <c r="S183">
        <f t="shared" si="2"/>
        <v>15608339.914106278</v>
      </c>
      <c r="U183" s="33">
        <f>S183/Population_Data!$B$19</f>
        <v>0.28275978105264998</v>
      </c>
    </row>
    <row r="184" spans="1:21">
      <c r="A184" s="25">
        <f>Calendar!A184</f>
        <v>46417</v>
      </c>
      <c r="B184" t="str">
        <f>Calendar!L184</f>
        <v>No</v>
      </c>
      <c r="C184" t="str">
        <f>Calendar!O184</f>
        <v>No</v>
      </c>
      <c r="D184" t="str">
        <f>Calendar!P184</f>
        <v>No</v>
      </c>
      <c r="E184" t="str">
        <f>Calendar!Q184</f>
        <v>No</v>
      </c>
      <c r="F184" t="str">
        <f>Calendar!I184</f>
        <v>Saturday</v>
      </c>
      <c r="G184">
        <f>Calendar!S184</f>
        <v>7</v>
      </c>
      <c r="H184">
        <f>Calendar!T184</f>
        <v>21</v>
      </c>
      <c r="I184" s="27">
        <f>IF(VLOOKUP(A184,Calendar!$A$1:$R$1377,18,0)=0,0,IF(VLOOKUP(A184,Calendar!$A$1:$R$1377,18,0)=1,INDEX(Monthly_Pay_Model!$A$9:$D$40,MATCH(TEXT(A184,"dd"),Monthly_Pay_Model!$C$9:$C$39,0),4),IF(VLOOKUP(A184,Calendar!$A$1:$R$1377,18,0)=2,SUM(INDEX(Monthly_Pay_Model!$A$9:$D$40,MATCH(TEXT(A184,"dd"),Monthly_Pay_Model!$C$9:$C$39,0),4),INDEX(Monthly_Pay_Model!$A$9:$D$40,MATCH(TEXT(A185,"dd"),Monthly_Pay_Model!$C$9:$C$39,0),4)),IF(VLOOKUP(A184,Calendar!$A$1:$R$1377,18,0)=3,SUM(INDEX(Monthly_Pay_Model!$A$9:$D$40,MATCH(TEXT(A184,"dd"),Monthly_Pay_Model!$C$9:$C$39,0),4),INDEX(Monthly_Pay_Model!$A$9:$D$40,MATCH(TEXT(A185,"dd"),Monthly_Pay_Model!$C$9:$C$39,0),4),INDEX(Monthly_Pay_Model!$A$9:$D$40,MATCH(TEXT(A186,"dd"),Monthly_Pay_Model!$C$9:$C$39,0),4)),IF(VLOOKUP(A184,Calendar!$A$1:$R$1377,18,0)=4,SUM(INDEX(Monthly_Pay_Model!$A$9:$D$40,MATCH(TEXT(A184,"dd"),Monthly_Pay_Model!$C$9:$C$39,0),4),INDEX(Monthly_Pay_Model!$A$9:$D$40,MATCH(TEXT(A185,"dd"),Monthly_Pay_Model!$C$9:$C$39,0),4),INDEX(Monthly_Pay_Model!$A$9:$D$40,MATCH(TEXT(A186,"dd"),Monthly_Pay_Model!$C$9:$C$39,0),4),INDEX(Monthly_Pay_Model!$A$9:$D$40,MATCH(TEXT(A187,"dd"),Monthly_Pay_Model!$C$9:$C$39,0),4)),IF(VLOOKUP(A184,Calendar!$A$1:$R$1377,18,0)=5,SUM(INDEX(Monthly_Pay_Model!$A$9:$D$40,MATCH(TEXT(A184,"dd"),Monthly_Pay_Model!$C$9:$C$39,0),4),INDEX(Monthly_Pay_Model!$A$9:$D$40,MATCH(TEXT(A185,"dd"),Monthly_Pay_Model!$C$9:$C$39,0),4),INDEX(Monthly_Pay_Model!$A$9:$D$40,MATCH(TEXT(A186,"dd"),Monthly_Pay_Model!$C$9:$C$39,0),4),INDEX(Monthly_Pay_Model!$A$9:$D$40,MATCH(TEXT(A187,"dd"),Monthly_Pay_Model!$C$9:$C$39,0),4),INDEX(Monthly_Pay_Model!$A$9:$D$40,MATCH(TEXT(A188,"dd"),Monthly_Pay_Model!$C$9:$C$39,0),4)),))))))</f>
        <v>0</v>
      </c>
      <c r="J184" s="33">
        <f>IF(C184="Yes",Monthly_Pay_Model!$D$2,0)
+IF(Calendar!N184="Yes",Monthly_Pay_Model!$D$3,0)
+IF(D184="Yes",Monthly_Pay_Model!$D$4,0)
+IF(E184="Yes",Monthly_Pay_Model!$D$5,0)</f>
        <v>0</v>
      </c>
      <c r="K184" s="27">
        <f>IF(VLOOKUP($A184,Calendar!$A$1:$R$1377,18,0)=0,0,IF(VLOOKUP($A184,Calendar!$A$1:$R$1377,18,0)=1,IFERROR(INDEX(Weekly_Model!$D$2:$D$9,MATCH(F184,Weekly_Model!$A$2:$A$9,0)),0),IF(VLOOKUP($A184,Calendar!$A$1:$R$1377,18,0)=2,SUM(IFERROR(INDEX(Weekly_Model!$D$2:$D$9,MATCH(F184,Weekly_Model!$A$2:$A$9,0)),0),IFERROR(INDEX(Weekly_Model!$D$2:$D$9,MATCH(F185,Weekly_Model!$A$2:$A$9,0)),0)),IF(VLOOKUP($A184,Calendar!$A$1:$R$1377,18,0)=3,SUM(IFERROR(INDEX(Weekly_Model!$D$2:$D$9,MATCH(F184,Weekly_Model!$A$2:$A$9,0)),0),IFERROR(INDEX(Weekly_Model!$D$2:$D$9,MATCH(F185,Weekly_Model!$A$2:$A$9,0)),0),IFERROR(INDEX(Weekly_Model!$D$2:$D$9,MATCH(F186,Weekly_Model!$A$2:$A$9,0)),0)),IF(VLOOKUP($A184,Calendar!$A$1:$R$1377,18,0)=4,SUM(IFERROR(INDEX(Weekly_Model!$D$2:$D$9,MATCH(F184,Weekly_Model!$A$2:$A$9,0)),0),IFERROR(INDEX(Weekly_Model!$D$2:$D$9,MATCH(F185,Weekly_Model!$A$2:$A$9,0)),0),IFERROR(INDEX(Weekly_Model!$D$2:$D$9,MATCH(F186,Weekly_Model!$A$2:$A$9,0)),0),IFERROR(INDEX(Weekly_Model!$D$2:$D$9,MATCH(F187,Weekly_Model!$A$2:$A$9,0)),0)),IF(VLOOKUP($A184,Calendar!$A$1:$R$1377,18,0)=5,SUM(IFERROR(INDEX(Weekly_Model!$D$2:$D$9,MATCH(F184,Weekly_Model!$A$2:$A$9,0)),0),IFERROR(INDEX(Weekly_Model!$D$2:$D$9,MATCH(F185,Weekly_Model!$A$2:$A$9,0)),0),IFERROR(INDEX(Weekly_Model!$D$2:$D$9,MATCH(F186,Weekly_Model!$A$2:$A$9,0)),0),IFERROR(INDEX(Weekly_Model!$D$2:$D$9,MATCH(F187,Weekly_Model!$A$2:$A$9,0)),0),IFERROR(INDEX(Weekly_Model!$D$2:$D$9,MATCH(F188,Weekly_Model!$A$2:$A$9,0)),0)),0))))))</f>
        <v>0</v>
      </c>
      <c r="L184" s="27">
        <f>IF(VLOOKUP($A184,Calendar!$A$1:$R$1377,18,0)=0,0,IF(VLOOKUP($A184,Calendar!$A$1:$R$1377,18,0)=1,IFERROR(INDEX(Fortnightly_Model!$D$2:$D$15,MATCH(G184,Fortnightly_Model!$B$2:$B$15,0)),0),IF(VLOOKUP($A184,Calendar!$A$1:$R$1377,18,0)=2,SUM(IFERROR(INDEX(Fortnightly_Model!$D$2:$D$15,MATCH(G184,Fortnightly_Model!$B$2:$B$15,0)),0),IFERROR(INDEX(Fortnightly_Model!$D$2:$D$15,MATCH(G185,Fortnightly_Model!$B$2:$B$15,0)),0)),IF(VLOOKUP($A184,Calendar!$A$1:$R$1377,18,0)=3,SUM(IFERROR(INDEX(Fortnightly_Model!$D$2:$D$15,MATCH(G184,Fortnightly_Model!$B$2:$B$15,0)),0),IFERROR(INDEX(Fortnightly_Model!$D$2:$D$15,MATCH(G185,Fortnightly_Model!$B$2:$B$15,0)),0),IFERROR(INDEX(Fortnightly_Model!$D$2:$D$15,MATCH(G186,Fortnightly_Model!$B$2:$B$15,0)),0)),IF(VLOOKUP($A184,Calendar!$A$1:$R$1377,18,0)=4,SUM(IFERROR(INDEX(Fortnightly_Model!$D$2:$D$15,MATCH(G184,Fortnightly_Model!$B$2:$B$15,0)),0),IFERROR(INDEX(Fortnightly_Model!$D$2:$D$15,MATCH(G185,Fortnightly_Model!$B$2:$B$15,0)),0),IFERROR(INDEX(Fortnightly_Model!$D$2:$D$15,MATCH(G186,Fortnightly_Model!$B$2:$B$15,0)),0),IFERROR(INDEX(Fortnightly_Model!$D$2:$D$15,MATCH(G187,Fortnightly_Model!$B$2:$B$15,0)),0)),IF(VLOOKUP($A184,Calendar!$A$1:$R$1377,18,0)=5,SUM(IFERROR(INDEX(Fortnightly_Model!$D$2:$D$15,MATCH(G184,Fortnightly_Model!$B$2:$B$15,0)),0),IFERROR(INDEX(Fortnightly_Model!$D$2:$D$15,MATCH(G185,Fortnightly_Model!$B$2:$B$15,0)),0),IFERROR(INDEX(Fortnightly_Model!$D$2:$D$15,MATCH(G186,Fortnightly_Model!$B$2:$B$15,0)),0),IFERROR(INDEX(Fortnightly_Model!$D$2:$D$15,MATCH(G187,Fortnightly_Model!$B$2:$B$15,0)),0),IFERROR(INDEX(Fortnightly_Model!$D$2:$D$15,MATCH(G188,Fortnightly_Model!$B$2:$B$15,0)),0)),0))))))</f>
        <v>0</v>
      </c>
      <c r="M184" s="27">
        <f>IF(VLOOKUP($A184,Calendar!$A$1:$R$1377,18,0)=0,0,IF(VLOOKUP($A184,Calendar!$A$1:$R$1377,18,0)=1,IFERROR(INDEX(FourWeekly_Model!$D$2:$D$29,MATCH(H184,FourWeekly_Model!$B$2:$B$29,0)),0),IF(VLOOKUP($A184,Calendar!$A$1:$R$1377,18,0)=2,SUM(IFERROR(INDEX(FourWeekly_Model!$D$2:$D$29,MATCH(H184,FourWeekly_Model!$B$2:$B$29,0)),0),IFERROR(INDEX(FourWeekly_Model!$D$2:$D$29,MATCH(H185,FourWeekly_Model!$B$2:$B$29,0)),0)),IF(VLOOKUP($A184,Calendar!$A$1:$R$1377,18,0)=3,SUM(IFERROR(INDEX(FourWeekly_Model!$D$2:$D$29,MATCH(H184,FourWeekly_Model!$B$2:$B$29,0)),0),IFERROR(INDEX(FourWeekly_Model!$D$2:$D$29,MATCH(H185,FourWeekly_Model!$B$2:$B$29,0)),0),IFERROR(INDEX(FourWeekly_Model!$D$2:$D$29,MATCH(H186,FourWeekly_Model!$B$2:$B$29,0)),0)),IF(VLOOKUP($A184,Calendar!$A$1:$R$1377,18,0)=4,SUM(IFERROR(INDEX(FourWeekly_Model!$D$2:$D$29,MATCH(H184,FourWeekly_Model!$B$2:$B$29,0)),0),IFERROR(INDEX(FourWeekly_Model!$D$2:$D$29,MATCH(H185,FourWeekly_Model!$B$2:$B$29,0)),0),IFERROR(INDEX(FourWeekly_Model!$D$2:$D$29,MATCH(H186,FourWeekly_Model!$B$2:$B$29,0)),0),IFERROR(INDEX(FourWeekly_Model!$D$2:$D$29,MATCH(H187,FourWeekly_Model!$B$2:$B$29,0)),0)),IF(VLOOKUP($A184,Calendar!$A$1:$R$1377,18,0)=5,SUM(IFERROR(INDEX(FourWeekly_Model!$D$2:$D$29,MATCH(H184,FourWeekly_Model!$B$2:$B$29,0)),0),IFERROR(INDEX(FourWeekly_Model!$D$2:$D$29,MATCH(H185,FourWeekly_Model!$B$2:$B$29,0)),0),IFERROR(INDEX(FourWeekly_Model!$D$2:$D$29,MATCH(H186,FourWeekly_Model!$B$2:$B$29,0)),0),IFERROR(INDEX(FourWeekly_Model!$D$2:$D$29,MATCH(H187,FourWeekly_Model!$B$2:$B$29,0)),0),IFERROR(INDEX(FourWeekly_Model!$D$2:$D$29,MATCH(H188,FourWeekly_Model!$B$2:$B$29,0)),0)),0))))))</f>
        <v>0</v>
      </c>
      <c r="N184" s="27">
        <f>SUM(I184:M184)</f>
        <v>0</v>
      </c>
      <c r="O184" s="28">
        <f>Population_Data!$B$8*N184</f>
        <v>0</v>
      </c>
      <c r="P184" s="27">
        <f>IF(VLOOKUP($A184,Calendar!$A$1:$R$1377,18,0)=0,0,IF(VLOOKUP($A184,Calendar!$A$1:$R$1377,18,0)=1,IFERROR(INDEX(Pension_Model!$D$2:$D$29,MATCH(H184,Pension_Model!$B$2:$B$29,0)),0),IF(VLOOKUP($A184,Calendar!$A$1:$R$1377,18,0)=2,SUM(IFERROR(INDEX(Pension_Model!$D$2:$D$29,MATCH(H184,Pension_Model!$B$2:$B$29,0)),0),IFERROR(INDEX(Pension_Model!$D$2:$D$29,MATCH(H185,Pension_Model!$B$2:$B$29,0)),0)),IF(VLOOKUP($A184,Calendar!$A$1:$R$1377,18,0)=3,SUM(IFERROR(INDEX(Pension_Model!$D$2:$D$29,MATCH(H184,Pension_Model!$B$2:$B$29,0)),0),IFERROR(INDEX(Pension_Model!$D$2:$D$29,MATCH(H185,Pension_Model!$B$2:$B$29,0)),0),IFERROR(INDEX(Pension_Model!$D$2:$D$29,MATCH(H186,Pension_Model!$B$2:$B$29,0)),0)),IF(VLOOKUP($A184,Calendar!$A$1:$R$1377,18,0)=4,SUM(IFERROR(INDEX(Pension_Model!$D$2:$D$29,MATCH(H184,Pension_Model!$B$2:$B$29,0)),0),IFERROR(INDEX(Pension_Model!$D$2:$D$29,MATCH(H185,Pension_Model!$B$2:$B$29,0)),0),IFERROR(INDEX(Pension_Model!$D$2:$D$29,MATCH(H186,Pension_Model!$B$2:$B$29,0)),0),IFERROR(INDEX(Pension_Model!$D$2:$D$29,MATCH(H187,Pension_Model!$B$2:$B$29,0)),0)),IF(VLOOKUP($A184,Calendar!$A$1:$R$1377,18,0)=5,SUM(IFERROR(INDEX(Pension_Model!$D$2:$D$29,MATCH(H184,Pension_Model!$B$2:$B$29,0)),0),IFERROR(INDEX(Pension_Model!$D$2:$D$29,MATCH(H185,Pension_Model!$B$2:$B$29,0)),0),IFERROR(INDEX(Pension_Model!$D$2:$D$29,MATCH(H186,Pension_Model!$B$2:$B$29,0)),0),IFERROR(INDEX(Pension_Model!$D$2:$D$29,MATCH(H187,Pension_Model!$B$2:$B$29,0)),0),IFERROR(INDEX(Pension_Model!$D$2:$D$29,MATCH(H188,Pension_Model!$B$2:$B$29,0)),0)),0))))))</f>
        <v>0</v>
      </c>
      <c r="Q184" s="28">
        <f>Population_Data!$B$15*P184</f>
        <v>0</v>
      </c>
      <c r="S184">
        <f t="shared" si="2"/>
        <v>0</v>
      </c>
      <c r="U184" s="33">
        <f>S184/Population_Data!$B$19</f>
        <v>0</v>
      </c>
    </row>
    <row r="185" spans="1:21">
      <c r="A185" s="25">
        <f>Calendar!A185</f>
        <v>46418</v>
      </c>
      <c r="B185" t="str">
        <f>Calendar!L185</f>
        <v>No</v>
      </c>
      <c r="C185" t="str">
        <f>Calendar!O185</f>
        <v>No</v>
      </c>
      <c r="D185" t="str">
        <f>Calendar!P185</f>
        <v>No</v>
      </c>
      <c r="E185" t="str">
        <f>Calendar!Q185</f>
        <v>No</v>
      </c>
      <c r="F185" t="str">
        <f>Calendar!I185</f>
        <v>Sunday</v>
      </c>
      <c r="G185">
        <f>Calendar!S185</f>
        <v>8</v>
      </c>
      <c r="H185">
        <f>Calendar!T185</f>
        <v>22</v>
      </c>
      <c r="I185" s="27">
        <f>IF(VLOOKUP(A185,Calendar!$A$1:$R$1377,18,0)=0,0,IF(VLOOKUP(A185,Calendar!$A$1:$R$1377,18,0)=1,INDEX(Monthly_Pay_Model!$A$9:$D$40,MATCH(TEXT(A185,"dd"),Monthly_Pay_Model!$C$9:$C$39,0),4),IF(VLOOKUP(A185,Calendar!$A$1:$R$1377,18,0)=2,SUM(INDEX(Monthly_Pay_Model!$A$9:$D$40,MATCH(TEXT(A185,"dd"),Monthly_Pay_Model!$C$9:$C$39,0),4),INDEX(Monthly_Pay_Model!$A$9:$D$40,MATCH(TEXT(A186,"dd"),Monthly_Pay_Model!$C$9:$C$39,0),4)),IF(VLOOKUP(A185,Calendar!$A$1:$R$1377,18,0)=3,SUM(INDEX(Monthly_Pay_Model!$A$9:$D$40,MATCH(TEXT(A185,"dd"),Monthly_Pay_Model!$C$9:$C$39,0),4),INDEX(Monthly_Pay_Model!$A$9:$D$40,MATCH(TEXT(A186,"dd"),Monthly_Pay_Model!$C$9:$C$39,0),4),INDEX(Monthly_Pay_Model!$A$9:$D$40,MATCH(TEXT(A187,"dd"),Monthly_Pay_Model!$C$9:$C$39,0),4)),IF(VLOOKUP(A185,Calendar!$A$1:$R$1377,18,0)=4,SUM(INDEX(Monthly_Pay_Model!$A$9:$D$40,MATCH(TEXT(A185,"dd"),Monthly_Pay_Model!$C$9:$C$39,0),4),INDEX(Monthly_Pay_Model!$A$9:$D$40,MATCH(TEXT(A186,"dd"),Monthly_Pay_Model!$C$9:$C$39,0),4),INDEX(Monthly_Pay_Model!$A$9:$D$40,MATCH(TEXT(A187,"dd"),Monthly_Pay_Model!$C$9:$C$39,0),4),INDEX(Monthly_Pay_Model!$A$9:$D$40,MATCH(TEXT(A188,"dd"),Monthly_Pay_Model!$C$9:$C$39,0),4)),IF(VLOOKUP(A185,Calendar!$A$1:$R$1377,18,0)=5,SUM(INDEX(Monthly_Pay_Model!$A$9:$D$40,MATCH(TEXT(A185,"dd"),Monthly_Pay_Model!$C$9:$C$39,0),4),INDEX(Monthly_Pay_Model!$A$9:$D$40,MATCH(TEXT(A186,"dd"),Monthly_Pay_Model!$C$9:$C$39,0),4),INDEX(Monthly_Pay_Model!$A$9:$D$40,MATCH(TEXT(A187,"dd"),Monthly_Pay_Model!$C$9:$C$39,0),4),INDEX(Monthly_Pay_Model!$A$9:$D$40,MATCH(TEXT(A188,"dd"),Monthly_Pay_Model!$C$9:$C$39,0),4),INDEX(Monthly_Pay_Model!$A$9:$D$40,MATCH(TEXT(A189,"dd"),Monthly_Pay_Model!$C$9:$C$39,0),4)),))))))</f>
        <v>0</v>
      </c>
      <c r="J185" s="33">
        <f>IF(C185="Yes",Monthly_Pay_Model!$D$2,0)
+IF(Calendar!N185="Yes",Monthly_Pay_Model!$D$3,0)
+IF(D185="Yes",Monthly_Pay_Model!$D$4,0)
+IF(E185="Yes",Monthly_Pay_Model!$D$5,0)</f>
        <v>0.12416000000000001</v>
      </c>
      <c r="K185" s="27">
        <f>IF(VLOOKUP($A185,Calendar!$A$1:$R$1377,18,0)=0,0,IF(VLOOKUP($A185,Calendar!$A$1:$R$1377,18,0)=1,IFERROR(INDEX(Weekly_Model!$D$2:$D$9,MATCH(F185,Weekly_Model!$A$2:$A$9,0)),0),IF(VLOOKUP($A185,Calendar!$A$1:$R$1377,18,0)=2,SUM(IFERROR(INDEX(Weekly_Model!$D$2:$D$9,MATCH(F185,Weekly_Model!$A$2:$A$9,0)),0),IFERROR(INDEX(Weekly_Model!$D$2:$D$9,MATCH(F186,Weekly_Model!$A$2:$A$9,0)),0)),IF(VLOOKUP($A185,Calendar!$A$1:$R$1377,18,0)=3,SUM(IFERROR(INDEX(Weekly_Model!$D$2:$D$9,MATCH(F185,Weekly_Model!$A$2:$A$9,0)),0),IFERROR(INDEX(Weekly_Model!$D$2:$D$9,MATCH(F186,Weekly_Model!$A$2:$A$9,0)),0),IFERROR(INDEX(Weekly_Model!$D$2:$D$9,MATCH(F187,Weekly_Model!$A$2:$A$9,0)),0)),IF(VLOOKUP($A185,Calendar!$A$1:$R$1377,18,0)=4,SUM(IFERROR(INDEX(Weekly_Model!$D$2:$D$9,MATCH(F185,Weekly_Model!$A$2:$A$9,0)),0),IFERROR(INDEX(Weekly_Model!$D$2:$D$9,MATCH(F186,Weekly_Model!$A$2:$A$9,0)),0),IFERROR(INDEX(Weekly_Model!$D$2:$D$9,MATCH(F187,Weekly_Model!$A$2:$A$9,0)),0),IFERROR(INDEX(Weekly_Model!$D$2:$D$9,MATCH(F188,Weekly_Model!$A$2:$A$9,0)),0)),IF(VLOOKUP($A185,Calendar!$A$1:$R$1377,18,0)=5,SUM(IFERROR(INDEX(Weekly_Model!$D$2:$D$9,MATCH(F185,Weekly_Model!$A$2:$A$9,0)),0),IFERROR(INDEX(Weekly_Model!$D$2:$D$9,MATCH(F186,Weekly_Model!$A$2:$A$9,0)),0),IFERROR(INDEX(Weekly_Model!$D$2:$D$9,MATCH(F187,Weekly_Model!$A$2:$A$9,0)),0),IFERROR(INDEX(Weekly_Model!$D$2:$D$9,MATCH(F188,Weekly_Model!$A$2:$A$9,0)),0),IFERROR(INDEX(Weekly_Model!$D$2:$D$9,MATCH(F189,Weekly_Model!$A$2:$A$9,0)),0)),0))))))</f>
        <v>0</v>
      </c>
      <c r="L185" s="27">
        <f>IF(VLOOKUP($A185,Calendar!$A$1:$R$1377,18,0)=0,0,IF(VLOOKUP($A185,Calendar!$A$1:$R$1377,18,0)=1,IFERROR(INDEX(Fortnightly_Model!$D$2:$D$15,MATCH(G185,Fortnightly_Model!$B$2:$B$15,0)),0),IF(VLOOKUP($A185,Calendar!$A$1:$R$1377,18,0)=2,SUM(IFERROR(INDEX(Fortnightly_Model!$D$2:$D$15,MATCH(G185,Fortnightly_Model!$B$2:$B$15,0)),0),IFERROR(INDEX(Fortnightly_Model!$D$2:$D$15,MATCH(G186,Fortnightly_Model!$B$2:$B$15,0)),0)),IF(VLOOKUP($A185,Calendar!$A$1:$R$1377,18,0)=3,SUM(IFERROR(INDEX(Fortnightly_Model!$D$2:$D$15,MATCH(G185,Fortnightly_Model!$B$2:$B$15,0)),0),IFERROR(INDEX(Fortnightly_Model!$D$2:$D$15,MATCH(G186,Fortnightly_Model!$B$2:$B$15,0)),0),IFERROR(INDEX(Fortnightly_Model!$D$2:$D$15,MATCH(G187,Fortnightly_Model!$B$2:$B$15,0)),0)),IF(VLOOKUP($A185,Calendar!$A$1:$R$1377,18,0)=4,SUM(IFERROR(INDEX(Fortnightly_Model!$D$2:$D$15,MATCH(G185,Fortnightly_Model!$B$2:$B$15,0)),0),IFERROR(INDEX(Fortnightly_Model!$D$2:$D$15,MATCH(G186,Fortnightly_Model!$B$2:$B$15,0)),0),IFERROR(INDEX(Fortnightly_Model!$D$2:$D$15,MATCH(G187,Fortnightly_Model!$B$2:$B$15,0)),0),IFERROR(INDEX(Fortnightly_Model!$D$2:$D$15,MATCH(G188,Fortnightly_Model!$B$2:$B$15,0)),0)),IF(VLOOKUP($A185,Calendar!$A$1:$R$1377,18,0)=5,SUM(IFERROR(INDEX(Fortnightly_Model!$D$2:$D$15,MATCH(G185,Fortnightly_Model!$B$2:$B$15,0)),0),IFERROR(INDEX(Fortnightly_Model!$D$2:$D$15,MATCH(G186,Fortnightly_Model!$B$2:$B$15,0)),0),IFERROR(INDEX(Fortnightly_Model!$D$2:$D$15,MATCH(G187,Fortnightly_Model!$B$2:$B$15,0)),0),IFERROR(INDEX(Fortnightly_Model!$D$2:$D$15,MATCH(G188,Fortnightly_Model!$B$2:$B$15,0)),0),IFERROR(INDEX(Fortnightly_Model!$D$2:$D$15,MATCH(G189,Fortnightly_Model!$B$2:$B$15,0)),0)),0))))))</f>
        <v>0</v>
      </c>
      <c r="M185" s="27">
        <f>IF(VLOOKUP($A185,Calendar!$A$1:$R$1377,18,0)=0,0,IF(VLOOKUP($A185,Calendar!$A$1:$R$1377,18,0)=1,IFERROR(INDEX(FourWeekly_Model!$D$2:$D$29,MATCH(H185,FourWeekly_Model!$B$2:$B$29,0)),0),IF(VLOOKUP($A185,Calendar!$A$1:$R$1377,18,0)=2,SUM(IFERROR(INDEX(FourWeekly_Model!$D$2:$D$29,MATCH(H185,FourWeekly_Model!$B$2:$B$29,0)),0),IFERROR(INDEX(FourWeekly_Model!$D$2:$D$29,MATCH(H186,FourWeekly_Model!$B$2:$B$29,0)),0)),IF(VLOOKUP($A185,Calendar!$A$1:$R$1377,18,0)=3,SUM(IFERROR(INDEX(FourWeekly_Model!$D$2:$D$29,MATCH(H185,FourWeekly_Model!$B$2:$B$29,0)),0),IFERROR(INDEX(FourWeekly_Model!$D$2:$D$29,MATCH(H186,FourWeekly_Model!$B$2:$B$29,0)),0),IFERROR(INDEX(FourWeekly_Model!$D$2:$D$29,MATCH(H187,FourWeekly_Model!$B$2:$B$29,0)),0)),IF(VLOOKUP($A185,Calendar!$A$1:$R$1377,18,0)=4,SUM(IFERROR(INDEX(FourWeekly_Model!$D$2:$D$29,MATCH(H185,FourWeekly_Model!$B$2:$B$29,0)),0),IFERROR(INDEX(FourWeekly_Model!$D$2:$D$29,MATCH(H186,FourWeekly_Model!$B$2:$B$29,0)),0),IFERROR(INDEX(FourWeekly_Model!$D$2:$D$29,MATCH(H187,FourWeekly_Model!$B$2:$B$29,0)),0),IFERROR(INDEX(FourWeekly_Model!$D$2:$D$29,MATCH(H188,FourWeekly_Model!$B$2:$B$29,0)),0)),IF(VLOOKUP($A185,Calendar!$A$1:$R$1377,18,0)=5,SUM(IFERROR(INDEX(FourWeekly_Model!$D$2:$D$29,MATCH(H185,FourWeekly_Model!$B$2:$B$29,0)),0),IFERROR(INDEX(FourWeekly_Model!$D$2:$D$29,MATCH(H186,FourWeekly_Model!$B$2:$B$29,0)),0),IFERROR(INDEX(FourWeekly_Model!$D$2:$D$29,MATCH(H187,FourWeekly_Model!$B$2:$B$29,0)),0),IFERROR(INDEX(FourWeekly_Model!$D$2:$D$29,MATCH(H188,FourWeekly_Model!$B$2:$B$29,0)),0),IFERROR(INDEX(FourWeekly_Model!$D$2:$D$29,MATCH(H189,FourWeekly_Model!$B$2:$B$29,0)),0)),0))))))</f>
        <v>0</v>
      </c>
      <c r="N185" s="27">
        <f>SUM(I185:M185)</f>
        <v>0.12416000000000001</v>
      </c>
      <c r="O185" s="28">
        <f>Population_Data!$B$8*N185</f>
        <v>3762048</v>
      </c>
      <c r="P185" s="27">
        <f>IF(VLOOKUP($A185,Calendar!$A$1:$R$1377,18,0)=0,0,IF(VLOOKUP($A185,Calendar!$A$1:$R$1377,18,0)=1,IFERROR(INDEX(Pension_Model!$D$2:$D$29,MATCH(H185,Pension_Model!$B$2:$B$29,0)),0),IF(VLOOKUP($A185,Calendar!$A$1:$R$1377,18,0)=2,SUM(IFERROR(INDEX(Pension_Model!$D$2:$D$29,MATCH(H185,Pension_Model!$B$2:$B$29,0)),0),IFERROR(INDEX(Pension_Model!$D$2:$D$29,MATCH(H186,Pension_Model!$B$2:$B$29,0)),0)),IF(VLOOKUP($A185,Calendar!$A$1:$R$1377,18,0)=3,SUM(IFERROR(INDEX(Pension_Model!$D$2:$D$29,MATCH(H185,Pension_Model!$B$2:$B$29,0)),0),IFERROR(INDEX(Pension_Model!$D$2:$D$29,MATCH(H186,Pension_Model!$B$2:$B$29,0)),0),IFERROR(INDEX(Pension_Model!$D$2:$D$29,MATCH(H187,Pension_Model!$B$2:$B$29,0)),0)),IF(VLOOKUP($A185,Calendar!$A$1:$R$1377,18,0)=4,SUM(IFERROR(INDEX(Pension_Model!$D$2:$D$29,MATCH(H185,Pension_Model!$B$2:$B$29,0)),0),IFERROR(INDEX(Pension_Model!$D$2:$D$29,MATCH(H186,Pension_Model!$B$2:$B$29,0)),0),IFERROR(INDEX(Pension_Model!$D$2:$D$29,MATCH(H187,Pension_Model!$B$2:$B$29,0)),0),IFERROR(INDEX(Pension_Model!$D$2:$D$29,MATCH(H188,Pension_Model!$B$2:$B$29,0)),0)),IF(VLOOKUP($A185,Calendar!$A$1:$R$1377,18,0)=5,SUM(IFERROR(INDEX(Pension_Model!$D$2:$D$29,MATCH(H185,Pension_Model!$B$2:$B$29,0)),0),IFERROR(INDEX(Pension_Model!$D$2:$D$29,MATCH(H186,Pension_Model!$B$2:$B$29,0)),0),IFERROR(INDEX(Pension_Model!$D$2:$D$29,MATCH(H187,Pension_Model!$B$2:$B$29,0)),0),IFERROR(INDEX(Pension_Model!$D$2:$D$29,MATCH(H188,Pension_Model!$B$2:$B$29,0)),0),IFERROR(INDEX(Pension_Model!$D$2:$D$29,MATCH(H189,Pension_Model!$B$2:$B$29,0)),0)),0))))))</f>
        <v>0</v>
      </c>
      <c r="Q185" s="28">
        <f>Population_Data!$B$15*P185</f>
        <v>0</v>
      </c>
      <c r="S185">
        <f t="shared" si="2"/>
        <v>3762048</v>
      </c>
      <c r="U185" s="33">
        <f>S185/Population_Data!$B$19</f>
        <v>6.8153043478260872E-2</v>
      </c>
    </row>
    <row r="186" spans="1:21">
      <c r="A186" s="25">
        <f>Calendar!A186</f>
        <v>46419</v>
      </c>
      <c r="B186" t="str">
        <f>Calendar!L186</f>
        <v>Yes</v>
      </c>
      <c r="C186" t="str">
        <f>Calendar!O186</f>
        <v>No</v>
      </c>
      <c r="D186" t="str">
        <f>Calendar!P186</f>
        <v>No</v>
      </c>
      <c r="E186" t="str">
        <f>Calendar!Q186</f>
        <v>No</v>
      </c>
      <c r="F186" t="str">
        <f>Calendar!I186</f>
        <v>Monday</v>
      </c>
      <c r="G186">
        <f>Calendar!S186</f>
        <v>9</v>
      </c>
      <c r="H186">
        <f>Calendar!T186</f>
        <v>23</v>
      </c>
      <c r="I186" s="27">
        <f>IF(VLOOKUP(A186,Calendar!$A$1:$R$1377,18,0)=0,0,IF(VLOOKUP(A186,Calendar!$A$1:$R$1377,18,0)=1,INDEX(Monthly_Pay_Model!$A$9:$D$40,MATCH(TEXT(A186,"dd"),Monthly_Pay_Model!$C$9:$C$39,0),4),IF(VLOOKUP(A186,Calendar!$A$1:$R$1377,18,0)=2,SUM(INDEX(Monthly_Pay_Model!$A$9:$D$40,MATCH(TEXT(A186,"dd"),Monthly_Pay_Model!$C$9:$C$39,0),4),INDEX(Monthly_Pay_Model!$A$9:$D$40,MATCH(TEXT(A187,"dd"),Monthly_Pay_Model!$C$9:$C$39,0),4)),IF(VLOOKUP(A186,Calendar!$A$1:$R$1377,18,0)=3,SUM(INDEX(Monthly_Pay_Model!$A$9:$D$40,MATCH(TEXT(A186,"dd"),Monthly_Pay_Model!$C$9:$C$39,0),4),INDEX(Monthly_Pay_Model!$A$9:$D$40,MATCH(TEXT(A187,"dd"),Monthly_Pay_Model!$C$9:$C$39,0),4),INDEX(Monthly_Pay_Model!$A$9:$D$40,MATCH(TEXT(A188,"dd"),Monthly_Pay_Model!$C$9:$C$39,0),4)),IF(VLOOKUP(A186,Calendar!$A$1:$R$1377,18,0)=4,SUM(INDEX(Monthly_Pay_Model!$A$9:$D$40,MATCH(TEXT(A186,"dd"),Monthly_Pay_Model!$C$9:$C$39,0),4),INDEX(Monthly_Pay_Model!$A$9:$D$40,MATCH(TEXT(A187,"dd"),Monthly_Pay_Model!$C$9:$C$39,0),4),INDEX(Monthly_Pay_Model!$A$9:$D$40,MATCH(TEXT(A188,"dd"),Monthly_Pay_Model!$C$9:$C$39,0),4),INDEX(Monthly_Pay_Model!$A$9:$D$40,MATCH(TEXT(A189,"dd"),Monthly_Pay_Model!$C$9:$C$39,0),4)),IF(VLOOKUP(A186,Calendar!$A$1:$R$1377,18,0)=5,SUM(INDEX(Monthly_Pay_Model!$A$9:$D$40,MATCH(TEXT(A186,"dd"),Monthly_Pay_Model!$C$9:$C$39,0),4),INDEX(Monthly_Pay_Model!$A$9:$D$40,MATCH(TEXT(A187,"dd"),Monthly_Pay_Model!$C$9:$C$39,0),4),INDEX(Monthly_Pay_Model!$A$9:$D$40,MATCH(TEXT(A188,"dd"),Monthly_Pay_Model!$C$9:$C$39,0),4),INDEX(Monthly_Pay_Model!$A$9:$D$40,MATCH(TEXT(A189,"dd"),Monthly_Pay_Model!$C$9:$C$39,0),4),INDEX(Monthly_Pay_Model!$A$9:$D$40,MATCH(TEXT(A190,"dd"),Monthly_Pay_Model!$C$9:$C$39,0),4)),))))))</f>
        <v>4.0628272251308894E-3</v>
      </c>
      <c r="J186" s="33">
        <f>IF(C186="Yes",Monthly_Pay_Model!$D$2,0)
+IF(Calendar!N186="Yes",Monthly_Pay_Model!$D$3,0)
+IF(D186="Yes",Monthly_Pay_Model!$D$4,0)
+IF(E186="Yes",Monthly_Pay_Model!$D$5,0)</f>
        <v>0</v>
      </c>
      <c r="K186" s="27">
        <f>IF(VLOOKUP($A186,Calendar!$A$1:$R$1377,18,0)=0,0,IF(VLOOKUP($A186,Calendar!$A$1:$R$1377,18,0)=1,IFERROR(INDEX(Weekly_Model!$D$2:$D$9,MATCH(F186,Weekly_Model!$A$2:$A$9,0)),0),IF(VLOOKUP($A186,Calendar!$A$1:$R$1377,18,0)=2,SUM(IFERROR(INDEX(Weekly_Model!$D$2:$D$9,MATCH(F186,Weekly_Model!$A$2:$A$9,0)),0),IFERROR(INDEX(Weekly_Model!$D$2:$D$9,MATCH(F187,Weekly_Model!$A$2:$A$9,0)),0)),IF(VLOOKUP($A186,Calendar!$A$1:$R$1377,18,0)=3,SUM(IFERROR(INDEX(Weekly_Model!$D$2:$D$9,MATCH(F186,Weekly_Model!$A$2:$A$9,0)),0),IFERROR(INDEX(Weekly_Model!$D$2:$D$9,MATCH(F187,Weekly_Model!$A$2:$A$9,0)),0),IFERROR(INDEX(Weekly_Model!$D$2:$D$9,MATCH(F188,Weekly_Model!$A$2:$A$9,0)),0)),IF(VLOOKUP($A186,Calendar!$A$1:$R$1377,18,0)=4,SUM(IFERROR(INDEX(Weekly_Model!$D$2:$D$9,MATCH(F186,Weekly_Model!$A$2:$A$9,0)),0),IFERROR(INDEX(Weekly_Model!$D$2:$D$9,MATCH(F187,Weekly_Model!$A$2:$A$9,0)),0),IFERROR(INDEX(Weekly_Model!$D$2:$D$9,MATCH(F188,Weekly_Model!$A$2:$A$9,0)),0),IFERROR(INDEX(Weekly_Model!$D$2:$D$9,MATCH(F189,Weekly_Model!$A$2:$A$9,0)),0)),IF(VLOOKUP($A186,Calendar!$A$1:$R$1377,18,0)=5,SUM(IFERROR(INDEX(Weekly_Model!$D$2:$D$9,MATCH(F186,Weekly_Model!$A$2:$A$9,0)),0),IFERROR(INDEX(Weekly_Model!$D$2:$D$9,MATCH(F187,Weekly_Model!$A$2:$A$9,0)),0),IFERROR(INDEX(Weekly_Model!$D$2:$D$9,MATCH(F188,Weekly_Model!$A$2:$A$9,0)),0),IFERROR(INDEX(Weekly_Model!$D$2:$D$9,MATCH(F189,Weekly_Model!$A$2:$A$9,0)),0),IFERROR(INDEX(Weekly_Model!$D$2:$D$9,MATCH(F190,Weekly_Model!$A$2:$A$9,0)),0)),0))))))</f>
        <v>2.3200000000000002E-2</v>
      </c>
      <c r="L186" s="27">
        <f>IF(VLOOKUP($A186,Calendar!$A$1:$R$1377,18,0)=0,0,IF(VLOOKUP($A186,Calendar!$A$1:$R$1377,18,0)=1,IFERROR(INDEX(Fortnightly_Model!$D$2:$D$15,MATCH(G186,Fortnightly_Model!$B$2:$B$15,0)),0),IF(VLOOKUP($A186,Calendar!$A$1:$R$1377,18,0)=2,SUM(IFERROR(INDEX(Fortnightly_Model!$D$2:$D$15,MATCH(G186,Fortnightly_Model!$B$2:$B$15,0)),0),IFERROR(INDEX(Fortnightly_Model!$D$2:$D$15,MATCH(G187,Fortnightly_Model!$B$2:$B$15,0)),0)),IF(VLOOKUP($A186,Calendar!$A$1:$R$1377,18,0)=3,SUM(IFERROR(INDEX(Fortnightly_Model!$D$2:$D$15,MATCH(G186,Fortnightly_Model!$B$2:$B$15,0)),0),IFERROR(INDEX(Fortnightly_Model!$D$2:$D$15,MATCH(G187,Fortnightly_Model!$B$2:$B$15,0)),0),IFERROR(INDEX(Fortnightly_Model!$D$2:$D$15,MATCH(G188,Fortnightly_Model!$B$2:$B$15,0)),0)),IF(VLOOKUP($A186,Calendar!$A$1:$R$1377,18,0)=4,SUM(IFERROR(INDEX(Fortnightly_Model!$D$2:$D$15,MATCH(G186,Fortnightly_Model!$B$2:$B$15,0)),0),IFERROR(INDEX(Fortnightly_Model!$D$2:$D$15,MATCH(G187,Fortnightly_Model!$B$2:$B$15,0)),0),IFERROR(INDEX(Fortnightly_Model!$D$2:$D$15,MATCH(G188,Fortnightly_Model!$B$2:$B$15,0)),0),IFERROR(INDEX(Fortnightly_Model!$D$2:$D$15,MATCH(G189,Fortnightly_Model!$B$2:$B$15,0)),0)),IF(VLOOKUP($A186,Calendar!$A$1:$R$1377,18,0)=5,SUM(IFERROR(INDEX(Fortnightly_Model!$D$2:$D$15,MATCH(G186,Fortnightly_Model!$B$2:$B$15,0)),0),IFERROR(INDEX(Fortnightly_Model!$D$2:$D$15,MATCH(G187,Fortnightly_Model!$B$2:$B$15,0)),0),IFERROR(INDEX(Fortnightly_Model!$D$2:$D$15,MATCH(G188,Fortnightly_Model!$B$2:$B$15,0)),0),IFERROR(INDEX(Fortnightly_Model!$D$2:$D$15,MATCH(G189,Fortnightly_Model!$B$2:$B$15,0)),0),IFERROR(INDEX(Fortnightly_Model!$D$2:$D$15,MATCH(G190,Fortnightly_Model!$B$2:$B$15,0)),0)),0))))))</f>
        <v>1.0714285499999999E-3</v>
      </c>
      <c r="M186" s="27">
        <f>IF(VLOOKUP($A186,Calendar!$A$1:$R$1377,18,0)=0,0,IF(VLOOKUP($A186,Calendar!$A$1:$R$1377,18,0)=1,IFERROR(INDEX(FourWeekly_Model!$D$2:$D$29,MATCH(H186,FourWeekly_Model!$B$2:$B$29,0)),0),IF(VLOOKUP($A186,Calendar!$A$1:$R$1377,18,0)=2,SUM(IFERROR(INDEX(FourWeekly_Model!$D$2:$D$29,MATCH(H186,FourWeekly_Model!$B$2:$B$29,0)),0),IFERROR(INDEX(FourWeekly_Model!$D$2:$D$29,MATCH(H187,FourWeekly_Model!$B$2:$B$29,0)),0)),IF(VLOOKUP($A186,Calendar!$A$1:$R$1377,18,0)=3,SUM(IFERROR(INDEX(FourWeekly_Model!$D$2:$D$29,MATCH(H186,FourWeekly_Model!$B$2:$B$29,0)),0),IFERROR(INDEX(FourWeekly_Model!$D$2:$D$29,MATCH(H187,FourWeekly_Model!$B$2:$B$29,0)),0),IFERROR(INDEX(FourWeekly_Model!$D$2:$D$29,MATCH(H188,FourWeekly_Model!$B$2:$B$29,0)),0)),IF(VLOOKUP($A186,Calendar!$A$1:$R$1377,18,0)=4,SUM(IFERROR(INDEX(FourWeekly_Model!$D$2:$D$29,MATCH(H186,FourWeekly_Model!$B$2:$B$29,0)),0),IFERROR(INDEX(FourWeekly_Model!$D$2:$D$29,MATCH(H187,FourWeekly_Model!$B$2:$B$29,0)),0),IFERROR(INDEX(FourWeekly_Model!$D$2:$D$29,MATCH(H188,FourWeekly_Model!$B$2:$B$29,0)),0),IFERROR(INDEX(FourWeekly_Model!$D$2:$D$29,MATCH(H189,FourWeekly_Model!$B$2:$B$29,0)),0)),IF(VLOOKUP($A186,Calendar!$A$1:$R$1377,18,0)=5,SUM(IFERROR(INDEX(FourWeekly_Model!$D$2:$D$29,MATCH(H186,FourWeekly_Model!$B$2:$B$29,0)),0),IFERROR(INDEX(FourWeekly_Model!$D$2:$D$29,MATCH(H187,FourWeekly_Model!$B$2:$B$29,0)),0),IFERROR(INDEX(FourWeekly_Model!$D$2:$D$29,MATCH(H188,FourWeekly_Model!$B$2:$B$29,0)),0),IFERROR(INDEX(FourWeekly_Model!$D$2:$D$29,MATCH(H189,FourWeekly_Model!$B$2:$B$29,0)),0),IFERROR(INDEX(FourWeekly_Model!$D$2:$D$29,MATCH(H190,FourWeekly_Model!$B$2:$B$29,0)),0)),0))))))</f>
        <v>3.3214289700000004E-3</v>
      </c>
      <c r="N186" s="27">
        <f>SUM(I186:M186)</f>
        <v>3.1655684745130891E-2</v>
      </c>
      <c r="O186" s="28">
        <f>Population_Data!$B$8*N186</f>
        <v>959167.24777746596</v>
      </c>
      <c r="P186" s="27">
        <f>IF(VLOOKUP($A186,Calendar!$A$1:$R$1377,18,0)=0,0,IF(VLOOKUP($A186,Calendar!$A$1:$R$1377,18,0)=1,IFERROR(INDEX(Pension_Model!$D$2:$D$29,MATCH(H186,Pension_Model!$B$2:$B$29,0)),0),IF(VLOOKUP($A186,Calendar!$A$1:$R$1377,18,0)=2,SUM(IFERROR(INDEX(Pension_Model!$D$2:$D$29,MATCH(H186,Pension_Model!$B$2:$B$29,0)),0),IFERROR(INDEX(Pension_Model!$D$2:$D$29,MATCH(H187,Pension_Model!$B$2:$B$29,0)),0)),IF(VLOOKUP($A186,Calendar!$A$1:$R$1377,18,0)=3,SUM(IFERROR(INDEX(Pension_Model!$D$2:$D$29,MATCH(H186,Pension_Model!$B$2:$B$29,0)),0),IFERROR(INDEX(Pension_Model!$D$2:$D$29,MATCH(H187,Pension_Model!$B$2:$B$29,0)),0),IFERROR(INDEX(Pension_Model!$D$2:$D$29,MATCH(H188,Pension_Model!$B$2:$B$29,0)),0)),IF(VLOOKUP($A186,Calendar!$A$1:$R$1377,18,0)=4,SUM(IFERROR(INDEX(Pension_Model!$D$2:$D$29,MATCH(H186,Pension_Model!$B$2:$B$29,0)),0),IFERROR(INDEX(Pension_Model!$D$2:$D$29,MATCH(H187,Pension_Model!$B$2:$B$29,0)),0),IFERROR(INDEX(Pension_Model!$D$2:$D$29,MATCH(H188,Pension_Model!$B$2:$B$29,0)),0),IFERROR(INDEX(Pension_Model!$D$2:$D$29,MATCH(H189,Pension_Model!$B$2:$B$29,0)),0)),IF(VLOOKUP($A186,Calendar!$A$1:$R$1377,18,0)=5,SUM(IFERROR(INDEX(Pension_Model!$D$2:$D$29,MATCH(H186,Pension_Model!$B$2:$B$29,0)),0),IFERROR(INDEX(Pension_Model!$D$2:$D$29,MATCH(H187,Pension_Model!$B$2:$B$29,0)),0),IFERROR(INDEX(Pension_Model!$D$2:$D$29,MATCH(H188,Pension_Model!$B$2:$B$29,0)),0),IFERROR(INDEX(Pension_Model!$D$2:$D$29,MATCH(H189,Pension_Model!$B$2:$B$29,0)),0),IFERROR(INDEX(Pension_Model!$D$2:$D$29,MATCH(H190,Pension_Model!$B$2:$B$29,0)),0)),0))))))</f>
        <v>0.05</v>
      </c>
      <c r="Q186" s="28">
        <f>Population_Data!$B$15*P186</f>
        <v>660600</v>
      </c>
      <c r="S186">
        <f t="shared" si="2"/>
        <v>1619767.247777466</v>
      </c>
      <c r="U186" s="33">
        <f>S186/Population_Data!$B$19</f>
        <v>2.9343609561185979E-2</v>
      </c>
    </row>
    <row r="187" spans="1:21">
      <c r="A187" s="25">
        <f>Calendar!A187</f>
        <v>46420</v>
      </c>
      <c r="B187" t="str">
        <f>Calendar!L187</f>
        <v>Yes</v>
      </c>
      <c r="C187" t="str">
        <f>Calendar!O187</f>
        <v>No</v>
      </c>
      <c r="D187" t="str">
        <f>Calendar!P187</f>
        <v>No</v>
      </c>
      <c r="E187" t="str">
        <f>Calendar!Q187</f>
        <v>No</v>
      </c>
      <c r="F187" t="str">
        <f>Calendar!I187</f>
        <v>Tuesday</v>
      </c>
      <c r="G187">
        <f>Calendar!S187</f>
        <v>10</v>
      </c>
      <c r="H187">
        <f>Calendar!T187</f>
        <v>24</v>
      </c>
      <c r="I187" s="27">
        <f>IF(VLOOKUP(A187,Calendar!$A$1:$R$1377,18,0)=0,0,IF(VLOOKUP(A187,Calendar!$A$1:$R$1377,18,0)=1,INDEX(Monthly_Pay_Model!$A$9:$D$40,MATCH(TEXT(A187,"dd"),Monthly_Pay_Model!$C$9:$C$39,0),4),IF(VLOOKUP(A187,Calendar!$A$1:$R$1377,18,0)=2,SUM(INDEX(Monthly_Pay_Model!$A$9:$D$40,MATCH(TEXT(A187,"dd"),Monthly_Pay_Model!$C$9:$C$39,0),4),INDEX(Monthly_Pay_Model!$A$9:$D$40,MATCH(TEXT(A188,"dd"),Monthly_Pay_Model!$C$9:$C$39,0),4)),IF(VLOOKUP(A187,Calendar!$A$1:$R$1377,18,0)=3,SUM(INDEX(Monthly_Pay_Model!$A$9:$D$40,MATCH(TEXT(A187,"dd"),Monthly_Pay_Model!$C$9:$C$39,0),4),INDEX(Monthly_Pay_Model!$A$9:$D$40,MATCH(TEXT(A188,"dd"),Monthly_Pay_Model!$C$9:$C$39,0),4),INDEX(Monthly_Pay_Model!$A$9:$D$40,MATCH(TEXT(A189,"dd"),Monthly_Pay_Model!$C$9:$C$39,0),4)),IF(VLOOKUP(A187,Calendar!$A$1:$R$1377,18,0)=4,SUM(INDEX(Monthly_Pay_Model!$A$9:$D$40,MATCH(TEXT(A187,"dd"),Monthly_Pay_Model!$C$9:$C$39,0),4),INDEX(Monthly_Pay_Model!$A$9:$D$40,MATCH(TEXT(A188,"dd"),Monthly_Pay_Model!$C$9:$C$39,0),4),INDEX(Monthly_Pay_Model!$A$9:$D$40,MATCH(TEXT(A189,"dd"),Monthly_Pay_Model!$C$9:$C$39,0),4),INDEX(Monthly_Pay_Model!$A$9:$D$40,MATCH(TEXT(A190,"dd"),Monthly_Pay_Model!$C$9:$C$39,0),4)),IF(VLOOKUP(A187,Calendar!$A$1:$R$1377,18,0)=5,SUM(INDEX(Monthly_Pay_Model!$A$9:$D$40,MATCH(TEXT(A187,"dd"),Monthly_Pay_Model!$C$9:$C$39,0),4),INDEX(Monthly_Pay_Model!$A$9:$D$40,MATCH(TEXT(A188,"dd"),Monthly_Pay_Model!$C$9:$C$39,0),4),INDEX(Monthly_Pay_Model!$A$9:$D$40,MATCH(TEXT(A189,"dd"),Monthly_Pay_Model!$C$9:$C$39,0),4),INDEX(Monthly_Pay_Model!$A$9:$D$40,MATCH(TEXT(A190,"dd"),Monthly_Pay_Model!$C$9:$C$39,0),4),INDEX(Monthly_Pay_Model!$A$9:$D$40,MATCH(TEXT(A191,"dd"),Monthly_Pay_Model!$C$9:$C$39,0),4)),))))))</f>
        <v>8.1256544502617792E-4</v>
      </c>
      <c r="J187" s="33">
        <f>IF(C187="Yes",Monthly_Pay_Model!$D$2,0)
+IF(Calendar!N187="Yes",Monthly_Pay_Model!$D$3,0)
+IF(D187="Yes",Monthly_Pay_Model!$D$4,0)
+IF(E187="Yes",Monthly_Pay_Model!$D$5,0)</f>
        <v>0</v>
      </c>
      <c r="K187" s="27">
        <f>IF(VLOOKUP($A187,Calendar!$A$1:$R$1377,18,0)=0,0,IF(VLOOKUP($A187,Calendar!$A$1:$R$1377,18,0)=1,IFERROR(INDEX(Weekly_Model!$D$2:$D$9,MATCH(F187,Weekly_Model!$A$2:$A$9,0)),0),IF(VLOOKUP($A187,Calendar!$A$1:$R$1377,18,0)=2,SUM(IFERROR(INDEX(Weekly_Model!$D$2:$D$9,MATCH(F187,Weekly_Model!$A$2:$A$9,0)),0),IFERROR(INDEX(Weekly_Model!$D$2:$D$9,MATCH(F188,Weekly_Model!$A$2:$A$9,0)),0)),IF(VLOOKUP($A187,Calendar!$A$1:$R$1377,18,0)=3,SUM(IFERROR(INDEX(Weekly_Model!$D$2:$D$9,MATCH(F187,Weekly_Model!$A$2:$A$9,0)),0),IFERROR(INDEX(Weekly_Model!$D$2:$D$9,MATCH(F188,Weekly_Model!$A$2:$A$9,0)),0),IFERROR(INDEX(Weekly_Model!$D$2:$D$9,MATCH(F189,Weekly_Model!$A$2:$A$9,0)),0)),IF(VLOOKUP($A187,Calendar!$A$1:$R$1377,18,0)=4,SUM(IFERROR(INDEX(Weekly_Model!$D$2:$D$9,MATCH(F187,Weekly_Model!$A$2:$A$9,0)),0),IFERROR(INDEX(Weekly_Model!$D$2:$D$9,MATCH(F188,Weekly_Model!$A$2:$A$9,0)),0),IFERROR(INDEX(Weekly_Model!$D$2:$D$9,MATCH(F189,Weekly_Model!$A$2:$A$9,0)),0),IFERROR(INDEX(Weekly_Model!$D$2:$D$9,MATCH(F190,Weekly_Model!$A$2:$A$9,0)),0)),IF(VLOOKUP($A187,Calendar!$A$1:$R$1377,18,0)=5,SUM(IFERROR(INDEX(Weekly_Model!$D$2:$D$9,MATCH(F187,Weekly_Model!$A$2:$A$9,0)),0),IFERROR(INDEX(Weekly_Model!$D$2:$D$9,MATCH(F188,Weekly_Model!$A$2:$A$9,0)),0),IFERROR(INDEX(Weekly_Model!$D$2:$D$9,MATCH(F189,Weekly_Model!$A$2:$A$9,0)),0),IFERROR(INDEX(Weekly_Model!$D$2:$D$9,MATCH(F190,Weekly_Model!$A$2:$A$9,0)),0),IFERROR(INDEX(Weekly_Model!$D$2:$D$9,MATCH(F191,Weekly_Model!$A$2:$A$9,0)),0)),0))))))</f>
        <v>2.3200000000000002E-2</v>
      </c>
      <c r="L187" s="27">
        <f>IF(VLOOKUP($A187,Calendar!$A$1:$R$1377,18,0)=0,0,IF(VLOOKUP($A187,Calendar!$A$1:$R$1377,18,0)=1,IFERROR(INDEX(Fortnightly_Model!$D$2:$D$15,MATCH(G187,Fortnightly_Model!$B$2:$B$15,0)),0),IF(VLOOKUP($A187,Calendar!$A$1:$R$1377,18,0)=2,SUM(IFERROR(INDEX(Fortnightly_Model!$D$2:$D$15,MATCH(G187,Fortnightly_Model!$B$2:$B$15,0)),0),IFERROR(INDEX(Fortnightly_Model!$D$2:$D$15,MATCH(G188,Fortnightly_Model!$B$2:$B$15,0)),0)),IF(VLOOKUP($A187,Calendar!$A$1:$R$1377,18,0)=3,SUM(IFERROR(INDEX(Fortnightly_Model!$D$2:$D$15,MATCH(G187,Fortnightly_Model!$B$2:$B$15,0)),0),IFERROR(INDEX(Fortnightly_Model!$D$2:$D$15,MATCH(G188,Fortnightly_Model!$B$2:$B$15,0)),0),IFERROR(INDEX(Fortnightly_Model!$D$2:$D$15,MATCH(G189,Fortnightly_Model!$B$2:$B$15,0)),0)),IF(VLOOKUP($A187,Calendar!$A$1:$R$1377,18,0)=4,SUM(IFERROR(INDEX(Fortnightly_Model!$D$2:$D$15,MATCH(G187,Fortnightly_Model!$B$2:$B$15,0)),0),IFERROR(INDEX(Fortnightly_Model!$D$2:$D$15,MATCH(G188,Fortnightly_Model!$B$2:$B$15,0)),0),IFERROR(INDEX(Fortnightly_Model!$D$2:$D$15,MATCH(G189,Fortnightly_Model!$B$2:$B$15,0)),0),IFERROR(INDEX(Fortnightly_Model!$D$2:$D$15,MATCH(G190,Fortnightly_Model!$B$2:$B$15,0)),0)),IF(VLOOKUP($A187,Calendar!$A$1:$R$1377,18,0)=5,SUM(IFERROR(INDEX(Fortnightly_Model!$D$2:$D$15,MATCH(G187,Fortnightly_Model!$B$2:$B$15,0)),0),IFERROR(INDEX(Fortnightly_Model!$D$2:$D$15,MATCH(G188,Fortnightly_Model!$B$2:$B$15,0)),0),IFERROR(INDEX(Fortnightly_Model!$D$2:$D$15,MATCH(G189,Fortnightly_Model!$B$2:$B$15,0)),0),IFERROR(INDEX(Fortnightly_Model!$D$2:$D$15,MATCH(G190,Fortnightly_Model!$B$2:$B$15,0)),0),IFERROR(INDEX(Fortnightly_Model!$D$2:$D$15,MATCH(G191,Fortnightly_Model!$B$2:$B$15,0)),0)),0))))))</f>
        <v>1.0714285499999999E-3</v>
      </c>
      <c r="M187" s="27">
        <f>IF(VLOOKUP($A187,Calendar!$A$1:$R$1377,18,0)=0,0,IF(VLOOKUP($A187,Calendar!$A$1:$R$1377,18,0)=1,IFERROR(INDEX(FourWeekly_Model!$D$2:$D$29,MATCH(H187,FourWeekly_Model!$B$2:$B$29,0)),0),IF(VLOOKUP($A187,Calendar!$A$1:$R$1377,18,0)=2,SUM(IFERROR(INDEX(FourWeekly_Model!$D$2:$D$29,MATCH(H187,FourWeekly_Model!$B$2:$B$29,0)),0),IFERROR(INDEX(FourWeekly_Model!$D$2:$D$29,MATCH(H188,FourWeekly_Model!$B$2:$B$29,0)),0)),IF(VLOOKUP($A187,Calendar!$A$1:$R$1377,18,0)=3,SUM(IFERROR(INDEX(FourWeekly_Model!$D$2:$D$29,MATCH(H187,FourWeekly_Model!$B$2:$B$29,0)),0),IFERROR(INDEX(FourWeekly_Model!$D$2:$D$29,MATCH(H188,FourWeekly_Model!$B$2:$B$29,0)),0),IFERROR(INDEX(FourWeekly_Model!$D$2:$D$29,MATCH(H189,FourWeekly_Model!$B$2:$B$29,0)),0)),IF(VLOOKUP($A187,Calendar!$A$1:$R$1377,18,0)=4,SUM(IFERROR(INDEX(FourWeekly_Model!$D$2:$D$29,MATCH(H187,FourWeekly_Model!$B$2:$B$29,0)),0),IFERROR(INDEX(FourWeekly_Model!$D$2:$D$29,MATCH(H188,FourWeekly_Model!$B$2:$B$29,0)),0),IFERROR(INDEX(FourWeekly_Model!$D$2:$D$29,MATCH(H189,FourWeekly_Model!$B$2:$B$29,0)),0),IFERROR(INDEX(FourWeekly_Model!$D$2:$D$29,MATCH(H190,FourWeekly_Model!$B$2:$B$29,0)),0)),IF(VLOOKUP($A187,Calendar!$A$1:$R$1377,18,0)=5,SUM(IFERROR(INDEX(FourWeekly_Model!$D$2:$D$29,MATCH(H187,FourWeekly_Model!$B$2:$B$29,0)),0),IFERROR(INDEX(FourWeekly_Model!$D$2:$D$29,MATCH(H188,FourWeekly_Model!$B$2:$B$29,0)),0),IFERROR(INDEX(FourWeekly_Model!$D$2:$D$29,MATCH(H189,FourWeekly_Model!$B$2:$B$29,0)),0),IFERROR(INDEX(FourWeekly_Model!$D$2:$D$29,MATCH(H190,FourWeekly_Model!$B$2:$B$29,0)),0),IFERROR(INDEX(FourWeekly_Model!$D$2:$D$29,MATCH(H191,FourWeekly_Model!$B$2:$B$29,0)),0)),0))))))</f>
        <v>3.3214289700000004E-3</v>
      </c>
      <c r="N187" s="27">
        <f>SUM(I187:M187)</f>
        <v>2.840542296502618E-2</v>
      </c>
      <c r="O187" s="28">
        <f>Population_Data!$B$8*N187</f>
        <v>860684.3158402933</v>
      </c>
      <c r="P187" s="27">
        <f>IF(VLOOKUP($A187,Calendar!$A$1:$R$1377,18,0)=0,0,IF(VLOOKUP($A187,Calendar!$A$1:$R$1377,18,0)=1,IFERROR(INDEX(Pension_Model!$D$2:$D$29,MATCH(H187,Pension_Model!$B$2:$B$29,0)),0),IF(VLOOKUP($A187,Calendar!$A$1:$R$1377,18,0)=2,SUM(IFERROR(INDEX(Pension_Model!$D$2:$D$29,MATCH(H187,Pension_Model!$B$2:$B$29,0)),0),IFERROR(INDEX(Pension_Model!$D$2:$D$29,MATCH(H188,Pension_Model!$B$2:$B$29,0)),0)),IF(VLOOKUP($A187,Calendar!$A$1:$R$1377,18,0)=3,SUM(IFERROR(INDEX(Pension_Model!$D$2:$D$29,MATCH(H187,Pension_Model!$B$2:$B$29,0)),0),IFERROR(INDEX(Pension_Model!$D$2:$D$29,MATCH(H188,Pension_Model!$B$2:$B$29,0)),0),IFERROR(INDEX(Pension_Model!$D$2:$D$29,MATCH(H189,Pension_Model!$B$2:$B$29,0)),0)),IF(VLOOKUP($A187,Calendar!$A$1:$R$1377,18,0)=4,SUM(IFERROR(INDEX(Pension_Model!$D$2:$D$29,MATCH(H187,Pension_Model!$B$2:$B$29,0)),0),IFERROR(INDEX(Pension_Model!$D$2:$D$29,MATCH(H188,Pension_Model!$B$2:$B$29,0)),0),IFERROR(INDEX(Pension_Model!$D$2:$D$29,MATCH(H189,Pension_Model!$B$2:$B$29,0)),0),IFERROR(INDEX(Pension_Model!$D$2:$D$29,MATCH(H190,Pension_Model!$B$2:$B$29,0)),0)),IF(VLOOKUP($A187,Calendar!$A$1:$R$1377,18,0)=5,SUM(IFERROR(INDEX(Pension_Model!$D$2:$D$29,MATCH(H187,Pension_Model!$B$2:$B$29,0)),0),IFERROR(INDEX(Pension_Model!$D$2:$D$29,MATCH(H188,Pension_Model!$B$2:$B$29,0)),0),IFERROR(INDEX(Pension_Model!$D$2:$D$29,MATCH(H189,Pension_Model!$B$2:$B$29,0)),0),IFERROR(INDEX(Pension_Model!$D$2:$D$29,MATCH(H190,Pension_Model!$B$2:$B$29,0)),0),IFERROR(INDEX(Pension_Model!$D$2:$D$29,MATCH(H191,Pension_Model!$B$2:$B$29,0)),0)),0))))))</f>
        <v>0.05</v>
      </c>
      <c r="Q187" s="28">
        <f>Population_Data!$B$15*P187</f>
        <v>660600</v>
      </c>
      <c r="S187">
        <f t="shared" si="2"/>
        <v>1521284.3158402932</v>
      </c>
      <c r="U187" s="33">
        <f>S187/Population_Data!$B$19</f>
        <v>2.7559498475367629E-2</v>
      </c>
    </row>
    <row r="188" spans="1:21">
      <c r="A188" s="25">
        <f>Calendar!A188</f>
        <v>46421</v>
      </c>
      <c r="B188" t="str">
        <f>Calendar!L188</f>
        <v>Yes</v>
      </c>
      <c r="C188" t="str">
        <f>Calendar!O188</f>
        <v>No</v>
      </c>
      <c r="D188" t="str">
        <f>Calendar!P188</f>
        <v>No</v>
      </c>
      <c r="E188" t="str">
        <f>Calendar!Q188</f>
        <v>No</v>
      </c>
      <c r="F188" t="str">
        <f>Calendar!I188</f>
        <v>Wednesday</v>
      </c>
      <c r="G188">
        <f>Calendar!S188</f>
        <v>11</v>
      </c>
      <c r="H188">
        <f>Calendar!T188</f>
        <v>25</v>
      </c>
      <c r="I188" s="27">
        <f>IF(VLOOKUP(A188,Calendar!$A$1:$R$1377,18,0)=0,0,IF(VLOOKUP(A188,Calendar!$A$1:$R$1377,18,0)=1,INDEX(Monthly_Pay_Model!$A$9:$D$40,MATCH(TEXT(A188,"dd"),Monthly_Pay_Model!$C$9:$C$39,0),4),IF(VLOOKUP(A188,Calendar!$A$1:$R$1377,18,0)=2,SUM(INDEX(Monthly_Pay_Model!$A$9:$D$40,MATCH(TEXT(A188,"dd"),Monthly_Pay_Model!$C$9:$C$39,0),4),INDEX(Monthly_Pay_Model!$A$9:$D$40,MATCH(TEXT(A189,"dd"),Monthly_Pay_Model!$C$9:$C$39,0),4)),IF(VLOOKUP(A188,Calendar!$A$1:$R$1377,18,0)=3,SUM(INDEX(Monthly_Pay_Model!$A$9:$D$40,MATCH(TEXT(A188,"dd"),Monthly_Pay_Model!$C$9:$C$39,0),4),INDEX(Monthly_Pay_Model!$A$9:$D$40,MATCH(TEXT(A189,"dd"),Monthly_Pay_Model!$C$9:$C$39,0),4),INDEX(Monthly_Pay_Model!$A$9:$D$40,MATCH(TEXT(A190,"dd"),Monthly_Pay_Model!$C$9:$C$39,0),4)),IF(VLOOKUP(A188,Calendar!$A$1:$R$1377,18,0)=4,SUM(INDEX(Monthly_Pay_Model!$A$9:$D$40,MATCH(TEXT(A188,"dd"),Monthly_Pay_Model!$C$9:$C$39,0),4),INDEX(Monthly_Pay_Model!$A$9:$D$40,MATCH(TEXT(A189,"dd"),Monthly_Pay_Model!$C$9:$C$39,0),4),INDEX(Monthly_Pay_Model!$A$9:$D$40,MATCH(TEXT(A190,"dd"),Monthly_Pay_Model!$C$9:$C$39,0),4),INDEX(Monthly_Pay_Model!$A$9:$D$40,MATCH(TEXT(A191,"dd"),Monthly_Pay_Model!$C$9:$C$39,0),4)),IF(VLOOKUP(A188,Calendar!$A$1:$R$1377,18,0)=5,SUM(INDEX(Monthly_Pay_Model!$A$9:$D$40,MATCH(TEXT(A188,"dd"),Monthly_Pay_Model!$C$9:$C$39,0),4),INDEX(Monthly_Pay_Model!$A$9:$D$40,MATCH(TEXT(A189,"dd"),Monthly_Pay_Model!$C$9:$C$39,0),4),INDEX(Monthly_Pay_Model!$A$9:$D$40,MATCH(TEXT(A190,"dd"),Monthly_Pay_Model!$C$9:$C$39,0),4),INDEX(Monthly_Pay_Model!$A$9:$D$40,MATCH(TEXT(A191,"dd"),Monthly_Pay_Model!$C$9:$C$39,0),4),INDEX(Monthly_Pay_Model!$A$9:$D$40,MATCH(TEXT(A192,"dd"),Monthly_Pay_Model!$C$9:$C$39,0),4)),))))))</f>
        <v>8.1256544502617792E-4</v>
      </c>
      <c r="J188" s="33">
        <f>IF(C188="Yes",Monthly_Pay_Model!$D$2,0)
+IF(Calendar!N188="Yes",Monthly_Pay_Model!$D$3,0)
+IF(D188="Yes",Monthly_Pay_Model!$D$4,0)
+IF(E188="Yes",Monthly_Pay_Model!$D$5,0)</f>
        <v>0</v>
      </c>
      <c r="K188" s="27">
        <f>IF(VLOOKUP($A188,Calendar!$A$1:$R$1377,18,0)=0,0,IF(VLOOKUP($A188,Calendar!$A$1:$R$1377,18,0)=1,IFERROR(INDEX(Weekly_Model!$D$2:$D$9,MATCH(F188,Weekly_Model!$A$2:$A$9,0)),0),IF(VLOOKUP($A188,Calendar!$A$1:$R$1377,18,0)=2,SUM(IFERROR(INDEX(Weekly_Model!$D$2:$D$9,MATCH(F188,Weekly_Model!$A$2:$A$9,0)),0),IFERROR(INDEX(Weekly_Model!$D$2:$D$9,MATCH(F189,Weekly_Model!$A$2:$A$9,0)),0)),IF(VLOOKUP($A188,Calendar!$A$1:$R$1377,18,0)=3,SUM(IFERROR(INDEX(Weekly_Model!$D$2:$D$9,MATCH(F188,Weekly_Model!$A$2:$A$9,0)),0),IFERROR(INDEX(Weekly_Model!$D$2:$D$9,MATCH(F189,Weekly_Model!$A$2:$A$9,0)),0),IFERROR(INDEX(Weekly_Model!$D$2:$D$9,MATCH(F190,Weekly_Model!$A$2:$A$9,0)),0)),IF(VLOOKUP($A188,Calendar!$A$1:$R$1377,18,0)=4,SUM(IFERROR(INDEX(Weekly_Model!$D$2:$D$9,MATCH(F188,Weekly_Model!$A$2:$A$9,0)),0),IFERROR(INDEX(Weekly_Model!$D$2:$D$9,MATCH(F189,Weekly_Model!$A$2:$A$9,0)),0),IFERROR(INDEX(Weekly_Model!$D$2:$D$9,MATCH(F190,Weekly_Model!$A$2:$A$9,0)),0),IFERROR(INDEX(Weekly_Model!$D$2:$D$9,MATCH(F191,Weekly_Model!$A$2:$A$9,0)),0)),IF(VLOOKUP($A188,Calendar!$A$1:$R$1377,18,0)=5,SUM(IFERROR(INDEX(Weekly_Model!$D$2:$D$9,MATCH(F188,Weekly_Model!$A$2:$A$9,0)),0),IFERROR(INDEX(Weekly_Model!$D$2:$D$9,MATCH(F189,Weekly_Model!$A$2:$A$9,0)),0),IFERROR(INDEX(Weekly_Model!$D$2:$D$9,MATCH(F190,Weekly_Model!$A$2:$A$9,0)),0),IFERROR(INDEX(Weekly_Model!$D$2:$D$9,MATCH(F191,Weekly_Model!$A$2:$A$9,0)),0),IFERROR(INDEX(Weekly_Model!$D$2:$D$9,MATCH(F192,Weekly_Model!$A$2:$A$9,0)),0)),0))))))</f>
        <v>2.3200000000000002E-2</v>
      </c>
      <c r="L188" s="27">
        <f>IF(VLOOKUP($A188,Calendar!$A$1:$R$1377,18,0)=0,0,IF(VLOOKUP($A188,Calendar!$A$1:$R$1377,18,0)=1,IFERROR(INDEX(Fortnightly_Model!$D$2:$D$15,MATCH(G188,Fortnightly_Model!$B$2:$B$15,0)),0),IF(VLOOKUP($A188,Calendar!$A$1:$R$1377,18,0)=2,SUM(IFERROR(INDEX(Fortnightly_Model!$D$2:$D$15,MATCH(G188,Fortnightly_Model!$B$2:$B$15,0)),0),IFERROR(INDEX(Fortnightly_Model!$D$2:$D$15,MATCH(G189,Fortnightly_Model!$B$2:$B$15,0)),0)),IF(VLOOKUP($A188,Calendar!$A$1:$R$1377,18,0)=3,SUM(IFERROR(INDEX(Fortnightly_Model!$D$2:$D$15,MATCH(G188,Fortnightly_Model!$B$2:$B$15,0)),0),IFERROR(INDEX(Fortnightly_Model!$D$2:$D$15,MATCH(G189,Fortnightly_Model!$B$2:$B$15,0)),0),IFERROR(INDEX(Fortnightly_Model!$D$2:$D$15,MATCH(G190,Fortnightly_Model!$B$2:$B$15,0)),0)),IF(VLOOKUP($A188,Calendar!$A$1:$R$1377,18,0)=4,SUM(IFERROR(INDEX(Fortnightly_Model!$D$2:$D$15,MATCH(G188,Fortnightly_Model!$B$2:$B$15,0)),0),IFERROR(INDEX(Fortnightly_Model!$D$2:$D$15,MATCH(G189,Fortnightly_Model!$B$2:$B$15,0)),0),IFERROR(INDEX(Fortnightly_Model!$D$2:$D$15,MATCH(G190,Fortnightly_Model!$B$2:$B$15,0)),0),IFERROR(INDEX(Fortnightly_Model!$D$2:$D$15,MATCH(G191,Fortnightly_Model!$B$2:$B$15,0)),0)),IF(VLOOKUP($A188,Calendar!$A$1:$R$1377,18,0)=5,SUM(IFERROR(INDEX(Fortnightly_Model!$D$2:$D$15,MATCH(G188,Fortnightly_Model!$B$2:$B$15,0)),0),IFERROR(INDEX(Fortnightly_Model!$D$2:$D$15,MATCH(G189,Fortnightly_Model!$B$2:$B$15,0)),0),IFERROR(INDEX(Fortnightly_Model!$D$2:$D$15,MATCH(G190,Fortnightly_Model!$B$2:$B$15,0)),0),IFERROR(INDEX(Fortnightly_Model!$D$2:$D$15,MATCH(G191,Fortnightly_Model!$B$2:$B$15,0)),0),IFERROR(INDEX(Fortnightly_Model!$D$2:$D$15,MATCH(G192,Fortnightly_Model!$B$2:$B$15,0)),0)),0))))))</f>
        <v>1.0714285499999999E-3</v>
      </c>
      <c r="M188" s="27">
        <f>IF(VLOOKUP($A188,Calendar!$A$1:$R$1377,18,0)=0,0,IF(VLOOKUP($A188,Calendar!$A$1:$R$1377,18,0)=1,IFERROR(INDEX(FourWeekly_Model!$D$2:$D$29,MATCH(H188,FourWeekly_Model!$B$2:$B$29,0)),0),IF(VLOOKUP($A188,Calendar!$A$1:$R$1377,18,0)=2,SUM(IFERROR(INDEX(FourWeekly_Model!$D$2:$D$29,MATCH(H188,FourWeekly_Model!$B$2:$B$29,0)),0),IFERROR(INDEX(FourWeekly_Model!$D$2:$D$29,MATCH(H189,FourWeekly_Model!$B$2:$B$29,0)),0)),IF(VLOOKUP($A188,Calendar!$A$1:$R$1377,18,0)=3,SUM(IFERROR(INDEX(FourWeekly_Model!$D$2:$D$29,MATCH(H188,FourWeekly_Model!$B$2:$B$29,0)),0),IFERROR(INDEX(FourWeekly_Model!$D$2:$D$29,MATCH(H189,FourWeekly_Model!$B$2:$B$29,0)),0),IFERROR(INDEX(FourWeekly_Model!$D$2:$D$29,MATCH(H190,FourWeekly_Model!$B$2:$B$29,0)),0)),IF(VLOOKUP($A188,Calendar!$A$1:$R$1377,18,0)=4,SUM(IFERROR(INDEX(FourWeekly_Model!$D$2:$D$29,MATCH(H188,FourWeekly_Model!$B$2:$B$29,0)),0),IFERROR(INDEX(FourWeekly_Model!$D$2:$D$29,MATCH(H189,FourWeekly_Model!$B$2:$B$29,0)),0),IFERROR(INDEX(FourWeekly_Model!$D$2:$D$29,MATCH(H190,FourWeekly_Model!$B$2:$B$29,0)),0),IFERROR(INDEX(FourWeekly_Model!$D$2:$D$29,MATCH(H191,FourWeekly_Model!$B$2:$B$29,0)),0)),IF(VLOOKUP($A188,Calendar!$A$1:$R$1377,18,0)=5,SUM(IFERROR(INDEX(FourWeekly_Model!$D$2:$D$29,MATCH(H188,FourWeekly_Model!$B$2:$B$29,0)),0),IFERROR(INDEX(FourWeekly_Model!$D$2:$D$29,MATCH(H189,FourWeekly_Model!$B$2:$B$29,0)),0),IFERROR(INDEX(FourWeekly_Model!$D$2:$D$29,MATCH(H190,FourWeekly_Model!$B$2:$B$29,0)),0),IFERROR(INDEX(FourWeekly_Model!$D$2:$D$29,MATCH(H191,FourWeekly_Model!$B$2:$B$29,0)),0),IFERROR(INDEX(FourWeekly_Model!$D$2:$D$29,MATCH(H192,FourWeekly_Model!$B$2:$B$29,0)),0)),0))))))</f>
        <v>3.3214289700000004E-3</v>
      </c>
      <c r="N188" s="27">
        <f>SUM(I188:M188)</f>
        <v>2.840542296502618E-2</v>
      </c>
      <c r="O188" s="28">
        <f>Population_Data!$B$8*N188</f>
        <v>860684.3158402933</v>
      </c>
      <c r="P188" s="27">
        <f>IF(VLOOKUP($A188,Calendar!$A$1:$R$1377,18,0)=0,0,IF(VLOOKUP($A188,Calendar!$A$1:$R$1377,18,0)=1,IFERROR(INDEX(Pension_Model!$D$2:$D$29,MATCH(H188,Pension_Model!$B$2:$B$29,0)),0),IF(VLOOKUP($A188,Calendar!$A$1:$R$1377,18,0)=2,SUM(IFERROR(INDEX(Pension_Model!$D$2:$D$29,MATCH(H188,Pension_Model!$B$2:$B$29,0)),0),IFERROR(INDEX(Pension_Model!$D$2:$D$29,MATCH(H189,Pension_Model!$B$2:$B$29,0)),0)),IF(VLOOKUP($A188,Calendar!$A$1:$R$1377,18,0)=3,SUM(IFERROR(INDEX(Pension_Model!$D$2:$D$29,MATCH(H188,Pension_Model!$B$2:$B$29,0)),0),IFERROR(INDEX(Pension_Model!$D$2:$D$29,MATCH(H189,Pension_Model!$B$2:$B$29,0)),0),IFERROR(INDEX(Pension_Model!$D$2:$D$29,MATCH(H190,Pension_Model!$B$2:$B$29,0)),0)),IF(VLOOKUP($A188,Calendar!$A$1:$R$1377,18,0)=4,SUM(IFERROR(INDEX(Pension_Model!$D$2:$D$29,MATCH(H188,Pension_Model!$B$2:$B$29,0)),0),IFERROR(INDEX(Pension_Model!$D$2:$D$29,MATCH(H189,Pension_Model!$B$2:$B$29,0)),0),IFERROR(INDEX(Pension_Model!$D$2:$D$29,MATCH(H190,Pension_Model!$B$2:$B$29,0)),0),IFERROR(INDEX(Pension_Model!$D$2:$D$29,MATCH(H191,Pension_Model!$B$2:$B$29,0)),0)),IF(VLOOKUP($A188,Calendar!$A$1:$R$1377,18,0)=5,SUM(IFERROR(INDEX(Pension_Model!$D$2:$D$29,MATCH(H188,Pension_Model!$B$2:$B$29,0)),0),IFERROR(INDEX(Pension_Model!$D$2:$D$29,MATCH(H189,Pension_Model!$B$2:$B$29,0)),0),IFERROR(INDEX(Pension_Model!$D$2:$D$29,MATCH(H190,Pension_Model!$B$2:$B$29,0)),0),IFERROR(INDEX(Pension_Model!$D$2:$D$29,MATCH(H191,Pension_Model!$B$2:$B$29,0)),0),IFERROR(INDEX(Pension_Model!$D$2:$D$29,MATCH(H192,Pension_Model!$B$2:$B$29,0)),0)),0))))))</f>
        <v>0.05</v>
      </c>
      <c r="Q188" s="28">
        <f>Population_Data!$B$15*P188</f>
        <v>660600</v>
      </c>
      <c r="S188">
        <f t="shared" si="2"/>
        <v>1521284.3158402932</v>
      </c>
      <c r="U188" s="33">
        <f>S188/Population_Data!$B$19</f>
        <v>2.7559498475367629E-2</v>
      </c>
    </row>
    <row r="189" spans="1:21">
      <c r="A189" s="25">
        <f>Calendar!A189</f>
        <v>46422</v>
      </c>
      <c r="B189" t="str">
        <f>Calendar!L189</f>
        <v>Yes</v>
      </c>
      <c r="C189" t="str">
        <f>Calendar!O189</f>
        <v>No</v>
      </c>
      <c r="D189" t="str">
        <f>Calendar!P189</f>
        <v>No</v>
      </c>
      <c r="E189" t="str">
        <f>Calendar!Q189</f>
        <v>No</v>
      </c>
      <c r="F189" t="str">
        <f>Calendar!I189</f>
        <v>Thursday</v>
      </c>
      <c r="G189">
        <f>Calendar!S189</f>
        <v>12</v>
      </c>
      <c r="H189">
        <f>Calendar!T189</f>
        <v>26</v>
      </c>
      <c r="I189" s="27">
        <f>IF(VLOOKUP(A189,Calendar!$A$1:$R$1377,18,0)=0,0,IF(VLOOKUP(A189,Calendar!$A$1:$R$1377,18,0)=1,INDEX(Monthly_Pay_Model!$A$9:$D$40,MATCH(TEXT(A189,"dd"),Monthly_Pay_Model!$C$9:$C$39,0),4),IF(VLOOKUP(A189,Calendar!$A$1:$R$1377,18,0)=2,SUM(INDEX(Monthly_Pay_Model!$A$9:$D$40,MATCH(TEXT(A189,"dd"),Monthly_Pay_Model!$C$9:$C$39,0),4),INDEX(Monthly_Pay_Model!$A$9:$D$40,MATCH(TEXT(A190,"dd"),Monthly_Pay_Model!$C$9:$C$39,0),4)),IF(VLOOKUP(A189,Calendar!$A$1:$R$1377,18,0)=3,SUM(INDEX(Monthly_Pay_Model!$A$9:$D$40,MATCH(TEXT(A189,"dd"),Monthly_Pay_Model!$C$9:$C$39,0),4),INDEX(Monthly_Pay_Model!$A$9:$D$40,MATCH(TEXT(A190,"dd"),Monthly_Pay_Model!$C$9:$C$39,0),4),INDEX(Monthly_Pay_Model!$A$9:$D$40,MATCH(TEXT(A191,"dd"),Monthly_Pay_Model!$C$9:$C$39,0),4)),IF(VLOOKUP(A189,Calendar!$A$1:$R$1377,18,0)=4,SUM(INDEX(Monthly_Pay_Model!$A$9:$D$40,MATCH(TEXT(A189,"dd"),Monthly_Pay_Model!$C$9:$C$39,0),4),INDEX(Monthly_Pay_Model!$A$9:$D$40,MATCH(TEXT(A190,"dd"),Monthly_Pay_Model!$C$9:$C$39,0),4),INDEX(Monthly_Pay_Model!$A$9:$D$40,MATCH(TEXT(A191,"dd"),Monthly_Pay_Model!$C$9:$C$39,0),4),INDEX(Monthly_Pay_Model!$A$9:$D$40,MATCH(TEXT(A192,"dd"),Monthly_Pay_Model!$C$9:$C$39,0),4)),IF(VLOOKUP(A189,Calendar!$A$1:$R$1377,18,0)=5,SUM(INDEX(Monthly_Pay_Model!$A$9:$D$40,MATCH(TEXT(A189,"dd"),Monthly_Pay_Model!$C$9:$C$39,0),4),INDEX(Monthly_Pay_Model!$A$9:$D$40,MATCH(TEXT(A190,"dd"),Monthly_Pay_Model!$C$9:$C$39,0),4),INDEX(Monthly_Pay_Model!$A$9:$D$40,MATCH(TEXT(A191,"dd"),Monthly_Pay_Model!$C$9:$C$39,0),4),INDEX(Monthly_Pay_Model!$A$9:$D$40,MATCH(TEXT(A192,"dd"),Monthly_Pay_Model!$C$9:$C$39,0),4),INDEX(Monthly_Pay_Model!$A$9:$D$40,MATCH(TEXT(A193,"dd"),Monthly_Pay_Model!$C$9:$C$39,0),4)),))))))</f>
        <v>8.1256544502617792E-4</v>
      </c>
      <c r="J189" s="33">
        <f>IF(C189="Yes",Monthly_Pay_Model!$D$2,0)
+IF(Calendar!N189="Yes",Monthly_Pay_Model!$D$3,0)
+IF(D189="Yes",Monthly_Pay_Model!$D$4,0)
+IF(E189="Yes",Monthly_Pay_Model!$D$5,0)</f>
        <v>0</v>
      </c>
      <c r="K189" s="27">
        <f>IF(VLOOKUP($A189,Calendar!$A$1:$R$1377,18,0)=0,0,IF(VLOOKUP($A189,Calendar!$A$1:$R$1377,18,0)=1,IFERROR(INDEX(Weekly_Model!$D$2:$D$9,MATCH(F189,Weekly_Model!$A$2:$A$9,0)),0),IF(VLOOKUP($A189,Calendar!$A$1:$R$1377,18,0)=2,SUM(IFERROR(INDEX(Weekly_Model!$D$2:$D$9,MATCH(F189,Weekly_Model!$A$2:$A$9,0)),0),IFERROR(INDEX(Weekly_Model!$D$2:$D$9,MATCH(F190,Weekly_Model!$A$2:$A$9,0)),0)),IF(VLOOKUP($A189,Calendar!$A$1:$R$1377,18,0)=3,SUM(IFERROR(INDEX(Weekly_Model!$D$2:$D$9,MATCH(F189,Weekly_Model!$A$2:$A$9,0)),0),IFERROR(INDEX(Weekly_Model!$D$2:$D$9,MATCH(F190,Weekly_Model!$A$2:$A$9,0)),0),IFERROR(INDEX(Weekly_Model!$D$2:$D$9,MATCH(F191,Weekly_Model!$A$2:$A$9,0)),0)),IF(VLOOKUP($A189,Calendar!$A$1:$R$1377,18,0)=4,SUM(IFERROR(INDEX(Weekly_Model!$D$2:$D$9,MATCH(F189,Weekly_Model!$A$2:$A$9,0)),0),IFERROR(INDEX(Weekly_Model!$D$2:$D$9,MATCH(F190,Weekly_Model!$A$2:$A$9,0)),0),IFERROR(INDEX(Weekly_Model!$D$2:$D$9,MATCH(F191,Weekly_Model!$A$2:$A$9,0)),0),IFERROR(INDEX(Weekly_Model!$D$2:$D$9,MATCH(F192,Weekly_Model!$A$2:$A$9,0)),0)),IF(VLOOKUP($A189,Calendar!$A$1:$R$1377,18,0)=5,SUM(IFERROR(INDEX(Weekly_Model!$D$2:$D$9,MATCH(F189,Weekly_Model!$A$2:$A$9,0)),0),IFERROR(INDEX(Weekly_Model!$D$2:$D$9,MATCH(F190,Weekly_Model!$A$2:$A$9,0)),0),IFERROR(INDEX(Weekly_Model!$D$2:$D$9,MATCH(F191,Weekly_Model!$A$2:$A$9,0)),0),IFERROR(INDEX(Weekly_Model!$D$2:$D$9,MATCH(F192,Weekly_Model!$A$2:$A$9,0)),0),IFERROR(INDEX(Weekly_Model!$D$2:$D$9,MATCH(F193,Weekly_Model!$A$2:$A$9,0)),0)),0))))))</f>
        <v>2.3200000000000002E-2</v>
      </c>
      <c r="L189" s="27">
        <f>IF(VLOOKUP($A189,Calendar!$A$1:$R$1377,18,0)=0,0,IF(VLOOKUP($A189,Calendar!$A$1:$R$1377,18,0)=1,IFERROR(INDEX(Fortnightly_Model!$D$2:$D$15,MATCH(G189,Fortnightly_Model!$B$2:$B$15,0)),0),IF(VLOOKUP($A189,Calendar!$A$1:$R$1377,18,0)=2,SUM(IFERROR(INDEX(Fortnightly_Model!$D$2:$D$15,MATCH(G189,Fortnightly_Model!$B$2:$B$15,0)),0),IFERROR(INDEX(Fortnightly_Model!$D$2:$D$15,MATCH(G190,Fortnightly_Model!$B$2:$B$15,0)),0)),IF(VLOOKUP($A189,Calendar!$A$1:$R$1377,18,0)=3,SUM(IFERROR(INDEX(Fortnightly_Model!$D$2:$D$15,MATCH(G189,Fortnightly_Model!$B$2:$B$15,0)),0),IFERROR(INDEX(Fortnightly_Model!$D$2:$D$15,MATCH(G190,Fortnightly_Model!$B$2:$B$15,0)),0),IFERROR(INDEX(Fortnightly_Model!$D$2:$D$15,MATCH(G191,Fortnightly_Model!$B$2:$B$15,0)),0)),IF(VLOOKUP($A189,Calendar!$A$1:$R$1377,18,0)=4,SUM(IFERROR(INDEX(Fortnightly_Model!$D$2:$D$15,MATCH(G189,Fortnightly_Model!$B$2:$B$15,0)),0),IFERROR(INDEX(Fortnightly_Model!$D$2:$D$15,MATCH(G190,Fortnightly_Model!$B$2:$B$15,0)),0),IFERROR(INDEX(Fortnightly_Model!$D$2:$D$15,MATCH(G191,Fortnightly_Model!$B$2:$B$15,0)),0),IFERROR(INDEX(Fortnightly_Model!$D$2:$D$15,MATCH(G192,Fortnightly_Model!$B$2:$B$15,0)),0)),IF(VLOOKUP($A189,Calendar!$A$1:$R$1377,18,0)=5,SUM(IFERROR(INDEX(Fortnightly_Model!$D$2:$D$15,MATCH(G189,Fortnightly_Model!$B$2:$B$15,0)),0),IFERROR(INDEX(Fortnightly_Model!$D$2:$D$15,MATCH(G190,Fortnightly_Model!$B$2:$B$15,0)),0),IFERROR(INDEX(Fortnightly_Model!$D$2:$D$15,MATCH(G191,Fortnightly_Model!$B$2:$B$15,0)),0),IFERROR(INDEX(Fortnightly_Model!$D$2:$D$15,MATCH(G192,Fortnightly_Model!$B$2:$B$15,0)),0),IFERROR(INDEX(Fortnightly_Model!$D$2:$D$15,MATCH(G193,Fortnightly_Model!$B$2:$B$15,0)),0)),0))))))</f>
        <v>1.0714285499999999E-3</v>
      </c>
      <c r="M189" s="27">
        <f>IF(VLOOKUP($A189,Calendar!$A$1:$R$1377,18,0)=0,0,IF(VLOOKUP($A189,Calendar!$A$1:$R$1377,18,0)=1,IFERROR(INDEX(FourWeekly_Model!$D$2:$D$29,MATCH(H189,FourWeekly_Model!$B$2:$B$29,0)),0),IF(VLOOKUP($A189,Calendar!$A$1:$R$1377,18,0)=2,SUM(IFERROR(INDEX(FourWeekly_Model!$D$2:$D$29,MATCH(H189,FourWeekly_Model!$B$2:$B$29,0)),0),IFERROR(INDEX(FourWeekly_Model!$D$2:$D$29,MATCH(H190,FourWeekly_Model!$B$2:$B$29,0)),0)),IF(VLOOKUP($A189,Calendar!$A$1:$R$1377,18,0)=3,SUM(IFERROR(INDEX(FourWeekly_Model!$D$2:$D$29,MATCH(H189,FourWeekly_Model!$B$2:$B$29,0)),0),IFERROR(INDEX(FourWeekly_Model!$D$2:$D$29,MATCH(H190,FourWeekly_Model!$B$2:$B$29,0)),0),IFERROR(INDEX(FourWeekly_Model!$D$2:$D$29,MATCH(H191,FourWeekly_Model!$B$2:$B$29,0)),0)),IF(VLOOKUP($A189,Calendar!$A$1:$R$1377,18,0)=4,SUM(IFERROR(INDEX(FourWeekly_Model!$D$2:$D$29,MATCH(H189,FourWeekly_Model!$B$2:$B$29,0)),0),IFERROR(INDEX(FourWeekly_Model!$D$2:$D$29,MATCH(H190,FourWeekly_Model!$B$2:$B$29,0)),0),IFERROR(INDEX(FourWeekly_Model!$D$2:$D$29,MATCH(H191,FourWeekly_Model!$B$2:$B$29,0)),0),IFERROR(INDEX(FourWeekly_Model!$D$2:$D$29,MATCH(H192,FourWeekly_Model!$B$2:$B$29,0)),0)),IF(VLOOKUP($A189,Calendar!$A$1:$R$1377,18,0)=5,SUM(IFERROR(INDEX(FourWeekly_Model!$D$2:$D$29,MATCH(H189,FourWeekly_Model!$B$2:$B$29,0)),0),IFERROR(INDEX(FourWeekly_Model!$D$2:$D$29,MATCH(H190,FourWeekly_Model!$B$2:$B$29,0)),0),IFERROR(INDEX(FourWeekly_Model!$D$2:$D$29,MATCH(H191,FourWeekly_Model!$B$2:$B$29,0)),0),IFERROR(INDEX(FourWeekly_Model!$D$2:$D$29,MATCH(H192,FourWeekly_Model!$B$2:$B$29,0)),0),IFERROR(INDEX(FourWeekly_Model!$D$2:$D$29,MATCH(H193,FourWeekly_Model!$B$2:$B$29,0)),0)),0))))))</f>
        <v>3.3214289700000004E-3</v>
      </c>
      <c r="N189" s="27">
        <f>SUM(I189:M189)</f>
        <v>2.840542296502618E-2</v>
      </c>
      <c r="O189" s="28">
        <f>Population_Data!$B$8*N189</f>
        <v>860684.3158402933</v>
      </c>
      <c r="P189" s="27">
        <f>IF(VLOOKUP($A189,Calendar!$A$1:$R$1377,18,0)=0,0,IF(VLOOKUP($A189,Calendar!$A$1:$R$1377,18,0)=1,IFERROR(INDEX(Pension_Model!$D$2:$D$29,MATCH(H189,Pension_Model!$B$2:$B$29,0)),0),IF(VLOOKUP($A189,Calendar!$A$1:$R$1377,18,0)=2,SUM(IFERROR(INDEX(Pension_Model!$D$2:$D$29,MATCH(H189,Pension_Model!$B$2:$B$29,0)),0),IFERROR(INDEX(Pension_Model!$D$2:$D$29,MATCH(H190,Pension_Model!$B$2:$B$29,0)),0)),IF(VLOOKUP($A189,Calendar!$A$1:$R$1377,18,0)=3,SUM(IFERROR(INDEX(Pension_Model!$D$2:$D$29,MATCH(H189,Pension_Model!$B$2:$B$29,0)),0),IFERROR(INDEX(Pension_Model!$D$2:$D$29,MATCH(H190,Pension_Model!$B$2:$B$29,0)),0),IFERROR(INDEX(Pension_Model!$D$2:$D$29,MATCH(H191,Pension_Model!$B$2:$B$29,0)),0)),IF(VLOOKUP($A189,Calendar!$A$1:$R$1377,18,0)=4,SUM(IFERROR(INDEX(Pension_Model!$D$2:$D$29,MATCH(H189,Pension_Model!$B$2:$B$29,0)),0),IFERROR(INDEX(Pension_Model!$D$2:$D$29,MATCH(H190,Pension_Model!$B$2:$B$29,0)),0),IFERROR(INDEX(Pension_Model!$D$2:$D$29,MATCH(H191,Pension_Model!$B$2:$B$29,0)),0),IFERROR(INDEX(Pension_Model!$D$2:$D$29,MATCH(H192,Pension_Model!$B$2:$B$29,0)),0)),IF(VLOOKUP($A189,Calendar!$A$1:$R$1377,18,0)=5,SUM(IFERROR(INDEX(Pension_Model!$D$2:$D$29,MATCH(H189,Pension_Model!$B$2:$B$29,0)),0),IFERROR(INDEX(Pension_Model!$D$2:$D$29,MATCH(H190,Pension_Model!$B$2:$B$29,0)),0),IFERROR(INDEX(Pension_Model!$D$2:$D$29,MATCH(H191,Pension_Model!$B$2:$B$29,0)),0),IFERROR(INDEX(Pension_Model!$D$2:$D$29,MATCH(H192,Pension_Model!$B$2:$B$29,0)),0),IFERROR(INDEX(Pension_Model!$D$2:$D$29,MATCH(H193,Pension_Model!$B$2:$B$29,0)),0)),0))))))</f>
        <v>0.05</v>
      </c>
      <c r="Q189" s="28">
        <f>Population_Data!$B$15*P189</f>
        <v>660600</v>
      </c>
      <c r="S189">
        <f t="shared" si="2"/>
        <v>1521284.3158402932</v>
      </c>
      <c r="U189" s="33">
        <f>S189/Population_Data!$B$19</f>
        <v>2.7559498475367629E-2</v>
      </c>
    </row>
    <row r="190" spans="1:21">
      <c r="A190" s="25">
        <f>Calendar!A190</f>
        <v>46423</v>
      </c>
      <c r="B190" t="str">
        <f>Calendar!L190</f>
        <v>Yes</v>
      </c>
      <c r="C190" t="str">
        <f>Calendar!O190</f>
        <v>No</v>
      </c>
      <c r="D190" t="str">
        <f>Calendar!P190</f>
        <v>No</v>
      </c>
      <c r="E190" t="str">
        <f>Calendar!Q190</f>
        <v>No</v>
      </c>
      <c r="F190" t="str">
        <f>Calendar!I190</f>
        <v>Friday</v>
      </c>
      <c r="G190">
        <f>Calendar!S190</f>
        <v>13</v>
      </c>
      <c r="H190">
        <f>Calendar!T190</f>
        <v>27</v>
      </c>
      <c r="I190" s="27">
        <f>IF(VLOOKUP(A190,Calendar!$A$1:$R$1377,18,0)=0,0,IF(VLOOKUP(A190,Calendar!$A$1:$R$1377,18,0)=1,INDEX(Monthly_Pay_Model!$A$9:$D$40,MATCH(TEXT(A190,"dd"),Monthly_Pay_Model!$C$9:$C$39,0),4),IF(VLOOKUP(A190,Calendar!$A$1:$R$1377,18,0)=2,SUM(INDEX(Monthly_Pay_Model!$A$9:$D$40,MATCH(TEXT(A190,"dd"),Monthly_Pay_Model!$C$9:$C$39,0),4),INDEX(Monthly_Pay_Model!$A$9:$D$40,MATCH(TEXT(A191,"dd"),Monthly_Pay_Model!$C$9:$C$39,0),4)),IF(VLOOKUP(A190,Calendar!$A$1:$R$1377,18,0)=3,SUM(INDEX(Monthly_Pay_Model!$A$9:$D$40,MATCH(TEXT(A190,"dd"),Monthly_Pay_Model!$C$9:$C$39,0),4),INDEX(Monthly_Pay_Model!$A$9:$D$40,MATCH(TEXT(A191,"dd"),Monthly_Pay_Model!$C$9:$C$39,0),4),INDEX(Monthly_Pay_Model!$A$9:$D$40,MATCH(TEXT(A192,"dd"),Monthly_Pay_Model!$C$9:$C$39,0),4)),IF(VLOOKUP(A190,Calendar!$A$1:$R$1377,18,0)=4,SUM(INDEX(Monthly_Pay_Model!$A$9:$D$40,MATCH(TEXT(A190,"dd"),Monthly_Pay_Model!$C$9:$C$39,0),4),INDEX(Monthly_Pay_Model!$A$9:$D$40,MATCH(TEXT(A191,"dd"),Monthly_Pay_Model!$C$9:$C$39,0),4),INDEX(Monthly_Pay_Model!$A$9:$D$40,MATCH(TEXT(A192,"dd"),Monthly_Pay_Model!$C$9:$C$39,0),4),INDEX(Monthly_Pay_Model!$A$9:$D$40,MATCH(TEXT(A193,"dd"),Monthly_Pay_Model!$C$9:$C$39,0),4)),IF(VLOOKUP(A190,Calendar!$A$1:$R$1377,18,0)=5,SUM(INDEX(Monthly_Pay_Model!$A$9:$D$40,MATCH(TEXT(A190,"dd"),Monthly_Pay_Model!$C$9:$C$39,0),4),INDEX(Monthly_Pay_Model!$A$9:$D$40,MATCH(TEXT(A191,"dd"),Monthly_Pay_Model!$C$9:$C$39,0),4),INDEX(Monthly_Pay_Model!$A$9:$D$40,MATCH(TEXT(A192,"dd"),Monthly_Pay_Model!$C$9:$C$39,0),4),INDEX(Monthly_Pay_Model!$A$9:$D$40,MATCH(TEXT(A193,"dd"),Monthly_Pay_Model!$C$9:$C$39,0),4),INDEX(Monthly_Pay_Model!$A$9:$D$40,MATCH(TEXT(A194,"dd"),Monthly_Pay_Model!$C$9:$C$39,0),4)),))))))</f>
        <v>1.3001047120418847E-2</v>
      </c>
      <c r="J190" s="33">
        <f>IF(C190="Yes",Monthly_Pay_Model!$D$2,0)
+IF(Calendar!N190="Yes",Monthly_Pay_Model!$D$3,0)
+IF(D190="Yes",Monthly_Pay_Model!$D$4,0)
+IF(E190="Yes",Monthly_Pay_Model!$D$5,0)</f>
        <v>0</v>
      </c>
      <c r="K190" s="27">
        <f>IF(VLOOKUP($A190,Calendar!$A$1:$R$1377,18,0)=0,0,IF(VLOOKUP($A190,Calendar!$A$1:$R$1377,18,0)=1,IFERROR(INDEX(Weekly_Model!$D$2:$D$9,MATCH(F190,Weekly_Model!$A$2:$A$9,0)),0),IF(VLOOKUP($A190,Calendar!$A$1:$R$1377,18,0)=2,SUM(IFERROR(INDEX(Weekly_Model!$D$2:$D$9,MATCH(F190,Weekly_Model!$A$2:$A$9,0)),0),IFERROR(INDEX(Weekly_Model!$D$2:$D$9,MATCH(F191,Weekly_Model!$A$2:$A$9,0)),0)),IF(VLOOKUP($A190,Calendar!$A$1:$R$1377,18,0)=3,SUM(IFERROR(INDEX(Weekly_Model!$D$2:$D$9,MATCH(F190,Weekly_Model!$A$2:$A$9,0)),0),IFERROR(INDEX(Weekly_Model!$D$2:$D$9,MATCH(F191,Weekly_Model!$A$2:$A$9,0)),0),IFERROR(INDEX(Weekly_Model!$D$2:$D$9,MATCH(F192,Weekly_Model!$A$2:$A$9,0)),0)),IF(VLOOKUP($A190,Calendar!$A$1:$R$1377,18,0)=4,SUM(IFERROR(INDEX(Weekly_Model!$D$2:$D$9,MATCH(F190,Weekly_Model!$A$2:$A$9,0)),0),IFERROR(INDEX(Weekly_Model!$D$2:$D$9,MATCH(F191,Weekly_Model!$A$2:$A$9,0)),0),IFERROR(INDEX(Weekly_Model!$D$2:$D$9,MATCH(F192,Weekly_Model!$A$2:$A$9,0)),0),IFERROR(INDEX(Weekly_Model!$D$2:$D$9,MATCH(F193,Weekly_Model!$A$2:$A$9,0)),0)),IF(VLOOKUP($A190,Calendar!$A$1:$R$1377,18,0)=5,SUM(IFERROR(INDEX(Weekly_Model!$D$2:$D$9,MATCH(F190,Weekly_Model!$A$2:$A$9,0)),0),IFERROR(INDEX(Weekly_Model!$D$2:$D$9,MATCH(F191,Weekly_Model!$A$2:$A$9,0)),0),IFERROR(INDEX(Weekly_Model!$D$2:$D$9,MATCH(F192,Weekly_Model!$A$2:$A$9,0)),0),IFERROR(INDEX(Weekly_Model!$D$2:$D$9,MATCH(F193,Weekly_Model!$A$2:$A$9,0)),0),IFERROR(INDEX(Weekly_Model!$D$2:$D$9,MATCH(F194,Weekly_Model!$A$2:$A$9,0)),0)),0))))))</f>
        <v>2.3200000000000002E-2</v>
      </c>
      <c r="L190" s="27">
        <f>IF(VLOOKUP($A190,Calendar!$A$1:$R$1377,18,0)=0,0,IF(VLOOKUP($A190,Calendar!$A$1:$R$1377,18,0)=1,IFERROR(INDEX(Fortnightly_Model!$D$2:$D$15,MATCH(G190,Fortnightly_Model!$B$2:$B$15,0)),0),IF(VLOOKUP($A190,Calendar!$A$1:$R$1377,18,0)=2,SUM(IFERROR(INDEX(Fortnightly_Model!$D$2:$D$15,MATCH(G190,Fortnightly_Model!$B$2:$B$15,0)),0),IFERROR(INDEX(Fortnightly_Model!$D$2:$D$15,MATCH(G191,Fortnightly_Model!$B$2:$B$15,0)),0)),IF(VLOOKUP($A190,Calendar!$A$1:$R$1377,18,0)=3,SUM(IFERROR(INDEX(Fortnightly_Model!$D$2:$D$15,MATCH(G190,Fortnightly_Model!$B$2:$B$15,0)),0),IFERROR(INDEX(Fortnightly_Model!$D$2:$D$15,MATCH(G191,Fortnightly_Model!$B$2:$B$15,0)),0),IFERROR(INDEX(Fortnightly_Model!$D$2:$D$15,MATCH(G192,Fortnightly_Model!$B$2:$B$15,0)),0)),IF(VLOOKUP($A190,Calendar!$A$1:$R$1377,18,0)=4,SUM(IFERROR(INDEX(Fortnightly_Model!$D$2:$D$15,MATCH(G190,Fortnightly_Model!$B$2:$B$15,0)),0),IFERROR(INDEX(Fortnightly_Model!$D$2:$D$15,MATCH(G191,Fortnightly_Model!$B$2:$B$15,0)),0),IFERROR(INDEX(Fortnightly_Model!$D$2:$D$15,MATCH(G192,Fortnightly_Model!$B$2:$B$15,0)),0),IFERROR(INDEX(Fortnightly_Model!$D$2:$D$15,MATCH(G193,Fortnightly_Model!$B$2:$B$15,0)),0)),IF(VLOOKUP($A190,Calendar!$A$1:$R$1377,18,0)=5,SUM(IFERROR(INDEX(Fortnightly_Model!$D$2:$D$15,MATCH(G190,Fortnightly_Model!$B$2:$B$15,0)),0),IFERROR(INDEX(Fortnightly_Model!$D$2:$D$15,MATCH(G191,Fortnightly_Model!$B$2:$B$15,0)),0),IFERROR(INDEX(Fortnightly_Model!$D$2:$D$15,MATCH(G192,Fortnightly_Model!$B$2:$B$15,0)),0),IFERROR(INDEX(Fortnightly_Model!$D$2:$D$15,MATCH(G193,Fortnightly_Model!$B$2:$B$15,0)),0),IFERROR(INDEX(Fortnightly_Model!$D$2:$D$15,MATCH(G194,Fortnightly_Model!$B$2:$B$15,0)),0)),0))))))</f>
        <v>3.2142856499999999E-3</v>
      </c>
      <c r="M190" s="27">
        <f>IF(VLOOKUP($A190,Calendar!$A$1:$R$1377,18,0)=0,0,IF(VLOOKUP($A190,Calendar!$A$1:$R$1377,18,0)=1,IFERROR(INDEX(FourWeekly_Model!$D$2:$D$29,MATCH(H190,FourWeekly_Model!$B$2:$B$29,0)),0),IF(VLOOKUP($A190,Calendar!$A$1:$R$1377,18,0)=2,SUM(IFERROR(INDEX(FourWeekly_Model!$D$2:$D$29,MATCH(H190,FourWeekly_Model!$B$2:$B$29,0)),0),IFERROR(INDEX(FourWeekly_Model!$D$2:$D$29,MATCH(H191,FourWeekly_Model!$B$2:$B$29,0)),0)),IF(VLOOKUP($A190,Calendar!$A$1:$R$1377,18,0)=3,SUM(IFERROR(INDEX(FourWeekly_Model!$D$2:$D$29,MATCH(H190,FourWeekly_Model!$B$2:$B$29,0)),0),IFERROR(INDEX(FourWeekly_Model!$D$2:$D$29,MATCH(H191,FourWeekly_Model!$B$2:$B$29,0)),0),IFERROR(INDEX(FourWeekly_Model!$D$2:$D$29,MATCH(H192,FourWeekly_Model!$B$2:$B$29,0)),0)),IF(VLOOKUP($A190,Calendar!$A$1:$R$1377,18,0)=4,SUM(IFERROR(INDEX(FourWeekly_Model!$D$2:$D$29,MATCH(H190,FourWeekly_Model!$B$2:$B$29,0)),0),IFERROR(INDEX(FourWeekly_Model!$D$2:$D$29,MATCH(H191,FourWeekly_Model!$B$2:$B$29,0)),0),IFERROR(INDEX(FourWeekly_Model!$D$2:$D$29,MATCH(H192,FourWeekly_Model!$B$2:$B$29,0)),0),IFERROR(INDEX(FourWeekly_Model!$D$2:$D$29,MATCH(H193,FourWeekly_Model!$B$2:$B$29,0)),0)),IF(VLOOKUP($A190,Calendar!$A$1:$R$1377,18,0)=5,SUM(IFERROR(INDEX(FourWeekly_Model!$D$2:$D$29,MATCH(H190,FourWeekly_Model!$B$2:$B$29,0)),0),IFERROR(INDEX(FourWeekly_Model!$D$2:$D$29,MATCH(H191,FourWeekly_Model!$B$2:$B$29,0)),0),IFERROR(INDEX(FourWeekly_Model!$D$2:$D$29,MATCH(H192,FourWeekly_Model!$B$2:$B$29,0)),0),IFERROR(INDEX(FourWeekly_Model!$D$2:$D$29,MATCH(H193,FourWeekly_Model!$B$2:$B$29,0)),0),IFERROR(INDEX(FourWeekly_Model!$D$2:$D$29,MATCH(H194,FourWeekly_Model!$B$2:$B$29,0)),0)),0))))))</f>
        <v>9.9642859800000011E-3</v>
      </c>
      <c r="N190" s="27">
        <f>SUM(I190:M190)</f>
        <v>4.9379618750418852E-2</v>
      </c>
      <c r="O190" s="28">
        <f>Population_Data!$B$8*N190</f>
        <v>1496202.4481376912</v>
      </c>
      <c r="P190" s="27">
        <f>IF(VLOOKUP($A190,Calendar!$A$1:$R$1377,18,0)=0,0,IF(VLOOKUP($A190,Calendar!$A$1:$R$1377,18,0)=1,IFERROR(INDEX(Pension_Model!$D$2:$D$29,MATCH(H190,Pension_Model!$B$2:$B$29,0)),0),IF(VLOOKUP($A190,Calendar!$A$1:$R$1377,18,0)=2,SUM(IFERROR(INDEX(Pension_Model!$D$2:$D$29,MATCH(H190,Pension_Model!$B$2:$B$29,0)),0),IFERROR(INDEX(Pension_Model!$D$2:$D$29,MATCH(H191,Pension_Model!$B$2:$B$29,0)),0)),IF(VLOOKUP($A190,Calendar!$A$1:$R$1377,18,0)=3,SUM(IFERROR(INDEX(Pension_Model!$D$2:$D$29,MATCH(H190,Pension_Model!$B$2:$B$29,0)),0),IFERROR(INDEX(Pension_Model!$D$2:$D$29,MATCH(H191,Pension_Model!$B$2:$B$29,0)),0),IFERROR(INDEX(Pension_Model!$D$2:$D$29,MATCH(H192,Pension_Model!$B$2:$B$29,0)),0)),IF(VLOOKUP($A190,Calendar!$A$1:$R$1377,18,0)=4,SUM(IFERROR(INDEX(Pension_Model!$D$2:$D$29,MATCH(H190,Pension_Model!$B$2:$B$29,0)),0),IFERROR(INDEX(Pension_Model!$D$2:$D$29,MATCH(H191,Pension_Model!$B$2:$B$29,0)),0),IFERROR(INDEX(Pension_Model!$D$2:$D$29,MATCH(H192,Pension_Model!$B$2:$B$29,0)),0),IFERROR(INDEX(Pension_Model!$D$2:$D$29,MATCH(H193,Pension_Model!$B$2:$B$29,0)),0)),IF(VLOOKUP($A190,Calendar!$A$1:$R$1377,18,0)=5,SUM(IFERROR(INDEX(Pension_Model!$D$2:$D$29,MATCH(H190,Pension_Model!$B$2:$B$29,0)),0),IFERROR(INDEX(Pension_Model!$D$2:$D$29,MATCH(H191,Pension_Model!$B$2:$B$29,0)),0),IFERROR(INDEX(Pension_Model!$D$2:$D$29,MATCH(H192,Pension_Model!$B$2:$B$29,0)),0),IFERROR(INDEX(Pension_Model!$D$2:$D$29,MATCH(H193,Pension_Model!$B$2:$B$29,0)),0),IFERROR(INDEX(Pension_Model!$D$2:$D$29,MATCH(H194,Pension_Model!$B$2:$B$29,0)),0)),0))))))</f>
        <v>0.05</v>
      </c>
      <c r="Q190" s="28">
        <f>Population_Data!$B$15*P190</f>
        <v>660600</v>
      </c>
      <c r="S190">
        <f t="shared" si="2"/>
        <v>2156802.4481376912</v>
      </c>
      <c r="U190" s="33">
        <f>S190/Population_Data!$B$19</f>
        <v>3.9072508118436433E-2</v>
      </c>
    </row>
    <row r="191" spans="1:21">
      <c r="A191" s="25">
        <f>Calendar!A191</f>
        <v>46424</v>
      </c>
      <c r="B191" t="str">
        <f>Calendar!L191</f>
        <v>No</v>
      </c>
      <c r="C191" t="str">
        <f>Calendar!O191</f>
        <v>No</v>
      </c>
      <c r="D191" t="str">
        <f>Calendar!P191</f>
        <v>No</v>
      </c>
      <c r="E191" t="str">
        <f>Calendar!Q191</f>
        <v>No</v>
      </c>
      <c r="F191" t="str">
        <f>Calendar!I191</f>
        <v>Saturday</v>
      </c>
      <c r="G191">
        <f>Calendar!S191</f>
        <v>0</v>
      </c>
      <c r="H191">
        <f>Calendar!T191</f>
        <v>0</v>
      </c>
      <c r="I191" s="27">
        <f>IF(VLOOKUP(A191,Calendar!$A$1:$R$1377,18,0)=0,0,IF(VLOOKUP(A191,Calendar!$A$1:$R$1377,18,0)=1,INDEX(Monthly_Pay_Model!$A$9:$D$40,MATCH(TEXT(A191,"dd"),Monthly_Pay_Model!$C$9:$C$39,0),4),IF(VLOOKUP(A191,Calendar!$A$1:$R$1377,18,0)=2,SUM(INDEX(Monthly_Pay_Model!$A$9:$D$40,MATCH(TEXT(A191,"dd"),Monthly_Pay_Model!$C$9:$C$39,0),4),INDEX(Monthly_Pay_Model!$A$9:$D$40,MATCH(TEXT(A192,"dd"),Monthly_Pay_Model!$C$9:$C$39,0),4)),IF(VLOOKUP(A191,Calendar!$A$1:$R$1377,18,0)=3,SUM(INDEX(Monthly_Pay_Model!$A$9:$D$40,MATCH(TEXT(A191,"dd"),Monthly_Pay_Model!$C$9:$C$39,0),4),INDEX(Monthly_Pay_Model!$A$9:$D$40,MATCH(TEXT(A192,"dd"),Monthly_Pay_Model!$C$9:$C$39,0),4),INDEX(Monthly_Pay_Model!$A$9:$D$40,MATCH(TEXT(A193,"dd"),Monthly_Pay_Model!$C$9:$C$39,0),4)),IF(VLOOKUP(A191,Calendar!$A$1:$R$1377,18,0)=4,SUM(INDEX(Monthly_Pay_Model!$A$9:$D$40,MATCH(TEXT(A191,"dd"),Monthly_Pay_Model!$C$9:$C$39,0),4),INDEX(Monthly_Pay_Model!$A$9:$D$40,MATCH(TEXT(A192,"dd"),Monthly_Pay_Model!$C$9:$C$39,0),4),INDEX(Monthly_Pay_Model!$A$9:$D$40,MATCH(TEXT(A193,"dd"),Monthly_Pay_Model!$C$9:$C$39,0),4),INDEX(Monthly_Pay_Model!$A$9:$D$40,MATCH(TEXT(A194,"dd"),Monthly_Pay_Model!$C$9:$C$39,0),4)),IF(VLOOKUP(A191,Calendar!$A$1:$R$1377,18,0)=5,SUM(INDEX(Monthly_Pay_Model!$A$9:$D$40,MATCH(TEXT(A191,"dd"),Monthly_Pay_Model!$C$9:$C$39,0),4),INDEX(Monthly_Pay_Model!$A$9:$D$40,MATCH(TEXT(A192,"dd"),Monthly_Pay_Model!$C$9:$C$39,0),4),INDEX(Monthly_Pay_Model!$A$9:$D$40,MATCH(TEXT(A193,"dd"),Monthly_Pay_Model!$C$9:$C$39,0),4),INDEX(Monthly_Pay_Model!$A$9:$D$40,MATCH(TEXT(A194,"dd"),Monthly_Pay_Model!$C$9:$C$39,0),4),INDEX(Monthly_Pay_Model!$A$9:$D$40,MATCH(TEXT(A195,"dd"),Monthly_Pay_Model!$C$9:$C$39,0),4)),))))))</f>
        <v>0</v>
      </c>
      <c r="J191" s="33">
        <f>IF(C191="Yes",Monthly_Pay_Model!$D$2,0)
+IF(Calendar!N191="Yes",Monthly_Pay_Model!$D$3,0)
+IF(D191="Yes",Monthly_Pay_Model!$D$4,0)
+IF(E191="Yes",Monthly_Pay_Model!$D$5,0)</f>
        <v>0</v>
      </c>
      <c r="K191" s="27">
        <f>IF(VLOOKUP($A191,Calendar!$A$1:$R$1377,18,0)=0,0,IF(VLOOKUP($A191,Calendar!$A$1:$R$1377,18,0)=1,IFERROR(INDEX(Weekly_Model!$D$2:$D$9,MATCH(F191,Weekly_Model!$A$2:$A$9,0)),0),IF(VLOOKUP($A191,Calendar!$A$1:$R$1377,18,0)=2,SUM(IFERROR(INDEX(Weekly_Model!$D$2:$D$9,MATCH(F191,Weekly_Model!$A$2:$A$9,0)),0),IFERROR(INDEX(Weekly_Model!$D$2:$D$9,MATCH(F192,Weekly_Model!$A$2:$A$9,0)),0)),IF(VLOOKUP($A191,Calendar!$A$1:$R$1377,18,0)=3,SUM(IFERROR(INDEX(Weekly_Model!$D$2:$D$9,MATCH(F191,Weekly_Model!$A$2:$A$9,0)),0),IFERROR(INDEX(Weekly_Model!$D$2:$D$9,MATCH(F192,Weekly_Model!$A$2:$A$9,0)),0),IFERROR(INDEX(Weekly_Model!$D$2:$D$9,MATCH(F193,Weekly_Model!$A$2:$A$9,0)),0)),IF(VLOOKUP($A191,Calendar!$A$1:$R$1377,18,0)=4,SUM(IFERROR(INDEX(Weekly_Model!$D$2:$D$9,MATCH(F191,Weekly_Model!$A$2:$A$9,0)),0),IFERROR(INDEX(Weekly_Model!$D$2:$D$9,MATCH(F192,Weekly_Model!$A$2:$A$9,0)),0),IFERROR(INDEX(Weekly_Model!$D$2:$D$9,MATCH(F193,Weekly_Model!$A$2:$A$9,0)),0),IFERROR(INDEX(Weekly_Model!$D$2:$D$9,MATCH(F194,Weekly_Model!$A$2:$A$9,0)),0)),IF(VLOOKUP($A191,Calendar!$A$1:$R$1377,18,0)=5,SUM(IFERROR(INDEX(Weekly_Model!$D$2:$D$9,MATCH(F191,Weekly_Model!$A$2:$A$9,0)),0),IFERROR(INDEX(Weekly_Model!$D$2:$D$9,MATCH(F192,Weekly_Model!$A$2:$A$9,0)),0),IFERROR(INDEX(Weekly_Model!$D$2:$D$9,MATCH(F193,Weekly_Model!$A$2:$A$9,0)),0),IFERROR(INDEX(Weekly_Model!$D$2:$D$9,MATCH(F194,Weekly_Model!$A$2:$A$9,0)),0),IFERROR(INDEX(Weekly_Model!$D$2:$D$9,MATCH(F195,Weekly_Model!$A$2:$A$9,0)),0)),0))))))</f>
        <v>0</v>
      </c>
      <c r="L191" s="27">
        <f>IF(VLOOKUP($A191,Calendar!$A$1:$R$1377,18,0)=0,0,IF(VLOOKUP($A191,Calendar!$A$1:$R$1377,18,0)=1,IFERROR(INDEX(Fortnightly_Model!$D$2:$D$15,MATCH(G191,Fortnightly_Model!$B$2:$B$15,0)),0),IF(VLOOKUP($A191,Calendar!$A$1:$R$1377,18,0)=2,SUM(IFERROR(INDEX(Fortnightly_Model!$D$2:$D$15,MATCH(G191,Fortnightly_Model!$B$2:$B$15,0)),0),IFERROR(INDEX(Fortnightly_Model!$D$2:$D$15,MATCH(G192,Fortnightly_Model!$B$2:$B$15,0)),0)),IF(VLOOKUP($A191,Calendar!$A$1:$R$1377,18,0)=3,SUM(IFERROR(INDEX(Fortnightly_Model!$D$2:$D$15,MATCH(G191,Fortnightly_Model!$B$2:$B$15,0)),0),IFERROR(INDEX(Fortnightly_Model!$D$2:$D$15,MATCH(G192,Fortnightly_Model!$B$2:$B$15,0)),0),IFERROR(INDEX(Fortnightly_Model!$D$2:$D$15,MATCH(G193,Fortnightly_Model!$B$2:$B$15,0)),0)),IF(VLOOKUP($A191,Calendar!$A$1:$R$1377,18,0)=4,SUM(IFERROR(INDEX(Fortnightly_Model!$D$2:$D$15,MATCH(G191,Fortnightly_Model!$B$2:$B$15,0)),0),IFERROR(INDEX(Fortnightly_Model!$D$2:$D$15,MATCH(G192,Fortnightly_Model!$B$2:$B$15,0)),0),IFERROR(INDEX(Fortnightly_Model!$D$2:$D$15,MATCH(G193,Fortnightly_Model!$B$2:$B$15,0)),0),IFERROR(INDEX(Fortnightly_Model!$D$2:$D$15,MATCH(G194,Fortnightly_Model!$B$2:$B$15,0)),0)),IF(VLOOKUP($A191,Calendar!$A$1:$R$1377,18,0)=5,SUM(IFERROR(INDEX(Fortnightly_Model!$D$2:$D$15,MATCH(G191,Fortnightly_Model!$B$2:$B$15,0)),0),IFERROR(INDEX(Fortnightly_Model!$D$2:$D$15,MATCH(G192,Fortnightly_Model!$B$2:$B$15,0)),0),IFERROR(INDEX(Fortnightly_Model!$D$2:$D$15,MATCH(G193,Fortnightly_Model!$B$2:$B$15,0)),0),IFERROR(INDEX(Fortnightly_Model!$D$2:$D$15,MATCH(G194,Fortnightly_Model!$B$2:$B$15,0)),0),IFERROR(INDEX(Fortnightly_Model!$D$2:$D$15,MATCH(G195,Fortnightly_Model!$B$2:$B$15,0)),0)),0))))))</f>
        <v>0</v>
      </c>
      <c r="M191" s="27">
        <f>IF(VLOOKUP($A191,Calendar!$A$1:$R$1377,18,0)=0,0,IF(VLOOKUP($A191,Calendar!$A$1:$R$1377,18,0)=1,IFERROR(INDEX(FourWeekly_Model!$D$2:$D$29,MATCH(H191,FourWeekly_Model!$B$2:$B$29,0)),0),IF(VLOOKUP($A191,Calendar!$A$1:$R$1377,18,0)=2,SUM(IFERROR(INDEX(FourWeekly_Model!$D$2:$D$29,MATCH(H191,FourWeekly_Model!$B$2:$B$29,0)),0),IFERROR(INDEX(FourWeekly_Model!$D$2:$D$29,MATCH(H192,FourWeekly_Model!$B$2:$B$29,0)),0)),IF(VLOOKUP($A191,Calendar!$A$1:$R$1377,18,0)=3,SUM(IFERROR(INDEX(FourWeekly_Model!$D$2:$D$29,MATCH(H191,FourWeekly_Model!$B$2:$B$29,0)),0),IFERROR(INDEX(FourWeekly_Model!$D$2:$D$29,MATCH(H192,FourWeekly_Model!$B$2:$B$29,0)),0),IFERROR(INDEX(FourWeekly_Model!$D$2:$D$29,MATCH(H193,FourWeekly_Model!$B$2:$B$29,0)),0)),IF(VLOOKUP($A191,Calendar!$A$1:$R$1377,18,0)=4,SUM(IFERROR(INDEX(FourWeekly_Model!$D$2:$D$29,MATCH(H191,FourWeekly_Model!$B$2:$B$29,0)),0),IFERROR(INDEX(FourWeekly_Model!$D$2:$D$29,MATCH(H192,FourWeekly_Model!$B$2:$B$29,0)),0),IFERROR(INDEX(FourWeekly_Model!$D$2:$D$29,MATCH(H193,FourWeekly_Model!$B$2:$B$29,0)),0),IFERROR(INDEX(FourWeekly_Model!$D$2:$D$29,MATCH(H194,FourWeekly_Model!$B$2:$B$29,0)),0)),IF(VLOOKUP($A191,Calendar!$A$1:$R$1377,18,0)=5,SUM(IFERROR(INDEX(FourWeekly_Model!$D$2:$D$29,MATCH(H191,FourWeekly_Model!$B$2:$B$29,0)),0),IFERROR(INDEX(FourWeekly_Model!$D$2:$D$29,MATCH(H192,FourWeekly_Model!$B$2:$B$29,0)),0),IFERROR(INDEX(FourWeekly_Model!$D$2:$D$29,MATCH(H193,FourWeekly_Model!$B$2:$B$29,0)),0),IFERROR(INDEX(FourWeekly_Model!$D$2:$D$29,MATCH(H194,FourWeekly_Model!$B$2:$B$29,0)),0),IFERROR(INDEX(FourWeekly_Model!$D$2:$D$29,MATCH(H195,FourWeekly_Model!$B$2:$B$29,0)),0)),0))))))</f>
        <v>0</v>
      </c>
      <c r="N191" s="27">
        <f>SUM(I191:M191)</f>
        <v>0</v>
      </c>
      <c r="O191" s="28">
        <f>Population_Data!$B$8*N191</f>
        <v>0</v>
      </c>
      <c r="P191" s="27">
        <f>IF(VLOOKUP($A191,Calendar!$A$1:$R$1377,18,0)=0,0,IF(VLOOKUP($A191,Calendar!$A$1:$R$1377,18,0)=1,IFERROR(INDEX(Pension_Model!$D$2:$D$29,MATCH(H191,Pension_Model!$B$2:$B$29,0)),0),IF(VLOOKUP($A191,Calendar!$A$1:$R$1377,18,0)=2,SUM(IFERROR(INDEX(Pension_Model!$D$2:$D$29,MATCH(H191,Pension_Model!$B$2:$B$29,0)),0),IFERROR(INDEX(Pension_Model!$D$2:$D$29,MATCH(H192,Pension_Model!$B$2:$B$29,0)),0)),IF(VLOOKUP($A191,Calendar!$A$1:$R$1377,18,0)=3,SUM(IFERROR(INDEX(Pension_Model!$D$2:$D$29,MATCH(H191,Pension_Model!$B$2:$B$29,0)),0),IFERROR(INDEX(Pension_Model!$D$2:$D$29,MATCH(H192,Pension_Model!$B$2:$B$29,0)),0),IFERROR(INDEX(Pension_Model!$D$2:$D$29,MATCH(H193,Pension_Model!$B$2:$B$29,0)),0)),IF(VLOOKUP($A191,Calendar!$A$1:$R$1377,18,0)=4,SUM(IFERROR(INDEX(Pension_Model!$D$2:$D$29,MATCH(H191,Pension_Model!$B$2:$B$29,0)),0),IFERROR(INDEX(Pension_Model!$D$2:$D$29,MATCH(H192,Pension_Model!$B$2:$B$29,0)),0),IFERROR(INDEX(Pension_Model!$D$2:$D$29,MATCH(H193,Pension_Model!$B$2:$B$29,0)),0),IFERROR(INDEX(Pension_Model!$D$2:$D$29,MATCH(H194,Pension_Model!$B$2:$B$29,0)),0)),IF(VLOOKUP($A191,Calendar!$A$1:$R$1377,18,0)=5,SUM(IFERROR(INDEX(Pension_Model!$D$2:$D$29,MATCH(H191,Pension_Model!$B$2:$B$29,0)),0),IFERROR(INDEX(Pension_Model!$D$2:$D$29,MATCH(H192,Pension_Model!$B$2:$B$29,0)),0),IFERROR(INDEX(Pension_Model!$D$2:$D$29,MATCH(H193,Pension_Model!$B$2:$B$29,0)),0),IFERROR(INDEX(Pension_Model!$D$2:$D$29,MATCH(H194,Pension_Model!$B$2:$B$29,0)),0),IFERROR(INDEX(Pension_Model!$D$2:$D$29,MATCH(H195,Pension_Model!$B$2:$B$29,0)),0)),0))))))</f>
        <v>0</v>
      </c>
      <c r="Q191" s="28">
        <f>Population_Data!$B$15*P191</f>
        <v>0</v>
      </c>
      <c r="S191">
        <f t="shared" si="2"/>
        <v>0</v>
      </c>
      <c r="U191" s="33">
        <f>S191/Population_Data!$B$19</f>
        <v>0</v>
      </c>
    </row>
    <row r="192" spans="1:21">
      <c r="A192" s="25">
        <f>Calendar!A192</f>
        <v>46425</v>
      </c>
      <c r="B192" t="str">
        <f>Calendar!L192</f>
        <v>No</v>
      </c>
      <c r="C192" t="str">
        <f>Calendar!O192</f>
        <v>No</v>
      </c>
      <c r="D192" t="str">
        <f>Calendar!P192</f>
        <v>No</v>
      </c>
      <c r="E192" t="str">
        <f>Calendar!Q192</f>
        <v>No</v>
      </c>
      <c r="F192" t="str">
        <f>Calendar!I192</f>
        <v>Sunday</v>
      </c>
      <c r="G192">
        <f>Calendar!S192</f>
        <v>1</v>
      </c>
      <c r="H192">
        <f>Calendar!T192</f>
        <v>1</v>
      </c>
      <c r="I192" s="27">
        <f>IF(VLOOKUP(A192,Calendar!$A$1:$R$1377,18,0)=0,0,IF(VLOOKUP(A192,Calendar!$A$1:$R$1377,18,0)=1,INDEX(Monthly_Pay_Model!$A$9:$D$40,MATCH(TEXT(A192,"dd"),Monthly_Pay_Model!$C$9:$C$39,0),4),IF(VLOOKUP(A192,Calendar!$A$1:$R$1377,18,0)=2,SUM(INDEX(Monthly_Pay_Model!$A$9:$D$40,MATCH(TEXT(A192,"dd"),Monthly_Pay_Model!$C$9:$C$39,0),4),INDEX(Monthly_Pay_Model!$A$9:$D$40,MATCH(TEXT(A193,"dd"),Monthly_Pay_Model!$C$9:$C$39,0),4)),IF(VLOOKUP(A192,Calendar!$A$1:$R$1377,18,0)=3,SUM(INDEX(Monthly_Pay_Model!$A$9:$D$40,MATCH(TEXT(A192,"dd"),Monthly_Pay_Model!$C$9:$C$39,0),4),INDEX(Monthly_Pay_Model!$A$9:$D$40,MATCH(TEXT(A193,"dd"),Monthly_Pay_Model!$C$9:$C$39,0),4),INDEX(Monthly_Pay_Model!$A$9:$D$40,MATCH(TEXT(A194,"dd"),Monthly_Pay_Model!$C$9:$C$39,0),4)),IF(VLOOKUP(A192,Calendar!$A$1:$R$1377,18,0)=4,SUM(INDEX(Monthly_Pay_Model!$A$9:$D$40,MATCH(TEXT(A192,"dd"),Monthly_Pay_Model!$C$9:$C$39,0),4),INDEX(Monthly_Pay_Model!$A$9:$D$40,MATCH(TEXT(A193,"dd"),Monthly_Pay_Model!$C$9:$C$39,0),4),INDEX(Monthly_Pay_Model!$A$9:$D$40,MATCH(TEXT(A194,"dd"),Monthly_Pay_Model!$C$9:$C$39,0),4),INDEX(Monthly_Pay_Model!$A$9:$D$40,MATCH(TEXT(A195,"dd"),Monthly_Pay_Model!$C$9:$C$39,0),4)),IF(VLOOKUP(A192,Calendar!$A$1:$R$1377,18,0)=5,SUM(INDEX(Monthly_Pay_Model!$A$9:$D$40,MATCH(TEXT(A192,"dd"),Monthly_Pay_Model!$C$9:$C$39,0),4),INDEX(Monthly_Pay_Model!$A$9:$D$40,MATCH(TEXT(A193,"dd"),Monthly_Pay_Model!$C$9:$C$39,0),4),INDEX(Monthly_Pay_Model!$A$9:$D$40,MATCH(TEXT(A194,"dd"),Monthly_Pay_Model!$C$9:$C$39,0),4),INDEX(Monthly_Pay_Model!$A$9:$D$40,MATCH(TEXT(A195,"dd"),Monthly_Pay_Model!$C$9:$C$39,0),4),INDEX(Monthly_Pay_Model!$A$9:$D$40,MATCH(TEXT(A196,"dd"),Monthly_Pay_Model!$C$9:$C$39,0),4)),))))))</f>
        <v>0</v>
      </c>
      <c r="J192" s="33">
        <f>IF(C192="Yes",Monthly_Pay_Model!$D$2,0)
+IF(Calendar!N192="Yes",Monthly_Pay_Model!$D$3,0)
+IF(D192="Yes",Monthly_Pay_Model!$D$4,0)
+IF(E192="Yes",Monthly_Pay_Model!$D$5,0)</f>
        <v>0</v>
      </c>
      <c r="K192" s="27">
        <f>IF(VLOOKUP($A192,Calendar!$A$1:$R$1377,18,0)=0,0,IF(VLOOKUP($A192,Calendar!$A$1:$R$1377,18,0)=1,IFERROR(INDEX(Weekly_Model!$D$2:$D$9,MATCH(F192,Weekly_Model!$A$2:$A$9,0)),0),IF(VLOOKUP($A192,Calendar!$A$1:$R$1377,18,0)=2,SUM(IFERROR(INDEX(Weekly_Model!$D$2:$D$9,MATCH(F192,Weekly_Model!$A$2:$A$9,0)),0),IFERROR(INDEX(Weekly_Model!$D$2:$D$9,MATCH(F193,Weekly_Model!$A$2:$A$9,0)),0)),IF(VLOOKUP($A192,Calendar!$A$1:$R$1377,18,0)=3,SUM(IFERROR(INDEX(Weekly_Model!$D$2:$D$9,MATCH(F192,Weekly_Model!$A$2:$A$9,0)),0),IFERROR(INDEX(Weekly_Model!$D$2:$D$9,MATCH(F193,Weekly_Model!$A$2:$A$9,0)),0),IFERROR(INDEX(Weekly_Model!$D$2:$D$9,MATCH(F194,Weekly_Model!$A$2:$A$9,0)),0)),IF(VLOOKUP($A192,Calendar!$A$1:$R$1377,18,0)=4,SUM(IFERROR(INDEX(Weekly_Model!$D$2:$D$9,MATCH(F192,Weekly_Model!$A$2:$A$9,0)),0),IFERROR(INDEX(Weekly_Model!$D$2:$D$9,MATCH(F193,Weekly_Model!$A$2:$A$9,0)),0),IFERROR(INDEX(Weekly_Model!$D$2:$D$9,MATCH(F194,Weekly_Model!$A$2:$A$9,0)),0),IFERROR(INDEX(Weekly_Model!$D$2:$D$9,MATCH(F195,Weekly_Model!$A$2:$A$9,0)),0)),IF(VLOOKUP($A192,Calendar!$A$1:$R$1377,18,0)=5,SUM(IFERROR(INDEX(Weekly_Model!$D$2:$D$9,MATCH(F192,Weekly_Model!$A$2:$A$9,0)),0),IFERROR(INDEX(Weekly_Model!$D$2:$D$9,MATCH(F193,Weekly_Model!$A$2:$A$9,0)),0),IFERROR(INDEX(Weekly_Model!$D$2:$D$9,MATCH(F194,Weekly_Model!$A$2:$A$9,0)),0),IFERROR(INDEX(Weekly_Model!$D$2:$D$9,MATCH(F195,Weekly_Model!$A$2:$A$9,0)),0),IFERROR(INDEX(Weekly_Model!$D$2:$D$9,MATCH(F196,Weekly_Model!$A$2:$A$9,0)),0)),0))))))</f>
        <v>0</v>
      </c>
      <c r="L192" s="27">
        <f>IF(VLOOKUP($A192,Calendar!$A$1:$R$1377,18,0)=0,0,IF(VLOOKUP($A192,Calendar!$A$1:$R$1377,18,0)=1,IFERROR(INDEX(Fortnightly_Model!$D$2:$D$15,MATCH(G192,Fortnightly_Model!$B$2:$B$15,0)),0),IF(VLOOKUP($A192,Calendar!$A$1:$R$1377,18,0)=2,SUM(IFERROR(INDEX(Fortnightly_Model!$D$2:$D$15,MATCH(G192,Fortnightly_Model!$B$2:$B$15,0)),0),IFERROR(INDEX(Fortnightly_Model!$D$2:$D$15,MATCH(G193,Fortnightly_Model!$B$2:$B$15,0)),0)),IF(VLOOKUP($A192,Calendar!$A$1:$R$1377,18,0)=3,SUM(IFERROR(INDEX(Fortnightly_Model!$D$2:$D$15,MATCH(G192,Fortnightly_Model!$B$2:$B$15,0)),0),IFERROR(INDEX(Fortnightly_Model!$D$2:$D$15,MATCH(G193,Fortnightly_Model!$B$2:$B$15,0)),0),IFERROR(INDEX(Fortnightly_Model!$D$2:$D$15,MATCH(G194,Fortnightly_Model!$B$2:$B$15,0)),0)),IF(VLOOKUP($A192,Calendar!$A$1:$R$1377,18,0)=4,SUM(IFERROR(INDEX(Fortnightly_Model!$D$2:$D$15,MATCH(G192,Fortnightly_Model!$B$2:$B$15,0)),0),IFERROR(INDEX(Fortnightly_Model!$D$2:$D$15,MATCH(G193,Fortnightly_Model!$B$2:$B$15,0)),0),IFERROR(INDEX(Fortnightly_Model!$D$2:$D$15,MATCH(G194,Fortnightly_Model!$B$2:$B$15,0)),0),IFERROR(INDEX(Fortnightly_Model!$D$2:$D$15,MATCH(G195,Fortnightly_Model!$B$2:$B$15,0)),0)),IF(VLOOKUP($A192,Calendar!$A$1:$R$1377,18,0)=5,SUM(IFERROR(INDEX(Fortnightly_Model!$D$2:$D$15,MATCH(G192,Fortnightly_Model!$B$2:$B$15,0)),0),IFERROR(INDEX(Fortnightly_Model!$D$2:$D$15,MATCH(G193,Fortnightly_Model!$B$2:$B$15,0)),0),IFERROR(INDEX(Fortnightly_Model!$D$2:$D$15,MATCH(G194,Fortnightly_Model!$B$2:$B$15,0)),0),IFERROR(INDEX(Fortnightly_Model!$D$2:$D$15,MATCH(G195,Fortnightly_Model!$B$2:$B$15,0)),0),IFERROR(INDEX(Fortnightly_Model!$D$2:$D$15,MATCH(G196,Fortnightly_Model!$B$2:$B$15,0)),0)),0))))))</f>
        <v>0</v>
      </c>
      <c r="M192" s="27">
        <f>IF(VLOOKUP($A192,Calendar!$A$1:$R$1377,18,0)=0,0,IF(VLOOKUP($A192,Calendar!$A$1:$R$1377,18,0)=1,IFERROR(INDEX(FourWeekly_Model!$D$2:$D$29,MATCH(H192,FourWeekly_Model!$B$2:$B$29,0)),0),IF(VLOOKUP($A192,Calendar!$A$1:$R$1377,18,0)=2,SUM(IFERROR(INDEX(FourWeekly_Model!$D$2:$D$29,MATCH(H192,FourWeekly_Model!$B$2:$B$29,0)),0),IFERROR(INDEX(FourWeekly_Model!$D$2:$D$29,MATCH(H193,FourWeekly_Model!$B$2:$B$29,0)),0)),IF(VLOOKUP($A192,Calendar!$A$1:$R$1377,18,0)=3,SUM(IFERROR(INDEX(FourWeekly_Model!$D$2:$D$29,MATCH(H192,FourWeekly_Model!$B$2:$B$29,0)),0),IFERROR(INDEX(FourWeekly_Model!$D$2:$D$29,MATCH(H193,FourWeekly_Model!$B$2:$B$29,0)),0),IFERROR(INDEX(FourWeekly_Model!$D$2:$D$29,MATCH(H194,FourWeekly_Model!$B$2:$B$29,0)),0)),IF(VLOOKUP($A192,Calendar!$A$1:$R$1377,18,0)=4,SUM(IFERROR(INDEX(FourWeekly_Model!$D$2:$D$29,MATCH(H192,FourWeekly_Model!$B$2:$B$29,0)),0),IFERROR(INDEX(FourWeekly_Model!$D$2:$D$29,MATCH(H193,FourWeekly_Model!$B$2:$B$29,0)),0),IFERROR(INDEX(FourWeekly_Model!$D$2:$D$29,MATCH(H194,FourWeekly_Model!$B$2:$B$29,0)),0),IFERROR(INDEX(FourWeekly_Model!$D$2:$D$29,MATCH(H195,FourWeekly_Model!$B$2:$B$29,0)),0)),IF(VLOOKUP($A192,Calendar!$A$1:$R$1377,18,0)=5,SUM(IFERROR(INDEX(FourWeekly_Model!$D$2:$D$29,MATCH(H192,FourWeekly_Model!$B$2:$B$29,0)),0),IFERROR(INDEX(FourWeekly_Model!$D$2:$D$29,MATCH(H193,FourWeekly_Model!$B$2:$B$29,0)),0),IFERROR(INDEX(FourWeekly_Model!$D$2:$D$29,MATCH(H194,FourWeekly_Model!$B$2:$B$29,0)),0),IFERROR(INDEX(FourWeekly_Model!$D$2:$D$29,MATCH(H195,FourWeekly_Model!$B$2:$B$29,0)),0),IFERROR(INDEX(FourWeekly_Model!$D$2:$D$29,MATCH(H196,FourWeekly_Model!$B$2:$B$29,0)),0)),0))))))</f>
        <v>0</v>
      </c>
      <c r="N192" s="27">
        <f>SUM(I192:M192)</f>
        <v>0</v>
      </c>
      <c r="O192" s="28">
        <f>Population_Data!$B$8*N192</f>
        <v>0</v>
      </c>
      <c r="P192" s="27">
        <f>IF(VLOOKUP($A192,Calendar!$A$1:$R$1377,18,0)=0,0,IF(VLOOKUP($A192,Calendar!$A$1:$R$1377,18,0)=1,IFERROR(INDEX(Pension_Model!$D$2:$D$29,MATCH(H192,Pension_Model!$B$2:$B$29,0)),0),IF(VLOOKUP($A192,Calendar!$A$1:$R$1377,18,0)=2,SUM(IFERROR(INDEX(Pension_Model!$D$2:$D$29,MATCH(H192,Pension_Model!$B$2:$B$29,0)),0),IFERROR(INDEX(Pension_Model!$D$2:$D$29,MATCH(H193,Pension_Model!$B$2:$B$29,0)),0)),IF(VLOOKUP($A192,Calendar!$A$1:$R$1377,18,0)=3,SUM(IFERROR(INDEX(Pension_Model!$D$2:$D$29,MATCH(H192,Pension_Model!$B$2:$B$29,0)),0),IFERROR(INDEX(Pension_Model!$D$2:$D$29,MATCH(H193,Pension_Model!$B$2:$B$29,0)),0),IFERROR(INDEX(Pension_Model!$D$2:$D$29,MATCH(H194,Pension_Model!$B$2:$B$29,0)),0)),IF(VLOOKUP($A192,Calendar!$A$1:$R$1377,18,0)=4,SUM(IFERROR(INDEX(Pension_Model!$D$2:$D$29,MATCH(H192,Pension_Model!$B$2:$B$29,0)),0),IFERROR(INDEX(Pension_Model!$D$2:$D$29,MATCH(H193,Pension_Model!$B$2:$B$29,0)),0),IFERROR(INDEX(Pension_Model!$D$2:$D$29,MATCH(H194,Pension_Model!$B$2:$B$29,0)),0),IFERROR(INDEX(Pension_Model!$D$2:$D$29,MATCH(H195,Pension_Model!$B$2:$B$29,0)),0)),IF(VLOOKUP($A192,Calendar!$A$1:$R$1377,18,0)=5,SUM(IFERROR(INDEX(Pension_Model!$D$2:$D$29,MATCH(H192,Pension_Model!$B$2:$B$29,0)),0),IFERROR(INDEX(Pension_Model!$D$2:$D$29,MATCH(H193,Pension_Model!$B$2:$B$29,0)),0),IFERROR(INDEX(Pension_Model!$D$2:$D$29,MATCH(H194,Pension_Model!$B$2:$B$29,0)),0),IFERROR(INDEX(Pension_Model!$D$2:$D$29,MATCH(H195,Pension_Model!$B$2:$B$29,0)),0),IFERROR(INDEX(Pension_Model!$D$2:$D$29,MATCH(H196,Pension_Model!$B$2:$B$29,0)),0)),0))))))</f>
        <v>0</v>
      </c>
      <c r="Q192" s="28">
        <f>Population_Data!$B$15*P192</f>
        <v>0</v>
      </c>
      <c r="S192">
        <f t="shared" si="2"/>
        <v>0</v>
      </c>
      <c r="U192" s="33">
        <f>S192/Population_Data!$B$19</f>
        <v>0</v>
      </c>
    </row>
    <row r="193" spans="1:21">
      <c r="A193" s="25">
        <f>Calendar!A193</f>
        <v>46426</v>
      </c>
      <c r="B193" t="str">
        <f>Calendar!L193</f>
        <v>Yes</v>
      </c>
      <c r="C193" t="str">
        <f>Calendar!O193</f>
        <v>No</v>
      </c>
      <c r="D193" t="str">
        <f>Calendar!P193</f>
        <v>No</v>
      </c>
      <c r="E193" t="str">
        <f>Calendar!Q193</f>
        <v>No</v>
      </c>
      <c r="F193" t="str">
        <f>Calendar!I193</f>
        <v>Monday</v>
      </c>
      <c r="G193">
        <f>Calendar!S193</f>
        <v>2</v>
      </c>
      <c r="H193">
        <f>Calendar!T193</f>
        <v>2</v>
      </c>
      <c r="I193" s="27">
        <f>IF(VLOOKUP(A193,Calendar!$A$1:$R$1377,18,0)=0,0,IF(VLOOKUP(A193,Calendar!$A$1:$R$1377,18,0)=1,INDEX(Monthly_Pay_Model!$A$9:$D$40,MATCH(TEXT(A193,"dd"),Monthly_Pay_Model!$C$9:$C$39,0),4),IF(VLOOKUP(A193,Calendar!$A$1:$R$1377,18,0)=2,SUM(INDEX(Monthly_Pay_Model!$A$9:$D$40,MATCH(TEXT(A193,"dd"),Monthly_Pay_Model!$C$9:$C$39,0),4),INDEX(Monthly_Pay_Model!$A$9:$D$40,MATCH(TEXT(A194,"dd"),Monthly_Pay_Model!$C$9:$C$39,0),4)),IF(VLOOKUP(A193,Calendar!$A$1:$R$1377,18,0)=3,SUM(INDEX(Monthly_Pay_Model!$A$9:$D$40,MATCH(TEXT(A193,"dd"),Monthly_Pay_Model!$C$9:$C$39,0),4),INDEX(Monthly_Pay_Model!$A$9:$D$40,MATCH(TEXT(A194,"dd"),Monthly_Pay_Model!$C$9:$C$39,0),4),INDEX(Monthly_Pay_Model!$A$9:$D$40,MATCH(TEXT(A195,"dd"),Monthly_Pay_Model!$C$9:$C$39,0),4)),IF(VLOOKUP(A193,Calendar!$A$1:$R$1377,18,0)=4,SUM(INDEX(Monthly_Pay_Model!$A$9:$D$40,MATCH(TEXT(A193,"dd"),Monthly_Pay_Model!$C$9:$C$39,0),4),INDEX(Monthly_Pay_Model!$A$9:$D$40,MATCH(TEXT(A194,"dd"),Monthly_Pay_Model!$C$9:$C$39,0),4),INDEX(Monthly_Pay_Model!$A$9:$D$40,MATCH(TEXT(A195,"dd"),Monthly_Pay_Model!$C$9:$C$39,0),4),INDEX(Monthly_Pay_Model!$A$9:$D$40,MATCH(TEXT(A196,"dd"),Monthly_Pay_Model!$C$9:$C$39,0),4)),IF(VLOOKUP(A193,Calendar!$A$1:$R$1377,18,0)=5,SUM(INDEX(Monthly_Pay_Model!$A$9:$D$40,MATCH(TEXT(A193,"dd"),Monthly_Pay_Model!$C$9:$C$39,0),4),INDEX(Monthly_Pay_Model!$A$9:$D$40,MATCH(TEXT(A194,"dd"),Monthly_Pay_Model!$C$9:$C$39,0),4),INDEX(Monthly_Pay_Model!$A$9:$D$40,MATCH(TEXT(A195,"dd"),Monthly_Pay_Model!$C$9:$C$39,0),4),INDEX(Monthly_Pay_Model!$A$9:$D$40,MATCH(TEXT(A196,"dd"),Monthly_Pay_Model!$C$9:$C$39,0),4),INDEX(Monthly_Pay_Model!$A$9:$D$40,MATCH(TEXT(A197,"dd"),Monthly_Pay_Model!$C$9:$C$39,0),4)),))))))</f>
        <v>1.6251308900523558E-3</v>
      </c>
      <c r="J193" s="33">
        <f>IF(C193="Yes",Monthly_Pay_Model!$D$2,0)
+IF(Calendar!N193="Yes",Monthly_Pay_Model!$D$3,0)
+IF(D193="Yes",Monthly_Pay_Model!$D$4,0)
+IF(E193="Yes",Monthly_Pay_Model!$D$5,0)</f>
        <v>0</v>
      </c>
      <c r="K193" s="27">
        <f>IF(VLOOKUP($A193,Calendar!$A$1:$R$1377,18,0)=0,0,IF(VLOOKUP($A193,Calendar!$A$1:$R$1377,18,0)=1,IFERROR(INDEX(Weekly_Model!$D$2:$D$9,MATCH(F193,Weekly_Model!$A$2:$A$9,0)),0),IF(VLOOKUP($A193,Calendar!$A$1:$R$1377,18,0)=2,SUM(IFERROR(INDEX(Weekly_Model!$D$2:$D$9,MATCH(F193,Weekly_Model!$A$2:$A$9,0)),0),IFERROR(INDEX(Weekly_Model!$D$2:$D$9,MATCH(F194,Weekly_Model!$A$2:$A$9,0)),0)),IF(VLOOKUP($A193,Calendar!$A$1:$R$1377,18,0)=3,SUM(IFERROR(INDEX(Weekly_Model!$D$2:$D$9,MATCH(F193,Weekly_Model!$A$2:$A$9,0)),0),IFERROR(INDEX(Weekly_Model!$D$2:$D$9,MATCH(F194,Weekly_Model!$A$2:$A$9,0)),0),IFERROR(INDEX(Weekly_Model!$D$2:$D$9,MATCH(F195,Weekly_Model!$A$2:$A$9,0)),0)),IF(VLOOKUP($A193,Calendar!$A$1:$R$1377,18,0)=4,SUM(IFERROR(INDEX(Weekly_Model!$D$2:$D$9,MATCH(F193,Weekly_Model!$A$2:$A$9,0)),0),IFERROR(INDEX(Weekly_Model!$D$2:$D$9,MATCH(F194,Weekly_Model!$A$2:$A$9,0)),0),IFERROR(INDEX(Weekly_Model!$D$2:$D$9,MATCH(F195,Weekly_Model!$A$2:$A$9,0)),0),IFERROR(INDEX(Weekly_Model!$D$2:$D$9,MATCH(F196,Weekly_Model!$A$2:$A$9,0)),0)),IF(VLOOKUP($A193,Calendar!$A$1:$R$1377,18,0)=5,SUM(IFERROR(INDEX(Weekly_Model!$D$2:$D$9,MATCH(F193,Weekly_Model!$A$2:$A$9,0)),0),IFERROR(INDEX(Weekly_Model!$D$2:$D$9,MATCH(F194,Weekly_Model!$A$2:$A$9,0)),0),IFERROR(INDEX(Weekly_Model!$D$2:$D$9,MATCH(F195,Weekly_Model!$A$2:$A$9,0)),0),IFERROR(INDEX(Weekly_Model!$D$2:$D$9,MATCH(F196,Weekly_Model!$A$2:$A$9,0)),0),IFERROR(INDEX(Weekly_Model!$D$2:$D$9,MATCH(F197,Weekly_Model!$A$2:$A$9,0)),0)),0))))))</f>
        <v>2.3200000000000002E-2</v>
      </c>
      <c r="L193" s="27">
        <f>IF(VLOOKUP($A193,Calendar!$A$1:$R$1377,18,0)=0,0,IF(VLOOKUP($A193,Calendar!$A$1:$R$1377,18,0)=1,IFERROR(INDEX(Fortnightly_Model!$D$2:$D$15,MATCH(G193,Fortnightly_Model!$B$2:$B$15,0)),0),IF(VLOOKUP($A193,Calendar!$A$1:$R$1377,18,0)=2,SUM(IFERROR(INDEX(Fortnightly_Model!$D$2:$D$15,MATCH(G193,Fortnightly_Model!$B$2:$B$15,0)),0),IFERROR(INDEX(Fortnightly_Model!$D$2:$D$15,MATCH(G194,Fortnightly_Model!$B$2:$B$15,0)),0)),IF(VLOOKUP($A193,Calendar!$A$1:$R$1377,18,0)=3,SUM(IFERROR(INDEX(Fortnightly_Model!$D$2:$D$15,MATCH(G193,Fortnightly_Model!$B$2:$B$15,0)),0),IFERROR(INDEX(Fortnightly_Model!$D$2:$D$15,MATCH(G194,Fortnightly_Model!$B$2:$B$15,0)),0),IFERROR(INDEX(Fortnightly_Model!$D$2:$D$15,MATCH(G195,Fortnightly_Model!$B$2:$B$15,0)),0)),IF(VLOOKUP($A193,Calendar!$A$1:$R$1377,18,0)=4,SUM(IFERROR(INDEX(Fortnightly_Model!$D$2:$D$15,MATCH(G193,Fortnightly_Model!$B$2:$B$15,0)),0),IFERROR(INDEX(Fortnightly_Model!$D$2:$D$15,MATCH(G194,Fortnightly_Model!$B$2:$B$15,0)),0),IFERROR(INDEX(Fortnightly_Model!$D$2:$D$15,MATCH(G195,Fortnightly_Model!$B$2:$B$15,0)),0),IFERROR(INDEX(Fortnightly_Model!$D$2:$D$15,MATCH(G196,Fortnightly_Model!$B$2:$B$15,0)),0)),IF(VLOOKUP($A193,Calendar!$A$1:$R$1377,18,0)=5,SUM(IFERROR(INDEX(Fortnightly_Model!$D$2:$D$15,MATCH(G193,Fortnightly_Model!$B$2:$B$15,0)),0),IFERROR(INDEX(Fortnightly_Model!$D$2:$D$15,MATCH(G194,Fortnightly_Model!$B$2:$B$15,0)),0),IFERROR(INDEX(Fortnightly_Model!$D$2:$D$15,MATCH(G195,Fortnightly_Model!$B$2:$B$15,0)),0),IFERROR(INDEX(Fortnightly_Model!$D$2:$D$15,MATCH(G196,Fortnightly_Model!$B$2:$B$15,0)),0),IFERROR(INDEX(Fortnightly_Model!$D$2:$D$15,MATCH(G197,Fortnightly_Model!$B$2:$B$15,0)),0)),0))))))</f>
        <v>1.0714285499999999E-3</v>
      </c>
      <c r="M193" s="27">
        <f>IF(VLOOKUP($A193,Calendar!$A$1:$R$1377,18,0)=0,0,IF(VLOOKUP($A193,Calendar!$A$1:$R$1377,18,0)=1,IFERROR(INDEX(FourWeekly_Model!$D$2:$D$29,MATCH(H193,FourWeekly_Model!$B$2:$B$29,0)),0),IF(VLOOKUP($A193,Calendar!$A$1:$R$1377,18,0)=2,SUM(IFERROR(INDEX(FourWeekly_Model!$D$2:$D$29,MATCH(H193,FourWeekly_Model!$B$2:$B$29,0)),0),IFERROR(INDEX(FourWeekly_Model!$D$2:$D$29,MATCH(H194,FourWeekly_Model!$B$2:$B$29,0)),0)),IF(VLOOKUP($A193,Calendar!$A$1:$R$1377,18,0)=3,SUM(IFERROR(INDEX(FourWeekly_Model!$D$2:$D$29,MATCH(H193,FourWeekly_Model!$B$2:$B$29,0)),0),IFERROR(INDEX(FourWeekly_Model!$D$2:$D$29,MATCH(H194,FourWeekly_Model!$B$2:$B$29,0)),0),IFERROR(INDEX(FourWeekly_Model!$D$2:$D$29,MATCH(H195,FourWeekly_Model!$B$2:$B$29,0)),0)),IF(VLOOKUP($A193,Calendar!$A$1:$R$1377,18,0)=4,SUM(IFERROR(INDEX(FourWeekly_Model!$D$2:$D$29,MATCH(H193,FourWeekly_Model!$B$2:$B$29,0)),0),IFERROR(INDEX(FourWeekly_Model!$D$2:$D$29,MATCH(H194,FourWeekly_Model!$B$2:$B$29,0)),0),IFERROR(INDEX(FourWeekly_Model!$D$2:$D$29,MATCH(H195,FourWeekly_Model!$B$2:$B$29,0)),0),IFERROR(INDEX(FourWeekly_Model!$D$2:$D$29,MATCH(H196,FourWeekly_Model!$B$2:$B$29,0)),0)),IF(VLOOKUP($A193,Calendar!$A$1:$R$1377,18,0)=5,SUM(IFERROR(INDEX(FourWeekly_Model!$D$2:$D$29,MATCH(H193,FourWeekly_Model!$B$2:$B$29,0)),0),IFERROR(INDEX(FourWeekly_Model!$D$2:$D$29,MATCH(H194,FourWeekly_Model!$B$2:$B$29,0)),0),IFERROR(INDEX(FourWeekly_Model!$D$2:$D$29,MATCH(H195,FourWeekly_Model!$B$2:$B$29,0)),0),IFERROR(INDEX(FourWeekly_Model!$D$2:$D$29,MATCH(H196,FourWeekly_Model!$B$2:$B$29,0)),0),IFERROR(INDEX(FourWeekly_Model!$D$2:$D$29,MATCH(H197,FourWeekly_Model!$B$2:$B$29,0)),0)),0))))))</f>
        <v>3.3214289700000004E-3</v>
      </c>
      <c r="N193" s="27">
        <f>SUM(I193:M193)</f>
        <v>2.921798841005236E-2</v>
      </c>
      <c r="O193" s="28">
        <f>Population_Data!$B$8*N193</f>
        <v>885305.04882458656</v>
      </c>
      <c r="P193" s="27">
        <f>IF(VLOOKUP($A193,Calendar!$A$1:$R$1377,18,0)=0,0,IF(VLOOKUP($A193,Calendar!$A$1:$R$1377,18,0)=1,IFERROR(INDEX(Pension_Model!$D$2:$D$29,MATCH(H193,Pension_Model!$B$2:$B$29,0)),0),IF(VLOOKUP($A193,Calendar!$A$1:$R$1377,18,0)=2,SUM(IFERROR(INDEX(Pension_Model!$D$2:$D$29,MATCH(H193,Pension_Model!$B$2:$B$29,0)),0),IFERROR(INDEX(Pension_Model!$D$2:$D$29,MATCH(H194,Pension_Model!$B$2:$B$29,0)),0)),IF(VLOOKUP($A193,Calendar!$A$1:$R$1377,18,0)=3,SUM(IFERROR(INDEX(Pension_Model!$D$2:$D$29,MATCH(H193,Pension_Model!$B$2:$B$29,0)),0),IFERROR(INDEX(Pension_Model!$D$2:$D$29,MATCH(H194,Pension_Model!$B$2:$B$29,0)),0),IFERROR(INDEX(Pension_Model!$D$2:$D$29,MATCH(H195,Pension_Model!$B$2:$B$29,0)),0)),IF(VLOOKUP($A193,Calendar!$A$1:$R$1377,18,0)=4,SUM(IFERROR(INDEX(Pension_Model!$D$2:$D$29,MATCH(H193,Pension_Model!$B$2:$B$29,0)),0),IFERROR(INDEX(Pension_Model!$D$2:$D$29,MATCH(H194,Pension_Model!$B$2:$B$29,0)),0),IFERROR(INDEX(Pension_Model!$D$2:$D$29,MATCH(H195,Pension_Model!$B$2:$B$29,0)),0),IFERROR(INDEX(Pension_Model!$D$2:$D$29,MATCH(H196,Pension_Model!$B$2:$B$29,0)),0)),IF(VLOOKUP($A193,Calendar!$A$1:$R$1377,18,0)=5,SUM(IFERROR(INDEX(Pension_Model!$D$2:$D$29,MATCH(H193,Pension_Model!$B$2:$B$29,0)),0),IFERROR(INDEX(Pension_Model!$D$2:$D$29,MATCH(H194,Pension_Model!$B$2:$B$29,0)),0),IFERROR(INDEX(Pension_Model!$D$2:$D$29,MATCH(H195,Pension_Model!$B$2:$B$29,0)),0),IFERROR(INDEX(Pension_Model!$D$2:$D$29,MATCH(H196,Pension_Model!$B$2:$B$29,0)),0),IFERROR(INDEX(Pension_Model!$D$2:$D$29,MATCH(H197,Pension_Model!$B$2:$B$29,0)),0)),0))))))</f>
        <v>0.05</v>
      </c>
      <c r="Q193" s="28">
        <f>Population_Data!$B$15*P193</f>
        <v>660600</v>
      </c>
      <c r="S193">
        <f t="shared" si="2"/>
        <v>1545905.0488245864</v>
      </c>
      <c r="U193" s="33">
        <f>S193/Population_Data!$B$19</f>
        <v>2.8005526246822218E-2</v>
      </c>
    </row>
    <row r="194" spans="1:21">
      <c r="A194" s="25">
        <f>Calendar!A194</f>
        <v>46427</v>
      </c>
      <c r="B194" t="str">
        <f>Calendar!L194</f>
        <v>Yes</v>
      </c>
      <c r="C194" t="str">
        <f>Calendar!O194</f>
        <v>No</v>
      </c>
      <c r="D194" t="str">
        <f>Calendar!P194</f>
        <v>No</v>
      </c>
      <c r="E194" t="str">
        <f>Calendar!Q194</f>
        <v>No</v>
      </c>
      <c r="F194" t="str">
        <f>Calendar!I194</f>
        <v>Tuesday</v>
      </c>
      <c r="G194">
        <f>Calendar!S194</f>
        <v>3</v>
      </c>
      <c r="H194">
        <f>Calendar!T194</f>
        <v>3</v>
      </c>
      <c r="I194" s="27">
        <f>IF(VLOOKUP(A194,Calendar!$A$1:$R$1377,18,0)=0,0,IF(VLOOKUP(A194,Calendar!$A$1:$R$1377,18,0)=1,INDEX(Monthly_Pay_Model!$A$9:$D$40,MATCH(TEXT(A194,"dd"),Monthly_Pay_Model!$C$9:$C$39,0),4),IF(VLOOKUP(A194,Calendar!$A$1:$R$1377,18,0)=2,SUM(INDEX(Monthly_Pay_Model!$A$9:$D$40,MATCH(TEXT(A194,"dd"),Monthly_Pay_Model!$C$9:$C$39,0),4),INDEX(Monthly_Pay_Model!$A$9:$D$40,MATCH(TEXT(A195,"dd"),Monthly_Pay_Model!$C$9:$C$39,0),4)),IF(VLOOKUP(A194,Calendar!$A$1:$R$1377,18,0)=3,SUM(INDEX(Monthly_Pay_Model!$A$9:$D$40,MATCH(TEXT(A194,"dd"),Monthly_Pay_Model!$C$9:$C$39,0),4),INDEX(Monthly_Pay_Model!$A$9:$D$40,MATCH(TEXT(A195,"dd"),Monthly_Pay_Model!$C$9:$C$39,0),4),INDEX(Monthly_Pay_Model!$A$9:$D$40,MATCH(TEXT(A196,"dd"),Monthly_Pay_Model!$C$9:$C$39,0),4)),IF(VLOOKUP(A194,Calendar!$A$1:$R$1377,18,0)=4,SUM(INDEX(Monthly_Pay_Model!$A$9:$D$40,MATCH(TEXT(A194,"dd"),Monthly_Pay_Model!$C$9:$C$39,0),4),INDEX(Monthly_Pay_Model!$A$9:$D$40,MATCH(TEXT(A195,"dd"),Monthly_Pay_Model!$C$9:$C$39,0),4),INDEX(Monthly_Pay_Model!$A$9:$D$40,MATCH(TEXT(A196,"dd"),Monthly_Pay_Model!$C$9:$C$39,0),4),INDEX(Monthly_Pay_Model!$A$9:$D$40,MATCH(TEXT(A197,"dd"),Monthly_Pay_Model!$C$9:$C$39,0),4)),IF(VLOOKUP(A194,Calendar!$A$1:$R$1377,18,0)=5,SUM(INDEX(Monthly_Pay_Model!$A$9:$D$40,MATCH(TEXT(A194,"dd"),Monthly_Pay_Model!$C$9:$C$39,0),4),INDEX(Monthly_Pay_Model!$A$9:$D$40,MATCH(TEXT(A195,"dd"),Monthly_Pay_Model!$C$9:$C$39,0),4),INDEX(Monthly_Pay_Model!$A$9:$D$40,MATCH(TEXT(A196,"dd"),Monthly_Pay_Model!$C$9:$C$39,0),4),INDEX(Monthly_Pay_Model!$A$9:$D$40,MATCH(TEXT(A197,"dd"),Monthly_Pay_Model!$C$9:$C$39,0),4),INDEX(Monthly_Pay_Model!$A$9:$D$40,MATCH(TEXT(A198,"dd"),Monthly_Pay_Model!$C$9:$C$39,0),4)),))))))</f>
        <v>8.1256544502617792E-4</v>
      </c>
      <c r="J194" s="33">
        <f>IF(C194="Yes",Monthly_Pay_Model!$D$2,0)
+IF(Calendar!N194="Yes",Monthly_Pay_Model!$D$3,0)
+IF(D194="Yes",Monthly_Pay_Model!$D$4,0)
+IF(E194="Yes",Monthly_Pay_Model!$D$5,0)</f>
        <v>0</v>
      </c>
      <c r="K194" s="27">
        <f>IF(VLOOKUP($A194,Calendar!$A$1:$R$1377,18,0)=0,0,IF(VLOOKUP($A194,Calendar!$A$1:$R$1377,18,0)=1,IFERROR(INDEX(Weekly_Model!$D$2:$D$9,MATCH(F194,Weekly_Model!$A$2:$A$9,0)),0),IF(VLOOKUP($A194,Calendar!$A$1:$R$1377,18,0)=2,SUM(IFERROR(INDEX(Weekly_Model!$D$2:$D$9,MATCH(F194,Weekly_Model!$A$2:$A$9,0)),0),IFERROR(INDEX(Weekly_Model!$D$2:$D$9,MATCH(F195,Weekly_Model!$A$2:$A$9,0)),0)),IF(VLOOKUP($A194,Calendar!$A$1:$R$1377,18,0)=3,SUM(IFERROR(INDEX(Weekly_Model!$D$2:$D$9,MATCH(F194,Weekly_Model!$A$2:$A$9,0)),0),IFERROR(INDEX(Weekly_Model!$D$2:$D$9,MATCH(F195,Weekly_Model!$A$2:$A$9,0)),0),IFERROR(INDEX(Weekly_Model!$D$2:$D$9,MATCH(F196,Weekly_Model!$A$2:$A$9,0)),0)),IF(VLOOKUP($A194,Calendar!$A$1:$R$1377,18,0)=4,SUM(IFERROR(INDEX(Weekly_Model!$D$2:$D$9,MATCH(F194,Weekly_Model!$A$2:$A$9,0)),0),IFERROR(INDEX(Weekly_Model!$D$2:$D$9,MATCH(F195,Weekly_Model!$A$2:$A$9,0)),0),IFERROR(INDEX(Weekly_Model!$D$2:$D$9,MATCH(F196,Weekly_Model!$A$2:$A$9,0)),0),IFERROR(INDEX(Weekly_Model!$D$2:$D$9,MATCH(F197,Weekly_Model!$A$2:$A$9,0)),0)),IF(VLOOKUP($A194,Calendar!$A$1:$R$1377,18,0)=5,SUM(IFERROR(INDEX(Weekly_Model!$D$2:$D$9,MATCH(F194,Weekly_Model!$A$2:$A$9,0)),0),IFERROR(INDEX(Weekly_Model!$D$2:$D$9,MATCH(F195,Weekly_Model!$A$2:$A$9,0)),0),IFERROR(INDEX(Weekly_Model!$D$2:$D$9,MATCH(F196,Weekly_Model!$A$2:$A$9,0)),0),IFERROR(INDEX(Weekly_Model!$D$2:$D$9,MATCH(F197,Weekly_Model!$A$2:$A$9,0)),0),IFERROR(INDEX(Weekly_Model!$D$2:$D$9,MATCH(F198,Weekly_Model!$A$2:$A$9,0)),0)),0))))))</f>
        <v>2.3200000000000002E-2</v>
      </c>
      <c r="L194" s="27">
        <f>IF(VLOOKUP($A194,Calendar!$A$1:$R$1377,18,0)=0,0,IF(VLOOKUP($A194,Calendar!$A$1:$R$1377,18,0)=1,IFERROR(INDEX(Fortnightly_Model!$D$2:$D$15,MATCH(G194,Fortnightly_Model!$B$2:$B$15,0)),0),IF(VLOOKUP($A194,Calendar!$A$1:$R$1377,18,0)=2,SUM(IFERROR(INDEX(Fortnightly_Model!$D$2:$D$15,MATCH(G194,Fortnightly_Model!$B$2:$B$15,0)),0),IFERROR(INDEX(Fortnightly_Model!$D$2:$D$15,MATCH(G195,Fortnightly_Model!$B$2:$B$15,0)),0)),IF(VLOOKUP($A194,Calendar!$A$1:$R$1377,18,0)=3,SUM(IFERROR(INDEX(Fortnightly_Model!$D$2:$D$15,MATCH(G194,Fortnightly_Model!$B$2:$B$15,0)),0),IFERROR(INDEX(Fortnightly_Model!$D$2:$D$15,MATCH(G195,Fortnightly_Model!$B$2:$B$15,0)),0),IFERROR(INDEX(Fortnightly_Model!$D$2:$D$15,MATCH(G196,Fortnightly_Model!$B$2:$B$15,0)),0)),IF(VLOOKUP($A194,Calendar!$A$1:$R$1377,18,0)=4,SUM(IFERROR(INDEX(Fortnightly_Model!$D$2:$D$15,MATCH(G194,Fortnightly_Model!$B$2:$B$15,0)),0),IFERROR(INDEX(Fortnightly_Model!$D$2:$D$15,MATCH(G195,Fortnightly_Model!$B$2:$B$15,0)),0),IFERROR(INDEX(Fortnightly_Model!$D$2:$D$15,MATCH(G196,Fortnightly_Model!$B$2:$B$15,0)),0),IFERROR(INDEX(Fortnightly_Model!$D$2:$D$15,MATCH(G197,Fortnightly_Model!$B$2:$B$15,0)),0)),IF(VLOOKUP($A194,Calendar!$A$1:$R$1377,18,0)=5,SUM(IFERROR(INDEX(Fortnightly_Model!$D$2:$D$15,MATCH(G194,Fortnightly_Model!$B$2:$B$15,0)),0),IFERROR(INDEX(Fortnightly_Model!$D$2:$D$15,MATCH(G195,Fortnightly_Model!$B$2:$B$15,0)),0),IFERROR(INDEX(Fortnightly_Model!$D$2:$D$15,MATCH(G196,Fortnightly_Model!$B$2:$B$15,0)),0),IFERROR(INDEX(Fortnightly_Model!$D$2:$D$15,MATCH(G197,Fortnightly_Model!$B$2:$B$15,0)),0),IFERROR(INDEX(Fortnightly_Model!$D$2:$D$15,MATCH(G198,Fortnightly_Model!$B$2:$B$15,0)),0)),0))))))</f>
        <v>1.0714285499999999E-3</v>
      </c>
      <c r="M194" s="27">
        <f>IF(VLOOKUP($A194,Calendar!$A$1:$R$1377,18,0)=0,0,IF(VLOOKUP($A194,Calendar!$A$1:$R$1377,18,0)=1,IFERROR(INDEX(FourWeekly_Model!$D$2:$D$29,MATCH(H194,FourWeekly_Model!$B$2:$B$29,0)),0),IF(VLOOKUP($A194,Calendar!$A$1:$R$1377,18,0)=2,SUM(IFERROR(INDEX(FourWeekly_Model!$D$2:$D$29,MATCH(H194,FourWeekly_Model!$B$2:$B$29,0)),0),IFERROR(INDEX(FourWeekly_Model!$D$2:$D$29,MATCH(H195,FourWeekly_Model!$B$2:$B$29,0)),0)),IF(VLOOKUP($A194,Calendar!$A$1:$R$1377,18,0)=3,SUM(IFERROR(INDEX(FourWeekly_Model!$D$2:$D$29,MATCH(H194,FourWeekly_Model!$B$2:$B$29,0)),0),IFERROR(INDEX(FourWeekly_Model!$D$2:$D$29,MATCH(H195,FourWeekly_Model!$B$2:$B$29,0)),0),IFERROR(INDEX(FourWeekly_Model!$D$2:$D$29,MATCH(H196,FourWeekly_Model!$B$2:$B$29,0)),0)),IF(VLOOKUP($A194,Calendar!$A$1:$R$1377,18,0)=4,SUM(IFERROR(INDEX(FourWeekly_Model!$D$2:$D$29,MATCH(H194,FourWeekly_Model!$B$2:$B$29,0)),0),IFERROR(INDEX(FourWeekly_Model!$D$2:$D$29,MATCH(H195,FourWeekly_Model!$B$2:$B$29,0)),0),IFERROR(INDEX(FourWeekly_Model!$D$2:$D$29,MATCH(H196,FourWeekly_Model!$B$2:$B$29,0)),0),IFERROR(INDEX(FourWeekly_Model!$D$2:$D$29,MATCH(H197,FourWeekly_Model!$B$2:$B$29,0)),0)),IF(VLOOKUP($A194,Calendar!$A$1:$R$1377,18,0)=5,SUM(IFERROR(INDEX(FourWeekly_Model!$D$2:$D$29,MATCH(H194,FourWeekly_Model!$B$2:$B$29,0)),0),IFERROR(INDEX(FourWeekly_Model!$D$2:$D$29,MATCH(H195,FourWeekly_Model!$B$2:$B$29,0)),0),IFERROR(INDEX(FourWeekly_Model!$D$2:$D$29,MATCH(H196,FourWeekly_Model!$B$2:$B$29,0)),0),IFERROR(INDEX(FourWeekly_Model!$D$2:$D$29,MATCH(H197,FourWeekly_Model!$B$2:$B$29,0)),0),IFERROR(INDEX(FourWeekly_Model!$D$2:$D$29,MATCH(H198,FourWeekly_Model!$B$2:$B$29,0)),0)),0))))))</f>
        <v>3.3214289700000004E-3</v>
      </c>
      <c r="N194" s="27">
        <f>SUM(I194:M194)</f>
        <v>2.840542296502618E-2</v>
      </c>
      <c r="O194" s="28">
        <f>Population_Data!$B$8*N194</f>
        <v>860684.3158402933</v>
      </c>
      <c r="P194" s="27">
        <f>IF(VLOOKUP($A194,Calendar!$A$1:$R$1377,18,0)=0,0,IF(VLOOKUP($A194,Calendar!$A$1:$R$1377,18,0)=1,IFERROR(INDEX(Pension_Model!$D$2:$D$29,MATCH(H194,Pension_Model!$B$2:$B$29,0)),0),IF(VLOOKUP($A194,Calendar!$A$1:$R$1377,18,0)=2,SUM(IFERROR(INDEX(Pension_Model!$D$2:$D$29,MATCH(H194,Pension_Model!$B$2:$B$29,0)),0),IFERROR(INDEX(Pension_Model!$D$2:$D$29,MATCH(H195,Pension_Model!$B$2:$B$29,0)),0)),IF(VLOOKUP($A194,Calendar!$A$1:$R$1377,18,0)=3,SUM(IFERROR(INDEX(Pension_Model!$D$2:$D$29,MATCH(H194,Pension_Model!$B$2:$B$29,0)),0),IFERROR(INDEX(Pension_Model!$D$2:$D$29,MATCH(H195,Pension_Model!$B$2:$B$29,0)),0),IFERROR(INDEX(Pension_Model!$D$2:$D$29,MATCH(H196,Pension_Model!$B$2:$B$29,0)),0)),IF(VLOOKUP($A194,Calendar!$A$1:$R$1377,18,0)=4,SUM(IFERROR(INDEX(Pension_Model!$D$2:$D$29,MATCH(H194,Pension_Model!$B$2:$B$29,0)),0),IFERROR(INDEX(Pension_Model!$D$2:$D$29,MATCH(H195,Pension_Model!$B$2:$B$29,0)),0),IFERROR(INDEX(Pension_Model!$D$2:$D$29,MATCH(H196,Pension_Model!$B$2:$B$29,0)),0),IFERROR(INDEX(Pension_Model!$D$2:$D$29,MATCH(H197,Pension_Model!$B$2:$B$29,0)),0)),IF(VLOOKUP($A194,Calendar!$A$1:$R$1377,18,0)=5,SUM(IFERROR(INDEX(Pension_Model!$D$2:$D$29,MATCH(H194,Pension_Model!$B$2:$B$29,0)),0),IFERROR(INDEX(Pension_Model!$D$2:$D$29,MATCH(H195,Pension_Model!$B$2:$B$29,0)),0),IFERROR(INDEX(Pension_Model!$D$2:$D$29,MATCH(H196,Pension_Model!$B$2:$B$29,0)),0),IFERROR(INDEX(Pension_Model!$D$2:$D$29,MATCH(H197,Pension_Model!$B$2:$B$29,0)),0),IFERROR(INDEX(Pension_Model!$D$2:$D$29,MATCH(H198,Pension_Model!$B$2:$B$29,0)),0)),0))))))</f>
        <v>0.05</v>
      </c>
      <c r="Q194" s="28">
        <f>Population_Data!$B$15*P194</f>
        <v>660600</v>
      </c>
      <c r="S194">
        <f t="shared" si="2"/>
        <v>1521284.3158402932</v>
      </c>
      <c r="U194" s="33">
        <f>S194/Population_Data!$B$19</f>
        <v>2.7559498475367629E-2</v>
      </c>
    </row>
    <row r="195" spans="1:21">
      <c r="A195" s="25">
        <f>Calendar!A195</f>
        <v>46428</v>
      </c>
      <c r="B195" t="str">
        <f>Calendar!L195</f>
        <v>Yes</v>
      </c>
      <c r="C195" t="str">
        <f>Calendar!O195</f>
        <v>No</v>
      </c>
      <c r="D195" t="str">
        <f>Calendar!P195</f>
        <v>No</v>
      </c>
      <c r="E195" t="str">
        <f>Calendar!Q195</f>
        <v>No</v>
      </c>
      <c r="F195" t="str">
        <f>Calendar!I195</f>
        <v>Wednesday</v>
      </c>
      <c r="G195">
        <f>Calendar!S195</f>
        <v>4</v>
      </c>
      <c r="H195">
        <f>Calendar!T195</f>
        <v>4</v>
      </c>
      <c r="I195" s="27">
        <f>IF(VLOOKUP(A195,Calendar!$A$1:$R$1377,18,0)=0,0,IF(VLOOKUP(A195,Calendar!$A$1:$R$1377,18,0)=1,INDEX(Monthly_Pay_Model!$A$9:$D$40,MATCH(TEXT(A195,"dd"),Monthly_Pay_Model!$C$9:$C$39,0),4),IF(VLOOKUP(A195,Calendar!$A$1:$R$1377,18,0)=2,SUM(INDEX(Monthly_Pay_Model!$A$9:$D$40,MATCH(TEXT(A195,"dd"),Monthly_Pay_Model!$C$9:$C$39,0),4),INDEX(Monthly_Pay_Model!$A$9:$D$40,MATCH(TEXT(A196,"dd"),Monthly_Pay_Model!$C$9:$C$39,0),4)),IF(VLOOKUP(A195,Calendar!$A$1:$R$1377,18,0)=3,SUM(INDEX(Monthly_Pay_Model!$A$9:$D$40,MATCH(TEXT(A195,"dd"),Monthly_Pay_Model!$C$9:$C$39,0),4),INDEX(Monthly_Pay_Model!$A$9:$D$40,MATCH(TEXT(A196,"dd"),Monthly_Pay_Model!$C$9:$C$39,0),4),INDEX(Monthly_Pay_Model!$A$9:$D$40,MATCH(TEXT(A197,"dd"),Monthly_Pay_Model!$C$9:$C$39,0),4)),IF(VLOOKUP(A195,Calendar!$A$1:$R$1377,18,0)=4,SUM(INDEX(Monthly_Pay_Model!$A$9:$D$40,MATCH(TEXT(A195,"dd"),Monthly_Pay_Model!$C$9:$C$39,0),4),INDEX(Monthly_Pay_Model!$A$9:$D$40,MATCH(TEXT(A196,"dd"),Monthly_Pay_Model!$C$9:$C$39,0),4),INDEX(Monthly_Pay_Model!$A$9:$D$40,MATCH(TEXT(A197,"dd"),Monthly_Pay_Model!$C$9:$C$39,0),4),INDEX(Monthly_Pay_Model!$A$9:$D$40,MATCH(TEXT(A198,"dd"),Monthly_Pay_Model!$C$9:$C$39,0),4)),IF(VLOOKUP(A195,Calendar!$A$1:$R$1377,18,0)=5,SUM(INDEX(Monthly_Pay_Model!$A$9:$D$40,MATCH(TEXT(A195,"dd"),Monthly_Pay_Model!$C$9:$C$39,0),4),INDEX(Monthly_Pay_Model!$A$9:$D$40,MATCH(TEXT(A196,"dd"),Monthly_Pay_Model!$C$9:$C$39,0),4),INDEX(Monthly_Pay_Model!$A$9:$D$40,MATCH(TEXT(A197,"dd"),Monthly_Pay_Model!$C$9:$C$39,0),4),INDEX(Monthly_Pay_Model!$A$9:$D$40,MATCH(TEXT(A198,"dd"),Monthly_Pay_Model!$C$9:$C$39,0),4),INDEX(Monthly_Pay_Model!$A$9:$D$40,MATCH(TEXT(A199,"dd"),Monthly_Pay_Model!$C$9:$C$39,0),4)),))))))</f>
        <v>4.8753926701570662E-3</v>
      </c>
      <c r="J195" s="33">
        <f>IF(C195="Yes",Monthly_Pay_Model!$D$2,0)
+IF(Calendar!N195="Yes",Monthly_Pay_Model!$D$3,0)
+IF(D195="Yes",Monthly_Pay_Model!$D$4,0)
+IF(E195="Yes",Monthly_Pay_Model!$D$5,0)</f>
        <v>0</v>
      </c>
      <c r="K195" s="27">
        <f>IF(VLOOKUP($A195,Calendar!$A$1:$R$1377,18,0)=0,0,IF(VLOOKUP($A195,Calendar!$A$1:$R$1377,18,0)=1,IFERROR(INDEX(Weekly_Model!$D$2:$D$9,MATCH(F195,Weekly_Model!$A$2:$A$9,0)),0),IF(VLOOKUP($A195,Calendar!$A$1:$R$1377,18,0)=2,SUM(IFERROR(INDEX(Weekly_Model!$D$2:$D$9,MATCH(F195,Weekly_Model!$A$2:$A$9,0)),0),IFERROR(INDEX(Weekly_Model!$D$2:$D$9,MATCH(F196,Weekly_Model!$A$2:$A$9,0)),0)),IF(VLOOKUP($A195,Calendar!$A$1:$R$1377,18,0)=3,SUM(IFERROR(INDEX(Weekly_Model!$D$2:$D$9,MATCH(F195,Weekly_Model!$A$2:$A$9,0)),0),IFERROR(INDEX(Weekly_Model!$D$2:$D$9,MATCH(F196,Weekly_Model!$A$2:$A$9,0)),0),IFERROR(INDEX(Weekly_Model!$D$2:$D$9,MATCH(F197,Weekly_Model!$A$2:$A$9,0)),0)),IF(VLOOKUP($A195,Calendar!$A$1:$R$1377,18,0)=4,SUM(IFERROR(INDEX(Weekly_Model!$D$2:$D$9,MATCH(F195,Weekly_Model!$A$2:$A$9,0)),0),IFERROR(INDEX(Weekly_Model!$D$2:$D$9,MATCH(F196,Weekly_Model!$A$2:$A$9,0)),0),IFERROR(INDEX(Weekly_Model!$D$2:$D$9,MATCH(F197,Weekly_Model!$A$2:$A$9,0)),0),IFERROR(INDEX(Weekly_Model!$D$2:$D$9,MATCH(F198,Weekly_Model!$A$2:$A$9,0)),0)),IF(VLOOKUP($A195,Calendar!$A$1:$R$1377,18,0)=5,SUM(IFERROR(INDEX(Weekly_Model!$D$2:$D$9,MATCH(F195,Weekly_Model!$A$2:$A$9,0)),0),IFERROR(INDEX(Weekly_Model!$D$2:$D$9,MATCH(F196,Weekly_Model!$A$2:$A$9,0)),0),IFERROR(INDEX(Weekly_Model!$D$2:$D$9,MATCH(F197,Weekly_Model!$A$2:$A$9,0)),0),IFERROR(INDEX(Weekly_Model!$D$2:$D$9,MATCH(F198,Weekly_Model!$A$2:$A$9,0)),0),IFERROR(INDEX(Weekly_Model!$D$2:$D$9,MATCH(F199,Weekly_Model!$A$2:$A$9,0)),0)),0))))))</f>
        <v>2.3200000000000002E-2</v>
      </c>
      <c r="L195" s="27">
        <f>IF(VLOOKUP($A195,Calendar!$A$1:$R$1377,18,0)=0,0,IF(VLOOKUP($A195,Calendar!$A$1:$R$1377,18,0)=1,IFERROR(INDEX(Fortnightly_Model!$D$2:$D$15,MATCH(G195,Fortnightly_Model!$B$2:$B$15,0)),0),IF(VLOOKUP($A195,Calendar!$A$1:$R$1377,18,0)=2,SUM(IFERROR(INDEX(Fortnightly_Model!$D$2:$D$15,MATCH(G195,Fortnightly_Model!$B$2:$B$15,0)),0),IFERROR(INDEX(Fortnightly_Model!$D$2:$D$15,MATCH(G196,Fortnightly_Model!$B$2:$B$15,0)),0)),IF(VLOOKUP($A195,Calendar!$A$1:$R$1377,18,0)=3,SUM(IFERROR(INDEX(Fortnightly_Model!$D$2:$D$15,MATCH(G195,Fortnightly_Model!$B$2:$B$15,0)),0),IFERROR(INDEX(Fortnightly_Model!$D$2:$D$15,MATCH(G196,Fortnightly_Model!$B$2:$B$15,0)),0),IFERROR(INDEX(Fortnightly_Model!$D$2:$D$15,MATCH(G197,Fortnightly_Model!$B$2:$B$15,0)),0)),IF(VLOOKUP($A195,Calendar!$A$1:$R$1377,18,0)=4,SUM(IFERROR(INDEX(Fortnightly_Model!$D$2:$D$15,MATCH(G195,Fortnightly_Model!$B$2:$B$15,0)),0),IFERROR(INDEX(Fortnightly_Model!$D$2:$D$15,MATCH(G196,Fortnightly_Model!$B$2:$B$15,0)),0),IFERROR(INDEX(Fortnightly_Model!$D$2:$D$15,MATCH(G197,Fortnightly_Model!$B$2:$B$15,0)),0),IFERROR(INDEX(Fortnightly_Model!$D$2:$D$15,MATCH(G198,Fortnightly_Model!$B$2:$B$15,0)),0)),IF(VLOOKUP($A195,Calendar!$A$1:$R$1377,18,0)=5,SUM(IFERROR(INDEX(Fortnightly_Model!$D$2:$D$15,MATCH(G195,Fortnightly_Model!$B$2:$B$15,0)),0),IFERROR(INDEX(Fortnightly_Model!$D$2:$D$15,MATCH(G196,Fortnightly_Model!$B$2:$B$15,0)),0),IFERROR(INDEX(Fortnightly_Model!$D$2:$D$15,MATCH(G197,Fortnightly_Model!$B$2:$B$15,0)),0),IFERROR(INDEX(Fortnightly_Model!$D$2:$D$15,MATCH(G198,Fortnightly_Model!$B$2:$B$15,0)),0),IFERROR(INDEX(Fortnightly_Model!$D$2:$D$15,MATCH(G199,Fortnightly_Model!$B$2:$B$15,0)),0)),0))))))</f>
        <v>1.0714285499999999E-3</v>
      </c>
      <c r="M195" s="27">
        <f>IF(VLOOKUP($A195,Calendar!$A$1:$R$1377,18,0)=0,0,IF(VLOOKUP($A195,Calendar!$A$1:$R$1377,18,0)=1,IFERROR(INDEX(FourWeekly_Model!$D$2:$D$29,MATCH(H195,FourWeekly_Model!$B$2:$B$29,0)),0),IF(VLOOKUP($A195,Calendar!$A$1:$R$1377,18,0)=2,SUM(IFERROR(INDEX(FourWeekly_Model!$D$2:$D$29,MATCH(H195,FourWeekly_Model!$B$2:$B$29,0)),0),IFERROR(INDEX(FourWeekly_Model!$D$2:$D$29,MATCH(H196,FourWeekly_Model!$B$2:$B$29,0)),0)),IF(VLOOKUP($A195,Calendar!$A$1:$R$1377,18,0)=3,SUM(IFERROR(INDEX(FourWeekly_Model!$D$2:$D$29,MATCH(H195,FourWeekly_Model!$B$2:$B$29,0)),0),IFERROR(INDEX(FourWeekly_Model!$D$2:$D$29,MATCH(H196,FourWeekly_Model!$B$2:$B$29,0)),0),IFERROR(INDEX(FourWeekly_Model!$D$2:$D$29,MATCH(H197,FourWeekly_Model!$B$2:$B$29,0)),0)),IF(VLOOKUP($A195,Calendar!$A$1:$R$1377,18,0)=4,SUM(IFERROR(INDEX(FourWeekly_Model!$D$2:$D$29,MATCH(H195,FourWeekly_Model!$B$2:$B$29,0)),0),IFERROR(INDEX(FourWeekly_Model!$D$2:$D$29,MATCH(H196,FourWeekly_Model!$B$2:$B$29,0)),0),IFERROR(INDEX(FourWeekly_Model!$D$2:$D$29,MATCH(H197,FourWeekly_Model!$B$2:$B$29,0)),0),IFERROR(INDEX(FourWeekly_Model!$D$2:$D$29,MATCH(H198,FourWeekly_Model!$B$2:$B$29,0)),0)),IF(VLOOKUP($A195,Calendar!$A$1:$R$1377,18,0)=5,SUM(IFERROR(INDEX(FourWeekly_Model!$D$2:$D$29,MATCH(H195,FourWeekly_Model!$B$2:$B$29,0)),0),IFERROR(INDEX(FourWeekly_Model!$D$2:$D$29,MATCH(H196,FourWeekly_Model!$B$2:$B$29,0)),0),IFERROR(INDEX(FourWeekly_Model!$D$2:$D$29,MATCH(H197,FourWeekly_Model!$B$2:$B$29,0)),0),IFERROR(INDEX(FourWeekly_Model!$D$2:$D$29,MATCH(H198,FourWeekly_Model!$B$2:$B$29,0)),0),IFERROR(INDEX(FourWeekly_Model!$D$2:$D$29,MATCH(H199,FourWeekly_Model!$B$2:$B$29,0)),0)),0))))))</f>
        <v>3.3214289700000004E-3</v>
      </c>
      <c r="N195" s="27">
        <f>SUM(I195:M195)</f>
        <v>3.2468250190157068E-2</v>
      </c>
      <c r="O195" s="28">
        <f>Population_Data!$B$8*N195</f>
        <v>983787.9807617591</v>
      </c>
      <c r="P195" s="27">
        <f>IF(VLOOKUP($A195,Calendar!$A$1:$R$1377,18,0)=0,0,IF(VLOOKUP($A195,Calendar!$A$1:$R$1377,18,0)=1,IFERROR(INDEX(Pension_Model!$D$2:$D$29,MATCH(H195,Pension_Model!$B$2:$B$29,0)),0),IF(VLOOKUP($A195,Calendar!$A$1:$R$1377,18,0)=2,SUM(IFERROR(INDEX(Pension_Model!$D$2:$D$29,MATCH(H195,Pension_Model!$B$2:$B$29,0)),0),IFERROR(INDEX(Pension_Model!$D$2:$D$29,MATCH(H196,Pension_Model!$B$2:$B$29,0)),0)),IF(VLOOKUP($A195,Calendar!$A$1:$R$1377,18,0)=3,SUM(IFERROR(INDEX(Pension_Model!$D$2:$D$29,MATCH(H195,Pension_Model!$B$2:$B$29,0)),0),IFERROR(INDEX(Pension_Model!$D$2:$D$29,MATCH(H196,Pension_Model!$B$2:$B$29,0)),0),IFERROR(INDEX(Pension_Model!$D$2:$D$29,MATCH(H197,Pension_Model!$B$2:$B$29,0)),0)),IF(VLOOKUP($A195,Calendar!$A$1:$R$1377,18,0)=4,SUM(IFERROR(INDEX(Pension_Model!$D$2:$D$29,MATCH(H195,Pension_Model!$B$2:$B$29,0)),0),IFERROR(INDEX(Pension_Model!$D$2:$D$29,MATCH(H196,Pension_Model!$B$2:$B$29,0)),0),IFERROR(INDEX(Pension_Model!$D$2:$D$29,MATCH(H197,Pension_Model!$B$2:$B$29,0)),0),IFERROR(INDEX(Pension_Model!$D$2:$D$29,MATCH(H198,Pension_Model!$B$2:$B$29,0)),0)),IF(VLOOKUP($A195,Calendar!$A$1:$R$1377,18,0)=5,SUM(IFERROR(INDEX(Pension_Model!$D$2:$D$29,MATCH(H195,Pension_Model!$B$2:$B$29,0)),0),IFERROR(INDEX(Pension_Model!$D$2:$D$29,MATCH(H196,Pension_Model!$B$2:$B$29,0)),0),IFERROR(INDEX(Pension_Model!$D$2:$D$29,MATCH(H197,Pension_Model!$B$2:$B$29,0)),0),IFERROR(INDEX(Pension_Model!$D$2:$D$29,MATCH(H198,Pension_Model!$B$2:$B$29,0)),0),IFERROR(INDEX(Pension_Model!$D$2:$D$29,MATCH(H199,Pension_Model!$B$2:$B$29,0)),0)),0))))))</f>
        <v>0.05</v>
      </c>
      <c r="Q195" s="28">
        <f>Population_Data!$B$15*P195</f>
        <v>660600</v>
      </c>
      <c r="S195">
        <f t="shared" ref="S195:S258" si="3">SUM(Q195,O195)</f>
        <v>1644387.980761759</v>
      </c>
      <c r="U195" s="33">
        <f>S195/Population_Data!$B$19</f>
        <v>2.9789637332640562E-2</v>
      </c>
    </row>
    <row r="196" spans="1:21">
      <c r="A196" s="25">
        <f>Calendar!A196</f>
        <v>46429</v>
      </c>
      <c r="B196" t="str">
        <f>Calendar!L196</f>
        <v>Yes</v>
      </c>
      <c r="C196" t="str">
        <f>Calendar!O196</f>
        <v>No</v>
      </c>
      <c r="D196" t="str">
        <f>Calendar!P196</f>
        <v>No</v>
      </c>
      <c r="E196" t="str">
        <f>Calendar!Q196</f>
        <v>No</v>
      </c>
      <c r="F196" t="str">
        <f>Calendar!I196</f>
        <v>Thursday</v>
      </c>
      <c r="G196">
        <f>Calendar!S196</f>
        <v>5</v>
      </c>
      <c r="H196">
        <f>Calendar!T196</f>
        <v>5</v>
      </c>
      <c r="I196" s="27">
        <f>IF(VLOOKUP(A196,Calendar!$A$1:$R$1377,18,0)=0,0,IF(VLOOKUP(A196,Calendar!$A$1:$R$1377,18,0)=1,INDEX(Monthly_Pay_Model!$A$9:$D$40,MATCH(TEXT(A196,"dd"),Monthly_Pay_Model!$C$9:$C$39,0),4),IF(VLOOKUP(A196,Calendar!$A$1:$R$1377,18,0)=2,SUM(INDEX(Monthly_Pay_Model!$A$9:$D$40,MATCH(TEXT(A196,"dd"),Monthly_Pay_Model!$C$9:$C$39,0),4),INDEX(Monthly_Pay_Model!$A$9:$D$40,MATCH(TEXT(A197,"dd"),Monthly_Pay_Model!$C$9:$C$39,0),4)),IF(VLOOKUP(A196,Calendar!$A$1:$R$1377,18,0)=3,SUM(INDEX(Monthly_Pay_Model!$A$9:$D$40,MATCH(TEXT(A196,"dd"),Monthly_Pay_Model!$C$9:$C$39,0),4),INDEX(Monthly_Pay_Model!$A$9:$D$40,MATCH(TEXT(A197,"dd"),Monthly_Pay_Model!$C$9:$C$39,0),4),INDEX(Monthly_Pay_Model!$A$9:$D$40,MATCH(TEXT(A198,"dd"),Monthly_Pay_Model!$C$9:$C$39,0),4)),IF(VLOOKUP(A196,Calendar!$A$1:$R$1377,18,0)=4,SUM(INDEX(Monthly_Pay_Model!$A$9:$D$40,MATCH(TEXT(A196,"dd"),Monthly_Pay_Model!$C$9:$C$39,0),4),INDEX(Monthly_Pay_Model!$A$9:$D$40,MATCH(TEXT(A197,"dd"),Monthly_Pay_Model!$C$9:$C$39,0),4),INDEX(Monthly_Pay_Model!$A$9:$D$40,MATCH(TEXT(A198,"dd"),Monthly_Pay_Model!$C$9:$C$39,0),4),INDEX(Monthly_Pay_Model!$A$9:$D$40,MATCH(TEXT(A199,"dd"),Monthly_Pay_Model!$C$9:$C$39,0),4)),IF(VLOOKUP(A196,Calendar!$A$1:$R$1377,18,0)=5,SUM(INDEX(Monthly_Pay_Model!$A$9:$D$40,MATCH(TEXT(A196,"dd"),Monthly_Pay_Model!$C$9:$C$39,0),4),INDEX(Monthly_Pay_Model!$A$9:$D$40,MATCH(TEXT(A197,"dd"),Monthly_Pay_Model!$C$9:$C$39,0),4),INDEX(Monthly_Pay_Model!$A$9:$D$40,MATCH(TEXT(A198,"dd"),Monthly_Pay_Model!$C$9:$C$39,0),4),INDEX(Monthly_Pay_Model!$A$9:$D$40,MATCH(TEXT(A199,"dd"),Monthly_Pay_Model!$C$9:$C$39,0),4),INDEX(Monthly_Pay_Model!$A$9:$D$40,MATCH(TEXT(A200,"dd"),Monthly_Pay_Model!$C$9:$C$39,0),4)),))))))</f>
        <v>8.1256544502617792E-4</v>
      </c>
      <c r="J196" s="33">
        <f>IF(C196="Yes",Monthly_Pay_Model!$D$2,0)
+IF(Calendar!N196="Yes",Monthly_Pay_Model!$D$3,0)
+IF(D196="Yes",Monthly_Pay_Model!$D$4,0)
+IF(E196="Yes",Monthly_Pay_Model!$D$5,0)</f>
        <v>0</v>
      </c>
      <c r="K196" s="27">
        <f>IF(VLOOKUP($A196,Calendar!$A$1:$R$1377,18,0)=0,0,IF(VLOOKUP($A196,Calendar!$A$1:$R$1377,18,0)=1,IFERROR(INDEX(Weekly_Model!$D$2:$D$9,MATCH(F196,Weekly_Model!$A$2:$A$9,0)),0),IF(VLOOKUP($A196,Calendar!$A$1:$R$1377,18,0)=2,SUM(IFERROR(INDEX(Weekly_Model!$D$2:$D$9,MATCH(F196,Weekly_Model!$A$2:$A$9,0)),0),IFERROR(INDEX(Weekly_Model!$D$2:$D$9,MATCH(F197,Weekly_Model!$A$2:$A$9,0)),0)),IF(VLOOKUP($A196,Calendar!$A$1:$R$1377,18,0)=3,SUM(IFERROR(INDEX(Weekly_Model!$D$2:$D$9,MATCH(F196,Weekly_Model!$A$2:$A$9,0)),0),IFERROR(INDEX(Weekly_Model!$D$2:$D$9,MATCH(F197,Weekly_Model!$A$2:$A$9,0)),0),IFERROR(INDEX(Weekly_Model!$D$2:$D$9,MATCH(F198,Weekly_Model!$A$2:$A$9,0)),0)),IF(VLOOKUP($A196,Calendar!$A$1:$R$1377,18,0)=4,SUM(IFERROR(INDEX(Weekly_Model!$D$2:$D$9,MATCH(F196,Weekly_Model!$A$2:$A$9,0)),0),IFERROR(INDEX(Weekly_Model!$D$2:$D$9,MATCH(F197,Weekly_Model!$A$2:$A$9,0)),0),IFERROR(INDEX(Weekly_Model!$D$2:$D$9,MATCH(F198,Weekly_Model!$A$2:$A$9,0)),0),IFERROR(INDEX(Weekly_Model!$D$2:$D$9,MATCH(F199,Weekly_Model!$A$2:$A$9,0)),0)),IF(VLOOKUP($A196,Calendar!$A$1:$R$1377,18,0)=5,SUM(IFERROR(INDEX(Weekly_Model!$D$2:$D$9,MATCH(F196,Weekly_Model!$A$2:$A$9,0)),0),IFERROR(INDEX(Weekly_Model!$D$2:$D$9,MATCH(F197,Weekly_Model!$A$2:$A$9,0)),0),IFERROR(INDEX(Weekly_Model!$D$2:$D$9,MATCH(F198,Weekly_Model!$A$2:$A$9,0)),0),IFERROR(INDEX(Weekly_Model!$D$2:$D$9,MATCH(F199,Weekly_Model!$A$2:$A$9,0)),0),IFERROR(INDEX(Weekly_Model!$D$2:$D$9,MATCH(F200,Weekly_Model!$A$2:$A$9,0)),0)),0))))))</f>
        <v>2.3200000000000002E-2</v>
      </c>
      <c r="L196" s="27">
        <f>IF(VLOOKUP($A196,Calendar!$A$1:$R$1377,18,0)=0,0,IF(VLOOKUP($A196,Calendar!$A$1:$R$1377,18,0)=1,IFERROR(INDEX(Fortnightly_Model!$D$2:$D$15,MATCH(G196,Fortnightly_Model!$B$2:$B$15,0)),0),IF(VLOOKUP($A196,Calendar!$A$1:$R$1377,18,0)=2,SUM(IFERROR(INDEX(Fortnightly_Model!$D$2:$D$15,MATCH(G196,Fortnightly_Model!$B$2:$B$15,0)),0),IFERROR(INDEX(Fortnightly_Model!$D$2:$D$15,MATCH(G197,Fortnightly_Model!$B$2:$B$15,0)),0)),IF(VLOOKUP($A196,Calendar!$A$1:$R$1377,18,0)=3,SUM(IFERROR(INDEX(Fortnightly_Model!$D$2:$D$15,MATCH(G196,Fortnightly_Model!$B$2:$B$15,0)),0),IFERROR(INDEX(Fortnightly_Model!$D$2:$D$15,MATCH(G197,Fortnightly_Model!$B$2:$B$15,0)),0),IFERROR(INDEX(Fortnightly_Model!$D$2:$D$15,MATCH(G198,Fortnightly_Model!$B$2:$B$15,0)),0)),IF(VLOOKUP($A196,Calendar!$A$1:$R$1377,18,0)=4,SUM(IFERROR(INDEX(Fortnightly_Model!$D$2:$D$15,MATCH(G196,Fortnightly_Model!$B$2:$B$15,0)),0),IFERROR(INDEX(Fortnightly_Model!$D$2:$D$15,MATCH(G197,Fortnightly_Model!$B$2:$B$15,0)),0),IFERROR(INDEX(Fortnightly_Model!$D$2:$D$15,MATCH(G198,Fortnightly_Model!$B$2:$B$15,0)),0),IFERROR(INDEX(Fortnightly_Model!$D$2:$D$15,MATCH(G199,Fortnightly_Model!$B$2:$B$15,0)),0)),IF(VLOOKUP($A196,Calendar!$A$1:$R$1377,18,0)=5,SUM(IFERROR(INDEX(Fortnightly_Model!$D$2:$D$15,MATCH(G196,Fortnightly_Model!$B$2:$B$15,0)),0),IFERROR(INDEX(Fortnightly_Model!$D$2:$D$15,MATCH(G197,Fortnightly_Model!$B$2:$B$15,0)),0),IFERROR(INDEX(Fortnightly_Model!$D$2:$D$15,MATCH(G198,Fortnightly_Model!$B$2:$B$15,0)),0),IFERROR(INDEX(Fortnightly_Model!$D$2:$D$15,MATCH(G199,Fortnightly_Model!$B$2:$B$15,0)),0),IFERROR(INDEX(Fortnightly_Model!$D$2:$D$15,MATCH(G200,Fortnightly_Model!$B$2:$B$15,0)),0)),0))))))</f>
        <v>1.0714285499999999E-3</v>
      </c>
      <c r="M196" s="27">
        <f>IF(VLOOKUP($A196,Calendar!$A$1:$R$1377,18,0)=0,0,IF(VLOOKUP($A196,Calendar!$A$1:$R$1377,18,0)=1,IFERROR(INDEX(FourWeekly_Model!$D$2:$D$29,MATCH(H196,FourWeekly_Model!$B$2:$B$29,0)),0),IF(VLOOKUP($A196,Calendar!$A$1:$R$1377,18,0)=2,SUM(IFERROR(INDEX(FourWeekly_Model!$D$2:$D$29,MATCH(H196,FourWeekly_Model!$B$2:$B$29,0)),0),IFERROR(INDEX(FourWeekly_Model!$D$2:$D$29,MATCH(H197,FourWeekly_Model!$B$2:$B$29,0)),0)),IF(VLOOKUP($A196,Calendar!$A$1:$R$1377,18,0)=3,SUM(IFERROR(INDEX(FourWeekly_Model!$D$2:$D$29,MATCH(H196,FourWeekly_Model!$B$2:$B$29,0)),0),IFERROR(INDEX(FourWeekly_Model!$D$2:$D$29,MATCH(H197,FourWeekly_Model!$B$2:$B$29,0)),0),IFERROR(INDEX(FourWeekly_Model!$D$2:$D$29,MATCH(H198,FourWeekly_Model!$B$2:$B$29,0)),0)),IF(VLOOKUP($A196,Calendar!$A$1:$R$1377,18,0)=4,SUM(IFERROR(INDEX(FourWeekly_Model!$D$2:$D$29,MATCH(H196,FourWeekly_Model!$B$2:$B$29,0)),0),IFERROR(INDEX(FourWeekly_Model!$D$2:$D$29,MATCH(H197,FourWeekly_Model!$B$2:$B$29,0)),0),IFERROR(INDEX(FourWeekly_Model!$D$2:$D$29,MATCH(H198,FourWeekly_Model!$B$2:$B$29,0)),0),IFERROR(INDEX(FourWeekly_Model!$D$2:$D$29,MATCH(H199,FourWeekly_Model!$B$2:$B$29,0)),0)),IF(VLOOKUP($A196,Calendar!$A$1:$R$1377,18,0)=5,SUM(IFERROR(INDEX(FourWeekly_Model!$D$2:$D$29,MATCH(H196,FourWeekly_Model!$B$2:$B$29,0)),0),IFERROR(INDEX(FourWeekly_Model!$D$2:$D$29,MATCH(H197,FourWeekly_Model!$B$2:$B$29,0)),0),IFERROR(INDEX(FourWeekly_Model!$D$2:$D$29,MATCH(H198,FourWeekly_Model!$B$2:$B$29,0)),0),IFERROR(INDEX(FourWeekly_Model!$D$2:$D$29,MATCH(H199,FourWeekly_Model!$B$2:$B$29,0)),0),IFERROR(INDEX(FourWeekly_Model!$D$2:$D$29,MATCH(H200,FourWeekly_Model!$B$2:$B$29,0)),0)),0))))))</f>
        <v>3.3214289700000004E-3</v>
      </c>
      <c r="N196" s="27">
        <f>SUM(I196:M196)</f>
        <v>2.840542296502618E-2</v>
      </c>
      <c r="O196" s="28">
        <f>Population_Data!$B$8*N196</f>
        <v>860684.3158402933</v>
      </c>
      <c r="P196" s="27">
        <f>IF(VLOOKUP($A196,Calendar!$A$1:$R$1377,18,0)=0,0,IF(VLOOKUP($A196,Calendar!$A$1:$R$1377,18,0)=1,IFERROR(INDEX(Pension_Model!$D$2:$D$29,MATCH(H196,Pension_Model!$B$2:$B$29,0)),0),IF(VLOOKUP($A196,Calendar!$A$1:$R$1377,18,0)=2,SUM(IFERROR(INDEX(Pension_Model!$D$2:$D$29,MATCH(H196,Pension_Model!$B$2:$B$29,0)),0),IFERROR(INDEX(Pension_Model!$D$2:$D$29,MATCH(H197,Pension_Model!$B$2:$B$29,0)),0)),IF(VLOOKUP($A196,Calendar!$A$1:$R$1377,18,0)=3,SUM(IFERROR(INDEX(Pension_Model!$D$2:$D$29,MATCH(H196,Pension_Model!$B$2:$B$29,0)),0),IFERROR(INDEX(Pension_Model!$D$2:$D$29,MATCH(H197,Pension_Model!$B$2:$B$29,0)),0),IFERROR(INDEX(Pension_Model!$D$2:$D$29,MATCH(H198,Pension_Model!$B$2:$B$29,0)),0)),IF(VLOOKUP($A196,Calendar!$A$1:$R$1377,18,0)=4,SUM(IFERROR(INDEX(Pension_Model!$D$2:$D$29,MATCH(H196,Pension_Model!$B$2:$B$29,0)),0),IFERROR(INDEX(Pension_Model!$D$2:$D$29,MATCH(H197,Pension_Model!$B$2:$B$29,0)),0),IFERROR(INDEX(Pension_Model!$D$2:$D$29,MATCH(H198,Pension_Model!$B$2:$B$29,0)),0),IFERROR(INDEX(Pension_Model!$D$2:$D$29,MATCH(H199,Pension_Model!$B$2:$B$29,0)),0)),IF(VLOOKUP($A196,Calendar!$A$1:$R$1377,18,0)=5,SUM(IFERROR(INDEX(Pension_Model!$D$2:$D$29,MATCH(H196,Pension_Model!$B$2:$B$29,0)),0),IFERROR(INDEX(Pension_Model!$D$2:$D$29,MATCH(H197,Pension_Model!$B$2:$B$29,0)),0),IFERROR(INDEX(Pension_Model!$D$2:$D$29,MATCH(H198,Pension_Model!$B$2:$B$29,0)),0),IFERROR(INDEX(Pension_Model!$D$2:$D$29,MATCH(H199,Pension_Model!$B$2:$B$29,0)),0),IFERROR(INDEX(Pension_Model!$D$2:$D$29,MATCH(H200,Pension_Model!$B$2:$B$29,0)),0)),0))))))</f>
        <v>0.05</v>
      </c>
      <c r="Q196" s="28">
        <f>Population_Data!$B$15*P196</f>
        <v>660600</v>
      </c>
      <c r="S196">
        <f t="shared" si="3"/>
        <v>1521284.3158402932</v>
      </c>
      <c r="U196" s="33">
        <f>S196/Population_Data!$B$19</f>
        <v>2.7559498475367629E-2</v>
      </c>
    </row>
    <row r="197" spans="1:21">
      <c r="A197" s="25">
        <f>Calendar!A197</f>
        <v>46430</v>
      </c>
      <c r="B197" t="str">
        <f>Calendar!L197</f>
        <v>Yes</v>
      </c>
      <c r="C197" t="str">
        <f>Calendar!O197</f>
        <v>No</v>
      </c>
      <c r="D197" t="str">
        <f>Calendar!P197</f>
        <v>No</v>
      </c>
      <c r="E197" t="str">
        <f>Calendar!Q197</f>
        <v>No</v>
      </c>
      <c r="F197" t="str">
        <f>Calendar!I197</f>
        <v>Friday</v>
      </c>
      <c r="G197">
        <f>Calendar!S197</f>
        <v>6</v>
      </c>
      <c r="H197">
        <f>Calendar!T197</f>
        <v>6</v>
      </c>
      <c r="I197" s="27">
        <f>IF(VLOOKUP(A197,Calendar!$A$1:$R$1377,18,0)=0,0,IF(VLOOKUP(A197,Calendar!$A$1:$R$1377,18,0)=1,INDEX(Monthly_Pay_Model!$A$9:$D$40,MATCH(TEXT(A197,"dd"),Monthly_Pay_Model!$C$9:$C$39,0),4),IF(VLOOKUP(A197,Calendar!$A$1:$R$1377,18,0)=2,SUM(INDEX(Monthly_Pay_Model!$A$9:$D$40,MATCH(TEXT(A197,"dd"),Monthly_Pay_Model!$C$9:$C$39,0),4),INDEX(Monthly_Pay_Model!$A$9:$D$40,MATCH(TEXT(A198,"dd"),Monthly_Pay_Model!$C$9:$C$39,0),4)),IF(VLOOKUP(A197,Calendar!$A$1:$R$1377,18,0)=3,SUM(INDEX(Monthly_Pay_Model!$A$9:$D$40,MATCH(TEXT(A197,"dd"),Monthly_Pay_Model!$C$9:$C$39,0),4),INDEX(Monthly_Pay_Model!$A$9:$D$40,MATCH(TEXT(A198,"dd"),Monthly_Pay_Model!$C$9:$C$39,0),4),INDEX(Monthly_Pay_Model!$A$9:$D$40,MATCH(TEXT(A199,"dd"),Monthly_Pay_Model!$C$9:$C$39,0),4)),IF(VLOOKUP(A197,Calendar!$A$1:$R$1377,18,0)=4,SUM(INDEX(Monthly_Pay_Model!$A$9:$D$40,MATCH(TEXT(A197,"dd"),Monthly_Pay_Model!$C$9:$C$39,0),4),INDEX(Monthly_Pay_Model!$A$9:$D$40,MATCH(TEXT(A198,"dd"),Monthly_Pay_Model!$C$9:$C$39,0),4),INDEX(Monthly_Pay_Model!$A$9:$D$40,MATCH(TEXT(A199,"dd"),Monthly_Pay_Model!$C$9:$C$39,0),4),INDEX(Monthly_Pay_Model!$A$9:$D$40,MATCH(TEXT(A200,"dd"),Monthly_Pay_Model!$C$9:$C$39,0),4)),IF(VLOOKUP(A197,Calendar!$A$1:$R$1377,18,0)=5,SUM(INDEX(Monthly_Pay_Model!$A$9:$D$40,MATCH(TEXT(A197,"dd"),Monthly_Pay_Model!$C$9:$C$39,0),4),INDEX(Monthly_Pay_Model!$A$9:$D$40,MATCH(TEXT(A198,"dd"),Monthly_Pay_Model!$C$9:$C$39,0),4),INDEX(Monthly_Pay_Model!$A$9:$D$40,MATCH(TEXT(A199,"dd"),Monthly_Pay_Model!$C$9:$C$39,0),4),INDEX(Monthly_Pay_Model!$A$9:$D$40,MATCH(TEXT(A200,"dd"),Monthly_Pay_Model!$C$9:$C$39,0),4),INDEX(Monthly_Pay_Model!$A$9:$D$40,MATCH(TEXT(A201,"dd"),Monthly_Pay_Model!$C$9:$C$39,0),4)),))))))</f>
        <v>3.2502617801047117E-3</v>
      </c>
      <c r="J197" s="33">
        <f>IF(C197="Yes",Monthly_Pay_Model!$D$2,0)
+IF(Calendar!N197="Yes",Monthly_Pay_Model!$D$3,0)
+IF(D197="Yes",Monthly_Pay_Model!$D$4,0)
+IF(E197="Yes",Monthly_Pay_Model!$D$5,0)</f>
        <v>0</v>
      </c>
      <c r="K197" s="27">
        <f>IF(VLOOKUP($A197,Calendar!$A$1:$R$1377,18,0)=0,0,IF(VLOOKUP($A197,Calendar!$A$1:$R$1377,18,0)=1,IFERROR(INDEX(Weekly_Model!$D$2:$D$9,MATCH(F197,Weekly_Model!$A$2:$A$9,0)),0),IF(VLOOKUP($A197,Calendar!$A$1:$R$1377,18,0)=2,SUM(IFERROR(INDEX(Weekly_Model!$D$2:$D$9,MATCH(F197,Weekly_Model!$A$2:$A$9,0)),0),IFERROR(INDEX(Weekly_Model!$D$2:$D$9,MATCH(F198,Weekly_Model!$A$2:$A$9,0)),0)),IF(VLOOKUP($A197,Calendar!$A$1:$R$1377,18,0)=3,SUM(IFERROR(INDEX(Weekly_Model!$D$2:$D$9,MATCH(F197,Weekly_Model!$A$2:$A$9,0)),0),IFERROR(INDEX(Weekly_Model!$D$2:$D$9,MATCH(F198,Weekly_Model!$A$2:$A$9,0)),0),IFERROR(INDEX(Weekly_Model!$D$2:$D$9,MATCH(F199,Weekly_Model!$A$2:$A$9,0)),0)),IF(VLOOKUP($A197,Calendar!$A$1:$R$1377,18,0)=4,SUM(IFERROR(INDEX(Weekly_Model!$D$2:$D$9,MATCH(F197,Weekly_Model!$A$2:$A$9,0)),0),IFERROR(INDEX(Weekly_Model!$D$2:$D$9,MATCH(F198,Weekly_Model!$A$2:$A$9,0)),0),IFERROR(INDEX(Weekly_Model!$D$2:$D$9,MATCH(F199,Weekly_Model!$A$2:$A$9,0)),0),IFERROR(INDEX(Weekly_Model!$D$2:$D$9,MATCH(F200,Weekly_Model!$A$2:$A$9,0)),0)),IF(VLOOKUP($A197,Calendar!$A$1:$R$1377,18,0)=5,SUM(IFERROR(INDEX(Weekly_Model!$D$2:$D$9,MATCH(F197,Weekly_Model!$A$2:$A$9,0)),0),IFERROR(INDEX(Weekly_Model!$D$2:$D$9,MATCH(F198,Weekly_Model!$A$2:$A$9,0)),0),IFERROR(INDEX(Weekly_Model!$D$2:$D$9,MATCH(F199,Weekly_Model!$A$2:$A$9,0)),0),IFERROR(INDEX(Weekly_Model!$D$2:$D$9,MATCH(F200,Weekly_Model!$A$2:$A$9,0)),0),IFERROR(INDEX(Weekly_Model!$D$2:$D$9,MATCH(F201,Weekly_Model!$A$2:$A$9,0)),0)),0))))))</f>
        <v>2.3200000000000002E-2</v>
      </c>
      <c r="L197" s="27">
        <f>IF(VLOOKUP($A197,Calendar!$A$1:$R$1377,18,0)=0,0,IF(VLOOKUP($A197,Calendar!$A$1:$R$1377,18,0)=1,IFERROR(INDEX(Fortnightly_Model!$D$2:$D$15,MATCH(G197,Fortnightly_Model!$B$2:$B$15,0)),0),IF(VLOOKUP($A197,Calendar!$A$1:$R$1377,18,0)=2,SUM(IFERROR(INDEX(Fortnightly_Model!$D$2:$D$15,MATCH(G197,Fortnightly_Model!$B$2:$B$15,0)),0),IFERROR(INDEX(Fortnightly_Model!$D$2:$D$15,MATCH(G198,Fortnightly_Model!$B$2:$B$15,0)),0)),IF(VLOOKUP($A197,Calendar!$A$1:$R$1377,18,0)=3,SUM(IFERROR(INDEX(Fortnightly_Model!$D$2:$D$15,MATCH(G197,Fortnightly_Model!$B$2:$B$15,0)),0),IFERROR(INDEX(Fortnightly_Model!$D$2:$D$15,MATCH(G198,Fortnightly_Model!$B$2:$B$15,0)),0),IFERROR(INDEX(Fortnightly_Model!$D$2:$D$15,MATCH(G199,Fortnightly_Model!$B$2:$B$15,0)),0)),IF(VLOOKUP($A197,Calendar!$A$1:$R$1377,18,0)=4,SUM(IFERROR(INDEX(Fortnightly_Model!$D$2:$D$15,MATCH(G197,Fortnightly_Model!$B$2:$B$15,0)),0),IFERROR(INDEX(Fortnightly_Model!$D$2:$D$15,MATCH(G198,Fortnightly_Model!$B$2:$B$15,0)),0),IFERROR(INDEX(Fortnightly_Model!$D$2:$D$15,MATCH(G199,Fortnightly_Model!$B$2:$B$15,0)),0),IFERROR(INDEX(Fortnightly_Model!$D$2:$D$15,MATCH(G200,Fortnightly_Model!$B$2:$B$15,0)),0)),IF(VLOOKUP($A197,Calendar!$A$1:$R$1377,18,0)=5,SUM(IFERROR(INDEX(Fortnightly_Model!$D$2:$D$15,MATCH(G197,Fortnightly_Model!$B$2:$B$15,0)),0),IFERROR(INDEX(Fortnightly_Model!$D$2:$D$15,MATCH(G198,Fortnightly_Model!$B$2:$B$15,0)),0),IFERROR(INDEX(Fortnightly_Model!$D$2:$D$15,MATCH(G199,Fortnightly_Model!$B$2:$B$15,0)),0),IFERROR(INDEX(Fortnightly_Model!$D$2:$D$15,MATCH(G200,Fortnightly_Model!$B$2:$B$15,0)),0),IFERROR(INDEX(Fortnightly_Model!$D$2:$D$15,MATCH(G201,Fortnightly_Model!$B$2:$B$15,0)),0)),0))))))</f>
        <v>3.2142856499999999E-3</v>
      </c>
      <c r="M197" s="27">
        <f>IF(VLOOKUP($A197,Calendar!$A$1:$R$1377,18,0)=0,0,IF(VLOOKUP($A197,Calendar!$A$1:$R$1377,18,0)=1,IFERROR(INDEX(FourWeekly_Model!$D$2:$D$29,MATCH(H197,FourWeekly_Model!$B$2:$B$29,0)),0),IF(VLOOKUP($A197,Calendar!$A$1:$R$1377,18,0)=2,SUM(IFERROR(INDEX(FourWeekly_Model!$D$2:$D$29,MATCH(H197,FourWeekly_Model!$B$2:$B$29,0)),0),IFERROR(INDEX(FourWeekly_Model!$D$2:$D$29,MATCH(H198,FourWeekly_Model!$B$2:$B$29,0)),0)),IF(VLOOKUP($A197,Calendar!$A$1:$R$1377,18,0)=3,SUM(IFERROR(INDEX(FourWeekly_Model!$D$2:$D$29,MATCH(H197,FourWeekly_Model!$B$2:$B$29,0)),0),IFERROR(INDEX(FourWeekly_Model!$D$2:$D$29,MATCH(H198,FourWeekly_Model!$B$2:$B$29,0)),0),IFERROR(INDEX(FourWeekly_Model!$D$2:$D$29,MATCH(H199,FourWeekly_Model!$B$2:$B$29,0)),0)),IF(VLOOKUP($A197,Calendar!$A$1:$R$1377,18,0)=4,SUM(IFERROR(INDEX(FourWeekly_Model!$D$2:$D$29,MATCH(H197,FourWeekly_Model!$B$2:$B$29,0)),0),IFERROR(INDEX(FourWeekly_Model!$D$2:$D$29,MATCH(H198,FourWeekly_Model!$B$2:$B$29,0)),0),IFERROR(INDEX(FourWeekly_Model!$D$2:$D$29,MATCH(H199,FourWeekly_Model!$B$2:$B$29,0)),0),IFERROR(INDEX(FourWeekly_Model!$D$2:$D$29,MATCH(H200,FourWeekly_Model!$B$2:$B$29,0)),0)),IF(VLOOKUP($A197,Calendar!$A$1:$R$1377,18,0)=5,SUM(IFERROR(INDEX(FourWeekly_Model!$D$2:$D$29,MATCH(H197,FourWeekly_Model!$B$2:$B$29,0)),0),IFERROR(INDEX(FourWeekly_Model!$D$2:$D$29,MATCH(H198,FourWeekly_Model!$B$2:$B$29,0)),0),IFERROR(INDEX(FourWeekly_Model!$D$2:$D$29,MATCH(H199,FourWeekly_Model!$B$2:$B$29,0)),0),IFERROR(INDEX(FourWeekly_Model!$D$2:$D$29,MATCH(H200,FourWeekly_Model!$B$2:$B$29,0)),0),IFERROR(INDEX(FourWeekly_Model!$D$2:$D$29,MATCH(H201,FourWeekly_Model!$B$2:$B$29,0)),0)),0))))))</f>
        <v>9.9642859800000011E-3</v>
      </c>
      <c r="N197" s="27">
        <f>SUM(I197:M197)</f>
        <v>3.9628833410104716E-2</v>
      </c>
      <c r="O197" s="28">
        <f>Population_Data!$B$8*N197</f>
        <v>1200753.6523261729</v>
      </c>
      <c r="P197" s="27">
        <f>IF(VLOOKUP($A197,Calendar!$A$1:$R$1377,18,0)=0,0,IF(VLOOKUP($A197,Calendar!$A$1:$R$1377,18,0)=1,IFERROR(INDEX(Pension_Model!$D$2:$D$29,MATCH(H197,Pension_Model!$B$2:$B$29,0)),0),IF(VLOOKUP($A197,Calendar!$A$1:$R$1377,18,0)=2,SUM(IFERROR(INDEX(Pension_Model!$D$2:$D$29,MATCH(H197,Pension_Model!$B$2:$B$29,0)),0),IFERROR(INDEX(Pension_Model!$D$2:$D$29,MATCH(H198,Pension_Model!$B$2:$B$29,0)),0)),IF(VLOOKUP($A197,Calendar!$A$1:$R$1377,18,0)=3,SUM(IFERROR(INDEX(Pension_Model!$D$2:$D$29,MATCH(H197,Pension_Model!$B$2:$B$29,0)),0),IFERROR(INDEX(Pension_Model!$D$2:$D$29,MATCH(H198,Pension_Model!$B$2:$B$29,0)),0),IFERROR(INDEX(Pension_Model!$D$2:$D$29,MATCH(H199,Pension_Model!$B$2:$B$29,0)),0)),IF(VLOOKUP($A197,Calendar!$A$1:$R$1377,18,0)=4,SUM(IFERROR(INDEX(Pension_Model!$D$2:$D$29,MATCH(H197,Pension_Model!$B$2:$B$29,0)),0),IFERROR(INDEX(Pension_Model!$D$2:$D$29,MATCH(H198,Pension_Model!$B$2:$B$29,0)),0),IFERROR(INDEX(Pension_Model!$D$2:$D$29,MATCH(H199,Pension_Model!$B$2:$B$29,0)),0),IFERROR(INDEX(Pension_Model!$D$2:$D$29,MATCH(H200,Pension_Model!$B$2:$B$29,0)),0)),IF(VLOOKUP($A197,Calendar!$A$1:$R$1377,18,0)=5,SUM(IFERROR(INDEX(Pension_Model!$D$2:$D$29,MATCH(H197,Pension_Model!$B$2:$B$29,0)),0),IFERROR(INDEX(Pension_Model!$D$2:$D$29,MATCH(H198,Pension_Model!$B$2:$B$29,0)),0),IFERROR(INDEX(Pension_Model!$D$2:$D$29,MATCH(H199,Pension_Model!$B$2:$B$29,0)),0),IFERROR(INDEX(Pension_Model!$D$2:$D$29,MATCH(H200,Pension_Model!$B$2:$B$29,0)),0),IFERROR(INDEX(Pension_Model!$D$2:$D$29,MATCH(H201,Pension_Model!$B$2:$B$29,0)),0)),0))))))</f>
        <v>0.05</v>
      </c>
      <c r="Q197" s="28">
        <f>Population_Data!$B$15*P197</f>
        <v>660600</v>
      </c>
      <c r="S197">
        <f t="shared" si="3"/>
        <v>1861353.6523261729</v>
      </c>
      <c r="U197" s="33">
        <f>S197/Population_Data!$B$19</f>
        <v>3.3720174860981396E-2</v>
      </c>
    </row>
    <row r="198" spans="1:21">
      <c r="A198" s="25">
        <f>Calendar!A198</f>
        <v>46431</v>
      </c>
      <c r="B198" t="str">
        <f>Calendar!L198</f>
        <v>No</v>
      </c>
      <c r="C198" t="str">
        <f>Calendar!O198</f>
        <v>No</v>
      </c>
      <c r="D198" t="str">
        <f>Calendar!P198</f>
        <v>No</v>
      </c>
      <c r="E198" t="str">
        <f>Calendar!Q198</f>
        <v>No</v>
      </c>
      <c r="F198" t="str">
        <f>Calendar!I198</f>
        <v>Saturday</v>
      </c>
      <c r="G198">
        <f>Calendar!S198</f>
        <v>7</v>
      </c>
      <c r="H198">
        <f>Calendar!T198</f>
        <v>7</v>
      </c>
      <c r="I198" s="27">
        <f>IF(VLOOKUP(A198,Calendar!$A$1:$R$1377,18,0)=0,0,IF(VLOOKUP(A198,Calendar!$A$1:$R$1377,18,0)=1,INDEX(Monthly_Pay_Model!$A$9:$D$40,MATCH(TEXT(A198,"dd"),Monthly_Pay_Model!$C$9:$C$39,0),4),IF(VLOOKUP(A198,Calendar!$A$1:$R$1377,18,0)=2,SUM(INDEX(Monthly_Pay_Model!$A$9:$D$40,MATCH(TEXT(A198,"dd"),Monthly_Pay_Model!$C$9:$C$39,0),4),INDEX(Monthly_Pay_Model!$A$9:$D$40,MATCH(TEXT(A199,"dd"),Monthly_Pay_Model!$C$9:$C$39,0),4)),IF(VLOOKUP(A198,Calendar!$A$1:$R$1377,18,0)=3,SUM(INDEX(Monthly_Pay_Model!$A$9:$D$40,MATCH(TEXT(A198,"dd"),Monthly_Pay_Model!$C$9:$C$39,0),4),INDEX(Monthly_Pay_Model!$A$9:$D$40,MATCH(TEXT(A199,"dd"),Monthly_Pay_Model!$C$9:$C$39,0),4),INDEX(Monthly_Pay_Model!$A$9:$D$40,MATCH(TEXT(A200,"dd"),Monthly_Pay_Model!$C$9:$C$39,0),4)),IF(VLOOKUP(A198,Calendar!$A$1:$R$1377,18,0)=4,SUM(INDEX(Monthly_Pay_Model!$A$9:$D$40,MATCH(TEXT(A198,"dd"),Monthly_Pay_Model!$C$9:$C$39,0),4),INDEX(Monthly_Pay_Model!$A$9:$D$40,MATCH(TEXT(A199,"dd"),Monthly_Pay_Model!$C$9:$C$39,0),4),INDEX(Monthly_Pay_Model!$A$9:$D$40,MATCH(TEXT(A200,"dd"),Monthly_Pay_Model!$C$9:$C$39,0),4),INDEX(Monthly_Pay_Model!$A$9:$D$40,MATCH(TEXT(A201,"dd"),Monthly_Pay_Model!$C$9:$C$39,0),4)),IF(VLOOKUP(A198,Calendar!$A$1:$R$1377,18,0)=5,SUM(INDEX(Monthly_Pay_Model!$A$9:$D$40,MATCH(TEXT(A198,"dd"),Monthly_Pay_Model!$C$9:$C$39,0),4),INDEX(Monthly_Pay_Model!$A$9:$D$40,MATCH(TEXT(A199,"dd"),Monthly_Pay_Model!$C$9:$C$39,0),4),INDEX(Monthly_Pay_Model!$A$9:$D$40,MATCH(TEXT(A200,"dd"),Monthly_Pay_Model!$C$9:$C$39,0),4),INDEX(Monthly_Pay_Model!$A$9:$D$40,MATCH(TEXT(A201,"dd"),Monthly_Pay_Model!$C$9:$C$39,0),4),INDEX(Monthly_Pay_Model!$A$9:$D$40,MATCH(TEXT(A202,"dd"),Monthly_Pay_Model!$C$9:$C$39,0),4)),))))))</f>
        <v>0</v>
      </c>
      <c r="J198" s="33">
        <f>IF(C198="Yes",Monthly_Pay_Model!$D$2,0)
+IF(Calendar!N198="Yes",Monthly_Pay_Model!$D$3,0)
+IF(D198="Yes",Monthly_Pay_Model!$D$4,0)
+IF(E198="Yes",Monthly_Pay_Model!$D$5,0)</f>
        <v>0</v>
      </c>
      <c r="K198" s="27">
        <f>IF(VLOOKUP($A198,Calendar!$A$1:$R$1377,18,0)=0,0,IF(VLOOKUP($A198,Calendar!$A$1:$R$1377,18,0)=1,IFERROR(INDEX(Weekly_Model!$D$2:$D$9,MATCH(F198,Weekly_Model!$A$2:$A$9,0)),0),IF(VLOOKUP($A198,Calendar!$A$1:$R$1377,18,0)=2,SUM(IFERROR(INDEX(Weekly_Model!$D$2:$D$9,MATCH(F198,Weekly_Model!$A$2:$A$9,0)),0),IFERROR(INDEX(Weekly_Model!$D$2:$D$9,MATCH(F199,Weekly_Model!$A$2:$A$9,0)),0)),IF(VLOOKUP($A198,Calendar!$A$1:$R$1377,18,0)=3,SUM(IFERROR(INDEX(Weekly_Model!$D$2:$D$9,MATCH(F198,Weekly_Model!$A$2:$A$9,0)),0),IFERROR(INDEX(Weekly_Model!$D$2:$D$9,MATCH(F199,Weekly_Model!$A$2:$A$9,0)),0),IFERROR(INDEX(Weekly_Model!$D$2:$D$9,MATCH(F200,Weekly_Model!$A$2:$A$9,0)),0)),IF(VLOOKUP($A198,Calendar!$A$1:$R$1377,18,0)=4,SUM(IFERROR(INDEX(Weekly_Model!$D$2:$D$9,MATCH(F198,Weekly_Model!$A$2:$A$9,0)),0),IFERROR(INDEX(Weekly_Model!$D$2:$D$9,MATCH(F199,Weekly_Model!$A$2:$A$9,0)),0),IFERROR(INDEX(Weekly_Model!$D$2:$D$9,MATCH(F200,Weekly_Model!$A$2:$A$9,0)),0),IFERROR(INDEX(Weekly_Model!$D$2:$D$9,MATCH(F201,Weekly_Model!$A$2:$A$9,0)),0)),IF(VLOOKUP($A198,Calendar!$A$1:$R$1377,18,0)=5,SUM(IFERROR(INDEX(Weekly_Model!$D$2:$D$9,MATCH(F198,Weekly_Model!$A$2:$A$9,0)),0),IFERROR(INDEX(Weekly_Model!$D$2:$D$9,MATCH(F199,Weekly_Model!$A$2:$A$9,0)),0),IFERROR(INDEX(Weekly_Model!$D$2:$D$9,MATCH(F200,Weekly_Model!$A$2:$A$9,0)),0),IFERROR(INDEX(Weekly_Model!$D$2:$D$9,MATCH(F201,Weekly_Model!$A$2:$A$9,0)),0),IFERROR(INDEX(Weekly_Model!$D$2:$D$9,MATCH(F202,Weekly_Model!$A$2:$A$9,0)),0)),0))))))</f>
        <v>0</v>
      </c>
      <c r="L198" s="27">
        <f>IF(VLOOKUP($A198,Calendar!$A$1:$R$1377,18,0)=0,0,IF(VLOOKUP($A198,Calendar!$A$1:$R$1377,18,0)=1,IFERROR(INDEX(Fortnightly_Model!$D$2:$D$15,MATCH(G198,Fortnightly_Model!$B$2:$B$15,0)),0),IF(VLOOKUP($A198,Calendar!$A$1:$R$1377,18,0)=2,SUM(IFERROR(INDEX(Fortnightly_Model!$D$2:$D$15,MATCH(G198,Fortnightly_Model!$B$2:$B$15,0)),0),IFERROR(INDEX(Fortnightly_Model!$D$2:$D$15,MATCH(G199,Fortnightly_Model!$B$2:$B$15,0)),0)),IF(VLOOKUP($A198,Calendar!$A$1:$R$1377,18,0)=3,SUM(IFERROR(INDEX(Fortnightly_Model!$D$2:$D$15,MATCH(G198,Fortnightly_Model!$B$2:$B$15,0)),0),IFERROR(INDEX(Fortnightly_Model!$D$2:$D$15,MATCH(G199,Fortnightly_Model!$B$2:$B$15,0)),0),IFERROR(INDEX(Fortnightly_Model!$D$2:$D$15,MATCH(G200,Fortnightly_Model!$B$2:$B$15,0)),0)),IF(VLOOKUP($A198,Calendar!$A$1:$R$1377,18,0)=4,SUM(IFERROR(INDEX(Fortnightly_Model!$D$2:$D$15,MATCH(G198,Fortnightly_Model!$B$2:$B$15,0)),0),IFERROR(INDEX(Fortnightly_Model!$D$2:$D$15,MATCH(G199,Fortnightly_Model!$B$2:$B$15,0)),0),IFERROR(INDEX(Fortnightly_Model!$D$2:$D$15,MATCH(G200,Fortnightly_Model!$B$2:$B$15,0)),0),IFERROR(INDEX(Fortnightly_Model!$D$2:$D$15,MATCH(G201,Fortnightly_Model!$B$2:$B$15,0)),0)),IF(VLOOKUP($A198,Calendar!$A$1:$R$1377,18,0)=5,SUM(IFERROR(INDEX(Fortnightly_Model!$D$2:$D$15,MATCH(G198,Fortnightly_Model!$B$2:$B$15,0)),0),IFERROR(INDEX(Fortnightly_Model!$D$2:$D$15,MATCH(G199,Fortnightly_Model!$B$2:$B$15,0)),0),IFERROR(INDEX(Fortnightly_Model!$D$2:$D$15,MATCH(G200,Fortnightly_Model!$B$2:$B$15,0)),0),IFERROR(INDEX(Fortnightly_Model!$D$2:$D$15,MATCH(G201,Fortnightly_Model!$B$2:$B$15,0)),0),IFERROR(INDEX(Fortnightly_Model!$D$2:$D$15,MATCH(G202,Fortnightly_Model!$B$2:$B$15,0)),0)),0))))))</f>
        <v>0</v>
      </c>
      <c r="M198" s="27">
        <f>IF(VLOOKUP($A198,Calendar!$A$1:$R$1377,18,0)=0,0,IF(VLOOKUP($A198,Calendar!$A$1:$R$1377,18,0)=1,IFERROR(INDEX(FourWeekly_Model!$D$2:$D$29,MATCH(H198,FourWeekly_Model!$B$2:$B$29,0)),0),IF(VLOOKUP($A198,Calendar!$A$1:$R$1377,18,0)=2,SUM(IFERROR(INDEX(FourWeekly_Model!$D$2:$D$29,MATCH(H198,FourWeekly_Model!$B$2:$B$29,0)),0),IFERROR(INDEX(FourWeekly_Model!$D$2:$D$29,MATCH(H199,FourWeekly_Model!$B$2:$B$29,0)),0)),IF(VLOOKUP($A198,Calendar!$A$1:$R$1377,18,0)=3,SUM(IFERROR(INDEX(FourWeekly_Model!$D$2:$D$29,MATCH(H198,FourWeekly_Model!$B$2:$B$29,0)),0),IFERROR(INDEX(FourWeekly_Model!$D$2:$D$29,MATCH(H199,FourWeekly_Model!$B$2:$B$29,0)),0),IFERROR(INDEX(FourWeekly_Model!$D$2:$D$29,MATCH(H200,FourWeekly_Model!$B$2:$B$29,0)),0)),IF(VLOOKUP($A198,Calendar!$A$1:$R$1377,18,0)=4,SUM(IFERROR(INDEX(FourWeekly_Model!$D$2:$D$29,MATCH(H198,FourWeekly_Model!$B$2:$B$29,0)),0),IFERROR(INDEX(FourWeekly_Model!$D$2:$D$29,MATCH(H199,FourWeekly_Model!$B$2:$B$29,0)),0),IFERROR(INDEX(FourWeekly_Model!$D$2:$D$29,MATCH(H200,FourWeekly_Model!$B$2:$B$29,0)),0),IFERROR(INDEX(FourWeekly_Model!$D$2:$D$29,MATCH(H201,FourWeekly_Model!$B$2:$B$29,0)),0)),IF(VLOOKUP($A198,Calendar!$A$1:$R$1377,18,0)=5,SUM(IFERROR(INDEX(FourWeekly_Model!$D$2:$D$29,MATCH(H198,FourWeekly_Model!$B$2:$B$29,0)),0),IFERROR(INDEX(FourWeekly_Model!$D$2:$D$29,MATCH(H199,FourWeekly_Model!$B$2:$B$29,0)),0),IFERROR(INDEX(FourWeekly_Model!$D$2:$D$29,MATCH(H200,FourWeekly_Model!$B$2:$B$29,0)),0),IFERROR(INDEX(FourWeekly_Model!$D$2:$D$29,MATCH(H201,FourWeekly_Model!$B$2:$B$29,0)),0),IFERROR(INDEX(FourWeekly_Model!$D$2:$D$29,MATCH(H202,FourWeekly_Model!$B$2:$B$29,0)),0)),0))))))</f>
        <v>0</v>
      </c>
      <c r="N198" s="27">
        <f>SUM(I198:M198)</f>
        <v>0</v>
      </c>
      <c r="O198" s="28">
        <f>Population_Data!$B$8*N198</f>
        <v>0</v>
      </c>
      <c r="P198" s="27">
        <f>IF(VLOOKUP($A198,Calendar!$A$1:$R$1377,18,0)=0,0,IF(VLOOKUP($A198,Calendar!$A$1:$R$1377,18,0)=1,IFERROR(INDEX(Pension_Model!$D$2:$D$29,MATCH(H198,Pension_Model!$B$2:$B$29,0)),0),IF(VLOOKUP($A198,Calendar!$A$1:$R$1377,18,0)=2,SUM(IFERROR(INDEX(Pension_Model!$D$2:$D$29,MATCH(H198,Pension_Model!$B$2:$B$29,0)),0),IFERROR(INDEX(Pension_Model!$D$2:$D$29,MATCH(H199,Pension_Model!$B$2:$B$29,0)),0)),IF(VLOOKUP($A198,Calendar!$A$1:$R$1377,18,0)=3,SUM(IFERROR(INDEX(Pension_Model!$D$2:$D$29,MATCH(H198,Pension_Model!$B$2:$B$29,0)),0),IFERROR(INDEX(Pension_Model!$D$2:$D$29,MATCH(H199,Pension_Model!$B$2:$B$29,0)),0),IFERROR(INDEX(Pension_Model!$D$2:$D$29,MATCH(H200,Pension_Model!$B$2:$B$29,0)),0)),IF(VLOOKUP($A198,Calendar!$A$1:$R$1377,18,0)=4,SUM(IFERROR(INDEX(Pension_Model!$D$2:$D$29,MATCH(H198,Pension_Model!$B$2:$B$29,0)),0),IFERROR(INDEX(Pension_Model!$D$2:$D$29,MATCH(H199,Pension_Model!$B$2:$B$29,0)),0),IFERROR(INDEX(Pension_Model!$D$2:$D$29,MATCH(H200,Pension_Model!$B$2:$B$29,0)),0),IFERROR(INDEX(Pension_Model!$D$2:$D$29,MATCH(H201,Pension_Model!$B$2:$B$29,0)),0)),IF(VLOOKUP($A198,Calendar!$A$1:$R$1377,18,0)=5,SUM(IFERROR(INDEX(Pension_Model!$D$2:$D$29,MATCH(H198,Pension_Model!$B$2:$B$29,0)),0),IFERROR(INDEX(Pension_Model!$D$2:$D$29,MATCH(H199,Pension_Model!$B$2:$B$29,0)),0),IFERROR(INDEX(Pension_Model!$D$2:$D$29,MATCH(H200,Pension_Model!$B$2:$B$29,0)),0),IFERROR(INDEX(Pension_Model!$D$2:$D$29,MATCH(H201,Pension_Model!$B$2:$B$29,0)),0),IFERROR(INDEX(Pension_Model!$D$2:$D$29,MATCH(H202,Pension_Model!$B$2:$B$29,0)),0)),0))))))</f>
        <v>0</v>
      </c>
      <c r="Q198" s="28">
        <f>Population_Data!$B$15*P198</f>
        <v>0</v>
      </c>
      <c r="S198">
        <f t="shared" si="3"/>
        <v>0</v>
      </c>
      <c r="U198" s="33">
        <f>S198/Population_Data!$B$19</f>
        <v>0</v>
      </c>
    </row>
    <row r="199" spans="1:21">
      <c r="A199" s="25">
        <f>Calendar!A199</f>
        <v>46432</v>
      </c>
      <c r="B199" t="str">
        <f>Calendar!L199</f>
        <v>No</v>
      </c>
      <c r="C199" t="str">
        <f>Calendar!O199</f>
        <v>No</v>
      </c>
      <c r="D199" t="str">
        <f>Calendar!P199</f>
        <v>No</v>
      </c>
      <c r="E199" t="str">
        <f>Calendar!Q199</f>
        <v>No</v>
      </c>
      <c r="F199" t="str">
        <f>Calendar!I199</f>
        <v>Sunday</v>
      </c>
      <c r="G199">
        <f>Calendar!S199</f>
        <v>8</v>
      </c>
      <c r="H199">
        <f>Calendar!T199</f>
        <v>8</v>
      </c>
      <c r="I199" s="27">
        <f>IF(VLOOKUP(A199,Calendar!$A$1:$R$1377,18,0)=0,0,IF(VLOOKUP(A199,Calendar!$A$1:$R$1377,18,0)=1,INDEX(Monthly_Pay_Model!$A$9:$D$40,MATCH(TEXT(A199,"dd"),Monthly_Pay_Model!$C$9:$C$39,0),4),IF(VLOOKUP(A199,Calendar!$A$1:$R$1377,18,0)=2,SUM(INDEX(Monthly_Pay_Model!$A$9:$D$40,MATCH(TEXT(A199,"dd"),Monthly_Pay_Model!$C$9:$C$39,0),4),INDEX(Monthly_Pay_Model!$A$9:$D$40,MATCH(TEXT(A200,"dd"),Monthly_Pay_Model!$C$9:$C$39,0),4)),IF(VLOOKUP(A199,Calendar!$A$1:$R$1377,18,0)=3,SUM(INDEX(Monthly_Pay_Model!$A$9:$D$40,MATCH(TEXT(A199,"dd"),Monthly_Pay_Model!$C$9:$C$39,0),4),INDEX(Monthly_Pay_Model!$A$9:$D$40,MATCH(TEXT(A200,"dd"),Monthly_Pay_Model!$C$9:$C$39,0),4),INDEX(Monthly_Pay_Model!$A$9:$D$40,MATCH(TEXT(A201,"dd"),Monthly_Pay_Model!$C$9:$C$39,0),4)),IF(VLOOKUP(A199,Calendar!$A$1:$R$1377,18,0)=4,SUM(INDEX(Monthly_Pay_Model!$A$9:$D$40,MATCH(TEXT(A199,"dd"),Monthly_Pay_Model!$C$9:$C$39,0),4),INDEX(Monthly_Pay_Model!$A$9:$D$40,MATCH(TEXT(A200,"dd"),Monthly_Pay_Model!$C$9:$C$39,0),4),INDEX(Monthly_Pay_Model!$A$9:$D$40,MATCH(TEXT(A201,"dd"),Monthly_Pay_Model!$C$9:$C$39,0),4),INDEX(Monthly_Pay_Model!$A$9:$D$40,MATCH(TEXT(A202,"dd"),Monthly_Pay_Model!$C$9:$C$39,0),4)),IF(VLOOKUP(A199,Calendar!$A$1:$R$1377,18,0)=5,SUM(INDEX(Monthly_Pay_Model!$A$9:$D$40,MATCH(TEXT(A199,"dd"),Monthly_Pay_Model!$C$9:$C$39,0),4),INDEX(Monthly_Pay_Model!$A$9:$D$40,MATCH(TEXT(A200,"dd"),Monthly_Pay_Model!$C$9:$C$39,0),4),INDEX(Monthly_Pay_Model!$A$9:$D$40,MATCH(TEXT(A201,"dd"),Monthly_Pay_Model!$C$9:$C$39,0),4),INDEX(Monthly_Pay_Model!$A$9:$D$40,MATCH(TEXT(A202,"dd"),Monthly_Pay_Model!$C$9:$C$39,0),4),INDEX(Monthly_Pay_Model!$A$9:$D$40,MATCH(TEXT(A203,"dd"),Monthly_Pay_Model!$C$9:$C$39,0),4)),))))))</f>
        <v>0</v>
      </c>
      <c r="J199" s="33">
        <f>IF(C199="Yes",Monthly_Pay_Model!$D$2,0)
+IF(Calendar!N199="Yes",Monthly_Pay_Model!$D$3,0)
+IF(D199="Yes",Monthly_Pay_Model!$D$4,0)
+IF(E199="Yes",Monthly_Pay_Model!$D$5,0)</f>
        <v>0</v>
      </c>
      <c r="K199" s="27">
        <f>IF(VLOOKUP($A199,Calendar!$A$1:$R$1377,18,0)=0,0,IF(VLOOKUP($A199,Calendar!$A$1:$R$1377,18,0)=1,IFERROR(INDEX(Weekly_Model!$D$2:$D$9,MATCH(F199,Weekly_Model!$A$2:$A$9,0)),0),IF(VLOOKUP($A199,Calendar!$A$1:$R$1377,18,0)=2,SUM(IFERROR(INDEX(Weekly_Model!$D$2:$D$9,MATCH(F199,Weekly_Model!$A$2:$A$9,0)),0),IFERROR(INDEX(Weekly_Model!$D$2:$D$9,MATCH(F200,Weekly_Model!$A$2:$A$9,0)),0)),IF(VLOOKUP($A199,Calendar!$A$1:$R$1377,18,0)=3,SUM(IFERROR(INDEX(Weekly_Model!$D$2:$D$9,MATCH(F199,Weekly_Model!$A$2:$A$9,0)),0),IFERROR(INDEX(Weekly_Model!$D$2:$D$9,MATCH(F200,Weekly_Model!$A$2:$A$9,0)),0),IFERROR(INDEX(Weekly_Model!$D$2:$D$9,MATCH(F201,Weekly_Model!$A$2:$A$9,0)),0)),IF(VLOOKUP($A199,Calendar!$A$1:$R$1377,18,0)=4,SUM(IFERROR(INDEX(Weekly_Model!$D$2:$D$9,MATCH(F199,Weekly_Model!$A$2:$A$9,0)),0),IFERROR(INDEX(Weekly_Model!$D$2:$D$9,MATCH(F200,Weekly_Model!$A$2:$A$9,0)),0),IFERROR(INDEX(Weekly_Model!$D$2:$D$9,MATCH(F201,Weekly_Model!$A$2:$A$9,0)),0),IFERROR(INDEX(Weekly_Model!$D$2:$D$9,MATCH(F202,Weekly_Model!$A$2:$A$9,0)),0)),IF(VLOOKUP($A199,Calendar!$A$1:$R$1377,18,0)=5,SUM(IFERROR(INDEX(Weekly_Model!$D$2:$D$9,MATCH(F199,Weekly_Model!$A$2:$A$9,0)),0),IFERROR(INDEX(Weekly_Model!$D$2:$D$9,MATCH(F200,Weekly_Model!$A$2:$A$9,0)),0),IFERROR(INDEX(Weekly_Model!$D$2:$D$9,MATCH(F201,Weekly_Model!$A$2:$A$9,0)),0),IFERROR(INDEX(Weekly_Model!$D$2:$D$9,MATCH(F202,Weekly_Model!$A$2:$A$9,0)),0),IFERROR(INDEX(Weekly_Model!$D$2:$D$9,MATCH(F203,Weekly_Model!$A$2:$A$9,0)),0)),0))))))</f>
        <v>0</v>
      </c>
      <c r="L199" s="27">
        <f>IF(VLOOKUP($A199,Calendar!$A$1:$R$1377,18,0)=0,0,IF(VLOOKUP($A199,Calendar!$A$1:$R$1377,18,0)=1,IFERROR(INDEX(Fortnightly_Model!$D$2:$D$15,MATCH(G199,Fortnightly_Model!$B$2:$B$15,0)),0),IF(VLOOKUP($A199,Calendar!$A$1:$R$1377,18,0)=2,SUM(IFERROR(INDEX(Fortnightly_Model!$D$2:$D$15,MATCH(G199,Fortnightly_Model!$B$2:$B$15,0)),0),IFERROR(INDEX(Fortnightly_Model!$D$2:$D$15,MATCH(G200,Fortnightly_Model!$B$2:$B$15,0)),0)),IF(VLOOKUP($A199,Calendar!$A$1:$R$1377,18,0)=3,SUM(IFERROR(INDEX(Fortnightly_Model!$D$2:$D$15,MATCH(G199,Fortnightly_Model!$B$2:$B$15,0)),0),IFERROR(INDEX(Fortnightly_Model!$D$2:$D$15,MATCH(G200,Fortnightly_Model!$B$2:$B$15,0)),0),IFERROR(INDEX(Fortnightly_Model!$D$2:$D$15,MATCH(G201,Fortnightly_Model!$B$2:$B$15,0)),0)),IF(VLOOKUP($A199,Calendar!$A$1:$R$1377,18,0)=4,SUM(IFERROR(INDEX(Fortnightly_Model!$D$2:$D$15,MATCH(G199,Fortnightly_Model!$B$2:$B$15,0)),0),IFERROR(INDEX(Fortnightly_Model!$D$2:$D$15,MATCH(G200,Fortnightly_Model!$B$2:$B$15,0)),0),IFERROR(INDEX(Fortnightly_Model!$D$2:$D$15,MATCH(G201,Fortnightly_Model!$B$2:$B$15,0)),0),IFERROR(INDEX(Fortnightly_Model!$D$2:$D$15,MATCH(G202,Fortnightly_Model!$B$2:$B$15,0)),0)),IF(VLOOKUP($A199,Calendar!$A$1:$R$1377,18,0)=5,SUM(IFERROR(INDEX(Fortnightly_Model!$D$2:$D$15,MATCH(G199,Fortnightly_Model!$B$2:$B$15,0)),0),IFERROR(INDEX(Fortnightly_Model!$D$2:$D$15,MATCH(G200,Fortnightly_Model!$B$2:$B$15,0)),0),IFERROR(INDEX(Fortnightly_Model!$D$2:$D$15,MATCH(G201,Fortnightly_Model!$B$2:$B$15,0)),0),IFERROR(INDEX(Fortnightly_Model!$D$2:$D$15,MATCH(G202,Fortnightly_Model!$B$2:$B$15,0)),0),IFERROR(INDEX(Fortnightly_Model!$D$2:$D$15,MATCH(G203,Fortnightly_Model!$B$2:$B$15,0)),0)),0))))))</f>
        <v>0</v>
      </c>
      <c r="M199" s="27">
        <f>IF(VLOOKUP($A199,Calendar!$A$1:$R$1377,18,0)=0,0,IF(VLOOKUP($A199,Calendar!$A$1:$R$1377,18,0)=1,IFERROR(INDEX(FourWeekly_Model!$D$2:$D$29,MATCH(H199,FourWeekly_Model!$B$2:$B$29,0)),0),IF(VLOOKUP($A199,Calendar!$A$1:$R$1377,18,0)=2,SUM(IFERROR(INDEX(FourWeekly_Model!$D$2:$D$29,MATCH(H199,FourWeekly_Model!$B$2:$B$29,0)),0),IFERROR(INDEX(FourWeekly_Model!$D$2:$D$29,MATCH(H200,FourWeekly_Model!$B$2:$B$29,0)),0)),IF(VLOOKUP($A199,Calendar!$A$1:$R$1377,18,0)=3,SUM(IFERROR(INDEX(FourWeekly_Model!$D$2:$D$29,MATCH(H199,FourWeekly_Model!$B$2:$B$29,0)),0),IFERROR(INDEX(FourWeekly_Model!$D$2:$D$29,MATCH(H200,FourWeekly_Model!$B$2:$B$29,0)),0),IFERROR(INDEX(FourWeekly_Model!$D$2:$D$29,MATCH(H201,FourWeekly_Model!$B$2:$B$29,0)),0)),IF(VLOOKUP($A199,Calendar!$A$1:$R$1377,18,0)=4,SUM(IFERROR(INDEX(FourWeekly_Model!$D$2:$D$29,MATCH(H199,FourWeekly_Model!$B$2:$B$29,0)),0),IFERROR(INDEX(FourWeekly_Model!$D$2:$D$29,MATCH(H200,FourWeekly_Model!$B$2:$B$29,0)),0),IFERROR(INDEX(FourWeekly_Model!$D$2:$D$29,MATCH(H201,FourWeekly_Model!$B$2:$B$29,0)),0),IFERROR(INDEX(FourWeekly_Model!$D$2:$D$29,MATCH(H202,FourWeekly_Model!$B$2:$B$29,0)),0)),IF(VLOOKUP($A199,Calendar!$A$1:$R$1377,18,0)=5,SUM(IFERROR(INDEX(FourWeekly_Model!$D$2:$D$29,MATCH(H199,FourWeekly_Model!$B$2:$B$29,0)),0),IFERROR(INDEX(FourWeekly_Model!$D$2:$D$29,MATCH(H200,FourWeekly_Model!$B$2:$B$29,0)),0),IFERROR(INDEX(FourWeekly_Model!$D$2:$D$29,MATCH(H201,FourWeekly_Model!$B$2:$B$29,0)),0),IFERROR(INDEX(FourWeekly_Model!$D$2:$D$29,MATCH(H202,FourWeekly_Model!$B$2:$B$29,0)),0),IFERROR(INDEX(FourWeekly_Model!$D$2:$D$29,MATCH(H203,FourWeekly_Model!$B$2:$B$29,0)),0)),0))))))</f>
        <v>0</v>
      </c>
      <c r="N199" s="27">
        <f>SUM(I199:M199)</f>
        <v>0</v>
      </c>
      <c r="O199" s="28">
        <f>Population_Data!$B$8*N199</f>
        <v>0</v>
      </c>
      <c r="P199" s="27">
        <f>IF(VLOOKUP($A199,Calendar!$A$1:$R$1377,18,0)=0,0,IF(VLOOKUP($A199,Calendar!$A$1:$R$1377,18,0)=1,IFERROR(INDEX(Pension_Model!$D$2:$D$29,MATCH(H199,Pension_Model!$B$2:$B$29,0)),0),IF(VLOOKUP($A199,Calendar!$A$1:$R$1377,18,0)=2,SUM(IFERROR(INDEX(Pension_Model!$D$2:$D$29,MATCH(H199,Pension_Model!$B$2:$B$29,0)),0),IFERROR(INDEX(Pension_Model!$D$2:$D$29,MATCH(H200,Pension_Model!$B$2:$B$29,0)),0)),IF(VLOOKUP($A199,Calendar!$A$1:$R$1377,18,0)=3,SUM(IFERROR(INDEX(Pension_Model!$D$2:$D$29,MATCH(H199,Pension_Model!$B$2:$B$29,0)),0),IFERROR(INDEX(Pension_Model!$D$2:$D$29,MATCH(H200,Pension_Model!$B$2:$B$29,0)),0),IFERROR(INDEX(Pension_Model!$D$2:$D$29,MATCH(H201,Pension_Model!$B$2:$B$29,0)),0)),IF(VLOOKUP($A199,Calendar!$A$1:$R$1377,18,0)=4,SUM(IFERROR(INDEX(Pension_Model!$D$2:$D$29,MATCH(H199,Pension_Model!$B$2:$B$29,0)),0),IFERROR(INDEX(Pension_Model!$D$2:$D$29,MATCH(H200,Pension_Model!$B$2:$B$29,0)),0),IFERROR(INDEX(Pension_Model!$D$2:$D$29,MATCH(H201,Pension_Model!$B$2:$B$29,0)),0),IFERROR(INDEX(Pension_Model!$D$2:$D$29,MATCH(H202,Pension_Model!$B$2:$B$29,0)),0)),IF(VLOOKUP($A199,Calendar!$A$1:$R$1377,18,0)=5,SUM(IFERROR(INDEX(Pension_Model!$D$2:$D$29,MATCH(H199,Pension_Model!$B$2:$B$29,0)),0),IFERROR(INDEX(Pension_Model!$D$2:$D$29,MATCH(H200,Pension_Model!$B$2:$B$29,0)),0),IFERROR(INDEX(Pension_Model!$D$2:$D$29,MATCH(H201,Pension_Model!$B$2:$B$29,0)),0),IFERROR(INDEX(Pension_Model!$D$2:$D$29,MATCH(H202,Pension_Model!$B$2:$B$29,0)),0),IFERROR(INDEX(Pension_Model!$D$2:$D$29,MATCH(H203,Pension_Model!$B$2:$B$29,0)),0)),0))))))</f>
        <v>0</v>
      </c>
      <c r="Q199" s="28">
        <f>Population_Data!$B$15*P199</f>
        <v>0</v>
      </c>
      <c r="S199">
        <f t="shared" si="3"/>
        <v>0</v>
      </c>
      <c r="U199" s="33">
        <f>S199/Population_Data!$B$19</f>
        <v>0</v>
      </c>
    </row>
    <row r="200" spans="1:21">
      <c r="A200" s="25">
        <f>Calendar!A200</f>
        <v>46433</v>
      </c>
      <c r="B200" t="str">
        <f>Calendar!L200</f>
        <v>Yes</v>
      </c>
      <c r="C200" t="str">
        <f>Calendar!O200</f>
        <v>No</v>
      </c>
      <c r="D200" t="str">
        <f>Calendar!P200</f>
        <v>No</v>
      </c>
      <c r="E200" t="str">
        <f>Calendar!Q200</f>
        <v>No</v>
      </c>
      <c r="F200" t="str">
        <f>Calendar!I200</f>
        <v>Monday</v>
      </c>
      <c r="G200">
        <f>Calendar!S200</f>
        <v>9</v>
      </c>
      <c r="H200">
        <f>Calendar!T200</f>
        <v>9</v>
      </c>
      <c r="I200" s="27">
        <f>IF(VLOOKUP(A200,Calendar!$A$1:$R$1377,18,0)=0,0,IF(VLOOKUP(A200,Calendar!$A$1:$R$1377,18,0)=1,INDEX(Monthly_Pay_Model!$A$9:$D$40,MATCH(TEXT(A200,"dd"),Monthly_Pay_Model!$C$9:$C$39,0),4),IF(VLOOKUP(A200,Calendar!$A$1:$R$1377,18,0)=2,SUM(INDEX(Monthly_Pay_Model!$A$9:$D$40,MATCH(TEXT(A200,"dd"),Monthly_Pay_Model!$C$9:$C$39,0),4),INDEX(Monthly_Pay_Model!$A$9:$D$40,MATCH(TEXT(A201,"dd"),Monthly_Pay_Model!$C$9:$C$39,0),4)),IF(VLOOKUP(A200,Calendar!$A$1:$R$1377,18,0)=3,SUM(INDEX(Monthly_Pay_Model!$A$9:$D$40,MATCH(TEXT(A200,"dd"),Monthly_Pay_Model!$C$9:$C$39,0),4),INDEX(Monthly_Pay_Model!$A$9:$D$40,MATCH(TEXT(A201,"dd"),Monthly_Pay_Model!$C$9:$C$39,0),4),INDEX(Monthly_Pay_Model!$A$9:$D$40,MATCH(TEXT(A202,"dd"),Monthly_Pay_Model!$C$9:$C$39,0),4)),IF(VLOOKUP(A200,Calendar!$A$1:$R$1377,18,0)=4,SUM(INDEX(Monthly_Pay_Model!$A$9:$D$40,MATCH(TEXT(A200,"dd"),Monthly_Pay_Model!$C$9:$C$39,0),4),INDEX(Monthly_Pay_Model!$A$9:$D$40,MATCH(TEXT(A201,"dd"),Monthly_Pay_Model!$C$9:$C$39,0),4),INDEX(Monthly_Pay_Model!$A$9:$D$40,MATCH(TEXT(A202,"dd"),Monthly_Pay_Model!$C$9:$C$39,0),4),INDEX(Monthly_Pay_Model!$A$9:$D$40,MATCH(TEXT(A203,"dd"),Monthly_Pay_Model!$C$9:$C$39,0),4)),IF(VLOOKUP(A200,Calendar!$A$1:$R$1377,18,0)=5,SUM(INDEX(Monthly_Pay_Model!$A$9:$D$40,MATCH(TEXT(A200,"dd"),Monthly_Pay_Model!$C$9:$C$39,0),4),INDEX(Monthly_Pay_Model!$A$9:$D$40,MATCH(TEXT(A201,"dd"),Monthly_Pay_Model!$C$9:$C$39,0),4),INDEX(Monthly_Pay_Model!$A$9:$D$40,MATCH(TEXT(A202,"dd"),Monthly_Pay_Model!$C$9:$C$39,0),4),INDEX(Monthly_Pay_Model!$A$9:$D$40,MATCH(TEXT(A203,"dd"),Monthly_Pay_Model!$C$9:$C$39,0),4),INDEX(Monthly_Pay_Model!$A$9:$D$40,MATCH(TEXT(A204,"dd"),Monthly_Pay_Model!$C$9:$C$39,0),4)),))))))</f>
        <v>1.3001047120418847E-2</v>
      </c>
      <c r="J200" s="33">
        <f>IF(C200="Yes",Monthly_Pay_Model!$D$2,0)
+IF(Calendar!N200="Yes",Monthly_Pay_Model!$D$3,0)
+IF(D200="Yes",Monthly_Pay_Model!$D$4,0)
+IF(E200="Yes",Monthly_Pay_Model!$D$5,0)</f>
        <v>0</v>
      </c>
      <c r="K200" s="27">
        <f>IF(VLOOKUP($A200,Calendar!$A$1:$R$1377,18,0)=0,0,IF(VLOOKUP($A200,Calendar!$A$1:$R$1377,18,0)=1,IFERROR(INDEX(Weekly_Model!$D$2:$D$9,MATCH(F200,Weekly_Model!$A$2:$A$9,0)),0),IF(VLOOKUP($A200,Calendar!$A$1:$R$1377,18,0)=2,SUM(IFERROR(INDEX(Weekly_Model!$D$2:$D$9,MATCH(F200,Weekly_Model!$A$2:$A$9,0)),0),IFERROR(INDEX(Weekly_Model!$D$2:$D$9,MATCH(F201,Weekly_Model!$A$2:$A$9,0)),0)),IF(VLOOKUP($A200,Calendar!$A$1:$R$1377,18,0)=3,SUM(IFERROR(INDEX(Weekly_Model!$D$2:$D$9,MATCH(F200,Weekly_Model!$A$2:$A$9,0)),0),IFERROR(INDEX(Weekly_Model!$D$2:$D$9,MATCH(F201,Weekly_Model!$A$2:$A$9,0)),0),IFERROR(INDEX(Weekly_Model!$D$2:$D$9,MATCH(F202,Weekly_Model!$A$2:$A$9,0)),0)),IF(VLOOKUP($A200,Calendar!$A$1:$R$1377,18,0)=4,SUM(IFERROR(INDEX(Weekly_Model!$D$2:$D$9,MATCH(F200,Weekly_Model!$A$2:$A$9,0)),0),IFERROR(INDEX(Weekly_Model!$D$2:$D$9,MATCH(F201,Weekly_Model!$A$2:$A$9,0)),0),IFERROR(INDEX(Weekly_Model!$D$2:$D$9,MATCH(F202,Weekly_Model!$A$2:$A$9,0)),0),IFERROR(INDEX(Weekly_Model!$D$2:$D$9,MATCH(F203,Weekly_Model!$A$2:$A$9,0)),0)),IF(VLOOKUP($A200,Calendar!$A$1:$R$1377,18,0)=5,SUM(IFERROR(INDEX(Weekly_Model!$D$2:$D$9,MATCH(F200,Weekly_Model!$A$2:$A$9,0)),0),IFERROR(INDEX(Weekly_Model!$D$2:$D$9,MATCH(F201,Weekly_Model!$A$2:$A$9,0)),0),IFERROR(INDEX(Weekly_Model!$D$2:$D$9,MATCH(F202,Weekly_Model!$A$2:$A$9,0)),0),IFERROR(INDEX(Weekly_Model!$D$2:$D$9,MATCH(F203,Weekly_Model!$A$2:$A$9,0)),0),IFERROR(INDEX(Weekly_Model!$D$2:$D$9,MATCH(F204,Weekly_Model!$A$2:$A$9,0)),0)),0))))))</f>
        <v>2.3200000000000002E-2</v>
      </c>
      <c r="L200" s="27">
        <f>IF(VLOOKUP($A200,Calendar!$A$1:$R$1377,18,0)=0,0,IF(VLOOKUP($A200,Calendar!$A$1:$R$1377,18,0)=1,IFERROR(INDEX(Fortnightly_Model!$D$2:$D$15,MATCH(G200,Fortnightly_Model!$B$2:$B$15,0)),0),IF(VLOOKUP($A200,Calendar!$A$1:$R$1377,18,0)=2,SUM(IFERROR(INDEX(Fortnightly_Model!$D$2:$D$15,MATCH(G200,Fortnightly_Model!$B$2:$B$15,0)),0),IFERROR(INDEX(Fortnightly_Model!$D$2:$D$15,MATCH(G201,Fortnightly_Model!$B$2:$B$15,0)),0)),IF(VLOOKUP($A200,Calendar!$A$1:$R$1377,18,0)=3,SUM(IFERROR(INDEX(Fortnightly_Model!$D$2:$D$15,MATCH(G200,Fortnightly_Model!$B$2:$B$15,0)),0),IFERROR(INDEX(Fortnightly_Model!$D$2:$D$15,MATCH(G201,Fortnightly_Model!$B$2:$B$15,0)),0),IFERROR(INDEX(Fortnightly_Model!$D$2:$D$15,MATCH(G202,Fortnightly_Model!$B$2:$B$15,0)),0)),IF(VLOOKUP($A200,Calendar!$A$1:$R$1377,18,0)=4,SUM(IFERROR(INDEX(Fortnightly_Model!$D$2:$D$15,MATCH(G200,Fortnightly_Model!$B$2:$B$15,0)),0),IFERROR(INDEX(Fortnightly_Model!$D$2:$D$15,MATCH(G201,Fortnightly_Model!$B$2:$B$15,0)),0),IFERROR(INDEX(Fortnightly_Model!$D$2:$D$15,MATCH(G202,Fortnightly_Model!$B$2:$B$15,0)),0),IFERROR(INDEX(Fortnightly_Model!$D$2:$D$15,MATCH(G203,Fortnightly_Model!$B$2:$B$15,0)),0)),IF(VLOOKUP($A200,Calendar!$A$1:$R$1377,18,0)=5,SUM(IFERROR(INDEX(Fortnightly_Model!$D$2:$D$15,MATCH(G200,Fortnightly_Model!$B$2:$B$15,0)),0),IFERROR(INDEX(Fortnightly_Model!$D$2:$D$15,MATCH(G201,Fortnightly_Model!$B$2:$B$15,0)),0),IFERROR(INDEX(Fortnightly_Model!$D$2:$D$15,MATCH(G202,Fortnightly_Model!$B$2:$B$15,0)),0),IFERROR(INDEX(Fortnightly_Model!$D$2:$D$15,MATCH(G203,Fortnightly_Model!$B$2:$B$15,0)),0),IFERROR(INDEX(Fortnightly_Model!$D$2:$D$15,MATCH(G204,Fortnightly_Model!$B$2:$B$15,0)),0)),0))))))</f>
        <v>1.0714285499999999E-3</v>
      </c>
      <c r="M200" s="27">
        <f>IF(VLOOKUP($A200,Calendar!$A$1:$R$1377,18,0)=0,0,IF(VLOOKUP($A200,Calendar!$A$1:$R$1377,18,0)=1,IFERROR(INDEX(FourWeekly_Model!$D$2:$D$29,MATCH(H200,FourWeekly_Model!$B$2:$B$29,0)),0),IF(VLOOKUP($A200,Calendar!$A$1:$R$1377,18,0)=2,SUM(IFERROR(INDEX(FourWeekly_Model!$D$2:$D$29,MATCH(H200,FourWeekly_Model!$B$2:$B$29,0)),0),IFERROR(INDEX(FourWeekly_Model!$D$2:$D$29,MATCH(H201,FourWeekly_Model!$B$2:$B$29,0)),0)),IF(VLOOKUP($A200,Calendar!$A$1:$R$1377,18,0)=3,SUM(IFERROR(INDEX(FourWeekly_Model!$D$2:$D$29,MATCH(H200,FourWeekly_Model!$B$2:$B$29,0)),0),IFERROR(INDEX(FourWeekly_Model!$D$2:$D$29,MATCH(H201,FourWeekly_Model!$B$2:$B$29,0)),0),IFERROR(INDEX(FourWeekly_Model!$D$2:$D$29,MATCH(H202,FourWeekly_Model!$B$2:$B$29,0)),0)),IF(VLOOKUP($A200,Calendar!$A$1:$R$1377,18,0)=4,SUM(IFERROR(INDEX(FourWeekly_Model!$D$2:$D$29,MATCH(H200,FourWeekly_Model!$B$2:$B$29,0)),0),IFERROR(INDEX(FourWeekly_Model!$D$2:$D$29,MATCH(H201,FourWeekly_Model!$B$2:$B$29,0)),0),IFERROR(INDEX(FourWeekly_Model!$D$2:$D$29,MATCH(H202,FourWeekly_Model!$B$2:$B$29,0)),0),IFERROR(INDEX(FourWeekly_Model!$D$2:$D$29,MATCH(H203,FourWeekly_Model!$B$2:$B$29,0)),0)),IF(VLOOKUP($A200,Calendar!$A$1:$R$1377,18,0)=5,SUM(IFERROR(INDEX(FourWeekly_Model!$D$2:$D$29,MATCH(H200,FourWeekly_Model!$B$2:$B$29,0)),0),IFERROR(INDEX(FourWeekly_Model!$D$2:$D$29,MATCH(H201,FourWeekly_Model!$B$2:$B$29,0)),0),IFERROR(INDEX(FourWeekly_Model!$D$2:$D$29,MATCH(H202,FourWeekly_Model!$B$2:$B$29,0)),0),IFERROR(INDEX(FourWeekly_Model!$D$2:$D$29,MATCH(H203,FourWeekly_Model!$B$2:$B$29,0)),0),IFERROR(INDEX(FourWeekly_Model!$D$2:$D$29,MATCH(H204,FourWeekly_Model!$B$2:$B$29,0)),0)),0))))))</f>
        <v>3.3214289700000004E-3</v>
      </c>
      <c r="N200" s="27">
        <f>SUM(I200:M200)</f>
        <v>4.059390464041885E-2</v>
      </c>
      <c r="O200" s="28">
        <f>Population_Data!$B$8*N200</f>
        <v>1229995.310604691</v>
      </c>
      <c r="P200" s="27">
        <f>IF(VLOOKUP($A200,Calendar!$A$1:$R$1377,18,0)=0,0,IF(VLOOKUP($A200,Calendar!$A$1:$R$1377,18,0)=1,IFERROR(INDEX(Pension_Model!$D$2:$D$29,MATCH(H200,Pension_Model!$B$2:$B$29,0)),0),IF(VLOOKUP($A200,Calendar!$A$1:$R$1377,18,0)=2,SUM(IFERROR(INDEX(Pension_Model!$D$2:$D$29,MATCH(H200,Pension_Model!$B$2:$B$29,0)),0),IFERROR(INDEX(Pension_Model!$D$2:$D$29,MATCH(H201,Pension_Model!$B$2:$B$29,0)),0)),IF(VLOOKUP($A200,Calendar!$A$1:$R$1377,18,0)=3,SUM(IFERROR(INDEX(Pension_Model!$D$2:$D$29,MATCH(H200,Pension_Model!$B$2:$B$29,0)),0),IFERROR(INDEX(Pension_Model!$D$2:$D$29,MATCH(H201,Pension_Model!$B$2:$B$29,0)),0),IFERROR(INDEX(Pension_Model!$D$2:$D$29,MATCH(H202,Pension_Model!$B$2:$B$29,0)),0)),IF(VLOOKUP($A200,Calendar!$A$1:$R$1377,18,0)=4,SUM(IFERROR(INDEX(Pension_Model!$D$2:$D$29,MATCH(H200,Pension_Model!$B$2:$B$29,0)),0),IFERROR(INDEX(Pension_Model!$D$2:$D$29,MATCH(H201,Pension_Model!$B$2:$B$29,0)),0),IFERROR(INDEX(Pension_Model!$D$2:$D$29,MATCH(H202,Pension_Model!$B$2:$B$29,0)),0),IFERROR(INDEX(Pension_Model!$D$2:$D$29,MATCH(H203,Pension_Model!$B$2:$B$29,0)),0)),IF(VLOOKUP($A200,Calendar!$A$1:$R$1377,18,0)=5,SUM(IFERROR(INDEX(Pension_Model!$D$2:$D$29,MATCH(H200,Pension_Model!$B$2:$B$29,0)),0),IFERROR(INDEX(Pension_Model!$D$2:$D$29,MATCH(H201,Pension_Model!$B$2:$B$29,0)),0),IFERROR(INDEX(Pension_Model!$D$2:$D$29,MATCH(H202,Pension_Model!$B$2:$B$29,0)),0),IFERROR(INDEX(Pension_Model!$D$2:$D$29,MATCH(H203,Pension_Model!$B$2:$B$29,0)),0),IFERROR(INDEX(Pension_Model!$D$2:$D$29,MATCH(H204,Pension_Model!$B$2:$B$29,0)),0)),0))))))</f>
        <v>0.05</v>
      </c>
      <c r="Q200" s="28">
        <f>Population_Data!$B$15*P200</f>
        <v>660600</v>
      </c>
      <c r="S200">
        <f t="shared" si="3"/>
        <v>1890595.310604691</v>
      </c>
      <c r="U200" s="33">
        <f>S200/Population_Data!$B$19</f>
        <v>3.4249915047186434E-2</v>
      </c>
    </row>
    <row r="201" spans="1:21">
      <c r="A201" s="25">
        <f>Calendar!A201</f>
        <v>46434</v>
      </c>
      <c r="B201" t="str">
        <f>Calendar!L201</f>
        <v>Yes</v>
      </c>
      <c r="C201" t="str">
        <f>Calendar!O201</f>
        <v>No</v>
      </c>
      <c r="D201" t="str">
        <f>Calendar!P201</f>
        <v>No</v>
      </c>
      <c r="E201" t="str">
        <f>Calendar!Q201</f>
        <v>No</v>
      </c>
      <c r="F201" t="str">
        <f>Calendar!I201</f>
        <v>Tuesday</v>
      </c>
      <c r="G201">
        <f>Calendar!S201</f>
        <v>10</v>
      </c>
      <c r="H201">
        <f>Calendar!T201</f>
        <v>10</v>
      </c>
      <c r="I201" s="27">
        <f>IF(VLOOKUP(A201,Calendar!$A$1:$R$1377,18,0)=0,0,IF(VLOOKUP(A201,Calendar!$A$1:$R$1377,18,0)=1,INDEX(Monthly_Pay_Model!$A$9:$D$40,MATCH(TEXT(A201,"dd"),Monthly_Pay_Model!$C$9:$C$39,0),4),IF(VLOOKUP(A201,Calendar!$A$1:$R$1377,18,0)=2,SUM(INDEX(Monthly_Pay_Model!$A$9:$D$40,MATCH(TEXT(A201,"dd"),Monthly_Pay_Model!$C$9:$C$39,0),4),INDEX(Monthly_Pay_Model!$A$9:$D$40,MATCH(TEXT(A202,"dd"),Monthly_Pay_Model!$C$9:$C$39,0),4)),IF(VLOOKUP(A201,Calendar!$A$1:$R$1377,18,0)=3,SUM(INDEX(Monthly_Pay_Model!$A$9:$D$40,MATCH(TEXT(A201,"dd"),Monthly_Pay_Model!$C$9:$C$39,0),4),INDEX(Monthly_Pay_Model!$A$9:$D$40,MATCH(TEXT(A202,"dd"),Monthly_Pay_Model!$C$9:$C$39,0),4),INDEX(Monthly_Pay_Model!$A$9:$D$40,MATCH(TEXT(A203,"dd"),Monthly_Pay_Model!$C$9:$C$39,0),4)),IF(VLOOKUP(A201,Calendar!$A$1:$R$1377,18,0)=4,SUM(INDEX(Monthly_Pay_Model!$A$9:$D$40,MATCH(TEXT(A201,"dd"),Monthly_Pay_Model!$C$9:$C$39,0),4),INDEX(Monthly_Pay_Model!$A$9:$D$40,MATCH(TEXT(A202,"dd"),Monthly_Pay_Model!$C$9:$C$39,0),4),INDEX(Monthly_Pay_Model!$A$9:$D$40,MATCH(TEXT(A203,"dd"),Monthly_Pay_Model!$C$9:$C$39,0),4),INDEX(Monthly_Pay_Model!$A$9:$D$40,MATCH(TEXT(A204,"dd"),Monthly_Pay_Model!$C$9:$C$39,0),4)),IF(VLOOKUP(A201,Calendar!$A$1:$R$1377,18,0)=5,SUM(INDEX(Monthly_Pay_Model!$A$9:$D$40,MATCH(TEXT(A201,"dd"),Monthly_Pay_Model!$C$9:$C$39,0),4),INDEX(Monthly_Pay_Model!$A$9:$D$40,MATCH(TEXT(A202,"dd"),Monthly_Pay_Model!$C$9:$C$39,0),4),INDEX(Monthly_Pay_Model!$A$9:$D$40,MATCH(TEXT(A203,"dd"),Monthly_Pay_Model!$C$9:$C$39,0),4),INDEX(Monthly_Pay_Model!$A$9:$D$40,MATCH(TEXT(A204,"dd"),Monthly_Pay_Model!$C$9:$C$39,0),4),INDEX(Monthly_Pay_Model!$A$9:$D$40,MATCH(TEXT(A205,"dd"),Monthly_Pay_Model!$C$9:$C$39,0),4)),))))))</f>
        <v>1.6251308900523558E-3</v>
      </c>
      <c r="J201" s="33">
        <f>IF(C201="Yes",Monthly_Pay_Model!$D$2,0)
+IF(Calendar!N201="Yes",Monthly_Pay_Model!$D$3,0)
+IF(D201="Yes",Monthly_Pay_Model!$D$4,0)
+IF(E201="Yes",Monthly_Pay_Model!$D$5,0)</f>
        <v>0</v>
      </c>
      <c r="K201" s="27">
        <f>IF(VLOOKUP($A201,Calendar!$A$1:$R$1377,18,0)=0,0,IF(VLOOKUP($A201,Calendar!$A$1:$R$1377,18,0)=1,IFERROR(INDEX(Weekly_Model!$D$2:$D$9,MATCH(F201,Weekly_Model!$A$2:$A$9,0)),0),IF(VLOOKUP($A201,Calendar!$A$1:$R$1377,18,0)=2,SUM(IFERROR(INDEX(Weekly_Model!$D$2:$D$9,MATCH(F201,Weekly_Model!$A$2:$A$9,0)),0),IFERROR(INDEX(Weekly_Model!$D$2:$D$9,MATCH(F202,Weekly_Model!$A$2:$A$9,0)),0)),IF(VLOOKUP($A201,Calendar!$A$1:$R$1377,18,0)=3,SUM(IFERROR(INDEX(Weekly_Model!$D$2:$D$9,MATCH(F201,Weekly_Model!$A$2:$A$9,0)),0),IFERROR(INDEX(Weekly_Model!$D$2:$D$9,MATCH(F202,Weekly_Model!$A$2:$A$9,0)),0),IFERROR(INDEX(Weekly_Model!$D$2:$D$9,MATCH(F203,Weekly_Model!$A$2:$A$9,0)),0)),IF(VLOOKUP($A201,Calendar!$A$1:$R$1377,18,0)=4,SUM(IFERROR(INDEX(Weekly_Model!$D$2:$D$9,MATCH(F201,Weekly_Model!$A$2:$A$9,0)),0),IFERROR(INDEX(Weekly_Model!$D$2:$D$9,MATCH(F202,Weekly_Model!$A$2:$A$9,0)),0),IFERROR(INDEX(Weekly_Model!$D$2:$D$9,MATCH(F203,Weekly_Model!$A$2:$A$9,0)),0),IFERROR(INDEX(Weekly_Model!$D$2:$D$9,MATCH(F204,Weekly_Model!$A$2:$A$9,0)),0)),IF(VLOOKUP($A201,Calendar!$A$1:$R$1377,18,0)=5,SUM(IFERROR(INDEX(Weekly_Model!$D$2:$D$9,MATCH(F201,Weekly_Model!$A$2:$A$9,0)),0),IFERROR(INDEX(Weekly_Model!$D$2:$D$9,MATCH(F202,Weekly_Model!$A$2:$A$9,0)),0),IFERROR(INDEX(Weekly_Model!$D$2:$D$9,MATCH(F203,Weekly_Model!$A$2:$A$9,0)),0),IFERROR(INDEX(Weekly_Model!$D$2:$D$9,MATCH(F204,Weekly_Model!$A$2:$A$9,0)),0),IFERROR(INDEX(Weekly_Model!$D$2:$D$9,MATCH(F205,Weekly_Model!$A$2:$A$9,0)),0)),0))))))</f>
        <v>2.3200000000000002E-2</v>
      </c>
      <c r="L201" s="27">
        <f>IF(VLOOKUP($A201,Calendar!$A$1:$R$1377,18,0)=0,0,IF(VLOOKUP($A201,Calendar!$A$1:$R$1377,18,0)=1,IFERROR(INDEX(Fortnightly_Model!$D$2:$D$15,MATCH(G201,Fortnightly_Model!$B$2:$B$15,0)),0),IF(VLOOKUP($A201,Calendar!$A$1:$R$1377,18,0)=2,SUM(IFERROR(INDEX(Fortnightly_Model!$D$2:$D$15,MATCH(G201,Fortnightly_Model!$B$2:$B$15,0)),0),IFERROR(INDEX(Fortnightly_Model!$D$2:$D$15,MATCH(G202,Fortnightly_Model!$B$2:$B$15,0)),0)),IF(VLOOKUP($A201,Calendar!$A$1:$R$1377,18,0)=3,SUM(IFERROR(INDEX(Fortnightly_Model!$D$2:$D$15,MATCH(G201,Fortnightly_Model!$B$2:$B$15,0)),0),IFERROR(INDEX(Fortnightly_Model!$D$2:$D$15,MATCH(G202,Fortnightly_Model!$B$2:$B$15,0)),0),IFERROR(INDEX(Fortnightly_Model!$D$2:$D$15,MATCH(G203,Fortnightly_Model!$B$2:$B$15,0)),0)),IF(VLOOKUP($A201,Calendar!$A$1:$R$1377,18,0)=4,SUM(IFERROR(INDEX(Fortnightly_Model!$D$2:$D$15,MATCH(G201,Fortnightly_Model!$B$2:$B$15,0)),0),IFERROR(INDEX(Fortnightly_Model!$D$2:$D$15,MATCH(G202,Fortnightly_Model!$B$2:$B$15,0)),0),IFERROR(INDEX(Fortnightly_Model!$D$2:$D$15,MATCH(G203,Fortnightly_Model!$B$2:$B$15,0)),0),IFERROR(INDEX(Fortnightly_Model!$D$2:$D$15,MATCH(G204,Fortnightly_Model!$B$2:$B$15,0)),0)),IF(VLOOKUP($A201,Calendar!$A$1:$R$1377,18,0)=5,SUM(IFERROR(INDEX(Fortnightly_Model!$D$2:$D$15,MATCH(G201,Fortnightly_Model!$B$2:$B$15,0)),0),IFERROR(INDEX(Fortnightly_Model!$D$2:$D$15,MATCH(G202,Fortnightly_Model!$B$2:$B$15,0)),0),IFERROR(INDEX(Fortnightly_Model!$D$2:$D$15,MATCH(G203,Fortnightly_Model!$B$2:$B$15,0)),0),IFERROR(INDEX(Fortnightly_Model!$D$2:$D$15,MATCH(G204,Fortnightly_Model!$B$2:$B$15,0)),0),IFERROR(INDEX(Fortnightly_Model!$D$2:$D$15,MATCH(G205,Fortnightly_Model!$B$2:$B$15,0)),0)),0))))))</f>
        <v>1.0714285499999999E-3</v>
      </c>
      <c r="M201" s="27">
        <f>IF(VLOOKUP($A201,Calendar!$A$1:$R$1377,18,0)=0,0,IF(VLOOKUP($A201,Calendar!$A$1:$R$1377,18,0)=1,IFERROR(INDEX(FourWeekly_Model!$D$2:$D$29,MATCH(H201,FourWeekly_Model!$B$2:$B$29,0)),0),IF(VLOOKUP($A201,Calendar!$A$1:$R$1377,18,0)=2,SUM(IFERROR(INDEX(FourWeekly_Model!$D$2:$D$29,MATCH(H201,FourWeekly_Model!$B$2:$B$29,0)),0),IFERROR(INDEX(FourWeekly_Model!$D$2:$D$29,MATCH(H202,FourWeekly_Model!$B$2:$B$29,0)),0)),IF(VLOOKUP($A201,Calendar!$A$1:$R$1377,18,0)=3,SUM(IFERROR(INDEX(FourWeekly_Model!$D$2:$D$29,MATCH(H201,FourWeekly_Model!$B$2:$B$29,0)),0),IFERROR(INDEX(FourWeekly_Model!$D$2:$D$29,MATCH(H202,FourWeekly_Model!$B$2:$B$29,0)),0),IFERROR(INDEX(FourWeekly_Model!$D$2:$D$29,MATCH(H203,FourWeekly_Model!$B$2:$B$29,0)),0)),IF(VLOOKUP($A201,Calendar!$A$1:$R$1377,18,0)=4,SUM(IFERROR(INDEX(FourWeekly_Model!$D$2:$D$29,MATCH(H201,FourWeekly_Model!$B$2:$B$29,0)),0),IFERROR(INDEX(FourWeekly_Model!$D$2:$D$29,MATCH(H202,FourWeekly_Model!$B$2:$B$29,0)),0),IFERROR(INDEX(FourWeekly_Model!$D$2:$D$29,MATCH(H203,FourWeekly_Model!$B$2:$B$29,0)),0),IFERROR(INDEX(FourWeekly_Model!$D$2:$D$29,MATCH(H204,FourWeekly_Model!$B$2:$B$29,0)),0)),IF(VLOOKUP($A201,Calendar!$A$1:$R$1377,18,0)=5,SUM(IFERROR(INDEX(FourWeekly_Model!$D$2:$D$29,MATCH(H201,FourWeekly_Model!$B$2:$B$29,0)),0),IFERROR(INDEX(FourWeekly_Model!$D$2:$D$29,MATCH(H202,FourWeekly_Model!$B$2:$B$29,0)),0),IFERROR(INDEX(FourWeekly_Model!$D$2:$D$29,MATCH(H203,FourWeekly_Model!$B$2:$B$29,0)),0),IFERROR(INDEX(FourWeekly_Model!$D$2:$D$29,MATCH(H204,FourWeekly_Model!$B$2:$B$29,0)),0),IFERROR(INDEX(FourWeekly_Model!$D$2:$D$29,MATCH(H205,FourWeekly_Model!$B$2:$B$29,0)),0)),0))))))</f>
        <v>3.3214289700000004E-3</v>
      </c>
      <c r="N201" s="27">
        <f>SUM(I201:M201)</f>
        <v>2.921798841005236E-2</v>
      </c>
      <c r="O201" s="28">
        <f>Population_Data!$B$8*N201</f>
        <v>885305.04882458656</v>
      </c>
      <c r="P201" s="27">
        <f>IF(VLOOKUP($A201,Calendar!$A$1:$R$1377,18,0)=0,0,IF(VLOOKUP($A201,Calendar!$A$1:$R$1377,18,0)=1,IFERROR(INDEX(Pension_Model!$D$2:$D$29,MATCH(H201,Pension_Model!$B$2:$B$29,0)),0),IF(VLOOKUP($A201,Calendar!$A$1:$R$1377,18,0)=2,SUM(IFERROR(INDEX(Pension_Model!$D$2:$D$29,MATCH(H201,Pension_Model!$B$2:$B$29,0)),0),IFERROR(INDEX(Pension_Model!$D$2:$D$29,MATCH(H202,Pension_Model!$B$2:$B$29,0)),0)),IF(VLOOKUP($A201,Calendar!$A$1:$R$1377,18,0)=3,SUM(IFERROR(INDEX(Pension_Model!$D$2:$D$29,MATCH(H201,Pension_Model!$B$2:$B$29,0)),0),IFERROR(INDEX(Pension_Model!$D$2:$D$29,MATCH(H202,Pension_Model!$B$2:$B$29,0)),0),IFERROR(INDEX(Pension_Model!$D$2:$D$29,MATCH(H203,Pension_Model!$B$2:$B$29,0)),0)),IF(VLOOKUP($A201,Calendar!$A$1:$R$1377,18,0)=4,SUM(IFERROR(INDEX(Pension_Model!$D$2:$D$29,MATCH(H201,Pension_Model!$B$2:$B$29,0)),0),IFERROR(INDEX(Pension_Model!$D$2:$D$29,MATCH(H202,Pension_Model!$B$2:$B$29,0)),0),IFERROR(INDEX(Pension_Model!$D$2:$D$29,MATCH(H203,Pension_Model!$B$2:$B$29,0)),0),IFERROR(INDEX(Pension_Model!$D$2:$D$29,MATCH(H204,Pension_Model!$B$2:$B$29,0)),0)),IF(VLOOKUP($A201,Calendar!$A$1:$R$1377,18,0)=5,SUM(IFERROR(INDEX(Pension_Model!$D$2:$D$29,MATCH(H201,Pension_Model!$B$2:$B$29,0)),0),IFERROR(INDEX(Pension_Model!$D$2:$D$29,MATCH(H202,Pension_Model!$B$2:$B$29,0)),0),IFERROR(INDEX(Pension_Model!$D$2:$D$29,MATCH(H203,Pension_Model!$B$2:$B$29,0)),0),IFERROR(INDEX(Pension_Model!$D$2:$D$29,MATCH(H204,Pension_Model!$B$2:$B$29,0)),0),IFERROR(INDEX(Pension_Model!$D$2:$D$29,MATCH(H205,Pension_Model!$B$2:$B$29,0)),0)),0))))))</f>
        <v>0.05</v>
      </c>
      <c r="Q201" s="28">
        <f>Population_Data!$B$15*P201</f>
        <v>660600</v>
      </c>
      <c r="S201">
        <f t="shared" si="3"/>
        <v>1545905.0488245864</v>
      </c>
      <c r="U201" s="33">
        <f>S201/Population_Data!$B$19</f>
        <v>2.8005526246822218E-2</v>
      </c>
    </row>
    <row r="202" spans="1:21">
      <c r="A202" s="25">
        <f>Calendar!A202</f>
        <v>46435</v>
      </c>
      <c r="B202" t="str">
        <f>Calendar!L202</f>
        <v>Yes</v>
      </c>
      <c r="C202" t="str">
        <f>Calendar!O202</f>
        <v>No</v>
      </c>
      <c r="D202" t="str">
        <f>Calendar!P202</f>
        <v>No</v>
      </c>
      <c r="E202" t="str">
        <f>Calendar!Q202</f>
        <v>No</v>
      </c>
      <c r="F202" t="str">
        <f>Calendar!I202</f>
        <v>Wednesday</v>
      </c>
      <c r="G202">
        <f>Calendar!S202</f>
        <v>11</v>
      </c>
      <c r="H202">
        <f>Calendar!T202</f>
        <v>11</v>
      </c>
      <c r="I202" s="27">
        <f>IF(VLOOKUP(A202,Calendar!$A$1:$R$1377,18,0)=0,0,IF(VLOOKUP(A202,Calendar!$A$1:$R$1377,18,0)=1,INDEX(Monthly_Pay_Model!$A$9:$D$40,MATCH(TEXT(A202,"dd"),Monthly_Pay_Model!$C$9:$C$39,0),4),IF(VLOOKUP(A202,Calendar!$A$1:$R$1377,18,0)=2,SUM(INDEX(Monthly_Pay_Model!$A$9:$D$40,MATCH(TEXT(A202,"dd"),Monthly_Pay_Model!$C$9:$C$39,0),4),INDEX(Monthly_Pay_Model!$A$9:$D$40,MATCH(TEXT(A203,"dd"),Monthly_Pay_Model!$C$9:$C$39,0),4)),IF(VLOOKUP(A202,Calendar!$A$1:$R$1377,18,0)=3,SUM(INDEX(Monthly_Pay_Model!$A$9:$D$40,MATCH(TEXT(A202,"dd"),Monthly_Pay_Model!$C$9:$C$39,0),4),INDEX(Monthly_Pay_Model!$A$9:$D$40,MATCH(TEXT(A203,"dd"),Monthly_Pay_Model!$C$9:$C$39,0),4),INDEX(Monthly_Pay_Model!$A$9:$D$40,MATCH(TEXT(A204,"dd"),Monthly_Pay_Model!$C$9:$C$39,0),4)),IF(VLOOKUP(A202,Calendar!$A$1:$R$1377,18,0)=4,SUM(INDEX(Monthly_Pay_Model!$A$9:$D$40,MATCH(TEXT(A202,"dd"),Monthly_Pay_Model!$C$9:$C$39,0),4),INDEX(Monthly_Pay_Model!$A$9:$D$40,MATCH(TEXT(A203,"dd"),Monthly_Pay_Model!$C$9:$C$39,0),4),INDEX(Monthly_Pay_Model!$A$9:$D$40,MATCH(TEXT(A204,"dd"),Monthly_Pay_Model!$C$9:$C$39,0),4),INDEX(Monthly_Pay_Model!$A$9:$D$40,MATCH(TEXT(A205,"dd"),Monthly_Pay_Model!$C$9:$C$39,0),4)),IF(VLOOKUP(A202,Calendar!$A$1:$R$1377,18,0)=5,SUM(INDEX(Monthly_Pay_Model!$A$9:$D$40,MATCH(TEXT(A202,"dd"),Monthly_Pay_Model!$C$9:$C$39,0),4),INDEX(Monthly_Pay_Model!$A$9:$D$40,MATCH(TEXT(A203,"dd"),Monthly_Pay_Model!$C$9:$C$39,0),4),INDEX(Monthly_Pay_Model!$A$9:$D$40,MATCH(TEXT(A204,"dd"),Monthly_Pay_Model!$C$9:$C$39,0),4),INDEX(Monthly_Pay_Model!$A$9:$D$40,MATCH(TEXT(A205,"dd"),Monthly_Pay_Model!$C$9:$C$39,0),4),INDEX(Monthly_Pay_Model!$A$9:$D$40,MATCH(TEXT(A206,"dd"),Monthly_Pay_Model!$C$9:$C$39,0),4)),))))))</f>
        <v>8.1256544502617792E-4</v>
      </c>
      <c r="J202" s="33">
        <f>IF(C202="Yes",Monthly_Pay_Model!$D$2,0)
+IF(Calendar!N202="Yes",Monthly_Pay_Model!$D$3,0)
+IF(D202="Yes",Monthly_Pay_Model!$D$4,0)
+IF(E202="Yes",Monthly_Pay_Model!$D$5,0)</f>
        <v>0</v>
      </c>
      <c r="K202" s="27">
        <f>IF(VLOOKUP($A202,Calendar!$A$1:$R$1377,18,0)=0,0,IF(VLOOKUP($A202,Calendar!$A$1:$R$1377,18,0)=1,IFERROR(INDEX(Weekly_Model!$D$2:$D$9,MATCH(F202,Weekly_Model!$A$2:$A$9,0)),0),IF(VLOOKUP($A202,Calendar!$A$1:$R$1377,18,0)=2,SUM(IFERROR(INDEX(Weekly_Model!$D$2:$D$9,MATCH(F202,Weekly_Model!$A$2:$A$9,0)),0),IFERROR(INDEX(Weekly_Model!$D$2:$D$9,MATCH(F203,Weekly_Model!$A$2:$A$9,0)),0)),IF(VLOOKUP($A202,Calendar!$A$1:$R$1377,18,0)=3,SUM(IFERROR(INDEX(Weekly_Model!$D$2:$D$9,MATCH(F202,Weekly_Model!$A$2:$A$9,0)),0),IFERROR(INDEX(Weekly_Model!$D$2:$D$9,MATCH(F203,Weekly_Model!$A$2:$A$9,0)),0),IFERROR(INDEX(Weekly_Model!$D$2:$D$9,MATCH(F204,Weekly_Model!$A$2:$A$9,0)),0)),IF(VLOOKUP($A202,Calendar!$A$1:$R$1377,18,0)=4,SUM(IFERROR(INDEX(Weekly_Model!$D$2:$D$9,MATCH(F202,Weekly_Model!$A$2:$A$9,0)),0),IFERROR(INDEX(Weekly_Model!$D$2:$D$9,MATCH(F203,Weekly_Model!$A$2:$A$9,0)),0),IFERROR(INDEX(Weekly_Model!$D$2:$D$9,MATCH(F204,Weekly_Model!$A$2:$A$9,0)),0),IFERROR(INDEX(Weekly_Model!$D$2:$D$9,MATCH(F205,Weekly_Model!$A$2:$A$9,0)),0)),IF(VLOOKUP($A202,Calendar!$A$1:$R$1377,18,0)=5,SUM(IFERROR(INDEX(Weekly_Model!$D$2:$D$9,MATCH(F202,Weekly_Model!$A$2:$A$9,0)),0),IFERROR(INDEX(Weekly_Model!$D$2:$D$9,MATCH(F203,Weekly_Model!$A$2:$A$9,0)),0),IFERROR(INDEX(Weekly_Model!$D$2:$D$9,MATCH(F204,Weekly_Model!$A$2:$A$9,0)),0),IFERROR(INDEX(Weekly_Model!$D$2:$D$9,MATCH(F205,Weekly_Model!$A$2:$A$9,0)),0),IFERROR(INDEX(Weekly_Model!$D$2:$D$9,MATCH(F206,Weekly_Model!$A$2:$A$9,0)),0)),0))))))</f>
        <v>2.3200000000000002E-2</v>
      </c>
      <c r="L202" s="27">
        <f>IF(VLOOKUP($A202,Calendar!$A$1:$R$1377,18,0)=0,0,IF(VLOOKUP($A202,Calendar!$A$1:$R$1377,18,0)=1,IFERROR(INDEX(Fortnightly_Model!$D$2:$D$15,MATCH(G202,Fortnightly_Model!$B$2:$B$15,0)),0),IF(VLOOKUP($A202,Calendar!$A$1:$R$1377,18,0)=2,SUM(IFERROR(INDEX(Fortnightly_Model!$D$2:$D$15,MATCH(G202,Fortnightly_Model!$B$2:$B$15,0)),0),IFERROR(INDEX(Fortnightly_Model!$D$2:$D$15,MATCH(G203,Fortnightly_Model!$B$2:$B$15,0)),0)),IF(VLOOKUP($A202,Calendar!$A$1:$R$1377,18,0)=3,SUM(IFERROR(INDEX(Fortnightly_Model!$D$2:$D$15,MATCH(G202,Fortnightly_Model!$B$2:$B$15,0)),0),IFERROR(INDEX(Fortnightly_Model!$D$2:$D$15,MATCH(G203,Fortnightly_Model!$B$2:$B$15,0)),0),IFERROR(INDEX(Fortnightly_Model!$D$2:$D$15,MATCH(G204,Fortnightly_Model!$B$2:$B$15,0)),0)),IF(VLOOKUP($A202,Calendar!$A$1:$R$1377,18,0)=4,SUM(IFERROR(INDEX(Fortnightly_Model!$D$2:$D$15,MATCH(G202,Fortnightly_Model!$B$2:$B$15,0)),0),IFERROR(INDEX(Fortnightly_Model!$D$2:$D$15,MATCH(G203,Fortnightly_Model!$B$2:$B$15,0)),0),IFERROR(INDEX(Fortnightly_Model!$D$2:$D$15,MATCH(G204,Fortnightly_Model!$B$2:$B$15,0)),0),IFERROR(INDEX(Fortnightly_Model!$D$2:$D$15,MATCH(G205,Fortnightly_Model!$B$2:$B$15,0)),0)),IF(VLOOKUP($A202,Calendar!$A$1:$R$1377,18,0)=5,SUM(IFERROR(INDEX(Fortnightly_Model!$D$2:$D$15,MATCH(G202,Fortnightly_Model!$B$2:$B$15,0)),0),IFERROR(INDEX(Fortnightly_Model!$D$2:$D$15,MATCH(G203,Fortnightly_Model!$B$2:$B$15,0)),0),IFERROR(INDEX(Fortnightly_Model!$D$2:$D$15,MATCH(G204,Fortnightly_Model!$B$2:$B$15,0)),0),IFERROR(INDEX(Fortnightly_Model!$D$2:$D$15,MATCH(G205,Fortnightly_Model!$B$2:$B$15,0)),0),IFERROR(INDEX(Fortnightly_Model!$D$2:$D$15,MATCH(G206,Fortnightly_Model!$B$2:$B$15,0)),0)),0))))))</f>
        <v>1.0714285499999999E-3</v>
      </c>
      <c r="M202" s="27">
        <f>IF(VLOOKUP($A202,Calendar!$A$1:$R$1377,18,0)=0,0,IF(VLOOKUP($A202,Calendar!$A$1:$R$1377,18,0)=1,IFERROR(INDEX(FourWeekly_Model!$D$2:$D$29,MATCH(H202,FourWeekly_Model!$B$2:$B$29,0)),0),IF(VLOOKUP($A202,Calendar!$A$1:$R$1377,18,0)=2,SUM(IFERROR(INDEX(FourWeekly_Model!$D$2:$D$29,MATCH(H202,FourWeekly_Model!$B$2:$B$29,0)),0),IFERROR(INDEX(FourWeekly_Model!$D$2:$D$29,MATCH(H203,FourWeekly_Model!$B$2:$B$29,0)),0)),IF(VLOOKUP($A202,Calendar!$A$1:$R$1377,18,0)=3,SUM(IFERROR(INDEX(FourWeekly_Model!$D$2:$D$29,MATCH(H202,FourWeekly_Model!$B$2:$B$29,0)),0),IFERROR(INDEX(FourWeekly_Model!$D$2:$D$29,MATCH(H203,FourWeekly_Model!$B$2:$B$29,0)),0),IFERROR(INDEX(FourWeekly_Model!$D$2:$D$29,MATCH(H204,FourWeekly_Model!$B$2:$B$29,0)),0)),IF(VLOOKUP($A202,Calendar!$A$1:$R$1377,18,0)=4,SUM(IFERROR(INDEX(FourWeekly_Model!$D$2:$D$29,MATCH(H202,FourWeekly_Model!$B$2:$B$29,0)),0),IFERROR(INDEX(FourWeekly_Model!$D$2:$D$29,MATCH(H203,FourWeekly_Model!$B$2:$B$29,0)),0),IFERROR(INDEX(FourWeekly_Model!$D$2:$D$29,MATCH(H204,FourWeekly_Model!$B$2:$B$29,0)),0),IFERROR(INDEX(FourWeekly_Model!$D$2:$D$29,MATCH(H205,FourWeekly_Model!$B$2:$B$29,0)),0)),IF(VLOOKUP($A202,Calendar!$A$1:$R$1377,18,0)=5,SUM(IFERROR(INDEX(FourWeekly_Model!$D$2:$D$29,MATCH(H202,FourWeekly_Model!$B$2:$B$29,0)),0),IFERROR(INDEX(FourWeekly_Model!$D$2:$D$29,MATCH(H203,FourWeekly_Model!$B$2:$B$29,0)),0),IFERROR(INDEX(FourWeekly_Model!$D$2:$D$29,MATCH(H204,FourWeekly_Model!$B$2:$B$29,0)),0),IFERROR(INDEX(FourWeekly_Model!$D$2:$D$29,MATCH(H205,FourWeekly_Model!$B$2:$B$29,0)),0),IFERROR(INDEX(FourWeekly_Model!$D$2:$D$29,MATCH(H206,FourWeekly_Model!$B$2:$B$29,0)),0)),0))))))</f>
        <v>3.3214289700000004E-3</v>
      </c>
      <c r="N202" s="27">
        <f>SUM(I202:M202)</f>
        <v>2.840542296502618E-2</v>
      </c>
      <c r="O202" s="28">
        <f>Population_Data!$B$8*N202</f>
        <v>860684.3158402933</v>
      </c>
      <c r="P202" s="27">
        <f>IF(VLOOKUP($A202,Calendar!$A$1:$R$1377,18,0)=0,0,IF(VLOOKUP($A202,Calendar!$A$1:$R$1377,18,0)=1,IFERROR(INDEX(Pension_Model!$D$2:$D$29,MATCH(H202,Pension_Model!$B$2:$B$29,0)),0),IF(VLOOKUP($A202,Calendar!$A$1:$R$1377,18,0)=2,SUM(IFERROR(INDEX(Pension_Model!$D$2:$D$29,MATCH(H202,Pension_Model!$B$2:$B$29,0)),0),IFERROR(INDEX(Pension_Model!$D$2:$D$29,MATCH(H203,Pension_Model!$B$2:$B$29,0)),0)),IF(VLOOKUP($A202,Calendar!$A$1:$R$1377,18,0)=3,SUM(IFERROR(INDEX(Pension_Model!$D$2:$D$29,MATCH(H202,Pension_Model!$B$2:$B$29,0)),0),IFERROR(INDEX(Pension_Model!$D$2:$D$29,MATCH(H203,Pension_Model!$B$2:$B$29,0)),0),IFERROR(INDEX(Pension_Model!$D$2:$D$29,MATCH(H204,Pension_Model!$B$2:$B$29,0)),0)),IF(VLOOKUP($A202,Calendar!$A$1:$R$1377,18,0)=4,SUM(IFERROR(INDEX(Pension_Model!$D$2:$D$29,MATCH(H202,Pension_Model!$B$2:$B$29,0)),0),IFERROR(INDEX(Pension_Model!$D$2:$D$29,MATCH(H203,Pension_Model!$B$2:$B$29,0)),0),IFERROR(INDEX(Pension_Model!$D$2:$D$29,MATCH(H204,Pension_Model!$B$2:$B$29,0)),0),IFERROR(INDEX(Pension_Model!$D$2:$D$29,MATCH(H205,Pension_Model!$B$2:$B$29,0)),0)),IF(VLOOKUP($A202,Calendar!$A$1:$R$1377,18,0)=5,SUM(IFERROR(INDEX(Pension_Model!$D$2:$D$29,MATCH(H202,Pension_Model!$B$2:$B$29,0)),0),IFERROR(INDEX(Pension_Model!$D$2:$D$29,MATCH(H203,Pension_Model!$B$2:$B$29,0)),0),IFERROR(INDEX(Pension_Model!$D$2:$D$29,MATCH(H204,Pension_Model!$B$2:$B$29,0)),0),IFERROR(INDEX(Pension_Model!$D$2:$D$29,MATCH(H205,Pension_Model!$B$2:$B$29,0)),0),IFERROR(INDEX(Pension_Model!$D$2:$D$29,MATCH(H206,Pension_Model!$B$2:$B$29,0)),0)),0))))))</f>
        <v>0.05</v>
      </c>
      <c r="Q202" s="28">
        <f>Population_Data!$B$15*P202</f>
        <v>660600</v>
      </c>
      <c r="S202">
        <f t="shared" si="3"/>
        <v>1521284.3158402932</v>
      </c>
      <c r="U202" s="33">
        <f>S202/Population_Data!$B$19</f>
        <v>2.7559498475367629E-2</v>
      </c>
    </row>
    <row r="203" spans="1:21">
      <c r="A203" s="25">
        <f>Calendar!A203</f>
        <v>46436</v>
      </c>
      <c r="B203" t="str">
        <f>Calendar!L203</f>
        <v>Yes</v>
      </c>
      <c r="C203" t="str">
        <f>Calendar!O203</f>
        <v>No</v>
      </c>
      <c r="D203" t="str">
        <f>Calendar!P203</f>
        <v>No</v>
      </c>
      <c r="E203" t="str">
        <f>Calendar!Q203</f>
        <v>No</v>
      </c>
      <c r="F203" t="str">
        <f>Calendar!I203</f>
        <v>Thursday</v>
      </c>
      <c r="G203">
        <f>Calendar!S203</f>
        <v>12</v>
      </c>
      <c r="H203">
        <f>Calendar!T203</f>
        <v>12</v>
      </c>
      <c r="I203" s="27">
        <f>IF(VLOOKUP(A203,Calendar!$A$1:$R$1377,18,0)=0,0,IF(VLOOKUP(A203,Calendar!$A$1:$R$1377,18,0)=1,INDEX(Monthly_Pay_Model!$A$9:$D$40,MATCH(TEXT(A203,"dd"),Monthly_Pay_Model!$C$9:$C$39,0),4),IF(VLOOKUP(A203,Calendar!$A$1:$R$1377,18,0)=2,SUM(INDEX(Monthly_Pay_Model!$A$9:$D$40,MATCH(TEXT(A203,"dd"),Monthly_Pay_Model!$C$9:$C$39,0),4),INDEX(Monthly_Pay_Model!$A$9:$D$40,MATCH(TEXT(A204,"dd"),Monthly_Pay_Model!$C$9:$C$39,0),4)),IF(VLOOKUP(A203,Calendar!$A$1:$R$1377,18,0)=3,SUM(INDEX(Monthly_Pay_Model!$A$9:$D$40,MATCH(TEXT(A203,"dd"),Monthly_Pay_Model!$C$9:$C$39,0),4),INDEX(Monthly_Pay_Model!$A$9:$D$40,MATCH(TEXT(A204,"dd"),Monthly_Pay_Model!$C$9:$C$39,0),4),INDEX(Monthly_Pay_Model!$A$9:$D$40,MATCH(TEXT(A205,"dd"),Monthly_Pay_Model!$C$9:$C$39,0),4)),IF(VLOOKUP(A203,Calendar!$A$1:$R$1377,18,0)=4,SUM(INDEX(Monthly_Pay_Model!$A$9:$D$40,MATCH(TEXT(A203,"dd"),Monthly_Pay_Model!$C$9:$C$39,0),4),INDEX(Monthly_Pay_Model!$A$9:$D$40,MATCH(TEXT(A204,"dd"),Monthly_Pay_Model!$C$9:$C$39,0),4),INDEX(Monthly_Pay_Model!$A$9:$D$40,MATCH(TEXT(A205,"dd"),Monthly_Pay_Model!$C$9:$C$39,0),4),INDEX(Monthly_Pay_Model!$A$9:$D$40,MATCH(TEXT(A206,"dd"),Monthly_Pay_Model!$C$9:$C$39,0),4)),IF(VLOOKUP(A203,Calendar!$A$1:$R$1377,18,0)=5,SUM(INDEX(Monthly_Pay_Model!$A$9:$D$40,MATCH(TEXT(A203,"dd"),Monthly_Pay_Model!$C$9:$C$39,0),4),INDEX(Monthly_Pay_Model!$A$9:$D$40,MATCH(TEXT(A204,"dd"),Monthly_Pay_Model!$C$9:$C$39,0),4),INDEX(Monthly_Pay_Model!$A$9:$D$40,MATCH(TEXT(A205,"dd"),Monthly_Pay_Model!$C$9:$C$39,0),4),INDEX(Monthly_Pay_Model!$A$9:$D$40,MATCH(TEXT(A206,"dd"),Monthly_Pay_Model!$C$9:$C$39,0),4),INDEX(Monthly_Pay_Model!$A$9:$D$40,MATCH(TEXT(A207,"dd"),Monthly_Pay_Model!$C$9:$C$39,0),4)),))))))</f>
        <v>2.4376963350785331E-3</v>
      </c>
      <c r="J203" s="33">
        <f>IF(C203="Yes",Monthly_Pay_Model!$D$2,0)
+IF(Calendar!N203="Yes",Monthly_Pay_Model!$D$3,0)
+IF(D203="Yes",Monthly_Pay_Model!$D$4,0)
+IF(E203="Yes",Monthly_Pay_Model!$D$5,0)</f>
        <v>0</v>
      </c>
      <c r="K203" s="27">
        <f>IF(VLOOKUP($A203,Calendar!$A$1:$R$1377,18,0)=0,0,IF(VLOOKUP($A203,Calendar!$A$1:$R$1377,18,0)=1,IFERROR(INDEX(Weekly_Model!$D$2:$D$9,MATCH(F203,Weekly_Model!$A$2:$A$9,0)),0),IF(VLOOKUP($A203,Calendar!$A$1:$R$1377,18,0)=2,SUM(IFERROR(INDEX(Weekly_Model!$D$2:$D$9,MATCH(F203,Weekly_Model!$A$2:$A$9,0)),0),IFERROR(INDEX(Weekly_Model!$D$2:$D$9,MATCH(F204,Weekly_Model!$A$2:$A$9,0)),0)),IF(VLOOKUP($A203,Calendar!$A$1:$R$1377,18,0)=3,SUM(IFERROR(INDEX(Weekly_Model!$D$2:$D$9,MATCH(F203,Weekly_Model!$A$2:$A$9,0)),0),IFERROR(INDEX(Weekly_Model!$D$2:$D$9,MATCH(F204,Weekly_Model!$A$2:$A$9,0)),0),IFERROR(INDEX(Weekly_Model!$D$2:$D$9,MATCH(F205,Weekly_Model!$A$2:$A$9,0)),0)),IF(VLOOKUP($A203,Calendar!$A$1:$R$1377,18,0)=4,SUM(IFERROR(INDEX(Weekly_Model!$D$2:$D$9,MATCH(F203,Weekly_Model!$A$2:$A$9,0)),0),IFERROR(INDEX(Weekly_Model!$D$2:$D$9,MATCH(F204,Weekly_Model!$A$2:$A$9,0)),0),IFERROR(INDEX(Weekly_Model!$D$2:$D$9,MATCH(F205,Weekly_Model!$A$2:$A$9,0)),0),IFERROR(INDEX(Weekly_Model!$D$2:$D$9,MATCH(F206,Weekly_Model!$A$2:$A$9,0)),0)),IF(VLOOKUP($A203,Calendar!$A$1:$R$1377,18,0)=5,SUM(IFERROR(INDEX(Weekly_Model!$D$2:$D$9,MATCH(F203,Weekly_Model!$A$2:$A$9,0)),0),IFERROR(INDEX(Weekly_Model!$D$2:$D$9,MATCH(F204,Weekly_Model!$A$2:$A$9,0)),0),IFERROR(INDEX(Weekly_Model!$D$2:$D$9,MATCH(F205,Weekly_Model!$A$2:$A$9,0)),0),IFERROR(INDEX(Weekly_Model!$D$2:$D$9,MATCH(F206,Weekly_Model!$A$2:$A$9,0)),0),IFERROR(INDEX(Weekly_Model!$D$2:$D$9,MATCH(F207,Weekly_Model!$A$2:$A$9,0)),0)),0))))))</f>
        <v>2.3200000000000002E-2</v>
      </c>
      <c r="L203" s="27">
        <f>IF(VLOOKUP($A203,Calendar!$A$1:$R$1377,18,0)=0,0,IF(VLOOKUP($A203,Calendar!$A$1:$R$1377,18,0)=1,IFERROR(INDEX(Fortnightly_Model!$D$2:$D$15,MATCH(G203,Fortnightly_Model!$B$2:$B$15,0)),0),IF(VLOOKUP($A203,Calendar!$A$1:$R$1377,18,0)=2,SUM(IFERROR(INDEX(Fortnightly_Model!$D$2:$D$15,MATCH(G203,Fortnightly_Model!$B$2:$B$15,0)),0),IFERROR(INDEX(Fortnightly_Model!$D$2:$D$15,MATCH(G204,Fortnightly_Model!$B$2:$B$15,0)),0)),IF(VLOOKUP($A203,Calendar!$A$1:$R$1377,18,0)=3,SUM(IFERROR(INDEX(Fortnightly_Model!$D$2:$D$15,MATCH(G203,Fortnightly_Model!$B$2:$B$15,0)),0),IFERROR(INDEX(Fortnightly_Model!$D$2:$D$15,MATCH(G204,Fortnightly_Model!$B$2:$B$15,0)),0),IFERROR(INDEX(Fortnightly_Model!$D$2:$D$15,MATCH(G205,Fortnightly_Model!$B$2:$B$15,0)),0)),IF(VLOOKUP($A203,Calendar!$A$1:$R$1377,18,0)=4,SUM(IFERROR(INDEX(Fortnightly_Model!$D$2:$D$15,MATCH(G203,Fortnightly_Model!$B$2:$B$15,0)),0),IFERROR(INDEX(Fortnightly_Model!$D$2:$D$15,MATCH(G204,Fortnightly_Model!$B$2:$B$15,0)),0),IFERROR(INDEX(Fortnightly_Model!$D$2:$D$15,MATCH(G205,Fortnightly_Model!$B$2:$B$15,0)),0),IFERROR(INDEX(Fortnightly_Model!$D$2:$D$15,MATCH(G206,Fortnightly_Model!$B$2:$B$15,0)),0)),IF(VLOOKUP($A203,Calendar!$A$1:$R$1377,18,0)=5,SUM(IFERROR(INDEX(Fortnightly_Model!$D$2:$D$15,MATCH(G203,Fortnightly_Model!$B$2:$B$15,0)),0),IFERROR(INDEX(Fortnightly_Model!$D$2:$D$15,MATCH(G204,Fortnightly_Model!$B$2:$B$15,0)),0),IFERROR(INDEX(Fortnightly_Model!$D$2:$D$15,MATCH(G205,Fortnightly_Model!$B$2:$B$15,0)),0),IFERROR(INDEX(Fortnightly_Model!$D$2:$D$15,MATCH(G206,Fortnightly_Model!$B$2:$B$15,0)),0),IFERROR(INDEX(Fortnightly_Model!$D$2:$D$15,MATCH(G207,Fortnightly_Model!$B$2:$B$15,0)),0)),0))))))</f>
        <v>1.0714285499999999E-3</v>
      </c>
      <c r="M203" s="27">
        <f>IF(VLOOKUP($A203,Calendar!$A$1:$R$1377,18,0)=0,0,IF(VLOOKUP($A203,Calendar!$A$1:$R$1377,18,0)=1,IFERROR(INDEX(FourWeekly_Model!$D$2:$D$29,MATCH(H203,FourWeekly_Model!$B$2:$B$29,0)),0),IF(VLOOKUP($A203,Calendar!$A$1:$R$1377,18,0)=2,SUM(IFERROR(INDEX(FourWeekly_Model!$D$2:$D$29,MATCH(H203,FourWeekly_Model!$B$2:$B$29,0)),0),IFERROR(INDEX(FourWeekly_Model!$D$2:$D$29,MATCH(H204,FourWeekly_Model!$B$2:$B$29,0)),0)),IF(VLOOKUP($A203,Calendar!$A$1:$R$1377,18,0)=3,SUM(IFERROR(INDEX(FourWeekly_Model!$D$2:$D$29,MATCH(H203,FourWeekly_Model!$B$2:$B$29,0)),0),IFERROR(INDEX(FourWeekly_Model!$D$2:$D$29,MATCH(H204,FourWeekly_Model!$B$2:$B$29,0)),0),IFERROR(INDEX(FourWeekly_Model!$D$2:$D$29,MATCH(H205,FourWeekly_Model!$B$2:$B$29,0)),0)),IF(VLOOKUP($A203,Calendar!$A$1:$R$1377,18,0)=4,SUM(IFERROR(INDEX(FourWeekly_Model!$D$2:$D$29,MATCH(H203,FourWeekly_Model!$B$2:$B$29,0)),0),IFERROR(INDEX(FourWeekly_Model!$D$2:$D$29,MATCH(H204,FourWeekly_Model!$B$2:$B$29,0)),0),IFERROR(INDEX(FourWeekly_Model!$D$2:$D$29,MATCH(H205,FourWeekly_Model!$B$2:$B$29,0)),0),IFERROR(INDEX(FourWeekly_Model!$D$2:$D$29,MATCH(H206,FourWeekly_Model!$B$2:$B$29,0)),0)),IF(VLOOKUP($A203,Calendar!$A$1:$R$1377,18,0)=5,SUM(IFERROR(INDEX(FourWeekly_Model!$D$2:$D$29,MATCH(H203,FourWeekly_Model!$B$2:$B$29,0)),0),IFERROR(INDEX(FourWeekly_Model!$D$2:$D$29,MATCH(H204,FourWeekly_Model!$B$2:$B$29,0)),0),IFERROR(INDEX(FourWeekly_Model!$D$2:$D$29,MATCH(H205,FourWeekly_Model!$B$2:$B$29,0)),0),IFERROR(INDEX(FourWeekly_Model!$D$2:$D$29,MATCH(H206,FourWeekly_Model!$B$2:$B$29,0)),0),IFERROR(INDEX(FourWeekly_Model!$D$2:$D$29,MATCH(H207,FourWeekly_Model!$B$2:$B$29,0)),0)),0))))))</f>
        <v>3.3214289700000004E-3</v>
      </c>
      <c r="N203" s="27">
        <f>SUM(I203:M203)</f>
        <v>3.0030553855078537E-2</v>
      </c>
      <c r="O203" s="28">
        <f>Population_Data!$B$8*N203</f>
        <v>909925.78180887969</v>
      </c>
      <c r="P203" s="27">
        <f>IF(VLOOKUP($A203,Calendar!$A$1:$R$1377,18,0)=0,0,IF(VLOOKUP($A203,Calendar!$A$1:$R$1377,18,0)=1,IFERROR(INDEX(Pension_Model!$D$2:$D$29,MATCH(H203,Pension_Model!$B$2:$B$29,0)),0),IF(VLOOKUP($A203,Calendar!$A$1:$R$1377,18,0)=2,SUM(IFERROR(INDEX(Pension_Model!$D$2:$D$29,MATCH(H203,Pension_Model!$B$2:$B$29,0)),0),IFERROR(INDEX(Pension_Model!$D$2:$D$29,MATCH(H204,Pension_Model!$B$2:$B$29,0)),0)),IF(VLOOKUP($A203,Calendar!$A$1:$R$1377,18,0)=3,SUM(IFERROR(INDEX(Pension_Model!$D$2:$D$29,MATCH(H203,Pension_Model!$B$2:$B$29,0)),0),IFERROR(INDEX(Pension_Model!$D$2:$D$29,MATCH(H204,Pension_Model!$B$2:$B$29,0)),0),IFERROR(INDEX(Pension_Model!$D$2:$D$29,MATCH(H205,Pension_Model!$B$2:$B$29,0)),0)),IF(VLOOKUP($A203,Calendar!$A$1:$R$1377,18,0)=4,SUM(IFERROR(INDEX(Pension_Model!$D$2:$D$29,MATCH(H203,Pension_Model!$B$2:$B$29,0)),0),IFERROR(INDEX(Pension_Model!$D$2:$D$29,MATCH(H204,Pension_Model!$B$2:$B$29,0)),0),IFERROR(INDEX(Pension_Model!$D$2:$D$29,MATCH(H205,Pension_Model!$B$2:$B$29,0)),0),IFERROR(INDEX(Pension_Model!$D$2:$D$29,MATCH(H206,Pension_Model!$B$2:$B$29,0)),0)),IF(VLOOKUP($A203,Calendar!$A$1:$R$1377,18,0)=5,SUM(IFERROR(INDEX(Pension_Model!$D$2:$D$29,MATCH(H203,Pension_Model!$B$2:$B$29,0)),0),IFERROR(INDEX(Pension_Model!$D$2:$D$29,MATCH(H204,Pension_Model!$B$2:$B$29,0)),0),IFERROR(INDEX(Pension_Model!$D$2:$D$29,MATCH(H205,Pension_Model!$B$2:$B$29,0)),0),IFERROR(INDEX(Pension_Model!$D$2:$D$29,MATCH(H206,Pension_Model!$B$2:$B$29,0)),0),IFERROR(INDEX(Pension_Model!$D$2:$D$29,MATCH(H207,Pension_Model!$B$2:$B$29,0)),0)),0))))))</f>
        <v>0.05</v>
      </c>
      <c r="Q203" s="28">
        <f>Population_Data!$B$15*P203</f>
        <v>660600</v>
      </c>
      <c r="S203">
        <f t="shared" si="3"/>
        <v>1570525.7818088797</v>
      </c>
      <c r="U203" s="33">
        <f>S203/Population_Data!$B$19</f>
        <v>2.8451554018276808E-2</v>
      </c>
    </row>
    <row r="204" spans="1:21">
      <c r="A204" s="25">
        <f>Calendar!A204</f>
        <v>46437</v>
      </c>
      <c r="B204" t="str">
        <f>Calendar!L204</f>
        <v>Yes</v>
      </c>
      <c r="C204" t="str">
        <f>Calendar!O204</f>
        <v>No</v>
      </c>
      <c r="D204" t="str">
        <f>Calendar!P204</f>
        <v>No</v>
      </c>
      <c r="E204" t="str">
        <f>Calendar!Q204</f>
        <v>No</v>
      </c>
      <c r="F204" t="str">
        <f>Calendar!I204</f>
        <v>Friday</v>
      </c>
      <c r="G204">
        <f>Calendar!S204</f>
        <v>13</v>
      </c>
      <c r="H204">
        <f>Calendar!T204</f>
        <v>13</v>
      </c>
      <c r="I204" s="27">
        <f>IF(VLOOKUP(A204,Calendar!$A$1:$R$1377,18,0)=0,0,IF(VLOOKUP(A204,Calendar!$A$1:$R$1377,18,0)=1,INDEX(Monthly_Pay_Model!$A$9:$D$40,MATCH(TEXT(A204,"dd"),Monthly_Pay_Model!$C$9:$C$39,0),4),IF(VLOOKUP(A204,Calendar!$A$1:$R$1377,18,0)=2,SUM(INDEX(Monthly_Pay_Model!$A$9:$D$40,MATCH(TEXT(A204,"dd"),Monthly_Pay_Model!$C$9:$C$39,0),4),INDEX(Monthly_Pay_Model!$A$9:$D$40,MATCH(TEXT(A205,"dd"),Monthly_Pay_Model!$C$9:$C$39,0),4)),IF(VLOOKUP(A204,Calendar!$A$1:$R$1377,18,0)=3,SUM(INDEX(Monthly_Pay_Model!$A$9:$D$40,MATCH(TEXT(A204,"dd"),Monthly_Pay_Model!$C$9:$C$39,0),4),INDEX(Monthly_Pay_Model!$A$9:$D$40,MATCH(TEXT(A205,"dd"),Monthly_Pay_Model!$C$9:$C$39,0),4),INDEX(Monthly_Pay_Model!$A$9:$D$40,MATCH(TEXT(A206,"dd"),Monthly_Pay_Model!$C$9:$C$39,0),4)),IF(VLOOKUP(A204,Calendar!$A$1:$R$1377,18,0)=4,SUM(INDEX(Monthly_Pay_Model!$A$9:$D$40,MATCH(TEXT(A204,"dd"),Monthly_Pay_Model!$C$9:$C$39,0),4),INDEX(Monthly_Pay_Model!$A$9:$D$40,MATCH(TEXT(A205,"dd"),Monthly_Pay_Model!$C$9:$C$39,0),4),INDEX(Monthly_Pay_Model!$A$9:$D$40,MATCH(TEXT(A206,"dd"),Monthly_Pay_Model!$C$9:$C$39,0),4),INDEX(Monthly_Pay_Model!$A$9:$D$40,MATCH(TEXT(A207,"dd"),Monthly_Pay_Model!$C$9:$C$39,0),4)),IF(VLOOKUP(A204,Calendar!$A$1:$R$1377,18,0)=5,SUM(INDEX(Monthly_Pay_Model!$A$9:$D$40,MATCH(TEXT(A204,"dd"),Monthly_Pay_Model!$C$9:$C$39,0),4),INDEX(Monthly_Pay_Model!$A$9:$D$40,MATCH(TEXT(A205,"dd"),Monthly_Pay_Model!$C$9:$C$39,0),4),INDEX(Monthly_Pay_Model!$A$9:$D$40,MATCH(TEXT(A206,"dd"),Monthly_Pay_Model!$C$9:$C$39,0),4),INDEX(Monthly_Pay_Model!$A$9:$D$40,MATCH(TEXT(A207,"dd"),Monthly_Pay_Model!$C$9:$C$39,0),4),INDEX(Monthly_Pay_Model!$A$9:$D$40,MATCH(TEXT(A208,"dd"),Monthly_Pay_Model!$C$9:$C$39,0),4)),))))))</f>
        <v>1.46261780104712E-2</v>
      </c>
      <c r="J204" s="33">
        <f>IF(C204="Yes",Monthly_Pay_Model!$D$2,0)
+IF(Calendar!N204="Yes",Monthly_Pay_Model!$D$3,0)
+IF(D204="Yes",Monthly_Pay_Model!$D$4,0)
+IF(E204="Yes",Monthly_Pay_Model!$D$5,0)</f>
        <v>0</v>
      </c>
      <c r="K204" s="27">
        <f>IF(VLOOKUP($A204,Calendar!$A$1:$R$1377,18,0)=0,0,IF(VLOOKUP($A204,Calendar!$A$1:$R$1377,18,0)=1,IFERROR(INDEX(Weekly_Model!$D$2:$D$9,MATCH(F204,Weekly_Model!$A$2:$A$9,0)),0),IF(VLOOKUP($A204,Calendar!$A$1:$R$1377,18,0)=2,SUM(IFERROR(INDEX(Weekly_Model!$D$2:$D$9,MATCH(F204,Weekly_Model!$A$2:$A$9,0)),0),IFERROR(INDEX(Weekly_Model!$D$2:$D$9,MATCH(F205,Weekly_Model!$A$2:$A$9,0)),0)),IF(VLOOKUP($A204,Calendar!$A$1:$R$1377,18,0)=3,SUM(IFERROR(INDEX(Weekly_Model!$D$2:$D$9,MATCH(F204,Weekly_Model!$A$2:$A$9,0)),0),IFERROR(INDEX(Weekly_Model!$D$2:$D$9,MATCH(F205,Weekly_Model!$A$2:$A$9,0)),0),IFERROR(INDEX(Weekly_Model!$D$2:$D$9,MATCH(F206,Weekly_Model!$A$2:$A$9,0)),0)),IF(VLOOKUP($A204,Calendar!$A$1:$R$1377,18,0)=4,SUM(IFERROR(INDEX(Weekly_Model!$D$2:$D$9,MATCH(F204,Weekly_Model!$A$2:$A$9,0)),0),IFERROR(INDEX(Weekly_Model!$D$2:$D$9,MATCH(F205,Weekly_Model!$A$2:$A$9,0)),0),IFERROR(INDEX(Weekly_Model!$D$2:$D$9,MATCH(F206,Weekly_Model!$A$2:$A$9,0)),0),IFERROR(INDEX(Weekly_Model!$D$2:$D$9,MATCH(F207,Weekly_Model!$A$2:$A$9,0)),0)),IF(VLOOKUP($A204,Calendar!$A$1:$R$1377,18,0)=5,SUM(IFERROR(INDEX(Weekly_Model!$D$2:$D$9,MATCH(F204,Weekly_Model!$A$2:$A$9,0)),0),IFERROR(INDEX(Weekly_Model!$D$2:$D$9,MATCH(F205,Weekly_Model!$A$2:$A$9,0)),0),IFERROR(INDEX(Weekly_Model!$D$2:$D$9,MATCH(F206,Weekly_Model!$A$2:$A$9,0)),0),IFERROR(INDEX(Weekly_Model!$D$2:$D$9,MATCH(F207,Weekly_Model!$A$2:$A$9,0)),0),IFERROR(INDEX(Weekly_Model!$D$2:$D$9,MATCH(F208,Weekly_Model!$A$2:$A$9,0)),0)),0))))))</f>
        <v>2.3200000000000002E-2</v>
      </c>
      <c r="L204" s="27">
        <f>IF(VLOOKUP($A204,Calendar!$A$1:$R$1377,18,0)=0,0,IF(VLOOKUP($A204,Calendar!$A$1:$R$1377,18,0)=1,IFERROR(INDEX(Fortnightly_Model!$D$2:$D$15,MATCH(G204,Fortnightly_Model!$B$2:$B$15,0)),0),IF(VLOOKUP($A204,Calendar!$A$1:$R$1377,18,0)=2,SUM(IFERROR(INDEX(Fortnightly_Model!$D$2:$D$15,MATCH(G204,Fortnightly_Model!$B$2:$B$15,0)),0),IFERROR(INDEX(Fortnightly_Model!$D$2:$D$15,MATCH(G205,Fortnightly_Model!$B$2:$B$15,0)),0)),IF(VLOOKUP($A204,Calendar!$A$1:$R$1377,18,0)=3,SUM(IFERROR(INDEX(Fortnightly_Model!$D$2:$D$15,MATCH(G204,Fortnightly_Model!$B$2:$B$15,0)),0),IFERROR(INDEX(Fortnightly_Model!$D$2:$D$15,MATCH(G205,Fortnightly_Model!$B$2:$B$15,0)),0),IFERROR(INDEX(Fortnightly_Model!$D$2:$D$15,MATCH(G206,Fortnightly_Model!$B$2:$B$15,0)),0)),IF(VLOOKUP($A204,Calendar!$A$1:$R$1377,18,0)=4,SUM(IFERROR(INDEX(Fortnightly_Model!$D$2:$D$15,MATCH(G204,Fortnightly_Model!$B$2:$B$15,0)),0),IFERROR(INDEX(Fortnightly_Model!$D$2:$D$15,MATCH(G205,Fortnightly_Model!$B$2:$B$15,0)),0),IFERROR(INDEX(Fortnightly_Model!$D$2:$D$15,MATCH(G206,Fortnightly_Model!$B$2:$B$15,0)),0),IFERROR(INDEX(Fortnightly_Model!$D$2:$D$15,MATCH(G207,Fortnightly_Model!$B$2:$B$15,0)),0)),IF(VLOOKUP($A204,Calendar!$A$1:$R$1377,18,0)=5,SUM(IFERROR(INDEX(Fortnightly_Model!$D$2:$D$15,MATCH(G204,Fortnightly_Model!$B$2:$B$15,0)),0),IFERROR(INDEX(Fortnightly_Model!$D$2:$D$15,MATCH(G205,Fortnightly_Model!$B$2:$B$15,0)),0),IFERROR(INDEX(Fortnightly_Model!$D$2:$D$15,MATCH(G206,Fortnightly_Model!$B$2:$B$15,0)),0),IFERROR(INDEX(Fortnightly_Model!$D$2:$D$15,MATCH(G207,Fortnightly_Model!$B$2:$B$15,0)),0),IFERROR(INDEX(Fortnightly_Model!$D$2:$D$15,MATCH(G208,Fortnightly_Model!$B$2:$B$15,0)),0)),0))))))</f>
        <v>3.2142856499999999E-3</v>
      </c>
      <c r="M204" s="27">
        <f>IF(VLOOKUP($A204,Calendar!$A$1:$R$1377,18,0)=0,0,IF(VLOOKUP($A204,Calendar!$A$1:$R$1377,18,0)=1,IFERROR(INDEX(FourWeekly_Model!$D$2:$D$29,MATCH(H204,FourWeekly_Model!$B$2:$B$29,0)),0),IF(VLOOKUP($A204,Calendar!$A$1:$R$1377,18,0)=2,SUM(IFERROR(INDEX(FourWeekly_Model!$D$2:$D$29,MATCH(H204,FourWeekly_Model!$B$2:$B$29,0)),0),IFERROR(INDEX(FourWeekly_Model!$D$2:$D$29,MATCH(H205,FourWeekly_Model!$B$2:$B$29,0)),0)),IF(VLOOKUP($A204,Calendar!$A$1:$R$1377,18,0)=3,SUM(IFERROR(INDEX(FourWeekly_Model!$D$2:$D$29,MATCH(H204,FourWeekly_Model!$B$2:$B$29,0)),0),IFERROR(INDEX(FourWeekly_Model!$D$2:$D$29,MATCH(H205,FourWeekly_Model!$B$2:$B$29,0)),0),IFERROR(INDEX(FourWeekly_Model!$D$2:$D$29,MATCH(H206,FourWeekly_Model!$B$2:$B$29,0)),0)),IF(VLOOKUP($A204,Calendar!$A$1:$R$1377,18,0)=4,SUM(IFERROR(INDEX(FourWeekly_Model!$D$2:$D$29,MATCH(H204,FourWeekly_Model!$B$2:$B$29,0)),0),IFERROR(INDEX(FourWeekly_Model!$D$2:$D$29,MATCH(H205,FourWeekly_Model!$B$2:$B$29,0)),0),IFERROR(INDEX(FourWeekly_Model!$D$2:$D$29,MATCH(H206,FourWeekly_Model!$B$2:$B$29,0)),0),IFERROR(INDEX(FourWeekly_Model!$D$2:$D$29,MATCH(H207,FourWeekly_Model!$B$2:$B$29,0)),0)),IF(VLOOKUP($A204,Calendar!$A$1:$R$1377,18,0)=5,SUM(IFERROR(INDEX(FourWeekly_Model!$D$2:$D$29,MATCH(H204,FourWeekly_Model!$B$2:$B$29,0)),0),IFERROR(INDEX(FourWeekly_Model!$D$2:$D$29,MATCH(H205,FourWeekly_Model!$B$2:$B$29,0)),0),IFERROR(INDEX(FourWeekly_Model!$D$2:$D$29,MATCH(H206,FourWeekly_Model!$B$2:$B$29,0)),0),IFERROR(INDEX(FourWeekly_Model!$D$2:$D$29,MATCH(H207,FourWeekly_Model!$B$2:$B$29,0)),0),IFERROR(INDEX(FourWeekly_Model!$D$2:$D$29,MATCH(H208,FourWeekly_Model!$B$2:$B$29,0)),0)),0))))))</f>
        <v>9.9642859800000011E-3</v>
      </c>
      <c r="N204" s="27">
        <f>SUM(I204:M204)</f>
        <v>5.1004749640471206E-2</v>
      </c>
      <c r="O204" s="28">
        <f>Population_Data!$B$8*N204</f>
        <v>1545443.9141062775</v>
      </c>
      <c r="P204" s="27">
        <f>IF(VLOOKUP($A204,Calendar!$A$1:$R$1377,18,0)=0,0,IF(VLOOKUP($A204,Calendar!$A$1:$R$1377,18,0)=1,IFERROR(INDEX(Pension_Model!$D$2:$D$29,MATCH(H204,Pension_Model!$B$2:$B$29,0)),0),IF(VLOOKUP($A204,Calendar!$A$1:$R$1377,18,0)=2,SUM(IFERROR(INDEX(Pension_Model!$D$2:$D$29,MATCH(H204,Pension_Model!$B$2:$B$29,0)),0),IFERROR(INDEX(Pension_Model!$D$2:$D$29,MATCH(H205,Pension_Model!$B$2:$B$29,0)),0)),IF(VLOOKUP($A204,Calendar!$A$1:$R$1377,18,0)=3,SUM(IFERROR(INDEX(Pension_Model!$D$2:$D$29,MATCH(H204,Pension_Model!$B$2:$B$29,0)),0),IFERROR(INDEX(Pension_Model!$D$2:$D$29,MATCH(H205,Pension_Model!$B$2:$B$29,0)),0),IFERROR(INDEX(Pension_Model!$D$2:$D$29,MATCH(H206,Pension_Model!$B$2:$B$29,0)),0)),IF(VLOOKUP($A204,Calendar!$A$1:$R$1377,18,0)=4,SUM(IFERROR(INDEX(Pension_Model!$D$2:$D$29,MATCH(H204,Pension_Model!$B$2:$B$29,0)),0),IFERROR(INDEX(Pension_Model!$D$2:$D$29,MATCH(H205,Pension_Model!$B$2:$B$29,0)),0),IFERROR(INDEX(Pension_Model!$D$2:$D$29,MATCH(H206,Pension_Model!$B$2:$B$29,0)),0),IFERROR(INDEX(Pension_Model!$D$2:$D$29,MATCH(H207,Pension_Model!$B$2:$B$29,0)),0)),IF(VLOOKUP($A204,Calendar!$A$1:$R$1377,18,0)=5,SUM(IFERROR(INDEX(Pension_Model!$D$2:$D$29,MATCH(H204,Pension_Model!$B$2:$B$29,0)),0),IFERROR(INDEX(Pension_Model!$D$2:$D$29,MATCH(H205,Pension_Model!$B$2:$B$29,0)),0),IFERROR(INDEX(Pension_Model!$D$2:$D$29,MATCH(H206,Pension_Model!$B$2:$B$29,0)),0),IFERROR(INDEX(Pension_Model!$D$2:$D$29,MATCH(H207,Pension_Model!$B$2:$B$29,0)),0),IFERROR(INDEX(Pension_Model!$D$2:$D$29,MATCH(H208,Pension_Model!$B$2:$B$29,0)),0)),0))))))</f>
        <v>0.05</v>
      </c>
      <c r="Q204" s="28">
        <f>Population_Data!$B$15*P204</f>
        <v>660600</v>
      </c>
      <c r="S204">
        <f t="shared" si="3"/>
        <v>2206043.9141062777</v>
      </c>
      <c r="U204" s="33">
        <f>S204/Population_Data!$B$19</f>
        <v>3.9964563661345612E-2</v>
      </c>
    </row>
    <row r="205" spans="1:21">
      <c r="A205" s="25">
        <f>Calendar!A205</f>
        <v>46438</v>
      </c>
      <c r="B205" t="str">
        <f>Calendar!L205</f>
        <v>No</v>
      </c>
      <c r="C205" t="str">
        <f>Calendar!O205</f>
        <v>No</v>
      </c>
      <c r="D205" t="str">
        <f>Calendar!P205</f>
        <v>No</v>
      </c>
      <c r="E205" t="str">
        <f>Calendar!Q205</f>
        <v>No</v>
      </c>
      <c r="F205" t="str">
        <f>Calendar!I205</f>
        <v>Saturday</v>
      </c>
      <c r="G205">
        <f>Calendar!S205</f>
        <v>0</v>
      </c>
      <c r="H205">
        <f>Calendar!T205</f>
        <v>14</v>
      </c>
      <c r="I205" s="27">
        <f>IF(VLOOKUP(A205,Calendar!$A$1:$R$1377,18,0)=0,0,IF(VLOOKUP(A205,Calendar!$A$1:$R$1377,18,0)=1,INDEX(Monthly_Pay_Model!$A$9:$D$40,MATCH(TEXT(A205,"dd"),Monthly_Pay_Model!$C$9:$C$39,0),4),IF(VLOOKUP(A205,Calendar!$A$1:$R$1377,18,0)=2,SUM(INDEX(Monthly_Pay_Model!$A$9:$D$40,MATCH(TEXT(A205,"dd"),Monthly_Pay_Model!$C$9:$C$39,0),4),INDEX(Monthly_Pay_Model!$A$9:$D$40,MATCH(TEXT(A206,"dd"),Monthly_Pay_Model!$C$9:$C$39,0),4)),IF(VLOOKUP(A205,Calendar!$A$1:$R$1377,18,0)=3,SUM(INDEX(Monthly_Pay_Model!$A$9:$D$40,MATCH(TEXT(A205,"dd"),Monthly_Pay_Model!$C$9:$C$39,0),4),INDEX(Monthly_Pay_Model!$A$9:$D$40,MATCH(TEXT(A206,"dd"),Monthly_Pay_Model!$C$9:$C$39,0),4),INDEX(Monthly_Pay_Model!$A$9:$D$40,MATCH(TEXT(A207,"dd"),Monthly_Pay_Model!$C$9:$C$39,0),4)),IF(VLOOKUP(A205,Calendar!$A$1:$R$1377,18,0)=4,SUM(INDEX(Monthly_Pay_Model!$A$9:$D$40,MATCH(TEXT(A205,"dd"),Monthly_Pay_Model!$C$9:$C$39,0),4),INDEX(Monthly_Pay_Model!$A$9:$D$40,MATCH(TEXT(A206,"dd"),Monthly_Pay_Model!$C$9:$C$39,0),4),INDEX(Monthly_Pay_Model!$A$9:$D$40,MATCH(TEXT(A207,"dd"),Monthly_Pay_Model!$C$9:$C$39,0),4),INDEX(Monthly_Pay_Model!$A$9:$D$40,MATCH(TEXT(A208,"dd"),Monthly_Pay_Model!$C$9:$C$39,0),4)),IF(VLOOKUP(A205,Calendar!$A$1:$R$1377,18,0)=5,SUM(INDEX(Monthly_Pay_Model!$A$9:$D$40,MATCH(TEXT(A205,"dd"),Monthly_Pay_Model!$C$9:$C$39,0),4),INDEX(Monthly_Pay_Model!$A$9:$D$40,MATCH(TEXT(A206,"dd"),Monthly_Pay_Model!$C$9:$C$39,0),4),INDEX(Monthly_Pay_Model!$A$9:$D$40,MATCH(TEXT(A207,"dd"),Monthly_Pay_Model!$C$9:$C$39,0),4),INDEX(Monthly_Pay_Model!$A$9:$D$40,MATCH(TEXT(A208,"dd"),Monthly_Pay_Model!$C$9:$C$39,0),4),INDEX(Monthly_Pay_Model!$A$9:$D$40,MATCH(TEXT(A209,"dd"),Monthly_Pay_Model!$C$9:$C$39,0),4)),))))))</f>
        <v>0</v>
      </c>
      <c r="J205" s="33">
        <f>IF(C205="Yes",Monthly_Pay_Model!$D$2,0)
+IF(Calendar!N205="Yes",Monthly_Pay_Model!$D$3,0)
+IF(D205="Yes",Monthly_Pay_Model!$D$4,0)
+IF(E205="Yes",Monthly_Pay_Model!$D$5,0)</f>
        <v>0</v>
      </c>
      <c r="K205" s="27">
        <f>IF(VLOOKUP($A205,Calendar!$A$1:$R$1377,18,0)=0,0,IF(VLOOKUP($A205,Calendar!$A$1:$R$1377,18,0)=1,IFERROR(INDEX(Weekly_Model!$D$2:$D$9,MATCH(F205,Weekly_Model!$A$2:$A$9,0)),0),IF(VLOOKUP($A205,Calendar!$A$1:$R$1377,18,0)=2,SUM(IFERROR(INDEX(Weekly_Model!$D$2:$D$9,MATCH(F205,Weekly_Model!$A$2:$A$9,0)),0),IFERROR(INDEX(Weekly_Model!$D$2:$D$9,MATCH(F206,Weekly_Model!$A$2:$A$9,0)),0)),IF(VLOOKUP($A205,Calendar!$A$1:$R$1377,18,0)=3,SUM(IFERROR(INDEX(Weekly_Model!$D$2:$D$9,MATCH(F205,Weekly_Model!$A$2:$A$9,0)),0),IFERROR(INDEX(Weekly_Model!$D$2:$D$9,MATCH(F206,Weekly_Model!$A$2:$A$9,0)),0),IFERROR(INDEX(Weekly_Model!$D$2:$D$9,MATCH(F207,Weekly_Model!$A$2:$A$9,0)),0)),IF(VLOOKUP($A205,Calendar!$A$1:$R$1377,18,0)=4,SUM(IFERROR(INDEX(Weekly_Model!$D$2:$D$9,MATCH(F205,Weekly_Model!$A$2:$A$9,0)),0),IFERROR(INDEX(Weekly_Model!$D$2:$D$9,MATCH(F206,Weekly_Model!$A$2:$A$9,0)),0),IFERROR(INDEX(Weekly_Model!$D$2:$D$9,MATCH(F207,Weekly_Model!$A$2:$A$9,0)),0),IFERROR(INDEX(Weekly_Model!$D$2:$D$9,MATCH(F208,Weekly_Model!$A$2:$A$9,0)),0)),IF(VLOOKUP($A205,Calendar!$A$1:$R$1377,18,0)=5,SUM(IFERROR(INDEX(Weekly_Model!$D$2:$D$9,MATCH(F205,Weekly_Model!$A$2:$A$9,0)),0),IFERROR(INDEX(Weekly_Model!$D$2:$D$9,MATCH(F206,Weekly_Model!$A$2:$A$9,0)),0),IFERROR(INDEX(Weekly_Model!$D$2:$D$9,MATCH(F207,Weekly_Model!$A$2:$A$9,0)),0),IFERROR(INDEX(Weekly_Model!$D$2:$D$9,MATCH(F208,Weekly_Model!$A$2:$A$9,0)),0),IFERROR(INDEX(Weekly_Model!$D$2:$D$9,MATCH(F209,Weekly_Model!$A$2:$A$9,0)),0)),0))))))</f>
        <v>0</v>
      </c>
      <c r="L205" s="27">
        <f>IF(VLOOKUP($A205,Calendar!$A$1:$R$1377,18,0)=0,0,IF(VLOOKUP($A205,Calendar!$A$1:$R$1377,18,0)=1,IFERROR(INDEX(Fortnightly_Model!$D$2:$D$15,MATCH(G205,Fortnightly_Model!$B$2:$B$15,0)),0),IF(VLOOKUP($A205,Calendar!$A$1:$R$1377,18,0)=2,SUM(IFERROR(INDEX(Fortnightly_Model!$D$2:$D$15,MATCH(G205,Fortnightly_Model!$B$2:$B$15,0)),0),IFERROR(INDEX(Fortnightly_Model!$D$2:$D$15,MATCH(G206,Fortnightly_Model!$B$2:$B$15,0)),0)),IF(VLOOKUP($A205,Calendar!$A$1:$R$1377,18,0)=3,SUM(IFERROR(INDEX(Fortnightly_Model!$D$2:$D$15,MATCH(G205,Fortnightly_Model!$B$2:$B$15,0)),0),IFERROR(INDEX(Fortnightly_Model!$D$2:$D$15,MATCH(G206,Fortnightly_Model!$B$2:$B$15,0)),0),IFERROR(INDEX(Fortnightly_Model!$D$2:$D$15,MATCH(G207,Fortnightly_Model!$B$2:$B$15,0)),0)),IF(VLOOKUP($A205,Calendar!$A$1:$R$1377,18,0)=4,SUM(IFERROR(INDEX(Fortnightly_Model!$D$2:$D$15,MATCH(G205,Fortnightly_Model!$B$2:$B$15,0)),0),IFERROR(INDEX(Fortnightly_Model!$D$2:$D$15,MATCH(G206,Fortnightly_Model!$B$2:$B$15,0)),0),IFERROR(INDEX(Fortnightly_Model!$D$2:$D$15,MATCH(G207,Fortnightly_Model!$B$2:$B$15,0)),0),IFERROR(INDEX(Fortnightly_Model!$D$2:$D$15,MATCH(G208,Fortnightly_Model!$B$2:$B$15,0)),0)),IF(VLOOKUP($A205,Calendar!$A$1:$R$1377,18,0)=5,SUM(IFERROR(INDEX(Fortnightly_Model!$D$2:$D$15,MATCH(G205,Fortnightly_Model!$B$2:$B$15,0)),0),IFERROR(INDEX(Fortnightly_Model!$D$2:$D$15,MATCH(G206,Fortnightly_Model!$B$2:$B$15,0)),0),IFERROR(INDEX(Fortnightly_Model!$D$2:$D$15,MATCH(G207,Fortnightly_Model!$B$2:$B$15,0)),0),IFERROR(INDEX(Fortnightly_Model!$D$2:$D$15,MATCH(G208,Fortnightly_Model!$B$2:$B$15,0)),0),IFERROR(INDEX(Fortnightly_Model!$D$2:$D$15,MATCH(G209,Fortnightly_Model!$B$2:$B$15,0)),0)),0))))))</f>
        <v>0</v>
      </c>
      <c r="M205" s="27">
        <f>IF(VLOOKUP($A205,Calendar!$A$1:$R$1377,18,0)=0,0,IF(VLOOKUP($A205,Calendar!$A$1:$R$1377,18,0)=1,IFERROR(INDEX(FourWeekly_Model!$D$2:$D$29,MATCH(H205,FourWeekly_Model!$B$2:$B$29,0)),0),IF(VLOOKUP($A205,Calendar!$A$1:$R$1377,18,0)=2,SUM(IFERROR(INDEX(FourWeekly_Model!$D$2:$D$29,MATCH(H205,FourWeekly_Model!$B$2:$B$29,0)),0),IFERROR(INDEX(FourWeekly_Model!$D$2:$D$29,MATCH(H206,FourWeekly_Model!$B$2:$B$29,0)),0)),IF(VLOOKUP($A205,Calendar!$A$1:$R$1377,18,0)=3,SUM(IFERROR(INDEX(FourWeekly_Model!$D$2:$D$29,MATCH(H205,FourWeekly_Model!$B$2:$B$29,0)),0),IFERROR(INDEX(FourWeekly_Model!$D$2:$D$29,MATCH(H206,FourWeekly_Model!$B$2:$B$29,0)),0),IFERROR(INDEX(FourWeekly_Model!$D$2:$D$29,MATCH(H207,FourWeekly_Model!$B$2:$B$29,0)),0)),IF(VLOOKUP($A205,Calendar!$A$1:$R$1377,18,0)=4,SUM(IFERROR(INDEX(FourWeekly_Model!$D$2:$D$29,MATCH(H205,FourWeekly_Model!$B$2:$B$29,0)),0),IFERROR(INDEX(FourWeekly_Model!$D$2:$D$29,MATCH(H206,FourWeekly_Model!$B$2:$B$29,0)),0),IFERROR(INDEX(FourWeekly_Model!$D$2:$D$29,MATCH(H207,FourWeekly_Model!$B$2:$B$29,0)),0),IFERROR(INDEX(FourWeekly_Model!$D$2:$D$29,MATCH(H208,FourWeekly_Model!$B$2:$B$29,0)),0)),IF(VLOOKUP($A205,Calendar!$A$1:$R$1377,18,0)=5,SUM(IFERROR(INDEX(FourWeekly_Model!$D$2:$D$29,MATCH(H205,FourWeekly_Model!$B$2:$B$29,0)),0),IFERROR(INDEX(FourWeekly_Model!$D$2:$D$29,MATCH(H206,FourWeekly_Model!$B$2:$B$29,0)),0),IFERROR(INDEX(FourWeekly_Model!$D$2:$D$29,MATCH(H207,FourWeekly_Model!$B$2:$B$29,0)),0),IFERROR(INDEX(FourWeekly_Model!$D$2:$D$29,MATCH(H208,FourWeekly_Model!$B$2:$B$29,0)),0),IFERROR(INDEX(FourWeekly_Model!$D$2:$D$29,MATCH(H209,FourWeekly_Model!$B$2:$B$29,0)),0)),0))))))</f>
        <v>0</v>
      </c>
      <c r="N205" s="27">
        <f>SUM(I205:M205)</f>
        <v>0</v>
      </c>
      <c r="O205" s="28">
        <f>Population_Data!$B$8*N205</f>
        <v>0</v>
      </c>
      <c r="P205" s="27">
        <f>IF(VLOOKUP($A205,Calendar!$A$1:$R$1377,18,0)=0,0,IF(VLOOKUP($A205,Calendar!$A$1:$R$1377,18,0)=1,IFERROR(INDEX(Pension_Model!$D$2:$D$29,MATCH(H205,Pension_Model!$B$2:$B$29,0)),0),IF(VLOOKUP($A205,Calendar!$A$1:$R$1377,18,0)=2,SUM(IFERROR(INDEX(Pension_Model!$D$2:$D$29,MATCH(H205,Pension_Model!$B$2:$B$29,0)),0),IFERROR(INDEX(Pension_Model!$D$2:$D$29,MATCH(H206,Pension_Model!$B$2:$B$29,0)),0)),IF(VLOOKUP($A205,Calendar!$A$1:$R$1377,18,0)=3,SUM(IFERROR(INDEX(Pension_Model!$D$2:$D$29,MATCH(H205,Pension_Model!$B$2:$B$29,0)),0),IFERROR(INDEX(Pension_Model!$D$2:$D$29,MATCH(H206,Pension_Model!$B$2:$B$29,0)),0),IFERROR(INDEX(Pension_Model!$D$2:$D$29,MATCH(H207,Pension_Model!$B$2:$B$29,0)),0)),IF(VLOOKUP($A205,Calendar!$A$1:$R$1377,18,0)=4,SUM(IFERROR(INDEX(Pension_Model!$D$2:$D$29,MATCH(H205,Pension_Model!$B$2:$B$29,0)),0),IFERROR(INDEX(Pension_Model!$D$2:$D$29,MATCH(H206,Pension_Model!$B$2:$B$29,0)),0),IFERROR(INDEX(Pension_Model!$D$2:$D$29,MATCH(H207,Pension_Model!$B$2:$B$29,0)),0),IFERROR(INDEX(Pension_Model!$D$2:$D$29,MATCH(H208,Pension_Model!$B$2:$B$29,0)),0)),IF(VLOOKUP($A205,Calendar!$A$1:$R$1377,18,0)=5,SUM(IFERROR(INDEX(Pension_Model!$D$2:$D$29,MATCH(H205,Pension_Model!$B$2:$B$29,0)),0),IFERROR(INDEX(Pension_Model!$D$2:$D$29,MATCH(H206,Pension_Model!$B$2:$B$29,0)),0),IFERROR(INDEX(Pension_Model!$D$2:$D$29,MATCH(H207,Pension_Model!$B$2:$B$29,0)),0),IFERROR(INDEX(Pension_Model!$D$2:$D$29,MATCH(H208,Pension_Model!$B$2:$B$29,0)),0),IFERROR(INDEX(Pension_Model!$D$2:$D$29,MATCH(H209,Pension_Model!$B$2:$B$29,0)),0)),0))))))</f>
        <v>0</v>
      </c>
      <c r="Q205" s="28">
        <f>Population_Data!$B$15*P205</f>
        <v>0</v>
      </c>
      <c r="S205">
        <f t="shared" si="3"/>
        <v>0</v>
      </c>
      <c r="U205" s="33">
        <f>S205/Population_Data!$B$19</f>
        <v>0</v>
      </c>
    </row>
    <row r="206" spans="1:21">
      <c r="A206" s="25">
        <f>Calendar!A206</f>
        <v>46439</v>
      </c>
      <c r="B206" t="str">
        <f>Calendar!L206</f>
        <v>No</v>
      </c>
      <c r="C206" t="str">
        <f>Calendar!O206</f>
        <v>No</v>
      </c>
      <c r="D206" t="str">
        <f>Calendar!P206</f>
        <v>No</v>
      </c>
      <c r="E206" t="str">
        <f>Calendar!Q206</f>
        <v>No</v>
      </c>
      <c r="F206" t="str">
        <f>Calendar!I206</f>
        <v>Sunday</v>
      </c>
      <c r="G206">
        <f>Calendar!S206</f>
        <v>1</v>
      </c>
      <c r="H206">
        <f>Calendar!T206</f>
        <v>15</v>
      </c>
      <c r="I206" s="27">
        <f>IF(VLOOKUP(A206,Calendar!$A$1:$R$1377,18,0)=0,0,IF(VLOOKUP(A206,Calendar!$A$1:$R$1377,18,0)=1,INDEX(Monthly_Pay_Model!$A$9:$D$40,MATCH(TEXT(A206,"dd"),Monthly_Pay_Model!$C$9:$C$39,0),4),IF(VLOOKUP(A206,Calendar!$A$1:$R$1377,18,0)=2,SUM(INDEX(Monthly_Pay_Model!$A$9:$D$40,MATCH(TEXT(A206,"dd"),Monthly_Pay_Model!$C$9:$C$39,0),4),INDEX(Monthly_Pay_Model!$A$9:$D$40,MATCH(TEXT(A207,"dd"),Monthly_Pay_Model!$C$9:$C$39,0),4)),IF(VLOOKUP(A206,Calendar!$A$1:$R$1377,18,0)=3,SUM(INDEX(Monthly_Pay_Model!$A$9:$D$40,MATCH(TEXT(A206,"dd"),Monthly_Pay_Model!$C$9:$C$39,0),4),INDEX(Monthly_Pay_Model!$A$9:$D$40,MATCH(TEXT(A207,"dd"),Monthly_Pay_Model!$C$9:$C$39,0),4),INDEX(Monthly_Pay_Model!$A$9:$D$40,MATCH(TEXT(A208,"dd"),Monthly_Pay_Model!$C$9:$C$39,0),4)),IF(VLOOKUP(A206,Calendar!$A$1:$R$1377,18,0)=4,SUM(INDEX(Monthly_Pay_Model!$A$9:$D$40,MATCH(TEXT(A206,"dd"),Monthly_Pay_Model!$C$9:$C$39,0),4),INDEX(Monthly_Pay_Model!$A$9:$D$40,MATCH(TEXT(A207,"dd"),Monthly_Pay_Model!$C$9:$C$39,0),4),INDEX(Monthly_Pay_Model!$A$9:$D$40,MATCH(TEXT(A208,"dd"),Monthly_Pay_Model!$C$9:$C$39,0),4),INDEX(Monthly_Pay_Model!$A$9:$D$40,MATCH(TEXT(A209,"dd"),Monthly_Pay_Model!$C$9:$C$39,0),4)),IF(VLOOKUP(A206,Calendar!$A$1:$R$1377,18,0)=5,SUM(INDEX(Monthly_Pay_Model!$A$9:$D$40,MATCH(TEXT(A206,"dd"),Monthly_Pay_Model!$C$9:$C$39,0),4),INDEX(Monthly_Pay_Model!$A$9:$D$40,MATCH(TEXT(A207,"dd"),Monthly_Pay_Model!$C$9:$C$39,0),4),INDEX(Monthly_Pay_Model!$A$9:$D$40,MATCH(TEXT(A208,"dd"),Monthly_Pay_Model!$C$9:$C$39,0),4),INDEX(Monthly_Pay_Model!$A$9:$D$40,MATCH(TEXT(A209,"dd"),Monthly_Pay_Model!$C$9:$C$39,0),4),INDEX(Monthly_Pay_Model!$A$9:$D$40,MATCH(TEXT(A210,"dd"),Monthly_Pay_Model!$C$9:$C$39,0),4)),))))))</f>
        <v>0</v>
      </c>
      <c r="J206" s="33">
        <f>IF(C206="Yes",Monthly_Pay_Model!$D$2,0)
+IF(Calendar!N206="Yes",Monthly_Pay_Model!$D$3,0)
+IF(D206="Yes",Monthly_Pay_Model!$D$4,0)
+IF(E206="Yes",Monthly_Pay_Model!$D$5,0)</f>
        <v>0</v>
      </c>
      <c r="K206" s="27">
        <f>IF(VLOOKUP($A206,Calendar!$A$1:$R$1377,18,0)=0,0,IF(VLOOKUP($A206,Calendar!$A$1:$R$1377,18,0)=1,IFERROR(INDEX(Weekly_Model!$D$2:$D$9,MATCH(F206,Weekly_Model!$A$2:$A$9,0)),0),IF(VLOOKUP($A206,Calendar!$A$1:$R$1377,18,0)=2,SUM(IFERROR(INDEX(Weekly_Model!$D$2:$D$9,MATCH(F206,Weekly_Model!$A$2:$A$9,0)),0),IFERROR(INDEX(Weekly_Model!$D$2:$D$9,MATCH(F207,Weekly_Model!$A$2:$A$9,0)),0)),IF(VLOOKUP($A206,Calendar!$A$1:$R$1377,18,0)=3,SUM(IFERROR(INDEX(Weekly_Model!$D$2:$D$9,MATCH(F206,Weekly_Model!$A$2:$A$9,0)),0),IFERROR(INDEX(Weekly_Model!$D$2:$D$9,MATCH(F207,Weekly_Model!$A$2:$A$9,0)),0),IFERROR(INDEX(Weekly_Model!$D$2:$D$9,MATCH(F208,Weekly_Model!$A$2:$A$9,0)),0)),IF(VLOOKUP($A206,Calendar!$A$1:$R$1377,18,0)=4,SUM(IFERROR(INDEX(Weekly_Model!$D$2:$D$9,MATCH(F206,Weekly_Model!$A$2:$A$9,0)),0),IFERROR(INDEX(Weekly_Model!$D$2:$D$9,MATCH(F207,Weekly_Model!$A$2:$A$9,0)),0),IFERROR(INDEX(Weekly_Model!$D$2:$D$9,MATCH(F208,Weekly_Model!$A$2:$A$9,0)),0),IFERROR(INDEX(Weekly_Model!$D$2:$D$9,MATCH(F209,Weekly_Model!$A$2:$A$9,0)),0)),IF(VLOOKUP($A206,Calendar!$A$1:$R$1377,18,0)=5,SUM(IFERROR(INDEX(Weekly_Model!$D$2:$D$9,MATCH(F206,Weekly_Model!$A$2:$A$9,0)),0),IFERROR(INDEX(Weekly_Model!$D$2:$D$9,MATCH(F207,Weekly_Model!$A$2:$A$9,0)),0),IFERROR(INDEX(Weekly_Model!$D$2:$D$9,MATCH(F208,Weekly_Model!$A$2:$A$9,0)),0),IFERROR(INDEX(Weekly_Model!$D$2:$D$9,MATCH(F209,Weekly_Model!$A$2:$A$9,0)),0),IFERROR(INDEX(Weekly_Model!$D$2:$D$9,MATCH(F210,Weekly_Model!$A$2:$A$9,0)),0)),0))))))</f>
        <v>0</v>
      </c>
      <c r="L206" s="27">
        <f>IF(VLOOKUP($A206,Calendar!$A$1:$R$1377,18,0)=0,0,IF(VLOOKUP($A206,Calendar!$A$1:$R$1377,18,0)=1,IFERROR(INDEX(Fortnightly_Model!$D$2:$D$15,MATCH(G206,Fortnightly_Model!$B$2:$B$15,0)),0),IF(VLOOKUP($A206,Calendar!$A$1:$R$1377,18,0)=2,SUM(IFERROR(INDEX(Fortnightly_Model!$D$2:$D$15,MATCH(G206,Fortnightly_Model!$B$2:$B$15,0)),0),IFERROR(INDEX(Fortnightly_Model!$D$2:$D$15,MATCH(G207,Fortnightly_Model!$B$2:$B$15,0)),0)),IF(VLOOKUP($A206,Calendar!$A$1:$R$1377,18,0)=3,SUM(IFERROR(INDEX(Fortnightly_Model!$D$2:$D$15,MATCH(G206,Fortnightly_Model!$B$2:$B$15,0)),0),IFERROR(INDEX(Fortnightly_Model!$D$2:$D$15,MATCH(G207,Fortnightly_Model!$B$2:$B$15,0)),0),IFERROR(INDEX(Fortnightly_Model!$D$2:$D$15,MATCH(G208,Fortnightly_Model!$B$2:$B$15,0)),0)),IF(VLOOKUP($A206,Calendar!$A$1:$R$1377,18,0)=4,SUM(IFERROR(INDEX(Fortnightly_Model!$D$2:$D$15,MATCH(G206,Fortnightly_Model!$B$2:$B$15,0)),0),IFERROR(INDEX(Fortnightly_Model!$D$2:$D$15,MATCH(G207,Fortnightly_Model!$B$2:$B$15,0)),0),IFERROR(INDEX(Fortnightly_Model!$D$2:$D$15,MATCH(G208,Fortnightly_Model!$B$2:$B$15,0)),0),IFERROR(INDEX(Fortnightly_Model!$D$2:$D$15,MATCH(G209,Fortnightly_Model!$B$2:$B$15,0)),0)),IF(VLOOKUP($A206,Calendar!$A$1:$R$1377,18,0)=5,SUM(IFERROR(INDEX(Fortnightly_Model!$D$2:$D$15,MATCH(G206,Fortnightly_Model!$B$2:$B$15,0)),0),IFERROR(INDEX(Fortnightly_Model!$D$2:$D$15,MATCH(G207,Fortnightly_Model!$B$2:$B$15,0)),0),IFERROR(INDEX(Fortnightly_Model!$D$2:$D$15,MATCH(G208,Fortnightly_Model!$B$2:$B$15,0)),0),IFERROR(INDEX(Fortnightly_Model!$D$2:$D$15,MATCH(G209,Fortnightly_Model!$B$2:$B$15,0)),0),IFERROR(INDEX(Fortnightly_Model!$D$2:$D$15,MATCH(G210,Fortnightly_Model!$B$2:$B$15,0)),0)),0))))))</f>
        <v>0</v>
      </c>
      <c r="M206" s="27">
        <f>IF(VLOOKUP($A206,Calendar!$A$1:$R$1377,18,0)=0,0,IF(VLOOKUP($A206,Calendar!$A$1:$R$1377,18,0)=1,IFERROR(INDEX(FourWeekly_Model!$D$2:$D$29,MATCH(H206,FourWeekly_Model!$B$2:$B$29,0)),0),IF(VLOOKUP($A206,Calendar!$A$1:$R$1377,18,0)=2,SUM(IFERROR(INDEX(FourWeekly_Model!$D$2:$D$29,MATCH(H206,FourWeekly_Model!$B$2:$B$29,0)),0),IFERROR(INDEX(FourWeekly_Model!$D$2:$D$29,MATCH(H207,FourWeekly_Model!$B$2:$B$29,0)),0)),IF(VLOOKUP($A206,Calendar!$A$1:$R$1377,18,0)=3,SUM(IFERROR(INDEX(FourWeekly_Model!$D$2:$D$29,MATCH(H206,FourWeekly_Model!$B$2:$B$29,0)),0),IFERROR(INDEX(FourWeekly_Model!$D$2:$D$29,MATCH(H207,FourWeekly_Model!$B$2:$B$29,0)),0),IFERROR(INDEX(FourWeekly_Model!$D$2:$D$29,MATCH(H208,FourWeekly_Model!$B$2:$B$29,0)),0)),IF(VLOOKUP($A206,Calendar!$A$1:$R$1377,18,0)=4,SUM(IFERROR(INDEX(FourWeekly_Model!$D$2:$D$29,MATCH(H206,FourWeekly_Model!$B$2:$B$29,0)),0),IFERROR(INDEX(FourWeekly_Model!$D$2:$D$29,MATCH(H207,FourWeekly_Model!$B$2:$B$29,0)),0),IFERROR(INDEX(FourWeekly_Model!$D$2:$D$29,MATCH(H208,FourWeekly_Model!$B$2:$B$29,0)),0),IFERROR(INDEX(FourWeekly_Model!$D$2:$D$29,MATCH(H209,FourWeekly_Model!$B$2:$B$29,0)),0)),IF(VLOOKUP($A206,Calendar!$A$1:$R$1377,18,0)=5,SUM(IFERROR(INDEX(FourWeekly_Model!$D$2:$D$29,MATCH(H206,FourWeekly_Model!$B$2:$B$29,0)),0),IFERROR(INDEX(FourWeekly_Model!$D$2:$D$29,MATCH(H207,FourWeekly_Model!$B$2:$B$29,0)),0),IFERROR(INDEX(FourWeekly_Model!$D$2:$D$29,MATCH(H208,FourWeekly_Model!$B$2:$B$29,0)),0),IFERROR(INDEX(FourWeekly_Model!$D$2:$D$29,MATCH(H209,FourWeekly_Model!$B$2:$B$29,0)),0),IFERROR(INDEX(FourWeekly_Model!$D$2:$D$29,MATCH(H210,FourWeekly_Model!$B$2:$B$29,0)),0)),0))))))</f>
        <v>0</v>
      </c>
      <c r="N206" s="27">
        <f>SUM(I206:M206)</f>
        <v>0</v>
      </c>
      <c r="O206" s="28">
        <f>Population_Data!$B$8*N206</f>
        <v>0</v>
      </c>
      <c r="P206" s="27">
        <f>IF(VLOOKUP($A206,Calendar!$A$1:$R$1377,18,0)=0,0,IF(VLOOKUP($A206,Calendar!$A$1:$R$1377,18,0)=1,IFERROR(INDEX(Pension_Model!$D$2:$D$29,MATCH(H206,Pension_Model!$B$2:$B$29,0)),0),IF(VLOOKUP($A206,Calendar!$A$1:$R$1377,18,0)=2,SUM(IFERROR(INDEX(Pension_Model!$D$2:$D$29,MATCH(H206,Pension_Model!$B$2:$B$29,0)),0),IFERROR(INDEX(Pension_Model!$D$2:$D$29,MATCH(H207,Pension_Model!$B$2:$B$29,0)),0)),IF(VLOOKUP($A206,Calendar!$A$1:$R$1377,18,0)=3,SUM(IFERROR(INDEX(Pension_Model!$D$2:$D$29,MATCH(H206,Pension_Model!$B$2:$B$29,0)),0),IFERROR(INDEX(Pension_Model!$D$2:$D$29,MATCH(H207,Pension_Model!$B$2:$B$29,0)),0),IFERROR(INDEX(Pension_Model!$D$2:$D$29,MATCH(H208,Pension_Model!$B$2:$B$29,0)),0)),IF(VLOOKUP($A206,Calendar!$A$1:$R$1377,18,0)=4,SUM(IFERROR(INDEX(Pension_Model!$D$2:$D$29,MATCH(H206,Pension_Model!$B$2:$B$29,0)),0),IFERROR(INDEX(Pension_Model!$D$2:$D$29,MATCH(H207,Pension_Model!$B$2:$B$29,0)),0),IFERROR(INDEX(Pension_Model!$D$2:$D$29,MATCH(H208,Pension_Model!$B$2:$B$29,0)),0),IFERROR(INDEX(Pension_Model!$D$2:$D$29,MATCH(H209,Pension_Model!$B$2:$B$29,0)),0)),IF(VLOOKUP($A206,Calendar!$A$1:$R$1377,18,0)=5,SUM(IFERROR(INDEX(Pension_Model!$D$2:$D$29,MATCH(H206,Pension_Model!$B$2:$B$29,0)),0),IFERROR(INDEX(Pension_Model!$D$2:$D$29,MATCH(H207,Pension_Model!$B$2:$B$29,0)),0),IFERROR(INDEX(Pension_Model!$D$2:$D$29,MATCH(H208,Pension_Model!$B$2:$B$29,0)),0),IFERROR(INDEX(Pension_Model!$D$2:$D$29,MATCH(H209,Pension_Model!$B$2:$B$29,0)),0),IFERROR(INDEX(Pension_Model!$D$2:$D$29,MATCH(H210,Pension_Model!$B$2:$B$29,0)),0)),0))))))</f>
        <v>0</v>
      </c>
      <c r="Q206" s="28">
        <f>Population_Data!$B$15*P206</f>
        <v>0</v>
      </c>
      <c r="S206">
        <f t="shared" si="3"/>
        <v>0</v>
      </c>
      <c r="U206" s="33">
        <f>S206/Population_Data!$B$19</f>
        <v>0</v>
      </c>
    </row>
    <row r="207" spans="1:21">
      <c r="A207" s="25">
        <f>Calendar!A207</f>
        <v>46440</v>
      </c>
      <c r="B207" t="str">
        <f>Calendar!L207</f>
        <v>Yes</v>
      </c>
      <c r="C207" t="str">
        <f>Calendar!O207</f>
        <v>No</v>
      </c>
      <c r="D207" t="str">
        <f>Calendar!P207</f>
        <v>No</v>
      </c>
      <c r="E207" t="str">
        <f>Calendar!Q207</f>
        <v>No</v>
      </c>
      <c r="F207" t="str">
        <f>Calendar!I207</f>
        <v>Monday</v>
      </c>
      <c r="G207">
        <f>Calendar!S207</f>
        <v>2</v>
      </c>
      <c r="H207">
        <f>Calendar!T207</f>
        <v>16</v>
      </c>
      <c r="I207" s="27">
        <f>IF(VLOOKUP(A207,Calendar!$A$1:$R$1377,18,0)=0,0,IF(VLOOKUP(A207,Calendar!$A$1:$R$1377,18,0)=1,INDEX(Monthly_Pay_Model!$A$9:$D$40,MATCH(TEXT(A207,"dd"),Monthly_Pay_Model!$C$9:$C$39,0),4),IF(VLOOKUP(A207,Calendar!$A$1:$R$1377,18,0)=2,SUM(INDEX(Monthly_Pay_Model!$A$9:$D$40,MATCH(TEXT(A207,"dd"),Monthly_Pay_Model!$C$9:$C$39,0),4),INDEX(Monthly_Pay_Model!$A$9:$D$40,MATCH(TEXT(A208,"dd"),Monthly_Pay_Model!$C$9:$C$39,0),4)),IF(VLOOKUP(A207,Calendar!$A$1:$R$1377,18,0)=3,SUM(INDEX(Monthly_Pay_Model!$A$9:$D$40,MATCH(TEXT(A207,"dd"),Monthly_Pay_Model!$C$9:$C$39,0),4),INDEX(Monthly_Pay_Model!$A$9:$D$40,MATCH(TEXT(A208,"dd"),Monthly_Pay_Model!$C$9:$C$39,0),4),INDEX(Monthly_Pay_Model!$A$9:$D$40,MATCH(TEXT(A209,"dd"),Monthly_Pay_Model!$C$9:$C$39,0),4)),IF(VLOOKUP(A207,Calendar!$A$1:$R$1377,18,0)=4,SUM(INDEX(Monthly_Pay_Model!$A$9:$D$40,MATCH(TEXT(A207,"dd"),Monthly_Pay_Model!$C$9:$C$39,0),4),INDEX(Monthly_Pay_Model!$A$9:$D$40,MATCH(TEXT(A208,"dd"),Monthly_Pay_Model!$C$9:$C$39,0),4),INDEX(Monthly_Pay_Model!$A$9:$D$40,MATCH(TEXT(A209,"dd"),Monthly_Pay_Model!$C$9:$C$39,0),4),INDEX(Monthly_Pay_Model!$A$9:$D$40,MATCH(TEXT(A210,"dd"),Monthly_Pay_Model!$C$9:$C$39,0),4)),IF(VLOOKUP(A207,Calendar!$A$1:$R$1377,18,0)=5,SUM(INDEX(Monthly_Pay_Model!$A$9:$D$40,MATCH(TEXT(A207,"dd"),Monthly_Pay_Model!$C$9:$C$39,0),4),INDEX(Monthly_Pay_Model!$A$9:$D$40,MATCH(TEXT(A208,"dd"),Monthly_Pay_Model!$C$9:$C$39,0),4),INDEX(Monthly_Pay_Model!$A$9:$D$40,MATCH(TEXT(A209,"dd"),Monthly_Pay_Model!$C$9:$C$39,0),4),INDEX(Monthly_Pay_Model!$A$9:$D$40,MATCH(TEXT(A210,"dd"),Monthly_Pay_Model!$C$9:$C$39,0),4),INDEX(Monthly_Pay_Model!$A$9:$D$40,MATCH(TEXT(A211,"dd"),Monthly_Pay_Model!$C$9:$C$39,0),4)),))))))</f>
        <v>3.2502617801047117E-3</v>
      </c>
      <c r="J207" s="33">
        <f>IF(C207="Yes",Monthly_Pay_Model!$D$2,0)
+IF(Calendar!N207="Yes",Monthly_Pay_Model!$D$3,0)
+IF(D207="Yes",Monthly_Pay_Model!$D$4,0)
+IF(E207="Yes",Monthly_Pay_Model!$D$5,0)</f>
        <v>0</v>
      </c>
      <c r="K207" s="27">
        <f>IF(VLOOKUP($A207,Calendar!$A$1:$R$1377,18,0)=0,0,IF(VLOOKUP($A207,Calendar!$A$1:$R$1377,18,0)=1,IFERROR(INDEX(Weekly_Model!$D$2:$D$9,MATCH(F207,Weekly_Model!$A$2:$A$9,0)),0),IF(VLOOKUP($A207,Calendar!$A$1:$R$1377,18,0)=2,SUM(IFERROR(INDEX(Weekly_Model!$D$2:$D$9,MATCH(F207,Weekly_Model!$A$2:$A$9,0)),0),IFERROR(INDEX(Weekly_Model!$D$2:$D$9,MATCH(F208,Weekly_Model!$A$2:$A$9,0)),0)),IF(VLOOKUP($A207,Calendar!$A$1:$R$1377,18,0)=3,SUM(IFERROR(INDEX(Weekly_Model!$D$2:$D$9,MATCH(F207,Weekly_Model!$A$2:$A$9,0)),0),IFERROR(INDEX(Weekly_Model!$D$2:$D$9,MATCH(F208,Weekly_Model!$A$2:$A$9,0)),0),IFERROR(INDEX(Weekly_Model!$D$2:$D$9,MATCH(F209,Weekly_Model!$A$2:$A$9,0)),0)),IF(VLOOKUP($A207,Calendar!$A$1:$R$1377,18,0)=4,SUM(IFERROR(INDEX(Weekly_Model!$D$2:$D$9,MATCH(F207,Weekly_Model!$A$2:$A$9,0)),0),IFERROR(INDEX(Weekly_Model!$D$2:$D$9,MATCH(F208,Weekly_Model!$A$2:$A$9,0)),0),IFERROR(INDEX(Weekly_Model!$D$2:$D$9,MATCH(F209,Weekly_Model!$A$2:$A$9,0)),0),IFERROR(INDEX(Weekly_Model!$D$2:$D$9,MATCH(F210,Weekly_Model!$A$2:$A$9,0)),0)),IF(VLOOKUP($A207,Calendar!$A$1:$R$1377,18,0)=5,SUM(IFERROR(INDEX(Weekly_Model!$D$2:$D$9,MATCH(F207,Weekly_Model!$A$2:$A$9,0)),0),IFERROR(INDEX(Weekly_Model!$D$2:$D$9,MATCH(F208,Weekly_Model!$A$2:$A$9,0)),0),IFERROR(INDEX(Weekly_Model!$D$2:$D$9,MATCH(F209,Weekly_Model!$A$2:$A$9,0)),0),IFERROR(INDEX(Weekly_Model!$D$2:$D$9,MATCH(F210,Weekly_Model!$A$2:$A$9,0)),0),IFERROR(INDEX(Weekly_Model!$D$2:$D$9,MATCH(F211,Weekly_Model!$A$2:$A$9,0)),0)),0))))))</f>
        <v>2.3200000000000002E-2</v>
      </c>
      <c r="L207" s="27">
        <f>IF(VLOOKUP($A207,Calendar!$A$1:$R$1377,18,0)=0,0,IF(VLOOKUP($A207,Calendar!$A$1:$R$1377,18,0)=1,IFERROR(INDEX(Fortnightly_Model!$D$2:$D$15,MATCH(G207,Fortnightly_Model!$B$2:$B$15,0)),0),IF(VLOOKUP($A207,Calendar!$A$1:$R$1377,18,0)=2,SUM(IFERROR(INDEX(Fortnightly_Model!$D$2:$D$15,MATCH(G207,Fortnightly_Model!$B$2:$B$15,0)),0),IFERROR(INDEX(Fortnightly_Model!$D$2:$D$15,MATCH(G208,Fortnightly_Model!$B$2:$B$15,0)),0)),IF(VLOOKUP($A207,Calendar!$A$1:$R$1377,18,0)=3,SUM(IFERROR(INDEX(Fortnightly_Model!$D$2:$D$15,MATCH(G207,Fortnightly_Model!$B$2:$B$15,0)),0),IFERROR(INDEX(Fortnightly_Model!$D$2:$D$15,MATCH(G208,Fortnightly_Model!$B$2:$B$15,0)),0),IFERROR(INDEX(Fortnightly_Model!$D$2:$D$15,MATCH(G209,Fortnightly_Model!$B$2:$B$15,0)),0)),IF(VLOOKUP($A207,Calendar!$A$1:$R$1377,18,0)=4,SUM(IFERROR(INDEX(Fortnightly_Model!$D$2:$D$15,MATCH(G207,Fortnightly_Model!$B$2:$B$15,0)),0),IFERROR(INDEX(Fortnightly_Model!$D$2:$D$15,MATCH(G208,Fortnightly_Model!$B$2:$B$15,0)),0),IFERROR(INDEX(Fortnightly_Model!$D$2:$D$15,MATCH(G209,Fortnightly_Model!$B$2:$B$15,0)),0),IFERROR(INDEX(Fortnightly_Model!$D$2:$D$15,MATCH(G210,Fortnightly_Model!$B$2:$B$15,0)),0)),IF(VLOOKUP($A207,Calendar!$A$1:$R$1377,18,0)=5,SUM(IFERROR(INDEX(Fortnightly_Model!$D$2:$D$15,MATCH(G207,Fortnightly_Model!$B$2:$B$15,0)),0),IFERROR(INDEX(Fortnightly_Model!$D$2:$D$15,MATCH(G208,Fortnightly_Model!$B$2:$B$15,0)),0),IFERROR(INDEX(Fortnightly_Model!$D$2:$D$15,MATCH(G209,Fortnightly_Model!$B$2:$B$15,0)),0),IFERROR(INDEX(Fortnightly_Model!$D$2:$D$15,MATCH(G210,Fortnightly_Model!$B$2:$B$15,0)),0),IFERROR(INDEX(Fortnightly_Model!$D$2:$D$15,MATCH(G211,Fortnightly_Model!$B$2:$B$15,0)),0)),0))))))</f>
        <v>1.0714285499999999E-3</v>
      </c>
      <c r="M207" s="27">
        <f>IF(VLOOKUP($A207,Calendar!$A$1:$R$1377,18,0)=0,0,IF(VLOOKUP($A207,Calendar!$A$1:$R$1377,18,0)=1,IFERROR(INDEX(FourWeekly_Model!$D$2:$D$29,MATCH(H207,FourWeekly_Model!$B$2:$B$29,0)),0),IF(VLOOKUP($A207,Calendar!$A$1:$R$1377,18,0)=2,SUM(IFERROR(INDEX(FourWeekly_Model!$D$2:$D$29,MATCH(H207,FourWeekly_Model!$B$2:$B$29,0)),0),IFERROR(INDEX(FourWeekly_Model!$D$2:$D$29,MATCH(H208,FourWeekly_Model!$B$2:$B$29,0)),0)),IF(VLOOKUP($A207,Calendar!$A$1:$R$1377,18,0)=3,SUM(IFERROR(INDEX(FourWeekly_Model!$D$2:$D$29,MATCH(H207,FourWeekly_Model!$B$2:$B$29,0)),0),IFERROR(INDEX(FourWeekly_Model!$D$2:$D$29,MATCH(H208,FourWeekly_Model!$B$2:$B$29,0)),0),IFERROR(INDEX(FourWeekly_Model!$D$2:$D$29,MATCH(H209,FourWeekly_Model!$B$2:$B$29,0)),0)),IF(VLOOKUP($A207,Calendar!$A$1:$R$1377,18,0)=4,SUM(IFERROR(INDEX(FourWeekly_Model!$D$2:$D$29,MATCH(H207,FourWeekly_Model!$B$2:$B$29,0)),0),IFERROR(INDEX(FourWeekly_Model!$D$2:$D$29,MATCH(H208,FourWeekly_Model!$B$2:$B$29,0)),0),IFERROR(INDEX(FourWeekly_Model!$D$2:$D$29,MATCH(H209,FourWeekly_Model!$B$2:$B$29,0)),0),IFERROR(INDEX(FourWeekly_Model!$D$2:$D$29,MATCH(H210,FourWeekly_Model!$B$2:$B$29,0)),0)),IF(VLOOKUP($A207,Calendar!$A$1:$R$1377,18,0)=5,SUM(IFERROR(INDEX(FourWeekly_Model!$D$2:$D$29,MATCH(H207,FourWeekly_Model!$B$2:$B$29,0)),0),IFERROR(INDEX(FourWeekly_Model!$D$2:$D$29,MATCH(H208,FourWeekly_Model!$B$2:$B$29,0)),0),IFERROR(INDEX(FourWeekly_Model!$D$2:$D$29,MATCH(H209,FourWeekly_Model!$B$2:$B$29,0)),0),IFERROR(INDEX(FourWeekly_Model!$D$2:$D$29,MATCH(H210,FourWeekly_Model!$B$2:$B$29,0)),0),IFERROR(INDEX(FourWeekly_Model!$D$2:$D$29,MATCH(H211,FourWeekly_Model!$B$2:$B$29,0)),0)),0))))))</f>
        <v>3.3214289700000004E-3</v>
      </c>
      <c r="N207" s="27">
        <f>SUM(I207:M207)</f>
        <v>3.0843119300104714E-2</v>
      </c>
      <c r="O207" s="28">
        <f>Population_Data!$B$8*N207</f>
        <v>934546.51479317283</v>
      </c>
      <c r="P207" s="27">
        <f>IF(VLOOKUP($A207,Calendar!$A$1:$R$1377,18,0)=0,0,IF(VLOOKUP($A207,Calendar!$A$1:$R$1377,18,0)=1,IFERROR(INDEX(Pension_Model!$D$2:$D$29,MATCH(H207,Pension_Model!$B$2:$B$29,0)),0),IF(VLOOKUP($A207,Calendar!$A$1:$R$1377,18,0)=2,SUM(IFERROR(INDEX(Pension_Model!$D$2:$D$29,MATCH(H207,Pension_Model!$B$2:$B$29,0)),0),IFERROR(INDEX(Pension_Model!$D$2:$D$29,MATCH(H208,Pension_Model!$B$2:$B$29,0)),0)),IF(VLOOKUP($A207,Calendar!$A$1:$R$1377,18,0)=3,SUM(IFERROR(INDEX(Pension_Model!$D$2:$D$29,MATCH(H207,Pension_Model!$B$2:$B$29,0)),0),IFERROR(INDEX(Pension_Model!$D$2:$D$29,MATCH(H208,Pension_Model!$B$2:$B$29,0)),0),IFERROR(INDEX(Pension_Model!$D$2:$D$29,MATCH(H209,Pension_Model!$B$2:$B$29,0)),0)),IF(VLOOKUP($A207,Calendar!$A$1:$R$1377,18,0)=4,SUM(IFERROR(INDEX(Pension_Model!$D$2:$D$29,MATCH(H207,Pension_Model!$B$2:$B$29,0)),0),IFERROR(INDEX(Pension_Model!$D$2:$D$29,MATCH(H208,Pension_Model!$B$2:$B$29,0)),0),IFERROR(INDEX(Pension_Model!$D$2:$D$29,MATCH(H209,Pension_Model!$B$2:$B$29,0)),0),IFERROR(INDEX(Pension_Model!$D$2:$D$29,MATCH(H210,Pension_Model!$B$2:$B$29,0)),0)),IF(VLOOKUP($A207,Calendar!$A$1:$R$1377,18,0)=5,SUM(IFERROR(INDEX(Pension_Model!$D$2:$D$29,MATCH(H207,Pension_Model!$B$2:$B$29,0)),0),IFERROR(INDEX(Pension_Model!$D$2:$D$29,MATCH(H208,Pension_Model!$B$2:$B$29,0)),0),IFERROR(INDEX(Pension_Model!$D$2:$D$29,MATCH(H209,Pension_Model!$B$2:$B$29,0)),0),IFERROR(INDEX(Pension_Model!$D$2:$D$29,MATCH(H210,Pension_Model!$B$2:$B$29,0)),0),IFERROR(INDEX(Pension_Model!$D$2:$D$29,MATCH(H211,Pension_Model!$B$2:$B$29,0)),0)),0))))))</f>
        <v>0.05</v>
      </c>
      <c r="Q207" s="28">
        <f>Population_Data!$B$15*P207</f>
        <v>660600</v>
      </c>
      <c r="S207">
        <f t="shared" si="3"/>
        <v>1595146.5147931729</v>
      </c>
      <c r="U207" s="33">
        <f>S207/Population_Data!$B$19</f>
        <v>2.8897581789731393E-2</v>
      </c>
    </row>
    <row r="208" spans="1:21">
      <c r="A208" s="25">
        <f>Calendar!A208</f>
        <v>46441</v>
      </c>
      <c r="B208" t="str">
        <f>Calendar!L208</f>
        <v>Yes</v>
      </c>
      <c r="C208" t="str">
        <f>Calendar!O208</f>
        <v>No</v>
      </c>
      <c r="D208" t="str">
        <f>Calendar!P208</f>
        <v>No</v>
      </c>
      <c r="E208" t="str">
        <f>Calendar!Q208</f>
        <v>No</v>
      </c>
      <c r="F208" t="str">
        <f>Calendar!I208</f>
        <v>Tuesday</v>
      </c>
      <c r="G208">
        <f>Calendar!S208</f>
        <v>3</v>
      </c>
      <c r="H208">
        <f>Calendar!T208</f>
        <v>17</v>
      </c>
      <c r="I208" s="27">
        <f>IF(VLOOKUP(A208,Calendar!$A$1:$R$1377,18,0)=0,0,IF(VLOOKUP(A208,Calendar!$A$1:$R$1377,18,0)=1,INDEX(Monthly_Pay_Model!$A$9:$D$40,MATCH(TEXT(A208,"dd"),Monthly_Pay_Model!$C$9:$C$39,0),4),IF(VLOOKUP(A208,Calendar!$A$1:$R$1377,18,0)=2,SUM(INDEX(Monthly_Pay_Model!$A$9:$D$40,MATCH(TEXT(A208,"dd"),Monthly_Pay_Model!$C$9:$C$39,0),4),INDEX(Monthly_Pay_Model!$A$9:$D$40,MATCH(TEXT(A209,"dd"),Monthly_Pay_Model!$C$9:$C$39,0),4)),IF(VLOOKUP(A208,Calendar!$A$1:$R$1377,18,0)=3,SUM(INDEX(Monthly_Pay_Model!$A$9:$D$40,MATCH(TEXT(A208,"dd"),Monthly_Pay_Model!$C$9:$C$39,0),4),INDEX(Monthly_Pay_Model!$A$9:$D$40,MATCH(TEXT(A209,"dd"),Monthly_Pay_Model!$C$9:$C$39,0),4),INDEX(Monthly_Pay_Model!$A$9:$D$40,MATCH(TEXT(A210,"dd"),Monthly_Pay_Model!$C$9:$C$39,0),4)),IF(VLOOKUP(A208,Calendar!$A$1:$R$1377,18,0)=4,SUM(INDEX(Monthly_Pay_Model!$A$9:$D$40,MATCH(TEXT(A208,"dd"),Monthly_Pay_Model!$C$9:$C$39,0),4),INDEX(Monthly_Pay_Model!$A$9:$D$40,MATCH(TEXT(A209,"dd"),Monthly_Pay_Model!$C$9:$C$39,0),4),INDEX(Monthly_Pay_Model!$A$9:$D$40,MATCH(TEXT(A210,"dd"),Monthly_Pay_Model!$C$9:$C$39,0),4),INDEX(Monthly_Pay_Model!$A$9:$D$40,MATCH(TEXT(A211,"dd"),Monthly_Pay_Model!$C$9:$C$39,0),4)),IF(VLOOKUP(A208,Calendar!$A$1:$R$1377,18,0)=5,SUM(INDEX(Monthly_Pay_Model!$A$9:$D$40,MATCH(TEXT(A208,"dd"),Monthly_Pay_Model!$C$9:$C$39,0),4),INDEX(Monthly_Pay_Model!$A$9:$D$40,MATCH(TEXT(A209,"dd"),Monthly_Pay_Model!$C$9:$C$39,0),4),INDEX(Monthly_Pay_Model!$A$9:$D$40,MATCH(TEXT(A210,"dd"),Monthly_Pay_Model!$C$9:$C$39,0),4),INDEX(Monthly_Pay_Model!$A$9:$D$40,MATCH(TEXT(A211,"dd"),Monthly_Pay_Model!$C$9:$C$39,0),4),INDEX(Monthly_Pay_Model!$A$9:$D$40,MATCH(TEXT(A212,"dd"),Monthly_Pay_Model!$C$9:$C$39,0),4)),))))))</f>
        <v>4.0628272251308894E-3</v>
      </c>
      <c r="J208" s="33">
        <f>IF(C208="Yes",Monthly_Pay_Model!$D$2,0)
+IF(Calendar!N208="Yes",Monthly_Pay_Model!$D$3,0)
+IF(D208="Yes",Monthly_Pay_Model!$D$4,0)
+IF(E208="Yes",Monthly_Pay_Model!$D$5,0)</f>
        <v>0</v>
      </c>
      <c r="K208" s="27">
        <f>IF(VLOOKUP($A208,Calendar!$A$1:$R$1377,18,0)=0,0,IF(VLOOKUP($A208,Calendar!$A$1:$R$1377,18,0)=1,IFERROR(INDEX(Weekly_Model!$D$2:$D$9,MATCH(F208,Weekly_Model!$A$2:$A$9,0)),0),IF(VLOOKUP($A208,Calendar!$A$1:$R$1377,18,0)=2,SUM(IFERROR(INDEX(Weekly_Model!$D$2:$D$9,MATCH(F208,Weekly_Model!$A$2:$A$9,0)),0),IFERROR(INDEX(Weekly_Model!$D$2:$D$9,MATCH(F209,Weekly_Model!$A$2:$A$9,0)),0)),IF(VLOOKUP($A208,Calendar!$A$1:$R$1377,18,0)=3,SUM(IFERROR(INDEX(Weekly_Model!$D$2:$D$9,MATCH(F208,Weekly_Model!$A$2:$A$9,0)),0),IFERROR(INDEX(Weekly_Model!$D$2:$D$9,MATCH(F209,Weekly_Model!$A$2:$A$9,0)),0),IFERROR(INDEX(Weekly_Model!$D$2:$D$9,MATCH(F210,Weekly_Model!$A$2:$A$9,0)),0)),IF(VLOOKUP($A208,Calendar!$A$1:$R$1377,18,0)=4,SUM(IFERROR(INDEX(Weekly_Model!$D$2:$D$9,MATCH(F208,Weekly_Model!$A$2:$A$9,0)),0),IFERROR(INDEX(Weekly_Model!$D$2:$D$9,MATCH(F209,Weekly_Model!$A$2:$A$9,0)),0),IFERROR(INDEX(Weekly_Model!$D$2:$D$9,MATCH(F210,Weekly_Model!$A$2:$A$9,0)),0),IFERROR(INDEX(Weekly_Model!$D$2:$D$9,MATCH(F211,Weekly_Model!$A$2:$A$9,0)),0)),IF(VLOOKUP($A208,Calendar!$A$1:$R$1377,18,0)=5,SUM(IFERROR(INDEX(Weekly_Model!$D$2:$D$9,MATCH(F208,Weekly_Model!$A$2:$A$9,0)),0),IFERROR(INDEX(Weekly_Model!$D$2:$D$9,MATCH(F209,Weekly_Model!$A$2:$A$9,0)),0),IFERROR(INDEX(Weekly_Model!$D$2:$D$9,MATCH(F210,Weekly_Model!$A$2:$A$9,0)),0),IFERROR(INDEX(Weekly_Model!$D$2:$D$9,MATCH(F211,Weekly_Model!$A$2:$A$9,0)),0),IFERROR(INDEX(Weekly_Model!$D$2:$D$9,MATCH(F212,Weekly_Model!$A$2:$A$9,0)),0)),0))))))</f>
        <v>2.3200000000000002E-2</v>
      </c>
      <c r="L208" s="27">
        <f>IF(VLOOKUP($A208,Calendar!$A$1:$R$1377,18,0)=0,0,IF(VLOOKUP($A208,Calendar!$A$1:$R$1377,18,0)=1,IFERROR(INDEX(Fortnightly_Model!$D$2:$D$15,MATCH(G208,Fortnightly_Model!$B$2:$B$15,0)),0),IF(VLOOKUP($A208,Calendar!$A$1:$R$1377,18,0)=2,SUM(IFERROR(INDEX(Fortnightly_Model!$D$2:$D$15,MATCH(G208,Fortnightly_Model!$B$2:$B$15,0)),0),IFERROR(INDEX(Fortnightly_Model!$D$2:$D$15,MATCH(G209,Fortnightly_Model!$B$2:$B$15,0)),0)),IF(VLOOKUP($A208,Calendar!$A$1:$R$1377,18,0)=3,SUM(IFERROR(INDEX(Fortnightly_Model!$D$2:$D$15,MATCH(G208,Fortnightly_Model!$B$2:$B$15,0)),0),IFERROR(INDEX(Fortnightly_Model!$D$2:$D$15,MATCH(G209,Fortnightly_Model!$B$2:$B$15,0)),0),IFERROR(INDEX(Fortnightly_Model!$D$2:$D$15,MATCH(G210,Fortnightly_Model!$B$2:$B$15,0)),0)),IF(VLOOKUP($A208,Calendar!$A$1:$R$1377,18,0)=4,SUM(IFERROR(INDEX(Fortnightly_Model!$D$2:$D$15,MATCH(G208,Fortnightly_Model!$B$2:$B$15,0)),0),IFERROR(INDEX(Fortnightly_Model!$D$2:$D$15,MATCH(G209,Fortnightly_Model!$B$2:$B$15,0)),0),IFERROR(INDEX(Fortnightly_Model!$D$2:$D$15,MATCH(G210,Fortnightly_Model!$B$2:$B$15,0)),0),IFERROR(INDEX(Fortnightly_Model!$D$2:$D$15,MATCH(G211,Fortnightly_Model!$B$2:$B$15,0)),0)),IF(VLOOKUP($A208,Calendar!$A$1:$R$1377,18,0)=5,SUM(IFERROR(INDEX(Fortnightly_Model!$D$2:$D$15,MATCH(G208,Fortnightly_Model!$B$2:$B$15,0)),0),IFERROR(INDEX(Fortnightly_Model!$D$2:$D$15,MATCH(G209,Fortnightly_Model!$B$2:$B$15,0)),0),IFERROR(INDEX(Fortnightly_Model!$D$2:$D$15,MATCH(G210,Fortnightly_Model!$B$2:$B$15,0)),0),IFERROR(INDEX(Fortnightly_Model!$D$2:$D$15,MATCH(G211,Fortnightly_Model!$B$2:$B$15,0)),0),IFERROR(INDEX(Fortnightly_Model!$D$2:$D$15,MATCH(G212,Fortnightly_Model!$B$2:$B$15,0)),0)),0))))))</f>
        <v>1.0714285499999999E-3</v>
      </c>
      <c r="M208" s="27">
        <f>IF(VLOOKUP($A208,Calendar!$A$1:$R$1377,18,0)=0,0,IF(VLOOKUP($A208,Calendar!$A$1:$R$1377,18,0)=1,IFERROR(INDEX(FourWeekly_Model!$D$2:$D$29,MATCH(H208,FourWeekly_Model!$B$2:$B$29,0)),0),IF(VLOOKUP($A208,Calendar!$A$1:$R$1377,18,0)=2,SUM(IFERROR(INDEX(FourWeekly_Model!$D$2:$D$29,MATCH(H208,FourWeekly_Model!$B$2:$B$29,0)),0),IFERROR(INDEX(FourWeekly_Model!$D$2:$D$29,MATCH(H209,FourWeekly_Model!$B$2:$B$29,0)),0)),IF(VLOOKUP($A208,Calendar!$A$1:$R$1377,18,0)=3,SUM(IFERROR(INDEX(FourWeekly_Model!$D$2:$D$29,MATCH(H208,FourWeekly_Model!$B$2:$B$29,0)),0),IFERROR(INDEX(FourWeekly_Model!$D$2:$D$29,MATCH(H209,FourWeekly_Model!$B$2:$B$29,0)),0),IFERROR(INDEX(FourWeekly_Model!$D$2:$D$29,MATCH(H210,FourWeekly_Model!$B$2:$B$29,0)),0)),IF(VLOOKUP($A208,Calendar!$A$1:$R$1377,18,0)=4,SUM(IFERROR(INDEX(FourWeekly_Model!$D$2:$D$29,MATCH(H208,FourWeekly_Model!$B$2:$B$29,0)),0),IFERROR(INDEX(FourWeekly_Model!$D$2:$D$29,MATCH(H209,FourWeekly_Model!$B$2:$B$29,0)),0),IFERROR(INDEX(FourWeekly_Model!$D$2:$D$29,MATCH(H210,FourWeekly_Model!$B$2:$B$29,0)),0),IFERROR(INDEX(FourWeekly_Model!$D$2:$D$29,MATCH(H211,FourWeekly_Model!$B$2:$B$29,0)),0)),IF(VLOOKUP($A208,Calendar!$A$1:$R$1377,18,0)=5,SUM(IFERROR(INDEX(FourWeekly_Model!$D$2:$D$29,MATCH(H208,FourWeekly_Model!$B$2:$B$29,0)),0),IFERROR(INDEX(FourWeekly_Model!$D$2:$D$29,MATCH(H209,FourWeekly_Model!$B$2:$B$29,0)),0),IFERROR(INDEX(FourWeekly_Model!$D$2:$D$29,MATCH(H210,FourWeekly_Model!$B$2:$B$29,0)),0),IFERROR(INDEX(FourWeekly_Model!$D$2:$D$29,MATCH(H211,FourWeekly_Model!$B$2:$B$29,0)),0),IFERROR(INDEX(FourWeekly_Model!$D$2:$D$29,MATCH(H212,FourWeekly_Model!$B$2:$B$29,0)),0)),0))))))</f>
        <v>3.3214289700000004E-3</v>
      </c>
      <c r="N208" s="27">
        <f>SUM(I208:M208)</f>
        <v>3.1655684745130891E-2</v>
      </c>
      <c r="O208" s="28">
        <f>Population_Data!$B$8*N208</f>
        <v>959167.24777746596</v>
      </c>
      <c r="P208" s="27">
        <f>IF(VLOOKUP($A208,Calendar!$A$1:$R$1377,18,0)=0,0,IF(VLOOKUP($A208,Calendar!$A$1:$R$1377,18,0)=1,IFERROR(INDEX(Pension_Model!$D$2:$D$29,MATCH(H208,Pension_Model!$B$2:$B$29,0)),0),IF(VLOOKUP($A208,Calendar!$A$1:$R$1377,18,0)=2,SUM(IFERROR(INDEX(Pension_Model!$D$2:$D$29,MATCH(H208,Pension_Model!$B$2:$B$29,0)),0),IFERROR(INDEX(Pension_Model!$D$2:$D$29,MATCH(H209,Pension_Model!$B$2:$B$29,0)),0)),IF(VLOOKUP($A208,Calendar!$A$1:$R$1377,18,0)=3,SUM(IFERROR(INDEX(Pension_Model!$D$2:$D$29,MATCH(H208,Pension_Model!$B$2:$B$29,0)),0),IFERROR(INDEX(Pension_Model!$D$2:$D$29,MATCH(H209,Pension_Model!$B$2:$B$29,0)),0),IFERROR(INDEX(Pension_Model!$D$2:$D$29,MATCH(H210,Pension_Model!$B$2:$B$29,0)),0)),IF(VLOOKUP($A208,Calendar!$A$1:$R$1377,18,0)=4,SUM(IFERROR(INDEX(Pension_Model!$D$2:$D$29,MATCH(H208,Pension_Model!$B$2:$B$29,0)),0),IFERROR(INDEX(Pension_Model!$D$2:$D$29,MATCH(H209,Pension_Model!$B$2:$B$29,0)),0),IFERROR(INDEX(Pension_Model!$D$2:$D$29,MATCH(H210,Pension_Model!$B$2:$B$29,0)),0),IFERROR(INDEX(Pension_Model!$D$2:$D$29,MATCH(H211,Pension_Model!$B$2:$B$29,0)),0)),IF(VLOOKUP($A208,Calendar!$A$1:$R$1377,18,0)=5,SUM(IFERROR(INDEX(Pension_Model!$D$2:$D$29,MATCH(H208,Pension_Model!$B$2:$B$29,0)),0),IFERROR(INDEX(Pension_Model!$D$2:$D$29,MATCH(H209,Pension_Model!$B$2:$B$29,0)),0),IFERROR(INDEX(Pension_Model!$D$2:$D$29,MATCH(H210,Pension_Model!$B$2:$B$29,0)),0),IFERROR(INDEX(Pension_Model!$D$2:$D$29,MATCH(H211,Pension_Model!$B$2:$B$29,0)),0),IFERROR(INDEX(Pension_Model!$D$2:$D$29,MATCH(H212,Pension_Model!$B$2:$B$29,0)),0)),0))))))</f>
        <v>0.05</v>
      </c>
      <c r="Q208" s="28">
        <f>Population_Data!$B$15*P208</f>
        <v>660600</v>
      </c>
      <c r="S208">
        <f t="shared" si="3"/>
        <v>1619767.247777466</v>
      </c>
      <c r="U208" s="33">
        <f>S208/Population_Data!$B$19</f>
        <v>2.9343609561185979E-2</v>
      </c>
    </row>
    <row r="209" spans="1:21">
      <c r="A209" s="25">
        <f>Calendar!A209</f>
        <v>46442</v>
      </c>
      <c r="B209" t="str">
        <f>Calendar!L209</f>
        <v>Yes</v>
      </c>
      <c r="C209" t="str">
        <f>Calendar!O209</f>
        <v>No</v>
      </c>
      <c r="D209" t="str">
        <f>Calendar!P209</f>
        <v>No</v>
      </c>
      <c r="E209" t="str">
        <f>Calendar!Q209</f>
        <v>No</v>
      </c>
      <c r="F209" t="str">
        <f>Calendar!I209</f>
        <v>Wednesday</v>
      </c>
      <c r="G209">
        <f>Calendar!S209</f>
        <v>4</v>
      </c>
      <c r="H209">
        <f>Calendar!T209</f>
        <v>18</v>
      </c>
      <c r="I209" s="27">
        <f>IF(VLOOKUP(A209,Calendar!$A$1:$R$1377,18,0)=0,0,IF(VLOOKUP(A209,Calendar!$A$1:$R$1377,18,0)=1,INDEX(Monthly_Pay_Model!$A$9:$D$40,MATCH(TEXT(A209,"dd"),Monthly_Pay_Model!$C$9:$C$39,0),4),IF(VLOOKUP(A209,Calendar!$A$1:$R$1377,18,0)=2,SUM(INDEX(Monthly_Pay_Model!$A$9:$D$40,MATCH(TEXT(A209,"dd"),Monthly_Pay_Model!$C$9:$C$39,0),4),INDEX(Monthly_Pay_Model!$A$9:$D$40,MATCH(TEXT(A210,"dd"),Monthly_Pay_Model!$C$9:$C$39,0),4)),IF(VLOOKUP(A209,Calendar!$A$1:$R$1377,18,0)=3,SUM(INDEX(Monthly_Pay_Model!$A$9:$D$40,MATCH(TEXT(A209,"dd"),Monthly_Pay_Model!$C$9:$C$39,0),4),INDEX(Monthly_Pay_Model!$A$9:$D$40,MATCH(TEXT(A210,"dd"),Monthly_Pay_Model!$C$9:$C$39,0),4),INDEX(Monthly_Pay_Model!$A$9:$D$40,MATCH(TEXT(A211,"dd"),Monthly_Pay_Model!$C$9:$C$39,0),4)),IF(VLOOKUP(A209,Calendar!$A$1:$R$1377,18,0)=4,SUM(INDEX(Monthly_Pay_Model!$A$9:$D$40,MATCH(TEXT(A209,"dd"),Monthly_Pay_Model!$C$9:$C$39,0),4),INDEX(Monthly_Pay_Model!$A$9:$D$40,MATCH(TEXT(A210,"dd"),Monthly_Pay_Model!$C$9:$C$39,0),4),INDEX(Monthly_Pay_Model!$A$9:$D$40,MATCH(TEXT(A211,"dd"),Monthly_Pay_Model!$C$9:$C$39,0),4),INDEX(Monthly_Pay_Model!$A$9:$D$40,MATCH(TEXT(A212,"dd"),Monthly_Pay_Model!$C$9:$C$39,0),4)),IF(VLOOKUP(A209,Calendar!$A$1:$R$1377,18,0)=5,SUM(INDEX(Monthly_Pay_Model!$A$9:$D$40,MATCH(TEXT(A209,"dd"),Monthly_Pay_Model!$C$9:$C$39,0),4),INDEX(Monthly_Pay_Model!$A$9:$D$40,MATCH(TEXT(A210,"dd"),Monthly_Pay_Model!$C$9:$C$39,0),4),INDEX(Monthly_Pay_Model!$A$9:$D$40,MATCH(TEXT(A211,"dd"),Monthly_Pay_Model!$C$9:$C$39,0),4),INDEX(Monthly_Pay_Model!$A$9:$D$40,MATCH(TEXT(A212,"dd"),Monthly_Pay_Model!$C$9:$C$39,0),4),INDEX(Monthly_Pay_Model!$A$9:$D$40,MATCH(TEXT(A213,"dd"),Monthly_Pay_Model!$C$9:$C$39,0),4)),))))))</f>
        <v>7.3130890052356002E-3</v>
      </c>
      <c r="J209" s="33">
        <f>IF(C209="Yes",Monthly_Pay_Model!$D$2,0)
+IF(Calendar!N209="Yes",Monthly_Pay_Model!$D$3,0)
+IF(D209="Yes",Monthly_Pay_Model!$D$4,0)
+IF(E209="Yes",Monthly_Pay_Model!$D$5,0)</f>
        <v>0</v>
      </c>
      <c r="K209" s="27">
        <f>IF(VLOOKUP($A209,Calendar!$A$1:$R$1377,18,0)=0,0,IF(VLOOKUP($A209,Calendar!$A$1:$R$1377,18,0)=1,IFERROR(INDEX(Weekly_Model!$D$2:$D$9,MATCH(F209,Weekly_Model!$A$2:$A$9,0)),0),IF(VLOOKUP($A209,Calendar!$A$1:$R$1377,18,0)=2,SUM(IFERROR(INDEX(Weekly_Model!$D$2:$D$9,MATCH(F209,Weekly_Model!$A$2:$A$9,0)),0),IFERROR(INDEX(Weekly_Model!$D$2:$D$9,MATCH(F210,Weekly_Model!$A$2:$A$9,0)),0)),IF(VLOOKUP($A209,Calendar!$A$1:$R$1377,18,0)=3,SUM(IFERROR(INDEX(Weekly_Model!$D$2:$D$9,MATCH(F209,Weekly_Model!$A$2:$A$9,0)),0),IFERROR(INDEX(Weekly_Model!$D$2:$D$9,MATCH(F210,Weekly_Model!$A$2:$A$9,0)),0),IFERROR(INDEX(Weekly_Model!$D$2:$D$9,MATCH(F211,Weekly_Model!$A$2:$A$9,0)),0)),IF(VLOOKUP($A209,Calendar!$A$1:$R$1377,18,0)=4,SUM(IFERROR(INDEX(Weekly_Model!$D$2:$D$9,MATCH(F209,Weekly_Model!$A$2:$A$9,0)),0),IFERROR(INDEX(Weekly_Model!$D$2:$D$9,MATCH(F210,Weekly_Model!$A$2:$A$9,0)),0),IFERROR(INDEX(Weekly_Model!$D$2:$D$9,MATCH(F211,Weekly_Model!$A$2:$A$9,0)),0),IFERROR(INDEX(Weekly_Model!$D$2:$D$9,MATCH(F212,Weekly_Model!$A$2:$A$9,0)),0)),IF(VLOOKUP($A209,Calendar!$A$1:$R$1377,18,0)=5,SUM(IFERROR(INDEX(Weekly_Model!$D$2:$D$9,MATCH(F209,Weekly_Model!$A$2:$A$9,0)),0),IFERROR(INDEX(Weekly_Model!$D$2:$D$9,MATCH(F210,Weekly_Model!$A$2:$A$9,0)),0),IFERROR(INDEX(Weekly_Model!$D$2:$D$9,MATCH(F211,Weekly_Model!$A$2:$A$9,0)),0),IFERROR(INDEX(Weekly_Model!$D$2:$D$9,MATCH(F212,Weekly_Model!$A$2:$A$9,0)),0),IFERROR(INDEX(Weekly_Model!$D$2:$D$9,MATCH(F213,Weekly_Model!$A$2:$A$9,0)),0)),0))))))</f>
        <v>2.3200000000000002E-2</v>
      </c>
      <c r="L209" s="27">
        <f>IF(VLOOKUP($A209,Calendar!$A$1:$R$1377,18,0)=0,0,IF(VLOOKUP($A209,Calendar!$A$1:$R$1377,18,0)=1,IFERROR(INDEX(Fortnightly_Model!$D$2:$D$15,MATCH(G209,Fortnightly_Model!$B$2:$B$15,0)),0),IF(VLOOKUP($A209,Calendar!$A$1:$R$1377,18,0)=2,SUM(IFERROR(INDEX(Fortnightly_Model!$D$2:$D$15,MATCH(G209,Fortnightly_Model!$B$2:$B$15,0)),0),IFERROR(INDEX(Fortnightly_Model!$D$2:$D$15,MATCH(G210,Fortnightly_Model!$B$2:$B$15,0)),0)),IF(VLOOKUP($A209,Calendar!$A$1:$R$1377,18,0)=3,SUM(IFERROR(INDEX(Fortnightly_Model!$D$2:$D$15,MATCH(G209,Fortnightly_Model!$B$2:$B$15,0)),0),IFERROR(INDEX(Fortnightly_Model!$D$2:$D$15,MATCH(G210,Fortnightly_Model!$B$2:$B$15,0)),0),IFERROR(INDEX(Fortnightly_Model!$D$2:$D$15,MATCH(G211,Fortnightly_Model!$B$2:$B$15,0)),0)),IF(VLOOKUP($A209,Calendar!$A$1:$R$1377,18,0)=4,SUM(IFERROR(INDEX(Fortnightly_Model!$D$2:$D$15,MATCH(G209,Fortnightly_Model!$B$2:$B$15,0)),0),IFERROR(INDEX(Fortnightly_Model!$D$2:$D$15,MATCH(G210,Fortnightly_Model!$B$2:$B$15,0)),0),IFERROR(INDEX(Fortnightly_Model!$D$2:$D$15,MATCH(G211,Fortnightly_Model!$B$2:$B$15,0)),0),IFERROR(INDEX(Fortnightly_Model!$D$2:$D$15,MATCH(G212,Fortnightly_Model!$B$2:$B$15,0)),0)),IF(VLOOKUP($A209,Calendar!$A$1:$R$1377,18,0)=5,SUM(IFERROR(INDEX(Fortnightly_Model!$D$2:$D$15,MATCH(G209,Fortnightly_Model!$B$2:$B$15,0)),0),IFERROR(INDEX(Fortnightly_Model!$D$2:$D$15,MATCH(G210,Fortnightly_Model!$B$2:$B$15,0)),0),IFERROR(INDEX(Fortnightly_Model!$D$2:$D$15,MATCH(G211,Fortnightly_Model!$B$2:$B$15,0)),0),IFERROR(INDEX(Fortnightly_Model!$D$2:$D$15,MATCH(G212,Fortnightly_Model!$B$2:$B$15,0)),0),IFERROR(INDEX(Fortnightly_Model!$D$2:$D$15,MATCH(G213,Fortnightly_Model!$B$2:$B$15,0)),0)),0))))))</f>
        <v>1.0714285499999999E-3</v>
      </c>
      <c r="M209" s="27">
        <f>IF(VLOOKUP($A209,Calendar!$A$1:$R$1377,18,0)=0,0,IF(VLOOKUP($A209,Calendar!$A$1:$R$1377,18,0)=1,IFERROR(INDEX(FourWeekly_Model!$D$2:$D$29,MATCH(H209,FourWeekly_Model!$B$2:$B$29,0)),0),IF(VLOOKUP($A209,Calendar!$A$1:$R$1377,18,0)=2,SUM(IFERROR(INDEX(FourWeekly_Model!$D$2:$D$29,MATCH(H209,FourWeekly_Model!$B$2:$B$29,0)),0),IFERROR(INDEX(FourWeekly_Model!$D$2:$D$29,MATCH(H210,FourWeekly_Model!$B$2:$B$29,0)),0)),IF(VLOOKUP($A209,Calendar!$A$1:$R$1377,18,0)=3,SUM(IFERROR(INDEX(FourWeekly_Model!$D$2:$D$29,MATCH(H209,FourWeekly_Model!$B$2:$B$29,0)),0),IFERROR(INDEX(FourWeekly_Model!$D$2:$D$29,MATCH(H210,FourWeekly_Model!$B$2:$B$29,0)),0),IFERROR(INDEX(FourWeekly_Model!$D$2:$D$29,MATCH(H211,FourWeekly_Model!$B$2:$B$29,0)),0)),IF(VLOOKUP($A209,Calendar!$A$1:$R$1377,18,0)=4,SUM(IFERROR(INDEX(FourWeekly_Model!$D$2:$D$29,MATCH(H209,FourWeekly_Model!$B$2:$B$29,0)),0),IFERROR(INDEX(FourWeekly_Model!$D$2:$D$29,MATCH(H210,FourWeekly_Model!$B$2:$B$29,0)),0),IFERROR(INDEX(FourWeekly_Model!$D$2:$D$29,MATCH(H211,FourWeekly_Model!$B$2:$B$29,0)),0),IFERROR(INDEX(FourWeekly_Model!$D$2:$D$29,MATCH(H212,FourWeekly_Model!$B$2:$B$29,0)),0)),IF(VLOOKUP($A209,Calendar!$A$1:$R$1377,18,0)=5,SUM(IFERROR(INDEX(FourWeekly_Model!$D$2:$D$29,MATCH(H209,FourWeekly_Model!$B$2:$B$29,0)),0),IFERROR(INDEX(FourWeekly_Model!$D$2:$D$29,MATCH(H210,FourWeekly_Model!$B$2:$B$29,0)),0),IFERROR(INDEX(FourWeekly_Model!$D$2:$D$29,MATCH(H211,FourWeekly_Model!$B$2:$B$29,0)),0),IFERROR(INDEX(FourWeekly_Model!$D$2:$D$29,MATCH(H212,FourWeekly_Model!$B$2:$B$29,0)),0),IFERROR(INDEX(FourWeekly_Model!$D$2:$D$29,MATCH(H213,FourWeekly_Model!$B$2:$B$29,0)),0)),0))))))</f>
        <v>3.3214289700000004E-3</v>
      </c>
      <c r="N209" s="27">
        <f>SUM(I209:M209)</f>
        <v>3.4905946525235605E-2</v>
      </c>
      <c r="O209" s="28">
        <f>Population_Data!$B$8*N209</f>
        <v>1057650.1797146387</v>
      </c>
      <c r="P209" s="27">
        <f>IF(VLOOKUP($A209,Calendar!$A$1:$R$1377,18,0)=0,0,IF(VLOOKUP($A209,Calendar!$A$1:$R$1377,18,0)=1,IFERROR(INDEX(Pension_Model!$D$2:$D$29,MATCH(H209,Pension_Model!$B$2:$B$29,0)),0),IF(VLOOKUP($A209,Calendar!$A$1:$R$1377,18,0)=2,SUM(IFERROR(INDEX(Pension_Model!$D$2:$D$29,MATCH(H209,Pension_Model!$B$2:$B$29,0)),0),IFERROR(INDEX(Pension_Model!$D$2:$D$29,MATCH(H210,Pension_Model!$B$2:$B$29,0)),0)),IF(VLOOKUP($A209,Calendar!$A$1:$R$1377,18,0)=3,SUM(IFERROR(INDEX(Pension_Model!$D$2:$D$29,MATCH(H209,Pension_Model!$B$2:$B$29,0)),0),IFERROR(INDEX(Pension_Model!$D$2:$D$29,MATCH(H210,Pension_Model!$B$2:$B$29,0)),0),IFERROR(INDEX(Pension_Model!$D$2:$D$29,MATCH(H211,Pension_Model!$B$2:$B$29,0)),0)),IF(VLOOKUP($A209,Calendar!$A$1:$R$1377,18,0)=4,SUM(IFERROR(INDEX(Pension_Model!$D$2:$D$29,MATCH(H209,Pension_Model!$B$2:$B$29,0)),0),IFERROR(INDEX(Pension_Model!$D$2:$D$29,MATCH(H210,Pension_Model!$B$2:$B$29,0)),0),IFERROR(INDEX(Pension_Model!$D$2:$D$29,MATCH(H211,Pension_Model!$B$2:$B$29,0)),0),IFERROR(INDEX(Pension_Model!$D$2:$D$29,MATCH(H212,Pension_Model!$B$2:$B$29,0)),0)),IF(VLOOKUP($A209,Calendar!$A$1:$R$1377,18,0)=5,SUM(IFERROR(INDEX(Pension_Model!$D$2:$D$29,MATCH(H209,Pension_Model!$B$2:$B$29,0)),0),IFERROR(INDEX(Pension_Model!$D$2:$D$29,MATCH(H210,Pension_Model!$B$2:$B$29,0)),0),IFERROR(INDEX(Pension_Model!$D$2:$D$29,MATCH(H211,Pension_Model!$B$2:$B$29,0)),0),IFERROR(INDEX(Pension_Model!$D$2:$D$29,MATCH(H212,Pension_Model!$B$2:$B$29,0)),0),IFERROR(INDEX(Pension_Model!$D$2:$D$29,MATCH(H213,Pension_Model!$B$2:$B$29,0)),0)),0))))))</f>
        <v>0.05</v>
      </c>
      <c r="Q209" s="28">
        <f>Population_Data!$B$15*P209</f>
        <v>660600</v>
      </c>
      <c r="S209">
        <f t="shared" si="3"/>
        <v>1718250.1797146387</v>
      </c>
      <c r="U209" s="33">
        <f>S209/Population_Data!$B$19</f>
        <v>3.1127720647004326E-2</v>
      </c>
    </row>
    <row r="210" spans="1:21">
      <c r="A210" s="25">
        <f>Calendar!A210</f>
        <v>46443</v>
      </c>
      <c r="B210" t="str">
        <f>Calendar!L210</f>
        <v>Yes</v>
      </c>
      <c r="C210" t="str">
        <f>Calendar!O210</f>
        <v>No</v>
      </c>
      <c r="D210" t="str">
        <f>Calendar!P210</f>
        <v>No</v>
      </c>
      <c r="E210" t="str">
        <f>Calendar!Q210</f>
        <v>Yes</v>
      </c>
      <c r="F210" t="str">
        <f>Calendar!I210</f>
        <v>Thursday</v>
      </c>
      <c r="G210">
        <f>Calendar!S210</f>
        <v>5</v>
      </c>
      <c r="H210">
        <f>Calendar!T210</f>
        <v>19</v>
      </c>
      <c r="I210" s="27">
        <f>IF(VLOOKUP(A210,Calendar!$A$1:$R$1377,18,0)=0,0,IF(VLOOKUP(A210,Calendar!$A$1:$R$1377,18,0)=1,INDEX(Monthly_Pay_Model!$A$9:$D$40,MATCH(TEXT(A210,"dd"),Monthly_Pay_Model!$C$9:$C$39,0),4),IF(VLOOKUP(A210,Calendar!$A$1:$R$1377,18,0)=2,SUM(INDEX(Monthly_Pay_Model!$A$9:$D$40,MATCH(TEXT(A210,"dd"),Monthly_Pay_Model!$C$9:$C$39,0),4),INDEX(Monthly_Pay_Model!$A$9:$D$40,MATCH(TEXT(A211,"dd"),Monthly_Pay_Model!$C$9:$C$39,0),4)),IF(VLOOKUP(A210,Calendar!$A$1:$R$1377,18,0)=3,SUM(INDEX(Monthly_Pay_Model!$A$9:$D$40,MATCH(TEXT(A210,"dd"),Monthly_Pay_Model!$C$9:$C$39,0),4),INDEX(Monthly_Pay_Model!$A$9:$D$40,MATCH(TEXT(A211,"dd"),Monthly_Pay_Model!$C$9:$C$39,0),4),INDEX(Monthly_Pay_Model!$A$9:$D$40,MATCH(TEXT(A212,"dd"),Monthly_Pay_Model!$C$9:$C$39,0),4)),IF(VLOOKUP(A210,Calendar!$A$1:$R$1377,18,0)=4,SUM(INDEX(Monthly_Pay_Model!$A$9:$D$40,MATCH(TEXT(A210,"dd"),Monthly_Pay_Model!$C$9:$C$39,0),4),INDEX(Monthly_Pay_Model!$A$9:$D$40,MATCH(TEXT(A211,"dd"),Monthly_Pay_Model!$C$9:$C$39,0),4),INDEX(Monthly_Pay_Model!$A$9:$D$40,MATCH(TEXT(A212,"dd"),Monthly_Pay_Model!$C$9:$C$39,0),4),INDEX(Monthly_Pay_Model!$A$9:$D$40,MATCH(TEXT(A213,"dd"),Monthly_Pay_Model!$C$9:$C$39,0),4)),IF(VLOOKUP(A210,Calendar!$A$1:$R$1377,18,0)=5,SUM(INDEX(Monthly_Pay_Model!$A$9:$D$40,MATCH(TEXT(A210,"dd"),Monthly_Pay_Model!$C$9:$C$39,0),4),INDEX(Monthly_Pay_Model!$A$9:$D$40,MATCH(TEXT(A211,"dd"),Monthly_Pay_Model!$C$9:$C$39,0),4),INDEX(Monthly_Pay_Model!$A$9:$D$40,MATCH(TEXT(A212,"dd"),Monthly_Pay_Model!$C$9:$C$39,0),4),INDEX(Monthly_Pay_Model!$A$9:$D$40,MATCH(TEXT(A213,"dd"),Monthly_Pay_Model!$C$9:$C$39,0),4),INDEX(Monthly_Pay_Model!$A$9:$D$40,MATCH(TEXT(A214,"dd"),Monthly_Pay_Model!$C$9:$C$39,0),4)),))))))</f>
        <v>2.1939267015706802E-2</v>
      </c>
      <c r="J210" s="33">
        <f>IF(C210="Yes",Monthly_Pay_Model!$D$2,0)
+IF(Calendar!N210="Yes",Monthly_Pay_Model!$D$3,0)
+IF(D210="Yes",Monthly_Pay_Model!$D$4,0)
+IF(E210="Yes",Monthly_Pay_Model!$D$5,0)</f>
        <v>5.4320000000000007E-2</v>
      </c>
      <c r="K210" s="27">
        <f>IF(VLOOKUP($A210,Calendar!$A$1:$R$1377,18,0)=0,0,IF(VLOOKUP($A210,Calendar!$A$1:$R$1377,18,0)=1,IFERROR(INDEX(Weekly_Model!$D$2:$D$9,MATCH(F210,Weekly_Model!$A$2:$A$9,0)),0),IF(VLOOKUP($A210,Calendar!$A$1:$R$1377,18,0)=2,SUM(IFERROR(INDEX(Weekly_Model!$D$2:$D$9,MATCH(F210,Weekly_Model!$A$2:$A$9,0)),0),IFERROR(INDEX(Weekly_Model!$D$2:$D$9,MATCH(F211,Weekly_Model!$A$2:$A$9,0)),0)),IF(VLOOKUP($A210,Calendar!$A$1:$R$1377,18,0)=3,SUM(IFERROR(INDEX(Weekly_Model!$D$2:$D$9,MATCH(F210,Weekly_Model!$A$2:$A$9,0)),0),IFERROR(INDEX(Weekly_Model!$D$2:$D$9,MATCH(F211,Weekly_Model!$A$2:$A$9,0)),0),IFERROR(INDEX(Weekly_Model!$D$2:$D$9,MATCH(F212,Weekly_Model!$A$2:$A$9,0)),0)),IF(VLOOKUP($A210,Calendar!$A$1:$R$1377,18,0)=4,SUM(IFERROR(INDEX(Weekly_Model!$D$2:$D$9,MATCH(F210,Weekly_Model!$A$2:$A$9,0)),0),IFERROR(INDEX(Weekly_Model!$D$2:$D$9,MATCH(F211,Weekly_Model!$A$2:$A$9,0)),0),IFERROR(INDEX(Weekly_Model!$D$2:$D$9,MATCH(F212,Weekly_Model!$A$2:$A$9,0)),0),IFERROR(INDEX(Weekly_Model!$D$2:$D$9,MATCH(F213,Weekly_Model!$A$2:$A$9,0)),0)),IF(VLOOKUP($A210,Calendar!$A$1:$R$1377,18,0)=5,SUM(IFERROR(INDEX(Weekly_Model!$D$2:$D$9,MATCH(F210,Weekly_Model!$A$2:$A$9,0)),0),IFERROR(INDEX(Weekly_Model!$D$2:$D$9,MATCH(F211,Weekly_Model!$A$2:$A$9,0)),0),IFERROR(INDEX(Weekly_Model!$D$2:$D$9,MATCH(F212,Weekly_Model!$A$2:$A$9,0)),0),IFERROR(INDEX(Weekly_Model!$D$2:$D$9,MATCH(F213,Weekly_Model!$A$2:$A$9,0)),0),IFERROR(INDEX(Weekly_Model!$D$2:$D$9,MATCH(F214,Weekly_Model!$A$2:$A$9,0)),0)),0))))))</f>
        <v>2.3200000000000002E-2</v>
      </c>
      <c r="L210" s="27">
        <f>IF(VLOOKUP($A210,Calendar!$A$1:$R$1377,18,0)=0,0,IF(VLOOKUP($A210,Calendar!$A$1:$R$1377,18,0)=1,IFERROR(INDEX(Fortnightly_Model!$D$2:$D$15,MATCH(G210,Fortnightly_Model!$B$2:$B$15,0)),0),IF(VLOOKUP($A210,Calendar!$A$1:$R$1377,18,0)=2,SUM(IFERROR(INDEX(Fortnightly_Model!$D$2:$D$15,MATCH(G210,Fortnightly_Model!$B$2:$B$15,0)),0),IFERROR(INDEX(Fortnightly_Model!$D$2:$D$15,MATCH(G211,Fortnightly_Model!$B$2:$B$15,0)),0)),IF(VLOOKUP($A210,Calendar!$A$1:$R$1377,18,0)=3,SUM(IFERROR(INDEX(Fortnightly_Model!$D$2:$D$15,MATCH(G210,Fortnightly_Model!$B$2:$B$15,0)),0),IFERROR(INDEX(Fortnightly_Model!$D$2:$D$15,MATCH(G211,Fortnightly_Model!$B$2:$B$15,0)),0),IFERROR(INDEX(Fortnightly_Model!$D$2:$D$15,MATCH(G212,Fortnightly_Model!$B$2:$B$15,0)),0)),IF(VLOOKUP($A210,Calendar!$A$1:$R$1377,18,0)=4,SUM(IFERROR(INDEX(Fortnightly_Model!$D$2:$D$15,MATCH(G210,Fortnightly_Model!$B$2:$B$15,0)),0),IFERROR(INDEX(Fortnightly_Model!$D$2:$D$15,MATCH(G211,Fortnightly_Model!$B$2:$B$15,0)),0),IFERROR(INDEX(Fortnightly_Model!$D$2:$D$15,MATCH(G212,Fortnightly_Model!$B$2:$B$15,0)),0),IFERROR(INDEX(Fortnightly_Model!$D$2:$D$15,MATCH(G213,Fortnightly_Model!$B$2:$B$15,0)),0)),IF(VLOOKUP($A210,Calendar!$A$1:$R$1377,18,0)=5,SUM(IFERROR(INDEX(Fortnightly_Model!$D$2:$D$15,MATCH(G210,Fortnightly_Model!$B$2:$B$15,0)),0),IFERROR(INDEX(Fortnightly_Model!$D$2:$D$15,MATCH(G211,Fortnightly_Model!$B$2:$B$15,0)),0),IFERROR(INDEX(Fortnightly_Model!$D$2:$D$15,MATCH(G212,Fortnightly_Model!$B$2:$B$15,0)),0),IFERROR(INDEX(Fortnightly_Model!$D$2:$D$15,MATCH(G213,Fortnightly_Model!$B$2:$B$15,0)),0),IFERROR(INDEX(Fortnightly_Model!$D$2:$D$15,MATCH(G214,Fortnightly_Model!$B$2:$B$15,0)),0)),0))))))</f>
        <v>1.0714285499999999E-3</v>
      </c>
      <c r="M210" s="27">
        <f>IF(VLOOKUP($A210,Calendar!$A$1:$R$1377,18,0)=0,0,IF(VLOOKUP($A210,Calendar!$A$1:$R$1377,18,0)=1,IFERROR(INDEX(FourWeekly_Model!$D$2:$D$29,MATCH(H210,FourWeekly_Model!$B$2:$B$29,0)),0),IF(VLOOKUP($A210,Calendar!$A$1:$R$1377,18,0)=2,SUM(IFERROR(INDEX(FourWeekly_Model!$D$2:$D$29,MATCH(H210,FourWeekly_Model!$B$2:$B$29,0)),0),IFERROR(INDEX(FourWeekly_Model!$D$2:$D$29,MATCH(H211,FourWeekly_Model!$B$2:$B$29,0)),0)),IF(VLOOKUP($A210,Calendar!$A$1:$R$1377,18,0)=3,SUM(IFERROR(INDEX(FourWeekly_Model!$D$2:$D$29,MATCH(H210,FourWeekly_Model!$B$2:$B$29,0)),0),IFERROR(INDEX(FourWeekly_Model!$D$2:$D$29,MATCH(H211,FourWeekly_Model!$B$2:$B$29,0)),0),IFERROR(INDEX(FourWeekly_Model!$D$2:$D$29,MATCH(H212,FourWeekly_Model!$B$2:$B$29,0)),0)),IF(VLOOKUP($A210,Calendar!$A$1:$R$1377,18,0)=4,SUM(IFERROR(INDEX(FourWeekly_Model!$D$2:$D$29,MATCH(H210,FourWeekly_Model!$B$2:$B$29,0)),0),IFERROR(INDEX(FourWeekly_Model!$D$2:$D$29,MATCH(H211,FourWeekly_Model!$B$2:$B$29,0)),0),IFERROR(INDEX(FourWeekly_Model!$D$2:$D$29,MATCH(H212,FourWeekly_Model!$B$2:$B$29,0)),0),IFERROR(INDEX(FourWeekly_Model!$D$2:$D$29,MATCH(H213,FourWeekly_Model!$B$2:$B$29,0)),0)),IF(VLOOKUP($A210,Calendar!$A$1:$R$1377,18,0)=5,SUM(IFERROR(INDEX(FourWeekly_Model!$D$2:$D$29,MATCH(H210,FourWeekly_Model!$B$2:$B$29,0)),0),IFERROR(INDEX(FourWeekly_Model!$D$2:$D$29,MATCH(H211,FourWeekly_Model!$B$2:$B$29,0)),0),IFERROR(INDEX(FourWeekly_Model!$D$2:$D$29,MATCH(H212,FourWeekly_Model!$B$2:$B$29,0)),0),IFERROR(INDEX(FourWeekly_Model!$D$2:$D$29,MATCH(H213,FourWeekly_Model!$B$2:$B$29,0)),0),IFERROR(INDEX(FourWeekly_Model!$D$2:$D$29,MATCH(H214,FourWeekly_Model!$B$2:$B$29,0)),0)),0))))))</f>
        <v>3.3214289700000004E-3</v>
      </c>
      <c r="N210" s="27">
        <f>SUM(I210:M210)</f>
        <v>0.10385212453570682</v>
      </c>
      <c r="O210" s="28">
        <f>Population_Data!$B$8*N210</f>
        <v>3146719.3734319163</v>
      </c>
      <c r="P210" s="27">
        <f>IF(VLOOKUP($A210,Calendar!$A$1:$R$1377,18,0)=0,0,IF(VLOOKUP($A210,Calendar!$A$1:$R$1377,18,0)=1,IFERROR(INDEX(Pension_Model!$D$2:$D$29,MATCH(H210,Pension_Model!$B$2:$B$29,0)),0),IF(VLOOKUP($A210,Calendar!$A$1:$R$1377,18,0)=2,SUM(IFERROR(INDEX(Pension_Model!$D$2:$D$29,MATCH(H210,Pension_Model!$B$2:$B$29,0)),0),IFERROR(INDEX(Pension_Model!$D$2:$D$29,MATCH(H211,Pension_Model!$B$2:$B$29,0)),0)),IF(VLOOKUP($A210,Calendar!$A$1:$R$1377,18,0)=3,SUM(IFERROR(INDEX(Pension_Model!$D$2:$D$29,MATCH(H210,Pension_Model!$B$2:$B$29,0)),0),IFERROR(INDEX(Pension_Model!$D$2:$D$29,MATCH(H211,Pension_Model!$B$2:$B$29,0)),0),IFERROR(INDEX(Pension_Model!$D$2:$D$29,MATCH(H212,Pension_Model!$B$2:$B$29,0)),0)),IF(VLOOKUP($A210,Calendar!$A$1:$R$1377,18,0)=4,SUM(IFERROR(INDEX(Pension_Model!$D$2:$D$29,MATCH(H210,Pension_Model!$B$2:$B$29,0)),0),IFERROR(INDEX(Pension_Model!$D$2:$D$29,MATCH(H211,Pension_Model!$B$2:$B$29,0)),0),IFERROR(INDEX(Pension_Model!$D$2:$D$29,MATCH(H212,Pension_Model!$B$2:$B$29,0)),0),IFERROR(INDEX(Pension_Model!$D$2:$D$29,MATCH(H213,Pension_Model!$B$2:$B$29,0)),0)),IF(VLOOKUP($A210,Calendar!$A$1:$R$1377,18,0)=5,SUM(IFERROR(INDEX(Pension_Model!$D$2:$D$29,MATCH(H210,Pension_Model!$B$2:$B$29,0)),0),IFERROR(INDEX(Pension_Model!$D$2:$D$29,MATCH(H211,Pension_Model!$B$2:$B$29,0)),0),IFERROR(INDEX(Pension_Model!$D$2:$D$29,MATCH(H212,Pension_Model!$B$2:$B$29,0)),0),IFERROR(INDEX(Pension_Model!$D$2:$D$29,MATCH(H213,Pension_Model!$B$2:$B$29,0)),0),IFERROR(INDEX(Pension_Model!$D$2:$D$29,MATCH(H214,Pension_Model!$B$2:$B$29,0)),0)),0))))))</f>
        <v>0.05</v>
      </c>
      <c r="Q210" s="28">
        <f>Population_Data!$B$15*P210</f>
        <v>660600</v>
      </c>
      <c r="S210">
        <f t="shared" si="3"/>
        <v>3807319.3734319163</v>
      </c>
      <c r="U210" s="33">
        <f>S210/Population_Data!$B$19</f>
        <v>6.8973177054926019E-2</v>
      </c>
    </row>
    <row r="211" spans="1:21">
      <c r="A211" s="25">
        <f>Calendar!A211</f>
        <v>46444</v>
      </c>
      <c r="B211" t="str">
        <f>Calendar!L211</f>
        <v>Yes</v>
      </c>
      <c r="C211" t="str">
        <f>Calendar!O211</f>
        <v>Yes</v>
      </c>
      <c r="D211" t="str">
        <f>Calendar!P211</f>
        <v>Yes</v>
      </c>
      <c r="E211" t="str">
        <f>Calendar!Q211</f>
        <v>No</v>
      </c>
      <c r="F211" t="str">
        <f>Calendar!I211</f>
        <v>Friday</v>
      </c>
      <c r="G211">
        <f>Calendar!S211</f>
        <v>6</v>
      </c>
      <c r="H211">
        <f>Calendar!T211</f>
        <v>20</v>
      </c>
      <c r="I211" s="27">
        <f>IF(VLOOKUP(A211,Calendar!$A$1:$R$1377,18,0)=0,0,IF(VLOOKUP(A211,Calendar!$A$1:$R$1377,18,0)=1,INDEX(Monthly_Pay_Model!$A$9:$D$40,MATCH(TEXT(A211,"dd"),Monthly_Pay_Model!$C$9:$C$39,0),4),IF(VLOOKUP(A211,Calendar!$A$1:$R$1377,18,0)=2,SUM(INDEX(Monthly_Pay_Model!$A$9:$D$40,MATCH(TEXT(A211,"dd"),Monthly_Pay_Model!$C$9:$C$39,0),4),INDEX(Monthly_Pay_Model!$A$9:$D$40,MATCH(TEXT(A212,"dd"),Monthly_Pay_Model!$C$9:$C$39,0),4)),IF(VLOOKUP(A211,Calendar!$A$1:$R$1377,18,0)=3,SUM(INDEX(Monthly_Pay_Model!$A$9:$D$40,MATCH(TEXT(A211,"dd"),Monthly_Pay_Model!$C$9:$C$39,0),4),INDEX(Monthly_Pay_Model!$A$9:$D$40,MATCH(TEXT(A212,"dd"),Monthly_Pay_Model!$C$9:$C$39,0),4),INDEX(Monthly_Pay_Model!$A$9:$D$40,MATCH(TEXT(A213,"dd"),Monthly_Pay_Model!$C$9:$C$39,0),4)),IF(VLOOKUP(A211,Calendar!$A$1:$R$1377,18,0)=4,SUM(INDEX(Monthly_Pay_Model!$A$9:$D$40,MATCH(TEXT(A211,"dd"),Monthly_Pay_Model!$C$9:$C$39,0),4),INDEX(Monthly_Pay_Model!$A$9:$D$40,MATCH(TEXT(A212,"dd"),Monthly_Pay_Model!$C$9:$C$39,0),4),INDEX(Monthly_Pay_Model!$A$9:$D$40,MATCH(TEXT(A213,"dd"),Monthly_Pay_Model!$C$9:$C$39,0),4),INDEX(Monthly_Pay_Model!$A$9:$D$40,MATCH(TEXT(A214,"dd"),Monthly_Pay_Model!$C$9:$C$39,0),4)),IF(VLOOKUP(A211,Calendar!$A$1:$R$1377,18,0)=5,SUM(INDEX(Monthly_Pay_Model!$A$9:$D$40,MATCH(TEXT(A211,"dd"),Monthly_Pay_Model!$C$9:$C$39,0),4),INDEX(Monthly_Pay_Model!$A$9:$D$40,MATCH(TEXT(A212,"dd"),Monthly_Pay_Model!$C$9:$C$39,0),4),INDEX(Monthly_Pay_Model!$A$9:$D$40,MATCH(TEXT(A213,"dd"),Monthly_Pay_Model!$C$9:$C$39,0),4),INDEX(Monthly_Pay_Model!$A$9:$D$40,MATCH(TEXT(A214,"dd"),Monthly_Pay_Model!$C$9:$C$39,0),4),INDEX(Monthly_Pay_Model!$A$9:$D$40,MATCH(TEXT(A215,"dd"),Monthly_Pay_Model!$C$9:$C$39,0),4)),))))))</f>
        <v>4.062827225130889E-2</v>
      </c>
      <c r="J211" s="33">
        <f>IF(C211="Yes",Monthly_Pay_Model!$D$2,0)
+IF(Calendar!N211="Yes",Monthly_Pay_Model!$D$3,0)
+IF(D211="Yes",Monthly_Pay_Model!$D$4,0)
+IF(E211="Yes",Monthly_Pay_Model!$D$5,0)</f>
        <v>0.44231999999999999</v>
      </c>
      <c r="K211" s="27">
        <f>IF(VLOOKUP($A211,Calendar!$A$1:$R$1377,18,0)=0,0,IF(VLOOKUP($A211,Calendar!$A$1:$R$1377,18,0)=1,IFERROR(INDEX(Weekly_Model!$D$2:$D$9,MATCH(F211,Weekly_Model!$A$2:$A$9,0)),0),IF(VLOOKUP($A211,Calendar!$A$1:$R$1377,18,0)=2,SUM(IFERROR(INDEX(Weekly_Model!$D$2:$D$9,MATCH(F211,Weekly_Model!$A$2:$A$9,0)),0),IFERROR(INDEX(Weekly_Model!$D$2:$D$9,MATCH(F212,Weekly_Model!$A$2:$A$9,0)),0)),IF(VLOOKUP($A211,Calendar!$A$1:$R$1377,18,0)=3,SUM(IFERROR(INDEX(Weekly_Model!$D$2:$D$9,MATCH(F211,Weekly_Model!$A$2:$A$9,0)),0),IFERROR(INDEX(Weekly_Model!$D$2:$D$9,MATCH(F212,Weekly_Model!$A$2:$A$9,0)),0),IFERROR(INDEX(Weekly_Model!$D$2:$D$9,MATCH(F213,Weekly_Model!$A$2:$A$9,0)),0)),IF(VLOOKUP($A211,Calendar!$A$1:$R$1377,18,0)=4,SUM(IFERROR(INDEX(Weekly_Model!$D$2:$D$9,MATCH(F211,Weekly_Model!$A$2:$A$9,0)),0),IFERROR(INDEX(Weekly_Model!$D$2:$D$9,MATCH(F212,Weekly_Model!$A$2:$A$9,0)),0),IFERROR(INDEX(Weekly_Model!$D$2:$D$9,MATCH(F213,Weekly_Model!$A$2:$A$9,0)),0),IFERROR(INDEX(Weekly_Model!$D$2:$D$9,MATCH(F214,Weekly_Model!$A$2:$A$9,0)),0)),IF(VLOOKUP($A211,Calendar!$A$1:$R$1377,18,0)=5,SUM(IFERROR(INDEX(Weekly_Model!$D$2:$D$9,MATCH(F211,Weekly_Model!$A$2:$A$9,0)),0),IFERROR(INDEX(Weekly_Model!$D$2:$D$9,MATCH(F212,Weekly_Model!$A$2:$A$9,0)),0),IFERROR(INDEX(Weekly_Model!$D$2:$D$9,MATCH(F213,Weekly_Model!$A$2:$A$9,0)),0),IFERROR(INDEX(Weekly_Model!$D$2:$D$9,MATCH(F214,Weekly_Model!$A$2:$A$9,0)),0),IFERROR(INDEX(Weekly_Model!$D$2:$D$9,MATCH(F215,Weekly_Model!$A$2:$A$9,0)),0)),0))))))</f>
        <v>2.3200000000000002E-2</v>
      </c>
      <c r="L211" s="27">
        <f>IF(VLOOKUP($A211,Calendar!$A$1:$R$1377,18,0)=0,0,IF(VLOOKUP($A211,Calendar!$A$1:$R$1377,18,0)=1,IFERROR(INDEX(Fortnightly_Model!$D$2:$D$15,MATCH(G211,Fortnightly_Model!$B$2:$B$15,0)),0),IF(VLOOKUP($A211,Calendar!$A$1:$R$1377,18,0)=2,SUM(IFERROR(INDEX(Fortnightly_Model!$D$2:$D$15,MATCH(G211,Fortnightly_Model!$B$2:$B$15,0)),0),IFERROR(INDEX(Fortnightly_Model!$D$2:$D$15,MATCH(G212,Fortnightly_Model!$B$2:$B$15,0)),0)),IF(VLOOKUP($A211,Calendar!$A$1:$R$1377,18,0)=3,SUM(IFERROR(INDEX(Fortnightly_Model!$D$2:$D$15,MATCH(G211,Fortnightly_Model!$B$2:$B$15,0)),0),IFERROR(INDEX(Fortnightly_Model!$D$2:$D$15,MATCH(G212,Fortnightly_Model!$B$2:$B$15,0)),0),IFERROR(INDEX(Fortnightly_Model!$D$2:$D$15,MATCH(G213,Fortnightly_Model!$B$2:$B$15,0)),0)),IF(VLOOKUP($A211,Calendar!$A$1:$R$1377,18,0)=4,SUM(IFERROR(INDEX(Fortnightly_Model!$D$2:$D$15,MATCH(G211,Fortnightly_Model!$B$2:$B$15,0)),0),IFERROR(INDEX(Fortnightly_Model!$D$2:$D$15,MATCH(G212,Fortnightly_Model!$B$2:$B$15,0)),0),IFERROR(INDEX(Fortnightly_Model!$D$2:$D$15,MATCH(G213,Fortnightly_Model!$B$2:$B$15,0)),0),IFERROR(INDEX(Fortnightly_Model!$D$2:$D$15,MATCH(G214,Fortnightly_Model!$B$2:$B$15,0)),0)),IF(VLOOKUP($A211,Calendar!$A$1:$R$1377,18,0)=5,SUM(IFERROR(INDEX(Fortnightly_Model!$D$2:$D$15,MATCH(G211,Fortnightly_Model!$B$2:$B$15,0)),0),IFERROR(INDEX(Fortnightly_Model!$D$2:$D$15,MATCH(G212,Fortnightly_Model!$B$2:$B$15,0)),0),IFERROR(INDEX(Fortnightly_Model!$D$2:$D$15,MATCH(G213,Fortnightly_Model!$B$2:$B$15,0)),0),IFERROR(INDEX(Fortnightly_Model!$D$2:$D$15,MATCH(G214,Fortnightly_Model!$B$2:$B$15,0)),0),IFERROR(INDEX(Fortnightly_Model!$D$2:$D$15,MATCH(G215,Fortnightly_Model!$B$2:$B$15,0)),0)),0))))))</f>
        <v>3.2142856499999999E-3</v>
      </c>
      <c r="M211" s="27">
        <f>IF(VLOOKUP($A211,Calendar!$A$1:$R$1377,18,0)=0,0,IF(VLOOKUP($A211,Calendar!$A$1:$R$1377,18,0)=1,IFERROR(INDEX(FourWeekly_Model!$D$2:$D$29,MATCH(H211,FourWeekly_Model!$B$2:$B$29,0)),0),IF(VLOOKUP($A211,Calendar!$A$1:$R$1377,18,0)=2,SUM(IFERROR(INDEX(FourWeekly_Model!$D$2:$D$29,MATCH(H211,FourWeekly_Model!$B$2:$B$29,0)),0),IFERROR(INDEX(FourWeekly_Model!$D$2:$D$29,MATCH(H212,FourWeekly_Model!$B$2:$B$29,0)),0)),IF(VLOOKUP($A211,Calendar!$A$1:$R$1377,18,0)=3,SUM(IFERROR(INDEX(FourWeekly_Model!$D$2:$D$29,MATCH(H211,FourWeekly_Model!$B$2:$B$29,0)),0),IFERROR(INDEX(FourWeekly_Model!$D$2:$D$29,MATCH(H212,FourWeekly_Model!$B$2:$B$29,0)),0),IFERROR(INDEX(FourWeekly_Model!$D$2:$D$29,MATCH(H213,FourWeekly_Model!$B$2:$B$29,0)),0)),IF(VLOOKUP($A211,Calendar!$A$1:$R$1377,18,0)=4,SUM(IFERROR(INDEX(FourWeekly_Model!$D$2:$D$29,MATCH(H211,FourWeekly_Model!$B$2:$B$29,0)),0),IFERROR(INDEX(FourWeekly_Model!$D$2:$D$29,MATCH(H212,FourWeekly_Model!$B$2:$B$29,0)),0),IFERROR(INDEX(FourWeekly_Model!$D$2:$D$29,MATCH(H213,FourWeekly_Model!$B$2:$B$29,0)),0),IFERROR(INDEX(FourWeekly_Model!$D$2:$D$29,MATCH(H214,FourWeekly_Model!$B$2:$B$29,0)),0)),IF(VLOOKUP($A211,Calendar!$A$1:$R$1377,18,0)=5,SUM(IFERROR(INDEX(FourWeekly_Model!$D$2:$D$29,MATCH(H211,FourWeekly_Model!$B$2:$B$29,0)),0),IFERROR(INDEX(FourWeekly_Model!$D$2:$D$29,MATCH(H212,FourWeekly_Model!$B$2:$B$29,0)),0),IFERROR(INDEX(FourWeekly_Model!$D$2:$D$29,MATCH(H213,FourWeekly_Model!$B$2:$B$29,0)),0),IFERROR(INDEX(FourWeekly_Model!$D$2:$D$29,MATCH(H214,FourWeekly_Model!$B$2:$B$29,0)),0),IFERROR(INDEX(FourWeekly_Model!$D$2:$D$29,MATCH(H215,FourWeekly_Model!$B$2:$B$29,0)),0)),0))))))</f>
        <v>9.9642859800000011E-3</v>
      </c>
      <c r="N211" s="27">
        <f>SUM(I211:M211)</f>
        <v>0.5193268438813089</v>
      </c>
      <c r="O211" s="28">
        <f>Population_Data!$B$8*N211</f>
        <v>15735603.36960366</v>
      </c>
      <c r="P211" s="27">
        <f>IF(VLOOKUP($A211,Calendar!$A$1:$R$1377,18,0)=0,0,IF(VLOOKUP($A211,Calendar!$A$1:$R$1377,18,0)=1,IFERROR(INDEX(Pension_Model!$D$2:$D$29,MATCH(H211,Pension_Model!$B$2:$B$29,0)),0),IF(VLOOKUP($A211,Calendar!$A$1:$R$1377,18,0)=2,SUM(IFERROR(INDEX(Pension_Model!$D$2:$D$29,MATCH(H211,Pension_Model!$B$2:$B$29,0)),0),IFERROR(INDEX(Pension_Model!$D$2:$D$29,MATCH(H212,Pension_Model!$B$2:$B$29,0)),0)),IF(VLOOKUP($A211,Calendar!$A$1:$R$1377,18,0)=3,SUM(IFERROR(INDEX(Pension_Model!$D$2:$D$29,MATCH(H211,Pension_Model!$B$2:$B$29,0)),0),IFERROR(INDEX(Pension_Model!$D$2:$D$29,MATCH(H212,Pension_Model!$B$2:$B$29,0)),0),IFERROR(INDEX(Pension_Model!$D$2:$D$29,MATCH(H213,Pension_Model!$B$2:$B$29,0)),0)),IF(VLOOKUP($A211,Calendar!$A$1:$R$1377,18,0)=4,SUM(IFERROR(INDEX(Pension_Model!$D$2:$D$29,MATCH(H211,Pension_Model!$B$2:$B$29,0)),0),IFERROR(INDEX(Pension_Model!$D$2:$D$29,MATCH(H212,Pension_Model!$B$2:$B$29,0)),0),IFERROR(INDEX(Pension_Model!$D$2:$D$29,MATCH(H213,Pension_Model!$B$2:$B$29,0)),0),IFERROR(INDEX(Pension_Model!$D$2:$D$29,MATCH(H214,Pension_Model!$B$2:$B$29,0)),0)),IF(VLOOKUP($A211,Calendar!$A$1:$R$1377,18,0)=5,SUM(IFERROR(INDEX(Pension_Model!$D$2:$D$29,MATCH(H211,Pension_Model!$B$2:$B$29,0)),0),IFERROR(INDEX(Pension_Model!$D$2:$D$29,MATCH(H212,Pension_Model!$B$2:$B$29,0)),0),IFERROR(INDEX(Pension_Model!$D$2:$D$29,MATCH(H213,Pension_Model!$B$2:$B$29,0)),0),IFERROR(INDEX(Pension_Model!$D$2:$D$29,MATCH(H214,Pension_Model!$B$2:$B$29,0)),0),IFERROR(INDEX(Pension_Model!$D$2:$D$29,MATCH(H215,Pension_Model!$B$2:$B$29,0)),0)),0))))))</f>
        <v>0.05</v>
      </c>
      <c r="Q211" s="28">
        <f>Population_Data!$B$15*P211</f>
        <v>660600</v>
      </c>
      <c r="S211">
        <f t="shared" si="3"/>
        <v>16396203.36960366</v>
      </c>
      <c r="U211" s="33">
        <f>S211/Population_Data!$B$19</f>
        <v>0.29703266973919673</v>
      </c>
    </row>
    <row r="212" spans="1:21">
      <c r="A212" s="25">
        <f>Calendar!A212</f>
        <v>46445</v>
      </c>
      <c r="B212" t="str">
        <f>Calendar!L212</f>
        <v>No</v>
      </c>
      <c r="C212" t="str">
        <f>Calendar!O212</f>
        <v>No</v>
      </c>
      <c r="D212" t="str">
        <f>Calendar!P212</f>
        <v>No</v>
      </c>
      <c r="E212" t="str">
        <f>Calendar!Q212</f>
        <v>No</v>
      </c>
      <c r="F212" t="str">
        <f>Calendar!I212</f>
        <v>Saturday</v>
      </c>
      <c r="G212">
        <f>Calendar!S212</f>
        <v>7</v>
      </c>
      <c r="H212">
        <f>Calendar!T212</f>
        <v>21</v>
      </c>
      <c r="I212" s="27">
        <f>IF(VLOOKUP(A212,Calendar!$A$1:$R$1377,18,0)=0,0,IF(VLOOKUP(A212,Calendar!$A$1:$R$1377,18,0)=1,INDEX(Monthly_Pay_Model!$A$9:$D$40,MATCH(TEXT(A212,"dd"),Monthly_Pay_Model!$C$9:$C$39,0),4),IF(VLOOKUP(A212,Calendar!$A$1:$R$1377,18,0)=2,SUM(INDEX(Monthly_Pay_Model!$A$9:$D$40,MATCH(TEXT(A212,"dd"),Monthly_Pay_Model!$C$9:$C$39,0),4),INDEX(Monthly_Pay_Model!$A$9:$D$40,MATCH(TEXT(A213,"dd"),Monthly_Pay_Model!$C$9:$C$39,0),4)),IF(VLOOKUP(A212,Calendar!$A$1:$R$1377,18,0)=3,SUM(INDEX(Monthly_Pay_Model!$A$9:$D$40,MATCH(TEXT(A212,"dd"),Monthly_Pay_Model!$C$9:$C$39,0),4),INDEX(Monthly_Pay_Model!$A$9:$D$40,MATCH(TEXT(A213,"dd"),Monthly_Pay_Model!$C$9:$C$39,0),4),INDEX(Monthly_Pay_Model!$A$9:$D$40,MATCH(TEXT(A214,"dd"),Monthly_Pay_Model!$C$9:$C$39,0),4)),IF(VLOOKUP(A212,Calendar!$A$1:$R$1377,18,0)=4,SUM(INDEX(Monthly_Pay_Model!$A$9:$D$40,MATCH(TEXT(A212,"dd"),Monthly_Pay_Model!$C$9:$C$39,0),4),INDEX(Monthly_Pay_Model!$A$9:$D$40,MATCH(TEXT(A213,"dd"),Monthly_Pay_Model!$C$9:$C$39,0),4),INDEX(Monthly_Pay_Model!$A$9:$D$40,MATCH(TEXT(A214,"dd"),Monthly_Pay_Model!$C$9:$C$39,0),4),INDEX(Monthly_Pay_Model!$A$9:$D$40,MATCH(TEXT(A215,"dd"),Monthly_Pay_Model!$C$9:$C$39,0),4)),IF(VLOOKUP(A212,Calendar!$A$1:$R$1377,18,0)=5,SUM(INDEX(Monthly_Pay_Model!$A$9:$D$40,MATCH(TEXT(A212,"dd"),Monthly_Pay_Model!$C$9:$C$39,0),4),INDEX(Monthly_Pay_Model!$A$9:$D$40,MATCH(TEXT(A213,"dd"),Monthly_Pay_Model!$C$9:$C$39,0),4),INDEX(Monthly_Pay_Model!$A$9:$D$40,MATCH(TEXT(A214,"dd"),Monthly_Pay_Model!$C$9:$C$39,0),4),INDEX(Monthly_Pay_Model!$A$9:$D$40,MATCH(TEXT(A215,"dd"),Monthly_Pay_Model!$C$9:$C$39,0),4),INDEX(Monthly_Pay_Model!$A$9:$D$40,MATCH(TEXT(A216,"dd"),Monthly_Pay_Model!$C$9:$C$39,0),4)),))))))</f>
        <v>0</v>
      </c>
      <c r="J212" s="33">
        <f>IF(C212="Yes",Monthly_Pay_Model!$D$2,0)
+IF(Calendar!N212="Yes",Monthly_Pay_Model!$D$3,0)
+IF(D212="Yes",Monthly_Pay_Model!$D$4,0)
+IF(E212="Yes",Monthly_Pay_Model!$D$5,0)</f>
        <v>0</v>
      </c>
      <c r="K212" s="27">
        <f>IF(VLOOKUP($A212,Calendar!$A$1:$R$1377,18,0)=0,0,IF(VLOOKUP($A212,Calendar!$A$1:$R$1377,18,0)=1,IFERROR(INDEX(Weekly_Model!$D$2:$D$9,MATCH(F212,Weekly_Model!$A$2:$A$9,0)),0),IF(VLOOKUP($A212,Calendar!$A$1:$R$1377,18,0)=2,SUM(IFERROR(INDEX(Weekly_Model!$D$2:$D$9,MATCH(F212,Weekly_Model!$A$2:$A$9,0)),0),IFERROR(INDEX(Weekly_Model!$D$2:$D$9,MATCH(F213,Weekly_Model!$A$2:$A$9,0)),0)),IF(VLOOKUP($A212,Calendar!$A$1:$R$1377,18,0)=3,SUM(IFERROR(INDEX(Weekly_Model!$D$2:$D$9,MATCH(F212,Weekly_Model!$A$2:$A$9,0)),0),IFERROR(INDEX(Weekly_Model!$D$2:$D$9,MATCH(F213,Weekly_Model!$A$2:$A$9,0)),0),IFERROR(INDEX(Weekly_Model!$D$2:$D$9,MATCH(F214,Weekly_Model!$A$2:$A$9,0)),0)),IF(VLOOKUP($A212,Calendar!$A$1:$R$1377,18,0)=4,SUM(IFERROR(INDEX(Weekly_Model!$D$2:$D$9,MATCH(F212,Weekly_Model!$A$2:$A$9,0)),0),IFERROR(INDEX(Weekly_Model!$D$2:$D$9,MATCH(F213,Weekly_Model!$A$2:$A$9,0)),0),IFERROR(INDEX(Weekly_Model!$D$2:$D$9,MATCH(F214,Weekly_Model!$A$2:$A$9,0)),0),IFERROR(INDEX(Weekly_Model!$D$2:$D$9,MATCH(F215,Weekly_Model!$A$2:$A$9,0)),0)),IF(VLOOKUP($A212,Calendar!$A$1:$R$1377,18,0)=5,SUM(IFERROR(INDEX(Weekly_Model!$D$2:$D$9,MATCH(F212,Weekly_Model!$A$2:$A$9,0)),0),IFERROR(INDEX(Weekly_Model!$D$2:$D$9,MATCH(F213,Weekly_Model!$A$2:$A$9,0)),0),IFERROR(INDEX(Weekly_Model!$D$2:$D$9,MATCH(F214,Weekly_Model!$A$2:$A$9,0)),0),IFERROR(INDEX(Weekly_Model!$D$2:$D$9,MATCH(F215,Weekly_Model!$A$2:$A$9,0)),0),IFERROR(INDEX(Weekly_Model!$D$2:$D$9,MATCH(F216,Weekly_Model!$A$2:$A$9,0)),0)),0))))))</f>
        <v>0</v>
      </c>
      <c r="L212" s="27">
        <f>IF(VLOOKUP($A212,Calendar!$A$1:$R$1377,18,0)=0,0,IF(VLOOKUP($A212,Calendar!$A$1:$R$1377,18,0)=1,IFERROR(INDEX(Fortnightly_Model!$D$2:$D$15,MATCH(G212,Fortnightly_Model!$B$2:$B$15,0)),0),IF(VLOOKUP($A212,Calendar!$A$1:$R$1377,18,0)=2,SUM(IFERROR(INDEX(Fortnightly_Model!$D$2:$D$15,MATCH(G212,Fortnightly_Model!$B$2:$B$15,0)),0),IFERROR(INDEX(Fortnightly_Model!$D$2:$D$15,MATCH(G213,Fortnightly_Model!$B$2:$B$15,0)),0)),IF(VLOOKUP($A212,Calendar!$A$1:$R$1377,18,0)=3,SUM(IFERROR(INDEX(Fortnightly_Model!$D$2:$D$15,MATCH(G212,Fortnightly_Model!$B$2:$B$15,0)),0),IFERROR(INDEX(Fortnightly_Model!$D$2:$D$15,MATCH(G213,Fortnightly_Model!$B$2:$B$15,0)),0),IFERROR(INDEX(Fortnightly_Model!$D$2:$D$15,MATCH(G214,Fortnightly_Model!$B$2:$B$15,0)),0)),IF(VLOOKUP($A212,Calendar!$A$1:$R$1377,18,0)=4,SUM(IFERROR(INDEX(Fortnightly_Model!$D$2:$D$15,MATCH(G212,Fortnightly_Model!$B$2:$B$15,0)),0),IFERROR(INDEX(Fortnightly_Model!$D$2:$D$15,MATCH(G213,Fortnightly_Model!$B$2:$B$15,0)),0),IFERROR(INDEX(Fortnightly_Model!$D$2:$D$15,MATCH(G214,Fortnightly_Model!$B$2:$B$15,0)),0),IFERROR(INDEX(Fortnightly_Model!$D$2:$D$15,MATCH(G215,Fortnightly_Model!$B$2:$B$15,0)),0)),IF(VLOOKUP($A212,Calendar!$A$1:$R$1377,18,0)=5,SUM(IFERROR(INDEX(Fortnightly_Model!$D$2:$D$15,MATCH(G212,Fortnightly_Model!$B$2:$B$15,0)),0),IFERROR(INDEX(Fortnightly_Model!$D$2:$D$15,MATCH(G213,Fortnightly_Model!$B$2:$B$15,0)),0),IFERROR(INDEX(Fortnightly_Model!$D$2:$D$15,MATCH(G214,Fortnightly_Model!$B$2:$B$15,0)),0),IFERROR(INDEX(Fortnightly_Model!$D$2:$D$15,MATCH(G215,Fortnightly_Model!$B$2:$B$15,0)),0),IFERROR(INDEX(Fortnightly_Model!$D$2:$D$15,MATCH(G216,Fortnightly_Model!$B$2:$B$15,0)),0)),0))))))</f>
        <v>0</v>
      </c>
      <c r="M212" s="27">
        <f>IF(VLOOKUP($A212,Calendar!$A$1:$R$1377,18,0)=0,0,IF(VLOOKUP($A212,Calendar!$A$1:$R$1377,18,0)=1,IFERROR(INDEX(FourWeekly_Model!$D$2:$D$29,MATCH(H212,FourWeekly_Model!$B$2:$B$29,0)),0),IF(VLOOKUP($A212,Calendar!$A$1:$R$1377,18,0)=2,SUM(IFERROR(INDEX(FourWeekly_Model!$D$2:$D$29,MATCH(H212,FourWeekly_Model!$B$2:$B$29,0)),0),IFERROR(INDEX(FourWeekly_Model!$D$2:$D$29,MATCH(H213,FourWeekly_Model!$B$2:$B$29,0)),0)),IF(VLOOKUP($A212,Calendar!$A$1:$R$1377,18,0)=3,SUM(IFERROR(INDEX(FourWeekly_Model!$D$2:$D$29,MATCH(H212,FourWeekly_Model!$B$2:$B$29,0)),0),IFERROR(INDEX(FourWeekly_Model!$D$2:$D$29,MATCH(H213,FourWeekly_Model!$B$2:$B$29,0)),0),IFERROR(INDEX(FourWeekly_Model!$D$2:$D$29,MATCH(H214,FourWeekly_Model!$B$2:$B$29,0)),0)),IF(VLOOKUP($A212,Calendar!$A$1:$R$1377,18,0)=4,SUM(IFERROR(INDEX(FourWeekly_Model!$D$2:$D$29,MATCH(H212,FourWeekly_Model!$B$2:$B$29,0)),0),IFERROR(INDEX(FourWeekly_Model!$D$2:$D$29,MATCH(H213,FourWeekly_Model!$B$2:$B$29,0)),0),IFERROR(INDEX(FourWeekly_Model!$D$2:$D$29,MATCH(H214,FourWeekly_Model!$B$2:$B$29,0)),0),IFERROR(INDEX(FourWeekly_Model!$D$2:$D$29,MATCH(H215,FourWeekly_Model!$B$2:$B$29,0)),0)),IF(VLOOKUP($A212,Calendar!$A$1:$R$1377,18,0)=5,SUM(IFERROR(INDEX(FourWeekly_Model!$D$2:$D$29,MATCH(H212,FourWeekly_Model!$B$2:$B$29,0)),0),IFERROR(INDEX(FourWeekly_Model!$D$2:$D$29,MATCH(H213,FourWeekly_Model!$B$2:$B$29,0)),0),IFERROR(INDEX(FourWeekly_Model!$D$2:$D$29,MATCH(H214,FourWeekly_Model!$B$2:$B$29,0)),0),IFERROR(INDEX(FourWeekly_Model!$D$2:$D$29,MATCH(H215,FourWeekly_Model!$B$2:$B$29,0)),0),IFERROR(INDEX(FourWeekly_Model!$D$2:$D$29,MATCH(H216,FourWeekly_Model!$B$2:$B$29,0)),0)),0))))))</f>
        <v>0</v>
      </c>
      <c r="N212" s="27">
        <f>SUM(I212:M212)</f>
        <v>0</v>
      </c>
      <c r="O212" s="28">
        <f>Population_Data!$B$8*N212</f>
        <v>0</v>
      </c>
      <c r="P212" s="27">
        <f>IF(VLOOKUP($A212,Calendar!$A$1:$R$1377,18,0)=0,0,IF(VLOOKUP($A212,Calendar!$A$1:$R$1377,18,0)=1,IFERROR(INDEX(Pension_Model!$D$2:$D$29,MATCH(H212,Pension_Model!$B$2:$B$29,0)),0),IF(VLOOKUP($A212,Calendar!$A$1:$R$1377,18,0)=2,SUM(IFERROR(INDEX(Pension_Model!$D$2:$D$29,MATCH(H212,Pension_Model!$B$2:$B$29,0)),0),IFERROR(INDEX(Pension_Model!$D$2:$D$29,MATCH(H213,Pension_Model!$B$2:$B$29,0)),0)),IF(VLOOKUP($A212,Calendar!$A$1:$R$1377,18,0)=3,SUM(IFERROR(INDEX(Pension_Model!$D$2:$D$29,MATCH(H212,Pension_Model!$B$2:$B$29,0)),0),IFERROR(INDEX(Pension_Model!$D$2:$D$29,MATCH(H213,Pension_Model!$B$2:$B$29,0)),0),IFERROR(INDEX(Pension_Model!$D$2:$D$29,MATCH(H214,Pension_Model!$B$2:$B$29,0)),0)),IF(VLOOKUP($A212,Calendar!$A$1:$R$1377,18,0)=4,SUM(IFERROR(INDEX(Pension_Model!$D$2:$D$29,MATCH(H212,Pension_Model!$B$2:$B$29,0)),0),IFERROR(INDEX(Pension_Model!$D$2:$D$29,MATCH(H213,Pension_Model!$B$2:$B$29,0)),0),IFERROR(INDEX(Pension_Model!$D$2:$D$29,MATCH(H214,Pension_Model!$B$2:$B$29,0)),0),IFERROR(INDEX(Pension_Model!$D$2:$D$29,MATCH(H215,Pension_Model!$B$2:$B$29,0)),0)),IF(VLOOKUP($A212,Calendar!$A$1:$R$1377,18,0)=5,SUM(IFERROR(INDEX(Pension_Model!$D$2:$D$29,MATCH(H212,Pension_Model!$B$2:$B$29,0)),0),IFERROR(INDEX(Pension_Model!$D$2:$D$29,MATCH(H213,Pension_Model!$B$2:$B$29,0)),0),IFERROR(INDEX(Pension_Model!$D$2:$D$29,MATCH(H214,Pension_Model!$B$2:$B$29,0)),0),IFERROR(INDEX(Pension_Model!$D$2:$D$29,MATCH(H215,Pension_Model!$B$2:$B$29,0)),0),IFERROR(INDEX(Pension_Model!$D$2:$D$29,MATCH(H216,Pension_Model!$B$2:$B$29,0)),0)),0))))))</f>
        <v>0</v>
      </c>
      <c r="Q212" s="28">
        <f>Population_Data!$B$15*P212</f>
        <v>0</v>
      </c>
      <c r="S212">
        <f t="shared" si="3"/>
        <v>0</v>
      </c>
      <c r="U212" s="33">
        <f>S212/Population_Data!$B$19</f>
        <v>0</v>
      </c>
    </row>
    <row r="213" spans="1:21">
      <c r="A213" s="25">
        <f>Calendar!A213</f>
        <v>46446</v>
      </c>
      <c r="B213" t="str">
        <f>Calendar!L213</f>
        <v>No</v>
      </c>
      <c r="C213" t="str">
        <f>Calendar!O213</f>
        <v>No</v>
      </c>
      <c r="D213" t="str">
        <f>Calendar!P213</f>
        <v>No</v>
      </c>
      <c r="E213" t="str">
        <f>Calendar!Q213</f>
        <v>No</v>
      </c>
      <c r="F213" t="str">
        <f>Calendar!I213</f>
        <v>Sunday</v>
      </c>
      <c r="G213">
        <f>Calendar!S213</f>
        <v>8</v>
      </c>
      <c r="H213">
        <f>Calendar!T213</f>
        <v>22</v>
      </c>
      <c r="I213" s="27">
        <f>IF(VLOOKUP(A213,Calendar!$A$1:$R$1377,18,0)=0,0,IF(VLOOKUP(A213,Calendar!$A$1:$R$1377,18,0)=1,INDEX(Monthly_Pay_Model!$A$9:$D$40,MATCH(TEXT(A213,"dd"),Monthly_Pay_Model!$C$9:$C$39,0),4),IF(VLOOKUP(A213,Calendar!$A$1:$R$1377,18,0)=2,SUM(INDEX(Monthly_Pay_Model!$A$9:$D$40,MATCH(TEXT(A213,"dd"),Monthly_Pay_Model!$C$9:$C$39,0),4),INDEX(Monthly_Pay_Model!$A$9:$D$40,MATCH(TEXT(A214,"dd"),Monthly_Pay_Model!$C$9:$C$39,0),4)),IF(VLOOKUP(A213,Calendar!$A$1:$R$1377,18,0)=3,SUM(INDEX(Monthly_Pay_Model!$A$9:$D$40,MATCH(TEXT(A213,"dd"),Monthly_Pay_Model!$C$9:$C$39,0),4),INDEX(Monthly_Pay_Model!$A$9:$D$40,MATCH(TEXT(A214,"dd"),Monthly_Pay_Model!$C$9:$C$39,0),4),INDEX(Monthly_Pay_Model!$A$9:$D$40,MATCH(TEXT(A215,"dd"),Monthly_Pay_Model!$C$9:$C$39,0),4)),IF(VLOOKUP(A213,Calendar!$A$1:$R$1377,18,0)=4,SUM(INDEX(Monthly_Pay_Model!$A$9:$D$40,MATCH(TEXT(A213,"dd"),Monthly_Pay_Model!$C$9:$C$39,0),4),INDEX(Monthly_Pay_Model!$A$9:$D$40,MATCH(TEXT(A214,"dd"),Monthly_Pay_Model!$C$9:$C$39,0),4),INDEX(Monthly_Pay_Model!$A$9:$D$40,MATCH(TEXT(A215,"dd"),Monthly_Pay_Model!$C$9:$C$39,0),4),INDEX(Monthly_Pay_Model!$A$9:$D$40,MATCH(TEXT(A216,"dd"),Monthly_Pay_Model!$C$9:$C$39,0),4)),IF(VLOOKUP(A213,Calendar!$A$1:$R$1377,18,0)=5,SUM(INDEX(Monthly_Pay_Model!$A$9:$D$40,MATCH(TEXT(A213,"dd"),Monthly_Pay_Model!$C$9:$C$39,0),4),INDEX(Monthly_Pay_Model!$A$9:$D$40,MATCH(TEXT(A214,"dd"),Monthly_Pay_Model!$C$9:$C$39,0),4),INDEX(Monthly_Pay_Model!$A$9:$D$40,MATCH(TEXT(A215,"dd"),Monthly_Pay_Model!$C$9:$C$39,0),4),INDEX(Monthly_Pay_Model!$A$9:$D$40,MATCH(TEXT(A216,"dd"),Monthly_Pay_Model!$C$9:$C$39,0),4),INDEX(Monthly_Pay_Model!$A$9:$D$40,MATCH(TEXT(A217,"dd"),Monthly_Pay_Model!$C$9:$C$39,0),4)),))))))</f>
        <v>0</v>
      </c>
      <c r="J213" s="33">
        <f>IF(C213="Yes",Monthly_Pay_Model!$D$2,0)
+IF(Calendar!N213="Yes",Monthly_Pay_Model!$D$3,0)
+IF(D213="Yes",Monthly_Pay_Model!$D$4,0)
+IF(E213="Yes",Monthly_Pay_Model!$D$5,0)</f>
        <v>0.12416000000000001</v>
      </c>
      <c r="K213" s="27">
        <f>IF(VLOOKUP($A213,Calendar!$A$1:$R$1377,18,0)=0,0,IF(VLOOKUP($A213,Calendar!$A$1:$R$1377,18,0)=1,IFERROR(INDEX(Weekly_Model!$D$2:$D$9,MATCH(F213,Weekly_Model!$A$2:$A$9,0)),0),IF(VLOOKUP($A213,Calendar!$A$1:$R$1377,18,0)=2,SUM(IFERROR(INDEX(Weekly_Model!$D$2:$D$9,MATCH(F213,Weekly_Model!$A$2:$A$9,0)),0),IFERROR(INDEX(Weekly_Model!$D$2:$D$9,MATCH(F214,Weekly_Model!$A$2:$A$9,0)),0)),IF(VLOOKUP($A213,Calendar!$A$1:$R$1377,18,0)=3,SUM(IFERROR(INDEX(Weekly_Model!$D$2:$D$9,MATCH(F213,Weekly_Model!$A$2:$A$9,0)),0),IFERROR(INDEX(Weekly_Model!$D$2:$D$9,MATCH(F214,Weekly_Model!$A$2:$A$9,0)),0),IFERROR(INDEX(Weekly_Model!$D$2:$D$9,MATCH(F215,Weekly_Model!$A$2:$A$9,0)),0)),IF(VLOOKUP($A213,Calendar!$A$1:$R$1377,18,0)=4,SUM(IFERROR(INDEX(Weekly_Model!$D$2:$D$9,MATCH(F213,Weekly_Model!$A$2:$A$9,0)),0),IFERROR(INDEX(Weekly_Model!$D$2:$D$9,MATCH(F214,Weekly_Model!$A$2:$A$9,0)),0),IFERROR(INDEX(Weekly_Model!$D$2:$D$9,MATCH(F215,Weekly_Model!$A$2:$A$9,0)),0),IFERROR(INDEX(Weekly_Model!$D$2:$D$9,MATCH(F216,Weekly_Model!$A$2:$A$9,0)),0)),IF(VLOOKUP($A213,Calendar!$A$1:$R$1377,18,0)=5,SUM(IFERROR(INDEX(Weekly_Model!$D$2:$D$9,MATCH(F213,Weekly_Model!$A$2:$A$9,0)),0),IFERROR(INDEX(Weekly_Model!$D$2:$D$9,MATCH(F214,Weekly_Model!$A$2:$A$9,0)),0),IFERROR(INDEX(Weekly_Model!$D$2:$D$9,MATCH(F215,Weekly_Model!$A$2:$A$9,0)),0),IFERROR(INDEX(Weekly_Model!$D$2:$D$9,MATCH(F216,Weekly_Model!$A$2:$A$9,0)),0),IFERROR(INDEX(Weekly_Model!$D$2:$D$9,MATCH(F217,Weekly_Model!$A$2:$A$9,0)),0)),0))))))</f>
        <v>0</v>
      </c>
      <c r="L213" s="27">
        <f>IF(VLOOKUP($A213,Calendar!$A$1:$R$1377,18,0)=0,0,IF(VLOOKUP($A213,Calendar!$A$1:$R$1377,18,0)=1,IFERROR(INDEX(Fortnightly_Model!$D$2:$D$15,MATCH(G213,Fortnightly_Model!$B$2:$B$15,0)),0),IF(VLOOKUP($A213,Calendar!$A$1:$R$1377,18,0)=2,SUM(IFERROR(INDEX(Fortnightly_Model!$D$2:$D$15,MATCH(G213,Fortnightly_Model!$B$2:$B$15,0)),0),IFERROR(INDEX(Fortnightly_Model!$D$2:$D$15,MATCH(G214,Fortnightly_Model!$B$2:$B$15,0)),0)),IF(VLOOKUP($A213,Calendar!$A$1:$R$1377,18,0)=3,SUM(IFERROR(INDEX(Fortnightly_Model!$D$2:$D$15,MATCH(G213,Fortnightly_Model!$B$2:$B$15,0)),0),IFERROR(INDEX(Fortnightly_Model!$D$2:$D$15,MATCH(G214,Fortnightly_Model!$B$2:$B$15,0)),0),IFERROR(INDEX(Fortnightly_Model!$D$2:$D$15,MATCH(G215,Fortnightly_Model!$B$2:$B$15,0)),0)),IF(VLOOKUP($A213,Calendar!$A$1:$R$1377,18,0)=4,SUM(IFERROR(INDEX(Fortnightly_Model!$D$2:$D$15,MATCH(G213,Fortnightly_Model!$B$2:$B$15,0)),0),IFERROR(INDEX(Fortnightly_Model!$D$2:$D$15,MATCH(G214,Fortnightly_Model!$B$2:$B$15,0)),0),IFERROR(INDEX(Fortnightly_Model!$D$2:$D$15,MATCH(G215,Fortnightly_Model!$B$2:$B$15,0)),0),IFERROR(INDEX(Fortnightly_Model!$D$2:$D$15,MATCH(G216,Fortnightly_Model!$B$2:$B$15,0)),0)),IF(VLOOKUP($A213,Calendar!$A$1:$R$1377,18,0)=5,SUM(IFERROR(INDEX(Fortnightly_Model!$D$2:$D$15,MATCH(G213,Fortnightly_Model!$B$2:$B$15,0)),0),IFERROR(INDEX(Fortnightly_Model!$D$2:$D$15,MATCH(G214,Fortnightly_Model!$B$2:$B$15,0)),0),IFERROR(INDEX(Fortnightly_Model!$D$2:$D$15,MATCH(G215,Fortnightly_Model!$B$2:$B$15,0)),0),IFERROR(INDEX(Fortnightly_Model!$D$2:$D$15,MATCH(G216,Fortnightly_Model!$B$2:$B$15,0)),0),IFERROR(INDEX(Fortnightly_Model!$D$2:$D$15,MATCH(G217,Fortnightly_Model!$B$2:$B$15,0)),0)),0))))))</f>
        <v>0</v>
      </c>
      <c r="M213" s="27">
        <f>IF(VLOOKUP($A213,Calendar!$A$1:$R$1377,18,0)=0,0,IF(VLOOKUP($A213,Calendar!$A$1:$R$1377,18,0)=1,IFERROR(INDEX(FourWeekly_Model!$D$2:$D$29,MATCH(H213,FourWeekly_Model!$B$2:$B$29,0)),0),IF(VLOOKUP($A213,Calendar!$A$1:$R$1377,18,0)=2,SUM(IFERROR(INDEX(FourWeekly_Model!$D$2:$D$29,MATCH(H213,FourWeekly_Model!$B$2:$B$29,0)),0),IFERROR(INDEX(FourWeekly_Model!$D$2:$D$29,MATCH(H214,FourWeekly_Model!$B$2:$B$29,0)),0)),IF(VLOOKUP($A213,Calendar!$A$1:$R$1377,18,0)=3,SUM(IFERROR(INDEX(FourWeekly_Model!$D$2:$D$29,MATCH(H213,FourWeekly_Model!$B$2:$B$29,0)),0),IFERROR(INDEX(FourWeekly_Model!$D$2:$D$29,MATCH(H214,FourWeekly_Model!$B$2:$B$29,0)),0),IFERROR(INDEX(FourWeekly_Model!$D$2:$D$29,MATCH(H215,FourWeekly_Model!$B$2:$B$29,0)),0)),IF(VLOOKUP($A213,Calendar!$A$1:$R$1377,18,0)=4,SUM(IFERROR(INDEX(FourWeekly_Model!$D$2:$D$29,MATCH(H213,FourWeekly_Model!$B$2:$B$29,0)),0),IFERROR(INDEX(FourWeekly_Model!$D$2:$D$29,MATCH(H214,FourWeekly_Model!$B$2:$B$29,0)),0),IFERROR(INDEX(FourWeekly_Model!$D$2:$D$29,MATCH(H215,FourWeekly_Model!$B$2:$B$29,0)),0),IFERROR(INDEX(FourWeekly_Model!$D$2:$D$29,MATCH(H216,FourWeekly_Model!$B$2:$B$29,0)),0)),IF(VLOOKUP($A213,Calendar!$A$1:$R$1377,18,0)=5,SUM(IFERROR(INDEX(FourWeekly_Model!$D$2:$D$29,MATCH(H213,FourWeekly_Model!$B$2:$B$29,0)),0),IFERROR(INDEX(FourWeekly_Model!$D$2:$D$29,MATCH(H214,FourWeekly_Model!$B$2:$B$29,0)),0),IFERROR(INDEX(FourWeekly_Model!$D$2:$D$29,MATCH(H215,FourWeekly_Model!$B$2:$B$29,0)),0),IFERROR(INDEX(FourWeekly_Model!$D$2:$D$29,MATCH(H216,FourWeekly_Model!$B$2:$B$29,0)),0),IFERROR(INDEX(FourWeekly_Model!$D$2:$D$29,MATCH(H217,FourWeekly_Model!$B$2:$B$29,0)),0)),0))))))</f>
        <v>0</v>
      </c>
      <c r="N213" s="27">
        <f>SUM(I213:M213)</f>
        <v>0.12416000000000001</v>
      </c>
      <c r="O213" s="28">
        <f>Population_Data!$B$8*N213</f>
        <v>3762048</v>
      </c>
      <c r="P213" s="27">
        <f>IF(VLOOKUP($A213,Calendar!$A$1:$R$1377,18,0)=0,0,IF(VLOOKUP($A213,Calendar!$A$1:$R$1377,18,0)=1,IFERROR(INDEX(Pension_Model!$D$2:$D$29,MATCH(H213,Pension_Model!$B$2:$B$29,0)),0),IF(VLOOKUP($A213,Calendar!$A$1:$R$1377,18,0)=2,SUM(IFERROR(INDEX(Pension_Model!$D$2:$D$29,MATCH(H213,Pension_Model!$B$2:$B$29,0)),0),IFERROR(INDEX(Pension_Model!$D$2:$D$29,MATCH(H214,Pension_Model!$B$2:$B$29,0)),0)),IF(VLOOKUP($A213,Calendar!$A$1:$R$1377,18,0)=3,SUM(IFERROR(INDEX(Pension_Model!$D$2:$D$29,MATCH(H213,Pension_Model!$B$2:$B$29,0)),0),IFERROR(INDEX(Pension_Model!$D$2:$D$29,MATCH(H214,Pension_Model!$B$2:$B$29,0)),0),IFERROR(INDEX(Pension_Model!$D$2:$D$29,MATCH(H215,Pension_Model!$B$2:$B$29,0)),0)),IF(VLOOKUP($A213,Calendar!$A$1:$R$1377,18,0)=4,SUM(IFERROR(INDEX(Pension_Model!$D$2:$D$29,MATCH(H213,Pension_Model!$B$2:$B$29,0)),0),IFERROR(INDEX(Pension_Model!$D$2:$D$29,MATCH(H214,Pension_Model!$B$2:$B$29,0)),0),IFERROR(INDEX(Pension_Model!$D$2:$D$29,MATCH(H215,Pension_Model!$B$2:$B$29,0)),0),IFERROR(INDEX(Pension_Model!$D$2:$D$29,MATCH(H216,Pension_Model!$B$2:$B$29,0)),0)),IF(VLOOKUP($A213,Calendar!$A$1:$R$1377,18,0)=5,SUM(IFERROR(INDEX(Pension_Model!$D$2:$D$29,MATCH(H213,Pension_Model!$B$2:$B$29,0)),0),IFERROR(INDEX(Pension_Model!$D$2:$D$29,MATCH(H214,Pension_Model!$B$2:$B$29,0)),0),IFERROR(INDEX(Pension_Model!$D$2:$D$29,MATCH(H215,Pension_Model!$B$2:$B$29,0)),0),IFERROR(INDEX(Pension_Model!$D$2:$D$29,MATCH(H216,Pension_Model!$B$2:$B$29,0)),0),IFERROR(INDEX(Pension_Model!$D$2:$D$29,MATCH(H217,Pension_Model!$B$2:$B$29,0)),0)),0))))))</f>
        <v>0</v>
      </c>
      <c r="Q213" s="28">
        <f>Population_Data!$B$15*P213</f>
        <v>0</v>
      </c>
      <c r="S213">
        <f t="shared" si="3"/>
        <v>3762048</v>
      </c>
      <c r="U213" s="33">
        <f>S213/Population_Data!$B$19</f>
        <v>6.8153043478260872E-2</v>
      </c>
    </row>
    <row r="214" spans="1:21">
      <c r="A214" s="25">
        <f>Calendar!A214</f>
        <v>46447</v>
      </c>
      <c r="B214" t="str">
        <f>Calendar!L214</f>
        <v>Yes</v>
      </c>
      <c r="C214" t="str">
        <f>Calendar!O214</f>
        <v>No</v>
      </c>
      <c r="D214" t="str">
        <f>Calendar!P214</f>
        <v>No</v>
      </c>
      <c r="E214" t="str">
        <f>Calendar!Q214</f>
        <v>No</v>
      </c>
      <c r="F214" t="str">
        <f>Calendar!I214</f>
        <v>Monday</v>
      </c>
      <c r="G214">
        <f>Calendar!S214</f>
        <v>9</v>
      </c>
      <c r="H214">
        <f>Calendar!T214</f>
        <v>23</v>
      </c>
      <c r="I214" s="27">
        <f>IF(VLOOKUP(A214,Calendar!$A$1:$R$1377,18,0)=0,0,IF(VLOOKUP(A214,Calendar!$A$1:$R$1377,18,0)=1,INDEX(Monthly_Pay_Model!$A$9:$D$40,MATCH(TEXT(A214,"dd"),Monthly_Pay_Model!$C$9:$C$39,0),4),IF(VLOOKUP(A214,Calendar!$A$1:$R$1377,18,0)=2,SUM(INDEX(Monthly_Pay_Model!$A$9:$D$40,MATCH(TEXT(A214,"dd"),Monthly_Pay_Model!$C$9:$C$39,0),4),INDEX(Monthly_Pay_Model!$A$9:$D$40,MATCH(TEXT(A215,"dd"),Monthly_Pay_Model!$C$9:$C$39,0),4)),IF(VLOOKUP(A214,Calendar!$A$1:$R$1377,18,0)=3,SUM(INDEX(Monthly_Pay_Model!$A$9:$D$40,MATCH(TEXT(A214,"dd"),Monthly_Pay_Model!$C$9:$C$39,0),4),INDEX(Monthly_Pay_Model!$A$9:$D$40,MATCH(TEXT(A215,"dd"),Monthly_Pay_Model!$C$9:$C$39,0),4),INDEX(Monthly_Pay_Model!$A$9:$D$40,MATCH(TEXT(A216,"dd"),Monthly_Pay_Model!$C$9:$C$39,0),4)),IF(VLOOKUP(A214,Calendar!$A$1:$R$1377,18,0)=4,SUM(INDEX(Monthly_Pay_Model!$A$9:$D$40,MATCH(TEXT(A214,"dd"),Monthly_Pay_Model!$C$9:$C$39,0),4),INDEX(Monthly_Pay_Model!$A$9:$D$40,MATCH(TEXT(A215,"dd"),Monthly_Pay_Model!$C$9:$C$39,0),4),INDEX(Monthly_Pay_Model!$A$9:$D$40,MATCH(TEXT(A216,"dd"),Monthly_Pay_Model!$C$9:$C$39,0),4),INDEX(Monthly_Pay_Model!$A$9:$D$40,MATCH(TEXT(A217,"dd"),Monthly_Pay_Model!$C$9:$C$39,0),4)),IF(VLOOKUP(A214,Calendar!$A$1:$R$1377,18,0)=5,SUM(INDEX(Monthly_Pay_Model!$A$9:$D$40,MATCH(TEXT(A214,"dd"),Monthly_Pay_Model!$C$9:$C$39,0),4),INDEX(Monthly_Pay_Model!$A$9:$D$40,MATCH(TEXT(A215,"dd"),Monthly_Pay_Model!$C$9:$C$39,0),4),INDEX(Monthly_Pay_Model!$A$9:$D$40,MATCH(TEXT(A216,"dd"),Monthly_Pay_Model!$C$9:$C$39,0),4),INDEX(Monthly_Pay_Model!$A$9:$D$40,MATCH(TEXT(A217,"dd"),Monthly_Pay_Model!$C$9:$C$39,0),4),INDEX(Monthly_Pay_Model!$A$9:$D$40,MATCH(TEXT(A218,"dd"),Monthly_Pay_Model!$C$9:$C$39,0),4)),))))))</f>
        <v>4.0628272251308894E-3</v>
      </c>
      <c r="J214" s="33">
        <f>IF(C214="Yes",Monthly_Pay_Model!$D$2,0)
+IF(Calendar!N214="Yes",Monthly_Pay_Model!$D$3,0)
+IF(D214="Yes",Monthly_Pay_Model!$D$4,0)
+IF(E214="Yes",Monthly_Pay_Model!$D$5,0)</f>
        <v>0</v>
      </c>
      <c r="K214" s="27">
        <f>IF(VLOOKUP($A214,Calendar!$A$1:$R$1377,18,0)=0,0,IF(VLOOKUP($A214,Calendar!$A$1:$R$1377,18,0)=1,IFERROR(INDEX(Weekly_Model!$D$2:$D$9,MATCH(F214,Weekly_Model!$A$2:$A$9,0)),0),IF(VLOOKUP($A214,Calendar!$A$1:$R$1377,18,0)=2,SUM(IFERROR(INDEX(Weekly_Model!$D$2:$D$9,MATCH(F214,Weekly_Model!$A$2:$A$9,0)),0),IFERROR(INDEX(Weekly_Model!$D$2:$D$9,MATCH(F215,Weekly_Model!$A$2:$A$9,0)),0)),IF(VLOOKUP($A214,Calendar!$A$1:$R$1377,18,0)=3,SUM(IFERROR(INDEX(Weekly_Model!$D$2:$D$9,MATCH(F214,Weekly_Model!$A$2:$A$9,0)),0),IFERROR(INDEX(Weekly_Model!$D$2:$D$9,MATCH(F215,Weekly_Model!$A$2:$A$9,0)),0),IFERROR(INDEX(Weekly_Model!$D$2:$D$9,MATCH(F216,Weekly_Model!$A$2:$A$9,0)),0)),IF(VLOOKUP($A214,Calendar!$A$1:$R$1377,18,0)=4,SUM(IFERROR(INDEX(Weekly_Model!$D$2:$D$9,MATCH(F214,Weekly_Model!$A$2:$A$9,0)),0),IFERROR(INDEX(Weekly_Model!$D$2:$D$9,MATCH(F215,Weekly_Model!$A$2:$A$9,0)),0),IFERROR(INDEX(Weekly_Model!$D$2:$D$9,MATCH(F216,Weekly_Model!$A$2:$A$9,0)),0),IFERROR(INDEX(Weekly_Model!$D$2:$D$9,MATCH(F217,Weekly_Model!$A$2:$A$9,0)),0)),IF(VLOOKUP($A214,Calendar!$A$1:$R$1377,18,0)=5,SUM(IFERROR(INDEX(Weekly_Model!$D$2:$D$9,MATCH(F214,Weekly_Model!$A$2:$A$9,0)),0),IFERROR(INDEX(Weekly_Model!$D$2:$D$9,MATCH(F215,Weekly_Model!$A$2:$A$9,0)),0),IFERROR(INDEX(Weekly_Model!$D$2:$D$9,MATCH(F216,Weekly_Model!$A$2:$A$9,0)),0),IFERROR(INDEX(Weekly_Model!$D$2:$D$9,MATCH(F217,Weekly_Model!$A$2:$A$9,0)),0),IFERROR(INDEX(Weekly_Model!$D$2:$D$9,MATCH(F218,Weekly_Model!$A$2:$A$9,0)),0)),0))))))</f>
        <v>2.3200000000000002E-2</v>
      </c>
      <c r="L214" s="27">
        <f>IF(VLOOKUP($A214,Calendar!$A$1:$R$1377,18,0)=0,0,IF(VLOOKUP($A214,Calendar!$A$1:$R$1377,18,0)=1,IFERROR(INDEX(Fortnightly_Model!$D$2:$D$15,MATCH(G214,Fortnightly_Model!$B$2:$B$15,0)),0),IF(VLOOKUP($A214,Calendar!$A$1:$R$1377,18,0)=2,SUM(IFERROR(INDEX(Fortnightly_Model!$D$2:$D$15,MATCH(G214,Fortnightly_Model!$B$2:$B$15,0)),0),IFERROR(INDEX(Fortnightly_Model!$D$2:$D$15,MATCH(G215,Fortnightly_Model!$B$2:$B$15,0)),0)),IF(VLOOKUP($A214,Calendar!$A$1:$R$1377,18,0)=3,SUM(IFERROR(INDEX(Fortnightly_Model!$D$2:$D$15,MATCH(G214,Fortnightly_Model!$B$2:$B$15,0)),0),IFERROR(INDEX(Fortnightly_Model!$D$2:$D$15,MATCH(G215,Fortnightly_Model!$B$2:$B$15,0)),0),IFERROR(INDEX(Fortnightly_Model!$D$2:$D$15,MATCH(G216,Fortnightly_Model!$B$2:$B$15,0)),0)),IF(VLOOKUP($A214,Calendar!$A$1:$R$1377,18,0)=4,SUM(IFERROR(INDEX(Fortnightly_Model!$D$2:$D$15,MATCH(G214,Fortnightly_Model!$B$2:$B$15,0)),0),IFERROR(INDEX(Fortnightly_Model!$D$2:$D$15,MATCH(G215,Fortnightly_Model!$B$2:$B$15,0)),0),IFERROR(INDEX(Fortnightly_Model!$D$2:$D$15,MATCH(G216,Fortnightly_Model!$B$2:$B$15,0)),0),IFERROR(INDEX(Fortnightly_Model!$D$2:$D$15,MATCH(G217,Fortnightly_Model!$B$2:$B$15,0)),0)),IF(VLOOKUP($A214,Calendar!$A$1:$R$1377,18,0)=5,SUM(IFERROR(INDEX(Fortnightly_Model!$D$2:$D$15,MATCH(G214,Fortnightly_Model!$B$2:$B$15,0)),0),IFERROR(INDEX(Fortnightly_Model!$D$2:$D$15,MATCH(G215,Fortnightly_Model!$B$2:$B$15,0)),0),IFERROR(INDEX(Fortnightly_Model!$D$2:$D$15,MATCH(G216,Fortnightly_Model!$B$2:$B$15,0)),0),IFERROR(INDEX(Fortnightly_Model!$D$2:$D$15,MATCH(G217,Fortnightly_Model!$B$2:$B$15,0)),0),IFERROR(INDEX(Fortnightly_Model!$D$2:$D$15,MATCH(G218,Fortnightly_Model!$B$2:$B$15,0)),0)),0))))))</f>
        <v>1.0714285499999999E-3</v>
      </c>
      <c r="M214" s="27">
        <f>IF(VLOOKUP($A214,Calendar!$A$1:$R$1377,18,0)=0,0,IF(VLOOKUP($A214,Calendar!$A$1:$R$1377,18,0)=1,IFERROR(INDEX(FourWeekly_Model!$D$2:$D$29,MATCH(H214,FourWeekly_Model!$B$2:$B$29,0)),0),IF(VLOOKUP($A214,Calendar!$A$1:$R$1377,18,0)=2,SUM(IFERROR(INDEX(FourWeekly_Model!$D$2:$D$29,MATCH(H214,FourWeekly_Model!$B$2:$B$29,0)),0),IFERROR(INDEX(FourWeekly_Model!$D$2:$D$29,MATCH(H215,FourWeekly_Model!$B$2:$B$29,0)),0)),IF(VLOOKUP($A214,Calendar!$A$1:$R$1377,18,0)=3,SUM(IFERROR(INDEX(FourWeekly_Model!$D$2:$D$29,MATCH(H214,FourWeekly_Model!$B$2:$B$29,0)),0),IFERROR(INDEX(FourWeekly_Model!$D$2:$D$29,MATCH(H215,FourWeekly_Model!$B$2:$B$29,0)),0),IFERROR(INDEX(FourWeekly_Model!$D$2:$D$29,MATCH(H216,FourWeekly_Model!$B$2:$B$29,0)),0)),IF(VLOOKUP($A214,Calendar!$A$1:$R$1377,18,0)=4,SUM(IFERROR(INDEX(FourWeekly_Model!$D$2:$D$29,MATCH(H214,FourWeekly_Model!$B$2:$B$29,0)),0),IFERROR(INDEX(FourWeekly_Model!$D$2:$D$29,MATCH(H215,FourWeekly_Model!$B$2:$B$29,0)),0),IFERROR(INDEX(FourWeekly_Model!$D$2:$D$29,MATCH(H216,FourWeekly_Model!$B$2:$B$29,0)),0),IFERROR(INDEX(FourWeekly_Model!$D$2:$D$29,MATCH(H217,FourWeekly_Model!$B$2:$B$29,0)),0)),IF(VLOOKUP($A214,Calendar!$A$1:$R$1377,18,0)=5,SUM(IFERROR(INDEX(FourWeekly_Model!$D$2:$D$29,MATCH(H214,FourWeekly_Model!$B$2:$B$29,0)),0),IFERROR(INDEX(FourWeekly_Model!$D$2:$D$29,MATCH(H215,FourWeekly_Model!$B$2:$B$29,0)),0),IFERROR(INDEX(FourWeekly_Model!$D$2:$D$29,MATCH(H216,FourWeekly_Model!$B$2:$B$29,0)),0),IFERROR(INDEX(FourWeekly_Model!$D$2:$D$29,MATCH(H217,FourWeekly_Model!$B$2:$B$29,0)),0),IFERROR(INDEX(FourWeekly_Model!$D$2:$D$29,MATCH(H218,FourWeekly_Model!$B$2:$B$29,0)),0)),0))))))</f>
        <v>3.3214289700000004E-3</v>
      </c>
      <c r="N214" s="27">
        <f>SUM(I214:M214)</f>
        <v>3.1655684745130891E-2</v>
      </c>
      <c r="O214" s="28">
        <f>Population_Data!$B$8*N214</f>
        <v>959167.24777746596</v>
      </c>
      <c r="P214" s="27">
        <f>IF(VLOOKUP($A214,Calendar!$A$1:$R$1377,18,0)=0,0,IF(VLOOKUP($A214,Calendar!$A$1:$R$1377,18,0)=1,IFERROR(INDEX(Pension_Model!$D$2:$D$29,MATCH(H214,Pension_Model!$B$2:$B$29,0)),0),IF(VLOOKUP($A214,Calendar!$A$1:$R$1377,18,0)=2,SUM(IFERROR(INDEX(Pension_Model!$D$2:$D$29,MATCH(H214,Pension_Model!$B$2:$B$29,0)),0),IFERROR(INDEX(Pension_Model!$D$2:$D$29,MATCH(H215,Pension_Model!$B$2:$B$29,0)),0)),IF(VLOOKUP($A214,Calendar!$A$1:$R$1377,18,0)=3,SUM(IFERROR(INDEX(Pension_Model!$D$2:$D$29,MATCH(H214,Pension_Model!$B$2:$B$29,0)),0),IFERROR(INDEX(Pension_Model!$D$2:$D$29,MATCH(H215,Pension_Model!$B$2:$B$29,0)),0),IFERROR(INDEX(Pension_Model!$D$2:$D$29,MATCH(H216,Pension_Model!$B$2:$B$29,0)),0)),IF(VLOOKUP($A214,Calendar!$A$1:$R$1377,18,0)=4,SUM(IFERROR(INDEX(Pension_Model!$D$2:$D$29,MATCH(H214,Pension_Model!$B$2:$B$29,0)),0),IFERROR(INDEX(Pension_Model!$D$2:$D$29,MATCH(H215,Pension_Model!$B$2:$B$29,0)),0),IFERROR(INDEX(Pension_Model!$D$2:$D$29,MATCH(H216,Pension_Model!$B$2:$B$29,0)),0),IFERROR(INDEX(Pension_Model!$D$2:$D$29,MATCH(H217,Pension_Model!$B$2:$B$29,0)),0)),IF(VLOOKUP($A214,Calendar!$A$1:$R$1377,18,0)=5,SUM(IFERROR(INDEX(Pension_Model!$D$2:$D$29,MATCH(H214,Pension_Model!$B$2:$B$29,0)),0),IFERROR(INDEX(Pension_Model!$D$2:$D$29,MATCH(H215,Pension_Model!$B$2:$B$29,0)),0),IFERROR(INDEX(Pension_Model!$D$2:$D$29,MATCH(H216,Pension_Model!$B$2:$B$29,0)),0),IFERROR(INDEX(Pension_Model!$D$2:$D$29,MATCH(H217,Pension_Model!$B$2:$B$29,0)),0),IFERROR(INDEX(Pension_Model!$D$2:$D$29,MATCH(H218,Pension_Model!$B$2:$B$29,0)),0)),0))))))</f>
        <v>0.05</v>
      </c>
      <c r="Q214" s="28">
        <f>Population_Data!$B$15*P214</f>
        <v>660600</v>
      </c>
      <c r="S214">
        <f t="shared" si="3"/>
        <v>1619767.247777466</v>
      </c>
      <c r="U214" s="33">
        <f>S214/Population_Data!$B$19</f>
        <v>2.9343609561185979E-2</v>
      </c>
    </row>
    <row r="215" spans="1:21">
      <c r="A215" s="25">
        <f>Calendar!A215</f>
        <v>46448</v>
      </c>
      <c r="B215" t="str">
        <f>Calendar!L215</f>
        <v>Yes</v>
      </c>
      <c r="C215" t="str">
        <f>Calendar!O215</f>
        <v>No</v>
      </c>
      <c r="D215" t="str">
        <f>Calendar!P215</f>
        <v>No</v>
      </c>
      <c r="E215" t="str">
        <f>Calendar!Q215</f>
        <v>No</v>
      </c>
      <c r="F215" t="str">
        <f>Calendar!I215</f>
        <v>Tuesday</v>
      </c>
      <c r="G215">
        <f>Calendar!S215</f>
        <v>10</v>
      </c>
      <c r="H215">
        <f>Calendar!T215</f>
        <v>24</v>
      </c>
      <c r="I215" s="27">
        <f>IF(VLOOKUP(A215,Calendar!$A$1:$R$1377,18,0)=0,0,IF(VLOOKUP(A215,Calendar!$A$1:$R$1377,18,0)=1,INDEX(Monthly_Pay_Model!$A$9:$D$40,MATCH(TEXT(A215,"dd"),Monthly_Pay_Model!$C$9:$C$39,0),4),IF(VLOOKUP(A215,Calendar!$A$1:$R$1377,18,0)=2,SUM(INDEX(Monthly_Pay_Model!$A$9:$D$40,MATCH(TEXT(A215,"dd"),Monthly_Pay_Model!$C$9:$C$39,0),4),INDEX(Monthly_Pay_Model!$A$9:$D$40,MATCH(TEXT(A216,"dd"),Monthly_Pay_Model!$C$9:$C$39,0),4)),IF(VLOOKUP(A215,Calendar!$A$1:$R$1377,18,0)=3,SUM(INDEX(Monthly_Pay_Model!$A$9:$D$40,MATCH(TEXT(A215,"dd"),Monthly_Pay_Model!$C$9:$C$39,0),4),INDEX(Monthly_Pay_Model!$A$9:$D$40,MATCH(TEXT(A216,"dd"),Monthly_Pay_Model!$C$9:$C$39,0),4),INDEX(Monthly_Pay_Model!$A$9:$D$40,MATCH(TEXT(A217,"dd"),Monthly_Pay_Model!$C$9:$C$39,0),4)),IF(VLOOKUP(A215,Calendar!$A$1:$R$1377,18,0)=4,SUM(INDEX(Monthly_Pay_Model!$A$9:$D$40,MATCH(TEXT(A215,"dd"),Monthly_Pay_Model!$C$9:$C$39,0),4),INDEX(Monthly_Pay_Model!$A$9:$D$40,MATCH(TEXT(A216,"dd"),Monthly_Pay_Model!$C$9:$C$39,0),4),INDEX(Monthly_Pay_Model!$A$9:$D$40,MATCH(TEXT(A217,"dd"),Monthly_Pay_Model!$C$9:$C$39,0),4),INDEX(Monthly_Pay_Model!$A$9:$D$40,MATCH(TEXT(A218,"dd"),Monthly_Pay_Model!$C$9:$C$39,0),4)),IF(VLOOKUP(A215,Calendar!$A$1:$R$1377,18,0)=5,SUM(INDEX(Monthly_Pay_Model!$A$9:$D$40,MATCH(TEXT(A215,"dd"),Monthly_Pay_Model!$C$9:$C$39,0),4),INDEX(Monthly_Pay_Model!$A$9:$D$40,MATCH(TEXT(A216,"dd"),Monthly_Pay_Model!$C$9:$C$39,0),4),INDEX(Monthly_Pay_Model!$A$9:$D$40,MATCH(TEXT(A217,"dd"),Monthly_Pay_Model!$C$9:$C$39,0),4),INDEX(Monthly_Pay_Model!$A$9:$D$40,MATCH(TEXT(A218,"dd"),Monthly_Pay_Model!$C$9:$C$39,0),4),INDEX(Monthly_Pay_Model!$A$9:$D$40,MATCH(TEXT(A219,"dd"),Monthly_Pay_Model!$C$9:$C$39,0),4)),))))))</f>
        <v>8.1256544502617792E-4</v>
      </c>
      <c r="J215" s="33">
        <f>IF(C215="Yes",Monthly_Pay_Model!$D$2,0)
+IF(Calendar!N215="Yes",Monthly_Pay_Model!$D$3,0)
+IF(D215="Yes",Monthly_Pay_Model!$D$4,0)
+IF(E215="Yes",Monthly_Pay_Model!$D$5,0)</f>
        <v>0</v>
      </c>
      <c r="K215" s="27">
        <f>IF(VLOOKUP($A215,Calendar!$A$1:$R$1377,18,0)=0,0,IF(VLOOKUP($A215,Calendar!$A$1:$R$1377,18,0)=1,IFERROR(INDEX(Weekly_Model!$D$2:$D$9,MATCH(F215,Weekly_Model!$A$2:$A$9,0)),0),IF(VLOOKUP($A215,Calendar!$A$1:$R$1377,18,0)=2,SUM(IFERROR(INDEX(Weekly_Model!$D$2:$D$9,MATCH(F215,Weekly_Model!$A$2:$A$9,0)),0),IFERROR(INDEX(Weekly_Model!$D$2:$D$9,MATCH(F216,Weekly_Model!$A$2:$A$9,0)),0)),IF(VLOOKUP($A215,Calendar!$A$1:$R$1377,18,0)=3,SUM(IFERROR(INDEX(Weekly_Model!$D$2:$D$9,MATCH(F215,Weekly_Model!$A$2:$A$9,0)),0),IFERROR(INDEX(Weekly_Model!$D$2:$D$9,MATCH(F216,Weekly_Model!$A$2:$A$9,0)),0),IFERROR(INDEX(Weekly_Model!$D$2:$D$9,MATCH(F217,Weekly_Model!$A$2:$A$9,0)),0)),IF(VLOOKUP($A215,Calendar!$A$1:$R$1377,18,0)=4,SUM(IFERROR(INDEX(Weekly_Model!$D$2:$D$9,MATCH(F215,Weekly_Model!$A$2:$A$9,0)),0),IFERROR(INDEX(Weekly_Model!$D$2:$D$9,MATCH(F216,Weekly_Model!$A$2:$A$9,0)),0),IFERROR(INDEX(Weekly_Model!$D$2:$D$9,MATCH(F217,Weekly_Model!$A$2:$A$9,0)),0),IFERROR(INDEX(Weekly_Model!$D$2:$D$9,MATCH(F218,Weekly_Model!$A$2:$A$9,0)),0)),IF(VLOOKUP($A215,Calendar!$A$1:$R$1377,18,0)=5,SUM(IFERROR(INDEX(Weekly_Model!$D$2:$D$9,MATCH(F215,Weekly_Model!$A$2:$A$9,0)),0),IFERROR(INDEX(Weekly_Model!$D$2:$D$9,MATCH(F216,Weekly_Model!$A$2:$A$9,0)),0),IFERROR(INDEX(Weekly_Model!$D$2:$D$9,MATCH(F217,Weekly_Model!$A$2:$A$9,0)),0),IFERROR(INDEX(Weekly_Model!$D$2:$D$9,MATCH(F218,Weekly_Model!$A$2:$A$9,0)),0),IFERROR(INDEX(Weekly_Model!$D$2:$D$9,MATCH(F219,Weekly_Model!$A$2:$A$9,0)),0)),0))))))</f>
        <v>2.3200000000000002E-2</v>
      </c>
      <c r="L215" s="27">
        <f>IF(VLOOKUP($A215,Calendar!$A$1:$R$1377,18,0)=0,0,IF(VLOOKUP($A215,Calendar!$A$1:$R$1377,18,0)=1,IFERROR(INDEX(Fortnightly_Model!$D$2:$D$15,MATCH(G215,Fortnightly_Model!$B$2:$B$15,0)),0),IF(VLOOKUP($A215,Calendar!$A$1:$R$1377,18,0)=2,SUM(IFERROR(INDEX(Fortnightly_Model!$D$2:$D$15,MATCH(G215,Fortnightly_Model!$B$2:$B$15,0)),0),IFERROR(INDEX(Fortnightly_Model!$D$2:$D$15,MATCH(G216,Fortnightly_Model!$B$2:$B$15,0)),0)),IF(VLOOKUP($A215,Calendar!$A$1:$R$1377,18,0)=3,SUM(IFERROR(INDEX(Fortnightly_Model!$D$2:$D$15,MATCH(G215,Fortnightly_Model!$B$2:$B$15,0)),0),IFERROR(INDEX(Fortnightly_Model!$D$2:$D$15,MATCH(G216,Fortnightly_Model!$B$2:$B$15,0)),0),IFERROR(INDEX(Fortnightly_Model!$D$2:$D$15,MATCH(G217,Fortnightly_Model!$B$2:$B$15,0)),0)),IF(VLOOKUP($A215,Calendar!$A$1:$R$1377,18,0)=4,SUM(IFERROR(INDEX(Fortnightly_Model!$D$2:$D$15,MATCH(G215,Fortnightly_Model!$B$2:$B$15,0)),0),IFERROR(INDEX(Fortnightly_Model!$D$2:$D$15,MATCH(G216,Fortnightly_Model!$B$2:$B$15,0)),0),IFERROR(INDEX(Fortnightly_Model!$D$2:$D$15,MATCH(G217,Fortnightly_Model!$B$2:$B$15,0)),0),IFERROR(INDEX(Fortnightly_Model!$D$2:$D$15,MATCH(G218,Fortnightly_Model!$B$2:$B$15,0)),0)),IF(VLOOKUP($A215,Calendar!$A$1:$R$1377,18,0)=5,SUM(IFERROR(INDEX(Fortnightly_Model!$D$2:$D$15,MATCH(G215,Fortnightly_Model!$B$2:$B$15,0)),0),IFERROR(INDEX(Fortnightly_Model!$D$2:$D$15,MATCH(G216,Fortnightly_Model!$B$2:$B$15,0)),0),IFERROR(INDEX(Fortnightly_Model!$D$2:$D$15,MATCH(G217,Fortnightly_Model!$B$2:$B$15,0)),0),IFERROR(INDEX(Fortnightly_Model!$D$2:$D$15,MATCH(G218,Fortnightly_Model!$B$2:$B$15,0)),0),IFERROR(INDEX(Fortnightly_Model!$D$2:$D$15,MATCH(G219,Fortnightly_Model!$B$2:$B$15,0)),0)),0))))))</f>
        <v>1.0714285499999999E-3</v>
      </c>
      <c r="M215" s="27">
        <f>IF(VLOOKUP($A215,Calendar!$A$1:$R$1377,18,0)=0,0,IF(VLOOKUP($A215,Calendar!$A$1:$R$1377,18,0)=1,IFERROR(INDEX(FourWeekly_Model!$D$2:$D$29,MATCH(H215,FourWeekly_Model!$B$2:$B$29,0)),0),IF(VLOOKUP($A215,Calendar!$A$1:$R$1377,18,0)=2,SUM(IFERROR(INDEX(FourWeekly_Model!$D$2:$D$29,MATCH(H215,FourWeekly_Model!$B$2:$B$29,0)),0),IFERROR(INDEX(FourWeekly_Model!$D$2:$D$29,MATCH(H216,FourWeekly_Model!$B$2:$B$29,0)),0)),IF(VLOOKUP($A215,Calendar!$A$1:$R$1377,18,0)=3,SUM(IFERROR(INDEX(FourWeekly_Model!$D$2:$D$29,MATCH(H215,FourWeekly_Model!$B$2:$B$29,0)),0),IFERROR(INDEX(FourWeekly_Model!$D$2:$D$29,MATCH(H216,FourWeekly_Model!$B$2:$B$29,0)),0),IFERROR(INDEX(FourWeekly_Model!$D$2:$D$29,MATCH(H217,FourWeekly_Model!$B$2:$B$29,0)),0)),IF(VLOOKUP($A215,Calendar!$A$1:$R$1377,18,0)=4,SUM(IFERROR(INDEX(FourWeekly_Model!$D$2:$D$29,MATCH(H215,FourWeekly_Model!$B$2:$B$29,0)),0),IFERROR(INDEX(FourWeekly_Model!$D$2:$D$29,MATCH(H216,FourWeekly_Model!$B$2:$B$29,0)),0),IFERROR(INDEX(FourWeekly_Model!$D$2:$D$29,MATCH(H217,FourWeekly_Model!$B$2:$B$29,0)),0),IFERROR(INDEX(FourWeekly_Model!$D$2:$D$29,MATCH(H218,FourWeekly_Model!$B$2:$B$29,0)),0)),IF(VLOOKUP($A215,Calendar!$A$1:$R$1377,18,0)=5,SUM(IFERROR(INDEX(FourWeekly_Model!$D$2:$D$29,MATCH(H215,FourWeekly_Model!$B$2:$B$29,0)),0),IFERROR(INDEX(FourWeekly_Model!$D$2:$D$29,MATCH(H216,FourWeekly_Model!$B$2:$B$29,0)),0),IFERROR(INDEX(FourWeekly_Model!$D$2:$D$29,MATCH(H217,FourWeekly_Model!$B$2:$B$29,0)),0),IFERROR(INDEX(FourWeekly_Model!$D$2:$D$29,MATCH(H218,FourWeekly_Model!$B$2:$B$29,0)),0),IFERROR(INDEX(FourWeekly_Model!$D$2:$D$29,MATCH(H219,FourWeekly_Model!$B$2:$B$29,0)),0)),0))))))</f>
        <v>3.3214289700000004E-3</v>
      </c>
      <c r="N215" s="27">
        <f>SUM(I215:M215)</f>
        <v>2.840542296502618E-2</v>
      </c>
      <c r="O215" s="28">
        <f>Population_Data!$B$8*N215</f>
        <v>860684.3158402933</v>
      </c>
      <c r="P215" s="27">
        <f>IF(VLOOKUP($A215,Calendar!$A$1:$R$1377,18,0)=0,0,IF(VLOOKUP($A215,Calendar!$A$1:$R$1377,18,0)=1,IFERROR(INDEX(Pension_Model!$D$2:$D$29,MATCH(H215,Pension_Model!$B$2:$B$29,0)),0),IF(VLOOKUP($A215,Calendar!$A$1:$R$1377,18,0)=2,SUM(IFERROR(INDEX(Pension_Model!$D$2:$D$29,MATCH(H215,Pension_Model!$B$2:$B$29,0)),0),IFERROR(INDEX(Pension_Model!$D$2:$D$29,MATCH(H216,Pension_Model!$B$2:$B$29,0)),0)),IF(VLOOKUP($A215,Calendar!$A$1:$R$1377,18,0)=3,SUM(IFERROR(INDEX(Pension_Model!$D$2:$D$29,MATCH(H215,Pension_Model!$B$2:$B$29,0)),0),IFERROR(INDEX(Pension_Model!$D$2:$D$29,MATCH(H216,Pension_Model!$B$2:$B$29,0)),0),IFERROR(INDEX(Pension_Model!$D$2:$D$29,MATCH(H217,Pension_Model!$B$2:$B$29,0)),0)),IF(VLOOKUP($A215,Calendar!$A$1:$R$1377,18,0)=4,SUM(IFERROR(INDEX(Pension_Model!$D$2:$D$29,MATCH(H215,Pension_Model!$B$2:$B$29,0)),0),IFERROR(INDEX(Pension_Model!$D$2:$D$29,MATCH(H216,Pension_Model!$B$2:$B$29,0)),0),IFERROR(INDEX(Pension_Model!$D$2:$D$29,MATCH(H217,Pension_Model!$B$2:$B$29,0)),0),IFERROR(INDEX(Pension_Model!$D$2:$D$29,MATCH(H218,Pension_Model!$B$2:$B$29,0)),0)),IF(VLOOKUP($A215,Calendar!$A$1:$R$1377,18,0)=5,SUM(IFERROR(INDEX(Pension_Model!$D$2:$D$29,MATCH(H215,Pension_Model!$B$2:$B$29,0)),0),IFERROR(INDEX(Pension_Model!$D$2:$D$29,MATCH(H216,Pension_Model!$B$2:$B$29,0)),0),IFERROR(INDEX(Pension_Model!$D$2:$D$29,MATCH(H217,Pension_Model!$B$2:$B$29,0)),0),IFERROR(INDEX(Pension_Model!$D$2:$D$29,MATCH(H218,Pension_Model!$B$2:$B$29,0)),0),IFERROR(INDEX(Pension_Model!$D$2:$D$29,MATCH(H219,Pension_Model!$B$2:$B$29,0)),0)),0))))))</f>
        <v>0.05</v>
      </c>
      <c r="Q215" s="28">
        <f>Population_Data!$B$15*P215</f>
        <v>660600</v>
      </c>
      <c r="S215">
        <f t="shared" si="3"/>
        <v>1521284.3158402932</v>
      </c>
      <c r="U215" s="33">
        <f>S215/Population_Data!$B$19</f>
        <v>2.7559498475367629E-2</v>
      </c>
    </row>
    <row r="216" spans="1:21">
      <c r="A216" s="25">
        <f>Calendar!A216</f>
        <v>46449</v>
      </c>
      <c r="B216" t="str">
        <f>Calendar!L216</f>
        <v>Yes</v>
      </c>
      <c r="C216" t="str">
        <f>Calendar!O216</f>
        <v>No</v>
      </c>
      <c r="D216" t="str">
        <f>Calendar!P216</f>
        <v>No</v>
      </c>
      <c r="E216" t="str">
        <f>Calendar!Q216</f>
        <v>No</v>
      </c>
      <c r="F216" t="str">
        <f>Calendar!I216</f>
        <v>Wednesday</v>
      </c>
      <c r="G216">
        <f>Calendar!S216</f>
        <v>11</v>
      </c>
      <c r="H216">
        <f>Calendar!T216</f>
        <v>25</v>
      </c>
      <c r="I216" s="27">
        <f>IF(VLOOKUP(A216,Calendar!$A$1:$R$1377,18,0)=0,0,IF(VLOOKUP(A216,Calendar!$A$1:$R$1377,18,0)=1,INDEX(Monthly_Pay_Model!$A$9:$D$40,MATCH(TEXT(A216,"dd"),Monthly_Pay_Model!$C$9:$C$39,0),4),IF(VLOOKUP(A216,Calendar!$A$1:$R$1377,18,0)=2,SUM(INDEX(Monthly_Pay_Model!$A$9:$D$40,MATCH(TEXT(A216,"dd"),Monthly_Pay_Model!$C$9:$C$39,0),4),INDEX(Monthly_Pay_Model!$A$9:$D$40,MATCH(TEXT(A217,"dd"),Monthly_Pay_Model!$C$9:$C$39,0),4)),IF(VLOOKUP(A216,Calendar!$A$1:$R$1377,18,0)=3,SUM(INDEX(Monthly_Pay_Model!$A$9:$D$40,MATCH(TEXT(A216,"dd"),Monthly_Pay_Model!$C$9:$C$39,0),4),INDEX(Monthly_Pay_Model!$A$9:$D$40,MATCH(TEXT(A217,"dd"),Monthly_Pay_Model!$C$9:$C$39,0),4),INDEX(Monthly_Pay_Model!$A$9:$D$40,MATCH(TEXT(A218,"dd"),Monthly_Pay_Model!$C$9:$C$39,0),4)),IF(VLOOKUP(A216,Calendar!$A$1:$R$1377,18,0)=4,SUM(INDEX(Monthly_Pay_Model!$A$9:$D$40,MATCH(TEXT(A216,"dd"),Monthly_Pay_Model!$C$9:$C$39,0),4),INDEX(Monthly_Pay_Model!$A$9:$D$40,MATCH(TEXT(A217,"dd"),Monthly_Pay_Model!$C$9:$C$39,0),4),INDEX(Monthly_Pay_Model!$A$9:$D$40,MATCH(TEXT(A218,"dd"),Monthly_Pay_Model!$C$9:$C$39,0),4),INDEX(Monthly_Pay_Model!$A$9:$D$40,MATCH(TEXT(A219,"dd"),Monthly_Pay_Model!$C$9:$C$39,0),4)),IF(VLOOKUP(A216,Calendar!$A$1:$R$1377,18,0)=5,SUM(INDEX(Monthly_Pay_Model!$A$9:$D$40,MATCH(TEXT(A216,"dd"),Monthly_Pay_Model!$C$9:$C$39,0),4),INDEX(Monthly_Pay_Model!$A$9:$D$40,MATCH(TEXT(A217,"dd"),Monthly_Pay_Model!$C$9:$C$39,0),4),INDEX(Monthly_Pay_Model!$A$9:$D$40,MATCH(TEXT(A218,"dd"),Monthly_Pay_Model!$C$9:$C$39,0),4),INDEX(Monthly_Pay_Model!$A$9:$D$40,MATCH(TEXT(A219,"dd"),Monthly_Pay_Model!$C$9:$C$39,0),4),INDEX(Monthly_Pay_Model!$A$9:$D$40,MATCH(TEXT(A220,"dd"),Monthly_Pay_Model!$C$9:$C$39,0),4)),))))))</f>
        <v>8.1256544502617792E-4</v>
      </c>
      <c r="J216" s="33">
        <f>IF(C216="Yes",Monthly_Pay_Model!$D$2,0)
+IF(Calendar!N216="Yes",Monthly_Pay_Model!$D$3,0)
+IF(D216="Yes",Monthly_Pay_Model!$D$4,0)
+IF(E216="Yes",Monthly_Pay_Model!$D$5,0)</f>
        <v>0</v>
      </c>
      <c r="K216" s="27">
        <f>IF(VLOOKUP($A216,Calendar!$A$1:$R$1377,18,0)=0,0,IF(VLOOKUP($A216,Calendar!$A$1:$R$1377,18,0)=1,IFERROR(INDEX(Weekly_Model!$D$2:$D$9,MATCH(F216,Weekly_Model!$A$2:$A$9,0)),0),IF(VLOOKUP($A216,Calendar!$A$1:$R$1377,18,0)=2,SUM(IFERROR(INDEX(Weekly_Model!$D$2:$D$9,MATCH(F216,Weekly_Model!$A$2:$A$9,0)),0),IFERROR(INDEX(Weekly_Model!$D$2:$D$9,MATCH(F217,Weekly_Model!$A$2:$A$9,0)),0)),IF(VLOOKUP($A216,Calendar!$A$1:$R$1377,18,0)=3,SUM(IFERROR(INDEX(Weekly_Model!$D$2:$D$9,MATCH(F216,Weekly_Model!$A$2:$A$9,0)),0),IFERROR(INDEX(Weekly_Model!$D$2:$D$9,MATCH(F217,Weekly_Model!$A$2:$A$9,0)),0),IFERROR(INDEX(Weekly_Model!$D$2:$D$9,MATCH(F218,Weekly_Model!$A$2:$A$9,0)),0)),IF(VLOOKUP($A216,Calendar!$A$1:$R$1377,18,0)=4,SUM(IFERROR(INDEX(Weekly_Model!$D$2:$D$9,MATCH(F216,Weekly_Model!$A$2:$A$9,0)),0),IFERROR(INDEX(Weekly_Model!$D$2:$D$9,MATCH(F217,Weekly_Model!$A$2:$A$9,0)),0),IFERROR(INDEX(Weekly_Model!$D$2:$D$9,MATCH(F218,Weekly_Model!$A$2:$A$9,0)),0),IFERROR(INDEX(Weekly_Model!$D$2:$D$9,MATCH(F219,Weekly_Model!$A$2:$A$9,0)),0)),IF(VLOOKUP($A216,Calendar!$A$1:$R$1377,18,0)=5,SUM(IFERROR(INDEX(Weekly_Model!$D$2:$D$9,MATCH(F216,Weekly_Model!$A$2:$A$9,0)),0),IFERROR(INDEX(Weekly_Model!$D$2:$D$9,MATCH(F217,Weekly_Model!$A$2:$A$9,0)),0),IFERROR(INDEX(Weekly_Model!$D$2:$D$9,MATCH(F218,Weekly_Model!$A$2:$A$9,0)),0),IFERROR(INDEX(Weekly_Model!$D$2:$D$9,MATCH(F219,Weekly_Model!$A$2:$A$9,0)),0),IFERROR(INDEX(Weekly_Model!$D$2:$D$9,MATCH(F220,Weekly_Model!$A$2:$A$9,0)),0)),0))))))</f>
        <v>2.3200000000000002E-2</v>
      </c>
      <c r="L216" s="27">
        <f>IF(VLOOKUP($A216,Calendar!$A$1:$R$1377,18,0)=0,0,IF(VLOOKUP($A216,Calendar!$A$1:$R$1377,18,0)=1,IFERROR(INDEX(Fortnightly_Model!$D$2:$D$15,MATCH(G216,Fortnightly_Model!$B$2:$B$15,0)),0),IF(VLOOKUP($A216,Calendar!$A$1:$R$1377,18,0)=2,SUM(IFERROR(INDEX(Fortnightly_Model!$D$2:$D$15,MATCH(G216,Fortnightly_Model!$B$2:$B$15,0)),0),IFERROR(INDEX(Fortnightly_Model!$D$2:$D$15,MATCH(G217,Fortnightly_Model!$B$2:$B$15,0)),0)),IF(VLOOKUP($A216,Calendar!$A$1:$R$1377,18,0)=3,SUM(IFERROR(INDEX(Fortnightly_Model!$D$2:$D$15,MATCH(G216,Fortnightly_Model!$B$2:$B$15,0)),0),IFERROR(INDEX(Fortnightly_Model!$D$2:$D$15,MATCH(G217,Fortnightly_Model!$B$2:$B$15,0)),0),IFERROR(INDEX(Fortnightly_Model!$D$2:$D$15,MATCH(G218,Fortnightly_Model!$B$2:$B$15,0)),0)),IF(VLOOKUP($A216,Calendar!$A$1:$R$1377,18,0)=4,SUM(IFERROR(INDEX(Fortnightly_Model!$D$2:$D$15,MATCH(G216,Fortnightly_Model!$B$2:$B$15,0)),0),IFERROR(INDEX(Fortnightly_Model!$D$2:$D$15,MATCH(G217,Fortnightly_Model!$B$2:$B$15,0)),0),IFERROR(INDEX(Fortnightly_Model!$D$2:$D$15,MATCH(G218,Fortnightly_Model!$B$2:$B$15,0)),0),IFERROR(INDEX(Fortnightly_Model!$D$2:$D$15,MATCH(G219,Fortnightly_Model!$B$2:$B$15,0)),0)),IF(VLOOKUP($A216,Calendar!$A$1:$R$1377,18,0)=5,SUM(IFERROR(INDEX(Fortnightly_Model!$D$2:$D$15,MATCH(G216,Fortnightly_Model!$B$2:$B$15,0)),0),IFERROR(INDEX(Fortnightly_Model!$D$2:$D$15,MATCH(G217,Fortnightly_Model!$B$2:$B$15,0)),0),IFERROR(INDEX(Fortnightly_Model!$D$2:$D$15,MATCH(G218,Fortnightly_Model!$B$2:$B$15,0)),0),IFERROR(INDEX(Fortnightly_Model!$D$2:$D$15,MATCH(G219,Fortnightly_Model!$B$2:$B$15,0)),0),IFERROR(INDEX(Fortnightly_Model!$D$2:$D$15,MATCH(G220,Fortnightly_Model!$B$2:$B$15,0)),0)),0))))))</f>
        <v>1.0714285499999999E-3</v>
      </c>
      <c r="M216" s="27">
        <f>IF(VLOOKUP($A216,Calendar!$A$1:$R$1377,18,0)=0,0,IF(VLOOKUP($A216,Calendar!$A$1:$R$1377,18,0)=1,IFERROR(INDEX(FourWeekly_Model!$D$2:$D$29,MATCH(H216,FourWeekly_Model!$B$2:$B$29,0)),0),IF(VLOOKUP($A216,Calendar!$A$1:$R$1377,18,0)=2,SUM(IFERROR(INDEX(FourWeekly_Model!$D$2:$D$29,MATCH(H216,FourWeekly_Model!$B$2:$B$29,0)),0),IFERROR(INDEX(FourWeekly_Model!$D$2:$D$29,MATCH(H217,FourWeekly_Model!$B$2:$B$29,0)),0)),IF(VLOOKUP($A216,Calendar!$A$1:$R$1377,18,0)=3,SUM(IFERROR(INDEX(FourWeekly_Model!$D$2:$D$29,MATCH(H216,FourWeekly_Model!$B$2:$B$29,0)),0),IFERROR(INDEX(FourWeekly_Model!$D$2:$D$29,MATCH(H217,FourWeekly_Model!$B$2:$B$29,0)),0),IFERROR(INDEX(FourWeekly_Model!$D$2:$D$29,MATCH(H218,FourWeekly_Model!$B$2:$B$29,0)),0)),IF(VLOOKUP($A216,Calendar!$A$1:$R$1377,18,0)=4,SUM(IFERROR(INDEX(FourWeekly_Model!$D$2:$D$29,MATCH(H216,FourWeekly_Model!$B$2:$B$29,0)),0),IFERROR(INDEX(FourWeekly_Model!$D$2:$D$29,MATCH(H217,FourWeekly_Model!$B$2:$B$29,0)),0),IFERROR(INDEX(FourWeekly_Model!$D$2:$D$29,MATCH(H218,FourWeekly_Model!$B$2:$B$29,0)),0),IFERROR(INDEX(FourWeekly_Model!$D$2:$D$29,MATCH(H219,FourWeekly_Model!$B$2:$B$29,0)),0)),IF(VLOOKUP($A216,Calendar!$A$1:$R$1377,18,0)=5,SUM(IFERROR(INDEX(FourWeekly_Model!$D$2:$D$29,MATCH(H216,FourWeekly_Model!$B$2:$B$29,0)),0),IFERROR(INDEX(FourWeekly_Model!$D$2:$D$29,MATCH(H217,FourWeekly_Model!$B$2:$B$29,0)),0),IFERROR(INDEX(FourWeekly_Model!$D$2:$D$29,MATCH(H218,FourWeekly_Model!$B$2:$B$29,0)),0),IFERROR(INDEX(FourWeekly_Model!$D$2:$D$29,MATCH(H219,FourWeekly_Model!$B$2:$B$29,0)),0),IFERROR(INDEX(FourWeekly_Model!$D$2:$D$29,MATCH(H220,FourWeekly_Model!$B$2:$B$29,0)),0)),0))))))</f>
        <v>3.3214289700000004E-3</v>
      </c>
      <c r="N216" s="27">
        <f>SUM(I216:M216)</f>
        <v>2.840542296502618E-2</v>
      </c>
      <c r="O216" s="28">
        <f>Population_Data!$B$8*N216</f>
        <v>860684.3158402933</v>
      </c>
      <c r="P216" s="27">
        <f>IF(VLOOKUP($A216,Calendar!$A$1:$R$1377,18,0)=0,0,IF(VLOOKUP($A216,Calendar!$A$1:$R$1377,18,0)=1,IFERROR(INDEX(Pension_Model!$D$2:$D$29,MATCH(H216,Pension_Model!$B$2:$B$29,0)),0),IF(VLOOKUP($A216,Calendar!$A$1:$R$1377,18,0)=2,SUM(IFERROR(INDEX(Pension_Model!$D$2:$D$29,MATCH(H216,Pension_Model!$B$2:$B$29,0)),0),IFERROR(INDEX(Pension_Model!$D$2:$D$29,MATCH(H217,Pension_Model!$B$2:$B$29,0)),0)),IF(VLOOKUP($A216,Calendar!$A$1:$R$1377,18,0)=3,SUM(IFERROR(INDEX(Pension_Model!$D$2:$D$29,MATCH(H216,Pension_Model!$B$2:$B$29,0)),0),IFERROR(INDEX(Pension_Model!$D$2:$D$29,MATCH(H217,Pension_Model!$B$2:$B$29,0)),0),IFERROR(INDEX(Pension_Model!$D$2:$D$29,MATCH(H218,Pension_Model!$B$2:$B$29,0)),0)),IF(VLOOKUP($A216,Calendar!$A$1:$R$1377,18,0)=4,SUM(IFERROR(INDEX(Pension_Model!$D$2:$D$29,MATCH(H216,Pension_Model!$B$2:$B$29,0)),0),IFERROR(INDEX(Pension_Model!$D$2:$D$29,MATCH(H217,Pension_Model!$B$2:$B$29,0)),0),IFERROR(INDEX(Pension_Model!$D$2:$D$29,MATCH(H218,Pension_Model!$B$2:$B$29,0)),0),IFERROR(INDEX(Pension_Model!$D$2:$D$29,MATCH(H219,Pension_Model!$B$2:$B$29,0)),0)),IF(VLOOKUP($A216,Calendar!$A$1:$R$1377,18,0)=5,SUM(IFERROR(INDEX(Pension_Model!$D$2:$D$29,MATCH(H216,Pension_Model!$B$2:$B$29,0)),0),IFERROR(INDEX(Pension_Model!$D$2:$D$29,MATCH(H217,Pension_Model!$B$2:$B$29,0)),0),IFERROR(INDEX(Pension_Model!$D$2:$D$29,MATCH(H218,Pension_Model!$B$2:$B$29,0)),0),IFERROR(INDEX(Pension_Model!$D$2:$D$29,MATCH(H219,Pension_Model!$B$2:$B$29,0)),0),IFERROR(INDEX(Pension_Model!$D$2:$D$29,MATCH(H220,Pension_Model!$B$2:$B$29,0)),0)),0))))))</f>
        <v>0.05</v>
      </c>
      <c r="Q216" s="28">
        <f>Population_Data!$B$15*P216</f>
        <v>660600</v>
      </c>
      <c r="S216">
        <f t="shared" si="3"/>
        <v>1521284.3158402932</v>
      </c>
      <c r="U216" s="33">
        <f>S216/Population_Data!$B$19</f>
        <v>2.7559498475367629E-2</v>
      </c>
    </row>
    <row r="217" spans="1:21">
      <c r="A217" s="25">
        <f>Calendar!A217</f>
        <v>46450</v>
      </c>
      <c r="B217" t="str">
        <f>Calendar!L217</f>
        <v>Yes</v>
      </c>
      <c r="C217" t="str">
        <f>Calendar!O217</f>
        <v>No</v>
      </c>
      <c r="D217" t="str">
        <f>Calendar!P217</f>
        <v>No</v>
      </c>
      <c r="E217" t="str">
        <f>Calendar!Q217</f>
        <v>No</v>
      </c>
      <c r="F217" t="str">
        <f>Calendar!I217</f>
        <v>Thursday</v>
      </c>
      <c r="G217">
        <f>Calendar!S217</f>
        <v>12</v>
      </c>
      <c r="H217">
        <f>Calendar!T217</f>
        <v>26</v>
      </c>
      <c r="I217" s="27">
        <f>IF(VLOOKUP(A217,Calendar!$A$1:$R$1377,18,0)=0,0,IF(VLOOKUP(A217,Calendar!$A$1:$R$1377,18,0)=1,INDEX(Monthly_Pay_Model!$A$9:$D$40,MATCH(TEXT(A217,"dd"),Monthly_Pay_Model!$C$9:$C$39,0),4),IF(VLOOKUP(A217,Calendar!$A$1:$R$1377,18,0)=2,SUM(INDEX(Monthly_Pay_Model!$A$9:$D$40,MATCH(TEXT(A217,"dd"),Monthly_Pay_Model!$C$9:$C$39,0),4),INDEX(Monthly_Pay_Model!$A$9:$D$40,MATCH(TEXT(A218,"dd"),Monthly_Pay_Model!$C$9:$C$39,0),4)),IF(VLOOKUP(A217,Calendar!$A$1:$R$1377,18,0)=3,SUM(INDEX(Monthly_Pay_Model!$A$9:$D$40,MATCH(TEXT(A217,"dd"),Monthly_Pay_Model!$C$9:$C$39,0),4),INDEX(Monthly_Pay_Model!$A$9:$D$40,MATCH(TEXT(A218,"dd"),Monthly_Pay_Model!$C$9:$C$39,0),4),INDEX(Monthly_Pay_Model!$A$9:$D$40,MATCH(TEXT(A219,"dd"),Monthly_Pay_Model!$C$9:$C$39,0),4)),IF(VLOOKUP(A217,Calendar!$A$1:$R$1377,18,0)=4,SUM(INDEX(Monthly_Pay_Model!$A$9:$D$40,MATCH(TEXT(A217,"dd"),Monthly_Pay_Model!$C$9:$C$39,0),4),INDEX(Monthly_Pay_Model!$A$9:$D$40,MATCH(TEXT(A218,"dd"),Monthly_Pay_Model!$C$9:$C$39,0),4),INDEX(Monthly_Pay_Model!$A$9:$D$40,MATCH(TEXT(A219,"dd"),Monthly_Pay_Model!$C$9:$C$39,0),4),INDEX(Monthly_Pay_Model!$A$9:$D$40,MATCH(TEXT(A220,"dd"),Monthly_Pay_Model!$C$9:$C$39,0),4)),IF(VLOOKUP(A217,Calendar!$A$1:$R$1377,18,0)=5,SUM(INDEX(Monthly_Pay_Model!$A$9:$D$40,MATCH(TEXT(A217,"dd"),Monthly_Pay_Model!$C$9:$C$39,0),4),INDEX(Monthly_Pay_Model!$A$9:$D$40,MATCH(TEXT(A218,"dd"),Monthly_Pay_Model!$C$9:$C$39,0),4),INDEX(Monthly_Pay_Model!$A$9:$D$40,MATCH(TEXT(A219,"dd"),Monthly_Pay_Model!$C$9:$C$39,0),4),INDEX(Monthly_Pay_Model!$A$9:$D$40,MATCH(TEXT(A220,"dd"),Monthly_Pay_Model!$C$9:$C$39,0),4),INDEX(Monthly_Pay_Model!$A$9:$D$40,MATCH(TEXT(A221,"dd"),Monthly_Pay_Model!$C$9:$C$39,0),4)),))))))</f>
        <v>8.1256544502617792E-4</v>
      </c>
      <c r="J217" s="33">
        <f>IF(C217="Yes",Monthly_Pay_Model!$D$2,0)
+IF(Calendar!N217="Yes",Monthly_Pay_Model!$D$3,0)
+IF(D217="Yes",Monthly_Pay_Model!$D$4,0)
+IF(E217="Yes",Monthly_Pay_Model!$D$5,0)</f>
        <v>0</v>
      </c>
      <c r="K217" s="27">
        <f>IF(VLOOKUP($A217,Calendar!$A$1:$R$1377,18,0)=0,0,IF(VLOOKUP($A217,Calendar!$A$1:$R$1377,18,0)=1,IFERROR(INDEX(Weekly_Model!$D$2:$D$9,MATCH(F217,Weekly_Model!$A$2:$A$9,0)),0),IF(VLOOKUP($A217,Calendar!$A$1:$R$1377,18,0)=2,SUM(IFERROR(INDEX(Weekly_Model!$D$2:$D$9,MATCH(F217,Weekly_Model!$A$2:$A$9,0)),0),IFERROR(INDEX(Weekly_Model!$D$2:$D$9,MATCH(F218,Weekly_Model!$A$2:$A$9,0)),0)),IF(VLOOKUP($A217,Calendar!$A$1:$R$1377,18,0)=3,SUM(IFERROR(INDEX(Weekly_Model!$D$2:$D$9,MATCH(F217,Weekly_Model!$A$2:$A$9,0)),0),IFERROR(INDEX(Weekly_Model!$D$2:$D$9,MATCH(F218,Weekly_Model!$A$2:$A$9,0)),0),IFERROR(INDEX(Weekly_Model!$D$2:$D$9,MATCH(F219,Weekly_Model!$A$2:$A$9,0)),0)),IF(VLOOKUP($A217,Calendar!$A$1:$R$1377,18,0)=4,SUM(IFERROR(INDEX(Weekly_Model!$D$2:$D$9,MATCH(F217,Weekly_Model!$A$2:$A$9,0)),0),IFERROR(INDEX(Weekly_Model!$D$2:$D$9,MATCH(F218,Weekly_Model!$A$2:$A$9,0)),0),IFERROR(INDEX(Weekly_Model!$D$2:$D$9,MATCH(F219,Weekly_Model!$A$2:$A$9,0)),0),IFERROR(INDEX(Weekly_Model!$D$2:$D$9,MATCH(F220,Weekly_Model!$A$2:$A$9,0)),0)),IF(VLOOKUP($A217,Calendar!$A$1:$R$1377,18,0)=5,SUM(IFERROR(INDEX(Weekly_Model!$D$2:$D$9,MATCH(F217,Weekly_Model!$A$2:$A$9,0)),0),IFERROR(INDEX(Weekly_Model!$D$2:$D$9,MATCH(F218,Weekly_Model!$A$2:$A$9,0)),0),IFERROR(INDEX(Weekly_Model!$D$2:$D$9,MATCH(F219,Weekly_Model!$A$2:$A$9,0)),0),IFERROR(INDEX(Weekly_Model!$D$2:$D$9,MATCH(F220,Weekly_Model!$A$2:$A$9,0)),0),IFERROR(INDEX(Weekly_Model!$D$2:$D$9,MATCH(F221,Weekly_Model!$A$2:$A$9,0)),0)),0))))))</f>
        <v>2.3200000000000002E-2</v>
      </c>
      <c r="L217" s="27">
        <f>IF(VLOOKUP($A217,Calendar!$A$1:$R$1377,18,0)=0,0,IF(VLOOKUP($A217,Calendar!$A$1:$R$1377,18,0)=1,IFERROR(INDEX(Fortnightly_Model!$D$2:$D$15,MATCH(G217,Fortnightly_Model!$B$2:$B$15,0)),0),IF(VLOOKUP($A217,Calendar!$A$1:$R$1377,18,0)=2,SUM(IFERROR(INDEX(Fortnightly_Model!$D$2:$D$15,MATCH(G217,Fortnightly_Model!$B$2:$B$15,0)),0),IFERROR(INDEX(Fortnightly_Model!$D$2:$D$15,MATCH(G218,Fortnightly_Model!$B$2:$B$15,0)),0)),IF(VLOOKUP($A217,Calendar!$A$1:$R$1377,18,0)=3,SUM(IFERROR(INDEX(Fortnightly_Model!$D$2:$D$15,MATCH(G217,Fortnightly_Model!$B$2:$B$15,0)),0),IFERROR(INDEX(Fortnightly_Model!$D$2:$D$15,MATCH(G218,Fortnightly_Model!$B$2:$B$15,0)),0),IFERROR(INDEX(Fortnightly_Model!$D$2:$D$15,MATCH(G219,Fortnightly_Model!$B$2:$B$15,0)),0)),IF(VLOOKUP($A217,Calendar!$A$1:$R$1377,18,0)=4,SUM(IFERROR(INDEX(Fortnightly_Model!$D$2:$D$15,MATCH(G217,Fortnightly_Model!$B$2:$B$15,0)),0),IFERROR(INDEX(Fortnightly_Model!$D$2:$D$15,MATCH(G218,Fortnightly_Model!$B$2:$B$15,0)),0),IFERROR(INDEX(Fortnightly_Model!$D$2:$D$15,MATCH(G219,Fortnightly_Model!$B$2:$B$15,0)),0),IFERROR(INDEX(Fortnightly_Model!$D$2:$D$15,MATCH(G220,Fortnightly_Model!$B$2:$B$15,0)),0)),IF(VLOOKUP($A217,Calendar!$A$1:$R$1377,18,0)=5,SUM(IFERROR(INDEX(Fortnightly_Model!$D$2:$D$15,MATCH(G217,Fortnightly_Model!$B$2:$B$15,0)),0),IFERROR(INDEX(Fortnightly_Model!$D$2:$D$15,MATCH(G218,Fortnightly_Model!$B$2:$B$15,0)),0),IFERROR(INDEX(Fortnightly_Model!$D$2:$D$15,MATCH(G219,Fortnightly_Model!$B$2:$B$15,0)),0),IFERROR(INDEX(Fortnightly_Model!$D$2:$D$15,MATCH(G220,Fortnightly_Model!$B$2:$B$15,0)),0),IFERROR(INDEX(Fortnightly_Model!$D$2:$D$15,MATCH(G221,Fortnightly_Model!$B$2:$B$15,0)),0)),0))))))</f>
        <v>1.0714285499999999E-3</v>
      </c>
      <c r="M217" s="27">
        <f>IF(VLOOKUP($A217,Calendar!$A$1:$R$1377,18,0)=0,0,IF(VLOOKUP($A217,Calendar!$A$1:$R$1377,18,0)=1,IFERROR(INDEX(FourWeekly_Model!$D$2:$D$29,MATCH(H217,FourWeekly_Model!$B$2:$B$29,0)),0),IF(VLOOKUP($A217,Calendar!$A$1:$R$1377,18,0)=2,SUM(IFERROR(INDEX(FourWeekly_Model!$D$2:$D$29,MATCH(H217,FourWeekly_Model!$B$2:$B$29,0)),0),IFERROR(INDEX(FourWeekly_Model!$D$2:$D$29,MATCH(H218,FourWeekly_Model!$B$2:$B$29,0)),0)),IF(VLOOKUP($A217,Calendar!$A$1:$R$1377,18,0)=3,SUM(IFERROR(INDEX(FourWeekly_Model!$D$2:$D$29,MATCH(H217,FourWeekly_Model!$B$2:$B$29,0)),0),IFERROR(INDEX(FourWeekly_Model!$D$2:$D$29,MATCH(H218,FourWeekly_Model!$B$2:$B$29,0)),0),IFERROR(INDEX(FourWeekly_Model!$D$2:$D$29,MATCH(H219,FourWeekly_Model!$B$2:$B$29,0)),0)),IF(VLOOKUP($A217,Calendar!$A$1:$R$1377,18,0)=4,SUM(IFERROR(INDEX(FourWeekly_Model!$D$2:$D$29,MATCH(H217,FourWeekly_Model!$B$2:$B$29,0)),0),IFERROR(INDEX(FourWeekly_Model!$D$2:$D$29,MATCH(H218,FourWeekly_Model!$B$2:$B$29,0)),0),IFERROR(INDEX(FourWeekly_Model!$D$2:$D$29,MATCH(H219,FourWeekly_Model!$B$2:$B$29,0)),0),IFERROR(INDEX(FourWeekly_Model!$D$2:$D$29,MATCH(H220,FourWeekly_Model!$B$2:$B$29,0)),0)),IF(VLOOKUP($A217,Calendar!$A$1:$R$1377,18,0)=5,SUM(IFERROR(INDEX(FourWeekly_Model!$D$2:$D$29,MATCH(H217,FourWeekly_Model!$B$2:$B$29,0)),0),IFERROR(INDEX(FourWeekly_Model!$D$2:$D$29,MATCH(H218,FourWeekly_Model!$B$2:$B$29,0)),0),IFERROR(INDEX(FourWeekly_Model!$D$2:$D$29,MATCH(H219,FourWeekly_Model!$B$2:$B$29,0)),0),IFERROR(INDEX(FourWeekly_Model!$D$2:$D$29,MATCH(H220,FourWeekly_Model!$B$2:$B$29,0)),0),IFERROR(INDEX(FourWeekly_Model!$D$2:$D$29,MATCH(H221,FourWeekly_Model!$B$2:$B$29,0)),0)),0))))))</f>
        <v>3.3214289700000004E-3</v>
      </c>
      <c r="N217" s="27">
        <f>SUM(I217:M217)</f>
        <v>2.840542296502618E-2</v>
      </c>
      <c r="O217" s="28">
        <f>Population_Data!$B$8*N217</f>
        <v>860684.3158402933</v>
      </c>
      <c r="P217" s="27">
        <f>IF(VLOOKUP($A217,Calendar!$A$1:$R$1377,18,0)=0,0,IF(VLOOKUP($A217,Calendar!$A$1:$R$1377,18,0)=1,IFERROR(INDEX(Pension_Model!$D$2:$D$29,MATCH(H217,Pension_Model!$B$2:$B$29,0)),0),IF(VLOOKUP($A217,Calendar!$A$1:$R$1377,18,0)=2,SUM(IFERROR(INDEX(Pension_Model!$D$2:$D$29,MATCH(H217,Pension_Model!$B$2:$B$29,0)),0),IFERROR(INDEX(Pension_Model!$D$2:$D$29,MATCH(H218,Pension_Model!$B$2:$B$29,0)),0)),IF(VLOOKUP($A217,Calendar!$A$1:$R$1377,18,0)=3,SUM(IFERROR(INDEX(Pension_Model!$D$2:$D$29,MATCH(H217,Pension_Model!$B$2:$B$29,0)),0),IFERROR(INDEX(Pension_Model!$D$2:$D$29,MATCH(H218,Pension_Model!$B$2:$B$29,0)),0),IFERROR(INDEX(Pension_Model!$D$2:$D$29,MATCH(H219,Pension_Model!$B$2:$B$29,0)),0)),IF(VLOOKUP($A217,Calendar!$A$1:$R$1377,18,0)=4,SUM(IFERROR(INDEX(Pension_Model!$D$2:$D$29,MATCH(H217,Pension_Model!$B$2:$B$29,0)),0),IFERROR(INDEX(Pension_Model!$D$2:$D$29,MATCH(H218,Pension_Model!$B$2:$B$29,0)),0),IFERROR(INDEX(Pension_Model!$D$2:$D$29,MATCH(H219,Pension_Model!$B$2:$B$29,0)),0),IFERROR(INDEX(Pension_Model!$D$2:$D$29,MATCH(H220,Pension_Model!$B$2:$B$29,0)),0)),IF(VLOOKUP($A217,Calendar!$A$1:$R$1377,18,0)=5,SUM(IFERROR(INDEX(Pension_Model!$D$2:$D$29,MATCH(H217,Pension_Model!$B$2:$B$29,0)),0),IFERROR(INDEX(Pension_Model!$D$2:$D$29,MATCH(H218,Pension_Model!$B$2:$B$29,0)),0),IFERROR(INDEX(Pension_Model!$D$2:$D$29,MATCH(H219,Pension_Model!$B$2:$B$29,0)),0),IFERROR(INDEX(Pension_Model!$D$2:$D$29,MATCH(H220,Pension_Model!$B$2:$B$29,0)),0),IFERROR(INDEX(Pension_Model!$D$2:$D$29,MATCH(H221,Pension_Model!$B$2:$B$29,0)),0)),0))))))</f>
        <v>0.05</v>
      </c>
      <c r="Q217" s="28">
        <f>Population_Data!$B$15*P217</f>
        <v>660600</v>
      </c>
      <c r="S217">
        <f t="shared" si="3"/>
        <v>1521284.3158402932</v>
      </c>
      <c r="U217" s="33">
        <f>S217/Population_Data!$B$19</f>
        <v>2.7559498475367629E-2</v>
      </c>
    </row>
    <row r="218" spans="1:21">
      <c r="A218" s="25">
        <f>Calendar!A218</f>
        <v>46451</v>
      </c>
      <c r="B218" t="str">
        <f>Calendar!L218</f>
        <v>Yes</v>
      </c>
      <c r="C218" t="str">
        <f>Calendar!O218</f>
        <v>No</v>
      </c>
      <c r="D218" t="str">
        <f>Calendar!P218</f>
        <v>No</v>
      </c>
      <c r="E218" t="str">
        <f>Calendar!Q218</f>
        <v>No</v>
      </c>
      <c r="F218" t="str">
        <f>Calendar!I218</f>
        <v>Friday</v>
      </c>
      <c r="G218">
        <f>Calendar!S218</f>
        <v>13</v>
      </c>
      <c r="H218">
        <f>Calendar!T218</f>
        <v>27</v>
      </c>
      <c r="I218" s="27">
        <f>IF(VLOOKUP(A218,Calendar!$A$1:$R$1377,18,0)=0,0,IF(VLOOKUP(A218,Calendar!$A$1:$R$1377,18,0)=1,INDEX(Monthly_Pay_Model!$A$9:$D$40,MATCH(TEXT(A218,"dd"),Monthly_Pay_Model!$C$9:$C$39,0),4),IF(VLOOKUP(A218,Calendar!$A$1:$R$1377,18,0)=2,SUM(INDEX(Monthly_Pay_Model!$A$9:$D$40,MATCH(TEXT(A218,"dd"),Monthly_Pay_Model!$C$9:$C$39,0),4),INDEX(Monthly_Pay_Model!$A$9:$D$40,MATCH(TEXT(A219,"dd"),Monthly_Pay_Model!$C$9:$C$39,0),4)),IF(VLOOKUP(A218,Calendar!$A$1:$R$1377,18,0)=3,SUM(INDEX(Monthly_Pay_Model!$A$9:$D$40,MATCH(TEXT(A218,"dd"),Monthly_Pay_Model!$C$9:$C$39,0),4),INDEX(Monthly_Pay_Model!$A$9:$D$40,MATCH(TEXT(A219,"dd"),Monthly_Pay_Model!$C$9:$C$39,0),4),INDEX(Monthly_Pay_Model!$A$9:$D$40,MATCH(TEXT(A220,"dd"),Monthly_Pay_Model!$C$9:$C$39,0),4)),IF(VLOOKUP(A218,Calendar!$A$1:$R$1377,18,0)=4,SUM(INDEX(Monthly_Pay_Model!$A$9:$D$40,MATCH(TEXT(A218,"dd"),Monthly_Pay_Model!$C$9:$C$39,0),4),INDEX(Monthly_Pay_Model!$A$9:$D$40,MATCH(TEXT(A219,"dd"),Monthly_Pay_Model!$C$9:$C$39,0),4),INDEX(Monthly_Pay_Model!$A$9:$D$40,MATCH(TEXT(A220,"dd"),Monthly_Pay_Model!$C$9:$C$39,0),4),INDEX(Monthly_Pay_Model!$A$9:$D$40,MATCH(TEXT(A221,"dd"),Monthly_Pay_Model!$C$9:$C$39,0),4)),IF(VLOOKUP(A218,Calendar!$A$1:$R$1377,18,0)=5,SUM(INDEX(Monthly_Pay_Model!$A$9:$D$40,MATCH(TEXT(A218,"dd"),Monthly_Pay_Model!$C$9:$C$39,0),4),INDEX(Monthly_Pay_Model!$A$9:$D$40,MATCH(TEXT(A219,"dd"),Monthly_Pay_Model!$C$9:$C$39,0),4),INDEX(Monthly_Pay_Model!$A$9:$D$40,MATCH(TEXT(A220,"dd"),Monthly_Pay_Model!$C$9:$C$39,0),4),INDEX(Monthly_Pay_Model!$A$9:$D$40,MATCH(TEXT(A221,"dd"),Monthly_Pay_Model!$C$9:$C$39,0),4),INDEX(Monthly_Pay_Model!$A$9:$D$40,MATCH(TEXT(A222,"dd"),Monthly_Pay_Model!$C$9:$C$39,0),4)),))))))</f>
        <v>1.3001047120418847E-2</v>
      </c>
      <c r="J218" s="33">
        <f>IF(C218="Yes",Monthly_Pay_Model!$D$2,0)
+IF(Calendar!N218="Yes",Monthly_Pay_Model!$D$3,0)
+IF(D218="Yes",Monthly_Pay_Model!$D$4,0)
+IF(E218="Yes",Monthly_Pay_Model!$D$5,0)</f>
        <v>0</v>
      </c>
      <c r="K218" s="27">
        <f>IF(VLOOKUP($A218,Calendar!$A$1:$R$1377,18,0)=0,0,IF(VLOOKUP($A218,Calendar!$A$1:$R$1377,18,0)=1,IFERROR(INDEX(Weekly_Model!$D$2:$D$9,MATCH(F218,Weekly_Model!$A$2:$A$9,0)),0),IF(VLOOKUP($A218,Calendar!$A$1:$R$1377,18,0)=2,SUM(IFERROR(INDEX(Weekly_Model!$D$2:$D$9,MATCH(F218,Weekly_Model!$A$2:$A$9,0)),0),IFERROR(INDEX(Weekly_Model!$D$2:$D$9,MATCH(F219,Weekly_Model!$A$2:$A$9,0)),0)),IF(VLOOKUP($A218,Calendar!$A$1:$R$1377,18,0)=3,SUM(IFERROR(INDEX(Weekly_Model!$D$2:$D$9,MATCH(F218,Weekly_Model!$A$2:$A$9,0)),0),IFERROR(INDEX(Weekly_Model!$D$2:$D$9,MATCH(F219,Weekly_Model!$A$2:$A$9,0)),0),IFERROR(INDEX(Weekly_Model!$D$2:$D$9,MATCH(F220,Weekly_Model!$A$2:$A$9,0)),0)),IF(VLOOKUP($A218,Calendar!$A$1:$R$1377,18,0)=4,SUM(IFERROR(INDEX(Weekly_Model!$D$2:$D$9,MATCH(F218,Weekly_Model!$A$2:$A$9,0)),0),IFERROR(INDEX(Weekly_Model!$D$2:$D$9,MATCH(F219,Weekly_Model!$A$2:$A$9,0)),0),IFERROR(INDEX(Weekly_Model!$D$2:$D$9,MATCH(F220,Weekly_Model!$A$2:$A$9,0)),0),IFERROR(INDEX(Weekly_Model!$D$2:$D$9,MATCH(F221,Weekly_Model!$A$2:$A$9,0)),0)),IF(VLOOKUP($A218,Calendar!$A$1:$R$1377,18,0)=5,SUM(IFERROR(INDEX(Weekly_Model!$D$2:$D$9,MATCH(F218,Weekly_Model!$A$2:$A$9,0)),0),IFERROR(INDEX(Weekly_Model!$D$2:$D$9,MATCH(F219,Weekly_Model!$A$2:$A$9,0)),0),IFERROR(INDEX(Weekly_Model!$D$2:$D$9,MATCH(F220,Weekly_Model!$A$2:$A$9,0)),0),IFERROR(INDEX(Weekly_Model!$D$2:$D$9,MATCH(F221,Weekly_Model!$A$2:$A$9,0)),0),IFERROR(INDEX(Weekly_Model!$D$2:$D$9,MATCH(F222,Weekly_Model!$A$2:$A$9,0)),0)),0))))))</f>
        <v>2.3200000000000002E-2</v>
      </c>
      <c r="L218" s="27">
        <f>IF(VLOOKUP($A218,Calendar!$A$1:$R$1377,18,0)=0,0,IF(VLOOKUP($A218,Calendar!$A$1:$R$1377,18,0)=1,IFERROR(INDEX(Fortnightly_Model!$D$2:$D$15,MATCH(G218,Fortnightly_Model!$B$2:$B$15,0)),0),IF(VLOOKUP($A218,Calendar!$A$1:$R$1377,18,0)=2,SUM(IFERROR(INDEX(Fortnightly_Model!$D$2:$D$15,MATCH(G218,Fortnightly_Model!$B$2:$B$15,0)),0),IFERROR(INDEX(Fortnightly_Model!$D$2:$D$15,MATCH(G219,Fortnightly_Model!$B$2:$B$15,0)),0)),IF(VLOOKUP($A218,Calendar!$A$1:$R$1377,18,0)=3,SUM(IFERROR(INDEX(Fortnightly_Model!$D$2:$D$15,MATCH(G218,Fortnightly_Model!$B$2:$B$15,0)),0),IFERROR(INDEX(Fortnightly_Model!$D$2:$D$15,MATCH(G219,Fortnightly_Model!$B$2:$B$15,0)),0),IFERROR(INDEX(Fortnightly_Model!$D$2:$D$15,MATCH(G220,Fortnightly_Model!$B$2:$B$15,0)),0)),IF(VLOOKUP($A218,Calendar!$A$1:$R$1377,18,0)=4,SUM(IFERROR(INDEX(Fortnightly_Model!$D$2:$D$15,MATCH(G218,Fortnightly_Model!$B$2:$B$15,0)),0),IFERROR(INDEX(Fortnightly_Model!$D$2:$D$15,MATCH(G219,Fortnightly_Model!$B$2:$B$15,0)),0),IFERROR(INDEX(Fortnightly_Model!$D$2:$D$15,MATCH(G220,Fortnightly_Model!$B$2:$B$15,0)),0),IFERROR(INDEX(Fortnightly_Model!$D$2:$D$15,MATCH(G221,Fortnightly_Model!$B$2:$B$15,0)),0)),IF(VLOOKUP($A218,Calendar!$A$1:$R$1377,18,0)=5,SUM(IFERROR(INDEX(Fortnightly_Model!$D$2:$D$15,MATCH(G218,Fortnightly_Model!$B$2:$B$15,0)),0),IFERROR(INDEX(Fortnightly_Model!$D$2:$D$15,MATCH(G219,Fortnightly_Model!$B$2:$B$15,0)),0),IFERROR(INDEX(Fortnightly_Model!$D$2:$D$15,MATCH(G220,Fortnightly_Model!$B$2:$B$15,0)),0),IFERROR(INDEX(Fortnightly_Model!$D$2:$D$15,MATCH(G221,Fortnightly_Model!$B$2:$B$15,0)),0),IFERROR(INDEX(Fortnightly_Model!$D$2:$D$15,MATCH(G222,Fortnightly_Model!$B$2:$B$15,0)),0)),0))))))</f>
        <v>3.2142856499999999E-3</v>
      </c>
      <c r="M218" s="27">
        <f>IF(VLOOKUP($A218,Calendar!$A$1:$R$1377,18,0)=0,0,IF(VLOOKUP($A218,Calendar!$A$1:$R$1377,18,0)=1,IFERROR(INDEX(FourWeekly_Model!$D$2:$D$29,MATCH(H218,FourWeekly_Model!$B$2:$B$29,0)),0),IF(VLOOKUP($A218,Calendar!$A$1:$R$1377,18,0)=2,SUM(IFERROR(INDEX(FourWeekly_Model!$D$2:$D$29,MATCH(H218,FourWeekly_Model!$B$2:$B$29,0)),0),IFERROR(INDEX(FourWeekly_Model!$D$2:$D$29,MATCH(H219,FourWeekly_Model!$B$2:$B$29,0)),0)),IF(VLOOKUP($A218,Calendar!$A$1:$R$1377,18,0)=3,SUM(IFERROR(INDEX(FourWeekly_Model!$D$2:$D$29,MATCH(H218,FourWeekly_Model!$B$2:$B$29,0)),0),IFERROR(INDEX(FourWeekly_Model!$D$2:$D$29,MATCH(H219,FourWeekly_Model!$B$2:$B$29,0)),0),IFERROR(INDEX(FourWeekly_Model!$D$2:$D$29,MATCH(H220,FourWeekly_Model!$B$2:$B$29,0)),0)),IF(VLOOKUP($A218,Calendar!$A$1:$R$1377,18,0)=4,SUM(IFERROR(INDEX(FourWeekly_Model!$D$2:$D$29,MATCH(H218,FourWeekly_Model!$B$2:$B$29,0)),0),IFERROR(INDEX(FourWeekly_Model!$D$2:$D$29,MATCH(H219,FourWeekly_Model!$B$2:$B$29,0)),0),IFERROR(INDEX(FourWeekly_Model!$D$2:$D$29,MATCH(H220,FourWeekly_Model!$B$2:$B$29,0)),0),IFERROR(INDEX(FourWeekly_Model!$D$2:$D$29,MATCH(H221,FourWeekly_Model!$B$2:$B$29,0)),0)),IF(VLOOKUP($A218,Calendar!$A$1:$R$1377,18,0)=5,SUM(IFERROR(INDEX(FourWeekly_Model!$D$2:$D$29,MATCH(H218,FourWeekly_Model!$B$2:$B$29,0)),0),IFERROR(INDEX(FourWeekly_Model!$D$2:$D$29,MATCH(H219,FourWeekly_Model!$B$2:$B$29,0)),0),IFERROR(INDEX(FourWeekly_Model!$D$2:$D$29,MATCH(H220,FourWeekly_Model!$B$2:$B$29,0)),0),IFERROR(INDEX(FourWeekly_Model!$D$2:$D$29,MATCH(H221,FourWeekly_Model!$B$2:$B$29,0)),0),IFERROR(INDEX(FourWeekly_Model!$D$2:$D$29,MATCH(H222,FourWeekly_Model!$B$2:$B$29,0)),0)),0))))))</f>
        <v>9.9642859800000011E-3</v>
      </c>
      <c r="N218" s="27">
        <f>SUM(I218:M218)</f>
        <v>4.9379618750418852E-2</v>
      </c>
      <c r="O218" s="28">
        <f>Population_Data!$B$8*N218</f>
        <v>1496202.4481376912</v>
      </c>
      <c r="P218" s="27">
        <f>IF(VLOOKUP($A218,Calendar!$A$1:$R$1377,18,0)=0,0,IF(VLOOKUP($A218,Calendar!$A$1:$R$1377,18,0)=1,IFERROR(INDEX(Pension_Model!$D$2:$D$29,MATCH(H218,Pension_Model!$B$2:$B$29,0)),0),IF(VLOOKUP($A218,Calendar!$A$1:$R$1377,18,0)=2,SUM(IFERROR(INDEX(Pension_Model!$D$2:$D$29,MATCH(H218,Pension_Model!$B$2:$B$29,0)),0),IFERROR(INDEX(Pension_Model!$D$2:$D$29,MATCH(H219,Pension_Model!$B$2:$B$29,0)),0)),IF(VLOOKUP($A218,Calendar!$A$1:$R$1377,18,0)=3,SUM(IFERROR(INDEX(Pension_Model!$D$2:$D$29,MATCH(H218,Pension_Model!$B$2:$B$29,0)),0),IFERROR(INDEX(Pension_Model!$D$2:$D$29,MATCH(H219,Pension_Model!$B$2:$B$29,0)),0),IFERROR(INDEX(Pension_Model!$D$2:$D$29,MATCH(H220,Pension_Model!$B$2:$B$29,0)),0)),IF(VLOOKUP($A218,Calendar!$A$1:$R$1377,18,0)=4,SUM(IFERROR(INDEX(Pension_Model!$D$2:$D$29,MATCH(H218,Pension_Model!$B$2:$B$29,0)),0),IFERROR(INDEX(Pension_Model!$D$2:$D$29,MATCH(H219,Pension_Model!$B$2:$B$29,0)),0),IFERROR(INDEX(Pension_Model!$D$2:$D$29,MATCH(H220,Pension_Model!$B$2:$B$29,0)),0),IFERROR(INDEX(Pension_Model!$D$2:$D$29,MATCH(H221,Pension_Model!$B$2:$B$29,0)),0)),IF(VLOOKUP($A218,Calendar!$A$1:$R$1377,18,0)=5,SUM(IFERROR(INDEX(Pension_Model!$D$2:$D$29,MATCH(H218,Pension_Model!$B$2:$B$29,0)),0),IFERROR(INDEX(Pension_Model!$D$2:$D$29,MATCH(H219,Pension_Model!$B$2:$B$29,0)),0),IFERROR(INDEX(Pension_Model!$D$2:$D$29,MATCH(H220,Pension_Model!$B$2:$B$29,0)),0),IFERROR(INDEX(Pension_Model!$D$2:$D$29,MATCH(H221,Pension_Model!$B$2:$B$29,0)),0),IFERROR(INDEX(Pension_Model!$D$2:$D$29,MATCH(H222,Pension_Model!$B$2:$B$29,0)),0)),0))))))</f>
        <v>0.05</v>
      </c>
      <c r="Q218" s="28">
        <f>Population_Data!$B$15*P218</f>
        <v>660600</v>
      </c>
      <c r="S218">
        <f t="shared" si="3"/>
        <v>2156802.4481376912</v>
      </c>
      <c r="U218" s="33">
        <f>S218/Population_Data!$B$19</f>
        <v>3.9072508118436433E-2</v>
      </c>
    </row>
    <row r="219" spans="1:21">
      <c r="A219" s="25">
        <f>Calendar!A219</f>
        <v>46452</v>
      </c>
      <c r="B219" t="str">
        <f>Calendar!L219</f>
        <v>No</v>
      </c>
      <c r="C219" t="str">
        <f>Calendar!O219</f>
        <v>No</v>
      </c>
      <c r="D219" t="str">
        <f>Calendar!P219</f>
        <v>No</v>
      </c>
      <c r="E219" t="str">
        <f>Calendar!Q219</f>
        <v>No</v>
      </c>
      <c r="F219" t="str">
        <f>Calendar!I219</f>
        <v>Saturday</v>
      </c>
      <c r="G219">
        <f>Calendar!S219</f>
        <v>0</v>
      </c>
      <c r="H219">
        <f>Calendar!T219</f>
        <v>0</v>
      </c>
      <c r="I219" s="27">
        <f>IF(VLOOKUP(A219,Calendar!$A$1:$R$1377,18,0)=0,0,IF(VLOOKUP(A219,Calendar!$A$1:$R$1377,18,0)=1,INDEX(Monthly_Pay_Model!$A$9:$D$40,MATCH(TEXT(A219,"dd"),Monthly_Pay_Model!$C$9:$C$39,0),4),IF(VLOOKUP(A219,Calendar!$A$1:$R$1377,18,0)=2,SUM(INDEX(Monthly_Pay_Model!$A$9:$D$40,MATCH(TEXT(A219,"dd"),Monthly_Pay_Model!$C$9:$C$39,0),4),INDEX(Monthly_Pay_Model!$A$9:$D$40,MATCH(TEXT(A220,"dd"),Monthly_Pay_Model!$C$9:$C$39,0),4)),IF(VLOOKUP(A219,Calendar!$A$1:$R$1377,18,0)=3,SUM(INDEX(Monthly_Pay_Model!$A$9:$D$40,MATCH(TEXT(A219,"dd"),Monthly_Pay_Model!$C$9:$C$39,0),4),INDEX(Monthly_Pay_Model!$A$9:$D$40,MATCH(TEXT(A220,"dd"),Monthly_Pay_Model!$C$9:$C$39,0),4),INDEX(Monthly_Pay_Model!$A$9:$D$40,MATCH(TEXT(A221,"dd"),Monthly_Pay_Model!$C$9:$C$39,0),4)),IF(VLOOKUP(A219,Calendar!$A$1:$R$1377,18,0)=4,SUM(INDEX(Monthly_Pay_Model!$A$9:$D$40,MATCH(TEXT(A219,"dd"),Monthly_Pay_Model!$C$9:$C$39,0),4),INDEX(Monthly_Pay_Model!$A$9:$D$40,MATCH(TEXT(A220,"dd"),Monthly_Pay_Model!$C$9:$C$39,0),4),INDEX(Monthly_Pay_Model!$A$9:$D$40,MATCH(TEXT(A221,"dd"),Monthly_Pay_Model!$C$9:$C$39,0),4),INDEX(Monthly_Pay_Model!$A$9:$D$40,MATCH(TEXT(A222,"dd"),Monthly_Pay_Model!$C$9:$C$39,0),4)),IF(VLOOKUP(A219,Calendar!$A$1:$R$1377,18,0)=5,SUM(INDEX(Monthly_Pay_Model!$A$9:$D$40,MATCH(TEXT(A219,"dd"),Monthly_Pay_Model!$C$9:$C$39,0),4),INDEX(Monthly_Pay_Model!$A$9:$D$40,MATCH(TEXT(A220,"dd"),Monthly_Pay_Model!$C$9:$C$39,0),4),INDEX(Monthly_Pay_Model!$A$9:$D$40,MATCH(TEXT(A221,"dd"),Monthly_Pay_Model!$C$9:$C$39,0),4),INDEX(Monthly_Pay_Model!$A$9:$D$40,MATCH(TEXT(A222,"dd"),Monthly_Pay_Model!$C$9:$C$39,0),4),INDEX(Monthly_Pay_Model!$A$9:$D$40,MATCH(TEXT(A223,"dd"),Monthly_Pay_Model!$C$9:$C$39,0),4)),))))))</f>
        <v>0</v>
      </c>
      <c r="J219" s="33">
        <f>IF(C219="Yes",Monthly_Pay_Model!$D$2,0)
+IF(Calendar!N219="Yes",Monthly_Pay_Model!$D$3,0)
+IF(D219="Yes",Monthly_Pay_Model!$D$4,0)
+IF(E219="Yes",Monthly_Pay_Model!$D$5,0)</f>
        <v>0</v>
      </c>
      <c r="K219" s="27">
        <f>IF(VLOOKUP($A219,Calendar!$A$1:$R$1377,18,0)=0,0,IF(VLOOKUP($A219,Calendar!$A$1:$R$1377,18,0)=1,IFERROR(INDEX(Weekly_Model!$D$2:$D$9,MATCH(F219,Weekly_Model!$A$2:$A$9,0)),0),IF(VLOOKUP($A219,Calendar!$A$1:$R$1377,18,0)=2,SUM(IFERROR(INDEX(Weekly_Model!$D$2:$D$9,MATCH(F219,Weekly_Model!$A$2:$A$9,0)),0),IFERROR(INDEX(Weekly_Model!$D$2:$D$9,MATCH(F220,Weekly_Model!$A$2:$A$9,0)),0)),IF(VLOOKUP($A219,Calendar!$A$1:$R$1377,18,0)=3,SUM(IFERROR(INDEX(Weekly_Model!$D$2:$D$9,MATCH(F219,Weekly_Model!$A$2:$A$9,0)),0),IFERROR(INDEX(Weekly_Model!$D$2:$D$9,MATCH(F220,Weekly_Model!$A$2:$A$9,0)),0),IFERROR(INDEX(Weekly_Model!$D$2:$D$9,MATCH(F221,Weekly_Model!$A$2:$A$9,0)),0)),IF(VLOOKUP($A219,Calendar!$A$1:$R$1377,18,0)=4,SUM(IFERROR(INDEX(Weekly_Model!$D$2:$D$9,MATCH(F219,Weekly_Model!$A$2:$A$9,0)),0),IFERROR(INDEX(Weekly_Model!$D$2:$D$9,MATCH(F220,Weekly_Model!$A$2:$A$9,0)),0),IFERROR(INDEX(Weekly_Model!$D$2:$D$9,MATCH(F221,Weekly_Model!$A$2:$A$9,0)),0),IFERROR(INDEX(Weekly_Model!$D$2:$D$9,MATCH(F222,Weekly_Model!$A$2:$A$9,0)),0)),IF(VLOOKUP($A219,Calendar!$A$1:$R$1377,18,0)=5,SUM(IFERROR(INDEX(Weekly_Model!$D$2:$D$9,MATCH(F219,Weekly_Model!$A$2:$A$9,0)),0),IFERROR(INDEX(Weekly_Model!$D$2:$D$9,MATCH(F220,Weekly_Model!$A$2:$A$9,0)),0),IFERROR(INDEX(Weekly_Model!$D$2:$D$9,MATCH(F221,Weekly_Model!$A$2:$A$9,0)),0),IFERROR(INDEX(Weekly_Model!$D$2:$D$9,MATCH(F222,Weekly_Model!$A$2:$A$9,0)),0),IFERROR(INDEX(Weekly_Model!$D$2:$D$9,MATCH(F223,Weekly_Model!$A$2:$A$9,0)),0)),0))))))</f>
        <v>0</v>
      </c>
      <c r="L219" s="27">
        <f>IF(VLOOKUP($A219,Calendar!$A$1:$R$1377,18,0)=0,0,IF(VLOOKUP($A219,Calendar!$A$1:$R$1377,18,0)=1,IFERROR(INDEX(Fortnightly_Model!$D$2:$D$15,MATCH(G219,Fortnightly_Model!$B$2:$B$15,0)),0),IF(VLOOKUP($A219,Calendar!$A$1:$R$1377,18,0)=2,SUM(IFERROR(INDEX(Fortnightly_Model!$D$2:$D$15,MATCH(G219,Fortnightly_Model!$B$2:$B$15,0)),0),IFERROR(INDEX(Fortnightly_Model!$D$2:$D$15,MATCH(G220,Fortnightly_Model!$B$2:$B$15,0)),0)),IF(VLOOKUP($A219,Calendar!$A$1:$R$1377,18,0)=3,SUM(IFERROR(INDEX(Fortnightly_Model!$D$2:$D$15,MATCH(G219,Fortnightly_Model!$B$2:$B$15,0)),0),IFERROR(INDEX(Fortnightly_Model!$D$2:$D$15,MATCH(G220,Fortnightly_Model!$B$2:$B$15,0)),0),IFERROR(INDEX(Fortnightly_Model!$D$2:$D$15,MATCH(G221,Fortnightly_Model!$B$2:$B$15,0)),0)),IF(VLOOKUP($A219,Calendar!$A$1:$R$1377,18,0)=4,SUM(IFERROR(INDEX(Fortnightly_Model!$D$2:$D$15,MATCH(G219,Fortnightly_Model!$B$2:$B$15,0)),0),IFERROR(INDEX(Fortnightly_Model!$D$2:$D$15,MATCH(G220,Fortnightly_Model!$B$2:$B$15,0)),0),IFERROR(INDEX(Fortnightly_Model!$D$2:$D$15,MATCH(G221,Fortnightly_Model!$B$2:$B$15,0)),0),IFERROR(INDEX(Fortnightly_Model!$D$2:$D$15,MATCH(G222,Fortnightly_Model!$B$2:$B$15,0)),0)),IF(VLOOKUP($A219,Calendar!$A$1:$R$1377,18,0)=5,SUM(IFERROR(INDEX(Fortnightly_Model!$D$2:$D$15,MATCH(G219,Fortnightly_Model!$B$2:$B$15,0)),0),IFERROR(INDEX(Fortnightly_Model!$D$2:$D$15,MATCH(G220,Fortnightly_Model!$B$2:$B$15,0)),0),IFERROR(INDEX(Fortnightly_Model!$D$2:$D$15,MATCH(G221,Fortnightly_Model!$B$2:$B$15,0)),0),IFERROR(INDEX(Fortnightly_Model!$D$2:$D$15,MATCH(G222,Fortnightly_Model!$B$2:$B$15,0)),0),IFERROR(INDEX(Fortnightly_Model!$D$2:$D$15,MATCH(G223,Fortnightly_Model!$B$2:$B$15,0)),0)),0))))))</f>
        <v>0</v>
      </c>
      <c r="M219" s="27">
        <f>IF(VLOOKUP($A219,Calendar!$A$1:$R$1377,18,0)=0,0,IF(VLOOKUP($A219,Calendar!$A$1:$R$1377,18,0)=1,IFERROR(INDEX(FourWeekly_Model!$D$2:$D$29,MATCH(H219,FourWeekly_Model!$B$2:$B$29,0)),0),IF(VLOOKUP($A219,Calendar!$A$1:$R$1377,18,0)=2,SUM(IFERROR(INDEX(FourWeekly_Model!$D$2:$D$29,MATCH(H219,FourWeekly_Model!$B$2:$B$29,0)),0),IFERROR(INDEX(FourWeekly_Model!$D$2:$D$29,MATCH(H220,FourWeekly_Model!$B$2:$B$29,0)),0)),IF(VLOOKUP($A219,Calendar!$A$1:$R$1377,18,0)=3,SUM(IFERROR(INDEX(FourWeekly_Model!$D$2:$D$29,MATCH(H219,FourWeekly_Model!$B$2:$B$29,0)),0),IFERROR(INDEX(FourWeekly_Model!$D$2:$D$29,MATCH(H220,FourWeekly_Model!$B$2:$B$29,0)),0),IFERROR(INDEX(FourWeekly_Model!$D$2:$D$29,MATCH(H221,FourWeekly_Model!$B$2:$B$29,0)),0)),IF(VLOOKUP($A219,Calendar!$A$1:$R$1377,18,0)=4,SUM(IFERROR(INDEX(FourWeekly_Model!$D$2:$D$29,MATCH(H219,FourWeekly_Model!$B$2:$B$29,0)),0),IFERROR(INDEX(FourWeekly_Model!$D$2:$D$29,MATCH(H220,FourWeekly_Model!$B$2:$B$29,0)),0),IFERROR(INDEX(FourWeekly_Model!$D$2:$D$29,MATCH(H221,FourWeekly_Model!$B$2:$B$29,0)),0),IFERROR(INDEX(FourWeekly_Model!$D$2:$D$29,MATCH(H222,FourWeekly_Model!$B$2:$B$29,0)),0)),IF(VLOOKUP($A219,Calendar!$A$1:$R$1377,18,0)=5,SUM(IFERROR(INDEX(FourWeekly_Model!$D$2:$D$29,MATCH(H219,FourWeekly_Model!$B$2:$B$29,0)),0),IFERROR(INDEX(FourWeekly_Model!$D$2:$D$29,MATCH(H220,FourWeekly_Model!$B$2:$B$29,0)),0),IFERROR(INDEX(FourWeekly_Model!$D$2:$D$29,MATCH(H221,FourWeekly_Model!$B$2:$B$29,0)),0),IFERROR(INDEX(FourWeekly_Model!$D$2:$D$29,MATCH(H222,FourWeekly_Model!$B$2:$B$29,0)),0),IFERROR(INDEX(FourWeekly_Model!$D$2:$D$29,MATCH(H223,FourWeekly_Model!$B$2:$B$29,0)),0)),0))))))</f>
        <v>0</v>
      </c>
      <c r="N219" s="27">
        <f>SUM(I219:M219)</f>
        <v>0</v>
      </c>
      <c r="O219" s="28">
        <f>Population_Data!$B$8*N219</f>
        <v>0</v>
      </c>
      <c r="P219" s="27">
        <f>IF(VLOOKUP($A219,Calendar!$A$1:$R$1377,18,0)=0,0,IF(VLOOKUP($A219,Calendar!$A$1:$R$1377,18,0)=1,IFERROR(INDEX(Pension_Model!$D$2:$D$29,MATCH(H219,Pension_Model!$B$2:$B$29,0)),0),IF(VLOOKUP($A219,Calendar!$A$1:$R$1377,18,0)=2,SUM(IFERROR(INDEX(Pension_Model!$D$2:$D$29,MATCH(H219,Pension_Model!$B$2:$B$29,0)),0),IFERROR(INDEX(Pension_Model!$D$2:$D$29,MATCH(H220,Pension_Model!$B$2:$B$29,0)),0)),IF(VLOOKUP($A219,Calendar!$A$1:$R$1377,18,0)=3,SUM(IFERROR(INDEX(Pension_Model!$D$2:$D$29,MATCH(H219,Pension_Model!$B$2:$B$29,0)),0),IFERROR(INDEX(Pension_Model!$D$2:$D$29,MATCH(H220,Pension_Model!$B$2:$B$29,0)),0),IFERROR(INDEX(Pension_Model!$D$2:$D$29,MATCH(H221,Pension_Model!$B$2:$B$29,0)),0)),IF(VLOOKUP($A219,Calendar!$A$1:$R$1377,18,0)=4,SUM(IFERROR(INDEX(Pension_Model!$D$2:$D$29,MATCH(H219,Pension_Model!$B$2:$B$29,0)),0),IFERROR(INDEX(Pension_Model!$D$2:$D$29,MATCH(H220,Pension_Model!$B$2:$B$29,0)),0),IFERROR(INDEX(Pension_Model!$D$2:$D$29,MATCH(H221,Pension_Model!$B$2:$B$29,0)),0),IFERROR(INDEX(Pension_Model!$D$2:$D$29,MATCH(H222,Pension_Model!$B$2:$B$29,0)),0)),IF(VLOOKUP($A219,Calendar!$A$1:$R$1377,18,0)=5,SUM(IFERROR(INDEX(Pension_Model!$D$2:$D$29,MATCH(H219,Pension_Model!$B$2:$B$29,0)),0),IFERROR(INDEX(Pension_Model!$D$2:$D$29,MATCH(H220,Pension_Model!$B$2:$B$29,0)),0),IFERROR(INDEX(Pension_Model!$D$2:$D$29,MATCH(H221,Pension_Model!$B$2:$B$29,0)),0),IFERROR(INDEX(Pension_Model!$D$2:$D$29,MATCH(H222,Pension_Model!$B$2:$B$29,0)),0),IFERROR(INDEX(Pension_Model!$D$2:$D$29,MATCH(H223,Pension_Model!$B$2:$B$29,0)),0)),0))))))</f>
        <v>0</v>
      </c>
      <c r="Q219" s="28">
        <f>Population_Data!$B$15*P219</f>
        <v>0</v>
      </c>
      <c r="S219">
        <f t="shared" si="3"/>
        <v>0</v>
      </c>
      <c r="U219" s="33">
        <f>S219/Population_Data!$B$19</f>
        <v>0</v>
      </c>
    </row>
    <row r="220" spans="1:21">
      <c r="A220" s="25">
        <f>Calendar!A220</f>
        <v>46453</v>
      </c>
      <c r="B220" t="str">
        <f>Calendar!L220</f>
        <v>No</v>
      </c>
      <c r="C220" t="str">
        <f>Calendar!O220</f>
        <v>No</v>
      </c>
      <c r="D220" t="str">
        <f>Calendar!P220</f>
        <v>No</v>
      </c>
      <c r="E220" t="str">
        <f>Calendar!Q220</f>
        <v>No</v>
      </c>
      <c r="F220" t="str">
        <f>Calendar!I220</f>
        <v>Sunday</v>
      </c>
      <c r="G220">
        <f>Calendar!S220</f>
        <v>1</v>
      </c>
      <c r="H220">
        <f>Calendar!T220</f>
        <v>1</v>
      </c>
      <c r="I220" s="27">
        <f>IF(VLOOKUP(A220,Calendar!$A$1:$R$1377,18,0)=0,0,IF(VLOOKUP(A220,Calendar!$A$1:$R$1377,18,0)=1,INDEX(Monthly_Pay_Model!$A$9:$D$40,MATCH(TEXT(A220,"dd"),Monthly_Pay_Model!$C$9:$C$39,0),4),IF(VLOOKUP(A220,Calendar!$A$1:$R$1377,18,0)=2,SUM(INDEX(Monthly_Pay_Model!$A$9:$D$40,MATCH(TEXT(A220,"dd"),Monthly_Pay_Model!$C$9:$C$39,0),4),INDEX(Monthly_Pay_Model!$A$9:$D$40,MATCH(TEXT(A221,"dd"),Monthly_Pay_Model!$C$9:$C$39,0),4)),IF(VLOOKUP(A220,Calendar!$A$1:$R$1377,18,0)=3,SUM(INDEX(Monthly_Pay_Model!$A$9:$D$40,MATCH(TEXT(A220,"dd"),Monthly_Pay_Model!$C$9:$C$39,0),4),INDEX(Monthly_Pay_Model!$A$9:$D$40,MATCH(TEXT(A221,"dd"),Monthly_Pay_Model!$C$9:$C$39,0),4),INDEX(Monthly_Pay_Model!$A$9:$D$40,MATCH(TEXT(A222,"dd"),Monthly_Pay_Model!$C$9:$C$39,0),4)),IF(VLOOKUP(A220,Calendar!$A$1:$R$1377,18,0)=4,SUM(INDEX(Monthly_Pay_Model!$A$9:$D$40,MATCH(TEXT(A220,"dd"),Monthly_Pay_Model!$C$9:$C$39,0),4),INDEX(Monthly_Pay_Model!$A$9:$D$40,MATCH(TEXT(A221,"dd"),Monthly_Pay_Model!$C$9:$C$39,0),4),INDEX(Monthly_Pay_Model!$A$9:$D$40,MATCH(TEXT(A222,"dd"),Monthly_Pay_Model!$C$9:$C$39,0),4),INDEX(Monthly_Pay_Model!$A$9:$D$40,MATCH(TEXT(A223,"dd"),Monthly_Pay_Model!$C$9:$C$39,0),4)),IF(VLOOKUP(A220,Calendar!$A$1:$R$1377,18,0)=5,SUM(INDEX(Monthly_Pay_Model!$A$9:$D$40,MATCH(TEXT(A220,"dd"),Monthly_Pay_Model!$C$9:$C$39,0),4),INDEX(Monthly_Pay_Model!$A$9:$D$40,MATCH(TEXT(A221,"dd"),Monthly_Pay_Model!$C$9:$C$39,0),4),INDEX(Monthly_Pay_Model!$A$9:$D$40,MATCH(TEXT(A222,"dd"),Monthly_Pay_Model!$C$9:$C$39,0),4),INDEX(Monthly_Pay_Model!$A$9:$D$40,MATCH(TEXT(A223,"dd"),Monthly_Pay_Model!$C$9:$C$39,0),4),INDEX(Monthly_Pay_Model!$A$9:$D$40,MATCH(TEXT(A224,"dd"),Monthly_Pay_Model!$C$9:$C$39,0),4)),))))))</f>
        <v>0</v>
      </c>
      <c r="J220" s="33">
        <f>IF(C220="Yes",Monthly_Pay_Model!$D$2,0)
+IF(Calendar!N220="Yes",Monthly_Pay_Model!$D$3,0)
+IF(D220="Yes",Monthly_Pay_Model!$D$4,0)
+IF(E220="Yes",Monthly_Pay_Model!$D$5,0)</f>
        <v>0</v>
      </c>
      <c r="K220" s="27">
        <f>IF(VLOOKUP($A220,Calendar!$A$1:$R$1377,18,0)=0,0,IF(VLOOKUP($A220,Calendar!$A$1:$R$1377,18,0)=1,IFERROR(INDEX(Weekly_Model!$D$2:$D$9,MATCH(F220,Weekly_Model!$A$2:$A$9,0)),0),IF(VLOOKUP($A220,Calendar!$A$1:$R$1377,18,0)=2,SUM(IFERROR(INDEX(Weekly_Model!$D$2:$D$9,MATCH(F220,Weekly_Model!$A$2:$A$9,0)),0),IFERROR(INDEX(Weekly_Model!$D$2:$D$9,MATCH(F221,Weekly_Model!$A$2:$A$9,0)),0)),IF(VLOOKUP($A220,Calendar!$A$1:$R$1377,18,0)=3,SUM(IFERROR(INDEX(Weekly_Model!$D$2:$D$9,MATCH(F220,Weekly_Model!$A$2:$A$9,0)),0),IFERROR(INDEX(Weekly_Model!$D$2:$D$9,MATCH(F221,Weekly_Model!$A$2:$A$9,0)),0),IFERROR(INDEX(Weekly_Model!$D$2:$D$9,MATCH(F222,Weekly_Model!$A$2:$A$9,0)),0)),IF(VLOOKUP($A220,Calendar!$A$1:$R$1377,18,0)=4,SUM(IFERROR(INDEX(Weekly_Model!$D$2:$D$9,MATCH(F220,Weekly_Model!$A$2:$A$9,0)),0),IFERROR(INDEX(Weekly_Model!$D$2:$D$9,MATCH(F221,Weekly_Model!$A$2:$A$9,0)),0),IFERROR(INDEX(Weekly_Model!$D$2:$D$9,MATCH(F222,Weekly_Model!$A$2:$A$9,0)),0),IFERROR(INDEX(Weekly_Model!$D$2:$D$9,MATCH(F223,Weekly_Model!$A$2:$A$9,0)),0)),IF(VLOOKUP($A220,Calendar!$A$1:$R$1377,18,0)=5,SUM(IFERROR(INDEX(Weekly_Model!$D$2:$D$9,MATCH(F220,Weekly_Model!$A$2:$A$9,0)),0),IFERROR(INDEX(Weekly_Model!$D$2:$D$9,MATCH(F221,Weekly_Model!$A$2:$A$9,0)),0),IFERROR(INDEX(Weekly_Model!$D$2:$D$9,MATCH(F222,Weekly_Model!$A$2:$A$9,0)),0),IFERROR(INDEX(Weekly_Model!$D$2:$D$9,MATCH(F223,Weekly_Model!$A$2:$A$9,0)),0),IFERROR(INDEX(Weekly_Model!$D$2:$D$9,MATCH(F224,Weekly_Model!$A$2:$A$9,0)),0)),0))))))</f>
        <v>0</v>
      </c>
      <c r="L220" s="27">
        <f>IF(VLOOKUP($A220,Calendar!$A$1:$R$1377,18,0)=0,0,IF(VLOOKUP($A220,Calendar!$A$1:$R$1377,18,0)=1,IFERROR(INDEX(Fortnightly_Model!$D$2:$D$15,MATCH(G220,Fortnightly_Model!$B$2:$B$15,0)),0),IF(VLOOKUP($A220,Calendar!$A$1:$R$1377,18,0)=2,SUM(IFERROR(INDEX(Fortnightly_Model!$D$2:$D$15,MATCH(G220,Fortnightly_Model!$B$2:$B$15,0)),0),IFERROR(INDEX(Fortnightly_Model!$D$2:$D$15,MATCH(G221,Fortnightly_Model!$B$2:$B$15,0)),0)),IF(VLOOKUP($A220,Calendar!$A$1:$R$1377,18,0)=3,SUM(IFERROR(INDEX(Fortnightly_Model!$D$2:$D$15,MATCH(G220,Fortnightly_Model!$B$2:$B$15,0)),0),IFERROR(INDEX(Fortnightly_Model!$D$2:$D$15,MATCH(G221,Fortnightly_Model!$B$2:$B$15,0)),0),IFERROR(INDEX(Fortnightly_Model!$D$2:$D$15,MATCH(G222,Fortnightly_Model!$B$2:$B$15,0)),0)),IF(VLOOKUP($A220,Calendar!$A$1:$R$1377,18,0)=4,SUM(IFERROR(INDEX(Fortnightly_Model!$D$2:$D$15,MATCH(G220,Fortnightly_Model!$B$2:$B$15,0)),0),IFERROR(INDEX(Fortnightly_Model!$D$2:$D$15,MATCH(G221,Fortnightly_Model!$B$2:$B$15,0)),0),IFERROR(INDEX(Fortnightly_Model!$D$2:$D$15,MATCH(G222,Fortnightly_Model!$B$2:$B$15,0)),0),IFERROR(INDEX(Fortnightly_Model!$D$2:$D$15,MATCH(G223,Fortnightly_Model!$B$2:$B$15,0)),0)),IF(VLOOKUP($A220,Calendar!$A$1:$R$1377,18,0)=5,SUM(IFERROR(INDEX(Fortnightly_Model!$D$2:$D$15,MATCH(G220,Fortnightly_Model!$B$2:$B$15,0)),0),IFERROR(INDEX(Fortnightly_Model!$D$2:$D$15,MATCH(G221,Fortnightly_Model!$B$2:$B$15,0)),0),IFERROR(INDEX(Fortnightly_Model!$D$2:$D$15,MATCH(G222,Fortnightly_Model!$B$2:$B$15,0)),0),IFERROR(INDEX(Fortnightly_Model!$D$2:$D$15,MATCH(G223,Fortnightly_Model!$B$2:$B$15,0)),0),IFERROR(INDEX(Fortnightly_Model!$D$2:$D$15,MATCH(G224,Fortnightly_Model!$B$2:$B$15,0)),0)),0))))))</f>
        <v>0</v>
      </c>
      <c r="M220" s="27">
        <f>IF(VLOOKUP($A220,Calendar!$A$1:$R$1377,18,0)=0,0,IF(VLOOKUP($A220,Calendar!$A$1:$R$1377,18,0)=1,IFERROR(INDEX(FourWeekly_Model!$D$2:$D$29,MATCH(H220,FourWeekly_Model!$B$2:$B$29,0)),0),IF(VLOOKUP($A220,Calendar!$A$1:$R$1377,18,0)=2,SUM(IFERROR(INDEX(FourWeekly_Model!$D$2:$D$29,MATCH(H220,FourWeekly_Model!$B$2:$B$29,0)),0),IFERROR(INDEX(FourWeekly_Model!$D$2:$D$29,MATCH(H221,FourWeekly_Model!$B$2:$B$29,0)),0)),IF(VLOOKUP($A220,Calendar!$A$1:$R$1377,18,0)=3,SUM(IFERROR(INDEX(FourWeekly_Model!$D$2:$D$29,MATCH(H220,FourWeekly_Model!$B$2:$B$29,0)),0),IFERROR(INDEX(FourWeekly_Model!$D$2:$D$29,MATCH(H221,FourWeekly_Model!$B$2:$B$29,0)),0),IFERROR(INDEX(FourWeekly_Model!$D$2:$D$29,MATCH(H222,FourWeekly_Model!$B$2:$B$29,0)),0)),IF(VLOOKUP($A220,Calendar!$A$1:$R$1377,18,0)=4,SUM(IFERROR(INDEX(FourWeekly_Model!$D$2:$D$29,MATCH(H220,FourWeekly_Model!$B$2:$B$29,0)),0),IFERROR(INDEX(FourWeekly_Model!$D$2:$D$29,MATCH(H221,FourWeekly_Model!$B$2:$B$29,0)),0),IFERROR(INDEX(FourWeekly_Model!$D$2:$D$29,MATCH(H222,FourWeekly_Model!$B$2:$B$29,0)),0),IFERROR(INDEX(FourWeekly_Model!$D$2:$D$29,MATCH(H223,FourWeekly_Model!$B$2:$B$29,0)),0)),IF(VLOOKUP($A220,Calendar!$A$1:$R$1377,18,0)=5,SUM(IFERROR(INDEX(FourWeekly_Model!$D$2:$D$29,MATCH(H220,FourWeekly_Model!$B$2:$B$29,0)),0),IFERROR(INDEX(FourWeekly_Model!$D$2:$D$29,MATCH(H221,FourWeekly_Model!$B$2:$B$29,0)),0),IFERROR(INDEX(FourWeekly_Model!$D$2:$D$29,MATCH(H222,FourWeekly_Model!$B$2:$B$29,0)),0),IFERROR(INDEX(FourWeekly_Model!$D$2:$D$29,MATCH(H223,FourWeekly_Model!$B$2:$B$29,0)),0),IFERROR(INDEX(FourWeekly_Model!$D$2:$D$29,MATCH(H224,FourWeekly_Model!$B$2:$B$29,0)),0)),0))))))</f>
        <v>0</v>
      </c>
      <c r="N220" s="27">
        <f>SUM(I220:M220)</f>
        <v>0</v>
      </c>
      <c r="O220" s="28">
        <f>Population_Data!$B$8*N220</f>
        <v>0</v>
      </c>
      <c r="P220" s="27">
        <f>IF(VLOOKUP($A220,Calendar!$A$1:$R$1377,18,0)=0,0,IF(VLOOKUP($A220,Calendar!$A$1:$R$1377,18,0)=1,IFERROR(INDEX(Pension_Model!$D$2:$D$29,MATCH(H220,Pension_Model!$B$2:$B$29,0)),0),IF(VLOOKUP($A220,Calendar!$A$1:$R$1377,18,0)=2,SUM(IFERROR(INDEX(Pension_Model!$D$2:$D$29,MATCH(H220,Pension_Model!$B$2:$B$29,0)),0),IFERROR(INDEX(Pension_Model!$D$2:$D$29,MATCH(H221,Pension_Model!$B$2:$B$29,0)),0)),IF(VLOOKUP($A220,Calendar!$A$1:$R$1377,18,0)=3,SUM(IFERROR(INDEX(Pension_Model!$D$2:$D$29,MATCH(H220,Pension_Model!$B$2:$B$29,0)),0),IFERROR(INDEX(Pension_Model!$D$2:$D$29,MATCH(H221,Pension_Model!$B$2:$B$29,0)),0),IFERROR(INDEX(Pension_Model!$D$2:$D$29,MATCH(H222,Pension_Model!$B$2:$B$29,0)),0)),IF(VLOOKUP($A220,Calendar!$A$1:$R$1377,18,0)=4,SUM(IFERROR(INDEX(Pension_Model!$D$2:$D$29,MATCH(H220,Pension_Model!$B$2:$B$29,0)),0),IFERROR(INDEX(Pension_Model!$D$2:$D$29,MATCH(H221,Pension_Model!$B$2:$B$29,0)),0),IFERROR(INDEX(Pension_Model!$D$2:$D$29,MATCH(H222,Pension_Model!$B$2:$B$29,0)),0),IFERROR(INDEX(Pension_Model!$D$2:$D$29,MATCH(H223,Pension_Model!$B$2:$B$29,0)),0)),IF(VLOOKUP($A220,Calendar!$A$1:$R$1377,18,0)=5,SUM(IFERROR(INDEX(Pension_Model!$D$2:$D$29,MATCH(H220,Pension_Model!$B$2:$B$29,0)),0),IFERROR(INDEX(Pension_Model!$D$2:$D$29,MATCH(H221,Pension_Model!$B$2:$B$29,0)),0),IFERROR(INDEX(Pension_Model!$D$2:$D$29,MATCH(H222,Pension_Model!$B$2:$B$29,0)),0),IFERROR(INDEX(Pension_Model!$D$2:$D$29,MATCH(H223,Pension_Model!$B$2:$B$29,0)),0),IFERROR(INDEX(Pension_Model!$D$2:$D$29,MATCH(H224,Pension_Model!$B$2:$B$29,0)),0)),0))))))</f>
        <v>0</v>
      </c>
      <c r="Q220" s="28">
        <f>Population_Data!$B$15*P220</f>
        <v>0</v>
      </c>
      <c r="S220">
        <f t="shared" si="3"/>
        <v>0</v>
      </c>
      <c r="U220" s="33">
        <f>S220/Population_Data!$B$19</f>
        <v>0</v>
      </c>
    </row>
    <row r="221" spans="1:21">
      <c r="A221" s="25">
        <f>Calendar!A221</f>
        <v>46454</v>
      </c>
      <c r="B221" t="str">
        <f>Calendar!L221</f>
        <v>Yes</v>
      </c>
      <c r="C221" t="str">
        <f>Calendar!O221</f>
        <v>No</v>
      </c>
      <c r="D221" t="str">
        <f>Calendar!P221</f>
        <v>No</v>
      </c>
      <c r="E221" t="str">
        <f>Calendar!Q221</f>
        <v>No</v>
      </c>
      <c r="F221" t="str">
        <f>Calendar!I221</f>
        <v>Monday</v>
      </c>
      <c r="G221">
        <f>Calendar!S221</f>
        <v>2</v>
      </c>
      <c r="H221">
        <f>Calendar!T221</f>
        <v>2</v>
      </c>
      <c r="I221" s="27">
        <f>IF(VLOOKUP(A221,Calendar!$A$1:$R$1377,18,0)=0,0,IF(VLOOKUP(A221,Calendar!$A$1:$R$1377,18,0)=1,INDEX(Monthly_Pay_Model!$A$9:$D$40,MATCH(TEXT(A221,"dd"),Monthly_Pay_Model!$C$9:$C$39,0),4),IF(VLOOKUP(A221,Calendar!$A$1:$R$1377,18,0)=2,SUM(INDEX(Monthly_Pay_Model!$A$9:$D$40,MATCH(TEXT(A221,"dd"),Monthly_Pay_Model!$C$9:$C$39,0),4),INDEX(Monthly_Pay_Model!$A$9:$D$40,MATCH(TEXT(A222,"dd"),Monthly_Pay_Model!$C$9:$C$39,0),4)),IF(VLOOKUP(A221,Calendar!$A$1:$R$1377,18,0)=3,SUM(INDEX(Monthly_Pay_Model!$A$9:$D$40,MATCH(TEXT(A221,"dd"),Monthly_Pay_Model!$C$9:$C$39,0),4),INDEX(Monthly_Pay_Model!$A$9:$D$40,MATCH(TEXT(A222,"dd"),Monthly_Pay_Model!$C$9:$C$39,0),4),INDEX(Monthly_Pay_Model!$A$9:$D$40,MATCH(TEXT(A223,"dd"),Monthly_Pay_Model!$C$9:$C$39,0),4)),IF(VLOOKUP(A221,Calendar!$A$1:$R$1377,18,0)=4,SUM(INDEX(Monthly_Pay_Model!$A$9:$D$40,MATCH(TEXT(A221,"dd"),Monthly_Pay_Model!$C$9:$C$39,0),4),INDEX(Monthly_Pay_Model!$A$9:$D$40,MATCH(TEXT(A222,"dd"),Monthly_Pay_Model!$C$9:$C$39,0),4),INDEX(Monthly_Pay_Model!$A$9:$D$40,MATCH(TEXT(A223,"dd"),Monthly_Pay_Model!$C$9:$C$39,0),4),INDEX(Monthly_Pay_Model!$A$9:$D$40,MATCH(TEXT(A224,"dd"),Monthly_Pay_Model!$C$9:$C$39,0),4)),IF(VLOOKUP(A221,Calendar!$A$1:$R$1377,18,0)=5,SUM(INDEX(Monthly_Pay_Model!$A$9:$D$40,MATCH(TEXT(A221,"dd"),Monthly_Pay_Model!$C$9:$C$39,0),4),INDEX(Monthly_Pay_Model!$A$9:$D$40,MATCH(TEXT(A222,"dd"),Monthly_Pay_Model!$C$9:$C$39,0),4),INDEX(Monthly_Pay_Model!$A$9:$D$40,MATCH(TEXT(A223,"dd"),Monthly_Pay_Model!$C$9:$C$39,0),4),INDEX(Monthly_Pay_Model!$A$9:$D$40,MATCH(TEXT(A224,"dd"),Monthly_Pay_Model!$C$9:$C$39,0),4),INDEX(Monthly_Pay_Model!$A$9:$D$40,MATCH(TEXT(A225,"dd"),Monthly_Pay_Model!$C$9:$C$39,0),4)),))))))</f>
        <v>1.6251308900523558E-3</v>
      </c>
      <c r="J221" s="33">
        <f>IF(C221="Yes",Monthly_Pay_Model!$D$2,0)
+IF(Calendar!N221="Yes",Monthly_Pay_Model!$D$3,0)
+IF(D221="Yes",Monthly_Pay_Model!$D$4,0)
+IF(E221="Yes",Monthly_Pay_Model!$D$5,0)</f>
        <v>0</v>
      </c>
      <c r="K221" s="27">
        <f>IF(VLOOKUP($A221,Calendar!$A$1:$R$1377,18,0)=0,0,IF(VLOOKUP($A221,Calendar!$A$1:$R$1377,18,0)=1,IFERROR(INDEX(Weekly_Model!$D$2:$D$9,MATCH(F221,Weekly_Model!$A$2:$A$9,0)),0),IF(VLOOKUP($A221,Calendar!$A$1:$R$1377,18,0)=2,SUM(IFERROR(INDEX(Weekly_Model!$D$2:$D$9,MATCH(F221,Weekly_Model!$A$2:$A$9,0)),0),IFERROR(INDEX(Weekly_Model!$D$2:$D$9,MATCH(F222,Weekly_Model!$A$2:$A$9,0)),0)),IF(VLOOKUP($A221,Calendar!$A$1:$R$1377,18,0)=3,SUM(IFERROR(INDEX(Weekly_Model!$D$2:$D$9,MATCH(F221,Weekly_Model!$A$2:$A$9,0)),0),IFERROR(INDEX(Weekly_Model!$D$2:$D$9,MATCH(F222,Weekly_Model!$A$2:$A$9,0)),0),IFERROR(INDEX(Weekly_Model!$D$2:$D$9,MATCH(F223,Weekly_Model!$A$2:$A$9,0)),0)),IF(VLOOKUP($A221,Calendar!$A$1:$R$1377,18,0)=4,SUM(IFERROR(INDEX(Weekly_Model!$D$2:$D$9,MATCH(F221,Weekly_Model!$A$2:$A$9,0)),0),IFERROR(INDEX(Weekly_Model!$D$2:$D$9,MATCH(F222,Weekly_Model!$A$2:$A$9,0)),0),IFERROR(INDEX(Weekly_Model!$D$2:$D$9,MATCH(F223,Weekly_Model!$A$2:$A$9,0)),0),IFERROR(INDEX(Weekly_Model!$D$2:$D$9,MATCH(F224,Weekly_Model!$A$2:$A$9,0)),0)),IF(VLOOKUP($A221,Calendar!$A$1:$R$1377,18,0)=5,SUM(IFERROR(INDEX(Weekly_Model!$D$2:$D$9,MATCH(F221,Weekly_Model!$A$2:$A$9,0)),0),IFERROR(INDEX(Weekly_Model!$D$2:$D$9,MATCH(F222,Weekly_Model!$A$2:$A$9,0)),0),IFERROR(INDEX(Weekly_Model!$D$2:$D$9,MATCH(F223,Weekly_Model!$A$2:$A$9,0)),0),IFERROR(INDEX(Weekly_Model!$D$2:$D$9,MATCH(F224,Weekly_Model!$A$2:$A$9,0)),0),IFERROR(INDEX(Weekly_Model!$D$2:$D$9,MATCH(F225,Weekly_Model!$A$2:$A$9,0)),0)),0))))))</f>
        <v>2.3200000000000002E-2</v>
      </c>
      <c r="L221" s="27">
        <f>IF(VLOOKUP($A221,Calendar!$A$1:$R$1377,18,0)=0,0,IF(VLOOKUP($A221,Calendar!$A$1:$R$1377,18,0)=1,IFERROR(INDEX(Fortnightly_Model!$D$2:$D$15,MATCH(G221,Fortnightly_Model!$B$2:$B$15,0)),0),IF(VLOOKUP($A221,Calendar!$A$1:$R$1377,18,0)=2,SUM(IFERROR(INDEX(Fortnightly_Model!$D$2:$D$15,MATCH(G221,Fortnightly_Model!$B$2:$B$15,0)),0),IFERROR(INDEX(Fortnightly_Model!$D$2:$D$15,MATCH(G222,Fortnightly_Model!$B$2:$B$15,0)),0)),IF(VLOOKUP($A221,Calendar!$A$1:$R$1377,18,0)=3,SUM(IFERROR(INDEX(Fortnightly_Model!$D$2:$D$15,MATCH(G221,Fortnightly_Model!$B$2:$B$15,0)),0),IFERROR(INDEX(Fortnightly_Model!$D$2:$D$15,MATCH(G222,Fortnightly_Model!$B$2:$B$15,0)),0),IFERROR(INDEX(Fortnightly_Model!$D$2:$D$15,MATCH(G223,Fortnightly_Model!$B$2:$B$15,0)),0)),IF(VLOOKUP($A221,Calendar!$A$1:$R$1377,18,0)=4,SUM(IFERROR(INDEX(Fortnightly_Model!$D$2:$D$15,MATCH(G221,Fortnightly_Model!$B$2:$B$15,0)),0),IFERROR(INDEX(Fortnightly_Model!$D$2:$D$15,MATCH(G222,Fortnightly_Model!$B$2:$B$15,0)),0),IFERROR(INDEX(Fortnightly_Model!$D$2:$D$15,MATCH(G223,Fortnightly_Model!$B$2:$B$15,0)),0),IFERROR(INDEX(Fortnightly_Model!$D$2:$D$15,MATCH(G224,Fortnightly_Model!$B$2:$B$15,0)),0)),IF(VLOOKUP($A221,Calendar!$A$1:$R$1377,18,0)=5,SUM(IFERROR(INDEX(Fortnightly_Model!$D$2:$D$15,MATCH(G221,Fortnightly_Model!$B$2:$B$15,0)),0),IFERROR(INDEX(Fortnightly_Model!$D$2:$D$15,MATCH(G222,Fortnightly_Model!$B$2:$B$15,0)),0),IFERROR(INDEX(Fortnightly_Model!$D$2:$D$15,MATCH(G223,Fortnightly_Model!$B$2:$B$15,0)),0),IFERROR(INDEX(Fortnightly_Model!$D$2:$D$15,MATCH(G224,Fortnightly_Model!$B$2:$B$15,0)),0),IFERROR(INDEX(Fortnightly_Model!$D$2:$D$15,MATCH(G225,Fortnightly_Model!$B$2:$B$15,0)),0)),0))))))</f>
        <v>1.0714285499999999E-3</v>
      </c>
      <c r="M221" s="27">
        <f>IF(VLOOKUP($A221,Calendar!$A$1:$R$1377,18,0)=0,0,IF(VLOOKUP($A221,Calendar!$A$1:$R$1377,18,0)=1,IFERROR(INDEX(FourWeekly_Model!$D$2:$D$29,MATCH(H221,FourWeekly_Model!$B$2:$B$29,0)),0),IF(VLOOKUP($A221,Calendar!$A$1:$R$1377,18,0)=2,SUM(IFERROR(INDEX(FourWeekly_Model!$D$2:$D$29,MATCH(H221,FourWeekly_Model!$B$2:$B$29,0)),0),IFERROR(INDEX(FourWeekly_Model!$D$2:$D$29,MATCH(H222,FourWeekly_Model!$B$2:$B$29,0)),0)),IF(VLOOKUP($A221,Calendar!$A$1:$R$1377,18,0)=3,SUM(IFERROR(INDEX(FourWeekly_Model!$D$2:$D$29,MATCH(H221,FourWeekly_Model!$B$2:$B$29,0)),0),IFERROR(INDEX(FourWeekly_Model!$D$2:$D$29,MATCH(H222,FourWeekly_Model!$B$2:$B$29,0)),0),IFERROR(INDEX(FourWeekly_Model!$D$2:$D$29,MATCH(H223,FourWeekly_Model!$B$2:$B$29,0)),0)),IF(VLOOKUP($A221,Calendar!$A$1:$R$1377,18,0)=4,SUM(IFERROR(INDEX(FourWeekly_Model!$D$2:$D$29,MATCH(H221,FourWeekly_Model!$B$2:$B$29,0)),0),IFERROR(INDEX(FourWeekly_Model!$D$2:$D$29,MATCH(H222,FourWeekly_Model!$B$2:$B$29,0)),0),IFERROR(INDEX(FourWeekly_Model!$D$2:$D$29,MATCH(H223,FourWeekly_Model!$B$2:$B$29,0)),0),IFERROR(INDEX(FourWeekly_Model!$D$2:$D$29,MATCH(H224,FourWeekly_Model!$B$2:$B$29,0)),0)),IF(VLOOKUP($A221,Calendar!$A$1:$R$1377,18,0)=5,SUM(IFERROR(INDEX(FourWeekly_Model!$D$2:$D$29,MATCH(H221,FourWeekly_Model!$B$2:$B$29,0)),0),IFERROR(INDEX(FourWeekly_Model!$D$2:$D$29,MATCH(H222,FourWeekly_Model!$B$2:$B$29,0)),0),IFERROR(INDEX(FourWeekly_Model!$D$2:$D$29,MATCH(H223,FourWeekly_Model!$B$2:$B$29,0)),0),IFERROR(INDEX(FourWeekly_Model!$D$2:$D$29,MATCH(H224,FourWeekly_Model!$B$2:$B$29,0)),0),IFERROR(INDEX(FourWeekly_Model!$D$2:$D$29,MATCH(H225,FourWeekly_Model!$B$2:$B$29,0)),0)),0))))))</f>
        <v>3.3214289700000004E-3</v>
      </c>
      <c r="N221" s="27">
        <f>SUM(I221:M221)</f>
        <v>2.921798841005236E-2</v>
      </c>
      <c r="O221" s="28">
        <f>Population_Data!$B$8*N221</f>
        <v>885305.04882458656</v>
      </c>
      <c r="P221" s="27">
        <f>IF(VLOOKUP($A221,Calendar!$A$1:$R$1377,18,0)=0,0,IF(VLOOKUP($A221,Calendar!$A$1:$R$1377,18,0)=1,IFERROR(INDEX(Pension_Model!$D$2:$D$29,MATCH(H221,Pension_Model!$B$2:$B$29,0)),0),IF(VLOOKUP($A221,Calendar!$A$1:$R$1377,18,0)=2,SUM(IFERROR(INDEX(Pension_Model!$D$2:$D$29,MATCH(H221,Pension_Model!$B$2:$B$29,0)),0),IFERROR(INDEX(Pension_Model!$D$2:$D$29,MATCH(H222,Pension_Model!$B$2:$B$29,0)),0)),IF(VLOOKUP($A221,Calendar!$A$1:$R$1377,18,0)=3,SUM(IFERROR(INDEX(Pension_Model!$D$2:$D$29,MATCH(H221,Pension_Model!$B$2:$B$29,0)),0),IFERROR(INDEX(Pension_Model!$D$2:$D$29,MATCH(H222,Pension_Model!$B$2:$B$29,0)),0),IFERROR(INDEX(Pension_Model!$D$2:$D$29,MATCH(H223,Pension_Model!$B$2:$B$29,0)),0)),IF(VLOOKUP($A221,Calendar!$A$1:$R$1377,18,0)=4,SUM(IFERROR(INDEX(Pension_Model!$D$2:$D$29,MATCH(H221,Pension_Model!$B$2:$B$29,0)),0),IFERROR(INDEX(Pension_Model!$D$2:$D$29,MATCH(H222,Pension_Model!$B$2:$B$29,0)),0),IFERROR(INDEX(Pension_Model!$D$2:$D$29,MATCH(H223,Pension_Model!$B$2:$B$29,0)),0),IFERROR(INDEX(Pension_Model!$D$2:$D$29,MATCH(H224,Pension_Model!$B$2:$B$29,0)),0)),IF(VLOOKUP($A221,Calendar!$A$1:$R$1377,18,0)=5,SUM(IFERROR(INDEX(Pension_Model!$D$2:$D$29,MATCH(H221,Pension_Model!$B$2:$B$29,0)),0),IFERROR(INDEX(Pension_Model!$D$2:$D$29,MATCH(H222,Pension_Model!$B$2:$B$29,0)),0),IFERROR(INDEX(Pension_Model!$D$2:$D$29,MATCH(H223,Pension_Model!$B$2:$B$29,0)),0),IFERROR(INDEX(Pension_Model!$D$2:$D$29,MATCH(H224,Pension_Model!$B$2:$B$29,0)),0),IFERROR(INDEX(Pension_Model!$D$2:$D$29,MATCH(H225,Pension_Model!$B$2:$B$29,0)),0)),0))))))</f>
        <v>0.05</v>
      </c>
      <c r="Q221" s="28">
        <f>Population_Data!$B$15*P221</f>
        <v>660600</v>
      </c>
      <c r="S221">
        <f t="shared" si="3"/>
        <v>1545905.0488245864</v>
      </c>
      <c r="U221" s="33">
        <f>S221/Population_Data!$B$19</f>
        <v>2.8005526246822218E-2</v>
      </c>
    </row>
    <row r="222" spans="1:21">
      <c r="A222" s="25">
        <f>Calendar!A222</f>
        <v>46455</v>
      </c>
      <c r="B222" t="str">
        <f>Calendar!L222</f>
        <v>Yes</v>
      </c>
      <c r="C222" t="str">
        <f>Calendar!O222</f>
        <v>No</v>
      </c>
      <c r="D222" t="str">
        <f>Calendar!P222</f>
        <v>No</v>
      </c>
      <c r="E222" t="str">
        <f>Calendar!Q222</f>
        <v>No</v>
      </c>
      <c r="F222" t="str">
        <f>Calendar!I222</f>
        <v>Tuesday</v>
      </c>
      <c r="G222">
        <f>Calendar!S222</f>
        <v>3</v>
      </c>
      <c r="H222">
        <f>Calendar!T222</f>
        <v>3</v>
      </c>
      <c r="I222" s="27">
        <f>IF(VLOOKUP(A222,Calendar!$A$1:$R$1377,18,0)=0,0,IF(VLOOKUP(A222,Calendar!$A$1:$R$1377,18,0)=1,INDEX(Monthly_Pay_Model!$A$9:$D$40,MATCH(TEXT(A222,"dd"),Monthly_Pay_Model!$C$9:$C$39,0),4),IF(VLOOKUP(A222,Calendar!$A$1:$R$1377,18,0)=2,SUM(INDEX(Monthly_Pay_Model!$A$9:$D$40,MATCH(TEXT(A222,"dd"),Monthly_Pay_Model!$C$9:$C$39,0),4),INDEX(Monthly_Pay_Model!$A$9:$D$40,MATCH(TEXT(A223,"dd"),Monthly_Pay_Model!$C$9:$C$39,0),4)),IF(VLOOKUP(A222,Calendar!$A$1:$R$1377,18,0)=3,SUM(INDEX(Monthly_Pay_Model!$A$9:$D$40,MATCH(TEXT(A222,"dd"),Monthly_Pay_Model!$C$9:$C$39,0),4),INDEX(Monthly_Pay_Model!$A$9:$D$40,MATCH(TEXT(A223,"dd"),Monthly_Pay_Model!$C$9:$C$39,0),4),INDEX(Monthly_Pay_Model!$A$9:$D$40,MATCH(TEXT(A224,"dd"),Monthly_Pay_Model!$C$9:$C$39,0),4)),IF(VLOOKUP(A222,Calendar!$A$1:$R$1377,18,0)=4,SUM(INDEX(Monthly_Pay_Model!$A$9:$D$40,MATCH(TEXT(A222,"dd"),Monthly_Pay_Model!$C$9:$C$39,0),4),INDEX(Monthly_Pay_Model!$A$9:$D$40,MATCH(TEXT(A223,"dd"),Monthly_Pay_Model!$C$9:$C$39,0),4),INDEX(Monthly_Pay_Model!$A$9:$D$40,MATCH(TEXT(A224,"dd"),Monthly_Pay_Model!$C$9:$C$39,0),4),INDEX(Monthly_Pay_Model!$A$9:$D$40,MATCH(TEXT(A225,"dd"),Monthly_Pay_Model!$C$9:$C$39,0),4)),IF(VLOOKUP(A222,Calendar!$A$1:$R$1377,18,0)=5,SUM(INDEX(Monthly_Pay_Model!$A$9:$D$40,MATCH(TEXT(A222,"dd"),Monthly_Pay_Model!$C$9:$C$39,0),4),INDEX(Monthly_Pay_Model!$A$9:$D$40,MATCH(TEXT(A223,"dd"),Monthly_Pay_Model!$C$9:$C$39,0),4),INDEX(Monthly_Pay_Model!$A$9:$D$40,MATCH(TEXT(A224,"dd"),Monthly_Pay_Model!$C$9:$C$39,0),4),INDEX(Monthly_Pay_Model!$A$9:$D$40,MATCH(TEXT(A225,"dd"),Monthly_Pay_Model!$C$9:$C$39,0),4),INDEX(Monthly_Pay_Model!$A$9:$D$40,MATCH(TEXT(A226,"dd"),Monthly_Pay_Model!$C$9:$C$39,0),4)),))))))</f>
        <v>8.1256544502617792E-4</v>
      </c>
      <c r="J222" s="33">
        <f>IF(C222="Yes",Monthly_Pay_Model!$D$2,0)
+IF(Calendar!N222="Yes",Monthly_Pay_Model!$D$3,0)
+IF(D222="Yes",Monthly_Pay_Model!$D$4,0)
+IF(E222="Yes",Monthly_Pay_Model!$D$5,0)</f>
        <v>0</v>
      </c>
      <c r="K222" s="27">
        <f>IF(VLOOKUP($A222,Calendar!$A$1:$R$1377,18,0)=0,0,IF(VLOOKUP($A222,Calendar!$A$1:$R$1377,18,0)=1,IFERROR(INDEX(Weekly_Model!$D$2:$D$9,MATCH(F222,Weekly_Model!$A$2:$A$9,0)),0),IF(VLOOKUP($A222,Calendar!$A$1:$R$1377,18,0)=2,SUM(IFERROR(INDEX(Weekly_Model!$D$2:$D$9,MATCH(F222,Weekly_Model!$A$2:$A$9,0)),0),IFERROR(INDEX(Weekly_Model!$D$2:$D$9,MATCH(F223,Weekly_Model!$A$2:$A$9,0)),0)),IF(VLOOKUP($A222,Calendar!$A$1:$R$1377,18,0)=3,SUM(IFERROR(INDEX(Weekly_Model!$D$2:$D$9,MATCH(F222,Weekly_Model!$A$2:$A$9,0)),0),IFERROR(INDEX(Weekly_Model!$D$2:$D$9,MATCH(F223,Weekly_Model!$A$2:$A$9,0)),0),IFERROR(INDEX(Weekly_Model!$D$2:$D$9,MATCH(F224,Weekly_Model!$A$2:$A$9,0)),0)),IF(VLOOKUP($A222,Calendar!$A$1:$R$1377,18,0)=4,SUM(IFERROR(INDEX(Weekly_Model!$D$2:$D$9,MATCH(F222,Weekly_Model!$A$2:$A$9,0)),0),IFERROR(INDEX(Weekly_Model!$D$2:$D$9,MATCH(F223,Weekly_Model!$A$2:$A$9,0)),0),IFERROR(INDEX(Weekly_Model!$D$2:$D$9,MATCH(F224,Weekly_Model!$A$2:$A$9,0)),0),IFERROR(INDEX(Weekly_Model!$D$2:$D$9,MATCH(F225,Weekly_Model!$A$2:$A$9,0)),0)),IF(VLOOKUP($A222,Calendar!$A$1:$R$1377,18,0)=5,SUM(IFERROR(INDEX(Weekly_Model!$D$2:$D$9,MATCH(F222,Weekly_Model!$A$2:$A$9,0)),0),IFERROR(INDEX(Weekly_Model!$D$2:$D$9,MATCH(F223,Weekly_Model!$A$2:$A$9,0)),0),IFERROR(INDEX(Weekly_Model!$D$2:$D$9,MATCH(F224,Weekly_Model!$A$2:$A$9,0)),0),IFERROR(INDEX(Weekly_Model!$D$2:$D$9,MATCH(F225,Weekly_Model!$A$2:$A$9,0)),0),IFERROR(INDEX(Weekly_Model!$D$2:$D$9,MATCH(F226,Weekly_Model!$A$2:$A$9,0)),0)),0))))))</f>
        <v>2.3200000000000002E-2</v>
      </c>
      <c r="L222" s="27">
        <f>IF(VLOOKUP($A222,Calendar!$A$1:$R$1377,18,0)=0,0,IF(VLOOKUP($A222,Calendar!$A$1:$R$1377,18,0)=1,IFERROR(INDEX(Fortnightly_Model!$D$2:$D$15,MATCH(G222,Fortnightly_Model!$B$2:$B$15,0)),0),IF(VLOOKUP($A222,Calendar!$A$1:$R$1377,18,0)=2,SUM(IFERROR(INDEX(Fortnightly_Model!$D$2:$D$15,MATCH(G222,Fortnightly_Model!$B$2:$B$15,0)),0),IFERROR(INDEX(Fortnightly_Model!$D$2:$D$15,MATCH(G223,Fortnightly_Model!$B$2:$B$15,0)),0)),IF(VLOOKUP($A222,Calendar!$A$1:$R$1377,18,0)=3,SUM(IFERROR(INDEX(Fortnightly_Model!$D$2:$D$15,MATCH(G222,Fortnightly_Model!$B$2:$B$15,0)),0),IFERROR(INDEX(Fortnightly_Model!$D$2:$D$15,MATCH(G223,Fortnightly_Model!$B$2:$B$15,0)),0),IFERROR(INDEX(Fortnightly_Model!$D$2:$D$15,MATCH(G224,Fortnightly_Model!$B$2:$B$15,0)),0)),IF(VLOOKUP($A222,Calendar!$A$1:$R$1377,18,0)=4,SUM(IFERROR(INDEX(Fortnightly_Model!$D$2:$D$15,MATCH(G222,Fortnightly_Model!$B$2:$B$15,0)),0),IFERROR(INDEX(Fortnightly_Model!$D$2:$D$15,MATCH(G223,Fortnightly_Model!$B$2:$B$15,0)),0),IFERROR(INDEX(Fortnightly_Model!$D$2:$D$15,MATCH(G224,Fortnightly_Model!$B$2:$B$15,0)),0),IFERROR(INDEX(Fortnightly_Model!$D$2:$D$15,MATCH(G225,Fortnightly_Model!$B$2:$B$15,0)),0)),IF(VLOOKUP($A222,Calendar!$A$1:$R$1377,18,0)=5,SUM(IFERROR(INDEX(Fortnightly_Model!$D$2:$D$15,MATCH(G222,Fortnightly_Model!$B$2:$B$15,0)),0),IFERROR(INDEX(Fortnightly_Model!$D$2:$D$15,MATCH(G223,Fortnightly_Model!$B$2:$B$15,0)),0),IFERROR(INDEX(Fortnightly_Model!$D$2:$D$15,MATCH(G224,Fortnightly_Model!$B$2:$B$15,0)),0),IFERROR(INDEX(Fortnightly_Model!$D$2:$D$15,MATCH(G225,Fortnightly_Model!$B$2:$B$15,0)),0),IFERROR(INDEX(Fortnightly_Model!$D$2:$D$15,MATCH(G226,Fortnightly_Model!$B$2:$B$15,0)),0)),0))))))</f>
        <v>1.0714285499999999E-3</v>
      </c>
      <c r="M222" s="27">
        <f>IF(VLOOKUP($A222,Calendar!$A$1:$R$1377,18,0)=0,0,IF(VLOOKUP($A222,Calendar!$A$1:$R$1377,18,0)=1,IFERROR(INDEX(FourWeekly_Model!$D$2:$D$29,MATCH(H222,FourWeekly_Model!$B$2:$B$29,0)),0),IF(VLOOKUP($A222,Calendar!$A$1:$R$1377,18,0)=2,SUM(IFERROR(INDEX(FourWeekly_Model!$D$2:$D$29,MATCH(H222,FourWeekly_Model!$B$2:$B$29,0)),0),IFERROR(INDEX(FourWeekly_Model!$D$2:$D$29,MATCH(H223,FourWeekly_Model!$B$2:$B$29,0)),0)),IF(VLOOKUP($A222,Calendar!$A$1:$R$1377,18,0)=3,SUM(IFERROR(INDEX(FourWeekly_Model!$D$2:$D$29,MATCH(H222,FourWeekly_Model!$B$2:$B$29,0)),0),IFERROR(INDEX(FourWeekly_Model!$D$2:$D$29,MATCH(H223,FourWeekly_Model!$B$2:$B$29,0)),0),IFERROR(INDEX(FourWeekly_Model!$D$2:$D$29,MATCH(H224,FourWeekly_Model!$B$2:$B$29,0)),0)),IF(VLOOKUP($A222,Calendar!$A$1:$R$1377,18,0)=4,SUM(IFERROR(INDEX(FourWeekly_Model!$D$2:$D$29,MATCH(H222,FourWeekly_Model!$B$2:$B$29,0)),0),IFERROR(INDEX(FourWeekly_Model!$D$2:$D$29,MATCH(H223,FourWeekly_Model!$B$2:$B$29,0)),0),IFERROR(INDEX(FourWeekly_Model!$D$2:$D$29,MATCH(H224,FourWeekly_Model!$B$2:$B$29,0)),0),IFERROR(INDEX(FourWeekly_Model!$D$2:$D$29,MATCH(H225,FourWeekly_Model!$B$2:$B$29,0)),0)),IF(VLOOKUP($A222,Calendar!$A$1:$R$1377,18,0)=5,SUM(IFERROR(INDEX(FourWeekly_Model!$D$2:$D$29,MATCH(H222,FourWeekly_Model!$B$2:$B$29,0)),0),IFERROR(INDEX(FourWeekly_Model!$D$2:$D$29,MATCH(H223,FourWeekly_Model!$B$2:$B$29,0)),0),IFERROR(INDEX(FourWeekly_Model!$D$2:$D$29,MATCH(H224,FourWeekly_Model!$B$2:$B$29,0)),0),IFERROR(INDEX(FourWeekly_Model!$D$2:$D$29,MATCH(H225,FourWeekly_Model!$B$2:$B$29,0)),0),IFERROR(INDEX(FourWeekly_Model!$D$2:$D$29,MATCH(H226,FourWeekly_Model!$B$2:$B$29,0)),0)),0))))))</f>
        <v>3.3214289700000004E-3</v>
      </c>
      <c r="N222" s="27">
        <f>SUM(I222:M222)</f>
        <v>2.840542296502618E-2</v>
      </c>
      <c r="O222" s="28">
        <f>Population_Data!$B$8*N222</f>
        <v>860684.3158402933</v>
      </c>
      <c r="P222" s="27">
        <f>IF(VLOOKUP($A222,Calendar!$A$1:$R$1377,18,0)=0,0,IF(VLOOKUP($A222,Calendar!$A$1:$R$1377,18,0)=1,IFERROR(INDEX(Pension_Model!$D$2:$D$29,MATCH(H222,Pension_Model!$B$2:$B$29,0)),0),IF(VLOOKUP($A222,Calendar!$A$1:$R$1377,18,0)=2,SUM(IFERROR(INDEX(Pension_Model!$D$2:$D$29,MATCH(H222,Pension_Model!$B$2:$B$29,0)),0),IFERROR(INDEX(Pension_Model!$D$2:$D$29,MATCH(H223,Pension_Model!$B$2:$B$29,0)),0)),IF(VLOOKUP($A222,Calendar!$A$1:$R$1377,18,0)=3,SUM(IFERROR(INDEX(Pension_Model!$D$2:$D$29,MATCH(H222,Pension_Model!$B$2:$B$29,0)),0),IFERROR(INDEX(Pension_Model!$D$2:$D$29,MATCH(H223,Pension_Model!$B$2:$B$29,0)),0),IFERROR(INDEX(Pension_Model!$D$2:$D$29,MATCH(H224,Pension_Model!$B$2:$B$29,0)),0)),IF(VLOOKUP($A222,Calendar!$A$1:$R$1377,18,0)=4,SUM(IFERROR(INDEX(Pension_Model!$D$2:$D$29,MATCH(H222,Pension_Model!$B$2:$B$29,0)),0),IFERROR(INDEX(Pension_Model!$D$2:$D$29,MATCH(H223,Pension_Model!$B$2:$B$29,0)),0),IFERROR(INDEX(Pension_Model!$D$2:$D$29,MATCH(H224,Pension_Model!$B$2:$B$29,0)),0),IFERROR(INDEX(Pension_Model!$D$2:$D$29,MATCH(H225,Pension_Model!$B$2:$B$29,0)),0)),IF(VLOOKUP($A222,Calendar!$A$1:$R$1377,18,0)=5,SUM(IFERROR(INDEX(Pension_Model!$D$2:$D$29,MATCH(H222,Pension_Model!$B$2:$B$29,0)),0),IFERROR(INDEX(Pension_Model!$D$2:$D$29,MATCH(H223,Pension_Model!$B$2:$B$29,0)),0),IFERROR(INDEX(Pension_Model!$D$2:$D$29,MATCH(H224,Pension_Model!$B$2:$B$29,0)),0),IFERROR(INDEX(Pension_Model!$D$2:$D$29,MATCH(H225,Pension_Model!$B$2:$B$29,0)),0),IFERROR(INDEX(Pension_Model!$D$2:$D$29,MATCH(H226,Pension_Model!$B$2:$B$29,0)),0)),0))))))</f>
        <v>0.05</v>
      </c>
      <c r="Q222" s="28">
        <f>Population_Data!$B$15*P222</f>
        <v>660600</v>
      </c>
      <c r="S222">
        <f t="shared" si="3"/>
        <v>1521284.3158402932</v>
      </c>
      <c r="U222" s="33">
        <f>S222/Population_Data!$B$19</f>
        <v>2.7559498475367629E-2</v>
      </c>
    </row>
    <row r="223" spans="1:21">
      <c r="A223" s="25">
        <f>Calendar!A223</f>
        <v>46456</v>
      </c>
      <c r="B223" t="str">
        <f>Calendar!L223</f>
        <v>Yes</v>
      </c>
      <c r="C223" t="str">
        <f>Calendar!O223</f>
        <v>No</v>
      </c>
      <c r="D223" t="str">
        <f>Calendar!P223</f>
        <v>No</v>
      </c>
      <c r="E223" t="str">
        <f>Calendar!Q223</f>
        <v>No</v>
      </c>
      <c r="F223" t="str">
        <f>Calendar!I223</f>
        <v>Wednesday</v>
      </c>
      <c r="G223">
        <f>Calendar!S223</f>
        <v>4</v>
      </c>
      <c r="H223">
        <f>Calendar!T223</f>
        <v>4</v>
      </c>
      <c r="I223" s="27">
        <f>IF(VLOOKUP(A223,Calendar!$A$1:$R$1377,18,0)=0,0,IF(VLOOKUP(A223,Calendar!$A$1:$R$1377,18,0)=1,INDEX(Monthly_Pay_Model!$A$9:$D$40,MATCH(TEXT(A223,"dd"),Monthly_Pay_Model!$C$9:$C$39,0),4),IF(VLOOKUP(A223,Calendar!$A$1:$R$1377,18,0)=2,SUM(INDEX(Monthly_Pay_Model!$A$9:$D$40,MATCH(TEXT(A223,"dd"),Monthly_Pay_Model!$C$9:$C$39,0),4),INDEX(Monthly_Pay_Model!$A$9:$D$40,MATCH(TEXT(A224,"dd"),Monthly_Pay_Model!$C$9:$C$39,0),4)),IF(VLOOKUP(A223,Calendar!$A$1:$R$1377,18,0)=3,SUM(INDEX(Monthly_Pay_Model!$A$9:$D$40,MATCH(TEXT(A223,"dd"),Monthly_Pay_Model!$C$9:$C$39,0),4),INDEX(Monthly_Pay_Model!$A$9:$D$40,MATCH(TEXT(A224,"dd"),Monthly_Pay_Model!$C$9:$C$39,0),4),INDEX(Monthly_Pay_Model!$A$9:$D$40,MATCH(TEXT(A225,"dd"),Monthly_Pay_Model!$C$9:$C$39,0),4)),IF(VLOOKUP(A223,Calendar!$A$1:$R$1377,18,0)=4,SUM(INDEX(Monthly_Pay_Model!$A$9:$D$40,MATCH(TEXT(A223,"dd"),Monthly_Pay_Model!$C$9:$C$39,0),4),INDEX(Monthly_Pay_Model!$A$9:$D$40,MATCH(TEXT(A224,"dd"),Monthly_Pay_Model!$C$9:$C$39,0),4),INDEX(Monthly_Pay_Model!$A$9:$D$40,MATCH(TEXT(A225,"dd"),Monthly_Pay_Model!$C$9:$C$39,0),4),INDEX(Monthly_Pay_Model!$A$9:$D$40,MATCH(TEXT(A226,"dd"),Monthly_Pay_Model!$C$9:$C$39,0),4)),IF(VLOOKUP(A223,Calendar!$A$1:$R$1377,18,0)=5,SUM(INDEX(Monthly_Pay_Model!$A$9:$D$40,MATCH(TEXT(A223,"dd"),Monthly_Pay_Model!$C$9:$C$39,0),4),INDEX(Monthly_Pay_Model!$A$9:$D$40,MATCH(TEXT(A224,"dd"),Monthly_Pay_Model!$C$9:$C$39,0),4),INDEX(Monthly_Pay_Model!$A$9:$D$40,MATCH(TEXT(A225,"dd"),Monthly_Pay_Model!$C$9:$C$39,0),4),INDEX(Monthly_Pay_Model!$A$9:$D$40,MATCH(TEXT(A226,"dd"),Monthly_Pay_Model!$C$9:$C$39,0),4),INDEX(Monthly_Pay_Model!$A$9:$D$40,MATCH(TEXT(A227,"dd"),Monthly_Pay_Model!$C$9:$C$39,0),4)),))))))</f>
        <v>4.8753926701570662E-3</v>
      </c>
      <c r="J223" s="33">
        <f>IF(C223="Yes",Monthly_Pay_Model!$D$2,0)
+IF(Calendar!N223="Yes",Monthly_Pay_Model!$D$3,0)
+IF(D223="Yes",Monthly_Pay_Model!$D$4,0)
+IF(E223="Yes",Monthly_Pay_Model!$D$5,0)</f>
        <v>0</v>
      </c>
      <c r="K223" s="27">
        <f>IF(VLOOKUP($A223,Calendar!$A$1:$R$1377,18,0)=0,0,IF(VLOOKUP($A223,Calendar!$A$1:$R$1377,18,0)=1,IFERROR(INDEX(Weekly_Model!$D$2:$D$9,MATCH(F223,Weekly_Model!$A$2:$A$9,0)),0),IF(VLOOKUP($A223,Calendar!$A$1:$R$1377,18,0)=2,SUM(IFERROR(INDEX(Weekly_Model!$D$2:$D$9,MATCH(F223,Weekly_Model!$A$2:$A$9,0)),0),IFERROR(INDEX(Weekly_Model!$D$2:$D$9,MATCH(F224,Weekly_Model!$A$2:$A$9,0)),0)),IF(VLOOKUP($A223,Calendar!$A$1:$R$1377,18,0)=3,SUM(IFERROR(INDEX(Weekly_Model!$D$2:$D$9,MATCH(F223,Weekly_Model!$A$2:$A$9,0)),0),IFERROR(INDEX(Weekly_Model!$D$2:$D$9,MATCH(F224,Weekly_Model!$A$2:$A$9,0)),0),IFERROR(INDEX(Weekly_Model!$D$2:$D$9,MATCH(F225,Weekly_Model!$A$2:$A$9,0)),0)),IF(VLOOKUP($A223,Calendar!$A$1:$R$1377,18,0)=4,SUM(IFERROR(INDEX(Weekly_Model!$D$2:$D$9,MATCH(F223,Weekly_Model!$A$2:$A$9,0)),0),IFERROR(INDEX(Weekly_Model!$D$2:$D$9,MATCH(F224,Weekly_Model!$A$2:$A$9,0)),0),IFERROR(INDEX(Weekly_Model!$D$2:$D$9,MATCH(F225,Weekly_Model!$A$2:$A$9,0)),0),IFERROR(INDEX(Weekly_Model!$D$2:$D$9,MATCH(F226,Weekly_Model!$A$2:$A$9,0)),0)),IF(VLOOKUP($A223,Calendar!$A$1:$R$1377,18,0)=5,SUM(IFERROR(INDEX(Weekly_Model!$D$2:$D$9,MATCH(F223,Weekly_Model!$A$2:$A$9,0)),0),IFERROR(INDEX(Weekly_Model!$D$2:$D$9,MATCH(F224,Weekly_Model!$A$2:$A$9,0)),0),IFERROR(INDEX(Weekly_Model!$D$2:$D$9,MATCH(F225,Weekly_Model!$A$2:$A$9,0)),0),IFERROR(INDEX(Weekly_Model!$D$2:$D$9,MATCH(F226,Weekly_Model!$A$2:$A$9,0)),0),IFERROR(INDEX(Weekly_Model!$D$2:$D$9,MATCH(F227,Weekly_Model!$A$2:$A$9,0)),0)),0))))))</f>
        <v>2.3200000000000002E-2</v>
      </c>
      <c r="L223" s="27">
        <f>IF(VLOOKUP($A223,Calendar!$A$1:$R$1377,18,0)=0,0,IF(VLOOKUP($A223,Calendar!$A$1:$R$1377,18,0)=1,IFERROR(INDEX(Fortnightly_Model!$D$2:$D$15,MATCH(G223,Fortnightly_Model!$B$2:$B$15,0)),0),IF(VLOOKUP($A223,Calendar!$A$1:$R$1377,18,0)=2,SUM(IFERROR(INDEX(Fortnightly_Model!$D$2:$D$15,MATCH(G223,Fortnightly_Model!$B$2:$B$15,0)),0),IFERROR(INDEX(Fortnightly_Model!$D$2:$D$15,MATCH(G224,Fortnightly_Model!$B$2:$B$15,0)),0)),IF(VLOOKUP($A223,Calendar!$A$1:$R$1377,18,0)=3,SUM(IFERROR(INDEX(Fortnightly_Model!$D$2:$D$15,MATCH(G223,Fortnightly_Model!$B$2:$B$15,0)),0),IFERROR(INDEX(Fortnightly_Model!$D$2:$D$15,MATCH(G224,Fortnightly_Model!$B$2:$B$15,0)),0),IFERROR(INDEX(Fortnightly_Model!$D$2:$D$15,MATCH(G225,Fortnightly_Model!$B$2:$B$15,0)),0)),IF(VLOOKUP($A223,Calendar!$A$1:$R$1377,18,0)=4,SUM(IFERROR(INDEX(Fortnightly_Model!$D$2:$D$15,MATCH(G223,Fortnightly_Model!$B$2:$B$15,0)),0),IFERROR(INDEX(Fortnightly_Model!$D$2:$D$15,MATCH(G224,Fortnightly_Model!$B$2:$B$15,0)),0),IFERROR(INDEX(Fortnightly_Model!$D$2:$D$15,MATCH(G225,Fortnightly_Model!$B$2:$B$15,0)),0),IFERROR(INDEX(Fortnightly_Model!$D$2:$D$15,MATCH(G226,Fortnightly_Model!$B$2:$B$15,0)),0)),IF(VLOOKUP($A223,Calendar!$A$1:$R$1377,18,0)=5,SUM(IFERROR(INDEX(Fortnightly_Model!$D$2:$D$15,MATCH(G223,Fortnightly_Model!$B$2:$B$15,0)),0),IFERROR(INDEX(Fortnightly_Model!$D$2:$D$15,MATCH(G224,Fortnightly_Model!$B$2:$B$15,0)),0),IFERROR(INDEX(Fortnightly_Model!$D$2:$D$15,MATCH(G225,Fortnightly_Model!$B$2:$B$15,0)),0),IFERROR(INDEX(Fortnightly_Model!$D$2:$D$15,MATCH(G226,Fortnightly_Model!$B$2:$B$15,0)),0),IFERROR(INDEX(Fortnightly_Model!$D$2:$D$15,MATCH(G227,Fortnightly_Model!$B$2:$B$15,0)),0)),0))))))</f>
        <v>1.0714285499999999E-3</v>
      </c>
      <c r="M223" s="27">
        <f>IF(VLOOKUP($A223,Calendar!$A$1:$R$1377,18,0)=0,0,IF(VLOOKUP($A223,Calendar!$A$1:$R$1377,18,0)=1,IFERROR(INDEX(FourWeekly_Model!$D$2:$D$29,MATCH(H223,FourWeekly_Model!$B$2:$B$29,0)),0),IF(VLOOKUP($A223,Calendar!$A$1:$R$1377,18,0)=2,SUM(IFERROR(INDEX(FourWeekly_Model!$D$2:$D$29,MATCH(H223,FourWeekly_Model!$B$2:$B$29,0)),0),IFERROR(INDEX(FourWeekly_Model!$D$2:$D$29,MATCH(H224,FourWeekly_Model!$B$2:$B$29,0)),0)),IF(VLOOKUP($A223,Calendar!$A$1:$R$1377,18,0)=3,SUM(IFERROR(INDEX(FourWeekly_Model!$D$2:$D$29,MATCH(H223,FourWeekly_Model!$B$2:$B$29,0)),0),IFERROR(INDEX(FourWeekly_Model!$D$2:$D$29,MATCH(H224,FourWeekly_Model!$B$2:$B$29,0)),0),IFERROR(INDEX(FourWeekly_Model!$D$2:$D$29,MATCH(H225,FourWeekly_Model!$B$2:$B$29,0)),0)),IF(VLOOKUP($A223,Calendar!$A$1:$R$1377,18,0)=4,SUM(IFERROR(INDEX(FourWeekly_Model!$D$2:$D$29,MATCH(H223,FourWeekly_Model!$B$2:$B$29,0)),0),IFERROR(INDEX(FourWeekly_Model!$D$2:$D$29,MATCH(H224,FourWeekly_Model!$B$2:$B$29,0)),0),IFERROR(INDEX(FourWeekly_Model!$D$2:$D$29,MATCH(H225,FourWeekly_Model!$B$2:$B$29,0)),0),IFERROR(INDEX(FourWeekly_Model!$D$2:$D$29,MATCH(H226,FourWeekly_Model!$B$2:$B$29,0)),0)),IF(VLOOKUP($A223,Calendar!$A$1:$R$1377,18,0)=5,SUM(IFERROR(INDEX(FourWeekly_Model!$D$2:$D$29,MATCH(H223,FourWeekly_Model!$B$2:$B$29,0)),0),IFERROR(INDEX(FourWeekly_Model!$D$2:$D$29,MATCH(H224,FourWeekly_Model!$B$2:$B$29,0)),0),IFERROR(INDEX(FourWeekly_Model!$D$2:$D$29,MATCH(H225,FourWeekly_Model!$B$2:$B$29,0)),0),IFERROR(INDEX(FourWeekly_Model!$D$2:$D$29,MATCH(H226,FourWeekly_Model!$B$2:$B$29,0)),0),IFERROR(INDEX(FourWeekly_Model!$D$2:$D$29,MATCH(H227,FourWeekly_Model!$B$2:$B$29,0)),0)),0))))))</f>
        <v>3.3214289700000004E-3</v>
      </c>
      <c r="N223" s="27">
        <f>SUM(I223:M223)</f>
        <v>3.2468250190157068E-2</v>
      </c>
      <c r="O223" s="28">
        <f>Population_Data!$B$8*N223</f>
        <v>983787.9807617591</v>
      </c>
      <c r="P223" s="27">
        <f>IF(VLOOKUP($A223,Calendar!$A$1:$R$1377,18,0)=0,0,IF(VLOOKUP($A223,Calendar!$A$1:$R$1377,18,0)=1,IFERROR(INDEX(Pension_Model!$D$2:$D$29,MATCH(H223,Pension_Model!$B$2:$B$29,0)),0),IF(VLOOKUP($A223,Calendar!$A$1:$R$1377,18,0)=2,SUM(IFERROR(INDEX(Pension_Model!$D$2:$D$29,MATCH(H223,Pension_Model!$B$2:$B$29,0)),0),IFERROR(INDEX(Pension_Model!$D$2:$D$29,MATCH(H224,Pension_Model!$B$2:$B$29,0)),0)),IF(VLOOKUP($A223,Calendar!$A$1:$R$1377,18,0)=3,SUM(IFERROR(INDEX(Pension_Model!$D$2:$D$29,MATCH(H223,Pension_Model!$B$2:$B$29,0)),0),IFERROR(INDEX(Pension_Model!$D$2:$D$29,MATCH(H224,Pension_Model!$B$2:$B$29,0)),0),IFERROR(INDEX(Pension_Model!$D$2:$D$29,MATCH(H225,Pension_Model!$B$2:$B$29,0)),0)),IF(VLOOKUP($A223,Calendar!$A$1:$R$1377,18,0)=4,SUM(IFERROR(INDEX(Pension_Model!$D$2:$D$29,MATCH(H223,Pension_Model!$B$2:$B$29,0)),0),IFERROR(INDEX(Pension_Model!$D$2:$D$29,MATCH(H224,Pension_Model!$B$2:$B$29,0)),0),IFERROR(INDEX(Pension_Model!$D$2:$D$29,MATCH(H225,Pension_Model!$B$2:$B$29,0)),0),IFERROR(INDEX(Pension_Model!$D$2:$D$29,MATCH(H226,Pension_Model!$B$2:$B$29,0)),0)),IF(VLOOKUP($A223,Calendar!$A$1:$R$1377,18,0)=5,SUM(IFERROR(INDEX(Pension_Model!$D$2:$D$29,MATCH(H223,Pension_Model!$B$2:$B$29,0)),0),IFERROR(INDEX(Pension_Model!$D$2:$D$29,MATCH(H224,Pension_Model!$B$2:$B$29,0)),0),IFERROR(INDEX(Pension_Model!$D$2:$D$29,MATCH(H225,Pension_Model!$B$2:$B$29,0)),0),IFERROR(INDEX(Pension_Model!$D$2:$D$29,MATCH(H226,Pension_Model!$B$2:$B$29,0)),0),IFERROR(INDEX(Pension_Model!$D$2:$D$29,MATCH(H227,Pension_Model!$B$2:$B$29,0)),0)),0))))))</f>
        <v>0.05</v>
      </c>
      <c r="Q223" s="28">
        <f>Population_Data!$B$15*P223</f>
        <v>660600</v>
      </c>
      <c r="S223">
        <f t="shared" si="3"/>
        <v>1644387.980761759</v>
      </c>
      <c r="U223" s="33">
        <f>S223/Population_Data!$B$19</f>
        <v>2.9789637332640562E-2</v>
      </c>
    </row>
    <row r="224" spans="1:21">
      <c r="A224" s="25">
        <f>Calendar!A224</f>
        <v>46457</v>
      </c>
      <c r="B224" t="str">
        <f>Calendar!L224</f>
        <v>Yes</v>
      </c>
      <c r="C224" t="str">
        <f>Calendar!O224</f>
        <v>No</v>
      </c>
      <c r="D224" t="str">
        <f>Calendar!P224</f>
        <v>No</v>
      </c>
      <c r="E224" t="str">
        <f>Calendar!Q224</f>
        <v>No</v>
      </c>
      <c r="F224" t="str">
        <f>Calendar!I224</f>
        <v>Thursday</v>
      </c>
      <c r="G224">
        <f>Calendar!S224</f>
        <v>5</v>
      </c>
      <c r="H224">
        <f>Calendar!T224</f>
        <v>5</v>
      </c>
      <c r="I224" s="27">
        <f>IF(VLOOKUP(A224,Calendar!$A$1:$R$1377,18,0)=0,0,IF(VLOOKUP(A224,Calendar!$A$1:$R$1377,18,0)=1,INDEX(Monthly_Pay_Model!$A$9:$D$40,MATCH(TEXT(A224,"dd"),Monthly_Pay_Model!$C$9:$C$39,0),4),IF(VLOOKUP(A224,Calendar!$A$1:$R$1377,18,0)=2,SUM(INDEX(Monthly_Pay_Model!$A$9:$D$40,MATCH(TEXT(A224,"dd"),Monthly_Pay_Model!$C$9:$C$39,0),4),INDEX(Monthly_Pay_Model!$A$9:$D$40,MATCH(TEXT(A225,"dd"),Monthly_Pay_Model!$C$9:$C$39,0),4)),IF(VLOOKUP(A224,Calendar!$A$1:$R$1377,18,0)=3,SUM(INDEX(Monthly_Pay_Model!$A$9:$D$40,MATCH(TEXT(A224,"dd"),Monthly_Pay_Model!$C$9:$C$39,0),4),INDEX(Monthly_Pay_Model!$A$9:$D$40,MATCH(TEXT(A225,"dd"),Monthly_Pay_Model!$C$9:$C$39,0),4),INDEX(Monthly_Pay_Model!$A$9:$D$40,MATCH(TEXT(A226,"dd"),Monthly_Pay_Model!$C$9:$C$39,0),4)),IF(VLOOKUP(A224,Calendar!$A$1:$R$1377,18,0)=4,SUM(INDEX(Monthly_Pay_Model!$A$9:$D$40,MATCH(TEXT(A224,"dd"),Monthly_Pay_Model!$C$9:$C$39,0),4),INDEX(Monthly_Pay_Model!$A$9:$D$40,MATCH(TEXT(A225,"dd"),Monthly_Pay_Model!$C$9:$C$39,0),4),INDEX(Monthly_Pay_Model!$A$9:$D$40,MATCH(TEXT(A226,"dd"),Monthly_Pay_Model!$C$9:$C$39,0),4),INDEX(Monthly_Pay_Model!$A$9:$D$40,MATCH(TEXT(A227,"dd"),Monthly_Pay_Model!$C$9:$C$39,0),4)),IF(VLOOKUP(A224,Calendar!$A$1:$R$1377,18,0)=5,SUM(INDEX(Monthly_Pay_Model!$A$9:$D$40,MATCH(TEXT(A224,"dd"),Monthly_Pay_Model!$C$9:$C$39,0),4),INDEX(Monthly_Pay_Model!$A$9:$D$40,MATCH(TEXT(A225,"dd"),Monthly_Pay_Model!$C$9:$C$39,0),4),INDEX(Monthly_Pay_Model!$A$9:$D$40,MATCH(TEXT(A226,"dd"),Monthly_Pay_Model!$C$9:$C$39,0),4),INDEX(Monthly_Pay_Model!$A$9:$D$40,MATCH(TEXT(A227,"dd"),Monthly_Pay_Model!$C$9:$C$39,0),4),INDEX(Monthly_Pay_Model!$A$9:$D$40,MATCH(TEXT(A228,"dd"),Monthly_Pay_Model!$C$9:$C$39,0),4)),))))))</f>
        <v>8.1256544502617792E-4</v>
      </c>
      <c r="J224" s="33">
        <f>IF(C224="Yes",Monthly_Pay_Model!$D$2,0)
+IF(Calendar!N224="Yes",Monthly_Pay_Model!$D$3,0)
+IF(D224="Yes",Monthly_Pay_Model!$D$4,0)
+IF(E224="Yes",Monthly_Pay_Model!$D$5,0)</f>
        <v>0</v>
      </c>
      <c r="K224" s="27">
        <f>IF(VLOOKUP($A224,Calendar!$A$1:$R$1377,18,0)=0,0,IF(VLOOKUP($A224,Calendar!$A$1:$R$1377,18,0)=1,IFERROR(INDEX(Weekly_Model!$D$2:$D$9,MATCH(F224,Weekly_Model!$A$2:$A$9,0)),0),IF(VLOOKUP($A224,Calendar!$A$1:$R$1377,18,0)=2,SUM(IFERROR(INDEX(Weekly_Model!$D$2:$D$9,MATCH(F224,Weekly_Model!$A$2:$A$9,0)),0),IFERROR(INDEX(Weekly_Model!$D$2:$D$9,MATCH(F225,Weekly_Model!$A$2:$A$9,0)),0)),IF(VLOOKUP($A224,Calendar!$A$1:$R$1377,18,0)=3,SUM(IFERROR(INDEX(Weekly_Model!$D$2:$D$9,MATCH(F224,Weekly_Model!$A$2:$A$9,0)),0),IFERROR(INDEX(Weekly_Model!$D$2:$D$9,MATCH(F225,Weekly_Model!$A$2:$A$9,0)),0),IFERROR(INDEX(Weekly_Model!$D$2:$D$9,MATCH(F226,Weekly_Model!$A$2:$A$9,0)),0)),IF(VLOOKUP($A224,Calendar!$A$1:$R$1377,18,0)=4,SUM(IFERROR(INDEX(Weekly_Model!$D$2:$D$9,MATCH(F224,Weekly_Model!$A$2:$A$9,0)),0),IFERROR(INDEX(Weekly_Model!$D$2:$D$9,MATCH(F225,Weekly_Model!$A$2:$A$9,0)),0),IFERROR(INDEX(Weekly_Model!$D$2:$D$9,MATCH(F226,Weekly_Model!$A$2:$A$9,0)),0),IFERROR(INDEX(Weekly_Model!$D$2:$D$9,MATCH(F227,Weekly_Model!$A$2:$A$9,0)),0)),IF(VLOOKUP($A224,Calendar!$A$1:$R$1377,18,0)=5,SUM(IFERROR(INDEX(Weekly_Model!$D$2:$D$9,MATCH(F224,Weekly_Model!$A$2:$A$9,0)),0),IFERROR(INDEX(Weekly_Model!$D$2:$D$9,MATCH(F225,Weekly_Model!$A$2:$A$9,0)),0),IFERROR(INDEX(Weekly_Model!$D$2:$D$9,MATCH(F226,Weekly_Model!$A$2:$A$9,0)),0),IFERROR(INDEX(Weekly_Model!$D$2:$D$9,MATCH(F227,Weekly_Model!$A$2:$A$9,0)),0),IFERROR(INDEX(Weekly_Model!$D$2:$D$9,MATCH(F228,Weekly_Model!$A$2:$A$9,0)),0)),0))))))</f>
        <v>2.3200000000000002E-2</v>
      </c>
      <c r="L224" s="27">
        <f>IF(VLOOKUP($A224,Calendar!$A$1:$R$1377,18,0)=0,0,IF(VLOOKUP($A224,Calendar!$A$1:$R$1377,18,0)=1,IFERROR(INDEX(Fortnightly_Model!$D$2:$D$15,MATCH(G224,Fortnightly_Model!$B$2:$B$15,0)),0),IF(VLOOKUP($A224,Calendar!$A$1:$R$1377,18,0)=2,SUM(IFERROR(INDEX(Fortnightly_Model!$D$2:$D$15,MATCH(G224,Fortnightly_Model!$B$2:$B$15,0)),0),IFERROR(INDEX(Fortnightly_Model!$D$2:$D$15,MATCH(G225,Fortnightly_Model!$B$2:$B$15,0)),0)),IF(VLOOKUP($A224,Calendar!$A$1:$R$1377,18,0)=3,SUM(IFERROR(INDEX(Fortnightly_Model!$D$2:$D$15,MATCH(G224,Fortnightly_Model!$B$2:$B$15,0)),0),IFERROR(INDEX(Fortnightly_Model!$D$2:$D$15,MATCH(G225,Fortnightly_Model!$B$2:$B$15,0)),0),IFERROR(INDEX(Fortnightly_Model!$D$2:$D$15,MATCH(G226,Fortnightly_Model!$B$2:$B$15,0)),0)),IF(VLOOKUP($A224,Calendar!$A$1:$R$1377,18,0)=4,SUM(IFERROR(INDEX(Fortnightly_Model!$D$2:$D$15,MATCH(G224,Fortnightly_Model!$B$2:$B$15,0)),0),IFERROR(INDEX(Fortnightly_Model!$D$2:$D$15,MATCH(G225,Fortnightly_Model!$B$2:$B$15,0)),0),IFERROR(INDEX(Fortnightly_Model!$D$2:$D$15,MATCH(G226,Fortnightly_Model!$B$2:$B$15,0)),0),IFERROR(INDEX(Fortnightly_Model!$D$2:$D$15,MATCH(G227,Fortnightly_Model!$B$2:$B$15,0)),0)),IF(VLOOKUP($A224,Calendar!$A$1:$R$1377,18,0)=5,SUM(IFERROR(INDEX(Fortnightly_Model!$D$2:$D$15,MATCH(G224,Fortnightly_Model!$B$2:$B$15,0)),0),IFERROR(INDEX(Fortnightly_Model!$D$2:$D$15,MATCH(G225,Fortnightly_Model!$B$2:$B$15,0)),0),IFERROR(INDEX(Fortnightly_Model!$D$2:$D$15,MATCH(G226,Fortnightly_Model!$B$2:$B$15,0)),0),IFERROR(INDEX(Fortnightly_Model!$D$2:$D$15,MATCH(G227,Fortnightly_Model!$B$2:$B$15,0)),0),IFERROR(INDEX(Fortnightly_Model!$D$2:$D$15,MATCH(G228,Fortnightly_Model!$B$2:$B$15,0)),0)),0))))))</f>
        <v>1.0714285499999999E-3</v>
      </c>
      <c r="M224" s="27">
        <f>IF(VLOOKUP($A224,Calendar!$A$1:$R$1377,18,0)=0,0,IF(VLOOKUP($A224,Calendar!$A$1:$R$1377,18,0)=1,IFERROR(INDEX(FourWeekly_Model!$D$2:$D$29,MATCH(H224,FourWeekly_Model!$B$2:$B$29,0)),0),IF(VLOOKUP($A224,Calendar!$A$1:$R$1377,18,0)=2,SUM(IFERROR(INDEX(FourWeekly_Model!$D$2:$D$29,MATCH(H224,FourWeekly_Model!$B$2:$B$29,0)),0),IFERROR(INDEX(FourWeekly_Model!$D$2:$D$29,MATCH(H225,FourWeekly_Model!$B$2:$B$29,0)),0)),IF(VLOOKUP($A224,Calendar!$A$1:$R$1377,18,0)=3,SUM(IFERROR(INDEX(FourWeekly_Model!$D$2:$D$29,MATCH(H224,FourWeekly_Model!$B$2:$B$29,0)),0),IFERROR(INDEX(FourWeekly_Model!$D$2:$D$29,MATCH(H225,FourWeekly_Model!$B$2:$B$29,0)),0),IFERROR(INDEX(FourWeekly_Model!$D$2:$D$29,MATCH(H226,FourWeekly_Model!$B$2:$B$29,0)),0)),IF(VLOOKUP($A224,Calendar!$A$1:$R$1377,18,0)=4,SUM(IFERROR(INDEX(FourWeekly_Model!$D$2:$D$29,MATCH(H224,FourWeekly_Model!$B$2:$B$29,0)),0),IFERROR(INDEX(FourWeekly_Model!$D$2:$D$29,MATCH(H225,FourWeekly_Model!$B$2:$B$29,0)),0),IFERROR(INDEX(FourWeekly_Model!$D$2:$D$29,MATCH(H226,FourWeekly_Model!$B$2:$B$29,0)),0),IFERROR(INDEX(FourWeekly_Model!$D$2:$D$29,MATCH(H227,FourWeekly_Model!$B$2:$B$29,0)),0)),IF(VLOOKUP($A224,Calendar!$A$1:$R$1377,18,0)=5,SUM(IFERROR(INDEX(FourWeekly_Model!$D$2:$D$29,MATCH(H224,FourWeekly_Model!$B$2:$B$29,0)),0),IFERROR(INDEX(FourWeekly_Model!$D$2:$D$29,MATCH(H225,FourWeekly_Model!$B$2:$B$29,0)),0),IFERROR(INDEX(FourWeekly_Model!$D$2:$D$29,MATCH(H226,FourWeekly_Model!$B$2:$B$29,0)),0),IFERROR(INDEX(FourWeekly_Model!$D$2:$D$29,MATCH(H227,FourWeekly_Model!$B$2:$B$29,0)),0),IFERROR(INDEX(FourWeekly_Model!$D$2:$D$29,MATCH(H228,FourWeekly_Model!$B$2:$B$29,0)),0)),0))))))</f>
        <v>3.3214289700000004E-3</v>
      </c>
      <c r="N224" s="27">
        <f>SUM(I224:M224)</f>
        <v>2.840542296502618E-2</v>
      </c>
      <c r="O224" s="28">
        <f>Population_Data!$B$8*N224</f>
        <v>860684.3158402933</v>
      </c>
      <c r="P224" s="27">
        <f>IF(VLOOKUP($A224,Calendar!$A$1:$R$1377,18,0)=0,0,IF(VLOOKUP($A224,Calendar!$A$1:$R$1377,18,0)=1,IFERROR(INDEX(Pension_Model!$D$2:$D$29,MATCH(H224,Pension_Model!$B$2:$B$29,0)),0),IF(VLOOKUP($A224,Calendar!$A$1:$R$1377,18,0)=2,SUM(IFERROR(INDEX(Pension_Model!$D$2:$D$29,MATCH(H224,Pension_Model!$B$2:$B$29,0)),0),IFERROR(INDEX(Pension_Model!$D$2:$D$29,MATCH(H225,Pension_Model!$B$2:$B$29,0)),0)),IF(VLOOKUP($A224,Calendar!$A$1:$R$1377,18,0)=3,SUM(IFERROR(INDEX(Pension_Model!$D$2:$D$29,MATCH(H224,Pension_Model!$B$2:$B$29,0)),0),IFERROR(INDEX(Pension_Model!$D$2:$D$29,MATCH(H225,Pension_Model!$B$2:$B$29,0)),0),IFERROR(INDEX(Pension_Model!$D$2:$D$29,MATCH(H226,Pension_Model!$B$2:$B$29,0)),0)),IF(VLOOKUP($A224,Calendar!$A$1:$R$1377,18,0)=4,SUM(IFERROR(INDEX(Pension_Model!$D$2:$D$29,MATCH(H224,Pension_Model!$B$2:$B$29,0)),0),IFERROR(INDEX(Pension_Model!$D$2:$D$29,MATCH(H225,Pension_Model!$B$2:$B$29,0)),0),IFERROR(INDEX(Pension_Model!$D$2:$D$29,MATCH(H226,Pension_Model!$B$2:$B$29,0)),0),IFERROR(INDEX(Pension_Model!$D$2:$D$29,MATCH(H227,Pension_Model!$B$2:$B$29,0)),0)),IF(VLOOKUP($A224,Calendar!$A$1:$R$1377,18,0)=5,SUM(IFERROR(INDEX(Pension_Model!$D$2:$D$29,MATCH(H224,Pension_Model!$B$2:$B$29,0)),0),IFERROR(INDEX(Pension_Model!$D$2:$D$29,MATCH(H225,Pension_Model!$B$2:$B$29,0)),0),IFERROR(INDEX(Pension_Model!$D$2:$D$29,MATCH(H226,Pension_Model!$B$2:$B$29,0)),0),IFERROR(INDEX(Pension_Model!$D$2:$D$29,MATCH(H227,Pension_Model!$B$2:$B$29,0)),0),IFERROR(INDEX(Pension_Model!$D$2:$D$29,MATCH(H228,Pension_Model!$B$2:$B$29,0)),0)),0))))))</f>
        <v>0.05</v>
      </c>
      <c r="Q224" s="28">
        <f>Population_Data!$B$15*P224</f>
        <v>660600</v>
      </c>
      <c r="S224">
        <f t="shared" si="3"/>
        <v>1521284.3158402932</v>
      </c>
      <c r="U224" s="33">
        <f>S224/Population_Data!$B$19</f>
        <v>2.7559498475367629E-2</v>
      </c>
    </row>
    <row r="225" spans="1:21">
      <c r="A225" s="25">
        <f>Calendar!A225</f>
        <v>46458</v>
      </c>
      <c r="B225" t="str">
        <f>Calendar!L225</f>
        <v>Yes</v>
      </c>
      <c r="C225" t="str">
        <f>Calendar!O225</f>
        <v>No</v>
      </c>
      <c r="D225" t="str">
        <f>Calendar!P225</f>
        <v>No</v>
      </c>
      <c r="E225" t="str">
        <f>Calendar!Q225</f>
        <v>No</v>
      </c>
      <c r="F225" t="str">
        <f>Calendar!I225</f>
        <v>Friday</v>
      </c>
      <c r="G225">
        <f>Calendar!S225</f>
        <v>6</v>
      </c>
      <c r="H225">
        <f>Calendar!T225</f>
        <v>6</v>
      </c>
      <c r="I225" s="27">
        <f>IF(VLOOKUP(A225,Calendar!$A$1:$R$1377,18,0)=0,0,IF(VLOOKUP(A225,Calendar!$A$1:$R$1377,18,0)=1,INDEX(Monthly_Pay_Model!$A$9:$D$40,MATCH(TEXT(A225,"dd"),Monthly_Pay_Model!$C$9:$C$39,0),4),IF(VLOOKUP(A225,Calendar!$A$1:$R$1377,18,0)=2,SUM(INDEX(Monthly_Pay_Model!$A$9:$D$40,MATCH(TEXT(A225,"dd"),Monthly_Pay_Model!$C$9:$C$39,0),4),INDEX(Monthly_Pay_Model!$A$9:$D$40,MATCH(TEXT(A226,"dd"),Monthly_Pay_Model!$C$9:$C$39,0),4)),IF(VLOOKUP(A225,Calendar!$A$1:$R$1377,18,0)=3,SUM(INDEX(Monthly_Pay_Model!$A$9:$D$40,MATCH(TEXT(A225,"dd"),Monthly_Pay_Model!$C$9:$C$39,0),4),INDEX(Monthly_Pay_Model!$A$9:$D$40,MATCH(TEXT(A226,"dd"),Monthly_Pay_Model!$C$9:$C$39,0),4),INDEX(Monthly_Pay_Model!$A$9:$D$40,MATCH(TEXT(A227,"dd"),Monthly_Pay_Model!$C$9:$C$39,0),4)),IF(VLOOKUP(A225,Calendar!$A$1:$R$1377,18,0)=4,SUM(INDEX(Monthly_Pay_Model!$A$9:$D$40,MATCH(TEXT(A225,"dd"),Monthly_Pay_Model!$C$9:$C$39,0),4),INDEX(Monthly_Pay_Model!$A$9:$D$40,MATCH(TEXT(A226,"dd"),Monthly_Pay_Model!$C$9:$C$39,0),4),INDEX(Monthly_Pay_Model!$A$9:$D$40,MATCH(TEXT(A227,"dd"),Monthly_Pay_Model!$C$9:$C$39,0),4),INDEX(Monthly_Pay_Model!$A$9:$D$40,MATCH(TEXT(A228,"dd"),Monthly_Pay_Model!$C$9:$C$39,0),4)),IF(VLOOKUP(A225,Calendar!$A$1:$R$1377,18,0)=5,SUM(INDEX(Monthly_Pay_Model!$A$9:$D$40,MATCH(TEXT(A225,"dd"),Monthly_Pay_Model!$C$9:$C$39,0),4),INDEX(Monthly_Pay_Model!$A$9:$D$40,MATCH(TEXT(A226,"dd"),Monthly_Pay_Model!$C$9:$C$39,0),4),INDEX(Monthly_Pay_Model!$A$9:$D$40,MATCH(TEXT(A227,"dd"),Monthly_Pay_Model!$C$9:$C$39,0),4),INDEX(Monthly_Pay_Model!$A$9:$D$40,MATCH(TEXT(A228,"dd"),Monthly_Pay_Model!$C$9:$C$39,0),4),INDEX(Monthly_Pay_Model!$A$9:$D$40,MATCH(TEXT(A229,"dd"),Monthly_Pay_Model!$C$9:$C$39,0),4)),))))))</f>
        <v>3.2502617801047117E-3</v>
      </c>
      <c r="J225" s="33">
        <f>IF(C225="Yes",Monthly_Pay_Model!$D$2,0)
+IF(Calendar!N225="Yes",Monthly_Pay_Model!$D$3,0)
+IF(D225="Yes",Monthly_Pay_Model!$D$4,0)
+IF(E225="Yes",Monthly_Pay_Model!$D$5,0)</f>
        <v>0</v>
      </c>
      <c r="K225" s="27">
        <f>IF(VLOOKUP($A225,Calendar!$A$1:$R$1377,18,0)=0,0,IF(VLOOKUP($A225,Calendar!$A$1:$R$1377,18,0)=1,IFERROR(INDEX(Weekly_Model!$D$2:$D$9,MATCH(F225,Weekly_Model!$A$2:$A$9,0)),0),IF(VLOOKUP($A225,Calendar!$A$1:$R$1377,18,0)=2,SUM(IFERROR(INDEX(Weekly_Model!$D$2:$D$9,MATCH(F225,Weekly_Model!$A$2:$A$9,0)),0),IFERROR(INDEX(Weekly_Model!$D$2:$D$9,MATCH(F226,Weekly_Model!$A$2:$A$9,0)),0)),IF(VLOOKUP($A225,Calendar!$A$1:$R$1377,18,0)=3,SUM(IFERROR(INDEX(Weekly_Model!$D$2:$D$9,MATCH(F225,Weekly_Model!$A$2:$A$9,0)),0),IFERROR(INDEX(Weekly_Model!$D$2:$D$9,MATCH(F226,Weekly_Model!$A$2:$A$9,0)),0),IFERROR(INDEX(Weekly_Model!$D$2:$D$9,MATCH(F227,Weekly_Model!$A$2:$A$9,0)),0)),IF(VLOOKUP($A225,Calendar!$A$1:$R$1377,18,0)=4,SUM(IFERROR(INDEX(Weekly_Model!$D$2:$D$9,MATCH(F225,Weekly_Model!$A$2:$A$9,0)),0),IFERROR(INDEX(Weekly_Model!$D$2:$D$9,MATCH(F226,Weekly_Model!$A$2:$A$9,0)),0),IFERROR(INDEX(Weekly_Model!$D$2:$D$9,MATCH(F227,Weekly_Model!$A$2:$A$9,0)),0),IFERROR(INDEX(Weekly_Model!$D$2:$D$9,MATCH(F228,Weekly_Model!$A$2:$A$9,0)),0)),IF(VLOOKUP($A225,Calendar!$A$1:$R$1377,18,0)=5,SUM(IFERROR(INDEX(Weekly_Model!$D$2:$D$9,MATCH(F225,Weekly_Model!$A$2:$A$9,0)),0),IFERROR(INDEX(Weekly_Model!$D$2:$D$9,MATCH(F226,Weekly_Model!$A$2:$A$9,0)),0),IFERROR(INDEX(Weekly_Model!$D$2:$D$9,MATCH(F227,Weekly_Model!$A$2:$A$9,0)),0),IFERROR(INDEX(Weekly_Model!$D$2:$D$9,MATCH(F228,Weekly_Model!$A$2:$A$9,0)),0),IFERROR(INDEX(Weekly_Model!$D$2:$D$9,MATCH(F229,Weekly_Model!$A$2:$A$9,0)),0)),0))))))</f>
        <v>2.3200000000000002E-2</v>
      </c>
      <c r="L225" s="27">
        <f>IF(VLOOKUP($A225,Calendar!$A$1:$R$1377,18,0)=0,0,IF(VLOOKUP($A225,Calendar!$A$1:$R$1377,18,0)=1,IFERROR(INDEX(Fortnightly_Model!$D$2:$D$15,MATCH(G225,Fortnightly_Model!$B$2:$B$15,0)),0),IF(VLOOKUP($A225,Calendar!$A$1:$R$1377,18,0)=2,SUM(IFERROR(INDEX(Fortnightly_Model!$D$2:$D$15,MATCH(G225,Fortnightly_Model!$B$2:$B$15,0)),0),IFERROR(INDEX(Fortnightly_Model!$D$2:$D$15,MATCH(G226,Fortnightly_Model!$B$2:$B$15,0)),0)),IF(VLOOKUP($A225,Calendar!$A$1:$R$1377,18,0)=3,SUM(IFERROR(INDEX(Fortnightly_Model!$D$2:$D$15,MATCH(G225,Fortnightly_Model!$B$2:$B$15,0)),0),IFERROR(INDEX(Fortnightly_Model!$D$2:$D$15,MATCH(G226,Fortnightly_Model!$B$2:$B$15,0)),0),IFERROR(INDEX(Fortnightly_Model!$D$2:$D$15,MATCH(G227,Fortnightly_Model!$B$2:$B$15,0)),0)),IF(VLOOKUP($A225,Calendar!$A$1:$R$1377,18,0)=4,SUM(IFERROR(INDEX(Fortnightly_Model!$D$2:$D$15,MATCH(G225,Fortnightly_Model!$B$2:$B$15,0)),0),IFERROR(INDEX(Fortnightly_Model!$D$2:$D$15,MATCH(G226,Fortnightly_Model!$B$2:$B$15,0)),0),IFERROR(INDEX(Fortnightly_Model!$D$2:$D$15,MATCH(G227,Fortnightly_Model!$B$2:$B$15,0)),0),IFERROR(INDEX(Fortnightly_Model!$D$2:$D$15,MATCH(G228,Fortnightly_Model!$B$2:$B$15,0)),0)),IF(VLOOKUP($A225,Calendar!$A$1:$R$1377,18,0)=5,SUM(IFERROR(INDEX(Fortnightly_Model!$D$2:$D$15,MATCH(G225,Fortnightly_Model!$B$2:$B$15,0)),0),IFERROR(INDEX(Fortnightly_Model!$D$2:$D$15,MATCH(G226,Fortnightly_Model!$B$2:$B$15,0)),0),IFERROR(INDEX(Fortnightly_Model!$D$2:$D$15,MATCH(G227,Fortnightly_Model!$B$2:$B$15,0)),0),IFERROR(INDEX(Fortnightly_Model!$D$2:$D$15,MATCH(G228,Fortnightly_Model!$B$2:$B$15,0)),0),IFERROR(INDEX(Fortnightly_Model!$D$2:$D$15,MATCH(G229,Fortnightly_Model!$B$2:$B$15,0)),0)),0))))))</f>
        <v>3.2142856499999999E-3</v>
      </c>
      <c r="M225" s="27">
        <f>IF(VLOOKUP($A225,Calendar!$A$1:$R$1377,18,0)=0,0,IF(VLOOKUP($A225,Calendar!$A$1:$R$1377,18,0)=1,IFERROR(INDEX(FourWeekly_Model!$D$2:$D$29,MATCH(H225,FourWeekly_Model!$B$2:$B$29,0)),0),IF(VLOOKUP($A225,Calendar!$A$1:$R$1377,18,0)=2,SUM(IFERROR(INDEX(FourWeekly_Model!$D$2:$D$29,MATCH(H225,FourWeekly_Model!$B$2:$B$29,0)),0),IFERROR(INDEX(FourWeekly_Model!$D$2:$D$29,MATCH(H226,FourWeekly_Model!$B$2:$B$29,0)),0)),IF(VLOOKUP($A225,Calendar!$A$1:$R$1377,18,0)=3,SUM(IFERROR(INDEX(FourWeekly_Model!$D$2:$D$29,MATCH(H225,FourWeekly_Model!$B$2:$B$29,0)),0),IFERROR(INDEX(FourWeekly_Model!$D$2:$D$29,MATCH(H226,FourWeekly_Model!$B$2:$B$29,0)),0),IFERROR(INDEX(FourWeekly_Model!$D$2:$D$29,MATCH(H227,FourWeekly_Model!$B$2:$B$29,0)),0)),IF(VLOOKUP($A225,Calendar!$A$1:$R$1377,18,0)=4,SUM(IFERROR(INDEX(FourWeekly_Model!$D$2:$D$29,MATCH(H225,FourWeekly_Model!$B$2:$B$29,0)),0),IFERROR(INDEX(FourWeekly_Model!$D$2:$D$29,MATCH(H226,FourWeekly_Model!$B$2:$B$29,0)),0),IFERROR(INDEX(FourWeekly_Model!$D$2:$D$29,MATCH(H227,FourWeekly_Model!$B$2:$B$29,0)),0),IFERROR(INDEX(FourWeekly_Model!$D$2:$D$29,MATCH(H228,FourWeekly_Model!$B$2:$B$29,0)),0)),IF(VLOOKUP($A225,Calendar!$A$1:$R$1377,18,0)=5,SUM(IFERROR(INDEX(FourWeekly_Model!$D$2:$D$29,MATCH(H225,FourWeekly_Model!$B$2:$B$29,0)),0),IFERROR(INDEX(FourWeekly_Model!$D$2:$D$29,MATCH(H226,FourWeekly_Model!$B$2:$B$29,0)),0),IFERROR(INDEX(FourWeekly_Model!$D$2:$D$29,MATCH(H227,FourWeekly_Model!$B$2:$B$29,0)),0),IFERROR(INDEX(FourWeekly_Model!$D$2:$D$29,MATCH(H228,FourWeekly_Model!$B$2:$B$29,0)),0),IFERROR(INDEX(FourWeekly_Model!$D$2:$D$29,MATCH(H229,FourWeekly_Model!$B$2:$B$29,0)),0)),0))))))</f>
        <v>9.9642859800000011E-3</v>
      </c>
      <c r="N225" s="27">
        <f>SUM(I225:M225)</f>
        <v>3.9628833410104716E-2</v>
      </c>
      <c r="O225" s="28">
        <f>Population_Data!$B$8*N225</f>
        <v>1200753.6523261729</v>
      </c>
      <c r="P225" s="27">
        <f>IF(VLOOKUP($A225,Calendar!$A$1:$R$1377,18,0)=0,0,IF(VLOOKUP($A225,Calendar!$A$1:$R$1377,18,0)=1,IFERROR(INDEX(Pension_Model!$D$2:$D$29,MATCH(H225,Pension_Model!$B$2:$B$29,0)),0),IF(VLOOKUP($A225,Calendar!$A$1:$R$1377,18,0)=2,SUM(IFERROR(INDEX(Pension_Model!$D$2:$D$29,MATCH(H225,Pension_Model!$B$2:$B$29,0)),0),IFERROR(INDEX(Pension_Model!$D$2:$D$29,MATCH(H226,Pension_Model!$B$2:$B$29,0)),0)),IF(VLOOKUP($A225,Calendar!$A$1:$R$1377,18,0)=3,SUM(IFERROR(INDEX(Pension_Model!$D$2:$D$29,MATCH(H225,Pension_Model!$B$2:$B$29,0)),0),IFERROR(INDEX(Pension_Model!$D$2:$D$29,MATCH(H226,Pension_Model!$B$2:$B$29,0)),0),IFERROR(INDEX(Pension_Model!$D$2:$D$29,MATCH(H227,Pension_Model!$B$2:$B$29,0)),0)),IF(VLOOKUP($A225,Calendar!$A$1:$R$1377,18,0)=4,SUM(IFERROR(INDEX(Pension_Model!$D$2:$D$29,MATCH(H225,Pension_Model!$B$2:$B$29,0)),0),IFERROR(INDEX(Pension_Model!$D$2:$D$29,MATCH(H226,Pension_Model!$B$2:$B$29,0)),0),IFERROR(INDEX(Pension_Model!$D$2:$D$29,MATCH(H227,Pension_Model!$B$2:$B$29,0)),0),IFERROR(INDEX(Pension_Model!$D$2:$D$29,MATCH(H228,Pension_Model!$B$2:$B$29,0)),0)),IF(VLOOKUP($A225,Calendar!$A$1:$R$1377,18,0)=5,SUM(IFERROR(INDEX(Pension_Model!$D$2:$D$29,MATCH(H225,Pension_Model!$B$2:$B$29,0)),0),IFERROR(INDEX(Pension_Model!$D$2:$D$29,MATCH(H226,Pension_Model!$B$2:$B$29,0)),0),IFERROR(INDEX(Pension_Model!$D$2:$D$29,MATCH(H227,Pension_Model!$B$2:$B$29,0)),0),IFERROR(INDEX(Pension_Model!$D$2:$D$29,MATCH(H228,Pension_Model!$B$2:$B$29,0)),0),IFERROR(INDEX(Pension_Model!$D$2:$D$29,MATCH(H229,Pension_Model!$B$2:$B$29,0)),0)),0))))))</f>
        <v>0.05</v>
      </c>
      <c r="Q225" s="28">
        <f>Population_Data!$B$15*P225</f>
        <v>660600</v>
      </c>
      <c r="S225">
        <f t="shared" si="3"/>
        <v>1861353.6523261729</v>
      </c>
      <c r="U225" s="33">
        <f>S225/Population_Data!$B$19</f>
        <v>3.3720174860981396E-2</v>
      </c>
    </row>
    <row r="226" spans="1:21">
      <c r="A226" s="25">
        <f>Calendar!A226</f>
        <v>46459</v>
      </c>
      <c r="B226" t="str">
        <f>Calendar!L226</f>
        <v>No</v>
      </c>
      <c r="C226" t="str">
        <f>Calendar!O226</f>
        <v>No</v>
      </c>
      <c r="D226" t="str">
        <f>Calendar!P226</f>
        <v>No</v>
      </c>
      <c r="E226" t="str">
        <f>Calendar!Q226</f>
        <v>No</v>
      </c>
      <c r="F226" t="str">
        <f>Calendar!I226</f>
        <v>Saturday</v>
      </c>
      <c r="G226">
        <f>Calendar!S226</f>
        <v>7</v>
      </c>
      <c r="H226">
        <f>Calendar!T226</f>
        <v>7</v>
      </c>
      <c r="I226" s="27">
        <f>IF(VLOOKUP(A226,Calendar!$A$1:$R$1377,18,0)=0,0,IF(VLOOKUP(A226,Calendar!$A$1:$R$1377,18,0)=1,INDEX(Monthly_Pay_Model!$A$9:$D$40,MATCH(TEXT(A226,"dd"),Monthly_Pay_Model!$C$9:$C$39,0),4),IF(VLOOKUP(A226,Calendar!$A$1:$R$1377,18,0)=2,SUM(INDEX(Monthly_Pay_Model!$A$9:$D$40,MATCH(TEXT(A226,"dd"),Monthly_Pay_Model!$C$9:$C$39,0),4),INDEX(Monthly_Pay_Model!$A$9:$D$40,MATCH(TEXT(A227,"dd"),Monthly_Pay_Model!$C$9:$C$39,0),4)),IF(VLOOKUP(A226,Calendar!$A$1:$R$1377,18,0)=3,SUM(INDEX(Monthly_Pay_Model!$A$9:$D$40,MATCH(TEXT(A226,"dd"),Monthly_Pay_Model!$C$9:$C$39,0),4),INDEX(Monthly_Pay_Model!$A$9:$D$40,MATCH(TEXT(A227,"dd"),Monthly_Pay_Model!$C$9:$C$39,0),4),INDEX(Monthly_Pay_Model!$A$9:$D$40,MATCH(TEXT(A228,"dd"),Monthly_Pay_Model!$C$9:$C$39,0),4)),IF(VLOOKUP(A226,Calendar!$A$1:$R$1377,18,0)=4,SUM(INDEX(Monthly_Pay_Model!$A$9:$D$40,MATCH(TEXT(A226,"dd"),Monthly_Pay_Model!$C$9:$C$39,0),4),INDEX(Monthly_Pay_Model!$A$9:$D$40,MATCH(TEXT(A227,"dd"),Monthly_Pay_Model!$C$9:$C$39,0),4),INDEX(Monthly_Pay_Model!$A$9:$D$40,MATCH(TEXT(A228,"dd"),Monthly_Pay_Model!$C$9:$C$39,0),4),INDEX(Monthly_Pay_Model!$A$9:$D$40,MATCH(TEXT(A229,"dd"),Monthly_Pay_Model!$C$9:$C$39,0),4)),IF(VLOOKUP(A226,Calendar!$A$1:$R$1377,18,0)=5,SUM(INDEX(Monthly_Pay_Model!$A$9:$D$40,MATCH(TEXT(A226,"dd"),Monthly_Pay_Model!$C$9:$C$39,0),4),INDEX(Monthly_Pay_Model!$A$9:$D$40,MATCH(TEXT(A227,"dd"),Monthly_Pay_Model!$C$9:$C$39,0),4),INDEX(Monthly_Pay_Model!$A$9:$D$40,MATCH(TEXT(A228,"dd"),Monthly_Pay_Model!$C$9:$C$39,0),4),INDEX(Monthly_Pay_Model!$A$9:$D$40,MATCH(TEXT(A229,"dd"),Monthly_Pay_Model!$C$9:$C$39,0),4),INDEX(Monthly_Pay_Model!$A$9:$D$40,MATCH(TEXT(A230,"dd"),Monthly_Pay_Model!$C$9:$C$39,0),4)),))))))</f>
        <v>0</v>
      </c>
      <c r="J226" s="33">
        <f>IF(C226="Yes",Monthly_Pay_Model!$D$2,0)
+IF(Calendar!N226="Yes",Monthly_Pay_Model!$D$3,0)
+IF(D226="Yes",Monthly_Pay_Model!$D$4,0)
+IF(E226="Yes",Monthly_Pay_Model!$D$5,0)</f>
        <v>0</v>
      </c>
      <c r="K226" s="27">
        <f>IF(VLOOKUP($A226,Calendar!$A$1:$R$1377,18,0)=0,0,IF(VLOOKUP($A226,Calendar!$A$1:$R$1377,18,0)=1,IFERROR(INDEX(Weekly_Model!$D$2:$D$9,MATCH(F226,Weekly_Model!$A$2:$A$9,0)),0),IF(VLOOKUP($A226,Calendar!$A$1:$R$1377,18,0)=2,SUM(IFERROR(INDEX(Weekly_Model!$D$2:$D$9,MATCH(F226,Weekly_Model!$A$2:$A$9,0)),0),IFERROR(INDEX(Weekly_Model!$D$2:$D$9,MATCH(F227,Weekly_Model!$A$2:$A$9,0)),0)),IF(VLOOKUP($A226,Calendar!$A$1:$R$1377,18,0)=3,SUM(IFERROR(INDEX(Weekly_Model!$D$2:$D$9,MATCH(F226,Weekly_Model!$A$2:$A$9,0)),0),IFERROR(INDEX(Weekly_Model!$D$2:$D$9,MATCH(F227,Weekly_Model!$A$2:$A$9,0)),0),IFERROR(INDEX(Weekly_Model!$D$2:$D$9,MATCH(F228,Weekly_Model!$A$2:$A$9,0)),0)),IF(VLOOKUP($A226,Calendar!$A$1:$R$1377,18,0)=4,SUM(IFERROR(INDEX(Weekly_Model!$D$2:$D$9,MATCH(F226,Weekly_Model!$A$2:$A$9,0)),0),IFERROR(INDEX(Weekly_Model!$D$2:$D$9,MATCH(F227,Weekly_Model!$A$2:$A$9,0)),0),IFERROR(INDEX(Weekly_Model!$D$2:$D$9,MATCH(F228,Weekly_Model!$A$2:$A$9,0)),0),IFERROR(INDEX(Weekly_Model!$D$2:$D$9,MATCH(F229,Weekly_Model!$A$2:$A$9,0)),0)),IF(VLOOKUP($A226,Calendar!$A$1:$R$1377,18,0)=5,SUM(IFERROR(INDEX(Weekly_Model!$D$2:$D$9,MATCH(F226,Weekly_Model!$A$2:$A$9,0)),0),IFERROR(INDEX(Weekly_Model!$D$2:$D$9,MATCH(F227,Weekly_Model!$A$2:$A$9,0)),0),IFERROR(INDEX(Weekly_Model!$D$2:$D$9,MATCH(F228,Weekly_Model!$A$2:$A$9,0)),0),IFERROR(INDEX(Weekly_Model!$D$2:$D$9,MATCH(F229,Weekly_Model!$A$2:$A$9,0)),0),IFERROR(INDEX(Weekly_Model!$D$2:$D$9,MATCH(F230,Weekly_Model!$A$2:$A$9,0)),0)),0))))))</f>
        <v>0</v>
      </c>
      <c r="L226" s="27">
        <f>IF(VLOOKUP($A226,Calendar!$A$1:$R$1377,18,0)=0,0,IF(VLOOKUP($A226,Calendar!$A$1:$R$1377,18,0)=1,IFERROR(INDEX(Fortnightly_Model!$D$2:$D$15,MATCH(G226,Fortnightly_Model!$B$2:$B$15,0)),0),IF(VLOOKUP($A226,Calendar!$A$1:$R$1377,18,0)=2,SUM(IFERROR(INDEX(Fortnightly_Model!$D$2:$D$15,MATCH(G226,Fortnightly_Model!$B$2:$B$15,0)),0),IFERROR(INDEX(Fortnightly_Model!$D$2:$D$15,MATCH(G227,Fortnightly_Model!$B$2:$B$15,0)),0)),IF(VLOOKUP($A226,Calendar!$A$1:$R$1377,18,0)=3,SUM(IFERROR(INDEX(Fortnightly_Model!$D$2:$D$15,MATCH(G226,Fortnightly_Model!$B$2:$B$15,0)),0),IFERROR(INDEX(Fortnightly_Model!$D$2:$D$15,MATCH(G227,Fortnightly_Model!$B$2:$B$15,0)),0),IFERROR(INDEX(Fortnightly_Model!$D$2:$D$15,MATCH(G228,Fortnightly_Model!$B$2:$B$15,0)),0)),IF(VLOOKUP($A226,Calendar!$A$1:$R$1377,18,0)=4,SUM(IFERROR(INDEX(Fortnightly_Model!$D$2:$D$15,MATCH(G226,Fortnightly_Model!$B$2:$B$15,0)),0),IFERROR(INDEX(Fortnightly_Model!$D$2:$D$15,MATCH(G227,Fortnightly_Model!$B$2:$B$15,0)),0),IFERROR(INDEX(Fortnightly_Model!$D$2:$D$15,MATCH(G228,Fortnightly_Model!$B$2:$B$15,0)),0),IFERROR(INDEX(Fortnightly_Model!$D$2:$D$15,MATCH(G229,Fortnightly_Model!$B$2:$B$15,0)),0)),IF(VLOOKUP($A226,Calendar!$A$1:$R$1377,18,0)=5,SUM(IFERROR(INDEX(Fortnightly_Model!$D$2:$D$15,MATCH(G226,Fortnightly_Model!$B$2:$B$15,0)),0),IFERROR(INDEX(Fortnightly_Model!$D$2:$D$15,MATCH(G227,Fortnightly_Model!$B$2:$B$15,0)),0),IFERROR(INDEX(Fortnightly_Model!$D$2:$D$15,MATCH(G228,Fortnightly_Model!$B$2:$B$15,0)),0),IFERROR(INDEX(Fortnightly_Model!$D$2:$D$15,MATCH(G229,Fortnightly_Model!$B$2:$B$15,0)),0),IFERROR(INDEX(Fortnightly_Model!$D$2:$D$15,MATCH(G230,Fortnightly_Model!$B$2:$B$15,0)),0)),0))))))</f>
        <v>0</v>
      </c>
      <c r="M226" s="27">
        <f>IF(VLOOKUP($A226,Calendar!$A$1:$R$1377,18,0)=0,0,IF(VLOOKUP($A226,Calendar!$A$1:$R$1377,18,0)=1,IFERROR(INDEX(FourWeekly_Model!$D$2:$D$29,MATCH(H226,FourWeekly_Model!$B$2:$B$29,0)),0),IF(VLOOKUP($A226,Calendar!$A$1:$R$1377,18,0)=2,SUM(IFERROR(INDEX(FourWeekly_Model!$D$2:$D$29,MATCH(H226,FourWeekly_Model!$B$2:$B$29,0)),0),IFERROR(INDEX(FourWeekly_Model!$D$2:$D$29,MATCH(H227,FourWeekly_Model!$B$2:$B$29,0)),0)),IF(VLOOKUP($A226,Calendar!$A$1:$R$1377,18,0)=3,SUM(IFERROR(INDEX(FourWeekly_Model!$D$2:$D$29,MATCH(H226,FourWeekly_Model!$B$2:$B$29,0)),0),IFERROR(INDEX(FourWeekly_Model!$D$2:$D$29,MATCH(H227,FourWeekly_Model!$B$2:$B$29,0)),0),IFERROR(INDEX(FourWeekly_Model!$D$2:$D$29,MATCH(H228,FourWeekly_Model!$B$2:$B$29,0)),0)),IF(VLOOKUP($A226,Calendar!$A$1:$R$1377,18,0)=4,SUM(IFERROR(INDEX(FourWeekly_Model!$D$2:$D$29,MATCH(H226,FourWeekly_Model!$B$2:$B$29,0)),0),IFERROR(INDEX(FourWeekly_Model!$D$2:$D$29,MATCH(H227,FourWeekly_Model!$B$2:$B$29,0)),0),IFERROR(INDEX(FourWeekly_Model!$D$2:$D$29,MATCH(H228,FourWeekly_Model!$B$2:$B$29,0)),0),IFERROR(INDEX(FourWeekly_Model!$D$2:$D$29,MATCH(H229,FourWeekly_Model!$B$2:$B$29,0)),0)),IF(VLOOKUP($A226,Calendar!$A$1:$R$1377,18,0)=5,SUM(IFERROR(INDEX(FourWeekly_Model!$D$2:$D$29,MATCH(H226,FourWeekly_Model!$B$2:$B$29,0)),0),IFERROR(INDEX(FourWeekly_Model!$D$2:$D$29,MATCH(H227,FourWeekly_Model!$B$2:$B$29,0)),0),IFERROR(INDEX(FourWeekly_Model!$D$2:$D$29,MATCH(H228,FourWeekly_Model!$B$2:$B$29,0)),0),IFERROR(INDEX(FourWeekly_Model!$D$2:$D$29,MATCH(H229,FourWeekly_Model!$B$2:$B$29,0)),0),IFERROR(INDEX(FourWeekly_Model!$D$2:$D$29,MATCH(H230,FourWeekly_Model!$B$2:$B$29,0)),0)),0))))))</f>
        <v>0</v>
      </c>
      <c r="N226" s="27">
        <f>SUM(I226:M226)</f>
        <v>0</v>
      </c>
      <c r="O226" s="28">
        <f>Population_Data!$B$8*N226</f>
        <v>0</v>
      </c>
      <c r="P226" s="27">
        <f>IF(VLOOKUP($A226,Calendar!$A$1:$R$1377,18,0)=0,0,IF(VLOOKUP($A226,Calendar!$A$1:$R$1377,18,0)=1,IFERROR(INDEX(Pension_Model!$D$2:$D$29,MATCH(H226,Pension_Model!$B$2:$B$29,0)),0),IF(VLOOKUP($A226,Calendar!$A$1:$R$1377,18,0)=2,SUM(IFERROR(INDEX(Pension_Model!$D$2:$D$29,MATCH(H226,Pension_Model!$B$2:$B$29,0)),0),IFERROR(INDEX(Pension_Model!$D$2:$D$29,MATCH(H227,Pension_Model!$B$2:$B$29,0)),0)),IF(VLOOKUP($A226,Calendar!$A$1:$R$1377,18,0)=3,SUM(IFERROR(INDEX(Pension_Model!$D$2:$D$29,MATCH(H226,Pension_Model!$B$2:$B$29,0)),0),IFERROR(INDEX(Pension_Model!$D$2:$D$29,MATCH(H227,Pension_Model!$B$2:$B$29,0)),0),IFERROR(INDEX(Pension_Model!$D$2:$D$29,MATCH(H228,Pension_Model!$B$2:$B$29,0)),0)),IF(VLOOKUP($A226,Calendar!$A$1:$R$1377,18,0)=4,SUM(IFERROR(INDEX(Pension_Model!$D$2:$D$29,MATCH(H226,Pension_Model!$B$2:$B$29,0)),0),IFERROR(INDEX(Pension_Model!$D$2:$D$29,MATCH(H227,Pension_Model!$B$2:$B$29,0)),0),IFERROR(INDEX(Pension_Model!$D$2:$D$29,MATCH(H228,Pension_Model!$B$2:$B$29,0)),0),IFERROR(INDEX(Pension_Model!$D$2:$D$29,MATCH(H229,Pension_Model!$B$2:$B$29,0)),0)),IF(VLOOKUP($A226,Calendar!$A$1:$R$1377,18,0)=5,SUM(IFERROR(INDEX(Pension_Model!$D$2:$D$29,MATCH(H226,Pension_Model!$B$2:$B$29,0)),0),IFERROR(INDEX(Pension_Model!$D$2:$D$29,MATCH(H227,Pension_Model!$B$2:$B$29,0)),0),IFERROR(INDEX(Pension_Model!$D$2:$D$29,MATCH(H228,Pension_Model!$B$2:$B$29,0)),0),IFERROR(INDEX(Pension_Model!$D$2:$D$29,MATCH(H229,Pension_Model!$B$2:$B$29,0)),0),IFERROR(INDEX(Pension_Model!$D$2:$D$29,MATCH(H230,Pension_Model!$B$2:$B$29,0)),0)),0))))))</f>
        <v>0</v>
      </c>
      <c r="Q226" s="28">
        <f>Population_Data!$B$15*P226</f>
        <v>0</v>
      </c>
      <c r="S226">
        <f t="shared" si="3"/>
        <v>0</v>
      </c>
      <c r="U226" s="33">
        <f>S226/Population_Data!$B$19</f>
        <v>0</v>
      </c>
    </row>
    <row r="227" spans="1:21">
      <c r="A227" s="25">
        <f>Calendar!A227</f>
        <v>46460</v>
      </c>
      <c r="B227" t="str">
        <f>Calendar!L227</f>
        <v>No</v>
      </c>
      <c r="C227" t="str">
        <f>Calendar!O227</f>
        <v>No</v>
      </c>
      <c r="D227" t="str">
        <f>Calendar!P227</f>
        <v>No</v>
      </c>
      <c r="E227" t="str">
        <f>Calendar!Q227</f>
        <v>No</v>
      </c>
      <c r="F227" t="str">
        <f>Calendar!I227</f>
        <v>Sunday</v>
      </c>
      <c r="G227">
        <f>Calendar!S227</f>
        <v>8</v>
      </c>
      <c r="H227">
        <f>Calendar!T227</f>
        <v>8</v>
      </c>
      <c r="I227" s="27">
        <f>IF(VLOOKUP(A227,Calendar!$A$1:$R$1377,18,0)=0,0,IF(VLOOKUP(A227,Calendar!$A$1:$R$1377,18,0)=1,INDEX(Monthly_Pay_Model!$A$9:$D$40,MATCH(TEXT(A227,"dd"),Monthly_Pay_Model!$C$9:$C$39,0),4),IF(VLOOKUP(A227,Calendar!$A$1:$R$1377,18,0)=2,SUM(INDEX(Monthly_Pay_Model!$A$9:$D$40,MATCH(TEXT(A227,"dd"),Monthly_Pay_Model!$C$9:$C$39,0),4),INDEX(Monthly_Pay_Model!$A$9:$D$40,MATCH(TEXT(A228,"dd"),Monthly_Pay_Model!$C$9:$C$39,0),4)),IF(VLOOKUP(A227,Calendar!$A$1:$R$1377,18,0)=3,SUM(INDEX(Monthly_Pay_Model!$A$9:$D$40,MATCH(TEXT(A227,"dd"),Monthly_Pay_Model!$C$9:$C$39,0),4),INDEX(Monthly_Pay_Model!$A$9:$D$40,MATCH(TEXT(A228,"dd"),Monthly_Pay_Model!$C$9:$C$39,0),4),INDEX(Monthly_Pay_Model!$A$9:$D$40,MATCH(TEXT(A229,"dd"),Monthly_Pay_Model!$C$9:$C$39,0),4)),IF(VLOOKUP(A227,Calendar!$A$1:$R$1377,18,0)=4,SUM(INDEX(Monthly_Pay_Model!$A$9:$D$40,MATCH(TEXT(A227,"dd"),Monthly_Pay_Model!$C$9:$C$39,0),4),INDEX(Monthly_Pay_Model!$A$9:$D$40,MATCH(TEXT(A228,"dd"),Monthly_Pay_Model!$C$9:$C$39,0),4),INDEX(Monthly_Pay_Model!$A$9:$D$40,MATCH(TEXT(A229,"dd"),Monthly_Pay_Model!$C$9:$C$39,0),4),INDEX(Monthly_Pay_Model!$A$9:$D$40,MATCH(TEXT(A230,"dd"),Monthly_Pay_Model!$C$9:$C$39,0),4)),IF(VLOOKUP(A227,Calendar!$A$1:$R$1377,18,0)=5,SUM(INDEX(Monthly_Pay_Model!$A$9:$D$40,MATCH(TEXT(A227,"dd"),Monthly_Pay_Model!$C$9:$C$39,0),4),INDEX(Monthly_Pay_Model!$A$9:$D$40,MATCH(TEXT(A228,"dd"),Monthly_Pay_Model!$C$9:$C$39,0),4),INDEX(Monthly_Pay_Model!$A$9:$D$40,MATCH(TEXT(A229,"dd"),Monthly_Pay_Model!$C$9:$C$39,0),4),INDEX(Monthly_Pay_Model!$A$9:$D$40,MATCH(TEXT(A230,"dd"),Monthly_Pay_Model!$C$9:$C$39,0),4),INDEX(Monthly_Pay_Model!$A$9:$D$40,MATCH(TEXT(A231,"dd"),Monthly_Pay_Model!$C$9:$C$39,0),4)),))))))</f>
        <v>0</v>
      </c>
      <c r="J227" s="33">
        <f>IF(C227="Yes",Monthly_Pay_Model!$D$2,0)
+IF(Calendar!N227="Yes",Monthly_Pay_Model!$D$3,0)
+IF(D227="Yes",Monthly_Pay_Model!$D$4,0)
+IF(E227="Yes",Monthly_Pay_Model!$D$5,0)</f>
        <v>0</v>
      </c>
      <c r="K227" s="27">
        <f>IF(VLOOKUP($A227,Calendar!$A$1:$R$1377,18,0)=0,0,IF(VLOOKUP($A227,Calendar!$A$1:$R$1377,18,0)=1,IFERROR(INDEX(Weekly_Model!$D$2:$D$9,MATCH(F227,Weekly_Model!$A$2:$A$9,0)),0),IF(VLOOKUP($A227,Calendar!$A$1:$R$1377,18,0)=2,SUM(IFERROR(INDEX(Weekly_Model!$D$2:$D$9,MATCH(F227,Weekly_Model!$A$2:$A$9,0)),0),IFERROR(INDEX(Weekly_Model!$D$2:$D$9,MATCH(F228,Weekly_Model!$A$2:$A$9,0)),0)),IF(VLOOKUP($A227,Calendar!$A$1:$R$1377,18,0)=3,SUM(IFERROR(INDEX(Weekly_Model!$D$2:$D$9,MATCH(F227,Weekly_Model!$A$2:$A$9,0)),0),IFERROR(INDEX(Weekly_Model!$D$2:$D$9,MATCH(F228,Weekly_Model!$A$2:$A$9,0)),0),IFERROR(INDEX(Weekly_Model!$D$2:$D$9,MATCH(F229,Weekly_Model!$A$2:$A$9,0)),0)),IF(VLOOKUP($A227,Calendar!$A$1:$R$1377,18,0)=4,SUM(IFERROR(INDEX(Weekly_Model!$D$2:$D$9,MATCH(F227,Weekly_Model!$A$2:$A$9,0)),0),IFERROR(INDEX(Weekly_Model!$D$2:$D$9,MATCH(F228,Weekly_Model!$A$2:$A$9,0)),0),IFERROR(INDEX(Weekly_Model!$D$2:$D$9,MATCH(F229,Weekly_Model!$A$2:$A$9,0)),0),IFERROR(INDEX(Weekly_Model!$D$2:$D$9,MATCH(F230,Weekly_Model!$A$2:$A$9,0)),0)),IF(VLOOKUP($A227,Calendar!$A$1:$R$1377,18,0)=5,SUM(IFERROR(INDEX(Weekly_Model!$D$2:$D$9,MATCH(F227,Weekly_Model!$A$2:$A$9,0)),0),IFERROR(INDEX(Weekly_Model!$D$2:$D$9,MATCH(F228,Weekly_Model!$A$2:$A$9,0)),0),IFERROR(INDEX(Weekly_Model!$D$2:$D$9,MATCH(F229,Weekly_Model!$A$2:$A$9,0)),0),IFERROR(INDEX(Weekly_Model!$D$2:$D$9,MATCH(F230,Weekly_Model!$A$2:$A$9,0)),0),IFERROR(INDEX(Weekly_Model!$D$2:$D$9,MATCH(F231,Weekly_Model!$A$2:$A$9,0)),0)),0))))))</f>
        <v>0</v>
      </c>
      <c r="L227" s="27">
        <f>IF(VLOOKUP($A227,Calendar!$A$1:$R$1377,18,0)=0,0,IF(VLOOKUP($A227,Calendar!$A$1:$R$1377,18,0)=1,IFERROR(INDEX(Fortnightly_Model!$D$2:$D$15,MATCH(G227,Fortnightly_Model!$B$2:$B$15,0)),0),IF(VLOOKUP($A227,Calendar!$A$1:$R$1377,18,0)=2,SUM(IFERROR(INDEX(Fortnightly_Model!$D$2:$D$15,MATCH(G227,Fortnightly_Model!$B$2:$B$15,0)),0),IFERROR(INDEX(Fortnightly_Model!$D$2:$D$15,MATCH(G228,Fortnightly_Model!$B$2:$B$15,0)),0)),IF(VLOOKUP($A227,Calendar!$A$1:$R$1377,18,0)=3,SUM(IFERROR(INDEX(Fortnightly_Model!$D$2:$D$15,MATCH(G227,Fortnightly_Model!$B$2:$B$15,0)),0),IFERROR(INDEX(Fortnightly_Model!$D$2:$D$15,MATCH(G228,Fortnightly_Model!$B$2:$B$15,0)),0),IFERROR(INDEX(Fortnightly_Model!$D$2:$D$15,MATCH(G229,Fortnightly_Model!$B$2:$B$15,0)),0)),IF(VLOOKUP($A227,Calendar!$A$1:$R$1377,18,0)=4,SUM(IFERROR(INDEX(Fortnightly_Model!$D$2:$D$15,MATCH(G227,Fortnightly_Model!$B$2:$B$15,0)),0),IFERROR(INDEX(Fortnightly_Model!$D$2:$D$15,MATCH(G228,Fortnightly_Model!$B$2:$B$15,0)),0),IFERROR(INDEX(Fortnightly_Model!$D$2:$D$15,MATCH(G229,Fortnightly_Model!$B$2:$B$15,0)),0),IFERROR(INDEX(Fortnightly_Model!$D$2:$D$15,MATCH(G230,Fortnightly_Model!$B$2:$B$15,0)),0)),IF(VLOOKUP($A227,Calendar!$A$1:$R$1377,18,0)=5,SUM(IFERROR(INDEX(Fortnightly_Model!$D$2:$D$15,MATCH(G227,Fortnightly_Model!$B$2:$B$15,0)),0),IFERROR(INDEX(Fortnightly_Model!$D$2:$D$15,MATCH(G228,Fortnightly_Model!$B$2:$B$15,0)),0),IFERROR(INDEX(Fortnightly_Model!$D$2:$D$15,MATCH(G229,Fortnightly_Model!$B$2:$B$15,0)),0),IFERROR(INDEX(Fortnightly_Model!$D$2:$D$15,MATCH(G230,Fortnightly_Model!$B$2:$B$15,0)),0),IFERROR(INDEX(Fortnightly_Model!$D$2:$D$15,MATCH(G231,Fortnightly_Model!$B$2:$B$15,0)),0)),0))))))</f>
        <v>0</v>
      </c>
      <c r="M227" s="27">
        <f>IF(VLOOKUP($A227,Calendar!$A$1:$R$1377,18,0)=0,0,IF(VLOOKUP($A227,Calendar!$A$1:$R$1377,18,0)=1,IFERROR(INDEX(FourWeekly_Model!$D$2:$D$29,MATCH(H227,FourWeekly_Model!$B$2:$B$29,0)),0),IF(VLOOKUP($A227,Calendar!$A$1:$R$1377,18,0)=2,SUM(IFERROR(INDEX(FourWeekly_Model!$D$2:$D$29,MATCH(H227,FourWeekly_Model!$B$2:$B$29,0)),0),IFERROR(INDEX(FourWeekly_Model!$D$2:$D$29,MATCH(H228,FourWeekly_Model!$B$2:$B$29,0)),0)),IF(VLOOKUP($A227,Calendar!$A$1:$R$1377,18,0)=3,SUM(IFERROR(INDEX(FourWeekly_Model!$D$2:$D$29,MATCH(H227,FourWeekly_Model!$B$2:$B$29,0)),0),IFERROR(INDEX(FourWeekly_Model!$D$2:$D$29,MATCH(H228,FourWeekly_Model!$B$2:$B$29,0)),0),IFERROR(INDEX(FourWeekly_Model!$D$2:$D$29,MATCH(H229,FourWeekly_Model!$B$2:$B$29,0)),0)),IF(VLOOKUP($A227,Calendar!$A$1:$R$1377,18,0)=4,SUM(IFERROR(INDEX(FourWeekly_Model!$D$2:$D$29,MATCH(H227,FourWeekly_Model!$B$2:$B$29,0)),0),IFERROR(INDEX(FourWeekly_Model!$D$2:$D$29,MATCH(H228,FourWeekly_Model!$B$2:$B$29,0)),0),IFERROR(INDEX(FourWeekly_Model!$D$2:$D$29,MATCH(H229,FourWeekly_Model!$B$2:$B$29,0)),0),IFERROR(INDEX(FourWeekly_Model!$D$2:$D$29,MATCH(H230,FourWeekly_Model!$B$2:$B$29,0)),0)),IF(VLOOKUP($A227,Calendar!$A$1:$R$1377,18,0)=5,SUM(IFERROR(INDEX(FourWeekly_Model!$D$2:$D$29,MATCH(H227,FourWeekly_Model!$B$2:$B$29,0)),0),IFERROR(INDEX(FourWeekly_Model!$D$2:$D$29,MATCH(H228,FourWeekly_Model!$B$2:$B$29,0)),0),IFERROR(INDEX(FourWeekly_Model!$D$2:$D$29,MATCH(H229,FourWeekly_Model!$B$2:$B$29,0)),0),IFERROR(INDEX(FourWeekly_Model!$D$2:$D$29,MATCH(H230,FourWeekly_Model!$B$2:$B$29,0)),0),IFERROR(INDEX(FourWeekly_Model!$D$2:$D$29,MATCH(H231,FourWeekly_Model!$B$2:$B$29,0)),0)),0))))))</f>
        <v>0</v>
      </c>
      <c r="N227" s="27">
        <f>SUM(I227:M227)</f>
        <v>0</v>
      </c>
      <c r="O227" s="28">
        <f>Population_Data!$B$8*N227</f>
        <v>0</v>
      </c>
      <c r="P227" s="27">
        <f>IF(VLOOKUP($A227,Calendar!$A$1:$R$1377,18,0)=0,0,IF(VLOOKUP($A227,Calendar!$A$1:$R$1377,18,0)=1,IFERROR(INDEX(Pension_Model!$D$2:$D$29,MATCH(H227,Pension_Model!$B$2:$B$29,0)),0),IF(VLOOKUP($A227,Calendar!$A$1:$R$1377,18,0)=2,SUM(IFERROR(INDEX(Pension_Model!$D$2:$D$29,MATCH(H227,Pension_Model!$B$2:$B$29,0)),0),IFERROR(INDEX(Pension_Model!$D$2:$D$29,MATCH(H228,Pension_Model!$B$2:$B$29,0)),0)),IF(VLOOKUP($A227,Calendar!$A$1:$R$1377,18,0)=3,SUM(IFERROR(INDEX(Pension_Model!$D$2:$D$29,MATCH(H227,Pension_Model!$B$2:$B$29,0)),0),IFERROR(INDEX(Pension_Model!$D$2:$D$29,MATCH(H228,Pension_Model!$B$2:$B$29,0)),0),IFERROR(INDEX(Pension_Model!$D$2:$D$29,MATCH(H229,Pension_Model!$B$2:$B$29,0)),0)),IF(VLOOKUP($A227,Calendar!$A$1:$R$1377,18,0)=4,SUM(IFERROR(INDEX(Pension_Model!$D$2:$D$29,MATCH(H227,Pension_Model!$B$2:$B$29,0)),0),IFERROR(INDEX(Pension_Model!$D$2:$D$29,MATCH(H228,Pension_Model!$B$2:$B$29,0)),0),IFERROR(INDEX(Pension_Model!$D$2:$D$29,MATCH(H229,Pension_Model!$B$2:$B$29,0)),0),IFERROR(INDEX(Pension_Model!$D$2:$D$29,MATCH(H230,Pension_Model!$B$2:$B$29,0)),0)),IF(VLOOKUP($A227,Calendar!$A$1:$R$1377,18,0)=5,SUM(IFERROR(INDEX(Pension_Model!$D$2:$D$29,MATCH(H227,Pension_Model!$B$2:$B$29,0)),0),IFERROR(INDEX(Pension_Model!$D$2:$D$29,MATCH(H228,Pension_Model!$B$2:$B$29,0)),0),IFERROR(INDEX(Pension_Model!$D$2:$D$29,MATCH(H229,Pension_Model!$B$2:$B$29,0)),0),IFERROR(INDEX(Pension_Model!$D$2:$D$29,MATCH(H230,Pension_Model!$B$2:$B$29,0)),0),IFERROR(INDEX(Pension_Model!$D$2:$D$29,MATCH(H231,Pension_Model!$B$2:$B$29,0)),0)),0))))))</f>
        <v>0</v>
      </c>
      <c r="Q227" s="28">
        <f>Population_Data!$B$15*P227</f>
        <v>0</v>
      </c>
      <c r="S227">
        <f t="shared" si="3"/>
        <v>0</v>
      </c>
      <c r="U227" s="33">
        <f>S227/Population_Data!$B$19</f>
        <v>0</v>
      </c>
    </row>
    <row r="228" spans="1:21">
      <c r="A228" s="25">
        <f>Calendar!A228</f>
        <v>46461</v>
      </c>
      <c r="B228" t="str">
        <f>Calendar!L228</f>
        <v>Yes</v>
      </c>
      <c r="C228" t="str">
        <f>Calendar!O228</f>
        <v>No</v>
      </c>
      <c r="D228" t="str">
        <f>Calendar!P228</f>
        <v>No</v>
      </c>
      <c r="E228" t="str">
        <f>Calendar!Q228</f>
        <v>No</v>
      </c>
      <c r="F228" t="str">
        <f>Calendar!I228</f>
        <v>Monday</v>
      </c>
      <c r="G228">
        <f>Calendar!S228</f>
        <v>9</v>
      </c>
      <c r="H228">
        <f>Calendar!T228</f>
        <v>9</v>
      </c>
      <c r="I228" s="27">
        <f>IF(VLOOKUP(A228,Calendar!$A$1:$R$1377,18,0)=0,0,IF(VLOOKUP(A228,Calendar!$A$1:$R$1377,18,0)=1,INDEX(Monthly_Pay_Model!$A$9:$D$40,MATCH(TEXT(A228,"dd"),Monthly_Pay_Model!$C$9:$C$39,0),4),IF(VLOOKUP(A228,Calendar!$A$1:$R$1377,18,0)=2,SUM(INDEX(Monthly_Pay_Model!$A$9:$D$40,MATCH(TEXT(A228,"dd"),Monthly_Pay_Model!$C$9:$C$39,0),4),INDEX(Monthly_Pay_Model!$A$9:$D$40,MATCH(TEXT(A229,"dd"),Monthly_Pay_Model!$C$9:$C$39,0),4)),IF(VLOOKUP(A228,Calendar!$A$1:$R$1377,18,0)=3,SUM(INDEX(Monthly_Pay_Model!$A$9:$D$40,MATCH(TEXT(A228,"dd"),Monthly_Pay_Model!$C$9:$C$39,0),4),INDEX(Monthly_Pay_Model!$A$9:$D$40,MATCH(TEXT(A229,"dd"),Monthly_Pay_Model!$C$9:$C$39,0),4),INDEX(Monthly_Pay_Model!$A$9:$D$40,MATCH(TEXT(A230,"dd"),Monthly_Pay_Model!$C$9:$C$39,0),4)),IF(VLOOKUP(A228,Calendar!$A$1:$R$1377,18,0)=4,SUM(INDEX(Monthly_Pay_Model!$A$9:$D$40,MATCH(TEXT(A228,"dd"),Monthly_Pay_Model!$C$9:$C$39,0),4),INDEX(Monthly_Pay_Model!$A$9:$D$40,MATCH(TEXT(A229,"dd"),Monthly_Pay_Model!$C$9:$C$39,0),4),INDEX(Monthly_Pay_Model!$A$9:$D$40,MATCH(TEXT(A230,"dd"),Monthly_Pay_Model!$C$9:$C$39,0),4),INDEX(Monthly_Pay_Model!$A$9:$D$40,MATCH(TEXT(A231,"dd"),Monthly_Pay_Model!$C$9:$C$39,0),4)),IF(VLOOKUP(A228,Calendar!$A$1:$R$1377,18,0)=5,SUM(INDEX(Monthly_Pay_Model!$A$9:$D$40,MATCH(TEXT(A228,"dd"),Monthly_Pay_Model!$C$9:$C$39,0),4),INDEX(Monthly_Pay_Model!$A$9:$D$40,MATCH(TEXT(A229,"dd"),Monthly_Pay_Model!$C$9:$C$39,0),4),INDEX(Monthly_Pay_Model!$A$9:$D$40,MATCH(TEXT(A230,"dd"),Monthly_Pay_Model!$C$9:$C$39,0),4),INDEX(Monthly_Pay_Model!$A$9:$D$40,MATCH(TEXT(A231,"dd"),Monthly_Pay_Model!$C$9:$C$39,0),4),INDEX(Monthly_Pay_Model!$A$9:$D$40,MATCH(TEXT(A232,"dd"),Monthly_Pay_Model!$C$9:$C$39,0),4)),))))))</f>
        <v>1.3001047120418847E-2</v>
      </c>
      <c r="J228" s="33">
        <f>IF(C228="Yes",Monthly_Pay_Model!$D$2,0)
+IF(Calendar!N228="Yes",Monthly_Pay_Model!$D$3,0)
+IF(D228="Yes",Monthly_Pay_Model!$D$4,0)
+IF(E228="Yes",Monthly_Pay_Model!$D$5,0)</f>
        <v>0</v>
      </c>
      <c r="K228" s="27">
        <f>IF(VLOOKUP($A228,Calendar!$A$1:$R$1377,18,0)=0,0,IF(VLOOKUP($A228,Calendar!$A$1:$R$1377,18,0)=1,IFERROR(INDEX(Weekly_Model!$D$2:$D$9,MATCH(F228,Weekly_Model!$A$2:$A$9,0)),0),IF(VLOOKUP($A228,Calendar!$A$1:$R$1377,18,0)=2,SUM(IFERROR(INDEX(Weekly_Model!$D$2:$D$9,MATCH(F228,Weekly_Model!$A$2:$A$9,0)),0),IFERROR(INDEX(Weekly_Model!$D$2:$D$9,MATCH(F229,Weekly_Model!$A$2:$A$9,0)),0)),IF(VLOOKUP($A228,Calendar!$A$1:$R$1377,18,0)=3,SUM(IFERROR(INDEX(Weekly_Model!$D$2:$D$9,MATCH(F228,Weekly_Model!$A$2:$A$9,0)),0),IFERROR(INDEX(Weekly_Model!$D$2:$D$9,MATCH(F229,Weekly_Model!$A$2:$A$9,0)),0),IFERROR(INDEX(Weekly_Model!$D$2:$D$9,MATCH(F230,Weekly_Model!$A$2:$A$9,0)),0)),IF(VLOOKUP($A228,Calendar!$A$1:$R$1377,18,0)=4,SUM(IFERROR(INDEX(Weekly_Model!$D$2:$D$9,MATCH(F228,Weekly_Model!$A$2:$A$9,0)),0),IFERROR(INDEX(Weekly_Model!$D$2:$D$9,MATCH(F229,Weekly_Model!$A$2:$A$9,0)),0),IFERROR(INDEX(Weekly_Model!$D$2:$D$9,MATCH(F230,Weekly_Model!$A$2:$A$9,0)),0),IFERROR(INDEX(Weekly_Model!$D$2:$D$9,MATCH(F231,Weekly_Model!$A$2:$A$9,0)),0)),IF(VLOOKUP($A228,Calendar!$A$1:$R$1377,18,0)=5,SUM(IFERROR(INDEX(Weekly_Model!$D$2:$D$9,MATCH(F228,Weekly_Model!$A$2:$A$9,0)),0),IFERROR(INDEX(Weekly_Model!$D$2:$D$9,MATCH(F229,Weekly_Model!$A$2:$A$9,0)),0),IFERROR(INDEX(Weekly_Model!$D$2:$D$9,MATCH(F230,Weekly_Model!$A$2:$A$9,0)),0),IFERROR(INDEX(Weekly_Model!$D$2:$D$9,MATCH(F231,Weekly_Model!$A$2:$A$9,0)),0),IFERROR(INDEX(Weekly_Model!$D$2:$D$9,MATCH(F232,Weekly_Model!$A$2:$A$9,0)),0)),0))))))</f>
        <v>2.3200000000000002E-2</v>
      </c>
      <c r="L228" s="27">
        <f>IF(VLOOKUP($A228,Calendar!$A$1:$R$1377,18,0)=0,0,IF(VLOOKUP($A228,Calendar!$A$1:$R$1377,18,0)=1,IFERROR(INDEX(Fortnightly_Model!$D$2:$D$15,MATCH(G228,Fortnightly_Model!$B$2:$B$15,0)),0),IF(VLOOKUP($A228,Calendar!$A$1:$R$1377,18,0)=2,SUM(IFERROR(INDEX(Fortnightly_Model!$D$2:$D$15,MATCH(G228,Fortnightly_Model!$B$2:$B$15,0)),0),IFERROR(INDEX(Fortnightly_Model!$D$2:$D$15,MATCH(G229,Fortnightly_Model!$B$2:$B$15,0)),0)),IF(VLOOKUP($A228,Calendar!$A$1:$R$1377,18,0)=3,SUM(IFERROR(INDEX(Fortnightly_Model!$D$2:$D$15,MATCH(G228,Fortnightly_Model!$B$2:$B$15,0)),0),IFERROR(INDEX(Fortnightly_Model!$D$2:$D$15,MATCH(G229,Fortnightly_Model!$B$2:$B$15,0)),0),IFERROR(INDEX(Fortnightly_Model!$D$2:$D$15,MATCH(G230,Fortnightly_Model!$B$2:$B$15,0)),0)),IF(VLOOKUP($A228,Calendar!$A$1:$R$1377,18,0)=4,SUM(IFERROR(INDEX(Fortnightly_Model!$D$2:$D$15,MATCH(G228,Fortnightly_Model!$B$2:$B$15,0)),0),IFERROR(INDEX(Fortnightly_Model!$D$2:$D$15,MATCH(G229,Fortnightly_Model!$B$2:$B$15,0)),0),IFERROR(INDEX(Fortnightly_Model!$D$2:$D$15,MATCH(G230,Fortnightly_Model!$B$2:$B$15,0)),0),IFERROR(INDEX(Fortnightly_Model!$D$2:$D$15,MATCH(G231,Fortnightly_Model!$B$2:$B$15,0)),0)),IF(VLOOKUP($A228,Calendar!$A$1:$R$1377,18,0)=5,SUM(IFERROR(INDEX(Fortnightly_Model!$D$2:$D$15,MATCH(G228,Fortnightly_Model!$B$2:$B$15,0)),0),IFERROR(INDEX(Fortnightly_Model!$D$2:$D$15,MATCH(G229,Fortnightly_Model!$B$2:$B$15,0)),0),IFERROR(INDEX(Fortnightly_Model!$D$2:$D$15,MATCH(G230,Fortnightly_Model!$B$2:$B$15,0)),0),IFERROR(INDEX(Fortnightly_Model!$D$2:$D$15,MATCH(G231,Fortnightly_Model!$B$2:$B$15,0)),0),IFERROR(INDEX(Fortnightly_Model!$D$2:$D$15,MATCH(G232,Fortnightly_Model!$B$2:$B$15,0)),0)),0))))))</f>
        <v>1.0714285499999999E-3</v>
      </c>
      <c r="M228" s="27">
        <f>IF(VLOOKUP($A228,Calendar!$A$1:$R$1377,18,0)=0,0,IF(VLOOKUP($A228,Calendar!$A$1:$R$1377,18,0)=1,IFERROR(INDEX(FourWeekly_Model!$D$2:$D$29,MATCH(H228,FourWeekly_Model!$B$2:$B$29,0)),0),IF(VLOOKUP($A228,Calendar!$A$1:$R$1377,18,0)=2,SUM(IFERROR(INDEX(FourWeekly_Model!$D$2:$D$29,MATCH(H228,FourWeekly_Model!$B$2:$B$29,0)),0),IFERROR(INDEX(FourWeekly_Model!$D$2:$D$29,MATCH(H229,FourWeekly_Model!$B$2:$B$29,0)),0)),IF(VLOOKUP($A228,Calendar!$A$1:$R$1377,18,0)=3,SUM(IFERROR(INDEX(FourWeekly_Model!$D$2:$D$29,MATCH(H228,FourWeekly_Model!$B$2:$B$29,0)),0),IFERROR(INDEX(FourWeekly_Model!$D$2:$D$29,MATCH(H229,FourWeekly_Model!$B$2:$B$29,0)),0),IFERROR(INDEX(FourWeekly_Model!$D$2:$D$29,MATCH(H230,FourWeekly_Model!$B$2:$B$29,0)),0)),IF(VLOOKUP($A228,Calendar!$A$1:$R$1377,18,0)=4,SUM(IFERROR(INDEX(FourWeekly_Model!$D$2:$D$29,MATCH(H228,FourWeekly_Model!$B$2:$B$29,0)),0),IFERROR(INDEX(FourWeekly_Model!$D$2:$D$29,MATCH(H229,FourWeekly_Model!$B$2:$B$29,0)),0),IFERROR(INDEX(FourWeekly_Model!$D$2:$D$29,MATCH(H230,FourWeekly_Model!$B$2:$B$29,0)),0),IFERROR(INDEX(FourWeekly_Model!$D$2:$D$29,MATCH(H231,FourWeekly_Model!$B$2:$B$29,0)),0)),IF(VLOOKUP($A228,Calendar!$A$1:$R$1377,18,0)=5,SUM(IFERROR(INDEX(FourWeekly_Model!$D$2:$D$29,MATCH(H228,FourWeekly_Model!$B$2:$B$29,0)),0),IFERROR(INDEX(FourWeekly_Model!$D$2:$D$29,MATCH(H229,FourWeekly_Model!$B$2:$B$29,0)),0),IFERROR(INDEX(FourWeekly_Model!$D$2:$D$29,MATCH(H230,FourWeekly_Model!$B$2:$B$29,0)),0),IFERROR(INDEX(FourWeekly_Model!$D$2:$D$29,MATCH(H231,FourWeekly_Model!$B$2:$B$29,0)),0),IFERROR(INDEX(FourWeekly_Model!$D$2:$D$29,MATCH(H232,FourWeekly_Model!$B$2:$B$29,0)),0)),0))))))</f>
        <v>3.3214289700000004E-3</v>
      </c>
      <c r="N228" s="27">
        <f>SUM(I228:M228)</f>
        <v>4.059390464041885E-2</v>
      </c>
      <c r="O228" s="28">
        <f>Population_Data!$B$8*N228</f>
        <v>1229995.310604691</v>
      </c>
      <c r="P228" s="27">
        <f>IF(VLOOKUP($A228,Calendar!$A$1:$R$1377,18,0)=0,0,IF(VLOOKUP($A228,Calendar!$A$1:$R$1377,18,0)=1,IFERROR(INDEX(Pension_Model!$D$2:$D$29,MATCH(H228,Pension_Model!$B$2:$B$29,0)),0),IF(VLOOKUP($A228,Calendar!$A$1:$R$1377,18,0)=2,SUM(IFERROR(INDEX(Pension_Model!$D$2:$D$29,MATCH(H228,Pension_Model!$B$2:$B$29,0)),0),IFERROR(INDEX(Pension_Model!$D$2:$D$29,MATCH(H229,Pension_Model!$B$2:$B$29,0)),0)),IF(VLOOKUP($A228,Calendar!$A$1:$R$1377,18,0)=3,SUM(IFERROR(INDEX(Pension_Model!$D$2:$D$29,MATCH(H228,Pension_Model!$B$2:$B$29,0)),0),IFERROR(INDEX(Pension_Model!$D$2:$D$29,MATCH(H229,Pension_Model!$B$2:$B$29,0)),0),IFERROR(INDEX(Pension_Model!$D$2:$D$29,MATCH(H230,Pension_Model!$B$2:$B$29,0)),0)),IF(VLOOKUP($A228,Calendar!$A$1:$R$1377,18,0)=4,SUM(IFERROR(INDEX(Pension_Model!$D$2:$D$29,MATCH(H228,Pension_Model!$B$2:$B$29,0)),0),IFERROR(INDEX(Pension_Model!$D$2:$D$29,MATCH(H229,Pension_Model!$B$2:$B$29,0)),0),IFERROR(INDEX(Pension_Model!$D$2:$D$29,MATCH(H230,Pension_Model!$B$2:$B$29,0)),0),IFERROR(INDEX(Pension_Model!$D$2:$D$29,MATCH(H231,Pension_Model!$B$2:$B$29,0)),0)),IF(VLOOKUP($A228,Calendar!$A$1:$R$1377,18,0)=5,SUM(IFERROR(INDEX(Pension_Model!$D$2:$D$29,MATCH(H228,Pension_Model!$B$2:$B$29,0)),0),IFERROR(INDEX(Pension_Model!$D$2:$D$29,MATCH(H229,Pension_Model!$B$2:$B$29,0)),0),IFERROR(INDEX(Pension_Model!$D$2:$D$29,MATCH(H230,Pension_Model!$B$2:$B$29,0)),0),IFERROR(INDEX(Pension_Model!$D$2:$D$29,MATCH(H231,Pension_Model!$B$2:$B$29,0)),0),IFERROR(INDEX(Pension_Model!$D$2:$D$29,MATCH(H232,Pension_Model!$B$2:$B$29,0)),0)),0))))))</f>
        <v>0.05</v>
      </c>
      <c r="Q228" s="28">
        <f>Population_Data!$B$15*P228</f>
        <v>660600</v>
      </c>
      <c r="S228">
        <f t="shared" si="3"/>
        <v>1890595.310604691</v>
      </c>
      <c r="U228" s="33">
        <f>S228/Population_Data!$B$19</f>
        <v>3.4249915047186434E-2</v>
      </c>
    </row>
    <row r="229" spans="1:21">
      <c r="A229" s="25">
        <f>Calendar!A229</f>
        <v>46462</v>
      </c>
      <c r="B229" t="str">
        <f>Calendar!L229</f>
        <v>Yes</v>
      </c>
      <c r="C229" t="str">
        <f>Calendar!O229</f>
        <v>No</v>
      </c>
      <c r="D229" t="str">
        <f>Calendar!P229</f>
        <v>No</v>
      </c>
      <c r="E229" t="str">
        <f>Calendar!Q229</f>
        <v>No</v>
      </c>
      <c r="F229" t="str">
        <f>Calendar!I229</f>
        <v>Tuesday</v>
      </c>
      <c r="G229">
        <f>Calendar!S229</f>
        <v>10</v>
      </c>
      <c r="H229">
        <f>Calendar!T229</f>
        <v>10</v>
      </c>
      <c r="I229" s="27">
        <f>IF(VLOOKUP(A229,Calendar!$A$1:$R$1377,18,0)=0,0,IF(VLOOKUP(A229,Calendar!$A$1:$R$1377,18,0)=1,INDEX(Monthly_Pay_Model!$A$9:$D$40,MATCH(TEXT(A229,"dd"),Monthly_Pay_Model!$C$9:$C$39,0),4),IF(VLOOKUP(A229,Calendar!$A$1:$R$1377,18,0)=2,SUM(INDEX(Monthly_Pay_Model!$A$9:$D$40,MATCH(TEXT(A229,"dd"),Monthly_Pay_Model!$C$9:$C$39,0),4),INDEX(Monthly_Pay_Model!$A$9:$D$40,MATCH(TEXT(A230,"dd"),Monthly_Pay_Model!$C$9:$C$39,0),4)),IF(VLOOKUP(A229,Calendar!$A$1:$R$1377,18,0)=3,SUM(INDEX(Monthly_Pay_Model!$A$9:$D$40,MATCH(TEXT(A229,"dd"),Monthly_Pay_Model!$C$9:$C$39,0),4),INDEX(Monthly_Pay_Model!$A$9:$D$40,MATCH(TEXT(A230,"dd"),Monthly_Pay_Model!$C$9:$C$39,0),4),INDEX(Monthly_Pay_Model!$A$9:$D$40,MATCH(TEXT(A231,"dd"),Monthly_Pay_Model!$C$9:$C$39,0),4)),IF(VLOOKUP(A229,Calendar!$A$1:$R$1377,18,0)=4,SUM(INDEX(Monthly_Pay_Model!$A$9:$D$40,MATCH(TEXT(A229,"dd"),Monthly_Pay_Model!$C$9:$C$39,0),4),INDEX(Monthly_Pay_Model!$A$9:$D$40,MATCH(TEXT(A230,"dd"),Monthly_Pay_Model!$C$9:$C$39,0),4),INDEX(Monthly_Pay_Model!$A$9:$D$40,MATCH(TEXT(A231,"dd"),Monthly_Pay_Model!$C$9:$C$39,0),4),INDEX(Monthly_Pay_Model!$A$9:$D$40,MATCH(TEXT(A232,"dd"),Monthly_Pay_Model!$C$9:$C$39,0),4)),IF(VLOOKUP(A229,Calendar!$A$1:$R$1377,18,0)=5,SUM(INDEX(Monthly_Pay_Model!$A$9:$D$40,MATCH(TEXT(A229,"dd"),Monthly_Pay_Model!$C$9:$C$39,0),4),INDEX(Monthly_Pay_Model!$A$9:$D$40,MATCH(TEXT(A230,"dd"),Monthly_Pay_Model!$C$9:$C$39,0),4),INDEX(Monthly_Pay_Model!$A$9:$D$40,MATCH(TEXT(A231,"dd"),Monthly_Pay_Model!$C$9:$C$39,0),4),INDEX(Monthly_Pay_Model!$A$9:$D$40,MATCH(TEXT(A232,"dd"),Monthly_Pay_Model!$C$9:$C$39,0),4),INDEX(Monthly_Pay_Model!$A$9:$D$40,MATCH(TEXT(A233,"dd"),Monthly_Pay_Model!$C$9:$C$39,0),4)),))))))</f>
        <v>1.6251308900523558E-3</v>
      </c>
      <c r="J229" s="33">
        <f>IF(C229="Yes",Monthly_Pay_Model!$D$2,0)
+IF(Calendar!N229="Yes",Monthly_Pay_Model!$D$3,0)
+IF(D229="Yes",Monthly_Pay_Model!$D$4,0)
+IF(E229="Yes",Monthly_Pay_Model!$D$5,0)</f>
        <v>0</v>
      </c>
      <c r="K229" s="27">
        <f>IF(VLOOKUP($A229,Calendar!$A$1:$R$1377,18,0)=0,0,IF(VLOOKUP($A229,Calendar!$A$1:$R$1377,18,0)=1,IFERROR(INDEX(Weekly_Model!$D$2:$D$9,MATCH(F229,Weekly_Model!$A$2:$A$9,0)),0),IF(VLOOKUP($A229,Calendar!$A$1:$R$1377,18,0)=2,SUM(IFERROR(INDEX(Weekly_Model!$D$2:$D$9,MATCH(F229,Weekly_Model!$A$2:$A$9,0)),0),IFERROR(INDEX(Weekly_Model!$D$2:$D$9,MATCH(F230,Weekly_Model!$A$2:$A$9,0)),0)),IF(VLOOKUP($A229,Calendar!$A$1:$R$1377,18,0)=3,SUM(IFERROR(INDEX(Weekly_Model!$D$2:$D$9,MATCH(F229,Weekly_Model!$A$2:$A$9,0)),0),IFERROR(INDEX(Weekly_Model!$D$2:$D$9,MATCH(F230,Weekly_Model!$A$2:$A$9,0)),0),IFERROR(INDEX(Weekly_Model!$D$2:$D$9,MATCH(F231,Weekly_Model!$A$2:$A$9,0)),0)),IF(VLOOKUP($A229,Calendar!$A$1:$R$1377,18,0)=4,SUM(IFERROR(INDEX(Weekly_Model!$D$2:$D$9,MATCH(F229,Weekly_Model!$A$2:$A$9,0)),0),IFERROR(INDEX(Weekly_Model!$D$2:$D$9,MATCH(F230,Weekly_Model!$A$2:$A$9,0)),0),IFERROR(INDEX(Weekly_Model!$D$2:$D$9,MATCH(F231,Weekly_Model!$A$2:$A$9,0)),0),IFERROR(INDEX(Weekly_Model!$D$2:$D$9,MATCH(F232,Weekly_Model!$A$2:$A$9,0)),0)),IF(VLOOKUP($A229,Calendar!$A$1:$R$1377,18,0)=5,SUM(IFERROR(INDEX(Weekly_Model!$D$2:$D$9,MATCH(F229,Weekly_Model!$A$2:$A$9,0)),0),IFERROR(INDEX(Weekly_Model!$D$2:$D$9,MATCH(F230,Weekly_Model!$A$2:$A$9,0)),0),IFERROR(INDEX(Weekly_Model!$D$2:$D$9,MATCH(F231,Weekly_Model!$A$2:$A$9,0)),0),IFERROR(INDEX(Weekly_Model!$D$2:$D$9,MATCH(F232,Weekly_Model!$A$2:$A$9,0)),0),IFERROR(INDEX(Weekly_Model!$D$2:$D$9,MATCH(F233,Weekly_Model!$A$2:$A$9,0)),0)),0))))))</f>
        <v>2.3200000000000002E-2</v>
      </c>
      <c r="L229" s="27">
        <f>IF(VLOOKUP($A229,Calendar!$A$1:$R$1377,18,0)=0,0,IF(VLOOKUP($A229,Calendar!$A$1:$R$1377,18,0)=1,IFERROR(INDEX(Fortnightly_Model!$D$2:$D$15,MATCH(G229,Fortnightly_Model!$B$2:$B$15,0)),0),IF(VLOOKUP($A229,Calendar!$A$1:$R$1377,18,0)=2,SUM(IFERROR(INDEX(Fortnightly_Model!$D$2:$D$15,MATCH(G229,Fortnightly_Model!$B$2:$B$15,0)),0),IFERROR(INDEX(Fortnightly_Model!$D$2:$D$15,MATCH(G230,Fortnightly_Model!$B$2:$B$15,0)),0)),IF(VLOOKUP($A229,Calendar!$A$1:$R$1377,18,0)=3,SUM(IFERROR(INDEX(Fortnightly_Model!$D$2:$D$15,MATCH(G229,Fortnightly_Model!$B$2:$B$15,0)),0),IFERROR(INDEX(Fortnightly_Model!$D$2:$D$15,MATCH(G230,Fortnightly_Model!$B$2:$B$15,0)),0),IFERROR(INDEX(Fortnightly_Model!$D$2:$D$15,MATCH(G231,Fortnightly_Model!$B$2:$B$15,0)),0)),IF(VLOOKUP($A229,Calendar!$A$1:$R$1377,18,0)=4,SUM(IFERROR(INDEX(Fortnightly_Model!$D$2:$D$15,MATCH(G229,Fortnightly_Model!$B$2:$B$15,0)),0),IFERROR(INDEX(Fortnightly_Model!$D$2:$D$15,MATCH(G230,Fortnightly_Model!$B$2:$B$15,0)),0),IFERROR(INDEX(Fortnightly_Model!$D$2:$D$15,MATCH(G231,Fortnightly_Model!$B$2:$B$15,0)),0),IFERROR(INDEX(Fortnightly_Model!$D$2:$D$15,MATCH(G232,Fortnightly_Model!$B$2:$B$15,0)),0)),IF(VLOOKUP($A229,Calendar!$A$1:$R$1377,18,0)=5,SUM(IFERROR(INDEX(Fortnightly_Model!$D$2:$D$15,MATCH(G229,Fortnightly_Model!$B$2:$B$15,0)),0),IFERROR(INDEX(Fortnightly_Model!$D$2:$D$15,MATCH(G230,Fortnightly_Model!$B$2:$B$15,0)),0),IFERROR(INDEX(Fortnightly_Model!$D$2:$D$15,MATCH(G231,Fortnightly_Model!$B$2:$B$15,0)),0),IFERROR(INDEX(Fortnightly_Model!$D$2:$D$15,MATCH(G232,Fortnightly_Model!$B$2:$B$15,0)),0),IFERROR(INDEX(Fortnightly_Model!$D$2:$D$15,MATCH(G233,Fortnightly_Model!$B$2:$B$15,0)),0)),0))))))</f>
        <v>1.0714285499999999E-3</v>
      </c>
      <c r="M229" s="27">
        <f>IF(VLOOKUP($A229,Calendar!$A$1:$R$1377,18,0)=0,0,IF(VLOOKUP($A229,Calendar!$A$1:$R$1377,18,0)=1,IFERROR(INDEX(FourWeekly_Model!$D$2:$D$29,MATCH(H229,FourWeekly_Model!$B$2:$B$29,0)),0),IF(VLOOKUP($A229,Calendar!$A$1:$R$1377,18,0)=2,SUM(IFERROR(INDEX(FourWeekly_Model!$D$2:$D$29,MATCH(H229,FourWeekly_Model!$B$2:$B$29,0)),0),IFERROR(INDEX(FourWeekly_Model!$D$2:$D$29,MATCH(H230,FourWeekly_Model!$B$2:$B$29,0)),0)),IF(VLOOKUP($A229,Calendar!$A$1:$R$1377,18,0)=3,SUM(IFERROR(INDEX(FourWeekly_Model!$D$2:$D$29,MATCH(H229,FourWeekly_Model!$B$2:$B$29,0)),0),IFERROR(INDEX(FourWeekly_Model!$D$2:$D$29,MATCH(H230,FourWeekly_Model!$B$2:$B$29,0)),0),IFERROR(INDEX(FourWeekly_Model!$D$2:$D$29,MATCH(H231,FourWeekly_Model!$B$2:$B$29,0)),0)),IF(VLOOKUP($A229,Calendar!$A$1:$R$1377,18,0)=4,SUM(IFERROR(INDEX(FourWeekly_Model!$D$2:$D$29,MATCH(H229,FourWeekly_Model!$B$2:$B$29,0)),0),IFERROR(INDEX(FourWeekly_Model!$D$2:$D$29,MATCH(H230,FourWeekly_Model!$B$2:$B$29,0)),0),IFERROR(INDEX(FourWeekly_Model!$D$2:$D$29,MATCH(H231,FourWeekly_Model!$B$2:$B$29,0)),0),IFERROR(INDEX(FourWeekly_Model!$D$2:$D$29,MATCH(H232,FourWeekly_Model!$B$2:$B$29,0)),0)),IF(VLOOKUP($A229,Calendar!$A$1:$R$1377,18,0)=5,SUM(IFERROR(INDEX(FourWeekly_Model!$D$2:$D$29,MATCH(H229,FourWeekly_Model!$B$2:$B$29,0)),0),IFERROR(INDEX(FourWeekly_Model!$D$2:$D$29,MATCH(H230,FourWeekly_Model!$B$2:$B$29,0)),0),IFERROR(INDEX(FourWeekly_Model!$D$2:$D$29,MATCH(H231,FourWeekly_Model!$B$2:$B$29,0)),0),IFERROR(INDEX(FourWeekly_Model!$D$2:$D$29,MATCH(H232,FourWeekly_Model!$B$2:$B$29,0)),0),IFERROR(INDEX(FourWeekly_Model!$D$2:$D$29,MATCH(H233,FourWeekly_Model!$B$2:$B$29,0)),0)),0))))))</f>
        <v>3.3214289700000004E-3</v>
      </c>
      <c r="N229" s="27">
        <f>SUM(I229:M229)</f>
        <v>2.921798841005236E-2</v>
      </c>
      <c r="O229" s="28">
        <f>Population_Data!$B$8*N229</f>
        <v>885305.04882458656</v>
      </c>
      <c r="P229" s="27">
        <f>IF(VLOOKUP($A229,Calendar!$A$1:$R$1377,18,0)=0,0,IF(VLOOKUP($A229,Calendar!$A$1:$R$1377,18,0)=1,IFERROR(INDEX(Pension_Model!$D$2:$D$29,MATCH(H229,Pension_Model!$B$2:$B$29,0)),0),IF(VLOOKUP($A229,Calendar!$A$1:$R$1377,18,0)=2,SUM(IFERROR(INDEX(Pension_Model!$D$2:$D$29,MATCH(H229,Pension_Model!$B$2:$B$29,0)),0),IFERROR(INDEX(Pension_Model!$D$2:$D$29,MATCH(H230,Pension_Model!$B$2:$B$29,0)),0)),IF(VLOOKUP($A229,Calendar!$A$1:$R$1377,18,0)=3,SUM(IFERROR(INDEX(Pension_Model!$D$2:$D$29,MATCH(H229,Pension_Model!$B$2:$B$29,0)),0),IFERROR(INDEX(Pension_Model!$D$2:$D$29,MATCH(H230,Pension_Model!$B$2:$B$29,0)),0),IFERROR(INDEX(Pension_Model!$D$2:$D$29,MATCH(H231,Pension_Model!$B$2:$B$29,0)),0)),IF(VLOOKUP($A229,Calendar!$A$1:$R$1377,18,0)=4,SUM(IFERROR(INDEX(Pension_Model!$D$2:$D$29,MATCH(H229,Pension_Model!$B$2:$B$29,0)),0),IFERROR(INDEX(Pension_Model!$D$2:$D$29,MATCH(H230,Pension_Model!$B$2:$B$29,0)),0),IFERROR(INDEX(Pension_Model!$D$2:$D$29,MATCH(H231,Pension_Model!$B$2:$B$29,0)),0),IFERROR(INDEX(Pension_Model!$D$2:$D$29,MATCH(H232,Pension_Model!$B$2:$B$29,0)),0)),IF(VLOOKUP($A229,Calendar!$A$1:$R$1377,18,0)=5,SUM(IFERROR(INDEX(Pension_Model!$D$2:$D$29,MATCH(H229,Pension_Model!$B$2:$B$29,0)),0),IFERROR(INDEX(Pension_Model!$D$2:$D$29,MATCH(H230,Pension_Model!$B$2:$B$29,0)),0),IFERROR(INDEX(Pension_Model!$D$2:$D$29,MATCH(H231,Pension_Model!$B$2:$B$29,0)),0),IFERROR(INDEX(Pension_Model!$D$2:$D$29,MATCH(H232,Pension_Model!$B$2:$B$29,0)),0),IFERROR(INDEX(Pension_Model!$D$2:$D$29,MATCH(H233,Pension_Model!$B$2:$B$29,0)),0)),0))))))</f>
        <v>0.05</v>
      </c>
      <c r="Q229" s="28">
        <f>Population_Data!$B$15*P229</f>
        <v>660600</v>
      </c>
      <c r="S229">
        <f t="shared" si="3"/>
        <v>1545905.0488245864</v>
      </c>
      <c r="U229" s="33">
        <f>S229/Population_Data!$B$19</f>
        <v>2.8005526246822218E-2</v>
      </c>
    </row>
    <row r="230" spans="1:21">
      <c r="A230" s="25">
        <f>Calendar!A230</f>
        <v>46463</v>
      </c>
      <c r="B230" t="str">
        <f>Calendar!L230</f>
        <v>Yes</v>
      </c>
      <c r="C230" t="str">
        <f>Calendar!O230</f>
        <v>No</v>
      </c>
      <c r="D230" t="str">
        <f>Calendar!P230</f>
        <v>No</v>
      </c>
      <c r="E230" t="str">
        <f>Calendar!Q230</f>
        <v>No</v>
      </c>
      <c r="F230" t="str">
        <f>Calendar!I230</f>
        <v>Wednesday</v>
      </c>
      <c r="G230">
        <f>Calendar!S230</f>
        <v>11</v>
      </c>
      <c r="H230">
        <f>Calendar!T230</f>
        <v>11</v>
      </c>
      <c r="I230" s="27">
        <f>IF(VLOOKUP(A230,Calendar!$A$1:$R$1377,18,0)=0,0,IF(VLOOKUP(A230,Calendar!$A$1:$R$1377,18,0)=1,INDEX(Monthly_Pay_Model!$A$9:$D$40,MATCH(TEXT(A230,"dd"),Monthly_Pay_Model!$C$9:$C$39,0),4),IF(VLOOKUP(A230,Calendar!$A$1:$R$1377,18,0)=2,SUM(INDEX(Monthly_Pay_Model!$A$9:$D$40,MATCH(TEXT(A230,"dd"),Monthly_Pay_Model!$C$9:$C$39,0),4),INDEX(Monthly_Pay_Model!$A$9:$D$40,MATCH(TEXT(A231,"dd"),Monthly_Pay_Model!$C$9:$C$39,0),4)),IF(VLOOKUP(A230,Calendar!$A$1:$R$1377,18,0)=3,SUM(INDEX(Monthly_Pay_Model!$A$9:$D$40,MATCH(TEXT(A230,"dd"),Monthly_Pay_Model!$C$9:$C$39,0),4),INDEX(Monthly_Pay_Model!$A$9:$D$40,MATCH(TEXT(A231,"dd"),Monthly_Pay_Model!$C$9:$C$39,0),4),INDEX(Monthly_Pay_Model!$A$9:$D$40,MATCH(TEXT(A232,"dd"),Monthly_Pay_Model!$C$9:$C$39,0),4)),IF(VLOOKUP(A230,Calendar!$A$1:$R$1377,18,0)=4,SUM(INDEX(Monthly_Pay_Model!$A$9:$D$40,MATCH(TEXT(A230,"dd"),Monthly_Pay_Model!$C$9:$C$39,0),4),INDEX(Monthly_Pay_Model!$A$9:$D$40,MATCH(TEXT(A231,"dd"),Monthly_Pay_Model!$C$9:$C$39,0),4),INDEX(Monthly_Pay_Model!$A$9:$D$40,MATCH(TEXT(A232,"dd"),Monthly_Pay_Model!$C$9:$C$39,0),4),INDEX(Monthly_Pay_Model!$A$9:$D$40,MATCH(TEXT(A233,"dd"),Monthly_Pay_Model!$C$9:$C$39,0),4)),IF(VLOOKUP(A230,Calendar!$A$1:$R$1377,18,0)=5,SUM(INDEX(Monthly_Pay_Model!$A$9:$D$40,MATCH(TEXT(A230,"dd"),Monthly_Pay_Model!$C$9:$C$39,0),4),INDEX(Monthly_Pay_Model!$A$9:$D$40,MATCH(TEXT(A231,"dd"),Monthly_Pay_Model!$C$9:$C$39,0),4),INDEX(Monthly_Pay_Model!$A$9:$D$40,MATCH(TEXT(A232,"dd"),Monthly_Pay_Model!$C$9:$C$39,0),4),INDEX(Monthly_Pay_Model!$A$9:$D$40,MATCH(TEXT(A233,"dd"),Monthly_Pay_Model!$C$9:$C$39,0),4),INDEX(Monthly_Pay_Model!$A$9:$D$40,MATCH(TEXT(A234,"dd"),Monthly_Pay_Model!$C$9:$C$39,0),4)),))))))</f>
        <v>8.1256544502617792E-4</v>
      </c>
      <c r="J230" s="33">
        <f>IF(C230="Yes",Monthly_Pay_Model!$D$2,0)
+IF(Calendar!N230="Yes",Monthly_Pay_Model!$D$3,0)
+IF(D230="Yes",Monthly_Pay_Model!$D$4,0)
+IF(E230="Yes",Monthly_Pay_Model!$D$5,0)</f>
        <v>0</v>
      </c>
      <c r="K230" s="27">
        <f>IF(VLOOKUP($A230,Calendar!$A$1:$R$1377,18,0)=0,0,IF(VLOOKUP($A230,Calendar!$A$1:$R$1377,18,0)=1,IFERROR(INDEX(Weekly_Model!$D$2:$D$9,MATCH(F230,Weekly_Model!$A$2:$A$9,0)),0),IF(VLOOKUP($A230,Calendar!$A$1:$R$1377,18,0)=2,SUM(IFERROR(INDEX(Weekly_Model!$D$2:$D$9,MATCH(F230,Weekly_Model!$A$2:$A$9,0)),0),IFERROR(INDEX(Weekly_Model!$D$2:$D$9,MATCH(F231,Weekly_Model!$A$2:$A$9,0)),0)),IF(VLOOKUP($A230,Calendar!$A$1:$R$1377,18,0)=3,SUM(IFERROR(INDEX(Weekly_Model!$D$2:$D$9,MATCH(F230,Weekly_Model!$A$2:$A$9,0)),0),IFERROR(INDEX(Weekly_Model!$D$2:$D$9,MATCH(F231,Weekly_Model!$A$2:$A$9,0)),0),IFERROR(INDEX(Weekly_Model!$D$2:$D$9,MATCH(F232,Weekly_Model!$A$2:$A$9,0)),0)),IF(VLOOKUP($A230,Calendar!$A$1:$R$1377,18,0)=4,SUM(IFERROR(INDEX(Weekly_Model!$D$2:$D$9,MATCH(F230,Weekly_Model!$A$2:$A$9,0)),0),IFERROR(INDEX(Weekly_Model!$D$2:$D$9,MATCH(F231,Weekly_Model!$A$2:$A$9,0)),0),IFERROR(INDEX(Weekly_Model!$D$2:$D$9,MATCH(F232,Weekly_Model!$A$2:$A$9,0)),0),IFERROR(INDEX(Weekly_Model!$D$2:$D$9,MATCH(F233,Weekly_Model!$A$2:$A$9,0)),0)),IF(VLOOKUP($A230,Calendar!$A$1:$R$1377,18,0)=5,SUM(IFERROR(INDEX(Weekly_Model!$D$2:$D$9,MATCH(F230,Weekly_Model!$A$2:$A$9,0)),0),IFERROR(INDEX(Weekly_Model!$D$2:$D$9,MATCH(F231,Weekly_Model!$A$2:$A$9,0)),0),IFERROR(INDEX(Weekly_Model!$D$2:$D$9,MATCH(F232,Weekly_Model!$A$2:$A$9,0)),0),IFERROR(INDEX(Weekly_Model!$D$2:$D$9,MATCH(F233,Weekly_Model!$A$2:$A$9,0)),0),IFERROR(INDEX(Weekly_Model!$D$2:$D$9,MATCH(F234,Weekly_Model!$A$2:$A$9,0)),0)),0))))))</f>
        <v>2.3200000000000002E-2</v>
      </c>
      <c r="L230" s="27">
        <f>IF(VLOOKUP($A230,Calendar!$A$1:$R$1377,18,0)=0,0,IF(VLOOKUP($A230,Calendar!$A$1:$R$1377,18,0)=1,IFERROR(INDEX(Fortnightly_Model!$D$2:$D$15,MATCH(G230,Fortnightly_Model!$B$2:$B$15,0)),0),IF(VLOOKUP($A230,Calendar!$A$1:$R$1377,18,0)=2,SUM(IFERROR(INDEX(Fortnightly_Model!$D$2:$D$15,MATCH(G230,Fortnightly_Model!$B$2:$B$15,0)),0),IFERROR(INDEX(Fortnightly_Model!$D$2:$D$15,MATCH(G231,Fortnightly_Model!$B$2:$B$15,0)),0)),IF(VLOOKUP($A230,Calendar!$A$1:$R$1377,18,0)=3,SUM(IFERROR(INDEX(Fortnightly_Model!$D$2:$D$15,MATCH(G230,Fortnightly_Model!$B$2:$B$15,0)),0),IFERROR(INDEX(Fortnightly_Model!$D$2:$D$15,MATCH(G231,Fortnightly_Model!$B$2:$B$15,0)),0),IFERROR(INDEX(Fortnightly_Model!$D$2:$D$15,MATCH(G232,Fortnightly_Model!$B$2:$B$15,0)),0)),IF(VLOOKUP($A230,Calendar!$A$1:$R$1377,18,0)=4,SUM(IFERROR(INDEX(Fortnightly_Model!$D$2:$D$15,MATCH(G230,Fortnightly_Model!$B$2:$B$15,0)),0),IFERROR(INDEX(Fortnightly_Model!$D$2:$D$15,MATCH(G231,Fortnightly_Model!$B$2:$B$15,0)),0),IFERROR(INDEX(Fortnightly_Model!$D$2:$D$15,MATCH(G232,Fortnightly_Model!$B$2:$B$15,0)),0),IFERROR(INDEX(Fortnightly_Model!$D$2:$D$15,MATCH(G233,Fortnightly_Model!$B$2:$B$15,0)),0)),IF(VLOOKUP($A230,Calendar!$A$1:$R$1377,18,0)=5,SUM(IFERROR(INDEX(Fortnightly_Model!$D$2:$D$15,MATCH(G230,Fortnightly_Model!$B$2:$B$15,0)),0),IFERROR(INDEX(Fortnightly_Model!$D$2:$D$15,MATCH(G231,Fortnightly_Model!$B$2:$B$15,0)),0),IFERROR(INDEX(Fortnightly_Model!$D$2:$D$15,MATCH(G232,Fortnightly_Model!$B$2:$B$15,0)),0),IFERROR(INDEX(Fortnightly_Model!$D$2:$D$15,MATCH(G233,Fortnightly_Model!$B$2:$B$15,0)),0),IFERROR(INDEX(Fortnightly_Model!$D$2:$D$15,MATCH(G234,Fortnightly_Model!$B$2:$B$15,0)),0)),0))))))</f>
        <v>1.0714285499999999E-3</v>
      </c>
      <c r="M230" s="27">
        <f>IF(VLOOKUP($A230,Calendar!$A$1:$R$1377,18,0)=0,0,IF(VLOOKUP($A230,Calendar!$A$1:$R$1377,18,0)=1,IFERROR(INDEX(FourWeekly_Model!$D$2:$D$29,MATCH(H230,FourWeekly_Model!$B$2:$B$29,0)),0),IF(VLOOKUP($A230,Calendar!$A$1:$R$1377,18,0)=2,SUM(IFERROR(INDEX(FourWeekly_Model!$D$2:$D$29,MATCH(H230,FourWeekly_Model!$B$2:$B$29,0)),0),IFERROR(INDEX(FourWeekly_Model!$D$2:$D$29,MATCH(H231,FourWeekly_Model!$B$2:$B$29,0)),0)),IF(VLOOKUP($A230,Calendar!$A$1:$R$1377,18,0)=3,SUM(IFERROR(INDEX(FourWeekly_Model!$D$2:$D$29,MATCH(H230,FourWeekly_Model!$B$2:$B$29,0)),0),IFERROR(INDEX(FourWeekly_Model!$D$2:$D$29,MATCH(H231,FourWeekly_Model!$B$2:$B$29,0)),0),IFERROR(INDEX(FourWeekly_Model!$D$2:$D$29,MATCH(H232,FourWeekly_Model!$B$2:$B$29,0)),0)),IF(VLOOKUP($A230,Calendar!$A$1:$R$1377,18,0)=4,SUM(IFERROR(INDEX(FourWeekly_Model!$D$2:$D$29,MATCH(H230,FourWeekly_Model!$B$2:$B$29,0)),0),IFERROR(INDEX(FourWeekly_Model!$D$2:$D$29,MATCH(H231,FourWeekly_Model!$B$2:$B$29,0)),0),IFERROR(INDEX(FourWeekly_Model!$D$2:$D$29,MATCH(H232,FourWeekly_Model!$B$2:$B$29,0)),0),IFERROR(INDEX(FourWeekly_Model!$D$2:$D$29,MATCH(H233,FourWeekly_Model!$B$2:$B$29,0)),0)),IF(VLOOKUP($A230,Calendar!$A$1:$R$1377,18,0)=5,SUM(IFERROR(INDEX(FourWeekly_Model!$D$2:$D$29,MATCH(H230,FourWeekly_Model!$B$2:$B$29,0)),0),IFERROR(INDEX(FourWeekly_Model!$D$2:$D$29,MATCH(H231,FourWeekly_Model!$B$2:$B$29,0)),0),IFERROR(INDEX(FourWeekly_Model!$D$2:$D$29,MATCH(H232,FourWeekly_Model!$B$2:$B$29,0)),0),IFERROR(INDEX(FourWeekly_Model!$D$2:$D$29,MATCH(H233,FourWeekly_Model!$B$2:$B$29,0)),0),IFERROR(INDEX(FourWeekly_Model!$D$2:$D$29,MATCH(H234,FourWeekly_Model!$B$2:$B$29,0)),0)),0))))))</f>
        <v>3.3214289700000004E-3</v>
      </c>
      <c r="N230" s="27">
        <f>SUM(I230:M230)</f>
        <v>2.840542296502618E-2</v>
      </c>
      <c r="O230" s="28">
        <f>Population_Data!$B$8*N230</f>
        <v>860684.3158402933</v>
      </c>
      <c r="P230" s="27">
        <f>IF(VLOOKUP($A230,Calendar!$A$1:$R$1377,18,0)=0,0,IF(VLOOKUP($A230,Calendar!$A$1:$R$1377,18,0)=1,IFERROR(INDEX(Pension_Model!$D$2:$D$29,MATCH(H230,Pension_Model!$B$2:$B$29,0)),0),IF(VLOOKUP($A230,Calendar!$A$1:$R$1377,18,0)=2,SUM(IFERROR(INDEX(Pension_Model!$D$2:$D$29,MATCH(H230,Pension_Model!$B$2:$B$29,0)),0),IFERROR(INDEX(Pension_Model!$D$2:$D$29,MATCH(H231,Pension_Model!$B$2:$B$29,0)),0)),IF(VLOOKUP($A230,Calendar!$A$1:$R$1377,18,0)=3,SUM(IFERROR(INDEX(Pension_Model!$D$2:$D$29,MATCH(H230,Pension_Model!$B$2:$B$29,0)),0),IFERROR(INDEX(Pension_Model!$D$2:$D$29,MATCH(H231,Pension_Model!$B$2:$B$29,0)),0),IFERROR(INDEX(Pension_Model!$D$2:$D$29,MATCH(H232,Pension_Model!$B$2:$B$29,0)),0)),IF(VLOOKUP($A230,Calendar!$A$1:$R$1377,18,0)=4,SUM(IFERROR(INDEX(Pension_Model!$D$2:$D$29,MATCH(H230,Pension_Model!$B$2:$B$29,0)),0),IFERROR(INDEX(Pension_Model!$D$2:$D$29,MATCH(H231,Pension_Model!$B$2:$B$29,0)),0),IFERROR(INDEX(Pension_Model!$D$2:$D$29,MATCH(H232,Pension_Model!$B$2:$B$29,0)),0),IFERROR(INDEX(Pension_Model!$D$2:$D$29,MATCH(H233,Pension_Model!$B$2:$B$29,0)),0)),IF(VLOOKUP($A230,Calendar!$A$1:$R$1377,18,0)=5,SUM(IFERROR(INDEX(Pension_Model!$D$2:$D$29,MATCH(H230,Pension_Model!$B$2:$B$29,0)),0),IFERROR(INDEX(Pension_Model!$D$2:$D$29,MATCH(H231,Pension_Model!$B$2:$B$29,0)),0),IFERROR(INDEX(Pension_Model!$D$2:$D$29,MATCH(H232,Pension_Model!$B$2:$B$29,0)),0),IFERROR(INDEX(Pension_Model!$D$2:$D$29,MATCH(H233,Pension_Model!$B$2:$B$29,0)),0),IFERROR(INDEX(Pension_Model!$D$2:$D$29,MATCH(H234,Pension_Model!$B$2:$B$29,0)),0)),0))))))</f>
        <v>0.05</v>
      </c>
      <c r="Q230" s="28">
        <f>Population_Data!$B$15*P230</f>
        <v>660600</v>
      </c>
      <c r="S230">
        <f t="shared" si="3"/>
        <v>1521284.3158402932</v>
      </c>
      <c r="U230" s="33">
        <f>S230/Population_Data!$B$19</f>
        <v>2.7559498475367629E-2</v>
      </c>
    </row>
    <row r="231" spans="1:21">
      <c r="A231" s="25">
        <f>Calendar!A231</f>
        <v>46464</v>
      </c>
      <c r="B231" t="str">
        <f>Calendar!L231</f>
        <v>Yes</v>
      </c>
      <c r="C231" t="str">
        <f>Calendar!O231</f>
        <v>No</v>
      </c>
      <c r="D231" t="str">
        <f>Calendar!P231</f>
        <v>No</v>
      </c>
      <c r="E231" t="str">
        <f>Calendar!Q231</f>
        <v>No</v>
      </c>
      <c r="F231" t="str">
        <f>Calendar!I231</f>
        <v>Thursday</v>
      </c>
      <c r="G231">
        <f>Calendar!S231</f>
        <v>12</v>
      </c>
      <c r="H231">
        <f>Calendar!T231</f>
        <v>12</v>
      </c>
      <c r="I231" s="27">
        <f>IF(VLOOKUP(A231,Calendar!$A$1:$R$1377,18,0)=0,0,IF(VLOOKUP(A231,Calendar!$A$1:$R$1377,18,0)=1,INDEX(Monthly_Pay_Model!$A$9:$D$40,MATCH(TEXT(A231,"dd"),Monthly_Pay_Model!$C$9:$C$39,0),4),IF(VLOOKUP(A231,Calendar!$A$1:$R$1377,18,0)=2,SUM(INDEX(Monthly_Pay_Model!$A$9:$D$40,MATCH(TEXT(A231,"dd"),Monthly_Pay_Model!$C$9:$C$39,0),4),INDEX(Monthly_Pay_Model!$A$9:$D$40,MATCH(TEXT(A232,"dd"),Monthly_Pay_Model!$C$9:$C$39,0),4)),IF(VLOOKUP(A231,Calendar!$A$1:$R$1377,18,0)=3,SUM(INDEX(Monthly_Pay_Model!$A$9:$D$40,MATCH(TEXT(A231,"dd"),Monthly_Pay_Model!$C$9:$C$39,0),4),INDEX(Monthly_Pay_Model!$A$9:$D$40,MATCH(TEXT(A232,"dd"),Monthly_Pay_Model!$C$9:$C$39,0),4),INDEX(Monthly_Pay_Model!$A$9:$D$40,MATCH(TEXT(A233,"dd"),Monthly_Pay_Model!$C$9:$C$39,0),4)),IF(VLOOKUP(A231,Calendar!$A$1:$R$1377,18,0)=4,SUM(INDEX(Monthly_Pay_Model!$A$9:$D$40,MATCH(TEXT(A231,"dd"),Monthly_Pay_Model!$C$9:$C$39,0),4),INDEX(Monthly_Pay_Model!$A$9:$D$40,MATCH(TEXT(A232,"dd"),Monthly_Pay_Model!$C$9:$C$39,0),4),INDEX(Monthly_Pay_Model!$A$9:$D$40,MATCH(TEXT(A233,"dd"),Monthly_Pay_Model!$C$9:$C$39,0),4),INDEX(Monthly_Pay_Model!$A$9:$D$40,MATCH(TEXT(A234,"dd"),Monthly_Pay_Model!$C$9:$C$39,0),4)),IF(VLOOKUP(A231,Calendar!$A$1:$R$1377,18,0)=5,SUM(INDEX(Monthly_Pay_Model!$A$9:$D$40,MATCH(TEXT(A231,"dd"),Monthly_Pay_Model!$C$9:$C$39,0),4),INDEX(Monthly_Pay_Model!$A$9:$D$40,MATCH(TEXT(A232,"dd"),Monthly_Pay_Model!$C$9:$C$39,0),4),INDEX(Monthly_Pay_Model!$A$9:$D$40,MATCH(TEXT(A233,"dd"),Monthly_Pay_Model!$C$9:$C$39,0),4),INDEX(Monthly_Pay_Model!$A$9:$D$40,MATCH(TEXT(A234,"dd"),Monthly_Pay_Model!$C$9:$C$39,0),4),INDEX(Monthly_Pay_Model!$A$9:$D$40,MATCH(TEXT(A235,"dd"),Monthly_Pay_Model!$C$9:$C$39,0),4)),))))))</f>
        <v>2.4376963350785331E-3</v>
      </c>
      <c r="J231" s="33">
        <f>IF(C231="Yes",Monthly_Pay_Model!$D$2,0)
+IF(Calendar!N231="Yes",Monthly_Pay_Model!$D$3,0)
+IF(D231="Yes",Monthly_Pay_Model!$D$4,0)
+IF(E231="Yes",Monthly_Pay_Model!$D$5,0)</f>
        <v>0</v>
      </c>
      <c r="K231" s="27">
        <f>IF(VLOOKUP($A231,Calendar!$A$1:$R$1377,18,0)=0,0,IF(VLOOKUP($A231,Calendar!$A$1:$R$1377,18,0)=1,IFERROR(INDEX(Weekly_Model!$D$2:$D$9,MATCH(F231,Weekly_Model!$A$2:$A$9,0)),0),IF(VLOOKUP($A231,Calendar!$A$1:$R$1377,18,0)=2,SUM(IFERROR(INDEX(Weekly_Model!$D$2:$D$9,MATCH(F231,Weekly_Model!$A$2:$A$9,0)),0),IFERROR(INDEX(Weekly_Model!$D$2:$D$9,MATCH(F232,Weekly_Model!$A$2:$A$9,0)),0)),IF(VLOOKUP($A231,Calendar!$A$1:$R$1377,18,0)=3,SUM(IFERROR(INDEX(Weekly_Model!$D$2:$D$9,MATCH(F231,Weekly_Model!$A$2:$A$9,0)),0),IFERROR(INDEX(Weekly_Model!$D$2:$D$9,MATCH(F232,Weekly_Model!$A$2:$A$9,0)),0),IFERROR(INDEX(Weekly_Model!$D$2:$D$9,MATCH(F233,Weekly_Model!$A$2:$A$9,0)),0)),IF(VLOOKUP($A231,Calendar!$A$1:$R$1377,18,0)=4,SUM(IFERROR(INDEX(Weekly_Model!$D$2:$D$9,MATCH(F231,Weekly_Model!$A$2:$A$9,0)),0),IFERROR(INDEX(Weekly_Model!$D$2:$D$9,MATCH(F232,Weekly_Model!$A$2:$A$9,0)),0),IFERROR(INDEX(Weekly_Model!$D$2:$D$9,MATCH(F233,Weekly_Model!$A$2:$A$9,0)),0),IFERROR(INDEX(Weekly_Model!$D$2:$D$9,MATCH(F234,Weekly_Model!$A$2:$A$9,0)),0)),IF(VLOOKUP($A231,Calendar!$A$1:$R$1377,18,0)=5,SUM(IFERROR(INDEX(Weekly_Model!$D$2:$D$9,MATCH(F231,Weekly_Model!$A$2:$A$9,0)),0),IFERROR(INDEX(Weekly_Model!$D$2:$D$9,MATCH(F232,Weekly_Model!$A$2:$A$9,0)),0),IFERROR(INDEX(Weekly_Model!$D$2:$D$9,MATCH(F233,Weekly_Model!$A$2:$A$9,0)),0),IFERROR(INDEX(Weekly_Model!$D$2:$D$9,MATCH(F234,Weekly_Model!$A$2:$A$9,0)),0),IFERROR(INDEX(Weekly_Model!$D$2:$D$9,MATCH(F235,Weekly_Model!$A$2:$A$9,0)),0)),0))))))</f>
        <v>2.3200000000000002E-2</v>
      </c>
      <c r="L231" s="27">
        <f>IF(VLOOKUP($A231,Calendar!$A$1:$R$1377,18,0)=0,0,IF(VLOOKUP($A231,Calendar!$A$1:$R$1377,18,0)=1,IFERROR(INDEX(Fortnightly_Model!$D$2:$D$15,MATCH(G231,Fortnightly_Model!$B$2:$B$15,0)),0),IF(VLOOKUP($A231,Calendar!$A$1:$R$1377,18,0)=2,SUM(IFERROR(INDEX(Fortnightly_Model!$D$2:$D$15,MATCH(G231,Fortnightly_Model!$B$2:$B$15,0)),0),IFERROR(INDEX(Fortnightly_Model!$D$2:$D$15,MATCH(G232,Fortnightly_Model!$B$2:$B$15,0)),0)),IF(VLOOKUP($A231,Calendar!$A$1:$R$1377,18,0)=3,SUM(IFERROR(INDEX(Fortnightly_Model!$D$2:$D$15,MATCH(G231,Fortnightly_Model!$B$2:$B$15,0)),0),IFERROR(INDEX(Fortnightly_Model!$D$2:$D$15,MATCH(G232,Fortnightly_Model!$B$2:$B$15,0)),0),IFERROR(INDEX(Fortnightly_Model!$D$2:$D$15,MATCH(G233,Fortnightly_Model!$B$2:$B$15,0)),0)),IF(VLOOKUP($A231,Calendar!$A$1:$R$1377,18,0)=4,SUM(IFERROR(INDEX(Fortnightly_Model!$D$2:$D$15,MATCH(G231,Fortnightly_Model!$B$2:$B$15,0)),0),IFERROR(INDEX(Fortnightly_Model!$D$2:$D$15,MATCH(G232,Fortnightly_Model!$B$2:$B$15,0)),0),IFERROR(INDEX(Fortnightly_Model!$D$2:$D$15,MATCH(G233,Fortnightly_Model!$B$2:$B$15,0)),0),IFERROR(INDEX(Fortnightly_Model!$D$2:$D$15,MATCH(G234,Fortnightly_Model!$B$2:$B$15,0)),0)),IF(VLOOKUP($A231,Calendar!$A$1:$R$1377,18,0)=5,SUM(IFERROR(INDEX(Fortnightly_Model!$D$2:$D$15,MATCH(G231,Fortnightly_Model!$B$2:$B$15,0)),0),IFERROR(INDEX(Fortnightly_Model!$D$2:$D$15,MATCH(G232,Fortnightly_Model!$B$2:$B$15,0)),0),IFERROR(INDEX(Fortnightly_Model!$D$2:$D$15,MATCH(G233,Fortnightly_Model!$B$2:$B$15,0)),0),IFERROR(INDEX(Fortnightly_Model!$D$2:$D$15,MATCH(G234,Fortnightly_Model!$B$2:$B$15,0)),0),IFERROR(INDEX(Fortnightly_Model!$D$2:$D$15,MATCH(G235,Fortnightly_Model!$B$2:$B$15,0)),0)),0))))))</f>
        <v>1.0714285499999999E-3</v>
      </c>
      <c r="M231" s="27">
        <f>IF(VLOOKUP($A231,Calendar!$A$1:$R$1377,18,0)=0,0,IF(VLOOKUP($A231,Calendar!$A$1:$R$1377,18,0)=1,IFERROR(INDEX(FourWeekly_Model!$D$2:$D$29,MATCH(H231,FourWeekly_Model!$B$2:$B$29,0)),0),IF(VLOOKUP($A231,Calendar!$A$1:$R$1377,18,0)=2,SUM(IFERROR(INDEX(FourWeekly_Model!$D$2:$D$29,MATCH(H231,FourWeekly_Model!$B$2:$B$29,0)),0),IFERROR(INDEX(FourWeekly_Model!$D$2:$D$29,MATCH(H232,FourWeekly_Model!$B$2:$B$29,0)),0)),IF(VLOOKUP($A231,Calendar!$A$1:$R$1377,18,0)=3,SUM(IFERROR(INDEX(FourWeekly_Model!$D$2:$D$29,MATCH(H231,FourWeekly_Model!$B$2:$B$29,0)),0),IFERROR(INDEX(FourWeekly_Model!$D$2:$D$29,MATCH(H232,FourWeekly_Model!$B$2:$B$29,0)),0),IFERROR(INDEX(FourWeekly_Model!$D$2:$D$29,MATCH(H233,FourWeekly_Model!$B$2:$B$29,0)),0)),IF(VLOOKUP($A231,Calendar!$A$1:$R$1377,18,0)=4,SUM(IFERROR(INDEX(FourWeekly_Model!$D$2:$D$29,MATCH(H231,FourWeekly_Model!$B$2:$B$29,0)),0),IFERROR(INDEX(FourWeekly_Model!$D$2:$D$29,MATCH(H232,FourWeekly_Model!$B$2:$B$29,0)),0),IFERROR(INDEX(FourWeekly_Model!$D$2:$D$29,MATCH(H233,FourWeekly_Model!$B$2:$B$29,0)),0),IFERROR(INDEX(FourWeekly_Model!$D$2:$D$29,MATCH(H234,FourWeekly_Model!$B$2:$B$29,0)),0)),IF(VLOOKUP($A231,Calendar!$A$1:$R$1377,18,0)=5,SUM(IFERROR(INDEX(FourWeekly_Model!$D$2:$D$29,MATCH(H231,FourWeekly_Model!$B$2:$B$29,0)),0),IFERROR(INDEX(FourWeekly_Model!$D$2:$D$29,MATCH(H232,FourWeekly_Model!$B$2:$B$29,0)),0),IFERROR(INDEX(FourWeekly_Model!$D$2:$D$29,MATCH(H233,FourWeekly_Model!$B$2:$B$29,0)),0),IFERROR(INDEX(FourWeekly_Model!$D$2:$D$29,MATCH(H234,FourWeekly_Model!$B$2:$B$29,0)),0),IFERROR(INDEX(FourWeekly_Model!$D$2:$D$29,MATCH(H235,FourWeekly_Model!$B$2:$B$29,0)),0)),0))))))</f>
        <v>3.3214289700000004E-3</v>
      </c>
      <c r="N231" s="27">
        <f>SUM(I231:M231)</f>
        <v>3.0030553855078537E-2</v>
      </c>
      <c r="O231" s="28">
        <f>Population_Data!$B$8*N231</f>
        <v>909925.78180887969</v>
      </c>
      <c r="P231" s="27">
        <f>IF(VLOOKUP($A231,Calendar!$A$1:$R$1377,18,0)=0,0,IF(VLOOKUP($A231,Calendar!$A$1:$R$1377,18,0)=1,IFERROR(INDEX(Pension_Model!$D$2:$D$29,MATCH(H231,Pension_Model!$B$2:$B$29,0)),0),IF(VLOOKUP($A231,Calendar!$A$1:$R$1377,18,0)=2,SUM(IFERROR(INDEX(Pension_Model!$D$2:$D$29,MATCH(H231,Pension_Model!$B$2:$B$29,0)),0),IFERROR(INDEX(Pension_Model!$D$2:$D$29,MATCH(H232,Pension_Model!$B$2:$B$29,0)),0)),IF(VLOOKUP($A231,Calendar!$A$1:$R$1377,18,0)=3,SUM(IFERROR(INDEX(Pension_Model!$D$2:$D$29,MATCH(H231,Pension_Model!$B$2:$B$29,0)),0),IFERROR(INDEX(Pension_Model!$D$2:$D$29,MATCH(H232,Pension_Model!$B$2:$B$29,0)),0),IFERROR(INDEX(Pension_Model!$D$2:$D$29,MATCH(H233,Pension_Model!$B$2:$B$29,0)),0)),IF(VLOOKUP($A231,Calendar!$A$1:$R$1377,18,0)=4,SUM(IFERROR(INDEX(Pension_Model!$D$2:$D$29,MATCH(H231,Pension_Model!$B$2:$B$29,0)),0),IFERROR(INDEX(Pension_Model!$D$2:$D$29,MATCH(H232,Pension_Model!$B$2:$B$29,0)),0),IFERROR(INDEX(Pension_Model!$D$2:$D$29,MATCH(H233,Pension_Model!$B$2:$B$29,0)),0),IFERROR(INDEX(Pension_Model!$D$2:$D$29,MATCH(H234,Pension_Model!$B$2:$B$29,0)),0)),IF(VLOOKUP($A231,Calendar!$A$1:$R$1377,18,0)=5,SUM(IFERROR(INDEX(Pension_Model!$D$2:$D$29,MATCH(H231,Pension_Model!$B$2:$B$29,0)),0),IFERROR(INDEX(Pension_Model!$D$2:$D$29,MATCH(H232,Pension_Model!$B$2:$B$29,0)),0),IFERROR(INDEX(Pension_Model!$D$2:$D$29,MATCH(H233,Pension_Model!$B$2:$B$29,0)),0),IFERROR(INDEX(Pension_Model!$D$2:$D$29,MATCH(H234,Pension_Model!$B$2:$B$29,0)),0),IFERROR(INDEX(Pension_Model!$D$2:$D$29,MATCH(H235,Pension_Model!$B$2:$B$29,0)),0)),0))))))</f>
        <v>0.05</v>
      </c>
      <c r="Q231" s="28">
        <f>Population_Data!$B$15*P231</f>
        <v>660600</v>
      </c>
      <c r="S231">
        <f t="shared" si="3"/>
        <v>1570525.7818088797</v>
      </c>
      <c r="U231" s="33">
        <f>S231/Population_Data!$B$19</f>
        <v>2.8451554018276808E-2</v>
      </c>
    </row>
    <row r="232" spans="1:21">
      <c r="A232" s="25">
        <f>Calendar!A232</f>
        <v>46465</v>
      </c>
      <c r="B232" t="str">
        <f>Calendar!L232</f>
        <v>Yes</v>
      </c>
      <c r="C232" t="str">
        <f>Calendar!O232</f>
        <v>No</v>
      </c>
      <c r="D232" t="str">
        <f>Calendar!P232</f>
        <v>No</v>
      </c>
      <c r="E232" t="str">
        <f>Calendar!Q232</f>
        <v>No</v>
      </c>
      <c r="F232" t="str">
        <f>Calendar!I232</f>
        <v>Friday</v>
      </c>
      <c r="G232">
        <f>Calendar!S232</f>
        <v>13</v>
      </c>
      <c r="H232">
        <f>Calendar!T232</f>
        <v>13</v>
      </c>
      <c r="I232" s="27">
        <f>IF(VLOOKUP(A232,Calendar!$A$1:$R$1377,18,0)=0,0,IF(VLOOKUP(A232,Calendar!$A$1:$R$1377,18,0)=1,INDEX(Monthly_Pay_Model!$A$9:$D$40,MATCH(TEXT(A232,"dd"),Monthly_Pay_Model!$C$9:$C$39,0),4),IF(VLOOKUP(A232,Calendar!$A$1:$R$1377,18,0)=2,SUM(INDEX(Monthly_Pay_Model!$A$9:$D$40,MATCH(TEXT(A232,"dd"),Monthly_Pay_Model!$C$9:$C$39,0),4),INDEX(Monthly_Pay_Model!$A$9:$D$40,MATCH(TEXT(A233,"dd"),Monthly_Pay_Model!$C$9:$C$39,0),4)),IF(VLOOKUP(A232,Calendar!$A$1:$R$1377,18,0)=3,SUM(INDEX(Monthly_Pay_Model!$A$9:$D$40,MATCH(TEXT(A232,"dd"),Monthly_Pay_Model!$C$9:$C$39,0),4),INDEX(Monthly_Pay_Model!$A$9:$D$40,MATCH(TEXT(A233,"dd"),Monthly_Pay_Model!$C$9:$C$39,0),4),INDEX(Monthly_Pay_Model!$A$9:$D$40,MATCH(TEXT(A234,"dd"),Monthly_Pay_Model!$C$9:$C$39,0),4)),IF(VLOOKUP(A232,Calendar!$A$1:$R$1377,18,0)=4,SUM(INDEX(Monthly_Pay_Model!$A$9:$D$40,MATCH(TEXT(A232,"dd"),Monthly_Pay_Model!$C$9:$C$39,0),4),INDEX(Monthly_Pay_Model!$A$9:$D$40,MATCH(TEXT(A233,"dd"),Monthly_Pay_Model!$C$9:$C$39,0),4),INDEX(Monthly_Pay_Model!$A$9:$D$40,MATCH(TEXT(A234,"dd"),Monthly_Pay_Model!$C$9:$C$39,0),4),INDEX(Monthly_Pay_Model!$A$9:$D$40,MATCH(TEXT(A235,"dd"),Monthly_Pay_Model!$C$9:$C$39,0),4)),IF(VLOOKUP(A232,Calendar!$A$1:$R$1377,18,0)=5,SUM(INDEX(Monthly_Pay_Model!$A$9:$D$40,MATCH(TEXT(A232,"dd"),Monthly_Pay_Model!$C$9:$C$39,0),4),INDEX(Monthly_Pay_Model!$A$9:$D$40,MATCH(TEXT(A233,"dd"),Monthly_Pay_Model!$C$9:$C$39,0),4),INDEX(Monthly_Pay_Model!$A$9:$D$40,MATCH(TEXT(A234,"dd"),Monthly_Pay_Model!$C$9:$C$39,0),4),INDEX(Monthly_Pay_Model!$A$9:$D$40,MATCH(TEXT(A235,"dd"),Monthly_Pay_Model!$C$9:$C$39,0),4),INDEX(Monthly_Pay_Model!$A$9:$D$40,MATCH(TEXT(A236,"dd"),Monthly_Pay_Model!$C$9:$C$39,0),4)),))))))</f>
        <v>1.46261780104712E-2</v>
      </c>
      <c r="J232" s="33">
        <f>IF(C232="Yes",Monthly_Pay_Model!$D$2,0)
+IF(Calendar!N232="Yes",Monthly_Pay_Model!$D$3,0)
+IF(D232="Yes",Monthly_Pay_Model!$D$4,0)
+IF(E232="Yes",Monthly_Pay_Model!$D$5,0)</f>
        <v>0</v>
      </c>
      <c r="K232" s="27">
        <f>IF(VLOOKUP($A232,Calendar!$A$1:$R$1377,18,0)=0,0,IF(VLOOKUP($A232,Calendar!$A$1:$R$1377,18,0)=1,IFERROR(INDEX(Weekly_Model!$D$2:$D$9,MATCH(F232,Weekly_Model!$A$2:$A$9,0)),0),IF(VLOOKUP($A232,Calendar!$A$1:$R$1377,18,0)=2,SUM(IFERROR(INDEX(Weekly_Model!$D$2:$D$9,MATCH(F232,Weekly_Model!$A$2:$A$9,0)),0),IFERROR(INDEX(Weekly_Model!$D$2:$D$9,MATCH(F233,Weekly_Model!$A$2:$A$9,0)),0)),IF(VLOOKUP($A232,Calendar!$A$1:$R$1377,18,0)=3,SUM(IFERROR(INDEX(Weekly_Model!$D$2:$D$9,MATCH(F232,Weekly_Model!$A$2:$A$9,0)),0),IFERROR(INDEX(Weekly_Model!$D$2:$D$9,MATCH(F233,Weekly_Model!$A$2:$A$9,0)),0),IFERROR(INDEX(Weekly_Model!$D$2:$D$9,MATCH(F234,Weekly_Model!$A$2:$A$9,0)),0)),IF(VLOOKUP($A232,Calendar!$A$1:$R$1377,18,0)=4,SUM(IFERROR(INDEX(Weekly_Model!$D$2:$D$9,MATCH(F232,Weekly_Model!$A$2:$A$9,0)),0),IFERROR(INDEX(Weekly_Model!$D$2:$D$9,MATCH(F233,Weekly_Model!$A$2:$A$9,0)),0),IFERROR(INDEX(Weekly_Model!$D$2:$D$9,MATCH(F234,Weekly_Model!$A$2:$A$9,0)),0),IFERROR(INDEX(Weekly_Model!$D$2:$D$9,MATCH(F235,Weekly_Model!$A$2:$A$9,0)),0)),IF(VLOOKUP($A232,Calendar!$A$1:$R$1377,18,0)=5,SUM(IFERROR(INDEX(Weekly_Model!$D$2:$D$9,MATCH(F232,Weekly_Model!$A$2:$A$9,0)),0),IFERROR(INDEX(Weekly_Model!$D$2:$D$9,MATCH(F233,Weekly_Model!$A$2:$A$9,0)),0),IFERROR(INDEX(Weekly_Model!$D$2:$D$9,MATCH(F234,Weekly_Model!$A$2:$A$9,0)),0),IFERROR(INDEX(Weekly_Model!$D$2:$D$9,MATCH(F235,Weekly_Model!$A$2:$A$9,0)),0),IFERROR(INDEX(Weekly_Model!$D$2:$D$9,MATCH(F236,Weekly_Model!$A$2:$A$9,0)),0)),0))))))</f>
        <v>2.3200000000000002E-2</v>
      </c>
      <c r="L232" s="27">
        <f>IF(VLOOKUP($A232,Calendar!$A$1:$R$1377,18,0)=0,0,IF(VLOOKUP($A232,Calendar!$A$1:$R$1377,18,0)=1,IFERROR(INDEX(Fortnightly_Model!$D$2:$D$15,MATCH(G232,Fortnightly_Model!$B$2:$B$15,0)),0),IF(VLOOKUP($A232,Calendar!$A$1:$R$1377,18,0)=2,SUM(IFERROR(INDEX(Fortnightly_Model!$D$2:$D$15,MATCH(G232,Fortnightly_Model!$B$2:$B$15,0)),0),IFERROR(INDEX(Fortnightly_Model!$D$2:$D$15,MATCH(G233,Fortnightly_Model!$B$2:$B$15,0)),0)),IF(VLOOKUP($A232,Calendar!$A$1:$R$1377,18,0)=3,SUM(IFERROR(INDEX(Fortnightly_Model!$D$2:$D$15,MATCH(G232,Fortnightly_Model!$B$2:$B$15,0)),0),IFERROR(INDEX(Fortnightly_Model!$D$2:$D$15,MATCH(G233,Fortnightly_Model!$B$2:$B$15,0)),0),IFERROR(INDEX(Fortnightly_Model!$D$2:$D$15,MATCH(G234,Fortnightly_Model!$B$2:$B$15,0)),0)),IF(VLOOKUP($A232,Calendar!$A$1:$R$1377,18,0)=4,SUM(IFERROR(INDEX(Fortnightly_Model!$D$2:$D$15,MATCH(G232,Fortnightly_Model!$B$2:$B$15,0)),0),IFERROR(INDEX(Fortnightly_Model!$D$2:$D$15,MATCH(G233,Fortnightly_Model!$B$2:$B$15,0)),0),IFERROR(INDEX(Fortnightly_Model!$D$2:$D$15,MATCH(G234,Fortnightly_Model!$B$2:$B$15,0)),0),IFERROR(INDEX(Fortnightly_Model!$D$2:$D$15,MATCH(G235,Fortnightly_Model!$B$2:$B$15,0)),0)),IF(VLOOKUP($A232,Calendar!$A$1:$R$1377,18,0)=5,SUM(IFERROR(INDEX(Fortnightly_Model!$D$2:$D$15,MATCH(G232,Fortnightly_Model!$B$2:$B$15,0)),0),IFERROR(INDEX(Fortnightly_Model!$D$2:$D$15,MATCH(G233,Fortnightly_Model!$B$2:$B$15,0)),0),IFERROR(INDEX(Fortnightly_Model!$D$2:$D$15,MATCH(G234,Fortnightly_Model!$B$2:$B$15,0)),0),IFERROR(INDEX(Fortnightly_Model!$D$2:$D$15,MATCH(G235,Fortnightly_Model!$B$2:$B$15,0)),0),IFERROR(INDEX(Fortnightly_Model!$D$2:$D$15,MATCH(G236,Fortnightly_Model!$B$2:$B$15,0)),0)),0))))))</f>
        <v>3.2142856499999999E-3</v>
      </c>
      <c r="M232" s="27">
        <f>IF(VLOOKUP($A232,Calendar!$A$1:$R$1377,18,0)=0,0,IF(VLOOKUP($A232,Calendar!$A$1:$R$1377,18,0)=1,IFERROR(INDEX(FourWeekly_Model!$D$2:$D$29,MATCH(H232,FourWeekly_Model!$B$2:$B$29,0)),0),IF(VLOOKUP($A232,Calendar!$A$1:$R$1377,18,0)=2,SUM(IFERROR(INDEX(FourWeekly_Model!$D$2:$D$29,MATCH(H232,FourWeekly_Model!$B$2:$B$29,0)),0),IFERROR(INDEX(FourWeekly_Model!$D$2:$D$29,MATCH(H233,FourWeekly_Model!$B$2:$B$29,0)),0)),IF(VLOOKUP($A232,Calendar!$A$1:$R$1377,18,0)=3,SUM(IFERROR(INDEX(FourWeekly_Model!$D$2:$D$29,MATCH(H232,FourWeekly_Model!$B$2:$B$29,0)),0),IFERROR(INDEX(FourWeekly_Model!$D$2:$D$29,MATCH(H233,FourWeekly_Model!$B$2:$B$29,0)),0),IFERROR(INDEX(FourWeekly_Model!$D$2:$D$29,MATCH(H234,FourWeekly_Model!$B$2:$B$29,0)),0)),IF(VLOOKUP($A232,Calendar!$A$1:$R$1377,18,0)=4,SUM(IFERROR(INDEX(FourWeekly_Model!$D$2:$D$29,MATCH(H232,FourWeekly_Model!$B$2:$B$29,0)),0),IFERROR(INDEX(FourWeekly_Model!$D$2:$D$29,MATCH(H233,FourWeekly_Model!$B$2:$B$29,0)),0),IFERROR(INDEX(FourWeekly_Model!$D$2:$D$29,MATCH(H234,FourWeekly_Model!$B$2:$B$29,0)),0),IFERROR(INDEX(FourWeekly_Model!$D$2:$D$29,MATCH(H235,FourWeekly_Model!$B$2:$B$29,0)),0)),IF(VLOOKUP($A232,Calendar!$A$1:$R$1377,18,0)=5,SUM(IFERROR(INDEX(FourWeekly_Model!$D$2:$D$29,MATCH(H232,FourWeekly_Model!$B$2:$B$29,0)),0),IFERROR(INDEX(FourWeekly_Model!$D$2:$D$29,MATCH(H233,FourWeekly_Model!$B$2:$B$29,0)),0),IFERROR(INDEX(FourWeekly_Model!$D$2:$D$29,MATCH(H234,FourWeekly_Model!$B$2:$B$29,0)),0),IFERROR(INDEX(FourWeekly_Model!$D$2:$D$29,MATCH(H235,FourWeekly_Model!$B$2:$B$29,0)),0),IFERROR(INDEX(FourWeekly_Model!$D$2:$D$29,MATCH(H236,FourWeekly_Model!$B$2:$B$29,0)),0)),0))))))</f>
        <v>9.9642859800000011E-3</v>
      </c>
      <c r="N232" s="27">
        <f>SUM(I232:M232)</f>
        <v>5.1004749640471206E-2</v>
      </c>
      <c r="O232" s="28">
        <f>Population_Data!$B$8*N232</f>
        <v>1545443.9141062775</v>
      </c>
      <c r="P232" s="27">
        <f>IF(VLOOKUP($A232,Calendar!$A$1:$R$1377,18,0)=0,0,IF(VLOOKUP($A232,Calendar!$A$1:$R$1377,18,0)=1,IFERROR(INDEX(Pension_Model!$D$2:$D$29,MATCH(H232,Pension_Model!$B$2:$B$29,0)),0),IF(VLOOKUP($A232,Calendar!$A$1:$R$1377,18,0)=2,SUM(IFERROR(INDEX(Pension_Model!$D$2:$D$29,MATCH(H232,Pension_Model!$B$2:$B$29,0)),0),IFERROR(INDEX(Pension_Model!$D$2:$D$29,MATCH(H233,Pension_Model!$B$2:$B$29,0)),0)),IF(VLOOKUP($A232,Calendar!$A$1:$R$1377,18,0)=3,SUM(IFERROR(INDEX(Pension_Model!$D$2:$D$29,MATCH(H232,Pension_Model!$B$2:$B$29,0)),0),IFERROR(INDEX(Pension_Model!$D$2:$D$29,MATCH(H233,Pension_Model!$B$2:$B$29,0)),0),IFERROR(INDEX(Pension_Model!$D$2:$D$29,MATCH(H234,Pension_Model!$B$2:$B$29,0)),0)),IF(VLOOKUP($A232,Calendar!$A$1:$R$1377,18,0)=4,SUM(IFERROR(INDEX(Pension_Model!$D$2:$D$29,MATCH(H232,Pension_Model!$B$2:$B$29,0)),0),IFERROR(INDEX(Pension_Model!$D$2:$D$29,MATCH(H233,Pension_Model!$B$2:$B$29,0)),0),IFERROR(INDEX(Pension_Model!$D$2:$D$29,MATCH(H234,Pension_Model!$B$2:$B$29,0)),0),IFERROR(INDEX(Pension_Model!$D$2:$D$29,MATCH(H235,Pension_Model!$B$2:$B$29,0)),0)),IF(VLOOKUP($A232,Calendar!$A$1:$R$1377,18,0)=5,SUM(IFERROR(INDEX(Pension_Model!$D$2:$D$29,MATCH(H232,Pension_Model!$B$2:$B$29,0)),0),IFERROR(INDEX(Pension_Model!$D$2:$D$29,MATCH(H233,Pension_Model!$B$2:$B$29,0)),0),IFERROR(INDEX(Pension_Model!$D$2:$D$29,MATCH(H234,Pension_Model!$B$2:$B$29,0)),0),IFERROR(INDEX(Pension_Model!$D$2:$D$29,MATCH(H235,Pension_Model!$B$2:$B$29,0)),0),IFERROR(INDEX(Pension_Model!$D$2:$D$29,MATCH(H236,Pension_Model!$B$2:$B$29,0)),0)),0))))))</f>
        <v>0.05</v>
      </c>
      <c r="Q232" s="28">
        <f>Population_Data!$B$15*P232</f>
        <v>660600</v>
      </c>
      <c r="S232">
        <f t="shared" si="3"/>
        <v>2206043.9141062777</v>
      </c>
      <c r="U232" s="33">
        <f>S232/Population_Data!$B$19</f>
        <v>3.9964563661345612E-2</v>
      </c>
    </row>
    <row r="233" spans="1:21">
      <c r="A233" s="25">
        <f>Calendar!A233</f>
        <v>46466</v>
      </c>
      <c r="B233" t="str">
        <f>Calendar!L233</f>
        <v>No</v>
      </c>
      <c r="C233" t="str">
        <f>Calendar!O233</f>
        <v>No</v>
      </c>
      <c r="D233" t="str">
        <f>Calendar!P233</f>
        <v>No</v>
      </c>
      <c r="E233" t="str">
        <f>Calendar!Q233</f>
        <v>No</v>
      </c>
      <c r="F233" t="str">
        <f>Calendar!I233</f>
        <v>Saturday</v>
      </c>
      <c r="G233">
        <f>Calendar!S233</f>
        <v>0</v>
      </c>
      <c r="H233">
        <f>Calendar!T233</f>
        <v>14</v>
      </c>
      <c r="I233" s="27">
        <f>IF(VLOOKUP(A233,Calendar!$A$1:$R$1377,18,0)=0,0,IF(VLOOKUP(A233,Calendar!$A$1:$R$1377,18,0)=1,INDEX(Monthly_Pay_Model!$A$9:$D$40,MATCH(TEXT(A233,"dd"),Monthly_Pay_Model!$C$9:$C$39,0),4),IF(VLOOKUP(A233,Calendar!$A$1:$R$1377,18,0)=2,SUM(INDEX(Monthly_Pay_Model!$A$9:$D$40,MATCH(TEXT(A233,"dd"),Monthly_Pay_Model!$C$9:$C$39,0),4),INDEX(Monthly_Pay_Model!$A$9:$D$40,MATCH(TEXT(A234,"dd"),Monthly_Pay_Model!$C$9:$C$39,0),4)),IF(VLOOKUP(A233,Calendar!$A$1:$R$1377,18,0)=3,SUM(INDEX(Monthly_Pay_Model!$A$9:$D$40,MATCH(TEXT(A233,"dd"),Monthly_Pay_Model!$C$9:$C$39,0),4),INDEX(Monthly_Pay_Model!$A$9:$D$40,MATCH(TEXT(A234,"dd"),Monthly_Pay_Model!$C$9:$C$39,0),4),INDEX(Monthly_Pay_Model!$A$9:$D$40,MATCH(TEXT(A235,"dd"),Monthly_Pay_Model!$C$9:$C$39,0),4)),IF(VLOOKUP(A233,Calendar!$A$1:$R$1377,18,0)=4,SUM(INDEX(Monthly_Pay_Model!$A$9:$D$40,MATCH(TEXT(A233,"dd"),Monthly_Pay_Model!$C$9:$C$39,0),4),INDEX(Monthly_Pay_Model!$A$9:$D$40,MATCH(TEXT(A234,"dd"),Monthly_Pay_Model!$C$9:$C$39,0),4),INDEX(Monthly_Pay_Model!$A$9:$D$40,MATCH(TEXT(A235,"dd"),Monthly_Pay_Model!$C$9:$C$39,0),4),INDEX(Monthly_Pay_Model!$A$9:$D$40,MATCH(TEXT(A236,"dd"),Monthly_Pay_Model!$C$9:$C$39,0),4)),IF(VLOOKUP(A233,Calendar!$A$1:$R$1377,18,0)=5,SUM(INDEX(Monthly_Pay_Model!$A$9:$D$40,MATCH(TEXT(A233,"dd"),Monthly_Pay_Model!$C$9:$C$39,0),4),INDEX(Monthly_Pay_Model!$A$9:$D$40,MATCH(TEXT(A234,"dd"),Monthly_Pay_Model!$C$9:$C$39,0),4),INDEX(Monthly_Pay_Model!$A$9:$D$40,MATCH(TEXT(A235,"dd"),Monthly_Pay_Model!$C$9:$C$39,0),4),INDEX(Monthly_Pay_Model!$A$9:$D$40,MATCH(TEXT(A236,"dd"),Monthly_Pay_Model!$C$9:$C$39,0),4),INDEX(Monthly_Pay_Model!$A$9:$D$40,MATCH(TEXT(A237,"dd"),Monthly_Pay_Model!$C$9:$C$39,0),4)),))))))</f>
        <v>0</v>
      </c>
      <c r="J233" s="33">
        <f>IF(C233="Yes",Monthly_Pay_Model!$D$2,0)
+IF(Calendar!N233="Yes",Monthly_Pay_Model!$D$3,0)
+IF(D233="Yes",Monthly_Pay_Model!$D$4,0)
+IF(E233="Yes",Monthly_Pay_Model!$D$5,0)</f>
        <v>0</v>
      </c>
      <c r="K233" s="27">
        <f>IF(VLOOKUP($A233,Calendar!$A$1:$R$1377,18,0)=0,0,IF(VLOOKUP($A233,Calendar!$A$1:$R$1377,18,0)=1,IFERROR(INDEX(Weekly_Model!$D$2:$D$9,MATCH(F233,Weekly_Model!$A$2:$A$9,0)),0),IF(VLOOKUP($A233,Calendar!$A$1:$R$1377,18,0)=2,SUM(IFERROR(INDEX(Weekly_Model!$D$2:$D$9,MATCH(F233,Weekly_Model!$A$2:$A$9,0)),0),IFERROR(INDEX(Weekly_Model!$D$2:$D$9,MATCH(F234,Weekly_Model!$A$2:$A$9,0)),0)),IF(VLOOKUP($A233,Calendar!$A$1:$R$1377,18,0)=3,SUM(IFERROR(INDEX(Weekly_Model!$D$2:$D$9,MATCH(F233,Weekly_Model!$A$2:$A$9,0)),0),IFERROR(INDEX(Weekly_Model!$D$2:$D$9,MATCH(F234,Weekly_Model!$A$2:$A$9,0)),0),IFERROR(INDEX(Weekly_Model!$D$2:$D$9,MATCH(F235,Weekly_Model!$A$2:$A$9,0)),0)),IF(VLOOKUP($A233,Calendar!$A$1:$R$1377,18,0)=4,SUM(IFERROR(INDEX(Weekly_Model!$D$2:$D$9,MATCH(F233,Weekly_Model!$A$2:$A$9,0)),0),IFERROR(INDEX(Weekly_Model!$D$2:$D$9,MATCH(F234,Weekly_Model!$A$2:$A$9,0)),0),IFERROR(INDEX(Weekly_Model!$D$2:$D$9,MATCH(F235,Weekly_Model!$A$2:$A$9,0)),0),IFERROR(INDEX(Weekly_Model!$D$2:$D$9,MATCH(F236,Weekly_Model!$A$2:$A$9,0)),0)),IF(VLOOKUP($A233,Calendar!$A$1:$R$1377,18,0)=5,SUM(IFERROR(INDEX(Weekly_Model!$D$2:$D$9,MATCH(F233,Weekly_Model!$A$2:$A$9,0)),0),IFERROR(INDEX(Weekly_Model!$D$2:$D$9,MATCH(F234,Weekly_Model!$A$2:$A$9,0)),0),IFERROR(INDEX(Weekly_Model!$D$2:$D$9,MATCH(F235,Weekly_Model!$A$2:$A$9,0)),0),IFERROR(INDEX(Weekly_Model!$D$2:$D$9,MATCH(F236,Weekly_Model!$A$2:$A$9,0)),0),IFERROR(INDEX(Weekly_Model!$D$2:$D$9,MATCH(F237,Weekly_Model!$A$2:$A$9,0)),0)),0))))))</f>
        <v>0</v>
      </c>
      <c r="L233" s="27">
        <f>IF(VLOOKUP($A233,Calendar!$A$1:$R$1377,18,0)=0,0,IF(VLOOKUP($A233,Calendar!$A$1:$R$1377,18,0)=1,IFERROR(INDEX(Fortnightly_Model!$D$2:$D$15,MATCH(G233,Fortnightly_Model!$B$2:$B$15,0)),0),IF(VLOOKUP($A233,Calendar!$A$1:$R$1377,18,0)=2,SUM(IFERROR(INDEX(Fortnightly_Model!$D$2:$D$15,MATCH(G233,Fortnightly_Model!$B$2:$B$15,0)),0),IFERROR(INDEX(Fortnightly_Model!$D$2:$D$15,MATCH(G234,Fortnightly_Model!$B$2:$B$15,0)),0)),IF(VLOOKUP($A233,Calendar!$A$1:$R$1377,18,0)=3,SUM(IFERROR(INDEX(Fortnightly_Model!$D$2:$D$15,MATCH(G233,Fortnightly_Model!$B$2:$B$15,0)),0),IFERROR(INDEX(Fortnightly_Model!$D$2:$D$15,MATCH(G234,Fortnightly_Model!$B$2:$B$15,0)),0),IFERROR(INDEX(Fortnightly_Model!$D$2:$D$15,MATCH(G235,Fortnightly_Model!$B$2:$B$15,0)),0)),IF(VLOOKUP($A233,Calendar!$A$1:$R$1377,18,0)=4,SUM(IFERROR(INDEX(Fortnightly_Model!$D$2:$D$15,MATCH(G233,Fortnightly_Model!$B$2:$B$15,0)),0),IFERROR(INDEX(Fortnightly_Model!$D$2:$D$15,MATCH(G234,Fortnightly_Model!$B$2:$B$15,0)),0),IFERROR(INDEX(Fortnightly_Model!$D$2:$D$15,MATCH(G235,Fortnightly_Model!$B$2:$B$15,0)),0),IFERROR(INDEX(Fortnightly_Model!$D$2:$D$15,MATCH(G236,Fortnightly_Model!$B$2:$B$15,0)),0)),IF(VLOOKUP($A233,Calendar!$A$1:$R$1377,18,0)=5,SUM(IFERROR(INDEX(Fortnightly_Model!$D$2:$D$15,MATCH(G233,Fortnightly_Model!$B$2:$B$15,0)),0),IFERROR(INDEX(Fortnightly_Model!$D$2:$D$15,MATCH(G234,Fortnightly_Model!$B$2:$B$15,0)),0),IFERROR(INDEX(Fortnightly_Model!$D$2:$D$15,MATCH(G235,Fortnightly_Model!$B$2:$B$15,0)),0),IFERROR(INDEX(Fortnightly_Model!$D$2:$D$15,MATCH(G236,Fortnightly_Model!$B$2:$B$15,0)),0),IFERROR(INDEX(Fortnightly_Model!$D$2:$D$15,MATCH(G237,Fortnightly_Model!$B$2:$B$15,0)),0)),0))))))</f>
        <v>0</v>
      </c>
      <c r="M233" s="27">
        <f>IF(VLOOKUP($A233,Calendar!$A$1:$R$1377,18,0)=0,0,IF(VLOOKUP($A233,Calendar!$A$1:$R$1377,18,0)=1,IFERROR(INDEX(FourWeekly_Model!$D$2:$D$29,MATCH(H233,FourWeekly_Model!$B$2:$B$29,0)),0),IF(VLOOKUP($A233,Calendar!$A$1:$R$1377,18,0)=2,SUM(IFERROR(INDEX(FourWeekly_Model!$D$2:$D$29,MATCH(H233,FourWeekly_Model!$B$2:$B$29,0)),0),IFERROR(INDEX(FourWeekly_Model!$D$2:$D$29,MATCH(H234,FourWeekly_Model!$B$2:$B$29,0)),0)),IF(VLOOKUP($A233,Calendar!$A$1:$R$1377,18,0)=3,SUM(IFERROR(INDEX(FourWeekly_Model!$D$2:$D$29,MATCH(H233,FourWeekly_Model!$B$2:$B$29,0)),0),IFERROR(INDEX(FourWeekly_Model!$D$2:$D$29,MATCH(H234,FourWeekly_Model!$B$2:$B$29,0)),0),IFERROR(INDEX(FourWeekly_Model!$D$2:$D$29,MATCH(H235,FourWeekly_Model!$B$2:$B$29,0)),0)),IF(VLOOKUP($A233,Calendar!$A$1:$R$1377,18,0)=4,SUM(IFERROR(INDEX(FourWeekly_Model!$D$2:$D$29,MATCH(H233,FourWeekly_Model!$B$2:$B$29,0)),0),IFERROR(INDEX(FourWeekly_Model!$D$2:$D$29,MATCH(H234,FourWeekly_Model!$B$2:$B$29,0)),0),IFERROR(INDEX(FourWeekly_Model!$D$2:$D$29,MATCH(H235,FourWeekly_Model!$B$2:$B$29,0)),0),IFERROR(INDEX(FourWeekly_Model!$D$2:$D$29,MATCH(H236,FourWeekly_Model!$B$2:$B$29,0)),0)),IF(VLOOKUP($A233,Calendar!$A$1:$R$1377,18,0)=5,SUM(IFERROR(INDEX(FourWeekly_Model!$D$2:$D$29,MATCH(H233,FourWeekly_Model!$B$2:$B$29,0)),0),IFERROR(INDEX(FourWeekly_Model!$D$2:$D$29,MATCH(H234,FourWeekly_Model!$B$2:$B$29,0)),0),IFERROR(INDEX(FourWeekly_Model!$D$2:$D$29,MATCH(H235,FourWeekly_Model!$B$2:$B$29,0)),0),IFERROR(INDEX(FourWeekly_Model!$D$2:$D$29,MATCH(H236,FourWeekly_Model!$B$2:$B$29,0)),0),IFERROR(INDEX(FourWeekly_Model!$D$2:$D$29,MATCH(H237,FourWeekly_Model!$B$2:$B$29,0)),0)),0))))))</f>
        <v>0</v>
      </c>
      <c r="N233" s="27">
        <f>SUM(I233:M233)</f>
        <v>0</v>
      </c>
      <c r="O233" s="28">
        <f>Population_Data!$B$8*N233</f>
        <v>0</v>
      </c>
      <c r="P233" s="27">
        <f>IF(VLOOKUP($A233,Calendar!$A$1:$R$1377,18,0)=0,0,IF(VLOOKUP($A233,Calendar!$A$1:$R$1377,18,0)=1,IFERROR(INDEX(Pension_Model!$D$2:$D$29,MATCH(H233,Pension_Model!$B$2:$B$29,0)),0),IF(VLOOKUP($A233,Calendar!$A$1:$R$1377,18,0)=2,SUM(IFERROR(INDEX(Pension_Model!$D$2:$D$29,MATCH(H233,Pension_Model!$B$2:$B$29,0)),0),IFERROR(INDEX(Pension_Model!$D$2:$D$29,MATCH(H234,Pension_Model!$B$2:$B$29,0)),0)),IF(VLOOKUP($A233,Calendar!$A$1:$R$1377,18,0)=3,SUM(IFERROR(INDEX(Pension_Model!$D$2:$D$29,MATCH(H233,Pension_Model!$B$2:$B$29,0)),0),IFERROR(INDEX(Pension_Model!$D$2:$D$29,MATCH(H234,Pension_Model!$B$2:$B$29,0)),0),IFERROR(INDEX(Pension_Model!$D$2:$D$29,MATCH(H235,Pension_Model!$B$2:$B$29,0)),0)),IF(VLOOKUP($A233,Calendar!$A$1:$R$1377,18,0)=4,SUM(IFERROR(INDEX(Pension_Model!$D$2:$D$29,MATCH(H233,Pension_Model!$B$2:$B$29,0)),0),IFERROR(INDEX(Pension_Model!$D$2:$D$29,MATCH(H234,Pension_Model!$B$2:$B$29,0)),0),IFERROR(INDEX(Pension_Model!$D$2:$D$29,MATCH(H235,Pension_Model!$B$2:$B$29,0)),0),IFERROR(INDEX(Pension_Model!$D$2:$D$29,MATCH(H236,Pension_Model!$B$2:$B$29,0)),0)),IF(VLOOKUP($A233,Calendar!$A$1:$R$1377,18,0)=5,SUM(IFERROR(INDEX(Pension_Model!$D$2:$D$29,MATCH(H233,Pension_Model!$B$2:$B$29,0)),0),IFERROR(INDEX(Pension_Model!$D$2:$D$29,MATCH(H234,Pension_Model!$B$2:$B$29,0)),0),IFERROR(INDEX(Pension_Model!$D$2:$D$29,MATCH(H235,Pension_Model!$B$2:$B$29,0)),0),IFERROR(INDEX(Pension_Model!$D$2:$D$29,MATCH(H236,Pension_Model!$B$2:$B$29,0)),0),IFERROR(INDEX(Pension_Model!$D$2:$D$29,MATCH(H237,Pension_Model!$B$2:$B$29,0)),0)),0))))))</f>
        <v>0</v>
      </c>
      <c r="Q233" s="28">
        <f>Population_Data!$B$15*P233</f>
        <v>0</v>
      </c>
      <c r="S233">
        <f t="shared" si="3"/>
        <v>0</v>
      </c>
      <c r="U233" s="33">
        <f>S233/Population_Data!$B$19</f>
        <v>0</v>
      </c>
    </row>
    <row r="234" spans="1:21">
      <c r="A234" s="25">
        <f>Calendar!A234</f>
        <v>46467</v>
      </c>
      <c r="B234" t="str">
        <f>Calendar!L234</f>
        <v>No</v>
      </c>
      <c r="C234" t="str">
        <f>Calendar!O234</f>
        <v>No</v>
      </c>
      <c r="D234" t="str">
        <f>Calendar!P234</f>
        <v>No</v>
      </c>
      <c r="E234" t="str">
        <f>Calendar!Q234</f>
        <v>No</v>
      </c>
      <c r="F234" t="str">
        <f>Calendar!I234</f>
        <v>Sunday</v>
      </c>
      <c r="G234">
        <f>Calendar!S234</f>
        <v>1</v>
      </c>
      <c r="H234">
        <f>Calendar!T234</f>
        <v>15</v>
      </c>
      <c r="I234" s="27">
        <f>IF(VLOOKUP(A234,Calendar!$A$1:$R$1377,18,0)=0,0,IF(VLOOKUP(A234,Calendar!$A$1:$R$1377,18,0)=1,INDEX(Monthly_Pay_Model!$A$9:$D$40,MATCH(TEXT(A234,"dd"),Monthly_Pay_Model!$C$9:$C$39,0),4),IF(VLOOKUP(A234,Calendar!$A$1:$R$1377,18,0)=2,SUM(INDEX(Monthly_Pay_Model!$A$9:$D$40,MATCH(TEXT(A234,"dd"),Monthly_Pay_Model!$C$9:$C$39,0),4),INDEX(Monthly_Pay_Model!$A$9:$D$40,MATCH(TEXT(A235,"dd"),Monthly_Pay_Model!$C$9:$C$39,0),4)),IF(VLOOKUP(A234,Calendar!$A$1:$R$1377,18,0)=3,SUM(INDEX(Monthly_Pay_Model!$A$9:$D$40,MATCH(TEXT(A234,"dd"),Monthly_Pay_Model!$C$9:$C$39,0),4),INDEX(Monthly_Pay_Model!$A$9:$D$40,MATCH(TEXT(A235,"dd"),Monthly_Pay_Model!$C$9:$C$39,0),4),INDEX(Monthly_Pay_Model!$A$9:$D$40,MATCH(TEXT(A236,"dd"),Monthly_Pay_Model!$C$9:$C$39,0),4)),IF(VLOOKUP(A234,Calendar!$A$1:$R$1377,18,0)=4,SUM(INDEX(Monthly_Pay_Model!$A$9:$D$40,MATCH(TEXT(A234,"dd"),Monthly_Pay_Model!$C$9:$C$39,0),4),INDEX(Monthly_Pay_Model!$A$9:$D$40,MATCH(TEXT(A235,"dd"),Monthly_Pay_Model!$C$9:$C$39,0),4),INDEX(Monthly_Pay_Model!$A$9:$D$40,MATCH(TEXT(A236,"dd"),Monthly_Pay_Model!$C$9:$C$39,0),4),INDEX(Monthly_Pay_Model!$A$9:$D$40,MATCH(TEXT(A237,"dd"),Monthly_Pay_Model!$C$9:$C$39,0),4)),IF(VLOOKUP(A234,Calendar!$A$1:$R$1377,18,0)=5,SUM(INDEX(Monthly_Pay_Model!$A$9:$D$40,MATCH(TEXT(A234,"dd"),Monthly_Pay_Model!$C$9:$C$39,0),4),INDEX(Monthly_Pay_Model!$A$9:$D$40,MATCH(TEXT(A235,"dd"),Monthly_Pay_Model!$C$9:$C$39,0),4),INDEX(Monthly_Pay_Model!$A$9:$D$40,MATCH(TEXT(A236,"dd"),Monthly_Pay_Model!$C$9:$C$39,0),4),INDEX(Monthly_Pay_Model!$A$9:$D$40,MATCH(TEXT(A237,"dd"),Monthly_Pay_Model!$C$9:$C$39,0),4),INDEX(Monthly_Pay_Model!$A$9:$D$40,MATCH(TEXT(A238,"dd"),Monthly_Pay_Model!$C$9:$C$39,0),4)),))))))</f>
        <v>0</v>
      </c>
      <c r="J234" s="33">
        <f>IF(C234="Yes",Monthly_Pay_Model!$D$2,0)
+IF(Calendar!N234="Yes",Monthly_Pay_Model!$D$3,0)
+IF(D234="Yes",Monthly_Pay_Model!$D$4,0)
+IF(E234="Yes",Monthly_Pay_Model!$D$5,0)</f>
        <v>0</v>
      </c>
      <c r="K234" s="27">
        <f>IF(VLOOKUP($A234,Calendar!$A$1:$R$1377,18,0)=0,0,IF(VLOOKUP($A234,Calendar!$A$1:$R$1377,18,0)=1,IFERROR(INDEX(Weekly_Model!$D$2:$D$9,MATCH(F234,Weekly_Model!$A$2:$A$9,0)),0),IF(VLOOKUP($A234,Calendar!$A$1:$R$1377,18,0)=2,SUM(IFERROR(INDEX(Weekly_Model!$D$2:$D$9,MATCH(F234,Weekly_Model!$A$2:$A$9,0)),0),IFERROR(INDEX(Weekly_Model!$D$2:$D$9,MATCH(F235,Weekly_Model!$A$2:$A$9,0)),0)),IF(VLOOKUP($A234,Calendar!$A$1:$R$1377,18,0)=3,SUM(IFERROR(INDEX(Weekly_Model!$D$2:$D$9,MATCH(F234,Weekly_Model!$A$2:$A$9,0)),0),IFERROR(INDEX(Weekly_Model!$D$2:$D$9,MATCH(F235,Weekly_Model!$A$2:$A$9,0)),0),IFERROR(INDEX(Weekly_Model!$D$2:$D$9,MATCH(F236,Weekly_Model!$A$2:$A$9,0)),0)),IF(VLOOKUP($A234,Calendar!$A$1:$R$1377,18,0)=4,SUM(IFERROR(INDEX(Weekly_Model!$D$2:$D$9,MATCH(F234,Weekly_Model!$A$2:$A$9,0)),0),IFERROR(INDEX(Weekly_Model!$D$2:$D$9,MATCH(F235,Weekly_Model!$A$2:$A$9,0)),0),IFERROR(INDEX(Weekly_Model!$D$2:$D$9,MATCH(F236,Weekly_Model!$A$2:$A$9,0)),0),IFERROR(INDEX(Weekly_Model!$D$2:$D$9,MATCH(F237,Weekly_Model!$A$2:$A$9,0)),0)),IF(VLOOKUP($A234,Calendar!$A$1:$R$1377,18,0)=5,SUM(IFERROR(INDEX(Weekly_Model!$D$2:$D$9,MATCH(F234,Weekly_Model!$A$2:$A$9,0)),0),IFERROR(INDEX(Weekly_Model!$D$2:$D$9,MATCH(F235,Weekly_Model!$A$2:$A$9,0)),0),IFERROR(INDEX(Weekly_Model!$D$2:$D$9,MATCH(F236,Weekly_Model!$A$2:$A$9,0)),0),IFERROR(INDEX(Weekly_Model!$D$2:$D$9,MATCH(F237,Weekly_Model!$A$2:$A$9,0)),0),IFERROR(INDEX(Weekly_Model!$D$2:$D$9,MATCH(F238,Weekly_Model!$A$2:$A$9,0)),0)),0))))))</f>
        <v>0</v>
      </c>
      <c r="L234" s="27">
        <f>IF(VLOOKUP($A234,Calendar!$A$1:$R$1377,18,0)=0,0,IF(VLOOKUP($A234,Calendar!$A$1:$R$1377,18,0)=1,IFERROR(INDEX(Fortnightly_Model!$D$2:$D$15,MATCH(G234,Fortnightly_Model!$B$2:$B$15,0)),0),IF(VLOOKUP($A234,Calendar!$A$1:$R$1377,18,0)=2,SUM(IFERROR(INDEX(Fortnightly_Model!$D$2:$D$15,MATCH(G234,Fortnightly_Model!$B$2:$B$15,0)),0),IFERROR(INDEX(Fortnightly_Model!$D$2:$D$15,MATCH(G235,Fortnightly_Model!$B$2:$B$15,0)),0)),IF(VLOOKUP($A234,Calendar!$A$1:$R$1377,18,0)=3,SUM(IFERROR(INDEX(Fortnightly_Model!$D$2:$D$15,MATCH(G234,Fortnightly_Model!$B$2:$B$15,0)),0),IFERROR(INDEX(Fortnightly_Model!$D$2:$D$15,MATCH(G235,Fortnightly_Model!$B$2:$B$15,0)),0),IFERROR(INDEX(Fortnightly_Model!$D$2:$D$15,MATCH(G236,Fortnightly_Model!$B$2:$B$15,0)),0)),IF(VLOOKUP($A234,Calendar!$A$1:$R$1377,18,0)=4,SUM(IFERROR(INDEX(Fortnightly_Model!$D$2:$D$15,MATCH(G234,Fortnightly_Model!$B$2:$B$15,0)),0),IFERROR(INDEX(Fortnightly_Model!$D$2:$D$15,MATCH(G235,Fortnightly_Model!$B$2:$B$15,0)),0),IFERROR(INDEX(Fortnightly_Model!$D$2:$D$15,MATCH(G236,Fortnightly_Model!$B$2:$B$15,0)),0),IFERROR(INDEX(Fortnightly_Model!$D$2:$D$15,MATCH(G237,Fortnightly_Model!$B$2:$B$15,0)),0)),IF(VLOOKUP($A234,Calendar!$A$1:$R$1377,18,0)=5,SUM(IFERROR(INDEX(Fortnightly_Model!$D$2:$D$15,MATCH(G234,Fortnightly_Model!$B$2:$B$15,0)),0),IFERROR(INDEX(Fortnightly_Model!$D$2:$D$15,MATCH(G235,Fortnightly_Model!$B$2:$B$15,0)),0),IFERROR(INDEX(Fortnightly_Model!$D$2:$D$15,MATCH(G236,Fortnightly_Model!$B$2:$B$15,0)),0),IFERROR(INDEX(Fortnightly_Model!$D$2:$D$15,MATCH(G237,Fortnightly_Model!$B$2:$B$15,0)),0),IFERROR(INDEX(Fortnightly_Model!$D$2:$D$15,MATCH(G238,Fortnightly_Model!$B$2:$B$15,0)),0)),0))))))</f>
        <v>0</v>
      </c>
      <c r="M234" s="27">
        <f>IF(VLOOKUP($A234,Calendar!$A$1:$R$1377,18,0)=0,0,IF(VLOOKUP($A234,Calendar!$A$1:$R$1377,18,0)=1,IFERROR(INDEX(FourWeekly_Model!$D$2:$D$29,MATCH(H234,FourWeekly_Model!$B$2:$B$29,0)),0),IF(VLOOKUP($A234,Calendar!$A$1:$R$1377,18,0)=2,SUM(IFERROR(INDEX(FourWeekly_Model!$D$2:$D$29,MATCH(H234,FourWeekly_Model!$B$2:$B$29,0)),0),IFERROR(INDEX(FourWeekly_Model!$D$2:$D$29,MATCH(H235,FourWeekly_Model!$B$2:$B$29,0)),0)),IF(VLOOKUP($A234,Calendar!$A$1:$R$1377,18,0)=3,SUM(IFERROR(INDEX(FourWeekly_Model!$D$2:$D$29,MATCH(H234,FourWeekly_Model!$B$2:$B$29,0)),0),IFERROR(INDEX(FourWeekly_Model!$D$2:$D$29,MATCH(H235,FourWeekly_Model!$B$2:$B$29,0)),0),IFERROR(INDEX(FourWeekly_Model!$D$2:$D$29,MATCH(H236,FourWeekly_Model!$B$2:$B$29,0)),0)),IF(VLOOKUP($A234,Calendar!$A$1:$R$1377,18,0)=4,SUM(IFERROR(INDEX(FourWeekly_Model!$D$2:$D$29,MATCH(H234,FourWeekly_Model!$B$2:$B$29,0)),0),IFERROR(INDEX(FourWeekly_Model!$D$2:$D$29,MATCH(H235,FourWeekly_Model!$B$2:$B$29,0)),0),IFERROR(INDEX(FourWeekly_Model!$D$2:$D$29,MATCH(H236,FourWeekly_Model!$B$2:$B$29,0)),0),IFERROR(INDEX(FourWeekly_Model!$D$2:$D$29,MATCH(H237,FourWeekly_Model!$B$2:$B$29,0)),0)),IF(VLOOKUP($A234,Calendar!$A$1:$R$1377,18,0)=5,SUM(IFERROR(INDEX(FourWeekly_Model!$D$2:$D$29,MATCH(H234,FourWeekly_Model!$B$2:$B$29,0)),0),IFERROR(INDEX(FourWeekly_Model!$D$2:$D$29,MATCH(H235,FourWeekly_Model!$B$2:$B$29,0)),0),IFERROR(INDEX(FourWeekly_Model!$D$2:$D$29,MATCH(H236,FourWeekly_Model!$B$2:$B$29,0)),0),IFERROR(INDEX(FourWeekly_Model!$D$2:$D$29,MATCH(H237,FourWeekly_Model!$B$2:$B$29,0)),0),IFERROR(INDEX(FourWeekly_Model!$D$2:$D$29,MATCH(H238,FourWeekly_Model!$B$2:$B$29,0)),0)),0))))))</f>
        <v>0</v>
      </c>
      <c r="N234" s="27">
        <f>SUM(I234:M234)</f>
        <v>0</v>
      </c>
      <c r="O234" s="28">
        <f>Population_Data!$B$8*N234</f>
        <v>0</v>
      </c>
      <c r="P234" s="27">
        <f>IF(VLOOKUP($A234,Calendar!$A$1:$R$1377,18,0)=0,0,IF(VLOOKUP($A234,Calendar!$A$1:$R$1377,18,0)=1,IFERROR(INDEX(Pension_Model!$D$2:$D$29,MATCH(H234,Pension_Model!$B$2:$B$29,0)),0),IF(VLOOKUP($A234,Calendar!$A$1:$R$1377,18,0)=2,SUM(IFERROR(INDEX(Pension_Model!$D$2:$D$29,MATCH(H234,Pension_Model!$B$2:$B$29,0)),0),IFERROR(INDEX(Pension_Model!$D$2:$D$29,MATCH(H235,Pension_Model!$B$2:$B$29,0)),0)),IF(VLOOKUP($A234,Calendar!$A$1:$R$1377,18,0)=3,SUM(IFERROR(INDEX(Pension_Model!$D$2:$D$29,MATCH(H234,Pension_Model!$B$2:$B$29,0)),0),IFERROR(INDEX(Pension_Model!$D$2:$D$29,MATCH(H235,Pension_Model!$B$2:$B$29,0)),0),IFERROR(INDEX(Pension_Model!$D$2:$D$29,MATCH(H236,Pension_Model!$B$2:$B$29,0)),0)),IF(VLOOKUP($A234,Calendar!$A$1:$R$1377,18,0)=4,SUM(IFERROR(INDEX(Pension_Model!$D$2:$D$29,MATCH(H234,Pension_Model!$B$2:$B$29,0)),0),IFERROR(INDEX(Pension_Model!$D$2:$D$29,MATCH(H235,Pension_Model!$B$2:$B$29,0)),0),IFERROR(INDEX(Pension_Model!$D$2:$D$29,MATCH(H236,Pension_Model!$B$2:$B$29,0)),0),IFERROR(INDEX(Pension_Model!$D$2:$D$29,MATCH(H237,Pension_Model!$B$2:$B$29,0)),0)),IF(VLOOKUP($A234,Calendar!$A$1:$R$1377,18,0)=5,SUM(IFERROR(INDEX(Pension_Model!$D$2:$D$29,MATCH(H234,Pension_Model!$B$2:$B$29,0)),0),IFERROR(INDEX(Pension_Model!$D$2:$D$29,MATCH(H235,Pension_Model!$B$2:$B$29,0)),0),IFERROR(INDEX(Pension_Model!$D$2:$D$29,MATCH(H236,Pension_Model!$B$2:$B$29,0)),0),IFERROR(INDEX(Pension_Model!$D$2:$D$29,MATCH(H237,Pension_Model!$B$2:$B$29,0)),0),IFERROR(INDEX(Pension_Model!$D$2:$D$29,MATCH(H238,Pension_Model!$B$2:$B$29,0)),0)),0))))))</f>
        <v>0</v>
      </c>
      <c r="Q234" s="28">
        <f>Population_Data!$B$15*P234</f>
        <v>0</v>
      </c>
      <c r="S234">
        <f t="shared" si="3"/>
        <v>0</v>
      </c>
      <c r="U234" s="33">
        <f>S234/Population_Data!$B$19</f>
        <v>0</v>
      </c>
    </row>
    <row r="235" spans="1:21">
      <c r="A235" s="25">
        <f>Calendar!A235</f>
        <v>46468</v>
      </c>
      <c r="B235" t="str">
        <f>Calendar!L235</f>
        <v>Yes</v>
      </c>
      <c r="C235" t="str">
        <f>Calendar!O235</f>
        <v>No</v>
      </c>
      <c r="D235" t="str">
        <f>Calendar!P235</f>
        <v>No</v>
      </c>
      <c r="E235" t="str">
        <f>Calendar!Q235</f>
        <v>No</v>
      </c>
      <c r="F235" t="str">
        <f>Calendar!I235</f>
        <v>Monday</v>
      </c>
      <c r="G235">
        <f>Calendar!S235</f>
        <v>2</v>
      </c>
      <c r="H235">
        <f>Calendar!T235</f>
        <v>16</v>
      </c>
      <c r="I235" s="27">
        <f>IF(VLOOKUP(A235,Calendar!$A$1:$R$1377,18,0)=0,0,IF(VLOOKUP(A235,Calendar!$A$1:$R$1377,18,0)=1,INDEX(Monthly_Pay_Model!$A$9:$D$40,MATCH(TEXT(A235,"dd"),Monthly_Pay_Model!$C$9:$C$39,0),4),IF(VLOOKUP(A235,Calendar!$A$1:$R$1377,18,0)=2,SUM(INDEX(Monthly_Pay_Model!$A$9:$D$40,MATCH(TEXT(A235,"dd"),Monthly_Pay_Model!$C$9:$C$39,0),4),INDEX(Monthly_Pay_Model!$A$9:$D$40,MATCH(TEXT(A236,"dd"),Monthly_Pay_Model!$C$9:$C$39,0),4)),IF(VLOOKUP(A235,Calendar!$A$1:$R$1377,18,0)=3,SUM(INDEX(Monthly_Pay_Model!$A$9:$D$40,MATCH(TEXT(A235,"dd"),Monthly_Pay_Model!$C$9:$C$39,0),4),INDEX(Monthly_Pay_Model!$A$9:$D$40,MATCH(TEXT(A236,"dd"),Monthly_Pay_Model!$C$9:$C$39,0),4),INDEX(Monthly_Pay_Model!$A$9:$D$40,MATCH(TEXT(A237,"dd"),Monthly_Pay_Model!$C$9:$C$39,0),4)),IF(VLOOKUP(A235,Calendar!$A$1:$R$1377,18,0)=4,SUM(INDEX(Monthly_Pay_Model!$A$9:$D$40,MATCH(TEXT(A235,"dd"),Monthly_Pay_Model!$C$9:$C$39,0),4),INDEX(Monthly_Pay_Model!$A$9:$D$40,MATCH(TEXT(A236,"dd"),Monthly_Pay_Model!$C$9:$C$39,0),4),INDEX(Monthly_Pay_Model!$A$9:$D$40,MATCH(TEXT(A237,"dd"),Monthly_Pay_Model!$C$9:$C$39,0),4),INDEX(Monthly_Pay_Model!$A$9:$D$40,MATCH(TEXT(A238,"dd"),Monthly_Pay_Model!$C$9:$C$39,0),4)),IF(VLOOKUP(A235,Calendar!$A$1:$R$1377,18,0)=5,SUM(INDEX(Monthly_Pay_Model!$A$9:$D$40,MATCH(TEXT(A235,"dd"),Monthly_Pay_Model!$C$9:$C$39,0),4),INDEX(Monthly_Pay_Model!$A$9:$D$40,MATCH(TEXT(A236,"dd"),Monthly_Pay_Model!$C$9:$C$39,0),4),INDEX(Monthly_Pay_Model!$A$9:$D$40,MATCH(TEXT(A237,"dd"),Monthly_Pay_Model!$C$9:$C$39,0),4),INDEX(Monthly_Pay_Model!$A$9:$D$40,MATCH(TEXT(A238,"dd"),Monthly_Pay_Model!$C$9:$C$39,0),4),INDEX(Monthly_Pay_Model!$A$9:$D$40,MATCH(TEXT(A239,"dd"),Monthly_Pay_Model!$C$9:$C$39,0),4)),))))))</f>
        <v>3.2502617801047117E-3</v>
      </c>
      <c r="J235" s="33">
        <f>IF(C235="Yes",Monthly_Pay_Model!$D$2,0)
+IF(Calendar!N235="Yes",Monthly_Pay_Model!$D$3,0)
+IF(D235="Yes",Monthly_Pay_Model!$D$4,0)
+IF(E235="Yes",Monthly_Pay_Model!$D$5,0)</f>
        <v>0</v>
      </c>
      <c r="K235" s="27">
        <f>IF(VLOOKUP($A235,Calendar!$A$1:$R$1377,18,0)=0,0,IF(VLOOKUP($A235,Calendar!$A$1:$R$1377,18,0)=1,IFERROR(INDEX(Weekly_Model!$D$2:$D$9,MATCH(F235,Weekly_Model!$A$2:$A$9,0)),0),IF(VLOOKUP($A235,Calendar!$A$1:$R$1377,18,0)=2,SUM(IFERROR(INDEX(Weekly_Model!$D$2:$D$9,MATCH(F235,Weekly_Model!$A$2:$A$9,0)),0),IFERROR(INDEX(Weekly_Model!$D$2:$D$9,MATCH(F236,Weekly_Model!$A$2:$A$9,0)),0)),IF(VLOOKUP($A235,Calendar!$A$1:$R$1377,18,0)=3,SUM(IFERROR(INDEX(Weekly_Model!$D$2:$D$9,MATCH(F235,Weekly_Model!$A$2:$A$9,0)),0),IFERROR(INDEX(Weekly_Model!$D$2:$D$9,MATCH(F236,Weekly_Model!$A$2:$A$9,0)),0),IFERROR(INDEX(Weekly_Model!$D$2:$D$9,MATCH(F237,Weekly_Model!$A$2:$A$9,0)),0)),IF(VLOOKUP($A235,Calendar!$A$1:$R$1377,18,0)=4,SUM(IFERROR(INDEX(Weekly_Model!$D$2:$D$9,MATCH(F235,Weekly_Model!$A$2:$A$9,0)),0),IFERROR(INDEX(Weekly_Model!$D$2:$D$9,MATCH(F236,Weekly_Model!$A$2:$A$9,0)),0),IFERROR(INDEX(Weekly_Model!$D$2:$D$9,MATCH(F237,Weekly_Model!$A$2:$A$9,0)),0),IFERROR(INDEX(Weekly_Model!$D$2:$D$9,MATCH(F238,Weekly_Model!$A$2:$A$9,0)),0)),IF(VLOOKUP($A235,Calendar!$A$1:$R$1377,18,0)=5,SUM(IFERROR(INDEX(Weekly_Model!$D$2:$D$9,MATCH(F235,Weekly_Model!$A$2:$A$9,0)),0),IFERROR(INDEX(Weekly_Model!$D$2:$D$9,MATCH(F236,Weekly_Model!$A$2:$A$9,0)),0),IFERROR(INDEX(Weekly_Model!$D$2:$D$9,MATCH(F237,Weekly_Model!$A$2:$A$9,0)),0),IFERROR(INDEX(Weekly_Model!$D$2:$D$9,MATCH(F238,Weekly_Model!$A$2:$A$9,0)),0),IFERROR(INDEX(Weekly_Model!$D$2:$D$9,MATCH(F239,Weekly_Model!$A$2:$A$9,0)),0)),0))))))</f>
        <v>2.3200000000000002E-2</v>
      </c>
      <c r="L235" s="27">
        <f>IF(VLOOKUP($A235,Calendar!$A$1:$R$1377,18,0)=0,0,IF(VLOOKUP($A235,Calendar!$A$1:$R$1377,18,0)=1,IFERROR(INDEX(Fortnightly_Model!$D$2:$D$15,MATCH(G235,Fortnightly_Model!$B$2:$B$15,0)),0),IF(VLOOKUP($A235,Calendar!$A$1:$R$1377,18,0)=2,SUM(IFERROR(INDEX(Fortnightly_Model!$D$2:$D$15,MATCH(G235,Fortnightly_Model!$B$2:$B$15,0)),0),IFERROR(INDEX(Fortnightly_Model!$D$2:$D$15,MATCH(G236,Fortnightly_Model!$B$2:$B$15,0)),0)),IF(VLOOKUP($A235,Calendar!$A$1:$R$1377,18,0)=3,SUM(IFERROR(INDEX(Fortnightly_Model!$D$2:$D$15,MATCH(G235,Fortnightly_Model!$B$2:$B$15,0)),0),IFERROR(INDEX(Fortnightly_Model!$D$2:$D$15,MATCH(G236,Fortnightly_Model!$B$2:$B$15,0)),0),IFERROR(INDEX(Fortnightly_Model!$D$2:$D$15,MATCH(G237,Fortnightly_Model!$B$2:$B$15,0)),0)),IF(VLOOKUP($A235,Calendar!$A$1:$R$1377,18,0)=4,SUM(IFERROR(INDEX(Fortnightly_Model!$D$2:$D$15,MATCH(G235,Fortnightly_Model!$B$2:$B$15,0)),0),IFERROR(INDEX(Fortnightly_Model!$D$2:$D$15,MATCH(G236,Fortnightly_Model!$B$2:$B$15,0)),0),IFERROR(INDEX(Fortnightly_Model!$D$2:$D$15,MATCH(G237,Fortnightly_Model!$B$2:$B$15,0)),0),IFERROR(INDEX(Fortnightly_Model!$D$2:$D$15,MATCH(G238,Fortnightly_Model!$B$2:$B$15,0)),0)),IF(VLOOKUP($A235,Calendar!$A$1:$R$1377,18,0)=5,SUM(IFERROR(INDEX(Fortnightly_Model!$D$2:$D$15,MATCH(G235,Fortnightly_Model!$B$2:$B$15,0)),0),IFERROR(INDEX(Fortnightly_Model!$D$2:$D$15,MATCH(G236,Fortnightly_Model!$B$2:$B$15,0)),0),IFERROR(INDEX(Fortnightly_Model!$D$2:$D$15,MATCH(G237,Fortnightly_Model!$B$2:$B$15,0)),0),IFERROR(INDEX(Fortnightly_Model!$D$2:$D$15,MATCH(G238,Fortnightly_Model!$B$2:$B$15,0)),0),IFERROR(INDEX(Fortnightly_Model!$D$2:$D$15,MATCH(G239,Fortnightly_Model!$B$2:$B$15,0)),0)),0))))))</f>
        <v>1.0714285499999999E-3</v>
      </c>
      <c r="M235" s="27">
        <f>IF(VLOOKUP($A235,Calendar!$A$1:$R$1377,18,0)=0,0,IF(VLOOKUP($A235,Calendar!$A$1:$R$1377,18,0)=1,IFERROR(INDEX(FourWeekly_Model!$D$2:$D$29,MATCH(H235,FourWeekly_Model!$B$2:$B$29,0)),0),IF(VLOOKUP($A235,Calendar!$A$1:$R$1377,18,0)=2,SUM(IFERROR(INDEX(FourWeekly_Model!$D$2:$D$29,MATCH(H235,FourWeekly_Model!$B$2:$B$29,0)),0),IFERROR(INDEX(FourWeekly_Model!$D$2:$D$29,MATCH(H236,FourWeekly_Model!$B$2:$B$29,0)),0)),IF(VLOOKUP($A235,Calendar!$A$1:$R$1377,18,0)=3,SUM(IFERROR(INDEX(FourWeekly_Model!$D$2:$D$29,MATCH(H235,FourWeekly_Model!$B$2:$B$29,0)),0),IFERROR(INDEX(FourWeekly_Model!$D$2:$D$29,MATCH(H236,FourWeekly_Model!$B$2:$B$29,0)),0),IFERROR(INDEX(FourWeekly_Model!$D$2:$D$29,MATCH(H237,FourWeekly_Model!$B$2:$B$29,0)),0)),IF(VLOOKUP($A235,Calendar!$A$1:$R$1377,18,0)=4,SUM(IFERROR(INDEX(FourWeekly_Model!$D$2:$D$29,MATCH(H235,FourWeekly_Model!$B$2:$B$29,0)),0),IFERROR(INDEX(FourWeekly_Model!$D$2:$D$29,MATCH(H236,FourWeekly_Model!$B$2:$B$29,0)),0),IFERROR(INDEX(FourWeekly_Model!$D$2:$D$29,MATCH(H237,FourWeekly_Model!$B$2:$B$29,0)),0),IFERROR(INDEX(FourWeekly_Model!$D$2:$D$29,MATCH(H238,FourWeekly_Model!$B$2:$B$29,0)),0)),IF(VLOOKUP($A235,Calendar!$A$1:$R$1377,18,0)=5,SUM(IFERROR(INDEX(FourWeekly_Model!$D$2:$D$29,MATCH(H235,FourWeekly_Model!$B$2:$B$29,0)),0),IFERROR(INDEX(FourWeekly_Model!$D$2:$D$29,MATCH(H236,FourWeekly_Model!$B$2:$B$29,0)),0),IFERROR(INDEX(FourWeekly_Model!$D$2:$D$29,MATCH(H237,FourWeekly_Model!$B$2:$B$29,0)),0),IFERROR(INDEX(FourWeekly_Model!$D$2:$D$29,MATCH(H238,FourWeekly_Model!$B$2:$B$29,0)),0),IFERROR(INDEX(FourWeekly_Model!$D$2:$D$29,MATCH(H239,FourWeekly_Model!$B$2:$B$29,0)),0)),0))))))</f>
        <v>3.3214289700000004E-3</v>
      </c>
      <c r="N235" s="27">
        <f>SUM(I235:M235)</f>
        <v>3.0843119300104714E-2</v>
      </c>
      <c r="O235" s="28">
        <f>Population_Data!$B$8*N235</f>
        <v>934546.51479317283</v>
      </c>
      <c r="P235" s="27">
        <f>IF(VLOOKUP($A235,Calendar!$A$1:$R$1377,18,0)=0,0,IF(VLOOKUP($A235,Calendar!$A$1:$R$1377,18,0)=1,IFERROR(INDEX(Pension_Model!$D$2:$D$29,MATCH(H235,Pension_Model!$B$2:$B$29,0)),0),IF(VLOOKUP($A235,Calendar!$A$1:$R$1377,18,0)=2,SUM(IFERROR(INDEX(Pension_Model!$D$2:$D$29,MATCH(H235,Pension_Model!$B$2:$B$29,0)),0),IFERROR(INDEX(Pension_Model!$D$2:$D$29,MATCH(H236,Pension_Model!$B$2:$B$29,0)),0)),IF(VLOOKUP($A235,Calendar!$A$1:$R$1377,18,0)=3,SUM(IFERROR(INDEX(Pension_Model!$D$2:$D$29,MATCH(H235,Pension_Model!$B$2:$B$29,0)),0),IFERROR(INDEX(Pension_Model!$D$2:$D$29,MATCH(H236,Pension_Model!$B$2:$B$29,0)),0),IFERROR(INDEX(Pension_Model!$D$2:$D$29,MATCH(H237,Pension_Model!$B$2:$B$29,0)),0)),IF(VLOOKUP($A235,Calendar!$A$1:$R$1377,18,0)=4,SUM(IFERROR(INDEX(Pension_Model!$D$2:$D$29,MATCH(H235,Pension_Model!$B$2:$B$29,0)),0),IFERROR(INDEX(Pension_Model!$D$2:$D$29,MATCH(H236,Pension_Model!$B$2:$B$29,0)),0),IFERROR(INDEX(Pension_Model!$D$2:$D$29,MATCH(H237,Pension_Model!$B$2:$B$29,0)),0),IFERROR(INDEX(Pension_Model!$D$2:$D$29,MATCH(H238,Pension_Model!$B$2:$B$29,0)),0)),IF(VLOOKUP($A235,Calendar!$A$1:$R$1377,18,0)=5,SUM(IFERROR(INDEX(Pension_Model!$D$2:$D$29,MATCH(H235,Pension_Model!$B$2:$B$29,0)),0),IFERROR(INDEX(Pension_Model!$D$2:$D$29,MATCH(H236,Pension_Model!$B$2:$B$29,0)),0),IFERROR(INDEX(Pension_Model!$D$2:$D$29,MATCH(H237,Pension_Model!$B$2:$B$29,0)),0),IFERROR(INDEX(Pension_Model!$D$2:$D$29,MATCH(H238,Pension_Model!$B$2:$B$29,0)),0),IFERROR(INDEX(Pension_Model!$D$2:$D$29,MATCH(H239,Pension_Model!$B$2:$B$29,0)),0)),0))))))</f>
        <v>0.05</v>
      </c>
      <c r="Q235" s="28">
        <f>Population_Data!$B$15*P235</f>
        <v>660600</v>
      </c>
      <c r="S235">
        <f t="shared" si="3"/>
        <v>1595146.5147931729</v>
      </c>
      <c r="U235" s="33">
        <f>S235/Population_Data!$B$19</f>
        <v>2.8897581789731393E-2</v>
      </c>
    </row>
    <row r="236" spans="1:21">
      <c r="A236" s="25">
        <f>Calendar!A236</f>
        <v>46469</v>
      </c>
      <c r="B236" t="str">
        <f>Calendar!L236</f>
        <v>Yes</v>
      </c>
      <c r="C236" t="str">
        <f>Calendar!O236</f>
        <v>No</v>
      </c>
      <c r="D236" t="str">
        <f>Calendar!P236</f>
        <v>No</v>
      </c>
      <c r="E236" t="str">
        <f>Calendar!Q236</f>
        <v>No</v>
      </c>
      <c r="F236" t="str">
        <f>Calendar!I236</f>
        <v>Tuesday</v>
      </c>
      <c r="G236">
        <f>Calendar!S236</f>
        <v>3</v>
      </c>
      <c r="H236">
        <f>Calendar!T236</f>
        <v>17</v>
      </c>
      <c r="I236" s="27">
        <f>IF(VLOOKUP(A236,Calendar!$A$1:$R$1377,18,0)=0,0,IF(VLOOKUP(A236,Calendar!$A$1:$R$1377,18,0)=1,INDEX(Monthly_Pay_Model!$A$9:$D$40,MATCH(TEXT(A236,"dd"),Monthly_Pay_Model!$C$9:$C$39,0),4),IF(VLOOKUP(A236,Calendar!$A$1:$R$1377,18,0)=2,SUM(INDEX(Monthly_Pay_Model!$A$9:$D$40,MATCH(TEXT(A236,"dd"),Monthly_Pay_Model!$C$9:$C$39,0),4),INDEX(Monthly_Pay_Model!$A$9:$D$40,MATCH(TEXT(A237,"dd"),Monthly_Pay_Model!$C$9:$C$39,0),4)),IF(VLOOKUP(A236,Calendar!$A$1:$R$1377,18,0)=3,SUM(INDEX(Monthly_Pay_Model!$A$9:$D$40,MATCH(TEXT(A236,"dd"),Monthly_Pay_Model!$C$9:$C$39,0),4),INDEX(Monthly_Pay_Model!$A$9:$D$40,MATCH(TEXT(A237,"dd"),Monthly_Pay_Model!$C$9:$C$39,0),4),INDEX(Monthly_Pay_Model!$A$9:$D$40,MATCH(TEXT(A238,"dd"),Monthly_Pay_Model!$C$9:$C$39,0),4)),IF(VLOOKUP(A236,Calendar!$A$1:$R$1377,18,0)=4,SUM(INDEX(Monthly_Pay_Model!$A$9:$D$40,MATCH(TEXT(A236,"dd"),Monthly_Pay_Model!$C$9:$C$39,0),4),INDEX(Monthly_Pay_Model!$A$9:$D$40,MATCH(TEXT(A237,"dd"),Monthly_Pay_Model!$C$9:$C$39,0),4),INDEX(Monthly_Pay_Model!$A$9:$D$40,MATCH(TEXT(A238,"dd"),Monthly_Pay_Model!$C$9:$C$39,0),4),INDEX(Monthly_Pay_Model!$A$9:$D$40,MATCH(TEXT(A239,"dd"),Monthly_Pay_Model!$C$9:$C$39,0),4)),IF(VLOOKUP(A236,Calendar!$A$1:$R$1377,18,0)=5,SUM(INDEX(Monthly_Pay_Model!$A$9:$D$40,MATCH(TEXT(A236,"dd"),Monthly_Pay_Model!$C$9:$C$39,0),4),INDEX(Monthly_Pay_Model!$A$9:$D$40,MATCH(TEXT(A237,"dd"),Monthly_Pay_Model!$C$9:$C$39,0),4),INDEX(Monthly_Pay_Model!$A$9:$D$40,MATCH(TEXT(A238,"dd"),Monthly_Pay_Model!$C$9:$C$39,0),4),INDEX(Monthly_Pay_Model!$A$9:$D$40,MATCH(TEXT(A239,"dd"),Monthly_Pay_Model!$C$9:$C$39,0),4),INDEX(Monthly_Pay_Model!$A$9:$D$40,MATCH(TEXT(A240,"dd"),Monthly_Pay_Model!$C$9:$C$39,0),4)),))))))</f>
        <v>4.0628272251308894E-3</v>
      </c>
      <c r="J236" s="33">
        <f>IF(C236="Yes",Monthly_Pay_Model!$D$2,0)
+IF(Calendar!N236="Yes",Monthly_Pay_Model!$D$3,0)
+IF(D236="Yes",Monthly_Pay_Model!$D$4,0)
+IF(E236="Yes",Monthly_Pay_Model!$D$5,0)</f>
        <v>0</v>
      </c>
      <c r="K236" s="27">
        <f>IF(VLOOKUP($A236,Calendar!$A$1:$R$1377,18,0)=0,0,IF(VLOOKUP($A236,Calendar!$A$1:$R$1377,18,0)=1,IFERROR(INDEX(Weekly_Model!$D$2:$D$9,MATCH(F236,Weekly_Model!$A$2:$A$9,0)),0),IF(VLOOKUP($A236,Calendar!$A$1:$R$1377,18,0)=2,SUM(IFERROR(INDEX(Weekly_Model!$D$2:$D$9,MATCH(F236,Weekly_Model!$A$2:$A$9,0)),0),IFERROR(INDEX(Weekly_Model!$D$2:$D$9,MATCH(F237,Weekly_Model!$A$2:$A$9,0)),0)),IF(VLOOKUP($A236,Calendar!$A$1:$R$1377,18,0)=3,SUM(IFERROR(INDEX(Weekly_Model!$D$2:$D$9,MATCH(F236,Weekly_Model!$A$2:$A$9,0)),0),IFERROR(INDEX(Weekly_Model!$D$2:$D$9,MATCH(F237,Weekly_Model!$A$2:$A$9,0)),0),IFERROR(INDEX(Weekly_Model!$D$2:$D$9,MATCH(F238,Weekly_Model!$A$2:$A$9,0)),0)),IF(VLOOKUP($A236,Calendar!$A$1:$R$1377,18,0)=4,SUM(IFERROR(INDEX(Weekly_Model!$D$2:$D$9,MATCH(F236,Weekly_Model!$A$2:$A$9,0)),0),IFERROR(INDEX(Weekly_Model!$D$2:$D$9,MATCH(F237,Weekly_Model!$A$2:$A$9,0)),0),IFERROR(INDEX(Weekly_Model!$D$2:$D$9,MATCH(F238,Weekly_Model!$A$2:$A$9,0)),0),IFERROR(INDEX(Weekly_Model!$D$2:$D$9,MATCH(F239,Weekly_Model!$A$2:$A$9,0)),0)),IF(VLOOKUP($A236,Calendar!$A$1:$R$1377,18,0)=5,SUM(IFERROR(INDEX(Weekly_Model!$D$2:$D$9,MATCH(F236,Weekly_Model!$A$2:$A$9,0)),0),IFERROR(INDEX(Weekly_Model!$D$2:$D$9,MATCH(F237,Weekly_Model!$A$2:$A$9,0)),0),IFERROR(INDEX(Weekly_Model!$D$2:$D$9,MATCH(F238,Weekly_Model!$A$2:$A$9,0)),0),IFERROR(INDEX(Weekly_Model!$D$2:$D$9,MATCH(F239,Weekly_Model!$A$2:$A$9,0)),0),IFERROR(INDEX(Weekly_Model!$D$2:$D$9,MATCH(F240,Weekly_Model!$A$2:$A$9,0)),0)),0))))))</f>
        <v>2.3200000000000002E-2</v>
      </c>
      <c r="L236" s="27">
        <f>IF(VLOOKUP($A236,Calendar!$A$1:$R$1377,18,0)=0,0,IF(VLOOKUP($A236,Calendar!$A$1:$R$1377,18,0)=1,IFERROR(INDEX(Fortnightly_Model!$D$2:$D$15,MATCH(G236,Fortnightly_Model!$B$2:$B$15,0)),0),IF(VLOOKUP($A236,Calendar!$A$1:$R$1377,18,0)=2,SUM(IFERROR(INDEX(Fortnightly_Model!$D$2:$D$15,MATCH(G236,Fortnightly_Model!$B$2:$B$15,0)),0),IFERROR(INDEX(Fortnightly_Model!$D$2:$D$15,MATCH(G237,Fortnightly_Model!$B$2:$B$15,0)),0)),IF(VLOOKUP($A236,Calendar!$A$1:$R$1377,18,0)=3,SUM(IFERROR(INDEX(Fortnightly_Model!$D$2:$D$15,MATCH(G236,Fortnightly_Model!$B$2:$B$15,0)),0),IFERROR(INDEX(Fortnightly_Model!$D$2:$D$15,MATCH(G237,Fortnightly_Model!$B$2:$B$15,0)),0),IFERROR(INDEX(Fortnightly_Model!$D$2:$D$15,MATCH(G238,Fortnightly_Model!$B$2:$B$15,0)),0)),IF(VLOOKUP($A236,Calendar!$A$1:$R$1377,18,0)=4,SUM(IFERROR(INDEX(Fortnightly_Model!$D$2:$D$15,MATCH(G236,Fortnightly_Model!$B$2:$B$15,0)),0),IFERROR(INDEX(Fortnightly_Model!$D$2:$D$15,MATCH(G237,Fortnightly_Model!$B$2:$B$15,0)),0),IFERROR(INDEX(Fortnightly_Model!$D$2:$D$15,MATCH(G238,Fortnightly_Model!$B$2:$B$15,0)),0),IFERROR(INDEX(Fortnightly_Model!$D$2:$D$15,MATCH(G239,Fortnightly_Model!$B$2:$B$15,0)),0)),IF(VLOOKUP($A236,Calendar!$A$1:$R$1377,18,0)=5,SUM(IFERROR(INDEX(Fortnightly_Model!$D$2:$D$15,MATCH(G236,Fortnightly_Model!$B$2:$B$15,0)),0),IFERROR(INDEX(Fortnightly_Model!$D$2:$D$15,MATCH(G237,Fortnightly_Model!$B$2:$B$15,0)),0),IFERROR(INDEX(Fortnightly_Model!$D$2:$D$15,MATCH(G238,Fortnightly_Model!$B$2:$B$15,0)),0),IFERROR(INDEX(Fortnightly_Model!$D$2:$D$15,MATCH(G239,Fortnightly_Model!$B$2:$B$15,0)),0),IFERROR(INDEX(Fortnightly_Model!$D$2:$D$15,MATCH(G240,Fortnightly_Model!$B$2:$B$15,0)),0)),0))))))</f>
        <v>1.0714285499999999E-3</v>
      </c>
      <c r="M236" s="27">
        <f>IF(VLOOKUP($A236,Calendar!$A$1:$R$1377,18,0)=0,0,IF(VLOOKUP($A236,Calendar!$A$1:$R$1377,18,0)=1,IFERROR(INDEX(FourWeekly_Model!$D$2:$D$29,MATCH(H236,FourWeekly_Model!$B$2:$B$29,0)),0),IF(VLOOKUP($A236,Calendar!$A$1:$R$1377,18,0)=2,SUM(IFERROR(INDEX(FourWeekly_Model!$D$2:$D$29,MATCH(H236,FourWeekly_Model!$B$2:$B$29,0)),0),IFERROR(INDEX(FourWeekly_Model!$D$2:$D$29,MATCH(H237,FourWeekly_Model!$B$2:$B$29,0)),0)),IF(VLOOKUP($A236,Calendar!$A$1:$R$1377,18,0)=3,SUM(IFERROR(INDEX(FourWeekly_Model!$D$2:$D$29,MATCH(H236,FourWeekly_Model!$B$2:$B$29,0)),0),IFERROR(INDEX(FourWeekly_Model!$D$2:$D$29,MATCH(H237,FourWeekly_Model!$B$2:$B$29,0)),0),IFERROR(INDEX(FourWeekly_Model!$D$2:$D$29,MATCH(H238,FourWeekly_Model!$B$2:$B$29,0)),0)),IF(VLOOKUP($A236,Calendar!$A$1:$R$1377,18,0)=4,SUM(IFERROR(INDEX(FourWeekly_Model!$D$2:$D$29,MATCH(H236,FourWeekly_Model!$B$2:$B$29,0)),0),IFERROR(INDEX(FourWeekly_Model!$D$2:$D$29,MATCH(H237,FourWeekly_Model!$B$2:$B$29,0)),0),IFERROR(INDEX(FourWeekly_Model!$D$2:$D$29,MATCH(H238,FourWeekly_Model!$B$2:$B$29,0)),0),IFERROR(INDEX(FourWeekly_Model!$D$2:$D$29,MATCH(H239,FourWeekly_Model!$B$2:$B$29,0)),0)),IF(VLOOKUP($A236,Calendar!$A$1:$R$1377,18,0)=5,SUM(IFERROR(INDEX(FourWeekly_Model!$D$2:$D$29,MATCH(H236,FourWeekly_Model!$B$2:$B$29,0)),0),IFERROR(INDEX(FourWeekly_Model!$D$2:$D$29,MATCH(H237,FourWeekly_Model!$B$2:$B$29,0)),0),IFERROR(INDEX(FourWeekly_Model!$D$2:$D$29,MATCH(H238,FourWeekly_Model!$B$2:$B$29,0)),0),IFERROR(INDEX(FourWeekly_Model!$D$2:$D$29,MATCH(H239,FourWeekly_Model!$B$2:$B$29,0)),0),IFERROR(INDEX(FourWeekly_Model!$D$2:$D$29,MATCH(H240,FourWeekly_Model!$B$2:$B$29,0)),0)),0))))))</f>
        <v>3.3214289700000004E-3</v>
      </c>
      <c r="N236" s="27">
        <f>SUM(I236:M236)</f>
        <v>3.1655684745130891E-2</v>
      </c>
      <c r="O236" s="28">
        <f>Population_Data!$B$8*N236</f>
        <v>959167.24777746596</v>
      </c>
      <c r="P236" s="27">
        <f>IF(VLOOKUP($A236,Calendar!$A$1:$R$1377,18,0)=0,0,IF(VLOOKUP($A236,Calendar!$A$1:$R$1377,18,0)=1,IFERROR(INDEX(Pension_Model!$D$2:$D$29,MATCH(H236,Pension_Model!$B$2:$B$29,0)),0),IF(VLOOKUP($A236,Calendar!$A$1:$R$1377,18,0)=2,SUM(IFERROR(INDEX(Pension_Model!$D$2:$D$29,MATCH(H236,Pension_Model!$B$2:$B$29,0)),0),IFERROR(INDEX(Pension_Model!$D$2:$D$29,MATCH(H237,Pension_Model!$B$2:$B$29,0)),0)),IF(VLOOKUP($A236,Calendar!$A$1:$R$1377,18,0)=3,SUM(IFERROR(INDEX(Pension_Model!$D$2:$D$29,MATCH(H236,Pension_Model!$B$2:$B$29,0)),0),IFERROR(INDEX(Pension_Model!$D$2:$D$29,MATCH(H237,Pension_Model!$B$2:$B$29,0)),0),IFERROR(INDEX(Pension_Model!$D$2:$D$29,MATCH(H238,Pension_Model!$B$2:$B$29,0)),0)),IF(VLOOKUP($A236,Calendar!$A$1:$R$1377,18,0)=4,SUM(IFERROR(INDEX(Pension_Model!$D$2:$D$29,MATCH(H236,Pension_Model!$B$2:$B$29,0)),0),IFERROR(INDEX(Pension_Model!$D$2:$D$29,MATCH(H237,Pension_Model!$B$2:$B$29,0)),0),IFERROR(INDEX(Pension_Model!$D$2:$D$29,MATCH(H238,Pension_Model!$B$2:$B$29,0)),0),IFERROR(INDEX(Pension_Model!$D$2:$D$29,MATCH(H239,Pension_Model!$B$2:$B$29,0)),0)),IF(VLOOKUP($A236,Calendar!$A$1:$R$1377,18,0)=5,SUM(IFERROR(INDEX(Pension_Model!$D$2:$D$29,MATCH(H236,Pension_Model!$B$2:$B$29,0)),0),IFERROR(INDEX(Pension_Model!$D$2:$D$29,MATCH(H237,Pension_Model!$B$2:$B$29,0)),0),IFERROR(INDEX(Pension_Model!$D$2:$D$29,MATCH(H238,Pension_Model!$B$2:$B$29,0)),0),IFERROR(INDEX(Pension_Model!$D$2:$D$29,MATCH(H239,Pension_Model!$B$2:$B$29,0)),0),IFERROR(INDEX(Pension_Model!$D$2:$D$29,MATCH(H240,Pension_Model!$B$2:$B$29,0)),0)),0))))))</f>
        <v>0.05</v>
      </c>
      <c r="Q236" s="28">
        <f>Population_Data!$B$15*P236</f>
        <v>660600</v>
      </c>
      <c r="S236">
        <f t="shared" si="3"/>
        <v>1619767.247777466</v>
      </c>
      <c r="U236" s="33">
        <f>S236/Population_Data!$B$19</f>
        <v>2.9343609561185979E-2</v>
      </c>
    </row>
    <row r="237" spans="1:21">
      <c r="A237" s="25">
        <f>Calendar!A237</f>
        <v>46470</v>
      </c>
      <c r="B237" t="str">
        <f>Calendar!L237</f>
        <v>Yes</v>
      </c>
      <c r="C237" t="str">
        <f>Calendar!O237</f>
        <v>No</v>
      </c>
      <c r="D237" t="str">
        <f>Calendar!P237</f>
        <v>No</v>
      </c>
      <c r="E237" t="str">
        <f>Calendar!Q237</f>
        <v>No</v>
      </c>
      <c r="F237" t="str">
        <f>Calendar!I237</f>
        <v>Wednesday</v>
      </c>
      <c r="G237">
        <f>Calendar!S237</f>
        <v>4</v>
      </c>
      <c r="H237">
        <f>Calendar!T237</f>
        <v>18</v>
      </c>
      <c r="I237" s="27">
        <f>IF(VLOOKUP(A237,Calendar!$A$1:$R$1377,18,0)=0,0,IF(VLOOKUP(A237,Calendar!$A$1:$R$1377,18,0)=1,INDEX(Monthly_Pay_Model!$A$9:$D$40,MATCH(TEXT(A237,"dd"),Monthly_Pay_Model!$C$9:$C$39,0),4),IF(VLOOKUP(A237,Calendar!$A$1:$R$1377,18,0)=2,SUM(INDEX(Monthly_Pay_Model!$A$9:$D$40,MATCH(TEXT(A237,"dd"),Monthly_Pay_Model!$C$9:$C$39,0),4),INDEX(Monthly_Pay_Model!$A$9:$D$40,MATCH(TEXT(A238,"dd"),Monthly_Pay_Model!$C$9:$C$39,0),4)),IF(VLOOKUP(A237,Calendar!$A$1:$R$1377,18,0)=3,SUM(INDEX(Monthly_Pay_Model!$A$9:$D$40,MATCH(TEXT(A237,"dd"),Monthly_Pay_Model!$C$9:$C$39,0),4),INDEX(Monthly_Pay_Model!$A$9:$D$40,MATCH(TEXT(A238,"dd"),Monthly_Pay_Model!$C$9:$C$39,0),4),INDEX(Monthly_Pay_Model!$A$9:$D$40,MATCH(TEXT(A239,"dd"),Monthly_Pay_Model!$C$9:$C$39,0),4)),IF(VLOOKUP(A237,Calendar!$A$1:$R$1377,18,0)=4,SUM(INDEX(Monthly_Pay_Model!$A$9:$D$40,MATCH(TEXT(A237,"dd"),Monthly_Pay_Model!$C$9:$C$39,0),4),INDEX(Monthly_Pay_Model!$A$9:$D$40,MATCH(TEXT(A238,"dd"),Monthly_Pay_Model!$C$9:$C$39,0),4),INDEX(Monthly_Pay_Model!$A$9:$D$40,MATCH(TEXT(A239,"dd"),Monthly_Pay_Model!$C$9:$C$39,0),4),INDEX(Monthly_Pay_Model!$A$9:$D$40,MATCH(TEXT(A240,"dd"),Monthly_Pay_Model!$C$9:$C$39,0),4)),IF(VLOOKUP(A237,Calendar!$A$1:$R$1377,18,0)=5,SUM(INDEX(Monthly_Pay_Model!$A$9:$D$40,MATCH(TEXT(A237,"dd"),Monthly_Pay_Model!$C$9:$C$39,0),4),INDEX(Monthly_Pay_Model!$A$9:$D$40,MATCH(TEXT(A238,"dd"),Monthly_Pay_Model!$C$9:$C$39,0),4),INDEX(Monthly_Pay_Model!$A$9:$D$40,MATCH(TEXT(A239,"dd"),Monthly_Pay_Model!$C$9:$C$39,0),4),INDEX(Monthly_Pay_Model!$A$9:$D$40,MATCH(TEXT(A240,"dd"),Monthly_Pay_Model!$C$9:$C$39,0),4),INDEX(Monthly_Pay_Model!$A$9:$D$40,MATCH(TEXT(A241,"dd"),Monthly_Pay_Model!$C$9:$C$39,0),4)),))))))</f>
        <v>7.3130890052356002E-3</v>
      </c>
      <c r="J237" s="33">
        <f>IF(C237="Yes",Monthly_Pay_Model!$D$2,0)
+IF(Calendar!N237="Yes",Monthly_Pay_Model!$D$3,0)
+IF(D237="Yes",Monthly_Pay_Model!$D$4,0)
+IF(E237="Yes",Monthly_Pay_Model!$D$5,0)</f>
        <v>0</v>
      </c>
      <c r="K237" s="27">
        <f>IF(VLOOKUP($A237,Calendar!$A$1:$R$1377,18,0)=0,0,IF(VLOOKUP($A237,Calendar!$A$1:$R$1377,18,0)=1,IFERROR(INDEX(Weekly_Model!$D$2:$D$9,MATCH(F237,Weekly_Model!$A$2:$A$9,0)),0),IF(VLOOKUP($A237,Calendar!$A$1:$R$1377,18,0)=2,SUM(IFERROR(INDEX(Weekly_Model!$D$2:$D$9,MATCH(F237,Weekly_Model!$A$2:$A$9,0)),0),IFERROR(INDEX(Weekly_Model!$D$2:$D$9,MATCH(F238,Weekly_Model!$A$2:$A$9,0)),0)),IF(VLOOKUP($A237,Calendar!$A$1:$R$1377,18,0)=3,SUM(IFERROR(INDEX(Weekly_Model!$D$2:$D$9,MATCH(F237,Weekly_Model!$A$2:$A$9,0)),0),IFERROR(INDEX(Weekly_Model!$D$2:$D$9,MATCH(F238,Weekly_Model!$A$2:$A$9,0)),0),IFERROR(INDEX(Weekly_Model!$D$2:$D$9,MATCH(F239,Weekly_Model!$A$2:$A$9,0)),0)),IF(VLOOKUP($A237,Calendar!$A$1:$R$1377,18,0)=4,SUM(IFERROR(INDEX(Weekly_Model!$D$2:$D$9,MATCH(F237,Weekly_Model!$A$2:$A$9,0)),0),IFERROR(INDEX(Weekly_Model!$D$2:$D$9,MATCH(F238,Weekly_Model!$A$2:$A$9,0)),0),IFERROR(INDEX(Weekly_Model!$D$2:$D$9,MATCH(F239,Weekly_Model!$A$2:$A$9,0)),0),IFERROR(INDEX(Weekly_Model!$D$2:$D$9,MATCH(F240,Weekly_Model!$A$2:$A$9,0)),0)),IF(VLOOKUP($A237,Calendar!$A$1:$R$1377,18,0)=5,SUM(IFERROR(INDEX(Weekly_Model!$D$2:$D$9,MATCH(F237,Weekly_Model!$A$2:$A$9,0)),0),IFERROR(INDEX(Weekly_Model!$D$2:$D$9,MATCH(F238,Weekly_Model!$A$2:$A$9,0)),0),IFERROR(INDEX(Weekly_Model!$D$2:$D$9,MATCH(F239,Weekly_Model!$A$2:$A$9,0)),0),IFERROR(INDEX(Weekly_Model!$D$2:$D$9,MATCH(F240,Weekly_Model!$A$2:$A$9,0)),0),IFERROR(INDEX(Weekly_Model!$D$2:$D$9,MATCH(F241,Weekly_Model!$A$2:$A$9,0)),0)),0))))))</f>
        <v>2.3200000000000002E-2</v>
      </c>
      <c r="L237" s="27">
        <f>IF(VLOOKUP($A237,Calendar!$A$1:$R$1377,18,0)=0,0,IF(VLOOKUP($A237,Calendar!$A$1:$R$1377,18,0)=1,IFERROR(INDEX(Fortnightly_Model!$D$2:$D$15,MATCH(G237,Fortnightly_Model!$B$2:$B$15,0)),0),IF(VLOOKUP($A237,Calendar!$A$1:$R$1377,18,0)=2,SUM(IFERROR(INDEX(Fortnightly_Model!$D$2:$D$15,MATCH(G237,Fortnightly_Model!$B$2:$B$15,0)),0),IFERROR(INDEX(Fortnightly_Model!$D$2:$D$15,MATCH(G238,Fortnightly_Model!$B$2:$B$15,0)),0)),IF(VLOOKUP($A237,Calendar!$A$1:$R$1377,18,0)=3,SUM(IFERROR(INDEX(Fortnightly_Model!$D$2:$D$15,MATCH(G237,Fortnightly_Model!$B$2:$B$15,0)),0),IFERROR(INDEX(Fortnightly_Model!$D$2:$D$15,MATCH(G238,Fortnightly_Model!$B$2:$B$15,0)),0),IFERROR(INDEX(Fortnightly_Model!$D$2:$D$15,MATCH(G239,Fortnightly_Model!$B$2:$B$15,0)),0)),IF(VLOOKUP($A237,Calendar!$A$1:$R$1377,18,0)=4,SUM(IFERROR(INDEX(Fortnightly_Model!$D$2:$D$15,MATCH(G237,Fortnightly_Model!$B$2:$B$15,0)),0),IFERROR(INDEX(Fortnightly_Model!$D$2:$D$15,MATCH(G238,Fortnightly_Model!$B$2:$B$15,0)),0),IFERROR(INDEX(Fortnightly_Model!$D$2:$D$15,MATCH(G239,Fortnightly_Model!$B$2:$B$15,0)),0),IFERROR(INDEX(Fortnightly_Model!$D$2:$D$15,MATCH(G240,Fortnightly_Model!$B$2:$B$15,0)),0)),IF(VLOOKUP($A237,Calendar!$A$1:$R$1377,18,0)=5,SUM(IFERROR(INDEX(Fortnightly_Model!$D$2:$D$15,MATCH(G237,Fortnightly_Model!$B$2:$B$15,0)),0),IFERROR(INDEX(Fortnightly_Model!$D$2:$D$15,MATCH(G238,Fortnightly_Model!$B$2:$B$15,0)),0),IFERROR(INDEX(Fortnightly_Model!$D$2:$D$15,MATCH(G239,Fortnightly_Model!$B$2:$B$15,0)),0),IFERROR(INDEX(Fortnightly_Model!$D$2:$D$15,MATCH(G240,Fortnightly_Model!$B$2:$B$15,0)),0),IFERROR(INDEX(Fortnightly_Model!$D$2:$D$15,MATCH(G241,Fortnightly_Model!$B$2:$B$15,0)),0)),0))))))</f>
        <v>1.0714285499999999E-3</v>
      </c>
      <c r="M237" s="27">
        <f>IF(VLOOKUP($A237,Calendar!$A$1:$R$1377,18,0)=0,0,IF(VLOOKUP($A237,Calendar!$A$1:$R$1377,18,0)=1,IFERROR(INDEX(FourWeekly_Model!$D$2:$D$29,MATCH(H237,FourWeekly_Model!$B$2:$B$29,0)),0),IF(VLOOKUP($A237,Calendar!$A$1:$R$1377,18,0)=2,SUM(IFERROR(INDEX(FourWeekly_Model!$D$2:$D$29,MATCH(H237,FourWeekly_Model!$B$2:$B$29,0)),0),IFERROR(INDEX(FourWeekly_Model!$D$2:$D$29,MATCH(H238,FourWeekly_Model!$B$2:$B$29,0)),0)),IF(VLOOKUP($A237,Calendar!$A$1:$R$1377,18,0)=3,SUM(IFERROR(INDEX(FourWeekly_Model!$D$2:$D$29,MATCH(H237,FourWeekly_Model!$B$2:$B$29,0)),0),IFERROR(INDEX(FourWeekly_Model!$D$2:$D$29,MATCH(H238,FourWeekly_Model!$B$2:$B$29,0)),0),IFERROR(INDEX(FourWeekly_Model!$D$2:$D$29,MATCH(H239,FourWeekly_Model!$B$2:$B$29,0)),0)),IF(VLOOKUP($A237,Calendar!$A$1:$R$1377,18,0)=4,SUM(IFERROR(INDEX(FourWeekly_Model!$D$2:$D$29,MATCH(H237,FourWeekly_Model!$B$2:$B$29,0)),0),IFERROR(INDEX(FourWeekly_Model!$D$2:$D$29,MATCH(H238,FourWeekly_Model!$B$2:$B$29,0)),0),IFERROR(INDEX(FourWeekly_Model!$D$2:$D$29,MATCH(H239,FourWeekly_Model!$B$2:$B$29,0)),0),IFERROR(INDEX(FourWeekly_Model!$D$2:$D$29,MATCH(H240,FourWeekly_Model!$B$2:$B$29,0)),0)),IF(VLOOKUP($A237,Calendar!$A$1:$R$1377,18,0)=5,SUM(IFERROR(INDEX(FourWeekly_Model!$D$2:$D$29,MATCH(H237,FourWeekly_Model!$B$2:$B$29,0)),0),IFERROR(INDEX(FourWeekly_Model!$D$2:$D$29,MATCH(H238,FourWeekly_Model!$B$2:$B$29,0)),0),IFERROR(INDEX(FourWeekly_Model!$D$2:$D$29,MATCH(H239,FourWeekly_Model!$B$2:$B$29,0)),0),IFERROR(INDEX(FourWeekly_Model!$D$2:$D$29,MATCH(H240,FourWeekly_Model!$B$2:$B$29,0)),0),IFERROR(INDEX(FourWeekly_Model!$D$2:$D$29,MATCH(H241,FourWeekly_Model!$B$2:$B$29,0)),0)),0))))))</f>
        <v>3.3214289700000004E-3</v>
      </c>
      <c r="N237" s="27">
        <f>SUM(I237:M237)</f>
        <v>3.4905946525235605E-2</v>
      </c>
      <c r="O237" s="28">
        <f>Population_Data!$B$8*N237</f>
        <v>1057650.1797146387</v>
      </c>
      <c r="P237" s="27">
        <f>IF(VLOOKUP($A237,Calendar!$A$1:$R$1377,18,0)=0,0,IF(VLOOKUP($A237,Calendar!$A$1:$R$1377,18,0)=1,IFERROR(INDEX(Pension_Model!$D$2:$D$29,MATCH(H237,Pension_Model!$B$2:$B$29,0)),0),IF(VLOOKUP($A237,Calendar!$A$1:$R$1377,18,0)=2,SUM(IFERROR(INDEX(Pension_Model!$D$2:$D$29,MATCH(H237,Pension_Model!$B$2:$B$29,0)),0),IFERROR(INDEX(Pension_Model!$D$2:$D$29,MATCH(H238,Pension_Model!$B$2:$B$29,0)),0)),IF(VLOOKUP($A237,Calendar!$A$1:$R$1377,18,0)=3,SUM(IFERROR(INDEX(Pension_Model!$D$2:$D$29,MATCH(H237,Pension_Model!$B$2:$B$29,0)),0),IFERROR(INDEX(Pension_Model!$D$2:$D$29,MATCH(H238,Pension_Model!$B$2:$B$29,0)),0),IFERROR(INDEX(Pension_Model!$D$2:$D$29,MATCH(H239,Pension_Model!$B$2:$B$29,0)),0)),IF(VLOOKUP($A237,Calendar!$A$1:$R$1377,18,0)=4,SUM(IFERROR(INDEX(Pension_Model!$D$2:$D$29,MATCH(H237,Pension_Model!$B$2:$B$29,0)),0),IFERROR(INDEX(Pension_Model!$D$2:$D$29,MATCH(H238,Pension_Model!$B$2:$B$29,0)),0),IFERROR(INDEX(Pension_Model!$D$2:$D$29,MATCH(H239,Pension_Model!$B$2:$B$29,0)),0),IFERROR(INDEX(Pension_Model!$D$2:$D$29,MATCH(H240,Pension_Model!$B$2:$B$29,0)),0)),IF(VLOOKUP($A237,Calendar!$A$1:$R$1377,18,0)=5,SUM(IFERROR(INDEX(Pension_Model!$D$2:$D$29,MATCH(H237,Pension_Model!$B$2:$B$29,0)),0),IFERROR(INDEX(Pension_Model!$D$2:$D$29,MATCH(H238,Pension_Model!$B$2:$B$29,0)),0),IFERROR(INDEX(Pension_Model!$D$2:$D$29,MATCH(H239,Pension_Model!$B$2:$B$29,0)),0),IFERROR(INDEX(Pension_Model!$D$2:$D$29,MATCH(H240,Pension_Model!$B$2:$B$29,0)),0),IFERROR(INDEX(Pension_Model!$D$2:$D$29,MATCH(H241,Pension_Model!$B$2:$B$29,0)),0)),0))))))</f>
        <v>0.05</v>
      </c>
      <c r="Q237" s="28">
        <f>Population_Data!$B$15*P237</f>
        <v>660600</v>
      </c>
      <c r="S237">
        <f t="shared" si="3"/>
        <v>1718250.1797146387</v>
      </c>
      <c r="U237" s="33">
        <f>S237/Population_Data!$B$19</f>
        <v>3.1127720647004326E-2</v>
      </c>
    </row>
    <row r="238" spans="1:21">
      <c r="A238" s="25">
        <f>Calendar!A238</f>
        <v>46471</v>
      </c>
      <c r="B238" t="str">
        <f>Calendar!L238</f>
        <v>Yes</v>
      </c>
      <c r="C238" t="str">
        <f>Calendar!O238</f>
        <v>No</v>
      </c>
      <c r="D238" t="str">
        <f>Calendar!P238</f>
        <v>No</v>
      </c>
      <c r="E238" t="str">
        <f>Calendar!Q238</f>
        <v>Yes</v>
      </c>
      <c r="F238" t="str">
        <f>Calendar!I238</f>
        <v>Thursday</v>
      </c>
      <c r="G238">
        <f>Calendar!S238</f>
        <v>5</v>
      </c>
      <c r="H238">
        <f>Calendar!T238</f>
        <v>19</v>
      </c>
      <c r="I238" s="27">
        <f>IF(VLOOKUP(A238,Calendar!$A$1:$R$1377,18,0)=0,0,IF(VLOOKUP(A238,Calendar!$A$1:$R$1377,18,0)=1,INDEX(Monthly_Pay_Model!$A$9:$D$40,MATCH(TEXT(A238,"dd"),Monthly_Pay_Model!$C$9:$C$39,0),4),IF(VLOOKUP(A238,Calendar!$A$1:$R$1377,18,0)=2,SUM(INDEX(Monthly_Pay_Model!$A$9:$D$40,MATCH(TEXT(A238,"dd"),Monthly_Pay_Model!$C$9:$C$39,0),4),INDEX(Monthly_Pay_Model!$A$9:$D$40,MATCH(TEXT(A239,"dd"),Monthly_Pay_Model!$C$9:$C$39,0),4)),IF(VLOOKUP(A238,Calendar!$A$1:$R$1377,18,0)=3,SUM(INDEX(Monthly_Pay_Model!$A$9:$D$40,MATCH(TEXT(A238,"dd"),Monthly_Pay_Model!$C$9:$C$39,0),4),INDEX(Monthly_Pay_Model!$A$9:$D$40,MATCH(TEXT(A239,"dd"),Monthly_Pay_Model!$C$9:$C$39,0),4),INDEX(Monthly_Pay_Model!$A$9:$D$40,MATCH(TEXT(A240,"dd"),Monthly_Pay_Model!$C$9:$C$39,0),4)),IF(VLOOKUP(A238,Calendar!$A$1:$R$1377,18,0)=4,SUM(INDEX(Monthly_Pay_Model!$A$9:$D$40,MATCH(TEXT(A238,"dd"),Monthly_Pay_Model!$C$9:$C$39,0),4),INDEX(Monthly_Pay_Model!$A$9:$D$40,MATCH(TEXT(A239,"dd"),Monthly_Pay_Model!$C$9:$C$39,0),4),INDEX(Monthly_Pay_Model!$A$9:$D$40,MATCH(TEXT(A240,"dd"),Monthly_Pay_Model!$C$9:$C$39,0),4),INDEX(Monthly_Pay_Model!$A$9:$D$40,MATCH(TEXT(A241,"dd"),Monthly_Pay_Model!$C$9:$C$39,0),4)),IF(VLOOKUP(A238,Calendar!$A$1:$R$1377,18,0)=5,SUM(INDEX(Monthly_Pay_Model!$A$9:$D$40,MATCH(TEXT(A238,"dd"),Monthly_Pay_Model!$C$9:$C$39,0),4),INDEX(Monthly_Pay_Model!$A$9:$D$40,MATCH(TEXT(A239,"dd"),Monthly_Pay_Model!$C$9:$C$39,0),4),INDEX(Monthly_Pay_Model!$A$9:$D$40,MATCH(TEXT(A240,"dd"),Monthly_Pay_Model!$C$9:$C$39,0),4),INDEX(Monthly_Pay_Model!$A$9:$D$40,MATCH(TEXT(A241,"dd"),Monthly_Pay_Model!$C$9:$C$39,0),4),INDEX(Monthly_Pay_Model!$A$9:$D$40,MATCH(TEXT(A242,"dd"),Monthly_Pay_Model!$C$9:$C$39,0),4)),))))))</f>
        <v>6.6630366492146584E-2</v>
      </c>
      <c r="J238" s="33">
        <f>IF(C238="Yes",Monthly_Pay_Model!$D$2,0)
+IF(Calendar!N238="Yes",Monthly_Pay_Model!$D$3,0)
+IF(D238="Yes",Monthly_Pay_Model!$D$4,0)
+IF(E238="Yes",Monthly_Pay_Model!$D$5,0)</f>
        <v>5.4320000000000007E-2</v>
      </c>
      <c r="K238" s="27">
        <f>IF(VLOOKUP($A238,Calendar!$A$1:$R$1377,18,0)=0,0,IF(VLOOKUP($A238,Calendar!$A$1:$R$1377,18,0)=1,IFERROR(INDEX(Weekly_Model!$D$2:$D$9,MATCH(F238,Weekly_Model!$A$2:$A$9,0)),0),IF(VLOOKUP($A238,Calendar!$A$1:$R$1377,18,0)=2,SUM(IFERROR(INDEX(Weekly_Model!$D$2:$D$9,MATCH(F238,Weekly_Model!$A$2:$A$9,0)),0),IFERROR(INDEX(Weekly_Model!$D$2:$D$9,MATCH(F239,Weekly_Model!$A$2:$A$9,0)),0)),IF(VLOOKUP($A238,Calendar!$A$1:$R$1377,18,0)=3,SUM(IFERROR(INDEX(Weekly_Model!$D$2:$D$9,MATCH(F238,Weekly_Model!$A$2:$A$9,0)),0),IFERROR(INDEX(Weekly_Model!$D$2:$D$9,MATCH(F239,Weekly_Model!$A$2:$A$9,0)),0),IFERROR(INDEX(Weekly_Model!$D$2:$D$9,MATCH(F240,Weekly_Model!$A$2:$A$9,0)),0)),IF(VLOOKUP($A238,Calendar!$A$1:$R$1377,18,0)=4,SUM(IFERROR(INDEX(Weekly_Model!$D$2:$D$9,MATCH(F238,Weekly_Model!$A$2:$A$9,0)),0),IFERROR(INDEX(Weekly_Model!$D$2:$D$9,MATCH(F239,Weekly_Model!$A$2:$A$9,0)),0),IFERROR(INDEX(Weekly_Model!$D$2:$D$9,MATCH(F240,Weekly_Model!$A$2:$A$9,0)),0),IFERROR(INDEX(Weekly_Model!$D$2:$D$9,MATCH(F241,Weekly_Model!$A$2:$A$9,0)),0)),IF(VLOOKUP($A238,Calendar!$A$1:$R$1377,18,0)=5,SUM(IFERROR(INDEX(Weekly_Model!$D$2:$D$9,MATCH(F238,Weekly_Model!$A$2:$A$9,0)),0),IFERROR(INDEX(Weekly_Model!$D$2:$D$9,MATCH(F239,Weekly_Model!$A$2:$A$9,0)),0),IFERROR(INDEX(Weekly_Model!$D$2:$D$9,MATCH(F240,Weekly_Model!$A$2:$A$9,0)),0),IFERROR(INDEX(Weekly_Model!$D$2:$D$9,MATCH(F241,Weekly_Model!$A$2:$A$9,0)),0),IFERROR(INDEX(Weekly_Model!$D$2:$D$9,MATCH(F242,Weekly_Model!$A$2:$A$9,0)),0)),0))))))</f>
        <v>6.9600000000000009E-2</v>
      </c>
      <c r="L238" s="27">
        <f>IF(VLOOKUP($A238,Calendar!$A$1:$R$1377,18,0)=0,0,IF(VLOOKUP($A238,Calendar!$A$1:$R$1377,18,0)=1,IFERROR(INDEX(Fortnightly_Model!$D$2:$D$15,MATCH(G238,Fortnightly_Model!$B$2:$B$15,0)),0),IF(VLOOKUP($A238,Calendar!$A$1:$R$1377,18,0)=2,SUM(IFERROR(INDEX(Fortnightly_Model!$D$2:$D$15,MATCH(G238,Fortnightly_Model!$B$2:$B$15,0)),0),IFERROR(INDEX(Fortnightly_Model!$D$2:$D$15,MATCH(G239,Fortnightly_Model!$B$2:$B$15,0)),0)),IF(VLOOKUP($A238,Calendar!$A$1:$R$1377,18,0)=3,SUM(IFERROR(INDEX(Fortnightly_Model!$D$2:$D$15,MATCH(G238,Fortnightly_Model!$B$2:$B$15,0)),0),IFERROR(INDEX(Fortnightly_Model!$D$2:$D$15,MATCH(G239,Fortnightly_Model!$B$2:$B$15,0)),0),IFERROR(INDEX(Fortnightly_Model!$D$2:$D$15,MATCH(G240,Fortnightly_Model!$B$2:$B$15,0)),0)),IF(VLOOKUP($A238,Calendar!$A$1:$R$1377,18,0)=4,SUM(IFERROR(INDEX(Fortnightly_Model!$D$2:$D$15,MATCH(G238,Fortnightly_Model!$B$2:$B$15,0)),0),IFERROR(INDEX(Fortnightly_Model!$D$2:$D$15,MATCH(G239,Fortnightly_Model!$B$2:$B$15,0)),0),IFERROR(INDEX(Fortnightly_Model!$D$2:$D$15,MATCH(G240,Fortnightly_Model!$B$2:$B$15,0)),0),IFERROR(INDEX(Fortnightly_Model!$D$2:$D$15,MATCH(G241,Fortnightly_Model!$B$2:$B$15,0)),0)),IF(VLOOKUP($A238,Calendar!$A$1:$R$1377,18,0)=5,SUM(IFERROR(INDEX(Fortnightly_Model!$D$2:$D$15,MATCH(G238,Fortnightly_Model!$B$2:$B$15,0)),0),IFERROR(INDEX(Fortnightly_Model!$D$2:$D$15,MATCH(G239,Fortnightly_Model!$B$2:$B$15,0)),0),IFERROR(INDEX(Fortnightly_Model!$D$2:$D$15,MATCH(G240,Fortnightly_Model!$B$2:$B$15,0)),0),IFERROR(INDEX(Fortnightly_Model!$D$2:$D$15,MATCH(G241,Fortnightly_Model!$B$2:$B$15,0)),0),IFERROR(INDEX(Fortnightly_Model!$D$2:$D$15,MATCH(G242,Fortnightly_Model!$B$2:$B$15,0)),0)),0))))))</f>
        <v>5.3571427499999992E-3</v>
      </c>
      <c r="M238" s="27">
        <f>IF(VLOOKUP($A238,Calendar!$A$1:$R$1377,18,0)=0,0,IF(VLOOKUP($A238,Calendar!$A$1:$R$1377,18,0)=1,IFERROR(INDEX(FourWeekly_Model!$D$2:$D$29,MATCH(H238,FourWeekly_Model!$B$2:$B$29,0)),0),IF(VLOOKUP($A238,Calendar!$A$1:$R$1377,18,0)=2,SUM(IFERROR(INDEX(FourWeekly_Model!$D$2:$D$29,MATCH(H238,FourWeekly_Model!$B$2:$B$29,0)),0),IFERROR(INDEX(FourWeekly_Model!$D$2:$D$29,MATCH(H239,FourWeekly_Model!$B$2:$B$29,0)),0)),IF(VLOOKUP($A238,Calendar!$A$1:$R$1377,18,0)=3,SUM(IFERROR(INDEX(FourWeekly_Model!$D$2:$D$29,MATCH(H238,FourWeekly_Model!$B$2:$B$29,0)),0),IFERROR(INDEX(FourWeekly_Model!$D$2:$D$29,MATCH(H239,FourWeekly_Model!$B$2:$B$29,0)),0),IFERROR(INDEX(FourWeekly_Model!$D$2:$D$29,MATCH(H240,FourWeekly_Model!$B$2:$B$29,0)),0)),IF(VLOOKUP($A238,Calendar!$A$1:$R$1377,18,0)=4,SUM(IFERROR(INDEX(FourWeekly_Model!$D$2:$D$29,MATCH(H238,FourWeekly_Model!$B$2:$B$29,0)),0),IFERROR(INDEX(FourWeekly_Model!$D$2:$D$29,MATCH(H239,FourWeekly_Model!$B$2:$B$29,0)),0),IFERROR(INDEX(FourWeekly_Model!$D$2:$D$29,MATCH(H240,FourWeekly_Model!$B$2:$B$29,0)),0),IFERROR(INDEX(FourWeekly_Model!$D$2:$D$29,MATCH(H241,FourWeekly_Model!$B$2:$B$29,0)),0)),IF(VLOOKUP($A238,Calendar!$A$1:$R$1377,18,0)=5,SUM(IFERROR(INDEX(FourWeekly_Model!$D$2:$D$29,MATCH(H238,FourWeekly_Model!$B$2:$B$29,0)),0),IFERROR(INDEX(FourWeekly_Model!$D$2:$D$29,MATCH(H239,FourWeekly_Model!$B$2:$B$29,0)),0),IFERROR(INDEX(FourWeekly_Model!$D$2:$D$29,MATCH(H240,FourWeekly_Model!$B$2:$B$29,0)),0),IFERROR(INDEX(FourWeekly_Model!$D$2:$D$29,MATCH(H241,FourWeekly_Model!$B$2:$B$29,0)),0),IFERROR(INDEX(FourWeekly_Model!$D$2:$D$29,MATCH(H242,FourWeekly_Model!$B$2:$B$29,0)),0)),0))))))</f>
        <v>1.6607143920000001E-2</v>
      </c>
      <c r="N238" s="27">
        <f>SUM(I238:M238)</f>
        <v>0.2125146531621466</v>
      </c>
      <c r="O238" s="28">
        <f>Population_Data!$B$8*N238</f>
        <v>6439193.990813042</v>
      </c>
      <c r="P238" s="27">
        <f>IF(VLOOKUP($A238,Calendar!$A$1:$R$1377,18,0)=0,0,IF(VLOOKUP($A238,Calendar!$A$1:$R$1377,18,0)=1,IFERROR(INDEX(Pension_Model!$D$2:$D$29,MATCH(H238,Pension_Model!$B$2:$B$29,0)),0),IF(VLOOKUP($A238,Calendar!$A$1:$R$1377,18,0)=2,SUM(IFERROR(INDEX(Pension_Model!$D$2:$D$29,MATCH(H238,Pension_Model!$B$2:$B$29,0)),0),IFERROR(INDEX(Pension_Model!$D$2:$D$29,MATCH(H239,Pension_Model!$B$2:$B$29,0)),0)),IF(VLOOKUP($A238,Calendar!$A$1:$R$1377,18,0)=3,SUM(IFERROR(INDEX(Pension_Model!$D$2:$D$29,MATCH(H238,Pension_Model!$B$2:$B$29,0)),0),IFERROR(INDEX(Pension_Model!$D$2:$D$29,MATCH(H239,Pension_Model!$B$2:$B$29,0)),0),IFERROR(INDEX(Pension_Model!$D$2:$D$29,MATCH(H240,Pension_Model!$B$2:$B$29,0)),0)),IF(VLOOKUP($A238,Calendar!$A$1:$R$1377,18,0)=4,SUM(IFERROR(INDEX(Pension_Model!$D$2:$D$29,MATCH(H238,Pension_Model!$B$2:$B$29,0)),0),IFERROR(INDEX(Pension_Model!$D$2:$D$29,MATCH(H239,Pension_Model!$B$2:$B$29,0)),0),IFERROR(INDEX(Pension_Model!$D$2:$D$29,MATCH(H240,Pension_Model!$B$2:$B$29,0)),0),IFERROR(INDEX(Pension_Model!$D$2:$D$29,MATCH(H241,Pension_Model!$B$2:$B$29,0)),0)),IF(VLOOKUP($A238,Calendar!$A$1:$R$1377,18,0)=5,SUM(IFERROR(INDEX(Pension_Model!$D$2:$D$29,MATCH(H238,Pension_Model!$B$2:$B$29,0)),0),IFERROR(INDEX(Pension_Model!$D$2:$D$29,MATCH(H239,Pension_Model!$B$2:$B$29,0)),0),IFERROR(INDEX(Pension_Model!$D$2:$D$29,MATCH(H240,Pension_Model!$B$2:$B$29,0)),0),IFERROR(INDEX(Pension_Model!$D$2:$D$29,MATCH(H241,Pension_Model!$B$2:$B$29,0)),0),IFERROR(INDEX(Pension_Model!$D$2:$D$29,MATCH(H242,Pension_Model!$B$2:$B$29,0)),0)),0))))))</f>
        <v>0.15000000000000002</v>
      </c>
      <c r="Q238" s="28">
        <f>Population_Data!$B$15*P238</f>
        <v>1981800.0000000002</v>
      </c>
      <c r="S238">
        <f t="shared" si="3"/>
        <v>8420993.990813043</v>
      </c>
      <c r="U238" s="33">
        <f>S238/Population_Data!$B$19</f>
        <v>0.15255423896400441</v>
      </c>
    </row>
    <row r="239" spans="1:21">
      <c r="A239" s="25">
        <f>Calendar!A239</f>
        <v>46472</v>
      </c>
      <c r="B239" t="str">
        <f>Calendar!L239</f>
        <v>No</v>
      </c>
      <c r="C239" t="str">
        <f>Calendar!O239</f>
        <v>No</v>
      </c>
      <c r="D239" t="str">
        <f>Calendar!P239</f>
        <v>Yes</v>
      </c>
      <c r="E239" t="str">
        <f>Calendar!Q239</f>
        <v>No</v>
      </c>
      <c r="F239" t="str">
        <f>Calendar!I239</f>
        <v>Friday</v>
      </c>
      <c r="G239">
        <f>Calendar!S239</f>
        <v>6</v>
      </c>
      <c r="H239">
        <f>Calendar!T239</f>
        <v>20</v>
      </c>
      <c r="I239" s="27">
        <f>IF(VLOOKUP(A239,Calendar!$A$1:$R$1377,18,0)=0,0,IF(VLOOKUP(A239,Calendar!$A$1:$R$1377,18,0)=1,INDEX(Monthly_Pay_Model!$A$9:$D$40,MATCH(TEXT(A239,"dd"),Monthly_Pay_Model!$C$9:$C$39,0),4),IF(VLOOKUP(A239,Calendar!$A$1:$R$1377,18,0)=2,SUM(INDEX(Monthly_Pay_Model!$A$9:$D$40,MATCH(TEXT(A239,"dd"),Monthly_Pay_Model!$C$9:$C$39,0),4),INDEX(Monthly_Pay_Model!$A$9:$D$40,MATCH(TEXT(A240,"dd"),Monthly_Pay_Model!$C$9:$C$39,0),4)),IF(VLOOKUP(A239,Calendar!$A$1:$R$1377,18,0)=3,SUM(INDEX(Monthly_Pay_Model!$A$9:$D$40,MATCH(TEXT(A239,"dd"),Monthly_Pay_Model!$C$9:$C$39,0),4),INDEX(Monthly_Pay_Model!$A$9:$D$40,MATCH(TEXT(A240,"dd"),Monthly_Pay_Model!$C$9:$C$39,0),4),INDEX(Monthly_Pay_Model!$A$9:$D$40,MATCH(TEXT(A241,"dd"),Monthly_Pay_Model!$C$9:$C$39,0),4)),IF(VLOOKUP(A239,Calendar!$A$1:$R$1377,18,0)=4,SUM(INDEX(Monthly_Pay_Model!$A$9:$D$40,MATCH(TEXT(A239,"dd"),Monthly_Pay_Model!$C$9:$C$39,0),4),INDEX(Monthly_Pay_Model!$A$9:$D$40,MATCH(TEXT(A240,"dd"),Monthly_Pay_Model!$C$9:$C$39,0),4),INDEX(Monthly_Pay_Model!$A$9:$D$40,MATCH(TEXT(A241,"dd"),Monthly_Pay_Model!$C$9:$C$39,0),4),INDEX(Monthly_Pay_Model!$A$9:$D$40,MATCH(TEXT(A242,"dd"),Monthly_Pay_Model!$C$9:$C$39,0),4)),IF(VLOOKUP(A239,Calendar!$A$1:$R$1377,18,0)=5,SUM(INDEX(Monthly_Pay_Model!$A$9:$D$40,MATCH(TEXT(A239,"dd"),Monthly_Pay_Model!$C$9:$C$39,0),4),INDEX(Monthly_Pay_Model!$A$9:$D$40,MATCH(TEXT(A240,"dd"),Monthly_Pay_Model!$C$9:$C$39,0),4),INDEX(Monthly_Pay_Model!$A$9:$D$40,MATCH(TEXT(A241,"dd"),Monthly_Pay_Model!$C$9:$C$39,0),4),INDEX(Monthly_Pay_Model!$A$9:$D$40,MATCH(TEXT(A242,"dd"),Monthly_Pay_Model!$C$9:$C$39,0),4),INDEX(Monthly_Pay_Model!$A$9:$D$40,MATCH(TEXT(A243,"dd"),Monthly_Pay_Model!$C$9:$C$39,0),4)),))))))</f>
        <v>0</v>
      </c>
      <c r="J239" s="33">
        <f>IF(C239="Yes",Monthly_Pay_Model!$D$2,0)
+IF(Calendar!N239="Yes",Monthly_Pay_Model!$D$3,0)
+IF(D239="Yes",Monthly_Pay_Model!$D$4,0)
+IF(E239="Yes",Monthly_Pay_Model!$D$5,0)</f>
        <v>0.1552</v>
      </c>
      <c r="K239" s="27">
        <f>IF(VLOOKUP($A239,Calendar!$A$1:$R$1377,18,0)=0,0,IF(VLOOKUP($A239,Calendar!$A$1:$R$1377,18,0)=1,IFERROR(INDEX(Weekly_Model!$D$2:$D$9,MATCH(F239,Weekly_Model!$A$2:$A$9,0)),0),IF(VLOOKUP($A239,Calendar!$A$1:$R$1377,18,0)=2,SUM(IFERROR(INDEX(Weekly_Model!$D$2:$D$9,MATCH(F239,Weekly_Model!$A$2:$A$9,0)),0),IFERROR(INDEX(Weekly_Model!$D$2:$D$9,MATCH(F240,Weekly_Model!$A$2:$A$9,0)),0)),IF(VLOOKUP($A239,Calendar!$A$1:$R$1377,18,0)=3,SUM(IFERROR(INDEX(Weekly_Model!$D$2:$D$9,MATCH(F239,Weekly_Model!$A$2:$A$9,0)),0),IFERROR(INDEX(Weekly_Model!$D$2:$D$9,MATCH(F240,Weekly_Model!$A$2:$A$9,0)),0),IFERROR(INDEX(Weekly_Model!$D$2:$D$9,MATCH(F241,Weekly_Model!$A$2:$A$9,0)),0)),IF(VLOOKUP($A239,Calendar!$A$1:$R$1377,18,0)=4,SUM(IFERROR(INDEX(Weekly_Model!$D$2:$D$9,MATCH(F239,Weekly_Model!$A$2:$A$9,0)),0),IFERROR(INDEX(Weekly_Model!$D$2:$D$9,MATCH(F240,Weekly_Model!$A$2:$A$9,0)),0),IFERROR(INDEX(Weekly_Model!$D$2:$D$9,MATCH(F241,Weekly_Model!$A$2:$A$9,0)),0),IFERROR(INDEX(Weekly_Model!$D$2:$D$9,MATCH(F242,Weekly_Model!$A$2:$A$9,0)),0)),IF(VLOOKUP($A239,Calendar!$A$1:$R$1377,18,0)=5,SUM(IFERROR(INDEX(Weekly_Model!$D$2:$D$9,MATCH(F239,Weekly_Model!$A$2:$A$9,0)),0),IFERROR(INDEX(Weekly_Model!$D$2:$D$9,MATCH(F240,Weekly_Model!$A$2:$A$9,0)),0),IFERROR(INDEX(Weekly_Model!$D$2:$D$9,MATCH(F241,Weekly_Model!$A$2:$A$9,0)),0),IFERROR(INDEX(Weekly_Model!$D$2:$D$9,MATCH(F242,Weekly_Model!$A$2:$A$9,0)),0),IFERROR(INDEX(Weekly_Model!$D$2:$D$9,MATCH(F243,Weekly_Model!$A$2:$A$9,0)),0)),0))))))</f>
        <v>0</v>
      </c>
      <c r="L239" s="27">
        <f>IF(VLOOKUP($A239,Calendar!$A$1:$R$1377,18,0)=0,0,IF(VLOOKUP($A239,Calendar!$A$1:$R$1377,18,0)=1,IFERROR(INDEX(Fortnightly_Model!$D$2:$D$15,MATCH(G239,Fortnightly_Model!$B$2:$B$15,0)),0),IF(VLOOKUP($A239,Calendar!$A$1:$R$1377,18,0)=2,SUM(IFERROR(INDEX(Fortnightly_Model!$D$2:$D$15,MATCH(G239,Fortnightly_Model!$B$2:$B$15,0)),0),IFERROR(INDEX(Fortnightly_Model!$D$2:$D$15,MATCH(G240,Fortnightly_Model!$B$2:$B$15,0)),0)),IF(VLOOKUP($A239,Calendar!$A$1:$R$1377,18,0)=3,SUM(IFERROR(INDEX(Fortnightly_Model!$D$2:$D$15,MATCH(G239,Fortnightly_Model!$B$2:$B$15,0)),0),IFERROR(INDEX(Fortnightly_Model!$D$2:$D$15,MATCH(G240,Fortnightly_Model!$B$2:$B$15,0)),0),IFERROR(INDEX(Fortnightly_Model!$D$2:$D$15,MATCH(G241,Fortnightly_Model!$B$2:$B$15,0)),0)),IF(VLOOKUP($A239,Calendar!$A$1:$R$1377,18,0)=4,SUM(IFERROR(INDEX(Fortnightly_Model!$D$2:$D$15,MATCH(G239,Fortnightly_Model!$B$2:$B$15,0)),0),IFERROR(INDEX(Fortnightly_Model!$D$2:$D$15,MATCH(G240,Fortnightly_Model!$B$2:$B$15,0)),0),IFERROR(INDEX(Fortnightly_Model!$D$2:$D$15,MATCH(G241,Fortnightly_Model!$B$2:$B$15,0)),0),IFERROR(INDEX(Fortnightly_Model!$D$2:$D$15,MATCH(G242,Fortnightly_Model!$B$2:$B$15,0)),0)),IF(VLOOKUP($A239,Calendar!$A$1:$R$1377,18,0)=5,SUM(IFERROR(INDEX(Fortnightly_Model!$D$2:$D$15,MATCH(G239,Fortnightly_Model!$B$2:$B$15,0)),0),IFERROR(INDEX(Fortnightly_Model!$D$2:$D$15,MATCH(G240,Fortnightly_Model!$B$2:$B$15,0)),0),IFERROR(INDEX(Fortnightly_Model!$D$2:$D$15,MATCH(G241,Fortnightly_Model!$B$2:$B$15,0)),0),IFERROR(INDEX(Fortnightly_Model!$D$2:$D$15,MATCH(G242,Fortnightly_Model!$B$2:$B$15,0)),0),IFERROR(INDEX(Fortnightly_Model!$D$2:$D$15,MATCH(G243,Fortnightly_Model!$B$2:$B$15,0)),0)),0))))))</f>
        <v>0</v>
      </c>
      <c r="M239" s="27">
        <f>IF(VLOOKUP($A239,Calendar!$A$1:$R$1377,18,0)=0,0,IF(VLOOKUP($A239,Calendar!$A$1:$R$1377,18,0)=1,IFERROR(INDEX(FourWeekly_Model!$D$2:$D$29,MATCH(H239,FourWeekly_Model!$B$2:$B$29,0)),0),IF(VLOOKUP($A239,Calendar!$A$1:$R$1377,18,0)=2,SUM(IFERROR(INDEX(FourWeekly_Model!$D$2:$D$29,MATCH(H239,FourWeekly_Model!$B$2:$B$29,0)),0),IFERROR(INDEX(FourWeekly_Model!$D$2:$D$29,MATCH(H240,FourWeekly_Model!$B$2:$B$29,0)),0)),IF(VLOOKUP($A239,Calendar!$A$1:$R$1377,18,0)=3,SUM(IFERROR(INDEX(FourWeekly_Model!$D$2:$D$29,MATCH(H239,FourWeekly_Model!$B$2:$B$29,0)),0),IFERROR(INDEX(FourWeekly_Model!$D$2:$D$29,MATCH(H240,FourWeekly_Model!$B$2:$B$29,0)),0),IFERROR(INDEX(FourWeekly_Model!$D$2:$D$29,MATCH(H241,FourWeekly_Model!$B$2:$B$29,0)),0)),IF(VLOOKUP($A239,Calendar!$A$1:$R$1377,18,0)=4,SUM(IFERROR(INDEX(FourWeekly_Model!$D$2:$D$29,MATCH(H239,FourWeekly_Model!$B$2:$B$29,0)),0),IFERROR(INDEX(FourWeekly_Model!$D$2:$D$29,MATCH(H240,FourWeekly_Model!$B$2:$B$29,0)),0),IFERROR(INDEX(FourWeekly_Model!$D$2:$D$29,MATCH(H241,FourWeekly_Model!$B$2:$B$29,0)),0),IFERROR(INDEX(FourWeekly_Model!$D$2:$D$29,MATCH(H242,FourWeekly_Model!$B$2:$B$29,0)),0)),IF(VLOOKUP($A239,Calendar!$A$1:$R$1377,18,0)=5,SUM(IFERROR(INDEX(FourWeekly_Model!$D$2:$D$29,MATCH(H239,FourWeekly_Model!$B$2:$B$29,0)),0),IFERROR(INDEX(FourWeekly_Model!$D$2:$D$29,MATCH(H240,FourWeekly_Model!$B$2:$B$29,0)),0),IFERROR(INDEX(FourWeekly_Model!$D$2:$D$29,MATCH(H241,FourWeekly_Model!$B$2:$B$29,0)),0),IFERROR(INDEX(FourWeekly_Model!$D$2:$D$29,MATCH(H242,FourWeekly_Model!$B$2:$B$29,0)),0),IFERROR(INDEX(FourWeekly_Model!$D$2:$D$29,MATCH(H243,FourWeekly_Model!$B$2:$B$29,0)),0)),0))))))</f>
        <v>0</v>
      </c>
      <c r="N239" s="27">
        <f>SUM(I239:M239)</f>
        <v>0.1552</v>
      </c>
      <c r="O239" s="28">
        <f>Population_Data!$B$8*N239</f>
        <v>4702560</v>
      </c>
      <c r="P239" s="27">
        <f>IF(VLOOKUP($A239,Calendar!$A$1:$R$1377,18,0)=0,0,IF(VLOOKUP($A239,Calendar!$A$1:$R$1377,18,0)=1,IFERROR(INDEX(Pension_Model!$D$2:$D$29,MATCH(H239,Pension_Model!$B$2:$B$29,0)),0),IF(VLOOKUP($A239,Calendar!$A$1:$R$1377,18,0)=2,SUM(IFERROR(INDEX(Pension_Model!$D$2:$D$29,MATCH(H239,Pension_Model!$B$2:$B$29,0)),0),IFERROR(INDEX(Pension_Model!$D$2:$D$29,MATCH(H240,Pension_Model!$B$2:$B$29,0)),0)),IF(VLOOKUP($A239,Calendar!$A$1:$R$1377,18,0)=3,SUM(IFERROR(INDEX(Pension_Model!$D$2:$D$29,MATCH(H239,Pension_Model!$B$2:$B$29,0)),0),IFERROR(INDEX(Pension_Model!$D$2:$D$29,MATCH(H240,Pension_Model!$B$2:$B$29,0)),0),IFERROR(INDEX(Pension_Model!$D$2:$D$29,MATCH(H241,Pension_Model!$B$2:$B$29,0)),0)),IF(VLOOKUP($A239,Calendar!$A$1:$R$1377,18,0)=4,SUM(IFERROR(INDEX(Pension_Model!$D$2:$D$29,MATCH(H239,Pension_Model!$B$2:$B$29,0)),0),IFERROR(INDEX(Pension_Model!$D$2:$D$29,MATCH(H240,Pension_Model!$B$2:$B$29,0)),0),IFERROR(INDEX(Pension_Model!$D$2:$D$29,MATCH(H241,Pension_Model!$B$2:$B$29,0)),0),IFERROR(INDEX(Pension_Model!$D$2:$D$29,MATCH(H242,Pension_Model!$B$2:$B$29,0)),0)),IF(VLOOKUP($A239,Calendar!$A$1:$R$1377,18,0)=5,SUM(IFERROR(INDEX(Pension_Model!$D$2:$D$29,MATCH(H239,Pension_Model!$B$2:$B$29,0)),0),IFERROR(INDEX(Pension_Model!$D$2:$D$29,MATCH(H240,Pension_Model!$B$2:$B$29,0)),0),IFERROR(INDEX(Pension_Model!$D$2:$D$29,MATCH(H241,Pension_Model!$B$2:$B$29,0)),0),IFERROR(INDEX(Pension_Model!$D$2:$D$29,MATCH(H242,Pension_Model!$B$2:$B$29,0)),0),IFERROR(INDEX(Pension_Model!$D$2:$D$29,MATCH(H243,Pension_Model!$B$2:$B$29,0)),0)),0))))))</f>
        <v>0</v>
      </c>
      <c r="Q239" s="28">
        <f>Population_Data!$B$15*P239</f>
        <v>0</v>
      </c>
      <c r="S239">
        <f t="shared" si="3"/>
        <v>4702560</v>
      </c>
      <c r="U239" s="33">
        <f>S239/Population_Data!$B$19</f>
        <v>8.5191304347826083E-2</v>
      </c>
    </row>
    <row r="240" spans="1:21">
      <c r="A240" s="25">
        <f>Calendar!A240</f>
        <v>46473</v>
      </c>
      <c r="B240" t="str">
        <f>Calendar!L240</f>
        <v>No</v>
      </c>
      <c r="C240" t="str">
        <f>Calendar!O240</f>
        <v>No</v>
      </c>
      <c r="D240" t="str">
        <f>Calendar!P240</f>
        <v>No</v>
      </c>
      <c r="E240" t="str">
        <f>Calendar!Q240</f>
        <v>No</v>
      </c>
      <c r="F240" t="str">
        <f>Calendar!I240</f>
        <v>Saturday</v>
      </c>
      <c r="G240">
        <f>Calendar!S240</f>
        <v>7</v>
      </c>
      <c r="H240">
        <f>Calendar!T240</f>
        <v>21</v>
      </c>
      <c r="I240" s="27">
        <f>IF(VLOOKUP(A240,Calendar!$A$1:$R$1377,18,0)=0,0,IF(VLOOKUP(A240,Calendar!$A$1:$R$1377,18,0)=1,INDEX(Monthly_Pay_Model!$A$9:$D$40,MATCH(TEXT(A240,"dd"),Monthly_Pay_Model!$C$9:$C$39,0),4),IF(VLOOKUP(A240,Calendar!$A$1:$R$1377,18,0)=2,SUM(INDEX(Monthly_Pay_Model!$A$9:$D$40,MATCH(TEXT(A240,"dd"),Monthly_Pay_Model!$C$9:$C$39,0),4),INDEX(Monthly_Pay_Model!$A$9:$D$40,MATCH(TEXT(A241,"dd"),Monthly_Pay_Model!$C$9:$C$39,0),4)),IF(VLOOKUP(A240,Calendar!$A$1:$R$1377,18,0)=3,SUM(INDEX(Monthly_Pay_Model!$A$9:$D$40,MATCH(TEXT(A240,"dd"),Monthly_Pay_Model!$C$9:$C$39,0),4),INDEX(Monthly_Pay_Model!$A$9:$D$40,MATCH(TEXT(A241,"dd"),Monthly_Pay_Model!$C$9:$C$39,0),4),INDEX(Monthly_Pay_Model!$A$9:$D$40,MATCH(TEXT(A242,"dd"),Monthly_Pay_Model!$C$9:$C$39,0),4)),IF(VLOOKUP(A240,Calendar!$A$1:$R$1377,18,0)=4,SUM(INDEX(Monthly_Pay_Model!$A$9:$D$40,MATCH(TEXT(A240,"dd"),Monthly_Pay_Model!$C$9:$C$39,0),4),INDEX(Monthly_Pay_Model!$A$9:$D$40,MATCH(TEXT(A241,"dd"),Monthly_Pay_Model!$C$9:$C$39,0),4),INDEX(Monthly_Pay_Model!$A$9:$D$40,MATCH(TEXT(A242,"dd"),Monthly_Pay_Model!$C$9:$C$39,0),4),INDEX(Monthly_Pay_Model!$A$9:$D$40,MATCH(TEXT(A243,"dd"),Monthly_Pay_Model!$C$9:$C$39,0),4)),IF(VLOOKUP(A240,Calendar!$A$1:$R$1377,18,0)=5,SUM(INDEX(Monthly_Pay_Model!$A$9:$D$40,MATCH(TEXT(A240,"dd"),Monthly_Pay_Model!$C$9:$C$39,0),4),INDEX(Monthly_Pay_Model!$A$9:$D$40,MATCH(TEXT(A241,"dd"),Monthly_Pay_Model!$C$9:$C$39,0),4),INDEX(Monthly_Pay_Model!$A$9:$D$40,MATCH(TEXT(A242,"dd"),Monthly_Pay_Model!$C$9:$C$39,0),4),INDEX(Monthly_Pay_Model!$A$9:$D$40,MATCH(TEXT(A243,"dd"),Monthly_Pay_Model!$C$9:$C$39,0),4),INDEX(Monthly_Pay_Model!$A$9:$D$40,MATCH(TEXT(A244,"dd"),Monthly_Pay_Model!$C$9:$C$39,0),4)),))))))</f>
        <v>0</v>
      </c>
      <c r="J240" s="33">
        <f>IF(C240="Yes",Monthly_Pay_Model!$D$2,0)
+IF(Calendar!N240="Yes",Monthly_Pay_Model!$D$3,0)
+IF(D240="Yes",Monthly_Pay_Model!$D$4,0)
+IF(E240="Yes",Monthly_Pay_Model!$D$5,0)</f>
        <v>0</v>
      </c>
      <c r="K240" s="27">
        <f>IF(VLOOKUP($A240,Calendar!$A$1:$R$1377,18,0)=0,0,IF(VLOOKUP($A240,Calendar!$A$1:$R$1377,18,0)=1,IFERROR(INDEX(Weekly_Model!$D$2:$D$9,MATCH(F240,Weekly_Model!$A$2:$A$9,0)),0),IF(VLOOKUP($A240,Calendar!$A$1:$R$1377,18,0)=2,SUM(IFERROR(INDEX(Weekly_Model!$D$2:$D$9,MATCH(F240,Weekly_Model!$A$2:$A$9,0)),0),IFERROR(INDEX(Weekly_Model!$D$2:$D$9,MATCH(F241,Weekly_Model!$A$2:$A$9,0)),0)),IF(VLOOKUP($A240,Calendar!$A$1:$R$1377,18,0)=3,SUM(IFERROR(INDEX(Weekly_Model!$D$2:$D$9,MATCH(F240,Weekly_Model!$A$2:$A$9,0)),0),IFERROR(INDEX(Weekly_Model!$D$2:$D$9,MATCH(F241,Weekly_Model!$A$2:$A$9,0)),0),IFERROR(INDEX(Weekly_Model!$D$2:$D$9,MATCH(F242,Weekly_Model!$A$2:$A$9,0)),0)),IF(VLOOKUP($A240,Calendar!$A$1:$R$1377,18,0)=4,SUM(IFERROR(INDEX(Weekly_Model!$D$2:$D$9,MATCH(F240,Weekly_Model!$A$2:$A$9,0)),0),IFERROR(INDEX(Weekly_Model!$D$2:$D$9,MATCH(F241,Weekly_Model!$A$2:$A$9,0)),0),IFERROR(INDEX(Weekly_Model!$D$2:$D$9,MATCH(F242,Weekly_Model!$A$2:$A$9,0)),0),IFERROR(INDEX(Weekly_Model!$D$2:$D$9,MATCH(F243,Weekly_Model!$A$2:$A$9,0)),0)),IF(VLOOKUP($A240,Calendar!$A$1:$R$1377,18,0)=5,SUM(IFERROR(INDEX(Weekly_Model!$D$2:$D$9,MATCH(F240,Weekly_Model!$A$2:$A$9,0)),0),IFERROR(INDEX(Weekly_Model!$D$2:$D$9,MATCH(F241,Weekly_Model!$A$2:$A$9,0)),0),IFERROR(INDEX(Weekly_Model!$D$2:$D$9,MATCH(F242,Weekly_Model!$A$2:$A$9,0)),0),IFERROR(INDEX(Weekly_Model!$D$2:$D$9,MATCH(F243,Weekly_Model!$A$2:$A$9,0)),0),IFERROR(INDEX(Weekly_Model!$D$2:$D$9,MATCH(F244,Weekly_Model!$A$2:$A$9,0)),0)),0))))))</f>
        <v>0</v>
      </c>
      <c r="L240" s="27">
        <f>IF(VLOOKUP($A240,Calendar!$A$1:$R$1377,18,0)=0,0,IF(VLOOKUP($A240,Calendar!$A$1:$R$1377,18,0)=1,IFERROR(INDEX(Fortnightly_Model!$D$2:$D$15,MATCH(G240,Fortnightly_Model!$B$2:$B$15,0)),0),IF(VLOOKUP($A240,Calendar!$A$1:$R$1377,18,0)=2,SUM(IFERROR(INDEX(Fortnightly_Model!$D$2:$D$15,MATCH(G240,Fortnightly_Model!$B$2:$B$15,0)),0),IFERROR(INDEX(Fortnightly_Model!$D$2:$D$15,MATCH(G241,Fortnightly_Model!$B$2:$B$15,0)),0)),IF(VLOOKUP($A240,Calendar!$A$1:$R$1377,18,0)=3,SUM(IFERROR(INDEX(Fortnightly_Model!$D$2:$D$15,MATCH(G240,Fortnightly_Model!$B$2:$B$15,0)),0),IFERROR(INDEX(Fortnightly_Model!$D$2:$D$15,MATCH(G241,Fortnightly_Model!$B$2:$B$15,0)),0),IFERROR(INDEX(Fortnightly_Model!$D$2:$D$15,MATCH(G242,Fortnightly_Model!$B$2:$B$15,0)),0)),IF(VLOOKUP($A240,Calendar!$A$1:$R$1377,18,0)=4,SUM(IFERROR(INDEX(Fortnightly_Model!$D$2:$D$15,MATCH(G240,Fortnightly_Model!$B$2:$B$15,0)),0),IFERROR(INDEX(Fortnightly_Model!$D$2:$D$15,MATCH(G241,Fortnightly_Model!$B$2:$B$15,0)),0),IFERROR(INDEX(Fortnightly_Model!$D$2:$D$15,MATCH(G242,Fortnightly_Model!$B$2:$B$15,0)),0),IFERROR(INDEX(Fortnightly_Model!$D$2:$D$15,MATCH(G243,Fortnightly_Model!$B$2:$B$15,0)),0)),IF(VLOOKUP($A240,Calendar!$A$1:$R$1377,18,0)=5,SUM(IFERROR(INDEX(Fortnightly_Model!$D$2:$D$15,MATCH(G240,Fortnightly_Model!$B$2:$B$15,0)),0),IFERROR(INDEX(Fortnightly_Model!$D$2:$D$15,MATCH(G241,Fortnightly_Model!$B$2:$B$15,0)),0),IFERROR(INDEX(Fortnightly_Model!$D$2:$D$15,MATCH(G242,Fortnightly_Model!$B$2:$B$15,0)),0),IFERROR(INDEX(Fortnightly_Model!$D$2:$D$15,MATCH(G243,Fortnightly_Model!$B$2:$B$15,0)),0),IFERROR(INDEX(Fortnightly_Model!$D$2:$D$15,MATCH(G244,Fortnightly_Model!$B$2:$B$15,0)),0)),0))))))</f>
        <v>0</v>
      </c>
      <c r="M240" s="27">
        <f>IF(VLOOKUP($A240,Calendar!$A$1:$R$1377,18,0)=0,0,IF(VLOOKUP($A240,Calendar!$A$1:$R$1377,18,0)=1,IFERROR(INDEX(FourWeekly_Model!$D$2:$D$29,MATCH(H240,FourWeekly_Model!$B$2:$B$29,0)),0),IF(VLOOKUP($A240,Calendar!$A$1:$R$1377,18,0)=2,SUM(IFERROR(INDEX(FourWeekly_Model!$D$2:$D$29,MATCH(H240,FourWeekly_Model!$B$2:$B$29,0)),0),IFERROR(INDEX(FourWeekly_Model!$D$2:$D$29,MATCH(H241,FourWeekly_Model!$B$2:$B$29,0)),0)),IF(VLOOKUP($A240,Calendar!$A$1:$R$1377,18,0)=3,SUM(IFERROR(INDEX(FourWeekly_Model!$D$2:$D$29,MATCH(H240,FourWeekly_Model!$B$2:$B$29,0)),0),IFERROR(INDEX(FourWeekly_Model!$D$2:$D$29,MATCH(H241,FourWeekly_Model!$B$2:$B$29,0)),0),IFERROR(INDEX(FourWeekly_Model!$D$2:$D$29,MATCH(H242,FourWeekly_Model!$B$2:$B$29,0)),0)),IF(VLOOKUP($A240,Calendar!$A$1:$R$1377,18,0)=4,SUM(IFERROR(INDEX(FourWeekly_Model!$D$2:$D$29,MATCH(H240,FourWeekly_Model!$B$2:$B$29,0)),0),IFERROR(INDEX(FourWeekly_Model!$D$2:$D$29,MATCH(H241,FourWeekly_Model!$B$2:$B$29,0)),0),IFERROR(INDEX(FourWeekly_Model!$D$2:$D$29,MATCH(H242,FourWeekly_Model!$B$2:$B$29,0)),0),IFERROR(INDEX(FourWeekly_Model!$D$2:$D$29,MATCH(H243,FourWeekly_Model!$B$2:$B$29,0)),0)),IF(VLOOKUP($A240,Calendar!$A$1:$R$1377,18,0)=5,SUM(IFERROR(INDEX(FourWeekly_Model!$D$2:$D$29,MATCH(H240,FourWeekly_Model!$B$2:$B$29,0)),0),IFERROR(INDEX(FourWeekly_Model!$D$2:$D$29,MATCH(H241,FourWeekly_Model!$B$2:$B$29,0)),0),IFERROR(INDEX(FourWeekly_Model!$D$2:$D$29,MATCH(H242,FourWeekly_Model!$B$2:$B$29,0)),0),IFERROR(INDEX(FourWeekly_Model!$D$2:$D$29,MATCH(H243,FourWeekly_Model!$B$2:$B$29,0)),0),IFERROR(INDEX(FourWeekly_Model!$D$2:$D$29,MATCH(H244,FourWeekly_Model!$B$2:$B$29,0)),0)),0))))))</f>
        <v>0</v>
      </c>
      <c r="N240" s="27">
        <f>SUM(I240:M240)</f>
        <v>0</v>
      </c>
      <c r="O240" s="28">
        <f>Population_Data!$B$8*N240</f>
        <v>0</v>
      </c>
      <c r="P240" s="27">
        <f>IF(VLOOKUP($A240,Calendar!$A$1:$R$1377,18,0)=0,0,IF(VLOOKUP($A240,Calendar!$A$1:$R$1377,18,0)=1,IFERROR(INDEX(Pension_Model!$D$2:$D$29,MATCH(H240,Pension_Model!$B$2:$B$29,0)),0),IF(VLOOKUP($A240,Calendar!$A$1:$R$1377,18,0)=2,SUM(IFERROR(INDEX(Pension_Model!$D$2:$D$29,MATCH(H240,Pension_Model!$B$2:$B$29,0)),0),IFERROR(INDEX(Pension_Model!$D$2:$D$29,MATCH(H241,Pension_Model!$B$2:$B$29,0)),0)),IF(VLOOKUP($A240,Calendar!$A$1:$R$1377,18,0)=3,SUM(IFERROR(INDEX(Pension_Model!$D$2:$D$29,MATCH(H240,Pension_Model!$B$2:$B$29,0)),0),IFERROR(INDEX(Pension_Model!$D$2:$D$29,MATCH(H241,Pension_Model!$B$2:$B$29,0)),0),IFERROR(INDEX(Pension_Model!$D$2:$D$29,MATCH(H242,Pension_Model!$B$2:$B$29,0)),0)),IF(VLOOKUP($A240,Calendar!$A$1:$R$1377,18,0)=4,SUM(IFERROR(INDEX(Pension_Model!$D$2:$D$29,MATCH(H240,Pension_Model!$B$2:$B$29,0)),0),IFERROR(INDEX(Pension_Model!$D$2:$D$29,MATCH(H241,Pension_Model!$B$2:$B$29,0)),0),IFERROR(INDEX(Pension_Model!$D$2:$D$29,MATCH(H242,Pension_Model!$B$2:$B$29,0)),0),IFERROR(INDEX(Pension_Model!$D$2:$D$29,MATCH(H243,Pension_Model!$B$2:$B$29,0)),0)),IF(VLOOKUP($A240,Calendar!$A$1:$R$1377,18,0)=5,SUM(IFERROR(INDEX(Pension_Model!$D$2:$D$29,MATCH(H240,Pension_Model!$B$2:$B$29,0)),0),IFERROR(INDEX(Pension_Model!$D$2:$D$29,MATCH(H241,Pension_Model!$B$2:$B$29,0)),0),IFERROR(INDEX(Pension_Model!$D$2:$D$29,MATCH(H242,Pension_Model!$B$2:$B$29,0)),0),IFERROR(INDEX(Pension_Model!$D$2:$D$29,MATCH(H243,Pension_Model!$B$2:$B$29,0)),0),IFERROR(INDEX(Pension_Model!$D$2:$D$29,MATCH(H244,Pension_Model!$B$2:$B$29,0)),0)),0))))))</f>
        <v>0</v>
      </c>
      <c r="Q240" s="28">
        <f>Population_Data!$B$15*P240</f>
        <v>0</v>
      </c>
      <c r="S240">
        <f t="shared" si="3"/>
        <v>0</v>
      </c>
      <c r="U240" s="33">
        <f>S240/Population_Data!$B$19</f>
        <v>0</v>
      </c>
    </row>
    <row r="241" spans="1:21">
      <c r="A241" s="25">
        <f>Calendar!A241</f>
        <v>46474</v>
      </c>
      <c r="B241" t="str">
        <f>Calendar!L241</f>
        <v>No</v>
      </c>
      <c r="C241" t="str">
        <f>Calendar!O241</f>
        <v>No</v>
      </c>
      <c r="D241" t="str">
        <f>Calendar!P241</f>
        <v>No</v>
      </c>
      <c r="E241" t="str">
        <f>Calendar!Q241</f>
        <v>No</v>
      </c>
      <c r="F241" t="str">
        <f>Calendar!I241</f>
        <v>Sunday</v>
      </c>
      <c r="G241">
        <f>Calendar!S241</f>
        <v>8</v>
      </c>
      <c r="H241">
        <f>Calendar!T241</f>
        <v>22</v>
      </c>
      <c r="I241" s="27">
        <f>IF(VLOOKUP(A241,Calendar!$A$1:$R$1377,18,0)=0,0,IF(VLOOKUP(A241,Calendar!$A$1:$R$1377,18,0)=1,INDEX(Monthly_Pay_Model!$A$9:$D$40,MATCH(TEXT(A241,"dd"),Monthly_Pay_Model!$C$9:$C$39,0),4),IF(VLOOKUP(A241,Calendar!$A$1:$R$1377,18,0)=2,SUM(INDEX(Monthly_Pay_Model!$A$9:$D$40,MATCH(TEXT(A241,"dd"),Monthly_Pay_Model!$C$9:$C$39,0),4),INDEX(Monthly_Pay_Model!$A$9:$D$40,MATCH(TEXT(A242,"dd"),Monthly_Pay_Model!$C$9:$C$39,0),4)),IF(VLOOKUP(A241,Calendar!$A$1:$R$1377,18,0)=3,SUM(INDEX(Monthly_Pay_Model!$A$9:$D$40,MATCH(TEXT(A241,"dd"),Monthly_Pay_Model!$C$9:$C$39,0),4),INDEX(Monthly_Pay_Model!$A$9:$D$40,MATCH(TEXT(A242,"dd"),Monthly_Pay_Model!$C$9:$C$39,0),4),INDEX(Monthly_Pay_Model!$A$9:$D$40,MATCH(TEXT(A243,"dd"),Monthly_Pay_Model!$C$9:$C$39,0),4)),IF(VLOOKUP(A241,Calendar!$A$1:$R$1377,18,0)=4,SUM(INDEX(Monthly_Pay_Model!$A$9:$D$40,MATCH(TEXT(A241,"dd"),Monthly_Pay_Model!$C$9:$C$39,0),4),INDEX(Monthly_Pay_Model!$A$9:$D$40,MATCH(TEXT(A242,"dd"),Monthly_Pay_Model!$C$9:$C$39,0),4),INDEX(Monthly_Pay_Model!$A$9:$D$40,MATCH(TEXT(A243,"dd"),Monthly_Pay_Model!$C$9:$C$39,0),4),INDEX(Monthly_Pay_Model!$A$9:$D$40,MATCH(TEXT(A244,"dd"),Monthly_Pay_Model!$C$9:$C$39,0),4)),IF(VLOOKUP(A241,Calendar!$A$1:$R$1377,18,0)=5,SUM(INDEX(Monthly_Pay_Model!$A$9:$D$40,MATCH(TEXT(A241,"dd"),Monthly_Pay_Model!$C$9:$C$39,0),4),INDEX(Monthly_Pay_Model!$A$9:$D$40,MATCH(TEXT(A242,"dd"),Monthly_Pay_Model!$C$9:$C$39,0),4),INDEX(Monthly_Pay_Model!$A$9:$D$40,MATCH(TEXT(A243,"dd"),Monthly_Pay_Model!$C$9:$C$39,0),4),INDEX(Monthly_Pay_Model!$A$9:$D$40,MATCH(TEXT(A244,"dd"),Monthly_Pay_Model!$C$9:$C$39,0),4),INDEX(Monthly_Pay_Model!$A$9:$D$40,MATCH(TEXT(A245,"dd"),Monthly_Pay_Model!$C$9:$C$39,0),4)),))))))</f>
        <v>0</v>
      </c>
      <c r="J241" s="33">
        <f>IF(C241="Yes",Monthly_Pay_Model!$D$2,0)
+IF(Calendar!N241="Yes",Monthly_Pay_Model!$D$3,0)
+IF(D241="Yes",Monthly_Pay_Model!$D$4,0)
+IF(E241="Yes",Monthly_Pay_Model!$D$5,0)</f>
        <v>0</v>
      </c>
      <c r="K241" s="27">
        <f>IF(VLOOKUP($A241,Calendar!$A$1:$R$1377,18,0)=0,0,IF(VLOOKUP($A241,Calendar!$A$1:$R$1377,18,0)=1,IFERROR(INDEX(Weekly_Model!$D$2:$D$9,MATCH(F241,Weekly_Model!$A$2:$A$9,0)),0),IF(VLOOKUP($A241,Calendar!$A$1:$R$1377,18,0)=2,SUM(IFERROR(INDEX(Weekly_Model!$D$2:$D$9,MATCH(F241,Weekly_Model!$A$2:$A$9,0)),0),IFERROR(INDEX(Weekly_Model!$D$2:$D$9,MATCH(F242,Weekly_Model!$A$2:$A$9,0)),0)),IF(VLOOKUP($A241,Calendar!$A$1:$R$1377,18,0)=3,SUM(IFERROR(INDEX(Weekly_Model!$D$2:$D$9,MATCH(F241,Weekly_Model!$A$2:$A$9,0)),0),IFERROR(INDEX(Weekly_Model!$D$2:$D$9,MATCH(F242,Weekly_Model!$A$2:$A$9,0)),0),IFERROR(INDEX(Weekly_Model!$D$2:$D$9,MATCH(F243,Weekly_Model!$A$2:$A$9,0)),0)),IF(VLOOKUP($A241,Calendar!$A$1:$R$1377,18,0)=4,SUM(IFERROR(INDEX(Weekly_Model!$D$2:$D$9,MATCH(F241,Weekly_Model!$A$2:$A$9,0)),0),IFERROR(INDEX(Weekly_Model!$D$2:$D$9,MATCH(F242,Weekly_Model!$A$2:$A$9,0)),0),IFERROR(INDEX(Weekly_Model!$D$2:$D$9,MATCH(F243,Weekly_Model!$A$2:$A$9,0)),0),IFERROR(INDEX(Weekly_Model!$D$2:$D$9,MATCH(F244,Weekly_Model!$A$2:$A$9,0)),0)),IF(VLOOKUP($A241,Calendar!$A$1:$R$1377,18,0)=5,SUM(IFERROR(INDEX(Weekly_Model!$D$2:$D$9,MATCH(F241,Weekly_Model!$A$2:$A$9,0)),0),IFERROR(INDEX(Weekly_Model!$D$2:$D$9,MATCH(F242,Weekly_Model!$A$2:$A$9,0)),0),IFERROR(INDEX(Weekly_Model!$D$2:$D$9,MATCH(F243,Weekly_Model!$A$2:$A$9,0)),0),IFERROR(INDEX(Weekly_Model!$D$2:$D$9,MATCH(F244,Weekly_Model!$A$2:$A$9,0)),0),IFERROR(INDEX(Weekly_Model!$D$2:$D$9,MATCH(F245,Weekly_Model!$A$2:$A$9,0)),0)),0))))))</f>
        <v>0</v>
      </c>
      <c r="L241" s="27">
        <f>IF(VLOOKUP($A241,Calendar!$A$1:$R$1377,18,0)=0,0,IF(VLOOKUP($A241,Calendar!$A$1:$R$1377,18,0)=1,IFERROR(INDEX(Fortnightly_Model!$D$2:$D$15,MATCH(G241,Fortnightly_Model!$B$2:$B$15,0)),0),IF(VLOOKUP($A241,Calendar!$A$1:$R$1377,18,0)=2,SUM(IFERROR(INDEX(Fortnightly_Model!$D$2:$D$15,MATCH(G241,Fortnightly_Model!$B$2:$B$15,0)),0),IFERROR(INDEX(Fortnightly_Model!$D$2:$D$15,MATCH(G242,Fortnightly_Model!$B$2:$B$15,0)),0)),IF(VLOOKUP($A241,Calendar!$A$1:$R$1377,18,0)=3,SUM(IFERROR(INDEX(Fortnightly_Model!$D$2:$D$15,MATCH(G241,Fortnightly_Model!$B$2:$B$15,0)),0),IFERROR(INDEX(Fortnightly_Model!$D$2:$D$15,MATCH(G242,Fortnightly_Model!$B$2:$B$15,0)),0),IFERROR(INDEX(Fortnightly_Model!$D$2:$D$15,MATCH(G243,Fortnightly_Model!$B$2:$B$15,0)),0)),IF(VLOOKUP($A241,Calendar!$A$1:$R$1377,18,0)=4,SUM(IFERROR(INDEX(Fortnightly_Model!$D$2:$D$15,MATCH(G241,Fortnightly_Model!$B$2:$B$15,0)),0),IFERROR(INDEX(Fortnightly_Model!$D$2:$D$15,MATCH(G242,Fortnightly_Model!$B$2:$B$15,0)),0),IFERROR(INDEX(Fortnightly_Model!$D$2:$D$15,MATCH(G243,Fortnightly_Model!$B$2:$B$15,0)),0),IFERROR(INDEX(Fortnightly_Model!$D$2:$D$15,MATCH(G244,Fortnightly_Model!$B$2:$B$15,0)),0)),IF(VLOOKUP($A241,Calendar!$A$1:$R$1377,18,0)=5,SUM(IFERROR(INDEX(Fortnightly_Model!$D$2:$D$15,MATCH(G241,Fortnightly_Model!$B$2:$B$15,0)),0),IFERROR(INDEX(Fortnightly_Model!$D$2:$D$15,MATCH(G242,Fortnightly_Model!$B$2:$B$15,0)),0),IFERROR(INDEX(Fortnightly_Model!$D$2:$D$15,MATCH(G243,Fortnightly_Model!$B$2:$B$15,0)),0),IFERROR(INDEX(Fortnightly_Model!$D$2:$D$15,MATCH(G244,Fortnightly_Model!$B$2:$B$15,0)),0),IFERROR(INDEX(Fortnightly_Model!$D$2:$D$15,MATCH(G245,Fortnightly_Model!$B$2:$B$15,0)),0)),0))))))</f>
        <v>0</v>
      </c>
      <c r="M241" s="27">
        <f>IF(VLOOKUP($A241,Calendar!$A$1:$R$1377,18,0)=0,0,IF(VLOOKUP($A241,Calendar!$A$1:$R$1377,18,0)=1,IFERROR(INDEX(FourWeekly_Model!$D$2:$D$29,MATCH(H241,FourWeekly_Model!$B$2:$B$29,0)),0),IF(VLOOKUP($A241,Calendar!$A$1:$R$1377,18,0)=2,SUM(IFERROR(INDEX(FourWeekly_Model!$D$2:$D$29,MATCH(H241,FourWeekly_Model!$B$2:$B$29,0)),0),IFERROR(INDEX(FourWeekly_Model!$D$2:$D$29,MATCH(H242,FourWeekly_Model!$B$2:$B$29,0)),0)),IF(VLOOKUP($A241,Calendar!$A$1:$R$1377,18,0)=3,SUM(IFERROR(INDEX(FourWeekly_Model!$D$2:$D$29,MATCH(H241,FourWeekly_Model!$B$2:$B$29,0)),0),IFERROR(INDEX(FourWeekly_Model!$D$2:$D$29,MATCH(H242,FourWeekly_Model!$B$2:$B$29,0)),0),IFERROR(INDEX(FourWeekly_Model!$D$2:$D$29,MATCH(H243,FourWeekly_Model!$B$2:$B$29,0)),0)),IF(VLOOKUP($A241,Calendar!$A$1:$R$1377,18,0)=4,SUM(IFERROR(INDEX(FourWeekly_Model!$D$2:$D$29,MATCH(H241,FourWeekly_Model!$B$2:$B$29,0)),0),IFERROR(INDEX(FourWeekly_Model!$D$2:$D$29,MATCH(H242,FourWeekly_Model!$B$2:$B$29,0)),0),IFERROR(INDEX(FourWeekly_Model!$D$2:$D$29,MATCH(H243,FourWeekly_Model!$B$2:$B$29,0)),0),IFERROR(INDEX(FourWeekly_Model!$D$2:$D$29,MATCH(H244,FourWeekly_Model!$B$2:$B$29,0)),0)),IF(VLOOKUP($A241,Calendar!$A$1:$R$1377,18,0)=5,SUM(IFERROR(INDEX(FourWeekly_Model!$D$2:$D$29,MATCH(H241,FourWeekly_Model!$B$2:$B$29,0)),0),IFERROR(INDEX(FourWeekly_Model!$D$2:$D$29,MATCH(H242,FourWeekly_Model!$B$2:$B$29,0)),0),IFERROR(INDEX(FourWeekly_Model!$D$2:$D$29,MATCH(H243,FourWeekly_Model!$B$2:$B$29,0)),0),IFERROR(INDEX(FourWeekly_Model!$D$2:$D$29,MATCH(H244,FourWeekly_Model!$B$2:$B$29,0)),0),IFERROR(INDEX(FourWeekly_Model!$D$2:$D$29,MATCH(H245,FourWeekly_Model!$B$2:$B$29,0)),0)),0))))))</f>
        <v>0</v>
      </c>
      <c r="N241" s="27">
        <f>SUM(I241:M241)</f>
        <v>0</v>
      </c>
      <c r="O241" s="28">
        <f>Population_Data!$B$8*N241</f>
        <v>0</v>
      </c>
      <c r="P241" s="27">
        <f>IF(VLOOKUP($A241,Calendar!$A$1:$R$1377,18,0)=0,0,IF(VLOOKUP($A241,Calendar!$A$1:$R$1377,18,0)=1,IFERROR(INDEX(Pension_Model!$D$2:$D$29,MATCH(H241,Pension_Model!$B$2:$B$29,0)),0),IF(VLOOKUP($A241,Calendar!$A$1:$R$1377,18,0)=2,SUM(IFERROR(INDEX(Pension_Model!$D$2:$D$29,MATCH(H241,Pension_Model!$B$2:$B$29,0)),0),IFERROR(INDEX(Pension_Model!$D$2:$D$29,MATCH(H242,Pension_Model!$B$2:$B$29,0)),0)),IF(VLOOKUP($A241,Calendar!$A$1:$R$1377,18,0)=3,SUM(IFERROR(INDEX(Pension_Model!$D$2:$D$29,MATCH(H241,Pension_Model!$B$2:$B$29,0)),0),IFERROR(INDEX(Pension_Model!$D$2:$D$29,MATCH(H242,Pension_Model!$B$2:$B$29,0)),0),IFERROR(INDEX(Pension_Model!$D$2:$D$29,MATCH(H243,Pension_Model!$B$2:$B$29,0)),0)),IF(VLOOKUP($A241,Calendar!$A$1:$R$1377,18,0)=4,SUM(IFERROR(INDEX(Pension_Model!$D$2:$D$29,MATCH(H241,Pension_Model!$B$2:$B$29,0)),0),IFERROR(INDEX(Pension_Model!$D$2:$D$29,MATCH(H242,Pension_Model!$B$2:$B$29,0)),0),IFERROR(INDEX(Pension_Model!$D$2:$D$29,MATCH(H243,Pension_Model!$B$2:$B$29,0)),0),IFERROR(INDEX(Pension_Model!$D$2:$D$29,MATCH(H244,Pension_Model!$B$2:$B$29,0)),0)),IF(VLOOKUP($A241,Calendar!$A$1:$R$1377,18,0)=5,SUM(IFERROR(INDEX(Pension_Model!$D$2:$D$29,MATCH(H241,Pension_Model!$B$2:$B$29,0)),0),IFERROR(INDEX(Pension_Model!$D$2:$D$29,MATCH(H242,Pension_Model!$B$2:$B$29,0)),0),IFERROR(INDEX(Pension_Model!$D$2:$D$29,MATCH(H243,Pension_Model!$B$2:$B$29,0)),0),IFERROR(INDEX(Pension_Model!$D$2:$D$29,MATCH(H244,Pension_Model!$B$2:$B$29,0)),0),IFERROR(INDEX(Pension_Model!$D$2:$D$29,MATCH(H245,Pension_Model!$B$2:$B$29,0)),0)),0))))))</f>
        <v>0</v>
      </c>
      <c r="Q241" s="28">
        <f>Population_Data!$B$15*P241</f>
        <v>0</v>
      </c>
      <c r="S241">
        <f t="shared" si="3"/>
        <v>0</v>
      </c>
      <c r="U241" s="33">
        <f>S241/Population_Data!$B$19</f>
        <v>0</v>
      </c>
    </row>
    <row r="242" spans="1:21">
      <c r="A242" s="25">
        <f>Calendar!A242</f>
        <v>46475</v>
      </c>
      <c r="B242" t="str">
        <f>Calendar!L242</f>
        <v>No</v>
      </c>
      <c r="C242" t="str">
        <f>Calendar!O242</f>
        <v>No</v>
      </c>
      <c r="D242" t="str">
        <f>Calendar!P242</f>
        <v>No</v>
      </c>
      <c r="E242" t="str">
        <f>Calendar!Q242</f>
        <v>No</v>
      </c>
      <c r="F242" t="str">
        <f>Calendar!I242</f>
        <v>Monday</v>
      </c>
      <c r="G242">
        <f>Calendar!S242</f>
        <v>9</v>
      </c>
      <c r="H242">
        <f>Calendar!T242</f>
        <v>23</v>
      </c>
      <c r="I242" s="27">
        <f>IF(VLOOKUP(A242,Calendar!$A$1:$R$1377,18,0)=0,0,IF(VLOOKUP(A242,Calendar!$A$1:$R$1377,18,0)=1,INDEX(Monthly_Pay_Model!$A$9:$D$40,MATCH(TEXT(A242,"dd"),Monthly_Pay_Model!$C$9:$C$39,0),4),IF(VLOOKUP(A242,Calendar!$A$1:$R$1377,18,0)=2,SUM(INDEX(Monthly_Pay_Model!$A$9:$D$40,MATCH(TEXT(A242,"dd"),Monthly_Pay_Model!$C$9:$C$39,0),4),INDEX(Monthly_Pay_Model!$A$9:$D$40,MATCH(TEXT(A243,"dd"),Monthly_Pay_Model!$C$9:$C$39,0),4)),IF(VLOOKUP(A242,Calendar!$A$1:$R$1377,18,0)=3,SUM(INDEX(Monthly_Pay_Model!$A$9:$D$40,MATCH(TEXT(A242,"dd"),Monthly_Pay_Model!$C$9:$C$39,0),4),INDEX(Monthly_Pay_Model!$A$9:$D$40,MATCH(TEXT(A243,"dd"),Monthly_Pay_Model!$C$9:$C$39,0),4),INDEX(Monthly_Pay_Model!$A$9:$D$40,MATCH(TEXT(A244,"dd"),Monthly_Pay_Model!$C$9:$C$39,0),4)),IF(VLOOKUP(A242,Calendar!$A$1:$R$1377,18,0)=4,SUM(INDEX(Monthly_Pay_Model!$A$9:$D$40,MATCH(TEXT(A242,"dd"),Monthly_Pay_Model!$C$9:$C$39,0),4),INDEX(Monthly_Pay_Model!$A$9:$D$40,MATCH(TEXT(A243,"dd"),Monthly_Pay_Model!$C$9:$C$39,0),4),INDEX(Monthly_Pay_Model!$A$9:$D$40,MATCH(TEXT(A244,"dd"),Monthly_Pay_Model!$C$9:$C$39,0),4),INDEX(Monthly_Pay_Model!$A$9:$D$40,MATCH(TEXT(A245,"dd"),Monthly_Pay_Model!$C$9:$C$39,0),4)),IF(VLOOKUP(A242,Calendar!$A$1:$R$1377,18,0)=5,SUM(INDEX(Monthly_Pay_Model!$A$9:$D$40,MATCH(TEXT(A242,"dd"),Monthly_Pay_Model!$C$9:$C$39,0),4),INDEX(Monthly_Pay_Model!$A$9:$D$40,MATCH(TEXT(A243,"dd"),Monthly_Pay_Model!$C$9:$C$39,0),4),INDEX(Monthly_Pay_Model!$A$9:$D$40,MATCH(TEXT(A244,"dd"),Monthly_Pay_Model!$C$9:$C$39,0),4),INDEX(Monthly_Pay_Model!$A$9:$D$40,MATCH(TEXT(A245,"dd"),Monthly_Pay_Model!$C$9:$C$39,0),4),INDEX(Monthly_Pay_Model!$A$9:$D$40,MATCH(TEXT(A246,"dd"),Monthly_Pay_Model!$C$9:$C$39,0),4)),))))))</f>
        <v>0</v>
      </c>
      <c r="J242" s="33">
        <f>IF(C242="Yes",Monthly_Pay_Model!$D$2,0)
+IF(Calendar!N242="Yes",Monthly_Pay_Model!$D$3,0)
+IF(D242="Yes",Monthly_Pay_Model!$D$4,0)
+IF(E242="Yes",Monthly_Pay_Model!$D$5,0)</f>
        <v>0</v>
      </c>
      <c r="K242" s="27">
        <f>IF(VLOOKUP($A242,Calendar!$A$1:$R$1377,18,0)=0,0,IF(VLOOKUP($A242,Calendar!$A$1:$R$1377,18,0)=1,IFERROR(INDEX(Weekly_Model!$D$2:$D$9,MATCH(F242,Weekly_Model!$A$2:$A$9,0)),0),IF(VLOOKUP($A242,Calendar!$A$1:$R$1377,18,0)=2,SUM(IFERROR(INDEX(Weekly_Model!$D$2:$D$9,MATCH(F242,Weekly_Model!$A$2:$A$9,0)),0),IFERROR(INDEX(Weekly_Model!$D$2:$D$9,MATCH(F243,Weekly_Model!$A$2:$A$9,0)),0)),IF(VLOOKUP($A242,Calendar!$A$1:$R$1377,18,0)=3,SUM(IFERROR(INDEX(Weekly_Model!$D$2:$D$9,MATCH(F242,Weekly_Model!$A$2:$A$9,0)),0),IFERROR(INDEX(Weekly_Model!$D$2:$D$9,MATCH(F243,Weekly_Model!$A$2:$A$9,0)),0),IFERROR(INDEX(Weekly_Model!$D$2:$D$9,MATCH(F244,Weekly_Model!$A$2:$A$9,0)),0)),IF(VLOOKUP($A242,Calendar!$A$1:$R$1377,18,0)=4,SUM(IFERROR(INDEX(Weekly_Model!$D$2:$D$9,MATCH(F242,Weekly_Model!$A$2:$A$9,0)),0),IFERROR(INDEX(Weekly_Model!$D$2:$D$9,MATCH(F243,Weekly_Model!$A$2:$A$9,0)),0),IFERROR(INDEX(Weekly_Model!$D$2:$D$9,MATCH(F244,Weekly_Model!$A$2:$A$9,0)),0),IFERROR(INDEX(Weekly_Model!$D$2:$D$9,MATCH(F245,Weekly_Model!$A$2:$A$9,0)),0)),IF(VLOOKUP($A242,Calendar!$A$1:$R$1377,18,0)=5,SUM(IFERROR(INDEX(Weekly_Model!$D$2:$D$9,MATCH(F242,Weekly_Model!$A$2:$A$9,0)),0),IFERROR(INDEX(Weekly_Model!$D$2:$D$9,MATCH(F243,Weekly_Model!$A$2:$A$9,0)),0),IFERROR(INDEX(Weekly_Model!$D$2:$D$9,MATCH(F244,Weekly_Model!$A$2:$A$9,0)),0),IFERROR(INDEX(Weekly_Model!$D$2:$D$9,MATCH(F245,Weekly_Model!$A$2:$A$9,0)),0),IFERROR(INDEX(Weekly_Model!$D$2:$D$9,MATCH(F246,Weekly_Model!$A$2:$A$9,0)),0)),0))))))</f>
        <v>0</v>
      </c>
      <c r="L242" s="27">
        <f>IF(VLOOKUP($A242,Calendar!$A$1:$R$1377,18,0)=0,0,IF(VLOOKUP($A242,Calendar!$A$1:$R$1377,18,0)=1,IFERROR(INDEX(Fortnightly_Model!$D$2:$D$15,MATCH(G242,Fortnightly_Model!$B$2:$B$15,0)),0),IF(VLOOKUP($A242,Calendar!$A$1:$R$1377,18,0)=2,SUM(IFERROR(INDEX(Fortnightly_Model!$D$2:$D$15,MATCH(G242,Fortnightly_Model!$B$2:$B$15,0)),0),IFERROR(INDEX(Fortnightly_Model!$D$2:$D$15,MATCH(G243,Fortnightly_Model!$B$2:$B$15,0)),0)),IF(VLOOKUP($A242,Calendar!$A$1:$R$1377,18,0)=3,SUM(IFERROR(INDEX(Fortnightly_Model!$D$2:$D$15,MATCH(G242,Fortnightly_Model!$B$2:$B$15,0)),0),IFERROR(INDEX(Fortnightly_Model!$D$2:$D$15,MATCH(G243,Fortnightly_Model!$B$2:$B$15,0)),0),IFERROR(INDEX(Fortnightly_Model!$D$2:$D$15,MATCH(G244,Fortnightly_Model!$B$2:$B$15,0)),0)),IF(VLOOKUP($A242,Calendar!$A$1:$R$1377,18,0)=4,SUM(IFERROR(INDEX(Fortnightly_Model!$D$2:$D$15,MATCH(G242,Fortnightly_Model!$B$2:$B$15,0)),0),IFERROR(INDEX(Fortnightly_Model!$D$2:$D$15,MATCH(G243,Fortnightly_Model!$B$2:$B$15,0)),0),IFERROR(INDEX(Fortnightly_Model!$D$2:$D$15,MATCH(G244,Fortnightly_Model!$B$2:$B$15,0)),0),IFERROR(INDEX(Fortnightly_Model!$D$2:$D$15,MATCH(G245,Fortnightly_Model!$B$2:$B$15,0)),0)),IF(VLOOKUP($A242,Calendar!$A$1:$R$1377,18,0)=5,SUM(IFERROR(INDEX(Fortnightly_Model!$D$2:$D$15,MATCH(G242,Fortnightly_Model!$B$2:$B$15,0)),0),IFERROR(INDEX(Fortnightly_Model!$D$2:$D$15,MATCH(G243,Fortnightly_Model!$B$2:$B$15,0)),0),IFERROR(INDEX(Fortnightly_Model!$D$2:$D$15,MATCH(G244,Fortnightly_Model!$B$2:$B$15,0)),0),IFERROR(INDEX(Fortnightly_Model!$D$2:$D$15,MATCH(G245,Fortnightly_Model!$B$2:$B$15,0)),0),IFERROR(INDEX(Fortnightly_Model!$D$2:$D$15,MATCH(G246,Fortnightly_Model!$B$2:$B$15,0)),0)),0))))))</f>
        <v>0</v>
      </c>
      <c r="M242" s="27">
        <f>IF(VLOOKUP($A242,Calendar!$A$1:$R$1377,18,0)=0,0,IF(VLOOKUP($A242,Calendar!$A$1:$R$1377,18,0)=1,IFERROR(INDEX(FourWeekly_Model!$D$2:$D$29,MATCH(H242,FourWeekly_Model!$B$2:$B$29,0)),0),IF(VLOOKUP($A242,Calendar!$A$1:$R$1377,18,0)=2,SUM(IFERROR(INDEX(FourWeekly_Model!$D$2:$D$29,MATCH(H242,FourWeekly_Model!$B$2:$B$29,0)),0),IFERROR(INDEX(FourWeekly_Model!$D$2:$D$29,MATCH(H243,FourWeekly_Model!$B$2:$B$29,0)),0)),IF(VLOOKUP($A242,Calendar!$A$1:$R$1377,18,0)=3,SUM(IFERROR(INDEX(FourWeekly_Model!$D$2:$D$29,MATCH(H242,FourWeekly_Model!$B$2:$B$29,0)),0),IFERROR(INDEX(FourWeekly_Model!$D$2:$D$29,MATCH(H243,FourWeekly_Model!$B$2:$B$29,0)),0),IFERROR(INDEX(FourWeekly_Model!$D$2:$D$29,MATCH(H244,FourWeekly_Model!$B$2:$B$29,0)),0)),IF(VLOOKUP($A242,Calendar!$A$1:$R$1377,18,0)=4,SUM(IFERROR(INDEX(FourWeekly_Model!$D$2:$D$29,MATCH(H242,FourWeekly_Model!$B$2:$B$29,0)),0),IFERROR(INDEX(FourWeekly_Model!$D$2:$D$29,MATCH(H243,FourWeekly_Model!$B$2:$B$29,0)),0),IFERROR(INDEX(FourWeekly_Model!$D$2:$D$29,MATCH(H244,FourWeekly_Model!$B$2:$B$29,0)),0),IFERROR(INDEX(FourWeekly_Model!$D$2:$D$29,MATCH(H245,FourWeekly_Model!$B$2:$B$29,0)),0)),IF(VLOOKUP($A242,Calendar!$A$1:$R$1377,18,0)=5,SUM(IFERROR(INDEX(FourWeekly_Model!$D$2:$D$29,MATCH(H242,FourWeekly_Model!$B$2:$B$29,0)),0),IFERROR(INDEX(FourWeekly_Model!$D$2:$D$29,MATCH(H243,FourWeekly_Model!$B$2:$B$29,0)),0),IFERROR(INDEX(FourWeekly_Model!$D$2:$D$29,MATCH(H244,FourWeekly_Model!$B$2:$B$29,0)),0),IFERROR(INDEX(FourWeekly_Model!$D$2:$D$29,MATCH(H245,FourWeekly_Model!$B$2:$B$29,0)),0),IFERROR(INDEX(FourWeekly_Model!$D$2:$D$29,MATCH(H246,FourWeekly_Model!$B$2:$B$29,0)),0)),0))))))</f>
        <v>0</v>
      </c>
      <c r="N242" s="27">
        <f>SUM(I242:M242)</f>
        <v>0</v>
      </c>
      <c r="O242" s="28">
        <f>Population_Data!$B$8*N242</f>
        <v>0</v>
      </c>
      <c r="P242" s="27">
        <f>IF(VLOOKUP($A242,Calendar!$A$1:$R$1377,18,0)=0,0,IF(VLOOKUP($A242,Calendar!$A$1:$R$1377,18,0)=1,IFERROR(INDEX(Pension_Model!$D$2:$D$29,MATCH(H242,Pension_Model!$B$2:$B$29,0)),0),IF(VLOOKUP($A242,Calendar!$A$1:$R$1377,18,0)=2,SUM(IFERROR(INDEX(Pension_Model!$D$2:$D$29,MATCH(H242,Pension_Model!$B$2:$B$29,0)),0),IFERROR(INDEX(Pension_Model!$D$2:$D$29,MATCH(H243,Pension_Model!$B$2:$B$29,0)),0)),IF(VLOOKUP($A242,Calendar!$A$1:$R$1377,18,0)=3,SUM(IFERROR(INDEX(Pension_Model!$D$2:$D$29,MATCH(H242,Pension_Model!$B$2:$B$29,0)),0),IFERROR(INDEX(Pension_Model!$D$2:$D$29,MATCH(H243,Pension_Model!$B$2:$B$29,0)),0),IFERROR(INDEX(Pension_Model!$D$2:$D$29,MATCH(H244,Pension_Model!$B$2:$B$29,0)),0)),IF(VLOOKUP($A242,Calendar!$A$1:$R$1377,18,0)=4,SUM(IFERROR(INDEX(Pension_Model!$D$2:$D$29,MATCH(H242,Pension_Model!$B$2:$B$29,0)),0),IFERROR(INDEX(Pension_Model!$D$2:$D$29,MATCH(H243,Pension_Model!$B$2:$B$29,0)),0),IFERROR(INDEX(Pension_Model!$D$2:$D$29,MATCH(H244,Pension_Model!$B$2:$B$29,0)),0),IFERROR(INDEX(Pension_Model!$D$2:$D$29,MATCH(H245,Pension_Model!$B$2:$B$29,0)),0)),IF(VLOOKUP($A242,Calendar!$A$1:$R$1377,18,0)=5,SUM(IFERROR(INDEX(Pension_Model!$D$2:$D$29,MATCH(H242,Pension_Model!$B$2:$B$29,0)),0),IFERROR(INDEX(Pension_Model!$D$2:$D$29,MATCH(H243,Pension_Model!$B$2:$B$29,0)),0),IFERROR(INDEX(Pension_Model!$D$2:$D$29,MATCH(H244,Pension_Model!$B$2:$B$29,0)),0),IFERROR(INDEX(Pension_Model!$D$2:$D$29,MATCH(H245,Pension_Model!$B$2:$B$29,0)),0),IFERROR(INDEX(Pension_Model!$D$2:$D$29,MATCH(H246,Pension_Model!$B$2:$B$29,0)),0)),0))))))</f>
        <v>0</v>
      </c>
      <c r="Q242" s="28">
        <f>Population_Data!$B$15*P242</f>
        <v>0</v>
      </c>
      <c r="S242">
        <f t="shared" si="3"/>
        <v>0</v>
      </c>
      <c r="U242" s="33">
        <f>S242/Population_Data!$B$19</f>
        <v>0</v>
      </c>
    </row>
    <row r="243" spans="1:21">
      <c r="A243" s="25">
        <f>Calendar!A243</f>
        <v>46476</v>
      </c>
      <c r="B243" t="str">
        <f>Calendar!L243</f>
        <v>Yes</v>
      </c>
      <c r="C243" t="str">
        <f>Calendar!O243</f>
        <v>No</v>
      </c>
      <c r="D243" t="str">
        <f>Calendar!P243</f>
        <v>No</v>
      </c>
      <c r="E243" t="str">
        <f>Calendar!Q243</f>
        <v>No</v>
      </c>
      <c r="F243" t="str">
        <f>Calendar!I243</f>
        <v>Tuesday</v>
      </c>
      <c r="G243">
        <f>Calendar!S243</f>
        <v>10</v>
      </c>
      <c r="H243">
        <f>Calendar!T243</f>
        <v>24</v>
      </c>
      <c r="I243" s="27">
        <f>IF(VLOOKUP(A243,Calendar!$A$1:$R$1377,18,0)=0,0,IF(VLOOKUP(A243,Calendar!$A$1:$R$1377,18,0)=1,INDEX(Monthly_Pay_Model!$A$9:$D$40,MATCH(TEXT(A243,"dd"),Monthly_Pay_Model!$C$9:$C$39,0),4),IF(VLOOKUP(A243,Calendar!$A$1:$R$1377,18,0)=2,SUM(INDEX(Monthly_Pay_Model!$A$9:$D$40,MATCH(TEXT(A243,"dd"),Monthly_Pay_Model!$C$9:$C$39,0),4),INDEX(Monthly_Pay_Model!$A$9:$D$40,MATCH(TEXT(A244,"dd"),Monthly_Pay_Model!$C$9:$C$39,0),4)),IF(VLOOKUP(A243,Calendar!$A$1:$R$1377,18,0)=3,SUM(INDEX(Monthly_Pay_Model!$A$9:$D$40,MATCH(TEXT(A243,"dd"),Monthly_Pay_Model!$C$9:$C$39,0),4),INDEX(Monthly_Pay_Model!$A$9:$D$40,MATCH(TEXT(A244,"dd"),Monthly_Pay_Model!$C$9:$C$39,0),4),INDEX(Monthly_Pay_Model!$A$9:$D$40,MATCH(TEXT(A245,"dd"),Monthly_Pay_Model!$C$9:$C$39,0),4)),IF(VLOOKUP(A243,Calendar!$A$1:$R$1377,18,0)=4,SUM(INDEX(Monthly_Pay_Model!$A$9:$D$40,MATCH(TEXT(A243,"dd"),Monthly_Pay_Model!$C$9:$C$39,0),4),INDEX(Monthly_Pay_Model!$A$9:$D$40,MATCH(TEXT(A244,"dd"),Monthly_Pay_Model!$C$9:$C$39,0),4),INDEX(Monthly_Pay_Model!$A$9:$D$40,MATCH(TEXT(A245,"dd"),Monthly_Pay_Model!$C$9:$C$39,0),4),INDEX(Monthly_Pay_Model!$A$9:$D$40,MATCH(TEXT(A246,"dd"),Monthly_Pay_Model!$C$9:$C$39,0),4)),IF(VLOOKUP(A243,Calendar!$A$1:$R$1377,18,0)=5,SUM(INDEX(Monthly_Pay_Model!$A$9:$D$40,MATCH(TEXT(A243,"dd"),Monthly_Pay_Model!$C$9:$C$39,0),4),INDEX(Monthly_Pay_Model!$A$9:$D$40,MATCH(TEXT(A244,"dd"),Monthly_Pay_Model!$C$9:$C$39,0),4),INDEX(Monthly_Pay_Model!$A$9:$D$40,MATCH(TEXT(A245,"dd"),Monthly_Pay_Model!$C$9:$C$39,0),4),INDEX(Monthly_Pay_Model!$A$9:$D$40,MATCH(TEXT(A246,"dd"),Monthly_Pay_Model!$C$9:$C$39,0),4),INDEX(Monthly_Pay_Model!$A$9:$D$40,MATCH(TEXT(A247,"dd"),Monthly_Pay_Model!$C$9:$C$39,0),4)),))))))</f>
        <v>4.8753926701570662E-3</v>
      </c>
      <c r="J243" s="33">
        <f>IF(C243="Yes",Monthly_Pay_Model!$D$2,0)
+IF(Calendar!N243="Yes",Monthly_Pay_Model!$D$3,0)
+IF(D243="Yes",Monthly_Pay_Model!$D$4,0)
+IF(E243="Yes",Monthly_Pay_Model!$D$5,0)</f>
        <v>0</v>
      </c>
      <c r="K243" s="27">
        <f>IF(VLOOKUP($A243,Calendar!$A$1:$R$1377,18,0)=0,0,IF(VLOOKUP($A243,Calendar!$A$1:$R$1377,18,0)=1,IFERROR(INDEX(Weekly_Model!$D$2:$D$9,MATCH(F243,Weekly_Model!$A$2:$A$9,0)),0),IF(VLOOKUP($A243,Calendar!$A$1:$R$1377,18,0)=2,SUM(IFERROR(INDEX(Weekly_Model!$D$2:$D$9,MATCH(F243,Weekly_Model!$A$2:$A$9,0)),0),IFERROR(INDEX(Weekly_Model!$D$2:$D$9,MATCH(F244,Weekly_Model!$A$2:$A$9,0)),0)),IF(VLOOKUP($A243,Calendar!$A$1:$R$1377,18,0)=3,SUM(IFERROR(INDEX(Weekly_Model!$D$2:$D$9,MATCH(F243,Weekly_Model!$A$2:$A$9,0)),0),IFERROR(INDEX(Weekly_Model!$D$2:$D$9,MATCH(F244,Weekly_Model!$A$2:$A$9,0)),0),IFERROR(INDEX(Weekly_Model!$D$2:$D$9,MATCH(F245,Weekly_Model!$A$2:$A$9,0)),0)),IF(VLOOKUP($A243,Calendar!$A$1:$R$1377,18,0)=4,SUM(IFERROR(INDEX(Weekly_Model!$D$2:$D$9,MATCH(F243,Weekly_Model!$A$2:$A$9,0)),0),IFERROR(INDEX(Weekly_Model!$D$2:$D$9,MATCH(F244,Weekly_Model!$A$2:$A$9,0)),0),IFERROR(INDEX(Weekly_Model!$D$2:$D$9,MATCH(F245,Weekly_Model!$A$2:$A$9,0)),0),IFERROR(INDEX(Weekly_Model!$D$2:$D$9,MATCH(F246,Weekly_Model!$A$2:$A$9,0)),0)),IF(VLOOKUP($A243,Calendar!$A$1:$R$1377,18,0)=5,SUM(IFERROR(INDEX(Weekly_Model!$D$2:$D$9,MATCH(F243,Weekly_Model!$A$2:$A$9,0)),0),IFERROR(INDEX(Weekly_Model!$D$2:$D$9,MATCH(F244,Weekly_Model!$A$2:$A$9,0)),0),IFERROR(INDEX(Weekly_Model!$D$2:$D$9,MATCH(F245,Weekly_Model!$A$2:$A$9,0)),0),IFERROR(INDEX(Weekly_Model!$D$2:$D$9,MATCH(F246,Weekly_Model!$A$2:$A$9,0)),0),IFERROR(INDEX(Weekly_Model!$D$2:$D$9,MATCH(F247,Weekly_Model!$A$2:$A$9,0)),0)),0))))))</f>
        <v>2.3200000000000002E-2</v>
      </c>
      <c r="L243" s="27">
        <f>IF(VLOOKUP($A243,Calendar!$A$1:$R$1377,18,0)=0,0,IF(VLOOKUP($A243,Calendar!$A$1:$R$1377,18,0)=1,IFERROR(INDEX(Fortnightly_Model!$D$2:$D$15,MATCH(G243,Fortnightly_Model!$B$2:$B$15,0)),0),IF(VLOOKUP($A243,Calendar!$A$1:$R$1377,18,0)=2,SUM(IFERROR(INDEX(Fortnightly_Model!$D$2:$D$15,MATCH(G243,Fortnightly_Model!$B$2:$B$15,0)),0),IFERROR(INDEX(Fortnightly_Model!$D$2:$D$15,MATCH(G244,Fortnightly_Model!$B$2:$B$15,0)),0)),IF(VLOOKUP($A243,Calendar!$A$1:$R$1377,18,0)=3,SUM(IFERROR(INDEX(Fortnightly_Model!$D$2:$D$15,MATCH(G243,Fortnightly_Model!$B$2:$B$15,0)),0),IFERROR(INDEX(Fortnightly_Model!$D$2:$D$15,MATCH(G244,Fortnightly_Model!$B$2:$B$15,0)),0),IFERROR(INDEX(Fortnightly_Model!$D$2:$D$15,MATCH(G245,Fortnightly_Model!$B$2:$B$15,0)),0)),IF(VLOOKUP($A243,Calendar!$A$1:$R$1377,18,0)=4,SUM(IFERROR(INDEX(Fortnightly_Model!$D$2:$D$15,MATCH(G243,Fortnightly_Model!$B$2:$B$15,0)),0),IFERROR(INDEX(Fortnightly_Model!$D$2:$D$15,MATCH(G244,Fortnightly_Model!$B$2:$B$15,0)),0),IFERROR(INDEX(Fortnightly_Model!$D$2:$D$15,MATCH(G245,Fortnightly_Model!$B$2:$B$15,0)),0),IFERROR(INDEX(Fortnightly_Model!$D$2:$D$15,MATCH(G246,Fortnightly_Model!$B$2:$B$15,0)),0)),IF(VLOOKUP($A243,Calendar!$A$1:$R$1377,18,0)=5,SUM(IFERROR(INDEX(Fortnightly_Model!$D$2:$D$15,MATCH(G243,Fortnightly_Model!$B$2:$B$15,0)),0),IFERROR(INDEX(Fortnightly_Model!$D$2:$D$15,MATCH(G244,Fortnightly_Model!$B$2:$B$15,0)),0),IFERROR(INDEX(Fortnightly_Model!$D$2:$D$15,MATCH(G245,Fortnightly_Model!$B$2:$B$15,0)),0),IFERROR(INDEX(Fortnightly_Model!$D$2:$D$15,MATCH(G246,Fortnightly_Model!$B$2:$B$15,0)),0),IFERROR(INDEX(Fortnightly_Model!$D$2:$D$15,MATCH(G247,Fortnightly_Model!$B$2:$B$15,0)),0)),0))))))</f>
        <v>1.0714285499999999E-3</v>
      </c>
      <c r="M243" s="27">
        <f>IF(VLOOKUP($A243,Calendar!$A$1:$R$1377,18,0)=0,0,IF(VLOOKUP($A243,Calendar!$A$1:$R$1377,18,0)=1,IFERROR(INDEX(FourWeekly_Model!$D$2:$D$29,MATCH(H243,FourWeekly_Model!$B$2:$B$29,0)),0),IF(VLOOKUP($A243,Calendar!$A$1:$R$1377,18,0)=2,SUM(IFERROR(INDEX(FourWeekly_Model!$D$2:$D$29,MATCH(H243,FourWeekly_Model!$B$2:$B$29,0)),0),IFERROR(INDEX(FourWeekly_Model!$D$2:$D$29,MATCH(H244,FourWeekly_Model!$B$2:$B$29,0)),0)),IF(VLOOKUP($A243,Calendar!$A$1:$R$1377,18,0)=3,SUM(IFERROR(INDEX(FourWeekly_Model!$D$2:$D$29,MATCH(H243,FourWeekly_Model!$B$2:$B$29,0)),0),IFERROR(INDEX(FourWeekly_Model!$D$2:$D$29,MATCH(H244,FourWeekly_Model!$B$2:$B$29,0)),0),IFERROR(INDEX(FourWeekly_Model!$D$2:$D$29,MATCH(H245,FourWeekly_Model!$B$2:$B$29,0)),0)),IF(VLOOKUP($A243,Calendar!$A$1:$R$1377,18,0)=4,SUM(IFERROR(INDEX(FourWeekly_Model!$D$2:$D$29,MATCH(H243,FourWeekly_Model!$B$2:$B$29,0)),0),IFERROR(INDEX(FourWeekly_Model!$D$2:$D$29,MATCH(H244,FourWeekly_Model!$B$2:$B$29,0)),0),IFERROR(INDEX(FourWeekly_Model!$D$2:$D$29,MATCH(H245,FourWeekly_Model!$B$2:$B$29,0)),0),IFERROR(INDEX(FourWeekly_Model!$D$2:$D$29,MATCH(H246,FourWeekly_Model!$B$2:$B$29,0)),0)),IF(VLOOKUP($A243,Calendar!$A$1:$R$1377,18,0)=5,SUM(IFERROR(INDEX(FourWeekly_Model!$D$2:$D$29,MATCH(H243,FourWeekly_Model!$B$2:$B$29,0)),0),IFERROR(INDEX(FourWeekly_Model!$D$2:$D$29,MATCH(H244,FourWeekly_Model!$B$2:$B$29,0)),0),IFERROR(INDEX(FourWeekly_Model!$D$2:$D$29,MATCH(H245,FourWeekly_Model!$B$2:$B$29,0)),0),IFERROR(INDEX(FourWeekly_Model!$D$2:$D$29,MATCH(H246,FourWeekly_Model!$B$2:$B$29,0)),0),IFERROR(INDEX(FourWeekly_Model!$D$2:$D$29,MATCH(H247,FourWeekly_Model!$B$2:$B$29,0)),0)),0))))))</f>
        <v>3.3214289700000004E-3</v>
      </c>
      <c r="N243" s="27">
        <f>SUM(I243:M243)</f>
        <v>3.2468250190157068E-2</v>
      </c>
      <c r="O243" s="28">
        <f>Population_Data!$B$8*N243</f>
        <v>983787.9807617591</v>
      </c>
      <c r="P243" s="27">
        <f>IF(VLOOKUP($A243,Calendar!$A$1:$R$1377,18,0)=0,0,IF(VLOOKUP($A243,Calendar!$A$1:$R$1377,18,0)=1,IFERROR(INDEX(Pension_Model!$D$2:$D$29,MATCH(H243,Pension_Model!$B$2:$B$29,0)),0),IF(VLOOKUP($A243,Calendar!$A$1:$R$1377,18,0)=2,SUM(IFERROR(INDEX(Pension_Model!$D$2:$D$29,MATCH(H243,Pension_Model!$B$2:$B$29,0)),0),IFERROR(INDEX(Pension_Model!$D$2:$D$29,MATCH(H244,Pension_Model!$B$2:$B$29,0)),0)),IF(VLOOKUP($A243,Calendar!$A$1:$R$1377,18,0)=3,SUM(IFERROR(INDEX(Pension_Model!$D$2:$D$29,MATCH(H243,Pension_Model!$B$2:$B$29,0)),0),IFERROR(INDEX(Pension_Model!$D$2:$D$29,MATCH(H244,Pension_Model!$B$2:$B$29,0)),0),IFERROR(INDEX(Pension_Model!$D$2:$D$29,MATCH(H245,Pension_Model!$B$2:$B$29,0)),0)),IF(VLOOKUP($A243,Calendar!$A$1:$R$1377,18,0)=4,SUM(IFERROR(INDEX(Pension_Model!$D$2:$D$29,MATCH(H243,Pension_Model!$B$2:$B$29,0)),0),IFERROR(INDEX(Pension_Model!$D$2:$D$29,MATCH(H244,Pension_Model!$B$2:$B$29,0)),0),IFERROR(INDEX(Pension_Model!$D$2:$D$29,MATCH(H245,Pension_Model!$B$2:$B$29,0)),0),IFERROR(INDEX(Pension_Model!$D$2:$D$29,MATCH(H246,Pension_Model!$B$2:$B$29,0)),0)),IF(VLOOKUP($A243,Calendar!$A$1:$R$1377,18,0)=5,SUM(IFERROR(INDEX(Pension_Model!$D$2:$D$29,MATCH(H243,Pension_Model!$B$2:$B$29,0)),0),IFERROR(INDEX(Pension_Model!$D$2:$D$29,MATCH(H244,Pension_Model!$B$2:$B$29,0)),0),IFERROR(INDEX(Pension_Model!$D$2:$D$29,MATCH(H245,Pension_Model!$B$2:$B$29,0)),0),IFERROR(INDEX(Pension_Model!$D$2:$D$29,MATCH(H246,Pension_Model!$B$2:$B$29,0)),0),IFERROR(INDEX(Pension_Model!$D$2:$D$29,MATCH(H247,Pension_Model!$B$2:$B$29,0)),0)),0))))))</f>
        <v>0.05</v>
      </c>
      <c r="Q243" s="28">
        <f>Population_Data!$B$15*P243</f>
        <v>660600</v>
      </c>
      <c r="S243">
        <f t="shared" si="3"/>
        <v>1644387.980761759</v>
      </c>
      <c r="U243" s="33">
        <f>S243/Population_Data!$B$19</f>
        <v>2.9789637332640562E-2</v>
      </c>
    </row>
    <row r="244" spans="1:21">
      <c r="A244" s="25">
        <f>Calendar!A244</f>
        <v>46477</v>
      </c>
      <c r="B244" t="str">
        <f>Calendar!L244</f>
        <v>Yes</v>
      </c>
      <c r="C244" t="str">
        <f>Calendar!O244</f>
        <v>Yes</v>
      </c>
      <c r="D244" t="str">
        <f>Calendar!P244</f>
        <v>No</v>
      </c>
      <c r="E244" t="str">
        <f>Calendar!Q244</f>
        <v>No</v>
      </c>
      <c r="F244" t="str">
        <f>Calendar!I244</f>
        <v>Wednesday</v>
      </c>
      <c r="G244">
        <f>Calendar!S244</f>
        <v>11</v>
      </c>
      <c r="H244">
        <f>Calendar!T244</f>
        <v>25</v>
      </c>
      <c r="I244" s="27">
        <f>IF(VLOOKUP(A244,Calendar!$A$1:$R$1377,18,0)=0,0,IF(VLOOKUP(A244,Calendar!$A$1:$R$1377,18,0)=1,INDEX(Monthly_Pay_Model!$A$9:$D$40,MATCH(TEXT(A244,"dd"),Monthly_Pay_Model!$C$9:$C$39,0),4),IF(VLOOKUP(A244,Calendar!$A$1:$R$1377,18,0)=2,SUM(INDEX(Monthly_Pay_Model!$A$9:$D$40,MATCH(TEXT(A244,"dd"),Monthly_Pay_Model!$C$9:$C$39,0),4),INDEX(Monthly_Pay_Model!$A$9:$D$40,MATCH(TEXT(A245,"dd"),Monthly_Pay_Model!$C$9:$C$39,0),4)),IF(VLOOKUP(A244,Calendar!$A$1:$R$1377,18,0)=3,SUM(INDEX(Monthly_Pay_Model!$A$9:$D$40,MATCH(TEXT(A244,"dd"),Monthly_Pay_Model!$C$9:$C$39,0),4),INDEX(Monthly_Pay_Model!$A$9:$D$40,MATCH(TEXT(A245,"dd"),Monthly_Pay_Model!$C$9:$C$39,0),4),INDEX(Monthly_Pay_Model!$A$9:$D$40,MATCH(TEXT(A246,"dd"),Monthly_Pay_Model!$C$9:$C$39,0),4)),IF(VLOOKUP(A244,Calendar!$A$1:$R$1377,18,0)=4,SUM(INDEX(Monthly_Pay_Model!$A$9:$D$40,MATCH(TEXT(A244,"dd"),Monthly_Pay_Model!$C$9:$C$39,0),4),INDEX(Monthly_Pay_Model!$A$9:$D$40,MATCH(TEXT(A245,"dd"),Monthly_Pay_Model!$C$9:$C$39,0),4),INDEX(Monthly_Pay_Model!$A$9:$D$40,MATCH(TEXT(A246,"dd"),Monthly_Pay_Model!$C$9:$C$39,0),4),INDEX(Monthly_Pay_Model!$A$9:$D$40,MATCH(TEXT(A247,"dd"),Monthly_Pay_Model!$C$9:$C$39,0),4)),IF(VLOOKUP(A244,Calendar!$A$1:$R$1377,18,0)=5,SUM(INDEX(Monthly_Pay_Model!$A$9:$D$40,MATCH(TEXT(A244,"dd"),Monthly_Pay_Model!$C$9:$C$39,0),4),INDEX(Monthly_Pay_Model!$A$9:$D$40,MATCH(TEXT(A245,"dd"),Monthly_Pay_Model!$C$9:$C$39,0),4),INDEX(Monthly_Pay_Model!$A$9:$D$40,MATCH(TEXT(A246,"dd"),Monthly_Pay_Model!$C$9:$C$39,0),4),INDEX(Monthly_Pay_Model!$A$9:$D$40,MATCH(TEXT(A247,"dd"),Monthly_Pay_Model!$C$9:$C$39,0),4),INDEX(Monthly_Pay_Model!$A$9:$D$40,MATCH(TEXT(A248,"dd"),Monthly_Pay_Model!$C$9:$C$39,0),4)),))))))</f>
        <v>5.6879581151832457E-3</v>
      </c>
      <c r="J244" s="33">
        <f>IF(C244="Yes",Monthly_Pay_Model!$D$2,0)
+IF(Calendar!N244="Yes",Monthly_Pay_Model!$D$3,0)
+IF(D244="Yes",Monthly_Pay_Model!$D$4,0)
+IF(E244="Yes",Monthly_Pay_Model!$D$5,0)</f>
        <v>0.41127999999999998</v>
      </c>
      <c r="K244" s="27">
        <f>IF(VLOOKUP($A244,Calendar!$A$1:$R$1377,18,0)=0,0,IF(VLOOKUP($A244,Calendar!$A$1:$R$1377,18,0)=1,IFERROR(INDEX(Weekly_Model!$D$2:$D$9,MATCH(F244,Weekly_Model!$A$2:$A$9,0)),0),IF(VLOOKUP($A244,Calendar!$A$1:$R$1377,18,0)=2,SUM(IFERROR(INDEX(Weekly_Model!$D$2:$D$9,MATCH(F244,Weekly_Model!$A$2:$A$9,0)),0),IFERROR(INDEX(Weekly_Model!$D$2:$D$9,MATCH(F245,Weekly_Model!$A$2:$A$9,0)),0)),IF(VLOOKUP($A244,Calendar!$A$1:$R$1377,18,0)=3,SUM(IFERROR(INDEX(Weekly_Model!$D$2:$D$9,MATCH(F244,Weekly_Model!$A$2:$A$9,0)),0),IFERROR(INDEX(Weekly_Model!$D$2:$D$9,MATCH(F245,Weekly_Model!$A$2:$A$9,0)),0),IFERROR(INDEX(Weekly_Model!$D$2:$D$9,MATCH(F246,Weekly_Model!$A$2:$A$9,0)),0)),IF(VLOOKUP($A244,Calendar!$A$1:$R$1377,18,0)=4,SUM(IFERROR(INDEX(Weekly_Model!$D$2:$D$9,MATCH(F244,Weekly_Model!$A$2:$A$9,0)),0),IFERROR(INDEX(Weekly_Model!$D$2:$D$9,MATCH(F245,Weekly_Model!$A$2:$A$9,0)),0),IFERROR(INDEX(Weekly_Model!$D$2:$D$9,MATCH(F246,Weekly_Model!$A$2:$A$9,0)),0),IFERROR(INDEX(Weekly_Model!$D$2:$D$9,MATCH(F247,Weekly_Model!$A$2:$A$9,0)),0)),IF(VLOOKUP($A244,Calendar!$A$1:$R$1377,18,0)=5,SUM(IFERROR(INDEX(Weekly_Model!$D$2:$D$9,MATCH(F244,Weekly_Model!$A$2:$A$9,0)),0),IFERROR(INDEX(Weekly_Model!$D$2:$D$9,MATCH(F245,Weekly_Model!$A$2:$A$9,0)),0),IFERROR(INDEX(Weekly_Model!$D$2:$D$9,MATCH(F246,Weekly_Model!$A$2:$A$9,0)),0),IFERROR(INDEX(Weekly_Model!$D$2:$D$9,MATCH(F247,Weekly_Model!$A$2:$A$9,0)),0),IFERROR(INDEX(Weekly_Model!$D$2:$D$9,MATCH(F248,Weekly_Model!$A$2:$A$9,0)),0)),0))))))</f>
        <v>2.3200000000000002E-2</v>
      </c>
      <c r="L244" s="27">
        <f>IF(VLOOKUP($A244,Calendar!$A$1:$R$1377,18,0)=0,0,IF(VLOOKUP($A244,Calendar!$A$1:$R$1377,18,0)=1,IFERROR(INDEX(Fortnightly_Model!$D$2:$D$15,MATCH(G244,Fortnightly_Model!$B$2:$B$15,0)),0),IF(VLOOKUP($A244,Calendar!$A$1:$R$1377,18,0)=2,SUM(IFERROR(INDEX(Fortnightly_Model!$D$2:$D$15,MATCH(G244,Fortnightly_Model!$B$2:$B$15,0)),0),IFERROR(INDEX(Fortnightly_Model!$D$2:$D$15,MATCH(G245,Fortnightly_Model!$B$2:$B$15,0)),0)),IF(VLOOKUP($A244,Calendar!$A$1:$R$1377,18,0)=3,SUM(IFERROR(INDEX(Fortnightly_Model!$D$2:$D$15,MATCH(G244,Fortnightly_Model!$B$2:$B$15,0)),0),IFERROR(INDEX(Fortnightly_Model!$D$2:$D$15,MATCH(G245,Fortnightly_Model!$B$2:$B$15,0)),0),IFERROR(INDEX(Fortnightly_Model!$D$2:$D$15,MATCH(G246,Fortnightly_Model!$B$2:$B$15,0)),0)),IF(VLOOKUP($A244,Calendar!$A$1:$R$1377,18,0)=4,SUM(IFERROR(INDEX(Fortnightly_Model!$D$2:$D$15,MATCH(G244,Fortnightly_Model!$B$2:$B$15,0)),0),IFERROR(INDEX(Fortnightly_Model!$D$2:$D$15,MATCH(G245,Fortnightly_Model!$B$2:$B$15,0)),0),IFERROR(INDEX(Fortnightly_Model!$D$2:$D$15,MATCH(G246,Fortnightly_Model!$B$2:$B$15,0)),0),IFERROR(INDEX(Fortnightly_Model!$D$2:$D$15,MATCH(G247,Fortnightly_Model!$B$2:$B$15,0)),0)),IF(VLOOKUP($A244,Calendar!$A$1:$R$1377,18,0)=5,SUM(IFERROR(INDEX(Fortnightly_Model!$D$2:$D$15,MATCH(G244,Fortnightly_Model!$B$2:$B$15,0)),0),IFERROR(INDEX(Fortnightly_Model!$D$2:$D$15,MATCH(G245,Fortnightly_Model!$B$2:$B$15,0)),0),IFERROR(INDEX(Fortnightly_Model!$D$2:$D$15,MATCH(G246,Fortnightly_Model!$B$2:$B$15,0)),0),IFERROR(INDEX(Fortnightly_Model!$D$2:$D$15,MATCH(G247,Fortnightly_Model!$B$2:$B$15,0)),0),IFERROR(INDEX(Fortnightly_Model!$D$2:$D$15,MATCH(G248,Fortnightly_Model!$B$2:$B$15,0)),0)),0))))))</f>
        <v>1.0714285499999999E-3</v>
      </c>
      <c r="M244" s="27">
        <f>IF(VLOOKUP($A244,Calendar!$A$1:$R$1377,18,0)=0,0,IF(VLOOKUP($A244,Calendar!$A$1:$R$1377,18,0)=1,IFERROR(INDEX(FourWeekly_Model!$D$2:$D$29,MATCH(H244,FourWeekly_Model!$B$2:$B$29,0)),0),IF(VLOOKUP($A244,Calendar!$A$1:$R$1377,18,0)=2,SUM(IFERROR(INDEX(FourWeekly_Model!$D$2:$D$29,MATCH(H244,FourWeekly_Model!$B$2:$B$29,0)),0),IFERROR(INDEX(FourWeekly_Model!$D$2:$D$29,MATCH(H245,FourWeekly_Model!$B$2:$B$29,0)),0)),IF(VLOOKUP($A244,Calendar!$A$1:$R$1377,18,0)=3,SUM(IFERROR(INDEX(FourWeekly_Model!$D$2:$D$29,MATCH(H244,FourWeekly_Model!$B$2:$B$29,0)),0),IFERROR(INDEX(FourWeekly_Model!$D$2:$D$29,MATCH(H245,FourWeekly_Model!$B$2:$B$29,0)),0),IFERROR(INDEX(FourWeekly_Model!$D$2:$D$29,MATCH(H246,FourWeekly_Model!$B$2:$B$29,0)),0)),IF(VLOOKUP($A244,Calendar!$A$1:$R$1377,18,0)=4,SUM(IFERROR(INDEX(FourWeekly_Model!$D$2:$D$29,MATCH(H244,FourWeekly_Model!$B$2:$B$29,0)),0),IFERROR(INDEX(FourWeekly_Model!$D$2:$D$29,MATCH(H245,FourWeekly_Model!$B$2:$B$29,0)),0),IFERROR(INDEX(FourWeekly_Model!$D$2:$D$29,MATCH(H246,FourWeekly_Model!$B$2:$B$29,0)),0),IFERROR(INDEX(FourWeekly_Model!$D$2:$D$29,MATCH(H247,FourWeekly_Model!$B$2:$B$29,0)),0)),IF(VLOOKUP($A244,Calendar!$A$1:$R$1377,18,0)=5,SUM(IFERROR(INDEX(FourWeekly_Model!$D$2:$D$29,MATCH(H244,FourWeekly_Model!$B$2:$B$29,0)),0),IFERROR(INDEX(FourWeekly_Model!$D$2:$D$29,MATCH(H245,FourWeekly_Model!$B$2:$B$29,0)),0),IFERROR(INDEX(FourWeekly_Model!$D$2:$D$29,MATCH(H246,FourWeekly_Model!$B$2:$B$29,0)),0),IFERROR(INDEX(FourWeekly_Model!$D$2:$D$29,MATCH(H247,FourWeekly_Model!$B$2:$B$29,0)),0),IFERROR(INDEX(FourWeekly_Model!$D$2:$D$29,MATCH(H248,FourWeekly_Model!$B$2:$B$29,0)),0)),0))))))</f>
        <v>3.3214289700000004E-3</v>
      </c>
      <c r="N244" s="27">
        <f>SUM(I244:M244)</f>
        <v>0.44456081563518318</v>
      </c>
      <c r="O244" s="28">
        <f>Population_Data!$B$8*N244</f>
        <v>13470192.71374605</v>
      </c>
      <c r="P244" s="27">
        <f>IF(VLOOKUP($A244,Calendar!$A$1:$R$1377,18,0)=0,0,IF(VLOOKUP($A244,Calendar!$A$1:$R$1377,18,0)=1,IFERROR(INDEX(Pension_Model!$D$2:$D$29,MATCH(H244,Pension_Model!$B$2:$B$29,0)),0),IF(VLOOKUP($A244,Calendar!$A$1:$R$1377,18,0)=2,SUM(IFERROR(INDEX(Pension_Model!$D$2:$D$29,MATCH(H244,Pension_Model!$B$2:$B$29,0)),0),IFERROR(INDEX(Pension_Model!$D$2:$D$29,MATCH(H245,Pension_Model!$B$2:$B$29,0)),0)),IF(VLOOKUP($A244,Calendar!$A$1:$R$1377,18,0)=3,SUM(IFERROR(INDEX(Pension_Model!$D$2:$D$29,MATCH(H244,Pension_Model!$B$2:$B$29,0)),0),IFERROR(INDEX(Pension_Model!$D$2:$D$29,MATCH(H245,Pension_Model!$B$2:$B$29,0)),0),IFERROR(INDEX(Pension_Model!$D$2:$D$29,MATCH(H246,Pension_Model!$B$2:$B$29,0)),0)),IF(VLOOKUP($A244,Calendar!$A$1:$R$1377,18,0)=4,SUM(IFERROR(INDEX(Pension_Model!$D$2:$D$29,MATCH(H244,Pension_Model!$B$2:$B$29,0)),0),IFERROR(INDEX(Pension_Model!$D$2:$D$29,MATCH(H245,Pension_Model!$B$2:$B$29,0)),0),IFERROR(INDEX(Pension_Model!$D$2:$D$29,MATCH(H246,Pension_Model!$B$2:$B$29,0)),0),IFERROR(INDEX(Pension_Model!$D$2:$D$29,MATCH(H247,Pension_Model!$B$2:$B$29,0)),0)),IF(VLOOKUP($A244,Calendar!$A$1:$R$1377,18,0)=5,SUM(IFERROR(INDEX(Pension_Model!$D$2:$D$29,MATCH(H244,Pension_Model!$B$2:$B$29,0)),0),IFERROR(INDEX(Pension_Model!$D$2:$D$29,MATCH(H245,Pension_Model!$B$2:$B$29,0)),0),IFERROR(INDEX(Pension_Model!$D$2:$D$29,MATCH(H246,Pension_Model!$B$2:$B$29,0)),0),IFERROR(INDEX(Pension_Model!$D$2:$D$29,MATCH(H247,Pension_Model!$B$2:$B$29,0)),0),IFERROR(INDEX(Pension_Model!$D$2:$D$29,MATCH(H248,Pension_Model!$B$2:$B$29,0)),0)),0))))))</f>
        <v>0.05</v>
      </c>
      <c r="Q244" s="28">
        <f>Population_Data!$B$15*P244</f>
        <v>660600</v>
      </c>
      <c r="S244">
        <f t="shared" si="3"/>
        <v>14130792.71374605</v>
      </c>
      <c r="U244" s="33">
        <f>S244/Population_Data!$B$19</f>
        <v>0.25599262162583425</v>
      </c>
    </row>
    <row r="245" spans="1:21">
      <c r="A245" s="25">
        <f>Calendar!A245</f>
        <v>46478</v>
      </c>
      <c r="B245" t="str">
        <f>Calendar!L245</f>
        <v>Yes</v>
      </c>
      <c r="C245" t="str">
        <f>Calendar!O245</f>
        <v>No</v>
      </c>
      <c r="D245" t="str">
        <f>Calendar!P245</f>
        <v>No</v>
      </c>
      <c r="E245" t="str">
        <f>Calendar!Q245</f>
        <v>No</v>
      </c>
      <c r="F245" t="str">
        <f>Calendar!I245</f>
        <v>Thursday</v>
      </c>
      <c r="G245">
        <f>Calendar!S245</f>
        <v>12</v>
      </c>
      <c r="H245">
        <f>Calendar!T245</f>
        <v>26</v>
      </c>
      <c r="I245" s="27">
        <f>IF(VLOOKUP(A245,Calendar!$A$1:$R$1377,18,0)=0,0,IF(VLOOKUP(A245,Calendar!$A$1:$R$1377,18,0)=1,INDEX(Monthly_Pay_Model!$A$9:$D$40,MATCH(TEXT(A245,"dd"),Monthly_Pay_Model!$C$9:$C$39,0),4),IF(VLOOKUP(A245,Calendar!$A$1:$R$1377,18,0)=2,SUM(INDEX(Monthly_Pay_Model!$A$9:$D$40,MATCH(TEXT(A245,"dd"),Monthly_Pay_Model!$C$9:$C$39,0),4),INDEX(Monthly_Pay_Model!$A$9:$D$40,MATCH(TEXT(A246,"dd"),Monthly_Pay_Model!$C$9:$C$39,0),4)),IF(VLOOKUP(A245,Calendar!$A$1:$R$1377,18,0)=3,SUM(INDEX(Monthly_Pay_Model!$A$9:$D$40,MATCH(TEXT(A245,"dd"),Monthly_Pay_Model!$C$9:$C$39,0),4),INDEX(Monthly_Pay_Model!$A$9:$D$40,MATCH(TEXT(A246,"dd"),Monthly_Pay_Model!$C$9:$C$39,0),4),INDEX(Monthly_Pay_Model!$A$9:$D$40,MATCH(TEXT(A247,"dd"),Monthly_Pay_Model!$C$9:$C$39,0),4)),IF(VLOOKUP(A245,Calendar!$A$1:$R$1377,18,0)=4,SUM(INDEX(Monthly_Pay_Model!$A$9:$D$40,MATCH(TEXT(A245,"dd"),Monthly_Pay_Model!$C$9:$C$39,0),4),INDEX(Monthly_Pay_Model!$A$9:$D$40,MATCH(TEXT(A246,"dd"),Monthly_Pay_Model!$C$9:$C$39,0),4),INDEX(Monthly_Pay_Model!$A$9:$D$40,MATCH(TEXT(A247,"dd"),Monthly_Pay_Model!$C$9:$C$39,0),4),INDEX(Monthly_Pay_Model!$A$9:$D$40,MATCH(TEXT(A248,"dd"),Monthly_Pay_Model!$C$9:$C$39,0),4)),IF(VLOOKUP(A245,Calendar!$A$1:$R$1377,18,0)=5,SUM(INDEX(Monthly_Pay_Model!$A$9:$D$40,MATCH(TEXT(A245,"dd"),Monthly_Pay_Model!$C$9:$C$39,0),4),INDEX(Monthly_Pay_Model!$A$9:$D$40,MATCH(TEXT(A246,"dd"),Monthly_Pay_Model!$C$9:$C$39,0),4),INDEX(Monthly_Pay_Model!$A$9:$D$40,MATCH(TEXT(A247,"dd"),Monthly_Pay_Model!$C$9:$C$39,0),4),INDEX(Monthly_Pay_Model!$A$9:$D$40,MATCH(TEXT(A248,"dd"),Monthly_Pay_Model!$C$9:$C$39,0),4),INDEX(Monthly_Pay_Model!$A$9:$D$40,MATCH(TEXT(A249,"dd"),Monthly_Pay_Model!$C$9:$C$39,0),4)),))))))</f>
        <v>4.0628272251308894E-3</v>
      </c>
      <c r="J245" s="33">
        <f>IF(C245="Yes",Monthly_Pay_Model!$D$2,0)
+IF(Calendar!N245="Yes",Monthly_Pay_Model!$D$3,0)
+IF(D245="Yes",Monthly_Pay_Model!$D$4,0)
+IF(E245="Yes",Monthly_Pay_Model!$D$5,0)</f>
        <v>0</v>
      </c>
      <c r="K245" s="27">
        <f>IF(VLOOKUP($A245,Calendar!$A$1:$R$1377,18,0)=0,0,IF(VLOOKUP($A245,Calendar!$A$1:$R$1377,18,0)=1,IFERROR(INDEX(Weekly_Model!$D$2:$D$9,MATCH(F245,Weekly_Model!$A$2:$A$9,0)),0),IF(VLOOKUP($A245,Calendar!$A$1:$R$1377,18,0)=2,SUM(IFERROR(INDEX(Weekly_Model!$D$2:$D$9,MATCH(F245,Weekly_Model!$A$2:$A$9,0)),0),IFERROR(INDEX(Weekly_Model!$D$2:$D$9,MATCH(F246,Weekly_Model!$A$2:$A$9,0)),0)),IF(VLOOKUP($A245,Calendar!$A$1:$R$1377,18,0)=3,SUM(IFERROR(INDEX(Weekly_Model!$D$2:$D$9,MATCH(F245,Weekly_Model!$A$2:$A$9,0)),0),IFERROR(INDEX(Weekly_Model!$D$2:$D$9,MATCH(F246,Weekly_Model!$A$2:$A$9,0)),0),IFERROR(INDEX(Weekly_Model!$D$2:$D$9,MATCH(F247,Weekly_Model!$A$2:$A$9,0)),0)),IF(VLOOKUP($A245,Calendar!$A$1:$R$1377,18,0)=4,SUM(IFERROR(INDEX(Weekly_Model!$D$2:$D$9,MATCH(F245,Weekly_Model!$A$2:$A$9,0)),0),IFERROR(INDEX(Weekly_Model!$D$2:$D$9,MATCH(F246,Weekly_Model!$A$2:$A$9,0)),0),IFERROR(INDEX(Weekly_Model!$D$2:$D$9,MATCH(F247,Weekly_Model!$A$2:$A$9,0)),0),IFERROR(INDEX(Weekly_Model!$D$2:$D$9,MATCH(F248,Weekly_Model!$A$2:$A$9,0)),0)),IF(VLOOKUP($A245,Calendar!$A$1:$R$1377,18,0)=5,SUM(IFERROR(INDEX(Weekly_Model!$D$2:$D$9,MATCH(F245,Weekly_Model!$A$2:$A$9,0)),0),IFERROR(INDEX(Weekly_Model!$D$2:$D$9,MATCH(F246,Weekly_Model!$A$2:$A$9,0)),0),IFERROR(INDEX(Weekly_Model!$D$2:$D$9,MATCH(F247,Weekly_Model!$A$2:$A$9,0)),0),IFERROR(INDEX(Weekly_Model!$D$2:$D$9,MATCH(F248,Weekly_Model!$A$2:$A$9,0)),0),IFERROR(INDEX(Weekly_Model!$D$2:$D$9,MATCH(F249,Weekly_Model!$A$2:$A$9,0)),0)),0))))))</f>
        <v>2.3200000000000002E-2</v>
      </c>
      <c r="L245" s="27">
        <f>IF(VLOOKUP($A245,Calendar!$A$1:$R$1377,18,0)=0,0,IF(VLOOKUP($A245,Calendar!$A$1:$R$1377,18,0)=1,IFERROR(INDEX(Fortnightly_Model!$D$2:$D$15,MATCH(G245,Fortnightly_Model!$B$2:$B$15,0)),0),IF(VLOOKUP($A245,Calendar!$A$1:$R$1377,18,0)=2,SUM(IFERROR(INDEX(Fortnightly_Model!$D$2:$D$15,MATCH(G245,Fortnightly_Model!$B$2:$B$15,0)),0),IFERROR(INDEX(Fortnightly_Model!$D$2:$D$15,MATCH(G246,Fortnightly_Model!$B$2:$B$15,0)),0)),IF(VLOOKUP($A245,Calendar!$A$1:$R$1377,18,0)=3,SUM(IFERROR(INDEX(Fortnightly_Model!$D$2:$D$15,MATCH(G245,Fortnightly_Model!$B$2:$B$15,0)),0),IFERROR(INDEX(Fortnightly_Model!$D$2:$D$15,MATCH(G246,Fortnightly_Model!$B$2:$B$15,0)),0),IFERROR(INDEX(Fortnightly_Model!$D$2:$D$15,MATCH(G247,Fortnightly_Model!$B$2:$B$15,0)),0)),IF(VLOOKUP($A245,Calendar!$A$1:$R$1377,18,0)=4,SUM(IFERROR(INDEX(Fortnightly_Model!$D$2:$D$15,MATCH(G245,Fortnightly_Model!$B$2:$B$15,0)),0),IFERROR(INDEX(Fortnightly_Model!$D$2:$D$15,MATCH(G246,Fortnightly_Model!$B$2:$B$15,0)),0),IFERROR(INDEX(Fortnightly_Model!$D$2:$D$15,MATCH(G247,Fortnightly_Model!$B$2:$B$15,0)),0),IFERROR(INDEX(Fortnightly_Model!$D$2:$D$15,MATCH(G248,Fortnightly_Model!$B$2:$B$15,0)),0)),IF(VLOOKUP($A245,Calendar!$A$1:$R$1377,18,0)=5,SUM(IFERROR(INDEX(Fortnightly_Model!$D$2:$D$15,MATCH(G245,Fortnightly_Model!$B$2:$B$15,0)),0),IFERROR(INDEX(Fortnightly_Model!$D$2:$D$15,MATCH(G246,Fortnightly_Model!$B$2:$B$15,0)),0),IFERROR(INDEX(Fortnightly_Model!$D$2:$D$15,MATCH(G247,Fortnightly_Model!$B$2:$B$15,0)),0),IFERROR(INDEX(Fortnightly_Model!$D$2:$D$15,MATCH(G248,Fortnightly_Model!$B$2:$B$15,0)),0),IFERROR(INDEX(Fortnightly_Model!$D$2:$D$15,MATCH(G249,Fortnightly_Model!$B$2:$B$15,0)),0)),0))))))</f>
        <v>1.0714285499999999E-3</v>
      </c>
      <c r="M245" s="27">
        <f>IF(VLOOKUP($A245,Calendar!$A$1:$R$1377,18,0)=0,0,IF(VLOOKUP($A245,Calendar!$A$1:$R$1377,18,0)=1,IFERROR(INDEX(FourWeekly_Model!$D$2:$D$29,MATCH(H245,FourWeekly_Model!$B$2:$B$29,0)),0),IF(VLOOKUP($A245,Calendar!$A$1:$R$1377,18,0)=2,SUM(IFERROR(INDEX(FourWeekly_Model!$D$2:$D$29,MATCH(H245,FourWeekly_Model!$B$2:$B$29,0)),0),IFERROR(INDEX(FourWeekly_Model!$D$2:$D$29,MATCH(H246,FourWeekly_Model!$B$2:$B$29,0)),0)),IF(VLOOKUP($A245,Calendar!$A$1:$R$1377,18,0)=3,SUM(IFERROR(INDEX(FourWeekly_Model!$D$2:$D$29,MATCH(H245,FourWeekly_Model!$B$2:$B$29,0)),0),IFERROR(INDEX(FourWeekly_Model!$D$2:$D$29,MATCH(H246,FourWeekly_Model!$B$2:$B$29,0)),0),IFERROR(INDEX(FourWeekly_Model!$D$2:$D$29,MATCH(H247,FourWeekly_Model!$B$2:$B$29,0)),0)),IF(VLOOKUP($A245,Calendar!$A$1:$R$1377,18,0)=4,SUM(IFERROR(INDEX(FourWeekly_Model!$D$2:$D$29,MATCH(H245,FourWeekly_Model!$B$2:$B$29,0)),0),IFERROR(INDEX(FourWeekly_Model!$D$2:$D$29,MATCH(H246,FourWeekly_Model!$B$2:$B$29,0)),0),IFERROR(INDEX(FourWeekly_Model!$D$2:$D$29,MATCH(H247,FourWeekly_Model!$B$2:$B$29,0)),0),IFERROR(INDEX(FourWeekly_Model!$D$2:$D$29,MATCH(H248,FourWeekly_Model!$B$2:$B$29,0)),0)),IF(VLOOKUP($A245,Calendar!$A$1:$R$1377,18,0)=5,SUM(IFERROR(INDEX(FourWeekly_Model!$D$2:$D$29,MATCH(H245,FourWeekly_Model!$B$2:$B$29,0)),0),IFERROR(INDEX(FourWeekly_Model!$D$2:$D$29,MATCH(H246,FourWeekly_Model!$B$2:$B$29,0)),0),IFERROR(INDEX(FourWeekly_Model!$D$2:$D$29,MATCH(H247,FourWeekly_Model!$B$2:$B$29,0)),0),IFERROR(INDEX(FourWeekly_Model!$D$2:$D$29,MATCH(H248,FourWeekly_Model!$B$2:$B$29,0)),0),IFERROR(INDEX(FourWeekly_Model!$D$2:$D$29,MATCH(H249,FourWeekly_Model!$B$2:$B$29,0)),0)),0))))))</f>
        <v>3.3214289700000004E-3</v>
      </c>
      <c r="N245" s="27">
        <f>SUM(I245:M245)</f>
        <v>3.1655684745130891E-2</v>
      </c>
      <c r="O245" s="28">
        <f>Population_Data!$B$8*N245</f>
        <v>959167.24777746596</v>
      </c>
      <c r="P245" s="27">
        <f>IF(VLOOKUP($A245,Calendar!$A$1:$R$1377,18,0)=0,0,IF(VLOOKUP($A245,Calendar!$A$1:$R$1377,18,0)=1,IFERROR(INDEX(Pension_Model!$D$2:$D$29,MATCH(H245,Pension_Model!$B$2:$B$29,0)),0),IF(VLOOKUP($A245,Calendar!$A$1:$R$1377,18,0)=2,SUM(IFERROR(INDEX(Pension_Model!$D$2:$D$29,MATCH(H245,Pension_Model!$B$2:$B$29,0)),0),IFERROR(INDEX(Pension_Model!$D$2:$D$29,MATCH(H246,Pension_Model!$B$2:$B$29,0)),0)),IF(VLOOKUP($A245,Calendar!$A$1:$R$1377,18,0)=3,SUM(IFERROR(INDEX(Pension_Model!$D$2:$D$29,MATCH(H245,Pension_Model!$B$2:$B$29,0)),0),IFERROR(INDEX(Pension_Model!$D$2:$D$29,MATCH(H246,Pension_Model!$B$2:$B$29,0)),0),IFERROR(INDEX(Pension_Model!$D$2:$D$29,MATCH(H247,Pension_Model!$B$2:$B$29,0)),0)),IF(VLOOKUP($A245,Calendar!$A$1:$R$1377,18,0)=4,SUM(IFERROR(INDEX(Pension_Model!$D$2:$D$29,MATCH(H245,Pension_Model!$B$2:$B$29,0)),0),IFERROR(INDEX(Pension_Model!$D$2:$D$29,MATCH(H246,Pension_Model!$B$2:$B$29,0)),0),IFERROR(INDEX(Pension_Model!$D$2:$D$29,MATCH(H247,Pension_Model!$B$2:$B$29,0)),0),IFERROR(INDEX(Pension_Model!$D$2:$D$29,MATCH(H248,Pension_Model!$B$2:$B$29,0)),0)),IF(VLOOKUP($A245,Calendar!$A$1:$R$1377,18,0)=5,SUM(IFERROR(INDEX(Pension_Model!$D$2:$D$29,MATCH(H245,Pension_Model!$B$2:$B$29,0)),0),IFERROR(INDEX(Pension_Model!$D$2:$D$29,MATCH(H246,Pension_Model!$B$2:$B$29,0)),0),IFERROR(INDEX(Pension_Model!$D$2:$D$29,MATCH(H247,Pension_Model!$B$2:$B$29,0)),0),IFERROR(INDEX(Pension_Model!$D$2:$D$29,MATCH(H248,Pension_Model!$B$2:$B$29,0)),0),IFERROR(INDEX(Pension_Model!$D$2:$D$29,MATCH(H249,Pension_Model!$B$2:$B$29,0)),0)),0))))))</f>
        <v>0.05</v>
      </c>
      <c r="Q245" s="28">
        <f>Population_Data!$B$15*P245</f>
        <v>660600</v>
      </c>
      <c r="S245">
        <f t="shared" si="3"/>
        <v>1619767.247777466</v>
      </c>
      <c r="U245" s="33">
        <f>S245/Population_Data!$B$19</f>
        <v>2.9343609561185979E-2</v>
      </c>
    </row>
    <row r="246" spans="1:21">
      <c r="A246" s="25">
        <f>Calendar!A246</f>
        <v>46479</v>
      </c>
      <c r="B246" t="str">
        <f>Calendar!L246</f>
        <v>Yes</v>
      </c>
      <c r="C246" t="str">
        <f>Calendar!O246</f>
        <v>No</v>
      </c>
      <c r="D246" t="str">
        <f>Calendar!P246</f>
        <v>No</v>
      </c>
      <c r="E246" t="str">
        <f>Calendar!Q246</f>
        <v>No</v>
      </c>
      <c r="F246" t="str">
        <f>Calendar!I246</f>
        <v>Friday</v>
      </c>
      <c r="G246">
        <f>Calendar!S246</f>
        <v>13</v>
      </c>
      <c r="H246">
        <f>Calendar!T246</f>
        <v>27</v>
      </c>
      <c r="I246" s="27">
        <f>IF(VLOOKUP(A246,Calendar!$A$1:$R$1377,18,0)=0,0,IF(VLOOKUP(A246,Calendar!$A$1:$R$1377,18,0)=1,INDEX(Monthly_Pay_Model!$A$9:$D$40,MATCH(TEXT(A246,"dd"),Monthly_Pay_Model!$C$9:$C$39,0),4),IF(VLOOKUP(A246,Calendar!$A$1:$R$1377,18,0)=2,SUM(INDEX(Monthly_Pay_Model!$A$9:$D$40,MATCH(TEXT(A246,"dd"),Monthly_Pay_Model!$C$9:$C$39,0),4),INDEX(Monthly_Pay_Model!$A$9:$D$40,MATCH(TEXT(A247,"dd"),Monthly_Pay_Model!$C$9:$C$39,0),4)),IF(VLOOKUP(A246,Calendar!$A$1:$R$1377,18,0)=3,SUM(INDEX(Monthly_Pay_Model!$A$9:$D$40,MATCH(TEXT(A246,"dd"),Monthly_Pay_Model!$C$9:$C$39,0),4),INDEX(Monthly_Pay_Model!$A$9:$D$40,MATCH(TEXT(A247,"dd"),Monthly_Pay_Model!$C$9:$C$39,0),4),INDEX(Monthly_Pay_Model!$A$9:$D$40,MATCH(TEXT(A248,"dd"),Monthly_Pay_Model!$C$9:$C$39,0),4)),IF(VLOOKUP(A246,Calendar!$A$1:$R$1377,18,0)=4,SUM(INDEX(Monthly_Pay_Model!$A$9:$D$40,MATCH(TEXT(A246,"dd"),Monthly_Pay_Model!$C$9:$C$39,0),4),INDEX(Monthly_Pay_Model!$A$9:$D$40,MATCH(TEXT(A247,"dd"),Monthly_Pay_Model!$C$9:$C$39,0),4),INDEX(Monthly_Pay_Model!$A$9:$D$40,MATCH(TEXT(A248,"dd"),Monthly_Pay_Model!$C$9:$C$39,0),4),INDEX(Monthly_Pay_Model!$A$9:$D$40,MATCH(TEXT(A249,"dd"),Monthly_Pay_Model!$C$9:$C$39,0),4)),IF(VLOOKUP(A246,Calendar!$A$1:$R$1377,18,0)=5,SUM(INDEX(Monthly_Pay_Model!$A$9:$D$40,MATCH(TEXT(A246,"dd"),Monthly_Pay_Model!$C$9:$C$39,0),4),INDEX(Monthly_Pay_Model!$A$9:$D$40,MATCH(TEXT(A247,"dd"),Monthly_Pay_Model!$C$9:$C$39,0),4),INDEX(Monthly_Pay_Model!$A$9:$D$40,MATCH(TEXT(A248,"dd"),Monthly_Pay_Model!$C$9:$C$39,0),4),INDEX(Monthly_Pay_Model!$A$9:$D$40,MATCH(TEXT(A249,"dd"),Monthly_Pay_Model!$C$9:$C$39,0),4),INDEX(Monthly_Pay_Model!$A$9:$D$40,MATCH(TEXT(A250,"dd"),Monthly_Pay_Model!$C$9:$C$39,0),4)),))))))</f>
        <v>2.437696335078534E-3</v>
      </c>
      <c r="J246" s="33">
        <f>IF(C246="Yes",Monthly_Pay_Model!$D$2,0)
+IF(Calendar!N246="Yes",Monthly_Pay_Model!$D$3,0)
+IF(D246="Yes",Monthly_Pay_Model!$D$4,0)
+IF(E246="Yes",Monthly_Pay_Model!$D$5,0)</f>
        <v>0</v>
      </c>
      <c r="K246" s="27">
        <f>IF(VLOOKUP($A246,Calendar!$A$1:$R$1377,18,0)=0,0,IF(VLOOKUP($A246,Calendar!$A$1:$R$1377,18,0)=1,IFERROR(INDEX(Weekly_Model!$D$2:$D$9,MATCH(F246,Weekly_Model!$A$2:$A$9,0)),0),IF(VLOOKUP($A246,Calendar!$A$1:$R$1377,18,0)=2,SUM(IFERROR(INDEX(Weekly_Model!$D$2:$D$9,MATCH(F246,Weekly_Model!$A$2:$A$9,0)),0),IFERROR(INDEX(Weekly_Model!$D$2:$D$9,MATCH(F247,Weekly_Model!$A$2:$A$9,0)),0)),IF(VLOOKUP($A246,Calendar!$A$1:$R$1377,18,0)=3,SUM(IFERROR(INDEX(Weekly_Model!$D$2:$D$9,MATCH(F246,Weekly_Model!$A$2:$A$9,0)),0),IFERROR(INDEX(Weekly_Model!$D$2:$D$9,MATCH(F247,Weekly_Model!$A$2:$A$9,0)),0),IFERROR(INDEX(Weekly_Model!$D$2:$D$9,MATCH(F248,Weekly_Model!$A$2:$A$9,0)),0)),IF(VLOOKUP($A246,Calendar!$A$1:$R$1377,18,0)=4,SUM(IFERROR(INDEX(Weekly_Model!$D$2:$D$9,MATCH(F246,Weekly_Model!$A$2:$A$9,0)),0),IFERROR(INDEX(Weekly_Model!$D$2:$D$9,MATCH(F247,Weekly_Model!$A$2:$A$9,0)),0),IFERROR(INDEX(Weekly_Model!$D$2:$D$9,MATCH(F248,Weekly_Model!$A$2:$A$9,0)),0),IFERROR(INDEX(Weekly_Model!$D$2:$D$9,MATCH(F249,Weekly_Model!$A$2:$A$9,0)),0)),IF(VLOOKUP($A246,Calendar!$A$1:$R$1377,18,0)=5,SUM(IFERROR(INDEX(Weekly_Model!$D$2:$D$9,MATCH(F246,Weekly_Model!$A$2:$A$9,0)),0),IFERROR(INDEX(Weekly_Model!$D$2:$D$9,MATCH(F247,Weekly_Model!$A$2:$A$9,0)),0),IFERROR(INDEX(Weekly_Model!$D$2:$D$9,MATCH(F248,Weekly_Model!$A$2:$A$9,0)),0),IFERROR(INDEX(Weekly_Model!$D$2:$D$9,MATCH(F249,Weekly_Model!$A$2:$A$9,0)),0),IFERROR(INDEX(Weekly_Model!$D$2:$D$9,MATCH(F250,Weekly_Model!$A$2:$A$9,0)),0)),0))))))</f>
        <v>2.3200000000000002E-2</v>
      </c>
      <c r="L246" s="27">
        <f>IF(VLOOKUP($A246,Calendar!$A$1:$R$1377,18,0)=0,0,IF(VLOOKUP($A246,Calendar!$A$1:$R$1377,18,0)=1,IFERROR(INDEX(Fortnightly_Model!$D$2:$D$15,MATCH(G246,Fortnightly_Model!$B$2:$B$15,0)),0),IF(VLOOKUP($A246,Calendar!$A$1:$R$1377,18,0)=2,SUM(IFERROR(INDEX(Fortnightly_Model!$D$2:$D$15,MATCH(G246,Fortnightly_Model!$B$2:$B$15,0)),0),IFERROR(INDEX(Fortnightly_Model!$D$2:$D$15,MATCH(G247,Fortnightly_Model!$B$2:$B$15,0)),0)),IF(VLOOKUP($A246,Calendar!$A$1:$R$1377,18,0)=3,SUM(IFERROR(INDEX(Fortnightly_Model!$D$2:$D$15,MATCH(G246,Fortnightly_Model!$B$2:$B$15,0)),0),IFERROR(INDEX(Fortnightly_Model!$D$2:$D$15,MATCH(G247,Fortnightly_Model!$B$2:$B$15,0)),0),IFERROR(INDEX(Fortnightly_Model!$D$2:$D$15,MATCH(G248,Fortnightly_Model!$B$2:$B$15,0)),0)),IF(VLOOKUP($A246,Calendar!$A$1:$R$1377,18,0)=4,SUM(IFERROR(INDEX(Fortnightly_Model!$D$2:$D$15,MATCH(G246,Fortnightly_Model!$B$2:$B$15,0)),0),IFERROR(INDEX(Fortnightly_Model!$D$2:$D$15,MATCH(G247,Fortnightly_Model!$B$2:$B$15,0)),0),IFERROR(INDEX(Fortnightly_Model!$D$2:$D$15,MATCH(G248,Fortnightly_Model!$B$2:$B$15,0)),0),IFERROR(INDEX(Fortnightly_Model!$D$2:$D$15,MATCH(G249,Fortnightly_Model!$B$2:$B$15,0)),0)),IF(VLOOKUP($A246,Calendar!$A$1:$R$1377,18,0)=5,SUM(IFERROR(INDEX(Fortnightly_Model!$D$2:$D$15,MATCH(G246,Fortnightly_Model!$B$2:$B$15,0)),0),IFERROR(INDEX(Fortnightly_Model!$D$2:$D$15,MATCH(G247,Fortnightly_Model!$B$2:$B$15,0)),0),IFERROR(INDEX(Fortnightly_Model!$D$2:$D$15,MATCH(G248,Fortnightly_Model!$B$2:$B$15,0)),0),IFERROR(INDEX(Fortnightly_Model!$D$2:$D$15,MATCH(G249,Fortnightly_Model!$B$2:$B$15,0)),0),IFERROR(INDEX(Fortnightly_Model!$D$2:$D$15,MATCH(G250,Fortnightly_Model!$B$2:$B$15,0)),0)),0))))))</f>
        <v>3.2142856499999999E-3</v>
      </c>
      <c r="M246" s="27">
        <f>IF(VLOOKUP($A246,Calendar!$A$1:$R$1377,18,0)=0,0,IF(VLOOKUP($A246,Calendar!$A$1:$R$1377,18,0)=1,IFERROR(INDEX(FourWeekly_Model!$D$2:$D$29,MATCH(H246,FourWeekly_Model!$B$2:$B$29,0)),0),IF(VLOOKUP($A246,Calendar!$A$1:$R$1377,18,0)=2,SUM(IFERROR(INDEX(FourWeekly_Model!$D$2:$D$29,MATCH(H246,FourWeekly_Model!$B$2:$B$29,0)),0),IFERROR(INDEX(FourWeekly_Model!$D$2:$D$29,MATCH(H247,FourWeekly_Model!$B$2:$B$29,0)),0)),IF(VLOOKUP($A246,Calendar!$A$1:$R$1377,18,0)=3,SUM(IFERROR(INDEX(FourWeekly_Model!$D$2:$D$29,MATCH(H246,FourWeekly_Model!$B$2:$B$29,0)),0),IFERROR(INDEX(FourWeekly_Model!$D$2:$D$29,MATCH(H247,FourWeekly_Model!$B$2:$B$29,0)),0),IFERROR(INDEX(FourWeekly_Model!$D$2:$D$29,MATCH(H248,FourWeekly_Model!$B$2:$B$29,0)),0)),IF(VLOOKUP($A246,Calendar!$A$1:$R$1377,18,0)=4,SUM(IFERROR(INDEX(FourWeekly_Model!$D$2:$D$29,MATCH(H246,FourWeekly_Model!$B$2:$B$29,0)),0),IFERROR(INDEX(FourWeekly_Model!$D$2:$D$29,MATCH(H247,FourWeekly_Model!$B$2:$B$29,0)),0),IFERROR(INDEX(FourWeekly_Model!$D$2:$D$29,MATCH(H248,FourWeekly_Model!$B$2:$B$29,0)),0),IFERROR(INDEX(FourWeekly_Model!$D$2:$D$29,MATCH(H249,FourWeekly_Model!$B$2:$B$29,0)),0)),IF(VLOOKUP($A246,Calendar!$A$1:$R$1377,18,0)=5,SUM(IFERROR(INDEX(FourWeekly_Model!$D$2:$D$29,MATCH(H246,FourWeekly_Model!$B$2:$B$29,0)),0),IFERROR(INDEX(FourWeekly_Model!$D$2:$D$29,MATCH(H247,FourWeekly_Model!$B$2:$B$29,0)),0),IFERROR(INDEX(FourWeekly_Model!$D$2:$D$29,MATCH(H248,FourWeekly_Model!$B$2:$B$29,0)),0),IFERROR(INDEX(FourWeekly_Model!$D$2:$D$29,MATCH(H249,FourWeekly_Model!$B$2:$B$29,0)),0),IFERROR(INDEX(FourWeekly_Model!$D$2:$D$29,MATCH(H250,FourWeekly_Model!$B$2:$B$29,0)),0)),0))))))</f>
        <v>9.9642859800000011E-3</v>
      </c>
      <c r="N246" s="27">
        <f>SUM(I246:M246)</f>
        <v>3.8816267965078532E-2</v>
      </c>
      <c r="O246" s="28">
        <f>Population_Data!$B$8*N246</f>
        <v>1176132.9193418794</v>
      </c>
      <c r="P246" s="27">
        <f>IF(VLOOKUP($A246,Calendar!$A$1:$R$1377,18,0)=0,0,IF(VLOOKUP($A246,Calendar!$A$1:$R$1377,18,0)=1,IFERROR(INDEX(Pension_Model!$D$2:$D$29,MATCH(H246,Pension_Model!$B$2:$B$29,0)),0),IF(VLOOKUP($A246,Calendar!$A$1:$R$1377,18,0)=2,SUM(IFERROR(INDEX(Pension_Model!$D$2:$D$29,MATCH(H246,Pension_Model!$B$2:$B$29,0)),0),IFERROR(INDEX(Pension_Model!$D$2:$D$29,MATCH(H247,Pension_Model!$B$2:$B$29,0)),0)),IF(VLOOKUP($A246,Calendar!$A$1:$R$1377,18,0)=3,SUM(IFERROR(INDEX(Pension_Model!$D$2:$D$29,MATCH(H246,Pension_Model!$B$2:$B$29,0)),0),IFERROR(INDEX(Pension_Model!$D$2:$D$29,MATCH(H247,Pension_Model!$B$2:$B$29,0)),0),IFERROR(INDEX(Pension_Model!$D$2:$D$29,MATCH(H248,Pension_Model!$B$2:$B$29,0)),0)),IF(VLOOKUP($A246,Calendar!$A$1:$R$1377,18,0)=4,SUM(IFERROR(INDEX(Pension_Model!$D$2:$D$29,MATCH(H246,Pension_Model!$B$2:$B$29,0)),0),IFERROR(INDEX(Pension_Model!$D$2:$D$29,MATCH(H247,Pension_Model!$B$2:$B$29,0)),0),IFERROR(INDEX(Pension_Model!$D$2:$D$29,MATCH(H248,Pension_Model!$B$2:$B$29,0)),0),IFERROR(INDEX(Pension_Model!$D$2:$D$29,MATCH(H249,Pension_Model!$B$2:$B$29,0)),0)),IF(VLOOKUP($A246,Calendar!$A$1:$R$1377,18,0)=5,SUM(IFERROR(INDEX(Pension_Model!$D$2:$D$29,MATCH(H246,Pension_Model!$B$2:$B$29,0)),0),IFERROR(INDEX(Pension_Model!$D$2:$D$29,MATCH(H247,Pension_Model!$B$2:$B$29,0)),0),IFERROR(INDEX(Pension_Model!$D$2:$D$29,MATCH(H248,Pension_Model!$B$2:$B$29,0)),0),IFERROR(INDEX(Pension_Model!$D$2:$D$29,MATCH(H249,Pension_Model!$B$2:$B$29,0)),0),IFERROR(INDEX(Pension_Model!$D$2:$D$29,MATCH(H250,Pension_Model!$B$2:$B$29,0)),0)),0))))))</f>
        <v>0.05</v>
      </c>
      <c r="Q246" s="28">
        <f>Population_Data!$B$15*P246</f>
        <v>660600</v>
      </c>
      <c r="S246">
        <f t="shared" si="3"/>
        <v>1836732.9193418794</v>
      </c>
      <c r="U246" s="33">
        <f>S246/Population_Data!$B$19</f>
        <v>3.32741470895268E-2</v>
      </c>
    </row>
    <row r="247" spans="1:21">
      <c r="A247" s="25">
        <f>Calendar!A247</f>
        <v>46480</v>
      </c>
      <c r="B247" t="str">
        <f>Calendar!L247</f>
        <v>No</v>
      </c>
      <c r="C247" t="str">
        <f>Calendar!O247</f>
        <v>No</v>
      </c>
      <c r="D247" t="str">
        <f>Calendar!P247</f>
        <v>No</v>
      </c>
      <c r="E247" t="str">
        <f>Calendar!Q247</f>
        <v>No</v>
      </c>
      <c r="F247" t="str">
        <f>Calendar!I247</f>
        <v>Saturday</v>
      </c>
      <c r="G247">
        <f>Calendar!S247</f>
        <v>0</v>
      </c>
      <c r="H247">
        <f>Calendar!T247</f>
        <v>0</v>
      </c>
      <c r="I247" s="27">
        <f>IF(VLOOKUP(A247,Calendar!$A$1:$R$1377,18,0)=0,0,IF(VLOOKUP(A247,Calendar!$A$1:$R$1377,18,0)=1,INDEX(Monthly_Pay_Model!$A$9:$D$40,MATCH(TEXT(A247,"dd"),Monthly_Pay_Model!$C$9:$C$39,0),4),IF(VLOOKUP(A247,Calendar!$A$1:$R$1377,18,0)=2,SUM(INDEX(Monthly_Pay_Model!$A$9:$D$40,MATCH(TEXT(A247,"dd"),Monthly_Pay_Model!$C$9:$C$39,0),4),INDEX(Monthly_Pay_Model!$A$9:$D$40,MATCH(TEXT(A248,"dd"),Monthly_Pay_Model!$C$9:$C$39,0),4)),IF(VLOOKUP(A247,Calendar!$A$1:$R$1377,18,0)=3,SUM(INDEX(Monthly_Pay_Model!$A$9:$D$40,MATCH(TEXT(A247,"dd"),Monthly_Pay_Model!$C$9:$C$39,0),4),INDEX(Monthly_Pay_Model!$A$9:$D$40,MATCH(TEXT(A248,"dd"),Monthly_Pay_Model!$C$9:$C$39,0),4),INDEX(Monthly_Pay_Model!$A$9:$D$40,MATCH(TEXT(A249,"dd"),Monthly_Pay_Model!$C$9:$C$39,0),4)),IF(VLOOKUP(A247,Calendar!$A$1:$R$1377,18,0)=4,SUM(INDEX(Monthly_Pay_Model!$A$9:$D$40,MATCH(TEXT(A247,"dd"),Monthly_Pay_Model!$C$9:$C$39,0),4),INDEX(Monthly_Pay_Model!$A$9:$D$40,MATCH(TEXT(A248,"dd"),Monthly_Pay_Model!$C$9:$C$39,0),4),INDEX(Monthly_Pay_Model!$A$9:$D$40,MATCH(TEXT(A249,"dd"),Monthly_Pay_Model!$C$9:$C$39,0),4),INDEX(Monthly_Pay_Model!$A$9:$D$40,MATCH(TEXT(A250,"dd"),Monthly_Pay_Model!$C$9:$C$39,0),4)),IF(VLOOKUP(A247,Calendar!$A$1:$R$1377,18,0)=5,SUM(INDEX(Monthly_Pay_Model!$A$9:$D$40,MATCH(TEXT(A247,"dd"),Monthly_Pay_Model!$C$9:$C$39,0),4),INDEX(Monthly_Pay_Model!$A$9:$D$40,MATCH(TEXT(A248,"dd"),Monthly_Pay_Model!$C$9:$C$39,0),4),INDEX(Monthly_Pay_Model!$A$9:$D$40,MATCH(TEXT(A249,"dd"),Monthly_Pay_Model!$C$9:$C$39,0),4),INDEX(Monthly_Pay_Model!$A$9:$D$40,MATCH(TEXT(A250,"dd"),Monthly_Pay_Model!$C$9:$C$39,0),4),INDEX(Monthly_Pay_Model!$A$9:$D$40,MATCH(TEXT(A251,"dd"),Monthly_Pay_Model!$C$9:$C$39,0),4)),))))))</f>
        <v>0</v>
      </c>
      <c r="J247" s="33">
        <f>IF(C247="Yes",Monthly_Pay_Model!$D$2,0)
+IF(Calendar!N247="Yes",Monthly_Pay_Model!$D$3,0)
+IF(D247="Yes",Monthly_Pay_Model!$D$4,0)
+IF(E247="Yes",Monthly_Pay_Model!$D$5,0)</f>
        <v>0</v>
      </c>
      <c r="K247" s="27">
        <f>IF(VLOOKUP($A247,Calendar!$A$1:$R$1377,18,0)=0,0,IF(VLOOKUP($A247,Calendar!$A$1:$R$1377,18,0)=1,IFERROR(INDEX(Weekly_Model!$D$2:$D$9,MATCH(F247,Weekly_Model!$A$2:$A$9,0)),0),IF(VLOOKUP($A247,Calendar!$A$1:$R$1377,18,0)=2,SUM(IFERROR(INDEX(Weekly_Model!$D$2:$D$9,MATCH(F247,Weekly_Model!$A$2:$A$9,0)),0),IFERROR(INDEX(Weekly_Model!$D$2:$D$9,MATCH(F248,Weekly_Model!$A$2:$A$9,0)),0)),IF(VLOOKUP($A247,Calendar!$A$1:$R$1377,18,0)=3,SUM(IFERROR(INDEX(Weekly_Model!$D$2:$D$9,MATCH(F247,Weekly_Model!$A$2:$A$9,0)),0),IFERROR(INDEX(Weekly_Model!$D$2:$D$9,MATCH(F248,Weekly_Model!$A$2:$A$9,0)),0),IFERROR(INDEX(Weekly_Model!$D$2:$D$9,MATCH(F249,Weekly_Model!$A$2:$A$9,0)),0)),IF(VLOOKUP($A247,Calendar!$A$1:$R$1377,18,0)=4,SUM(IFERROR(INDEX(Weekly_Model!$D$2:$D$9,MATCH(F247,Weekly_Model!$A$2:$A$9,0)),0),IFERROR(INDEX(Weekly_Model!$D$2:$D$9,MATCH(F248,Weekly_Model!$A$2:$A$9,0)),0),IFERROR(INDEX(Weekly_Model!$D$2:$D$9,MATCH(F249,Weekly_Model!$A$2:$A$9,0)),0),IFERROR(INDEX(Weekly_Model!$D$2:$D$9,MATCH(F250,Weekly_Model!$A$2:$A$9,0)),0)),IF(VLOOKUP($A247,Calendar!$A$1:$R$1377,18,0)=5,SUM(IFERROR(INDEX(Weekly_Model!$D$2:$D$9,MATCH(F247,Weekly_Model!$A$2:$A$9,0)),0),IFERROR(INDEX(Weekly_Model!$D$2:$D$9,MATCH(F248,Weekly_Model!$A$2:$A$9,0)),0),IFERROR(INDEX(Weekly_Model!$D$2:$D$9,MATCH(F249,Weekly_Model!$A$2:$A$9,0)),0),IFERROR(INDEX(Weekly_Model!$D$2:$D$9,MATCH(F250,Weekly_Model!$A$2:$A$9,0)),0),IFERROR(INDEX(Weekly_Model!$D$2:$D$9,MATCH(F251,Weekly_Model!$A$2:$A$9,0)),0)),0))))))</f>
        <v>0</v>
      </c>
      <c r="L247" s="27">
        <f>IF(VLOOKUP($A247,Calendar!$A$1:$R$1377,18,0)=0,0,IF(VLOOKUP($A247,Calendar!$A$1:$R$1377,18,0)=1,IFERROR(INDEX(Fortnightly_Model!$D$2:$D$15,MATCH(G247,Fortnightly_Model!$B$2:$B$15,0)),0),IF(VLOOKUP($A247,Calendar!$A$1:$R$1377,18,0)=2,SUM(IFERROR(INDEX(Fortnightly_Model!$D$2:$D$15,MATCH(G247,Fortnightly_Model!$B$2:$B$15,0)),0),IFERROR(INDEX(Fortnightly_Model!$D$2:$D$15,MATCH(G248,Fortnightly_Model!$B$2:$B$15,0)),0)),IF(VLOOKUP($A247,Calendar!$A$1:$R$1377,18,0)=3,SUM(IFERROR(INDEX(Fortnightly_Model!$D$2:$D$15,MATCH(G247,Fortnightly_Model!$B$2:$B$15,0)),0),IFERROR(INDEX(Fortnightly_Model!$D$2:$D$15,MATCH(G248,Fortnightly_Model!$B$2:$B$15,0)),0),IFERROR(INDEX(Fortnightly_Model!$D$2:$D$15,MATCH(G249,Fortnightly_Model!$B$2:$B$15,0)),0)),IF(VLOOKUP($A247,Calendar!$A$1:$R$1377,18,0)=4,SUM(IFERROR(INDEX(Fortnightly_Model!$D$2:$D$15,MATCH(G247,Fortnightly_Model!$B$2:$B$15,0)),0),IFERROR(INDEX(Fortnightly_Model!$D$2:$D$15,MATCH(G248,Fortnightly_Model!$B$2:$B$15,0)),0),IFERROR(INDEX(Fortnightly_Model!$D$2:$D$15,MATCH(G249,Fortnightly_Model!$B$2:$B$15,0)),0),IFERROR(INDEX(Fortnightly_Model!$D$2:$D$15,MATCH(G250,Fortnightly_Model!$B$2:$B$15,0)),0)),IF(VLOOKUP($A247,Calendar!$A$1:$R$1377,18,0)=5,SUM(IFERROR(INDEX(Fortnightly_Model!$D$2:$D$15,MATCH(G247,Fortnightly_Model!$B$2:$B$15,0)),0),IFERROR(INDEX(Fortnightly_Model!$D$2:$D$15,MATCH(G248,Fortnightly_Model!$B$2:$B$15,0)),0),IFERROR(INDEX(Fortnightly_Model!$D$2:$D$15,MATCH(G249,Fortnightly_Model!$B$2:$B$15,0)),0),IFERROR(INDEX(Fortnightly_Model!$D$2:$D$15,MATCH(G250,Fortnightly_Model!$B$2:$B$15,0)),0),IFERROR(INDEX(Fortnightly_Model!$D$2:$D$15,MATCH(G251,Fortnightly_Model!$B$2:$B$15,0)),0)),0))))))</f>
        <v>0</v>
      </c>
      <c r="M247" s="27">
        <f>IF(VLOOKUP($A247,Calendar!$A$1:$R$1377,18,0)=0,0,IF(VLOOKUP($A247,Calendar!$A$1:$R$1377,18,0)=1,IFERROR(INDEX(FourWeekly_Model!$D$2:$D$29,MATCH(H247,FourWeekly_Model!$B$2:$B$29,0)),0),IF(VLOOKUP($A247,Calendar!$A$1:$R$1377,18,0)=2,SUM(IFERROR(INDEX(FourWeekly_Model!$D$2:$D$29,MATCH(H247,FourWeekly_Model!$B$2:$B$29,0)),0),IFERROR(INDEX(FourWeekly_Model!$D$2:$D$29,MATCH(H248,FourWeekly_Model!$B$2:$B$29,0)),0)),IF(VLOOKUP($A247,Calendar!$A$1:$R$1377,18,0)=3,SUM(IFERROR(INDEX(FourWeekly_Model!$D$2:$D$29,MATCH(H247,FourWeekly_Model!$B$2:$B$29,0)),0),IFERROR(INDEX(FourWeekly_Model!$D$2:$D$29,MATCH(H248,FourWeekly_Model!$B$2:$B$29,0)),0),IFERROR(INDEX(FourWeekly_Model!$D$2:$D$29,MATCH(H249,FourWeekly_Model!$B$2:$B$29,0)),0)),IF(VLOOKUP($A247,Calendar!$A$1:$R$1377,18,0)=4,SUM(IFERROR(INDEX(FourWeekly_Model!$D$2:$D$29,MATCH(H247,FourWeekly_Model!$B$2:$B$29,0)),0),IFERROR(INDEX(FourWeekly_Model!$D$2:$D$29,MATCH(H248,FourWeekly_Model!$B$2:$B$29,0)),0),IFERROR(INDEX(FourWeekly_Model!$D$2:$D$29,MATCH(H249,FourWeekly_Model!$B$2:$B$29,0)),0),IFERROR(INDEX(FourWeekly_Model!$D$2:$D$29,MATCH(H250,FourWeekly_Model!$B$2:$B$29,0)),0)),IF(VLOOKUP($A247,Calendar!$A$1:$R$1377,18,0)=5,SUM(IFERROR(INDEX(FourWeekly_Model!$D$2:$D$29,MATCH(H247,FourWeekly_Model!$B$2:$B$29,0)),0),IFERROR(INDEX(FourWeekly_Model!$D$2:$D$29,MATCH(H248,FourWeekly_Model!$B$2:$B$29,0)),0),IFERROR(INDEX(FourWeekly_Model!$D$2:$D$29,MATCH(H249,FourWeekly_Model!$B$2:$B$29,0)),0),IFERROR(INDEX(FourWeekly_Model!$D$2:$D$29,MATCH(H250,FourWeekly_Model!$B$2:$B$29,0)),0),IFERROR(INDEX(FourWeekly_Model!$D$2:$D$29,MATCH(H251,FourWeekly_Model!$B$2:$B$29,0)),0)),0))))))</f>
        <v>0</v>
      </c>
      <c r="N247" s="27">
        <f>SUM(I247:M247)</f>
        <v>0</v>
      </c>
      <c r="O247" s="28">
        <f>Population_Data!$B$8*N247</f>
        <v>0</v>
      </c>
      <c r="P247" s="27">
        <f>IF(VLOOKUP($A247,Calendar!$A$1:$R$1377,18,0)=0,0,IF(VLOOKUP($A247,Calendar!$A$1:$R$1377,18,0)=1,IFERROR(INDEX(Pension_Model!$D$2:$D$29,MATCH(H247,Pension_Model!$B$2:$B$29,0)),0),IF(VLOOKUP($A247,Calendar!$A$1:$R$1377,18,0)=2,SUM(IFERROR(INDEX(Pension_Model!$D$2:$D$29,MATCH(H247,Pension_Model!$B$2:$B$29,0)),0),IFERROR(INDEX(Pension_Model!$D$2:$D$29,MATCH(H248,Pension_Model!$B$2:$B$29,0)),0)),IF(VLOOKUP($A247,Calendar!$A$1:$R$1377,18,0)=3,SUM(IFERROR(INDEX(Pension_Model!$D$2:$D$29,MATCH(H247,Pension_Model!$B$2:$B$29,0)),0),IFERROR(INDEX(Pension_Model!$D$2:$D$29,MATCH(H248,Pension_Model!$B$2:$B$29,0)),0),IFERROR(INDEX(Pension_Model!$D$2:$D$29,MATCH(H249,Pension_Model!$B$2:$B$29,0)),0)),IF(VLOOKUP($A247,Calendar!$A$1:$R$1377,18,0)=4,SUM(IFERROR(INDEX(Pension_Model!$D$2:$D$29,MATCH(H247,Pension_Model!$B$2:$B$29,0)),0),IFERROR(INDEX(Pension_Model!$D$2:$D$29,MATCH(H248,Pension_Model!$B$2:$B$29,0)),0),IFERROR(INDEX(Pension_Model!$D$2:$D$29,MATCH(H249,Pension_Model!$B$2:$B$29,0)),0),IFERROR(INDEX(Pension_Model!$D$2:$D$29,MATCH(H250,Pension_Model!$B$2:$B$29,0)),0)),IF(VLOOKUP($A247,Calendar!$A$1:$R$1377,18,0)=5,SUM(IFERROR(INDEX(Pension_Model!$D$2:$D$29,MATCH(H247,Pension_Model!$B$2:$B$29,0)),0),IFERROR(INDEX(Pension_Model!$D$2:$D$29,MATCH(H248,Pension_Model!$B$2:$B$29,0)),0),IFERROR(INDEX(Pension_Model!$D$2:$D$29,MATCH(H249,Pension_Model!$B$2:$B$29,0)),0),IFERROR(INDEX(Pension_Model!$D$2:$D$29,MATCH(H250,Pension_Model!$B$2:$B$29,0)),0),IFERROR(INDEX(Pension_Model!$D$2:$D$29,MATCH(H251,Pension_Model!$B$2:$B$29,0)),0)),0))))))</f>
        <v>0</v>
      </c>
      <c r="Q247" s="28">
        <f>Population_Data!$B$15*P247</f>
        <v>0</v>
      </c>
      <c r="S247">
        <f t="shared" si="3"/>
        <v>0</v>
      </c>
      <c r="U247" s="33">
        <f>S247/Population_Data!$B$19</f>
        <v>0</v>
      </c>
    </row>
    <row r="248" spans="1:21">
      <c r="A248" s="25">
        <f>Calendar!A248</f>
        <v>46481</v>
      </c>
      <c r="B248" t="str">
        <f>Calendar!L248</f>
        <v>No</v>
      </c>
      <c r="C248" t="str">
        <f>Calendar!O248</f>
        <v>No</v>
      </c>
      <c r="D248" t="str">
        <f>Calendar!P248</f>
        <v>No</v>
      </c>
      <c r="E248" t="str">
        <f>Calendar!Q248</f>
        <v>No</v>
      </c>
      <c r="F248" t="str">
        <f>Calendar!I248</f>
        <v>Sunday</v>
      </c>
      <c r="G248">
        <f>Calendar!S248</f>
        <v>1</v>
      </c>
      <c r="H248">
        <f>Calendar!T248</f>
        <v>1</v>
      </c>
      <c r="I248" s="27">
        <f>IF(VLOOKUP(A248,Calendar!$A$1:$R$1377,18,0)=0,0,IF(VLOOKUP(A248,Calendar!$A$1:$R$1377,18,0)=1,INDEX(Monthly_Pay_Model!$A$9:$D$40,MATCH(TEXT(A248,"dd"),Monthly_Pay_Model!$C$9:$C$39,0),4),IF(VLOOKUP(A248,Calendar!$A$1:$R$1377,18,0)=2,SUM(INDEX(Monthly_Pay_Model!$A$9:$D$40,MATCH(TEXT(A248,"dd"),Monthly_Pay_Model!$C$9:$C$39,0),4),INDEX(Monthly_Pay_Model!$A$9:$D$40,MATCH(TEXT(A249,"dd"),Monthly_Pay_Model!$C$9:$C$39,0),4)),IF(VLOOKUP(A248,Calendar!$A$1:$R$1377,18,0)=3,SUM(INDEX(Monthly_Pay_Model!$A$9:$D$40,MATCH(TEXT(A248,"dd"),Monthly_Pay_Model!$C$9:$C$39,0),4),INDEX(Monthly_Pay_Model!$A$9:$D$40,MATCH(TEXT(A249,"dd"),Monthly_Pay_Model!$C$9:$C$39,0),4),INDEX(Monthly_Pay_Model!$A$9:$D$40,MATCH(TEXT(A250,"dd"),Monthly_Pay_Model!$C$9:$C$39,0),4)),IF(VLOOKUP(A248,Calendar!$A$1:$R$1377,18,0)=4,SUM(INDEX(Monthly_Pay_Model!$A$9:$D$40,MATCH(TEXT(A248,"dd"),Monthly_Pay_Model!$C$9:$C$39,0),4),INDEX(Monthly_Pay_Model!$A$9:$D$40,MATCH(TEXT(A249,"dd"),Monthly_Pay_Model!$C$9:$C$39,0),4),INDEX(Monthly_Pay_Model!$A$9:$D$40,MATCH(TEXT(A250,"dd"),Monthly_Pay_Model!$C$9:$C$39,0),4),INDEX(Monthly_Pay_Model!$A$9:$D$40,MATCH(TEXT(A251,"dd"),Monthly_Pay_Model!$C$9:$C$39,0),4)),IF(VLOOKUP(A248,Calendar!$A$1:$R$1377,18,0)=5,SUM(INDEX(Monthly_Pay_Model!$A$9:$D$40,MATCH(TEXT(A248,"dd"),Monthly_Pay_Model!$C$9:$C$39,0),4),INDEX(Monthly_Pay_Model!$A$9:$D$40,MATCH(TEXT(A249,"dd"),Monthly_Pay_Model!$C$9:$C$39,0),4),INDEX(Monthly_Pay_Model!$A$9:$D$40,MATCH(TEXT(A250,"dd"),Monthly_Pay_Model!$C$9:$C$39,0),4),INDEX(Monthly_Pay_Model!$A$9:$D$40,MATCH(TEXT(A251,"dd"),Monthly_Pay_Model!$C$9:$C$39,0),4),INDEX(Monthly_Pay_Model!$A$9:$D$40,MATCH(TEXT(A252,"dd"),Monthly_Pay_Model!$C$9:$C$39,0),4)),))))))</f>
        <v>0</v>
      </c>
      <c r="J248" s="33">
        <f>IF(C248="Yes",Monthly_Pay_Model!$D$2,0)
+IF(Calendar!N248="Yes",Monthly_Pay_Model!$D$3,0)
+IF(D248="Yes",Monthly_Pay_Model!$D$4,0)
+IF(E248="Yes",Monthly_Pay_Model!$D$5,0)</f>
        <v>0</v>
      </c>
      <c r="K248" s="27">
        <f>IF(VLOOKUP($A248,Calendar!$A$1:$R$1377,18,0)=0,0,IF(VLOOKUP($A248,Calendar!$A$1:$R$1377,18,0)=1,IFERROR(INDEX(Weekly_Model!$D$2:$D$9,MATCH(F248,Weekly_Model!$A$2:$A$9,0)),0),IF(VLOOKUP($A248,Calendar!$A$1:$R$1377,18,0)=2,SUM(IFERROR(INDEX(Weekly_Model!$D$2:$D$9,MATCH(F248,Weekly_Model!$A$2:$A$9,0)),0),IFERROR(INDEX(Weekly_Model!$D$2:$D$9,MATCH(F249,Weekly_Model!$A$2:$A$9,0)),0)),IF(VLOOKUP($A248,Calendar!$A$1:$R$1377,18,0)=3,SUM(IFERROR(INDEX(Weekly_Model!$D$2:$D$9,MATCH(F248,Weekly_Model!$A$2:$A$9,0)),0),IFERROR(INDEX(Weekly_Model!$D$2:$D$9,MATCH(F249,Weekly_Model!$A$2:$A$9,0)),0),IFERROR(INDEX(Weekly_Model!$D$2:$D$9,MATCH(F250,Weekly_Model!$A$2:$A$9,0)),0)),IF(VLOOKUP($A248,Calendar!$A$1:$R$1377,18,0)=4,SUM(IFERROR(INDEX(Weekly_Model!$D$2:$D$9,MATCH(F248,Weekly_Model!$A$2:$A$9,0)),0),IFERROR(INDEX(Weekly_Model!$D$2:$D$9,MATCH(F249,Weekly_Model!$A$2:$A$9,0)),0),IFERROR(INDEX(Weekly_Model!$D$2:$D$9,MATCH(F250,Weekly_Model!$A$2:$A$9,0)),0),IFERROR(INDEX(Weekly_Model!$D$2:$D$9,MATCH(F251,Weekly_Model!$A$2:$A$9,0)),0)),IF(VLOOKUP($A248,Calendar!$A$1:$R$1377,18,0)=5,SUM(IFERROR(INDEX(Weekly_Model!$D$2:$D$9,MATCH(F248,Weekly_Model!$A$2:$A$9,0)),0),IFERROR(INDEX(Weekly_Model!$D$2:$D$9,MATCH(F249,Weekly_Model!$A$2:$A$9,0)),0),IFERROR(INDEX(Weekly_Model!$D$2:$D$9,MATCH(F250,Weekly_Model!$A$2:$A$9,0)),0),IFERROR(INDEX(Weekly_Model!$D$2:$D$9,MATCH(F251,Weekly_Model!$A$2:$A$9,0)),0),IFERROR(INDEX(Weekly_Model!$D$2:$D$9,MATCH(F252,Weekly_Model!$A$2:$A$9,0)),0)),0))))))</f>
        <v>0</v>
      </c>
      <c r="L248" s="27">
        <f>IF(VLOOKUP($A248,Calendar!$A$1:$R$1377,18,0)=0,0,IF(VLOOKUP($A248,Calendar!$A$1:$R$1377,18,0)=1,IFERROR(INDEX(Fortnightly_Model!$D$2:$D$15,MATCH(G248,Fortnightly_Model!$B$2:$B$15,0)),0),IF(VLOOKUP($A248,Calendar!$A$1:$R$1377,18,0)=2,SUM(IFERROR(INDEX(Fortnightly_Model!$D$2:$D$15,MATCH(G248,Fortnightly_Model!$B$2:$B$15,0)),0),IFERROR(INDEX(Fortnightly_Model!$D$2:$D$15,MATCH(G249,Fortnightly_Model!$B$2:$B$15,0)),0)),IF(VLOOKUP($A248,Calendar!$A$1:$R$1377,18,0)=3,SUM(IFERROR(INDEX(Fortnightly_Model!$D$2:$D$15,MATCH(G248,Fortnightly_Model!$B$2:$B$15,0)),0),IFERROR(INDEX(Fortnightly_Model!$D$2:$D$15,MATCH(G249,Fortnightly_Model!$B$2:$B$15,0)),0),IFERROR(INDEX(Fortnightly_Model!$D$2:$D$15,MATCH(G250,Fortnightly_Model!$B$2:$B$15,0)),0)),IF(VLOOKUP($A248,Calendar!$A$1:$R$1377,18,0)=4,SUM(IFERROR(INDEX(Fortnightly_Model!$D$2:$D$15,MATCH(G248,Fortnightly_Model!$B$2:$B$15,0)),0),IFERROR(INDEX(Fortnightly_Model!$D$2:$D$15,MATCH(G249,Fortnightly_Model!$B$2:$B$15,0)),0),IFERROR(INDEX(Fortnightly_Model!$D$2:$D$15,MATCH(G250,Fortnightly_Model!$B$2:$B$15,0)),0),IFERROR(INDEX(Fortnightly_Model!$D$2:$D$15,MATCH(G251,Fortnightly_Model!$B$2:$B$15,0)),0)),IF(VLOOKUP($A248,Calendar!$A$1:$R$1377,18,0)=5,SUM(IFERROR(INDEX(Fortnightly_Model!$D$2:$D$15,MATCH(G248,Fortnightly_Model!$B$2:$B$15,0)),0),IFERROR(INDEX(Fortnightly_Model!$D$2:$D$15,MATCH(G249,Fortnightly_Model!$B$2:$B$15,0)),0),IFERROR(INDEX(Fortnightly_Model!$D$2:$D$15,MATCH(G250,Fortnightly_Model!$B$2:$B$15,0)),0),IFERROR(INDEX(Fortnightly_Model!$D$2:$D$15,MATCH(G251,Fortnightly_Model!$B$2:$B$15,0)),0),IFERROR(INDEX(Fortnightly_Model!$D$2:$D$15,MATCH(G252,Fortnightly_Model!$B$2:$B$15,0)),0)),0))))))</f>
        <v>0</v>
      </c>
      <c r="M248" s="27">
        <f>IF(VLOOKUP($A248,Calendar!$A$1:$R$1377,18,0)=0,0,IF(VLOOKUP($A248,Calendar!$A$1:$R$1377,18,0)=1,IFERROR(INDEX(FourWeekly_Model!$D$2:$D$29,MATCH(H248,FourWeekly_Model!$B$2:$B$29,0)),0),IF(VLOOKUP($A248,Calendar!$A$1:$R$1377,18,0)=2,SUM(IFERROR(INDEX(FourWeekly_Model!$D$2:$D$29,MATCH(H248,FourWeekly_Model!$B$2:$B$29,0)),0),IFERROR(INDEX(FourWeekly_Model!$D$2:$D$29,MATCH(H249,FourWeekly_Model!$B$2:$B$29,0)),0)),IF(VLOOKUP($A248,Calendar!$A$1:$R$1377,18,0)=3,SUM(IFERROR(INDEX(FourWeekly_Model!$D$2:$D$29,MATCH(H248,FourWeekly_Model!$B$2:$B$29,0)),0),IFERROR(INDEX(FourWeekly_Model!$D$2:$D$29,MATCH(H249,FourWeekly_Model!$B$2:$B$29,0)),0),IFERROR(INDEX(FourWeekly_Model!$D$2:$D$29,MATCH(H250,FourWeekly_Model!$B$2:$B$29,0)),0)),IF(VLOOKUP($A248,Calendar!$A$1:$R$1377,18,0)=4,SUM(IFERROR(INDEX(FourWeekly_Model!$D$2:$D$29,MATCH(H248,FourWeekly_Model!$B$2:$B$29,0)),0),IFERROR(INDEX(FourWeekly_Model!$D$2:$D$29,MATCH(H249,FourWeekly_Model!$B$2:$B$29,0)),0),IFERROR(INDEX(FourWeekly_Model!$D$2:$D$29,MATCH(H250,FourWeekly_Model!$B$2:$B$29,0)),0),IFERROR(INDEX(FourWeekly_Model!$D$2:$D$29,MATCH(H251,FourWeekly_Model!$B$2:$B$29,0)),0)),IF(VLOOKUP($A248,Calendar!$A$1:$R$1377,18,0)=5,SUM(IFERROR(INDEX(FourWeekly_Model!$D$2:$D$29,MATCH(H248,FourWeekly_Model!$B$2:$B$29,0)),0),IFERROR(INDEX(FourWeekly_Model!$D$2:$D$29,MATCH(H249,FourWeekly_Model!$B$2:$B$29,0)),0),IFERROR(INDEX(FourWeekly_Model!$D$2:$D$29,MATCH(H250,FourWeekly_Model!$B$2:$B$29,0)),0),IFERROR(INDEX(FourWeekly_Model!$D$2:$D$29,MATCH(H251,FourWeekly_Model!$B$2:$B$29,0)),0),IFERROR(INDEX(FourWeekly_Model!$D$2:$D$29,MATCH(H252,FourWeekly_Model!$B$2:$B$29,0)),0)),0))))))</f>
        <v>0</v>
      </c>
      <c r="N248" s="27">
        <f>SUM(I248:M248)</f>
        <v>0</v>
      </c>
      <c r="O248" s="28">
        <f>Population_Data!$B$8*N248</f>
        <v>0</v>
      </c>
      <c r="P248" s="27">
        <f>IF(VLOOKUP($A248,Calendar!$A$1:$R$1377,18,0)=0,0,IF(VLOOKUP($A248,Calendar!$A$1:$R$1377,18,0)=1,IFERROR(INDEX(Pension_Model!$D$2:$D$29,MATCH(H248,Pension_Model!$B$2:$B$29,0)),0),IF(VLOOKUP($A248,Calendar!$A$1:$R$1377,18,0)=2,SUM(IFERROR(INDEX(Pension_Model!$D$2:$D$29,MATCH(H248,Pension_Model!$B$2:$B$29,0)),0),IFERROR(INDEX(Pension_Model!$D$2:$D$29,MATCH(H249,Pension_Model!$B$2:$B$29,0)),0)),IF(VLOOKUP($A248,Calendar!$A$1:$R$1377,18,0)=3,SUM(IFERROR(INDEX(Pension_Model!$D$2:$D$29,MATCH(H248,Pension_Model!$B$2:$B$29,0)),0),IFERROR(INDEX(Pension_Model!$D$2:$D$29,MATCH(H249,Pension_Model!$B$2:$B$29,0)),0),IFERROR(INDEX(Pension_Model!$D$2:$D$29,MATCH(H250,Pension_Model!$B$2:$B$29,0)),0)),IF(VLOOKUP($A248,Calendar!$A$1:$R$1377,18,0)=4,SUM(IFERROR(INDEX(Pension_Model!$D$2:$D$29,MATCH(H248,Pension_Model!$B$2:$B$29,0)),0),IFERROR(INDEX(Pension_Model!$D$2:$D$29,MATCH(H249,Pension_Model!$B$2:$B$29,0)),0),IFERROR(INDEX(Pension_Model!$D$2:$D$29,MATCH(H250,Pension_Model!$B$2:$B$29,0)),0),IFERROR(INDEX(Pension_Model!$D$2:$D$29,MATCH(H251,Pension_Model!$B$2:$B$29,0)),0)),IF(VLOOKUP($A248,Calendar!$A$1:$R$1377,18,0)=5,SUM(IFERROR(INDEX(Pension_Model!$D$2:$D$29,MATCH(H248,Pension_Model!$B$2:$B$29,0)),0),IFERROR(INDEX(Pension_Model!$D$2:$D$29,MATCH(H249,Pension_Model!$B$2:$B$29,0)),0),IFERROR(INDEX(Pension_Model!$D$2:$D$29,MATCH(H250,Pension_Model!$B$2:$B$29,0)),0),IFERROR(INDEX(Pension_Model!$D$2:$D$29,MATCH(H251,Pension_Model!$B$2:$B$29,0)),0),IFERROR(INDEX(Pension_Model!$D$2:$D$29,MATCH(H252,Pension_Model!$B$2:$B$29,0)),0)),0))))))</f>
        <v>0</v>
      </c>
      <c r="Q248" s="28">
        <f>Population_Data!$B$15*P248</f>
        <v>0</v>
      </c>
      <c r="S248">
        <f t="shared" si="3"/>
        <v>0</v>
      </c>
      <c r="U248" s="33">
        <f>S248/Population_Data!$B$19</f>
        <v>0</v>
      </c>
    </row>
    <row r="249" spans="1:21">
      <c r="A249" s="25">
        <f>Calendar!A249</f>
        <v>46482</v>
      </c>
      <c r="B249" t="str">
        <f>Calendar!L249</f>
        <v>Yes</v>
      </c>
      <c r="C249" t="str">
        <f>Calendar!O249</f>
        <v>No</v>
      </c>
      <c r="D249" t="str">
        <f>Calendar!P249</f>
        <v>No</v>
      </c>
      <c r="E249" t="str">
        <f>Calendar!Q249</f>
        <v>No</v>
      </c>
      <c r="F249" t="str">
        <f>Calendar!I249</f>
        <v>Monday</v>
      </c>
      <c r="G249">
        <f>Calendar!S249</f>
        <v>2</v>
      </c>
      <c r="H249">
        <f>Calendar!T249</f>
        <v>2</v>
      </c>
      <c r="I249" s="27">
        <f>IF(VLOOKUP(A249,Calendar!$A$1:$R$1377,18,0)=0,0,IF(VLOOKUP(A249,Calendar!$A$1:$R$1377,18,0)=1,INDEX(Monthly_Pay_Model!$A$9:$D$40,MATCH(TEXT(A249,"dd"),Monthly_Pay_Model!$C$9:$C$39,0),4),IF(VLOOKUP(A249,Calendar!$A$1:$R$1377,18,0)=2,SUM(INDEX(Monthly_Pay_Model!$A$9:$D$40,MATCH(TEXT(A249,"dd"),Monthly_Pay_Model!$C$9:$C$39,0),4),INDEX(Monthly_Pay_Model!$A$9:$D$40,MATCH(TEXT(A250,"dd"),Monthly_Pay_Model!$C$9:$C$39,0),4)),IF(VLOOKUP(A249,Calendar!$A$1:$R$1377,18,0)=3,SUM(INDEX(Monthly_Pay_Model!$A$9:$D$40,MATCH(TEXT(A249,"dd"),Monthly_Pay_Model!$C$9:$C$39,0),4),INDEX(Monthly_Pay_Model!$A$9:$D$40,MATCH(TEXT(A250,"dd"),Monthly_Pay_Model!$C$9:$C$39,0),4),INDEX(Monthly_Pay_Model!$A$9:$D$40,MATCH(TEXT(A251,"dd"),Monthly_Pay_Model!$C$9:$C$39,0),4)),IF(VLOOKUP(A249,Calendar!$A$1:$R$1377,18,0)=4,SUM(INDEX(Monthly_Pay_Model!$A$9:$D$40,MATCH(TEXT(A249,"dd"),Monthly_Pay_Model!$C$9:$C$39,0),4),INDEX(Monthly_Pay_Model!$A$9:$D$40,MATCH(TEXT(A250,"dd"),Monthly_Pay_Model!$C$9:$C$39,0),4),INDEX(Monthly_Pay_Model!$A$9:$D$40,MATCH(TEXT(A251,"dd"),Monthly_Pay_Model!$C$9:$C$39,0),4),INDEX(Monthly_Pay_Model!$A$9:$D$40,MATCH(TEXT(A252,"dd"),Monthly_Pay_Model!$C$9:$C$39,0),4)),IF(VLOOKUP(A249,Calendar!$A$1:$R$1377,18,0)=5,SUM(INDEX(Monthly_Pay_Model!$A$9:$D$40,MATCH(TEXT(A249,"dd"),Monthly_Pay_Model!$C$9:$C$39,0),4),INDEX(Monthly_Pay_Model!$A$9:$D$40,MATCH(TEXT(A250,"dd"),Monthly_Pay_Model!$C$9:$C$39,0),4),INDEX(Monthly_Pay_Model!$A$9:$D$40,MATCH(TEXT(A251,"dd"),Monthly_Pay_Model!$C$9:$C$39,0),4),INDEX(Monthly_Pay_Model!$A$9:$D$40,MATCH(TEXT(A252,"dd"),Monthly_Pay_Model!$C$9:$C$39,0),4),INDEX(Monthly_Pay_Model!$A$9:$D$40,MATCH(TEXT(A253,"dd"),Monthly_Pay_Model!$C$9:$C$39,0),4)),))))))</f>
        <v>7.3130890052356002E-3</v>
      </c>
      <c r="J249" s="33">
        <f>IF(C249="Yes",Monthly_Pay_Model!$D$2,0)
+IF(Calendar!N249="Yes",Monthly_Pay_Model!$D$3,0)
+IF(D249="Yes",Monthly_Pay_Model!$D$4,0)
+IF(E249="Yes",Monthly_Pay_Model!$D$5,0)</f>
        <v>0</v>
      </c>
      <c r="K249" s="27">
        <f>IF(VLOOKUP($A249,Calendar!$A$1:$R$1377,18,0)=0,0,IF(VLOOKUP($A249,Calendar!$A$1:$R$1377,18,0)=1,IFERROR(INDEX(Weekly_Model!$D$2:$D$9,MATCH(F249,Weekly_Model!$A$2:$A$9,0)),0),IF(VLOOKUP($A249,Calendar!$A$1:$R$1377,18,0)=2,SUM(IFERROR(INDEX(Weekly_Model!$D$2:$D$9,MATCH(F249,Weekly_Model!$A$2:$A$9,0)),0),IFERROR(INDEX(Weekly_Model!$D$2:$D$9,MATCH(F250,Weekly_Model!$A$2:$A$9,0)),0)),IF(VLOOKUP($A249,Calendar!$A$1:$R$1377,18,0)=3,SUM(IFERROR(INDEX(Weekly_Model!$D$2:$D$9,MATCH(F249,Weekly_Model!$A$2:$A$9,0)),0),IFERROR(INDEX(Weekly_Model!$D$2:$D$9,MATCH(F250,Weekly_Model!$A$2:$A$9,0)),0),IFERROR(INDEX(Weekly_Model!$D$2:$D$9,MATCH(F251,Weekly_Model!$A$2:$A$9,0)),0)),IF(VLOOKUP($A249,Calendar!$A$1:$R$1377,18,0)=4,SUM(IFERROR(INDEX(Weekly_Model!$D$2:$D$9,MATCH(F249,Weekly_Model!$A$2:$A$9,0)),0),IFERROR(INDEX(Weekly_Model!$D$2:$D$9,MATCH(F250,Weekly_Model!$A$2:$A$9,0)),0),IFERROR(INDEX(Weekly_Model!$D$2:$D$9,MATCH(F251,Weekly_Model!$A$2:$A$9,0)),0),IFERROR(INDEX(Weekly_Model!$D$2:$D$9,MATCH(F252,Weekly_Model!$A$2:$A$9,0)),0)),IF(VLOOKUP($A249,Calendar!$A$1:$R$1377,18,0)=5,SUM(IFERROR(INDEX(Weekly_Model!$D$2:$D$9,MATCH(F249,Weekly_Model!$A$2:$A$9,0)),0),IFERROR(INDEX(Weekly_Model!$D$2:$D$9,MATCH(F250,Weekly_Model!$A$2:$A$9,0)),0),IFERROR(INDEX(Weekly_Model!$D$2:$D$9,MATCH(F251,Weekly_Model!$A$2:$A$9,0)),0),IFERROR(INDEX(Weekly_Model!$D$2:$D$9,MATCH(F252,Weekly_Model!$A$2:$A$9,0)),0),IFERROR(INDEX(Weekly_Model!$D$2:$D$9,MATCH(F253,Weekly_Model!$A$2:$A$9,0)),0)),0))))))</f>
        <v>2.3200000000000002E-2</v>
      </c>
      <c r="L249" s="27">
        <f>IF(VLOOKUP($A249,Calendar!$A$1:$R$1377,18,0)=0,0,IF(VLOOKUP($A249,Calendar!$A$1:$R$1377,18,0)=1,IFERROR(INDEX(Fortnightly_Model!$D$2:$D$15,MATCH(G249,Fortnightly_Model!$B$2:$B$15,0)),0),IF(VLOOKUP($A249,Calendar!$A$1:$R$1377,18,0)=2,SUM(IFERROR(INDEX(Fortnightly_Model!$D$2:$D$15,MATCH(G249,Fortnightly_Model!$B$2:$B$15,0)),0),IFERROR(INDEX(Fortnightly_Model!$D$2:$D$15,MATCH(G250,Fortnightly_Model!$B$2:$B$15,0)),0)),IF(VLOOKUP($A249,Calendar!$A$1:$R$1377,18,0)=3,SUM(IFERROR(INDEX(Fortnightly_Model!$D$2:$D$15,MATCH(G249,Fortnightly_Model!$B$2:$B$15,0)),0),IFERROR(INDEX(Fortnightly_Model!$D$2:$D$15,MATCH(G250,Fortnightly_Model!$B$2:$B$15,0)),0),IFERROR(INDEX(Fortnightly_Model!$D$2:$D$15,MATCH(G251,Fortnightly_Model!$B$2:$B$15,0)),0)),IF(VLOOKUP($A249,Calendar!$A$1:$R$1377,18,0)=4,SUM(IFERROR(INDEX(Fortnightly_Model!$D$2:$D$15,MATCH(G249,Fortnightly_Model!$B$2:$B$15,0)),0),IFERROR(INDEX(Fortnightly_Model!$D$2:$D$15,MATCH(G250,Fortnightly_Model!$B$2:$B$15,0)),0),IFERROR(INDEX(Fortnightly_Model!$D$2:$D$15,MATCH(G251,Fortnightly_Model!$B$2:$B$15,0)),0),IFERROR(INDEX(Fortnightly_Model!$D$2:$D$15,MATCH(G252,Fortnightly_Model!$B$2:$B$15,0)),0)),IF(VLOOKUP($A249,Calendar!$A$1:$R$1377,18,0)=5,SUM(IFERROR(INDEX(Fortnightly_Model!$D$2:$D$15,MATCH(G249,Fortnightly_Model!$B$2:$B$15,0)),0),IFERROR(INDEX(Fortnightly_Model!$D$2:$D$15,MATCH(G250,Fortnightly_Model!$B$2:$B$15,0)),0),IFERROR(INDEX(Fortnightly_Model!$D$2:$D$15,MATCH(G251,Fortnightly_Model!$B$2:$B$15,0)),0),IFERROR(INDEX(Fortnightly_Model!$D$2:$D$15,MATCH(G252,Fortnightly_Model!$B$2:$B$15,0)),0),IFERROR(INDEX(Fortnightly_Model!$D$2:$D$15,MATCH(G253,Fortnightly_Model!$B$2:$B$15,0)),0)),0))))))</f>
        <v>1.0714285499999999E-3</v>
      </c>
      <c r="M249" s="27">
        <f>IF(VLOOKUP($A249,Calendar!$A$1:$R$1377,18,0)=0,0,IF(VLOOKUP($A249,Calendar!$A$1:$R$1377,18,0)=1,IFERROR(INDEX(FourWeekly_Model!$D$2:$D$29,MATCH(H249,FourWeekly_Model!$B$2:$B$29,0)),0),IF(VLOOKUP($A249,Calendar!$A$1:$R$1377,18,0)=2,SUM(IFERROR(INDEX(FourWeekly_Model!$D$2:$D$29,MATCH(H249,FourWeekly_Model!$B$2:$B$29,0)),0),IFERROR(INDEX(FourWeekly_Model!$D$2:$D$29,MATCH(H250,FourWeekly_Model!$B$2:$B$29,0)),0)),IF(VLOOKUP($A249,Calendar!$A$1:$R$1377,18,0)=3,SUM(IFERROR(INDEX(FourWeekly_Model!$D$2:$D$29,MATCH(H249,FourWeekly_Model!$B$2:$B$29,0)),0),IFERROR(INDEX(FourWeekly_Model!$D$2:$D$29,MATCH(H250,FourWeekly_Model!$B$2:$B$29,0)),0),IFERROR(INDEX(FourWeekly_Model!$D$2:$D$29,MATCH(H251,FourWeekly_Model!$B$2:$B$29,0)),0)),IF(VLOOKUP($A249,Calendar!$A$1:$R$1377,18,0)=4,SUM(IFERROR(INDEX(FourWeekly_Model!$D$2:$D$29,MATCH(H249,FourWeekly_Model!$B$2:$B$29,0)),0),IFERROR(INDEX(FourWeekly_Model!$D$2:$D$29,MATCH(H250,FourWeekly_Model!$B$2:$B$29,0)),0),IFERROR(INDEX(FourWeekly_Model!$D$2:$D$29,MATCH(H251,FourWeekly_Model!$B$2:$B$29,0)),0),IFERROR(INDEX(FourWeekly_Model!$D$2:$D$29,MATCH(H252,FourWeekly_Model!$B$2:$B$29,0)),0)),IF(VLOOKUP($A249,Calendar!$A$1:$R$1377,18,0)=5,SUM(IFERROR(INDEX(FourWeekly_Model!$D$2:$D$29,MATCH(H249,FourWeekly_Model!$B$2:$B$29,0)),0),IFERROR(INDEX(FourWeekly_Model!$D$2:$D$29,MATCH(H250,FourWeekly_Model!$B$2:$B$29,0)),0),IFERROR(INDEX(FourWeekly_Model!$D$2:$D$29,MATCH(H251,FourWeekly_Model!$B$2:$B$29,0)),0),IFERROR(INDEX(FourWeekly_Model!$D$2:$D$29,MATCH(H252,FourWeekly_Model!$B$2:$B$29,0)),0),IFERROR(INDEX(FourWeekly_Model!$D$2:$D$29,MATCH(H253,FourWeekly_Model!$B$2:$B$29,0)),0)),0))))))</f>
        <v>3.3214289700000004E-3</v>
      </c>
      <c r="N249" s="27">
        <f>SUM(I249:M249)</f>
        <v>3.4905946525235605E-2</v>
      </c>
      <c r="O249" s="28">
        <f>Population_Data!$B$8*N249</f>
        <v>1057650.1797146387</v>
      </c>
      <c r="P249" s="27">
        <f>IF(VLOOKUP($A249,Calendar!$A$1:$R$1377,18,0)=0,0,IF(VLOOKUP($A249,Calendar!$A$1:$R$1377,18,0)=1,IFERROR(INDEX(Pension_Model!$D$2:$D$29,MATCH(H249,Pension_Model!$B$2:$B$29,0)),0),IF(VLOOKUP($A249,Calendar!$A$1:$R$1377,18,0)=2,SUM(IFERROR(INDEX(Pension_Model!$D$2:$D$29,MATCH(H249,Pension_Model!$B$2:$B$29,0)),0),IFERROR(INDEX(Pension_Model!$D$2:$D$29,MATCH(H250,Pension_Model!$B$2:$B$29,0)),0)),IF(VLOOKUP($A249,Calendar!$A$1:$R$1377,18,0)=3,SUM(IFERROR(INDEX(Pension_Model!$D$2:$D$29,MATCH(H249,Pension_Model!$B$2:$B$29,0)),0),IFERROR(INDEX(Pension_Model!$D$2:$D$29,MATCH(H250,Pension_Model!$B$2:$B$29,0)),0),IFERROR(INDEX(Pension_Model!$D$2:$D$29,MATCH(H251,Pension_Model!$B$2:$B$29,0)),0)),IF(VLOOKUP($A249,Calendar!$A$1:$R$1377,18,0)=4,SUM(IFERROR(INDEX(Pension_Model!$D$2:$D$29,MATCH(H249,Pension_Model!$B$2:$B$29,0)),0),IFERROR(INDEX(Pension_Model!$D$2:$D$29,MATCH(H250,Pension_Model!$B$2:$B$29,0)),0),IFERROR(INDEX(Pension_Model!$D$2:$D$29,MATCH(H251,Pension_Model!$B$2:$B$29,0)),0),IFERROR(INDEX(Pension_Model!$D$2:$D$29,MATCH(H252,Pension_Model!$B$2:$B$29,0)),0)),IF(VLOOKUP($A249,Calendar!$A$1:$R$1377,18,0)=5,SUM(IFERROR(INDEX(Pension_Model!$D$2:$D$29,MATCH(H249,Pension_Model!$B$2:$B$29,0)),0),IFERROR(INDEX(Pension_Model!$D$2:$D$29,MATCH(H250,Pension_Model!$B$2:$B$29,0)),0),IFERROR(INDEX(Pension_Model!$D$2:$D$29,MATCH(H251,Pension_Model!$B$2:$B$29,0)),0),IFERROR(INDEX(Pension_Model!$D$2:$D$29,MATCH(H252,Pension_Model!$B$2:$B$29,0)),0),IFERROR(INDEX(Pension_Model!$D$2:$D$29,MATCH(H253,Pension_Model!$B$2:$B$29,0)),0)),0))))))</f>
        <v>0.05</v>
      </c>
      <c r="Q249" s="28">
        <f>Population_Data!$B$15*P249</f>
        <v>660600</v>
      </c>
      <c r="S249">
        <f t="shared" si="3"/>
        <v>1718250.1797146387</v>
      </c>
      <c r="U249" s="33">
        <f>S249/Population_Data!$B$19</f>
        <v>3.1127720647004326E-2</v>
      </c>
    </row>
    <row r="250" spans="1:21">
      <c r="A250" s="25">
        <f>Calendar!A250</f>
        <v>46483</v>
      </c>
      <c r="B250" t="str">
        <f>Calendar!L250</f>
        <v>Yes</v>
      </c>
      <c r="C250" t="str">
        <f>Calendar!O250</f>
        <v>No</v>
      </c>
      <c r="D250" t="str">
        <f>Calendar!P250</f>
        <v>No</v>
      </c>
      <c r="E250" t="str">
        <f>Calendar!Q250</f>
        <v>No</v>
      </c>
      <c r="F250" t="str">
        <f>Calendar!I250</f>
        <v>Tuesday</v>
      </c>
      <c r="G250">
        <f>Calendar!S250</f>
        <v>3</v>
      </c>
      <c r="H250">
        <f>Calendar!T250</f>
        <v>3</v>
      </c>
      <c r="I250" s="27">
        <f>IF(VLOOKUP(A250,Calendar!$A$1:$R$1377,18,0)=0,0,IF(VLOOKUP(A250,Calendar!$A$1:$R$1377,18,0)=1,INDEX(Monthly_Pay_Model!$A$9:$D$40,MATCH(TEXT(A250,"dd"),Monthly_Pay_Model!$C$9:$C$39,0),4),IF(VLOOKUP(A250,Calendar!$A$1:$R$1377,18,0)=2,SUM(INDEX(Monthly_Pay_Model!$A$9:$D$40,MATCH(TEXT(A250,"dd"),Monthly_Pay_Model!$C$9:$C$39,0),4),INDEX(Monthly_Pay_Model!$A$9:$D$40,MATCH(TEXT(A251,"dd"),Monthly_Pay_Model!$C$9:$C$39,0),4)),IF(VLOOKUP(A250,Calendar!$A$1:$R$1377,18,0)=3,SUM(INDEX(Monthly_Pay_Model!$A$9:$D$40,MATCH(TEXT(A250,"dd"),Monthly_Pay_Model!$C$9:$C$39,0),4),INDEX(Monthly_Pay_Model!$A$9:$D$40,MATCH(TEXT(A251,"dd"),Monthly_Pay_Model!$C$9:$C$39,0),4),INDEX(Monthly_Pay_Model!$A$9:$D$40,MATCH(TEXT(A252,"dd"),Monthly_Pay_Model!$C$9:$C$39,0),4)),IF(VLOOKUP(A250,Calendar!$A$1:$R$1377,18,0)=4,SUM(INDEX(Monthly_Pay_Model!$A$9:$D$40,MATCH(TEXT(A250,"dd"),Monthly_Pay_Model!$C$9:$C$39,0),4),INDEX(Monthly_Pay_Model!$A$9:$D$40,MATCH(TEXT(A251,"dd"),Monthly_Pay_Model!$C$9:$C$39,0),4),INDEX(Monthly_Pay_Model!$A$9:$D$40,MATCH(TEXT(A252,"dd"),Monthly_Pay_Model!$C$9:$C$39,0),4),INDEX(Monthly_Pay_Model!$A$9:$D$40,MATCH(TEXT(A253,"dd"),Monthly_Pay_Model!$C$9:$C$39,0),4)),IF(VLOOKUP(A250,Calendar!$A$1:$R$1377,18,0)=5,SUM(INDEX(Monthly_Pay_Model!$A$9:$D$40,MATCH(TEXT(A250,"dd"),Monthly_Pay_Model!$C$9:$C$39,0),4),INDEX(Monthly_Pay_Model!$A$9:$D$40,MATCH(TEXT(A251,"dd"),Monthly_Pay_Model!$C$9:$C$39,0),4),INDEX(Monthly_Pay_Model!$A$9:$D$40,MATCH(TEXT(A252,"dd"),Monthly_Pay_Model!$C$9:$C$39,0),4),INDEX(Monthly_Pay_Model!$A$9:$D$40,MATCH(TEXT(A253,"dd"),Monthly_Pay_Model!$C$9:$C$39,0),4),INDEX(Monthly_Pay_Model!$A$9:$D$40,MATCH(TEXT(A254,"dd"),Monthly_Pay_Model!$C$9:$C$39,0),4)),))))))</f>
        <v>3.2502617801047117E-3</v>
      </c>
      <c r="J250" s="33">
        <f>IF(C250="Yes",Monthly_Pay_Model!$D$2,0)
+IF(Calendar!N250="Yes",Monthly_Pay_Model!$D$3,0)
+IF(D250="Yes",Monthly_Pay_Model!$D$4,0)
+IF(E250="Yes",Monthly_Pay_Model!$D$5,0)</f>
        <v>0</v>
      </c>
      <c r="K250" s="27">
        <f>IF(VLOOKUP($A250,Calendar!$A$1:$R$1377,18,0)=0,0,IF(VLOOKUP($A250,Calendar!$A$1:$R$1377,18,0)=1,IFERROR(INDEX(Weekly_Model!$D$2:$D$9,MATCH(F250,Weekly_Model!$A$2:$A$9,0)),0),IF(VLOOKUP($A250,Calendar!$A$1:$R$1377,18,0)=2,SUM(IFERROR(INDEX(Weekly_Model!$D$2:$D$9,MATCH(F250,Weekly_Model!$A$2:$A$9,0)),0),IFERROR(INDEX(Weekly_Model!$D$2:$D$9,MATCH(F251,Weekly_Model!$A$2:$A$9,0)),0)),IF(VLOOKUP($A250,Calendar!$A$1:$R$1377,18,0)=3,SUM(IFERROR(INDEX(Weekly_Model!$D$2:$D$9,MATCH(F250,Weekly_Model!$A$2:$A$9,0)),0),IFERROR(INDEX(Weekly_Model!$D$2:$D$9,MATCH(F251,Weekly_Model!$A$2:$A$9,0)),0),IFERROR(INDEX(Weekly_Model!$D$2:$D$9,MATCH(F252,Weekly_Model!$A$2:$A$9,0)),0)),IF(VLOOKUP($A250,Calendar!$A$1:$R$1377,18,0)=4,SUM(IFERROR(INDEX(Weekly_Model!$D$2:$D$9,MATCH(F250,Weekly_Model!$A$2:$A$9,0)),0),IFERROR(INDEX(Weekly_Model!$D$2:$D$9,MATCH(F251,Weekly_Model!$A$2:$A$9,0)),0),IFERROR(INDEX(Weekly_Model!$D$2:$D$9,MATCH(F252,Weekly_Model!$A$2:$A$9,0)),0),IFERROR(INDEX(Weekly_Model!$D$2:$D$9,MATCH(F253,Weekly_Model!$A$2:$A$9,0)),0)),IF(VLOOKUP($A250,Calendar!$A$1:$R$1377,18,0)=5,SUM(IFERROR(INDEX(Weekly_Model!$D$2:$D$9,MATCH(F250,Weekly_Model!$A$2:$A$9,0)),0),IFERROR(INDEX(Weekly_Model!$D$2:$D$9,MATCH(F251,Weekly_Model!$A$2:$A$9,0)),0),IFERROR(INDEX(Weekly_Model!$D$2:$D$9,MATCH(F252,Weekly_Model!$A$2:$A$9,0)),0),IFERROR(INDEX(Weekly_Model!$D$2:$D$9,MATCH(F253,Weekly_Model!$A$2:$A$9,0)),0),IFERROR(INDEX(Weekly_Model!$D$2:$D$9,MATCH(F254,Weekly_Model!$A$2:$A$9,0)),0)),0))))))</f>
        <v>2.3200000000000002E-2</v>
      </c>
      <c r="L250" s="27">
        <f>IF(VLOOKUP($A250,Calendar!$A$1:$R$1377,18,0)=0,0,IF(VLOOKUP($A250,Calendar!$A$1:$R$1377,18,0)=1,IFERROR(INDEX(Fortnightly_Model!$D$2:$D$15,MATCH(G250,Fortnightly_Model!$B$2:$B$15,0)),0),IF(VLOOKUP($A250,Calendar!$A$1:$R$1377,18,0)=2,SUM(IFERROR(INDEX(Fortnightly_Model!$D$2:$D$15,MATCH(G250,Fortnightly_Model!$B$2:$B$15,0)),0),IFERROR(INDEX(Fortnightly_Model!$D$2:$D$15,MATCH(G251,Fortnightly_Model!$B$2:$B$15,0)),0)),IF(VLOOKUP($A250,Calendar!$A$1:$R$1377,18,0)=3,SUM(IFERROR(INDEX(Fortnightly_Model!$D$2:$D$15,MATCH(G250,Fortnightly_Model!$B$2:$B$15,0)),0),IFERROR(INDEX(Fortnightly_Model!$D$2:$D$15,MATCH(G251,Fortnightly_Model!$B$2:$B$15,0)),0),IFERROR(INDEX(Fortnightly_Model!$D$2:$D$15,MATCH(G252,Fortnightly_Model!$B$2:$B$15,0)),0)),IF(VLOOKUP($A250,Calendar!$A$1:$R$1377,18,0)=4,SUM(IFERROR(INDEX(Fortnightly_Model!$D$2:$D$15,MATCH(G250,Fortnightly_Model!$B$2:$B$15,0)),0),IFERROR(INDEX(Fortnightly_Model!$D$2:$D$15,MATCH(G251,Fortnightly_Model!$B$2:$B$15,0)),0),IFERROR(INDEX(Fortnightly_Model!$D$2:$D$15,MATCH(G252,Fortnightly_Model!$B$2:$B$15,0)),0),IFERROR(INDEX(Fortnightly_Model!$D$2:$D$15,MATCH(G253,Fortnightly_Model!$B$2:$B$15,0)),0)),IF(VLOOKUP($A250,Calendar!$A$1:$R$1377,18,0)=5,SUM(IFERROR(INDEX(Fortnightly_Model!$D$2:$D$15,MATCH(G250,Fortnightly_Model!$B$2:$B$15,0)),0),IFERROR(INDEX(Fortnightly_Model!$D$2:$D$15,MATCH(G251,Fortnightly_Model!$B$2:$B$15,0)),0),IFERROR(INDEX(Fortnightly_Model!$D$2:$D$15,MATCH(G252,Fortnightly_Model!$B$2:$B$15,0)),0),IFERROR(INDEX(Fortnightly_Model!$D$2:$D$15,MATCH(G253,Fortnightly_Model!$B$2:$B$15,0)),0),IFERROR(INDEX(Fortnightly_Model!$D$2:$D$15,MATCH(G254,Fortnightly_Model!$B$2:$B$15,0)),0)),0))))))</f>
        <v>1.0714285499999999E-3</v>
      </c>
      <c r="M250" s="27">
        <f>IF(VLOOKUP($A250,Calendar!$A$1:$R$1377,18,0)=0,0,IF(VLOOKUP($A250,Calendar!$A$1:$R$1377,18,0)=1,IFERROR(INDEX(FourWeekly_Model!$D$2:$D$29,MATCH(H250,FourWeekly_Model!$B$2:$B$29,0)),0),IF(VLOOKUP($A250,Calendar!$A$1:$R$1377,18,0)=2,SUM(IFERROR(INDEX(FourWeekly_Model!$D$2:$D$29,MATCH(H250,FourWeekly_Model!$B$2:$B$29,0)),0),IFERROR(INDEX(FourWeekly_Model!$D$2:$D$29,MATCH(H251,FourWeekly_Model!$B$2:$B$29,0)),0)),IF(VLOOKUP($A250,Calendar!$A$1:$R$1377,18,0)=3,SUM(IFERROR(INDEX(FourWeekly_Model!$D$2:$D$29,MATCH(H250,FourWeekly_Model!$B$2:$B$29,0)),0),IFERROR(INDEX(FourWeekly_Model!$D$2:$D$29,MATCH(H251,FourWeekly_Model!$B$2:$B$29,0)),0),IFERROR(INDEX(FourWeekly_Model!$D$2:$D$29,MATCH(H252,FourWeekly_Model!$B$2:$B$29,0)),0)),IF(VLOOKUP($A250,Calendar!$A$1:$R$1377,18,0)=4,SUM(IFERROR(INDEX(FourWeekly_Model!$D$2:$D$29,MATCH(H250,FourWeekly_Model!$B$2:$B$29,0)),0),IFERROR(INDEX(FourWeekly_Model!$D$2:$D$29,MATCH(H251,FourWeekly_Model!$B$2:$B$29,0)),0),IFERROR(INDEX(FourWeekly_Model!$D$2:$D$29,MATCH(H252,FourWeekly_Model!$B$2:$B$29,0)),0),IFERROR(INDEX(FourWeekly_Model!$D$2:$D$29,MATCH(H253,FourWeekly_Model!$B$2:$B$29,0)),0)),IF(VLOOKUP($A250,Calendar!$A$1:$R$1377,18,0)=5,SUM(IFERROR(INDEX(FourWeekly_Model!$D$2:$D$29,MATCH(H250,FourWeekly_Model!$B$2:$B$29,0)),0),IFERROR(INDEX(FourWeekly_Model!$D$2:$D$29,MATCH(H251,FourWeekly_Model!$B$2:$B$29,0)),0),IFERROR(INDEX(FourWeekly_Model!$D$2:$D$29,MATCH(H252,FourWeekly_Model!$B$2:$B$29,0)),0),IFERROR(INDEX(FourWeekly_Model!$D$2:$D$29,MATCH(H253,FourWeekly_Model!$B$2:$B$29,0)),0),IFERROR(INDEX(FourWeekly_Model!$D$2:$D$29,MATCH(H254,FourWeekly_Model!$B$2:$B$29,0)),0)),0))))))</f>
        <v>3.3214289700000004E-3</v>
      </c>
      <c r="N250" s="27">
        <f>SUM(I250:M250)</f>
        <v>3.0843119300104714E-2</v>
      </c>
      <c r="O250" s="28">
        <f>Population_Data!$B$8*N250</f>
        <v>934546.51479317283</v>
      </c>
      <c r="P250" s="27">
        <f>IF(VLOOKUP($A250,Calendar!$A$1:$R$1377,18,0)=0,0,IF(VLOOKUP($A250,Calendar!$A$1:$R$1377,18,0)=1,IFERROR(INDEX(Pension_Model!$D$2:$D$29,MATCH(H250,Pension_Model!$B$2:$B$29,0)),0),IF(VLOOKUP($A250,Calendar!$A$1:$R$1377,18,0)=2,SUM(IFERROR(INDEX(Pension_Model!$D$2:$D$29,MATCH(H250,Pension_Model!$B$2:$B$29,0)),0),IFERROR(INDEX(Pension_Model!$D$2:$D$29,MATCH(H251,Pension_Model!$B$2:$B$29,0)),0)),IF(VLOOKUP($A250,Calendar!$A$1:$R$1377,18,0)=3,SUM(IFERROR(INDEX(Pension_Model!$D$2:$D$29,MATCH(H250,Pension_Model!$B$2:$B$29,0)),0),IFERROR(INDEX(Pension_Model!$D$2:$D$29,MATCH(H251,Pension_Model!$B$2:$B$29,0)),0),IFERROR(INDEX(Pension_Model!$D$2:$D$29,MATCH(H252,Pension_Model!$B$2:$B$29,0)),0)),IF(VLOOKUP($A250,Calendar!$A$1:$R$1377,18,0)=4,SUM(IFERROR(INDEX(Pension_Model!$D$2:$D$29,MATCH(H250,Pension_Model!$B$2:$B$29,0)),0),IFERROR(INDEX(Pension_Model!$D$2:$D$29,MATCH(H251,Pension_Model!$B$2:$B$29,0)),0),IFERROR(INDEX(Pension_Model!$D$2:$D$29,MATCH(H252,Pension_Model!$B$2:$B$29,0)),0),IFERROR(INDEX(Pension_Model!$D$2:$D$29,MATCH(H253,Pension_Model!$B$2:$B$29,0)),0)),IF(VLOOKUP($A250,Calendar!$A$1:$R$1377,18,0)=5,SUM(IFERROR(INDEX(Pension_Model!$D$2:$D$29,MATCH(H250,Pension_Model!$B$2:$B$29,0)),0),IFERROR(INDEX(Pension_Model!$D$2:$D$29,MATCH(H251,Pension_Model!$B$2:$B$29,0)),0),IFERROR(INDEX(Pension_Model!$D$2:$D$29,MATCH(H252,Pension_Model!$B$2:$B$29,0)),0),IFERROR(INDEX(Pension_Model!$D$2:$D$29,MATCH(H253,Pension_Model!$B$2:$B$29,0)),0),IFERROR(INDEX(Pension_Model!$D$2:$D$29,MATCH(H254,Pension_Model!$B$2:$B$29,0)),0)),0))))))</f>
        <v>0.05</v>
      </c>
      <c r="Q250" s="28">
        <f>Population_Data!$B$15*P250</f>
        <v>660600</v>
      </c>
      <c r="S250">
        <f t="shared" si="3"/>
        <v>1595146.5147931729</v>
      </c>
      <c r="U250" s="33">
        <f>S250/Population_Data!$B$19</f>
        <v>2.8897581789731393E-2</v>
      </c>
    </row>
    <row r="251" spans="1:21">
      <c r="A251" s="25">
        <f>Calendar!A251</f>
        <v>46484</v>
      </c>
      <c r="B251" t="str">
        <f>Calendar!L251</f>
        <v>Yes</v>
      </c>
      <c r="C251" t="str">
        <f>Calendar!O251</f>
        <v>No</v>
      </c>
      <c r="D251" t="str">
        <f>Calendar!P251</f>
        <v>No</v>
      </c>
      <c r="E251" t="str">
        <f>Calendar!Q251</f>
        <v>No</v>
      </c>
      <c r="F251" t="str">
        <f>Calendar!I251</f>
        <v>Wednesday</v>
      </c>
      <c r="G251">
        <f>Calendar!S251</f>
        <v>4</v>
      </c>
      <c r="H251">
        <f>Calendar!T251</f>
        <v>4</v>
      </c>
      <c r="I251" s="27">
        <f>IF(VLOOKUP(A251,Calendar!$A$1:$R$1377,18,0)=0,0,IF(VLOOKUP(A251,Calendar!$A$1:$R$1377,18,0)=1,INDEX(Monthly_Pay_Model!$A$9:$D$40,MATCH(TEXT(A251,"dd"),Monthly_Pay_Model!$C$9:$C$39,0),4),IF(VLOOKUP(A251,Calendar!$A$1:$R$1377,18,0)=2,SUM(INDEX(Monthly_Pay_Model!$A$9:$D$40,MATCH(TEXT(A251,"dd"),Monthly_Pay_Model!$C$9:$C$39,0),4),INDEX(Monthly_Pay_Model!$A$9:$D$40,MATCH(TEXT(A252,"dd"),Monthly_Pay_Model!$C$9:$C$39,0),4)),IF(VLOOKUP(A251,Calendar!$A$1:$R$1377,18,0)=3,SUM(INDEX(Monthly_Pay_Model!$A$9:$D$40,MATCH(TEXT(A251,"dd"),Monthly_Pay_Model!$C$9:$C$39,0),4),INDEX(Monthly_Pay_Model!$A$9:$D$40,MATCH(TEXT(A252,"dd"),Monthly_Pay_Model!$C$9:$C$39,0),4),INDEX(Monthly_Pay_Model!$A$9:$D$40,MATCH(TEXT(A253,"dd"),Monthly_Pay_Model!$C$9:$C$39,0),4)),IF(VLOOKUP(A251,Calendar!$A$1:$R$1377,18,0)=4,SUM(INDEX(Monthly_Pay_Model!$A$9:$D$40,MATCH(TEXT(A251,"dd"),Monthly_Pay_Model!$C$9:$C$39,0),4),INDEX(Monthly_Pay_Model!$A$9:$D$40,MATCH(TEXT(A252,"dd"),Monthly_Pay_Model!$C$9:$C$39,0),4),INDEX(Monthly_Pay_Model!$A$9:$D$40,MATCH(TEXT(A253,"dd"),Monthly_Pay_Model!$C$9:$C$39,0),4),INDEX(Monthly_Pay_Model!$A$9:$D$40,MATCH(TEXT(A254,"dd"),Monthly_Pay_Model!$C$9:$C$39,0),4)),IF(VLOOKUP(A251,Calendar!$A$1:$R$1377,18,0)=5,SUM(INDEX(Monthly_Pay_Model!$A$9:$D$40,MATCH(TEXT(A251,"dd"),Monthly_Pay_Model!$C$9:$C$39,0),4),INDEX(Monthly_Pay_Model!$A$9:$D$40,MATCH(TEXT(A252,"dd"),Monthly_Pay_Model!$C$9:$C$39,0),4),INDEX(Monthly_Pay_Model!$A$9:$D$40,MATCH(TEXT(A253,"dd"),Monthly_Pay_Model!$C$9:$C$39,0),4),INDEX(Monthly_Pay_Model!$A$9:$D$40,MATCH(TEXT(A254,"dd"),Monthly_Pay_Model!$C$9:$C$39,0),4),INDEX(Monthly_Pay_Model!$A$9:$D$40,MATCH(TEXT(A255,"dd"),Monthly_Pay_Model!$C$9:$C$39,0),4)),))))))</f>
        <v>2.4376963350785331E-3</v>
      </c>
      <c r="J251" s="33">
        <f>IF(C251="Yes",Monthly_Pay_Model!$D$2,0)
+IF(Calendar!N251="Yes",Monthly_Pay_Model!$D$3,0)
+IF(D251="Yes",Monthly_Pay_Model!$D$4,0)
+IF(E251="Yes",Monthly_Pay_Model!$D$5,0)</f>
        <v>0</v>
      </c>
      <c r="K251" s="27">
        <f>IF(VLOOKUP($A251,Calendar!$A$1:$R$1377,18,0)=0,0,IF(VLOOKUP($A251,Calendar!$A$1:$R$1377,18,0)=1,IFERROR(INDEX(Weekly_Model!$D$2:$D$9,MATCH(F251,Weekly_Model!$A$2:$A$9,0)),0),IF(VLOOKUP($A251,Calendar!$A$1:$R$1377,18,0)=2,SUM(IFERROR(INDEX(Weekly_Model!$D$2:$D$9,MATCH(F251,Weekly_Model!$A$2:$A$9,0)),0),IFERROR(INDEX(Weekly_Model!$D$2:$D$9,MATCH(F252,Weekly_Model!$A$2:$A$9,0)),0)),IF(VLOOKUP($A251,Calendar!$A$1:$R$1377,18,0)=3,SUM(IFERROR(INDEX(Weekly_Model!$D$2:$D$9,MATCH(F251,Weekly_Model!$A$2:$A$9,0)),0),IFERROR(INDEX(Weekly_Model!$D$2:$D$9,MATCH(F252,Weekly_Model!$A$2:$A$9,0)),0),IFERROR(INDEX(Weekly_Model!$D$2:$D$9,MATCH(F253,Weekly_Model!$A$2:$A$9,0)),0)),IF(VLOOKUP($A251,Calendar!$A$1:$R$1377,18,0)=4,SUM(IFERROR(INDEX(Weekly_Model!$D$2:$D$9,MATCH(F251,Weekly_Model!$A$2:$A$9,0)),0),IFERROR(INDEX(Weekly_Model!$D$2:$D$9,MATCH(F252,Weekly_Model!$A$2:$A$9,0)),0),IFERROR(INDEX(Weekly_Model!$D$2:$D$9,MATCH(F253,Weekly_Model!$A$2:$A$9,0)),0),IFERROR(INDEX(Weekly_Model!$D$2:$D$9,MATCH(F254,Weekly_Model!$A$2:$A$9,0)),0)),IF(VLOOKUP($A251,Calendar!$A$1:$R$1377,18,0)=5,SUM(IFERROR(INDEX(Weekly_Model!$D$2:$D$9,MATCH(F251,Weekly_Model!$A$2:$A$9,0)),0),IFERROR(INDEX(Weekly_Model!$D$2:$D$9,MATCH(F252,Weekly_Model!$A$2:$A$9,0)),0),IFERROR(INDEX(Weekly_Model!$D$2:$D$9,MATCH(F253,Weekly_Model!$A$2:$A$9,0)),0),IFERROR(INDEX(Weekly_Model!$D$2:$D$9,MATCH(F254,Weekly_Model!$A$2:$A$9,0)),0),IFERROR(INDEX(Weekly_Model!$D$2:$D$9,MATCH(F255,Weekly_Model!$A$2:$A$9,0)),0)),0))))))</f>
        <v>2.3200000000000002E-2</v>
      </c>
      <c r="L251" s="27">
        <f>IF(VLOOKUP($A251,Calendar!$A$1:$R$1377,18,0)=0,0,IF(VLOOKUP($A251,Calendar!$A$1:$R$1377,18,0)=1,IFERROR(INDEX(Fortnightly_Model!$D$2:$D$15,MATCH(G251,Fortnightly_Model!$B$2:$B$15,0)),0),IF(VLOOKUP($A251,Calendar!$A$1:$R$1377,18,0)=2,SUM(IFERROR(INDEX(Fortnightly_Model!$D$2:$D$15,MATCH(G251,Fortnightly_Model!$B$2:$B$15,0)),0),IFERROR(INDEX(Fortnightly_Model!$D$2:$D$15,MATCH(G252,Fortnightly_Model!$B$2:$B$15,0)),0)),IF(VLOOKUP($A251,Calendar!$A$1:$R$1377,18,0)=3,SUM(IFERROR(INDEX(Fortnightly_Model!$D$2:$D$15,MATCH(G251,Fortnightly_Model!$B$2:$B$15,0)),0),IFERROR(INDEX(Fortnightly_Model!$D$2:$D$15,MATCH(G252,Fortnightly_Model!$B$2:$B$15,0)),0),IFERROR(INDEX(Fortnightly_Model!$D$2:$D$15,MATCH(G253,Fortnightly_Model!$B$2:$B$15,0)),0)),IF(VLOOKUP($A251,Calendar!$A$1:$R$1377,18,0)=4,SUM(IFERROR(INDEX(Fortnightly_Model!$D$2:$D$15,MATCH(G251,Fortnightly_Model!$B$2:$B$15,0)),0),IFERROR(INDEX(Fortnightly_Model!$D$2:$D$15,MATCH(G252,Fortnightly_Model!$B$2:$B$15,0)),0),IFERROR(INDEX(Fortnightly_Model!$D$2:$D$15,MATCH(G253,Fortnightly_Model!$B$2:$B$15,0)),0),IFERROR(INDEX(Fortnightly_Model!$D$2:$D$15,MATCH(G254,Fortnightly_Model!$B$2:$B$15,0)),0)),IF(VLOOKUP($A251,Calendar!$A$1:$R$1377,18,0)=5,SUM(IFERROR(INDEX(Fortnightly_Model!$D$2:$D$15,MATCH(G251,Fortnightly_Model!$B$2:$B$15,0)),0),IFERROR(INDEX(Fortnightly_Model!$D$2:$D$15,MATCH(G252,Fortnightly_Model!$B$2:$B$15,0)),0),IFERROR(INDEX(Fortnightly_Model!$D$2:$D$15,MATCH(G253,Fortnightly_Model!$B$2:$B$15,0)),0),IFERROR(INDEX(Fortnightly_Model!$D$2:$D$15,MATCH(G254,Fortnightly_Model!$B$2:$B$15,0)),0),IFERROR(INDEX(Fortnightly_Model!$D$2:$D$15,MATCH(G255,Fortnightly_Model!$B$2:$B$15,0)),0)),0))))))</f>
        <v>1.0714285499999999E-3</v>
      </c>
      <c r="M251" s="27">
        <f>IF(VLOOKUP($A251,Calendar!$A$1:$R$1377,18,0)=0,0,IF(VLOOKUP($A251,Calendar!$A$1:$R$1377,18,0)=1,IFERROR(INDEX(FourWeekly_Model!$D$2:$D$29,MATCH(H251,FourWeekly_Model!$B$2:$B$29,0)),0),IF(VLOOKUP($A251,Calendar!$A$1:$R$1377,18,0)=2,SUM(IFERROR(INDEX(FourWeekly_Model!$D$2:$D$29,MATCH(H251,FourWeekly_Model!$B$2:$B$29,0)),0),IFERROR(INDEX(FourWeekly_Model!$D$2:$D$29,MATCH(H252,FourWeekly_Model!$B$2:$B$29,0)),0)),IF(VLOOKUP($A251,Calendar!$A$1:$R$1377,18,0)=3,SUM(IFERROR(INDEX(FourWeekly_Model!$D$2:$D$29,MATCH(H251,FourWeekly_Model!$B$2:$B$29,0)),0),IFERROR(INDEX(FourWeekly_Model!$D$2:$D$29,MATCH(H252,FourWeekly_Model!$B$2:$B$29,0)),0),IFERROR(INDEX(FourWeekly_Model!$D$2:$D$29,MATCH(H253,FourWeekly_Model!$B$2:$B$29,0)),0)),IF(VLOOKUP($A251,Calendar!$A$1:$R$1377,18,0)=4,SUM(IFERROR(INDEX(FourWeekly_Model!$D$2:$D$29,MATCH(H251,FourWeekly_Model!$B$2:$B$29,0)),0),IFERROR(INDEX(FourWeekly_Model!$D$2:$D$29,MATCH(H252,FourWeekly_Model!$B$2:$B$29,0)),0),IFERROR(INDEX(FourWeekly_Model!$D$2:$D$29,MATCH(H253,FourWeekly_Model!$B$2:$B$29,0)),0),IFERROR(INDEX(FourWeekly_Model!$D$2:$D$29,MATCH(H254,FourWeekly_Model!$B$2:$B$29,0)),0)),IF(VLOOKUP($A251,Calendar!$A$1:$R$1377,18,0)=5,SUM(IFERROR(INDEX(FourWeekly_Model!$D$2:$D$29,MATCH(H251,FourWeekly_Model!$B$2:$B$29,0)),0),IFERROR(INDEX(FourWeekly_Model!$D$2:$D$29,MATCH(H252,FourWeekly_Model!$B$2:$B$29,0)),0),IFERROR(INDEX(FourWeekly_Model!$D$2:$D$29,MATCH(H253,FourWeekly_Model!$B$2:$B$29,0)),0),IFERROR(INDEX(FourWeekly_Model!$D$2:$D$29,MATCH(H254,FourWeekly_Model!$B$2:$B$29,0)),0),IFERROR(INDEX(FourWeekly_Model!$D$2:$D$29,MATCH(H255,FourWeekly_Model!$B$2:$B$29,0)),0)),0))))))</f>
        <v>3.3214289700000004E-3</v>
      </c>
      <c r="N251" s="27">
        <f>SUM(I251:M251)</f>
        <v>3.0030553855078537E-2</v>
      </c>
      <c r="O251" s="28">
        <f>Population_Data!$B$8*N251</f>
        <v>909925.78180887969</v>
      </c>
      <c r="P251" s="27">
        <f>IF(VLOOKUP($A251,Calendar!$A$1:$R$1377,18,0)=0,0,IF(VLOOKUP($A251,Calendar!$A$1:$R$1377,18,0)=1,IFERROR(INDEX(Pension_Model!$D$2:$D$29,MATCH(H251,Pension_Model!$B$2:$B$29,0)),0),IF(VLOOKUP($A251,Calendar!$A$1:$R$1377,18,0)=2,SUM(IFERROR(INDEX(Pension_Model!$D$2:$D$29,MATCH(H251,Pension_Model!$B$2:$B$29,0)),0),IFERROR(INDEX(Pension_Model!$D$2:$D$29,MATCH(H252,Pension_Model!$B$2:$B$29,0)),0)),IF(VLOOKUP($A251,Calendar!$A$1:$R$1377,18,0)=3,SUM(IFERROR(INDEX(Pension_Model!$D$2:$D$29,MATCH(H251,Pension_Model!$B$2:$B$29,0)),0),IFERROR(INDEX(Pension_Model!$D$2:$D$29,MATCH(H252,Pension_Model!$B$2:$B$29,0)),0),IFERROR(INDEX(Pension_Model!$D$2:$D$29,MATCH(H253,Pension_Model!$B$2:$B$29,0)),0)),IF(VLOOKUP($A251,Calendar!$A$1:$R$1377,18,0)=4,SUM(IFERROR(INDEX(Pension_Model!$D$2:$D$29,MATCH(H251,Pension_Model!$B$2:$B$29,0)),0),IFERROR(INDEX(Pension_Model!$D$2:$D$29,MATCH(H252,Pension_Model!$B$2:$B$29,0)),0),IFERROR(INDEX(Pension_Model!$D$2:$D$29,MATCH(H253,Pension_Model!$B$2:$B$29,0)),0),IFERROR(INDEX(Pension_Model!$D$2:$D$29,MATCH(H254,Pension_Model!$B$2:$B$29,0)),0)),IF(VLOOKUP($A251,Calendar!$A$1:$R$1377,18,0)=5,SUM(IFERROR(INDEX(Pension_Model!$D$2:$D$29,MATCH(H251,Pension_Model!$B$2:$B$29,0)),0),IFERROR(INDEX(Pension_Model!$D$2:$D$29,MATCH(H252,Pension_Model!$B$2:$B$29,0)),0),IFERROR(INDEX(Pension_Model!$D$2:$D$29,MATCH(H253,Pension_Model!$B$2:$B$29,0)),0),IFERROR(INDEX(Pension_Model!$D$2:$D$29,MATCH(H254,Pension_Model!$B$2:$B$29,0)),0),IFERROR(INDEX(Pension_Model!$D$2:$D$29,MATCH(H255,Pension_Model!$B$2:$B$29,0)),0)),0))))))</f>
        <v>0.05</v>
      </c>
      <c r="Q251" s="28">
        <f>Population_Data!$B$15*P251</f>
        <v>660600</v>
      </c>
      <c r="S251">
        <f t="shared" si="3"/>
        <v>1570525.7818088797</v>
      </c>
      <c r="U251" s="33">
        <f>S251/Population_Data!$B$19</f>
        <v>2.8451554018276808E-2</v>
      </c>
    </row>
    <row r="252" spans="1:21">
      <c r="A252" s="25">
        <f>Calendar!A252</f>
        <v>46485</v>
      </c>
      <c r="B252" t="str">
        <f>Calendar!L252</f>
        <v>Yes</v>
      </c>
      <c r="C252" t="str">
        <f>Calendar!O252</f>
        <v>No</v>
      </c>
      <c r="D252" t="str">
        <f>Calendar!P252</f>
        <v>No</v>
      </c>
      <c r="E252" t="str">
        <f>Calendar!Q252</f>
        <v>No</v>
      </c>
      <c r="F252" t="str">
        <f>Calendar!I252</f>
        <v>Thursday</v>
      </c>
      <c r="G252">
        <f>Calendar!S252</f>
        <v>5</v>
      </c>
      <c r="H252">
        <f>Calendar!T252</f>
        <v>5</v>
      </c>
      <c r="I252" s="27">
        <f>IF(VLOOKUP(A252,Calendar!$A$1:$R$1377,18,0)=0,0,IF(VLOOKUP(A252,Calendar!$A$1:$R$1377,18,0)=1,INDEX(Monthly_Pay_Model!$A$9:$D$40,MATCH(TEXT(A252,"dd"),Monthly_Pay_Model!$C$9:$C$39,0),4),IF(VLOOKUP(A252,Calendar!$A$1:$R$1377,18,0)=2,SUM(INDEX(Monthly_Pay_Model!$A$9:$D$40,MATCH(TEXT(A252,"dd"),Monthly_Pay_Model!$C$9:$C$39,0),4),INDEX(Monthly_Pay_Model!$A$9:$D$40,MATCH(TEXT(A253,"dd"),Monthly_Pay_Model!$C$9:$C$39,0),4)),IF(VLOOKUP(A252,Calendar!$A$1:$R$1377,18,0)=3,SUM(INDEX(Monthly_Pay_Model!$A$9:$D$40,MATCH(TEXT(A252,"dd"),Monthly_Pay_Model!$C$9:$C$39,0),4),INDEX(Monthly_Pay_Model!$A$9:$D$40,MATCH(TEXT(A253,"dd"),Monthly_Pay_Model!$C$9:$C$39,0),4),INDEX(Monthly_Pay_Model!$A$9:$D$40,MATCH(TEXT(A254,"dd"),Monthly_Pay_Model!$C$9:$C$39,0),4)),IF(VLOOKUP(A252,Calendar!$A$1:$R$1377,18,0)=4,SUM(INDEX(Monthly_Pay_Model!$A$9:$D$40,MATCH(TEXT(A252,"dd"),Monthly_Pay_Model!$C$9:$C$39,0),4),INDEX(Monthly_Pay_Model!$A$9:$D$40,MATCH(TEXT(A253,"dd"),Monthly_Pay_Model!$C$9:$C$39,0),4),INDEX(Monthly_Pay_Model!$A$9:$D$40,MATCH(TEXT(A254,"dd"),Monthly_Pay_Model!$C$9:$C$39,0),4),INDEX(Monthly_Pay_Model!$A$9:$D$40,MATCH(TEXT(A255,"dd"),Monthly_Pay_Model!$C$9:$C$39,0),4)),IF(VLOOKUP(A252,Calendar!$A$1:$R$1377,18,0)=5,SUM(INDEX(Monthly_Pay_Model!$A$9:$D$40,MATCH(TEXT(A252,"dd"),Monthly_Pay_Model!$C$9:$C$39,0),4),INDEX(Monthly_Pay_Model!$A$9:$D$40,MATCH(TEXT(A253,"dd"),Monthly_Pay_Model!$C$9:$C$39,0),4),INDEX(Monthly_Pay_Model!$A$9:$D$40,MATCH(TEXT(A254,"dd"),Monthly_Pay_Model!$C$9:$C$39,0),4),INDEX(Monthly_Pay_Model!$A$9:$D$40,MATCH(TEXT(A255,"dd"),Monthly_Pay_Model!$C$9:$C$39,0),4),INDEX(Monthly_Pay_Model!$A$9:$D$40,MATCH(TEXT(A256,"dd"),Monthly_Pay_Model!$C$9:$C$39,0),4)),))))))</f>
        <v>1.6251308900523558E-3</v>
      </c>
      <c r="J252" s="33">
        <f>IF(C252="Yes",Monthly_Pay_Model!$D$2,0)
+IF(Calendar!N252="Yes",Monthly_Pay_Model!$D$3,0)
+IF(D252="Yes",Monthly_Pay_Model!$D$4,0)
+IF(E252="Yes",Monthly_Pay_Model!$D$5,0)</f>
        <v>0</v>
      </c>
      <c r="K252" s="27">
        <f>IF(VLOOKUP($A252,Calendar!$A$1:$R$1377,18,0)=0,0,IF(VLOOKUP($A252,Calendar!$A$1:$R$1377,18,0)=1,IFERROR(INDEX(Weekly_Model!$D$2:$D$9,MATCH(F252,Weekly_Model!$A$2:$A$9,0)),0),IF(VLOOKUP($A252,Calendar!$A$1:$R$1377,18,0)=2,SUM(IFERROR(INDEX(Weekly_Model!$D$2:$D$9,MATCH(F252,Weekly_Model!$A$2:$A$9,0)),0),IFERROR(INDEX(Weekly_Model!$D$2:$D$9,MATCH(F253,Weekly_Model!$A$2:$A$9,0)),0)),IF(VLOOKUP($A252,Calendar!$A$1:$R$1377,18,0)=3,SUM(IFERROR(INDEX(Weekly_Model!$D$2:$D$9,MATCH(F252,Weekly_Model!$A$2:$A$9,0)),0),IFERROR(INDEX(Weekly_Model!$D$2:$D$9,MATCH(F253,Weekly_Model!$A$2:$A$9,0)),0),IFERROR(INDEX(Weekly_Model!$D$2:$D$9,MATCH(F254,Weekly_Model!$A$2:$A$9,0)),0)),IF(VLOOKUP($A252,Calendar!$A$1:$R$1377,18,0)=4,SUM(IFERROR(INDEX(Weekly_Model!$D$2:$D$9,MATCH(F252,Weekly_Model!$A$2:$A$9,0)),0),IFERROR(INDEX(Weekly_Model!$D$2:$D$9,MATCH(F253,Weekly_Model!$A$2:$A$9,0)),0),IFERROR(INDEX(Weekly_Model!$D$2:$D$9,MATCH(F254,Weekly_Model!$A$2:$A$9,0)),0),IFERROR(INDEX(Weekly_Model!$D$2:$D$9,MATCH(F255,Weekly_Model!$A$2:$A$9,0)),0)),IF(VLOOKUP($A252,Calendar!$A$1:$R$1377,18,0)=5,SUM(IFERROR(INDEX(Weekly_Model!$D$2:$D$9,MATCH(F252,Weekly_Model!$A$2:$A$9,0)),0),IFERROR(INDEX(Weekly_Model!$D$2:$D$9,MATCH(F253,Weekly_Model!$A$2:$A$9,0)),0),IFERROR(INDEX(Weekly_Model!$D$2:$D$9,MATCH(F254,Weekly_Model!$A$2:$A$9,0)),0),IFERROR(INDEX(Weekly_Model!$D$2:$D$9,MATCH(F255,Weekly_Model!$A$2:$A$9,0)),0),IFERROR(INDEX(Weekly_Model!$D$2:$D$9,MATCH(F256,Weekly_Model!$A$2:$A$9,0)),0)),0))))))</f>
        <v>2.3200000000000002E-2</v>
      </c>
      <c r="L252" s="27">
        <f>IF(VLOOKUP($A252,Calendar!$A$1:$R$1377,18,0)=0,0,IF(VLOOKUP($A252,Calendar!$A$1:$R$1377,18,0)=1,IFERROR(INDEX(Fortnightly_Model!$D$2:$D$15,MATCH(G252,Fortnightly_Model!$B$2:$B$15,0)),0),IF(VLOOKUP($A252,Calendar!$A$1:$R$1377,18,0)=2,SUM(IFERROR(INDEX(Fortnightly_Model!$D$2:$D$15,MATCH(G252,Fortnightly_Model!$B$2:$B$15,0)),0),IFERROR(INDEX(Fortnightly_Model!$D$2:$D$15,MATCH(G253,Fortnightly_Model!$B$2:$B$15,0)),0)),IF(VLOOKUP($A252,Calendar!$A$1:$R$1377,18,0)=3,SUM(IFERROR(INDEX(Fortnightly_Model!$D$2:$D$15,MATCH(G252,Fortnightly_Model!$B$2:$B$15,0)),0),IFERROR(INDEX(Fortnightly_Model!$D$2:$D$15,MATCH(G253,Fortnightly_Model!$B$2:$B$15,0)),0),IFERROR(INDEX(Fortnightly_Model!$D$2:$D$15,MATCH(G254,Fortnightly_Model!$B$2:$B$15,0)),0)),IF(VLOOKUP($A252,Calendar!$A$1:$R$1377,18,0)=4,SUM(IFERROR(INDEX(Fortnightly_Model!$D$2:$D$15,MATCH(G252,Fortnightly_Model!$B$2:$B$15,0)),0),IFERROR(INDEX(Fortnightly_Model!$D$2:$D$15,MATCH(G253,Fortnightly_Model!$B$2:$B$15,0)),0),IFERROR(INDEX(Fortnightly_Model!$D$2:$D$15,MATCH(G254,Fortnightly_Model!$B$2:$B$15,0)),0),IFERROR(INDEX(Fortnightly_Model!$D$2:$D$15,MATCH(G255,Fortnightly_Model!$B$2:$B$15,0)),0)),IF(VLOOKUP($A252,Calendar!$A$1:$R$1377,18,0)=5,SUM(IFERROR(INDEX(Fortnightly_Model!$D$2:$D$15,MATCH(G252,Fortnightly_Model!$B$2:$B$15,0)),0),IFERROR(INDEX(Fortnightly_Model!$D$2:$D$15,MATCH(G253,Fortnightly_Model!$B$2:$B$15,0)),0),IFERROR(INDEX(Fortnightly_Model!$D$2:$D$15,MATCH(G254,Fortnightly_Model!$B$2:$B$15,0)),0),IFERROR(INDEX(Fortnightly_Model!$D$2:$D$15,MATCH(G255,Fortnightly_Model!$B$2:$B$15,0)),0),IFERROR(INDEX(Fortnightly_Model!$D$2:$D$15,MATCH(G256,Fortnightly_Model!$B$2:$B$15,0)),0)),0))))))</f>
        <v>1.0714285499999999E-3</v>
      </c>
      <c r="M252" s="27">
        <f>IF(VLOOKUP($A252,Calendar!$A$1:$R$1377,18,0)=0,0,IF(VLOOKUP($A252,Calendar!$A$1:$R$1377,18,0)=1,IFERROR(INDEX(FourWeekly_Model!$D$2:$D$29,MATCH(H252,FourWeekly_Model!$B$2:$B$29,0)),0),IF(VLOOKUP($A252,Calendar!$A$1:$R$1377,18,0)=2,SUM(IFERROR(INDEX(FourWeekly_Model!$D$2:$D$29,MATCH(H252,FourWeekly_Model!$B$2:$B$29,0)),0),IFERROR(INDEX(FourWeekly_Model!$D$2:$D$29,MATCH(H253,FourWeekly_Model!$B$2:$B$29,0)),0)),IF(VLOOKUP($A252,Calendar!$A$1:$R$1377,18,0)=3,SUM(IFERROR(INDEX(FourWeekly_Model!$D$2:$D$29,MATCH(H252,FourWeekly_Model!$B$2:$B$29,0)),0),IFERROR(INDEX(FourWeekly_Model!$D$2:$D$29,MATCH(H253,FourWeekly_Model!$B$2:$B$29,0)),0),IFERROR(INDEX(FourWeekly_Model!$D$2:$D$29,MATCH(H254,FourWeekly_Model!$B$2:$B$29,0)),0)),IF(VLOOKUP($A252,Calendar!$A$1:$R$1377,18,0)=4,SUM(IFERROR(INDEX(FourWeekly_Model!$D$2:$D$29,MATCH(H252,FourWeekly_Model!$B$2:$B$29,0)),0),IFERROR(INDEX(FourWeekly_Model!$D$2:$D$29,MATCH(H253,FourWeekly_Model!$B$2:$B$29,0)),0),IFERROR(INDEX(FourWeekly_Model!$D$2:$D$29,MATCH(H254,FourWeekly_Model!$B$2:$B$29,0)),0),IFERROR(INDEX(FourWeekly_Model!$D$2:$D$29,MATCH(H255,FourWeekly_Model!$B$2:$B$29,0)),0)),IF(VLOOKUP($A252,Calendar!$A$1:$R$1377,18,0)=5,SUM(IFERROR(INDEX(FourWeekly_Model!$D$2:$D$29,MATCH(H252,FourWeekly_Model!$B$2:$B$29,0)),0),IFERROR(INDEX(FourWeekly_Model!$D$2:$D$29,MATCH(H253,FourWeekly_Model!$B$2:$B$29,0)),0),IFERROR(INDEX(FourWeekly_Model!$D$2:$D$29,MATCH(H254,FourWeekly_Model!$B$2:$B$29,0)),0),IFERROR(INDEX(FourWeekly_Model!$D$2:$D$29,MATCH(H255,FourWeekly_Model!$B$2:$B$29,0)),0),IFERROR(INDEX(FourWeekly_Model!$D$2:$D$29,MATCH(H256,FourWeekly_Model!$B$2:$B$29,0)),0)),0))))))</f>
        <v>3.3214289700000004E-3</v>
      </c>
      <c r="N252" s="27">
        <f>SUM(I252:M252)</f>
        <v>2.921798841005236E-2</v>
      </c>
      <c r="O252" s="28">
        <f>Population_Data!$B$8*N252</f>
        <v>885305.04882458656</v>
      </c>
      <c r="P252" s="27">
        <f>IF(VLOOKUP($A252,Calendar!$A$1:$R$1377,18,0)=0,0,IF(VLOOKUP($A252,Calendar!$A$1:$R$1377,18,0)=1,IFERROR(INDEX(Pension_Model!$D$2:$D$29,MATCH(H252,Pension_Model!$B$2:$B$29,0)),0),IF(VLOOKUP($A252,Calendar!$A$1:$R$1377,18,0)=2,SUM(IFERROR(INDEX(Pension_Model!$D$2:$D$29,MATCH(H252,Pension_Model!$B$2:$B$29,0)),0),IFERROR(INDEX(Pension_Model!$D$2:$D$29,MATCH(H253,Pension_Model!$B$2:$B$29,0)),0)),IF(VLOOKUP($A252,Calendar!$A$1:$R$1377,18,0)=3,SUM(IFERROR(INDEX(Pension_Model!$D$2:$D$29,MATCH(H252,Pension_Model!$B$2:$B$29,0)),0),IFERROR(INDEX(Pension_Model!$D$2:$D$29,MATCH(H253,Pension_Model!$B$2:$B$29,0)),0),IFERROR(INDEX(Pension_Model!$D$2:$D$29,MATCH(H254,Pension_Model!$B$2:$B$29,0)),0)),IF(VLOOKUP($A252,Calendar!$A$1:$R$1377,18,0)=4,SUM(IFERROR(INDEX(Pension_Model!$D$2:$D$29,MATCH(H252,Pension_Model!$B$2:$B$29,0)),0),IFERROR(INDEX(Pension_Model!$D$2:$D$29,MATCH(H253,Pension_Model!$B$2:$B$29,0)),0),IFERROR(INDEX(Pension_Model!$D$2:$D$29,MATCH(H254,Pension_Model!$B$2:$B$29,0)),0),IFERROR(INDEX(Pension_Model!$D$2:$D$29,MATCH(H255,Pension_Model!$B$2:$B$29,0)),0)),IF(VLOOKUP($A252,Calendar!$A$1:$R$1377,18,0)=5,SUM(IFERROR(INDEX(Pension_Model!$D$2:$D$29,MATCH(H252,Pension_Model!$B$2:$B$29,0)),0),IFERROR(INDEX(Pension_Model!$D$2:$D$29,MATCH(H253,Pension_Model!$B$2:$B$29,0)),0),IFERROR(INDEX(Pension_Model!$D$2:$D$29,MATCH(H254,Pension_Model!$B$2:$B$29,0)),0),IFERROR(INDEX(Pension_Model!$D$2:$D$29,MATCH(H255,Pension_Model!$B$2:$B$29,0)),0),IFERROR(INDEX(Pension_Model!$D$2:$D$29,MATCH(H256,Pension_Model!$B$2:$B$29,0)),0)),0))))))</f>
        <v>0.05</v>
      </c>
      <c r="Q252" s="28">
        <f>Population_Data!$B$15*P252</f>
        <v>660600</v>
      </c>
      <c r="S252">
        <f t="shared" si="3"/>
        <v>1545905.0488245864</v>
      </c>
      <c r="U252" s="33">
        <f>S252/Population_Data!$B$19</f>
        <v>2.8005526246822218E-2</v>
      </c>
    </row>
    <row r="253" spans="1:21">
      <c r="A253" s="25">
        <f>Calendar!A253</f>
        <v>46486</v>
      </c>
      <c r="B253" t="str">
        <f>Calendar!L253</f>
        <v>Yes</v>
      </c>
      <c r="C253" t="str">
        <f>Calendar!O253</f>
        <v>No</v>
      </c>
      <c r="D253" t="str">
        <f>Calendar!P253</f>
        <v>No</v>
      </c>
      <c r="E253" t="str">
        <f>Calendar!Q253</f>
        <v>No</v>
      </c>
      <c r="F253" t="str">
        <f>Calendar!I253</f>
        <v>Friday</v>
      </c>
      <c r="G253">
        <f>Calendar!S253</f>
        <v>6</v>
      </c>
      <c r="H253">
        <f>Calendar!T253</f>
        <v>6</v>
      </c>
      <c r="I253" s="27">
        <f>IF(VLOOKUP(A253,Calendar!$A$1:$R$1377,18,0)=0,0,IF(VLOOKUP(A253,Calendar!$A$1:$R$1377,18,0)=1,INDEX(Monthly_Pay_Model!$A$9:$D$40,MATCH(TEXT(A253,"dd"),Monthly_Pay_Model!$C$9:$C$39,0),4),IF(VLOOKUP(A253,Calendar!$A$1:$R$1377,18,0)=2,SUM(INDEX(Monthly_Pay_Model!$A$9:$D$40,MATCH(TEXT(A253,"dd"),Monthly_Pay_Model!$C$9:$C$39,0),4),INDEX(Monthly_Pay_Model!$A$9:$D$40,MATCH(TEXT(A254,"dd"),Monthly_Pay_Model!$C$9:$C$39,0),4)),IF(VLOOKUP(A253,Calendar!$A$1:$R$1377,18,0)=3,SUM(INDEX(Monthly_Pay_Model!$A$9:$D$40,MATCH(TEXT(A253,"dd"),Monthly_Pay_Model!$C$9:$C$39,0),4),INDEX(Monthly_Pay_Model!$A$9:$D$40,MATCH(TEXT(A254,"dd"),Monthly_Pay_Model!$C$9:$C$39,0),4),INDEX(Monthly_Pay_Model!$A$9:$D$40,MATCH(TEXT(A255,"dd"),Monthly_Pay_Model!$C$9:$C$39,0),4)),IF(VLOOKUP(A253,Calendar!$A$1:$R$1377,18,0)=4,SUM(INDEX(Monthly_Pay_Model!$A$9:$D$40,MATCH(TEXT(A253,"dd"),Monthly_Pay_Model!$C$9:$C$39,0),4),INDEX(Monthly_Pay_Model!$A$9:$D$40,MATCH(TEXT(A254,"dd"),Monthly_Pay_Model!$C$9:$C$39,0),4),INDEX(Monthly_Pay_Model!$A$9:$D$40,MATCH(TEXT(A255,"dd"),Monthly_Pay_Model!$C$9:$C$39,0),4),INDEX(Monthly_Pay_Model!$A$9:$D$40,MATCH(TEXT(A256,"dd"),Monthly_Pay_Model!$C$9:$C$39,0),4)),IF(VLOOKUP(A253,Calendar!$A$1:$R$1377,18,0)=5,SUM(INDEX(Monthly_Pay_Model!$A$9:$D$40,MATCH(TEXT(A253,"dd"),Monthly_Pay_Model!$C$9:$C$39,0),4),INDEX(Monthly_Pay_Model!$A$9:$D$40,MATCH(TEXT(A254,"dd"),Monthly_Pay_Model!$C$9:$C$39,0),4),INDEX(Monthly_Pay_Model!$A$9:$D$40,MATCH(TEXT(A255,"dd"),Monthly_Pay_Model!$C$9:$C$39,0),4),INDEX(Monthly_Pay_Model!$A$9:$D$40,MATCH(TEXT(A256,"dd"),Monthly_Pay_Model!$C$9:$C$39,0),4),INDEX(Monthly_Pay_Model!$A$9:$D$40,MATCH(TEXT(A257,"dd"),Monthly_Pay_Model!$C$9:$C$39,0),4)),))))))</f>
        <v>6.5005235602094216E-3</v>
      </c>
      <c r="J253" s="33">
        <f>IF(C253="Yes",Monthly_Pay_Model!$D$2,0)
+IF(Calendar!N253="Yes",Monthly_Pay_Model!$D$3,0)
+IF(D253="Yes",Monthly_Pay_Model!$D$4,0)
+IF(E253="Yes",Monthly_Pay_Model!$D$5,0)</f>
        <v>0</v>
      </c>
      <c r="K253" s="27">
        <f>IF(VLOOKUP($A253,Calendar!$A$1:$R$1377,18,0)=0,0,IF(VLOOKUP($A253,Calendar!$A$1:$R$1377,18,0)=1,IFERROR(INDEX(Weekly_Model!$D$2:$D$9,MATCH(F253,Weekly_Model!$A$2:$A$9,0)),0),IF(VLOOKUP($A253,Calendar!$A$1:$R$1377,18,0)=2,SUM(IFERROR(INDEX(Weekly_Model!$D$2:$D$9,MATCH(F253,Weekly_Model!$A$2:$A$9,0)),0),IFERROR(INDEX(Weekly_Model!$D$2:$D$9,MATCH(F254,Weekly_Model!$A$2:$A$9,0)),0)),IF(VLOOKUP($A253,Calendar!$A$1:$R$1377,18,0)=3,SUM(IFERROR(INDEX(Weekly_Model!$D$2:$D$9,MATCH(F253,Weekly_Model!$A$2:$A$9,0)),0),IFERROR(INDEX(Weekly_Model!$D$2:$D$9,MATCH(F254,Weekly_Model!$A$2:$A$9,0)),0),IFERROR(INDEX(Weekly_Model!$D$2:$D$9,MATCH(F255,Weekly_Model!$A$2:$A$9,0)),0)),IF(VLOOKUP($A253,Calendar!$A$1:$R$1377,18,0)=4,SUM(IFERROR(INDEX(Weekly_Model!$D$2:$D$9,MATCH(F253,Weekly_Model!$A$2:$A$9,0)),0),IFERROR(INDEX(Weekly_Model!$D$2:$D$9,MATCH(F254,Weekly_Model!$A$2:$A$9,0)),0),IFERROR(INDEX(Weekly_Model!$D$2:$D$9,MATCH(F255,Weekly_Model!$A$2:$A$9,0)),0),IFERROR(INDEX(Weekly_Model!$D$2:$D$9,MATCH(F256,Weekly_Model!$A$2:$A$9,0)),0)),IF(VLOOKUP($A253,Calendar!$A$1:$R$1377,18,0)=5,SUM(IFERROR(INDEX(Weekly_Model!$D$2:$D$9,MATCH(F253,Weekly_Model!$A$2:$A$9,0)),0),IFERROR(INDEX(Weekly_Model!$D$2:$D$9,MATCH(F254,Weekly_Model!$A$2:$A$9,0)),0),IFERROR(INDEX(Weekly_Model!$D$2:$D$9,MATCH(F255,Weekly_Model!$A$2:$A$9,0)),0),IFERROR(INDEX(Weekly_Model!$D$2:$D$9,MATCH(F256,Weekly_Model!$A$2:$A$9,0)),0),IFERROR(INDEX(Weekly_Model!$D$2:$D$9,MATCH(F257,Weekly_Model!$A$2:$A$9,0)),0)),0))))))</f>
        <v>2.3200000000000002E-2</v>
      </c>
      <c r="L253" s="27">
        <f>IF(VLOOKUP($A253,Calendar!$A$1:$R$1377,18,0)=0,0,IF(VLOOKUP($A253,Calendar!$A$1:$R$1377,18,0)=1,IFERROR(INDEX(Fortnightly_Model!$D$2:$D$15,MATCH(G253,Fortnightly_Model!$B$2:$B$15,0)),0),IF(VLOOKUP($A253,Calendar!$A$1:$R$1377,18,0)=2,SUM(IFERROR(INDEX(Fortnightly_Model!$D$2:$D$15,MATCH(G253,Fortnightly_Model!$B$2:$B$15,0)),0),IFERROR(INDEX(Fortnightly_Model!$D$2:$D$15,MATCH(G254,Fortnightly_Model!$B$2:$B$15,0)),0)),IF(VLOOKUP($A253,Calendar!$A$1:$R$1377,18,0)=3,SUM(IFERROR(INDEX(Fortnightly_Model!$D$2:$D$15,MATCH(G253,Fortnightly_Model!$B$2:$B$15,0)),0),IFERROR(INDEX(Fortnightly_Model!$D$2:$D$15,MATCH(G254,Fortnightly_Model!$B$2:$B$15,0)),0),IFERROR(INDEX(Fortnightly_Model!$D$2:$D$15,MATCH(G255,Fortnightly_Model!$B$2:$B$15,0)),0)),IF(VLOOKUP($A253,Calendar!$A$1:$R$1377,18,0)=4,SUM(IFERROR(INDEX(Fortnightly_Model!$D$2:$D$15,MATCH(G253,Fortnightly_Model!$B$2:$B$15,0)),0),IFERROR(INDEX(Fortnightly_Model!$D$2:$D$15,MATCH(G254,Fortnightly_Model!$B$2:$B$15,0)),0),IFERROR(INDEX(Fortnightly_Model!$D$2:$D$15,MATCH(G255,Fortnightly_Model!$B$2:$B$15,0)),0),IFERROR(INDEX(Fortnightly_Model!$D$2:$D$15,MATCH(G256,Fortnightly_Model!$B$2:$B$15,0)),0)),IF(VLOOKUP($A253,Calendar!$A$1:$R$1377,18,0)=5,SUM(IFERROR(INDEX(Fortnightly_Model!$D$2:$D$15,MATCH(G253,Fortnightly_Model!$B$2:$B$15,0)),0),IFERROR(INDEX(Fortnightly_Model!$D$2:$D$15,MATCH(G254,Fortnightly_Model!$B$2:$B$15,0)),0),IFERROR(INDEX(Fortnightly_Model!$D$2:$D$15,MATCH(G255,Fortnightly_Model!$B$2:$B$15,0)),0),IFERROR(INDEX(Fortnightly_Model!$D$2:$D$15,MATCH(G256,Fortnightly_Model!$B$2:$B$15,0)),0),IFERROR(INDEX(Fortnightly_Model!$D$2:$D$15,MATCH(G257,Fortnightly_Model!$B$2:$B$15,0)),0)),0))))))</f>
        <v>3.2142856499999999E-3</v>
      </c>
      <c r="M253" s="27">
        <f>IF(VLOOKUP($A253,Calendar!$A$1:$R$1377,18,0)=0,0,IF(VLOOKUP($A253,Calendar!$A$1:$R$1377,18,0)=1,IFERROR(INDEX(FourWeekly_Model!$D$2:$D$29,MATCH(H253,FourWeekly_Model!$B$2:$B$29,0)),0),IF(VLOOKUP($A253,Calendar!$A$1:$R$1377,18,0)=2,SUM(IFERROR(INDEX(FourWeekly_Model!$D$2:$D$29,MATCH(H253,FourWeekly_Model!$B$2:$B$29,0)),0),IFERROR(INDEX(FourWeekly_Model!$D$2:$D$29,MATCH(H254,FourWeekly_Model!$B$2:$B$29,0)),0)),IF(VLOOKUP($A253,Calendar!$A$1:$R$1377,18,0)=3,SUM(IFERROR(INDEX(FourWeekly_Model!$D$2:$D$29,MATCH(H253,FourWeekly_Model!$B$2:$B$29,0)),0),IFERROR(INDEX(FourWeekly_Model!$D$2:$D$29,MATCH(H254,FourWeekly_Model!$B$2:$B$29,0)),0),IFERROR(INDEX(FourWeekly_Model!$D$2:$D$29,MATCH(H255,FourWeekly_Model!$B$2:$B$29,0)),0)),IF(VLOOKUP($A253,Calendar!$A$1:$R$1377,18,0)=4,SUM(IFERROR(INDEX(FourWeekly_Model!$D$2:$D$29,MATCH(H253,FourWeekly_Model!$B$2:$B$29,0)),0),IFERROR(INDEX(FourWeekly_Model!$D$2:$D$29,MATCH(H254,FourWeekly_Model!$B$2:$B$29,0)),0),IFERROR(INDEX(FourWeekly_Model!$D$2:$D$29,MATCH(H255,FourWeekly_Model!$B$2:$B$29,0)),0),IFERROR(INDEX(FourWeekly_Model!$D$2:$D$29,MATCH(H256,FourWeekly_Model!$B$2:$B$29,0)),0)),IF(VLOOKUP($A253,Calendar!$A$1:$R$1377,18,0)=5,SUM(IFERROR(INDEX(FourWeekly_Model!$D$2:$D$29,MATCH(H253,FourWeekly_Model!$B$2:$B$29,0)),0),IFERROR(INDEX(FourWeekly_Model!$D$2:$D$29,MATCH(H254,FourWeekly_Model!$B$2:$B$29,0)),0),IFERROR(INDEX(FourWeekly_Model!$D$2:$D$29,MATCH(H255,FourWeekly_Model!$B$2:$B$29,0)),0),IFERROR(INDEX(FourWeekly_Model!$D$2:$D$29,MATCH(H256,FourWeekly_Model!$B$2:$B$29,0)),0),IFERROR(INDEX(FourWeekly_Model!$D$2:$D$29,MATCH(H257,FourWeekly_Model!$B$2:$B$29,0)),0)),0))))))</f>
        <v>9.9642859800000011E-3</v>
      </c>
      <c r="N253" s="27">
        <f>SUM(I253:M253)</f>
        <v>4.2879095190209424E-2</v>
      </c>
      <c r="O253" s="28">
        <f>Population_Data!$B$8*N253</f>
        <v>1299236.5842633455</v>
      </c>
      <c r="P253" s="27">
        <f>IF(VLOOKUP($A253,Calendar!$A$1:$R$1377,18,0)=0,0,IF(VLOOKUP($A253,Calendar!$A$1:$R$1377,18,0)=1,IFERROR(INDEX(Pension_Model!$D$2:$D$29,MATCH(H253,Pension_Model!$B$2:$B$29,0)),0),IF(VLOOKUP($A253,Calendar!$A$1:$R$1377,18,0)=2,SUM(IFERROR(INDEX(Pension_Model!$D$2:$D$29,MATCH(H253,Pension_Model!$B$2:$B$29,0)),0),IFERROR(INDEX(Pension_Model!$D$2:$D$29,MATCH(H254,Pension_Model!$B$2:$B$29,0)),0)),IF(VLOOKUP($A253,Calendar!$A$1:$R$1377,18,0)=3,SUM(IFERROR(INDEX(Pension_Model!$D$2:$D$29,MATCH(H253,Pension_Model!$B$2:$B$29,0)),0),IFERROR(INDEX(Pension_Model!$D$2:$D$29,MATCH(H254,Pension_Model!$B$2:$B$29,0)),0),IFERROR(INDEX(Pension_Model!$D$2:$D$29,MATCH(H255,Pension_Model!$B$2:$B$29,0)),0)),IF(VLOOKUP($A253,Calendar!$A$1:$R$1377,18,0)=4,SUM(IFERROR(INDEX(Pension_Model!$D$2:$D$29,MATCH(H253,Pension_Model!$B$2:$B$29,0)),0),IFERROR(INDEX(Pension_Model!$D$2:$D$29,MATCH(H254,Pension_Model!$B$2:$B$29,0)),0),IFERROR(INDEX(Pension_Model!$D$2:$D$29,MATCH(H255,Pension_Model!$B$2:$B$29,0)),0),IFERROR(INDEX(Pension_Model!$D$2:$D$29,MATCH(H256,Pension_Model!$B$2:$B$29,0)),0)),IF(VLOOKUP($A253,Calendar!$A$1:$R$1377,18,0)=5,SUM(IFERROR(INDEX(Pension_Model!$D$2:$D$29,MATCH(H253,Pension_Model!$B$2:$B$29,0)),0),IFERROR(INDEX(Pension_Model!$D$2:$D$29,MATCH(H254,Pension_Model!$B$2:$B$29,0)),0),IFERROR(INDEX(Pension_Model!$D$2:$D$29,MATCH(H255,Pension_Model!$B$2:$B$29,0)),0),IFERROR(INDEX(Pension_Model!$D$2:$D$29,MATCH(H256,Pension_Model!$B$2:$B$29,0)),0),IFERROR(INDEX(Pension_Model!$D$2:$D$29,MATCH(H257,Pension_Model!$B$2:$B$29,0)),0)),0))))))</f>
        <v>0.05</v>
      </c>
      <c r="Q253" s="28">
        <f>Population_Data!$B$15*P253</f>
        <v>660600</v>
      </c>
      <c r="S253">
        <f t="shared" si="3"/>
        <v>1959836.5842633455</v>
      </c>
      <c r="U253" s="33">
        <f>S253/Population_Data!$B$19</f>
        <v>3.5504285946799739E-2</v>
      </c>
    </row>
    <row r="254" spans="1:21">
      <c r="A254" s="25">
        <f>Calendar!A254</f>
        <v>46487</v>
      </c>
      <c r="B254" t="str">
        <f>Calendar!L254</f>
        <v>No</v>
      </c>
      <c r="C254" t="str">
        <f>Calendar!O254</f>
        <v>No</v>
      </c>
      <c r="D254" t="str">
        <f>Calendar!P254</f>
        <v>No</v>
      </c>
      <c r="E254" t="str">
        <f>Calendar!Q254</f>
        <v>No</v>
      </c>
      <c r="F254" t="str">
        <f>Calendar!I254</f>
        <v>Saturday</v>
      </c>
      <c r="G254">
        <f>Calendar!S254</f>
        <v>7</v>
      </c>
      <c r="H254">
        <f>Calendar!T254</f>
        <v>7</v>
      </c>
      <c r="I254" s="27">
        <f>IF(VLOOKUP(A254,Calendar!$A$1:$R$1377,18,0)=0,0,IF(VLOOKUP(A254,Calendar!$A$1:$R$1377,18,0)=1,INDEX(Monthly_Pay_Model!$A$9:$D$40,MATCH(TEXT(A254,"dd"),Monthly_Pay_Model!$C$9:$C$39,0),4),IF(VLOOKUP(A254,Calendar!$A$1:$R$1377,18,0)=2,SUM(INDEX(Monthly_Pay_Model!$A$9:$D$40,MATCH(TEXT(A254,"dd"),Monthly_Pay_Model!$C$9:$C$39,0),4),INDEX(Monthly_Pay_Model!$A$9:$D$40,MATCH(TEXT(A255,"dd"),Monthly_Pay_Model!$C$9:$C$39,0),4)),IF(VLOOKUP(A254,Calendar!$A$1:$R$1377,18,0)=3,SUM(INDEX(Monthly_Pay_Model!$A$9:$D$40,MATCH(TEXT(A254,"dd"),Monthly_Pay_Model!$C$9:$C$39,0),4),INDEX(Monthly_Pay_Model!$A$9:$D$40,MATCH(TEXT(A255,"dd"),Monthly_Pay_Model!$C$9:$C$39,0),4),INDEX(Monthly_Pay_Model!$A$9:$D$40,MATCH(TEXT(A256,"dd"),Monthly_Pay_Model!$C$9:$C$39,0),4)),IF(VLOOKUP(A254,Calendar!$A$1:$R$1377,18,0)=4,SUM(INDEX(Monthly_Pay_Model!$A$9:$D$40,MATCH(TEXT(A254,"dd"),Monthly_Pay_Model!$C$9:$C$39,0),4),INDEX(Monthly_Pay_Model!$A$9:$D$40,MATCH(TEXT(A255,"dd"),Monthly_Pay_Model!$C$9:$C$39,0),4),INDEX(Monthly_Pay_Model!$A$9:$D$40,MATCH(TEXT(A256,"dd"),Monthly_Pay_Model!$C$9:$C$39,0),4),INDEX(Monthly_Pay_Model!$A$9:$D$40,MATCH(TEXT(A257,"dd"),Monthly_Pay_Model!$C$9:$C$39,0),4)),IF(VLOOKUP(A254,Calendar!$A$1:$R$1377,18,0)=5,SUM(INDEX(Monthly_Pay_Model!$A$9:$D$40,MATCH(TEXT(A254,"dd"),Monthly_Pay_Model!$C$9:$C$39,0),4),INDEX(Monthly_Pay_Model!$A$9:$D$40,MATCH(TEXT(A255,"dd"),Monthly_Pay_Model!$C$9:$C$39,0),4),INDEX(Monthly_Pay_Model!$A$9:$D$40,MATCH(TEXT(A256,"dd"),Monthly_Pay_Model!$C$9:$C$39,0),4),INDEX(Monthly_Pay_Model!$A$9:$D$40,MATCH(TEXT(A257,"dd"),Monthly_Pay_Model!$C$9:$C$39,0),4),INDEX(Monthly_Pay_Model!$A$9:$D$40,MATCH(TEXT(A258,"dd"),Monthly_Pay_Model!$C$9:$C$39,0),4)),))))))</f>
        <v>0</v>
      </c>
      <c r="J254" s="33">
        <f>IF(C254="Yes",Monthly_Pay_Model!$D$2,0)
+IF(Calendar!N254="Yes",Monthly_Pay_Model!$D$3,0)
+IF(D254="Yes",Monthly_Pay_Model!$D$4,0)
+IF(E254="Yes",Monthly_Pay_Model!$D$5,0)</f>
        <v>0</v>
      </c>
      <c r="K254" s="27">
        <f>IF(VLOOKUP($A254,Calendar!$A$1:$R$1377,18,0)=0,0,IF(VLOOKUP($A254,Calendar!$A$1:$R$1377,18,0)=1,IFERROR(INDEX(Weekly_Model!$D$2:$D$9,MATCH(F254,Weekly_Model!$A$2:$A$9,0)),0),IF(VLOOKUP($A254,Calendar!$A$1:$R$1377,18,0)=2,SUM(IFERROR(INDEX(Weekly_Model!$D$2:$D$9,MATCH(F254,Weekly_Model!$A$2:$A$9,0)),0),IFERROR(INDEX(Weekly_Model!$D$2:$D$9,MATCH(F255,Weekly_Model!$A$2:$A$9,0)),0)),IF(VLOOKUP($A254,Calendar!$A$1:$R$1377,18,0)=3,SUM(IFERROR(INDEX(Weekly_Model!$D$2:$D$9,MATCH(F254,Weekly_Model!$A$2:$A$9,0)),0),IFERROR(INDEX(Weekly_Model!$D$2:$D$9,MATCH(F255,Weekly_Model!$A$2:$A$9,0)),0),IFERROR(INDEX(Weekly_Model!$D$2:$D$9,MATCH(F256,Weekly_Model!$A$2:$A$9,0)),0)),IF(VLOOKUP($A254,Calendar!$A$1:$R$1377,18,0)=4,SUM(IFERROR(INDEX(Weekly_Model!$D$2:$D$9,MATCH(F254,Weekly_Model!$A$2:$A$9,0)),0),IFERROR(INDEX(Weekly_Model!$D$2:$D$9,MATCH(F255,Weekly_Model!$A$2:$A$9,0)),0),IFERROR(INDEX(Weekly_Model!$D$2:$D$9,MATCH(F256,Weekly_Model!$A$2:$A$9,0)),0),IFERROR(INDEX(Weekly_Model!$D$2:$D$9,MATCH(F257,Weekly_Model!$A$2:$A$9,0)),0)),IF(VLOOKUP($A254,Calendar!$A$1:$R$1377,18,0)=5,SUM(IFERROR(INDEX(Weekly_Model!$D$2:$D$9,MATCH(F254,Weekly_Model!$A$2:$A$9,0)),0),IFERROR(INDEX(Weekly_Model!$D$2:$D$9,MATCH(F255,Weekly_Model!$A$2:$A$9,0)),0),IFERROR(INDEX(Weekly_Model!$D$2:$D$9,MATCH(F256,Weekly_Model!$A$2:$A$9,0)),0),IFERROR(INDEX(Weekly_Model!$D$2:$D$9,MATCH(F257,Weekly_Model!$A$2:$A$9,0)),0),IFERROR(INDEX(Weekly_Model!$D$2:$D$9,MATCH(F258,Weekly_Model!$A$2:$A$9,0)),0)),0))))))</f>
        <v>0</v>
      </c>
      <c r="L254" s="27">
        <f>IF(VLOOKUP($A254,Calendar!$A$1:$R$1377,18,0)=0,0,IF(VLOOKUP($A254,Calendar!$A$1:$R$1377,18,0)=1,IFERROR(INDEX(Fortnightly_Model!$D$2:$D$15,MATCH(G254,Fortnightly_Model!$B$2:$B$15,0)),0),IF(VLOOKUP($A254,Calendar!$A$1:$R$1377,18,0)=2,SUM(IFERROR(INDEX(Fortnightly_Model!$D$2:$D$15,MATCH(G254,Fortnightly_Model!$B$2:$B$15,0)),0),IFERROR(INDEX(Fortnightly_Model!$D$2:$D$15,MATCH(G255,Fortnightly_Model!$B$2:$B$15,0)),0)),IF(VLOOKUP($A254,Calendar!$A$1:$R$1377,18,0)=3,SUM(IFERROR(INDEX(Fortnightly_Model!$D$2:$D$15,MATCH(G254,Fortnightly_Model!$B$2:$B$15,0)),0),IFERROR(INDEX(Fortnightly_Model!$D$2:$D$15,MATCH(G255,Fortnightly_Model!$B$2:$B$15,0)),0),IFERROR(INDEX(Fortnightly_Model!$D$2:$D$15,MATCH(G256,Fortnightly_Model!$B$2:$B$15,0)),0)),IF(VLOOKUP($A254,Calendar!$A$1:$R$1377,18,0)=4,SUM(IFERROR(INDEX(Fortnightly_Model!$D$2:$D$15,MATCH(G254,Fortnightly_Model!$B$2:$B$15,0)),0),IFERROR(INDEX(Fortnightly_Model!$D$2:$D$15,MATCH(G255,Fortnightly_Model!$B$2:$B$15,0)),0),IFERROR(INDEX(Fortnightly_Model!$D$2:$D$15,MATCH(G256,Fortnightly_Model!$B$2:$B$15,0)),0),IFERROR(INDEX(Fortnightly_Model!$D$2:$D$15,MATCH(G257,Fortnightly_Model!$B$2:$B$15,0)),0)),IF(VLOOKUP($A254,Calendar!$A$1:$R$1377,18,0)=5,SUM(IFERROR(INDEX(Fortnightly_Model!$D$2:$D$15,MATCH(G254,Fortnightly_Model!$B$2:$B$15,0)),0),IFERROR(INDEX(Fortnightly_Model!$D$2:$D$15,MATCH(G255,Fortnightly_Model!$B$2:$B$15,0)),0),IFERROR(INDEX(Fortnightly_Model!$D$2:$D$15,MATCH(G256,Fortnightly_Model!$B$2:$B$15,0)),0),IFERROR(INDEX(Fortnightly_Model!$D$2:$D$15,MATCH(G257,Fortnightly_Model!$B$2:$B$15,0)),0),IFERROR(INDEX(Fortnightly_Model!$D$2:$D$15,MATCH(G258,Fortnightly_Model!$B$2:$B$15,0)),0)),0))))))</f>
        <v>0</v>
      </c>
      <c r="M254" s="27">
        <f>IF(VLOOKUP($A254,Calendar!$A$1:$R$1377,18,0)=0,0,IF(VLOOKUP($A254,Calendar!$A$1:$R$1377,18,0)=1,IFERROR(INDEX(FourWeekly_Model!$D$2:$D$29,MATCH(H254,FourWeekly_Model!$B$2:$B$29,0)),0),IF(VLOOKUP($A254,Calendar!$A$1:$R$1377,18,0)=2,SUM(IFERROR(INDEX(FourWeekly_Model!$D$2:$D$29,MATCH(H254,FourWeekly_Model!$B$2:$B$29,0)),0),IFERROR(INDEX(FourWeekly_Model!$D$2:$D$29,MATCH(H255,FourWeekly_Model!$B$2:$B$29,0)),0)),IF(VLOOKUP($A254,Calendar!$A$1:$R$1377,18,0)=3,SUM(IFERROR(INDEX(FourWeekly_Model!$D$2:$D$29,MATCH(H254,FourWeekly_Model!$B$2:$B$29,0)),0),IFERROR(INDEX(FourWeekly_Model!$D$2:$D$29,MATCH(H255,FourWeekly_Model!$B$2:$B$29,0)),0),IFERROR(INDEX(FourWeekly_Model!$D$2:$D$29,MATCH(H256,FourWeekly_Model!$B$2:$B$29,0)),0)),IF(VLOOKUP($A254,Calendar!$A$1:$R$1377,18,0)=4,SUM(IFERROR(INDEX(FourWeekly_Model!$D$2:$D$29,MATCH(H254,FourWeekly_Model!$B$2:$B$29,0)),0),IFERROR(INDEX(FourWeekly_Model!$D$2:$D$29,MATCH(H255,FourWeekly_Model!$B$2:$B$29,0)),0),IFERROR(INDEX(FourWeekly_Model!$D$2:$D$29,MATCH(H256,FourWeekly_Model!$B$2:$B$29,0)),0),IFERROR(INDEX(FourWeekly_Model!$D$2:$D$29,MATCH(H257,FourWeekly_Model!$B$2:$B$29,0)),0)),IF(VLOOKUP($A254,Calendar!$A$1:$R$1377,18,0)=5,SUM(IFERROR(INDEX(FourWeekly_Model!$D$2:$D$29,MATCH(H254,FourWeekly_Model!$B$2:$B$29,0)),0),IFERROR(INDEX(FourWeekly_Model!$D$2:$D$29,MATCH(H255,FourWeekly_Model!$B$2:$B$29,0)),0),IFERROR(INDEX(FourWeekly_Model!$D$2:$D$29,MATCH(H256,FourWeekly_Model!$B$2:$B$29,0)),0),IFERROR(INDEX(FourWeekly_Model!$D$2:$D$29,MATCH(H257,FourWeekly_Model!$B$2:$B$29,0)),0),IFERROR(INDEX(FourWeekly_Model!$D$2:$D$29,MATCH(H258,FourWeekly_Model!$B$2:$B$29,0)),0)),0))))))</f>
        <v>0</v>
      </c>
      <c r="N254" s="27">
        <f>SUM(I254:M254)</f>
        <v>0</v>
      </c>
      <c r="O254" s="28">
        <f>Population_Data!$B$8*N254</f>
        <v>0</v>
      </c>
      <c r="P254" s="27">
        <f>IF(VLOOKUP($A254,Calendar!$A$1:$R$1377,18,0)=0,0,IF(VLOOKUP($A254,Calendar!$A$1:$R$1377,18,0)=1,IFERROR(INDEX(Pension_Model!$D$2:$D$29,MATCH(H254,Pension_Model!$B$2:$B$29,0)),0),IF(VLOOKUP($A254,Calendar!$A$1:$R$1377,18,0)=2,SUM(IFERROR(INDEX(Pension_Model!$D$2:$D$29,MATCH(H254,Pension_Model!$B$2:$B$29,0)),0),IFERROR(INDEX(Pension_Model!$D$2:$D$29,MATCH(H255,Pension_Model!$B$2:$B$29,0)),0)),IF(VLOOKUP($A254,Calendar!$A$1:$R$1377,18,0)=3,SUM(IFERROR(INDEX(Pension_Model!$D$2:$D$29,MATCH(H254,Pension_Model!$B$2:$B$29,0)),0),IFERROR(INDEX(Pension_Model!$D$2:$D$29,MATCH(H255,Pension_Model!$B$2:$B$29,0)),0),IFERROR(INDEX(Pension_Model!$D$2:$D$29,MATCH(H256,Pension_Model!$B$2:$B$29,0)),0)),IF(VLOOKUP($A254,Calendar!$A$1:$R$1377,18,0)=4,SUM(IFERROR(INDEX(Pension_Model!$D$2:$D$29,MATCH(H254,Pension_Model!$B$2:$B$29,0)),0),IFERROR(INDEX(Pension_Model!$D$2:$D$29,MATCH(H255,Pension_Model!$B$2:$B$29,0)),0),IFERROR(INDEX(Pension_Model!$D$2:$D$29,MATCH(H256,Pension_Model!$B$2:$B$29,0)),0),IFERROR(INDEX(Pension_Model!$D$2:$D$29,MATCH(H257,Pension_Model!$B$2:$B$29,0)),0)),IF(VLOOKUP($A254,Calendar!$A$1:$R$1377,18,0)=5,SUM(IFERROR(INDEX(Pension_Model!$D$2:$D$29,MATCH(H254,Pension_Model!$B$2:$B$29,0)),0),IFERROR(INDEX(Pension_Model!$D$2:$D$29,MATCH(H255,Pension_Model!$B$2:$B$29,0)),0),IFERROR(INDEX(Pension_Model!$D$2:$D$29,MATCH(H256,Pension_Model!$B$2:$B$29,0)),0),IFERROR(INDEX(Pension_Model!$D$2:$D$29,MATCH(H257,Pension_Model!$B$2:$B$29,0)),0),IFERROR(INDEX(Pension_Model!$D$2:$D$29,MATCH(H258,Pension_Model!$B$2:$B$29,0)),0)),0))))))</f>
        <v>0</v>
      </c>
      <c r="Q254" s="28">
        <f>Population_Data!$B$15*P254</f>
        <v>0</v>
      </c>
      <c r="S254">
        <f t="shared" si="3"/>
        <v>0</v>
      </c>
      <c r="U254" s="33">
        <f>S254/Population_Data!$B$19</f>
        <v>0</v>
      </c>
    </row>
    <row r="255" spans="1:21">
      <c r="A255" s="25">
        <f>Calendar!A255</f>
        <v>46488</v>
      </c>
      <c r="B255" t="str">
        <f>Calendar!L255</f>
        <v>No</v>
      </c>
      <c r="C255" t="str">
        <f>Calendar!O255</f>
        <v>No</v>
      </c>
      <c r="D255" t="str">
        <f>Calendar!P255</f>
        <v>No</v>
      </c>
      <c r="E255" t="str">
        <f>Calendar!Q255</f>
        <v>No</v>
      </c>
      <c r="F255" t="str">
        <f>Calendar!I255</f>
        <v>Sunday</v>
      </c>
      <c r="G255">
        <f>Calendar!S255</f>
        <v>8</v>
      </c>
      <c r="H255">
        <f>Calendar!T255</f>
        <v>8</v>
      </c>
      <c r="I255" s="27">
        <f>IF(VLOOKUP(A255,Calendar!$A$1:$R$1377,18,0)=0,0,IF(VLOOKUP(A255,Calendar!$A$1:$R$1377,18,0)=1,INDEX(Monthly_Pay_Model!$A$9:$D$40,MATCH(TEXT(A255,"dd"),Monthly_Pay_Model!$C$9:$C$39,0),4),IF(VLOOKUP(A255,Calendar!$A$1:$R$1377,18,0)=2,SUM(INDEX(Monthly_Pay_Model!$A$9:$D$40,MATCH(TEXT(A255,"dd"),Monthly_Pay_Model!$C$9:$C$39,0),4),INDEX(Monthly_Pay_Model!$A$9:$D$40,MATCH(TEXT(A256,"dd"),Monthly_Pay_Model!$C$9:$C$39,0),4)),IF(VLOOKUP(A255,Calendar!$A$1:$R$1377,18,0)=3,SUM(INDEX(Monthly_Pay_Model!$A$9:$D$40,MATCH(TEXT(A255,"dd"),Monthly_Pay_Model!$C$9:$C$39,0),4),INDEX(Monthly_Pay_Model!$A$9:$D$40,MATCH(TEXT(A256,"dd"),Monthly_Pay_Model!$C$9:$C$39,0),4),INDEX(Monthly_Pay_Model!$A$9:$D$40,MATCH(TEXT(A257,"dd"),Monthly_Pay_Model!$C$9:$C$39,0),4)),IF(VLOOKUP(A255,Calendar!$A$1:$R$1377,18,0)=4,SUM(INDEX(Monthly_Pay_Model!$A$9:$D$40,MATCH(TEXT(A255,"dd"),Monthly_Pay_Model!$C$9:$C$39,0),4),INDEX(Monthly_Pay_Model!$A$9:$D$40,MATCH(TEXT(A256,"dd"),Monthly_Pay_Model!$C$9:$C$39,0),4),INDEX(Monthly_Pay_Model!$A$9:$D$40,MATCH(TEXT(A257,"dd"),Monthly_Pay_Model!$C$9:$C$39,0),4),INDEX(Monthly_Pay_Model!$A$9:$D$40,MATCH(TEXT(A258,"dd"),Monthly_Pay_Model!$C$9:$C$39,0),4)),IF(VLOOKUP(A255,Calendar!$A$1:$R$1377,18,0)=5,SUM(INDEX(Monthly_Pay_Model!$A$9:$D$40,MATCH(TEXT(A255,"dd"),Monthly_Pay_Model!$C$9:$C$39,0),4),INDEX(Monthly_Pay_Model!$A$9:$D$40,MATCH(TEXT(A256,"dd"),Monthly_Pay_Model!$C$9:$C$39,0),4),INDEX(Monthly_Pay_Model!$A$9:$D$40,MATCH(TEXT(A257,"dd"),Monthly_Pay_Model!$C$9:$C$39,0),4),INDEX(Monthly_Pay_Model!$A$9:$D$40,MATCH(TEXT(A258,"dd"),Monthly_Pay_Model!$C$9:$C$39,0),4),INDEX(Monthly_Pay_Model!$A$9:$D$40,MATCH(TEXT(A259,"dd"),Monthly_Pay_Model!$C$9:$C$39,0),4)),))))))</f>
        <v>0</v>
      </c>
      <c r="J255" s="33">
        <f>IF(C255="Yes",Monthly_Pay_Model!$D$2,0)
+IF(Calendar!N255="Yes",Monthly_Pay_Model!$D$3,0)
+IF(D255="Yes",Monthly_Pay_Model!$D$4,0)
+IF(E255="Yes",Monthly_Pay_Model!$D$5,0)</f>
        <v>0</v>
      </c>
      <c r="K255" s="27">
        <f>IF(VLOOKUP($A255,Calendar!$A$1:$R$1377,18,0)=0,0,IF(VLOOKUP($A255,Calendar!$A$1:$R$1377,18,0)=1,IFERROR(INDEX(Weekly_Model!$D$2:$D$9,MATCH(F255,Weekly_Model!$A$2:$A$9,0)),0),IF(VLOOKUP($A255,Calendar!$A$1:$R$1377,18,0)=2,SUM(IFERROR(INDEX(Weekly_Model!$D$2:$D$9,MATCH(F255,Weekly_Model!$A$2:$A$9,0)),0),IFERROR(INDEX(Weekly_Model!$D$2:$D$9,MATCH(F256,Weekly_Model!$A$2:$A$9,0)),0)),IF(VLOOKUP($A255,Calendar!$A$1:$R$1377,18,0)=3,SUM(IFERROR(INDEX(Weekly_Model!$D$2:$D$9,MATCH(F255,Weekly_Model!$A$2:$A$9,0)),0),IFERROR(INDEX(Weekly_Model!$D$2:$D$9,MATCH(F256,Weekly_Model!$A$2:$A$9,0)),0),IFERROR(INDEX(Weekly_Model!$D$2:$D$9,MATCH(F257,Weekly_Model!$A$2:$A$9,0)),0)),IF(VLOOKUP($A255,Calendar!$A$1:$R$1377,18,0)=4,SUM(IFERROR(INDEX(Weekly_Model!$D$2:$D$9,MATCH(F255,Weekly_Model!$A$2:$A$9,0)),0),IFERROR(INDEX(Weekly_Model!$D$2:$D$9,MATCH(F256,Weekly_Model!$A$2:$A$9,0)),0),IFERROR(INDEX(Weekly_Model!$D$2:$D$9,MATCH(F257,Weekly_Model!$A$2:$A$9,0)),0),IFERROR(INDEX(Weekly_Model!$D$2:$D$9,MATCH(F258,Weekly_Model!$A$2:$A$9,0)),0)),IF(VLOOKUP($A255,Calendar!$A$1:$R$1377,18,0)=5,SUM(IFERROR(INDEX(Weekly_Model!$D$2:$D$9,MATCH(F255,Weekly_Model!$A$2:$A$9,0)),0),IFERROR(INDEX(Weekly_Model!$D$2:$D$9,MATCH(F256,Weekly_Model!$A$2:$A$9,0)),0),IFERROR(INDEX(Weekly_Model!$D$2:$D$9,MATCH(F257,Weekly_Model!$A$2:$A$9,0)),0),IFERROR(INDEX(Weekly_Model!$D$2:$D$9,MATCH(F258,Weekly_Model!$A$2:$A$9,0)),0),IFERROR(INDEX(Weekly_Model!$D$2:$D$9,MATCH(F259,Weekly_Model!$A$2:$A$9,0)),0)),0))))))</f>
        <v>0</v>
      </c>
      <c r="L255" s="27">
        <f>IF(VLOOKUP($A255,Calendar!$A$1:$R$1377,18,0)=0,0,IF(VLOOKUP($A255,Calendar!$A$1:$R$1377,18,0)=1,IFERROR(INDEX(Fortnightly_Model!$D$2:$D$15,MATCH(G255,Fortnightly_Model!$B$2:$B$15,0)),0),IF(VLOOKUP($A255,Calendar!$A$1:$R$1377,18,0)=2,SUM(IFERROR(INDEX(Fortnightly_Model!$D$2:$D$15,MATCH(G255,Fortnightly_Model!$B$2:$B$15,0)),0),IFERROR(INDEX(Fortnightly_Model!$D$2:$D$15,MATCH(G256,Fortnightly_Model!$B$2:$B$15,0)),0)),IF(VLOOKUP($A255,Calendar!$A$1:$R$1377,18,0)=3,SUM(IFERROR(INDEX(Fortnightly_Model!$D$2:$D$15,MATCH(G255,Fortnightly_Model!$B$2:$B$15,0)),0),IFERROR(INDEX(Fortnightly_Model!$D$2:$D$15,MATCH(G256,Fortnightly_Model!$B$2:$B$15,0)),0),IFERROR(INDEX(Fortnightly_Model!$D$2:$D$15,MATCH(G257,Fortnightly_Model!$B$2:$B$15,0)),0)),IF(VLOOKUP($A255,Calendar!$A$1:$R$1377,18,0)=4,SUM(IFERROR(INDEX(Fortnightly_Model!$D$2:$D$15,MATCH(G255,Fortnightly_Model!$B$2:$B$15,0)),0),IFERROR(INDEX(Fortnightly_Model!$D$2:$D$15,MATCH(G256,Fortnightly_Model!$B$2:$B$15,0)),0),IFERROR(INDEX(Fortnightly_Model!$D$2:$D$15,MATCH(G257,Fortnightly_Model!$B$2:$B$15,0)),0),IFERROR(INDEX(Fortnightly_Model!$D$2:$D$15,MATCH(G258,Fortnightly_Model!$B$2:$B$15,0)),0)),IF(VLOOKUP($A255,Calendar!$A$1:$R$1377,18,0)=5,SUM(IFERROR(INDEX(Fortnightly_Model!$D$2:$D$15,MATCH(G255,Fortnightly_Model!$B$2:$B$15,0)),0),IFERROR(INDEX(Fortnightly_Model!$D$2:$D$15,MATCH(G256,Fortnightly_Model!$B$2:$B$15,0)),0),IFERROR(INDEX(Fortnightly_Model!$D$2:$D$15,MATCH(G257,Fortnightly_Model!$B$2:$B$15,0)),0),IFERROR(INDEX(Fortnightly_Model!$D$2:$D$15,MATCH(G258,Fortnightly_Model!$B$2:$B$15,0)),0),IFERROR(INDEX(Fortnightly_Model!$D$2:$D$15,MATCH(G259,Fortnightly_Model!$B$2:$B$15,0)),0)),0))))))</f>
        <v>0</v>
      </c>
      <c r="M255" s="27">
        <f>IF(VLOOKUP($A255,Calendar!$A$1:$R$1377,18,0)=0,0,IF(VLOOKUP($A255,Calendar!$A$1:$R$1377,18,0)=1,IFERROR(INDEX(FourWeekly_Model!$D$2:$D$29,MATCH(H255,FourWeekly_Model!$B$2:$B$29,0)),0),IF(VLOOKUP($A255,Calendar!$A$1:$R$1377,18,0)=2,SUM(IFERROR(INDEX(FourWeekly_Model!$D$2:$D$29,MATCH(H255,FourWeekly_Model!$B$2:$B$29,0)),0),IFERROR(INDEX(FourWeekly_Model!$D$2:$D$29,MATCH(H256,FourWeekly_Model!$B$2:$B$29,0)),0)),IF(VLOOKUP($A255,Calendar!$A$1:$R$1377,18,0)=3,SUM(IFERROR(INDEX(FourWeekly_Model!$D$2:$D$29,MATCH(H255,FourWeekly_Model!$B$2:$B$29,0)),0),IFERROR(INDEX(FourWeekly_Model!$D$2:$D$29,MATCH(H256,FourWeekly_Model!$B$2:$B$29,0)),0),IFERROR(INDEX(FourWeekly_Model!$D$2:$D$29,MATCH(H257,FourWeekly_Model!$B$2:$B$29,0)),0)),IF(VLOOKUP($A255,Calendar!$A$1:$R$1377,18,0)=4,SUM(IFERROR(INDEX(FourWeekly_Model!$D$2:$D$29,MATCH(H255,FourWeekly_Model!$B$2:$B$29,0)),0),IFERROR(INDEX(FourWeekly_Model!$D$2:$D$29,MATCH(H256,FourWeekly_Model!$B$2:$B$29,0)),0),IFERROR(INDEX(FourWeekly_Model!$D$2:$D$29,MATCH(H257,FourWeekly_Model!$B$2:$B$29,0)),0),IFERROR(INDEX(FourWeekly_Model!$D$2:$D$29,MATCH(H258,FourWeekly_Model!$B$2:$B$29,0)),0)),IF(VLOOKUP($A255,Calendar!$A$1:$R$1377,18,0)=5,SUM(IFERROR(INDEX(FourWeekly_Model!$D$2:$D$29,MATCH(H255,FourWeekly_Model!$B$2:$B$29,0)),0),IFERROR(INDEX(FourWeekly_Model!$D$2:$D$29,MATCH(H256,FourWeekly_Model!$B$2:$B$29,0)),0),IFERROR(INDEX(FourWeekly_Model!$D$2:$D$29,MATCH(H257,FourWeekly_Model!$B$2:$B$29,0)),0),IFERROR(INDEX(FourWeekly_Model!$D$2:$D$29,MATCH(H258,FourWeekly_Model!$B$2:$B$29,0)),0),IFERROR(INDEX(FourWeekly_Model!$D$2:$D$29,MATCH(H259,FourWeekly_Model!$B$2:$B$29,0)),0)),0))))))</f>
        <v>0</v>
      </c>
      <c r="N255" s="27">
        <f>SUM(I255:M255)</f>
        <v>0</v>
      </c>
      <c r="O255" s="28">
        <f>Population_Data!$B$8*N255</f>
        <v>0</v>
      </c>
      <c r="P255" s="27">
        <f>IF(VLOOKUP($A255,Calendar!$A$1:$R$1377,18,0)=0,0,IF(VLOOKUP($A255,Calendar!$A$1:$R$1377,18,0)=1,IFERROR(INDEX(Pension_Model!$D$2:$D$29,MATCH(H255,Pension_Model!$B$2:$B$29,0)),0),IF(VLOOKUP($A255,Calendar!$A$1:$R$1377,18,0)=2,SUM(IFERROR(INDEX(Pension_Model!$D$2:$D$29,MATCH(H255,Pension_Model!$B$2:$B$29,0)),0),IFERROR(INDEX(Pension_Model!$D$2:$D$29,MATCH(H256,Pension_Model!$B$2:$B$29,0)),0)),IF(VLOOKUP($A255,Calendar!$A$1:$R$1377,18,0)=3,SUM(IFERROR(INDEX(Pension_Model!$D$2:$D$29,MATCH(H255,Pension_Model!$B$2:$B$29,0)),0),IFERROR(INDEX(Pension_Model!$D$2:$D$29,MATCH(H256,Pension_Model!$B$2:$B$29,0)),0),IFERROR(INDEX(Pension_Model!$D$2:$D$29,MATCH(H257,Pension_Model!$B$2:$B$29,0)),0)),IF(VLOOKUP($A255,Calendar!$A$1:$R$1377,18,0)=4,SUM(IFERROR(INDEX(Pension_Model!$D$2:$D$29,MATCH(H255,Pension_Model!$B$2:$B$29,0)),0),IFERROR(INDEX(Pension_Model!$D$2:$D$29,MATCH(H256,Pension_Model!$B$2:$B$29,0)),0),IFERROR(INDEX(Pension_Model!$D$2:$D$29,MATCH(H257,Pension_Model!$B$2:$B$29,0)),0),IFERROR(INDEX(Pension_Model!$D$2:$D$29,MATCH(H258,Pension_Model!$B$2:$B$29,0)),0)),IF(VLOOKUP($A255,Calendar!$A$1:$R$1377,18,0)=5,SUM(IFERROR(INDEX(Pension_Model!$D$2:$D$29,MATCH(H255,Pension_Model!$B$2:$B$29,0)),0),IFERROR(INDEX(Pension_Model!$D$2:$D$29,MATCH(H256,Pension_Model!$B$2:$B$29,0)),0),IFERROR(INDEX(Pension_Model!$D$2:$D$29,MATCH(H257,Pension_Model!$B$2:$B$29,0)),0),IFERROR(INDEX(Pension_Model!$D$2:$D$29,MATCH(H258,Pension_Model!$B$2:$B$29,0)),0),IFERROR(INDEX(Pension_Model!$D$2:$D$29,MATCH(H259,Pension_Model!$B$2:$B$29,0)),0)),0))))))</f>
        <v>0</v>
      </c>
      <c r="Q255" s="28">
        <f>Population_Data!$B$15*P255</f>
        <v>0</v>
      </c>
      <c r="S255">
        <f t="shared" si="3"/>
        <v>0</v>
      </c>
      <c r="U255" s="33">
        <f>S255/Population_Data!$B$19</f>
        <v>0</v>
      </c>
    </row>
    <row r="256" spans="1:21">
      <c r="A256" s="25">
        <f>Calendar!A256</f>
        <v>46489</v>
      </c>
      <c r="B256" t="str">
        <f>Calendar!L256</f>
        <v>Yes</v>
      </c>
      <c r="C256" t="str">
        <f>Calendar!O256</f>
        <v>No</v>
      </c>
      <c r="D256" t="str">
        <f>Calendar!P256</f>
        <v>No</v>
      </c>
      <c r="E256" t="str">
        <f>Calendar!Q256</f>
        <v>No</v>
      </c>
      <c r="F256" t="str">
        <f>Calendar!I256</f>
        <v>Monday</v>
      </c>
      <c r="G256">
        <f>Calendar!S256</f>
        <v>9</v>
      </c>
      <c r="H256">
        <f>Calendar!T256</f>
        <v>9</v>
      </c>
      <c r="I256" s="27">
        <f>IF(VLOOKUP(A256,Calendar!$A$1:$R$1377,18,0)=0,0,IF(VLOOKUP(A256,Calendar!$A$1:$R$1377,18,0)=1,INDEX(Monthly_Pay_Model!$A$9:$D$40,MATCH(TEXT(A256,"dd"),Monthly_Pay_Model!$C$9:$C$39,0),4),IF(VLOOKUP(A256,Calendar!$A$1:$R$1377,18,0)=2,SUM(INDEX(Monthly_Pay_Model!$A$9:$D$40,MATCH(TEXT(A256,"dd"),Monthly_Pay_Model!$C$9:$C$39,0),4),INDEX(Monthly_Pay_Model!$A$9:$D$40,MATCH(TEXT(A257,"dd"),Monthly_Pay_Model!$C$9:$C$39,0),4)),IF(VLOOKUP(A256,Calendar!$A$1:$R$1377,18,0)=3,SUM(INDEX(Monthly_Pay_Model!$A$9:$D$40,MATCH(TEXT(A256,"dd"),Monthly_Pay_Model!$C$9:$C$39,0),4),INDEX(Monthly_Pay_Model!$A$9:$D$40,MATCH(TEXT(A257,"dd"),Monthly_Pay_Model!$C$9:$C$39,0),4),INDEX(Monthly_Pay_Model!$A$9:$D$40,MATCH(TEXT(A258,"dd"),Monthly_Pay_Model!$C$9:$C$39,0),4)),IF(VLOOKUP(A256,Calendar!$A$1:$R$1377,18,0)=4,SUM(INDEX(Monthly_Pay_Model!$A$9:$D$40,MATCH(TEXT(A256,"dd"),Monthly_Pay_Model!$C$9:$C$39,0),4),INDEX(Monthly_Pay_Model!$A$9:$D$40,MATCH(TEXT(A257,"dd"),Monthly_Pay_Model!$C$9:$C$39,0),4),INDEX(Monthly_Pay_Model!$A$9:$D$40,MATCH(TEXT(A258,"dd"),Monthly_Pay_Model!$C$9:$C$39,0),4),INDEX(Monthly_Pay_Model!$A$9:$D$40,MATCH(TEXT(A259,"dd"),Monthly_Pay_Model!$C$9:$C$39,0),4)),IF(VLOOKUP(A256,Calendar!$A$1:$R$1377,18,0)=5,SUM(INDEX(Monthly_Pay_Model!$A$9:$D$40,MATCH(TEXT(A256,"dd"),Monthly_Pay_Model!$C$9:$C$39,0),4),INDEX(Monthly_Pay_Model!$A$9:$D$40,MATCH(TEXT(A257,"dd"),Monthly_Pay_Model!$C$9:$C$39,0),4),INDEX(Monthly_Pay_Model!$A$9:$D$40,MATCH(TEXT(A258,"dd"),Monthly_Pay_Model!$C$9:$C$39,0),4),INDEX(Monthly_Pay_Model!$A$9:$D$40,MATCH(TEXT(A259,"dd"),Monthly_Pay_Model!$C$9:$C$39,0),4),INDEX(Monthly_Pay_Model!$A$9:$D$40,MATCH(TEXT(A260,"dd"),Monthly_Pay_Model!$C$9:$C$39,0),4)),))))))</f>
        <v>1.6251308900523558E-3</v>
      </c>
      <c r="J256" s="33">
        <f>IF(C256="Yes",Monthly_Pay_Model!$D$2,0)
+IF(Calendar!N256="Yes",Monthly_Pay_Model!$D$3,0)
+IF(D256="Yes",Monthly_Pay_Model!$D$4,0)
+IF(E256="Yes",Monthly_Pay_Model!$D$5,0)</f>
        <v>0</v>
      </c>
      <c r="K256" s="27">
        <f>IF(VLOOKUP($A256,Calendar!$A$1:$R$1377,18,0)=0,0,IF(VLOOKUP($A256,Calendar!$A$1:$R$1377,18,0)=1,IFERROR(INDEX(Weekly_Model!$D$2:$D$9,MATCH(F256,Weekly_Model!$A$2:$A$9,0)),0),IF(VLOOKUP($A256,Calendar!$A$1:$R$1377,18,0)=2,SUM(IFERROR(INDEX(Weekly_Model!$D$2:$D$9,MATCH(F256,Weekly_Model!$A$2:$A$9,0)),0),IFERROR(INDEX(Weekly_Model!$D$2:$D$9,MATCH(F257,Weekly_Model!$A$2:$A$9,0)),0)),IF(VLOOKUP($A256,Calendar!$A$1:$R$1377,18,0)=3,SUM(IFERROR(INDEX(Weekly_Model!$D$2:$D$9,MATCH(F256,Weekly_Model!$A$2:$A$9,0)),0),IFERROR(INDEX(Weekly_Model!$D$2:$D$9,MATCH(F257,Weekly_Model!$A$2:$A$9,0)),0),IFERROR(INDEX(Weekly_Model!$D$2:$D$9,MATCH(F258,Weekly_Model!$A$2:$A$9,0)),0)),IF(VLOOKUP($A256,Calendar!$A$1:$R$1377,18,0)=4,SUM(IFERROR(INDEX(Weekly_Model!$D$2:$D$9,MATCH(F256,Weekly_Model!$A$2:$A$9,0)),0),IFERROR(INDEX(Weekly_Model!$D$2:$D$9,MATCH(F257,Weekly_Model!$A$2:$A$9,0)),0),IFERROR(INDEX(Weekly_Model!$D$2:$D$9,MATCH(F258,Weekly_Model!$A$2:$A$9,0)),0),IFERROR(INDEX(Weekly_Model!$D$2:$D$9,MATCH(F259,Weekly_Model!$A$2:$A$9,0)),0)),IF(VLOOKUP($A256,Calendar!$A$1:$R$1377,18,0)=5,SUM(IFERROR(INDEX(Weekly_Model!$D$2:$D$9,MATCH(F256,Weekly_Model!$A$2:$A$9,0)),0),IFERROR(INDEX(Weekly_Model!$D$2:$D$9,MATCH(F257,Weekly_Model!$A$2:$A$9,0)),0),IFERROR(INDEX(Weekly_Model!$D$2:$D$9,MATCH(F258,Weekly_Model!$A$2:$A$9,0)),0),IFERROR(INDEX(Weekly_Model!$D$2:$D$9,MATCH(F259,Weekly_Model!$A$2:$A$9,0)),0),IFERROR(INDEX(Weekly_Model!$D$2:$D$9,MATCH(F260,Weekly_Model!$A$2:$A$9,0)),0)),0))))))</f>
        <v>2.3200000000000002E-2</v>
      </c>
      <c r="L256" s="27">
        <f>IF(VLOOKUP($A256,Calendar!$A$1:$R$1377,18,0)=0,0,IF(VLOOKUP($A256,Calendar!$A$1:$R$1377,18,0)=1,IFERROR(INDEX(Fortnightly_Model!$D$2:$D$15,MATCH(G256,Fortnightly_Model!$B$2:$B$15,0)),0),IF(VLOOKUP($A256,Calendar!$A$1:$R$1377,18,0)=2,SUM(IFERROR(INDEX(Fortnightly_Model!$D$2:$D$15,MATCH(G256,Fortnightly_Model!$B$2:$B$15,0)),0),IFERROR(INDEX(Fortnightly_Model!$D$2:$D$15,MATCH(G257,Fortnightly_Model!$B$2:$B$15,0)),0)),IF(VLOOKUP($A256,Calendar!$A$1:$R$1377,18,0)=3,SUM(IFERROR(INDEX(Fortnightly_Model!$D$2:$D$15,MATCH(G256,Fortnightly_Model!$B$2:$B$15,0)),0),IFERROR(INDEX(Fortnightly_Model!$D$2:$D$15,MATCH(G257,Fortnightly_Model!$B$2:$B$15,0)),0),IFERROR(INDEX(Fortnightly_Model!$D$2:$D$15,MATCH(G258,Fortnightly_Model!$B$2:$B$15,0)),0)),IF(VLOOKUP($A256,Calendar!$A$1:$R$1377,18,0)=4,SUM(IFERROR(INDEX(Fortnightly_Model!$D$2:$D$15,MATCH(G256,Fortnightly_Model!$B$2:$B$15,0)),0),IFERROR(INDEX(Fortnightly_Model!$D$2:$D$15,MATCH(G257,Fortnightly_Model!$B$2:$B$15,0)),0),IFERROR(INDEX(Fortnightly_Model!$D$2:$D$15,MATCH(G258,Fortnightly_Model!$B$2:$B$15,0)),0),IFERROR(INDEX(Fortnightly_Model!$D$2:$D$15,MATCH(G259,Fortnightly_Model!$B$2:$B$15,0)),0)),IF(VLOOKUP($A256,Calendar!$A$1:$R$1377,18,0)=5,SUM(IFERROR(INDEX(Fortnightly_Model!$D$2:$D$15,MATCH(G256,Fortnightly_Model!$B$2:$B$15,0)),0),IFERROR(INDEX(Fortnightly_Model!$D$2:$D$15,MATCH(G257,Fortnightly_Model!$B$2:$B$15,0)),0),IFERROR(INDEX(Fortnightly_Model!$D$2:$D$15,MATCH(G258,Fortnightly_Model!$B$2:$B$15,0)),0),IFERROR(INDEX(Fortnightly_Model!$D$2:$D$15,MATCH(G259,Fortnightly_Model!$B$2:$B$15,0)),0),IFERROR(INDEX(Fortnightly_Model!$D$2:$D$15,MATCH(G260,Fortnightly_Model!$B$2:$B$15,0)),0)),0))))))</f>
        <v>1.0714285499999999E-3</v>
      </c>
      <c r="M256" s="27">
        <f>IF(VLOOKUP($A256,Calendar!$A$1:$R$1377,18,0)=0,0,IF(VLOOKUP($A256,Calendar!$A$1:$R$1377,18,0)=1,IFERROR(INDEX(FourWeekly_Model!$D$2:$D$29,MATCH(H256,FourWeekly_Model!$B$2:$B$29,0)),0),IF(VLOOKUP($A256,Calendar!$A$1:$R$1377,18,0)=2,SUM(IFERROR(INDEX(FourWeekly_Model!$D$2:$D$29,MATCH(H256,FourWeekly_Model!$B$2:$B$29,0)),0),IFERROR(INDEX(FourWeekly_Model!$D$2:$D$29,MATCH(H257,FourWeekly_Model!$B$2:$B$29,0)),0)),IF(VLOOKUP($A256,Calendar!$A$1:$R$1377,18,0)=3,SUM(IFERROR(INDEX(FourWeekly_Model!$D$2:$D$29,MATCH(H256,FourWeekly_Model!$B$2:$B$29,0)),0),IFERROR(INDEX(FourWeekly_Model!$D$2:$D$29,MATCH(H257,FourWeekly_Model!$B$2:$B$29,0)),0),IFERROR(INDEX(FourWeekly_Model!$D$2:$D$29,MATCH(H258,FourWeekly_Model!$B$2:$B$29,0)),0)),IF(VLOOKUP($A256,Calendar!$A$1:$R$1377,18,0)=4,SUM(IFERROR(INDEX(FourWeekly_Model!$D$2:$D$29,MATCH(H256,FourWeekly_Model!$B$2:$B$29,0)),0),IFERROR(INDEX(FourWeekly_Model!$D$2:$D$29,MATCH(H257,FourWeekly_Model!$B$2:$B$29,0)),0),IFERROR(INDEX(FourWeekly_Model!$D$2:$D$29,MATCH(H258,FourWeekly_Model!$B$2:$B$29,0)),0),IFERROR(INDEX(FourWeekly_Model!$D$2:$D$29,MATCH(H259,FourWeekly_Model!$B$2:$B$29,0)),0)),IF(VLOOKUP($A256,Calendar!$A$1:$R$1377,18,0)=5,SUM(IFERROR(INDEX(FourWeekly_Model!$D$2:$D$29,MATCH(H256,FourWeekly_Model!$B$2:$B$29,0)),0),IFERROR(INDEX(FourWeekly_Model!$D$2:$D$29,MATCH(H257,FourWeekly_Model!$B$2:$B$29,0)),0),IFERROR(INDEX(FourWeekly_Model!$D$2:$D$29,MATCH(H258,FourWeekly_Model!$B$2:$B$29,0)),0),IFERROR(INDEX(FourWeekly_Model!$D$2:$D$29,MATCH(H259,FourWeekly_Model!$B$2:$B$29,0)),0),IFERROR(INDEX(FourWeekly_Model!$D$2:$D$29,MATCH(H260,FourWeekly_Model!$B$2:$B$29,0)),0)),0))))))</f>
        <v>3.3214289700000004E-3</v>
      </c>
      <c r="N256" s="27">
        <f>SUM(I256:M256)</f>
        <v>2.921798841005236E-2</v>
      </c>
      <c r="O256" s="28">
        <f>Population_Data!$B$8*N256</f>
        <v>885305.04882458656</v>
      </c>
      <c r="P256" s="27">
        <f>IF(VLOOKUP($A256,Calendar!$A$1:$R$1377,18,0)=0,0,IF(VLOOKUP($A256,Calendar!$A$1:$R$1377,18,0)=1,IFERROR(INDEX(Pension_Model!$D$2:$D$29,MATCH(H256,Pension_Model!$B$2:$B$29,0)),0),IF(VLOOKUP($A256,Calendar!$A$1:$R$1377,18,0)=2,SUM(IFERROR(INDEX(Pension_Model!$D$2:$D$29,MATCH(H256,Pension_Model!$B$2:$B$29,0)),0),IFERROR(INDEX(Pension_Model!$D$2:$D$29,MATCH(H257,Pension_Model!$B$2:$B$29,0)),0)),IF(VLOOKUP($A256,Calendar!$A$1:$R$1377,18,0)=3,SUM(IFERROR(INDEX(Pension_Model!$D$2:$D$29,MATCH(H256,Pension_Model!$B$2:$B$29,0)),0),IFERROR(INDEX(Pension_Model!$D$2:$D$29,MATCH(H257,Pension_Model!$B$2:$B$29,0)),0),IFERROR(INDEX(Pension_Model!$D$2:$D$29,MATCH(H258,Pension_Model!$B$2:$B$29,0)),0)),IF(VLOOKUP($A256,Calendar!$A$1:$R$1377,18,0)=4,SUM(IFERROR(INDEX(Pension_Model!$D$2:$D$29,MATCH(H256,Pension_Model!$B$2:$B$29,0)),0),IFERROR(INDEX(Pension_Model!$D$2:$D$29,MATCH(H257,Pension_Model!$B$2:$B$29,0)),0),IFERROR(INDEX(Pension_Model!$D$2:$D$29,MATCH(H258,Pension_Model!$B$2:$B$29,0)),0),IFERROR(INDEX(Pension_Model!$D$2:$D$29,MATCH(H259,Pension_Model!$B$2:$B$29,0)),0)),IF(VLOOKUP($A256,Calendar!$A$1:$R$1377,18,0)=5,SUM(IFERROR(INDEX(Pension_Model!$D$2:$D$29,MATCH(H256,Pension_Model!$B$2:$B$29,0)),0),IFERROR(INDEX(Pension_Model!$D$2:$D$29,MATCH(H257,Pension_Model!$B$2:$B$29,0)),0),IFERROR(INDEX(Pension_Model!$D$2:$D$29,MATCH(H258,Pension_Model!$B$2:$B$29,0)),0),IFERROR(INDEX(Pension_Model!$D$2:$D$29,MATCH(H259,Pension_Model!$B$2:$B$29,0)),0),IFERROR(INDEX(Pension_Model!$D$2:$D$29,MATCH(H260,Pension_Model!$B$2:$B$29,0)),0)),0))))))</f>
        <v>0.05</v>
      </c>
      <c r="Q256" s="28">
        <f>Population_Data!$B$15*P256</f>
        <v>660600</v>
      </c>
      <c r="S256">
        <f t="shared" si="3"/>
        <v>1545905.0488245864</v>
      </c>
      <c r="U256" s="33">
        <f>S256/Population_Data!$B$19</f>
        <v>2.8005526246822218E-2</v>
      </c>
    </row>
    <row r="257" spans="1:21">
      <c r="A257" s="25">
        <f>Calendar!A257</f>
        <v>46490</v>
      </c>
      <c r="B257" t="str">
        <f>Calendar!L257</f>
        <v>Yes</v>
      </c>
      <c r="C257" t="str">
        <f>Calendar!O257</f>
        <v>No</v>
      </c>
      <c r="D257" t="str">
        <f>Calendar!P257</f>
        <v>No</v>
      </c>
      <c r="E257" t="str">
        <f>Calendar!Q257</f>
        <v>No</v>
      </c>
      <c r="F257" t="str">
        <f>Calendar!I257</f>
        <v>Tuesday</v>
      </c>
      <c r="G257">
        <f>Calendar!S257</f>
        <v>10</v>
      </c>
      <c r="H257">
        <f>Calendar!T257</f>
        <v>10</v>
      </c>
      <c r="I257" s="27">
        <f>IF(VLOOKUP(A257,Calendar!$A$1:$R$1377,18,0)=0,0,IF(VLOOKUP(A257,Calendar!$A$1:$R$1377,18,0)=1,INDEX(Monthly_Pay_Model!$A$9:$D$40,MATCH(TEXT(A257,"dd"),Monthly_Pay_Model!$C$9:$C$39,0),4),IF(VLOOKUP(A257,Calendar!$A$1:$R$1377,18,0)=2,SUM(INDEX(Monthly_Pay_Model!$A$9:$D$40,MATCH(TEXT(A257,"dd"),Monthly_Pay_Model!$C$9:$C$39,0),4),INDEX(Monthly_Pay_Model!$A$9:$D$40,MATCH(TEXT(A258,"dd"),Monthly_Pay_Model!$C$9:$C$39,0),4)),IF(VLOOKUP(A257,Calendar!$A$1:$R$1377,18,0)=3,SUM(INDEX(Monthly_Pay_Model!$A$9:$D$40,MATCH(TEXT(A257,"dd"),Monthly_Pay_Model!$C$9:$C$39,0),4),INDEX(Monthly_Pay_Model!$A$9:$D$40,MATCH(TEXT(A258,"dd"),Monthly_Pay_Model!$C$9:$C$39,0),4),INDEX(Monthly_Pay_Model!$A$9:$D$40,MATCH(TEXT(A259,"dd"),Monthly_Pay_Model!$C$9:$C$39,0),4)),IF(VLOOKUP(A257,Calendar!$A$1:$R$1377,18,0)=4,SUM(INDEX(Monthly_Pay_Model!$A$9:$D$40,MATCH(TEXT(A257,"dd"),Monthly_Pay_Model!$C$9:$C$39,0),4),INDEX(Monthly_Pay_Model!$A$9:$D$40,MATCH(TEXT(A258,"dd"),Monthly_Pay_Model!$C$9:$C$39,0),4),INDEX(Monthly_Pay_Model!$A$9:$D$40,MATCH(TEXT(A259,"dd"),Monthly_Pay_Model!$C$9:$C$39,0),4),INDEX(Monthly_Pay_Model!$A$9:$D$40,MATCH(TEXT(A260,"dd"),Monthly_Pay_Model!$C$9:$C$39,0),4)),IF(VLOOKUP(A257,Calendar!$A$1:$R$1377,18,0)=5,SUM(INDEX(Monthly_Pay_Model!$A$9:$D$40,MATCH(TEXT(A257,"dd"),Monthly_Pay_Model!$C$9:$C$39,0),4),INDEX(Monthly_Pay_Model!$A$9:$D$40,MATCH(TEXT(A258,"dd"),Monthly_Pay_Model!$C$9:$C$39,0),4),INDEX(Monthly_Pay_Model!$A$9:$D$40,MATCH(TEXT(A259,"dd"),Monthly_Pay_Model!$C$9:$C$39,0),4),INDEX(Monthly_Pay_Model!$A$9:$D$40,MATCH(TEXT(A260,"dd"),Monthly_Pay_Model!$C$9:$C$39,0),4),INDEX(Monthly_Pay_Model!$A$9:$D$40,MATCH(TEXT(A261,"dd"),Monthly_Pay_Model!$C$9:$C$39,0),4)),))))))</f>
        <v>8.1256544502617792E-4</v>
      </c>
      <c r="J257" s="33">
        <f>IF(C257="Yes",Monthly_Pay_Model!$D$2,0)
+IF(Calendar!N257="Yes",Monthly_Pay_Model!$D$3,0)
+IF(D257="Yes",Monthly_Pay_Model!$D$4,0)
+IF(E257="Yes",Monthly_Pay_Model!$D$5,0)</f>
        <v>0</v>
      </c>
      <c r="K257" s="27">
        <f>IF(VLOOKUP($A257,Calendar!$A$1:$R$1377,18,0)=0,0,IF(VLOOKUP($A257,Calendar!$A$1:$R$1377,18,0)=1,IFERROR(INDEX(Weekly_Model!$D$2:$D$9,MATCH(F257,Weekly_Model!$A$2:$A$9,0)),0),IF(VLOOKUP($A257,Calendar!$A$1:$R$1377,18,0)=2,SUM(IFERROR(INDEX(Weekly_Model!$D$2:$D$9,MATCH(F257,Weekly_Model!$A$2:$A$9,0)),0),IFERROR(INDEX(Weekly_Model!$D$2:$D$9,MATCH(F258,Weekly_Model!$A$2:$A$9,0)),0)),IF(VLOOKUP($A257,Calendar!$A$1:$R$1377,18,0)=3,SUM(IFERROR(INDEX(Weekly_Model!$D$2:$D$9,MATCH(F257,Weekly_Model!$A$2:$A$9,0)),0),IFERROR(INDEX(Weekly_Model!$D$2:$D$9,MATCH(F258,Weekly_Model!$A$2:$A$9,0)),0),IFERROR(INDEX(Weekly_Model!$D$2:$D$9,MATCH(F259,Weekly_Model!$A$2:$A$9,0)),0)),IF(VLOOKUP($A257,Calendar!$A$1:$R$1377,18,0)=4,SUM(IFERROR(INDEX(Weekly_Model!$D$2:$D$9,MATCH(F257,Weekly_Model!$A$2:$A$9,0)),0),IFERROR(INDEX(Weekly_Model!$D$2:$D$9,MATCH(F258,Weekly_Model!$A$2:$A$9,0)),0),IFERROR(INDEX(Weekly_Model!$D$2:$D$9,MATCH(F259,Weekly_Model!$A$2:$A$9,0)),0),IFERROR(INDEX(Weekly_Model!$D$2:$D$9,MATCH(F260,Weekly_Model!$A$2:$A$9,0)),0)),IF(VLOOKUP($A257,Calendar!$A$1:$R$1377,18,0)=5,SUM(IFERROR(INDEX(Weekly_Model!$D$2:$D$9,MATCH(F257,Weekly_Model!$A$2:$A$9,0)),0),IFERROR(INDEX(Weekly_Model!$D$2:$D$9,MATCH(F258,Weekly_Model!$A$2:$A$9,0)),0),IFERROR(INDEX(Weekly_Model!$D$2:$D$9,MATCH(F259,Weekly_Model!$A$2:$A$9,0)),0),IFERROR(INDEX(Weekly_Model!$D$2:$D$9,MATCH(F260,Weekly_Model!$A$2:$A$9,0)),0),IFERROR(INDEX(Weekly_Model!$D$2:$D$9,MATCH(F261,Weekly_Model!$A$2:$A$9,0)),0)),0))))))</f>
        <v>2.3200000000000002E-2</v>
      </c>
      <c r="L257" s="27">
        <f>IF(VLOOKUP($A257,Calendar!$A$1:$R$1377,18,0)=0,0,IF(VLOOKUP($A257,Calendar!$A$1:$R$1377,18,0)=1,IFERROR(INDEX(Fortnightly_Model!$D$2:$D$15,MATCH(G257,Fortnightly_Model!$B$2:$B$15,0)),0),IF(VLOOKUP($A257,Calendar!$A$1:$R$1377,18,0)=2,SUM(IFERROR(INDEX(Fortnightly_Model!$D$2:$D$15,MATCH(G257,Fortnightly_Model!$B$2:$B$15,0)),0),IFERROR(INDEX(Fortnightly_Model!$D$2:$D$15,MATCH(G258,Fortnightly_Model!$B$2:$B$15,0)),0)),IF(VLOOKUP($A257,Calendar!$A$1:$R$1377,18,0)=3,SUM(IFERROR(INDEX(Fortnightly_Model!$D$2:$D$15,MATCH(G257,Fortnightly_Model!$B$2:$B$15,0)),0),IFERROR(INDEX(Fortnightly_Model!$D$2:$D$15,MATCH(G258,Fortnightly_Model!$B$2:$B$15,0)),0),IFERROR(INDEX(Fortnightly_Model!$D$2:$D$15,MATCH(G259,Fortnightly_Model!$B$2:$B$15,0)),0)),IF(VLOOKUP($A257,Calendar!$A$1:$R$1377,18,0)=4,SUM(IFERROR(INDEX(Fortnightly_Model!$D$2:$D$15,MATCH(G257,Fortnightly_Model!$B$2:$B$15,0)),0),IFERROR(INDEX(Fortnightly_Model!$D$2:$D$15,MATCH(G258,Fortnightly_Model!$B$2:$B$15,0)),0),IFERROR(INDEX(Fortnightly_Model!$D$2:$D$15,MATCH(G259,Fortnightly_Model!$B$2:$B$15,0)),0),IFERROR(INDEX(Fortnightly_Model!$D$2:$D$15,MATCH(G260,Fortnightly_Model!$B$2:$B$15,0)),0)),IF(VLOOKUP($A257,Calendar!$A$1:$R$1377,18,0)=5,SUM(IFERROR(INDEX(Fortnightly_Model!$D$2:$D$15,MATCH(G257,Fortnightly_Model!$B$2:$B$15,0)),0),IFERROR(INDEX(Fortnightly_Model!$D$2:$D$15,MATCH(G258,Fortnightly_Model!$B$2:$B$15,0)),0),IFERROR(INDEX(Fortnightly_Model!$D$2:$D$15,MATCH(G259,Fortnightly_Model!$B$2:$B$15,0)),0),IFERROR(INDEX(Fortnightly_Model!$D$2:$D$15,MATCH(G260,Fortnightly_Model!$B$2:$B$15,0)),0),IFERROR(INDEX(Fortnightly_Model!$D$2:$D$15,MATCH(G261,Fortnightly_Model!$B$2:$B$15,0)),0)),0))))))</f>
        <v>1.0714285499999999E-3</v>
      </c>
      <c r="M257" s="27">
        <f>IF(VLOOKUP($A257,Calendar!$A$1:$R$1377,18,0)=0,0,IF(VLOOKUP($A257,Calendar!$A$1:$R$1377,18,0)=1,IFERROR(INDEX(FourWeekly_Model!$D$2:$D$29,MATCH(H257,FourWeekly_Model!$B$2:$B$29,0)),0),IF(VLOOKUP($A257,Calendar!$A$1:$R$1377,18,0)=2,SUM(IFERROR(INDEX(FourWeekly_Model!$D$2:$D$29,MATCH(H257,FourWeekly_Model!$B$2:$B$29,0)),0),IFERROR(INDEX(FourWeekly_Model!$D$2:$D$29,MATCH(H258,FourWeekly_Model!$B$2:$B$29,0)),0)),IF(VLOOKUP($A257,Calendar!$A$1:$R$1377,18,0)=3,SUM(IFERROR(INDEX(FourWeekly_Model!$D$2:$D$29,MATCH(H257,FourWeekly_Model!$B$2:$B$29,0)),0),IFERROR(INDEX(FourWeekly_Model!$D$2:$D$29,MATCH(H258,FourWeekly_Model!$B$2:$B$29,0)),0),IFERROR(INDEX(FourWeekly_Model!$D$2:$D$29,MATCH(H259,FourWeekly_Model!$B$2:$B$29,0)),0)),IF(VLOOKUP($A257,Calendar!$A$1:$R$1377,18,0)=4,SUM(IFERROR(INDEX(FourWeekly_Model!$D$2:$D$29,MATCH(H257,FourWeekly_Model!$B$2:$B$29,0)),0),IFERROR(INDEX(FourWeekly_Model!$D$2:$D$29,MATCH(H258,FourWeekly_Model!$B$2:$B$29,0)),0),IFERROR(INDEX(FourWeekly_Model!$D$2:$D$29,MATCH(H259,FourWeekly_Model!$B$2:$B$29,0)),0),IFERROR(INDEX(FourWeekly_Model!$D$2:$D$29,MATCH(H260,FourWeekly_Model!$B$2:$B$29,0)),0)),IF(VLOOKUP($A257,Calendar!$A$1:$R$1377,18,0)=5,SUM(IFERROR(INDEX(FourWeekly_Model!$D$2:$D$29,MATCH(H257,FourWeekly_Model!$B$2:$B$29,0)),0),IFERROR(INDEX(FourWeekly_Model!$D$2:$D$29,MATCH(H258,FourWeekly_Model!$B$2:$B$29,0)),0),IFERROR(INDEX(FourWeekly_Model!$D$2:$D$29,MATCH(H259,FourWeekly_Model!$B$2:$B$29,0)),0),IFERROR(INDEX(FourWeekly_Model!$D$2:$D$29,MATCH(H260,FourWeekly_Model!$B$2:$B$29,0)),0),IFERROR(INDEX(FourWeekly_Model!$D$2:$D$29,MATCH(H261,FourWeekly_Model!$B$2:$B$29,0)),0)),0))))))</f>
        <v>3.3214289700000004E-3</v>
      </c>
      <c r="N257" s="27">
        <f>SUM(I257:M257)</f>
        <v>2.840542296502618E-2</v>
      </c>
      <c r="O257" s="28">
        <f>Population_Data!$B$8*N257</f>
        <v>860684.3158402933</v>
      </c>
      <c r="P257" s="27">
        <f>IF(VLOOKUP($A257,Calendar!$A$1:$R$1377,18,0)=0,0,IF(VLOOKUP($A257,Calendar!$A$1:$R$1377,18,0)=1,IFERROR(INDEX(Pension_Model!$D$2:$D$29,MATCH(H257,Pension_Model!$B$2:$B$29,0)),0),IF(VLOOKUP($A257,Calendar!$A$1:$R$1377,18,0)=2,SUM(IFERROR(INDEX(Pension_Model!$D$2:$D$29,MATCH(H257,Pension_Model!$B$2:$B$29,0)),0),IFERROR(INDEX(Pension_Model!$D$2:$D$29,MATCH(H258,Pension_Model!$B$2:$B$29,0)),0)),IF(VLOOKUP($A257,Calendar!$A$1:$R$1377,18,0)=3,SUM(IFERROR(INDEX(Pension_Model!$D$2:$D$29,MATCH(H257,Pension_Model!$B$2:$B$29,0)),0),IFERROR(INDEX(Pension_Model!$D$2:$D$29,MATCH(H258,Pension_Model!$B$2:$B$29,0)),0),IFERROR(INDEX(Pension_Model!$D$2:$D$29,MATCH(H259,Pension_Model!$B$2:$B$29,0)),0)),IF(VLOOKUP($A257,Calendar!$A$1:$R$1377,18,0)=4,SUM(IFERROR(INDEX(Pension_Model!$D$2:$D$29,MATCH(H257,Pension_Model!$B$2:$B$29,0)),0),IFERROR(INDEX(Pension_Model!$D$2:$D$29,MATCH(H258,Pension_Model!$B$2:$B$29,0)),0),IFERROR(INDEX(Pension_Model!$D$2:$D$29,MATCH(H259,Pension_Model!$B$2:$B$29,0)),0),IFERROR(INDEX(Pension_Model!$D$2:$D$29,MATCH(H260,Pension_Model!$B$2:$B$29,0)),0)),IF(VLOOKUP($A257,Calendar!$A$1:$R$1377,18,0)=5,SUM(IFERROR(INDEX(Pension_Model!$D$2:$D$29,MATCH(H257,Pension_Model!$B$2:$B$29,0)),0),IFERROR(INDEX(Pension_Model!$D$2:$D$29,MATCH(H258,Pension_Model!$B$2:$B$29,0)),0),IFERROR(INDEX(Pension_Model!$D$2:$D$29,MATCH(H259,Pension_Model!$B$2:$B$29,0)),0),IFERROR(INDEX(Pension_Model!$D$2:$D$29,MATCH(H260,Pension_Model!$B$2:$B$29,0)),0),IFERROR(INDEX(Pension_Model!$D$2:$D$29,MATCH(H261,Pension_Model!$B$2:$B$29,0)),0)),0))))))</f>
        <v>0.05</v>
      </c>
      <c r="Q257" s="28">
        <f>Population_Data!$B$15*P257</f>
        <v>660600</v>
      </c>
      <c r="S257">
        <f t="shared" si="3"/>
        <v>1521284.3158402932</v>
      </c>
      <c r="U257" s="33">
        <f>S257/Population_Data!$B$19</f>
        <v>2.7559498475367629E-2</v>
      </c>
    </row>
    <row r="258" spans="1:21">
      <c r="A258" s="25">
        <f>Calendar!A258</f>
        <v>46491</v>
      </c>
      <c r="B258" t="str">
        <f>Calendar!L258</f>
        <v>Yes</v>
      </c>
      <c r="C258" t="str">
        <f>Calendar!O258</f>
        <v>No</v>
      </c>
      <c r="D258" t="str">
        <f>Calendar!P258</f>
        <v>No</v>
      </c>
      <c r="E258" t="str">
        <f>Calendar!Q258</f>
        <v>No</v>
      </c>
      <c r="F258" t="str">
        <f>Calendar!I258</f>
        <v>Wednesday</v>
      </c>
      <c r="G258">
        <f>Calendar!S258</f>
        <v>11</v>
      </c>
      <c r="H258">
        <f>Calendar!T258</f>
        <v>11</v>
      </c>
      <c r="I258" s="27">
        <f>IF(VLOOKUP(A258,Calendar!$A$1:$R$1377,18,0)=0,0,IF(VLOOKUP(A258,Calendar!$A$1:$R$1377,18,0)=1,INDEX(Monthly_Pay_Model!$A$9:$D$40,MATCH(TEXT(A258,"dd"),Monthly_Pay_Model!$C$9:$C$39,0),4),IF(VLOOKUP(A258,Calendar!$A$1:$R$1377,18,0)=2,SUM(INDEX(Monthly_Pay_Model!$A$9:$D$40,MATCH(TEXT(A258,"dd"),Monthly_Pay_Model!$C$9:$C$39,0),4),INDEX(Monthly_Pay_Model!$A$9:$D$40,MATCH(TEXT(A259,"dd"),Monthly_Pay_Model!$C$9:$C$39,0),4)),IF(VLOOKUP(A258,Calendar!$A$1:$R$1377,18,0)=3,SUM(INDEX(Monthly_Pay_Model!$A$9:$D$40,MATCH(TEXT(A258,"dd"),Monthly_Pay_Model!$C$9:$C$39,0),4),INDEX(Monthly_Pay_Model!$A$9:$D$40,MATCH(TEXT(A259,"dd"),Monthly_Pay_Model!$C$9:$C$39,0),4),INDEX(Monthly_Pay_Model!$A$9:$D$40,MATCH(TEXT(A260,"dd"),Monthly_Pay_Model!$C$9:$C$39,0),4)),IF(VLOOKUP(A258,Calendar!$A$1:$R$1377,18,0)=4,SUM(INDEX(Monthly_Pay_Model!$A$9:$D$40,MATCH(TEXT(A258,"dd"),Monthly_Pay_Model!$C$9:$C$39,0),4),INDEX(Monthly_Pay_Model!$A$9:$D$40,MATCH(TEXT(A259,"dd"),Monthly_Pay_Model!$C$9:$C$39,0),4),INDEX(Monthly_Pay_Model!$A$9:$D$40,MATCH(TEXT(A260,"dd"),Monthly_Pay_Model!$C$9:$C$39,0),4),INDEX(Monthly_Pay_Model!$A$9:$D$40,MATCH(TEXT(A261,"dd"),Monthly_Pay_Model!$C$9:$C$39,0),4)),IF(VLOOKUP(A258,Calendar!$A$1:$R$1377,18,0)=5,SUM(INDEX(Monthly_Pay_Model!$A$9:$D$40,MATCH(TEXT(A258,"dd"),Monthly_Pay_Model!$C$9:$C$39,0),4),INDEX(Monthly_Pay_Model!$A$9:$D$40,MATCH(TEXT(A259,"dd"),Monthly_Pay_Model!$C$9:$C$39,0),4),INDEX(Monthly_Pay_Model!$A$9:$D$40,MATCH(TEXT(A260,"dd"),Monthly_Pay_Model!$C$9:$C$39,0),4),INDEX(Monthly_Pay_Model!$A$9:$D$40,MATCH(TEXT(A261,"dd"),Monthly_Pay_Model!$C$9:$C$39,0),4),INDEX(Monthly_Pay_Model!$A$9:$D$40,MATCH(TEXT(A262,"dd"),Monthly_Pay_Model!$C$9:$C$39,0),4)),))))))</f>
        <v>8.1256544502617792E-4</v>
      </c>
      <c r="J258" s="33">
        <f>IF(C258="Yes",Monthly_Pay_Model!$D$2,0)
+IF(Calendar!N258="Yes",Monthly_Pay_Model!$D$3,0)
+IF(D258="Yes",Monthly_Pay_Model!$D$4,0)
+IF(E258="Yes",Monthly_Pay_Model!$D$5,0)</f>
        <v>0</v>
      </c>
      <c r="K258" s="27">
        <f>IF(VLOOKUP($A258,Calendar!$A$1:$R$1377,18,0)=0,0,IF(VLOOKUP($A258,Calendar!$A$1:$R$1377,18,0)=1,IFERROR(INDEX(Weekly_Model!$D$2:$D$9,MATCH(F258,Weekly_Model!$A$2:$A$9,0)),0),IF(VLOOKUP($A258,Calendar!$A$1:$R$1377,18,0)=2,SUM(IFERROR(INDEX(Weekly_Model!$D$2:$D$9,MATCH(F258,Weekly_Model!$A$2:$A$9,0)),0),IFERROR(INDEX(Weekly_Model!$D$2:$D$9,MATCH(F259,Weekly_Model!$A$2:$A$9,0)),0)),IF(VLOOKUP($A258,Calendar!$A$1:$R$1377,18,0)=3,SUM(IFERROR(INDEX(Weekly_Model!$D$2:$D$9,MATCH(F258,Weekly_Model!$A$2:$A$9,0)),0),IFERROR(INDEX(Weekly_Model!$D$2:$D$9,MATCH(F259,Weekly_Model!$A$2:$A$9,0)),0),IFERROR(INDEX(Weekly_Model!$D$2:$D$9,MATCH(F260,Weekly_Model!$A$2:$A$9,0)),0)),IF(VLOOKUP($A258,Calendar!$A$1:$R$1377,18,0)=4,SUM(IFERROR(INDEX(Weekly_Model!$D$2:$D$9,MATCH(F258,Weekly_Model!$A$2:$A$9,0)),0),IFERROR(INDEX(Weekly_Model!$D$2:$D$9,MATCH(F259,Weekly_Model!$A$2:$A$9,0)),0),IFERROR(INDEX(Weekly_Model!$D$2:$D$9,MATCH(F260,Weekly_Model!$A$2:$A$9,0)),0),IFERROR(INDEX(Weekly_Model!$D$2:$D$9,MATCH(F261,Weekly_Model!$A$2:$A$9,0)),0)),IF(VLOOKUP($A258,Calendar!$A$1:$R$1377,18,0)=5,SUM(IFERROR(INDEX(Weekly_Model!$D$2:$D$9,MATCH(F258,Weekly_Model!$A$2:$A$9,0)),0),IFERROR(INDEX(Weekly_Model!$D$2:$D$9,MATCH(F259,Weekly_Model!$A$2:$A$9,0)),0),IFERROR(INDEX(Weekly_Model!$D$2:$D$9,MATCH(F260,Weekly_Model!$A$2:$A$9,0)),0),IFERROR(INDEX(Weekly_Model!$D$2:$D$9,MATCH(F261,Weekly_Model!$A$2:$A$9,0)),0),IFERROR(INDEX(Weekly_Model!$D$2:$D$9,MATCH(F262,Weekly_Model!$A$2:$A$9,0)),0)),0))))))</f>
        <v>2.3200000000000002E-2</v>
      </c>
      <c r="L258" s="27">
        <f>IF(VLOOKUP($A258,Calendar!$A$1:$R$1377,18,0)=0,0,IF(VLOOKUP($A258,Calendar!$A$1:$R$1377,18,0)=1,IFERROR(INDEX(Fortnightly_Model!$D$2:$D$15,MATCH(G258,Fortnightly_Model!$B$2:$B$15,0)),0),IF(VLOOKUP($A258,Calendar!$A$1:$R$1377,18,0)=2,SUM(IFERROR(INDEX(Fortnightly_Model!$D$2:$D$15,MATCH(G258,Fortnightly_Model!$B$2:$B$15,0)),0),IFERROR(INDEX(Fortnightly_Model!$D$2:$D$15,MATCH(G259,Fortnightly_Model!$B$2:$B$15,0)),0)),IF(VLOOKUP($A258,Calendar!$A$1:$R$1377,18,0)=3,SUM(IFERROR(INDEX(Fortnightly_Model!$D$2:$D$15,MATCH(G258,Fortnightly_Model!$B$2:$B$15,0)),0),IFERROR(INDEX(Fortnightly_Model!$D$2:$D$15,MATCH(G259,Fortnightly_Model!$B$2:$B$15,0)),0),IFERROR(INDEX(Fortnightly_Model!$D$2:$D$15,MATCH(G260,Fortnightly_Model!$B$2:$B$15,0)),0)),IF(VLOOKUP($A258,Calendar!$A$1:$R$1377,18,0)=4,SUM(IFERROR(INDEX(Fortnightly_Model!$D$2:$D$15,MATCH(G258,Fortnightly_Model!$B$2:$B$15,0)),0),IFERROR(INDEX(Fortnightly_Model!$D$2:$D$15,MATCH(G259,Fortnightly_Model!$B$2:$B$15,0)),0),IFERROR(INDEX(Fortnightly_Model!$D$2:$D$15,MATCH(G260,Fortnightly_Model!$B$2:$B$15,0)),0),IFERROR(INDEX(Fortnightly_Model!$D$2:$D$15,MATCH(G261,Fortnightly_Model!$B$2:$B$15,0)),0)),IF(VLOOKUP($A258,Calendar!$A$1:$R$1377,18,0)=5,SUM(IFERROR(INDEX(Fortnightly_Model!$D$2:$D$15,MATCH(G258,Fortnightly_Model!$B$2:$B$15,0)),0),IFERROR(INDEX(Fortnightly_Model!$D$2:$D$15,MATCH(G259,Fortnightly_Model!$B$2:$B$15,0)),0),IFERROR(INDEX(Fortnightly_Model!$D$2:$D$15,MATCH(G260,Fortnightly_Model!$B$2:$B$15,0)),0),IFERROR(INDEX(Fortnightly_Model!$D$2:$D$15,MATCH(G261,Fortnightly_Model!$B$2:$B$15,0)),0),IFERROR(INDEX(Fortnightly_Model!$D$2:$D$15,MATCH(G262,Fortnightly_Model!$B$2:$B$15,0)),0)),0))))))</f>
        <v>1.0714285499999999E-3</v>
      </c>
      <c r="M258" s="27">
        <f>IF(VLOOKUP($A258,Calendar!$A$1:$R$1377,18,0)=0,0,IF(VLOOKUP($A258,Calendar!$A$1:$R$1377,18,0)=1,IFERROR(INDEX(FourWeekly_Model!$D$2:$D$29,MATCH(H258,FourWeekly_Model!$B$2:$B$29,0)),0),IF(VLOOKUP($A258,Calendar!$A$1:$R$1377,18,0)=2,SUM(IFERROR(INDEX(FourWeekly_Model!$D$2:$D$29,MATCH(H258,FourWeekly_Model!$B$2:$B$29,0)),0),IFERROR(INDEX(FourWeekly_Model!$D$2:$D$29,MATCH(H259,FourWeekly_Model!$B$2:$B$29,0)),0)),IF(VLOOKUP($A258,Calendar!$A$1:$R$1377,18,0)=3,SUM(IFERROR(INDEX(FourWeekly_Model!$D$2:$D$29,MATCH(H258,FourWeekly_Model!$B$2:$B$29,0)),0),IFERROR(INDEX(FourWeekly_Model!$D$2:$D$29,MATCH(H259,FourWeekly_Model!$B$2:$B$29,0)),0),IFERROR(INDEX(FourWeekly_Model!$D$2:$D$29,MATCH(H260,FourWeekly_Model!$B$2:$B$29,0)),0)),IF(VLOOKUP($A258,Calendar!$A$1:$R$1377,18,0)=4,SUM(IFERROR(INDEX(FourWeekly_Model!$D$2:$D$29,MATCH(H258,FourWeekly_Model!$B$2:$B$29,0)),0),IFERROR(INDEX(FourWeekly_Model!$D$2:$D$29,MATCH(H259,FourWeekly_Model!$B$2:$B$29,0)),0),IFERROR(INDEX(FourWeekly_Model!$D$2:$D$29,MATCH(H260,FourWeekly_Model!$B$2:$B$29,0)),0),IFERROR(INDEX(FourWeekly_Model!$D$2:$D$29,MATCH(H261,FourWeekly_Model!$B$2:$B$29,0)),0)),IF(VLOOKUP($A258,Calendar!$A$1:$R$1377,18,0)=5,SUM(IFERROR(INDEX(FourWeekly_Model!$D$2:$D$29,MATCH(H258,FourWeekly_Model!$B$2:$B$29,0)),0),IFERROR(INDEX(FourWeekly_Model!$D$2:$D$29,MATCH(H259,FourWeekly_Model!$B$2:$B$29,0)),0),IFERROR(INDEX(FourWeekly_Model!$D$2:$D$29,MATCH(H260,FourWeekly_Model!$B$2:$B$29,0)),0),IFERROR(INDEX(FourWeekly_Model!$D$2:$D$29,MATCH(H261,FourWeekly_Model!$B$2:$B$29,0)),0),IFERROR(INDEX(FourWeekly_Model!$D$2:$D$29,MATCH(H262,FourWeekly_Model!$B$2:$B$29,0)),0)),0))))))</f>
        <v>3.3214289700000004E-3</v>
      </c>
      <c r="N258" s="27">
        <f>SUM(I258:M258)</f>
        <v>2.840542296502618E-2</v>
      </c>
      <c r="O258" s="28">
        <f>Population_Data!$B$8*N258</f>
        <v>860684.3158402933</v>
      </c>
      <c r="P258" s="27">
        <f>IF(VLOOKUP($A258,Calendar!$A$1:$R$1377,18,0)=0,0,IF(VLOOKUP($A258,Calendar!$A$1:$R$1377,18,0)=1,IFERROR(INDEX(Pension_Model!$D$2:$D$29,MATCH(H258,Pension_Model!$B$2:$B$29,0)),0),IF(VLOOKUP($A258,Calendar!$A$1:$R$1377,18,0)=2,SUM(IFERROR(INDEX(Pension_Model!$D$2:$D$29,MATCH(H258,Pension_Model!$B$2:$B$29,0)),0),IFERROR(INDEX(Pension_Model!$D$2:$D$29,MATCH(H259,Pension_Model!$B$2:$B$29,0)),0)),IF(VLOOKUP($A258,Calendar!$A$1:$R$1377,18,0)=3,SUM(IFERROR(INDEX(Pension_Model!$D$2:$D$29,MATCH(H258,Pension_Model!$B$2:$B$29,0)),0),IFERROR(INDEX(Pension_Model!$D$2:$D$29,MATCH(H259,Pension_Model!$B$2:$B$29,0)),0),IFERROR(INDEX(Pension_Model!$D$2:$D$29,MATCH(H260,Pension_Model!$B$2:$B$29,0)),0)),IF(VLOOKUP($A258,Calendar!$A$1:$R$1377,18,0)=4,SUM(IFERROR(INDEX(Pension_Model!$D$2:$D$29,MATCH(H258,Pension_Model!$B$2:$B$29,0)),0),IFERROR(INDEX(Pension_Model!$D$2:$D$29,MATCH(H259,Pension_Model!$B$2:$B$29,0)),0),IFERROR(INDEX(Pension_Model!$D$2:$D$29,MATCH(H260,Pension_Model!$B$2:$B$29,0)),0),IFERROR(INDEX(Pension_Model!$D$2:$D$29,MATCH(H261,Pension_Model!$B$2:$B$29,0)),0)),IF(VLOOKUP($A258,Calendar!$A$1:$R$1377,18,0)=5,SUM(IFERROR(INDEX(Pension_Model!$D$2:$D$29,MATCH(H258,Pension_Model!$B$2:$B$29,0)),0),IFERROR(INDEX(Pension_Model!$D$2:$D$29,MATCH(H259,Pension_Model!$B$2:$B$29,0)),0),IFERROR(INDEX(Pension_Model!$D$2:$D$29,MATCH(H260,Pension_Model!$B$2:$B$29,0)),0),IFERROR(INDEX(Pension_Model!$D$2:$D$29,MATCH(H261,Pension_Model!$B$2:$B$29,0)),0),IFERROR(INDEX(Pension_Model!$D$2:$D$29,MATCH(H262,Pension_Model!$B$2:$B$29,0)),0)),0))))))</f>
        <v>0.05</v>
      </c>
      <c r="Q258" s="28">
        <f>Population_Data!$B$15*P258</f>
        <v>660600</v>
      </c>
      <c r="S258">
        <f t="shared" si="3"/>
        <v>1521284.3158402932</v>
      </c>
      <c r="U258" s="33">
        <f>S258/Population_Data!$B$19</f>
        <v>2.7559498475367629E-2</v>
      </c>
    </row>
    <row r="259" spans="1:21">
      <c r="A259" s="25">
        <f>Calendar!A259</f>
        <v>46492</v>
      </c>
      <c r="B259" t="str">
        <f>Calendar!L259</f>
        <v>Yes</v>
      </c>
      <c r="C259" t="str">
        <f>Calendar!O259</f>
        <v>No</v>
      </c>
      <c r="D259" t="str">
        <f>Calendar!P259</f>
        <v>No</v>
      </c>
      <c r="E259" t="str">
        <f>Calendar!Q259</f>
        <v>No</v>
      </c>
      <c r="F259" t="str">
        <f>Calendar!I259</f>
        <v>Thursday</v>
      </c>
      <c r="G259">
        <f>Calendar!S259</f>
        <v>12</v>
      </c>
      <c r="H259">
        <f>Calendar!T259</f>
        <v>12</v>
      </c>
      <c r="I259" s="27">
        <f>IF(VLOOKUP(A259,Calendar!$A$1:$R$1377,18,0)=0,0,IF(VLOOKUP(A259,Calendar!$A$1:$R$1377,18,0)=1,INDEX(Monthly_Pay_Model!$A$9:$D$40,MATCH(TEXT(A259,"dd"),Monthly_Pay_Model!$C$9:$C$39,0),4),IF(VLOOKUP(A259,Calendar!$A$1:$R$1377,18,0)=2,SUM(INDEX(Monthly_Pay_Model!$A$9:$D$40,MATCH(TEXT(A259,"dd"),Monthly_Pay_Model!$C$9:$C$39,0),4),INDEX(Monthly_Pay_Model!$A$9:$D$40,MATCH(TEXT(A260,"dd"),Monthly_Pay_Model!$C$9:$C$39,0),4)),IF(VLOOKUP(A259,Calendar!$A$1:$R$1377,18,0)=3,SUM(INDEX(Monthly_Pay_Model!$A$9:$D$40,MATCH(TEXT(A259,"dd"),Monthly_Pay_Model!$C$9:$C$39,0),4),INDEX(Monthly_Pay_Model!$A$9:$D$40,MATCH(TEXT(A260,"dd"),Monthly_Pay_Model!$C$9:$C$39,0),4),INDEX(Monthly_Pay_Model!$A$9:$D$40,MATCH(TEXT(A261,"dd"),Monthly_Pay_Model!$C$9:$C$39,0),4)),IF(VLOOKUP(A259,Calendar!$A$1:$R$1377,18,0)=4,SUM(INDEX(Monthly_Pay_Model!$A$9:$D$40,MATCH(TEXT(A259,"dd"),Monthly_Pay_Model!$C$9:$C$39,0),4),INDEX(Monthly_Pay_Model!$A$9:$D$40,MATCH(TEXT(A260,"dd"),Monthly_Pay_Model!$C$9:$C$39,0),4),INDEX(Monthly_Pay_Model!$A$9:$D$40,MATCH(TEXT(A261,"dd"),Monthly_Pay_Model!$C$9:$C$39,0),4),INDEX(Monthly_Pay_Model!$A$9:$D$40,MATCH(TEXT(A262,"dd"),Monthly_Pay_Model!$C$9:$C$39,0),4)),IF(VLOOKUP(A259,Calendar!$A$1:$R$1377,18,0)=5,SUM(INDEX(Monthly_Pay_Model!$A$9:$D$40,MATCH(TEXT(A259,"dd"),Monthly_Pay_Model!$C$9:$C$39,0),4),INDEX(Monthly_Pay_Model!$A$9:$D$40,MATCH(TEXT(A260,"dd"),Monthly_Pay_Model!$C$9:$C$39,0),4),INDEX(Monthly_Pay_Model!$A$9:$D$40,MATCH(TEXT(A261,"dd"),Monthly_Pay_Model!$C$9:$C$39,0),4),INDEX(Monthly_Pay_Model!$A$9:$D$40,MATCH(TEXT(A262,"dd"),Monthly_Pay_Model!$C$9:$C$39,0),4),INDEX(Monthly_Pay_Model!$A$9:$D$40,MATCH(TEXT(A263,"dd"),Monthly_Pay_Model!$C$9:$C$39,0),4)),))))))</f>
        <v>1.3001047120418847E-2</v>
      </c>
      <c r="J259" s="33">
        <f>IF(C259="Yes",Monthly_Pay_Model!$D$2,0)
+IF(Calendar!N259="Yes",Monthly_Pay_Model!$D$3,0)
+IF(D259="Yes",Monthly_Pay_Model!$D$4,0)
+IF(E259="Yes",Monthly_Pay_Model!$D$5,0)</f>
        <v>0</v>
      </c>
      <c r="K259" s="27">
        <f>IF(VLOOKUP($A259,Calendar!$A$1:$R$1377,18,0)=0,0,IF(VLOOKUP($A259,Calendar!$A$1:$R$1377,18,0)=1,IFERROR(INDEX(Weekly_Model!$D$2:$D$9,MATCH(F259,Weekly_Model!$A$2:$A$9,0)),0),IF(VLOOKUP($A259,Calendar!$A$1:$R$1377,18,0)=2,SUM(IFERROR(INDEX(Weekly_Model!$D$2:$D$9,MATCH(F259,Weekly_Model!$A$2:$A$9,0)),0),IFERROR(INDEX(Weekly_Model!$D$2:$D$9,MATCH(F260,Weekly_Model!$A$2:$A$9,0)),0)),IF(VLOOKUP($A259,Calendar!$A$1:$R$1377,18,0)=3,SUM(IFERROR(INDEX(Weekly_Model!$D$2:$D$9,MATCH(F259,Weekly_Model!$A$2:$A$9,0)),0),IFERROR(INDEX(Weekly_Model!$D$2:$D$9,MATCH(F260,Weekly_Model!$A$2:$A$9,0)),0),IFERROR(INDEX(Weekly_Model!$D$2:$D$9,MATCH(F261,Weekly_Model!$A$2:$A$9,0)),0)),IF(VLOOKUP($A259,Calendar!$A$1:$R$1377,18,0)=4,SUM(IFERROR(INDEX(Weekly_Model!$D$2:$D$9,MATCH(F259,Weekly_Model!$A$2:$A$9,0)),0),IFERROR(INDEX(Weekly_Model!$D$2:$D$9,MATCH(F260,Weekly_Model!$A$2:$A$9,0)),0),IFERROR(INDEX(Weekly_Model!$D$2:$D$9,MATCH(F261,Weekly_Model!$A$2:$A$9,0)),0),IFERROR(INDEX(Weekly_Model!$D$2:$D$9,MATCH(F262,Weekly_Model!$A$2:$A$9,0)),0)),IF(VLOOKUP($A259,Calendar!$A$1:$R$1377,18,0)=5,SUM(IFERROR(INDEX(Weekly_Model!$D$2:$D$9,MATCH(F259,Weekly_Model!$A$2:$A$9,0)),0),IFERROR(INDEX(Weekly_Model!$D$2:$D$9,MATCH(F260,Weekly_Model!$A$2:$A$9,0)),0),IFERROR(INDEX(Weekly_Model!$D$2:$D$9,MATCH(F261,Weekly_Model!$A$2:$A$9,0)),0),IFERROR(INDEX(Weekly_Model!$D$2:$D$9,MATCH(F262,Weekly_Model!$A$2:$A$9,0)),0),IFERROR(INDEX(Weekly_Model!$D$2:$D$9,MATCH(F263,Weekly_Model!$A$2:$A$9,0)),0)),0))))))</f>
        <v>2.3200000000000002E-2</v>
      </c>
      <c r="L259" s="27">
        <f>IF(VLOOKUP($A259,Calendar!$A$1:$R$1377,18,0)=0,0,IF(VLOOKUP($A259,Calendar!$A$1:$R$1377,18,0)=1,IFERROR(INDEX(Fortnightly_Model!$D$2:$D$15,MATCH(G259,Fortnightly_Model!$B$2:$B$15,0)),0),IF(VLOOKUP($A259,Calendar!$A$1:$R$1377,18,0)=2,SUM(IFERROR(INDEX(Fortnightly_Model!$D$2:$D$15,MATCH(G259,Fortnightly_Model!$B$2:$B$15,0)),0),IFERROR(INDEX(Fortnightly_Model!$D$2:$D$15,MATCH(G260,Fortnightly_Model!$B$2:$B$15,0)),0)),IF(VLOOKUP($A259,Calendar!$A$1:$R$1377,18,0)=3,SUM(IFERROR(INDEX(Fortnightly_Model!$D$2:$D$15,MATCH(G259,Fortnightly_Model!$B$2:$B$15,0)),0),IFERROR(INDEX(Fortnightly_Model!$D$2:$D$15,MATCH(G260,Fortnightly_Model!$B$2:$B$15,0)),0),IFERROR(INDEX(Fortnightly_Model!$D$2:$D$15,MATCH(G261,Fortnightly_Model!$B$2:$B$15,0)),0)),IF(VLOOKUP($A259,Calendar!$A$1:$R$1377,18,0)=4,SUM(IFERROR(INDEX(Fortnightly_Model!$D$2:$D$15,MATCH(G259,Fortnightly_Model!$B$2:$B$15,0)),0),IFERROR(INDEX(Fortnightly_Model!$D$2:$D$15,MATCH(G260,Fortnightly_Model!$B$2:$B$15,0)),0),IFERROR(INDEX(Fortnightly_Model!$D$2:$D$15,MATCH(G261,Fortnightly_Model!$B$2:$B$15,0)),0),IFERROR(INDEX(Fortnightly_Model!$D$2:$D$15,MATCH(G262,Fortnightly_Model!$B$2:$B$15,0)),0)),IF(VLOOKUP($A259,Calendar!$A$1:$R$1377,18,0)=5,SUM(IFERROR(INDEX(Fortnightly_Model!$D$2:$D$15,MATCH(G259,Fortnightly_Model!$B$2:$B$15,0)),0),IFERROR(INDEX(Fortnightly_Model!$D$2:$D$15,MATCH(G260,Fortnightly_Model!$B$2:$B$15,0)),0),IFERROR(INDEX(Fortnightly_Model!$D$2:$D$15,MATCH(G261,Fortnightly_Model!$B$2:$B$15,0)),0),IFERROR(INDEX(Fortnightly_Model!$D$2:$D$15,MATCH(G262,Fortnightly_Model!$B$2:$B$15,0)),0),IFERROR(INDEX(Fortnightly_Model!$D$2:$D$15,MATCH(G263,Fortnightly_Model!$B$2:$B$15,0)),0)),0))))))</f>
        <v>1.0714285499999999E-3</v>
      </c>
      <c r="M259" s="27">
        <f>IF(VLOOKUP($A259,Calendar!$A$1:$R$1377,18,0)=0,0,IF(VLOOKUP($A259,Calendar!$A$1:$R$1377,18,0)=1,IFERROR(INDEX(FourWeekly_Model!$D$2:$D$29,MATCH(H259,FourWeekly_Model!$B$2:$B$29,0)),0),IF(VLOOKUP($A259,Calendar!$A$1:$R$1377,18,0)=2,SUM(IFERROR(INDEX(FourWeekly_Model!$D$2:$D$29,MATCH(H259,FourWeekly_Model!$B$2:$B$29,0)),0),IFERROR(INDEX(FourWeekly_Model!$D$2:$D$29,MATCH(H260,FourWeekly_Model!$B$2:$B$29,0)),0)),IF(VLOOKUP($A259,Calendar!$A$1:$R$1377,18,0)=3,SUM(IFERROR(INDEX(FourWeekly_Model!$D$2:$D$29,MATCH(H259,FourWeekly_Model!$B$2:$B$29,0)),0),IFERROR(INDEX(FourWeekly_Model!$D$2:$D$29,MATCH(H260,FourWeekly_Model!$B$2:$B$29,0)),0),IFERROR(INDEX(FourWeekly_Model!$D$2:$D$29,MATCH(H261,FourWeekly_Model!$B$2:$B$29,0)),0)),IF(VLOOKUP($A259,Calendar!$A$1:$R$1377,18,0)=4,SUM(IFERROR(INDEX(FourWeekly_Model!$D$2:$D$29,MATCH(H259,FourWeekly_Model!$B$2:$B$29,0)),0),IFERROR(INDEX(FourWeekly_Model!$D$2:$D$29,MATCH(H260,FourWeekly_Model!$B$2:$B$29,0)),0),IFERROR(INDEX(FourWeekly_Model!$D$2:$D$29,MATCH(H261,FourWeekly_Model!$B$2:$B$29,0)),0),IFERROR(INDEX(FourWeekly_Model!$D$2:$D$29,MATCH(H262,FourWeekly_Model!$B$2:$B$29,0)),0)),IF(VLOOKUP($A259,Calendar!$A$1:$R$1377,18,0)=5,SUM(IFERROR(INDEX(FourWeekly_Model!$D$2:$D$29,MATCH(H259,FourWeekly_Model!$B$2:$B$29,0)),0),IFERROR(INDEX(FourWeekly_Model!$D$2:$D$29,MATCH(H260,FourWeekly_Model!$B$2:$B$29,0)),0),IFERROR(INDEX(FourWeekly_Model!$D$2:$D$29,MATCH(H261,FourWeekly_Model!$B$2:$B$29,0)),0),IFERROR(INDEX(FourWeekly_Model!$D$2:$D$29,MATCH(H262,FourWeekly_Model!$B$2:$B$29,0)),0),IFERROR(INDEX(FourWeekly_Model!$D$2:$D$29,MATCH(H263,FourWeekly_Model!$B$2:$B$29,0)),0)),0))))))</f>
        <v>3.3214289700000004E-3</v>
      </c>
      <c r="N259" s="27">
        <f>SUM(I259:M259)</f>
        <v>4.059390464041885E-2</v>
      </c>
      <c r="O259" s="28">
        <f>Population_Data!$B$8*N259</f>
        <v>1229995.310604691</v>
      </c>
      <c r="P259" s="27">
        <f>IF(VLOOKUP($A259,Calendar!$A$1:$R$1377,18,0)=0,0,IF(VLOOKUP($A259,Calendar!$A$1:$R$1377,18,0)=1,IFERROR(INDEX(Pension_Model!$D$2:$D$29,MATCH(H259,Pension_Model!$B$2:$B$29,0)),0),IF(VLOOKUP($A259,Calendar!$A$1:$R$1377,18,0)=2,SUM(IFERROR(INDEX(Pension_Model!$D$2:$D$29,MATCH(H259,Pension_Model!$B$2:$B$29,0)),0),IFERROR(INDEX(Pension_Model!$D$2:$D$29,MATCH(H260,Pension_Model!$B$2:$B$29,0)),0)),IF(VLOOKUP($A259,Calendar!$A$1:$R$1377,18,0)=3,SUM(IFERROR(INDEX(Pension_Model!$D$2:$D$29,MATCH(H259,Pension_Model!$B$2:$B$29,0)),0),IFERROR(INDEX(Pension_Model!$D$2:$D$29,MATCH(H260,Pension_Model!$B$2:$B$29,0)),0),IFERROR(INDEX(Pension_Model!$D$2:$D$29,MATCH(H261,Pension_Model!$B$2:$B$29,0)),0)),IF(VLOOKUP($A259,Calendar!$A$1:$R$1377,18,0)=4,SUM(IFERROR(INDEX(Pension_Model!$D$2:$D$29,MATCH(H259,Pension_Model!$B$2:$B$29,0)),0),IFERROR(INDEX(Pension_Model!$D$2:$D$29,MATCH(H260,Pension_Model!$B$2:$B$29,0)),0),IFERROR(INDEX(Pension_Model!$D$2:$D$29,MATCH(H261,Pension_Model!$B$2:$B$29,0)),0),IFERROR(INDEX(Pension_Model!$D$2:$D$29,MATCH(H262,Pension_Model!$B$2:$B$29,0)),0)),IF(VLOOKUP($A259,Calendar!$A$1:$R$1377,18,0)=5,SUM(IFERROR(INDEX(Pension_Model!$D$2:$D$29,MATCH(H259,Pension_Model!$B$2:$B$29,0)),0),IFERROR(INDEX(Pension_Model!$D$2:$D$29,MATCH(H260,Pension_Model!$B$2:$B$29,0)),0),IFERROR(INDEX(Pension_Model!$D$2:$D$29,MATCH(H261,Pension_Model!$B$2:$B$29,0)),0),IFERROR(INDEX(Pension_Model!$D$2:$D$29,MATCH(H262,Pension_Model!$B$2:$B$29,0)),0),IFERROR(INDEX(Pension_Model!$D$2:$D$29,MATCH(H263,Pension_Model!$B$2:$B$29,0)),0)),0))))))</f>
        <v>0.05</v>
      </c>
      <c r="Q259" s="28">
        <f>Population_Data!$B$15*P259</f>
        <v>660600</v>
      </c>
      <c r="S259">
        <f t="shared" ref="S259:S322" si="4">SUM(Q259,O259)</f>
        <v>1890595.310604691</v>
      </c>
      <c r="U259" s="33">
        <f>S259/Population_Data!$B$19</f>
        <v>3.4249915047186434E-2</v>
      </c>
    </row>
    <row r="260" spans="1:21">
      <c r="A260" s="25">
        <f>Calendar!A260</f>
        <v>46493</v>
      </c>
      <c r="B260" t="str">
        <f>Calendar!L260</f>
        <v>Yes</v>
      </c>
      <c r="C260" t="str">
        <f>Calendar!O260</f>
        <v>No</v>
      </c>
      <c r="D260" t="str">
        <f>Calendar!P260</f>
        <v>No</v>
      </c>
      <c r="E260" t="str">
        <f>Calendar!Q260</f>
        <v>No</v>
      </c>
      <c r="F260" t="str">
        <f>Calendar!I260</f>
        <v>Friday</v>
      </c>
      <c r="G260">
        <f>Calendar!S260</f>
        <v>13</v>
      </c>
      <c r="H260">
        <f>Calendar!T260</f>
        <v>13</v>
      </c>
      <c r="I260" s="27">
        <f>IF(VLOOKUP(A260,Calendar!$A$1:$R$1377,18,0)=0,0,IF(VLOOKUP(A260,Calendar!$A$1:$R$1377,18,0)=1,INDEX(Monthly_Pay_Model!$A$9:$D$40,MATCH(TEXT(A260,"dd"),Monthly_Pay_Model!$C$9:$C$39,0),4),IF(VLOOKUP(A260,Calendar!$A$1:$R$1377,18,0)=2,SUM(INDEX(Monthly_Pay_Model!$A$9:$D$40,MATCH(TEXT(A260,"dd"),Monthly_Pay_Model!$C$9:$C$39,0),4),INDEX(Monthly_Pay_Model!$A$9:$D$40,MATCH(TEXT(A261,"dd"),Monthly_Pay_Model!$C$9:$C$39,0),4)),IF(VLOOKUP(A260,Calendar!$A$1:$R$1377,18,0)=3,SUM(INDEX(Monthly_Pay_Model!$A$9:$D$40,MATCH(TEXT(A260,"dd"),Monthly_Pay_Model!$C$9:$C$39,0),4),INDEX(Monthly_Pay_Model!$A$9:$D$40,MATCH(TEXT(A261,"dd"),Monthly_Pay_Model!$C$9:$C$39,0),4),INDEX(Monthly_Pay_Model!$A$9:$D$40,MATCH(TEXT(A262,"dd"),Monthly_Pay_Model!$C$9:$C$39,0),4)),IF(VLOOKUP(A260,Calendar!$A$1:$R$1377,18,0)=4,SUM(INDEX(Monthly_Pay_Model!$A$9:$D$40,MATCH(TEXT(A260,"dd"),Monthly_Pay_Model!$C$9:$C$39,0),4),INDEX(Monthly_Pay_Model!$A$9:$D$40,MATCH(TEXT(A261,"dd"),Monthly_Pay_Model!$C$9:$C$39,0),4),INDEX(Monthly_Pay_Model!$A$9:$D$40,MATCH(TEXT(A262,"dd"),Monthly_Pay_Model!$C$9:$C$39,0),4),INDEX(Monthly_Pay_Model!$A$9:$D$40,MATCH(TEXT(A263,"dd"),Monthly_Pay_Model!$C$9:$C$39,0),4)),IF(VLOOKUP(A260,Calendar!$A$1:$R$1377,18,0)=5,SUM(INDEX(Monthly_Pay_Model!$A$9:$D$40,MATCH(TEXT(A260,"dd"),Monthly_Pay_Model!$C$9:$C$39,0),4),INDEX(Monthly_Pay_Model!$A$9:$D$40,MATCH(TEXT(A261,"dd"),Monthly_Pay_Model!$C$9:$C$39,0),4),INDEX(Monthly_Pay_Model!$A$9:$D$40,MATCH(TEXT(A262,"dd"),Monthly_Pay_Model!$C$9:$C$39,0),4),INDEX(Monthly_Pay_Model!$A$9:$D$40,MATCH(TEXT(A263,"dd"),Monthly_Pay_Model!$C$9:$C$39,0),4),INDEX(Monthly_Pay_Model!$A$9:$D$40,MATCH(TEXT(A264,"dd"),Monthly_Pay_Model!$C$9:$C$39,0),4)),))))))</f>
        <v>4.8753926701570671E-3</v>
      </c>
      <c r="J260" s="33">
        <f>IF(C260="Yes",Monthly_Pay_Model!$D$2,0)
+IF(Calendar!N260="Yes",Monthly_Pay_Model!$D$3,0)
+IF(D260="Yes",Monthly_Pay_Model!$D$4,0)
+IF(E260="Yes",Monthly_Pay_Model!$D$5,0)</f>
        <v>0</v>
      </c>
      <c r="K260" s="27">
        <f>IF(VLOOKUP($A260,Calendar!$A$1:$R$1377,18,0)=0,0,IF(VLOOKUP($A260,Calendar!$A$1:$R$1377,18,0)=1,IFERROR(INDEX(Weekly_Model!$D$2:$D$9,MATCH(F260,Weekly_Model!$A$2:$A$9,0)),0),IF(VLOOKUP($A260,Calendar!$A$1:$R$1377,18,0)=2,SUM(IFERROR(INDEX(Weekly_Model!$D$2:$D$9,MATCH(F260,Weekly_Model!$A$2:$A$9,0)),0),IFERROR(INDEX(Weekly_Model!$D$2:$D$9,MATCH(F261,Weekly_Model!$A$2:$A$9,0)),0)),IF(VLOOKUP($A260,Calendar!$A$1:$R$1377,18,0)=3,SUM(IFERROR(INDEX(Weekly_Model!$D$2:$D$9,MATCH(F260,Weekly_Model!$A$2:$A$9,0)),0),IFERROR(INDEX(Weekly_Model!$D$2:$D$9,MATCH(F261,Weekly_Model!$A$2:$A$9,0)),0),IFERROR(INDEX(Weekly_Model!$D$2:$D$9,MATCH(F262,Weekly_Model!$A$2:$A$9,0)),0)),IF(VLOOKUP($A260,Calendar!$A$1:$R$1377,18,0)=4,SUM(IFERROR(INDEX(Weekly_Model!$D$2:$D$9,MATCH(F260,Weekly_Model!$A$2:$A$9,0)),0),IFERROR(INDEX(Weekly_Model!$D$2:$D$9,MATCH(F261,Weekly_Model!$A$2:$A$9,0)),0),IFERROR(INDEX(Weekly_Model!$D$2:$D$9,MATCH(F262,Weekly_Model!$A$2:$A$9,0)),0),IFERROR(INDEX(Weekly_Model!$D$2:$D$9,MATCH(F263,Weekly_Model!$A$2:$A$9,0)),0)),IF(VLOOKUP($A260,Calendar!$A$1:$R$1377,18,0)=5,SUM(IFERROR(INDEX(Weekly_Model!$D$2:$D$9,MATCH(F260,Weekly_Model!$A$2:$A$9,0)),0),IFERROR(INDEX(Weekly_Model!$D$2:$D$9,MATCH(F261,Weekly_Model!$A$2:$A$9,0)),0),IFERROR(INDEX(Weekly_Model!$D$2:$D$9,MATCH(F262,Weekly_Model!$A$2:$A$9,0)),0),IFERROR(INDEX(Weekly_Model!$D$2:$D$9,MATCH(F263,Weekly_Model!$A$2:$A$9,0)),0),IFERROR(INDEX(Weekly_Model!$D$2:$D$9,MATCH(F264,Weekly_Model!$A$2:$A$9,0)),0)),0))))))</f>
        <v>2.3200000000000002E-2</v>
      </c>
      <c r="L260" s="27">
        <f>IF(VLOOKUP($A260,Calendar!$A$1:$R$1377,18,0)=0,0,IF(VLOOKUP($A260,Calendar!$A$1:$R$1377,18,0)=1,IFERROR(INDEX(Fortnightly_Model!$D$2:$D$15,MATCH(G260,Fortnightly_Model!$B$2:$B$15,0)),0),IF(VLOOKUP($A260,Calendar!$A$1:$R$1377,18,0)=2,SUM(IFERROR(INDEX(Fortnightly_Model!$D$2:$D$15,MATCH(G260,Fortnightly_Model!$B$2:$B$15,0)),0),IFERROR(INDEX(Fortnightly_Model!$D$2:$D$15,MATCH(G261,Fortnightly_Model!$B$2:$B$15,0)),0)),IF(VLOOKUP($A260,Calendar!$A$1:$R$1377,18,0)=3,SUM(IFERROR(INDEX(Fortnightly_Model!$D$2:$D$15,MATCH(G260,Fortnightly_Model!$B$2:$B$15,0)),0),IFERROR(INDEX(Fortnightly_Model!$D$2:$D$15,MATCH(G261,Fortnightly_Model!$B$2:$B$15,0)),0),IFERROR(INDEX(Fortnightly_Model!$D$2:$D$15,MATCH(G262,Fortnightly_Model!$B$2:$B$15,0)),0)),IF(VLOOKUP($A260,Calendar!$A$1:$R$1377,18,0)=4,SUM(IFERROR(INDEX(Fortnightly_Model!$D$2:$D$15,MATCH(G260,Fortnightly_Model!$B$2:$B$15,0)),0),IFERROR(INDEX(Fortnightly_Model!$D$2:$D$15,MATCH(G261,Fortnightly_Model!$B$2:$B$15,0)),0),IFERROR(INDEX(Fortnightly_Model!$D$2:$D$15,MATCH(G262,Fortnightly_Model!$B$2:$B$15,0)),0),IFERROR(INDEX(Fortnightly_Model!$D$2:$D$15,MATCH(G263,Fortnightly_Model!$B$2:$B$15,0)),0)),IF(VLOOKUP($A260,Calendar!$A$1:$R$1377,18,0)=5,SUM(IFERROR(INDEX(Fortnightly_Model!$D$2:$D$15,MATCH(G260,Fortnightly_Model!$B$2:$B$15,0)),0),IFERROR(INDEX(Fortnightly_Model!$D$2:$D$15,MATCH(G261,Fortnightly_Model!$B$2:$B$15,0)),0),IFERROR(INDEX(Fortnightly_Model!$D$2:$D$15,MATCH(G262,Fortnightly_Model!$B$2:$B$15,0)),0),IFERROR(INDEX(Fortnightly_Model!$D$2:$D$15,MATCH(G263,Fortnightly_Model!$B$2:$B$15,0)),0),IFERROR(INDEX(Fortnightly_Model!$D$2:$D$15,MATCH(G264,Fortnightly_Model!$B$2:$B$15,0)),0)),0))))))</f>
        <v>3.2142856499999999E-3</v>
      </c>
      <c r="M260" s="27">
        <f>IF(VLOOKUP($A260,Calendar!$A$1:$R$1377,18,0)=0,0,IF(VLOOKUP($A260,Calendar!$A$1:$R$1377,18,0)=1,IFERROR(INDEX(FourWeekly_Model!$D$2:$D$29,MATCH(H260,FourWeekly_Model!$B$2:$B$29,0)),0),IF(VLOOKUP($A260,Calendar!$A$1:$R$1377,18,0)=2,SUM(IFERROR(INDEX(FourWeekly_Model!$D$2:$D$29,MATCH(H260,FourWeekly_Model!$B$2:$B$29,0)),0),IFERROR(INDEX(FourWeekly_Model!$D$2:$D$29,MATCH(H261,FourWeekly_Model!$B$2:$B$29,0)),0)),IF(VLOOKUP($A260,Calendar!$A$1:$R$1377,18,0)=3,SUM(IFERROR(INDEX(FourWeekly_Model!$D$2:$D$29,MATCH(H260,FourWeekly_Model!$B$2:$B$29,0)),0),IFERROR(INDEX(FourWeekly_Model!$D$2:$D$29,MATCH(H261,FourWeekly_Model!$B$2:$B$29,0)),0),IFERROR(INDEX(FourWeekly_Model!$D$2:$D$29,MATCH(H262,FourWeekly_Model!$B$2:$B$29,0)),0)),IF(VLOOKUP($A260,Calendar!$A$1:$R$1377,18,0)=4,SUM(IFERROR(INDEX(FourWeekly_Model!$D$2:$D$29,MATCH(H260,FourWeekly_Model!$B$2:$B$29,0)),0),IFERROR(INDEX(FourWeekly_Model!$D$2:$D$29,MATCH(H261,FourWeekly_Model!$B$2:$B$29,0)),0),IFERROR(INDEX(FourWeekly_Model!$D$2:$D$29,MATCH(H262,FourWeekly_Model!$B$2:$B$29,0)),0),IFERROR(INDEX(FourWeekly_Model!$D$2:$D$29,MATCH(H263,FourWeekly_Model!$B$2:$B$29,0)),0)),IF(VLOOKUP($A260,Calendar!$A$1:$R$1377,18,0)=5,SUM(IFERROR(INDEX(FourWeekly_Model!$D$2:$D$29,MATCH(H260,FourWeekly_Model!$B$2:$B$29,0)),0),IFERROR(INDEX(FourWeekly_Model!$D$2:$D$29,MATCH(H261,FourWeekly_Model!$B$2:$B$29,0)),0),IFERROR(INDEX(FourWeekly_Model!$D$2:$D$29,MATCH(H262,FourWeekly_Model!$B$2:$B$29,0)),0),IFERROR(INDEX(FourWeekly_Model!$D$2:$D$29,MATCH(H263,FourWeekly_Model!$B$2:$B$29,0)),0),IFERROR(INDEX(FourWeekly_Model!$D$2:$D$29,MATCH(H264,FourWeekly_Model!$B$2:$B$29,0)),0)),0))))))</f>
        <v>9.9642859800000011E-3</v>
      </c>
      <c r="N260" s="27">
        <f>SUM(I260:M260)</f>
        <v>4.125396430015707E-2</v>
      </c>
      <c r="O260" s="28">
        <f>Population_Data!$B$8*N260</f>
        <v>1249995.1182947592</v>
      </c>
      <c r="P260" s="27">
        <f>IF(VLOOKUP($A260,Calendar!$A$1:$R$1377,18,0)=0,0,IF(VLOOKUP($A260,Calendar!$A$1:$R$1377,18,0)=1,IFERROR(INDEX(Pension_Model!$D$2:$D$29,MATCH(H260,Pension_Model!$B$2:$B$29,0)),0),IF(VLOOKUP($A260,Calendar!$A$1:$R$1377,18,0)=2,SUM(IFERROR(INDEX(Pension_Model!$D$2:$D$29,MATCH(H260,Pension_Model!$B$2:$B$29,0)),0),IFERROR(INDEX(Pension_Model!$D$2:$D$29,MATCH(H261,Pension_Model!$B$2:$B$29,0)),0)),IF(VLOOKUP($A260,Calendar!$A$1:$R$1377,18,0)=3,SUM(IFERROR(INDEX(Pension_Model!$D$2:$D$29,MATCH(H260,Pension_Model!$B$2:$B$29,0)),0),IFERROR(INDEX(Pension_Model!$D$2:$D$29,MATCH(H261,Pension_Model!$B$2:$B$29,0)),0),IFERROR(INDEX(Pension_Model!$D$2:$D$29,MATCH(H262,Pension_Model!$B$2:$B$29,0)),0)),IF(VLOOKUP($A260,Calendar!$A$1:$R$1377,18,0)=4,SUM(IFERROR(INDEX(Pension_Model!$D$2:$D$29,MATCH(H260,Pension_Model!$B$2:$B$29,0)),0),IFERROR(INDEX(Pension_Model!$D$2:$D$29,MATCH(H261,Pension_Model!$B$2:$B$29,0)),0),IFERROR(INDEX(Pension_Model!$D$2:$D$29,MATCH(H262,Pension_Model!$B$2:$B$29,0)),0),IFERROR(INDEX(Pension_Model!$D$2:$D$29,MATCH(H263,Pension_Model!$B$2:$B$29,0)),0)),IF(VLOOKUP($A260,Calendar!$A$1:$R$1377,18,0)=5,SUM(IFERROR(INDEX(Pension_Model!$D$2:$D$29,MATCH(H260,Pension_Model!$B$2:$B$29,0)),0),IFERROR(INDEX(Pension_Model!$D$2:$D$29,MATCH(H261,Pension_Model!$B$2:$B$29,0)),0),IFERROR(INDEX(Pension_Model!$D$2:$D$29,MATCH(H262,Pension_Model!$B$2:$B$29,0)),0),IFERROR(INDEX(Pension_Model!$D$2:$D$29,MATCH(H263,Pension_Model!$B$2:$B$29,0)),0),IFERROR(INDEX(Pension_Model!$D$2:$D$29,MATCH(H264,Pension_Model!$B$2:$B$29,0)),0)),0))))))</f>
        <v>0.05</v>
      </c>
      <c r="Q260" s="28">
        <f>Population_Data!$B$15*P260</f>
        <v>660600</v>
      </c>
      <c r="S260">
        <f t="shared" si="4"/>
        <v>1910595.1182947592</v>
      </c>
      <c r="U260" s="33">
        <f>S260/Population_Data!$B$19</f>
        <v>3.4612230403890568E-2</v>
      </c>
    </row>
    <row r="261" spans="1:21">
      <c r="A261" s="25">
        <f>Calendar!A261</f>
        <v>46494</v>
      </c>
      <c r="B261" t="str">
        <f>Calendar!L261</f>
        <v>No</v>
      </c>
      <c r="C261" t="str">
        <f>Calendar!O261</f>
        <v>No</v>
      </c>
      <c r="D261" t="str">
        <f>Calendar!P261</f>
        <v>No</v>
      </c>
      <c r="E261" t="str">
        <f>Calendar!Q261</f>
        <v>No</v>
      </c>
      <c r="F261" t="str">
        <f>Calendar!I261</f>
        <v>Saturday</v>
      </c>
      <c r="G261">
        <f>Calendar!S261</f>
        <v>0</v>
      </c>
      <c r="H261">
        <f>Calendar!T261</f>
        <v>14</v>
      </c>
      <c r="I261" s="27">
        <f>IF(VLOOKUP(A261,Calendar!$A$1:$R$1377,18,0)=0,0,IF(VLOOKUP(A261,Calendar!$A$1:$R$1377,18,0)=1,INDEX(Monthly_Pay_Model!$A$9:$D$40,MATCH(TEXT(A261,"dd"),Monthly_Pay_Model!$C$9:$C$39,0),4),IF(VLOOKUP(A261,Calendar!$A$1:$R$1377,18,0)=2,SUM(INDEX(Monthly_Pay_Model!$A$9:$D$40,MATCH(TEXT(A261,"dd"),Monthly_Pay_Model!$C$9:$C$39,0),4),INDEX(Monthly_Pay_Model!$A$9:$D$40,MATCH(TEXT(A262,"dd"),Monthly_Pay_Model!$C$9:$C$39,0),4)),IF(VLOOKUP(A261,Calendar!$A$1:$R$1377,18,0)=3,SUM(INDEX(Monthly_Pay_Model!$A$9:$D$40,MATCH(TEXT(A261,"dd"),Monthly_Pay_Model!$C$9:$C$39,0),4),INDEX(Monthly_Pay_Model!$A$9:$D$40,MATCH(TEXT(A262,"dd"),Monthly_Pay_Model!$C$9:$C$39,0),4),INDEX(Monthly_Pay_Model!$A$9:$D$40,MATCH(TEXT(A263,"dd"),Monthly_Pay_Model!$C$9:$C$39,0),4)),IF(VLOOKUP(A261,Calendar!$A$1:$R$1377,18,0)=4,SUM(INDEX(Monthly_Pay_Model!$A$9:$D$40,MATCH(TEXT(A261,"dd"),Monthly_Pay_Model!$C$9:$C$39,0),4),INDEX(Monthly_Pay_Model!$A$9:$D$40,MATCH(TEXT(A262,"dd"),Monthly_Pay_Model!$C$9:$C$39,0),4),INDEX(Monthly_Pay_Model!$A$9:$D$40,MATCH(TEXT(A263,"dd"),Monthly_Pay_Model!$C$9:$C$39,0),4),INDEX(Monthly_Pay_Model!$A$9:$D$40,MATCH(TEXT(A264,"dd"),Monthly_Pay_Model!$C$9:$C$39,0),4)),IF(VLOOKUP(A261,Calendar!$A$1:$R$1377,18,0)=5,SUM(INDEX(Monthly_Pay_Model!$A$9:$D$40,MATCH(TEXT(A261,"dd"),Monthly_Pay_Model!$C$9:$C$39,0),4),INDEX(Monthly_Pay_Model!$A$9:$D$40,MATCH(TEXT(A262,"dd"),Monthly_Pay_Model!$C$9:$C$39,0),4),INDEX(Monthly_Pay_Model!$A$9:$D$40,MATCH(TEXT(A263,"dd"),Monthly_Pay_Model!$C$9:$C$39,0),4),INDEX(Monthly_Pay_Model!$A$9:$D$40,MATCH(TEXT(A264,"dd"),Monthly_Pay_Model!$C$9:$C$39,0),4),INDEX(Monthly_Pay_Model!$A$9:$D$40,MATCH(TEXT(A265,"dd"),Monthly_Pay_Model!$C$9:$C$39,0),4)),))))))</f>
        <v>0</v>
      </c>
      <c r="J261" s="33">
        <f>IF(C261="Yes",Monthly_Pay_Model!$D$2,0)
+IF(Calendar!N261="Yes",Monthly_Pay_Model!$D$3,0)
+IF(D261="Yes",Monthly_Pay_Model!$D$4,0)
+IF(E261="Yes",Monthly_Pay_Model!$D$5,0)</f>
        <v>0</v>
      </c>
      <c r="K261" s="27">
        <f>IF(VLOOKUP($A261,Calendar!$A$1:$R$1377,18,0)=0,0,IF(VLOOKUP($A261,Calendar!$A$1:$R$1377,18,0)=1,IFERROR(INDEX(Weekly_Model!$D$2:$D$9,MATCH(F261,Weekly_Model!$A$2:$A$9,0)),0),IF(VLOOKUP($A261,Calendar!$A$1:$R$1377,18,0)=2,SUM(IFERROR(INDEX(Weekly_Model!$D$2:$D$9,MATCH(F261,Weekly_Model!$A$2:$A$9,0)),0),IFERROR(INDEX(Weekly_Model!$D$2:$D$9,MATCH(F262,Weekly_Model!$A$2:$A$9,0)),0)),IF(VLOOKUP($A261,Calendar!$A$1:$R$1377,18,0)=3,SUM(IFERROR(INDEX(Weekly_Model!$D$2:$D$9,MATCH(F261,Weekly_Model!$A$2:$A$9,0)),0),IFERROR(INDEX(Weekly_Model!$D$2:$D$9,MATCH(F262,Weekly_Model!$A$2:$A$9,0)),0),IFERROR(INDEX(Weekly_Model!$D$2:$D$9,MATCH(F263,Weekly_Model!$A$2:$A$9,0)),0)),IF(VLOOKUP($A261,Calendar!$A$1:$R$1377,18,0)=4,SUM(IFERROR(INDEX(Weekly_Model!$D$2:$D$9,MATCH(F261,Weekly_Model!$A$2:$A$9,0)),0),IFERROR(INDEX(Weekly_Model!$D$2:$D$9,MATCH(F262,Weekly_Model!$A$2:$A$9,0)),0),IFERROR(INDEX(Weekly_Model!$D$2:$D$9,MATCH(F263,Weekly_Model!$A$2:$A$9,0)),0),IFERROR(INDEX(Weekly_Model!$D$2:$D$9,MATCH(F264,Weekly_Model!$A$2:$A$9,0)),0)),IF(VLOOKUP($A261,Calendar!$A$1:$R$1377,18,0)=5,SUM(IFERROR(INDEX(Weekly_Model!$D$2:$D$9,MATCH(F261,Weekly_Model!$A$2:$A$9,0)),0),IFERROR(INDEX(Weekly_Model!$D$2:$D$9,MATCH(F262,Weekly_Model!$A$2:$A$9,0)),0),IFERROR(INDEX(Weekly_Model!$D$2:$D$9,MATCH(F263,Weekly_Model!$A$2:$A$9,0)),0),IFERROR(INDEX(Weekly_Model!$D$2:$D$9,MATCH(F264,Weekly_Model!$A$2:$A$9,0)),0),IFERROR(INDEX(Weekly_Model!$D$2:$D$9,MATCH(F265,Weekly_Model!$A$2:$A$9,0)),0)),0))))))</f>
        <v>0</v>
      </c>
      <c r="L261" s="27">
        <f>IF(VLOOKUP($A261,Calendar!$A$1:$R$1377,18,0)=0,0,IF(VLOOKUP($A261,Calendar!$A$1:$R$1377,18,0)=1,IFERROR(INDEX(Fortnightly_Model!$D$2:$D$15,MATCH(G261,Fortnightly_Model!$B$2:$B$15,0)),0),IF(VLOOKUP($A261,Calendar!$A$1:$R$1377,18,0)=2,SUM(IFERROR(INDEX(Fortnightly_Model!$D$2:$D$15,MATCH(G261,Fortnightly_Model!$B$2:$B$15,0)),0),IFERROR(INDEX(Fortnightly_Model!$D$2:$D$15,MATCH(G262,Fortnightly_Model!$B$2:$B$15,0)),0)),IF(VLOOKUP($A261,Calendar!$A$1:$R$1377,18,0)=3,SUM(IFERROR(INDEX(Fortnightly_Model!$D$2:$D$15,MATCH(G261,Fortnightly_Model!$B$2:$B$15,0)),0),IFERROR(INDEX(Fortnightly_Model!$D$2:$D$15,MATCH(G262,Fortnightly_Model!$B$2:$B$15,0)),0),IFERROR(INDEX(Fortnightly_Model!$D$2:$D$15,MATCH(G263,Fortnightly_Model!$B$2:$B$15,0)),0)),IF(VLOOKUP($A261,Calendar!$A$1:$R$1377,18,0)=4,SUM(IFERROR(INDEX(Fortnightly_Model!$D$2:$D$15,MATCH(G261,Fortnightly_Model!$B$2:$B$15,0)),0),IFERROR(INDEX(Fortnightly_Model!$D$2:$D$15,MATCH(G262,Fortnightly_Model!$B$2:$B$15,0)),0),IFERROR(INDEX(Fortnightly_Model!$D$2:$D$15,MATCH(G263,Fortnightly_Model!$B$2:$B$15,0)),0),IFERROR(INDEX(Fortnightly_Model!$D$2:$D$15,MATCH(G264,Fortnightly_Model!$B$2:$B$15,0)),0)),IF(VLOOKUP($A261,Calendar!$A$1:$R$1377,18,0)=5,SUM(IFERROR(INDEX(Fortnightly_Model!$D$2:$D$15,MATCH(G261,Fortnightly_Model!$B$2:$B$15,0)),0),IFERROR(INDEX(Fortnightly_Model!$D$2:$D$15,MATCH(G262,Fortnightly_Model!$B$2:$B$15,0)),0),IFERROR(INDEX(Fortnightly_Model!$D$2:$D$15,MATCH(G263,Fortnightly_Model!$B$2:$B$15,0)),0),IFERROR(INDEX(Fortnightly_Model!$D$2:$D$15,MATCH(G264,Fortnightly_Model!$B$2:$B$15,0)),0),IFERROR(INDEX(Fortnightly_Model!$D$2:$D$15,MATCH(G265,Fortnightly_Model!$B$2:$B$15,0)),0)),0))))))</f>
        <v>0</v>
      </c>
      <c r="M261" s="27">
        <f>IF(VLOOKUP($A261,Calendar!$A$1:$R$1377,18,0)=0,0,IF(VLOOKUP($A261,Calendar!$A$1:$R$1377,18,0)=1,IFERROR(INDEX(FourWeekly_Model!$D$2:$D$29,MATCH(H261,FourWeekly_Model!$B$2:$B$29,0)),0),IF(VLOOKUP($A261,Calendar!$A$1:$R$1377,18,0)=2,SUM(IFERROR(INDEX(FourWeekly_Model!$D$2:$D$29,MATCH(H261,FourWeekly_Model!$B$2:$B$29,0)),0),IFERROR(INDEX(FourWeekly_Model!$D$2:$D$29,MATCH(H262,FourWeekly_Model!$B$2:$B$29,0)),0)),IF(VLOOKUP($A261,Calendar!$A$1:$R$1377,18,0)=3,SUM(IFERROR(INDEX(FourWeekly_Model!$D$2:$D$29,MATCH(H261,FourWeekly_Model!$B$2:$B$29,0)),0),IFERROR(INDEX(FourWeekly_Model!$D$2:$D$29,MATCH(H262,FourWeekly_Model!$B$2:$B$29,0)),0),IFERROR(INDEX(FourWeekly_Model!$D$2:$D$29,MATCH(H263,FourWeekly_Model!$B$2:$B$29,0)),0)),IF(VLOOKUP($A261,Calendar!$A$1:$R$1377,18,0)=4,SUM(IFERROR(INDEX(FourWeekly_Model!$D$2:$D$29,MATCH(H261,FourWeekly_Model!$B$2:$B$29,0)),0),IFERROR(INDEX(FourWeekly_Model!$D$2:$D$29,MATCH(H262,FourWeekly_Model!$B$2:$B$29,0)),0),IFERROR(INDEX(FourWeekly_Model!$D$2:$D$29,MATCH(H263,FourWeekly_Model!$B$2:$B$29,0)),0),IFERROR(INDEX(FourWeekly_Model!$D$2:$D$29,MATCH(H264,FourWeekly_Model!$B$2:$B$29,0)),0)),IF(VLOOKUP($A261,Calendar!$A$1:$R$1377,18,0)=5,SUM(IFERROR(INDEX(FourWeekly_Model!$D$2:$D$29,MATCH(H261,FourWeekly_Model!$B$2:$B$29,0)),0),IFERROR(INDEX(FourWeekly_Model!$D$2:$D$29,MATCH(H262,FourWeekly_Model!$B$2:$B$29,0)),0),IFERROR(INDEX(FourWeekly_Model!$D$2:$D$29,MATCH(H263,FourWeekly_Model!$B$2:$B$29,0)),0),IFERROR(INDEX(FourWeekly_Model!$D$2:$D$29,MATCH(H264,FourWeekly_Model!$B$2:$B$29,0)),0),IFERROR(INDEX(FourWeekly_Model!$D$2:$D$29,MATCH(H265,FourWeekly_Model!$B$2:$B$29,0)),0)),0))))))</f>
        <v>0</v>
      </c>
      <c r="N261" s="27">
        <f>SUM(I261:M261)</f>
        <v>0</v>
      </c>
      <c r="O261" s="28">
        <f>Population_Data!$B$8*N261</f>
        <v>0</v>
      </c>
      <c r="P261" s="27">
        <f>IF(VLOOKUP($A261,Calendar!$A$1:$R$1377,18,0)=0,0,IF(VLOOKUP($A261,Calendar!$A$1:$R$1377,18,0)=1,IFERROR(INDEX(Pension_Model!$D$2:$D$29,MATCH(H261,Pension_Model!$B$2:$B$29,0)),0),IF(VLOOKUP($A261,Calendar!$A$1:$R$1377,18,0)=2,SUM(IFERROR(INDEX(Pension_Model!$D$2:$D$29,MATCH(H261,Pension_Model!$B$2:$B$29,0)),0),IFERROR(INDEX(Pension_Model!$D$2:$D$29,MATCH(H262,Pension_Model!$B$2:$B$29,0)),0)),IF(VLOOKUP($A261,Calendar!$A$1:$R$1377,18,0)=3,SUM(IFERROR(INDEX(Pension_Model!$D$2:$D$29,MATCH(H261,Pension_Model!$B$2:$B$29,0)),0),IFERROR(INDEX(Pension_Model!$D$2:$D$29,MATCH(H262,Pension_Model!$B$2:$B$29,0)),0),IFERROR(INDEX(Pension_Model!$D$2:$D$29,MATCH(H263,Pension_Model!$B$2:$B$29,0)),0)),IF(VLOOKUP($A261,Calendar!$A$1:$R$1377,18,0)=4,SUM(IFERROR(INDEX(Pension_Model!$D$2:$D$29,MATCH(H261,Pension_Model!$B$2:$B$29,0)),0),IFERROR(INDEX(Pension_Model!$D$2:$D$29,MATCH(H262,Pension_Model!$B$2:$B$29,0)),0),IFERROR(INDEX(Pension_Model!$D$2:$D$29,MATCH(H263,Pension_Model!$B$2:$B$29,0)),0),IFERROR(INDEX(Pension_Model!$D$2:$D$29,MATCH(H264,Pension_Model!$B$2:$B$29,0)),0)),IF(VLOOKUP($A261,Calendar!$A$1:$R$1377,18,0)=5,SUM(IFERROR(INDEX(Pension_Model!$D$2:$D$29,MATCH(H261,Pension_Model!$B$2:$B$29,0)),0),IFERROR(INDEX(Pension_Model!$D$2:$D$29,MATCH(H262,Pension_Model!$B$2:$B$29,0)),0),IFERROR(INDEX(Pension_Model!$D$2:$D$29,MATCH(H263,Pension_Model!$B$2:$B$29,0)),0),IFERROR(INDEX(Pension_Model!$D$2:$D$29,MATCH(H264,Pension_Model!$B$2:$B$29,0)),0),IFERROR(INDEX(Pension_Model!$D$2:$D$29,MATCH(H265,Pension_Model!$B$2:$B$29,0)),0)),0))))))</f>
        <v>0</v>
      </c>
      <c r="Q261" s="28">
        <f>Population_Data!$B$15*P261</f>
        <v>0</v>
      </c>
      <c r="S261">
        <f t="shared" si="4"/>
        <v>0</v>
      </c>
      <c r="U261" s="33">
        <f>S261/Population_Data!$B$19</f>
        <v>0</v>
      </c>
    </row>
    <row r="262" spans="1:21">
      <c r="A262" s="25">
        <f>Calendar!A262</f>
        <v>46495</v>
      </c>
      <c r="B262" t="str">
        <f>Calendar!L262</f>
        <v>No</v>
      </c>
      <c r="C262" t="str">
        <f>Calendar!O262</f>
        <v>No</v>
      </c>
      <c r="D262" t="str">
        <f>Calendar!P262</f>
        <v>No</v>
      </c>
      <c r="E262" t="str">
        <f>Calendar!Q262</f>
        <v>No</v>
      </c>
      <c r="F262" t="str">
        <f>Calendar!I262</f>
        <v>Sunday</v>
      </c>
      <c r="G262">
        <f>Calendar!S262</f>
        <v>1</v>
      </c>
      <c r="H262">
        <f>Calendar!T262</f>
        <v>15</v>
      </c>
      <c r="I262" s="27">
        <f>IF(VLOOKUP(A262,Calendar!$A$1:$R$1377,18,0)=0,0,IF(VLOOKUP(A262,Calendar!$A$1:$R$1377,18,0)=1,INDEX(Monthly_Pay_Model!$A$9:$D$40,MATCH(TEXT(A262,"dd"),Monthly_Pay_Model!$C$9:$C$39,0),4),IF(VLOOKUP(A262,Calendar!$A$1:$R$1377,18,0)=2,SUM(INDEX(Monthly_Pay_Model!$A$9:$D$40,MATCH(TEXT(A262,"dd"),Monthly_Pay_Model!$C$9:$C$39,0),4),INDEX(Monthly_Pay_Model!$A$9:$D$40,MATCH(TEXT(A263,"dd"),Monthly_Pay_Model!$C$9:$C$39,0),4)),IF(VLOOKUP(A262,Calendar!$A$1:$R$1377,18,0)=3,SUM(INDEX(Monthly_Pay_Model!$A$9:$D$40,MATCH(TEXT(A262,"dd"),Monthly_Pay_Model!$C$9:$C$39,0),4),INDEX(Monthly_Pay_Model!$A$9:$D$40,MATCH(TEXT(A263,"dd"),Monthly_Pay_Model!$C$9:$C$39,0),4),INDEX(Monthly_Pay_Model!$A$9:$D$40,MATCH(TEXT(A264,"dd"),Monthly_Pay_Model!$C$9:$C$39,0),4)),IF(VLOOKUP(A262,Calendar!$A$1:$R$1377,18,0)=4,SUM(INDEX(Monthly_Pay_Model!$A$9:$D$40,MATCH(TEXT(A262,"dd"),Monthly_Pay_Model!$C$9:$C$39,0),4),INDEX(Monthly_Pay_Model!$A$9:$D$40,MATCH(TEXT(A263,"dd"),Monthly_Pay_Model!$C$9:$C$39,0),4),INDEX(Monthly_Pay_Model!$A$9:$D$40,MATCH(TEXT(A264,"dd"),Monthly_Pay_Model!$C$9:$C$39,0),4),INDEX(Monthly_Pay_Model!$A$9:$D$40,MATCH(TEXT(A265,"dd"),Monthly_Pay_Model!$C$9:$C$39,0),4)),IF(VLOOKUP(A262,Calendar!$A$1:$R$1377,18,0)=5,SUM(INDEX(Monthly_Pay_Model!$A$9:$D$40,MATCH(TEXT(A262,"dd"),Monthly_Pay_Model!$C$9:$C$39,0),4),INDEX(Monthly_Pay_Model!$A$9:$D$40,MATCH(TEXT(A263,"dd"),Monthly_Pay_Model!$C$9:$C$39,0),4),INDEX(Monthly_Pay_Model!$A$9:$D$40,MATCH(TEXT(A264,"dd"),Monthly_Pay_Model!$C$9:$C$39,0),4),INDEX(Monthly_Pay_Model!$A$9:$D$40,MATCH(TEXT(A265,"dd"),Monthly_Pay_Model!$C$9:$C$39,0),4),INDEX(Monthly_Pay_Model!$A$9:$D$40,MATCH(TEXT(A266,"dd"),Monthly_Pay_Model!$C$9:$C$39,0),4)),))))))</f>
        <v>0</v>
      </c>
      <c r="J262" s="33">
        <f>IF(C262="Yes",Monthly_Pay_Model!$D$2,0)
+IF(Calendar!N262="Yes",Monthly_Pay_Model!$D$3,0)
+IF(D262="Yes",Monthly_Pay_Model!$D$4,0)
+IF(E262="Yes",Monthly_Pay_Model!$D$5,0)</f>
        <v>0</v>
      </c>
      <c r="K262" s="27">
        <f>IF(VLOOKUP($A262,Calendar!$A$1:$R$1377,18,0)=0,0,IF(VLOOKUP($A262,Calendar!$A$1:$R$1377,18,0)=1,IFERROR(INDEX(Weekly_Model!$D$2:$D$9,MATCH(F262,Weekly_Model!$A$2:$A$9,0)),0),IF(VLOOKUP($A262,Calendar!$A$1:$R$1377,18,0)=2,SUM(IFERROR(INDEX(Weekly_Model!$D$2:$D$9,MATCH(F262,Weekly_Model!$A$2:$A$9,0)),0),IFERROR(INDEX(Weekly_Model!$D$2:$D$9,MATCH(F263,Weekly_Model!$A$2:$A$9,0)),0)),IF(VLOOKUP($A262,Calendar!$A$1:$R$1377,18,0)=3,SUM(IFERROR(INDEX(Weekly_Model!$D$2:$D$9,MATCH(F262,Weekly_Model!$A$2:$A$9,0)),0),IFERROR(INDEX(Weekly_Model!$D$2:$D$9,MATCH(F263,Weekly_Model!$A$2:$A$9,0)),0),IFERROR(INDEX(Weekly_Model!$D$2:$D$9,MATCH(F264,Weekly_Model!$A$2:$A$9,0)),0)),IF(VLOOKUP($A262,Calendar!$A$1:$R$1377,18,0)=4,SUM(IFERROR(INDEX(Weekly_Model!$D$2:$D$9,MATCH(F262,Weekly_Model!$A$2:$A$9,0)),0),IFERROR(INDEX(Weekly_Model!$D$2:$D$9,MATCH(F263,Weekly_Model!$A$2:$A$9,0)),0),IFERROR(INDEX(Weekly_Model!$D$2:$D$9,MATCH(F264,Weekly_Model!$A$2:$A$9,0)),0),IFERROR(INDEX(Weekly_Model!$D$2:$D$9,MATCH(F265,Weekly_Model!$A$2:$A$9,0)),0)),IF(VLOOKUP($A262,Calendar!$A$1:$R$1377,18,0)=5,SUM(IFERROR(INDEX(Weekly_Model!$D$2:$D$9,MATCH(F262,Weekly_Model!$A$2:$A$9,0)),0),IFERROR(INDEX(Weekly_Model!$D$2:$D$9,MATCH(F263,Weekly_Model!$A$2:$A$9,0)),0),IFERROR(INDEX(Weekly_Model!$D$2:$D$9,MATCH(F264,Weekly_Model!$A$2:$A$9,0)),0),IFERROR(INDEX(Weekly_Model!$D$2:$D$9,MATCH(F265,Weekly_Model!$A$2:$A$9,0)),0),IFERROR(INDEX(Weekly_Model!$D$2:$D$9,MATCH(F266,Weekly_Model!$A$2:$A$9,0)),0)),0))))))</f>
        <v>0</v>
      </c>
      <c r="L262" s="27">
        <f>IF(VLOOKUP($A262,Calendar!$A$1:$R$1377,18,0)=0,0,IF(VLOOKUP($A262,Calendar!$A$1:$R$1377,18,0)=1,IFERROR(INDEX(Fortnightly_Model!$D$2:$D$15,MATCH(G262,Fortnightly_Model!$B$2:$B$15,0)),0),IF(VLOOKUP($A262,Calendar!$A$1:$R$1377,18,0)=2,SUM(IFERROR(INDEX(Fortnightly_Model!$D$2:$D$15,MATCH(G262,Fortnightly_Model!$B$2:$B$15,0)),0),IFERROR(INDEX(Fortnightly_Model!$D$2:$D$15,MATCH(G263,Fortnightly_Model!$B$2:$B$15,0)),0)),IF(VLOOKUP($A262,Calendar!$A$1:$R$1377,18,0)=3,SUM(IFERROR(INDEX(Fortnightly_Model!$D$2:$D$15,MATCH(G262,Fortnightly_Model!$B$2:$B$15,0)),0),IFERROR(INDEX(Fortnightly_Model!$D$2:$D$15,MATCH(G263,Fortnightly_Model!$B$2:$B$15,0)),0),IFERROR(INDEX(Fortnightly_Model!$D$2:$D$15,MATCH(G264,Fortnightly_Model!$B$2:$B$15,0)),0)),IF(VLOOKUP($A262,Calendar!$A$1:$R$1377,18,0)=4,SUM(IFERROR(INDEX(Fortnightly_Model!$D$2:$D$15,MATCH(G262,Fortnightly_Model!$B$2:$B$15,0)),0),IFERROR(INDEX(Fortnightly_Model!$D$2:$D$15,MATCH(G263,Fortnightly_Model!$B$2:$B$15,0)),0),IFERROR(INDEX(Fortnightly_Model!$D$2:$D$15,MATCH(G264,Fortnightly_Model!$B$2:$B$15,0)),0),IFERROR(INDEX(Fortnightly_Model!$D$2:$D$15,MATCH(G265,Fortnightly_Model!$B$2:$B$15,0)),0)),IF(VLOOKUP($A262,Calendar!$A$1:$R$1377,18,0)=5,SUM(IFERROR(INDEX(Fortnightly_Model!$D$2:$D$15,MATCH(G262,Fortnightly_Model!$B$2:$B$15,0)),0),IFERROR(INDEX(Fortnightly_Model!$D$2:$D$15,MATCH(G263,Fortnightly_Model!$B$2:$B$15,0)),0),IFERROR(INDEX(Fortnightly_Model!$D$2:$D$15,MATCH(G264,Fortnightly_Model!$B$2:$B$15,0)),0),IFERROR(INDEX(Fortnightly_Model!$D$2:$D$15,MATCH(G265,Fortnightly_Model!$B$2:$B$15,0)),0),IFERROR(INDEX(Fortnightly_Model!$D$2:$D$15,MATCH(G266,Fortnightly_Model!$B$2:$B$15,0)),0)),0))))))</f>
        <v>0</v>
      </c>
      <c r="M262" s="27">
        <f>IF(VLOOKUP($A262,Calendar!$A$1:$R$1377,18,0)=0,0,IF(VLOOKUP($A262,Calendar!$A$1:$R$1377,18,0)=1,IFERROR(INDEX(FourWeekly_Model!$D$2:$D$29,MATCH(H262,FourWeekly_Model!$B$2:$B$29,0)),0),IF(VLOOKUP($A262,Calendar!$A$1:$R$1377,18,0)=2,SUM(IFERROR(INDEX(FourWeekly_Model!$D$2:$D$29,MATCH(H262,FourWeekly_Model!$B$2:$B$29,0)),0),IFERROR(INDEX(FourWeekly_Model!$D$2:$D$29,MATCH(H263,FourWeekly_Model!$B$2:$B$29,0)),0)),IF(VLOOKUP($A262,Calendar!$A$1:$R$1377,18,0)=3,SUM(IFERROR(INDEX(FourWeekly_Model!$D$2:$D$29,MATCH(H262,FourWeekly_Model!$B$2:$B$29,0)),0),IFERROR(INDEX(FourWeekly_Model!$D$2:$D$29,MATCH(H263,FourWeekly_Model!$B$2:$B$29,0)),0),IFERROR(INDEX(FourWeekly_Model!$D$2:$D$29,MATCH(H264,FourWeekly_Model!$B$2:$B$29,0)),0)),IF(VLOOKUP($A262,Calendar!$A$1:$R$1377,18,0)=4,SUM(IFERROR(INDEX(FourWeekly_Model!$D$2:$D$29,MATCH(H262,FourWeekly_Model!$B$2:$B$29,0)),0),IFERROR(INDEX(FourWeekly_Model!$D$2:$D$29,MATCH(H263,FourWeekly_Model!$B$2:$B$29,0)),0),IFERROR(INDEX(FourWeekly_Model!$D$2:$D$29,MATCH(H264,FourWeekly_Model!$B$2:$B$29,0)),0),IFERROR(INDEX(FourWeekly_Model!$D$2:$D$29,MATCH(H265,FourWeekly_Model!$B$2:$B$29,0)),0)),IF(VLOOKUP($A262,Calendar!$A$1:$R$1377,18,0)=5,SUM(IFERROR(INDEX(FourWeekly_Model!$D$2:$D$29,MATCH(H262,FourWeekly_Model!$B$2:$B$29,0)),0),IFERROR(INDEX(FourWeekly_Model!$D$2:$D$29,MATCH(H263,FourWeekly_Model!$B$2:$B$29,0)),0),IFERROR(INDEX(FourWeekly_Model!$D$2:$D$29,MATCH(H264,FourWeekly_Model!$B$2:$B$29,0)),0),IFERROR(INDEX(FourWeekly_Model!$D$2:$D$29,MATCH(H265,FourWeekly_Model!$B$2:$B$29,0)),0),IFERROR(INDEX(FourWeekly_Model!$D$2:$D$29,MATCH(H266,FourWeekly_Model!$B$2:$B$29,0)),0)),0))))))</f>
        <v>0</v>
      </c>
      <c r="N262" s="27">
        <f>SUM(I262:M262)</f>
        <v>0</v>
      </c>
      <c r="O262" s="28">
        <f>Population_Data!$B$8*N262</f>
        <v>0</v>
      </c>
      <c r="P262" s="27">
        <f>IF(VLOOKUP($A262,Calendar!$A$1:$R$1377,18,0)=0,0,IF(VLOOKUP($A262,Calendar!$A$1:$R$1377,18,0)=1,IFERROR(INDEX(Pension_Model!$D$2:$D$29,MATCH(H262,Pension_Model!$B$2:$B$29,0)),0),IF(VLOOKUP($A262,Calendar!$A$1:$R$1377,18,0)=2,SUM(IFERROR(INDEX(Pension_Model!$D$2:$D$29,MATCH(H262,Pension_Model!$B$2:$B$29,0)),0),IFERROR(INDEX(Pension_Model!$D$2:$D$29,MATCH(H263,Pension_Model!$B$2:$B$29,0)),0)),IF(VLOOKUP($A262,Calendar!$A$1:$R$1377,18,0)=3,SUM(IFERROR(INDEX(Pension_Model!$D$2:$D$29,MATCH(H262,Pension_Model!$B$2:$B$29,0)),0),IFERROR(INDEX(Pension_Model!$D$2:$D$29,MATCH(H263,Pension_Model!$B$2:$B$29,0)),0),IFERROR(INDEX(Pension_Model!$D$2:$D$29,MATCH(H264,Pension_Model!$B$2:$B$29,0)),0)),IF(VLOOKUP($A262,Calendar!$A$1:$R$1377,18,0)=4,SUM(IFERROR(INDEX(Pension_Model!$D$2:$D$29,MATCH(H262,Pension_Model!$B$2:$B$29,0)),0),IFERROR(INDEX(Pension_Model!$D$2:$D$29,MATCH(H263,Pension_Model!$B$2:$B$29,0)),0),IFERROR(INDEX(Pension_Model!$D$2:$D$29,MATCH(H264,Pension_Model!$B$2:$B$29,0)),0),IFERROR(INDEX(Pension_Model!$D$2:$D$29,MATCH(H265,Pension_Model!$B$2:$B$29,0)),0)),IF(VLOOKUP($A262,Calendar!$A$1:$R$1377,18,0)=5,SUM(IFERROR(INDEX(Pension_Model!$D$2:$D$29,MATCH(H262,Pension_Model!$B$2:$B$29,0)),0),IFERROR(INDEX(Pension_Model!$D$2:$D$29,MATCH(H263,Pension_Model!$B$2:$B$29,0)),0),IFERROR(INDEX(Pension_Model!$D$2:$D$29,MATCH(H264,Pension_Model!$B$2:$B$29,0)),0),IFERROR(INDEX(Pension_Model!$D$2:$D$29,MATCH(H265,Pension_Model!$B$2:$B$29,0)),0),IFERROR(INDEX(Pension_Model!$D$2:$D$29,MATCH(H266,Pension_Model!$B$2:$B$29,0)),0)),0))))))</f>
        <v>0</v>
      </c>
      <c r="Q262" s="28">
        <f>Population_Data!$B$15*P262</f>
        <v>0</v>
      </c>
      <c r="S262">
        <f t="shared" si="4"/>
        <v>0</v>
      </c>
      <c r="U262" s="33">
        <f>S262/Population_Data!$B$19</f>
        <v>0</v>
      </c>
    </row>
    <row r="263" spans="1:21">
      <c r="A263" s="25">
        <f>Calendar!A263</f>
        <v>46496</v>
      </c>
      <c r="B263" t="str">
        <f>Calendar!L263</f>
        <v>Yes</v>
      </c>
      <c r="C263" t="str">
        <f>Calendar!O263</f>
        <v>No</v>
      </c>
      <c r="D263" t="str">
        <f>Calendar!P263</f>
        <v>No</v>
      </c>
      <c r="E263" t="str">
        <f>Calendar!Q263</f>
        <v>No</v>
      </c>
      <c r="F263" t="str">
        <f>Calendar!I263</f>
        <v>Monday</v>
      </c>
      <c r="G263">
        <f>Calendar!S263</f>
        <v>2</v>
      </c>
      <c r="H263">
        <f>Calendar!T263</f>
        <v>16</v>
      </c>
      <c r="I263" s="27">
        <f>IF(VLOOKUP(A263,Calendar!$A$1:$R$1377,18,0)=0,0,IF(VLOOKUP(A263,Calendar!$A$1:$R$1377,18,0)=1,INDEX(Monthly_Pay_Model!$A$9:$D$40,MATCH(TEXT(A263,"dd"),Monthly_Pay_Model!$C$9:$C$39,0),4),IF(VLOOKUP(A263,Calendar!$A$1:$R$1377,18,0)=2,SUM(INDEX(Monthly_Pay_Model!$A$9:$D$40,MATCH(TEXT(A263,"dd"),Monthly_Pay_Model!$C$9:$C$39,0),4),INDEX(Monthly_Pay_Model!$A$9:$D$40,MATCH(TEXT(A264,"dd"),Monthly_Pay_Model!$C$9:$C$39,0),4)),IF(VLOOKUP(A263,Calendar!$A$1:$R$1377,18,0)=3,SUM(INDEX(Monthly_Pay_Model!$A$9:$D$40,MATCH(TEXT(A263,"dd"),Monthly_Pay_Model!$C$9:$C$39,0),4),INDEX(Monthly_Pay_Model!$A$9:$D$40,MATCH(TEXT(A264,"dd"),Monthly_Pay_Model!$C$9:$C$39,0),4),INDEX(Monthly_Pay_Model!$A$9:$D$40,MATCH(TEXT(A265,"dd"),Monthly_Pay_Model!$C$9:$C$39,0),4)),IF(VLOOKUP(A263,Calendar!$A$1:$R$1377,18,0)=4,SUM(INDEX(Monthly_Pay_Model!$A$9:$D$40,MATCH(TEXT(A263,"dd"),Monthly_Pay_Model!$C$9:$C$39,0),4),INDEX(Monthly_Pay_Model!$A$9:$D$40,MATCH(TEXT(A264,"dd"),Monthly_Pay_Model!$C$9:$C$39,0),4),INDEX(Monthly_Pay_Model!$A$9:$D$40,MATCH(TEXT(A265,"dd"),Monthly_Pay_Model!$C$9:$C$39,0),4),INDEX(Monthly_Pay_Model!$A$9:$D$40,MATCH(TEXT(A266,"dd"),Monthly_Pay_Model!$C$9:$C$39,0),4)),IF(VLOOKUP(A263,Calendar!$A$1:$R$1377,18,0)=5,SUM(INDEX(Monthly_Pay_Model!$A$9:$D$40,MATCH(TEXT(A263,"dd"),Monthly_Pay_Model!$C$9:$C$39,0),4),INDEX(Monthly_Pay_Model!$A$9:$D$40,MATCH(TEXT(A264,"dd"),Monthly_Pay_Model!$C$9:$C$39,0),4),INDEX(Monthly_Pay_Model!$A$9:$D$40,MATCH(TEXT(A265,"dd"),Monthly_Pay_Model!$C$9:$C$39,0),4),INDEX(Monthly_Pay_Model!$A$9:$D$40,MATCH(TEXT(A266,"dd"),Monthly_Pay_Model!$C$9:$C$39,0),4),INDEX(Monthly_Pay_Model!$A$9:$D$40,MATCH(TEXT(A267,"dd"),Monthly_Pay_Model!$C$9:$C$39,0),4)),))))))</f>
        <v>1.6251308900523558E-3</v>
      </c>
      <c r="J263" s="33">
        <f>IF(C263="Yes",Monthly_Pay_Model!$D$2,0)
+IF(Calendar!N263="Yes",Monthly_Pay_Model!$D$3,0)
+IF(D263="Yes",Monthly_Pay_Model!$D$4,0)
+IF(E263="Yes",Monthly_Pay_Model!$D$5,0)</f>
        <v>0</v>
      </c>
      <c r="K263" s="27">
        <f>IF(VLOOKUP($A263,Calendar!$A$1:$R$1377,18,0)=0,0,IF(VLOOKUP($A263,Calendar!$A$1:$R$1377,18,0)=1,IFERROR(INDEX(Weekly_Model!$D$2:$D$9,MATCH(F263,Weekly_Model!$A$2:$A$9,0)),0),IF(VLOOKUP($A263,Calendar!$A$1:$R$1377,18,0)=2,SUM(IFERROR(INDEX(Weekly_Model!$D$2:$D$9,MATCH(F263,Weekly_Model!$A$2:$A$9,0)),0),IFERROR(INDEX(Weekly_Model!$D$2:$D$9,MATCH(F264,Weekly_Model!$A$2:$A$9,0)),0)),IF(VLOOKUP($A263,Calendar!$A$1:$R$1377,18,0)=3,SUM(IFERROR(INDEX(Weekly_Model!$D$2:$D$9,MATCH(F263,Weekly_Model!$A$2:$A$9,0)),0),IFERROR(INDEX(Weekly_Model!$D$2:$D$9,MATCH(F264,Weekly_Model!$A$2:$A$9,0)),0),IFERROR(INDEX(Weekly_Model!$D$2:$D$9,MATCH(F265,Weekly_Model!$A$2:$A$9,0)),0)),IF(VLOOKUP($A263,Calendar!$A$1:$R$1377,18,0)=4,SUM(IFERROR(INDEX(Weekly_Model!$D$2:$D$9,MATCH(F263,Weekly_Model!$A$2:$A$9,0)),0),IFERROR(INDEX(Weekly_Model!$D$2:$D$9,MATCH(F264,Weekly_Model!$A$2:$A$9,0)),0),IFERROR(INDEX(Weekly_Model!$D$2:$D$9,MATCH(F265,Weekly_Model!$A$2:$A$9,0)),0),IFERROR(INDEX(Weekly_Model!$D$2:$D$9,MATCH(F266,Weekly_Model!$A$2:$A$9,0)),0)),IF(VLOOKUP($A263,Calendar!$A$1:$R$1377,18,0)=5,SUM(IFERROR(INDEX(Weekly_Model!$D$2:$D$9,MATCH(F263,Weekly_Model!$A$2:$A$9,0)),0),IFERROR(INDEX(Weekly_Model!$D$2:$D$9,MATCH(F264,Weekly_Model!$A$2:$A$9,0)),0),IFERROR(INDEX(Weekly_Model!$D$2:$D$9,MATCH(F265,Weekly_Model!$A$2:$A$9,0)),0),IFERROR(INDEX(Weekly_Model!$D$2:$D$9,MATCH(F266,Weekly_Model!$A$2:$A$9,0)),0),IFERROR(INDEX(Weekly_Model!$D$2:$D$9,MATCH(F267,Weekly_Model!$A$2:$A$9,0)),0)),0))))))</f>
        <v>2.3200000000000002E-2</v>
      </c>
      <c r="L263" s="27">
        <f>IF(VLOOKUP($A263,Calendar!$A$1:$R$1377,18,0)=0,0,IF(VLOOKUP($A263,Calendar!$A$1:$R$1377,18,0)=1,IFERROR(INDEX(Fortnightly_Model!$D$2:$D$15,MATCH(G263,Fortnightly_Model!$B$2:$B$15,0)),0),IF(VLOOKUP($A263,Calendar!$A$1:$R$1377,18,0)=2,SUM(IFERROR(INDEX(Fortnightly_Model!$D$2:$D$15,MATCH(G263,Fortnightly_Model!$B$2:$B$15,0)),0),IFERROR(INDEX(Fortnightly_Model!$D$2:$D$15,MATCH(G264,Fortnightly_Model!$B$2:$B$15,0)),0)),IF(VLOOKUP($A263,Calendar!$A$1:$R$1377,18,0)=3,SUM(IFERROR(INDEX(Fortnightly_Model!$D$2:$D$15,MATCH(G263,Fortnightly_Model!$B$2:$B$15,0)),0),IFERROR(INDEX(Fortnightly_Model!$D$2:$D$15,MATCH(G264,Fortnightly_Model!$B$2:$B$15,0)),0),IFERROR(INDEX(Fortnightly_Model!$D$2:$D$15,MATCH(G265,Fortnightly_Model!$B$2:$B$15,0)),0)),IF(VLOOKUP($A263,Calendar!$A$1:$R$1377,18,0)=4,SUM(IFERROR(INDEX(Fortnightly_Model!$D$2:$D$15,MATCH(G263,Fortnightly_Model!$B$2:$B$15,0)),0),IFERROR(INDEX(Fortnightly_Model!$D$2:$D$15,MATCH(G264,Fortnightly_Model!$B$2:$B$15,0)),0),IFERROR(INDEX(Fortnightly_Model!$D$2:$D$15,MATCH(G265,Fortnightly_Model!$B$2:$B$15,0)),0),IFERROR(INDEX(Fortnightly_Model!$D$2:$D$15,MATCH(G266,Fortnightly_Model!$B$2:$B$15,0)),0)),IF(VLOOKUP($A263,Calendar!$A$1:$R$1377,18,0)=5,SUM(IFERROR(INDEX(Fortnightly_Model!$D$2:$D$15,MATCH(G263,Fortnightly_Model!$B$2:$B$15,0)),0),IFERROR(INDEX(Fortnightly_Model!$D$2:$D$15,MATCH(G264,Fortnightly_Model!$B$2:$B$15,0)),0),IFERROR(INDEX(Fortnightly_Model!$D$2:$D$15,MATCH(G265,Fortnightly_Model!$B$2:$B$15,0)),0),IFERROR(INDEX(Fortnightly_Model!$D$2:$D$15,MATCH(G266,Fortnightly_Model!$B$2:$B$15,0)),0),IFERROR(INDEX(Fortnightly_Model!$D$2:$D$15,MATCH(G267,Fortnightly_Model!$B$2:$B$15,0)),0)),0))))))</f>
        <v>1.0714285499999999E-3</v>
      </c>
      <c r="M263" s="27">
        <f>IF(VLOOKUP($A263,Calendar!$A$1:$R$1377,18,0)=0,0,IF(VLOOKUP($A263,Calendar!$A$1:$R$1377,18,0)=1,IFERROR(INDEX(FourWeekly_Model!$D$2:$D$29,MATCH(H263,FourWeekly_Model!$B$2:$B$29,0)),0),IF(VLOOKUP($A263,Calendar!$A$1:$R$1377,18,0)=2,SUM(IFERROR(INDEX(FourWeekly_Model!$D$2:$D$29,MATCH(H263,FourWeekly_Model!$B$2:$B$29,0)),0),IFERROR(INDEX(FourWeekly_Model!$D$2:$D$29,MATCH(H264,FourWeekly_Model!$B$2:$B$29,0)),0)),IF(VLOOKUP($A263,Calendar!$A$1:$R$1377,18,0)=3,SUM(IFERROR(INDEX(FourWeekly_Model!$D$2:$D$29,MATCH(H263,FourWeekly_Model!$B$2:$B$29,0)),0),IFERROR(INDEX(FourWeekly_Model!$D$2:$D$29,MATCH(H264,FourWeekly_Model!$B$2:$B$29,0)),0),IFERROR(INDEX(FourWeekly_Model!$D$2:$D$29,MATCH(H265,FourWeekly_Model!$B$2:$B$29,0)),0)),IF(VLOOKUP($A263,Calendar!$A$1:$R$1377,18,0)=4,SUM(IFERROR(INDEX(FourWeekly_Model!$D$2:$D$29,MATCH(H263,FourWeekly_Model!$B$2:$B$29,0)),0),IFERROR(INDEX(FourWeekly_Model!$D$2:$D$29,MATCH(H264,FourWeekly_Model!$B$2:$B$29,0)),0),IFERROR(INDEX(FourWeekly_Model!$D$2:$D$29,MATCH(H265,FourWeekly_Model!$B$2:$B$29,0)),0),IFERROR(INDEX(FourWeekly_Model!$D$2:$D$29,MATCH(H266,FourWeekly_Model!$B$2:$B$29,0)),0)),IF(VLOOKUP($A263,Calendar!$A$1:$R$1377,18,0)=5,SUM(IFERROR(INDEX(FourWeekly_Model!$D$2:$D$29,MATCH(H263,FourWeekly_Model!$B$2:$B$29,0)),0),IFERROR(INDEX(FourWeekly_Model!$D$2:$D$29,MATCH(H264,FourWeekly_Model!$B$2:$B$29,0)),0),IFERROR(INDEX(FourWeekly_Model!$D$2:$D$29,MATCH(H265,FourWeekly_Model!$B$2:$B$29,0)),0),IFERROR(INDEX(FourWeekly_Model!$D$2:$D$29,MATCH(H266,FourWeekly_Model!$B$2:$B$29,0)),0),IFERROR(INDEX(FourWeekly_Model!$D$2:$D$29,MATCH(H267,FourWeekly_Model!$B$2:$B$29,0)),0)),0))))))</f>
        <v>3.3214289700000004E-3</v>
      </c>
      <c r="N263" s="27">
        <f>SUM(I263:M263)</f>
        <v>2.921798841005236E-2</v>
      </c>
      <c r="O263" s="28">
        <f>Population_Data!$B$8*N263</f>
        <v>885305.04882458656</v>
      </c>
      <c r="P263" s="27">
        <f>IF(VLOOKUP($A263,Calendar!$A$1:$R$1377,18,0)=0,0,IF(VLOOKUP($A263,Calendar!$A$1:$R$1377,18,0)=1,IFERROR(INDEX(Pension_Model!$D$2:$D$29,MATCH(H263,Pension_Model!$B$2:$B$29,0)),0),IF(VLOOKUP($A263,Calendar!$A$1:$R$1377,18,0)=2,SUM(IFERROR(INDEX(Pension_Model!$D$2:$D$29,MATCH(H263,Pension_Model!$B$2:$B$29,0)),0),IFERROR(INDEX(Pension_Model!$D$2:$D$29,MATCH(H264,Pension_Model!$B$2:$B$29,0)),0)),IF(VLOOKUP($A263,Calendar!$A$1:$R$1377,18,0)=3,SUM(IFERROR(INDEX(Pension_Model!$D$2:$D$29,MATCH(H263,Pension_Model!$B$2:$B$29,0)),0),IFERROR(INDEX(Pension_Model!$D$2:$D$29,MATCH(H264,Pension_Model!$B$2:$B$29,0)),0),IFERROR(INDEX(Pension_Model!$D$2:$D$29,MATCH(H265,Pension_Model!$B$2:$B$29,0)),0)),IF(VLOOKUP($A263,Calendar!$A$1:$R$1377,18,0)=4,SUM(IFERROR(INDEX(Pension_Model!$D$2:$D$29,MATCH(H263,Pension_Model!$B$2:$B$29,0)),0),IFERROR(INDEX(Pension_Model!$D$2:$D$29,MATCH(H264,Pension_Model!$B$2:$B$29,0)),0),IFERROR(INDEX(Pension_Model!$D$2:$D$29,MATCH(H265,Pension_Model!$B$2:$B$29,0)),0),IFERROR(INDEX(Pension_Model!$D$2:$D$29,MATCH(H266,Pension_Model!$B$2:$B$29,0)),0)),IF(VLOOKUP($A263,Calendar!$A$1:$R$1377,18,0)=5,SUM(IFERROR(INDEX(Pension_Model!$D$2:$D$29,MATCH(H263,Pension_Model!$B$2:$B$29,0)),0),IFERROR(INDEX(Pension_Model!$D$2:$D$29,MATCH(H264,Pension_Model!$B$2:$B$29,0)),0),IFERROR(INDEX(Pension_Model!$D$2:$D$29,MATCH(H265,Pension_Model!$B$2:$B$29,0)),0),IFERROR(INDEX(Pension_Model!$D$2:$D$29,MATCH(H266,Pension_Model!$B$2:$B$29,0)),0),IFERROR(INDEX(Pension_Model!$D$2:$D$29,MATCH(H267,Pension_Model!$B$2:$B$29,0)),0)),0))))))</f>
        <v>0.05</v>
      </c>
      <c r="Q263" s="28">
        <f>Population_Data!$B$15*P263</f>
        <v>660600</v>
      </c>
      <c r="S263">
        <f t="shared" si="4"/>
        <v>1545905.0488245864</v>
      </c>
      <c r="U263" s="33">
        <f>S263/Population_Data!$B$19</f>
        <v>2.8005526246822218E-2</v>
      </c>
    </row>
    <row r="264" spans="1:21">
      <c r="A264" s="25">
        <f>Calendar!A264</f>
        <v>46497</v>
      </c>
      <c r="B264" t="str">
        <f>Calendar!L264</f>
        <v>Yes</v>
      </c>
      <c r="C264" t="str">
        <f>Calendar!O264</f>
        <v>No</v>
      </c>
      <c r="D264" t="str">
        <f>Calendar!P264</f>
        <v>No</v>
      </c>
      <c r="E264" t="str">
        <f>Calendar!Q264</f>
        <v>No</v>
      </c>
      <c r="F264" t="str">
        <f>Calendar!I264</f>
        <v>Tuesday</v>
      </c>
      <c r="G264">
        <f>Calendar!S264</f>
        <v>3</v>
      </c>
      <c r="H264">
        <f>Calendar!T264</f>
        <v>17</v>
      </c>
      <c r="I264" s="27">
        <f>IF(VLOOKUP(A264,Calendar!$A$1:$R$1377,18,0)=0,0,IF(VLOOKUP(A264,Calendar!$A$1:$R$1377,18,0)=1,INDEX(Monthly_Pay_Model!$A$9:$D$40,MATCH(TEXT(A264,"dd"),Monthly_Pay_Model!$C$9:$C$39,0),4),IF(VLOOKUP(A264,Calendar!$A$1:$R$1377,18,0)=2,SUM(INDEX(Monthly_Pay_Model!$A$9:$D$40,MATCH(TEXT(A264,"dd"),Monthly_Pay_Model!$C$9:$C$39,0),4),INDEX(Monthly_Pay_Model!$A$9:$D$40,MATCH(TEXT(A265,"dd"),Monthly_Pay_Model!$C$9:$C$39,0),4)),IF(VLOOKUP(A264,Calendar!$A$1:$R$1377,18,0)=3,SUM(INDEX(Monthly_Pay_Model!$A$9:$D$40,MATCH(TEXT(A264,"dd"),Monthly_Pay_Model!$C$9:$C$39,0),4),INDEX(Monthly_Pay_Model!$A$9:$D$40,MATCH(TEXT(A265,"dd"),Monthly_Pay_Model!$C$9:$C$39,0),4),INDEX(Monthly_Pay_Model!$A$9:$D$40,MATCH(TEXT(A266,"dd"),Monthly_Pay_Model!$C$9:$C$39,0),4)),IF(VLOOKUP(A264,Calendar!$A$1:$R$1377,18,0)=4,SUM(INDEX(Monthly_Pay_Model!$A$9:$D$40,MATCH(TEXT(A264,"dd"),Monthly_Pay_Model!$C$9:$C$39,0),4),INDEX(Monthly_Pay_Model!$A$9:$D$40,MATCH(TEXT(A265,"dd"),Monthly_Pay_Model!$C$9:$C$39,0),4),INDEX(Monthly_Pay_Model!$A$9:$D$40,MATCH(TEXT(A266,"dd"),Monthly_Pay_Model!$C$9:$C$39,0),4),INDEX(Monthly_Pay_Model!$A$9:$D$40,MATCH(TEXT(A267,"dd"),Monthly_Pay_Model!$C$9:$C$39,0),4)),IF(VLOOKUP(A264,Calendar!$A$1:$R$1377,18,0)=5,SUM(INDEX(Monthly_Pay_Model!$A$9:$D$40,MATCH(TEXT(A264,"dd"),Monthly_Pay_Model!$C$9:$C$39,0),4),INDEX(Monthly_Pay_Model!$A$9:$D$40,MATCH(TEXT(A265,"dd"),Monthly_Pay_Model!$C$9:$C$39,0),4),INDEX(Monthly_Pay_Model!$A$9:$D$40,MATCH(TEXT(A266,"dd"),Monthly_Pay_Model!$C$9:$C$39,0),4),INDEX(Monthly_Pay_Model!$A$9:$D$40,MATCH(TEXT(A267,"dd"),Monthly_Pay_Model!$C$9:$C$39,0),4),INDEX(Monthly_Pay_Model!$A$9:$D$40,MATCH(TEXT(A268,"dd"),Monthly_Pay_Model!$C$9:$C$39,0),4)),))))))</f>
        <v>8.1256544502617788E-3</v>
      </c>
      <c r="J264" s="33">
        <f>IF(C264="Yes",Monthly_Pay_Model!$D$2,0)
+IF(Calendar!N264="Yes",Monthly_Pay_Model!$D$3,0)
+IF(D264="Yes",Monthly_Pay_Model!$D$4,0)
+IF(E264="Yes",Monthly_Pay_Model!$D$5,0)</f>
        <v>0</v>
      </c>
      <c r="K264" s="27">
        <f>IF(VLOOKUP($A264,Calendar!$A$1:$R$1377,18,0)=0,0,IF(VLOOKUP($A264,Calendar!$A$1:$R$1377,18,0)=1,IFERROR(INDEX(Weekly_Model!$D$2:$D$9,MATCH(F264,Weekly_Model!$A$2:$A$9,0)),0),IF(VLOOKUP($A264,Calendar!$A$1:$R$1377,18,0)=2,SUM(IFERROR(INDEX(Weekly_Model!$D$2:$D$9,MATCH(F264,Weekly_Model!$A$2:$A$9,0)),0),IFERROR(INDEX(Weekly_Model!$D$2:$D$9,MATCH(F265,Weekly_Model!$A$2:$A$9,0)),0)),IF(VLOOKUP($A264,Calendar!$A$1:$R$1377,18,0)=3,SUM(IFERROR(INDEX(Weekly_Model!$D$2:$D$9,MATCH(F264,Weekly_Model!$A$2:$A$9,0)),0),IFERROR(INDEX(Weekly_Model!$D$2:$D$9,MATCH(F265,Weekly_Model!$A$2:$A$9,0)),0),IFERROR(INDEX(Weekly_Model!$D$2:$D$9,MATCH(F266,Weekly_Model!$A$2:$A$9,0)),0)),IF(VLOOKUP($A264,Calendar!$A$1:$R$1377,18,0)=4,SUM(IFERROR(INDEX(Weekly_Model!$D$2:$D$9,MATCH(F264,Weekly_Model!$A$2:$A$9,0)),0),IFERROR(INDEX(Weekly_Model!$D$2:$D$9,MATCH(F265,Weekly_Model!$A$2:$A$9,0)),0),IFERROR(INDEX(Weekly_Model!$D$2:$D$9,MATCH(F266,Weekly_Model!$A$2:$A$9,0)),0),IFERROR(INDEX(Weekly_Model!$D$2:$D$9,MATCH(F267,Weekly_Model!$A$2:$A$9,0)),0)),IF(VLOOKUP($A264,Calendar!$A$1:$R$1377,18,0)=5,SUM(IFERROR(INDEX(Weekly_Model!$D$2:$D$9,MATCH(F264,Weekly_Model!$A$2:$A$9,0)),0),IFERROR(INDEX(Weekly_Model!$D$2:$D$9,MATCH(F265,Weekly_Model!$A$2:$A$9,0)),0),IFERROR(INDEX(Weekly_Model!$D$2:$D$9,MATCH(F266,Weekly_Model!$A$2:$A$9,0)),0),IFERROR(INDEX(Weekly_Model!$D$2:$D$9,MATCH(F267,Weekly_Model!$A$2:$A$9,0)),0),IFERROR(INDEX(Weekly_Model!$D$2:$D$9,MATCH(F268,Weekly_Model!$A$2:$A$9,0)),0)),0))))))</f>
        <v>2.3200000000000002E-2</v>
      </c>
      <c r="L264" s="27">
        <f>IF(VLOOKUP($A264,Calendar!$A$1:$R$1377,18,0)=0,0,IF(VLOOKUP($A264,Calendar!$A$1:$R$1377,18,0)=1,IFERROR(INDEX(Fortnightly_Model!$D$2:$D$15,MATCH(G264,Fortnightly_Model!$B$2:$B$15,0)),0),IF(VLOOKUP($A264,Calendar!$A$1:$R$1377,18,0)=2,SUM(IFERROR(INDEX(Fortnightly_Model!$D$2:$D$15,MATCH(G264,Fortnightly_Model!$B$2:$B$15,0)),0),IFERROR(INDEX(Fortnightly_Model!$D$2:$D$15,MATCH(G265,Fortnightly_Model!$B$2:$B$15,0)),0)),IF(VLOOKUP($A264,Calendar!$A$1:$R$1377,18,0)=3,SUM(IFERROR(INDEX(Fortnightly_Model!$D$2:$D$15,MATCH(G264,Fortnightly_Model!$B$2:$B$15,0)),0),IFERROR(INDEX(Fortnightly_Model!$D$2:$D$15,MATCH(G265,Fortnightly_Model!$B$2:$B$15,0)),0),IFERROR(INDEX(Fortnightly_Model!$D$2:$D$15,MATCH(G266,Fortnightly_Model!$B$2:$B$15,0)),0)),IF(VLOOKUP($A264,Calendar!$A$1:$R$1377,18,0)=4,SUM(IFERROR(INDEX(Fortnightly_Model!$D$2:$D$15,MATCH(G264,Fortnightly_Model!$B$2:$B$15,0)),0),IFERROR(INDEX(Fortnightly_Model!$D$2:$D$15,MATCH(G265,Fortnightly_Model!$B$2:$B$15,0)),0),IFERROR(INDEX(Fortnightly_Model!$D$2:$D$15,MATCH(G266,Fortnightly_Model!$B$2:$B$15,0)),0),IFERROR(INDEX(Fortnightly_Model!$D$2:$D$15,MATCH(G267,Fortnightly_Model!$B$2:$B$15,0)),0)),IF(VLOOKUP($A264,Calendar!$A$1:$R$1377,18,0)=5,SUM(IFERROR(INDEX(Fortnightly_Model!$D$2:$D$15,MATCH(G264,Fortnightly_Model!$B$2:$B$15,0)),0),IFERROR(INDEX(Fortnightly_Model!$D$2:$D$15,MATCH(G265,Fortnightly_Model!$B$2:$B$15,0)),0),IFERROR(INDEX(Fortnightly_Model!$D$2:$D$15,MATCH(G266,Fortnightly_Model!$B$2:$B$15,0)),0),IFERROR(INDEX(Fortnightly_Model!$D$2:$D$15,MATCH(G267,Fortnightly_Model!$B$2:$B$15,0)),0),IFERROR(INDEX(Fortnightly_Model!$D$2:$D$15,MATCH(G268,Fortnightly_Model!$B$2:$B$15,0)),0)),0))))))</f>
        <v>1.0714285499999999E-3</v>
      </c>
      <c r="M264" s="27">
        <f>IF(VLOOKUP($A264,Calendar!$A$1:$R$1377,18,0)=0,0,IF(VLOOKUP($A264,Calendar!$A$1:$R$1377,18,0)=1,IFERROR(INDEX(FourWeekly_Model!$D$2:$D$29,MATCH(H264,FourWeekly_Model!$B$2:$B$29,0)),0),IF(VLOOKUP($A264,Calendar!$A$1:$R$1377,18,0)=2,SUM(IFERROR(INDEX(FourWeekly_Model!$D$2:$D$29,MATCH(H264,FourWeekly_Model!$B$2:$B$29,0)),0),IFERROR(INDEX(FourWeekly_Model!$D$2:$D$29,MATCH(H265,FourWeekly_Model!$B$2:$B$29,0)),0)),IF(VLOOKUP($A264,Calendar!$A$1:$R$1377,18,0)=3,SUM(IFERROR(INDEX(FourWeekly_Model!$D$2:$D$29,MATCH(H264,FourWeekly_Model!$B$2:$B$29,0)),0),IFERROR(INDEX(FourWeekly_Model!$D$2:$D$29,MATCH(H265,FourWeekly_Model!$B$2:$B$29,0)),0),IFERROR(INDEX(FourWeekly_Model!$D$2:$D$29,MATCH(H266,FourWeekly_Model!$B$2:$B$29,0)),0)),IF(VLOOKUP($A264,Calendar!$A$1:$R$1377,18,0)=4,SUM(IFERROR(INDEX(FourWeekly_Model!$D$2:$D$29,MATCH(H264,FourWeekly_Model!$B$2:$B$29,0)),0),IFERROR(INDEX(FourWeekly_Model!$D$2:$D$29,MATCH(H265,FourWeekly_Model!$B$2:$B$29,0)),0),IFERROR(INDEX(FourWeekly_Model!$D$2:$D$29,MATCH(H266,FourWeekly_Model!$B$2:$B$29,0)),0),IFERROR(INDEX(FourWeekly_Model!$D$2:$D$29,MATCH(H267,FourWeekly_Model!$B$2:$B$29,0)),0)),IF(VLOOKUP($A264,Calendar!$A$1:$R$1377,18,0)=5,SUM(IFERROR(INDEX(FourWeekly_Model!$D$2:$D$29,MATCH(H264,FourWeekly_Model!$B$2:$B$29,0)),0),IFERROR(INDEX(FourWeekly_Model!$D$2:$D$29,MATCH(H265,FourWeekly_Model!$B$2:$B$29,0)),0),IFERROR(INDEX(FourWeekly_Model!$D$2:$D$29,MATCH(H266,FourWeekly_Model!$B$2:$B$29,0)),0),IFERROR(INDEX(FourWeekly_Model!$D$2:$D$29,MATCH(H267,FourWeekly_Model!$B$2:$B$29,0)),0),IFERROR(INDEX(FourWeekly_Model!$D$2:$D$29,MATCH(H268,FourWeekly_Model!$B$2:$B$29,0)),0)),0))))))</f>
        <v>3.3214289700000004E-3</v>
      </c>
      <c r="N264" s="27">
        <f>SUM(I264:M264)</f>
        <v>3.5718511970261782E-2</v>
      </c>
      <c r="O264" s="28">
        <f>Population_Data!$B$8*N264</f>
        <v>1082270.912698932</v>
      </c>
      <c r="P264" s="27">
        <f>IF(VLOOKUP($A264,Calendar!$A$1:$R$1377,18,0)=0,0,IF(VLOOKUP($A264,Calendar!$A$1:$R$1377,18,0)=1,IFERROR(INDEX(Pension_Model!$D$2:$D$29,MATCH(H264,Pension_Model!$B$2:$B$29,0)),0),IF(VLOOKUP($A264,Calendar!$A$1:$R$1377,18,0)=2,SUM(IFERROR(INDEX(Pension_Model!$D$2:$D$29,MATCH(H264,Pension_Model!$B$2:$B$29,0)),0),IFERROR(INDEX(Pension_Model!$D$2:$D$29,MATCH(H265,Pension_Model!$B$2:$B$29,0)),0)),IF(VLOOKUP($A264,Calendar!$A$1:$R$1377,18,0)=3,SUM(IFERROR(INDEX(Pension_Model!$D$2:$D$29,MATCH(H264,Pension_Model!$B$2:$B$29,0)),0),IFERROR(INDEX(Pension_Model!$D$2:$D$29,MATCH(H265,Pension_Model!$B$2:$B$29,0)),0),IFERROR(INDEX(Pension_Model!$D$2:$D$29,MATCH(H266,Pension_Model!$B$2:$B$29,0)),0)),IF(VLOOKUP($A264,Calendar!$A$1:$R$1377,18,0)=4,SUM(IFERROR(INDEX(Pension_Model!$D$2:$D$29,MATCH(H264,Pension_Model!$B$2:$B$29,0)),0),IFERROR(INDEX(Pension_Model!$D$2:$D$29,MATCH(H265,Pension_Model!$B$2:$B$29,0)),0),IFERROR(INDEX(Pension_Model!$D$2:$D$29,MATCH(H266,Pension_Model!$B$2:$B$29,0)),0),IFERROR(INDEX(Pension_Model!$D$2:$D$29,MATCH(H267,Pension_Model!$B$2:$B$29,0)),0)),IF(VLOOKUP($A264,Calendar!$A$1:$R$1377,18,0)=5,SUM(IFERROR(INDEX(Pension_Model!$D$2:$D$29,MATCH(H264,Pension_Model!$B$2:$B$29,0)),0),IFERROR(INDEX(Pension_Model!$D$2:$D$29,MATCH(H265,Pension_Model!$B$2:$B$29,0)),0),IFERROR(INDEX(Pension_Model!$D$2:$D$29,MATCH(H266,Pension_Model!$B$2:$B$29,0)),0),IFERROR(INDEX(Pension_Model!$D$2:$D$29,MATCH(H267,Pension_Model!$B$2:$B$29,0)),0),IFERROR(INDEX(Pension_Model!$D$2:$D$29,MATCH(H268,Pension_Model!$B$2:$B$29,0)),0)),0))))))</f>
        <v>0.05</v>
      </c>
      <c r="Q264" s="28">
        <f>Population_Data!$B$15*P264</f>
        <v>660600</v>
      </c>
      <c r="S264">
        <f t="shared" si="4"/>
        <v>1742870.912698932</v>
      </c>
      <c r="U264" s="33">
        <f>S264/Population_Data!$B$19</f>
        <v>3.1573748418458912E-2</v>
      </c>
    </row>
    <row r="265" spans="1:21">
      <c r="A265" s="25">
        <f>Calendar!A265</f>
        <v>46498</v>
      </c>
      <c r="B265" t="str">
        <f>Calendar!L265</f>
        <v>Yes</v>
      </c>
      <c r="C265" t="str">
        <f>Calendar!O265</f>
        <v>No</v>
      </c>
      <c r="D265" t="str">
        <f>Calendar!P265</f>
        <v>No</v>
      </c>
      <c r="E265" t="str">
        <f>Calendar!Q265</f>
        <v>No</v>
      </c>
      <c r="F265" t="str">
        <f>Calendar!I265</f>
        <v>Wednesday</v>
      </c>
      <c r="G265">
        <f>Calendar!S265</f>
        <v>4</v>
      </c>
      <c r="H265">
        <f>Calendar!T265</f>
        <v>18</v>
      </c>
      <c r="I265" s="27">
        <f>IF(VLOOKUP(A265,Calendar!$A$1:$R$1377,18,0)=0,0,IF(VLOOKUP(A265,Calendar!$A$1:$R$1377,18,0)=1,INDEX(Monthly_Pay_Model!$A$9:$D$40,MATCH(TEXT(A265,"dd"),Monthly_Pay_Model!$C$9:$C$39,0),4),IF(VLOOKUP(A265,Calendar!$A$1:$R$1377,18,0)=2,SUM(INDEX(Monthly_Pay_Model!$A$9:$D$40,MATCH(TEXT(A265,"dd"),Monthly_Pay_Model!$C$9:$C$39,0),4),INDEX(Monthly_Pay_Model!$A$9:$D$40,MATCH(TEXT(A266,"dd"),Monthly_Pay_Model!$C$9:$C$39,0),4)),IF(VLOOKUP(A265,Calendar!$A$1:$R$1377,18,0)=3,SUM(INDEX(Monthly_Pay_Model!$A$9:$D$40,MATCH(TEXT(A265,"dd"),Monthly_Pay_Model!$C$9:$C$39,0),4),INDEX(Monthly_Pay_Model!$A$9:$D$40,MATCH(TEXT(A266,"dd"),Monthly_Pay_Model!$C$9:$C$39,0),4),INDEX(Monthly_Pay_Model!$A$9:$D$40,MATCH(TEXT(A267,"dd"),Monthly_Pay_Model!$C$9:$C$39,0),4)),IF(VLOOKUP(A265,Calendar!$A$1:$R$1377,18,0)=4,SUM(INDEX(Monthly_Pay_Model!$A$9:$D$40,MATCH(TEXT(A265,"dd"),Monthly_Pay_Model!$C$9:$C$39,0),4),INDEX(Monthly_Pay_Model!$A$9:$D$40,MATCH(TEXT(A266,"dd"),Monthly_Pay_Model!$C$9:$C$39,0),4),INDEX(Monthly_Pay_Model!$A$9:$D$40,MATCH(TEXT(A267,"dd"),Monthly_Pay_Model!$C$9:$C$39,0),4),INDEX(Monthly_Pay_Model!$A$9:$D$40,MATCH(TEXT(A268,"dd"),Monthly_Pay_Model!$C$9:$C$39,0),4)),IF(VLOOKUP(A265,Calendar!$A$1:$R$1377,18,0)=5,SUM(INDEX(Monthly_Pay_Model!$A$9:$D$40,MATCH(TEXT(A265,"dd"),Monthly_Pay_Model!$C$9:$C$39,0),4),INDEX(Monthly_Pay_Model!$A$9:$D$40,MATCH(TEXT(A266,"dd"),Monthly_Pay_Model!$C$9:$C$39,0),4),INDEX(Monthly_Pay_Model!$A$9:$D$40,MATCH(TEXT(A267,"dd"),Monthly_Pay_Model!$C$9:$C$39,0),4),INDEX(Monthly_Pay_Model!$A$9:$D$40,MATCH(TEXT(A268,"dd"),Monthly_Pay_Model!$C$9:$C$39,0),4),INDEX(Monthly_Pay_Model!$A$9:$D$40,MATCH(TEXT(A269,"dd"),Monthly_Pay_Model!$C$9:$C$39,0),4)),))))))</f>
        <v>4.8753926701570662E-3</v>
      </c>
      <c r="J265" s="33">
        <f>IF(C265="Yes",Monthly_Pay_Model!$D$2,0)
+IF(Calendar!N265="Yes",Monthly_Pay_Model!$D$3,0)
+IF(D265="Yes",Monthly_Pay_Model!$D$4,0)
+IF(E265="Yes",Monthly_Pay_Model!$D$5,0)</f>
        <v>0</v>
      </c>
      <c r="K265" s="27">
        <f>IF(VLOOKUP($A265,Calendar!$A$1:$R$1377,18,0)=0,0,IF(VLOOKUP($A265,Calendar!$A$1:$R$1377,18,0)=1,IFERROR(INDEX(Weekly_Model!$D$2:$D$9,MATCH(F265,Weekly_Model!$A$2:$A$9,0)),0),IF(VLOOKUP($A265,Calendar!$A$1:$R$1377,18,0)=2,SUM(IFERROR(INDEX(Weekly_Model!$D$2:$D$9,MATCH(F265,Weekly_Model!$A$2:$A$9,0)),0),IFERROR(INDEX(Weekly_Model!$D$2:$D$9,MATCH(F266,Weekly_Model!$A$2:$A$9,0)),0)),IF(VLOOKUP($A265,Calendar!$A$1:$R$1377,18,0)=3,SUM(IFERROR(INDEX(Weekly_Model!$D$2:$D$9,MATCH(F265,Weekly_Model!$A$2:$A$9,0)),0),IFERROR(INDEX(Weekly_Model!$D$2:$D$9,MATCH(F266,Weekly_Model!$A$2:$A$9,0)),0),IFERROR(INDEX(Weekly_Model!$D$2:$D$9,MATCH(F267,Weekly_Model!$A$2:$A$9,0)),0)),IF(VLOOKUP($A265,Calendar!$A$1:$R$1377,18,0)=4,SUM(IFERROR(INDEX(Weekly_Model!$D$2:$D$9,MATCH(F265,Weekly_Model!$A$2:$A$9,0)),0),IFERROR(INDEX(Weekly_Model!$D$2:$D$9,MATCH(F266,Weekly_Model!$A$2:$A$9,0)),0),IFERROR(INDEX(Weekly_Model!$D$2:$D$9,MATCH(F267,Weekly_Model!$A$2:$A$9,0)),0),IFERROR(INDEX(Weekly_Model!$D$2:$D$9,MATCH(F268,Weekly_Model!$A$2:$A$9,0)),0)),IF(VLOOKUP($A265,Calendar!$A$1:$R$1377,18,0)=5,SUM(IFERROR(INDEX(Weekly_Model!$D$2:$D$9,MATCH(F265,Weekly_Model!$A$2:$A$9,0)),0),IFERROR(INDEX(Weekly_Model!$D$2:$D$9,MATCH(F266,Weekly_Model!$A$2:$A$9,0)),0),IFERROR(INDEX(Weekly_Model!$D$2:$D$9,MATCH(F267,Weekly_Model!$A$2:$A$9,0)),0),IFERROR(INDEX(Weekly_Model!$D$2:$D$9,MATCH(F268,Weekly_Model!$A$2:$A$9,0)),0),IFERROR(INDEX(Weekly_Model!$D$2:$D$9,MATCH(F269,Weekly_Model!$A$2:$A$9,0)),0)),0))))))</f>
        <v>2.3200000000000002E-2</v>
      </c>
      <c r="L265" s="27">
        <f>IF(VLOOKUP($A265,Calendar!$A$1:$R$1377,18,0)=0,0,IF(VLOOKUP($A265,Calendar!$A$1:$R$1377,18,0)=1,IFERROR(INDEX(Fortnightly_Model!$D$2:$D$15,MATCH(G265,Fortnightly_Model!$B$2:$B$15,0)),0),IF(VLOOKUP($A265,Calendar!$A$1:$R$1377,18,0)=2,SUM(IFERROR(INDEX(Fortnightly_Model!$D$2:$D$15,MATCH(G265,Fortnightly_Model!$B$2:$B$15,0)),0),IFERROR(INDEX(Fortnightly_Model!$D$2:$D$15,MATCH(G266,Fortnightly_Model!$B$2:$B$15,0)),0)),IF(VLOOKUP($A265,Calendar!$A$1:$R$1377,18,0)=3,SUM(IFERROR(INDEX(Fortnightly_Model!$D$2:$D$15,MATCH(G265,Fortnightly_Model!$B$2:$B$15,0)),0),IFERROR(INDEX(Fortnightly_Model!$D$2:$D$15,MATCH(G266,Fortnightly_Model!$B$2:$B$15,0)),0),IFERROR(INDEX(Fortnightly_Model!$D$2:$D$15,MATCH(G267,Fortnightly_Model!$B$2:$B$15,0)),0)),IF(VLOOKUP($A265,Calendar!$A$1:$R$1377,18,0)=4,SUM(IFERROR(INDEX(Fortnightly_Model!$D$2:$D$15,MATCH(G265,Fortnightly_Model!$B$2:$B$15,0)),0),IFERROR(INDEX(Fortnightly_Model!$D$2:$D$15,MATCH(G266,Fortnightly_Model!$B$2:$B$15,0)),0),IFERROR(INDEX(Fortnightly_Model!$D$2:$D$15,MATCH(G267,Fortnightly_Model!$B$2:$B$15,0)),0),IFERROR(INDEX(Fortnightly_Model!$D$2:$D$15,MATCH(G268,Fortnightly_Model!$B$2:$B$15,0)),0)),IF(VLOOKUP($A265,Calendar!$A$1:$R$1377,18,0)=5,SUM(IFERROR(INDEX(Fortnightly_Model!$D$2:$D$15,MATCH(G265,Fortnightly_Model!$B$2:$B$15,0)),0),IFERROR(INDEX(Fortnightly_Model!$D$2:$D$15,MATCH(G266,Fortnightly_Model!$B$2:$B$15,0)),0),IFERROR(INDEX(Fortnightly_Model!$D$2:$D$15,MATCH(G267,Fortnightly_Model!$B$2:$B$15,0)),0),IFERROR(INDEX(Fortnightly_Model!$D$2:$D$15,MATCH(G268,Fortnightly_Model!$B$2:$B$15,0)),0),IFERROR(INDEX(Fortnightly_Model!$D$2:$D$15,MATCH(G269,Fortnightly_Model!$B$2:$B$15,0)),0)),0))))))</f>
        <v>1.0714285499999999E-3</v>
      </c>
      <c r="M265" s="27">
        <f>IF(VLOOKUP($A265,Calendar!$A$1:$R$1377,18,0)=0,0,IF(VLOOKUP($A265,Calendar!$A$1:$R$1377,18,0)=1,IFERROR(INDEX(FourWeekly_Model!$D$2:$D$29,MATCH(H265,FourWeekly_Model!$B$2:$B$29,0)),0),IF(VLOOKUP($A265,Calendar!$A$1:$R$1377,18,0)=2,SUM(IFERROR(INDEX(FourWeekly_Model!$D$2:$D$29,MATCH(H265,FourWeekly_Model!$B$2:$B$29,0)),0),IFERROR(INDEX(FourWeekly_Model!$D$2:$D$29,MATCH(H266,FourWeekly_Model!$B$2:$B$29,0)),0)),IF(VLOOKUP($A265,Calendar!$A$1:$R$1377,18,0)=3,SUM(IFERROR(INDEX(FourWeekly_Model!$D$2:$D$29,MATCH(H265,FourWeekly_Model!$B$2:$B$29,0)),0),IFERROR(INDEX(FourWeekly_Model!$D$2:$D$29,MATCH(H266,FourWeekly_Model!$B$2:$B$29,0)),0),IFERROR(INDEX(FourWeekly_Model!$D$2:$D$29,MATCH(H267,FourWeekly_Model!$B$2:$B$29,0)),0)),IF(VLOOKUP($A265,Calendar!$A$1:$R$1377,18,0)=4,SUM(IFERROR(INDEX(FourWeekly_Model!$D$2:$D$29,MATCH(H265,FourWeekly_Model!$B$2:$B$29,0)),0),IFERROR(INDEX(FourWeekly_Model!$D$2:$D$29,MATCH(H266,FourWeekly_Model!$B$2:$B$29,0)),0),IFERROR(INDEX(FourWeekly_Model!$D$2:$D$29,MATCH(H267,FourWeekly_Model!$B$2:$B$29,0)),0),IFERROR(INDEX(FourWeekly_Model!$D$2:$D$29,MATCH(H268,FourWeekly_Model!$B$2:$B$29,0)),0)),IF(VLOOKUP($A265,Calendar!$A$1:$R$1377,18,0)=5,SUM(IFERROR(INDEX(FourWeekly_Model!$D$2:$D$29,MATCH(H265,FourWeekly_Model!$B$2:$B$29,0)),0),IFERROR(INDEX(FourWeekly_Model!$D$2:$D$29,MATCH(H266,FourWeekly_Model!$B$2:$B$29,0)),0),IFERROR(INDEX(FourWeekly_Model!$D$2:$D$29,MATCH(H267,FourWeekly_Model!$B$2:$B$29,0)),0),IFERROR(INDEX(FourWeekly_Model!$D$2:$D$29,MATCH(H268,FourWeekly_Model!$B$2:$B$29,0)),0),IFERROR(INDEX(FourWeekly_Model!$D$2:$D$29,MATCH(H269,FourWeekly_Model!$B$2:$B$29,0)),0)),0))))))</f>
        <v>3.3214289700000004E-3</v>
      </c>
      <c r="N265" s="27">
        <f>SUM(I265:M265)</f>
        <v>3.2468250190157068E-2</v>
      </c>
      <c r="O265" s="28">
        <f>Population_Data!$B$8*N265</f>
        <v>983787.9807617591</v>
      </c>
      <c r="P265" s="27">
        <f>IF(VLOOKUP($A265,Calendar!$A$1:$R$1377,18,0)=0,0,IF(VLOOKUP($A265,Calendar!$A$1:$R$1377,18,0)=1,IFERROR(INDEX(Pension_Model!$D$2:$D$29,MATCH(H265,Pension_Model!$B$2:$B$29,0)),0),IF(VLOOKUP($A265,Calendar!$A$1:$R$1377,18,0)=2,SUM(IFERROR(INDEX(Pension_Model!$D$2:$D$29,MATCH(H265,Pension_Model!$B$2:$B$29,0)),0),IFERROR(INDEX(Pension_Model!$D$2:$D$29,MATCH(H266,Pension_Model!$B$2:$B$29,0)),0)),IF(VLOOKUP($A265,Calendar!$A$1:$R$1377,18,0)=3,SUM(IFERROR(INDEX(Pension_Model!$D$2:$D$29,MATCH(H265,Pension_Model!$B$2:$B$29,0)),0),IFERROR(INDEX(Pension_Model!$D$2:$D$29,MATCH(H266,Pension_Model!$B$2:$B$29,0)),0),IFERROR(INDEX(Pension_Model!$D$2:$D$29,MATCH(H267,Pension_Model!$B$2:$B$29,0)),0)),IF(VLOOKUP($A265,Calendar!$A$1:$R$1377,18,0)=4,SUM(IFERROR(INDEX(Pension_Model!$D$2:$D$29,MATCH(H265,Pension_Model!$B$2:$B$29,0)),0),IFERROR(INDEX(Pension_Model!$D$2:$D$29,MATCH(H266,Pension_Model!$B$2:$B$29,0)),0),IFERROR(INDEX(Pension_Model!$D$2:$D$29,MATCH(H267,Pension_Model!$B$2:$B$29,0)),0),IFERROR(INDEX(Pension_Model!$D$2:$D$29,MATCH(H268,Pension_Model!$B$2:$B$29,0)),0)),IF(VLOOKUP($A265,Calendar!$A$1:$R$1377,18,0)=5,SUM(IFERROR(INDEX(Pension_Model!$D$2:$D$29,MATCH(H265,Pension_Model!$B$2:$B$29,0)),0),IFERROR(INDEX(Pension_Model!$D$2:$D$29,MATCH(H266,Pension_Model!$B$2:$B$29,0)),0),IFERROR(INDEX(Pension_Model!$D$2:$D$29,MATCH(H267,Pension_Model!$B$2:$B$29,0)),0),IFERROR(INDEX(Pension_Model!$D$2:$D$29,MATCH(H268,Pension_Model!$B$2:$B$29,0)),0),IFERROR(INDEX(Pension_Model!$D$2:$D$29,MATCH(H269,Pension_Model!$B$2:$B$29,0)),0)),0))))))</f>
        <v>0.05</v>
      </c>
      <c r="Q265" s="28">
        <f>Population_Data!$B$15*P265</f>
        <v>660600</v>
      </c>
      <c r="S265">
        <f t="shared" si="4"/>
        <v>1644387.980761759</v>
      </c>
      <c r="U265" s="33">
        <f>S265/Population_Data!$B$19</f>
        <v>2.9789637332640562E-2</v>
      </c>
    </row>
    <row r="266" spans="1:21">
      <c r="A266" s="25">
        <f>Calendar!A266</f>
        <v>46499</v>
      </c>
      <c r="B266" t="str">
        <f>Calendar!L266</f>
        <v>Yes</v>
      </c>
      <c r="C266" t="str">
        <f>Calendar!O266</f>
        <v>No</v>
      </c>
      <c r="D266" t="str">
        <f>Calendar!P266</f>
        <v>No</v>
      </c>
      <c r="E266" t="str">
        <f>Calendar!Q266</f>
        <v>No</v>
      </c>
      <c r="F266" t="str">
        <f>Calendar!I266</f>
        <v>Thursday</v>
      </c>
      <c r="G266">
        <f>Calendar!S266</f>
        <v>5</v>
      </c>
      <c r="H266">
        <f>Calendar!T266</f>
        <v>19</v>
      </c>
      <c r="I266" s="27">
        <f>IF(VLOOKUP(A266,Calendar!$A$1:$R$1377,18,0)=0,0,IF(VLOOKUP(A266,Calendar!$A$1:$R$1377,18,0)=1,INDEX(Monthly_Pay_Model!$A$9:$D$40,MATCH(TEXT(A266,"dd"),Monthly_Pay_Model!$C$9:$C$39,0),4),IF(VLOOKUP(A266,Calendar!$A$1:$R$1377,18,0)=2,SUM(INDEX(Monthly_Pay_Model!$A$9:$D$40,MATCH(TEXT(A266,"dd"),Monthly_Pay_Model!$C$9:$C$39,0),4),INDEX(Monthly_Pay_Model!$A$9:$D$40,MATCH(TEXT(A267,"dd"),Monthly_Pay_Model!$C$9:$C$39,0),4)),IF(VLOOKUP(A266,Calendar!$A$1:$R$1377,18,0)=3,SUM(INDEX(Monthly_Pay_Model!$A$9:$D$40,MATCH(TEXT(A266,"dd"),Monthly_Pay_Model!$C$9:$C$39,0),4),INDEX(Monthly_Pay_Model!$A$9:$D$40,MATCH(TEXT(A267,"dd"),Monthly_Pay_Model!$C$9:$C$39,0),4),INDEX(Monthly_Pay_Model!$A$9:$D$40,MATCH(TEXT(A268,"dd"),Monthly_Pay_Model!$C$9:$C$39,0),4)),IF(VLOOKUP(A266,Calendar!$A$1:$R$1377,18,0)=4,SUM(INDEX(Monthly_Pay_Model!$A$9:$D$40,MATCH(TEXT(A266,"dd"),Monthly_Pay_Model!$C$9:$C$39,0),4),INDEX(Monthly_Pay_Model!$A$9:$D$40,MATCH(TEXT(A267,"dd"),Monthly_Pay_Model!$C$9:$C$39,0),4),INDEX(Monthly_Pay_Model!$A$9:$D$40,MATCH(TEXT(A268,"dd"),Monthly_Pay_Model!$C$9:$C$39,0),4),INDEX(Monthly_Pay_Model!$A$9:$D$40,MATCH(TEXT(A269,"dd"),Monthly_Pay_Model!$C$9:$C$39,0),4)),IF(VLOOKUP(A266,Calendar!$A$1:$R$1377,18,0)=5,SUM(INDEX(Monthly_Pay_Model!$A$9:$D$40,MATCH(TEXT(A266,"dd"),Monthly_Pay_Model!$C$9:$C$39,0),4),INDEX(Monthly_Pay_Model!$A$9:$D$40,MATCH(TEXT(A267,"dd"),Monthly_Pay_Model!$C$9:$C$39,0),4),INDEX(Monthly_Pay_Model!$A$9:$D$40,MATCH(TEXT(A268,"dd"),Monthly_Pay_Model!$C$9:$C$39,0),4),INDEX(Monthly_Pay_Model!$A$9:$D$40,MATCH(TEXT(A269,"dd"),Monthly_Pay_Model!$C$9:$C$39,0),4),INDEX(Monthly_Pay_Model!$A$9:$D$40,MATCH(TEXT(A270,"dd"),Monthly_Pay_Model!$C$9:$C$39,0),4)),))))))</f>
        <v>3.2502617801047117E-3</v>
      </c>
      <c r="J266" s="33">
        <f>IF(C266="Yes",Monthly_Pay_Model!$D$2,0)
+IF(Calendar!N266="Yes",Monthly_Pay_Model!$D$3,0)
+IF(D266="Yes",Monthly_Pay_Model!$D$4,0)
+IF(E266="Yes",Monthly_Pay_Model!$D$5,0)</f>
        <v>0</v>
      </c>
      <c r="K266" s="27">
        <f>IF(VLOOKUP($A266,Calendar!$A$1:$R$1377,18,0)=0,0,IF(VLOOKUP($A266,Calendar!$A$1:$R$1377,18,0)=1,IFERROR(INDEX(Weekly_Model!$D$2:$D$9,MATCH(F266,Weekly_Model!$A$2:$A$9,0)),0),IF(VLOOKUP($A266,Calendar!$A$1:$R$1377,18,0)=2,SUM(IFERROR(INDEX(Weekly_Model!$D$2:$D$9,MATCH(F266,Weekly_Model!$A$2:$A$9,0)),0),IFERROR(INDEX(Weekly_Model!$D$2:$D$9,MATCH(F267,Weekly_Model!$A$2:$A$9,0)),0)),IF(VLOOKUP($A266,Calendar!$A$1:$R$1377,18,0)=3,SUM(IFERROR(INDEX(Weekly_Model!$D$2:$D$9,MATCH(F266,Weekly_Model!$A$2:$A$9,0)),0),IFERROR(INDEX(Weekly_Model!$D$2:$D$9,MATCH(F267,Weekly_Model!$A$2:$A$9,0)),0),IFERROR(INDEX(Weekly_Model!$D$2:$D$9,MATCH(F268,Weekly_Model!$A$2:$A$9,0)),0)),IF(VLOOKUP($A266,Calendar!$A$1:$R$1377,18,0)=4,SUM(IFERROR(INDEX(Weekly_Model!$D$2:$D$9,MATCH(F266,Weekly_Model!$A$2:$A$9,0)),0),IFERROR(INDEX(Weekly_Model!$D$2:$D$9,MATCH(F267,Weekly_Model!$A$2:$A$9,0)),0),IFERROR(INDEX(Weekly_Model!$D$2:$D$9,MATCH(F268,Weekly_Model!$A$2:$A$9,0)),0),IFERROR(INDEX(Weekly_Model!$D$2:$D$9,MATCH(F269,Weekly_Model!$A$2:$A$9,0)),0)),IF(VLOOKUP($A266,Calendar!$A$1:$R$1377,18,0)=5,SUM(IFERROR(INDEX(Weekly_Model!$D$2:$D$9,MATCH(F266,Weekly_Model!$A$2:$A$9,0)),0),IFERROR(INDEX(Weekly_Model!$D$2:$D$9,MATCH(F267,Weekly_Model!$A$2:$A$9,0)),0),IFERROR(INDEX(Weekly_Model!$D$2:$D$9,MATCH(F268,Weekly_Model!$A$2:$A$9,0)),0),IFERROR(INDEX(Weekly_Model!$D$2:$D$9,MATCH(F269,Weekly_Model!$A$2:$A$9,0)),0),IFERROR(INDEX(Weekly_Model!$D$2:$D$9,MATCH(F270,Weekly_Model!$A$2:$A$9,0)),0)),0))))))</f>
        <v>2.3200000000000002E-2</v>
      </c>
      <c r="L266" s="27">
        <f>IF(VLOOKUP($A266,Calendar!$A$1:$R$1377,18,0)=0,0,IF(VLOOKUP($A266,Calendar!$A$1:$R$1377,18,0)=1,IFERROR(INDEX(Fortnightly_Model!$D$2:$D$15,MATCH(G266,Fortnightly_Model!$B$2:$B$15,0)),0),IF(VLOOKUP($A266,Calendar!$A$1:$R$1377,18,0)=2,SUM(IFERROR(INDEX(Fortnightly_Model!$D$2:$D$15,MATCH(G266,Fortnightly_Model!$B$2:$B$15,0)),0),IFERROR(INDEX(Fortnightly_Model!$D$2:$D$15,MATCH(G267,Fortnightly_Model!$B$2:$B$15,0)),0)),IF(VLOOKUP($A266,Calendar!$A$1:$R$1377,18,0)=3,SUM(IFERROR(INDEX(Fortnightly_Model!$D$2:$D$15,MATCH(G266,Fortnightly_Model!$B$2:$B$15,0)),0),IFERROR(INDEX(Fortnightly_Model!$D$2:$D$15,MATCH(G267,Fortnightly_Model!$B$2:$B$15,0)),0),IFERROR(INDEX(Fortnightly_Model!$D$2:$D$15,MATCH(G268,Fortnightly_Model!$B$2:$B$15,0)),0)),IF(VLOOKUP($A266,Calendar!$A$1:$R$1377,18,0)=4,SUM(IFERROR(INDEX(Fortnightly_Model!$D$2:$D$15,MATCH(G266,Fortnightly_Model!$B$2:$B$15,0)),0),IFERROR(INDEX(Fortnightly_Model!$D$2:$D$15,MATCH(G267,Fortnightly_Model!$B$2:$B$15,0)),0),IFERROR(INDEX(Fortnightly_Model!$D$2:$D$15,MATCH(G268,Fortnightly_Model!$B$2:$B$15,0)),0),IFERROR(INDEX(Fortnightly_Model!$D$2:$D$15,MATCH(G269,Fortnightly_Model!$B$2:$B$15,0)),0)),IF(VLOOKUP($A266,Calendar!$A$1:$R$1377,18,0)=5,SUM(IFERROR(INDEX(Fortnightly_Model!$D$2:$D$15,MATCH(G266,Fortnightly_Model!$B$2:$B$15,0)),0),IFERROR(INDEX(Fortnightly_Model!$D$2:$D$15,MATCH(G267,Fortnightly_Model!$B$2:$B$15,0)),0),IFERROR(INDEX(Fortnightly_Model!$D$2:$D$15,MATCH(G268,Fortnightly_Model!$B$2:$B$15,0)),0),IFERROR(INDEX(Fortnightly_Model!$D$2:$D$15,MATCH(G269,Fortnightly_Model!$B$2:$B$15,0)),0),IFERROR(INDEX(Fortnightly_Model!$D$2:$D$15,MATCH(G270,Fortnightly_Model!$B$2:$B$15,0)),0)),0))))))</f>
        <v>1.0714285499999999E-3</v>
      </c>
      <c r="M266" s="27">
        <f>IF(VLOOKUP($A266,Calendar!$A$1:$R$1377,18,0)=0,0,IF(VLOOKUP($A266,Calendar!$A$1:$R$1377,18,0)=1,IFERROR(INDEX(FourWeekly_Model!$D$2:$D$29,MATCH(H266,FourWeekly_Model!$B$2:$B$29,0)),0),IF(VLOOKUP($A266,Calendar!$A$1:$R$1377,18,0)=2,SUM(IFERROR(INDEX(FourWeekly_Model!$D$2:$D$29,MATCH(H266,FourWeekly_Model!$B$2:$B$29,0)),0),IFERROR(INDEX(FourWeekly_Model!$D$2:$D$29,MATCH(H267,FourWeekly_Model!$B$2:$B$29,0)),0)),IF(VLOOKUP($A266,Calendar!$A$1:$R$1377,18,0)=3,SUM(IFERROR(INDEX(FourWeekly_Model!$D$2:$D$29,MATCH(H266,FourWeekly_Model!$B$2:$B$29,0)),0),IFERROR(INDEX(FourWeekly_Model!$D$2:$D$29,MATCH(H267,FourWeekly_Model!$B$2:$B$29,0)),0),IFERROR(INDEX(FourWeekly_Model!$D$2:$D$29,MATCH(H268,FourWeekly_Model!$B$2:$B$29,0)),0)),IF(VLOOKUP($A266,Calendar!$A$1:$R$1377,18,0)=4,SUM(IFERROR(INDEX(FourWeekly_Model!$D$2:$D$29,MATCH(H266,FourWeekly_Model!$B$2:$B$29,0)),0),IFERROR(INDEX(FourWeekly_Model!$D$2:$D$29,MATCH(H267,FourWeekly_Model!$B$2:$B$29,0)),0),IFERROR(INDEX(FourWeekly_Model!$D$2:$D$29,MATCH(H268,FourWeekly_Model!$B$2:$B$29,0)),0),IFERROR(INDEX(FourWeekly_Model!$D$2:$D$29,MATCH(H269,FourWeekly_Model!$B$2:$B$29,0)),0)),IF(VLOOKUP($A266,Calendar!$A$1:$R$1377,18,0)=5,SUM(IFERROR(INDEX(FourWeekly_Model!$D$2:$D$29,MATCH(H266,FourWeekly_Model!$B$2:$B$29,0)),0),IFERROR(INDEX(FourWeekly_Model!$D$2:$D$29,MATCH(H267,FourWeekly_Model!$B$2:$B$29,0)),0),IFERROR(INDEX(FourWeekly_Model!$D$2:$D$29,MATCH(H268,FourWeekly_Model!$B$2:$B$29,0)),0),IFERROR(INDEX(FourWeekly_Model!$D$2:$D$29,MATCH(H269,FourWeekly_Model!$B$2:$B$29,0)),0),IFERROR(INDEX(FourWeekly_Model!$D$2:$D$29,MATCH(H270,FourWeekly_Model!$B$2:$B$29,0)),0)),0))))))</f>
        <v>3.3214289700000004E-3</v>
      </c>
      <c r="N266" s="27">
        <f>SUM(I266:M266)</f>
        <v>3.0843119300104714E-2</v>
      </c>
      <c r="O266" s="28">
        <f>Population_Data!$B$8*N266</f>
        <v>934546.51479317283</v>
      </c>
      <c r="P266" s="27">
        <f>IF(VLOOKUP($A266,Calendar!$A$1:$R$1377,18,0)=0,0,IF(VLOOKUP($A266,Calendar!$A$1:$R$1377,18,0)=1,IFERROR(INDEX(Pension_Model!$D$2:$D$29,MATCH(H266,Pension_Model!$B$2:$B$29,0)),0),IF(VLOOKUP($A266,Calendar!$A$1:$R$1377,18,0)=2,SUM(IFERROR(INDEX(Pension_Model!$D$2:$D$29,MATCH(H266,Pension_Model!$B$2:$B$29,0)),0),IFERROR(INDEX(Pension_Model!$D$2:$D$29,MATCH(H267,Pension_Model!$B$2:$B$29,0)),0)),IF(VLOOKUP($A266,Calendar!$A$1:$R$1377,18,0)=3,SUM(IFERROR(INDEX(Pension_Model!$D$2:$D$29,MATCH(H266,Pension_Model!$B$2:$B$29,0)),0),IFERROR(INDEX(Pension_Model!$D$2:$D$29,MATCH(H267,Pension_Model!$B$2:$B$29,0)),0),IFERROR(INDEX(Pension_Model!$D$2:$D$29,MATCH(H268,Pension_Model!$B$2:$B$29,0)),0)),IF(VLOOKUP($A266,Calendar!$A$1:$R$1377,18,0)=4,SUM(IFERROR(INDEX(Pension_Model!$D$2:$D$29,MATCH(H266,Pension_Model!$B$2:$B$29,0)),0),IFERROR(INDEX(Pension_Model!$D$2:$D$29,MATCH(H267,Pension_Model!$B$2:$B$29,0)),0),IFERROR(INDEX(Pension_Model!$D$2:$D$29,MATCH(H268,Pension_Model!$B$2:$B$29,0)),0),IFERROR(INDEX(Pension_Model!$D$2:$D$29,MATCH(H269,Pension_Model!$B$2:$B$29,0)),0)),IF(VLOOKUP($A266,Calendar!$A$1:$R$1377,18,0)=5,SUM(IFERROR(INDEX(Pension_Model!$D$2:$D$29,MATCH(H266,Pension_Model!$B$2:$B$29,0)),0),IFERROR(INDEX(Pension_Model!$D$2:$D$29,MATCH(H267,Pension_Model!$B$2:$B$29,0)),0),IFERROR(INDEX(Pension_Model!$D$2:$D$29,MATCH(H268,Pension_Model!$B$2:$B$29,0)),0),IFERROR(INDEX(Pension_Model!$D$2:$D$29,MATCH(H269,Pension_Model!$B$2:$B$29,0)),0),IFERROR(INDEX(Pension_Model!$D$2:$D$29,MATCH(H270,Pension_Model!$B$2:$B$29,0)),0)),0))))))</f>
        <v>0.05</v>
      </c>
      <c r="Q266" s="28">
        <f>Population_Data!$B$15*P266</f>
        <v>660600</v>
      </c>
      <c r="S266">
        <f t="shared" si="4"/>
        <v>1595146.5147931729</v>
      </c>
      <c r="U266" s="33">
        <f>S266/Population_Data!$B$19</f>
        <v>2.8897581789731393E-2</v>
      </c>
    </row>
    <row r="267" spans="1:21">
      <c r="A267" s="25">
        <f>Calendar!A267</f>
        <v>46500</v>
      </c>
      <c r="B267" t="str">
        <f>Calendar!L267</f>
        <v>Yes</v>
      </c>
      <c r="C267" t="str">
        <f>Calendar!O267</f>
        <v>No</v>
      </c>
      <c r="D267" t="str">
        <f>Calendar!P267</f>
        <v>No</v>
      </c>
      <c r="E267" t="str">
        <f>Calendar!Q267</f>
        <v>No</v>
      </c>
      <c r="F267" t="str">
        <f>Calendar!I267</f>
        <v>Friday</v>
      </c>
      <c r="G267">
        <f>Calendar!S267</f>
        <v>6</v>
      </c>
      <c r="H267">
        <f>Calendar!T267</f>
        <v>20</v>
      </c>
      <c r="I267" s="27">
        <f>IF(VLOOKUP(A267,Calendar!$A$1:$R$1377,18,0)=0,0,IF(VLOOKUP(A267,Calendar!$A$1:$R$1377,18,0)=1,INDEX(Monthly_Pay_Model!$A$9:$D$40,MATCH(TEXT(A267,"dd"),Monthly_Pay_Model!$C$9:$C$39,0),4),IF(VLOOKUP(A267,Calendar!$A$1:$R$1377,18,0)=2,SUM(INDEX(Monthly_Pay_Model!$A$9:$D$40,MATCH(TEXT(A267,"dd"),Monthly_Pay_Model!$C$9:$C$39,0),4),INDEX(Monthly_Pay_Model!$A$9:$D$40,MATCH(TEXT(A268,"dd"),Monthly_Pay_Model!$C$9:$C$39,0),4)),IF(VLOOKUP(A267,Calendar!$A$1:$R$1377,18,0)=3,SUM(INDEX(Monthly_Pay_Model!$A$9:$D$40,MATCH(TEXT(A267,"dd"),Monthly_Pay_Model!$C$9:$C$39,0),4),INDEX(Monthly_Pay_Model!$A$9:$D$40,MATCH(TEXT(A268,"dd"),Monthly_Pay_Model!$C$9:$C$39,0),4),INDEX(Monthly_Pay_Model!$A$9:$D$40,MATCH(TEXT(A269,"dd"),Monthly_Pay_Model!$C$9:$C$39,0),4)),IF(VLOOKUP(A267,Calendar!$A$1:$R$1377,18,0)=4,SUM(INDEX(Monthly_Pay_Model!$A$9:$D$40,MATCH(TEXT(A267,"dd"),Monthly_Pay_Model!$C$9:$C$39,0),4),INDEX(Monthly_Pay_Model!$A$9:$D$40,MATCH(TEXT(A268,"dd"),Monthly_Pay_Model!$C$9:$C$39,0),4),INDEX(Monthly_Pay_Model!$A$9:$D$40,MATCH(TEXT(A269,"dd"),Monthly_Pay_Model!$C$9:$C$39,0),4),INDEX(Monthly_Pay_Model!$A$9:$D$40,MATCH(TEXT(A270,"dd"),Monthly_Pay_Model!$C$9:$C$39,0),4)),IF(VLOOKUP(A267,Calendar!$A$1:$R$1377,18,0)=5,SUM(INDEX(Monthly_Pay_Model!$A$9:$D$40,MATCH(TEXT(A267,"dd"),Monthly_Pay_Model!$C$9:$C$39,0),4),INDEX(Monthly_Pay_Model!$A$9:$D$40,MATCH(TEXT(A268,"dd"),Monthly_Pay_Model!$C$9:$C$39,0),4),INDEX(Monthly_Pay_Model!$A$9:$D$40,MATCH(TEXT(A269,"dd"),Monthly_Pay_Model!$C$9:$C$39,0),4),INDEX(Monthly_Pay_Model!$A$9:$D$40,MATCH(TEXT(A270,"dd"),Monthly_Pay_Model!$C$9:$C$39,0),4),INDEX(Monthly_Pay_Model!$A$9:$D$40,MATCH(TEXT(A271,"dd"),Monthly_Pay_Model!$C$9:$C$39,0),4)),))))))</f>
        <v>3.3315183246073292E-2</v>
      </c>
      <c r="J267" s="33">
        <f>IF(C267="Yes",Monthly_Pay_Model!$D$2,0)
+IF(Calendar!N267="Yes",Monthly_Pay_Model!$D$3,0)
+IF(D267="Yes",Monthly_Pay_Model!$D$4,0)
+IF(E267="Yes",Monthly_Pay_Model!$D$5,0)</f>
        <v>0</v>
      </c>
      <c r="K267" s="27">
        <f>IF(VLOOKUP($A267,Calendar!$A$1:$R$1377,18,0)=0,0,IF(VLOOKUP($A267,Calendar!$A$1:$R$1377,18,0)=1,IFERROR(INDEX(Weekly_Model!$D$2:$D$9,MATCH(F267,Weekly_Model!$A$2:$A$9,0)),0),IF(VLOOKUP($A267,Calendar!$A$1:$R$1377,18,0)=2,SUM(IFERROR(INDEX(Weekly_Model!$D$2:$D$9,MATCH(F267,Weekly_Model!$A$2:$A$9,0)),0),IFERROR(INDEX(Weekly_Model!$D$2:$D$9,MATCH(F268,Weekly_Model!$A$2:$A$9,0)),0)),IF(VLOOKUP($A267,Calendar!$A$1:$R$1377,18,0)=3,SUM(IFERROR(INDEX(Weekly_Model!$D$2:$D$9,MATCH(F267,Weekly_Model!$A$2:$A$9,0)),0),IFERROR(INDEX(Weekly_Model!$D$2:$D$9,MATCH(F268,Weekly_Model!$A$2:$A$9,0)),0),IFERROR(INDEX(Weekly_Model!$D$2:$D$9,MATCH(F269,Weekly_Model!$A$2:$A$9,0)),0)),IF(VLOOKUP($A267,Calendar!$A$1:$R$1377,18,0)=4,SUM(IFERROR(INDEX(Weekly_Model!$D$2:$D$9,MATCH(F267,Weekly_Model!$A$2:$A$9,0)),0),IFERROR(INDEX(Weekly_Model!$D$2:$D$9,MATCH(F268,Weekly_Model!$A$2:$A$9,0)),0),IFERROR(INDEX(Weekly_Model!$D$2:$D$9,MATCH(F269,Weekly_Model!$A$2:$A$9,0)),0),IFERROR(INDEX(Weekly_Model!$D$2:$D$9,MATCH(F270,Weekly_Model!$A$2:$A$9,0)),0)),IF(VLOOKUP($A267,Calendar!$A$1:$R$1377,18,0)=5,SUM(IFERROR(INDEX(Weekly_Model!$D$2:$D$9,MATCH(F267,Weekly_Model!$A$2:$A$9,0)),0),IFERROR(INDEX(Weekly_Model!$D$2:$D$9,MATCH(F268,Weekly_Model!$A$2:$A$9,0)),0),IFERROR(INDEX(Weekly_Model!$D$2:$D$9,MATCH(F269,Weekly_Model!$A$2:$A$9,0)),0),IFERROR(INDEX(Weekly_Model!$D$2:$D$9,MATCH(F270,Weekly_Model!$A$2:$A$9,0)),0),IFERROR(INDEX(Weekly_Model!$D$2:$D$9,MATCH(F271,Weekly_Model!$A$2:$A$9,0)),0)),0))))))</f>
        <v>2.3200000000000002E-2</v>
      </c>
      <c r="L267" s="27">
        <f>IF(VLOOKUP($A267,Calendar!$A$1:$R$1377,18,0)=0,0,IF(VLOOKUP($A267,Calendar!$A$1:$R$1377,18,0)=1,IFERROR(INDEX(Fortnightly_Model!$D$2:$D$15,MATCH(G267,Fortnightly_Model!$B$2:$B$15,0)),0),IF(VLOOKUP($A267,Calendar!$A$1:$R$1377,18,0)=2,SUM(IFERROR(INDEX(Fortnightly_Model!$D$2:$D$15,MATCH(G267,Fortnightly_Model!$B$2:$B$15,0)),0),IFERROR(INDEX(Fortnightly_Model!$D$2:$D$15,MATCH(G268,Fortnightly_Model!$B$2:$B$15,0)),0)),IF(VLOOKUP($A267,Calendar!$A$1:$R$1377,18,0)=3,SUM(IFERROR(INDEX(Fortnightly_Model!$D$2:$D$15,MATCH(G267,Fortnightly_Model!$B$2:$B$15,0)),0),IFERROR(INDEX(Fortnightly_Model!$D$2:$D$15,MATCH(G268,Fortnightly_Model!$B$2:$B$15,0)),0),IFERROR(INDEX(Fortnightly_Model!$D$2:$D$15,MATCH(G269,Fortnightly_Model!$B$2:$B$15,0)),0)),IF(VLOOKUP($A267,Calendar!$A$1:$R$1377,18,0)=4,SUM(IFERROR(INDEX(Fortnightly_Model!$D$2:$D$15,MATCH(G267,Fortnightly_Model!$B$2:$B$15,0)),0),IFERROR(INDEX(Fortnightly_Model!$D$2:$D$15,MATCH(G268,Fortnightly_Model!$B$2:$B$15,0)),0),IFERROR(INDEX(Fortnightly_Model!$D$2:$D$15,MATCH(G269,Fortnightly_Model!$B$2:$B$15,0)),0),IFERROR(INDEX(Fortnightly_Model!$D$2:$D$15,MATCH(G270,Fortnightly_Model!$B$2:$B$15,0)),0)),IF(VLOOKUP($A267,Calendar!$A$1:$R$1377,18,0)=5,SUM(IFERROR(INDEX(Fortnightly_Model!$D$2:$D$15,MATCH(G267,Fortnightly_Model!$B$2:$B$15,0)),0),IFERROR(INDEX(Fortnightly_Model!$D$2:$D$15,MATCH(G268,Fortnightly_Model!$B$2:$B$15,0)),0),IFERROR(INDEX(Fortnightly_Model!$D$2:$D$15,MATCH(G269,Fortnightly_Model!$B$2:$B$15,0)),0),IFERROR(INDEX(Fortnightly_Model!$D$2:$D$15,MATCH(G270,Fortnightly_Model!$B$2:$B$15,0)),0),IFERROR(INDEX(Fortnightly_Model!$D$2:$D$15,MATCH(G271,Fortnightly_Model!$B$2:$B$15,0)),0)),0))))))</f>
        <v>3.2142856499999999E-3</v>
      </c>
      <c r="M267" s="27">
        <f>IF(VLOOKUP($A267,Calendar!$A$1:$R$1377,18,0)=0,0,IF(VLOOKUP($A267,Calendar!$A$1:$R$1377,18,0)=1,IFERROR(INDEX(FourWeekly_Model!$D$2:$D$29,MATCH(H267,FourWeekly_Model!$B$2:$B$29,0)),0),IF(VLOOKUP($A267,Calendar!$A$1:$R$1377,18,0)=2,SUM(IFERROR(INDEX(FourWeekly_Model!$D$2:$D$29,MATCH(H267,FourWeekly_Model!$B$2:$B$29,0)),0),IFERROR(INDEX(FourWeekly_Model!$D$2:$D$29,MATCH(H268,FourWeekly_Model!$B$2:$B$29,0)),0)),IF(VLOOKUP($A267,Calendar!$A$1:$R$1377,18,0)=3,SUM(IFERROR(INDEX(FourWeekly_Model!$D$2:$D$29,MATCH(H267,FourWeekly_Model!$B$2:$B$29,0)),0),IFERROR(INDEX(FourWeekly_Model!$D$2:$D$29,MATCH(H268,FourWeekly_Model!$B$2:$B$29,0)),0),IFERROR(INDEX(FourWeekly_Model!$D$2:$D$29,MATCH(H269,FourWeekly_Model!$B$2:$B$29,0)),0)),IF(VLOOKUP($A267,Calendar!$A$1:$R$1377,18,0)=4,SUM(IFERROR(INDEX(FourWeekly_Model!$D$2:$D$29,MATCH(H267,FourWeekly_Model!$B$2:$B$29,0)),0),IFERROR(INDEX(FourWeekly_Model!$D$2:$D$29,MATCH(H268,FourWeekly_Model!$B$2:$B$29,0)),0),IFERROR(INDEX(FourWeekly_Model!$D$2:$D$29,MATCH(H269,FourWeekly_Model!$B$2:$B$29,0)),0),IFERROR(INDEX(FourWeekly_Model!$D$2:$D$29,MATCH(H270,FourWeekly_Model!$B$2:$B$29,0)),0)),IF(VLOOKUP($A267,Calendar!$A$1:$R$1377,18,0)=5,SUM(IFERROR(INDEX(FourWeekly_Model!$D$2:$D$29,MATCH(H267,FourWeekly_Model!$B$2:$B$29,0)),0),IFERROR(INDEX(FourWeekly_Model!$D$2:$D$29,MATCH(H268,FourWeekly_Model!$B$2:$B$29,0)),0),IFERROR(INDEX(FourWeekly_Model!$D$2:$D$29,MATCH(H269,FourWeekly_Model!$B$2:$B$29,0)),0),IFERROR(INDEX(FourWeekly_Model!$D$2:$D$29,MATCH(H270,FourWeekly_Model!$B$2:$B$29,0)),0),IFERROR(INDEX(FourWeekly_Model!$D$2:$D$29,MATCH(H271,FourWeekly_Model!$B$2:$B$29,0)),0)),0))))))</f>
        <v>9.9642859800000011E-3</v>
      </c>
      <c r="N267" s="27">
        <f>SUM(I267:M267)</f>
        <v>6.9693754876073294E-2</v>
      </c>
      <c r="O267" s="28">
        <f>Population_Data!$B$8*N267</f>
        <v>2111720.7727450207</v>
      </c>
      <c r="P267" s="27">
        <f>IF(VLOOKUP($A267,Calendar!$A$1:$R$1377,18,0)=0,0,IF(VLOOKUP($A267,Calendar!$A$1:$R$1377,18,0)=1,IFERROR(INDEX(Pension_Model!$D$2:$D$29,MATCH(H267,Pension_Model!$B$2:$B$29,0)),0),IF(VLOOKUP($A267,Calendar!$A$1:$R$1377,18,0)=2,SUM(IFERROR(INDEX(Pension_Model!$D$2:$D$29,MATCH(H267,Pension_Model!$B$2:$B$29,0)),0),IFERROR(INDEX(Pension_Model!$D$2:$D$29,MATCH(H268,Pension_Model!$B$2:$B$29,0)),0)),IF(VLOOKUP($A267,Calendar!$A$1:$R$1377,18,0)=3,SUM(IFERROR(INDEX(Pension_Model!$D$2:$D$29,MATCH(H267,Pension_Model!$B$2:$B$29,0)),0),IFERROR(INDEX(Pension_Model!$D$2:$D$29,MATCH(H268,Pension_Model!$B$2:$B$29,0)),0),IFERROR(INDEX(Pension_Model!$D$2:$D$29,MATCH(H269,Pension_Model!$B$2:$B$29,0)),0)),IF(VLOOKUP($A267,Calendar!$A$1:$R$1377,18,0)=4,SUM(IFERROR(INDEX(Pension_Model!$D$2:$D$29,MATCH(H267,Pension_Model!$B$2:$B$29,0)),0),IFERROR(INDEX(Pension_Model!$D$2:$D$29,MATCH(H268,Pension_Model!$B$2:$B$29,0)),0),IFERROR(INDEX(Pension_Model!$D$2:$D$29,MATCH(H269,Pension_Model!$B$2:$B$29,0)),0),IFERROR(INDEX(Pension_Model!$D$2:$D$29,MATCH(H270,Pension_Model!$B$2:$B$29,0)),0)),IF(VLOOKUP($A267,Calendar!$A$1:$R$1377,18,0)=5,SUM(IFERROR(INDEX(Pension_Model!$D$2:$D$29,MATCH(H267,Pension_Model!$B$2:$B$29,0)),0),IFERROR(INDEX(Pension_Model!$D$2:$D$29,MATCH(H268,Pension_Model!$B$2:$B$29,0)),0),IFERROR(INDEX(Pension_Model!$D$2:$D$29,MATCH(H269,Pension_Model!$B$2:$B$29,0)),0),IFERROR(INDEX(Pension_Model!$D$2:$D$29,MATCH(H270,Pension_Model!$B$2:$B$29,0)),0),IFERROR(INDEX(Pension_Model!$D$2:$D$29,MATCH(H271,Pension_Model!$B$2:$B$29,0)),0)),0))))))</f>
        <v>0.05</v>
      </c>
      <c r="Q267" s="28">
        <f>Population_Data!$B$15*P267</f>
        <v>660600</v>
      </c>
      <c r="S267">
        <f t="shared" si="4"/>
        <v>2772320.7727450207</v>
      </c>
      <c r="U267" s="33">
        <f>S267/Population_Data!$B$19</f>
        <v>5.0223202404801097E-2</v>
      </c>
    </row>
    <row r="268" spans="1:21">
      <c r="A268" s="25">
        <f>Calendar!A268</f>
        <v>46501</v>
      </c>
      <c r="B268" t="str">
        <f>Calendar!L268</f>
        <v>No</v>
      </c>
      <c r="C268" t="str">
        <f>Calendar!O268</f>
        <v>No</v>
      </c>
      <c r="D268" t="str">
        <f>Calendar!P268</f>
        <v>No</v>
      </c>
      <c r="E268" t="str">
        <f>Calendar!Q268</f>
        <v>No</v>
      </c>
      <c r="F268" t="str">
        <f>Calendar!I268</f>
        <v>Saturday</v>
      </c>
      <c r="G268">
        <f>Calendar!S268</f>
        <v>7</v>
      </c>
      <c r="H268">
        <f>Calendar!T268</f>
        <v>21</v>
      </c>
      <c r="I268" s="27">
        <f>IF(VLOOKUP(A268,Calendar!$A$1:$R$1377,18,0)=0,0,IF(VLOOKUP(A268,Calendar!$A$1:$R$1377,18,0)=1,INDEX(Monthly_Pay_Model!$A$9:$D$40,MATCH(TEXT(A268,"dd"),Monthly_Pay_Model!$C$9:$C$39,0),4),IF(VLOOKUP(A268,Calendar!$A$1:$R$1377,18,0)=2,SUM(INDEX(Monthly_Pay_Model!$A$9:$D$40,MATCH(TEXT(A268,"dd"),Monthly_Pay_Model!$C$9:$C$39,0),4),INDEX(Monthly_Pay_Model!$A$9:$D$40,MATCH(TEXT(A269,"dd"),Monthly_Pay_Model!$C$9:$C$39,0),4)),IF(VLOOKUP(A268,Calendar!$A$1:$R$1377,18,0)=3,SUM(INDEX(Monthly_Pay_Model!$A$9:$D$40,MATCH(TEXT(A268,"dd"),Monthly_Pay_Model!$C$9:$C$39,0),4),INDEX(Monthly_Pay_Model!$A$9:$D$40,MATCH(TEXT(A269,"dd"),Monthly_Pay_Model!$C$9:$C$39,0),4),INDEX(Monthly_Pay_Model!$A$9:$D$40,MATCH(TEXT(A270,"dd"),Monthly_Pay_Model!$C$9:$C$39,0),4)),IF(VLOOKUP(A268,Calendar!$A$1:$R$1377,18,0)=4,SUM(INDEX(Monthly_Pay_Model!$A$9:$D$40,MATCH(TEXT(A268,"dd"),Monthly_Pay_Model!$C$9:$C$39,0),4),INDEX(Monthly_Pay_Model!$A$9:$D$40,MATCH(TEXT(A269,"dd"),Monthly_Pay_Model!$C$9:$C$39,0),4),INDEX(Monthly_Pay_Model!$A$9:$D$40,MATCH(TEXT(A270,"dd"),Monthly_Pay_Model!$C$9:$C$39,0),4),INDEX(Monthly_Pay_Model!$A$9:$D$40,MATCH(TEXT(A271,"dd"),Monthly_Pay_Model!$C$9:$C$39,0),4)),IF(VLOOKUP(A268,Calendar!$A$1:$R$1377,18,0)=5,SUM(INDEX(Monthly_Pay_Model!$A$9:$D$40,MATCH(TEXT(A268,"dd"),Monthly_Pay_Model!$C$9:$C$39,0),4),INDEX(Monthly_Pay_Model!$A$9:$D$40,MATCH(TEXT(A269,"dd"),Monthly_Pay_Model!$C$9:$C$39,0),4),INDEX(Monthly_Pay_Model!$A$9:$D$40,MATCH(TEXT(A270,"dd"),Monthly_Pay_Model!$C$9:$C$39,0),4),INDEX(Monthly_Pay_Model!$A$9:$D$40,MATCH(TEXT(A271,"dd"),Monthly_Pay_Model!$C$9:$C$39,0),4),INDEX(Monthly_Pay_Model!$A$9:$D$40,MATCH(TEXT(A272,"dd"),Monthly_Pay_Model!$C$9:$C$39,0),4)),))))))</f>
        <v>0</v>
      </c>
      <c r="J268" s="33">
        <f>IF(C268="Yes",Monthly_Pay_Model!$D$2,0)
+IF(Calendar!N268="Yes",Monthly_Pay_Model!$D$3,0)
+IF(D268="Yes",Monthly_Pay_Model!$D$4,0)
+IF(E268="Yes",Monthly_Pay_Model!$D$5,0)</f>
        <v>0</v>
      </c>
      <c r="K268" s="27">
        <f>IF(VLOOKUP($A268,Calendar!$A$1:$R$1377,18,0)=0,0,IF(VLOOKUP($A268,Calendar!$A$1:$R$1377,18,0)=1,IFERROR(INDEX(Weekly_Model!$D$2:$D$9,MATCH(F268,Weekly_Model!$A$2:$A$9,0)),0),IF(VLOOKUP($A268,Calendar!$A$1:$R$1377,18,0)=2,SUM(IFERROR(INDEX(Weekly_Model!$D$2:$D$9,MATCH(F268,Weekly_Model!$A$2:$A$9,0)),0),IFERROR(INDEX(Weekly_Model!$D$2:$D$9,MATCH(F269,Weekly_Model!$A$2:$A$9,0)),0)),IF(VLOOKUP($A268,Calendar!$A$1:$R$1377,18,0)=3,SUM(IFERROR(INDEX(Weekly_Model!$D$2:$D$9,MATCH(F268,Weekly_Model!$A$2:$A$9,0)),0),IFERROR(INDEX(Weekly_Model!$D$2:$D$9,MATCH(F269,Weekly_Model!$A$2:$A$9,0)),0),IFERROR(INDEX(Weekly_Model!$D$2:$D$9,MATCH(F270,Weekly_Model!$A$2:$A$9,0)),0)),IF(VLOOKUP($A268,Calendar!$A$1:$R$1377,18,0)=4,SUM(IFERROR(INDEX(Weekly_Model!$D$2:$D$9,MATCH(F268,Weekly_Model!$A$2:$A$9,0)),0),IFERROR(INDEX(Weekly_Model!$D$2:$D$9,MATCH(F269,Weekly_Model!$A$2:$A$9,0)),0),IFERROR(INDEX(Weekly_Model!$D$2:$D$9,MATCH(F270,Weekly_Model!$A$2:$A$9,0)),0),IFERROR(INDEX(Weekly_Model!$D$2:$D$9,MATCH(F271,Weekly_Model!$A$2:$A$9,0)),0)),IF(VLOOKUP($A268,Calendar!$A$1:$R$1377,18,0)=5,SUM(IFERROR(INDEX(Weekly_Model!$D$2:$D$9,MATCH(F268,Weekly_Model!$A$2:$A$9,0)),0),IFERROR(INDEX(Weekly_Model!$D$2:$D$9,MATCH(F269,Weekly_Model!$A$2:$A$9,0)),0),IFERROR(INDEX(Weekly_Model!$D$2:$D$9,MATCH(F270,Weekly_Model!$A$2:$A$9,0)),0),IFERROR(INDEX(Weekly_Model!$D$2:$D$9,MATCH(F271,Weekly_Model!$A$2:$A$9,0)),0),IFERROR(INDEX(Weekly_Model!$D$2:$D$9,MATCH(F272,Weekly_Model!$A$2:$A$9,0)),0)),0))))))</f>
        <v>0</v>
      </c>
      <c r="L268" s="27">
        <f>IF(VLOOKUP($A268,Calendar!$A$1:$R$1377,18,0)=0,0,IF(VLOOKUP($A268,Calendar!$A$1:$R$1377,18,0)=1,IFERROR(INDEX(Fortnightly_Model!$D$2:$D$15,MATCH(G268,Fortnightly_Model!$B$2:$B$15,0)),0),IF(VLOOKUP($A268,Calendar!$A$1:$R$1377,18,0)=2,SUM(IFERROR(INDEX(Fortnightly_Model!$D$2:$D$15,MATCH(G268,Fortnightly_Model!$B$2:$B$15,0)),0),IFERROR(INDEX(Fortnightly_Model!$D$2:$D$15,MATCH(G269,Fortnightly_Model!$B$2:$B$15,0)),0)),IF(VLOOKUP($A268,Calendar!$A$1:$R$1377,18,0)=3,SUM(IFERROR(INDEX(Fortnightly_Model!$D$2:$D$15,MATCH(G268,Fortnightly_Model!$B$2:$B$15,0)),0),IFERROR(INDEX(Fortnightly_Model!$D$2:$D$15,MATCH(G269,Fortnightly_Model!$B$2:$B$15,0)),0),IFERROR(INDEX(Fortnightly_Model!$D$2:$D$15,MATCH(G270,Fortnightly_Model!$B$2:$B$15,0)),0)),IF(VLOOKUP($A268,Calendar!$A$1:$R$1377,18,0)=4,SUM(IFERROR(INDEX(Fortnightly_Model!$D$2:$D$15,MATCH(G268,Fortnightly_Model!$B$2:$B$15,0)),0),IFERROR(INDEX(Fortnightly_Model!$D$2:$D$15,MATCH(G269,Fortnightly_Model!$B$2:$B$15,0)),0),IFERROR(INDEX(Fortnightly_Model!$D$2:$D$15,MATCH(G270,Fortnightly_Model!$B$2:$B$15,0)),0),IFERROR(INDEX(Fortnightly_Model!$D$2:$D$15,MATCH(G271,Fortnightly_Model!$B$2:$B$15,0)),0)),IF(VLOOKUP($A268,Calendar!$A$1:$R$1377,18,0)=5,SUM(IFERROR(INDEX(Fortnightly_Model!$D$2:$D$15,MATCH(G268,Fortnightly_Model!$B$2:$B$15,0)),0),IFERROR(INDEX(Fortnightly_Model!$D$2:$D$15,MATCH(G269,Fortnightly_Model!$B$2:$B$15,0)),0),IFERROR(INDEX(Fortnightly_Model!$D$2:$D$15,MATCH(G270,Fortnightly_Model!$B$2:$B$15,0)),0),IFERROR(INDEX(Fortnightly_Model!$D$2:$D$15,MATCH(G271,Fortnightly_Model!$B$2:$B$15,0)),0),IFERROR(INDEX(Fortnightly_Model!$D$2:$D$15,MATCH(G272,Fortnightly_Model!$B$2:$B$15,0)),0)),0))))))</f>
        <v>0</v>
      </c>
      <c r="M268" s="27">
        <f>IF(VLOOKUP($A268,Calendar!$A$1:$R$1377,18,0)=0,0,IF(VLOOKUP($A268,Calendar!$A$1:$R$1377,18,0)=1,IFERROR(INDEX(FourWeekly_Model!$D$2:$D$29,MATCH(H268,FourWeekly_Model!$B$2:$B$29,0)),0),IF(VLOOKUP($A268,Calendar!$A$1:$R$1377,18,0)=2,SUM(IFERROR(INDEX(FourWeekly_Model!$D$2:$D$29,MATCH(H268,FourWeekly_Model!$B$2:$B$29,0)),0),IFERROR(INDEX(FourWeekly_Model!$D$2:$D$29,MATCH(H269,FourWeekly_Model!$B$2:$B$29,0)),0)),IF(VLOOKUP($A268,Calendar!$A$1:$R$1377,18,0)=3,SUM(IFERROR(INDEX(FourWeekly_Model!$D$2:$D$29,MATCH(H268,FourWeekly_Model!$B$2:$B$29,0)),0),IFERROR(INDEX(FourWeekly_Model!$D$2:$D$29,MATCH(H269,FourWeekly_Model!$B$2:$B$29,0)),0),IFERROR(INDEX(FourWeekly_Model!$D$2:$D$29,MATCH(H270,FourWeekly_Model!$B$2:$B$29,0)),0)),IF(VLOOKUP($A268,Calendar!$A$1:$R$1377,18,0)=4,SUM(IFERROR(INDEX(FourWeekly_Model!$D$2:$D$29,MATCH(H268,FourWeekly_Model!$B$2:$B$29,0)),0),IFERROR(INDEX(FourWeekly_Model!$D$2:$D$29,MATCH(H269,FourWeekly_Model!$B$2:$B$29,0)),0),IFERROR(INDEX(FourWeekly_Model!$D$2:$D$29,MATCH(H270,FourWeekly_Model!$B$2:$B$29,0)),0),IFERROR(INDEX(FourWeekly_Model!$D$2:$D$29,MATCH(H271,FourWeekly_Model!$B$2:$B$29,0)),0)),IF(VLOOKUP($A268,Calendar!$A$1:$R$1377,18,0)=5,SUM(IFERROR(INDEX(FourWeekly_Model!$D$2:$D$29,MATCH(H268,FourWeekly_Model!$B$2:$B$29,0)),0),IFERROR(INDEX(FourWeekly_Model!$D$2:$D$29,MATCH(H269,FourWeekly_Model!$B$2:$B$29,0)),0),IFERROR(INDEX(FourWeekly_Model!$D$2:$D$29,MATCH(H270,FourWeekly_Model!$B$2:$B$29,0)),0),IFERROR(INDEX(FourWeekly_Model!$D$2:$D$29,MATCH(H271,FourWeekly_Model!$B$2:$B$29,0)),0),IFERROR(INDEX(FourWeekly_Model!$D$2:$D$29,MATCH(H272,FourWeekly_Model!$B$2:$B$29,0)),0)),0))))))</f>
        <v>0</v>
      </c>
      <c r="N268" s="27">
        <f>SUM(I268:M268)</f>
        <v>0</v>
      </c>
      <c r="O268" s="28">
        <f>Population_Data!$B$8*N268</f>
        <v>0</v>
      </c>
      <c r="P268" s="27">
        <f>IF(VLOOKUP($A268,Calendar!$A$1:$R$1377,18,0)=0,0,IF(VLOOKUP($A268,Calendar!$A$1:$R$1377,18,0)=1,IFERROR(INDEX(Pension_Model!$D$2:$D$29,MATCH(H268,Pension_Model!$B$2:$B$29,0)),0),IF(VLOOKUP($A268,Calendar!$A$1:$R$1377,18,0)=2,SUM(IFERROR(INDEX(Pension_Model!$D$2:$D$29,MATCH(H268,Pension_Model!$B$2:$B$29,0)),0),IFERROR(INDEX(Pension_Model!$D$2:$D$29,MATCH(H269,Pension_Model!$B$2:$B$29,0)),0)),IF(VLOOKUP($A268,Calendar!$A$1:$R$1377,18,0)=3,SUM(IFERROR(INDEX(Pension_Model!$D$2:$D$29,MATCH(H268,Pension_Model!$B$2:$B$29,0)),0),IFERROR(INDEX(Pension_Model!$D$2:$D$29,MATCH(H269,Pension_Model!$B$2:$B$29,0)),0),IFERROR(INDEX(Pension_Model!$D$2:$D$29,MATCH(H270,Pension_Model!$B$2:$B$29,0)),0)),IF(VLOOKUP($A268,Calendar!$A$1:$R$1377,18,0)=4,SUM(IFERROR(INDEX(Pension_Model!$D$2:$D$29,MATCH(H268,Pension_Model!$B$2:$B$29,0)),0),IFERROR(INDEX(Pension_Model!$D$2:$D$29,MATCH(H269,Pension_Model!$B$2:$B$29,0)),0),IFERROR(INDEX(Pension_Model!$D$2:$D$29,MATCH(H270,Pension_Model!$B$2:$B$29,0)),0),IFERROR(INDEX(Pension_Model!$D$2:$D$29,MATCH(H271,Pension_Model!$B$2:$B$29,0)),0)),IF(VLOOKUP($A268,Calendar!$A$1:$R$1377,18,0)=5,SUM(IFERROR(INDEX(Pension_Model!$D$2:$D$29,MATCH(H268,Pension_Model!$B$2:$B$29,0)),0),IFERROR(INDEX(Pension_Model!$D$2:$D$29,MATCH(H269,Pension_Model!$B$2:$B$29,0)),0),IFERROR(INDEX(Pension_Model!$D$2:$D$29,MATCH(H270,Pension_Model!$B$2:$B$29,0)),0),IFERROR(INDEX(Pension_Model!$D$2:$D$29,MATCH(H271,Pension_Model!$B$2:$B$29,0)),0),IFERROR(INDEX(Pension_Model!$D$2:$D$29,MATCH(H272,Pension_Model!$B$2:$B$29,0)),0)),0))))))</f>
        <v>0</v>
      </c>
      <c r="Q268" s="28">
        <f>Population_Data!$B$15*P268</f>
        <v>0</v>
      </c>
      <c r="S268">
        <f t="shared" si="4"/>
        <v>0</v>
      </c>
      <c r="U268" s="33">
        <f>S268/Population_Data!$B$19</f>
        <v>0</v>
      </c>
    </row>
    <row r="269" spans="1:21">
      <c r="A269" s="25">
        <f>Calendar!A269</f>
        <v>46502</v>
      </c>
      <c r="B269" t="str">
        <f>Calendar!L269</f>
        <v>No</v>
      </c>
      <c r="C269" t="str">
        <f>Calendar!O269</f>
        <v>No</v>
      </c>
      <c r="D269" t="str">
        <f>Calendar!P269</f>
        <v>No</v>
      </c>
      <c r="E269" t="str">
        <f>Calendar!Q269</f>
        <v>No</v>
      </c>
      <c r="F269" t="str">
        <f>Calendar!I269</f>
        <v>Sunday</v>
      </c>
      <c r="G269">
        <f>Calendar!S269</f>
        <v>8</v>
      </c>
      <c r="H269">
        <f>Calendar!T269</f>
        <v>22</v>
      </c>
      <c r="I269" s="27">
        <f>IF(VLOOKUP(A269,Calendar!$A$1:$R$1377,18,0)=0,0,IF(VLOOKUP(A269,Calendar!$A$1:$R$1377,18,0)=1,INDEX(Monthly_Pay_Model!$A$9:$D$40,MATCH(TEXT(A269,"dd"),Monthly_Pay_Model!$C$9:$C$39,0),4),IF(VLOOKUP(A269,Calendar!$A$1:$R$1377,18,0)=2,SUM(INDEX(Monthly_Pay_Model!$A$9:$D$40,MATCH(TEXT(A269,"dd"),Monthly_Pay_Model!$C$9:$C$39,0),4),INDEX(Monthly_Pay_Model!$A$9:$D$40,MATCH(TEXT(A270,"dd"),Monthly_Pay_Model!$C$9:$C$39,0),4)),IF(VLOOKUP(A269,Calendar!$A$1:$R$1377,18,0)=3,SUM(INDEX(Monthly_Pay_Model!$A$9:$D$40,MATCH(TEXT(A269,"dd"),Monthly_Pay_Model!$C$9:$C$39,0),4),INDEX(Monthly_Pay_Model!$A$9:$D$40,MATCH(TEXT(A270,"dd"),Monthly_Pay_Model!$C$9:$C$39,0),4),INDEX(Monthly_Pay_Model!$A$9:$D$40,MATCH(TEXT(A271,"dd"),Monthly_Pay_Model!$C$9:$C$39,0),4)),IF(VLOOKUP(A269,Calendar!$A$1:$R$1377,18,0)=4,SUM(INDEX(Monthly_Pay_Model!$A$9:$D$40,MATCH(TEXT(A269,"dd"),Monthly_Pay_Model!$C$9:$C$39,0),4),INDEX(Monthly_Pay_Model!$A$9:$D$40,MATCH(TEXT(A270,"dd"),Monthly_Pay_Model!$C$9:$C$39,0),4),INDEX(Monthly_Pay_Model!$A$9:$D$40,MATCH(TEXT(A271,"dd"),Monthly_Pay_Model!$C$9:$C$39,0),4),INDEX(Monthly_Pay_Model!$A$9:$D$40,MATCH(TEXT(A272,"dd"),Monthly_Pay_Model!$C$9:$C$39,0),4)),IF(VLOOKUP(A269,Calendar!$A$1:$R$1377,18,0)=5,SUM(INDEX(Monthly_Pay_Model!$A$9:$D$40,MATCH(TEXT(A269,"dd"),Monthly_Pay_Model!$C$9:$C$39,0),4),INDEX(Monthly_Pay_Model!$A$9:$D$40,MATCH(TEXT(A270,"dd"),Monthly_Pay_Model!$C$9:$C$39,0),4),INDEX(Monthly_Pay_Model!$A$9:$D$40,MATCH(TEXT(A271,"dd"),Monthly_Pay_Model!$C$9:$C$39,0),4),INDEX(Monthly_Pay_Model!$A$9:$D$40,MATCH(TEXT(A272,"dd"),Monthly_Pay_Model!$C$9:$C$39,0),4),INDEX(Monthly_Pay_Model!$A$9:$D$40,MATCH(TEXT(A273,"dd"),Monthly_Pay_Model!$C$9:$C$39,0),4)),))))))</f>
        <v>0</v>
      </c>
      <c r="J269" s="33">
        <f>IF(C269="Yes",Monthly_Pay_Model!$D$2,0)
+IF(Calendar!N269="Yes",Monthly_Pay_Model!$D$3,0)
+IF(D269="Yes",Monthly_Pay_Model!$D$4,0)
+IF(E269="Yes",Monthly_Pay_Model!$D$5,0)</f>
        <v>0</v>
      </c>
      <c r="K269" s="27">
        <f>IF(VLOOKUP($A269,Calendar!$A$1:$R$1377,18,0)=0,0,IF(VLOOKUP($A269,Calendar!$A$1:$R$1377,18,0)=1,IFERROR(INDEX(Weekly_Model!$D$2:$D$9,MATCH(F269,Weekly_Model!$A$2:$A$9,0)),0),IF(VLOOKUP($A269,Calendar!$A$1:$R$1377,18,0)=2,SUM(IFERROR(INDEX(Weekly_Model!$D$2:$D$9,MATCH(F269,Weekly_Model!$A$2:$A$9,0)),0),IFERROR(INDEX(Weekly_Model!$D$2:$D$9,MATCH(F270,Weekly_Model!$A$2:$A$9,0)),0)),IF(VLOOKUP($A269,Calendar!$A$1:$R$1377,18,0)=3,SUM(IFERROR(INDEX(Weekly_Model!$D$2:$D$9,MATCH(F269,Weekly_Model!$A$2:$A$9,0)),0),IFERROR(INDEX(Weekly_Model!$D$2:$D$9,MATCH(F270,Weekly_Model!$A$2:$A$9,0)),0),IFERROR(INDEX(Weekly_Model!$D$2:$D$9,MATCH(F271,Weekly_Model!$A$2:$A$9,0)),0)),IF(VLOOKUP($A269,Calendar!$A$1:$R$1377,18,0)=4,SUM(IFERROR(INDEX(Weekly_Model!$D$2:$D$9,MATCH(F269,Weekly_Model!$A$2:$A$9,0)),0),IFERROR(INDEX(Weekly_Model!$D$2:$D$9,MATCH(F270,Weekly_Model!$A$2:$A$9,0)),0),IFERROR(INDEX(Weekly_Model!$D$2:$D$9,MATCH(F271,Weekly_Model!$A$2:$A$9,0)),0),IFERROR(INDEX(Weekly_Model!$D$2:$D$9,MATCH(F272,Weekly_Model!$A$2:$A$9,0)),0)),IF(VLOOKUP($A269,Calendar!$A$1:$R$1377,18,0)=5,SUM(IFERROR(INDEX(Weekly_Model!$D$2:$D$9,MATCH(F269,Weekly_Model!$A$2:$A$9,0)),0),IFERROR(INDEX(Weekly_Model!$D$2:$D$9,MATCH(F270,Weekly_Model!$A$2:$A$9,0)),0),IFERROR(INDEX(Weekly_Model!$D$2:$D$9,MATCH(F271,Weekly_Model!$A$2:$A$9,0)),0),IFERROR(INDEX(Weekly_Model!$D$2:$D$9,MATCH(F272,Weekly_Model!$A$2:$A$9,0)),0),IFERROR(INDEX(Weekly_Model!$D$2:$D$9,MATCH(F273,Weekly_Model!$A$2:$A$9,0)),0)),0))))))</f>
        <v>0</v>
      </c>
      <c r="L269" s="27">
        <f>IF(VLOOKUP($A269,Calendar!$A$1:$R$1377,18,0)=0,0,IF(VLOOKUP($A269,Calendar!$A$1:$R$1377,18,0)=1,IFERROR(INDEX(Fortnightly_Model!$D$2:$D$15,MATCH(G269,Fortnightly_Model!$B$2:$B$15,0)),0),IF(VLOOKUP($A269,Calendar!$A$1:$R$1377,18,0)=2,SUM(IFERROR(INDEX(Fortnightly_Model!$D$2:$D$15,MATCH(G269,Fortnightly_Model!$B$2:$B$15,0)),0),IFERROR(INDEX(Fortnightly_Model!$D$2:$D$15,MATCH(G270,Fortnightly_Model!$B$2:$B$15,0)),0)),IF(VLOOKUP($A269,Calendar!$A$1:$R$1377,18,0)=3,SUM(IFERROR(INDEX(Fortnightly_Model!$D$2:$D$15,MATCH(G269,Fortnightly_Model!$B$2:$B$15,0)),0),IFERROR(INDEX(Fortnightly_Model!$D$2:$D$15,MATCH(G270,Fortnightly_Model!$B$2:$B$15,0)),0),IFERROR(INDEX(Fortnightly_Model!$D$2:$D$15,MATCH(G271,Fortnightly_Model!$B$2:$B$15,0)),0)),IF(VLOOKUP($A269,Calendar!$A$1:$R$1377,18,0)=4,SUM(IFERROR(INDEX(Fortnightly_Model!$D$2:$D$15,MATCH(G269,Fortnightly_Model!$B$2:$B$15,0)),0),IFERROR(INDEX(Fortnightly_Model!$D$2:$D$15,MATCH(G270,Fortnightly_Model!$B$2:$B$15,0)),0),IFERROR(INDEX(Fortnightly_Model!$D$2:$D$15,MATCH(G271,Fortnightly_Model!$B$2:$B$15,0)),0),IFERROR(INDEX(Fortnightly_Model!$D$2:$D$15,MATCH(G272,Fortnightly_Model!$B$2:$B$15,0)),0)),IF(VLOOKUP($A269,Calendar!$A$1:$R$1377,18,0)=5,SUM(IFERROR(INDEX(Fortnightly_Model!$D$2:$D$15,MATCH(G269,Fortnightly_Model!$B$2:$B$15,0)),0),IFERROR(INDEX(Fortnightly_Model!$D$2:$D$15,MATCH(G270,Fortnightly_Model!$B$2:$B$15,0)),0),IFERROR(INDEX(Fortnightly_Model!$D$2:$D$15,MATCH(G271,Fortnightly_Model!$B$2:$B$15,0)),0),IFERROR(INDEX(Fortnightly_Model!$D$2:$D$15,MATCH(G272,Fortnightly_Model!$B$2:$B$15,0)),0),IFERROR(INDEX(Fortnightly_Model!$D$2:$D$15,MATCH(G273,Fortnightly_Model!$B$2:$B$15,0)),0)),0))))))</f>
        <v>0</v>
      </c>
      <c r="M269" s="27">
        <f>IF(VLOOKUP($A269,Calendar!$A$1:$R$1377,18,0)=0,0,IF(VLOOKUP($A269,Calendar!$A$1:$R$1377,18,0)=1,IFERROR(INDEX(FourWeekly_Model!$D$2:$D$29,MATCH(H269,FourWeekly_Model!$B$2:$B$29,0)),0),IF(VLOOKUP($A269,Calendar!$A$1:$R$1377,18,0)=2,SUM(IFERROR(INDEX(FourWeekly_Model!$D$2:$D$29,MATCH(H269,FourWeekly_Model!$B$2:$B$29,0)),0),IFERROR(INDEX(FourWeekly_Model!$D$2:$D$29,MATCH(H270,FourWeekly_Model!$B$2:$B$29,0)),0)),IF(VLOOKUP($A269,Calendar!$A$1:$R$1377,18,0)=3,SUM(IFERROR(INDEX(FourWeekly_Model!$D$2:$D$29,MATCH(H269,FourWeekly_Model!$B$2:$B$29,0)),0),IFERROR(INDEX(FourWeekly_Model!$D$2:$D$29,MATCH(H270,FourWeekly_Model!$B$2:$B$29,0)),0),IFERROR(INDEX(FourWeekly_Model!$D$2:$D$29,MATCH(H271,FourWeekly_Model!$B$2:$B$29,0)),0)),IF(VLOOKUP($A269,Calendar!$A$1:$R$1377,18,0)=4,SUM(IFERROR(INDEX(FourWeekly_Model!$D$2:$D$29,MATCH(H269,FourWeekly_Model!$B$2:$B$29,0)),0),IFERROR(INDEX(FourWeekly_Model!$D$2:$D$29,MATCH(H270,FourWeekly_Model!$B$2:$B$29,0)),0),IFERROR(INDEX(FourWeekly_Model!$D$2:$D$29,MATCH(H271,FourWeekly_Model!$B$2:$B$29,0)),0),IFERROR(INDEX(FourWeekly_Model!$D$2:$D$29,MATCH(H272,FourWeekly_Model!$B$2:$B$29,0)),0)),IF(VLOOKUP($A269,Calendar!$A$1:$R$1377,18,0)=5,SUM(IFERROR(INDEX(FourWeekly_Model!$D$2:$D$29,MATCH(H269,FourWeekly_Model!$B$2:$B$29,0)),0),IFERROR(INDEX(FourWeekly_Model!$D$2:$D$29,MATCH(H270,FourWeekly_Model!$B$2:$B$29,0)),0),IFERROR(INDEX(FourWeekly_Model!$D$2:$D$29,MATCH(H271,FourWeekly_Model!$B$2:$B$29,0)),0),IFERROR(INDEX(FourWeekly_Model!$D$2:$D$29,MATCH(H272,FourWeekly_Model!$B$2:$B$29,0)),0),IFERROR(INDEX(FourWeekly_Model!$D$2:$D$29,MATCH(H273,FourWeekly_Model!$B$2:$B$29,0)),0)),0))))))</f>
        <v>0</v>
      </c>
      <c r="N269" s="27">
        <f>SUM(I269:M269)</f>
        <v>0</v>
      </c>
      <c r="O269" s="28">
        <f>Population_Data!$B$8*N269</f>
        <v>0</v>
      </c>
      <c r="P269" s="27">
        <f>IF(VLOOKUP($A269,Calendar!$A$1:$R$1377,18,0)=0,0,IF(VLOOKUP($A269,Calendar!$A$1:$R$1377,18,0)=1,IFERROR(INDEX(Pension_Model!$D$2:$D$29,MATCH(H269,Pension_Model!$B$2:$B$29,0)),0),IF(VLOOKUP($A269,Calendar!$A$1:$R$1377,18,0)=2,SUM(IFERROR(INDEX(Pension_Model!$D$2:$D$29,MATCH(H269,Pension_Model!$B$2:$B$29,0)),0),IFERROR(INDEX(Pension_Model!$D$2:$D$29,MATCH(H270,Pension_Model!$B$2:$B$29,0)),0)),IF(VLOOKUP($A269,Calendar!$A$1:$R$1377,18,0)=3,SUM(IFERROR(INDEX(Pension_Model!$D$2:$D$29,MATCH(H269,Pension_Model!$B$2:$B$29,0)),0),IFERROR(INDEX(Pension_Model!$D$2:$D$29,MATCH(H270,Pension_Model!$B$2:$B$29,0)),0),IFERROR(INDEX(Pension_Model!$D$2:$D$29,MATCH(H271,Pension_Model!$B$2:$B$29,0)),0)),IF(VLOOKUP($A269,Calendar!$A$1:$R$1377,18,0)=4,SUM(IFERROR(INDEX(Pension_Model!$D$2:$D$29,MATCH(H269,Pension_Model!$B$2:$B$29,0)),0),IFERROR(INDEX(Pension_Model!$D$2:$D$29,MATCH(H270,Pension_Model!$B$2:$B$29,0)),0),IFERROR(INDEX(Pension_Model!$D$2:$D$29,MATCH(H271,Pension_Model!$B$2:$B$29,0)),0),IFERROR(INDEX(Pension_Model!$D$2:$D$29,MATCH(H272,Pension_Model!$B$2:$B$29,0)),0)),IF(VLOOKUP($A269,Calendar!$A$1:$R$1377,18,0)=5,SUM(IFERROR(INDEX(Pension_Model!$D$2:$D$29,MATCH(H269,Pension_Model!$B$2:$B$29,0)),0),IFERROR(INDEX(Pension_Model!$D$2:$D$29,MATCH(H270,Pension_Model!$B$2:$B$29,0)),0),IFERROR(INDEX(Pension_Model!$D$2:$D$29,MATCH(H271,Pension_Model!$B$2:$B$29,0)),0),IFERROR(INDEX(Pension_Model!$D$2:$D$29,MATCH(H272,Pension_Model!$B$2:$B$29,0)),0),IFERROR(INDEX(Pension_Model!$D$2:$D$29,MATCH(H273,Pension_Model!$B$2:$B$29,0)),0)),0))))))</f>
        <v>0</v>
      </c>
      <c r="Q269" s="28">
        <f>Population_Data!$B$15*P269</f>
        <v>0</v>
      </c>
      <c r="S269">
        <f t="shared" si="4"/>
        <v>0</v>
      </c>
      <c r="U269" s="33">
        <f>S269/Population_Data!$B$19</f>
        <v>0</v>
      </c>
    </row>
    <row r="270" spans="1:21">
      <c r="A270" s="25">
        <f>Calendar!A270</f>
        <v>46503</v>
      </c>
      <c r="B270" t="str">
        <f>Calendar!L270</f>
        <v>Yes</v>
      </c>
      <c r="C270" t="str">
        <f>Calendar!O270</f>
        <v>No</v>
      </c>
      <c r="D270" t="str">
        <f>Calendar!P270</f>
        <v>No</v>
      </c>
      <c r="E270" t="str">
        <f>Calendar!Q270</f>
        <v>No</v>
      </c>
      <c r="F270" t="str">
        <f>Calendar!I270</f>
        <v>Monday</v>
      </c>
      <c r="G270">
        <f>Calendar!S270</f>
        <v>9</v>
      </c>
      <c r="H270">
        <f>Calendar!T270</f>
        <v>23</v>
      </c>
      <c r="I270" s="27">
        <f>IF(VLOOKUP(A270,Calendar!$A$1:$R$1377,18,0)=0,0,IF(VLOOKUP(A270,Calendar!$A$1:$R$1377,18,0)=1,INDEX(Monthly_Pay_Model!$A$9:$D$40,MATCH(TEXT(A270,"dd"),Monthly_Pay_Model!$C$9:$C$39,0),4),IF(VLOOKUP(A270,Calendar!$A$1:$R$1377,18,0)=2,SUM(INDEX(Monthly_Pay_Model!$A$9:$D$40,MATCH(TEXT(A270,"dd"),Monthly_Pay_Model!$C$9:$C$39,0),4),INDEX(Monthly_Pay_Model!$A$9:$D$40,MATCH(TEXT(A271,"dd"),Monthly_Pay_Model!$C$9:$C$39,0),4)),IF(VLOOKUP(A270,Calendar!$A$1:$R$1377,18,0)=3,SUM(INDEX(Monthly_Pay_Model!$A$9:$D$40,MATCH(TEXT(A270,"dd"),Monthly_Pay_Model!$C$9:$C$39,0),4),INDEX(Monthly_Pay_Model!$A$9:$D$40,MATCH(TEXT(A271,"dd"),Monthly_Pay_Model!$C$9:$C$39,0),4),INDEX(Monthly_Pay_Model!$A$9:$D$40,MATCH(TEXT(A272,"dd"),Monthly_Pay_Model!$C$9:$C$39,0),4)),IF(VLOOKUP(A270,Calendar!$A$1:$R$1377,18,0)=4,SUM(INDEX(Monthly_Pay_Model!$A$9:$D$40,MATCH(TEXT(A270,"dd"),Monthly_Pay_Model!$C$9:$C$39,0),4),INDEX(Monthly_Pay_Model!$A$9:$D$40,MATCH(TEXT(A271,"dd"),Monthly_Pay_Model!$C$9:$C$39,0),4),INDEX(Monthly_Pay_Model!$A$9:$D$40,MATCH(TEXT(A272,"dd"),Monthly_Pay_Model!$C$9:$C$39,0),4),INDEX(Monthly_Pay_Model!$A$9:$D$40,MATCH(TEXT(A273,"dd"),Monthly_Pay_Model!$C$9:$C$39,0),4)),IF(VLOOKUP(A270,Calendar!$A$1:$R$1377,18,0)=5,SUM(INDEX(Monthly_Pay_Model!$A$9:$D$40,MATCH(TEXT(A270,"dd"),Monthly_Pay_Model!$C$9:$C$39,0),4),INDEX(Monthly_Pay_Model!$A$9:$D$40,MATCH(TEXT(A271,"dd"),Monthly_Pay_Model!$C$9:$C$39,0),4),INDEX(Monthly_Pay_Model!$A$9:$D$40,MATCH(TEXT(A272,"dd"),Monthly_Pay_Model!$C$9:$C$39,0),4),INDEX(Monthly_Pay_Model!$A$9:$D$40,MATCH(TEXT(A273,"dd"),Monthly_Pay_Model!$C$9:$C$39,0),4),INDEX(Monthly_Pay_Model!$A$9:$D$40,MATCH(TEXT(A274,"dd"),Monthly_Pay_Model!$C$9:$C$39,0),4)),))))))</f>
        <v>9.7507853403141324E-3</v>
      </c>
      <c r="J270" s="33">
        <f>IF(C270="Yes",Monthly_Pay_Model!$D$2,0)
+IF(Calendar!N270="Yes",Monthly_Pay_Model!$D$3,0)
+IF(D270="Yes",Monthly_Pay_Model!$D$4,0)
+IF(E270="Yes",Monthly_Pay_Model!$D$5,0)</f>
        <v>0</v>
      </c>
      <c r="K270" s="27">
        <f>IF(VLOOKUP($A270,Calendar!$A$1:$R$1377,18,0)=0,0,IF(VLOOKUP($A270,Calendar!$A$1:$R$1377,18,0)=1,IFERROR(INDEX(Weekly_Model!$D$2:$D$9,MATCH(F270,Weekly_Model!$A$2:$A$9,0)),0),IF(VLOOKUP($A270,Calendar!$A$1:$R$1377,18,0)=2,SUM(IFERROR(INDEX(Weekly_Model!$D$2:$D$9,MATCH(F270,Weekly_Model!$A$2:$A$9,0)),0),IFERROR(INDEX(Weekly_Model!$D$2:$D$9,MATCH(F271,Weekly_Model!$A$2:$A$9,0)),0)),IF(VLOOKUP($A270,Calendar!$A$1:$R$1377,18,0)=3,SUM(IFERROR(INDEX(Weekly_Model!$D$2:$D$9,MATCH(F270,Weekly_Model!$A$2:$A$9,0)),0),IFERROR(INDEX(Weekly_Model!$D$2:$D$9,MATCH(F271,Weekly_Model!$A$2:$A$9,0)),0),IFERROR(INDEX(Weekly_Model!$D$2:$D$9,MATCH(F272,Weekly_Model!$A$2:$A$9,0)),0)),IF(VLOOKUP($A270,Calendar!$A$1:$R$1377,18,0)=4,SUM(IFERROR(INDEX(Weekly_Model!$D$2:$D$9,MATCH(F270,Weekly_Model!$A$2:$A$9,0)),0),IFERROR(INDEX(Weekly_Model!$D$2:$D$9,MATCH(F271,Weekly_Model!$A$2:$A$9,0)),0),IFERROR(INDEX(Weekly_Model!$D$2:$D$9,MATCH(F272,Weekly_Model!$A$2:$A$9,0)),0),IFERROR(INDEX(Weekly_Model!$D$2:$D$9,MATCH(F273,Weekly_Model!$A$2:$A$9,0)),0)),IF(VLOOKUP($A270,Calendar!$A$1:$R$1377,18,0)=5,SUM(IFERROR(INDEX(Weekly_Model!$D$2:$D$9,MATCH(F270,Weekly_Model!$A$2:$A$9,0)),0),IFERROR(INDEX(Weekly_Model!$D$2:$D$9,MATCH(F271,Weekly_Model!$A$2:$A$9,0)),0),IFERROR(INDEX(Weekly_Model!$D$2:$D$9,MATCH(F272,Weekly_Model!$A$2:$A$9,0)),0),IFERROR(INDEX(Weekly_Model!$D$2:$D$9,MATCH(F273,Weekly_Model!$A$2:$A$9,0)),0),IFERROR(INDEX(Weekly_Model!$D$2:$D$9,MATCH(F274,Weekly_Model!$A$2:$A$9,0)),0)),0))))))</f>
        <v>2.3200000000000002E-2</v>
      </c>
      <c r="L270" s="27">
        <f>IF(VLOOKUP($A270,Calendar!$A$1:$R$1377,18,0)=0,0,IF(VLOOKUP($A270,Calendar!$A$1:$R$1377,18,0)=1,IFERROR(INDEX(Fortnightly_Model!$D$2:$D$15,MATCH(G270,Fortnightly_Model!$B$2:$B$15,0)),0),IF(VLOOKUP($A270,Calendar!$A$1:$R$1377,18,0)=2,SUM(IFERROR(INDEX(Fortnightly_Model!$D$2:$D$15,MATCH(G270,Fortnightly_Model!$B$2:$B$15,0)),0),IFERROR(INDEX(Fortnightly_Model!$D$2:$D$15,MATCH(G271,Fortnightly_Model!$B$2:$B$15,0)),0)),IF(VLOOKUP($A270,Calendar!$A$1:$R$1377,18,0)=3,SUM(IFERROR(INDEX(Fortnightly_Model!$D$2:$D$15,MATCH(G270,Fortnightly_Model!$B$2:$B$15,0)),0),IFERROR(INDEX(Fortnightly_Model!$D$2:$D$15,MATCH(G271,Fortnightly_Model!$B$2:$B$15,0)),0),IFERROR(INDEX(Fortnightly_Model!$D$2:$D$15,MATCH(G272,Fortnightly_Model!$B$2:$B$15,0)),0)),IF(VLOOKUP($A270,Calendar!$A$1:$R$1377,18,0)=4,SUM(IFERROR(INDEX(Fortnightly_Model!$D$2:$D$15,MATCH(G270,Fortnightly_Model!$B$2:$B$15,0)),0),IFERROR(INDEX(Fortnightly_Model!$D$2:$D$15,MATCH(G271,Fortnightly_Model!$B$2:$B$15,0)),0),IFERROR(INDEX(Fortnightly_Model!$D$2:$D$15,MATCH(G272,Fortnightly_Model!$B$2:$B$15,0)),0),IFERROR(INDEX(Fortnightly_Model!$D$2:$D$15,MATCH(G273,Fortnightly_Model!$B$2:$B$15,0)),0)),IF(VLOOKUP($A270,Calendar!$A$1:$R$1377,18,0)=5,SUM(IFERROR(INDEX(Fortnightly_Model!$D$2:$D$15,MATCH(G270,Fortnightly_Model!$B$2:$B$15,0)),0),IFERROR(INDEX(Fortnightly_Model!$D$2:$D$15,MATCH(G271,Fortnightly_Model!$B$2:$B$15,0)),0),IFERROR(INDEX(Fortnightly_Model!$D$2:$D$15,MATCH(G272,Fortnightly_Model!$B$2:$B$15,0)),0),IFERROR(INDEX(Fortnightly_Model!$D$2:$D$15,MATCH(G273,Fortnightly_Model!$B$2:$B$15,0)),0),IFERROR(INDEX(Fortnightly_Model!$D$2:$D$15,MATCH(G274,Fortnightly_Model!$B$2:$B$15,0)),0)),0))))))</f>
        <v>1.0714285499999999E-3</v>
      </c>
      <c r="M270" s="27">
        <f>IF(VLOOKUP($A270,Calendar!$A$1:$R$1377,18,0)=0,0,IF(VLOOKUP($A270,Calendar!$A$1:$R$1377,18,0)=1,IFERROR(INDEX(FourWeekly_Model!$D$2:$D$29,MATCH(H270,FourWeekly_Model!$B$2:$B$29,0)),0),IF(VLOOKUP($A270,Calendar!$A$1:$R$1377,18,0)=2,SUM(IFERROR(INDEX(FourWeekly_Model!$D$2:$D$29,MATCH(H270,FourWeekly_Model!$B$2:$B$29,0)),0),IFERROR(INDEX(FourWeekly_Model!$D$2:$D$29,MATCH(H271,FourWeekly_Model!$B$2:$B$29,0)),0)),IF(VLOOKUP($A270,Calendar!$A$1:$R$1377,18,0)=3,SUM(IFERROR(INDEX(FourWeekly_Model!$D$2:$D$29,MATCH(H270,FourWeekly_Model!$B$2:$B$29,0)),0),IFERROR(INDEX(FourWeekly_Model!$D$2:$D$29,MATCH(H271,FourWeekly_Model!$B$2:$B$29,0)),0),IFERROR(INDEX(FourWeekly_Model!$D$2:$D$29,MATCH(H272,FourWeekly_Model!$B$2:$B$29,0)),0)),IF(VLOOKUP($A270,Calendar!$A$1:$R$1377,18,0)=4,SUM(IFERROR(INDEX(FourWeekly_Model!$D$2:$D$29,MATCH(H270,FourWeekly_Model!$B$2:$B$29,0)),0),IFERROR(INDEX(FourWeekly_Model!$D$2:$D$29,MATCH(H271,FourWeekly_Model!$B$2:$B$29,0)),0),IFERROR(INDEX(FourWeekly_Model!$D$2:$D$29,MATCH(H272,FourWeekly_Model!$B$2:$B$29,0)),0),IFERROR(INDEX(FourWeekly_Model!$D$2:$D$29,MATCH(H273,FourWeekly_Model!$B$2:$B$29,0)),0)),IF(VLOOKUP($A270,Calendar!$A$1:$R$1377,18,0)=5,SUM(IFERROR(INDEX(FourWeekly_Model!$D$2:$D$29,MATCH(H270,FourWeekly_Model!$B$2:$B$29,0)),0),IFERROR(INDEX(FourWeekly_Model!$D$2:$D$29,MATCH(H271,FourWeekly_Model!$B$2:$B$29,0)),0),IFERROR(INDEX(FourWeekly_Model!$D$2:$D$29,MATCH(H272,FourWeekly_Model!$B$2:$B$29,0)),0),IFERROR(INDEX(FourWeekly_Model!$D$2:$D$29,MATCH(H273,FourWeekly_Model!$B$2:$B$29,0)),0),IFERROR(INDEX(FourWeekly_Model!$D$2:$D$29,MATCH(H274,FourWeekly_Model!$B$2:$B$29,0)),0)),0))))))</f>
        <v>3.3214289700000004E-3</v>
      </c>
      <c r="N270" s="27">
        <f>SUM(I270:M270)</f>
        <v>3.7343642860314136E-2</v>
      </c>
      <c r="O270" s="28">
        <f>Population_Data!$B$8*N270</f>
        <v>1131512.3786675183</v>
      </c>
      <c r="P270" s="27">
        <f>IF(VLOOKUP($A270,Calendar!$A$1:$R$1377,18,0)=0,0,IF(VLOOKUP($A270,Calendar!$A$1:$R$1377,18,0)=1,IFERROR(INDEX(Pension_Model!$D$2:$D$29,MATCH(H270,Pension_Model!$B$2:$B$29,0)),0),IF(VLOOKUP($A270,Calendar!$A$1:$R$1377,18,0)=2,SUM(IFERROR(INDEX(Pension_Model!$D$2:$D$29,MATCH(H270,Pension_Model!$B$2:$B$29,0)),0),IFERROR(INDEX(Pension_Model!$D$2:$D$29,MATCH(H271,Pension_Model!$B$2:$B$29,0)),0)),IF(VLOOKUP($A270,Calendar!$A$1:$R$1377,18,0)=3,SUM(IFERROR(INDEX(Pension_Model!$D$2:$D$29,MATCH(H270,Pension_Model!$B$2:$B$29,0)),0),IFERROR(INDEX(Pension_Model!$D$2:$D$29,MATCH(H271,Pension_Model!$B$2:$B$29,0)),0),IFERROR(INDEX(Pension_Model!$D$2:$D$29,MATCH(H272,Pension_Model!$B$2:$B$29,0)),0)),IF(VLOOKUP($A270,Calendar!$A$1:$R$1377,18,0)=4,SUM(IFERROR(INDEX(Pension_Model!$D$2:$D$29,MATCH(H270,Pension_Model!$B$2:$B$29,0)),0),IFERROR(INDEX(Pension_Model!$D$2:$D$29,MATCH(H271,Pension_Model!$B$2:$B$29,0)),0),IFERROR(INDEX(Pension_Model!$D$2:$D$29,MATCH(H272,Pension_Model!$B$2:$B$29,0)),0),IFERROR(INDEX(Pension_Model!$D$2:$D$29,MATCH(H273,Pension_Model!$B$2:$B$29,0)),0)),IF(VLOOKUP($A270,Calendar!$A$1:$R$1377,18,0)=5,SUM(IFERROR(INDEX(Pension_Model!$D$2:$D$29,MATCH(H270,Pension_Model!$B$2:$B$29,0)),0),IFERROR(INDEX(Pension_Model!$D$2:$D$29,MATCH(H271,Pension_Model!$B$2:$B$29,0)),0),IFERROR(INDEX(Pension_Model!$D$2:$D$29,MATCH(H272,Pension_Model!$B$2:$B$29,0)),0),IFERROR(INDEX(Pension_Model!$D$2:$D$29,MATCH(H273,Pension_Model!$B$2:$B$29,0)),0),IFERROR(INDEX(Pension_Model!$D$2:$D$29,MATCH(H274,Pension_Model!$B$2:$B$29,0)),0)),0))))))</f>
        <v>0.05</v>
      </c>
      <c r="Q270" s="28">
        <f>Population_Data!$B$15*P270</f>
        <v>660600</v>
      </c>
      <c r="S270">
        <f t="shared" si="4"/>
        <v>1792112.3786675183</v>
      </c>
      <c r="U270" s="33">
        <f>S270/Population_Data!$B$19</f>
        <v>3.2465803961368084E-2</v>
      </c>
    </row>
    <row r="271" spans="1:21">
      <c r="A271" s="25">
        <f>Calendar!A271</f>
        <v>46504</v>
      </c>
      <c r="B271" t="str">
        <f>Calendar!L271</f>
        <v>Yes</v>
      </c>
      <c r="C271" t="str">
        <f>Calendar!O271</f>
        <v>No</v>
      </c>
      <c r="D271" t="str">
        <f>Calendar!P271</f>
        <v>No</v>
      </c>
      <c r="E271" t="str">
        <f>Calendar!Q271</f>
        <v>No</v>
      </c>
      <c r="F271" t="str">
        <f>Calendar!I271</f>
        <v>Tuesday</v>
      </c>
      <c r="G271">
        <f>Calendar!S271</f>
        <v>10</v>
      </c>
      <c r="H271">
        <f>Calendar!T271</f>
        <v>24</v>
      </c>
      <c r="I271" s="27">
        <f>IF(VLOOKUP(A271,Calendar!$A$1:$R$1377,18,0)=0,0,IF(VLOOKUP(A271,Calendar!$A$1:$R$1377,18,0)=1,INDEX(Monthly_Pay_Model!$A$9:$D$40,MATCH(TEXT(A271,"dd"),Monthly_Pay_Model!$C$9:$C$39,0),4),IF(VLOOKUP(A271,Calendar!$A$1:$R$1377,18,0)=2,SUM(INDEX(Monthly_Pay_Model!$A$9:$D$40,MATCH(TEXT(A271,"dd"),Monthly_Pay_Model!$C$9:$C$39,0),4),INDEX(Monthly_Pay_Model!$A$9:$D$40,MATCH(TEXT(A272,"dd"),Monthly_Pay_Model!$C$9:$C$39,0),4)),IF(VLOOKUP(A271,Calendar!$A$1:$R$1377,18,0)=3,SUM(INDEX(Monthly_Pay_Model!$A$9:$D$40,MATCH(TEXT(A271,"dd"),Monthly_Pay_Model!$C$9:$C$39,0),4),INDEX(Monthly_Pay_Model!$A$9:$D$40,MATCH(TEXT(A272,"dd"),Monthly_Pay_Model!$C$9:$C$39,0),4),INDEX(Monthly_Pay_Model!$A$9:$D$40,MATCH(TEXT(A273,"dd"),Monthly_Pay_Model!$C$9:$C$39,0),4)),IF(VLOOKUP(A271,Calendar!$A$1:$R$1377,18,0)=4,SUM(INDEX(Monthly_Pay_Model!$A$9:$D$40,MATCH(TEXT(A271,"dd"),Monthly_Pay_Model!$C$9:$C$39,0),4),INDEX(Monthly_Pay_Model!$A$9:$D$40,MATCH(TEXT(A272,"dd"),Monthly_Pay_Model!$C$9:$C$39,0),4),INDEX(Monthly_Pay_Model!$A$9:$D$40,MATCH(TEXT(A273,"dd"),Monthly_Pay_Model!$C$9:$C$39,0),4),INDEX(Monthly_Pay_Model!$A$9:$D$40,MATCH(TEXT(A274,"dd"),Monthly_Pay_Model!$C$9:$C$39,0),4)),IF(VLOOKUP(A271,Calendar!$A$1:$R$1377,18,0)=5,SUM(INDEX(Monthly_Pay_Model!$A$9:$D$40,MATCH(TEXT(A271,"dd"),Monthly_Pay_Model!$C$9:$C$39,0),4),INDEX(Monthly_Pay_Model!$A$9:$D$40,MATCH(TEXT(A272,"dd"),Monthly_Pay_Model!$C$9:$C$39,0),4),INDEX(Monthly_Pay_Model!$A$9:$D$40,MATCH(TEXT(A273,"dd"),Monthly_Pay_Model!$C$9:$C$39,0),4),INDEX(Monthly_Pay_Model!$A$9:$D$40,MATCH(TEXT(A274,"dd"),Monthly_Pay_Model!$C$9:$C$39,0),4),INDEX(Monthly_Pay_Model!$A$9:$D$40,MATCH(TEXT(A275,"dd"),Monthly_Pay_Model!$C$9:$C$39,0),4)),))))))</f>
        <v>9.7507853403141324E-3</v>
      </c>
      <c r="J271" s="33">
        <f>IF(C271="Yes",Monthly_Pay_Model!$D$2,0)
+IF(Calendar!N271="Yes",Monthly_Pay_Model!$D$3,0)
+IF(D271="Yes",Monthly_Pay_Model!$D$4,0)
+IF(E271="Yes",Monthly_Pay_Model!$D$5,0)</f>
        <v>0</v>
      </c>
      <c r="K271" s="27">
        <f>IF(VLOOKUP($A271,Calendar!$A$1:$R$1377,18,0)=0,0,IF(VLOOKUP($A271,Calendar!$A$1:$R$1377,18,0)=1,IFERROR(INDEX(Weekly_Model!$D$2:$D$9,MATCH(F271,Weekly_Model!$A$2:$A$9,0)),0),IF(VLOOKUP($A271,Calendar!$A$1:$R$1377,18,0)=2,SUM(IFERROR(INDEX(Weekly_Model!$D$2:$D$9,MATCH(F271,Weekly_Model!$A$2:$A$9,0)),0),IFERROR(INDEX(Weekly_Model!$D$2:$D$9,MATCH(F272,Weekly_Model!$A$2:$A$9,0)),0)),IF(VLOOKUP($A271,Calendar!$A$1:$R$1377,18,0)=3,SUM(IFERROR(INDEX(Weekly_Model!$D$2:$D$9,MATCH(F271,Weekly_Model!$A$2:$A$9,0)),0),IFERROR(INDEX(Weekly_Model!$D$2:$D$9,MATCH(F272,Weekly_Model!$A$2:$A$9,0)),0),IFERROR(INDEX(Weekly_Model!$D$2:$D$9,MATCH(F273,Weekly_Model!$A$2:$A$9,0)),0)),IF(VLOOKUP($A271,Calendar!$A$1:$R$1377,18,0)=4,SUM(IFERROR(INDEX(Weekly_Model!$D$2:$D$9,MATCH(F271,Weekly_Model!$A$2:$A$9,0)),0),IFERROR(INDEX(Weekly_Model!$D$2:$D$9,MATCH(F272,Weekly_Model!$A$2:$A$9,0)),0),IFERROR(INDEX(Weekly_Model!$D$2:$D$9,MATCH(F273,Weekly_Model!$A$2:$A$9,0)),0),IFERROR(INDEX(Weekly_Model!$D$2:$D$9,MATCH(F274,Weekly_Model!$A$2:$A$9,0)),0)),IF(VLOOKUP($A271,Calendar!$A$1:$R$1377,18,0)=5,SUM(IFERROR(INDEX(Weekly_Model!$D$2:$D$9,MATCH(F271,Weekly_Model!$A$2:$A$9,0)),0),IFERROR(INDEX(Weekly_Model!$D$2:$D$9,MATCH(F272,Weekly_Model!$A$2:$A$9,0)),0),IFERROR(INDEX(Weekly_Model!$D$2:$D$9,MATCH(F273,Weekly_Model!$A$2:$A$9,0)),0),IFERROR(INDEX(Weekly_Model!$D$2:$D$9,MATCH(F274,Weekly_Model!$A$2:$A$9,0)),0),IFERROR(INDEX(Weekly_Model!$D$2:$D$9,MATCH(F275,Weekly_Model!$A$2:$A$9,0)),0)),0))))))</f>
        <v>2.3200000000000002E-2</v>
      </c>
      <c r="L271" s="27">
        <f>IF(VLOOKUP($A271,Calendar!$A$1:$R$1377,18,0)=0,0,IF(VLOOKUP($A271,Calendar!$A$1:$R$1377,18,0)=1,IFERROR(INDEX(Fortnightly_Model!$D$2:$D$15,MATCH(G271,Fortnightly_Model!$B$2:$B$15,0)),0),IF(VLOOKUP($A271,Calendar!$A$1:$R$1377,18,0)=2,SUM(IFERROR(INDEX(Fortnightly_Model!$D$2:$D$15,MATCH(G271,Fortnightly_Model!$B$2:$B$15,0)),0),IFERROR(INDEX(Fortnightly_Model!$D$2:$D$15,MATCH(G272,Fortnightly_Model!$B$2:$B$15,0)),0)),IF(VLOOKUP($A271,Calendar!$A$1:$R$1377,18,0)=3,SUM(IFERROR(INDEX(Fortnightly_Model!$D$2:$D$15,MATCH(G271,Fortnightly_Model!$B$2:$B$15,0)),0),IFERROR(INDEX(Fortnightly_Model!$D$2:$D$15,MATCH(G272,Fortnightly_Model!$B$2:$B$15,0)),0),IFERROR(INDEX(Fortnightly_Model!$D$2:$D$15,MATCH(G273,Fortnightly_Model!$B$2:$B$15,0)),0)),IF(VLOOKUP($A271,Calendar!$A$1:$R$1377,18,0)=4,SUM(IFERROR(INDEX(Fortnightly_Model!$D$2:$D$15,MATCH(G271,Fortnightly_Model!$B$2:$B$15,0)),0),IFERROR(INDEX(Fortnightly_Model!$D$2:$D$15,MATCH(G272,Fortnightly_Model!$B$2:$B$15,0)),0),IFERROR(INDEX(Fortnightly_Model!$D$2:$D$15,MATCH(G273,Fortnightly_Model!$B$2:$B$15,0)),0),IFERROR(INDEX(Fortnightly_Model!$D$2:$D$15,MATCH(G274,Fortnightly_Model!$B$2:$B$15,0)),0)),IF(VLOOKUP($A271,Calendar!$A$1:$R$1377,18,0)=5,SUM(IFERROR(INDEX(Fortnightly_Model!$D$2:$D$15,MATCH(G271,Fortnightly_Model!$B$2:$B$15,0)),0),IFERROR(INDEX(Fortnightly_Model!$D$2:$D$15,MATCH(G272,Fortnightly_Model!$B$2:$B$15,0)),0),IFERROR(INDEX(Fortnightly_Model!$D$2:$D$15,MATCH(G273,Fortnightly_Model!$B$2:$B$15,0)),0),IFERROR(INDEX(Fortnightly_Model!$D$2:$D$15,MATCH(G274,Fortnightly_Model!$B$2:$B$15,0)),0),IFERROR(INDEX(Fortnightly_Model!$D$2:$D$15,MATCH(G275,Fortnightly_Model!$B$2:$B$15,0)),0)),0))))))</f>
        <v>1.0714285499999999E-3</v>
      </c>
      <c r="M271" s="27">
        <f>IF(VLOOKUP($A271,Calendar!$A$1:$R$1377,18,0)=0,0,IF(VLOOKUP($A271,Calendar!$A$1:$R$1377,18,0)=1,IFERROR(INDEX(FourWeekly_Model!$D$2:$D$29,MATCH(H271,FourWeekly_Model!$B$2:$B$29,0)),0),IF(VLOOKUP($A271,Calendar!$A$1:$R$1377,18,0)=2,SUM(IFERROR(INDEX(FourWeekly_Model!$D$2:$D$29,MATCH(H271,FourWeekly_Model!$B$2:$B$29,0)),0),IFERROR(INDEX(FourWeekly_Model!$D$2:$D$29,MATCH(H272,FourWeekly_Model!$B$2:$B$29,0)),0)),IF(VLOOKUP($A271,Calendar!$A$1:$R$1377,18,0)=3,SUM(IFERROR(INDEX(FourWeekly_Model!$D$2:$D$29,MATCH(H271,FourWeekly_Model!$B$2:$B$29,0)),0),IFERROR(INDEX(FourWeekly_Model!$D$2:$D$29,MATCH(H272,FourWeekly_Model!$B$2:$B$29,0)),0),IFERROR(INDEX(FourWeekly_Model!$D$2:$D$29,MATCH(H273,FourWeekly_Model!$B$2:$B$29,0)),0)),IF(VLOOKUP($A271,Calendar!$A$1:$R$1377,18,0)=4,SUM(IFERROR(INDEX(FourWeekly_Model!$D$2:$D$29,MATCH(H271,FourWeekly_Model!$B$2:$B$29,0)),0),IFERROR(INDEX(FourWeekly_Model!$D$2:$D$29,MATCH(H272,FourWeekly_Model!$B$2:$B$29,0)),0),IFERROR(INDEX(FourWeekly_Model!$D$2:$D$29,MATCH(H273,FourWeekly_Model!$B$2:$B$29,0)),0),IFERROR(INDEX(FourWeekly_Model!$D$2:$D$29,MATCH(H274,FourWeekly_Model!$B$2:$B$29,0)),0)),IF(VLOOKUP($A271,Calendar!$A$1:$R$1377,18,0)=5,SUM(IFERROR(INDEX(FourWeekly_Model!$D$2:$D$29,MATCH(H271,FourWeekly_Model!$B$2:$B$29,0)),0),IFERROR(INDEX(FourWeekly_Model!$D$2:$D$29,MATCH(H272,FourWeekly_Model!$B$2:$B$29,0)),0),IFERROR(INDEX(FourWeekly_Model!$D$2:$D$29,MATCH(H273,FourWeekly_Model!$B$2:$B$29,0)),0),IFERROR(INDEX(FourWeekly_Model!$D$2:$D$29,MATCH(H274,FourWeekly_Model!$B$2:$B$29,0)),0),IFERROR(INDEX(FourWeekly_Model!$D$2:$D$29,MATCH(H275,FourWeekly_Model!$B$2:$B$29,0)),0)),0))))))</f>
        <v>3.3214289700000004E-3</v>
      </c>
      <c r="N271" s="27">
        <f>SUM(I271:M271)</f>
        <v>3.7343642860314136E-2</v>
      </c>
      <c r="O271" s="28">
        <f>Population_Data!$B$8*N271</f>
        <v>1131512.3786675183</v>
      </c>
      <c r="P271" s="27">
        <f>IF(VLOOKUP($A271,Calendar!$A$1:$R$1377,18,0)=0,0,IF(VLOOKUP($A271,Calendar!$A$1:$R$1377,18,0)=1,IFERROR(INDEX(Pension_Model!$D$2:$D$29,MATCH(H271,Pension_Model!$B$2:$B$29,0)),0),IF(VLOOKUP($A271,Calendar!$A$1:$R$1377,18,0)=2,SUM(IFERROR(INDEX(Pension_Model!$D$2:$D$29,MATCH(H271,Pension_Model!$B$2:$B$29,0)),0),IFERROR(INDEX(Pension_Model!$D$2:$D$29,MATCH(H272,Pension_Model!$B$2:$B$29,0)),0)),IF(VLOOKUP($A271,Calendar!$A$1:$R$1377,18,0)=3,SUM(IFERROR(INDEX(Pension_Model!$D$2:$D$29,MATCH(H271,Pension_Model!$B$2:$B$29,0)),0),IFERROR(INDEX(Pension_Model!$D$2:$D$29,MATCH(H272,Pension_Model!$B$2:$B$29,0)),0),IFERROR(INDEX(Pension_Model!$D$2:$D$29,MATCH(H273,Pension_Model!$B$2:$B$29,0)),0)),IF(VLOOKUP($A271,Calendar!$A$1:$R$1377,18,0)=4,SUM(IFERROR(INDEX(Pension_Model!$D$2:$D$29,MATCH(H271,Pension_Model!$B$2:$B$29,0)),0),IFERROR(INDEX(Pension_Model!$D$2:$D$29,MATCH(H272,Pension_Model!$B$2:$B$29,0)),0),IFERROR(INDEX(Pension_Model!$D$2:$D$29,MATCH(H273,Pension_Model!$B$2:$B$29,0)),0),IFERROR(INDEX(Pension_Model!$D$2:$D$29,MATCH(H274,Pension_Model!$B$2:$B$29,0)),0)),IF(VLOOKUP($A271,Calendar!$A$1:$R$1377,18,0)=5,SUM(IFERROR(INDEX(Pension_Model!$D$2:$D$29,MATCH(H271,Pension_Model!$B$2:$B$29,0)),0),IFERROR(INDEX(Pension_Model!$D$2:$D$29,MATCH(H272,Pension_Model!$B$2:$B$29,0)),0),IFERROR(INDEX(Pension_Model!$D$2:$D$29,MATCH(H273,Pension_Model!$B$2:$B$29,0)),0),IFERROR(INDEX(Pension_Model!$D$2:$D$29,MATCH(H274,Pension_Model!$B$2:$B$29,0)),0),IFERROR(INDEX(Pension_Model!$D$2:$D$29,MATCH(H275,Pension_Model!$B$2:$B$29,0)),0)),0))))))</f>
        <v>0.05</v>
      </c>
      <c r="Q271" s="28">
        <f>Population_Data!$B$15*P271</f>
        <v>660600</v>
      </c>
      <c r="S271">
        <f t="shared" si="4"/>
        <v>1792112.3786675183</v>
      </c>
      <c r="U271" s="33">
        <f>S271/Population_Data!$B$19</f>
        <v>3.2465803961368084E-2</v>
      </c>
    </row>
    <row r="272" spans="1:21">
      <c r="A272" s="25">
        <f>Calendar!A272</f>
        <v>46505</v>
      </c>
      <c r="B272" t="str">
        <f>Calendar!L272</f>
        <v>Yes</v>
      </c>
      <c r="C272" t="str">
        <f>Calendar!O272</f>
        <v>No</v>
      </c>
      <c r="D272" t="str">
        <f>Calendar!P272</f>
        <v>No</v>
      </c>
      <c r="E272" t="str">
        <f>Calendar!Q272</f>
        <v>No</v>
      </c>
      <c r="F272" t="str">
        <f>Calendar!I272</f>
        <v>Wednesday</v>
      </c>
      <c r="G272">
        <f>Calendar!S272</f>
        <v>11</v>
      </c>
      <c r="H272">
        <f>Calendar!T272</f>
        <v>25</v>
      </c>
      <c r="I272" s="27">
        <f>IF(VLOOKUP(A272,Calendar!$A$1:$R$1377,18,0)=0,0,IF(VLOOKUP(A272,Calendar!$A$1:$R$1377,18,0)=1,INDEX(Monthly_Pay_Model!$A$9:$D$40,MATCH(TEXT(A272,"dd"),Monthly_Pay_Model!$C$9:$C$39,0),4),IF(VLOOKUP(A272,Calendar!$A$1:$R$1377,18,0)=2,SUM(INDEX(Monthly_Pay_Model!$A$9:$D$40,MATCH(TEXT(A272,"dd"),Monthly_Pay_Model!$C$9:$C$39,0),4),INDEX(Monthly_Pay_Model!$A$9:$D$40,MATCH(TEXT(A273,"dd"),Monthly_Pay_Model!$C$9:$C$39,0),4)),IF(VLOOKUP(A272,Calendar!$A$1:$R$1377,18,0)=3,SUM(INDEX(Monthly_Pay_Model!$A$9:$D$40,MATCH(TEXT(A272,"dd"),Monthly_Pay_Model!$C$9:$C$39,0),4),INDEX(Monthly_Pay_Model!$A$9:$D$40,MATCH(TEXT(A273,"dd"),Monthly_Pay_Model!$C$9:$C$39,0),4),INDEX(Monthly_Pay_Model!$A$9:$D$40,MATCH(TEXT(A274,"dd"),Monthly_Pay_Model!$C$9:$C$39,0),4)),IF(VLOOKUP(A272,Calendar!$A$1:$R$1377,18,0)=4,SUM(INDEX(Monthly_Pay_Model!$A$9:$D$40,MATCH(TEXT(A272,"dd"),Monthly_Pay_Model!$C$9:$C$39,0),4),INDEX(Monthly_Pay_Model!$A$9:$D$40,MATCH(TEXT(A273,"dd"),Monthly_Pay_Model!$C$9:$C$39,0),4),INDEX(Monthly_Pay_Model!$A$9:$D$40,MATCH(TEXT(A274,"dd"),Monthly_Pay_Model!$C$9:$C$39,0),4),INDEX(Monthly_Pay_Model!$A$9:$D$40,MATCH(TEXT(A275,"dd"),Monthly_Pay_Model!$C$9:$C$39,0),4)),IF(VLOOKUP(A272,Calendar!$A$1:$R$1377,18,0)=5,SUM(INDEX(Monthly_Pay_Model!$A$9:$D$40,MATCH(TEXT(A272,"dd"),Monthly_Pay_Model!$C$9:$C$39,0),4),INDEX(Monthly_Pay_Model!$A$9:$D$40,MATCH(TEXT(A273,"dd"),Monthly_Pay_Model!$C$9:$C$39,0),4),INDEX(Monthly_Pay_Model!$A$9:$D$40,MATCH(TEXT(A274,"dd"),Monthly_Pay_Model!$C$9:$C$39,0),4),INDEX(Monthly_Pay_Model!$A$9:$D$40,MATCH(TEXT(A275,"dd"),Monthly_Pay_Model!$C$9:$C$39,0),4),INDEX(Monthly_Pay_Model!$A$9:$D$40,MATCH(TEXT(A276,"dd"),Monthly_Pay_Model!$C$9:$C$39,0),4)),))))))</f>
        <v>2.1126701570680625E-2</v>
      </c>
      <c r="J272" s="33">
        <f>IF(C272="Yes",Monthly_Pay_Model!$D$2,0)
+IF(Calendar!N272="Yes",Monthly_Pay_Model!$D$3,0)
+IF(D272="Yes",Monthly_Pay_Model!$D$4,0)
+IF(E272="Yes",Monthly_Pay_Model!$D$5,0)</f>
        <v>0</v>
      </c>
      <c r="K272" s="27">
        <f>IF(VLOOKUP($A272,Calendar!$A$1:$R$1377,18,0)=0,0,IF(VLOOKUP($A272,Calendar!$A$1:$R$1377,18,0)=1,IFERROR(INDEX(Weekly_Model!$D$2:$D$9,MATCH(F272,Weekly_Model!$A$2:$A$9,0)),0),IF(VLOOKUP($A272,Calendar!$A$1:$R$1377,18,0)=2,SUM(IFERROR(INDEX(Weekly_Model!$D$2:$D$9,MATCH(F272,Weekly_Model!$A$2:$A$9,0)),0),IFERROR(INDEX(Weekly_Model!$D$2:$D$9,MATCH(F273,Weekly_Model!$A$2:$A$9,0)),0)),IF(VLOOKUP($A272,Calendar!$A$1:$R$1377,18,0)=3,SUM(IFERROR(INDEX(Weekly_Model!$D$2:$D$9,MATCH(F272,Weekly_Model!$A$2:$A$9,0)),0),IFERROR(INDEX(Weekly_Model!$D$2:$D$9,MATCH(F273,Weekly_Model!$A$2:$A$9,0)),0),IFERROR(INDEX(Weekly_Model!$D$2:$D$9,MATCH(F274,Weekly_Model!$A$2:$A$9,0)),0)),IF(VLOOKUP($A272,Calendar!$A$1:$R$1377,18,0)=4,SUM(IFERROR(INDEX(Weekly_Model!$D$2:$D$9,MATCH(F272,Weekly_Model!$A$2:$A$9,0)),0),IFERROR(INDEX(Weekly_Model!$D$2:$D$9,MATCH(F273,Weekly_Model!$A$2:$A$9,0)),0),IFERROR(INDEX(Weekly_Model!$D$2:$D$9,MATCH(F274,Weekly_Model!$A$2:$A$9,0)),0),IFERROR(INDEX(Weekly_Model!$D$2:$D$9,MATCH(F275,Weekly_Model!$A$2:$A$9,0)),0)),IF(VLOOKUP($A272,Calendar!$A$1:$R$1377,18,0)=5,SUM(IFERROR(INDEX(Weekly_Model!$D$2:$D$9,MATCH(F272,Weekly_Model!$A$2:$A$9,0)),0),IFERROR(INDEX(Weekly_Model!$D$2:$D$9,MATCH(F273,Weekly_Model!$A$2:$A$9,0)),0),IFERROR(INDEX(Weekly_Model!$D$2:$D$9,MATCH(F274,Weekly_Model!$A$2:$A$9,0)),0),IFERROR(INDEX(Weekly_Model!$D$2:$D$9,MATCH(F275,Weekly_Model!$A$2:$A$9,0)),0),IFERROR(INDEX(Weekly_Model!$D$2:$D$9,MATCH(F276,Weekly_Model!$A$2:$A$9,0)),0)),0))))))</f>
        <v>2.3200000000000002E-2</v>
      </c>
      <c r="L272" s="27">
        <f>IF(VLOOKUP($A272,Calendar!$A$1:$R$1377,18,0)=0,0,IF(VLOOKUP($A272,Calendar!$A$1:$R$1377,18,0)=1,IFERROR(INDEX(Fortnightly_Model!$D$2:$D$15,MATCH(G272,Fortnightly_Model!$B$2:$B$15,0)),0),IF(VLOOKUP($A272,Calendar!$A$1:$R$1377,18,0)=2,SUM(IFERROR(INDEX(Fortnightly_Model!$D$2:$D$15,MATCH(G272,Fortnightly_Model!$B$2:$B$15,0)),0),IFERROR(INDEX(Fortnightly_Model!$D$2:$D$15,MATCH(G273,Fortnightly_Model!$B$2:$B$15,0)),0)),IF(VLOOKUP($A272,Calendar!$A$1:$R$1377,18,0)=3,SUM(IFERROR(INDEX(Fortnightly_Model!$D$2:$D$15,MATCH(G272,Fortnightly_Model!$B$2:$B$15,0)),0),IFERROR(INDEX(Fortnightly_Model!$D$2:$D$15,MATCH(G273,Fortnightly_Model!$B$2:$B$15,0)),0),IFERROR(INDEX(Fortnightly_Model!$D$2:$D$15,MATCH(G274,Fortnightly_Model!$B$2:$B$15,0)),0)),IF(VLOOKUP($A272,Calendar!$A$1:$R$1377,18,0)=4,SUM(IFERROR(INDEX(Fortnightly_Model!$D$2:$D$15,MATCH(G272,Fortnightly_Model!$B$2:$B$15,0)),0),IFERROR(INDEX(Fortnightly_Model!$D$2:$D$15,MATCH(G273,Fortnightly_Model!$B$2:$B$15,0)),0),IFERROR(INDEX(Fortnightly_Model!$D$2:$D$15,MATCH(G274,Fortnightly_Model!$B$2:$B$15,0)),0),IFERROR(INDEX(Fortnightly_Model!$D$2:$D$15,MATCH(G275,Fortnightly_Model!$B$2:$B$15,0)),0)),IF(VLOOKUP($A272,Calendar!$A$1:$R$1377,18,0)=5,SUM(IFERROR(INDEX(Fortnightly_Model!$D$2:$D$15,MATCH(G272,Fortnightly_Model!$B$2:$B$15,0)),0),IFERROR(INDEX(Fortnightly_Model!$D$2:$D$15,MATCH(G273,Fortnightly_Model!$B$2:$B$15,0)),0),IFERROR(INDEX(Fortnightly_Model!$D$2:$D$15,MATCH(G274,Fortnightly_Model!$B$2:$B$15,0)),0),IFERROR(INDEX(Fortnightly_Model!$D$2:$D$15,MATCH(G275,Fortnightly_Model!$B$2:$B$15,0)),0),IFERROR(INDEX(Fortnightly_Model!$D$2:$D$15,MATCH(G276,Fortnightly_Model!$B$2:$B$15,0)),0)),0))))))</f>
        <v>1.0714285499999999E-3</v>
      </c>
      <c r="M272" s="27">
        <f>IF(VLOOKUP($A272,Calendar!$A$1:$R$1377,18,0)=0,0,IF(VLOOKUP($A272,Calendar!$A$1:$R$1377,18,0)=1,IFERROR(INDEX(FourWeekly_Model!$D$2:$D$29,MATCH(H272,FourWeekly_Model!$B$2:$B$29,0)),0),IF(VLOOKUP($A272,Calendar!$A$1:$R$1377,18,0)=2,SUM(IFERROR(INDEX(FourWeekly_Model!$D$2:$D$29,MATCH(H272,FourWeekly_Model!$B$2:$B$29,0)),0),IFERROR(INDEX(FourWeekly_Model!$D$2:$D$29,MATCH(H273,FourWeekly_Model!$B$2:$B$29,0)),0)),IF(VLOOKUP($A272,Calendar!$A$1:$R$1377,18,0)=3,SUM(IFERROR(INDEX(FourWeekly_Model!$D$2:$D$29,MATCH(H272,FourWeekly_Model!$B$2:$B$29,0)),0),IFERROR(INDEX(FourWeekly_Model!$D$2:$D$29,MATCH(H273,FourWeekly_Model!$B$2:$B$29,0)),0),IFERROR(INDEX(FourWeekly_Model!$D$2:$D$29,MATCH(H274,FourWeekly_Model!$B$2:$B$29,0)),0)),IF(VLOOKUP($A272,Calendar!$A$1:$R$1377,18,0)=4,SUM(IFERROR(INDEX(FourWeekly_Model!$D$2:$D$29,MATCH(H272,FourWeekly_Model!$B$2:$B$29,0)),0),IFERROR(INDEX(FourWeekly_Model!$D$2:$D$29,MATCH(H273,FourWeekly_Model!$B$2:$B$29,0)),0),IFERROR(INDEX(FourWeekly_Model!$D$2:$D$29,MATCH(H274,FourWeekly_Model!$B$2:$B$29,0)),0),IFERROR(INDEX(FourWeekly_Model!$D$2:$D$29,MATCH(H275,FourWeekly_Model!$B$2:$B$29,0)),0)),IF(VLOOKUP($A272,Calendar!$A$1:$R$1377,18,0)=5,SUM(IFERROR(INDEX(FourWeekly_Model!$D$2:$D$29,MATCH(H272,FourWeekly_Model!$B$2:$B$29,0)),0),IFERROR(INDEX(FourWeekly_Model!$D$2:$D$29,MATCH(H273,FourWeekly_Model!$B$2:$B$29,0)),0),IFERROR(INDEX(FourWeekly_Model!$D$2:$D$29,MATCH(H274,FourWeekly_Model!$B$2:$B$29,0)),0),IFERROR(INDEX(FourWeekly_Model!$D$2:$D$29,MATCH(H275,FourWeekly_Model!$B$2:$B$29,0)),0),IFERROR(INDEX(FourWeekly_Model!$D$2:$D$29,MATCH(H276,FourWeekly_Model!$B$2:$B$29,0)),0)),0))))))</f>
        <v>3.3214289700000004E-3</v>
      </c>
      <c r="N272" s="27">
        <f>SUM(I272:M272)</f>
        <v>4.8719559090680625E-2</v>
      </c>
      <c r="O272" s="28">
        <f>Population_Data!$B$8*N272</f>
        <v>1476202.6404476229</v>
      </c>
      <c r="P272" s="27">
        <f>IF(VLOOKUP($A272,Calendar!$A$1:$R$1377,18,0)=0,0,IF(VLOOKUP($A272,Calendar!$A$1:$R$1377,18,0)=1,IFERROR(INDEX(Pension_Model!$D$2:$D$29,MATCH(H272,Pension_Model!$B$2:$B$29,0)),0),IF(VLOOKUP($A272,Calendar!$A$1:$R$1377,18,0)=2,SUM(IFERROR(INDEX(Pension_Model!$D$2:$D$29,MATCH(H272,Pension_Model!$B$2:$B$29,0)),0),IFERROR(INDEX(Pension_Model!$D$2:$D$29,MATCH(H273,Pension_Model!$B$2:$B$29,0)),0)),IF(VLOOKUP($A272,Calendar!$A$1:$R$1377,18,0)=3,SUM(IFERROR(INDEX(Pension_Model!$D$2:$D$29,MATCH(H272,Pension_Model!$B$2:$B$29,0)),0),IFERROR(INDEX(Pension_Model!$D$2:$D$29,MATCH(H273,Pension_Model!$B$2:$B$29,0)),0),IFERROR(INDEX(Pension_Model!$D$2:$D$29,MATCH(H274,Pension_Model!$B$2:$B$29,0)),0)),IF(VLOOKUP($A272,Calendar!$A$1:$R$1377,18,0)=4,SUM(IFERROR(INDEX(Pension_Model!$D$2:$D$29,MATCH(H272,Pension_Model!$B$2:$B$29,0)),0),IFERROR(INDEX(Pension_Model!$D$2:$D$29,MATCH(H273,Pension_Model!$B$2:$B$29,0)),0),IFERROR(INDEX(Pension_Model!$D$2:$D$29,MATCH(H274,Pension_Model!$B$2:$B$29,0)),0),IFERROR(INDEX(Pension_Model!$D$2:$D$29,MATCH(H275,Pension_Model!$B$2:$B$29,0)),0)),IF(VLOOKUP($A272,Calendar!$A$1:$R$1377,18,0)=5,SUM(IFERROR(INDEX(Pension_Model!$D$2:$D$29,MATCH(H272,Pension_Model!$B$2:$B$29,0)),0),IFERROR(INDEX(Pension_Model!$D$2:$D$29,MATCH(H273,Pension_Model!$B$2:$B$29,0)),0),IFERROR(INDEX(Pension_Model!$D$2:$D$29,MATCH(H274,Pension_Model!$B$2:$B$29,0)),0),IFERROR(INDEX(Pension_Model!$D$2:$D$29,MATCH(H275,Pension_Model!$B$2:$B$29,0)),0),IFERROR(INDEX(Pension_Model!$D$2:$D$29,MATCH(H276,Pension_Model!$B$2:$B$29,0)),0)),0))))))</f>
        <v>0.05</v>
      </c>
      <c r="Q272" s="28">
        <f>Population_Data!$B$15*P272</f>
        <v>660600</v>
      </c>
      <c r="S272">
        <f t="shared" si="4"/>
        <v>2136802.6404476231</v>
      </c>
      <c r="U272" s="33">
        <f>S272/Population_Data!$B$19</f>
        <v>3.87101927617323E-2</v>
      </c>
    </row>
    <row r="273" spans="1:21">
      <c r="A273" s="25">
        <f>Calendar!A273</f>
        <v>46506</v>
      </c>
      <c r="B273" t="str">
        <f>Calendar!L273</f>
        <v>Yes</v>
      </c>
      <c r="C273" t="str">
        <f>Calendar!O273</f>
        <v>No</v>
      </c>
      <c r="D273" t="str">
        <f>Calendar!P273</f>
        <v>No</v>
      </c>
      <c r="E273" t="str">
        <f>Calendar!Q273</f>
        <v>Yes</v>
      </c>
      <c r="F273" t="str">
        <f>Calendar!I273</f>
        <v>Thursday</v>
      </c>
      <c r="G273">
        <f>Calendar!S273</f>
        <v>12</v>
      </c>
      <c r="H273">
        <f>Calendar!T273</f>
        <v>26</v>
      </c>
      <c r="I273" s="27">
        <f>IF(VLOOKUP(A273,Calendar!$A$1:$R$1377,18,0)=0,0,IF(VLOOKUP(A273,Calendar!$A$1:$R$1377,18,0)=1,INDEX(Monthly_Pay_Model!$A$9:$D$40,MATCH(TEXT(A273,"dd"),Monthly_Pay_Model!$C$9:$C$39,0),4),IF(VLOOKUP(A273,Calendar!$A$1:$R$1377,18,0)=2,SUM(INDEX(Monthly_Pay_Model!$A$9:$D$40,MATCH(TEXT(A273,"dd"),Monthly_Pay_Model!$C$9:$C$39,0),4),INDEX(Monthly_Pay_Model!$A$9:$D$40,MATCH(TEXT(A274,"dd"),Monthly_Pay_Model!$C$9:$C$39,0),4)),IF(VLOOKUP(A273,Calendar!$A$1:$R$1377,18,0)=3,SUM(INDEX(Monthly_Pay_Model!$A$9:$D$40,MATCH(TEXT(A273,"dd"),Monthly_Pay_Model!$C$9:$C$39,0),4),INDEX(Monthly_Pay_Model!$A$9:$D$40,MATCH(TEXT(A274,"dd"),Monthly_Pay_Model!$C$9:$C$39,0),4),INDEX(Monthly_Pay_Model!$A$9:$D$40,MATCH(TEXT(A275,"dd"),Monthly_Pay_Model!$C$9:$C$39,0),4)),IF(VLOOKUP(A273,Calendar!$A$1:$R$1377,18,0)=4,SUM(INDEX(Monthly_Pay_Model!$A$9:$D$40,MATCH(TEXT(A273,"dd"),Monthly_Pay_Model!$C$9:$C$39,0),4),INDEX(Monthly_Pay_Model!$A$9:$D$40,MATCH(TEXT(A274,"dd"),Monthly_Pay_Model!$C$9:$C$39,0),4),INDEX(Monthly_Pay_Model!$A$9:$D$40,MATCH(TEXT(A275,"dd"),Monthly_Pay_Model!$C$9:$C$39,0),4),INDEX(Monthly_Pay_Model!$A$9:$D$40,MATCH(TEXT(A276,"dd"),Monthly_Pay_Model!$C$9:$C$39,0),4)),IF(VLOOKUP(A273,Calendar!$A$1:$R$1377,18,0)=5,SUM(INDEX(Monthly_Pay_Model!$A$9:$D$40,MATCH(TEXT(A273,"dd"),Monthly_Pay_Model!$C$9:$C$39,0),4),INDEX(Monthly_Pay_Model!$A$9:$D$40,MATCH(TEXT(A274,"dd"),Monthly_Pay_Model!$C$9:$C$39,0),4),INDEX(Monthly_Pay_Model!$A$9:$D$40,MATCH(TEXT(A275,"dd"),Monthly_Pay_Model!$C$9:$C$39,0),4),INDEX(Monthly_Pay_Model!$A$9:$D$40,MATCH(TEXT(A276,"dd"),Monthly_Pay_Model!$C$9:$C$39,0),4),INDEX(Monthly_Pay_Model!$A$9:$D$40,MATCH(TEXT(A277,"dd"),Monthly_Pay_Model!$C$9:$C$39,0),4)),))))))</f>
        <v>4.0628272251308894E-3</v>
      </c>
      <c r="J273" s="33">
        <f>IF(C273="Yes",Monthly_Pay_Model!$D$2,0)
+IF(Calendar!N273="Yes",Monthly_Pay_Model!$D$3,0)
+IF(D273="Yes",Monthly_Pay_Model!$D$4,0)
+IF(E273="Yes",Monthly_Pay_Model!$D$5,0)</f>
        <v>5.4320000000000007E-2</v>
      </c>
      <c r="K273" s="27">
        <f>IF(VLOOKUP($A273,Calendar!$A$1:$R$1377,18,0)=0,0,IF(VLOOKUP($A273,Calendar!$A$1:$R$1377,18,0)=1,IFERROR(INDEX(Weekly_Model!$D$2:$D$9,MATCH(F273,Weekly_Model!$A$2:$A$9,0)),0),IF(VLOOKUP($A273,Calendar!$A$1:$R$1377,18,0)=2,SUM(IFERROR(INDEX(Weekly_Model!$D$2:$D$9,MATCH(F273,Weekly_Model!$A$2:$A$9,0)),0),IFERROR(INDEX(Weekly_Model!$D$2:$D$9,MATCH(F274,Weekly_Model!$A$2:$A$9,0)),0)),IF(VLOOKUP($A273,Calendar!$A$1:$R$1377,18,0)=3,SUM(IFERROR(INDEX(Weekly_Model!$D$2:$D$9,MATCH(F273,Weekly_Model!$A$2:$A$9,0)),0),IFERROR(INDEX(Weekly_Model!$D$2:$D$9,MATCH(F274,Weekly_Model!$A$2:$A$9,0)),0),IFERROR(INDEX(Weekly_Model!$D$2:$D$9,MATCH(F275,Weekly_Model!$A$2:$A$9,0)),0)),IF(VLOOKUP($A273,Calendar!$A$1:$R$1377,18,0)=4,SUM(IFERROR(INDEX(Weekly_Model!$D$2:$D$9,MATCH(F273,Weekly_Model!$A$2:$A$9,0)),0),IFERROR(INDEX(Weekly_Model!$D$2:$D$9,MATCH(F274,Weekly_Model!$A$2:$A$9,0)),0),IFERROR(INDEX(Weekly_Model!$D$2:$D$9,MATCH(F275,Weekly_Model!$A$2:$A$9,0)),0),IFERROR(INDEX(Weekly_Model!$D$2:$D$9,MATCH(F276,Weekly_Model!$A$2:$A$9,0)),0)),IF(VLOOKUP($A273,Calendar!$A$1:$R$1377,18,0)=5,SUM(IFERROR(INDEX(Weekly_Model!$D$2:$D$9,MATCH(F273,Weekly_Model!$A$2:$A$9,0)),0),IFERROR(INDEX(Weekly_Model!$D$2:$D$9,MATCH(F274,Weekly_Model!$A$2:$A$9,0)),0),IFERROR(INDEX(Weekly_Model!$D$2:$D$9,MATCH(F275,Weekly_Model!$A$2:$A$9,0)),0),IFERROR(INDEX(Weekly_Model!$D$2:$D$9,MATCH(F276,Weekly_Model!$A$2:$A$9,0)),0),IFERROR(INDEX(Weekly_Model!$D$2:$D$9,MATCH(F277,Weekly_Model!$A$2:$A$9,0)),0)),0))))))</f>
        <v>2.3200000000000002E-2</v>
      </c>
      <c r="L273" s="27">
        <f>IF(VLOOKUP($A273,Calendar!$A$1:$R$1377,18,0)=0,0,IF(VLOOKUP($A273,Calendar!$A$1:$R$1377,18,0)=1,IFERROR(INDEX(Fortnightly_Model!$D$2:$D$15,MATCH(G273,Fortnightly_Model!$B$2:$B$15,0)),0),IF(VLOOKUP($A273,Calendar!$A$1:$R$1377,18,0)=2,SUM(IFERROR(INDEX(Fortnightly_Model!$D$2:$D$15,MATCH(G273,Fortnightly_Model!$B$2:$B$15,0)),0),IFERROR(INDEX(Fortnightly_Model!$D$2:$D$15,MATCH(G274,Fortnightly_Model!$B$2:$B$15,0)),0)),IF(VLOOKUP($A273,Calendar!$A$1:$R$1377,18,0)=3,SUM(IFERROR(INDEX(Fortnightly_Model!$D$2:$D$15,MATCH(G273,Fortnightly_Model!$B$2:$B$15,0)),0),IFERROR(INDEX(Fortnightly_Model!$D$2:$D$15,MATCH(G274,Fortnightly_Model!$B$2:$B$15,0)),0),IFERROR(INDEX(Fortnightly_Model!$D$2:$D$15,MATCH(G275,Fortnightly_Model!$B$2:$B$15,0)),0)),IF(VLOOKUP($A273,Calendar!$A$1:$R$1377,18,0)=4,SUM(IFERROR(INDEX(Fortnightly_Model!$D$2:$D$15,MATCH(G273,Fortnightly_Model!$B$2:$B$15,0)),0),IFERROR(INDEX(Fortnightly_Model!$D$2:$D$15,MATCH(G274,Fortnightly_Model!$B$2:$B$15,0)),0),IFERROR(INDEX(Fortnightly_Model!$D$2:$D$15,MATCH(G275,Fortnightly_Model!$B$2:$B$15,0)),0),IFERROR(INDEX(Fortnightly_Model!$D$2:$D$15,MATCH(G276,Fortnightly_Model!$B$2:$B$15,0)),0)),IF(VLOOKUP($A273,Calendar!$A$1:$R$1377,18,0)=5,SUM(IFERROR(INDEX(Fortnightly_Model!$D$2:$D$15,MATCH(G273,Fortnightly_Model!$B$2:$B$15,0)),0),IFERROR(INDEX(Fortnightly_Model!$D$2:$D$15,MATCH(G274,Fortnightly_Model!$B$2:$B$15,0)),0),IFERROR(INDEX(Fortnightly_Model!$D$2:$D$15,MATCH(G275,Fortnightly_Model!$B$2:$B$15,0)),0),IFERROR(INDEX(Fortnightly_Model!$D$2:$D$15,MATCH(G276,Fortnightly_Model!$B$2:$B$15,0)),0),IFERROR(INDEX(Fortnightly_Model!$D$2:$D$15,MATCH(G277,Fortnightly_Model!$B$2:$B$15,0)),0)),0))))))</f>
        <v>1.0714285499999999E-3</v>
      </c>
      <c r="M273" s="27">
        <f>IF(VLOOKUP($A273,Calendar!$A$1:$R$1377,18,0)=0,0,IF(VLOOKUP($A273,Calendar!$A$1:$R$1377,18,0)=1,IFERROR(INDEX(FourWeekly_Model!$D$2:$D$29,MATCH(H273,FourWeekly_Model!$B$2:$B$29,0)),0),IF(VLOOKUP($A273,Calendar!$A$1:$R$1377,18,0)=2,SUM(IFERROR(INDEX(FourWeekly_Model!$D$2:$D$29,MATCH(H273,FourWeekly_Model!$B$2:$B$29,0)),0),IFERROR(INDEX(FourWeekly_Model!$D$2:$D$29,MATCH(H274,FourWeekly_Model!$B$2:$B$29,0)),0)),IF(VLOOKUP($A273,Calendar!$A$1:$R$1377,18,0)=3,SUM(IFERROR(INDEX(FourWeekly_Model!$D$2:$D$29,MATCH(H273,FourWeekly_Model!$B$2:$B$29,0)),0),IFERROR(INDEX(FourWeekly_Model!$D$2:$D$29,MATCH(H274,FourWeekly_Model!$B$2:$B$29,0)),0),IFERROR(INDEX(FourWeekly_Model!$D$2:$D$29,MATCH(H275,FourWeekly_Model!$B$2:$B$29,0)),0)),IF(VLOOKUP($A273,Calendar!$A$1:$R$1377,18,0)=4,SUM(IFERROR(INDEX(FourWeekly_Model!$D$2:$D$29,MATCH(H273,FourWeekly_Model!$B$2:$B$29,0)),0),IFERROR(INDEX(FourWeekly_Model!$D$2:$D$29,MATCH(H274,FourWeekly_Model!$B$2:$B$29,0)),0),IFERROR(INDEX(FourWeekly_Model!$D$2:$D$29,MATCH(H275,FourWeekly_Model!$B$2:$B$29,0)),0),IFERROR(INDEX(FourWeekly_Model!$D$2:$D$29,MATCH(H276,FourWeekly_Model!$B$2:$B$29,0)),0)),IF(VLOOKUP($A273,Calendar!$A$1:$R$1377,18,0)=5,SUM(IFERROR(INDEX(FourWeekly_Model!$D$2:$D$29,MATCH(H273,FourWeekly_Model!$B$2:$B$29,0)),0),IFERROR(INDEX(FourWeekly_Model!$D$2:$D$29,MATCH(H274,FourWeekly_Model!$B$2:$B$29,0)),0),IFERROR(INDEX(FourWeekly_Model!$D$2:$D$29,MATCH(H275,FourWeekly_Model!$B$2:$B$29,0)),0),IFERROR(INDEX(FourWeekly_Model!$D$2:$D$29,MATCH(H276,FourWeekly_Model!$B$2:$B$29,0)),0),IFERROR(INDEX(FourWeekly_Model!$D$2:$D$29,MATCH(H277,FourWeekly_Model!$B$2:$B$29,0)),0)),0))))))</f>
        <v>3.3214289700000004E-3</v>
      </c>
      <c r="N273" s="27">
        <f>SUM(I273:M273)</f>
        <v>8.5975684745130898E-2</v>
      </c>
      <c r="O273" s="28">
        <f>Population_Data!$B$8*N273</f>
        <v>2605063.2477774662</v>
      </c>
      <c r="P273" s="27">
        <f>IF(VLOOKUP($A273,Calendar!$A$1:$R$1377,18,0)=0,0,IF(VLOOKUP($A273,Calendar!$A$1:$R$1377,18,0)=1,IFERROR(INDEX(Pension_Model!$D$2:$D$29,MATCH(H273,Pension_Model!$B$2:$B$29,0)),0),IF(VLOOKUP($A273,Calendar!$A$1:$R$1377,18,0)=2,SUM(IFERROR(INDEX(Pension_Model!$D$2:$D$29,MATCH(H273,Pension_Model!$B$2:$B$29,0)),0),IFERROR(INDEX(Pension_Model!$D$2:$D$29,MATCH(H274,Pension_Model!$B$2:$B$29,0)),0)),IF(VLOOKUP($A273,Calendar!$A$1:$R$1377,18,0)=3,SUM(IFERROR(INDEX(Pension_Model!$D$2:$D$29,MATCH(H273,Pension_Model!$B$2:$B$29,0)),0),IFERROR(INDEX(Pension_Model!$D$2:$D$29,MATCH(H274,Pension_Model!$B$2:$B$29,0)),0),IFERROR(INDEX(Pension_Model!$D$2:$D$29,MATCH(H275,Pension_Model!$B$2:$B$29,0)),0)),IF(VLOOKUP($A273,Calendar!$A$1:$R$1377,18,0)=4,SUM(IFERROR(INDEX(Pension_Model!$D$2:$D$29,MATCH(H273,Pension_Model!$B$2:$B$29,0)),0),IFERROR(INDEX(Pension_Model!$D$2:$D$29,MATCH(H274,Pension_Model!$B$2:$B$29,0)),0),IFERROR(INDEX(Pension_Model!$D$2:$D$29,MATCH(H275,Pension_Model!$B$2:$B$29,0)),0),IFERROR(INDEX(Pension_Model!$D$2:$D$29,MATCH(H276,Pension_Model!$B$2:$B$29,0)),0)),IF(VLOOKUP($A273,Calendar!$A$1:$R$1377,18,0)=5,SUM(IFERROR(INDEX(Pension_Model!$D$2:$D$29,MATCH(H273,Pension_Model!$B$2:$B$29,0)),0),IFERROR(INDEX(Pension_Model!$D$2:$D$29,MATCH(H274,Pension_Model!$B$2:$B$29,0)),0),IFERROR(INDEX(Pension_Model!$D$2:$D$29,MATCH(H275,Pension_Model!$B$2:$B$29,0)),0),IFERROR(INDEX(Pension_Model!$D$2:$D$29,MATCH(H276,Pension_Model!$B$2:$B$29,0)),0),IFERROR(INDEX(Pension_Model!$D$2:$D$29,MATCH(H277,Pension_Model!$B$2:$B$29,0)),0)),0))))))</f>
        <v>0.05</v>
      </c>
      <c r="Q273" s="28">
        <f>Population_Data!$B$15*P273</f>
        <v>660600</v>
      </c>
      <c r="S273">
        <f t="shared" si="4"/>
        <v>3265663.2477774662</v>
      </c>
      <c r="U273" s="33">
        <f>S273/Population_Data!$B$19</f>
        <v>5.9160566082925109E-2</v>
      </c>
    </row>
    <row r="274" spans="1:21">
      <c r="A274" s="25">
        <f>Calendar!A274</f>
        <v>46507</v>
      </c>
      <c r="B274" t="str">
        <f>Calendar!L274</f>
        <v>Yes</v>
      </c>
      <c r="C274" t="str">
        <f>Calendar!O274</f>
        <v>Yes</v>
      </c>
      <c r="D274" t="str">
        <f>Calendar!P274</f>
        <v>Yes</v>
      </c>
      <c r="E274" t="str">
        <f>Calendar!Q274</f>
        <v>No</v>
      </c>
      <c r="F274" t="str">
        <f>Calendar!I274</f>
        <v>Friday</v>
      </c>
      <c r="G274">
        <f>Calendar!S274</f>
        <v>13</v>
      </c>
      <c r="H274">
        <f>Calendar!T274</f>
        <v>27</v>
      </c>
      <c r="I274" s="27">
        <f>IF(VLOOKUP(A274,Calendar!$A$1:$R$1377,18,0)=0,0,IF(VLOOKUP(A274,Calendar!$A$1:$R$1377,18,0)=1,INDEX(Monthly_Pay_Model!$A$9:$D$40,MATCH(TEXT(A274,"dd"),Monthly_Pay_Model!$C$9:$C$39,0),4),IF(VLOOKUP(A274,Calendar!$A$1:$R$1377,18,0)=2,SUM(INDEX(Monthly_Pay_Model!$A$9:$D$40,MATCH(TEXT(A274,"dd"),Monthly_Pay_Model!$C$9:$C$39,0),4),INDEX(Monthly_Pay_Model!$A$9:$D$40,MATCH(TEXT(A275,"dd"),Monthly_Pay_Model!$C$9:$C$39,0),4)),IF(VLOOKUP(A274,Calendar!$A$1:$R$1377,18,0)=3,SUM(INDEX(Monthly_Pay_Model!$A$9:$D$40,MATCH(TEXT(A274,"dd"),Monthly_Pay_Model!$C$9:$C$39,0),4),INDEX(Monthly_Pay_Model!$A$9:$D$40,MATCH(TEXT(A275,"dd"),Monthly_Pay_Model!$C$9:$C$39,0),4),INDEX(Monthly_Pay_Model!$A$9:$D$40,MATCH(TEXT(A276,"dd"),Monthly_Pay_Model!$C$9:$C$39,0),4)),IF(VLOOKUP(A274,Calendar!$A$1:$R$1377,18,0)=4,SUM(INDEX(Monthly_Pay_Model!$A$9:$D$40,MATCH(TEXT(A274,"dd"),Monthly_Pay_Model!$C$9:$C$39,0),4),INDEX(Monthly_Pay_Model!$A$9:$D$40,MATCH(TEXT(A275,"dd"),Monthly_Pay_Model!$C$9:$C$39,0),4),INDEX(Monthly_Pay_Model!$A$9:$D$40,MATCH(TEXT(A276,"dd"),Monthly_Pay_Model!$C$9:$C$39,0),4),INDEX(Monthly_Pay_Model!$A$9:$D$40,MATCH(TEXT(A277,"dd"),Monthly_Pay_Model!$C$9:$C$39,0),4)),IF(VLOOKUP(A274,Calendar!$A$1:$R$1377,18,0)=5,SUM(INDEX(Monthly_Pay_Model!$A$9:$D$40,MATCH(TEXT(A274,"dd"),Monthly_Pay_Model!$C$9:$C$39,0),4),INDEX(Monthly_Pay_Model!$A$9:$D$40,MATCH(TEXT(A275,"dd"),Monthly_Pay_Model!$C$9:$C$39,0),4),INDEX(Monthly_Pay_Model!$A$9:$D$40,MATCH(TEXT(A276,"dd"),Monthly_Pay_Model!$C$9:$C$39,0),4),INDEX(Monthly_Pay_Model!$A$9:$D$40,MATCH(TEXT(A277,"dd"),Monthly_Pay_Model!$C$9:$C$39,0),4),INDEX(Monthly_Pay_Model!$A$9:$D$40,MATCH(TEXT(A278,"dd"),Monthly_Pay_Model!$C$9:$C$39,0),4)),))))))</f>
        <v>1.0563350785340313E-2</v>
      </c>
      <c r="J274" s="33">
        <f>IF(C274="Yes",Monthly_Pay_Model!$D$2,0)
+IF(Calendar!N274="Yes",Monthly_Pay_Model!$D$3,0)
+IF(D274="Yes",Monthly_Pay_Model!$D$4,0)
+IF(E274="Yes",Monthly_Pay_Model!$D$5,0)</f>
        <v>0.56647999999999998</v>
      </c>
      <c r="K274" s="27">
        <f>IF(VLOOKUP($A274,Calendar!$A$1:$R$1377,18,0)=0,0,IF(VLOOKUP($A274,Calendar!$A$1:$R$1377,18,0)=1,IFERROR(INDEX(Weekly_Model!$D$2:$D$9,MATCH(F274,Weekly_Model!$A$2:$A$9,0)),0),IF(VLOOKUP($A274,Calendar!$A$1:$R$1377,18,0)=2,SUM(IFERROR(INDEX(Weekly_Model!$D$2:$D$9,MATCH(F274,Weekly_Model!$A$2:$A$9,0)),0),IFERROR(INDEX(Weekly_Model!$D$2:$D$9,MATCH(F275,Weekly_Model!$A$2:$A$9,0)),0)),IF(VLOOKUP($A274,Calendar!$A$1:$R$1377,18,0)=3,SUM(IFERROR(INDEX(Weekly_Model!$D$2:$D$9,MATCH(F274,Weekly_Model!$A$2:$A$9,0)),0),IFERROR(INDEX(Weekly_Model!$D$2:$D$9,MATCH(F275,Weekly_Model!$A$2:$A$9,0)),0),IFERROR(INDEX(Weekly_Model!$D$2:$D$9,MATCH(F276,Weekly_Model!$A$2:$A$9,0)),0)),IF(VLOOKUP($A274,Calendar!$A$1:$R$1377,18,0)=4,SUM(IFERROR(INDEX(Weekly_Model!$D$2:$D$9,MATCH(F274,Weekly_Model!$A$2:$A$9,0)),0),IFERROR(INDEX(Weekly_Model!$D$2:$D$9,MATCH(F275,Weekly_Model!$A$2:$A$9,0)),0),IFERROR(INDEX(Weekly_Model!$D$2:$D$9,MATCH(F276,Weekly_Model!$A$2:$A$9,0)),0),IFERROR(INDEX(Weekly_Model!$D$2:$D$9,MATCH(F277,Weekly_Model!$A$2:$A$9,0)),0)),IF(VLOOKUP($A274,Calendar!$A$1:$R$1377,18,0)=5,SUM(IFERROR(INDEX(Weekly_Model!$D$2:$D$9,MATCH(F274,Weekly_Model!$A$2:$A$9,0)),0),IFERROR(INDEX(Weekly_Model!$D$2:$D$9,MATCH(F275,Weekly_Model!$A$2:$A$9,0)),0),IFERROR(INDEX(Weekly_Model!$D$2:$D$9,MATCH(F276,Weekly_Model!$A$2:$A$9,0)),0),IFERROR(INDEX(Weekly_Model!$D$2:$D$9,MATCH(F277,Weekly_Model!$A$2:$A$9,0)),0),IFERROR(INDEX(Weekly_Model!$D$2:$D$9,MATCH(F278,Weekly_Model!$A$2:$A$9,0)),0)),0))))))</f>
        <v>4.6400000000000004E-2</v>
      </c>
      <c r="L274" s="27">
        <f>IF(VLOOKUP($A274,Calendar!$A$1:$R$1377,18,0)=0,0,IF(VLOOKUP($A274,Calendar!$A$1:$R$1377,18,0)=1,IFERROR(INDEX(Fortnightly_Model!$D$2:$D$15,MATCH(G274,Fortnightly_Model!$B$2:$B$15,0)),0),IF(VLOOKUP($A274,Calendar!$A$1:$R$1377,18,0)=2,SUM(IFERROR(INDEX(Fortnightly_Model!$D$2:$D$15,MATCH(G274,Fortnightly_Model!$B$2:$B$15,0)),0),IFERROR(INDEX(Fortnightly_Model!$D$2:$D$15,MATCH(G275,Fortnightly_Model!$B$2:$B$15,0)),0)),IF(VLOOKUP($A274,Calendar!$A$1:$R$1377,18,0)=3,SUM(IFERROR(INDEX(Fortnightly_Model!$D$2:$D$15,MATCH(G274,Fortnightly_Model!$B$2:$B$15,0)),0),IFERROR(INDEX(Fortnightly_Model!$D$2:$D$15,MATCH(G275,Fortnightly_Model!$B$2:$B$15,0)),0),IFERROR(INDEX(Fortnightly_Model!$D$2:$D$15,MATCH(G276,Fortnightly_Model!$B$2:$B$15,0)),0)),IF(VLOOKUP($A274,Calendar!$A$1:$R$1377,18,0)=4,SUM(IFERROR(INDEX(Fortnightly_Model!$D$2:$D$15,MATCH(G274,Fortnightly_Model!$B$2:$B$15,0)),0),IFERROR(INDEX(Fortnightly_Model!$D$2:$D$15,MATCH(G275,Fortnightly_Model!$B$2:$B$15,0)),0),IFERROR(INDEX(Fortnightly_Model!$D$2:$D$15,MATCH(G276,Fortnightly_Model!$B$2:$B$15,0)),0),IFERROR(INDEX(Fortnightly_Model!$D$2:$D$15,MATCH(G277,Fortnightly_Model!$B$2:$B$15,0)),0)),IF(VLOOKUP($A274,Calendar!$A$1:$R$1377,18,0)=5,SUM(IFERROR(INDEX(Fortnightly_Model!$D$2:$D$15,MATCH(G274,Fortnightly_Model!$B$2:$B$15,0)),0),IFERROR(INDEX(Fortnightly_Model!$D$2:$D$15,MATCH(G275,Fortnightly_Model!$B$2:$B$15,0)),0),IFERROR(INDEX(Fortnightly_Model!$D$2:$D$15,MATCH(G276,Fortnightly_Model!$B$2:$B$15,0)),0),IFERROR(INDEX(Fortnightly_Model!$D$2:$D$15,MATCH(G277,Fortnightly_Model!$B$2:$B$15,0)),0),IFERROR(INDEX(Fortnightly_Model!$D$2:$D$15,MATCH(G278,Fortnightly_Model!$B$2:$B$15,0)),0)),0))))))</f>
        <v>4.2857141999999996E-3</v>
      </c>
      <c r="M274" s="27">
        <f>IF(VLOOKUP($A274,Calendar!$A$1:$R$1377,18,0)=0,0,IF(VLOOKUP($A274,Calendar!$A$1:$R$1377,18,0)=1,IFERROR(INDEX(FourWeekly_Model!$D$2:$D$29,MATCH(H274,FourWeekly_Model!$B$2:$B$29,0)),0),IF(VLOOKUP($A274,Calendar!$A$1:$R$1377,18,0)=2,SUM(IFERROR(INDEX(FourWeekly_Model!$D$2:$D$29,MATCH(H274,FourWeekly_Model!$B$2:$B$29,0)),0),IFERROR(INDEX(FourWeekly_Model!$D$2:$D$29,MATCH(H275,FourWeekly_Model!$B$2:$B$29,0)),0)),IF(VLOOKUP($A274,Calendar!$A$1:$R$1377,18,0)=3,SUM(IFERROR(INDEX(FourWeekly_Model!$D$2:$D$29,MATCH(H274,FourWeekly_Model!$B$2:$B$29,0)),0),IFERROR(INDEX(FourWeekly_Model!$D$2:$D$29,MATCH(H275,FourWeekly_Model!$B$2:$B$29,0)),0),IFERROR(INDEX(FourWeekly_Model!$D$2:$D$29,MATCH(H276,FourWeekly_Model!$B$2:$B$29,0)),0)),IF(VLOOKUP($A274,Calendar!$A$1:$R$1377,18,0)=4,SUM(IFERROR(INDEX(FourWeekly_Model!$D$2:$D$29,MATCH(H274,FourWeekly_Model!$B$2:$B$29,0)),0),IFERROR(INDEX(FourWeekly_Model!$D$2:$D$29,MATCH(H275,FourWeekly_Model!$B$2:$B$29,0)),0),IFERROR(INDEX(FourWeekly_Model!$D$2:$D$29,MATCH(H276,FourWeekly_Model!$B$2:$B$29,0)),0),IFERROR(INDEX(FourWeekly_Model!$D$2:$D$29,MATCH(H277,FourWeekly_Model!$B$2:$B$29,0)),0)),IF(VLOOKUP($A274,Calendar!$A$1:$R$1377,18,0)=5,SUM(IFERROR(INDEX(FourWeekly_Model!$D$2:$D$29,MATCH(H274,FourWeekly_Model!$B$2:$B$29,0)),0),IFERROR(INDEX(FourWeekly_Model!$D$2:$D$29,MATCH(H275,FourWeekly_Model!$B$2:$B$29,0)),0),IFERROR(INDEX(FourWeekly_Model!$D$2:$D$29,MATCH(H276,FourWeekly_Model!$B$2:$B$29,0)),0),IFERROR(INDEX(FourWeekly_Model!$D$2:$D$29,MATCH(H277,FourWeekly_Model!$B$2:$B$29,0)),0),IFERROR(INDEX(FourWeekly_Model!$D$2:$D$29,MATCH(H278,FourWeekly_Model!$B$2:$B$29,0)),0)),0))))))</f>
        <v>1.3285714950000001E-2</v>
      </c>
      <c r="N274" s="27">
        <f>SUM(I274:M274)</f>
        <v>0.64101477993534028</v>
      </c>
      <c r="O274" s="28">
        <f>Population_Data!$B$8*N274</f>
        <v>19422747.832040809</v>
      </c>
      <c r="P274" s="27">
        <f>IF(VLOOKUP($A274,Calendar!$A$1:$R$1377,18,0)=0,0,IF(VLOOKUP($A274,Calendar!$A$1:$R$1377,18,0)=1,IFERROR(INDEX(Pension_Model!$D$2:$D$29,MATCH(H274,Pension_Model!$B$2:$B$29,0)),0),IF(VLOOKUP($A274,Calendar!$A$1:$R$1377,18,0)=2,SUM(IFERROR(INDEX(Pension_Model!$D$2:$D$29,MATCH(H274,Pension_Model!$B$2:$B$29,0)),0),IFERROR(INDEX(Pension_Model!$D$2:$D$29,MATCH(H275,Pension_Model!$B$2:$B$29,0)),0)),IF(VLOOKUP($A274,Calendar!$A$1:$R$1377,18,0)=3,SUM(IFERROR(INDEX(Pension_Model!$D$2:$D$29,MATCH(H274,Pension_Model!$B$2:$B$29,0)),0),IFERROR(INDEX(Pension_Model!$D$2:$D$29,MATCH(H275,Pension_Model!$B$2:$B$29,0)),0),IFERROR(INDEX(Pension_Model!$D$2:$D$29,MATCH(H276,Pension_Model!$B$2:$B$29,0)),0)),IF(VLOOKUP($A274,Calendar!$A$1:$R$1377,18,0)=4,SUM(IFERROR(INDEX(Pension_Model!$D$2:$D$29,MATCH(H274,Pension_Model!$B$2:$B$29,0)),0),IFERROR(INDEX(Pension_Model!$D$2:$D$29,MATCH(H275,Pension_Model!$B$2:$B$29,0)),0),IFERROR(INDEX(Pension_Model!$D$2:$D$29,MATCH(H276,Pension_Model!$B$2:$B$29,0)),0),IFERROR(INDEX(Pension_Model!$D$2:$D$29,MATCH(H277,Pension_Model!$B$2:$B$29,0)),0)),IF(VLOOKUP($A274,Calendar!$A$1:$R$1377,18,0)=5,SUM(IFERROR(INDEX(Pension_Model!$D$2:$D$29,MATCH(H274,Pension_Model!$B$2:$B$29,0)),0),IFERROR(INDEX(Pension_Model!$D$2:$D$29,MATCH(H275,Pension_Model!$B$2:$B$29,0)),0),IFERROR(INDEX(Pension_Model!$D$2:$D$29,MATCH(H276,Pension_Model!$B$2:$B$29,0)),0),IFERROR(INDEX(Pension_Model!$D$2:$D$29,MATCH(H277,Pension_Model!$B$2:$B$29,0)),0),IFERROR(INDEX(Pension_Model!$D$2:$D$29,MATCH(H278,Pension_Model!$B$2:$B$29,0)),0)),0))))))</f>
        <v>0.1</v>
      </c>
      <c r="Q274" s="28">
        <f>Population_Data!$B$15*P274</f>
        <v>1321200</v>
      </c>
      <c r="S274">
        <f t="shared" si="4"/>
        <v>20743947.832040809</v>
      </c>
      <c r="U274" s="33">
        <f>S274/Population_Data!$B$19</f>
        <v>0.37579615637755087</v>
      </c>
    </row>
    <row r="275" spans="1:21">
      <c r="A275" s="25">
        <f>Calendar!A275</f>
        <v>46508</v>
      </c>
      <c r="B275" t="str">
        <f>Calendar!L275</f>
        <v>No</v>
      </c>
      <c r="C275" t="str">
        <f>Calendar!O275</f>
        <v>No</v>
      </c>
      <c r="D275" t="str">
        <f>Calendar!P275</f>
        <v>No</v>
      </c>
      <c r="E275" t="str">
        <f>Calendar!Q275</f>
        <v>No</v>
      </c>
      <c r="F275" t="str">
        <f>Calendar!I275</f>
        <v>Saturday</v>
      </c>
      <c r="G275">
        <f>Calendar!S275</f>
        <v>0</v>
      </c>
      <c r="H275">
        <f>Calendar!T275</f>
        <v>0</v>
      </c>
      <c r="I275" s="27">
        <f>IF(VLOOKUP(A275,Calendar!$A$1:$R$1377,18,0)=0,0,IF(VLOOKUP(A275,Calendar!$A$1:$R$1377,18,0)=1,INDEX(Monthly_Pay_Model!$A$9:$D$40,MATCH(TEXT(A275,"dd"),Monthly_Pay_Model!$C$9:$C$39,0),4),IF(VLOOKUP(A275,Calendar!$A$1:$R$1377,18,0)=2,SUM(INDEX(Monthly_Pay_Model!$A$9:$D$40,MATCH(TEXT(A275,"dd"),Monthly_Pay_Model!$C$9:$C$39,0),4),INDEX(Monthly_Pay_Model!$A$9:$D$40,MATCH(TEXT(A276,"dd"),Monthly_Pay_Model!$C$9:$C$39,0),4)),IF(VLOOKUP(A275,Calendar!$A$1:$R$1377,18,0)=3,SUM(INDEX(Monthly_Pay_Model!$A$9:$D$40,MATCH(TEXT(A275,"dd"),Monthly_Pay_Model!$C$9:$C$39,0),4),INDEX(Monthly_Pay_Model!$A$9:$D$40,MATCH(TEXT(A276,"dd"),Monthly_Pay_Model!$C$9:$C$39,0),4),INDEX(Monthly_Pay_Model!$A$9:$D$40,MATCH(TEXT(A277,"dd"),Monthly_Pay_Model!$C$9:$C$39,0),4)),IF(VLOOKUP(A275,Calendar!$A$1:$R$1377,18,0)=4,SUM(INDEX(Monthly_Pay_Model!$A$9:$D$40,MATCH(TEXT(A275,"dd"),Monthly_Pay_Model!$C$9:$C$39,0),4),INDEX(Monthly_Pay_Model!$A$9:$D$40,MATCH(TEXT(A276,"dd"),Monthly_Pay_Model!$C$9:$C$39,0),4),INDEX(Monthly_Pay_Model!$A$9:$D$40,MATCH(TEXT(A277,"dd"),Monthly_Pay_Model!$C$9:$C$39,0),4),INDEX(Monthly_Pay_Model!$A$9:$D$40,MATCH(TEXT(A278,"dd"),Monthly_Pay_Model!$C$9:$C$39,0),4)),IF(VLOOKUP(A275,Calendar!$A$1:$R$1377,18,0)=5,SUM(INDEX(Monthly_Pay_Model!$A$9:$D$40,MATCH(TEXT(A275,"dd"),Monthly_Pay_Model!$C$9:$C$39,0),4),INDEX(Monthly_Pay_Model!$A$9:$D$40,MATCH(TEXT(A276,"dd"),Monthly_Pay_Model!$C$9:$C$39,0),4),INDEX(Monthly_Pay_Model!$A$9:$D$40,MATCH(TEXT(A277,"dd"),Monthly_Pay_Model!$C$9:$C$39,0),4),INDEX(Monthly_Pay_Model!$A$9:$D$40,MATCH(TEXT(A278,"dd"),Monthly_Pay_Model!$C$9:$C$39,0),4),INDEX(Monthly_Pay_Model!$A$9:$D$40,MATCH(TEXT(A279,"dd"),Monthly_Pay_Model!$C$9:$C$39,0),4)),))))))</f>
        <v>0</v>
      </c>
      <c r="J275" s="33">
        <f>IF(C275="Yes",Monthly_Pay_Model!$D$2,0)
+IF(Calendar!N275="Yes",Monthly_Pay_Model!$D$3,0)
+IF(D275="Yes",Monthly_Pay_Model!$D$4,0)
+IF(E275="Yes",Monthly_Pay_Model!$D$5,0)</f>
        <v>0</v>
      </c>
      <c r="K275" s="27">
        <f>IF(VLOOKUP($A275,Calendar!$A$1:$R$1377,18,0)=0,0,IF(VLOOKUP($A275,Calendar!$A$1:$R$1377,18,0)=1,IFERROR(INDEX(Weekly_Model!$D$2:$D$9,MATCH(F275,Weekly_Model!$A$2:$A$9,0)),0),IF(VLOOKUP($A275,Calendar!$A$1:$R$1377,18,0)=2,SUM(IFERROR(INDEX(Weekly_Model!$D$2:$D$9,MATCH(F275,Weekly_Model!$A$2:$A$9,0)),0),IFERROR(INDEX(Weekly_Model!$D$2:$D$9,MATCH(F276,Weekly_Model!$A$2:$A$9,0)),0)),IF(VLOOKUP($A275,Calendar!$A$1:$R$1377,18,0)=3,SUM(IFERROR(INDEX(Weekly_Model!$D$2:$D$9,MATCH(F275,Weekly_Model!$A$2:$A$9,0)),0),IFERROR(INDEX(Weekly_Model!$D$2:$D$9,MATCH(F276,Weekly_Model!$A$2:$A$9,0)),0),IFERROR(INDEX(Weekly_Model!$D$2:$D$9,MATCH(F277,Weekly_Model!$A$2:$A$9,0)),0)),IF(VLOOKUP($A275,Calendar!$A$1:$R$1377,18,0)=4,SUM(IFERROR(INDEX(Weekly_Model!$D$2:$D$9,MATCH(F275,Weekly_Model!$A$2:$A$9,0)),0),IFERROR(INDEX(Weekly_Model!$D$2:$D$9,MATCH(F276,Weekly_Model!$A$2:$A$9,0)),0),IFERROR(INDEX(Weekly_Model!$D$2:$D$9,MATCH(F277,Weekly_Model!$A$2:$A$9,0)),0),IFERROR(INDEX(Weekly_Model!$D$2:$D$9,MATCH(F278,Weekly_Model!$A$2:$A$9,0)),0)),IF(VLOOKUP($A275,Calendar!$A$1:$R$1377,18,0)=5,SUM(IFERROR(INDEX(Weekly_Model!$D$2:$D$9,MATCH(F275,Weekly_Model!$A$2:$A$9,0)),0),IFERROR(INDEX(Weekly_Model!$D$2:$D$9,MATCH(F276,Weekly_Model!$A$2:$A$9,0)),0),IFERROR(INDEX(Weekly_Model!$D$2:$D$9,MATCH(F277,Weekly_Model!$A$2:$A$9,0)),0),IFERROR(INDEX(Weekly_Model!$D$2:$D$9,MATCH(F278,Weekly_Model!$A$2:$A$9,0)),0),IFERROR(INDEX(Weekly_Model!$D$2:$D$9,MATCH(F279,Weekly_Model!$A$2:$A$9,0)),0)),0))))))</f>
        <v>0</v>
      </c>
      <c r="L275" s="27">
        <f>IF(VLOOKUP($A275,Calendar!$A$1:$R$1377,18,0)=0,0,IF(VLOOKUP($A275,Calendar!$A$1:$R$1377,18,0)=1,IFERROR(INDEX(Fortnightly_Model!$D$2:$D$15,MATCH(G275,Fortnightly_Model!$B$2:$B$15,0)),0),IF(VLOOKUP($A275,Calendar!$A$1:$R$1377,18,0)=2,SUM(IFERROR(INDEX(Fortnightly_Model!$D$2:$D$15,MATCH(G275,Fortnightly_Model!$B$2:$B$15,0)),0),IFERROR(INDEX(Fortnightly_Model!$D$2:$D$15,MATCH(G276,Fortnightly_Model!$B$2:$B$15,0)),0)),IF(VLOOKUP($A275,Calendar!$A$1:$R$1377,18,0)=3,SUM(IFERROR(INDEX(Fortnightly_Model!$D$2:$D$15,MATCH(G275,Fortnightly_Model!$B$2:$B$15,0)),0),IFERROR(INDEX(Fortnightly_Model!$D$2:$D$15,MATCH(G276,Fortnightly_Model!$B$2:$B$15,0)),0),IFERROR(INDEX(Fortnightly_Model!$D$2:$D$15,MATCH(G277,Fortnightly_Model!$B$2:$B$15,0)),0)),IF(VLOOKUP($A275,Calendar!$A$1:$R$1377,18,0)=4,SUM(IFERROR(INDEX(Fortnightly_Model!$D$2:$D$15,MATCH(G275,Fortnightly_Model!$B$2:$B$15,0)),0),IFERROR(INDEX(Fortnightly_Model!$D$2:$D$15,MATCH(G276,Fortnightly_Model!$B$2:$B$15,0)),0),IFERROR(INDEX(Fortnightly_Model!$D$2:$D$15,MATCH(G277,Fortnightly_Model!$B$2:$B$15,0)),0),IFERROR(INDEX(Fortnightly_Model!$D$2:$D$15,MATCH(G278,Fortnightly_Model!$B$2:$B$15,0)),0)),IF(VLOOKUP($A275,Calendar!$A$1:$R$1377,18,0)=5,SUM(IFERROR(INDEX(Fortnightly_Model!$D$2:$D$15,MATCH(G275,Fortnightly_Model!$B$2:$B$15,0)),0),IFERROR(INDEX(Fortnightly_Model!$D$2:$D$15,MATCH(G276,Fortnightly_Model!$B$2:$B$15,0)),0),IFERROR(INDEX(Fortnightly_Model!$D$2:$D$15,MATCH(G277,Fortnightly_Model!$B$2:$B$15,0)),0),IFERROR(INDEX(Fortnightly_Model!$D$2:$D$15,MATCH(G278,Fortnightly_Model!$B$2:$B$15,0)),0),IFERROR(INDEX(Fortnightly_Model!$D$2:$D$15,MATCH(G279,Fortnightly_Model!$B$2:$B$15,0)),0)),0))))))</f>
        <v>0</v>
      </c>
      <c r="M275" s="27">
        <f>IF(VLOOKUP($A275,Calendar!$A$1:$R$1377,18,0)=0,0,IF(VLOOKUP($A275,Calendar!$A$1:$R$1377,18,0)=1,IFERROR(INDEX(FourWeekly_Model!$D$2:$D$29,MATCH(H275,FourWeekly_Model!$B$2:$B$29,0)),0),IF(VLOOKUP($A275,Calendar!$A$1:$R$1377,18,0)=2,SUM(IFERROR(INDEX(FourWeekly_Model!$D$2:$D$29,MATCH(H275,FourWeekly_Model!$B$2:$B$29,0)),0),IFERROR(INDEX(FourWeekly_Model!$D$2:$D$29,MATCH(H276,FourWeekly_Model!$B$2:$B$29,0)),0)),IF(VLOOKUP($A275,Calendar!$A$1:$R$1377,18,0)=3,SUM(IFERROR(INDEX(FourWeekly_Model!$D$2:$D$29,MATCH(H275,FourWeekly_Model!$B$2:$B$29,0)),0),IFERROR(INDEX(FourWeekly_Model!$D$2:$D$29,MATCH(H276,FourWeekly_Model!$B$2:$B$29,0)),0),IFERROR(INDEX(FourWeekly_Model!$D$2:$D$29,MATCH(H277,FourWeekly_Model!$B$2:$B$29,0)),0)),IF(VLOOKUP($A275,Calendar!$A$1:$R$1377,18,0)=4,SUM(IFERROR(INDEX(FourWeekly_Model!$D$2:$D$29,MATCH(H275,FourWeekly_Model!$B$2:$B$29,0)),0),IFERROR(INDEX(FourWeekly_Model!$D$2:$D$29,MATCH(H276,FourWeekly_Model!$B$2:$B$29,0)),0),IFERROR(INDEX(FourWeekly_Model!$D$2:$D$29,MATCH(H277,FourWeekly_Model!$B$2:$B$29,0)),0),IFERROR(INDEX(FourWeekly_Model!$D$2:$D$29,MATCH(H278,FourWeekly_Model!$B$2:$B$29,0)),0)),IF(VLOOKUP($A275,Calendar!$A$1:$R$1377,18,0)=5,SUM(IFERROR(INDEX(FourWeekly_Model!$D$2:$D$29,MATCH(H275,FourWeekly_Model!$B$2:$B$29,0)),0),IFERROR(INDEX(FourWeekly_Model!$D$2:$D$29,MATCH(H276,FourWeekly_Model!$B$2:$B$29,0)),0),IFERROR(INDEX(FourWeekly_Model!$D$2:$D$29,MATCH(H277,FourWeekly_Model!$B$2:$B$29,0)),0),IFERROR(INDEX(FourWeekly_Model!$D$2:$D$29,MATCH(H278,FourWeekly_Model!$B$2:$B$29,0)),0),IFERROR(INDEX(FourWeekly_Model!$D$2:$D$29,MATCH(H279,FourWeekly_Model!$B$2:$B$29,0)),0)),0))))))</f>
        <v>0</v>
      </c>
      <c r="N275" s="27">
        <f>SUM(I275:M275)</f>
        <v>0</v>
      </c>
      <c r="O275" s="28">
        <f>Population_Data!$B$8*N275</f>
        <v>0</v>
      </c>
      <c r="P275" s="27">
        <f>IF(VLOOKUP($A275,Calendar!$A$1:$R$1377,18,0)=0,0,IF(VLOOKUP($A275,Calendar!$A$1:$R$1377,18,0)=1,IFERROR(INDEX(Pension_Model!$D$2:$D$29,MATCH(H275,Pension_Model!$B$2:$B$29,0)),0),IF(VLOOKUP($A275,Calendar!$A$1:$R$1377,18,0)=2,SUM(IFERROR(INDEX(Pension_Model!$D$2:$D$29,MATCH(H275,Pension_Model!$B$2:$B$29,0)),0),IFERROR(INDEX(Pension_Model!$D$2:$D$29,MATCH(H276,Pension_Model!$B$2:$B$29,0)),0)),IF(VLOOKUP($A275,Calendar!$A$1:$R$1377,18,0)=3,SUM(IFERROR(INDEX(Pension_Model!$D$2:$D$29,MATCH(H275,Pension_Model!$B$2:$B$29,0)),0),IFERROR(INDEX(Pension_Model!$D$2:$D$29,MATCH(H276,Pension_Model!$B$2:$B$29,0)),0),IFERROR(INDEX(Pension_Model!$D$2:$D$29,MATCH(H277,Pension_Model!$B$2:$B$29,0)),0)),IF(VLOOKUP($A275,Calendar!$A$1:$R$1377,18,0)=4,SUM(IFERROR(INDEX(Pension_Model!$D$2:$D$29,MATCH(H275,Pension_Model!$B$2:$B$29,0)),0),IFERROR(INDEX(Pension_Model!$D$2:$D$29,MATCH(H276,Pension_Model!$B$2:$B$29,0)),0),IFERROR(INDEX(Pension_Model!$D$2:$D$29,MATCH(H277,Pension_Model!$B$2:$B$29,0)),0),IFERROR(INDEX(Pension_Model!$D$2:$D$29,MATCH(H278,Pension_Model!$B$2:$B$29,0)),0)),IF(VLOOKUP($A275,Calendar!$A$1:$R$1377,18,0)=5,SUM(IFERROR(INDEX(Pension_Model!$D$2:$D$29,MATCH(H275,Pension_Model!$B$2:$B$29,0)),0),IFERROR(INDEX(Pension_Model!$D$2:$D$29,MATCH(H276,Pension_Model!$B$2:$B$29,0)),0),IFERROR(INDEX(Pension_Model!$D$2:$D$29,MATCH(H277,Pension_Model!$B$2:$B$29,0)),0),IFERROR(INDEX(Pension_Model!$D$2:$D$29,MATCH(H278,Pension_Model!$B$2:$B$29,0)),0),IFERROR(INDEX(Pension_Model!$D$2:$D$29,MATCH(H279,Pension_Model!$B$2:$B$29,0)),0)),0))))))</f>
        <v>0</v>
      </c>
      <c r="Q275" s="28">
        <f>Population_Data!$B$15*P275</f>
        <v>0</v>
      </c>
      <c r="S275">
        <f t="shared" si="4"/>
        <v>0</v>
      </c>
      <c r="U275" s="33">
        <f>S275/Population_Data!$B$19</f>
        <v>0</v>
      </c>
    </row>
    <row r="276" spans="1:21">
      <c r="A276" s="25">
        <f>Calendar!A276</f>
        <v>46509</v>
      </c>
      <c r="B276" t="str">
        <f>Calendar!L276</f>
        <v>No</v>
      </c>
      <c r="C276" t="str">
        <f>Calendar!O276</f>
        <v>No</v>
      </c>
      <c r="D276" t="str">
        <f>Calendar!P276</f>
        <v>No</v>
      </c>
      <c r="E276" t="str">
        <f>Calendar!Q276</f>
        <v>No</v>
      </c>
      <c r="F276" t="str">
        <f>Calendar!I276</f>
        <v>Sunday</v>
      </c>
      <c r="G276">
        <f>Calendar!S276</f>
        <v>1</v>
      </c>
      <c r="H276">
        <f>Calendar!T276</f>
        <v>1</v>
      </c>
      <c r="I276" s="27">
        <f>IF(VLOOKUP(A276,Calendar!$A$1:$R$1377,18,0)=0,0,IF(VLOOKUP(A276,Calendar!$A$1:$R$1377,18,0)=1,INDEX(Monthly_Pay_Model!$A$9:$D$40,MATCH(TEXT(A276,"dd"),Monthly_Pay_Model!$C$9:$C$39,0),4),IF(VLOOKUP(A276,Calendar!$A$1:$R$1377,18,0)=2,SUM(INDEX(Monthly_Pay_Model!$A$9:$D$40,MATCH(TEXT(A276,"dd"),Monthly_Pay_Model!$C$9:$C$39,0),4),INDEX(Monthly_Pay_Model!$A$9:$D$40,MATCH(TEXT(A277,"dd"),Monthly_Pay_Model!$C$9:$C$39,0),4)),IF(VLOOKUP(A276,Calendar!$A$1:$R$1377,18,0)=3,SUM(INDEX(Monthly_Pay_Model!$A$9:$D$40,MATCH(TEXT(A276,"dd"),Monthly_Pay_Model!$C$9:$C$39,0),4),INDEX(Monthly_Pay_Model!$A$9:$D$40,MATCH(TEXT(A277,"dd"),Monthly_Pay_Model!$C$9:$C$39,0),4),INDEX(Monthly_Pay_Model!$A$9:$D$40,MATCH(TEXT(A278,"dd"),Monthly_Pay_Model!$C$9:$C$39,0),4)),IF(VLOOKUP(A276,Calendar!$A$1:$R$1377,18,0)=4,SUM(INDEX(Monthly_Pay_Model!$A$9:$D$40,MATCH(TEXT(A276,"dd"),Monthly_Pay_Model!$C$9:$C$39,0),4),INDEX(Monthly_Pay_Model!$A$9:$D$40,MATCH(TEXT(A277,"dd"),Monthly_Pay_Model!$C$9:$C$39,0),4),INDEX(Monthly_Pay_Model!$A$9:$D$40,MATCH(TEXT(A278,"dd"),Monthly_Pay_Model!$C$9:$C$39,0),4),INDEX(Monthly_Pay_Model!$A$9:$D$40,MATCH(TEXT(A279,"dd"),Monthly_Pay_Model!$C$9:$C$39,0),4)),IF(VLOOKUP(A276,Calendar!$A$1:$R$1377,18,0)=5,SUM(INDEX(Monthly_Pay_Model!$A$9:$D$40,MATCH(TEXT(A276,"dd"),Monthly_Pay_Model!$C$9:$C$39,0),4),INDEX(Monthly_Pay_Model!$A$9:$D$40,MATCH(TEXT(A277,"dd"),Monthly_Pay_Model!$C$9:$C$39,0),4),INDEX(Monthly_Pay_Model!$A$9:$D$40,MATCH(TEXT(A278,"dd"),Monthly_Pay_Model!$C$9:$C$39,0),4),INDEX(Monthly_Pay_Model!$A$9:$D$40,MATCH(TEXT(A279,"dd"),Monthly_Pay_Model!$C$9:$C$39,0),4),INDEX(Monthly_Pay_Model!$A$9:$D$40,MATCH(TEXT(A280,"dd"),Monthly_Pay_Model!$C$9:$C$39,0),4)),))))))</f>
        <v>0</v>
      </c>
      <c r="J276" s="33">
        <f>IF(C276="Yes",Monthly_Pay_Model!$D$2,0)
+IF(Calendar!N276="Yes",Monthly_Pay_Model!$D$3,0)
+IF(D276="Yes",Monthly_Pay_Model!$D$4,0)
+IF(E276="Yes",Monthly_Pay_Model!$D$5,0)</f>
        <v>0</v>
      </c>
      <c r="K276" s="27">
        <f>IF(VLOOKUP($A276,Calendar!$A$1:$R$1377,18,0)=0,0,IF(VLOOKUP($A276,Calendar!$A$1:$R$1377,18,0)=1,IFERROR(INDEX(Weekly_Model!$D$2:$D$9,MATCH(F276,Weekly_Model!$A$2:$A$9,0)),0),IF(VLOOKUP($A276,Calendar!$A$1:$R$1377,18,0)=2,SUM(IFERROR(INDEX(Weekly_Model!$D$2:$D$9,MATCH(F276,Weekly_Model!$A$2:$A$9,0)),0),IFERROR(INDEX(Weekly_Model!$D$2:$D$9,MATCH(F277,Weekly_Model!$A$2:$A$9,0)),0)),IF(VLOOKUP($A276,Calendar!$A$1:$R$1377,18,0)=3,SUM(IFERROR(INDEX(Weekly_Model!$D$2:$D$9,MATCH(F276,Weekly_Model!$A$2:$A$9,0)),0),IFERROR(INDEX(Weekly_Model!$D$2:$D$9,MATCH(F277,Weekly_Model!$A$2:$A$9,0)),0),IFERROR(INDEX(Weekly_Model!$D$2:$D$9,MATCH(F278,Weekly_Model!$A$2:$A$9,0)),0)),IF(VLOOKUP($A276,Calendar!$A$1:$R$1377,18,0)=4,SUM(IFERROR(INDEX(Weekly_Model!$D$2:$D$9,MATCH(F276,Weekly_Model!$A$2:$A$9,0)),0),IFERROR(INDEX(Weekly_Model!$D$2:$D$9,MATCH(F277,Weekly_Model!$A$2:$A$9,0)),0),IFERROR(INDEX(Weekly_Model!$D$2:$D$9,MATCH(F278,Weekly_Model!$A$2:$A$9,0)),0),IFERROR(INDEX(Weekly_Model!$D$2:$D$9,MATCH(F279,Weekly_Model!$A$2:$A$9,0)),0)),IF(VLOOKUP($A276,Calendar!$A$1:$R$1377,18,0)=5,SUM(IFERROR(INDEX(Weekly_Model!$D$2:$D$9,MATCH(F276,Weekly_Model!$A$2:$A$9,0)),0),IFERROR(INDEX(Weekly_Model!$D$2:$D$9,MATCH(F277,Weekly_Model!$A$2:$A$9,0)),0),IFERROR(INDEX(Weekly_Model!$D$2:$D$9,MATCH(F278,Weekly_Model!$A$2:$A$9,0)),0),IFERROR(INDEX(Weekly_Model!$D$2:$D$9,MATCH(F279,Weekly_Model!$A$2:$A$9,0)),0),IFERROR(INDEX(Weekly_Model!$D$2:$D$9,MATCH(F280,Weekly_Model!$A$2:$A$9,0)),0)),0))))))</f>
        <v>0</v>
      </c>
      <c r="L276" s="27">
        <f>IF(VLOOKUP($A276,Calendar!$A$1:$R$1377,18,0)=0,0,IF(VLOOKUP($A276,Calendar!$A$1:$R$1377,18,0)=1,IFERROR(INDEX(Fortnightly_Model!$D$2:$D$15,MATCH(G276,Fortnightly_Model!$B$2:$B$15,0)),0),IF(VLOOKUP($A276,Calendar!$A$1:$R$1377,18,0)=2,SUM(IFERROR(INDEX(Fortnightly_Model!$D$2:$D$15,MATCH(G276,Fortnightly_Model!$B$2:$B$15,0)),0),IFERROR(INDEX(Fortnightly_Model!$D$2:$D$15,MATCH(G277,Fortnightly_Model!$B$2:$B$15,0)),0)),IF(VLOOKUP($A276,Calendar!$A$1:$R$1377,18,0)=3,SUM(IFERROR(INDEX(Fortnightly_Model!$D$2:$D$15,MATCH(G276,Fortnightly_Model!$B$2:$B$15,0)),0),IFERROR(INDEX(Fortnightly_Model!$D$2:$D$15,MATCH(G277,Fortnightly_Model!$B$2:$B$15,0)),0),IFERROR(INDEX(Fortnightly_Model!$D$2:$D$15,MATCH(G278,Fortnightly_Model!$B$2:$B$15,0)),0)),IF(VLOOKUP($A276,Calendar!$A$1:$R$1377,18,0)=4,SUM(IFERROR(INDEX(Fortnightly_Model!$D$2:$D$15,MATCH(G276,Fortnightly_Model!$B$2:$B$15,0)),0),IFERROR(INDEX(Fortnightly_Model!$D$2:$D$15,MATCH(G277,Fortnightly_Model!$B$2:$B$15,0)),0),IFERROR(INDEX(Fortnightly_Model!$D$2:$D$15,MATCH(G278,Fortnightly_Model!$B$2:$B$15,0)),0),IFERROR(INDEX(Fortnightly_Model!$D$2:$D$15,MATCH(G279,Fortnightly_Model!$B$2:$B$15,0)),0)),IF(VLOOKUP($A276,Calendar!$A$1:$R$1377,18,0)=5,SUM(IFERROR(INDEX(Fortnightly_Model!$D$2:$D$15,MATCH(G276,Fortnightly_Model!$B$2:$B$15,0)),0),IFERROR(INDEX(Fortnightly_Model!$D$2:$D$15,MATCH(G277,Fortnightly_Model!$B$2:$B$15,0)),0),IFERROR(INDEX(Fortnightly_Model!$D$2:$D$15,MATCH(G278,Fortnightly_Model!$B$2:$B$15,0)),0),IFERROR(INDEX(Fortnightly_Model!$D$2:$D$15,MATCH(G279,Fortnightly_Model!$B$2:$B$15,0)),0),IFERROR(INDEX(Fortnightly_Model!$D$2:$D$15,MATCH(G280,Fortnightly_Model!$B$2:$B$15,0)),0)),0))))))</f>
        <v>0</v>
      </c>
      <c r="M276" s="27">
        <f>IF(VLOOKUP($A276,Calendar!$A$1:$R$1377,18,0)=0,0,IF(VLOOKUP($A276,Calendar!$A$1:$R$1377,18,0)=1,IFERROR(INDEX(FourWeekly_Model!$D$2:$D$29,MATCH(H276,FourWeekly_Model!$B$2:$B$29,0)),0),IF(VLOOKUP($A276,Calendar!$A$1:$R$1377,18,0)=2,SUM(IFERROR(INDEX(FourWeekly_Model!$D$2:$D$29,MATCH(H276,FourWeekly_Model!$B$2:$B$29,0)),0),IFERROR(INDEX(FourWeekly_Model!$D$2:$D$29,MATCH(H277,FourWeekly_Model!$B$2:$B$29,0)),0)),IF(VLOOKUP($A276,Calendar!$A$1:$R$1377,18,0)=3,SUM(IFERROR(INDEX(FourWeekly_Model!$D$2:$D$29,MATCH(H276,FourWeekly_Model!$B$2:$B$29,0)),0),IFERROR(INDEX(FourWeekly_Model!$D$2:$D$29,MATCH(H277,FourWeekly_Model!$B$2:$B$29,0)),0),IFERROR(INDEX(FourWeekly_Model!$D$2:$D$29,MATCH(H278,FourWeekly_Model!$B$2:$B$29,0)),0)),IF(VLOOKUP($A276,Calendar!$A$1:$R$1377,18,0)=4,SUM(IFERROR(INDEX(FourWeekly_Model!$D$2:$D$29,MATCH(H276,FourWeekly_Model!$B$2:$B$29,0)),0),IFERROR(INDEX(FourWeekly_Model!$D$2:$D$29,MATCH(H277,FourWeekly_Model!$B$2:$B$29,0)),0),IFERROR(INDEX(FourWeekly_Model!$D$2:$D$29,MATCH(H278,FourWeekly_Model!$B$2:$B$29,0)),0),IFERROR(INDEX(FourWeekly_Model!$D$2:$D$29,MATCH(H279,FourWeekly_Model!$B$2:$B$29,0)),0)),IF(VLOOKUP($A276,Calendar!$A$1:$R$1377,18,0)=5,SUM(IFERROR(INDEX(FourWeekly_Model!$D$2:$D$29,MATCH(H276,FourWeekly_Model!$B$2:$B$29,0)),0),IFERROR(INDEX(FourWeekly_Model!$D$2:$D$29,MATCH(H277,FourWeekly_Model!$B$2:$B$29,0)),0),IFERROR(INDEX(FourWeekly_Model!$D$2:$D$29,MATCH(H278,FourWeekly_Model!$B$2:$B$29,0)),0),IFERROR(INDEX(FourWeekly_Model!$D$2:$D$29,MATCH(H279,FourWeekly_Model!$B$2:$B$29,0)),0),IFERROR(INDEX(FourWeekly_Model!$D$2:$D$29,MATCH(H280,FourWeekly_Model!$B$2:$B$29,0)),0)),0))))))</f>
        <v>0</v>
      </c>
      <c r="N276" s="27">
        <f>SUM(I276:M276)</f>
        <v>0</v>
      </c>
      <c r="O276" s="28">
        <f>Population_Data!$B$8*N276</f>
        <v>0</v>
      </c>
      <c r="P276" s="27">
        <f>IF(VLOOKUP($A276,Calendar!$A$1:$R$1377,18,0)=0,0,IF(VLOOKUP($A276,Calendar!$A$1:$R$1377,18,0)=1,IFERROR(INDEX(Pension_Model!$D$2:$D$29,MATCH(H276,Pension_Model!$B$2:$B$29,0)),0),IF(VLOOKUP($A276,Calendar!$A$1:$R$1377,18,0)=2,SUM(IFERROR(INDEX(Pension_Model!$D$2:$D$29,MATCH(H276,Pension_Model!$B$2:$B$29,0)),0),IFERROR(INDEX(Pension_Model!$D$2:$D$29,MATCH(H277,Pension_Model!$B$2:$B$29,0)),0)),IF(VLOOKUP($A276,Calendar!$A$1:$R$1377,18,0)=3,SUM(IFERROR(INDEX(Pension_Model!$D$2:$D$29,MATCH(H276,Pension_Model!$B$2:$B$29,0)),0),IFERROR(INDEX(Pension_Model!$D$2:$D$29,MATCH(H277,Pension_Model!$B$2:$B$29,0)),0),IFERROR(INDEX(Pension_Model!$D$2:$D$29,MATCH(H278,Pension_Model!$B$2:$B$29,0)),0)),IF(VLOOKUP($A276,Calendar!$A$1:$R$1377,18,0)=4,SUM(IFERROR(INDEX(Pension_Model!$D$2:$D$29,MATCH(H276,Pension_Model!$B$2:$B$29,0)),0),IFERROR(INDEX(Pension_Model!$D$2:$D$29,MATCH(H277,Pension_Model!$B$2:$B$29,0)),0),IFERROR(INDEX(Pension_Model!$D$2:$D$29,MATCH(H278,Pension_Model!$B$2:$B$29,0)),0),IFERROR(INDEX(Pension_Model!$D$2:$D$29,MATCH(H279,Pension_Model!$B$2:$B$29,0)),0)),IF(VLOOKUP($A276,Calendar!$A$1:$R$1377,18,0)=5,SUM(IFERROR(INDEX(Pension_Model!$D$2:$D$29,MATCH(H276,Pension_Model!$B$2:$B$29,0)),0),IFERROR(INDEX(Pension_Model!$D$2:$D$29,MATCH(H277,Pension_Model!$B$2:$B$29,0)),0),IFERROR(INDEX(Pension_Model!$D$2:$D$29,MATCH(H278,Pension_Model!$B$2:$B$29,0)),0),IFERROR(INDEX(Pension_Model!$D$2:$D$29,MATCH(H279,Pension_Model!$B$2:$B$29,0)),0),IFERROR(INDEX(Pension_Model!$D$2:$D$29,MATCH(H280,Pension_Model!$B$2:$B$29,0)),0)),0))))))</f>
        <v>0</v>
      </c>
      <c r="Q276" s="28">
        <f>Population_Data!$B$15*P276</f>
        <v>0</v>
      </c>
      <c r="S276">
        <f t="shared" si="4"/>
        <v>0</v>
      </c>
      <c r="U276" s="33">
        <f>S276/Population_Data!$B$19</f>
        <v>0</v>
      </c>
    </row>
    <row r="277" spans="1:21">
      <c r="A277" s="25">
        <f>Calendar!A277</f>
        <v>46510</v>
      </c>
      <c r="B277" t="str">
        <f>Calendar!L277</f>
        <v>No</v>
      </c>
      <c r="C277" t="str">
        <f>Calendar!O277</f>
        <v>No</v>
      </c>
      <c r="D277" t="str">
        <f>Calendar!P277</f>
        <v>No</v>
      </c>
      <c r="E277" t="str">
        <f>Calendar!Q277</f>
        <v>No</v>
      </c>
      <c r="F277" t="str">
        <f>Calendar!I277</f>
        <v>Monday</v>
      </c>
      <c r="G277">
        <f>Calendar!S277</f>
        <v>2</v>
      </c>
      <c r="H277">
        <f>Calendar!T277</f>
        <v>2</v>
      </c>
      <c r="I277" s="27">
        <f>IF(VLOOKUP(A277,Calendar!$A$1:$R$1377,18,0)=0,0,IF(VLOOKUP(A277,Calendar!$A$1:$R$1377,18,0)=1,INDEX(Monthly_Pay_Model!$A$9:$D$40,MATCH(TEXT(A277,"dd"),Monthly_Pay_Model!$C$9:$C$39,0),4),IF(VLOOKUP(A277,Calendar!$A$1:$R$1377,18,0)=2,SUM(INDEX(Monthly_Pay_Model!$A$9:$D$40,MATCH(TEXT(A277,"dd"),Monthly_Pay_Model!$C$9:$C$39,0),4),INDEX(Monthly_Pay_Model!$A$9:$D$40,MATCH(TEXT(A278,"dd"),Monthly_Pay_Model!$C$9:$C$39,0),4)),IF(VLOOKUP(A277,Calendar!$A$1:$R$1377,18,0)=3,SUM(INDEX(Monthly_Pay_Model!$A$9:$D$40,MATCH(TEXT(A277,"dd"),Monthly_Pay_Model!$C$9:$C$39,0),4),INDEX(Monthly_Pay_Model!$A$9:$D$40,MATCH(TEXT(A278,"dd"),Monthly_Pay_Model!$C$9:$C$39,0),4),INDEX(Monthly_Pay_Model!$A$9:$D$40,MATCH(TEXT(A279,"dd"),Monthly_Pay_Model!$C$9:$C$39,0),4)),IF(VLOOKUP(A277,Calendar!$A$1:$R$1377,18,0)=4,SUM(INDEX(Monthly_Pay_Model!$A$9:$D$40,MATCH(TEXT(A277,"dd"),Monthly_Pay_Model!$C$9:$C$39,0),4),INDEX(Monthly_Pay_Model!$A$9:$D$40,MATCH(TEXT(A278,"dd"),Monthly_Pay_Model!$C$9:$C$39,0),4),INDEX(Monthly_Pay_Model!$A$9:$D$40,MATCH(TEXT(A279,"dd"),Monthly_Pay_Model!$C$9:$C$39,0),4),INDEX(Monthly_Pay_Model!$A$9:$D$40,MATCH(TEXT(A280,"dd"),Monthly_Pay_Model!$C$9:$C$39,0),4)),IF(VLOOKUP(A277,Calendar!$A$1:$R$1377,18,0)=5,SUM(INDEX(Monthly_Pay_Model!$A$9:$D$40,MATCH(TEXT(A277,"dd"),Monthly_Pay_Model!$C$9:$C$39,0),4),INDEX(Monthly_Pay_Model!$A$9:$D$40,MATCH(TEXT(A278,"dd"),Monthly_Pay_Model!$C$9:$C$39,0),4),INDEX(Monthly_Pay_Model!$A$9:$D$40,MATCH(TEXT(A279,"dd"),Monthly_Pay_Model!$C$9:$C$39,0),4),INDEX(Monthly_Pay_Model!$A$9:$D$40,MATCH(TEXT(A280,"dd"),Monthly_Pay_Model!$C$9:$C$39,0),4),INDEX(Monthly_Pay_Model!$A$9:$D$40,MATCH(TEXT(A281,"dd"),Monthly_Pay_Model!$C$9:$C$39,0),4)),))))))</f>
        <v>0</v>
      </c>
      <c r="J277" s="33">
        <f>IF(C277="Yes",Monthly_Pay_Model!$D$2,0)
+IF(Calendar!N277="Yes",Monthly_Pay_Model!$D$3,0)
+IF(D277="Yes",Monthly_Pay_Model!$D$4,0)
+IF(E277="Yes",Monthly_Pay_Model!$D$5,0)</f>
        <v>0</v>
      </c>
      <c r="K277" s="27">
        <f>IF(VLOOKUP($A277,Calendar!$A$1:$R$1377,18,0)=0,0,IF(VLOOKUP($A277,Calendar!$A$1:$R$1377,18,0)=1,IFERROR(INDEX(Weekly_Model!$D$2:$D$9,MATCH(F277,Weekly_Model!$A$2:$A$9,0)),0),IF(VLOOKUP($A277,Calendar!$A$1:$R$1377,18,0)=2,SUM(IFERROR(INDEX(Weekly_Model!$D$2:$D$9,MATCH(F277,Weekly_Model!$A$2:$A$9,0)),0),IFERROR(INDEX(Weekly_Model!$D$2:$D$9,MATCH(F278,Weekly_Model!$A$2:$A$9,0)),0)),IF(VLOOKUP($A277,Calendar!$A$1:$R$1377,18,0)=3,SUM(IFERROR(INDEX(Weekly_Model!$D$2:$D$9,MATCH(F277,Weekly_Model!$A$2:$A$9,0)),0),IFERROR(INDEX(Weekly_Model!$D$2:$D$9,MATCH(F278,Weekly_Model!$A$2:$A$9,0)),0),IFERROR(INDEX(Weekly_Model!$D$2:$D$9,MATCH(F279,Weekly_Model!$A$2:$A$9,0)),0)),IF(VLOOKUP($A277,Calendar!$A$1:$R$1377,18,0)=4,SUM(IFERROR(INDEX(Weekly_Model!$D$2:$D$9,MATCH(F277,Weekly_Model!$A$2:$A$9,0)),0),IFERROR(INDEX(Weekly_Model!$D$2:$D$9,MATCH(F278,Weekly_Model!$A$2:$A$9,0)),0),IFERROR(INDEX(Weekly_Model!$D$2:$D$9,MATCH(F279,Weekly_Model!$A$2:$A$9,0)),0),IFERROR(INDEX(Weekly_Model!$D$2:$D$9,MATCH(F280,Weekly_Model!$A$2:$A$9,0)),0)),IF(VLOOKUP($A277,Calendar!$A$1:$R$1377,18,0)=5,SUM(IFERROR(INDEX(Weekly_Model!$D$2:$D$9,MATCH(F277,Weekly_Model!$A$2:$A$9,0)),0),IFERROR(INDEX(Weekly_Model!$D$2:$D$9,MATCH(F278,Weekly_Model!$A$2:$A$9,0)),0),IFERROR(INDEX(Weekly_Model!$D$2:$D$9,MATCH(F279,Weekly_Model!$A$2:$A$9,0)),0),IFERROR(INDEX(Weekly_Model!$D$2:$D$9,MATCH(F280,Weekly_Model!$A$2:$A$9,0)),0),IFERROR(INDEX(Weekly_Model!$D$2:$D$9,MATCH(F281,Weekly_Model!$A$2:$A$9,0)),0)),0))))))</f>
        <v>0</v>
      </c>
      <c r="L277" s="27">
        <f>IF(VLOOKUP($A277,Calendar!$A$1:$R$1377,18,0)=0,0,IF(VLOOKUP($A277,Calendar!$A$1:$R$1377,18,0)=1,IFERROR(INDEX(Fortnightly_Model!$D$2:$D$15,MATCH(G277,Fortnightly_Model!$B$2:$B$15,0)),0),IF(VLOOKUP($A277,Calendar!$A$1:$R$1377,18,0)=2,SUM(IFERROR(INDEX(Fortnightly_Model!$D$2:$D$15,MATCH(G277,Fortnightly_Model!$B$2:$B$15,0)),0),IFERROR(INDEX(Fortnightly_Model!$D$2:$D$15,MATCH(G278,Fortnightly_Model!$B$2:$B$15,0)),0)),IF(VLOOKUP($A277,Calendar!$A$1:$R$1377,18,0)=3,SUM(IFERROR(INDEX(Fortnightly_Model!$D$2:$D$15,MATCH(G277,Fortnightly_Model!$B$2:$B$15,0)),0),IFERROR(INDEX(Fortnightly_Model!$D$2:$D$15,MATCH(G278,Fortnightly_Model!$B$2:$B$15,0)),0),IFERROR(INDEX(Fortnightly_Model!$D$2:$D$15,MATCH(G279,Fortnightly_Model!$B$2:$B$15,0)),0)),IF(VLOOKUP($A277,Calendar!$A$1:$R$1377,18,0)=4,SUM(IFERROR(INDEX(Fortnightly_Model!$D$2:$D$15,MATCH(G277,Fortnightly_Model!$B$2:$B$15,0)),0),IFERROR(INDEX(Fortnightly_Model!$D$2:$D$15,MATCH(G278,Fortnightly_Model!$B$2:$B$15,0)),0),IFERROR(INDEX(Fortnightly_Model!$D$2:$D$15,MATCH(G279,Fortnightly_Model!$B$2:$B$15,0)),0),IFERROR(INDEX(Fortnightly_Model!$D$2:$D$15,MATCH(G280,Fortnightly_Model!$B$2:$B$15,0)),0)),IF(VLOOKUP($A277,Calendar!$A$1:$R$1377,18,0)=5,SUM(IFERROR(INDEX(Fortnightly_Model!$D$2:$D$15,MATCH(G277,Fortnightly_Model!$B$2:$B$15,0)),0),IFERROR(INDEX(Fortnightly_Model!$D$2:$D$15,MATCH(G278,Fortnightly_Model!$B$2:$B$15,0)),0),IFERROR(INDEX(Fortnightly_Model!$D$2:$D$15,MATCH(G279,Fortnightly_Model!$B$2:$B$15,0)),0),IFERROR(INDEX(Fortnightly_Model!$D$2:$D$15,MATCH(G280,Fortnightly_Model!$B$2:$B$15,0)),0),IFERROR(INDEX(Fortnightly_Model!$D$2:$D$15,MATCH(G281,Fortnightly_Model!$B$2:$B$15,0)),0)),0))))))</f>
        <v>0</v>
      </c>
      <c r="M277" s="27">
        <f>IF(VLOOKUP($A277,Calendar!$A$1:$R$1377,18,0)=0,0,IF(VLOOKUP($A277,Calendar!$A$1:$R$1377,18,0)=1,IFERROR(INDEX(FourWeekly_Model!$D$2:$D$29,MATCH(H277,FourWeekly_Model!$B$2:$B$29,0)),0),IF(VLOOKUP($A277,Calendar!$A$1:$R$1377,18,0)=2,SUM(IFERROR(INDEX(FourWeekly_Model!$D$2:$D$29,MATCH(H277,FourWeekly_Model!$B$2:$B$29,0)),0),IFERROR(INDEX(FourWeekly_Model!$D$2:$D$29,MATCH(H278,FourWeekly_Model!$B$2:$B$29,0)),0)),IF(VLOOKUP($A277,Calendar!$A$1:$R$1377,18,0)=3,SUM(IFERROR(INDEX(FourWeekly_Model!$D$2:$D$29,MATCH(H277,FourWeekly_Model!$B$2:$B$29,0)),0),IFERROR(INDEX(FourWeekly_Model!$D$2:$D$29,MATCH(H278,FourWeekly_Model!$B$2:$B$29,0)),0),IFERROR(INDEX(FourWeekly_Model!$D$2:$D$29,MATCH(H279,FourWeekly_Model!$B$2:$B$29,0)),0)),IF(VLOOKUP($A277,Calendar!$A$1:$R$1377,18,0)=4,SUM(IFERROR(INDEX(FourWeekly_Model!$D$2:$D$29,MATCH(H277,FourWeekly_Model!$B$2:$B$29,0)),0),IFERROR(INDEX(FourWeekly_Model!$D$2:$D$29,MATCH(H278,FourWeekly_Model!$B$2:$B$29,0)),0),IFERROR(INDEX(FourWeekly_Model!$D$2:$D$29,MATCH(H279,FourWeekly_Model!$B$2:$B$29,0)),0),IFERROR(INDEX(FourWeekly_Model!$D$2:$D$29,MATCH(H280,FourWeekly_Model!$B$2:$B$29,0)),0)),IF(VLOOKUP($A277,Calendar!$A$1:$R$1377,18,0)=5,SUM(IFERROR(INDEX(FourWeekly_Model!$D$2:$D$29,MATCH(H277,FourWeekly_Model!$B$2:$B$29,0)),0),IFERROR(INDEX(FourWeekly_Model!$D$2:$D$29,MATCH(H278,FourWeekly_Model!$B$2:$B$29,0)),0),IFERROR(INDEX(FourWeekly_Model!$D$2:$D$29,MATCH(H279,FourWeekly_Model!$B$2:$B$29,0)),0),IFERROR(INDEX(FourWeekly_Model!$D$2:$D$29,MATCH(H280,FourWeekly_Model!$B$2:$B$29,0)),0),IFERROR(INDEX(FourWeekly_Model!$D$2:$D$29,MATCH(H281,FourWeekly_Model!$B$2:$B$29,0)),0)),0))))))</f>
        <v>0</v>
      </c>
      <c r="N277" s="27">
        <f>SUM(I277:M277)</f>
        <v>0</v>
      </c>
      <c r="O277" s="28">
        <f>Population_Data!$B$8*N277</f>
        <v>0</v>
      </c>
      <c r="P277" s="27">
        <f>IF(VLOOKUP($A277,Calendar!$A$1:$R$1377,18,0)=0,0,IF(VLOOKUP($A277,Calendar!$A$1:$R$1377,18,0)=1,IFERROR(INDEX(Pension_Model!$D$2:$D$29,MATCH(H277,Pension_Model!$B$2:$B$29,0)),0),IF(VLOOKUP($A277,Calendar!$A$1:$R$1377,18,0)=2,SUM(IFERROR(INDEX(Pension_Model!$D$2:$D$29,MATCH(H277,Pension_Model!$B$2:$B$29,0)),0),IFERROR(INDEX(Pension_Model!$D$2:$D$29,MATCH(H278,Pension_Model!$B$2:$B$29,0)),0)),IF(VLOOKUP($A277,Calendar!$A$1:$R$1377,18,0)=3,SUM(IFERROR(INDEX(Pension_Model!$D$2:$D$29,MATCH(H277,Pension_Model!$B$2:$B$29,0)),0),IFERROR(INDEX(Pension_Model!$D$2:$D$29,MATCH(H278,Pension_Model!$B$2:$B$29,0)),0),IFERROR(INDEX(Pension_Model!$D$2:$D$29,MATCH(H279,Pension_Model!$B$2:$B$29,0)),0)),IF(VLOOKUP($A277,Calendar!$A$1:$R$1377,18,0)=4,SUM(IFERROR(INDEX(Pension_Model!$D$2:$D$29,MATCH(H277,Pension_Model!$B$2:$B$29,0)),0),IFERROR(INDEX(Pension_Model!$D$2:$D$29,MATCH(H278,Pension_Model!$B$2:$B$29,0)),0),IFERROR(INDEX(Pension_Model!$D$2:$D$29,MATCH(H279,Pension_Model!$B$2:$B$29,0)),0),IFERROR(INDEX(Pension_Model!$D$2:$D$29,MATCH(H280,Pension_Model!$B$2:$B$29,0)),0)),IF(VLOOKUP($A277,Calendar!$A$1:$R$1377,18,0)=5,SUM(IFERROR(INDEX(Pension_Model!$D$2:$D$29,MATCH(H277,Pension_Model!$B$2:$B$29,0)),0),IFERROR(INDEX(Pension_Model!$D$2:$D$29,MATCH(H278,Pension_Model!$B$2:$B$29,0)),0),IFERROR(INDEX(Pension_Model!$D$2:$D$29,MATCH(H279,Pension_Model!$B$2:$B$29,0)),0),IFERROR(INDEX(Pension_Model!$D$2:$D$29,MATCH(H280,Pension_Model!$B$2:$B$29,0)),0),IFERROR(INDEX(Pension_Model!$D$2:$D$29,MATCH(H281,Pension_Model!$B$2:$B$29,0)),0)),0))))))</f>
        <v>0</v>
      </c>
      <c r="Q277" s="28">
        <f>Population_Data!$B$15*P277</f>
        <v>0</v>
      </c>
      <c r="S277">
        <f t="shared" si="4"/>
        <v>0</v>
      </c>
      <c r="U277" s="33">
        <f>S277/Population_Data!$B$19</f>
        <v>0</v>
      </c>
    </row>
    <row r="278" spans="1:21">
      <c r="A278" s="25">
        <f>Calendar!A278</f>
        <v>46511</v>
      </c>
      <c r="B278" t="str">
        <f>Calendar!L278</f>
        <v>Yes</v>
      </c>
      <c r="C278" t="str">
        <f>Calendar!O278</f>
        <v>No</v>
      </c>
      <c r="D278" t="str">
        <f>Calendar!P278</f>
        <v>No</v>
      </c>
      <c r="E278" t="str">
        <f>Calendar!Q278</f>
        <v>No</v>
      </c>
      <c r="F278" t="str">
        <f>Calendar!I278</f>
        <v>Tuesday</v>
      </c>
      <c r="G278">
        <f>Calendar!S278</f>
        <v>3</v>
      </c>
      <c r="H278">
        <f>Calendar!T278</f>
        <v>3</v>
      </c>
      <c r="I278" s="27">
        <f>IF(VLOOKUP(A278,Calendar!$A$1:$R$1377,18,0)=0,0,IF(VLOOKUP(A278,Calendar!$A$1:$R$1377,18,0)=1,INDEX(Monthly_Pay_Model!$A$9:$D$40,MATCH(TEXT(A278,"dd"),Monthly_Pay_Model!$C$9:$C$39,0),4),IF(VLOOKUP(A278,Calendar!$A$1:$R$1377,18,0)=2,SUM(INDEX(Monthly_Pay_Model!$A$9:$D$40,MATCH(TEXT(A278,"dd"),Monthly_Pay_Model!$C$9:$C$39,0),4),INDEX(Monthly_Pay_Model!$A$9:$D$40,MATCH(TEXT(A279,"dd"),Monthly_Pay_Model!$C$9:$C$39,0),4)),IF(VLOOKUP(A278,Calendar!$A$1:$R$1377,18,0)=3,SUM(INDEX(Monthly_Pay_Model!$A$9:$D$40,MATCH(TEXT(A278,"dd"),Monthly_Pay_Model!$C$9:$C$39,0),4),INDEX(Monthly_Pay_Model!$A$9:$D$40,MATCH(TEXT(A279,"dd"),Monthly_Pay_Model!$C$9:$C$39,0),4),INDEX(Monthly_Pay_Model!$A$9:$D$40,MATCH(TEXT(A280,"dd"),Monthly_Pay_Model!$C$9:$C$39,0),4)),IF(VLOOKUP(A278,Calendar!$A$1:$R$1377,18,0)=4,SUM(INDEX(Monthly_Pay_Model!$A$9:$D$40,MATCH(TEXT(A278,"dd"),Monthly_Pay_Model!$C$9:$C$39,0),4),INDEX(Monthly_Pay_Model!$A$9:$D$40,MATCH(TEXT(A279,"dd"),Monthly_Pay_Model!$C$9:$C$39,0),4),INDEX(Monthly_Pay_Model!$A$9:$D$40,MATCH(TEXT(A280,"dd"),Monthly_Pay_Model!$C$9:$C$39,0),4),INDEX(Monthly_Pay_Model!$A$9:$D$40,MATCH(TEXT(A281,"dd"),Monthly_Pay_Model!$C$9:$C$39,0),4)),IF(VLOOKUP(A278,Calendar!$A$1:$R$1377,18,0)=5,SUM(INDEX(Monthly_Pay_Model!$A$9:$D$40,MATCH(TEXT(A278,"dd"),Monthly_Pay_Model!$C$9:$C$39,0),4),INDEX(Monthly_Pay_Model!$A$9:$D$40,MATCH(TEXT(A279,"dd"),Monthly_Pay_Model!$C$9:$C$39,0),4),INDEX(Monthly_Pay_Model!$A$9:$D$40,MATCH(TEXT(A280,"dd"),Monthly_Pay_Model!$C$9:$C$39,0),4),INDEX(Monthly_Pay_Model!$A$9:$D$40,MATCH(TEXT(A281,"dd"),Monthly_Pay_Model!$C$9:$C$39,0),4),INDEX(Monthly_Pay_Model!$A$9:$D$40,MATCH(TEXT(A282,"dd"),Monthly_Pay_Model!$C$9:$C$39,0),4)),))))))</f>
        <v>8.1256544502617792E-4</v>
      </c>
      <c r="J278" s="33">
        <f>IF(C278="Yes",Monthly_Pay_Model!$D$2,0)
+IF(Calendar!N278="Yes",Monthly_Pay_Model!$D$3,0)
+IF(D278="Yes",Monthly_Pay_Model!$D$4,0)
+IF(E278="Yes",Monthly_Pay_Model!$D$5,0)</f>
        <v>0</v>
      </c>
      <c r="K278" s="27">
        <f>IF(VLOOKUP($A278,Calendar!$A$1:$R$1377,18,0)=0,0,IF(VLOOKUP($A278,Calendar!$A$1:$R$1377,18,0)=1,IFERROR(INDEX(Weekly_Model!$D$2:$D$9,MATCH(F278,Weekly_Model!$A$2:$A$9,0)),0),IF(VLOOKUP($A278,Calendar!$A$1:$R$1377,18,0)=2,SUM(IFERROR(INDEX(Weekly_Model!$D$2:$D$9,MATCH(F278,Weekly_Model!$A$2:$A$9,0)),0),IFERROR(INDEX(Weekly_Model!$D$2:$D$9,MATCH(F279,Weekly_Model!$A$2:$A$9,0)),0)),IF(VLOOKUP($A278,Calendar!$A$1:$R$1377,18,0)=3,SUM(IFERROR(INDEX(Weekly_Model!$D$2:$D$9,MATCH(F278,Weekly_Model!$A$2:$A$9,0)),0),IFERROR(INDEX(Weekly_Model!$D$2:$D$9,MATCH(F279,Weekly_Model!$A$2:$A$9,0)),0),IFERROR(INDEX(Weekly_Model!$D$2:$D$9,MATCH(F280,Weekly_Model!$A$2:$A$9,0)),0)),IF(VLOOKUP($A278,Calendar!$A$1:$R$1377,18,0)=4,SUM(IFERROR(INDEX(Weekly_Model!$D$2:$D$9,MATCH(F278,Weekly_Model!$A$2:$A$9,0)),0),IFERROR(INDEX(Weekly_Model!$D$2:$D$9,MATCH(F279,Weekly_Model!$A$2:$A$9,0)),0),IFERROR(INDEX(Weekly_Model!$D$2:$D$9,MATCH(F280,Weekly_Model!$A$2:$A$9,0)),0),IFERROR(INDEX(Weekly_Model!$D$2:$D$9,MATCH(F281,Weekly_Model!$A$2:$A$9,0)),0)),IF(VLOOKUP($A278,Calendar!$A$1:$R$1377,18,0)=5,SUM(IFERROR(INDEX(Weekly_Model!$D$2:$D$9,MATCH(F278,Weekly_Model!$A$2:$A$9,0)),0),IFERROR(INDEX(Weekly_Model!$D$2:$D$9,MATCH(F279,Weekly_Model!$A$2:$A$9,0)),0),IFERROR(INDEX(Weekly_Model!$D$2:$D$9,MATCH(F280,Weekly_Model!$A$2:$A$9,0)),0),IFERROR(INDEX(Weekly_Model!$D$2:$D$9,MATCH(F281,Weekly_Model!$A$2:$A$9,0)),0),IFERROR(INDEX(Weekly_Model!$D$2:$D$9,MATCH(F282,Weekly_Model!$A$2:$A$9,0)),0)),0))))))</f>
        <v>2.3200000000000002E-2</v>
      </c>
      <c r="L278" s="27">
        <f>IF(VLOOKUP($A278,Calendar!$A$1:$R$1377,18,0)=0,0,IF(VLOOKUP($A278,Calendar!$A$1:$R$1377,18,0)=1,IFERROR(INDEX(Fortnightly_Model!$D$2:$D$15,MATCH(G278,Fortnightly_Model!$B$2:$B$15,0)),0),IF(VLOOKUP($A278,Calendar!$A$1:$R$1377,18,0)=2,SUM(IFERROR(INDEX(Fortnightly_Model!$D$2:$D$15,MATCH(G278,Fortnightly_Model!$B$2:$B$15,0)),0),IFERROR(INDEX(Fortnightly_Model!$D$2:$D$15,MATCH(G279,Fortnightly_Model!$B$2:$B$15,0)),0)),IF(VLOOKUP($A278,Calendar!$A$1:$R$1377,18,0)=3,SUM(IFERROR(INDEX(Fortnightly_Model!$D$2:$D$15,MATCH(G278,Fortnightly_Model!$B$2:$B$15,0)),0),IFERROR(INDEX(Fortnightly_Model!$D$2:$D$15,MATCH(G279,Fortnightly_Model!$B$2:$B$15,0)),0),IFERROR(INDEX(Fortnightly_Model!$D$2:$D$15,MATCH(G280,Fortnightly_Model!$B$2:$B$15,0)),0)),IF(VLOOKUP($A278,Calendar!$A$1:$R$1377,18,0)=4,SUM(IFERROR(INDEX(Fortnightly_Model!$D$2:$D$15,MATCH(G278,Fortnightly_Model!$B$2:$B$15,0)),0),IFERROR(INDEX(Fortnightly_Model!$D$2:$D$15,MATCH(G279,Fortnightly_Model!$B$2:$B$15,0)),0),IFERROR(INDEX(Fortnightly_Model!$D$2:$D$15,MATCH(G280,Fortnightly_Model!$B$2:$B$15,0)),0),IFERROR(INDEX(Fortnightly_Model!$D$2:$D$15,MATCH(G281,Fortnightly_Model!$B$2:$B$15,0)),0)),IF(VLOOKUP($A278,Calendar!$A$1:$R$1377,18,0)=5,SUM(IFERROR(INDEX(Fortnightly_Model!$D$2:$D$15,MATCH(G278,Fortnightly_Model!$B$2:$B$15,0)),0),IFERROR(INDEX(Fortnightly_Model!$D$2:$D$15,MATCH(G279,Fortnightly_Model!$B$2:$B$15,0)),0),IFERROR(INDEX(Fortnightly_Model!$D$2:$D$15,MATCH(G280,Fortnightly_Model!$B$2:$B$15,0)),0),IFERROR(INDEX(Fortnightly_Model!$D$2:$D$15,MATCH(G281,Fortnightly_Model!$B$2:$B$15,0)),0),IFERROR(INDEX(Fortnightly_Model!$D$2:$D$15,MATCH(G282,Fortnightly_Model!$B$2:$B$15,0)),0)),0))))))</f>
        <v>1.0714285499999999E-3</v>
      </c>
      <c r="M278" s="27">
        <f>IF(VLOOKUP($A278,Calendar!$A$1:$R$1377,18,0)=0,0,IF(VLOOKUP($A278,Calendar!$A$1:$R$1377,18,0)=1,IFERROR(INDEX(FourWeekly_Model!$D$2:$D$29,MATCH(H278,FourWeekly_Model!$B$2:$B$29,0)),0),IF(VLOOKUP($A278,Calendar!$A$1:$R$1377,18,0)=2,SUM(IFERROR(INDEX(FourWeekly_Model!$D$2:$D$29,MATCH(H278,FourWeekly_Model!$B$2:$B$29,0)),0),IFERROR(INDEX(FourWeekly_Model!$D$2:$D$29,MATCH(H279,FourWeekly_Model!$B$2:$B$29,0)),0)),IF(VLOOKUP($A278,Calendar!$A$1:$R$1377,18,0)=3,SUM(IFERROR(INDEX(FourWeekly_Model!$D$2:$D$29,MATCH(H278,FourWeekly_Model!$B$2:$B$29,0)),0),IFERROR(INDEX(FourWeekly_Model!$D$2:$D$29,MATCH(H279,FourWeekly_Model!$B$2:$B$29,0)),0),IFERROR(INDEX(FourWeekly_Model!$D$2:$D$29,MATCH(H280,FourWeekly_Model!$B$2:$B$29,0)),0)),IF(VLOOKUP($A278,Calendar!$A$1:$R$1377,18,0)=4,SUM(IFERROR(INDEX(FourWeekly_Model!$D$2:$D$29,MATCH(H278,FourWeekly_Model!$B$2:$B$29,0)),0),IFERROR(INDEX(FourWeekly_Model!$D$2:$D$29,MATCH(H279,FourWeekly_Model!$B$2:$B$29,0)),0),IFERROR(INDEX(FourWeekly_Model!$D$2:$D$29,MATCH(H280,FourWeekly_Model!$B$2:$B$29,0)),0),IFERROR(INDEX(FourWeekly_Model!$D$2:$D$29,MATCH(H281,FourWeekly_Model!$B$2:$B$29,0)),0)),IF(VLOOKUP($A278,Calendar!$A$1:$R$1377,18,0)=5,SUM(IFERROR(INDEX(FourWeekly_Model!$D$2:$D$29,MATCH(H278,FourWeekly_Model!$B$2:$B$29,0)),0),IFERROR(INDEX(FourWeekly_Model!$D$2:$D$29,MATCH(H279,FourWeekly_Model!$B$2:$B$29,0)),0),IFERROR(INDEX(FourWeekly_Model!$D$2:$D$29,MATCH(H280,FourWeekly_Model!$B$2:$B$29,0)),0),IFERROR(INDEX(FourWeekly_Model!$D$2:$D$29,MATCH(H281,FourWeekly_Model!$B$2:$B$29,0)),0),IFERROR(INDEX(FourWeekly_Model!$D$2:$D$29,MATCH(H282,FourWeekly_Model!$B$2:$B$29,0)),0)),0))))))</f>
        <v>3.3214289700000004E-3</v>
      </c>
      <c r="N278" s="27">
        <f>SUM(I278:M278)</f>
        <v>2.840542296502618E-2</v>
      </c>
      <c r="O278" s="28">
        <f>Population_Data!$B$8*N278</f>
        <v>860684.3158402933</v>
      </c>
      <c r="P278" s="27">
        <f>IF(VLOOKUP($A278,Calendar!$A$1:$R$1377,18,0)=0,0,IF(VLOOKUP($A278,Calendar!$A$1:$R$1377,18,0)=1,IFERROR(INDEX(Pension_Model!$D$2:$D$29,MATCH(H278,Pension_Model!$B$2:$B$29,0)),0),IF(VLOOKUP($A278,Calendar!$A$1:$R$1377,18,0)=2,SUM(IFERROR(INDEX(Pension_Model!$D$2:$D$29,MATCH(H278,Pension_Model!$B$2:$B$29,0)),0),IFERROR(INDEX(Pension_Model!$D$2:$D$29,MATCH(H279,Pension_Model!$B$2:$B$29,0)),0)),IF(VLOOKUP($A278,Calendar!$A$1:$R$1377,18,0)=3,SUM(IFERROR(INDEX(Pension_Model!$D$2:$D$29,MATCH(H278,Pension_Model!$B$2:$B$29,0)),0),IFERROR(INDEX(Pension_Model!$D$2:$D$29,MATCH(H279,Pension_Model!$B$2:$B$29,0)),0),IFERROR(INDEX(Pension_Model!$D$2:$D$29,MATCH(H280,Pension_Model!$B$2:$B$29,0)),0)),IF(VLOOKUP($A278,Calendar!$A$1:$R$1377,18,0)=4,SUM(IFERROR(INDEX(Pension_Model!$D$2:$D$29,MATCH(H278,Pension_Model!$B$2:$B$29,0)),0),IFERROR(INDEX(Pension_Model!$D$2:$D$29,MATCH(H279,Pension_Model!$B$2:$B$29,0)),0),IFERROR(INDEX(Pension_Model!$D$2:$D$29,MATCH(H280,Pension_Model!$B$2:$B$29,0)),0),IFERROR(INDEX(Pension_Model!$D$2:$D$29,MATCH(H281,Pension_Model!$B$2:$B$29,0)),0)),IF(VLOOKUP($A278,Calendar!$A$1:$R$1377,18,0)=5,SUM(IFERROR(INDEX(Pension_Model!$D$2:$D$29,MATCH(H278,Pension_Model!$B$2:$B$29,0)),0),IFERROR(INDEX(Pension_Model!$D$2:$D$29,MATCH(H279,Pension_Model!$B$2:$B$29,0)),0),IFERROR(INDEX(Pension_Model!$D$2:$D$29,MATCH(H280,Pension_Model!$B$2:$B$29,0)),0),IFERROR(INDEX(Pension_Model!$D$2:$D$29,MATCH(H281,Pension_Model!$B$2:$B$29,0)),0),IFERROR(INDEX(Pension_Model!$D$2:$D$29,MATCH(H282,Pension_Model!$B$2:$B$29,0)),0)),0))))))</f>
        <v>0.05</v>
      </c>
      <c r="Q278" s="28">
        <f>Population_Data!$B$15*P278</f>
        <v>660600</v>
      </c>
      <c r="S278">
        <f t="shared" si="4"/>
        <v>1521284.3158402932</v>
      </c>
      <c r="U278" s="33">
        <f>S278/Population_Data!$B$19</f>
        <v>2.7559498475367629E-2</v>
      </c>
    </row>
    <row r="279" spans="1:21">
      <c r="A279" s="25">
        <f>Calendar!A279</f>
        <v>46512</v>
      </c>
      <c r="B279" t="str">
        <f>Calendar!L279</f>
        <v>Yes</v>
      </c>
      <c r="C279" t="str">
        <f>Calendar!O279</f>
        <v>No</v>
      </c>
      <c r="D279" t="str">
        <f>Calendar!P279</f>
        <v>No</v>
      </c>
      <c r="E279" t="str">
        <f>Calendar!Q279</f>
        <v>No</v>
      </c>
      <c r="F279" t="str">
        <f>Calendar!I279</f>
        <v>Wednesday</v>
      </c>
      <c r="G279">
        <f>Calendar!S279</f>
        <v>4</v>
      </c>
      <c r="H279">
        <f>Calendar!T279</f>
        <v>4</v>
      </c>
      <c r="I279" s="27">
        <f>IF(VLOOKUP(A279,Calendar!$A$1:$R$1377,18,0)=0,0,IF(VLOOKUP(A279,Calendar!$A$1:$R$1377,18,0)=1,INDEX(Monthly_Pay_Model!$A$9:$D$40,MATCH(TEXT(A279,"dd"),Monthly_Pay_Model!$C$9:$C$39,0),4),IF(VLOOKUP(A279,Calendar!$A$1:$R$1377,18,0)=2,SUM(INDEX(Monthly_Pay_Model!$A$9:$D$40,MATCH(TEXT(A279,"dd"),Monthly_Pay_Model!$C$9:$C$39,0),4),INDEX(Monthly_Pay_Model!$A$9:$D$40,MATCH(TEXT(A280,"dd"),Monthly_Pay_Model!$C$9:$C$39,0),4)),IF(VLOOKUP(A279,Calendar!$A$1:$R$1377,18,0)=3,SUM(INDEX(Monthly_Pay_Model!$A$9:$D$40,MATCH(TEXT(A279,"dd"),Monthly_Pay_Model!$C$9:$C$39,0),4),INDEX(Monthly_Pay_Model!$A$9:$D$40,MATCH(TEXT(A280,"dd"),Monthly_Pay_Model!$C$9:$C$39,0),4),INDEX(Monthly_Pay_Model!$A$9:$D$40,MATCH(TEXT(A281,"dd"),Monthly_Pay_Model!$C$9:$C$39,0),4)),IF(VLOOKUP(A279,Calendar!$A$1:$R$1377,18,0)=4,SUM(INDEX(Monthly_Pay_Model!$A$9:$D$40,MATCH(TEXT(A279,"dd"),Monthly_Pay_Model!$C$9:$C$39,0),4),INDEX(Monthly_Pay_Model!$A$9:$D$40,MATCH(TEXT(A280,"dd"),Monthly_Pay_Model!$C$9:$C$39,0),4),INDEX(Monthly_Pay_Model!$A$9:$D$40,MATCH(TEXT(A281,"dd"),Monthly_Pay_Model!$C$9:$C$39,0),4),INDEX(Monthly_Pay_Model!$A$9:$D$40,MATCH(TEXT(A282,"dd"),Monthly_Pay_Model!$C$9:$C$39,0),4)),IF(VLOOKUP(A279,Calendar!$A$1:$R$1377,18,0)=5,SUM(INDEX(Monthly_Pay_Model!$A$9:$D$40,MATCH(TEXT(A279,"dd"),Monthly_Pay_Model!$C$9:$C$39,0),4),INDEX(Monthly_Pay_Model!$A$9:$D$40,MATCH(TEXT(A280,"dd"),Monthly_Pay_Model!$C$9:$C$39,0),4),INDEX(Monthly_Pay_Model!$A$9:$D$40,MATCH(TEXT(A281,"dd"),Monthly_Pay_Model!$C$9:$C$39,0),4),INDEX(Monthly_Pay_Model!$A$9:$D$40,MATCH(TEXT(A282,"dd"),Monthly_Pay_Model!$C$9:$C$39,0),4),INDEX(Monthly_Pay_Model!$A$9:$D$40,MATCH(TEXT(A283,"dd"),Monthly_Pay_Model!$C$9:$C$39,0),4)),))))))</f>
        <v>7.3130890052356002E-3</v>
      </c>
      <c r="J279" s="33">
        <f>IF(C279="Yes",Monthly_Pay_Model!$D$2,0)
+IF(Calendar!N279="Yes",Monthly_Pay_Model!$D$3,0)
+IF(D279="Yes",Monthly_Pay_Model!$D$4,0)
+IF(E279="Yes",Monthly_Pay_Model!$D$5,0)</f>
        <v>0</v>
      </c>
      <c r="K279" s="27">
        <f>IF(VLOOKUP($A279,Calendar!$A$1:$R$1377,18,0)=0,0,IF(VLOOKUP($A279,Calendar!$A$1:$R$1377,18,0)=1,IFERROR(INDEX(Weekly_Model!$D$2:$D$9,MATCH(F279,Weekly_Model!$A$2:$A$9,0)),0),IF(VLOOKUP($A279,Calendar!$A$1:$R$1377,18,0)=2,SUM(IFERROR(INDEX(Weekly_Model!$D$2:$D$9,MATCH(F279,Weekly_Model!$A$2:$A$9,0)),0),IFERROR(INDEX(Weekly_Model!$D$2:$D$9,MATCH(F280,Weekly_Model!$A$2:$A$9,0)),0)),IF(VLOOKUP($A279,Calendar!$A$1:$R$1377,18,0)=3,SUM(IFERROR(INDEX(Weekly_Model!$D$2:$D$9,MATCH(F279,Weekly_Model!$A$2:$A$9,0)),0),IFERROR(INDEX(Weekly_Model!$D$2:$D$9,MATCH(F280,Weekly_Model!$A$2:$A$9,0)),0),IFERROR(INDEX(Weekly_Model!$D$2:$D$9,MATCH(F281,Weekly_Model!$A$2:$A$9,0)),0)),IF(VLOOKUP($A279,Calendar!$A$1:$R$1377,18,0)=4,SUM(IFERROR(INDEX(Weekly_Model!$D$2:$D$9,MATCH(F279,Weekly_Model!$A$2:$A$9,0)),0),IFERROR(INDEX(Weekly_Model!$D$2:$D$9,MATCH(F280,Weekly_Model!$A$2:$A$9,0)),0),IFERROR(INDEX(Weekly_Model!$D$2:$D$9,MATCH(F281,Weekly_Model!$A$2:$A$9,0)),0),IFERROR(INDEX(Weekly_Model!$D$2:$D$9,MATCH(F282,Weekly_Model!$A$2:$A$9,0)),0)),IF(VLOOKUP($A279,Calendar!$A$1:$R$1377,18,0)=5,SUM(IFERROR(INDEX(Weekly_Model!$D$2:$D$9,MATCH(F279,Weekly_Model!$A$2:$A$9,0)),0),IFERROR(INDEX(Weekly_Model!$D$2:$D$9,MATCH(F280,Weekly_Model!$A$2:$A$9,0)),0),IFERROR(INDEX(Weekly_Model!$D$2:$D$9,MATCH(F281,Weekly_Model!$A$2:$A$9,0)),0),IFERROR(INDEX(Weekly_Model!$D$2:$D$9,MATCH(F282,Weekly_Model!$A$2:$A$9,0)),0),IFERROR(INDEX(Weekly_Model!$D$2:$D$9,MATCH(F283,Weekly_Model!$A$2:$A$9,0)),0)),0))))))</f>
        <v>2.3200000000000002E-2</v>
      </c>
      <c r="L279" s="27">
        <f>IF(VLOOKUP($A279,Calendar!$A$1:$R$1377,18,0)=0,0,IF(VLOOKUP($A279,Calendar!$A$1:$R$1377,18,0)=1,IFERROR(INDEX(Fortnightly_Model!$D$2:$D$15,MATCH(G279,Fortnightly_Model!$B$2:$B$15,0)),0),IF(VLOOKUP($A279,Calendar!$A$1:$R$1377,18,0)=2,SUM(IFERROR(INDEX(Fortnightly_Model!$D$2:$D$15,MATCH(G279,Fortnightly_Model!$B$2:$B$15,0)),0),IFERROR(INDEX(Fortnightly_Model!$D$2:$D$15,MATCH(G280,Fortnightly_Model!$B$2:$B$15,0)),0)),IF(VLOOKUP($A279,Calendar!$A$1:$R$1377,18,0)=3,SUM(IFERROR(INDEX(Fortnightly_Model!$D$2:$D$15,MATCH(G279,Fortnightly_Model!$B$2:$B$15,0)),0),IFERROR(INDEX(Fortnightly_Model!$D$2:$D$15,MATCH(G280,Fortnightly_Model!$B$2:$B$15,0)),0),IFERROR(INDEX(Fortnightly_Model!$D$2:$D$15,MATCH(G281,Fortnightly_Model!$B$2:$B$15,0)),0)),IF(VLOOKUP($A279,Calendar!$A$1:$R$1377,18,0)=4,SUM(IFERROR(INDEX(Fortnightly_Model!$D$2:$D$15,MATCH(G279,Fortnightly_Model!$B$2:$B$15,0)),0),IFERROR(INDEX(Fortnightly_Model!$D$2:$D$15,MATCH(G280,Fortnightly_Model!$B$2:$B$15,0)),0),IFERROR(INDEX(Fortnightly_Model!$D$2:$D$15,MATCH(G281,Fortnightly_Model!$B$2:$B$15,0)),0),IFERROR(INDEX(Fortnightly_Model!$D$2:$D$15,MATCH(G282,Fortnightly_Model!$B$2:$B$15,0)),0)),IF(VLOOKUP($A279,Calendar!$A$1:$R$1377,18,0)=5,SUM(IFERROR(INDEX(Fortnightly_Model!$D$2:$D$15,MATCH(G279,Fortnightly_Model!$B$2:$B$15,0)),0),IFERROR(INDEX(Fortnightly_Model!$D$2:$D$15,MATCH(G280,Fortnightly_Model!$B$2:$B$15,0)),0),IFERROR(INDEX(Fortnightly_Model!$D$2:$D$15,MATCH(G281,Fortnightly_Model!$B$2:$B$15,0)),0),IFERROR(INDEX(Fortnightly_Model!$D$2:$D$15,MATCH(G282,Fortnightly_Model!$B$2:$B$15,0)),0),IFERROR(INDEX(Fortnightly_Model!$D$2:$D$15,MATCH(G283,Fortnightly_Model!$B$2:$B$15,0)),0)),0))))))</f>
        <v>1.0714285499999999E-3</v>
      </c>
      <c r="M279" s="27">
        <f>IF(VLOOKUP($A279,Calendar!$A$1:$R$1377,18,0)=0,0,IF(VLOOKUP($A279,Calendar!$A$1:$R$1377,18,0)=1,IFERROR(INDEX(FourWeekly_Model!$D$2:$D$29,MATCH(H279,FourWeekly_Model!$B$2:$B$29,0)),0),IF(VLOOKUP($A279,Calendar!$A$1:$R$1377,18,0)=2,SUM(IFERROR(INDEX(FourWeekly_Model!$D$2:$D$29,MATCH(H279,FourWeekly_Model!$B$2:$B$29,0)),0),IFERROR(INDEX(FourWeekly_Model!$D$2:$D$29,MATCH(H280,FourWeekly_Model!$B$2:$B$29,0)),0)),IF(VLOOKUP($A279,Calendar!$A$1:$R$1377,18,0)=3,SUM(IFERROR(INDEX(FourWeekly_Model!$D$2:$D$29,MATCH(H279,FourWeekly_Model!$B$2:$B$29,0)),0),IFERROR(INDEX(FourWeekly_Model!$D$2:$D$29,MATCH(H280,FourWeekly_Model!$B$2:$B$29,0)),0),IFERROR(INDEX(FourWeekly_Model!$D$2:$D$29,MATCH(H281,FourWeekly_Model!$B$2:$B$29,0)),0)),IF(VLOOKUP($A279,Calendar!$A$1:$R$1377,18,0)=4,SUM(IFERROR(INDEX(FourWeekly_Model!$D$2:$D$29,MATCH(H279,FourWeekly_Model!$B$2:$B$29,0)),0),IFERROR(INDEX(FourWeekly_Model!$D$2:$D$29,MATCH(H280,FourWeekly_Model!$B$2:$B$29,0)),0),IFERROR(INDEX(FourWeekly_Model!$D$2:$D$29,MATCH(H281,FourWeekly_Model!$B$2:$B$29,0)),0),IFERROR(INDEX(FourWeekly_Model!$D$2:$D$29,MATCH(H282,FourWeekly_Model!$B$2:$B$29,0)),0)),IF(VLOOKUP($A279,Calendar!$A$1:$R$1377,18,0)=5,SUM(IFERROR(INDEX(FourWeekly_Model!$D$2:$D$29,MATCH(H279,FourWeekly_Model!$B$2:$B$29,0)),0),IFERROR(INDEX(FourWeekly_Model!$D$2:$D$29,MATCH(H280,FourWeekly_Model!$B$2:$B$29,0)),0),IFERROR(INDEX(FourWeekly_Model!$D$2:$D$29,MATCH(H281,FourWeekly_Model!$B$2:$B$29,0)),0),IFERROR(INDEX(FourWeekly_Model!$D$2:$D$29,MATCH(H282,FourWeekly_Model!$B$2:$B$29,0)),0),IFERROR(INDEX(FourWeekly_Model!$D$2:$D$29,MATCH(H283,FourWeekly_Model!$B$2:$B$29,0)),0)),0))))))</f>
        <v>3.3214289700000004E-3</v>
      </c>
      <c r="N279" s="27">
        <f>SUM(I279:M279)</f>
        <v>3.4905946525235605E-2</v>
      </c>
      <c r="O279" s="28">
        <f>Population_Data!$B$8*N279</f>
        <v>1057650.1797146387</v>
      </c>
      <c r="P279" s="27">
        <f>IF(VLOOKUP($A279,Calendar!$A$1:$R$1377,18,0)=0,0,IF(VLOOKUP($A279,Calendar!$A$1:$R$1377,18,0)=1,IFERROR(INDEX(Pension_Model!$D$2:$D$29,MATCH(H279,Pension_Model!$B$2:$B$29,0)),0),IF(VLOOKUP($A279,Calendar!$A$1:$R$1377,18,0)=2,SUM(IFERROR(INDEX(Pension_Model!$D$2:$D$29,MATCH(H279,Pension_Model!$B$2:$B$29,0)),0),IFERROR(INDEX(Pension_Model!$D$2:$D$29,MATCH(H280,Pension_Model!$B$2:$B$29,0)),0)),IF(VLOOKUP($A279,Calendar!$A$1:$R$1377,18,0)=3,SUM(IFERROR(INDEX(Pension_Model!$D$2:$D$29,MATCH(H279,Pension_Model!$B$2:$B$29,0)),0),IFERROR(INDEX(Pension_Model!$D$2:$D$29,MATCH(H280,Pension_Model!$B$2:$B$29,0)),0),IFERROR(INDEX(Pension_Model!$D$2:$D$29,MATCH(H281,Pension_Model!$B$2:$B$29,0)),0)),IF(VLOOKUP($A279,Calendar!$A$1:$R$1377,18,0)=4,SUM(IFERROR(INDEX(Pension_Model!$D$2:$D$29,MATCH(H279,Pension_Model!$B$2:$B$29,0)),0),IFERROR(INDEX(Pension_Model!$D$2:$D$29,MATCH(H280,Pension_Model!$B$2:$B$29,0)),0),IFERROR(INDEX(Pension_Model!$D$2:$D$29,MATCH(H281,Pension_Model!$B$2:$B$29,0)),0),IFERROR(INDEX(Pension_Model!$D$2:$D$29,MATCH(H282,Pension_Model!$B$2:$B$29,0)),0)),IF(VLOOKUP($A279,Calendar!$A$1:$R$1377,18,0)=5,SUM(IFERROR(INDEX(Pension_Model!$D$2:$D$29,MATCH(H279,Pension_Model!$B$2:$B$29,0)),0),IFERROR(INDEX(Pension_Model!$D$2:$D$29,MATCH(H280,Pension_Model!$B$2:$B$29,0)),0),IFERROR(INDEX(Pension_Model!$D$2:$D$29,MATCH(H281,Pension_Model!$B$2:$B$29,0)),0),IFERROR(INDEX(Pension_Model!$D$2:$D$29,MATCH(H282,Pension_Model!$B$2:$B$29,0)),0),IFERROR(INDEX(Pension_Model!$D$2:$D$29,MATCH(H283,Pension_Model!$B$2:$B$29,0)),0)),0))))))</f>
        <v>0.05</v>
      </c>
      <c r="Q279" s="28">
        <f>Population_Data!$B$15*P279</f>
        <v>660600</v>
      </c>
      <c r="S279">
        <f t="shared" si="4"/>
        <v>1718250.1797146387</v>
      </c>
      <c r="U279" s="33">
        <f>S279/Population_Data!$B$19</f>
        <v>3.1127720647004326E-2</v>
      </c>
    </row>
    <row r="280" spans="1:21">
      <c r="A280" s="25">
        <f>Calendar!A280</f>
        <v>46513</v>
      </c>
      <c r="B280" t="str">
        <f>Calendar!L280</f>
        <v>Yes</v>
      </c>
      <c r="C280" t="str">
        <f>Calendar!O280</f>
        <v>No</v>
      </c>
      <c r="D280" t="str">
        <f>Calendar!P280</f>
        <v>No</v>
      </c>
      <c r="E280" t="str">
        <f>Calendar!Q280</f>
        <v>No</v>
      </c>
      <c r="F280" t="str">
        <f>Calendar!I280</f>
        <v>Thursday</v>
      </c>
      <c r="G280">
        <f>Calendar!S280</f>
        <v>5</v>
      </c>
      <c r="H280">
        <f>Calendar!T280</f>
        <v>5</v>
      </c>
      <c r="I280" s="27">
        <f>IF(VLOOKUP(A280,Calendar!$A$1:$R$1377,18,0)=0,0,IF(VLOOKUP(A280,Calendar!$A$1:$R$1377,18,0)=1,INDEX(Monthly_Pay_Model!$A$9:$D$40,MATCH(TEXT(A280,"dd"),Monthly_Pay_Model!$C$9:$C$39,0),4),IF(VLOOKUP(A280,Calendar!$A$1:$R$1377,18,0)=2,SUM(INDEX(Monthly_Pay_Model!$A$9:$D$40,MATCH(TEXT(A280,"dd"),Monthly_Pay_Model!$C$9:$C$39,0),4),INDEX(Monthly_Pay_Model!$A$9:$D$40,MATCH(TEXT(A281,"dd"),Monthly_Pay_Model!$C$9:$C$39,0),4)),IF(VLOOKUP(A280,Calendar!$A$1:$R$1377,18,0)=3,SUM(INDEX(Monthly_Pay_Model!$A$9:$D$40,MATCH(TEXT(A280,"dd"),Monthly_Pay_Model!$C$9:$C$39,0),4),INDEX(Monthly_Pay_Model!$A$9:$D$40,MATCH(TEXT(A281,"dd"),Monthly_Pay_Model!$C$9:$C$39,0),4),INDEX(Monthly_Pay_Model!$A$9:$D$40,MATCH(TEXT(A282,"dd"),Monthly_Pay_Model!$C$9:$C$39,0),4)),IF(VLOOKUP(A280,Calendar!$A$1:$R$1377,18,0)=4,SUM(INDEX(Monthly_Pay_Model!$A$9:$D$40,MATCH(TEXT(A280,"dd"),Monthly_Pay_Model!$C$9:$C$39,0),4),INDEX(Monthly_Pay_Model!$A$9:$D$40,MATCH(TEXT(A281,"dd"),Monthly_Pay_Model!$C$9:$C$39,0),4),INDEX(Monthly_Pay_Model!$A$9:$D$40,MATCH(TEXT(A282,"dd"),Monthly_Pay_Model!$C$9:$C$39,0),4),INDEX(Monthly_Pay_Model!$A$9:$D$40,MATCH(TEXT(A283,"dd"),Monthly_Pay_Model!$C$9:$C$39,0),4)),IF(VLOOKUP(A280,Calendar!$A$1:$R$1377,18,0)=5,SUM(INDEX(Monthly_Pay_Model!$A$9:$D$40,MATCH(TEXT(A280,"dd"),Monthly_Pay_Model!$C$9:$C$39,0),4),INDEX(Monthly_Pay_Model!$A$9:$D$40,MATCH(TEXT(A281,"dd"),Monthly_Pay_Model!$C$9:$C$39,0),4),INDEX(Monthly_Pay_Model!$A$9:$D$40,MATCH(TEXT(A282,"dd"),Monthly_Pay_Model!$C$9:$C$39,0),4),INDEX(Monthly_Pay_Model!$A$9:$D$40,MATCH(TEXT(A283,"dd"),Monthly_Pay_Model!$C$9:$C$39,0),4),INDEX(Monthly_Pay_Model!$A$9:$D$40,MATCH(TEXT(A284,"dd"),Monthly_Pay_Model!$C$9:$C$39,0),4)),))))))</f>
        <v>3.2502617801047117E-3</v>
      </c>
      <c r="J280" s="33">
        <f>IF(C280="Yes",Monthly_Pay_Model!$D$2,0)
+IF(Calendar!N280="Yes",Monthly_Pay_Model!$D$3,0)
+IF(D280="Yes",Monthly_Pay_Model!$D$4,0)
+IF(E280="Yes",Monthly_Pay_Model!$D$5,0)</f>
        <v>0</v>
      </c>
      <c r="K280" s="27">
        <f>IF(VLOOKUP($A280,Calendar!$A$1:$R$1377,18,0)=0,0,IF(VLOOKUP($A280,Calendar!$A$1:$R$1377,18,0)=1,IFERROR(INDEX(Weekly_Model!$D$2:$D$9,MATCH(F280,Weekly_Model!$A$2:$A$9,0)),0),IF(VLOOKUP($A280,Calendar!$A$1:$R$1377,18,0)=2,SUM(IFERROR(INDEX(Weekly_Model!$D$2:$D$9,MATCH(F280,Weekly_Model!$A$2:$A$9,0)),0),IFERROR(INDEX(Weekly_Model!$D$2:$D$9,MATCH(F281,Weekly_Model!$A$2:$A$9,0)),0)),IF(VLOOKUP($A280,Calendar!$A$1:$R$1377,18,0)=3,SUM(IFERROR(INDEX(Weekly_Model!$D$2:$D$9,MATCH(F280,Weekly_Model!$A$2:$A$9,0)),0),IFERROR(INDEX(Weekly_Model!$D$2:$D$9,MATCH(F281,Weekly_Model!$A$2:$A$9,0)),0),IFERROR(INDEX(Weekly_Model!$D$2:$D$9,MATCH(F282,Weekly_Model!$A$2:$A$9,0)),0)),IF(VLOOKUP($A280,Calendar!$A$1:$R$1377,18,0)=4,SUM(IFERROR(INDEX(Weekly_Model!$D$2:$D$9,MATCH(F280,Weekly_Model!$A$2:$A$9,0)),0),IFERROR(INDEX(Weekly_Model!$D$2:$D$9,MATCH(F281,Weekly_Model!$A$2:$A$9,0)),0),IFERROR(INDEX(Weekly_Model!$D$2:$D$9,MATCH(F282,Weekly_Model!$A$2:$A$9,0)),0),IFERROR(INDEX(Weekly_Model!$D$2:$D$9,MATCH(F283,Weekly_Model!$A$2:$A$9,0)),0)),IF(VLOOKUP($A280,Calendar!$A$1:$R$1377,18,0)=5,SUM(IFERROR(INDEX(Weekly_Model!$D$2:$D$9,MATCH(F280,Weekly_Model!$A$2:$A$9,0)),0),IFERROR(INDEX(Weekly_Model!$D$2:$D$9,MATCH(F281,Weekly_Model!$A$2:$A$9,0)),0),IFERROR(INDEX(Weekly_Model!$D$2:$D$9,MATCH(F282,Weekly_Model!$A$2:$A$9,0)),0),IFERROR(INDEX(Weekly_Model!$D$2:$D$9,MATCH(F283,Weekly_Model!$A$2:$A$9,0)),0),IFERROR(INDEX(Weekly_Model!$D$2:$D$9,MATCH(F284,Weekly_Model!$A$2:$A$9,0)),0)),0))))))</f>
        <v>2.3200000000000002E-2</v>
      </c>
      <c r="L280" s="27">
        <f>IF(VLOOKUP($A280,Calendar!$A$1:$R$1377,18,0)=0,0,IF(VLOOKUP($A280,Calendar!$A$1:$R$1377,18,0)=1,IFERROR(INDEX(Fortnightly_Model!$D$2:$D$15,MATCH(G280,Fortnightly_Model!$B$2:$B$15,0)),0),IF(VLOOKUP($A280,Calendar!$A$1:$R$1377,18,0)=2,SUM(IFERROR(INDEX(Fortnightly_Model!$D$2:$D$15,MATCH(G280,Fortnightly_Model!$B$2:$B$15,0)),0),IFERROR(INDEX(Fortnightly_Model!$D$2:$D$15,MATCH(G281,Fortnightly_Model!$B$2:$B$15,0)),0)),IF(VLOOKUP($A280,Calendar!$A$1:$R$1377,18,0)=3,SUM(IFERROR(INDEX(Fortnightly_Model!$D$2:$D$15,MATCH(G280,Fortnightly_Model!$B$2:$B$15,0)),0),IFERROR(INDEX(Fortnightly_Model!$D$2:$D$15,MATCH(G281,Fortnightly_Model!$B$2:$B$15,0)),0),IFERROR(INDEX(Fortnightly_Model!$D$2:$D$15,MATCH(G282,Fortnightly_Model!$B$2:$B$15,0)),0)),IF(VLOOKUP($A280,Calendar!$A$1:$R$1377,18,0)=4,SUM(IFERROR(INDEX(Fortnightly_Model!$D$2:$D$15,MATCH(G280,Fortnightly_Model!$B$2:$B$15,0)),0),IFERROR(INDEX(Fortnightly_Model!$D$2:$D$15,MATCH(G281,Fortnightly_Model!$B$2:$B$15,0)),0),IFERROR(INDEX(Fortnightly_Model!$D$2:$D$15,MATCH(G282,Fortnightly_Model!$B$2:$B$15,0)),0),IFERROR(INDEX(Fortnightly_Model!$D$2:$D$15,MATCH(G283,Fortnightly_Model!$B$2:$B$15,0)),0)),IF(VLOOKUP($A280,Calendar!$A$1:$R$1377,18,0)=5,SUM(IFERROR(INDEX(Fortnightly_Model!$D$2:$D$15,MATCH(G280,Fortnightly_Model!$B$2:$B$15,0)),0),IFERROR(INDEX(Fortnightly_Model!$D$2:$D$15,MATCH(G281,Fortnightly_Model!$B$2:$B$15,0)),0),IFERROR(INDEX(Fortnightly_Model!$D$2:$D$15,MATCH(G282,Fortnightly_Model!$B$2:$B$15,0)),0),IFERROR(INDEX(Fortnightly_Model!$D$2:$D$15,MATCH(G283,Fortnightly_Model!$B$2:$B$15,0)),0),IFERROR(INDEX(Fortnightly_Model!$D$2:$D$15,MATCH(G284,Fortnightly_Model!$B$2:$B$15,0)),0)),0))))))</f>
        <v>1.0714285499999999E-3</v>
      </c>
      <c r="M280" s="27">
        <f>IF(VLOOKUP($A280,Calendar!$A$1:$R$1377,18,0)=0,0,IF(VLOOKUP($A280,Calendar!$A$1:$R$1377,18,0)=1,IFERROR(INDEX(FourWeekly_Model!$D$2:$D$29,MATCH(H280,FourWeekly_Model!$B$2:$B$29,0)),0),IF(VLOOKUP($A280,Calendar!$A$1:$R$1377,18,0)=2,SUM(IFERROR(INDEX(FourWeekly_Model!$D$2:$D$29,MATCH(H280,FourWeekly_Model!$B$2:$B$29,0)),0),IFERROR(INDEX(FourWeekly_Model!$D$2:$D$29,MATCH(H281,FourWeekly_Model!$B$2:$B$29,0)),0)),IF(VLOOKUP($A280,Calendar!$A$1:$R$1377,18,0)=3,SUM(IFERROR(INDEX(FourWeekly_Model!$D$2:$D$29,MATCH(H280,FourWeekly_Model!$B$2:$B$29,0)),0),IFERROR(INDEX(FourWeekly_Model!$D$2:$D$29,MATCH(H281,FourWeekly_Model!$B$2:$B$29,0)),0),IFERROR(INDEX(FourWeekly_Model!$D$2:$D$29,MATCH(H282,FourWeekly_Model!$B$2:$B$29,0)),0)),IF(VLOOKUP($A280,Calendar!$A$1:$R$1377,18,0)=4,SUM(IFERROR(INDEX(FourWeekly_Model!$D$2:$D$29,MATCH(H280,FourWeekly_Model!$B$2:$B$29,0)),0),IFERROR(INDEX(FourWeekly_Model!$D$2:$D$29,MATCH(H281,FourWeekly_Model!$B$2:$B$29,0)),0),IFERROR(INDEX(FourWeekly_Model!$D$2:$D$29,MATCH(H282,FourWeekly_Model!$B$2:$B$29,0)),0),IFERROR(INDEX(FourWeekly_Model!$D$2:$D$29,MATCH(H283,FourWeekly_Model!$B$2:$B$29,0)),0)),IF(VLOOKUP($A280,Calendar!$A$1:$R$1377,18,0)=5,SUM(IFERROR(INDEX(FourWeekly_Model!$D$2:$D$29,MATCH(H280,FourWeekly_Model!$B$2:$B$29,0)),0),IFERROR(INDEX(FourWeekly_Model!$D$2:$D$29,MATCH(H281,FourWeekly_Model!$B$2:$B$29,0)),0),IFERROR(INDEX(FourWeekly_Model!$D$2:$D$29,MATCH(H282,FourWeekly_Model!$B$2:$B$29,0)),0),IFERROR(INDEX(FourWeekly_Model!$D$2:$D$29,MATCH(H283,FourWeekly_Model!$B$2:$B$29,0)),0),IFERROR(INDEX(FourWeekly_Model!$D$2:$D$29,MATCH(H284,FourWeekly_Model!$B$2:$B$29,0)),0)),0))))))</f>
        <v>3.3214289700000004E-3</v>
      </c>
      <c r="N280" s="27">
        <f>SUM(I280:M280)</f>
        <v>3.0843119300104714E-2</v>
      </c>
      <c r="O280" s="28">
        <f>Population_Data!$B$8*N280</f>
        <v>934546.51479317283</v>
      </c>
      <c r="P280" s="27">
        <f>IF(VLOOKUP($A280,Calendar!$A$1:$R$1377,18,0)=0,0,IF(VLOOKUP($A280,Calendar!$A$1:$R$1377,18,0)=1,IFERROR(INDEX(Pension_Model!$D$2:$D$29,MATCH(H280,Pension_Model!$B$2:$B$29,0)),0),IF(VLOOKUP($A280,Calendar!$A$1:$R$1377,18,0)=2,SUM(IFERROR(INDEX(Pension_Model!$D$2:$D$29,MATCH(H280,Pension_Model!$B$2:$B$29,0)),0),IFERROR(INDEX(Pension_Model!$D$2:$D$29,MATCH(H281,Pension_Model!$B$2:$B$29,0)),0)),IF(VLOOKUP($A280,Calendar!$A$1:$R$1377,18,0)=3,SUM(IFERROR(INDEX(Pension_Model!$D$2:$D$29,MATCH(H280,Pension_Model!$B$2:$B$29,0)),0),IFERROR(INDEX(Pension_Model!$D$2:$D$29,MATCH(H281,Pension_Model!$B$2:$B$29,0)),0),IFERROR(INDEX(Pension_Model!$D$2:$D$29,MATCH(H282,Pension_Model!$B$2:$B$29,0)),0)),IF(VLOOKUP($A280,Calendar!$A$1:$R$1377,18,0)=4,SUM(IFERROR(INDEX(Pension_Model!$D$2:$D$29,MATCH(H280,Pension_Model!$B$2:$B$29,0)),0),IFERROR(INDEX(Pension_Model!$D$2:$D$29,MATCH(H281,Pension_Model!$B$2:$B$29,0)),0),IFERROR(INDEX(Pension_Model!$D$2:$D$29,MATCH(H282,Pension_Model!$B$2:$B$29,0)),0),IFERROR(INDEX(Pension_Model!$D$2:$D$29,MATCH(H283,Pension_Model!$B$2:$B$29,0)),0)),IF(VLOOKUP($A280,Calendar!$A$1:$R$1377,18,0)=5,SUM(IFERROR(INDEX(Pension_Model!$D$2:$D$29,MATCH(H280,Pension_Model!$B$2:$B$29,0)),0),IFERROR(INDEX(Pension_Model!$D$2:$D$29,MATCH(H281,Pension_Model!$B$2:$B$29,0)),0),IFERROR(INDEX(Pension_Model!$D$2:$D$29,MATCH(H282,Pension_Model!$B$2:$B$29,0)),0),IFERROR(INDEX(Pension_Model!$D$2:$D$29,MATCH(H283,Pension_Model!$B$2:$B$29,0)),0),IFERROR(INDEX(Pension_Model!$D$2:$D$29,MATCH(H284,Pension_Model!$B$2:$B$29,0)),0)),0))))))</f>
        <v>0.05</v>
      </c>
      <c r="Q280" s="28">
        <f>Population_Data!$B$15*P280</f>
        <v>660600</v>
      </c>
      <c r="S280">
        <f t="shared" si="4"/>
        <v>1595146.5147931729</v>
      </c>
      <c r="U280" s="33">
        <f>S280/Population_Data!$B$19</f>
        <v>2.8897581789731393E-2</v>
      </c>
    </row>
    <row r="281" spans="1:21">
      <c r="A281" s="25">
        <f>Calendar!A281</f>
        <v>46514</v>
      </c>
      <c r="B281" t="str">
        <f>Calendar!L281</f>
        <v>Yes</v>
      </c>
      <c r="C281" t="str">
        <f>Calendar!O281</f>
        <v>No</v>
      </c>
      <c r="D281" t="str">
        <f>Calendar!P281</f>
        <v>No</v>
      </c>
      <c r="E281" t="str">
        <f>Calendar!Q281</f>
        <v>No</v>
      </c>
      <c r="F281" t="str">
        <f>Calendar!I281</f>
        <v>Friday</v>
      </c>
      <c r="G281">
        <f>Calendar!S281</f>
        <v>6</v>
      </c>
      <c r="H281">
        <f>Calendar!T281</f>
        <v>6</v>
      </c>
      <c r="I281" s="27">
        <f>IF(VLOOKUP(A281,Calendar!$A$1:$R$1377,18,0)=0,0,IF(VLOOKUP(A281,Calendar!$A$1:$R$1377,18,0)=1,INDEX(Monthly_Pay_Model!$A$9:$D$40,MATCH(TEXT(A281,"dd"),Monthly_Pay_Model!$C$9:$C$39,0),4),IF(VLOOKUP(A281,Calendar!$A$1:$R$1377,18,0)=2,SUM(INDEX(Monthly_Pay_Model!$A$9:$D$40,MATCH(TEXT(A281,"dd"),Monthly_Pay_Model!$C$9:$C$39,0),4),INDEX(Monthly_Pay_Model!$A$9:$D$40,MATCH(TEXT(A282,"dd"),Monthly_Pay_Model!$C$9:$C$39,0),4)),IF(VLOOKUP(A281,Calendar!$A$1:$R$1377,18,0)=3,SUM(INDEX(Monthly_Pay_Model!$A$9:$D$40,MATCH(TEXT(A281,"dd"),Monthly_Pay_Model!$C$9:$C$39,0),4),INDEX(Monthly_Pay_Model!$A$9:$D$40,MATCH(TEXT(A282,"dd"),Monthly_Pay_Model!$C$9:$C$39,0),4),INDEX(Monthly_Pay_Model!$A$9:$D$40,MATCH(TEXT(A283,"dd"),Monthly_Pay_Model!$C$9:$C$39,0),4)),IF(VLOOKUP(A281,Calendar!$A$1:$R$1377,18,0)=4,SUM(INDEX(Monthly_Pay_Model!$A$9:$D$40,MATCH(TEXT(A281,"dd"),Monthly_Pay_Model!$C$9:$C$39,0),4),INDEX(Monthly_Pay_Model!$A$9:$D$40,MATCH(TEXT(A282,"dd"),Monthly_Pay_Model!$C$9:$C$39,0),4),INDEX(Monthly_Pay_Model!$A$9:$D$40,MATCH(TEXT(A283,"dd"),Monthly_Pay_Model!$C$9:$C$39,0),4),INDEX(Monthly_Pay_Model!$A$9:$D$40,MATCH(TEXT(A284,"dd"),Monthly_Pay_Model!$C$9:$C$39,0),4)),IF(VLOOKUP(A281,Calendar!$A$1:$R$1377,18,0)=5,SUM(INDEX(Monthly_Pay_Model!$A$9:$D$40,MATCH(TEXT(A281,"dd"),Monthly_Pay_Model!$C$9:$C$39,0),4),INDEX(Monthly_Pay_Model!$A$9:$D$40,MATCH(TEXT(A282,"dd"),Monthly_Pay_Model!$C$9:$C$39,0),4),INDEX(Monthly_Pay_Model!$A$9:$D$40,MATCH(TEXT(A283,"dd"),Monthly_Pay_Model!$C$9:$C$39,0),4),INDEX(Monthly_Pay_Model!$A$9:$D$40,MATCH(TEXT(A284,"dd"),Monthly_Pay_Model!$C$9:$C$39,0),4),INDEX(Monthly_Pay_Model!$A$9:$D$40,MATCH(TEXT(A285,"dd"),Monthly_Pay_Model!$C$9:$C$39,0),4)),))))))</f>
        <v>4.8753926701570671E-3</v>
      </c>
      <c r="J281" s="33">
        <f>IF(C281="Yes",Monthly_Pay_Model!$D$2,0)
+IF(Calendar!N281="Yes",Monthly_Pay_Model!$D$3,0)
+IF(D281="Yes",Monthly_Pay_Model!$D$4,0)
+IF(E281="Yes",Monthly_Pay_Model!$D$5,0)</f>
        <v>0</v>
      </c>
      <c r="K281" s="27">
        <f>IF(VLOOKUP($A281,Calendar!$A$1:$R$1377,18,0)=0,0,IF(VLOOKUP($A281,Calendar!$A$1:$R$1377,18,0)=1,IFERROR(INDEX(Weekly_Model!$D$2:$D$9,MATCH(F281,Weekly_Model!$A$2:$A$9,0)),0),IF(VLOOKUP($A281,Calendar!$A$1:$R$1377,18,0)=2,SUM(IFERROR(INDEX(Weekly_Model!$D$2:$D$9,MATCH(F281,Weekly_Model!$A$2:$A$9,0)),0),IFERROR(INDEX(Weekly_Model!$D$2:$D$9,MATCH(F282,Weekly_Model!$A$2:$A$9,0)),0)),IF(VLOOKUP($A281,Calendar!$A$1:$R$1377,18,0)=3,SUM(IFERROR(INDEX(Weekly_Model!$D$2:$D$9,MATCH(F281,Weekly_Model!$A$2:$A$9,0)),0),IFERROR(INDEX(Weekly_Model!$D$2:$D$9,MATCH(F282,Weekly_Model!$A$2:$A$9,0)),0),IFERROR(INDEX(Weekly_Model!$D$2:$D$9,MATCH(F283,Weekly_Model!$A$2:$A$9,0)),0)),IF(VLOOKUP($A281,Calendar!$A$1:$R$1377,18,0)=4,SUM(IFERROR(INDEX(Weekly_Model!$D$2:$D$9,MATCH(F281,Weekly_Model!$A$2:$A$9,0)),0),IFERROR(INDEX(Weekly_Model!$D$2:$D$9,MATCH(F282,Weekly_Model!$A$2:$A$9,0)),0),IFERROR(INDEX(Weekly_Model!$D$2:$D$9,MATCH(F283,Weekly_Model!$A$2:$A$9,0)),0),IFERROR(INDEX(Weekly_Model!$D$2:$D$9,MATCH(F284,Weekly_Model!$A$2:$A$9,0)),0)),IF(VLOOKUP($A281,Calendar!$A$1:$R$1377,18,0)=5,SUM(IFERROR(INDEX(Weekly_Model!$D$2:$D$9,MATCH(F281,Weekly_Model!$A$2:$A$9,0)),0),IFERROR(INDEX(Weekly_Model!$D$2:$D$9,MATCH(F282,Weekly_Model!$A$2:$A$9,0)),0),IFERROR(INDEX(Weekly_Model!$D$2:$D$9,MATCH(F283,Weekly_Model!$A$2:$A$9,0)),0),IFERROR(INDEX(Weekly_Model!$D$2:$D$9,MATCH(F284,Weekly_Model!$A$2:$A$9,0)),0),IFERROR(INDEX(Weekly_Model!$D$2:$D$9,MATCH(F285,Weekly_Model!$A$2:$A$9,0)),0)),0))))))</f>
        <v>2.3200000000000002E-2</v>
      </c>
      <c r="L281" s="27">
        <f>IF(VLOOKUP($A281,Calendar!$A$1:$R$1377,18,0)=0,0,IF(VLOOKUP($A281,Calendar!$A$1:$R$1377,18,0)=1,IFERROR(INDEX(Fortnightly_Model!$D$2:$D$15,MATCH(G281,Fortnightly_Model!$B$2:$B$15,0)),0),IF(VLOOKUP($A281,Calendar!$A$1:$R$1377,18,0)=2,SUM(IFERROR(INDEX(Fortnightly_Model!$D$2:$D$15,MATCH(G281,Fortnightly_Model!$B$2:$B$15,0)),0),IFERROR(INDEX(Fortnightly_Model!$D$2:$D$15,MATCH(G282,Fortnightly_Model!$B$2:$B$15,0)),0)),IF(VLOOKUP($A281,Calendar!$A$1:$R$1377,18,0)=3,SUM(IFERROR(INDEX(Fortnightly_Model!$D$2:$D$15,MATCH(G281,Fortnightly_Model!$B$2:$B$15,0)),0),IFERROR(INDEX(Fortnightly_Model!$D$2:$D$15,MATCH(G282,Fortnightly_Model!$B$2:$B$15,0)),0),IFERROR(INDEX(Fortnightly_Model!$D$2:$D$15,MATCH(G283,Fortnightly_Model!$B$2:$B$15,0)),0)),IF(VLOOKUP($A281,Calendar!$A$1:$R$1377,18,0)=4,SUM(IFERROR(INDEX(Fortnightly_Model!$D$2:$D$15,MATCH(G281,Fortnightly_Model!$B$2:$B$15,0)),0),IFERROR(INDEX(Fortnightly_Model!$D$2:$D$15,MATCH(G282,Fortnightly_Model!$B$2:$B$15,0)),0),IFERROR(INDEX(Fortnightly_Model!$D$2:$D$15,MATCH(G283,Fortnightly_Model!$B$2:$B$15,0)),0),IFERROR(INDEX(Fortnightly_Model!$D$2:$D$15,MATCH(G284,Fortnightly_Model!$B$2:$B$15,0)),0)),IF(VLOOKUP($A281,Calendar!$A$1:$R$1377,18,0)=5,SUM(IFERROR(INDEX(Fortnightly_Model!$D$2:$D$15,MATCH(G281,Fortnightly_Model!$B$2:$B$15,0)),0),IFERROR(INDEX(Fortnightly_Model!$D$2:$D$15,MATCH(G282,Fortnightly_Model!$B$2:$B$15,0)),0),IFERROR(INDEX(Fortnightly_Model!$D$2:$D$15,MATCH(G283,Fortnightly_Model!$B$2:$B$15,0)),0),IFERROR(INDEX(Fortnightly_Model!$D$2:$D$15,MATCH(G284,Fortnightly_Model!$B$2:$B$15,0)),0),IFERROR(INDEX(Fortnightly_Model!$D$2:$D$15,MATCH(G285,Fortnightly_Model!$B$2:$B$15,0)),0)),0))))))</f>
        <v>3.2142856499999999E-3</v>
      </c>
      <c r="M281" s="27">
        <f>IF(VLOOKUP($A281,Calendar!$A$1:$R$1377,18,0)=0,0,IF(VLOOKUP($A281,Calendar!$A$1:$R$1377,18,0)=1,IFERROR(INDEX(FourWeekly_Model!$D$2:$D$29,MATCH(H281,FourWeekly_Model!$B$2:$B$29,0)),0),IF(VLOOKUP($A281,Calendar!$A$1:$R$1377,18,0)=2,SUM(IFERROR(INDEX(FourWeekly_Model!$D$2:$D$29,MATCH(H281,FourWeekly_Model!$B$2:$B$29,0)),0),IFERROR(INDEX(FourWeekly_Model!$D$2:$D$29,MATCH(H282,FourWeekly_Model!$B$2:$B$29,0)),0)),IF(VLOOKUP($A281,Calendar!$A$1:$R$1377,18,0)=3,SUM(IFERROR(INDEX(FourWeekly_Model!$D$2:$D$29,MATCH(H281,FourWeekly_Model!$B$2:$B$29,0)),0),IFERROR(INDEX(FourWeekly_Model!$D$2:$D$29,MATCH(H282,FourWeekly_Model!$B$2:$B$29,0)),0),IFERROR(INDEX(FourWeekly_Model!$D$2:$D$29,MATCH(H283,FourWeekly_Model!$B$2:$B$29,0)),0)),IF(VLOOKUP($A281,Calendar!$A$1:$R$1377,18,0)=4,SUM(IFERROR(INDEX(FourWeekly_Model!$D$2:$D$29,MATCH(H281,FourWeekly_Model!$B$2:$B$29,0)),0),IFERROR(INDEX(FourWeekly_Model!$D$2:$D$29,MATCH(H282,FourWeekly_Model!$B$2:$B$29,0)),0),IFERROR(INDEX(FourWeekly_Model!$D$2:$D$29,MATCH(H283,FourWeekly_Model!$B$2:$B$29,0)),0),IFERROR(INDEX(FourWeekly_Model!$D$2:$D$29,MATCH(H284,FourWeekly_Model!$B$2:$B$29,0)),0)),IF(VLOOKUP($A281,Calendar!$A$1:$R$1377,18,0)=5,SUM(IFERROR(INDEX(FourWeekly_Model!$D$2:$D$29,MATCH(H281,FourWeekly_Model!$B$2:$B$29,0)),0),IFERROR(INDEX(FourWeekly_Model!$D$2:$D$29,MATCH(H282,FourWeekly_Model!$B$2:$B$29,0)),0),IFERROR(INDEX(FourWeekly_Model!$D$2:$D$29,MATCH(H283,FourWeekly_Model!$B$2:$B$29,0)),0),IFERROR(INDEX(FourWeekly_Model!$D$2:$D$29,MATCH(H284,FourWeekly_Model!$B$2:$B$29,0)),0),IFERROR(INDEX(FourWeekly_Model!$D$2:$D$29,MATCH(H285,FourWeekly_Model!$B$2:$B$29,0)),0)),0))))))</f>
        <v>9.9642859800000011E-3</v>
      </c>
      <c r="N281" s="27">
        <f>SUM(I281:M281)</f>
        <v>4.125396430015707E-2</v>
      </c>
      <c r="O281" s="28">
        <f>Population_Data!$B$8*N281</f>
        <v>1249995.1182947592</v>
      </c>
      <c r="P281" s="27">
        <f>IF(VLOOKUP($A281,Calendar!$A$1:$R$1377,18,0)=0,0,IF(VLOOKUP($A281,Calendar!$A$1:$R$1377,18,0)=1,IFERROR(INDEX(Pension_Model!$D$2:$D$29,MATCH(H281,Pension_Model!$B$2:$B$29,0)),0),IF(VLOOKUP($A281,Calendar!$A$1:$R$1377,18,0)=2,SUM(IFERROR(INDEX(Pension_Model!$D$2:$D$29,MATCH(H281,Pension_Model!$B$2:$B$29,0)),0),IFERROR(INDEX(Pension_Model!$D$2:$D$29,MATCH(H282,Pension_Model!$B$2:$B$29,0)),0)),IF(VLOOKUP($A281,Calendar!$A$1:$R$1377,18,0)=3,SUM(IFERROR(INDEX(Pension_Model!$D$2:$D$29,MATCH(H281,Pension_Model!$B$2:$B$29,0)),0),IFERROR(INDEX(Pension_Model!$D$2:$D$29,MATCH(H282,Pension_Model!$B$2:$B$29,0)),0),IFERROR(INDEX(Pension_Model!$D$2:$D$29,MATCH(H283,Pension_Model!$B$2:$B$29,0)),0)),IF(VLOOKUP($A281,Calendar!$A$1:$R$1377,18,0)=4,SUM(IFERROR(INDEX(Pension_Model!$D$2:$D$29,MATCH(H281,Pension_Model!$B$2:$B$29,0)),0),IFERROR(INDEX(Pension_Model!$D$2:$D$29,MATCH(H282,Pension_Model!$B$2:$B$29,0)),0),IFERROR(INDEX(Pension_Model!$D$2:$D$29,MATCH(H283,Pension_Model!$B$2:$B$29,0)),0),IFERROR(INDEX(Pension_Model!$D$2:$D$29,MATCH(H284,Pension_Model!$B$2:$B$29,0)),0)),IF(VLOOKUP($A281,Calendar!$A$1:$R$1377,18,0)=5,SUM(IFERROR(INDEX(Pension_Model!$D$2:$D$29,MATCH(H281,Pension_Model!$B$2:$B$29,0)),0),IFERROR(INDEX(Pension_Model!$D$2:$D$29,MATCH(H282,Pension_Model!$B$2:$B$29,0)),0),IFERROR(INDEX(Pension_Model!$D$2:$D$29,MATCH(H283,Pension_Model!$B$2:$B$29,0)),0),IFERROR(INDEX(Pension_Model!$D$2:$D$29,MATCH(H284,Pension_Model!$B$2:$B$29,0)),0),IFERROR(INDEX(Pension_Model!$D$2:$D$29,MATCH(H285,Pension_Model!$B$2:$B$29,0)),0)),0))))))</f>
        <v>0.05</v>
      </c>
      <c r="Q281" s="28">
        <f>Population_Data!$B$15*P281</f>
        <v>660600</v>
      </c>
      <c r="S281">
        <f t="shared" si="4"/>
        <v>1910595.1182947592</v>
      </c>
      <c r="U281" s="33">
        <f>S281/Population_Data!$B$19</f>
        <v>3.4612230403890568E-2</v>
      </c>
    </row>
    <row r="282" spans="1:21">
      <c r="A282" s="25">
        <f>Calendar!A282</f>
        <v>46515</v>
      </c>
      <c r="B282" t="str">
        <f>Calendar!L282</f>
        <v>No</v>
      </c>
      <c r="C282" t="str">
        <f>Calendar!O282</f>
        <v>No</v>
      </c>
      <c r="D282" t="str">
        <f>Calendar!P282</f>
        <v>No</v>
      </c>
      <c r="E282" t="str">
        <f>Calendar!Q282</f>
        <v>No</v>
      </c>
      <c r="F282" t="str">
        <f>Calendar!I282</f>
        <v>Saturday</v>
      </c>
      <c r="G282">
        <f>Calendar!S282</f>
        <v>7</v>
      </c>
      <c r="H282">
        <f>Calendar!T282</f>
        <v>7</v>
      </c>
      <c r="I282" s="27">
        <f>IF(VLOOKUP(A282,Calendar!$A$1:$R$1377,18,0)=0,0,IF(VLOOKUP(A282,Calendar!$A$1:$R$1377,18,0)=1,INDEX(Monthly_Pay_Model!$A$9:$D$40,MATCH(TEXT(A282,"dd"),Monthly_Pay_Model!$C$9:$C$39,0),4),IF(VLOOKUP(A282,Calendar!$A$1:$R$1377,18,0)=2,SUM(INDEX(Monthly_Pay_Model!$A$9:$D$40,MATCH(TEXT(A282,"dd"),Monthly_Pay_Model!$C$9:$C$39,0),4),INDEX(Monthly_Pay_Model!$A$9:$D$40,MATCH(TEXT(A283,"dd"),Monthly_Pay_Model!$C$9:$C$39,0),4)),IF(VLOOKUP(A282,Calendar!$A$1:$R$1377,18,0)=3,SUM(INDEX(Monthly_Pay_Model!$A$9:$D$40,MATCH(TEXT(A282,"dd"),Monthly_Pay_Model!$C$9:$C$39,0),4),INDEX(Monthly_Pay_Model!$A$9:$D$40,MATCH(TEXT(A283,"dd"),Monthly_Pay_Model!$C$9:$C$39,0),4),INDEX(Monthly_Pay_Model!$A$9:$D$40,MATCH(TEXT(A284,"dd"),Monthly_Pay_Model!$C$9:$C$39,0),4)),IF(VLOOKUP(A282,Calendar!$A$1:$R$1377,18,0)=4,SUM(INDEX(Monthly_Pay_Model!$A$9:$D$40,MATCH(TEXT(A282,"dd"),Monthly_Pay_Model!$C$9:$C$39,0),4),INDEX(Monthly_Pay_Model!$A$9:$D$40,MATCH(TEXT(A283,"dd"),Monthly_Pay_Model!$C$9:$C$39,0),4),INDEX(Monthly_Pay_Model!$A$9:$D$40,MATCH(TEXT(A284,"dd"),Monthly_Pay_Model!$C$9:$C$39,0),4),INDEX(Monthly_Pay_Model!$A$9:$D$40,MATCH(TEXT(A285,"dd"),Monthly_Pay_Model!$C$9:$C$39,0),4)),IF(VLOOKUP(A282,Calendar!$A$1:$R$1377,18,0)=5,SUM(INDEX(Monthly_Pay_Model!$A$9:$D$40,MATCH(TEXT(A282,"dd"),Monthly_Pay_Model!$C$9:$C$39,0),4),INDEX(Monthly_Pay_Model!$A$9:$D$40,MATCH(TEXT(A283,"dd"),Monthly_Pay_Model!$C$9:$C$39,0),4),INDEX(Monthly_Pay_Model!$A$9:$D$40,MATCH(TEXT(A284,"dd"),Monthly_Pay_Model!$C$9:$C$39,0),4),INDEX(Monthly_Pay_Model!$A$9:$D$40,MATCH(TEXT(A285,"dd"),Monthly_Pay_Model!$C$9:$C$39,0),4),INDEX(Monthly_Pay_Model!$A$9:$D$40,MATCH(TEXT(A286,"dd"),Monthly_Pay_Model!$C$9:$C$39,0),4)),))))))</f>
        <v>0</v>
      </c>
      <c r="J282" s="33">
        <f>IF(C282="Yes",Monthly_Pay_Model!$D$2,0)
+IF(Calendar!N282="Yes",Monthly_Pay_Model!$D$3,0)
+IF(D282="Yes",Monthly_Pay_Model!$D$4,0)
+IF(E282="Yes",Monthly_Pay_Model!$D$5,0)</f>
        <v>0</v>
      </c>
      <c r="K282" s="27">
        <f>IF(VLOOKUP($A282,Calendar!$A$1:$R$1377,18,0)=0,0,IF(VLOOKUP($A282,Calendar!$A$1:$R$1377,18,0)=1,IFERROR(INDEX(Weekly_Model!$D$2:$D$9,MATCH(F282,Weekly_Model!$A$2:$A$9,0)),0),IF(VLOOKUP($A282,Calendar!$A$1:$R$1377,18,0)=2,SUM(IFERROR(INDEX(Weekly_Model!$D$2:$D$9,MATCH(F282,Weekly_Model!$A$2:$A$9,0)),0),IFERROR(INDEX(Weekly_Model!$D$2:$D$9,MATCH(F283,Weekly_Model!$A$2:$A$9,0)),0)),IF(VLOOKUP($A282,Calendar!$A$1:$R$1377,18,0)=3,SUM(IFERROR(INDEX(Weekly_Model!$D$2:$D$9,MATCH(F282,Weekly_Model!$A$2:$A$9,0)),0),IFERROR(INDEX(Weekly_Model!$D$2:$D$9,MATCH(F283,Weekly_Model!$A$2:$A$9,0)),0),IFERROR(INDEX(Weekly_Model!$D$2:$D$9,MATCH(F284,Weekly_Model!$A$2:$A$9,0)),0)),IF(VLOOKUP($A282,Calendar!$A$1:$R$1377,18,0)=4,SUM(IFERROR(INDEX(Weekly_Model!$D$2:$D$9,MATCH(F282,Weekly_Model!$A$2:$A$9,0)),0),IFERROR(INDEX(Weekly_Model!$D$2:$D$9,MATCH(F283,Weekly_Model!$A$2:$A$9,0)),0),IFERROR(INDEX(Weekly_Model!$D$2:$D$9,MATCH(F284,Weekly_Model!$A$2:$A$9,0)),0),IFERROR(INDEX(Weekly_Model!$D$2:$D$9,MATCH(F285,Weekly_Model!$A$2:$A$9,0)),0)),IF(VLOOKUP($A282,Calendar!$A$1:$R$1377,18,0)=5,SUM(IFERROR(INDEX(Weekly_Model!$D$2:$D$9,MATCH(F282,Weekly_Model!$A$2:$A$9,0)),0),IFERROR(INDEX(Weekly_Model!$D$2:$D$9,MATCH(F283,Weekly_Model!$A$2:$A$9,0)),0),IFERROR(INDEX(Weekly_Model!$D$2:$D$9,MATCH(F284,Weekly_Model!$A$2:$A$9,0)),0),IFERROR(INDEX(Weekly_Model!$D$2:$D$9,MATCH(F285,Weekly_Model!$A$2:$A$9,0)),0),IFERROR(INDEX(Weekly_Model!$D$2:$D$9,MATCH(F286,Weekly_Model!$A$2:$A$9,0)),0)),0))))))</f>
        <v>0</v>
      </c>
      <c r="L282" s="27">
        <f>IF(VLOOKUP($A282,Calendar!$A$1:$R$1377,18,0)=0,0,IF(VLOOKUP($A282,Calendar!$A$1:$R$1377,18,0)=1,IFERROR(INDEX(Fortnightly_Model!$D$2:$D$15,MATCH(G282,Fortnightly_Model!$B$2:$B$15,0)),0),IF(VLOOKUP($A282,Calendar!$A$1:$R$1377,18,0)=2,SUM(IFERROR(INDEX(Fortnightly_Model!$D$2:$D$15,MATCH(G282,Fortnightly_Model!$B$2:$B$15,0)),0),IFERROR(INDEX(Fortnightly_Model!$D$2:$D$15,MATCH(G283,Fortnightly_Model!$B$2:$B$15,0)),0)),IF(VLOOKUP($A282,Calendar!$A$1:$R$1377,18,0)=3,SUM(IFERROR(INDEX(Fortnightly_Model!$D$2:$D$15,MATCH(G282,Fortnightly_Model!$B$2:$B$15,0)),0),IFERROR(INDEX(Fortnightly_Model!$D$2:$D$15,MATCH(G283,Fortnightly_Model!$B$2:$B$15,0)),0),IFERROR(INDEX(Fortnightly_Model!$D$2:$D$15,MATCH(G284,Fortnightly_Model!$B$2:$B$15,0)),0)),IF(VLOOKUP($A282,Calendar!$A$1:$R$1377,18,0)=4,SUM(IFERROR(INDEX(Fortnightly_Model!$D$2:$D$15,MATCH(G282,Fortnightly_Model!$B$2:$B$15,0)),0),IFERROR(INDEX(Fortnightly_Model!$D$2:$D$15,MATCH(G283,Fortnightly_Model!$B$2:$B$15,0)),0),IFERROR(INDEX(Fortnightly_Model!$D$2:$D$15,MATCH(G284,Fortnightly_Model!$B$2:$B$15,0)),0),IFERROR(INDEX(Fortnightly_Model!$D$2:$D$15,MATCH(G285,Fortnightly_Model!$B$2:$B$15,0)),0)),IF(VLOOKUP($A282,Calendar!$A$1:$R$1377,18,0)=5,SUM(IFERROR(INDEX(Fortnightly_Model!$D$2:$D$15,MATCH(G282,Fortnightly_Model!$B$2:$B$15,0)),0),IFERROR(INDEX(Fortnightly_Model!$D$2:$D$15,MATCH(G283,Fortnightly_Model!$B$2:$B$15,0)),0),IFERROR(INDEX(Fortnightly_Model!$D$2:$D$15,MATCH(G284,Fortnightly_Model!$B$2:$B$15,0)),0),IFERROR(INDEX(Fortnightly_Model!$D$2:$D$15,MATCH(G285,Fortnightly_Model!$B$2:$B$15,0)),0),IFERROR(INDEX(Fortnightly_Model!$D$2:$D$15,MATCH(G286,Fortnightly_Model!$B$2:$B$15,0)),0)),0))))))</f>
        <v>0</v>
      </c>
      <c r="M282" s="27">
        <f>IF(VLOOKUP($A282,Calendar!$A$1:$R$1377,18,0)=0,0,IF(VLOOKUP($A282,Calendar!$A$1:$R$1377,18,0)=1,IFERROR(INDEX(FourWeekly_Model!$D$2:$D$29,MATCH(H282,FourWeekly_Model!$B$2:$B$29,0)),0),IF(VLOOKUP($A282,Calendar!$A$1:$R$1377,18,0)=2,SUM(IFERROR(INDEX(FourWeekly_Model!$D$2:$D$29,MATCH(H282,FourWeekly_Model!$B$2:$B$29,0)),0),IFERROR(INDEX(FourWeekly_Model!$D$2:$D$29,MATCH(H283,FourWeekly_Model!$B$2:$B$29,0)),0)),IF(VLOOKUP($A282,Calendar!$A$1:$R$1377,18,0)=3,SUM(IFERROR(INDEX(FourWeekly_Model!$D$2:$D$29,MATCH(H282,FourWeekly_Model!$B$2:$B$29,0)),0),IFERROR(INDEX(FourWeekly_Model!$D$2:$D$29,MATCH(H283,FourWeekly_Model!$B$2:$B$29,0)),0),IFERROR(INDEX(FourWeekly_Model!$D$2:$D$29,MATCH(H284,FourWeekly_Model!$B$2:$B$29,0)),0)),IF(VLOOKUP($A282,Calendar!$A$1:$R$1377,18,0)=4,SUM(IFERROR(INDEX(FourWeekly_Model!$D$2:$D$29,MATCH(H282,FourWeekly_Model!$B$2:$B$29,0)),0),IFERROR(INDEX(FourWeekly_Model!$D$2:$D$29,MATCH(H283,FourWeekly_Model!$B$2:$B$29,0)),0),IFERROR(INDEX(FourWeekly_Model!$D$2:$D$29,MATCH(H284,FourWeekly_Model!$B$2:$B$29,0)),0),IFERROR(INDEX(FourWeekly_Model!$D$2:$D$29,MATCH(H285,FourWeekly_Model!$B$2:$B$29,0)),0)),IF(VLOOKUP($A282,Calendar!$A$1:$R$1377,18,0)=5,SUM(IFERROR(INDEX(FourWeekly_Model!$D$2:$D$29,MATCH(H282,FourWeekly_Model!$B$2:$B$29,0)),0),IFERROR(INDEX(FourWeekly_Model!$D$2:$D$29,MATCH(H283,FourWeekly_Model!$B$2:$B$29,0)),0),IFERROR(INDEX(FourWeekly_Model!$D$2:$D$29,MATCH(H284,FourWeekly_Model!$B$2:$B$29,0)),0),IFERROR(INDEX(FourWeekly_Model!$D$2:$D$29,MATCH(H285,FourWeekly_Model!$B$2:$B$29,0)),0),IFERROR(INDEX(FourWeekly_Model!$D$2:$D$29,MATCH(H286,FourWeekly_Model!$B$2:$B$29,0)),0)),0))))))</f>
        <v>0</v>
      </c>
      <c r="N282" s="27">
        <f>SUM(I282:M282)</f>
        <v>0</v>
      </c>
      <c r="O282" s="28">
        <f>Population_Data!$B$8*N282</f>
        <v>0</v>
      </c>
      <c r="P282" s="27">
        <f>IF(VLOOKUP($A282,Calendar!$A$1:$R$1377,18,0)=0,0,IF(VLOOKUP($A282,Calendar!$A$1:$R$1377,18,0)=1,IFERROR(INDEX(Pension_Model!$D$2:$D$29,MATCH(H282,Pension_Model!$B$2:$B$29,0)),0),IF(VLOOKUP($A282,Calendar!$A$1:$R$1377,18,0)=2,SUM(IFERROR(INDEX(Pension_Model!$D$2:$D$29,MATCH(H282,Pension_Model!$B$2:$B$29,0)),0),IFERROR(INDEX(Pension_Model!$D$2:$D$29,MATCH(H283,Pension_Model!$B$2:$B$29,0)),0)),IF(VLOOKUP($A282,Calendar!$A$1:$R$1377,18,0)=3,SUM(IFERROR(INDEX(Pension_Model!$D$2:$D$29,MATCH(H282,Pension_Model!$B$2:$B$29,0)),0),IFERROR(INDEX(Pension_Model!$D$2:$D$29,MATCH(H283,Pension_Model!$B$2:$B$29,0)),0),IFERROR(INDEX(Pension_Model!$D$2:$D$29,MATCH(H284,Pension_Model!$B$2:$B$29,0)),0)),IF(VLOOKUP($A282,Calendar!$A$1:$R$1377,18,0)=4,SUM(IFERROR(INDEX(Pension_Model!$D$2:$D$29,MATCH(H282,Pension_Model!$B$2:$B$29,0)),0),IFERROR(INDEX(Pension_Model!$D$2:$D$29,MATCH(H283,Pension_Model!$B$2:$B$29,0)),0),IFERROR(INDEX(Pension_Model!$D$2:$D$29,MATCH(H284,Pension_Model!$B$2:$B$29,0)),0),IFERROR(INDEX(Pension_Model!$D$2:$D$29,MATCH(H285,Pension_Model!$B$2:$B$29,0)),0)),IF(VLOOKUP($A282,Calendar!$A$1:$R$1377,18,0)=5,SUM(IFERROR(INDEX(Pension_Model!$D$2:$D$29,MATCH(H282,Pension_Model!$B$2:$B$29,0)),0),IFERROR(INDEX(Pension_Model!$D$2:$D$29,MATCH(H283,Pension_Model!$B$2:$B$29,0)),0),IFERROR(INDEX(Pension_Model!$D$2:$D$29,MATCH(H284,Pension_Model!$B$2:$B$29,0)),0),IFERROR(INDEX(Pension_Model!$D$2:$D$29,MATCH(H285,Pension_Model!$B$2:$B$29,0)),0),IFERROR(INDEX(Pension_Model!$D$2:$D$29,MATCH(H286,Pension_Model!$B$2:$B$29,0)),0)),0))))))</f>
        <v>0</v>
      </c>
      <c r="Q282" s="28">
        <f>Population_Data!$B$15*P282</f>
        <v>0</v>
      </c>
      <c r="S282">
        <f t="shared" si="4"/>
        <v>0</v>
      </c>
      <c r="U282" s="33">
        <f>S282/Population_Data!$B$19</f>
        <v>0</v>
      </c>
    </row>
    <row r="283" spans="1:21">
      <c r="A283" s="25">
        <f>Calendar!A283</f>
        <v>46516</v>
      </c>
      <c r="B283" t="str">
        <f>Calendar!L283</f>
        <v>No</v>
      </c>
      <c r="C283" t="str">
        <f>Calendar!O283</f>
        <v>No</v>
      </c>
      <c r="D283" t="str">
        <f>Calendar!P283</f>
        <v>No</v>
      </c>
      <c r="E283" t="str">
        <f>Calendar!Q283</f>
        <v>No</v>
      </c>
      <c r="F283" t="str">
        <f>Calendar!I283</f>
        <v>Sunday</v>
      </c>
      <c r="G283">
        <f>Calendar!S283</f>
        <v>8</v>
      </c>
      <c r="H283">
        <f>Calendar!T283</f>
        <v>8</v>
      </c>
      <c r="I283" s="27">
        <f>IF(VLOOKUP(A283,Calendar!$A$1:$R$1377,18,0)=0,0,IF(VLOOKUP(A283,Calendar!$A$1:$R$1377,18,0)=1,INDEX(Monthly_Pay_Model!$A$9:$D$40,MATCH(TEXT(A283,"dd"),Monthly_Pay_Model!$C$9:$C$39,0),4),IF(VLOOKUP(A283,Calendar!$A$1:$R$1377,18,0)=2,SUM(INDEX(Monthly_Pay_Model!$A$9:$D$40,MATCH(TEXT(A283,"dd"),Monthly_Pay_Model!$C$9:$C$39,0),4),INDEX(Monthly_Pay_Model!$A$9:$D$40,MATCH(TEXT(A284,"dd"),Monthly_Pay_Model!$C$9:$C$39,0),4)),IF(VLOOKUP(A283,Calendar!$A$1:$R$1377,18,0)=3,SUM(INDEX(Monthly_Pay_Model!$A$9:$D$40,MATCH(TEXT(A283,"dd"),Monthly_Pay_Model!$C$9:$C$39,0),4),INDEX(Monthly_Pay_Model!$A$9:$D$40,MATCH(TEXT(A284,"dd"),Monthly_Pay_Model!$C$9:$C$39,0),4),INDEX(Monthly_Pay_Model!$A$9:$D$40,MATCH(TEXT(A285,"dd"),Monthly_Pay_Model!$C$9:$C$39,0),4)),IF(VLOOKUP(A283,Calendar!$A$1:$R$1377,18,0)=4,SUM(INDEX(Monthly_Pay_Model!$A$9:$D$40,MATCH(TEXT(A283,"dd"),Monthly_Pay_Model!$C$9:$C$39,0),4),INDEX(Monthly_Pay_Model!$A$9:$D$40,MATCH(TEXT(A284,"dd"),Monthly_Pay_Model!$C$9:$C$39,0),4),INDEX(Monthly_Pay_Model!$A$9:$D$40,MATCH(TEXT(A285,"dd"),Monthly_Pay_Model!$C$9:$C$39,0),4),INDEX(Monthly_Pay_Model!$A$9:$D$40,MATCH(TEXT(A286,"dd"),Monthly_Pay_Model!$C$9:$C$39,0),4)),IF(VLOOKUP(A283,Calendar!$A$1:$R$1377,18,0)=5,SUM(INDEX(Monthly_Pay_Model!$A$9:$D$40,MATCH(TEXT(A283,"dd"),Monthly_Pay_Model!$C$9:$C$39,0),4),INDEX(Monthly_Pay_Model!$A$9:$D$40,MATCH(TEXT(A284,"dd"),Monthly_Pay_Model!$C$9:$C$39,0),4),INDEX(Monthly_Pay_Model!$A$9:$D$40,MATCH(TEXT(A285,"dd"),Monthly_Pay_Model!$C$9:$C$39,0),4),INDEX(Monthly_Pay_Model!$A$9:$D$40,MATCH(TEXT(A286,"dd"),Monthly_Pay_Model!$C$9:$C$39,0),4),INDEX(Monthly_Pay_Model!$A$9:$D$40,MATCH(TEXT(A287,"dd"),Monthly_Pay_Model!$C$9:$C$39,0),4)),))))))</f>
        <v>0</v>
      </c>
      <c r="J283" s="33">
        <f>IF(C283="Yes",Monthly_Pay_Model!$D$2,0)
+IF(Calendar!N283="Yes",Monthly_Pay_Model!$D$3,0)
+IF(D283="Yes",Monthly_Pay_Model!$D$4,0)
+IF(E283="Yes",Monthly_Pay_Model!$D$5,0)</f>
        <v>0</v>
      </c>
      <c r="K283" s="27">
        <f>IF(VLOOKUP($A283,Calendar!$A$1:$R$1377,18,0)=0,0,IF(VLOOKUP($A283,Calendar!$A$1:$R$1377,18,0)=1,IFERROR(INDEX(Weekly_Model!$D$2:$D$9,MATCH(F283,Weekly_Model!$A$2:$A$9,0)),0),IF(VLOOKUP($A283,Calendar!$A$1:$R$1377,18,0)=2,SUM(IFERROR(INDEX(Weekly_Model!$D$2:$D$9,MATCH(F283,Weekly_Model!$A$2:$A$9,0)),0),IFERROR(INDEX(Weekly_Model!$D$2:$D$9,MATCH(F284,Weekly_Model!$A$2:$A$9,0)),0)),IF(VLOOKUP($A283,Calendar!$A$1:$R$1377,18,0)=3,SUM(IFERROR(INDEX(Weekly_Model!$D$2:$D$9,MATCH(F283,Weekly_Model!$A$2:$A$9,0)),0),IFERROR(INDEX(Weekly_Model!$D$2:$D$9,MATCH(F284,Weekly_Model!$A$2:$A$9,0)),0),IFERROR(INDEX(Weekly_Model!$D$2:$D$9,MATCH(F285,Weekly_Model!$A$2:$A$9,0)),0)),IF(VLOOKUP($A283,Calendar!$A$1:$R$1377,18,0)=4,SUM(IFERROR(INDEX(Weekly_Model!$D$2:$D$9,MATCH(F283,Weekly_Model!$A$2:$A$9,0)),0),IFERROR(INDEX(Weekly_Model!$D$2:$D$9,MATCH(F284,Weekly_Model!$A$2:$A$9,0)),0),IFERROR(INDEX(Weekly_Model!$D$2:$D$9,MATCH(F285,Weekly_Model!$A$2:$A$9,0)),0),IFERROR(INDEX(Weekly_Model!$D$2:$D$9,MATCH(F286,Weekly_Model!$A$2:$A$9,0)),0)),IF(VLOOKUP($A283,Calendar!$A$1:$R$1377,18,0)=5,SUM(IFERROR(INDEX(Weekly_Model!$D$2:$D$9,MATCH(F283,Weekly_Model!$A$2:$A$9,0)),0),IFERROR(INDEX(Weekly_Model!$D$2:$D$9,MATCH(F284,Weekly_Model!$A$2:$A$9,0)),0),IFERROR(INDEX(Weekly_Model!$D$2:$D$9,MATCH(F285,Weekly_Model!$A$2:$A$9,0)),0),IFERROR(INDEX(Weekly_Model!$D$2:$D$9,MATCH(F286,Weekly_Model!$A$2:$A$9,0)),0),IFERROR(INDEX(Weekly_Model!$D$2:$D$9,MATCH(F287,Weekly_Model!$A$2:$A$9,0)),0)),0))))))</f>
        <v>0</v>
      </c>
      <c r="L283" s="27">
        <f>IF(VLOOKUP($A283,Calendar!$A$1:$R$1377,18,0)=0,0,IF(VLOOKUP($A283,Calendar!$A$1:$R$1377,18,0)=1,IFERROR(INDEX(Fortnightly_Model!$D$2:$D$15,MATCH(G283,Fortnightly_Model!$B$2:$B$15,0)),0),IF(VLOOKUP($A283,Calendar!$A$1:$R$1377,18,0)=2,SUM(IFERROR(INDEX(Fortnightly_Model!$D$2:$D$15,MATCH(G283,Fortnightly_Model!$B$2:$B$15,0)),0),IFERROR(INDEX(Fortnightly_Model!$D$2:$D$15,MATCH(G284,Fortnightly_Model!$B$2:$B$15,0)),0)),IF(VLOOKUP($A283,Calendar!$A$1:$R$1377,18,0)=3,SUM(IFERROR(INDEX(Fortnightly_Model!$D$2:$D$15,MATCH(G283,Fortnightly_Model!$B$2:$B$15,0)),0),IFERROR(INDEX(Fortnightly_Model!$D$2:$D$15,MATCH(G284,Fortnightly_Model!$B$2:$B$15,0)),0),IFERROR(INDEX(Fortnightly_Model!$D$2:$D$15,MATCH(G285,Fortnightly_Model!$B$2:$B$15,0)),0)),IF(VLOOKUP($A283,Calendar!$A$1:$R$1377,18,0)=4,SUM(IFERROR(INDEX(Fortnightly_Model!$D$2:$D$15,MATCH(G283,Fortnightly_Model!$B$2:$B$15,0)),0),IFERROR(INDEX(Fortnightly_Model!$D$2:$D$15,MATCH(G284,Fortnightly_Model!$B$2:$B$15,0)),0),IFERROR(INDEX(Fortnightly_Model!$D$2:$D$15,MATCH(G285,Fortnightly_Model!$B$2:$B$15,0)),0),IFERROR(INDEX(Fortnightly_Model!$D$2:$D$15,MATCH(G286,Fortnightly_Model!$B$2:$B$15,0)),0)),IF(VLOOKUP($A283,Calendar!$A$1:$R$1377,18,0)=5,SUM(IFERROR(INDEX(Fortnightly_Model!$D$2:$D$15,MATCH(G283,Fortnightly_Model!$B$2:$B$15,0)),0),IFERROR(INDEX(Fortnightly_Model!$D$2:$D$15,MATCH(G284,Fortnightly_Model!$B$2:$B$15,0)),0),IFERROR(INDEX(Fortnightly_Model!$D$2:$D$15,MATCH(G285,Fortnightly_Model!$B$2:$B$15,0)),0),IFERROR(INDEX(Fortnightly_Model!$D$2:$D$15,MATCH(G286,Fortnightly_Model!$B$2:$B$15,0)),0),IFERROR(INDEX(Fortnightly_Model!$D$2:$D$15,MATCH(G287,Fortnightly_Model!$B$2:$B$15,0)),0)),0))))))</f>
        <v>0</v>
      </c>
      <c r="M283" s="27">
        <f>IF(VLOOKUP($A283,Calendar!$A$1:$R$1377,18,0)=0,0,IF(VLOOKUP($A283,Calendar!$A$1:$R$1377,18,0)=1,IFERROR(INDEX(FourWeekly_Model!$D$2:$D$29,MATCH(H283,FourWeekly_Model!$B$2:$B$29,0)),0),IF(VLOOKUP($A283,Calendar!$A$1:$R$1377,18,0)=2,SUM(IFERROR(INDEX(FourWeekly_Model!$D$2:$D$29,MATCH(H283,FourWeekly_Model!$B$2:$B$29,0)),0),IFERROR(INDEX(FourWeekly_Model!$D$2:$D$29,MATCH(H284,FourWeekly_Model!$B$2:$B$29,0)),0)),IF(VLOOKUP($A283,Calendar!$A$1:$R$1377,18,0)=3,SUM(IFERROR(INDEX(FourWeekly_Model!$D$2:$D$29,MATCH(H283,FourWeekly_Model!$B$2:$B$29,0)),0),IFERROR(INDEX(FourWeekly_Model!$D$2:$D$29,MATCH(H284,FourWeekly_Model!$B$2:$B$29,0)),0),IFERROR(INDEX(FourWeekly_Model!$D$2:$D$29,MATCH(H285,FourWeekly_Model!$B$2:$B$29,0)),0)),IF(VLOOKUP($A283,Calendar!$A$1:$R$1377,18,0)=4,SUM(IFERROR(INDEX(FourWeekly_Model!$D$2:$D$29,MATCH(H283,FourWeekly_Model!$B$2:$B$29,0)),0),IFERROR(INDEX(FourWeekly_Model!$D$2:$D$29,MATCH(H284,FourWeekly_Model!$B$2:$B$29,0)),0),IFERROR(INDEX(FourWeekly_Model!$D$2:$D$29,MATCH(H285,FourWeekly_Model!$B$2:$B$29,0)),0),IFERROR(INDEX(FourWeekly_Model!$D$2:$D$29,MATCH(H286,FourWeekly_Model!$B$2:$B$29,0)),0)),IF(VLOOKUP($A283,Calendar!$A$1:$R$1377,18,0)=5,SUM(IFERROR(INDEX(FourWeekly_Model!$D$2:$D$29,MATCH(H283,FourWeekly_Model!$B$2:$B$29,0)),0),IFERROR(INDEX(FourWeekly_Model!$D$2:$D$29,MATCH(H284,FourWeekly_Model!$B$2:$B$29,0)),0),IFERROR(INDEX(FourWeekly_Model!$D$2:$D$29,MATCH(H285,FourWeekly_Model!$B$2:$B$29,0)),0),IFERROR(INDEX(FourWeekly_Model!$D$2:$D$29,MATCH(H286,FourWeekly_Model!$B$2:$B$29,0)),0),IFERROR(INDEX(FourWeekly_Model!$D$2:$D$29,MATCH(H287,FourWeekly_Model!$B$2:$B$29,0)),0)),0))))))</f>
        <v>0</v>
      </c>
      <c r="N283" s="27">
        <f>SUM(I283:M283)</f>
        <v>0</v>
      </c>
      <c r="O283" s="28">
        <f>Population_Data!$B$8*N283</f>
        <v>0</v>
      </c>
      <c r="P283" s="27">
        <f>IF(VLOOKUP($A283,Calendar!$A$1:$R$1377,18,0)=0,0,IF(VLOOKUP($A283,Calendar!$A$1:$R$1377,18,0)=1,IFERROR(INDEX(Pension_Model!$D$2:$D$29,MATCH(H283,Pension_Model!$B$2:$B$29,0)),0),IF(VLOOKUP($A283,Calendar!$A$1:$R$1377,18,0)=2,SUM(IFERROR(INDEX(Pension_Model!$D$2:$D$29,MATCH(H283,Pension_Model!$B$2:$B$29,0)),0),IFERROR(INDEX(Pension_Model!$D$2:$D$29,MATCH(H284,Pension_Model!$B$2:$B$29,0)),0)),IF(VLOOKUP($A283,Calendar!$A$1:$R$1377,18,0)=3,SUM(IFERROR(INDEX(Pension_Model!$D$2:$D$29,MATCH(H283,Pension_Model!$B$2:$B$29,0)),0),IFERROR(INDEX(Pension_Model!$D$2:$D$29,MATCH(H284,Pension_Model!$B$2:$B$29,0)),0),IFERROR(INDEX(Pension_Model!$D$2:$D$29,MATCH(H285,Pension_Model!$B$2:$B$29,0)),0)),IF(VLOOKUP($A283,Calendar!$A$1:$R$1377,18,0)=4,SUM(IFERROR(INDEX(Pension_Model!$D$2:$D$29,MATCH(H283,Pension_Model!$B$2:$B$29,0)),0),IFERROR(INDEX(Pension_Model!$D$2:$D$29,MATCH(H284,Pension_Model!$B$2:$B$29,0)),0),IFERROR(INDEX(Pension_Model!$D$2:$D$29,MATCH(H285,Pension_Model!$B$2:$B$29,0)),0),IFERROR(INDEX(Pension_Model!$D$2:$D$29,MATCH(H286,Pension_Model!$B$2:$B$29,0)),0)),IF(VLOOKUP($A283,Calendar!$A$1:$R$1377,18,0)=5,SUM(IFERROR(INDEX(Pension_Model!$D$2:$D$29,MATCH(H283,Pension_Model!$B$2:$B$29,0)),0),IFERROR(INDEX(Pension_Model!$D$2:$D$29,MATCH(H284,Pension_Model!$B$2:$B$29,0)),0),IFERROR(INDEX(Pension_Model!$D$2:$D$29,MATCH(H285,Pension_Model!$B$2:$B$29,0)),0),IFERROR(INDEX(Pension_Model!$D$2:$D$29,MATCH(H286,Pension_Model!$B$2:$B$29,0)),0),IFERROR(INDEX(Pension_Model!$D$2:$D$29,MATCH(H287,Pension_Model!$B$2:$B$29,0)),0)),0))))))</f>
        <v>0</v>
      </c>
      <c r="Q283" s="28">
        <f>Population_Data!$B$15*P283</f>
        <v>0</v>
      </c>
      <c r="S283">
        <f t="shared" si="4"/>
        <v>0</v>
      </c>
      <c r="U283" s="33">
        <f>S283/Population_Data!$B$19</f>
        <v>0</v>
      </c>
    </row>
    <row r="284" spans="1:21">
      <c r="A284" s="25">
        <f>Calendar!A284</f>
        <v>46517</v>
      </c>
      <c r="B284" t="str">
        <f>Calendar!L284</f>
        <v>Yes</v>
      </c>
      <c r="C284" t="str">
        <f>Calendar!O284</f>
        <v>No</v>
      </c>
      <c r="D284" t="str">
        <f>Calendar!P284</f>
        <v>No</v>
      </c>
      <c r="E284" t="str">
        <f>Calendar!Q284</f>
        <v>No</v>
      </c>
      <c r="F284" t="str">
        <f>Calendar!I284</f>
        <v>Monday</v>
      </c>
      <c r="G284">
        <f>Calendar!S284</f>
        <v>9</v>
      </c>
      <c r="H284">
        <f>Calendar!T284</f>
        <v>9</v>
      </c>
      <c r="I284" s="27">
        <f>IF(VLOOKUP(A284,Calendar!$A$1:$R$1377,18,0)=0,0,IF(VLOOKUP(A284,Calendar!$A$1:$R$1377,18,0)=1,INDEX(Monthly_Pay_Model!$A$9:$D$40,MATCH(TEXT(A284,"dd"),Monthly_Pay_Model!$C$9:$C$39,0),4),IF(VLOOKUP(A284,Calendar!$A$1:$R$1377,18,0)=2,SUM(INDEX(Monthly_Pay_Model!$A$9:$D$40,MATCH(TEXT(A284,"dd"),Monthly_Pay_Model!$C$9:$C$39,0),4),INDEX(Monthly_Pay_Model!$A$9:$D$40,MATCH(TEXT(A285,"dd"),Monthly_Pay_Model!$C$9:$C$39,0),4)),IF(VLOOKUP(A284,Calendar!$A$1:$R$1377,18,0)=3,SUM(INDEX(Monthly_Pay_Model!$A$9:$D$40,MATCH(TEXT(A284,"dd"),Monthly_Pay_Model!$C$9:$C$39,0),4),INDEX(Monthly_Pay_Model!$A$9:$D$40,MATCH(TEXT(A285,"dd"),Monthly_Pay_Model!$C$9:$C$39,0),4),INDEX(Monthly_Pay_Model!$A$9:$D$40,MATCH(TEXT(A286,"dd"),Monthly_Pay_Model!$C$9:$C$39,0),4)),IF(VLOOKUP(A284,Calendar!$A$1:$R$1377,18,0)=4,SUM(INDEX(Monthly_Pay_Model!$A$9:$D$40,MATCH(TEXT(A284,"dd"),Monthly_Pay_Model!$C$9:$C$39,0),4),INDEX(Monthly_Pay_Model!$A$9:$D$40,MATCH(TEXT(A285,"dd"),Monthly_Pay_Model!$C$9:$C$39,0),4),INDEX(Monthly_Pay_Model!$A$9:$D$40,MATCH(TEXT(A286,"dd"),Monthly_Pay_Model!$C$9:$C$39,0),4),INDEX(Monthly_Pay_Model!$A$9:$D$40,MATCH(TEXT(A287,"dd"),Monthly_Pay_Model!$C$9:$C$39,0),4)),IF(VLOOKUP(A284,Calendar!$A$1:$R$1377,18,0)=5,SUM(INDEX(Monthly_Pay_Model!$A$9:$D$40,MATCH(TEXT(A284,"dd"),Monthly_Pay_Model!$C$9:$C$39,0),4),INDEX(Monthly_Pay_Model!$A$9:$D$40,MATCH(TEXT(A285,"dd"),Monthly_Pay_Model!$C$9:$C$39,0),4),INDEX(Monthly_Pay_Model!$A$9:$D$40,MATCH(TEXT(A286,"dd"),Monthly_Pay_Model!$C$9:$C$39,0),4),INDEX(Monthly_Pay_Model!$A$9:$D$40,MATCH(TEXT(A287,"dd"),Monthly_Pay_Model!$C$9:$C$39,0),4),INDEX(Monthly_Pay_Model!$A$9:$D$40,MATCH(TEXT(A288,"dd"),Monthly_Pay_Model!$C$9:$C$39,0),4)),))))))</f>
        <v>4.8753926701570662E-3</v>
      </c>
      <c r="J284" s="33">
        <f>IF(C284="Yes",Monthly_Pay_Model!$D$2,0)
+IF(Calendar!N284="Yes",Monthly_Pay_Model!$D$3,0)
+IF(D284="Yes",Monthly_Pay_Model!$D$4,0)
+IF(E284="Yes",Monthly_Pay_Model!$D$5,0)</f>
        <v>0</v>
      </c>
      <c r="K284" s="27">
        <f>IF(VLOOKUP($A284,Calendar!$A$1:$R$1377,18,0)=0,0,IF(VLOOKUP($A284,Calendar!$A$1:$R$1377,18,0)=1,IFERROR(INDEX(Weekly_Model!$D$2:$D$9,MATCH(F284,Weekly_Model!$A$2:$A$9,0)),0),IF(VLOOKUP($A284,Calendar!$A$1:$R$1377,18,0)=2,SUM(IFERROR(INDEX(Weekly_Model!$D$2:$D$9,MATCH(F284,Weekly_Model!$A$2:$A$9,0)),0),IFERROR(INDEX(Weekly_Model!$D$2:$D$9,MATCH(F285,Weekly_Model!$A$2:$A$9,0)),0)),IF(VLOOKUP($A284,Calendar!$A$1:$R$1377,18,0)=3,SUM(IFERROR(INDEX(Weekly_Model!$D$2:$D$9,MATCH(F284,Weekly_Model!$A$2:$A$9,0)),0),IFERROR(INDEX(Weekly_Model!$D$2:$D$9,MATCH(F285,Weekly_Model!$A$2:$A$9,0)),0),IFERROR(INDEX(Weekly_Model!$D$2:$D$9,MATCH(F286,Weekly_Model!$A$2:$A$9,0)),0)),IF(VLOOKUP($A284,Calendar!$A$1:$R$1377,18,0)=4,SUM(IFERROR(INDEX(Weekly_Model!$D$2:$D$9,MATCH(F284,Weekly_Model!$A$2:$A$9,0)),0),IFERROR(INDEX(Weekly_Model!$D$2:$D$9,MATCH(F285,Weekly_Model!$A$2:$A$9,0)),0),IFERROR(INDEX(Weekly_Model!$D$2:$D$9,MATCH(F286,Weekly_Model!$A$2:$A$9,0)),0),IFERROR(INDEX(Weekly_Model!$D$2:$D$9,MATCH(F287,Weekly_Model!$A$2:$A$9,0)),0)),IF(VLOOKUP($A284,Calendar!$A$1:$R$1377,18,0)=5,SUM(IFERROR(INDEX(Weekly_Model!$D$2:$D$9,MATCH(F284,Weekly_Model!$A$2:$A$9,0)),0),IFERROR(INDEX(Weekly_Model!$D$2:$D$9,MATCH(F285,Weekly_Model!$A$2:$A$9,0)),0),IFERROR(INDEX(Weekly_Model!$D$2:$D$9,MATCH(F286,Weekly_Model!$A$2:$A$9,0)),0),IFERROR(INDEX(Weekly_Model!$D$2:$D$9,MATCH(F287,Weekly_Model!$A$2:$A$9,0)),0),IFERROR(INDEX(Weekly_Model!$D$2:$D$9,MATCH(F288,Weekly_Model!$A$2:$A$9,0)),0)),0))))))</f>
        <v>2.3200000000000002E-2</v>
      </c>
      <c r="L284" s="27">
        <f>IF(VLOOKUP($A284,Calendar!$A$1:$R$1377,18,0)=0,0,IF(VLOOKUP($A284,Calendar!$A$1:$R$1377,18,0)=1,IFERROR(INDEX(Fortnightly_Model!$D$2:$D$15,MATCH(G284,Fortnightly_Model!$B$2:$B$15,0)),0),IF(VLOOKUP($A284,Calendar!$A$1:$R$1377,18,0)=2,SUM(IFERROR(INDEX(Fortnightly_Model!$D$2:$D$15,MATCH(G284,Fortnightly_Model!$B$2:$B$15,0)),0),IFERROR(INDEX(Fortnightly_Model!$D$2:$D$15,MATCH(G285,Fortnightly_Model!$B$2:$B$15,0)),0)),IF(VLOOKUP($A284,Calendar!$A$1:$R$1377,18,0)=3,SUM(IFERROR(INDEX(Fortnightly_Model!$D$2:$D$15,MATCH(G284,Fortnightly_Model!$B$2:$B$15,0)),0),IFERROR(INDEX(Fortnightly_Model!$D$2:$D$15,MATCH(G285,Fortnightly_Model!$B$2:$B$15,0)),0),IFERROR(INDEX(Fortnightly_Model!$D$2:$D$15,MATCH(G286,Fortnightly_Model!$B$2:$B$15,0)),0)),IF(VLOOKUP($A284,Calendar!$A$1:$R$1377,18,0)=4,SUM(IFERROR(INDEX(Fortnightly_Model!$D$2:$D$15,MATCH(G284,Fortnightly_Model!$B$2:$B$15,0)),0),IFERROR(INDEX(Fortnightly_Model!$D$2:$D$15,MATCH(G285,Fortnightly_Model!$B$2:$B$15,0)),0),IFERROR(INDEX(Fortnightly_Model!$D$2:$D$15,MATCH(G286,Fortnightly_Model!$B$2:$B$15,0)),0),IFERROR(INDEX(Fortnightly_Model!$D$2:$D$15,MATCH(G287,Fortnightly_Model!$B$2:$B$15,0)),0)),IF(VLOOKUP($A284,Calendar!$A$1:$R$1377,18,0)=5,SUM(IFERROR(INDEX(Fortnightly_Model!$D$2:$D$15,MATCH(G284,Fortnightly_Model!$B$2:$B$15,0)),0),IFERROR(INDEX(Fortnightly_Model!$D$2:$D$15,MATCH(G285,Fortnightly_Model!$B$2:$B$15,0)),0),IFERROR(INDEX(Fortnightly_Model!$D$2:$D$15,MATCH(G286,Fortnightly_Model!$B$2:$B$15,0)),0),IFERROR(INDEX(Fortnightly_Model!$D$2:$D$15,MATCH(G287,Fortnightly_Model!$B$2:$B$15,0)),0),IFERROR(INDEX(Fortnightly_Model!$D$2:$D$15,MATCH(G288,Fortnightly_Model!$B$2:$B$15,0)),0)),0))))))</f>
        <v>1.0714285499999999E-3</v>
      </c>
      <c r="M284" s="27">
        <f>IF(VLOOKUP($A284,Calendar!$A$1:$R$1377,18,0)=0,0,IF(VLOOKUP($A284,Calendar!$A$1:$R$1377,18,0)=1,IFERROR(INDEX(FourWeekly_Model!$D$2:$D$29,MATCH(H284,FourWeekly_Model!$B$2:$B$29,0)),0),IF(VLOOKUP($A284,Calendar!$A$1:$R$1377,18,0)=2,SUM(IFERROR(INDEX(FourWeekly_Model!$D$2:$D$29,MATCH(H284,FourWeekly_Model!$B$2:$B$29,0)),0),IFERROR(INDEX(FourWeekly_Model!$D$2:$D$29,MATCH(H285,FourWeekly_Model!$B$2:$B$29,0)),0)),IF(VLOOKUP($A284,Calendar!$A$1:$R$1377,18,0)=3,SUM(IFERROR(INDEX(FourWeekly_Model!$D$2:$D$29,MATCH(H284,FourWeekly_Model!$B$2:$B$29,0)),0),IFERROR(INDEX(FourWeekly_Model!$D$2:$D$29,MATCH(H285,FourWeekly_Model!$B$2:$B$29,0)),0),IFERROR(INDEX(FourWeekly_Model!$D$2:$D$29,MATCH(H286,FourWeekly_Model!$B$2:$B$29,0)),0)),IF(VLOOKUP($A284,Calendar!$A$1:$R$1377,18,0)=4,SUM(IFERROR(INDEX(FourWeekly_Model!$D$2:$D$29,MATCH(H284,FourWeekly_Model!$B$2:$B$29,0)),0),IFERROR(INDEX(FourWeekly_Model!$D$2:$D$29,MATCH(H285,FourWeekly_Model!$B$2:$B$29,0)),0),IFERROR(INDEX(FourWeekly_Model!$D$2:$D$29,MATCH(H286,FourWeekly_Model!$B$2:$B$29,0)),0),IFERROR(INDEX(FourWeekly_Model!$D$2:$D$29,MATCH(H287,FourWeekly_Model!$B$2:$B$29,0)),0)),IF(VLOOKUP($A284,Calendar!$A$1:$R$1377,18,0)=5,SUM(IFERROR(INDEX(FourWeekly_Model!$D$2:$D$29,MATCH(H284,FourWeekly_Model!$B$2:$B$29,0)),0),IFERROR(INDEX(FourWeekly_Model!$D$2:$D$29,MATCH(H285,FourWeekly_Model!$B$2:$B$29,0)),0),IFERROR(INDEX(FourWeekly_Model!$D$2:$D$29,MATCH(H286,FourWeekly_Model!$B$2:$B$29,0)),0),IFERROR(INDEX(FourWeekly_Model!$D$2:$D$29,MATCH(H287,FourWeekly_Model!$B$2:$B$29,0)),0),IFERROR(INDEX(FourWeekly_Model!$D$2:$D$29,MATCH(H288,FourWeekly_Model!$B$2:$B$29,0)),0)),0))))))</f>
        <v>3.3214289700000004E-3</v>
      </c>
      <c r="N284" s="27">
        <f>SUM(I284:M284)</f>
        <v>3.2468250190157068E-2</v>
      </c>
      <c r="O284" s="28">
        <f>Population_Data!$B$8*N284</f>
        <v>983787.9807617591</v>
      </c>
      <c r="P284" s="27">
        <f>IF(VLOOKUP($A284,Calendar!$A$1:$R$1377,18,0)=0,0,IF(VLOOKUP($A284,Calendar!$A$1:$R$1377,18,0)=1,IFERROR(INDEX(Pension_Model!$D$2:$D$29,MATCH(H284,Pension_Model!$B$2:$B$29,0)),0),IF(VLOOKUP($A284,Calendar!$A$1:$R$1377,18,0)=2,SUM(IFERROR(INDEX(Pension_Model!$D$2:$D$29,MATCH(H284,Pension_Model!$B$2:$B$29,0)),0),IFERROR(INDEX(Pension_Model!$D$2:$D$29,MATCH(H285,Pension_Model!$B$2:$B$29,0)),0)),IF(VLOOKUP($A284,Calendar!$A$1:$R$1377,18,0)=3,SUM(IFERROR(INDEX(Pension_Model!$D$2:$D$29,MATCH(H284,Pension_Model!$B$2:$B$29,0)),0),IFERROR(INDEX(Pension_Model!$D$2:$D$29,MATCH(H285,Pension_Model!$B$2:$B$29,0)),0),IFERROR(INDEX(Pension_Model!$D$2:$D$29,MATCH(H286,Pension_Model!$B$2:$B$29,0)),0)),IF(VLOOKUP($A284,Calendar!$A$1:$R$1377,18,0)=4,SUM(IFERROR(INDEX(Pension_Model!$D$2:$D$29,MATCH(H284,Pension_Model!$B$2:$B$29,0)),0),IFERROR(INDEX(Pension_Model!$D$2:$D$29,MATCH(H285,Pension_Model!$B$2:$B$29,0)),0),IFERROR(INDEX(Pension_Model!$D$2:$D$29,MATCH(H286,Pension_Model!$B$2:$B$29,0)),0),IFERROR(INDEX(Pension_Model!$D$2:$D$29,MATCH(H287,Pension_Model!$B$2:$B$29,0)),0)),IF(VLOOKUP($A284,Calendar!$A$1:$R$1377,18,0)=5,SUM(IFERROR(INDEX(Pension_Model!$D$2:$D$29,MATCH(H284,Pension_Model!$B$2:$B$29,0)),0),IFERROR(INDEX(Pension_Model!$D$2:$D$29,MATCH(H285,Pension_Model!$B$2:$B$29,0)),0),IFERROR(INDEX(Pension_Model!$D$2:$D$29,MATCH(H286,Pension_Model!$B$2:$B$29,0)),0),IFERROR(INDEX(Pension_Model!$D$2:$D$29,MATCH(H287,Pension_Model!$B$2:$B$29,0)),0),IFERROR(INDEX(Pension_Model!$D$2:$D$29,MATCH(H288,Pension_Model!$B$2:$B$29,0)),0)),0))))))</f>
        <v>0.05</v>
      </c>
      <c r="Q284" s="28">
        <f>Population_Data!$B$15*P284</f>
        <v>660600</v>
      </c>
      <c r="S284">
        <f t="shared" si="4"/>
        <v>1644387.980761759</v>
      </c>
      <c r="U284" s="33">
        <f>S284/Population_Data!$B$19</f>
        <v>2.9789637332640562E-2</v>
      </c>
    </row>
    <row r="285" spans="1:21">
      <c r="A285" s="25">
        <f>Calendar!A285</f>
        <v>46518</v>
      </c>
      <c r="B285" t="str">
        <f>Calendar!L285</f>
        <v>Yes</v>
      </c>
      <c r="C285" t="str">
        <f>Calendar!O285</f>
        <v>No</v>
      </c>
      <c r="D285" t="str">
        <f>Calendar!P285</f>
        <v>No</v>
      </c>
      <c r="E285" t="str">
        <f>Calendar!Q285</f>
        <v>No</v>
      </c>
      <c r="F285" t="str">
        <f>Calendar!I285</f>
        <v>Tuesday</v>
      </c>
      <c r="G285">
        <f>Calendar!S285</f>
        <v>10</v>
      </c>
      <c r="H285">
        <f>Calendar!T285</f>
        <v>10</v>
      </c>
      <c r="I285" s="27">
        <f>IF(VLOOKUP(A285,Calendar!$A$1:$R$1377,18,0)=0,0,IF(VLOOKUP(A285,Calendar!$A$1:$R$1377,18,0)=1,INDEX(Monthly_Pay_Model!$A$9:$D$40,MATCH(TEXT(A285,"dd"),Monthly_Pay_Model!$C$9:$C$39,0),4),IF(VLOOKUP(A285,Calendar!$A$1:$R$1377,18,0)=2,SUM(INDEX(Monthly_Pay_Model!$A$9:$D$40,MATCH(TEXT(A285,"dd"),Monthly_Pay_Model!$C$9:$C$39,0),4),INDEX(Monthly_Pay_Model!$A$9:$D$40,MATCH(TEXT(A286,"dd"),Monthly_Pay_Model!$C$9:$C$39,0),4)),IF(VLOOKUP(A285,Calendar!$A$1:$R$1377,18,0)=3,SUM(INDEX(Monthly_Pay_Model!$A$9:$D$40,MATCH(TEXT(A285,"dd"),Monthly_Pay_Model!$C$9:$C$39,0),4),INDEX(Monthly_Pay_Model!$A$9:$D$40,MATCH(TEXT(A286,"dd"),Monthly_Pay_Model!$C$9:$C$39,0),4),INDEX(Monthly_Pay_Model!$A$9:$D$40,MATCH(TEXT(A287,"dd"),Monthly_Pay_Model!$C$9:$C$39,0),4)),IF(VLOOKUP(A285,Calendar!$A$1:$R$1377,18,0)=4,SUM(INDEX(Monthly_Pay_Model!$A$9:$D$40,MATCH(TEXT(A285,"dd"),Monthly_Pay_Model!$C$9:$C$39,0),4),INDEX(Monthly_Pay_Model!$A$9:$D$40,MATCH(TEXT(A286,"dd"),Monthly_Pay_Model!$C$9:$C$39,0),4),INDEX(Monthly_Pay_Model!$A$9:$D$40,MATCH(TEXT(A287,"dd"),Monthly_Pay_Model!$C$9:$C$39,0),4),INDEX(Monthly_Pay_Model!$A$9:$D$40,MATCH(TEXT(A288,"dd"),Monthly_Pay_Model!$C$9:$C$39,0),4)),IF(VLOOKUP(A285,Calendar!$A$1:$R$1377,18,0)=5,SUM(INDEX(Monthly_Pay_Model!$A$9:$D$40,MATCH(TEXT(A285,"dd"),Monthly_Pay_Model!$C$9:$C$39,0),4),INDEX(Monthly_Pay_Model!$A$9:$D$40,MATCH(TEXT(A286,"dd"),Monthly_Pay_Model!$C$9:$C$39,0),4),INDEX(Monthly_Pay_Model!$A$9:$D$40,MATCH(TEXT(A287,"dd"),Monthly_Pay_Model!$C$9:$C$39,0),4),INDEX(Monthly_Pay_Model!$A$9:$D$40,MATCH(TEXT(A288,"dd"),Monthly_Pay_Model!$C$9:$C$39,0),4),INDEX(Monthly_Pay_Model!$A$9:$D$40,MATCH(TEXT(A289,"dd"),Monthly_Pay_Model!$C$9:$C$39,0),4)),))))))</f>
        <v>8.1256544502617792E-4</v>
      </c>
      <c r="J285" s="33">
        <f>IF(C285="Yes",Monthly_Pay_Model!$D$2,0)
+IF(Calendar!N285="Yes",Monthly_Pay_Model!$D$3,0)
+IF(D285="Yes",Monthly_Pay_Model!$D$4,0)
+IF(E285="Yes",Monthly_Pay_Model!$D$5,0)</f>
        <v>0</v>
      </c>
      <c r="K285" s="27">
        <f>IF(VLOOKUP($A285,Calendar!$A$1:$R$1377,18,0)=0,0,IF(VLOOKUP($A285,Calendar!$A$1:$R$1377,18,0)=1,IFERROR(INDEX(Weekly_Model!$D$2:$D$9,MATCH(F285,Weekly_Model!$A$2:$A$9,0)),0),IF(VLOOKUP($A285,Calendar!$A$1:$R$1377,18,0)=2,SUM(IFERROR(INDEX(Weekly_Model!$D$2:$D$9,MATCH(F285,Weekly_Model!$A$2:$A$9,0)),0),IFERROR(INDEX(Weekly_Model!$D$2:$D$9,MATCH(F286,Weekly_Model!$A$2:$A$9,0)),0)),IF(VLOOKUP($A285,Calendar!$A$1:$R$1377,18,0)=3,SUM(IFERROR(INDEX(Weekly_Model!$D$2:$D$9,MATCH(F285,Weekly_Model!$A$2:$A$9,0)),0),IFERROR(INDEX(Weekly_Model!$D$2:$D$9,MATCH(F286,Weekly_Model!$A$2:$A$9,0)),0),IFERROR(INDEX(Weekly_Model!$D$2:$D$9,MATCH(F287,Weekly_Model!$A$2:$A$9,0)),0)),IF(VLOOKUP($A285,Calendar!$A$1:$R$1377,18,0)=4,SUM(IFERROR(INDEX(Weekly_Model!$D$2:$D$9,MATCH(F285,Weekly_Model!$A$2:$A$9,0)),0),IFERROR(INDEX(Weekly_Model!$D$2:$D$9,MATCH(F286,Weekly_Model!$A$2:$A$9,0)),0),IFERROR(INDEX(Weekly_Model!$D$2:$D$9,MATCH(F287,Weekly_Model!$A$2:$A$9,0)),0),IFERROR(INDEX(Weekly_Model!$D$2:$D$9,MATCH(F288,Weekly_Model!$A$2:$A$9,0)),0)),IF(VLOOKUP($A285,Calendar!$A$1:$R$1377,18,0)=5,SUM(IFERROR(INDEX(Weekly_Model!$D$2:$D$9,MATCH(F285,Weekly_Model!$A$2:$A$9,0)),0),IFERROR(INDEX(Weekly_Model!$D$2:$D$9,MATCH(F286,Weekly_Model!$A$2:$A$9,0)),0),IFERROR(INDEX(Weekly_Model!$D$2:$D$9,MATCH(F287,Weekly_Model!$A$2:$A$9,0)),0),IFERROR(INDEX(Weekly_Model!$D$2:$D$9,MATCH(F288,Weekly_Model!$A$2:$A$9,0)),0),IFERROR(INDEX(Weekly_Model!$D$2:$D$9,MATCH(F289,Weekly_Model!$A$2:$A$9,0)),0)),0))))))</f>
        <v>2.3200000000000002E-2</v>
      </c>
      <c r="L285" s="27">
        <f>IF(VLOOKUP($A285,Calendar!$A$1:$R$1377,18,0)=0,0,IF(VLOOKUP($A285,Calendar!$A$1:$R$1377,18,0)=1,IFERROR(INDEX(Fortnightly_Model!$D$2:$D$15,MATCH(G285,Fortnightly_Model!$B$2:$B$15,0)),0),IF(VLOOKUP($A285,Calendar!$A$1:$R$1377,18,0)=2,SUM(IFERROR(INDEX(Fortnightly_Model!$D$2:$D$15,MATCH(G285,Fortnightly_Model!$B$2:$B$15,0)),0),IFERROR(INDEX(Fortnightly_Model!$D$2:$D$15,MATCH(G286,Fortnightly_Model!$B$2:$B$15,0)),0)),IF(VLOOKUP($A285,Calendar!$A$1:$R$1377,18,0)=3,SUM(IFERROR(INDEX(Fortnightly_Model!$D$2:$D$15,MATCH(G285,Fortnightly_Model!$B$2:$B$15,0)),0),IFERROR(INDEX(Fortnightly_Model!$D$2:$D$15,MATCH(G286,Fortnightly_Model!$B$2:$B$15,0)),0),IFERROR(INDEX(Fortnightly_Model!$D$2:$D$15,MATCH(G287,Fortnightly_Model!$B$2:$B$15,0)),0)),IF(VLOOKUP($A285,Calendar!$A$1:$R$1377,18,0)=4,SUM(IFERROR(INDEX(Fortnightly_Model!$D$2:$D$15,MATCH(G285,Fortnightly_Model!$B$2:$B$15,0)),0),IFERROR(INDEX(Fortnightly_Model!$D$2:$D$15,MATCH(G286,Fortnightly_Model!$B$2:$B$15,0)),0),IFERROR(INDEX(Fortnightly_Model!$D$2:$D$15,MATCH(G287,Fortnightly_Model!$B$2:$B$15,0)),0),IFERROR(INDEX(Fortnightly_Model!$D$2:$D$15,MATCH(G288,Fortnightly_Model!$B$2:$B$15,0)),0)),IF(VLOOKUP($A285,Calendar!$A$1:$R$1377,18,0)=5,SUM(IFERROR(INDEX(Fortnightly_Model!$D$2:$D$15,MATCH(G285,Fortnightly_Model!$B$2:$B$15,0)),0),IFERROR(INDEX(Fortnightly_Model!$D$2:$D$15,MATCH(G286,Fortnightly_Model!$B$2:$B$15,0)),0),IFERROR(INDEX(Fortnightly_Model!$D$2:$D$15,MATCH(G287,Fortnightly_Model!$B$2:$B$15,0)),0),IFERROR(INDEX(Fortnightly_Model!$D$2:$D$15,MATCH(G288,Fortnightly_Model!$B$2:$B$15,0)),0),IFERROR(INDEX(Fortnightly_Model!$D$2:$D$15,MATCH(G289,Fortnightly_Model!$B$2:$B$15,0)),0)),0))))))</f>
        <v>1.0714285499999999E-3</v>
      </c>
      <c r="M285" s="27">
        <f>IF(VLOOKUP($A285,Calendar!$A$1:$R$1377,18,0)=0,0,IF(VLOOKUP($A285,Calendar!$A$1:$R$1377,18,0)=1,IFERROR(INDEX(FourWeekly_Model!$D$2:$D$29,MATCH(H285,FourWeekly_Model!$B$2:$B$29,0)),0),IF(VLOOKUP($A285,Calendar!$A$1:$R$1377,18,0)=2,SUM(IFERROR(INDEX(FourWeekly_Model!$D$2:$D$29,MATCH(H285,FourWeekly_Model!$B$2:$B$29,0)),0),IFERROR(INDEX(FourWeekly_Model!$D$2:$D$29,MATCH(H286,FourWeekly_Model!$B$2:$B$29,0)),0)),IF(VLOOKUP($A285,Calendar!$A$1:$R$1377,18,0)=3,SUM(IFERROR(INDEX(FourWeekly_Model!$D$2:$D$29,MATCH(H285,FourWeekly_Model!$B$2:$B$29,0)),0),IFERROR(INDEX(FourWeekly_Model!$D$2:$D$29,MATCH(H286,FourWeekly_Model!$B$2:$B$29,0)),0),IFERROR(INDEX(FourWeekly_Model!$D$2:$D$29,MATCH(H287,FourWeekly_Model!$B$2:$B$29,0)),0)),IF(VLOOKUP($A285,Calendar!$A$1:$R$1377,18,0)=4,SUM(IFERROR(INDEX(FourWeekly_Model!$D$2:$D$29,MATCH(H285,FourWeekly_Model!$B$2:$B$29,0)),0),IFERROR(INDEX(FourWeekly_Model!$D$2:$D$29,MATCH(H286,FourWeekly_Model!$B$2:$B$29,0)),0),IFERROR(INDEX(FourWeekly_Model!$D$2:$D$29,MATCH(H287,FourWeekly_Model!$B$2:$B$29,0)),0),IFERROR(INDEX(FourWeekly_Model!$D$2:$D$29,MATCH(H288,FourWeekly_Model!$B$2:$B$29,0)),0)),IF(VLOOKUP($A285,Calendar!$A$1:$R$1377,18,0)=5,SUM(IFERROR(INDEX(FourWeekly_Model!$D$2:$D$29,MATCH(H285,FourWeekly_Model!$B$2:$B$29,0)),0),IFERROR(INDEX(FourWeekly_Model!$D$2:$D$29,MATCH(H286,FourWeekly_Model!$B$2:$B$29,0)),0),IFERROR(INDEX(FourWeekly_Model!$D$2:$D$29,MATCH(H287,FourWeekly_Model!$B$2:$B$29,0)),0),IFERROR(INDEX(FourWeekly_Model!$D$2:$D$29,MATCH(H288,FourWeekly_Model!$B$2:$B$29,0)),0),IFERROR(INDEX(FourWeekly_Model!$D$2:$D$29,MATCH(H289,FourWeekly_Model!$B$2:$B$29,0)),0)),0))))))</f>
        <v>3.3214289700000004E-3</v>
      </c>
      <c r="N285" s="27">
        <f>SUM(I285:M285)</f>
        <v>2.840542296502618E-2</v>
      </c>
      <c r="O285" s="28">
        <f>Population_Data!$B$8*N285</f>
        <v>860684.3158402933</v>
      </c>
      <c r="P285" s="27">
        <f>IF(VLOOKUP($A285,Calendar!$A$1:$R$1377,18,0)=0,0,IF(VLOOKUP($A285,Calendar!$A$1:$R$1377,18,0)=1,IFERROR(INDEX(Pension_Model!$D$2:$D$29,MATCH(H285,Pension_Model!$B$2:$B$29,0)),0),IF(VLOOKUP($A285,Calendar!$A$1:$R$1377,18,0)=2,SUM(IFERROR(INDEX(Pension_Model!$D$2:$D$29,MATCH(H285,Pension_Model!$B$2:$B$29,0)),0),IFERROR(INDEX(Pension_Model!$D$2:$D$29,MATCH(H286,Pension_Model!$B$2:$B$29,0)),0)),IF(VLOOKUP($A285,Calendar!$A$1:$R$1377,18,0)=3,SUM(IFERROR(INDEX(Pension_Model!$D$2:$D$29,MATCH(H285,Pension_Model!$B$2:$B$29,0)),0),IFERROR(INDEX(Pension_Model!$D$2:$D$29,MATCH(H286,Pension_Model!$B$2:$B$29,0)),0),IFERROR(INDEX(Pension_Model!$D$2:$D$29,MATCH(H287,Pension_Model!$B$2:$B$29,0)),0)),IF(VLOOKUP($A285,Calendar!$A$1:$R$1377,18,0)=4,SUM(IFERROR(INDEX(Pension_Model!$D$2:$D$29,MATCH(H285,Pension_Model!$B$2:$B$29,0)),0),IFERROR(INDEX(Pension_Model!$D$2:$D$29,MATCH(H286,Pension_Model!$B$2:$B$29,0)),0),IFERROR(INDEX(Pension_Model!$D$2:$D$29,MATCH(H287,Pension_Model!$B$2:$B$29,0)),0),IFERROR(INDEX(Pension_Model!$D$2:$D$29,MATCH(H288,Pension_Model!$B$2:$B$29,0)),0)),IF(VLOOKUP($A285,Calendar!$A$1:$R$1377,18,0)=5,SUM(IFERROR(INDEX(Pension_Model!$D$2:$D$29,MATCH(H285,Pension_Model!$B$2:$B$29,0)),0),IFERROR(INDEX(Pension_Model!$D$2:$D$29,MATCH(H286,Pension_Model!$B$2:$B$29,0)),0),IFERROR(INDEX(Pension_Model!$D$2:$D$29,MATCH(H287,Pension_Model!$B$2:$B$29,0)),0),IFERROR(INDEX(Pension_Model!$D$2:$D$29,MATCH(H288,Pension_Model!$B$2:$B$29,0)),0),IFERROR(INDEX(Pension_Model!$D$2:$D$29,MATCH(H289,Pension_Model!$B$2:$B$29,0)),0)),0))))))</f>
        <v>0.05</v>
      </c>
      <c r="Q285" s="28">
        <f>Population_Data!$B$15*P285</f>
        <v>660600</v>
      </c>
      <c r="S285">
        <f t="shared" si="4"/>
        <v>1521284.3158402932</v>
      </c>
      <c r="U285" s="33">
        <f>S285/Population_Data!$B$19</f>
        <v>2.7559498475367629E-2</v>
      </c>
    </row>
    <row r="286" spans="1:21">
      <c r="A286" s="25">
        <f>Calendar!A286</f>
        <v>46519</v>
      </c>
      <c r="B286" t="str">
        <f>Calendar!L286</f>
        <v>Yes</v>
      </c>
      <c r="C286" t="str">
        <f>Calendar!O286</f>
        <v>No</v>
      </c>
      <c r="D286" t="str">
        <f>Calendar!P286</f>
        <v>No</v>
      </c>
      <c r="E286" t="str">
        <f>Calendar!Q286</f>
        <v>No</v>
      </c>
      <c r="F286" t="str">
        <f>Calendar!I286</f>
        <v>Wednesday</v>
      </c>
      <c r="G286">
        <f>Calendar!S286</f>
        <v>11</v>
      </c>
      <c r="H286">
        <f>Calendar!T286</f>
        <v>11</v>
      </c>
      <c r="I286" s="27">
        <f>IF(VLOOKUP(A286,Calendar!$A$1:$R$1377,18,0)=0,0,IF(VLOOKUP(A286,Calendar!$A$1:$R$1377,18,0)=1,INDEX(Monthly_Pay_Model!$A$9:$D$40,MATCH(TEXT(A286,"dd"),Monthly_Pay_Model!$C$9:$C$39,0),4),IF(VLOOKUP(A286,Calendar!$A$1:$R$1377,18,0)=2,SUM(INDEX(Monthly_Pay_Model!$A$9:$D$40,MATCH(TEXT(A286,"dd"),Monthly_Pay_Model!$C$9:$C$39,0),4),INDEX(Monthly_Pay_Model!$A$9:$D$40,MATCH(TEXT(A287,"dd"),Monthly_Pay_Model!$C$9:$C$39,0),4)),IF(VLOOKUP(A286,Calendar!$A$1:$R$1377,18,0)=3,SUM(INDEX(Monthly_Pay_Model!$A$9:$D$40,MATCH(TEXT(A286,"dd"),Monthly_Pay_Model!$C$9:$C$39,0),4),INDEX(Monthly_Pay_Model!$A$9:$D$40,MATCH(TEXT(A287,"dd"),Monthly_Pay_Model!$C$9:$C$39,0),4),INDEX(Monthly_Pay_Model!$A$9:$D$40,MATCH(TEXT(A288,"dd"),Monthly_Pay_Model!$C$9:$C$39,0),4)),IF(VLOOKUP(A286,Calendar!$A$1:$R$1377,18,0)=4,SUM(INDEX(Monthly_Pay_Model!$A$9:$D$40,MATCH(TEXT(A286,"dd"),Monthly_Pay_Model!$C$9:$C$39,0),4),INDEX(Monthly_Pay_Model!$A$9:$D$40,MATCH(TEXT(A287,"dd"),Monthly_Pay_Model!$C$9:$C$39,0),4),INDEX(Monthly_Pay_Model!$A$9:$D$40,MATCH(TEXT(A288,"dd"),Monthly_Pay_Model!$C$9:$C$39,0),4),INDEX(Monthly_Pay_Model!$A$9:$D$40,MATCH(TEXT(A289,"dd"),Monthly_Pay_Model!$C$9:$C$39,0),4)),IF(VLOOKUP(A286,Calendar!$A$1:$R$1377,18,0)=5,SUM(INDEX(Monthly_Pay_Model!$A$9:$D$40,MATCH(TEXT(A286,"dd"),Monthly_Pay_Model!$C$9:$C$39,0),4),INDEX(Monthly_Pay_Model!$A$9:$D$40,MATCH(TEXT(A287,"dd"),Monthly_Pay_Model!$C$9:$C$39,0),4),INDEX(Monthly_Pay_Model!$A$9:$D$40,MATCH(TEXT(A288,"dd"),Monthly_Pay_Model!$C$9:$C$39,0),4),INDEX(Monthly_Pay_Model!$A$9:$D$40,MATCH(TEXT(A289,"dd"),Monthly_Pay_Model!$C$9:$C$39,0),4),INDEX(Monthly_Pay_Model!$A$9:$D$40,MATCH(TEXT(A290,"dd"),Monthly_Pay_Model!$C$9:$C$39,0),4)),))))))</f>
        <v>1.6251308900523558E-3</v>
      </c>
      <c r="J286" s="33">
        <f>IF(C286="Yes",Monthly_Pay_Model!$D$2,0)
+IF(Calendar!N286="Yes",Monthly_Pay_Model!$D$3,0)
+IF(D286="Yes",Monthly_Pay_Model!$D$4,0)
+IF(E286="Yes",Monthly_Pay_Model!$D$5,0)</f>
        <v>0</v>
      </c>
      <c r="K286" s="27">
        <f>IF(VLOOKUP($A286,Calendar!$A$1:$R$1377,18,0)=0,0,IF(VLOOKUP($A286,Calendar!$A$1:$R$1377,18,0)=1,IFERROR(INDEX(Weekly_Model!$D$2:$D$9,MATCH(F286,Weekly_Model!$A$2:$A$9,0)),0),IF(VLOOKUP($A286,Calendar!$A$1:$R$1377,18,0)=2,SUM(IFERROR(INDEX(Weekly_Model!$D$2:$D$9,MATCH(F286,Weekly_Model!$A$2:$A$9,0)),0),IFERROR(INDEX(Weekly_Model!$D$2:$D$9,MATCH(F287,Weekly_Model!$A$2:$A$9,0)),0)),IF(VLOOKUP($A286,Calendar!$A$1:$R$1377,18,0)=3,SUM(IFERROR(INDEX(Weekly_Model!$D$2:$D$9,MATCH(F286,Weekly_Model!$A$2:$A$9,0)),0),IFERROR(INDEX(Weekly_Model!$D$2:$D$9,MATCH(F287,Weekly_Model!$A$2:$A$9,0)),0),IFERROR(INDEX(Weekly_Model!$D$2:$D$9,MATCH(F288,Weekly_Model!$A$2:$A$9,0)),0)),IF(VLOOKUP($A286,Calendar!$A$1:$R$1377,18,0)=4,SUM(IFERROR(INDEX(Weekly_Model!$D$2:$D$9,MATCH(F286,Weekly_Model!$A$2:$A$9,0)),0),IFERROR(INDEX(Weekly_Model!$D$2:$D$9,MATCH(F287,Weekly_Model!$A$2:$A$9,0)),0),IFERROR(INDEX(Weekly_Model!$D$2:$D$9,MATCH(F288,Weekly_Model!$A$2:$A$9,0)),0),IFERROR(INDEX(Weekly_Model!$D$2:$D$9,MATCH(F289,Weekly_Model!$A$2:$A$9,0)),0)),IF(VLOOKUP($A286,Calendar!$A$1:$R$1377,18,0)=5,SUM(IFERROR(INDEX(Weekly_Model!$D$2:$D$9,MATCH(F286,Weekly_Model!$A$2:$A$9,0)),0),IFERROR(INDEX(Weekly_Model!$D$2:$D$9,MATCH(F287,Weekly_Model!$A$2:$A$9,0)),0),IFERROR(INDEX(Weekly_Model!$D$2:$D$9,MATCH(F288,Weekly_Model!$A$2:$A$9,0)),0),IFERROR(INDEX(Weekly_Model!$D$2:$D$9,MATCH(F289,Weekly_Model!$A$2:$A$9,0)),0),IFERROR(INDEX(Weekly_Model!$D$2:$D$9,MATCH(F290,Weekly_Model!$A$2:$A$9,0)),0)),0))))))</f>
        <v>2.3200000000000002E-2</v>
      </c>
      <c r="L286" s="27">
        <f>IF(VLOOKUP($A286,Calendar!$A$1:$R$1377,18,0)=0,0,IF(VLOOKUP($A286,Calendar!$A$1:$R$1377,18,0)=1,IFERROR(INDEX(Fortnightly_Model!$D$2:$D$15,MATCH(G286,Fortnightly_Model!$B$2:$B$15,0)),0),IF(VLOOKUP($A286,Calendar!$A$1:$R$1377,18,0)=2,SUM(IFERROR(INDEX(Fortnightly_Model!$D$2:$D$15,MATCH(G286,Fortnightly_Model!$B$2:$B$15,0)),0),IFERROR(INDEX(Fortnightly_Model!$D$2:$D$15,MATCH(G287,Fortnightly_Model!$B$2:$B$15,0)),0)),IF(VLOOKUP($A286,Calendar!$A$1:$R$1377,18,0)=3,SUM(IFERROR(INDEX(Fortnightly_Model!$D$2:$D$15,MATCH(G286,Fortnightly_Model!$B$2:$B$15,0)),0),IFERROR(INDEX(Fortnightly_Model!$D$2:$D$15,MATCH(G287,Fortnightly_Model!$B$2:$B$15,0)),0),IFERROR(INDEX(Fortnightly_Model!$D$2:$D$15,MATCH(G288,Fortnightly_Model!$B$2:$B$15,0)),0)),IF(VLOOKUP($A286,Calendar!$A$1:$R$1377,18,0)=4,SUM(IFERROR(INDEX(Fortnightly_Model!$D$2:$D$15,MATCH(G286,Fortnightly_Model!$B$2:$B$15,0)),0),IFERROR(INDEX(Fortnightly_Model!$D$2:$D$15,MATCH(G287,Fortnightly_Model!$B$2:$B$15,0)),0),IFERROR(INDEX(Fortnightly_Model!$D$2:$D$15,MATCH(G288,Fortnightly_Model!$B$2:$B$15,0)),0),IFERROR(INDEX(Fortnightly_Model!$D$2:$D$15,MATCH(G289,Fortnightly_Model!$B$2:$B$15,0)),0)),IF(VLOOKUP($A286,Calendar!$A$1:$R$1377,18,0)=5,SUM(IFERROR(INDEX(Fortnightly_Model!$D$2:$D$15,MATCH(G286,Fortnightly_Model!$B$2:$B$15,0)),0),IFERROR(INDEX(Fortnightly_Model!$D$2:$D$15,MATCH(G287,Fortnightly_Model!$B$2:$B$15,0)),0),IFERROR(INDEX(Fortnightly_Model!$D$2:$D$15,MATCH(G288,Fortnightly_Model!$B$2:$B$15,0)),0),IFERROR(INDEX(Fortnightly_Model!$D$2:$D$15,MATCH(G289,Fortnightly_Model!$B$2:$B$15,0)),0),IFERROR(INDEX(Fortnightly_Model!$D$2:$D$15,MATCH(G290,Fortnightly_Model!$B$2:$B$15,0)),0)),0))))))</f>
        <v>1.0714285499999999E-3</v>
      </c>
      <c r="M286" s="27">
        <f>IF(VLOOKUP($A286,Calendar!$A$1:$R$1377,18,0)=0,0,IF(VLOOKUP($A286,Calendar!$A$1:$R$1377,18,0)=1,IFERROR(INDEX(FourWeekly_Model!$D$2:$D$29,MATCH(H286,FourWeekly_Model!$B$2:$B$29,0)),0),IF(VLOOKUP($A286,Calendar!$A$1:$R$1377,18,0)=2,SUM(IFERROR(INDEX(FourWeekly_Model!$D$2:$D$29,MATCH(H286,FourWeekly_Model!$B$2:$B$29,0)),0),IFERROR(INDEX(FourWeekly_Model!$D$2:$D$29,MATCH(H287,FourWeekly_Model!$B$2:$B$29,0)),0)),IF(VLOOKUP($A286,Calendar!$A$1:$R$1377,18,0)=3,SUM(IFERROR(INDEX(FourWeekly_Model!$D$2:$D$29,MATCH(H286,FourWeekly_Model!$B$2:$B$29,0)),0),IFERROR(INDEX(FourWeekly_Model!$D$2:$D$29,MATCH(H287,FourWeekly_Model!$B$2:$B$29,0)),0),IFERROR(INDEX(FourWeekly_Model!$D$2:$D$29,MATCH(H288,FourWeekly_Model!$B$2:$B$29,0)),0)),IF(VLOOKUP($A286,Calendar!$A$1:$R$1377,18,0)=4,SUM(IFERROR(INDEX(FourWeekly_Model!$D$2:$D$29,MATCH(H286,FourWeekly_Model!$B$2:$B$29,0)),0),IFERROR(INDEX(FourWeekly_Model!$D$2:$D$29,MATCH(H287,FourWeekly_Model!$B$2:$B$29,0)),0),IFERROR(INDEX(FourWeekly_Model!$D$2:$D$29,MATCH(H288,FourWeekly_Model!$B$2:$B$29,0)),0),IFERROR(INDEX(FourWeekly_Model!$D$2:$D$29,MATCH(H289,FourWeekly_Model!$B$2:$B$29,0)),0)),IF(VLOOKUP($A286,Calendar!$A$1:$R$1377,18,0)=5,SUM(IFERROR(INDEX(FourWeekly_Model!$D$2:$D$29,MATCH(H286,FourWeekly_Model!$B$2:$B$29,0)),0),IFERROR(INDEX(FourWeekly_Model!$D$2:$D$29,MATCH(H287,FourWeekly_Model!$B$2:$B$29,0)),0),IFERROR(INDEX(FourWeekly_Model!$D$2:$D$29,MATCH(H288,FourWeekly_Model!$B$2:$B$29,0)),0),IFERROR(INDEX(FourWeekly_Model!$D$2:$D$29,MATCH(H289,FourWeekly_Model!$B$2:$B$29,0)),0),IFERROR(INDEX(FourWeekly_Model!$D$2:$D$29,MATCH(H290,FourWeekly_Model!$B$2:$B$29,0)),0)),0))))))</f>
        <v>3.3214289700000004E-3</v>
      </c>
      <c r="N286" s="27">
        <f>SUM(I286:M286)</f>
        <v>2.921798841005236E-2</v>
      </c>
      <c r="O286" s="28">
        <f>Population_Data!$B$8*N286</f>
        <v>885305.04882458656</v>
      </c>
      <c r="P286" s="27">
        <f>IF(VLOOKUP($A286,Calendar!$A$1:$R$1377,18,0)=0,0,IF(VLOOKUP($A286,Calendar!$A$1:$R$1377,18,0)=1,IFERROR(INDEX(Pension_Model!$D$2:$D$29,MATCH(H286,Pension_Model!$B$2:$B$29,0)),0),IF(VLOOKUP($A286,Calendar!$A$1:$R$1377,18,0)=2,SUM(IFERROR(INDEX(Pension_Model!$D$2:$D$29,MATCH(H286,Pension_Model!$B$2:$B$29,0)),0),IFERROR(INDEX(Pension_Model!$D$2:$D$29,MATCH(H287,Pension_Model!$B$2:$B$29,0)),0)),IF(VLOOKUP($A286,Calendar!$A$1:$R$1377,18,0)=3,SUM(IFERROR(INDEX(Pension_Model!$D$2:$D$29,MATCH(H286,Pension_Model!$B$2:$B$29,0)),0),IFERROR(INDEX(Pension_Model!$D$2:$D$29,MATCH(H287,Pension_Model!$B$2:$B$29,0)),0),IFERROR(INDEX(Pension_Model!$D$2:$D$29,MATCH(H288,Pension_Model!$B$2:$B$29,0)),0)),IF(VLOOKUP($A286,Calendar!$A$1:$R$1377,18,0)=4,SUM(IFERROR(INDEX(Pension_Model!$D$2:$D$29,MATCH(H286,Pension_Model!$B$2:$B$29,0)),0),IFERROR(INDEX(Pension_Model!$D$2:$D$29,MATCH(H287,Pension_Model!$B$2:$B$29,0)),0),IFERROR(INDEX(Pension_Model!$D$2:$D$29,MATCH(H288,Pension_Model!$B$2:$B$29,0)),0),IFERROR(INDEX(Pension_Model!$D$2:$D$29,MATCH(H289,Pension_Model!$B$2:$B$29,0)),0)),IF(VLOOKUP($A286,Calendar!$A$1:$R$1377,18,0)=5,SUM(IFERROR(INDEX(Pension_Model!$D$2:$D$29,MATCH(H286,Pension_Model!$B$2:$B$29,0)),0),IFERROR(INDEX(Pension_Model!$D$2:$D$29,MATCH(H287,Pension_Model!$B$2:$B$29,0)),0),IFERROR(INDEX(Pension_Model!$D$2:$D$29,MATCH(H288,Pension_Model!$B$2:$B$29,0)),0),IFERROR(INDEX(Pension_Model!$D$2:$D$29,MATCH(H289,Pension_Model!$B$2:$B$29,0)),0),IFERROR(INDEX(Pension_Model!$D$2:$D$29,MATCH(H290,Pension_Model!$B$2:$B$29,0)),0)),0))))))</f>
        <v>0.05</v>
      </c>
      <c r="Q286" s="28">
        <f>Population_Data!$B$15*P286</f>
        <v>660600</v>
      </c>
      <c r="S286">
        <f t="shared" si="4"/>
        <v>1545905.0488245864</v>
      </c>
      <c r="U286" s="33">
        <f>S286/Population_Data!$B$19</f>
        <v>2.8005526246822218E-2</v>
      </c>
    </row>
    <row r="287" spans="1:21">
      <c r="A287" s="25">
        <f>Calendar!A287</f>
        <v>46520</v>
      </c>
      <c r="B287" t="str">
        <f>Calendar!L287</f>
        <v>Yes</v>
      </c>
      <c r="C287" t="str">
        <f>Calendar!O287</f>
        <v>No</v>
      </c>
      <c r="D287" t="str">
        <f>Calendar!P287</f>
        <v>No</v>
      </c>
      <c r="E287" t="str">
        <f>Calendar!Q287</f>
        <v>No</v>
      </c>
      <c r="F287" t="str">
        <f>Calendar!I287</f>
        <v>Thursday</v>
      </c>
      <c r="G287">
        <f>Calendar!S287</f>
        <v>12</v>
      </c>
      <c r="H287">
        <f>Calendar!T287</f>
        <v>12</v>
      </c>
      <c r="I287" s="27">
        <f>IF(VLOOKUP(A287,Calendar!$A$1:$R$1377,18,0)=0,0,IF(VLOOKUP(A287,Calendar!$A$1:$R$1377,18,0)=1,INDEX(Monthly_Pay_Model!$A$9:$D$40,MATCH(TEXT(A287,"dd"),Monthly_Pay_Model!$C$9:$C$39,0),4),IF(VLOOKUP(A287,Calendar!$A$1:$R$1377,18,0)=2,SUM(INDEX(Monthly_Pay_Model!$A$9:$D$40,MATCH(TEXT(A287,"dd"),Monthly_Pay_Model!$C$9:$C$39,0),4),INDEX(Monthly_Pay_Model!$A$9:$D$40,MATCH(TEXT(A288,"dd"),Monthly_Pay_Model!$C$9:$C$39,0),4)),IF(VLOOKUP(A287,Calendar!$A$1:$R$1377,18,0)=3,SUM(INDEX(Monthly_Pay_Model!$A$9:$D$40,MATCH(TEXT(A287,"dd"),Monthly_Pay_Model!$C$9:$C$39,0),4),INDEX(Monthly_Pay_Model!$A$9:$D$40,MATCH(TEXT(A288,"dd"),Monthly_Pay_Model!$C$9:$C$39,0),4),INDEX(Monthly_Pay_Model!$A$9:$D$40,MATCH(TEXT(A289,"dd"),Monthly_Pay_Model!$C$9:$C$39,0),4)),IF(VLOOKUP(A287,Calendar!$A$1:$R$1377,18,0)=4,SUM(INDEX(Monthly_Pay_Model!$A$9:$D$40,MATCH(TEXT(A287,"dd"),Monthly_Pay_Model!$C$9:$C$39,0),4),INDEX(Monthly_Pay_Model!$A$9:$D$40,MATCH(TEXT(A288,"dd"),Monthly_Pay_Model!$C$9:$C$39,0),4),INDEX(Monthly_Pay_Model!$A$9:$D$40,MATCH(TEXT(A289,"dd"),Monthly_Pay_Model!$C$9:$C$39,0),4),INDEX(Monthly_Pay_Model!$A$9:$D$40,MATCH(TEXT(A290,"dd"),Monthly_Pay_Model!$C$9:$C$39,0),4)),IF(VLOOKUP(A287,Calendar!$A$1:$R$1377,18,0)=5,SUM(INDEX(Monthly_Pay_Model!$A$9:$D$40,MATCH(TEXT(A287,"dd"),Monthly_Pay_Model!$C$9:$C$39,0),4),INDEX(Monthly_Pay_Model!$A$9:$D$40,MATCH(TEXT(A288,"dd"),Monthly_Pay_Model!$C$9:$C$39,0),4),INDEX(Monthly_Pay_Model!$A$9:$D$40,MATCH(TEXT(A289,"dd"),Monthly_Pay_Model!$C$9:$C$39,0),4),INDEX(Monthly_Pay_Model!$A$9:$D$40,MATCH(TEXT(A290,"dd"),Monthly_Pay_Model!$C$9:$C$39,0),4),INDEX(Monthly_Pay_Model!$A$9:$D$40,MATCH(TEXT(A291,"dd"),Monthly_Pay_Model!$C$9:$C$39,0),4)),))))))</f>
        <v>8.1256544502617792E-4</v>
      </c>
      <c r="J287" s="33">
        <f>IF(C287="Yes",Monthly_Pay_Model!$D$2,0)
+IF(Calendar!N287="Yes",Monthly_Pay_Model!$D$3,0)
+IF(D287="Yes",Monthly_Pay_Model!$D$4,0)
+IF(E287="Yes",Monthly_Pay_Model!$D$5,0)</f>
        <v>0</v>
      </c>
      <c r="K287" s="27">
        <f>IF(VLOOKUP($A287,Calendar!$A$1:$R$1377,18,0)=0,0,IF(VLOOKUP($A287,Calendar!$A$1:$R$1377,18,0)=1,IFERROR(INDEX(Weekly_Model!$D$2:$D$9,MATCH(F287,Weekly_Model!$A$2:$A$9,0)),0),IF(VLOOKUP($A287,Calendar!$A$1:$R$1377,18,0)=2,SUM(IFERROR(INDEX(Weekly_Model!$D$2:$D$9,MATCH(F287,Weekly_Model!$A$2:$A$9,0)),0),IFERROR(INDEX(Weekly_Model!$D$2:$D$9,MATCH(F288,Weekly_Model!$A$2:$A$9,0)),0)),IF(VLOOKUP($A287,Calendar!$A$1:$R$1377,18,0)=3,SUM(IFERROR(INDEX(Weekly_Model!$D$2:$D$9,MATCH(F287,Weekly_Model!$A$2:$A$9,0)),0),IFERROR(INDEX(Weekly_Model!$D$2:$D$9,MATCH(F288,Weekly_Model!$A$2:$A$9,0)),0),IFERROR(INDEX(Weekly_Model!$D$2:$D$9,MATCH(F289,Weekly_Model!$A$2:$A$9,0)),0)),IF(VLOOKUP($A287,Calendar!$A$1:$R$1377,18,0)=4,SUM(IFERROR(INDEX(Weekly_Model!$D$2:$D$9,MATCH(F287,Weekly_Model!$A$2:$A$9,0)),0),IFERROR(INDEX(Weekly_Model!$D$2:$D$9,MATCH(F288,Weekly_Model!$A$2:$A$9,0)),0),IFERROR(INDEX(Weekly_Model!$D$2:$D$9,MATCH(F289,Weekly_Model!$A$2:$A$9,0)),0),IFERROR(INDEX(Weekly_Model!$D$2:$D$9,MATCH(F290,Weekly_Model!$A$2:$A$9,0)),0)),IF(VLOOKUP($A287,Calendar!$A$1:$R$1377,18,0)=5,SUM(IFERROR(INDEX(Weekly_Model!$D$2:$D$9,MATCH(F287,Weekly_Model!$A$2:$A$9,0)),0),IFERROR(INDEX(Weekly_Model!$D$2:$D$9,MATCH(F288,Weekly_Model!$A$2:$A$9,0)),0),IFERROR(INDEX(Weekly_Model!$D$2:$D$9,MATCH(F289,Weekly_Model!$A$2:$A$9,0)),0),IFERROR(INDEX(Weekly_Model!$D$2:$D$9,MATCH(F290,Weekly_Model!$A$2:$A$9,0)),0),IFERROR(INDEX(Weekly_Model!$D$2:$D$9,MATCH(F291,Weekly_Model!$A$2:$A$9,0)),0)),0))))))</f>
        <v>2.3200000000000002E-2</v>
      </c>
      <c r="L287" s="27">
        <f>IF(VLOOKUP($A287,Calendar!$A$1:$R$1377,18,0)=0,0,IF(VLOOKUP($A287,Calendar!$A$1:$R$1377,18,0)=1,IFERROR(INDEX(Fortnightly_Model!$D$2:$D$15,MATCH(G287,Fortnightly_Model!$B$2:$B$15,0)),0),IF(VLOOKUP($A287,Calendar!$A$1:$R$1377,18,0)=2,SUM(IFERROR(INDEX(Fortnightly_Model!$D$2:$D$15,MATCH(G287,Fortnightly_Model!$B$2:$B$15,0)),0),IFERROR(INDEX(Fortnightly_Model!$D$2:$D$15,MATCH(G288,Fortnightly_Model!$B$2:$B$15,0)),0)),IF(VLOOKUP($A287,Calendar!$A$1:$R$1377,18,0)=3,SUM(IFERROR(INDEX(Fortnightly_Model!$D$2:$D$15,MATCH(G287,Fortnightly_Model!$B$2:$B$15,0)),0),IFERROR(INDEX(Fortnightly_Model!$D$2:$D$15,MATCH(G288,Fortnightly_Model!$B$2:$B$15,0)),0),IFERROR(INDEX(Fortnightly_Model!$D$2:$D$15,MATCH(G289,Fortnightly_Model!$B$2:$B$15,0)),0)),IF(VLOOKUP($A287,Calendar!$A$1:$R$1377,18,0)=4,SUM(IFERROR(INDEX(Fortnightly_Model!$D$2:$D$15,MATCH(G287,Fortnightly_Model!$B$2:$B$15,0)),0),IFERROR(INDEX(Fortnightly_Model!$D$2:$D$15,MATCH(G288,Fortnightly_Model!$B$2:$B$15,0)),0),IFERROR(INDEX(Fortnightly_Model!$D$2:$D$15,MATCH(G289,Fortnightly_Model!$B$2:$B$15,0)),0),IFERROR(INDEX(Fortnightly_Model!$D$2:$D$15,MATCH(G290,Fortnightly_Model!$B$2:$B$15,0)),0)),IF(VLOOKUP($A287,Calendar!$A$1:$R$1377,18,0)=5,SUM(IFERROR(INDEX(Fortnightly_Model!$D$2:$D$15,MATCH(G287,Fortnightly_Model!$B$2:$B$15,0)),0),IFERROR(INDEX(Fortnightly_Model!$D$2:$D$15,MATCH(G288,Fortnightly_Model!$B$2:$B$15,0)),0),IFERROR(INDEX(Fortnightly_Model!$D$2:$D$15,MATCH(G289,Fortnightly_Model!$B$2:$B$15,0)),0),IFERROR(INDEX(Fortnightly_Model!$D$2:$D$15,MATCH(G290,Fortnightly_Model!$B$2:$B$15,0)),0),IFERROR(INDEX(Fortnightly_Model!$D$2:$D$15,MATCH(G291,Fortnightly_Model!$B$2:$B$15,0)),0)),0))))))</f>
        <v>1.0714285499999999E-3</v>
      </c>
      <c r="M287" s="27">
        <f>IF(VLOOKUP($A287,Calendar!$A$1:$R$1377,18,0)=0,0,IF(VLOOKUP($A287,Calendar!$A$1:$R$1377,18,0)=1,IFERROR(INDEX(FourWeekly_Model!$D$2:$D$29,MATCH(H287,FourWeekly_Model!$B$2:$B$29,0)),0),IF(VLOOKUP($A287,Calendar!$A$1:$R$1377,18,0)=2,SUM(IFERROR(INDEX(FourWeekly_Model!$D$2:$D$29,MATCH(H287,FourWeekly_Model!$B$2:$B$29,0)),0),IFERROR(INDEX(FourWeekly_Model!$D$2:$D$29,MATCH(H288,FourWeekly_Model!$B$2:$B$29,0)),0)),IF(VLOOKUP($A287,Calendar!$A$1:$R$1377,18,0)=3,SUM(IFERROR(INDEX(FourWeekly_Model!$D$2:$D$29,MATCH(H287,FourWeekly_Model!$B$2:$B$29,0)),0),IFERROR(INDEX(FourWeekly_Model!$D$2:$D$29,MATCH(H288,FourWeekly_Model!$B$2:$B$29,0)),0),IFERROR(INDEX(FourWeekly_Model!$D$2:$D$29,MATCH(H289,FourWeekly_Model!$B$2:$B$29,0)),0)),IF(VLOOKUP($A287,Calendar!$A$1:$R$1377,18,0)=4,SUM(IFERROR(INDEX(FourWeekly_Model!$D$2:$D$29,MATCH(H287,FourWeekly_Model!$B$2:$B$29,0)),0),IFERROR(INDEX(FourWeekly_Model!$D$2:$D$29,MATCH(H288,FourWeekly_Model!$B$2:$B$29,0)),0),IFERROR(INDEX(FourWeekly_Model!$D$2:$D$29,MATCH(H289,FourWeekly_Model!$B$2:$B$29,0)),0),IFERROR(INDEX(FourWeekly_Model!$D$2:$D$29,MATCH(H290,FourWeekly_Model!$B$2:$B$29,0)),0)),IF(VLOOKUP($A287,Calendar!$A$1:$R$1377,18,0)=5,SUM(IFERROR(INDEX(FourWeekly_Model!$D$2:$D$29,MATCH(H287,FourWeekly_Model!$B$2:$B$29,0)),0),IFERROR(INDEX(FourWeekly_Model!$D$2:$D$29,MATCH(H288,FourWeekly_Model!$B$2:$B$29,0)),0),IFERROR(INDEX(FourWeekly_Model!$D$2:$D$29,MATCH(H289,FourWeekly_Model!$B$2:$B$29,0)),0),IFERROR(INDEX(FourWeekly_Model!$D$2:$D$29,MATCH(H290,FourWeekly_Model!$B$2:$B$29,0)),0),IFERROR(INDEX(FourWeekly_Model!$D$2:$D$29,MATCH(H291,FourWeekly_Model!$B$2:$B$29,0)),0)),0))))))</f>
        <v>3.3214289700000004E-3</v>
      </c>
      <c r="N287" s="27">
        <f>SUM(I287:M287)</f>
        <v>2.840542296502618E-2</v>
      </c>
      <c r="O287" s="28">
        <f>Population_Data!$B$8*N287</f>
        <v>860684.3158402933</v>
      </c>
      <c r="P287" s="27">
        <f>IF(VLOOKUP($A287,Calendar!$A$1:$R$1377,18,0)=0,0,IF(VLOOKUP($A287,Calendar!$A$1:$R$1377,18,0)=1,IFERROR(INDEX(Pension_Model!$D$2:$D$29,MATCH(H287,Pension_Model!$B$2:$B$29,0)),0),IF(VLOOKUP($A287,Calendar!$A$1:$R$1377,18,0)=2,SUM(IFERROR(INDEX(Pension_Model!$D$2:$D$29,MATCH(H287,Pension_Model!$B$2:$B$29,0)),0),IFERROR(INDEX(Pension_Model!$D$2:$D$29,MATCH(H288,Pension_Model!$B$2:$B$29,0)),0)),IF(VLOOKUP($A287,Calendar!$A$1:$R$1377,18,0)=3,SUM(IFERROR(INDEX(Pension_Model!$D$2:$D$29,MATCH(H287,Pension_Model!$B$2:$B$29,0)),0),IFERROR(INDEX(Pension_Model!$D$2:$D$29,MATCH(H288,Pension_Model!$B$2:$B$29,0)),0),IFERROR(INDEX(Pension_Model!$D$2:$D$29,MATCH(H289,Pension_Model!$B$2:$B$29,0)),0)),IF(VLOOKUP($A287,Calendar!$A$1:$R$1377,18,0)=4,SUM(IFERROR(INDEX(Pension_Model!$D$2:$D$29,MATCH(H287,Pension_Model!$B$2:$B$29,0)),0),IFERROR(INDEX(Pension_Model!$D$2:$D$29,MATCH(H288,Pension_Model!$B$2:$B$29,0)),0),IFERROR(INDEX(Pension_Model!$D$2:$D$29,MATCH(H289,Pension_Model!$B$2:$B$29,0)),0),IFERROR(INDEX(Pension_Model!$D$2:$D$29,MATCH(H290,Pension_Model!$B$2:$B$29,0)),0)),IF(VLOOKUP($A287,Calendar!$A$1:$R$1377,18,0)=5,SUM(IFERROR(INDEX(Pension_Model!$D$2:$D$29,MATCH(H287,Pension_Model!$B$2:$B$29,0)),0),IFERROR(INDEX(Pension_Model!$D$2:$D$29,MATCH(H288,Pension_Model!$B$2:$B$29,0)),0),IFERROR(INDEX(Pension_Model!$D$2:$D$29,MATCH(H289,Pension_Model!$B$2:$B$29,0)),0),IFERROR(INDEX(Pension_Model!$D$2:$D$29,MATCH(H290,Pension_Model!$B$2:$B$29,0)),0),IFERROR(INDEX(Pension_Model!$D$2:$D$29,MATCH(H291,Pension_Model!$B$2:$B$29,0)),0)),0))))))</f>
        <v>0.05</v>
      </c>
      <c r="Q287" s="28">
        <f>Population_Data!$B$15*P287</f>
        <v>660600</v>
      </c>
      <c r="S287">
        <f t="shared" si="4"/>
        <v>1521284.3158402932</v>
      </c>
      <c r="U287" s="33">
        <f>S287/Population_Data!$B$19</f>
        <v>2.7559498475367629E-2</v>
      </c>
    </row>
    <row r="288" spans="1:21">
      <c r="A288" s="25">
        <f>Calendar!A288</f>
        <v>46521</v>
      </c>
      <c r="B288" t="str">
        <f>Calendar!L288</f>
        <v>Yes</v>
      </c>
      <c r="C288" t="str">
        <f>Calendar!O288</f>
        <v>No</v>
      </c>
      <c r="D288" t="str">
        <f>Calendar!P288</f>
        <v>No</v>
      </c>
      <c r="E288" t="str">
        <f>Calendar!Q288</f>
        <v>No</v>
      </c>
      <c r="F288" t="str">
        <f>Calendar!I288</f>
        <v>Friday</v>
      </c>
      <c r="G288">
        <f>Calendar!S288</f>
        <v>13</v>
      </c>
      <c r="H288">
        <f>Calendar!T288</f>
        <v>13</v>
      </c>
      <c r="I288" s="27">
        <f>IF(VLOOKUP(A288,Calendar!$A$1:$R$1377,18,0)=0,0,IF(VLOOKUP(A288,Calendar!$A$1:$R$1377,18,0)=1,INDEX(Monthly_Pay_Model!$A$9:$D$40,MATCH(TEXT(A288,"dd"),Monthly_Pay_Model!$C$9:$C$39,0),4),IF(VLOOKUP(A288,Calendar!$A$1:$R$1377,18,0)=2,SUM(INDEX(Monthly_Pay_Model!$A$9:$D$40,MATCH(TEXT(A288,"dd"),Monthly_Pay_Model!$C$9:$C$39,0),4),INDEX(Monthly_Pay_Model!$A$9:$D$40,MATCH(TEXT(A289,"dd"),Monthly_Pay_Model!$C$9:$C$39,0),4)),IF(VLOOKUP(A288,Calendar!$A$1:$R$1377,18,0)=3,SUM(INDEX(Monthly_Pay_Model!$A$9:$D$40,MATCH(TEXT(A288,"dd"),Monthly_Pay_Model!$C$9:$C$39,0),4),INDEX(Monthly_Pay_Model!$A$9:$D$40,MATCH(TEXT(A289,"dd"),Monthly_Pay_Model!$C$9:$C$39,0),4),INDEX(Monthly_Pay_Model!$A$9:$D$40,MATCH(TEXT(A290,"dd"),Monthly_Pay_Model!$C$9:$C$39,0),4)),IF(VLOOKUP(A288,Calendar!$A$1:$R$1377,18,0)=4,SUM(INDEX(Monthly_Pay_Model!$A$9:$D$40,MATCH(TEXT(A288,"dd"),Monthly_Pay_Model!$C$9:$C$39,0),4),INDEX(Monthly_Pay_Model!$A$9:$D$40,MATCH(TEXT(A289,"dd"),Monthly_Pay_Model!$C$9:$C$39,0),4),INDEX(Monthly_Pay_Model!$A$9:$D$40,MATCH(TEXT(A290,"dd"),Monthly_Pay_Model!$C$9:$C$39,0),4),INDEX(Monthly_Pay_Model!$A$9:$D$40,MATCH(TEXT(A291,"dd"),Monthly_Pay_Model!$C$9:$C$39,0),4)),IF(VLOOKUP(A288,Calendar!$A$1:$R$1377,18,0)=5,SUM(INDEX(Monthly_Pay_Model!$A$9:$D$40,MATCH(TEXT(A288,"dd"),Monthly_Pay_Model!$C$9:$C$39,0),4),INDEX(Monthly_Pay_Model!$A$9:$D$40,MATCH(TEXT(A289,"dd"),Monthly_Pay_Model!$C$9:$C$39,0),4),INDEX(Monthly_Pay_Model!$A$9:$D$40,MATCH(TEXT(A290,"dd"),Monthly_Pay_Model!$C$9:$C$39,0),4),INDEX(Monthly_Pay_Model!$A$9:$D$40,MATCH(TEXT(A291,"dd"),Monthly_Pay_Model!$C$9:$C$39,0),4),INDEX(Monthly_Pay_Model!$A$9:$D$40,MATCH(TEXT(A292,"dd"),Monthly_Pay_Model!$C$9:$C$39,0),4)),))))))</f>
        <v>1.5438743455497381E-2</v>
      </c>
      <c r="J288" s="33">
        <f>IF(C288="Yes",Monthly_Pay_Model!$D$2,0)
+IF(Calendar!N288="Yes",Monthly_Pay_Model!$D$3,0)
+IF(D288="Yes",Monthly_Pay_Model!$D$4,0)
+IF(E288="Yes",Monthly_Pay_Model!$D$5,0)</f>
        <v>0</v>
      </c>
      <c r="K288" s="27">
        <f>IF(VLOOKUP($A288,Calendar!$A$1:$R$1377,18,0)=0,0,IF(VLOOKUP($A288,Calendar!$A$1:$R$1377,18,0)=1,IFERROR(INDEX(Weekly_Model!$D$2:$D$9,MATCH(F288,Weekly_Model!$A$2:$A$9,0)),0),IF(VLOOKUP($A288,Calendar!$A$1:$R$1377,18,0)=2,SUM(IFERROR(INDEX(Weekly_Model!$D$2:$D$9,MATCH(F288,Weekly_Model!$A$2:$A$9,0)),0),IFERROR(INDEX(Weekly_Model!$D$2:$D$9,MATCH(F289,Weekly_Model!$A$2:$A$9,0)),0)),IF(VLOOKUP($A288,Calendar!$A$1:$R$1377,18,0)=3,SUM(IFERROR(INDEX(Weekly_Model!$D$2:$D$9,MATCH(F288,Weekly_Model!$A$2:$A$9,0)),0),IFERROR(INDEX(Weekly_Model!$D$2:$D$9,MATCH(F289,Weekly_Model!$A$2:$A$9,0)),0),IFERROR(INDEX(Weekly_Model!$D$2:$D$9,MATCH(F290,Weekly_Model!$A$2:$A$9,0)),0)),IF(VLOOKUP($A288,Calendar!$A$1:$R$1377,18,0)=4,SUM(IFERROR(INDEX(Weekly_Model!$D$2:$D$9,MATCH(F288,Weekly_Model!$A$2:$A$9,0)),0),IFERROR(INDEX(Weekly_Model!$D$2:$D$9,MATCH(F289,Weekly_Model!$A$2:$A$9,0)),0),IFERROR(INDEX(Weekly_Model!$D$2:$D$9,MATCH(F290,Weekly_Model!$A$2:$A$9,0)),0),IFERROR(INDEX(Weekly_Model!$D$2:$D$9,MATCH(F291,Weekly_Model!$A$2:$A$9,0)),0)),IF(VLOOKUP($A288,Calendar!$A$1:$R$1377,18,0)=5,SUM(IFERROR(INDEX(Weekly_Model!$D$2:$D$9,MATCH(F288,Weekly_Model!$A$2:$A$9,0)),0),IFERROR(INDEX(Weekly_Model!$D$2:$D$9,MATCH(F289,Weekly_Model!$A$2:$A$9,0)),0),IFERROR(INDEX(Weekly_Model!$D$2:$D$9,MATCH(F290,Weekly_Model!$A$2:$A$9,0)),0),IFERROR(INDEX(Weekly_Model!$D$2:$D$9,MATCH(F291,Weekly_Model!$A$2:$A$9,0)),0),IFERROR(INDEX(Weekly_Model!$D$2:$D$9,MATCH(F292,Weekly_Model!$A$2:$A$9,0)),0)),0))))))</f>
        <v>2.3200000000000002E-2</v>
      </c>
      <c r="L288" s="27">
        <f>IF(VLOOKUP($A288,Calendar!$A$1:$R$1377,18,0)=0,0,IF(VLOOKUP($A288,Calendar!$A$1:$R$1377,18,0)=1,IFERROR(INDEX(Fortnightly_Model!$D$2:$D$15,MATCH(G288,Fortnightly_Model!$B$2:$B$15,0)),0),IF(VLOOKUP($A288,Calendar!$A$1:$R$1377,18,0)=2,SUM(IFERROR(INDEX(Fortnightly_Model!$D$2:$D$15,MATCH(G288,Fortnightly_Model!$B$2:$B$15,0)),0),IFERROR(INDEX(Fortnightly_Model!$D$2:$D$15,MATCH(G289,Fortnightly_Model!$B$2:$B$15,0)),0)),IF(VLOOKUP($A288,Calendar!$A$1:$R$1377,18,0)=3,SUM(IFERROR(INDEX(Fortnightly_Model!$D$2:$D$15,MATCH(G288,Fortnightly_Model!$B$2:$B$15,0)),0),IFERROR(INDEX(Fortnightly_Model!$D$2:$D$15,MATCH(G289,Fortnightly_Model!$B$2:$B$15,0)),0),IFERROR(INDEX(Fortnightly_Model!$D$2:$D$15,MATCH(G290,Fortnightly_Model!$B$2:$B$15,0)),0)),IF(VLOOKUP($A288,Calendar!$A$1:$R$1377,18,0)=4,SUM(IFERROR(INDEX(Fortnightly_Model!$D$2:$D$15,MATCH(G288,Fortnightly_Model!$B$2:$B$15,0)),0),IFERROR(INDEX(Fortnightly_Model!$D$2:$D$15,MATCH(G289,Fortnightly_Model!$B$2:$B$15,0)),0),IFERROR(INDEX(Fortnightly_Model!$D$2:$D$15,MATCH(G290,Fortnightly_Model!$B$2:$B$15,0)),0),IFERROR(INDEX(Fortnightly_Model!$D$2:$D$15,MATCH(G291,Fortnightly_Model!$B$2:$B$15,0)),0)),IF(VLOOKUP($A288,Calendar!$A$1:$R$1377,18,0)=5,SUM(IFERROR(INDEX(Fortnightly_Model!$D$2:$D$15,MATCH(G288,Fortnightly_Model!$B$2:$B$15,0)),0),IFERROR(INDEX(Fortnightly_Model!$D$2:$D$15,MATCH(G289,Fortnightly_Model!$B$2:$B$15,0)),0),IFERROR(INDEX(Fortnightly_Model!$D$2:$D$15,MATCH(G290,Fortnightly_Model!$B$2:$B$15,0)),0),IFERROR(INDEX(Fortnightly_Model!$D$2:$D$15,MATCH(G291,Fortnightly_Model!$B$2:$B$15,0)),0),IFERROR(INDEX(Fortnightly_Model!$D$2:$D$15,MATCH(G292,Fortnightly_Model!$B$2:$B$15,0)),0)),0))))))</f>
        <v>3.2142856499999999E-3</v>
      </c>
      <c r="M288" s="27">
        <f>IF(VLOOKUP($A288,Calendar!$A$1:$R$1377,18,0)=0,0,IF(VLOOKUP($A288,Calendar!$A$1:$R$1377,18,0)=1,IFERROR(INDEX(FourWeekly_Model!$D$2:$D$29,MATCH(H288,FourWeekly_Model!$B$2:$B$29,0)),0),IF(VLOOKUP($A288,Calendar!$A$1:$R$1377,18,0)=2,SUM(IFERROR(INDEX(FourWeekly_Model!$D$2:$D$29,MATCH(H288,FourWeekly_Model!$B$2:$B$29,0)),0),IFERROR(INDEX(FourWeekly_Model!$D$2:$D$29,MATCH(H289,FourWeekly_Model!$B$2:$B$29,0)),0)),IF(VLOOKUP($A288,Calendar!$A$1:$R$1377,18,0)=3,SUM(IFERROR(INDEX(FourWeekly_Model!$D$2:$D$29,MATCH(H288,FourWeekly_Model!$B$2:$B$29,0)),0),IFERROR(INDEX(FourWeekly_Model!$D$2:$D$29,MATCH(H289,FourWeekly_Model!$B$2:$B$29,0)),0),IFERROR(INDEX(FourWeekly_Model!$D$2:$D$29,MATCH(H290,FourWeekly_Model!$B$2:$B$29,0)),0)),IF(VLOOKUP($A288,Calendar!$A$1:$R$1377,18,0)=4,SUM(IFERROR(INDEX(FourWeekly_Model!$D$2:$D$29,MATCH(H288,FourWeekly_Model!$B$2:$B$29,0)),0),IFERROR(INDEX(FourWeekly_Model!$D$2:$D$29,MATCH(H289,FourWeekly_Model!$B$2:$B$29,0)),0),IFERROR(INDEX(FourWeekly_Model!$D$2:$D$29,MATCH(H290,FourWeekly_Model!$B$2:$B$29,0)),0),IFERROR(INDEX(FourWeekly_Model!$D$2:$D$29,MATCH(H291,FourWeekly_Model!$B$2:$B$29,0)),0)),IF(VLOOKUP($A288,Calendar!$A$1:$R$1377,18,0)=5,SUM(IFERROR(INDEX(FourWeekly_Model!$D$2:$D$29,MATCH(H288,FourWeekly_Model!$B$2:$B$29,0)),0),IFERROR(INDEX(FourWeekly_Model!$D$2:$D$29,MATCH(H289,FourWeekly_Model!$B$2:$B$29,0)),0),IFERROR(INDEX(FourWeekly_Model!$D$2:$D$29,MATCH(H290,FourWeekly_Model!$B$2:$B$29,0)),0),IFERROR(INDEX(FourWeekly_Model!$D$2:$D$29,MATCH(H291,FourWeekly_Model!$B$2:$B$29,0)),0),IFERROR(INDEX(FourWeekly_Model!$D$2:$D$29,MATCH(H292,FourWeekly_Model!$B$2:$B$29,0)),0)),0))))))</f>
        <v>9.9642859800000011E-3</v>
      </c>
      <c r="N288" s="27">
        <f>SUM(I288:M288)</f>
        <v>5.1817315085497383E-2</v>
      </c>
      <c r="O288" s="28">
        <f>Population_Data!$B$8*N288</f>
        <v>1570064.6470905708</v>
      </c>
      <c r="P288" s="27">
        <f>IF(VLOOKUP($A288,Calendar!$A$1:$R$1377,18,0)=0,0,IF(VLOOKUP($A288,Calendar!$A$1:$R$1377,18,0)=1,IFERROR(INDEX(Pension_Model!$D$2:$D$29,MATCH(H288,Pension_Model!$B$2:$B$29,0)),0),IF(VLOOKUP($A288,Calendar!$A$1:$R$1377,18,0)=2,SUM(IFERROR(INDEX(Pension_Model!$D$2:$D$29,MATCH(H288,Pension_Model!$B$2:$B$29,0)),0),IFERROR(INDEX(Pension_Model!$D$2:$D$29,MATCH(H289,Pension_Model!$B$2:$B$29,0)),0)),IF(VLOOKUP($A288,Calendar!$A$1:$R$1377,18,0)=3,SUM(IFERROR(INDEX(Pension_Model!$D$2:$D$29,MATCH(H288,Pension_Model!$B$2:$B$29,0)),0),IFERROR(INDEX(Pension_Model!$D$2:$D$29,MATCH(H289,Pension_Model!$B$2:$B$29,0)),0),IFERROR(INDEX(Pension_Model!$D$2:$D$29,MATCH(H290,Pension_Model!$B$2:$B$29,0)),0)),IF(VLOOKUP($A288,Calendar!$A$1:$R$1377,18,0)=4,SUM(IFERROR(INDEX(Pension_Model!$D$2:$D$29,MATCH(H288,Pension_Model!$B$2:$B$29,0)),0),IFERROR(INDEX(Pension_Model!$D$2:$D$29,MATCH(H289,Pension_Model!$B$2:$B$29,0)),0),IFERROR(INDEX(Pension_Model!$D$2:$D$29,MATCH(H290,Pension_Model!$B$2:$B$29,0)),0),IFERROR(INDEX(Pension_Model!$D$2:$D$29,MATCH(H291,Pension_Model!$B$2:$B$29,0)),0)),IF(VLOOKUP($A288,Calendar!$A$1:$R$1377,18,0)=5,SUM(IFERROR(INDEX(Pension_Model!$D$2:$D$29,MATCH(H288,Pension_Model!$B$2:$B$29,0)),0),IFERROR(INDEX(Pension_Model!$D$2:$D$29,MATCH(H289,Pension_Model!$B$2:$B$29,0)),0),IFERROR(INDEX(Pension_Model!$D$2:$D$29,MATCH(H290,Pension_Model!$B$2:$B$29,0)),0),IFERROR(INDEX(Pension_Model!$D$2:$D$29,MATCH(H291,Pension_Model!$B$2:$B$29,0)),0),IFERROR(INDEX(Pension_Model!$D$2:$D$29,MATCH(H292,Pension_Model!$B$2:$B$29,0)),0)),0))))))</f>
        <v>0.05</v>
      </c>
      <c r="Q288" s="28">
        <f>Population_Data!$B$15*P288</f>
        <v>660600</v>
      </c>
      <c r="S288">
        <f t="shared" si="4"/>
        <v>2230664.647090571</v>
      </c>
      <c r="U288" s="33">
        <f>S288/Population_Data!$B$19</f>
        <v>4.0410591432800201E-2</v>
      </c>
    </row>
    <row r="289" spans="1:21">
      <c r="A289" s="25">
        <f>Calendar!A289</f>
        <v>46522</v>
      </c>
      <c r="B289" t="str">
        <f>Calendar!L289</f>
        <v>No</v>
      </c>
      <c r="C289" t="str">
        <f>Calendar!O289</f>
        <v>No</v>
      </c>
      <c r="D289" t="str">
        <f>Calendar!P289</f>
        <v>No</v>
      </c>
      <c r="E289" t="str">
        <f>Calendar!Q289</f>
        <v>No</v>
      </c>
      <c r="F289" t="str">
        <f>Calendar!I289</f>
        <v>Saturday</v>
      </c>
      <c r="G289">
        <f>Calendar!S289</f>
        <v>0</v>
      </c>
      <c r="H289">
        <f>Calendar!T289</f>
        <v>14</v>
      </c>
      <c r="I289" s="27">
        <f>IF(VLOOKUP(A289,Calendar!$A$1:$R$1377,18,0)=0,0,IF(VLOOKUP(A289,Calendar!$A$1:$R$1377,18,0)=1,INDEX(Monthly_Pay_Model!$A$9:$D$40,MATCH(TEXT(A289,"dd"),Monthly_Pay_Model!$C$9:$C$39,0),4),IF(VLOOKUP(A289,Calendar!$A$1:$R$1377,18,0)=2,SUM(INDEX(Monthly_Pay_Model!$A$9:$D$40,MATCH(TEXT(A289,"dd"),Monthly_Pay_Model!$C$9:$C$39,0),4),INDEX(Monthly_Pay_Model!$A$9:$D$40,MATCH(TEXT(A290,"dd"),Monthly_Pay_Model!$C$9:$C$39,0),4)),IF(VLOOKUP(A289,Calendar!$A$1:$R$1377,18,0)=3,SUM(INDEX(Monthly_Pay_Model!$A$9:$D$40,MATCH(TEXT(A289,"dd"),Monthly_Pay_Model!$C$9:$C$39,0),4),INDEX(Monthly_Pay_Model!$A$9:$D$40,MATCH(TEXT(A290,"dd"),Monthly_Pay_Model!$C$9:$C$39,0),4),INDEX(Monthly_Pay_Model!$A$9:$D$40,MATCH(TEXT(A291,"dd"),Monthly_Pay_Model!$C$9:$C$39,0),4)),IF(VLOOKUP(A289,Calendar!$A$1:$R$1377,18,0)=4,SUM(INDEX(Monthly_Pay_Model!$A$9:$D$40,MATCH(TEXT(A289,"dd"),Monthly_Pay_Model!$C$9:$C$39,0),4),INDEX(Monthly_Pay_Model!$A$9:$D$40,MATCH(TEXT(A290,"dd"),Monthly_Pay_Model!$C$9:$C$39,0),4),INDEX(Monthly_Pay_Model!$A$9:$D$40,MATCH(TEXT(A291,"dd"),Monthly_Pay_Model!$C$9:$C$39,0),4),INDEX(Monthly_Pay_Model!$A$9:$D$40,MATCH(TEXT(A292,"dd"),Monthly_Pay_Model!$C$9:$C$39,0),4)),IF(VLOOKUP(A289,Calendar!$A$1:$R$1377,18,0)=5,SUM(INDEX(Monthly_Pay_Model!$A$9:$D$40,MATCH(TEXT(A289,"dd"),Monthly_Pay_Model!$C$9:$C$39,0),4),INDEX(Monthly_Pay_Model!$A$9:$D$40,MATCH(TEXT(A290,"dd"),Monthly_Pay_Model!$C$9:$C$39,0),4),INDEX(Monthly_Pay_Model!$A$9:$D$40,MATCH(TEXT(A291,"dd"),Monthly_Pay_Model!$C$9:$C$39,0),4),INDEX(Monthly_Pay_Model!$A$9:$D$40,MATCH(TEXT(A292,"dd"),Monthly_Pay_Model!$C$9:$C$39,0),4),INDEX(Monthly_Pay_Model!$A$9:$D$40,MATCH(TEXT(A293,"dd"),Monthly_Pay_Model!$C$9:$C$39,0),4)),))))))</f>
        <v>0</v>
      </c>
      <c r="J289" s="33">
        <f>IF(C289="Yes",Monthly_Pay_Model!$D$2,0)
+IF(Calendar!N289="Yes",Monthly_Pay_Model!$D$3,0)
+IF(D289="Yes",Monthly_Pay_Model!$D$4,0)
+IF(E289="Yes",Monthly_Pay_Model!$D$5,0)</f>
        <v>0</v>
      </c>
      <c r="K289" s="27">
        <f>IF(VLOOKUP($A289,Calendar!$A$1:$R$1377,18,0)=0,0,IF(VLOOKUP($A289,Calendar!$A$1:$R$1377,18,0)=1,IFERROR(INDEX(Weekly_Model!$D$2:$D$9,MATCH(F289,Weekly_Model!$A$2:$A$9,0)),0),IF(VLOOKUP($A289,Calendar!$A$1:$R$1377,18,0)=2,SUM(IFERROR(INDEX(Weekly_Model!$D$2:$D$9,MATCH(F289,Weekly_Model!$A$2:$A$9,0)),0),IFERROR(INDEX(Weekly_Model!$D$2:$D$9,MATCH(F290,Weekly_Model!$A$2:$A$9,0)),0)),IF(VLOOKUP($A289,Calendar!$A$1:$R$1377,18,0)=3,SUM(IFERROR(INDEX(Weekly_Model!$D$2:$D$9,MATCH(F289,Weekly_Model!$A$2:$A$9,0)),0),IFERROR(INDEX(Weekly_Model!$D$2:$D$9,MATCH(F290,Weekly_Model!$A$2:$A$9,0)),0),IFERROR(INDEX(Weekly_Model!$D$2:$D$9,MATCH(F291,Weekly_Model!$A$2:$A$9,0)),0)),IF(VLOOKUP($A289,Calendar!$A$1:$R$1377,18,0)=4,SUM(IFERROR(INDEX(Weekly_Model!$D$2:$D$9,MATCH(F289,Weekly_Model!$A$2:$A$9,0)),0),IFERROR(INDEX(Weekly_Model!$D$2:$D$9,MATCH(F290,Weekly_Model!$A$2:$A$9,0)),0),IFERROR(INDEX(Weekly_Model!$D$2:$D$9,MATCH(F291,Weekly_Model!$A$2:$A$9,0)),0),IFERROR(INDEX(Weekly_Model!$D$2:$D$9,MATCH(F292,Weekly_Model!$A$2:$A$9,0)),0)),IF(VLOOKUP($A289,Calendar!$A$1:$R$1377,18,0)=5,SUM(IFERROR(INDEX(Weekly_Model!$D$2:$D$9,MATCH(F289,Weekly_Model!$A$2:$A$9,0)),0),IFERROR(INDEX(Weekly_Model!$D$2:$D$9,MATCH(F290,Weekly_Model!$A$2:$A$9,0)),0),IFERROR(INDEX(Weekly_Model!$D$2:$D$9,MATCH(F291,Weekly_Model!$A$2:$A$9,0)),0),IFERROR(INDEX(Weekly_Model!$D$2:$D$9,MATCH(F292,Weekly_Model!$A$2:$A$9,0)),0),IFERROR(INDEX(Weekly_Model!$D$2:$D$9,MATCH(F293,Weekly_Model!$A$2:$A$9,0)),0)),0))))))</f>
        <v>0</v>
      </c>
      <c r="L289" s="27">
        <f>IF(VLOOKUP($A289,Calendar!$A$1:$R$1377,18,0)=0,0,IF(VLOOKUP($A289,Calendar!$A$1:$R$1377,18,0)=1,IFERROR(INDEX(Fortnightly_Model!$D$2:$D$15,MATCH(G289,Fortnightly_Model!$B$2:$B$15,0)),0),IF(VLOOKUP($A289,Calendar!$A$1:$R$1377,18,0)=2,SUM(IFERROR(INDEX(Fortnightly_Model!$D$2:$D$15,MATCH(G289,Fortnightly_Model!$B$2:$B$15,0)),0),IFERROR(INDEX(Fortnightly_Model!$D$2:$D$15,MATCH(G290,Fortnightly_Model!$B$2:$B$15,0)),0)),IF(VLOOKUP($A289,Calendar!$A$1:$R$1377,18,0)=3,SUM(IFERROR(INDEX(Fortnightly_Model!$D$2:$D$15,MATCH(G289,Fortnightly_Model!$B$2:$B$15,0)),0),IFERROR(INDEX(Fortnightly_Model!$D$2:$D$15,MATCH(G290,Fortnightly_Model!$B$2:$B$15,0)),0),IFERROR(INDEX(Fortnightly_Model!$D$2:$D$15,MATCH(G291,Fortnightly_Model!$B$2:$B$15,0)),0)),IF(VLOOKUP($A289,Calendar!$A$1:$R$1377,18,0)=4,SUM(IFERROR(INDEX(Fortnightly_Model!$D$2:$D$15,MATCH(G289,Fortnightly_Model!$B$2:$B$15,0)),0),IFERROR(INDEX(Fortnightly_Model!$D$2:$D$15,MATCH(G290,Fortnightly_Model!$B$2:$B$15,0)),0),IFERROR(INDEX(Fortnightly_Model!$D$2:$D$15,MATCH(G291,Fortnightly_Model!$B$2:$B$15,0)),0),IFERROR(INDEX(Fortnightly_Model!$D$2:$D$15,MATCH(G292,Fortnightly_Model!$B$2:$B$15,0)),0)),IF(VLOOKUP($A289,Calendar!$A$1:$R$1377,18,0)=5,SUM(IFERROR(INDEX(Fortnightly_Model!$D$2:$D$15,MATCH(G289,Fortnightly_Model!$B$2:$B$15,0)),0),IFERROR(INDEX(Fortnightly_Model!$D$2:$D$15,MATCH(G290,Fortnightly_Model!$B$2:$B$15,0)),0),IFERROR(INDEX(Fortnightly_Model!$D$2:$D$15,MATCH(G291,Fortnightly_Model!$B$2:$B$15,0)),0),IFERROR(INDEX(Fortnightly_Model!$D$2:$D$15,MATCH(G292,Fortnightly_Model!$B$2:$B$15,0)),0),IFERROR(INDEX(Fortnightly_Model!$D$2:$D$15,MATCH(G293,Fortnightly_Model!$B$2:$B$15,0)),0)),0))))))</f>
        <v>0</v>
      </c>
      <c r="M289" s="27">
        <f>IF(VLOOKUP($A289,Calendar!$A$1:$R$1377,18,0)=0,0,IF(VLOOKUP($A289,Calendar!$A$1:$R$1377,18,0)=1,IFERROR(INDEX(FourWeekly_Model!$D$2:$D$29,MATCH(H289,FourWeekly_Model!$B$2:$B$29,0)),0),IF(VLOOKUP($A289,Calendar!$A$1:$R$1377,18,0)=2,SUM(IFERROR(INDEX(FourWeekly_Model!$D$2:$D$29,MATCH(H289,FourWeekly_Model!$B$2:$B$29,0)),0),IFERROR(INDEX(FourWeekly_Model!$D$2:$D$29,MATCH(H290,FourWeekly_Model!$B$2:$B$29,0)),0)),IF(VLOOKUP($A289,Calendar!$A$1:$R$1377,18,0)=3,SUM(IFERROR(INDEX(FourWeekly_Model!$D$2:$D$29,MATCH(H289,FourWeekly_Model!$B$2:$B$29,0)),0),IFERROR(INDEX(FourWeekly_Model!$D$2:$D$29,MATCH(H290,FourWeekly_Model!$B$2:$B$29,0)),0),IFERROR(INDEX(FourWeekly_Model!$D$2:$D$29,MATCH(H291,FourWeekly_Model!$B$2:$B$29,0)),0)),IF(VLOOKUP($A289,Calendar!$A$1:$R$1377,18,0)=4,SUM(IFERROR(INDEX(FourWeekly_Model!$D$2:$D$29,MATCH(H289,FourWeekly_Model!$B$2:$B$29,0)),0),IFERROR(INDEX(FourWeekly_Model!$D$2:$D$29,MATCH(H290,FourWeekly_Model!$B$2:$B$29,0)),0),IFERROR(INDEX(FourWeekly_Model!$D$2:$D$29,MATCH(H291,FourWeekly_Model!$B$2:$B$29,0)),0),IFERROR(INDEX(FourWeekly_Model!$D$2:$D$29,MATCH(H292,FourWeekly_Model!$B$2:$B$29,0)),0)),IF(VLOOKUP($A289,Calendar!$A$1:$R$1377,18,0)=5,SUM(IFERROR(INDEX(FourWeekly_Model!$D$2:$D$29,MATCH(H289,FourWeekly_Model!$B$2:$B$29,0)),0),IFERROR(INDEX(FourWeekly_Model!$D$2:$D$29,MATCH(H290,FourWeekly_Model!$B$2:$B$29,0)),0),IFERROR(INDEX(FourWeekly_Model!$D$2:$D$29,MATCH(H291,FourWeekly_Model!$B$2:$B$29,0)),0),IFERROR(INDEX(FourWeekly_Model!$D$2:$D$29,MATCH(H292,FourWeekly_Model!$B$2:$B$29,0)),0),IFERROR(INDEX(FourWeekly_Model!$D$2:$D$29,MATCH(H293,FourWeekly_Model!$B$2:$B$29,0)),0)),0))))))</f>
        <v>0</v>
      </c>
      <c r="N289" s="27">
        <f>SUM(I289:M289)</f>
        <v>0</v>
      </c>
      <c r="O289" s="28">
        <f>Population_Data!$B$8*N289</f>
        <v>0</v>
      </c>
      <c r="P289" s="27">
        <f>IF(VLOOKUP($A289,Calendar!$A$1:$R$1377,18,0)=0,0,IF(VLOOKUP($A289,Calendar!$A$1:$R$1377,18,0)=1,IFERROR(INDEX(Pension_Model!$D$2:$D$29,MATCH(H289,Pension_Model!$B$2:$B$29,0)),0),IF(VLOOKUP($A289,Calendar!$A$1:$R$1377,18,0)=2,SUM(IFERROR(INDEX(Pension_Model!$D$2:$D$29,MATCH(H289,Pension_Model!$B$2:$B$29,0)),0),IFERROR(INDEX(Pension_Model!$D$2:$D$29,MATCH(H290,Pension_Model!$B$2:$B$29,0)),0)),IF(VLOOKUP($A289,Calendar!$A$1:$R$1377,18,0)=3,SUM(IFERROR(INDEX(Pension_Model!$D$2:$D$29,MATCH(H289,Pension_Model!$B$2:$B$29,0)),0),IFERROR(INDEX(Pension_Model!$D$2:$D$29,MATCH(H290,Pension_Model!$B$2:$B$29,0)),0),IFERROR(INDEX(Pension_Model!$D$2:$D$29,MATCH(H291,Pension_Model!$B$2:$B$29,0)),0)),IF(VLOOKUP($A289,Calendar!$A$1:$R$1377,18,0)=4,SUM(IFERROR(INDEX(Pension_Model!$D$2:$D$29,MATCH(H289,Pension_Model!$B$2:$B$29,0)),0),IFERROR(INDEX(Pension_Model!$D$2:$D$29,MATCH(H290,Pension_Model!$B$2:$B$29,0)),0),IFERROR(INDEX(Pension_Model!$D$2:$D$29,MATCH(H291,Pension_Model!$B$2:$B$29,0)),0),IFERROR(INDEX(Pension_Model!$D$2:$D$29,MATCH(H292,Pension_Model!$B$2:$B$29,0)),0)),IF(VLOOKUP($A289,Calendar!$A$1:$R$1377,18,0)=5,SUM(IFERROR(INDEX(Pension_Model!$D$2:$D$29,MATCH(H289,Pension_Model!$B$2:$B$29,0)),0),IFERROR(INDEX(Pension_Model!$D$2:$D$29,MATCH(H290,Pension_Model!$B$2:$B$29,0)),0),IFERROR(INDEX(Pension_Model!$D$2:$D$29,MATCH(H291,Pension_Model!$B$2:$B$29,0)),0),IFERROR(INDEX(Pension_Model!$D$2:$D$29,MATCH(H292,Pension_Model!$B$2:$B$29,0)),0),IFERROR(INDEX(Pension_Model!$D$2:$D$29,MATCH(H293,Pension_Model!$B$2:$B$29,0)),0)),0))))))</f>
        <v>0</v>
      </c>
      <c r="Q289" s="28">
        <f>Population_Data!$B$15*P289</f>
        <v>0</v>
      </c>
      <c r="S289">
        <f t="shared" si="4"/>
        <v>0</v>
      </c>
      <c r="U289" s="33">
        <f>S289/Population_Data!$B$19</f>
        <v>0</v>
      </c>
    </row>
    <row r="290" spans="1:21">
      <c r="A290" s="25">
        <f>Calendar!A290</f>
        <v>46523</v>
      </c>
      <c r="B290" t="str">
        <f>Calendar!L290</f>
        <v>No</v>
      </c>
      <c r="C290" t="str">
        <f>Calendar!O290</f>
        <v>No</v>
      </c>
      <c r="D290" t="str">
        <f>Calendar!P290</f>
        <v>No</v>
      </c>
      <c r="E290" t="str">
        <f>Calendar!Q290</f>
        <v>No</v>
      </c>
      <c r="F290" t="str">
        <f>Calendar!I290</f>
        <v>Sunday</v>
      </c>
      <c r="G290">
        <f>Calendar!S290</f>
        <v>1</v>
      </c>
      <c r="H290">
        <f>Calendar!T290</f>
        <v>15</v>
      </c>
      <c r="I290" s="27">
        <f>IF(VLOOKUP(A290,Calendar!$A$1:$R$1377,18,0)=0,0,IF(VLOOKUP(A290,Calendar!$A$1:$R$1377,18,0)=1,INDEX(Monthly_Pay_Model!$A$9:$D$40,MATCH(TEXT(A290,"dd"),Monthly_Pay_Model!$C$9:$C$39,0),4),IF(VLOOKUP(A290,Calendar!$A$1:$R$1377,18,0)=2,SUM(INDEX(Monthly_Pay_Model!$A$9:$D$40,MATCH(TEXT(A290,"dd"),Monthly_Pay_Model!$C$9:$C$39,0),4),INDEX(Monthly_Pay_Model!$A$9:$D$40,MATCH(TEXT(A291,"dd"),Monthly_Pay_Model!$C$9:$C$39,0),4)),IF(VLOOKUP(A290,Calendar!$A$1:$R$1377,18,0)=3,SUM(INDEX(Monthly_Pay_Model!$A$9:$D$40,MATCH(TEXT(A290,"dd"),Monthly_Pay_Model!$C$9:$C$39,0),4),INDEX(Monthly_Pay_Model!$A$9:$D$40,MATCH(TEXT(A291,"dd"),Monthly_Pay_Model!$C$9:$C$39,0),4),INDEX(Monthly_Pay_Model!$A$9:$D$40,MATCH(TEXT(A292,"dd"),Monthly_Pay_Model!$C$9:$C$39,0),4)),IF(VLOOKUP(A290,Calendar!$A$1:$R$1377,18,0)=4,SUM(INDEX(Monthly_Pay_Model!$A$9:$D$40,MATCH(TEXT(A290,"dd"),Monthly_Pay_Model!$C$9:$C$39,0),4),INDEX(Monthly_Pay_Model!$A$9:$D$40,MATCH(TEXT(A291,"dd"),Monthly_Pay_Model!$C$9:$C$39,0),4),INDEX(Monthly_Pay_Model!$A$9:$D$40,MATCH(TEXT(A292,"dd"),Monthly_Pay_Model!$C$9:$C$39,0),4),INDEX(Monthly_Pay_Model!$A$9:$D$40,MATCH(TEXT(A293,"dd"),Monthly_Pay_Model!$C$9:$C$39,0),4)),IF(VLOOKUP(A290,Calendar!$A$1:$R$1377,18,0)=5,SUM(INDEX(Monthly_Pay_Model!$A$9:$D$40,MATCH(TEXT(A290,"dd"),Monthly_Pay_Model!$C$9:$C$39,0),4),INDEX(Monthly_Pay_Model!$A$9:$D$40,MATCH(TEXT(A291,"dd"),Monthly_Pay_Model!$C$9:$C$39,0),4),INDEX(Monthly_Pay_Model!$A$9:$D$40,MATCH(TEXT(A292,"dd"),Monthly_Pay_Model!$C$9:$C$39,0),4),INDEX(Monthly_Pay_Model!$A$9:$D$40,MATCH(TEXT(A293,"dd"),Monthly_Pay_Model!$C$9:$C$39,0),4),INDEX(Monthly_Pay_Model!$A$9:$D$40,MATCH(TEXT(A294,"dd"),Monthly_Pay_Model!$C$9:$C$39,0),4)),))))))</f>
        <v>0</v>
      </c>
      <c r="J290" s="33">
        <f>IF(C290="Yes",Monthly_Pay_Model!$D$2,0)
+IF(Calendar!N290="Yes",Monthly_Pay_Model!$D$3,0)
+IF(D290="Yes",Monthly_Pay_Model!$D$4,0)
+IF(E290="Yes",Monthly_Pay_Model!$D$5,0)</f>
        <v>0</v>
      </c>
      <c r="K290" s="27">
        <f>IF(VLOOKUP($A290,Calendar!$A$1:$R$1377,18,0)=0,0,IF(VLOOKUP($A290,Calendar!$A$1:$R$1377,18,0)=1,IFERROR(INDEX(Weekly_Model!$D$2:$D$9,MATCH(F290,Weekly_Model!$A$2:$A$9,0)),0),IF(VLOOKUP($A290,Calendar!$A$1:$R$1377,18,0)=2,SUM(IFERROR(INDEX(Weekly_Model!$D$2:$D$9,MATCH(F290,Weekly_Model!$A$2:$A$9,0)),0),IFERROR(INDEX(Weekly_Model!$D$2:$D$9,MATCH(F291,Weekly_Model!$A$2:$A$9,0)),0)),IF(VLOOKUP($A290,Calendar!$A$1:$R$1377,18,0)=3,SUM(IFERROR(INDEX(Weekly_Model!$D$2:$D$9,MATCH(F290,Weekly_Model!$A$2:$A$9,0)),0),IFERROR(INDEX(Weekly_Model!$D$2:$D$9,MATCH(F291,Weekly_Model!$A$2:$A$9,0)),0),IFERROR(INDEX(Weekly_Model!$D$2:$D$9,MATCH(F292,Weekly_Model!$A$2:$A$9,0)),0)),IF(VLOOKUP($A290,Calendar!$A$1:$R$1377,18,0)=4,SUM(IFERROR(INDEX(Weekly_Model!$D$2:$D$9,MATCH(F290,Weekly_Model!$A$2:$A$9,0)),0),IFERROR(INDEX(Weekly_Model!$D$2:$D$9,MATCH(F291,Weekly_Model!$A$2:$A$9,0)),0),IFERROR(INDEX(Weekly_Model!$D$2:$D$9,MATCH(F292,Weekly_Model!$A$2:$A$9,0)),0),IFERROR(INDEX(Weekly_Model!$D$2:$D$9,MATCH(F293,Weekly_Model!$A$2:$A$9,0)),0)),IF(VLOOKUP($A290,Calendar!$A$1:$R$1377,18,0)=5,SUM(IFERROR(INDEX(Weekly_Model!$D$2:$D$9,MATCH(F290,Weekly_Model!$A$2:$A$9,0)),0),IFERROR(INDEX(Weekly_Model!$D$2:$D$9,MATCH(F291,Weekly_Model!$A$2:$A$9,0)),0),IFERROR(INDEX(Weekly_Model!$D$2:$D$9,MATCH(F292,Weekly_Model!$A$2:$A$9,0)),0),IFERROR(INDEX(Weekly_Model!$D$2:$D$9,MATCH(F293,Weekly_Model!$A$2:$A$9,0)),0),IFERROR(INDEX(Weekly_Model!$D$2:$D$9,MATCH(F294,Weekly_Model!$A$2:$A$9,0)),0)),0))))))</f>
        <v>0</v>
      </c>
      <c r="L290" s="27">
        <f>IF(VLOOKUP($A290,Calendar!$A$1:$R$1377,18,0)=0,0,IF(VLOOKUP($A290,Calendar!$A$1:$R$1377,18,0)=1,IFERROR(INDEX(Fortnightly_Model!$D$2:$D$15,MATCH(G290,Fortnightly_Model!$B$2:$B$15,0)),0),IF(VLOOKUP($A290,Calendar!$A$1:$R$1377,18,0)=2,SUM(IFERROR(INDEX(Fortnightly_Model!$D$2:$D$15,MATCH(G290,Fortnightly_Model!$B$2:$B$15,0)),0),IFERROR(INDEX(Fortnightly_Model!$D$2:$D$15,MATCH(G291,Fortnightly_Model!$B$2:$B$15,0)),0)),IF(VLOOKUP($A290,Calendar!$A$1:$R$1377,18,0)=3,SUM(IFERROR(INDEX(Fortnightly_Model!$D$2:$D$15,MATCH(G290,Fortnightly_Model!$B$2:$B$15,0)),0),IFERROR(INDEX(Fortnightly_Model!$D$2:$D$15,MATCH(G291,Fortnightly_Model!$B$2:$B$15,0)),0),IFERROR(INDEX(Fortnightly_Model!$D$2:$D$15,MATCH(G292,Fortnightly_Model!$B$2:$B$15,0)),0)),IF(VLOOKUP($A290,Calendar!$A$1:$R$1377,18,0)=4,SUM(IFERROR(INDEX(Fortnightly_Model!$D$2:$D$15,MATCH(G290,Fortnightly_Model!$B$2:$B$15,0)),0),IFERROR(INDEX(Fortnightly_Model!$D$2:$D$15,MATCH(G291,Fortnightly_Model!$B$2:$B$15,0)),0),IFERROR(INDEX(Fortnightly_Model!$D$2:$D$15,MATCH(G292,Fortnightly_Model!$B$2:$B$15,0)),0),IFERROR(INDEX(Fortnightly_Model!$D$2:$D$15,MATCH(G293,Fortnightly_Model!$B$2:$B$15,0)),0)),IF(VLOOKUP($A290,Calendar!$A$1:$R$1377,18,0)=5,SUM(IFERROR(INDEX(Fortnightly_Model!$D$2:$D$15,MATCH(G290,Fortnightly_Model!$B$2:$B$15,0)),0),IFERROR(INDEX(Fortnightly_Model!$D$2:$D$15,MATCH(G291,Fortnightly_Model!$B$2:$B$15,0)),0),IFERROR(INDEX(Fortnightly_Model!$D$2:$D$15,MATCH(G292,Fortnightly_Model!$B$2:$B$15,0)),0),IFERROR(INDEX(Fortnightly_Model!$D$2:$D$15,MATCH(G293,Fortnightly_Model!$B$2:$B$15,0)),0),IFERROR(INDEX(Fortnightly_Model!$D$2:$D$15,MATCH(G294,Fortnightly_Model!$B$2:$B$15,0)),0)),0))))))</f>
        <v>0</v>
      </c>
      <c r="M290" s="27">
        <f>IF(VLOOKUP($A290,Calendar!$A$1:$R$1377,18,0)=0,0,IF(VLOOKUP($A290,Calendar!$A$1:$R$1377,18,0)=1,IFERROR(INDEX(FourWeekly_Model!$D$2:$D$29,MATCH(H290,FourWeekly_Model!$B$2:$B$29,0)),0),IF(VLOOKUP($A290,Calendar!$A$1:$R$1377,18,0)=2,SUM(IFERROR(INDEX(FourWeekly_Model!$D$2:$D$29,MATCH(H290,FourWeekly_Model!$B$2:$B$29,0)),0),IFERROR(INDEX(FourWeekly_Model!$D$2:$D$29,MATCH(H291,FourWeekly_Model!$B$2:$B$29,0)),0)),IF(VLOOKUP($A290,Calendar!$A$1:$R$1377,18,0)=3,SUM(IFERROR(INDEX(FourWeekly_Model!$D$2:$D$29,MATCH(H290,FourWeekly_Model!$B$2:$B$29,0)),0),IFERROR(INDEX(FourWeekly_Model!$D$2:$D$29,MATCH(H291,FourWeekly_Model!$B$2:$B$29,0)),0),IFERROR(INDEX(FourWeekly_Model!$D$2:$D$29,MATCH(H292,FourWeekly_Model!$B$2:$B$29,0)),0)),IF(VLOOKUP($A290,Calendar!$A$1:$R$1377,18,0)=4,SUM(IFERROR(INDEX(FourWeekly_Model!$D$2:$D$29,MATCH(H290,FourWeekly_Model!$B$2:$B$29,0)),0),IFERROR(INDEX(FourWeekly_Model!$D$2:$D$29,MATCH(H291,FourWeekly_Model!$B$2:$B$29,0)),0),IFERROR(INDEX(FourWeekly_Model!$D$2:$D$29,MATCH(H292,FourWeekly_Model!$B$2:$B$29,0)),0),IFERROR(INDEX(FourWeekly_Model!$D$2:$D$29,MATCH(H293,FourWeekly_Model!$B$2:$B$29,0)),0)),IF(VLOOKUP($A290,Calendar!$A$1:$R$1377,18,0)=5,SUM(IFERROR(INDEX(FourWeekly_Model!$D$2:$D$29,MATCH(H290,FourWeekly_Model!$B$2:$B$29,0)),0),IFERROR(INDEX(FourWeekly_Model!$D$2:$D$29,MATCH(H291,FourWeekly_Model!$B$2:$B$29,0)),0),IFERROR(INDEX(FourWeekly_Model!$D$2:$D$29,MATCH(H292,FourWeekly_Model!$B$2:$B$29,0)),0),IFERROR(INDEX(FourWeekly_Model!$D$2:$D$29,MATCH(H293,FourWeekly_Model!$B$2:$B$29,0)),0),IFERROR(INDEX(FourWeekly_Model!$D$2:$D$29,MATCH(H294,FourWeekly_Model!$B$2:$B$29,0)),0)),0))))))</f>
        <v>0</v>
      </c>
      <c r="N290" s="27">
        <f>SUM(I290:M290)</f>
        <v>0</v>
      </c>
      <c r="O290" s="28">
        <f>Population_Data!$B$8*N290</f>
        <v>0</v>
      </c>
      <c r="P290" s="27">
        <f>IF(VLOOKUP($A290,Calendar!$A$1:$R$1377,18,0)=0,0,IF(VLOOKUP($A290,Calendar!$A$1:$R$1377,18,0)=1,IFERROR(INDEX(Pension_Model!$D$2:$D$29,MATCH(H290,Pension_Model!$B$2:$B$29,0)),0),IF(VLOOKUP($A290,Calendar!$A$1:$R$1377,18,0)=2,SUM(IFERROR(INDEX(Pension_Model!$D$2:$D$29,MATCH(H290,Pension_Model!$B$2:$B$29,0)),0),IFERROR(INDEX(Pension_Model!$D$2:$D$29,MATCH(H291,Pension_Model!$B$2:$B$29,0)),0)),IF(VLOOKUP($A290,Calendar!$A$1:$R$1377,18,0)=3,SUM(IFERROR(INDEX(Pension_Model!$D$2:$D$29,MATCH(H290,Pension_Model!$B$2:$B$29,0)),0),IFERROR(INDEX(Pension_Model!$D$2:$D$29,MATCH(H291,Pension_Model!$B$2:$B$29,0)),0),IFERROR(INDEX(Pension_Model!$D$2:$D$29,MATCH(H292,Pension_Model!$B$2:$B$29,0)),0)),IF(VLOOKUP($A290,Calendar!$A$1:$R$1377,18,0)=4,SUM(IFERROR(INDEX(Pension_Model!$D$2:$D$29,MATCH(H290,Pension_Model!$B$2:$B$29,0)),0),IFERROR(INDEX(Pension_Model!$D$2:$D$29,MATCH(H291,Pension_Model!$B$2:$B$29,0)),0),IFERROR(INDEX(Pension_Model!$D$2:$D$29,MATCH(H292,Pension_Model!$B$2:$B$29,0)),0),IFERROR(INDEX(Pension_Model!$D$2:$D$29,MATCH(H293,Pension_Model!$B$2:$B$29,0)),0)),IF(VLOOKUP($A290,Calendar!$A$1:$R$1377,18,0)=5,SUM(IFERROR(INDEX(Pension_Model!$D$2:$D$29,MATCH(H290,Pension_Model!$B$2:$B$29,0)),0),IFERROR(INDEX(Pension_Model!$D$2:$D$29,MATCH(H291,Pension_Model!$B$2:$B$29,0)),0),IFERROR(INDEX(Pension_Model!$D$2:$D$29,MATCH(H292,Pension_Model!$B$2:$B$29,0)),0),IFERROR(INDEX(Pension_Model!$D$2:$D$29,MATCH(H293,Pension_Model!$B$2:$B$29,0)),0),IFERROR(INDEX(Pension_Model!$D$2:$D$29,MATCH(H294,Pension_Model!$B$2:$B$29,0)),0)),0))))))</f>
        <v>0</v>
      </c>
      <c r="Q290" s="28">
        <f>Population_Data!$B$15*P290</f>
        <v>0</v>
      </c>
      <c r="S290">
        <f t="shared" si="4"/>
        <v>0</v>
      </c>
      <c r="U290" s="33">
        <f>S290/Population_Data!$B$19</f>
        <v>0</v>
      </c>
    </row>
    <row r="291" spans="1:21">
      <c r="A291" s="25">
        <f>Calendar!A291</f>
        <v>46524</v>
      </c>
      <c r="B291" t="str">
        <f>Calendar!L291</f>
        <v>Yes</v>
      </c>
      <c r="C291" t="str">
        <f>Calendar!O291</f>
        <v>No</v>
      </c>
      <c r="D291" t="str">
        <f>Calendar!P291</f>
        <v>No</v>
      </c>
      <c r="E291" t="str">
        <f>Calendar!Q291</f>
        <v>No</v>
      </c>
      <c r="F291" t="str">
        <f>Calendar!I291</f>
        <v>Monday</v>
      </c>
      <c r="G291">
        <f>Calendar!S291</f>
        <v>2</v>
      </c>
      <c r="H291">
        <f>Calendar!T291</f>
        <v>16</v>
      </c>
      <c r="I291" s="27">
        <f>IF(VLOOKUP(A291,Calendar!$A$1:$R$1377,18,0)=0,0,IF(VLOOKUP(A291,Calendar!$A$1:$R$1377,18,0)=1,INDEX(Monthly_Pay_Model!$A$9:$D$40,MATCH(TEXT(A291,"dd"),Monthly_Pay_Model!$C$9:$C$39,0),4),IF(VLOOKUP(A291,Calendar!$A$1:$R$1377,18,0)=2,SUM(INDEX(Monthly_Pay_Model!$A$9:$D$40,MATCH(TEXT(A291,"dd"),Monthly_Pay_Model!$C$9:$C$39,0),4),INDEX(Monthly_Pay_Model!$A$9:$D$40,MATCH(TEXT(A292,"dd"),Monthly_Pay_Model!$C$9:$C$39,0),4)),IF(VLOOKUP(A291,Calendar!$A$1:$R$1377,18,0)=3,SUM(INDEX(Monthly_Pay_Model!$A$9:$D$40,MATCH(TEXT(A291,"dd"),Monthly_Pay_Model!$C$9:$C$39,0),4),INDEX(Monthly_Pay_Model!$A$9:$D$40,MATCH(TEXT(A292,"dd"),Monthly_Pay_Model!$C$9:$C$39,0),4),INDEX(Monthly_Pay_Model!$A$9:$D$40,MATCH(TEXT(A293,"dd"),Monthly_Pay_Model!$C$9:$C$39,0),4)),IF(VLOOKUP(A291,Calendar!$A$1:$R$1377,18,0)=4,SUM(INDEX(Monthly_Pay_Model!$A$9:$D$40,MATCH(TEXT(A291,"dd"),Monthly_Pay_Model!$C$9:$C$39,0),4),INDEX(Monthly_Pay_Model!$A$9:$D$40,MATCH(TEXT(A292,"dd"),Monthly_Pay_Model!$C$9:$C$39,0),4),INDEX(Monthly_Pay_Model!$A$9:$D$40,MATCH(TEXT(A293,"dd"),Monthly_Pay_Model!$C$9:$C$39,0),4),INDEX(Monthly_Pay_Model!$A$9:$D$40,MATCH(TEXT(A294,"dd"),Monthly_Pay_Model!$C$9:$C$39,0),4)),IF(VLOOKUP(A291,Calendar!$A$1:$R$1377,18,0)=5,SUM(INDEX(Monthly_Pay_Model!$A$9:$D$40,MATCH(TEXT(A291,"dd"),Monthly_Pay_Model!$C$9:$C$39,0),4),INDEX(Monthly_Pay_Model!$A$9:$D$40,MATCH(TEXT(A292,"dd"),Monthly_Pay_Model!$C$9:$C$39,0),4),INDEX(Monthly_Pay_Model!$A$9:$D$40,MATCH(TEXT(A293,"dd"),Monthly_Pay_Model!$C$9:$C$39,0),4),INDEX(Monthly_Pay_Model!$A$9:$D$40,MATCH(TEXT(A294,"dd"),Monthly_Pay_Model!$C$9:$C$39,0),4),INDEX(Monthly_Pay_Model!$A$9:$D$40,MATCH(TEXT(A295,"dd"),Monthly_Pay_Model!$C$9:$C$39,0),4)),))))))</f>
        <v>8.1256544502617792E-4</v>
      </c>
      <c r="J291" s="33">
        <f>IF(C291="Yes",Monthly_Pay_Model!$D$2,0)
+IF(Calendar!N291="Yes",Monthly_Pay_Model!$D$3,0)
+IF(D291="Yes",Monthly_Pay_Model!$D$4,0)
+IF(E291="Yes",Monthly_Pay_Model!$D$5,0)</f>
        <v>0</v>
      </c>
      <c r="K291" s="27">
        <f>IF(VLOOKUP($A291,Calendar!$A$1:$R$1377,18,0)=0,0,IF(VLOOKUP($A291,Calendar!$A$1:$R$1377,18,0)=1,IFERROR(INDEX(Weekly_Model!$D$2:$D$9,MATCH(F291,Weekly_Model!$A$2:$A$9,0)),0),IF(VLOOKUP($A291,Calendar!$A$1:$R$1377,18,0)=2,SUM(IFERROR(INDEX(Weekly_Model!$D$2:$D$9,MATCH(F291,Weekly_Model!$A$2:$A$9,0)),0),IFERROR(INDEX(Weekly_Model!$D$2:$D$9,MATCH(F292,Weekly_Model!$A$2:$A$9,0)),0)),IF(VLOOKUP($A291,Calendar!$A$1:$R$1377,18,0)=3,SUM(IFERROR(INDEX(Weekly_Model!$D$2:$D$9,MATCH(F291,Weekly_Model!$A$2:$A$9,0)),0),IFERROR(INDEX(Weekly_Model!$D$2:$D$9,MATCH(F292,Weekly_Model!$A$2:$A$9,0)),0),IFERROR(INDEX(Weekly_Model!$D$2:$D$9,MATCH(F293,Weekly_Model!$A$2:$A$9,0)),0)),IF(VLOOKUP($A291,Calendar!$A$1:$R$1377,18,0)=4,SUM(IFERROR(INDEX(Weekly_Model!$D$2:$D$9,MATCH(F291,Weekly_Model!$A$2:$A$9,0)),0),IFERROR(INDEX(Weekly_Model!$D$2:$D$9,MATCH(F292,Weekly_Model!$A$2:$A$9,0)),0),IFERROR(INDEX(Weekly_Model!$D$2:$D$9,MATCH(F293,Weekly_Model!$A$2:$A$9,0)),0),IFERROR(INDEX(Weekly_Model!$D$2:$D$9,MATCH(F294,Weekly_Model!$A$2:$A$9,0)),0)),IF(VLOOKUP($A291,Calendar!$A$1:$R$1377,18,0)=5,SUM(IFERROR(INDEX(Weekly_Model!$D$2:$D$9,MATCH(F291,Weekly_Model!$A$2:$A$9,0)),0),IFERROR(INDEX(Weekly_Model!$D$2:$D$9,MATCH(F292,Weekly_Model!$A$2:$A$9,0)),0),IFERROR(INDEX(Weekly_Model!$D$2:$D$9,MATCH(F293,Weekly_Model!$A$2:$A$9,0)),0),IFERROR(INDEX(Weekly_Model!$D$2:$D$9,MATCH(F294,Weekly_Model!$A$2:$A$9,0)),0),IFERROR(INDEX(Weekly_Model!$D$2:$D$9,MATCH(F295,Weekly_Model!$A$2:$A$9,0)),0)),0))))))</f>
        <v>2.3200000000000002E-2</v>
      </c>
      <c r="L291" s="27">
        <f>IF(VLOOKUP($A291,Calendar!$A$1:$R$1377,18,0)=0,0,IF(VLOOKUP($A291,Calendar!$A$1:$R$1377,18,0)=1,IFERROR(INDEX(Fortnightly_Model!$D$2:$D$15,MATCH(G291,Fortnightly_Model!$B$2:$B$15,0)),0),IF(VLOOKUP($A291,Calendar!$A$1:$R$1377,18,0)=2,SUM(IFERROR(INDEX(Fortnightly_Model!$D$2:$D$15,MATCH(G291,Fortnightly_Model!$B$2:$B$15,0)),0),IFERROR(INDEX(Fortnightly_Model!$D$2:$D$15,MATCH(G292,Fortnightly_Model!$B$2:$B$15,0)),0)),IF(VLOOKUP($A291,Calendar!$A$1:$R$1377,18,0)=3,SUM(IFERROR(INDEX(Fortnightly_Model!$D$2:$D$15,MATCH(G291,Fortnightly_Model!$B$2:$B$15,0)),0),IFERROR(INDEX(Fortnightly_Model!$D$2:$D$15,MATCH(G292,Fortnightly_Model!$B$2:$B$15,0)),0),IFERROR(INDEX(Fortnightly_Model!$D$2:$D$15,MATCH(G293,Fortnightly_Model!$B$2:$B$15,0)),0)),IF(VLOOKUP($A291,Calendar!$A$1:$R$1377,18,0)=4,SUM(IFERROR(INDEX(Fortnightly_Model!$D$2:$D$15,MATCH(G291,Fortnightly_Model!$B$2:$B$15,0)),0),IFERROR(INDEX(Fortnightly_Model!$D$2:$D$15,MATCH(G292,Fortnightly_Model!$B$2:$B$15,0)),0),IFERROR(INDEX(Fortnightly_Model!$D$2:$D$15,MATCH(G293,Fortnightly_Model!$B$2:$B$15,0)),0),IFERROR(INDEX(Fortnightly_Model!$D$2:$D$15,MATCH(G294,Fortnightly_Model!$B$2:$B$15,0)),0)),IF(VLOOKUP($A291,Calendar!$A$1:$R$1377,18,0)=5,SUM(IFERROR(INDEX(Fortnightly_Model!$D$2:$D$15,MATCH(G291,Fortnightly_Model!$B$2:$B$15,0)),0),IFERROR(INDEX(Fortnightly_Model!$D$2:$D$15,MATCH(G292,Fortnightly_Model!$B$2:$B$15,0)),0),IFERROR(INDEX(Fortnightly_Model!$D$2:$D$15,MATCH(G293,Fortnightly_Model!$B$2:$B$15,0)),0),IFERROR(INDEX(Fortnightly_Model!$D$2:$D$15,MATCH(G294,Fortnightly_Model!$B$2:$B$15,0)),0),IFERROR(INDEX(Fortnightly_Model!$D$2:$D$15,MATCH(G295,Fortnightly_Model!$B$2:$B$15,0)),0)),0))))))</f>
        <v>1.0714285499999999E-3</v>
      </c>
      <c r="M291" s="27">
        <f>IF(VLOOKUP($A291,Calendar!$A$1:$R$1377,18,0)=0,0,IF(VLOOKUP($A291,Calendar!$A$1:$R$1377,18,0)=1,IFERROR(INDEX(FourWeekly_Model!$D$2:$D$29,MATCH(H291,FourWeekly_Model!$B$2:$B$29,0)),0),IF(VLOOKUP($A291,Calendar!$A$1:$R$1377,18,0)=2,SUM(IFERROR(INDEX(FourWeekly_Model!$D$2:$D$29,MATCH(H291,FourWeekly_Model!$B$2:$B$29,0)),0),IFERROR(INDEX(FourWeekly_Model!$D$2:$D$29,MATCH(H292,FourWeekly_Model!$B$2:$B$29,0)),0)),IF(VLOOKUP($A291,Calendar!$A$1:$R$1377,18,0)=3,SUM(IFERROR(INDEX(FourWeekly_Model!$D$2:$D$29,MATCH(H291,FourWeekly_Model!$B$2:$B$29,0)),0),IFERROR(INDEX(FourWeekly_Model!$D$2:$D$29,MATCH(H292,FourWeekly_Model!$B$2:$B$29,0)),0),IFERROR(INDEX(FourWeekly_Model!$D$2:$D$29,MATCH(H293,FourWeekly_Model!$B$2:$B$29,0)),0)),IF(VLOOKUP($A291,Calendar!$A$1:$R$1377,18,0)=4,SUM(IFERROR(INDEX(FourWeekly_Model!$D$2:$D$29,MATCH(H291,FourWeekly_Model!$B$2:$B$29,0)),0),IFERROR(INDEX(FourWeekly_Model!$D$2:$D$29,MATCH(H292,FourWeekly_Model!$B$2:$B$29,0)),0),IFERROR(INDEX(FourWeekly_Model!$D$2:$D$29,MATCH(H293,FourWeekly_Model!$B$2:$B$29,0)),0),IFERROR(INDEX(FourWeekly_Model!$D$2:$D$29,MATCH(H294,FourWeekly_Model!$B$2:$B$29,0)),0)),IF(VLOOKUP($A291,Calendar!$A$1:$R$1377,18,0)=5,SUM(IFERROR(INDEX(FourWeekly_Model!$D$2:$D$29,MATCH(H291,FourWeekly_Model!$B$2:$B$29,0)),0),IFERROR(INDEX(FourWeekly_Model!$D$2:$D$29,MATCH(H292,FourWeekly_Model!$B$2:$B$29,0)),0),IFERROR(INDEX(FourWeekly_Model!$D$2:$D$29,MATCH(H293,FourWeekly_Model!$B$2:$B$29,0)),0),IFERROR(INDEX(FourWeekly_Model!$D$2:$D$29,MATCH(H294,FourWeekly_Model!$B$2:$B$29,0)),0),IFERROR(INDEX(FourWeekly_Model!$D$2:$D$29,MATCH(H295,FourWeekly_Model!$B$2:$B$29,0)),0)),0))))))</f>
        <v>3.3214289700000004E-3</v>
      </c>
      <c r="N291" s="27">
        <f>SUM(I291:M291)</f>
        <v>2.840542296502618E-2</v>
      </c>
      <c r="O291" s="28">
        <f>Population_Data!$B$8*N291</f>
        <v>860684.3158402933</v>
      </c>
      <c r="P291" s="27">
        <f>IF(VLOOKUP($A291,Calendar!$A$1:$R$1377,18,0)=0,0,IF(VLOOKUP($A291,Calendar!$A$1:$R$1377,18,0)=1,IFERROR(INDEX(Pension_Model!$D$2:$D$29,MATCH(H291,Pension_Model!$B$2:$B$29,0)),0),IF(VLOOKUP($A291,Calendar!$A$1:$R$1377,18,0)=2,SUM(IFERROR(INDEX(Pension_Model!$D$2:$D$29,MATCH(H291,Pension_Model!$B$2:$B$29,0)),0),IFERROR(INDEX(Pension_Model!$D$2:$D$29,MATCH(H292,Pension_Model!$B$2:$B$29,0)),0)),IF(VLOOKUP($A291,Calendar!$A$1:$R$1377,18,0)=3,SUM(IFERROR(INDEX(Pension_Model!$D$2:$D$29,MATCH(H291,Pension_Model!$B$2:$B$29,0)),0),IFERROR(INDEX(Pension_Model!$D$2:$D$29,MATCH(H292,Pension_Model!$B$2:$B$29,0)),0),IFERROR(INDEX(Pension_Model!$D$2:$D$29,MATCH(H293,Pension_Model!$B$2:$B$29,0)),0)),IF(VLOOKUP($A291,Calendar!$A$1:$R$1377,18,0)=4,SUM(IFERROR(INDEX(Pension_Model!$D$2:$D$29,MATCH(H291,Pension_Model!$B$2:$B$29,0)),0),IFERROR(INDEX(Pension_Model!$D$2:$D$29,MATCH(H292,Pension_Model!$B$2:$B$29,0)),0),IFERROR(INDEX(Pension_Model!$D$2:$D$29,MATCH(H293,Pension_Model!$B$2:$B$29,0)),0),IFERROR(INDEX(Pension_Model!$D$2:$D$29,MATCH(H294,Pension_Model!$B$2:$B$29,0)),0)),IF(VLOOKUP($A291,Calendar!$A$1:$R$1377,18,0)=5,SUM(IFERROR(INDEX(Pension_Model!$D$2:$D$29,MATCH(H291,Pension_Model!$B$2:$B$29,0)),0),IFERROR(INDEX(Pension_Model!$D$2:$D$29,MATCH(H292,Pension_Model!$B$2:$B$29,0)),0),IFERROR(INDEX(Pension_Model!$D$2:$D$29,MATCH(H293,Pension_Model!$B$2:$B$29,0)),0),IFERROR(INDEX(Pension_Model!$D$2:$D$29,MATCH(H294,Pension_Model!$B$2:$B$29,0)),0),IFERROR(INDEX(Pension_Model!$D$2:$D$29,MATCH(H295,Pension_Model!$B$2:$B$29,0)),0)),0))))))</f>
        <v>0.05</v>
      </c>
      <c r="Q291" s="28">
        <f>Population_Data!$B$15*P291</f>
        <v>660600</v>
      </c>
      <c r="S291">
        <f t="shared" si="4"/>
        <v>1521284.3158402932</v>
      </c>
      <c r="U291" s="33">
        <f>S291/Population_Data!$B$19</f>
        <v>2.7559498475367629E-2</v>
      </c>
    </row>
    <row r="292" spans="1:21">
      <c r="A292" s="25">
        <f>Calendar!A292</f>
        <v>46525</v>
      </c>
      <c r="B292" t="str">
        <f>Calendar!L292</f>
        <v>Yes</v>
      </c>
      <c r="C292" t="str">
        <f>Calendar!O292</f>
        <v>No</v>
      </c>
      <c r="D292" t="str">
        <f>Calendar!P292</f>
        <v>No</v>
      </c>
      <c r="E292" t="str">
        <f>Calendar!Q292</f>
        <v>No</v>
      </c>
      <c r="F292" t="str">
        <f>Calendar!I292</f>
        <v>Tuesday</v>
      </c>
      <c r="G292">
        <f>Calendar!S292</f>
        <v>3</v>
      </c>
      <c r="H292">
        <f>Calendar!T292</f>
        <v>17</v>
      </c>
      <c r="I292" s="27">
        <f>IF(VLOOKUP(A292,Calendar!$A$1:$R$1377,18,0)=0,0,IF(VLOOKUP(A292,Calendar!$A$1:$R$1377,18,0)=1,INDEX(Monthly_Pay_Model!$A$9:$D$40,MATCH(TEXT(A292,"dd"),Monthly_Pay_Model!$C$9:$C$39,0),4),IF(VLOOKUP(A292,Calendar!$A$1:$R$1377,18,0)=2,SUM(INDEX(Monthly_Pay_Model!$A$9:$D$40,MATCH(TEXT(A292,"dd"),Monthly_Pay_Model!$C$9:$C$39,0),4),INDEX(Monthly_Pay_Model!$A$9:$D$40,MATCH(TEXT(A293,"dd"),Monthly_Pay_Model!$C$9:$C$39,0),4)),IF(VLOOKUP(A292,Calendar!$A$1:$R$1377,18,0)=3,SUM(INDEX(Monthly_Pay_Model!$A$9:$D$40,MATCH(TEXT(A292,"dd"),Monthly_Pay_Model!$C$9:$C$39,0),4),INDEX(Monthly_Pay_Model!$A$9:$D$40,MATCH(TEXT(A293,"dd"),Monthly_Pay_Model!$C$9:$C$39,0),4),INDEX(Monthly_Pay_Model!$A$9:$D$40,MATCH(TEXT(A294,"dd"),Monthly_Pay_Model!$C$9:$C$39,0),4)),IF(VLOOKUP(A292,Calendar!$A$1:$R$1377,18,0)=4,SUM(INDEX(Monthly_Pay_Model!$A$9:$D$40,MATCH(TEXT(A292,"dd"),Monthly_Pay_Model!$C$9:$C$39,0),4),INDEX(Monthly_Pay_Model!$A$9:$D$40,MATCH(TEXT(A293,"dd"),Monthly_Pay_Model!$C$9:$C$39,0),4),INDEX(Monthly_Pay_Model!$A$9:$D$40,MATCH(TEXT(A294,"dd"),Monthly_Pay_Model!$C$9:$C$39,0),4),INDEX(Monthly_Pay_Model!$A$9:$D$40,MATCH(TEXT(A295,"dd"),Monthly_Pay_Model!$C$9:$C$39,0),4)),IF(VLOOKUP(A292,Calendar!$A$1:$R$1377,18,0)=5,SUM(INDEX(Monthly_Pay_Model!$A$9:$D$40,MATCH(TEXT(A292,"dd"),Monthly_Pay_Model!$C$9:$C$39,0),4),INDEX(Monthly_Pay_Model!$A$9:$D$40,MATCH(TEXT(A293,"dd"),Monthly_Pay_Model!$C$9:$C$39,0),4),INDEX(Monthly_Pay_Model!$A$9:$D$40,MATCH(TEXT(A294,"dd"),Monthly_Pay_Model!$C$9:$C$39,0),4),INDEX(Monthly_Pay_Model!$A$9:$D$40,MATCH(TEXT(A295,"dd"),Monthly_Pay_Model!$C$9:$C$39,0),4),INDEX(Monthly_Pay_Model!$A$9:$D$40,MATCH(TEXT(A296,"dd"),Monthly_Pay_Model!$C$9:$C$39,0),4)),))))))</f>
        <v>2.4376963350785331E-3</v>
      </c>
      <c r="J292" s="33">
        <f>IF(C292="Yes",Monthly_Pay_Model!$D$2,0)
+IF(Calendar!N292="Yes",Monthly_Pay_Model!$D$3,0)
+IF(D292="Yes",Monthly_Pay_Model!$D$4,0)
+IF(E292="Yes",Monthly_Pay_Model!$D$5,0)</f>
        <v>0</v>
      </c>
      <c r="K292" s="27">
        <f>IF(VLOOKUP($A292,Calendar!$A$1:$R$1377,18,0)=0,0,IF(VLOOKUP($A292,Calendar!$A$1:$R$1377,18,0)=1,IFERROR(INDEX(Weekly_Model!$D$2:$D$9,MATCH(F292,Weekly_Model!$A$2:$A$9,0)),0),IF(VLOOKUP($A292,Calendar!$A$1:$R$1377,18,0)=2,SUM(IFERROR(INDEX(Weekly_Model!$D$2:$D$9,MATCH(F292,Weekly_Model!$A$2:$A$9,0)),0),IFERROR(INDEX(Weekly_Model!$D$2:$D$9,MATCH(F293,Weekly_Model!$A$2:$A$9,0)),0)),IF(VLOOKUP($A292,Calendar!$A$1:$R$1377,18,0)=3,SUM(IFERROR(INDEX(Weekly_Model!$D$2:$D$9,MATCH(F292,Weekly_Model!$A$2:$A$9,0)),0),IFERROR(INDEX(Weekly_Model!$D$2:$D$9,MATCH(F293,Weekly_Model!$A$2:$A$9,0)),0),IFERROR(INDEX(Weekly_Model!$D$2:$D$9,MATCH(F294,Weekly_Model!$A$2:$A$9,0)),0)),IF(VLOOKUP($A292,Calendar!$A$1:$R$1377,18,0)=4,SUM(IFERROR(INDEX(Weekly_Model!$D$2:$D$9,MATCH(F292,Weekly_Model!$A$2:$A$9,0)),0),IFERROR(INDEX(Weekly_Model!$D$2:$D$9,MATCH(F293,Weekly_Model!$A$2:$A$9,0)),0),IFERROR(INDEX(Weekly_Model!$D$2:$D$9,MATCH(F294,Weekly_Model!$A$2:$A$9,0)),0),IFERROR(INDEX(Weekly_Model!$D$2:$D$9,MATCH(F295,Weekly_Model!$A$2:$A$9,0)),0)),IF(VLOOKUP($A292,Calendar!$A$1:$R$1377,18,0)=5,SUM(IFERROR(INDEX(Weekly_Model!$D$2:$D$9,MATCH(F292,Weekly_Model!$A$2:$A$9,0)),0),IFERROR(INDEX(Weekly_Model!$D$2:$D$9,MATCH(F293,Weekly_Model!$A$2:$A$9,0)),0),IFERROR(INDEX(Weekly_Model!$D$2:$D$9,MATCH(F294,Weekly_Model!$A$2:$A$9,0)),0),IFERROR(INDEX(Weekly_Model!$D$2:$D$9,MATCH(F295,Weekly_Model!$A$2:$A$9,0)),0),IFERROR(INDEX(Weekly_Model!$D$2:$D$9,MATCH(F296,Weekly_Model!$A$2:$A$9,0)),0)),0))))))</f>
        <v>2.3200000000000002E-2</v>
      </c>
      <c r="L292" s="27">
        <f>IF(VLOOKUP($A292,Calendar!$A$1:$R$1377,18,0)=0,0,IF(VLOOKUP($A292,Calendar!$A$1:$R$1377,18,0)=1,IFERROR(INDEX(Fortnightly_Model!$D$2:$D$15,MATCH(G292,Fortnightly_Model!$B$2:$B$15,0)),0),IF(VLOOKUP($A292,Calendar!$A$1:$R$1377,18,0)=2,SUM(IFERROR(INDEX(Fortnightly_Model!$D$2:$D$15,MATCH(G292,Fortnightly_Model!$B$2:$B$15,0)),0),IFERROR(INDEX(Fortnightly_Model!$D$2:$D$15,MATCH(G293,Fortnightly_Model!$B$2:$B$15,0)),0)),IF(VLOOKUP($A292,Calendar!$A$1:$R$1377,18,0)=3,SUM(IFERROR(INDEX(Fortnightly_Model!$D$2:$D$15,MATCH(G292,Fortnightly_Model!$B$2:$B$15,0)),0),IFERROR(INDEX(Fortnightly_Model!$D$2:$D$15,MATCH(G293,Fortnightly_Model!$B$2:$B$15,0)),0),IFERROR(INDEX(Fortnightly_Model!$D$2:$D$15,MATCH(G294,Fortnightly_Model!$B$2:$B$15,0)),0)),IF(VLOOKUP($A292,Calendar!$A$1:$R$1377,18,0)=4,SUM(IFERROR(INDEX(Fortnightly_Model!$D$2:$D$15,MATCH(G292,Fortnightly_Model!$B$2:$B$15,0)),0),IFERROR(INDEX(Fortnightly_Model!$D$2:$D$15,MATCH(G293,Fortnightly_Model!$B$2:$B$15,0)),0),IFERROR(INDEX(Fortnightly_Model!$D$2:$D$15,MATCH(G294,Fortnightly_Model!$B$2:$B$15,0)),0),IFERROR(INDEX(Fortnightly_Model!$D$2:$D$15,MATCH(G295,Fortnightly_Model!$B$2:$B$15,0)),0)),IF(VLOOKUP($A292,Calendar!$A$1:$R$1377,18,0)=5,SUM(IFERROR(INDEX(Fortnightly_Model!$D$2:$D$15,MATCH(G292,Fortnightly_Model!$B$2:$B$15,0)),0),IFERROR(INDEX(Fortnightly_Model!$D$2:$D$15,MATCH(G293,Fortnightly_Model!$B$2:$B$15,0)),0),IFERROR(INDEX(Fortnightly_Model!$D$2:$D$15,MATCH(G294,Fortnightly_Model!$B$2:$B$15,0)),0),IFERROR(INDEX(Fortnightly_Model!$D$2:$D$15,MATCH(G295,Fortnightly_Model!$B$2:$B$15,0)),0),IFERROR(INDEX(Fortnightly_Model!$D$2:$D$15,MATCH(G296,Fortnightly_Model!$B$2:$B$15,0)),0)),0))))))</f>
        <v>1.0714285499999999E-3</v>
      </c>
      <c r="M292" s="27">
        <f>IF(VLOOKUP($A292,Calendar!$A$1:$R$1377,18,0)=0,0,IF(VLOOKUP($A292,Calendar!$A$1:$R$1377,18,0)=1,IFERROR(INDEX(FourWeekly_Model!$D$2:$D$29,MATCH(H292,FourWeekly_Model!$B$2:$B$29,0)),0),IF(VLOOKUP($A292,Calendar!$A$1:$R$1377,18,0)=2,SUM(IFERROR(INDEX(FourWeekly_Model!$D$2:$D$29,MATCH(H292,FourWeekly_Model!$B$2:$B$29,0)),0),IFERROR(INDEX(FourWeekly_Model!$D$2:$D$29,MATCH(H293,FourWeekly_Model!$B$2:$B$29,0)),0)),IF(VLOOKUP($A292,Calendar!$A$1:$R$1377,18,0)=3,SUM(IFERROR(INDEX(FourWeekly_Model!$D$2:$D$29,MATCH(H292,FourWeekly_Model!$B$2:$B$29,0)),0),IFERROR(INDEX(FourWeekly_Model!$D$2:$D$29,MATCH(H293,FourWeekly_Model!$B$2:$B$29,0)),0),IFERROR(INDEX(FourWeekly_Model!$D$2:$D$29,MATCH(H294,FourWeekly_Model!$B$2:$B$29,0)),0)),IF(VLOOKUP($A292,Calendar!$A$1:$R$1377,18,0)=4,SUM(IFERROR(INDEX(FourWeekly_Model!$D$2:$D$29,MATCH(H292,FourWeekly_Model!$B$2:$B$29,0)),0),IFERROR(INDEX(FourWeekly_Model!$D$2:$D$29,MATCH(H293,FourWeekly_Model!$B$2:$B$29,0)),0),IFERROR(INDEX(FourWeekly_Model!$D$2:$D$29,MATCH(H294,FourWeekly_Model!$B$2:$B$29,0)),0),IFERROR(INDEX(FourWeekly_Model!$D$2:$D$29,MATCH(H295,FourWeekly_Model!$B$2:$B$29,0)),0)),IF(VLOOKUP($A292,Calendar!$A$1:$R$1377,18,0)=5,SUM(IFERROR(INDEX(FourWeekly_Model!$D$2:$D$29,MATCH(H292,FourWeekly_Model!$B$2:$B$29,0)),0),IFERROR(INDEX(FourWeekly_Model!$D$2:$D$29,MATCH(H293,FourWeekly_Model!$B$2:$B$29,0)),0),IFERROR(INDEX(FourWeekly_Model!$D$2:$D$29,MATCH(H294,FourWeekly_Model!$B$2:$B$29,0)),0),IFERROR(INDEX(FourWeekly_Model!$D$2:$D$29,MATCH(H295,FourWeekly_Model!$B$2:$B$29,0)),0),IFERROR(INDEX(FourWeekly_Model!$D$2:$D$29,MATCH(H296,FourWeekly_Model!$B$2:$B$29,0)),0)),0))))))</f>
        <v>3.3214289700000004E-3</v>
      </c>
      <c r="N292" s="27">
        <f>SUM(I292:M292)</f>
        <v>3.0030553855078537E-2</v>
      </c>
      <c r="O292" s="28">
        <f>Population_Data!$B$8*N292</f>
        <v>909925.78180887969</v>
      </c>
      <c r="P292" s="27">
        <f>IF(VLOOKUP($A292,Calendar!$A$1:$R$1377,18,0)=0,0,IF(VLOOKUP($A292,Calendar!$A$1:$R$1377,18,0)=1,IFERROR(INDEX(Pension_Model!$D$2:$D$29,MATCH(H292,Pension_Model!$B$2:$B$29,0)),0),IF(VLOOKUP($A292,Calendar!$A$1:$R$1377,18,0)=2,SUM(IFERROR(INDEX(Pension_Model!$D$2:$D$29,MATCH(H292,Pension_Model!$B$2:$B$29,0)),0),IFERROR(INDEX(Pension_Model!$D$2:$D$29,MATCH(H293,Pension_Model!$B$2:$B$29,0)),0)),IF(VLOOKUP($A292,Calendar!$A$1:$R$1377,18,0)=3,SUM(IFERROR(INDEX(Pension_Model!$D$2:$D$29,MATCH(H292,Pension_Model!$B$2:$B$29,0)),0),IFERROR(INDEX(Pension_Model!$D$2:$D$29,MATCH(H293,Pension_Model!$B$2:$B$29,0)),0),IFERROR(INDEX(Pension_Model!$D$2:$D$29,MATCH(H294,Pension_Model!$B$2:$B$29,0)),0)),IF(VLOOKUP($A292,Calendar!$A$1:$R$1377,18,0)=4,SUM(IFERROR(INDEX(Pension_Model!$D$2:$D$29,MATCH(H292,Pension_Model!$B$2:$B$29,0)),0),IFERROR(INDEX(Pension_Model!$D$2:$D$29,MATCH(H293,Pension_Model!$B$2:$B$29,0)),0),IFERROR(INDEX(Pension_Model!$D$2:$D$29,MATCH(H294,Pension_Model!$B$2:$B$29,0)),0),IFERROR(INDEX(Pension_Model!$D$2:$D$29,MATCH(H295,Pension_Model!$B$2:$B$29,0)),0)),IF(VLOOKUP($A292,Calendar!$A$1:$R$1377,18,0)=5,SUM(IFERROR(INDEX(Pension_Model!$D$2:$D$29,MATCH(H292,Pension_Model!$B$2:$B$29,0)),0),IFERROR(INDEX(Pension_Model!$D$2:$D$29,MATCH(H293,Pension_Model!$B$2:$B$29,0)),0),IFERROR(INDEX(Pension_Model!$D$2:$D$29,MATCH(H294,Pension_Model!$B$2:$B$29,0)),0),IFERROR(INDEX(Pension_Model!$D$2:$D$29,MATCH(H295,Pension_Model!$B$2:$B$29,0)),0),IFERROR(INDEX(Pension_Model!$D$2:$D$29,MATCH(H296,Pension_Model!$B$2:$B$29,0)),0)),0))))))</f>
        <v>0.05</v>
      </c>
      <c r="Q292" s="28">
        <f>Population_Data!$B$15*P292</f>
        <v>660600</v>
      </c>
      <c r="S292">
        <f t="shared" si="4"/>
        <v>1570525.7818088797</v>
      </c>
      <c r="U292" s="33">
        <f>S292/Population_Data!$B$19</f>
        <v>2.8451554018276808E-2</v>
      </c>
    </row>
    <row r="293" spans="1:21">
      <c r="A293" s="25">
        <f>Calendar!A293</f>
        <v>46526</v>
      </c>
      <c r="B293" t="str">
        <f>Calendar!L293</f>
        <v>Yes</v>
      </c>
      <c r="C293" t="str">
        <f>Calendar!O293</f>
        <v>No</v>
      </c>
      <c r="D293" t="str">
        <f>Calendar!P293</f>
        <v>No</v>
      </c>
      <c r="E293" t="str">
        <f>Calendar!Q293</f>
        <v>No</v>
      </c>
      <c r="F293" t="str">
        <f>Calendar!I293</f>
        <v>Wednesday</v>
      </c>
      <c r="G293">
        <f>Calendar!S293</f>
        <v>4</v>
      </c>
      <c r="H293">
        <f>Calendar!T293</f>
        <v>18</v>
      </c>
      <c r="I293" s="27">
        <f>IF(VLOOKUP(A293,Calendar!$A$1:$R$1377,18,0)=0,0,IF(VLOOKUP(A293,Calendar!$A$1:$R$1377,18,0)=1,INDEX(Monthly_Pay_Model!$A$9:$D$40,MATCH(TEXT(A293,"dd"),Monthly_Pay_Model!$C$9:$C$39,0),4),IF(VLOOKUP(A293,Calendar!$A$1:$R$1377,18,0)=2,SUM(INDEX(Monthly_Pay_Model!$A$9:$D$40,MATCH(TEXT(A293,"dd"),Monthly_Pay_Model!$C$9:$C$39,0),4),INDEX(Monthly_Pay_Model!$A$9:$D$40,MATCH(TEXT(A294,"dd"),Monthly_Pay_Model!$C$9:$C$39,0),4)),IF(VLOOKUP(A293,Calendar!$A$1:$R$1377,18,0)=3,SUM(INDEX(Monthly_Pay_Model!$A$9:$D$40,MATCH(TEXT(A293,"dd"),Monthly_Pay_Model!$C$9:$C$39,0),4),INDEX(Monthly_Pay_Model!$A$9:$D$40,MATCH(TEXT(A294,"dd"),Monthly_Pay_Model!$C$9:$C$39,0),4),INDEX(Monthly_Pay_Model!$A$9:$D$40,MATCH(TEXT(A295,"dd"),Monthly_Pay_Model!$C$9:$C$39,0),4)),IF(VLOOKUP(A293,Calendar!$A$1:$R$1377,18,0)=4,SUM(INDEX(Monthly_Pay_Model!$A$9:$D$40,MATCH(TEXT(A293,"dd"),Monthly_Pay_Model!$C$9:$C$39,0),4),INDEX(Monthly_Pay_Model!$A$9:$D$40,MATCH(TEXT(A294,"dd"),Monthly_Pay_Model!$C$9:$C$39,0),4),INDEX(Monthly_Pay_Model!$A$9:$D$40,MATCH(TEXT(A295,"dd"),Monthly_Pay_Model!$C$9:$C$39,0),4),INDEX(Monthly_Pay_Model!$A$9:$D$40,MATCH(TEXT(A296,"dd"),Monthly_Pay_Model!$C$9:$C$39,0),4)),IF(VLOOKUP(A293,Calendar!$A$1:$R$1377,18,0)=5,SUM(INDEX(Monthly_Pay_Model!$A$9:$D$40,MATCH(TEXT(A293,"dd"),Monthly_Pay_Model!$C$9:$C$39,0),4),INDEX(Monthly_Pay_Model!$A$9:$D$40,MATCH(TEXT(A294,"dd"),Monthly_Pay_Model!$C$9:$C$39,0),4),INDEX(Monthly_Pay_Model!$A$9:$D$40,MATCH(TEXT(A295,"dd"),Monthly_Pay_Model!$C$9:$C$39,0),4),INDEX(Monthly_Pay_Model!$A$9:$D$40,MATCH(TEXT(A296,"dd"),Monthly_Pay_Model!$C$9:$C$39,0),4),INDEX(Monthly_Pay_Model!$A$9:$D$40,MATCH(TEXT(A297,"dd"),Monthly_Pay_Model!$C$9:$C$39,0),4)),))))))</f>
        <v>1.6251308900523558E-3</v>
      </c>
      <c r="J293" s="33">
        <f>IF(C293="Yes",Monthly_Pay_Model!$D$2,0)
+IF(Calendar!N293="Yes",Monthly_Pay_Model!$D$3,0)
+IF(D293="Yes",Monthly_Pay_Model!$D$4,0)
+IF(E293="Yes",Monthly_Pay_Model!$D$5,0)</f>
        <v>0</v>
      </c>
      <c r="K293" s="27">
        <f>IF(VLOOKUP($A293,Calendar!$A$1:$R$1377,18,0)=0,0,IF(VLOOKUP($A293,Calendar!$A$1:$R$1377,18,0)=1,IFERROR(INDEX(Weekly_Model!$D$2:$D$9,MATCH(F293,Weekly_Model!$A$2:$A$9,0)),0),IF(VLOOKUP($A293,Calendar!$A$1:$R$1377,18,0)=2,SUM(IFERROR(INDEX(Weekly_Model!$D$2:$D$9,MATCH(F293,Weekly_Model!$A$2:$A$9,0)),0),IFERROR(INDEX(Weekly_Model!$D$2:$D$9,MATCH(F294,Weekly_Model!$A$2:$A$9,0)),0)),IF(VLOOKUP($A293,Calendar!$A$1:$R$1377,18,0)=3,SUM(IFERROR(INDEX(Weekly_Model!$D$2:$D$9,MATCH(F293,Weekly_Model!$A$2:$A$9,0)),0),IFERROR(INDEX(Weekly_Model!$D$2:$D$9,MATCH(F294,Weekly_Model!$A$2:$A$9,0)),0),IFERROR(INDEX(Weekly_Model!$D$2:$D$9,MATCH(F295,Weekly_Model!$A$2:$A$9,0)),0)),IF(VLOOKUP($A293,Calendar!$A$1:$R$1377,18,0)=4,SUM(IFERROR(INDEX(Weekly_Model!$D$2:$D$9,MATCH(F293,Weekly_Model!$A$2:$A$9,0)),0),IFERROR(INDEX(Weekly_Model!$D$2:$D$9,MATCH(F294,Weekly_Model!$A$2:$A$9,0)),0),IFERROR(INDEX(Weekly_Model!$D$2:$D$9,MATCH(F295,Weekly_Model!$A$2:$A$9,0)),0),IFERROR(INDEX(Weekly_Model!$D$2:$D$9,MATCH(F296,Weekly_Model!$A$2:$A$9,0)),0)),IF(VLOOKUP($A293,Calendar!$A$1:$R$1377,18,0)=5,SUM(IFERROR(INDEX(Weekly_Model!$D$2:$D$9,MATCH(F293,Weekly_Model!$A$2:$A$9,0)),0),IFERROR(INDEX(Weekly_Model!$D$2:$D$9,MATCH(F294,Weekly_Model!$A$2:$A$9,0)),0),IFERROR(INDEX(Weekly_Model!$D$2:$D$9,MATCH(F295,Weekly_Model!$A$2:$A$9,0)),0),IFERROR(INDEX(Weekly_Model!$D$2:$D$9,MATCH(F296,Weekly_Model!$A$2:$A$9,0)),0),IFERROR(INDEX(Weekly_Model!$D$2:$D$9,MATCH(F297,Weekly_Model!$A$2:$A$9,0)),0)),0))))))</f>
        <v>2.3200000000000002E-2</v>
      </c>
      <c r="L293" s="27">
        <f>IF(VLOOKUP($A293,Calendar!$A$1:$R$1377,18,0)=0,0,IF(VLOOKUP($A293,Calendar!$A$1:$R$1377,18,0)=1,IFERROR(INDEX(Fortnightly_Model!$D$2:$D$15,MATCH(G293,Fortnightly_Model!$B$2:$B$15,0)),0),IF(VLOOKUP($A293,Calendar!$A$1:$R$1377,18,0)=2,SUM(IFERROR(INDEX(Fortnightly_Model!$D$2:$D$15,MATCH(G293,Fortnightly_Model!$B$2:$B$15,0)),0),IFERROR(INDEX(Fortnightly_Model!$D$2:$D$15,MATCH(G294,Fortnightly_Model!$B$2:$B$15,0)),0)),IF(VLOOKUP($A293,Calendar!$A$1:$R$1377,18,0)=3,SUM(IFERROR(INDEX(Fortnightly_Model!$D$2:$D$15,MATCH(G293,Fortnightly_Model!$B$2:$B$15,0)),0),IFERROR(INDEX(Fortnightly_Model!$D$2:$D$15,MATCH(G294,Fortnightly_Model!$B$2:$B$15,0)),0),IFERROR(INDEX(Fortnightly_Model!$D$2:$D$15,MATCH(G295,Fortnightly_Model!$B$2:$B$15,0)),0)),IF(VLOOKUP($A293,Calendar!$A$1:$R$1377,18,0)=4,SUM(IFERROR(INDEX(Fortnightly_Model!$D$2:$D$15,MATCH(G293,Fortnightly_Model!$B$2:$B$15,0)),0),IFERROR(INDEX(Fortnightly_Model!$D$2:$D$15,MATCH(G294,Fortnightly_Model!$B$2:$B$15,0)),0),IFERROR(INDEX(Fortnightly_Model!$D$2:$D$15,MATCH(G295,Fortnightly_Model!$B$2:$B$15,0)),0),IFERROR(INDEX(Fortnightly_Model!$D$2:$D$15,MATCH(G296,Fortnightly_Model!$B$2:$B$15,0)),0)),IF(VLOOKUP($A293,Calendar!$A$1:$R$1377,18,0)=5,SUM(IFERROR(INDEX(Fortnightly_Model!$D$2:$D$15,MATCH(G293,Fortnightly_Model!$B$2:$B$15,0)),0),IFERROR(INDEX(Fortnightly_Model!$D$2:$D$15,MATCH(G294,Fortnightly_Model!$B$2:$B$15,0)),0),IFERROR(INDEX(Fortnightly_Model!$D$2:$D$15,MATCH(G295,Fortnightly_Model!$B$2:$B$15,0)),0),IFERROR(INDEX(Fortnightly_Model!$D$2:$D$15,MATCH(G296,Fortnightly_Model!$B$2:$B$15,0)),0),IFERROR(INDEX(Fortnightly_Model!$D$2:$D$15,MATCH(G297,Fortnightly_Model!$B$2:$B$15,0)),0)),0))))))</f>
        <v>1.0714285499999999E-3</v>
      </c>
      <c r="M293" s="27">
        <f>IF(VLOOKUP($A293,Calendar!$A$1:$R$1377,18,0)=0,0,IF(VLOOKUP($A293,Calendar!$A$1:$R$1377,18,0)=1,IFERROR(INDEX(FourWeekly_Model!$D$2:$D$29,MATCH(H293,FourWeekly_Model!$B$2:$B$29,0)),0),IF(VLOOKUP($A293,Calendar!$A$1:$R$1377,18,0)=2,SUM(IFERROR(INDEX(FourWeekly_Model!$D$2:$D$29,MATCH(H293,FourWeekly_Model!$B$2:$B$29,0)),0),IFERROR(INDEX(FourWeekly_Model!$D$2:$D$29,MATCH(H294,FourWeekly_Model!$B$2:$B$29,0)),0)),IF(VLOOKUP($A293,Calendar!$A$1:$R$1377,18,0)=3,SUM(IFERROR(INDEX(FourWeekly_Model!$D$2:$D$29,MATCH(H293,FourWeekly_Model!$B$2:$B$29,0)),0),IFERROR(INDEX(FourWeekly_Model!$D$2:$D$29,MATCH(H294,FourWeekly_Model!$B$2:$B$29,0)),0),IFERROR(INDEX(FourWeekly_Model!$D$2:$D$29,MATCH(H295,FourWeekly_Model!$B$2:$B$29,0)),0)),IF(VLOOKUP($A293,Calendar!$A$1:$R$1377,18,0)=4,SUM(IFERROR(INDEX(FourWeekly_Model!$D$2:$D$29,MATCH(H293,FourWeekly_Model!$B$2:$B$29,0)),0),IFERROR(INDEX(FourWeekly_Model!$D$2:$D$29,MATCH(H294,FourWeekly_Model!$B$2:$B$29,0)),0),IFERROR(INDEX(FourWeekly_Model!$D$2:$D$29,MATCH(H295,FourWeekly_Model!$B$2:$B$29,0)),0),IFERROR(INDEX(FourWeekly_Model!$D$2:$D$29,MATCH(H296,FourWeekly_Model!$B$2:$B$29,0)),0)),IF(VLOOKUP($A293,Calendar!$A$1:$R$1377,18,0)=5,SUM(IFERROR(INDEX(FourWeekly_Model!$D$2:$D$29,MATCH(H293,FourWeekly_Model!$B$2:$B$29,0)),0),IFERROR(INDEX(FourWeekly_Model!$D$2:$D$29,MATCH(H294,FourWeekly_Model!$B$2:$B$29,0)),0),IFERROR(INDEX(FourWeekly_Model!$D$2:$D$29,MATCH(H295,FourWeekly_Model!$B$2:$B$29,0)),0),IFERROR(INDEX(FourWeekly_Model!$D$2:$D$29,MATCH(H296,FourWeekly_Model!$B$2:$B$29,0)),0),IFERROR(INDEX(FourWeekly_Model!$D$2:$D$29,MATCH(H297,FourWeekly_Model!$B$2:$B$29,0)),0)),0))))))</f>
        <v>3.3214289700000004E-3</v>
      </c>
      <c r="N293" s="27">
        <f>SUM(I293:M293)</f>
        <v>2.921798841005236E-2</v>
      </c>
      <c r="O293" s="28">
        <f>Population_Data!$B$8*N293</f>
        <v>885305.04882458656</v>
      </c>
      <c r="P293" s="27">
        <f>IF(VLOOKUP($A293,Calendar!$A$1:$R$1377,18,0)=0,0,IF(VLOOKUP($A293,Calendar!$A$1:$R$1377,18,0)=1,IFERROR(INDEX(Pension_Model!$D$2:$D$29,MATCH(H293,Pension_Model!$B$2:$B$29,0)),0),IF(VLOOKUP($A293,Calendar!$A$1:$R$1377,18,0)=2,SUM(IFERROR(INDEX(Pension_Model!$D$2:$D$29,MATCH(H293,Pension_Model!$B$2:$B$29,0)),0),IFERROR(INDEX(Pension_Model!$D$2:$D$29,MATCH(H294,Pension_Model!$B$2:$B$29,0)),0)),IF(VLOOKUP($A293,Calendar!$A$1:$R$1377,18,0)=3,SUM(IFERROR(INDEX(Pension_Model!$D$2:$D$29,MATCH(H293,Pension_Model!$B$2:$B$29,0)),0),IFERROR(INDEX(Pension_Model!$D$2:$D$29,MATCH(H294,Pension_Model!$B$2:$B$29,0)),0),IFERROR(INDEX(Pension_Model!$D$2:$D$29,MATCH(H295,Pension_Model!$B$2:$B$29,0)),0)),IF(VLOOKUP($A293,Calendar!$A$1:$R$1377,18,0)=4,SUM(IFERROR(INDEX(Pension_Model!$D$2:$D$29,MATCH(H293,Pension_Model!$B$2:$B$29,0)),0),IFERROR(INDEX(Pension_Model!$D$2:$D$29,MATCH(H294,Pension_Model!$B$2:$B$29,0)),0),IFERROR(INDEX(Pension_Model!$D$2:$D$29,MATCH(H295,Pension_Model!$B$2:$B$29,0)),0),IFERROR(INDEX(Pension_Model!$D$2:$D$29,MATCH(H296,Pension_Model!$B$2:$B$29,0)),0)),IF(VLOOKUP($A293,Calendar!$A$1:$R$1377,18,0)=5,SUM(IFERROR(INDEX(Pension_Model!$D$2:$D$29,MATCH(H293,Pension_Model!$B$2:$B$29,0)),0),IFERROR(INDEX(Pension_Model!$D$2:$D$29,MATCH(H294,Pension_Model!$B$2:$B$29,0)),0),IFERROR(INDEX(Pension_Model!$D$2:$D$29,MATCH(H295,Pension_Model!$B$2:$B$29,0)),0),IFERROR(INDEX(Pension_Model!$D$2:$D$29,MATCH(H296,Pension_Model!$B$2:$B$29,0)),0),IFERROR(INDEX(Pension_Model!$D$2:$D$29,MATCH(H297,Pension_Model!$B$2:$B$29,0)),0)),0))))))</f>
        <v>0.05</v>
      </c>
      <c r="Q293" s="28">
        <f>Population_Data!$B$15*P293</f>
        <v>660600</v>
      </c>
      <c r="S293">
        <f t="shared" si="4"/>
        <v>1545905.0488245864</v>
      </c>
      <c r="U293" s="33">
        <f>S293/Population_Data!$B$19</f>
        <v>2.8005526246822218E-2</v>
      </c>
    </row>
    <row r="294" spans="1:21">
      <c r="A294" s="25">
        <f>Calendar!A294</f>
        <v>46527</v>
      </c>
      <c r="B294" t="str">
        <f>Calendar!L294</f>
        <v>Yes</v>
      </c>
      <c r="C294" t="str">
        <f>Calendar!O294</f>
        <v>No</v>
      </c>
      <c r="D294" t="str">
        <f>Calendar!P294</f>
        <v>No</v>
      </c>
      <c r="E294" t="str">
        <f>Calendar!Q294</f>
        <v>No</v>
      </c>
      <c r="F294" t="str">
        <f>Calendar!I294</f>
        <v>Thursday</v>
      </c>
      <c r="G294">
        <f>Calendar!S294</f>
        <v>5</v>
      </c>
      <c r="H294">
        <f>Calendar!T294</f>
        <v>19</v>
      </c>
      <c r="I294" s="27">
        <f>IF(VLOOKUP(A294,Calendar!$A$1:$R$1377,18,0)=0,0,IF(VLOOKUP(A294,Calendar!$A$1:$R$1377,18,0)=1,INDEX(Monthly_Pay_Model!$A$9:$D$40,MATCH(TEXT(A294,"dd"),Monthly_Pay_Model!$C$9:$C$39,0),4),IF(VLOOKUP(A294,Calendar!$A$1:$R$1377,18,0)=2,SUM(INDEX(Monthly_Pay_Model!$A$9:$D$40,MATCH(TEXT(A294,"dd"),Monthly_Pay_Model!$C$9:$C$39,0),4),INDEX(Monthly_Pay_Model!$A$9:$D$40,MATCH(TEXT(A295,"dd"),Monthly_Pay_Model!$C$9:$C$39,0),4)),IF(VLOOKUP(A294,Calendar!$A$1:$R$1377,18,0)=3,SUM(INDEX(Monthly_Pay_Model!$A$9:$D$40,MATCH(TEXT(A294,"dd"),Monthly_Pay_Model!$C$9:$C$39,0),4),INDEX(Monthly_Pay_Model!$A$9:$D$40,MATCH(TEXT(A295,"dd"),Monthly_Pay_Model!$C$9:$C$39,0),4),INDEX(Monthly_Pay_Model!$A$9:$D$40,MATCH(TEXT(A296,"dd"),Monthly_Pay_Model!$C$9:$C$39,0),4)),IF(VLOOKUP(A294,Calendar!$A$1:$R$1377,18,0)=4,SUM(INDEX(Monthly_Pay_Model!$A$9:$D$40,MATCH(TEXT(A294,"dd"),Monthly_Pay_Model!$C$9:$C$39,0),4),INDEX(Monthly_Pay_Model!$A$9:$D$40,MATCH(TEXT(A295,"dd"),Monthly_Pay_Model!$C$9:$C$39,0),4),INDEX(Monthly_Pay_Model!$A$9:$D$40,MATCH(TEXT(A296,"dd"),Monthly_Pay_Model!$C$9:$C$39,0),4),INDEX(Monthly_Pay_Model!$A$9:$D$40,MATCH(TEXT(A297,"dd"),Monthly_Pay_Model!$C$9:$C$39,0),4)),IF(VLOOKUP(A294,Calendar!$A$1:$R$1377,18,0)=5,SUM(INDEX(Monthly_Pay_Model!$A$9:$D$40,MATCH(TEXT(A294,"dd"),Monthly_Pay_Model!$C$9:$C$39,0),4),INDEX(Monthly_Pay_Model!$A$9:$D$40,MATCH(TEXT(A295,"dd"),Monthly_Pay_Model!$C$9:$C$39,0),4),INDEX(Monthly_Pay_Model!$A$9:$D$40,MATCH(TEXT(A296,"dd"),Monthly_Pay_Model!$C$9:$C$39,0),4),INDEX(Monthly_Pay_Model!$A$9:$D$40,MATCH(TEXT(A297,"dd"),Monthly_Pay_Model!$C$9:$C$39,0),4),INDEX(Monthly_Pay_Model!$A$9:$D$40,MATCH(TEXT(A298,"dd"),Monthly_Pay_Model!$C$9:$C$39,0),4)),))))))</f>
        <v>8.1256544502617788E-3</v>
      </c>
      <c r="J294" s="33">
        <f>IF(C294="Yes",Monthly_Pay_Model!$D$2,0)
+IF(Calendar!N294="Yes",Monthly_Pay_Model!$D$3,0)
+IF(D294="Yes",Monthly_Pay_Model!$D$4,0)
+IF(E294="Yes",Monthly_Pay_Model!$D$5,0)</f>
        <v>0</v>
      </c>
      <c r="K294" s="27">
        <f>IF(VLOOKUP($A294,Calendar!$A$1:$R$1377,18,0)=0,0,IF(VLOOKUP($A294,Calendar!$A$1:$R$1377,18,0)=1,IFERROR(INDEX(Weekly_Model!$D$2:$D$9,MATCH(F294,Weekly_Model!$A$2:$A$9,0)),0),IF(VLOOKUP($A294,Calendar!$A$1:$R$1377,18,0)=2,SUM(IFERROR(INDEX(Weekly_Model!$D$2:$D$9,MATCH(F294,Weekly_Model!$A$2:$A$9,0)),0),IFERROR(INDEX(Weekly_Model!$D$2:$D$9,MATCH(F295,Weekly_Model!$A$2:$A$9,0)),0)),IF(VLOOKUP($A294,Calendar!$A$1:$R$1377,18,0)=3,SUM(IFERROR(INDEX(Weekly_Model!$D$2:$D$9,MATCH(F294,Weekly_Model!$A$2:$A$9,0)),0),IFERROR(INDEX(Weekly_Model!$D$2:$D$9,MATCH(F295,Weekly_Model!$A$2:$A$9,0)),0),IFERROR(INDEX(Weekly_Model!$D$2:$D$9,MATCH(F296,Weekly_Model!$A$2:$A$9,0)),0)),IF(VLOOKUP($A294,Calendar!$A$1:$R$1377,18,0)=4,SUM(IFERROR(INDEX(Weekly_Model!$D$2:$D$9,MATCH(F294,Weekly_Model!$A$2:$A$9,0)),0),IFERROR(INDEX(Weekly_Model!$D$2:$D$9,MATCH(F295,Weekly_Model!$A$2:$A$9,0)),0),IFERROR(INDEX(Weekly_Model!$D$2:$D$9,MATCH(F296,Weekly_Model!$A$2:$A$9,0)),0),IFERROR(INDEX(Weekly_Model!$D$2:$D$9,MATCH(F297,Weekly_Model!$A$2:$A$9,0)),0)),IF(VLOOKUP($A294,Calendar!$A$1:$R$1377,18,0)=5,SUM(IFERROR(INDEX(Weekly_Model!$D$2:$D$9,MATCH(F294,Weekly_Model!$A$2:$A$9,0)),0),IFERROR(INDEX(Weekly_Model!$D$2:$D$9,MATCH(F295,Weekly_Model!$A$2:$A$9,0)),0),IFERROR(INDEX(Weekly_Model!$D$2:$D$9,MATCH(F296,Weekly_Model!$A$2:$A$9,0)),0),IFERROR(INDEX(Weekly_Model!$D$2:$D$9,MATCH(F297,Weekly_Model!$A$2:$A$9,0)),0),IFERROR(INDEX(Weekly_Model!$D$2:$D$9,MATCH(F298,Weekly_Model!$A$2:$A$9,0)),0)),0))))))</f>
        <v>2.3200000000000002E-2</v>
      </c>
      <c r="L294" s="27">
        <f>IF(VLOOKUP($A294,Calendar!$A$1:$R$1377,18,0)=0,0,IF(VLOOKUP($A294,Calendar!$A$1:$R$1377,18,0)=1,IFERROR(INDEX(Fortnightly_Model!$D$2:$D$15,MATCH(G294,Fortnightly_Model!$B$2:$B$15,0)),0),IF(VLOOKUP($A294,Calendar!$A$1:$R$1377,18,0)=2,SUM(IFERROR(INDEX(Fortnightly_Model!$D$2:$D$15,MATCH(G294,Fortnightly_Model!$B$2:$B$15,0)),0),IFERROR(INDEX(Fortnightly_Model!$D$2:$D$15,MATCH(G295,Fortnightly_Model!$B$2:$B$15,0)),0)),IF(VLOOKUP($A294,Calendar!$A$1:$R$1377,18,0)=3,SUM(IFERROR(INDEX(Fortnightly_Model!$D$2:$D$15,MATCH(G294,Fortnightly_Model!$B$2:$B$15,0)),0),IFERROR(INDEX(Fortnightly_Model!$D$2:$D$15,MATCH(G295,Fortnightly_Model!$B$2:$B$15,0)),0),IFERROR(INDEX(Fortnightly_Model!$D$2:$D$15,MATCH(G296,Fortnightly_Model!$B$2:$B$15,0)),0)),IF(VLOOKUP($A294,Calendar!$A$1:$R$1377,18,0)=4,SUM(IFERROR(INDEX(Fortnightly_Model!$D$2:$D$15,MATCH(G294,Fortnightly_Model!$B$2:$B$15,0)),0),IFERROR(INDEX(Fortnightly_Model!$D$2:$D$15,MATCH(G295,Fortnightly_Model!$B$2:$B$15,0)),0),IFERROR(INDEX(Fortnightly_Model!$D$2:$D$15,MATCH(G296,Fortnightly_Model!$B$2:$B$15,0)),0),IFERROR(INDEX(Fortnightly_Model!$D$2:$D$15,MATCH(G297,Fortnightly_Model!$B$2:$B$15,0)),0)),IF(VLOOKUP($A294,Calendar!$A$1:$R$1377,18,0)=5,SUM(IFERROR(INDEX(Fortnightly_Model!$D$2:$D$15,MATCH(G294,Fortnightly_Model!$B$2:$B$15,0)),0),IFERROR(INDEX(Fortnightly_Model!$D$2:$D$15,MATCH(G295,Fortnightly_Model!$B$2:$B$15,0)),0),IFERROR(INDEX(Fortnightly_Model!$D$2:$D$15,MATCH(G296,Fortnightly_Model!$B$2:$B$15,0)),0),IFERROR(INDEX(Fortnightly_Model!$D$2:$D$15,MATCH(G297,Fortnightly_Model!$B$2:$B$15,0)),0),IFERROR(INDEX(Fortnightly_Model!$D$2:$D$15,MATCH(G298,Fortnightly_Model!$B$2:$B$15,0)),0)),0))))))</f>
        <v>1.0714285499999999E-3</v>
      </c>
      <c r="M294" s="27">
        <f>IF(VLOOKUP($A294,Calendar!$A$1:$R$1377,18,0)=0,0,IF(VLOOKUP($A294,Calendar!$A$1:$R$1377,18,0)=1,IFERROR(INDEX(FourWeekly_Model!$D$2:$D$29,MATCH(H294,FourWeekly_Model!$B$2:$B$29,0)),0),IF(VLOOKUP($A294,Calendar!$A$1:$R$1377,18,0)=2,SUM(IFERROR(INDEX(FourWeekly_Model!$D$2:$D$29,MATCH(H294,FourWeekly_Model!$B$2:$B$29,0)),0),IFERROR(INDEX(FourWeekly_Model!$D$2:$D$29,MATCH(H295,FourWeekly_Model!$B$2:$B$29,0)),0)),IF(VLOOKUP($A294,Calendar!$A$1:$R$1377,18,0)=3,SUM(IFERROR(INDEX(FourWeekly_Model!$D$2:$D$29,MATCH(H294,FourWeekly_Model!$B$2:$B$29,0)),0),IFERROR(INDEX(FourWeekly_Model!$D$2:$D$29,MATCH(H295,FourWeekly_Model!$B$2:$B$29,0)),0),IFERROR(INDEX(FourWeekly_Model!$D$2:$D$29,MATCH(H296,FourWeekly_Model!$B$2:$B$29,0)),0)),IF(VLOOKUP($A294,Calendar!$A$1:$R$1377,18,0)=4,SUM(IFERROR(INDEX(FourWeekly_Model!$D$2:$D$29,MATCH(H294,FourWeekly_Model!$B$2:$B$29,0)),0),IFERROR(INDEX(FourWeekly_Model!$D$2:$D$29,MATCH(H295,FourWeekly_Model!$B$2:$B$29,0)),0),IFERROR(INDEX(FourWeekly_Model!$D$2:$D$29,MATCH(H296,FourWeekly_Model!$B$2:$B$29,0)),0),IFERROR(INDEX(FourWeekly_Model!$D$2:$D$29,MATCH(H297,FourWeekly_Model!$B$2:$B$29,0)),0)),IF(VLOOKUP($A294,Calendar!$A$1:$R$1377,18,0)=5,SUM(IFERROR(INDEX(FourWeekly_Model!$D$2:$D$29,MATCH(H294,FourWeekly_Model!$B$2:$B$29,0)),0),IFERROR(INDEX(FourWeekly_Model!$D$2:$D$29,MATCH(H295,FourWeekly_Model!$B$2:$B$29,0)),0),IFERROR(INDEX(FourWeekly_Model!$D$2:$D$29,MATCH(H296,FourWeekly_Model!$B$2:$B$29,0)),0),IFERROR(INDEX(FourWeekly_Model!$D$2:$D$29,MATCH(H297,FourWeekly_Model!$B$2:$B$29,0)),0),IFERROR(INDEX(FourWeekly_Model!$D$2:$D$29,MATCH(H298,FourWeekly_Model!$B$2:$B$29,0)),0)),0))))))</f>
        <v>3.3214289700000004E-3</v>
      </c>
      <c r="N294" s="27">
        <f>SUM(I294:M294)</f>
        <v>3.5718511970261782E-2</v>
      </c>
      <c r="O294" s="28">
        <f>Population_Data!$B$8*N294</f>
        <v>1082270.912698932</v>
      </c>
      <c r="P294" s="27">
        <f>IF(VLOOKUP($A294,Calendar!$A$1:$R$1377,18,0)=0,0,IF(VLOOKUP($A294,Calendar!$A$1:$R$1377,18,0)=1,IFERROR(INDEX(Pension_Model!$D$2:$D$29,MATCH(H294,Pension_Model!$B$2:$B$29,0)),0),IF(VLOOKUP($A294,Calendar!$A$1:$R$1377,18,0)=2,SUM(IFERROR(INDEX(Pension_Model!$D$2:$D$29,MATCH(H294,Pension_Model!$B$2:$B$29,0)),0),IFERROR(INDEX(Pension_Model!$D$2:$D$29,MATCH(H295,Pension_Model!$B$2:$B$29,0)),0)),IF(VLOOKUP($A294,Calendar!$A$1:$R$1377,18,0)=3,SUM(IFERROR(INDEX(Pension_Model!$D$2:$D$29,MATCH(H294,Pension_Model!$B$2:$B$29,0)),0),IFERROR(INDEX(Pension_Model!$D$2:$D$29,MATCH(H295,Pension_Model!$B$2:$B$29,0)),0),IFERROR(INDEX(Pension_Model!$D$2:$D$29,MATCH(H296,Pension_Model!$B$2:$B$29,0)),0)),IF(VLOOKUP($A294,Calendar!$A$1:$R$1377,18,0)=4,SUM(IFERROR(INDEX(Pension_Model!$D$2:$D$29,MATCH(H294,Pension_Model!$B$2:$B$29,0)),0),IFERROR(INDEX(Pension_Model!$D$2:$D$29,MATCH(H295,Pension_Model!$B$2:$B$29,0)),0),IFERROR(INDEX(Pension_Model!$D$2:$D$29,MATCH(H296,Pension_Model!$B$2:$B$29,0)),0),IFERROR(INDEX(Pension_Model!$D$2:$D$29,MATCH(H297,Pension_Model!$B$2:$B$29,0)),0)),IF(VLOOKUP($A294,Calendar!$A$1:$R$1377,18,0)=5,SUM(IFERROR(INDEX(Pension_Model!$D$2:$D$29,MATCH(H294,Pension_Model!$B$2:$B$29,0)),0),IFERROR(INDEX(Pension_Model!$D$2:$D$29,MATCH(H295,Pension_Model!$B$2:$B$29,0)),0),IFERROR(INDEX(Pension_Model!$D$2:$D$29,MATCH(H296,Pension_Model!$B$2:$B$29,0)),0),IFERROR(INDEX(Pension_Model!$D$2:$D$29,MATCH(H297,Pension_Model!$B$2:$B$29,0)),0),IFERROR(INDEX(Pension_Model!$D$2:$D$29,MATCH(H298,Pension_Model!$B$2:$B$29,0)),0)),0))))))</f>
        <v>0.05</v>
      </c>
      <c r="Q294" s="28">
        <f>Population_Data!$B$15*P294</f>
        <v>660600</v>
      </c>
      <c r="S294">
        <f t="shared" si="4"/>
        <v>1742870.912698932</v>
      </c>
      <c r="U294" s="33">
        <f>S294/Population_Data!$B$19</f>
        <v>3.1573748418458912E-2</v>
      </c>
    </row>
    <row r="295" spans="1:21">
      <c r="A295" s="25">
        <f>Calendar!A295</f>
        <v>46528</v>
      </c>
      <c r="B295" t="str">
        <f>Calendar!L295</f>
        <v>Yes</v>
      </c>
      <c r="C295" t="str">
        <f>Calendar!O295</f>
        <v>No</v>
      </c>
      <c r="D295" t="str">
        <f>Calendar!P295</f>
        <v>No</v>
      </c>
      <c r="E295" t="str">
        <f>Calendar!Q295</f>
        <v>No</v>
      </c>
      <c r="F295" t="str">
        <f>Calendar!I295</f>
        <v>Friday</v>
      </c>
      <c r="G295">
        <f>Calendar!S295</f>
        <v>6</v>
      </c>
      <c r="H295">
        <f>Calendar!T295</f>
        <v>20</v>
      </c>
      <c r="I295" s="27">
        <f>IF(VLOOKUP(A295,Calendar!$A$1:$R$1377,18,0)=0,0,IF(VLOOKUP(A295,Calendar!$A$1:$R$1377,18,0)=1,INDEX(Monthly_Pay_Model!$A$9:$D$40,MATCH(TEXT(A295,"dd"),Monthly_Pay_Model!$C$9:$C$39,0),4),IF(VLOOKUP(A295,Calendar!$A$1:$R$1377,18,0)=2,SUM(INDEX(Monthly_Pay_Model!$A$9:$D$40,MATCH(TEXT(A295,"dd"),Monthly_Pay_Model!$C$9:$C$39,0),4),INDEX(Monthly_Pay_Model!$A$9:$D$40,MATCH(TEXT(A296,"dd"),Monthly_Pay_Model!$C$9:$C$39,0),4)),IF(VLOOKUP(A295,Calendar!$A$1:$R$1377,18,0)=3,SUM(INDEX(Monthly_Pay_Model!$A$9:$D$40,MATCH(TEXT(A295,"dd"),Monthly_Pay_Model!$C$9:$C$39,0),4),INDEX(Monthly_Pay_Model!$A$9:$D$40,MATCH(TEXT(A296,"dd"),Monthly_Pay_Model!$C$9:$C$39,0),4),INDEX(Monthly_Pay_Model!$A$9:$D$40,MATCH(TEXT(A297,"dd"),Monthly_Pay_Model!$C$9:$C$39,0),4)),IF(VLOOKUP(A295,Calendar!$A$1:$R$1377,18,0)=4,SUM(INDEX(Monthly_Pay_Model!$A$9:$D$40,MATCH(TEXT(A295,"dd"),Monthly_Pay_Model!$C$9:$C$39,0),4),INDEX(Monthly_Pay_Model!$A$9:$D$40,MATCH(TEXT(A296,"dd"),Monthly_Pay_Model!$C$9:$C$39,0),4),INDEX(Monthly_Pay_Model!$A$9:$D$40,MATCH(TEXT(A297,"dd"),Monthly_Pay_Model!$C$9:$C$39,0),4),INDEX(Monthly_Pay_Model!$A$9:$D$40,MATCH(TEXT(A298,"dd"),Monthly_Pay_Model!$C$9:$C$39,0),4)),IF(VLOOKUP(A295,Calendar!$A$1:$R$1377,18,0)=5,SUM(INDEX(Monthly_Pay_Model!$A$9:$D$40,MATCH(TEXT(A295,"dd"),Monthly_Pay_Model!$C$9:$C$39,0),4),INDEX(Monthly_Pay_Model!$A$9:$D$40,MATCH(TEXT(A296,"dd"),Monthly_Pay_Model!$C$9:$C$39,0),4),INDEX(Monthly_Pay_Model!$A$9:$D$40,MATCH(TEXT(A297,"dd"),Monthly_Pay_Model!$C$9:$C$39,0),4),INDEX(Monthly_Pay_Model!$A$9:$D$40,MATCH(TEXT(A298,"dd"),Monthly_Pay_Model!$C$9:$C$39,0),4),INDEX(Monthly_Pay_Model!$A$9:$D$40,MATCH(TEXT(A299,"dd"),Monthly_Pay_Model!$C$9:$C$39,0),4)),))))))</f>
        <v>1.2188481675392668E-2</v>
      </c>
      <c r="J295" s="33">
        <f>IF(C295="Yes",Monthly_Pay_Model!$D$2,0)
+IF(Calendar!N295="Yes",Monthly_Pay_Model!$D$3,0)
+IF(D295="Yes",Monthly_Pay_Model!$D$4,0)
+IF(E295="Yes",Monthly_Pay_Model!$D$5,0)</f>
        <v>0</v>
      </c>
      <c r="K295" s="27">
        <f>IF(VLOOKUP($A295,Calendar!$A$1:$R$1377,18,0)=0,0,IF(VLOOKUP($A295,Calendar!$A$1:$R$1377,18,0)=1,IFERROR(INDEX(Weekly_Model!$D$2:$D$9,MATCH(F295,Weekly_Model!$A$2:$A$9,0)),0),IF(VLOOKUP($A295,Calendar!$A$1:$R$1377,18,0)=2,SUM(IFERROR(INDEX(Weekly_Model!$D$2:$D$9,MATCH(F295,Weekly_Model!$A$2:$A$9,0)),0),IFERROR(INDEX(Weekly_Model!$D$2:$D$9,MATCH(F296,Weekly_Model!$A$2:$A$9,0)),0)),IF(VLOOKUP($A295,Calendar!$A$1:$R$1377,18,0)=3,SUM(IFERROR(INDEX(Weekly_Model!$D$2:$D$9,MATCH(F295,Weekly_Model!$A$2:$A$9,0)),0),IFERROR(INDEX(Weekly_Model!$D$2:$D$9,MATCH(F296,Weekly_Model!$A$2:$A$9,0)),0),IFERROR(INDEX(Weekly_Model!$D$2:$D$9,MATCH(F297,Weekly_Model!$A$2:$A$9,0)),0)),IF(VLOOKUP($A295,Calendar!$A$1:$R$1377,18,0)=4,SUM(IFERROR(INDEX(Weekly_Model!$D$2:$D$9,MATCH(F295,Weekly_Model!$A$2:$A$9,0)),0),IFERROR(INDEX(Weekly_Model!$D$2:$D$9,MATCH(F296,Weekly_Model!$A$2:$A$9,0)),0),IFERROR(INDEX(Weekly_Model!$D$2:$D$9,MATCH(F297,Weekly_Model!$A$2:$A$9,0)),0),IFERROR(INDEX(Weekly_Model!$D$2:$D$9,MATCH(F298,Weekly_Model!$A$2:$A$9,0)),0)),IF(VLOOKUP($A295,Calendar!$A$1:$R$1377,18,0)=5,SUM(IFERROR(INDEX(Weekly_Model!$D$2:$D$9,MATCH(F295,Weekly_Model!$A$2:$A$9,0)),0),IFERROR(INDEX(Weekly_Model!$D$2:$D$9,MATCH(F296,Weekly_Model!$A$2:$A$9,0)),0),IFERROR(INDEX(Weekly_Model!$D$2:$D$9,MATCH(F297,Weekly_Model!$A$2:$A$9,0)),0),IFERROR(INDEX(Weekly_Model!$D$2:$D$9,MATCH(F298,Weekly_Model!$A$2:$A$9,0)),0),IFERROR(INDEX(Weekly_Model!$D$2:$D$9,MATCH(F299,Weekly_Model!$A$2:$A$9,0)),0)),0))))))</f>
        <v>2.3200000000000002E-2</v>
      </c>
      <c r="L295" s="27">
        <f>IF(VLOOKUP($A295,Calendar!$A$1:$R$1377,18,0)=0,0,IF(VLOOKUP($A295,Calendar!$A$1:$R$1377,18,0)=1,IFERROR(INDEX(Fortnightly_Model!$D$2:$D$15,MATCH(G295,Fortnightly_Model!$B$2:$B$15,0)),0),IF(VLOOKUP($A295,Calendar!$A$1:$R$1377,18,0)=2,SUM(IFERROR(INDEX(Fortnightly_Model!$D$2:$D$15,MATCH(G295,Fortnightly_Model!$B$2:$B$15,0)),0),IFERROR(INDEX(Fortnightly_Model!$D$2:$D$15,MATCH(G296,Fortnightly_Model!$B$2:$B$15,0)),0)),IF(VLOOKUP($A295,Calendar!$A$1:$R$1377,18,0)=3,SUM(IFERROR(INDEX(Fortnightly_Model!$D$2:$D$15,MATCH(G295,Fortnightly_Model!$B$2:$B$15,0)),0),IFERROR(INDEX(Fortnightly_Model!$D$2:$D$15,MATCH(G296,Fortnightly_Model!$B$2:$B$15,0)),0),IFERROR(INDEX(Fortnightly_Model!$D$2:$D$15,MATCH(G297,Fortnightly_Model!$B$2:$B$15,0)),0)),IF(VLOOKUP($A295,Calendar!$A$1:$R$1377,18,0)=4,SUM(IFERROR(INDEX(Fortnightly_Model!$D$2:$D$15,MATCH(G295,Fortnightly_Model!$B$2:$B$15,0)),0),IFERROR(INDEX(Fortnightly_Model!$D$2:$D$15,MATCH(G296,Fortnightly_Model!$B$2:$B$15,0)),0),IFERROR(INDEX(Fortnightly_Model!$D$2:$D$15,MATCH(G297,Fortnightly_Model!$B$2:$B$15,0)),0),IFERROR(INDEX(Fortnightly_Model!$D$2:$D$15,MATCH(G298,Fortnightly_Model!$B$2:$B$15,0)),0)),IF(VLOOKUP($A295,Calendar!$A$1:$R$1377,18,0)=5,SUM(IFERROR(INDEX(Fortnightly_Model!$D$2:$D$15,MATCH(G295,Fortnightly_Model!$B$2:$B$15,0)),0),IFERROR(INDEX(Fortnightly_Model!$D$2:$D$15,MATCH(G296,Fortnightly_Model!$B$2:$B$15,0)),0),IFERROR(INDEX(Fortnightly_Model!$D$2:$D$15,MATCH(G297,Fortnightly_Model!$B$2:$B$15,0)),0),IFERROR(INDEX(Fortnightly_Model!$D$2:$D$15,MATCH(G298,Fortnightly_Model!$B$2:$B$15,0)),0),IFERROR(INDEX(Fortnightly_Model!$D$2:$D$15,MATCH(G299,Fortnightly_Model!$B$2:$B$15,0)),0)),0))))))</f>
        <v>3.2142856499999999E-3</v>
      </c>
      <c r="M295" s="27">
        <f>IF(VLOOKUP($A295,Calendar!$A$1:$R$1377,18,0)=0,0,IF(VLOOKUP($A295,Calendar!$A$1:$R$1377,18,0)=1,IFERROR(INDEX(FourWeekly_Model!$D$2:$D$29,MATCH(H295,FourWeekly_Model!$B$2:$B$29,0)),0),IF(VLOOKUP($A295,Calendar!$A$1:$R$1377,18,0)=2,SUM(IFERROR(INDEX(FourWeekly_Model!$D$2:$D$29,MATCH(H295,FourWeekly_Model!$B$2:$B$29,0)),0),IFERROR(INDEX(FourWeekly_Model!$D$2:$D$29,MATCH(H296,FourWeekly_Model!$B$2:$B$29,0)),0)),IF(VLOOKUP($A295,Calendar!$A$1:$R$1377,18,0)=3,SUM(IFERROR(INDEX(FourWeekly_Model!$D$2:$D$29,MATCH(H295,FourWeekly_Model!$B$2:$B$29,0)),0),IFERROR(INDEX(FourWeekly_Model!$D$2:$D$29,MATCH(H296,FourWeekly_Model!$B$2:$B$29,0)),0),IFERROR(INDEX(FourWeekly_Model!$D$2:$D$29,MATCH(H297,FourWeekly_Model!$B$2:$B$29,0)),0)),IF(VLOOKUP($A295,Calendar!$A$1:$R$1377,18,0)=4,SUM(IFERROR(INDEX(FourWeekly_Model!$D$2:$D$29,MATCH(H295,FourWeekly_Model!$B$2:$B$29,0)),0),IFERROR(INDEX(FourWeekly_Model!$D$2:$D$29,MATCH(H296,FourWeekly_Model!$B$2:$B$29,0)),0),IFERROR(INDEX(FourWeekly_Model!$D$2:$D$29,MATCH(H297,FourWeekly_Model!$B$2:$B$29,0)),0),IFERROR(INDEX(FourWeekly_Model!$D$2:$D$29,MATCH(H298,FourWeekly_Model!$B$2:$B$29,0)),0)),IF(VLOOKUP($A295,Calendar!$A$1:$R$1377,18,0)=5,SUM(IFERROR(INDEX(FourWeekly_Model!$D$2:$D$29,MATCH(H295,FourWeekly_Model!$B$2:$B$29,0)),0),IFERROR(INDEX(FourWeekly_Model!$D$2:$D$29,MATCH(H296,FourWeekly_Model!$B$2:$B$29,0)),0),IFERROR(INDEX(FourWeekly_Model!$D$2:$D$29,MATCH(H297,FourWeekly_Model!$B$2:$B$29,0)),0),IFERROR(INDEX(FourWeekly_Model!$D$2:$D$29,MATCH(H298,FourWeekly_Model!$B$2:$B$29,0)),0),IFERROR(INDEX(FourWeekly_Model!$D$2:$D$29,MATCH(H299,FourWeekly_Model!$B$2:$B$29,0)),0)),0))))))</f>
        <v>9.9642859800000011E-3</v>
      </c>
      <c r="N295" s="27">
        <f>SUM(I295:M295)</f>
        <v>4.8567053305392675E-2</v>
      </c>
      <c r="O295" s="28">
        <f>Population_Data!$B$8*N295</f>
        <v>1471581.715153398</v>
      </c>
      <c r="P295" s="27">
        <f>IF(VLOOKUP($A295,Calendar!$A$1:$R$1377,18,0)=0,0,IF(VLOOKUP($A295,Calendar!$A$1:$R$1377,18,0)=1,IFERROR(INDEX(Pension_Model!$D$2:$D$29,MATCH(H295,Pension_Model!$B$2:$B$29,0)),0),IF(VLOOKUP($A295,Calendar!$A$1:$R$1377,18,0)=2,SUM(IFERROR(INDEX(Pension_Model!$D$2:$D$29,MATCH(H295,Pension_Model!$B$2:$B$29,0)),0),IFERROR(INDEX(Pension_Model!$D$2:$D$29,MATCH(H296,Pension_Model!$B$2:$B$29,0)),0)),IF(VLOOKUP($A295,Calendar!$A$1:$R$1377,18,0)=3,SUM(IFERROR(INDEX(Pension_Model!$D$2:$D$29,MATCH(H295,Pension_Model!$B$2:$B$29,0)),0),IFERROR(INDEX(Pension_Model!$D$2:$D$29,MATCH(H296,Pension_Model!$B$2:$B$29,0)),0),IFERROR(INDEX(Pension_Model!$D$2:$D$29,MATCH(H297,Pension_Model!$B$2:$B$29,0)),0)),IF(VLOOKUP($A295,Calendar!$A$1:$R$1377,18,0)=4,SUM(IFERROR(INDEX(Pension_Model!$D$2:$D$29,MATCH(H295,Pension_Model!$B$2:$B$29,0)),0),IFERROR(INDEX(Pension_Model!$D$2:$D$29,MATCH(H296,Pension_Model!$B$2:$B$29,0)),0),IFERROR(INDEX(Pension_Model!$D$2:$D$29,MATCH(H297,Pension_Model!$B$2:$B$29,0)),0),IFERROR(INDEX(Pension_Model!$D$2:$D$29,MATCH(H298,Pension_Model!$B$2:$B$29,0)),0)),IF(VLOOKUP($A295,Calendar!$A$1:$R$1377,18,0)=5,SUM(IFERROR(INDEX(Pension_Model!$D$2:$D$29,MATCH(H295,Pension_Model!$B$2:$B$29,0)),0),IFERROR(INDEX(Pension_Model!$D$2:$D$29,MATCH(H296,Pension_Model!$B$2:$B$29,0)),0),IFERROR(INDEX(Pension_Model!$D$2:$D$29,MATCH(H297,Pension_Model!$B$2:$B$29,0)),0),IFERROR(INDEX(Pension_Model!$D$2:$D$29,MATCH(H298,Pension_Model!$B$2:$B$29,0)),0),IFERROR(INDEX(Pension_Model!$D$2:$D$29,MATCH(H299,Pension_Model!$B$2:$B$29,0)),0)),0))))))</f>
        <v>0.05</v>
      </c>
      <c r="Q295" s="28">
        <f>Population_Data!$B$15*P295</f>
        <v>660600</v>
      </c>
      <c r="S295">
        <f t="shared" si="4"/>
        <v>2132181.715153398</v>
      </c>
      <c r="U295" s="33">
        <f>S295/Population_Data!$B$19</f>
        <v>3.8626480346981851E-2</v>
      </c>
    </row>
    <row r="296" spans="1:21">
      <c r="A296" s="25">
        <f>Calendar!A296</f>
        <v>46529</v>
      </c>
      <c r="B296" t="str">
        <f>Calendar!L296</f>
        <v>No</v>
      </c>
      <c r="C296" t="str">
        <f>Calendar!O296</f>
        <v>No</v>
      </c>
      <c r="D296" t="str">
        <f>Calendar!P296</f>
        <v>No</v>
      </c>
      <c r="E296" t="str">
        <f>Calendar!Q296</f>
        <v>No</v>
      </c>
      <c r="F296" t="str">
        <f>Calendar!I296</f>
        <v>Saturday</v>
      </c>
      <c r="G296">
        <f>Calendar!S296</f>
        <v>7</v>
      </c>
      <c r="H296">
        <f>Calendar!T296</f>
        <v>21</v>
      </c>
      <c r="I296" s="27">
        <f>IF(VLOOKUP(A296,Calendar!$A$1:$R$1377,18,0)=0,0,IF(VLOOKUP(A296,Calendar!$A$1:$R$1377,18,0)=1,INDEX(Monthly_Pay_Model!$A$9:$D$40,MATCH(TEXT(A296,"dd"),Monthly_Pay_Model!$C$9:$C$39,0),4),IF(VLOOKUP(A296,Calendar!$A$1:$R$1377,18,0)=2,SUM(INDEX(Monthly_Pay_Model!$A$9:$D$40,MATCH(TEXT(A296,"dd"),Monthly_Pay_Model!$C$9:$C$39,0),4),INDEX(Monthly_Pay_Model!$A$9:$D$40,MATCH(TEXT(A297,"dd"),Monthly_Pay_Model!$C$9:$C$39,0),4)),IF(VLOOKUP(A296,Calendar!$A$1:$R$1377,18,0)=3,SUM(INDEX(Monthly_Pay_Model!$A$9:$D$40,MATCH(TEXT(A296,"dd"),Monthly_Pay_Model!$C$9:$C$39,0),4),INDEX(Monthly_Pay_Model!$A$9:$D$40,MATCH(TEXT(A297,"dd"),Monthly_Pay_Model!$C$9:$C$39,0),4),INDEX(Monthly_Pay_Model!$A$9:$D$40,MATCH(TEXT(A298,"dd"),Monthly_Pay_Model!$C$9:$C$39,0),4)),IF(VLOOKUP(A296,Calendar!$A$1:$R$1377,18,0)=4,SUM(INDEX(Monthly_Pay_Model!$A$9:$D$40,MATCH(TEXT(A296,"dd"),Monthly_Pay_Model!$C$9:$C$39,0),4),INDEX(Monthly_Pay_Model!$A$9:$D$40,MATCH(TEXT(A297,"dd"),Monthly_Pay_Model!$C$9:$C$39,0),4),INDEX(Monthly_Pay_Model!$A$9:$D$40,MATCH(TEXT(A298,"dd"),Monthly_Pay_Model!$C$9:$C$39,0),4),INDEX(Monthly_Pay_Model!$A$9:$D$40,MATCH(TEXT(A299,"dd"),Monthly_Pay_Model!$C$9:$C$39,0),4)),IF(VLOOKUP(A296,Calendar!$A$1:$R$1377,18,0)=5,SUM(INDEX(Monthly_Pay_Model!$A$9:$D$40,MATCH(TEXT(A296,"dd"),Monthly_Pay_Model!$C$9:$C$39,0),4),INDEX(Monthly_Pay_Model!$A$9:$D$40,MATCH(TEXT(A297,"dd"),Monthly_Pay_Model!$C$9:$C$39,0),4),INDEX(Monthly_Pay_Model!$A$9:$D$40,MATCH(TEXT(A298,"dd"),Monthly_Pay_Model!$C$9:$C$39,0),4),INDEX(Monthly_Pay_Model!$A$9:$D$40,MATCH(TEXT(A299,"dd"),Monthly_Pay_Model!$C$9:$C$39,0),4),INDEX(Monthly_Pay_Model!$A$9:$D$40,MATCH(TEXT(A300,"dd"),Monthly_Pay_Model!$C$9:$C$39,0),4)),))))))</f>
        <v>0</v>
      </c>
      <c r="J296" s="33">
        <f>IF(C296="Yes",Monthly_Pay_Model!$D$2,0)
+IF(Calendar!N296="Yes",Monthly_Pay_Model!$D$3,0)
+IF(D296="Yes",Monthly_Pay_Model!$D$4,0)
+IF(E296="Yes",Monthly_Pay_Model!$D$5,0)</f>
        <v>0</v>
      </c>
      <c r="K296" s="27">
        <f>IF(VLOOKUP($A296,Calendar!$A$1:$R$1377,18,0)=0,0,IF(VLOOKUP($A296,Calendar!$A$1:$R$1377,18,0)=1,IFERROR(INDEX(Weekly_Model!$D$2:$D$9,MATCH(F296,Weekly_Model!$A$2:$A$9,0)),0),IF(VLOOKUP($A296,Calendar!$A$1:$R$1377,18,0)=2,SUM(IFERROR(INDEX(Weekly_Model!$D$2:$D$9,MATCH(F296,Weekly_Model!$A$2:$A$9,0)),0),IFERROR(INDEX(Weekly_Model!$D$2:$D$9,MATCH(F297,Weekly_Model!$A$2:$A$9,0)),0)),IF(VLOOKUP($A296,Calendar!$A$1:$R$1377,18,0)=3,SUM(IFERROR(INDEX(Weekly_Model!$D$2:$D$9,MATCH(F296,Weekly_Model!$A$2:$A$9,0)),0),IFERROR(INDEX(Weekly_Model!$D$2:$D$9,MATCH(F297,Weekly_Model!$A$2:$A$9,0)),0),IFERROR(INDEX(Weekly_Model!$D$2:$D$9,MATCH(F298,Weekly_Model!$A$2:$A$9,0)),0)),IF(VLOOKUP($A296,Calendar!$A$1:$R$1377,18,0)=4,SUM(IFERROR(INDEX(Weekly_Model!$D$2:$D$9,MATCH(F296,Weekly_Model!$A$2:$A$9,0)),0),IFERROR(INDEX(Weekly_Model!$D$2:$D$9,MATCH(F297,Weekly_Model!$A$2:$A$9,0)),0),IFERROR(INDEX(Weekly_Model!$D$2:$D$9,MATCH(F298,Weekly_Model!$A$2:$A$9,0)),0),IFERROR(INDEX(Weekly_Model!$D$2:$D$9,MATCH(F299,Weekly_Model!$A$2:$A$9,0)),0)),IF(VLOOKUP($A296,Calendar!$A$1:$R$1377,18,0)=5,SUM(IFERROR(INDEX(Weekly_Model!$D$2:$D$9,MATCH(F296,Weekly_Model!$A$2:$A$9,0)),0),IFERROR(INDEX(Weekly_Model!$D$2:$D$9,MATCH(F297,Weekly_Model!$A$2:$A$9,0)),0),IFERROR(INDEX(Weekly_Model!$D$2:$D$9,MATCH(F298,Weekly_Model!$A$2:$A$9,0)),0),IFERROR(INDEX(Weekly_Model!$D$2:$D$9,MATCH(F299,Weekly_Model!$A$2:$A$9,0)),0),IFERROR(INDEX(Weekly_Model!$D$2:$D$9,MATCH(F300,Weekly_Model!$A$2:$A$9,0)),0)),0))))))</f>
        <v>0</v>
      </c>
      <c r="L296" s="27">
        <f>IF(VLOOKUP($A296,Calendar!$A$1:$R$1377,18,0)=0,0,IF(VLOOKUP($A296,Calendar!$A$1:$R$1377,18,0)=1,IFERROR(INDEX(Fortnightly_Model!$D$2:$D$15,MATCH(G296,Fortnightly_Model!$B$2:$B$15,0)),0),IF(VLOOKUP($A296,Calendar!$A$1:$R$1377,18,0)=2,SUM(IFERROR(INDEX(Fortnightly_Model!$D$2:$D$15,MATCH(G296,Fortnightly_Model!$B$2:$B$15,0)),0),IFERROR(INDEX(Fortnightly_Model!$D$2:$D$15,MATCH(G297,Fortnightly_Model!$B$2:$B$15,0)),0)),IF(VLOOKUP($A296,Calendar!$A$1:$R$1377,18,0)=3,SUM(IFERROR(INDEX(Fortnightly_Model!$D$2:$D$15,MATCH(G296,Fortnightly_Model!$B$2:$B$15,0)),0),IFERROR(INDEX(Fortnightly_Model!$D$2:$D$15,MATCH(G297,Fortnightly_Model!$B$2:$B$15,0)),0),IFERROR(INDEX(Fortnightly_Model!$D$2:$D$15,MATCH(G298,Fortnightly_Model!$B$2:$B$15,0)),0)),IF(VLOOKUP($A296,Calendar!$A$1:$R$1377,18,0)=4,SUM(IFERROR(INDEX(Fortnightly_Model!$D$2:$D$15,MATCH(G296,Fortnightly_Model!$B$2:$B$15,0)),0),IFERROR(INDEX(Fortnightly_Model!$D$2:$D$15,MATCH(G297,Fortnightly_Model!$B$2:$B$15,0)),0),IFERROR(INDEX(Fortnightly_Model!$D$2:$D$15,MATCH(G298,Fortnightly_Model!$B$2:$B$15,0)),0),IFERROR(INDEX(Fortnightly_Model!$D$2:$D$15,MATCH(G299,Fortnightly_Model!$B$2:$B$15,0)),0)),IF(VLOOKUP($A296,Calendar!$A$1:$R$1377,18,0)=5,SUM(IFERROR(INDEX(Fortnightly_Model!$D$2:$D$15,MATCH(G296,Fortnightly_Model!$B$2:$B$15,0)),0),IFERROR(INDEX(Fortnightly_Model!$D$2:$D$15,MATCH(G297,Fortnightly_Model!$B$2:$B$15,0)),0),IFERROR(INDEX(Fortnightly_Model!$D$2:$D$15,MATCH(G298,Fortnightly_Model!$B$2:$B$15,0)),0),IFERROR(INDEX(Fortnightly_Model!$D$2:$D$15,MATCH(G299,Fortnightly_Model!$B$2:$B$15,0)),0),IFERROR(INDEX(Fortnightly_Model!$D$2:$D$15,MATCH(G300,Fortnightly_Model!$B$2:$B$15,0)),0)),0))))))</f>
        <v>0</v>
      </c>
      <c r="M296" s="27">
        <f>IF(VLOOKUP($A296,Calendar!$A$1:$R$1377,18,0)=0,0,IF(VLOOKUP($A296,Calendar!$A$1:$R$1377,18,0)=1,IFERROR(INDEX(FourWeekly_Model!$D$2:$D$29,MATCH(H296,FourWeekly_Model!$B$2:$B$29,0)),0),IF(VLOOKUP($A296,Calendar!$A$1:$R$1377,18,0)=2,SUM(IFERROR(INDEX(FourWeekly_Model!$D$2:$D$29,MATCH(H296,FourWeekly_Model!$B$2:$B$29,0)),0),IFERROR(INDEX(FourWeekly_Model!$D$2:$D$29,MATCH(H297,FourWeekly_Model!$B$2:$B$29,0)),0)),IF(VLOOKUP($A296,Calendar!$A$1:$R$1377,18,0)=3,SUM(IFERROR(INDEX(FourWeekly_Model!$D$2:$D$29,MATCH(H296,FourWeekly_Model!$B$2:$B$29,0)),0),IFERROR(INDEX(FourWeekly_Model!$D$2:$D$29,MATCH(H297,FourWeekly_Model!$B$2:$B$29,0)),0),IFERROR(INDEX(FourWeekly_Model!$D$2:$D$29,MATCH(H298,FourWeekly_Model!$B$2:$B$29,0)),0)),IF(VLOOKUP($A296,Calendar!$A$1:$R$1377,18,0)=4,SUM(IFERROR(INDEX(FourWeekly_Model!$D$2:$D$29,MATCH(H296,FourWeekly_Model!$B$2:$B$29,0)),0),IFERROR(INDEX(FourWeekly_Model!$D$2:$D$29,MATCH(H297,FourWeekly_Model!$B$2:$B$29,0)),0),IFERROR(INDEX(FourWeekly_Model!$D$2:$D$29,MATCH(H298,FourWeekly_Model!$B$2:$B$29,0)),0),IFERROR(INDEX(FourWeekly_Model!$D$2:$D$29,MATCH(H299,FourWeekly_Model!$B$2:$B$29,0)),0)),IF(VLOOKUP($A296,Calendar!$A$1:$R$1377,18,0)=5,SUM(IFERROR(INDEX(FourWeekly_Model!$D$2:$D$29,MATCH(H296,FourWeekly_Model!$B$2:$B$29,0)),0),IFERROR(INDEX(FourWeekly_Model!$D$2:$D$29,MATCH(H297,FourWeekly_Model!$B$2:$B$29,0)),0),IFERROR(INDEX(FourWeekly_Model!$D$2:$D$29,MATCH(H298,FourWeekly_Model!$B$2:$B$29,0)),0),IFERROR(INDEX(FourWeekly_Model!$D$2:$D$29,MATCH(H299,FourWeekly_Model!$B$2:$B$29,0)),0),IFERROR(INDEX(FourWeekly_Model!$D$2:$D$29,MATCH(H300,FourWeekly_Model!$B$2:$B$29,0)),0)),0))))))</f>
        <v>0</v>
      </c>
      <c r="N296" s="27">
        <f>SUM(I296:M296)</f>
        <v>0</v>
      </c>
      <c r="O296" s="28">
        <f>Population_Data!$B$8*N296</f>
        <v>0</v>
      </c>
      <c r="P296" s="27">
        <f>IF(VLOOKUP($A296,Calendar!$A$1:$R$1377,18,0)=0,0,IF(VLOOKUP($A296,Calendar!$A$1:$R$1377,18,0)=1,IFERROR(INDEX(Pension_Model!$D$2:$D$29,MATCH(H296,Pension_Model!$B$2:$B$29,0)),0),IF(VLOOKUP($A296,Calendar!$A$1:$R$1377,18,0)=2,SUM(IFERROR(INDEX(Pension_Model!$D$2:$D$29,MATCH(H296,Pension_Model!$B$2:$B$29,0)),0),IFERROR(INDEX(Pension_Model!$D$2:$D$29,MATCH(H297,Pension_Model!$B$2:$B$29,0)),0)),IF(VLOOKUP($A296,Calendar!$A$1:$R$1377,18,0)=3,SUM(IFERROR(INDEX(Pension_Model!$D$2:$D$29,MATCH(H296,Pension_Model!$B$2:$B$29,0)),0),IFERROR(INDEX(Pension_Model!$D$2:$D$29,MATCH(H297,Pension_Model!$B$2:$B$29,0)),0),IFERROR(INDEX(Pension_Model!$D$2:$D$29,MATCH(H298,Pension_Model!$B$2:$B$29,0)),0)),IF(VLOOKUP($A296,Calendar!$A$1:$R$1377,18,0)=4,SUM(IFERROR(INDEX(Pension_Model!$D$2:$D$29,MATCH(H296,Pension_Model!$B$2:$B$29,0)),0),IFERROR(INDEX(Pension_Model!$D$2:$D$29,MATCH(H297,Pension_Model!$B$2:$B$29,0)),0),IFERROR(INDEX(Pension_Model!$D$2:$D$29,MATCH(H298,Pension_Model!$B$2:$B$29,0)),0),IFERROR(INDEX(Pension_Model!$D$2:$D$29,MATCH(H299,Pension_Model!$B$2:$B$29,0)),0)),IF(VLOOKUP($A296,Calendar!$A$1:$R$1377,18,0)=5,SUM(IFERROR(INDEX(Pension_Model!$D$2:$D$29,MATCH(H296,Pension_Model!$B$2:$B$29,0)),0),IFERROR(INDEX(Pension_Model!$D$2:$D$29,MATCH(H297,Pension_Model!$B$2:$B$29,0)),0),IFERROR(INDEX(Pension_Model!$D$2:$D$29,MATCH(H298,Pension_Model!$B$2:$B$29,0)),0),IFERROR(INDEX(Pension_Model!$D$2:$D$29,MATCH(H299,Pension_Model!$B$2:$B$29,0)),0),IFERROR(INDEX(Pension_Model!$D$2:$D$29,MATCH(H300,Pension_Model!$B$2:$B$29,0)),0)),0))))))</f>
        <v>0</v>
      </c>
      <c r="Q296" s="28">
        <f>Population_Data!$B$15*P296</f>
        <v>0</v>
      </c>
      <c r="S296">
        <f t="shared" si="4"/>
        <v>0</v>
      </c>
      <c r="U296" s="33">
        <f>S296/Population_Data!$B$19</f>
        <v>0</v>
      </c>
    </row>
    <row r="297" spans="1:21">
      <c r="A297" s="25">
        <f>Calendar!A297</f>
        <v>46530</v>
      </c>
      <c r="B297" t="str">
        <f>Calendar!L297</f>
        <v>No</v>
      </c>
      <c r="C297" t="str">
        <f>Calendar!O297</f>
        <v>No</v>
      </c>
      <c r="D297" t="str">
        <f>Calendar!P297</f>
        <v>No</v>
      </c>
      <c r="E297" t="str">
        <f>Calendar!Q297</f>
        <v>No</v>
      </c>
      <c r="F297" t="str">
        <f>Calendar!I297</f>
        <v>Sunday</v>
      </c>
      <c r="G297">
        <f>Calendar!S297</f>
        <v>8</v>
      </c>
      <c r="H297">
        <f>Calendar!T297</f>
        <v>22</v>
      </c>
      <c r="I297" s="27">
        <f>IF(VLOOKUP(A297,Calendar!$A$1:$R$1377,18,0)=0,0,IF(VLOOKUP(A297,Calendar!$A$1:$R$1377,18,0)=1,INDEX(Monthly_Pay_Model!$A$9:$D$40,MATCH(TEXT(A297,"dd"),Monthly_Pay_Model!$C$9:$C$39,0),4),IF(VLOOKUP(A297,Calendar!$A$1:$R$1377,18,0)=2,SUM(INDEX(Monthly_Pay_Model!$A$9:$D$40,MATCH(TEXT(A297,"dd"),Monthly_Pay_Model!$C$9:$C$39,0),4),INDEX(Monthly_Pay_Model!$A$9:$D$40,MATCH(TEXT(A298,"dd"),Monthly_Pay_Model!$C$9:$C$39,0),4)),IF(VLOOKUP(A297,Calendar!$A$1:$R$1377,18,0)=3,SUM(INDEX(Monthly_Pay_Model!$A$9:$D$40,MATCH(TEXT(A297,"dd"),Monthly_Pay_Model!$C$9:$C$39,0),4),INDEX(Monthly_Pay_Model!$A$9:$D$40,MATCH(TEXT(A298,"dd"),Monthly_Pay_Model!$C$9:$C$39,0),4),INDEX(Monthly_Pay_Model!$A$9:$D$40,MATCH(TEXT(A299,"dd"),Monthly_Pay_Model!$C$9:$C$39,0),4)),IF(VLOOKUP(A297,Calendar!$A$1:$R$1377,18,0)=4,SUM(INDEX(Monthly_Pay_Model!$A$9:$D$40,MATCH(TEXT(A297,"dd"),Monthly_Pay_Model!$C$9:$C$39,0),4),INDEX(Monthly_Pay_Model!$A$9:$D$40,MATCH(TEXT(A298,"dd"),Monthly_Pay_Model!$C$9:$C$39,0),4),INDEX(Monthly_Pay_Model!$A$9:$D$40,MATCH(TEXT(A299,"dd"),Monthly_Pay_Model!$C$9:$C$39,0),4),INDEX(Monthly_Pay_Model!$A$9:$D$40,MATCH(TEXT(A300,"dd"),Monthly_Pay_Model!$C$9:$C$39,0),4)),IF(VLOOKUP(A297,Calendar!$A$1:$R$1377,18,0)=5,SUM(INDEX(Monthly_Pay_Model!$A$9:$D$40,MATCH(TEXT(A297,"dd"),Monthly_Pay_Model!$C$9:$C$39,0),4),INDEX(Monthly_Pay_Model!$A$9:$D$40,MATCH(TEXT(A298,"dd"),Monthly_Pay_Model!$C$9:$C$39,0),4),INDEX(Monthly_Pay_Model!$A$9:$D$40,MATCH(TEXT(A299,"dd"),Monthly_Pay_Model!$C$9:$C$39,0),4),INDEX(Monthly_Pay_Model!$A$9:$D$40,MATCH(TEXT(A300,"dd"),Monthly_Pay_Model!$C$9:$C$39,0),4),INDEX(Monthly_Pay_Model!$A$9:$D$40,MATCH(TEXT(A301,"dd"),Monthly_Pay_Model!$C$9:$C$39,0),4)),))))))</f>
        <v>0</v>
      </c>
      <c r="J297" s="33">
        <f>IF(C297="Yes",Monthly_Pay_Model!$D$2,0)
+IF(Calendar!N297="Yes",Monthly_Pay_Model!$D$3,0)
+IF(D297="Yes",Monthly_Pay_Model!$D$4,0)
+IF(E297="Yes",Monthly_Pay_Model!$D$5,0)</f>
        <v>0</v>
      </c>
      <c r="K297" s="27">
        <f>IF(VLOOKUP($A297,Calendar!$A$1:$R$1377,18,0)=0,0,IF(VLOOKUP($A297,Calendar!$A$1:$R$1377,18,0)=1,IFERROR(INDEX(Weekly_Model!$D$2:$D$9,MATCH(F297,Weekly_Model!$A$2:$A$9,0)),0),IF(VLOOKUP($A297,Calendar!$A$1:$R$1377,18,0)=2,SUM(IFERROR(INDEX(Weekly_Model!$D$2:$D$9,MATCH(F297,Weekly_Model!$A$2:$A$9,0)),0),IFERROR(INDEX(Weekly_Model!$D$2:$D$9,MATCH(F298,Weekly_Model!$A$2:$A$9,0)),0)),IF(VLOOKUP($A297,Calendar!$A$1:$R$1377,18,0)=3,SUM(IFERROR(INDEX(Weekly_Model!$D$2:$D$9,MATCH(F297,Weekly_Model!$A$2:$A$9,0)),0),IFERROR(INDEX(Weekly_Model!$D$2:$D$9,MATCH(F298,Weekly_Model!$A$2:$A$9,0)),0),IFERROR(INDEX(Weekly_Model!$D$2:$D$9,MATCH(F299,Weekly_Model!$A$2:$A$9,0)),0)),IF(VLOOKUP($A297,Calendar!$A$1:$R$1377,18,0)=4,SUM(IFERROR(INDEX(Weekly_Model!$D$2:$D$9,MATCH(F297,Weekly_Model!$A$2:$A$9,0)),0),IFERROR(INDEX(Weekly_Model!$D$2:$D$9,MATCH(F298,Weekly_Model!$A$2:$A$9,0)),0),IFERROR(INDEX(Weekly_Model!$D$2:$D$9,MATCH(F299,Weekly_Model!$A$2:$A$9,0)),0),IFERROR(INDEX(Weekly_Model!$D$2:$D$9,MATCH(F300,Weekly_Model!$A$2:$A$9,0)),0)),IF(VLOOKUP($A297,Calendar!$A$1:$R$1377,18,0)=5,SUM(IFERROR(INDEX(Weekly_Model!$D$2:$D$9,MATCH(F297,Weekly_Model!$A$2:$A$9,0)),0),IFERROR(INDEX(Weekly_Model!$D$2:$D$9,MATCH(F298,Weekly_Model!$A$2:$A$9,0)),0),IFERROR(INDEX(Weekly_Model!$D$2:$D$9,MATCH(F299,Weekly_Model!$A$2:$A$9,0)),0),IFERROR(INDEX(Weekly_Model!$D$2:$D$9,MATCH(F300,Weekly_Model!$A$2:$A$9,0)),0),IFERROR(INDEX(Weekly_Model!$D$2:$D$9,MATCH(F301,Weekly_Model!$A$2:$A$9,0)),0)),0))))))</f>
        <v>0</v>
      </c>
      <c r="L297" s="27">
        <f>IF(VLOOKUP($A297,Calendar!$A$1:$R$1377,18,0)=0,0,IF(VLOOKUP($A297,Calendar!$A$1:$R$1377,18,0)=1,IFERROR(INDEX(Fortnightly_Model!$D$2:$D$15,MATCH(G297,Fortnightly_Model!$B$2:$B$15,0)),0),IF(VLOOKUP($A297,Calendar!$A$1:$R$1377,18,0)=2,SUM(IFERROR(INDEX(Fortnightly_Model!$D$2:$D$15,MATCH(G297,Fortnightly_Model!$B$2:$B$15,0)),0),IFERROR(INDEX(Fortnightly_Model!$D$2:$D$15,MATCH(G298,Fortnightly_Model!$B$2:$B$15,0)),0)),IF(VLOOKUP($A297,Calendar!$A$1:$R$1377,18,0)=3,SUM(IFERROR(INDEX(Fortnightly_Model!$D$2:$D$15,MATCH(G297,Fortnightly_Model!$B$2:$B$15,0)),0),IFERROR(INDEX(Fortnightly_Model!$D$2:$D$15,MATCH(G298,Fortnightly_Model!$B$2:$B$15,0)),0),IFERROR(INDEX(Fortnightly_Model!$D$2:$D$15,MATCH(G299,Fortnightly_Model!$B$2:$B$15,0)),0)),IF(VLOOKUP($A297,Calendar!$A$1:$R$1377,18,0)=4,SUM(IFERROR(INDEX(Fortnightly_Model!$D$2:$D$15,MATCH(G297,Fortnightly_Model!$B$2:$B$15,0)),0),IFERROR(INDEX(Fortnightly_Model!$D$2:$D$15,MATCH(G298,Fortnightly_Model!$B$2:$B$15,0)),0),IFERROR(INDEX(Fortnightly_Model!$D$2:$D$15,MATCH(G299,Fortnightly_Model!$B$2:$B$15,0)),0),IFERROR(INDEX(Fortnightly_Model!$D$2:$D$15,MATCH(G300,Fortnightly_Model!$B$2:$B$15,0)),0)),IF(VLOOKUP($A297,Calendar!$A$1:$R$1377,18,0)=5,SUM(IFERROR(INDEX(Fortnightly_Model!$D$2:$D$15,MATCH(G297,Fortnightly_Model!$B$2:$B$15,0)),0),IFERROR(INDEX(Fortnightly_Model!$D$2:$D$15,MATCH(G298,Fortnightly_Model!$B$2:$B$15,0)),0),IFERROR(INDEX(Fortnightly_Model!$D$2:$D$15,MATCH(G299,Fortnightly_Model!$B$2:$B$15,0)),0),IFERROR(INDEX(Fortnightly_Model!$D$2:$D$15,MATCH(G300,Fortnightly_Model!$B$2:$B$15,0)),0),IFERROR(INDEX(Fortnightly_Model!$D$2:$D$15,MATCH(G301,Fortnightly_Model!$B$2:$B$15,0)),0)),0))))))</f>
        <v>0</v>
      </c>
      <c r="M297" s="27">
        <f>IF(VLOOKUP($A297,Calendar!$A$1:$R$1377,18,0)=0,0,IF(VLOOKUP($A297,Calendar!$A$1:$R$1377,18,0)=1,IFERROR(INDEX(FourWeekly_Model!$D$2:$D$29,MATCH(H297,FourWeekly_Model!$B$2:$B$29,0)),0),IF(VLOOKUP($A297,Calendar!$A$1:$R$1377,18,0)=2,SUM(IFERROR(INDEX(FourWeekly_Model!$D$2:$D$29,MATCH(H297,FourWeekly_Model!$B$2:$B$29,0)),0),IFERROR(INDEX(FourWeekly_Model!$D$2:$D$29,MATCH(H298,FourWeekly_Model!$B$2:$B$29,0)),0)),IF(VLOOKUP($A297,Calendar!$A$1:$R$1377,18,0)=3,SUM(IFERROR(INDEX(FourWeekly_Model!$D$2:$D$29,MATCH(H297,FourWeekly_Model!$B$2:$B$29,0)),0),IFERROR(INDEX(FourWeekly_Model!$D$2:$D$29,MATCH(H298,FourWeekly_Model!$B$2:$B$29,0)),0),IFERROR(INDEX(FourWeekly_Model!$D$2:$D$29,MATCH(H299,FourWeekly_Model!$B$2:$B$29,0)),0)),IF(VLOOKUP($A297,Calendar!$A$1:$R$1377,18,0)=4,SUM(IFERROR(INDEX(FourWeekly_Model!$D$2:$D$29,MATCH(H297,FourWeekly_Model!$B$2:$B$29,0)),0),IFERROR(INDEX(FourWeekly_Model!$D$2:$D$29,MATCH(H298,FourWeekly_Model!$B$2:$B$29,0)),0),IFERROR(INDEX(FourWeekly_Model!$D$2:$D$29,MATCH(H299,FourWeekly_Model!$B$2:$B$29,0)),0),IFERROR(INDEX(FourWeekly_Model!$D$2:$D$29,MATCH(H300,FourWeekly_Model!$B$2:$B$29,0)),0)),IF(VLOOKUP($A297,Calendar!$A$1:$R$1377,18,0)=5,SUM(IFERROR(INDEX(FourWeekly_Model!$D$2:$D$29,MATCH(H297,FourWeekly_Model!$B$2:$B$29,0)),0),IFERROR(INDEX(FourWeekly_Model!$D$2:$D$29,MATCH(H298,FourWeekly_Model!$B$2:$B$29,0)),0),IFERROR(INDEX(FourWeekly_Model!$D$2:$D$29,MATCH(H299,FourWeekly_Model!$B$2:$B$29,0)),0),IFERROR(INDEX(FourWeekly_Model!$D$2:$D$29,MATCH(H300,FourWeekly_Model!$B$2:$B$29,0)),0),IFERROR(INDEX(FourWeekly_Model!$D$2:$D$29,MATCH(H301,FourWeekly_Model!$B$2:$B$29,0)),0)),0))))))</f>
        <v>0</v>
      </c>
      <c r="N297" s="27">
        <f>SUM(I297:M297)</f>
        <v>0</v>
      </c>
      <c r="O297" s="28">
        <f>Population_Data!$B$8*N297</f>
        <v>0</v>
      </c>
      <c r="P297" s="27">
        <f>IF(VLOOKUP($A297,Calendar!$A$1:$R$1377,18,0)=0,0,IF(VLOOKUP($A297,Calendar!$A$1:$R$1377,18,0)=1,IFERROR(INDEX(Pension_Model!$D$2:$D$29,MATCH(H297,Pension_Model!$B$2:$B$29,0)),0),IF(VLOOKUP($A297,Calendar!$A$1:$R$1377,18,0)=2,SUM(IFERROR(INDEX(Pension_Model!$D$2:$D$29,MATCH(H297,Pension_Model!$B$2:$B$29,0)),0),IFERROR(INDEX(Pension_Model!$D$2:$D$29,MATCH(H298,Pension_Model!$B$2:$B$29,0)),0)),IF(VLOOKUP($A297,Calendar!$A$1:$R$1377,18,0)=3,SUM(IFERROR(INDEX(Pension_Model!$D$2:$D$29,MATCH(H297,Pension_Model!$B$2:$B$29,0)),0),IFERROR(INDEX(Pension_Model!$D$2:$D$29,MATCH(H298,Pension_Model!$B$2:$B$29,0)),0),IFERROR(INDEX(Pension_Model!$D$2:$D$29,MATCH(H299,Pension_Model!$B$2:$B$29,0)),0)),IF(VLOOKUP($A297,Calendar!$A$1:$R$1377,18,0)=4,SUM(IFERROR(INDEX(Pension_Model!$D$2:$D$29,MATCH(H297,Pension_Model!$B$2:$B$29,0)),0),IFERROR(INDEX(Pension_Model!$D$2:$D$29,MATCH(H298,Pension_Model!$B$2:$B$29,0)),0),IFERROR(INDEX(Pension_Model!$D$2:$D$29,MATCH(H299,Pension_Model!$B$2:$B$29,0)),0),IFERROR(INDEX(Pension_Model!$D$2:$D$29,MATCH(H300,Pension_Model!$B$2:$B$29,0)),0)),IF(VLOOKUP($A297,Calendar!$A$1:$R$1377,18,0)=5,SUM(IFERROR(INDEX(Pension_Model!$D$2:$D$29,MATCH(H297,Pension_Model!$B$2:$B$29,0)),0),IFERROR(INDEX(Pension_Model!$D$2:$D$29,MATCH(H298,Pension_Model!$B$2:$B$29,0)),0),IFERROR(INDEX(Pension_Model!$D$2:$D$29,MATCH(H299,Pension_Model!$B$2:$B$29,0)),0),IFERROR(INDEX(Pension_Model!$D$2:$D$29,MATCH(H300,Pension_Model!$B$2:$B$29,0)),0),IFERROR(INDEX(Pension_Model!$D$2:$D$29,MATCH(H301,Pension_Model!$B$2:$B$29,0)),0)),0))))))</f>
        <v>0</v>
      </c>
      <c r="Q297" s="28">
        <f>Population_Data!$B$15*P297</f>
        <v>0</v>
      </c>
      <c r="S297">
        <f t="shared" si="4"/>
        <v>0</v>
      </c>
      <c r="U297" s="33">
        <f>S297/Population_Data!$B$19</f>
        <v>0</v>
      </c>
    </row>
    <row r="298" spans="1:21">
      <c r="A298" s="25">
        <f>Calendar!A298</f>
        <v>46531</v>
      </c>
      <c r="B298" t="str">
        <f>Calendar!L298</f>
        <v>Yes</v>
      </c>
      <c r="C298" t="str">
        <f>Calendar!O298</f>
        <v>No</v>
      </c>
      <c r="D298" t="str">
        <f>Calendar!P298</f>
        <v>No</v>
      </c>
      <c r="E298" t="str">
        <f>Calendar!Q298</f>
        <v>No</v>
      </c>
      <c r="F298" t="str">
        <f>Calendar!I298</f>
        <v>Monday</v>
      </c>
      <c r="G298">
        <f>Calendar!S298</f>
        <v>9</v>
      </c>
      <c r="H298">
        <f>Calendar!T298</f>
        <v>23</v>
      </c>
      <c r="I298" s="27">
        <f>IF(VLOOKUP(A298,Calendar!$A$1:$R$1377,18,0)=0,0,IF(VLOOKUP(A298,Calendar!$A$1:$R$1377,18,0)=1,INDEX(Monthly_Pay_Model!$A$9:$D$40,MATCH(TEXT(A298,"dd"),Monthly_Pay_Model!$C$9:$C$39,0),4),IF(VLOOKUP(A298,Calendar!$A$1:$R$1377,18,0)=2,SUM(INDEX(Monthly_Pay_Model!$A$9:$D$40,MATCH(TEXT(A298,"dd"),Monthly_Pay_Model!$C$9:$C$39,0),4),INDEX(Monthly_Pay_Model!$A$9:$D$40,MATCH(TEXT(A299,"dd"),Monthly_Pay_Model!$C$9:$C$39,0),4)),IF(VLOOKUP(A298,Calendar!$A$1:$R$1377,18,0)=3,SUM(INDEX(Monthly_Pay_Model!$A$9:$D$40,MATCH(TEXT(A298,"dd"),Monthly_Pay_Model!$C$9:$C$39,0),4),INDEX(Monthly_Pay_Model!$A$9:$D$40,MATCH(TEXT(A299,"dd"),Monthly_Pay_Model!$C$9:$C$39,0),4),INDEX(Monthly_Pay_Model!$A$9:$D$40,MATCH(TEXT(A300,"dd"),Monthly_Pay_Model!$C$9:$C$39,0),4)),IF(VLOOKUP(A298,Calendar!$A$1:$R$1377,18,0)=4,SUM(INDEX(Monthly_Pay_Model!$A$9:$D$40,MATCH(TEXT(A298,"dd"),Monthly_Pay_Model!$C$9:$C$39,0),4),INDEX(Monthly_Pay_Model!$A$9:$D$40,MATCH(TEXT(A299,"dd"),Monthly_Pay_Model!$C$9:$C$39,0),4),INDEX(Monthly_Pay_Model!$A$9:$D$40,MATCH(TEXT(A300,"dd"),Monthly_Pay_Model!$C$9:$C$39,0),4),INDEX(Monthly_Pay_Model!$A$9:$D$40,MATCH(TEXT(A301,"dd"),Monthly_Pay_Model!$C$9:$C$39,0),4)),IF(VLOOKUP(A298,Calendar!$A$1:$R$1377,18,0)=5,SUM(INDEX(Monthly_Pay_Model!$A$9:$D$40,MATCH(TEXT(A298,"dd"),Monthly_Pay_Model!$C$9:$C$39,0),4),INDEX(Monthly_Pay_Model!$A$9:$D$40,MATCH(TEXT(A299,"dd"),Monthly_Pay_Model!$C$9:$C$39,0),4),INDEX(Monthly_Pay_Model!$A$9:$D$40,MATCH(TEXT(A300,"dd"),Monthly_Pay_Model!$C$9:$C$39,0),4),INDEX(Monthly_Pay_Model!$A$9:$D$40,MATCH(TEXT(A301,"dd"),Monthly_Pay_Model!$C$9:$C$39,0),4),INDEX(Monthly_Pay_Model!$A$9:$D$40,MATCH(TEXT(A302,"dd"),Monthly_Pay_Model!$C$9:$C$39,0),4)),))))))</f>
        <v>7.3130890052356002E-3</v>
      </c>
      <c r="J298" s="33">
        <f>IF(C298="Yes",Monthly_Pay_Model!$D$2,0)
+IF(Calendar!N298="Yes",Monthly_Pay_Model!$D$3,0)
+IF(D298="Yes",Monthly_Pay_Model!$D$4,0)
+IF(E298="Yes",Monthly_Pay_Model!$D$5,0)</f>
        <v>0</v>
      </c>
      <c r="K298" s="27">
        <f>IF(VLOOKUP($A298,Calendar!$A$1:$R$1377,18,0)=0,0,IF(VLOOKUP($A298,Calendar!$A$1:$R$1377,18,0)=1,IFERROR(INDEX(Weekly_Model!$D$2:$D$9,MATCH(F298,Weekly_Model!$A$2:$A$9,0)),0),IF(VLOOKUP($A298,Calendar!$A$1:$R$1377,18,0)=2,SUM(IFERROR(INDEX(Weekly_Model!$D$2:$D$9,MATCH(F298,Weekly_Model!$A$2:$A$9,0)),0),IFERROR(INDEX(Weekly_Model!$D$2:$D$9,MATCH(F299,Weekly_Model!$A$2:$A$9,0)),0)),IF(VLOOKUP($A298,Calendar!$A$1:$R$1377,18,0)=3,SUM(IFERROR(INDEX(Weekly_Model!$D$2:$D$9,MATCH(F298,Weekly_Model!$A$2:$A$9,0)),0),IFERROR(INDEX(Weekly_Model!$D$2:$D$9,MATCH(F299,Weekly_Model!$A$2:$A$9,0)),0),IFERROR(INDEX(Weekly_Model!$D$2:$D$9,MATCH(F300,Weekly_Model!$A$2:$A$9,0)),0)),IF(VLOOKUP($A298,Calendar!$A$1:$R$1377,18,0)=4,SUM(IFERROR(INDEX(Weekly_Model!$D$2:$D$9,MATCH(F298,Weekly_Model!$A$2:$A$9,0)),0),IFERROR(INDEX(Weekly_Model!$D$2:$D$9,MATCH(F299,Weekly_Model!$A$2:$A$9,0)),0),IFERROR(INDEX(Weekly_Model!$D$2:$D$9,MATCH(F300,Weekly_Model!$A$2:$A$9,0)),0),IFERROR(INDEX(Weekly_Model!$D$2:$D$9,MATCH(F301,Weekly_Model!$A$2:$A$9,0)),0)),IF(VLOOKUP($A298,Calendar!$A$1:$R$1377,18,0)=5,SUM(IFERROR(INDEX(Weekly_Model!$D$2:$D$9,MATCH(F298,Weekly_Model!$A$2:$A$9,0)),0),IFERROR(INDEX(Weekly_Model!$D$2:$D$9,MATCH(F299,Weekly_Model!$A$2:$A$9,0)),0),IFERROR(INDEX(Weekly_Model!$D$2:$D$9,MATCH(F300,Weekly_Model!$A$2:$A$9,0)),0),IFERROR(INDEX(Weekly_Model!$D$2:$D$9,MATCH(F301,Weekly_Model!$A$2:$A$9,0)),0),IFERROR(INDEX(Weekly_Model!$D$2:$D$9,MATCH(F302,Weekly_Model!$A$2:$A$9,0)),0)),0))))))</f>
        <v>2.3200000000000002E-2</v>
      </c>
      <c r="L298" s="27">
        <f>IF(VLOOKUP($A298,Calendar!$A$1:$R$1377,18,0)=0,0,IF(VLOOKUP($A298,Calendar!$A$1:$R$1377,18,0)=1,IFERROR(INDEX(Fortnightly_Model!$D$2:$D$15,MATCH(G298,Fortnightly_Model!$B$2:$B$15,0)),0),IF(VLOOKUP($A298,Calendar!$A$1:$R$1377,18,0)=2,SUM(IFERROR(INDEX(Fortnightly_Model!$D$2:$D$15,MATCH(G298,Fortnightly_Model!$B$2:$B$15,0)),0),IFERROR(INDEX(Fortnightly_Model!$D$2:$D$15,MATCH(G299,Fortnightly_Model!$B$2:$B$15,0)),0)),IF(VLOOKUP($A298,Calendar!$A$1:$R$1377,18,0)=3,SUM(IFERROR(INDEX(Fortnightly_Model!$D$2:$D$15,MATCH(G298,Fortnightly_Model!$B$2:$B$15,0)),0),IFERROR(INDEX(Fortnightly_Model!$D$2:$D$15,MATCH(G299,Fortnightly_Model!$B$2:$B$15,0)),0),IFERROR(INDEX(Fortnightly_Model!$D$2:$D$15,MATCH(G300,Fortnightly_Model!$B$2:$B$15,0)),0)),IF(VLOOKUP($A298,Calendar!$A$1:$R$1377,18,0)=4,SUM(IFERROR(INDEX(Fortnightly_Model!$D$2:$D$15,MATCH(G298,Fortnightly_Model!$B$2:$B$15,0)),0),IFERROR(INDEX(Fortnightly_Model!$D$2:$D$15,MATCH(G299,Fortnightly_Model!$B$2:$B$15,0)),0),IFERROR(INDEX(Fortnightly_Model!$D$2:$D$15,MATCH(G300,Fortnightly_Model!$B$2:$B$15,0)),0),IFERROR(INDEX(Fortnightly_Model!$D$2:$D$15,MATCH(G301,Fortnightly_Model!$B$2:$B$15,0)),0)),IF(VLOOKUP($A298,Calendar!$A$1:$R$1377,18,0)=5,SUM(IFERROR(INDEX(Fortnightly_Model!$D$2:$D$15,MATCH(G298,Fortnightly_Model!$B$2:$B$15,0)),0),IFERROR(INDEX(Fortnightly_Model!$D$2:$D$15,MATCH(G299,Fortnightly_Model!$B$2:$B$15,0)),0),IFERROR(INDEX(Fortnightly_Model!$D$2:$D$15,MATCH(G300,Fortnightly_Model!$B$2:$B$15,0)),0),IFERROR(INDEX(Fortnightly_Model!$D$2:$D$15,MATCH(G301,Fortnightly_Model!$B$2:$B$15,0)),0),IFERROR(INDEX(Fortnightly_Model!$D$2:$D$15,MATCH(G302,Fortnightly_Model!$B$2:$B$15,0)),0)),0))))))</f>
        <v>1.0714285499999999E-3</v>
      </c>
      <c r="M298" s="27">
        <f>IF(VLOOKUP($A298,Calendar!$A$1:$R$1377,18,0)=0,0,IF(VLOOKUP($A298,Calendar!$A$1:$R$1377,18,0)=1,IFERROR(INDEX(FourWeekly_Model!$D$2:$D$29,MATCH(H298,FourWeekly_Model!$B$2:$B$29,0)),0),IF(VLOOKUP($A298,Calendar!$A$1:$R$1377,18,0)=2,SUM(IFERROR(INDEX(FourWeekly_Model!$D$2:$D$29,MATCH(H298,FourWeekly_Model!$B$2:$B$29,0)),0),IFERROR(INDEX(FourWeekly_Model!$D$2:$D$29,MATCH(H299,FourWeekly_Model!$B$2:$B$29,0)),0)),IF(VLOOKUP($A298,Calendar!$A$1:$R$1377,18,0)=3,SUM(IFERROR(INDEX(FourWeekly_Model!$D$2:$D$29,MATCH(H298,FourWeekly_Model!$B$2:$B$29,0)),0),IFERROR(INDEX(FourWeekly_Model!$D$2:$D$29,MATCH(H299,FourWeekly_Model!$B$2:$B$29,0)),0),IFERROR(INDEX(FourWeekly_Model!$D$2:$D$29,MATCH(H300,FourWeekly_Model!$B$2:$B$29,0)),0)),IF(VLOOKUP($A298,Calendar!$A$1:$R$1377,18,0)=4,SUM(IFERROR(INDEX(FourWeekly_Model!$D$2:$D$29,MATCH(H298,FourWeekly_Model!$B$2:$B$29,0)),0),IFERROR(INDEX(FourWeekly_Model!$D$2:$D$29,MATCH(H299,FourWeekly_Model!$B$2:$B$29,0)),0),IFERROR(INDEX(FourWeekly_Model!$D$2:$D$29,MATCH(H300,FourWeekly_Model!$B$2:$B$29,0)),0),IFERROR(INDEX(FourWeekly_Model!$D$2:$D$29,MATCH(H301,FourWeekly_Model!$B$2:$B$29,0)),0)),IF(VLOOKUP($A298,Calendar!$A$1:$R$1377,18,0)=5,SUM(IFERROR(INDEX(FourWeekly_Model!$D$2:$D$29,MATCH(H298,FourWeekly_Model!$B$2:$B$29,0)),0),IFERROR(INDEX(FourWeekly_Model!$D$2:$D$29,MATCH(H299,FourWeekly_Model!$B$2:$B$29,0)),0),IFERROR(INDEX(FourWeekly_Model!$D$2:$D$29,MATCH(H300,FourWeekly_Model!$B$2:$B$29,0)),0),IFERROR(INDEX(FourWeekly_Model!$D$2:$D$29,MATCH(H301,FourWeekly_Model!$B$2:$B$29,0)),0),IFERROR(INDEX(FourWeekly_Model!$D$2:$D$29,MATCH(H302,FourWeekly_Model!$B$2:$B$29,0)),0)),0))))))</f>
        <v>3.3214289700000004E-3</v>
      </c>
      <c r="N298" s="27">
        <f>SUM(I298:M298)</f>
        <v>3.4905946525235605E-2</v>
      </c>
      <c r="O298" s="28">
        <f>Population_Data!$B$8*N298</f>
        <v>1057650.1797146387</v>
      </c>
      <c r="P298" s="27">
        <f>IF(VLOOKUP($A298,Calendar!$A$1:$R$1377,18,0)=0,0,IF(VLOOKUP($A298,Calendar!$A$1:$R$1377,18,0)=1,IFERROR(INDEX(Pension_Model!$D$2:$D$29,MATCH(H298,Pension_Model!$B$2:$B$29,0)),0),IF(VLOOKUP($A298,Calendar!$A$1:$R$1377,18,0)=2,SUM(IFERROR(INDEX(Pension_Model!$D$2:$D$29,MATCH(H298,Pension_Model!$B$2:$B$29,0)),0),IFERROR(INDEX(Pension_Model!$D$2:$D$29,MATCH(H299,Pension_Model!$B$2:$B$29,0)),0)),IF(VLOOKUP($A298,Calendar!$A$1:$R$1377,18,0)=3,SUM(IFERROR(INDEX(Pension_Model!$D$2:$D$29,MATCH(H298,Pension_Model!$B$2:$B$29,0)),0),IFERROR(INDEX(Pension_Model!$D$2:$D$29,MATCH(H299,Pension_Model!$B$2:$B$29,0)),0),IFERROR(INDEX(Pension_Model!$D$2:$D$29,MATCH(H300,Pension_Model!$B$2:$B$29,0)),0)),IF(VLOOKUP($A298,Calendar!$A$1:$R$1377,18,0)=4,SUM(IFERROR(INDEX(Pension_Model!$D$2:$D$29,MATCH(H298,Pension_Model!$B$2:$B$29,0)),0),IFERROR(INDEX(Pension_Model!$D$2:$D$29,MATCH(H299,Pension_Model!$B$2:$B$29,0)),0),IFERROR(INDEX(Pension_Model!$D$2:$D$29,MATCH(H300,Pension_Model!$B$2:$B$29,0)),0),IFERROR(INDEX(Pension_Model!$D$2:$D$29,MATCH(H301,Pension_Model!$B$2:$B$29,0)),0)),IF(VLOOKUP($A298,Calendar!$A$1:$R$1377,18,0)=5,SUM(IFERROR(INDEX(Pension_Model!$D$2:$D$29,MATCH(H298,Pension_Model!$B$2:$B$29,0)),0),IFERROR(INDEX(Pension_Model!$D$2:$D$29,MATCH(H299,Pension_Model!$B$2:$B$29,0)),0),IFERROR(INDEX(Pension_Model!$D$2:$D$29,MATCH(H300,Pension_Model!$B$2:$B$29,0)),0),IFERROR(INDEX(Pension_Model!$D$2:$D$29,MATCH(H301,Pension_Model!$B$2:$B$29,0)),0),IFERROR(INDEX(Pension_Model!$D$2:$D$29,MATCH(H302,Pension_Model!$B$2:$B$29,0)),0)),0))))))</f>
        <v>0.05</v>
      </c>
      <c r="Q298" s="28">
        <f>Population_Data!$B$15*P298</f>
        <v>660600</v>
      </c>
      <c r="S298">
        <f t="shared" si="4"/>
        <v>1718250.1797146387</v>
      </c>
      <c r="U298" s="33">
        <f>S298/Population_Data!$B$19</f>
        <v>3.1127720647004326E-2</v>
      </c>
    </row>
    <row r="299" spans="1:21">
      <c r="A299" s="25">
        <f>Calendar!A299</f>
        <v>46532</v>
      </c>
      <c r="B299" t="str">
        <f>Calendar!L299</f>
        <v>Yes</v>
      </c>
      <c r="C299" t="str">
        <f>Calendar!O299</f>
        <v>No</v>
      </c>
      <c r="D299" t="str">
        <f>Calendar!P299</f>
        <v>No</v>
      </c>
      <c r="E299" t="str">
        <f>Calendar!Q299</f>
        <v>No</v>
      </c>
      <c r="F299" t="str">
        <f>Calendar!I299</f>
        <v>Tuesday</v>
      </c>
      <c r="G299">
        <f>Calendar!S299</f>
        <v>10</v>
      </c>
      <c r="H299">
        <f>Calendar!T299</f>
        <v>24</v>
      </c>
      <c r="I299" s="27">
        <f>IF(VLOOKUP(A299,Calendar!$A$1:$R$1377,18,0)=0,0,IF(VLOOKUP(A299,Calendar!$A$1:$R$1377,18,0)=1,INDEX(Monthly_Pay_Model!$A$9:$D$40,MATCH(TEXT(A299,"dd"),Monthly_Pay_Model!$C$9:$C$39,0),4),IF(VLOOKUP(A299,Calendar!$A$1:$R$1377,18,0)=2,SUM(INDEX(Monthly_Pay_Model!$A$9:$D$40,MATCH(TEXT(A299,"dd"),Monthly_Pay_Model!$C$9:$C$39,0),4),INDEX(Monthly_Pay_Model!$A$9:$D$40,MATCH(TEXT(A300,"dd"),Monthly_Pay_Model!$C$9:$C$39,0),4)),IF(VLOOKUP(A299,Calendar!$A$1:$R$1377,18,0)=3,SUM(INDEX(Monthly_Pay_Model!$A$9:$D$40,MATCH(TEXT(A299,"dd"),Monthly_Pay_Model!$C$9:$C$39,0),4),INDEX(Monthly_Pay_Model!$A$9:$D$40,MATCH(TEXT(A300,"dd"),Monthly_Pay_Model!$C$9:$C$39,0),4),INDEX(Monthly_Pay_Model!$A$9:$D$40,MATCH(TEXT(A301,"dd"),Monthly_Pay_Model!$C$9:$C$39,0),4)),IF(VLOOKUP(A299,Calendar!$A$1:$R$1377,18,0)=4,SUM(INDEX(Monthly_Pay_Model!$A$9:$D$40,MATCH(TEXT(A299,"dd"),Monthly_Pay_Model!$C$9:$C$39,0),4),INDEX(Monthly_Pay_Model!$A$9:$D$40,MATCH(TEXT(A300,"dd"),Monthly_Pay_Model!$C$9:$C$39,0),4),INDEX(Monthly_Pay_Model!$A$9:$D$40,MATCH(TEXT(A301,"dd"),Monthly_Pay_Model!$C$9:$C$39,0),4),INDEX(Monthly_Pay_Model!$A$9:$D$40,MATCH(TEXT(A302,"dd"),Monthly_Pay_Model!$C$9:$C$39,0),4)),IF(VLOOKUP(A299,Calendar!$A$1:$R$1377,18,0)=5,SUM(INDEX(Monthly_Pay_Model!$A$9:$D$40,MATCH(TEXT(A299,"dd"),Monthly_Pay_Model!$C$9:$C$39,0),4),INDEX(Monthly_Pay_Model!$A$9:$D$40,MATCH(TEXT(A300,"dd"),Monthly_Pay_Model!$C$9:$C$39,0),4),INDEX(Monthly_Pay_Model!$A$9:$D$40,MATCH(TEXT(A301,"dd"),Monthly_Pay_Model!$C$9:$C$39,0),4),INDEX(Monthly_Pay_Model!$A$9:$D$40,MATCH(TEXT(A302,"dd"),Monthly_Pay_Model!$C$9:$C$39,0),4),INDEX(Monthly_Pay_Model!$A$9:$D$40,MATCH(TEXT(A303,"dd"),Monthly_Pay_Model!$C$9:$C$39,0),4)),))))))</f>
        <v>2.1939267015706802E-2</v>
      </c>
      <c r="J299" s="33">
        <f>IF(C299="Yes",Monthly_Pay_Model!$D$2,0)
+IF(Calendar!N299="Yes",Monthly_Pay_Model!$D$3,0)
+IF(D299="Yes",Monthly_Pay_Model!$D$4,0)
+IF(E299="Yes",Monthly_Pay_Model!$D$5,0)</f>
        <v>0</v>
      </c>
      <c r="K299" s="27">
        <f>IF(VLOOKUP($A299,Calendar!$A$1:$R$1377,18,0)=0,0,IF(VLOOKUP($A299,Calendar!$A$1:$R$1377,18,0)=1,IFERROR(INDEX(Weekly_Model!$D$2:$D$9,MATCH(F299,Weekly_Model!$A$2:$A$9,0)),0),IF(VLOOKUP($A299,Calendar!$A$1:$R$1377,18,0)=2,SUM(IFERROR(INDEX(Weekly_Model!$D$2:$D$9,MATCH(F299,Weekly_Model!$A$2:$A$9,0)),0),IFERROR(INDEX(Weekly_Model!$D$2:$D$9,MATCH(F300,Weekly_Model!$A$2:$A$9,0)),0)),IF(VLOOKUP($A299,Calendar!$A$1:$R$1377,18,0)=3,SUM(IFERROR(INDEX(Weekly_Model!$D$2:$D$9,MATCH(F299,Weekly_Model!$A$2:$A$9,0)),0),IFERROR(INDEX(Weekly_Model!$D$2:$D$9,MATCH(F300,Weekly_Model!$A$2:$A$9,0)),0),IFERROR(INDEX(Weekly_Model!$D$2:$D$9,MATCH(F301,Weekly_Model!$A$2:$A$9,0)),0)),IF(VLOOKUP($A299,Calendar!$A$1:$R$1377,18,0)=4,SUM(IFERROR(INDEX(Weekly_Model!$D$2:$D$9,MATCH(F299,Weekly_Model!$A$2:$A$9,0)),0),IFERROR(INDEX(Weekly_Model!$D$2:$D$9,MATCH(F300,Weekly_Model!$A$2:$A$9,0)),0),IFERROR(INDEX(Weekly_Model!$D$2:$D$9,MATCH(F301,Weekly_Model!$A$2:$A$9,0)),0),IFERROR(INDEX(Weekly_Model!$D$2:$D$9,MATCH(F302,Weekly_Model!$A$2:$A$9,0)),0)),IF(VLOOKUP($A299,Calendar!$A$1:$R$1377,18,0)=5,SUM(IFERROR(INDEX(Weekly_Model!$D$2:$D$9,MATCH(F299,Weekly_Model!$A$2:$A$9,0)),0),IFERROR(INDEX(Weekly_Model!$D$2:$D$9,MATCH(F300,Weekly_Model!$A$2:$A$9,0)),0),IFERROR(INDEX(Weekly_Model!$D$2:$D$9,MATCH(F301,Weekly_Model!$A$2:$A$9,0)),0),IFERROR(INDEX(Weekly_Model!$D$2:$D$9,MATCH(F302,Weekly_Model!$A$2:$A$9,0)),0),IFERROR(INDEX(Weekly_Model!$D$2:$D$9,MATCH(F303,Weekly_Model!$A$2:$A$9,0)),0)),0))))))</f>
        <v>2.3200000000000002E-2</v>
      </c>
      <c r="L299" s="27">
        <f>IF(VLOOKUP($A299,Calendar!$A$1:$R$1377,18,0)=0,0,IF(VLOOKUP($A299,Calendar!$A$1:$R$1377,18,0)=1,IFERROR(INDEX(Fortnightly_Model!$D$2:$D$15,MATCH(G299,Fortnightly_Model!$B$2:$B$15,0)),0),IF(VLOOKUP($A299,Calendar!$A$1:$R$1377,18,0)=2,SUM(IFERROR(INDEX(Fortnightly_Model!$D$2:$D$15,MATCH(G299,Fortnightly_Model!$B$2:$B$15,0)),0),IFERROR(INDEX(Fortnightly_Model!$D$2:$D$15,MATCH(G300,Fortnightly_Model!$B$2:$B$15,0)),0)),IF(VLOOKUP($A299,Calendar!$A$1:$R$1377,18,0)=3,SUM(IFERROR(INDEX(Fortnightly_Model!$D$2:$D$15,MATCH(G299,Fortnightly_Model!$B$2:$B$15,0)),0),IFERROR(INDEX(Fortnightly_Model!$D$2:$D$15,MATCH(G300,Fortnightly_Model!$B$2:$B$15,0)),0),IFERROR(INDEX(Fortnightly_Model!$D$2:$D$15,MATCH(G301,Fortnightly_Model!$B$2:$B$15,0)),0)),IF(VLOOKUP($A299,Calendar!$A$1:$R$1377,18,0)=4,SUM(IFERROR(INDEX(Fortnightly_Model!$D$2:$D$15,MATCH(G299,Fortnightly_Model!$B$2:$B$15,0)),0),IFERROR(INDEX(Fortnightly_Model!$D$2:$D$15,MATCH(G300,Fortnightly_Model!$B$2:$B$15,0)),0),IFERROR(INDEX(Fortnightly_Model!$D$2:$D$15,MATCH(G301,Fortnightly_Model!$B$2:$B$15,0)),0),IFERROR(INDEX(Fortnightly_Model!$D$2:$D$15,MATCH(G302,Fortnightly_Model!$B$2:$B$15,0)),0)),IF(VLOOKUP($A299,Calendar!$A$1:$R$1377,18,0)=5,SUM(IFERROR(INDEX(Fortnightly_Model!$D$2:$D$15,MATCH(G299,Fortnightly_Model!$B$2:$B$15,0)),0),IFERROR(INDEX(Fortnightly_Model!$D$2:$D$15,MATCH(G300,Fortnightly_Model!$B$2:$B$15,0)),0),IFERROR(INDEX(Fortnightly_Model!$D$2:$D$15,MATCH(G301,Fortnightly_Model!$B$2:$B$15,0)),0),IFERROR(INDEX(Fortnightly_Model!$D$2:$D$15,MATCH(G302,Fortnightly_Model!$B$2:$B$15,0)),0),IFERROR(INDEX(Fortnightly_Model!$D$2:$D$15,MATCH(G303,Fortnightly_Model!$B$2:$B$15,0)),0)),0))))))</f>
        <v>1.0714285499999999E-3</v>
      </c>
      <c r="M299" s="27">
        <f>IF(VLOOKUP($A299,Calendar!$A$1:$R$1377,18,0)=0,0,IF(VLOOKUP($A299,Calendar!$A$1:$R$1377,18,0)=1,IFERROR(INDEX(FourWeekly_Model!$D$2:$D$29,MATCH(H299,FourWeekly_Model!$B$2:$B$29,0)),0),IF(VLOOKUP($A299,Calendar!$A$1:$R$1377,18,0)=2,SUM(IFERROR(INDEX(FourWeekly_Model!$D$2:$D$29,MATCH(H299,FourWeekly_Model!$B$2:$B$29,0)),0),IFERROR(INDEX(FourWeekly_Model!$D$2:$D$29,MATCH(H300,FourWeekly_Model!$B$2:$B$29,0)),0)),IF(VLOOKUP($A299,Calendar!$A$1:$R$1377,18,0)=3,SUM(IFERROR(INDEX(FourWeekly_Model!$D$2:$D$29,MATCH(H299,FourWeekly_Model!$B$2:$B$29,0)),0),IFERROR(INDEX(FourWeekly_Model!$D$2:$D$29,MATCH(H300,FourWeekly_Model!$B$2:$B$29,0)),0),IFERROR(INDEX(FourWeekly_Model!$D$2:$D$29,MATCH(H301,FourWeekly_Model!$B$2:$B$29,0)),0)),IF(VLOOKUP($A299,Calendar!$A$1:$R$1377,18,0)=4,SUM(IFERROR(INDEX(FourWeekly_Model!$D$2:$D$29,MATCH(H299,FourWeekly_Model!$B$2:$B$29,0)),0),IFERROR(INDEX(FourWeekly_Model!$D$2:$D$29,MATCH(H300,FourWeekly_Model!$B$2:$B$29,0)),0),IFERROR(INDEX(FourWeekly_Model!$D$2:$D$29,MATCH(H301,FourWeekly_Model!$B$2:$B$29,0)),0),IFERROR(INDEX(FourWeekly_Model!$D$2:$D$29,MATCH(H302,FourWeekly_Model!$B$2:$B$29,0)),0)),IF(VLOOKUP($A299,Calendar!$A$1:$R$1377,18,0)=5,SUM(IFERROR(INDEX(FourWeekly_Model!$D$2:$D$29,MATCH(H299,FourWeekly_Model!$B$2:$B$29,0)),0),IFERROR(INDEX(FourWeekly_Model!$D$2:$D$29,MATCH(H300,FourWeekly_Model!$B$2:$B$29,0)),0),IFERROR(INDEX(FourWeekly_Model!$D$2:$D$29,MATCH(H301,FourWeekly_Model!$B$2:$B$29,0)),0),IFERROR(INDEX(FourWeekly_Model!$D$2:$D$29,MATCH(H302,FourWeekly_Model!$B$2:$B$29,0)),0),IFERROR(INDEX(FourWeekly_Model!$D$2:$D$29,MATCH(H303,FourWeekly_Model!$B$2:$B$29,0)),0)),0))))))</f>
        <v>3.3214289700000004E-3</v>
      </c>
      <c r="N299" s="27">
        <f>SUM(I299:M299)</f>
        <v>4.9532124535706809E-2</v>
      </c>
      <c r="O299" s="28">
        <f>Population_Data!$B$8*N299</f>
        <v>1500823.3734319163</v>
      </c>
      <c r="P299" s="27">
        <f>IF(VLOOKUP($A299,Calendar!$A$1:$R$1377,18,0)=0,0,IF(VLOOKUP($A299,Calendar!$A$1:$R$1377,18,0)=1,IFERROR(INDEX(Pension_Model!$D$2:$D$29,MATCH(H299,Pension_Model!$B$2:$B$29,0)),0),IF(VLOOKUP($A299,Calendar!$A$1:$R$1377,18,0)=2,SUM(IFERROR(INDEX(Pension_Model!$D$2:$D$29,MATCH(H299,Pension_Model!$B$2:$B$29,0)),0),IFERROR(INDEX(Pension_Model!$D$2:$D$29,MATCH(H300,Pension_Model!$B$2:$B$29,0)),0)),IF(VLOOKUP($A299,Calendar!$A$1:$R$1377,18,0)=3,SUM(IFERROR(INDEX(Pension_Model!$D$2:$D$29,MATCH(H299,Pension_Model!$B$2:$B$29,0)),0),IFERROR(INDEX(Pension_Model!$D$2:$D$29,MATCH(H300,Pension_Model!$B$2:$B$29,0)),0),IFERROR(INDEX(Pension_Model!$D$2:$D$29,MATCH(H301,Pension_Model!$B$2:$B$29,0)),0)),IF(VLOOKUP($A299,Calendar!$A$1:$R$1377,18,0)=4,SUM(IFERROR(INDEX(Pension_Model!$D$2:$D$29,MATCH(H299,Pension_Model!$B$2:$B$29,0)),0),IFERROR(INDEX(Pension_Model!$D$2:$D$29,MATCH(H300,Pension_Model!$B$2:$B$29,0)),0),IFERROR(INDEX(Pension_Model!$D$2:$D$29,MATCH(H301,Pension_Model!$B$2:$B$29,0)),0),IFERROR(INDEX(Pension_Model!$D$2:$D$29,MATCH(H302,Pension_Model!$B$2:$B$29,0)),0)),IF(VLOOKUP($A299,Calendar!$A$1:$R$1377,18,0)=5,SUM(IFERROR(INDEX(Pension_Model!$D$2:$D$29,MATCH(H299,Pension_Model!$B$2:$B$29,0)),0),IFERROR(INDEX(Pension_Model!$D$2:$D$29,MATCH(H300,Pension_Model!$B$2:$B$29,0)),0),IFERROR(INDEX(Pension_Model!$D$2:$D$29,MATCH(H301,Pension_Model!$B$2:$B$29,0)),0),IFERROR(INDEX(Pension_Model!$D$2:$D$29,MATCH(H302,Pension_Model!$B$2:$B$29,0)),0),IFERROR(INDEX(Pension_Model!$D$2:$D$29,MATCH(H303,Pension_Model!$B$2:$B$29,0)),0)),0))))))</f>
        <v>0.05</v>
      </c>
      <c r="Q299" s="28">
        <f>Population_Data!$B$15*P299</f>
        <v>660600</v>
      </c>
      <c r="S299">
        <f t="shared" si="4"/>
        <v>2161423.3734319163</v>
      </c>
      <c r="U299" s="33">
        <f>S299/Population_Data!$B$19</f>
        <v>3.9156220533186889E-2</v>
      </c>
    </row>
    <row r="300" spans="1:21">
      <c r="A300" s="25">
        <f>Calendar!A300</f>
        <v>46533</v>
      </c>
      <c r="B300" t="str">
        <f>Calendar!L300</f>
        <v>Yes</v>
      </c>
      <c r="C300" t="str">
        <f>Calendar!O300</f>
        <v>No</v>
      </c>
      <c r="D300" t="str">
        <f>Calendar!P300</f>
        <v>No</v>
      </c>
      <c r="E300" t="str">
        <f>Calendar!Q300</f>
        <v>No</v>
      </c>
      <c r="F300" t="str">
        <f>Calendar!I300</f>
        <v>Wednesday</v>
      </c>
      <c r="G300">
        <f>Calendar!S300</f>
        <v>11</v>
      </c>
      <c r="H300">
        <f>Calendar!T300</f>
        <v>25</v>
      </c>
      <c r="I300" s="27">
        <f>IF(VLOOKUP(A300,Calendar!$A$1:$R$1377,18,0)=0,0,IF(VLOOKUP(A300,Calendar!$A$1:$R$1377,18,0)=1,INDEX(Monthly_Pay_Model!$A$9:$D$40,MATCH(TEXT(A300,"dd"),Monthly_Pay_Model!$C$9:$C$39,0),4),IF(VLOOKUP(A300,Calendar!$A$1:$R$1377,18,0)=2,SUM(INDEX(Monthly_Pay_Model!$A$9:$D$40,MATCH(TEXT(A300,"dd"),Monthly_Pay_Model!$C$9:$C$39,0),4),INDEX(Monthly_Pay_Model!$A$9:$D$40,MATCH(TEXT(A301,"dd"),Monthly_Pay_Model!$C$9:$C$39,0),4)),IF(VLOOKUP(A300,Calendar!$A$1:$R$1377,18,0)=3,SUM(INDEX(Monthly_Pay_Model!$A$9:$D$40,MATCH(TEXT(A300,"dd"),Monthly_Pay_Model!$C$9:$C$39,0),4),INDEX(Monthly_Pay_Model!$A$9:$D$40,MATCH(TEXT(A301,"dd"),Monthly_Pay_Model!$C$9:$C$39,0),4),INDEX(Monthly_Pay_Model!$A$9:$D$40,MATCH(TEXT(A302,"dd"),Monthly_Pay_Model!$C$9:$C$39,0),4)),IF(VLOOKUP(A300,Calendar!$A$1:$R$1377,18,0)=4,SUM(INDEX(Monthly_Pay_Model!$A$9:$D$40,MATCH(TEXT(A300,"dd"),Monthly_Pay_Model!$C$9:$C$39,0),4),INDEX(Monthly_Pay_Model!$A$9:$D$40,MATCH(TEXT(A301,"dd"),Monthly_Pay_Model!$C$9:$C$39,0),4),INDEX(Monthly_Pay_Model!$A$9:$D$40,MATCH(TEXT(A302,"dd"),Monthly_Pay_Model!$C$9:$C$39,0),4),INDEX(Monthly_Pay_Model!$A$9:$D$40,MATCH(TEXT(A303,"dd"),Monthly_Pay_Model!$C$9:$C$39,0),4)),IF(VLOOKUP(A300,Calendar!$A$1:$R$1377,18,0)=5,SUM(INDEX(Monthly_Pay_Model!$A$9:$D$40,MATCH(TEXT(A300,"dd"),Monthly_Pay_Model!$C$9:$C$39,0),4),INDEX(Monthly_Pay_Model!$A$9:$D$40,MATCH(TEXT(A301,"dd"),Monthly_Pay_Model!$C$9:$C$39,0),4),INDEX(Monthly_Pay_Model!$A$9:$D$40,MATCH(TEXT(A302,"dd"),Monthly_Pay_Model!$C$9:$C$39,0),4),INDEX(Monthly_Pay_Model!$A$9:$D$40,MATCH(TEXT(A303,"dd"),Monthly_Pay_Model!$C$9:$C$39,0),4),INDEX(Monthly_Pay_Model!$A$9:$D$40,MATCH(TEXT(A304,"dd"),Monthly_Pay_Model!$C$9:$C$39,0),4)),))))))</f>
        <v>9.7507853403141324E-3</v>
      </c>
      <c r="J300" s="33">
        <f>IF(C300="Yes",Monthly_Pay_Model!$D$2,0)
+IF(Calendar!N300="Yes",Monthly_Pay_Model!$D$3,0)
+IF(D300="Yes",Monthly_Pay_Model!$D$4,0)
+IF(E300="Yes",Monthly_Pay_Model!$D$5,0)</f>
        <v>0</v>
      </c>
      <c r="K300" s="27">
        <f>IF(VLOOKUP($A300,Calendar!$A$1:$R$1377,18,0)=0,0,IF(VLOOKUP($A300,Calendar!$A$1:$R$1377,18,0)=1,IFERROR(INDEX(Weekly_Model!$D$2:$D$9,MATCH(F300,Weekly_Model!$A$2:$A$9,0)),0),IF(VLOOKUP($A300,Calendar!$A$1:$R$1377,18,0)=2,SUM(IFERROR(INDEX(Weekly_Model!$D$2:$D$9,MATCH(F300,Weekly_Model!$A$2:$A$9,0)),0),IFERROR(INDEX(Weekly_Model!$D$2:$D$9,MATCH(F301,Weekly_Model!$A$2:$A$9,0)),0)),IF(VLOOKUP($A300,Calendar!$A$1:$R$1377,18,0)=3,SUM(IFERROR(INDEX(Weekly_Model!$D$2:$D$9,MATCH(F300,Weekly_Model!$A$2:$A$9,0)),0),IFERROR(INDEX(Weekly_Model!$D$2:$D$9,MATCH(F301,Weekly_Model!$A$2:$A$9,0)),0),IFERROR(INDEX(Weekly_Model!$D$2:$D$9,MATCH(F302,Weekly_Model!$A$2:$A$9,0)),0)),IF(VLOOKUP($A300,Calendar!$A$1:$R$1377,18,0)=4,SUM(IFERROR(INDEX(Weekly_Model!$D$2:$D$9,MATCH(F300,Weekly_Model!$A$2:$A$9,0)),0),IFERROR(INDEX(Weekly_Model!$D$2:$D$9,MATCH(F301,Weekly_Model!$A$2:$A$9,0)),0),IFERROR(INDEX(Weekly_Model!$D$2:$D$9,MATCH(F302,Weekly_Model!$A$2:$A$9,0)),0),IFERROR(INDEX(Weekly_Model!$D$2:$D$9,MATCH(F303,Weekly_Model!$A$2:$A$9,0)),0)),IF(VLOOKUP($A300,Calendar!$A$1:$R$1377,18,0)=5,SUM(IFERROR(INDEX(Weekly_Model!$D$2:$D$9,MATCH(F300,Weekly_Model!$A$2:$A$9,0)),0),IFERROR(INDEX(Weekly_Model!$D$2:$D$9,MATCH(F301,Weekly_Model!$A$2:$A$9,0)),0),IFERROR(INDEX(Weekly_Model!$D$2:$D$9,MATCH(F302,Weekly_Model!$A$2:$A$9,0)),0),IFERROR(INDEX(Weekly_Model!$D$2:$D$9,MATCH(F303,Weekly_Model!$A$2:$A$9,0)),0),IFERROR(INDEX(Weekly_Model!$D$2:$D$9,MATCH(F304,Weekly_Model!$A$2:$A$9,0)),0)),0))))))</f>
        <v>2.3200000000000002E-2</v>
      </c>
      <c r="L300" s="27">
        <f>IF(VLOOKUP($A300,Calendar!$A$1:$R$1377,18,0)=0,0,IF(VLOOKUP($A300,Calendar!$A$1:$R$1377,18,0)=1,IFERROR(INDEX(Fortnightly_Model!$D$2:$D$15,MATCH(G300,Fortnightly_Model!$B$2:$B$15,0)),0),IF(VLOOKUP($A300,Calendar!$A$1:$R$1377,18,0)=2,SUM(IFERROR(INDEX(Fortnightly_Model!$D$2:$D$15,MATCH(G300,Fortnightly_Model!$B$2:$B$15,0)),0),IFERROR(INDEX(Fortnightly_Model!$D$2:$D$15,MATCH(G301,Fortnightly_Model!$B$2:$B$15,0)),0)),IF(VLOOKUP($A300,Calendar!$A$1:$R$1377,18,0)=3,SUM(IFERROR(INDEX(Fortnightly_Model!$D$2:$D$15,MATCH(G300,Fortnightly_Model!$B$2:$B$15,0)),0),IFERROR(INDEX(Fortnightly_Model!$D$2:$D$15,MATCH(G301,Fortnightly_Model!$B$2:$B$15,0)),0),IFERROR(INDEX(Fortnightly_Model!$D$2:$D$15,MATCH(G302,Fortnightly_Model!$B$2:$B$15,0)),0)),IF(VLOOKUP($A300,Calendar!$A$1:$R$1377,18,0)=4,SUM(IFERROR(INDEX(Fortnightly_Model!$D$2:$D$15,MATCH(G300,Fortnightly_Model!$B$2:$B$15,0)),0),IFERROR(INDEX(Fortnightly_Model!$D$2:$D$15,MATCH(G301,Fortnightly_Model!$B$2:$B$15,0)),0),IFERROR(INDEX(Fortnightly_Model!$D$2:$D$15,MATCH(G302,Fortnightly_Model!$B$2:$B$15,0)),0),IFERROR(INDEX(Fortnightly_Model!$D$2:$D$15,MATCH(G303,Fortnightly_Model!$B$2:$B$15,0)),0)),IF(VLOOKUP($A300,Calendar!$A$1:$R$1377,18,0)=5,SUM(IFERROR(INDEX(Fortnightly_Model!$D$2:$D$15,MATCH(G300,Fortnightly_Model!$B$2:$B$15,0)),0),IFERROR(INDEX(Fortnightly_Model!$D$2:$D$15,MATCH(G301,Fortnightly_Model!$B$2:$B$15,0)),0),IFERROR(INDEX(Fortnightly_Model!$D$2:$D$15,MATCH(G302,Fortnightly_Model!$B$2:$B$15,0)),0),IFERROR(INDEX(Fortnightly_Model!$D$2:$D$15,MATCH(G303,Fortnightly_Model!$B$2:$B$15,0)),0),IFERROR(INDEX(Fortnightly_Model!$D$2:$D$15,MATCH(G304,Fortnightly_Model!$B$2:$B$15,0)),0)),0))))))</f>
        <v>1.0714285499999999E-3</v>
      </c>
      <c r="M300" s="27">
        <f>IF(VLOOKUP($A300,Calendar!$A$1:$R$1377,18,0)=0,0,IF(VLOOKUP($A300,Calendar!$A$1:$R$1377,18,0)=1,IFERROR(INDEX(FourWeekly_Model!$D$2:$D$29,MATCH(H300,FourWeekly_Model!$B$2:$B$29,0)),0),IF(VLOOKUP($A300,Calendar!$A$1:$R$1377,18,0)=2,SUM(IFERROR(INDEX(FourWeekly_Model!$D$2:$D$29,MATCH(H300,FourWeekly_Model!$B$2:$B$29,0)),0),IFERROR(INDEX(FourWeekly_Model!$D$2:$D$29,MATCH(H301,FourWeekly_Model!$B$2:$B$29,0)),0)),IF(VLOOKUP($A300,Calendar!$A$1:$R$1377,18,0)=3,SUM(IFERROR(INDEX(FourWeekly_Model!$D$2:$D$29,MATCH(H300,FourWeekly_Model!$B$2:$B$29,0)),0),IFERROR(INDEX(FourWeekly_Model!$D$2:$D$29,MATCH(H301,FourWeekly_Model!$B$2:$B$29,0)),0),IFERROR(INDEX(FourWeekly_Model!$D$2:$D$29,MATCH(H302,FourWeekly_Model!$B$2:$B$29,0)),0)),IF(VLOOKUP($A300,Calendar!$A$1:$R$1377,18,0)=4,SUM(IFERROR(INDEX(FourWeekly_Model!$D$2:$D$29,MATCH(H300,FourWeekly_Model!$B$2:$B$29,0)),0),IFERROR(INDEX(FourWeekly_Model!$D$2:$D$29,MATCH(H301,FourWeekly_Model!$B$2:$B$29,0)),0),IFERROR(INDEX(FourWeekly_Model!$D$2:$D$29,MATCH(H302,FourWeekly_Model!$B$2:$B$29,0)),0),IFERROR(INDEX(FourWeekly_Model!$D$2:$D$29,MATCH(H303,FourWeekly_Model!$B$2:$B$29,0)),0)),IF(VLOOKUP($A300,Calendar!$A$1:$R$1377,18,0)=5,SUM(IFERROR(INDEX(FourWeekly_Model!$D$2:$D$29,MATCH(H300,FourWeekly_Model!$B$2:$B$29,0)),0),IFERROR(INDEX(FourWeekly_Model!$D$2:$D$29,MATCH(H301,FourWeekly_Model!$B$2:$B$29,0)),0),IFERROR(INDEX(FourWeekly_Model!$D$2:$D$29,MATCH(H302,FourWeekly_Model!$B$2:$B$29,0)),0),IFERROR(INDEX(FourWeekly_Model!$D$2:$D$29,MATCH(H303,FourWeekly_Model!$B$2:$B$29,0)),0),IFERROR(INDEX(FourWeekly_Model!$D$2:$D$29,MATCH(H304,FourWeekly_Model!$B$2:$B$29,0)),0)),0))))))</f>
        <v>3.3214289700000004E-3</v>
      </c>
      <c r="N300" s="27">
        <f>SUM(I300:M300)</f>
        <v>3.7343642860314136E-2</v>
      </c>
      <c r="O300" s="28">
        <f>Population_Data!$B$8*N300</f>
        <v>1131512.3786675183</v>
      </c>
      <c r="P300" s="27">
        <f>IF(VLOOKUP($A300,Calendar!$A$1:$R$1377,18,0)=0,0,IF(VLOOKUP($A300,Calendar!$A$1:$R$1377,18,0)=1,IFERROR(INDEX(Pension_Model!$D$2:$D$29,MATCH(H300,Pension_Model!$B$2:$B$29,0)),0),IF(VLOOKUP($A300,Calendar!$A$1:$R$1377,18,0)=2,SUM(IFERROR(INDEX(Pension_Model!$D$2:$D$29,MATCH(H300,Pension_Model!$B$2:$B$29,0)),0),IFERROR(INDEX(Pension_Model!$D$2:$D$29,MATCH(H301,Pension_Model!$B$2:$B$29,0)),0)),IF(VLOOKUP($A300,Calendar!$A$1:$R$1377,18,0)=3,SUM(IFERROR(INDEX(Pension_Model!$D$2:$D$29,MATCH(H300,Pension_Model!$B$2:$B$29,0)),0),IFERROR(INDEX(Pension_Model!$D$2:$D$29,MATCH(H301,Pension_Model!$B$2:$B$29,0)),0),IFERROR(INDEX(Pension_Model!$D$2:$D$29,MATCH(H302,Pension_Model!$B$2:$B$29,0)),0)),IF(VLOOKUP($A300,Calendar!$A$1:$R$1377,18,0)=4,SUM(IFERROR(INDEX(Pension_Model!$D$2:$D$29,MATCH(H300,Pension_Model!$B$2:$B$29,0)),0),IFERROR(INDEX(Pension_Model!$D$2:$D$29,MATCH(H301,Pension_Model!$B$2:$B$29,0)),0),IFERROR(INDEX(Pension_Model!$D$2:$D$29,MATCH(H302,Pension_Model!$B$2:$B$29,0)),0),IFERROR(INDEX(Pension_Model!$D$2:$D$29,MATCH(H303,Pension_Model!$B$2:$B$29,0)),0)),IF(VLOOKUP($A300,Calendar!$A$1:$R$1377,18,0)=5,SUM(IFERROR(INDEX(Pension_Model!$D$2:$D$29,MATCH(H300,Pension_Model!$B$2:$B$29,0)),0),IFERROR(INDEX(Pension_Model!$D$2:$D$29,MATCH(H301,Pension_Model!$B$2:$B$29,0)),0),IFERROR(INDEX(Pension_Model!$D$2:$D$29,MATCH(H302,Pension_Model!$B$2:$B$29,0)),0),IFERROR(INDEX(Pension_Model!$D$2:$D$29,MATCH(H303,Pension_Model!$B$2:$B$29,0)),0),IFERROR(INDEX(Pension_Model!$D$2:$D$29,MATCH(H304,Pension_Model!$B$2:$B$29,0)),0)),0))))))</f>
        <v>0.05</v>
      </c>
      <c r="Q300" s="28">
        <f>Population_Data!$B$15*P300</f>
        <v>660600</v>
      </c>
      <c r="S300">
        <f t="shared" si="4"/>
        <v>1792112.3786675183</v>
      </c>
      <c r="U300" s="33">
        <f>S300/Population_Data!$B$19</f>
        <v>3.2465803961368084E-2</v>
      </c>
    </row>
    <row r="301" spans="1:21">
      <c r="A301" s="25">
        <f>Calendar!A301</f>
        <v>46534</v>
      </c>
      <c r="B301" t="str">
        <f>Calendar!L301</f>
        <v>Yes</v>
      </c>
      <c r="C301" t="str">
        <f>Calendar!O301</f>
        <v>No</v>
      </c>
      <c r="D301" t="str">
        <f>Calendar!P301</f>
        <v>No</v>
      </c>
      <c r="E301" t="str">
        <f>Calendar!Q301</f>
        <v>Yes</v>
      </c>
      <c r="F301" t="str">
        <f>Calendar!I301</f>
        <v>Thursday</v>
      </c>
      <c r="G301">
        <f>Calendar!S301</f>
        <v>12</v>
      </c>
      <c r="H301">
        <f>Calendar!T301</f>
        <v>26</v>
      </c>
      <c r="I301" s="27">
        <f>IF(VLOOKUP(A301,Calendar!$A$1:$R$1377,18,0)=0,0,IF(VLOOKUP(A301,Calendar!$A$1:$R$1377,18,0)=1,INDEX(Monthly_Pay_Model!$A$9:$D$40,MATCH(TEXT(A301,"dd"),Monthly_Pay_Model!$C$9:$C$39,0),4),IF(VLOOKUP(A301,Calendar!$A$1:$R$1377,18,0)=2,SUM(INDEX(Monthly_Pay_Model!$A$9:$D$40,MATCH(TEXT(A301,"dd"),Monthly_Pay_Model!$C$9:$C$39,0),4),INDEX(Monthly_Pay_Model!$A$9:$D$40,MATCH(TEXT(A302,"dd"),Monthly_Pay_Model!$C$9:$C$39,0),4)),IF(VLOOKUP(A301,Calendar!$A$1:$R$1377,18,0)=3,SUM(INDEX(Monthly_Pay_Model!$A$9:$D$40,MATCH(TEXT(A301,"dd"),Monthly_Pay_Model!$C$9:$C$39,0),4),INDEX(Monthly_Pay_Model!$A$9:$D$40,MATCH(TEXT(A302,"dd"),Monthly_Pay_Model!$C$9:$C$39,0),4),INDEX(Monthly_Pay_Model!$A$9:$D$40,MATCH(TEXT(A303,"dd"),Monthly_Pay_Model!$C$9:$C$39,0),4)),IF(VLOOKUP(A301,Calendar!$A$1:$R$1377,18,0)=4,SUM(INDEX(Monthly_Pay_Model!$A$9:$D$40,MATCH(TEXT(A301,"dd"),Monthly_Pay_Model!$C$9:$C$39,0),4),INDEX(Monthly_Pay_Model!$A$9:$D$40,MATCH(TEXT(A302,"dd"),Monthly_Pay_Model!$C$9:$C$39,0),4),INDEX(Monthly_Pay_Model!$A$9:$D$40,MATCH(TEXT(A303,"dd"),Monthly_Pay_Model!$C$9:$C$39,0),4),INDEX(Monthly_Pay_Model!$A$9:$D$40,MATCH(TEXT(A304,"dd"),Monthly_Pay_Model!$C$9:$C$39,0),4)),IF(VLOOKUP(A301,Calendar!$A$1:$R$1377,18,0)=5,SUM(INDEX(Monthly_Pay_Model!$A$9:$D$40,MATCH(TEXT(A301,"dd"),Monthly_Pay_Model!$C$9:$C$39,0),4),INDEX(Monthly_Pay_Model!$A$9:$D$40,MATCH(TEXT(A302,"dd"),Monthly_Pay_Model!$C$9:$C$39,0),4),INDEX(Monthly_Pay_Model!$A$9:$D$40,MATCH(TEXT(A303,"dd"),Monthly_Pay_Model!$C$9:$C$39,0),4),INDEX(Monthly_Pay_Model!$A$9:$D$40,MATCH(TEXT(A304,"dd"),Monthly_Pay_Model!$C$9:$C$39,0),4),INDEX(Monthly_Pay_Model!$A$9:$D$40,MATCH(TEXT(A305,"dd"),Monthly_Pay_Model!$C$9:$C$39,0),4)),))))))</f>
        <v>9.7507853403141324E-3</v>
      </c>
      <c r="J301" s="33">
        <f>IF(C301="Yes",Monthly_Pay_Model!$D$2,0)
+IF(Calendar!N301="Yes",Monthly_Pay_Model!$D$3,0)
+IF(D301="Yes",Monthly_Pay_Model!$D$4,0)
+IF(E301="Yes",Monthly_Pay_Model!$D$5,0)</f>
        <v>5.4320000000000007E-2</v>
      </c>
      <c r="K301" s="27">
        <f>IF(VLOOKUP($A301,Calendar!$A$1:$R$1377,18,0)=0,0,IF(VLOOKUP($A301,Calendar!$A$1:$R$1377,18,0)=1,IFERROR(INDEX(Weekly_Model!$D$2:$D$9,MATCH(F301,Weekly_Model!$A$2:$A$9,0)),0),IF(VLOOKUP($A301,Calendar!$A$1:$R$1377,18,0)=2,SUM(IFERROR(INDEX(Weekly_Model!$D$2:$D$9,MATCH(F301,Weekly_Model!$A$2:$A$9,0)),0),IFERROR(INDEX(Weekly_Model!$D$2:$D$9,MATCH(F302,Weekly_Model!$A$2:$A$9,0)),0)),IF(VLOOKUP($A301,Calendar!$A$1:$R$1377,18,0)=3,SUM(IFERROR(INDEX(Weekly_Model!$D$2:$D$9,MATCH(F301,Weekly_Model!$A$2:$A$9,0)),0),IFERROR(INDEX(Weekly_Model!$D$2:$D$9,MATCH(F302,Weekly_Model!$A$2:$A$9,0)),0),IFERROR(INDEX(Weekly_Model!$D$2:$D$9,MATCH(F303,Weekly_Model!$A$2:$A$9,0)),0)),IF(VLOOKUP($A301,Calendar!$A$1:$R$1377,18,0)=4,SUM(IFERROR(INDEX(Weekly_Model!$D$2:$D$9,MATCH(F301,Weekly_Model!$A$2:$A$9,0)),0),IFERROR(INDEX(Weekly_Model!$D$2:$D$9,MATCH(F302,Weekly_Model!$A$2:$A$9,0)),0),IFERROR(INDEX(Weekly_Model!$D$2:$D$9,MATCH(F303,Weekly_Model!$A$2:$A$9,0)),0),IFERROR(INDEX(Weekly_Model!$D$2:$D$9,MATCH(F304,Weekly_Model!$A$2:$A$9,0)),0)),IF(VLOOKUP($A301,Calendar!$A$1:$R$1377,18,0)=5,SUM(IFERROR(INDEX(Weekly_Model!$D$2:$D$9,MATCH(F301,Weekly_Model!$A$2:$A$9,0)),0),IFERROR(INDEX(Weekly_Model!$D$2:$D$9,MATCH(F302,Weekly_Model!$A$2:$A$9,0)),0),IFERROR(INDEX(Weekly_Model!$D$2:$D$9,MATCH(F303,Weekly_Model!$A$2:$A$9,0)),0),IFERROR(INDEX(Weekly_Model!$D$2:$D$9,MATCH(F304,Weekly_Model!$A$2:$A$9,0)),0),IFERROR(INDEX(Weekly_Model!$D$2:$D$9,MATCH(F305,Weekly_Model!$A$2:$A$9,0)),0)),0))))))</f>
        <v>2.3200000000000002E-2</v>
      </c>
      <c r="L301" s="27">
        <f>IF(VLOOKUP($A301,Calendar!$A$1:$R$1377,18,0)=0,0,IF(VLOOKUP($A301,Calendar!$A$1:$R$1377,18,0)=1,IFERROR(INDEX(Fortnightly_Model!$D$2:$D$15,MATCH(G301,Fortnightly_Model!$B$2:$B$15,0)),0),IF(VLOOKUP($A301,Calendar!$A$1:$R$1377,18,0)=2,SUM(IFERROR(INDEX(Fortnightly_Model!$D$2:$D$15,MATCH(G301,Fortnightly_Model!$B$2:$B$15,0)),0),IFERROR(INDEX(Fortnightly_Model!$D$2:$D$15,MATCH(G302,Fortnightly_Model!$B$2:$B$15,0)),0)),IF(VLOOKUP($A301,Calendar!$A$1:$R$1377,18,0)=3,SUM(IFERROR(INDEX(Fortnightly_Model!$D$2:$D$15,MATCH(G301,Fortnightly_Model!$B$2:$B$15,0)),0),IFERROR(INDEX(Fortnightly_Model!$D$2:$D$15,MATCH(G302,Fortnightly_Model!$B$2:$B$15,0)),0),IFERROR(INDEX(Fortnightly_Model!$D$2:$D$15,MATCH(G303,Fortnightly_Model!$B$2:$B$15,0)),0)),IF(VLOOKUP($A301,Calendar!$A$1:$R$1377,18,0)=4,SUM(IFERROR(INDEX(Fortnightly_Model!$D$2:$D$15,MATCH(G301,Fortnightly_Model!$B$2:$B$15,0)),0),IFERROR(INDEX(Fortnightly_Model!$D$2:$D$15,MATCH(G302,Fortnightly_Model!$B$2:$B$15,0)),0),IFERROR(INDEX(Fortnightly_Model!$D$2:$D$15,MATCH(G303,Fortnightly_Model!$B$2:$B$15,0)),0),IFERROR(INDEX(Fortnightly_Model!$D$2:$D$15,MATCH(G304,Fortnightly_Model!$B$2:$B$15,0)),0)),IF(VLOOKUP($A301,Calendar!$A$1:$R$1377,18,0)=5,SUM(IFERROR(INDEX(Fortnightly_Model!$D$2:$D$15,MATCH(G301,Fortnightly_Model!$B$2:$B$15,0)),0),IFERROR(INDEX(Fortnightly_Model!$D$2:$D$15,MATCH(G302,Fortnightly_Model!$B$2:$B$15,0)),0),IFERROR(INDEX(Fortnightly_Model!$D$2:$D$15,MATCH(G303,Fortnightly_Model!$B$2:$B$15,0)),0),IFERROR(INDEX(Fortnightly_Model!$D$2:$D$15,MATCH(G304,Fortnightly_Model!$B$2:$B$15,0)),0),IFERROR(INDEX(Fortnightly_Model!$D$2:$D$15,MATCH(G305,Fortnightly_Model!$B$2:$B$15,0)),0)),0))))))</f>
        <v>1.0714285499999999E-3</v>
      </c>
      <c r="M301" s="27">
        <f>IF(VLOOKUP($A301,Calendar!$A$1:$R$1377,18,0)=0,0,IF(VLOOKUP($A301,Calendar!$A$1:$R$1377,18,0)=1,IFERROR(INDEX(FourWeekly_Model!$D$2:$D$29,MATCH(H301,FourWeekly_Model!$B$2:$B$29,0)),0),IF(VLOOKUP($A301,Calendar!$A$1:$R$1377,18,0)=2,SUM(IFERROR(INDEX(FourWeekly_Model!$D$2:$D$29,MATCH(H301,FourWeekly_Model!$B$2:$B$29,0)),0),IFERROR(INDEX(FourWeekly_Model!$D$2:$D$29,MATCH(H302,FourWeekly_Model!$B$2:$B$29,0)),0)),IF(VLOOKUP($A301,Calendar!$A$1:$R$1377,18,0)=3,SUM(IFERROR(INDEX(FourWeekly_Model!$D$2:$D$29,MATCH(H301,FourWeekly_Model!$B$2:$B$29,0)),0),IFERROR(INDEX(FourWeekly_Model!$D$2:$D$29,MATCH(H302,FourWeekly_Model!$B$2:$B$29,0)),0),IFERROR(INDEX(FourWeekly_Model!$D$2:$D$29,MATCH(H303,FourWeekly_Model!$B$2:$B$29,0)),0)),IF(VLOOKUP($A301,Calendar!$A$1:$R$1377,18,0)=4,SUM(IFERROR(INDEX(FourWeekly_Model!$D$2:$D$29,MATCH(H301,FourWeekly_Model!$B$2:$B$29,0)),0),IFERROR(INDEX(FourWeekly_Model!$D$2:$D$29,MATCH(H302,FourWeekly_Model!$B$2:$B$29,0)),0),IFERROR(INDEX(FourWeekly_Model!$D$2:$D$29,MATCH(H303,FourWeekly_Model!$B$2:$B$29,0)),0),IFERROR(INDEX(FourWeekly_Model!$D$2:$D$29,MATCH(H304,FourWeekly_Model!$B$2:$B$29,0)),0)),IF(VLOOKUP($A301,Calendar!$A$1:$R$1377,18,0)=5,SUM(IFERROR(INDEX(FourWeekly_Model!$D$2:$D$29,MATCH(H301,FourWeekly_Model!$B$2:$B$29,0)),0),IFERROR(INDEX(FourWeekly_Model!$D$2:$D$29,MATCH(H302,FourWeekly_Model!$B$2:$B$29,0)),0),IFERROR(INDEX(FourWeekly_Model!$D$2:$D$29,MATCH(H303,FourWeekly_Model!$B$2:$B$29,0)),0),IFERROR(INDEX(FourWeekly_Model!$D$2:$D$29,MATCH(H304,FourWeekly_Model!$B$2:$B$29,0)),0),IFERROR(INDEX(FourWeekly_Model!$D$2:$D$29,MATCH(H305,FourWeekly_Model!$B$2:$B$29,0)),0)),0))))))</f>
        <v>3.3214289700000004E-3</v>
      </c>
      <c r="N301" s="27">
        <f>SUM(I301:M301)</f>
        <v>9.1663642860314143E-2</v>
      </c>
      <c r="O301" s="28">
        <f>Population_Data!$B$8*N301</f>
        <v>2777408.3786675185</v>
      </c>
      <c r="P301" s="27">
        <f>IF(VLOOKUP($A301,Calendar!$A$1:$R$1377,18,0)=0,0,IF(VLOOKUP($A301,Calendar!$A$1:$R$1377,18,0)=1,IFERROR(INDEX(Pension_Model!$D$2:$D$29,MATCH(H301,Pension_Model!$B$2:$B$29,0)),0),IF(VLOOKUP($A301,Calendar!$A$1:$R$1377,18,0)=2,SUM(IFERROR(INDEX(Pension_Model!$D$2:$D$29,MATCH(H301,Pension_Model!$B$2:$B$29,0)),0),IFERROR(INDEX(Pension_Model!$D$2:$D$29,MATCH(H302,Pension_Model!$B$2:$B$29,0)),0)),IF(VLOOKUP($A301,Calendar!$A$1:$R$1377,18,0)=3,SUM(IFERROR(INDEX(Pension_Model!$D$2:$D$29,MATCH(H301,Pension_Model!$B$2:$B$29,0)),0),IFERROR(INDEX(Pension_Model!$D$2:$D$29,MATCH(H302,Pension_Model!$B$2:$B$29,0)),0),IFERROR(INDEX(Pension_Model!$D$2:$D$29,MATCH(H303,Pension_Model!$B$2:$B$29,0)),0)),IF(VLOOKUP($A301,Calendar!$A$1:$R$1377,18,0)=4,SUM(IFERROR(INDEX(Pension_Model!$D$2:$D$29,MATCH(H301,Pension_Model!$B$2:$B$29,0)),0),IFERROR(INDEX(Pension_Model!$D$2:$D$29,MATCH(H302,Pension_Model!$B$2:$B$29,0)),0),IFERROR(INDEX(Pension_Model!$D$2:$D$29,MATCH(H303,Pension_Model!$B$2:$B$29,0)),0),IFERROR(INDEX(Pension_Model!$D$2:$D$29,MATCH(H304,Pension_Model!$B$2:$B$29,0)),0)),IF(VLOOKUP($A301,Calendar!$A$1:$R$1377,18,0)=5,SUM(IFERROR(INDEX(Pension_Model!$D$2:$D$29,MATCH(H301,Pension_Model!$B$2:$B$29,0)),0),IFERROR(INDEX(Pension_Model!$D$2:$D$29,MATCH(H302,Pension_Model!$B$2:$B$29,0)),0),IFERROR(INDEX(Pension_Model!$D$2:$D$29,MATCH(H303,Pension_Model!$B$2:$B$29,0)),0),IFERROR(INDEX(Pension_Model!$D$2:$D$29,MATCH(H304,Pension_Model!$B$2:$B$29,0)),0),IFERROR(INDEX(Pension_Model!$D$2:$D$29,MATCH(H305,Pension_Model!$B$2:$B$29,0)),0)),0))))))</f>
        <v>0.05</v>
      </c>
      <c r="Q301" s="28">
        <f>Population_Data!$B$15*P301</f>
        <v>660600</v>
      </c>
      <c r="S301">
        <f t="shared" si="4"/>
        <v>3438008.3786675185</v>
      </c>
      <c r="U301" s="33">
        <f>S301/Population_Data!$B$19</f>
        <v>6.228276048310722E-2</v>
      </c>
    </row>
    <row r="302" spans="1:21">
      <c r="A302" s="25">
        <f>Calendar!A302</f>
        <v>46535</v>
      </c>
      <c r="B302" t="str">
        <f>Calendar!L302</f>
        <v>Yes</v>
      </c>
      <c r="C302" t="str">
        <f>Calendar!O302</f>
        <v>Yes</v>
      </c>
      <c r="D302" t="str">
        <f>Calendar!P302</f>
        <v>Yes</v>
      </c>
      <c r="E302" t="str">
        <f>Calendar!Q302</f>
        <v>No</v>
      </c>
      <c r="F302" t="str">
        <f>Calendar!I302</f>
        <v>Friday</v>
      </c>
      <c r="G302">
        <f>Calendar!S302</f>
        <v>13</v>
      </c>
      <c r="H302">
        <f>Calendar!T302</f>
        <v>27</v>
      </c>
      <c r="I302" s="27">
        <f>IF(VLOOKUP(A302,Calendar!$A$1:$R$1377,18,0)=0,0,IF(VLOOKUP(A302,Calendar!$A$1:$R$1377,18,0)=1,INDEX(Monthly_Pay_Model!$A$9:$D$40,MATCH(TEXT(A302,"dd"),Monthly_Pay_Model!$C$9:$C$39,0),4),IF(VLOOKUP(A302,Calendar!$A$1:$R$1377,18,0)=2,SUM(INDEX(Monthly_Pay_Model!$A$9:$D$40,MATCH(TEXT(A302,"dd"),Monthly_Pay_Model!$C$9:$C$39,0),4),INDEX(Monthly_Pay_Model!$A$9:$D$40,MATCH(TEXT(A303,"dd"),Monthly_Pay_Model!$C$9:$C$39,0),4)),IF(VLOOKUP(A302,Calendar!$A$1:$R$1377,18,0)=3,SUM(INDEX(Monthly_Pay_Model!$A$9:$D$40,MATCH(TEXT(A302,"dd"),Monthly_Pay_Model!$C$9:$C$39,0),4),INDEX(Monthly_Pay_Model!$A$9:$D$40,MATCH(TEXT(A303,"dd"),Monthly_Pay_Model!$C$9:$C$39,0),4),INDEX(Monthly_Pay_Model!$A$9:$D$40,MATCH(TEXT(A304,"dd"),Monthly_Pay_Model!$C$9:$C$39,0),4)),IF(VLOOKUP(A302,Calendar!$A$1:$R$1377,18,0)=4,SUM(INDEX(Monthly_Pay_Model!$A$9:$D$40,MATCH(TEXT(A302,"dd"),Monthly_Pay_Model!$C$9:$C$39,0),4),INDEX(Monthly_Pay_Model!$A$9:$D$40,MATCH(TEXT(A303,"dd"),Monthly_Pay_Model!$C$9:$C$39,0),4),INDEX(Monthly_Pay_Model!$A$9:$D$40,MATCH(TEXT(A304,"dd"),Monthly_Pay_Model!$C$9:$C$39,0),4),INDEX(Monthly_Pay_Model!$A$9:$D$40,MATCH(TEXT(A305,"dd"),Monthly_Pay_Model!$C$9:$C$39,0),4)),IF(VLOOKUP(A302,Calendar!$A$1:$R$1377,18,0)=5,SUM(INDEX(Monthly_Pay_Model!$A$9:$D$40,MATCH(TEXT(A302,"dd"),Monthly_Pay_Model!$C$9:$C$39,0),4),INDEX(Monthly_Pay_Model!$A$9:$D$40,MATCH(TEXT(A303,"dd"),Monthly_Pay_Model!$C$9:$C$39,0),4),INDEX(Monthly_Pay_Model!$A$9:$D$40,MATCH(TEXT(A304,"dd"),Monthly_Pay_Model!$C$9:$C$39,0),4),INDEX(Monthly_Pay_Model!$A$9:$D$40,MATCH(TEXT(A305,"dd"),Monthly_Pay_Model!$C$9:$C$39,0),4),INDEX(Monthly_Pay_Model!$A$9:$D$40,MATCH(TEXT(A306,"dd"),Monthly_Pay_Model!$C$9:$C$39,0),4)),))))))</f>
        <v>3.5752879581151829E-2</v>
      </c>
      <c r="J302" s="33">
        <f>IF(C302="Yes",Monthly_Pay_Model!$D$2,0)
+IF(Calendar!N302="Yes",Monthly_Pay_Model!$D$3,0)
+IF(D302="Yes",Monthly_Pay_Model!$D$4,0)
+IF(E302="Yes",Monthly_Pay_Model!$D$5,0)</f>
        <v>0.44231999999999999</v>
      </c>
      <c r="K302" s="27">
        <f>IF(VLOOKUP($A302,Calendar!$A$1:$R$1377,18,0)=0,0,IF(VLOOKUP($A302,Calendar!$A$1:$R$1377,18,0)=1,IFERROR(INDEX(Weekly_Model!$D$2:$D$9,MATCH(F302,Weekly_Model!$A$2:$A$9,0)),0),IF(VLOOKUP($A302,Calendar!$A$1:$R$1377,18,0)=2,SUM(IFERROR(INDEX(Weekly_Model!$D$2:$D$9,MATCH(F302,Weekly_Model!$A$2:$A$9,0)),0),IFERROR(INDEX(Weekly_Model!$D$2:$D$9,MATCH(F303,Weekly_Model!$A$2:$A$9,0)),0)),IF(VLOOKUP($A302,Calendar!$A$1:$R$1377,18,0)=3,SUM(IFERROR(INDEX(Weekly_Model!$D$2:$D$9,MATCH(F302,Weekly_Model!$A$2:$A$9,0)),0),IFERROR(INDEX(Weekly_Model!$D$2:$D$9,MATCH(F303,Weekly_Model!$A$2:$A$9,0)),0),IFERROR(INDEX(Weekly_Model!$D$2:$D$9,MATCH(F304,Weekly_Model!$A$2:$A$9,0)),0)),IF(VLOOKUP($A302,Calendar!$A$1:$R$1377,18,0)=4,SUM(IFERROR(INDEX(Weekly_Model!$D$2:$D$9,MATCH(F302,Weekly_Model!$A$2:$A$9,0)),0),IFERROR(INDEX(Weekly_Model!$D$2:$D$9,MATCH(F303,Weekly_Model!$A$2:$A$9,0)),0),IFERROR(INDEX(Weekly_Model!$D$2:$D$9,MATCH(F304,Weekly_Model!$A$2:$A$9,0)),0),IFERROR(INDEX(Weekly_Model!$D$2:$D$9,MATCH(F305,Weekly_Model!$A$2:$A$9,0)),0)),IF(VLOOKUP($A302,Calendar!$A$1:$R$1377,18,0)=5,SUM(IFERROR(INDEX(Weekly_Model!$D$2:$D$9,MATCH(F302,Weekly_Model!$A$2:$A$9,0)),0),IFERROR(INDEX(Weekly_Model!$D$2:$D$9,MATCH(F303,Weekly_Model!$A$2:$A$9,0)),0),IFERROR(INDEX(Weekly_Model!$D$2:$D$9,MATCH(F304,Weekly_Model!$A$2:$A$9,0)),0),IFERROR(INDEX(Weekly_Model!$D$2:$D$9,MATCH(F305,Weekly_Model!$A$2:$A$9,0)),0),IFERROR(INDEX(Weekly_Model!$D$2:$D$9,MATCH(F306,Weekly_Model!$A$2:$A$9,0)),0)),0))))))</f>
        <v>4.6400000000000004E-2</v>
      </c>
      <c r="L302" s="27">
        <f>IF(VLOOKUP($A302,Calendar!$A$1:$R$1377,18,0)=0,0,IF(VLOOKUP($A302,Calendar!$A$1:$R$1377,18,0)=1,IFERROR(INDEX(Fortnightly_Model!$D$2:$D$15,MATCH(G302,Fortnightly_Model!$B$2:$B$15,0)),0),IF(VLOOKUP($A302,Calendar!$A$1:$R$1377,18,0)=2,SUM(IFERROR(INDEX(Fortnightly_Model!$D$2:$D$15,MATCH(G302,Fortnightly_Model!$B$2:$B$15,0)),0),IFERROR(INDEX(Fortnightly_Model!$D$2:$D$15,MATCH(G303,Fortnightly_Model!$B$2:$B$15,0)),0)),IF(VLOOKUP($A302,Calendar!$A$1:$R$1377,18,0)=3,SUM(IFERROR(INDEX(Fortnightly_Model!$D$2:$D$15,MATCH(G302,Fortnightly_Model!$B$2:$B$15,0)),0),IFERROR(INDEX(Fortnightly_Model!$D$2:$D$15,MATCH(G303,Fortnightly_Model!$B$2:$B$15,0)),0),IFERROR(INDEX(Fortnightly_Model!$D$2:$D$15,MATCH(G304,Fortnightly_Model!$B$2:$B$15,0)),0)),IF(VLOOKUP($A302,Calendar!$A$1:$R$1377,18,0)=4,SUM(IFERROR(INDEX(Fortnightly_Model!$D$2:$D$15,MATCH(G302,Fortnightly_Model!$B$2:$B$15,0)),0),IFERROR(INDEX(Fortnightly_Model!$D$2:$D$15,MATCH(G303,Fortnightly_Model!$B$2:$B$15,0)),0),IFERROR(INDEX(Fortnightly_Model!$D$2:$D$15,MATCH(G304,Fortnightly_Model!$B$2:$B$15,0)),0),IFERROR(INDEX(Fortnightly_Model!$D$2:$D$15,MATCH(G305,Fortnightly_Model!$B$2:$B$15,0)),0)),IF(VLOOKUP($A302,Calendar!$A$1:$R$1377,18,0)=5,SUM(IFERROR(INDEX(Fortnightly_Model!$D$2:$D$15,MATCH(G302,Fortnightly_Model!$B$2:$B$15,0)),0),IFERROR(INDEX(Fortnightly_Model!$D$2:$D$15,MATCH(G303,Fortnightly_Model!$B$2:$B$15,0)),0),IFERROR(INDEX(Fortnightly_Model!$D$2:$D$15,MATCH(G304,Fortnightly_Model!$B$2:$B$15,0)),0),IFERROR(INDEX(Fortnightly_Model!$D$2:$D$15,MATCH(G305,Fortnightly_Model!$B$2:$B$15,0)),0),IFERROR(INDEX(Fortnightly_Model!$D$2:$D$15,MATCH(G306,Fortnightly_Model!$B$2:$B$15,0)),0)),0))))))</f>
        <v>4.2857141999999996E-3</v>
      </c>
      <c r="M302" s="27">
        <f>IF(VLOOKUP($A302,Calendar!$A$1:$R$1377,18,0)=0,0,IF(VLOOKUP($A302,Calendar!$A$1:$R$1377,18,0)=1,IFERROR(INDEX(FourWeekly_Model!$D$2:$D$29,MATCH(H302,FourWeekly_Model!$B$2:$B$29,0)),0),IF(VLOOKUP($A302,Calendar!$A$1:$R$1377,18,0)=2,SUM(IFERROR(INDEX(FourWeekly_Model!$D$2:$D$29,MATCH(H302,FourWeekly_Model!$B$2:$B$29,0)),0),IFERROR(INDEX(FourWeekly_Model!$D$2:$D$29,MATCH(H303,FourWeekly_Model!$B$2:$B$29,0)),0)),IF(VLOOKUP($A302,Calendar!$A$1:$R$1377,18,0)=3,SUM(IFERROR(INDEX(FourWeekly_Model!$D$2:$D$29,MATCH(H302,FourWeekly_Model!$B$2:$B$29,0)),0),IFERROR(INDEX(FourWeekly_Model!$D$2:$D$29,MATCH(H303,FourWeekly_Model!$B$2:$B$29,0)),0),IFERROR(INDEX(FourWeekly_Model!$D$2:$D$29,MATCH(H304,FourWeekly_Model!$B$2:$B$29,0)),0)),IF(VLOOKUP($A302,Calendar!$A$1:$R$1377,18,0)=4,SUM(IFERROR(INDEX(FourWeekly_Model!$D$2:$D$29,MATCH(H302,FourWeekly_Model!$B$2:$B$29,0)),0),IFERROR(INDEX(FourWeekly_Model!$D$2:$D$29,MATCH(H303,FourWeekly_Model!$B$2:$B$29,0)),0),IFERROR(INDEX(FourWeekly_Model!$D$2:$D$29,MATCH(H304,FourWeekly_Model!$B$2:$B$29,0)),0),IFERROR(INDEX(FourWeekly_Model!$D$2:$D$29,MATCH(H305,FourWeekly_Model!$B$2:$B$29,0)),0)),IF(VLOOKUP($A302,Calendar!$A$1:$R$1377,18,0)=5,SUM(IFERROR(INDEX(FourWeekly_Model!$D$2:$D$29,MATCH(H302,FourWeekly_Model!$B$2:$B$29,0)),0),IFERROR(INDEX(FourWeekly_Model!$D$2:$D$29,MATCH(H303,FourWeekly_Model!$B$2:$B$29,0)),0),IFERROR(INDEX(FourWeekly_Model!$D$2:$D$29,MATCH(H304,FourWeekly_Model!$B$2:$B$29,0)),0),IFERROR(INDEX(FourWeekly_Model!$D$2:$D$29,MATCH(H305,FourWeekly_Model!$B$2:$B$29,0)),0),IFERROR(INDEX(FourWeekly_Model!$D$2:$D$29,MATCH(H306,FourWeekly_Model!$B$2:$B$29,0)),0)),0))))))</f>
        <v>1.3285714950000001E-2</v>
      </c>
      <c r="N302" s="27">
        <f>SUM(I302:M302)</f>
        <v>0.54204430873115184</v>
      </c>
      <c r="O302" s="28">
        <f>Population_Data!$B$8*N302</f>
        <v>16423942.5545539</v>
      </c>
      <c r="P302" s="27">
        <f>IF(VLOOKUP($A302,Calendar!$A$1:$R$1377,18,0)=0,0,IF(VLOOKUP($A302,Calendar!$A$1:$R$1377,18,0)=1,IFERROR(INDEX(Pension_Model!$D$2:$D$29,MATCH(H302,Pension_Model!$B$2:$B$29,0)),0),IF(VLOOKUP($A302,Calendar!$A$1:$R$1377,18,0)=2,SUM(IFERROR(INDEX(Pension_Model!$D$2:$D$29,MATCH(H302,Pension_Model!$B$2:$B$29,0)),0),IFERROR(INDEX(Pension_Model!$D$2:$D$29,MATCH(H303,Pension_Model!$B$2:$B$29,0)),0)),IF(VLOOKUP($A302,Calendar!$A$1:$R$1377,18,0)=3,SUM(IFERROR(INDEX(Pension_Model!$D$2:$D$29,MATCH(H302,Pension_Model!$B$2:$B$29,0)),0),IFERROR(INDEX(Pension_Model!$D$2:$D$29,MATCH(H303,Pension_Model!$B$2:$B$29,0)),0),IFERROR(INDEX(Pension_Model!$D$2:$D$29,MATCH(H304,Pension_Model!$B$2:$B$29,0)),0)),IF(VLOOKUP($A302,Calendar!$A$1:$R$1377,18,0)=4,SUM(IFERROR(INDEX(Pension_Model!$D$2:$D$29,MATCH(H302,Pension_Model!$B$2:$B$29,0)),0),IFERROR(INDEX(Pension_Model!$D$2:$D$29,MATCH(H303,Pension_Model!$B$2:$B$29,0)),0),IFERROR(INDEX(Pension_Model!$D$2:$D$29,MATCH(H304,Pension_Model!$B$2:$B$29,0)),0),IFERROR(INDEX(Pension_Model!$D$2:$D$29,MATCH(H305,Pension_Model!$B$2:$B$29,0)),0)),IF(VLOOKUP($A302,Calendar!$A$1:$R$1377,18,0)=5,SUM(IFERROR(INDEX(Pension_Model!$D$2:$D$29,MATCH(H302,Pension_Model!$B$2:$B$29,0)),0),IFERROR(INDEX(Pension_Model!$D$2:$D$29,MATCH(H303,Pension_Model!$B$2:$B$29,0)),0),IFERROR(INDEX(Pension_Model!$D$2:$D$29,MATCH(H304,Pension_Model!$B$2:$B$29,0)),0),IFERROR(INDEX(Pension_Model!$D$2:$D$29,MATCH(H305,Pension_Model!$B$2:$B$29,0)),0),IFERROR(INDEX(Pension_Model!$D$2:$D$29,MATCH(H306,Pension_Model!$B$2:$B$29,0)),0)),0))))))</f>
        <v>0.1</v>
      </c>
      <c r="Q302" s="28">
        <f>Population_Data!$B$15*P302</f>
        <v>1321200</v>
      </c>
      <c r="S302">
        <f t="shared" si="4"/>
        <v>17745142.5545539</v>
      </c>
      <c r="U302" s="33">
        <f>S302/Population_Data!$B$19</f>
        <v>0.32146997381438225</v>
      </c>
    </row>
    <row r="303" spans="1:21">
      <c r="A303" s="25">
        <f>Calendar!A303</f>
        <v>46536</v>
      </c>
      <c r="B303" t="str">
        <f>Calendar!L303</f>
        <v>No</v>
      </c>
      <c r="C303" t="str">
        <f>Calendar!O303</f>
        <v>No</v>
      </c>
      <c r="D303" t="str">
        <f>Calendar!P303</f>
        <v>No</v>
      </c>
      <c r="E303" t="str">
        <f>Calendar!Q303</f>
        <v>No</v>
      </c>
      <c r="F303" t="str">
        <f>Calendar!I303</f>
        <v>Saturday</v>
      </c>
      <c r="G303">
        <f>Calendar!S303</f>
        <v>0</v>
      </c>
      <c r="H303">
        <f>Calendar!T303</f>
        <v>0</v>
      </c>
      <c r="I303" s="27">
        <f>IF(VLOOKUP(A303,Calendar!$A$1:$R$1377,18,0)=0,0,IF(VLOOKUP(A303,Calendar!$A$1:$R$1377,18,0)=1,INDEX(Monthly_Pay_Model!$A$9:$D$40,MATCH(TEXT(A303,"dd"),Monthly_Pay_Model!$C$9:$C$39,0),4),IF(VLOOKUP(A303,Calendar!$A$1:$R$1377,18,0)=2,SUM(INDEX(Monthly_Pay_Model!$A$9:$D$40,MATCH(TEXT(A303,"dd"),Monthly_Pay_Model!$C$9:$C$39,0),4),INDEX(Monthly_Pay_Model!$A$9:$D$40,MATCH(TEXT(A304,"dd"),Monthly_Pay_Model!$C$9:$C$39,0),4)),IF(VLOOKUP(A303,Calendar!$A$1:$R$1377,18,0)=3,SUM(INDEX(Monthly_Pay_Model!$A$9:$D$40,MATCH(TEXT(A303,"dd"),Monthly_Pay_Model!$C$9:$C$39,0),4),INDEX(Monthly_Pay_Model!$A$9:$D$40,MATCH(TEXT(A304,"dd"),Monthly_Pay_Model!$C$9:$C$39,0),4),INDEX(Monthly_Pay_Model!$A$9:$D$40,MATCH(TEXT(A305,"dd"),Monthly_Pay_Model!$C$9:$C$39,0),4)),IF(VLOOKUP(A303,Calendar!$A$1:$R$1377,18,0)=4,SUM(INDEX(Monthly_Pay_Model!$A$9:$D$40,MATCH(TEXT(A303,"dd"),Monthly_Pay_Model!$C$9:$C$39,0),4),INDEX(Monthly_Pay_Model!$A$9:$D$40,MATCH(TEXT(A304,"dd"),Monthly_Pay_Model!$C$9:$C$39,0),4),INDEX(Monthly_Pay_Model!$A$9:$D$40,MATCH(TEXT(A305,"dd"),Monthly_Pay_Model!$C$9:$C$39,0),4),INDEX(Monthly_Pay_Model!$A$9:$D$40,MATCH(TEXT(A306,"dd"),Monthly_Pay_Model!$C$9:$C$39,0),4)),IF(VLOOKUP(A303,Calendar!$A$1:$R$1377,18,0)=5,SUM(INDEX(Monthly_Pay_Model!$A$9:$D$40,MATCH(TEXT(A303,"dd"),Monthly_Pay_Model!$C$9:$C$39,0),4),INDEX(Monthly_Pay_Model!$A$9:$D$40,MATCH(TEXT(A304,"dd"),Monthly_Pay_Model!$C$9:$C$39,0),4),INDEX(Monthly_Pay_Model!$A$9:$D$40,MATCH(TEXT(A305,"dd"),Monthly_Pay_Model!$C$9:$C$39,0),4),INDEX(Monthly_Pay_Model!$A$9:$D$40,MATCH(TEXT(A306,"dd"),Monthly_Pay_Model!$C$9:$C$39,0),4),INDEX(Monthly_Pay_Model!$A$9:$D$40,MATCH(TEXT(A307,"dd"),Monthly_Pay_Model!$C$9:$C$39,0),4)),))))))</f>
        <v>0</v>
      </c>
      <c r="J303" s="33">
        <f>IF(C303="Yes",Monthly_Pay_Model!$D$2,0)
+IF(Calendar!N303="Yes",Monthly_Pay_Model!$D$3,0)
+IF(D303="Yes",Monthly_Pay_Model!$D$4,0)
+IF(E303="Yes",Monthly_Pay_Model!$D$5,0)</f>
        <v>0</v>
      </c>
      <c r="K303" s="27">
        <f>IF(VLOOKUP($A303,Calendar!$A$1:$R$1377,18,0)=0,0,IF(VLOOKUP($A303,Calendar!$A$1:$R$1377,18,0)=1,IFERROR(INDEX(Weekly_Model!$D$2:$D$9,MATCH(F303,Weekly_Model!$A$2:$A$9,0)),0),IF(VLOOKUP($A303,Calendar!$A$1:$R$1377,18,0)=2,SUM(IFERROR(INDEX(Weekly_Model!$D$2:$D$9,MATCH(F303,Weekly_Model!$A$2:$A$9,0)),0),IFERROR(INDEX(Weekly_Model!$D$2:$D$9,MATCH(F304,Weekly_Model!$A$2:$A$9,0)),0)),IF(VLOOKUP($A303,Calendar!$A$1:$R$1377,18,0)=3,SUM(IFERROR(INDEX(Weekly_Model!$D$2:$D$9,MATCH(F303,Weekly_Model!$A$2:$A$9,0)),0),IFERROR(INDEX(Weekly_Model!$D$2:$D$9,MATCH(F304,Weekly_Model!$A$2:$A$9,0)),0),IFERROR(INDEX(Weekly_Model!$D$2:$D$9,MATCH(F305,Weekly_Model!$A$2:$A$9,0)),0)),IF(VLOOKUP($A303,Calendar!$A$1:$R$1377,18,0)=4,SUM(IFERROR(INDEX(Weekly_Model!$D$2:$D$9,MATCH(F303,Weekly_Model!$A$2:$A$9,0)),0),IFERROR(INDEX(Weekly_Model!$D$2:$D$9,MATCH(F304,Weekly_Model!$A$2:$A$9,0)),0),IFERROR(INDEX(Weekly_Model!$D$2:$D$9,MATCH(F305,Weekly_Model!$A$2:$A$9,0)),0),IFERROR(INDEX(Weekly_Model!$D$2:$D$9,MATCH(F306,Weekly_Model!$A$2:$A$9,0)),0)),IF(VLOOKUP($A303,Calendar!$A$1:$R$1377,18,0)=5,SUM(IFERROR(INDEX(Weekly_Model!$D$2:$D$9,MATCH(F303,Weekly_Model!$A$2:$A$9,0)),0),IFERROR(INDEX(Weekly_Model!$D$2:$D$9,MATCH(F304,Weekly_Model!$A$2:$A$9,0)),0),IFERROR(INDEX(Weekly_Model!$D$2:$D$9,MATCH(F305,Weekly_Model!$A$2:$A$9,0)),0),IFERROR(INDEX(Weekly_Model!$D$2:$D$9,MATCH(F306,Weekly_Model!$A$2:$A$9,0)),0),IFERROR(INDEX(Weekly_Model!$D$2:$D$9,MATCH(F307,Weekly_Model!$A$2:$A$9,0)),0)),0))))))</f>
        <v>0</v>
      </c>
      <c r="L303" s="27">
        <f>IF(VLOOKUP($A303,Calendar!$A$1:$R$1377,18,0)=0,0,IF(VLOOKUP($A303,Calendar!$A$1:$R$1377,18,0)=1,IFERROR(INDEX(Fortnightly_Model!$D$2:$D$15,MATCH(G303,Fortnightly_Model!$B$2:$B$15,0)),0),IF(VLOOKUP($A303,Calendar!$A$1:$R$1377,18,0)=2,SUM(IFERROR(INDEX(Fortnightly_Model!$D$2:$D$15,MATCH(G303,Fortnightly_Model!$B$2:$B$15,0)),0),IFERROR(INDEX(Fortnightly_Model!$D$2:$D$15,MATCH(G304,Fortnightly_Model!$B$2:$B$15,0)),0)),IF(VLOOKUP($A303,Calendar!$A$1:$R$1377,18,0)=3,SUM(IFERROR(INDEX(Fortnightly_Model!$D$2:$D$15,MATCH(G303,Fortnightly_Model!$B$2:$B$15,0)),0),IFERROR(INDEX(Fortnightly_Model!$D$2:$D$15,MATCH(G304,Fortnightly_Model!$B$2:$B$15,0)),0),IFERROR(INDEX(Fortnightly_Model!$D$2:$D$15,MATCH(G305,Fortnightly_Model!$B$2:$B$15,0)),0)),IF(VLOOKUP($A303,Calendar!$A$1:$R$1377,18,0)=4,SUM(IFERROR(INDEX(Fortnightly_Model!$D$2:$D$15,MATCH(G303,Fortnightly_Model!$B$2:$B$15,0)),0),IFERROR(INDEX(Fortnightly_Model!$D$2:$D$15,MATCH(G304,Fortnightly_Model!$B$2:$B$15,0)),0),IFERROR(INDEX(Fortnightly_Model!$D$2:$D$15,MATCH(G305,Fortnightly_Model!$B$2:$B$15,0)),0),IFERROR(INDEX(Fortnightly_Model!$D$2:$D$15,MATCH(G306,Fortnightly_Model!$B$2:$B$15,0)),0)),IF(VLOOKUP($A303,Calendar!$A$1:$R$1377,18,0)=5,SUM(IFERROR(INDEX(Fortnightly_Model!$D$2:$D$15,MATCH(G303,Fortnightly_Model!$B$2:$B$15,0)),0),IFERROR(INDEX(Fortnightly_Model!$D$2:$D$15,MATCH(G304,Fortnightly_Model!$B$2:$B$15,0)),0),IFERROR(INDEX(Fortnightly_Model!$D$2:$D$15,MATCH(G305,Fortnightly_Model!$B$2:$B$15,0)),0),IFERROR(INDEX(Fortnightly_Model!$D$2:$D$15,MATCH(G306,Fortnightly_Model!$B$2:$B$15,0)),0),IFERROR(INDEX(Fortnightly_Model!$D$2:$D$15,MATCH(G307,Fortnightly_Model!$B$2:$B$15,0)),0)),0))))))</f>
        <v>0</v>
      </c>
      <c r="M303" s="27">
        <f>IF(VLOOKUP($A303,Calendar!$A$1:$R$1377,18,0)=0,0,IF(VLOOKUP($A303,Calendar!$A$1:$R$1377,18,0)=1,IFERROR(INDEX(FourWeekly_Model!$D$2:$D$29,MATCH(H303,FourWeekly_Model!$B$2:$B$29,0)),0),IF(VLOOKUP($A303,Calendar!$A$1:$R$1377,18,0)=2,SUM(IFERROR(INDEX(FourWeekly_Model!$D$2:$D$29,MATCH(H303,FourWeekly_Model!$B$2:$B$29,0)),0),IFERROR(INDEX(FourWeekly_Model!$D$2:$D$29,MATCH(H304,FourWeekly_Model!$B$2:$B$29,0)),0)),IF(VLOOKUP($A303,Calendar!$A$1:$R$1377,18,0)=3,SUM(IFERROR(INDEX(FourWeekly_Model!$D$2:$D$29,MATCH(H303,FourWeekly_Model!$B$2:$B$29,0)),0),IFERROR(INDEX(FourWeekly_Model!$D$2:$D$29,MATCH(H304,FourWeekly_Model!$B$2:$B$29,0)),0),IFERROR(INDEX(FourWeekly_Model!$D$2:$D$29,MATCH(H305,FourWeekly_Model!$B$2:$B$29,0)),0)),IF(VLOOKUP($A303,Calendar!$A$1:$R$1377,18,0)=4,SUM(IFERROR(INDEX(FourWeekly_Model!$D$2:$D$29,MATCH(H303,FourWeekly_Model!$B$2:$B$29,0)),0),IFERROR(INDEX(FourWeekly_Model!$D$2:$D$29,MATCH(H304,FourWeekly_Model!$B$2:$B$29,0)),0),IFERROR(INDEX(FourWeekly_Model!$D$2:$D$29,MATCH(H305,FourWeekly_Model!$B$2:$B$29,0)),0),IFERROR(INDEX(FourWeekly_Model!$D$2:$D$29,MATCH(H306,FourWeekly_Model!$B$2:$B$29,0)),0)),IF(VLOOKUP($A303,Calendar!$A$1:$R$1377,18,0)=5,SUM(IFERROR(INDEX(FourWeekly_Model!$D$2:$D$29,MATCH(H303,FourWeekly_Model!$B$2:$B$29,0)),0),IFERROR(INDEX(FourWeekly_Model!$D$2:$D$29,MATCH(H304,FourWeekly_Model!$B$2:$B$29,0)),0),IFERROR(INDEX(FourWeekly_Model!$D$2:$D$29,MATCH(H305,FourWeekly_Model!$B$2:$B$29,0)),0),IFERROR(INDEX(FourWeekly_Model!$D$2:$D$29,MATCH(H306,FourWeekly_Model!$B$2:$B$29,0)),0),IFERROR(INDEX(FourWeekly_Model!$D$2:$D$29,MATCH(H307,FourWeekly_Model!$B$2:$B$29,0)),0)),0))))))</f>
        <v>0</v>
      </c>
      <c r="N303" s="27">
        <f>SUM(I303:M303)</f>
        <v>0</v>
      </c>
      <c r="O303" s="28">
        <f>Population_Data!$B$8*N303</f>
        <v>0</v>
      </c>
      <c r="P303" s="27">
        <f>IF(VLOOKUP($A303,Calendar!$A$1:$R$1377,18,0)=0,0,IF(VLOOKUP($A303,Calendar!$A$1:$R$1377,18,0)=1,IFERROR(INDEX(Pension_Model!$D$2:$D$29,MATCH(H303,Pension_Model!$B$2:$B$29,0)),0),IF(VLOOKUP($A303,Calendar!$A$1:$R$1377,18,0)=2,SUM(IFERROR(INDEX(Pension_Model!$D$2:$D$29,MATCH(H303,Pension_Model!$B$2:$B$29,0)),0),IFERROR(INDEX(Pension_Model!$D$2:$D$29,MATCH(H304,Pension_Model!$B$2:$B$29,0)),0)),IF(VLOOKUP($A303,Calendar!$A$1:$R$1377,18,0)=3,SUM(IFERROR(INDEX(Pension_Model!$D$2:$D$29,MATCH(H303,Pension_Model!$B$2:$B$29,0)),0),IFERROR(INDEX(Pension_Model!$D$2:$D$29,MATCH(H304,Pension_Model!$B$2:$B$29,0)),0),IFERROR(INDEX(Pension_Model!$D$2:$D$29,MATCH(H305,Pension_Model!$B$2:$B$29,0)),0)),IF(VLOOKUP($A303,Calendar!$A$1:$R$1377,18,0)=4,SUM(IFERROR(INDEX(Pension_Model!$D$2:$D$29,MATCH(H303,Pension_Model!$B$2:$B$29,0)),0),IFERROR(INDEX(Pension_Model!$D$2:$D$29,MATCH(H304,Pension_Model!$B$2:$B$29,0)),0),IFERROR(INDEX(Pension_Model!$D$2:$D$29,MATCH(H305,Pension_Model!$B$2:$B$29,0)),0),IFERROR(INDEX(Pension_Model!$D$2:$D$29,MATCH(H306,Pension_Model!$B$2:$B$29,0)),0)),IF(VLOOKUP($A303,Calendar!$A$1:$R$1377,18,0)=5,SUM(IFERROR(INDEX(Pension_Model!$D$2:$D$29,MATCH(H303,Pension_Model!$B$2:$B$29,0)),0),IFERROR(INDEX(Pension_Model!$D$2:$D$29,MATCH(H304,Pension_Model!$B$2:$B$29,0)),0),IFERROR(INDEX(Pension_Model!$D$2:$D$29,MATCH(H305,Pension_Model!$B$2:$B$29,0)),0),IFERROR(INDEX(Pension_Model!$D$2:$D$29,MATCH(H306,Pension_Model!$B$2:$B$29,0)),0),IFERROR(INDEX(Pension_Model!$D$2:$D$29,MATCH(H307,Pension_Model!$B$2:$B$29,0)),0)),0))))))</f>
        <v>0</v>
      </c>
      <c r="Q303" s="28">
        <f>Population_Data!$B$15*P303</f>
        <v>0</v>
      </c>
      <c r="S303">
        <f t="shared" si="4"/>
        <v>0</v>
      </c>
      <c r="U303" s="33">
        <f>S303/Population_Data!$B$19</f>
        <v>0</v>
      </c>
    </row>
    <row r="304" spans="1:21">
      <c r="A304" s="25">
        <f>Calendar!A304</f>
        <v>46537</v>
      </c>
      <c r="B304" t="str">
        <f>Calendar!L304</f>
        <v>No</v>
      </c>
      <c r="C304" t="str">
        <f>Calendar!O304</f>
        <v>No</v>
      </c>
      <c r="D304" t="str">
        <f>Calendar!P304</f>
        <v>No</v>
      </c>
      <c r="E304" t="str">
        <f>Calendar!Q304</f>
        <v>No</v>
      </c>
      <c r="F304" t="str">
        <f>Calendar!I304</f>
        <v>Sunday</v>
      </c>
      <c r="G304">
        <f>Calendar!S304</f>
        <v>1</v>
      </c>
      <c r="H304">
        <f>Calendar!T304</f>
        <v>1</v>
      </c>
      <c r="I304" s="27">
        <f>IF(VLOOKUP(A304,Calendar!$A$1:$R$1377,18,0)=0,0,IF(VLOOKUP(A304,Calendar!$A$1:$R$1377,18,0)=1,INDEX(Monthly_Pay_Model!$A$9:$D$40,MATCH(TEXT(A304,"dd"),Monthly_Pay_Model!$C$9:$C$39,0),4),IF(VLOOKUP(A304,Calendar!$A$1:$R$1377,18,0)=2,SUM(INDEX(Monthly_Pay_Model!$A$9:$D$40,MATCH(TEXT(A304,"dd"),Monthly_Pay_Model!$C$9:$C$39,0),4),INDEX(Monthly_Pay_Model!$A$9:$D$40,MATCH(TEXT(A305,"dd"),Monthly_Pay_Model!$C$9:$C$39,0),4)),IF(VLOOKUP(A304,Calendar!$A$1:$R$1377,18,0)=3,SUM(INDEX(Monthly_Pay_Model!$A$9:$D$40,MATCH(TEXT(A304,"dd"),Monthly_Pay_Model!$C$9:$C$39,0),4),INDEX(Monthly_Pay_Model!$A$9:$D$40,MATCH(TEXT(A305,"dd"),Monthly_Pay_Model!$C$9:$C$39,0),4),INDEX(Monthly_Pay_Model!$A$9:$D$40,MATCH(TEXT(A306,"dd"),Monthly_Pay_Model!$C$9:$C$39,0),4)),IF(VLOOKUP(A304,Calendar!$A$1:$R$1377,18,0)=4,SUM(INDEX(Monthly_Pay_Model!$A$9:$D$40,MATCH(TEXT(A304,"dd"),Monthly_Pay_Model!$C$9:$C$39,0),4),INDEX(Monthly_Pay_Model!$A$9:$D$40,MATCH(TEXT(A305,"dd"),Monthly_Pay_Model!$C$9:$C$39,0),4),INDEX(Monthly_Pay_Model!$A$9:$D$40,MATCH(TEXT(A306,"dd"),Monthly_Pay_Model!$C$9:$C$39,0),4),INDEX(Monthly_Pay_Model!$A$9:$D$40,MATCH(TEXT(A307,"dd"),Monthly_Pay_Model!$C$9:$C$39,0),4)),IF(VLOOKUP(A304,Calendar!$A$1:$R$1377,18,0)=5,SUM(INDEX(Monthly_Pay_Model!$A$9:$D$40,MATCH(TEXT(A304,"dd"),Monthly_Pay_Model!$C$9:$C$39,0),4),INDEX(Monthly_Pay_Model!$A$9:$D$40,MATCH(TEXT(A305,"dd"),Monthly_Pay_Model!$C$9:$C$39,0),4),INDEX(Monthly_Pay_Model!$A$9:$D$40,MATCH(TEXT(A306,"dd"),Monthly_Pay_Model!$C$9:$C$39,0),4),INDEX(Monthly_Pay_Model!$A$9:$D$40,MATCH(TEXT(A307,"dd"),Monthly_Pay_Model!$C$9:$C$39,0),4),INDEX(Monthly_Pay_Model!$A$9:$D$40,MATCH(TEXT(A308,"dd"),Monthly_Pay_Model!$C$9:$C$39,0),4)),))))))</f>
        <v>0</v>
      </c>
      <c r="J304" s="33">
        <f>IF(C304="Yes",Monthly_Pay_Model!$D$2,0)
+IF(Calendar!N304="Yes",Monthly_Pay_Model!$D$3,0)
+IF(D304="Yes",Monthly_Pay_Model!$D$4,0)
+IF(E304="Yes",Monthly_Pay_Model!$D$5,0)</f>
        <v>0</v>
      </c>
      <c r="K304" s="27">
        <f>IF(VLOOKUP($A304,Calendar!$A$1:$R$1377,18,0)=0,0,IF(VLOOKUP($A304,Calendar!$A$1:$R$1377,18,0)=1,IFERROR(INDEX(Weekly_Model!$D$2:$D$9,MATCH(F304,Weekly_Model!$A$2:$A$9,0)),0),IF(VLOOKUP($A304,Calendar!$A$1:$R$1377,18,0)=2,SUM(IFERROR(INDEX(Weekly_Model!$D$2:$D$9,MATCH(F304,Weekly_Model!$A$2:$A$9,0)),0),IFERROR(INDEX(Weekly_Model!$D$2:$D$9,MATCH(F305,Weekly_Model!$A$2:$A$9,0)),0)),IF(VLOOKUP($A304,Calendar!$A$1:$R$1377,18,0)=3,SUM(IFERROR(INDEX(Weekly_Model!$D$2:$D$9,MATCH(F304,Weekly_Model!$A$2:$A$9,0)),0),IFERROR(INDEX(Weekly_Model!$D$2:$D$9,MATCH(F305,Weekly_Model!$A$2:$A$9,0)),0),IFERROR(INDEX(Weekly_Model!$D$2:$D$9,MATCH(F306,Weekly_Model!$A$2:$A$9,0)),0)),IF(VLOOKUP($A304,Calendar!$A$1:$R$1377,18,0)=4,SUM(IFERROR(INDEX(Weekly_Model!$D$2:$D$9,MATCH(F304,Weekly_Model!$A$2:$A$9,0)),0),IFERROR(INDEX(Weekly_Model!$D$2:$D$9,MATCH(F305,Weekly_Model!$A$2:$A$9,0)),0),IFERROR(INDEX(Weekly_Model!$D$2:$D$9,MATCH(F306,Weekly_Model!$A$2:$A$9,0)),0),IFERROR(INDEX(Weekly_Model!$D$2:$D$9,MATCH(F307,Weekly_Model!$A$2:$A$9,0)),0)),IF(VLOOKUP($A304,Calendar!$A$1:$R$1377,18,0)=5,SUM(IFERROR(INDEX(Weekly_Model!$D$2:$D$9,MATCH(F304,Weekly_Model!$A$2:$A$9,0)),0),IFERROR(INDEX(Weekly_Model!$D$2:$D$9,MATCH(F305,Weekly_Model!$A$2:$A$9,0)),0),IFERROR(INDEX(Weekly_Model!$D$2:$D$9,MATCH(F306,Weekly_Model!$A$2:$A$9,0)),0),IFERROR(INDEX(Weekly_Model!$D$2:$D$9,MATCH(F307,Weekly_Model!$A$2:$A$9,0)),0),IFERROR(INDEX(Weekly_Model!$D$2:$D$9,MATCH(F308,Weekly_Model!$A$2:$A$9,0)),0)),0))))))</f>
        <v>0</v>
      </c>
      <c r="L304" s="27">
        <f>IF(VLOOKUP($A304,Calendar!$A$1:$R$1377,18,0)=0,0,IF(VLOOKUP($A304,Calendar!$A$1:$R$1377,18,0)=1,IFERROR(INDEX(Fortnightly_Model!$D$2:$D$15,MATCH(G304,Fortnightly_Model!$B$2:$B$15,0)),0),IF(VLOOKUP($A304,Calendar!$A$1:$R$1377,18,0)=2,SUM(IFERROR(INDEX(Fortnightly_Model!$D$2:$D$15,MATCH(G304,Fortnightly_Model!$B$2:$B$15,0)),0),IFERROR(INDEX(Fortnightly_Model!$D$2:$D$15,MATCH(G305,Fortnightly_Model!$B$2:$B$15,0)),0)),IF(VLOOKUP($A304,Calendar!$A$1:$R$1377,18,0)=3,SUM(IFERROR(INDEX(Fortnightly_Model!$D$2:$D$15,MATCH(G304,Fortnightly_Model!$B$2:$B$15,0)),0),IFERROR(INDEX(Fortnightly_Model!$D$2:$D$15,MATCH(G305,Fortnightly_Model!$B$2:$B$15,0)),0),IFERROR(INDEX(Fortnightly_Model!$D$2:$D$15,MATCH(G306,Fortnightly_Model!$B$2:$B$15,0)),0)),IF(VLOOKUP($A304,Calendar!$A$1:$R$1377,18,0)=4,SUM(IFERROR(INDEX(Fortnightly_Model!$D$2:$D$15,MATCH(G304,Fortnightly_Model!$B$2:$B$15,0)),0),IFERROR(INDEX(Fortnightly_Model!$D$2:$D$15,MATCH(G305,Fortnightly_Model!$B$2:$B$15,0)),0),IFERROR(INDEX(Fortnightly_Model!$D$2:$D$15,MATCH(G306,Fortnightly_Model!$B$2:$B$15,0)),0),IFERROR(INDEX(Fortnightly_Model!$D$2:$D$15,MATCH(G307,Fortnightly_Model!$B$2:$B$15,0)),0)),IF(VLOOKUP($A304,Calendar!$A$1:$R$1377,18,0)=5,SUM(IFERROR(INDEX(Fortnightly_Model!$D$2:$D$15,MATCH(G304,Fortnightly_Model!$B$2:$B$15,0)),0),IFERROR(INDEX(Fortnightly_Model!$D$2:$D$15,MATCH(G305,Fortnightly_Model!$B$2:$B$15,0)),0),IFERROR(INDEX(Fortnightly_Model!$D$2:$D$15,MATCH(G306,Fortnightly_Model!$B$2:$B$15,0)),0),IFERROR(INDEX(Fortnightly_Model!$D$2:$D$15,MATCH(G307,Fortnightly_Model!$B$2:$B$15,0)),0),IFERROR(INDEX(Fortnightly_Model!$D$2:$D$15,MATCH(G308,Fortnightly_Model!$B$2:$B$15,0)),0)),0))))))</f>
        <v>0</v>
      </c>
      <c r="M304" s="27">
        <f>IF(VLOOKUP($A304,Calendar!$A$1:$R$1377,18,0)=0,0,IF(VLOOKUP($A304,Calendar!$A$1:$R$1377,18,0)=1,IFERROR(INDEX(FourWeekly_Model!$D$2:$D$29,MATCH(H304,FourWeekly_Model!$B$2:$B$29,0)),0),IF(VLOOKUP($A304,Calendar!$A$1:$R$1377,18,0)=2,SUM(IFERROR(INDEX(FourWeekly_Model!$D$2:$D$29,MATCH(H304,FourWeekly_Model!$B$2:$B$29,0)),0),IFERROR(INDEX(FourWeekly_Model!$D$2:$D$29,MATCH(H305,FourWeekly_Model!$B$2:$B$29,0)),0)),IF(VLOOKUP($A304,Calendar!$A$1:$R$1377,18,0)=3,SUM(IFERROR(INDEX(FourWeekly_Model!$D$2:$D$29,MATCH(H304,FourWeekly_Model!$B$2:$B$29,0)),0),IFERROR(INDEX(FourWeekly_Model!$D$2:$D$29,MATCH(H305,FourWeekly_Model!$B$2:$B$29,0)),0),IFERROR(INDEX(FourWeekly_Model!$D$2:$D$29,MATCH(H306,FourWeekly_Model!$B$2:$B$29,0)),0)),IF(VLOOKUP($A304,Calendar!$A$1:$R$1377,18,0)=4,SUM(IFERROR(INDEX(FourWeekly_Model!$D$2:$D$29,MATCH(H304,FourWeekly_Model!$B$2:$B$29,0)),0),IFERROR(INDEX(FourWeekly_Model!$D$2:$D$29,MATCH(H305,FourWeekly_Model!$B$2:$B$29,0)),0),IFERROR(INDEX(FourWeekly_Model!$D$2:$D$29,MATCH(H306,FourWeekly_Model!$B$2:$B$29,0)),0),IFERROR(INDEX(FourWeekly_Model!$D$2:$D$29,MATCH(H307,FourWeekly_Model!$B$2:$B$29,0)),0)),IF(VLOOKUP($A304,Calendar!$A$1:$R$1377,18,0)=5,SUM(IFERROR(INDEX(FourWeekly_Model!$D$2:$D$29,MATCH(H304,FourWeekly_Model!$B$2:$B$29,0)),0),IFERROR(INDEX(FourWeekly_Model!$D$2:$D$29,MATCH(H305,FourWeekly_Model!$B$2:$B$29,0)),0),IFERROR(INDEX(FourWeekly_Model!$D$2:$D$29,MATCH(H306,FourWeekly_Model!$B$2:$B$29,0)),0),IFERROR(INDEX(FourWeekly_Model!$D$2:$D$29,MATCH(H307,FourWeekly_Model!$B$2:$B$29,0)),0),IFERROR(INDEX(FourWeekly_Model!$D$2:$D$29,MATCH(H308,FourWeekly_Model!$B$2:$B$29,0)),0)),0))))))</f>
        <v>0</v>
      </c>
      <c r="N304" s="27">
        <f>SUM(I304:M304)</f>
        <v>0</v>
      </c>
      <c r="O304" s="28">
        <f>Population_Data!$B$8*N304</f>
        <v>0</v>
      </c>
      <c r="P304" s="27">
        <f>IF(VLOOKUP($A304,Calendar!$A$1:$R$1377,18,0)=0,0,IF(VLOOKUP($A304,Calendar!$A$1:$R$1377,18,0)=1,IFERROR(INDEX(Pension_Model!$D$2:$D$29,MATCH(H304,Pension_Model!$B$2:$B$29,0)),0),IF(VLOOKUP($A304,Calendar!$A$1:$R$1377,18,0)=2,SUM(IFERROR(INDEX(Pension_Model!$D$2:$D$29,MATCH(H304,Pension_Model!$B$2:$B$29,0)),0),IFERROR(INDEX(Pension_Model!$D$2:$D$29,MATCH(H305,Pension_Model!$B$2:$B$29,0)),0)),IF(VLOOKUP($A304,Calendar!$A$1:$R$1377,18,0)=3,SUM(IFERROR(INDEX(Pension_Model!$D$2:$D$29,MATCH(H304,Pension_Model!$B$2:$B$29,0)),0),IFERROR(INDEX(Pension_Model!$D$2:$D$29,MATCH(H305,Pension_Model!$B$2:$B$29,0)),0),IFERROR(INDEX(Pension_Model!$D$2:$D$29,MATCH(H306,Pension_Model!$B$2:$B$29,0)),0)),IF(VLOOKUP($A304,Calendar!$A$1:$R$1377,18,0)=4,SUM(IFERROR(INDEX(Pension_Model!$D$2:$D$29,MATCH(H304,Pension_Model!$B$2:$B$29,0)),0),IFERROR(INDEX(Pension_Model!$D$2:$D$29,MATCH(H305,Pension_Model!$B$2:$B$29,0)),0),IFERROR(INDEX(Pension_Model!$D$2:$D$29,MATCH(H306,Pension_Model!$B$2:$B$29,0)),0),IFERROR(INDEX(Pension_Model!$D$2:$D$29,MATCH(H307,Pension_Model!$B$2:$B$29,0)),0)),IF(VLOOKUP($A304,Calendar!$A$1:$R$1377,18,0)=5,SUM(IFERROR(INDEX(Pension_Model!$D$2:$D$29,MATCH(H304,Pension_Model!$B$2:$B$29,0)),0),IFERROR(INDEX(Pension_Model!$D$2:$D$29,MATCH(H305,Pension_Model!$B$2:$B$29,0)),0),IFERROR(INDEX(Pension_Model!$D$2:$D$29,MATCH(H306,Pension_Model!$B$2:$B$29,0)),0),IFERROR(INDEX(Pension_Model!$D$2:$D$29,MATCH(H307,Pension_Model!$B$2:$B$29,0)),0),IFERROR(INDEX(Pension_Model!$D$2:$D$29,MATCH(H308,Pension_Model!$B$2:$B$29,0)),0)),0))))))</f>
        <v>0</v>
      </c>
      <c r="Q304" s="28">
        <f>Population_Data!$B$15*P304</f>
        <v>0</v>
      </c>
      <c r="S304">
        <f t="shared" si="4"/>
        <v>0</v>
      </c>
      <c r="U304" s="33">
        <f>S304/Population_Data!$B$19</f>
        <v>0</v>
      </c>
    </row>
    <row r="305" spans="1:21">
      <c r="A305" s="25">
        <f>Calendar!A305</f>
        <v>46538</v>
      </c>
      <c r="B305" t="str">
        <f>Calendar!L305</f>
        <v>No</v>
      </c>
      <c r="C305" t="str">
        <f>Calendar!O305</f>
        <v>No</v>
      </c>
      <c r="D305" t="str">
        <f>Calendar!P305</f>
        <v>No</v>
      </c>
      <c r="E305" t="str">
        <f>Calendar!Q305</f>
        <v>No</v>
      </c>
      <c r="F305" t="str">
        <f>Calendar!I305</f>
        <v>Monday</v>
      </c>
      <c r="G305">
        <f>Calendar!S305</f>
        <v>2</v>
      </c>
      <c r="H305">
        <f>Calendar!T305</f>
        <v>2</v>
      </c>
      <c r="I305" s="27">
        <f>IF(VLOOKUP(A305,Calendar!$A$1:$R$1377,18,0)=0,0,IF(VLOOKUP(A305,Calendar!$A$1:$R$1377,18,0)=1,INDEX(Monthly_Pay_Model!$A$9:$D$40,MATCH(TEXT(A305,"dd"),Monthly_Pay_Model!$C$9:$C$39,0),4),IF(VLOOKUP(A305,Calendar!$A$1:$R$1377,18,0)=2,SUM(INDEX(Monthly_Pay_Model!$A$9:$D$40,MATCH(TEXT(A305,"dd"),Monthly_Pay_Model!$C$9:$C$39,0),4),INDEX(Monthly_Pay_Model!$A$9:$D$40,MATCH(TEXT(A306,"dd"),Monthly_Pay_Model!$C$9:$C$39,0),4)),IF(VLOOKUP(A305,Calendar!$A$1:$R$1377,18,0)=3,SUM(INDEX(Monthly_Pay_Model!$A$9:$D$40,MATCH(TEXT(A305,"dd"),Monthly_Pay_Model!$C$9:$C$39,0),4),INDEX(Monthly_Pay_Model!$A$9:$D$40,MATCH(TEXT(A306,"dd"),Monthly_Pay_Model!$C$9:$C$39,0),4),INDEX(Monthly_Pay_Model!$A$9:$D$40,MATCH(TEXT(A307,"dd"),Monthly_Pay_Model!$C$9:$C$39,0),4)),IF(VLOOKUP(A305,Calendar!$A$1:$R$1377,18,0)=4,SUM(INDEX(Monthly_Pay_Model!$A$9:$D$40,MATCH(TEXT(A305,"dd"),Monthly_Pay_Model!$C$9:$C$39,0),4),INDEX(Monthly_Pay_Model!$A$9:$D$40,MATCH(TEXT(A306,"dd"),Monthly_Pay_Model!$C$9:$C$39,0),4),INDEX(Monthly_Pay_Model!$A$9:$D$40,MATCH(TEXT(A307,"dd"),Monthly_Pay_Model!$C$9:$C$39,0),4),INDEX(Monthly_Pay_Model!$A$9:$D$40,MATCH(TEXT(A308,"dd"),Monthly_Pay_Model!$C$9:$C$39,0),4)),IF(VLOOKUP(A305,Calendar!$A$1:$R$1377,18,0)=5,SUM(INDEX(Monthly_Pay_Model!$A$9:$D$40,MATCH(TEXT(A305,"dd"),Monthly_Pay_Model!$C$9:$C$39,0),4),INDEX(Monthly_Pay_Model!$A$9:$D$40,MATCH(TEXT(A306,"dd"),Monthly_Pay_Model!$C$9:$C$39,0),4),INDEX(Monthly_Pay_Model!$A$9:$D$40,MATCH(TEXT(A307,"dd"),Monthly_Pay_Model!$C$9:$C$39,0),4),INDEX(Monthly_Pay_Model!$A$9:$D$40,MATCH(TEXT(A308,"dd"),Monthly_Pay_Model!$C$9:$C$39,0),4),INDEX(Monthly_Pay_Model!$A$9:$D$40,MATCH(TEXT(A309,"dd"),Monthly_Pay_Model!$C$9:$C$39,0),4)),))))))</f>
        <v>0</v>
      </c>
      <c r="J305" s="33">
        <f>IF(C305="Yes",Monthly_Pay_Model!$D$2,0)
+IF(Calendar!N305="Yes",Monthly_Pay_Model!$D$3,0)
+IF(D305="Yes",Monthly_Pay_Model!$D$4,0)
+IF(E305="Yes",Monthly_Pay_Model!$D$5,0)</f>
        <v>0.12416000000000001</v>
      </c>
      <c r="K305" s="27">
        <f>IF(VLOOKUP($A305,Calendar!$A$1:$R$1377,18,0)=0,0,IF(VLOOKUP($A305,Calendar!$A$1:$R$1377,18,0)=1,IFERROR(INDEX(Weekly_Model!$D$2:$D$9,MATCH(F305,Weekly_Model!$A$2:$A$9,0)),0),IF(VLOOKUP($A305,Calendar!$A$1:$R$1377,18,0)=2,SUM(IFERROR(INDEX(Weekly_Model!$D$2:$D$9,MATCH(F305,Weekly_Model!$A$2:$A$9,0)),0),IFERROR(INDEX(Weekly_Model!$D$2:$D$9,MATCH(F306,Weekly_Model!$A$2:$A$9,0)),0)),IF(VLOOKUP($A305,Calendar!$A$1:$R$1377,18,0)=3,SUM(IFERROR(INDEX(Weekly_Model!$D$2:$D$9,MATCH(F305,Weekly_Model!$A$2:$A$9,0)),0),IFERROR(INDEX(Weekly_Model!$D$2:$D$9,MATCH(F306,Weekly_Model!$A$2:$A$9,0)),0),IFERROR(INDEX(Weekly_Model!$D$2:$D$9,MATCH(F307,Weekly_Model!$A$2:$A$9,0)),0)),IF(VLOOKUP($A305,Calendar!$A$1:$R$1377,18,0)=4,SUM(IFERROR(INDEX(Weekly_Model!$D$2:$D$9,MATCH(F305,Weekly_Model!$A$2:$A$9,0)),0),IFERROR(INDEX(Weekly_Model!$D$2:$D$9,MATCH(F306,Weekly_Model!$A$2:$A$9,0)),0),IFERROR(INDEX(Weekly_Model!$D$2:$D$9,MATCH(F307,Weekly_Model!$A$2:$A$9,0)),0),IFERROR(INDEX(Weekly_Model!$D$2:$D$9,MATCH(F308,Weekly_Model!$A$2:$A$9,0)),0)),IF(VLOOKUP($A305,Calendar!$A$1:$R$1377,18,0)=5,SUM(IFERROR(INDEX(Weekly_Model!$D$2:$D$9,MATCH(F305,Weekly_Model!$A$2:$A$9,0)),0),IFERROR(INDEX(Weekly_Model!$D$2:$D$9,MATCH(F306,Weekly_Model!$A$2:$A$9,0)),0),IFERROR(INDEX(Weekly_Model!$D$2:$D$9,MATCH(F307,Weekly_Model!$A$2:$A$9,0)),0),IFERROR(INDEX(Weekly_Model!$D$2:$D$9,MATCH(F308,Weekly_Model!$A$2:$A$9,0)),0),IFERROR(INDEX(Weekly_Model!$D$2:$D$9,MATCH(F309,Weekly_Model!$A$2:$A$9,0)),0)),0))))))</f>
        <v>0</v>
      </c>
      <c r="L305" s="27">
        <f>IF(VLOOKUP($A305,Calendar!$A$1:$R$1377,18,0)=0,0,IF(VLOOKUP($A305,Calendar!$A$1:$R$1377,18,0)=1,IFERROR(INDEX(Fortnightly_Model!$D$2:$D$15,MATCH(G305,Fortnightly_Model!$B$2:$B$15,0)),0),IF(VLOOKUP($A305,Calendar!$A$1:$R$1377,18,0)=2,SUM(IFERROR(INDEX(Fortnightly_Model!$D$2:$D$15,MATCH(G305,Fortnightly_Model!$B$2:$B$15,0)),0),IFERROR(INDEX(Fortnightly_Model!$D$2:$D$15,MATCH(G306,Fortnightly_Model!$B$2:$B$15,0)),0)),IF(VLOOKUP($A305,Calendar!$A$1:$R$1377,18,0)=3,SUM(IFERROR(INDEX(Fortnightly_Model!$D$2:$D$15,MATCH(G305,Fortnightly_Model!$B$2:$B$15,0)),0),IFERROR(INDEX(Fortnightly_Model!$D$2:$D$15,MATCH(G306,Fortnightly_Model!$B$2:$B$15,0)),0),IFERROR(INDEX(Fortnightly_Model!$D$2:$D$15,MATCH(G307,Fortnightly_Model!$B$2:$B$15,0)),0)),IF(VLOOKUP($A305,Calendar!$A$1:$R$1377,18,0)=4,SUM(IFERROR(INDEX(Fortnightly_Model!$D$2:$D$15,MATCH(G305,Fortnightly_Model!$B$2:$B$15,0)),0),IFERROR(INDEX(Fortnightly_Model!$D$2:$D$15,MATCH(G306,Fortnightly_Model!$B$2:$B$15,0)),0),IFERROR(INDEX(Fortnightly_Model!$D$2:$D$15,MATCH(G307,Fortnightly_Model!$B$2:$B$15,0)),0),IFERROR(INDEX(Fortnightly_Model!$D$2:$D$15,MATCH(G308,Fortnightly_Model!$B$2:$B$15,0)),0)),IF(VLOOKUP($A305,Calendar!$A$1:$R$1377,18,0)=5,SUM(IFERROR(INDEX(Fortnightly_Model!$D$2:$D$15,MATCH(G305,Fortnightly_Model!$B$2:$B$15,0)),0),IFERROR(INDEX(Fortnightly_Model!$D$2:$D$15,MATCH(G306,Fortnightly_Model!$B$2:$B$15,0)),0),IFERROR(INDEX(Fortnightly_Model!$D$2:$D$15,MATCH(G307,Fortnightly_Model!$B$2:$B$15,0)),0),IFERROR(INDEX(Fortnightly_Model!$D$2:$D$15,MATCH(G308,Fortnightly_Model!$B$2:$B$15,0)),0),IFERROR(INDEX(Fortnightly_Model!$D$2:$D$15,MATCH(G309,Fortnightly_Model!$B$2:$B$15,0)),0)),0))))))</f>
        <v>0</v>
      </c>
      <c r="M305" s="27">
        <f>IF(VLOOKUP($A305,Calendar!$A$1:$R$1377,18,0)=0,0,IF(VLOOKUP($A305,Calendar!$A$1:$R$1377,18,0)=1,IFERROR(INDEX(FourWeekly_Model!$D$2:$D$29,MATCH(H305,FourWeekly_Model!$B$2:$B$29,0)),0),IF(VLOOKUP($A305,Calendar!$A$1:$R$1377,18,0)=2,SUM(IFERROR(INDEX(FourWeekly_Model!$D$2:$D$29,MATCH(H305,FourWeekly_Model!$B$2:$B$29,0)),0),IFERROR(INDEX(FourWeekly_Model!$D$2:$D$29,MATCH(H306,FourWeekly_Model!$B$2:$B$29,0)),0)),IF(VLOOKUP($A305,Calendar!$A$1:$R$1377,18,0)=3,SUM(IFERROR(INDEX(FourWeekly_Model!$D$2:$D$29,MATCH(H305,FourWeekly_Model!$B$2:$B$29,0)),0),IFERROR(INDEX(FourWeekly_Model!$D$2:$D$29,MATCH(H306,FourWeekly_Model!$B$2:$B$29,0)),0),IFERROR(INDEX(FourWeekly_Model!$D$2:$D$29,MATCH(H307,FourWeekly_Model!$B$2:$B$29,0)),0)),IF(VLOOKUP($A305,Calendar!$A$1:$R$1377,18,0)=4,SUM(IFERROR(INDEX(FourWeekly_Model!$D$2:$D$29,MATCH(H305,FourWeekly_Model!$B$2:$B$29,0)),0),IFERROR(INDEX(FourWeekly_Model!$D$2:$D$29,MATCH(H306,FourWeekly_Model!$B$2:$B$29,0)),0),IFERROR(INDEX(FourWeekly_Model!$D$2:$D$29,MATCH(H307,FourWeekly_Model!$B$2:$B$29,0)),0),IFERROR(INDEX(FourWeekly_Model!$D$2:$D$29,MATCH(H308,FourWeekly_Model!$B$2:$B$29,0)),0)),IF(VLOOKUP($A305,Calendar!$A$1:$R$1377,18,0)=5,SUM(IFERROR(INDEX(FourWeekly_Model!$D$2:$D$29,MATCH(H305,FourWeekly_Model!$B$2:$B$29,0)),0),IFERROR(INDEX(FourWeekly_Model!$D$2:$D$29,MATCH(H306,FourWeekly_Model!$B$2:$B$29,0)),0),IFERROR(INDEX(FourWeekly_Model!$D$2:$D$29,MATCH(H307,FourWeekly_Model!$B$2:$B$29,0)),0),IFERROR(INDEX(FourWeekly_Model!$D$2:$D$29,MATCH(H308,FourWeekly_Model!$B$2:$B$29,0)),0),IFERROR(INDEX(FourWeekly_Model!$D$2:$D$29,MATCH(H309,FourWeekly_Model!$B$2:$B$29,0)),0)),0))))))</f>
        <v>0</v>
      </c>
      <c r="N305" s="27">
        <f>SUM(I305:M305)</f>
        <v>0.12416000000000001</v>
      </c>
      <c r="O305" s="28">
        <f>Population_Data!$B$8*N305</f>
        <v>3762048</v>
      </c>
      <c r="P305" s="27">
        <f>IF(VLOOKUP($A305,Calendar!$A$1:$R$1377,18,0)=0,0,IF(VLOOKUP($A305,Calendar!$A$1:$R$1377,18,0)=1,IFERROR(INDEX(Pension_Model!$D$2:$D$29,MATCH(H305,Pension_Model!$B$2:$B$29,0)),0),IF(VLOOKUP($A305,Calendar!$A$1:$R$1377,18,0)=2,SUM(IFERROR(INDEX(Pension_Model!$D$2:$D$29,MATCH(H305,Pension_Model!$B$2:$B$29,0)),0),IFERROR(INDEX(Pension_Model!$D$2:$D$29,MATCH(H306,Pension_Model!$B$2:$B$29,0)),0)),IF(VLOOKUP($A305,Calendar!$A$1:$R$1377,18,0)=3,SUM(IFERROR(INDEX(Pension_Model!$D$2:$D$29,MATCH(H305,Pension_Model!$B$2:$B$29,0)),0),IFERROR(INDEX(Pension_Model!$D$2:$D$29,MATCH(H306,Pension_Model!$B$2:$B$29,0)),0),IFERROR(INDEX(Pension_Model!$D$2:$D$29,MATCH(H307,Pension_Model!$B$2:$B$29,0)),0)),IF(VLOOKUP($A305,Calendar!$A$1:$R$1377,18,0)=4,SUM(IFERROR(INDEX(Pension_Model!$D$2:$D$29,MATCH(H305,Pension_Model!$B$2:$B$29,0)),0),IFERROR(INDEX(Pension_Model!$D$2:$D$29,MATCH(H306,Pension_Model!$B$2:$B$29,0)),0),IFERROR(INDEX(Pension_Model!$D$2:$D$29,MATCH(H307,Pension_Model!$B$2:$B$29,0)),0),IFERROR(INDEX(Pension_Model!$D$2:$D$29,MATCH(H308,Pension_Model!$B$2:$B$29,0)),0)),IF(VLOOKUP($A305,Calendar!$A$1:$R$1377,18,0)=5,SUM(IFERROR(INDEX(Pension_Model!$D$2:$D$29,MATCH(H305,Pension_Model!$B$2:$B$29,0)),0),IFERROR(INDEX(Pension_Model!$D$2:$D$29,MATCH(H306,Pension_Model!$B$2:$B$29,0)),0),IFERROR(INDEX(Pension_Model!$D$2:$D$29,MATCH(H307,Pension_Model!$B$2:$B$29,0)),0),IFERROR(INDEX(Pension_Model!$D$2:$D$29,MATCH(H308,Pension_Model!$B$2:$B$29,0)),0),IFERROR(INDEX(Pension_Model!$D$2:$D$29,MATCH(H309,Pension_Model!$B$2:$B$29,0)),0)),0))))))</f>
        <v>0</v>
      </c>
      <c r="Q305" s="28">
        <f>Population_Data!$B$15*P305</f>
        <v>0</v>
      </c>
      <c r="S305">
        <f t="shared" si="4"/>
        <v>3762048</v>
      </c>
      <c r="U305" s="33">
        <f>S305/Population_Data!$B$19</f>
        <v>6.8153043478260872E-2</v>
      </c>
    </row>
    <row r="306" spans="1:21">
      <c r="A306" s="25">
        <f>Calendar!A306</f>
        <v>46539</v>
      </c>
      <c r="B306" t="str">
        <f>Calendar!L306</f>
        <v>Yes</v>
      </c>
      <c r="C306" t="str">
        <f>Calendar!O306</f>
        <v>No</v>
      </c>
      <c r="D306" t="str">
        <f>Calendar!P306</f>
        <v>No</v>
      </c>
      <c r="E306" t="str">
        <f>Calendar!Q306</f>
        <v>No</v>
      </c>
      <c r="F306" t="str">
        <f>Calendar!I306</f>
        <v>Tuesday</v>
      </c>
      <c r="G306">
        <f>Calendar!S306</f>
        <v>3</v>
      </c>
      <c r="H306">
        <f>Calendar!T306</f>
        <v>3</v>
      </c>
      <c r="I306" s="27">
        <f>IF(VLOOKUP(A306,Calendar!$A$1:$R$1377,18,0)=0,0,IF(VLOOKUP(A306,Calendar!$A$1:$R$1377,18,0)=1,INDEX(Monthly_Pay_Model!$A$9:$D$40,MATCH(TEXT(A306,"dd"),Monthly_Pay_Model!$C$9:$C$39,0),4),IF(VLOOKUP(A306,Calendar!$A$1:$R$1377,18,0)=2,SUM(INDEX(Monthly_Pay_Model!$A$9:$D$40,MATCH(TEXT(A306,"dd"),Monthly_Pay_Model!$C$9:$C$39,0),4),INDEX(Monthly_Pay_Model!$A$9:$D$40,MATCH(TEXT(A307,"dd"),Monthly_Pay_Model!$C$9:$C$39,0),4)),IF(VLOOKUP(A306,Calendar!$A$1:$R$1377,18,0)=3,SUM(INDEX(Monthly_Pay_Model!$A$9:$D$40,MATCH(TEXT(A306,"dd"),Monthly_Pay_Model!$C$9:$C$39,0),4),INDEX(Monthly_Pay_Model!$A$9:$D$40,MATCH(TEXT(A307,"dd"),Monthly_Pay_Model!$C$9:$C$39,0),4),INDEX(Monthly_Pay_Model!$A$9:$D$40,MATCH(TEXT(A308,"dd"),Monthly_Pay_Model!$C$9:$C$39,0),4)),IF(VLOOKUP(A306,Calendar!$A$1:$R$1377,18,0)=4,SUM(INDEX(Monthly_Pay_Model!$A$9:$D$40,MATCH(TEXT(A306,"dd"),Monthly_Pay_Model!$C$9:$C$39,0),4),INDEX(Monthly_Pay_Model!$A$9:$D$40,MATCH(TEXT(A307,"dd"),Monthly_Pay_Model!$C$9:$C$39,0),4),INDEX(Monthly_Pay_Model!$A$9:$D$40,MATCH(TEXT(A308,"dd"),Monthly_Pay_Model!$C$9:$C$39,0),4),INDEX(Monthly_Pay_Model!$A$9:$D$40,MATCH(TEXT(A309,"dd"),Monthly_Pay_Model!$C$9:$C$39,0),4)),IF(VLOOKUP(A306,Calendar!$A$1:$R$1377,18,0)=5,SUM(INDEX(Monthly_Pay_Model!$A$9:$D$40,MATCH(TEXT(A306,"dd"),Monthly_Pay_Model!$C$9:$C$39,0),4),INDEX(Monthly_Pay_Model!$A$9:$D$40,MATCH(TEXT(A307,"dd"),Monthly_Pay_Model!$C$9:$C$39,0),4),INDEX(Monthly_Pay_Model!$A$9:$D$40,MATCH(TEXT(A308,"dd"),Monthly_Pay_Model!$C$9:$C$39,0),4),INDEX(Monthly_Pay_Model!$A$9:$D$40,MATCH(TEXT(A309,"dd"),Monthly_Pay_Model!$C$9:$C$39,0),4),INDEX(Monthly_Pay_Model!$A$9:$D$40,MATCH(TEXT(A310,"dd"),Monthly_Pay_Model!$C$9:$C$39,0),4)),))))))</f>
        <v>4.0628272251308894E-3</v>
      </c>
      <c r="J306" s="33">
        <f>IF(C306="Yes",Monthly_Pay_Model!$D$2,0)
+IF(Calendar!N306="Yes",Monthly_Pay_Model!$D$3,0)
+IF(D306="Yes",Monthly_Pay_Model!$D$4,0)
+IF(E306="Yes",Monthly_Pay_Model!$D$5,0)</f>
        <v>0</v>
      </c>
      <c r="K306" s="27">
        <f>IF(VLOOKUP($A306,Calendar!$A$1:$R$1377,18,0)=0,0,IF(VLOOKUP($A306,Calendar!$A$1:$R$1377,18,0)=1,IFERROR(INDEX(Weekly_Model!$D$2:$D$9,MATCH(F306,Weekly_Model!$A$2:$A$9,0)),0),IF(VLOOKUP($A306,Calendar!$A$1:$R$1377,18,0)=2,SUM(IFERROR(INDEX(Weekly_Model!$D$2:$D$9,MATCH(F306,Weekly_Model!$A$2:$A$9,0)),0),IFERROR(INDEX(Weekly_Model!$D$2:$D$9,MATCH(F307,Weekly_Model!$A$2:$A$9,0)),0)),IF(VLOOKUP($A306,Calendar!$A$1:$R$1377,18,0)=3,SUM(IFERROR(INDEX(Weekly_Model!$D$2:$D$9,MATCH(F306,Weekly_Model!$A$2:$A$9,0)),0),IFERROR(INDEX(Weekly_Model!$D$2:$D$9,MATCH(F307,Weekly_Model!$A$2:$A$9,0)),0),IFERROR(INDEX(Weekly_Model!$D$2:$D$9,MATCH(F308,Weekly_Model!$A$2:$A$9,0)),0)),IF(VLOOKUP($A306,Calendar!$A$1:$R$1377,18,0)=4,SUM(IFERROR(INDEX(Weekly_Model!$D$2:$D$9,MATCH(F306,Weekly_Model!$A$2:$A$9,0)),0),IFERROR(INDEX(Weekly_Model!$D$2:$D$9,MATCH(F307,Weekly_Model!$A$2:$A$9,0)),0),IFERROR(INDEX(Weekly_Model!$D$2:$D$9,MATCH(F308,Weekly_Model!$A$2:$A$9,0)),0),IFERROR(INDEX(Weekly_Model!$D$2:$D$9,MATCH(F309,Weekly_Model!$A$2:$A$9,0)),0)),IF(VLOOKUP($A306,Calendar!$A$1:$R$1377,18,0)=5,SUM(IFERROR(INDEX(Weekly_Model!$D$2:$D$9,MATCH(F306,Weekly_Model!$A$2:$A$9,0)),0),IFERROR(INDEX(Weekly_Model!$D$2:$D$9,MATCH(F307,Weekly_Model!$A$2:$A$9,0)),0),IFERROR(INDEX(Weekly_Model!$D$2:$D$9,MATCH(F308,Weekly_Model!$A$2:$A$9,0)),0),IFERROR(INDEX(Weekly_Model!$D$2:$D$9,MATCH(F309,Weekly_Model!$A$2:$A$9,0)),0),IFERROR(INDEX(Weekly_Model!$D$2:$D$9,MATCH(F310,Weekly_Model!$A$2:$A$9,0)),0)),0))))))</f>
        <v>2.3200000000000002E-2</v>
      </c>
      <c r="L306" s="27">
        <f>IF(VLOOKUP($A306,Calendar!$A$1:$R$1377,18,0)=0,0,IF(VLOOKUP($A306,Calendar!$A$1:$R$1377,18,0)=1,IFERROR(INDEX(Fortnightly_Model!$D$2:$D$15,MATCH(G306,Fortnightly_Model!$B$2:$B$15,0)),0),IF(VLOOKUP($A306,Calendar!$A$1:$R$1377,18,0)=2,SUM(IFERROR(INDEX(Fortnightly_Model!$D$2:$D$15,MATCH(G306,Fortnightly_Model!$B$2:$B$15,0)),0),IFERROR(INDEX(Fortnightly_Model!$D$2:$D$15,MATCH(G307,Fortnightly_Model!$B$2:$B$15,0)),0)),IF(VLOOKUP($A306,Calendar!$A$1:$R$1377,18,0)=3,SUM(IFERROR(INDEX(Fortnightly_Model!$D$2:$D$15,MATCH(G306,Fortnightly_Model!$B$2:$B$15,0)),0),IFERROR(INDEX(Fortnightly_Model!$D$2:$D$15,MATCH(G307,Fortnightly_Model!$B$2:$B$15,0)),0),IFERROR(INDEX(Fortnightly_Model!$D$2:$D$15,MATCH(G308,Fortnightly_Model!$B$2:$B$15,0)),0)),IF(VLOOKUP($A306,Calendar!$A$1:$R$1377,18,0)=4,SUM(IFERROR(INDEX(Fortnightly_Model!$D$2:$D$15,MATCH(G306,Fortnightly_Model!$B$2:$B$15,0)),0),IFERROR(INDEX(Fortnightly_Model!$D$2:$D$15,MATCH(G307,Fortnightly_Model!$B$2:$B$15,0)),0),IFERROR(INDEX(Fortnightly_Model!$D$2:$D$15,MATCH(G308,Fortnightly_Model!$B$2:$B$15,0)),0),IFERROR(INDEX(Fortnightly_Model!$D$2:$D$15,MATCH(G309,Fortnightly_Model!$B$2:$B$15,0)),0)),IF(VLOOKUP($A306,Calendar!$A$1:$R$1377,18,0)=5,SUM(IFERROR(INDEX(Fortnightly_Model!$D$2:$D$15,MATCH(G306,Fortnightly_Model!$B$2:$B$15,0)),0),IFERROR(INDEX(Fortnightly_Model!$D$2:$D$15,MATCH(G307,Fortnightly_Model!$B$2:$B$15,0)),0),IFERROR(INDEX(Fortnightly_Model!$D$2:$D$15,MATCH(G308,Fortnightly_Model!$B$2:$B$15,0)),0),IFERROR(INDEX(Fortnightly_Model!$D$2:$D$15,MATCH(G309,Fortnightly_Model!$B$2:$B$15,0)),0),IFERROR(INDEX(Fortnightly_Model!$D$2:$D$15,MATCH(G310,Fortnightly_Model!$B$2:$B$15,0)),0)),0))))))</f>
        <v>1.0714285499999999E-3</v>
      </c>
      <c r="M306" s="27">
        <f>IF(VLOOKUP($A306,Calendar!$A$1:$R$1377,18,0)=0,0,IF(VLOOKUP($A306,Calendar!$A$1:$R$1377,18,0)=1,IFERROR(INDEX(FourWeekly_Model!$D$2:$D$29,MATCH(H306,FourWeekly_Model!$B$2:$B$29,0)),0),IF(VLOOKUP($A306,Calendar!$A$1:$R$1377,18,0)=2,SUM(IFERROR(INDEX(FourWeekly_Model!$D$2:$D$29,MATCH(H306,FourWeekly_Model!$B$2:$B$29,0)),0),IFERROR(INDEX(FourWeekly_Model!$D$2:$D$29,MATCH(H307,FourWeekly_Model!$B$2:$B$29,0)),0)),IF(VLOOKUP($A306,Calendar!$A$1:$R$1377,18,0)=3,SUM(IFERROR(INDEX(FourWeekly_Model!$D$2:$D$29,MATCH(H306,FourWeekly_Model!$B$2:$B$29,0)),0),IFERROR(INDEX(FourWeekly_Model!$D$2:$D$29,MATCH(H307,FourWeekly_Model!$B$2:$B$29,0)),0),IFERROR(INDEX(FourWeekly_Model!$D$2:$D$29,MATCH(H308,FourWeekly_Model!$B$2:$B$29,0)),0)),IF(VLOOKUP($A306,Calendar!$A$1:$R$1377,18,0)=4,SUM(IFERROR(INDEX(FourWeekly_Model!$D$2:$D$29,MATCH(H306,FourWeekly_Model!$B$2:$B$29,0)),0),IFERROR(INDEX(FourWeekly_Model!$D$2:$D$29,MATCH(H307,FourWeekly_Model!$B$2:$B$29,0)),0),IFERROR(INDEX(FourWeekly_Model!$D$2:$D$29,MATCH(H308,FourWeekly_Model!$B$2:$B$29,0)),0),IFERROR(INDEX(FourWeekly_Model!$D$2:$D$29,MATCH(H309,FourWeekly_Model!$B$2:$B$29,0)),0)),IF(VLOOKUP($A306,Calendar!$A$1:$R$1377,18,0)=5,SUM(IFERROR(INDEX(FourWeekly_Model!$D$2:$D$29,MATCH(H306,FourWeekly_Model!$B$2:$B$29,0)),0),IFERROR(INDEX(FourWeekly_Model!$D$2:$D$29,MATCH(H307,FourWeekly_Model!$B$2:$B$29,0)),0),IFERROR(INDEX(FourWeekly_Model!$D$2:$D$29,MATCH(H308,FourWeekly_Model!$B$2:$B$29,0)),0),IFERROR(INDEX(FourWeekly_Model!$D$2:$D$29,MATCH(H309,FourWeekly_Model!$B$2:$B$29,0)),0),IFERROR(INDEX(FourWeekly_Model!$D$2:$D$29,MATCH(H310,FourWeekly_Model!$B$2:$B$29,0)),0)),0))))))</f>
        <v>3.3214289700000004E-3</v>
      </c>
      <c r="N306" s="27">
        <f>SUM(I306:M306)</f>
        <v>3.1655684745130891E-2</v>
      </c>
      <c r="O306" s="28">
        <f>Population_Data!$B$8*N306</f>
        <v>959167.24777746596</v>
      </c>
      <c r="P306" s="27">
        <f>IF(VLOOKUP($A306,Calendar!$A$1:$R$1377,18,0)=0,0,IF(VLOOKUP($A306,Calendar!$A$1:$R$1377,18,0)=1,IFERROR(INDEX(Pension_Model!$D$2:$D$29,MATCH(H306,Pension_Model!$B$2:$B$29,0)),0),IF(VLOOKUP($A306,Calendar!$A$1:$R$1377,18,0)=2,SUM(IFERROR(INDEX(Pension_Model!$D$2:$D$29,MATCH(H306,Pension_Model!$B$2:$B$29,0)),0),IFERROR(INDEX(Pension_Model!$D$2:$D$29,MATCH(H307,Pension_Model!$B$2:$B$29,0)),0)),IF(VLOOKUP($A306,Calendar!$A$1:$R$1377,18,0)=3,SUM(IFERROR(INDEX(Pension_Model!$D$2:$D$29,MATCH(H306,Pension_Model!$B$2:$B$29,0)),0),IFERROR(INDEX(Pension_Model!$D$2:$D$29,MATCH(H307,Pension_Model!$B$2:$B$29,0)),0),IFERROR(INDEX(Pension_Model!$D$2:$D$29,MATCH(H308,Pension_Model!$B$2:$B$29,0)),0)),IF(VLOOKUP($A306,Calendar!$A$1:$R$1377,18,0)=4,SUM(IFERROR(INDEX(Pension_Model!$D$2:$D$29,MATCH(H306,Pension_Model!$B$2:$B$29,0)),0),IFERROR(INDEX(Pension_Model!$D$2:$D$29,MATCH(H307,Pension_Model!$B$2:$B$29,0)),0),IFERROR(INDEX(Pension_Model!$D$2:$D$29,MATCH(H308,Pension_Model!$B$2:$B$29,0)),0),IFERROR(INDEX(Pension_Model!$D$2:$D$29,MATCH(H309,Pension_Model!$B$2:$B$29,0)),0)),IF(VLOOKUP($A306,Calendar!$A$1:$R$1377,18,0)=5,SUM(IFERROR(INDEX(Pension_Model!$D$2:$D$29,MATCH(H306,Pension_Model!$B$2:$B$29,0)),0),IFERROR(INDEX(Pension_Model!$D$2:$D$29,MATCH(H307,Pension_Model!$B$2:$B$29,0)),0),IFERROR(INDEX(Pension_Model!$D$2:$D$29,MATCH(H308,Pension_Model!$B$2:$B$29,0)),0),IFERROR(INDEX(Pension_Model!$D$2:$D$29,MATCH(H309,Pension_Model!$B$2:$B$29,0)),0),IFERROR(INDEX(Pension_Model!$D$2:$D$29,MATCH(H310,Pension_Model!$B$2:$B$29,0)),0)),0))))))</f>
        <v>0.05</v>
      </c>
      <c r="Q306" s="28">
        <f>Population_Data!$B$15*P306</f>
        <v>660600</v>
      </c>
      <c r="S306">
        <f t="shared" si="4"/>
        <v>1619767.247777466</v>
      </c>
      <c r="U306" s="33">
        <f>S306/Population_Data!$B$19</f>
        <v>2.9343609561185979E-2</v>
      </c>
    </row>
    <row r="307" spans="1:21">
      <c r="A307" s="25">
        <f>Calendar!A307</f>
        <v>46540</v>
      </c>
      <c r="B307" t="str">
        <f>Calendar!L307</f>
        <v>Yes</v>
      </c>
      <c r="C307" t="str">
        <f>Calendar!O307</f>
        <v>No</v>
      </c>
      <c r="D307" t="str">
        <f>Calendar!P307</f>
        <v>No</v>
      </c>
      <c r="E307" t="str">
        <f>Calendar!Q307</f>
        <v>No</v>
      </c>
      <c r="F307" t="str">
        <f>Calendar!I307</f>
        <v>Wednesday</v>
      </c>
      <c r="G307">
        <f>Calendar!S307</f>
        <v>4</v>
      </c>
      <c r="H307">
        <f>Calendar!T307</f>
        <v>4</v>
      </c>
      <c r="I307" s="27">
        <f>IF(VLOOKUP(A307,Calendar!$A$1:$R$1377,18,0)=0,0,IF(VLOOKUP(A307,Calendar!$A$1:$R$1377,18,0)=1,INDEX(Monthly_Pay_Model!$A$9:$D$40,MATCH(TEXT(A307,"dd"),Monthly_Pay_Model!$C$9:$C$39,0),4),IF(VLOOKUP(A307,Calendar!$A$1:$R$1377,18,0)=2,SUM(INDEX(Monthly_Pay_Model!$A$9:$D$40,MATCH(TEXT(A307,"dd"),Monthly_Pay_Model!$C$9:$C$39,0),4),INDEX(Monthly_Pay_Model!$A$9:$D$40,MATCH(TEXT(A308,"dd"),Monthly_Pay_Model!$C$9:$C$39,0),4)),IF(VLOOKUP(A307,Calendar!$A$1:$R$1377,18,0)=3,SUM(INDEX(Monthly_Pay_Model!$A$9:$D$40,MATCH(TEXT(A307,"dd"),Monthly_Pay_Model!$C$9:$C$39,0),4),INDEX(Monthly_Pay_Model!$A$9:$D$40,MATCH(TEXT(A308,"dd"),Monthly_Pay_Model!$C$9:$C$39,0),4),INDEX(Monthly_Pay_Model!$A$9:$D$40,MATCH(TEXT(A309,"dd"),Monthly_Pay_Model!$C$9:$C$39,0),4)),IF(VLOOKUP(A307,Calendar!$A$1:$R$1377,18,0)=4,SUM(INDEX(Monthly_Pay_Model!$A$9:$D$40,MATCH(TEXT(A307,"dd"),Monthly_Pay_Model!$C$9:$C$39,0),4),INDEX(Monthly_Pay_Model!$A$9:$D$40,MATCH(TEXT(A308,"dd"),Monthly_Pay_Model!$C$9:$C$39,0),4),INDEX(Monthly_Pay_Model!$A$9:$D$40,MATCH(TEXT(A309,"dd"),Monthly_Pay_Model!$C$9:$C$39,0),4),INDEX(Monthly_Pay_Model!$A$9:$D$40,MATCH(TEXT(A310,"dd"),Monthly_Pay_Model!$C$9:$C$39,0),4)),IF(VLOOKUP(A307,Calendar!$A$1:$R$1377,18,0)=5,SUM(INDEX(Monthly_Pay_Model!$A$9:$D$40,MATCH(TEXT(A307,"dd"),Monthly_Pay_Model!$C$9:$C$39,0),4),INDEX(Monthly_Pay_Model!$A$9:$D$40,MATCH(TEXT(A308,"dd"),Monthly_Pay_Model!$C$9:$C$39,0),4),INDEX(Monthly_Pay_Model!$A$9:$D$40,MATCH(TEXT(A309,"dd"),Monthly_Pay_Model!$C$9:$C$39,0),4),INDEX(Monthly_Pay_Model!$A$9:$D$40,MATCH(TEXT(A310,"dd"),Monthly_Pay_Model!$C$9:$C$39,0),4),INDEX(Monthly_Pay_Model!$A$9:$D$40,MATCH(TEXT(A311,"dd"),Monthly_Pay_Model!$C$9:$C$39,0),4)),))))))</f>
        <v>8.1256544502617792E-4</v>
      </c>
      <c r="J307" s="33">
        <f>IF(C307="Yes",Monthly_Pay_Model!$D$2,0)
+IF(Calendar!N307="Yes",Monthly_Pay_Model!$D$3,0)
+IF(D307="Yes",Monthly_Pay_Model!$D$4,0)
+IF(E307="Yes",Monthly_Pay_Model!$D$5,0)</f>
        <v>0</v>
      </c>
      <c r="K307" s="27">
        <f>IF(VLOOKUP($A307,Calendar!$A$1:$R$1377,18,0)=0,0,IF(VLOOKUP($A307,Calendar!$A$1:$R$1377,18,0)=1,IFERROR(INDEX(Weekly_Model!$D$2:$D$9,MATCH(F307,Weekly_Model!$A$2:$A$9,0)),0),IF(VLOOKUP($A307,Calendar!$A$1:$R$1377,18,0)=2,SUM(IFERROR(INDEX(Weekly_Model!$D$2:$D$9,MATCH(F307,Weekly_Model!$A$2:$A$9,0)),0),IFERROR(INDEX(Weekly_Model!$D$2:$D$9,MATCH(F308,Weekly_Model!$A$2:$A$9,0)),0)),IF(VLOOKUP($A307,Calendar!$A$1:$R$1377,18,0)=3,SUM(IFERROR(INDEX(Weekly_Model!$D$2:$D$9,MATCH(F307,Weekly_Model!$A$2:$A$9,0)),0),IFERROR(INDEX(Weekly_Model!$D$2:$D$9,MATCH(F308,Weekly_Model!$A$2:$A$9,0)),0),IFERROR(INDEX(Weekly_Model!$D$2:$D$9,MATCH(F309,Weekly_Model!$A$2:$A$9,0)),0)),IF(VLOOKUP($A307,Calendar!$A$1:$R$1377,18,0)=4,SUM(IFERROR(INDEX(Weekly_Model!$D$2:$D$9,MATCH(F307,Weekly_Model!$A$2:$A$9,0)),0),IFERROR(INDEX(Weekly_Model!$D$2:$D$9,MATCH(F308,Weekly_Model!$A$2:$A$9,0)),0),IFERROR(INDEX(Weekly_Model!$D$2:$D$9,MATCH(F309,Weekly_Model!$A$2:$A$9,0)),0),IFERROR(INDEX(Weekly_Model!$D$2:$D$9,MATCH(F310,Weekly_Model!$A$2:$A$9,0)),0)),IF(VLOOKUP($A307,Calendar!$A$1:$R$1377,18,0)=5,SUM(IFERROR(INDEX(Weekly_Model!$D$2:$D$9,MATCH(F307,Weekly_Model!$A$2:$A$9,0)),0),IFERROR(INDEX(Weekly_Model!$D$2:$D$9,MATCH(F308,Weekly_Model!$A$2:$A$9,0)),0),IFERROR(INDEX(Weekly_Model!$D$2:$D$9,MATCH(F309,Weekly_Model!$A$2:$A$9,0)),0),IFERROR(INDEX(Weekly_Model!$D$2:$D$9,MATCH(F310,Weekly_Model!$A$2:$A$9,0)),0),IFERROR(INDEX(Weekly_Model!$D$2:$D$9,MATCH(F311,Weekly_Model!$A$2:$A$9,0)),0)),0))))))</f>
        <v>2.3200000000000002E-2</v>
      </c>
      <c r="L307" s="27">
        <f>IF(VLOOKUP($A307,Calendar!$A$1:$R$1377,18,0)=0,0,IF(VLOOKUP($A307,Calendar!$A$1:$R$1377,18,0)=1,IFERROR(INDEX(Fortnightly_Model!$D$2:$D$15,MATCH(G307,Fortnightly_Model!$B$2:$B$15,0)),0),IF(VLOOKUP($A307,Calendar!$A$1:$R$1377,18,0)=2,SUM(IFERROR(INDEX(Fortnightly_Model!$D$2:$D$15,MATCH(G307,Fortnightly_Model!$B$2:$B$15,0)),0),IFERROR(INDEX(Fortnightly_Model!$D$2:$D$15,MATCH(G308,Fortnightly_Model!$B$2:$B$15,0)),0)),IF(VLOOKUP($A307,Calendar!$A$1:$R$1377,18,0)=3,SUM(IFERROR(INDEX(Fortnightly_Model!$D$2:$D$15,MATCH(G307,Fortnightly_Model!$B$2:$B$15,0)),0),IFERROR(INDEX(Fortnightly_Model!$D$2:$D$15,MATCH(G308,Fortnightly_Model!$B$2:$B$15,0)),0),IFERROR(INDEX(Fortnightly_Model!$D$2:$D$15,MATCH(G309,Fortnightly_Model!$B$2:$B$15,0)),0)),IF(VLOOKUP($A307,Calendar!$A$1:$R$1377,18,0)=4,SUM(IFERROR(INDEX(Fortnightly_Model!$D$2:$D$15,MATCH(G307,Fortnightly_Model!$B$2:$B$15,0)),0),IFERROR(INDEX(Fortnightly_Model!$D$2:$D$15,MATCH(G308,Fortnightly_Model!$B$2:$B$15,0)),0),IFERROR(INDEX(Fortnightly_Model!$D$2:$D$15,MATCH(G309,Fortnightly_Model!$B$2:$B$15,0)),0),IFERROR(INDEX(Fortnightly_Model!$D$2:$D$15,MATCH(G310,Fortnightly_Model!$B$2:$B$15,0)),0)),IF(VLOOKUP($A307,Calendar!$A$1:$R$1377,18,0)=5,SUM(IFERROR(INDEX(Fortnightly_Model!$D$2:$D$15,MATCH(G307,Fortnightly_Model!$B$2:$B$15,0)),0),IFERROR(INDEX(Fortnightly_Model!$D$2:$D$15,MATCH(G308,Fortnightly_Model!$B$2:$B$15,0)),0),IFERROR(INDEX(Fortnightly_Model!$D$2:$D$15,MATCH(G309,Fortnightly_Model!$B$2:$B$15,0)),0),IFERROR(INDEX(Fortnightly_Model!$D$2:$D$15,MATCH(G310,Fortnightly_Model!$B$2:$B$15,0)),0),IFERROR(INDEX(Fortnightly_Model!$D$2:$D$15,MATCH(G311,Fortnightly_Model!$B$2:$B$15,0)),0)),0))))))</f>
        <v>1.0714285499999999E-3</v>
      </c>
      <c r="M307" s="27">
        <f>IF(VLOOKUP($A307,Calendar!$A$1:$R$1377,18,0)=0,0,IF(VLOOKUP($A307,Calendar!$A$1:$R$1377,18,0)=1,IFERROR(INDEX(FourWeekly_Model!$D$2:$D$29,MATCH(H307,FourWeekly_Model!$B$2:$B$29,0)),0),IF(VLOOKUP($A307,Calendar!$A$1:$R$1377,18,0)=2,SUM(IFERROR(INDEX(FourWeekly_Model!$D$2:$D$29,MATCH(H307,FourWeekly_Model!$B$2:$B$29,0)),0),IFERROR(INDEX(FourWeekly_Model!$D$2:$D$29,MATCH(H308,FourWeekly_Model!$B$2:$B$29,0)),0)),IF(VLOOKUP($A307,Calendar!$A$1:$R$1377,18,0)=3,SUM(IFERROR(INDEX(FourWeekly_Model!$D$2:$D$29,MATCH(H307,FourWeekly_Model!$B$2:$B$29,0)),0),IFERROR(INDEX(FourWeekly_Model!$D$2:$D$29,MATCH(H308,FourWeekly_Model!$B$2:$B$29,0)),0),IFERROR(INDEX(FourWeekly_Model!$D$2:$D$29,MATCH(H309,FourWeekly_Model!$B$2:$B$29,0)),0)),IF(VLOOKUP($A307,Calendar!$A$1:$R$1377,18,0)=4,SUM(IFERROR(INDEX(FourWeekly_Model!$D$2:$D$29,MATCH(H307,FourWeekly_Model!$B$2:$B$29,0)),0),IFERROR(INDEX(FourWeekly_Model!$D$2:$D$29,MATCH(H308,FourWeekly_Model!$B$2:$B$29,0)),0),IFERROR(INDEX(FourWeekly_Model!$D$2:$D$29,MATCH(H309,FourWeekly_Model!$B$2:$B$29,0)),0),IFERROR(INDEX(FourWeekly_Model!$D$2:$D$29,MATCH(H310,FourWeekly_Model!$B$2:$B$29,0)),0)),IF(VLOOKUP($A307,Calendar!$A$1:$R$1377,18,0)=5,SUM(IFERROR(INDEX(FourWeekly_Model!$D$2:$D$29,MATCH(H307,FourWeekly_Model!$B$2:$B$29,0)),0),IFERROR(INDEX(FourWeekly_Model!$D$2:$D$29,MATCH(H308,FourWeekly_Model!$B$2:$B$29,0)),0),IFERROR(INDEX(FourWeekly_Model!$D$2:$D$29,MATCH(H309,FourWeekly_Model!$B$2:$B$29,0)),0),IFERROR(INDEX(FourWeekly_Model!$D$2:$D$29,MATCH(H310,FourWeekly_Model!$B$2:$B$29,0)),0),IFERROR(INDEX(FourWeekly_Model!$D$2:$D$29,MATCH(H311,FourWeekly_Model!$B$2:$B$29,0)),0)),0))))))</f>
        <v>3.3214289700000004E-3</v>
      </c>
      <c r="N307" s="27">
        <f>SUM(I307:M307)</f>
        <v>2.840542296502618E-2</v>
      </c>
      <c r="O307" s="28">
        <f>Population_Data!$B$8*N307</f>
        <v>860684.3158402933</v>
      </c>
      <c r="P307" s="27">
        <f>IF(VLOOKUP($A307,Calendar!$A$1:$R$1377,18,0)=0,0,IF(VLOOKUP($A307,Calendar!$A$1:$R$1377,18,0)=1,IFERROR(INDEX(Pension_Model!$D$2:$D$29,MATCH(H307,Pension_Model!$B$2:$B$29,0)),0),IF(VLOOKUP($A307,Calendar!$A$1:$R$1377,18,0)=2,SUM(IFERROR(INDEX(Pension_Model!$D$2:$D$29,MATCH(H307,Pension_Model!$B$2:$B$29,0)),0),IFERROR(INDEX(Pension_Model!$D$2:$D$29,MATCH(H308,Pension_Model!$B$2:$B$29,0)),0)),IF(VLOOKUP($A307,Calendar!$A$1:$R$1377,18,0)=3,SUM(IFERROR(INDEX(Pension_Model!$D$2:$D$29,MATCH(H307,Pension_Model!$B$2:$B$29,0)),0),IFERROR(INDEX(Pension_Model!$D$2:$D$29,MATCH(H308,Pension_Model!$B$2:$B$29,0)),0),IFERROR(INDEX(Pension_Model!$D$2:$D$29,MATCH(H309,Pension_Model!$B$2:$B$29,0)),0)),IF(VLOOKUP($A307,Calendar!$A$1:$R$1377,18,0)=4,SUM(IFERROR(INDEX(Pension_Model!$D$2:$D$29,MATCH(H307,Pension_Model!$B$2:$B$29,0)),0),IFERROR(INDEX(Pension_Model!$D$2:$D$29,MATCH(H308,Pension_Model!$B$2:$B$29,0)),0),IFERROR(INDEX(Pension_Model!$D$2:$D$29,MATCH(H309,Pension_Model!$B$2:$B$29,0)),0),IFERROR(INDEX(Pension_Model!$D$2:$D$29,MATCH(H310,Pension_Model!$B$2:$B$29,0)),0)),IF(VLOOKUP($A307,Calendar!$A$1:$R$1377,18,0)=5,SUM(IFERROR(INDEX(Pension_Model!$D$2:$D$29,MATCH(H307,Pension_Model!$B$2:$B$29,0)),0),IFERROR(INDEX(Pension_Model!$D$2:$D$29,MATCH(H308,Pension_Model!$B$2:$B$29,0)),0),IFERROR(INDEX(Pension_Model!$D$2:$D$29,MATCH(H309,Pension_Model!$B$2:$B$29,0)),0),IFERROR(INDEX(Pension_Model!$D$2:$D$29,MATCH(H310,Pension_Model!$B$2:$B$29,0)),0),IFERROR(INDEX(Pension_Model!$D$2:$D$29,MATCH(H311,Pension_Model!$B$2:$B$29,0)),0)),0))))))</f>
        <v>0.05</v>
      </c>
      <c r="Q307" s="28">
        <f>Population_Data!$B$15*P307</f>
        <v>660600</v>
      </c>
      <c r="S307">
        <f t="shared" si="4"/>
        <v>1521284.3158402932</v>
      </c>
      <c r="U307" s="33">
        <f>S307/Population_Data!$B$19</f>
        <v>2.7559498475367629E-2</v>
      </c>
    </row>
    <row r="308" spans="1:21">
      <c r="A308" s="25">
        <f>Calendar!A308</f>
        <v>46541</v>
      </c>
      <c r="B308" t="str">
        <f>Calendar!L308</f>
        <v>Yes</v>
      </c>
      <c r="C308" t="str">
        <f>Calendar!O308</f>
        <v>No</v>
      </c>
      <c r="D308" t="str">
        <f>Calendar!P308</f>
        <v>No</v>
      </c>
      <c r="E308" t="str">
        <f>Calendar!Q308</f>
        <v>No</v>
      </c>
      <c r="F308" t="str">
        <f>Calendar!I308</f>
        <v>Thursday</v>
      </c>
      <c r="G308">
        <f>Calendar!S308</f>
        <v>5</v>
      </c>
      <c r="H308">
        <f>Calendar!T308</f>
        <v>5</v>
      </c>
      <c r="I308" s="27">
        <f>IF(VLOOKUP(A308,Calendar!$A$1:$R$1377,18,0)=0,0,IF(VLOOKUP(A308,Calendar!$A$1:$R$1377,18,0)=1,INDEX(Monthly_Pay_Model!$A$9:$D$40,MATCH(TEXT(A308,"dd"),Monthly_Pay_Model!$C$9:$C$39,0),4),IF(VLOOKUP(A308,Calendar!$A$1:$R$1377,18,0)=2,SUM(INDEX(Monthly_Pay_Model!$A$9:$D$40,MATCH(TEXT(A308,"dd"),Monthly_Pay_Model!$C$9:$C$39,0),4),INDEX(Monthly_Pay_Model!$A$9:$D$40,MATCH(TEXT(A309,"dd"),Monthly_Pay_Model!$C$9:$C$39,0),4)),IF(VLOOKUP(A308,Calendar!$A$1:$R$1377,18,0)=3,SUM(INDEX(Monthly_Pay_Model!$A$9:$D$40,MATCH(TEXT(A308,"dd"),Monthly_Pay_Model!$C$9:$C$39,0),4),INDEX(Monthly_Pay_Model!$A$9:$D$40,MATCH(TEXT(A309,"dd"),Monthly_Pay_Model!$C$9:$C$39,0),4),INDEX(Monthly_Pay_Model!$A$9:$D$40,MATCH(TEXT(A310,"dd"),Monthly_Pay_Model!$C$9:$C$39,0),4)),IF(VLOOKUP(A308,Calendar!$A$1:$R$1377,18,0)=4,SUM(INDEX(Monthly_Pay_Model!$A$9:$D$40,MATCH(TEXT(A308,"dd"),Monthly_Pay_Model!$C$9:$C$39,0),4),INDEX(Monthly_Pay_Model!$A$9:$D$40,MATCH(TEXT(A309,"dd"),Monthly_Pay_Model!$C$9:$C$39,0),4),INDEX(Monthly_Pay_Model!$A$9:$D$40,MATCH(TEXT(A310,"dd"),Monthly_Pay_Model!$C$9:$C$39,0),4),INDEX(Monthly_Pay_Model!$A$9:$D$40,MATCH(TEXT(A311,"dd"),Monthly_Pay_Model!$C$9:$C$39,0),4)),IF(VLOOKUP(A308,Calendar!$A$1:$R$1377,18,0)=5,SUM(INDEX(Monthly_Pay_Model!$A$9:$D$40,MATCH(TEXT(A308,"dd"),Monthly_Pay_Model!$C$9:$C$39,0),4),INDEX(Monthly_Pay_Model!$A$9:$D$40,MATCH(TEXT(A309,"dd"),Monthly_Pay_Model!$C$9:$C$39,0),4),INDEX(Monthly_Pay_Model!$A$9:$D$40,MATCH(TEXT(A310,"dd"),Monthly_Pay_Model!$C$9:$C$39,0),4),INDEX(Monthly_Pay_Model!$A$9:$D$40,MATCH(TEXT(A311,"dd"),Monthly_Pay_Model!$C$9:$C$39,0),4),INDEX(Monthly_Pay_Model!$A$9:$D$40,MATCH(TEXT(A312,"dd"),Monthly_Pay_Model!$C$9:$C$39,0),4)),))))))</f>
        <v>8.1256544502617792E-4</v>
      </c>
      <c r="J308" s="33">
        <f>IF(C308="Yes",Monthly_Pay_Model!$D$2,0)
+IF(Calendar!N308="Yes",Monthly_Pay_Model!$D$3,0)
+IF(D308="Yes",Monthly_Pay_Model!$D$4,0)
+IF(E308="Yes",Monthly_Pay_Model!$D$5,0)</f>
        <v>0</v>
      </c>
      <c r="K308" s="27">
        <f>IF(VLOOKUP($A308,Calendar!$A$1:$R$1377,18,0)=0,0,IF(VLOOKUP($A308,Calendar!$A$1:$R$1377,18,0)=1,IFERROR(INDEX(Weekly_Model!$D$2:$D$9,MATCH(F308,Weekly_Model!$A$2:$A$9,0)),0),IF(VLOOKUP($A308,Calendar!$A$1:$R$1377,18,0)=2,SUM(IFERROR(INDEX(Weekly_Model!$D$2:$D$9,MATCH(F308,Weekly_Model!$A$2:$A$9,0)),0),IFERROR(INDEX(Weekly_Model!$D$2:$D$9,MATCH(F309,Weekly_Model!$A$2:$A$9,0)),0)),IF(VLOOKUP($A308,Calendar!$A$1:$R$1377,18,0)=3,SUM(IFERROR(INDEX(Weekly_Model!$D$2:$D$9,MATCH(F308,Weekly_Model!$A$2:$A$9,0)),0),IFERROR(INDEX(Weekly_Model!$D$2:$D$9,MATCH(F309,Weekly_Model!$A$2:$A$9,0)),0),IFERROR(INDEX(Weekly_Model!$D$2:$D$9,MATCH(F310,Weekly_Model!$A$2:$A$9,0)),0)),IF(VLOOKUP($A308,Calendar!$A$1:$R$1377,18,0)=4,SUM(IFERROR(INDEX(Weekly_Model!$D$2:$D$9,MATCH(F308,Weekly_Model!$A$2:$A$9,0)),0),IFERROR(INDEX(Weekly_Model!$D$2:$D$9,MATCH(F309,Weekly_Model!$A$2:$A$9,0)),0),IFERROR(INDEX(Weekly_Model!$D$2:$D$9,MATCH(F310,Weekly_Model!$A$2:$A$9,0)),0),IFERROR(INDEX(Weekly_Model!$D$2:$D$9,MATCH(F311,Weekly_Model!$A$2:$A$9,0)),0)),IF(VLOOKUP($A308,Calendar!$A$1:$R$1377,18,0)=5,SUM(IFERROR(INDEX(Weekly_Model!$D$2:$D$9,MATCH(F308,Weekly_Model!$A$2:$A$9,0)),0),IFERROR(INDEX(Weekly_Model!$D$2:$D$9,MATCH(F309,Weekly_Model!$A$2:$A$9,0)),0),IFERROR(INDEX(Weekly_Model!$D$2:$D$9,MATCH(F310,Weekly_Model!$A$2:$A$9,0)),0),IFERROR(INDEX(Weekly_Model!$D$2:$D$9,MATCH(F311,Weekly_Model!$A$2:$A$9,0)),0),IFERROR(INDEX(Weekly_Model!$D$2:$D$9,MATCH(F312,Weekly_Model!$A$2:$A$9,0)),0)),0))))))</f>
        <v>2.3200000000000002E-2</v>
      </c>
      <c r="L308" s="27">
        <f>IF(VLOOKUP($A308,Calendar!$A$1:$R$1377,18,0)=0,0,IF(VLOOKUP($A308,Calendar!$A$1:$R$1377,18,0)=1,IFERROR(INDEX(Fortnightly_Model!$D$2:$D$15,MATCH(G308,Fortnightly_Model!$B$2:$B$15,0)),0),IF(VLOOKUP($A308,Calendar!$A$1:$R$1377,18,0)=2,SUM(IFERROR(INDEX(Fortnightly_Model!$D$2:$D$15,MATCH(G308,Fortnightly_Model!$B$2:$B$15,0)),0),IFERROR(INDEX(Fortnightly_Model!$D$2:$D$15,MATCH(G309,Fortnightly_Model!$B$2:$B$15,0)),0)),IF(VLOOKUP($A308,Calendar!$A$1:$R$1377,18,0)=3,SUM(IFERROR(INDEX(Fortnightly_Model!$D$2:$D$15,MATCH(G308,Fortnightly_Model!$B$2:$B$15,0)),0),IFERROR(INDEX(Fortnightly_Model!$D$2:$D$15,MATCH(G309,Fortnightly_Model!$B$2:$B$15,0)),0),IFERROR(INDEX(Fortnightly_Model!$D$2:$D$15,MATCH(G310,Fortnightly_Model!$B$2:$B$15,0)),0)),IF(VLOOKUP($A308,Calendar!$A$1:$R$1377,18,0)=4,SUM(IFERROR(INDEX(Fortnightly_Model!$D$2:$D$15,MATCH(G308,Fortnightly_Model!$B$2:$B$15,0)),0),IFERROR(INDEX(Fortnightly_Model!$D$2:$D$15,MATCH(G309,Fortnightly_Model!$B$2:$B$15,0)),0),IFERROR(INDEX(Fortnightly_Model!$D$2:$D$15,MATCH(G310,Fortnightly_Model!$B$2:$B$15,0)),0),IFERROR(INDEX(Fortnightly_Model!$D$2:$D$15,MATCH(G311,Fortnightly_Model!$B$2:$B$15,0)),0)),IF(VLOOKUP($A308,Calendar!$A$1:$R$1377,18,0)=5,SUM(IFERROR(INDEX(Fortnightly_Model!$D$2:$D$15,MATCH(G308,Fortnightly_Model!$B$2:$B$15,0)),0),IFERROR(INDEX(Fortnightly_Model!$D$2:$D$15,MATCH(G309,Fortnightly_Model!$B$2:$B$15,0)),0),IFERROR(INDEX(Fortnightly_Model!$D$2:$D$15,MATCH(G310,Fortnightly_Model!$B$2:$B$15,0)),0),IFERROR(INDEX(Fortnightly_Model!$D$2:$D$15,MATCH(G311,Fortnightly_Model!$B$2:$B$15,0)),0),IFERROR(INDEX(Fortnightly_Model!$D$2:$D$15,MATCH(G312,Fortnightly_Model!$B$2:$B$15,0)),0)),0))))))</f>
        <v>1.0714285499999999E-3</v>
      </c>
      <c r="M308" s="27">
        <f>IF(VLOOKUP($A308,Calendar!$A$1:$R$1377,18,0)=0,0,IF(VLOOKUP($A308,Calendar!$A$1:$R$1377,18,0)=1,IFERROR(INDEX(FourWeekly_Model!$D$2:$D$29,MATCH(H308,FourWeekly_Model!$B$2:$B$29,0)),0),IF(VLOOKUP($A308,Calendar!$A$1:$R$1377,18,0)=2,SUM(IFERROR(INDEX(FourWeekly_Model!$D$2:$D$29,MATCH(H308,FourWeekly_Model!$B$2:$B$29,0)),0),IFERROR(INDEX(FourWeekly_Model!$D$2:$D$29,MATCH(H309,FourWeekly_Model!$B$2:$B$29,0)),0)),IF(VLOOKUP($A308,Calendar!$A$1:$R$1377,18,0)=3,SUM(IFERROR(INDEX(FourWeekly_Model!$D$2:$D$29,MATCH(H308,FourWeekly_Model!$B$2:$B$29,0)),0),IFERROR(INDEX(FourWeekly_Model!$D$2:$D$29,MATCH(H309,FourWeekly_Model!$B$2:$B$29,0)),0),IFERROR(INDEX(FourWeekly_Model!$D$2:$D$29,MATCH(H310,FourWeekly_Model!$B$2:$B$29,0)),0)),IF(VLOOKUP($A308,Calendar!$A$1:$R$1377,18,0)=4,SUM(IFERROR(INDEX(FourWeekly_Model!$D$2:$D$29,MATCH(H308,FourWeekly_Model!$B$2:$B$29,0)),0),IFERROR(INDEX(FourWeekly_Model!$D$2:$D$29,MATCH(H309,FourWeekly_Model!$B$2:$B$29,0)),0),IFERROR(INDEX(FourWeekly_Model!$D$2:$D$29,MATCH(H310,FourWeekly_Model!$B$2:$B$29,0)),0),IFERROR(INDEX(FourWeekly_Model!$D$2:$D$29,MATCH(H311,FourWeekly_Model!$B$2:$B$29,0)),0)),IF(VLOOKUP($A308,Calendar!$A$1:$R$1377,18,0)=5,SUM(IFERROR(INDEX(FourWeekly_Model!$D$2:$D$29,MATCH(H308,FourWeekly_Model!$B$2:$B$29,0)),0),IFERROR(INDEX(FourWeekly_Model!$D$2:$D$29,MATCH(H309,FourWeekly_Model!$B$2:$B$29,0)),0),IFERROR(INDEX(FourWeekly_Model!$D$2:$D$29,MATCH(H310,FourWeekly_Model!$B$2:$B$29,0)),0),IFERROR(INDEX(FourWeekly_Model!$D$2:$D$29,MATCH(H311,FourWeekly_Model!$B$2:$B$29,0)),0),IFERROR(INDEX(FourWeekly_Model!$D$2:$D$29,MATCH(H312,FourWeekly_Model!$B$2:$B$29,0)),0)),0))))))</f>
        <v>3.3214289700000004E-3</v>
      </c>
      <c r="N308" s="27">
        <f>SUM(I308:M308)</f>
        <v>2.840542296502618E-2</v>
      </c>
      <c r="O308" s="28">
        <f>Population_Data!$B$8*N308</f>
        <v>860684.3158402933</v>
      </c>
      <c r="P308" s="27">
        <f>IF(VLOOKUP($A308,Calendar!$A$1:$R$1377,18,0)=0,0,IF(VLOOKUP($A308,Calendar!$A$1:$R$1377,18,0)=1,IFERROR(INDEX(Pension_Model!$D$2:$D$29,MATCH(H308,Pension_Model!$B$2:$B$29,0)),0),IF(VLOOKUP($A308,Calendar!$A$1:$R$1377,18,0)=2,SUM(IFERROR(INDEX(Pension_Model!$D$2:$D$29,MATCH(H308,Pension_Model!$B$2:$B$29,0)),0),IFERROR(INDEX(Pension_Model!$D$2:$D$29,MATCH(H309,Pension_Model!$B$2:$B$29,0)),0)),IF(VLOOKUP($A308,Calendar!$A$1:$R$1377,18,0)=3,SUM(IFERROR(INDEX(Pension_Model!$D$2:$D$29,MATCH(H308,Pension_Model!$B$2:$B$29,0)),0),IFERROR(INDEX(Pension_Model!$D$2:$D$29,MATCH(H309,Pension_Model!$B$2:$B$29,0)),0),IFERROR(INDEX(Pension_Model!$D$2:$D$29,MATCH(H310,Pension_Model!$B$2:$B$29,0)),0)),IF(VLOOKUP($A308,Calendar!$A$1:$R$1377,18,0)=4,SUM(IFERROR(INDEX(Pension_Model!$D$2:$D$29,MATCH(H308,Pension_Model!$B$2:$B$29,0)),0),IFERROR(INDEX(Pension_Model!$D$2:$D$29,MATCH(H309,Pension_Model!$B$2:$B$29,0)),0),IFERROR(INDEX(Pension_Model!$D$2:$D$29,MATCH(H310,Pension_Model!$B$2:$B$29,0)),0),IFERROR(INDEX(Pension_Model!$D$2:$D$29,MATCH(H311,Pension_Model!$B$2:$B$29,0)),0)),IF(VLOOKUP($A308,Calendar!$A$1:$R$1377,18,0)=5,SUM(IFERROR(INDEX(Pension_Model!$D$2:$D$29,MATCH(H308,Pension_Model!$B$2:$B$29,0)),0),IFERROR(INDEX(Pension_Model!$D$2:$D$29,MATCH(H309,Pension_Model!$B$2:$B$29,0)),0),IFERROR(INDEX(Pension_Model!$D$2:$D$29,MATCH(H310,Pension_Model!$B$2:$B$29,0)),0),IFERROR(INDEX(Pension_Model!$D$2:$D$29,MATCH(H311,Pension_Model!$B$2:$B$29,0)),0),IFERROR(INDEX(Pension_Model!$D$2:$D$29,MATCH(H312,Pension_Model!$B$2:$B$29,0)),0)),0))))))</f>
        <v>0.05</v>
      </c>
      <c r="Q308" s="28">
        <f>Population_Data!$B$15*P308</f>
        <v>660600</v>
      </c>
      <c r="S308">
        <f t="shared" si="4"/>
        <v>1521284.3158402932</v>
      </c>
      <c r="U308" s="33">
        <f>S308/Population_Data!$B$19</f>
        <v>2.7559498475367629E-2</v>
      </c>
    </row>
    <row r="309" spans="1:21">
      <c r="A309" s="25">
        <f>Calendar!A309</f>
        <v>46542</v>
      </c>
      <c r="B309" t="str">
        <f>Calendar!L309</f>
        <v>Yes</v>
      </c>
      <c r="C309" t="str">
        <f>Calendar!O309</f>
        <v>No</v>
      </c>
      <c r="D309" t="str">
        <f>Calendar!P309</f>
        <v>No</v>
      </c>
      <c r="E309" t="str">
        <f>Calendar!Q309</f>
        <v>No</v>
      </c>
      <c r="F309" t="str">
        <f>Calendar!I309</f>
        <v>Friday</v>
      </c>
      <c r="G309">
        <f>Calendar!S309</f>
        <v>6</v>
      </c>
      <c r="H309">
        <f>Calendar!T309</f>
        <v>6</v>
      </c>
      <c r="I309" s="27">
        <f>IF(VLOOKUP(A309,Calendar!$A$1:$R$1377,18,0)=0,0,IF(VLOOKUP(A309,Calendar!$A$1:$R$1377,18,0)=1,INDEX(Monthly_Pay_Model!$A$9:$D$40,MATCH(TEXT(A309,"dd"),Monthly_Pay_Model!$C$9:$C$39,0),4),IF(VLOOKUP(A309,Calendar!$A$1:$R$1377,18,0)=2,SUM(INDEX(Monthly_Pay_Model!$A$9:$D$40,MATCH(TEXT(A309,"dd"),Monthly_Pay_Model!$C$9:$C$39,0),4),INDEX(Monthly_Pay_Model!$A$9:$D$40,MATCH(TEXT(A310,"dd"),Monthly_Pay_Model!$C$9:$C$39,0),4)),IF(VLOOKUP(A309,Calendar!$A$1:$R$1377,18,0)=3,SUM(INDEX(Monthly_Pay_Model!$A$9:$D$40,MATCH(TEXT(A309,"dd"),Monthly_Pay_Model!$C$9:$C$39,0),4),INDEX(Monthly_Pay_Model!$A$9:$D$40,MATCH(TEXT(A310,"dd"),Monthly_Pay_Model!$C$9:$C$39,0),4),INDEX(Monthly_Pay_Model!$A$9:$D$40,MATCH(TEXT(A311,"dd"),Monthly_Pay_Model!$C$9:$C$39,0),4)),IF(VLOOKUP(A309,Calendar!$A$1:$R$1377,18,0)=4,SUM(INDEX(Monthly_Pay_Model!$A$9:$D$40,MATCH(TEXT(A309,"dd"),Monthly_Pay_Model!$C$9:$C$39,0),4),INDEX(Monthly_Pay_Model!$A$9:$D$40,MATCH(TEXT(A310,"dd"),Monthly_Pay_Model!$C$9:$C$39,0),4),INDEX(Monthly_Pay_Model!$A$9:$D$40,MATCH(TEXT(A311,"dd"),Monthly_Pay_Model!$C$9:$C$39,0),4),INDEX(Monthly_Pay_Model!$A$9:$D$40,MATCH(TEXT(A312,"dd"),Monthly_Pay_Model!$C$9:$C$39,0),4)),IF(VLOOKUP(A309,Calendar!$A$1:$R$1377,18,0)=5,SUM(INDEX(Monthly_Pay_Model!$A$9:$D$40,MATCH(TEXT(A309,"dd"),Monthly_Pay_Model!$C$9:$C$39,0),4),INDEX(Monthly_Pay_Model!$A$9:$D$40,MATCH(TEXT(A310,"dd"),Monthly_Pay_Model!$C$9:$C$39,0),4),INDEX(Monthly_Pay_Model!$A$9:$D$40,MATCH(TEXT(A311,"dd"),Monthly_Pay_Model!$C$9:$C$39,0),4),INDEX(Monthly_Pay_Model!$A$9:$D$40,MATCH(TEXT(A312,"dd"),Monthly_Pay_Model!$C$9:$C$39,0),4),INDEX(Monthly_Pay_Model!$A$9:$D$40,MATCH(TEXT(A313,"dd"),Monthly_Pay_Model!$C$9:$C$39,0),4)),))))))</f>
        <v>1.137591623036649E-2</v>
      </c>
      <c r="J309" s="33">
        <f>IF(C309="Yes",Monthly_Pay_Model!$D$2,0)
+IF(Calendar!N309="Yes",Monthly_Pay_Model!$D$3,0)
+IF(D309="Yes",Monthly_Pay_Model!$D$4,0)
+IF(E309="Yes",Monthly_Pay_Model!$D$5,0)</f>
        <v>0</v>
      </c>
      <c r="K309" s="27">
        <f>IF(VLOOKUP($A309,Calendar!$A$1:$R$1377,18,0)=0,0,IF(VLOOKUP($A309,Calendar!$A$1:$R$1377,18,0)=1,IFERROR(INDEX(Weekly_Model!$D$2:$D$9,MATCH(F309,Weekly_Model!$A$2:$A$9,0)),0),IF(VLOOKUP($A309,Calendar!$A$1:$R$1377,18,0)=2,SUM(IFERROR(INDEX(Weekly_Model!$D$2:$D$9,MATCH(F309,Weekly_Model!$A$2:$A$9,0)),0),IFERROR(INDEX(Weekly_Model!$D$2:$D$9,MATCH(F310,Weekly_Model!$A$2:$A$9,0)),0)),IF(VLOOKUP($A309,Calendar!$A$1:$R$1377,18,0)=3,SUM(IFERROR(INDEX(Weekly_Model!$D$2:$D$9,MATCH(F309,Weekly_Model!$A$2:$A$9,0)),0),IFERROR(INDEX(Weekly_Model!$D$2:$D$9,MATCH(F310,Weekly_Model!$A$2:$A$9,0)),0),IFERROR(INDEX(Weekly_Model!$D$2:$D$9,MATCH(F311,Weekly_Model!$A$2:$A$9,0)),0)),IF(VLOOKUP($A309,Calendar!$A$1:$R$1377,18,0)=4,SUM(IFERROR(INDEX(Weekly_Model!$D$2:$D$9,MATCH(F309,Weekly_Model!$A$2:$A$9,0)),0),IFERROR(INDEX(Weekly_Model!$D$2:$D$9,MATCH(F310,Weekly_Model!$A$2:$A$9,0)),0),IFERROR(INDEX(Weekly_Model!$D$2:$D$9,MATCH(F311,Weekly_Model!$A$2:$A$9,0)),0),IFERROR(INDEX(Weekly_Model!$D$2:$D$9,MATCH(F312,Weekly_Model!$A$2:$A$9,0)),0)),IF(VLOOKUP($A309,Calendar!$A$1:$R$1377,18,0)=5,SUM(IFERROR(INDEX(Weekly_Model!$D$2:$D$9,MATCH(F309,Weekly_Model!$A$2:$A$9,0)),0),IFERROR(INDEX(Weekly_Model!$D$2:$D$9,MATCH(F310,Weekly_Model!$A$2:$A$9,0)),0),IFERROR(INDEX(Weekly_Model!$D$2:$D$9,MATCH(F311,Weekly_Model!$A$2:$A$9,0)),0),IFERROR(INDEX(Weekly_Model!$D$2:$D$9,MATCH(F312,Weekly_Model!$A$2:$A$9,0)),0),IFERROR(INDEX(Weekly_Model!$D$2:$D$9,MATCH(F313,Weekly_Model!$A$2:$A$9,0)),0)),0))))))</f>
        <v>2.3200000000000002E-2</v>
      </c>
      <c r="L309" s="27">
        <f>IF(VLOOKUP($A309,Calendar!$A$1:$R$1377,18,0)=0,0,IF(VLOOKUP($A309,Calendar!$A$1:$R$1377,18,0)=1,IFERROR(INDEX(Fortnightly_Model!$D$2:$D$15,MATCH(G309,Fortnightly_Model!$B$2:$B$15,0)),0),IF(VLOOKUP($A309,Calendar!$A$1:$R$1377,18,0)=2,SUM(IFERROR(INDEX(Fortnightly_Model!$D$2:$D$15,MATCH(G309,Fortnightly_Model!$B$2:$B$15,0)),0),IFERROR(INDEX(Fortnightly_Model!$D$2:$D$15,MATCH(G310,Fortnightly_Model!$B$2:$B$15,0)),0)),IF(VLOOKUP($A309,Calendar!$A$1:$R$1377,18,0)=3,SUM(IFERROR(INDEX(Fortnightly_Model!$D$2:$D$15,MATCH(G309,Fortnightly_Model!$B$2:$B$15,0)),0),IFERROR(INDEX(Fortnightly_Model!$D$2:$D$15,MATCH(G310,Fortnightly_Model!$B$2:$B$15,0)),0),IFERROR(INDEX(Fortnightly_Model!$D$2:$D$15,MATCH(G311,Fortnightly_Model!$B$2:$B$15,0)),0)),IF(VLOOKUP($A309,Calendar!$A$1:$R$1377,18,0)=4,SUM(IFERROR(INDEX(Fortnightly_Model!$D$2:$D$15,MATCH(G309,Fortnightly_Model!$B$2:$B$15,0)),0),IFERROR(INDEX(Fortnightly_Model!$D$2:$D$15,MATCH(G310,Fortnightly_Model!$B$2:$B$15,0)),0),IFERROR(INDEX(Fortnightly_Model!$D$2:$D$15,MATCH(G311,Fortnightly_Model!$B$2:$B$15,0)),0),IFERROR(INDEX(Fortnightly_Model!$D$2:$D$15,MATCH(G312,Fortnightly_Model!$B$2:$B$15,0)),0)),IF(VLOOKUP($A309,Calendar!$A$1:$R$1377,18,0)=5,SUM(IFERROR(INDEX(Fortnightly_Model!$D$2:$D$15,MATCH(G309,Fortnightly_Model!$B$2:$B$15,0)),0),IFERROR(INDEX(Fortnightly_Model!$D$2:$D$15,MATCH(G310,Fortnightly_Model!$B$2:$B$15,0)),0),IFERROR(INDEX(Fortnightly_Model!$D$2:$D$15,MATCH(G311,Fortnightly_Model!$B$2:$B$15,0)),0),IFERROR(INDEX(Fortnightly_Model!$D$2:$D$15,MATCH(G312,Fortnightly_Model!$B$2:$B$15,0)),0),IFERROR(INDEX(Fortnightly_Model!$D$2:$D$15,MATCH(G313,Fortnightly_Model!$B$2:$B$15,0)),0)),0))))))</f>
        <v>3.2142856499999999E-3</v>
      </c>
      <c r="M309" s="27">
        <f>IF(VLOOKUP($A309,Calendar!$A$1:$R$1377,18,0)=0,0,IF(VLOOKUP($A309,Calendar!$A$1:$R$1377,18,0)=1,IFERROR(INDEX(FourWeekly_Model!$D$2:$D$29,MATCH(H309,FourWeekly_Model!$B$2:$B$29,0)),0),IF(VLOOKUP($A309,Calendar!$A$1:$R$1377,18,0)=2,SUM(IFERROR(INDEX(FourWeekly_Model!$D$2:$D$29,MATCH(H309,FourWeekly_Model!$B$2:$B$29,0)),0),IFERROR(INDEX(FourWeekly_Model!$D$2:$D$29,MATCH(H310,FourWeekly_Model!$B$2:$B$29,0)),0)),IF(VLOOKUP($A309,Calendar!$A$1:$R$1377,18,0)=3,SUM(IFERROR(INDEX(FourWeekly_Model!$D$2:$D$29,MATCH(H309,FourWeekly_Model!$B$2:$B$29,0)),0),IFERROR(INDEX(FourWeekly_Model!$D$2:$D$29,MATCH(H310,FourWeekly_Model!$B$2:$B$29,0)),0),IFERROR(INDEX(FourWeekly_Model!$D$2:$D$29,MATCH(H311,FourWeekly_Model!$B$2:$B$29,0)),0)),IF(VLOOKUP($A309,Calendar!$A$1:$R$1377,18,0)=4,SUM(IFERROR(INDEX(FourWeekly_Model!$D$2:$D$29,MATCH(H309,FourWeekly_Model!$B$2:$B$29,0)),0),IFERROR(INDEX(FourWeekly_Model!$D$2:$D$29,MATCH(H310,FourWeekly_Model!$B$2:$B$29,0)),0),IFERROR(INDEX(FourWeekly_Model!$D$2:$D$29,MATCH(H311,FourWeekly_Model!$B$2:$B$29,0)),0),IFERROR(INDEX(FourWeekly_Model!$D$2:$D$29,MATCH(H312,FourWeekly_Model!$B$2:$B$29,0)),0)),IF(VLOOKUP($A309,Calendar!$A$1:$R$1377,18,0)=5,SUM(IFERROR(INDEX(FourWeekly_Model!$D$2:$D$29,MATCH(H309,FourWeekly_Model!$B$2:$B$29,0)),0),IFERROR(INDEX(FourWeekly_Model!$D$2:$D$29,MATCH(H310,FourWeekly_Model!$B$2:$B$29,0)),0),IFERROR(INDEX(FourWeekly_Model!$D$2:$D$29,MATCH(H311,FourWeekly_Model!$B$2:$B$29,0)),0),IFERROR(INDEX(FourWeekly_Model!$D$2:$D$29,MATCH(H312,FourWeekly_Model!$B$2:$B$29,0)),0),IFERROR(INDEX(FourWeekly_Model!$D$2:$D$29,MATCH(H313,FourWeekly_Model!$B$2:$B$29,0)),0)),0))))))</f>
        <v>9.9642859800000011E-3</v>
      </c>
      <c r="N309" s="27">
        <f>SUM(I309:M309)</f>
        <v>4.7754487860366492E-2</v>
      </c>
      <c r="O309" s="28">
        <f>Population_Data!$B$8*N309</f>
        <v>1446960.9821691047</v>
      </c>
      <c r="P309" s="27">
        <f>IF(VLOOKUP($A309,Calendar!$A$1:$R$1377,18,0)=0,0,IF(VLOOKUP($A309,Calendar!$A$1:$R$1377,18,0)=1,IFERROR(INDEX(Pension_Model!$D$2:$D$29,MATCH(H309,Pension_Model!$B$2:$B$29,0)),0),IF(VLOOKUP($A309,Calendar!$A$1:$R$1377,18,0)=2,SUM(IFERROR(INDEX(Pension_Model!$D$2:$D$29,MATCH(H309,Pension_Model!$B$2:$B$29,0)),0),IFERROR(INDEX(Pension_Model!$D$2:$D$29,MATCH(H310,Pension_Model!$B$2:$B$29,0)),0)),IF(VLOOKUP($A309,Calendar!$A$1:$R$1377,18,0)=3,SUM(IFERROR(INDEX(Pension_Model!$D$2:$D$29,MATCH(H309,Pension_Model!$B$2:$B$29,0)),0),IFERROR(INDEX(Pension_Model!$D$2:$D$29,MATCH(H310,Pension_Model!$B$2:$B$29,0)),0),IFERROR(INDEX(Pension_Model!$D$2:$D$29,MATCH(H311,Pension_Model!$B$2:$B$29,0)),0)),IF(VLOOKUP($A309,Calendar!$A$1:$R$1377,18,0)=4,SUM(IFERROR(INDEX(Pension_Model!$D$2:$D$29,MATCH(H309,Pension_Model!$B$2:$B$29,0)),0),IFERROR(INDEX(Pension_Model!$D$2:$D$29,MATCH(H310,Pension_Model!$B$2:$B$29,0)),0),IFERROR(INDEX(Pension_Model!$D$2:$D$29,MATCH(H311,Pension_Model!$B$2:$B$29,0)),0),IFERROR(INDEX(Pension_Model!$D$2:$D$29,MATCH(H312,Pension_Model!$B$2:$B$29,0)),0)),IF(VLOOKUP($A309,Calendar!$A$1:$R$1377,18,0)=5,SUM(IFERROR(INDEX(Pension_Model!$D$2:$D$29,MATCH(H309,Pension_Model!$B$2:$B$29,0)),0),IFERROR(INDEX(Pension_Model!$D$2:$D$29,MATCH(H310,Pension_Model!$B$2:$B$29,0)),0),IFERROR(INDEX(Pension_Model!$D$2:$D$29,MATCH(H311,Pension_Model!$B$2:$B$29,0)),0),IFERROR(INDEX(Pension_Model!$D$2:$D$29,MATCH(H312,Pension_Model!$B$2:$B$29,0)),0),IFERROR(INDEX(Pension_Model!$D$2:$D$29,MATCH(H313,Pension_Model!$B$2:$B$29,0)),0)),0))))))</f>
        <v>0.05</v>
      </c>
      <c r="Q309" s="28">
        <f>Population_Data!$B$15*P309</f>
        <v>660600</v>
      </c>
      <c r="S309">
        <f t="shared" si="4"/>
        <v>2107560.9821691047</v>
      </c>
      <c r="U309" s="33">
        <f>S309/Population_Data!$B$19</f>
        <v>3.8180452575527261E-2</v>
      </c>
    </row>
    <row r="310" spans="1:21">
      <c r="A310" s="25">
        <f>Calendar!A310</f>
        <v>46543</v>
      </c>
      <c r="B310" t="str">
        <f>Calendar!L310</f>
        <v>No</v>
      </c>
      <c r="C310" t="str">
        <f>Calendar!O310</f>
        <v>No</v>
      </c>
      <c r="D310" t="str">
        <f>Calendar!P310</f>
        <v>No</v>
      </c>
      <c r="E310" t="str">
        <f>Calendar!Q310</f>
        <v>No</v>
      </c>
      <c r="F310" t="str">
        <f>Calendar!I310</f>
        <v>Saturday</v>
      </c>
      <c r="G310">
        <f>Calendar!S310</f>
        <v>7</v>
      </c>
      <c r="H310">
        <f>Calendar!T310</f>
        <v>7</v>
      </c>
      <c r="I310" s="27">
        <f>IF(VLOOKUP(A310,Calendar!$A$1:$R$1377,18,0)=0,0,IF(VLOOKUP(A310,Calendar!$A$1:$R$1377,18,0)=1,INDEX(Monthly_Pay_Model!$A$9:$D$40,MATCH(TEXT(A310,"dd"),Monthly_Pay_Model!$C$9:$C$39,0),4),IF(VLOOKUP(A310,Calendar!$A$1:$R$1377,18,0)=2,SUM(INDEX(Monthly_Pay_Model!$A$9:$D$40,MATCH(TEXT(A310,"dd"),Monthly_Pay_Model!$C$9:$C$39,0),4),INDEX(Monthly_Pay_Model!$A$9:$D$40,MATCH(TEXT(A311,"dd"),Monthly_Pay_Model!$C$9:$C$39,0),4)),IF(VLOOKUP(A310,Calendar!$A$1:$R$1377,18,0)=3,SUM(INDEX(Monthly_Pay_Model!$A$9:$D$40,MATCH(TEXT(A310,"dd"),Monthly_Pay_Model!$C$9:$C$39,0),4),INDEX(Monthly_Pay_Model!$A$9:$D$40,MATCH(TEXT(A311,"dd"),Monthly_Pay_Model!$C$9:$C$39,0),4),INDEX(Monthly_Pay_Model!$A$9:$D$40,MATCH(TEXT(A312,"dd"),Monthly_Pay_Model!$C$9:$C$39,0),4)),IF(VLOOKUP(A310,Calendar!$A$1:$R$1377,18,0)=4,SUM(INDEX(Monthly_Pay_Model!$A$9:$D$40,MATCH(TEXT(A310,"dd"),Monthly_Pay_Model!$C$9:$C$39,0),4),INDEX(Monthly_Pay_Model!$A$9:$D$40,MATCH(TEXT(A311,"dd"),Monthly_Pay_Model!$C$9:$C$39,0),4),INDEX(Monthly_Pay_Model!$A$9:$D$40,MATCH(TEXT(A312,"dd"),Monthly_Pay_Model!$C$9:$C$39,0),4),INDEX(Monthly_Pay_Model!$A$9:$D$40,MATCH(TEXT(A313,"dd"),Monthly_Pay_Model!$C$9:$C$39,0),4)),IF(VLOOKUP(A310,Calendar!$A$1:$R$1377,18,0)=5,SUM(INDEX(Monthly_Pay_Model!$A$9:$D$40,MATCH(TEXT(A310,"dd"),Monthly_Pay_Model!$C$9:$C$39,0),4),INDEX(Monthly_Pay_Model!$A$9:$D$40,MATCH(TEXT(A311,"dd"),Monthly_Pay_Model!$C$9:$C$39,0),4),INDEX(Monthly_Pay_Model!$A$9:$D$40,MATCH(TEXT(A312,"dd"),Monthly_Pay_Model!$C$9:$C$39,0),4),INDEX(Monthly_Pay_Model!$A$9:$D$40,MATCH(TEXT(A313,"dd"),Monthly_Pay_Model!$C$9:$C$39,0),4),INDEX(Monthly_Pay_Model!$A$9:$D$40,MATCH(TEXT(A314,"dd"),Monthly_Pay_Model!$C$9:$C$39,0),4)),))))))</f>
        <v>0</v>
      </c>
      <c r="J310" s="33">
        <f>IF(C310="Yes",Monthly_Pay_Model!$D$2,0)
+IF(Calendar!N310="Yes",Monthly_Pay_Model!$D$3,0)
+IF(D310="Yes",Monthly_Pay_Model!$D$4,0)
+IF(E310="Yes",Monthly_Pay_Model!$D$5,0)</f>
        <v>0</v>
      </c>
      <c r="K310" s="27">
        <f>IF(VLOOKUP($A310,Calendar!$A$1:$R$1377,18,0)=0,0,IF(VLOOKUP($A310,Calendar!$A$1:$R$1377,18,0)=1,IFERROR(INDEX(Weekly_Model!$D$2:$D$9,MATCH(F310,Weekly_Model!$A$2:$A$9,0)),0),IF(VLOOKUP($A310,Calendar!$A$1:$R$1377,18,0)=2,SUM(IFERROR(INDEX(Weekly_Model!$D$2:$D$9,MATCH(F310,Weekly_Model!$A$2:$A$9,0)),0),IFERROR(INDEX(Weekly_Model!$D$2:$D$9,MATCH(F311,Weekly_Model!$A$2:$A$9,0)),0)),IF(VLOOKUP($A310,Calendar!$A$1:$R$1377,18,0)=3,SUM(IFERROR(INDEX(Weekly_Model!$D$2:$D$9,MATCH(F310,Weekly_Model!$A$2:$A$9,0)),0),IFERROR(INDEX(Weekly_Model!$D$2:$D$9,MATCH(F311,Weekly_Model!$A$2:$A$9,0)),0),IFERROR(INDEX(Weekly_Model!$D$2:$D$9,MATCH(F312,Weekly_Model!$A$2:$A$9,0)),0)),IF(VLOOKUP($A310,Calendar!$A$1:$R$1377,18,0)=4,SUM(IFERROR(INDEX(Weekly_Model!$D$2:$D$9,MATCH(F310,Weekly_Model!$A$2:$A$9,0)),0),IFERROR(INDEX(Weekly_Model!$D$2:$D$9,MATCH(F311,Weekly_Model!$A$2:$A$9,0)),0),IFERROR(INDEX(Weekly_Model!$D$2:$D$9,MATCH(F312,Weekly_Model!$A$2:$A$9,0)),0),IFERROR(INDEX(Weekly_Model!$D$2:$D$9,MATCH(F313,Weekly_Model!$A$2:$A$9,0)),0)),IF(VLOOKUP($A310,Calendar!$A$1:$R$1377,18,0)=5,SUM(IFERROR(INDEX(Weekly_Model!$D$2:$D$9,MATCH(F310,Weekly_Model!$A$2:$A$9,0)),0),IFERROR(INDEX(Weekly_Model!$D$2:$D$9,MATCH(F311,Weekly_Model!$A$2:$A$9,0)),0),IFERROR(INDEX(Weekly_Model!$D$2:$D$9,MATCH(F312,Weekly_Model!$A$2:$A$9,0)),0),IFERROR(INDEX(Weekly_Model!$D$2:$D$9,MATCH(F313,Weekly_Model!$A$2:$A$9,0)),0),IFERROR(INDEX(Weekly_Model!$D$2:$D$9,MATCH(F314,Weekly_Model!$A$2:$A$9,0)),0)),0))))))</f>
        <v>0</v>
      </c>
      <c r="L310" s="27">
        <f>IF(VLOOKUP($A310,Calendar!$A$1:$R$1377,18,0)=0,0,IF(VLOOKUP($A310,Calendar!$A$1:$R$1377,18,0)=1,IFERROR(INDEX(Fortnightly_Model!$D$2:$D$15,MATCH(G310,Fortnightly_Model!$B$2:$B$15,0)),0),IF(VLOOKUP($A310,Calendar!$A$1:$R$1377,18,0)=2,SUM(IFERROR(INDEX(Fortnightly_Model!$D$2:$D$15,MATCH(G310,Fortnightly_Model!$B$2:$B$15,0)),0),IFERROR(INDEX(Fortnightly_Model!$D$2:$D$15,MATCH(G311,Fortnightly_Model!$B$2:$B$15,0)),0)),IF(VLOOKUP($A310,Calendar!$A$1:$R$1377,18,0)=3,SUM(IFERROR(INDEX(Fortnightly_Model!$D$2:$D$15,MATCH(G310,Fortnightly_Model!$B$2:$B$15,0)),0),IFERROR(INDEX(Fortnightly_Model!$D$2:$D$15,MATCH(G311,Fortnightly_Model!$B$2:$B$15,0)),0),IFERROR(INDEX(Fortnightly_Model!$D$2:$D$15,MATCH(G312,Fortnightly_Model!$B$2:$B$15,0)),0)),IF(VLOOKUP($A310,Calendar!$A$1:$R$1377,18,0)=4,SUM(IFERROR(INDEX(Fortnightly_Model!$D$2:$D$15,MATCH(G310,Fortnightly_Model!$B$2:$B$15,0)),0),IFERROR(INDEX(Fortnightly_Model!$D$2:$D$15,MATCH(G311,Fortnightly_Model!$B$2:$B$15,0)),0),IFERROR(INDEX(Fortnightly_Model!$D$2:$D$15,MATCH(G312,Fortnightly_Model!$B$2:$B$15,0)),0),IFERROR(INDEX(Fortnightly_Model!$D$2:$D$15,MATCH(G313,Fortnightly_Model!$B$2:$B$15,0)),0)),IF(VLOOKUP($A310,Calendar!$A$1:$R$1377,18,0)=5,SUM(IFERROR(INDEX(Fortnightly_Model!$D$2:$D$15,MATCH(G310,Fortnightly_Model!$B$2:$B$15,0)),0),IFERROR(INDEX(Fortnightly_Model!$D$2:$D$15,MATCH(G311,Fortnightly_Model!$B$2:$B$15,0)),0),IFERROR(INDEX(Fortnightly_Model!$D$2:$D$15,MATCH(G312,Fortnightly_Model!$B$2:$B$15,0)),0),IFERROR(INDEX(Fortnightly_Model!$D$2:$D$15,MATCH(G313,Fortnightly_Model!$B$2:$B$15,0)),0),IFERROR(INDEX(Fortnightly_Model!$D$2:$D$15,MATCH(G314,Fortnightly_Model!$B$2:$B$15,0)),0)),0))))))</f>
        <v>0</v>
      </c>
      <c r="M310" s="27">
        <f>IF(VLOOKUP($A310,Calendar!$A$1:$R$1377,18,0)=0,0,IF(VLOOKUP($A310,Calendar!$A$1:$R$1377,18,0)=1,IFERROR(INDEX(FourWeekly_Model!$D$2:$D$29,MATCH(H310,FourWeekly_Model!$B$2:$B$29,0)),0),IF(VLOOKUP($A310,Calendar!$A$1:$R$1377,18,0)=2,SUM(IFERROR(INDEX(FourWeekly_Model!$D$2:$D$29,MATCH(H310,FourWeekly_Model!$B$2:$B$29,0)),0),IFERROR(INDEX(FourWeekly_Model!$D$2:$D$29,MATCH(H311,FourWeekly_Model!$B$2:$B$29,0)),0)),IF(VLOOKUP($A310,Calendar!$A$1:$R$1377,18,0)=3,SUM(IFERROR(INDEX(FourWeekly_Model!$D$2:$D$29,MATCH(H310,FourWeekly_Model!$B$2:$B$29,0)),0),IFERROR(INDEX(FourWeekly_Model!$D$2:$D$29,MATCH(H311,FourWeekly_Model!$B$2:$B$29,0)),0),IFERROR(INDEX(FourWeekly_Model!$D$2:$D$29,MATCH(H312,FourWeekly_Model!$B$2:$B$29,0)),0)),IF(VLOOKUP($A310,Calendar!$A$1:$R$1377,18,0)=4,SUM(IFERROR(INDEX(FourWeekly_Model!$D$2:$D$29,MATCH(H310,FourWeekly_Model!$B$2:$B$29,0)),0),IFERROR(INDEX(FourWeekly_Model!$D$2:$D$29,MATCH(H311,FourWeekly_Model!$B$2:$B$29,0)),0),IFERROR(INDEX(FourWeekly_Model!$D$2:$D$29,MATCH(H312,FourWeekly_Model!$B$2:$B$29,0)),0),IFERROR(INDEX(FourWeekly_Model!$D$2:$D$29,MATCH(H313,FourWeekly_Model!$B$2:$B$29,0)),0)),IF(VLOOKUP($A310,Calendar!$A$1:$R$1377,18,0)=5,SUM(IFERROR(INDEX(FourWeekly_Model!$D$2:$D$29,MATCH(H310,FourWeekly_Model!$B$2:$B$29,0)),0),IFERROR(INDEX(FourWeekly_Model!$D$2:$D$29,MATCH(H311,FourWeekly_Model!$B$2:$B$29,0)),0),IFERROR(INDEX(FourWeekly_Model!$D$2:$D$29,MATCH(H312,FourWeekly_Model!$B$2:$B$29,0)),0),IFERROR(INDEX(FourWeekly_Model!$D$2:$D$29,MATCH(H313,FourWeekly_Model!$B$2:$B$29,0)),0),IFERROR(INDEX(FourWeekly_Model!$D$2:$D$29,MATCH(H314,FourWeekly_Model!$B$2:$B$29,0)),0)),0))))))</f>
        <v>0</v>
      </c>
      <c r="N310" s="27">
        <f>SUM(I310:M310)</f>
        <v>0</v>
      </c>
      <c r="O310" s="28">
        <f>Population_Data!$B$8*N310</f>
        <v>0</v>
      </c>
      <c r="P310" s="27">
        <f>IF(VLOOKUP($A310,Calendar!$A$1:$R$1377,18,0)=0,0,IF(VLOOKUP($A310,Calendar!$A$1:$R$1377,18,0)=1,IFERROR(INDEX(Pension_Model!$D$2:$D$29,MATCH(H310,Pension_Model!$B$2:$B$29,0)),0),IF(VLOOKUP($A310,Calendar!$A$1:$R$1377,18,0)=2,SUM(IFERROR(INDEX(Pension_Model!$D$2:$D$29,MATCH(H310,Pension_Model!$B$2:$B$29,0)),0),IFERROR(INDEX(Pension_Model!$D$2:$D$29,MATCH(H311,Pension_Model!$B$2:$B$29,0)),0)),IF(VLOOKUP($A310,Calendar!$A$1:$R$1377,18,0)=3,SUM(IFERROR(INDEX(Pension_Model!$D$2:$D$29,MATCH(H310,Pension_Model!$B$2:$B$29,0)),0),IFERROR(INDEX(Pension_Model!$D$2:$D$29,MATCH(H311,Pension_Model!$B$2:$B$29,0)),0),IFERROR(INDEX(Pension_Model!$D$2:$D$29,MATCH(H312,Pension_Model!$B$2:$B$29,0)),0)),IF(VLOOKUP($A310,Calendar!$A$1:$R$1377,18,0)=4,SUM(IFERROR(INDEX(Pension_Model!$D$2:$D$29,MATCH(H310,Pension_Model!$B$2:$B$29,0)),0),IFERROR(INDEX(Pension_Model!$D$2:$D$29,MATCH(H311,Pension_Model!$B$2:$B$29,0)),0),IFERROR(INDEX(Pension_Model!$D$2:$D$29,MATCH(H312,Pension_Model!$B$2:$B$29,0)),0),IFERROR(INDEX(Pension_Model!$D$2:$D$29,MATCH(H313,Pension_Model!$B$2:$B$29,0)),0)),IF(VLOOKUP($A310,Calendar!$A$1:$R$1377,18,0)=5,SUM(IFERROR(INDEX(Pension_Model!$D$2:$D$29,MATCH(H310,Pension_Model!$B$2:$B$29,0)),0),IFERROR(INDEX(Pension_Model!$D$2:$D$29,MATCH(H311,Pension_Model!$B$2:$B$29,0)),0),IFERROR(INDEX(Pension_Model!$D$2:$D$29,MATCH(H312,Pension_Model!$B$2:$B$29,0)),0),IFERROR(INDEX(Pension_Model!$D$2:$D$29,MATCH(H313,Pension_Model!$B$2:$B$29,0)),0),IFERROR(INDEX(Pension_Model!$D$2:$D$29,MATCH(H314,Pension_Model!$B$2:$B$29,0)),0)),0))))))</f>
        <v>0</v>
      </c>
      <c r="Q310" s="28">
        <f>Population_Data!$B$15*P310</f>
        <v>0</v>
      </c>
      <c r="S310">
        <f t="shared" si="4"/>
        <v>0</v>
      </c>
      <c r="U310" s="33">
        <f>S310/Population_Data!$B$19</f>
        <v>0</v>
      </c>
    </row>
    <row r="311" spans="1:21">
      <c r="A311" s="25">
        <f>Calendar!A311</f>
        <v>46544</v>
      </c>
      <c r="B311" t="str">
        <f>Calendar!L311</f>
        <v>No</v>
      </c>
      <c r="C311" t="str">
        <f>Calendar!O311</f>
        <v>No</v>
      </c>
      <c r="D311" t="str">
        <f>Calendar!P311</f>
        <v>No</v>
      </c>
      <c r="E311" t="str">
        <f>Calendar!Q311</f>
        <v>No</v>
      </c>
      <c r="F311" t="str">
        <f>Calendar!I311</f>
        <v>Sunday</v>
      </c>
      <c r="G311">
        <f>Calendar!S311</f>
        <v>8</v>
      </c>
      <c r="H311">
        <f>Calendar!T311</f>
        <v>8</v>
      </c>
      <c r="I311" s="27">
        <f>IF(VLOOKUP(A311,Calendar!$A$1:$R$1377,18,0)=0,0,IF(VLOOKUP(A311,Calendar!$A$1:$R$1377,18,0)=1,INDEX(Monthly_Pay_Model!$A$9:$D$40,MATCH(TEXT(A311,"dd"),Monthly_Pay_Model!$C$9:$C$39,0),4),IF(VLOOKUP(A311,Calendar!$A$1:$R$1377,18,0)=2,SUM(INDEX(Monthly_Pay_Model!$A$9:$D$40,MATCH(TEXT(A311,"dd"),Monthly_Pay_Model!$C$9:$C$39,0),4),INDEX(Monthly_Pay_Model!$A$9:$D$40,MATCH(TEXT(A312,"dd"),Monthly_Pay_Model!$C$9:$C$39,0),4)),IF(VLOOKUP(A311,Calendar!$A$1:$R$1377,18,0)=3,SUM(INDEX(Monthly_Pay_Model!$A$9:$D$40,MATCH(TEXT(A311,"dd"),Monthly_Pay_Model!$C$9:$C$39,0),4),INDEX(Monthly_Pay_Model!$A$9:$D$40,MATCH(TEXT(A312,"dd"),Monthly_Pay_Model!$C$9:$C$39,0),4),INDEX(Monthly_Pay_Model!$A$9:$D$40,MATCH(TEXT(A313,"dd"),Monthly_Pay_Model!$C$9:$C$39,0),4)),IF(VLOOKUP(A311,Calendar!$A$1:$R$1377,18,0)=4,SUM(INDEX(Monthly_Pay_Model!$A$9:$D$40,MATCH(TEXT(A311,"dd"),Monthly_Pay_Model!$C$9:$C$39,0),4),INDEX(Monthly_Pay_Model!$A$9:$D$40,MATCH(TEXT(A312,"dd"),Monthly_Pay_Model!$C$9:$C$39,0),4),INDEX(Monthly_Pay_Model!$A$9:$D$40,MATCH(TEXT(A313,"dd"),Monthly_Pay_Model!$C$9:$C$39,0),4),INDEX(Monthly_Pay_Model!$A$9:$D$40,MATCH(TEXT(A314,"dd"),Monthly_Pay_Model!$C$9:$C$39,0),4)),IF(VLOOKUP(A311,Calendar!$A$1:$R$1377,18,0)=5,SUM(INDEX(Monthly_Pay_Model!$A$9:$D$40,MATCH(TEXT(A311,"dd"),Monthly_Pay_Model!$C$9:$C$39,0),4),INDEX(Monthly_Pay_Model!$A$9:$D$40,MATCH(TEXT(A312,"dd"),Monthly_Pay_Model!$C$9:$C$39,0),4),INDEX(Monthly_Pay_Model!$A$9:$D$40,MATCH(TEXT(A313,"dd"),Monthly_Pay_Model!$C$9:$C$39,0),4),INDEX(Monthly_Pay_Model!$A$9:$D$40,MATCH(TEXT(A314,"dd"),Monthly_Pay_Model!$C$9:$C$39,0),4),INDEX(Monthly_Pay_Model!$A$9:$D$40,MATCH(TEXT(A315,"dd"),Monthly_Pay_Model!$C$9:$C$39,0),4)),))))))</f>
        <v>0</v>
      </c>
      <c r="J311" s="33">
        <f>IF(C311="Yes",Monthly_Pay_Model!$D$2,0)
+IF(Calendar!N311="Yes",Monthly_Pay_Model!$D$3,0)
+IF(D311="Yes",Monthly_Pay_Model!$D$4,0)
+IF(E311="Yes",Monthly_Pay_Model!$D$5,0)</f>
        <v>0</v>
      </c>
      <c r="K311" s="27">
        <f>IF(VLOOKUP($A311,Calendar!$A$1:$R$1377,18,0)=0,0,IF(VLOOKUP($A311,Calendar!$A$1:$R$1377,18,0)=1,IFERROR(INDEX(Weekly_Model!$D$2:$D$9,MATCH(F311,Weekly_Model!$A$2:$A$9,0)),0),IF(VLOOKUP($A311,Calendar!$A$1:$R$1377,18,0)=2,SUM(IFERROR(INDEX(Weekly_Model!$D$2:$D$9,MATCH(F311,Weekly_Model!$A$2:$A$9,0)),0),IFERROR(INDEX(Weekly_Model!$D$2:$D$9,MATCH(F312,Weekly_Model!$A$2:$A$9,0)),0)),IF(VLOOKUP($A311,Calendar!$A$1:$R$1377,18,0)=3,SUM(IFERROR(INDEX(Weekly_Model!$D$2:$D$9,MATCH(F311,Weekly_Model!$A$2:$A$9,0)),0),IFERROR(INDEX(Weekly_Model!$D$2:$D$9,MATCH(F312,Weekly_Model!$A$2:$A$9,0)),0),IFERROR(INDEX(Weekly_Model!$D$2:$D$9,MATCH(F313,Weekly_Model!$A$2:$A$9,0)),0)),IF(VLOOKUP($A311,Calendar!$A$1:$R$1377,18,0)=4,SUM(IFERROR(INDEX(Weekly_Model!$D$2:$D$9,MATCH(F311,Weekly_Model!$A$2:$A$9,0)),0),IFERROR(INDEX(Weekly_Model!$D$2:$D$9,MATCH(F312,Weekly_Model!$A$2:$A$9,0)),0),IFERROR(INDEX(Weekly_Model!$D$2:$D$9,MATCH(F313,Weekly_Model!$A$2:$A$9,0)),0),IFERROR(INDEX(Weekly_Model!$D$2:$D$9,MATCH(F314,Weekly_Model!$A$2:$A$9,0)),0)),IF(VLOOKUP($A311,Calendar!$A$1:$R$1377,18,0)=5,SUM(IFERROR(INDEX(Weekly_Model!$D$2:$D$9,MATCH(F311,Weekly_Model!$A$2:$A$9,0)),0),IFERROR(INDEX(Weekly_Model!$D$2:$D$9,MATCH(F312,Weekly_Model!$A$2:$A$9,0)),0),IFERROR(INDEX(Weekly_Model!$D$2:$D$9,MATCH(F313,Weekly_Model!$A$2:$A$9,0)),0),IFERROR(INDEX(Weekly_Model!$D$2:$D$9,MATCH(F314,Weekly_Model!$A$2:$A$9,0)),0),IFERROR(INDEX(Weekly_Model!$D$2:$D$9,MATCH(F315,Weekly_Model!$A$2:$A$9,0)),0)),0))))))</f>
        <v>0</v>
      </c>
      <c r="L311" s="27">
        <f>IF(VLOOKUP($A311,Calendar!$A$1:$R$1377,18,0)=0,0,IF(VLOOKUP($A311,Calendar!$A$1:$R$1377,18,0)=1,IFERROR(INDEX(Fortnightly_Model!$D$2:$D$15,MATCH(G311,Fortnightly_Model!$B$2:$B$15,0)),0),IF(VLOOKUP($A311,Calendar!$A$1:$R$1377,18,0)=2,SUM(IFERROR(INDEX(Fortnightly_Model!$D$2:$D$15,MATCH(G311,Fortnightly_Model!$B$2:$B$15,0)),0),IFERROR(INDEX(Fortnightly_Model!$D$2:$D$15,MATCH(G312,Fortnightly_Model!$B$2:$B$15,0)),0)),IF(VLOOKUP($A311,Calendar!$A$1:$R$1377,18,0)=3,SUM(IFERROR(INDEX(Fortnightly_Model!$D$2:$D$15,MATCH(G311,Fortnightly_Model!$B$2:$B$15,0)),0),IFERROR(INDEX(Fortnightly_Model!$D$2:$D$15,MATCH(G312,Fortnightly_Model!$B$2:$B$15,0)),0),IFERROR(INDEX(Fortnightly_Model!$D$2:$D$15,MATCH(G313,Fortnightly_Model!$B$2:$B$15,0)),0)),IF(VLOOKUP($A311,Calendar!$A$1:$R$1377,18,0)=4,SUM(IFERROR(INDEX(Fortnightly_Model!$D$2:$D$15,MATCH(G311,Fortnightly_Model!$B$2:$B$15,0)),0),IFERROR(INDEX(Fortnightly_Model!$D$2:$D$15,MATCH(G312,Fortnightly_Model!$B$2:$B$15,0)),0),IFERROR(INDEX(Fortnightly_Model!$D$2:$D$15,MATCH(G313,Fortnightly_Model!$B$2:$B$15,0)),0),IFERROR(INDEX(Fortnightly_Model!$D$2:$D$15,MATCH(G314,Fortnightly_Model!$B$2:$B$15,0)),0)),IF(VLOOKUP($A311,Calendar!$A$1:$R$1377,18,0)=5,SUM(IFERROR(INDEX(Fortnightly_Model!$D$2:$D$15,MATCH(G311,Fortnightly_Model!$B$2:$B$15,0)),0),IFERROR(INDEX(Fortnightly_Model!$D$2:$D$15,MATCH(G312,Fortnightly_Model!$B$2:$B$15,0)),0),IFERROR(INDEX(Fortnightly_Model!$D$2:$D$15,MATCH(G313,Fortnightly_Model!$B$2:$B$15,0)),0),IFERROR(INDEX(Fortnightly_Model!$D$2:$D$15,MATCH(G314,Fortnightly_Model!$B$2:$B$15,0)),0),IFERROR(INDEX(Fortnightly_Model!$D$2:$D$15,MATCH(G315,Fortnightly_Model!$B$2:$B$15,0)),0)),0))))))</f>
        <v>0</v>
      </c>
      <c r="M311" s="27">
        <f>IF(VLOOKUP($A311,Calendar!$A$1:$R$1377,18,0)=0,0,IF(VLOOKUP($A311,Calendar!$A$1:$R$1377,18,0)=1,IFERROR(INDEX(FourWeekly_Model!$D$2:$D$29,MATCH(H311,FourWeekly_Model!$B$2:$B$29,0)),0),IF(VLOOKUP($A311,Calendar!$A$1:$R$1377,18,0)=2,SUM(IFERROR(INDEX(FourWeekly_Model!$D$2:$D$29,MATCH(H311,FourWeekly_Model!$B$2:$B$29,0)),0),IFERROR(INDEX(FourWeekly_Model!$D$2:$D$29,MATCH(H312,FourWeekly_Model!$B$2:$B$29,0)),0)),IF(VLOOKUP($A311,Calendar!$A$1:$R$1377,18,0)=3,SUM(IFERROR(INDEX(FourWeekly_Model!$D$2:$D$29,MATCH(H311,FourWeekly_Model!$B$2:$B$29,0)),0),IFERROR(INDEX(FourWeekly_Model!$D$2:$D$29,MATCH(H312,FourWeekly_Model!$B$2:$B$29,0)),0),IFERROR(INDEX(FourWeekly_Model!$D$2:$D$29,MATCH(H313,FourWeekly_Model!$B$2:$B$29,0)),0)),IF(VLOOKUP($A311,Calendar!$A$1:$R$1377,18,0)=4,SUM(IFERROR(INDEX(FourWeekly_Model!$D$2:$D$29,MATCH(H311,FourWeekly_Model!$B$2:$B$29,0)),0),IFERROR(INDEX(FourWeekly_Model!$D$2:$D$29,MATCH(H312,FourWeekly_Model!$B$2:$B$29,0)),0),IFERROR(INDEX(FourWeekly_Model!$D$2:$D$29,MATCH(H313,FourWeekly_Model!$B$2:$B$29,0)),0),IFERROR(INDEX(FourWeekly_Model!$D$2:$D$29,MATCH(H314,FourWeekly_Model!$B$2:$B$29,0)),0)),IF(VLOOKUP($A311,Calendar!$A$1:$R$1377,18,0)=5,SUM(IFERROR(INDEX(FourWeekly_Model!$D$2:$D$29,MATCH(H311,FourWeekly_Model!$B$2:$B$29,0)),0),IFERROR(INDEX(FourWeekly_Model!$D$2:$D$29,MATCH(H312,FourWeekly_Model!$B$2:$B$29,0)),0),IFERROR(INDEX(FourWeekly_Model!$D$2:$D$29,MATCH(H313,FourWeekly_Model!$B$2:$B$29,0)),0),IFERROR(INDEX(FourWeekly_Model!$D$2:$D$29,MATCH(H314,FourWeekly_Model!$B$2:$B$29,0)),0),IFERROR(INDEX(FourWeekly_Model!$D$2:$D$29,MATCH(H315,FourWeekly_Model!$B$2:$B$29,0)),0)),0))))))</f>
        <v>0</v>
      </c>
      <c r="N311" s="27">
        <f>SUM(I311:M311)</f>
        <v>0</v>
      </c>
      <c r="O311" s="28">
        <f>Population_Data!$B$8*N311</f>
        <v>0</v>
      </c>
      <c r="P311" s="27">
        <f>IF(VLOOKUP($A311,Calendar!$A$1:$R$1377,18,0)=0,0,IF(VLOOKUP($A311,Calendar!$A$1:$R$1377,18,0)=1,IFERROR(INDEX(Pension_Model!$D$2:$D$29,MATCH(H311,Pension_Model!$B$2:$B$29,0)),0),IF(VLOOKUP($A311,Calendar!$A$1:$R$1377,18,0)=2,SUM(IFERROR(INDEX(Pension_Model!$D$2:$D$29,MATCH(H311,Pension_Model!$B$2:$B$29,0)),0),IFERROR(INDEX(Pension_Model!$D$2:$D$29,MATCH(H312,Pension_Model!$B$2:$B$29,0)),0)),IF(VLOOKUP($A311,Calendar!$A$1:$R$1377,18,0)=3,SUM(IFERROR(INDEX(Pension_Model!$D$2:$D$29,MATCH(H311,Pension_Model!$B$2:$B$29,0)),0),IFERROR(INDEX(Pension_Model!$D$2:$D$29,MATCH(H312,Pension_Model!$B$2:$B$29,0)),0),IFERROR(INDEX(Pension_Model!$D$2:$D$29,MATCH(H313,Pension_Model!$B$2:$B$29,0)),0)),IF(VLOOKUP($A311,Calendar!$A$1:$R$1377,18,0)=4,SUM(IFERROR(INDEX(Pension_Model!$D$2:$D$29,MATCH(H311,Pension_Model!$B$2:$B$29,0)),0),IFERROR(INDEX(Pension_Model!$D$2:$D$29,MATCH(H312,Pension_Model!$B$2:$B$29,0)),0),IFERROR(INDEX(Pension_Model!$D$2:$D$29,MATCH(H313,Pension_Model!$B$2:$B$29,0)),0),IFERROR(INDEX(Pension_Model!$D$2:$D$29,MATCH(H314,Pension_Model!$B$2:$B$29,0)),0)),IF(VLOOKUP($A311,Calendar!$A$1:$R$1377,18,0)=5,SUM(IFERROR(INDEX(Pension_Model!$D$2:$D$29,MATCH(H311,Pension_Model!$B$2:$B$29,0)),0),IFERROR(INDEX(Pension_Model!$D$2:$D$29,MATCH(H312,Pension_Model!$B$2:$B$29,0)),0),IFERROR(INDEX(Pension_Model!$D$2:$D$29,MATCH(H313,Pension_Model!$B$2:$B$29,0)),0),IFERROR(INDEX(Pension_Model!$D$2:$D$29,MATCH(H314,Pension_Model!$B$2:$B$29,0)),0),IFERROR(INDEX(Pension_Model!$D$2:$D$29,MATCH(H315,Pension_Model!$B$2:$B$29,0)),0)),0))))))</f>
        <v>0</v>
      </c>
      <c r="Q311" s="28">
        <f>Population_Data!$B$15*P311</f>
        <v>0</v>
      </c>
      <c r="S311">
        <f t="shared" si="4"/>
        <v>0</v>
      </c>
      <c r="U311" s="33">
        <f>S311/Population_Data!$B$19</f>
        <v>0</v>
      </c>
    </row>
    <row r="312" spans="1:21">
      <c r="A312" s="25">
        <f>Calendar!A312</f>
        <v>46545</v>
      </c>
      <c r="B312" t="str">
        <f>Calendar!L312</f>
        <v>Yes</v>
      </c>
      <c r="C312" t="str">
        <f>Calendar!O312</f>
        <v>No</v>
      </c>
      <c r="D312" t="str">
        <f>Calendar!P312</f>
        <v>No</v>
      </c>
      <c r="E312" t="str">
        <f>Calendar!Q312</f>
        <v>No</v>
      </c>
      <c r="F312" t="str">
        <f>Calendar!I312</f>
        <v>Monday</v>
      </c>
      <c r="G312">
        <f>Calendar!S312</f>
        <v>9</v>
      </c>
      <c r="H312">
        <f>Calendar!T312</f>
        <v>9</v>
      </c>
      <c r="I312" s="27">
        <f>IF(VLOOKUP(A312,Calendar!$A$1:$R$1377,18,0)=0,0,IF(VLOOKUP(A312,Calendar!$A$1:$R$1377,18,0)=1,INDEX(Monthly_Pay_Model!$A$9:$D$40,MATCH(TEXT(A312,"dd"),Monthly_Pay_Model!$C$9:$C$39,0),4),IF(VLOOKUP(A312,Calendar!$A$1:$R$1377,18,0)=2,SUM(INDEX(Monthly_Pay_Model!$A$9:$D$40,MATCH(TEXT(A312,"dd"),Monthly_Pay_Model!$C$9:$C$39,0),4),INDEX(Monthly_Pay_Model!$A$9:$D$40,MATCH(TEXT(A313,"dd"),Monthly_Pay_Model!$C$9:$C$39,0),4)),IF(VLOOKUP(A312,Calendar!$A$1:$R$1377,18,0)=3,SUM(INDEX(Monthly_Pay_Model!$A$9:$D$40,MATCH(TEXT(A312,"dd"),Monthly_Pay_Model!$C$9:$C$39,0),4),INDEX(Monthly_Pay_Model!$A$9:$D$40,MATCH(TEXT(A313,"dd"),Monthly_Pay_Model!$C$9:$C$39,0),4),INDEX(Monthly_Pay_Model!$A$9:$D$40,MATCH(TEXT(A314,"dd"),Monthly_Pay_Model!$C$9:$C$39,0),4)),IF(VLOOKUP(A312,Calendar!$A$1:$R$1377,18,0)=4,SUM(INDEX(Monthly_Pay_Model!$A$9:$D$40,MATCH(TEXT(A312,"dd"),Monthly_Pay_Model!$C$9:$C$39,0),4),INDEX(Monthly_Pay_Model!$A$9:$D$40,MATCH(TEXT(A313,"dd"),Monthly_Pay_Model!$C$9:$C$39,0),4),INDEX(Monthly_Pay_Model!$A$9:$D$40,MATCH(TEXT(A314,"dd"),Monthly_Pay_Model!$C$9:$C$39,0),4),INDEX(Monthly_Pay_Model!$A$9:$D$40,MATCH(TEXT(A315,"dd"),Monthly_Pay_Model!$C$9:$C$39,0),4)),IF(VLOOKUP(A312,Calendar!$A$1:$R$1377,18,0)=5,SUM(INDEX(Monthly_Pay_Model!$A$9:$D$40,MATCH(TEXT(A312,"dd"),Monthly_Pay_Model!$C$9:$C$39,0),4),INDEX(Monthly_Pay_Model!$A$9:$D$40,MATCH(TEXT(A313,"dd"),Monthly_Pay_Model!$C$9:$C$39,0),4),INDEX(Monthly_Pay_Model!$A$9:$D$40,MATCH(TEXT(A314,"dd"),Monthly_Pay_Model!$C$9:$C$39,0),4),INDEX(Monthly_Pay_Model!$A$9:$D$40,MATCH(TEXT(A315,"dd"),Monthly_Pay_Model!$C$9:$C$39,0),4),INDEX(Monthly_Pay_Model!$A$9:$D$40,MATCH(TEXT(A316,"dd"),Monthly_Pay_Model!$C$9:$C$39,0),4)),))))))</f>
        <v>2.4376963350785331E-3</v>
      </c>
      <c r="J312" s="33">
        <f>IF(C312="Yes",Monthly_Pay_Model!$D$2,0)
+IF(Calendar!N312="Yes",Monthly_Pay_Model!$D$3,0)
+IF(D312="Yes",Monthly_Pay_Model!$D$4,0)
+IF(E312="Yes",Monthly_Pay_Model!$D$5,0)</f>
        <v>0</v>
      </c>
      <c r="K312" s="27">
        <f>IF(VLOOKUP($A312,Calendar!$A$1:$R$1377,18,0)=0,0,IF(VLOOKUP($A312,Calendar!$A$1:$R$1377,18,0)=1,IFERROR(INDEX(Weekly_Model!$D$2:$D$9,MATCH(F312,Weekly_Model!$A$2:$A$9,0)),0),IF(VLOOKUP($A312,Calendar!$A$1:$R$1377,18,0)=2,SUM(IFERROR(INDEX(Weekly_Model!$D$2:$D$9,MATCH(F312,Weekly_Model!$A$2:$A$9,0)),0),IFERROR(INDEX(Weekly_Model!$D$2:$D$9,MATCH(F313,Weekly_Model!$A$2:$A$9,0)),0)),IF(VLOOKUP($A312,Calendar!$A$1:$R$1377,18,0)=3,SUM(IFERROR(INDEX(Weekly_Model!$D$2:$D$9,MATCH(F312,Weekly_Model!$A$2:$A$9,0)),0),IFERROR(INDEX(Weekly_Model!$D$2:$D$9,MATCH(F313,Weekly_Model!$A$2:$A$9,0)),0),IFERROR(INDEX(Weekly_Model!$D$2:$D$9,MATCH(F314,Weekly_Model!$A$2:$A$9,0)),0)),IF(VLOOKUP($A312,Calendar!$A$1:$R$1377,18,0)=4,SUM(IFERROR(INDEX(Weekly_Model!$D$2:$D$9,MATCH(F312,Weekly_Model!$A$2:$A$9,0)),0),IFERROR(INDEX(Weekly_Model!$D$2:$D$9,MATCH(F313,Weekly_Model!$A$2:$A$9,0)),0),IFERROR(INDEX(Weekly_Model!$D$2:$D$9,MATCH(F314,Weekly_Model!$A$2:$A$9,0)),0),IFERROR(INDEX(Weekly_Model!$D$2:$D$9,MATCH(F315,Weekly_Model!$A$2:$A$9,0)),0)),IF(VLOOKUP($A312,Calendar!$A$1:$R$1377,18,0)=5,SUM(IFERROR(INDEX(Weekly_Model!$D$2:$D$9,MATCH(F312,Weekly_Model!$A$2:$A$9,0)),0),IFERROR(INDEX(Weekly_Model!$D$2:$D$9,MATCH(F313,Weekly_Model!$A$2:$A$9,0)),0),IFERROR(INDEX(Weekly_Model!$D$2:$D$9,MATCH(F314,Weekly_Model!$A$2:$A$9,0)),0),IFERROR(INDEX(Weekly_Model!$D$2:$D$9,MATCH(F315,Weekly_Model!$A$2:$A$9,0)),0),IFERROR(INDEX(Weekly_Model!$D$2:$D$9,MATCH(F316,Weekly_Model!$A$2:$A$9,0)),0)),0))))))</f>
        <v>2.3200000000000002E-2</v>
      </c>
      <c r="L312" s="27">
        <f>IF(VLOOKUP($A312,Calendar!$A$1:$R$1377,18,0)=0,0,IF(VLOOKUP($A312,Calendar!$A$1:$R$1377,18,0)=1,IFERROR(INDEX(Fortnightly_Model!$D$2:$D$15,MATCH(G312,Fortnightly_Model!$B$2:$B$15,0)),0),IF(VLOOKUP($A312,Calendar!$A$1:$R$1377,18,0)=2,SUM(IFERROR(INDEX(Fortnightly_Model!$D$2:$D$15,MATCH(G312,Fortnightly_Model!$B$2:$B$15,0)),0),IFERROR(INDEX(Fortnightly_Model!$D$2:$D$15,MATCH(G313,Fortnightly_Model!$B$2:$B$15,0)),0)),IF(VLOOKUP($A312,Calendar!$A$1:$R$1377,18,0)=3,SUM(IFERROR(INDEX(Fortnightly_Model!$D$2:$D$15,MATCH(G312,Fortnightly_Model!$B$2:$B$15,0)),0),IFERROR(INDEX(Fortnightly_Model!$D$2:$D$15,MATCH(G313,Fortnightly_Model!$B$2:$B$15,0)),0),IFERROR(INDEX(Fortnightly_Model!$D$2:$D$15,MATCH(G314,Fortnightly_Model!$B$2:$B$15,0)),0)),IF(VLOOKUP($A312,Calendar!$A$1:$R$1377,18,0)=4,SUM(IFERROR(INDEX(Fortnightly_Model!$D$2:$D$15,MATCH(G312,Fortnightly_Model!$B$2:$B$15,0)),0),IFERROR(INDEX(Fortnightly_Model!$D$2:$D$15,MATCH(G313,Fortnightly_Model!$B$2:$B$15,0)),0),IFERROR(INDEX(Fortnightly_Model!$D$2:$D$15,MATCH(G314,Fortnightly_Model!$B$2:$B$15,0)),0),IFERROR(INDEX(Fortnightly_Model!$D$2:$D$15,MATCH(G315,Fortnightly_Model!$B$2:$B$15,0)),0)),IF(VLOOKUP($A312,Calendar!$A$1:$R$1377,18,0)=5,SUM(IFERROR(INDEX(Fortnightly_Model!$D$2:$D$15,MATCH(G312,Fortnightly_Model!$B$2:$B$15,0)),0),IFERROR(INDEX(Fortnightly_Model!$D$2:$D$15,MATCH(G313,Fortnightly_Model!$B$2:$B$15,0)),0),IFERROR(INDEX(Fortnightly_Model!$D$2:$D$15,MATCH(G314,Fortnightly_Model!$B$2:$B$15,0)),0),IFERROR(INDEX(Fortnightly_Model!$D$2:$D$15,MATCH(G315,Fortnightly_Model!$B$2:$B$15,0)),0),IFERROR(INDEX(Fortnightly_Model!$D$2:$D$15,MATCH(G316,Fortnightly_Model!$B$2:$B$15,0)),0)),0))))))</f>
        <v>1.0714285499999999E-3</v>
      </c>
      <c r="M312" s="27">
        <f>IF(VLOOKUP($A312,Calendar!$A$1:$R$1377,18,0)=0,0,IF(VLOOKUP($A312,Calendar!$A$1:$R$1377,18,0)=1,IFERROR(INDEX(FourWeekly_Model!$D$2:$D$29,MATCH(H312,FourWeekly_Model!$B$2:$B$29,0)),0),IF(VLOOKUP($A312,Calendar!$A$1:$R$1377,18,0)=2,SUM(IFERROR(INDEX(FourWeekly_Model!$D$2:$D$29,MATCH(H312,FourWeekly_Model!$B$2:$B$29,0)),0),IFERROR(INDEX(FourWeekly_Model!$D$2:$D$29,MATCH(H313,FourWeekly_Model!$B$2:$B$29,0)),0)),IF(VLOOKUP($A312,Calendar!$A$1:$R$1377,18,0)=3,SUM(IFERROR(INDEX(FourWeekly_Model!$D$2:$D$29,MATCH(H312,FourWeekly_Model!$B$2:$B$29,0)),0),IFERROR(INDEX(FourWeekly_Model!$D$2:$D$29,MATCH(H313,FourWeekly_Model!$B$2:$B$29,0)),0),IFERROR(INDEX(FourWeekly_Model!$D$2:$D$29,MATCH(H314,FourWeekly_Model!$B$2:$B$29,0)),0)),IF(VLOOKUP($A312,Calendar!$A$1:$R$1377,18,0)=4,SUM(IFERROR(INDEX(FourWeekly_Model!$D$2:$D$29,MATCH(H312,FourWeekly_Model!$B$2:$B$29,0)),0),IFERROR(INDEX(FourWeekly_Model!$D$2:$D$29,MATCH(H313,FourWeekly_Model!$B$2:$B$29,0)),0),IFERROR(INDEX(FourWeekly_Model!$D$2:$D$29,MATCH(H314,FourWeekly_Model!$B$2:$B$29,0)),0),IFERROR(INDEX(FourWeekly_Model!$D$2:$D$29,MATCH(H315,FourWeekly_Model!$B$2:$B$29,0)),0)),IF(VLOOKUP($A312,Calendar!$A$1:$R$1377,18,0)=5,SUM(IFERROR(INDEX(FourWeekly_Model!$D$2:$D$29,MATCH(H312,FourWeekly_Model!$B$2:$B$29,0)),0),IFERROR(INDEX(FourWeekly_Model!$D$2:$D$29,MATCH(H313,FourWeekly_Model!$B$2:$B$29,0)),0),IFERROR(INDEX(FourWeekly_Model!$D$2:$D$29,MATCH(H314,FourWeekly_Model!$B$2:$B$29,0)),0),IFERROR(INDEX(FourWeekly_Model!$D$2:$D$29,MATCH(H315,FourWeekly_Model!$B$2:$B$29,0)),0),IFERROR(INDEX(FourWeekly_Model!$D$2:$D$29,MATCH(H316,FourWeekly_Model!$B$2:$B$29,0)),0)),0))))))</f>
        <v>3.3214289700000004E-3</v>
      </c>
      <c r="N312" s="27">
        <f>SUM(I312:M312)</f>
        <v>3.0030553855078537E-2</v>
      </c>
      <c r="O312" s="28">
        <f>Population_Data!$B$8*N312</f>
        <v>909925.78180887969</v>
      </c>
      <c r="P312" s="27">
        <f>IF(VLOOKUP($A312,Calendar!$A$1:$R$1377,18,0)=0,0,IF(VLOOKUP($A312,Calendar!$A$1:$R$1377,18,0)=1,IFERROR(INDEX(Pension_Model!$D$2:$D$29,MATCH(H312,Pension_Model!$B$2:$B$29,0)),0),IF(VLOOKUP($A312,Calendar!$A$1:$R$1377,18,0)=2,SUM(IFERROR(INDEX(Pension_Model!$D$2:$D$29,MATCH(H312,Pension_Model!$B$2:$B$29,0)),0),IFERROR(INDEX(Pension_Model!$D$2:$D$29,MATCH(H313,Pension_Model!$B$2:$B$29,0)),0)),IF(VLOOKUP($A312,Calendar!$A$1:$R$1377,18,0)=3,SUM(IFERROR(INDEX(Pension_Model!$D$2:$D$29,MATCH(H312,Pension_Model!$B$2:$B$29,0)),0),IFERROR(INDEX(Pension_Model!$D$2:$D$29,MATCH(H313,Pension_Model!$B$2:$B$29,0)),0),IFERROR(INDEX(Pension_Model!$D$2:$D$29,MATCH(H314,Pension_Model!$B$2:$B$29,0)),0)),IF(VLOOKUP($A312,Calendar!$A$1:$R$1377,18,0)=4,SUM(IFERROR(INDEX(Pension_Model!$D$2:$D$29,MATCH(H312,Pension_Model!$B$2:$B$29,0)),0),IFERROR(INDEX(Pension_Model!$D$2:$D$29,MATCH(H313,Pension_Model!$B$2:$B$29,0)),0),IFERROR(INDEX(Pension_Model!$D$2:$D$29,MATCH(H314,Pension_Model!$B$2:$B$29,0)),0),IFERROR(INDEX(Pension_Model!$D$2:$D$29,MATCH(H315,Pension_Model!$B$2:$B$29,0)),0)),IF(VLOOKUP($A312,Calendar!$A$1:$R$1377,18,0)=5,SUM(IFERROR(INDEX(Pension_Model!$D$2:$D$29,MATCH(H312,Pension_Model!$B$2:$B$29,0)),0),IFERROR(INDEX(Pension_Model!$D$2:$D$29,MATCH(H313,Pension_Model!$B$2:$B$29,0)),0),IFERROR(INDEX(Pension_Model!$D$2:$D$29,MATCH(H314,Pension_Model!$B$2:$B$29,0)),0),IFERROR(INDEX(Pension_Model!$D$2:$D$29,MATCH(H315,Pension_Model!$B$2:$B$29,0)),0),IFERROR(INDEX(Pension_Model!$D$2:$D$29,MATCH(H316,Pension_Model!$B$2:$B$29,0)),0)),0))))))</f>
        <v>0.05</v>
      </c>
      <c r="Q312" s="28">
        <f>Population_Data!$B$15*P312</f>
        <v>660600</v>
      </c>
      <c r="S312">
        <f t="shared" si="4"/>
        <v>1570525.7818088797</v>
      </c>
      <c r="U312" s="33">
        <f>S312/Population_Data!$B$19</f>
        <v>2.8451554018276808E-2</v>
      </c>
    </row>
    <row r="313" spans="1:21">
      <c r="A313" s="25">
        <f>Calendar!A313</f>
        <v>46546</v>
      </c>
      <c r="B313" t="str">
        <f>Calendar!L313</f>
        <v>Yes</v>
      </c>
      <c r="C313" t="str">
        <f>Calendar!O313</f>
        <v>No</v>
      </c>
      <c r="D313" t="str">
        <f>Calendar!P313</f>
        <v>No</v>
      </c>
      <c r="E313" t="str">
        <f>Calendar!Q313</f>
        <v>No</v>
      </c>
      <c r="F313" t="str">
        <f>Calendar!I313</f>
        <v>Tuesday</v>
      </c>
      <c r="G313">
        <f>Calendar!S313</f>
        <v>10</v>
      </c>
      <c r="H313">
        <f>Calendar!T313</f>
        <v>10</v>
      </c>
      <c r="I313" s="27">
        <f>IF(VLOOKUP(A313,Calendar!$A$1:$R$1377,18,0)=0,0,IF(VLOOKUP(A313,Calendar!$A$1:$R$1377,18,0)=1,INDEX(Monthly_Pay_Model!$A$9:$D$40,MATCH(TEXT(A313,"dd"),Monthly_Pay_Model!$C$9:$C$39,0),4),IF(VLOOKUP(A313,Calendar!$A$1:$R$1377,18,0)=2,SUM(INDEX(Monthly_Pay_Model!$A$9:$D$40,MATCH(TEXT(A313,"dd"),Monthly_Pay_Model!$C$9:$C$39,0),4),INDEX(Monthly_Pay_Model!$A$9:$D$40,MATCH(TEXT(A314,"dd"),Monthly_Pay_Model!$C$9:$C$39,0),4)),IF(VLOOKUP(A313,Calendar!$A$1:$R$1377,18,0)=3,SUM(INDEX(Monthly_Pay_Model!$A$9:$D$40,MATCH(TEXT(A313,"dd"),Monthly_Pay_Model!$C$9:$C$39,0),4),INDEX(Monthly_Pay_Model!$A$9:$D$40,MATCH(TEXT(A314,"dd"),Monthly_Pay_Model!$C$9:$C$39,0),4),INDEX(Monthly_Pay_Model!$A$9:$D$40,MATCH(TEXT(A315,"dd"),Monthly_Pay_Model!$C$9:$C$39,0),4)),IF(VLOOKUP(A313,Calendar!$A$1:$R$1377,18,0)=4,SUM(INDEX(Monthly_Pay_Model!$A$9:$D$40,MATCH(TEXT(A313,"dd"),Monthly_Pay_Model!$C$9:$C$39,0),4),INDEX(Monthly_Pay_Model!$A$9:$D$40,MATCH(TEXT(A314,"dd"),Monthly_Pay_Model!$C$9:$C$39,0),4),INDEX(Monthly_Pay_Model!$A$9:$D$40,MATCH(TEXT(A315,"dd"),Monthly_Pay_Model!$C$9:$C$39,0),4),INDEX(Monthly_Pay_Model!$A$9:$D$40,MATCH(TEXT(A316,"dd"),Monthly_Pay_Model!$C$9:$C$39,0),4)),IF(VLOOKUP(A313,Calendar!$A$1:$R$1377,18,0)=5,SUM(INDEX(Monthly_Pay_Model!$A$9:$D$40,MATCH(TEXT(A313,"dd"),Monthly_Pay_Model!$C$9:$C$39,0),4),INDEX(Monthly_Pay_Model!$A$9:$D$40,MATCH(TEXT(A314,"dd"),Monthly_Pay_Model!$C$9:$C$39,0),4),INDEX(Monthly_Pay_Model!$A$9:$D$40,MATCH(TEXT(A315,"dd"),Monthly_Pay_Model!$C$9:$C$39,0),4),INDEX(Monthly_Pay_Model!$A$9:$D$40,MATCH(TEXT(A316,"dd"),Monthly_Pay_Model!$C$9:$C$39,0),4),INDEX(Monthly_Pay_Model!$A$9:$D$40,MATCH(TEXT(A317,"dd"),Monthly_Pay_Model!$C$9:$C$39,0),4)),))))))</f>
        <v>1.6251308900523558E-3</v>
      </c>
      <c r="J313" s="33">
        <f>IF(C313="Yes",Monthly_Pay_Model!$D$2,0)
+IF(Calendar!N313="Yes",Monthly_Pay_Model!$D$3,0)
+IF(D313="Yes",Monthly_Pay_Model!$D$4,0)
+IF(E313="Yes",Monthly_Pay_Model!$D$5,0)</f>
        <v>0</v>
      </c>
      <c r="K313" s="27">
        <f>IF(VLOOKUP($A313,Calendar!$A$1:$R$1377,18,0)=0,0,IF(VLOOKUP($A313,Calendar!$A$1:$R$1377,18,0)=1,IFERROR(INDEX(Weekly_Model!$D$2:$D$9,MATCH(F313,Weekly_Model!$A$2:$A$9,0)),0),IF(VLOOKUP($A313,Calendar!$A$1:$R$1377,18,0)=2,SUM(IFERROR(INDEX(Weekly_Model!$D$2:$D$9,MATCH(F313,Weekly_Model!$A$2:$A$9,0)),0),IFERROR(INDEX(Weekly_Model!$D$2:$D$9,MATCH(F314,Weekly_Model!$A$2:$A$9,0)),0)),IF(VLOOKUP($A313,Calendar!$A$1:$R$1377,18,0)=3,SUM(IFERROR(INDEX(Weekly_Model!$D$2:$D$9,MATCH(F313,Weekly_Model!$A$2:$A$9,0)),0),IFERROR(INDEX(Weekly_Model!$D$2:$D$9,MATCH(F314,Weekly_Model!$A$2:$A$9,0)),0),IFERROR(INDEX(Weekly_Model!$D$2:$D$9,MATCH(F315,Weekly_Model!$A$2:$A$9,0)),0)),IF(VLOOKUP($A313,Calendar!$A$1:$R$1377,18,0)=4,SUM(IFERROR(INDEX(Weekly_Model!$D$2:$D$9,MATCH(F313,Weekly_Model!$A$2:$A$9,0)),0),IFERROR(INDEX(Weekly_Model!$D$2:$D$9,MATCH(F314,Weekly_Model!$A$2:$A$9,0)),0),IFERROR(INDEX(Weekly_Model!$D$2:$D$9,MATCH(F315,Weekly_Model!$A$2:$A$9,0)),0),IFERROR(INDEX(Weekly_Model!$D$2:$D$9,MATCH(F316,Weekly_Model!$A$2:$A$9,0)),0)),IF(VLOOKUP($A313,Calendar!$A$1:$R$1377,18,0)=5,SUM(IFERROR(INDEX(Weekly_Model!$D$2:$D$9,MATCH(F313,Weekly_Model!$A$2:$A$9,0)),0),IFERROR(INDEX(Weekly_Model!$D$2:$D$9,MATCH(F314,Weekly_Model!$A$2:$A$9,0)),0),IFERROR(INDEX(Weekly_Model!$D$2:$D$9,MATCH(F315,Weekly_Model!$A$2:$A$9,0)),0),IFERROR(INDEX(Weekly_Model!$D$2:$D$9,MATCH(F316,Weekly_Model!$A$2:$A$9,0)),0),IFERROR(INDEX(Weekly_Model!$D$2:$D$9,MATCH(F317,Weekly_Model!$A$2:$A$9,0)),0)),0))))))</f>
        <v>2.3200000000000002E-2</v>
      </c>
      <c r="L313" s="27">
        <f>IF(VLOOKUP($A313,Calendar!$A$1:$R$1377,18,0)=0,0,IF(VLOOKUP($A313,Calendar!$A$1:$R$1377,18,0)=1,IFERROR(INDEX(Fortnightly_Model!$D$2:$D$15,MATCH(G313,Fortnightly_Model!$B$2:$B$15,0)),0),IF(VLOOKUP($A313,Calendar!$A$1:$R$1377,18,0)=2,SUM(IFERROR(INDEX(Fortnightly_Model!$D$2:$D$15,MATCH(G313,Fortnightly_Model!$B$2:$B$15,0)),0),IFERROR(INDEX(Fortnightly_Model!$D$2:$D$15,MATCH(G314,Fortnightly_Model!$B$2:$B$15,0)),0)),IF(VLOOKUP($A313,Calendar!$A$1:$R$1377,18,0)=3,SUM(IFERROR(INDEX(Fortnightly_Model!$D$2:$D$15,MATCH(G313,Fortnightly_Model!$B$2:$B$15,0)),0),IFERROR(INDEX(Fortnightly_Model!$D$2:$D$15,MATCH(G314,Fortnightly_Model!$B$2:$B$15,0)),0),IFERROR(INDEX(Fortnightly_Model!$D$2:$D$15,MATCH(G315,Fortnightly_Model!$B$2:$B$15,0)),0)),IF(VLOOKUP($A313,Calendar!$A$1:$R$1377,18,0)=4,SUM(IFERROR(INDEX(Fortnightly_Model!$D$2:$D$15,MATCH(G313,Fortnightly_Model!$B$2:$B$15,0)),0),IFERROR(INDEX(Fortnightly_Model!$D$2:$D$15,MATCH(G314,Fortnightly_Model!$B$2:$B$15,0)),0),IFERROR(INDEX(Fortnightly_Model!$D$2:$D$15,MATCH(G315,Fortnightly_Model!$B$2:$B$15,0)),0),IFERROR(INDEX(Fortnightly_Model!$D$2:$D$15,MATCH(G316,Fortnightly_Model!$B$2:$B$15,0)),0)),IF(VLOOKUP($A313,Calendar!$A$1:$R$1377,18,0)=5,SUM(IFERROR(INDEX(Fortnightly_Model!$D$2:$D$15,MATCH(G313,Fortnightly_Model!$B$2:$B$15,0)),0),IFERROR(INDEX(Fortnightly_Model!$D$2:$D$15,MATCH(G314,Fortnightly_Model!$B$2:$B$15,0)),0),IFERROR(INDEX(Fortnightly_Model!$D$2:$D$15,MATCH(G315,Fortnightly_Model!$B$2:$B$15,0)),0),IFERROR(INDEX(Fortnightly_Model!$D$2:$D$15,MATCH(G316,Fortnightly_Model!$B$2:$B$15,0)),0),IFERROR(INDEX(Fortnightly_Model!$D$2:$D$15,MATCH(G317,Fortnightly_Model!$B$2:$B$15,0)),0)),0))))))</f>
        <v>1.0714285499999999E-3</v>
      </c>
      <c r="M313" s="27">
        <f>IF(VLOOKUP($A313,Calendar!$A$1:$R$1377,18,0)=0,0,IF(VLOOKUP($A313,Calendar!$A$1:$R$1377,18,0)=1,IFERROR(INDEX(FourWeekly_Model!$D$2:$D$29,MATCH(H313,FourWeekly_Model!$B$2:$B$29,0)),0),IF(VLOOKUP($A313,Calendar!$A$1:$R$1377,18,0)=2,SUM(IFERROR(INDEX(FourWeekly_Model!$D$2:$D$29,MATCH(H313,FourWeekly_Model!$B$2:$B$29,0)),0),IFERROR(INDEX(FourWeekly_Model!$D$2:$D$29,MATCH(H314,FourWeekly_Model!$B$2:$B$29,0)),0)),IF(VLOOKUP($A313,Calendar!$A$1:$R$1377,18,0)=3,SUM(IFERROR(INDEX(FourWeekly_Model!$D$2:$D$29,MATCH(H313,FourWeekly_Model!$B$2:$B$29,0)),0),IFERROR(INDEX(FourWeekly_Model!$D$2:$D$29,MATCH(H314,FourWeekly_Model!$B$2:$B$29,0)),0),IFERROR(INDEX(FourWeekly_Model!$D$2:$D$29,MATCH(H315,FourWeekly_Model!$B$2:$B$29,0)),0)),IF(VLOOKUP($A313,Calendar!$A$1:$R$1377,18,0)=4,SUM(IFERROR(INDEX(FourWeekly_Model!$D$2:$D$29,MATCH(H313,FourWeekly_Model!$B$2:$B$29,0)),0),IFERROR(INDEX(FourWeekly_Model!$D$2:$D$29,MATCH(H314,FourWeekly_Model!$B$2:$B$29,0)),0),IFERROR(INDEX(FourWeekly_Model!$D$2:$D$29,MATCH(H315,FourWeekly_Model!$B$2:$B$29,0)),0),IFERROR(INDEX(FourWeekly_Model!$D$2:$D$29,MATCH(H316,FourWeekly_Model!$B$2:$B$29,0)),0)),IF(VLOOKUP($A313,Calendar!$A$1:$R$1377,18,0)=5,SUM(IFERROR(INDEX(FourWeekly_Model!$D$2:$D$29,MATCH(H313,FourWeekly_Model!$B$2:$B$29,0)),0),IFERROR(INDEX(FourWeekly_Model!$D$2:$D$29,MATCH(H314,FourWeekly_Model!$B$2:$B$29,0)),0),IFERROR(INDEX(FourWeekly_Model!$D$2:$D$29,MATCH(H315,FourWeekly_Model!$B$2:$B$29,0)),0),IFERROR(INDEX(FourWeekly_Model!$D$2:$D$29,MATCH(H316,FourWeekly_Model!$B$2:$B$29,0)),0),IFERROR(INDEX(FourWeekly_Model!$D$2:$D$29,MATCH(H317,FourWeekly_Model!$B$2:$B$29,0)),0)),0))))))</f>
        <v>3.3214289700000004E-3</v>
      </c>
      <c r="N313" s="27">
        <f>SUM(I313:M313)</f>
        <v>2.921798841005236E-2</v>
      </c>
      <c r="O313" s="28">
        <f>Population_Data!$B$8*N313</f>
        <v>885305.04882458656</v>
      </c>
      <c r="P313" s="27">
        <f>IF(VLOOKUP($A313,Calendar!$A$1:$R$1377,18,0)=0,0,IF(VLOOKUP($A313,Calendar!$A$1:$R$1377,18,0)=1,IFERROR(INDEX(Pension_Model!$D$2:$D$29,MATCH(H313,Pension_Model!$B$2:$B$29,0)),0),IF(VLOOKUP($A313,Calendar!$A$1:$R$1377,18,0)=2,SUM(IFERROR(INDEX(Pension_Model!$D$2:$D$29,MATCH(H313,Pension_Model!$B$2:$B$29,0)),0),IFERROR(INDEX(Pension_Model!$D$2:$D$29,MATCH(H314,Pension_Model!$B$2:$B$29,0)),0)),IF(VLOOKUP($A313,Calendar!$A$1:$R$1377,18,0)=3,SUM(IFERROR(INDEX(Pension_Model!$D$2:$D$29,MATCH(H313,Pension_Model!$B$2:$B$29,0)),0),IFERROR(INDEX(Pension_Model!$D$2:$D$29,MATCH(H314,Pension_Model!$B$2:$B$29,0)),0),IFERROR(INDEX(Pension_Model!$D$2:$D$29,MATCH(H315,Pension_Model!$B$2:$B$29,0)),0)),IF(VLOOKUP($A313,Calendar!$A$1:$R$1377,18,0)=4,SUM(IFERROR(INDEX(Pension_Model!$D$2:$D$29,MATCH(H313,Pension_Model!$B$2:$B$29,0)),0),IFERROR(INDEX(Pension_Model!$D$2:$D$29,MATCH(H314,Pension_Model!$B$2:$B$29,0)),0),IFERROR(INDEX(Pension_Model!$D$2:$D$29,MATCH(H315,Pension_Model!$B$2:$B$29,0)),0),IFERROR(INDEX(Pension_Model!$D$2:$D$29,MATCH(H316,Pension_Model!$B$2:$B$29,0)),0)),IF(VLOOKUP($A313,Calendar!$A$1:$R$1377,18,0)=5,SUM(IFERROR(INDEX(Pension_Model!$D$2:$D$29,MATCH(H313,Pension_Model!$B$2:$B$29,0)),0),IFERROR(INDEX(Pension_Model!$D$2:$D$29,MATCH(H314,Pension_Model!$B$2:$B$29,0)),0),IFERROR(INDEX(Pension_Model!$D$2:$D$29,MATCH(H315,Pension_Model!$B$2:$B$29,0)),0),IFERROR(INDEX(Pension_Model!$D$2:$D$29,MATCH(H316,Pension_Model!$B$2:$B$29,0)),0),IFERROR(INDEX(Pension_Model!$D$2:$D$29,MATCH(H317,Pension_Model!$B$2:$B$29,0)),0)),0))))))</f>
        <v>0.05</v>
      </c>
      <c r="Q313" s="28">
        <f>Population_Data!$B$15*P313</f>
        <v>660600</v>
      </c>
      <c r="S313">
        <f t="shared" si="4"/>
        <v>1545905.0488245864</v>
      </c>
      <c r="U313" s="33">
        <f>S313/Population_Data!$B$19</f>
        <v>2.8005526246822218E-2</v>
      </c>
    </row>
    <row r="314" spans="1:21">
      <c r="A314" s="25">
        <f>Calendar!A314</f>
        <v>46547</v>
      </c>
      <c r="B314" t="str">
        <f>Calendar!L314</f>
        <v>Yes</v>
      </c>
      <c r="C314" t="str">
        <f>Calendar!O314</f>
        <v>No</v>
      </c>
      <c r="D314" t="str">
        <f>Calendar!P314</f>
        <v>No</v>
      </c>
      <c r="E314" t="str">
        <f>Calendar!Q314</f>
        <v>No</v>
      </c>
      <c r="F314" t="str">
        <f>Calendar!I314</f>
        <v>Wednesday</v>
      </c>
      <c r="G314">
        <f>Calendar!S314</f>
        <v>11</v>
      </c>
      <c r="H314">
        <f>Calendar!T314</f>
        <v>11</v>
      </c>
      <c r="I314" s="27">
        <f>IF(VLOOKUP(A314,Calendar!$A$1:$R$1377,18,0)=0,0,IF(VLOOKUP(A314,Calendar!$A$1:$R$1377,18,0)=1,INDEX(Monthly_Pay_Model!$A$9:$D$40,MATCH(TEXT(A314,"dd"),Monthly_Pay_Model!$C$9:$C$39,0),4),IF(VLOOKUP(A314,Calendar!$A$1:$R$1377,18,0)=2,SUM(INDEX(Monthly_Pay_Model!$A$9:$D$40,MATCH(TEXT(A314,"dd"),Monthly_Pay_Model!$C$9:$C$39,0),4),INDEX(Monthly_Pay_Model!$A$9:$D$40,MATCH(TEXT(A315,"dd"),Monthly_Pay_Model!$C$9:$C$39,0),4)),IF(VLOOKUP(A314,Calendar!$A$1:$R$1377,18,0)=3,SUM(INDEX(Monthly_Pay_Model!$A$9:$D$40,MATCH(TEXT(A314,"dd"),Monthly_Pay_Model!$C$9:$C$39,0),4),INDEX(Monthly_Pay_Model!$A$9:$D$40,MATCH(TEXT(A315,"dd"),Monthly_Pay_Model!$C$9:$C$39,0),4),INDEX(Monthly_Pay_Model!$A$9:$D$40,MATCH(TEXT(A316,"dd"),Monthly_Pay_Model!$C$9:$C$39,0),4)),IF(VLOOKUP(A314,Calendar!$A$1:$R$1377,18,0)=4,SUM(INDEX(Monthly_Pay_Model!$A$9:$D$40,MATCH(TEXT(A314,"dd"),Monthly_Pay_Model!$C$9:$C$39,0),4),INDEX(Monthly_Pay_Model!$A$9:$D$40,MATCH(TEXT(A315,"dd"),Monthly_Pay_Model!$C$9:$C$39,0),4),INDEX(Monthly_Pay_Model!$A$9:$D$40,MATCH(TEXT(A316,"dd"),Monthly_Pay_Model!$C$9:$C$39,0),4),INDEX(Monthly_Pay_Model!$A$9:$D$40,MATCH(TEXT(A317,"dd"),Monthly_Pay_Model!$C$9:$C$39,0),4)),IF(VLOOKUP(A314,Calendar!$A$1:$R$1377,18,0)=5,SUM(INDEX(Monthly_Pay_Model!$A$9:$D$40,MATCH(TEXT(A314,"dd"),Monthly_Pay_Model!$C$9:$C$39,0),4),INDEX(Monthly_Pay_Model!$A$9:$D$40,MATCH(TEXT(A315,"dd"),Monthly_Pay_Model!$C$9:$C$39,0),4),INDEX(Monthly_Pay_Model!$A$9:$D$40,MATCH(TEXT(A316,"dd"),Monthly_Pay_Model!$C$9:$C$39,0),4),INDEX(Monthly_Pay_Model!$A$9:$D$40,MATCH(TEXT(A317,"dd"),Monthly_Pay_Model!$C$9:$C$39,0),4),INDEX(Monthly_Pay_Model!$A$9:$D$40,MATCH(TEXT(A318,"dd"),Monthly_Pay_Model!$C$9:$C$39,0),4)),))))))</f>
        <v>8.1256544502617792E-4</v>
      </c>
      <c r="J314" s="33">
        <f>IF(C314="Yes",Monthly_Pay_Model!$D$2,0)
+IF(Calendar!N314="Yes",Monthly_Pay_Model!$D$3,0)
+IF(D314="Yes",Monthly_Pay_Model!$D$4,0)
+IF(E314="Yes",Monthly_Pay_Model!$D$5,0)</f>
        <v>0</v>
      </c>
      <c r="K314" s="27">
        <f>IF(VLOOKUP($A314,Calendar!$A$1:$R$1377,18,0)=0,0,IF(VLOOKUP($A314,Calendar!$A$1:$R$1377,18,0)=1,IFERROR(INDEX(Weekly_Model!$D$2:$D$9,MATCH(F314,Weekly_Model!$A$2:$A$9,0)),0),IF(VLOOKUP($A314,Calendar!$A$1:$R$1377,18,0)=2,SUM(IFERROR(INDEX(Weekly_Model!$D$2:$D$9,MATCH(F314,Weekly_Model!$A$2:$A$9,0)),0),IFERROR(INDEX(Weekly_Model!$D$2:$D$9,MATCH(F315,Weekly_Model!$A$2:$A$9,0)),0)),IF(VLOOKUP($A314,Calendar!$A$1:$R$1377,18,0)=3,SUM(IFERROR(INDEX(Weekly_Model!$D$2:$D$9,MATCH(F314,Weekly_Model!$A$2:$A$9,0)),0),IFERROR(INDEX(Weekly_Model!$D$2:$D$9,MATCH(F315,Weekly_Model!$A$2:$A$9,0)),0),IFERROR(INDEX(Weekly_Model!$D$2:$D$9,MATCH(F316,Weekly_Model!$A$2:$A$9,0)),0)),IF(VLOOKUP($A314,Calendar!$A$1:$R$1377,18,0)=4,SUM(IFERROR(INDEX(Weekly_Model!$D$2:$D$9,MATCH(F314,Weekly_Model!$A$2:$A$9,0)),0),IFERROR(INDEX(Weekly_Model!$D$2:$D$9,MATCH(F315,Weekly_Model!$A$2:$A$9,0)),0),IFERROR(INDEX(Weekly_Model!$D$2:$D$9,MATCH(F316,Weekly_Model!$A$2:$A$9,0)),0),IFERROR(INDEX(Weekly_Model!$D$2:$D$9,MATCH(F317,Weekly_Model!$A$2:$A$9,0)),0)),IF(VLOOKUP($A314,Calendar!$A$1:$R$1377,18,0)=5,SUM(IFERROR(INDEX(Weekly_Model!$D$2:$D$9,MATCH(F314,Weekly_Model!$A$2:$A$9,0)),0),IFERROR(INDEX(Weekly_Model!$D$2:$D$9,MATCH(F315,Weekly_Model!$A$2:$A$9,0)),0),IFERROR(INDEX(Weekly_Model!$D$2:$D$9,MATCH(F316,Weekly_Model!$A$2:$A$9,0)),0),IFERROR(INDEX(Weekly_Model!$D$2:$D$9,MATCH(F317,Weekly_Model!$A$2:$A$9,0)),0),IFERROR(INDEX(Weekly_Model!$D$2:$D$9,MATCH(F318,Weekly_Model!$A$2:$A$9,0)),0)),0))))))</f>
        <v>2.3200000000000002E-2</v>
      </c>
      <c r="L314" s="27">
        <f>IF(VLOOKUP($A314,Calendar!$A$1:$R$1377,18,0)=0,0,IF(VLOOKUP($A314,Calendar!$A$1:$R$1377,18,0)=1,IFERROR(INDEX(Fortnightly_Model!$D$2:$D$15,MATCH(G314,Fortnightly_Model!$B$2:$B$15,0)),0),IF(VLOOKUP($A314,Calendar!$A$1:$R$1377,18,0)=2,SUM(IFERROR(INDEX(Fortnightly_Model!$D$2:$D$15,MATCH(G314,Fortnightly_Model!$B$2:$B$15,0)),0),IFERROR(INDEX(Fortnightly_Model!$D$2:$D$15,MATCH(G315,Fortnightly_Model!$B$2:$B$15,0)),0)),IF(VLOOKUP($A314,Calendar!$A$1:$R$1377,18,0)=3,SUM(IFERROR(INDEX(Fortnightly_Model!$D$2:$D$15,MATCH(G314,Fortnightly_Model!$B$2:$B$15,0)),0),IFERROR(INDEX(Fortnightly_Model!$D$2:$D$15,MATCH(G315,Fortnightly_Model!$B$2:$B$15,0)),0),IFERROR(INDEX(Fortnightly_Model!$D$2:$D$15,MATCH(G316,Fortnightly_Model!$B$2:$B$15,0)),0)),IF(VLOOKUP($A314,Calendar!$A$1:$R$1377,18,0)=4,SUM(IFERROR(INDEX(Fortnightly_Model!$D$2:$D$15,MATCH(G314,Fortnightly_Model!$B$2:$B$15,0)),0),IFERROR(INDEX(Fortnightly_Model!$D$2:$D$15,MATCH(G315,Fortnightly_Model!$B$2:$B$15,0)),0),IFERROR(INDEX(Fortnightly_Model!$D$2:$D$15,MATCH(G316,Fortnightly_Model!$B$2:$B$15,0)),0),IFERROR(INDEX(Fortnightly_Model!$D$2:$D$15,MATCH(G317,Fortnightly_Model!$B$2:$B$15,0)),0)),IF(VLOOKUP($A314,Calendar!$A$1:$R$1377,18,0)=5,SUM(IFERROR(INDEX(Fortnightly_Model!$D$2:$D$15,MATCH(G314,Fortnightly_Model!$B$2:$B$15,0)),0),IFERROR(INDEX(Fortnightly_Model!$D$2:$D$15,MATCH(G315,Fortnightly_Model!$B$2:$B$15,0)),0),IFERROR(INDEX(Fortnightly_Model!$D$2:$D$15,MATCH(G316,Fortnightly_Model!$B$2:$B$15,0)),0),IFERROR(INDEX(Fortnightly_Model!$D$2:$D$15,MATCH(G317,Fortnightly_Model!$B$2:$B$15,0)),0),IFERROR(INDEX(Fortnightly_Model!$D$2:$D$15,MATCH(G318,Fortnightly_Model!$B$2:$B$15,0)),0)),0))))))</f>
        <v>1.0714285499999999E-3</v>
      </c>
      <c r="M314" s="27">
        <f>IF(VLOOKUP($A314,Calendar!$A$1:$R$1377,18,0)=0,0,IF(VLOOKUP($A314,Calendar!$A$1:$R$1377,18,0)=1,IFERROR(INDEX(FourWeekly_Model!$D$2:$D$29,MATCH(H314,FourWeekly_Model!$B$2:$B$29,0)),0),IF(VLOOKUP($A314,Calendar!$A$1:$R$1377,18,0)=2,SUM(IFERROR(INDEX(FourWeekly_Model!$D$2:$D$29,MATCH(H314,FourWeekly_Model!$B$2:$B$29,0)),0),IFERROR(INDEX(FourWeekly_Model!$D$2:$D$29,MATCH(H315,FourWeekly_Model!$B$2:$B$29,0)),0)),IF(VLOOKUP($A314,Calendar!$A$1:$R$1377,18,0)=3,SUM(IFERROR(INDEX(FourWeekly_Model!$D$2:$D$29,MATCH(H314,FourWeekly_Model!$B$2:$B$29,0)),0),IFERROR(INDEX(FourWeekly_Model!$D$2:$D$29,MATCH(H315,FourWeekly_Model!$B$2:$B$29,0)),0),IFERROR(INDEX(FourWeekly_Model!$D$2:$D$29,MATCH(H316,FourWeekly_Model!$B$2:$B$29,0)),0)),IF(VLOOKUP($A314,Calendar!$A$1:$R$1377,18,0)=4,SUM(IFERROR(INDEX(FourWeekly_Model!$D$2:$D$29,MATCH(H314,FourWeekly_Model!$B$2:$B$29,0)),0),IFERROR(INDEX(FourWeekly_Model!$D$2:$D$29,MATCH(H315,FourWeekly_Model!$B$2:$B$29,0)),0),IFERROR(INDEX(FourWeekly_Model!$D$2:$D$29,MATCH(H316,FourWeekly_Model!$B$2:$B$29,0)),0),IFERROR(INDEX(FourWeekly_Model!$D$2:$D$29,MATCH(H317,FourWeekly_Model!$B$2:$B$29,0)),0)),IF(VLOOKUP($A314,Calendar!$A$1:$R$1377,18,0)=5,SUM(IFERROR(INDEX(FourWeekly_Model!$D$2:$D$29,MATCH(H314,FourWeekly_Model!$B$2:$B$29,0)),0),IFERROR(INDEX(FourWeekly_Model!$D$2:$D$29,MATCH(H315,FourWeekly_Model!$B$2:$B$29,0)),0),IFERROR(INDEX(FourWeekly_Model!$D$2:$D$29,MATCH(H316,FourWeekly_Model!$B$2:$B$29,0)),0),IFERROR(INDEX(FourWeekly_Model!$D$2:$D$29,MATCH(H317,FourWeekly_Model!$B$2:$B$29,0)),0),IFERROR(INDEX(FourWeekly_Model!$D$2:$D$29,MATCH(H318,FourWeekly_Model!$B$2:$B$29,0)),0)),0))))))</f>
        <v>3.3214289700000004E-3</v>
      </c>
      <c r="N314" s="27">
        <f>SUM(I314:M314)</f>
        <v>2.840542296502618E-2</v>
      </c>
      <c r="O314" s="28">
        <f>Population_Data!$B$8*N314</f>
        <v>860684.3158402933</v>
      </c>
      <c r="P314" s="27">
        <f>IF(VLOOKUP($A314,Calendar!$A$1:$R$1377,18,0)=0,0,IF(VLOOKUP($A314,Calendar!$A$1:$R$1377,18,0)=1,IFERROR(INDEX(Pension_Model!$D$2:$D$29,MATCH(H314,Pension_Model!$B$2:$B$29,0)),0),IF(VLOOKUP($A314,Calendar!$A$1:$R$1377,18,0)=2,SUM(IFERROR(INDEX(Pension_Model!$D$2:$D$29,MATCH(H314,Pension_Model!$B$2:$B$29,0)),0),IFERROR(INDEX(Pension_Model!$D$2:$D$29,MATCH(H315,Pension_Model!$B$2:$B$29,0)),0)),IF(VLOOKUP($A314,Calendar!$A$1:$R$1377,18,0)=3,SUM(IFERROR(INDEX(Pension_Model!$D$2:$D$29,MATCH(H314,Pension_Model!$B$2:$B$29,0)),0),IFERROR(INDEX(Pension_Model!$D$2:$D$29,MATCH(H315,Pension_Model!$B$2:$B$29,0)),0),IFERROR(INDEX(Pension_Model!$D$2:$D$29,MATCH(H316,Pension_Model!$B$2:$B$29,0)),0)),IF(VLOOKUP($A314,Calendar!$A$1:$R$1377,18,0)=4,SUM(IFERROR(INDEX(Pension_Model!$D$2:$D$29,MATCH(H314,Pension_Model!$B$2:$B$29,0)),0),IFERROR(INDEX(Pension_Model!$D$2:$D$29,MATCH(H315,Pension_Model!$B$2:$B$29,0)),0),IFERROR(INDEX(Pension_Model!$D$2:$D$29,MATCH(H316,Pension_Model!$B$2:$B$29,0)),0),IFERROR(INDEX(Pension_Model!$D$2:$D$29,MATCH(H317,Pension_Model!$B$2:$B$29,0)),0)),IF(VLOOKUP($A314,Calendar!$A$1:$R$1377,18,0)=5,SUM(IFERROR(INDEX(Pension_Model!$D$2:$D$29,MATCH(H314,Pension_Model!$B$2:$B$29,0)),0),IFERROR(INDEX(Pension_Model!$D$2:$D$29,MATCH(H315,Pension_Model!$B$2:$B$29,0)),0),IFERROR(INDEX(Pension_Model!$D$2:$D$29,MATCH(H316,Pension_Model!$B$2:$B$29,0)),0),IFERROR(INDEX(Pension_Model!$D$2:$D$29,MATCH(H317,Pension_Model!$B$2:$B$29,0)),0),IFERROR(INDEX(Pension_Model!$D$2:$D$29,MATCH(H318,Pension_Model!$B$2:$B$29,0)),0)),0))))))</f>
        <v>0.05</v>
      </c>
      <c r="Q314" s="28">
        <f>Population_Data!$B$15*P314</f>
        <v>660600</v>
      </c>
      <c r="S314">
        <f t="shared" si="4"/>
        <v>1521284.3158402932</v>
      </c>
      <c r="U314" s="33">
        <f>S314/Population_Data!$B$19</f>
        <v>2.7559498475367629E-2</v>
      </c>
    </row>
    <row r="315" spans="1:21">
      <c r="A315" s="25">
        <f>Calendar!A315</f>
        <v>46548</v>
      </c>
      <c r="B315" t="str">
        <f>Calendar!L315</f>
        <v>Yes</v>
      </c>
      <c r="C315" t="str">
        <f>Calendar!O315</f>
        <v>No</v>
      </c>
      <c r="D315" t="str">
        <f>Calendar!P315</f>
        <v>No</v>
      </c>
      <c r="E315" t="str">
        <f>Calendar!Q315</f>
        <v>No</v>
      </c>
      <c r="F315" t="str">
        <f>Calendar!I315</f>
        <v>Thursday</v>
      </c>
      <c r="G315">
        <f>Calendar!S315</f>
        <v>12</v>
      </c>
      <c r="H315">
        <f>Calendar!T315</f>
        <v>12</v>
      </c>
      <c r="I315" s="27">
        <f>IF(VLOOKUP(A315,Calendar!$A$1:$R$1377,18,0)=0,0,IF(VLOOKUP(A315,Calendar!$A$1:$R$1377,18,0)=1,INDEX(Monthly_Pay_Model!$A$9:$D$40,MATCH(TEXT(A315,"dd"),Monthly_Pay_Model!$C$9:$C$39,0),4),IF(VLOOKUP(A315,Calendar!$A$1:$R$1377,18,0)=2,SUM(INDEX(Monthly_Pay_Model!$A$9:$D$40,MATCH(TEXT(A315,"dd"),Monthly_Pay_Model!$C$9:$C$39,0),4),INDEX(Monthly_Pay_Model!$A$9:$D$40,MATCH(TEXT(A316,"dd"),Monthly_Pay_Model!$C$9:$C$39,0),4)),IF(VLOOKUP(A315,Calendar!$A$1:$R$1377,18,0)=3,SUM(INDEX(Monthly_Pay_Model!$A$9:$D$40,MATCH(TEXT(A315,"dd"),Monthly_Pay_Model!$C$9:$C$39,0),4),INDEX(Monthly_Pay_Model!$A$9:$D$40,MATCH(TEXT(A316,"dd"),Monthly_Pay_Model!$C$9:$C$39,0),4),INDEX(Monthly_Pay_Model!$A$9:$D$40,MATCH(TEXT(A317,"dd"),Monthly_Pay_Model!$C$9:$C$39,0),4)),IF(VLOOKUP(A315,Calendar!$A$1:$R$1377,18,0)=4,SUM(INDEX(Monthly_Pay_Model!$A$9:$D$40,MATCH(TEXT(A315,"dd"),Monthly_Pay_Model!$C$9:$C$39,0),4),INDEX(Monthly_Pay_Model!$A$9:$D$40,MATCH(TEXT(A316,"dd"),Monthly_Pay_Model!$C$9:$C$39,0),4),INDEX(Monthly_Pay_Model!$A$9:$D$40,MATCH(TEXT(A317,"dd"),Monthly_Pay_Model!$C$9:$C$39,0),4),INDEX(Monthly_Pay_Model!$A$9:$D$40,MATCH(TEXT(A318,"dd"),Monthly_Pay_Model!$C$9:$C$39,0),4)),IF(VLOOKUP(A315,Calendar!$A$1:$R$1377,18,0)=5,SUM(INDEX(Monthly_Pay_Model!$A$9:$D$40,MATCH(TEXT(A315,"dd"),Monthly_Pay_Model!$C$9:$C$39,0),4),INDEX(Monthly_Pay_Model!$A$9:$D$40,MATCH(TEXT(A316,"dd"),Monthly_Pay_Model!$C$9:$C$39,0),4),INDEX(Monthly_Pay_Model!$A$9:$D$40,MATCH(TEXT(A317,"dd"),Monthly_Pay_Model!$C$9:$C$39,0),4),INDEX(Monthly_Pay_Model!$A$9:$D$40,MATCH(TEXT(A318,"dd"),Monthly_Pay_Model!$C$9:$C$39,0),4),INDEX(Monthly_Pay_Model!$A$9:$D$40,MATCH(TEXT(A319,"dd"),Monthly_Pay_Model!$C$9:$C$39,0),4)),))))))</f>
        <v>4.8753926701570662E-3</v>
      </c>
      <c r="J315" s="33">
        <f>IF(C315="Yes",Monthly_Pay_Model!$D$2,0)
+IF(Calendar!N315="Yes",Monthly_Pay_Model!$D$3,0)
+IF(D315="Yes",Monthly_Pay_Model!$D$4,0)
+IF(E315="Yes",Monthly_Pay_Model!$D$5,0)</f>
        <v>0</v>
      </c>
      <c r="K315" s="27">
        <f>IF(VLOOKUP($A315,Calendar!$A$1:$R$1377,18,0)=0,0,IF(VLOOKUP($A315,Calendar!$A$1:$R$1377,18,0)=1,IFERROR(INDEX(Weekly_Model!$D$2:$D$9,MATCH(F315,Weekly_Model!$A$2:$A$9,0)),0),IF(VLOOKUP($A315,Calendar!$A$1:$R$1377,18,0)=2,SUM(IFERROR(INDEX(Weekly_Model!$D$2:$D$9,MATCH(F315,Weekly_Model!$A$2:$A$9,0)),0),IFERROR(INDEX(Weekly_Model!$D$2:$D$9,MATCH(F316,Weekly_Model!$A$2:$A$9,0)),0)),IF(VLOOKUP($A315,Calendar!$A$1:$R$1377,18,0)=3,SUM(IFERROR(INDEX(Weekly_Model!$D$2:$D$9,MATCH(F315,Weekly_Model!$A$2:$A$9,0)),0),IFERROR(INDEX(Weekly_Model!$D$2:$D$9,MATCH(F316,Weekly_Model!$A$2:$A$9,0)),0),IFERROR(INDEX(Weekly_Model!$D$2:$D$9,MATCH(F317,Weekly_Model!$A$2:$A$9,0)),0)),IF(VLOOKUP($A315,Calendar!$A$1:$R$1377,18,0)=4,SUM(IFERROR(INDEX(Weekly_Model!$D$2:$D$9,MATCH(F315,Weekly_Model!$A$2:$A$9,0)),0),IFERROR(INDEX(Weekly_Model!$D$2:$D$9,MATCH(F316,Weekly_Model!$A$2:$A$9,0)),0),IFERROR(INDEX(Weekly_Model!$D$2:$D$9,MATCH(F317,Weekly_Model!$A$2:$A$9,0)),0),IFERROR(INDEX(Weekly_Model!$D$2:$D$9,MATCH(F318,Weekly_Model!$A$2:$A$9,0)),0)),IF(VLOOKUP($A315,Calendar!$A$1:$R$1377,18,0)=5,SUM(IFERROR(INDEX(Weekly_Model!$D$2:$D$9,MATCH(F315,Weekly_Model!$A$2:$A$9,0)),0),IFERROR(INDEX(Weekly_Model!$D$2:$D$9,MATCH(F316,Weekly_Model!$A$2:$A$9,0)),0),IFERROR(INDEX(Weekly_Model!$D$2:$D$9,MATCH(F317,Weekly_Model!$A$2:$A$9,0)),0),IFERROR(INDEX(Weekly_Model!$D$2:$D$9,MATCH(F318,Weekly_Model!$A$2:$A$9,0)),0),IFERROR(INDEX(Weekly_Model!$D$2:$D$9,MATCH(F319,Weekly_Model!$A$2:$A$9,0)),0)),0))))))</f>
        <v>2.3200000000000002E-2</v>
      </c>
      <c r="L315" s="27">
        <f>IF(VLOOKUP($A315,Calendar!$A$1:$R$1377,18,0)=0,0,IF(VLOOKUP($A315,Calendar!$A$1:$R$1377,18,0)=1,IFERROR(INDEX(Fortnightly_Model!$D$2:$D$15,MATCH(G315,Fortnightly_Model!$B$2:$B$15,0)),0),IF(VLOOKUP($A315,Calendar!$A$1:$R$1377,18,0)=2,SUM(IFERROR(INDEX(Fortnightly_Model!$D$2:$D$15,MATCH(G315,Fortnightly_Model!$B$2:$B$15,0)),0),IFERROR(INDEX(Fortnightly_Model!$D$2:$D$15,MATCH(G316,Fortnightly_Model!$B$2:$B$15,0)),0)),IF(VLOOKUP($A315,Calendar!$A$1:$R$1377,18,0)=3,SUM(IFERROR(INDEX(Fortnightly_Model!$D$2:$D$15,MATCH(G315,Fortnightly_Model!$B$2:$B$15,0)),0),IFERROR(INDEX(Fortnightly_Model!$D$2:$D$15,MATCH(G316,Fortnightly_Model!$B$2:$B$15,0)),0),IFERROR(INDEX(Fortnightly_Model!$D$2:$D$15,MATCH(G317,Fortnightly_Model!$B$2:$B$15,0)),0)),IF(VLOOKUP($A315,Calendar!$A$1:$R$1377,18,0)=4,SUM(IFERROR(INDEX(Fortnightly_Model!$D$2:$D$15,MATCH(G315,Fortnightly_Model!$B$2:$B$15,0)),0),IFERROR(INDEX(Fortnightly_Model!$D$2:$D$15,MATCH(G316,Fortnightly_Model!$B$2:$B$15,0)),0),IFERROR(INDEX(Fortnightly_Model!$D$2:$D$15,MATCH(G317,Fortnightly_Model!$B$2:$B$15,0)),0),IFERROR(INDEX(Fortnightly_Model!$D$2:$D$15,MATCH(G318,Fortnightly_Model!$B$2:$B$15,0)),0)),IF(VLOOKUP($A315,Calendar!$A$1:$R$1377,18,0)=5,SUM(IFERROR(INDEX(Fortnightly_Model!$D$2:$D$15,MATCH(G315,Fortnightly_Model!$B$2:$B$15,0)),0),IFERROR(INDEX(Fortnightly_Model!$D$2:$D$15,MATCH(G316,Fortnightly_Model!$B$2:$B$15,0)),0),IFERROR(INDEX(Fortnightly_Model!$D$2:$D$15,MATCH(G317,Fortnightly_Model!$B$2:$B$15,0)),0),IFERROR(INDEX(Fortnightly_Model!$D$2:$D$15,MATCH(G318,Fortnightly_Model!$B$2:$B$15,0)),0),IFERROR(INDEX(Fortnightly_Model!$D$2:$D$15,MATCH(G319,Fortnightly_Model!$B$2:$B$15,0)),0)),0))))))</f>
        <v>1.0714285499999999E-3</v>
      </c>
      <c r="M315" s="27">
        <f>IF(VLOOKUP($A315,Calendar!$A$1:$R$1377,18,0)=0,0,IF(VLOOKUP($A315,Calendar!$A$1:$R$1377,18,0)=1,IFERROR(INDEX(FourWeekly_Model!$D$2:$D$29,MATCH(H315,FourWeekly_Model!$B$2:$B$29,0)),0),IF(VLOOKUP($A315,Calendar!$A$1:$R$1377,18,0)=2,SUM(IFERROR(INDEX(FourWeekly_Model!$D$2:$D$29,MATCH(H315,FourWeekly_Model!$B$2:$B$29,0)),0),IFERROR(INDEX(FourWeekly_Model!$D$2:$D$29,MATCH(H316,FourWeekly_Model!$B$2:$B$29,0)),0)),IF(VLOOKUP($A315,Calendar!$A$1:$R$1377,18,0)=3,SUM(IFERROR(INDEX(FourWeekly_Model!$D$2:$D$29,MATCH(H315,FourWeekly_Model!$B$2:$B$29,0)),0),IFERROR(INDEX(FourWeekly_Model!$D$2:$D$29,MATCH(H316,FourWeekly_Model!$B$2:$B$29,0)),0),IFERROR(INDEX(FourWeekly_Model!$D$2:$D$29,MATCH(H317,FourWeekly_Model!$B$2:$B$29,0)),0)),IF(VLOOKUP($A315,Calendar!$A$1:$R$1377,18,0)=4,SUM(IFERROR(INDEX(FourWeekly_Model!$D$2:$D$29,MATCH(H315,FourWeekly_Model!$B$2:$B$29,0)),0),IFERROR(INDEX(FourWeekly_Model!$D$2:$D$29,MATCH(H316,FourWeekly_Model!$B$2:$B$29,0)),0),IFERROR(INDEX(FourWeekly_Model!$D$2:$D$29,MATCH(H317,FourWeekly_Model!$B$2:$B$29,0)),0),IFERROR(INDEX(FourWeekly_Model!$D$2:$D$29,MATCH(H318,FourWeekly_Model!$B$2:$B$29,0)),0)),IF(VLOOKUP($A315,Calendar!$A$1:$R$1377,18,0)=5,SUM(IFERROR(INDEX(FourWeekly_Model!$D$2:$D$29,MATCH(H315,FourWeekly_Model!$B$2:$B$29,0)),0),IFERROR(INDEX(FourWeekly_Model!$D$2:$D$29,MATCH(H316,FourWeekly_Model!$B$2:$B$29,0)),0),IFERROR(INDEX(FourWeekly_Model!$D$2:$D$29,MATCH(H317,FourWeekly_Model!$B$2:$B$29,0)),0),IFERROR(INDEX(FourWeekly_Model!$D$2:$D$29,MATCH(H318,FourWeekly_Model!$B$2:$B$29,0)),0),IFERROR(INDEX(FourWeekly_Model!$D$2:$D$29,MATCH(H319,FourWeekly_Model!$B$2:$B$29,0)),0)),0))))))</f>
        <v>3.3214289700000004E-3</v>
      </c>
      <c r="N315" s="27">
        <f>SUM(I315:M315)</f>
        <v>3.2468250190157068E-2</v>
      </c>
      <c r="O315" s="28">
        <f>Population_Data!$B$8*N315</f>
        <v>983787.9807617591</v>
      </c>
      <c r="P315" s="27">
        <f>IF(VLOOKUP($A315,Calendar!$A$1:$R$1377,18,0)=0,0,IF(VLOOKUP($A315,Calendar!$A$1:$R$1377,18,0)=1,IFERROR(INDEX(Pension_Model!$D$2:$D$29,MATCH(H315,Pension_Model!$B$2:$B$29,0)),0),IF(VLOOKUP($A315,Calendar!$A$1:$R$1377,18,0)=2,SUM(IFERROR(INDEX(Pension_Model!$D$2:$D$29,MATCH(H315,Pension_Model!$B$2:$B$29,0)),0),IFERROR(INDEX(Pension_Model!$D$2:$D$29,MATCH(H316,Pension_Model!$B$2:$B$29,0)),0)),IF(VLOOKUP($A315,Calendar!$A$1:$R$1377,18,0)=3,SUM(IFERROR(INDEX(Pension_Model!$D$2:$D$29,MATCH(H315,Pension_Model!$B$2:$B$29,0)),0),IFERROR(INDEX(Pension_Model!$D$2:$D$29,MATCH(H316,Pension_Model!$B$2:$B$29,0)),0),IFERROR(INDEX(Pension_Model!$D$2:$D$29,MATCH(H317,Pension_Model!$B$2:$B$29,0)),0)),IF(VLOOKUP($A315,Calendar!$A$1:$R$1377,18,0)=4,SUM(IFERROR(INDEX(Pension_Model!$D$2:$D$29,MATCH(H315,Pension_Model!$B$2:$B$29,0)),0),IFERROR(INDEX(Pension_Model!$D$2:$D$29,MATCH(H316,Pension_Model!$B$2:$B$29,0)),0),IFERROR(INDEX(Pension_Model!$D$2:$D$29,MATCH(H317,Pension_Model!$B$2:$B$29,0)),0),IFERROR(INDEX(Pension_Model!$D$2:$D$29,MATCH(H318,Pension_Model!$B$2:$B$29,0)),0)),IF(VLOOKUP($A315,Calendar!$A$1:$R$1377,18,0)=5,SUM(IFERROR(INDEX(Pension_Model!$D$2:$D$29,MATCH(H315,Pension_Model!$B$2:$B$29,0)),0),IFERROR(INDEX(Pension_Model!$D$2:$D$29,MATCH(H316,Pension_Model!$B$2:$B$29,0)),0),IFERROR(INDEX(Pension_Model!$D$2:$D$29,MATCH(H317,Pension_Model!$B$2:$B$29,0)),0),IFERROR(INDEX(Pension_Model!$D$2:$D$29,MATCH(H318,Pension_Model!$B$2:$B$29,0)),0),IFERROR(INDEX(Pension_Model!$D$2:$D$29,MATCH(H319,Pension_Model!$B$2:$B$29,0)),0)),0))))))</f>
        <v>0.05</v>
      </c>
      <c r="Q315" s="28">
        <f>Population_Data!$B$15*P315</f>
        <v>660600</v>
      </c>
      <c r="S315">
        <f t="shared" si="4"/>
        <v>1644387.980761759</v>
      </c>
      <c r="U315" s="33">
        <f>S315/Population_Data!$B$19</f>
        <v>2.9789637332640562E-2</v>
      </c>
    </row>
    <row r="316" spans="1:21">
      <c r="A316" s="25">
        <f>Calendar!A316</f>
        <v>46549</v>
      </c>
      <c r="B316" t="str">
        <f>Calendar!L316</f>
        <v>Yes</v>
      </c>
      <c r="C316" t="str">
        <f>Calendar!O316</f>
        <v>No</v>
      </c>
      <c r="D316" t="str">
        <f>Calendar!P316</f>
        <v>No</v>
      </c>
      <c r="E316" t="str">
        <f>Calendar!Q316</f>
        <v>No</v>
      </c>
      <c r="F316" t="str">
        <f>Calendar!I316</f>
        <v>Friday</v>
      </c>
      <c r="G316">
        <f>Calendar!S316</f>
        <v>13</v>
      </c>
      <c r="H316">
        <f>Calendar!T316</f>
        <v>13</v>
      </c>
      <c r="I316" s="27">
        <f>IF(VLOOKUP(A316,Calendar!$A$1:$R$1377,18,0)=0,0,IF(VLOOKUP(A316,Calendar!$A$1:$R$1377,18,0)=1,INDEX(Monthly_Pay_Model!$A$9:$D$40,MATCH(TEXT(A316,"dd"),Monthly_Pay_Model!$C$9:$C$39,0),4),IF(VLOOKUP(A316,Calendar!$A$1:$R$1377,18,0)=2,SUM(INDEX(Monthly_Pay_Model!$A$9:$D$40,MATCH(TEXT(A316,"dd"),Monthly_Pay_Model!$C$9:$C$39,0),4),INDEX(Monthly_Pay_Model!$A$9:$D$40,MATCH(TEXT(A317,"dd"),Monthly_Pay_Model!$C$9:$C$39,0),4)),IF(VLOOKUP(A316,Calendar!$A$1:$R$1377,18,0)=3,SUM(INDEX(Monthly_Pay_Model!$A$9:$D$40,MATCH(TEXT(A316,"dd"),Monthly_Pay_Model!$C$9:$C$39,0),4),INDEX(Monthly_Pay_Model!$A$9:$D$40,MATCH(TEXT(A317,"dd"),Monthly_Pay_Model!$C$9:$C$39,0),4),INDEX(Monthly_Pay_Model!$A$9:$D$40,MATCH(TEXT(A318,"dd"),Monthly_Pay_Model!$C$9:$C$39,0),4)),IF(VLOOKUP(A316,Calendar!$A$1:$R$1377,18,0)=4,SUM(INDEX(Monthly_Pay_Model!$A$9:$D$40,MATCH(TEXT(A316,"dd"),Monthly_Pay_Model!$C$9:$C$39,0),4),INDEX(Monthly_Pay_Model!$A$9:$D$40,MATCH(TEXT(A317,"dd"),Monthly_Pay_Model!$C$9:$C$39,0),4),INDEX(Monthly_Pay_Model!$A$9:$D$40,MATCH(TEXT(A318,"dd"),Monthly_Pay_Model!$C$9:$C$39,0),4),INDEX(Monthly_Pay_Model!$A$9:$D$40,MATCH(TEXT(A319,"dd"),Monthly_Pay_Model!$C$9:$C$39,0),4)),IF(VLOOKUP(A316,Calendar!$A$1:$R$1377,18,0)=5,SUM(INDEX(Monthly_Pay_Model!$A$9:$D$40,MATCH(TEXT(A316,"dd"),Monthly_Pay_Model!$C$9:$C$39,0),4),INDEX(Monthly_Pay_Model!$A$9:$D$40,MATCH(TEXT(A317,"dd"),Monthly_Pay_Model!$C$9:$C$39,0),4),INDEX(Monthly_Pay_Model!$A$9:$D$40,MATCH(TEXT(A318,"dd"),Monthly_Pay_Model!$C$9:$C$39,0),4),INDEX(Monthly_Pay_Model!$A$9:$D$40,MATCH(TEXT(A319,"dd"),Monthly_Pay_Model!$C$9:$C$39,0),4),INDEX(Monthly_Pay_Model!$A$9:$D$40,MATCH(TEXT(A320,"dd"),Monthly_Pay_Model!$C$9:$C$39,0),4)),))))))</f>
        <v>3.2502617801047117E-3</v>
      </c>
      <c r="J316" s="33">
        <f>IF(C316="Yes",Monthly_Pay_Model!$D$2,0)
+IF(Calendar!N316="Yes",Monthly_Pay_Model!$D$3,0)
+IF(D316="Yes",Monthly_Pay_Model!$D$4,0)
+IF(E316="Yes",Monthly_Pay_Model!$D$5,0)</f>
        <v>0</v>
      </c>
      <c r="K316" s="27">
        <f>IF(VLOOKUP($A316,Calendar!$A$1:$R$1377,18,0)=0,0,IF(VLOOKUP($A316,Calendar!$A$1:$R$1377,18,0)=1,IFERROR(INDEX(Weekly_Model!$D$2:$D$9,MATCH(F316,Weekly_Model!$A$2:$A$9,0)),0),IF(VLOOKUP($A316,Calendar!$A$1:$R$1377,18,0)=2,SUM(IFERROR(INDEX(Weekly_Model!$D$2:$D$9,MATCH(F316,Weekly_Model!$A$2:$A$9,0)),0),IFERROR(INDEX(Weekly_Model!$D$2:$D$9,MATCH(F317,Weekly_Model!$A$2:$A$9,0)),0)),IF(VLOOKUP($A316,Calendar!$A$1:$R$1377,18,0)=3,SUM(IFERROR(INDEX(Weekly_Model!$D$2:$D$9,MATCH(F316,Weekly_Model!$A$2:$A$9,0)),0),IFERROR(INDEX(Weekly_Model!$D$2:$D$9,MATCH(F317,Weekly_Model!$A$2:$A$9,0)),0),IFERROR(INDEX(Weekly_Model!$D$2:$D$9,MATCH(F318,Weekly_Model!$A$2:$A$9,0)),0)),IF(VLOOKUP($A316,Calendar!$A$1:$R$1377,18,0)=4,SUM(IFERROR(INDEX(Weekly_Model!$D$2:$D$9,MATCH(F316,Weekly_Model!$A$2:$A$9,0)),0),IFERROR(INDEX(Weekly_Model!$D$2:$D$9,MATCH(F317,Weekly_Model!$A$2:$A$9,0)),0),IFERROR(INDEX(Weekly_Model!$D$2:$D$9,MATCH(F318,Weekly_Model!$A$2:$A$9,0)),0),IFERROR(INDEX(Weekly_Model!$D$2:$D$9,MATCH(F319,Weekly_Model!$A$2:$A$9,0)),0)),IF(VLOOKUP($A316,Calendar!$A$1:$R$1377,18,0)=5,SUM(IFERROR(INDEX(Weekly_Model!$D$2:$D$9,MATCH(F316,Weekly_Model!$A$2:$A$9,0)),0),IFERROR(INDEX(Weekly_Model!$D$2:$D$9,MATCH(F317,Weekly_Model!$A$2:$A$9,0)),0),IFERROR(INDEX(Weekly_Model!$D$2:$D$9,MATCH(F318,Weekly_Model!$A$2:$A$9,0)),0),IFERROR(INDEX(Weekly_Model!$D$2:$D$9,MATCH(F319,Weekly_Model!$A$2:$A$9,0)),0),IFERROR(INDEX(Weekly_Model!$D$2:$D$9,MATCH(F320,Weekly_Model!$A$2:$A$9,0)),0)),0))))))</f>
        <v>2.3200000000000002E-2</v>
      </c>
      <c r="L316" s="27">
        <f>IF(VLOOKUP($A316,Calendar!$A$1:$R$1377,18,0)=0,0,IF(VLOOKUP($A316,Calendar!$A$1:$R$1377,18,0)=1,IFERROR(INDEX(Fortnightly_Model!$D$2:$D$15,MATCH(G316,Fortnightly_Model!$B$2:$B$15,0)),0),IF(VLOOKUP($A316,Calendar!$A$1:$R$1377,18,0)=2,SUM(IFERROR(INDEX(Fortnightly_Model!$D$2:$D$15,MATCH(G316,Fortnightly_Model!$B$2:$B$15,0)),0),IFERROR(INDEX(Fortnightly_Model!$D$2:$D$15,MATCH(G317,Fortnightly_Model!$B$2:$B$15,0)),0)),IF(VLOOKUP($A316,Calendar!$A$1:$R$1377,18,0)=3,SUM(IFERROR(INDEX(Fortnightly_Model!$D$2:$D$15,MATCH(G316,Fortnightly_Model!$B$2:$B$15,0)),0),IFERROR(INDEX(Fortnightly_Model!$D$2:$D$15,MATCH(G317,Fortnightly_Model!$B$2:$B$15,0)),0),IFERROR(INDEX(Fortnightly_Model!$D$2:$D$15,MATCH(G318,Fortnightly_Model!$B$2:$B$15,0)),0)),IF(VLOOKUP($A316,Calendar!$A$1:$R$1377,18,0)=4,SUM(IFERROR(INDEX(Fortnightly_Model!$D$2:$D$15,MATCH(G316,Fortnightly_Model!$B$2:$B$15,0)),0),IFERROR(INDEX(Fortnightly_Model!$D$2:$D$15,MATCH(G317,Fortnightly_Model!$B$2:$B$15,0)),0),IFERROR(INDEX(Fortnightly_Model!$D$2:$D$15,MATCH(G318,Fortnightly_Model!$B$2:$B$15,0)),0),IFERROR(INDEX(Fortnightly_Model!$D$2:$D$15,MATCH(G319,Fortnightly_Model!$B$2:$B$15,0)),0)),IF(VLOOKUP($A316,Calendar!$A$1:$R$1377,18,0)=5,SUM(IFERROR(INDEX(Fortnightly_Model!$D$2:$D$15,MATCH(G316,Fortnightly_Model!$B$2:$B$15,0)),0),IFERROR(INDEX(Fortnightly_Model!$D$2:$D$15,MATCH(G317,Fortnightly_Model!$B$2:$B$15,0)),0),IFERROR(INDEX(Fortnightly_Model!$D$2:$D$15,MATCH(G318,Fortnightly_Model!$B$2:$B$15,0)),0),IFERROR(INDEX(Fortnightly_Model!$D$2:$D$15,MATCH(G319,Fortnightly_Model!$B$2:$B$15,0)),0),IFERROR(INDEX(Fortnightly_Model!$D$2:$D$15,MATCH(G320,Fortnightly_Model!$B$2:$B$15,0)),0)),0))))))</f>
        <v>3.2142856499999999E-3</v>
      </c>
      <c r="M316" s="27">
        <f>IF(VLOOKUP($A316,Calendar!$A$1:$R$1377,18,0)=0,0,IF(VLOOKUP($A316,Calendar!$A$1:$R$1377,18,0)=1,IFERROR(INDEX(FourWeekly_Model!$D$2:$D$29,MATCH(H316,FourWeekly_Model!$B$2:$B$29,0)),0),IF(VLOOKUP($A316,Calendar!$A$1:$R$1377,18,0)=2,SUM(IFERROR(INDEX(FourWeekly_Model!$D$2:$D$29,MATCH(H316,FourWeekly_Model!$B$2:$B$29,0)),0),IFERROR(INDEX(FourWeekly_Model!$D$2:$D$29,MATCH(H317,FourWeekly_Model!$B$2:$B$29,0)),0)),IF(VLOOKUP($A316,Calendar!$A$1:$R$1377,18,0)=3,SUM(IFERROR(INDEX(FourWeekly_Model!$D$2:$D$29,MATCH(H316,FourWeekly_Model!$B$2:$B$29,0)),0),IFERROR(INDEX(FourWeekly_Model!$D$2:$D$29,MATCH(H317,FourWeekly_Model!$B$2:$B$29,0)),0),IFERROR(INDEX(FourWeekly_Model!$D$2:$D$29,MATCH(H318,FourWeekly_Model!$B$2:$B$29,0)),0)),IF(VLOOKUP($A316,Calendar!$A$1:$R$1377,18,0)=4,SUM(IFERROR(INDEX(FourWeekly_Model!$D$2:$D$29,MATCH(H316,FourWeekly_Model!$B$2:$B$29,0)),0),IFERROR(INDEX(FourWeekly_Model!$D$2:$D$29,MATCH(H317,FourWeekly_Model!$B$2:$B$29,0)),0),IFERROR(INDEX(FourWeekly_Model!$D$2:$D$29,MATCH(H318,FourWeekly_Model!$B$2:$B$29,0)),0),IFERROR(INDEX(FourWeekly_Model!$D$2:$D$29,MATCH(H319,FourWeekly_Model!$B$2:$B$29,0)),0)),IF(VLOOKUP($A316,Calendar!$A$1:$R$1377,18,0)=5,SUM(IFERROR(INDEX(FourWeekly_Model!$D$2:$D$29,MATCH(H316,FourWeekly_Model!$B$2:$B$29,0)),0),IFERROR(INDEX(FourWeekly_Model!$D$2:$D$29,MATCH(H317,FourWeekly_Model!$B$2:$B$29,0)),0),IFERROR(INDEX(FourWeekly_Model!$D$2:$D$29,MATCH(H318,FourWeekly_Model!$B$2:$B$29,0)),0),IFERROR(INDEX(FourWeekly_Model!$D$2:$D$29,MATCH(H319,FourWeekly_Model!$B$2:$B$29,0)),0),IFERROR(INDEX(FourWeekly_Model!$D$2:$D$29,MATCH(H320,FourWeekly_Model!$B$2:$B$29,0)),0)),0))))))</f>
        <v>9.9642859800000011E-3</v>
      </c>
      <c r="N316" s="27">
        <f>SUM(I316:M316)</f>
        <v>3.9628833410104716E-2</v>
      </c>
      <c r="O316" s="28">
        <f>Population_Data!$B$8*N316</f>
        <v>1200753.6523261729</v>
      </c>
      <c r="P316" s="27">
        <f>IF(VLOOKUP($A316,Calendar!$A$1:$R$1377,18,0)=0,0,IF(VLOOKUP($A316,Calendar!$A$1:$R$1377,18,0)=1,IFERROR(INDEX(Pension_Model!$D$2:$D$29,MATCH(H316,Pension_Model!$B$2:$B$29,0)),0),IF(VLOOKUP($A316,Calendar!$A$1:$R$1377,18,0)=2,SUM(IFERROR(INDEX(Pension_Model!$D$2:$D$29,MATCH(H316,Pension_Model!$B$2:$B$29,0)),0),IFERROR(INDEX(Pension_Model!$D$2:$D$29,MATCH(H317,Pension_Model!$B$2:$B$29,0)),0)),IF(VLOOKUP($A316,Calendar!$A$1:$R$1377,18,0)=3,SUM(IFERROR(INDEX(Pension_Model!$D$2:$D$29,MATCH(H316,Pension_Model!$B$2:$B$29,0)),0),IFERROR(INDEX(Pension_Model!$D$2:$D$29,MATCH(H317,Pension_Model!$B$2:$B$29,0)),0),IFERROR(INDEX(Pension_Model!$D$2:$D$29,MATCH(H318,Pension_Model!$B$2:$B$29,0)),0)),IF(VLOOKUP($A316,Calendar!$A$1:$R$1377,18,0)=4,SUM(IFERROR(INDEX(Pension_Model!$D$2:$D$29,MATCH(H316,Pension_Model!$B$2:$B$29,0)),0),IFERROR(INDEX(Pension_Model!$D$2:$D$29,MATCH(H317,Pension_Model!$B$2:$B$29,0)),0),IFERROR(INDEX(Pension_Model!$D$2:$D$29,MATCH(H318,Pension_Model!$B$2:$B$29,0)),0),IFERROR(INDEX(Pension_Model!$D$2:$D$29,MATCH(H319,Pension_Model!$B$2:$B$29,0)),0)),IF(VLOOKUP($A316,Calendar!$A$1:$R$1377,18,0)=5,SUM(IFERROR(INDEX(Pension_Model!$D$2:$D$29,MATCH(H316,Pension_Model!$B$2:$B$29,0)),0),IFERROR(INDEX(Pension_Model!$D$2:$D$29,MATCH(H317,Pension_Model!$B$2:$B$29,0)),0),IFERROR(INDEX(Pension_Model!$D$2:$D$29,MATCH(H318,Pension_Model!$B$2:$B$29,0)),0),IFERROR(INDEX(Pension_Model!$D$2:$D$29,MATCH(H319,Pension_Model!$B$2:$B$29,0)),0),IFERROR(INDEX(Pension_Model!$D$2:$D$29,MATCH(H320,Pension_Model!$B$2:$B$29,0)),0)),0))))))</f>
        <v>0.05</v>
      </c>
      <c r="Q316" s="28">
        <f>Population_Data!$B$15*P316</f>
        <v>660600</v>
      </c>
      <c r="S316">
        <f t="shared" si="4"/>
        <v>1861353.6523261729</v>
      </c>
      <c r="U316" s="33">
        <f>S316/Population_Data!$B$19</f>
        <v>3.3720174860981396E-2</v>
      </c>
    </row>
    <row r="317" spans="1:21">
      <c r="A317" s="25">
        <f>Calendar!A317</f>
        <v>46550</v>
      </c>
      <c r="B317" t="str">
        <f>Calendar!L317</f>
        <v>No</v>
      </c>
      <c r="C317" t="str">
        <f>Calendar!O317</f>
        <v>No</v>
      </c>
      <c r="D317" t="str">
        <f>Calendar!P317</f>
        <v>No</v>
      </c>
      <c r="E317" t="str">
        <f>Calendar!Q317</f>
        <v>No</v>
      </c>
      <c r="F317" t="str">
        <f>Calendar!I317</f>
        <v>Saturday</v>
      </c>
      <c r="G317">
        <f>Calendar!S317</f>
        <v>0</v>
      </c>
      <c r="H317">
        <f>Calendar!T317</f>
        <v>14</v>
      </c>
      <c r="I317" s="27">
        <f>IF(VLOOKUP(A317,Calendar!$A$1:$R$1377,18,0)=0,0,IF(VLOOKUP(A317,Calendar!$A$1:$R$1377,18,0)=1,INDEX(Monthly_Pay_Model!$A$9:$D$40,MATCH(TEXT(A317,"dd"),Monthly_Pay_Model!$C$9:$C$39,0),4),IF(VLOOKUP(A317,Calendar!$A$1:$R$1377,18,0)=2,SUM(INDEX(Monthly_Pay_Model!$A$9:$D$40,MATCH(TEXT(A317,"dd"),Monthly_Pay_Model!$C$9:$C$39,0),4),INDEX(Monthly_Pay_Model!$A$9:$D$40,MATCH(TEXT(A318,"dd"),Monthly_Pay_Model!$C$9:$C$39,0),4)),IF(VLOOKUP(A317,Calendar!$A$1:$R$1377,18,0)=3,SUM(INDEX(Monthly_Pay_Model!$A$9:$D$40,MATCH(TEXT(A317,"dd"),Monthly_Pay_Model!$C$9:$C$39,0),4),INDEX(Monthly_Pay_Model!$A$9:$D$40,MATCH(TEXT(A318,"dd"),Monthly_Pay_Model!$C$9:$C$39,0),4),INDEX(Monthly_Pay_Model!$A$9:$D$40,MATCH(TEXT(A319,"dd"),Monthly_Pay_Model!$C$9:$C$39,0),4)),IF(VLOOKUP(A317,Calendar!$A$1:$R$1377,18,0)=4,SUM(INDEX(Monthly_Pay_Model!$A$9:$D$40,MATCH(TEXT(A317,"dd"),Monthly_Pay_Model!$C$9:$C$39,0),4),INDEX(Monthly_Pay_Model!$A$9:$D$40,MATCH(TEXT(A318,"dd"),Monthly_Pay_Model!$C$9:$C$39,0),4),INDEX(Monthly_Pay_Model!$A$9:$D$40,MATCH(TEXT(A319,"dd"),Monthly_Pay_Model!$C$9:$C$39,0),4),INDEX(Monthly_Pay_Model!$A$9:$D$40,MATCH(TEXT(A320,"dd"),Monthly_Pay_Model!$C$9:$C$39,0),4)),IF(VLOOKUP(A317,Calendar!$A$1:$R$1377,18,0)=5,SUM(INDEX(Monthly_Pay_Model!$A$9:$D$40,MATCH(TEXT(A317,"dd"),Monthly_Pay_Model!$C$9:$C$39,0),4),INDEX(Monthly_Pay_Model!$A$9:$D$40,MATCH(TEXT(A318,"dd"),Monthly_Pay_Model!$C$9:$C$39,0),4),INDEX(Monthly_Pay_Model!$A$9:$D$40,MATCH(TEXT(A319,"dd"),Monthly_Pay_Model!$C$9:$C$39,0),4),INDEX(Monthly_Pay_Model!$A$9:$D$40,MATCH(TEXT(A320,"dd"),Monthly_Pay_Model!$C$9:$C$39,0),4),INDEX(Monthly_Pay_Model!$A$9:$D$40,MATCH(TEXT(A321,"dd"),Monthly_Pay_Model!$C$9:$C$39,0),4)),))))))</f>
        <v>0</v>
      </c>
      <c r="J317" s="33">
        <f>IF(C317="Yes",Monthly_Pay_Model!$D$2,0)
+IF(Calendar!N317="Yes",Monthly_Pay_Model!$D$3,0)
+IF(D317="Yes",Monthly_Pay_Model!$D$4,0)
+IF(E317="Yes",Monthly_Pay_Model!$D$5,0)</f>
        <v>0</v>
      </c>
      <c r="K317" s="27">
        <f>IF(VLOOKUP($A317,Calendar!$A$1:$R$1377,18,0)=0,0,IF(VLOOKUP($A317,Calendar!$A$1:$R$1377,18,0)=1,IFERROR(INDEX(Weekly_Model!$D$2:$D$9,MATCH(F317,Weekly_Model!$A$2:$A$9,0)),0),IF(VLOOKUP($A317,Calendar!$A$1:$R$1377,18,0)=2,SUM(IFERROR(INDEX(Weekly_Model!$D$2:$D$9,MATCH(F317,Weekly_Model!$A$2:$A$9,0)),0),IFERROR(INDEX(Weekly_Model!$D$2:$D$9,MATCH(F318,Weekly_Model!$A$2:$A$9,0)),0)),IF(VLOOKUP($A317,Calendar!$A$1:$R$1377,18,0)=3,SUM(IFERROR(INDEX(Weekly_Model!$D$2:$D$9,MATCH(F317,Weekly_Model!$A$2:$A$9,0)),0),IFERROR(INDEX(Weekly_Model!$D$2:$D$9,MATCH(F318,Weekly_Model!$A$2:$A$9,0)),0),IFERROR(INDEX(Weekly_Model!$D$2:$D$9,MATCH(F319,Weekly_Model!$A$2:$A$9,0)),0)),IF(VLOOKUP($A317,Calendar!$A$1:$R$1377,18,0)=4,SUM(IFERROR(INDEX(Weekly_Model!$D$2:$D$9,MATCH(F317,Weekly_Model!$A$2:$A$9,0)),0),IFERROR(INDEX(Weekly_Model!$D$2:$D$9,MATCH(F318,Weekly_Model!$A$2:$A$9,0)),0),IFERROR(INDEX(Weekly_Model!$D$2:$D$9,MATCH(F319,Weekly_Model!$A$2:$A$9,0)),0),IFERROR(INDEX(Weekly_Model!$D$2:$D$9,MATCH(F320,Weekly_Model!$A$2:$A$9,0)),0)),IF(VLOOKUP($A317,Calendar!$A$1:$R$1377,18,0)=5,SUM(IFERROR(INDEX(Weekly_Model!$D$2:$D$9,MATCH(F317,Weekly_Model!$A$2:$A$9,0)),0),IFERROR(INDEX(Weekly_Model!$D$2:$D$9,MATCH(F318,Weekly_Model!$A$2:$A$9,0)),0),IFERROR(INDEX(Weekly_Model!$D$2:$D$9,MATCH(F319,Weekly_Model!$A$2:$A$9,0)),0),IFERROR(INDEX(Weekly_Model!$D$2:$D$9,MATCH(F320,Weekly_Model!$A$2:$A$9,0)),0),IFERROR(INDEX(Weekly_Model!$D$2:$D$9,MATCH(F321,Weekly_Model!$A$2:$A$9,0)),0)),0))))))</f>
        <v>0</v>
      </c>
      <c r="L317" s="27">
        <f>IF(VLOOKUP($A317,Calendar!$A$1:$R$1377,18,0)=0,0,IF(VLOOKUP($A317,Calendar!$A$1:$R$1377,18,0)=1,IFERROR(INDEX(Fortnightly_Model!$D$2:$D$15,MATCH(G317,Fortnightly_Model!$B$2:$B$15,0)),0),IF(VLOOKUP($A317,Calendar!$A$1:$R$1377,18,0)=2,SUM(IFERROR(INDEX(Fortnightly_Model!$D$2:$D$15,MATCH(G317,Fortnightly_Model!$B$2:$B$15,0)),0),IFERROR(INDEX(Fortnightly_Model!$D$2:$D$15,MATCH(G318,Fortnightly_Model!$B$2:$B$15,0)),0)),IF(VLOOKUP($A317,Calendar!$A$1:$R$1377,18,0)=3,SUM(IFERROR(INDEX(Fortnightly_Model!$D$2:$D$15,MATCH(G317,Fortnightly_Model!$B$2:$B$15,0)),0),IFERROR(INDEX(Fortnightly_Model!$D$2:$D$15,MATCH(G318,Fortnightly_Model!$B$2:$B$15,0)),0),IFERROR(INDEX(Fortnightly_Model!$D$2:$D$15,MATCH(G319,Fortnightly_Model!$B$2:$B$15,0)),0)),IF(VLOOKUP($A317,Calendar!$A$1:$R$1377,18,0)=4,SUM(IFERROR(INDEX(Fortnightly_Model!$D$2:$D$15,MATCH(G317,Fortnightly_Model!$B$2:$B$15,0)),0),IFERROR(INDEX(Fortnightly_Model!$D$2:$D$15,MATCH(G318,Fortnightly_Model!$B$2:$B$15,0)),0),IFERROR(INDEX(Fortnightly_Model!$D$2:$D$15,MATCH(G319,Fortnightly_Model!$B$2:$B$15,0)),0),IFERROR(INDEX(Fortnightly_Model!$D$2:$D$15,MATCH(G320,Fortnightly_Model!$B$2:$B$15,0)),0)),IF(VLOOKUP($A317,Calendar!$A$1:$R$1377,18,0)=5,SUM(IFERROR(INDEX(Fortnightly_Model!$D$2:$D$15,MATCH(G317,Fortnightly_Model!$B$2:$B$15,0)),0),IFERROR(INDEX(Fortnightly_Model!$D$2:$D$15,MATCH(G318,Fortnightly_Model!$B$2:$B$15,0)),0),IFERROR(INDEX(Fortnightly_Model!$D$2:$D$15,MATCH(G319,Fortnightly_Model!$B$2:$B$15,0)),0),IFERROR(INDEX(Fortnightly_Model!$D$2:$D$15,MATCH(G320,Fortnightly_Model!$B$2:$B$15,0)),0),IFERROR(INDEX(Fortnightly_Model!$D$2:$D$15,MATCH(G321,Fortnightly_Model!$B$2:$B$15,0)),0)),0))))))</f>
        <v>0</v>
      </c>
      <c r="M317" s="27">
        <f>IF(VLOOKUP($A317,Calendar!$A$1:$R$1377,18,0)=0,0,IF(VLOOKUP($A317,Calendar!$A$1:$R$1377,18,0)=1,IFERROR(INDEX(FourWeekly_Model!$D$2:$D$29,MATCH(H317,FourWeekly_Model!$B$2:$B$29,0)),0),IF(VLOOKUP($A317,Calendar!$A$1:$R$1377,18,0)=2,SUM(IFERROR(INDEX(FourWeekly_Model!$D$2:$D$29,MATCH(H317,FourWeekly_Model!$B$2:$B$29,0)),0),IFERROR(INDEX(FourWeekly_Model!$D$2:$D$29,MATCH(H318,FourWeekly_Model!$B$2:$B$29,0)),0)),IF(VLOOKUP($A317,Calendar!$A$1:$R$1377,18,0)=3,SUM(IFERROR(INDEX(FourWeekly_Model!$D$2:$D$29,MATCH(H317,FourWeekly_Model!$B$2:$B$29,0)),0),IFERROR(INDEX(FourWeekly_Model!$D$2:$D$29,MATCH(H318,FourWeekly_Model!$B$2:$B$29,0)),0),IFERROR(INDEX(FourWeekly_Model!$D$2:$D$29,MATCH(H319,FourWeekly_Model!$B$2:$B$29,0)),0)),IF(VLOOKUP($A317,Calendar!$A$1:$R$1377,18,0)=4,SUM(IFERROR(INDEX(FourWeekly_Model!$D$2:$D$29,MATCH(H317,FourWeekly_Model!$B$2:$B$29,0)),0),IFERROR(INDEX(FourWeekly_Model!$D$2:$D$29,MATCH(H318,FourWeekly_Model!$B$2:$B$29,0)),0),IFERROR(INDEX(FourWeekly_Model!$D$2:$D$29,MATCH(H319,FourWeekly_Model!$B$2:$B$29,0)),0),IFERROR(INDEX(FourWeekly_Model!$D$2:$D$29,MATCH(H320,FourWeekly_Model!$B$2:$B$29,0)),0)),IF(VLOOKUP($A317,Calendar!$A$1:$R$1377,18,0)=5,SUM(IFERROR(INDEX(FourWeekly_Model!$D$2:$D$29,MATCH(H317,FourWeekly_Model!$B$2:$B$29,0)),0),IFERROR(INDEX(FourWeekly_Model!$D$2:$D$29,MATCH(H318,FourWeekly_Model!$B$2:$B$29,0)),0),IFERROR(INDEX(FourWeekly_Model!$D$2:$D$29,MATCH(H319,FourWeekly_Model!$B$2:$B$29,0)),0),IFERROR(INDEX(FourWeekly_Model!$D$2:$D$29,MATCH(H320,FourWeekly_Model!$B$2:$B$29,0)),0),IFERROR(INDEX(FourWeekly_Model!$D$2:$D$29,MATCH(H321,FourWeekly_Model!$B$2:$B$29,0)),0)),0))))))</f>
        <v>0</v>
      </c>
      <c r="N317" s="27">
        <f>SUM(I317:M317)</f>
        <v>0</v>
      </c>
      <c r="O317" s="28">
        <f>Population_Data!$B$8*N317</f>
        <v>0</v>
      </c>
      <c r="P317" s="27">
        <f>IF(VLOOKUP($A317,Calendar!$A$1:$R$1377,18,0)=0,0,IF(VLOOKUP($A317,Calendar!$A$1:$R$1377,18,0)=1,IFERROR(INDEX(Pension_Model!$D$2:$D$29,MATCH(H317,Pension_Model!$B$2:$B$29,0)),0),IF(VLOOKUP($A317,Calendar!$A$1:$R$1377,18,0)=2,SUM(IFERROR(INDEX(Pension_Model!$D$2:$D$29,MATCH(H317,Pension_Model!$B$2:$B$29,0)),0),IFERROR(INDEX(Pension_Model!$D$2:$D$29,MATCH(H318,Pension_Model!$B$2:$B$29,0)),0)),IF(VLOOKUP($A317,Calendar!$A$1:$R$1377,18,0)=3,SUM(IFERROR(INDEX(Pension_Model!$D$2:$D$29,MATCH(H317,Pension_Model!$B$2:$B$29,0)),0),IFERROR(INDEX(Pension_Model!$D$2:$D$29,MATCH(H318,Pension_Model!$B$2:$B$29,0)),0),IFERROR(INDEX(Pension_Model!$D$2:$D$29,MATCH(H319,Pension_Model!$B$2:$B$29,0)),0)),IF(VLOOKUP($A317,Calendar!$A$1:$R$1377,18,0)=4,SUM(IFERROR(INDEX(Pension_Model!$D$2:$D$29,MATCH(H317,Pension_Model!$B$2:$B$29,0)),0),IFERROR(INDEX(Pension_Model!$D$2:$D$29,MATCH(H318,Pension_Model!$B$2:$B$29,0)),0),IFERROR(INDEX(Pension_Model!$D$2:$D$29,MATCH(H319,Pension_Model!$B$2:$B$29,0)),0),IFERROR(INDEX(Pension_Model!$D$2:$D$29,MATCH(H320,Pension_Model!$B$2:$B$29,0)),0)),IF(VLOOKUP($A317,Calendar!$A$1:$R$1377,18,0)=5,SUM(IFERROR(INDEX(Pension_Model!$D$2:$D$29,MATCH(H317,Pension_Model!$B$2:$B$29,0)),0),IFERROR(INDEX(Pension_Model!$D$2:$D$29,MATCH(H318,Pension_Model!$B$2:$B$29,0)),0),IFERROR(INDEX(Pension_Model!$D$2:$D$29,MATCH(H319,Pension_Model!$B$2:$B$29,0)),0),IFERROR(INDEX(Pension_Model!$D$2:$D$29,MATCH(H320,Pension_Model!$B$2:$B$29,0)),0),IFERROR(INDEX(Pension_Model!$D$2:$D$29,MATCH(H321,Pension_Model!$B$2:$B$29,0)),0)),0))))))</f>
        <v>0</v>
      </c>
      <c r="Q317" s="28">
        <f>Population_Data!$B$15*P317</f>
        <v>0</v>
      </c>
      <c r="S317">
        <f t="shared" si="4"/>
        <v>0</v>
      </c>
      <c r="U317" s="33">
        <f>S317/Population_Data!$B$19</f>
        <v>0</v>
      </c>
    </row>
    <row r="318" spans="1:21">
      <c r="A318" s="25">
        <f>Calendar!A318</f>
        <v>46551</v>
      </c>
      <c r="B318" t="str">
        <f>Calendar!L318</f>
        <v>No</v>
      </c>
      <c r="C318" t="str">
        <f>Calendar!O318</f>
        <v>No</v>
      </c>
      <c r="D318" t="str">
        <f>Calendar!P318</f>
        <v>No</v>
      </c>
      <c r="E318" t="str">
        <f>Calendar!Q318</f>
        <v>No</v>
      </c>
      <c r="F318" t="str">
        <f>Calendar!I318</f>
        <v>Sunday</v>
      </c>
      <c r="G318">
        <f>Calendar!S318</f>
        <v>1</v>
      </c>
      <c r="H318">
        <f>Calendar!T318</f>
        <v>15</v>
      </c>
      <c r="I318" s="27">
        <f>IF(VLOOKUP(A318,Calendar!$A$1:$R$1377,18,0)=0,0,IF(VLOOKUP(A318,Calendar!$A$1:$R$1377,18,0)=1,INDEX(Monthly_Pay_Model!$A$9:$D$40,MATCH(TEXT(A318,"dd"),Monthly_Pay_Model!$C$9:$C$39,0),4),IF(VLOOKUP(A318,Calendar!$A$1:$R$1377,18,0)=2,SUM(INDEX(Monthly_Pay_Model!$A$9:$D$40,MATCH(TEXT(A318,"dd"),Monthly_Pay_Model!$C$9:$C$39,0),4),INDEX(Monthly_Pay_Model!$A$9:$D$40,MATCH(TEXT(A319,"dd"),Monthly_Pay_Model!$C$9:$C$39,0),4)),IF(VLOOKUP(A318,Calendar!$A$1:$R$1377,18,0)=3,SUM(INDEX(Monthly_Pay_Model!$A$9:$D$40,MATCH(TEXT(A318,"dd"),Monthly_Pay_Model!$C$9:$C$39,0),4),INDEX(Monthly_Pay_Model!$A$9:$D$40,MATCH(TEXT(A319,"dd"),Monthly_Pay_Model!$C$9:$C$39,0),4),INDEX(Monthly_Pay_Model!$A$9:$D$40,MATCH(TEXT(A320,"dd"),Monthly_Pay_Model!$C$9:$C$39,0),4)),IF(VLOOKUP(A318,Calendar!$A$1:$R$1377,18,0)=4,SUM(INDEX(Monthly_Pay_Model!$A$9:$D$40,MATCH(TEXT(A318,"dd"),Monthly_Pay_Model!$C$9:$C$39,0),4),INDEX(Monthly_Pay_Model!$A$9:$D$40,MATCH(TEXT(A319,"dd"),Monthly_Pay_Model!$C$9:$C$39,0),4),INDEX(Monthly_Pay_Model!$A$9:$D$40,MATCH(TEXT(A320,"dd"),Monthly_Pay_Model!$C$9:$C$39,0),4),INDEX(Monthly_Pay_Model!$A$9:$D$40,MATCH(TEXT(A321,"dd"),Monthly_Pay_Model!$C$9:$C$39,0),4)),IF(VLOOKUP(A318,Calendar!$A$1:$R$1377,18,0)=5,SUM(INDEX(Monthly_Pay_Model!$A$9:$D$40,MATCH(TEXT(A318,"dd"),Monthly_Pay_Model!$C$9:$C$39,0),4),INDEX(Monthly_Pay_Model!$A$9:$D$40,MATCH(TEXT(A319,"dd"),Monthly_Pay_Model!$C$9:$C$39,0),4),INDEX(Monthly_Pay_Model!$A$9:$D$40,MATCH(TEXT(A320,"dd"),Monthly_Pay_Model!$C$9:$C$39,0),4),INDEX(Monthly_Pay_Model!$A$9:$D$40,MATCH(TEXT(A321,"dd"),Monthly_Pay_Model!$C$9:$C$39,0),4),INDEX(Monthly_Pay_Model!$A$9:$D$40,MATCH(TEXT(A322,"dd"),Monthly_Pay_Model!$C$9:$C$39,0),4)),))))))</f>
        <v>0</v>
      </c>
      <c r="J318" s="33">
        <f>IF(C318="Yes",Monthly_Pay_Model!$D$2,0)
+IF(Calendar!N318="Yes",Monthly_Pay_Model!$D$3,0)
+IF(D318="Yes",Monthly_Pay_Model!$D$4,0)
+IF(E318="Yes",Monthly_Pay_Model!$D$5,0)</f>
        <v>0</v>
      </c>
      <c r="K318" s="27">
        <f>IF(VLOOKUP($A318,Calendar!$A$1:$R$1377,18,0)=0,0,IF(VLOOKUP($A318,Calendar!$A$1:$R$1377,18,0)=1,IFERROR(INDEX(Weekly_Model!$D$2:$D$9,MATCH(F318,Weekly_Model!$A$2:$A$9,0)),0),IF(VLOOKUP($A318,Calendar!$A$1:$R$1377,18,0)=2,SUM(IFERROR(INDEX(Weekly_Model!$D$2:$D$9,MATCH(F318,Weekly_Model!$A$2:$A$9,0)),0),IFERROR(INDEX(Weekly_Model!$D$2:$D$9,MATCH(F319,Weekly_Model!$A$2:$A$9,0)),0)),IF(VLOOKUP($A318,Calendar!$A$1:$R$1377,18,0)=3,SUM(IFERROR(INDEX(Weekly_Model!$D$2:$D$9,MATCH(F318,Weekly_Model!$A$2:$A$9,0)),0),IFERROR(INDEX(Weekly_Model!$D$2:$D$9,MATCH(F319,Weekly_Model!$A$2:$A$9,0)),0),IFERROR(INDEX(Weekly_Model!$D$2:$D$9,MATCH(F320,Weekly_Model!$A$2:$A$9,0)),0)),IF(VLOOKUP($A318,Calendar!$A$1:$R$1377,18,0)=4,SUM(IFERROR(INDEX(Weekly_Model!$D$2:$D$9,MATCH(F318,Weekly_Model!$A$2:$A$9,0)),0),IFERROR(INDEX(Weekly_Model!$D$2:$D$9,MATCH(F319,Weekly_Model!$A$2:$A$9,0)),0),IFERROR(INDEX(Weekly_Model!$D$2:$D$9,MATCH(F320,Weekly_Model!$A$2:$A$9,0)),0),IFERROR(INDEX(Weekly_Model!$D$2:$D$9,MATCH(F321,Weekly_Model!$A$2:$A$9,0)),0)),IF(VLOOKUP($A318,Calendar!$A$1:$R$1377,18,0)=5,SUM(IFERROR(INDEX(Weekly_Model!$D$2:$D$9,MATCH(F318,Weekly_Model!$A$2:$A$9,0)),0),IFERROR(INDEX(Weekly_Model!$D$2:$D$9,MATCH(F319,Weekly_Model!$A$2:$A$9,0)),0),IFERROR(INDEX(Weekly_Model!$D$2:$D$9,MATCH(F320,Weekly_Model!$A$2:$A$9,0)),0),IFERROR(INDEX(Weekly_Model!$D$2:$D$9,MATCH(F321,Weekly_Model!$A$2:$A$9,0)),0),IFERROR(INDEX(Weekly_Model!$D$2:$D$9,MATCH(F322,Weekly_Model!$A$2:$A$9,0)),0)),0))))))</f>
        <v>0</v>
      </c>
      <c r="L318" s="27">
        <f>IF(VLOOKUP($A318,Calendar!$A$1:$R$1377,18,0)=0,0,IF(VLOOKUP($A318,Calendar!$A$1:$R$1377,18,0)=1,IFERROR(INDEX(Fortnightly_Model!$D$2:$D$15,MATCH(G318,Fortnightly_Model!$B$2:$B$15,0)),0),IF(VLOOKUP($A318,Calendar!$A$1:$R$1377,18,0)=2,SUM(IFERROR(INDEX(Fortnightly_Model!$D$2:$D$15,MATCH(G318,Fortnightly_Model!$B$2:$B$15,0)),0),IFERROR(INDEX(Fortnightly_Model!$D$2:$D$15,MATCH(G319,Fortnightly_Model!$B$2:$B$15,0)),0)),IF(VLOOKUP($A318,Calendar!$A$1:$R$1377,18,0)=3,SUM(IFERROR(INDEX(Fortnightly_Model!$D$2:$D$15,MATCH(G318,Fortnightly_Model!$B$2:$B$15,0)),0),IFERROR(INDEX(Fortnightly_Model!$D$2:$D$15,MATCH(G319,Fortnightly_Model!$B$2:$B$15,0)),0),IFERROR(INDEX(Fortnightly_Model!$D$2:$D$15,MATCH(G320,Fortnightly_Model!$B$2:$B$15,0)),0)),IF(VLOOKUP($A318,Calendar!$A$1:$R$1377,18,0)=4,SUM(IFERROR(INDEX(Fortnightly_Model!$D$2:$D$15,MATCH(G318,Fortnightly_Model!$B$2:$B$15,0)),0),IFERROR(INDEX(Fortnightly_Model!$D$2:$D$15,MATCH(G319,Fortnightly_Model!$B$2:$B$15,0)),0),IFERROR(INDEX(Fortnightly_Model!$D$2:$D$15,MATCH(G320,Fortnightly_Model!$B$2:$B$15,0)),0),IFERROR(INDEX(Fortnightly_Model!$D$2:$D$15,MATCH(G321,Fortnightly_Model!$B$2:$B$15,0)),0)),IF(VLOOKUP($A318,Calendar!$A$1:$R$1377,18,0)=5,SUM(IFERROR(INDEX(Fortnightly_Model!$D$2:$D$15,MATCH(G318,Fortnightly_Model!$B$2:$B$15,0)),0),IFERROR(INDEX(Fortnightly_Model!$D$2:$D$15,MATCH(G319,Fortnightly_Model!$B$2:$B$15,0)),0),IFERROR(INDEX(Fortnightly_Model!$D$2:$D$15,MATCH(G320,Fortnightly_Model!$B$2:$B$15,0)),0),IFERROR(INDEX(Fortnightly_Model!$D$2:$D$15,MATCH(G321,Fortnightly_Model!$B$2:$B$15,0)),0),IFERROR(INDEX(Fortnightly_Model!$D$2:$D$15,MATCH(G322,Fortnightly_Model!$B$2:$B$15,0)),0)),0))))))</f>
        <v>0</v>
      </c>
      <c r="M318" s="27">
        <f>IF(VLOOKUP($A318,Calendar!$A$1:$R$1377,18,0)=0,0,IF(VLOOKUP($A318,Calendar!$A$1:$R$1377,18,0)=1,IFERROR(INDEX(FourWeekly_Model!$D$2:$D$29,MATCH(H318,FourWeekly_Model!$B$2:$B$29,0)),0),IF(VLOOKUP($A318,Calendar!$A$1:$R$1377,18,0)=2,SUM(IFERROR(INDEX(FourWeekly_Model!$D$2:$D$29,MATCH(H318,FourWeekly_Model!$B$2:$B$29,0)),0),IFERROR(INDEX(FourWeekly_Model!$D$2:$D$29,MATCH(H319,FourWeekly_Model!$B$2:$B$29,0)),0)),IF(VLOOKUP($A318,Calendar!$A$1:$R$1377,18,0)=3,SUM(IFERROR(INDEX(FourWeekly_Model!$D$2:$D$29,MATCH(H318,FourWeekly_Model!$B$2:$B$29,0)),0),IFERROR(INDEX(FourWeekly_Model!$D$2:$D$29,MATCH(H319,FourWeekly_Model!$B$2:$B$29,0)),0),IFERROR(INDEX(FourWeekly_Model!$D$2:$D$29,MATCH(H320,FourWeekly_Model!$B$2:$B$29,0)),0)),IF(VLOOKUP($A318,Calendar!$A$1:$R$1377,18,0)=4,SUM(IFERROR(INDEX(FourWeekly_Model!$D$2:$D$29,MATCH(H318,FourWeekly_Model!$B$2:$B$29,0)),0),IFERROR(INDEX(FourWeekly_Model!$D$2:$D$29,MATCH(H319,FourWeekly_Model!$B$2:$B$29,0)),0),IFERROR(INDEX(FourWeekly_Model!$D$2:$D$29,MATCH(H320,FourWeekly_Model!$B$2:$B$29,0)),0),IFERROR(INDEX(FourWeekly_Model!$D$2:$D$29,MATCH(H321,FourWeekly_Model!$B$2:$B$29,0)),0)),IF(VLOOKUP($A318,Calendar!$A$1:$R$1377,18,0)=5,SUM(IFERROR(INDEX(FourWeekly_Model!$D$2:$D$29,MATCH(H318,FourWeekly_Model!$B$2:$B$29,0)),0),IFERROR(INDEX(FourWeekly_Model!$D$2:$D$29,MATCH(H319,FourWeekly_Model!$B$2:$B$29,0)),0),IFERROR(INDEX(FourWeekly_Model!$D$2:$D$29,MATCH(H320,FourWeekly_Model!$B$2:$B$29,0)),0),IFERROR(INDEX(FourWeekly_Model!$D$2:$D$29,MATCH(H321,FourWeekly_Model!$B$2:$B$29,0)),0),IFERROR(INDEX(FourWeekly_Model!$D$2:$D$29,MATCH(H322,FourWeekly_Model!$B$2:$B$29,0)),0)),0))))))</f>
        <v>0</v>
      </c>
      <c r="N318" s="27">
        <f>SUM(I318:M318)</f>
        <v>0</v>
      </c>
      <c r="O318" s="28">
        <f>Population_Data!$B$8*N318</f>
        <v>0</v>
      </c>
      <c r="P318" s="27">
        <f>IF(VLOOKUP($A318,Calendar!$A$1:$R$1377,18,0)=0,0,IF(VLOOKUP($A318,Calendar!$A$1:$R$1377,18,0)=1,IFERROR(INDEX(Pension_Model!$D$2:$D$29,MATCH(H318,Pension_Model!$B$2:$B$29,0)),0),IF(VLOOKUP($A318,Calendar!$A$1:$R$1377,18,0)=2,SUM(IFERROR(INDEX(Pension_Model!$D$2:$D$29,MATCH(H318,Pension_Model!$B$2:$B$29,0)),0),IFERROR(INDEX(Pension_Model!$D$2:$D$29,MATCH(H319,Pension_Model!$B$2:$B$29,0)),0)),IF(VLOOKUP($A318,Calendar!$A$1:$R$1377,18,0)=3,SUM(IFERROR(INDEX(Pension_Model!$D$2:$D$29,MATCH(H318,Pension_Model!$B$2:$B$29,0)),0),IFERROR(INDEX(Pension_Model!$D$2:$D$29,MATCH(H319,Pension_Model!$B$2:$B$29,0)),0),IFERROR(INDEX(Pension_Model!$D$2:$D$29,MATCH(H320,Pension_Model!$B$2:$B$29,0)),0)),IF(VLOOKUP($A318,Calendar!$A$1:$R$1377,18,0)=4,SUM(IFERROR(INDEX(Pension_Model!$D$2:$D$29,MATCH(H318,Pension_Model!$B$2:$B$29,0)),0),IFERROR(INDEX(Pension_Model!$D$2:$D$29,MATCH(H319,Pension_Model!$B$2:$B$29,0)),0),IFERROR(INDEX(Pension_Model!$D$2:$D$29,MATCH(H320,Pension_Model!$B$2:$B$29,0)),0),IFERROR(INDEX(Pension_Model!$D$2:$D$29,MATCH(H321,Pension_Model!$B$2:$B$29,0)),0)),IF(VLOOKUP($A318,Calendar!$A$1:$R$1377,18,0)=5,SUM(IFERROR(INDEX(Pension_Model!$D$2:$D$29,MATCH(H318,Pension_Model!$B$2:$B$29,0)),0),IFERROR(INDEX(Pension_Model!$D$2:$D$29,MATCH(H319,Pension_Model!$B$2:$B$29,0)),0),IFERROR(INDEX(Pension_Model!$D$2:$D$29,MATCH(H320,Pension_Model!$B$2:$B$29,0)),0),IFERROR(INDEX(Pension_Model!$D$2:$D$29,MATCH(H321,Pension_Model!$B$2:$B$29,0)),0),IFERROR(INDEX(Pension_Model!$D$2:$D$29,MATCH(H322,Pension_Model!$B$2:$B$29,0)),0)),0))))))</f>
        <v>0</v>
      </c>
      <c r="Q318" s="28">
        <f>Population_Data!$B$15*P318</f>
        <v>0</v>
      </c>
      <c r="S318">
        <f t="shared" si="4"/>
        <v>0</v>
      </c>
      <c r="U318" s="33">
        <f>S318/Population_Data!$B$19</f>
        <v>0</v>
      </c>
    </row>
    <row r="319" spans="1:21">
      <c r="A319" s="25">
        <f>Calendar!A319</f>
        <v>46552</v>
      </c>
      <c r="B319" t="str">
        <f>Calendar!L319</f>
        <v>Yes</v>
      </c>
      <c r="C319" t="str">
        <f>Calendar!O319</f>
        <v>No</v>
      </c>
      <c r="D319" t="str">
        <f>Calendar!P319</f>
        <v>No</v>
      </c>
      <c r="E319" t="str">
        <f>Calendar!Q319</f>
        <v>No</v>
      </c>
      <c r="F319" t="str">
        <f>Calendar!I319</f>
        <v>Monday</v>
      </c>
      <c r="G319">
        <f>Calendar!S319</f>
        <v>2</v>
      </c>
      <c r="H319">
        <f>Calendar!T319</f>
        <v>16</v>
      </c>
      <c r="I319" s="27">
        <f>IF(VLOOKUP(A319,Calendar!$A$1:$R$1377,18,0)=0,0,IF(VLOOKUP(A319,Calendar!$A$1:$R$1377,18,0)=1,INDEX(Monthly_Pay_Model!$A$9:$D$40,MATCH(TEXT(A319,"dd"),Monthly_Pay_Model!$C$9:$C$39,0),4),IF(VLOOKUP(A319,Calendar!$A$1:$R$1377,18,0)=2,SUM(INDEX(Monthly_Pay_Model!$A$9:$D$40,MATCH(TEXT(A319,"dd"),Monthly_Pay_Model!$C$9:$C$39,0),4),INDEX(Monthly_Pay_Model!$A$9:$D$40,MATCH(TEXT(A320,"dd"),Monthly_Pay_Model!$C$9:$C$39,0),4)),IF(VLOOKUP(A319,Calendar!$A$1:$R$1377,18,0)=3,SUM(INDEX(Monthly_Pay_Model!$A$9:$D$40,MATCH(TEXT(A319,"dd"),Monthly_Pay_Model!$C$9:$C$39,0),4),INDEX(Monthly_Pay_Model!$A$9:$D$40,MATCH(TEXT(A320,"dd"),Monthly_Pay_Model!$C$9:$C$39,0),4),INDEX(Monthly_Pay_Model!$A$9:$D$40,MATCH(TEXT(A321,"dd"),Monthly_Pay_Model!$C$9:$C$39,0),4)),IF(VLOOKUP(A319,Calendar!$A$1:$R$1377,18,0)=4,SUM(INDEX(Monthly_Pay_Model!$A$9:$D$40,MATCH(TEXT(A319,"dd"),Monthly_Pay_Model!$C$9:$C$39,0),4),INDEX(Monthly_Pay_Model!$A$9:$D$40,MATCH(TEXT(A320,"dd"),Monthly_Pay_Model!$C$9:$C$39,0),4),INDEX(Monthly_Pay_Model!$A$9:$D$40,MATCH(TEXT(A321,"dd"),Monthly_Pay_Model!$C$9:$C$39,0),4),INDEX(Monthly_Pay_Model!$A$9:$D$40,MATCH(TEXT(A322,"dd"),Monthly_Pay_Model!$C$9:$C$39,0),4)),IF(VLOOKUP(A319,Calendar!$A$1:$R$1377,18,0)=5,SUM(INDEX(Monthly_Pay_Model!$A$9:$D$40,MATCH(TEXT(A319,"dd"),Monthly_Pay_Model!$C$9:$C$39,0),4),INDEX(Monthly_Pay_Model!$A$9:$D$40,MATCH(TEXT(A320,"dd"),Monthly_Pay_Model!$C$9:$C$39,0),4),INDEX(Monthly_Pay_Model!$A$9:$D$40,MATCH(TEXT(A321,"dd"),Monthly_Pay_Model!$C$9:$C$39,0),4),INDEX(Monthly_Pay_Model!$A$9:$D$40,MATCH(TEXT(A322,"dd"),Monthly_Pay_Model!$C$9:$C$39,0),4),INDEX(Monthly_Pay_Model!$A$9:$D$40,MATCH(TEXT(A323,"dd"),Monthly_Pay_Model!$C$9:$C$39,0),4)),))))))</f>
        <v>8.1256544502617792E-4</v>
      </c>
      <c r="J319" s="33">
        <f>IF(C319="Yes",Monthly_Pay_Model!$D$2,0)
+IF(Calendar!N319="Yes",Monthly_Pay_Model!$D$3,0)
+IF(D319="Yes",Monthly_Pay_Model!$D$4,0)
+IF(E319="Yes",Monthly_Pay_Model!$D$5,0)</f>
        <v>0</v>
      </c>
      <c r="K319" s="27">
        <f>IF(VLOOKUP($A319,Calendar!$A$1:$R$1377,18,0)=0,0,IF(VLOOKUP($A319,Calendar!$A$1:$R$1377,18,0)=1,IFERROR(INDEX(Weekly_Model!$D$2:$D$9,MATCH(F319,Weekly_Model!$A$2:$A$9,0)),0),IF(VLOOKUP($A319,Calendar!$A$1:$R$1377,18,0)=2,SUM(IFERROR(INDEX(Weekly_Model!$D$2:$D$9,MATCH(F319,Weekly_Model!$A$2:$A$9,0)),0),IFERROR(INDEX(Weekly_Model!$D$2:$D$9,MATCH(F320,Weekly_Model!$A$2:$A$9,0)),0)),IF(VLOOKUP($A319,Calendar!$A$1:$R$1377,18,0)=3,SUM(IFERROR(INDEX(Weekly_Model!$D$2:$D$9,MATCH(F319,Weekly_Model!$A$2:$A$9,0)),0),IFERROR(INDEX(Weekly_Model!$D$2:$D$9,MATCH(F320,Weekly_Model!$A$2:$A$9,0)),0),IFERROR(INDEX(Weekly_Model!$D$2:$D$9,MATCH(F321,Weekly_Model!$A$2:$A$9,0)),0)),IF(VLOOKUP($A319,Calendar!$A$1:$R$1377,18,0)=4,SUM(IFERROR(INDEX(Weekly_Model!$D$2:$D$9,MATCH(F319,Weekly_Model!$A$2:$A$9,0)),0),IFERROR(INDEX(Weekly_Model!$D$2:$D$9,MATCH(F320,Weekly_Model!$A$2:$A$9,0)),0),IFERROR(INDEX(Weekly_Model!$D$2:$D$9,MATCH(F321,Weekly_Model!$A$2:$A$9,0)),0),IFERROR(INDEX(Weekly_Model!$D$2:$D$9,MATCH(F322,Weekly_Model!$A$2:$A$9,0)),0)),IF(VLOOKUP($A319,Calendar!$A$1:$R$1377,18,0)=5,SUM(IFERROR(INDEX(Weekly_Model!$D$2:$D$9,MATCH(F319,Weekly_Model!$A$2:$A$9,0)),0),IFERROR(INDEX(Weekly_Model!$D$2:$D$9,MATCH(F320,Weekly_Model!$A$2:$A$9,0)),0),IFERROR(INDEX(Weekly_Model!$D$2:$D$9,MATCH(F321,Weekly_Model!$A$2:$A$9,0)),0),IFERROR(INDEX(Weekly_Model!$D$2:$D$9,MATCH(F322,Weekly_Model!$A$2:$A$9,0)),0),IFERROR(INDEX(Weekly_Model!$D$2:$D$9,MATCH(F323,Weekly_Model!$A$2:$A$9,0)),0)),0))))))</f>
        <v>2.3200000000000002E-2</v>
      </c>
      <c r="L319" s="27">
        <f>IF(VLOOKUP($A319,Calendar!$A$1:$R$1377,18,0)=0,0,IF(VLOOKUP($A319,Calendar!$A$1:$R$1377,18,0)=1,IFERROR(INDEX(Fortnightly_Model!$D$2:$D$15,MATCH(G319,Fortnightly_Model!$B$2:$B$15,0)),0),IF(VLOOKUP($A319,Calendar!$A$1:$R$1377,18,0)=2,SUM(IFERROR(INDEX(Fortnightly_Model!$D$2:$D$15,MATCH(G319,Fortnightly_Model!$B$2:$B$15,0)),0),IFERROR(INDEX(Fortnightly_Model!$D$2:$D$15,MATCH(G320,Fortnightly_Model!$B$2:$B$15,0)),0)),IF(VLOOKUP($A319,Calendar!$A$1:$R$1377,18,0)=3,SUM(IFERROR(INDEX(Fortnightly_Model!$D$2:$D$15,MATCH(G319,Fortnightly_Model!$B$2:$B$15,0)),0),IFERROR(INDEX(Fortnightly_Model!$D$2:$D$15,MATCH(G320,Fortnightly_Model!$B$2:$B$15,0)),0),IFERROR(INDEX(Fortnightly_Model!$D$2:$D$15,MATCH(G321,Fortnightly_Model!$B$2:$B$15,0)),0)),IF(VLOOKUP($A319,Calendar!$A$1:$R$1377,18,0)=4,SUM(IFERROR(INDEX(Fortnightly_Model!$D$2:$D$15,MATCH(G319,Fortnightly_Model!$B$2:$B$15,0)),0),IFERROR(INDEX(Fortnightly_Model!$D$2:$D$15,MATCH(G320,Fortnightly_Model!$B$2:$B$15,0)),0),IFERROR(INDEX(Fortnightly_Model!$D$2:$D$15,MATCH(G321,Fortnightly_Model!$B$2:$B$15,0)),0),IFERROR(INDEX(Fortnightly_Model!$D$2:$D$15,MATCH(G322,Fortnightly_Model!$B$2:$B$15,0)),0)),IF(VLOOKUP($A319,Calendar!$A$1:$R$1377,18,0)=5,SUM(IFERROR(INDEX(Fortnightly_Model!$D$2:$D$15,MATCH(G319,Fortnightly_Model!$B$2:$B$15,0)),0),IFERROR(INDEX(Fortnightly_Model!$D$2:$D$15,MATCH(G320,Fortnightly_Model!$B$2:$B$15,0)),0),IFERROR(INDEX(Fortnightly_Model!$D$2:$D$15,MATCH(G321,Fortnightly_Model!$B$2:$B$15,0)),0),IFERROR(INDEX(Fortnightly_Model!$D$2:$D$15,MATCH(G322,Fortnightly_Model!$B$2:$B$15,0)),0),IFERROR(INDEX(Fortnightly_Model!$D$2:$D$15,MATCH(G323,Fortnightly_Model!$B$2:$B$15,0)),0)),0))))))</f>
        <v>1.0714285499999999E-3</v>
      </c>
      <c r="M319" s="27">
        <f>IF(VLOOKUP($A319,Calendar!$A$1:$R$1377,18,0)=0,0,IF(VLOOKUP($A319,Calendar!$A$1:$R$1377,18,0)=1,IFERROR(INDEX(FourWeekly_Model!$D$2:$D$29,MATCH(H319,FourWeekly_Model!$B$2:$B$29,0)),0),IF(VLOOKUP($A319,Calendar!$A$1:$R$1377,18,0)=2,SUM(IFERROR(INDEX(FourWeekly_Model!$D$2:$D$29,MATCH(H319,FourWeekly_Model!$B$2:$B$29,0)),0),IFERROR(INDEX(FourWeekly_Model!$D$2:$D$29,MATCH(H320,FourWeekly_Model!$B$2:$B$29,0)),0)),IF(VLOOKUP($A319,Calendar!$A$1:$R$1377,18,0)=3,SUM(IFERROR(INDEX(FourWeekly_Model!$D$2:$D$29,MATCH(H319,FourWeekly_Model!$B$2:$B$29,0)),0),IFERROR(INDEX(FourWeekly_Model!$D$2:$D$29,MATCH(H320,FourWeekly_Model!$B$2:$B$29,0)),0),IFERROR(INDEX(FourWeekly_Model!$D$2:$D$29,MATCH(H321,FourWeekly_Model!$B$2:$B$29,0)),0)),IF(VLOOKUP($A319,Calendar!$A$1:$R$1377,18,0)=4,SUM(IFERROR(INDEX(FourWeekly_Model!$D$2:$D$29,MATCH(H319,FourWeekly_Model!$B$2:$B$29,0)),0),IFERROR(INDEX(FourWeekly_Model!$D$2:$D$29,MATCH(H320,FourWeekly_Model!$B$2:$B$29,0)),0),IFERROR(INDEX(FourWeekly_Model!$D$2:$D$29,MATCH(H321,FourWeekly_Model!$B$2:$B$29,0)),0),IFERROR(INDEX(FourWeekly_Model!$D$2:$D$29,MATCH(H322,FourWeekly_Model!$B$2:$B$29,0)),0)),IF(VLOOKUP($A319,Calendar!$A$1:$R$1377,18,0)=5,SUM(IFERROR(INDEX(FourWeekly_Model!$D$2:$D$29,MATCH(H319,FourWeekly_Model!$B$2:$B$29,0)),0),IFERROR(INDEX(FourWeekly_Model!$D$2:$D$29,MATCH(H320,FourWeekly_Model!$B$2:$B$29,0)),0),IFERROR(INDEX(FourWeekly_Model!$D$2:$D$29,MATCH(H321,FourWeekly_Model!$B$2:$B$29,0)),0),IFERROR(INDEX(FourWeekly_Model!$D$2:$D$29,MATCH(H322,FourWeekly_Model!$B$2:$B$29,0)),0),IFERROR(INDEX(FourWeekly_Model!$D$2:$D$29,MATCH(H323,FourWeekly_Model!$B$2:$B$29,0)),0)),0))))))</f>
        <v>3.3214289700000004E-3</v>
      </c>
      <c r="N319" s="27">
        <f>SUM(I319:M319)</f>
        <v>2.840542296502618E-2</v>
      </c>
      <c r="O319" s="28">
        <f>Population_Data!$B$8*N319</f>
        <v>860684.3158402933</v>
      </c>
      <c r="P319" s="27">
        <f>IF(VLOOKUP($A319,Calendar!$A$1:$R$1377,18,0)=0,0,IF(VLOOKUP($A319,Calendar!$A$1:$R$1377,18,0)=1,IFERROR(INDEX(Pension_Model!$D$2:$D$29,MATCH(H319,Pension_Model!$B$2:$B$29,0)),0),IF(VLOOKUP($A319,Calendar!$A$1:$R$1377,18,0)=2,SUM(IFERROR(INDEX(Pension_Model!$D$2:$D$29,MATCH(H319,Pension_Model!$B$2:$B$29,0)),0),IFERROR(INDEX(Pension_Model!$D$2:$D$29,MATCH(H320,Pension_Model!$B$2:$B$29,0)),0)),IF(VLOOKUP($A319,Calendar!$A$1:$R$1377,18,0)=3,SUM(IFERROR(INDEX(Pension_Model!$D$2:$D$29,MATCH(H319,Pension_Model!$B$2:$B$29,0)),0),IFERROR(INDEX(Pension_Model!$D$2:$D$29,MATCH(H320,Pension_Model!$B$2:$B$29,0)),0),IFERROR(INDEX(Pension_Model!$D$2:$D$29,MATCH(H321,Pension_Model!$B$2:$B$29,0)),0)),IF(VLOOKUP($A319,Calendar!$A$1:$R$1377,18,0)=4,SUM(IFERROR(INDEX(Pension_Model!$D$2:$D$29,MATCH(H319,Pension_Model!$B$2:$B$29,0)),0),IFERROR(INDEX(Pension_Model!$D$2:$D$29,MATCH(H320,Pension_Model!$B$2:$B$29,0)),0),IFERROR(INDEX(Pension_Model!$D$2:$D$29,MATCH(H321,Pension_Model!$B$2:$B$29,0)),0),IFERROR(INDEX(Pension_Model!$D$2:$D$29,MATCH(H322,Pension_Model!$B$2:$B$29,0)),0)),IF(VLOOKUP($A319,Calendar!$A$1:$R$1377,18,0)=5,SUM(IFERROR(INDEX(Pension_Model!$D$2:$D$29,MATCH(H319,Pension_Model!$B$2:$B$29,0)),0),IFERROR(INDEX(Pension_Model!$D$2:$D$29,MATCH(H320,Pension_Model!$B$2:$B$29,0)),0),IFERROR(INDEX(Pension_Model!$D$2:$D$29,MATCH(H321,Pension_Model!$B$2:$B$29,0)),0),IFERROR(INDEX(Pension_Model!$D$2:$D$29,MATCH(H322,Pension_Model!$B$2:$B$29,0)),0),IFERROR(INDEX(Pension_Model!$D$2:$D$29,MATCH(H323,Pension_Model!$B$2:$B$29,0)),0)),0))))))</f>
        <v>0.05</v>
      </c>
      <c r="Q319" s="28">
        <f>Population_Data!$B$15*P319</f>
        <v>660600</v>
      </c>
      <c r="S319">
        <f t="shared" si="4"/>
        <v>1521284.3158402932</v>
      </c>
      <c r="U319" s="33">
        <f>S319/Population_Data!$B$19</f>
        <v>2.7559498475367629E-2</v>
      </c>
    </row>
    <row r="320" spans="1:21">
      <c r="A320" s="25">
        <f>Calendar!A320</f>
        <v>46553</v>
      </c>
      <c r="B320" t="str">
        <f>Calendar!L320</f>
        <v>Yes</v>
      </c>
      <c r="C320" t="str">
        <f>Calendar!O320</f>
        <v>No</v>
      </c>
      <c r="D320" t="str">
        <f>Calendar!P320</f>
        <v>No</v>
      </c>
      <c r="E320" t="str">
        <f>Calendar!Q320</f>
        <v>No</v>
      </c>
      <c r="F320" t="str">
        <f>Calendar!I320</f>
        <v>Tuesday</v>
      </c>
      <c r="G320">
        <f>Calendar!S320</f>
        <v>3</v>
      </c>
      <c r="H320">
        <f>Calendar!T320</f>
        <v>17</v>
      </c>
      <c r="I320" s="27">
        <f>IF(VLOOKUP(A320,Calendar!$A$1:$R$1377,18,0)=0,0,IF(VLOOKUP(A320,Calendar!$A$1:$R$1377,18,0)=1,INDEX(Monthly_Pay_Model!$A$9:$D$40,MATCH(TEXT(A320,"dd"),Monthly_Pay_Model!$C$9:$C$39,0),4),IF(VLOOKUP(A320,Calendar!$A$1:$R$1377,18,0)=2,SUM(INDEX(Monthly_Pay_Model!$A$9:$D$40,MATCH(TEXT(A320,"dd"),Monthly_Pay_Model!$C$9:$C$39,0),4),INDEX(Monthly_Pay_Model!$A$9:$D$40,MATCH(TEXT(A321,"dd"),Monthly_Pay_Model!$C$9:$C$39,0),4)),IF(VLOOKUP(A320,Calendar!$A$1:$R$1377,18,0)=3,SUM(INDEX(Monthly_Pay_Model!$A$9:$D$40,MATCH(TEXT(A320,"dd"),Monthly_Pay_Model!$C$9:$C$39,0),4),INDEX(Monthly_Pay_Model!$A$9:$D$40,MATCH(TEXT(A321,"dd"),Monthly_Pay_Model!$C$9:$C$39,0),4),INDEX(Monthly_Pay_Model!$A$9:$D$40,MATCH(TEXT(A322,"dd"),Monthly_Pay_Model!$C$9:$C$39,0),4)),IF(VLOOKUP(A320,Calendar!$A$1:$R$1377,18,0)=4,SUM(INDEX(Monthly_Pay_Model!$A$9:$D$40,MATCH(TEXT(A320,"dd"),Monthly_Pay_Model!$C$9:$C$39,0),4),INDEX(Monthly_Pay_Model!$A$9:$D$40,MATCH(TEXT(A321,"dd"),Monthly_Pay_Model!$C$9:$C$39,0),4),INDEX(Monthly_Pay_Model!$A$9:$D$40,MATCH(TEXT(A322,"dd"),Monthly_Pay_Model!$C$9:$C$39,0),4),INDEX(Monthly_Pay_Model!$A$9:$D$40,MATCH(TEXT(A323,"dd"),Monthly_Pay_Model!$C$9:$C$39,0),4)),IF(VLOOKUP(A320,Calendar!$A$1:$R$1377,18,0)=5,SUM(INDEX(Monthly_Pay_Model!$A$9:$D$40,MATCH(TEXT(A320,"dd"),Monthly_Pay_Model!$C$9:$C$39,0),4),INDEX(Monthly_Pay_Model!$A$9:$D$40,MATCH(TEXT(A321,"dd"),Monthly_Pay_Model!$C$9:$C$39,0),4),INDEX(Monthly_Pay_Model!$A$9:$D$40,MATCH(TEXT(A322,"dd"),Monthly_Pay_Model!$C$9:$C$39,0),4),INDEX(Monthly_Pay_Model!$A$9:$D$40,MATCH(TEXT(A323,"dd"),Monthly_Pay_Model!$C$9:$C$39,0),4),INDEX(Monthly_Pay_Model!$A$9:$D$40,MATCH(TEXT(A324,"dd"),Monthly_Pay_Model!$C$9:$C$39,0),4)),))))))</f>
        <v>1.3001047120418847E-2</v>
      </c>
      <c r="J320" s="33">
        <f>IF(C320="Yes",Monthly_Pay_Model!$D$2,0)
+IF(Calendar!N320="Yes",Monthly_Pay_Model!$D$3,0)
+IF(D320="Yes",Monthly_Pay_Model!$D$4,0)
+IF(E320="Yes",Monthly_Pay_Model!$D$5,0)</f>
        <v>0</v>
      </c>
      <c r="K320" s="27">
        <f>IF(VLOOKUP($A320,Calendar!$A$1:$R$1377,18,0)=0,0,IF(VLOOKUP($A320,Calendar!$A$1:$R$1377,18,0)=1,IFERROR(INDEX(Weekly_Model!$D$2:$D$9,MATCH(F320,Weekly_Model!$A$2:$A$9,0)),0),IF(VLOOKUP($A320,Calendar!$A$1:$R$1377,18,0)=2,SUM(IFERROR(INDEX(Weekly_Model!$D$2:$D$9,MATCH(F320,Weekly_Model!$A$2:$A$9,0)),0),IFERROR(INDEX(Weekly_Model!$D$2:$D$9,MATCH(F321,Weekly_Model!$A$2:$A$9,0)),0)),IF(VLOOKUP($A320,Calendar!$A$1:$R$1377,18,0)=3,SUM(IFERROR(INDEX(Weekly_Model!$D$2:$D$9,MATCH(F320,Weekly_Model!$A$2:$A$9,0)),0),IFERROR(INDEX(Weekly_Model!$D$2:$D$9,MATCH(F321,Weekly_Model!$A$2:$A$9,0)),0),IFERROR(INDEX(Weekly_Model!$D$2:$D$9,MATCH(F322,Weekly_Model!$A$2:$A$9,0)),0)),IF(VLOOKUP($A320,Calendar!$A$1:$R$1377,18,0)=4,SUM(IFERROR(INDEX(Weekly_Model!$D$2:$D$9,MATCH(F320,Weekly_Model!$A$2:$A$9,0)),0),IFERROR(INDEX(Weekly_Model!$D$2:$D$9,MATCH(F321,Weekly_Model!$A$2:$A$9,0)),0),IFERROR(INDEX(Weekly_Model!$D$2:$D$9,MATCH(F322,Weekly_Model!$A$2:$A$9,0)),0),IFERROR(INDEX(Weekly_Model!$D$2:$D$9,MATCH(F323,Weekly_Model!$A$2:$A$9,0)),0)),IF(VLOOKUP($A320,Calendar!$A$1:$R$1377,18,0)=5,SUM(IFERROR(INDEX(Weekly_Model!$D$2:$D$9,MATCH(F320,Weekly_Model!$A$2:$A$9,0)),0),IFERROR(INDEX(Weekly_Model!$D$2:$D$9,MATCH(F321,Weekly_Model!$A$2:$A$9,0)),0),IFERROR(INDEX(Weekly_Model!$D$2:$D$9,MATCH(F322,Weekly_Model!$A$2:$A$9,0)),0),IFERROR(INDEX(Weekly_Model!$D$2:$D$9,MATCH(F323,Weekly_Model!$A$2:$A$9,0)),0),IFERROR(INDEX(Weekly_Model!$D$2:$D$9,MATCH(F324,Weekly_Model!$A$2:$A$9,0)),0)),0))))))</f>
        <v>2.3200000000000002E-2</v>
      </c>
      <c r="L320" s="27">
        <f>IF(VLOOKUP($A320,Calendar!$A$1:$R$1377,18,0)=0,0,IF(VLOOKUP($A320,Calendar!$A$1:$R$1377,18,0)=1,IFERROR(INDEX(Fortnightly_Model!$D$2:$D$15,MATCH(G320,Fortnightly_Model!$B$2:$B$15,0)),0),IF(VLOOKUP($A320,Calendar!$A$1:$R$1377,18,0)=2,SUM(IFERROR(INDEX(Fortnightly_Model!$D$2:$D$15,MATCH(G320,Fortnightly_Model!$B$2:$B$15,0)),0),IFERROR(INDEX(Fortnightly_Model!$D$2:$D$15,MATCH(G321,Fortnightly_Model!$B$2:$B$15,0)),0)),IF(VLOOKUP($A320,Calendar!$A$1:$R$1377,18,0)=3,SUM(IFERROR(INDEX(Fortnightly_Model!$D$2:$D$15,MATCH(G320,Fortnightly_Model!$B$2:$B$15,0)),0),IFERROR(INDEX(Fortnightly_Model!$D$2:$D$15,MATCH(G321,Fortnightly_Model!$B$2:$B$15,0)),0),IFERROR(INDEX(Fortnightly_Model!$D$2:$D$15,MATCH(G322,Fortnightly_Model!$B$2:$B$15,0)),0)),IF(VLOOKUP($A320,Calendar!$A$1:$R$1377,18,0)=4,SUM(IFERROR(INDEX(Fortnightly_Model!$D$2:$D$15,MATCH(G320,Fortnightly_Model!$B$2:$B$15,0)),0),IFERROR(INDEX(Fortnightly_Model!$D$2:$D$15,MATCH(G321,Fortnightly_Model!$B$2:$B$15,0)),0),IFERROR(INDEX(Fortnightly_Model!$D$2:$D$15,MATCH(G322,Fortnightly_Model!$B$2:$B$15,0)),0),IFERROR(INDEX(Fortnightly_Model!$D$2:$D$15,MATCH(G323,Fortnightly_Model!$B$2:$B$15,0)),0)),IF(VLOOKUP($A320,Calendar!$A$1:$R$1377,18,0)=5,SUM(IFERROR(INDEX(Fortnightly_Model!$D$2:$D$15,MATCH(G320,Fortnightly_Model!$B$2:$B$15,0)),0),IFERROR(INDEX(Fortnightly_Model!$D$2:$D$15,MATCH(G321,Fortnightly_Model!$B$2:$B$15,0)),0),IFERROR(INDEX(Fortnightly_Model!$D$2:$D$15,MATCH(G322,Fortnightly_Model!$B$2:$B$15,0)),0),IFERROR(INDEX(Fortnightly_Model!$D$2:$D$15,MATCH(G323,Fortnightly_Model!$B$2:$B$15,0)),0),IFERROR(INDEX(Fortnightly_Model!$D$2:$D$15,MATCH(G324,Fortnightly_Model!$B$2:$B$15,0)),0)),0))))))</f>
        <v>1.0714285499999999E-3</v>
      </c>
      <c r="M320" s="27">
        <f>IF(VLOOKUP($A320,Calendar!$A$1:$R$1377,18,0)=0,0,IF(VLOOKUP($A320,Calendar!$A$1:$R$1377,18,0)=1,IFERROR(INDEX(FourWeekly_Model!$D$2:$D$29,MATCH(H320,FourWeekly_Model!$B$2:$B$29,0)),0),IF(VLOOKUP($A320,Calendar!$A$1:$R$1377,18,0)=2,SUM(IFERROR(INDEX(FourWeekly_Model!$D$2:$D$29,MATCH(H320,FourWeekly_Model!$B$2:$B$29,0)),0),IFERROR(INDEX(FourWeekly_Model!$D$2:$D$29,MATCH(H321,FourWeekly_Model!$B$2:$B$29,0)),0)),IF(VLOOKUP($A320,Calendar!$A$1:$R$1377,18,0)=3,SUM(IFERROR(INDEX(FourWeekly_Model!$D$2:$D$29,MATCH(H320,FourWeekly_Model!$B$2:$B$29,0)),0),IFERROR(INDEX(FourWeekly_Model!$D$2:$D$29,MATCH(H321,FourWeekly_Model!$B$2:$B$29,0)),0),IFERROR(INDEX(FourWeekly_Model!$D$2:$D$29,MATCH(H322,FourWeekly_Model!$B$2:$B$29,0)),0)),IF(VLOOKUP($A320,Calendar!$A$1:$R$1377,18,0)=4,SUM(IFERROR(INDEX(FourWeekly_Model!$D$2:$D$29,MATCH(H320,FourWeekly_Model!$B$2:$B$29,0)),0),IFERROR(INDEX(FourWeekly_Model!$D$2:$D$29,MATCH(H321,FourWeekly_Model!$B$2:$B$29,0)),0),IFERROR(INDEX(FourWeekly_Model!$D$2:$D$29,MATCH(H322,FourWeekly_Model!$B$2:$B$29,0)),0),IFERROR(INDEX(FourWeekly_Model!$D$2:$D$29,MATCH(H323,FourWeekly_Model!$B$2:$B$29,0)),0)),IF(VLOOKUP($A320,Calendar!$A$1:$R$1377,18,0)=5,SUM(IFERROR(INDEX(FourWeekly_Model!$D$2:$D$29,MATCH(H320,FourWeekly_Model!$B$2:$B$29,0)),0),IFERROR(INDEX(FourWeekly_Model!$D$2:$D$29,MATCH(H321,FourWeekly_Model!$B$2:$B$29,0)),0),IFERROR(INDEX(FourWeekly_Model!$D$2:$D$29,MATCH(H322,FourWeekly_Model!$B$2:$B$29,0)),0),IFERROR(INDEX(FourWeekly_Model!$D$2:$D$29,MATCH(H323,FourWeekly_Model!$B$2:$B$29,0)),0),IFERROR(INDEX(FourWeekly_Model!$D$2:$D$29,MATCH(H324,FourWeekly_Model!$B$2:$B$29,0)),0)),0))))))</f>
        <v>3.3214289700000004E-3</v>
      </c>
      <c r="N320" s="27">
        <f>SUM(I320:M320)</f>
        <v>4.059390464041885E-2</v>
      </c>
      <c r="O320" s="28">
        <f>Population_Data!$B$8*N320</f>
        <v>1229995.310604691</v>
      </c>
      <c r="P320" s="27">
        <f>IF(VLOOKUP($A320,Calendar!$A$1:$R$1377,18,0)=0,0,IF(VLOOKUP($A320,Calendar!$A$1:$R$1377,18,0)=1,IFERROR(INDEX(Pension_Model!$D$2:$D$29,MATCH(H320,Pension_Model!$B$2:$B$29,0)),0),IF(VLOOKUP($A320,Calendar!$A$1:$R$1377,18,0)=2,SUM(IFERROR(INDEX(Pension_Model!$D$2:$D$29,MATCH(H320,Pension_Model!$B$2:$B$29,0)),0),IFERROR(INDEX(Pension_Model!$D$2:$D$29,MATCH(H321,Pension_Model!$B$2:$B$29,0)),0)),IF(VLOOKUP($A320,Calendar!$A$1:$R$1377,18,0)=3,SUM(IFERROR(INDEX(Pension_Model!$D$2:$D$29,MATCH(H320,Pension_Model!$B$2:$B$29,0)),0),IFERROR(INDEX(Pension_Model!$D$2:$D$29,MATCH(H321,Pension_Model!$B$2:$B$29,0)),0),IFERROR(INDEX(Pension_Model!$D$2:$D$29,MATCH(H322,Pension_Model!$B$2:$B$29,0)),0)),IF(VLOOKUP($A320,Calendar!$A$1:$R$1377,18,0)=4,SUM(IFERROR(INDEX(Pension_Model!$D$2:$D$29,MATCH(H320,Pension_Model!$B$2:$B$29,0)),0),IFERROR(INDEX(Pension_Model!$D$2:$D$29,MATCH(H321,Pension_Model!$B$2:$B$29,0)),0),IFERROR(INDEX(Pension_Model!$D$2:$D$29,MATCH(H322,Pension_Model!$B$2:$B$29,0)),0),IFERROR(INDEX(Pension_Model!$D$2:$D$29,MATCH(H323,Pension_Model!$B$2:$B$29,0)),0)),IF(VLOOKUP($A320,Calendar!$A$1:$R$1377,18,0)=5,SUM(IFERROR(INDEX(Pension_Model!$D$2:$D$29,MATCH(H320,Pension_Model!$B$2:$B$29,0)),0),IFERROR(INDEX(Pension_Model!$D$2:$D$29,MATCH(H321,Pension_Model!$B$2:$B$29,0)),0),IFERROR(INDEX(Pension_Model!$D$2:$D$29,MATCH(H322,Pension_Model!$B$2:$B$29,0)),0),IFERROR(INDEX(Pension_Model!$D$2:$D$29,MATCH(H323,Pension_Model!$B$2:$B$29,0)),0),IFERROR(INDEX(Pension_Model!$D$2:$D$29,MATCH(H324,Pension_Model!$B$2:$B$29,0)),0)),0))))))</f>
        <v>0.05</v>
      </c>
      <c r="Q320" s="28">
        <f>Population_Data!$B$15*P320</f>
        <v>660600</v>
      </c>
      <c r="S320">
        <f t="shared" si="4"/>
        <v>1890595.310604691</v>
      </c>
      <c r="U320" s="33">
        <f>S320/Population_Data!$B$19</f>
        <v>3.4249915047186434E-2</v>
      </c>
    </row>
    <row r="321" spans="1:21">
      <c r="A321" s="25">
        <f>Calendar!A321</f>
        <v>46554</v>
      </c>
      <c r="B321" t="str">
        <f>Calendar!L321</f>
        <v>Yes</v>
      </c>
      <c r="C321" t="str">
        <f>Calendar!O321</f>
        <v>No</v>
      </c>
      <c r="D321" t="str">
        <f>Calendar!P321</f>
        <v>No</v>
      </c>
      <c r="E321" t="str">
        <f>Calendar!Q321</f>
        <v>No</v>
      </c>
      <c r="F321" t="str">
        <f>Calendar!I321</f>
        <v>Wednesday</v>
      </c>
      <c r="G321">
        <f>Calendar!S321</f>
        <v>4</v>
      </c>
      <c r="H321">
        <f>Calendar!T321</f>
        <v>18</v>
      </c>
      <c r="I321" s="27">
        <f>IF(VLOOKUP(A321,Calendar!$A$1:$R$1377,18,0)=0,0,IF(VLOOKUP(A321,Calendar!$A$1:$R$1377,18,0)=1,INDEX(Monthly_Pay_Model!$A$9:$D$40,MATCH(TEXT(A321,"dd"),Monthly_Pay_Model!$C$9:$C$39,0),4),IF(VLOOKUP(A321,Calendar!$A$1:$R$1377,18,0)=2,SUM(INDEX(Monthly_Pay_Model!$A$9:$D$40,MATCH(TEXT(A321,"dd"),Monthly_Pay_Model!$C$9:$C$39,0),4),INDEX(Monthly_Pay_Model!$A$9:$D$40,MATCH(TEXT(A322,"dd"),Monthly_Pay_Model!$C$9:$C$39,0),4)),IF(VLOOKUP(A321,Calendar!$A$1:$R$1377,18,0)=3,SUM(INDEX(Monthly_Pay_Model!$A$9:$D$40,MATCH(TEXT(A321,"dd"),Monthly_Pay_Model!$C$9:$C$39,0),4),INDEX(Monthly_Pay_Model!$A$9:$D$40,MATCH(TEXT(A322,"dd"),Monthly_Pay_Model!$C$9:$C$39,0),4),INDEX(Monthly_Pay_Model!$A$9:$D$40,MATCH(TEXT(A323,"dd"),Monthly_Pay_Model!$C$9:$C$39,0),4)),IF(VLOOKUP(A321,Calendar!$A$1:$R$1377,18,0)=4,SUM(INDEX(Monthly_Pay_Model!$A$9:$D$40,MATCH(TEXT(A321,"dd"),Monthly_Pay_Model!$C$9:$C$39,0),4),INDEX(Monthly_Pay_Model!$A$9:$D$40,MATCH(TEXT(A322,"dd"),Monthly_Pay_Model!$C$9:$C$39,0),4),INDEX(Monthly_Pay_Model!$A$9:$D$40,MATCH(TEXT(A323,"dd"),Monthly_Pay_Model!$C$9:$C$39,0),4),INDEX(Monthly_Pay_Model!$A$9:$D$40,MATCH(TEXT(A324,"dd"),Monthly_Pay_Model!$C$9:$C$39,0),4)),IF(VLOOKUP(A321,Calendar!$A$1:$R$1377,18,0)=5,SUM(INDEX(Monthly_Pay_Model!$A$9:$D$40,MATCH(TEXT(A321,"dd"),Monthly_Pay_Model!$C$9:$C$39,0),4),INDEX(Monthly_Pay_Model!$A$9:$D$40,MATCH(TEXT(A322,"dd"),Monthly_Pay_Model!$C$9:$C$39,0),4),INDEX(Monthly_Pay_Model!$A$9:$D$40,MATCH(TEXT(A323,"dd"),Monthly_Pay_Model!$C$9:$C$39,0),4),INDEX(Monthly_Pay_Model!$A$9:$D$40,MATCH(TEXT(A324,"dd"),Monthly_Pay_Model!$C$9:$C$39,0),4),INDEX(Monthly_Pay_Model!$A$9:$D$40,MATCH(TEXT(A325,"dd"),Monthly_Pay_Model!$C$9:$C$39,0),4)),))))))</f>
        <v>1.6251308900523558E-3</v>
      </c>
      <c r="J321" s="33">
        <f>IF(C321="Yes",Monthly_Pay_Model!$D$2,0)
+IF(Calendar!N321="Yes",Monthly_Pay_Model!$D$3,0)
+IF(D321="Yes",Monthly_Pay_Model!$D$4,0)
+IF(E321="Yes",Monthly_Pay_Model!$D$5,0)</f>
        <v>0</v>
      </c>
      <c r="K321" s="27">
        <f>IF(VLOOKUP($A321,Calendar!$A$1:$R$1377,18,0)=0,0,IF(VLOOKUP($A321,Calendar!$A$1:$R$1377,18,0)=1,IFERROR(INDEX(Weekly_Model!$D$2:$D$9,MATCH(F321,Weekly_Model!$A$2:$A$9,0)),0),IF(VLOOKUP($A321,Calendar!$A$1:$R$1377,18,0)=2,SUM(IFERROR(INDEX(Weekly_Model!$D$2:$D$9,MATCH(F321,Weekly_Model!$A$2:$A$9,0)),0),IFERROR(INDEX(Weekly_Model!$D$2:$D$9,MATCH(F322,Weekly_Model!$A$2:$A$9,0)),0)),IF(VLOOKUP($A321,Calendar!$A$1:$R$1377,18,0)=3,SUM(IFERROR(INDEX(Weekly_Model!$D$2:$D$9,MATCH(F321,Weekly_Model!$A$2:$A$9,0)),0),IFERROR(INDEX(Weekly_Model!$D$2:$D$9,MATCH(F322,Weekly_Model!$A$2:$A$9,0)),0),IFERROR(INDEX(Weekly_Model!$D$2:$D$9,MATCH(F323,Weekly_Model!$A$2:$A$9,0)),0)),IF(VLOOKUP($A321,Calendar!$A$1:$R$1377,18,0)=4,SUM(IFERROR(INDEX(Weekly_Model!$D$2:$D$9,MATCH(F321,Weekly_Model!$A$2:$A$9,0)),0),IFERROR(INDEX(Weekly_Model!$D$2:$D$9,MATCH(F322,Weekly_Model!$A$2:$A$9,0)),0),IFERROR(INDEX(Weekly_Model!$D$2:$D$9,MATCH(F323,Weekly_Model!$A$2:$A$9,0)),0),IFERROR(INDEX(Weekly_Model!$D$2:$D$9,MATCH(F324,Weekly_Model!$A$2:$A$9,0)),0)),IF(VLOOKUP($A321,Calendar!$A$1:$R$1377,18,0)=5,SUM(IFERROR(INDEX(Weekly_Model!$D$2:$D$9,MATCH(F321,Weekly_Model!$A$2:$A$9,0)),0),IFERROR(INDEX(Weekly_Model!$D$2:$D$9,MATCH(F322,Weekly_Model!$A$2:$A$9,0)),0),IFERROR(INDEX(Weekly_Model!$D$2:$D$9,MATCH(F323,Weekly_Model!$A$2:$A$9,0)),0),IFERROR(INDEX(Weekly_Model!$D$2:$D$9,MATCH(F324,Weekly_Model!$A$2:$A$9,0)),0),IFERROR(INDEX(Weekly_Model!$D$2:$D$9,MATCH(F325,Weekly_Model!$A$2:$A$9,0)),0)),0))))))</f>
        <v>2.3200000000000002E-2</v>
      </c>
      <c r="L321" s="27">
        <f>IF(VLOOKUP($A321,Calendar!$A$1:$R$1377,18,0)=0,0,IF(VLOOKUP($A321,Calendar!$A$1:$R$1377,18,0)=1,IFERROR(INDEX(Fortnightly_Model!$D$2:$D$15,MATCH(G321,Fortnightly_Model!$B$2:$B$15,0)),0),IF(VLOOKUP($A321,Calendar!$A$1:$R$1377,18,0)=2,SUM(IFERROR(INDEX(Fortnightly_Model!$D$2:$D$15,MATCH(G321,Fortnightly_Model!$B$2:$B$15,0)),0),IFERROR(INDEX(Fortnightly_Model!$D$2:$D$15,MATCH(G322,Fortnightly_Model!$B$2:$B$15,0)),0)),IF(VLOOKUP($A321,Calendar!$A$1:$R$1377,18,0)=3,SUM(IFERROR(INDEX(Fortnightly_Model!$D$2:$D$15,MATCH(G321,Fortnightly_Model!$B$2:$B$15,0)),0),IFERROR(INDEX(Fortnightly_Model!$D$2:$D$15,MATCH(G322,Fortnightly_Model!$B$2:$B$15,0)),0),IFERROR(INDEX(Fortnightly_Model!$D$2:$D$15,MATCH(G323,Fortnightly_Model!$B$2:$B$15,0)),0)),IF(VLOOKUP($A321,Calendar!$A$1:$R$1377,18,0)=4,SUM(IFERROR(INDEX(Fortnightly_Model!$D$2:$D$15,MATCH(G321,Fortnightly_Model!$B$2:$B$15,0)),0),IFERROR(INDEX(Fortnightly_Model!$D$2:$D$15,MATCH(G322,Fortnightly_Model!$B$2:$B$15,0)),0),IFERROR(INDEX(Fortnightly_Model!$D$2:$D$15,MATCH(G323,Fortnightly_Model!$B$2:$B$15,0)),0),IFERROR(INDEX(Fortnightly_Model!$D$2:$D$15,MATCH(G324,Fortnightly_Model!$B$2:$B$15,0)),0)),IF(VLOOKUP($A321,Calendar!$A$1:$R$1377,18,0)=5,SUM(IFERROR(INDEX(Fortnightly_Model!$D$2:$D$15,MATCH(G321,Fortnightly_Model!$B$2:$B$15,0)),0),IFERROR(INDEX(Fortnightly_Model!$D$2:$D$15,MATCH(G322,Fortnightly_Model!$B$2:$B$15,0)),0),IFERROR(INDEX(Fortnightly_Model!$D$2:$D$15,MATCH(G323,Fortnightly_Model!$B$2:$B$15,0)),0),IFERROR(INDEX(Fortnightly_Model!$D$2:$D$15,MATCH(G324,Fortnightly_Model!$B$2:$B$15,0)),0),IFERROR(INDEX(Fortnightly_Model!$D$2:$D$15,MATCH(G325,Fortnightly_Model!$B$2:$B$15,0)),0)),0))))))</f>
        <v>1.0714285499999999E-3</v>
      </c>
      <c r="M321" s="27">
        <f>IF(VLOOKUP($A321,Calendar!$A$1:$R$1377,18,0)=0,0,IF(VLOOKUP($A321,Calendar!$A$1:$R$1377,18,0)=1,IFERROR(INDEX(FourWeekly_Model!$D$2:$D$29,MATCH(H321,FourWeekly_Model!$B$2:$B$29,0)),0),IF(VLOOKUP($A321,Calendar!$A$1:$R$1377,18,0)=2,SUM(IFERROR(INDEX(FourWeekly_Model!$D$2:$D$29,MATCH(H321,FourWeekly_Model!$B$2:$B$29,0)),0),IFERROR(INDEX(FourWeekly_Model!$D$2:$D$29,MATCH(H322,FourWeekly_Model!$B$2:$B$29,0)),0)),IF(VLOOKUP($A321,Calendar!$A$1:$R$1377,18,0)=3,SUM(IFERROR(INDEX(FourWeekly_Model!$D$2:$D$29,MATCH(H321,FourWeekly_Model!$B$2:$B$29,0)),0),IFERROR(INDEX(FourWeekly_Model!$D$2:$D$29,MATCH(H322,FourWeekly_Model!$B$2:$B$29,0)),0),IFERROR(INDEX(FourWeekly_Model!$D$2:$D$29,MATCH(H323,FourWeekly_Model!$B$2:$B$29,0)),0)),IF(VLOOKUP($A321,Calendar!$A$1:$R$1377,18,0)=4,SUM(IFERROR(INDEX(FourWeekly_Model!$D$2:$D$29,MATCH(H321,FourWeekly_Model!$B$2:$B$29,0)),0),IFERROR(INDEX(FourWeekly_Model!$D$2:$D$29,MATCH(H322,FourWeekly_Model!$B$2:$B$29,0)),0),IFERROR(INDEX(FourWeekly_Model!$D$2:$D$29,MATCH(H323,FourWeekly_Model!$B$2:$B$29,0)),0),IFERROR(INDEX(FourWeekly_Model!$D$2:$D$29,MATCH(H324,FourWeekly_Model!$B$2:$B$29,0)),0)),IF(VLOOKUP($A321,Calendar!$A$1:$R$1377,18,0)=5,SUM(IFERROR(INDEX(FourWeekly_Model!$D$2:$D$29,MATCH(H321,FourWeekly_Model!$B$2:$B$29,0)),0),IFERROR(INDEX(FourWeekly_Model!$D$2:$D$29,MATCH(H322,FourWeekly_Model!$B$2:$B$29,0)),0),IFERROR(INDEX(FourWeekly_Model!$D$2:$D$29,MATCH(H323,FourWeekly_Model!$B$2:$B$29,0)),0),IFERROR(INDEX(FourWeekly_Model!$D$2:$D$29,MATCH(H324,FourWeekly_Model!$B$2:$B$29,0)),0),IFERROR(INDEX(FourWeekly_Model!$D$2:$D$29,MATCH(H325,FourWeekly_Model!$B$2:$B$29,0)),0)),0))))))</f>
        <v>3.3214289700000004E-3</v>
      </c>
      <c r="N321" s="27">
        <f>SUM(I321:M321)</f>
        <v>2.921798841005236E-2</v>
      </c>
      <c r="O321" s="28">
        <f>Population_Data!$B$8*N321</f>
        <v>885305.04882458656</v>
      </c>
      <c r="P321" s="27">
        <f>IF(VLOOKUP($A321,Calendar!$A$1:$R$1377,18,0)=0,0,IF(VLOOKUP($A321,Calendar!$A$1:$R$1377,18,0)=1,IFERROR(INDEX(Pension_Model!$D$2:$D$29,MATCH(H321,Pension_Model!$B$2:$B$29,0)),0),IF(VLOOKUP($A321,Calendar!$A$1:$R$1377,18,0)=2,SUM(IFERROR(INDEX(Pension_Model!$D$2:$D$29,MATCH(H321,Pension_Model!$B$2:$B$29,0)),0),IFERROR(INDEX(Pension_Model!$D$2:$D$29,MATCH(H322,Pension_Model!$B$2:$B$29,0)),0)),IF(VLOOKUP($A321,Calendar!$A$1:$R$1377,18,0)=3,SUM(IFERROR(INDEX(Pension_Model!$D$2:$D$29,MATCH(H321,Pension_Model!$B$2:$B$29,0)),0),IFERROR(INDEX(Pension_Model!$D$2:$D$29,MATCH(H322,Pension_Model!$B$2:$B$29,0)),0),IFERROR(INDEX(Pension_Model!$D$2:$D$29,MATCH(H323,Pension_Model!$B$2:$B$29,0)),0)),IF(VLOOKUP($A321,Calendar!$A$1:$R$1377,18,0)=4,SUM(IFERROR(INDEX(Pension_Model!$D$2:$D$29,MATCH(H321,Pension_Model!$B$2:$B$29,0)),0),IFERROR(INDEX(Pension_Model!$D$2:$D$29,MATCH(H322,Pension_Model!$B$2:$B$29,0)),0),IFERROR(INDEX(Pension_Model!$D$2:$D$29,MATCH(H323,Pension_Model!$B$2:$B$29,0)),0),IFERROR(INDEX(Pension_Model!$D$2:$D$29,MATCH(H324,Pension_Model!$B$2:$B$29,0)),0)),IF(VLOOKUP($A321,Calendar!$A$1:$R$1377,18,0)=5,SUM(IFERROR(INDEX(Pension_Model!$D$2:$D$29,MATCH(H321,Pension_Model!$B$2:$B$29,0)),0),IFERROR(INDEX(Pension_Model!$D$2:$D$29,MATCH(H322,Pension_Model!$B$2:$B$29,0)),0),IFERROR(INDEX(Pension_Model!$D$2:$D$29,MATCH(H323,Pension_Model!$B$2:$B$29,0)),0),IFERROR(INDEX(Pension_Model!$D$2:$D$29,MATCH(H324,Pension_Model!$B$2:$B$29,0)),0),IFERROR(INDEX(Pension_Model!$D$2:$D$29,MATCH(H325,Pension_Model!$B$2:$B$29,0)),0)),0))))))</f>
        <v>0.05</v>
      </c>
      <c r="Q321" s="28">
        <f>Population_Data!$B$15*P321</f>
        <v>660600</v>
      </c>
      <c r="S321">
        <f t="shared" si="4"/>
        <v>1545905.0488245864</v>
      </c>
      <c r="U321" s="33">
        <f>S321/Population_Data!$B$19</f>
        <v>2.8005526246822218E-2</v>
      </c>
    </row>
    <row r="322" spans="1:21">
      <c r="A322" s="25">
        <f>Calendar!A322</f>
        <v>46555</v>
      </c>
      <c r="B322" t="str">
        <f>Calendar!L322</f>
        <v>Yes</v>
      </c>
      <c r="C322" t="str">
        <f>Calendar!O322</f>
        <v>No</v>
      </c>
      <c r="D322" t="str">
        <f>Calendar!P322</f>
        <v>No</v>
      </c>
      <c r="E322" t="str">
        <f>Calendar!Q322</f>
        <v>No</v>
      </c>
      <c r="F322" t="str">
        <f>Calendar!I322</f>
        <v>Thursday</v>
      </c>
      <c r="G322">
        <f>Calendar!S322</f>
        <v>5</v>
      </c>
      <c r="H322">
        <f>Calendar!T322</f>
        <v>19</v>
      </c>
      <c r="I322" s="27">
        <f>IF(VLOOKUP(A322,Calendar!$A$1:$R$1377,18,0)=0,0,IF(VLOOKUP(A322,Calendar!$A$1:$R$1377,18,0)=1,INDEX(Monthly_Pay_Model!$A$9:$D$40,MATCH(TEXT(A322,"dd"),Monthly_Pay_Model!$C$9:$C$39,0),4),IF(VLOOKUP(A322,Calendar!$A$1:$R$1377,18,0)=2,SUM(INDEX(Monthly_Pay_Model!$A$9:$D$40,MATCH(TEXT(A322,"dd"),Monthly_Pay_Model!$C$9:$C$39,0),4),INDEX(Monthly_Pay_Model!$A$9:$D$40,MATCH(TEXT(A323,"dd"),Monthly_Pay_Model!$C$9:$C$39,0),4)),IF(VLOOKUP(A322,Calendar!$A$1:$R$1377,18,0)=3,SUM(INDEX(Monthly_Pay_Model!$A$9:$D$40,MATCH(TEXT(A322,"dd"),Monthly_Pay_Model!$C$9:$C$39,0),4),INDEX(Monthly_Pay_Model!$A$9:$D$40,MATCH(TEXT(A323,"dd"),Monthly_Pay_Model!$C$9:$C$39,0),4),INDEX(Monthly_Pay_Model!$A$9:$D$40,MATCH(TEXT(A324,"dd"),Monthly_Pay_Model!$C$9:$C$39,0),4)),IF(VLOOKUP(A322,Calendar!$A$1:$R$1377,18,0)=4,SUM(INDEX(Monthly_Pay_Model!$A$9:$D$40,MATCH(TEXT(A322,"dd"),Monthly_Pay_Model!$C$9:$C$39,0),4),INDEX(Monthly_Pay_Model!$A$9:$D$40,MATCH(TEXT(A323,"dd"),Monthly_Pay_Model!$C$9:$C$39,0),4),INDEX(Monthly_Pay_Model!$A$9:$D$40,MATCH(TEXT(A324,"dd"),Monthly_Pay_Model!$C$9:$C$39,0),4),INDEX(Monthly_Pay_Model!$A$9:$D$40,MATCH(TEXT(A325,"dd"),Monthly_Pay_Model!$C$9:$C$39,0),4)),IF(VLOOKUP(A322,Calendar!$A$1:$R$1377,18,0)=5,SUM(INDEX(Monthly_Pay_Model!$A$9:$D$40,MATCH(TEXT(A322,"dd"),Monthly_Pay_Model!$C$9:$C$39,0),4),INDEX(Monthly_Pay_Model!$A$9:$D$40,MATCH(TEXT(A323,"dd"),Monthly_Pay_Model!$C$9:$C$39,0),4),INDEX(Monthly_Pay_Model!$A$9:$D$40,MATCH(TEXT(A324,"dd"),Monthly_Pay_Model!$C$9:$C$39,0),4),INDEX(Monthly_Pay_Model!$A$9:$D$40,MATCH(TEXT(A325,"dd"),Monthly_Pay_Model!$C$9:$C$39,0),4),INDEX(Monthly_Pay_Model!$A$9:$D$40,MATCH(TEXT(A326,"dd"),Monthly_Pay_Model!$C$9:$C$39,0),4)),))))))</f>
        <v>8.1256544502617792E-4</v>
      </c>
      <c r="J322" s="33">
        <f>IF(C322="Yes",Monthly_Pay_Model!$D$2,0)
+IF(Calendar!N322="Yes",Monthly_Pay_Model!$D$3,0)
+IF(D322="Yes",Monthly_Pay_Model!$D$4,0)
+IF(E322="Yes",Monthly_Pay_Model!$D$5,0)</f>
        <v>0</v>
      </c>
      <c r="K322" s="27">
        <f>IF(VLOOKUP($A322,Calendar!$A$1:$R$1377,18,0)=0,0,IF(VLOOKUP($A322,Calendar!$A$1:$R$1377,18,0)=1,IFERROR(INDEX(Weekly_Model!$D$2:$D$9,MATCH(F322,Weekly_Model!$A$2:$A$9,0)),0),IF(VLOOKUP($A322,Calendar!$A$1:$R$1377,18,0)=2,SUM(IFERROR(INDEX(Weekly_Model!$D$2:$D$9,MATCH(F322,Weekly_Model!$A$2:$A$9,0)),0),IFERROR(INDEX(Weekly_Model!$D$2:$D$9,MATCH(F323,Weekly_Model!$A$2:$A$9,0)),0)),IF(VLOOKUP($A322,Calendar!$A$1:$R$1377,18,0)=3,SUM(IFERROR(INDEX(Weekly_Model!$D$2:$D$9,MATCH(F322,Weekly_Model!$A$2:$A$9,0)),0),IFERROR(INDEX(Weekly_Model!$D$2:$D$9,MATCH(F323,Weekly_Model!$A$2:$A$9,0)),0),IFERROR(INDEX(Weekly_Model!$D$2:$D$9,MATCH(F324,Weekly_Model!$A$2:$A$9,0)),0)),IF(VLOOKUP($A322,Calendar!$A$1:$R$1377,18,0)=4,SUM(IFERROR(INDEX(Weekly_Model!$D$2:$D$9,MATCH(F322,Weekly_Model!$A$2:$A$9,0)),0),IFERROR(INDEX(Weekly_Model!$D$2:$D$9,MATCH(F323,Weekly_Model!$A$2:$A$9,0)),0),IFERROR(INDEX(Weekly_Model!$D$2:$D$9,MATCH(F324,Weekly_Model!$A$2:$A$9,0)),0),IFERROR(INDEX(Weekly_Model!$D$2:$D$9,MATCH(F325,Weekly_Model!$A$2:$A$9,0)),0)),IF(VLOOKUP($A322,Calendar!$A$1:$R$1377,18,0)=5,SUM(IFERROR(INDEX(Weekly_Model!$D$2:$D$9,MATCH(F322,Weekly_Model!$A$2:$A$9,0)),0),IFERROR(INDEX(Weekly_Model!$D$2:$D$9,MATCH(F323,Weekly_Model!$A$2:$A$9,0)),0),IFERROR(INDEX(Weekly_Model!$D$2:$D$9,MATCH(F324,Weekly_Model!$A$2:$A$9,0)),0),IFERROR(INDEX(Weekly_Model!$D$2:$D$9,MATCH(F325,Weekly_Model!$A$2:$A$9,0)),0),IFERROR(INDEX(Weekly_Model!$D$2:$D$9,MATCH(F326,Weekly_Model!$A$2:$A$9,0)),0)),0))))))</f>
        <v>2.3200000000000002E-2</v>
      </c>
      <c r="L322" s="27">
        <f>IF(VLOOKUP($A322,Calendar!$A$1:$R$1377,18,0)=0,0,IF(VLOOKUP($A322,Calendar!$A$1:$R$1377,18,0)=1,IFERROR(INDEX(Fortnightly_Model!$D$2:$D$15,MATCH(G322,Fortnightly_Model!$B$2:$B$15,0)),0),IF(VLOOKUP($A322,Calendar!$A$1:$R$1377,18,0)=2,SUM(IFERROR(INDEX(Fortnightly_Model!$D$2:$D$15,MATCH(G322,Fortnightly_Model!$B$2:$B$15,0)),0),IFERROR(INDEX(Fortnightly_Model!$D$2:$D$15,MATCH(G323,Fortnightly_Model!$B$2:$B$15,0)),0)),IF(VLOOKUP($A322,Calendar!$A$1:$R$1377,18,0)=3,SUM(IFERROR(INDEX(Fortnightly_Model!$D$2:$D$15,MATCH(G322,Fortnightly_Model!$B$2:$B$15,0)),0),IFERROR(INDEX(Fortnightly_Model!$D$2:$D$15,MATCH(G323,Fortnightly_Model!$B$2:$B$15,0)),0),IFERROR(INDEX(Fortnightly_Model!$D$2:$D$15,MATCH(G324,Fortnightly_Model!$B$2:$B$15,0)),0)),IF(VLOOKUP($A322,Calendar!$A$1:$R$1377,18,0)=4,SUM(IFERROR(INDEX(Fortnightly_Model!$D$2:$D$15,MATCH(G322,Fortnightly_Model!$B$2:$B$15,0)),0),IFERROR(INDEX(Fortnightly_Model!$D$2:$D$15,MATCH(G323,Fortnightly_Model!$B$2:$B$15,0)),0),IFERROR(INDEX(Fortnightly_Model!$D$2:$D$15,MATCH(G324,Fortnightly_Model!$B$2:$B$15,0)),0),IFERROR(INDEX(Fortnightly_Model!$D$2:$D$15,MATCH(G325,Fortnightly_Model!$B$2:$B$15,0)),0)),IF(VLOOKUP($A322,Calendar!$A$1:$R$1377,18,0)=5,SUM(IFERROR(INDEX(Fortnightly_Model!$D$2:$D$15,MATCH(G322,Fortnightly_Model!$B$2:$B$15,0)),0),IFERROR(INDEX(Fortnightly_Model!$D$2:$D$15,MATCH(G323,Fortnightly_Model!$B$2:$B$15,0)),0),IFERROR(INDEX(Fortnightly_Model!$D$2:$D$15,MATCH(G324,Fortnightly_Model!$B$2:$B$15,0)),0),IFERROR(INDEX(Fortnightly_Model!$D$2:$D$15,MATCH(G325,Fortnightly_Model!$B$2:$B$15,0)),0),IFERROR(INDEX(Fortnightly_Model!$D$2:$D$15,MATCH(G326,Fortnightly_Model!$B$2:$B$15,0)),0)),0))))))</f>
        <v>1.0714285499999999E-3</v>
      </c>
      <c r="M322" s="27">
        <f>IF(VLOOKUP($A322,Calendar!$A$1:$R$1377,18,0)=0,0,IF(VLOOKUP($A322,Calendar!$A$1:$R$1377,18,0)=1,IFERROR(INDEX(FourWeekly_Model!$D$2:$D$29,MATCH(H322,FourWeekly_Model!$B$2:$B$29,0)),0),IF(VLOOKUP($A322,Calendar!$A$1:$R$1377,18,0)=2,SUM(IFERROR(INDEX(FourWeekly_Model!$D$2:$D$29,MATCH(H322,FourWeekly_Model!$B$2:$B$29,0)),0),IFERROR(INDEX(FourWeekly_Model!$D$2:$D$29,MATCH(H323,FourWeekly_Model!$B$2:$B$29,0)),0)),IF(VLOOKUP($A322,Calendar!$A$1:$R$1377,18,0)=3,SUM(IFERROR(INDEX(FourWeekly_Model!$D$2:$D$29,MATCH(H322,FourWeekly_Model!$B$2:$B$29,0)),0),IFERROR(INDEX(FourWeekly_Model!$D$2:$D$29,MATCH(H323,FourWeekly_Model!$B$2:$B$29,0)),0),IFERROR(INDEX(FourWeekly_Model!$D$2:$D$29,MATCH(H324,FourWeekly_Model!$B$2:$B$29,0)),0)),IF(VLOOKUP($A322,Calendar!$A$1:$R$1377,18,0)=4,SUM(IFERROR(INDEX(FourWeekly_Model!$D$2:$D$29,MATCH(H322,FourWeekly_Model!$B$2:$B$29,0)),0),IFERROR(INDEX(FourWeekly_Model!$D$2:$D$29,MATCH(H323,FourWeekly_Model!$B$2:$B$29,0)),0),IFERROR(INDEX(FourWeekly_Model!$D$2:$D$29,MATCH(H324,FourWeekly_Model!$B$2:$B$29,0)),0),IFERROR(INDEX(FourWeekly_Model!$D$2:$D$29,MATCH(H325,FourWeekly_Model!$B$2:$B$29,0)),0)),IF(VLOOKUP($A322,Calendar!$A$1:$R$1377,18,0)=5,SUM(IFERROR(INDEX(FourWeekly_Model!$D$2:$D$29,MATCH(H322,FourWeekly_Model!$B$2:$B$29,0)),0),IFERROR(INDEX(FourWeekly_Model!$D$2:$D$29,MATCH(H323,FourWeekly_Model!$B$2:$B$29,0)),0),IFERROR(INDEX(FourWeekly_Model!$D$2:$D$29,MATCH(H324,FourWeekly_Model!$B$2:$B$29,0)),0),IFERROR(INDEX(FourWeekly_Model!$D$2:$D$29,MATCH(H325,FourWeekly_Model!$B$2:$B$29,0)),0),IFERROR(INDEX(FourWeekly_Model!$D$2:$D$29,MATCH(H326,FourWeekly_Model!$B$2:$B$29,0)),0)),0))))))</f>
        <v>3.3214289700000004E-3</v>
      </c>
      <c r="N322" s="27">
        <f>SUM(I322:M322)</f>
        <v>2.840542296502618E-2</v>
      </c>
      <c r="O322" s="28">
        <f>Population_Data!$B$8*N322</f>
        <v>860684.3158402933</v>
      </c>
      <c r="P322" s="27">
        <f>IF(VLOOKUP($A322,Calendar!$A$1:$R$1377,18,0)=0,0,IF(VLOOKUP($A322,Calendar!$A$1:$R$1377,18,0)=1,IFERROR(INDEX(Pension_Model!$D$2:$D$29,MATCH(H322,Pension_Model!$B$2:$B$29,0)),0),IF(VLOOKUP($A322,Calendar!$A$1:$R$1377,18,0)=2,SUM(IFERROR(INDEX(Pension_Model!$D$2:$D$29,MATCH(H322,Pension_Model!$B$2:$B$29,0)),0),IFERROR(INDEX(Pension_Model!$D$2:$D$29,MATCH(H323,Pension_Model!$B$2:$B$29,0)),0)),IF(VLOOKUP($A322,Calendar!$A$1:$R$1377,18,0)=3,SUM(IFERROR(INDEX(Pension_Model!$D$2:$D$29,MATCH(H322,Pension_Model!$B$2:$B$29,0)),0),IFERROR(INDEX(Pension_Model!$D$2:$D$29,MATCH(H323,Pension_Model!$B$2:$B$29,0)),0),IFERROR(INDEX(Pension_Model!$D$2:$D$29,MATCH(H324,Pension_Model!$B$2:$B$29,0)),0)),IF(VLOOKUP($A322,Calendar!$A$1:$R$1377,18,0)=4,SUM(IFERROR(INDEX(Pension_Model!$D$2:$D$29,MATCH(H322,Pension_Model!$B$2:$B$29,0)),0),IFERROR(INDEX(Pension_Model!$D$2:$D$29,MATCH(H323,Pension_Model!$B$2:$B$29,0)),0),IFERROR(INDEX(Pension_Model!$D$2:$D$29,MATCH(H324,Pension_Model!$B$2:$B$29,0)),0),IFERROR(INDEX(Pension_Model!$D$2:$D$29,MATCH(H325,Pension_Model!$B$2:$B$29,0)),0)),IF(VLOOKUP($A322,Calendar!$A$1:$R$1377,18,0)=5,SUM(IFERROR(INDEX(Pension_Model!$D$2:$D$29,MATCH(H322,Pension_Model!$B$2:$B$29,0)),0),IFERROR(INDEX(Pension_Model!$D$2:$D$29,MATCH(H323,Pension_Model!$B$2:$B$29,0)),0),IFERROR(INDEX(Pension_Model!$D$2:$D$29,MATCH(H324,Pension_Model!$B$2:$B$29,0)),0),IFERROR(INDEX(Pension_Model!$D$2:$D$29,MATCH(H325,Pension_Model!$B$2:$B$29,0)),0),IFERROR(INDEX(Pension_Model!$D$2:$D$29,MATCH(H326,Pension_Model!$B$2:$B$29,0)),0)),0))))))</f>
        <v>0.05</v>
      </c>
      <c r="Q322" s="28">
        <f>Population_Data!$B$15*P322</f>
        <v>660600</v>
      </c>
      <c r="S322">
        <f t="shared" si="4"/>
        <v>1521284.3158402932</v>
      </c>
      <c r="U322" s="33">
        <f>S322/Population_Data!$B$19</f>
        <v>2.7559498475367629E-2</v>
      </c>
    </row>
    <row r="323" spans="1:21">
      <c r="A323" s="25">
        <f>Calendar!A323</f>
        <v>46556</v>
      </c>
      <c r="B323" t="str">
        <f>Calendar!L323</f>
        <v>Yes</v>
      </c>
      <c r="C323" t="str">
        <f>Calendar!O323</f>
        <v>No</v>
      </c>
      <c r="D323" t="str">
        <f>Calendar!P323</f>
        <v>No</v>
      </c>
      <c r="E323" t="str">
        <f>Calendar!Q323</f>
        <v>No</v>
      </c>
      <c r="F323" t="str">
        <f>Calendar!I323</f>
        <v>Friday</v>
      </c>
      <c r="G323">
        <f>Calendar!S323</f>
        <v>6</v>
      </c>
      <c r="H323">
        <f>Calendar!T323</f>
        <v>20</v>
      </c>
      <c r="I323" s="27">
        <f>IF(VLOOKUP(A323,Calendar!$A$1:$R$1377,18,0)=0,0,IF(VLOOKUP(A323,Calendar!$A$1:$R$1377,18,0)=1,INDEX(Monthly_Pay_Model!$A$9:$D$40,MATCH(TEXT(A323,"dd"),Monthly_Pay_Model!$C$9:$C$39,0),4),IF(VLOOKUP(A323,Calendar!$A$1:$R$1377,18,0)=2,SUM(INDEX(Monthly_Pay_Model!$A$9:$D$40,MATCH(TEXT(A323,"dd"),Monthly_Pay_Model!$C$9:$C$39,0),4),INDEX(Monthly_Pay_Model!$A$9:$D$40,MATCH(TEXT(A324,"dd"),Monthly_Pay_Model!$C$9:$C$39,0),4)),IF(VLOOKUP(A323,Calendar!$A$1:$R$1377,18,0)=3,SUM(INDEX(Monthly_Pay_Model!$A$9:$D$40,MATCH(TEXT(A323,"dd"),Monthly_Pay_Model!$C$9:$C$39,0),4),INDEX(Monthly_Pay_Model!$A$9:$D$40,MATCH(TEXT(A324,"dd"),Monthly_Pay_Model!$C$9:$C$39,0),4),INDEX(Monthly_Pay_Model!$A$9:$D$40,MATCH(TEXT(A325,"dd"),Monthly_Pay_Model!$C$9:$C$39,0),4)),IF(VLOOKUP(A323,Calendar!$A$1:$R$1377,18,0)=4,SUM(INDEX(Monthly_Pay_Model!$A$9:$D$40,MATCH(TEXT(A323,"dd"),Monthly_Pay_Model!$C$9:$C$39,0),4),INDEX(Monthly_Pay_Model!$A$9:$D$40,MATCH(TEXT(A324,"dd"),Monthly_Pay_Model!$C$9:$C$39,0),4),INDEX(Monthly_Pay_Model!$A$9:$D$40,MATCH(TEXT(A325,"dd"),Monthly_Pay_Model!$C$9:$C$39,0),4),INDEX(Monthly_Pay_Model!$A$9:$D$40,MATCH(TEXT(A326,"dd"),Monthly_Pay_Model!$C$9:$C$39,0),4)),IF(VLOOKUP(A323,Calendar!$A$1:$R$1377,18,0)=5,SUM(INDEX(Monthly_Pay_Model!$A$9:$D$40,MATCH(TEXT(A323,"dd"),Monthly_Pay_Model!$C$9:$C$39,0),4),INDEX(Monthly_Pay_Model!$A$9:$D$40,MATCH(TEXT(A324,"dd"),Monthly_Pay_Model!$C$9:$C$39,0),4),INDEX(Monthly_Pay_Model!$A$9:$D$40,MATCH(TEXT(A325,"dd"),Monthly_Pay_Model!$C$9:$C$39,0),4),INDEX(Monthly_Pay_Model!$A$9:$D$40,MATCH(TEXT(A326,"dd"),Monthly_Pay_Model!$C$9:$C$39,0),4),INDEX(Monthly_Pay_Model!$A$9:$D$40,MATCH(TEXT(A327,"dd"),Monthly_Pay_Model!$C$9:$C$39,0),4)),))))))</f>
        <v>1.2188481675392668E-2</v>
      </c>
      <c r="J323" s="33">
        <f>IF(C323="Yes",Monthly_Pay_Model!$D$2,0)
+IF(Calendar!N323="Yes",Monthly_Pay_Model!$D$3,0)
+IF(D323="Yes",Monthly_Pay_Model!$D$4,0)
+IF(E323="Yes",Monthly_Pay_Model!$D$5,0)</f>
        <v>0</v>
      </c>
      <c r="K323" s="27">
        <f>IF(VLOOKUP($A323,Calendar!$A$1:$R$1377,18,0)=0,0,IF(VLOOKUP($A323,Calendar!$A$1:$R$1377,18,0)=1,IFERROR(INDEX(Weekly_Model!$D$2:$D$9,MATCH(F323,Weekly_Model!$A$2:$A$9,0)),0),IF(VLOOKUP($A323,Calendar!$A$1:$R$1377,18,0)=2,SUM(IFERROR(INDEX(Weekly_Model!$D$2:$D$9,MATCH(F323,Weekly_Model!$A$2:$A$9,0)),0),IFERROR(INDEX(Weekly_Model!$D$2:$D$9,MATCH(F324,Weekly_Model!$A$2:$A$9,0)),0)),IF(VLOOKUP($A323,Calendar!$A$1:$R$1377,18,0)=3,SUM(IFERROR(INDEX(Weekly_Model!$D$2:$D$9,MATCH(F323,Weekly_Model!$A$2:$A$9,0)),0),IFERROR(INDEX(Weekly_Model!$D$2:$D$9,MATCH(F324,Weekly_Model!$A$2:$A$9,0)),0),IFERROR(INDEX(Weekly_Model!$D$2:$D$9,MATCH(F325,Weekly_Model!$A$2:$A$9,0)),0)),IF(VLOOKUP($A323,Calendar!$A$1:$R$1377,18,0)=4,SUM(IFERROR(INDEX(Weekly_Model!$D$2:$D$9,MATCH(F323,Weekly_Model!$A$2:$A$9,0)),0),IFERROR(INDEX(Weekly_Model!$D$2:$D$9,MATCH(F324,Weekly_Model!$A$2:$A$9,0)),0),IFERROR(INDEX(Weekly_Model!$D$2:$D$9,MATCH(F325,Weekly_Model!$A$2:$A$9,0)),0),IFERROR(INDEX(Weekly_Model!$D$2:$D$9,MATCH(F326,Weekly_Model!$A$2:$A$9,0)),0)),IF(VLOOKUP($A323,Calendar!$A$1:$R$1377,18,0)=5,SUM(IFERROR(INDEX(Weekly_Model!$D$2:$D$9,MATCH(F323,Weekly_Model!$A$2:$A$9,0)),0),IFERROR(INDEX(Weekly_Model!$D$2:$D$9,MATCH(F324,Weekly_Model!$A$2:$A$9,0)),0),IFERROR(INDEX(Weekly_Model!$D$2:$D$9,MATCH(F325,Weekly_Model!$A$2:$A$9,0)),0),IFERROR(INDEX(Weekly_Model!$D$2:$D$9,MATCH(F326,Weekly_Model!$A$2:$A$9,0)),0),IFERROR(INDEX(Weekly_Model!$D$2:$D$9,MATCH(F327,Weekly_Model!$A$2:$A$9,0)),0)),0))))))</f>
        <v>2.3200000000000002E-2</v>
      </c>
      <c r="L323" s="27">
        <f>IF(VLOOKUP($A323,Calendar!$A$1:$R$1377,18,0)=0,0,IF(VLOOKUP($A323,Calendar!$A$1:$R$1377,18,0)=1,IFERROR(INDEX(Fortnightly_Model!$D$2:$D$15,MATCH(G323,Fortnightly_Model!$B$2:$B$15,0)),0),IF(VLOOKUP($A323,Calendar!$A$1:$R$1377,18,0)=2,SUM(IFERROR(INDEX(Fortnightly_Model!$D$2:$D$15,MATCH(G323,Fortnightly_Model!$B$2:$B$15,0)),0),IFERROR(INDEX(Fortnightly_Model!$D$2:$D$15,MATCH(G324,Fortnightly_Model!$B$2:$B$15,0)),0)),IF(VLOOKUP($A323,Calendar!$A$1:$R$1377,18,0)=3,SUM(IFERROR(INDEX(Fortnightly_Model!$D$2:$D$15,MATCH(G323,Fortnightly_Model!$B$2:$B$15,0)),0),IFERROR(INDEX(Fortnightly_Model!$D$2:$D$15,MATCH(G324,Fortnightly_Model!$B$2:$B$15,0)),0),IFERROR(INDEX(Fortnightly_Model!$D$2:$D$15,MATCH(G325,Fortnightly_Model!$B$2:$B$15,0)),0)),IF(VLOOKUP($A323,Calendar!$A$1:$R$1377,18,0)=4,SUM(IFERROR(INDEX(Fortnightly_Model!$D$2:$D$15,MATCH(G323,Fortnightly_Model!$B$2:$B$15,0)),0),IFERROR(INDEX(Fortnightly_Model!$D$2:$D$15,MATCH(G324,Fortnightly_Model!$B$2:$B$15,0)),0),IFERROR(INDEX(Fortnightly_Model!$D$2:$D$15,MATCH(G325,Fortnightly_Model!$B$2:$B$15,0)),0),IFERROR(INDEX(Fortnightly_Model!$D$2:$D$15,MATCH(G326,Fortnightly_Model!$B$2:$B$15,0)),0)),IF(VLOOKUP($A323,Calendar!$A$1:$R$1377,18,0)=5,SUM(IFERROR(INDEX(Fortnightly_Model!$D$2:$D$15,MATCH(G323,Fortnightly_Model!$B$2:$B$15,0)),0),IFERROR(INDEX(Fortnightly_Model!$D$2:$D$15,MATCH(G324,Fortnightly_Model!$B$2:$B$15,0)),0),IFERROR(INDEX(Fortnightly_Model!$D$2:$D$15,MATCH(G325,Fortnightly_Model!$B$2:$B$15,0)),0),IFERROR(INDEX(Fortnightly_Model!$D$2:$D$15,MATCH(G326,Fortnightly_Model!$B$2:$B$15,0)),0),IFERROR(INDEX(Fortnightly_Model!$D$2:$D$15,MATCH(G327,Fortnightly_Model!$B$2:$B$15,0)),0)),0))))))</f>
        <v>3.2142856499999999E-3</v>
      </c>
      <c r="M323" s="27">
        <f>IF(VLOOKUP($A323,Calendar!$A$1:$R$1377,18,0)=0,0,IF(VLOOKUP($A323,Calendar!$A$1:$R$1377,18,0)=1,IFERROR(INDEX(FourWeekly_Model!$D$2:$D$29,MATCH(H323,FourWeekly_Model!$B$2:$B$29,0)),0),IF(VLOOKUP($A323,Calendar!$A$1:$R$1377,18,0)=2,SUM(IFERROR(INDEX(FourWeekly_Model!$D$2:$D$29,MATCH(H323,FourWeekly_Model!$B$2:$B$29,0)),0),IFERROR(INDEX(FourWeekly_Model!$D$2:$D$29,MATCH(H324,FourWeekly_Model!$B$2:$B$29,0)),0)),IF(VLOOKUP($A323,Calendar!$A$1:$R$1377,18,0)=3,SUM(IFERROR(INDEX(FourWeekly_Model!$D$2:$D$29,MATCH(H323,FourWeekly_Model!$B$2:$B$29,0)),0),IFERROR(INDEX(FourWeekly_Model!$D$2:$D$29,MATCH(H324,FourWeekly_Model!$B$2:$B$29,0)),0),IFERROR(INDEX(FourWeekly_Model!$D$2:$D$29,MATCH(H325,FourWeekly_Model!$B$2:$B$29,0)),0)),IF(VLOOKUP($A323,Calendar!$A$1:$R$1377,18,0)=4,SUM(IFERROR(INDEX(FourWeekly_Model!$D$2:$D$29,MATCH(H323,FourWeekly_Model!$B$2:$B$29,0)),0),IFERROR(INDEX(FourWeekly_Model!$D$2:$D$29,MATCH(H324,FourWeekly_Model!$B$2:$B$29,0)),0),IFERROR(INDEX(FourWeekly_Model!$D$2:$D$29,MATCH(H325,FourWeekly_Model!$B$2:$B$29,0)),0),IFERROR(INDEX(FourWeekly_Model!$D$2:$D$29,MATCH(H326,FourWeekly_Model!$B$2:$B$29,0)),0)),IF(VLOOKUP($A323,Calendar!$A$1:$R$1377,18,0)=5,SUM(IFERROR(INDEX(FourWeekly_Model!$D$2:$D$29,MATCH(H323,FourWeekly_Model!$B$2:$B$29,0)),0),IFERROR(INDEX(FourWeekly_Model!$D$2:$D$29,MATCH(H324,FourWeekly_Model!$B$2:$B$29,0)),0),IFERROR(INDEX(FourWeekly_Model!$D$2:$D$29,MATCH(H325,FourWeekly_Model!$B$2:$B$29,0)),0),IFERROR(INDEX(FourWeekly_Model!$D$2:$D$29,MATCH(H326,FourWeekly_Model!$B$2:$B$29,0)),0),IFERROR(INDEX(FourWeekly_Model!$D$2:$D$29,MATCH(H327,FourWeekly_Model!$B$2:$B$29,0)),0)),0))))))</f>
        <v>9.9642859800000011E-3</v>
      </c>
      <c r="N323" s="27">
        <f>SUM(I323:M323)</f>
        <v>4.8567053305392675E-2</v>
      </c>
      <c r="O323" s="28">
        <f>Population_Data!$B$8*N323</f>
        <v>1471581.715153398</v>
      </c>
      <c r="P323" s="27">
        <f>IF(VLOOKUP($A323,Calendar!$A$1:$R$1377,18,0)=0,0,IF(VLOOKUP($A323,Calendar!$A$1:$R$1377,18,0)=1,IFERROR(INDEX(Pension_Model!$D$2:$D$29,MATCH(H323,Pension_Model!$B$2:$B$29,0)),0),IF(VLOOKUP($A323,Calendar!$A$1:$R$1377,18,0)=2,SUM(IFERROR(INDEX(Pension_Model!$D$2:$D$29,MATCH(H323,Pension_Model!$B$2:$B$29,0)),0),IFERROR(INDEX(Pension_Model!$D$2:$D$29,MATCH(H324,Pension_Model!$B$2:$B$29,0)),0)),IF(VLOOKUP($A323,Calendar!$A$1:$R$1377,18,0)=3,SUM(IFERROR(INDEX(Pension_Model!$D$2:$D$29,MATCH(H323,Pension_Model!$B$2:$B$29,0)),0),IFERROR(INDEX(Pension_Model!$D$2:$D$29,MATCH(H324,Pension_Model!$B$2:$B$29,0)),0),IFERROR(INDEX(Pension_Model!$D$2:$D$29,MATCH(H325,Pension_Model!$B$2:$B$29,0)),0)),IF(VLOOKUP($A323,Calendar!$A$1:$R$1377,18,0)=4,SUM(IFERROR(INDEX(Pension_Model!$D$2:$D$29,MATCH(H323,Pension_Model!$B$2:$B$29,0)),0),IFERROR(INDEX(Pension_Model!$D$2:$D$29,MATCH(H324,Pension_Model!$B$2:$B$29,0)),0),IFERROR(INDEX(Pension_Model!$D$2:$D$29,MATCH(H325,Pension_Model!$B$2:$B$29,0)),0),IFERROR(INDEX(Pension_Model!$D$2:$D$29,MATCH(H326,Pension_Model!$B$2:$B$29,0)),0)),IF(VLOOKUP($A323,Calendar!$A$1:$R$1377,18,0)=5,SUM(IFERROR(INDEX(Pension_Model!$D$2:$D$29,MATCH(H323,Pension_Model!$B$2:$B$29,0)),0),IFERROR(INDEX(Pension_Model!$D$2:$D$29,MATCH(H324,Pension_Model!$B$2:$B$29,0)),0),IFERROR(INDEX(Pension_Model!$D$2:$D$29,MATCH(H325,Pension_Model!$B$2:$B$29,0)),0),IFERROR(INDEX(Pension_Model!$D$2:$D$29,MATCH(H326,Pension_Model!$B$2:$B$29,0)),0),IFERROR(INDEX(Pension_Model!$D$2:$D$29,MATCH(H327,Pension_Model!$B$2:$B$29,0)),0)),0))))))</f>
        <v>0.05</v>
      </c>
      <c r="Q323" s="28">
        <f>Population_Data!$B$15*P323</f>
        <v>660600</v>
      </c>
      <c r="S323">
        <f t="shared" ref="S323:S386" si="5">SUM(Q323,O323)</f>
        <v>2132181.715153398</v>
      </c>
      <c r="U323" s="33">
        <f>S323/Population_Data!$B$19</f>
        <v>3.8626480346981851E-2</v>
      </c>
    </row>
    <row r="324" spans="1:21">
      <c r="A324" s="25">
        <f>Calendar!A324</f>
        <v>46557</v>
      </c>
      <c r="B324" t="str">
        <f>Calendar!L324</f>
        <v>No</v>
      </c>
      <c r="C324" t="str">
        <f>Calendar!O324</f>
        <v>No</v>
      </c>
      <c r="D324" t="str">
        <f>Calendar!P324</f>
        <v>No</v>
      </c>
      <c r="E324" t="str">
        <f>Calendar!Q324</f>
        <v>No</v>
      </c>
      <c r="F324" t="str">
        <f>Calendar!I324</f>
        <v>Saturday</v>
      </c>
      <c r="G324">
        <f>Calendar!S324</f>
        <v>7</v>
      </c>
      <c r="H324">
        <f>Calendar!T324</f>
        <v>21</v>
      </c>
      <c r="I324" s="27">
        <f>IF(VLOOKUP(A324,Calendar!$A$1:$R$1377,18,0)=0,0,IF(VLOOKUP(A324,Calendar!$A$1:$R$1377,18,0)=1,INDEX(Monthly_Pay_Model!$A$9:$D$40,MATCH(TEXT(A324,"dd"),Monthly_Pay_Model!$C$9:$C$39,0),4),IF(VLOOKUP(A324,Calendar!$A$1:$R$1377,18,0)=2,SUM(INDEX(Monthly_Pay_Model!$A$9:$D$40,MATCH(TEXT(A324,"dd"),Monthly_Pay_Model!$C$9:$C$39,0),4),INDEX(Monthly_Pay_Model!$A$9:$D$40,MATCH(TEXT(A325,"dd"),Monthly_Pay_Model!$C$9:$C$39,0),4)),IF(VLOOKUP(A324,Calendar!$A$1:$R$1377,18,0)=3,SUM(INDEX(Monthly_Pay_Model!$A$9:$D$40,MATCH(TEXT(A324,"dd"),Monthly_Pay_Model!$C$9:$C$39,0),4),INDEX(Monthly_Pay_Model!$A$9:$D$40,MATCH(TEXT(A325,"dd"),Monthly_Pay_Model!$C$9:$C$39,0),4),INDEX(Monthly_Pay_Model!$A$9:$D$40,MATCH(TEXT(A326,"dd"),Monthly_Pay_Model!$C$9:$C$39,0),4)),IF(VLOOKUP(A324,Calendar!$A$1:$R$1377,18,0)=4,SUM(INDEX(Monthly_Pay_Model!$A$9:$D$40,MATCH(TEXT(A324,"dd"),Monthly_Pay_Model!$C$9:$C$39,0),4),INDEX(Monthly_Pay_Model!$A$9:$D$40,MATCH(TEXT(A325,"dd"),Monthly_Pay_Model!$C$9:$C$39,0),4),INDEX(Monthly_Pay_Model!$A$9:$D$40,MATCH(TEXT(A326,"dd"),Monthly_Pay_Model!$C$9:$C$39,0),4),INDEX(Monthly_Pay_Model!$A$9:$D$40,MATCH(TEXT(A327,"dd"),Monthly_Pay_Model!$C$9:$C$39,0),4)),IF(VLOOKUP(A324,Calendar!$A$1:$R$1377,18,0)=5,SUM(INDEX(Monthly_Pay_Model!$A$9:$D$40,MATCH(TEXT(A324,"dd"),Monthly_Pay_Model!$C$9:$C$39,0),4),INDEX(Monthly_Pay_Model!$A$9:$D$40,MATCH(TEXT(A325,"dd"),Monthly_Pay_Model!$C$9:$C$39,0),4),INDEX(Monthly_Pay_Model!$A$9:$D$40,MATCH(TEXT(A326,"dd"),Monthly_Pay_Model!$C$9:$C$39,0),4),INDEX(Monthly_Pay_Model!$A$9:$D$40,MATCH(TEXT(A327,"dd"),Monthly_Pay_Model!$C$9:$C$39,0),4),INDEX(Monthly_Pay_Model!$A$9:$D$40,MATCH(TEXT(A328,"dd"),Monthly_Pay_Model!$C$9:$C$39,0),4)),))))))</f>
        <v>0</v>
      </c>
      <c r="J324" s="33">
        <f>IF(C324="Yes",Monthly_Pay_Model!$D$2,0)
+IF(Calendar!N324="Yes",Monthly_Pay_Model!$D$3,0)
+IF(D324="Yes",Monthly_Pay_Model!$D$4,0)
+IF(E324="Yes",Monthly_Pay_Model!$D$5,0)</f>
        <v>0</v>
      </c>
      <c r="K324" s="27">
        <f>IF(VLOOKUP($A324,Calendar!$A$1:$R$1377,18,0)=0,0,IF(VLOOKUP($A324,Calendar!$A$1:$R$1377,18,0)=1,IFERROR(INDEX(Weekly_Model!$D$2:$D$9,MATCH(F324,Weekly_Model!$A$2:$A$9,0)),0),IF(VLOOKUP($A324,Calendar!$A$1:$R$1377,18,0)=2,SUM(IFERROR(INDEX(Weekly_Model!$D$2:$D$9,MATCH(F324,Weekly_Model!$A$2:$A$9,0)),0),IFERROR(INDEX(Weekly_Model!$D$2:$D$9,MATCH(F325,Weekly_Model!$A$2:$A$9,0)),0)),IF(VLOOKUP($A324,Calendar!$A$1:$R$1377,18,0)=3,SUM(IFERROR(INDEX(Weekly_Model!$D$2:$D$9,MATCH(F324,Weekly_Model!$A$2:$A$9,0)),0),IFERROR(INDEX(Weekly_Model!$D$2:$D$9,MATCH(F325,Weekly_Model!$A$2:$A$9,0)),0),IFERROR(INDEX(Weekly_Model!$D$2:$D$9,MATCH(F326,Weekly_Model!$A$2:$A$9,0)),0)),IF(VLOOKUP($A324,Calendar!$A$1:$R$1377,18,0)=4,SUM(IFERROR(INDEX(Weekly_Model!$D$2:$D$9,MATCH(F324,Weekly_Model!$A$2:$A$9,0)),0),IFERROR(INDEX(Weekly_Model!$D$2:$D$9,MATCH(F325,Weekly_Model!$A$2:$A$9,0)),0),IFERROR(INDEX(Weekly_Model!$D$2:$D$9,MATCH(F326,Weekly_Model!$A$2:$A$9,0)),0),IFERROR(INDEX(Weekly_Model!$D$2:$D$9,MATCH(F327,Weekly_Model!$A$2:$A$9,0)),0)),IF(VLOOKUP($A324,Calendar!$A$1:$R$1377,18,0)=5,SUM(IFERROR(INDEX(Weekly_Model!$D$2:$D$9,MATCH(F324,Weekly_Model!$A$2:$A$9,0)),0),IFERROR(INDEX(Weekly_Model!$D$2:$D$9,MATCH(F325,Weekly_Model!$A$2:$A$9,0)),0),IFERROR(INDEX(Weekly_Model!$D$2:$D$9,MATCH(F326,Weekly_Model!$A$2:$A$9,0)),0),IFERROR(INDEX(Weekly_Model!$D$2:$D$9,MATCH(F327,Weekly_Model!$A$2:$A$9,0)),0),IFERROR(INDEX(Weekly_Model!$D$2:$D$9,MATCH(F328,Weekly_Model!$A$2:$A$9,0)),0)),0))))))</f>
        <v>0</v>
      </c>
      <c r="L324" s="27">
        <f>IF(VLOOKUP($A324,Calendar!$A$1:$R$1377,18,0)=0,0,IF(VLOOKUP($A324,Calendar!$A$1:$R$1377,18,0)=1,IFERROR(INDEX(Fortnightly_Model!$D$2:$D$15,MATCH(G324,Fortnightly_Model!$B$2:$B$15,0)),0),IF(VLOOKUP($A324,Calendar!$A$1:$R$1377,18,0)=2,SUM(IFERROR(INDEX(Fortnightly_Model!$D$2:$D$15,MATCH(G324,Fortnightly_Model!$B$2:$B$15,0)),0),IFERROR(INDEX(Fortnightly_Model!$D$2:$D$15,MATCH(G325,Fortnightly_Model!$B$2:$B$15,0)),0)),IF(VLOOKUP($A324,Calendar!$A$1:$R$1377,18,0)=3,SUM(IFERROR(INDEX(Fortnightly_Model!$D$2:$D$15,MATCH(G324,Fortnightly_Model!$B$2:$B$15,0)),0),IFERROR(INDEX(Fortnightly_Model!$D$2:$D$15,MATCH(G325,Fortnightly_Model!$B$2:$B$15,0)),0),IFERROR(INDEX(Fortnightly_Model!$D$2:$D$15,MATCH(G326,Fortnightly_Model!$B$2:$B$15,0)),0)),IF(VLOOKUP($A324,Calendar!$A$1:$R$1377,18,0)=4,SUM(IFERROR(INDEX(Fortnightly_Model!$D$2:$D$15,MATCH(G324,Fortnightly_Model!$B$2:$B$15,0)),0),IFERROR(INDEX(Fortnightly_Model!$D$2:$D$15,MATCH(G325,Fortnightly_Model!$B$2:$B$15,0)),0),IFERROR(INDEX(Fortnightly_Model!$D$2:$D$15,MATCH(G326,Fortnightly_Model!$B$2:$B$15,0)),0),IFERROR(INDEX(Fortnightly_Model!$D$2:$D$15,MATCH(G327,Fortnightly_Model!$B$2:$B$15,0)),0)),IF(VLOOKUP($A324,Calendar!$A$1:$R$1377,18,0)=5,SUM(IFERROR(INDEX(Fortnightly_Model!$D$2:$D$15,MATCH(G324,Fortnightly_Model!$B$2:$B$15,0)),0),IFERROR(INDEX(Fortnightly_Model!$D$2:$D$15,MATCH(G325,Fortnightly_Model!$B$2:$B$15,0)),0),IFERROR(INDEX(Fortnightly_Model!$D$2:$D$15,MATCH(G326,Fortnightly_Model!$B$2:$B$15,0)),0),IFERROR(INDEX(Fortnightly_Model!$D$2:$D$15,MATCH(G327,Fortnightly_Model!$B$2:$B$15,0)),0),IFERROR(INDEX(Fortnightly_Model!$D$2:$D$15,MATCH(G328,Fortnightly_Model!$B$2:$B$15,0)),0)),0))))))</f>
        <v>0</v>
      </c>
      <c r="M324" s="27">
        <f>IF(VLOOKUP($A324,Calendar!$A$1:$R$1377,18,0)=0,0,IF(VLOOKUP($A324,Calendar!$A$1:$R$1377,18,0)=1,IFERROR(INDEX(FourWeekly_Model!$D$2:$D$29,MATCH(H324,FourWeekly_Model!$B$2:$B$29,0)),0),IF(VLOOKUP($A324,Calendar!$A$1:$R$1377,18,0)=2,SUM(IFERROR(INDEX(FourWeekly_Model!$D$2:$D$29,MATCH(H324,FourWeekly_Model!$B$2:$B$29,0)),0),IFERROR(INDEX(FourWeekly_Model!$D$2:$D$29,MATCH(H325,FourWeekly_Model!$B$2:$B$29,0)),0)),IF(VLOOKUP($A324,Calendar!$A$1:$R$1377,18,0)=3,SUM(IFERROR(INDEX(FourWeekly_Model!$D$2:$D$29,MATCH(H324,FourWeekly_Model!$B$2:$B$29,0)),0),IFERROR(INDEX(FourWeekly_Model!$D$2:$D$29,MATCH(H325,FourWeekly_Model!$B$2:$B$29,0)),0),IFERROR(INDEX(FourWeekly_Model!$D$2:$D$29,MATCH(H326,FourWeekly_Model!$B$2:$B$29,0)),0)),IF(VLOOKUP($A324,Calendar!$A$1:$R$1377,18,0)=4,SUM(IFERROR(INDEX(FourWeekly_Model!$D$2:$D$29,MATCH(H324,FourWeekly_Model!$B$2:$B$29,0)),0),IFERROR(INDEX(FourWeekly_Model!$D$2:$D$29,MATCH(H325,FourWeekly_Model!$B$2:$B$29,0)),0),IFERROR(INDEX(FourWeekly_Model!$D$2:$D$29,MATCH(H326,FourWeekly_Model!$B$2:$B$29,0)),0),IFERROR(INDEX(FourWeekly_Model!$D$2:$D$29,MATCH(H327,FourWeekly_Model!$B$2:$B$29,0)),0)),IF(VLOOKUP($A324,Calendar!$A$1:$R$1377,18,0)=5,SUM(IFERROR(INDEX(FourWeekly_Model!$D$2:$D$29,MATCH(H324,FourWeekly_Model!$B$2:$B$29,0)),0),IFERROR(INDEX(FourWeekly_Model!$D$2:$D$29,MATCH(H325,FourWeekly_Model!$B$2:$B$29,0)),0),IFERROR(INDEX(FourWeekly_Model!$D$2:$D$29,MATCH(H326,FourWeekly_Model!$B$2:$B$29,0)),0),IFERROR(INDEX(FourWeekly_Model!$D$2:$D$29,MATCH(H327,FourWeekly_Model!$B$2:$B$29,0)),0),IFERROR(INDEX(FourWeekly_Model!$D$2:$D$29,MATCH(H328,FourWeekly_Model!$B$2:$B$29,0)),0)),0))))))</f>
        <v>0</v>
      </c>
      <c r="N324" s="27">
        <f>SUM(I324:M324)</f>
        <v>0</v>
      </c>
      <c r="O324" s="28">
        <f>Population_Data!$B$8*N324</f>
        <v>0</v>
      </c>
      <c r="P324" s="27">
        <f>IF(VLOOKUP($A324,Calendar!$A$1:$R$1377,18,0)=0,0,IF(VLOOKUP($A324,Calendar!$A$1:$R$1377,18,0)=1,IFERROR(INDEX(Pension_Model!$D$2:$D$29,MATCH(H324,Pension_Model!$B$2:$B$29,0)),0),IF(VLOOKUP($A324,Calendar!$A$1:$R$1377,18,0)=2,SUM(IFERROR(INDEX(Pension_Model!$D$2:$D$29,MATCH(H324,Pension_Model!$B$2:$B$29,0)),0),IFERROR(INDEX(Pension_Model!$D$2:$D$29,MATCH(H325,Pension_Model!$B$2:$B$29,0)),0)),IF(VLOOKUP($A324,Calendar!$A$1:$R$1377,18,0)=3,SUM(IFERROR(INDEX(Pension_Model!$D$2:$D$29,MATCH(H324,Pension_Model!$B$2:$B$29,0)),0),IFERROR(INDEX(Pension_Model!$D$2:$D$29,MATCH(H325,Pension_Model!$B$2:$B$29,0)),0),IFERROR(INDEX(Pension_Model!$D$2:$D$29,MATCH(H326,Pension_Model!$B$2:$B$29,0)),0)),IF(VLOOKUP($A324,Calendar!$A$1:$R$1377,18,0)=4,SUM(IFERROR(INDEX(Pension_Model!$D$2:$D$29,MATCH(H324,Pension_Model!$B$2:$B$29,0)),0),IFERROR(INDEX(Pension_Model!$D$2:$D$29,MATCH(H325,Pension_Model!$B$2:$B$29,0)),0),IFERROR(INDEX(Pension_Model!$D$2:$D$29,MATCH(H326,Pension_Model!$B$2:$B$29,0)),0),IFERROR(INDEX(Pension_Model!$D$2:$D$29,MATCH(H327,Pension_Model!$B$2:$B$29,0)),0)),IF(VLOOKUP($A324,Calendar!$A$1:$R$1377,18,0)=5,SUM(IFERROR(INDEX(Pension_Model!$D$2:$D$29,MATCH(H324,Pension_Model!$B$2:$B$29,0)),0),IFERROR(INDEX(Pension_Model!$D$2:$D$29,MATCH(H325,Pension_Model!$B$2:$B$29,0)),0),IFERROR(INDEX(Pension_Model!$D$2:$D$29,MATCH(H326,Pension_Model!$B$2:$B$29,0)),0),IFERROR(INDEX(Pension_Model!$D$2:$D$29,MATCH(H327,Pension_Model!$B$2:$B$29,0)),0),IFERROR(INDEX(Pension_Model!$D$2:$D$29,MATCH(H328,Pension_Model!$B$2:$B$29,0)),0)),0))))))</f>
        <v>0</v>
      </c>
      <c r="Q324" s="28">
        <f>Population_Data!$B$15*P324</f>
        <v>0</v>
      </c>
      <c r="S324">
        <f t="shared" si="5"/>
        <v>0</v>
      </c>
      <c r="U324" s="33">
        <f>S324/Population_Data!$B$19</f>
        <v>0</v>
      </c>
    </row>
    <row r="325" spans="1:21">
      <c r="A325" s="25">
        <f>Calendar!A325</f>
        <v>46558</v>
      </c>
      <c r="B325" t="str">
        <f>Calendar!L325</f>
        <v>No</v>
      </c>
      <c r="C325" t="str">
        <f>Calendar!O325</f>
        <v>No</v>
      </c>
      <c r="D325" t="str">
        <f>Calendar!P325</f>
        <v>No</v>
      </c>
      <c r="E325" t="str">
        <f>Calendar!Q325</f>
        <v>No</v>
      </c>
      <c r="F325" t="str">
        <f>Calendar!I325</f>
        <v>Sunday</v>
      </c>
      <c r="G325">
        <f>Calendar!S325</f>
        <v>8</v>
      </c>
      <c r="H325">
        <f>Calendar!T325</f>
        <v>22</v>
      </c>
      <c r="I325" s="27">
        <f>IF(VLOOKUP(A325,Calendar!$A$1:$R$1377,18,0)=0,0,IF(VLOOKUP(A325,Calendar!$A$1:$R$1377,18,0)=1,INDEX(Monthly_Pay_Model!$A$9:$D$40,MATCH(TEXT(A325,"dd"),Monthly_Pay_Model!$C$9:$C$39,0),4),IF(VLOOKUP(A325,Calendar!$A$1:$R$1377,18,0)=2,SUM(INDEX(Monthly_Pay_Model!$A$9:$D$40,MATCH(TEXT(A325,"dd"),Monthly_Pay_Model!$C$9:$C$39,0),4),INDEX(Monthly_Pay_Model!$A$9:$D$40,MATCH(TEXT(A326,"dd"),Monthly_Pay_Model!$C$9:$C$39,0),4)),IF(VLOOKUP(A325,Calendar!$A$1:$R$1377,18,0)=3,SUM(INDEX(Monthly_Pay_Model!$A$9:$D$40,MATCH(TEXT(A325,"dd"),Monthly_Pay_Model!$C$9:$C$39,0),4),INDEX(Monthly_Pay_Model!$A$9:$D$40,MATCH(TEXT(A326,"dd"),Monthly_Pay_Model!$C$9:$C$39,0),4),INDEX(Monthly_Pay_Model!$A$9:$D$40,MATCH(TEXT(A327,"dd"),Monthly_Pay_Model!$C$9:$C$39,0),4)),IF(VLOOKUP(A325,Calendar!$A$1:$R$1377,18,0)=4,SUM(INDEX(Monthly_Pay_Model!$A$9:$D$40,MATCH(TEXT(A325,"dd"),Monthly_Pay_Model!$C$9:$C$39,0),4),INDEX(Monthly_Pay_Model!$A$9:$D$40,MATCH(TEXT(A326,"dd"),Monthly_Pay_Model!$C$9:$C$39,0),4),INDEX(Monthly_Pay_Model!$A$9:$D$40,MATCH(TEXT(A327,"dd"),Monthly_Pay_Model!$C$9:$C$39,0),4),INDEX(Monthly_Pay_Model!$A$9:$D$40,MATCH(TEXT(A328,"dd"),Monthly_Pay_Model!$C$9:$C$39,0),4)),IF(VLOOKUP(A325,Calendar!$A$1:$R$1377,18,0)=5,SUM(INDEX(Monthly_Pay_Model!$A$9:$D$40,MATCH(TEXT(A325,"dd"),Monthly_Pay_Model!$C$9:$C$39,0),4),INDEX(Monthly_Pay_Model!$A$9:$D$40,MATCH(TEXT(A326,"dd"),Monthly_Pay_Model!$C$9:$C$39,0),4),INDEX(Monthly_Pay_Model!$A$9:$D$40,MATCH(TEXT(A327,"dd"),Monthly_Pay_Model!$C$9:$C$39,0),4),INDEX(Monthly_Pay_Model!$A$9:$D$40,MATCH(TEXT(A328,"dd"),Monthly_Pay_Model!$C$9:$C$39,0),4),INDEX(Monthly_Pay_Model!$A$9:$D$40,MATCH(TEXT(A329,"dd"),Monthly_Pay_Model!$C$9:$C$39,0),4)),))))))</f>
        <v>0</v>
      </c>
      <c r="J325" s="33">
        <f>IF(C325="Yes",Monthly_Pay_Model!$D$2,0)
+IF(Calendar!N325="Yes",Monthly_Pay_Model!$D$3,0)
+IF(D325="Yes",Monthly_Pay_Model!$D$4,0)
+IF(E325="Yes",Monthly_Pay_Model!$D$5,0)</f>
        <v>0</v>
      </c>
      <c r="K325" s="27">
        <f>IF(VLOOKUP($A325,Calendar!$A$1:$R$1377,18,0)=0,0,IF(VLOOKUP($A325,Calendar!$A$1:$R$1377,18,0)=1,IFERROR(INDEX(Weekly_Model!$D$2:$D$9,MATCH(F325,Weekly_Model!$A$2:$A$9,0)),0),IF(VLOOKUP($A325,Calendar!$A$1:$R$1377,18,0)=2,SUM(IFERROR(INDEX(Weekly_Model!$D$2:$D$9,MATCH(F325,Weekly_Model!$A$2:$A$9,0)),0),IFERROR(INDEX(Weekly_Model!$D$2:$D$9,MATCH(F326,Weekly_Model!$A$2:$A$9,0)),0)),IF(VLOOKUP($A325,Calendar!$A$1:$R$1377,18,0)=3,SUM(IFERROR(INDEX(Weekly_Model!$D$2:$D$9,MATCH(F325,Weekly_Model!$A$2:$A$9,0)),0),IFERROR(INDEX(Weekly_Model!$D$2:$D$9,MATCH(F326,Weekly_Model!$A$2:$A$9,0)),0),IFERROR(INDEX(Weekly_Model!$D$2:$D$9,MATCH(F327,Weekly_Model!$A$2:$A$9,0)),0)),IF(VLOOKUP($A325,Calendar!$A$1:$R$1377,18,0)=4,SUM(IFERROR(INDEX(Weekly_Model!$D$2:$D$9,MATCH(F325,Weekly_Model!$A$2:$A$9,0)),0),IFERROR(INDEX(Weekly_Model!$D$2:$D$9,MATCH(F326,Weekly_Model!$A$2:$A$9,0)),0),IFERROR(INDEX(Weekly_Model!$D$2:$D$9,MATCH(F327,Weekly_Model!$A$2:$A$9,0)),0),IFERROR(INDEX(Weekly_Model!$D$2:$D$9,MATCH(F328,Weekly_Model!$A$2:$A$9,0)),0)),IF(VLOOKUP($A325,Calendar!$A$1:$R$1377,18,0)=5,SUM(IFERROR(INDEX(Weekly_Model!$D$2:$D$9,MATCH(F325,Weekly_Model!$A$2:$A$9,0)),0),IFERROR(INDEX(Weekly_Model!$D$2:$D$9,MATCH(F326,Weekly_Model!$A$2:$A$9,0)),0),IFERROR(INDEX(Weekly_Model!$D$2:$D$9,MATCH(F327,Weekly_Model!$A$2:$A$9,0)),0),IFERROR(INDEX(Weekly_Model!$D$2:$D$9,MATCH(F328,Weekly_Model!$A$2:$A$9,0)),0),IFERROR(INDEX(Weekly_Model!$D$2:$D$9,MATCH(F329,Weekly_Model!$A$2:$A$9,0)),0)),0))))))</f>
        <v>0</v>
      </c>
      <c r="L325" s="27">
        <f>IF(VLOOKUP($A325,Calendar!$A$1:$R$1377,18,0)=0,0,IF(VLOOKUP($A325,Calendar!$A$1:$R$1377,18,0)=1,IFERROR(INDEX(Fortnightly_Model!$D$2:$D$15,MATCH(G325,Fortnightly_Model!$B$2:$B$15,0)),0),IF(VLOOKUP($A325,Calendar!$A$1:$R$1377,18,0)=2,SUM(IFERROR(INDEX(Fortnightly_Model!$D$2:$D$15,MATCH(G325,Fortnightly_Model!$B$2:$B$15,0)),0),IFERROR(INDEX(Fortnightly_Model!$D$2:$D$15,MATCH(G326,Fortnightly_Model!$B$2:$B$15,0)),0)),IF(VLOOKUP($A325,Calendar!$A$1:$R$1377,18,0)=3,SUM(IFERROR(INDEX(Fortnightly_Model!$D$2:$D$15,MATCH(G325,Fortnightly_Model!$B$2:$B$15,0)),0),IFERROR(INDEX(Fortnightly_Model!$D$2:$D$15,MATCH(G326,Fortnightly_Model!$B$2:$B$15,0)),0),IFERROR(INDEX(Fortnightly_Model!$D$2:$D$15,MATCH(G327,Fortnightly_Model!$B$2:$B$15,0)),0)),IF(VLOOKUP($A325,Calendar!$A$1:$R$1377,18,0)=4,SUM(IFERROR(INDEX(Fortnightly_Model!$D$2:$D$15,MATCH(G325,Fortnightly_Model!$B$2:$B$15,0)),0),IFERROR(INDEX(Fortnightly_Model!$D$2:$D$15,MATCH(G326,Fortnightly_Model!$B$2:$B$15,0)),0),IFERROR(INDEX(Fortnightly_Model!$D$2:$D$15,MATCH(G327,Fortnightly_Model!$B$2:$B$15,0)),0),IFERROR(INDEX(Fortnightly_Model!$D$2:$D$15,MATCH(G328,Fortnightly_Model!$B$2:$B$15,0)),0)),IF(VLOOKUP($A325,Calendar!$A$1:$R$1377,18,0)=5,SUM(IFERROR(INDEX(Fortnightly_Model!$D$2:$D$15,MATCH(G325,Fortnightly_Model!$B$2:$B$15,0)),0),IFERROR(INDEX(Fortnightly_Model!$D$2:$D$15,MATCH(G326,Fortnightly_Model!$B$2:$B$15,0)),0),IFERROR(INDEX(Fortnightly_Model!$D$2:$D$15,MATCH(G327,Fortnightly_Model!$B$2:$B$15,0)),0),IFERROR(INDEX(Fortnightly_Model!$D$2:$D$15,MATCH(G328,Fortnightly_Model!$B$2:$B$15,0)),0),IFERROR(INDEX(Fortnightly_Model!$D$2:$D$15,MATCH(G329,Fortnightly_Model!$B$2:$B$15,0)),0)),0))))))</f>
        <v>0</v>
      </c>
      <c r="M325" s="27">
        <f>IF(VLOOKUP($A325,Calendar!$A$1:$R$1377,18,0)=0,0,IF(VLOOKUP($A325,Calendar!$A$1:$R$1377,18,0)=1,IFERROR(INDEX(FourWeekly_Model!$D$2:$D$29,MATCH(H325,FourWeekly_Model!$B$2:$B$29,0)),0),IF(VLOOKUP($A325,Calendar!$A$1:$R$1377,18,0)=2,SUM(IFERROR(INDEX(FourWeekly_Model!$D$2:$D$29,MATCH(H325,FourWeekly_Model!$B$2:$B$29,0)),0),IFERROR(INDEX(FourWeekly_Model!$D$2:$D$29,MATCH(H326,FourWeekly_Model!$B$2:$B$29,0)),0)),IF(VLOOKUP($A325,Calendar!$A$1:$R$1377,18,0)=3,SUM(IFERROR(INDEX(FourWeekly_Model!$D$2:$D$29,MATCH(H325,FourWeekly_Model!$B$2:$B$29,0)),0),IFERROR(INDEX(FourWeekly_Model!$D$2:$D$29,MATCH(H326,FourWeekly_Model!$B$2:$B$29,0)),0),IFERROR(INDEX(FourWeekly_Model!$D$2:$D$29,MATCH(H327,FourWeekly_Model!$B$2:$B$29,0)),0)),IF(VLOOKUP($A325,Calendar!$A$1:$R$1377,18,0)=4,SUM(IFERROR(INDEX(FourWeekly_Model!$D$2:$D$29,MATCH(H325,FourWeekly_Model!$B$2:$B$29,0)),0),IFERROR(INDEX(FourWeekly_Model!$D$2:$D$29,MATCH(H326,FourWeekly_Model!$B$2:$B$29,0)),0),IFERROR(INDEX(FourWeekly_Model!$D$2:$D$29,MATCH(H327,FourWeekly_Model!$B$2:$B$29,0)),0),IFERROR(INDEX(FourWeekly_Model!$D$2:$D$29,MATCH(H328,FourWeekly_Model!$B$2:$B$29,0)),0)),IF(VLOOKUP($A325,Calendar!$A$1:$R$1377,18,0)=5,SUM(IFERROR(INDEX(FourWeekly_Model!$D$2:$D$29,MATCH(H325,FourWeekly_Model!$B$2:$B$29,0)),0),IFERROR(INDEX(FourWeekly_Model!$D$2:$D$29,MATCH(H326,FourWeekly_Model!$B$2:$B$29,0)),0),IFERROR(INDEX(FourWeekly_Model!$D$2:$D$29,MATCH(H327,FourWeekly_Model!$B$2:$B$29,0)),0),IFERROR(INDEX(FourWeekly_Model!$D$2:$D$29,MATCH(H328,FourWeekly_Model!$B$2:$B$29,0)),0),IFERROR(INDEX(FourWeekly_Model!$D$2:$D$29,MATCH(H329,FourWeekly_Model!$B$2:$B$29,0)),0)),0))))))</f>
        <v>0</v>
      </c>
      <c r="N325" s="27">
        <f>SUM(I325:M325)</f>
        <v>0</v>
      </c>
      <c r="O325" s="28">
        <f>Population_Data!$B$8*N325</f>
        <v>0</v>
      </c>
      <c r="P325" s="27">
        <f>IF(VLOOKUP($A325,Calendar!$A$1:$R$1377,18,0)=0,0,IF(VLOOKUP($A325,Calendar!$A$1:$R$1377,18,0)=1,IFERROR(INDEX(Pension_Model!$D$2:$D$29,MATCH(H325,Pension_Model!$B$2:$B$29,0)),0),IF(VLOOKUP($A325,Calendar!$A$1:$R$1377,18,0)=2,SUM(IFERROR(INDEX(Pension_Model!$D$2:$D$29,MATCH(H325,Pension_Model!$B$2:$B$29,0)),0),IFERROR(INDEX(Pension_Model!$D$2:$D$29,MATCH(H326,Pension_Model!$B$2:$B$29,0)),0)),IF(VLOOKUP($A325,Calendar!$A$1:$R$1377,18,0)=3,SUM(IFERROR(INDEX(Pension_Model!$D$2:$D$29,MATCH(H325,Pension_Model!$B$2:$B$29,0)),0),IFERROR(INDEX(Pension_Model!$D$2:$D$29,MATCH(H326,Pension_Model!$B$2:$B$29,0)),0),IFERROR(INDEX(Pension_Model!$D$2:$D$29,MATCH(H327,Pension_Model!$B$2:$B$29,0)),0)),IF(VLOOKUP($A325,Calendar!$A$1:$R$1377,18,0)=4,SUM(IFERROR(INDEX(Pension_Model!$D$2:$D$29,MATCH(H325,Pension_Model!$B$2:$B$29,0)),0),IFERROR(INDEX(Pension_Model!$D$2:$D$29,MATCH(H326,Pension_Model!$B$2:$B$29,0)),0),IFERROR(INDEX(Pension_Model!$D$2:$D$29,MATCH(H327,Pension_Model!$B$2:$B$29,0)),0),IFERROR(INDEX(Pension_Model!$D$2:$D$29,MATCH(H328,Pension_Model!$B$2:$B$29,0)),0)),IF(VLOOKUP($A325,Calendar!$A$1:$R$1377,18,0)=5,SUM(IFERROR(INDEX(Pension_Model!$D$2:$D$29,MATCH(H325,Pension_Model!$B$2:$B$29,0)),0),IFERROR(INDEX(Pension_Model!$D$2:$D$29,MATCH(H326,Pension_Model!$B$2:$B$29,0)),0),IFERROR(INDEX(Pension_Model!$D$2:$D$29,MATCH(H327,Pension_Model!$B$2:$B$29,0)),0),IFERROR(INDEX(Pension_Model!$D$2:$D$29,MATCH(H328,Pension_Model!$B$2:$B$29,0)),0),IFERROR(INDEX(Pension_Model!$D$2:$D$29,MATCH(H329,Pension_Model!$B$2:$B$29,0)),0)),0))))))</f>
        <v>0</v>
      </c>
      <c r="Q325" s="28">
        <f>Population_Data!$B$15*P325</f>
        <v>0</v>
      </c>
      <c r="S325">
        <f t="shared" si="5"/>
        <v>0</v>
      </c>
      <c r="U325" s="33">
        <f>S325/Population_Data!$B$19</f>
        <v>0</v>
      </c>
    </row>
    <row r="326" spans="1:21">
      <c r="A326" s="25">
        <f>Calendar!A326</f>
        <v>46559</v>
      </c>
      <c r="B326" t="str">
        <f>Calendar!L326</f>
        <v>Yes</v>
      </c>
      <c r="C326" t="str">
        <f>Calendar!O326</f>
        <v>No</v>
      </c>
      <c r="D326" t="str">
        <f>Calendar!P326</f>
        <v>No</v>
      </c>
      <c r="E326" t="str">
        <f>Calendar!Q326</f>
        <v>No</v>
      </c>
      <c r="F326" t="str">
        <f>Calendar!I326</f>
        <v>Monday</v>
      </c>
      <c r="G326">
        <f>Calendar!S326</f>
        <v>9</v>
      </c>
      <c r="H326">
        <f>Calendar!T326</f>
        <v>23</v>
      </c>
      <c r="I326" s="27">
        <f>IF(VLOOKUP(A326,Calendar!$A$1:$R$1377,18,0)=0,0,IF(VLOOKUP(A326,Calendar!$A$1:$R$1377,18,0)=1,INDEX(Monthly_Pay_Model!$A$9:$D$40,MATCH(TEXT(A326,"dd"),Monthly_Pay_Model!$C$9:$C$39,0),4),IF(VLOOKUP(A326,Calendar!$A$1:$R$1377,18,0)=2,SUM(INDEX(Monthly_Pay_Model!$A$9:$D$40,MATCH(TEXT(A326,"dd"),Monthly_Pay_Model!$C$9:$C$39,0),4),INDEX(Monthly_Pay_Model!$A$9:$D$40,MATCH(TEXT(A327,"dd"),Monthly_Pay_Model!$C$9:$C$39,0),4)),IF(VLOOKUP(A326,Calendar!$A$1:$R$1377,18,0)=3,SUM(INDEX(Monthly_Pay_Model!$A$9:$D$40,MATCH(TEXT(A326,"dd"),Monthly_Pay_Model!$C$9:$C$39,0),4),INDEX(Monthly_Pay_Model!$A$9:$D$40,MATCH(TEXT(A327,"dd"),Monthly_Pay_Model!$C$9:$C$39,0),4),INDEX(Monthly_Pay_Model!$A$9:$D$40,MATCH(TEXT(A328,"dd"),Monthly_Pay_Model!$C$9:$C$39,0),4)),IF(VLOOKUP(A326,Calendar!$A$1:$R$1377,18,0)=4,SUM(INDEX(Monthly_Pay_Model!$A$9:$D$40,MATCH(TEXT(A326,"dd"),Monthly_Pay_Model!$C$9:$C$39,0),4),INDEX(Monthly_Pay_Model!$A$9:$D$40,MATCH(TEXT(A327,"dd"),Monthly_Pay_Model!$C$9:$C$39,0),4),INDEX(Monthly_Pay_Model!$A$9:$D$40,MATCH(TEXT(A328,"dd"),Monthly_Pay_Model!$C$9:$C$39,0),4),INDEX(Monthly_Pay_Model!$A$9:$D$40,MATCH(TEXT(A329,"dd"),Monthly_Pay_Model!$C$9:$C$39,0),4)),IF(VLOOKUP(A326,Calendar!$A$1:$R$1377,18,0)=5,SUM(INDEX(Monthly_Pay_Model!$A$9:$D$40,MATCH(TEXT(A326,"dd"),Monthly_Pay_Model!$C$9:$C$39,0),4),INDEX(Monthly_Pay_Model!$A$9:$D$40,MATCH(TEXT(A327,"dd"),Monthly_Pay_Model!$C$9:$C$39,0),4),INDEX(Monthly_Pay_Model!$A$9:$D$40,MATCH(TEXT(A328,"dd"),Monthly_Pay_Model!$C$9:$C$39,0),4),INDEX(Monthly_Pay_Model!$A$9:$D$40,MATCH(TEXT(A329,"dd"),Monthly_Pay_Model!$C$9:$C$39,0),4),INDEX(Monthly_Pay_Model!$A$9:$D$40,MATCH(TEXT(A330,"dd"),Monthly_Pay_Model!$C$9:$C$39,0),4)),))))))</f>
        <v>4.8753926701570662E-3</v>
      </c>
      <c r="J326" s="33">
        <f>IF(C326="Yes",Monthly_Pay_Model!$D$2,0)
+IF(Calendar!N326="Yes",Monthly_Pay_Model!$D$3,0)
+IF(D326="Yes",Monthly_Pay_Model!$D$4,0)
+IF(E326="Yes",Monthly_Pay_Model!$D$5,0)</f>
        <v>0</v>
      </c>
      <c r="K326" s="27">
        <f>IF(VLOOKUP($A326,Calendar!$A$1:$R$1377,18,0)=0,0,IF(VLOOKUP($A326,Calendar!$A$1:$R$1377,18,0)=1,IFERROR(INDEX(Weekly_Model!$D$2:$D$9,MATCH(F326,Weekly_Model!$A$2:$A$9,0)),0),IF(VLOOKUP($A326,Calendar!$A$1:$R$1377,18,0)=2,SUM(IFERROR(INDEX(Weekly_Model!$D$2:$D$9,MATCH(F326,Weekly_Model!$A$2:$A$9,0)),0),IFERROR(INDEX(Weekly_Model!$D$2:$D$9,MATCH(F327,Weekly_Model!$A$2:$A$9,0)),0)),IF(VLOOKUP($A326,Calendar!$A$1:$R$1377,18,0)=3,SUM(IFERROR(INDEX(Weekly_Model!$D$2:$D$9,MATCH(F326,Weekly_Model!$A$2:$A$9,0)),0),IFERROR(INDEX(Weekly_Model!$D$2:$D$9,MATCH(F327,Weekly_Model!$A$2:$A$9,0)),0),IFERROR(INDEX(Weekly_Model!$D$2:$D$9,MATCH(F328,Weekly_Model!$A$2:$A$9,0)),0)),IF(VLOOKUP($A326,Calendar!$A$1:$R$1377,18,0)=4,SUM(IFERROR(INDEX(Weekly_Model!$D$2:$D$9,MATCH(F326,Weekly_Model!$A$2:$A$9,0)),0),IFERROR(INDEX(Weekly_Model!$D$2:$D$9,MATCH(F327,Weekly_Model!$A$2:$A$9,0)),0),IFERROR(INDEX(Weekly_Model!$D$2:$D$9,MATCH(F328,Weekly_Model!$A$2:$A$9,0)),0),IFERROR(INDEX(Weekly_Model!$D$2:$D$9,MATCH(F329,Weekly_Model!$A$2:$A$9,0)),0)),IF(VLOOKUP($A326,Calendar!$A$1:$R$1377,18,0)=5,SUM(IFERROR(INDEX(Weekly_Model!$D$2:$D$9,MATCH(F326,Weekly_Model!$A$2:$A$9,0)),0),IFERROR(INDEX(Weekly_Model!$D$2:$D$9,MATCH(F327,Weekly_Model!$A$2:$A$9,0)),0),IFERROR(INDEX(Weekly_Model!$D$2:$D$9,MATCH(F328,Weekly_Model!$A$2:$A$9,0)),0),IFERROR(INDEX(Weekly_Model!$D$2:$D$9,MATCH(F329,Weekly_Model!$A$2:$A$9,0)),0),IFERROR(INDEX(Weekly_Model!$D$2:$D$9,MATCH(F330,Weekly_Model!$A$2:$A$9,0)),0)),0))))))</f>
        <v>2.3200000000000002E-2</v>
      </c>
      <c r="L326" s="27">
        <f>IF(VLOOKUP($A326,Calendar!$A$1:$R$1377,18,0)=0,0,IF(VLOOKUP($A326,Calendar!$A$1:$R$1377,18,0)=1,IFERROR(INDEX(Fortnightly_Model!$D$2:$D$15,MATCH(G326,Fortnightly_Model!$B$2:$B$15,0)),0),IF(VLOOKUP($A326,Calendar!$A$1:$R$1377,18,0)=2,SUM(IFERROR(INDEX(Fortnightly_Model!$D$2:$D$15,MATCH(G326,Fortnightly_Model!$B$2:$B$15,0)),0),IFERROR(INDEX(Fortnightly_Model!$D$2:$D$15,MATCH(G327,Fortnightly_Model!$B$2:$B$15,0)),0)),IF(VLOOKUP($A326,Calendar!$A$1:$R$1377,18,0)=3,SUM(IFERROR(INDEX(Fortnightly_Model!$D$2:$D$15,MATCH(G326,Fortnightly_Model!$B$2:$B$15,0)),0),IFERROR(INDEX(Fortnightly_Model!$D$2:$D$15,MATCH(G327,Fortnightly_Model!$B$2:$B$15,0)),0),IFERROR(INDEX(Fortnightly_Model!$D$2:$D$15,MATCH(G328,Fortnightly_Model!$B$2:$B$15,0)),0)),IF(VLOOKUP($A326,Calendar!$A$1:$R$1377,18,0)=4,SUM(IFERROR(INDEX(Fortnightly_Model!$D$2:$D$15,MATCH(G326,Fortnightly_Model!$B$2:$B$15,0)),0),IFERROR(INDEX(Fortnightly_Model!$D$2:$D$15,MATCH(G327,Fortnightly_Model!$B$2:$B$15,0)),0),IFERROR(INDEX(Fortnightly_Model!$D$2:$D$15,MATCH(G328,Fortnightly_Model!$B$2:$B$15,0)),0),IFERROR(INDEX(Fortnightly_Model!$D$2:$D$15,MATCH(G329,Fortnightly_Model!$B$2:$B$15,0)),0)),IF(VLOOKUP($A326,Calendar!$A$1:$R$1377,18,0)=5,SUM(IFERROR(INDEX(Fortnightly_Model!$D$2:$D$15,MATCH(G326,Fortnightly_Model!$B$2:$B$15,0)),0),IFERROR(INDEX(Fortnightly_Model!$D$2:$D$15,MATCH(G327,Fortnightly_Model!$B$2:$B$15,0)),0),IFERROR(INDEX(Fortnightly_Model!$D$2:$D$15,MATCH(G328,Fortnightly_Model!$B$2:$B$15,0)),0),IFERROR(INDEX(Fortnightly_Model!$D$2:$D$15,MATCH(G329,Fortnightly_Model!$B$2:$B$15,0)),0),IFERROR(INDEX(Fortnightly_Model!$D$2:$D$15,MATCH(G330,Fortnightly_Model!$B$2:$B$15,0)),0)),0))))))</f>
        <v>1.0714285499999999E-3</v>
      </c>
      <c r="M326" s="27">
        <f>IF(VLOOKUP($A326,Calendar!$A$1:$R$1377,18,0)=0,0,IF(VLOOKUP($A326,Calendar!$A$1:$R$1377,18,0)=1,IFERROR(INDEX(FourWeekly_Model!$D$2:$D$29,MATCH(H326,FourWeekly_Model!$B$2:$B$29,0)),0),IF(VLOOKUP($A326,Calendar!$A$1:$R$1377,18,0)=2,SUM(IFERROR(INDEX(FourWeekly_Model!$D$2:$D$29,MATCH(H326,FourWeekly_Model!$B$2:$B$29,0)),0),IFERROR(INDEX(FourWeekly_Model!$D$2:$D$29,MATCH(H327,FourWeekly_Model!$B$2:$B$29,0)),0)),IF(VLOOKUP($A326,Calendar!$A$1:$R$1377,18,0)=3,SUM(IFERROR(INDEX(FourWeekly_Model!$D$2:$D$29,MATCH(H326,FourWeekly_Model!$B$2:$B$29,0)),0),IFERROR(INDEX(FourWeekly_Model!$D$2:$D$29,MATCH(H327,FourWeekly_Model!$B$2:$B$29,0)),0),IFERROR(INDEX(FourWeekly_Model!$D$2:$D$29,MATCH(H328,FourWeekly_Model!$B$2:$B$29,0)),0)),IF(VLOOKUP($A326,Calendar!$A$1:$R$1377,18,0)=4,SUM(IFERROR(INDEX(FourWeekly_Model!$D$2:$D$29,MATCH(H326,FourWeekly_Model!$B$2:$B$29,0)),0),IFERROR(INDEX(FourWeekly_Model!$D$2:$D$29,MATCH(H327,FourWeekly_Model!$B$2:$B$29,0)),0),IFERROR(INDEX(FourWeekly_Model!$D$2:$D$29,MATCH(H328,FourWeekly_Model!$B$2:$B$29,0)),0),IFERROR(INDEX(FourWeekly_Model!$D$2:$D$29,MATCH(H329,FourWeekly_Model!$B$2:$B$29,0)),0)),IF(VLOOKUP($A326,Calendar!$A$1:$R$1377,18,0)=5,SUM(IFERROR(INDEX(FourWeekly_Model!$D$2:$D$29,MATCH(H326,FourWeekly_Model!$B$2:$B$29,0)),0),IFERROR(INDEX(FourWeekly_Model!$D$2:$D$29,MATCH(H327,FourWeekly_Model!$B$2:$B$29,0)),0),IFERROR(INDEX(FourWeekly_Model!$D$2:$D$29,MATCH(H328,FourWeekly_Model!$B$2:$B$29,0)),0),IFERROR(INDEX(FourWeekly_Model!$D$2:$D$29,MATCH(H329,FourWeekly_Model!$B$2:$B$29,0)),0),IFERROR(INDEX(FourWeekly_Model!$D$2:$D$29,MATCH(H330,FourWeekly_Model!$B$2:$B$29,0)),0)),0))))))</f>
        <v>3.3214289700000004E-3</v>
      </c>
      <c r="N326" s="27">
        <f>SUM(I326:M326)</f>
        <v>3.2468250190157068E-2</v>
      </c>
      <c r="O326" s="28">
        <f>Population_Data!$B$8*N326</f>
        <v>983787.9807617591</v>
      </c>
      <c r="P326" s="27">
        <f>IF(VLOOKUP($A326,Calendar!$A$1:$R$1377,18,0)=0,0,IF(VLOOKUP($A326,Calendar!$A$1:$R$1377,18,0)=1,IFERROR(INDEX(Pension_Model!$D$2:$D$29,MATCH(H326,Pension_Model!$B$2:$B$29,0)),0),IF(VLOOKUP($A326,Calendar!$A$1:$R$1377,18,0)=2,SUM(IFERROR(INDEX(Pension_Model!$D$2:$D$29,MATCH(H326,Pension_Model!$B$2:$B$29,0)),0),IFERROR(INDEX(Pension_Model!$D$2:$D$29,MATCH(H327,Pension_Model!$B$2:$B$29,0)),0)),IF(VLOOKUP($A326,Calendar!$A$1:$R$1377,18,0)=3,SUM(IFERROR(INDEX(Pension_Model!$D$2:$D$29,MATCH(H326,Pension_Model!$B$2:$B$29,0)),0),IFERROR(INDEX(Pension_Model!$D$2:$D$29,MATCH(H327,Pension_Model!$B$2:$B$29,0)),0),IFERROR(INDEX(Pension_Model!$D$2:$D$29,MATCH(H328,Pension_Model!$B$2:$B$29,0)),0)),IF(VLOOKUP($A326,Calendar!$A$1:$R$1377,18,0)=4,SUM(IFERROR(INDEX(Pension_Model!$D$2:$D$29,MATCH(H326,Pension_Model!$B$2:$B$29,0)),0),IFERROR(INDEX(Pension_Model!$D$2:$D$29,MATCH(H327,Pension_Model!$B$2:$B$29,0)),0),IFERROR(INDEX(Pension_Model!$D$2:$D$29,MATCH(H328,Pension_Model!$B$2:$B$29,0)),0),IFERROR(INDEX(Pension_Model!$D$2:$D$29,MATCH(H329,Pension_Model!$B$2:$B$29,0)),0)),IF(VLOOKUP($A326,Calendar!$A$1:$R$1377,18,0)=5,SUM(IFERROR(INDEX(Pension_Model!$D$2:$D$29,MATCH(H326,Pension_Model!$B$2:$B$29,0)),0),IFERROR(INDEX(Pension_Model!$D$2:$D$29,MATCH(H327,Pension_Model!$B$2:$B$29,0)),0),IFERROR(INDEX(Pension_Model!$D$2:$D$29,MATCH(H328,Pension_Model!$B$2:$B$29,0)),0),IFERROR(INDEX(Pension_Model!$D$2:$D$29,MATCH(H329,Pension_Model!$B$2:$B$29,0)),0),IFERROR(INDEX(Pension_Model!$D$2:$D$29,MATCH(H330,Pension_Model!$B$2:$B$29,0)),0)),0))))))</f>
        <v>0.05</v>
      </c>
      <c r="Q326" s="28">
        <f>Population_Data!$B$15*P326</f>
        <v>660600</v>
      </c>
      <c r="S326">
        <f t="shared" si="5"/>
        <v>1644387.980761759</v>
      </c>
      <c r="U326" s="33">
        <f>S326/Population_Data!$B$19</f>
        <v>2.9789637332640562E-2</v>
      </c>
    </row>
    <row r="327" spans="1:21">
      <c r="A327" s="25">
        <f>Calendar!A327</f>
        <v>46560</v>
      </c>
      <c r="B327" t="str">
        <f>Calendar!L327</f>
        <v>Yes</v>
      </c>
      <c r="C327" t="str">
        <f>Calendar!O327</f>
        <v>No</v>
      </c>
      <c r="D327" t="str">
        <f>Calendar!P327</f>
        <v>No</v>
      </c>
      <c r="E327" t="str">
        <f>Calendar!Q327</f>
        <v>No</v>
      </c>
      <c r="F327" t="str">
        <f>Calendar!I327</f>
        <v>Tuesday</v>
      </c>
      <c r="G327">
        <f>Calendar!S327</f>
        <v>10</v>
      </c>
      <c r="H327">
        <f>Calendar!T327</f>
        <v>24</v>
      </c>
      <c r="I327" s="27">
        <f>IF(VLOOKUP(A327,Calendar!$A$1:$R$1377,18,0)=0,0,IF(VLOOKUP(A327,Calendar!$A$1:$R$1377,18,0)=1,INDEX(Monthly_Pay_Model!$A$9:$D$40,MATCH(TEXT(A327,"dd"),Monthly_Pay_Model!$C$9:$C$39,0),4),IF(VLOOKUP(A327,Calendar!$A$1:$R$1377,18,0)=2,SUM(INDEX(Monthly_Pay_Model!$A$9:$D$40,MATCH(TEXT(A327,"dd"),Monthly_Pay_Model!$C$9:$C$39,0),4),INDEX(Monthly_Pay_Model!$A$9:$D$40,MATCH(TEXT(A328,"dd"),Monthly_Pay_Model!$C$9:$C$39,0),4)),IF(VLOOKUP(A327,Calendar!$A$1:$R$1377,18,0)=3,SUM(INDEX(Monthly_Pay_Model!$A$9:$D$40,MATCH(TEXT(A327,"dd"),Monthly_Pay_Model!$C$9:$C$39,0),4),INDEX(Monthly_Pay_Model!$A$9:$D$40,MATCH(TEXT(A328,"dd"),Monthly_Pay_Model!$C$9:$C$39,0),4),INDEX(Monthly_Pay_Model!$A$9:$D$40,MATCH(TEXT(A329,"dd"),Monthly_Pay_Model!$C$9:$C$39,0),4)),IF(VLOOKUP(A327,Calendar!$A$1:$R$1377,18,0)=4,SUM(INDEX(Monthly_Pay_Model!$A$9:$D$40,MATCH(TEXT(A327,"dd"),Monthly_Pay_Model!$C$9:$C$39,0),4),INDEX(Monthly_Pay_Model!$A$9:$D$40,MATCH(TEXT(A328,"dd"),Monthly_Pay_Model!$C$9:$C$39,0),4),INDEX(Monthly_Pay_Model!$A$9:$D$40,MATCH(TEXT(A329,"dd"),Monthly_Pay_Model!$C$9:$C$39,0),4),INDEX(Monthly_Pay_Model!$A$9:$D$40,MATCH(TEXT(A330,"dd"),Monthly_Pay_Model!$C$9:$C$39,0),4)),IF(VLOOKUP(A327,Calendar!$A$1:$R$1377,18,0)=5,SUM(INDEX(Monthly_Pay_Model!$A$9:$D$40,MATCH(TEXT(A327,"dd"),Monthly_Pay_Model!$C$9:$C$39,0),4),INDEX(Monthly_Pay_Model!$A$9:$D$40,MATCH(TEXT(A328,"dd"),Monthly_Pay_Model!$C$9:$C$39,0),4),INDEX(Monthly_Pay_Model!$A$9:$D$40,MATCH(TEXT(A329,"dd"),Monthly_Pay_Model!$C$9:$C$39,0),4),INDEX(Monthly_Pay_Model!$A$9:$D$40,MATCH(TEXT(A330,"dd"),Monthly_Pay_Model!$C$9:$C$39,0),4),INDEX(Monthly_Pay_Model!$A$9:$D$40,MATCH(TEXT(A331,"dd"),Monthly_Pay_Model!$C$9:$C$39,0),4)),))))))</f>
        <v>3.2502617801047117E-3</v>
      </c>
      <c r="J327" s="33">
        <f>IF(C327="Yes",Monthly_Pay_Model!$D$2,0)
+IF(Calendar!N327="Yes",Monthly_Pay_Model!$D$3,0)
+IF(D327="Yes",Monthly_Pay_Model!$D$4,0)
+IF(E327="Yes",Monthly_Pay_Model!$D$5,0)</f>
        <v>0</v>
      </c>
      <c r="K327" s="27">
        <f>IF(VLOOKUP($A327,Calendar!$A$1:$R$1377,18,0)=0,0,IF(VLOOKUP($A327,Calendar!$A$1:$R$1377,18,0)=1,IFERROR(INDEX(Weekly_Model!$D$2:$D$9,MATCH(F327,Weekly_Model!$A$2:$A$9,0)),0),IF(VLOOKUP($A327,Calendar!$A$1:$R$1377,18,0)=2,SUM(IFERROR(INDEX(Weekly_Model!$D$2:$D$9,MATCH(F327,Weekly_Model!$A$2:$A$9,0)),0),IFERROR(INDEX(Weekly_Model!$D$2:$D$9,MATCH(F328,Weekly_Model!$A$2:$A$9,0)),0)),IF(VLOOKUP($A327,Calendar!$A$1:$R$1377,18,0)=3,SUM(IFERROR(INDEX(Weekly_Model!$D$2:$D$9,MATCH(F327,Weekly_Model!$A$2:$A$9,0)),0),IFERROR(INDEX(Weekly_Model!$D$2:$D$9,MATCH(F328,Weekly_Model!$A$2:$A$9,0)),0),IFERROR(INDEX(Weekly_Model!$D$2:$D$9,MATCH(F329,Weekly_Model!$A$2:$A$9,0)),0)),IF(VLOOKUP($A327,Calendar!$A$1:$R$1377,18,0)=4,SUM(IFERROR(INDEX(Weekly_Model!$D$2:$D$9,MATCH(F327,Weekly_Model!$A$2:$A$9,0)),0),IFERROR(INDEX(Weekly_Model!$D$2:$D$9,MATCH(F328,Weekly_Model!$A$2:$A$9,0)),0),IFERROR(INDEX(Weekly_Model!$D$2:$D$9,MATCH(F329,Weekly_Model!$A$2:$A$9,0)),0),IFERROR(INDEX(Weekly_Model!$D$2:$D$9,MATCH(F330,Weekly_Model!$A$2:$A$9,0)),0)),IF(VLOOKUP($A327,Calendar!$A$1:$R$1377,18,0)=5,SUM(IFERROR(INDEX(Weekly_Model!$D$2:$D$9,MATCH(F327,Weekly_Model!$A$2:$A$9,0)),0),IFERROR(INDEX(Weekly_Model!$D$2:$D$9,MATCH(F328,Weekly_Model!$A$2:$A$9,0)),0),IFERROR(INDEX(Weekly_Model!$D$2:$D$9,MATCH(F329,Weekly_Model!$A$2:$A$9,0)),0),IFERROR(INDEX(Weekly_Model!$D$2:$D$9,MATCH(F330,Weekly_Model!$A$2:$A$9,0)),0),IFERROR(INDEX(Weekly_Model!$D$2:$D$9,MATCH(F331,Weekly_Model!$A$2:$A$9,0)),0)),0))))))</f>
        <v>2.3200000000000002E-2</v>
      </c>
      <c r="L327" s="27">
        <f>IF(VLOOKUP($A327,Calendar!$A$1:$R$1377,18,0)=0,0,IF(VLOOKUP($A327,Calendar!$A$1:$R$1377,18,0)=1,IFERROR(INDEX(Fortnightly_Model!$D$2:$D$15,MATCH(G327,Fortnightly_Model!$B$2:$B$15,0)),0),IF(VLOOKUP($A327,Calendar!$A$1:$R$1377,18,0)=2,SUM(IFERROR(INDEX(Fortnightly_Model!$D$2:$D$15,MATCH(G327,Fortnightly_Model!$B$2:$B$15,0)),0),IFERROR(INDEX(Fortnightly_Model!$D$2:$D$15,MATCH(G328,Fortnightly_Model!$B$2:$B$15,0)),0)),IF(VLOOKUP($A327,Calendar!$A$1:$R$1377,18,0)=3,SUM(IFERROR(INDEX(Fortnightly_Model!$D$2:$D$15,MATCH(G327,Fortnightly_Model!$B$2:$B$15,0)),0),IFERROR(INDEX(Fortnightly_Model!$D$2:$D$15,MATCH(G328,Fortnightly_Model!$B$2:$B$15,0)),0),IFERROR(INDEX(Fortnightly_Model!$D$2:$D$15,MATCH(G329,Fortnightly_Model!$B$2:$B$15,0)),0)),IF(VLOOKUP($A327,Calendar!$A$1:$R$1377,18,0)=4,SUM(IFERROR(INDEX(Fortnightly_Model!$D$2:$D$15,MATCH(G327,Fortnightly_Model!$B$2:$B$15,0)),0),IFERROR(INDEX(Fortnightly_Model!$D$2:$D$15,MATCH(G328,Fortnightly_Model!$B$2:$B$15,0)),0),IFERROR(INDEX(Fortnightly_Model!$D$2:$D$15,MATCH(G329,Fortnightly_Model!$B$2:$B$15,0)),0),IFERROR(INDEX(Fortnightly_Model!$D$2:$D$15,MATCH(G330,Fortnightly_Model!$B$2:$B$15,0)),0)),IF(VLOOKUP($A327,Calendar!$A$1:$R$1377,18,0)=5,SUM(IFERROR(INDEX(Fortnightly_Model!$D$2:$D$15,MATCH(G327,Fortnightly_Model!$B$2:$B$15,0)),0),IFERROR(INDEX(Fortnightly_Model!$D$2:$D$15,MATCH(G328,Fortnightly_Model!$B$2:$B$15,0)),0),IFERROR(INDEX(Fortnightly_Model!$D$2:$D$15,MATCH(G329,Fortnightly_Model!$B$2:$B$15,0)),0),IFERROR(INDEX(Fortnightly_Model!$D$2:$D$15,MATCH(G330,Fortnightly_Model!$B$2:$B$15,0)),0),IFERROR(INDEX(Fortnightly_Model!$D$2:$D$15,MATCH(G331,Fortnightly_Model!$B$2:$B$15,0)),0)),0))))))</f>
        <v>1.0714285499999999E-3</v>
      </c>
      <c r="M327" s="27">
        <f>IF(VLOOKUP($A327,Calendar!$A$1:$R$1377,18,0)=0,0,IF(VLOOKUP($A327,Calendar!$A$1:$R$1377,18,0)=1,IFERROR(INDEX(FourWeekly_Model!$D$2:$D$29,MATCH(H327,FourWeekly_Model!$B$2:$B$29,0)),0),IF(VLOOKUP($A327,Calendar!$A$1:$R$1377,18,0)=2,SUM(IFERROR(INDEX(FourWeekly_Model!$D$2:$D$29,MATCH(H327,FourWeekly_Model!$B$2:$B$29,0)),0),IFERROR(INDEX(FourWeekly_Model!$D$2:$D$29,MATCH(H328,FourWeekly_Model!$B$2:$B$29,0)),0)),IF(VLOOKUP($A327,Calendar!$A$1:$R$1377,18,0)=3,SUM(IFERROR(INDEX(FourWeekly_Model!$D$2:$D$29,MATCH(H327,FourWeekly_Model!$B$2:$B$29,0)),0),IFERROR(INDEX(FourWeekly_Model!$D$2:$D$29,MATCH(H328,FourWeekly_Model!$B$2:$B$29,0)),0),IFERROR(INDEX(FourWeekly_Model!$D$2:$D$29,MATCH(H329,FourWeekly_Model!$B$2:$B$29,0)),0)),IF(VLOOKUP($A327,Calendar!$A$1:$R$1377,18,0)=4,SUM(IFERROR(INDEX(FourWeekly_Model!$D$2:$D$29,MATCH(H327,FourWeekly_Model!$B$2:$B$29,0)),0),IFERROR(INDEX(FourWeekly_Model!$D$2:$D$29,MATCH(H328,FourWeekly_Model!$B$2:$B$29,0)),0),IFERROR(INDEX(FourWeekly_Model!$D$2:$D$29,MATCH(H329,FourWeekly_Model!$B$2:$B$29,0)),0),IFERROR(INDEX(FourWeekly_Model!$D$2:$D$29,MATCH(H330,FourWeekly_Model!$B$2:$B$29,0)),0)),IF(VLOOKUP($A327,Calendar!$A$1:$R$1377,18,0)=5,SUM(IFERROR(INDEX(FourWeekly_Model!$D$2:$D$29,MATCH(H327,FourWeekly_Model!$B$2:$B$29,0)),0),IFERROR(INDEX(FourWeekly_Model!$D$2:$D$29,MATCH(H328,FourWeekly_Model!$B$2:$B$29,0)),0),IFERROR(INDEX(FourWeekly_Model!$D$2:$D$29,MATCH(H329,FourWeekly_Model!$B$2:$B$29,0)),0),IFERROR(INDEX(FourWeekly_Model!$D$2:$D$29,MATCH(H330,FourWeekly_Model!$B$2:$B$29,0)),0),IFERROR(INDEX(FourWeekly_Model!$D$2:$D$29,MATCH(H331,FourWeekly_Model!$B$2:$B$29,0)),0)),0))))))</f>
        <v>3.3214289700000004E-3</v>
      </c>
      <c r="N327" s="27">
        <f>SUM(I327:M327)</f>
        <v>3.0843119300104714E-2</v>
      </c>
      <c r="O327" s="28">
        <f>Population_Data!$B$8*N327</f>
        <v>934546.51479317283</v>
      </c>
      <c r="P327" s="27">
        <f>IF(VLOOKUP($A327,Calendar!$A$1:$R$1377,18,0)=0,0,IF(VLOOKUP($A327,Calendar!$A$1:$R$1377,18,0)=1,IFERROR(INDEX(Pension_Model!$D$2:$D$29,MATCH(H327,Pension_Model!$B$2:$B$29,0)),0),IF(VLOOKUP($A327,Calendar!$A$1:$R$1377,18,0)=2,SUM(IFERROR(INDEX(Pension_Model!$D$2:$D$29,MATCH(H327,Pension_Model!$B$2:$B$29,0)),0),IFERROR(INDEX(Pension_Model!$D$2:$D$29,MATCH(H328,Pension_Model!$B$2:$B$29,0)),0)),IF(VLOOKUP($A327,Calendar!$A$1:$R$1377,18,0)=3,SUM(IFERROR(INDEX(Pension_Model!$D$2:$D$29,MATCH(H327,Pension_Model!$B$2:$B$29,0)),0),IFERROR(INDEX(Pension_Model!$D$2:$D$29,MATCH(H328,Pension_Model!$B$2:$B$29,0)),0),IFERROR(INDEX(Pension_Model!$D$2:$D$29,MATCH(H329,Pension_Model!$B$2:$B$29,0)),0)),IF(VLOOKUP($A327,Calendar!$A$1:$R$1377,18,0)=4,SUM(IFERROR(INDEX(Pension_Model!$D$2:$D$29,MATCH(H327,Pension_Model!$B$2:$B$29,0)),0),IFERROR(INDEX(Pension_Model!$D$2:$D$29,MATCH(H328,Pension_Model!$B$2:$B$29,0)),0),IFERROR(INDEX(Pension_Model!$D$2:$D$29,MATCH(H329,Pension_Model!$B$2:$B$29,0)),0),IFERROR(INDEX(Pension_Model!$D$2:$D$29,MATCH(H330,Pension_Model!$B$2:$B$29,0)),0)),IF(VLOOKUP($A327,Calendar!$A$1:$R$1377,18,0)=5,SUM(IFERROR(INDEX(Pension_Model!$D$2:$D$29,MATCH(H327,Pension_Model!$B$2:$B$29,0)),0),IFERROR(INDEX(Pension_Model!$D$2:$D$29,MATCH(H328,Pension_Model!$B$2:$B$29,0)),0),IFERROR(INDEX(Pension_Model!$D$2:$D$29,MATCH(H329,Pension_Model!$B$2:$B$29,0)),0),IFERROR(INDEX(Pension_Model!$D$2:$D$29,MATCH(H330,Pension_Model!$B$2:$B$29,0)),0),IFERROR(INDEX(Pension_Model!$D$2:$D$29,MATCH(H331,Pension_Model!$B$2:$B$29,0)),0)),0))))))</f>
        <v>0.05</v>
      </c>
      <c r="Q327" s="28">
        <f>Population_Data!$B$15*P327</f>
        <v>660600</v>
      </c>
      <c r="S327">
        <f t="shared" si="5"/>
        <v>1595146.5147931729</v>
      </c>
      <c r="U327" s="33">
        <f>S327/Population_Data!$B$19</f>
        <v>2.8897581789731393E-2</v>
      </c>
    </row>
    <row r="328" spans="1:21">
      <c r="A328" s="25">
        <f>Calendar!A328</f>
        <v>46561</v>
      </c>
      <c r="B328" t="str">
        <f>Calendar!L328</f>
        <v>Yes</v>
      </c>
      <c r="C328" t="str">
        <f>Calendar!O328</f>
        <v>No</v>
      </c>
      <c r="D328" t="str">
        <f>Calendar!P328</f>
        <v>No</v>
      </c>
      <c r="E328" t="str">
        <f>Calendar!Q328</f>
        <v>No</v>
      </c>
      <c r="F328" t="str">
        <f>Calendar!I328</f>
        <v>Wednesday</v>
      </c>
      <c r="G328">
        <f>Calendar!S328</f>
        <v>11</v>
      </c>
      <c r="H328">
        <f>Calendar!T328</f>
        <v>25</v>
      </c>
      <c r="I328" s="27">
        <f>IF(VLOOKUP(A328,Calendar!$A$1:$R$1377,18,0)=0,0,IF(VLOOKUP(A328,Calendar!$A$1:$R$1377,18,0)=1,INDEX(Monthly_Pay_Model!$A$9:$D$40,MATCH(TEXT(A328,"dd"),Monthly_Pay_Model!$C$9:$C$39,0),4),IF(VLOOKUP(A328,Calendar!$A$1:$R$1377,18,0)=2,SUM(INDEX(Monthly_Pay_Model!$A$9:$D$40,MATCH(TEXT(A328,"dd"),Monthly_Pay_Model!$C$9:$C$39,0),4),INDEX(Monthly_Pay_Model!$A$9:$D$40,MATCH(TEXT(A329,"dd"),Monthly_Pay_Model!$C$9:$C$39,0),4)),IF(VLOOKUP(A328,Calendar!$A$1:$R$1377,18,0)=3,SUM(INDEX(Monthly_Pay_Model!$A$9:$D$40,MATCH(TEXT(A328,"dd"),Monthly_Pay_Model!$C$9:$C$39,0),4),INDEX(Monthly_Pay_Model!$A$9:$D$40,MATCH(TEXT(A329,"dd"),Monthly_Pay_Model!$C$9:$C$39,0),4),INDEX(Monthly_Pay_Model!$A$9:$D$40,MATCH(TEXT(A330,"dd"),Monthly_Pay_Model!$C$9:$C$39,0),4)),IF(VLOOKUP(A328,Calendar!$A$1:$R$1377,18,0)=4,SUM(INDEX(Monthly_Pay_Model!$A$9:$D$40,MATCH(TEXT(A328,"dd"),Monthly_Pay_Model!$C$9:$C$39,0),4),INDEX(Monthly_Pay_Model!$A$9:$D$40,MATCH(TEXT(A329,"dd"),Monthly_Pay_Model!$C$9:$C$39,0),4),INDEX(Monthly_Pay_Model!$A$9:$D$40,MATCH(TEXT(A330,"dd"),Monthly_Pay_Model!$C$9:$C$39,0),4),INDEX(Monthly_Pay_Model!$A$9:$D$40,MATCH(TEXT(A331,"dd"),Monthly_Pay_Model!$C$9:$C$39,0),4)),IF(VLOOKUP(A328,Calendar!$A$1:$R$1377,18,0)=5,SUM(INDEX(Monthly_Pay_Model!$A$9:$D$40,MATCH(TEXT(A328,"dd"),Monthly_Pay_Model!$C$9:$C$39,0),4),INDEX(Monthly_Pay_Model!$A$9:$D$40,MATCH(TEXT(A329,"dd"),Monthly_Pay_Model!$C$9:$C$39,0),4),INDEX(Monthly_Pay_Model!$A$9:$D$40,MATCH(TEXT(A330,"dd"),Monthly_Pay_Model!$C$9:$C$39,0),4),INDEX(Monthly_Pay_Model!$A$9:$D$40,MATCH(TEXT(A331,"dd"),Monthly_Pay_Model!$C$9:$C$39,0),4),INDEX(Monthly_Pay_Model!$A$9:$D$40,MATCH(TEXT(A332,"dd"),Monthly_Pay_Model!$C$9:$C$39,0),4)),))))))</f>
        <v>4.0628272251308894E-3</v>
      </c>
      <c r="J328" s="33">
        <f>IF(C328="Yes",Monthly_Pay_Model!$D$2,0)
+IF(Calendar!N328="Yes",Monthly_Pay_Model!$D$3,0)
+IF(D328="Yes",Monthly_Pay_Model!$D$4,0)
+IF(E328="Yes",Monthly_Pay_Model!$D$5,0)</f>
        <v>0</v>
      </c>
      <c r="K328" s="27">
        <f>IF(VLOOKUP($A328,Calendar!$A$1:$R$1377,18,0)=0,0,IF(VLOOKUP($A328,Calendar!$A$1:$R$1377,18,0)=1,IFERROR(INDEX(Weekly_Model!$D$2:$D$9,MATCH(F328,Weekly_Model!$A$2:$A$9,0)),0),IF(VLOOKUP($A328,Calendar!$A$1:$R$1377,18,0)=2,SUM(IFERROR(INDEX(Weekly_Model!$D$2:$D$9,MATCH(F328,Weekly_Model!$A$2:$A$9,0)),0),IFERROR(INDEX(Weekly_Model!$D$2:$D$9,MATCH(F329,Weekly_Model!$A$2:$A$9,0)),0)),IF(VLOOKUP($A328,Calendar!$A$1:$R$1377,18,0)=3,SUM(IFERROR(INDEX(Weekly_Model!$D$2:$D$9,MATCH(F328,Weekly_Model!$A$2:$A$9,0)),0),IFERROR(INDEX(Weekly_Model!$D$2:$D$9,MATCH(F329,Weekly_Model!$A$2:$A$9,0)),0),IFERROR(INDEX(Weekly_Model!$D$2:$D$9,MATCH(F330,Weekly_Model!$A$2:$A$9,0)),0)),IF(VLOOKUP($A328,Calendar!$A$1:$R$1377,18,0)=4,SUM(IFERROR(INDEX(Weekly_Model!$D$2:$D$9,MATCH(F328,Weekly_Model!$A$2:$A$9,0)),0),IFERROR(INDEX(Weekly_Model!$D$2:$D$9,MATCH(F329,Weekly_Model!$A$2:$A$9,0)),0),IFERROR(INDEX(Weekly_Model!$D$2:$D$9,MATCH(F330,Weekly_Model!$A$2:$A$9,0)),0),IFERROR(INDEX(Weekly_Model!$D$2:$D$9,MATCH(F331,Weekly_Model!$A$2:$A$9,0)),0)),IF(VLOOKUP($A328,Calendar!$A$1:$R$1377,18,0)=5,SUM(IFERROR(INDEX(Weekly_Model!$D$2:$D$9,MATCH(F328,Weekly_Model!$A$2:$A$9,0)),0),IFERROR(INDEX(Weekly_Model!$D$2:$D$9,MATCH(F329,Weekly_Model!$A$2:$A$9,0)),0),IFERROR(INDEX(Weekly_Model!$D$2:$D$9,MATCH(F330,Weekly_Model!$A$2:$A$9,0)),0),IFERROR(INDEX(Weekly_Model!$D$2:$D$9,MATCH(F331,Weekly_Model!$A$2:$A$9,0)),0),IFERROR(INDEX(Weekly_Model!$D$2:$D$9,MATCH(F332,Weekly_Model!$A$2:$A$9,0)),0)),0))))))</f>
        <v>2.3200000000000002E-2</v>
      </c>
      <c r="L328" s="27">
        <f>IF(VLOOKUP($A328,Calendar!$A$1:$R$1377,18,0)=0,0,IF(VLOOKUP($A328,Calendar!$A$1:$R$1377,18,0)=1,IFERROR(INDEX(Fortnightly_Model!$D$2:$D$15,MATCH(G328,Fortnightly_Model!$B$2:$B$15,0)),0),IF(VLOOKUP($A328,Calendar!$A$1:$R$1377,18,0)=2,SUM(IFERROR(INDEX(Fortnightly_Model!$D$2:$D$15,MATCH(G328,Fortnightly_Model!$B$2:$B$15,0)),0),IFERROR(INDEX(Fortnightly_Model!$D$2:$D$15,MATCH(G329,Fortnightly_Model!$B$2:$B$15,0)),0)),IF(VLOOKUP($A328,Calendar!$A$1:$R$1377,18,0)=3,SUM(IFERROR(INDEX(Fortnightly_Model!$D$2:$D$15,MATCH(G328,Fortnightly_Model!$B$2:$B$15,0)),0),IFERROR(INDEX(Fortnightly_Model!$D$2:$D$15,MATCH(G329,Fortnightly_Model!$B$2:$B$15,0)),0),IFERROR(INDEX(Fortnightly_Model!$D$2:$D$15,MATCH(G330,Fortnightly_Model!$B$2:$B$15,0)),0)),IF(VLOOKUP($A328,Calendar!$A$1:$R$1377,18,0)=4,SUM(IFERROR(INDEX(Fortnightly_Model!$D$2:$D$15,MATCH(G328,Fortnightly_Model!$B$2:$B$15,0)),0),IFERROR(INDEX(Fortnightly_Model!$D$2:$D$15,MATCH(G329,Fortnightly_Model!$B$2:$B$15,0)),0),IFERROR(INDEX(Fortnightly_Model!$D$2:$D$15,MATCH(G330,Fortnightly_Model!$B$2:$B$15,0)),0),IFERROR(INDEX(Fortnightly_Model!$D$2:$D$15,MATCH(G331,Fortnightly_Model!$B$2:$B$15,0)),0)),IF(VLOOKUP($A328,Calendar!$A$1:$R$1377,18,0)=5,SUM(IFERROR(INDEX(Fortnightly_Model!$D$2:$D$15,MATCH(G328,Fortnightly_Model!$B$2:$B$15,0)),0),IFERROR(INDEX(Fortnightly_Model!$D$2:$D$15,MATCH(G329,Fortnightly_Model!$B$2:$B$15,0)),0),IFERROR(INDEX(Fortnightly_Model!$D$2:$D$15,MATCH(G330,Fortnightly_Model!$B$2:$B$15,0)),0),IFERROR(INDEX(Fortnightly_Model!$D$2:$D$15,MATCH(G331,Fortnightly_Model!$B$2:$B$15,0)),0),IFERROR(INDEX(Fortnightly_Model!$D$2:$D$15,MATCH(G332,Fortnightly_Model!$B$2:$B$15,0)),0)),0))))))</f>
        <v>1.0714285499999999E-3</v>
      </c>
      <c r="M328" s="27">
        <f>IF(VLOOKUP($A328,Calendar!$A$1:$R$1377,18,0)=0,0,IF(VLOOKUP($A328,Calendar!$A$1:$R$1377,18,0)=1,IFERROR(INDEX(FourWeekly_Model!$D$2:$D$29,MATCH(H328,FourWeekly_Model!$B$2:$B$29,0)),0),IF(VLOOKUP($A328,Calendar!$A$1:$R$1377,18,0)=2,SUM(IFERROR(INDEX(FourWeekly_Model!$D$2:$D$29,MATCH(H328,FourWeekly_Model!$B$2:$B$29,0)),0),IFERROR(INDEX(FourWeekly_Model!$D$2:$D$29,MATCH(H329,FourWeekly_Model!$B$2:$B$29,0)),0)),IF(VLOOKUP($A328,Calendar!$A$1:$R$1377,18,0)=3,SUM(IFERROR(INDEX(FourWeekly_Model!$D$2:$D$29,MATCH(H328,FourWeekly_Model!$B$2:$B$29,0)),0),IFERROR(INDEX(FourWeekly_Model!$D$2:$D$29,MATCH(H329,FourWeekly_Model!$B$2:$B$29,0)),0),IFERROR(INDEX(FourWeekly_Model!$D$2:$D$29,MATCH(H330,FourWeekly_Model!$B$2:$B$29,0)),0)),IF(VLOOKUP($A328,Calendar!$A$1:$R$1377,18,0)=4,SUM(IFERROR(INDEX(FourWeekly_Model!$D$2:$D$29,MATCH(H328,FourWeekly_Model!$B$2:$B$29,0)),0),IFERROR(INDEX(FourWeekly_Model!$D$2:$D$29,MATCH(H329,FourWeekly_Model!$B$2:$B$29,0)),0),IFERROR(INDEX(FourWeekly_Model!$D$2:$D$29,MATCH(H330,FourWeekly_Model!$B$2:$B$29,0)),0),IFERROR(INDEX(FourWeekly_Model!$D$2:$D$29,MATCH(H331,FourWeekly_Model!$B$2:$B$29,0)),0)),IF(VLOOKUP($A328,Calendar!$A$1:$R$1377,18,0)=5,SUM(IFERROR(INDEX(FourWeekly_Model!$D$2:$D$29,MATCH(H328,FourWeekly_Model!$B$2:$B$29,0)),0),IFERROR(INDEX(FourWeekly_Model!$D$2:$D$29,MATCH(H329,FourWeekly_Model!$B$2:$B$29,0)),0),IFERROR(INDEX(FourWeekly_Model!$D$2:$D$29,MATCH(H330,FourWeekly_Model!$B$2:$B$29,0)),0),IFERROR(INDEX(FourWeekly_Model!$D$2:$D$29,MATCH(H331,FourWeekly_Model!$B$2:$B$29,0)),0),IFERROR(INDEX(FourWeekly_Model!$D$2:$D$29,MATCH(H332,FourWeekly_Model!$B$2:$B$29,0)),0)),0))))))</f>
        <v>3.3214289700000004E-3</v>
      </c>
      <c r="N328" s="27">
        <f>SUM(I328:M328)</f>
        <v>3.1655684745130891E-2</v>
      </c>
      <c r="O328" s="28">
        <f>Population_Data!$B$8*N328</f>
        <v>959167.24777746596</v>
      </c>
      <c r="P328" s="27">
        <f>IF(VLOOKUP($A328,Calendar!$A$1:$R$1377,18,0)=0,0,IF(VLOOKUP($A328,Calendar!$A$1:$R$1377,18,0)=1,IFERROR(INDEX(Pension_Model!$D$2:$D$29,MATCH(H328,Pension_Model!$B$2:$B$29,0)),0),IF(VLOOKUP($A328,Calendar!$A$1:$R$1377,18,0)=2,SUM(IFERROR(INDEX(Pension_Model!$D$2:$D$29,MATCH(H328,Pension_Model!$B$2:$B$29,0)),0),IFERROR(INDEX(Pension_Model!$D$2:$D$29,MATCH(H329,Pension_Model!$B$2:$B$29,0)),0)),IF(VLOOKUP($A328,Calendar!$A$1:$R$1377,18,0)=3,SUM(IFERROR(INDEX(Pension_Model!$D$2:$D$29,MATCH(H328,Pension_Model!$B$2:$B$29,0)),0),IFERROR(INDEX(Pension_Model!$D$2:$D$29,MATCH(H329,Pension_Model!$B$2:$B$29,0)),0),IFERROR(INDEX(Pension_Model!$D$2:$D$29,MATCH(H330,Pension_Model!$B$2:$B$29,0)),0)),IF(VLOOKUP($A328,Calendar!$A$1:$R$1377,18,0)=4,SUM(IFERROR(INDEX(Pension_Model!$D$2:$D$29,MATCH(H328,Pension_Model!$B$2:$B$29,0)),0),IFERROR(INDEX(Pension_Model!$D$2:$D$29,MATCH(H329,Pension_Model!$B$2:$B$29,0)),0),IFERROR(INDEX(Pension_Model!$D$2:$D$29,MATCH(H330,Pension_Model!$B$2:$B$29,0)),0),IFERROR(INDEX(Pension_Model!$D$2:$D$29,MATCH(H331,Pension_Model!$B$2:$B$29,0)),0)),IF(VLOOKUP($A328,Calendar!$A$1:$R$1377,18,0)=5,SUM(IFERROR(INDEX(Pension_Model!$D$2:$D$29,MATCH(H328,Pension_Model!$B$2:$B$29,0)),0),IFERROR(INDEX(Pension_Model!$D$2:$D$29,MATCH(H329,Pension_Model!$B$2:$B$29,0)),0),IFERROR(INDEX(Pension_Model!$D$2:$D$29,MATCH(H330,Pension_Model!$B$2:$B$29,0)),0),IFERROR(INDEX(Pension_Model!$D$2:$D$29,MATCH(H331,Pension_Model!$B$2:$B$29,0)),0),IFERROR(INDEX(Pension_Model!$D$2:$D$29,MATCH(H332,Pension_Model!$B$2:$B$29,0)),0)),0))))))</f>
        <v>0.05</v>
      </c>
      <c r="Q328" s="28">
        <f>Population_Data!$B$15*P328</f>
        <v>660600</v>
      </c>
      <c r="S328">
        <f t="shared" si="5"/>
        <v>1619767.247777466</v>
      </c>
      <c r="U328" s="33">
        <f>S328/Population_Data!$B$19</f>
        <v>2.9343609561185979E-2</v>
      </c>
    </row>
    <row r="329" spans="1:21">
      <c r="A329" s="25">
        <f>Calendar!A329</f>
        <v>46562</v>
      </c>
      <c r="B329" t="str">
        <f>Calendar!L329</f>
        <v>Yes</v>
      </c>
      <c r="C329" t="str">
        <f>Calendar!O329</f>
        <v>No</v>
      </c>
      <c r="D329" t="str">
        <f>Calendar!P329</f>
        <v>No</v>
      </c>
      <c r="E329" t="str">
        <f>Calendar!Q329</f>
        <v>Yes</v>
      </c>
      <c r="F329" t="str">
        <f>Calendar!I329</f>
        <v>Thursday</v>
      </c>
      <c r="G329">
        <f>Calendar!S329</f>
        <v>12</v>
      </c>
      <c r="H329">
        <f>Calendar!T329</f>
        <v>26</v>
      </c>
      <c r="I329" s="27">
        <f>IF(VLOOKUP(A329,Calendar!$A$1:$R$1377,18,0)=0,0,IF(VLOOKUP(A329,Calendar!$A$1:$R$1377,18,0)=1,INDEX(Monthly_Pay_Model!$A$9:$D$40,MATCH(TEXT(A329,"dd"),Monthly_Pay_Model!$C$9:$C$39,0),4),IF(VLOOKUP(A329,Calendar!$A$1:$R$1377,18,0)=2,SUM(INDEX(Monthly_Pay_Model!$A$9:$D$40,MATCH(TEXT(A329,"dd"),Monthly_Pay_Model!$C$9:$C$39,0),4),INDEX(Monthly_Pay_Model!$A$9:$D$40,MATCH(TEXT(A330,"dd"),Monthly_Pay_Model!$C$9:$C$39,0),4)),IF(VLOOKUP(A329,Calendar!$A$1:$R$1377,18,0)=3,SUM(INDEX(Monthly_Pay_Model!$A$9:$D$40,MATCH(TEXT(A329,"dd"),Monthly_Pay_Model!$C$9:$C$39,0),4),INDEX(Monthly_Pay_Model!$A$9:$D$40,MATCH(TEXT(A330,"dd"),Monthly_Pay_Model!$C$9:$C$39,0),4),INDEX(Monthly_Pay_Model!$A$9:$D$40,MATCH(TEXT(A331,"dd"),Monthly_Pay_Model!$C$9:$C$39,0),4)),IF(VLOOKUP(A329,Calendar!$A$1:$R$1377,18,0)=4,SUM(INDEX(Monthly_Pay_Model!$A$9:$D$40,MATCH(TEXT(A329,"dd"),Monthly_Pay_Model!$C$9:$C$39,0),4),INDEX(Monthly_Pay_Model!$A$9:$D$40,MATCH(TEXT(A330,"dd"),Monthly_Pay_Model!$C$9:$C$39,0),4),INDEX(Monthly_Pay_Model!$A$9:$D$40,MATCH(TEXT(A331,"dd"),Monthly_Pay_Model!$C$9:$C$39,0),4),INDEX(Monthly_Pay_Model!$A$9:$D$40,MATCH(TEXT(A332,"dd"),Monthly_Pay_Model!$C$9:$C$39,0),4)),IF(VLOOKUP(A329,Calendar!$A$1:$R$1377,18,0)=5,SUM(INDEX(Monthly_Pay_Model!$A$9:$D$40,MATCH(TEXT(A329,"dd"),Monthly_Pay_Model!$C$9:$C$39,0),4),INDEX(Monthly_Pay_Model!$A$9:$D$40,MATCH(TEXT(A330,"dd"),Monthly_Pay_Model!$C$9:$C$39,0),4),INDEX(Monthly_Pay_Model!$A$9:$D$40,MATCH(TEXT(A331,"dd"),Monthly_Pay_Model!$C$9:$C$39,0),4),INDEX(Monthly_Pay_Model!$A$9:$D$40,MATCH(TEXT(A332,"dd"),Monthly_Pay_Model!$C$9:$C$39,0),4),INDEX(Monthly_Pay_Model!$A$9:$D$40,MATCH(TEXT(A333,"dd"),Monthly_Pay_Model!$C$9:$C$39,0),4)),))))))</f>
        <v>7.3130890052356002E-3</v>
      </c>
      <c r="J329" s="33">
        <f>IF(C329="Yes",Monthly_Pay_Model!$D$2,0)
+IF(Calendar!N329="Yes",Monthly_Pay_Model!$D$3,0)
+IF(D329="Yes",Monthly_Pay_Model!$D$4,0)
+IF(E329="Yes",Monthly_Pay_Model!$D$5,0)</f>
        <v>5.4320000000000007E-2</v>
      </c>
      <c r="K329" s="27">
        <f>IF(VLOOKUP($A329,Calendar!$A$1:$R$1377,18,0)=0,0,IF(VLOOKUP($A329,Calendar!$A$1:$R$1377,18,0)=1,IFERROR(INDEX(Weekly_Model!$D$2:$D$9,MATCH(F329,Weekly_Model!$A$2:$A$9,0)),0),IF(VLOOKUP($A329,Calendar!$A$1:$R$1377,18,0)=2,SUM(IFERROR(INDEX(Weekly_Model!$D$2:$D$9,MATCH(F329,Weekly_Model!$A$2:$A$9,0)),0),IFERROR(INDEX(Weekly_Model!$D$2:$D$9,MATCH(F330,Weekly_Model!$A$2:$A$9,0)),0)),IF(VLOOKUP($A329,Calendar!$A$1:$R$1377,18,0)=3,SUM(IFERROR(INDEX(Weekly_Model!$D$2:$D$9,MATCH(F329,Weekly_Model!$A$2:$A$9,0)),0),IFERROR(INDEX(Weekly_Model!$D$2:$D$9,MATCH(F330,Weekly_Model!$A$2:$A$9,0)),0),IFERROR(INDEX(Weekly_Model!$D$2:$D$9,MATCH(F331,Weekly_Model!$A$2:$A$9,0)),0)),IF(VLOOKUP($A329,Calendar!$A$1:$R$1377,18,0)=4,SUM(IFERROR(INDEX(Weekly_Model!$D$2:$D$9,MATCH(F329,Weekly_Model!$A$2:$A$9,0)),0),IFERROR(INDEX(Weekly_Model!$D$2:$D$9,MATCH(F330,Weekly_Model!$A$2:$A$9,0)),0),IFERROR(INDEX(Weekly_Model!$D$2:$D$9,MATCH(F331,Weekly_Model!$A$2:$A$9,0)),0),IFERROR(INDEX(Weekly_Model!$D$2:$D$9,MATCH(F332,Weekly_Model!$A$2:$A$9,0)),0)),IF(VLOOKUP($A329,Calendar!$A$1:$R$1377,18,0)=5,SUM(IFERROR(INDEX(Weekly_Model!$D$2:$D$9,MATCH(F329,Weekly_Model!$A$2:$A$9,0)),0),IFERROR(INDEX(Weekly_Model!$D$2:$D$9,MATCH(F330,Weekly_Model!$A$2:$A$9,0)),0),IFERROR(INDEX(Weekly_Model!$D$2:$D$9,MATCH(F331,Weekly_Model!$A$2:$A$9,0)),0),IFERROR(INDEX(Weekly_Model!$D$2:$D$9,MATCH(F332,Weekly_Model!$A$2:$A$9,0)),0),IFERROR(INDEX(Weekly_Model!$D$2:$D$9,MATCH(F333,Weekly_Model!$A$2:$A$9,0)),0)),0))))))</f>
        <v>2.3200000000000002E-2</v>
      </c>
      <c r="L329" s="27">
        <f>IF(VLOOKUP($A329,Calendar!$A$1:$R$1377,18,0)=0,0,IF(VLOOKUP($A329,Calendar!$A$1:$R$1377,18,0)=1,IFERROR(INDEX(Fortnightly_Model!$D$2:$D$15,MATCH(G329,Fortnightly_Model!$B$2:$B$15,0)),0),IF(VLOOKUP($A329,Calendar!$A$1:$R$1377,18,0)=2,SUM(IFERROR(INDEX(Fortnightly_Model!$D$2:$D$15,MATCH(G329,Fortnightly_Model!$B$2:$B$15,0)),0),IFERROR(INDEX(Fortnightly_Model!$D$2:$D$15,MATCH(G330,Fortnightly_Model!$B$2:$B$15,0)),0)),IF(VLOOKUP($A329,Calendar!$A$1:$R$1377,18,0)=3,SUM(IFERROR(INDEX(Fortnightly_Model!$D$2:$D$15,MATCH(G329,Fortnightly_Model!$B$2:$B$15,0)),0),IFERROR(INDEX(Fortnightly_Model!$D$2:$D$15,MATCH(G330,Fortnightly_Model!$B$2:$B$15,0)),0),IFERROR(INDEX(Fortnightly_Model!$D$2:$D$15,MATCH(G331,Fortnightly_Model!$B$2:$B$15,0)),0)),IF(VLOOKUP($A329,Calendar!$A$1:$R$1377,18,0)=4,SUM(IFERROR(INDEX(Fortnightly_Model!$D$2:$D$15,MATCH(G329,Fortnightly_Model!$B$2:$B$15,0)),0),IFERROR(INDEX(Fortnightly_Model!$D$2:$D$15,MATCH(G330,Fortnightly_Model!$B$2:$B$15,0)),0),IFERROR(INDEX(Fortnightly_Model!$D$2:$D$15,MATCH(G331,Fortnightly_Model!$B$2:$B$15,0)),0),IFERROR(INDEX(Fortnightly_Model!$D$2:$D$15,MATCH(G332,Fortnightly_Model!$B$2:$B$15,0)),0)),IF(VLOOKUP($A329,Calendar!$A$1:$R$1377,18,0)=5,SUM(IFERROR(INDEX(Fortnightly_Model!$D$2:$D$15,MATCH(G329,Fortnightly_Model!$B$2:$B$15,0)),0),IFERROR(INDEX(Fortnightly_Model!$D$2:$D$15,MATCH(G330,Fortnightly_Model!$B$2:$B$15,0)),0),IFERROR(INDEX(Fortnightly_Model!$D$2:$D$15,MATCH(G331,Fortnightly_Model!$B$2:$B$15,0)),0),IFERROR(INDEX(Fortnightly_Model!$D$2:$D$15,MATCH(G332,Fortnightly_Model!$B$2:$B$15,0)),0),IFERROR(INDEX(Fortnightly_Model!$D$2:$D$15,MATCH(G333,Fortnightly_Model!$B$2:$B$15,0)),0)),0))))))</f>
        <v>1.0714285499999999E-3</v>
      </c>
      <c r="M329" s="27">
        <f>IF(VLOOKUP($A329,Calendar!$A$1:$R$1377,18,0)=0,0,IF(VLOOKUP($A329,Calendar!$A$1:$R$1377,18,0)=1,IFERROR(INDEX(FourWeekly_Model!$D$2:$D$29,MATCH(H329,FourWeekly_Model!$B$2:$B$29,0)),0),IF(VLOOKUP($A329,Calendar!$A$1:$R$1377,18,0)=2,SUM(IFERROR(INDEX(FourWeekly_Model!$D$2:$D$29,MATCH(H329,FourWeekly_Model!$B$2:$B$29,0)),0),IFERROR(INDEX(FourWeekly_Model!$D$2:$D$29,MATCH(H330,FourWeekly_Model!$B$2:$B$29,0)),0)),IF(VLOOKUP($A329,Calendar!$A$1:$R$1377,18,0)=3,SUM(IFERROR(INDEX(FourWeekly_Model!$D$2:$D$29,MATCH(H329,FourWeekly_Model!$B$2:$B$29,0)),0),IFERROR(INDEX(FourWeekly_Model!$D$2:$D$29,MATCH(H330,FourWeekly_Model!$B$2:$B$29,0)),0),IFERROR(INDEX(FourWeekly_Model!$D$2:$D$29,MATCH(H331,FourWeekly_Model!$B$2:$B$29,0)),0)),IF(VLOOKUP($A329,Calendar!$A$1:$R$1377,18,0)=4,SUM(IFERROR(INDEX(FourWeekly_Model!$D$2:$D$29,MATCH(H329,FourWeekly_Model!$B$2:$B$29,0)),0),IFERROR(INDEX(FourWeekly_Model!$D$2:$D$29,MATCH(H330,FourWeekly_Model!$B$2:$B$29,0)),0),IFERROR(INDEX(FourWeekly_Model!$D$2:$D$29,MATCH(H331,FourWeekly_Model!$B$2:$B$29,0)),0),IFERROR(INDEX(FourWeekly_Model!$D$2:$D$29,MATCH(H332,FourWeekly_Model!$B$2:$B$29,0)),0)),IF(VLOOKUP($A329,Calendar!$A$1:$R$1377,18,0)=5,SUM(IFERROR(INDEX(FourWeekly_Model!$D$2:$D$29,MATCH(H329,FourWeekly_Model!$B$2:$B$29,0)),0),IFERROR(INDEX(FourWeekly_Model!$D$2:$D$29,MATCH(H330,FourWeekly_Model!$B$2:$B$29,0)),0),IFERROR(INDEX(FourWeekly_Model!$D$2:$D$29,MATCH(H331,FourWeekly_Model!$B$2:$B$29,0)),0),IFERROR(INDEX(FourWeekly_Model!$D$2:$D$29,MATCH(H332,FourWeekly_Model!$B$2:$B$29,0)),0),IFERROR(INDEX(FourWeekly_Model!$D$2:$D$29,MATCH(H333,FourWeekly_Model!$B$2:$B$29,0)),0)),0))))))</f>
        <v>3.3214289700000004E-3</v>
      </c>
      <c r="N329" s="27">
        <f>SUM(I329:M329)</f>
        <v>8.9225946525235605E-2</v>
      </c>
      <c r="O329" s="28">
        <f>Population_Data!$B$8*N329</f>
        <v>2703546.1797146387</v>
      </c>
      <c r="P329" s="27">
        <f>IF(VLOOKUP($A329,Calendar!$A$1:$R$1377,18,0)=0,0,IF(VLOOKUP($A329,Calendar!$A$1:$R$1377,18,0)=1,IFERROR(INDEX(Pension_Model!$D$2:$D$29,MATCH(H329,Pension_Model!$B$2:$B$29,0)),0),IF(VLOOKUP($A329,Calendar!$A$1:$R$1377,18,0)=2,SUM(IFERROR(INDEX(Pension_Model!$D$2:$D$29,MATCH(H329,Pension_Model!$B$2:$B$29,0)),0),IFERROR(INDEX(Pension_Model!$D$2:$D$29,MATCH(H330,Pension_Model!$B$2:$B$29,0)),0)),IF(VLOOKUP($A329,Calendar!$A$1:$R$1377,18,0)=3,SUM(IFERROR(INDEX(Pension_Model!$D$2:$D$29,MATCH(H329,Pension_Model!$B$2:$B$29,0)),0),IFERROR(INDEX(Pension_Model!$D$2:$D$29,MATCH(H330,Pension_Model!$B$2:$B$29,0)),0),IFERROR(INDEX(Pension_Model!$D$2:$D$29,MATCH(H331,Pension_Model!$B$2:$B$29,0)),0)),IF(VLOOKUP($A329,Calendar!$A$1:$R$1377,18,0)=4,SUM(IFERROR(INDEX(Pension_Model!$D$2:$D$29,MATCH(H329,Pension_Model!$B$2:$B$29,0)),0),IFERROR(INDEX(Pension_Model!$D$2:$D$29,MATCH(H330,Pension_Model!$B$2:$B$29,0)),0),IFERROR(INDEX(Pension_Model!$D$2:$D$29,MATCH(H331,Pension_Model!$B$2:$B$29,0)),0),IFERROR(INDEX(Pension_Model!$D$2:$D$29,MATCH(H332,Pension_Model!$B$2:$B$29,0)),0)),IF(VLOOKUP($A329,Calendar!$A$1:$R$1377,18,0)=5,SUM(IFERROR(INDEX(Pension_Model!$D$2:$D$29,MATCH(H329,Pension_Model!$B$2:$B$29,0)),0),IFERROR(INDEX(Pension_Model!$D$2:$D$29,MATCH(H330,Pension_Model!$B$2:$B$29,0)),0),IFERROR(INDEX(Pension_Model!$D$2:$D$29,MATCH(H331,Pension_Model!$B$2:$B$29,0)),0),IFERROR(INDEX(Pension_Model!$D$2:$D$29,MATCH(H332,Pension_Model!$B$2:$B$29,0)),0),IFERROR(INDEX(Pension_Model!$D$2:$D$29,MATCH(H333,Pension_Model!$B$2:$B$29,0)),0)),0))))))</f>
        <v>0.05</v>
      </c>
      <c r="Q329" s="28">
        <f>Population_Data!$B$15*P329</f>
        <v>660600</v>
      </c>
      <c r="S329">
        <f t="shared" si="5"/>
        <v>3364146.1797146387</v>
      </c>
      <c r="U329" s="33">
        <f>S329/Population_Data!$B$19</f>
        <v>6.0944677168743452E-2</v>
      </c>
    </row>
    <row r="330" spans="1:21">
      <c r="A330" s="25">
        <f>Calendar!A330</f>
        <v>46563</v>
      </c>
      <c r="B330" t="str">
        <f>Calendar!L330</f>
        <v>Yes</v>
      </c>
      <c r="C330" t="str">
        <f>Calendar!O330</f>
        <v>No</v>
      </c>
      <c r="D330" t="str">
        <f>Calendar!P330</f>
        <v>Yes</v>
      </c>
      <c r="E330" t="str">
        <f>Calendar!Q330</f>
        <v>No</v>
      </c>
      <c r="F330" t="str">
        <f>Calendar!I330</f>
        <v>Friday</v>
      </c>
      <c r="G330">
        <f>Calendar!S330</f>
        <v>13</v>
      </c>
      <c r="H330">
        <f>Calendar!T330</f>
        <v>27</v>
      </c>
      <c r="I330" s="27">
        <f>IF(VLOOKUP(A330,Calendar!$A$1:$R$1377,18,0)=0,0,IF(VLOOKUP(A330,Calendar!$A$1:$R$1377,18,0)=1,INDEX(Monthly_Pay_Model!$A$9:$D$40,MATCH(TEXT(A330,"dd"),Monthly_Pay_Model!$C$9:$C$39,0),4),IF(VLOOKUP(A330,Calendar!$A$1:$R$1377,18,0)=2,SUM(INDEX(Monthly_Pay_Model!$A$9:$D$40,MATCH(TEXT(A330,"dd"),Monthly_Pay_Model!$C$9:$C$39,0),4),INDEX(Monthly_Pay_Model!$A$9:$D$40,MATCH(TEXT(A331,"dd"),Monthly_Pay_Model!$C$9:$C$39,0),4)),IF(VLOOKUP(A330,Calendar!$A$1:$R$1377,18,0)=3,SUM(INDEX(Monthly_Pay_Model!$A$9:$D$40,MATCH(TEXT(A330,"dd"),Monthly_Pay_Model!$C$9:$C$39,0),4),INDEX(Monthly_Pay_Model!$A$9:$D$40,MATCH(TEXT(A331,"dd"),Monthly_Pay_Model!$C$9:$C$39,0),4),INDEX(Monthly_Pay_Model!$A$9:$D$40,MATCH(TEXT(A332,"dd"),Monthly_Pay_Model!$C$9:$C$39,0),4)),IF(VLOOKUP(A330,Calendar!$A$1:$R$1377,18,0)=4,SUM(INDEX(Monthly_Pay_Model!$A$9:$D$40,MATCH(TEXT(A330,"dd"),Monthly_Pay_Model!$C$9:$C$39,0),4),INDEX(Monthly_Pay_Model!$A$9:$D$40,MATCH(TEXT(A331,"dd"),Monthly_Pay_Model!$C$9:$C$39,0),4),INDEX(Monthly_Pay_Model!$A$9:$D$40,MATCH(TEXT(A332,"dd"),Monthly_Pay_Model!$C$9:$C$39,0),4),INDEX(Monthly_Pay_Model!$A$9:$D$40,MATCH(TEXT(A333,"dd"),Monthly_Pay_Model!$C$9:$C$39,0),4)),IF(VLOOKUP(A330,Calendar!$A$1:$R$1377,18,0)=5,SUM(INDEX(Monthly_Pay_Model!$A$9:$D$40,MATCH(TEXT(A330,"dd"),Monthly_Pay_Model!$C$9:$C$39,0),4),INDEX(Monthly_Pay_Model!$A$9:$D$40,MATCH(TEXT(A331,"dd"),Monthly_Pay_Model!$C$9:$C$39,0),4),INDEX(Monthly_Pay_Model!$A$9:$D$40,MATCH(TEXT(A332,"dd"),Monthly_Pay_Model!$C$9:$C$39,0),4),INDEX(Monthly_Pay_Model!$A$9:$D$40,MATCH(TEXT(A333,"dd"),Monthly_Pay_Model!$C$9:$C$39,0),4),INDEX(Monthly_Pay_Model!$A$9:$D$40,MATCH(TEXT(A334,"dd"),Monthly_Pay_Model!$C$9:$C$39,0),4)),))))))</f>
        <v>4.1440837696335067E-2</v>
      </c>
      <c r="J330" s="33">
        <f>IF(C330="Yes",Monthly_Pay_Model!$D$2,0)
+IF(Calendar!N330="Yes",Monthly_Pay_Model!$D$3,0)
+IF(D330="Yes",Monthly_Pay_Model!$D$4,0)
+IF(E330="Yes",Monthly_Pay_Model!$D$5,0)</f>
        <v>0.1552</v>
      </c>
      <c r="K330" s="27">
        <f>IF(VLOOKUP($A330,Calendar!$A$1:$R$1377,18,0)=0,0,IF(VLOOKUP($A330,Calendar!$A$1:$R$1377,18,0)=1,IFERROR(INDEX(Weekly_Model!$D$2:$D$9,MATCH(F330,Weekly_Model!$A$2:$A$9,0)),0),IF(VLOOKUP($A330,Calendar!$A$1:$R$1377,18,0)=2,SUM(IFERROR(INDEX(Weekly_Model!$D$2:$D$9,MATCH(F330,Weekly_Model!$A$2:$A$9,0)),0),IFERROR(INDEX(Weekly_Model!$D$2:$D$9,MATCH(F331,Weekly_Model!$A$2:$A$9,0)),0)),IF(VLOOKUP($A330,Calendar!$A$1:$R$1377,18,0)=3,SUM(IFERROR(INDEX(Weekly_Model!$D$2:$D$9,MATCH(F330,Weekly_Model!$A$2:$A$9,0)),0),IFERROR(INDEX(Weekly_Model!$D$2:$D$9,MATCH(F331,Weekly_Model!$A$2:$A$9,0)),0),IFERROR(INDEX(Weekly_Model!$D$2:$D$9,MATCH(F332,Weekly_Model!$A$2:$A$9,0)),0)),IF(VLOOKUP($A330,Calendar!$A$1:$R$1377,18,0)=4,SUM(IFERROR(INDEX(Weekly_Model!$D$2:$D$9,MATCH(F330,Weekly_Model!$A$2:$A$9,0)),0),IFERROR(INDEX(Weekly_Model!$D$2:$D$9,MATCH(F331,Weekly_Model!$A$2:$A$9,0)),0),IFERROR(INDEX(Weekly_Model!$D$2:$D$9,MATCH(F332,Weekly_Model!$A$2:$A$9,0)),0),IFERROR(INDEX(Weekly_Model!$D$2:$D$9,MATCH(F333,Weekly_Model!$A$2:$A$9,0)),0)),IF(VLOOKUP($A330,Calendar!$A$1:$R$1377,18,0)=5,SUM(IFERROR(INDEX(Weekly_Model!$D$2:$D$9,MATCH(F330,Weekly_Model!$A$2:$A$9,0)),0),IFERROR(INDEX(Weekly_Model!$D$2:$D$9,MATCH(F331,Weekly_Model!$A$2:$A$9,0)),0),IFERROR(INDEX(Weekly_Model!$D$2:$D$9,MATCH(F332,Weekly_Model!$A$2:$A$9,0)),0),IFERROR(INDEX(Weekly_Model!$D$2:$D$9,MATCH(F333,Weekly_Model!$A$2:$A$9,0)),0),IFERROR(INDEX(Weekly_Model!$D$2:$D$9,MATCH(F334,Weekly_Model!$A$2:$A$9,0)),0)),0))))))</f>
        <v>2.3200000000000002E-2</v>
      </c>
      <c r="L330" s="27">
        <f>IF(VLOOKUP($A330,Calendar!$A$1:$R$1377,18,0)=0,0,IF(VLOOKUP($A330,Calendar!$A$1:$R$1377,18,0)=1,IFERROR(INDEX(Fortnightly_Model!$D$2:$D$15,MATCH(G330,Fortnightly_Model!$B$2:$B$15,0)),0),IF(VLOOKUP($A330,Calendar!$A$1:$R$1377,18,0)=2,SUM(IFERROR(INDEX(Fortnightly_Model!$D$2:$D$15,MATCH(G330,Fortnightly_Model!$B$2:$B$15,0)),0),IFERROR(INDEX(Fortnightly_Model!$D$2:$D$15,MATCH(G331,Fortnightly_Model!$B$2:$B$15,0)),0)),IF(VLOOKUP($A330,Calendar!$A$1:$R$1377,18,0)=3,SUM(IFERROR(INDEX(Fortnightly_Model!$D$2:$D$15,MATCH(G330,Fortnightly_Model!$B$2:$B$15,0)),0),IFERROR(INDEX(Fortnightly_Model!$D$2:$D$15,MATCH(G331,Fortnightly_Model!$B$2:$B$15,0)),0),IFERROR(INDEX(Fortnightly_Model!$D$2:$D$15,MATCH(G332,Fortnightly_Model!$B$2:$B$15,0)),0)),IF(VLOOKUP($A330,Calendar!$A$1:$R$1377,18,0)=4,SUM(IFERROR(INDEX(Fortnightly_Model!$D$2:$D$15,MATCH(G330,Fortnightly_Model!$B$2:$B$15,0)),0),IFERROR(INDEX(Fortnightly_Model!$D$2:$D$15,MATCH(G331,Fortnightly_Model!$B$2:$B$15,0)),0),IFERROR(INDEX(Fortnightly_Model!$D$2:$D$15,MATCH(G332,Fortnightly_Model!$B$2:$B$15,0)),0),IFERROR(INDEX(Fortnightly_Model!$D$2:$D$15,MATCH(G333,Fortnightly_Model!$B$2:$B$15,0)),0)),IF(VLOOKUP($A330,Calendar!$A$1:$R$1377,18,0)=5,SUM(IFERROR(INDEX(Fortnightly_Model!$D$2:$D$15,MATCH(G330,Fortnightly_Model!$B$2:$B$15,0)),0),IFERROR(INDEX(Fortnightly_Model!$D$2:$D$15,MATCH(G331,Fortnightly_Model!$B$2:$B$15,0)),0),IFERROR(INDEX(Fortnightly_Model!$D$2:$D$15,MATCH(G332,Fortnightly_Model!$B$2:$B$15,0)),0),IFERROR(INDEX(Fortnightly_Model!$D$2:$D$15,MATCH(G333,Fortnightly_Model!$B$2:$B$15,0)),0),IFERROR(INDEX(Fortnightly_Model!$D$2:$D$15,MATCH(G334,Fortnightly_Model!$B$2:$B$15,0)),0)),0))))))</f>
        <v>3.2142856499999999E-3</v>
      </c>
      <c r="M330" s="27">
        <f>IF(VLOOKUP($A330,Calendar!$A$1:$R$1377,18,0)=0,0,IF(VLOOKUP($A330,Calendar!$A$1:$R$1377,18,0)=1,IFERROR(INDEX(FourWeekly_Model!$D$2:$D$29,MATCH(H330,FourWeekly_Model!$B$2:$B$29,0)),0),IF(VLOOKUP($A330,Calendar!$A$1:$R$1377,18,0)=2,SUM(IFERROR(INDEX(FourWeekly_Model!$D$2:$D$29,MATCH(H330,FourWeekly_Model!$B$2:$B$29,0)),0),IFERROR(INDEX(FourWeekly_Model!$D$2:$D$29,MATCH(H331,FourWeekly_Model!$B$2:$B$29,0)),0)),IF(VLOOKUP($A330,Calendar!$A$1:$R$1377,18,0)=3,SUM(IFERROR(INDEX(FourWeekly_Model!$D$2:$D$29,MATCH(H330,FourWeekly_Model!$B$2:$B$29,0)),0),IFERROR(INDEX(FourWeekly_Model!$D$2:$D$29,MATCH(H331,FourWeekly_Model!$B$2:$B$29,0)),0),IFERROR(INDEX(FourWeekly_Model!$D$2:$D$29,MATCH(H332,FourWeekly_Model!$B$2:$B$29,0)),0)),IF(VLOOKUP($A330,Calendar!$A$1:$R$1377,18,0)=4,SUM(IFERROR(INDEX(FourWeekly_Model!$D$2:$D$29,MATCH(H330,FourWeekly_Model!$B$2:$B$29,0)),0),IFERROR(INDEX(FourWeekly_Model!$D$2:$D$29,MATCH(H331,FourWeekly_Model!$B$2:$B$29,0)),0),IFERROR(INDEX(FourWeekly_Model!$D$2:$D$29,MATCH(H332,FourWeekly_Model!$B$2:$B$29,0)),0),IFERROR(INDEX(FourWeekly_Model!$D$2:$D$29,MATCH(H333,FourWeekly_Model!$B$2:$B$29,0)),0)),IF(VLOOKUP($A330,Calendar!$A$1:$R$1377,18,0)=5,SUM(IFERROR(INDEX(FourWeekly_Model!$D$2:$D$29,MATCH(H330,FourWeekly_Model!$B$2:$B$29,0)),0),IFERROR(INDEX(FourWeekly_Model!$D$2:$D$29,MATCH(H331,FourWeekly_Model!$B$2:$B$29,0)),0),IFERROR(INDEX(FourWeekly_Model!$D$2:$D$29,MATCH(H332,FourWeekly_Model!$B$2:$B$29,0)),0),IFERROR(INDEX(FourWeekly_Model!$D$2:$D$29,MATCH(H333,FourWeekly_Model!$B$2:$B$29,0)),0),IFERROR(INDEX(FourWeekly_Model!$D$2:$D$29,MATCH(H334,FourWeekly_Model!$B$2:$B$29,0)),0)),0))))))</f>
        <v>9.9642859800000011E-3</v>
      </c>
      <c r="N330" s="27">
        <f>SUM(I330:M330)</f>
        <v>0.23301940932633508</v>
      </c>
      <c r="O330" s="28">
        <f>Population_Data!$B$8*N330</f>
        <v>7060488.1025879532</v>
      </c>
      <c r="P330" s="27">
        <f>IF(VLOOKUP($A330,Calendar!$A$1:$R$1377,18,0)=0,0,IF(VLOOKUP($A330,Calendar!$A$1:$R$1377,18,0)=1,IFERROR(INDEX(Pension_Model!$D$2:$D$29,MATCH(H330,Pension_Model!$B$2:$B$29,0)),0),IF(VLOOKUP($A330,Calendar!$A$1:$R$1377,18,0)=2,SUM(IFERROR(INDEX(Pension_Model!$D$2:$D$29,MATCH(H330,Pension_Model!$B$2:$B$29,0)),0),IFERROR(INDEX(Pension_Model!$D$2:$D$29,MATCH(H331,Pension_Model!$B$2:$B$29,0)),0)),IF(VLOOKUP($A330,Calendar!$A$1:$R$1377,18,0)=3,SUM(IFERROR(INDEX(Pension_Model!$D$2:$D$29,MATCH(H330,Pension_Model!$B$2:$B$29,0)),0),IFERROR(INDEX(Pension_Model!$D$2:$D$29,MATCH(H331,Pension_Model!$B$2:$B$29,0)),0),IFERROR(INDEX(Pension_Model!$D$2:$D$29,MATCH(H332,Pension_Model!$B$2:$B$29,0)),0)),IF(VLOOKUP($A330,Calendar!$A$1:$R$1377,18,0)=4,SUM(IFERROR(INDEX(Pension_Model!$D$2:$D$29,MATCH(H330,Pension_Model!$B$2:$B$29,0)),0),IFERROR(INDEX(Pension_Model!$D$2:$D$29,MATCH(H331,Pension_Model!$B$2:$B$29,0)),0),IFERROR(INDEX(Pension_Model!$D$2:$D$29,MATCH(H332,Pension_Model!$B$2:$B$29,0)),0),IFERROR(INDEX(Pension_Model!$D$2:$D$29,MATCH(H333,Pension_Model!$B$2:$B$29,0)),0)),IF(VLOOKUP($A330,Calendar!$A$1:$R$1377,18,0)=5,SUM(IFERROR(INDEX(Pension_Model!$D$2:$D$29,MATCH(H330,Pension_Model!$B$2:$B$29,0)),0),IFERROR(INDEX(Pension_Model!$D$2:$D$29,MATCH(H331,Pension_Model!$B$2:$B$29,0)),0),IFERROR(INDEX(Pension_Model!$D$2:$D$29,MATCH(H332,Pension_Model!$B$2:$B$29,0)),0),IFERROR(INDEX(Pension_Model!$D$2:$D$29,MATCH(H333,Pension_Model!$B$2:$B$29,0)),0),IFERROR(INDEX(Pension_Model!$D$2:$D$29,MATCH(H334,Pension_Model!$B$2:$B$29,0)),0)),0))))))</f>
        <v>0.05</v>
      </c>
      <c r="Q330" s="28">
        <f>Population_Data!$B$15*P330</f>
        <v>660600</v>
      </c>
      <c r="S330">
        <f t="shared" si="5"/>
        <v>7721088.1025879532</v>
      </c>
      <c r="U330" s="33">
        <f>S330/Population_Data!$B$19</f>
        <v>0.13987478446717305</v>
      </c>
    </row>
    <row r="331" spans="1:21">
      <c r="A331" s="25">
        <f>Calendar!A331</f>
        <v>46564</v>
      </c>
      <c r="B331" t="str">
        <f>Calendar!L331</f>
        <v>No</v>
      </c>
      <c r="C331" t="str">
        <f>Calendar!O331</f>
        <v>No</v>
      </c>
      <c r="D331" t="str">
        <f>Calendar!P331</f>
        <v>No</v>
      </c>
      <c r="E331" t="str">
        <f>Calendar!Q331</f>
        <v>No</v>
      </c>
      <c r="F331" t="str">
        <f>Calendar!I331</f>
        <v>Saturday</v>
      </c>
      <c r="G331">
        <f>Calendar!S331</f>
        <v>0</v>
      </c>
      <c r="H331">
        <f>Calendar!T331</f>
        <v>0</v>
      </c>
      <c r="I331" s="27">
        <f>IF(VLOOKUP(A331,Calendar!$A$1:$R$1377,18,0)=0,0,IF(VLOOKUP(A331,Calendar!$A$1:$R$1377,18,0)=1,INDEX(Monthly_Pay_Model!$A$9:$D$40,MATCH(TEXT(A331,"dd"),Monthly_Pay_Model!$C$9:$C$39,0),4),IF(VLOOKUP(A331,Calendar!$A$1:$R$1377,18,0)=2,SUM(INDEX(Monthly_Pay_Model!$A$9:$D$40,MATCH(TEXT(A331,"dd"),Monthly_Pay_Model!$C$9:$C$39,0),4),INDEX(Monthly_Pay_Model!$A$9:$D$40,MATCH(TEXT(A332,"dd"),Monthly_Pay_Model!$C$9:$C$39,0),4)),IF(VLOOKUP(A331,Calendar!$A$1:$R$1377,18,0)=3,SUM(INDEX(Monthly_Pay_Model!$A$9:$D$40,MATCH(TEXT(A331,"dd"),Monthly_Pay_Model!$C$9:$C$39,0),4),INDEX(Monthly_Pay_Model!$A$9:$D$40,MATCH(TEXT(A332,"dd"),Monthly_Pay_Model!$C$9:$C$39,0),4),INDEX(Monthly_Pay_Model!$A$9:$D$40,MATCH(TEXT(A333,"dd"),Monthly_Pay_Model!$C$9:$C$39,0),4)),IF(VLOOKUP(A331,Calendar!$A$1:$R$1377,18,0)=4,SUM(INDEX(Monthly_Pay_Model!$A$9:$D$40,MATCH(TEXT(A331,"dd"),Monthly_Pay_Model!$C$9:$C$39,0),4),INDEX(Monthly_Pay_Model!$A$9:$D$40,MATCH(TEXT(A332,"dd"),Monthly_Pay_Model!$C$9:$C$39,0),4),INDEX(Monthly_Pay_Model!$A$9:$D$40,MATCH(TEXT(A333,"dd"),Monthly_Pay_Model!$C$9:$C$39,0),4),INDEX(Monthly_Pay_Model!$A$9:$D$40,MATCH(TEXT(A334,"dd"),Monthly_Pay_Model!$C$9:$C$39,0),4)),IF(VLOOKUP(A331,Calendar!$A$1:$R$1377,18,0)=5,SUM(INDEX(Monthly_Pay_Model!$A$9:$D$40,MATCH(TEXT(A331,"dd"),Monthly_Pay_Model!$C$9:$C$39,0),4),INDEX(Monthly_Pay_Model!$A$9:$D$40,MATCH(TEXT(A332,"dd"),Monthly_Pay_Model!$C$9:$C$39,0),4),INDEX(Monthly_Pay_Model!$A$9:$D$40,MATCH(TEXT(A333,"dd"),Monthly_Pay_Model!$C$9:$C$39,0),4),INDEX(Monthly_Pay_Model!$A$9:$D$40,MATCH(TEXT(A334,"dd"),Monthly_Pay_Model!$C$9:$C$39,0),4),INDEX(Monthly_Pay_Model!$A$9:$D$40,MATCH(TEXT(A335,"dd"),Monthly_Pay_Model!$C$9:$C$39,0),4)),))))))</f>
        <v>0</v>
      </c>
      <c r="J331" s="33">
        <f>IF(C331="Yes",Monthly_Pay_Model!$D$2,0)
+IF(Calendar!N331="Yes",Monthly_Pay_Model!$D$3,0)
+IF(D331="Yes",Monthly_Pay_Model!$D$4,0)
+IF(E331="Yes",Monthly_Pay_Model!$D$5,0)</f>
        <v>0</v>
      </c>
      <c r="K331" s="27">
        <f>IF(VLOOKUP($A331,Calendar!$A$1:$R$1377,18,0)=0,0,IF(VLOOKUP($A331,Calendar!$A$1:$R$1377,18,0)=1,IFERROR(INDEX(Weekly_Model!$D$2:$D$9,MATCH(F331,Weekly_Model!$A$2:$A$9,0)),0),IF(VLOOKUP($A331,Calendar!$A$1:$R$1377,18,0)=2,SUM(IFERROR(INDEX(Weekly_Model!$D$2:$D$9,MATCH(F331,Weekly_Model!$A$2:$A$9,0)),0),IFERROR(INDEX(Weekly_Model!$D$2:$D$9,MATCH(F332,Weekly_Model!$A$2:$A$9,0)),0)),IF(VLOOKUP($A331,Calendar!$A$1:$R$1377,18,0)=3,SUM(IFERROR(INDEX(Weekly_Model!$D$2:$D$9,MATCH(F331,Weekly_Model!$A$2:$A$9,0)),0),IFERROR(INDEX(Weekly_Model!$D$2:$D$9,MATCH(F332,Weekly_Model!$A$2:$A$9,0)),0),IFERROR(INDEX(Weekly_Model!$D$2:$D$9,MATCH(F333,Weekly_Model!$A$2:$A$9,0)),0)),IF(VLOOKUP($A331,Calendar!$A$1:$R$1377,18,0)=4,SUM(IFERROR(INDEX(Weekly_Model!$D$2:$D$9,MATCH(F331,Weekly_Model!$A$2:$A$9,0)),0),IFERROR(INDEX(Weekly_Model!$D$2:$D$9,MATCH(F332,Weekly_Model!$A$2:$A$9,0)),0),IFERROR(INDEX(Weekly_Model!$D$2:$D$9,MATCH(F333,Weekly_Model!$A$2:$A$9,0)),0),IFERROR(INDEX(Weekly_Model!$D$2:$D$9,MATCH(F334,Weekly_Model!$A$2:$A$9,0)),0)),IF(VLOOKUP($A331,Calendar!$A$1:$R$1377,18,0)=5,SUM(IFERROR(INDEX(Weekly_Model!$D$2:$D$9,MATCH(F331,Weekly_Model!$A$2:$A$9,0)),0),IFERROR(INDEX(Weekly_Model!$D$2:$D$9,MATCH(F332,Weekly_Model!$A$2:$A$9,0)),0),IFERROR(INDEX(Weekly_Model!$D$2:$D$9,MATCH(F333,Weekly_Model!$A$2:$A$9,0)),0),IFERROR(INDEX(Weekly_Model!$D$2:$D$9,MATCH(F334,Weekly_Model!$A$2:$A$9,0)),0),IFERROR(INDEX(Weekly_Model!$D$2:$D$9,MATCH(F335,Weekly_Model!$A$2:$A$9,0)),0)),0))))))</f>
        <v>0</v>
      </c>
      <c r="L331" s="27">
        <f>IF(VLOOKUP($A331,Calendar!$A$1:$R$1377,18,0)=0,0,IF(VLOOKUP($A331,Calendar!$A$1:$R$1377,18,0)=1,IFERROR(INDEX(Fortnightly_Model!$D$2:$D$15,MATCH(G331,Fortnightly_Model!$B$2:$B$15,0)),0),IF(VLOOKUP($A331,Calendar!$A$1:$R$1377,18,0)=2,SUM(IFERROR(INDEX(Fortnightly_Model!$D$2:$D$15,MATCH(G331,Fortnightly_Model!$B$2:$B$15,0)),0),IFERROR(INDEX(Fortnightly_Model!$D$2:$D$15,MATCH(G332,Fortnightly_Model!$B$2:$B$15,0)),0)),IF(VLOOKUP($A331,Calendar!$A$1:$R$1377,18,0)=3,SUM(IFERROR(INDEX(Fortnightly_Model!$D$2:$D$15,MATCH(G331,Fortnightly_Model!$B$2:$B$15,0)),0),IFERROR(INDEX(Fortnightly_Model!$D$2:$D$15,MATCH(G332,Fortnightly_Model!$B$2:$B$15,0)),0),IFERROR(INDEX(Fortnightly_Model!$D$2:$D$15,MATCH(G333,Fortnightly_Model!$B$2:$B$15,0)),0)),IF(VLOOKUP($A331,Calendar!$A$1:$R$1377,18,0)=4,SUM(IFERROR(INDEX(Fortnightly_Model!$D$2:$D$15,MATCH(G331,Fortnightly_Model!$B$2:$B$15,0)),0),IFERROR(INDEX(Fortnightly_Model!$D$2:$D$15,MATCH(G332,Fortnightly_Model!$B$2:$B$15,0)),0),IFERROR(INDEX(Fortnightly_Model!$D$2:$D$15,MATCH(G333,Fortnightly_Model!$B$2:$B$15,0)),0),IFERROR(INDEX(Fortnightly_Model!$D$2:$D$15,MATCH(G334,Fortnightly_Model!$B$2:$B$15,0)),0)),IF(VLOOKUP($A331,Calendar!$A$1:$R$1377,18,0)=5,SUM(IFERROR(INDEX(Fortnightly_Model!$D$2:$D$15,MATCH(G331,Fortnightly_Model!$B$2:$B$15,0)),0),IFERROR(INDEX(Fortnightly_Model!$D$2:$D$15,MATCH(G332,Fortnightly_Model!$B$2:$B$15,0)),0),IFERROR(INDEX(Fortnightly_Model!$D$2:$D$15,MATCH(G333,Fortnightly_Model!$B$2:$B$15,0)),0),IFERROR(INDEX(Fortnightly_Model!$D$2:$D$15,MATCH(G334,Fortnightly_Model!$B$2:$B$15,0)),0),IFERROR(INDEX(Fortnightly_Model!$D$2:$D$15,MATCH(G335,Fortnightly_Model!$B$2:$B$15,0)),0)),0))))))</f>
        <v>0</v>
      </c>
      <c r="M331" s="27">
        <f>IF(VLOOKUP($A331,Calendar!$A$1:$R$1377,18,0)=0,0,IF(VLOOKUP($A331,Calendar!$A$1:$R$1377,18,0)=1,IFERROR(INDEX(FourWeekly_Model!$D$2:$D$29,MATCH(H331,FourWeekly_Model!$B$2:$B$29,0)),0),IF(VLOOKUP($A331,Calendar!$A$1:$R$1377,18,0)=2,SUM(IFERROR(INDEX(FourWeekly_Model!$D$2:$D$29,MATCH(H331,FourWeekly_Model!$B$2:$B$29,0)),0),IFERROR(INDEX(FourWeekly_Model!$D$2:$D$29,MATCH(H332,FourWeekly_Model!$B$2:$B$29,0)),0)),IF(VLOOKUP($A331,Calendar!$A$1:$R$1377,18,0)=3,SUM(IFERROR(INDEX(FourWeekly_Model!$D$2:$D$29,MATCH(H331,FourWeekly_Model!$B$2:$B$29,0)),0),IFERROR(INDEX(FourWeekly_Model!$D$2:$D$29,MATCH(H332,FourWeekly_Model!$B$2:$B$29,0)),0),IFERROR(INDEX(FourWeekly_Model!$D$2:$D$29,MATCH(H333,FourWeekly_Model!$B$2:$B$29,0)),0)),IF(VLOOKUP($A331,Calendar!$A$1:$R$1377,18,0)=4,SUM(IFERROR(INDEX(FourWeekly_Model!$D$2:$D$29,MATCH(H331,FourWeekly_Model!$B$2:$B$29,0)),0),IFERROR(INDEX(FourWeekly_Model!$D$2:$D$29,MATCH(H332,FourWeekly_Model!$B$2:$B$29,0)),0),IFERROR(INDEX(FourWeekly_Model!$D$2:$D$29,MATCH(H333,FourWeekly_Model!$B$2:$B$29,0)),0),IFERROR(INDEX(FourWeekly_Model!$D$2:$D$29,MATCH(H334,FourWeekly_Model!$B$2:$B$29,0)),0)),IF(VLOOKUP($A331,Calendar!$A$1:$R$1377,18,0)=5,SUM(IFERROR(INDEX(FourWeekly_Model!$D$2:$D$29,MATCH(H331,FourWeekly_Model!$B$2:$B$29,0)),0),IFERROR(INDEX(FourWeekly_Model!$D$2:$D$29,MATCH(H332,FourWeekly_Model!$B$2:$B$29,0)),0),IFERROR(INDEX(FourWeekly_Model!$D$2:$D$29,MATCH(H333,FourWeekly_Model!$B$2:$B$29,0)),0),IFERROR(INDEX(FourWeekly_Model!$D$2:$D$29,MATCH(H334,FourWeekly_Model!$B$2:$B$29,0)),0),IFERROR(INDEX(FourWeekly_Model!$D$2:$D$29,MATCH(H335,FourWeekly_Model!$B$2:$B$29,0)),0)),0))))))</f>
        <v>0</v>
      </c>
      <c r="N331" s="27">
        <f>SUM(I331:M331)</f>
        <v>0</v>
      </c>
      <c r="O331" s="28">
        <f>Population_Data!$B$8*N331</f>
        <v>0</v>
      </c>
      <c r="P331" s="27">
        <f>IF(VLOOKUP($A331,Calendar!$A$1:$R$1377,18,0)=0,0,IF(VLOOKUP($A331,Calendar!$A$1:$R$1377,18,0)=1,IFERROR(INDEX(Pension_Model!$D$2:$D$29,MATCH(H331,Pension_Model!$B$2:$B$29,0)),0),IF(VLOOKUP($A331,Calendar!$A$1:$R$1377,18,0)=2,SUM(IFERROR(INDEX(Pension_Model!$D$2:$D$29,MATCH(H331,Pension_Model!$B$2:$B$29,0)),0),IFERROR(INDEX(Pension_Model!$D$2:$D$29,MATCH(H332,Pension_Model!$B$2:$B$29,0)),0)),IF(VLOOKUP($A331,Calendar!$A$1:$R$1377,18,0)=3,SUM(IFERROR(INDEX(Pension_Model!$D$2:$D$29,MATCH(H331,Pension_Model!$B$2:$B$29,0)),0),IFERROR(INDEX(Pension_Model!$D$2:$D$29,MATCH(H332,Pension_Model!$B$2:$B$29,0)),0),IFERROR(INDEX(Pension_Model!$D$2:$D$29,MATCH(H333,Pension_Model!$B$2:$B$29,0)),0)),IF(VLOOKUP($A331,Calendar!$A$1:$R$1377,18,0)=4,SUM(IFERROR(INDEX(Pension_Model!$D$2:$D$29,MATCH(H331,Pension_Model!$B$2:$B$29,0)),0),IFERROR(INDEX(Pension_Model!$D$2:$D$29,MATCH(H332,Pension_Model!$B$2:$B$29,0)),0),IFERROR(INDEX(Pension_Model!$D$2:$D$29,MATCH(H333,Pension_Model!$B$2:$B$29,0)),0),IFERROR(INDEX(Pension_Model!$D$2:$D$29,MATCH(H334,Pension_Model!$B$2:$B$29,0)),0)),IF(VLOOKUP($A331,Calendar!$A$1:$R$1377,18,0)=5,SUM(IFERROR(INDEX(Pension_Model!$D$2:$D$29,MATCH(H331,Pension_Model!$B$2:$B$29,0)),0),IFERROR(INDEX(Pension_Model!$D$2:$D$29,MATCH(H332,Pension_Model!$B$2:$B$29,0)),0),IFERROR(INDEX(Pension_Model!$D$2:$D$29,MATCH(H333,Pension_Model!$B$2:$B$29,0)),0),IFERROR(INDEX(Pension_Model!$D$2:$D$29,MATCH(H334,Pension_Model!$B$2:$B$29,0)),0),IFERROR(INDEX(Pension_Model!$D$2:$D$29,MATCH(H335,Pension_Model!$B$2:$B$29,0)),0)),0))))))</f>
        <v>0</v>
      </c>
      <c r="Q331" s="28">
        <f>Population_Data!$B$15*P331</f>
        <v>0</v>
      </c>
      <c r="S331">
        <f t="shared" si="5"/>
        <v>0</v>
      </c>
      <c r="U331" s="33">
        <f>S331/Population_Data!$B$19</f>
        <v>0</v>
      </c>
    </row>
    <row r="332" spans="1:21">
      <c r="A332" s="25">
        <f>Calendar!A332</f>
        <v>46565</v>
      </c>
      <c r="B332" t="str">
        <f>Calendar!L332</f>
        <v>No</v>
      </c>
      <c r="C332" t="str">
        <f>Calendar!O332</f>
        <v>No</v>
      </c>
      <c r="D332" t="str">
        <f>Calendar!P332</f>
        <v>No</v>
      </c>
      <c r="E332" t="str">
        <f>Calendar!Q332</f>
        <v>No</v>
      </c>
      <c r="F332" t="str">
        <f>Calendar!I332</f>
        <v>Sunday</v>
      </c>
      <c r="G332">
        <f>Calendar!S332</f>
        <v>1</v>
      </c>
      <c r="H332">
        <f>Calendar!T332</f>
        <v>1</v>
      </c>
      <c r="I332" s="27">
        <f>IF(VLOOKUP(A332,Calendar!$A$1:$R$1377,18,0)=0,0,IF(VLOOKUP(A332,Calendar!$A$1:$R$1377,18,0)=1,INDEX(Monthly_Pay_Model!$A$9:$D$40,MATCH(TEXT(A332,"dd"),Monthly_Pay_Model!$C$9:$C$39,0),4),IF(VLOOKUP(A332,Calendar!$A$1:$R$1377,18,0)=2,SUM(INDEX(Monthly_Pay_Model!$A$9:$D$40,MATCH(TEXT(A332,"dd"),Monthly_Pay_Model!$C$9:$C$39,0),4),INDEX(Monthly_Pay_Model!$A$9:$D$40,MATCH(TEXT(A333,"dd"),Monthly_Pay_Model!$C$9:$C$39,0),4)),IF(VLOOKUP(A332,Calendar!$A$1:$R$1377,18,0)=3,SUM(INDEX(Monthly_Pay_Model!$A$9:$D$40,MATCH(TEXT(A332,"dd"),Monthly_Pay_Model!$C$9:$C$39,0),4),INDEX(Monthly_Pay_Model!$A$9:$D$40,MATCH(TEXT(A333,"dd"),Monthly_Pay_Model!$C$9:$C$39,0),4),INDEX(Monthly_Pay_Model!$A$9:$D$40,MATCH(TEXT(A334,"dd"),Monthly_Pay_Model!$C$9:$C$39,0),4)),IF(VLOOKUP(A332,Calendar!$A$1:$R$1377,18,0)=4,SUM(INDEX(Monthly_Pay_Model!$A$9:$D$40,MATCH(TEXT(A332,"dd"),Monthly_Pay_Model!$C$9:$C$39,0),4),INDEX(Monthly_Pay_Model!$A$9:$D$40,MATCH(TEXT(A333,"dd"),Monthly_Pay_Model!$C$9:$C$39,0),4),INDEX(Monthly_Pay_Model!$A$9:$D$40,MATCH(TEXT(A334,"dd"),Monthly_Pay_Model!$C$9:$C$39,0),4),INDEX(Monthly_Pay_Model!$A$9:$D$40,MATCH(TEXT(A335,"dd"),Monthly_Pay_Model!$C$9:$C$39,0),4)),IF(VLOOKUP(A332,Calendar!$A$1:$R$1377,18,0)=5,SUM(INDEX(Monthly_Pay_Model!$A$9:$D$40,MATCH(TEXT(A332,"dd"),Monthly_Pay_Model!$C$9:$C$39,0),4),INDEX(Monthly_Pay_Model!$A$9:$D$40,MATCH(TEXT(A333,"dd"),Monthly_Pay_Model!$C$9:$C$39,0),4),INDEX(Monthly_Pay_Model!$A$9:$D$40,MATCH(TEXT(A334,"dd"),Monthly_Pay_Model!$C$9:$C$39,0),4),INDEX(Monthly_Pay_Model!$A$9:$D$40,MATCH(TEXT(A335,"dd"),Monthly_Pay_Model!$C$9:$C$39,0),4),INDEX(Monthly_Pay_Model!$A$9:$D$40,MATCH(TEXT(A336,"dd"),Monthly_Pay_Model!$C$9:$C$39,0),4)),))))))</f>
        <v>0</v>
      </c>
      <c r="J332" s="33">
        <f>IF(C332="Yes",Monthly_Pay_Model!$D$2,0)
+IF(Calendar!N332="Yes",Monthly_Pay_Model!$D$3,0)
+IF(D332="Yes",Monthly_Pay_Model!$D$4,0)
+IF(E332="Yes",Monthly_Pay_Model!$D$5,0)</f>
        <v>0</v>
      </c>
      <c r="K332" s="27">
        <f>IF(VLOOKUP($A332,Calendar!$A$1:$R$1377,18,0)=0,0,IF(VLOOKUP($A332,Calendar!$A$1:$R$1377,18,0)=1,IFERROR(INDEX(Weekly_Model!$D$2:$D$9,MATCH(F332,Weekly_Model!$A$2:$A$9,0)),0),IF(VLOOKUP($A332,Calendar!$A$1:$R$1377,18,0)=2,SUM(IFERROR(INDEX(Weekly_Model!$D$2:$D$9,MATCH(F332,Weekly_Model!$A$2:$A$9,0)),0),IFERROR(INDEX(Weekly_Model!$D$2:$D$9,MATCH(F333,Weekly_Model!$A$2:$A$9,0)),0)),IF(VLOOKUP($A332,Calendar!$A$1:$R$1377,18,0)=3,SUM(IFERROR(INDEX(Weekly_Model!$D$2:$D$9,MATCH(F332,Weekly_Model!$A$2:$A$9,0)),0),IFERROR(INDEX(Weekly_Model!$D$2:$D$9,MATCH(F333,Weekly_Model!$A$2:$A$9,0)),0),IFERROR(INDEX(Weekly_Model!$D$2:$D$9,MATCH(F334,Weekly_Model!$A$2:$A$9,0)),0)),IF(VLOOKUP($A332,Calendar!$A$1:$R$1377,18,0)=4,SUM(IFERROR(INDEX(Weekly_Model!$D$2:$D$9,MATCH(F332,Weekly_Model!$A$2:$A$9,0)),0),IFERROR(INDEX(Weekly_Model!$D$2:$D$9,MATCH(F333,Weekly_Model!$A$2:$A$9,0)),0),IFERROR(INDEX(Weekly_Model!$D$2:$D$9,MATCH(F334,Weekly_Model!$A$2:$A$9,0)),0),IFERROR(INDEX(Weekly_Model!$D$2:$D$9,MATCH(F335,Weekly_Model!$A$2:$A$9,0)),0)),IF(VLOOKUP($A332,Calendar!$A$1:$R$1377,18,0)=5,SUM(IFERROR(INDEX(Weekly_Model!$D$2:$D$9,MATCH(F332,Weekly_Model!$A$2:$A$9,0)),0),IFERROR(INDEX(Weekly_Model!$D$2:$D$9,MATCH(F333,Weekly_Model!$A$2:$A$9,0)),0),IFERROR(INDEX(Weekly_Model!$D$2:$D$9,MATCH(F334,Weekly_Model!$A$2:$A$9,0)),0),IFERROR(INDEX(Weekly_Model!$D$2:$D$9,MATCH(F335,Weekly_Model!$A$2:$A$9,0)),0),IFERROR(INDEX(Weekly_Model!$D$2:$D$9,MATCH(F336,Weekly_Model!$A$2:$A$9,0)),0)),0))))))</f>
        <v>0</v>
      </c>
      <c r="L332" s="27">
        <f>IF(VLOOKUP($A332,Calendar!$A$1:$R$1377,18,0)=0,0,IF(VLOOKUP($A332,Calendar!$A$1:$R$1377,18,0)=1,IFERROR(INDEX(Fortnightly_Model!$D$2:$D$15,MATCH(G332,Fortnightly_Model!$B$2:$B$15,0)),0),IF(VLOOKUP($A332,Calendar!$A$1:$R$1377,18,0)=2,SUM(IFERROR(INDEX(Fortnightly_Model!$D$2:$D$15,MATCH(G332,Fortnightly_Model!$B$2:$B$15,0)),0),IFERROR(INDEX(Fortnightly_Model!$D$2:$D$15,MATCH(G333,Fortnightly_Model!$B$2:$B$15,0)),0)),IF(VLOOKUP($A332,Calendar!$A$1:$R$1377,18,0)=3,SUM(IFERROR(INDEX(Fortnightly_Model!$D$2:$D$15,MATCH(G332,Fortnightly_Model!$B$2:$B$15,0)),0),IFERROR(INDEX(Fortnightly_Model!$D$2:$D$15,MATCH(G333,Fortnightly_Model!$B$2:$B$15,0)),0),IFERROR(INDEX(Fortnightly_Model!$D$2:$D$15,MATCH(G334,Fortnightly_Model!$B$2:$B$15,0)),0)),IF(VLOOKUP($A332,Calendar!$A$1:$R$1377,18,0)=4,SUM(IFERROR(INDEX(Fortnightly_Model!$D$2:$D$15,MATCH(G332,Fortnightly_Model!$B$2:$B$15,0)),0),IFERROR(INDEX(Fortnightly_Model!$D$2:$D$15,MATCH(G333,Fortnightly_Model!$B$2:$B$15,0)),0),IFERROR(INDEX(Fortnightly_Model!$D$2:$D$15,MATCH(G334,Fortnightly_Model!$B$2:$B$15,0)),0),IFERROR(INDEX(Fortnightly_Model!$D$2:$D$15,MATCH(G335,Fortnightly_Model!$B$2:$B$15,0)),0)),IF(VLOOKUP($A332,Calendar!$A$1:$R$1377,18,0)=5,SUM(IFERROR(INDEX(Fortnightly_Model!$D$2:$D$15,MATCH(G332,Fortnightly_Model!$B$2:$B$15,0)),0),IFERROR(INDEX(Fortnightly_Model!$D$2:$D$15,MATCH(G333,Fortnightly_Model!$B$2:$B$15,0)),0),IFERROR(INDEX(Fortnightly_Model!$D$2:$D$15,MATCH(G334,Fortnightly_Model!$B$2:$B$15,0)),0),IFERROR(INDEX(Fortnightly_Model!$D$2:$D$15,MATCH(G335,Fortnightly_Model!$B$2:$B$15,0)),0),IFERROR(INDEX(Fortnightly_Model!$D$2:$D$15,MATCH(G336,Fortnightly_Model!$B$2:$B$15,0)),0)),0))))))</f>
        <v>0</v>
      </c>
      <c r="M332" s="27">
        <f>IF(VLOOKUP($A332,Calendar!$A$1:$R$1377,18,0)=0,0,IF(VLOOKUP($A332,Calendar!$A$1:$R$1377,18,0)=1,IFERROR(INDEX(FourWeekly_Model!$D$2:$D$29,MATCH(H332,FourWeekly_Model!$B$2:$B$29,0)),0),IF(VLOOKUP($A332,Calendar!$A$1:$R$1377,18,0)=2,SUM(IFERROR(INDEX(FourWeekly_Model!$D$2:$D$29,MATCH(H332,FourWeekly_Model!$B$2:$B$29,0)),0),IFERROR(INDEX(FourWeekly_Model!$D$2:$D$29,MATCH(H333,FourWeekly_Model!$B$2:$B$29,0)),0)),IF(VLOOKUP($A332,Calendar!$A$1:$R$1377,18,0)=3,SUM(IFERROR(INDEX(FourWeekly_Model!$D$2:$D$29,MATCH(H332,FourWeekly_Model!$B$2:$B$29,0)),0),IFERROR(INDEX(FourWeekly_Model!$D$2:$D$29,MATCH(H333,FourWeekly_Model!$B$2:$B$29,0)),0),IFERROR(INDEX(FourWeekly_Model!$D$2:$D$29,MATCH(H334,FourWeekly_Model!$B$2:$B$29,0)),0)),IF(VLOOKUP($A332,Calendar!$A$1:$R$1377,18,0)=4,SUM(IFERROR(INDEX(FourWeekly_Model!$D$2:$D$29,MATCH(H332,FourWeekly_Model!$B$2:$B$29,0)),0),IFERROR(INDEX(FourWeekly_Model!$D$2:$D$29,MATCH(H333,FourWeekly_Model!$B$2:$B$29,0)),0),IFERROR(INDEX(FourWeekly_Model!$D$2:$D$29,MATCH(H334,FourWeekly_Model!$B$2:$B$29,0)),0),IFERROR(INDEX(FourWeekly_Model!$D$2:$D$29,MATCH(H335,FourWeekly_Model!$B$2:$B$29,0)),0)),IF(VLOOKUP($A332,Calendar!$A$1:$R$1377,18,0)=5,SUM(IFERROR(INDEX(FourWeekly_Model!$D$2:$D$29,MATCH(H332,FourWeekly_Model!$B$2:$B$29,0)),0),IFERROR(INDEX(FourWeekly_Model!$D$2:$D$29,MATCH(H333,FourWeekly_Model!$B$2:$B$29,0)),0),IFERROR(INDEX(FourWeekly_Model!$D$2:$D$29,MATCH(H334,FourWeekly_Model!$B$2:$B$29,0)),0),IFERROR(INDEX(FourWeekly_Model!$D$2:$D$29,MATCH(H335,FourWeekly_Model!$B$2:$B$29,0)),0),IFERROR(INDEX(FourWeekly_Model!$D$2:$D$29,MATCH(H336,FourWeekly_Model!$B$2:$B$29,0)),0)),0))))))</f>
        <v>0</v>
      </c>
      <c r="N332" s="27">
        <f>SUM(I332:M332)</f>
        <v>0</v>
      </c>
      <c r="O332" s="28">
        <f>Population_Data!$B$8*N332</f>
        <v>0</v>
      </c>
      <c r="P332" s="27">
        <f>IF(VLOOKUP($A332,Calendar!$A$1:$R$1377,18,0)=0,0,IF(VLOOKUP($A332,Calendar!$A$1:$R$1377,18,0)=1,IFERROR(INDEX(Pension_Model!$D$2:$D$29,MATCH(H332,Pension_Model!$B$2:$B$29,0)),0),IF(VLOOKUP($A332,Calendar!$A$1:$R$1377,18,0)=2,SUM(IFERROR(INDEX(Pension_Model!$D$2:$D$29,MATCH(H332,Pension_Model!$B$2:$B$29,0)),0),IFERROR(INDEX(Pension_Model!$D$2:$D$29,MATCH(H333,Pension_Model!$B$2:$B$29,0)),0)),IF(VLOOKUP($A332,Calendar!$A$1:$R$1377,18,0)=3,SUM(IFERROR(INDEX(Pension_Model!$D$2:$D$29,MATCH(H332,Pension_Model!$B$2:$B$29,0)),0),IFERROR(INDEX(Pension_Model!$D$2:$D$29,MATCH(H333,Pension_Model!$B$2:$B$29,0)),0),IFERROR(INDEX(Pension_Model!$D$2:$D$29,MATCH(H334,Pension_Model!$B$2:$B$29,0)),0)),IF(VLOOKUP($A332,Calendar!$A$1:$R$1377,18,0)=4,SUM(IFERROR(INDEX(Pension_Model!$D$2:$D$29,MATCH(H332,Pension_Model!$B$2:$B$29,0)),0),IFERROR(INDEX(Pension_Model!$D$2:$D$29,MATCH(H333,Pension_Model!$B$2:$B$29,0)),0),IFERROR(INDEX(Pension_Model!$D$2:$D$29,MATCH(H334,Pension_Model!$B$2:$B$29,0)),0),IFERROR(INDEX(Pension_Model!$D$2:$D$29,MATCH(H335,Pension_Model!$B$2:$B$29,0)),0)),IF(VLOOKUP($A332,Calendar!$A$1:$R$1377,18,0)=5,SUM(IFERROR(INDEX(Pension_Model!$D$2:$D$29,MATCH(H332,Pension_Model!$B$2:$B$29,0)),0),IFERROR(INDEX(Pension_Model!$D$2:$D$29,MATCH(H333,Pension_Model!$B$2:$B$29,0)),0),IFERROR(INDEX(Pension_Model!$D$2:$D$29,MATCH(H334,Pension_Model!$B$2:$B$29,0)),0),IFERROR(INDEX(Pension_Model!$D$2:$D$29,MATCH(H335,Pension_Model!$B$2:$B$29,0)),0),IFERROR(INDEX(Pension_Model!$D$2:$D$29,MATCH(H336,Pension_Model!$B$2:$B$29,0)),0)),0))))))</f>
        <v>0</v>
      </c>
      <c r="Q332" s="28">
        <f>Population_Data!$B$15*P332</f>
        <v>0</v>
      </c>
      <c r="S332">
        <f t="shared" si="5"/>
        <v>0</v>
      </c>
      <c r="U332" s="33">
        <f>S332/Population_Data!$B$19</f>
        <v>0</v>
      </c>
    </row>
    <row r="333" spans="1:21">
      <c r="A333" s="25">
        <f>Calendar!A333</f>
        <v>46566</v>
      </c>
      <c r="B333" t="str">
        <f>Calendar!L333</f>
        <v>Yes</v>
      </c>
      <c r="C333" t="str">
        <f>Calendar!O333</f>
        <v>No</v>
      </c>
      <c r="D333" t="str">
        <f>Calendar!P333</f>
        <v>No</v>
      </c>
      <c r="E333" t="str">
        <f>Calendar!Q333</f>
        <v>No</v>
      </c>
      <c r="F333" t="str">
        <f>Calendar!I333</f>
        <v>Monday</v>
      </c>
      <c r="G333">
        <f>Calendar!S333</f>
        <v>2</v>
      </c>
      <c r="H333">
        <f>Calendar!T333</f>
        <v>2</v>
      </c>
      <c r="I333" s="27">
        <f>IF(VLOOKUP(A333,Calendar!$A$1:$R$1377,18,0)=0,0,IF(VLOOKUP(A333,Calendar!$A$1:$R$1377,18,0)=1,INDEX(Monthly_Pay_Model!$A$9:$D$40,MATCH(TEXT(A333,"dd"),Monthly_Pay_Model!$C$9:$C$39,0),4),IF(VLOOKUP(A333,Calendar!$A$1:$R$1377,18,0)=2,SUM(INDEX(Monthly_Pay_Model!$A$9:$D$40,MATCH(TEXT(A333,"dd"),Monthly_Pay_Model!$C$9:$C$39,0),4),INDEX(Monthly_Pay_Model!$A$9:$D$40,MATCH(TEXT(A334,"dd"),Monthly_Pay_Model!$C$9:$C$39,0),4)),IF(VLOOKUP(A333,Calendar!$A$1:$R$1377,18,0)=3,SUM(INDEX(Monthly_Pay_Model!$A$9:$D$40,MATCH(TEXT(A333,"dd"),Monthly_Pay_Model!$C$9:$C$39,0),4),INDEX(Monthly_Pay_Model!$A$9:$D$40,MATCH(TEXT(A334,"dd"),Monthly_Pay_Model!$C$9:$C$39,0),4),INDEX(Monthly_Pay_Model!$A$9:$D$40,MATCH(TEXT(A335,"dd"),Monthly_Pay_Model!$C$9:$C$39,0),4)),IF(VLOOKUP(A333,Calendar!$A$1:$R$1377,18,0)=4,SUM(INDEX(Monthly_Pay_Model!$A$9:$D$40,MATCH(TEXT(A333,"dd"),Monthly_Pay_Model!$C$9:$C$39,0),4),INDEX(Monthly_Pay_Model!$A$9:$D$40,MATCH(TEXT(A334,"dd"),Monthly_Pay_Model!$C$9:$C$39,0),4),INDEX(Monthly_Pay_Model!$A$9:$D$40,MATCH(TEXT(A335,"dd"),Monthly_Pay_Model!$C$9:$C$39,0),4),INDEX(Monthly_Pay_Model!$A$9:$D$40,MATCH(TEXT(A336,"dd"),Monthly_Pay_Model!$C$9:$C$39,0),4)),IF(VLOOKUP(A333,Calendar!$A$1:$R$1377,18,0)=5,SUM(INDEX(Monthly_Pay_Model!$A$9:$D$40,MATCH(TEXT(A333,"dd"),Monthly_Pay_Model!$C$9:$C$39,0),4),INDEX(Monthly_Pay_Model!$A$9:$D$40,MATCH(TEXT(A334,"dd"),Monthly_Pay_Model!$C$9:$C$39,0),4),INDEX(Monthly_Pay_Model!$A$9:$D$40,MATCH(TEXT(A335,"dd"),Monthly_Pay_Model!$C$9:$C$39,0),4),INDEX(Monthly_Pay_Model!$A$9:$D$40,MATCH(TEXT(A336,"dd"),Monthly_Pay_Model!$C$9:$C$39,0),4),INDEX(Monthly_Pay_Model!$A$9:$D$40,MATCH(TEXT(A337,"dd"),Monthly_Pay_Model!$C$9:$C$39,0),4)),))))))</f>
        <v>2.1126701570680625E-2</v>
      </c>
      <c r="J333" s="33">
        <f>IF(C333="Yes",Monthly_Pay_Model!$D$2,0)
+IF(Calendar!N333="Yes",Monthly_Pay_Model!$D$3,0)
+IF(D333="Yes",Monthly_Pay_Model!$D$4,0)
+IF(E333="Yes",Monthly_Pay_Model!$D$5,0)</f>
        <v>0</v>
      </c>
      <c r="K333" s="27">
        <f>IF(VLOOKUP($A333,Calendar!$A$1:$R$1377,18,0)=0,0,IF(VLOOKUP($A333,Calendar!$A$1:$R$1377,18,0)=1,IFERROR(INDEX(Weekly_Model!$D$2:$D$9,MATCH(F333,Weekly_Model!$A$2:$A$9,0)),0),IF(VLOOKUP($A333,Calendar!$A$1:$R$1377,18,0)=2,SUM(IFERROR(INDEX(Weekly_Model!$D$2:$D$9,MATCH(F333,Weekly_Model!$A$2:$A$9,0)),0),IFERROR(INDEX(Weekly_Model!$D$2:$D$9,MATCH(F334,Weekly_Model!$A$2:$A$9,0)),0)),IF(VLOOKUP($A333,Calendar!$A$1:$R$1377,18,0)=3,SUM(IFERROR(INDEX(Weekly_Model!$D$2:$D$9,MATCH(F333,Weekly_Model!$A$2:$A$9,0)),0),IFERROR(INDEX(Weekly_Model!$D$2:$D$9,MATCH(F334,Weekly_Model!$A$2:$A$9,0)),0),IFERROR(INDEX(Weekly_Model!$D$2:$D$9,MATCH(F335,Weekly_Model!$A$2:$A$9,0)),0)),IF(VLOOKUP($A333,Calendar!$A$1:$R$1377,18,0)=4,SUM(IFERROR(INDEX(Weekly_Model!$D$2:$D$9,MATCH(F333,Weekly_Model!$A$2:$A$9,0)),0),IFERROR(INDEX(Weekly_Model!$D$2:$D$9,MATCH(F334,Weekly_Model!$A$2:$A$9,0)),0),IFERROR(INDEX(Weekly_Model!$D$2:$D$9,MATCH(F335,Weekly_Model!$A$2:$A$9,0)),0),IFERROR(INDEX(Weekly_Model!$D$2:$D$9,MATCH(F336,Weekly_Model!$A$2:$A$9,0)),0)),IF(VLOOKUP($A333,Calendar!$A$1:$R$1377,18,0)=5,SUM(IFERROR(INDEX(Weekly_Model!$D$2:$D$9,MATCH(F333,Weekly_Model!$A$2:$A$9,0)),0),IFERROR(INDEX(Weekly_Model!$D$2:$D$9,MATCH(F334,Weekly_Model!$A$2:$A$9,0)),0),IFERROR(INDEX(Weekly_Model!$D$2:$D$9,MATCH(F335,Weekly_Model!$A$2:$A$9,0)),0),IFERROR(INDEX(Weekly_Model!$D$2:$D$9,MATCH(F336,Weekly_Model!$A$2:$A$9,0)),0),IFERROR(INDEX(Weekly_Model!$D$2:$D$9,MATCH(F337,Weekly_Model!$A$2:$A$9,0)),0)),0))))))</f>
        <v>2.3200000000000002E-2</v>
      </c>
      <c r="L333" s="27">
        <f>IF(VLOOKUP($A333,Calendar!$A$1:$R$1377,18,0)=0,0,IF(VLOOKUP($A333,Calendar!$A$1:$R$1377,18,0)=1,IFERROR(INDEX(Fortnightly_Model!$D$2:$D$15,MATCH(G333,Fortnightly_Model!$B$2:$B$15,0)),0),IF(VLOOKUP($A333,Calendar!$A$1:$R$1377,18,0)=2,SUM(IFERROR(INDEX(Fortnightly_Model!$D$2:$D$15,MATCH(G333,Fortnightly_Model!$B$2:$B$15,0)),0),IFERROR(INDEX(Fortnightly_Model!$D$2:$D$15,MATCH(G334,Fortnightly_Model!$B$2:$B$15,0)),0)),IF(VLOOKUP($A333,Calendar!$A$1:$R$1377,18,0)=3,SUM(IFERROR(INDEX(Fortnightly_Model!$D$2:$D$15,MATCH(G333,Fortnightly_Model!$B$2:$B$15,0)),0),IFERROR(INDEX(Fortnightly_Model!$D$2:$D$15,MATCH(G334,Fortnightly_Model!$B$2:$B$15,0)),0),IFERROR(INDEX(Fortnightly_Model!$D$2:$D$15,MATCH(G335,Fortnightly_Model!$B$2:$B$15,0)),0)),IF(VLOOKUP($A333,Calendar!$A$1:$R$1377,18,0)=4,SUM(IFERROR(INDEX(Fortnightly_Model!$D$2:$D$15,MATCH(G333,Fortnightly_Model!$B$2:$B$15,0)),0),IFERROR(INDEX(Fortnightly_Model!$D$2:$D$15,MATCH(G334,Fortnightly_Model!$B$2:$B$15,0)),0),IFERROR(INDEX(Fortnightly_Model!$D$2:$D$15,MATCH(G335,Fortnightly_Model!$B$2:$B$15,0)),0),IFERROR(INDEX(Fortnightly_Model!$D$2:$D$15,MATCH(G336,Fortnightly_Model!$B$2:$B$15,0)),0)),IF(VLOOKUP($A333,Calendar!$A$1:$R$1377,18,0)=5,SUM(IFERROR(INDEX(Fortnightly_Model!$D$2:$D$15,MATCH(G333,Fortnightly_Model!$B$2:$B$15,0)),0),IFERROR(INDEX(Fortnightly_Model!$D$2:$D$15,MATCH(G334,Fortnightly_Model!$B$2:$B$15,0)),0),IFERROR(INDEX(Fortnightly_Model!$D$2:$D$15,MATCH(G335,Fortnightly_Model!$B$2:$B$15,0)),0),IFERROR(INDEX(Fortnightly_Model!$D$2:$D$15,MATCH(G336,Fortnightly_Model!$B$2:$B$15,0)),0),IFERROR(INDEX(Fortnightly_Model!$D$2:$D$15,MATCH(G337,Fortnightly_Model!$B$2:$B$15,0)),0)),0))))))</f>
        <v>1.0714285499999999E-3</v>
      </c>
      <c r="M333" s="27">
        <f>IF(VLOOKUP($A333,Calendar!$A$1:$R$1377,18,0)=0,0,IF(VLOOKUP($A333,Calendar!$A$1:$R$1377,18,0)=1,IFERROR(INDEX(FourWeekly_Model!$D$2:$D$29,MATCH(H333,FourWeekly_Model!$B$2:$B$29,0)),0),IF(VLOOKUP($A333,Calendar!$A$1:$R$1377,18,0)=2,SUM(IFERROR(INDEX(FourWeekly_Model!$D$2:$D$29,MATCH(H333,FourWeekly_Model!$B$2:$B$29,0)),0),IFERROR(INDEX(FourWeekly_Model!$D$2:$D$29,MATCH(H334,FourWeekly_Model!$B$2:$B$29,0)),0)),IF(VLOOKUP($A333,Calendar!$A$1:$R$1377,18,0)=3,SUM(IFERROR(INDEX(FourWeekly_Model!$D$2:$D$29,MATCH(H333,FourWeekly_Model!$B$2:$B$29,0)),0),IFERROR(INDEX(FourWeekly_Model!$D$2:$D$29,MATCH(H334,FourWeekly_Model!$B$2:$B$29,0)),0),IFERROR(INDEX(FourWeekly_Model!$D$2:$D$29,MATCH(H335,FourWeekly_Model!$B$2:$B$29,0)),0)),IF(VLOOKUP($A333,Calendar!$A$1:$R$1377,18,0)=4,SUM(IFERROR(INDEX(FourWeekly_Model!$D$2:$D$29,MATCH(H333,FourWeekly_Model!$B$2:$B$29,0)),0),IFERROR(INDEX(FourWeekly_Model!$D$2:$D$29,MATCH(H334,FourWeekly_Model!$B$2:$B$29,0)),0),IFERROR(INDEX(FourWeekly_Model!$D$2:$D$29,MATCH(H335,FourWeekly_Model!$B$2:$B$29,0)),0),IFERROR(INDEX(FourWeekly_Model!$D$2:$D$29,MATCH(H336,FourWeekly_Model!$B$2:$B$29,0)),0)),IF(VLOOKUP($A333,Calendar!$A$1:$R$1377,18,0)=5,SUM(IFERROR(INDEX(FourWeekly_Model!$D$2:$D$29,MATCH(H333,FourWeekly_Model!$B$2:$B$29,0)),0),IFERROR(INDEX(FourWeekly_Model!$D$2:$D$29,MATCH(H334,FourWeekly_Model!$B$2:$B$29,0)),0),IFERROR(INDEX(FourWeekly_Model!$D$2:$D$29,MATCH(H335,FourWeekly_Model!$B$2:$B$29,0)),0),IFERROR(INDEX(FourWeekly_Model!$D$2:$D$29,MATCH(H336,FourWeekly_Model!$B$2:$B$29,0)),0),IFERROR(INDEX(FourWeekly_Model!$D$2:$D$29,MATCH(H337,FourWeekly_Model!$B$2:$B$29,0)),0)),0))))))</f>
        <v>3.3214289700000004E-3</v>
      </c>
      <c r="N333" s="27">
        <f>SUM(I333:M333)</f>
        <v>4.8719559090680625E-2</v>
      </c>
      <c r="O333" s="28">
        <f>Population_Data!$B$8*N333</f>
        <v>1476202.6404476229</v>
      </c>
      <c r="P333" s="27">
        <f>IF(VLOOKUP($A333,Calendar!$A$1:$R$1377,18,0)=0,0,IF(VLOOKUP($A333,Calendar!$A$1:$R$1377,18,0)=1,IFERROR(INDEX(Pension_Model!$D$2:$D$29,MATCH(H333,Pension_Model!$B$2:$B$29,0)),0),IF(VLOOKUP($A333,Calendar!$A$1:$R$1377,18,0)=2,SUM(IFERROR(INDEX(Pension_Model!$D$2:$D$29,MATCH(H333,Pension_Model!$B$2:$B$29,0)),0),IFERROR(INDEX(Pension_Model!$D$2:$D$29,MATCH(H334,Pension_Model!$B$2:$B$29,0)),0)),IF(VLOOKUP($A333,Calendar!$A$1:$R$1377,18,0)=3,SUM(IFERROR(INDEX(Pension_Model!$D$2:$D$29,MATCH(H333,Pension_Model!$B$2:$B$29,0)),0),IFERROR(INDEX(Pension_Model!$D$2:$D$29,MATCH(H334,Pension_Model!$B$2:$B$29,0)),0),IFERROR(INDEX(Pension_Model!$D$2:$D$29,MATCH(H335,Pension_Model!$B$2:$B$29,0)),0)),IF(VLOOKUP($A333,Calendar!$A$1:$R$1377,18,0)=4,SUM(IFERROR(INDEX(Pension_Model!$D$2:$D$29,MATCH(H333,Pension_Model!$B$2:$B$29,0)),0),IFERROR(INDEX(Pension_Model!$D$2:$D$29,MATCH(H334,Pension_Model!$B$2:$B$29,0)),0),IFERROR(INDEX(Pension_Model!$D$2:$D$29,MATCH(H335,Pension_Model!$B$2:$B$29,0)),0),IFERROR(INDEX(Pension_Model!$D$2:$D$29,MATCH(H336,Pension_Model!$B$2:$B$29,0)),0)),IF(VLOOKUP($A333,Calendar!$A$1:$R$1377,18,0)=5,SUM(IFERROR(INDEX(Pension_Model!$D$2:$D$29,MATCH(H333,Pension_Model!$B$2:$B$29,0)),0),IFERROR(INDEX(Pension_Model!$D$2:$D$29,MATCH(H334,Pension_Model!$B$2:$B$29,0)),0),IFERROR(INDEX(Pension_Model!$D$2:$D$29,MATCH(H335,Pension_Model!$B$2:$B$29,0)),0),IFERROR(INDEX(Pension_Model!$D$2:$D$29,MATCH(H336,Pension_Model!$B$2:$B$29,0)),0),IFERROR(INDEX(Pension_Model!$D$2:$D$29,MATCH(H337,Pension_Model!$B$2:$B$29,0)),0)),0))))))</f>
        <v>0.05</v>
      </c>
      <c r="Q333" s="28">
        <f>Population_Data!$B$15*P333</f>
        <v>660600</v>
      </c>
      <c r="S333">
        <f t="shared" si="5"/>
        <v>2136802.6404476231</v>
      </c>
      <c r="U333" s="33">
        <f>S333/Population_Data!$B$19</f>
        <v>3.87101927617323E-2</v>
      </c>
    </row>
    <row r="334" spans="1:21">
      <c r="A334" s="25">
        <f>Calendar!A334</f>
        <v>46567</v>
      </c>
      <c r="B334" t="str">
        <f>Calendar!L334</f>
        <v>Yes</v>
      </c>
      <c r="C334" t="str">
        <f>Calendar!O334</f>
        <v>No</v>
      </c>
      <c r="D334" t="str">
        <f>Calendar!P334</f>
        <v>No</v>
      </c>
      <c r="E334" t="str">
        <f>Calendar!Q334</f>
        <v>No</v>
      </c>
      <c r="F334" t="str">
        <f>Calendar!I334</f>
        <v>Tuesday</v>
      </c>
      <c r="G334">
        <f>Calendar!S334</f>
        <v>3</v>
      </c>
      <c r="H334">
        <f>Calendar!T334</f>
        <v>3</v>
      </c>
      <c r="I334" s="27">
        <f>IF(VLOOKUP(A334,Calendar!$A$1:$R$1377,18,0)=0,0,IF(VLOOKUP(A334,Calendar!$A$1:$R$1377,18,0)=1,INDEX(Monthly_Pay_Model!$A$9:$D$40,MATCH(TEXT(A334,"dd"),Monthly_Pay_Model!$C$9:$C$39,0),4),IF(VLOOKUP(A334,Calendar!$A$1:$R$1377,18,0)=2,SUM(INDEX(Monthly_Pay_Model!$A$9:$D$40,MATCH(TEXT(A334,"dd"),Monthly_Pay_Model!$C$9:$C$39,0),4),INDEX(Monthly_Pay_Model!$A$9:$D$40,MATCH(TEXT(A335,"dd"),Monthly_Pay_Model!$C$9:$C$39,0),4)),IF(VLOOKUP(A334,Calendar!$A$1:$R$1377,18,0)=3,SUM(INDEX(Monthly_Pay_Model!$A$9:$D$40,MATCH(TEXT(A334,"dd"),Monthly_Pay_Model!$C$9:$C$39,0),4),INDEX(Monthly_Pay_Model!$A$9:$D$40,MATCH(TEXT(A335,"dd"),Monthly_Pay_Model!$C$9:$C$39,0),4),INDEX(Monthly_Pay_Model!$A$9:$D$40,MATCH(TEXT(A336,"dd"),Monthly_Pay_Model!$C$9:$C$39,0),4)),IF(VLOOKUP(A334,Calendar!$A$1:$R$1377,18,0)=4,SUM(INDEX(Monthly_Pay_Model!$A$9:$D$40,MATCH(TEXT(A334,"dd"),Monthly_Pay_Model!$C$9:$C$39,0),4),INDEX(Monthly_Pay_Model!$A$9:$D$40,MATCH(TEXT(A335,"dd"),Monthly_Pay_Model!$C$9:$C$39,0),4),INDEX(Monthly_Pay_Model!$A$9:$D$40,MATCH(TEXT(A336,"dd"),Monthly_Pay_Model!$C$9:$C$39,0),4),INDEX(Monthly_Pay_Model!$A$9:$D$40,MATCH(TEXT(A337,"dd"),Monthly_Pay_Model!$C$9:$C$39,0),4)),IF(VLOOKUP(A334,Calendar!$A$1:$R$1377,18,0)=5,SUM(INDEX(Monthly_Pay_Model!$A$9:$D$40,MATCH(TEXT(A334,"dd"),Monthly_Pay_Model!$C$9:$C$39,0),4),INDEX(Monthly_Pay_Model!$A$9:$D$40,MATCH(TEXT(A335,"dd"),Monthly_Pay_Model!$C$9:$C$39,0),4),INDEX(Monthly_Pay_Model!$A$9:$D$40,MATCH(TEXT(A336,"dd"),Monthly_Pay_Model!$C$9:$C$39,0),4),INDEX(Monthly_Pay_Model!$A$9:$D$40,MATCH(TEXT(A337,"dd"),Monthly_Pay_Model!$C$9:$C$39,0),4),INDEX(Monthly_Pay_Model!$A$9:$D$40,MATCH(TEXT(A338,"dd"),Monthly_Pay_Model!$C$9:$C$39,0),4)),))))))</f>
        <v>4.0628272251308894E-3</v>
      </c>
      <c r="J334" s="33">
        <f>IF(C334="Yes",Monthly_Pay_Model!$D$2,0)
+IF(Calendar!N334="Yes",Monthly_Pay_Model!$D$3,0)
+IF(D334="Yes",Monthly_Pay_Model!$D$4,0)
+IF(E334="Yes",Monthly_Pay_Model!$D$5,0)</f>
        <v>0</v>
      </c>
      <c r="K334" s="27">
        <f>IF(VLOOKUP($A334,Calendar!$A$1:$R$1377,18,0)=0,0,IF(VLOOKUP($A334,Calendar!$A$1:$R$1377,18,0)=1,IFERROR(INDEX(Weekly_Model!$D$2:$D$9,MATCH(F334,Weekly_Model!$A$2:$A$9,0)),0),IF(VLOOKUP($A334,Calendar!$A$1:$R$1377,18,0)=2,SUM(IFERROR(INDEX(Weekly_Model!$D$2:$D$9,MATCH(F334,Weekly_Model!$A$2:$A$9,0)),0),IFERROR(INDEX(Weekly_Model!$D$2:$D$9,MATCH(F335,Weekly_Model!$A$2:$A$9,0)),0)),IF(VLOOKUP($A334,Calendar!$A$1:$R$1377,18,0)=3,SUM(IFERROR(INDEX(Weekly_Model!$D$2:$D$9,MATCH(F334,Weekly_Model!$A$2:$A$9,0)),0),IFERROR(INDEX(Weekly_Model!$D$2:$D$9,MATCH(F335,Weekly_Model!$A$2:$A$9,0)),0),IFERROR(INDEX(Weekly_Model!$D$2:$D$9,MATCH(F336,Weekly_Model!$A$2:$A$9,0)),0)),IF(VLOOKUP($A334,Calendar!$A$1:$R$1377,18,0)=4,SUM(IFERROR(INDEX(Weekly_Model!$D$2:$D$9,MATCH(F334,Weekly_Model!$A$2:$A$9,0)),0),IFERROR(INDEX(Weekly_Model!$D$2:$D$9,MATCH(F335,Weekly_Model!$A$2:$A$9,0)),0),IFERROR(INDEX(Weekly_Model!$D$2:$D$9,MATCH(F336,Weekly_Model!$A$2:$A$9,0)),0),IFERROR(INDEX(Weekly_Model!$D$2:$D$9,MATCH(F337,Weekly_Model!$A$2:$A$9,0)),0)),IF(VLOOKUP($A334,Calendar!$A$1:$R$1377,18,0)=5,SUM(IFERROR(INDEX(Weekly_Model!$D$2:$D$9,MATCH(F334,Weekly_Model!$A$2:$A$9,0)),0),IFERROR(INDEX(Weekly_Model!$D$2:$D$9,MATCH(F335,Weekly_Model!$A$2:$A$9,0)),0),IFERROR(INDEX(Weekly_Model!$D$2:$D$9,MATCH(F336,Weekly_Model!$A$2:$A$9,0)),0),IFERROR(INDEX(Weekly_Model!$D$2:$D$9,MATCH(F337,Weekly_Model!$A$2:$A$9,0)),0),IFERROR(INDEX(Weekly_Model!$D$2:$D$9,MATCH(F338,Weekly_Model!$A$2:$A$9,0)),0)),0))))))</f>
        <v>2.3200000000000002E-2</v>
      </c>
      <c r="L334" s="27">
        <f>IF(VLOOKUP($A334,Calendar!$A$1:$R$1377,18,0)=0,0,IF(VLOOKUP($A334,Calendar!$A$1:$R$1377,18,0)=1,IFERROR(INDEX(Fortnightly_Model!$D$2:$D$15,MATCH(G334,Fortnightly_Model!$B$2:$B$15,0)),0),IF(VLOOKUP($A334,Calendar!$A$1:$R$1377,18,0)=2,SUM(IFERROR(INDEX(Fortnightly_Model!$D$2:$D$15,MATCH(G334,Fortnightly_Model!$B$2:$B$15,0)),0),IFERROR(INDEX(Fortnightly_Model!$D$2:$D$15,MATCH(G335,Fortnightly_Model!$B$2:$B$15,0)),0)),IF(VLOOKUP($A334,Calendar!$A$1:$R$1377,18,0)=3,SUM(IFERROR(INDEX(Fortnightly_Model!$D$2:$D$15,MATCH(G334,Fortnightly_Model!$B$2:$B$15,0)),0),IFERROR(INDEX(Fortnightly_Model!$D$2:$D$15,MATCH(G335,Fortnightly_Model!$B$2:$B$15,0)),0),IFERROR(INDEX(Fortnightly_Model!$D$2:$D$15,MATCH(G336,Fortnightly_Model!$B$2:$B$15,0)),0)),IF(VLOOKUP($A334,Calendar!$A$1:$R$1377,18,0)=4,SUM(IFERROR(INDEX(Fortnightly_Model!$D$2:$D$15,MATCH(G334,Fortnightly_Model!$B$2:$B$15,0)),0),IFERROR(INDEX(Fortnightly_Model!$D$2:$D$15,MATCH(G335,Fortnightly_Model!$B$2:$B$15,0)),0),IFERROR(INDEX(Fortnightly_Model!$D$2:$D$15,MATCH(G336,Fortnightly_Model!$B$2:$B$15,0)),0),IFERROR(INDEX(Fortnightly_Model!$D$2:$D$15,MATCH(G337,Fortnightly_Model!$B$2:$B$15,0)),0)),IF(VLOOKUP($A334,Calendar!$A$1:$R$1377,18,0)=5,SUM(IFERROR(INDEX(Fortnightly_Model!$D$2:$D$15,MATCH(G334,Fortnightly_Model!$B$2:$B$15,0)),0),IFERROR(INDEX(Fortnightly_Model!$D$2:$D$15,MATCH(G335,Fortnightly_Model!$B$2:$B$15,0)),0),IFERROR(INDEX(Fortnightly_Model!$D$2:$D$15,MATCH(G336,Fortnightly_Model!$B$2:$B$15,0)),0),IFERROR(INDEX(Fortnightly_Model!$D$2:$D$15,MATCH(G337,Fortnightly_Model!$B$2:$B$15,0)),0),IFERROR(INDEX(Fortnightly_Model!$D$2:$D$15,MATCH(G338,Fortnightly_Model!$B$2:$B$15,0)),0)),0))))))</f>
        <v>1.0714285499999999E-3</v>
      </c>
      <c r="M334" s="27">
        <f>IF(VLOOKUP($A334,Calendar!$A$1:$R$1377,18,0)=0,0,IF(VLOOKUP($A334,Calendar!$A$1:$R$1377,18,0)=1,IFERROR(INDEX(FourWeekly_Model!$D$2:$D$29,MATCH(H334,FourWeekly_Model!$B$2:$B$29,0)),0),IF(VLOOKUP($A334,Calendar!$A$1:$R$1377,18,0)=2,SUM(IFERROR(INDEX(FourWeekly_Model!$D$2:$D$29,MATCH(H334,FourWeekly_Model!$B$2:$B$29,0)),0),IFERROR(INDEX(FourWeekly_Model!$D$2:$D$29,MATCH(H335,FourWeekly_Model!$B$2:$B$29,0)),0)),IF(VLOOKUP($A334,Calendar!$A$1:$R$1377,18,0)=3,SUM(IFERROR(INDEX(FourWeekly_Model!$D$2:$D$29,MATCH(H334,FourWeekly_Model!$B$2:$B$29,0)),0),IFERROR(INDEX(FourWeekly_Model!$D$2:$D$29,MATCH(H335,FourWeekly_Model!$B$2:$B$29,0)),0),IFERROR(INDEX(FourWeekly_Model!$D$2:$D$29,MATCH(H336,FourWeekly_Model!$B$2:$B$29,0)),0)),IF(VLOOKUP($A334,Calendar!$A$1:$R$1377,18,0)=4,SUM(IFERROR(INDEX(FourWeekly_Model!$D$2:$D$29,MATCH(H334,FourWeekly_Model!$B$2:$B$29,0)),0),IFERROR(INDEX(FourWeekly_Model!$D$2:$D$29,MATCH(H335,FourWeekly_Model!$B$2:$B$29,0)),0),IFERROR(INDEX(FourWeekly_Model!$D$2:$D$29,MATCH(H336,FourWeekly_Model!$B$2:$B$29,0)),0),IFERROR(INDEX(FourWeekly_Model!$D$2:$D$29,MATCH(H337,FourWeekly_Model!$B$2:$B$29,0)),0)),IF(VLOOKUP($A334,Calendar!$A$1:$R$1377,18,0)=5,SUM(IFERROR(INDEX(FourWeekly_Model!$D$2:$D$29,MATCH(H334,FourWeekly_Model!$B$2:$B$29,0)),0),IFERROR(INDEX(FourWeekly_Model!$D$2:$D$29,MATCH(H335,FourWeekly_Model!$B$2:$B$29,0)),0),IFERROR(INDEX(FourWeekly_Model!$D$2:$D$29,MATCH(H336,FourWeekly_Model!$B$2:$B$29,0)),0),IFERROR(INDEX(FourWeekly_Model!$D$2:$D$29,MATCH(H337,FourWeekly_Model!$B$2:$B$29,0)),0),IFERROR(INDEX(FourWeekly_Model!$D$2:$D$29,MATCH(H338,FourWeekly_Model!$B$2:$B$29,0)),0)),0))))))</f>
        <v>3.3214289700000004E-3</v>
      </c>
      <c r="N334" s="27">
        <f>SUM(I334:M334)</f>
        <v>3.1655684745130891E-2</v>
      </c>
      <c r="O334" s="28">
        <f>Population_Data!$B$8*N334</f>
        <v>959167.24777746596</v>
      </c>
      <c r="P334" s="27">
        <f>IF(VLOOKUP($A334,Calendar!$A$1:$R$1377,18,0)=0,0,IF(VLOOKUP($A334,Calendar!$A$1:$R$1377,18,0)=1,IFERROR(INDEX(Pension_Model!$D$2:$D$29,MATCH(H334,Pension_Model!$B$2:$B$29,0)),0),IF(VLOOKUP($A334,Calendar!$A$1:$R$1377,18,0)=2,SUM(IFERROR(INDEX(Pension_Model!$D$2:$D$29,MATCH(H334,Pension_Model!$B$2:$B$29,0)),0),IFERROR(INDEX(Pension_Model!$D$2:$D$29,MATCH(H335,Pension_Model!$B$2:$B$29,0)),0)),IF(VLOOKUP($A334,Calendar!$A$1:$R$1377,18,0)=3,SUM(IFERROR(INDEX(Pension_Model!$D$2:$D$29,MATCH(H334,Pension_Model!$B$2:$B$29,0)),0),IFERROR(INDEX(Pension_Model!$D$2:$D$29,MATCH(H335,Pension_Model!$B$2:$B$29,0)),0),IFERROR(INDEX(Pension_Model!$D$2:$D$29,MATCH(H336,Pension_Model!$B$2:$B$29,0)),0)),IF(VLOOKUP($A334,Calendar!$A$1:$R$1377,18,0)=4,SUM(IFERROR(INDEX(Pension_Model!$D$2:$D$29,MATCH(H334,Pension_Model!$B$2:$B$29,0)),0),IFERROR(INDEX(Pension_Model!$D$2:$D$29,MATCH(H335,Pension_Model!$B$2:$B$29,0)),0),IFERROR(INDEX(Pension_Model!$D$2:$D$29,MATCH(H336,Pension_Model!$B$2:$B$29,0)),0),IFERROR(INDEX(Pension_Model!$D$2:$D$29,MATCH(H337,Pension_Model!$B$2:$B$29,0)),0)),IF(VLOOKUP($A334,Calendar!$A$1:$R$1377,18,0)=5,SUM(IFERROR(INDEX(Pension_Model!$D$2:$D$29,MATCH(H334,Pension_Model!$B$2:$B$29,0)),0),IFERROR(INDEX(Pension_Model!$D$2:$D$29,MATCH(H335,Pension_Model!$B$2:$B$29,0)),0),IFERROR(INDEX(Pension_Model!$D$2:$D$29,MATCH(H336,Pension_Model!$B$2:$B$29,0)),0),IFERROR(INDEX(Pension_Model!$D$2:$D$29,MATCH(H337,Pension_Model!$B$2:$B$29,0)),0),IFERROR(INDEX(Pension_Model!$D$2:$D$29,MATCH(H338,Pension_Model!$B$2:$B$29,0)),0)),0))))))</f>
        <v>0.05</v>
      </c>
      <c r="Q334" s="28">
        <f>Population_Data!$B$15*P334</f>
        <v>660600</v>
      </c>
      <c r="S334">
        <f t="shared" si="5"/>
        <v>1619767.247777466</v>
      </c>
      <c r="U334" s="33">
        <f>S334/Population_Data!$B$19</f>
        <v>2.9343609561185979E-2</v>
      </c>
    </row>
    <row r="335" spans="1:21">
      <c r="A335" s="25">
        <f>Calendar!A335</f>
        <v>46568</v>
      </c>
      <c r="B335" t="str">
        <f>Calendar!L335</f>
        <v>Yes</v>
      </c>
      <c r="C335" t="str">
        <f>Calendar!O335</f>
        <v>Yes</v>
      </c>
      <c r="D335" t="str">
        <f>Calendar!P335</f>
        <v>No</v>
      </c>
      <c r="E335" t="str">
        <f>Calendar!Q335</f>
        <v>No</v>
      </c>
      <c r="F335" t="str">
        <f>Calendar!I335</f>
        <v>Wednesday</v>
      </c>
      <c r="G335">
        <f>Calendar!S335</f>
        <v>4</v>
      </c>
      <c r="H335">
        <f>Calendar!T335</f>
        <v>4</v>
      </c>
      <c r="I335" s="27">
        <f>IF(VLOOKUP(A335,Calendar!$A$1:$R$1377,18,0)=0,0,IF(VLOOKUP(A335,Calendar!$A$1:$R$1377,18,0)=1,INDEX(Monthly_Pay_Model!$A$9:$D$40,MATCH(TEXT(A335,"dd"),Monthly_Pay_Model!$C$9:$C$39,0),4),IF(VLOOKUP(A335,Calendar!$A$1:$R$1377,18,0)=2,SUM(INDEX(Monthly_Pay_Model!$A$9:$D$40,MATCH(TEXT(A335,"dd"),Monthly_Pay_Model!$C$9:$C$39,0),4),INDEX(Monthly_Pay_Model!$A$9:$D$40,MATCH(TEXT(A336,"dd"),Monthly_Pay_Model!$C$9:$C$39,0),4)),IF(VLOOKUP(A335,Calendar!$A$1:$R$1377,18,0)=3,SUM(INDEX(Monthly_Pay_Model!$A$9:$D$40,MATCH(TEXT(A335,"dd"),Monthly_Pay_Model!$C$9:$C$39,0),4),INDEX(Monthly_Pay_Model!$A$9:$D$40,MATCH(TEXT(A336,"dd"),Monthly_Pay_Model!$C$9:$C$39,0),4),INDEX(Monthly_Pay_Model!$A$9:$D$40,MATCH(TEXT(A337,"dd"),Monthly_Pay_Model!$C$9:$C$39,0),4)),IF(VLOOKUP(A335,Calendar!$A$1:$R$1377,18,0)=4,SUM(INDEX(Monthly_Pay_Model!$A$9:$D$40,MATCH(TEXT(A335,"dd"),Monthly_Pay_Model!$C$9:$C$39,0),4),INDEX(Monthly_Pay_Model!$A$9:$D$40,MATCH(TEXT(A336,"dd"),Monthly_Pay_Model!$C$9:$C$39,0),4),INDEX(Monthly_Pay_Model!$A$9:$D$40,MATCH(TEXT(A337,"dd"),Monthly_Pay_Model!$C$9:$C$39,0),4),INDEX(Monthly_Pay_Model!$A$9:$D$40,MATCH(TEXT(A338,"dd"),Monthly_Pay_Model!$C$9:$C$39,0),4)),IF(VLOOKUP(A335,Calendar!$A$1:$R$1377,18,0)=5,SUM(INDEX(Monthly_Pay_Model!$A$9:$D$40,MATCH(TEXT(A335,"dd"),Monthly_Pay_Model!$C$9:$C$39,0),4),INDEX(Monthly_Pay_Model!$A$9:$D$40,MATCH(TEXT(A336,"dd"),Monthly_Pay_Model!$C$9:$C$39,0),4),INDEX(Monthly_Pay_Model!$A$9:$D$40,MATCH(TEXT(A337,"dd"),Monthly_Pay_Model!$C$9:$C$39,0),4),INDEX(Monthly_Pay_Model!$A$9:$D$40,MATCH(TEXT(A338,"dd"),Monthly_Pay_Model!$C$9:$C$39,0),4),INDEX(Monthly_Pay_Model!$A$9:$D$40,MATCH(TEXT(A339,"dd"),Monthly_Pay_Model!$C$9:$C$39,0),4)),))))))</f>
        <v>4.8753926701570662E-3</v>
      </c>
      <c r="J335" s="33">
        <f>IF(C335="Yes",Monthly_Pay_Model!$D$2,0)
+IF(Calendar!N335="Yes",Monthly_Pay_Model!$D$3,0)
+IF(D335="Yes",Monthly_Pay_Model!$D$4,0)
+IF(E335="Yes",Monthly_Pay_Model!$D$5,0)</f>
        <v>0.41127999999999998</v>
      </c>
      <c r="K335" s="27">
        <f>IF(VLOOKUP($A335,Calendar!$A$1:$R$1377,18,0)=0,0,IF(VLOOKUP($A335,Calendar!$A$1:$R$1377,18,0)=1,IFERROR(INDEX(Weekly_Model!$D$2:$D$9,MATCH(F335,Weekly_Model!$A$2:$A$9,0)),0),IF(VLOOKUP($A335,Calendar!$A$1:$R$1377,18,0)=2,SUM(IFERROR(INDEX(Weekly_Model!$D$2:$D$9,MATCH(F335,Weekly_Model!$A$2:$A$9,0)),0),IFERROR(INDEX(Weekly_Model!$D$2:$D$9,MATCH(F336,Weekly_Model!$A$2:$A$9,0)),0)),IF(VLOOKUP($A335,Calendar!$A$1:$R$1377,18,0)=3,SUM(IFERROR(INDEX(Weekly_Model!$D$2:$D$9,MATCH(F335,Weekly_Model!$A$2:$A$9,0)),0),IFERROR(INDEX(Weekly_Model!$D$2:$D$9,MATCH(F336,Weekly_Model!$A$2:$A$9,0)),0),IFERROR(INDEX(Weekly_Model!$D$2:$D$9,MATCH(F337,Weekly_Model!$A$2:$A$9,0)),0)),IF(VLOOKUP($A335,Calendar!$A$1:$R$1377,18,0)=4,SUM(IFERROR(INDEX(Weekly_Model!$D$2:$D$9,MATCH(F335,Weekly_Model!$A$2:$A$9,0)),0),IFERROR(INDEX(Weekly_Model!$D$2:$D$9,MATCH(F336,Weekly_Model!$A$2:$A$9,0)),0),IFERROR(INDEX(Weekly_Model!$D$2:$D$9,MATCH(F337,Weekly_Model!$A$2:$A$9,0)),0),IFERROR(INDEX(Weekly_Model!$D$2:$D$9,MATCH(F338,Weekly_Model!$A$2:$A$9,0)),0)),IF(VLOOKUP($A335,Calendar!$A$1:$R$1377,18,0)=5,SUM(IFERROR(INDEX(Weekly_Model!$D$2:$D$9,MATCH(F335,Weekly_Model!$A$2:$A$9,0)),0),IFERROR(INDEX(Weekly_Model!$D$2:$D$9,MATCH(F336,Weekly_Model!$A$2:$A$9,0)),0),IFERROR(INDEX(Weekly_Model!$D$2:$D$9,MATCH(F337,Weekly_Model!$A$2:$A$9,0)),0),IFERROR(INDEX(Weekly_Model!$D$2:$D$9,MATCH(F338,Weekly_Model!$A$2:$A$9,0)),0),IFERROR(INDEX(Weekly_Model!$D$2:$D$9,MATCH(F339,Weekly_Model!$A$2:$A$9,0)),0)),0))))))</f>
        <v>2.3200000000000002E-2</v>
      </c>
      <c r="L335" s="27">
        <f>IF(VLOOKUP($A335,Calendar!$A$1:$R$1377,18,0)=0,0,IF(VLOOKUP($A335,Calendar!$A$1:$R$1377,18,0)=1,IFERROR(INDEX(Fortnightly_Model!$D$2:$D$15,MATCH(G335,Fortnightly_Model!$B$2:$B$15,0)),0),IF(VLOOKUP($A335,Calendar!$A$1:$R$1377,18,0)=2,SUM(IFERROR(INDEX(Fortnightly_Model!$D$2:$D$15,MATCH(G335,Fortnightly_Model!$B$2:$B$15,0)),0),IFERROR(INDEX(Fortnightly_Model!$D$2:$D$15,MATCH(G336,Fortnightly_Model!$B$2:$B$15,0)),0)),IF(VLOOKUP($A335,Calendar!$A$1:$R$1377,18,0)=3,SUM(IFERROR(INDEX(Fortnightly_Model!$D$2:$D$15,MATCH(G335,Fortnightly_Model!$B$2:$B$15,0)),0),IFERROR(INDEX(Fortnightly_Model!$D$2:$D$15,MATCH(G336,Fortnightly_Model!$B$2:$B$15,0)),0),IFERROR(INDEX(Fortnightly_Model!$D$2:$D$15,MATCH(G337,Fortnightly_Model!$B$2:$B$15,0)),0)),IF(VLOOKUP($A335,Calendar!$A$1:$R$1377,18,0)=4,SUM(IFERROR(INDEX(Fortnightly_Model!$D$2:$D$15,MATCH(G335,Fortnightly_Model!$B$2:$B$15,0)),0),IFERROR(INDEX(Fortnightly_Model!$D$2:$D$15,MATCH(G336,Fortnightly_Model!$B$2:$B$15,0)),0),IFERROR(INDEX(Fortnightly_Model!$D$2:$D$15,MATCH(G337,Fortnightly_Model!$B$2:$B$15,0)),0),IFERROR(INDEX(Fortnightly_Model!$D$2:$D$15,MATCH(G338,Fortnightly_Model!$B$2:$B$15,0)),0)),IF(VLOOKUP($A335,Calendar!$A$1:$R$1377,18,0)=5,SUM(IFERROR(INDEX(Fortnightly_Model!$D$2:$D$15,MATCH(G335,Fortnightly_Model!$B$2:$B$15,0)),0),IFERROR(INDEX(Fortnightly_Model!$D$2:$D$15,MATCH(G336,Fortnightly_Model!$B$2:$B$15,0)),0),IFERROR(INDEX(Fortnightly_Model!$D$2:$D$15,MATCH(G337,Fortnightly_Model!$B$2:$B$15,0)),0),IFERROR(INDEX(Fortnightly_Model!$D$2:$D$15,MATCH(G338,Fortnightly_Model!$B$2:$B$15,0)),0),IFERROR(INDEX(Fortnightly_Model!$D$2:$D$15,MATCH(G339,Fortnightly_Model!$B$2:$B$15,0)),0)),0))))))</f>
        <v>1.0714285499999999E-3</v>
      </c>
      <c r="M335" s="27">
        <f>IF(VLOOKUP($A335,Calendar!$A$1:$R$1377,18,0)=0,0,IF(VLOOKUP($A335,Calendar!$A$1:$R$1377,18,0)=1,IFERROR(INDEX(FourWeekly_Model!$D$2:$D$29,MATCH(H335,FourWeekly_Model!$B$2:$B$29,0)),0),IF(VLOOKUP($A335,Calendar!$A$1:$R$1377,18,0)=2,SUM(IFERROR(INDEX(FourWeekly_Model!$D$2:$D$29,MATCH(H335,FourWeekly_Model!$B$2:$B$29,0)),0),IFERROR(INDEX(FourWeekly_Model!$D$2:$D$29,MATCH(H336,FourWeekly_Model!$B$2:$B$29,0)),0)),IF(VLOOKUP($A335,Calendar!$A$1:$R$1377,18,0)=3,SUM(IFERROR(INDEX(FourWeekly_Model!$D$2:$D$29,MATCH(H335,FourWeekly_Model!$B$2:$B$29,0)),0),IFERROR(INDEX(FourWeekly_Model!$D$2:$D$29,MATCH(H336,FourWeekly_Model!$B$2:$B$29,0)),0),IFERROR(INDEX(FourWeekly_Model!$D$2:$D$29,MATCH(H337,FourWeekly_Model!$B$2:$B$29,0)),0)),IF(VLOOKUP($A335,Calendar!$A$1:$R$1377,18,0)=4,SUM(IFERROR(INDEX(FourWeekly_Model!$D$2:$D$29,MATCH(H335,FourWeekly_Model!$B$2:$B$29,0)),0),IFERROR(INDEX(FourWeekly_Model!$D$2:$D$29,MATCH(H336,FourWeekly_Model!$B$2:$B$29,0)),0),IFERROR(INDEX(FourWeekly_Model!$D$2:$D$29,MATCH(H337,FourWeekly_Model!$B$2:$B$29,0)),0),IFERROR(INDEX(FourWeekly_Model!$D$2:$D$29,MATCH(H338,FourWeekly_Model!$B$2:$B$29,0)),0)),IF(VLOOKUP($A335,Calendar!$A$1:$R$1377,18,0)=5,SUM(IFERROR(INDEX(FourWeekly_Model!$D$2:$D$29,MATCH(H335,FourWeekly_Model!$B$2:$B$29,0)),0),IFERROR(INDEX(FourWeekly_Model!$D$2:$D$29,MATCH(H336,FourWeekly_Model!$B$2:$B$29,0)),0),IFERROR(INDEX(FourWeekly_Model!$D$2:$D$29,MATCH(H337,FourWeekly_Model!$B$2:$B$29,0)),0),IFERROR(INDEX(FourWeekly_Model!$D$2:$D$29,MATCH(H338,FourWeekly_Model!$B$2:$B$29,0)),0),IFERROR(INDEX(FourWeekly_Model!$D$2:$D$29,MATCH(H339,FourWeekly_Model!$B$2:$B$29,0)),0)),0))))))</f>
        <v>3.3214289700000004E-3</v>
      </c>
      <c r="N335" s="27">
        <f>SUM(I335:M335)</f>
        <v>0.44374825019015701</v>
      </c>
      <c r="O335" s="28">
        <f>Population_Data!$B$8*N335</f>
        <v>13445571.980761757</v>
      </c>
      <c r="P335" s="27">
        <f>IF(VLOOKUP($A335,Calendar!$A$1:$R$1377,18,0)=0,0,IF(VLOOKUP($A335,Calendar!$A$1:$R$1377,18,0)=1,IFERROR(INDEX(Pension_Model!$D$2:$D$29,MATCH(H335,Pension_Model!$B$2:$B$29,0)),0),IF(VLOOKUP($A335,Calendar!$A$1:$R$1377,18,0)=2,SUM(IFERROR(INDEX(Pension_Model!$D$2:$D$29,MATCH(H335,Pension_Model!$B$2:$B$29,0)),0),IFERROR(INDEX(Pension_Model!$D$2:$D$29,MATCH(H336,Pension_Model!$B$2:$B$29,0)),0)),IF(VLOOKUP($A335,Calendar!$A$1:$R$1377,18,0)=3,SUM(IFERROR(INDEX(Pension_Model!$D$2:$D$29,MATCH(H335,Pension_Model!$B$2:$B$29,0)),0),IFERROR(INDEX(Pension_Model!$D$2:$D$29,MATCH(H336,Pension_Model!$B$2:$B$29,0)),0),IFERROR(INDEX(Pension_Model!$D$2:$D$29,MATCH(H337,Pension_Model!$B$2:$B$29,0)),0)),IF(VLOOKUP($A335,Calendar!$A$1:$R$1377,18,0)=4,SUM(IFERROR(INDEX(Pension_Model!$D$2:$D$29,MATCH(H335,Pension_Model!$B$2:$B$29,0)),0),IFERROR(INDEX(Pension_Model!$D$2:$D$29,MATCH(H336,Pension_Model!$B$2:$B$29,0)),0),IFERROR(INDEX(Pension_Model!$D$2:$D$29,MATCH(H337,Pension_Model!$B$2:$B$29,0)),0),IFERROR(INDEX(Pension_Model!$D$2:$D$29,MATCH(H338,Pension_Model!$B$2:$B$29,0)),0)),IF(VLOOKUP($A335,Calendar!$A$1:$R$1377,18,0)=5,SUM(IFERROR(INDEX(Pension_Model!$D$2:$D$29,MATCH(H335,Pension_Model!$B$2:$B$29,0)),0),IFERROR(INDEX(Pension_Model!$D$2:$D$29,MATCH(H336,Pension_Model!$B$2:$B$29,0)),0),IFERROR(INDEX(Pension_Model!$D$2:$D$29,MATCH(H337,Pension_Model!$B$2:$B$29,0)),0),IFERROR(INDEX(Pension_Model!$D$2:$D$29,MATCH(H338,Pension_Model!$B$2:$B$29,0)),0),IFERROR(INDEX(Pension_Model!$D$2:$D$29,MATCH(H339,Pension_Model!$B$2:$B$29,0)),0)),0))))))</f>
        <v>0.05</v>
      </c>
      <c r="Q335" s="28">
        <f>Population_Data!$B$15*P335</f>
        <v>660600</v>
      </c>
      <c r="S335">
        <f t="shared" si="5"/>
        <v>14106171.980761757</v>
      </c>
      <c r="U335" s="33">
        <f>S335/Population_Data!$B$19</f>
        <v>0.25554659385437967</v>
      </c>
    </row>
    <row r="336" spans="1:21">
      <c r="A336" s="25">
        <f>Calendar!A336</f>
        <v>46569</v>
      </c>
      <c r="B336" t="str">
        <f>Calendar!L336</f>
        <v>Yes</v>
      </c>
      <c r="C336" t="str">
        <f>Calendar!O336</f>
        <v>No</v>
      </c>
      <c r="D336" t="str">
        <f>Calendar!P336</f>
        <v>No</v>
      </c>
      <c r="E336" t="str">
        <f>Calendar!Q336</f>
        <v>No</v>
      </c>
      <c r="F336" t="str">
        <f>Calendar!I336</f>
        <v>Thursday</v>
      </c>
      <c r="G336">
        <f>Calendar!S336</f>
        <v>5</v>
      </c>
      <c r="H336">
        <f>Calendar!T336</f>
        <v>5</v>
      </c>
      <c r="I336" s="27">
        <f>IF(VLOOKUP(A336,Calendar!$A$1:$R$1377,18,0)=0,0,IF(VLOOKUP(A336,Calendar!$A$1:$R$1377,18,0)=1,INDEX(Monthly_Pay_Model!$A$9:$D$40,MATCH(TEXT(A336,"dd"),Monthly_Pay_Model!$C$9:$C$39,0),4),IF(VLOOKUP(A336,Calendar!$A$1:$R$1377,18,0)=2,SUM(INDEX(Monthly_Pay_Model!$A$9:$D$40,MATCH(TEXT(A336,"dd"),Monthly_Pay_Model!$C$9:$C$39,0),4),INDEX(Monthly_Pay_Model!$A$9:$D$40,MATCH(TEXT(A337,"dd"),Monthly_Pay_Model!$C$9:$C$39,0),4)),IF(VLOOKUP(A336,Calendar!$A$1:$R$1377,18,0)=3,SUM(INDEX(Monthly_Pay_Model!$A$9:$D$40,MATCH(TEXT(A336,"dd"),Monthly_Pay_Model!$C$9:$C$39,0),4),INDEX(Monthly_Pay_Model!$A$9:$D$40,MATCH(TEXT(A337,"dd"),Monthly_Pay_Model!$C$9:$C$39,0),4),INDEX(Monthly_Pay_Model!$A$9:$D$40,MATCH(TEXT(A338,"dd"),Monthly_Pay_Model!$C$9:$C$39,0),4)),IF(VLOOKUP(A336,Calendar!$A$1:$R$1377,18,0)=4,SUM(INDEX(Monthly_Pay_Model!$A$9:$D$40,MATCH(TEXT(A336,"dd"),Monthly_Pay_Model!$C$9:$C$39,0),4),INDEX(Monthly_Pay_Model!$A$9:$D$40,MATCH(TEXT(A337,"dd"),Monthly_Pay_Model!$C$9:$C$39,0),4),INDEX(Monthly_Pay_Model!$A$9:$D$40,MATCH(TEXT(A338,"dd"),Monthly_Pay_Model!$C$9:$C$39,0),4),INDEX(Monthly_Pay_Model!$A$9:$D$40,MATCH(TEXT(A339,"dd"),Monthly_Pay_Model!$C$9:$C$39,0),4)),IF(VLOOKUP(A336,Calendar!$A$1:$R$1377,18,0)=5,SUM(INDEX(Monthly_Pay_Model!$A$9:$D$40,MATCH(TEXT(A336,"dd"),Monthly_Pay_Model!$C$9:$C$39,0),4),INDEX(Monthly_Pay_Model!$A$9:$D$40,MATCH(TEXT(A337,"dd"),Monthly_Pay_Model!$C$9:$C$39,0),4),INDEX(Monthly_Pay_Model!$A$9:$D$40,MATCH(TEXT(A338,"dd"),Monthly_Pay_Model!$C$9:$C$39,0),4),INDEX(Monthly_Pay_Model!$A$9:$D$40,MATCH(TEXT(A339,"dd"),Monthly_Pay_Model!$C$9:$C$39,0),4),INDEX(Monthly_Pay_Model!$A$9:$D$40,MATCH(TEXT(A340,"dd"),Monthly_Pay_Model!$C$9:$C$39,0),4)),))))))</f>
        <v>4.0628272251308894E-3</v>
      </c>
      <c r="J336" s="33">
        <f>IF(C336="Yes",Monthly_Pay_Model!$D$2,0)
+IF(Calendar!N336="Yes",Monthly_Pay_Model!$D$3,0)
+IF(D336="Yes",Monthly_Pay_Model!$D$4,0)
+IF(E336="Yes",Monthly_Pay_Model!$D$5,0)</f>
        <v>0</v>
      </c>
      <c r="K336" s="27">
        <f>IF(VLOOKUP($A336,Calendar!$A$1:$R$1377,18,0)=0,0,IF(VLOOKUP($A336,Calendar!$A$1:$R$1377,18,0)=1,IFERROR(INDEX(Weekly_Model!$D$2:$D$9,MATCH(F336,Weekly_Model!$A$2:$A$9,0)),0),IF(VLOOKUP($A336,Calendar!$A$1:$R$1377,18,0)=2,SUM(IFERROR(INDEX(Weekly_Model!$D$2:$D$9,MATCH(F336,Weekly_Model!$A$2:$A$9,0)),0),IFERROR(INDEX(Weekly_Model!$D$2:$D$9,MATCH(F337,Weekly_Model!$A$2:$A$9,0)),0)),IF(VLOOKUP($A336,Calendar!$A$1:$R$1377,18,0)=3,SUM(IFERROR(INDEX(Weekly_Model!$D$2:$D$9,MATCH(F336,Weekly_Model!$A$2:$A$9,0)),0),IFERROR(INDEX(Weekly_Model!$D$2:$D$9,MATCH(F337,Weekly_Model!$A$2:$A$9,0)),0),IFERROR(INDEX(Weekly_Model!$D$2:$D$9,MATCH(F338,Weekly_Model!$A$2:$A$9,0)),0)),IF(VLOOKUP($A336,Calendar!$A$1:$R$1377,18,0)=4,SUM(IFERROR(INDEX(Weekly_Model!$D$2:$D$9,MATCH(F336,Weekly_Model!$A$2:$A$9,0)),0),IFERROR(INDEX(Weekly_Model!$D$2:$D$9,MATCH(F337,Weekly_Model!$A$2:$A$9,0)),0),IFERROR(INDEX(Weekly_Model!$D$2:$D$9,MATCH(F338,Weekly_Model!$A$2:$A$9,0)),0),IFERROR(INDEX(Weekly_Model!$D$2:$D$9,MATCH(F339,Weekly_Model!$A$2:$A$9,0)),0)),IF(VLOOKUP($A336,Calendar!$A$1:$R$1377,18,0)=5,SUM(IFERROR(INDEX(Weekly_Model!$D$2:$D$9,MATCH(F336,Weekly_Model!$A$2:$A$9,0)),0),IFERROR(INDEX(Weekly_Model!$D$2:$D$9,MATCH(F337,Weekly_Model!$A$2:$A$9,0)),0),IFERROR(INDEX(Weekly_Model!$D$2:$D$9,MATCH(F338,Weekly_Model!$A$2:$A$9,0)),0),IFERROR(INDEX(Weekly_Model!$D$2:$D$9,MATCH(F339,Weekly_Model!$A$2:$A$9,0)),0),IFERROR(INDEX(Weekly_Model!$D$2:$D$9,MATCH(F340,Weekly_Model!$A$2:$A$9,0)),0)),0))))))</f>
        <v>2.3200000000000002E-2</v>
      </c>
      <c r="L336" s="27">
        <f>IF(VLOOKUP($A336,Calendar!$A$1:$R$1377,18,0)=0,0,IF(VLOOKUP($A336,Calendar!$A$1:$R$1377,18,0)=1,IFERROR(INDEX(Fortnightly_Model!$D$2:$D$15,MATCH(G336,Fortnightly_Model!$B$2:$B$15,0)),0),IF(VLOOKUP($A336,Calendar!$A$1:$R$1377,18,0)=2,SUM(IFERROR(INDEX(Fortnightly_Model!$D$2:$D$15,MATCH(G336,Fortnightly_Model!$B$2:$B$15,0)),0),IFERROR(INDEX(Fortnightly_Model!$D$2:$D$15,MATCH(G337,Fortnightly_Model!$B$2:$B$15,0)),0)),IF(VLOOKUP($A336,Calendar!$A$1:$R$1377,18,0)=3,SUM(IFERROR(INDEX(Fortnightly_Model!$D$2:$D$15,MATCH(G336,Fortnightly_Model!$B$2:$B$15,0)),0),IFERROR(INDEX(Fortnightly_Model!$D$2:$D$15,MATCH(G337,Fortnightly_Model!$B$2:$B$15,0)),0),IFERROR(INDEX(Fortnightly_Model!$D$2:$D$15,MATCH(G338,Fortnightly_Model!$B$2:$B$15,0)),0)),IF(VLOOKUP($A336,Calendar!$A$1:$R$1377,18,0)=4,SUM(IFERROR(INDEX(Fortnightly_Model!$D$2:$D$15,MATCH(G336,Fortnightly_Model!$B$2:$B$15,0)),0),IFERROR(INDEX(Fortnightly_Model!$D$2:$D$15,MATCH(G337,Fortnightly_Model!$B$2:$B$15,0)),0),IFERROR(INDEX(Fortnightly_Model!$D$2:$D$15,MATCH(G338,Fortnightly_Model!$B$2:$B$15,0)),0),IFERROR(INDEX(Fortnightly_Model!$D$2:$D$15,MATCH(G339,Fortnightly_Model!$B$2:$B$15,0)),0)),IF(VLOOKUP($A336,Calendar!$A$1:$R$1377,18,0)=5,SUM(IFERROR(INDEX(Fortnightly_Model!$D$2:$D$15,MATCH(G336,Fortnightly_Model!$B$2:$B$15,0)),0),IFERROR(INDEX(Fortnightly_Model!$D$2:$D$15,MATCH(G337,Fortnightly_Model!$B$2:$B$15,0)),0),IFERROR(INDEX(Fortnightly_Model!$D$2:$D$15,MATCH(G338,Fortnightly_Model!$B$2:$B$15,0)),0),IFERROR(INDEX(Fortnightly_Model!$D$2:$D$15,MATCH(G339,Fortnightly_Model!$B$2:$B$15,0)),0),IFERROR(INDEX(Fortnightly_Model!$D$2:$D$15,MATCH(G340,Fortnightly_Model!$B$2:$B$15,0)),0)),0))))))</f>
        <v>1.0714285499999999E-3</v>
      </c>
      <c r="M336" s="27">
        <f>IF(VLOOKUP($A336,Calendar!$A$1:$R$1377,18,0)=0,0,IF(VLOOKUP($A336,Calendar!$A$1:$R$1377,18,0)=1,IFERROR(INDEX(FourWeekly_Model!$D$2:$D$29,MATCH(H336,FourWeekly_Model!$B$2:$B$29,0)),0),IF(VLOOKUP($A336,Calendar!$A$1:$R$1377,18,0)=2,SUM(IFERROR(INDEX(FourWeekly_Model!$D$2:$D$29,MATCH(H336,FourWeekly_Model!$B$2:$B$29,0)),0),IFERROR(INDEX(FourWeekly_Model!$D$2:$D$29,MATCH(H337,FourWeekly_Model!$B$2:$B$29,0)),0)),IF(VLOOKUP($A336,Calendar!$A$1:$R$1377,18,0)=3,SUM(IFERROR(INDEX(FourWeekly_Model!$D$2:$D$29,MATCH(H336,FourWeekly_Model!$B$2:$B$29,0)),0),IFERROR(INDEX(FourWeekly_Model!$D$2:$D$29,MATCH(H337,FourWeekly_Model!$B$2:$B$29,0)),0),IFERROR(INDEX(FourWeekly_Model!$D$2:$D$29,MATCH(H338,FourWeekly_Model!$B$2:$B$29,0)),0)),IF(VLOOKUP($A336,Calendar!$A$1:$R$1377,18,0)=4,SUM(IFERROR(INDEX(FourWeekly_Model!$D$2:$D$29,MATCH(H336,FourWeekly_Model!$B$2:$B$29,0)),0),IFERROR(INDEX(FourWeekly_Model!$D$2:$D$29,MATCH(H337,FourWeekly_Model!$B$2:$B$29,0)),0),IFERROR(INDEX(FourWeekly_Model!$D$2:$D$29,MATCH(H338,FourWeekly_Model!$B$2:$B$29,0)),0),IFERROR(INDEX(FourWeekly_Model!$D$2:$D$29,MATCH(H339,FourWeekly_Model!$B$2:$B$29,0)),0)),IF(VLOOKUP($A336,Calendar!$A$1:$R$1377,18,0)=5,SUM(IFERROR(INDEX(FourWeekly_Model!$D$2:$D$29,MATCH(H336,FourWeekly_Model!$B$2:$B$29,0)),0),IFERROR(INDEX(FourWeekly_Model!$D$2:$D$29,MATCH(H337,FourWeekly_Model!$B$2:$B$29,0)),0),IFERROR(INDEX(FourWeekly_Model!$D$2:$D$29,MATCH(H338,FourWeekly_Model!$B$2:$B$29,0)),0),IFERROR(INDEX(FourWeekly_Model!$D$2:$D$29,MATCH(H339,FourWeekly_Model!$B$2:$B$29,0)),0),IFERROR(INDEX(FourWeekly_Model!$D$2:$D$29,MATCH(H340,FourWeekly_Model!$B$2:$B$29,0)),0)),0))))))</f>
        <v>3.3214289700000004E-3</v>
      </c>
      <c r="N336" s="27">
        <f>SUM(I336:M336)</f>
        <v>3.1655684745130891E-2</v>
      </c>
      <c r="O336" s="28">
        <f>Population_Data!$B$8*N336</f>
        <v>959167.24777746596</v>
      </c>
      <c r="P336" s="27">
        <f>IF(VLOOKUP($A336,Calendar!$A$1:$R$1377,18,0)=0,0,IF(VLOOKUP($A336,Calendar!$A$1:$R$1377,18,0)=1,IFERROR(INDEX(Pension_Model!$D$2:$D$29,MATCH(H336,Pension_Model!$B$2:$B$29,0)),0),IF(VLOOKUP($A336,Calendar!$A$1:$R$1377,18,0)=2,SUM(IFERROR(INDEX(Pension_Model!$D$2:$D$29,MATCH(H336,Pension_Model!$B$2:$B$29,0)),0),IFERROR(INDEX(Pension_Model!$D$2:$D$29,MATCH(H337,Pension_Model!$B$2:$B$29,0)),0)),IF(VLOOKUP($A336,Calendar!$A$1:$R$1377,18,0)=3,SUM(IFERROR(INDEX(Pension_Model!$D$2:$D$29,MATCH(H336,Pension_Model!$B$2:$B$29,0)),0),IFERROR(INDEX(Pension_Model!$D$2:$D$29,MATCH(H337,Pension_Model!$B$2:$B$29,0)),0),IFERROR(INDEX(Pension_Model!$D$2:$D$29,MATCH(H338,Pension_Model!$B$2:$B$29,0)),0)),IF(VLOOKUP($A336,Calendar!$A$1:$R$1377,18,0)=4,SUM(IFERROR(INDEX(Pension_Model!$D$2:$D$29,MATCH(H336,Pension_Model!$B$2:$B$29,0)),0),IFERROR(INDEX(Pension_Model!$D$2:$D$29,MATCH(H337,Pension_Model!$B$2:$B$29,0)),0),IFERROR(INDEX(Pension_Model!$D$2:$D$29,MATCH(H338,Pension_Model!$B$2:$B$29,0)),0),IFERROR(INDEX(Pension_Model!$D$2:$D$29,MATCH(H339,Pension_Model!$B$2:$B$29,0)),0)),IF(VLOOKUP($A336,Calendar!$A$1:$R$1377,18,0)=5,SUM(IFERROR(INDEX(Pension_Model!$D$2:$D$29,MATCH(H336,Pension_Model!$B$2:$B$29,0)),0),IFERROR(INDEX(Pension_Model!$D$2:$D$29,MATCH(H337,Pension_Model!$B$2:$B$29,0)),0),IFERROR(INDEX(Pension_Model!$D$2:$D$29,MATCH(H338,Pension_Model!$B$2:$B$29,0)),0),IFERROR(INDEX(Pension_Model!$D$2:$D$29,MATCH(H339,Pension_Model!$B$2:$B$29,0)),0),IFERROR(INDEX(Pension_Model!$D$2:$D$29,MATCH(H340,Pension_Model!$B$2:$B$29,0)),0)),0))))))</f>
        <v>0.05</v>
      </c>
      <c r="Q336" s="28">
        <f>Population_Data!$B$15*P336</f>
        <v>660600</v>
      </c>
      <c r="S336">
        <f t="shared" si="5"/>
        <v>1619767.247777466</v>
      </c>
      <c r="U336" s="33">
        <f>S336/Population_Data!$B$19</f>
        <v>2.9343609561185979E-2</v>
      </c>
    </row>
    <row r="337" spans="1:21">
      <c r="A337" s="25">
        <f>Calendar!A337</f>
        <v>46570</v>
      </c>
      <c r="B337" t="str">
        <f>Calendar!L337</f>
        <v>Yes</v>
      </c>
      <c r="C337" t="str">
        <f>Calendar!O337</f>
        <v>No</v>
      </c>
      <c r="D337" t="str">
        <f>Calendar!P337</f>
        <v>No</v>
      </c>
      <c r="E337" t="str">
        <f>Calendar!Q337</f>
        <v>No</v>
      </c>
      <c r="F337" t="str">
        <f>Calendar!I337</f>
        <v>Friday</v>
      </c>
      <c r="G337">
        <f>Calendar!S337</f>
        <v>6</v>
      </c>
      <c r="H337">
        <f>Calendar!T337</f>
        <v>6</v>
      </c>
      <c r="I337" s="27">
        <f>IF(VLOOKUP(A337,Calendar!$A$1:$R$1377,18,0)=0,0,IF(VLOOKUP(A337,Calendar!$A$1:$R$1377,18,0)=1,INDEX(Monthly_Pay_Model!$A$9:$D$40,MATCH(TEXT(A337,"dd"),Monthly_Pay_Model!$C$9:$C$39,0),4),IF(VLOOKUP(A337,Calendar!$A$1:$R$1377,18,0)=2,SUM(INDEX(Monthly_Pay_Model!$A$9:$D$40,MATCH(TEXT(A337,"dd"),Monthly_Pay_Model!$C$9:$C$39,0),4),INDEX(Monthly_Pay_Model!$A$9:$D$40,MATCH(TEXT(A338,"dd"),Monthly_Pay_Model!$C$9:$C$39,0),4)),IF(VLOOKUP(A337,Calendar!$A$1:$R$1377,18,0)=3,SUM(INDEX(Monthly_Pay_Model!$A$9:$D$40,MATCH(TEXT(A337,"dd"),Monthly_Pay_Model!$C$9:$C$39,0),4),INDEX(Monthly_Pay_Model!$A$9:$D$40,MATCH(TEXT(A338,"dd"),Monthly_Pay_Model!$C$9:$C$39,0),4),INDEX(Monthly_Pay_Model!$A$9:$D$40,MATCH(TEXT(A339,"dd"),Monthly_Pay_Model!$C$9:$C$39,0),4)),IF(VLOOKUP(A337,Calendar!$A$1:$R$1377,18,0)=4,SUM(INDEX(Monthly_Pay_Model!$A$9:$D$40,MATCH(TEXT(A337,"dd"),Monthly_Pay_Model!$C$9:$C$39,0),4),INDEX(Monthly_Pay_Model!$A$9:$D$40,MATCH(TEXT(A338,"dd"),Monthly_Pay_Model!$C$9:$C$39,0),4),INDEX(Monthly_Pay_Model!$A$9:$D$40,MATCH(TEXT(A339,"dd"),Monthly_Pay_Model!$C$9:$C$39,0),4),INDEX(Monthly_Pay_Model!$A$9:$D$40,MATCH(TEXT(A340,"dd"),Monthly_Pay_Model!$C$9:$C$39,0),4)),IF(VLOOKUP(A337,Calendar!$A$1:$R$1377,18,0)=5,SUM(INDEX(Monthly_Pay_Model!$A$9:$D$40,MATCH(TEXT(A337,"dd"),Monthly_Pay_Model!$C$9:$C$39,0),4),INDEX(Monthly_Pay_Model!$A$9:$D$40,MATCH(TEXT(A338,"dd"),Monthly_Pay_Model!$C$9:$C$39,0),4),INDEX(Monthly_Pay_Model!$A$9:$D$40,MATCH(TEXT(A339,"dd"),Monthly_Pay_Model!$C$9:$C$39,0),4),INDEX(Monthly_Pay_Model!$A$9:$D$40,MATCH(TEXT(A340,"dd"),Monthly_Pay_Model!$C$9:$C$39,0),4),INDEX(Monthly_Pay_Model!$A$9:$D$40,MATCH(TEXT(A341,"dd"),Monthly_Pay_Model!$C$9:$C$39,0),4)),))))))</f>
        <v>2.437696335078534E-3</v>
      </c>
      <c r="J337" s="33">
        <f>IF(C337="Yes",Monthly_Pay_Model!$D$2,0)
+IF(Calendar!N337="Yes",Monthly_Pay_Model!$D$3,0)
+IF(D337="Yes",Monthly_Pay_Model!$D$4,0)
+IF(E337="Yes",Monthly_Pay_Model!$D$5,0)</f>
        <v>0</v>
      </c>
      <c r="K337" s="27">
        <f>IF(VLOOKUP($A337,Calendar!$A$1:$R$1377,18,0)=0,0,IF(VLOOKUP($A337,Calendar!$A$1:$R$1377,18,0)=1,IFERROR(INDEX(Weekly_Model!$D$2:$D$9,MATCH(F337,Weekly_Model!$A$2:$A$9,0)),0),IF(VLOOKUP($A337,Calendar!$A$1:$R$1377,18,0)=2,SUM(IFERROR(INDEX(Weekly_Model!$D$2:$D$9,MATCH(F337,Weekly_Model!$A$2:$A$9,0)),0),IFERROR(INDEX(Weekly_Model!$D$2:$D$9,MATCH(F338,Weekly_Model!$A$2:$A$9,0)),0)),IF(VLOOKUP($A337,Calendar!$A$1:$R$1377,18,0)=3,SUM(IFERROR(INDEX(Weekly_Model!$D$2:$D$9,MATCH(F337,Weekly_Model!$A$2:$A$9,0)),0),IFERROR(INDEX(Weekly_Model!$D$2:$D$9,MATCH(F338,Weekly_Model!$A$2:$A$9,0)),0),IFERROR(INDEX(Weekly_Model!$D$2:$D$9,MATCH(F339,Weekly_Model!$A$2:$A$9,0)),0)),IF(VLOOKUP($A337,Calendar!$A$1:$R$1377,18,0)=4,SUM(IFERROR(INDEX(Weekly_Model!$D$2:$D$9,MATCH(F337,Weekly_Model!$A$2:$A$9,0)),0),IFERROR(INDEX(Weekly_Model!$D$2:$D$9,MATCH(F338,Weekly_Model!$A$2:$A$9,0)),0),IFERROR(INDEX(Weekly_Model!$D$2:$D$9,MATCH(F339,Weekly_Model!$A$2:$A$9,0)),0),IFERROR(INDEX(Weekly_Model!$D$2:$D$9,MATCH(F340,Weekly_Model!$A$2:$A$9,0)),0)),IF(VLOOKUP($A337,Calendar!$A$1:$R$1377,18,0)=5,SUM(IFERROR(INDEX(Weekly_Model!$D$2:$D$9,MATCH(F337,Weekly_Model!$A$2:$A$9,0)),0),IFERROR(INDEX(Weekly_Model!$D$2:$D$9,MATCH(F338,Weekly_Model!$A$2:$A$9,0)),0),IFERROR(INDEX(Weekly_Model!$D$2:$D$9,MATCH(F339,Weekly_Model!$A$2:$A$9,0)),0),IFERROR(INDEX(Weekly_Model!$D$2:$D$9,MATCH(F340,Weekly_Model!$A$2:$A$9,0)),0),IFERROR(INDEX(Weekly_Model!$D$2:$D$9,MATCH(F341,Weekly_Model!$A$2:$A$9,0)),0)),0))))))</f>
        <v>2.3200000000000002E-2</v>
      </c>
      <c r="L337" s="27">
        <f>IF(VLOOKUP($A337,Calendar!$A$1:$R$1377,18,0)=0,0,IF(VLOOKUP($A337,Calendar!$A$1:$R$1377,18,0)=1,IFERROR(INDEX(Fortnightly_Model!$D$2:$D$15,MATCH(G337,Fortnightly_Model!$B$2:$B$15,0)),0),IF(VLOOKUP($A337,Calendar!$A$1:$R$1377,18,0)=2,SUM(IFERROR(INDEX(Fortnightly_Model!$D$2:$D$15,MATCH(G337,Fortnightly_Model!$B$2:$B$15,0)),0),IFERROR(INDEX(Fortnightly_Model!$D$2:$D$15,MATCH(G338,Fortnightly_Model!$B$2:$B$15,0)),0)),IF(VLOOKUP($A337,Calendar!$A$1:$R$1377,18,0)=3,SUM(IFERROR(INDEX(Fortnightly_Model!$D$2:$D$15,MATCH(G337,Fortnightly_Model!$B$2:$B$15,0)),0),IFERROR(INDEX(Fortnightly_Model!$D$2:$D$15,MATCH(G338,Fortnightly_Model!$B$2:$B$15,0)),0),IFERROR(INDEX(Fortnightly_Model!$D$2:$D$15,MATCH(G339,Fortnightly_Model!$B$2:$B$15,0)),0)),IF(VLOOKUP($A337,Calendar!$A$1:$R$1377,18,0)=4,SUM(IFERROR(INDEX(Fortnightly_Model!$D$2:$D$15,MATCH(G337,Fortnightly_Model!$B$2:$B$15,0)),0),IFERROR(INDEX(Fortnightly_Model!$D$2:$D$15,MATCH(G338,Fortnightly_Model!$B$2:$B$15,0)),0),IFERROR(INDEX(Fortnightly_Model!$D$2:$D$15,MATCH(G339,Fortnightly_Model!$B$2:$B$15,0)),0),IFERROR(INDEX(Fortnightly_Model!$D$2:$D$15,MATCH(G340,Fortnightly_Model!$B$2:$B$15,0)),0)),IF(VLOOKUP($A337,Calendar!$A$1:$R$1377,18,0)=5,SUM(IFERROR(INDEX(Fortnightly_Model!$D$2:$D$15,MATCH(G337,Fortnightly_Model!$B$2:$B$15,0)),0),IFERROR(INDEX(Fortnightly_Model!$D$2:$D$15,MATCH(G338,Fortnightly_Model!$B$2:$B$15,0)),0),IFERROR(INDEX(Fortnightly_Model!$D$2:$D$15,MATCH(G339,Fortnightly_Model!$B$2:$B$15,0)),0),IFERROR(INDEX(Fortnightly_Model!$D$2:$D$15,MATCH(G340,Fortnightly_Model!$B$2:$B$15,0)),0),IFERROR(INDEX(Fortnightly_Model!$D$2:$D$15,MATCH(G341,Fortnightly_Model!$B$2:$B$15,0)),0)),0))))))</f>
        <v>3.2142856499999999E-3</v>
      </c>
      <c r="M337" s="27">
        <f>IF(VLOOKUP($A337,Calendar!$A$1:$R$1377,18,0)=0,0,IF(VLOOKUP($A337,Calendar!$A$1:$R$1377,18,0)=1,IFERROR(INDEX(FourWeekly_Model!$D$2:$D$29,MATCH(H337,FourWeekly_Model!$B$2:$B$29,0)),0),IF(VLOOKUP($A337,Calendar!$A$1:$R$1377,18,0)=2,SUM(IFERROR(INDEX(FourWeekly_Model!$D$2:$D$29,MATCH(H337,FourWeekly_Model!$B$2:$B$29,0)),0),IFERROR(INDEX(FourWeekly_Model!$D$2:$D$29,MATCH(H338,FourWeekly_Model!$B$2:$B$29,0)),0)),IF(VLOOKUP($A337,Calendar!$A$1:$R$1377,18,0)=3,SUM(IFERROR(INDEX(FourWeekly_Model!$D$2:$D$29,MATCH(H337,FourWeekly_Model!$B$2:$B$29,0)),0),IFERROR(INDEX(FourWeekly_Model!$D$2:$D$29,MATCH(H338,FourWeekly_Model!$B$2:$B$29,0)),0),IFERROR(INDEX(FourWeekly_Model!$D$2:$D$29,MATCH(H339,FourWeekly_Model!$B$2:$B$29,0)),0)),IF(VLOOKUP($A337,Calendar!$A$1:$R$1377,18,0)=4,SUM(IFERROR(INDEX(FourWeekly_Model!$D$2:$D$29,MATCH(H337,FourWeekly_Model!$B$2:$B$29,0)),0),IFERROR(INDEX(FourWeekly_Model!$D$2:$D$29,MATCH(H338,FourWeekly_Model!$B$2:$B$29,0)),0),IFERROR(INDEX(FourWeekly_Model!$D$2:$D$29,MATCH(H339,FourWeekly_Model!$B$2:$B$29,0)),0),IFERROR(INDEX(FourWeekly_Model!$D$2:$D$29,MATCH(H340,FourWeekly_Model!$B$2:$B$29,0)),0)),IF(VLOOKUP($A337,Calendar!$A$1:$R$1377,18,0)=5,SUM(IFERROR(INDEX(FourWeekly_Model!$D$2:$D$29,MATCH(H337,FourWeekly_Model!$B$2:$B$29,0)),0),IFERROR(INDEX(FourWeekly_Model!$D$2:$D$29,MATCH(H338,FourWeekly_Model!$B$2:$B$29,0)),0),IFERROR(INDEX(FourWeekly_Model!$D$2:$D$29,MATCH(H339,FourWeekly_Model!$B$2:$B$29,0)),0),IFERROR(INDEX(FourWeekly_Model!$D$2:$D$29,MATCH(H340,FourWeekly_Model!$B$2:$B$29,0)),0),IFERROR(INDEX(FourWeekly_Model!$D$2:$D$29,MATCH(H341,FourWeekly_Model!$B$2:$B$29,0)),0)),0))))))</f>
        <v>9.9642859800000011E-3</v>
      </c>
      <c r="N337" s="27">
        <f>SUM(I337:M337)</f>
        <v>3.8816267965078532E-2</v>
      </c>
      <c r="O337" s="28">
        <f>Population_Data!$B$8*N337</f>
        <v>1176132.9193418794</v>
      </c>
      <c r="P337" s="27">
        <f>IF(VLOOKUP($A337,Calendar!$A$1:$R$1377,18,0)=0,0,IF(VLOOKUP($A337,Calendar!$A$1:$R$1377,18,0)=1,IFERROR(INDEX(Pension_Model!$D$2:$D$29,MATCH(H337,Pension_Model!$B$2:$B$29,0)),0),IF(VLOOKUP($A337,Calendar!$A$1:$R$1377,18,0)=2,SUM(IFERROR(INDEX(Pension_Model!$D$2:$D$29,MATCH(H337,Pension_Model!$B$2:$B$29,0)),0),IFERROR(INDEX(Pension_Model!$D$2:$D$29,MATCH(H338,Pension_Model!$B$2:$B$29,0)),0)),IF(VLOOKUP($A337,Calendar!$A$1:$R$1377,18,0)=3,SUM(IFERROR(INDEX(Pension_Model!$D$2:$D$29,MATCH(H337,Pension_Model!$B$2:$B$29,0)),0),IFERROR(INDEX(Pension_Model!$D$2:$D$29,MATCH(H338,Pension_Model!$B$2:$B$29,0)),0),IFERROR(INDEX(Pension_Model!$D$2:$D$29,MATCH(H339,Pension_Model!$B$2:$B$29,0)),0)),IF(VLOOKUP($A337,Calendar!$A$1:$R$1377,18,0)=4,SUM(IFERROR(INDEX(Pension_Model!$D$2:$D$29,MATCH(H337,Pension_Model!$B$2:$B$29,0)),0),IFERROR(INDEX(Pension_Model!$D$2:$D$29,MATCH(H338,Pension_Model!$B$2:$B$29,0)),0),IFERROR(INDEX(Pension_Model!$D$2:$D$29,MATCH(H339,Pension_Model!$B$2:$B$29,0)),0),IFERROR(INDEX(Pension_Model!$D$2:$D$29,MATCH(H340,Pension_Model!$B$2:$B$29,0)),0)),IF(VLOOKUP($A337,Calendar!$A$1:$R$1377,18,0)=5,SUM(IFERROR(INDEX(Pension_Model!$D$2:$D$29,MATCH(H337,Pension_Model!$B$2:$B$29,0)),0),IFERROR(INDEX(Pension_Model!$D$2:$D$29,MATCH(H338,Pension_Model!$B$2:$B$29,0)),0),IFERROR(INDEX(Pension_Model!$D$2:$D$29,MATCH(H339,Pension_Model!$B$2:$B$29,0)),0),IFERROR(INDEX(Pension_Model!$D$2:$D$29,MATCH(H340,Pension_Model!$B$2:$B$29,0)),0),IFERROR(INDEX(Pension_Model!$D$2:$D$29,MATCH(H341,Pension_Model!$B$2:$B$29,0)),0)),0))))))</f>
        <v>0.05</v>
      </c>
      <c r="Q337" s="28">
        <f>Population_Data!$B$15*P337</f>
        <v>660600</v>
      </c>
      <c r="S337">
        <f t="shared" si="5"/>
        <v>1836732.9193418794</v>
      </c>
      <c r="U337" s="33">
        <f>S337/Population_Data!$B$19</f>
        <v>3.32741470895268E-2</v>
      </c>
    </row>
    <row r="338" spans="1:21">
      <c r="A338" s="25">
        <f>Calendar!A338</f>
        <v>46571</v>
      </c>
      <c r="B338" t="str">
        <f>Calendar!L338</f>
        <v>No</v>
      </c>
      <c r="C338" t="str">
        <f>Calendar!O338</f>
        <v>No</v>
      </c>
      <c r="D338" t="str">
        <f>Calendar!P338</f>
        <v>No</v>
      </c>
      <c r="E338" t="str">
        <f>Calendar!Q338</f>
        <v>No</v>
      </c>
      <c r="F338" t="str">
        <f>Calendar!I338</f>
        <v>Saturday</v>
      </c>
      <c r="G338">
        <f>Calendar!S338</f>
        <v>7</v>
      </c>
      <c r="H338">
        <f>Calendar!T338</f>
        <v>7</v>
      </c>
      <c r="I338" s="27">
        <f>IF(VLOOKUP(A338,Calendar!$A$1:$R$1377,18,0)=0,0,IF(VLOOKUP(A338,Calendar!$A$1:$R$1377,18,0)=1,INDEX(Monthly_Pay_Model!$A$9:$D$40,MATCH(TEXT(A338,"dd"),Monthly_Pay_Model!$C$9:$C$39,0),4),IF(VLOOKUP(A338,Calendar!$A$1:$R$1377,18,0)=2,SUM(INDEX(Monthly_Pay_Model!$A$9:$D$40,MATCH(TEXT(A338,"dd"),Monthly_Pay_Model!$C$9:$C$39,0),4),INDEX(Monthly_Pay_Model!$A$9:$D$40,MATCH(TEXT(A339,"dd"),Monthly_Pay_Model!$C$9:$C$39,0),4)),IF(VLOOKUP(A338,Calendar!$A$1:$R$1377,18,0)=3,SUM(INDEX(Monthly_Pay_Model!$A$9:$D$40,MATCH(TEXT(A338,"dd"),Monthly_Pay_Model!$C$9:$C$39,0),4),INDEX(Monthly_Pay_Model!$A$9:$D$40,MATCH(TEXT(A339,"dd"),Monthly_Pay_Model!$C$9:$C$39,0),4),INDEX(Monthly_Pay_Model!$A$9:$D$40,MATCH(TEXT(A340,"dd"),Monthly_Pay_Model!$C$9:$C$39,0),4)),IF(VLOOKUP(A338,Calendar!$A$1:$R$1377,18,0)=4,SUM(INDEX(Monthly_Pay_Model!$A$9:$D$40,MATCH(TEXT(A338,"dd"),Monthly_Pay_Model!$C$9:$C$39,0),4),INDEX(Monthly_Pay_Model!$A$9:$D$40,MATCH(TEXT(A339,"dd"),Monthly_Pay_Model!$C$9:$C$39,0),4),INDEX(Monthly_Pay_Model!$A$9:$D$40,MATCH(TEXT(A340,"dd"),Monthly_Pay_Model!$C$9:$C$39,0),4),INDEX(Monthly_Pay_Model!$A$9:$D$40,MATCH(TEXT(A341,"dd"),Monthly_Pay_Model!$C$9:$C$39,0),4)),IF(VLOOKUP(A338,Calendar!$A$1:$R$1377,18,0)=5,SUM(INDEX(Monthly_Pay_Model!$A$9:$D$40,MATCH(TEXT(A338,"dd"),Monthly_Pay_Model!$C$9:$C$39,0),4),INDEX(Monthly_Pay_Model!$A$9:$D$40,MATCH(TEXT(A339,"dd"),Monthly_Pay_Model!$C$9:$C$39,0),4),INDEX(Monthly_Pay_Model!$A$9:$D$40,MATCH(TEXT(A340,"dd"),Monthly_Pay_Model!$C$9:$C$39,0),4),INDEX(Monthly_Pay_Model!$A$9:$D$40,MATCH(TEXT(A341,"dd"),Monthly_Pay_Model!$C$9:$C$39,0),4),INDEX(Monthly_Pay_Model!$A$9:$D$40,MATCH(TEXT(A342,"dd"),Monthly_Pay_Model!$C$9:$C$39,0),4)),))))))</f>
        <v>0</v>
      </c>
      <c r="J338" s="33">
        <f>IF(C338="Yes",Monthly_Pay_Model!$D$2,0)
+IF(Calendar!N338="Yes",Monthly_Pay_Model!$D$3,0)
+IF(D338="Yes",Monthly_Pay_Model!$D$4,0)
+IF(E338="Yes",Monthly_Pay_Model!$D$5,0)</f>
        <v>0</v>
      </c>
      <c r="K338" s="27">
        <f>IF(VLOOKUP($A338,Calendar!$A$1:$R$1377,18,0)=0,0,IF(VLOOKUP($A338,Calendar!$A$1:$R$1377,18,0)=1,IFERROR(INDEX(Weekly_Model!$D$2:$D$9,MATCH(F338,Weekly_Model!$A$2:$A$9,0)),0),IF(VLOOKUP($A338,Calendar!$A$1:$R$1377,18,0)=2,SUM(IFERROR(INDEX(Weekly_Model!$D$2:$D$9,MATCH(F338,Weekly_Model!$A$2:$A$9,0)),0),IFERROR(INDEX(Weekly_Model!$D$2:$D$9,MATCH(F339,Weekly_Model!$A$2:$A$9,0)),0)),IF(VLOOKUP($A338,Calendar!$A$1:$R$1377,18,0)=3,SUM(IFERROR(INDEX(Weekly_Model!$D$2:$D$9,MATCH(F338,Weekly_Model!$A$2:$A$9,0)),0),IFERROR(INDEX(Weekly_Model!$D$2:$D$9,MATCH(F339,Weekly_Model!$A$2:$A$9,0)),0),IFERROR(INDEX(Weekly_Model!$D$2:$D$9,MATCH(F340,Weekly_Model!$A$2:$A$9,0)),0)),IF(VLOOKUP($A338,Calendar!$A$1:$R$1377,18,0)=4,SUM(IFERROR(INDEX(Weekly_Model!$D$2:$D$9,MATCH(F338,Weekly_Model!$A$2:$A$9,0)),0),IFERROR(INDEX(Weekly_Model!$D$2:$D$9,MATCH(F339,Weekly_Model!$A$2:$A$9,0)),0),IFERROR(INDEX(Weekly_Model!$D$2:$D$9,MATCH(F340,Weekly_Model!$A$2:$A$9,0)),0),IFERROR(INDEX(Weekly_Model!$D$2:$D$9,MATCH(F341,Weekly_Model!$A$2:$A$9,0)),0)),IF(VLOOKUP($A338,Calendar!$A$1:$R$1377,18,0)=5,SUM(IFERROR(INDEX(Weekly_Model!$D$2:$D$9,MATCH(F338,Weekly_Model!$A$2:$A$9,0)),0),IFERROR(INDEX(Weekly_Model!$D$2:$D$9,MATCH(F339,Weekly_Model!$A$2:$A$9,0)),0),IFERROR(INDEX(Weekly_Model!$D$2:$D$9,MATCH(F340,Weekly_Model!$A$2:$A$9,0)),0),IFERROR(INDEX(Weekly_Model!$D$2:$D$9,MATCH(F341,Weekly_Model!$A$2:$A$9,0)),0),IFERROR(INDEX(Weekly_Model!$D$2:$D$9,MATCH(F342,Weekly_Model!$A$2:$A$9,0)),0)),0))))))</f>
        <v>0</v>
      </c>
      <c r="L338" s="27">
        <f>IF(VLOOKUP($A338,Calendar!$A$1:$R$1377,18,0)=0,0,IF(VLOOKUP($A338,Calendar!$A$1:$R$1377,18,0)=1,IFERROR(INDEX(Fortnightly_Model!$D$2:$D$15,MATCH(G338,Fortnightly_Model!$B$2:$B$15,0)),0),IF(VLOOKUP($A338,Calendar!$A$1:$R$1377,18,0)=2,SUM(IFERROR(INDEX(Fortnightly_Model!$D$2:$D$15,MATCH(G338,Fortnightly_Model!$B$2:$B$15,0)),0),IFERROR(INDEX(Fortnightly_Model!$D$2:$D$15,MATCH(G339,Fortnightly_Model!$B$2:$B$15,0)),0)),IF(VLOOKUP($A338,Calendar!$A$1:$R$1377,18,0)=3,SUM(IFERROR(INDEX(Fortnightly_Model!$D$2:$D$15,MATCH(G338,Fortnightly_Model!$B$2:$B$15,0)),0),IFERROR(INDEX(Fortnightly_Model!$D$2:$D$15,MATCH(G339,Fortnightly_Model!$B$2:$B$15,0)),0),IFERROR(INDEX(Fortnightly_Model!$D$2:$D$15,MATCH(G340,Fortnightly_Model!$B$2:$B$15,0)),0)),IF(VLOOKUP($A338,Calendar!$A$1:$R$1377,18,0)=4,SUM(IFERROR(INDEX(Fortnightly_Model!$D$2:$D$15,MATCH(G338,Fortnightly_Model!$B$2:$B$15,0)),0),IFERROR(INDEX(Fortnightly_Model!$D$2:$D$15,MATCH(G339,Fortnightly_Model!$B$2:$B$15,0)),0),IFERROR(INDEX(Fortnightly_Model!$D$2:$D$15,MATCH(G340,Fortnightly_Model!$B$2:$B$15,0)),0),IFERROR(INDEX(Fortnightly_Model!$D$2:$D$15,MATCH(G341,Fortnightly_Model!$B$2:$B$15,0)),0)),IF(VLOOKUP($A338,Calendar!$A$1:$R$1377,18,0)=5,SUM(IFERROR(INDEX(Fortnightly_Model!$D$2:$D$15,MATCH(G338,Fortnightly_Model!$B$2:$B$15,0)),0),IFERROR(INDEX(Fortnightly_Model!$D$2:$D$15,MATCH(G339,Fortnightly_Model!$B$2:$B$15,0)),0),IFERROR(INDEX(Fortnightly_Model!$D$2:$D$15,MATCH(G340,Fortnightly_Model!$B$2:$B$15,0)),0),IFERROR(INDEX(Fortnightly_Model!$D$2:$D$15,MATCH(G341,Fortnightly_Model!$B$2:$B$15,0)),0),IFERROR(INDEX(Fortnightly_Model!$D$2:$D$15,MATCH(G342,Fortnightly_Model!$B$2:$B$15,0)),0)),0))))))</f>
        <v>0</v>
      </c>
      <c r="M338" s="27">
        <f>IF(VLOOKUP($A338,Calendar!$A$1:$R$1377,18,0)=0,0,IF(VLOOKUP($A338,Calendar!$A$1:$R$1377,18,0)=1,IFERROR(INDEX(FourWeekly_Model!$D$2:$D$29,MATCH(H338,FourWeekly_Model!$B$2:$B$29,0)),0),IF(VLOOKUP($A338,Calendar!$A$1:$R$1377,18,0)=2,SUM(IFERROR(INDEX(FourWeekly_Model!$D$2:$D$29,MATCH(H338,FourWeekly_Model!$B$2:$B$29,0)),0),IFERROR(INDEX(FourWeekly_Model!$D$2:$D$29,MATCH(H339,FourWeekly_Model!$B$2:$B$29,0)),0)),IF(VLOOKUP($A338,Calendar!$A$1:$R$1377,18,0)=3,SUM(IFERROR(INDEX(FourWeekly_Model!$D$2:$D$29,MATCH(H338,FourWeekly_Model!$B$2:$B$29,0)),0),IFERROR(INDEX(FourWeekly_Model!$D$2:$D$29,MATCH(H339,FourWeekly_Model!$B$2:$B$29,0)),0),IFERROR(INDEX(FourWeekly_Model!$D$2:$D$29,MATCH(H340,FourWeekly_Model!$B$2:$B$29,0)),0)),IF(VLOOKUP($A338,Calendar!$A$1:$R$1377,18,0)=4,SUM(IFERROR(INDEX(FourWeekly_Model!$D$2:$D$29,MATCH(H338,FourWeekly_Model!$B$2:$B$29,0)),0),IFERROR(INDEX(FourWeekly_Model!$D$2:$D$29,MATCH(H339,FourWeekly_Model!$B$2:$B$29,0)),0),IFERROR(INDEX(FourWeekly_Model!$D$2:$D$29,MATCH(H340,FourWeekly_Model!$B$2:$B$29,0)),0),IFERROR(INDEX(FourWeekly_Model!$D$2:$D$29,MATCH(H341,FourWeekly_Model!$B$2:$B$29,0)),0)),IF(VLOOKUP($A338,Calendar!$A$1:$R$1377,18,0)=5,SUM(IFERROR(INDEX(FourWeekly_Model!$D$2:$D$29,MATCH(H338,FourWeekly_Model!$B$2:$B$29,0)),0),IFERROR(INDEX(FourWeekly_Model!$D$2:$D$29,MATCH(H339,FourWeekly_Model!$B$2:$B$29,0)),0),IFERROR(INDEX(FourWeekly_Model!$D$2:$D$29,MATCH(H340,FourWeekly_Model!$B$2:$B$29,0)),0),IFERROR(INDEX(FourWeekly_Model!$D$2:$D$29,MATCH(H341,FourWeekly_Model!$B$2:$B$29,0)),0),IFERROR(INDEX(FourWeekly_Model!$D$2:$D$29,MATCH(H342,FourWeekly_Model!$B$2:$B$29,0)),0)),0))))))</f>
        <v>0</v>
      </c>
      <c r="N338" s="27">
        <f>SUM(I338:M338)</f>
        <v>0</v>
      </c>
      <c r="O338" s="28">
        <f>Population_Data!$B$8*N338</f>
        <v>0</v>
      </c>
      <c r="P338" s="27">
        <f>IF(VLOOKUP($A338,Calendar!$A$1:$R$1377,18,0)=0,0,IF(VLOOKUP($A338,Calendar!$A$1:$R$1377,18,0)=1,IFERROR(INDEX(Pension_Model!$D$2:$D$29,MATCH(H338,Pension_Model!$B$2:$B$29,0)),0),IF(VLOOKUP($A338,Calendar!$A$1:$R$1377,18,0)=2,SUM(IFERROR(INDEX(Pension_Model!$D$2:$D$29,MATCH(H338,Pension_Model!$B$2:$B$29,0)),0),IFERROR(INDEX(Pension_Model!$D$2:$D$29,MATCH(H339,Pension_Model!$B$2:$B$29,0)),0)),IF(VLOOKUP($A338,Calendar!$A$1:$R$1377,18,0)=3,SUM(IFERROR(INDEX(Pension_Model!$D$2:$D$29,MATCH(H338,Pension_Model!$B$2:$B$29,0)),0),IFERROR(INDEX(Pension_Model!$D$2:$D$29,MATCH(H339,Pension_Model!$B$2:$B$29,0)),0),IFERROR(INDEX(Pension_Model!$D$2:$D$29,MATCH(H340,Pension_Model!$B$2:$B$29,0)),0)),IF(VLOOKUP($A338,Calendar!$A$1:$R$1377,18,0)=4,SUM(IFERROR(INDEX(Pension_Model!$D$2:$D$29,MATCH(H338,Pension_Model!$B$2:$B$29,0)),0),IFERROR(INDEX(Pension_Model!$D$2:$D$29,MATCH(H339,Pension_Model!$B$2:$B$29,0)),0),IFERROR(INDEX(Pension_Model!$D$2:$D$29,MATCH(H340,Pension_Model!$B$2:$B$29,0)),0),IFERROR(INDEX(Pension_Model!$D$2:$D$29,MATCH(H341,Pension_Model!$B$2:$B$29,0)),0)),IF(VLOOKUP($A338,Calendar!$A$1:$R$1377,18,0)=5,SUM(IFERROR(INDEX(Pension_Model!$D$2:$D$29,MATCH(H338,Pension_Model!$B$2:$B$29,0)),0),IFERROR(INDEX(Pension_Model!$D$2:$D$29,MATCH(H339,Pension_Model!$B$2:$B$29,0)),0),IFERROR(INDEX(Pension_Model!$D$2:$D$29,MATCH(H340,Pension_Model!$B$2:$B$29,0)),0),IFERROR(INDEX(Pension_Model!$D$2:$D$29,MATCH(H341,Pension_Model!$B$2:$B$29,0)),0),IFERROR(INDEX(Pension_Model!$D$2:$D$29,MATCH(H342,Pension_Model!$B$2:$B$29,0)),0)),0))))))</f>
        <v>0</v>
      </c>
      <c r="Q338" s="28">
        <f>Population_Data!$B$15*P338</f>
        <v>0</v>
      </c>
      <c r="S338">
        <f t="shared" si="5"/>
        <v>0</v>
      </c>
      <c r="U338" s="33">
        <f>S338/Population_Data!$B$19</f>
        <v>0</v>
      </c>
    </row>
    <row r="339" spans="1:21">
      <c r="A339" s="25">
        <f>Calendar!A339</f>
        <v>46572</v>
      </c>
      <c r="B339" t="str">
        <f>Calendar!L339</f>
        <v>No</v>
      </c>
      <c r="C339" t="str">
        <f>Calendar!O339</f>
        <v>No</v>
      </c>
      <c r="D339" t="str">
        <f>Calendar!P339</f>
        <v>No</v>
      </c>
      <c r="E339" t="str">
        <f>Calendar!Q339</f>
        <v>No</v>
      </c>
      <c r="F339" t="str">
        <f>Calendar!I339</f>
        <v>Sunday</v>
      </c>
      <c r="G339">
        <f>Calendar!S339</f>
        <v>8</v>
      </c>
      <c r="H339">
        <f>Calendar!T339</f>
        <v>8</v>
      </c>
      <c r="I339" s="27">
        <f>IF(VLOOKUP(A339,Calendar!$A$1:$R$1377,18,0)=0,0,IF(VLOOKUP(A339,Calendar!$A$1:$R$1377,18,0)=1,INDEX(Monthly_Pay_Model!$A$9:$D$40,MATCH(TEXT(A339,"dd"),Monthly_Pay_Model!$C$9:$C$39,0),4),IF(VLOOKUP(A339,Calendar!$A$1:$R$1377,18,0)=2,SUM(INDEX(Monthly_Pay_Model!$A$9:$D$40,MATCH(TEXT(A339,"dd"),Monthly_Pay_Model!$C$9:$C$39,0),4),INDEX(Monthly_Pay_Model!$A$9:$D$40,MATCH(TEXT(A340,"dd"),Monthly_Pay_Model!$C$9:$C$39,0),4)),IF(VLOOKUP(A339,Calendar!$A$1:$R$1377,18,0)=3,SUM(INDEX(Monthly_Pay_Model!$A$9:$D$40,MATCH(TEXT(A339,"dd"),Monthly_Pay_Model!$C$9:$C$39,0),4),INDEX(Monthly_Pay_Model!$A$9:$D$40,MATCH(TEXT(A340,"dd"),Monthly_Pay_Model!$C$9:$C$39,0),4),INDEX(Monthly_Pay_Model!$A$9:$D$40,MATCH(TEXT(A341,"dd"),Monthly_Pay_Model!$C$9:$C$39,0),4)),IF(VLOOKUP(A339,Calendar!$A$1:$R$1377,18,0)=4,SUM(INDEX(Monthly_Pay_Model!$A$9:$D$40,MATCH(TEXT(A339,"dd"),Monthly_Pay_Model!$C$9:$C$39,0),4),INDEX(Monthly_Pay_Model!$A$9:$D$40,MATCH(TEXT(A340,"dd"),Monthly_Pay_Model!$C$9:$C$39,0),4),INDEX(Monthly_Pay_Model!$A$9:$D$40,MATCH(TEXT(A341,"dd"),Monthly_Pay_Model!$C$9:$C$39,0),4),INDEX(Monthly_Pay_Model!$A$9:$D$40,MATCH(TEXT(A342,"dd"),Monthly_Pay_Model!$C$9:$C$39,0),4)),IF(VLOOKUP(A339,Calendar!$A$1:$R$1377,18,0)=5,SUM(INDEX(Monthly_Pay_Model!$A$9:$D$40,MATCH(TEXT(A339,"dd"),Monthly_Pay_Model!$C$9:$C$39,0),4),INDEX(Monthly_Pay_Model!$A$9:$D$40,MATCH(TEXT(A340,"dd"),Monthly_Pay_Model!$C$9:$C$39,0),4),INDEX(Monthly_Pay_Model!$A$9:$D$40,MATCH(TEXT(A341,"dd"),Monthly_Pay_Model!$C$9:$C$39,0),4),INDEX(Monthly_Pay_Model!$A$9:$D$40,MATCH(TEXT(A342,"dd"),Monthly_Pay_Model!$C$9:$C$39,0),4),INDEX(Monthly_Pay_Model!$A$9:$D$40,MATCH(TEXT(A343,"dd"),Monthly_Pay_Model!$C$9:$C$39,0),4)),))))))</f>
        <v>0</v>
      </c>
      <c r="J339" s="33">
        <f>IF(C339="Yes",Monthly_Pay_Model!$D$2,0)
+IF(Calendar!N339="Yes",Monthly_Pay_Model!$D$3,0)
+IF(D339="Yes",Monthly_Pay_Model!$D$4,0)
+IF(E339="Yes",Monthly_Pay_Model!$D$5,0)</f>
        <v>0</v>
      </c>
      <c r="K339" s="27">
        <f>IF(VLOOKUP($A339,Calendar!$A$1:$R$1377,18,0)=0,0,IF(VLOOKUP($A339,Calendar!$A$1:$R$1377,18,0)=1,IFERROR(INDEX(Weekly_Model!$D$2:$D$9,MATCH(F339,Weekly_Model!$A$2:$A$9,0)),0),IF(VLOOKUP($A339,Calendar!$A$1:$R$1377,18,0)=2,SUM(IFERROR(INDEX(Weekly_Model!$D$2:$D$9,MATCH(F339,Weekly_Model!$A$2:$A$9,0)),0),IFERROR(INDEX(Weekly_Model!$D$2:$D$9,MATCH(F340,Weekly_Model!$A$2:$A$9,0)),0)),IF(VLOOKUP($A339,Calendar!$A$1:$R$1377,18,0)=3,SUM(IFERROR(INDEX(Weekly_Model!$D$2:$D$9,MATCH(F339,Weekly_Model!$A$2:$A$9,0)),0),IFERROR(INDEX(Weekly_Model!$D$2:$D$9,MATCH(F340,Weekly_Model!$A$2:$A$9,0)),0),IFERROR(INDEX(Weekly_Model!$D$2:$D$9,MATCH(F341,Weekly_Model!$A$2:$A$9,0)),0)),IF(VLOOKUP($A339,Calendar!$A$1:$R$1377,18,0)=4,SUM(IFERROR(INDEX(Weekly_Model!$D$2:$D$9,MATCH(F339,Weekly_Model!$A$2:$A$9,0)),0),IFERROR(INDEX(Weekly_Model!$D$2:$D$9,MATCH(F340,Weekly_Model!$A$2:$A$9,0)),0),IFERROR(INDEX(Weekly_Model!$D$2:$D$9,MATCH(F341,Weekly_Model!$A$2:$A$9,0)),0),IFERROR(INDEX(Weekly_Model!$D$2:$D$9,MATCH(F342,Weekly_Model!$A$2:$A$9,0)),0)),IF(VLOOKUP($A339,Calendar!$A$1:$R$1377,18,0)=5,SUM(IFERROR(INDEX(Weekly_Model!$D$2:$D$9,MATCH(F339,Weekly_Model!$A$2:$A$9,0)),0),IFERROR(INDEX(Weekly_Model!$D$2:$D$9,MATCH(F340,Weekly_Model!$A$2:$A$9,0)),0),IFERROR(INDEX(Weekly_Model!$D$2:$D$9,MATCH(F341,Weekly_Model!$A$2:$A$9,0)),0),IFERROR(INDEX(Weekly_Model!$D$2:$D$9,MATCH(F342,Weekly_Model!$A$2:$A$9,0)),0),IFERROR(INDEX(Weekly_Model!$D$2:$D$9,MATCH(F343,Weekly_Model!$A$2:$A$9,0)),0)),0))))))</f>
        <v>0</v>
      </c>
      <c r="L339" s="27">
        <f>IF(VLOOKUP($A339,Calendar!$A$1:$R$1377,18,0)=0,0,IF(VLOOKUP($A339,Calendar!$A$1:$R$1377,18,0)=1,IFERROR(INDEX(Fortnightly_Model!$D$2:$D$15,MATCH(G339,Fortnightly_Model!$B$2:$B$15,0)),0),IF(VLOOKUP($A339,Calendar!$A$1:$R$1377,18,0)=2,SUM(IFERROR(INDEX(Fortnightly_Model!$D$2:$D$15,MATCH(G339,Fortnightly_Model!$B$2:$B$15,0)),0),IFERROR(INDEX(Fortnightly_Model!$D$2:$D$15,MATCH(G340,Fortnightly_Model!$B$2:$B$15,0)),0)),IF(VLOOKUP($A339,Calendar!$A$1:$R$1377,18,0)=3,SUM(IFERROR(INDEX(Fortnightly_Model!$D$2:$D$15,MATCH(G339,Fortnightly_Model!$B$2:$B$15,0)),0),IFERROR(INDEX(Fortnightly_Model!$D$2:$D$15,MATCH(G340,Fortnightly_Model!$B$2:$B$15,0)),0),IFERROR(INDEX(Fortnightly_Model!$D$2:$D$15,MATCH(G341,Fortnightly_Model!$B$2:$B$15,0)),0)),IF(VLOOKUP($A339,Calendar!$A$1:$R$1377,18,0)=4,SUM(IFERROR(INDEX(Fortnightly_Model!$D$2:$D$15,MATCH(G339,Fortnightly_Model!$B$2:$B$15,0)),0),IFERROR(INDEX(Fortnightly_Model!$D$2:$D$15,MATCH(G340,Fortnightly_Model!$B$2:$B$15,0)),0),IFERROR(INDEX(Fortnightly_Model!$D$2:$D$15,MATCH(G341,Fortnightly_Model!$B$2:$B$15,0)),0),IFERROR(INDEX(Fortnightly_Model!$D$2:$D$15,MATCH(G342,Fortnightly_Model!$B$2:$B$15,0)),0)),IF(VLOOKUP($A339,Calendar!$A$1:$R$1377,18,0)=5,SUM(IFERROR(INDEX(Fortnightly_Model!$D$2:$D$15,MATCH(G339,Fortnightly_Model!$B$2:$B$15,0)),0),IFERROR(INDEX(Fortnightly_Model!$D$2:$D$15,MATCH(G340,Fortnightly_Model!$B$2:$B$15,0)),0),IFERROR(INDEX(Fortnightly_Model!$D$2:$D$15,MATCH(G341,Fortnightly_Model!$B$2:$B$15,0)),0),IFERROR(INDEX(Fortnightly_Model!$D$2:$D$15,MATCH(G342,Fortnightly_Model!$B$2:$B$15,0)),0),IFERROR(INDEX(Fortnightly_Model!$D$2:$D$15,MATCH(G343,Fortnightly_Model!$B$2:$B$15,0)),0)),0))))))</f>
        <v>0</v>
      </c>
      <c r="M339" s="27">
        <f>IF(VLOOKUP($A339,Calendar!$A$1:$R$1377,18,0)=0,0,IF(VLOOKUP($A339,Calendar!$A$1:$R$1377,18,0)=1,IFERROR(INDEX(FourWeekly_Model!$D$2:$D$29,MATCH(H339,FourWeekly_Model!$B$2:$B$29,0)),0),IF(VLOOKUP($A339,Calendar!$A$1:$R$1377,18,0)=2,SUM(IFERROR(INDEX(FourWeekly_Model!$D$2:$D$29,MATCH(H339,FourWeekly_Model!$B$2:$B$29,0)),0),IFERROR(INDEX(FourWeekly_Model!$D$2:$D$29,MATCH(H340,FourWeekly_Model!$B$2:$B$29,0)),0)),IF(VLOOKUP($A339,Calendar!$A$1:$R$1377,18,0)=3,SUM(IFERROR(INDEX(FourWeekly_Model!$D$2:$D$29,MATCH(H339,FourWeekly_Model!$B$2:$B$29,0)),0),IFERROR(INDEX(FourWeekly_Model!$D$2:$D$29,MATCH(H340,FourWeekly_Model!$B$2:$B$29,0)),0),IFERROR(INDEX(FourWeekly_Model!$D$2:$D$29,MATCH(H341,FourWeekly_Model!$B$2:$B$29,0)),0)),IF(VLOOKUP($A339,Calendar!$A$1:$R$1377,18,0)=4,SUM(IFERROR(INDEX(FourWeekly_Model!$D$2:$D$29,MATCH(H339,FourWeekly_Model!$B$2:$B$29,0)),0),IFERROR(INDEX(FourWeekly_Model!$D$2:$D$29,MATCH(H340,FourWeekly_Model!$B$2:$B$29,0)),0),IFERROR(INDEX(FourWeekly_Model!$D$2:$D$29,MATCH(H341,FourWeekly_Model!$B$2:$B$29,0)),0),IFERROR(INDEX(FourWeekly_Model!$D$2:$D$29,MATCH(H342,FourWeekly_Model!$B$2:$B$29,0)),0)),IF(VLOOKUP($A339,Calendar!$A$1:$R$1377,18,0)=5,SUM(IFERROR(INDEX(FourWeekly_Model!$D$2:$D$29,MATCH(H339,FourWeekly_Model!$B$2:$B$29,0)),0),IFERROR(INDEX(FourWeekly_Model!$D$2:$D$29,MATCH(H340,FourWeekly_Model!$B$2:$B$29,0)),0),IFERROR(INDEX(FourWeekly_Model!$D$2:$D$29,MATCH(H341,FourWeekly_Model!$B$2:$B$29,0)),0),IFERROR(INDEX(FourWeekly_Model!$D$2:$D$29,MATCH(H342,FourWeekly_Model!$B$2:$B$29,0)),0),IFERROR(INDEX(FourWeekly_Model!$D$2:$D$29,MATCH(H343,FourWeekly_Model!$B$2:$B$29,0)),0)),0))))))</f>
        <v>0</v>
      </c>
      <c r="N339" s="27">
        <f>SUM(I339:M339)</f>
        <v>0</v>
      </c>
      <c r="O339" s="28">
        <f>Population_Data!$B$8*N339</f>
        <v>0</v>
      </c>
      <c r="P339" s="27">
        <f>IF(VLOOKUP($A339,Calendar!$A$1:$R$1377,18,0)=0,0,IF(VLOOKUP($A339,Calendar!$A$1:$R$1377,18,0)=1,IFERROR(INDEX(Pension_Model!$D$2:$D$29,MATCH(H339,Pension_Model!$B$2:$B$29,0)),0),IF(VLOOKUP($A339,Calendar!$A$1:$R$1377,18,0)=2,SUM(IFERROR(INDEX(Pension_Model!$D$2:$D$29,MATCH(H339,Pension_Model!$B$2:$B$29,0)),0),IFERROR(INDEX(Pension_Model!$D$2:$D$29,MATCH(H340,Pension_Model!$B$2:$B$29,0)),0)),IF(VLOOKUP($A339,Calendar!$A$1:$R$1377,18,0)=3,SUM(IFERROR(INDEX(Pension_Model!$D$2:$D$29,MATCH(H339,Pension_Model!$B$2:$B$29,0)),0),IFERROR(INDEX(Pension_Model!$D$2:$D$29,MATCH(H340,Pension_Model!$B$2:$B$29,0)),0),IFERROR(INDEX(Pension_Model!$D$2:$D$29,MATCH(H341,Pension_Model!$B$2:$B$29,0)),0)),IF(VLOOKUP($A339,Calendar!$A$1:$R$1377,18,0)=4,SUM(IFERROR(INDEX(Pension_Model!$D$2:$D$29,MATCH(H339,Pension_Model!$B$2:$B$29,0)),0),IFERROR(INDEX(Pension_Model!$D$2:$D$29,MATCH(H340,Pension_Model!$B$2:$B$29,0)),0),IFERROR(INDEX(Pension_Model!$D$2:$D$29,MATCH(H341,Pension_Model!$B$2:$B$29,0)),0),IFERROR(INDEX(Pension_Model!$D$2:$D$29,MATCH(H342,Pension_Model!$B$2:$B$29,0)),0)),IF(VLOOKUP($A339,Calendar!$A$1:$R$1377,18,0)=5,SUM(IFERROR(INDEX(Pension_Model!$D$2:$D$29,MATCH(H339,Pension_Model!$B$2:$B$29,0)),0),IFERROR(INDEX(Pension_Model!$D$2:$D$29,MATCH(H340,Pension_Model!$B$2:$B$29,0)),0),IFERROR(INDEX(Pension_Model!$D$2:$D$29,MATCH(H341,Pension_Model!$B$2:$B$29,0)),0),IFERROR(INDEX(Pension_Model!$D$2:$D$29,MATCH(H342,Pension_Model!$B$2:$B$29,0)),0),IFERROR(INDEX(Pension_Model!$D$2:$D$29,MATCH(H343,Pension_Model!$B$2:$B$29,0)),0)),0))))))</f>
        <v>0</v>
      </c>
      <c r="Q339" s="28">
        <f>Population_Data!$B$15*P339</f>
        <v>0</v>
      </c>
      <c r="S339">
        <f t="shared" si="5"/>
        <v>0</v>
      </c>
      <c r="U339" s="33">
        <f>S339/Population_Data!$B$19</f>
        <v>0</v>
      </c>
    </row>
    <row r="340" spans="1:21">
      <c r="A340" s="25">
        <f>Calendar!A340</f>
        <v>46573</v>
      </c>
      <c r="B340" t="str">
        <f>Calendar!L340</f>
        <v>Yes</v>
      </c>
      <c r="C340" t="str">
        <f>Calendar!O340</f>
        <v>No</v>
      </c>
      <c r="D340" t="str">
        <f>Calendar!P340</f>
        <v>No</v>
      </c>
      <c r="E340" t="str">
        <f>Calendar!Q340</f>
        <v>No</v>
      </c>
      <c r="F340" t="str">
        <f>Calendar!I340</f>
        <v>Monday</v>
      </c>
      <c r="G340">
        <f>Calendar!S340</f>
        <v>9</v>
      </c>
      <c r="H340">
        <f>Calendar!T340</f>
        <v>9</v>
      </c>
      <c r="I340" s="27">
        <f>IF(VLOOKUP(A340,Calendar!$A$1:$R$1377,18,0)=0,0,IF(VLOOKUP(A340,Calendar!$A$1:$R$1377,18,0)=1,INDEX(Monthly_Pay_Model!$A$9:$D$40,MATCH(TEXT(A340,"dd"),Monthly_Pay_Model!$C$9:$C$39,0),4),IF(VLOOKUP(A340,Calendar!$A$1:$R$1377,18,0)=2,SUM(INDEX(Monthly_Pay_Model!$A$9:$D$40,MATCH(TEXT(A340,"dd"),Monthly_Pay_Model!$C$9:$C$39,0),4),INDEX(Monthly_Pay_Model!$A$9:$D$40,MATCH(TEXT(A341,"dd"),Monthly_Pay_Model!$C$9:$C$39,0),4)),IF(VLOOKUP(A340,Calendar!$A$1:$R$1377,18,0)=3,SUM(INDEX(Monthly_Pay_Model!$A$9:$D$40,MATCH(TEXT(A340,"dd"),Monthly_Pay_Model!$C$9:$C$39,0),4),INDEX(Monthly_Pay_Model!$A$9:$D$40,MATCH(TEXT(A341,"dd"),Monthly_Pay_Model!$C$9:$C$39,0),4),INDEX(Monthly_Pay_Model!$A$9:$D$40,MATCH(TEXT(A342,"dd"),Monthly_Pay_Model!$C$9:$C$39,0),4)),IF(VLOOKUP(A340,Calendar!$A$1:$R$1377,18,0)=4,SUM(INDEX(Monthly_Pay_Model!$A$9:$D$40,MATCH(TEXT(A340,"dd"),Monthly_Pay_Model!$C$9:$C$39,0),4),INDEX(Monthly_Pay_Model!$A$9:$D$40,MATCH(TEXT(A341,"dd"),Monthly_Pay_Model!$C$9:$C$39,0),4),INDEX(Monthly_Pay_Model!$A$9:$D$40,MATCH(TEXT(A342,"dd"),Monthly_Pay_Model!$C$9:$C$39,0),4),INDEX(Monthly_Pay_Model!$A$9:$D$40,MATCH(TEXT(A343,"dd"),Monthly_Pay_Model!$C$9:$C$39,0),4)),IF(VLOOKUP(A340,Calendar!$A$1:$R$1377,18,0)=5,SUM(INDEX(Monthly_Pay_Model!$A$9:$D$40,MATCH(TEXT(A340,"dd"),Monthly_Pay_Model!$C$9:$C$39,0),4),INDEX(Monthly_Pay_Model!$A$9:$D$40,MATCH(TEXT(A341,"dd"),Monthly_Pay_Model!$C$9:$C$39,0),4),INDEX(Monthly_Pay_Model!$A$9:$D$40,MATCH(TEXT(A342,"dd"),Monthly_Pay_Model!$C$9:$C$39,0),4),INDEX(Monthly_Pay_Model!$A$9:$D$40,MATCH(TEXT(A343,"dd"),Monthly_Pay_Model!$C$9:$C$39,0),4),INDEX(Monthly_Pay_Model!$A$9:$D$40,MATCH(TEXT(A344,"dd"),Monthly_Pay_Model!$C$9:$C$39,0),4)),))))))</f>
        <v>7.3130890052356002E-3</v>
      </c>
      <c r="J340" s="33">
        <f>IF(C340="Yes",Monthly_Pay_Model!$D$2,0)
+IF(Calendar!N340="Yes",Monthly_Pay_Model!$D$3,0)
+IF(D340="Yes",Monthly_Pay_Model!$D$4,0)
+IF(E340="Yes",Monthly_Pay_Model!$D$5,0)</f>
        <v>0</v>
      </c>
      <c r="K340" s="27">
        <f>IF(VLOOKUP($A340,Calendar!$A$1:$R$1377,18,0)=0,0,IF(VLOOKUP($A340,Calendar!$A$1:$R$1377,18,0)=1,IFERROR(INDEX(Weekly_Model!$D$2:$D$9,MATCH(F340,Weekly_Model!$A$2:$A$9,0)),0),IF(VLOOKUP($A340,Calendar!$A$1:$R$1377,18,0)=2,SUM(IFERROR(INDEX(Weekly_Model!$D$2:$D$9,MATCH(F340,Weekly_Model!$A$2:$A$9,0)),0),IFERROR(INDEX(Weekly_Model!$D$2:$D$9,MATCH(F341,Weekly_Model!$A$2:$A$9,0)),0)),IF(VLOOKUP($A340,Calendar!$A$1:$R$1377,18,0)=3,SUM(IFERROR(INDEX(Weekly_Model!$D$2:$D$9,MATCH(F340,Weekly_Model!$A$2:$A$9,0)),0),IFERROR(INDEX(Weekly_Model!$D$2:$D$9,MATCH(F341,Weekly_Model!$A$2:$A$9,0)),0),IFERROR(INDEX(Weekly_Model!$D$2:$D$9,MATCH(F342,Weekly_Model!$A$2:$A$9,0)),0)),IF(VLOOKUP($A340,Calendar!$A$1:$R$1377,18,0)=4,SUM(IFERROR(INDEX(Weekly_Model!$D$2:$D$9,MATCH(F340,Weekly_Model!$A$2:$A$9,0)),0),IFERROR(INDEX(Weekly_Model!$D$2:$D$9,MATCH(F341,Weekly_Model!$A$2:$A$9,0)),0),IFERROR(INDEX(Weekly_Model!$D$2:$D$9,MATCH(F342,Weekly_Model!$A$2:$A$9,0)),0),IFERROR(INDEX(Weekly_Model!$D$2:$D$9,MATCH(F343,Weekly_Model!$A$2:$A$9,0)),0)),IF(VLOOKUP($A340,Calendar!$A$1:$R$1377,18,0)=5,SUM(IFERROR(INDEX(Weekly_Model!$D$2:$D$9,MATCH(F340,Weekly_Model!$A$2:$A$9,0)),0),IFERROR(INDEX(Weekly_Model!$D$2:$D$9,MATCH(F341,Weekly_Model!$A$2:$A$9,0)),0),IFERROR(INDEX(Weekly_Model!$D$2:$D$9,MATCH(F342,Weekly_Model!$A$2:$A$9,0)),0),IFERROR(INDEX(Weekly_Model!$D$2:$D$9,MATCH(F343,Weekly_Model!$A$2:$A$9,0)),0),IFERROR(INDEX(Weekly_Model!$D$2:$D$9,MATCH(F344,Weekly_Model!$A$2:$A$9,0)),0)),0))))))</f>
        <v>2.3200000000000002E-2</v>
      </c>
      <c r="L340" s="27">
        <f>IF(VLOOKUP($A340,Calendar!$A$1:$R$1377,18,0)=0,0,IF(VLOOKUP($A340,Calendar!$A$1:$R$1377,18,0)=1,IFERROR(INDEX(Fortnightly_Model!$D$2:$D$15,MATCH(G340,Fortnightly_Model!$B$2:$B$15,0)),0),IF(VLOOKUP($A340,Calendar!$A$1:$R$1377,18,0)=2,SUM(IFERROR(INDEX(Fortnightly_Model!$D$2:$D$15,MATCH(G340,Fortnightly_Model!$B$2:$B$15,0)),0),IFERROR(INDEX(Fortnightly_Model!$D$2:$D$15,MATCH(G341,Fortnightly_Model!$B$2:$B$15,0)),0)),IF(VLOOKUP($A340,Calendar!$A$1:$R$1377,18,0)=3,SUM(IFERROR(INDEX(Fortnightly_Model!$D$2:$D$15,MATCH(G340,Fortnightly_Model!$B$2:$B$15,0)),0),IFERROR(INDEX(Fortnightly_Model!$D$2:$D$15,MATCH(G341,Fortnightly_Model!$B$2:$B$15,0)),0),IFERROR(INDEX(Fortnightly_Model!$D$2:$D$15,MATCH(G342,Fortnightly_Model!$B$2:$B$15,0)),0)),IF(VLOOKUP($A340,Calendar!$A$1:$R$1377,18,0)=4,SUM(IFERROR(INDEX(Fortnightly_Model!$D$2:$D$15,MATCH(G340,Fortnightly_Model!$B$2:$B$15,0)),0),IFERROR(INDEX(Fortnightly_Model!$D$2:$D$15,MATCH(G341,Fortnightly_Model!$B$2:$B$15,0)),0),IFERROR(INDEX(Fortnightly_Model!$D$2:$D$15,MATCH(G342,Fortnightly_Model!$B$2:$B$15,0)),0),IFERROR(INDEX(Fortnightly_Model!$D$2:$D$15,MATCH(G343,Fortnightly_Model!$B$2:$B$15,0)),0)),IF(VLOOKUP($A340,Calendar!$A$1:$R$1377,18,0)=5,SUM(IFERROR(INDEX(Fortnightly_Model!$D$2:$D$15,MATCH(G340,Fortnightly_Model!$B$2:$B$15,0)),0),IFERROR(INDEX(Fortnightly_Model!$D$2:$D$15,MATCH(G341,Fortnightly_Model!$B$2:$B$15,0)),0),IFERROR(INDEX(Fortnightly_Model!$D$2:$D$15,MATCH(G342,Fortnightly_Model!$B$2:$B$15,0)),0),IFERROR(INDEX(Fortnightly_Model!$D$2:$D$15,MATCH(G343,Fortnightly_Model!$B$2:$B$15,0)),0),IFERROR(INDEX(Fortnightly_Model!$D$2:$D$15,MATCH(G344,Fortnightly_Model!$B$2:$B$15,0)),0)),0))))))</f>
        <v>1.0714285499999999E-3</v>
      </c>
      <c r="M340" s="27">
        <f>IF(VLOOKUP($A340,Calendar!$A$1:$R$1377,18,0)=0,0,IF(VLOOKUP($A340,Calendar!$A$1:$R$1377,18,0)=1,IFERROR(INDEX(FourWeekly_Model!$D$2:$D$29,MATCH(H340,FourWeekly_Model!$B$2:$B$29,0)),0),IF(VLOOKUP($A340,Calendar!$A$1:$R$1377,18,0)=2,SUM(IFERROR(INDEX(FourWeekly_Model!$D$2:$D$29,MATCH(H340,FourWeekly_Model!$B$2:$B$29,0)),0),IFERROR(INDEX(FourWeekly_Model!$D$2:$D$29,MATCH(H341,FourWeekly_Model!$B$2:$B$29,0)),0)),IF(VLOOKUP($A340,Calendar!$A$1:$R$1377,18,0)=3,SUM(IFERROR(INDEX(FourWeekly_Model!$D$2:$D$29,MATCH(H340,FourWeekly_Model!$B$2:$B$29,0)),0),IFERROR(INDEX(FourWeekly_Model!$D$2:$D$29,MATCH(H341,FourWeekly_Model!$B$2:$B$29,0)),0),IFERROR(INDEX(FourWeekly_Model!$D$2:$D$29,MATCH(H342,FourWeekly_Model!$B$2:$B$29,0)),0)),IF(VLOOKUP($A340,Calendar!$A$1:$R$1377,18,0)=4,SUM(IFERROR(INDEX(FourWeekly_Model!$D$2:$D$29,MATCH(H340,FourWeekly_Model!$B$2:$B$29,0)),0),IFERROR(INDEX(FourWeekly_Model!$D$2:$D$29,MATCH(H341,FourWeekly_Model!$B$2:$B$29,0)),0),IFERROR(INDEX(FourWeekly_Model!$D$2:$D$29,MATCH(H342,FourWeekly_Model!$B$2:$B$29,0)),0),IFERROR(INDEX(FourWeekly_Model!$D$2:$D$29,MATCH(H343,FourWeekly_Model!$B$2:$B$29,0)),0)),IF(VLOOKUP($A340,Calendar!$A$1:$R$1377,18,0)=5,SUM(IFERROR(INDEX(FourWeekly_Model!$D$2:$D$29,MATCH(H340,FourWeekly_Model!$B$2:$B$29,0)),0),IFERROR(INDEX(FourWeekly_Model!$D$2:$D$29,MATCH(H341,FourWeekly_Model!$B$2:$B$29,0)),0),IFERROR(INDEX(FourWeekly_Model!$D$2:$D$29,MATCH(H342,FourWeekly_Model!$B$2:$B$29,0)),0),IFERROR(INDEX(FourWeekly_Model!$D$2:$D$29,MATCH(H343,FourWeekly_Model!$B$2:$B$29,0)),0),IFERROR(INDEX(FourWeekly_Model!$D$2:$D$29,MATCH(H344,FourWeekly_Model!$B$2:$B$29,0)),0)),0))))))</f>
        <v>3.3214289700000004E-3</v>
      </c>
      <c r="N340" s="27">
        <f>SUM(I340:M340)</f>
        <v>3.4905946525235605E-2</v>
      </c>
      <c r="O340" s="28">
        <f>Population_Data!$B$8*N340</f>
        <v>1057650.1797146387</v>
      </c>
      <c r="P340" s="27">
        <f>IF(VLOOKUP($A340,Calendar!$A$1:$R$1377,18,0)=0,0,IF(VLOOKUP($A340,Calendar!$A$1:$R$1377,18,0)=1,IFERROR(INDEX(Pension_Model!$D$2:$D$29,MATCH(H340,Pension_Model!$B$2:$B$29,0)),0),IF(VLOOKUP($A340,Calendar!$A$1:$R$1377,18,0)=2,SUM(IFERROR(INDEX(Pension_Model!$D$2:$D$29,MATCH(H340,Pension_Model!$B$2:$B$29,0)),0),IFERROR(INDEX(Pension_Model!$D$2:$D$29,MATCH(H341,Pension_Model!$B$2:$B$29,0)),0)),IF(VLOOKUP($A340,Calendar!$A$1:$R$1377,18,0)=3,SUM(IFERROR(INDEX(Pension_Model!$D$2:$D$29,MATCH(H340,Pension_Model!$B$2:$B$29,0)),0),IFERROR(INDEX(Pension_Model!$D$2:$D$29,MATCH(H341,Pension_Model!$B$2:$B$29,0)),0),IFERROR(INDEX(Pension_Model!$D$2:$D$29,MATCH(H342,Pension_Model!$B$2:$B$29,0)),0)),IF(VLOOKUP($A340,Calendar!$A$1:$R$1377,18,0)=4,SUM(IFERROR(INDEX(Pension_Model!$D$2:$D$29,MATCH(H340,Pension_Model!$B$2:$B$29,0)),0),IFERROR(INDEX(Pension_Model!$D$2:$D$29,MATCH(H341,Pension_Model!$B$2:$B$29,0)),0),IFERROR(INDEX(Pension_Model!$D$2:$D$29,MATCH(H342,Pension_Model!$B$2:$B$29,0)),0),IFERROR(INDEX(Pension_Model!$D$2:$D$29,MATCH(H343,Pension_Model!$B$2:$B$29,0)),0)),IF(VLOOKUP($A340,Calendar!$A$1:$R$1377,18,0)=5,SUM(IFERROR(INDEX(Pension_Model!$D$2:$D$29,MATCH(H340,Pension_Model!$B$2:$B$29,0)),0),IFERROR(INDEX(Pension_Model!$D$2:$D$29,MATCH(H341,Pension_Model!$B$2:$B$29,0)),0),IFERROR(INDEX(Pension_Model!$D$2:$D$29,MATCH(H342,Pension_Model!$B$2:$B$29,0)),0),IFERROR(INDEX(Pension_Model!$D$2:$D$29,MATCH(H343,Pension_Model!$B$2:$B$29,0)),0),IFERROR(INDEX(Pension_Model!$D$2:$D$29,MATCH(H344,Pension_Model!$B$2:$B$29,0)),0)),0))))))</f>
        <v>0.05</v>
      </c>
      <c r="Q340" s="28">
        <f>Population_Data!$B$15*P340</f>
        <v>660600</v>
      </c>
      <c r="S340">
        <f t="shared" si="5"/>
        <v>1718250.1797146387</v>
      </c>
      <c r="U340" s="33">
        <f>S340/Population_Data!$B$19</f>
        <v>3.1127720647004326E-2</v>
      </c>
    </row>
    <row r="341" spans="1:21">
      <c r="A341" s="25">
        <f>Calendar!A341</f>
        <v>46574</v>
      </c>
      <c r="B341" t="str">
        <f>Calendar!L341</f>
        <v>Yes</v>
      </c>
      <c r="C341" t="str">
        <f>Calendar!O341</f>
        <v>No</v>
      </c>
      <c r="D341" t="str">
        <f>Calendar!P341</f>
        <v>No</v>
      </c>
      <c r="E341" t="str">
        <f>Calendar!Q341</f>
        <v>No</v>
      </c>
      <c r="F341" t="str">
        <f>Calendar!I341</f>
        <v>Tuesday</v>
      </c>
      <c r="G341">
        <f>Calendar!S341</f>
        <v>10</v>
      </c>
      <c r="H341">
        <f>Calendar!T341</f>
        <v>10</v>
      </c>
      <c r="I341" s="27">
        <f>IF(VLOOKUP(A341,Calendar!$A$1:$R$1377,18,0)=0,0,IF(VLOOKUP(A341,Calendar!$A$1:$R$1377,18,0)=1,INDEX(Monthly_Pay_Model!$A$9:$D$40,MATCH(TEXT(A341,"dd"),Monthly_Pay_Model!$C$9:$C$39,0),4),IF(VLOOKUP(A341,Calendar!$A$1:$R$1377,18,0)=2,SUM(INDEX(Monthly_Pay_Model!$A$9:$D$40,MATCH(TEXT(A341,"dd"),Monthly_Pay_Model!$C$9:$C$39,0),4),INDEX(Monthly_Pay_Model!$A$9:$D$40,MATCH(TEXT(A342,"dd"),Monthly_Pay_Model!$C$9:$C$39,0),4)),IF(VLOOKUP(A341,Calendar!$A$1:$R$1377,18,0)=3,SUM(INDEX(Monthly_Pay_Model!$A$9:$D$40,MATCH(TEXT(A341,"dd"),Monthly_Pay_Model!$C$9:$C$39,0),4),INDEX(Monthly_Pay_Model!$A$9:$D$40,MATCH(TEXT(A342,"dd"),Monthly_Pay_Model!$C$9:$C$39,0),4),INDEX(Monthly_Pay_Model!$A$9:$D$40,MATCH(TEXT(A343,"dd"),Monthly_Pay_Model!$C$9:$C$39,0),4)),IF(VLOOKUP(A341,Calendar!$A$1:$R$1377,18,0)=4,SUM(INDEX(Monthly_Pay_Model!$A$9:$D$40,MATCH(TEXT(A341,"dd"),Monthly_Pay_Model!$C$9:$C$39,0),4),INDEX(Monthly_Pay_Model!$A$9:$D$40,MATCH(TEXT(A342,"dd"),Monthly_Pay_Model!$C$9:$C$39,0),4),INDEX(Monthly_Pay_Model!$A$9:$D$40,MATCH(TEXT(A343,"dd"),Monthly_Pay_Model!$C$9:$C$39,0),4),INDEX(Monthly_Pay_Model!$A$9:$D$40,MATCH(TEXT(A344,"dd"),Monthly_Pay_Model!$C$9:$C$39,0),4)),IF(VLOOKUP(A341,Calendar!$A$1:$R$1377,18,0)=5,SUM(INDEX(Monthly_Pay_Model!$A$9:$D$40,MATCH(TEXT(A341,"dd"),Monthly_Pay_Model!$C$9:$C$39,0),4),INDEX(Monthly_Pay_Model!$A$9:$D$40,MATCH(TEXT(A342,"dd"),Monthly_Pay_Model!$C$9:$C$39,0),4),INDEX(Monthly_Pay_Model!$A$9:$D$40,MATCH(TEXT(A343,"dd"),Monthly_Pay_Model!$C$9:$C$39,0),4),INDEX(Monthly_Pay_Model!$A$9:$D$40,MATCH(TEXT(A344,"dd"),Monthly_Pay_Model!$C$9:$C$39,0),4),INDEX(Monthly_Pay_Model!$A$9:$D$40,MATCH(TEXT(A345,"dd"),Monthly_Pay_Model!$C$9:$C$39,0),4)),))))))</f>
        <v>3.2502617801047117E-3</v>
      </c>
      <c r="J341" s="33">
        <f>IF(C341="Yes",Monthly_Pay_Model!$D$2,0)
+IF(Calendar!N341="Yes",Monthly_Pay_Model!$D$3,0)
+IF(D341="Yes",Monthly_Pay_Model!$D$4,0)
+IF(E341="Yes",Monthly_Pay_Model!$D$5,0)</f>
        <v>0</v>
      </c>
      <c r="K341" s="27">
        <f>IF(VLOOKUP($A341,Calendar!$A$1:$R$1377,18,0)=0,0,IF(VLOOKUP($A341,Calendar!$A$1:$R$1377,18,0)=1,IFERROR(INDEX(Weekly_Model!$D$2:$D$9,MATCH(F341,Weekly_Model!$A$2:$A$9,0)),0),IF(VLOOKUP($A341,Calendar!$A$1:$R$1377,18,0)=2,SUM(IFERROR(INDEX(Weekly_Model!$D$2:$D$9,MATCH(F341,Weekly_Model!$A$2:$A$9,0)),0),IFERROR(INDEX(Weekly_Model!$D$2:$D$9,MATCH(F342,Weekly_Model!$A$2:$A$9,0)),0)),IF(VLOOKUP($A341,Calendar!$A$1:$R$1377,18,0)=3,SUM(IFERROR(INDEX(Weekly_Model!$D$2:$D$9,MATCH(F341,Weekly_Model!$A$2:$A$9,0)),0),IFERROR(INDEX(Weekly_Model!$D$2:$D$9,MATCH(F342,Weekly_Model!$A$2:$A$9,0)),0),IFERROR(INDEX(Weekly_Model!$D$2:$D$9,MATCH(F343,Weekly_Model!$A$2:$A$9,0)),0)),IF(VLOOKUP($A341,Calendar!$A$1:$R$1377,18,0)=4,SUM(IFERROR(INDEX(Weekly_Model!$D$2:$D$9,MATCH(F341,Weekly_Model!$A$2:$A$9,0)),0),IFERROR(INDEX(Weekly_Model!$D$2:$D$9,MATCH(F342,Weekly_Model!$A$2:$A$9,0)),0),IFERROR(INDEX(Weekly_Model!$D$2:$D$9,MATCH(F343,Weekly_Model!$A$2:$A$9,0)),0),IFERROR(INDEX(Weekly_Model!$D$2:$D$9,MATCH(F344,Weekly_Model!$A$2:$A$9,0)),0)),IF(VLOOKUP($A341,Calendar!$A$1:$R$1377,18,0)=5,SUM(IFERROR(INDEX(Weekly_Model!$D$2:$D$9,MATCH(F341,Weekly_Model!$A$2:$A$9,0)),0),IFERROR(INDEX(Weekly_Model!$D$2:$D$9,MATCH(F342,Weekly_Model!$A$2:$A$9,0)),0),IFERROR(INDEX(Weekly_Model!$D$2:$D$9,MATCH(F343,Weekly_Model!$A$2:$A$9,0)),0),IFERROR(INDEX(Weekly_Model!$D$2:$D$9,MATCH(F344,Weekly_Model!$A$2:$A$9,0)),0),IFERROR(INDEX(Weekly_Model!$D$2:$D$9,MATCH(F345,Weekly_Model!$A$2:$A$9,0)),0)),0))))))</f>
        <v>2.3200000000000002E-2</v>
      </c>
      <c r="L341" s="27">
        <f>IF(VLOOKUP($A341,Calendar!$A$1:$R$1377,18,0)=0,0,IF(VLOOKUP($A341,Calendar!$A$1:$R$1377,18,0)=1,IFERROR(INDEX(Fortnightly_Model!$D$2:$D$15,MATCH(G341,Fortnightly_Model!$B$2:$B$15,0)),0),IF(VLOOKUP($A341,Calendar!$A$1:$R$1377,18,0)=2,SUM(IFERROR(INDEX(Fortnightly_Model!$D$2:$D$15,MATCH(G341,Fortnightly_Model!$B$2:$B$15,0)),0),IFERROR(INDEX(Fortnightly_Model!$D$2:$D$15,MATCH(G342,Fortnightly_Model!$B$2:$B$15,0)),0)),IF(VLOOKUP($A341,Calendar!$A$1:$R$1377,18,0)=3,SUM(IFERROR(INDEX(Fortnightly_Model!$D$2:$D$15,MATCH(G341,Fortnightly_Model!$B$2:$B$15,0)),0),IFERROR(INDEX(Fortnightly_Model!$D$2:$D$15,MATCH(G342,Fortnightly_Model!$B$2:$B$15,0)),0),IFERROR(INDEX(Fortnightly_Model!$D$2:$D$15,MATCH(G343,Fortnightly_Model!$B$2:$B$15,0)),0)),IF(VLOOKUP($A341,Calendar!$A$1:$R$1377,18,0)=4,SUM(IFERROR(INDEX(Fortnightly_Model!$D$2:$D$15,MATCH(G341,Fortnightly_Model!$B$2:$B$15,0)),0),IFERROR(INDEX(Fortnightly_Model!$D$2:$D$15,MATCH(G342,Fortnightly_Model!$B$2:$B$15,0)),0),IFERROR(INDEX(Fortnightly_Model!$D$2:$D$15,MATCH(G343,Fortnightly_Model!$B$2:$B$15,0)),0),IFERROR(INDEX(Fortnightly_Model!$D$2:$D$15,MATCH(G344,Fortnightly_Model!$B$2:$B$15,0)),0)),IF(VLOOKUP($A341,Calendar!$A$1:$R$1377,18,0)=5,SUM(IFERROR(INDEX(Fortnightly_Model!$D$2:$D$15,MATCH(G341,Fortnightly_Model!$B$2:$B$15,0)),0),IFERROR(INDEX(Fortnightly_Model!$D$2:$D$15,MATCH(G342,Fortnightly_Model!$B$2:$B$15,0)),0),IFERROR(INDEX(Fortnightly_Model!$D$2:$D$15,MATCH(G343,Fortnightly_Model!$B$2:$B$15,0)),0),IFERROR(INDEX(Fortnightly_Model!$D$2:$D$15,MATCH(G344,Fortnightly_Model!$B$2:$B$15,0)),0),IFERROR(INDEX(Fortnightly_Model!$D$2:$D$15,MATCH(G345,Fortnightly_Model!$B$2:$B$15,0)),0)),0))))))</f>
        <v>1.0714285499999999E-3</v>
      </c>
      <c r="M341" s="27">
        <f>IF(VLOOKUP($A341,Calendar!$A$1:$R$1377,18,0)=0,0,IF(VLOOKUP($A341,Calendar!$A$1:$R$1377,18,0)=1,IFERROR(INDEX(FourWeekly_Model!$D$2:$D$29,MATCH(H341,FourWeekly_Model!$B$2:$B$29,0)),0),IF(VLOOKUP($A341,Calendar!$A$1:$R$1377,18,0)=2,SUM(IFERROR(INDEX(FourWeekly_Model!$D$2:$D$29,MATCH(H341,FourWeekly_Model!$B$2:$B$29,0)),0),IFERROR(INDEX(FourWeekly_Model!$D$2:$D$29,MATCH(H342,FourWeekly_Model!$B$2:$B$29,0)),0)),IF(VLOOKUP($A341,Calendar!$A$1:$R$1377,18,0)=3,SUM(IFERROR(INDEX(FourWeekly_Model!$D$2:$D$29,MATCH(H341,FourWeekly_Model!$B$2:$B$29,0)),0),IFERROR(INDEX(FourWeekly_Model!$D$2:$D$29,MATCH(H342,FourWeekly_Model!$B$2:$B$29,0)),0),IFERROR(INDEX(FourWeekly_Model!$D$2:$D$29,MATCH(H343,FourWeekly_Model!$B$2:$B$29,0)),0)),IF(VLOOKUP($A341,Calendar!$A$1:$R$1377,18,0)=4,SUM(IFERROR(INDEX(FourWeekly_Model!$D$2:$D$29,MATCH(H341,FourWeekly_Model!$B$2:$B$29,0)),0),IFERROR(INDEX(FourWeekly_Model!$D$2:$D$29,MATCH(H342,FourWeekly_Model!$B$2:$B$29,0)),0),IFERROR(INDEX(FourWeekly_Model!$D$2:$D$29,MATCH(H343,FourWeekly_Model!$B$2:$B$29,0)),0),IFERROR(INDEX(FourWeekly_Model!$D$2:$D$29,MATCH(H344,FourWeekly_Model!$B$2:$B$29,0)),0)),IF(VLOOKUP($A341,Calendar!$A$1:$R$1377,18,0)=5,SUM(IFERROR(INDEX(FourWeekly_Model!$D$2:$D$29,MATCH(H341,FourWeekly_Model!$B$2:$B$29,0)),0),IFERROR(INDEX(FourWeekly_Model!$D$2:$D$29,MATCH(H342,FourWeekly_Model!$B$2:$B$29,0)),0),IFERROR(INDEX(FourWeekly_Model!$D$2:$D$29,MATCH(H343,FourWeekly_Model!$B$2:$B$29,0)),0),IFERROR(INDEX(FourWeekly_Model!$D$2:$D$29,MATCH(H344,FourWeekly_Model!$B$2:$B$29,0)),0),IFERROR(INDEX(FourWeekly_Model!$D$2:$D$29,MATCH(H345,FourWeekly_Model!$B$2:$B$29,0)),0)),0))))))</f>
        <v>3.3214289700000004E-3</v>
      </c>
      <c r="N341" s="27">
        <f>SUM(I341:M341)</f>
        <v>3.0843119300104714E-2</v>
      </c>
      <c r="O341" s="28">
        <f>Population_Data!$B$8*N341</f>
        <v>934546.51479317283</v>
      </c>
      <c r="P341" s="27">
        <f>IF(VLOOKUP($A341,Calendar!$A$1:$R$1377,18,0)=0,0,IF(VLOOKUP($A341,Calendar!$A$1:$R$1377,18,0)=1,IFERROR(INDEX(Pension_Model!$D$2:$D$29,MATCH(H341,Pension_Model!$B$2:$B$29,0)),0),IF(VLOOKUP($A341,Calendar!$A$1:$R$1377,18,0)=2,SUM(IFERROR(INDEX(Pension_Model!$D$2:$D$29,MATCH(H341,Pension_Model!$B$2:$B$29,0)),0),IFERROR(INDEX(Pension_Model!$D$2:$D$29,MATCH(H342,Pension_Model!$B$2:$B$29,0)),0)),IF(VLOOKUP($A341,Calendar!$A$1:$R$1377,18,0)=3,SUM(IFERROR(INDEX(Pension_Model!$D$2:$D$29,MATCH(H341,Pension_Model!$B$2:$B$29,0)),0),IFERROR(INDEX(Pension_Model!$D$2:$D$29,MATCH(H342,Pension_Model!$B$2:$B$29,0)),0),IFERROR(INDEX(Pension_Model!$D$2:$D$29,MATCH(H343,Pension_Model!$B$2:$B$29,0)),0)),IF(VLOOKUP($A341,Calendar!$A$1:$R$1377,18,0)=4,SUM(IFERROR(INDEX(Pension_Model!$D$2:$D$29,MATCH(H341,Pension_Model!$B$2:$B$29,0)),0),IFERROR(INDEX(Pension_Model!$D$2:$D$29,MATCH(H342,Pension_Model!$B$2:$B$29,0)),0),IFERROR(INDEX(Pension_Model!$D$2:$D$29,MATCH(H343,Pension_Model!$B$2:$B$29,0)),0),IFERROR(INDEX(Pension_Model!$D$2:$D$29,MATCH(H344,Pension_Model!$B$2:$B$29,0)),0)),IF(VLOOKUP($A341,Calendar!$A$1:$R$1377,18,0)=5,SUM(IFERROR(INDEX(Pension_Model!$D$2:$D$29,MATCH(H341,Pension_Model!$B$2:$B$29,0)),0),IFERROR(INDEX(Pension_Model!$D$2:$D$29,MATCH(H342,Pension_Model!$B$2:$B$29,0)),0),IFERROR(INDEX(Pension_Model!$D$2:$D$29,MATCH(H343,Pension_Model!$B$2:$B$29,0)),0),IFERROR(INDEX(Pension_Model!$D$2:$D$29,MATCH(H344,Pension_Model!$B$2:$B$29,0)),0),IFERROR(INDEX(Pension_Model!$D$2:$D$29,MATCH(H345,Pension_Model!$B$2:$B$29,0)),0)),0))))))</f>
        <v>0.05</v>
      </c>
      <c r="Q341" s="28">
        <f>Population_Data!$B$15*P341</f>
        <v>660600</v>
      </c>
      <c r="S341">
        <f t="shared" si="5"/>
        <v>1595146.5147931729</v>
      </c>
      <c r="U341" s="33">
        <f>S341/Population_Data!$B$19</f>
        <v>2.8897581789731393E-2</v>
      </c>
    </row>
    <row r="342" spans="1:21">
      <c r="A342" s="25">
        <f>Calendar!A342</f>
        <v>46575</v>
      </c>
      <c r="B342" t="str">
        <f>Calendar!L342</f>
        <v>Yes</v>
      </c>
      <c r="C342" t="str">
        <f>Calendar!O342</f>
        <v>No</v>
      </c>
      <c r="D342" t="str">
        <f>Calendar!P342</f>
        <v>No</v>
      </c>
      <c r="E342" t="str">
        <f>Calendar!Q342</f>
        <v>No</v>
      </c>
      <c r="F342" t="str">
        <f>Calendar!I342</f>
        <v>Wednesday</v>
      </c>
      <c r="G342">
        <f>Calendar!S342</f>
        <v>11</v>
      </c>
      <c r="H342">
        <f>Calendar!T342</f>
        <v>11</v>
      </c>
      <c r="I342" s="27">
        <f>IF(VLOOKUP(A342,Calendar!$A$1:$R$1377,18,0)=0,0,IF(VLOOKUP(A342,Calendar!$A$1:$R$1377,18,0)=1,INDEX(Monthly_Pay_Model!$A$9:$D$40,MATCH(TEXT(A342,"dd"),Monthly_Pay_Model!$C$9:$C$39,0),4),IF(VLOOKUP(A342,Calendar!$A$1:$R$1377,18,0)=2,SUM(INDEX(Monthly_Pay_Model!$A$9:$D$40,MATCH(TEXT(A342,"dd"),Monthly_Pay_Model!$C$9:$C$39,0),4),INDEX(Monthly_Pay_Model!$A$9:$D$40,MATCH(TEXT(A343,"dd"),Monthly_Pay_Model!$C$9:$C$39,0),4)),IF(VLOOKUP(A342,Calendar!$A$1:$R$1377,18,0)=3,SUM(INDEX(Monthly_Pay_Model!$A$9:$D$40,MATCH(TEXT(A342,"dd"),Monthly_Pay_Model!$C$9:$C$39,0),4),INDEX(Monthly_Pay_Model!$A$9:$D$40,MATCH(TEXT(A343,"dd"),Monthly_Pay_Model!$C$9:$C$39,0),4),INDEX(Monthly_Pay_Model!$A$9:$D$40,MATCH(TEXT(A344,"dd"),Monthly_Pay_Model!$C$9:$C$39,0),4)),IF(VLOOKUP(A342,Calendar!$A$1:$R$1377,18,0)=4,SUM(INDEX(Monthly_Pay_Model!$A$9:$D$40,MATCH(TEXT(A342,"dd"),Monthly_Pay_Model!$C$9:$C$39,0),4),INDEX(Monthly_Pay_Model!$A$9:$D$40,MATCH(TEXT(A343,"dd"),Monthly_Pay_Model!$C$9:$C$39,0),4),INDEX(Monthly_Pay_Model!$A$9:$D$40,MATCH(TEXT(A344,"dd"),Monthly_Pay_Model!$C$9:$C$39,0),4),INDEX(Monthly_Pay_Model!$A$9:$D$40,MATCH(TEXT(A345,"dd"),Monthly_Pay_Model!$C$9:$C$39,0),4)),IF(VLOOKUP(A342,Calendar!$A$1:$R$1377,18,0)=5,SUM(INDEX(Monthly_Pay_Model!$A$9:$D$40,MATCH(TEXT(A342,"dd"),Monthly_Pay_Model!$C$9:$C$39,0),4),INDEX(Monthly_Pay_Model!$A$9:$D$40,MATCH(TEXT(A343,"dd"),Monthly_Pay_Model!$C$9:$C$39,0),4),INDEX(Monthly_Pay_Model!$A$9:$D$40,MATCH(TEXT(A344,"dd"),Monthly_Pay_Model!$C$9:$C$39,0),4),INDEX(Monthly_Pay_Model!$A$9:$D$40,MATCH(TEXT(A345,"dd"),Monthly_Pay_Model!$C$9:$C$39,0),4),INDEX(Monthly_Pay_Model!$A$9:$D$40,MATCH(TEXT(A346,"dd"),Monthly_Pay_Model!$C$9:$C$39,0),4)),))))))</f>
        <v>2.4376963350785331E-3</v>
      </c>
      <c r="J342" s="33">
        <f>IF(C342="Yes",Monthly_Pay_Model!$D$2,0)
+IF(Calendar!N342="Yes",Monthly_Pay_Model!$D$3,0)
+IF(D342="Yes",Monthly_Pay_Model!$D$4,0)
+IF(E342="Yes",Monthly_Pay_Model!$D$5,0)</f>
        <v>0</v>
      </c>
      <c r="K342" s="27">
        <f>IF(VLOOKUP($A342,Calendar!$A$1:$R$1377,18,0)=0,0,IF(VLOOKUP($A342,Calendar!$A$1:$R$1377,18,0)=1,IFERROR(INDEX(Weekly_Model!$D$2:$D$9,MATCH(F342,Weekly_Model!$A$2:$A$9,0)),0),IF(VLOOKUP($A342,Calendar!$A$1:$R$1377,18,0)=2,SUM(IFERROR(INDEX(Weekly_Model!$D$2:$D$9,MATCH(F342,Weekly_Model!$A$2:$A$9,0)),0),IFERROR(INDEX(Weekly_Model!$D$2:$D$9,MATCH(F343,Weekly_Model!$A$2:$A$9,0)),0)),IF(VLOOKUP($A342,Calendar!$A$1:$R$1377,18,0)=3,SUM(IFERROR(INDEX(Weekly_Model!$D$2:$D$9,MATCH(F342,Weekly_Model!$A$2:$A$9,0)),0),IFERROR(INDEX(Weekly_Model!$D$2:$D$9,MATCH(F343,Weekly_Model!$A$2:$A$9,0)),0),IFERROR(INDEX(Weekly_Model!$D$2:$D$9,MATCH(F344,Weekly_Model!$A$2:$A$9,0)),0)),IF(VLOOKUP($A342,Calendar!$A$1:$R$1377,18,0)=4,SUM(IFERROR(INDEX(Weekly_Model!$D$2:$D$9,MATCH(F342,Weekly_Model!$A$2:$A$9,0)),0),IFERROR(INDEX(Weekly_Model!$D$2:$D$9,MATCH(F343,Weekly_Model!$A$2:$A$9,0)),0),IFERROR(INDEX(Weekly_Model!$D$2:$D$9,MATCH(F344,Weekly_Model!$A$2:$A$9,0)),0),IFERROR(INDEX(Weekly_Model!$D$2:$D$9,MATCH(F345,Weekly_Model!$A$2:$A$9,0)),0)),IF(VLOOKUP($A342,Calendar!$A$1:$R$1377,18,0)=5,SUM(IFERROR(INDEX(Weekly_Model!$D$2:$D$9,MATCH(F342,Weekly_Model!$A$2:$A$9,0)),0),IFERROR(INDEX(Weekly_Model!$D$2:$D$9,MATCH(F343,Weekly_Model!$A$2:$A$9,0)),0),IFERROR(INDEX(Weekly_Model!$D$2:$D$9,MATCH(F344,Weekly_Model!$A$2:$A$9,0)),0),IFERROR(INDEX(Weekly_Model!$D$2:$D$9,MATCH(F345,Weekly_Model!$A$2:$A$9,0)),0),IFERROR(INDEX(Weekly_Model!$D$2:$D$9,MATCH(F346,Weekly_Model!$A$2:$A$9,0)),0)),0))))))</f>
        <v>2.3200000000000002E-2</v>
      </c>
      <c r="L342" s="27">
        <f>IF(VLOOKUP($A342,Calendar!$A$1:$R$1377,18,0)=0,0,IF(VLOOKUP($A342,Calendar!$A$1:$R$1377,18,0)=1,IFERROR(INDEX(Fortnightly_Model!$D$2:$D$15,MATCH(G342,Fortnightly_Model!$B$2:$B$15,0)),0),IF(VLOOKUP($A342,Calendar!$A$1:$R$1377,18,0)=2,SUM(IFERROR(INDEX(Fortnightly_Model!$D$2:$D$15,MATCH(G342,Fortnightly_Model!$B$2:$B$15,0)),0),IFERROR(INDEX(Fortnightly_Model!$D$2:$D$15,MATCH(G343,Fortnightly_Model!$B$2:$B$15,0)),0)),IF(VLOOKUP($A342,Calendar!$A$1:$R$1377,18,0)=3,SUM(IFERROR(INDEX(Fortnightly_Model!$D$2:$D$15,MATCH(G342,Fortnightly_Model!$B$2:$B$15,0)),0),IFERROR(INDEX(Fortnightly_Model!$D$2:$D$15,MATCH(G343,Fortnightly_Model!$B$2:$B$15,0)),0),IFERROR(INDEX(Fortnightly_Model!$D$2:$D$15,MATCH(G344,Fortnightly_Model!$B$2:$B$15,0)),0)),IF(VLOOKUP($A342,Calendar!$A$1:$R$1377,18,0)=4,SUM(IFERROR(INDEX(Fortnightly_Model!$D$2:$D$15,MATCH(G342,Fortnightly_Model!$B$2:$B$15,0)),0),IFERROR(INDEX(Fortnightly_Model!$D$2:$D$15,MATCH(G343,Fortnightly_Model!$B$2:$B$15,0)),0),IFERROR(INDEX(Fortnightly_Model!$D$2:$D$15,MATCH(G344,Fortnightly_Model!$B$2:$B$15,0)),0),IFERROR(INDEX(Fortnightly_Model!$D$2:$D$15,MATCH(G345,Fortnightly_Model!$B$2:$B$15,0)),0)),IF(VLOOKUP($A342,Calendar!$A$1:$R$1377,18,0)=5,SUM(IFERROR(INDEX(Fortnightly_Model!$D$2:$D$15,MATCH(G342,Fortnightly_Model!$B$2:$B$15,0)),0),IFERROR(INDEX(Fortnightly_Model!$D$2:$D$15,MATCH(G343,Fortnightly_Model!$B$2:$B$15,0)),0),IFERROR(INDEX(Fortnightly_Model!$D$2:$D$15,MATCH(G344,Fortnightly_Model!$B$2:$B$15,0)),0),IFERROR(INDEX(Fortnightly_Model!$D$2:$D$15,MATCH(G345,Fortnightly_Model!$B$2:$B$15,0)),0),IFERROR(INDEX(Fortnightly_Model!$D$2:$D$15,MATCH(G346,Fortnightly_Model!$B$2:$B$15,0)),0)),0))))))</f>
        <v>1.0714285499999999E-3</v>
      </c>
      <c r="M342" s="27">
        <f>IF(VLOOKUP($A342,Calendar!$A$1:$R$1377,18,0)=0,0,IF(VLOOKUP($A342,Calendar!$A$1:$R$1377,18,0)=1,IFERROR(INDEX(FourWeekly_Model!$D$2:$D$29,MATCH(H342,FourWeekly_Model!$B$2:$B$29,0)),0),IF(VLOOKUP($A342,Calendar!$A$1:$R$1377,18,0)=2,SUM(IFERROR(INDEX(FourWeekly_Model!$D$2:$D$29,MATCH(H342,FourWeekly_Model!$B$2:$B$29,0)),0),IFERROR(INDEX(FourWeekly_Model!$D$2:$D$29,MATCH(H343,FourWeekly_Model!$B$2:$B$29,0)),0)),IF(VLOOKUP($A342,Calendar!$A$1:$R$1377,18,0)=3,SUM(IFERROR(INDEX(FourWeekly_Model!$D$2:$D$29,MATCH(H342,FourWeekly_Model!$B$2:$B$29,0)),0),IFERROR(INDEX(FourWeekly_Model!$D$2:$D$29,MATCH(H343,FourWeekly_Model!$B$2:$B$29,0)),0),IFERROR(INDEX(FourWeekly_Model!$D$2:$D$29,MATCH(H344,FourWeekly_Model!$B$2:$B$29,0)),0)),IF(VLOOKUP($A342,Calendar!$A$1:$R$1377,18,0)=4,SUM(IFERROR(INDEX(FourWeekly_Model!$D$2:$D$29,MATCH(H342,FourWeekly_Model!$B$2:$B$29,0)),0),IFERROR(INDEX(FourWeekly_Model!$D$2:$D$29,MATCH(H343,FourWeekly_Model!$B$2:$B$29,0)),0),IFERROR(INDEX(FourWeekly_Model!$D$2:$D$29,MATCH(H344,FourWeekly_Model!$B$2:$B$29,0)),0),IFERROR(INDEX(FourWeekly_Model!$D$2:$D$29,MATCH(H345,FourWeekly_Model!$B$2:$B$29,0)),0)),IF(VLOOKUP($A342,Calendar!$A$1:$R$1377,18,0)=5,SUM(IFERROR(INDEX(FourWeekly_Model!$D$2:$D$29,MATCH(H342,FourWeekly_Model!$B$2:$B$29,0)),0),IFERROR(INDEX(FourWeekly_Model!$D$2:$D$29,MATCH(H343,FourWeekly_Model!$B$2:$B$29,0)),0),IFERROR(INDEX(FourWeekly_Model!$D$2:$D$29,MATCH(H344,FourWeekly_Model!$B$2:$B$29,0)),0),IFERROR(INDEX(FourWeekly_Model!$D$2:$D$29,MATCH(H345,FourWeekly_Model!$B$2:$B$29,0)),0),IFERROR(INDEX(FourWeekly_Model!$D$2:$D$29,MATCH(H346,FourWeekly_Model!$B$2:$B$29,0)),0)),0))))))</f>
        <v>3.3214289700000004E-3</v>
      </c>
      <c r="N342" s="27">
        <f>SUM(I342:M342)</f>
        <v>3.0030553855078537E-2</v>
      </c>
      <c r="O342" s="28">
        <f>Population_Data!$B$8*N342</f>
        <v>909925.78180887969</v>
      </c>
      <c r="P342" s="27">
        <f>IF(VLOOKUP($A342,Calendar!$A$1:$R$1377,18,0)=0,0,IF(VLOOKUP($A342,Calendar!$A$1:$R$1377,18,0)=1,IFERROR(INDEX(Pension_Model!$D$2:$D$29,MATCH(H342,Pension_Model!$B$2:$B$29,0)),0),IF(VLOOKUP($A342,Calendar!$A$1:$R$1377,18,0)=2,SUM(IFERROR(INDEX(Pension_Model!$D$2:$D$29,MATCH(H342,Pension_Model!$B$2:$B$29,0)),0),IFERROR(INDEX(Pension_Model!$D$2:$D$29,MATCH(H343,Pension_Model!$B$2:$B$29,0)),0)),IF(VLOOKUP($A342,Calendar!$A$1:$R$1377,18,0)=3,SUM(IFERROR(INDEX(Pension_Model!$D$2:$D$29,MATCH(H342,Pension_Model!$B$2:$B$29,0)),0),IFERROR(INDEX(Pension_Model!$D$2:$D$29,MATCH(H343,Pension_Model!$B$2:$B$29,0)),0),IFERROR(INDEX(Pension_Model!$D$2:$D$29,MATCH(H344,Pension_Model!$B$2:$B$29,0)),0)),IF(VLOOKUP($A342,Calendar!$A$1:$R$1377,18,0)=4,SUM(IFERROR(INDEX(Pension_Model!$D$2:$D$29,MATCH(H342,Pension_Model!$B$2:$B$29,0)),0),IFERROR(INDEX(Pension_Model!$D$2:$D$29,MATCH(H343,Pension_Model!$B$2:$B$29,0)),0),IFERROR(INDEX(Pension_Model!$D$2:$D$29,MATCH(H344,Pension_Model!$B$2:$B$29,0)),0),IFERROR(INDEX(Pension_Model!$D$2:$D$29,MATCH(H345,Pension_Model!$B$2:$B$29,0)),0)),IF(VLOOKUP($A342,Calendar!$A$1:$R$1377,18,0)=5,SUM(IFERROR(INDEX(Pension_Model!$D$2:$D$29,MATCH(H342,Pension_Model!$B$2:$B$29,0)),0),IFERROR(INDEX(Pension_Model!$D$2:$D$29,MATCH(H343,Pension_Model!$B$2:$B$29,0)),0),IFERROR(INDEX(Pension_Model!$D$2:$D$29,MATCH(H344,Pension_Model!$B$2:$B$29,0)),0),IFERROR(INDEX(Pension_Model!$D$2:$D$29,MATCH(H345,Pension_Model!$B$2:$B$29,0)),0),IFERROR(INDEX(Pension_Model!$D$2:$D$29,MATCH(H346,Pension_Model!$B$2:$B$29,0)),0)),0))))))</f>
        <v>0.05</v>
      </c>
      <c r="Q342" s="28">
        <f>Population_Data!$B$15*P342</f>
        <v>660600</v>
      </c>
      <c r="S342">
        <f t="shared" si="5"/>
        <v>1570525.7818088797</v>
      </c>
      <c r="U342" s="33">
        <f>S342/Population_Data!$B$19</f>
        <v>2.8451554018276808E-2</v>
      </c>
    </row>
    <row r="343" spans="1:21">
      <c r="A343" s="25">
        <f>Calendar!A343</f>
        <v>46576</v>
      </c>
      <c r="B343" t="str">
        <f>Calendar!L343</f>
        <v>Yes</v>
      </c>
      <c r="C343" t="str">
        <f>Calendar!O343</f>
        <v>No</v>
      </c>
      <c r="D343" t="str">
        <f>Calendar!P343</f>
        <v>No</v>
      </c>
      <c r="E343" t="str">
        <f>Calendar!Q343</f>
        <v>No</v>
      </c>
      <c r="F343" t="str">
        <f>Calendar!I343</f>
        <v>Thursday</v>
      </c>
      <c r="G343">
        <f>Calendar!S343</f>
        <v>12</v>
      </c>
      <c r="H343">
        <f>Calendar!T343</f>
        <v>12</v>
      </c>
      <c r="I343" s="27">
        <f>IF(VLOOKUP(A343,Calendar!$A$1:$R$1377,18,0)=0,0,IF(VLOOKUP(A343,Calendar!$A$1:$R$1377,18,0)=1,INDEX(Monthly_Pay_Model!$A$9:$D$40,MATCH(TEXT(A343,"dd"),Monthly_Pay_Model!$C$9:$C$39,0),4),IF(VLOOKUP(A343,Calendar!$A$1:$R$1377,18,0)=2,SUM(INDEX(Monthly_Pay_Model!$A$9:$D$40,MATCH(TEXT(A343,"dd"),Monthly_Pay_Model!$C$9:$C$39,0),4),INDEX(Monthly_Pay_Model!$A$9:$D$40,MATCH(TEXT(A344,"dd"),Monthly_Pay_Model!$C$9:$C$39,0),4)),IF(VLOOKUP(A343,Calendar!$A$1:$R$1377,18,0)=3,SUM(INDEX(Monthly_Pay_Model!$A$9:$D$40,MATCH(TEXT(A343,"dd"),Monthly_Pay_Model!$C$9:$C$39,0),4),INDEX(Monthly_Pay_Model!$A$9:$D$40,MATCH(TEXT(A344,"dd"),Monthly_Pay_Model!$C$9:$C$39,0),4),INDEX(Monthly_Pay_Model!$A$9:$D$40,MATCH(TEXT(A345,"dd"),Monthly_Pay_Model!$C$9:$C$39,0),4)),IF(VLOOKUP(A343,Calendar!$A$1:$R$1377,18,0)=4,SUM(INDEX(Monthly_Pay_Model!$A$9:$D$40,MATCH(TEXT(A343,"dd"),Monthly_Pay_Model!$C$9:$C$39,0),4),INDEX(Monthly_Pay_Model!$A$9:$D$40,MATCH(TEXT(A344,"dd"),Monthly_Pay_Model!$C$9:$C$39,0),4),INDEX(Monthly_Pay_Model!$A$9:$D$40,MATCH(TEXT(A345,"dd"),Monthly_Pay_Model!$C$9:$C$39,0),4),INDEX(Monthly_Pay_Model!$A$9:$D$40,MATCH(TEXT(A346,"dd"),Monthly_Pay_Model!$C$9:$C$39,0),4)),IF(VLOOKUP(A343,Calendar!$A$1:$R$1377,18,0)=5,SUM(INDEX(Monthly_Pay_Model!$A$9:$D$40,MATCH(TEXT(A343,"dd"),Monthly_Pay_Model!$C$9:$C$39,0),4),INDEX(Monthly_Pay_Model!$A$9:$D$40,MATCH(TEXT(A344,"dd"),Monthly_Pay_Model!$C$9:$C$39,0),4),INDEX(Monthly_Pay_Model!$A$9:$D$40,MATCH(TEXT(A345,"dd"),Monthly_Pay_Model!$C$9:$C$39,0),4),INDEX(Monthly_Pay_Model!$A$9:$D$40,MATCH(TEXT(A346,"dd"),Monthly_Pay_Model!$C$9:$C$39,0),4),INDEX(Monthly_Pay_Model!$A$9:$D$40,MATCH(TEXT(A347,"dd"),Monthly_Pay_Model!$C$9:$C$39,0),4)),))))))</f>
        <v>1.6251308900523558E-3</v>
      </c>
      <c r="J343" s="33">
        <f>IF(C343="Yes",Monthly_Pay_Model!$D$2,0)
+IF(Calendar!N343="Yes",Monthly_Pay_Model!$D$3,0)
+IF(D343="Yes",Monthly_Pay_Model!$D$4,0)
+IF(E343="Yes",Monthly_Pay_Model!$D$5,0)</f>
        <v>0</v>
      </c>
      <c r="K343" s="27">
        <f>IF(VLOOKUP($A343,Calendar!$A$1:$R$1377,18,0)=0,0,IF(VLOOKUP($A343,Calendar!$A$1:$R$1377,18,0)=1,IFERROR(INDEX(Weekly_Model!$D$2:$D$9,MATCH(F343,Weekly_Model!$A$2:$A$9,0)),0),IF(VLOOKUP($A343,Calendar!$A$1:$R$1377,18,0)=2,SUM(IFERROR(INDEX(Weekly_Model!$D$2:$D$9,MATCH(F343,Weekly_Model!$A$2:$A$9,0)),0),IFERROR(INDEX(Weekly_Model!$D$2:$D$9,MATCH(F344,Weekly_Model!$A$2:$A$9,0)),0)),IF(VLOOKUP($A343,Calendar!$A$1:$R$1377,18,0)=3,SUM(IFERROR(INDEX(Weekly_Model!$D$2:$D$9,MATCH(F343,Weekly_Model!$A$2:$A$9,0)),0),IFERROR(INDEX(Weekly_Model!$D$2:$D$9,MATCH(F344,Weekly_Model!$A$2:$A$9,0)),0),IFERROR(INDEX(Weekly_Model!$D$2:$D$9,MATCH(F345,Weekly_Model!$A$2:$A$9,0)),0)),IF(VLOOKUP($A343,Calendar!$A$1:$R$1377,18,0)=4,SUM(IFERROR(INDEX(Weekly_Model!$D$2:$D$9,MATCH(F343,Weekly_Model!$A$2:$A$9,0)),0),IFERROR(INDEX(Weekly_Model!$D$2:$D$9,MATCH(F344,Weekly_Model!$A$2:$A$9,0)),0),IFERROR(INDEX(Weekly_Model!$D$2:$D$9,MATCH(F345,Weekly_Model!$A$2:$A$9,0)),0),IFERROR(INDEX(Weekly_Model!$D$2:$D$9,MATCH(F346,Weekly_Model!$A$2:$A$9,0)),0)),IF(VLOOKUP($A343,Calendar!$A$1:$R$1377,18,0)=5,SUM(IFERROR(INDEX(Weekly_Model!$D$2:$D$9,MATCH(F343,Weekly_Model!$A$2:$A$9,0)),0),IFERROR(INDEX(Weekly_Model!$D$2:$D$9,MATCH(F344,Weekly_Model!$A$2:$A$9,0)),0),IFERROR(INDEX(Weekly_Model!$D$2:$D$9,MATCH(F345,Weekly_Model!$A$2:$A$9,0)),0),IFERROR(INDEX(Weekly_Model!$D$2:$D$9,MATCH(F346,Weekly_Model!$A$2:$A$9,0)),0),IFERROR(INDEX(Weekly_Model!$D$2:$D$9,MATCH(F347,Weekly_Model!$A$2:$A$9,0)),0)),0))))))</f>
        <v>2.3200000000000002E-2</v>
      </c>
      <c r="L343" s="27">
        <f>IF(VLOOKUP($A343,Calendar!$A$1:$R$1377,18,0)=0,0,IF(VLOOKUP($A343,Calendar!$A$1:$R$1377,18,0)=1,IFERROR(INDEX(Fortnightly_Model!$D$2:$D$15,MATCH(G343,Fortnightly_Model!$B$2:$B$15,0)),0),IF(VLOOKUP($A343,Calendar!$A$1:$R$1377,18,0)=2,SUM(IFERROR(INDEX(Fortnightly_Model!$D$2:$D$15,MATCH(G343,Fortnightly_Model!$B$2:$B$15,0)),0),IFERROR(INDEX(Fortnightly_Model!$D$2:$D$15,MATCH(G344,Fortnightly_Model!$B$2:$B$15,0)),0)),IF(VLOOKUP($A343,Calendar!$A$1:$R$1377,18,0)=3,SUM(IFERROR(INDEX(Fortnightly_Model!$D$2:$D$15,MATCH(G343,Fortnightly_Model!$B$2:$B$15,0)),0),IFERROR(INDEX(Fortnightly_Model!$D$2:$D$15,MATCH(G344,Fortnightly_Model!$B$2:$B$15,0)),0),IFERROR(INDEX(Fortnightly_Model!$D$2:$D$15,MATCH(G345,Fortnightly_Model!$B$2:$B$15,0)),0)),IF(VLOOKUP($A343,Calendar!$A$1:$R$1377,18,0)=4,SUM(IFERROR(INDEX(Fortnightly_Model!$D$2:$D$15,MATCH(G343,Fortnightly_Model!$B$2:$B$15,0)),0),IFERROR(INDEX(Fortnightly_Model!$D$2:$D$15,MATCH(G344,Fortnightly_Model!$B$2:$B$15,0)),0),IFERROR(INDEX(Fortnightly_Model!$D$2:$D$15,MATCH(G345,Fortnightly_Model!$B$2:$B$15,0)),0),IFERROR(INDEX(Fortnightly_Model!$D$2:$D$15,MATCH(G346,Fortnightly_Model!$B$2:$B$15,0)),0)),IF(VLOOKUP($A343,Calendar!$A$1:$R$1377,18,0)=5,SUM(IFERROR(INDEX(Fortnightly_Model!$D$2:$D$15,MATCH(G343,Fortnightly_Model!$B$2:$B$15,0)),0),IFERROR(INDEX(Fortnightly_Model!$D$2:$D$15,MATCH(G344,Fortnightly_Model!$B$2:$B$15,0)),0),IFERROR(INDEX(Fortnightly_Model!$D$2:$D$15,MATCH(G345,Fortnightly_Model!$B$2:$B$15,0)),0),IFERROR(INDEX(Fortnightly_Model!$D$2:$D$15,MATCH(G346,Fortnightly_Model!$B$2:$B$15,0)),0),IFERROR(INDEX(Fortnightly_Model!$D$2:$D$15,MATCH(G347,Fortnightly_Model!$B$2:$B$15,0)),0)),0))))))</f>
        <v>1.0714285499999999E-3</v>
      </c>
      <c r="M343" s="27">
        <f>IF(VLOOKUP($A343,Calendar!$A$1:$R$1377,18,0)=0,0,IF(VLOOKUP($A343,Calendar!$A$1:$R$1377,18,0)=1,IFERROR(INDEX(FourWeekly_Model!$D$2:$D$29,MATCH(H343,FourWeekly_Model!$B$2:$B$29,0)),0),IF(VLOOKUP($A343,Calendar!$A$1:$R$1377,18,0)=2,SUM(IFERROR(INDEX(FourWeekly_Model!$D$2:$D$29,MATCH(H343,FourWeekly_Model!$B$2:$B$29,0)),0),IFERROR(INDEX(FourWeekly_Model!$D$2:$D$29,MATCH(H344,FourWeekly_Model!$B$2:$B$29,0)),0)),IF(VLOOKUP($A343,Calendar!$A$1:$R$1377,18,0)=3,SUM(IFERROR(INDEX(FourWeekly_Model!$D$2:$D$29,MATCH(H343,FourWeekly_Model!$B$2:$B$29,0)),0),IFERROR(INDEX(FourWeekly_Model!$D$2:$D$29,MATCH(H344,FourWeekly_Model!$B$2:$B$29,0)),0),IFERROR(INDEX(FourWeekly_Model!$D$2:$D$29,MATCH(H345,FourWeekly_Model!$B$2:$B$29,0)),0)),IF(VLOOKUP($A343,Calendar!$A$1:$R$1377,18,0)=4,SUM(IFERROR(INDEX(FourWeekly_Model!$D$2:$D$29,MATCH(H343,FourWeekly_Model!$B$2:$B$29,0)),0),IFERROR(INDEX(FourWeekly_Model!$D$2:$D$29,MATCH(H344,FourWeekly_Model!$B$2:$B$29,0)),0),IFERROR(INDEX(FourWeekly_Model!$D$2:$D$29,MATCH(H345,FourWeekly_Model!$B$2:$B$29,0)),0),IFERROR(INDEX(FourWeekly_Model!$D$2:$D$29,MATCH(H346,FourWeekly_Model!$B$2:$B$29,0)),0)),IF(VLOOKUP($A343,Calendar!$A$1:$R$1377,18,0)=5,SUM(IFERROR(INDEX(FourWeekly_Model!$D$2:$D$29,MATCH(H343,FourWeekly_Model!$B$2:$B$29,0)),0),IFERROR(INDEX(FourWeekly_Model!$D$2:$D$29,MATCH(H344,FourWeekly_Model!$B$2:$B$29,0)),0),IFERROR(INDEX(FourWeekly_Model!$D$2:$D$29,MATCH(H345,FourWeekly_Model!$B$2:$B$29,0)),0),IFERROR(INDEX(FourWeekly_Model!$D$2:$D$29,MATCH(H346,FourWeekly_Model!$B$2:$B$29,0)),0),IFERROR(INDEX(FourWeekly_Model!$D$2:$D$29,MATCH(H347,FourWeekly_Model!$B$2:$B$29,0)),0)),0))))))</f>
        <v>3.3214289700000004E-3</v>
      </c>
      <c r="N343" s="27">
        <f>SUM(I343:M343)</f>
        <v>2.921798841005236E-2</v>
      </c>
      <c r="O343" s="28">
        <f>Population_Data!$B$8*N343</f>
        <v>885305.04882458656</v>
      </c>
      <c r="P343" s="27">
        <f>IF(VLOOKUP($A343,Calendar!$A$1:$R$1377,18,0)=0,0,IF(VLOOKUP($A343,Calendar!$A$1:$R$1377,18,0)=1,IFERROR(INDEX(Pension_Model!$D$2:$D$29,MATCH(H343,Pension_Model!$B$2:$B$29,0)),0),IF(VLOOKUP($A343,Calendar!$A$1:$R$1377,18,0)=2,SUM(IFERROR(INDEX(Pension_Model!$D$2:$D$29,MATCH(H343,Pension_Model!$B$2:$B$29,0)),0),IFERROR(INDEX(Pension_Model!$D$2:$D$29,MATCH(H344,Pension_Model!$B$2:$B$29,0)),0)),IF(VLOOKUP($A343,Calendar!$A$1:$R$1377,18,0)=3,SUM(IFERROR(INDEX(Pension_Model!$D$2:$D$29,MATCH(H343,Pension_Model!$B$2:$B$29,0)),0),IFERROR(INDEX(Pension_Model!$D$2:$D$29,MATCH(H344,Pension_Model!$B$2:$B$29,0)),0),IFERROR(INDEX(Pension_Model!$D$2:$D$29,MATCH(H345,Pension_Model!$B$2:$B$29,0)),0)),IF(VLOOKUP($A343,Calendar!$A$1:$R$1377,18,0)=4,SUM(IFERROR(INDEX(Pension_Model!$D$2:$D$29,MATCH(H343,Pension_Model!$B$2:$B$29,0)),0),IFERROR(INDEX(Pension_Model!$D$2:$D$29,MATCH(H344,Pension_Model!$B$2:$B$29,0)),0),IFERROR(INDEX(Pension_Model!$D$2:$D$29,MATCH(H345,Pension_Model!$B$2:$B$29,0)),0),IFERROR(INDEX(Pension_Model!$D$2:$D$29,MATCH(H346,Pension_Model!$B$2:$B$29,0)),0)),IF(VLOOKUP($A343,Calendar!$A$1:$R$1377,18,0)=5,SUM(IFERROR(INDEX(Pension_Model!$D$2:$D$29,MATCH(H343,Pension_Model!$B$2:$B$29,0)),0),IFERROR(INDEX(Pension_Model!$D$2:$D$29,MATCH(H344,Pension_Model!$B$2:$B$29,0)),0),IFERROR(INDEX(Pension_Model!$D$2:$D$29,MATCH(H345,Pension_Model!$B$2:$B$29,0)),0),IFERROR(INDEX(Pension_Model!$D$2:$D$29,MATCH(H346,Pension_Model!$B$2:$B$29,0)),0),IFERROR(INDEX(Pension_Model!$D$2:$D$29,MATCH(H347,Pension_Model!$B$2:$B$29,0)),0)),0))))))</f>
        <v>0.05</v>
      </c>
      <c r="Q343" s="28">
        <f>Population_Data!$B$15*P343</f>
        <v>660600</v>
      </c>
      <c r="S343">
        <f t="shared" si="5"/>
        <v>1545905.0488245864</v>
      </c>
      <c r="U343" s="33">
        <f>S343/Population_Data!$B$19</f>
        <v>2.8005526246822218E-2</v>
      </c>
    </row>
    <row r="344" spans="1:21">
      <c r="A344" s="25">
        <f>Calendar!A344</f>
        <v>46577</v>
      </c>
      <c r="B344" t="str">
        <f>Calendar!L344</f>
        <v>Yes</v>
      </c>
      <c r="C344" t="str">
        <f>Calendar!O344</f>
        <v>No</v>
      </c>
      <c r="D344" t="str">
        <f>Calendar!P344</f>
        <v>No</v>
      </c>
      <c r="E344" t="str">
        <f>Calendar!Q344</f>
        <v>No</v>
      </c>
      <c r="F344" t="str">
        <f>Calendar!I344</f>
        <v>Friday</v>
      </c>
      <c r="G344">
        <f>Calendar!S344</f>
        <v>13</v>
      </c>
      <c r="H344">
        <f>Calendar!T344</f>
        <v>13</v>
      </c>
      <c r="I344" s="27">
        <f>IF(VLOOKUP(A344,Calendar!$A$1:$R$1377,18,0)=0,0,IF(VLOOKUP(A344,Calendar!$A$1:$R$1377,18,0)=1,INDEX(Monthly_Pay_Model!$A$9:$D$40,MATCH(TEXT(A344,"dd"),Monthly_Pay_Model!$C$9:$C$39,0),4),IF(VLOOKUP(A344,Calendar!$A$1:$R$1377,18,0)=2,SUM(INDEX(Monthly_Pay_Model!$A$9:$D$40,MATCH(TEXT(A344,"dd"),Monthly_Pay_Model!$C$9:$C$39,0),4),INDEX(Monthly_Pay_Model!$A$9:$D$40,MATCH(TEXT(A345,"dd"),Monthly_Pay_Model!$C$9:$C$39,0),4)),IF(VLOOKUP(A344,Calendar!$A$1:$R$1377,18,0)=3,SUM(INDEX(Monthly_Pay_Model!$A$9:$D$40,MATCH(TEXT(A344,"dd"),Monthly_Pay_Model!$C$9:$C$39,0),4),INDEX(Monthly_Pay_Model!$A$9:$D$40,MATCH(TEXT(A345,"dd"),Monthly_Pay_Model!$C$9:$C$39,0),4),INDEX(Monthly_Pay_Model!$A$9:$D$40,MATCH(TEXT(A346,"dd"),Monthly_Pay_Model!$C$9:$C$39,0),4)),IF(VLOOKUP(A344,Calendar!$A$1:$R$1377,18,0)=4,SUM(INDEX(Monthly_Pay_Model!$A$9:$D$40,MATCH(TEXT(A344,"dd"),Monthly_Pay_Model!$C$9:$C$39,0),4),INDEX(Monthly_Pay_Model!$A$9:$D$40,MATCH(TEXT(A345,"dd"),Monthly_Pay_Model!$C$9:$C$39,0),4),INDEX(Monthly_Pay_Model!$A$9:$D$40,MATCH(TEXT(A346,"dd"),Monthly_Pay_Model!$C$9:$C$39,0),4),INDEX(Monthly_Pay_Model!$A$9:$D$40,MATCH(TEXT(A347,"dd"),Monthly_Pay_Model!$C$9:$C$39,0),4)),IF(VLOOKUP(A344,Calendar!$A$1:$R$1377,18,0)=5,SUM(INDEX(Monthly_Pay_Model!$A$9:$D$40,MATCH(TEXT(A344,"dd"),Monthly_Pay_Model!$C$9:$C$39,0),4),INDEX(Monthly_Pay_Model!$A$9:$D$40,MATCH(TEXT(A345,"dd"),Monthly_Pay_Model!$C$9:$C$39,0),4),INDEX(Monthly_Pay_Model!$A$9:$D$40,MATCH(TEXT(A346,"dd"),Monthly_Pay_Model!$C$9:$C$39,0),4),INDEX(Monthly_Pay_Model!$A$9:$D$40,MATCH(TEXT(A347,"dd"),Monthly_Pay_Model!$C$9:$C$39,0),4),INDEX(Monthly_Pay_Model!$A$9:$D$40,MATCH(TEXT(A348,"dd"),Monthly_Pay_Model!$C$9:$C$39,0),4)),))))))</f>
        <v>6.5005235602094216E-3</v>
      </c>
      <c r="J344" s="33">
        <f>IF(C344="Yes",Monthly_Pay_Model!$D$2,0)
+IF(Calendar!N344="Yes",Monthly_Pay_Model!$D$3,0)
+IF(D344="Yes",Monthly_Pay_Model!$D$4,0)
+IF(E344="Yes",Monthly_Pay_Model!$D$5,0)</f>
        <v>0</v>
      </c>
      <c r="K344" s="27">
        <f>IF(VLOOKUP($A344,Calendar!$A$1:$R$1377,18,0)=0,0,IF(VLOOKUP($A344,Calendar!$A$1:$R$1377,18,0)=1,IFERROR(INDEX(Weekly_Model!$D$2:$D$9,MATCH(F344,Weekly_Model!$A$2:$A$9,0)),0),IF(VLOOKUP($A344,Calendar!$A$1:$R$1377,18,0)=2,SUM(IFERROR(INDEX(Weekly_Model!$D$2:$D$9,MATCH(F344,Weekly_Model!$A$2:$A$9,0)),0),IFERROR(INDEX(Weekly_Model!$D$2:$D$9,MATCH(F345,Weekly_Model!$A$2:$A$9,0)),0)),IF(VLOOKUP($A344,Calendar!$A$1:$R$1377,18,0)=3,SUM(IFERROR(INDEX(Weekly_Model!$D$2:$D$9,MATCH(F344,Weekly_Model!$A$2:$A$9,0)),0),IFERROR(INDEX(Weekly_Model!$D$2:$D$9,MATCH(F345,Weekly_Model!$A$2:$A$9,0)),0),IFERROR(INDEX(Weekly_Model!$D$2:$D$9,MATCH(F346,Weekly_Model!$A$2:$A$9,0)),0)),IF(VLOOKUP($A344,Calendar!$A$1:$R$1377,18,0)=4,SUM(IFERROR(INDEX(Weekly_Model!$D$2:$D$9,MATCH(F344,Weekly_Model!$A$2:$A$9,0)),0),IFERROR(INDEX(Weekly_Model!$D$2:$D$9,MATCH(F345,Weekly_Model!$A$2:$A$9,0)),0),IFERROR(INDEX(Weekly_Model!$D$2:$D$9,MATCH(F346,Weekly_Model!$A$2:$A$9,0)),0),IFERROR(INDEX(Weekly_Model!$D$2:$D$9,MATCH(F347,Weekly_Model!$A$2:$A$9,0)),0)),IF(VLOOKUP($A344,Calendar!$A$1:$R$1377,18,0)=5,SUM(IFERROR(INDEX(Weekly_Model!$D$2:$D$9,MATCH(F344,Weekly_Model!$A$2:$A$9,0)),0),IFERROR(INDEX(Weekly_Model!$D$2:$D$9,MATCH(F345,Weekly_Model!$A$2:$A$9,0)),0),IFERROR(INDEX(Weekly_Model!$D$2:$D$9,MATCH(F346,Weekly_Model!$A$2:$A$9,0)),0),IFERROR(INDEX(Weekly_Model!$D$2:$D$9,MATCH(F347,Weekly_Model!$A$2:$A$9,0)),0),IFERROR(INDEX(Weekly_Model!$D$2:$D$9,MATCH(F348,Weekly_Model!$A$2:$A$9,0)),0)),0))))))</f>
        <v>2.3200000000000002E-2</v>
      </c>
      <c r="L344" s="27">
        <f>IF(VLOOKUP($A344,Calendar!$A$1:$R$1377,18,0)=0,0,IF(VLOOKUP($A344,Calendar!$A$1:$R$1377,18,0)=1,IFERROR(INDEX(Fortnightly_Model!$D$2:$D$15,MATCH(G344,Fortnightly_Model!$B$2:$B$15,0)),0),IF(VLOOKUP($A344,Calendar!$A$1:$R$1377,18,0)=2,SUM(IFERROR(INDEX(Fortnightly_Model!$D$2:$D$15,MATCH(G344,Fortnightly_Model!$B$2:$B$15,0)),0),IFERROR(INDEX(Fortnightly_Model!$D$2:$D$15,MATCH(G345,Fortnightly_Model!$B$2:$B$15,0)),0)),IF(VLOOKUP($A344,Calendar!$A$1:$R$1377,18,0)=3,SUM(IFERROR(INDEX(Fortnightly_Model!$D$2:$D$15,MATCH(G344,Fortnightly_Model!$B$2:$B$15,0)),0),IFERROR(INDEX(Fortnightly_Model!$D$2:$D$15,MATCH(G345,Fortnightly_Model!$B$2:$B$15,0)),0),IFERROR(INDEX(Fortnightly_Model!$D$2:$D$15,MATCH(G346,Fortnightly_Model!$B$2:$B$15,0)),0)),IF(VLOOKUP($A344,Calendar!$A$1:$R$1377,18,0)=4,SUM(IFERROR(INDEX(Fortnightly_Model!$D$2:$D$15,MATCH(G344,Fortnightly_Model!$B$2:$B$15,0)),0),IFERROR(INDEX(Fortnightly_Model!$D$2:$D$15,MATCH(G345,Fortnightly_Model!$B$2:$B$15,0)),0),IFERROR(INDEX(Fortnightly_Model!$D$2:$D$15,MATCH(G346,Fortnightly_Model!$B$2:$B$15,0)),0),IFERROR(INDEX(Fortnightly_Model!$D$2:$D$15,MATCH(G347,Fortnightly_Model!$B$2:$B$15,0)),0)),IF(VLOOKUP($A344,Calendar!$A$1:$R$1377,18,0)=5,SUM(IFERROR(INDEX(Fortnightly_Model!$D$2:$D$15,MATCH(G344,Fortnightly_Model!$B$2:$B$15,0)),0),IFERROR(INDEX(Fortnightly_Model!$D$2:$D$15,MATCH(G345,Fortnightly_Model!$B$2:$B$15,0)),0),IFERROR(INDEX(Fortnightly_Model!$D$2:$D$15,MATCH(G346,Fortnightly_Model!$B$2:$B$15,0)),0),IFERROR(INDEX(Fortnightly_Model!$D$2:$D$15,MATCH(G347,Fortnightly_Model!$B$2:$B$15,0)),0),IFERROR(INDEX(Fortnightly_Model!$D$2:$D$15,MATCH(G348,Fortnightly_Model!$B$2:$B$15,0)),0)),0))))))</f>
        <v>3.2142856499999999E-3</v>
      </c>
      <c r="M344" s="27">
        <f>IF(VLOOKUP($A344,Calendar!$A$1:$R$1377,18,0)=0,0,IF(VLOOKUP($A344,Calendar!$A$1:$R$1377,18,0)=1,IFERROR(INDEX(FourWeekly_Model!$D$2:$D$29,MATCH(H344,FourWeekly_Model!$B$2:$B$29,0)),0),IF(VLOOKUP($A344,Calendar!$A$1:$R$1377,18,0)=2,SUM(IFERROR(INDEX(FourWeekly_Model!$D$2:$D$29,MATCH(H344,FourWeekly_Model!$B$2:$B$29,0)),0),IFERROR(INDEX(FourWeekly_Model!$D$2:$D$29,MATCH(H345,FourWeekly_Model!$B$2:$B$29,0)),0)),IF(VLOOKUP($A344,Calendar!$A$1:$R$1377,18,0)=3,SUM(IFERROR(INDEX(FourWeekly_Model!$D$2:$D$29,MATCH(H344,FourWeekly_Model!$B$2:$B$29,0)),0),IFERROR(INDEX(FourWeekly_Model!$D$2:$D$29,MATCH(H345,FourWeekly_Model!$B$2:$B$29,0)),0),IFERROR(INDEX(FourWeekly_Model!$D$2:$D$29,MATCH(H346,FourWeekly_Model!$B$2:$B$29,0)),0)),IF(VLOOKUP($A344,Calendar!$A$1:$R$1377,18,0)=4,SUM(IFERROR(INDEX(FourWeekly_Model!$D$2:$D$29,MATCH(H344,FourWeekly_Model!$B$2:$B$29,0)),0),IFERROR(INDEX(FourWeekly_Model!$D$2:$D$29,MATCH(H345,FourWeekly_Model!$B$2:$B$29,0)),0),IFERROR(INDEX(FourWeekly_Model!$D$2:$D$29,MATCH(H346,FourWeekly_Model!$B$2:$B$29,0)),0),IFERROR(INDEX(FourWeekly_Model!$D$2:$D$29,MATCH(H347,FourWeekly_Model!$B$2:$B$29,0)),0)),IF(VLOOKUP($A344,Calendar!$A$1:$R$1377,18,0)=5,SUM(IFERROR(INDEX(FourWeekly_Model!$D$2:$D$29,MATCH(H344,FourWeekly_Model!$B$2:$B$29,0)),0),IFERROR(INDEX(FourWeekly_Model!$D$2:$D$29,MATCH(H345,FourWeekly_Model!$B$2:$B$29,0)),0),IFERROR(INDEX(FourWeekly_Model!$D$2:$D$29,MATCH(H346,FourWeekly_Model!$B$2:$B$29,0)),0),IFERROR(INDEX(FourWeekly_Model!$D$2:$D$29,MATCH(H347,FourWeekly_Model!$B$2:$B$29,0)),0),IFERROR(INDEX(FourWeekly_Model!$D$2:$D$29,MATCH(H348,FourWeekly_Model!$B$2:$B$29,0)),0)),0))))))</f>
        <v>9.9642859800000011E-3</v>
      </c>
      <c r="N344" s="27">
        <f>SUM(I344:M344)</f>
        <v>4.2879095190209424E-2</v>
      </c>
      <c r="O344" s="28">
        <f>Population_Data!$B$8*N344</f>
        <v>1299236.5842633455</v>
      </c>
      <c r="P344" s="27">
        <f>IF(VLOOKUP($A344,Calendar!$A$1:$R$1377,18,0)=0,0,IF(VLOOKUP($A344,Calendar!$A$1:$R$1377,18,0)=1,IFERROR(INDEX(Pension_Model!$D$2:$D$29,MATCH(H344,Pension_Model!$B$2:$B$29,0)),0),IF(VLOOKUP($A344,Calendar!$A$1:$R$1377,18,0)=2,SUM(IFERROR(INDEX(Pension_Model!$D$2:$D$29,MATCH(H344,Pension_Model!$B$2:$B$29,0)),0),IFERROR(INDEX(Pension_Model!$D$2:$D$29,MATCH(H345,Pension_Model!$B$2:$B$29,0)),0)),IF(VLOOKUP($A344,Calendar!$A$1:$R$1377,18,0)=3,SUM(IFERROR(INDEX(Pension_Model!$D$2:$D$29,MATCH(H344,Pension_Model!$B$2:$B$29,0)),0),IFERROR(INDEX(Pension_Model!$D$2:$D$29,MATCH(H345,Pension_Model!$B$2:$B$29,0)),0),IFERROR(INDEX(Pension_Model!$D$2:$D$29,MATCH(H346,Pension_Model!$B$2:$B$29,0)),0)),IF(VLOOKUP($A344,Calendar!$A$1:$R$1377,18,0)=4,SUM(IFERROR(INDEX(Pension_Model!$D$2:$D$29,MATCH(H344,Pension_Model!$B$2:$B$29,0)),0),IFERROR(INDEX(Pension_Model!$D$2:$D$29,MATCH(H345,Pension_Model!$B$2:$B$29,0)),0),IFERROR(INDEX(Pension_Model!$D$2:$D$29,MATCH(H346,Pension_Model!$B$2:$B$29,0)),0),IFERROR(INDEX(Pension_Model!$D$2:$D$29,MATCH(H347,Pension_Model!$B$2:$B$29,0)),0)),IF(VLOOKUP($A344,Calendar!$A$1:$R$1377,18,0)=5,SUM(IFERROR(INDEX(Pension_Model!$D$2:$D$29,MATCH(H344,Pension_Model!$B$2:$B$29,0)),0),IFERROR(INDEX(Pension_Model!$D$2:$D$29,MATCH(H345,Pension_Model!$B$2:$B$29,0)),0),IFERROR(INDEX(Pension_Model!$D$2:$D$29,MATCH(H346,Pension_Model!$B$2:$B$29,0)),0),IFERROR(INDEX(Pension_Model!$D$2:$D$29,MATCH(H347,Pension_Model!$B$2:$B$29,0)),0),IFERROR(INDEX(Pension_Model!$D$2:$D$29,MATCH(H348,Pension_Model!$B$2:$B$29,0)),0)),0))))))</f>
        <v>0.05</v>
      </c>
      <c r="Q344" s="28">
        <f>Population_Data!$B$15*P344</f>
        <v>660600</v>
      </c>
      <c r="S344">
        <f t="shared" si="5"/>
        <v>1959836.5842633455</v>
      </c>
      <c r="U344" s="33">
        <f>S344/Population_Data!$B$19</f>
        <v>3.5504285946799739E-2</v>
      </c>
    </row>
    <row r="345" spans="1:21">
      <c r="A345" s="25">
        <f>Calendar!A345</f>
        <v>46578</v>
      </c>
      <c r="B345" t="str">
        <f>Calendar!L345</f>
        <v>No</v>
      </c>
      <c r="C345" t="str">
        <f>Calendar!O345</f>
        <v>No</v>
      </c>
      <c r="D345" t="str">
        <f>Calendar!P345</f>
        <v>No</v>
      </c>
      <c r="E345" t="str">
        <f>Calendar!Q345</f>
        <v>No</v>
      </c>
      <c r="F345" t="str">
        <f>Calendar!I345</f>
        <v>Saturday</v>
      </c>
      <c r="G345">
        <f>Calendar!S345</f>
        <v>0</v>
      </c>
      <c r="H345">
        <f>Calendar!T345</f>
        <v>14</v>
      </c>
      <c r="I345" s="27">
        <f>IF(VLOOKUP(A345,Calendar!$A$1:$R$1377,18,0)=0,0,IF(VLOOKUP(A345,Calendar!$A$1:$R$1377,18,0)=1,INDEX(Monthly_Pay_Model!$A$9:$D$40,MATCH(TEXT(A345,"dd"),Monthly_Pay_Model!$C$9:$C$39,0),4),IF(VLOOKUP(A345,Calendar!$A$1:$R$1377,18,0)=2,SUM(INDEX(Monthly_Pay_Model!$A$9:$D$40,MATCH(TEXT(A345,"dd"),Monthly_Pay_Model!$C$9:$C$39,0),4),INDEX(Monthly_Pay_Model!$A$9:$D$40,MATCH(TEXT(A346,"dd"),Monthly_Pay_Model!$C$9:$C$39,0),4)),IF(VLOOKUP(A345,Calendar!$A$1:$R$1377,18,0)=3,SUM(INDEX(Monthly_Pay_Model!$A$9:$D$40,MATCH(TEXT(A345,"dd"),Monthly_Pay_Model!$C$9:$C$39,0),4),INDEX(Monthly_Pay_Model!$A$9:$D$40,MATCH(TEXT(A346,"dd"),Monthly_Pay_Model!$C$9:$C$39,0),4),INDEX(Monthly_Pay_Model!$A$9:$D$40,MATCH(TEXT(A347,"dd"),Monthly_Pay_Model!$C$9:$C$39,0),4)),IF(VLOOKUP(A345,Calendar!$A$1:$R$1377,18,0)=4,SUM(INDEX(Monthly_Pay_Model!$A$9:$D$40,MATCH(TEXT(A345,"dd"),Monthly_Pay_Model!$C$9:$C$39,0),4),INDEX(Monthly_Pay_Model!$A$9:$D$40,MATCH(TEXT(A346,"dd"),Monthly_Pay_Model!$C$9:$C$39,0),4),INDEX(Monthly_Pay_Model!$A$9:$D$40,MATCH(TEXT(A347,"dd"),Monthly_Pay_Model!$C$9:$C$39,0),4),INDEX(Monthly_Pay_Model!$A$9:$D$40,MATCH(TEXT(A348,"dd"),Monthly_Pay_Model!$C$9:$C$39,0),4)),IF(VLOOKUP(A345,Calendar!$A$1:$R$1377,18,0)=5,SUM(INDEX(Monthly_Pay_Model!$A$9:$D$40,MATCH(TEXT(A345,"dd"),Monthly_Pay_Model!$C$9:$C$39,0),4),INDEX(Monthly_Pay_Model!$A$9:$D$40,MATCH(TEXT(A346,"dd"),Monthly_Pay_Model!$C$9:$C$39,0),4),INDEX(Monthly_Pay_Model!$A$9:$D$40,MATCH(TEXT(A347,"dd"),Monthly_Pay_Model!$C$9:$C$39,0),4),INDEX(Monthly_Pay_Model!$A$9:$D$40,MATCH(TEXT(A348,"dd"),Monthly_Pay_Model!$C$9:$C$39,0),4),INDEX(Monthly_Pay_Model!$A$9:$D$40,MATCH(TEXT(A349,"dd"),Monthly_Pay_Model!$C$9:$C$39,0),4)),))))))</f>
        <v>0</v>
      </c>
      <c r="J345" s="33">
        <f>IF(C345="Yes",Monthly_Pay_Model!$D$2,0)
+IF(Calendar!N345="Yes",Monthly_Pay_Model!$D$3,0)
+IF(D345="Yes",Monthly_Pay_Model!$D$4,0)
+IF(E345="Yes",Monthly_Pay_Model!$D$5,0)</f>
        <v>0</v>
      </c>
      <c r="K345" s="27">
        <f>IF(VLOOKUP($A345,Calendar!$A$1:$R$1377,18,0)=0,0,IF(VLOOKUP($A345,Calendar!$A$1:$R$1377,18,0)=1,IFERROR(INDEX(Weekly_Model!$D$2:$D$9,MATCH(F345,Weekly_Model!$A$2:$A$9,0)),0),IF(VLOOKUP($A345,Calendar!$A$1:$R$1377,18,0)=2,SUM(IFERROR(INDEX(Weekly_Model!$D$2:$D$9,MATCH(F345,Weekly_Model!$A$2:$A$9,0)),0),IFERROR(INDEX(Weekly_Model!$D$2:$D$9,MATCH(F346,Weekly_Model!$A$2:$A$9,0)),0)),IF(VLOOKUP($A345,Calendar!$A$1:$R$1377,18,0)=3,SUM(IFERROR(INDEX(Weekly_Model!$D$2:$D$9,MATCH(F345,Weekly_Model!$A$2:$A$9,0)),0),IFERROR(INDEX(Weekly_Model!$D$2:$D$9,MATCH(F346,Weekly_Model!$A$2:$A$9,0)),0),IFERROR(INDEX(Weekly_Model!$D$2:$D$9,MATCH(F347,Weekly_Model!$A$2:$A$9,0)),0)),IF(VLOOKUP($A345,Calendar!$A$1:$R$1377,18,0)=4,SUM(IFERROR(INDEX(Weekly_Model!$D$2:$D$9,MATCH(F345,Weekly_Model!$A$2:$A$9,0)),0),IFERROR(INDEX(Weekly_Model!$D$2:$D$9,MATCH(F346,Weekly_Model!$A$2:$A$9,0)),0),IFERROR(INDEX(Weekly_Model!$D$2:$D$9,MATCH(F347,Weekly_Model!$A$2:$A$9,0)),0),IFERROR(INDEX(Weekly_Model!$D$2:$D$9,MATCH(F348,Weekly_Model!$A$2:$A$9,0)),0)),IF(VLOOKUP($A345,Calendar!$A$1:$R$1377,18,0)=5,SUM(IFERROR(INDEX(Weekly_Model!$D$2:$D$9,MATCH(F345,Weekly_Model!$A$2:$A$9,0)),0),IFERROR(INDEX(Weekly_Model!$D$2:$D$9,MATCH(F346,Weekly_Model!$A$2:$A$9,0)),0),IFERROR(INDEX(Weekly_Model!$D$2:$D$9,MATCH(F347,Weekly_Model!$A$2:$A$9,0)),0),IFERROR(INDEX(Weekly_Model!$D$2:$D$9,MATCH(F348,Weekly_Model!$A$2:$A$9,0)),0),IFERROR(INDEX(Weekly_Model!$D$2:$D$9,MATCH(F349,Weekly_Model!$A$2:$A$9,0)),0)),0))))))</f>
        <v>0</v>
      </c>
      <c r="L345" s="27">
        <f>IF(VLOOKUP($A345,Calendar!$A$1:$R$1377,18,0)=0,0,IF(VLOOKUP($A345,Calendar!$A$1:$R$1377,18,0)=1,IFERROR(INDEX(Fortnightly_Model!$D$2:$D$15,MATCH(G345,Fortnightly_Model!$B$2:$B$15,0)),0),IF(VLOOKUP($A345,Calendar!$A$1:$R$1377,18,0)=2,SUM(IFERROR(INDEX(Fortnightly_Model!$D$2:$D$15,MATCH(G345,Fortnightly_Model!$B$2:$B$15,0)),0),IFERROR(INDEX(Fortnightly_Model!$D$2:$D$15,MATCH(G346,Fortnightly_Model!$B$2:$B$15,0)),0)),IF(VLOOKUP($A345,Calendar!$A$1:$R$1377,18,0)=3,SUM(IFERROR(INDEX(Fortnightly_Model!$D$2:$D$15,MATCH(G345,Fortnightly_Model!$B$2:$B$15,0)),0),IFERROR(INDEX(Fortnightly_Model!$D$2:$D$15,MATCH(G346,Fortnightly_Model!$B$2:$B$15,0)),0),IFERROR(INDEX(Fortnightly_Model!$D$2:$D$15,MATCH(G347,Fortnightly_Model!$B$2:$B$15,0)),0)),IF(VLOOKUP($A345,Calendar!$A$1:$R$1377,18,0)=4,SUM(IFERROR(INDEX(Fortnightly_Model!$D$2:$D$15,MATCH(G345,Fortnightly_Model!$B$2:$B$15,0)),0),IFERROR(INDEX(Fortnightly_Model!$D$2:$D$15,MATCH(G346,Fortnightly_Model!$B$2:$B$15,0)),0),IFERROR(INDEX(Fortnightly_Model!$D$2:$D$15,MATCH(G347,Fortnightly_Model!$B$2:$B$15,0)),0),IFERROR(INDEX(Fortnightly_Model!$D$2:$D$15,MATCH(G348,Fortnightly_Model!$B$2:$B$15,0)),0)),IF(VLOOKUP($A345,Calendar!$A$1:$R$1377,18,0)=5,SUM(IFERROR(INDEX(Fortnightly_Model!$D$2:$D$15,MATCH(G345,Fortnightly_Model!$B$2:$B$15,0)),0),IFERROR(INDEX(Fortnightly_Model!$D$2:$D$15,MATCH(G346,Fortnightly_Model!$B$2:$B$15,0)),0),IFERROR(INDEX(Fortnightly_Model!$D$2:$D$15,MATCH(G347,Fortnightly_Model!$B$2:$B$15,0)),0),IFERROR(INDEX(Fortnightly_Model!$D$2:$D$15,MATCH(G348,Fortnightly_Model!$B$2:$B$15,0)),0),IFERROR(INDEX(Fortnightly_Model!$D$2:$D$15,MATCH(G349,Fortnightly_Model!$B$2:$B$15,0)),0)),0))))))</f>
        <v>0</v>
      </c>
      <c r="M345" s="27">
        <f>IF(VLOOKUP($A345,Calendar!$A$1:$R$1377,18,0)=0,0,IF(VLOOKUP($A345,Calendar!$A$1:$R$1377,18,0)=1,IFERROR(INDEX(FourWeekly_Model!$D$2:$D$29,MATCH(H345,FourWeekly_Model!$B$2:$B$29,0)),0),IF(VLOOKUP($A345,Calendar!$A$1:$R$1377,18,0)=2,SUM(IFERROR(INDEX(FourWeekly_Model!$D$2:$D$29,MATCH(H345,FourWeekly_Model!$B$2:$B$29,0)),0),IFERROR(INDEX(FourWeekly_Model!$D$2:$D$29,MATCH(H346,FourWeekly_Model!$B$2:$B$29,0)),0)),IF(VLOOKUP($A345,Calendar!$A$1:$R$1377,18,0)=3,SUM(IFERROR(INDEX(FourWeekly_Model!$D$2:$D$29,MATCH(H345,FourWeekly_Model!$B$2:$B$29,0)),0),IFERROR(INDEX(FourWeekly_Model!$D$2:$D$29,MATCH(H346,FourWeekly_Model!$B$2:$B$29,0)),0),IFERROR(INDEX(FourWeekly_Model!$D$2:$D$29,MATCH(H347,FourWeekly_Model!$B$2:$B$29,0)),0)),IF(VLOOKUP($A345,Calendar!$A$1:$R$1377,18,0)=4,SUM(IFERROR(INDEX(FourWeekly_Model!$D$2:$D$29,MATCH(H345,FourWeekly_Model!$B$2:$B$29,0)),0),IFERROR(INDEX(FourWeekly_Model!$D$2:$D$29,MATCH(H346,FourWeekly_Model!$B$2:$B$29,0)),0),IFERROR(INDEX(FourWeekly_Model!$D$2:$D$29,MATCH(H347,FourWeekly_Model!$B$2:$B$29,0)),0),IFERROR(INDEX(FourWeekly_Model!$D$2:$D$29,MATCH(H348,FourWeekly_Model!$B$2:$B$29,0)),0)),IF(VLOOKUP($A345,Calendar!$A$1:$R$1377,18,0)=5,SUM(IFERROR(INDEX(FourWeekly_Model!$D$2:$D$29,MATCH(H345,FourWeekly_Model!$B$2:$B$29,0)),0),IFERROR(INDEX(FourWeekly_Model!$D$2:$D$29,MATCH(H346,FourWeekly_Model!$B$2:$B$29,0)),0),IFERROR(INDEX(FourWeekly_Model!$D$2:$D$29,MATCH(H347,FourWeekly_Model!$B$2:$B$29,0)),0),IFERROR(INDEX(FourWeekly_Model!$D$2:$D$29,MATCH(H348,FourWeekly_Model!$B$2:$B$29,0)),0),IFERROR(INDEX(FourWeekly_Model!$D$2:$D$29,MATCH(H349,FourWeekly_Model!$B$2:$B$29,0)),0)),0))))))</f>
        <v>0</v>
      </c>
      <c r="N345" s="27">
        <f>SUM(I345:M345)</f>
        <v>0</v>
      </c>
      <c r="O345" s="28">
        <f>Population_Data!$B$8*N345</f>
        <v>0</v>
      </c>
      <c r="P345" s="27">
        <f>IF(VLOOKUP($A345,Calendar!$A$1:$R$1377,18,0)=0,0,IF(VLOOKUP($A345,Calendar!$A$1:$R$1377,18,0)=1,IFERROR(INDEX(Pension_Model!$D$2:$D$29,MATCH(H345,Pension_Model!$B$2:$B$29,0)),0),IF(VLOOKUP($A345,Calendar!$A$1:$R$1377,18,0)=2,SUM(IFERROR(INDEX(Pension_Model!$D$2:$D$29,MATCH(H345,Pension_Model!$B$2:$B$29,0)),0),IFERROR(INDEX(Pension_Model!$D$2:$D$29,MATCH(H346,Pension_Model!$B$2:$B$29,0)),0)),IF(VLOOKUP($A345,Calendar!$A$1:$R$1377,18,0)=3,SUM(IFERROR(INDEX(Pension_Model!$D$2:$D$29,MATCH(H345,Pension_Model!$B$2:$B$29,0)),0),IFERROR(INDEX(Pension_Model!$D$2:$D$29,MATCH(H346,Pension_Model!$B$2:$B$29,0)),0),IFERROR(INDEX(Pension_Model!$D$2:$D$29,MATCH(H347,Pension_Model!$B$2:$B$29,0)),0)),IF(VLOOKUP($A345,Calendar!$A$1:$R$1377,18,0)=4,SUM(IFERROR(INDEX(Pension_Model!$D$2:$D$29,MATCH(H345,Pension_Model!$B$2:$B$29,0)),0),IFERROR(INDEX(Pension_Model!$D$2:$D$29,MATCH(H346,Pension_Model!$B$2:$B$29,0)),0),IFERROR(INDEX(Pension_Model!$D$2:$D$29,MATCH(H347,Pension_Model!$B$2:$B$29,0)),0),IFERROR(INDEX(Pension_Model!$D$2:$D$29,MATCH(H348,Pension_Model!$B$2:$B$29,0)),0)),IF(VLOOKUP($A345,Calendar!$A$1:$R$1377,18,0)=5,SUM(IFERROR(INDEX(Pension_Model!$D$2:$D$29,MATCH(H345,Pension_Model!$B$2:$B$29,0)),0),IFERROR(INDEX(Pension_Model!$D$2:$D$29,MATCH(H346,Pension_Model!$B$2:$B$29,0)),0),IFERROR(INDEX(Pension_Model!$D$2:$D$29,MATCH(H347,Pension_Model!$B$2:$B$29,0)),0),IFERROR(INDEX(Pension_Model!$D$2:$D$29,MATCH(H348,Pension_Model!$B$2:$B$29,0)),0),IFERROR(INDEX(Pension_Model!$D$2:$D$29,MATCH(H349,Pension_Model!$B$2:$B$29,0)),0)),0))))))</f>
        <v>0</v>
      </c>
      <c r="Q345" s="28">
        <f>Population_Data!$B$15*P345</f>
        <v>0</v>
      </c>
      <c r="S345">
        <f t="shared" si="5"/>
        <v>0</v>
      </c>
      <c r="U345" s="33">
        <f>S345/Population_Data!$B$19</f>
        <v>0</v>
      </c>
    </row>
    <row r="346" spans="1:21">
      <c r="A346" s="25">
        <f>Calendar!A346</f>
        <v>46579</v>
      </c>
      <c r="B346" t="str">
        <f>Calendar!L346</f>
        <v>No</v>
      </c>
      <c r="C346" t="str">
        <f>Calendar!O346</f>
        <v>No</v>
      </c>
      <c r="D346" t="str">
        <f>Calendar!P346</f>
        <v>No</v>
      </c>
      <c r="E346" t="str">
        <f>Calendar!Q346</f>
        <v>No</v>
      </c>
      <c r="F346" t="str">
        <f>Calendar!I346</f>
        <v>Sunday</v>
      </c>
      <c r="G346">
        <f>Calendar!S346</f>
        <v>1</v>
      </c>
      <c r="H346">
        <f>Calendar!T346</f>
        <v>15</v>
      </c>
      <c r="I346" s="27">
        <f>IF(VLOOKUP(A346,Calendar!$A$1:$R$1377,18,0)=0,0,IF(VLOOKUP(A346,Calendar!$A$1:$R$1377,18,0)=1,INDEX(Monthly_Pay_Model!$A$9:$D$40,MATCH(TEXT(A346,"dd"),Monthly_Pay_Model!$C$9:$C$39,0),4),IF(VLOOKUP(A346,Calendar!$A$1:$R$1377,18,0)=2,SUM(INDEX(Monthly_Pay_Model!$A$9:$D$40,MATCH(TEXT(A346,"dd"),Monthly_Pay_Model!$C$9:$C$39,0),4),INDEX(Monthly_Pay_Model!$A$9:$D$40,MATCH(TEXT(A347,"dd"),Monthly_Pay_Model!$C$9:$C$39,0),4)),IF(VLOOKUP(A346,Calendar!$A$1:$R$1377,18,0)=3,SUM(INDEX(Monthly_Pay_Model!$A$9:$D$40,MATCH(TEXT(A346,"dd"),Monthly_Pay_Model!$C$9:$C$39,0),4),INDEX(Monthly_Pay_Model!$A$9:$D$40,MATCH(TEXT(A347,"dd"),Monthly_Pay_Model!$C$9:$C$39,0),4),INDEX(Monthly_Pay_Model!$A$9:$D$40,MATCH(TEXT(A348,"dd"),Monthly_Pay_Model!$C$9:$C$39,0),4)),IF(VLOOKUP(A346,Calendar!$A$1:$R$1377,18,0)=4,SUM(INDEX(Monthly_Pay_Model!$A$9:$D$40,MATCH(TEXT(A346,"dd"),Monthly_Pay_Model!$C$9:$C$39,0),4),INDEX(Monthly_Pay_Model!$A$9:$D$40,MATCH(TEXT(A347,"dd"),Monthly_Pay_Model!$C$9:$C$39,0),4),INDEX(Monthly_Pay_Model!$A$9:$D$40,MATCH(TEXT(A348,"dd"),Monthly_Pay_Model!$C$9:$C$39,0),4),INDEX(Monthly_Pay_Model!$A$9:$D$40,MATCH(TEXT(A349,"dd"),Monthly_Pay_Model!$C$9:$C$39,0),4)),IF(VLOOKUP(A346,Calendar!$A$1:$R$1377,18,0)=5,SUM(INDEX(Monthly_Pay_Model!$A$9:$D$40,MATCH(TEXT(A346,"dd"),Monthly_Pay_Model!$C$9:$C$39,0),4),INDEX(Monthly_Pay_Model!$A$9:$D$40,MATCH(TEXT(A347,"dd"),Monthly_Pay_Model!$C$9:$C$39,0),4),INDEX(Monthly_Pay_Model!$A$9:$D$40,MATCH(TEXT(A348,"dd"),Monthly_Pay_Model!$C$9:$C$39,0),4),INDEX(Monthly_Pay_Model!$A$9:$D$40,MATCH(TEXT(A349,"dd"),Monthly_Pay_Model!$C$9:$C$39,0),4),INDEX(Monthly_Pay_Model!$A$9:$D$40,MATCH(TEXT(A350,"dd"),Monthly_Pay_Model!$C$9:$C$39,0),4)),))))))</f>
        <v>0</v>
      </c>
      <c r="J346" s="33">
        <f>IF(C346="Yes",Monthly_Pay_Model!$D$2,0)
+IF(Calendar!N346="Yes",Monthly_Pay_Model!$D$3,0)
+IF(D346="Yes",Monthly_Pay_Model!$D$4,0)
+IF(E346="Yes",Monthly_Pay_Model!$D$5,0)</f>
        <v>0</v>
      </c>
      <c r="K346" s="27">
        <f>IF(VLOOKUP($A346,Calendar!$A$1:$R$1377,18,0)=0,0,IF(VLOOKUP($A346,Calendar!$A$1:$R$1377,18,0)=1,IFERROR(INDEX(Weekly_Model!$D$2:$D$9,MATCH(F346,Weekly_Model!$A$2:$A$9,0)),0),IF(VLOOKUP($A346,Calendar!$A$1:$R$1377,18,0)=2,SUM(IFERROR(INDEX(Weekly_Model!$D$2:$D$9,MATCH(F346,Weekly_Model!$A$2:$A$9,0)),0),IFERROR(INDEX(Weekly_Model!$D$2:$D$9,MATCH(F347,Weekly_Model!$A$2:$A$9,0)),0)),IF(VLOOKUP($A346,Calendar!$A$1:$R$1377,18,0)=3,SUM(IFERROR(INDEX(Weekly_Model!$D$2:$D$9,MATCH(F346,Weekly_Model!$A$2:$A$9,0)),0),IFERROR(INDEX(Weekly_Model!$D$2:$D$9,MATCH(F347,Weekly_Model!$A$2:$A$9,0)),0),IFERROR(INDEX(Weekly_Model!$D$2:$D$9,MATCH(F348,Weekly_Model!$A$2:$A$9,0)),0)),IF(VLOOKUP($A346,Calendar!$A$1:$R$1377,18,0)=4,SUM(IFERROR(INDEX(Weekly_Model!$D$2:$D$9,MATCH(F346,Weekly_Model!$A$2:$A$9,0)),0),IFERROR(INDEX(Weekly_Model!$D$2:$D$9,MATCH(F347,Weekly_Model!$A$2:$A$9,0)),0),IFERROR(INDEX(Weekly_Model!$D$2:$D$9,MATCH(F348,Weekly_Model!$A$2:$A$9,0)),0),IFERROR(INDEX(Weekly_Model!$D$2:$D$9,MATCH(F349,Weekly_Model!$A$2:$A$9,0)),0)),IF(VLOOKUP($A346,Calendar!$A$1:$R$1377,18,0)=5,SUM(IFERROR(INDEX(Weekly_Model!$D$2:$D$9,MATCH(F346,Weekly_Model!$A$2:$A$9,0)),0),IFERROR(INDEX(Weekly_Model!$D$2:$D$9,MATCH(F347,Weekly_Model!$A$2:$A$9,0)),0),IFERROR(INDEX(Weekly_Model!$D$2:$D$9,MATCH(F348,Weekly_Model!$A$2:$A$9,0)),0),IFERROR(INDEX(Weekly_Model!$D$2:$D$9,MATCH(F349,Weekly_Model!$A$2:$A$9,0)),0),IFERROR(INDEX(Weekly_Model!$D$2:$D$9,MATCH(F350,Weekly_Model!$A$2:$A$9,0)),0)),0))))))</f>
        <v>0</v>
      </c>
      <c r="L346" s="27">
        <f>IF(VLOOKUP($A346,Calendar!$A$1:$R$1377,18,0)=0,0,IF(VLOOKUP($A346,Calendar!$A$1:$R$1377,18,0)=1,IFERROR(INDEX(Fortnightly_Model!$D$2:$D$15,MATCH(G346,Fortnightly_Model!$B$2:$B$15,0)),0),IF(VLOOKUP($A346,Calendar!$A$1:$R$1377,18,0)=2,SUM(IFERROR(INDEX(Fortnightly_Model!$D$2:$D$15,MATCH(G346,Fortnightly_Model!$B$2:$B$15,0)),0),IFERROR(INDEX(Fortnightly_Model!$D$2:$D$15,MATCH(G347,Fortnightly_Model!$B$2:$B$15,0)),0)),IF(VLOOKUP($A346,Calendar!$A$1:$R$1377,18,0)=3,SUM(IFERROR(INDEX(Fortnightly_Model!$D$2:$D$15,MATCH(G346,Fortnightly_Model!$B$2:$B$15,0)),0),IFERROR(INDEX(Fortnightly_Model!$D$2:$D$15,MATCH(G347,Fortnightly_Model!$B$2:$B$15,0)),0),IFERROR(INDEX(Fortnightly_Model!$D$2:$D$15,MATCH(G348,Fortnightly_Model!$B$2:$B$15,0)),0)),IF(VLOOKUP($A346,Calendar!$A$1:$R$1377,18,0)=4,SUM(IFERROR(INDEX(Fortnightly_Model!$D$2:$D$15,MATCH(G346,Fortnightly_Model!$B$2:$B$15,0)),0),IFERROR(INDEX(Fortnightly_Model!$D$2:$D$15,MATCH(G347,Fortnightly_Model!$B$2:$B$15,0)),0),IFERROR(INDEX(Fortnightly_Model!$D$2:$D$15,MATCH(G348,Fortnightly_Model!$B$2:$B$15,0)),0),IFERROR(INDEX(Fortnightly_Model!$D$2:$D$15,MATCH(G349,Fortnightly_Model!$B$2:$B$15,0)),0)),IF(VLOOKUP($A346,Calendar!$A$1:$R$1377,18,0)=5,SUM(IFERROR(INDEX(Fortnightly_Model!$D$2:$D$15,MATCH(G346,Fortnightly_Model!$B$2:$B$15,0)),0),IFERROR(INDEX(Fortnightly_Model!$D$2:$D$15,MATCH(G347,Fortnightly_Model!$B$2:$B$15,0)),0),IFERROR(INDEX(Fortnightly_Model!$D$2:$D$15,MATCH(G348,Fortnightly_Model!$B$2:$B$15,0)),0),IFERROR(INDEX(Fortnightly_Model!$D$2:$D$15,MATCH(G349,Fortnightly_Model!$B$2:$B$15,0)),0),IFERROR(INDEX(Fortnightly_Model!$D$2:$D$15,MATCH(G350,Fortnightly_Model!$B$2:$B$15,0)),0)),0))))))</f>
        <v>0</v>
      </c>
      <c r="M346" s="27">
        <f>IF(VLOOKUP($A346,Calendar!$A$1:$R$1377,18,0)=0,0,IF(VLOOKUP($A346,Calendar!$A$1:$R$1377,18,0)=1,IFERROR(INDEX(FourWeekly_Model!$D$2:$D$29,MATCH(H346,FourWeekly_Model!$B$2:$B$29,0)),0),IF(VLOOKUP($A346,Calendar!$A$1:$R$1377,18,0)=2,SUM(IFERROR(INDEX(FourWeekly_Model!$D$2:$D$29,MATCH(H346,FourWeekly_Model!$B$2:$B$29,0)),0),IFERROR(INDEX(FourWeekly_Model!$D$2:$D$29,MATCH(H347,FourWeekly_Model!$B$2:$B$29,0)),0)),IF(VLOOKUP($A346,Calendar!$A$1:$R$1377,18,0)=3,SUM(IFERROR(INDEX(FourWeekly_Model!$D$2:$D$29,MATCH(H346,FourWeekly_Model!$B$2:$B$29,0)),0),IFERROR(INDEX(FourWeekly_Model!$D$2:$D$29,MATCH(H347,FourWeekly_Model!$B$2:$B$29,0)),0),IFERROR(INDEX(FourWeekly_Model!$D$2:$D$29,MATCH(H348,FourWeekly_Model!$B$2:$B$29,0)),0)),IF(VLOOKUP($A346,Calendar!$A$1:$R$1377,18,0)=4,SUM(IFERROR(INDEX(FourWeekly_Model!$D$2:$D$29,MATCH(H346,FourWeekly_Model!$B$2:$B$29,0)),0),IFERROR(INDEX(FourWeekly_Model!$D$2:$D$29,MATCH(H347,FourWeekly_Model!$B$2:$B$29,0)),0),IFERROR(INDEX(FourWeekly_Model!$D$2:$D$29,MATCH(H348,FourWeekly_Model!$B$2:$B$29,0)),0),IFERROR(INDEX(FourWeekly_Model!$D$2:$D$29,MATCH(H349,FourWeekly_Model!$B$2:$B$29,0)),0)),IF(VLOOKUP($A346,Calendar!$A$1:$R$1377,18,0)=5,SUM(IFERROR(INDEX(FourWeekly_Model!$D$2:$D$29,MATCH(H346,FourWeekly_Model!$B$2:$B$29,0)),0),IFERROR(INDEX(FourWeekly_Model!$D$2:$D$29,MATCH(H347,FourWeekly_Model!$B$2:$B$29,0)),0),IFERROR(INDEX(FourWeekly_Model!$D$2:$D$29,MATCH(H348,FourWeekly_Model!$B$2:$B$29,0)),0),IFERROR(INDEX(FourWeekly_Model!$D$2:$D$29,MATCH(H349,FourWeekly_Model!$B$2:$B$29,0)),0),IFERROR(INDEX(FourWeekly_Model!$D$2:$D$29,MATCH(H350,FourWeekly_Model!$B$2:$B$29,0)),0)),0))))))</f>
        <v>0</v>
      </c>
      <c r="N346" s="27">
        <f>SUM(I346:M346)</f>
        <v>0</v>
      </c>
      <c r="O346" s="28">
        <f>Population_Data!$B$8*N346</f>
        <v>0</v>
      </c>
      <c r="P346" s="27">
        <f>IF(VLOOKUP($A346,Calendar!$A$1:$R$1377,18,0)=0,0,IF(VLOOKUP($A346,Calendar!$A$1:$R$1377,18,0)=1,IFERROR(INDEX(Pension_Model!$D$2:$D$29,MATCH(H346,Pension_Model!$B$2:$B$29,0)),0),IF(VLOOKUP($A346,Calendar!$A$1:$R$1377,18,0)=2,SUM(IFERROR(INDEX(Pension_Model!$D$2:$D$29,MATCH(H346,Pension_Model!$B$2:$B$29,0)),0),IFERROR(INDEX(Pension_Model!$D$2:$D$29,MATCH(H347,Pension_Model!$B$2:$B$29,0)),0)),IF(VLOOKUP($A346,Calendar!$A$1:$R$1377,18,0)=3,SUM(IFERROR(INDEX(Pension_Model!$D$2:$D$29,MATCH(H346,Pension_Model!$B$2:$B$29,0)),0),IFERROR(INDEX(Pension_Model!$D$2:$D$29,MATCH(H347,Pension_Model!$B$2:$B$29,0)),0),IFERROR(INDEX(Pension_Model!$D$2:$D$29,MATCH(H348,Pension_Model!$B$2:$B$29,0)),0)),IF(VLOOKUP($A346,Calendar!$A$1:$R$1377,18,0)=4,SUM(IFERROR(INDEX(Pension_Model!$D$2:$D$29,MATCH(H346,Pension_Model!$B$2:$B$29,0)),0),IFERROR(INDEX(Pension_Model!$D$2:$D$29,MATCH(H347,Pension_Model!$B$2:$B$29,0)),0),IFERROR(INDEX(Pension_Model!$D$2:$D$29,MATCH(H348,Pension_Model!$B$2:$B$29,0)),0),IFERROR(INDEX(Pension_Model!$D$2:$D$29,MATCH(H349,Pension_Model!$B$2:$B$29,0)),0)),IF(VLOOKUP($A346,Calendar!$A$1:$R$1377,18,0)=5,SUM(IFERROR(INDEX(Pension_Model!$D$2:$D$29,MATCH(H346,Pension_Model!$B$2:$B$29,0)),0),IFERROR(INDEX(Pension_Model!$D$2:$D$29,MATCH(H347,Pension_Model!$B$2:$B$29,0)),0),IFERROR(INDEX(Pension_Model!$D$2:$D$29,MATCH(H348,Pension_Model!$B$2:$B$29,0)),0),IFERROR(INDEX(Pension_Model!$D$2:$D$29,MATCH(H349,Pension_Model!$B$2:$B$29,0)),0),IFERROR(INDEX(Pension_Model!$D$2:$D$29,MATCH(H350,Pension_Model!$B$2:$B$29,0)),0)),0))))))</f>
        <v>0</v>
      </c>
      <c r="Q346" s="28">
        <f>Population_Data!$B$15*P346</f>
        <v>0</v>
      </c>
      <c r="S346">
        <f t="shared" si="5"/>
        <v>0</v>
      </c>
      <c r="U346" s="33">
        <f>S346/Population_Data!$B$19</f>
        <v>0</v>
      </c>
    </row>
    <row r="347" spans="1:21">
      <c r="A347" s="25">
        <f>Calendar!A347</f>
        <v>46580</v>
      </c>
      <c r="B347" t="str">
        <f>Calendar!L347</f>
        <v>Yes</v>
      </c>
      <c r="C347" t="str">
        <f>Calendar!O347</f>
        <v>No</v>
      </c>
      <c r="D347" t="str">
        <f>Calendar!P347</f>
        <v>No</v>
      </c>
      <c r="E347" t="str">
        <f>Calendar!Q347</f>
        <v>No</v>
      </c>
      <c r="F347" t="str">
        <f>Calendar!I347</f>
        <v>Monday</v>
      </c>
      <c r="G347">
        <f>Calendar!S347</f>
        <v>2</v>
      </c>
      <c r="H347">
        <f>Calendar!T347</f>
        <v>16</v>
      </c>
      <c r="I347" s="27">
        <f>IF(VLOOKUP(A347,Calendar!$A$1:$R$1377,18,0)=0,0,IF(VLOOKUP(A347,Calendar!$A$1:$R$1377,18,0)=1,INDEX(Monthly_Pay_Model!$A$9:$D$40,MATCH(TEXT(A347,"dd"),Monthly_Pay_Model!$C$9:$C$39,0),4),IF(VLOOKUP(A347,Calendar!$A$1:$R$1377,18,0)=2,SUM(INDEX(Monthly_Pay_Model!$A$9:$D$40,MATCH(TEXT(A347,"dd"),Monthly_Pay_Model!$C$9:$C$39,0),4),INDEX(Monthly_Pay_Model!$A$9:$D$40,MATCH(TEXT(A348,"dd"),Monthly_Pay_Model!$C$9:$C$39,0),4)),IF(VLOOKUP(A347,Calendar!$A$1:$R$1377,18,0)=3,SUM(INDEX(Monthly_Pay_Model!$A$9:$D$40,MATCH(TEXT(A347,"dd"),Monthly_Pay_Model!$C$9:$C$39,0),4),INDEX(Monthly_Pay_Model!$A$9:$D$40,MATCH(TEXT(A348,"dd"),Monthly_Pay_Model!$C$9:$C$39,0),4),INDEX(Monthly_Pay_Model!$A$9:$D$40,MATCH(TEXT(A349,"dd"),Monthly_Pay_Model!$C$9:$C$39,0),4)),IF(VLOOKUP(A347,Calendar!$A$1:$R$1377,18,0)=4,SUM(INDEX(Monthly_Pay_Model!$A$9:$D$40,MATCH(TEXT(A347,"dd"),Monthly_Pay_Model!$C$9:$C$39,0),4),INDEX(Monthly_Pay_Model!$A$9:$D$40,MATCH(TEXT(A348,"dd"),Monthly_Pay_Model!$C$9:$C$39,0),4),INDEX(Monthly_Pay_Model!$A$9:$D$40,MATCH(TEXT(A349,"dd"),Monthly_Pay_Model!$C$9:$C$39,0),4),INDEX(Monthly_Pay_Model!$A$9:$D$40,MATCH(TEXT(A350,"dd"),Monthly_Pay_Model!$C$9:$C$39,0),4)),IF(VLOOKUP(A347,Calendar!$A$1:$R$1377,18,0)=5,SUM(INDEX(Monthly_Pay_Model!$A$9:$D$40,MATCH(TEXT(A347,"dd"),Monthly_Pay_Model!$C$9:$C$39,0),4),INDEX(Monthly_Pay_Model!$A$9:$D$40,MATCH(TEXT(A348,"dd"),Monthly_Pay_Model!$C$9:$C$39,0),4),INDEX(Monthly_Pay_Model!$A$9:$D$40,MATCH(TEXT(A349,"dd"),Monthly_Pay_Model!$C$9:$C$39,0),4),INDEX(Monthly_Pay_Model!$A$9:$D$40,MATCH(TEXT(A350,"dd"),Monthly_Pay_Model!$C$9:$C$39,0),4),INDEX(Monthly_Pay_Model!$A$9:$D$40,MATCH(TEXT(A351,"dd"),Monthly_Pay_Model!$C$9:$C$39,0),4)),))))))</f>
        <v>1.6251308900523558E-3</v>
      </c>
      <c r="J347" s="33">
        <f>IF(C347="Yes",Monthly_Pay_Model!$D$2,0)
+IF(Calendar!N347="Yes",Monthly_Pay_Model!$D$3,0)
+IF(D347="Yes",Monthly_Pay_Model!$D$4,0)
+IF(E347="Yes",Monthly_Pay_Model!$D$5,0)</f>
        <v>0</v>
      </c>
      <c r="K347" s="27">
        <f>IF(VLOOKUP($A347,Calendar!$A$1:$R$1377,18,0)=0,0,IF(VLOOKUP($A347,Calendar!$A$1:$R$1377,18,0)=1,IFERROR(INDEX(Weekly_Model!$D$2:$D$9,MATCH(F347,Weekly_Model!$A$2:$A$9,0)),0),IF(VLOOKUP($A347,Calendar!$A$1:$R$1377,18,0)=2,SUM(IFERROR(INDEX(Weekly_Model!$D$2:$D$9,MATCH(F347,Weekly_Model!$A$2:$A$9,0)),0),IFERROR(INDEX(Weekly_Model!$D$2:$D$9,MATCH(F348,Weekly_Model!$A$2:$A$9,0)),0)),IF(VLOOKUP($A347,Calendar!$A$1:$R$1377,18,0)=3,SUM(IFERROR(INDEX(Weekly_Model!$D$2:$D$9,MATCH(F347,Weekly_Model!$A$2:$A$9,0)),0),IFERROR(INDEX(Weekly_Model!$D$2:$D$9,MATCH(F348,Weekly_Model!$A$2:$A$9,0)),0),IFERROR(INDEX(Weekly_Model!$D$2:$D$9,MATCH(F349,Weekly_Model!$A$2:$A$9,0)),0)),IF(VLOOKUP($A347,Calendar!$A$1:$R$1377,18,0)=4,SUM(IFERROR(INDEX(Weekly_Model!$D$2:$D$9,MATCH(F347,Weekly_Model!$A$2:$A$9,0)),0),IFERROR(INDEX(Weekly_Model!$D$2:$D$9,MATCH(F348,Weekly_Model!$A$2:$A$9,0)),0),IFERROR(INDEX(Weekly_Model!$D$2:$D$9,MATCH(F349,Weekly_Model!$A$2:$A$9,0)),0),IFERROR(INDEX(Weekly_Model!$D$2:$D$9,MATCH(F350,Weekly_Model!$A$2:$A$9,0)),0)),IF(VLOOKUP($A347,Calendar!$A$1:$R$1377,18,0)=5,SUM(IFERROR(INDEX(Weekly_Model!$D$2:$D$9,MATCH(F347,Weekly_Model!$A$2:$A$9,0)),0),IFERROR(INDEX(Weekly_Model!$D$2:$D$9,MATCH(F348,Weekly_Model!$A$2:$A$9,0)),0),IFERROR(INDEX(Weekly_Model!$D$2:$D$9,MATCH(F349,Weekly_Model!$A$2:$A$9,0)),0),IFERROR(INDEX(Weekly_Model!$D$2:$D$9,MATCH(F350,Weekly_Model!$A$2:$A$9,0)),0),IFERROR(INDEX(Weekly_Model!$D$2:$D$9,MATCH(F351,Weekly_Model!$A$2:$A$9,0)),0)),0))))))</f>
        <v>2.3200000000000002E-2</v>
      </c>
      <c r="L347" s="27">
        <f>IF(VLOOKUP($A347,Calendar!$A$1:$R$1377,18,0)=0,0,IF(VLOOKUP($A347,Calendar!$A$1:$R$1377,18,0)=1,IFERROR(INDEX(Fortnightly_Model!$D$2:$D$15,MATCH(G347,Fortnightly_Model!$B$2:$B$15,0)),0),IF(VLOOKUP($A347,Calendar!$A$1:$R$1377,18,0)=2,SUM(IFERROR(INDEX(Fortnightly_Model!$D$2:$D$15,MATCH(G347,Fortnightly_Model!$B$2:$B$15,0)),0),IFERROR(INDEX(Fortnightly_Model!$D$2:$D$15,MATCH(G348,Fortnightly_Model!$B$2:$B$15,0)),0)),IF(VLOOKUP($A347,Calendar!$A$1:$R$1377,18,0)=3,SUM(IFERROR(INDEX(Fortnightly_Model!$D$2:$D$15,MATCH(G347,Fortnightly_Model!$B$2:$B$15,0)),0),IFERROR(INDEX(Fortnightly_Model!$D$2:$D$15,MATCH(G348,Fortnightly_Model!$B$2:$B$15,0)),0),IFERROR(INDEX(Fortnightly_Model!$D$2:$D$15,MATCH(G349,Fortnightly_Model!$B$2:$B$15,0)),0)),IF(VLOOKUP($A347,Calendar!$A$1:$R$1377,18,0)=4,SUM(IFERROR(INDEX(Fortnightly_Model!$D$2:$D$15,MATCH(G347,Fortnightly_Model!$B$2:$B$15,0)),0),IFERROR(INDEX(Fortnightly_Model!$D$2:$D$15,MATCH(G348,Fortnightly_Model!$B$2:$B$15,0)),0),IFERROR(INDEX(Fortnightly_Model!$D$2:$D$15,MATCH(G349,Fortnightly_Model!$B$2:$B$15,0)),0),IFERROR(INDEX(Fortnightly_Model!$D$2:$D$15,MATCH(G350,Fortnightly_Model!$B$2:$B$15,0)),0)),IF(VLOOKUP($A347,Calendar!$A$1:$R$1377,18,0)=5,SUM(IFERROR(INDEX(Fortnightly_Model!$D$2:$D$15,MATCH(G347,Fortnightly_Model!$B$2:$B$15,0)),0),IFERROR(INDEX(Fortnightly_Model!$D$2:$D$15,MATCH(G348,Fortnightly_Model!$B$2:$B$15,0)),0),IFERROR(INDEX(Fortnightly_Model!$D$2:$D$15,MATCH(G349,Fortnightly_Model!$B$2:$B$15,0)),0),IFERROR(INDEX(Fortnightly_Model!$D$2:$D$15,MATCH(G350,Fortnightly_Model!$B$2:$B$15,0)),0),IFERROR(INDEX(Fortnightly_Model!$D$2:$D$15,MATCH(G351,Fortnightly_Model!$B$2:$B$15,0)),0)),0))))))</f>
        <v>1.0714285499999999E-3</v>
      </c>
      <c r="M347" s="27">
        <f>IF(VLOOKUP($A347,Calendar!$A$1:$R$1377,18,0)=0,0,IF(VLOOKUP($A347,Calendar!$A$1:$R$1377,18,0)=1,IFERROR(INDEX(FourWeekly_Model!$D$2:$D$29,MATCH(H347,FourWeekly_Model!$B$2:$B$29,0)),0),IF(VLOOKUP($A347,Calendar!$A$1:$R$1377,18,0)=2,SUM(IFERROR(INDEX(FourWeekly_Model!$D$2:$D$29,MATCH(H347,FourWeekly_Model!$B$2:$B$29,0)),0),IFERROR(INDEX(FourWeekly_Model!$D$2:$D$29,MATCH(H348,FourWeekly_Model!$B$2:$B$29,0)),0)),IF(VLOOKUP($A347,Calendar!$A$1:$R$1377,18,0)=3,SUM(IFERROR(INDEX(FourWeekly_Model!$D$2:$D$29,MATCH(H347,FourWeekly_Model!$B$2:$B$29,0)),0),IFERROR(INDEX(FourWeekly_Model!$D$2:$D$29,MATCH(H348,FourWeekly_Model!$B$2:$B$29,0)),0),IFERROR(INDEX(FourWeekly_Model!$D$2:$D$29,MATCH(H349,FourWeekly_Model!$B$2:$B$29,0)),0)),IF(VLOOKUP($A347,Calendar!$A$1:$R$1377,18,0)=4,SUM(IFERROR(INDEX(FourWeekly_Model!$D$2:$D$29,MATCH(H347,FourWeekly_Model!$B$2:$B$29,0)),0),IFERROR(INDEX(FourWeekly_Model!$D$2:$D$29,MATCH(H348,FourWeekly_Model!$B$2:$B$29,0)),0),IFERROR(INDEX(FourWeekly_Model!$D$2:$D$29,MATCH(H349,FourWeekly_Model!$B$2:$B$29,0)),0),IFERROR(INDEX(FourWeekly_Model!$D$2:$D$29,MATCH(H350,FourWeekly_Model!$B$2:$B$29,0)),0)),IF(VLOOKUP($A347,Calendar!$A$1:$R$1377,18,0)=5,SUM(IFERROR(INDEX(FourWeekly_Model!$D$2:$D$29,MATCH(H347,FourWeekly_Model!$B$2:$B$29,0)),0),IFERROR(INDEX(FourWeekly_Model!$D$2:$D$29,MATCH(H348,FourWeekly_Model!$B$2:$B$29,0)),0),IFERROR(INDEX(FourWeekly_Model!$D$2:$D$29,MATCH(H349,FourWeekly_Model!$B$2:$B$29,0)),0),IFERROR(INDEX(FourWeekly_Model!$D$2:$D$29,MATCH(H350,FourWeekly_Model!$B$2:$B$29,0)),0),IFERROR(INDEX(FourWeekly_Model!$D$2:$D$29,MATCH(H351,FourWeekly_Model!$B$2:$B$29,0)),0)),0))))))</f>
        <v>3.3214289700000004E-3</v>
      </c>
      <c r="N347" s="27">
        <f>SUM(I347:M347)</f>
        <v>2.921798841005236E-2</v>
      </c>
      <c r="O347" s="28">
        <f>Population_Data!$B$8*N347</f>
        <v>885305.04882458656</v>
      </c>
      <c r="P347" s="27">
        <f>IF(VLOOKUP($A347,Calendar!$A$1:$R$1377,18,0)=0,0,IF(VLOOKUP($A347,Calendar!$A$1:$R$1377,18,0)=1,IFERROR(INDEX(Pension_Model!$D$2:$D$29,MATCH(H347,Pension_Model!$B$2:$B$29,0)),0),IF(VLOOKUP($A347,Calendar!$A$1:$R$1377,18,0)=2,SUM(IFERROR(INDEX(Pension_Model!$D$2:$D$29,MATCH(H347,Pension_Model!$B$2:$B$29,0)),0),IFERROR(INDEX(Pension_Model!$D$2:$D$29,MATCH(H348,Pension_Model!$B$2:$B$29,0)),0)),IF(VLOOKUP($A347,Calendar!$A$1:$R$1377,18,0)=3,SUM(IFERROR(INDEX(Pension_Model!$D$2:$D$29,MATCH(H347,Pension_Model!$B$2:$B$29,0)),0),IFERROR(INDEX(Pension_Model!$D$2:$D$29,MATCH(H348,Pension_Model!$B$2:$B$29,0)),0),IFERROR(INDEX(Pension_Model!$D$2:$D$29,MATCH(H349,Pension_Model!$B$2:$B$29,0)),0)),IF(VLOOKUP($A347,Calendar!$A$1:$R$1377,18,0)=4,SUM(IFERROR(INDEX(Pension_Model!$D$2:$D$29,MATCH(H347,Pension_Model!$B$2:$B$29,0)),0),IFERROR(INDEX(Pension_Model!$D$2:$D$29,MATCH(H348,Pension_Model!$B$2:$B$29,0)),0),IFERROR(INDEX(Pension_Model!$D$2:$D$29,MATCH(H349,Pension_Model!$B$2:$B$29,0)),0),IFERROR(INDEX(Pension_Model!$D$2:$D$29,MATCH(H350,Pension_Model!$B$2:$B$29,0)),0)),IF(VLOOKUP($A347,Calendar!$A$1:$R$1377,18,0)=5,SUM(IFERROR(INDEX(Pension_Model!$D$2:$D$29,MATCH(H347,Pension_Model!$B$2:$B$29,0)),0),IFERROR(INDEX(Pension_Model!$D$2:$D$29,MATCH(H348,Pension_Model!$B$2:$B$29,0)),0),IFERROR(INDEX(Pension_Model!$D$2:$D$29,MATCH(H349,Pension_Model!$B$2:$B$29,0)),0),IFERROR(INDEX(Pension_Model!$D$2:$D$29,MATCH(H350,Pension_Model!$B$2:$B$29,0)),0),IFERROR(INDEX(Pension_Model!$D$2:$D$29,MATCH(H351,Pension_Model!$B$2:$B$29,0)),0)),0))))))</f>
        <v>0.05</v>
      </c>
      <c r="Q347" s="28">
        <f>Population_Data!$B$15*P347</f>
        <v>660600</v>
      </c>
      <c r="S347">
        <f t="shared" si="5"/>
        <v>1545905.0488245864</v>
      </c>
      <c r="U347" s="33">
        <f>S347/Population_Data!$B$19</f>
        <v>2.8005526246822218E-2</v>
      </c>
    </row>
    <row r="348" spans="1:21">
      <c r="A348" s="25">
        <f>Calendar!A348</f>
        <v>46581</v>
      </c>
      <c r="B348" t="str">
        <f>Calendar!L348</f>
        <v>Yes</v>
      </c>
      <c r="C348" t="str">
        <f>Calendar!O348</f>
        <v>No</v>
      </c>
      <c r="D348" t="str">
        <f>Calendar!P348</f>
        <v>No</v>
      </c>
      <c r="E348" t="str">
        <f>Calendar!Q348</f>
        <v>No</v>
      </c>
      <c r="F348" t="str">
        <f>Calendar!I348</f>
        <v>Tuesday</v>
      </c>
      <c r="G348">
        <f>Calendar!S348</f>
        <v>3</v>
      </c>
      <c r="H348">
        <f>Calendar!T348</f>
        <v>17</v>
      </c>
      <c r="I348" s="27">
        <f>IF(VLOOKUP(A348,Calendar!$A$1:$R$1377,18,0)=0,0,IF(VLOOKUP(A348,Calendar!$A$1:$R$1377,18,0)=1,INDEX(Monthly_Pay_Model!$A$9:$D$40,MATCH(TEXT(A348,"dd"),Monthly_Pay_Model!$C$9:$C$39,0),4),IF(VLOOKUP(A348,Calendar!$A$1:$R$1377,18,0)=2,SUM(INDEX(Monthly_Pay_Model!$A$9:$D$40,MATCH(TEXT(A348,"dd"),Monthly_Pay_Model!$C$9:$C$39,0),4),INDEX(Monthly_Pay_Model!$A$9:$D$40,MATCH(TEXT(A349,"dd"),Monthly_Pay_Model!$C$9:$C$39,0),4)),IF(VLOOKUP(A348,Calendar!$A$1:$R$1377,18,0)=3,SUM(INDEX(Monthly_Pay_Model!$A$9:$D$40,MATCH(TEXT(A348,"dd"),Monthly_Pay_Model!$C$9:$C$39,0),4),INDEX(Monthly_Pay_Model!$A$9:$D$40,MATCH(TEXT(A349,"dd"),Monthly_Pay_Model!$C$9:$C$39,0),4),INDEX(Monthly_Pay_Model!$A$9:$D$40,MATCH(TEXT(A350,"dd"),Monthly_Pay_Model!$C$9:$C$39,0),4)),IF(VLOOKUP(A348,Calendar!$A$1:$R$1377,18,0)=4,SUM(INDEX(Monthly_Pay_Model!$A$9:$D$40,MATCH(TEXT(A348,"dd"),Monthly_Pay_Model!$C$9:$C$39,0),4),INDEX(Monthly_Pay_Model!$A$9:$D$40,MATCH(TEXT(A349,"dd"),Monthly_Pay_Model!$C$9:$C$39,0),4),INDEX(Monthly_Pay_Model!$A$9:$D$40,MATCH(TEXT(A350,"dd"),Monthly_Pay_Model!$C$9:$C$39,0),4),INDEX(Monthly_Pay_Model!$A$9:$D$40,MATCH(TEXT(A351,"dd"),Monthly_Pay_Model!$C$9:$C$39,0),4)),IF(VLOOKUP(A348,Calendar!$A$1:$R$1377,18,0)=5,SUM(INDEX(Monthly_Pay_Model!$A$9:$D$40,MATCH(TEXT(A348,"dd"),Monthly_Pay_Model!$C$9:$C$39,0),4),INDEX(Monthly_Pay_Model!$A$9:$D$40,MATCH(TEXT(A349,"dd"),Monthly_Pay_Model!$C$9:$C$39,0),4),INDEX(Monthly_Pay_Model!$A$9:$D$40,MATCH(TEXT(A350,"dd"),Monthly_Pay_Model!$C$9:$C$39,0),4),INDEX(Monthly_Pay_Model!$A$9:$D$40,MATCH(TEXT(A351,"dd"),Monthly_Pay_Model!$C$9:$C$39,0),4),INDEX(Monthly_Pay_Model!$A$9:$D$40,MATCH(TEXT(A352,"dd"),Monthly_Pay_Model!$C$9:$C$39,0),4)),))))))</f>
        <v>8.1256544502617792E-4</v>
      </c>
      <c r="J348" s="33">
        <f>IF(C348="Yes",Monthly_Pay_Model!$D$2,0)
+IF(Calendar!N348="Yes",Monthly_Pay_Model!$D$3,0)
+IF(D348="Yes",Monthly_Pay_Model!$D$4,0)
+IF(E348="Yes",Monthly_Pay_Model!$D$5,0)</f>
        <v>0</v>
      </c>
      <c r="K348" s="27">
        <f>IF(VLOOKUP($A348,Calendar!$A$1:$R$1377,18,0)=0,0,IF(VLOOKUP($A348,Calendar!$A$1:$R$1377,18,0)=1,IFERROR(INDEX(Weekly_Model!$D$2:$D$9,MATCH(F348,Weekly_Model!$A$2:$A$9,0)),0),IF(VLOOKUP($A348,Calendar!$A$1:$R$1377,18,0)=2,SUM(IFERROR(INDEX(Weekly_Model!$D$2:$D$9,MATCH(F348,Weekly_Model!$A$2:$A$9,0)),0),IFERROR(INDEX(Weekly_Model!$D$2:$D$9,MATCH(F349,Weekly_Model!$A$2:$A$9,0)),0)),IF(VLOOKUP($A348,Calendar!$A$1:$R$1377,18,0)=3,SUM(IFERROR(INDEX(Weekly_Model!$D$2:$D$9,MATCH(F348,Weekly_Model!$A$2:$A$9,0)),0),IFERROR(INDEX(Weekly_Model!$D$2:$D$9,MATCH(F349,Weekly_Model!$A$2:$A$9,0)),0),IFERROR(INDEX(Weekly_Model!$D$2:$D$9,MATCH(F350,Weekly_Model!$A$2:$A$9,0)),0)),IF(VLOOKUP($A348,Calendar!$A$1:$R$1377,18,0)=4,SUM(IFERROR(INDEX(Weekly_Model!$D$2:$D$9,MATCH(F348,Weekly_Model!$A$2:$A$9,0)),0),IFERROR(INDEX(Weekly_Model!$D$2:$D$9,MATCH(F349,Weekly_Model!$A$2:$A$9,0)),0),IFERROR(INDEX(Weekly_Model!$D$2:$D$9,MATCH(F350,Weekly_Model!$A$2:$A$9,0)),0),IFERROR(INDEX(Weekly_Model!$D$2:$D$9,MATCH(F351,Weekly_Model!$A$2:$A$9,0)),0)),IF(VLOOKUP($A348,Calendar!$A$1:$R$1377,18,0)=5,SUM(IFERROR(INDEX(Weekly_Model!$D$2:$D$9,MATCH(F348,Weekly_Model!$A$2:$A$9,0)),0),IFERROR(INDEX(Weekly_Model!$D$2:$D$9,MATCH(F349,Weekly_Model!$A$2:$A$9,0)),0),IFERROR(INDEX(Weekly_Model!$D$2:$D$9,MATCH(F350,Weekly_Model!$A$2:$A$9,0)),0),IFERROR(INDEX(Weekly_Model!$D$2:$D$9,MATCH(F351,Weekly_Model!$A$2:$A$9,0)),0),IFERROR(INDEX(Weekly_Model!$D$2:$D$9,MATCH(F352,Weekly_Model!$A$2:$A$9,0)),0)),0))))))</f>
        <v>2.3200000000000002E-2</v>
      </c>
      <c r="L348" s="27">
        <f>IF(VLOOKUP($A348,Calendar!$A$1:$R$1377,18,0)=0,0,IF(VLOOKUP($A348,Calendar!$A$1:$R$1377,18,0)=1,IFERROR(INDEX(Fortnightly_Model!$D$2:$D$15,MATCH(G348,Fortnightly_Model!$B$2:$B$15,0)),0),IF(VLOOKUP($A348,Calendar!$A$1:$R$1377,18,0)=2,SUM(IFERROR(INDEX(Fortnightly_Model!$D$2:$D$15,MATCH(G348,Fortnightly_Model!$B$2:$B$15,0)),0),IFERROR(INDEX(Fortnightly_Model!$D$2:$D$15,MATCH(G349,Fortnightly_Model!$B$2:$B$15,0)),0)),IF(VLOOKUP($A348,Calendar!$A$1:$R$1377,18,0)=3,SUM(IFERROR(INDEX(Fortnightly_Model!$D$2:$D$15,MATCH(G348,Fortnightly_Model!$B$2:$B$15,0)),0),IFERROR(INDEX(Fortnightly_Model!$D$2:$D$15,MATCH(G349,Fortnightly_Model!$B$2:$B$15,0)),0),IFERROR(INDEX(Fortnightly_Model!$D$2:$D$15,MATCH(G350,Fortnightly_Model!$B$2:$B$15,0)),0)),IF(VLOOKUP($A348,Calendar!$A$1:$R$1377,18,0)=4,SUM(IFERROR(INDEX(Fortnightly_Model!$D$2:$D$15,MATCH(G348,Fortnightly_Model!$B$2:$B$15,0)),0),IFERROR(INDEX(Fortnightly_Model!$D$2:$D$15,MATCH(G349,Fortnightly_Model!$B$2:$B$15,0)),0),IFERROR(INDEX(Fortnightly_Model!$D$2:$D$15,MATCH(G350,Fortnightly_Model!$B$2:$B$15,0)),0),IFERROR(INDEX(Fortnightly_Model!$D$2:$D$15,MATCH(G351,Fortnightly_Model!$B$2:$B$15,0)),0)),IF(VLOOKUP($A348,Calendar!$A$1:$R$1377,18,0)=5,SUM(IFERROR(INDEX(Fortnightly_Model!$D$2:$D$15,MATCH(G348,Fortnightly_Model!$B$2:$B$15,0)),0),IFERROR(INDEX(Fortnightly_Model!$D$2:$D$15,MATCH(G349,Fortnightly_Model!$B$2:$B$15,0)),0),IFERROR(INDEX(Fortnightly_Model!$D$2:$D$15,MATCH(G350,Fortnightly_Model!$B$2:$B$15,0)),0),IFERROR(INDEX(Fortnightly_Model!$D$2:$D$15,MATCH(G351,Fortnightly_Model!$B$2:$B$15,0)),0),IFERROR(INDEX(Fortnightly_Model!$D$2:$D$15,MATCH(G352,Fortnightly_Model!$B$2:$B$15,0)),0)),0))))))</f>
        <v>1.0714285499999999E-3</v>
      </c>
      <c r="M348" s="27">
        <f>IF(VLOOKUP($A348,Calendar!$A$1:$R$1377,18,0)=0,0,IF(VLOOKUP($A348,Calendar!$A$1:$R$1377,18,0)=1,IFERROR(INDEX(FourWeekly_Model!$D$2:$D$29,MATCH(H348,FourWeekly_Model!$B$2:$B$29,0)),0),IF(VLOOKUP($A348,Calendar!$A$1:$R$1377,18,0)=2,SUM(IFERROR(INDEX(FourWeekly_Model!$D$2:$D$29,MATCH(H348,FourWeekly_Model!$B$2:$B$29,0)),0),IFERROR(INDEX(FourWeekly_Model!$D$2:$D$29,MATCH(H349,FourWeekly_Model!$B$2:$B$29,0)),0)),IF(VLOOKUP($A348,Calendar!$A$1:$R$1377,18,0)=3,SUM(IFERROR(INDEX(FourWeekly_Model!$D$2:$D$29,MATCH(H348,FourWeekly_Model!$B$2:$B$29,0)),0),IFERROR(INDEX(FourWeekly_Model!$D$2:$D$29,MATCH(H349,FourWeekly_Model!$B$2:$B$29,0)),0),IFERROR(INDEX(FourWeekly_Model!$D$2:$D$29,MATCH(H350,FourWeekly_Model!$B$2:$B$29,0)),0)),IF(VLOOKUP($A348,Calendar!$A$1:$R$1377,18,0)=4,SUM(IFERROR(INDEX(FourWeekly_Model!$D$2:$D$29,MATCH(H348,FourWeekly_Model!$B$2:$B$29,0)),0),IFERROR(INDEX(FourWeekly_Model!$D$2:$D$29,MATCH(H349,FourWeekly_Model!$B$2:$B$29,0)),0),IFERROR(INDEX(FourWeekly_Model!$D$2:$D$29,MATCH(H350,FourWeekly_Model!$B$2:$B$29,0)),0),IFERROR(INDEX(FourWeekly_Model!$D$2:$D$29,MATCH(H351,FourWeekly_Model!$B$2:$B$29,0)),0)),IF(VLOOKUP($A348,Calendar!$A$1:$R$1377,18,0)=5,SUM(IFERROR(INDEX(FourWeekly_Model!$D$2:$D$29,MATCH(H348,FourWeekly_Model!$B$2:$B$29,0)),0),IFERROR(INDEX(FourWeekly_Model!$D$2:$D$29,MATCH(H349,FourWeekly_Model!$B$2:$B$29,0)),0),IFERROR(INDEX(FourWeekly_Model!$D$2:$D$29,MATCH(H350,FourWeekly_Model!$B$2:$B$29,0)),0),IFERROR(INDEX(FourWeekly_Model!$D$2:$D$29,MATCH(H351,FourWeekly_Model!$B$2:$B$29,0)),0),IFERROR(INDEX(FourWeekly_Model!$D$2:$D$29,MATCH(H352,FourWeekly_Model!$B$2:$B$29,0)),0)),0))))))</f>
        <v>3.3214289700000004E-3</v>
      </c>
      <c r="N348" s="27">
        <f>SUM(I348:M348)</f>
        <v>2.840542296502618E-2</v>
      </c>
      <c r="O348" s="28">
        <f>Population_Data!$B$8*N348</f>
        <v>860684.3158402933</v>
      </c>
      <c r="P348" s="27">
        <f>IF(VLOOKUP($A348,Calendar!$A$1:$R$1377,18,0)=0,0,IF(VLOOKUP($A348,Calendar!$A$1:$R$1377,18,0)=1,IFERROR(INDEX(Pension_Model!$D$2:$D$29,MATCH(H348,Pension_Model!$B$2:$B$29,0)),0),IF(VLOOKUP($A348,Calendar!$A$1:$R$1377,18,0)=2,SUM(IFERROR(INDEX(Pension_Model!$D$2:$D$29,MATCH(H348,Pension_Model!$B$2:$B$29,0)),0),IFERROR(INDEX(Pension_Model!$D$2:$D$29,MATCH(H349,Pension_Model!$B$2:$B$29,0)),0)),IF(VLOOKUP($A348,Calendar!$A$1:$R$1377,18,0)=3,SUM(IFERROR(INDEX(Pension_Model!$D$2:$D$29,MATCH(H348,Pension_Model!$B$2:$B$29,0)),0),IFERROR(INDEX(Pension_Model!$D$2:$D$29,MATCH(H349,Pension_Model!$B$2:$B$29,0)),0),IFERROR(INDEX(Pension_Model!$D$2:$D$29,MATCH(H350,Pension_Model!$B$2:$B$29,0)),0)),IF(VLOOKUP($A348,Calendar!$A$1:$R$1377,18,0)=4,SUM(IFERROR(INDEX(Pension_Model!$D$2:$D$29,MATCH(H348,Pension_Model!$B$2:$B$29,0)),0),IFERROR(INDEX(Pension_Model!$D$2:$D$29,MATCH(H349,Pension_Model!$B$2:$B$29,0)),0),IFERROR(INDEX(Pension_Model!$D$2:$D$29,MATCH(H350,Pension_Model!$B$2:$B$29,0)),0),IFERROR(INDEX(Pension_Model!$D$2:$D$29,MATCH(H351,Pension_Model!$B$2:$B$29,0)),0)),IF(VLOOKUP($A348,Calendar!$A$1:$R$1377,18,0)=5,SUM(IFERROR(INDEX(Pension_Model!$D$2:$D$29,MATCH(H348,Pension_Model!$B$2:$B$29,0)),0),IFERROR(INDEX(Pension_Model!$D$2:$D$29,MATCH(H349,Pension_Model!$B$2:$B$29,0)),0),IFERROR(INDEX(Pension_Model!$D$2:$D$29,MATCH(H350,Pension_Model!$B$2:$B$29,0)),0),IFERROR(INDEX(Pension_Model!$D$2:$D$29,MATCH(H351,Pension_Model!$B$2:$B$29,0)),0),IFERROR(INDEX(Pension_Model!$D$2:$D$29,MATCH(H352,Pension_Model!$B$2:$B$29,0)),0)),0))))))</f>
        <v>0.05</v>
      </c>
      <c r="Q348" s="28">
        <f>Population_Data!$B$15*P348</f>
        <v>660600</v>
      </c>
      <c r="S348">
        <f t="shared" si="5"/>
        <v>1521284.3158402932</v>
      </c>
      <c r="U348" s="33">
        <f>S348/Population_Data!$B$19</f>
        <v>2.7559498475367629E-2</v>
      </c>
    </row>
    <row r="349" spans="1:21">
      <c r="A349" s="25">
        <f>Calendar!A349</f>
        <v>46582</v>
      </c>
      <c r="B349" t="str">
        <f>Calendar!L349</f>
        <v>Yes</v>
      </c>
      <c r="C349" t="str">
        <f>Calendar!O349</f>
        <v>No</v>
      </c>
      <c r="D349" t="str">
        <f>Calendar!P349</f>
        <v>No</v>
      </c>
      <c r="E349" t="str">
        <f>Calendar!Q349</f>
        <v>No</v>
      </c>
      <c r="F349" t="str">
        <f>Calendar!I349</f>
        <v>Wednesday</v>
      </c>
      <c r="G349">
        <f>Calendar!S349</f>
        <v>4</v>
      </c>
      <c r="H349">
        <f>Calendar!T349</f>
        <v>18</v>
      </c>
      <c r="I349" s="27">
        <f>IF(VLOOKUP(A349,Calendar!$A$1:$R$1377,18,0)=0,0,IF(VLOOKUP(A349,Calendar!$A$1:$R$1377,18,0)=1,INDEX(Monthly_Pay_Model!$A$9:$D$40,MATCH(TEXT(A349,"dd"),Monthly_Pay_Model!$C$9:$C$39,0),4),IF(VLOOKUP(A349,Calendar!$A$1:$R$1377,18,0)=2,SUM(INDEX(Monthly_Pay_Model!$A$9:$D$40,MATCH(TEXT(A349,"dd"),Monthly_Pay_Model!$C$9:$C$39,0),4),INDEX(Monthly_Pay_Model!$A$9:$D$40,MATCH(TEXT(A350,"dd"),Monthly_Pay_Model!$C$9:$C$39,0),4)),IF(VLOOKUP(A349,Calendar!$A$1:$R$1377,18,0)=3,SUM(INDEX(Monthly_Pay_Model!$A$9:$D$40,MATCH(TEXT(A349,"dd"),Monthly_Pay_Model!$C$9:$C$39,0),4),INDEX(Monthly_Pay_Model!$A$9:$D$40,MATCH(TEXT(A350,"dd"),Monthly_Pay_Model!$C$9:$C$39,0),4),INDEX(Monthly_Pay_Model!$A$9:$D$40,MATCH(TEXT(A351,"dd"),Monthly_Pay_Model!$C$9:$C$39,0),4)),IF(VLOOKUP(A349,Calendar!$A$1:$R$1377,18,0)=4,SUM(INDEX(Monthly_Pay_Model!$A$9:$D$40,MATCH(TEXT(A349,"dd"),Monthly_Pay_Model!$C$9:$C$39,0),4),INDEX(Monthly_Pay_Model!$A$9:$D$40,MATCH(TEXT(A350,"dd"),Monthly_Pay_Model!$C$9:$C$39,0),4),INDEX(Monthly_Pay_Model!$A$9:$D$40,MATCH(TEXT(A351,"dd"),Monthly_Pay_Model!$C$9:$C$39,0),4),INDEX(Monthly_Pay_Model!$A$9:$D$40,MATCH(TEXT(A352,"dd"),Monthly_Pay_Model!$C$9:$C$39,0),4)),IF(VLOOKUP(A349,Calendar!$A$1:$R$1377,18,0)=5,SUM(INDEX(Monthly_Pay_Model!$A$9:$D$40,MATCH(TEXT(A349,"dd"),Monthly_Pay_Model!$C$9:$C$39,0),4),INDEX(Monthly_Pay_Model!$A$9:$D$40,MATCH(TEXT(A350,"dd"),Monthly_Pay_Model!$C$9:$C$39,0),4),INDEX(Monthly_Pay_Model!$A$9:$D$40,MATCH(TEXT(A351,"dd"),Monthly_Pay_Model!$C$9:$C$39,0),4),INDEX(Monthly_Pay_Model!$A$9:$D$40,MATCH(TEXT(A352,"dd"),Monthly_Pay_Model!$C$9:$C$39,0),4),INDEX(Monthly_Pay_Model!$A$9:$D$40,MATCH(TEXT(A353,"dd"),Monthly_Pay_Model!$C$9:$C$39,0),4)),))))))</f>
        <v>8.1256544502617792E-4</v>
      </c>
      <c r="J349" s="33">
        <f>IF(C349="Yes",Monthly_Pay_Model!$D$2,0)
+IF(Calendar!N349="Yes",Monthly_Pay_Model!$D$3,0)
+IF(D349="Yes",Monthly_Pay_Model!$D$4,0)
+IF(E349="Yes",Monthly_Pay_Model!$D$5,0)</f>
        <v>0</v>
      </c>
      <c r="K349" s="27">
        <f>IF(VLOOKUP($A349,Calendar!$A$1:$R$1377,18,0)=0,0,IF(VLOOKUP($A349,Calendar!$A$1:$R$1377,18,0)=1,IFERROR(INDEX(Weekly_Model!$D$2:$D$9,MATCH(F349,Weekly_Model!$A$2:$A$9,0)),0),IF(VLOOKUP($A349,Calendar!$A$1:$R$1377,18,0)=2,SUM(IFERROR(INDEX(Weekly_Model!$D$2:$D$9,MATCH(F349,Weekly_Model!$A$2:$A$9,0)),0),IFERROR(INDEX(Weekly_Model!$D$2:$D$9,MATCH(F350,Weekly_Model!$A$2:$A$9,0)),0)),IF(VLOOKUP($A349,Calendar!$A$1:$R$1377,18,0)=3,SUM(IFERROR(INDEX(Weekly_Model!$D$2:$D$9,MATCH(F349,Weekly_Model!$A$2:$A$9,0)),0),IFERROR(INDEX(Weekly_Model!$D$2:$D$9,MATCH(F350,Weekly_Model!$A$2:$A$9,0)),0),IFERROR(INDEX(Weekly_Model!$D$2:$D$9,MATCH(F351,Weekly_Model!$A$2:$A$9,0)),0)),IF(VLOOKUP($A349,Calendar!$A$1:$R$1377,18,0)=4,SUM(IFERROR(INDEX(Weekly_Model!$D$2:$D$9,MATCH(F349,Weekly_Model!$A$2:$A$9,0)),0),IFERROR(INDEX(Weekly_Model!$D$2:$D$9,MATCH(F350,Weekly_Model!$A$2:$A$9,0)),0),IFERROR(INDEX(Weekly_Model!$D$2:$D$9,MATCH(F351,Weekly_Model!$A$2:$A$9,0)),0),IFERROR(INDEX(Weekly_Model!$D$2:$D$9,MATCH(F352,Weekly_Model!$A$2:$A$9,0)),0)),IF(VLOOKUP($A349,Calendar!$A$1:$R$1377,18,0)=5,SUM(IFERROR(INDEX(Weekly_Model!$D$2:$D$9,MATCH(F349,Weekly_Model!$A$2:$A$9,0)),0),IFERROR(INDEX(Weekly_Model!$D$2:$D$9,MATCH(F350,Weekly_Model!$A$2:$A$9,0)),0),IFERROR(INDEX(Weekly_Model!$D$2:$D$9,MATCH(F351,Weekly_Model!$A$2:$A$9,0)),0),IFERROR(INDEX(Weekly_Model!$D$2:$D$9,MATCH(F352,Weekly_Model!$A$2:$A$9,0)),0),IFERROR(INDEX(Weekly_Model!$D$2:$D$9,MATCH(F353,Weekly_Model!$A$2:$A$9,0)),0)),0))))))</f>
        <v>2.3200000000000002E-2</v>
      </c>
      <c r="L349" s="27">
        <f>IF(VLOOKUP($A349,Calendar!$A$1:$R$1377,18,0)=0,0,IF(VLOOKUP($A349,Calendar!$A$1:$R$1377,18,0)=1,IFERROR(INDEX(Fortnightly_Model!$D$2:$D$15,MATCH(G349,Fortnightly_Model!$B$2:$B$15,0)),0),IF(VLOOKUP($A349,Calendar!$A$1:$R$1377,18,0)=2,SUM(IFERROR(INDEX(Fortnightly_Model!$D$2:$D$15,MATCH(G349,Fortnightly_Model!$B$2:$B$15,0)),0),IFERROR(INDEX(Fortnightly_Model!$D$2:$D$15,MATCH(G350,Fortnightly_Model!$B$2:$B$15,0)),0)),IF(VLOOKUP($A349,Calendar!$A$1:$R$1377,18,0)=3,SUM(IFERROR(INDEX(Fortnightly_Model!$D$2:$D$15,MATCH(G349,Fortnightly_Model!$B$2:$B$15,0)),0),IFERROR(INDEX(Fortnightly_Model!$D$2:$D$15,MATCH(G350,Fortnightly_Model!$B$2:$B$15,0)),0),IFERROR(INDEX(Fortnightly_Model!$D$2:$D$15,MATCH(G351,Fortnightly_Model!$B$2:$B$15,0)),0)),IF(VLOOKUP($A349,Calendar!$A$1:$R$1377,18,0)=4,SUM(IFERROR(INDEX(Fortnightly_Model!$D$2:$D$15,MATCH(G349,Fortnightly_Model!$B$2:$B$15,0)),0),IFERROR(INDEX(Fortnightly_Model!$D$2:$D$15,MATCH(G350,Fortnightly_Model!$B$2:$B$15,0)),0),IFERROR(INDEX(Fortnightly_Model!$D$2:$D$15,MATCH(G351,Fortnightly_Model!$B$2:$B$15,0)),0),IFERROR(INDEX(Fortnightly_Model!$D$2:$D$15,MATCH(G352,Fortnightly_Model!$B$2:$B$15,0)),0)),IF(VLOOKUP($A349,Calendar!$A$1:$R$1377,18,0)=5,SUM(IFERROR(INDEX(Fortnightly_Model!$D$2:$D$15,MATCH(G349,Fortnightly_Model!$B$2:$B$15,0)),0),IFERROR(INDEX(Fortnightly_Model!$D$2:$D$15,MATCH(G350,Fortnightly_Model!$B$2:$B$15,0)),0),IFERROR(INDEX(Fortnightly_Model!$D$2:$D$15,MATCH(G351,Fortnightly_Model!$B$2:$B$15,0)),0),IFERROR(INDEX(Fortnightly_Model!$D$2:$D$15,MATCH(G352,Fortnightly_Model!$B$2:$B$15,0)),0),IFERROR(INDEX(Fortnightly_Model!$D$2:$D$15,MATCH(G353,Fortnightly_Model!$B$2:$B$15,0)),0)),0))))))</f>
        <v>1.0714285499999999E-3</v>
      </c>
      <c r="M349" s="27">
        <f>IF(VLOOKUP($A349,Calendar!$A$1:$R$1377,18,0)=0,0,IF(VLOOKUP($A349,Calendar!$A$1:$R$1377,18,0)=1,IFERROR(INDEX(FourWeekly_Model!$D$2:$D$29,MATCH(H349,FourWeekly_Model!$B$2:$B$29,0)),0),IF(VLOOKUP($A349,Calendar!$A$1:$R$1377,18,0)=2,SUM(IFERROR(INDEX(FourWeekly_Model!$D$2:$D$29,MATCH(H349,FourWeekly_Model!$B$2:$B$29,0)),0),IFERROR(INDEX(FourWeekly_Model!$D$2:$D$29,MATCH(H350,FourWeekly_Model!$B$2:$B$29,0)),0)),IF(VLOOKUP($A349,Calendar!$A$1:$R$1377,18,0)=3,SUM(IFERROR(INDEX(FourWeekly_Model!$D$2:$D$29,MATCH(H349,FourWeekly_Model!$B$2:$B$29,0)),0),IFERROR(INDEX(FourWeekly_Model!$D$2:$D$29,MATCH(H350,FourWeekly_Model!$B$2:$B$29,0)),0),IFERROR(INDEX(FourWeekly_Model!$D$2:$D$29,MATCH(H351,FourWeekly_Model!$B$2:$B$29,0)),0)),IF(VLOOKUP($A349,Calendar!$A$1:$R$1377,18,0)=4,SUM(IFERROR(INDEX(FourWeekly_Model!$D$2:$D$29,MATCH(H349,FourWeekly_Model!$B$2:$B$29,0)),0),IFERROR(INDEX(FourWeekly_Model!$D$2:$D$29,MATCH(H350,FourWeekly_Model!$B$2:$B$29,0)),0),IFERROR(INDEX(FourWeekly_Model!$D$2:$D$29,MATCH(H351,FourWeekly_Model!$B$2:$B$29,0)),0),IFERROR(INDEX(FourWeekly_Model!$D$2:$D$29,MATCH(H352,FourWeekly_Model!$B$2:$B$29,0)),0)),IF(VLOOKUP($A349,Calendar!$A$1:$R$1377,18,0)=5,SUM(IFERROR(INDEX(FourWeekly_Model!$D$2:$D$29,MATCH(H349,FourWeekly_Model!$B$2:$B$29,0)),0),IFERROR(INDEX(FourWeekly_Model!$D$2:$D$29,MATCH(H350,FourWeekly_Model!$B$2:$B$29,0)),0),IFERROR(INDEX(FourWeekly_Model!$D$2:$D$29,MATCH(H351,FourWeekly_Model!$B$2:$B$29,0)),0),IFERROR(INDEX(FourWeekly_Model!$D$2:$D$29,MATCH(H352,FourWeekly_Model!$B$2:$B$29,0)),0),IFERROR(INDEX(FourWeekly_Model!$D$2:$D$29,MATCH(H353,FourWeekly_Model!$B$2:$B$29,0)),0)),0))))))</f>
        <v>3.3214289700000004E-3</v>
      </c>
      <c r="N349" s="27">
        <f>SUM(I349:M349)</f>
        <v>2.840542296502618E-2</v>
      </c>
      <c r="O349" s="28">
        <f>Population_Data!$B$8*N349</f>
        <v>860684.3158402933</v>
      </c>
      <c r="P349" s="27">
        <f>IF(VLOOKUP($A349,Calendar!$A$1:$R$1377,18,0)=0,0,IF(VLOOKUP($A349,Calendar!$A$1:$R$1377,18,0)=1,IFERROR(INDEX(Pension_Model!$D$2:$D$29,MATCH(H349,Pension_Model!$B$2:$B$29,0)),0),IF(VLOOKUP($A349,Calendar!$A$1:$R$1377,18,0)=2,SUM(IFERROR(INDEX(Pension_Model!$D$2:$D$29,MATCH(H349,Pension_Model!$B$2:$B$29,0)),0),IFERROR(INDEX(Pension_Model!$D$2:$D$29,MATCH(H350,Pension_Model!$B$2:$B$29,0)),0)),IF(VLOOKUP($A349,Calendar!$A$1:$R$1377,18,0)=3,SUM(IFERROR(INDEX(Pension_Model!$D$2:$D$29,MATCH(H349,Pension_Model!$B$2:$B$29,0)),0),IFERROR(INDEX(Pension_Model!$D$2:$D$29,MATCH(H350,Pension_Model!$B$2:$B$29,0)),0),IFERROR(INDEX(Pension_Model!$D$2:$D$29,MATCH(H351,Pension_Model!$B$2:$B$29,0)),0)),IF(VLOOKUP($A349,Calendar!$A$1:$R$1377,18,0)=4,SUM(IFERROR(INDEX(Pension_Model!$D$2:$D$29,MATCH(H349,Pension_Model!$B$2:$B$29,0)),0),IFERROR(INDEX(Pension_Model!$D$2:$D$29,MATCH(H350,Pension_Model!$B$2:$B$29,0)),0),IFERROR(INDEX(Pension_Model!$D$2:$D$29,MATCH(H351,Pension_Model!$B$2:$B$29,0)),0),IFERROR(INDEX(Pension_Model!$D$2:$D$29,MATCH(H352,Pension_Model!$B$2:$B$29,0)),0)),IF(VLOOKUP($A349,Calendar!$A$1:$R$1377,18,0)=5,SUM(IFERROR(INDEX(Pension_Model!$D$2:$D$29,MATCH(H349,Pension_Model!$B$2:$B$29,0)),0),IFERROR(INDEX(Pension_Model!$D$2:$D$29,MATCH(H350,Pension_Model!$B$2:$B$29,0)),0),IFERROR(INDEX(Pension_Model!$D$2:$D$29,MATCH(H351,Pension_Model!$B$2:$B$29,0)),0),IFERROR(INDEX(Pension_Model!$D$2:$D$29,MATCH(H352,Pension_Model!$B$2:$B$29,0)),0),IFERROR(INDEX(Pension_Model!$D$2:$D$29,MATCH(H353,Pension_Model!$B$2:$B$29,0)),0)),0))))))</f>
        <v>0.05</v>
      </c>
      <c r="Q349" s="28">
        <f>Population_Data!$B$15*P349</f>
        <v>660600</v>
      </c>
      <c r="S349">
        <f t="shared" si="5"/>
        <v>1521284.3158402932</v>
      </c>
      <c r="U349" s="33">
        <f>S349/Population_Data!$B$19</f>
        <v>2.7559498475367629E-2</v>
      </c>
    </row>
    <row r="350" spans="1:21">
      <c r="A350" s="25">
        <f>Calendar!A350</f>
        <v>46583</v>
      </c>
      <c r="B350" t="str">
        <f>Calendar!L350</f>
        <v>Yes</v>
      </c>
      <c r="C350" t="str">
        <f>Calendar!O350</f>
        <v>No</v>
      </c>
      <c r="D350" t="str">
        <f>Calendar!P350</f>
        <v>No</v>
      </c>
      <c r="E350" t="str">
        <f>Calendar!Q350</f>
        <v>No</v>
      </c>
      <c r="F350" t="str">
        <f>Calendar!I350</f>
        <v>Thursday</v>
      </c>
      <c r="G350">
        <f>Calendar!S350</f>
        <v>5</v>
      </c>
      <c r="H350">
        <f>Calendar!T350</f>
        <v>19</v>
      </c>
      <c r="I350" s="27">
        <f>IF(VLOOKUP(A350,Calendar!$A$1:$R$1377,18,0)=0,0,IF(VLOOKUP(A350,Calendar!$A$1:$R$1377,18,0)=1,INDEX(Monthly_Pay_Model!$A$9:$D$40,MATCH(TEXT(A350,"dd"),Monthly_Pay_Model!$C$9:$C$39,0),4),IF(VLOOKUP(A350,Calendar!$A$1:$R$1377,18,0)=2,SUM(INDEX(Monthly_Pay_Model!$A$9:$D$40,MATCH(TEXT(A350,"dd"),Monthly_Pay_Model!$C$9:$C$39,0),4),INDEX(Monthly_Pay_Model!$A$9:$D$40,MATCH(TEXT(A351,"dd"),Monthly_Pay_Model!$C$9:$C$39,0),4)),IF(VLOOKUP(A350,Calendar!$A$1:$R$1377,18,0)=3,SUM(INDEX(Monthly_Pay_Model!$A$9:$D$40,MATCH(TEXT(A350,"dd"),Monthly_Pay_Model!$C$9:$C$39,0),4),INDEX(Monthly_Pay_Model!$A$9:$D$40,MATCH(TEXT(A351,"dd"),Monthly_Pay_Model!$C$9:$C$39,0),4),INDEX(Monthly_Pay_Model!$A$9:$D$40,MATCH(TEXT(A352,"dd"),Monthly_Pay_Model!$C$9:$C$39,0),4)),IF(VLOOKUP(A350,Calendar!$A$1:$R$1377,18,0)=4,SUM(INDEX(Monthly_Pay_Model!$A$9:$D$40,MATCH(TEXT(A350,"dd"),Monthly_Pay_Model!$C$9:$C$39,0),4),INDEX(Monthly_Pay_Model!$A$9:$D$40,MATCH(TEXT(A351,"dd"),Monthly_Pay_Model!$C$9:$C$39,0),4),INDEX(Monthly_Pay_Model!$A$9:$D$40,MATCH(TEXT(A352,"dd"),Monthly_Pay_Model!$C$9:$C$39,0),4),INDEX(Monthly_Pay_Model!$A$9:$D$40,MATCH(TEXT(A353,"dd"),Monthly_Pay_Model!$C$9:$C$39,0),4)),IF(VLOOKUP(A350,Calendar!$A$1:$R$1377,18,0)=5,SUM(INDEX(Monthly_Pay_Model!$A$9:$D$40,MATCH(TEXT(A350,"dd"),Monthly_Pay_Model!$C$9:$C$39,0),4),INDEX(Monthly_Pay_Model!$A$9:$D$40,MATCH(TEXT(A351,"dd"),Monthly_Pay_Model!$C$9:$C$39,0),4),INDEX(Monthly_Pay_Model!$A$9:$D$40,MATCH(TEXT(A352,"dd"),Monthly_Pay_Model!$C$9:$C$39,0),4),INDEX(Monthly_Pay_Model!$A$9:$D$40,MATCH(TEXT(A353,"dd"),Monthly_Pay_Model!$C$9:$C$39,0),4),INDEX(Monthly_Pay_Model!$A$9:$D$40,MATCH(TEXT(A354,"dd"),Monthly_Pay_Model!$C$9:$C$39,0),4)),))))))</f>
        <v>1.3001047120418847E-2</v>
      </c>
      <c r="J350" s="33">
        <f>IF(C350="Yes",Monthly_Pay_Model!$D$2,0)
+IF(Calendar!N350="Yes",Monthly_Pay_Model!$D$3,0)
+IF(D350="Yes",Monthly_Pay_Model!$D$4,0)
+IF(E350="Yes",Monthly_Pay_Model!$D$5,0)</f>
        <v>0</v>
      </c>
      <c r="K350" s="27">
        <f>IF(VLOOKUP($A350,Calendar!$A$1:$R$1377,18,0)=0,0,IF(VLOOKUP($A350,Calendar!$A$1:$R$1377,18,0)=1,IFERROR(INDEX(Weekly_Model!$D$2:$D$9,MATCH(F350,Weekly_Model!$A$2:$A$9,0)),0),IF(VLOOKUP($A350,Calendar!$A$1:$R$1377,18,0)=2,SUM(IFERROR(INDEX(Weekly_Model!$D$2:$D$9,MATCH(F350,Weekly_Model!$A$2:$A$9,0)),0),IFERROR(INDEX(Weekly_Model!$D$2:$D$9,MATCH(F351,Weekly_Model!$A$2:$A$9,0)),0)),IF(VLOOKUP($A350,Calendar!$A$1:$R$1377,18,0)=3,SUM(IFERROR(INDEX(Weekly_Model!$D$2:$D$9,MATCH(F350,Weekly_Model!$A$2:$A$9,0)),0),IFERROR(INDEX(Weekly_Model!$D$2:$D$9,MATCH(F351,Weekly_Model!$A$2:$A$9,0)),0),IFERROR(INDEX(Weekly_Model!$D$2:$D$9,MATCH(F352,Weekly_Model!$A$2:$A$9,0)),0)),IF(VLOOKUP($A350,Calendar!$A$1:$R$1377,18,0)=4,SUM(IFERROR(INDEX(Weekly_Model!$D$2:$D$9,MATCH(F350,Weekly_Model!$A$2:$A$9,0)),0),IFERROR(INDEX(Weekly_Model!$D$2:$D$9,MATCH(F351,Weekly_Model!$A$2:$A$9,0)),0),IFERROR(INDEX(Weekly_Model!$D$2:$D$9,MATCH(F352,Weekly_Model!$A$2:$A$9,0)),0),IFERROR(INDEX(Weekly_Model!$D$2:$D$9,MATCH(F353,Weekly_Model!$A$2:$A$9,0)),0)),IF(VLOOKUP($A350,Calendar!$A$1:$R$1377,18,0)=5,SUM(IFERROR(INDEX(Weekly_Model!$D$2:$D$9,MATCH(F350,Weekly_Model!$A$2:$A$9,0)),0),IFERROR(INDEX(Weekly_Model!$D$2:$D$9,MATCH(F351,Weekly_Model!$A$2:$A$9,0)),0),IFERROR(INDEX(Weekly_Model!$D$2:$D$9,MATCH(F352,Weekly_Model!$A$2:$A$9,0)),0),IFERROR(INDEX(Weekly_Model!$D$2:$D$9,MATCH(F353,Weekly_Model!$A$2:$A$9,0)),0),IFERROR(INDEX(Weekly_Model!$D$2:$D$9,MATCH(F354,Weekly_Model!$A$2:$A$9,0)),0)),0))))))</f>
        <v>2.3200000000000002E-2</v>
      </c>
      <c r="L350" s="27">
        <f>IF(VLOOKUP($A350,Calendar!$A$1:$R$1377,18,0)=0,0,IF(VLOOKUP($A350,Calendar!$A$1:$R$1377,18,0)=1,IFERROR(INDEX(Fortnightly_Model!$D$2:$D$15,MATCH(G350,Fortnightly_Model!$B$2:$B$15,0)),0),IF(VLOOKUP($A350,Calendar!$A$1:$R$1377,18,0)=2,SUM(IFERROR(INDEX(Fortnightly_Model!$D$2:$D$15,MATCH(G350,Fortnightly_Model!$B$2:$B$15,0)),0),IFERROR(INDEX(Fortnightly_Model!$D$2:$D$15,MATCH(G351,Fortnightly_Model!$B$2:$B$15,0)),0)),IF(VLOOKUP($A350,Calendar!$A$1:$R$1377,18,0)=3,SUM(IFERROR(INDEX(Fortnightly_Model!$D$2:$D$15,MATCH(G350,Fortnightly_Model!$B$2:$B$15,0)),0),IFERROR(INDEX(Fortnightly_Model!$D$2:$D$15,MATCH(G351,Fortnightly_Model!$B$2:$B$15,0)),0),IFERROR(INDEX(Fortnightly_Model!$D$2:$D$15,MATCH(G352,Fortnightly_Model!$B$2:$B$15,0)),0)),IF(VLOOKUP($A350,Calendar!$A$1:$R$1377,18,0)=4,SUM(IFERROR(INDEX(Fortnightly_Model!$D$2:$D$15,MATCH(G350,Fortnightly_Model!$B$2:$B$15,0)),0),IFERROR(INDEX(Fortnightly_Model!$D$2:$D$15,MATCH(G351,Fortnightly_Model!$B$2:$B$15,0)),0),IFERROR(INDEX(Fortnightly_Model!$D$2:$D$15,MATCH(G352,Fortnightly_Model!$B$2:$B$15,0)),0),IFERROR(INDEX(Fortnightly_Model!$D$2:$D$15,MATCH(G353,Fortnightly_Model!$B$2:$B$15,0)),0)),IF(VLOOKUP($A350,Calendar!$A$1:$R$1377,18,0)=5,SUM(IFERROR(INDEX(Fortnightly_Model!$D$2:$D$15,MATCH(G350,Fortnightly_Model!$B$2:$B$15,0)),0),IFERROR(INDEX(Fortnightly_Model!$D$2:$D$15,MATCH(G351,Fortnightly_Model!$B$2:$B$15,0)),0),IFERROR(INDEX(Fortnightly_Model!$D$2:$D$15,MATCH(G352,Fortnightly_Model!$B$2:$B$15,0)),0),IFERROR(INDEX(Fortnightly_Model!$D$2:$D$15,MATCH(G353,Fortnightly_Model!$B$2:$B$15,0)),0),IFERROR(INDEX(Fortnightly_Model!$D$2:$D$15,MATCH(G354,Fortnightly_Model!$B$2:$B$15,0)),0)),0))))))</f>
        <v>1.0714285499999999E-3</v>
      </c>
      <c r="M350" s="27">
        <f>IF(VLOOKUP($A350,Calendar!$A$1:$R$1377,18,0)=0,0,IF(VLOOKUP($A350,Calendar!$A$1:$R$1377,18,0)=1,IFERROR(INDEX(FourWeekly_Model!$D$2:$D$29,MATCH(H350,FourWeekly_Model!$B$2:$B$29,0)),0),IF(VLOOKUP($A350,Calendar!$A$1:$R$1377,18,0)=2,SUM(IFERROR(INDEX(FourWeekly_Model!$D$2:$D$29,MATCH(H350,FourWeekly_Model!$B$2:$B$29,0)),0),IFERROR(INDEX(FourWeekly_Model!$D$2:$D$29,MATCH(H351,FourWeekly_Model!$B$2:$B$29,0)),0)),IF(VLOOKUP($A350,Calendar!$A$1:$R$1377,18,0)=3,SUM(IFERROR(INDEX(FourWeekly_Model!$D$2:$D$29,MATCH(H350,FourWeekly_Model!$B$2:$B$29,0)),0),IFERROR(INDEX(FourWeekly_Model!$D$2:$D$29,MATCH(H351,FourWeekly_Model!$B$2:$B$29,0)),0),IFERROR(INDEX(FourWeekly_Model!$D$2:$D$29,MATCH(H352,FourWeekly_Model!$B$2:$B$29,0)),0)),IF(VLOOKUP($A350,Calendar!$A$1:$R$1377,18,0)=4,SUM(IFERROR(INDEX(FourWeekly_Model!$D$2:$D$29,MATCH(H350,FourWeekly_Model!$B$2:$B$29,0)),0),IFERROR(INDEX(FourWeekly_Model!$D$2:$D$29,MATCH(H351,FourWeekly_Model!$B$2:$B$29,0)),0),IFERROR(INDEX(FourWeekly_Model!$D$2:$D$29,MATCH(H352,FourWeekly_Model!$B$2:$B$29,0)),0),IFERROR(INDEX(FourWeekly_Model!$D$2:$D$29,MATCH(H353,FourWeekly_Model!$B$2:$B$29,0)),0)),IF(VLOOKUP($A350,Calendar!$A$1:$R$1377,18,0)=5,SUM(IFERROR(INDEX(FourWeekly_Model!$D$2:$D$29,MATCH(H350,FourWeekly_Model!$B$2:$B$29,0)),0),IFERROR(INDEX(FourWeekly_Model!$D$2:$D$29,MATCH(H351,FourWeekly_Model!$B$2:$B$29,0)),0),IFERROR(INDEX(FourWeekly_Model!$D$2:$D$29,MATCH(H352,FourWeekly_Model!$B$2:$B$29,0)),0),IFERROR(INDEX(FourWeekly_Model!$D$2:$D$29,MATCH(H353,FourWeekly_Model!$B$2:$B$29,0)),0),IFERROR(INDEX(FourWeekly_Model!$D$2:$D$29,MATCH(H354,FourWeekly_Model!$B$2:$B$29,0)),0)),0))))))</f>
        <v>3.3214289700000004E-3</v>
      </c>
      <c r="N350" s="27">
        <f>SUM(I350:M350)</f>
        <v>4.059390464041885E-2</v>
      </c>
      <c r="O350" s="28">
        <f>Population_Data!$B$8*N350</f>
        <v>1229995.310604691</v>
      </c>
      <c r="P350" s="27">
        <f>IF(VLOOKUP($A350,Calendar!$A$1:$R$1377,18,0)=0,0,IF(VLOOKUP($A350,Calendar!$A$1:$R$1377,18,0)=1,IFERROR(INDEX(Pension_Model!$D$2:$D$29,MATCH(H350,Pension_Model!$B$2:$B$29,0)),0),IF(VLOOKUP($A350,Calendar!$A$1:$R$1377,18,0)=2,SUM(IFERROR(INDEX(Pension_Model!$D$2:$D$29,MATCH(H350,Pension_Model!$B$2:$B$29,0)),0),IFERROR(INDEX(Pension_Model!$D$2:$D$29,MATCH(H351,Pension_Model!$B$2:$B$29,0)),0)),IF(VLOOKUP($A350,Calendar!$A$1:$R$1377,18,0)=3,SUM(IFERROR(INDEX(Pension_Model!$D$2:$D$29,MATCH(H350,Pension_Model!$B$2:$B$29,0)),0),IFERROR(INDEX(Pension_Model!$D$2:$D$29,MATCH(H351,Pension_Model!$B$2:$B$29,0)),0),IFERROR(INDEX(Pension_Model!$D$2:$D$29,MATCH(H352,Pension_Model!$B$2:$B$29,0)),0)),IF(VLOOKUP($A350,Calendar!$A$1:$R$1377,18,0)=4,SUM(IFERROR(INDEX(Pension_Model!$D$2:$D$29,MATCH(H350,Pension_Model!$B$2:$B$29,0)),0),IFERROR(INDEX(Pension_Model!$D$2:$D$29,MATCH(H351,Pension_Model!$B$2:$B$29,0)),0),IFERROR(INDEX(Pension_Model!$D$2:$D$29,MATCH(H352,Pension_Model!$B$2:$B$29,0)),0),IFERROR(INDEX(Pension_Model!$D$2:$D$29,MATCH(H353,Pension_Model!$B$2:$B$29,0)),0)),IF(VLOOKUP($A350,Calendar!$A$1:$R$1377,18,0)=5,SUM(IFERROR(INDEX(Pension_Model!$D$2:$D$29,MATCH(H350,Pension_Model!$B$2:$B$29,0)),0),IFERROR(INDEX(Pension_Model!$D$2:$D$29,MATCH(H351,Pension_Model!$B$2:$B$29,0)),0),IFERROR(INDEX(Pension_Model!$D$2:$D$29,MATCH(H352,Pension_Model!$B$2:$B$29,0)),0),IFERROR(INDEX(Pension_Model!$D$2:$D$29,MATCH(H353,Pension_Model!$B$2:$B$29,0)),0),IFERROR(INDEX(Pension_Model!$D$2:$D$29,MATCH(H354,Pension_Model!$B$2:$B$29,0)),0)),0))))))</f>
        <v>0.05</v>
      </c>
      <c r="Q350" s="28">
        <f>Population_Data!$B$15*P350</f>
        <v>660600</v>
      </c>
      <c r="S350">
        <f t="shared" si="5"/>
        <v>1890595.310604691</v>
      </c>
      <c r="U350" s="33">
        <f>S350/Population_Data!$B$19</f>
        <v>3.4249915047186434E-2</v>
      </c>
    </row>
    <row r="351" spans="1:21">
      <c r="A351" s="25">
        <f>Calendar!A351</f>
        <v>46584</v>
      </c>
      <c r="B351" t="str">
        <f>Calendar!L351</f>
        <v>Yes</v>
      </c>
      <c r="C351" t="str">
        <f>Calendar!O351</f>
        <v>No</v>
      </c>
      <c r="D351" t="str">
        <f>Calendar!P351</f>
        <v>No</v>
      </c>
      <c r="E351" t="str">
        <f>Calendar!Q351</f>
        <v>No</v>
      </c>
      <c r="F351" t="str">
        <f>Calendar!I351</f>
        <v>Friday</v>
      </c>
      <c r="G351">
        <f>Calendar!S351</f>
        <v>6</v>
      </c>
      <c r="H351">
        <f>Calendar!T351</f>
        <v>20</v>
      </c>
      <c r="I351" s="27">
        <f>IF(VLOOKUP(A351,Calendar!$A$1:$R$1377,18,0)=0,0,IF(VLOOKUP(A351,Calendar!$A$1:$R$1377,18,0)=1,INDEX(Monthly_Pay_Model!$A$9:$D$40,MATCH(TEXT(A351,"dd"),Monthly_Pay_Model!$C$9:$C$39,0),4),IF(VLOOKUP(A351,Calendar!$A$1:$R$1377,18,0)=2,SUM(INDEX(Monthly_Pay_Model!$A$9:$D$40,MATCH(TEXT(A351,"dd"),Monthly_Pay_Model!$C$9:$C$39,0),4),INDEX(Monthly_Pay_Model!$A$9:$D$40,MATCH(TEXT(A352,"dd"),Monthly_Pay_Model!$C$9:$C$39,0),4)),IF(VLOOKUP(A351,Calendar!$A$1:$R$1377,18,0)=3,SUM(INDEX(Monthly_Pay_Model!$A$9:$D$40,MATCH(TEXT(A351,"dd"),Monthly_Pay_Model!$C$9:$C$39,0),4),INDEX(Monthly_Pay_Model!$A$9:$D$40,MATCH(TEXT(A352,"dd"),Monthly_Pay_Model!$C$9:$C$39,0),4),INDEX(Monthly_Pay_Model!$A$9:$D$40,MATCH(TEXT(A353,"dd"),Monthly_Pay_Model!$C$9:$C$39,0),4)),IF(VLOOKUP(A351,Calendar!$A$1:$R$1377,18,0)=4,SUM(INDEX(Monthly_Pay_Model!$A$9:$D$40,MATCH(TEXT(A351,"dd"),Monthly_Pay_Model!$C$9:$C$39,0),4),INDEX(Monthly_Pay_Model!$A$9:$D$40,MATCH(TEXT(A352,"dd"),Monthly_Pay_Model!$C$9:$C$39,0),4),INDEX(Monthly_Pay_Model!$A$9:$D$40,MATCH(TEXT(A353,"dd"),Monthly_Pay_Model!$C$9:$C$39,0),4),INDEX(Monthly_Pay_Model!$A$9:$D$40,MATCH(TEXT(A354,"dd"),Monthly_Pay_Model!$C$9:$C$39,0),4)),IF(VLOOKUP(A351,Calendar!$A$1:$R$1377,18,0)=5,SUM(INDEX(Monthly_Pay_Model!$A$9:$D$40,MATCH(TEXT(A351,"dd"),Monthly_Pay_Model!$C$9:$C$39,0),4),INDEX(Monthly_Pay_Model!$A$9:$D$40,MATCH(TEXT(A352,"dd"),Monthly_Pay_Model!$C$9:$C$39,0),4),INDEX(Monthly_Pay_Model!$A$9:$D$40,MATCH(TEXT(A353,"dd"),Monthly_Pay_Model!$C$9:$C$39,0),4),INDEX(Monthly_Pay_Model!$A$9:$D$40,MATCH(TEXT(A354,"dd"),Monthly_Pay_Model!$C$9:$C$39,0),4),INDEX(Monthly_Pay_Model!$A$9:$D$40,MATCH(TEXT(A355,"dd"),Monthly_Pay_Model!$C$9:$C$39,0),4)),))))))</f>
        <v>4.8753926701570671E-3</v>
      </c>
      <c r="J351" s="33">
        <f>IF(C351="Yes",Monthly_Pay_Model!$D$2,0)
+IF(Calendar!N351="Yes",Monthly_Pay_Model!$D$3,0)
+IF(D351="Yes",Monthly_Pay_Model!$D$4,0)
+IF(E351="Yes",Monthly_Pay_Model!$D$5,0)</f>
        <v>0</v>
      </c>
      <c r="K351" s="27">
        <f>IF(VLOOKUP($A351,Calendar!$A$1:$R$1377,18,0)=0,0,IF(VLOOKUP($A351,Calendar!$A$1:$R$1377,18,0)=1,IFERROR(INDEX(Weekly_Model!$D$2:$D$9,MATCH(F351,Weekly_Model!$A$2:$A$9,0)),0),IF(VLOOKUP($A351,Calendar!$A$1:$R$1377,18,0)=2,SUM(IFERROR(INDEX(Weekly_Model!$D$2:$D$9,MATCH(F351,Weekly_Model!$A$2:$A$9,0)),0),IFERROR(INDEX(Weekly_Model!$D$2:$D$9,MATCH(F352,Weekly_Model!$A$2:$A$9,0)),0)),IF(VLOOKUP($A351,Calendar!$A$1:$R$1377,18,0)=3,SUM(IFERROR(INDEX(Weekly_Model!$D$2:$D$9,MATCH(F351,Weekly_Model!$A$2:$A$9,0)),0),IFERROR(INDEX(Weekly_Model!$D$2:$D$9,MATCH(F352,Weekly_Model!$A$2:$A$9,0)),0),IFERROR(INDEX(Weekly_Model!$D$2:$D$9,MATCH(F353,Weekly_Model!$A$2:$A$9,0)),0)),IF(VLOOKUP($A351,Calendar!$A$1:$R$1377,18,0)=4,SUM(IFERROR(INDEX(Weekly_Model!$D$2:$D$9,MATCH(F351,Weekly_Model!$A$2:$A$9,0)),0),IFERROR(INDEX(Weekly_Model!$D$2:$D$9,MATCH(F352,Weekly_Model!$A$2:$A$9,0)),0),IFERROR(INDEX(Weekly_Model!$D$2:$D$9,MATCH(F353,Weekly_Model!$A$2:$A$9,0)),0),IFERROR(INDEX(Weekly_Model!$D$2:$D$9,MATCH(F354,Weekly_Model!$A$2:$A$9,0)),0)),IF(VLOOKUP($A351,Calendar!$A$1:$R$1377,18,0)=5,SUM(IFERROR(INDEX(Weekly_Model!$D$2:$D$9,MATCH(F351,Weekly_Model!$A$2:$A$9,0)),0),IFERROR(INDEX(Weekly_Model!$D$2:$D$9,MATCH(F352,Weekly_Model!$A$2:$A$9,0)),0),IFERROR(INDEX(Weekly_Model!$D$2:$D$9,MATCH(F353,Weekly_Model!$A$2:$A$9,0)),0),IFERROR(INDEX(Weekly_Model!$D$2:$D$9,MATCH(F354,Weekly_Model!$A$2:$A$9,0)),0),IFERROR(INDEX(Weekly_Model!$D$2:$D$9,MATCH(F355,Weekly_Model!$A$2:$A$9,0)),0)),0))))))</f>
        <v>2.3200000000000002E-2</v>
      </c>
      <c r="L351" s="27">
        <f>IF(VLOOKUP($A351,Calendar!$A$1:$R$1377,18,0)=0,0,IF(VLOOKUP($A351,Calendar!$A$1:$R$1377,18,0)=1,IFERROR(INDEX(Fortnightly_Model!$D$2:$D$15,MATCH(G351,Fortnightly_Model!$B$2:$B$15,0)),0),IF(VLOOKUP($A351,Calendar!$A$1:$R$1377,18,0)=2,SUM(IFERROR(INDEX(Fortnightly_Model!$D$2:$D$15,MATCH(G351,Fortnightly_Model!$B$2:$B$15,0)),0),IFERROR(INDEX(Fortnightly_Model!$D$2:$D$15,MATCH(G352,Fortnightly_Model!$B$2:$B$15,0)),0)),IF(VLOOKUP($A351,Calendar!$A$1:$R$1377,18,0)=3,SUM(IFERROR(INDEX(Fortnightly_Model!$D$2:$D$15,MATCH(G351,Fortnightly_Model!$B$2:$B$15,0)),0),IFERROR(INDEX(Fortnightly_Model!$D$2:$D$15,MATCH(G352,Fortnightly_Model!$B$2:$B$15,0)),0),IFERROR(INDEX(Fortnightly_Model!$D$2:$D$15,MATCH(G353,Fortnightly_Model!$B$2:$B$15,0)),0)),IF(VLOOKUP($A351,Calendar!$A$1:$R$1377,18,0)=4,SUM(IFERROR(INDEX(Fortnightly_Model!$D$2:$D$15,MATCH(G351,Fortnightly_Model!$B$2:$B$15,0)),0),IFERROR(INDEX(Fortnightly_Model!$D$2:$D$15,MATCH(G352,Fortnightly_Model!$B$2:$B$15,0)),0),IFERROR(INDEX(Fortnightly_Model!$D$2:$D$15,MATCH(G353,Fortnightly_Model!$B$2:$B$15,0)),0),IFERROR(INDEX(Fortnightly_Model!$D$2:$D$15,MATCH(G354,Fortnightly_Model!$B$2:$B$15,0)),0)),IF(VLOOKUP($A351,Calendar!$A$1:$R$1377,18,0)=5,SUM(IFERROR(INDEX(Fortnightly_Model!$D$2:$D$15,MATCH(G351,Fortnightly_Model!$B$2:$B$15,0)),0),IFERROR(INDEX(Fortnightly_Model!$D$2:$D$15,MATCH(G352,Fortnightly_Model!$B$2:$B$15,0)),0),IFERROR(INDEX(Fortnightly_Model!$D$2:$D$15,MATCH(G353,Fortnightly_Model!$B$2:$B$15,0)),0),IFERROR(INDEX(Fortnightly_Model!$D$2:$D$15,MATCH(G354,Fortnightly_Model!$B$2:$B$15,0)),0),IFERROR(INDEX(Fortnightly_Model!$D$2:$D$15,MATCH(G355,Fortnightly_Model!$B$2:$B$15,0)),0)),0))))))</f>
        <v>3.2142856499999999E-3</v>
      </c>
      <c r="M351" s="27">
        <f>IF(VLOOKUP($A351,Calendar!$A$1:$R$1377,18,0)=0,0,IF(VLOOKUP($A351,Calendar!$A$1:$R$1377,18,0)=1,IFERROR(INDEX(FourWeekly_Model!$D$2:$D$29,MATCH(H351,FourWeekly_Model!$B$2:$B$29,0)),0),IF(VLOOKUP($A351,Calendar!$A$1:$R$1377,18,0)=2,SUM(IFERROR(INDEX(FourWeekly_Model!$D$2:$D$29,MATCH(H351,FourWeekly_Model!$B$2:$B$29,0)),0),IFERROR(INDEX(FourWeekly_Model!$D$2:$D$29,MATCH(H352,FourWeekly_Model!$B$2:$B$29,0)),0)),IF(VLOOKUP($A351,Calendar!$A$1:$R$1377,18,0)=3,SUM(IFERROR(INDEX(FourWeekly_Model!$D$2:$D$29,MATCH(H351,FourWeekly_Model!$B$2:$B$29,0)),0),IFERROR(INDEX(FourWeekly_Model!$D$2:$D$29,MATCH(H352,FourWeekly_Model!$B$2:$B$29,0)),0),IFERROR(INDEX(FourWeekly_Model!$D$2:$D$29,MATCH(H353,FourWeekly_Model!$B$2:$B$29,0)),0)),IF(VLOOKUP($A351,Calendar!$A$1:$R$1377,18,0)=4,SUM(IFERROR(INDEX(FourWeekly_Model!$D$2:$D$29,MATCH(H351,FourWeekly_Model!$B$2:$B$29,0)),0),IFERROR(INDEX(FourWeekly_Model!$D$2:$D$29,MATCH(H352,FourWeekly_Model!$B$2:$B$29,0)),0),IFERROR(INDEX(FourWeekly_Model!$D$2:$D$29,MATCH(H353,FourWeekly_Model!$B$2:$B$29,0)),0),IFERROR(INDEX(FourWeekly_Model!$D$2:$D$29,MATCH(H354,FourWeekly_Model!$B$2:$B$29,0)),0)),IF(VLOOKUP($A351,Calendar!$A$1:$R$1377,18,0)=5,SUM(IFERROR(INDEX(FourWeekly_Model!$D$2:$D$29,MATCH(H351,FourWeekly_Model!$B$2:$B$29,0)),0),IFERROR(INDEX(FourWeekly_Model!$D$2:$D$29,MATCH(H352,FourWeekly_Model!$B$2:$B$29,0)),0),IFERROR(INDEX(FourWeekly_Model!$D$2:$D$29,MATCH(H353,FourWeekly_Model!$B$2:$B$29,0)),0),IFERROR(INDEX(FourWeekly_Model!$D$2:$D$29,MATCH(H354,FourWeekly_Model!$B$2:$B$29,0)),0),IFERROR(INDEX(FourWeekly_Model!$D$2:$D$29,MATCH(H355,FourWeekly_Model!$B$2:$B$29,0)),0)),0))))))</f>
        <v>9.9642859800000011E-3</v>
      </c>
      <c r="N351" s="27">
        <f>SUM(I351:M351)</f>
        <v>4.125396430015707E-2</v>
      </c>
      <c r="O351" s="28">
        <f>Population_Data!$B$8*N351</f>
        <v>1249995.1182947592</v>
      </c>
      <c r="P351" s="27">
        <f>IF(VLOOKUP($A351,Calendar!$A$1:$R$1377,18,0)=0,0,IF(VLOOKUP($A351,Calendar!$A$1:$R$1377,18,0)=1,IFERROR(INDEX(Pension_Model!$D$2:$D$29,MATCH(H351,Pension_Model!$B$2:$B$29,0)),0),IF(VLOOKUP($A351,Calendar!$A$1:$R$1377,18,0)=2,SUM(IFERROR(INDEX(Pension_Model!$D$2:$D$29,MATCH(H351,Pension_Model!$B$2:$B$29,0)),0),IFERROR(INDEX(Pension_Model!$D$2:$D$29,MATCH(H352,Pension_Model!$B$2:$B$29,0)),0)),IF(VLOOKUP($A351,Calendar!$A$1:$R$1377,18,0)=3,SUM(IFERROR(INDEX(Pension_Model!$D$2:$D$29,MATCH(H351,Pension_Model!$B$2:$B$29,0)),0),IFERROR(INDEX(Pension_Model!$D$2:$D$29,MATCH(H352,Pension_Model!$B$2:$B$29,0)),0),IFERROR(INDEX(Pension_Model!$D$2:$D$29,MATCH(H353,Pension_Model!$B$2:$B$29,0)),0)),IF(VLOOKUP($A351,Calendar!$A$1:$R$1377,18,0)=4,SUM(IFERROR(INDEX(Pension_Model!$D$2:$D$29,MATCH(H351,Pension_Model!$B$2:$B$29,0)),0),IFERROR(INDEX(Pension_Model!$D$2:$D$29,MATCH(H352,Pension_Model!$B$2:$B$29,0)),0),IFERROR(INDEX(Pension_Model!$D$2:$D$29,MATCH(H353,Pension_Model!$B$2:$B$29,0)),0),IFERROR(INDEX(Pension_Model!$D$2:$D$29,MATCH(H354,Pension_Model!$B$2:$B$29,0)),0)),IF(VLOOKUP($A351,Calendar!$A$1:$R$1377,18,0)=5,SUM(IFERROR(INDEX(Pension_Model!$D$2:$D$29,MATCH(H351,Pension_Model!$B$2:$B$29,0)),0),IFERROR(INDEX(Pension_Model!$D$2:$D$29,MATCH(H352,Pension_Model!$B$2:$B$29,0)),0),IFERROR(INDEX(Pension_Model!$D$2:$D$29,MATCH(H353,Pension_Model!$B$2:$B$29,0)),0),IFERROR(INDEX(Pension_Model!$D$2:$D$29,MATCH(H354,Pension_Model!$B$2:$B$29,0)),0),IFERROR(INDEX(Pension_Model!$D$2:$D$29,MATCH(H355,Pension_Model!$B$2:$B$29,0)),0)),0))))))</f>
        <v>0.05</v>
      </c>
      <c r="Q351" s="28">
        <f>Population_Data!$B$15*P351</f>
        <v>660600</v>
      </c>
      <c r="S351">
        <f t="shared" si="5"/>
        <v>1910595.1182947592</v>
      </c>
      <c r="U351" s="33">
        <f>S351/Population_Data!$B$19</f>
        <v>3.4612230403890568E-2</v>
      </c>
    </row>
    <row r="352" spans="1:21">
      <c r="A352" s="25">
        <f>Calendar!A352</f>
        <v>46585</v>
      </c>
      <c r="B352" t="str">
        <f>Calendar!L352</f>
        <v>No</v>
      </c>
      <c r="C352" t="str">
        <f>Calendar!O352</f>
        <v>No</v>
      </c>
      <c r="D352" t="str">
        <f>Calendar!P352</f>
        <v>No</v>
      </c>
      <c r="E352" t="str">
        <f>Calendar!Q352</f>
        <v>No</v>
      </c>
      <c r="F352" t="str">
        <f>Calendar!I352</f>
        <v>Saturday</v>
      </c>
      <c r="G352">
        <f>Calendar!S352</f>
        <v>7</v>
      </c>
      <c r="H352">
        <f>Calendar!T352</f>
        <v>21</v>
      </c>
      <c r="I352" s="27">
        <f>IF(VLOOKUP(A352,Calendar!$A$1:$R$1377,18,0)=0,0,IF(VLOOKUP(A352,Calendar!$A$1:$R$1377,18,0)=1,INDEX(Monthly_Pay_Model!$A$9:$D$40,MATCH(TEXT(A352,"dd"),Monthly_Pay_Model!$C$9:$C$39,0),4),IF(VLOOKUP(A352,Calendar!$A$1:$R$1377,18,0)=2,SUM(INDEX(Monthly_Pay_Model!$A$9:$D$40,MATCH(TEXT(A352,"dd"),Monthly_Pay_Model!$C$9:$C$39,0),4),INDEX(Monthly_Pay_Model!$A$9:$D$40,MATCH(TEXT(A353,"dd"),Monthly_Pay_Model!$C$9:$C$39,0),4)),IF(VLOOKUP(A352,Calendar!$A$1:$R$1377,18,0)=3,SUM(INDEX(Monthly_Pay_Model!$A$9:$D$40,MATCH(TEXT(A352,"dd"),Monthly_Pay_Model!$C$9:$C$39,0),4),INDEX(Monthly_Pay_Model!$A$9:$D$40,MATCH(TEXT(A353,"dd"),Monthly_Pay_Model!$C$9:$C$39,0),4),INDEX(Monthly_Pay_Model!$A$9:$D$40,MATCH(TEXT(A354,"dd"),Monthly_Pay_Model!$C$9:$C$39,0),4)),IF(VLOOKUP(A352,Calendar!$A$1:$R$1377,18,0)=4,SUM(INDEX(Monthly_Pay_Model!$A$9:$D$40,MATCH(TEXT(A352,"dd"),Monthly_Pay_Model!$C$9:$C$39,0),4),INDEX(Monthly_Pay_Model!$A$9:$D$40,MATCH(TEXT(A353,"dd"),Monthly_Pay_Model!$C$9:$C$39,0),4),INDEX(Monthly_Pay_Model!$A$9:$D$40,MATCH(TEXT(A354,"dd"),Monthly_Pay_Model!$C$9:$C$39,0),4),INDEX(Monthly_Pay_Model!$A$9:$D$40,MATCH(TEXT(A355,"dd"),Monthly_Pay_Model!$C$9:$C$39,0),4)),IF(VLOOKUP(A352,Calendar!$A$1:$R$1377,18,0)=5,SUM(INDEX(Monthly_Pay_Model!$A$9:$D$40,MATCH(TEXT(A352,"dd"),Monthly_Pay_Model!$C$9:$C$39,0),4),INDEX(Monthly_Pay_Model!$A$9:$D$40,MATCH(TEXT(A353,"dd"),Monthly_Pay_Model!$C$9:$C$39,0),4),INDEX(Monthly_Pay_Model!$A$9:$D$40,MATCH(TEXT(A354,"dd"),Monthly_Pay_Model!$C$9:$C$39,0),4),INDEX(Monthly_Pay_Model!$A$9:$D$40,MATCH(TEXT(A355,"dd"),Monthly_Pay_Model!$C$9:$C$39,0),4),INDEX(Monthly_Pay_Model!$A$9:$D$40,MATCH(TEXT(A356,"dd"),Monthly_Pay_Model!$C$9:$C$39,0),4)),))))))</f>
        <v>0</v>
      </c>
      <c r="J352" s="33">
        <f>IF(C352="Yes",Monthly_Pay_Model!$D$2,0)
+IF(Calendar!N352="Yes",Monthly_Pay_Model!$D$3,0)
+IF(D352="Yes",Monthly_Pay_Model!$D$4,0)
+IF(E352="Yes",Monthly_Pay_Model!$D$5,0)</f>
        <v>0</v>
      </c>
      <c r="K352" s="27">
        <f>IF(VLOOKUP($A352,Calendar!$A$1:$R$1377,18,0)=0,0,IF(VLOOKUP($A352,Calendar!$A$1:$R$1377,18,0)=1,IFERROR(INDEX(Weekly_Model!$D$2:$D$9,MATCH(F352,Weekly_Model!$A$2:$A$9,0)),0),IF(VLOOKUP($A352,Calendar!$A$1:$R$1377,18,0)=2,SUM(IFERROR(INDEX(Weekly_Model!$D$2:$D$9,MATCH(F352,Weekly_Model!$A$2:$A$9,0)),0),IFERROR(INDEX(Weekly_Model!$D$2:$D$9,MATCH(F353,Weekly_Model!$A$2:$A$9,0)),0)),IF(VLOOKUP($A352,Calendar!$A$1:$R$1377,18,0)=3,SUM(IFERROR(INDEX(Weekly_Model!$D$2:$D$9,MATCH(F352,Weekly_Model!$A$2:$A$9,0)),0),IFERROR(INDEX(Weekly_Model!$D$2:$D$9,MATCH(F353,Weekly_Model!$A$2:$A$9,0)),0),IFERROR(INDEX(Weekly_Model!$D$2:$D$9,MATCH(F354,Weekly_Model!$A$2:$A$9,0)),0)),IF(VLOOKUP($A352,Calendar!$A$1:$R$1377,18,0)=4,SUM(IFERROR(INDEX(Weekly_Model!$D$2:$D$9,MATCH(F352,Weekly_Model!$A$2:$A$9,0)),0),IFERROR(INDEX(Weekly_Model!$D$2:$D$9,MATCH(F353,Weekly_Model!$A$2:$A$9,0)),0),IFERROR(INDEX(Weekly_Model!$D$2:$D$9,MATCH(F354,Weekly_Model!$A$2:$A$9,0)),0),IFERROR(INDEX(Weekly_Model!$D$2:$D$9,MATCH(F355,Weekly_Model!$A$2:$A$9,0)),0)),IF(VLOOKUP($A352,Calendar!$A$1:$R$1377,18,0)=5,SUM(IFERROR(INDEX(Weekly_Model!$D$2:$D$9,MATCH(F352,Weekly_Model!$A$2:$A$9,0)),0),IFERROR(INDEX(Weekly_Model!$D$2:$D$9,MATCH(F353,Weekly_Model!$A$2:$A$9,0)),0),IFERROR(INDEX(Weekly_Model!$D$2:$D$9,MATCH(F354,Weekly_Model!$A$2:$A$9,0)),0),IFERROR(INDEX(Weekly_Model!$D$2:$D$9,MATCH(F355,Weekly_Model!$A$2:$A$9,0)),0),IFERROR(INDEX(Weekly_Model!$D$2:$D$9,MATCH(F356,Weekly_Model!$A$2:$A$9,0)),0)),0))))))</f>
        <v>0</v>
      </c>
      <c r="L352" s="27">
        <f>IF(VLOOKUP($A352,Calendar!$A$1:$R$1377,18,0)=0,0,IF(VLOOKUP($A352,Calendar!$A$1:$R$1377,18,0)=1,IFERROR(INDEX(Fortnightly_Model!$D$2:$D$15,MATCH(G352,Fortnightly_Model!$B$2:$B$15,0)),0),IF(VLOOKUP($A352,Calendar!$A$1:$R$1377,18,0)=2,SUM(IFERROR(INDEX(Fortnightly_Model!$D$2:$D$15,MATCH(G352,Fortnightly_Model!$B$2:$B$15,0)),0),IFERROR(INDEX(Fortnightly_Model!$D$2:$D$15,MATCH(G353,Fortnightly_Model!$B$2:$B$15,0)),0)),IF(VLOOKUP($A352,Calendar!$A$1:$R$1377,18,0)=3,SUM(IFERROR(INDEX(Fortnightly_Model!$D$2:$D$15,MATCH(G352,Fortnightly_Model!$B$2:$B$15,0)),0),IFERROR(INDEX(Fortnightly_Model!$D$2:$D$15,MATCH(G353,Fortnightly_Model!$B$2:$B$15,0)),0),IFERROR(INDEX(Fortnightly_Model!$D$2:$D$15,MATCH(G354,Fortnightly_Model!$B$2:$B$15,0)),0)),IF(VLOOKUP($A352,Calendar!$A$1:$R$1377,18,0)=4,SUM(IFERROR(INDEX(Fortnightly_Model!$D$2:$D$15,MATCH(G352,Fortnightly_Model!$B$2:$B$15,0)),0),IFERROR(INDEX(Fortnightly_Model!$D$2:$D$15,MATCH(G353,Fortnightly_Model!$B$2:$B$15,0)),0),IFERROR(INDEX(Fortnightly_Model!$D$2:$D$15,MATCH(G354,Fortnightly_Model!$B$2:$B$15,0)),0),IFERROR(INDEX(Fortnightly_Model!$D$2:$D$15,MATCH(G355,Fortnightly_Model!$B$2:$B$15,0)),0)),IF(VLOOKUP($A352,Calendar!$A$1:$R$1377,18,0)=5,SUM(IFERROR(INDEX(Fortnightly_Model!$D$2:$D$15,MATCH(G352,Fortnightly_Model!$B$2:$B$15,0)),0),IFERROR(INDEX(Fortnightly_Model!$D$2:$D$15,MATCH(G353,Fortnightly_Model!$B$2:$B$15,0)),0),IFERROR(INDEX(Fortnightly_Model!$D$2:$D$15,MATCH(G354,Fortnightly_Model!$B$2:$B$15,0)),0),IFERROR(INDEX(Fortnightly_Model!$D$2:$D$15,MATCH(G355,Fortnightly_Model!$B$2:$B$15,0)),0),IFERROR(INDEX(Fortnightly_Model!$D$2:$D$15,MATCH(G356,Fortnightly_Model!$B$2:$B$15,0)),0)),0))))))</f>
        <v>0</v>
      </c>
      <c r="M352" s="27">
        <f>IF(VLOOKUP($A352,Calendar!$A$1:$R$1377,18,0)=0,0,IF(VLOOKUP($A352,Calendar!$A$1:$R$1377,18,0)=1,IFERROR(INDEX(FourWeekly_Model!$D$2:$D$29,MATCH(H352,FourWeekly_Model!$B$2:$B$29,0)),0),IF(VLOOKUP($A352,Calendar!$A$1:$R$1377,18,0)=2,SUM(IFERROR(INDEX(FourWeekly_Model!$D$2:$D$29,MATCH(H352,FourWeekly_Model!$B$2:$B$29,0)),0),IFERROR(INDEX(FourWeekly_Model!$D$2:$D$29,MATCH(H353,FourWeekly_Model!$B$2:$B$29,0)),0)),IF(VLOOKUP($A352,Calendar!$A$1:$R$1377,18,0)=3,SUM(IFERROR(INDEX(FourWeekly_Model!$D$2:$D$29,MATCH(H352,FourWeekly_Model!$B$2:$B$29,0)),0),IFERROR(INDEX(FourWeekly_Model!$D$2:$D$29,MATCH(H353,FourWeekly_Model!$B$2:$B$29,0)),0),IFERROR(INDEX(FourWeekly_Model!$D$2:$D$29,MATCH(H354,FourWeekly_Model!$B$2:$B$29,0)),0)),IF(VLOOKUP($A352,Calendar!$A$1:$R$1377,18,0)=4,SUM(IFERROR(INDEX(FourWeekly_Model!$D$2:$D$29,MATCH(H352,FourWeekly_Model!$B$2:$B$29,0)),0),IFERROR(INDEX(FourWeekly_Model!$D$2:$D$29,MATCH(H353,FourWeekly_Model!$B$2:$B$29,0)),0),IFERROR(INDEX(FourWeekly_Model!$D$2:$D$29,MATCH(H354,FourWeekly_Model!$B$2:$B$29,0)),0),IFERROR(INDEX(FourWeekly_Model!$D$2:$D$29,MATCH(H355,FourWeekly_Model!$B$2:$B$29,0)),0)),IF(VLOOKUP($A352,Calendar!$A$1:$R$1377,18,0)=5,SUM(IFERROR(INDEX(FourWeekly_Model!$D$2:$D$29,MATCH(H352,FourWeekly_Model!$B$2:$B$29,0)),0),IFERROR(INDEX(FourWeekly_Model!$D$2:$D$29,MATCH(H353,FourWeekly_Model!$B$2:$B$29,0)),0),IFERROR(INDEX(FourWeekly_Model!$D$2:$D$29,MATCH(H354,FourWeekly_Model!$B$2:$B$29,0)),0),IFERROR(INDEX(FourWeekly_Model!$D$2:$D$29,MATCH(H355,FourWeekly_Model!$B$2:$B$29,0)),0),IFERROR(INDEX(FourWeekly_Model!$D$2:$D$29,MATCH(H356,FourWeekly_Model!$B$2:$B$29,0)),0)),0))))))</f>
        <v>0</v>
      </c>
      <c r="N352" s="27">
        <f>SUM(I352:M352)</f>
        <v>0</v>
      </c>
      <c r="O352" s="28">
        <f>Population_Data!$B$8*N352</f>
        <v>0</v>
      </c>
      <c r="P352" s="27">
        <f>IF(VLOOKUP($A352,Calendar!$A$1:$R$1377,18,0)=0,0,IF(VLOOKUP($A352,Calendar!$A$1:$R$1377,18,0)=1,IFERROR(INDEX(Pension_Model!$D$2:$D$29,MATCH(H352,Pension_Model!$B$2:$B$29,0)),0),IF(VLOOKUP($A352,Calendar!$A$1:$R$1377,18,0)=2,SUM(IFERROR(INDEX(Pension_Model!$D$2:$D$29,MATCH(H352,Pension_Model!$B$2:$B$29,0)),0),IFERROR(INDEX(Pension_Model!$D$2:$D$29,MATCH(H353,Pension_Model!$B$2:$B$29,0)),0)),IF(VLOOKUP($A352,Calendar!$A$1:$R$1377,18,0)=3,SUM(IFERROR(INDEX(Pension_Model!$D$2:$D$29,MATCH(H352,Pension_Model!$B$2:$B$29,0)),0),IFERROR(INDEX(Pension_Model!$D$2:$D$29,MATCH(H353,Pension_Model!$B$2:$B$29,0)),0),IFERROR(INDEX(Pension_Model!$D$2:$D$29,MATCH(H354,Pension_Model!$B$2:$B$29,0)),0)),IF(VLOOKUP($A352,Calendar!$A$1:$R$1377,18,0)=4,SUM(IFERROR(INDEX(Pension_Model!$D$2:$D$29,MATCH(H352,Pension_Model!$B$2:$B$29,0)),0),IFERROR(INDEX(Pension_Model!$D$2:$D$29,MATCH(H353,Pension_Model!$B$2:$B$29,0)),0),IFERROR(INDEX(Pension_Model!$D$2:$D$29,MATCH(H354,Pension_Model!$B$2:$B$29,0)),0),IFERROR(INDEX(Pension_Model!$D$2:$D$29,MATCH(H355,Pension_Model!$B$2:$B$29,0)),0)),IF(VLOOKUP($A352,Calendar!$A$1:$R$1377,18,0)=5,SUM(IFERROR(INDEX(Pension_Model!$D$2:$D$29,MATCH(H352,Pension_Model!$B$2:$B$29,0)),0),IFERROR(INDEX(Pension_Model!$D$2:$D$29,MATCH(H353,Pension_Model!$B$2:$B$29,0)),0),IFERROR(INDEX(Pension_Model!$D$2:$D$29,MATCH(H354,Pension_Model!$B$2:$B$29,0)),0),IFERROR(INDEX(Pension_Model!$D$2:$D$29,MATCH(H355,Pension_Model!$B$2:$B$29,0)),0),IFERROR(INDEX(Pension_Model!$D$2:$D$29,MATCH(H356,Pension_Model!$B$2:$B$29,0)),0)),0))))))</f>
        <v>0</v>
      </c>
      <c r="Q352" s="28">
        <f>Population_Data!$B$15*P352</f>
        <v>0</v>
      </c>
      <c r="S352">
        <f t="shared" si="5"/>
        <v>0</v>
      </c>
      <c r="U352" s="33">
        <f>S352/Population_Data!$B$19</f>
        <v>0</v>
      </c>
    </row>
    <row r="353" spans="1:21">
      <c r="A353" s="25">
        <f>Calendar!A353</f>
        <v>46586</v>
      </c>
      <c r="B353" t="str">
        <f>Calendar!L353</f>
        <v>No</v>
      </c>
      <c r="C353" t="str">
        <f>Calendar!O353</f>
        <v>No</v>
      </c>
      <c r="D353" t="str">
        <f>Calendar!P353</f>
        <v>No</v>
      </c>
      <c r="E353" t="str">
        <f>Calendar!Q353</f>
        <v>No</v>
      </c>
      <c r="F353" t="str">
        <f>Calendar!I353</f>
        <v>Sunday</v>
      </c>
      <c r="G353">
        <f>Calendar!S353</f>
        <v>8</v>
      </c>
      <c r="H353">
        <f>Calendar!T353</f>
        <v>22</v>
      </c>
      <c r="I353" s="27">
        <f>IF(VLOOKUP(A353,Calendar!$A$1:$R$1377,18,0)=0,0,IF(VLOOKUP(A353,Calendar!$A$1:$R$1377,18,0)=1,INDEX(Monthly_Pay_Model!$A$9:$D$40,MATCH(TEXT(A353,"dd"),Monthly_Pay_Model!$C$9:$C$39,0),4),IF(VLOOKUP(A353,Calendar!$A$1:$R$1377,18,0)=2,SUM(INDEX(Monthly_Pay_Model!$A$9:$D$40,MATCH(TEXT(A353,"dd"),Monthly_Pay_Model!$C$9:$C$39,0),4),INDEX(Monthly_Pay_Model!$A$9:$D$40,MATCH(TEXT(A354,"dd"),Monthly_Pay_Model!$C$9:$C$39,0),4)),IF(VLOOKUP(A353,Calendar!$A$1:$R$1377,18,0)=3,SUM(INDEX(Monthly_Pay_Model!$A$9:$D$40,MATCH(TEXT(A353,"dd"),Monthly_Pay_Model!$C$9:$C$39,0),4),INDEX(Monthly_Pay_Model!$A$9:$D$40,MATCH(TEXT(A354,"dd"),Monthly_Pay_Model!$C$9:$C$39,0),4),INDEX(Monthly_Pay_Model!$A$9:$D$40,MATCH(TEXT(A355,"dd"),Monthly_Pay_Model!$C$9:$C$39,0),4)),IF(VLOOKUP(A353,Calendar!$A$1:$R$1377,18,0)=4,SUM(INDEX(Monthly_Pay_Model!$A$9:$D$40,MATCH(TEXT(A353,"dd"),Monthly_Pay_Model!$C$9:$C$39,0),4),INDEX(Monthly_Pay_Model!$A$9:$D$40,MATCH(TEXT(A354,"dd"),Monthly_Pay_Model!$C$9:$C$39,0),4),INDEX(Monthly_Pay_Model!$A$9:$D$40,MATCH(TEXT(A355,"dd"),Monthly_Pay_Model!$C$9:$C$39,0),4),INDEX(Monthly_Pay_Model!$A$9:$D$40,MATCH(TEXT(A356,"dd"),Monthly_Pay_Model!$C$9:$C$39,0),4)),IF(VLOOKUP(A353,Calendar!$A$1:$R$1377,18,0)=5,SUM(INDEX(Monthly_Pay_Model!$A$9:$D$40,MATCH(TEXT(A353,"dd"),Monthly_Pay_Model!$C$9:$C$39,0),4),INDEX(Monthly_Pay_Model!$A$9:$D$40,MATCH(TEXT(A354,"dd"),Monthly_Pay_Model!$C$9:$C$39,0),4),INDEX(Monthly_Pay_Model!$A$9:$D$40,MATCH(TEXT(A355,"dd"),Monthly_Pay_Model!$C$9:$C$39,0),4),INDEX(Monthly_Pay_Model!$A$9:$D$40,MATCH(TEXT(A356,"dd"),Monthly_Pay_Model!$C$9:$C$39,0),4),INDEX(Monthly_Pay_Model!$A$9:$D$40,MATCH(TEXT(A357,"dd"),Monthly_Pay_Model!$C$9:$C$39,0),4)),))))))</f>
        <v>0</v>
      </c>
      <c r="J353" s="33">
        <f>IF(C353="Yes",Monthly_Pay_Model!$D$2,0)
+IF(Calendar!N353="Yes",Monthly_Pay_Model!$D$3,0)
+IF(D353="Yes",Monthly_Pay_Model!$D$4,0)
+IF(E353="Yes",Monthly_Pay_Model!$D$5,0)</f>
        <v>0</v>
      </c>
      <c r="K353" s="27">
        <f>IF(VLOOKUP($A353,Calendar!$A$1:$R$1377,18,0)=0,0,IF(VLOOKUP($A353,Calendar!$A$1:$R$1377,18,0)=1,IFERROR(INDEX(Weekly_Model!$D$2:$D$9,MATCH(F353,Weekly_Model!$A$2:$A$9,0)),0),IF(VLOOKUP($A353,Calendar!$A$1:$R$1377,18,0)=2,SUM(IFERROR(INDEX(Weekly_Model!$D$2:$D$9,MATCH(F353,Weekly_Model!$A$2:$A$9,0)),0),IFERROR(INDEX(Weekly_Model!$D$2:$D$9,MATCH(F354,Weekly_Model!$A$2:$A$9,0)),0)),IF(VLOOKUP($A353,Calendar!$A$1:$R$1377,18,0)=3,SUM(IFERROR(INDEX(Weekly_Model!$D$2:$D$9,MATCH(F353,Weekly_Model!$A$2:$A$9,0)),0),IFERROR(INDEX(Weekly_Model!$D$2:$D$9,MATCH(F354,Weekly_Model!$A$2:$A$9,0)),0),IFERROR(INDEX(Weekly_Model!$D$2:$D$9,MATCH(F355,Weekly_Model!$A$2:$A$9,0)),0)),IF(VLOOKUP($A353,Calendar!$A$1:$R$1377,18,0)=4,SUM(IFERROR(INDEX(Weekly_Model!$D$2:$D$9,MATCH(F353,Weekly_Model!$A$2:$A$9,0)),0),IFERROR(INDEX(Weekly_Model!$D$2:$D$9,MATCH(F354,Weekly_Model!$A$2:$A$9,0)),0),IFERROR(INDEX(Weekly_Model!$D$2:$D$9,MATCH(F355,Weekly_Model!$A$2:$A$9,0)),0),IFERROR(INDEX(Weekly_Model!$D$2:$D$9,MATCH(F356,Weekly_Model!$A$2:$A$9,0)),0)),IF(VLOOKUP($A353,Calendar!$A$1:$R$1377,18,0)=5,SUM(IFERROR(INDEX(Weekly_Model!$D$2:$D$9,MATCH(F353,Weekly_Model!$A$2:$A$9,0)),0),IFERROR(INDEX(Weekly_Model!$D$2:$D$9,MATCH(F354,Weekly_Model!$A$2:$A$9,0)),0),IFERROR(INDEX(Weekly_Model!$D$2:$D$9,MATCH(F355,Weekly_Model!$A$2:$A$9,0)),0),IFERROR(INDEX(Weekly_Model!$D$2:$D$9,MATCH(F356,Weekly_Model!$A$2:$A$9,0)),0),IFERROR(INDEX(Weekly_Model!$D$2:$D$9,MATCH(F357,Weekly_Model!$A$2:$A$9,0)),0)),0))))))</f>
        <v>0</v>
      </c>
      <c r="L353" s="27">
        <f>IF(VLOOKUP($A353,Calendar!$A$1:$R$1377,18,0)=0,0,IF(VLOOKUP($A353,Calendar!$A$1:$R$1377,18,0)=1,IFERROR(INDEX(Fortnightly_Model!$D$2:$D$15,MATCH(G353,Fortnightly_Model!$B$2:$B$15,0)),0),IF(VLOOKUP($A353,Calendar!$A$1:$R$1377,18,0)=2,SUM(IFERROR(INDEX(Fortnightly_Model!$D$2:$D$15,MATCH(G353,Fortnightly_Model!$B$2:$B$15,0)),0),IFERROR(INDEX(Fortnightly_Model!$D$2:$D$15,MATCH(G354,Fortnightly_Model!$B$2:$B$15,0)),0)),IF(VLOOKUP($A353,Calendar!$A$1:$R$1377,18,0)=3,SUM(IFERROR(INDEX(Fortnightly_Model!$D$2:$D$15,MATCH(G353,Fortnightly_Model!$B$2:$B$15,0)),0),IFERROR(INDEX(Fortnightly_Model!$D$2:$D$15,MATCH(G354,Fortnightly_Model!$B$2:$B$15,0)),0),IFERROR(INDEX(Fortnightly_Model!$D$2:$D$15,MATCH(G355,Fortnightly_Model!$B$2:$B$15,0)),0)),IF(VLOOKUP($A353,Calendar!$A$1:$R$1377,18,0)=4,SUM(IFERROR(INDEX(Fortnightly_Model!$D$2:$D$15,MATCH(G353,Fortnightly_Model!$B$2:$B$15,0)),0),IFERROR(INDEX(Fortnightly_Model!$D$2:$D$15,MATCH(G354,Fortnightly_Model!$B$2:$B$15,0)),0),IFERROR(INDEX(Fortnightly_Model!$D$2:$D$15,MATCH(G355,Fortnightly_Model!$B$2:$B$15,0)),0),IFERROR(INDEX(Fortnightly_Model!$D$2:$D$15,MATCH(G356,Fortnightly_Model!$B$2:$B$15,0)),0)),IF(VLOOKUP($A353,Calendar!$A$1:$R$1377,18,0)=5,SUM(IFERROR(INDEX(Fortnightly_Model!$D$2:$D$15,MATCH(G353,Fortnightly_Model!$B$2:$B$15,0)),0),IFERROR(INDEX(Fortnightly_Model!$D$2:$D$15,MATCH(G354,Fortnightly_Model!$B$2:$B$15,0)),0),IFERROR(INDEX(Fortnightly_Model!$D$2:$D$15,MATCH(G355,Fortnightly_Model!$B$2:$B$15,0)),0),IFERROR(INDEX(Fortnightly_Model!$D$2:$D$15,MATCH(G356,Fortnightly_Model!$B$2:$B$15,0)),0),IFERROR(INDEX(Fortnightly_Model!$D$2:$D$15,MATCH(G357,Fortnightly_Model!$B$2:$B$15,0)),0)),0))))))</f>
        <v>0</v>
      </c>
      <c r="M353" s="27">
        <f>IF(VLOOKUP($A353,Calendar!$A$1:$R$1377,18,0)=0,0,IF(VLOOKUP($A353,Calendar!$A$1:$R$1377,18,0)=1,IFERROR(INDEX(FourWeekly_Model!$D$2:$D$29,MATCH(H353,FourWeekly_Model!$B$2:$B$29,0)),0),IF(VLOOKUP($A353,Calendar!$A$1:$R$1377,18,0)=2,SUM(IFERROR(INDEX(FourWeekly_Model!$D$2:$D$29,MATCH(H353,FourWeekly_Model!$B$2:$B$29,0)),0),IFERROR(INDEX(FourWeekly_Model!$D$2:$D$29,MATCH(H354,FourWeekly_Model!$B$2:$B$29,0)),0)),IF(VLOOKUP($A353,Calendar!$A$1:$R$1377,18,0)=3,SUM(IFERROR(INDEX(FourWeekly_Model!$D$2:$D$29,MATCH(H353,FourWeekly_Model!$B$2:$B$29,0)),0),IFERROR(INDEX(FourWeekly_Model!$D$2:$D$29,MATCH(H354,FourWeekly_Model!$B$2:$B$29,0)),0),IFERROR(INDEX(FourWeekly_Model!$D$2:$D$29,MATCH(H355,FourWeekly_Model!$B$2:$B$29,0)),0)),IF(VLOOKUP($A353,Calendar!$A$1:$R$1377,18,0)=4,SUM(IFERROR(INDEX(FourWeekly_Model!$D$2:$D$29,MATCH(H353,FourWeekly_Model!$B$2:$B$29,0)),0),IFERROR(INDEX(FourWeekly_Model!$D$2:$D$29,MATCH(H354,FourWeekly_Model!$B$2:$B$29,0)),0),IFERROR(INDEX(FourWeekly_Model!$D$2:$D$29,MATCH(H355,FourWeekly_Model!$B$2:$B$29,0)),0),IFERROR(INDEX(FourWeekly_Model!$D$2:$D$29,MATCH(H356,FourWeekly_Model!$B$2:$B$29,0)),0)),IF(VLOOKUP($A353,Calendar!$A$1:$R$1377,18,0)=5,SUM(IFERROR(INDEX(FourWeekly_Model!$D$2:$D$29,MATCH(H353,FourWeekly_Model!$B$2:$B$29,0)),0),IFERROR(INDEX(FourWeekly_Model!$D$2:$D$29,MATCH(H354,FourWeekly_Model!$B$2:$B$29,0)),0),IFERROR(INDEX(FourWeekly_Model!$D$2:$D$29,MATCH(H355,FourWeekly_Model!$B$2:$B$29,0)),0),IFERROR(INDEX(FourWeekly_Model!$D$2:$D$29,MATCH(H356,FourWeekly_Model!$B$2:$B$29,0)),0),IFERROR(INDEX(FourWeekly_Model!$D$2:$D$29,MATCH(H357,FourWeekly_Model!$B$2:$B$29,0)),0)),0))))))</f>
        <v>0</v>
      </c>
      <c r="N353" s="27">
        <f>SUM(I353:M353)</f>
        <v>0</v>
      </c>
      <c r="O353" s="28">
        <f>Population_Data!$B$8*N353</f>
        <v>0</v>
      </c>
      <c r="P353" s="27">
        <f>IF(VLOOKUP($A353,Calendar!$A$1:$R$1377,18,0)=0,0,IF(VLOOKUP($A353,Calendar!$A$1:$R$1377,18,0)=1,IFERROR(INDEX(Pension_Model!$D$2:$D$29,MATCH(H353,Pension_Model!$B$2:$B$29,0)),0),IF(VLOOKUP($A353,Calendar!$A$1:$R$1377,18,0)=2,SUM(IFERROR(INDEX(Pension_Model!$D$2:$D$29,MATCH(H353,Pension_Model!$B$2:$B$29,0)),0),IFERROR(INDEX(Pension_Model!$D$2:$D$29,MATCH(H354,Pension_Model!$B$2:$B$29,0)),0)),IF(VLOOKUP($A353,Calendar!$A$1:$R$1377,18,0)=3,SUM(IFERROR(INDEX(Pension_Model!$D$2:$D$29,MATCH(H353,Pension_Model!$B$2:$B$29,0)),0),IFERROR(INDEX(Pension_Model!$D$2:$D$29,MATCH(H354,Pension_Model!$B$2:$B$29,0)),0),IFERROR(INDEX(Pension_Model!$D$2:$D$29,MATCH(H355,Pension_Model!$B$2:$B$29,0)),0)),IF(VLOOKUP($A353,Calendar!$A$1:$R$1377,18,0)=4,SUM(IFERROR(INDEX(Pension_Model!$D$2:$D$29,MATCH(H353,Pension_Model!$B$2:$B$29,0)),0),IFERROR(INDEX(Pension_Model!$D$2:$D$29,MATCH(H354,Pension_Model!$B$2:$B$29,0)),0),IFERROR(INDEX(Pension_Model!$D$2:$D$29,MATCH(H355,Pension_Model!$B$2:$B$29,0)),0),IFERROR(INDEX(Pension_Model!$D$2:$D$29,MATCH(H356,Pension_Model!$B$2:$B$29,0)),0)),IF(VLOOKUP($A353,Calendar!$A$1:$R$1377,18,0)=5,SUM(IFERROR(INDEX(Pension_Model!$D$2:$D$29,MATCH(H353,Pension_Model!$B$2:$B$29,0)),0),IFERROR(INDEX(Pension_Model!$D$2:$D$29,MATCH(H354,Pension_Model!$B$2:$B$29,0)),0),IFERROR(INDEX(Pension_Model!$D$2:$D$29,MATCH(H355,Pension_Model!$B$2:$B$29,0)),0),IFERROR(INDEX(Pension_Model!$D$2:$D$29,MATCH(H356,Pension_Model!$B$2:$B$29,0)),0),IFERROR(INDEX(Pension_Model!$D$2:$D$29,MATCH(H357,Pension_Model!$B$2:$B$29,0)),0)),0))))))</f>
        <v>0</v>
      </c>
      <c r="Q353" s="28">
        <f>Population_Data!$B$15*P353</f>
        <v>0</v>
      </c>
      <c r="S353">
        <f t="shared" si="5"/>
        <v>0</v>
      </c>
      <c r="U353" s="33">
        <f>S353/Population_Data!$B$19</f>
        <v>0</v>
      </c>
    </row>
    <row r="354" spans="1:21">
      <c r="A354" s="25">
        <f>Calendar!A354</f>
        <v>46587</v>
      </c>
      <c r="B354" t="str">
        <f>Calendar!L354</f>
        <v>Yes</v>
      </c>
      <c r="C354" t="str">
        <f>Calendar!O354</f>
        <v>No</v>
      </c>
      <c r="D354" t="str">
        <f>Calendar!P354</f>
        <v>No</v>
      </c>
      <c r="E354" t="str">
        <f>Calendar!Q354</f>
        <v>No</v>
      </c>
      <c r="F354" t="str">
        <f>Calendar!I354</f>
        <v>Monday</v>
      </c>
      <c r="G354">
        <f>Calendar!S354</f>
        <v>9</v>
      </c>
      <c r="H354">
        <f>Calendar!T354</f>
        <v>23</v>
      </c>
      <c r="I354" s="27">
        <f>IF(VLOOKUP(A354,Calendar!$A$1:$R$1377,18,0)=0,0,IF(VLOOKUP(A354,Calendar!$A$1:$R$1377,18,0)=1,INDEX(Monthly_Pay_Model!$A$9:$D$40,MATCH(TEXT(A354,"dd"),Monthly_Pay_Model!$C$9:$C$39,0),4),IF(VLOOKUP(A354,Calendar!$A$1:$R$1377,18,0)=2,SUM(INDEX(Monthly_Pay_Model!$A$9:$D$40,MATCH(TEXT(A354,"dd"),Monthly_Pay_Model!$C$9:$C$39,0),4),INDEX(Monthly_Pay_Model!$A$9:$D$40,MATCH(TEXT(A355,"dd"),Monthly_Pay_Model!$C$9:$C$39,0),4)),IF(VLOOKUP(A354,Calendar!$A$1:$R$1377,18,0)=3,SUM(INDEX(Monthly_Pay_Model!$A$9:$D$40,MATCH(TEXT(A354,"dd"),Monthly_Pay_Model!$C$9:$C$39,0),4),INDEX(Monthly_Pay_Model!$A$9:$D$40,MATCH(TEXT(A355,"dd"),Monthly_Pay_Model!$C$9:$C$39,0),4),INDEX(Monthly_Pay_Model!$A$9:$D$40,MATCH(TEXT(A356,"dd"),Monthly_Pay_Model!$C$9:$C$39,0),4)),IF(VLOOKUP(A354,Calendar!$A$1:$R$1377,18,0)=4,SUM(INDEX(Monthly_Pay_Model!$A$9:$D$40,MATCH(TEXT(A354,"dd"),Monthly_Pay_Model!$C$9:$C$39,0),4),INDEX(Monthly_Pay_Model!$A$9:$D$40,MATCH(TEXT(A355,"dd"),Monthly_Pay_Model!$C$9:$C$39,0),4),INDEX(Monthly_Pay_Model!$A$9:$D$40,MATCH(TEXT(A356,"dd"),Monthly_Pay_Model!$C$9:$C$39,0),4),INDEX(Monthly_Pay_Model!$A$9:$D$40,MATCH(TEXT(A357,"dd"),Monthly_Pay_Model!$C$9:$C$39,0),4)),IF(VLOOKUP(A354,Calendar!$A$1:$R$1377,18,0)=5,SUM(INDEX(Monthly_Pay_Model!$A$9:$D$40,MATCH(TEXT(A354,"dd"),Monthly_Pay_Model!$C$9:$C$39,0),4),INDEX(Monthly_Pay_Model!$A$9:$D$40,MATCH(TEXT(A355,"dd"),Monthly_Pay_Model!$C$9:$C$39,0),4),INDEX(Monthly_Pay_Model!$A$9:$D$40,MATCH(TEXT(A356,"dd"),Monthly_Pay_Model!$C$9:$C$39,0),4),INDEX(Monthly_Pay_Model!$A$9:$D$40,MATCH(TEXT(A357,"dd"),Monthly_Pay_Model!$C$9:$C$39,0),4),INDEX(Monthly_Pay_Model!$A$9:$D$40,MATCH(TEXT(A358,"dd"),Monthly_Pay_Model!$C$9:$C$39,0),4)),))))))</f>
        <v>1.6251308900523558E-3</v>
      </c>
      <c r="J354" s="33">
        <f>IF(C354="Yes",Monthly_Pay_Model!$D$2,0)
+IF(Calendar!N354="Yes",Monthly_Pay_Model!$D$3,0)
+IF(D354="Yes",Monthly_Pay_Model!$D$4,0)
+IF(E354="Yes",Monthly_Pay_Model!$D$5,0)</f>
        <v>0</v>
      </c>
      <c r="K354" s="27">
        <f>IF(VLOOKUP($A354,Calendar!$A$1:$R$1377,18,0)=0,0,IF(VLOOKUP($A354,Calendar!$A$1:$R$1377,18,0)=1,IFERROR(INDEX(Weekly_Model!$D$2:$D$9,MATCH(F354,Weekly_Model!$A$2:$A$9,0)),0),IF(VLOOKUP($A354,Calendar!$A$1:$R$1377,18,0)=2,SUM(IFERROR(INDEX(Weekly_Model!$D$2:$D$9,MATCH(F354,Weekly_Model!$A$2:$A$9,0)),0),IFERROR(INDEX(Weekly_Model!$D$2:$D$9,MATCH(F355,Weekly_Model!$A$2:$A$9,0)),0)),IF(VLOOKUP($A354,Calendar!$A$1:$R$1377,18,0)=3,SUM(IFERROR(INDEX(Weekly_Model!$D$2:$D$9,MATCH(F354,Weekly_Model!$A$2:$A$9,0)),0),IFERROR(INDEX(Weekly_Model!$D$2:$D$9,MATCH(F355,Weekly_Model!$A$2:$A$9,0)),0),IFERROR(INDEX(Weekly_Model!$D$2:$D$9,MATCH(F356,Weekly_Model!$A$2:$A$9,0)),0)),IF(VLOOKUP($A354,Calendar!$A$1:$R$1377,18,0)=4,SUM(IFERROR(INDEX(Weekly_Model!$D$2:$D$9,MATCH(F354,Weekly_Model!$A$2:$A$9,0)),0),IFERROR(INDEX(Weekly_Model!$D$2:$D$9,MATCH(F355,Weekly_Model!$A$2:$A$9,0)),0),IFERROR(INDEX(Weekly_Model!$D$2:$D$9,MATCH(F356,Weekly_Model!$A$2:$A$9,0)),0),IFERROR(INDEX(Weekly_Model!$D$2:$D$9,MATCH(F357,Weekly_Model!$A$2:$A$9,0)),0)),IF(VLOOKUP($A354,Calendar!$A$1:$R$1377,18,0)=5,SUM(IFERROR(INDEX(Weekly_Model!$D$2:$D$9,MATCH(F354,Weekly_Model!$A$2:$A$9,0)),0),IFERROR(INDEX(Weekly_Model!$D$2:$D$9,MATCH(F355,Weekly_Model!$A$2:$A$9,0)),0),IFERROR(INDEX(Weekly_Model!$D$2:$D$9,MATCH(F356,Weekly_Model!$A$2:$A$9,0)),0),IFERROR(INDEX(Weekly_Model!$D$2:$D$9,MATCH(F357,Weekly_Model!$A$2:$A$9,0)),0),IFERROR(INDEX(Weekly_Model!$D$2:$D$9,MATCH(F358,Weekly_Model!$A$2:$A$9,0)),0)),0))))))</f>
        <v>2.3200000000000002E-2</v>
      </c>
      <c r="L354" s="27">
        <f>IF(VLOOKUP($A354,Calendar!$A$1:$R$1377,18,0)=0,0,IF(VLOOKUP($A354,Calendar!$A$1:$R$1377,18,0)=1,IFERROR(INDEX(Fortnightly_Model!$D$2:$D$15,MATCH(G354,Fortnightly_Model!$B$2:$B$15,0)),0),IF(VLOOKUP($A354,Calendar!$A$1:$R$1377,18,0)=2,SUM(IFERROR(INDEX(Fortnightly_Model!$D$2:$D$15,MATCH(G354,Fortnightly_Model!$B$2:$B$15,0)),0),IFERROR(INDEX(Fortnightly_Model!$D$2:$D$15,MATCH(G355,Fortnightly_Model!$B$2:$B$15,0)),0)),IF(VLOOKUP($A354,Calendar!$A$1:$R$1377,18,0)=3,SUM(IFERROR(INDEX(Fortnightly_Model!$D$2:$D$15,MATCH(G354,Fortnightly_Model!$B$2:$B$15,0)),0),IFERROR(INDEX(Fortnightly_Model!$D$2:$D$15,MATCH(G355,Fortnightly_Model!$B$2:$B$15,0)),0),IFERROR(INDEX(Fortnightly_Model!$D$2:$D$15,MATCH(G356,Fortnightly_Model!$B$2:$B$15,0)),0)),IF(VLOOKUP($A354,Calendar!$A$1:$R$1377,18,0)=4,SUM(IFERROR(INDEX(Fortnightly_Model!$D$2:$D$15,MATCH(G354,Fortnightly_Model!$B$2:$B$15,0)),0),IFERROR(INDEX(Fortnightly_Model!$D$2:$D$15,MATCH(G355,Fortnightly_Model!$B$2:$B$15,0)),0),IFERROR(INDEX(Fortnightly_Model!$D$2:$D$15,MATCH(G356,Fortnightly_Model!$B$2:$B$15,0)),0),IFERROR(INDEX(Fortnightly_Model!$D$2:$D$15,MATCH(G357,Fortnightly_Model!$B$2:$B$15,0)),0)),IF(VLOOKUP($A354,Calendar!$A$1:$R$1377,18,0)=5,SUM(IFERROR(INDEX(Fortnightly_Model!$D$2:$D$15,MATCH(G354,Fortnightly_Model!$B$2:$B$15,0)),0),IFERROR(INDEX(Fortnightly_Model!$D$2:$D$15,MATCH(G355,Fortnightly_Model!$B$2:$B$15,0)),0),IFERROR(INDEX(Fortnightly_Model!$D$2:$D$15,MATCH(G356,Fortnightly_Model!$B$2:$B$15,0)),0),IFERROR(INDEX(Fortnightly_Model!$D$2:$D$15,MATCH(G357,Fortnightly_Model!$B$2:$B$15,0)),0),IFERROR(INDEX(Fortnightly_Model!$D$2:$D$15,MATCH(G358,Fortnightly_Model!$B$2:$B$15,0)),0)),0))))))</f>
        <v>1.0714285499999999E-3</v>
      </c>
      <c r="M354" s="27">
        <f>IF(VLOOKUP($A354,Calendar!$A$1:$R$1377,18,0)=0,0,IF(VLOOKUP($A354,Calendar!$A$1:$R$1377,18,0)=1,IFERROR(INDEX(FourWeekly_Model!$D$2:$D$29,MATCH(H354,FourWeekly_Model!$B$2:$B$29,0)),0),IF(VLOOKUP($A354,Calendar!$A$1:$R$1377,18,0)=2,SUM(IFERROR(INDEX(FourWeekly_Model!$D$2:$D$29,MATCH(H354,FourWeekly_Model!$B$2:$B$29,0)),0),IFERROR(INDEX(FourWeekly_Model!$D$2:$D$29,MATCH(H355,FourWeekly_Model!$B$2:$B$29,0)),0)),IF(VLOOKUP($A354,Calendar!$A$1:$R$1377,18,0)=3,SUM(IFERROR(INDEX(FourWeekly_Model!$D$2:$D$29,MATCH(H354,FourWeekly_Model!$B$2:$B$29,0)),0),IFERROR(INDEX(FourWeekly_Model!$D$2:$D$29,MATCH(H355,FourWeekly_Model!$B$2:$B$29,0)),0),IFERROR(INDEX(FourWeekly_Model!$D$2:$D$29,MATCH(H356,FourWeekly_Model!$B$2:$B$29,0)),0)),IF(VLOOKUP($A354,Calendar!$A$1:$R$1377,18,0)=4,SUM(IFERROR(INDEX(FourWeekly_Model!$D$2:$D$29,MATCH(H354,FourWeekly_Model!$B$2:$B$29,0)),0),IFERROR(INDEX(FourWeekly_Model!$D$2:$D$29,MATCH(H355,FourWeekly_Model!$B$2:$B$29,0)),0),IFERROR(INDEX(FourWeekly_Model!$D$2:$D$29,MATCH(H356,FourWeekly_Model!$B$2:$B$29,0)),0),IFERROR(INDEX(FourWeekly_Model!$D$2:$D$29,MATCH(H357,FourWeekly_Model!$B$2:$B$29,0)),0)),IF(VLOOKUP($A354,Calendar!$A$1:$R$1377,18,0)=5,SUM(IFERROR(INDEX(FourWeekly_Model!$D$2:$D$29,MATCH(H354,FourWeekly_Model!$B$2:$B$29,0)),0),IFERROR(INDEX(FourWeekly_Model!$D$2:$D$29,MATCH(H355,FourWeekly_Model!$B$2:$B$29,0)),0),IFERROR(INDEX(FourWeekly_Model!$D$2:$D$29,MATCH(H356,FourWeekly_Model!$B$2:$B$29,0)),0),IFERROR(INDEX(FourWeekly_Model!$D$2:$D$29,MATCH(H357,FourWeekly_Model!$B$2:$B$29,0)),0),IFERROR(INDEX(FourWeekly_Model!$D$2:$D$29,MATCH(H358,FourWeekly_Model!$B$2:$B$29,0)),0)),0))))))</f>
        <v>3.3214289700000004E-3</v>
      </c>
      <c r="N354" s="27">
        <f>SUM(I354:M354)</f>
        <v>2.921798841005236E-2</v>
      </c>
      <c r="O354" s="28">
        <f>Population_Data!$B$8*N354</f>
        <v>885305.04882458656</v>
      </c>
      <c r="P354" s="27">
        <f>IF(VLOOKUP($A354,Calendar!$A$1:$R$1377,18,0)=0,0,IF(VLOOKUP($A354,Calendar!$A$1:$R$1377,18,0)=1,IFERROR(INDEX(Pension_Model!$D$2:$D$29,MATCH(H354,Pension_Model!$B$2:$B$29,0)),0),IF(VLOOKUP($A354,Calendar!$A$1:$R$1377,18,0)=2,SUM(IFERROR(INDEX(Pension_Model!$D$2:$D$29,MATCH(H354,Pension_Model!$B$2:$B$29,0)),0),IFERROR(INDEX(Pension_Model!$D$2:$D$29,MATCH(H355,Pension_Model!$B$2:$B$29,0)),0)),IF(VLOOKUP($A354,Calendar!$A$1:$R$1377,18,0)=3,SUM(IFERROR(INDEX(Pension_Model!$D$2:$D$29,MATCH(H354,Pension_Model!$B$2:$B$29,0)),0),IFERROR(INDEX(Pension_Model!$D$2:$D$29,MATCH(H355,Pension_Model!$B$2:$B$29,0)),0),IFERROR(INDEX(Pension_Model!$D$2:$D$29,MATCH(H356,Pension_Model!$B$2:$B$29,0)),0)),IF(VLOOKUP($A354,Calendar!$A$1:$R$1377,18,0)=4,SUM(IFERROR(INDEX(Pension_Model!$D$2:$D$29,MATCH(H354,Pension_Model!$B$2:$B$29,0)),0),IFERROR(INDEX(Pension_Model!$D$2:$D$29,MATCH(H355,Pension_Model!$B$2:$B$29,0)),0),IFERROR(INDEX(Pension_Model!$D$2:$D$29,MATCH(H356,Pension_Model!$B$2:$B$29,0)),0),IFERROR(INDEX(Pension_Model!$D$2:$D$29,MATCH(H357,Pension_Model!$B$2:$B$29,0)),0)),IF(VLOOKUP($A354,Calendar!$A$1:$R$1377,18,0)=5,SUM(IFERROR(INDEX(Pension_Model!$D$2:$D$29,MATCH(H354,Pension_Model!$B$2:$B$29,0)),0),IFERROR(INDEX(Pension_Model!$D$2:$D$29,MATCH(H355,Pension_Model!$B$2:$B$29,0)),0),IFERROR(INDEX(Pension_Model!$D$2:$D$29,MATCH(H356,Pension_Model!$B$2:$B$29,0)),0),IFERROR(INDEX(Pension_Model!$D$2:$D$29,MATCH(H357,Pension_Model!$B$2:$B$29,0)),0),IFERROR(INDEX(Pension_Model!$D$2:$D$29,MATCH(H358,Pension_Model!$B$2:$B$29,0)),0)),0))))))</f>
        <v>0.05</v>
      </c>
      <c r="Q354" s="28">
        <f>Population_Data!$B$15*P354</f>
        <v>660600</v>
      </c>
      <c r="S354">
        <f t="shared" si="5"/>
        <v>1545905.0488245864</v>
      </c>
      <c r="U354" s="33">
        <f>S354/Population_Data!$B$19</f>
        <v>2.8005526246822218E-2</v>
      </c>
    </row>
    <row r="355" spans="1:21">
      <c r="A355" s="25">
        <f>Calendar!A355</f>
        <v>46588</v>
      </c>
      <c r="B355" t="str">
        <f>Calendar!L355</f>
        <v>Yes</v>
      </c>
      <c r="C355" t="str">
        <f>Calendar!O355</f>
        <v>No</v>
      </c>
      <c r="D355" t="str">
        <f>Calendar!P355</f>
        <v>No</v>
      </c>
      <c r="E355" t="str">
        <f>Calendar!Q355</f>
        <v>No</v>
      </c>
      <c r="F355" t="str">
        <f>Calendar!I355</f>
        <v>Tuesday</v>
      </c>
      <c r="G355">
        <f>Calendar!S355</f>
        <v>10</v>
      </c>
      <c r="H355">
        <f>Calendar!T355</f>
        <v>24</v>
      </c>
      <c r="I355" s="27">
        <f>IF(VLOOKUP(A355,Calendar!$A$1:$R$1377,18,0)=0,0,IF(VLOOKUP(A355,Calendar!$A$1:$R$1377,18,0)=1,INDEX(Monthly_Pay_Model!$A$9:$D$40,MATCH(TEXT(A355,"dd"),Monthly_Pay_Model!$C$9:$C$39,0),4),IF(VLOOKUP(A355,Calendar!$A$1:$R$1377,18,0)=2,SUM(INDEX(Monthly_Pay_Model!$A$9:$D$40,MATCH(TEXT(A355,"dd"),Monthly_Pay_Model!$C$9:$C$39,0),4),INDEX(Monthly_Pay_Model!$A$9:$D$40,MATCH(TEXT(A356,"dd"),Monthly_Pay_Model!$C$9:$C$39,0),4)),IF(VLOOKUP(A355,Calendar!$A$1:$R$1377,18,0)=3,SUM(INDEX(Monthly_Pay_Model!$A$9:$D$40,MATCH(TEXT(A355,"dd"),Monthly_Pay_Model!$C$9:$C$39,0),4),INDEX(Monthly_Pay_Model!$A$9:$D$40,MATCH(TEXT(A356,"dd"),Monthly_Pay_Model!$C$9:$C$39,0),4),INDEX(Monthly_Pay_Model!$A$9:$D$40,MATCH(TEXT(A357,"dd"),Monthly_Pay_Model!$C$9:$C$39,0),4)),IF(VLOOKUP(A355,Calendar!$A$1:$R$1377,18,0)=4,SUM(INDEX(Monthly_Pay_Model!$A$9:$D$40,MATCH(TEXT(A355,"dd"),Monthly_Pay_Model!$C$9:$C$39,0),4),INDEX(Monthly_Pay_Model!$A$9:$D$40,MATCH(TEXT(A356,"dd"),Monthly_Pay_Model!$C$9:$C$39,0),4),INDEX(Monthly_Pay_Model!$A$9:$D$40,MATCH(TEXT(A357,"dd"),Monthly_Pay_Model!$C$9:$C$39,0),4),INDEX(Monthly_Pay_Model!$A$9:$D$40,MATCH(TEXT(A358,"dd"),Monthly_Pay_Model!$C$9:$C$39,0),4)),IF(VLOOKUP(A355,Calendar!$A$1:$R$1377,18,0)=5,SUM(INDEX(Monthly_Pay_Model!$A$9:$D$40,MATCH(TEXT(A355,"dd"),Monthly_Pay_Model!$C$9:$C$39,0),4),INDEX(Monthly_Pay_Model!$A$9:$D$40,MATCH(TEXT(A356,"dd"),Monthly_Pay_Model!$C$9:$C$39,0),4),INDEX(Monthly_Pay_Model!$A$9:$D$40,MATCH(TEXT(A357,"dd"),Monthly_Pay_Model!$C$9:$C$39,0),4),INDEX(Monthly_Pay_Model!$A$9:$D$40,MATCH(TEXT(A358,"dd"),Monthly_Pay_Model!$C$9:$C$39,0),4),INDEX(Monthly_Pay_Model!$A$9:$D$40,MATCH(TEXT(A359,"dd"),Monthly_Pay_Model!$C$9:$C$39,0),4)),))))))</f>
        <v>8.1256544502617788E-3</v>
      </c>
      <c r="J355" s="33">
        <f>IF(C355="Yes",Monthly_Pay_Model!$D$2,0)
+IF(Calendar!N355="Yes",Monthly_Pay_Model!$D$3,0)
+IF(D355="Yes",Monthly_Pay_Model!$D$4,0)
+IF(E355="Yes",Monthly_Pay_Model!$D$5,0)</f>
        <v>0</v>
      </c>
      <c r="K355" s="27">
        <f>IF(VLOOKUP($A355,Calendar!$A$1:$R$1377,18,0)=0,0,IF(VLOOKUP($A355,Calendar!$A$1:$R$1377,18,0)=1,IFERROR(INDEX(Weekly_Model!$D$2:$D$9,MATCH(F355,Weekly_Model!$A$2:$A$9,0)),0),IF(VLOOKUP($A355,Calendar!$A$1:$R$1377,18,0)=2,SUM(IFERROR(INDEX(Weekly_Model!$D$2:$D$9,MATCH(F355,Weekly_Model!$A$2:$A$9,0)),0),IFERROR(INDEX(Weekly_Model!$D$2:$D$9,MATCH(F356,Weekly_Model!$A$2:$A$9,0)),0)),IF(VLOOKUP($A355,Calendar!$A$1:$R$1377,18,0)=3,SUM(IFERROR(INDEX(Weekly_Model!$D$2:$D$9,MATCH(F355,Weekly_Model!$A$2:$A$9,0)),0),IFERROR(INDEX(Weekly_Model!$D$2:$D$9,MATCH(F356,Weekly_Model!$A$2:$A$9,0)),0),IFERROR(INDEX(Weekly_Model!$D$2:$D$9,MATCH(F357,Weekly_Model!$A$2:$A$9,0)),0)),IF(VLOOKUP($A355,Calendar!$A$1:$R$1377,18,0)=4,SUM(IFERROR(INDEX(Weekly_Model!$D$2:$D$9,MATCH(F355,Weekly_Model!$A$2:$A$9,0)),0),IFERROR(INDEX(Weekly_Model!$D$2:$D$9,MATCH(F356,Weekly_Model!$A$2:$A$9,0)),0),IFERROR(INDEX(Weekly_Model!$D$2:$D$9,MATCH(F357,Weekly_Model!$A$2:$A$9,0)),0),IFERROR(INDEX(Weekly_Model!$D$2:$D$9,MATCH(F358,Weekly_Model!$A$2:$A$9,0)),0)),IF(VLOOKUP($A355,Calendar!$A$1:$R$1377,18,0)=5,SUM(IFERROR(INDEX(Weekly_Model!$D$2:$D$9,MATCH(F355,Weekly_Model!$A$2:$A$9,0)),0),IFERROR(INDEX(Weekly_Model!$D$2:$D$9,MATCH(F356,Weekly_Model!$A$2:$A$9,0)),0),IFERROR(INDEX(Weekly_Model!$D$2:$D$9,MATCH(F357,Weekly_Model!$A$2:$A$9,0)),0),IFERROR(INDEX(Weekly_Model!$D$2:$D$9,MATCH(F358,Weekly_Model!$A$2:$A$9,0)),0),IFERROR(INDEX(Weekly_Model!$D$2:$D$9,MATCH(F359,Weekly_Model!$A$2:$A$9,0)),0)),0))))))</f>
        <v>2.3200000000000002E-2</v>
      </c>
      <c r="L355" s="27">
        <f>IF(VLOOKUP($A355,Calendar!$A$1:$R$1377,18,0)=0,0,IF(VLOOKUP($A355,Calendar!$A$1:$R$1377,18,0)=1,IFERROR(INDEX(Fortnightly_Model!$D$2:$D$15,MATCH(G355,Fortnightly_Model!$B$2:$B$15,0)),0),IF(VLOOKUP($A355,Calendar!$A$1:$R$1377,18,0)=2,SUM(IFERROR(INDEX(Fortnightly_Model!$D$2:$D$15,MATCH(G355,Fortnightly_Model!$B$2:$B$15,0)),0),IFERROR(INDEX(Fortnightly_Model!$D$2:$D$15,MATCH(G356,Fortnightly_Model!$B$2:$B$15,0)),0)),IF(VLOOKUP($A355,Calendar!$A$1:$R$1377,18,0)=3,SUM(IFERROR(INDEX(Fortnightly_Model!$D$2:$D$15,MATCH(G355,Fortnightly_Model!$B$2:$B$15,0)),0),IFERROR(INDEX(Fortnightly_Model!$D$2:$D$15,MATCH(G356,Fortnightly_Model!$B$2:$B$15,0)),0),IFERROR(INDEX(Fortnightly_Model!$D$2:$D$15,MATCH(G357,Fortnightly_Model!$B$2:$B$15,0)),0)),IF(VLOOKUP($A355,Calendar!$A$1:$R$1377,18,0)=4,SUM(IFERROR(INDEX(Fortnightly_Model!$D$2:$D$15,MATCH(G355,Fortnightly_Model!$B$2:$B$15,0)),0),IFERROR(INDEX(Fortnightly_Model!$D$2:$D$15,MATCH(G356,Fortnightly_Model!$B$2:$B$15,0)),0),IFERROR(INDEX(Fortnightly_Model!$D$2:$D$15,MATCH(G357,Fortnightly_Model!$B$2:$B$15,0)),0),IFERROR(INDEX(Fortnightly_Model!$D$2:$D$15,MATCH(G358,Fortnightly_Model!$B$2:$B$15,0)),0)),IF(VLOOKUP($A355,Calendar!$A$1:$R$1377,18,0)=5,SUM(IFERROR(INDEX(Fortnightly_Model!$D$2:$D$15,MATCH(G355,Fortnightly_Model!$B$2:$B$15,0)),0),IFERROR(INDEX(Fortnightly_Model!$D$2:$D$15,MATCH(G356,Fortnightly_Model!$B$2:$B$15,0)),0),IFERROR(INDEX(Fortnightly_Model!$D$2:$D$15,MATCH(G357,Fortnightly_Model!$B$2:$B$15,0)),0),IFERROR(INDEX(Fortnightly_Model!$D$2:$D$15,MATCH(G358,Fortnightly_Model!$B$2:$B$15,0)),0),IFERROR(INDEX(Fortnightly_Model!$D$2:$D$15,MATCH(G359,Fortnightly_Model!$B$2:$B$15,0)),0)),0))))))</f>
        <v>1.0714285499999999E-3</v>
      </c>
      <c r="M355" s="27">
        <f>IF(VLOOKUP($A355,Calendar!$A$1:$R$1377,18,0)=0,0,IF(VLOOKUP($A355,Calendar!$A$1:$R$1377,18,0)=1,IFERROR(INDEX(FourWeekly_Model!$D$2:$D$29,MATCH(H355,FourWeekly_Model!$B$2:$B$29,0)),0),IF(VLOOKUP($A355,Calendar!$A$1:$R$1377,18,0)=2,SUM(IFERROR(INDEX(FourWeekly_Model!$D$2:$D$29,MATCH(H355,FourWeekly_Model!$B$2:$B$29,0)),0),IFERROR(INDEX(FourWeekly_Model!$D$2:$D$29,MATCH(H356,FourWeekly_Model!$B$2:$B$29,0)),0)),IF(VLOOKUP($A355,Calendar!$A$1:$R$1377,18,0)=3,SUM(IFERROR(INDEX(FourWeekly_Model!$D$2:$D$29,MATCH(H355,FourWeekly_Model!$B$2:$B$29,0)),0),IFERROR(INDEX(FourWeekly_Model!$D$2:$D$29,MATCH(H356,FourWeekly_Model!$B$2:$B$29,0)),0),IFERROR(INDEX(FourWeekly_Model!$D$2:$D$29,MATCH(H357,FourWeekly_Model!$B$2:$B$29,0)),0)),IF(VLOOKUP($A355,Calendar!$A$1:$R$1377,18,0)=4,SUM(IFERROR(INDEX(FourWeekly_Model!$D$2:$D$29,MATCH(H355,FourWeekly_Model!$B$2:$B$29,0)),0),IFERROR(INDEX(FourWeekly_Model!$D$2:$D$29,MATCH(H356,FourWeekly_Model!$B$2:$B$29,0)),0),IFERROR(INDEX(FourWeekly_Model!$D$2:$D$29,MATCH(H357,FourWeekly_Model!$B$2:$B$29,0)),0),IFERROR(INDEX(FourWeekly_Model!$D$2:$D$29,MATCH(H358,FourWeekly_Model!$B$2:$B$29,0)),0)),IF(VLOOKUP($A355,Calendar!$A$1:$R$1377,18,0)=5,SUM(IFERROR(INDEX(FourWeekly_Model!$D$2:$D$29,MATCH(H355,FourWeekly_Model!$B$2:$B$29,0)),0),IFERROR(INDEX(FourWeekly_Model!$D$2:$D$29,MATCH(H356,FourWeekly_Model!$B$2:$B$29,0)),0),IFERROR(INDEX(FourWeekly_Model!$D$2:$D$29,MATCH(H357,FourWeekly_Model!$B$2:$B$29,0)),0),IFERROR(INDEX(FourWeekly_Model!$D$2:$D$29,MATCH(H358,FourWeekly_Model!$B$2:$B$29,0)),0),IFERROR(INDEX(FourWeekly_Model!$D$2:$D$29,MATCH(H359,FourWeekly_Model!$B$2:$B$29,0)),0)),0))))))</f>
        <v>3.3214289700000004E-3</v>
      </c>
      <c r="N355" s="27">
        <f>SUM(I355:M355)</f>
        <v>3.5718511970261782E-2</v>
      </c>
      <c r="O355" s="28">
        <f>Population_Data!$B$8*N355</f>
        <v>1082270.912698932</v>
      </c>
      <c r="P355" s="27">
        <f>IF(VLOOKUP($A355,Calendar!$A$1:$R$1377,18,0)=0,0,IF(VLOOKUP($A355,Calendar!$A$1:$R$1377,18,0)=1,IFERROR(INDEX(Pension_Model!$D$2:$D$29,MATCH(H355,Pension_Model!$B$2:$B$29,0)),0),IF(VLOOKUP($A355,Calendar!$A$1:$R$1377,18,0)=2,SUM(IFERROR(INDEX(Pension_Model!$D$2:$D$29,MATCH(H355,Pension_Model!$B$2:$B$29,0)),0),IFERROR(INDEX(Pension_Model!$D$2:$D$29,MATCH(H356,Pension_Model!$B$2:$B$29,0)),0)),IF(VLOOKUP($A355,Calendar!$A$1:$R$1377,18,0)=3,SUM(IFERROR(INDEX(Pension_Model!$D$2:$D$29,MATCH(H355,Pension_Model!$B$2:$B$29,0)),0),IFERROR(INDEX(Pension_Model!$D$2:$D$29,MATCH(H356,Pension_Model!$B$2:$B$29,0)),0),IFERROR(INDEX(Pension_Model!$D$2:$D$29,MATCH(H357,Pension_Model!$B$2:$B$29,0)),0)),IF(VLOOKUP($A355,Calendar!$A$1:$R$1377,18,0)=4,SUM(IFERROR(INDEX(Pension_Model!$D$2:$D$29,MATCH(H355,Pension_Model!$B$2:$B$29,0)),0),IFERROR(INDEX(Pension_Model!$D$2:$D$29,MATCH(H356,Pension_Model!$B$2:$B$29,0)),0),IFERROR(INDEX(Pension_Model!$D$2:$D$29,MATCH(H357,Pension_Model!$B$2:$B$29,0)),0),IFERROR(INDEX(Pension_Model!$D$2:$D$29,MATCH(H358,Pension_Model!$B$2:$B$29,0)),0)),IF(VLOOKUP($A355,Calendar!$A$1:$R$1377,18,0)=5,SUM(IFERROR(INDEX(Pension_Model!$D$2:$D$29,MATCH(H355,Pension_Model!$B$2:$B$29,0)),0),IFERROR(INDEX(Pension_Model!$D$2:$D$29,MATCH(H356,Pension_Model!$B$2:$B$29,0)),0),IFERROR(INDEX(Pension_Model!$D$2:$D$29,MATCH(H357,Pension_Model!$B$2:$B$29,0)),0),IFERROR(INDEX(Pension_Model!$D$2:$D$29,MATCH(H358,Pension_Model!$B$2:$B$29,0)),0),IFERROR(INDEX(Pension_Model!$D$2:$D$29,MATCH(H359,Pension_Model!$B$2:$B$29,0)),0)),0))))))</f>
        <v>0.05</v>
      </c>
      <c r="Q355" s="28">
        <f>Population_Data!$B$15*P355</f>
        <v>660600</v>
      </c>
      <c r="S355">
        <f t="shared" si="5"/>
        <v>1742870.912698932</v>
      </c>
      <c r="U355" s="33">
        <f>S355/Population_Data!$B$19</f>
        <v>3.1573748418458912E-2</v>
      </c>
    </row>
    <row r="356" spans="1:21">
      <c r="A356" s="25">
        <f>Calendar!A356</f>
        <v>46589</v>
      </c>
      <c r="B356" t="str">
        <f>Calendar!L356</f>
        <v>Yes</v>
      </c>
      <c r="C356" t="str">
        <f>Calendar!O356</f>
        <v>No</v>
      </c>
      <c r="D356" t="str">
        <f>Calendar!P356</f>
        <v>No</v>
      </c>
      <c r="E356" t="str">
        <f>Calendar!Q356</f>
        <v>No</v>
      </c>
      <c r="F356" t="str">
        <f>Calendar!I356</f>
        <v>Wednesday</v>
      </c>
      <c r="G356">
        <f>Calendar!S356</f>
        <v>11</v>
      </c>
      <c r="H356">
        <f>Calendar!T356</f>
        <v>25</v>
      </c>
      <c r="I356" s="27">
        <f>IF(VLOOKUP(A356,Calendar!$A$1:$R$1377,18,0)=0,0,IF(VLOOKUP(A356,Calendar!$A$1:$R$1377,18,0)=1,INDEX(Monthly_Pay_Model!$A$9:$D$40,MATCH(TEXT(A356,"dd"),Monthly_Pay_Model!$C$9:$C$39,0),4),IF(VLOOKUP(A356,Calendar!$A$1:$R$1377,18,0)=2,SUM(INDEX(Monthly_Pay_Model!$A$9:$D$40,MATCH(TEXT(A356,"dd"),Monthly_Pay_Model!$C$9:$C$39,0),4),INDEX(Monthly_Pay_Model!$A$9:$D$40,MATCH(TEXT(A357,"dd"),Monthly_Pay_Model!$C$9:$C$39,0),4)),IF(VLOOKUP(A356,Calendar!$A$1:$R$1377,18,0)=3,SUM(INDEX(Monthly_Pay_Model!$A$9:$D$40,MATCH(TEXT(A356,"dd"),Monthly_Pay_Model!$C$9:$C$39,0),4),INDEX(Monthly_Pay_Model!$A$9:$D$40,MATCH(TEXT(A357,"dd"),Monthly_Pay_Model!$C$9:$C$39,0),4),INDEX(Monthly_Pay_Model!$A$9:$D$40,MATCH(TEXT(A358,"dd"),Monthly_Pay_Model!$C$9:$C$39,0),4)),IF(VLOOKUP(A356,Calendar!$A$1:$R$1377,18,0)=4,SUM(INDEX(Monthly_Pay_Model!$A$9:$D$40,MATCH(TEXT(A356,"dd"),Monthly_Pay_Model!$C$9:$C$39,0),4),INDEX(Monthly_Pay_Model!$A$9:$D$40,MATCH(TEXT(A357,"dd"),Monthly_Pay_Model!$C$9:$C$39,0),4),INDEX(Monthly_Pay_Model!$A$9:$D$40,MATCH(TEXT(A358,"dd"),Monthly_Pay_Model!$C$9:$C$39,0),4),INDEX(Monthly_Pay_Model!$A$9:$D$40,MATCH(TEXT(A359,"dd"),Monthly_Pay_Model!$C$9:$C$39,0),4)),IF(VLOOKUP(A356,Calendar!$A$1:$R$1377,18,0)=5,SUM(INDEX(Monthly_Pay_Model!$A$9:$D$40,MATCH(TEXT(A356,"dd"),Monthly_Pay_Model!$C$9:$C$39,0),4),INDEX(Monthly_Pay_Model!$A$9:$D$40,MATCH(TEXT(A357,"dd"),Monthly_Pay_Model!$C$9:$C$39,0),4),INDEX(Monthly_Pay_Model!$A$9:$D$40,MATCH(TEXT(A358,"dd"),Monthly_Pay_Model!$C$9:$C$39,0),4),INDEX(Monthly_Pay_Model!$A$9:$D$40,MATCH(TEXT(A359,"dd"),Monthly_Pay_Model!$C$9:$C$39,0),4),INDEX(Monthly_Pay_Model!$A$9:$D$40,MATCH(TEXT(A360,"dd"),Monthly_Pay_Model!$C$9:$C$39,0),4)),))))))</f>
        <v>4.8753926701570662E-3</v>
      </c>
      <c r="J356" s="33">
        <f>IF(C356="Yes",Monthly_Pay_Model!$D$2,0)
+IF(Calendar!N356="Yes",Monthly_Pay_Model!$D$3,0)
+IF(D356="Yes",Monthly_Pay_Model!$D$4,0)
+IF(E356="Yes",Monthly_Pay_Model!$D$5,0)</f>
        <v>0</v>
      </c>
      <c r="K356" s="27">
        <f>IF(VLOOKUP($A356,Calendar!$A$1:$R$1377,18,0)=0,0,IF(VLOOKUP($A356,Calendar!$A$1:$R$1377,18,0)=1,IFERROR(INDEX(Weekly_Model!$D$2:$D$9,MATCH(F356,Weekly_Model!$A$2:$A$9,0)),0),IF(VLOOKUP($A356,Calendar!$A$1:$R$1377,18,0)=2,SUM(IFERROR(INDEX(Weekly_Model!$D$2:$D$9,MATCH(F356,Weekly_Model!$A$2:$A$9,0)),0),IFERROR(INDEX(Weekly_Model!$D$2:$D$9,MATCH(F357,Weekly_Model!$A$2:$A$9,0)),0)),IF(VLOOKUP($A356,Calendar!$A$1:$R$1377,18,0)=3,SUM(IFERROR(INDEX(Weekly_Model!$D$2:$D$9,MATCH(F356,Weekly_Model!$A$2:$A$9,0)),0),IFERROR(INDEX(Weekly_Model!$D$2:$D$9,MATCH(F357,Weekly_Model!$A$2:$A$9,0)),0),IFERROR(INDEX(Weekly_Model!$D$2:$D$9,MATCH(F358,Weekly_Model!$A$2:$A$9,0)),0)),IF(VLOOKUP($A356,Calendar!$A$1:$R$1377,18,0)=4,SUM(IFERROR(INDEX(Weekly_Model!$D$2:$D$9,MATCH(F356,Weekly_Model!$A$2:$A$9,0)),0),IFERROR(INDEX(Weekly_Model!$D$2:$D$9,MATCH(F357,Weekly_Model!$A$2:$A$9,0)),0),IFERROR(INDEX(Weekly_Model!$D$2:$D$9,MATCH(F358,Weekly_Model!$A$2:$A$9,0)),0),IFERROR(INDEX(Weekly_Model!$D$2:$D$9,MATCH(F359,Weekly_Model!$A$2:$A$9,0)),0)),IF(VLOOKUP($A356,Calendar!$A$1:$R$1377,18,0)=5,SUM(IFERROR(INDEX(Weekly_Model!$D$2:$D$9,MATCH(F356,Weekly_Model!$A$2:$A$9,0)),0),IFERROR(INDEX(Weekly_Model!$D$2:$D$9,MATCH(F357,Weekly_Model!$A$2:$A$9,0)),0),IFERROR(INDEX(Weekly_Model!$D$2:$D$9,MATCH(F358,Weekly_Model!$A$2:$A$9,0)),0),IFERROR(INDEX(Weekly_Model!$D$2:$D$9,MATCH(F359,Weekly_Model!$A$2:$A$9,0)),0),IFERROR(INDEX(Weekly_Model!$D$2:$D$9,MATCH(F360,Weekly_Model!$A$2:$A$9,0)),0)),0))))))</f>
        <v>2.3200000000000002E-2</v>
      </c>
      <c r="L356" s="27">
        <f>IF(VLOOKUP($A356,Calendar!$A$1:$R$1377,18,0)=0,0,IF(VLOOKUP($A356,Calendar!$A$1:$R$1377,18,0)=1,IFERROR(INDEX(Fortnightly_Model!$D$2:$D$15,MATCH(G356,Fortnightly_Model!$B$2:$B$15,0)),0),IF(VLOOKUP($A356,Calendar!$A$1:$R$1377,18,0)=2,SUM(IFERROR(INDEX(Fortnightly_Model!$D$2:$D$15,MATCH(G356,Fortnightly_Model!$B$2:$B$15,0)),0),IFERROR(INDEX(Fortnightly_Model!$D$2:$D$15,MATCH(G357,Fortnightly_Model!$B$2:$B$15,0)),0)),IF(VLOOKUP($A356,Calendar!$A$1:$R$1377,18,0)=3,SUM(IFERROR(INDEX(Fortnightly_Model!$D$2:$D$15,MATCH(G356,Fortnightly_Model!$B$2:$B$15,0)),0),IFERROR(INDEX(Fortnightly_Model!$D$2:$D$15,MATCH(G357,Fortnightly_Model!$B$2:$B$15,0)),0),IFERROR(INDEX(Fortnightly_Model!$D$2:$D$15,MATCH(G358,Fortnightly_Model!$B$2:$B$15,0)),0)),IF(VLOOKUP($A356,Calendar!$A$1:$R$1377,18,0)=4,SUM(IFERROR(INDEX(Fortnightly_Model!$D$2:$D$15,MATCH(G356,Fortnightly_Model!$B$2:$B$15,0)),0),IFERROR(INDEX(Fortnightly_Model!$D$2:$D$15,MATCH(G357,Fortnightly_Model!$B$2:$B$15,0)),0),IFERROR(INDEX(Fortnightly_Model!$D$2:$D$15,MATCH(G358,Fortnightly_Model!$B$2:$B$15,0)),0),IFERROR(INDEX(Fortnightly_Model!$D$2:$D$15,MATCH(G359,Fortnightly_Model!$B$2:$B$15,0)),0)),IF(VLOOKUP($A356,Calendar!$A$1:$R$1377,18,0)=5,SUM(IFERROR(INDEX(Fortnightly_Model!$D$2:$D$15,MATCH(G356,Fortnightly_Model!$B$2:$B$15,0)),0),IFERROR(INDEX(Fortnightly_Model!$D$2:$D$15,MATCH(G357,Fortnightly_Model!$B$2:$B$15,0)),0),IFERROR(INDEX(Fortnightly_Model!$D$2:$D$15,MATCH(G358,Fortnightly_Model!$B$2:$B$15,0)),0),IFERROR(INDEX(Fortnightly_Model!$D$2:$D$15,MATCH(G359,Fortnightly_Model!$B$2:$B$15,0)),0),IFERROR(INDEX(Fortnightly_Model!$D$2:$D$15,MATCH(G360,Fortnightly_Model!$B$2:$B$15,0)),0)),0))))))</f>
        <v>1.0714285499999999E-3</v>
      </c>
      <c r="M356" s="27">
        <f>IF(VLOOKUP($A356,Calendar!$A$1:$R$1377,18,0)=0,0,IF(VLOOKUP($A356,Calendar!$A$1:$R$1377,18,0)=1,IFERROR(INDEX(FourWeekly_Model!$D$2:$D$29,MATCH(H356,FourWeekly_Model!$B$2:$B$29,0)),0),IF(VLOOKUP($A356,Calendar!$A$1:$R$1377,18,0)=2,SUM(IFERROR(INDEX(FourWeekly_Model!$D$2:$D$29,MATCH(H356,FourWeekly_Model!$B$2:$B$29,0)),0),IFERROR(INDEX(FourWeekly_Model!$D$2:$D$29,MATCH(H357,FourWeekly_Model!$B$2:$B$29,0)),0)),IF(VLOOKUP($A356,Calendar!$A$1:$R$1377,18,0)=3,SUM(IFERROR(INDEX(FourWeekly_Model!$D$2:$D$29,MATCH(H356,FourWeekly_Model!$B$2:$B$29,0)),0),IFERROR(INDEX(FourWeekly_Model!$D$2:$D$29,MATCH(H357,FourWeekly_Model!$B$2:$B$29,0)),0),IFERROR(INDEX(FourWeekly_Model!$D$2:$D$29,MATCH(H358,FourWeekly_Model!$B$2:$B$29,0)),0)),IF(VLOOKUP($A356,Calendar!$A$1:$R$1377,18,0)=4,SUM(IFERROR(INDEX(FourWeekly_Model!$D$2:$D$29,MATCH(H356,FourWeekly_Model!$B$2:$B$29,0)),0),IFERROR(INDEX(FourWeekly_Model!$D$2:$D$29,MATCH(H357,FourWeekly_Model!$B$2:$B$29,0)),0),IFERROR(INDEX(FourWeekly_Model!$D$2:$D$29,MATCH(H358,FourWeekly_Model!$B$2:$B$29,0)),0),IFERROR(INDEX(FourWeekly_Model!$D$2:$D$29,MATCH(H359,FourWeekly_Model!$B$2:$B$29,0)),0)),IF(VLOOKUP($A356,Calendar!$A$1:$R$1377,18,0)=5,SUM(IFERROR(INDEX(FourWeekly_Model!$D$2:$D$29,MATCH(H356,FourWeekly_Model!$B$2:$B$29,0)),0),IFERROR(INDEX(FourWeekly_Model!$D$2:$D$29,MATCH(H357,FourWeekly_Model!$B$2:$B$29,0)),0),IFERROR(INDEX(FourWeekly_Model!$D$2:$D$29,MATCH(H358,FourWeekly_Model!$B$2:$B$29,0)),0),IFERROR(INDEX(FourWeekly_Model!$D$2:$D$29,MATCH(H359,FourWeekly_Model!$B$2:$B$29,0)),0),IFERROR(INDEX(FourWeekly_Model!$D$2:$D$29,MATCH(H360,FourWeekly_Model!$B$2:$B$29,0)),0)),0))))))</f>
        <v>3.3214289700000004E-3</v>
      </c>
      <c r="N356" s="27">
        <f>SUM(I356:M356)</f>
        <v>3.2468250190157068E-2</v>
      </c>
      <c r="O356" s="28">
        <f>Population_Data!$B$8*N356</f>
        <v>983787.9807617591</v>
      </c>
      <c r="P356" s="27">
        <f>IF(VLOOKUP($A356,Calendar!$A$1:$R$1377,18,0)=0,0,IF(VLOOKUP($A356,Calendar!$A$1:$R$1377,18,0)=1,IFERROR(INDEX(Pension_Model!$D$2:$D$29,MATCH(H356,Pension_Model!$B$2:$B$29,0)),0),IF(VLOOKUP($A356,Calendar!$A$1:$R$1377,18,0)=2,SUM(IFERROR(INDEX(Pension_Model!$D$2:$D$29,MATCH(H356,Pension_Model!$B$2:$B$29,0)),0),IFERROR(INDEX(Pension_Model!$D$2:$D$29,MATCH(H357,Pension_Model!$B$2:$B$29,0)),0)),IF(VLOOKUP($A356,Calendar!$A$1:$R$1377,18,0)=3,SUM(IFERROR(INDEX(Pension_Model!$D$2:$D$29,MATCH(H356,Pension_Model!$B$2:$B$29,0)),0),IFERROR(INDEX(Pension_Model!$D$2:$D$29,MATCH(H357,Pension_Model!$B$2:$B$29,0)),0),IFERROR(INDEX(Pension_Model!$D$2:$D$29,MATCH(H358,Pension_Model!$B$2:$B$29,0)),0)),IF(VLOOKUP($A356,Calendar!$A$1:$R$1377,18,0)=4,SUM(IFERROR(INDEX(Pension_Model!$D$2:$D$29,MATCH(H356,Pension_Model!$B$2:$B$29,0)),0),IFERROR(INDEX(Pension_Model!$D$2:$D$29,MATCH(H357,Pension_Model!$B$2:$B$29,0)),0),IFERROR(INDEX(Pension_Model!$D$2:$D$29,MATCH(H358,Pension_Model!$B$2:$B$29,0)),0),IFERROR(INDEX(Pension_Model!$D$2:$D$29,MATCH(H359,Pension_Model!$B$2:$B$29,0)),0)),IF(VLOOKUP($A356,Calendar!$A$1:$R$1377,18,0)=5,SUM(IFERROR(INDEX(Pension_Model!$D$2:$D$29,MATCH(H356,Pension_Model!$B$2:$B$29,0)),0),IFERROR(INDEX(Pension_Model!$D$2:$D$29,MATCH(H357,Pension_Model!$B$2:$B$29,0)),0),IFERROR(INDEX(Pension_Model!$D$2:$D$29,MATCH(H358,Pension_Model!$B$2:$B$29,0)),0),IFERROR(INDEX(Pension_Model!$D$2:$D$29,MATCH(H359,Pension_Model!$B$2:$B$29,0)),0),IFERROR(INDEX(Pension_Model!$D$2:$D$29,MATCH(H360,Pension_Model!$B$2:$B$29,0)),0)),0))))))</f>
        <v>0.05</v>
      </c>
      <c r="Q356" s="28">
        <f>Population_Data!$B$15*P356</f>
        <v>660600</v>
      </c>
      <c r="S356">
        <f t="shared" si="5"/>
        <v>1644387.980761759</v>
      </c>
      <c r="U356" s="33">
        <f>S356/Population_Data!$B$19</f>
        <v>2.9789637332640562E-2</v>
      </c>
    </row>
    <row r="357" spans="1:21">
      <c r="A357" s="25">
        <f>Calendar!A357</f>
        <v>46590</v>
      </c>
      <c r="B357" t="str">
        <f>Calendar!L357</f>
        <v>Yes</v>
      </c>
      <c r="C357" t="str">
        <f>Calendar!O357</f>
        <v>No</v>
      </c>
      <c r="D357" t="str">
        <f>Calendar!P357</f>
        <v>No</v>
      </c>
      <c r="E357" t="str">
        <f>Calendar!Q357</f>
        <v>No</v>
      </c>
      <c r="F357" t="str">
        <f>Calendar!I357</f>
        <v>Thursday</v>
      </c>
      <c r="G357">
        <f>Calendar!S357</f>
        <v>12</v>
      </c>
      <c r="H357">
        <f>Calendar!T357</f>
        <v>26</v>
      </c>
      <c r="I357" s="27">
        <f>IF(VLOOKUP(A357,Calendar!$A$1:$R$1377,18,0)=0,0,IF(VLOOKUP(A357,Calendar!$A$1:$R$1377,18,0)=1,INDEX(Monthly_Pay_Model!$A$9:$D$40,MATCH(TEXT(A357,"dd"),Monthly_Pay_Model!$C$9:$C$39,0),4),IF(VLOOKUP(A357,Calendar!$A$1:$R$1377,18,0)=2,SUM(INDEX(Monthly_Pay_Model!$A$9:$D$40,MATCH(TEXT(A357,"dd"),Monthly_Pay_Model!$C$9:$C$39,0),4),INDEX(Monthly_Pay_Model!$A$9:$D$40,MATCH(TEXT(A358,"dd"),Monthly_Pay_Model!$C$9:$C$39,0),4)),IF(VLOOKUP(A357,Calendar!$A$1:$R$1377,18,0)=3,SUM(INDEX(Monthly_Pay_Model!$A$9:$D$40,MATCH(TEXT(A357,"dd"),Monthly_Pay_Model!$C$9:$C$39,0),4),INDEX(Monthly_Pay_Model!$A$9:$D$40,MATCH(TEXT(A358,"dd"),Monthly_Pay_Model!$C$9:$C$39,0),4),INDEX(Monthly_Pay_Model!$A$9:$D$40,MATCH(TEXT(A359,"dd"),Monthly_Pay_Model!$C$9:$C$39,0),4)),IF(VLOOKUP(A357,Calendar!$A$1:$R$1377,18,0)=4,SUM(INDEX(Monthly_Pay_Model!$A$9:$D$40,MATCH(TEXT(A357,"dd"),Monthly_Pay_Model!$C$9:$C$39,0),4),INDEX(Monthly_Pay_Model!$A$9:$D$40,MATCH(TEXT(A358,"dd"),Monthly_Pay_Model!$C$9:$C$39,0),4),INDEX(Monthly_Pay_Model!$A$9:$D$40,MATCH(TEXT(A359,"dd"),Monthly_Pay_Model!$C$9:$C$39,0),4),INDEX(Monthly_Pay_Model!$A$9:$D$40,MATCH(TEXT(A360,"dd"),Monthly_Pay_Model!$C$9:$C$39,0),4)),IF(VLOOKUP(A357,Calendar!$A$1:$R$1377,18,0)=5,SUM(INDEX(Monthly_Pay_Model!$A$9:$D$40,MATCH(TEXT(A357,"dd"),Monthly_Pay_Model!$C$9:$C$39,0),4),INDEX(Monthly_Pay_Model!$A$9:$D$40,MATCH(TEXT(A358,"dd"),Monthly_Pay_Model!$C$9:$C$39,0),4),INDEX(Monthly_Pay_Model!$A$9:$D$40,MATCH(TEXT(A359,"dd"),Monthly_Pay_Model!$C$9:$C$39,0),4),INDEX(Monthly_Pay_Model!$A$9:$D$40,MATCH(TEXT(A360,"dd"),Monthly_Pay_Model!$C$9:$C$39,0),4),INDEX(Monthly_Pay_Model!$A$9:$D$40,MATCH(TEXT(A361,"dd"),Monthly_Pay_Model!$C$9:$C$39,0),4)),))))))</f>
        <v>3.2502617801047117E-3</v>
      </c>
      <c r="J357" s="33">
        <f>IF(C357="Yes",Monthly_Pay_Model!$D$2,0)
+IF(Calendar!N357="Yes",Monthly_Pay_Model!$D$3,0)
+IF(D357="Yes",Monthly_Pay_Model!$D$4,0)
+IF(E357="Yes",Monthly_Pay_Model!$D$5,0)</f>
        <v>0</v>
      </c>
      <c r="K357" s="27">
        <f>IF(VLOOKUP($A357,Calendar!$A$1:$R$1377,18,0)=0,0,IF(VLOOKUP($A357,Calendar!$A$1:$R$1377,18,0)=1,IFERROR(INDEX(Weekly_Model!$D$2:$D$9,MATCH(F357,Weekly_Model!$A$2:$A$9,0)),0),IF(VLOOKUP($A357,Calendar!$A$1:$R$1377,18,0)=2,SUM(IFERROR(INDEX(Weekly_Model!$D$2:$D$9,MATCH(F357,Weekly_Model!$A$2:$A$9,0)),0),IFERROR(INDEX(Weekly_Model!$D$2:$D$9,MATCH(F358,Weekly_Model!$A$2:$A$9,0)),0)),IF(VLOOKUP($A357,Calendar!$A$1:$R$1377,18,0)=3,SUM(IFERROR(INDEX(Weekly_Model!$D$2:$D$9,MATCH(F357,Weekly_Model!$A$2:$A$9,0)),0),IFERROR(INDEX(Weekly_Model!$D$2:$D$9,MATCH(F358,Weekly_Model!$A$2:$A$9,0)),0),IFERROR(INDEX(Weekly_Model!$D$2:$D$9,MATCH(F359,Weekly_Model!$A$2:$A$9,0)),0)),IF(VLOOKUP($A357,Calendar!$A$1:$R$1377,18,0)=4,SUM(IFERROR(INDEX(Weekly_Model!$D$2:$D$9,MATCH(F357,Weekly_Model!$A$2:$A$9,0)),0),IFERROR(INDEX(Weekly_Model!$D$2:$D$9,MATCH(F358,Weekly_Model!$A$2:$A$9,0)),0),IFERROR(INDEX(Weekly_Model!$D$2:$D$9,MATCH(F359,Weekly_Model!$A$2:$A$9,0)),0),IFERROR(INDEX(Weekly_Model!$D$2:$D$9,MATCH(F360,Weekly_Model!$A$2:$A$9,0)),0)),IF(VLOOKUP($A357,Calendar!$A$1:$R$1377,18,0)=5,SUM(IFERROR(INDEX(Weekly_Model!$D$2:$D$9,MATCH(F357,Weekly_Model!$A$2:$A$9,0)),0),IFERROR(INDEX(Weekly_Model!$D$2:$D$9,MATCH(F358,Weekly_Model!$A$2:$A$9,0)),0),IFERROR(INDEX(Weekly_Model!$D$2:$D$9,MATCH(F359,Weekly_Model!$A$2:$A$9,0)),0),IFERROR(INDEX(Weekly_Model!$D$2:$D$9,MATCH(F360,Weekly_Model!$A$2:$A$9,0)),0),IFERROR(INDEX(Weekly_Model!$D$2:$D$9,MATCH(F361,Weekly_Model!$A$2:$A$9,0)),0)),0))))))</f>
        <v>2.3200000000000002E-2</v>
      </c>
      <c r="L357" s="27">
        <f>IF(VLOOKUP($A357,Calendar!$A$1:$R$1377,18,0)=0,0,IF(VLOOKUP($A357,Calendar!$A$1:$R$1377,18,0)=1,IFERROR(INDEX(Fortnightly_Model!$D$2:$D$15,MATCH(G357,Fortnightly_Model!$B$2:$B$15,0)),0),IF(VLOOKUP($A357,Calendar!$A$1:$R$1377,18,0)=2,SUM(IFERROR(INDEX(Fortnightly_Model!$D$2:$D$15,MATCH(G357,Fortnightly_Model!$B$2:$B$15,0)),0),IFERROR(INDEX(Fortnightly_Model!$D$2:$D$15,MATCH(G358,Fortnightly_Model!$B$2:$B$15,0)),0)),IF(VLOOKUP($A357,Calendar!$A$1:$R$1377,18,0)=3,SUM(IFERROR(INDEX(Fortnightly_Model!$D$2:$D$15,MATCH(G357,Fortnightly_Model!$B$2:$B$15,0)),0),IFERROR(INDEX(Fortnightly_Model!$D$2:$D$15,MATCH(G358,Fortnightly_Model!$B$2:$B$15,0)),0),IFERROR(INDEX(Fortnightly_Model!$D$2:$D$15,MATCH(G359,Fortnightly_Model!$B$2:$B$15,0)),0)),IF(VLOOKUP($A357,Calendar!$A$1:$R$1377,18,0)=4,SUM(IFERROR(INDEX(Fortnightly_Model!$D$2:$D$15,MATCH(G357,Fortnightly_Model!$B$2:$B$15,0)),0),IFERROR(INDEX(Fortnightly_Model!$D$2:$D$15,MATCH(G358,Fortnightly_Model!$B$2:$B$15,0)),0),IFERROR(INDEX(Fortnightly_Model!$D$2:$D$15,MATCH(G359,Fortnightly_Model!$B$2:$B$15,0)),0),IFERROR(INDEX(Fortnightly_Model!$D$2:$D$15,MATCH(G360,Fortnightly_Model!$B$2:$B$15,0)),0)),IF(VLOOKUP($A357,Calendar!$A$1:$R$1377,18,0)=5,SUM(IFERROR(INDEX(Fortnightly_Model!$D$2:$D$15,MATCH(G357,Fortnightly_Model!$B$2:$B$15,0)),0),IFERROR(INDEX(Fortnightly_Model!$D$2:$D$15,MATCH(G358,Fortnightly_Model!$B$2:$B$15,0)),0),IFERROR(INDEX(Fortnightly_Model!$D$2:$D$15,MATCH(G359,Fortnightly_Model!$B$2:$B$15,0)),0),IFERROR(INDEX(Fortnightly_Model!$D$2:$D$15,MATCH(G360,Fortnightly_Model!$B$2:$B$15,0)),0),IFERROR(INDEX(Fortnightly_Model!$D$2:$D$15,MATCH(G361,Fortnightly_Model!$B$2:$B$15,0)),0)),0))))))</f>
        <v>1.0714285499999999E-3</v>
      </c>
      <c r="M357" s="27">
        <f>IF(VLOOKUP($A357,Calendar!$A$1:$R$1377,18,0)=0,0,IF(VLOOKUP($A357,Calendar!$A$1:$R$1377,18,0)=1,IFERROR(INDEX(FourWeekly_Model!$D$2:$D$29,MATCH(H357,FourWeekly_Model!$B$2:$B$29,0)),0),IF(VLOOKUP($A357,Calendar!$A$1:$R$1377,18,0)=2,SUM(IFERROR(INDEX(FourWeekly_Model!$D$2:$D$29,MATCH(H357,FourWeekly_Model!$B$2:$B$29,0)),0),IFERROR(INDEX(FourWeekly_Model!$D$2:$D$29,MATCH(H358,FourWeekly_Model!$B$2:$B$29,0)),0)),IF(VLOOKUP($A357,Calendar!$A$1:$R$1377,18,0)=3,SUM(IFERROR(INDEX(FourWeekly_Model!$D$2:$D$29,MATCH(H357,FourWeekly_Model!$B$2:$B$29,0)),0),IFERROR(INDEX(FourWeekly_Model!$D$2:$D$29,MATCH(H358,FourWeekly_Model!$B$2:$B$29,0)),0),IFERROR(INDEX(FourWeekly_Model!$D$2:$D$29,MATCH(H359,FourWeekly_Model!$B$2:$B$29,0)),0)),IF(VLOOKUP($A357,Calendar!$A$1:$R$1377,18,0)=4,SUM(IFERROR(INDEX(FourWeekly_Model!$D$2:$D$29,MATCH(H357,FourWeekly_Model!$B$2:$B$29,0)),0),IFERROR(INDEX(FourWeekly_Model!$D$2:$D$29,MATCH(H358,FourWeekly_Model!$B$2:$B$29,0)),0),IFERROR(INDEX(FourWeekly_Model!$D$2:$D$29,MATCH(H359,FourWeekly_Model!$B$2:$B$29,0)),0),IFERROR(INDEX(FourWeekly_Model!$D$2:$D$29,MATCH(H360,FourWeekly_Model!$B$2:$B$29,0)),0)),IF(VLOOKUP($A357,Calendar!$A$1:$R$1377,18,0)=5,SUM(IFERROR(INDEX(FourWeekly_Model!$D$2:$D$29,MATCH(H357,FourWeekly_Model!$B$2:$B$29,0)),0),IFERROR(INDEX(FourWeekly_Model!$D$2:$D$29,MATCH(H358,FourWeekly_Model!$B$2:$B$29,0)),0),IFERROR(INDEX(FourWeekly_Model!$D$2:$D$29,MATCH(H359,FourWeekly_Model!$B$2:$B$29,0)),0),IFERROR(INDEX(FourWeekly_Model!$D$2:$D$29,MATCH(H360,FourWeekly_Model!$B$2:$B$29,0)),0),IFERROR(INDEX(FourWeekly_Model!$D$2:$D$29,MATCH(H361,FourWeekly_Model!$B$2:$B$29,0)),0)),0))))))</f>
        <v>3.3214289700000004E-3</v>
      </c>
      <c r="N357" s="27">
        <f>SUM(I357:M357)</f>
        <v>3.0843119300104714E-2</v>
      </c>
      <c r="O357" s="28">
        <f>Population_Data!$B$8*N357</f>
        <v>934546.51479317283</v>
      </c>
      <c r="P357" s="27">
        <f>IF(VLOOKUP($A357,Calendar!$A$1:$R$1377,18,0)=0,0,IF(VLOOKUP($A357,Calendar!$A$1:$R$1377,18,0)=1,IFERROR(INDEX(Pension_Model!$D$2:$D$29,MATCH(H357,Pension_Model!$B$2:$B$29,0)),0),IF(VLOOKUP($A357,Calendar!$A$1:$R$1377,18,0)=2,SUM(IFERROR(INDEX(Pension_Model!$D$2:$D$29,MATCH(H357,Pension_Model!$B$2:$B$29,0)),0),IFERROR(INDEX(Pension_Model!$D$2:$D$29,MATCH(H358,Pension_Model!$B$2:$B$29,0)),0)),IF(VLOOKUP($A357,Calendar!$A$1:$R$1377,18,0)=3,SUM(IFERROR(INDEX(Pension_Model!$D$2:$D$29,MATCH(H357,Pension_Model!$B$2:$B$29,0)),0),IFERROR(INDEX(Pension_Model!$D$2:$D$29,MATCH(H358,Pension_Model!$B$2:$B$29,0)),0),IFERROR(INDEX(Pension_Model!$D$2:$D$29,MATCH(H359,Pension_Model!$B$2:$B$29,0)),0)),IF(VLOOKUP($A357,Calendar!$A$1:$R$1377,18,0)=4,SUM(IFERROR(INDEX(Pension_Model!$D$2:$D$29,MATCH(H357,Pension_Model!$B$2:$B$29,0)),0),IFERROR(INDEX(Pension_Model!$D$2:$D$29,MATCH(H358,Pension_Model!$B$2:$B$29,0)),0),IFERROR(INDEX(Pension_Model!$D$2:$D$29,MATCH(H359,Pension_Model!$B$2:$B$29,0)),0),IFERROR(INDEX(Pension_Model!$D$2:$D$29,MATCH(H360,Pension_Model!$B$2:$B$29,0)),0)),IF(VLOOKUP($A357,Calendar!$A$1:$R$1377,18,0)=5,SUM(IFERROR(INDEX(Pension_Model!$D$2:$D$29,MATCH(H357,Pension_Model!$B$2:$B$29,0)),0),IFERROR(INDEX(Pension_Model!$D$2:$D$29,MATCH(H358,Pension_Model!$B$2:$B$29,0)),0),IFERROR(INDEX(Pension_Model!$D$2:$D$29,MATCH(H359,Pension_Model!$B$2:$B$29,0)),0),IFERROR(INDEX(Pension_Model!$D$2:$D$29,MATCH(H360,Pension_Model!$B$2:$B$29,0)),0),IFERROR(INDEX(Pension_Model!$D$2:$D$29,MATCH(H361,Pension_Model!$B$2:$B$29,0)),0)),0))))))</f>
        <v>0.05</v>
      </c>
      <c r="Q357" s="28">
        <f>Population_Data!$B$15*P357</f>
        <v>660600</v>
      </c>
      <c r="S357">
        <f t="shared" si="5"/>
        <v>1595146.5147931729</v>
      </c>
      <c r="U357" s="33">
        <f>S357/Population_Data!$B$19</f>
        <v>2.8897581789731393E-2</v>
      </c>
    </row>
    <row r="358" spans="1:21">
      <c r="A358" s="25">
        <f>Calendar!A358</f>
        <v>46591</v>
      </c>
      <c r="B358" t="str">
        <f>Calendar!L358</f>
        <v>Yes</v>
      </c>
      <c r="C358" t="str">
        <f>Calendar!O358</f>
        <v>No</v>
      </c>
      <c r="D358" t="str">
        <f>Calendar!P358</f>
        <v>No</v>
      </c>
      <c r="E358" t="str">
        <f>Calendar!Q358</f>
        <v>No</v>
      </c>
      <c r="F358" t="str">
        <f>Calendar!I358</f>
        <v>Friday</v>
      </c>
      <c r="G358">
        <f>Calendar!S358</f>
        <v>13</v>
      </c>
      <c r="H358">
        <f>Calendar!T358</f>
        <v>27</v>
      </c>
      <c r="I358" s="27">
        <f>IF(VLOOKUP(A358,Calendar!$A$1:$R$1377,18,0)=0,0,IF(VLOOKUP(A358,Calendar!$A$1:$R$1377,18,0)=1,INDEX(Monthly_Pay_Model!$A$9:$D$40,MATCH(TEXT(A358,"dd"),Monthly_Pay_Model!$C$9:$C$39,0),4),IF(VLOOKUP(A358,Calendar!$A$1:$R$1377,18,0)=2,SUM(INDEX(Monthly_Pay_Model!$A$9:$D$40,MATCH(TEXT(A358,"dd"),Monthly_Pay_Model!$C$9:$C$39,0),4),INDEX(Monthly_Pay_Model!$A$9:$D$40,MATCH(TEXT(A359,"dd"),Monthly_Pay_Model!$C$9:$C$39,0),4)),IF(VLOOKUP(A358,Calendar!$A$1:$R$1377,18,0)=3,SUM(INDEX(Monthly_Pay_Model!$A$9:$D$40,MATCH(TEXT(A358,"dd"),Monthly_Pay_Model!$C$9:$C$39,0),4),INDEX(Monthly_Pay_Model!$A$9:$D$40,MATCH(TEXT(A359,"dd"),Monthly_Pay_Model!$C$9:$C$39,0),4),INDEX(Monthly_Pay_Model!$A$9:$D$40,MATCH(TEXT(A360,"dd"),Monthly_Pay_Model!$C$9:$C$39,0),4)),IF(VLOOKUP(A358,Calendar!$A$1:$R$1377,18,0)=4,SUM(INDEX(Monthly_Pay_Model!$A$9:$D$40,MATCH(TEXT(A358,"dd"),Monthly_Pay_Model!$C$9:$C$39,0),4),INDEX(Monthly_Pay_Model!$A$9:$D$40,MATCH(TEXT(A359,"dd"),Monthly_Pay_Model!$C$9:$C$39,0),4),INDEX(Monthly_Pay_Model!$A$9:$D$40,MATCH(TEXT(A360,"dd"),Monthly_Pay_Model!$C$9:$C$39,0),4),INDEX(Monthly_Pay_Model!$A$9:$D$40,MATCH(TEXT(A361,"dd"),Monthly_Pay_Model!$C$9:$C$39,0),4)),IF(VLOOKUP(A358,Calendar!$A$1:$R$1377,18,0)=5,SUM(INDEX(Monthly_Pay_Model!$A$9:$D$40,MATCH(TEXT(A358,"dd"),Monthly_Pay_Model!$C$9:$C$39,0),4),INDEX(Monthly_Pay_Model!$A$9:$D$40,MATCH(TEXT(A359,"dd"),Monthly_Pay_Model!$C$9:$C$39,0),4),INDEX(Monthly_Pay_Model!$A$9:$D$40,MATCH(TEXT(A360,"dd"),Monthly_Pay_Model!$C$9:$C$39,0),4),INDEX(Monthly_Pay_Model!$A$9:$D$40,MATCH(TEXT(A361,"dd"),Monthly_Pay_Model!$C$9:$C$39,0),4),INDEX(Monthly_Pay_Model!$A$9:$D$40,MATCH(TEXT(A362,"dd"),Monthly_Pay_Model!$C$9:$C$39,0),4)),))))))</f>
        <v>3.3315183246073292E-2</v>
      </c>
      <c r="J358" s="33">
        <f>IF(C358="Yes",Monthly_Pay_Model!$D$2,0)
+IF(Calendar!N358="Yes",Monthly_Pay_Model!$D$3,0)
+IF(D358="Yes",Monthly_Pay_Model!$D$4,0)
+IF(E358="Yes",Monthly_Pay_Model!$D$5,0)</f>
        <v>0</v>
      </c>
      <c r="K358" s="27">
        <f>IF(VLOOKUP($A358,Calendar!$A$1:$R$1377,18,0)=0,0,IF(VLOOKUP($A358,Calendar!$A$1:$R$1377,18,0)=1,IFERROR(INDEX(Weekly_Model!$D$2:$D$9,MATCH(F358,Weekly_Model!$A$2:$A$9,0)),0),IF(VLOOKUP($A358,Calendar!$A$1:$R$1377,18,0)=2,SUM(IFERROR(INDEX(Weekly_Model!$D$2:$D$9,MATCH(F358,Weekly_Model!$A$2:$A$9,0)),0),IFERROR(INDEX(Weekly_Model!$D$2:$D$9,MATCH(F359,Weekly_Model!$A$2:$A$9,0)),0)),IF(VLOOKUP($A358,Calendar!$A$1:$R$1377,18,0)=3,SUM(IFERROR(INDEX(Weekly_Model!$D$2:$D$9,MATCH(F358,Weekly_Model!$A$2:$A$9,0)),0),IFERROR(INDEX(Weekly_Model!$D$2:$D$9,MATCH(F359,Weekly_Model!$A$2:$A$9,0)),0),IFERROR(INDEX(Weekly_Model!$D$2:$D$9,MATCH(F360,Weekly_Model!$A$2:$A$9,0)),0)),IF(VLOOKUP($A358,Calendar!$A$1:$R$1377,18,0)=4,SUM(IFERROR(INDEX(Weekly_Model!$D$2:$D$9,MATCH(F358,Weekly_Model!$A$2:$A$9,0)),0),IFERROR(INDEX(Weekly_Model!$D$2:$D$9,MATCH(F359,Weekly_Model!$A$2:$A$9,0)),0),IFERROR(INDEX(Weekly_Model!$D$2:$D$9,MATCH(F360,Weekly_Model!$A$2:$A$9,0)),0),IFERROR(INDEX(Weekly_Model!$D$2:$D$9,MATCH(F361,Weekly_Model!$A$2:$A$9,0)),0)),IF(VLOOKUP($A358,Calendar!$A$1:$R$1377,18,0)=5,SUM(IFERROR(INDEX(Weekly_Model!$D$2:$D$9,MATCH(F358,Weekly_Model!$A$2:$A$9,0)),0),IFERROR(INDEX(Weekly_Model!$D$2:$D$9,MATCH(F359,Weekly_Model!$A$2:$A$9,0)),0),IFERROR(INDEX(Weekly_Model!$D$2:$D$9,MATCH(F360,Weekly_Model!$A$2:$A$9,0)),0),IFERROR(INDEX(Weekly_Model!$D$2:$D$9,MATCH(F361,Weekly_Model!$A$2:$A$9,0)),0),IFERROR(INDEX(Weekly_Model!$D$2:$D$9,MATCH(F362,Weekly_Model!$A$2:$A$9,0)),0)),0))))))</f>
        <v>2.3200000000000002E-2</v>
      </c>
      <c r="L358" s="27">
        <f>IF(VLOOKUP($A358,Calendar!$A$1:$R$1377,18,0)=0,0,IF(VLOOKUP($A358,Calendar!$A$1:$R$1377,18,0)=1,IFERROR(INDEX(Fortnightly_Model!$D$2:$D$15,MATCH(G358,Fortnightly_Model!$B$2:$B$15,0)),0),IF(VLOOKUP($A358,Calendar!$A$1:$R$1377,18,0)=2,SUM(IFERROR(INDEX(Fortnightly_Model!$D$2:$D$15,MATCH(G358,Fortnightly_Model!$B$2:$B$15,0)),0),IFERROR(INDEX(Fortnightly_Model!$D$2:$D$15,MATCH(G359,Fortnightly_Model!$B$2:$B$15,0)),0)),IF(VLOOKUP($A358,Calendar!$A$1:$R$1377,18,0)=3,SUM(IFERROR(INDEX(Fortnightly_Model!$D$2:$D$15,MATCH(G358,Fortnightly_Model!$B$2:$B$15,0)),0),IFERROR(INDEX(Fortnightly_Model!$D$2:$D$15,MATCH(G359,Fortnightly_Model!$B$2:$B$15,0)),0),IFERROR(INDEX(Fortnightly_Model!$D$2:$D$15,MATCH(G360,Fortnightly_Model!$B$2:$B$15,0)),0)),IF(VLOOKUP($A358,Calendar!$A$1:$R$1377,18,0)=4,SUM(IFERROR(INDEX(Fortnightly_Model!$D$2:$D$15,MATCH(G358,Fortnightly_Model!$B$2:$B$15,0)),0),IFERROR(INDEX(Fortnightly_Model!$D$2:$D$15,MATCH(G359,Fortnightly_Model!$B$2:$B$15,0)),0),IFERROR(INDEX(Fortnightly_Model!$D$2:$D$15,MATCH(G360,Fortnightly_Model!$B$2:$B$15,0)),0),IFERROR(INDEX(Fortnightly_Model!$D$2:$D$15,MATCH(G361,Fortnightly_Model!$B$2:$B$15,0)),0)),IF(VLOOKUP($A358,Calendar!$A$1:$R$1377,18,0)=5,SUM(IFERROR(INDEX(Fortnightly_Model!$D$2:$D$15,MATCH(G358,Fortnightly_Model!$B$2:$B$15,0)),0),IFERROR(INDEX(Fortnightly_Model!$D$2:$D$15,MATCH(G359,Fortnightly_Model!$B$2:$B$15,0)),0),IFERROR(INDEX(Fortnightly_Model!$D$2:$D$15,MATCH(G360,Fortnightly_Model!$B$2:$B$15,0)),0),IFERROR(INDEX(Fortnightly_Model!$D$2:$D$15,MATCH(G361,Fortnightly_Model!$B$2:$B$15,0)),0),IFERROR(INDEX(Fortnightly_Model!$D$2:$D$15,MATCH(G362,Fortnightly_Model!$B$2:$B$15,0)),0)),0))))))</f>
        <v>3.2142856499999999E-3</v>
      </c>
      <c r="M358" s="27">
        <f>IF(VLOOKUP($A358,Calendar!$A$1:$R$1377,18,0)=0,0,IF(VLOOKUP($A358,Calendar!$A$1:$R$1377,18,0)=1,IFERROR(INDEX(FourWeekly_Model!$D$2:$D$29,MATCH(H358,FourWeekly_Model!$B$2:$B$29,0)),0),IF(VLOOKUP($A358,Calendar!$A$1:$R$1377,18,0)=2,SUM(IFERROR(INDEX(FourWeekly_Model!$D$2:$D$29,MATCH(H358,FourWeekly_Model!$B$2:$B$29,0)),0),IFERROR(INDEX(FourWeekly_Model!$D$2:$D$29,MATCH(H359,FourWeekly_Model!$B$2:$B$29,0)),0)),IF(VLOOKUP($A358,Calendar!$A$1:$R$1377,18,0)=3,SUM(IFERROR(INDEX(FourWeekly_Model!$D$2:$D$29,MATCH(H358,FourWeekly_Model!$B$2:$B$29,0)),0),IFERROR(INDEX(FourWeekly_Model!$D$2:$D$29,MATCH(H359,FourWeekly_Model!$B$2:$B$29,0)),0),IFERROR(INDEX(FourWeekly_Model!$D$2:$D$29,MATCH(H360,FourWeekly_Model!$B$2:$B$29,0)),0)),IF(VLOOKUP($A358,Calendar!$A$1:$R$1377,18,0)=4,SUM(IFERROR(INDEX(FourWeekly_Model!$D$2:$D$29,MATCH(H358,FourWeekly_Model!$B$2:$B$29,0)),0),IFERROR(INDEX(FourWeekly_Model!$D$2:$D$29,MATCH(H359,FourWeekly_Model!$B$2:$B$29,0)),0),IFERROR(INDEX(FourWeekly_Model!$D$2:$D$29,MATCH(H360,FourWeekly_Model!$B$2:$B$29,0)),0),IFERROR(INDEX(FourWeekly_Model!$D$2:$D$29,MATCH(H361,FourWeekly_Model!$B$2:$B$29,0)),0)),IF(VLOOKUP($A358,Calendar!$A$1:$R$1377,18,0)=5,SUM(IFERROR(INDEX(FourWeekly_Model!$D$2:$D$29,MATCH(H358,FourWeekly_Model!$B$2:$B$29,0)),0),IFERROR(INDEX(FourWeekly_Model!$D$2:$D$29,MATCH(H359,FourWeekly_Model!$B$2:$B$29,0)),0),IFERROR(INDEX(FourWeekly_Model!$D$2:$D$29,MATCH(H360,FourWeekly_Model!$B$2:$B$29,0)),0),IFERROR(INDEX(FourWeekly_Model!$D$2:$D$29,MATCH(H361,FourWeekly_Model!$B$2:$B$29,0)),0),IFERROR(INDEX(FourWeekly_Model!$D$2:$D$29,MATCH(H362,FourWeekly_Model!$B$2:$B$29,0)),0)),0))))))</f>
        <v>9.9642859800000011E-3</v>
      </c>
      <c r="N358" s="27">
        <f>SUM(I358:M358)</f>
        <v>6.9693754876073294E-2</v>
      </c>
      <c r="O358" s="28">
        <f>Population_Data!$B$8*N358</f>
        <v>2111720.7727450207</v>
      </c>
      <c r="P358" s="27">
        <f>IF(VLOOKUP($A358,Calendar!$A$1:$R$1377,18,0)=0,0,IF(VLOOKUP($A358,Calendar!$A$1:$R$1377,18,0)=1,IFERROR(INDEX(Pension_Model!$D$2:$D$29,MATCH(H358,Pension_Model!$B$2:$B$29,0)),0),IF(VLOOKUP($A358,Calendar!$A$1:$R$1377,18,0)=2,SUM(IFERROR(INDEX(Pension_Model!$D$2:$D$29,MATCH(H358,Pension_Model!$B$2:$B$29,0)),0),IFERROR(INDEX(Pension_Model!$D$2:$D$29,MATCH(H359,Pension_Model!$B$2:$B$29,0)),0)),IF(VLOOKUP($A358,Calendar!$A$1:$R$1377,18,0)=3,SUM(IFERROR(INDEX(Pension_Model!$D$2:$D$29,MATCH(H358,Pension_Model!$B$2:$B$29,0)),0),IFERROR(INDEX(Pension_Model!$D$2:$D$29,MATCH(H359,Pension_Model!$B$2:$B$29,0)),0),IFERROR(INDEX(Pension_Model!$D$2:$D$29,MATCH(H360,Pension_Model!$B$2:$B$29,0)),0)),IF(VLOOKUP($A358,Calendar!$A$1:$R$1377,18,0)=4,SUM(IFERROR(INDEX(Pension_Model!$D$2:$D$29,MATCH(H358,Pension_Model!$B$2:$B$29,0)),0),IFERROR(INDEX(Pension_Model!$D$2:$D$29,MATCH(H359,Pension_Model!$B$2:$B$29,0)),0),IFERROR(INDEX(Pension_Model!$D$2:$D$29,MATCH(H360,Pension_Model!$B$2:$B$29,0)),0),IFERROR(INDEX(Pension_Model!$D$2:$D$29,MATCH(H361,Pension_Model!$B$2:$B$29,0)),0)),IF(VLOOKUP($A358,Calendar!$A$1:$R$1377,18,0)=5,SUM(IFERROR(INDEX(Pension_Model!$D$2:$D$29,MATCH(H358,Pension_Model!$B$2:$B$29,0)),0),IFERROR(INDEX(Pension_Model!$D$2:$D$29,MATCH(H359,Pension_Model!$B$2:$B$29,0)),0),IFERROR(INDEX(Pension_Model!$D$2:$D$29,MATCH(H360,Pension_Model!$B$2:$B$29,0)),0),IFERROR(INDEX(Pension_Model!$D$2:$D$29,MATCH(H361,Pension_Model!$B$2:$B$29,0)),0),IFERROR(INDEX(Pension_Model!$D$2:$D$29,MATCH(H362,Pension_Model!$B$2:$B$29,0)),0)),0))))))</f>
        <v>0.05</v>
      </c>
      <c r="Q358" s="28">
        <f>Population_Data!$B$15*P358</f>
        <v>660600</v>
      </c>
      <c r="S358">
        <f t="shared" si="5"/>
        <v>2772320.7727450207</v>
      </c>
      <c r="U358" s="33">
        <f>S358/Population_Data!$B$19</f>
        <v>5.0223202404801097E-2</v>
      </c>
    </row>
    <row r="359" spans="1:21">
      <c r="A359" s="25">
        <f>Calendar!A359</f>
        <v>46592</v>
      </c>
      <c r="B359" t="str">
        <f>Calendar!L359</f>
        <v>No</v>
      </c>
      <c r="C359" t="str">
        <f>Calendar!O359</f>
        <v>No</v>
      </c>
      <c r="D359" t="str">
        <f>Calendar!P359</f>
        <v>No</v>
      </c>
      <c r="E359" t="str">
        <f>Calendar!Q359</f>
        <v>No</v>
      </c>
      <c r="F359" t="str">
        <f>Calendar!I359</f>
        <v>Saturday</v>
      </c>
      <c r="G359">
        <f>Calendar!S359</f>
        <v>0</v>
      </c>
      <c r="H359">
        <f>Calendar!T359</f>
        <v>0</v>
      </c>
      <c r="I359" s="27">
        <f>IF(VLOOKUP(A359,Calendar!$A$1:$R$1377,18,0)=0,0,IF(VLOOKUP(A359,Calendar!$A$1:$R$1377,18,0)=1,INDEX(Monthly_Pay_Model!$A$9:$D$40,MATCH(TEXT(A359,"dd"),Monthly_Pay_Model!$C$9:$C$39,0),4),IF(VLOOKUP(A359,Calendar!$A$1:$R$1377,18,0)=2,SUM(INDEX(Monthly_Pay_Model!$A$9:$D$40,MATCH(TEXT(A359,"dd"),Monthly_Pay_Model!$C$9:$C$39,0),4),INDEX(Monthly_Pay_Model!$A$9:$D$40,MATCH(TEXT(A360,"dd"),Monthly_Pay_Model!$C$9:$C$39,0),4)),IF(VLOOKUP(A359,Calendar!$A$1:$R$1377,18,0)=3,SUM(INDEX(Monthly_Pay_Model!$A$9:$D$40,MATCH(TEXT(A359,"dd"),Monthly_Pay_Model!$C$9:$C$39,0),4),INDEX(Monthly_Pay_Model!$A$9:$D$40,MATCH(TEXT(A360,"dd"),Monthly_Pay_Model!$C$9:$C$39,0),4),INDEX(Monthly_Pay_Model!$A$9:$D$40,MATCH(TEXT(A361,"dd"),Monthly_Pay_Model!$C$9:$C$39,0),4)),IF(VLOOKUP(A359,Calendar!$A$1:$R$1377,18,0)=4,SUM(INDEX(Monthly_Pay_Model!$A$9:$D$40,MATCH(TEXT(A359,"dd"),Monthly_Pay_Model!$C$9:$C$39,0),4),INDEX(Monthly_Pay_Model!$A$9:$D$40,MATCH(TEXT(A360,"dd"),Monthly_Pay_Model!$C$9:$C$39,0),4),INDEX(Monthly_Pay_Model!$A$9:$D$40,MATCH(TEXT(A361,"dd"),Monthly_Pay_Model!$C$9:$C$39,0),4),INDEX(Monthly_Pay_Model!$A$9:$D$40,MATCH(TEXT(A362,"dd"),Monthly_Pay_Model!$C$9:$C$39,0),4)),IF(VLOOKUP(A359,Calendar!$A$1:$R$1377,18,0)=5,SUM(INDEX(Monthly_Pay_Model!$A$9:$D$40,MATCH(TEXT(A359,"dd"),Monthly_Pay_Model!$C$9:$C$39,0),4),INDEX(Monthly_Pay_Model!$A$9:$D$40,MATCH(TEXT(A360,"dd"),Monthly_Pay_Model!$C$9:$C$39,0),4),INDEX(Monthly_Pay_Model!$A$9:$D$40,MATCH(TEXT(A361,"dd"),Monthly_Pay_Model!$C$9:$C$39,0),4),INDEX(Monthly_Pay_Model!$A$9:$D$40,MATCH(TEXT(A362,"dd"),Monthly_Pay_Model!$C$9:$C$39,0),4),INDEX(Monthly_Pay_Model!$A$9:$D$40,MATCH(TEXT(A363,"dd"),Monthly_Pay_Model!$C$9:$C$39,0),4)),))))))</f>
        <v>0</v>
      </c>
      <c r="J359" s="33">
        <f>IF(C359="Yes",Monthly_Pay_Model!$D$2,0)
+IF(Calendar!N359="Yes",Monthly_Pay_Model!$D$3,0)
+IF(D359="Yes",Monthly_Pay_Model!$D$4,0)
+IF(E359="Yes",Monthly_Pay_Model!$D$5,0)</f>
        <v>0</v>
      </c>
      <c r="K359" s="27">
        <f>IF(VLOOKUP($A359,Calendar!$A$1:$R$1377,18,0)=0,0,IF(VLOOKUP($A359,Calendar!$A$1:$R$1377,18,0)=1,IFERROR(INDEX(Weekly_Model!$D$2:$D$9,MATCH(F359,Weekly_Model!$A$2:$A$9,0)),0),IF(VLOOKUP($A359,Calendar!$A$1:$R$1377,18,0)=2,SUM(IFERROR(INDEX(Weekly_Model!$D$2:$D$9,MATCH(F359,Weekly_Model!$A$2:$A$9,0)),0),IFERROR(INDEX(Weekly_Model!$D$2:$D$9,MATCH(F360,Weekly_Model!$A$2:$A$9,0)),0)),IF(VLOOKUP($A359,Calendar!$A$1:$R$1377,18,0)=3,SUM(IFERROR(INDEX(Weekly_Model!$D$2:$D$9,MATCH(F359,Weekly_Model!$A$2:$A$9,0)),0),IFERROR(INDEX(Weekly_Model!$D$2:$D$9,MATCH(F360,Weekly_Model!$A$2:$A$9,0)),0),IFERROR(INDEX(Weekly_Model!$D$2:$D$9,MATCH(F361,Weekly_Model!$A$2:$A$9,0)),0)),IF(VLOOKUP($A359,Calendar!$A$1:$R$1377,18,0)=4,SUM(IFERROR(INDEX(Weekly_Model!$D$2:$D$9,MATCH(F359,Weekly_Model!$A$2:$A$9,0)),0),IFERROR(INDEX(Weekly_Model!$D$2:$D$9,MATCH(F360,Weekly_Model!$A$2:$A$9,0)),0),IFERROR(INDEX(Weekly_Model!$D$2:$D$9,MATCH(F361,Weekly_Model!$A$2:$A$9,0)),0),IFERROR(INDEX(Weekly_Model!$D$2:$D$9,MATCH(F362,Weekly_Model!$A$2:$A$9,0)),0)),IF(VLOOKUP($A359,Calendar!$A$1:$R$1377,18,0)=5,SUM(IFERROR(INDEX(Weekly_Model!$D$2:$D$9,MATCH(F359,Weekly_Model!$A$2:$A$9,0)),0),IFERROR(INDEX(Weekly_Model!$D$2:$D$9,MATCH(F360,Weekly_Model!$A$2:$A$9,0)),0),IFERROR(INDEX(Weekly_Model!$D$2:$D$9,MATCH(F361,Weekly_Model!$A$2:$A$9,0)),0),IFERROR(INDEX(Weekly_Model!$D$2:$D$9,MATCH(F362,Weekly_Model!$A$2:$A$9,0)),0),IFERROR(INDEX(Weekly_Model!$D$2:$D$9,MATCH(F363,Weekly_Model!$A$2:$A$9,0)),0)),0))))))</f>
        <v>0</v>
      </c>
      <c r="L359" s="27">
        <f>IF(VLOOKUP($A359,Calendar!$A$1:$R$1377,18,0)=0,0,IF(VLOOKUP($A359,Calendar!$A$1:$R$1377,18,0)=1,IFERROR(INDEX(Fortnightly_Model!$D$2:$D$15,MATCH(G359,Fortnightly_Model!$B$2:$B$15,0)),0),IF(VLOOKUP($A359,Calendar!$A$1:$R$1377,18,0)=2,SUM(IFERROR(INDEX(Fortnightly_Model!$D$2:$D$15,MATCH(G359,Fortnightly_Model!$B$2:$B$15,0)),0),IFERROR(INDEX(Fortnightly_Model!$D$2:$D$15,MATCH(G360,Fortnightly_Model!$B$2:$B$15,0)),0)),IF(VLOOKUP($A359,Calendar!$A$1:$R$1377,18,0)=3,SUM(IFERROR(INDEX(Fortnightly_Model!$D$2:$D$15,MATCH(G359,Fortnightly_Model!$B$2:$B$15,0)),0),IFERROR(INDEX(Fortnightly_Model!$D$2:$D$15,MATCH(G360,Fortnightly_Model!$B$2:$B$15,0)),0),IFERROR(INDEX(Fortnightly_Model!$D$2:$D$15,MATCH(G361,Fortnightly_Model!$B$2:$B$15,0)),0)),IF(VLOOKUP($A359,Calendar!$A$1:$R$1377,18,0)=4,SUM(IFERROR(INDEX(Fortnightly_Model!$D$2:$D$15,MATCH(G359,Fortnightly_Model!$B$2:$B$15,0)),0),IFERROR(INDEX(Fortnightly_Model!$D$2:$D$15,MATCH(G360,Fortnightly_Model!$B$2:$B$15,0)),0),IFERROR(INDEX(Fortnightly_Model!$D$2:$D$15,MATCH(G361,Fortnightly_Model!$B$2:$B$15,0)),0),IFERROR(INDEX(Fortnightly_Model!$D$2:$D$15,MATCH(G362,Fortnightly_Model!$B$2:$B$15,0)),0)),IF(VLOOKUP($A359,Calendar!$A$1:$R$1377,18,0)=5,SUM(IFERROR(INDEX(Fortnightly_Model!$D$2:$D$15,MATCH(G359,Fortnightly_Model!$B$2:$B$15,0)),0),IFERROR(INDEX(Fortnightly_Model!$D$2:$D$15,MATCH(G360,Fortnightly_Model!$B$2:$B$15,0)),0),IFERROR(INDEX(Fortnightly_Model!$D$2:$D$15,MATCH(G361,Fortnightly_Model!$B$2:$B$15,0)),0),IFERROR(INDEX(Fortnightly_Model!$D$2:$D$15,MATCH(G362,Fortnightly_Model!$B$2:$B$15,0)),0),IFERROR(INDEX(Fortnightly_Model!$D$2:$D$15,MATCH(G363,Fortnightly_Model!$B$2:$B$15,0)),0)),0))))))</f>
        <v>0</v>
      </c>
      <c r="M359" s="27">
        <f>IF(VLOOKUP($A359,Calendar!$A$1:$R$1377,18,0)=0,0,IF(VLOOKUP($A359,Calendar!$A$1:$R$1377,18,0)=1,IFERROR(INDEX(FourWeekly_Model!$D$2:$D$29,MATCH(H359,FourWeekly_Model!$B$2:$B$29,0)),0),IF(VLOOKUP($A359,Calendar!$A$1:$R$1377,18,0)=2,SUM(IFERROR(INDEX(FourWeekly_Model!$D$2:$D$29,MATCH(H359,FourWeekly_Model!$B$2:$B$29,0)),0),IFERROR(INDEX(FourWeekly_Model!$D$2:$D$29,MATCH(H360,FourWeekly_Model!$B$2:$B$29,0)),0)),IF(VLOOKUP($A359,Calendar!$A$1:$R$1377,18,0)=3,SUM(IFERROR(INDEX(FourWeekly_Model!$D$2:$D$29,MATCH(H359,FourWeekly_Model!$B$2:$B$29,0)),0),IFERROR(INDEX(FourWeekly_Model!$D$2:$D$29,MATCH(H360,FourWeekly_Model!$B$2:$B$29,0)),0),IFERROR(INDEX(FourWeekly_Model!$D$2:$D$29,MATCH(H361,FourWeekly_Model!$B$2:$B$29,0)),0)),IF(VLOOKUP($A359,Calendar!$A$1:$R$1377,18,0)=4,SUM(IFERROR(INDEX(FourWeekly_Model!$D$2:$D$29,MATCH(H359,FourWeekly_Model!$B$2:$B$29,0)),0),IFERROR(INDEX(FourWeekly_Model!$D$2:$D$29,MATCH(H360,FourWeekly_Model!$B$2:$B$29,0)),0),IFERROR(INDEX(FourWeekly_Model!$D$2:$D$29,MATCH(H361,FourWeekly_Model!$B$2:$B$29,0)),0),IFERROR(INDEX(FourWeekly_Model!$D$2:$D$29,MATCH(H362,FourWeekly_Model!$B$2:$B$29,0)),0)),IF(VLOOKUP($A359,Calendar!$A$1:$R$1377,18,0)=5,SUM(IFERROR(INDEX(FourWeekly_Model!$D$2:$D$29,MATCH(H359,FourWeekly_Model!$B$2:$B$29,0)),0),IFERROR(INDEX(FourWeekly_Model!$D$2:$D$29,MATCH(H360,FourWeekly_Model!$B$2:$B$29,0)),0),IFERROR(INDEX(FourWeekly_Model!$D$2:$D$29,MATCH(H361,FourWeekly_Model!$B$2:$B$29,0)),0),IFERROR(INDEX(FourWeekly_Model!$D$2:$D$29,MATCH(H362,FourWeekly_Model!$B$2:$B$29,0)),0),IFERROR(INDEX(FourWeekly_Model!$D$2:$D$29,MATCH(H363,FourWeekly_Model!$B$2:$B$29,0)),0)),0))))))</f>
        <v>0</v>
      </c>
      <c r="N359" s="27">
        <f>SUM(I359:M359)</f>
        <v>0</v>
      </c>
      <c r="O359" s="28">
        <f>Population_Data!$B$8*N359</f>
        <v>0</v>
      </c>
      <c r="P359" s="27">
        <f>IF(VLOOKUP($A359,Calendar!$A$1:$R$1377,18,0)=0,0,IF(VLOOKUP($A359,Calendar!$A$1:$R$1377,18,0)=1,IFERROR(INDEX(Pension_Model!$D$2:$D$29,MATCH(H359,Pension_Model!$B$2:$B$29,0)),0),IF(VLOOKUP($A359,Calendar!$A$1:$R$1377,18,0)=2,SUM(IFERROR(INDEX(Pension_Model!$D$2:$D$29,MATCH(H359,Pension_Model!$B$2:$B$29,0)),0),IFERROR(INDEX(Pension_Model!$D$2:$D$29,MATCH(H360,Pension_Model!$B$2:$B$29,0)),0)),IF(VLOOKUP($A359,Calendar!$A$1:$R$1377,18,0)=3,SUM(IFERROR(INDEX(Pension_Model!$D$2:$D$29,MATCH(H359,Pension_Model!$B$2:$B$29,0)),0),IFERROR(INDEX(Pension_Model!$D$2:$D$29,MATCH(H360,Pension_Model!$B$2:$B$29,0)),0),IFERROR(INDEX(Pension_Model!$D$2:$D$29,MATCH(H361,Pension_Model!$B$2:$B$29,0)),0)),IF(VLOOKUP($A359,Calendar!$A$1:$R$1377,18,0)=4,SUM(IFERROR(INDEX(Pension_Model!$D$2:$D$29,MATCH(H359,Pension_Model!$B$2:$B$29,0)),0),IFERROR(INDEX(Pension_Model!$D$2:$D$29,MATCH(H360,Pension_Model!$B$2:$B$29,0)),0),IFERROR(INDEX(Pension_Model!$D$2:$D$29,MATCH(H361,Pension_Model!$B$2:$B$29,0)),0),IFERROR(INDEX(Pension_Model!$D$2:$D$29,MATCH(H362,Pension_Model!$B$2:$B$29,0)),0)),IF(VLOOKUP($A359,Calendar!$A$1:$R$1377,18,0)=5,SUM(IFERROR(INDEX(Pension_Model!$D$2:$D$29,MATCH(H359,Pension_Model!$B$2:$B$29,0)),0),IFERROR(INDEX(Pension_Model!$D$2:$D$29,MATCH(H360,Pension_Model!$B$2:$B$29,0)),0),IFERROR(INDEX(Pension_Model!$D$2:$D$29,MATCH(H361,Pension_Model!$B$2:$B$29,0)),0),IFERROR(INDEX(Pension_Model!$D$2:$D$29,MATCH(H362,Pension_Model!$B$2:$B$29,0)),0),IFERROR(INDEX(Pension_Model!$D$2:$D$29,MATCH(H363,Pension_Model!$B$2:$B$29,0)),0)),0))))))</f>
        <v>0</v>
      </c>
      <c r="Q359" s="28">
        <f>Population_Data!$B$15*P359</f>
        <v>0</v>
      </c>
      <c r="S359">
        <f t="shared" si="5"/>
        <v>0</v>
      </c>
      <c r="U359" s="33">
        <f>S359/Population_Data!$B$19</f>
        <v>0</v>
      </c>
    </row>
    <row r="360" spans="1:21">
      <c r="A360" s="25">
        <f>Calendar!A360</f>
        <v>46593</v>
      </c>
      <c r="B360" t="str">
        <f>Calendar!L360</f>
        <v>No</v>
      </c>
      <c r="C360" t="str">
        <f>Calendar!O360</f>
        <v>No</v>
      </c>
      <c r="D360" t="str">
        <f>Calendar!P360</f>
        <v>No</v>
      </c>
      <c r="E360" t="str">
        <f>Calendar!Q360</f>
        <v>No</v>
      </c>
      <c r="F360" t="str">
        <f>Calendar!I360</f>
        <v>Sunday</v>
      </c>
      <c r="G360">
        <f>Calendar!S360</f>
        <v>1</v>
      </c>
      <c r="H360">
        <f>Calendar!T360</f>
        <v>1</v>
      </c>
      <c r="I360" s="27">
        <f>IF(VLOOKUP(A360,Calendar!$A$1:$R$1377,18,0)=0,0,IF(VLOOKUP(A360,Calendar!$A$1:$R$1377,18,0)=1,INDEX(Monthly_Pay_Model!$A$9:$D$40,MATCH(TEXT(A360,"dd"),Monthly_Pay_Model!$C$9:$C$39,0),4),IF(VLOOKUP(A360,Calendar!$A$1:$R$1377,18,0)=2,SUM(INDEX(Monthly_Pay_Model!$A$9:$D$40,MATCH(TEXT(A360,"dd"),Monthly_Pay_Model!$C$9:$C$39,0),4),INDEX(Monthly_Pay_Model!$A$9:$D$40,MATCH(TEXT(A361,"dd"),Monthly_Pay_Model!$C$9:$C$39,0),4)),IF(VLOOKUP(A360,Calendar!$A$1:$R$1377,18,0)=3,SUM(INDEX(Monthly_Pay_Model!$A$9:$D$40,MATCH(TEXT(A360,"dd"),Monthly_Pay_Model!$C$9:$C$39,0),4),INDEX(Monthly_Pay_Model!$A$9:$D$40,MATCH(TEXT(A361,"dd"),Monthly_Pay_Model!$C$9:$C$39,0),4),INDEX(Monthly_Pay_Model!$A$9:$D$40,MATCH(TEXT(A362,"dd"),Monthly_Pay_Model!$C$9:$C$39,0),4)),IF(VLOOKUP(A360,Calendar!$A$1:$R$1377,18,0)=4,SUM(INDEX(Monthly_Pay_Model!$A$9:$D$40,MATCH(TEXT(A360,"dd"),Monthly_Pay_Model!$C$9:$C$39,0),4),INDEX(Monthly_Pay_Model!$A$9:$D$40,MATCH(TEXT(A361,"dd"),Monthly_Pay_Model!$C$9:$C$39,0),4),INDEX(Monthly_Pay_Model!$A$9:$D$40,MATCH(TEXT(A362,"dd"),Monthly_Pay_Model!$C$9:$C$39,0),4),INDEX(Monthly_Pay_Model!$A$9:$D$40,MATCH(TEXT(A363,"dd"),Monthly_Pay_Model!$C$9:$C$39,0),4)),IF(VLOOKUP(A360,Calendar!$A$1:$R$1377,18,0)=5,SUM(INDEX(Monthly_Pay_Model!$A$9:$D$40,MATCH(TEXT(A360,"dd"),Monthly_Pay_Model!$C$9:$C$39,0),4),INDEX(Monthly_Pay_Model!$A$9:$D$40,MATCH(TEXT(A361,"dd"),Monthly_Pay_Model!$C$9:$C$39,0),4),INDEX(Monthly_Pay_Model!$A$9:$D$40,MATCH(TEXT(A362,"dd"),Monthly_Pay_Model!$C$9:$C$39,0),4),INDEX(Monthly_Pay_Model!$A$9:$D$40,MATCH(TEXT(A363,"dd"),Monthly_Pay_Model!$C$9:$C$39,0),4),INDEX(Monthly_Pay_Model!$A$9:$D$40,MATCH(TEXT(A364,"dd"),Monthly_Pay_Model!$C$9:$C$39,0),4)),))))))</f>
        <v>0</v>
      </c>
      <c r="J360" s="33">
        <f>IF(C360="Yes",Monthly_Pay_Model!$D$2,0)
+IF(Calendar!N360="Yes",Monthly_Pay_Model!$D$3,0)
+IF(D360="Yes",Monthly_Pay_Model!$D$4,0)
+IF(E360="Yes",Monthly_Pay_Model!$D$5,0)</f>
        <v>0</v>
      </c>
      <c r="K360" s="27">
        <f>IF(VLOOKUP($A360,Calendar!$A$1:$R$1377,18,0)=0,0,IF(VLOOKUP($A360,Calendar!$A$1:$R$1377,18,0)=1,IFERROR(INDEX(Weekly_Model!$D$2:$D$9,MATCH(F360,Weekly_Model!$A$2:$A$9,0)),0),IF(VLOOKUP($A360,Calendar!$A$1:$R$1377,18,0)=2,SUM(IFERROR(INDEX(Weekly_Model!$D$2:$D$9,MATCH(F360,Weekly_Model!$A$2:$A$9,0)),0),IFERROR(INDEX(Weekly_Model!$D$2:$D$9,MATCH(F361,Weekly_Model!$A$2:$A$9,0)),0)),IF(VLOOKUP($A360,Calendar!$A$1:$R$1377,18,0)=3,SUM(IFERROR(INDEX(Weekly_Model!$D$2:$D$9,MATCH(F360,Weekly_Model!$A$2:$A$9,0)),0),IFERROR(INDEX(Weekly_Model!$D$2:$D$9,MATCH(F361,Weekly_Model!$A$2:$A$9,0)),0),IFERROR(INDEX(Weekly_Model!$D$2:$D$9,MATCH(F362,Weekly_Model!$A$2:$A$9,0)),0)),IF(VLOOKUP($A360,Calendar!$A$1:$R$1377,18,0)=4,SUM(IFERROR(INDEX(Weekly_Model!$D$2:$D$9,MATCH(F360,Weekly_Model!$A$2:$A$9,0)),0),IFERROR(INDEX(Weekly_Model!$D$2:$D$9,MATCH(F361,Weekly_Model!$A$2:$A$9,0)),0),IFERROR(INDEX(Weekly_Model!$D$2:$D$9,MATCH(F362,Weekly_Model!$A$2:$A$9,0)),0),IFERROR(INDEX(Weekly_Model!$D$2:$D$9,MATCH(F363,Weekly_Model!$A$2:$A$9,0)),0)),IF(VLOOKUP($A360,Calendar!$A$1:$R$1377,18,0)=5,SUM(IFERROR(INDEX(Weekly_Model!$D$2:$D$9,MATCH(F360,Weekly_Model!$A$2:$A$9,0)),0),IFERROR(INDEX(Weekly_Model!$D$2:$D$9,MATCH(F361,Weekly_Model!$A$2:$A$9,0)),0),IFERROR(INDEX(Weekly_Model!$D$2:$D$9,MATCH(F362,Weekly_Model!$A$2:$A$9,0)),0),IFERROR(INDEX(Weekly_Model!$D$2:$D$9,MATCH(F363,Weekly_Model!$A$2:$A$9,0)),0),IFERROR(INDEX(Weekly_Model!$D$2:$D$9,MATCH(F364,Weekly_Model!$A$2:$A$9,0)),0)),0))))))</f>
        <v>0</v>
      </c>
      <c r="L360" s="27">
        <f>IF(VLOOKUP($A360,Calendar!$A$1:$R$1377,18,0)=0,0,IF(VLOOKUP($A360,Calendar!$A$1:$R$1377,18,0)=1,IFERROR(INDEX(Fortnightly_Model!$D$2:$D$15,MATCH(G360,Fortnightly_Model!$B$2:$B$15,0)),0),IF(VLOOKUP($A360,Calendar!$A$1:$R$1377,18,0)=2,SUM(IFERROR(INDEX(Fortnightly_Model!$D$2:$D$15,MATCH(G360,Fortnightly_Model!$B$2:$B$15,0)),0),IFERROR(INDEX(Fortnightly_Model!$D$2:$D$15,MATCH(G361,Fortnightly_Model!$B$2:$B$15,0)),0)),IF(VLOOKUP($A360,Calendar!$A$1:$R$1377,18,0)=3,SUM(IFERROR(INDEX(Fortnightly_Model!$D$2:$D$15,MATCH(G360,Fortnightly_Model!$B$2:$B$15,0)),0),IFERROR(INDEX(Fortnightly_Model!$D$2:$D$15,MATCH(G361,Fortnightly_Model!$B$2:$B$15,0)),0),IFERROR(INDEX(Fortnightly_Model!$D$2:$D$15,MATCH(G362,Fortnightly_Model!$B$2:$B$15,0)),0)),IF(VLOOKUP($A360,Calendar!$A$1:$R$1377,18,0)=4,SUM(IFERROR(INDEX(Fortnightly_Model!$D$2:$D$15,MATCH(G360,Fortnightly_Model!$B$2:$B$15,0)),0),IFERROR(INDEX(Fortnightly_Model!$D$2:$D$15,MATCH(G361,Fortnightly_Model!$B$2:$B$15,0)),0),IFERROR(INDEX(Fortnightly_Model!$D$2:$D$15,MATCH(G362,Fortnightly_Model!$B$2:$B$15,0)),0),IFERROR(INDEX(Fortnightly_Model!$D$2:$D$15,MATCH(G363,Fortnightly_Model!$B$2:$B$15,0)),0)),IF(VLOOKUP($A360,Calendar!$A$1:$R$1377,18,0)=5,SUM(IFERROR(INDEX(Fortnightly_Model!$D$2:$D$15,MATCH(G360,Fortnightly_Model!$B$2:$B$15,0)),0),IFERROR(INDEX(Fortnightly_Model!$D$2:$D$15,MATCH(G361,Fortnightly_Model!$B$2:$B$15,0)),0),IFERROR(INDEX(Fortnightly_Model!$D$2:$D$15,MATCH(G362,Fortnightly_Model!$B$2:$B$15,0)),0),IFERROR(INDEX(Fortnightly_Model!$D$2:$D$15,MATCH(G363,Fortnightly_Model!$B$2:$B$15,0)),0),IFERROR(INDEX(Fortnightly_Model!$D$2:$D$15,MATCH(G364,Fortnightly_Model!$B$2:$B$15,0)),0)),0))))))</f>
        <v>0</v>
      </c>
      <c r="M360" s="27">
        <f>IF(VLOOKUP($A360,Calendar!$A$1:$R$1377,18,0)=0,0,IF(VLOOKUP($A360,Calendar!$A$1:$R$1377,18,0)=1,IFERROR(INDEX(FourWeekly_Model!$D$2:$D$29,MATCH(H360,FourWeekly_Model!$B$2:$B$29,0)),0),IF(VLOOKUP($A360,Calendar!$A$1:$R$1377,18,0)=2,SUM(IFERROR(INDEX(FourWeekly_Model!$D$2:$D$29,MATCH(H360,FourWeekly_Model!$B$2:$B$29,0)),0),IFERROR(INDEX(FourWeekly_Model!$D$2:$D$29,MATCH(H361,FourWeekly_Model!$B$2:$B$29,0)),0)),IF(VLOOKUP($A360,Calendar!$A$1:$R$1377,18,0)=3,SUM(IFERROR(INDEX(FourWeekly_Model!$D$2:$D$29,MATCH(H360,FourWeekly_Model!$B$2:$B$29,0)),0),IFERROR(INDEX(FourWeekly_Model!$D$2:$D$29,MATCH(H361,FourWeekly_Model!$B$2:$B$29,0)),0),IFERROR(INDEX(FourWeekly_Model!$D$2:$D$29,MATCH(H362,FourWeekly_Model!$B$2:$B$29,0)),0)),IF(VLOOKUP($A360,Calendar!$A$1:$R$1377,18,0)=4,SUM(IFERROR(INDEX(FourWeekly_Model!$D$2:$D$29,MATCH(H360,FourWeekly_Model!$B$2:$B$29,0)),0),IFERROR(INDEX(FourWeekly_Model!$D$2:$D$29,MATCH(H361,FourWeekly_Model!$B$2:$B$29,0)),0),IFERROR(INDEX(FourWeekly_Model!$D$2:$D$29,MATCH(H362,FourWeekly_Model!$B$2:$B$29,0)),0),IFERROR(INDEX(FourWeekly_Model!$D$2:$D$29,MATCH(H363,FourWeekly_Model!$B$2:$B$29,0)),0)),IF(VLOOKUP($A360,Calendar!$A$1:$R$1377,18,0)=5,SUM(IFERROR(INDEX(FourWeekly_Model!$D$2:$D$29,MATCH(H360,FourWeekly_Model!$B$2:$B$29,0)),0),IFERROR(INDEX(FourWeekly_Model!$D$2:$D$29,MATCH(H361,FourWeekly_Model!$B$2:$B$29,0)),0),IFERROR(INDEX(FourWeekly_Model!$D$2:$D$29,MATCH(H362,FourWeekly_Model!$B$2:$B$29,0)),0),IFERROR(INDEX(FourWeekly_Model!$D$2:$D$29,MATCH(H363,FourWeekly_Model!$B$2:$B$29,0)),0),IFERROR(INDEX(FourWeekly_Model!$D$2:$D$29,MATCH(H364,FourWeekly_Model!$B$2:$B$29,0)),0)),0))))))</f>
        <v>0</v>
      </c>
      <c r="N360" s="27">
        <f>SUM(I360:M360)</f>
        <v>0</v>
      </c>
      <c r="O360" s="28">
        <f>Population_Data!$B$8*N360</f>
        <v>0</v>
      </c>
      <c r="P360" s="27">
        <f>IF(VLOOKUP($A360,Calendar!$A$1:$R$1377,18,0)=0,0,IF(VLOOKUP($A360,Calendar!$A$1:$R$1377,18,0)=1,IFERROR(INDEX(Pension_Model!$D$2:$D$29,MATCH(H360,Pension_Model!$B$2:$B$29,0)),0),IF(VLOOKUP($A360,Calendar!$A$1:$R$1377,18,0)=2,SUM(IFERROR(INDEX(Pension_Model!$D$2:$D$29,MATCH(H360,Pension_Model!$B$2:$B$29,0)),0),IFERROR(INDEX(Pension_Model!$D$2:$D$29,MATCH(H361,Pension_Model!$B$2:$B$29,0)),0)),IF(VLOOKUP($A360,Calendar!$A$1:$R$1377,18,0)=3,SUM(IFERROR(INDEX(Pension_Model!$D$2:$D$29,MATCH(H360,Pension_Model!$B$2:$B$29,0)),0),IFERROR(INDEX(Pension_Model!$D$2:$D$29,MATCH(H361,Pension_Model!$B$2:$B$29,0)),0),IFERROR(INDEX(Pension_Model!$D$2:$D$29,MATCH(H362,Pension_Model!$B$2:$B$29,0)),0)),IF(VLOOKUP($A360,Calendar!$A$1:$R$1377,18,0)=4,SUM(IFERROR(INDEX(Pension_Model!$D$2:$D$29,MATCH(H360,Pension_Model!$B$2:$B$29,0)),0),IFERROR(INDEX(Pension_Model!$D$2:$D$29,MATCH(H361,Pension_Model!$B$2:$B$29,0)),0),IFERROR(INDEX(Pension_Model!$D$2:$D$29,MATCH(H362,Pension_Model!$B$2:$B$29,0)),0),IFERROR(INDEX(Pension_Model!$D$2:$D$29,MATCH(H363,Pension_Model!$B$2:$B$29,0)),0)),IF(VLOOKUP($A360,Calendar!$A$1:$R$1377,18,0)=5,SUM(IFERROR(INDEX(Pension_Model!$D$2:$D$29,MATCH(H360,Pension_Model!$B$2:$B$29,0)),0),IFERROR(INDEX(Pension_Model!$D$2:$D$29,MATCH(H361,Pension_Model!$B$2:$B$29,0)),0),IFERROR(INDEX(Pension_Model!$D$2:$D$29,MATCH(H362,Pension_Model!$B$2:$B$29,0)),0),IFERROR(INDEX(Pension_Model!$D$2:$D$29,MATCH(H363,Pension_Model!$B$2:$B$29,0)),0),IFERROR(INDEX(Pension_Model!$D$2:$D$29,MATCH(H364,Pension_Model!$B$2:$B$29,0)),0)),0))))))</f>
        <v>0</v>
      </c>
      <c r="Q360" s="28">
        <f>Population_Data!$B$15*P360</f>
        <v>0</v>
      </c>
      <c r="S360">
        <f t="shared" si="5"/>
        <v>0</v>
      </c>
      <c r="U360" s="33">
        <f>S360/Population_Data!$B$19</f>
        <v>0</v>
      </c>
    </row>
    <row r="361" spans="1:21">
      <c r="A361" s="25">
        <f>Calendar!A361</f>
        <v>46594</v>
      </c>
      <c r="B361" t="str">
        <f>Calendar!L361</f>
        <v>Yes</v>
      </c>
      <c r="C361" t="str">
        <f>Calendar!O361</f>
        <v>No</v>
      </c>
      <c r="D361" t="str">
        <f>Calendar!P361</f>
        <v>No</v>
      </c>
      <c r="E361" t="str">
        <f>Calendar!Q361</f>
        <v>No</v>
      </c>
      <c r="F361" t="str">
        <f>Calendar!I361</f>
        <v>Monday</v>
      </c>
      <c r="G361">
        <f>Calendar!S361</f>
        <v>2</v>
      </c>
      <c r="H361">
        <f>Calendar!T361</f>
        <v>2</v>
      </c>
      <c r="I361" s="27">
        <f>IF(VLOOKUP(A361,Calendar!$A$1:$R$1377,18,0)=0,0,IF(VLOOKUP(A361,Calendar!$A$1:$R$1377,18,0)=1,INDEX(Monthly_Pay_Model!$A$9:$D$40,MATCH(TEXT(A361,"dd"),Monthly_Pay_Model!$C$9:$C$39,0),4),IF(VLOOKUP(A361,Calendar!$A$1:$R$1377,18,0)=2,SUM(INDEX(Monthly_Pay_Model!$A$9:$D$40,MATCH(TEXT(A361,"dd"),Monthly_Pay_Model!$C$9:$C$39,0),4),INDEX(Monthly_Pay_Model!$A$9:$D$40,MATCH(TEXT(A362,"dd"),Monthly_Pay_Model!$C$9:$C$39,0),4)),IF(VLOOKUP(A361,Calendar!$A$1:$R$1377,18,0)=3,SUM(INDEX(Monthly_Pay_Model!$A$9:$D$40,MATCH(TEXT(A361,"dd"),Monthly_Pay_Model!$C$9:$C$39,0),4),INDEX(Monthly_Pay_Model!$A$9:$D$40,MATCH(TEXT(A362,"dd"),Monthly_Pay_Model!$C$9:$C$39,0),4),INDEX(Monthly_Pay_Model!$A$9:$D$40,MATCH(TEXT(A363,"dd"),Monthly_Pay_Model!$C$9:$C$39,0),4)),IF(VLOOKUP(A361,Calendar!$A$1:$R$1377,18,0)=4,SUM(INDEX(Monthly_Pay_Model!$A$9:$D$40,MATCH(TEXT(A361,"dd"),Monthly_Pay_Model!$C$9:$C$39,0),4),INDEX(Monthly_Pay_Model!$A$9:$D$40,MATCH(TEXT(A362,"dd"),Monthly_Pay_Model!$C$9:$C$39,0),4),INDEX(Monthly_Pay_Model!$A$9:$D$40,MATCH(TEXT(A363,"dd"),Monthly_Pay_Model!$C$9:$C$39,0),4),INDEX(Monthly_Pay_Model!$A$9:$D$40,MATCH(TEXT(A364,"dd"),Monthly_Pay_Model!$C$9:$C$39,0),4)),IF(VLOOKUP(A361,Calendar!$A$1:$R$1377,18,0)=5,SUM(INDEX(Monthly_Pay_Model!$A$9:$D$40,MATCH(TEXT(A361,"dd"),Monthly_Pay_Model!$C$9:$C$39,0),4),INDEX(Monthly_Pay_Model!$A$9:$D$40,MATCH(TEXT(A362,"dd"),Monthly_Pay_Model!$C$9:$C$39,0),4),INDEX(Monthly_Pay_Model!$A$9:$D$40,MATCH(TEXT(A363,"dd"),Monthly_Pay_Model!$C$9:$C$39,0),4),INDEX(Monthly_Pay_Model!$A$9:$D$40,MATCH(TEXT(A364,"dd"),Monthly_Pay_Model!$C$9:$C$39,0),4),INDEX(Monthly_Pay_Model!$A$9:$D$40,MATCH(TEXT(A365,"dd"),Monthly_Pay_Model!$C$9:$C$39,0),4)),))))))</f>
        <v>9.7507853403141324E-3</v>
      </c>
      <c r="J361" s="33">
        <f>IF(C361="Yes",Monthly_Pay_Model!$D$2,0)
+IF(Calendar!N361="Yes",Monthly_Pay_Model!$D$3,0)
+IF(D361="Yes",Monthly_Pay_Model!$D$4,0)
+IF(E361="Yes",Monthly_Pay_Model!$D$5,0)</f>
        <v>0</v>
      </c>
      <c r="K361" s="27">
        <f>IF(VLOOKUP($A361,Calendar!$A$1:$R$1377,18,0)=0,0,IF(VLOOKUP($A361,Calendar!$A$1:$R$1377,18,0)=1,IFERROR(INDEX(Weekly_Model!$D$2:$D$9,MATCH(F361,Weekly_Model!$A$2:$A$9,0)),0),IF(VLOOKUP($A361,Calendar!$A$1:$R$1377,18,0)=2,SUM(IFERROR(INDEX(Weekly_Model!$D$2:$D$9,MATCH(F361,Weekly_Model!$A$2:$A$9,0)),0),IFERROR(INDEX(Weekly_Model!$D$2:$D$9,MATCH(F362,Weekly_Model!$A$2:$A$9,0)),0)),IF(VLOOKUP($A361,Calendar!$A$1:$R$1377,18,0)=3,SUM(IFERROR(INDEX(Weekly_Model!$D$2:$D$9,MATCH(F361,Weekly_Model!$A$2:$A$9,0)),0),IFERROR(INDEX(Weekly_Model!$D$2:$D$9,MATCH(F362,Weekly_Model!$A$2:$A$9,0)),0),IFERROR(INDEX(Weekly_Model!$D$2:$D$9,MATCH(F363,Weekly_Model!$A$2:$A$9,0)),0)),IF(VLOOKUP($A361,Calendar!$A$1:$R$1377,18,0)=4,SUM(IFERROR(INDEX(Weekly_Model!$D$2:$D$9,MATCH(F361,Weekly_Model!$A$2:$A$9,0)),0),IFERROR(INDEX(Weekly_Model!$D$2:$D$9,MATCH(F362,Weekly_Model!$A$2:$A$9,0)),0),IFERROR(INDEX(Weekly_Model!$D$2:$D$9,MATCH(F363,Weekly_Model!$A$2:$A$9,0)),0),IFERROR(INDEX(Weekly_Model!$D$2:$D$9,MATCH(F364,Weekly_Model!$A$2:$A$9,0)),0)),IF(VLOOKUP($A361,Calendar!$A$1:$R$1377,18,0)=5,SUM(IFERROR(INDEX(Weekly_Model!$D$2:$D$9,MATCH(F361,Weekly_Model!$A$2:$A$9,0)),0),IFERROR(INDEX(Weekly_Model!$D$2:$D$9,MATCH(F362,Weekly_Model!$A$2:$A$9,0)),0),IFERROR(INDEX(Weekly_Model!$D$2:$D$9,MATCH(F363,Weekly_Model!$A$2:$A$9,0)),0),IFERROR(INDEX(Weekly_Model!$D$2:$D$9,MATCH(F364,Weekly_Model!$A$2:$A$9,0)),0),IFERROR(INDEX(Weekly_Model!$D$2:$D$9,MATCH(F365,Weekly_Model!$A$2:$A$9,0)),0)),0))))))</f>
        <v>2.3200000000000002E-2</v>
      </c>
      <c r="L361" s="27">
        <f>IF(VLOOKUP($A361,Calendar!$A$1:$R$1377,18,0)=0,0,IF(VLOOKUP($A361,Calendar!$A$1:$R$1377,18,0)=1,IFERROR(INDEX(Fortnightly_Model!$D$2:$D$15,MATCH(G361,Fortnightly_Model!$B$2:$B$15,0)),0),IF(VLOOKUP($A361,Calendar!$A$1:$R$1377,18,0)=2,SUM(IFERROR(INDEX(Fortnightly_Model!$D$2:$D$15,MATCH(G361,Fortnightly_Model!$B$2:$B$15,0)),0),IFERROR(INDEX(Fortnightly_Model!$D$2:$D$15,MATCH(G362,Fortnightly_Model!$B$2:$B$15,0)),0)),IF(VLOOKUP($A361,Calendar!$A$1:$R$1377,18,0)=3,SUM(IFERROR(INDEX(Fortnightly_Model!$D$2:$D$15,MATCH(G361,Fortnightly_Model!$B$2:$B$15,0)),0),IFERROR(INDEX(Fortnightly_Model!$D$2:$D$15,MATCH(G362,Fortnightly_Model!$B$2:$B$15,0)),0),IFERROR(INDEX(Fortnightly_Model!$D$2:$D$15,MATCH(G363,Fortnightly_Model!$B$2:$B$15,0)),0)),IF(VLOOKUP($A361,Calendar!$A$1:$R$1377,18,0)=4,SUM(IFERROR(INDEX(Fortnightly_Model!$D$2:$D$15,MATCH(G361,Fortnightly_Model!$B$2:$B$15,0)),0),IFERROR(INDEX(Fortnightly_Model!$D$2:$D$15,MATCH(G362,Fortnightly_Model!$B$2:$B$15,0)),0),IFERROR(INDEX(Fortnightly_Model!$D$2:$D$15,MATCH(G363,Fortnightly_Model!$B$2:$B$15,0)),0),IFERROR(INDEX(Fortnightly_Model!$D$2:$D$15,MATCH(G364,Fortnightly_Model!$B$2:$B$15,0)),0)),IF(VLOOKUP($A361,Calendar!$A$1:$R$1377,18,0)=5,SUM(IFERROR(INDEX(Fortnightly_Model!$D$2:$D$15,MATCH(G361,Fortnightly_Model!$B$2:$B$15,0)),0),IFERROR(INDEX(Fortnightly_Model!$D$2:$D$15,MATCH(G362,Fortnightly_Model!$B$2:$B$15,0)),0),IFERROR(INDEX(Fortnightly_Model!$D$2:$D$15,MATCH(G363,Fortnightly_Model!$B$2:$B$15,0)),0),IFERROR(INDEX(Fortnightly_Model!$D$2:$D$15,MATCH(G364,Fortnightly_Model!$B$2:$B$15,0)),0),IFERROR(INDEX(Fortnightly_Model!$D$2:$D$15,MATCH(G365,Fortnightly_Model!$B$2:$B$15,0)),0)),0))))))</f>
        <v>1.0714285499999999E-3</v>
      </c>
      <c r="M361" s="27">
        <f>IF(VLOOKUP($A361,Calendar!$A$1:$R$1377,18,0)=0,0,IF(VLOOKUP($A361,Calendar!$A$1:$R$1377,18,0)=1,IFERROR(INDEX(FourWeekly_Model!$D$2:$D$29,MATCH(H361,FourWeekly_Model!$B$2:$B$29,0)),0),IF(VLOOKUP($A361,Calendar!$A$1:$R$1377,18,0)=2,SUM(IFERROR(INDEX(FourWeekly_Model!$D$2:$D$29,MATCH(H361,FourWeekly_Model!$B$2:$B$29,0)),0),IFERROR(INDEX(FourWeekly_Model!$D$2:$D$29,MATCH(H362,FourWeekly_Model!$B$2:$B$29,0)),0)),IF(VLOOKUP($A361,Calendar!$A$1:$R$1377,18,0)=3,SUM(IFERROR(INDEX(FourWeekly_Model!$D$2:$D$29,MATCH(H361,FourWeekly_Model!$B$2:$B$29,0)),0),IFERROR(INDEX(FourWeekly_Model!$D$2:$D$29,MATCH(H362,FourWeekly_Model!$B$2:$B$29,0)),0),IFERROR(INDEX(FourWeekly_Model!$D$2:$D$29,MATCH(H363,FourWeekly_Model!$B$2:$B$29,0)),0)),IF(VLOOKUP($A361,Calendar!$A$1:$R$1377,18,0)=4,SUM(IFERROR(INDEX(FourWeekly_Model!$D$2:$D$29,MATCH(H361,FourWeekly_Model!$B$2:$B$29,0)),0),IFERROR(INDEX(FourWeekly_Model!$D$2:$D$29,MATCH(H362,FourWeekly_Model!$B$2:$B$29,0)),0),IFERROR(INDEX(FourWeekly_Model!$D$2:$D$29,MATCH(H363,FourWeekly_Model!$B$2:$B$29,0)),0),IFERROR(INDEX(FourWeekly_Model!$D$2:$D$29,MATCH(H364,FourWeekly_Model!$B$2:$B$29,0)),0)),IF(VLOOKUP($A361,Calendar!$A$1:$R$1377,18,0)=5,SUM(IFERROR(INDEX(FourWeekly_Model!$D$2:$D$29,MATCH(H361,FourWeekly_Model!$B$2:$B$29,0)),0),IFERROR(INDEX(FourWeekly_Model!$D$2:$D$29,MATCH(H362,FourWeekly_Model!$B$2:$B$29,0)),0),IFERROR(INDEX(FourWeekly_Model!$D$2:$D$29,MATCH(H363,FourWeekly_Model!$B$2:$B$29,0)),0),IFERROR(INDEX(FourWeekly_Model!$D$2:$D$29,MATCH(H364,FourWeekly_Model!$B$2:$B$29,0)),0),IFERROR(INDEX(FourWeekly_Model!$D$2:$D$29,MATCH(H365,FourWeekly_Model!$B$2:$B$29,0)),0)),0))))))</f>
        <v>3.3214289700000004E-3</v>
      </c>
      <c r="N361" s="27">
        <f>SUM(I361:M361)</f>
        <v>3.7343642860314136E-2</v>
      </c>
      <c r="O361" s="28">
        <f>Population_Data!$B$8*N361</f>
        <v>1131512.3786675183</v>
      </c>
      <c r="P361" s="27">
        <f>IF(VLOOKUP($A361,Calendar!$A$1:$R$1377,18,0)=0,0,IF(VLOOKUP($A361,Calendar!$A$1:$R$1377,18,0)=1,IFERROR(INDEX(Pension_Model!$D$2:$D$29,MATCH(H361,Pension_Model!$B$2:$B$29,0)),0),IF(VLOOKUP($A361,Calendar!$A$1:$R$1377,18,0)=2,SUM(IFERROR(INDEX(Pension_Model!$D$2:$D$29,MATCH(H361,Pension_Model!$B$2:$B$29,0)),0),IFERROR(INDEX(Pension_Model!$D$2:$D$29,MATCH(H362,Pension_Model!$B$2:$B$29,0)),0)),IF(VLOOKUP($A361,Calendar!$A$1:$R$1377,18,0)=3,SUM(IFERROR(INDEX(Pension_Model!$D$2:$D$29,MATCH(H361,Pension_Model!$B$2:$B$29,0)),0),IFERROR(INDEX(Pension_Model!$D$2:$D$29,MATCH(H362,Pension_Model!$B$2:$B$29,0)),0),IFERROR(INDEX(Pension_Model!$D$2:$D$29,MATCH(H363,Pension_Model!$B$2:$B$29,0)),0)),IF(VLOOKUP($A361,Calendar!$A$1:$R$1377,18,0)=4,SUM(IFERROR(INDEX(Pension_Model!$D$2:$D$29,MATCH(H361,Pension_Model!$B$2:$B$29,0)),0),IFERROR(INDEX(Pension_Model!$D$2:$D$29,MATCH(H362,Pension_Model!$B$2:$B$29,0)),0),IFERROR(INDEX(Pension_Model!$D$2:$D$29,MATCH(H363,Pension_Model!$B$2:$B$29,0)),0),IFERROR(INDEX(Pension_Model!$D$2:$D$29,MATCH(H364,Pension_Model!$B$2:$B$29,0)),0)),IF(VLOOKUP($A361,Calendar!$A$1:$R$1377,18,0)=5,SUM(IFERROR(INDEX(Pension_Model!$D$2:$D$29,MATCH(H361,Pension_Model!$B$2:$B$29,0)),0),IFERROR(INDEX(Pension_Model!$D$2:$D$29,MATCH(H362,Pension_Model!$B$2:$B$29,0)),0),IFERROR(INDEX(Pension_Model!$D$2:$D$29,MATCH(H363,Pension_Model!$B$2:$B$29,0)),0),IFERROR(INDEX(Pension_Model!$D$2:$D$29,MATCH(H364,Pension_Model!$B$2:$B$29,0)),0),IFERROR(INDEX(Pension_Model!$D$2:$D$29,MATCH(H365,Pension_Model!$B$2:$B$29,0)),0)),0))))))</f>
        <v>0.05</v>
      </c>
      <c r="Q361" s="28">
        <f>Population_Data!$B$15*P361</f>
        <v>660600</v>
      </c>
      <c r="S361">
        <f t="shared" si="5"/>
        <v>1792112.3786675183</v>
      </c>
      <c r="U361" s="33">
        <f>S361/Population_Data!$B$19</f>
        <v>3.2465803961368084E-2</v>
      </c>
    </row>
    <row r="362" spans="1:21">
      <c r="A362" s="25">
        <f>Calendar!A362</f>
        <v>46595</v>
      </c>
      <c r="B362" t="str">
        <f>Calendar!L362</f>
        <v>Yes</v>
      </c>
      <c r="C362" t="str">
        <f>Calendar!O362</f>
        <v>No</v>
      </c>
      <c r="D362" t="str">
        <f>Calendar!P362</f>
        <v>No</v>
      </c>
      <c r="E362" t="str">
        <f>Calendar!Q362</f>
        <v>No</v>
      </c>
      <c r="F362" t="str">
        <f>Calendar!I362</f>
        <v>Tuesday</v>
      </c>
      <c r="G362">
        <f>Calendar!S362</f>
        <v>3</v>
      </c>
      <c r="H362">
        <f>Calendar!T362</f>
        <v>3</v>
      </c>
      <c r="I362" s="27">
        <f>IF(VLOOKUP(A362,Calendar!$A$1:$R$1377,18,0)=0,0,IF(VLOOKUP(A362,Calendar!$A$1:$R$1377,18,0)=1,INDEX(Monthly_Pay_Model!$A$9:$D$40,MATCH(TEXT(A362,"dd"),Monthly_Pay_Model!$C$9:$C$39,0),4),IF(VLOOKUP(A362,Calendar!$A$1:$R$1377,18,0)=2,SUM(INDEX(Monthly_Pay_Model!$A$9:$D$40,MATCH(TEXT(A362,"dd"),Monthly_Pay_Model!$C$9:$C$39,0),4),INDEX(Monthly_Pay_Model!$A$9:$D$40,MATCH(TEXT(A363,"dd"),Monthly_Pay_Model!$C$9:$C$39,0),4)),IF(VLOOKUP(A362,Calendar!$A$1:$R$1377,18,0)=3,SUM(INDEX(Monthly_Pay_Model!$A$9:$D$40,MATCH(TEXT(A362,"dd"),Monthly_Pay_Model!$C$9:$C$39,0),4),INDEX(Monthly_Pay_Model!$A$9:$D$40,MATCH(TEXT(A363,"dd"),Monthly_Pay_Model!$C$9:$C$39,0),4),INDEX(Monthly_Pay_Model!$A$9:$D$40,MATCH(TEXT(A364,"dd"),Monthly_Pay_Model!$C$9:$C$39,0),4)),IF(VLOOKUP(A362,Calendar!$A$1:$R$1377,18,0)=4,SUM(INDEX(Monthly_Pay_Model!$A$9:$D$40,MATCH(TEXT(A362,"dd"),Monthly_Pay_Model!$C$9:$C$39,0),4),INDEX(Monthly_Pay_Model!$A$9:$D$40,MATCH(TEXT(A363,"dd"),Monthly_Pay_Model!$C$9:$C$39,0),4),INDEX(Monthly_Pay_Model!$A$9:$D$40,MATCH(TEXT(A364,"dd"),Monthly_Pay_Model!$C$9:$C$39,0),4),INDEX(Monthly_Pay_Model!$A$9:$D$40,MATCH(TEXT(A365,"dd"),Monthly_Pay_Model!$C$9:$C$39,0),4)),IF(VLOOKUP(A362,Calendar!$A$1:$R$1377,18,0)=5,SUM(INDEX(Monthly_Pay_Model!$A$9:$D$40,MATCH(TEXT(A362,"dd"),Monthly_Pay_Model!$C$9:$C$39,0),4),INDEX(Monthly_Pay_Model!$A$9:$D$40,MATCH(TEXT(A363,"dd"),Monthly_Pay_Model!$C$9:$C$39,0),4),INDEX(Monthly_Pay_Model!$A$9:$D$40,MATCH(TEXT(A364,"dd"),Monthly_Pay_Model!$C$9:$C$39,0),4),INDEX(Monthly_Pay_Model!$A$9:$D$40,MATCH(TEXT(A365,"dd"),Monthly_Pay_Model!$C$9:$C$39,0),4),INDEX(Monthly_Pay_Model!$A$9:$D$40,MATCH(TEXT(A366,"dd"),Monthly_Pay_Model!$C$9:$C$39,0),4)),))))))</f>
        <v>9.7507853403141324E-3</v>
      </c>
      <c r="J362" s="33">
        <f>IF(C362="Yes",Monthly_Pay_Model!$D$2,0)
+IF(Calendar!N362="Yes",Monthly_Pay_Model!$D$3,0)
+IF(D362="Yes",Monthly_Pay_Model!$D$4,0)
+IF(E362="Yes",Monthly_Pay_Model!$D$5,0)</f>
        <v>0</v>
      </c>
      <c r="K362" s="27">
        <f>IF(VLOOKUP($A362,Calendar!$A$1:$R$1377,18,0)=0,0,IF(VLOOKUP($A362,Calendar!$A$1:$R$1377,18,0)=1,IFERROR(INDEX(Weekly_Model!$D$2:$D$9,MATCH(F362,Weekly_Model!$A$2:$A$9,0)),0),IF(VLOOKUP($A362,Calendar!$A$1:$R$1377,18,0)=2,SUM(IFERROR(INDEX(Weekly_Model!$D$2:$D$9,MATCH(F362,Weekly_Model!$A$2:$A$9,0)),0),IFERROR(INDEX(Weekly_Model!$D$2:$D$9,MATCH(F363,Weekly_Model!$A$2:$A$9,0)),0)),IF(VLOOKUP($A362,Calendar!$A$1:$R$1377,18,0)=3,SUM(IFERROR(INDEX(Weekly_Model!$D$2:$D$9,MATCH(F362,Weekly_Model!$A$2:$A$9,0)),0),IFERROR(INDEX(Weekly_Model!$D$2:$D$9,MATCH(F363,Weekly_Model!$A$2:$A$9,0)),0),IFERROR(INDEX(Weekly_Model!$D$2:$D$9,MATCH(F364,Weekly_Model!$A$2:$A$9,0)),0)),IF(VLOOKUP($A362,Calendar!$A$1:$R$1377,18,0)=4,SUM(IFERROR(INDEX(Weekly_Model!$D$2:$D$9,MATCH(F362,Weekly_Model!$A$2:$A$9,0)),0),IFERROR(INDEX(Weekly_Model!$D$2:$D$9,MATCH(F363,Weekly_Model!$A$2:$A$9,0)),0),IFERROR(INDEX(Weekly_Model!$D$2:$D$9,MATCH(F364,Weekly_Model!$A$2:$A$9,0)),0),IFERROR(INDEX(Weekly_Model!$D$2:$D$9,MATCH(F365,Weekly_Model!$A$2:$A$9,0)),0)),IF(VLOOKUP($A362,Calendar!$A$1:$R$1377,18,0)=5,SUM(IFERROR(INDEX(Weekly_Model!$D$2:$D$9,MATCH(F362,Weekly_Model!$A$2:$A$9,0)),0),IFERROR(INDEX(Weekly_Model!$D$2:$D$9,MATCH(F363,Weekly_Model!$A$2:$A$9,0)),0),IFERROR(INDEX(Weekly_Model!$D$2:$D$9,MATCH(F364,Weekly_Model!$A$2:$A$9,0)),0),IFERROR(INDEX(Weekly_Model!$D$2:$D$9,MATCH(F365,Weekly_Model!$A$2:$A$9,0)),0),IFERROR(INDEX(Weekly_Model!$D$2:$D$9,MATCH(F366,Weekly_Model!$A$2:$A$9,0)),0)),0))))))</f>
        <v>2.3200000000000002E-2</v>
      </c>
      <c r="L362" s="27">
        <f>IF(VLOOKUP($A362,Calendar!$A$1:$R$1377,18,0)=0,0,IF(VLOOKUP($A362,Calendar!$A$1:$R$1377,18,0)=1,IFERROR(INDEX(Fortnightly_Model!$D$2:$D$15,MATCH(G362,Fortnightly_Model!$B$2:$B$15,0)),0),IF(VLOOKUP($A362,Calendar!$A$1:$R$1377,18,0)=2,SUM(IFERROR(INDEX(Fortnightly_Model!$D$2:$D$15,MATCH(G362,Fortnightly_Model!$B$2:$B$15,0)),0),IFERROR(INDEX(Fortnightly_Model!$D$2:$D$15,MATCH(G363,Fortnightly_Model!$B$2:$B$15,0)),0)),IF(VLOOKUP($A362,Calendar!$A$1:$R$1377,18,0)=3,SUM(IFERROR(INDEX(Fortnightly_Model!$D$2:$D$15,MATCH(G362,Fortnightly_Model!$B$2:$B$15,0)),0),IFERROR(INDEX(Fortnightly_Model!$D$2:$D$15,MATCH(G363,Fortnightly_Model!$B$2:$B$15,0)),0),IFERROR(INDEX(Fortnightly_Model!$D$2:$D$15,MATCH(G364,Fortnightly_Model!$B$2:$B$15,0)),0)),IF(VLOOKUP($A362,Calendar!$A$1:$R$1377,18,0)=4,SUM(IFERROR(INDEX(Fortnightly_Model!$D$2:$D$15,MATCH(G362,Fortnightly_Model!$B$2:$B$15,0)),0),IFERROR(INDEX(Fortnightly_Model!$D$2:$D$15,MATCH(G363,Fortnightly_Model!$B$2:$B$15,0)),0),IFERROR(INDEX(Fortnightly_Model!$D$2:$D$15,MATCH(G364,Fortnightly_Model!$B$2:$B$15,0)),0),IFERROR(INDEX(Fortnightly_Model!$D$2:$D$15,MATCH(G365,Fortnightly_Model!$B$2:$B$15,0)),0)),IF(VLOOKUP($A362,Calendar!$A$1:$R$1377,18,0)=5,SUM(IFERROR(INDEX(Fortnightly_Model!$D$2:$D$15,MATCH(G362,Fortnightly_Model!$B$2:$B$15,0)),0),IFERROR(INDEX(Fortnightly_Model!$D$2:$D$15,MATCH(G363,Fortnightly_Model!$B$2:$B$15,0)),0),IFERROR(INDEX(Fortnightly_Model!$D$2:$D$15,MATCH(G364,Fortnightly_Model!$B$2:$B$15,0)),0),IFERROR(INDEX(Fortnightly_Model!$D$2:$D$15,MATCH(G365,Fortnightly_Model!$B$2:$B$15,0)),0),IFERROR(INDEX(Fortnightly_Model!$D$2:$D$15,MATCH(G366,Fortnightly_Model!$B$2:$B$15,0)),0)),0))))))</f>
        <v>1.0714285499999999E-3</v>
      </c>
      <c r="M362" s="27">
        <f>IF(VLOOKUP($A362,Calendar!$A$1:$R$1377,18,0)=0,0,IF(VLOOKUP($A362,Calendar!$A$1:$R$1377,18,0)=1,IFERROR(INDEX(FourWeekly_Model!$D$2:$D$29,MATCH(H362,FourWeekly_Model!$B$2:$B$29,0)),0),IF(VLOOKUP($A362,Calendar!$A$1:$R$1377,18,0)=2,SUM(IFERROR(INDEX(FourWeekly_Model!$D$2:$D$29,MATCH(H362,FourWeekly_Model!$B$2:$B$29,0)),0),IFERROR(INDEX(FourWeekly_Model!$D$2:$D$29,MATCH(H363,FourWeekly_Model!$B$2:$B$29,0)),0)),IF(VLOOKUP($A362,Calendar!$A$1:$R$1377,18,0)=3,SUM(IFERROR(INDEX(FourWeekly_Model!$D$2:$D$29,MATCH(H362,FourWeekly_Model!$B$2:$B$29,0)),0),IFERROR(INDEX(FourWeekly_Model!$D$2:$D$29,MATCH(H363,FourWeekly_Model!$B$2:$B$29,0)),0),IFERROR(INDEX(FourWeekly_Model!$D$2:$D$29,MATCH(H364,FourWeekly_Model!$B$2:$B$29,0)),0)),IF(VLOOKUP($A362,Calendar!$A$1:$R$1377,18,0)=4,SUM(IFERROR(INDEX(FourWeekly_Model!$D$2:$D$29,MATCH(H362,FourWeekly_Model!$B$2:$B$29,0)),0),IFERROR(INDEX(FourWeekly_Model!$D$2:$D$29,MATCH(H363,FourWeekly_Model!$B$2:$B$29,0)),0),IFERROR(INDEX(FourWeekly_Model!$D$2:$D$29,MATCH(H364,FourWeekly_Model!$B$2:$B$29,0)),0),IFERROR(INDEX(FourWeekly_Model!$D$2:$D$29,MATCH(H365,FourWeekly_Model!$B$2:$B$29,0)),0)),IF(VLOOKUP($A362,Calendar!$A$1:$R$1377,18,0)=5,SUM(IFERROR(INDEX(FourWeekly_Model!$D$2:$D$29,MATCH(H362,FourWeekly_Model!$B$2:$B$29,0)),0),IFERROR(INDEX(FourWeekly_Model!$D$2:$D$29,MATCH(H363,FourWeekly_Model!$B$2:$B$29,0)),0),IFERROR(INDEX(FourWeekly_Model!$D$2:$D$29,MATCH(H364,FourWeekly_Model!$B$2:$B$29,0)),0),IFERROR(INDEX(FourWeekly_Model!$D$2:$D$29,MATCH(H365,FourWeekly_Model!$B$2:$B$29,0)),0),IFERROR(INDEX(FourWeekly_Model!$D$2:$D$29,MATCH(H366,FourWeekly_Model!$B$2:$B$29,0)),0)),0))))))</f>
        <v>3.3214289700000004E-3</v>
      </c>
      <c r="N362" s="27">
        <f>SUM(I362:M362)</f>
        <v>3.7343642860314136E-2</v>
      </c>
      <c r="O362" s="28">
        <f>Population_Data!$B$8*N362</f>
        <v>1131512.3786675183</v>
      </c>
      <c r="P362" s="27">
        <f>IF(VLOOKUP($A362,Calendar!$A$1:$R$1377,18,0)=0,0,IF(VLOOKUP($A362,Calendar!$A$1:$R$1377,18,0)=1,IFERROR(INDEX(Pension_Model!$D$2:$D$29,MATCH(H362,Pension_Model!$B$2:$B$29,0)),0),IF(VLOOKUP($A362,Calendar!$A$1:$R$1377,18,0)=2,SUM(IFERROR(INDEX(Pension_Model!$D$2:$D$29,MATCH(H362,Pension_Model!$B$2:$B$29,0)),0),IFERROR(INDEX(Pension_Model!$D$2:$D$29,MATCH(H363,Pension_Model!$B$2:$B$29,0)),0)),IF(VLOOKUP($A362,Calendar!$A$1:$R$1377,18,0)=3,SUM(IFERROR(INDEX(Pension_Model!$D$2:$D$29,MATCH(H362,Pension_Model!$B$2:$B$29,0)),0),IFERROR(INDEX(Pension_Model!$D$2:$D$29,MATCH(H363,Pension_Model!$B$2:$B$29,0)),0),IFERROR(INDEX(Pension_Model!$D$2:$D$29,MATCH(H364,Pension_Model!$B$2:$B$29,0)),0)),IF(VLOOKUP($A362,Calendar!$A$1:$R$1377,18,0)=4,SUM(IFERROR(INDEX(Pension_Model!$D$2:$D$29,MATCH(H362,Pension_Model!$B$2:$B$29,0)),0),IFERROR(INDEX(Pension_Model!$D$2:$D$29,MATCH(H363,Pension_Model!$B$2:$B$29,0)),0),IFERROR(INDEX(Pension_Model!$D$2:$D$29,MATCH(H364,Pension_Model!$B$2:$B$29,0)),0),IFERROR(INDEX(Pension_Model!$D$2:$D$29,MATCH(H365,Pension_Model!$B$2:$B$29,0)),0)),IF(VLOOKUP($A362,Calendar!$A$1:$R$1377,18,0)=5,SUM(IFERROR(INDEX(Pension_Model!$D$2:$D$29,MATCH(H362,Pension_Model!$B$2:$B$29,0)),0),IFERROR(INDEX(Pension_Model!$D$2:$D$29,MATCH(H363,Pension_Model!$B$2:$B$29,0)),0),IFERROR(INDEX(Pension_Model!$D$2:$D$29,MATCH(H364,Pension_Model!$B$2:$B$29,0)),0),IFERROR(INDEX(Pension_Model!$D$2:$D$29,MATCH(H365,Pension_Model!$B$2:$B$29,0)),0),IFERROR(INDEX(Pension_Model!$D$2:$D$29,MATCH(H366,Pension_Model!$B$2:$B$29,0)),0)),0))))))</f>
        <v>0.05</v>
      </c>
      <c r="Q362" s="28">
        <f>Population_Data!$B$15*P362</f>
        <v>660600</v>
      </c>
      <c r="S362">
        <f t="shared" si="5"/>
        <v>1792112.3786675183</v>
      </c>
      <c r="U362" s="33">
        <f>S362/Population_Data!$B$19</f>
        <v>3.2465803961368084E-2</v>
      </c>
    </row>
    <row r="363" spans="1:21">
      <c r="A363" s="25">
        <f>Calendar!A363</f>
        <v>46596</v>
      </c>
      <c r="B363" t="str">
        <f>Calendar!L363</f>
        <v>Yes</v>
      </c>
      <c r="C363" t="str">
        <f>Calendar!O363</f>
        <v>No</v>
      </c>
      <c r="D363" t="str">
        <f>Calendar!P363</f>
        <v>No</v>
      </c>
      <c r="E363" t="str">
        <f>Calendar!Q363</f>
        <v>No</v>
      </c>
      <c r="F363" t="str">
        <f>Calendar!I363</f>
        <v>Wednesday</v>
      </c>
      <c r="G363">
        <f>Calendar!S363</f>
        <v>4</v>
      </c>
      <c r="H363">
        <f>Calendar!T363</f>
        <v>4</v>
      </c>
      <c r="I363" s="27">
        <f>IF(VLOOKUP(A363,Calendar!$A$1:$R$1377,18,0)=0,0,IF(VLOOKUP(A363,Calendar!$A$1:$R$1377,18,0)=1,INDEX(Monthly_Pay_Model!$A$9:$D$40,MATCH(TEXT(A363,"dd"),Monthly_Pay_Model!$C$9:$C$39,0),4),IF(VLOOKUP(A363,Calendar!$A$1:$R$1377,18,0)=2,SUM(INDEX(Monthly_Pay_Model!$A$9:$D$40,MATCH(TEXT(A363,"dd"),Monthly_Pay_Model!$C$9:$C$39,0),4),INDEX(Monthly_Pay_Model!$A$9:$D$40,MATCH(TEXT(A364,"dd"),Monthly_Pay_Model!$C$9:$C$39,0),4)),IF(VLOOKUP(A363,Calendar!$A$1:$R$1377,18,0)=3,SUM(INDEX(Monthly_Pay_Model!$A$9:$D$40,MATCH(TEXT(A363,"dd"),Monthly_Pay_Model!$C$9:$C$39,0),4),INDEX(Monthly_Pay_Model!$A$9:$D$40,MATCH(TEXT(A364,"dd"),Monthly_Pay_Model!$C$9:$C$39,0),4),INDEX(Monthly_Pay_Model!$A$9:$D$40,MATCH(TEXT(A365,"dd"),Monthly_Pay_Model!$C$9:$C$39,0),4)),IF(VLOOKUP(A363,Calendar!$A$1:$R$1377,18,0)=4,SUM(INDEX(Monthly_Pay_Model!$A$9:$D$40,MATCH(TEXT(A363,"dd"),Monthly_Pay_Model!$C$9:$C$39,0),4),INDEX(Monthly_Pay_Model!$A$9:$D$40,MATCH(TEXT(A364,"dd"),Monthly_Pay_Model!$C$9:$C$39,0),4),INDEX(Monthly_Pay_Model!$A$9:$D$40,MATCH(TEXT(A365,"dd"),Monthly_Pay_Model!$C$9:$C$39,0),4),INDEX(Monthly_Pay_Model!$A$9:$D$40,MATCH(TEXT(A366,"dd"),Monthly_Pay_Model!$C$9:$C$39,0),4)),IF(VLOOKUP(A363,Calendar!$A$1:$R$1377,18,0)=5,SUM(INDEX(Monthly_Pay_Model!$A$9:$D$40,MATCH(TEXT(A363,"dd"),Monthly_Pay_Model!$C$9:$C$39,0),4),INDEX(Monthly_Pay_Model!$A$9:$D$40,MATCH(TEXT(A364,"dd"),Monthly_Pay_Model!$C$9:$C$39,0),4),INDEX(Monthly_Pay_Model!$A$9:$D$40,MATCH(TEXT(A365,"dd"),Monthly_Pay_Model!$C$9:$C$39,0),4),INDEX(Monthly_Pay_Model!$A$9:$D$40,MATCH(TEXT(A366,"dd"),Monthly_Pay_Model!$C$9:$C$39,0),4),INDEX(Monthly_Pay_Model!$A$9:$D$40,MATCH(TEXT(A367,"dd"),Monthly_Pay_Model!$C$9:$C$39,0),4)),))))))</f>
        <v>2.1126701570680625E-2</v>
      </c>
      <c r="J363" s="33">
        <f>IF(C363="Yes",Monthly_Pay_Model!$D$2,0)
+IF(Calendar!N363="Yes",Monthly_Pay_Model!$D$3,0)
+IF(D363="Yes",Monthly_Pay_Model!$D$4,0)
+IF(E363="Yes",Monthly_Pay_Model!$D$5,0)</f>
        <v>0</v>
      </c>
      <c r="K363" s="27">
        <f>IF(VLOOKUP($A363,Calendar!$A$1:$R$1377,18,0)=0,0,IF(VLOOKUP($A363,Calendar!$A$1:$R$1377,18,0)=1,IFERROR(INDEX(Weekly_Model!$D$2:$D$9,MATCH(F363,Weekly_Model!$A$2:$A$9,0)),0),IF(VLOOKUP($A363,Calendar!$A$1:$R$1377,18,0)=2,SUM(IFERROR(INDEX(Weekly_Model!$D$2:$D$9,MATCH(F363,Weekly_Model!$A$2:$A$9,0)),0),IFERROR(INDEX(Weekly_Model!$D$2:$D$9,MATCH(F364,Weekly_Model!$A$2:$A$9,0)),0)),IF(VLOOKUP($A363,Calendar!$A$1:$R$1377,18,0)=3,SUM(IFERROR(INDEX(Weekly_Model!$D$2:$D$9,MATCH(F363,Weekly_Model!$A$2:$A$9,0)),0),IFERROR(INDEX(Weekly_Model!$D$2:$D$9,MATCH(F364,Weekly_Model!$A$2:$A$9,0)),0),IFERROR(INDEX(Weekly_Model!$D$2:$D$9,MATCH(F365,Weekly_Model!$A$2:$A$9,0)),0)),IF(VLOOKUP($A363,Calendar!$A$1:$R$1377,18,0)=4,SUM(IFERROR(INDEX(Weekly_Model!$D$2:$D$9,MATCH(F363,Weekly_Model!$A$2:$A$9,0)),0),IFERROR(INDEX(Weekly_Model!$D$2:$D$9,MATCH(F364,Weekly_Model!$A$2:$A$9,0)),0),IFERROR(INDEX(Weekly_Model!$D$2:$D$9,MATCH(F365,Weekly_Model!$A$2:$A$9,0)),0),IFERROR(INDEX(Weekly_Model!$D$2:$D$9,MATCH(F366,Weekly_Model!$A$2:$A$9,0)),0)),IF(VLOOKUP($A363,Calendar!$A$1:$R$1377,18,0)=5,SUM(IFERROR(INDEX(Weekly_Model!$D$2:$D$9,MATCH(F363,Weekly_Model!$A$2:$A$9,0)),0),IFERROR(INDEX(Weekly_Model!$D$2:$D$9,MATCH(F364,Weekly_Model!$A$2:$A$9,0)),0),IFERROR(INDEX(Weekly_Model!$D$2:$D$9,MATCH(F365,Weekly_Model!$A$2:$A$9,0)),0),IFERROR(INDEX(Weekly_Model!$D$2:$D$9,MATCH(F366,Weekly_Model!$A$2:$A$9,0)),0),IFERROR(INDEX(Weekly_Model!$D$2:$D$9,MATCH(F367,Weekly_Model!$A$2:$A$9,0)),0)),0))))))</f>
        <v>2.3200000000000002E-2</v>
      </c>
      <c r="L363" s="27">
        <f>IF(VLOOKUP($A363,Calendar!$A$1:$R$1377,18,0)=0,0,IF(VLOOKUP($A363,Calendar!$A$1:$R$1377,18,0)=1,IFERROR(INDEX(Fortnightly_Model!$D$2:$D$15,MATCH(G363,Fortnightly_Model!$B$2:$B$15,0)),0),IF(VLOOKUP($A363,Calendar!$A$1:$R$1377,18,0)=2,SUM(IFERROR(INDEX(Fortnightly_Model!$D$2:$D$15,MATCH(G363,Fortnightly_Model!$B$2:$B$15,0)),0),IFERROR(INDEX(Fortnightly_Model!$D$2:$D$15,MATCH(G364,Fortnightly_Model!$B$2:$B$15,0)),0)),IF(VLOOKUP($A363,Calendar!$A$1:$R$1377,18,0)=3,SUM(IFERROR(INDEX(Fortnightly_Model!$D$2:$D$15,MATCH(G363,Fortnightly_Model!$B$2:$B$15,0)),0),IFERROR(INDEX(Fortnightly_Model!$D$2:$D$15,MATCH(G364,Fortnightly_Model!$B$2:$B$15,0)),0),IFERROR(INDEX(Fortnightly_Model!$D$2:$D$15,MATCH(G365,Fortnightly_Model!$B$2:$B$15,0)),0)),IF(VLOOKUP($A363,Calendar!$A$1:$R$1377,18,0)=4,SUM(IFERROR(INDEX(Fortnightly_Model!$D$2:$D$15,MATCH(G363,Fortnightly_Model!$B$2:$B$15,0)),0),IFERROR(INDEX(Fortnightly_Model!$D$2:$D$15,MATCH(G364,Fortnightly_Model!$B$2:$B$15,0)),0),IFERROR(INDEX(Fortnightly_Model!$D$2:$D$15,MATCH(G365,Fortnightly_Model!$B$2:$B$15,0)),0),IFERROR(INDEX(Fortnightly_Model!$D$2:$D$15,MATCH(G366,Fortnightly_Model!$B$2:$B$15,0)),0)),IF(VLOOKUP($A363,Calendar!$A$1:$R$1377,18,0)=5,SUM(IFERROR(INDEX(Fortnightly_Model!$D$2:$D$15,MATCH(G363,Fortnightly_Model!$B$2:$B$15,0)),0),IFERROR(INDEX(Fortnightly_Model!$D$2:$D$15,MATCH(G364,Fortnightly_Model!$B$2:$B$15,0)),0),IFERROR(INDEX(Fortnightly_Model!$D$2:$D$15,MATCH(G365,Fortnightly_Model!$B$2:$B$15,0)),0),IFERROR(INDEX(Fortnightly_Model!$D$2:$D$15,MATCH(G366,Fortnightly_Model!$B$2:$B$15,0)),0),IFERROR(INDEX(Fortnightly_Model!$D$2:$D$15,MATCH(G367,Fortnightly_Model!$B$2:$B$15,0)),0)),0))))))</f>
        <v>1.0714285499999999E-3</v>
      </c>
      <c r="M363" s="27">
        <f>IF(VLOOKUP($A363,Calendar!$A$1:$R$1377,18,0)=0,0,IF(VLOOKUP($A363,Calendar!$A$1:$R$1377,18,0)=1,IFERROR(INDEX(FourWeekly_Model!$D$2:$D$29,MATCH(H363,FourWeekly_Model!$B$2:$B$29,0)),0),IF(VLOOKUP($A363,Calendar!$A$1:$R$1377,18,0)=2,SUM(IFERROR(INDEX(FourWeekly_Model!$D$2:$D$29,MATCH(H363,FourWeekly_Model!$B$2:$B$29,0)),0),IFERROR(INDEX(FourWeekly_Model!$D$2:$D$29,MATCH(H364,FourWeekly_Model!$B$2:$B$29,0)),0)),IF(VLOOKUP($A363,Calendar!$A$1:$R$1377,18,0)=3,SUM(IFERROR(INDEX(FourWeekly_Model!$D$2:$D$29,MATCH(H363,FourWeekly_Model!$B$2:$B$29,0)),0),IFERROR(INDEX(FourWeekly_Model!$D$2:$D$29,MATCH(H364,FourWeekly_Model!$B$2:$B$29,0)),0),IFERROR(INDEX(FourWeekly_Model!$D$2:$D$29,MATCH(H365,FourWeekly_Model!$B$2:$B$29,0)),0)),IF(VLOOKUP($A363,Calendar!$A$1:$R$1377,18,0)=4,SUM(IFERROR(INDEX(FourWeekly_Model!$D$2:$D$29,MATCH(H363,FourWeekly_Model!$B$2:$B$29,0)),0),IFERROR(INDEX(FourWeekly_Model!$D$2:$D$29,MATCH(H364,FourWeekly_Model!$B$2:$B$29,0)),0),IFERROR(INDEX(FourWeekly_Model!$D$2:$D$29,MATCH(H365,FourWeekly_Model!$B$2:$B$29,0)),0),IFERROR(INDEX(FourWeekly_Model!$D$2:$D$29,MATCH(H366,FourWeekly_Model!$B$2:$B$29,0)),0)),IF(VLOOKUP($A363,Calendar!$A$1:$R$1377,18,0)=5,SUM(IFERROR(INDEX(FourWeekly_Model!$D$2:$D$29,MATCH(H363,FourWeekly_Model!$B$2:$B$29,0)),0),IFERROR(INDEX(FourWeekly_Model!$D$2:$D$29,MATCH(H364,FourWeekly_Model!$B$2:$B$29,0)),0),IFERROR(INDEX(FourWeekly_Model!$D$2:$D$29,MATCH(H365,FourWeekly_Model!$B$2:$B$29,0)),0),IFERROR(INDEX(FourWeekly_Model!$D$2:$D$29,MATCH(H366,FourWeekly_Model!$B$2:$B$29,0)),0),IFERROR(INDEX(FourWeekly_Model!$D$2:$D$29,MATCH(H367,FourWeekly_Model!$B$2:$B$29,0)),0)),0))))))</f>
        <v>3.3214289700000004E-3</v>
      </c>
      <c r="N363" s="27">
        <f>SUM(I363:M363)</f>
        <v>4.8719559090680625E-2</v>
      </c>
      <c r="O363" s="28">
        <f>Population_Data!$B$8*N363</f>
        <v>1476202.6404476229</v>
      </c>
      <c r="P363" s="27">
        <f>IF(VLOOKUP($A363,Calendar!$A$1:$R$1377,18,0)=0,0,IF(VLOOKUP($A363,Calendar!$A$1:$R$1377,18,0)=1,IFERROR(INDEX(Pension_Model!$D$2:$D$29,MATCH(H363,Pension_Model!$B$2:$B$29,0)),0),IF(VLOOKUP($A363,Calendar!$A$1:$R$1377,18,0)=2,SUM(IFERROR(INDEX(Pension_Model!$D$2:$D$29,MATCH(H363,Pension_Model!$B$2:$B$29,0)),0),IFERROR(INDEX(Pension_Model!$D$2:$D$29,MATCH(H364,Pension_Model!$B$2:$B$29,0)),0)),IF(VLOOKUP($A363,Calendar!$A$1:$R$1377,18,0)=3,SUM(IFERROR(INDEX(Pension_Model!$D$2:$D$29,MATCH(H363,Pension_Model!$B$2:$B$29,0)),0),IFERROR(INDEX(Pension_Model!$D$2:$D$29,MATCH(H364,Pension_Model!$B$2:$B$29,0)),0),IFERROR(INDEX(Pension_Model!$D$2:$D$29,MATCH(H365,Pension_Model!$B$2:$B$29,0)),0)),IF(VLOOKUP($A363,Calendar!$A$1:$R$1377,18,0)=4,SUM(IFERROR(INDEX(Pension_Model!$D$2:$D$29,MATCH(H363,Pension_Model!$B$2:$B$29,0)),0),IFERROR(INDEX(Pension_Model!$D$2:$D$29,MATCH(H364,Pension_Model!$B$2:$B$29,0)),0),IFERROR(INDEX(Pension_Model!$D$2:$D$29,MATCH(H365,Pension_Model!$B$2:$B$29,0)),0),IFERROR(INDEX(Pension_Model!$D$2:$D$29,MATCH(H366,Pension_Model!$B$2:$B$29,0)),0)),IF(VLOOKUP($A363,Calendar!$A$1:$R$1377,18,0)=5,SUM(IFERROR(INDEX(Pension_Model!$D$2:$D$29,MATCH(H363,Pension_Model!$B$2:$B$29,0)),0),IFERROR(INDEX(Pension_Model!$D$2:$D$29,MATCH(H364,Pension_Model!$B$2:$B$29,0)),0),IFERROR(INDEX(Pension_Model!$D$2:$D$29,MATCH(H365,Pension_Model!$B$2:$B$29,0)),0),IFERROR(INDEX(Pension_Model!$D$2:$D$29,MATCH(H366,Pension_Model!$B$2:$B$29,0)),0),IFERROR(INDEX(Pension_Model!$D$2:$D$29,MATCH(H367,Pension_Model!$B$2:$B$29,0)),0)),0))))))</f>
        <v>0.05</v>
      </c>
      <c r="Q363" s="28">
        <f>Population_Data!$B$15*P363</f>
        <v>660600</v>
      </c>
      <c r="S363">
        <f t="shared" si="5"/>
        <v>2136802.6404476231</v>
      </c>
      <c r="U363" s="33">
        <f>S363/Population_Data!$B$19</f>
        <v>3.87101927617323E-2</v>
      </c>
    </row>
    <row r="364" spans="1:21">
      <c r="A364" s="25">
        <f>Calendar!A364</f>
        <v>46597</v>
      </c>
      <c r="B364" t="str">
        <f>Calendar!L364</f>
        <v>Yes</v>
      </c>
      <c r="C364" t="str">
        <f>Calendar!O364</f>
        <v>No</v>
      </c>
      <c r="D364" t="str">
        <f>Calendar!P364</f>
        <v>No</v>
      </c>
      <c r="E364" t="str">
        <f>Calendar!Q364</f>
        <v>Yes</v>
      </c>
      <c r="F364" t="str">
        <f>Calendar!I364</f>
        <v>Thursday</v>
      </c>
      <c r="G364">
        <f>Calendar!S364</f>
        <v>5</v>
      </c>
      <c r="H364">
        <f>Calendar!T364</f>
        <v>5</v>
      </c>
      <c r="I364" s="27">
        <f>IF(VLOOKUP(A364,Calendar!$A$1:$R$1377,18,0)=0,0,IF(VLOOKUP(A364,Calendar!$A$1:$R$1377,18,0)=1,INDEX(Monthly_Pay_Model!$A$9:$D$40,MATCH(TEXT(A364,"dd"),Monthly_Pay_Model!$C$9:$C$39,0),4),IF(VLOOKUP(A364,Calendar!$A$1:$R$1377,18,0)=2,SUM(INDEX(Monthly_Pay_Model!$A$9:$D$40,MATCH(TEXT(A364,"dd"),Monthly_Pay_Model!$C$9:$C$39,0),4),INDEX(Monthly_Pay_Model!$A$9:$D$40,MATCH(TEXT(A365,"dd"),Monthly_Pay_Model!$C$9:$C$39,0),4)),IF(VLOOKUP(A364,Calendar!$A$1:$R$1377,18,0)=3,SUM(INDEX(Monthly_Pay_Model!$A$9:$D$40,MATCH(TEXT(A364,"dd"),Monthly_Pay_Model!$C$9:$C$39,0),4),INDEX(Monthly_Pay_Model!$A$9:$D$40,MATCH(TEXT(A365,"dd"),Monthly_Pay_Model!$C$9:$C$39,0),4),INDEX(Monthly_Pay_Model!$A$9:$D$40,MATCH(TEXT(A366,"dd"),Monthly_Pay_Model!$C$9:$C$39,0),4)),IF(VLOOKUP(A364,Calendar!$A$1:$R$1377,18,0)=4,SUM(INDEX(Monthly_Pay_Model!$A$9:$D$40,MATCH(TEXT(A364,"dd"),Monthly_Pay_Model!$C$9:$C$39,0),4),INDEX(Monthly_Pay_Model!$A$9:$D$40,MATCH(TEXT(A365,"dd"),Monthly_Pay_Model!$C$9:$C$39,0),4),INDEX(Monthly_Pay_Model!$A$9:$D$40,MATCH(TEXT(A366,"dd"),Monthly_Pay_Model!$C$9:$C$39,0),4),INDEX(Monthly_Pay_Model!$A$9:$D$40,MATCH(TEXT(A367,"dd"),Monthly_Pay_Model!$C$9:$C$39,0),4)),IF(VLOOKUP(A364,Calendar!$A$1:$R$1377,18,0)=5,SUM(INDEX(Monthly_Pay_Model!$A$9:$D$40,MATCH(TEXT(A364,"dd"),Monthly_Pay_Model!$C$9:$C$39,0),4),INDEX(Monthly_Pay_Model!$A$9:$D$40,MATCH(TEXT(A365,"dd"),Monthly_Pay_Model!$C$9:$C$39,0),4),INDEX(Monthly_Pay_Model!$A$9:$D$40,MATCH(TEXT(A366,"dd"),Monthly_Pay_Model!$C$9:$C$39,0),4),INDEX(Monthly_Pay_Model!$A$9:$D$40,MATCH(TEXT(A367,"dd"),Monthly_Pay_Model!$C$9:$C$39,0),4),INDEX(Monthly_Pay_Model!$A$9:$D$40,MATCH(TEXT(A368,"dd"),Monthly_Pay_Model!$C$9:$C$39,0),4)),))))))</f>
        <v>4.0628272251308894E-3</v>
      </c>
      <c r="J364" s="33">
        <f>IF(C364="Yes",Monthly_Pay_Model!$D$2,0)
+IF(Calendar!N364="Yes",Monthly_Pay_Model!$D$3,0)
+IF(D364="Yes",Monthly_Pay_Model!$D$4,0)
+IF(E364="Yes",Monthly_Pay_Model!$D$5,0)</f>
        <v>5.4320000000000007E-2</v>
      </c>
      <c r="K364" s="27">
        <f>IF(VLOOKUP($A364,Calendar!$A$1:$R$1377,18,0)=0,0,IF(VLOOKUP($A364,Calendar!$A$1:$R$1377,18,0)=1,IFERROR(INDEX(Weekly_Model!$D$2:$D$9,MATCH(F364,Weekly_Model!$A$2:$A$9,0)),0),IF(VLOOKUP($A364,Calendar!$A$1:$R$1377,18,0)=2,SUM(IFERROR(INDEX(Weekly_Model!$D$2:$D$9,MATCH(F364,Weekly_Model!$A$2:$A$9,0)),0),IFERROR(INDEX(Weekly_Model!$D$2:$D$9,MATCH(F365,Weekly_Model!$A$2:$A$9,0)),0)),IF(VLOOKUP($A364,Calendar!$A$1:$R$1377,18,0)=3,SUM(IFERROR(INDEX(Weekly_Model!$D$2:$D$9,MATCH(F364,Weekly_Model!$A$2:$A$9,0)),0),IFERROR(INDEX(Weekly_Model!$D$2:$D$9,MATCH(F365,Weekly_Model!$A$2:$A$9,0)),0),IFERROR(INDEX(Weekly_Model!$D$2:$D$9,MATCH(F366,Weekly_Model!$A$2:$A$9,0)),0)),IF(VLOOKUP($A364,Calendar!$A$1:$R$1377,18,0)=4,SUM(IFERROR(INDEX(Weekly_Model!$D$2:$D$9,MATCH(F364,Weekly_Model!$A$2:$A$9,0)),0),IFERROR(INDEX(Weekly_Model!$D$2:$D$9,MATCH(F365,Weekly_Model!$A$2:$A$9,0)),0),IFERROR(INDEX(Weekly_Model!$D$2:$D$9,MATCH(F366,Weekly_Model!$A$2:$A$9,0)),0),IFERROR(INDEX(Weekly_Model!$D$2:$D$9,MATCH(F367,Weekly_Model!$A$2:$A$9,0)),0)),IF(VLOOKUP($A364,Calendar!$A$1:$R$1377,18,0)=5,SUM(IFERROR(INDEX(Weekly_Model!$D$2:$D$9,MATCH(F364,Weekly_Model!$A$2:$A$9,0)),0),IFERROR(INDEX(Weekly_Model!$D$2:$D$9,MATCH(F365,Weekly_Model!$A$2:$A$9,0)),0),IFERROR(INDEX(Weekly_Model!$D$2:$D$9,MATCH(F366,Weekly_Model!$A$2:$A$9,0)),0),IFERROR(INDEX(Weekly_Model!$D$2:$D$9,MATCH(F367,Weekly_Model!$A$2:$A$9,0)),0),IFERROR(INDEX(Weekly_Model!$D$2:$D$9,MATCH(F368,Weekly_Model!$A$2:$A$9,0)),0)),0))))))</f>
        <v>2.3200000000000002E-2</v>
      </c>
      <c r="L364" s="27">
        <f>IF(VLOOKUP($A364,Calendar!$A$1:$R$1377,18,0)=0,0,IF(VLOOKUP($A364,Calendar!$A$1:$R$1377,18,0)=1,IFERROR(INDEX(Fortnightly_Model!$D$2:$D$15,MATCH(G364,Fortnightly_Model!$B$2:$B$15,0)),0),IF(VLOOKUP($A364,Calendar!$A$1:$R$1377,18,0)=2,SUM(IFERROR(INDEX(Fortnightly_Model!$D$2:$D$15,MATCH(G364,Fortnightly_Model!$B$2:$B$15,0)),0),IFERROR(INDEX(Fortnightly_Model!$D$2:$D$15,MATCH(G365,Fortnightly_Model!$B$2:$B$15,0)),0)),IF(VLOOKUP($A364,Calendar!$A$1:$R$1377,18,0)=3,SUM(IFERROR(INDEX(Fortnightly_Model!$D$2:$D$15,MATCH(G364,Fortnightly_Model!$B$2:$B$15,0)),0),IFERROR(INDEX(Fortnightly_Model!$D$2:$D$15,MATCH(G365,Fortnightly_Model!$B$2:$B$15,0)),0),IFERROR(INDEX(Fortnightly_Model!$D$2:$D$15,MATCH(G366,Fortnightly_Model!$B$2:$B$15,0)),0)),IF(VLOOKUP($A364,Calendar!$A$1:$R$1377,18,0)=4,SUM(IFERROR(INDEX(Fortnightly_Model!$D$2:$D$15,MATCH(G364,Fortnightly_Model!$B$2:$B$15,0)),0),IFERROR(INDEX(Fortnightly_Model!$D$2:$D$15,MATCH(G365,Fortnightly_Model!$B$2:$B$15,0)),0),IFERROR(INDEX(Fortnightly_Model!$D$2:$D$15,MATCH(G366,Fortnightly_Model!$B$2:$B$15,0)),0),IFERROR(INDEX(Fortnightly_Model!$D$2:$D$15,MATCH(G367,Fortnightly_Model!$B$2:$B$15,0)),0)),IF(VLOOKUP($A364,Calendar!$A$1:$R$1377,18,0)=5,SUM(IFERROR(INDEX(Fortnightly_Model!$D$2:$D$15,MATCH(G364,Fortnightly_Model!$B$2:$B$15,0)),0),IFERROR(INDEX(Fortnightly_Model!$D$2:$D$15,MATCH(G365,Fortnightly_Model!$B$2:$B$15,0)),0),IFERROR(INDEX(Fortnightly_Model!$D$2:$D$15,MATCH(G366,Fortnightly_Model!$B$2:$B$15,0)),0),IFERROR(INDEX(Fortnightly_Model!$D$2:$D$15,MATCH(G367,Fortnightly_Model!$B$2:$B$15,0)),0),IFERROR(INDEX(Fortnightly_Model!$D$2:$D$15,MATCH(G368,Fortnightly_Model!$B$2:$B$15,0)),0)),0))))))</f>
        <v>1.0714285499999999E-3</v>
      </c>
      <c r="M364" s="27">
        <f>IF(VLOOKUP($A364,Calendar!$A$1:$R$1377,18,0)=0,0,IF(VLOOKUP($A364,Calendar!$A$1:$R$1377,18,0)=1,IFERROR(INDEX(FourWeekly_Model!$D$2:$D$29,MATCH(H364,FourWeekly_Model!$B$2:$B$29,0)),0),IF(VLOOKUP($A364,Calendar!$A$1:$R$1377,18,0)=2,SUM(IFERROR(INDEX(FourWeekly_Model!$D$2:$D$29,MATCH(H364,FourWeekly_Model!$B$2:$B$29,0)),0),IFERROR(INDEX(FourWeekly_Model!$D$2:$D$29,MATCH(H365,FourWeekly_Model!$B$2:$B$29,0)),0)),IF(VLOOKUP($A364,Calendar!$A$1:$R$1377,18,0)=3,SUM(IFERROR(INDEX(FourWeekly_Model!$D$2:$D$29,MATCH(H364,FourWeekly_Model!$B$2:$B$29,0)),0),IFERROR(INDEX(FourWeekly_Model!$D$2:$D$29,MATCH(H365,FourWeekly_Model!$B$2:$B$29,0)),0),IFERROR(INDEX(FourWeekly_Model!$D$2:$D$29,MATCH(H366,FourWeekly_Model!$B$2:$B$29,0)),0)),IF(VLOOKUP($A364,Calendar!$A$1:$R$1377,18,0)=4,SUM(IFERROR(INDEX(FourWeekly_Model!$D$2:$D$29,MATCH(H364,FourWeekly_Model!$B$2:$B$29,0)),0),IFERROR(INDEX(FourWeekly_Model!$D$2:$D$29,MATCH(H365,FourWeekly_Model!$B$2:$B$29,0)),0),IFERROR(INDEX(FourWeekly_Model!$D$2:$D$29,MATCH(H366,FourWeekly_Model!$B$2:$B$29,0)),0),IFERROR(INDEX(FourWeekly_Model!$D$2:$D$29,MATCH(H367,FourWeekly_Model!$B$2:$B$29,0)),0)),IF(VLOOKUP($A364,Calendar!$A$1:$R$1377,18,0)=5,SUM(IFERROR(INDEX(FourWeekly_Model!$D$2:$D$29,MATCH(H364,FourWeekly_Model!$B$2:$B$29,0)),0),IFERROR(INDEX(FourWeekly_Model!$D$2:$D$29,MATCH(H365,FourWeekly_Model!$B$2:$B$29,0)),0),IFERROR(INDEX(FourWeekly_Model!$D$2:$D$29,MATCH(H366,FourWeekly_Model!$B$2:$B$29,0)),0),IFERROR(INDEX(FourWeekly_Model!$D$2:$D$29,MATCH(H367,FourWeekly_Model!$B$2:$B$29,0)),0),IFERROR(INDEX(FourWeekly_Model!$D$2:$D$29,MATCH(H368,FourWeekly_Model!$B$2:$B$29,0)),0)),0))))))</f>
        <v>3.3214289700000004E-3</v>
      </c>
      <c r="N364" s="27">
        <f>SUM(I364:M364)</f>
        <v>8.5975684745130898E-2</v>
      </c>
      <c r="O364" s="28">
        <f>Population_Data!$B$8*N364</f>
        <v>2605063.2477774662</v>
      </c>
      <c r="P364" s="27">
        <f>IF(VLOOKUP($A364,Calendar!$A$1:$R$1377,18,0)=0,0,IF(VLOOKUP($A364,Calendar!$A$1:$R$1377,18,0)=1,IFERROR(INDEX(Pension_Model!$D$2:$D$29,MATCH(H364,Pension_Model!$B$2:$B$29,0)),0),IF(VLOOKUP($A364,Calendar!$A$1:$R$1377,18,0)=2,SUM(IFERROR(INDEX(Pension_Model!$D$2:$D$29,MATCH(H364,Pension_Model!$B$2:$B$29,0)),0),IFERROR(INDEX(Pension_Model!$D$2:$D$29,MATCH(H365,Pension_Model!$B$2:$B$29,0)),0)),IF(VLOOKUP($A364,Calendar!$A$1:$R$1377,18,0)=3,SUM(IFERROR(INDEX(Pension_Model!$D$2:$D$29,MATCH(H364,Pension_Model!$B$2:$B$29,0)),0),IFERROR(INDEX(Pension_Model!$D$2:$D$29,MATCH(H365,Pension_Model!$B$2:$B$29,0)),0),IFERROR(INDEX(Pension_Model!$D$2:$D$29,MATCH(H366,Pension_Model!$B$2:$B$29,0)),0)),IF(VLOOKUP($A364,Calendar!$A$1:$R$1377,18,0)=4,SUM(IFERROR(INDEX(Pension_Model!$D$2:$D$29,MATCH(H364,Pension_Model!$B$2:$B$29,0)),0),IFERROR(INDEX(Pension_Model!$D$2:$D$29,MATCH(H365,Pension_Model!$B$2:$B$29,0)),0),IFERROR(INDEX(Pension_Model!$D$2:$D$29,MATCH(H366,Pension_Model!$B$2:$B$29,0)),0),IFERROR(INDEX(Pension_Model!$D$2:$D$29,MATCH(H367,Pension_Model!$B$2:$B$29,0)),0)),IF(VLOOKUP($A364,Calendar!$A$1:$R$1377,18,0)=5,SUM(IFERROR(INDEX(Pension_Model!$D$2:$D$29,MATCH(H364,Pension_Model!$B$2:$B$29,0)),0),IFERROR(INDEX(Pension_Model!$D$2:$D$29,MATCH(H365,Pension_Model!$B$2:$B$29,0)),0),IFERROR(INDEX(Pension_Model!$D$2:$D$29,MATCH(H366,Pension_Model!$B$2:$B$29,0)),0),IFERROR(INDEX(Pension_Model!$D$2:$D$29,MATCH(H367,Pension_Model!$B$2:$B$29,0)),0),IFERROR(INDEX(Pension_Model!$D$2:$D$29,MATCH(H368,Pension_Model!$B$2:$B$29,0)),0)),0))))))</f>
        <v>0.05</v>
      </c>
      <c r="Q364" s="28">
        <f>Population_Data!$B$15*P364</f>
        <v>660600</v>
      </c>
      <c r="S364">
        <f t="shared" si="5"/>
        <v>3265663.2477774662</v>
      </c>
      <c r="U364" s="33">
        <f>S364/Population_Data!$B$19</f>
        <v>5.9160566082925109E-2</v>
      </c>
    </row>
    <row r="365" spans="1:21">
      <c r="A365" s="25">
        <f>Calendar!A365</f>
        <v>46598</v>
      </c>
      <c r="B365" t="str">
        <f>Calendar!L365</f>
        <v>Yes</v>
      </c>
      <c r="C365" t="str">
        <f>Calendar!O365</f>
        <v>Yes</v>
      </c>
      <c r="D365" t="str">
        <f>Calendar!P365</f>
        <v>Yes</v>
      </c>
      <c r="E365" t="str">
        <f>Calendar!Q365</f>
        <v>No</v>
      </c>
      <c r="F365" t="str">
        <f>Calendar!I365</f>
        <v>Friday</v>
      </c>
      <c r="G365">
        <f>Calendar!S365</f>
        <v>6</v>
      </c>
      <c r="H365">
        <f>Calendar!T365</f>
        <v>6</v>
      </c>
      <c r="I365" s="27">
        <f>IF(VLOOKUP(A365,Calendar!$A$1:$R$1377,18,0)=0,0,IF(VLOOKUP(A365,Calendar!$A$1:$R$1377,18,0)=1,INDEX(Monthly_Pay_Model!$A$9:$D$40,MATCH(TEXT(A365,"dd"),Monthly_Pay_Model!$C$9:$C$39,0),4),IF(VLOOKUP(A365,Calendar!$A$1:$R$1377,18,0)=2,SUM(INDEX(Monthly_Pay_Model!$A$9:$D$40,MATCH(TEXT(A365,"dd"),Monthly_Pay_Model!$C$9:$C$39,0),4),INDEX(Monthly_Pay_Model!$A$9:$D$40,MATCH(TEXT(A366,"dd"),Monthly_Pay_Model!$C$9:$C$39,0),4)),IF(VLOOKUP(A365,Calendar!$A$1:$R$1377,18,0)=3,SUM(INDEX(Monthly_Pay_Model!$A$9:$D$40,MATCH(TEXT(A365,"dd"),Monthly_Pay_Model!$C$9:$C$39,0),4),INDEX(Monthly_Pay_Model!$A$9:$D$40,MATCH(TEXT(A366,"dd"),Monthly_Pay_Model!$C$9:$C$39,0),4),INDEX(Monthly_Pay_Model!$A$9:$D$40,MATCH(TEXT(A367,"dd"),Monthly_Pay_Model!$C$9:$C$39,0),4)),IF(VLOOKUP(A365,Calendar!$A$1:$R$1377,18,0)=4,SUM(INDEX(Monthly_Pay_Model!$A$9:$D$40,MATCH(TEXT(A365,"dd"),Monthly_Pay_Model!$C$9:$C$39,0),4),INDEX(Monthly_Pay_Model!$A$9:$D$40,MATCH(TEXT(A366,"dd"),Monthly_Pay_Model!$C$9:$C$39,0),4),INDEX(Monthly_Pay_Model!$A$9:$D$40,MATCH(TEXT(A367,"dd"),Monthly_Pay_Model!$C$9:$C$39,0),4),INDEX(Monthly_Pay_Model!$A$9:$D$40,MATCH(TEXT(A368,"dd"),Monthly_Pay_Model!$C$9:$C$39,0),4)),IF(VLOOKUP(A365,Calendar!$A$1:$R$1377,18,0)=5,SUM(INDEX(Monthly_Pay_Model!$A$9:$D$40,MATCH(TEXT(A365,"dd"),Monthly_Pay_Model!$C$9:$C$39,0),4),INDEX(Monthly_Pay_Model!$A$9:$D$40,MATCH(TEXT(A366,"dd"),Monthly_Pay_Model!$C$9:$C$39,0),4),INDEX(Monthly_Pay_Model!$A$9:$D$40,MATCH(TEXT(A367,"dd"),Monthly_Pay_Model!$C$9:$C$39,0),4),INDEX(Monthly_Pay_Model!$A$9:$D$40,MATCH(TEXT(A368,"dd"),Monthly_Pay_Model!$C$9:$C$39,0),4),INDEX(Monthly_Pay_Model!$A$9:$D$40,MATCH(TEXT(A369,"dd"),Monthly_Pay_Model!$C$9:$C$39,0),4)),))))))</f>
        <v>1.4626178010471202E-2</v>
      </c>
      <c r="J365" s="33">
        <f>IF(C365="Yes",Monthly_Pay_Model!$D$2,0)
+IF(Calendar!N365="Yes",Monthly_Pay_Model!$D$3,0)
+IF(D365="Yes",Monthly_Pay_Model!$D$4,0)
+IF(E365="Yes",Monthly_Pay_Model!$D$5,0)</f>
        <v>0.44231999999999999</v>
      </c>
      <c r="K365" s="27">
        <f>IF(VLOOKUP($A365,Calendar!$A$1:$R$1377,18,0)=0,0,IF(VLOOKUP($A365,Calendar!$A$1:$R$1377,18,0)=1,IFERROR(INDEX(Weekly_Model!$D$2:$D$9,MATCH(F365,Weekly_Model!$A$2:$A$9,0)),0),IF(VLOOKUP($A365,Calendar!$A$1:$R$1377,18,0)=2,SUM(IFERROR(INDEX(Weekly_Model!$D$2:$D$9,MATCH(F365,Weekly_Model!$A$2:$A$9,0)),0),IFERROR(INDEX(Weekly_Model!$D$2:$D$9,MATCH(F366,Weekly_Model!$A$2:$A$9,0)),0)),IF(VLOOKUP($A365,Calendar!$A$1:$R$1377,18,0)=3,SUM(IFERROR(INDEX(Weekly_Model!$D$2:$D$9,MATCH(F365,Weekly_Model!$A$2:$A$9,0)),0),IFERROR(INDEX(Weekly_Model!$D$2:$D$9,MATCH(F366,Weekly_Model!$A$2:$A$9,0)),0),IFERROR(INDEX(Weekly_Model!$D$2:$D$9,MATCH(F367,Weekly_Model!$A$2:$A$9,0)),0)),IF(VLOOKUP($A365,Calendar!$A$1:$R$1377,18,0)=4,SUM(IFERROR(INDEX(Weekly_Model!$D$2:$D$9,MATCH(F365,Weekly_Model!$A$2:$A$9,0)),0),IFERROR(INDEX(Weekly_Model!$D$2:$D$9,MATCH(F366,Weekly_Model!$A$2:$A$9,0)),0),IFERROR(INDEX(Weekly_Model!$D$2:$D$9,MATCH(F367,Weekly_Model!$A$2:$A$9,0)),0),IFERROR(INDEX(Weekly_Model!$D$2:$D$9,MATCH(F368,Weekly_Model!$A$2:$A$9,0)),0)),IF(VLOOKUP($A365,Calendar!$A$1:$R$1377,18,0)=5,SUM(IFERROR(INDEX(Weekly_Model!$D$2:$D$9,MATCH(F365,Weekly_Model!$A$2:$A$9,0)),0),IFERROR(INDEX(Weekly_Model!$D$2:$D$9,MATCH(F366,Weekly_Model!$A$2:$A$9,0)),0),IFERROR(INDEX(Weekly_Model!$D$2:$D$9,MATCH(F367,Weekly_Model!$A$2:$A$9,0)),0),IFERROR(INDEX(Weekly_Model!$D$2:$D$9,MATCH(F368,Weekly_Model!$A$2:$A$9,0)),0),IFERROR(INDEX(Weekly_Model!$D$2:$D$9,MATCH(F369,Weekly_Model!$A$2:$A$9,0)),0)),0))))))</f>
        <v>2.3200000000000002E-2</v>
      </c>
      <c r="L365" s="27">
        <f>IF(VLOOKUP($A365,Calendar!$A$1:$R$1377,18,0)=0,0,IF(VLOOKUP($A365,Calendar!$A$1:$R$1377,18,0)=1,IFERROR(INDEX(Fortnightly_Model!$D$2:$D$15,MATCH(G365,Fortnightly_Model!$B$2:$B$15,0)),0),IF(VLOOKUP($A365,Calendar!$A$1:$R$1377,18,0)=2,SUM(IFERROR(INDEX(Fortnightly_Model!$D$2:$D$15,MATCH(G365,Fortnightly_Model!$B$2:$B$15,0)),0),IFERROR(INDEX(Fortnightly_Model!$D$2:$D$15,MATCH(G366,Fortnightly_Model!$B$2:$B$15,0)),0)),IF(VLOOKUP($A365,Calendar!$A$1:$R$1377,18,0)=3,SUM(IFERROR(INDEX(Fortnightly_Model!$D$2:$D$15,MATCH(G365,Fortnightly_Model!$B$2:$B$15,0)),0),IFERROR(INDEX(Fortnightly_Model!$D$2:$D$15,MATCH(G366,Fortnightly_Model!$B$2:$B$15,0)),0),IFERROR(INDEX(Fortnightly_Model!$D$2:$D$15,MATCH(G367,Fortnightly_Model!$B$2:$B$15,0)),0)),IF(VLOOKUP($A365,Calendar!$A$1:$R$1377,18,0)=4,SUM(IFERROR(INDEX(Fortnightly_Model!$D$2:$D$15,MATCH(G365,Fortnightly_Model!$B$2:$B$15,0)),0),IFERROR(INDEX(Fortnightly_Model!$D$2:$D$15,MATCH(G366,Fortnightly_Model!$B$2:$B$15,0)),0),IFERROR(INDEX(Fortnightly_Model!$D$2:$D$15,MATCH(G367,Fortnightly_Model!$B$2:$B$15,0)),0),IFERROR(INDEX(Fortnightly_Model!$D$2:$D$15,MATCH(G368,Fortnightly_Model!$B$2:$B$15,0)),0)),IF(VLOOKUP($A365,Calendar!$A$1:$R$1377,18,0)=5,SUM(IFERROR(INDEX(Fortnightly_Model!$D$2:$D$15,MATCH(G365,Fortnightly_Model!$B$2:$B$15,0)),0),IFERROR(INDEX(Fortnightly_Model!$D$2:$D$15,MATCH(G366,Fortnightly_Model!$B$2:$B$15,0)),0),IFERROR(INDEX(Fortnightly_Model!$D$2:$D$15,MATCH(G367,Fortnightly_Model!$B$2:$B$15,0)),0),IFERROR(INDEX(Fortnightly_Model!$D$2:$D$15,MATCH(G368,Fortnightly_Model!$B$2:$B$15,0)),0),IFERROR(INDEX(Fortnightly_Model!$D$2:$D$15,MATCH(G369,Fortnightly_Model!$B$2:$B$15,0)),0)),0))))))</f>
        <v>3.2142856499999999E-3</v>
      </c>
      <c r="M365" s="27">
        <f>IF(VLOOKUP($A365,Calendar!$A$1:$R$1377,18,0)=0,0,IF(VLOOKUP($A365,Calendar!$A$1:$R$1377,18,0)=1,IFERROR(INDEX(FourWeekly_Model!$D$2:$D$29,MATCH(H365,FourWeekly_Model!$B$2:$B$29,0)),0),IF(VLOOKUP($A365,Calendar!$A$1:$R$1377,18,0)=2,SUM(IFERROR(INDEX(FourWeekly_Model!$D$2:$D$29,MATCH(H365,FourWeekly_Model!$B$2:$B$29,0)),0),IFERROR(INDEX(FourWeekly_Model!$D$2:$D$29,MATCH(H366,FourWeekly_Model!$B$2:$B$29,0)),0)),IF(VLOOKUP($A365,Calendar!$A$1:$R$1377,18,0)=3,SUM(IFERROR(INDEX(FourWeekly_Model!$D$2:$D$29,MATCH(H365,FourWeekly_Model!$B$2:$B$29,0)),0),IFERROR(INDEX(FourWeekly_Model!$D$2:$D$29,MATCH(H366,FourWeekly_Model!$B$2:$B$29,0)),0),IFERROR(INDEX(FourWeekly_Model!$D$2:$D$29,MATCH(H367,FourWeekly_Model!$B$2:$B$29,0)),0)),IF(VLOOKUP($A365,Calendar!$A$1:$R$1377,18,0)=4,SUM(IFERROR(INDEX(FourWeekly_Model!$D$2:$D$29,MATCH(H365,FourWeekly_Model!$B$2:$B$29,0)),0),IFERROR(INDEX(FourWeekly_Model!$D$2:$D$29,MATCH(H366,FourWeekly_Model!$B$2:$B$29,0)),0),IFERROR(INDEX(FourWeekly_Model!$D$2:$D$29,MATCH(H367,FourWeekly_Model!$B$2:$B$29,0)),0),IFERROR(INDEX(FourWeekly_Model!$D$2:$D$29,MATCH(H368,FourWeekly_Model!$B$2:$B$29,0)),0)),IF(VLOOKUP($A365,Calendar!$A$1:$R$1377,18,0)=5,SUM(IFERROR(INDEX(FourWeekly_Model!$D$2:$D$29,MATCH(H365,FourWeekly_Model!$B$2:$B$29,0)),0),IFERROR(INDEX(FourWeekly_Model!$D$2:$D$29,MATCH(H366,FourWeekly_Model!$B$2:$B$29,0)),0),IFERROR(INDEX(FourWeekly_Model!$D$2:$D$29,MATCH(H367,FourWeekly_Model!$B$2:$B$29,0)),0),IFERROR(INDEX(FourWeekly_Model!$D$2:$D$29,MATCH(H368,FourWeekly_Model!$B$2:$B$29,0)),0),IFERROR(INDEX(FourWeekly_Model!$D$2:$D$29,MATCH(H369,FourWeekly_Model!$B$2:$B$29,0)),0)),0))))))</f>
        <v>9.9642859800000011E-3</v>
      </c>
      <c r="N365" s="27">
        <f>SUM(I365:M365)</f>
        <v>0.49332474964047118</v>
      </c>
      <c r="O365" s="28">
        <f>Population_Data!$B$8*N365</f>
        <v>14947739.914106278</v>
      </c>
      <c r="P365" s="27">
        <f>IF(VLOOKUP($A365,Calendar!$A$1:$R$1377,18,0)=0,0,IF(VLOOKUP($A365,Calendar!$A$1:$R$1377,18,0)=1,IFERROR(INDEX(Pension_Model!$D$2:$D$29,MATCH(H365,Pension_Model!$B$2:$B$29,0)),0),IF(VLOOKUP($A365,Calendar!$A$1:$R$1377,18,0)=2,SUM(IFERROR(INDEX(Pension_Model!$D$2:$D$29,MATCH(H365,Pension_Model!$B$2:$B$29,0)),0),IFERROR(INDEX(Pension_Model!$D$2:$D$29,MATCH(H366,Pension_Model!$B$2:$B$29,0)),0)),IF(VLOOKUP($A365,Calendar!$A$1:$R$1377,18,0)=3,SUM(IFERROR(INDEX(Pension_Model!$D$2:$D$29,MATCH(H365,Pension_Model!$B$2:$B$29,0)),0),IFERROR(INDEX(Pension_Model!$D$2:$D$29,MATCH(H366,Pension_Model!$B$2:$B$29,0)),0),IFERROR(INDEX(Pension_Model!$D$2:$D$29,MATCH(H367,Pension_Model!$B$2:$B$29,0)),0)),IF(VLOOKUP($A365,Calendar!$A$1:$R$1377,18,0)=4,SUM(IFERROR(INDEX(Pension_Model!$D$2:$D$29,MATCH(H365,Pension_Model!$B$2:$B$29,0)),0),IFERROR(INDEX(Pension_Model!$D$2:$D$29,MATCH(H366,Pension_Model!$B$2:$B$29,0)),0),IFERROR(INDEX(Pension_Model!$D$2:$D$29,MATCH(H367,Pension_Model!$B$2:$B$29,0)),0),IFERROR(INDEX(Pension_Model!$D$2:$D$29,MATCH(H368,Pension_Model!$B$2:$B$29,0)),0)),IF(VLOOKUP($A365,Calendar!$A$1:$R$1377,18,0)=5,SUM(IFERROR(INDEX(Pension_Model!$D$2:$D$29,MATCH(H365,Pension_Model!$B$2:$B$29,0)),0),IFERROR(INDEX(Pension_Model!$D$2:$D$29,MATCH(H366,Pension_Model!$B$2:$B$29,0)),0),IFERROR(INDEX(Pension_Model!$D$2:$D$29,MATCH(H367,Pension_Model!$B$2:$B$29,0)),0),IFERROR(INDEX(Pension_Model!$D$2:$D$29,MATCH(H368,Pension_Model!$B$2:$B$29,0)),0),IFERROR(INDEX(Pension_Model!$D$2:$D$29,MATCH(H369,Pension_Model!$B$2:$B$29,0)),0)),0))))))</f>
        <v>0.05</v>
      </c>
      <c r="Q365" s="28">
        <f>Population_Data!$B$15*P365</f>
        <v>660600</v>
      </c>
      <c r="S365">
        <f t="shared" si="5"/>
        <v>15608339.914106278</v>
      </c>
      <c r="U365" s="33">
        <f>S365/Population_Data!$B$19</f>
        <v>0.28275978105264998</v>
      </c>
    </row>
    <row r="366" spans="1:21">
      <c r="A366" s="25">
        <f>Calendar!A366</f>
        <v>46599</v>
      </c>
      <c r="B366" t="str">
        <f>Calendar!L366</f>
        <v>No</v>
      </c>
      <c r="C366" t="str">
        <f>Calendar!O366</f>
        <v>No</v>
      </c>
      <c r="D366" t="str">
        <f>Calendar!P366</f>
        <v>No</v>
      </c>
      <c r="E366" t="str">
        <f>Calendar!Q366</f>
        <v>No</v>
      </c>
      <c r="F366" t="str">
        <f>Calendar!I366</f>
        <v>Saturday</v>
      </c>
      <c r="G366">
        <f>Calendar!S366</f>
        <v>7</v>
      </c>
      <c r="H366">
        <f>Calendar!T366</f>
        <v>7</v>
      </c>
      <c r="I366" s="27">
        <f>IF(VLOOKUP(A366,Calendar!$A$1:$R$1377,18,0)=0,0,IF(VLOOKUP(A366,Calendar!$A$1:$R$1377,18,0)=1,INDEX(Monthly_Pay_Model!$A$9:$D$40,MATCH(TEXT(A366,"dd"),Monthly_Pay_Model!$C$9:$C$39,0),4),IF(VLOOKUP(A366,Calendar!$A$1:$R$1377,18,0)=2,SUM(INDEX(Monthly_Pay_Model!$A$9:$D$40,MATCH(TEXT(A366,"dd"),Monthly_Pay_Model!$C$9:$C$39,0),4),INDEX(Monthly_Pay_Model!$A$9:$D$40,MATCH(TEXT(A367,"dd"),Monthly_Pay_Model!$C$9:$C$39,0),4)),IF(VLOOKUP(A366,Calendar!$A$1:$R$1377,18,0)=3,SUM(INDEX(Monthly_Pay_Model!$A$9:$D$40,MATCH(TEXT(A366,"dd"),Monthly_Pay_Model!$C$9:$C$39,0),4),INDEX(Monthly_Pay_Model!$A$9:$D$40,MATCH(TEXT(A367,"dd"),Monthly_Pay_Model!$C$9:$C$39,0),4),INDEX(Monthly_Pay_Model!$A$9:$D$40,MATCH(TEXT(A368,"dd"),Monthly_Pay_Model!$C$9:$C$39,0),4)),IF(VLOOKUP(A366,Calendar!$A$1:$R$1377,18,0)=4,SUM(INDEX(Monthly_Pay_Model!$A$9:$D$40,MATCH(TEXT(A366,"dd"),Monthly_Pay_Model!$C$9:$C$39,0),4),INDEX(Monthly_Pay_Model!$A$9:$D$40,MATCH(TEXT(A367,"dd"),Monthly_Pay_Model!$C$9:$C$39,0),4),INDEX(Monthly_Pay_Model!$A$9:$D$40,MATCH(TEXT(A368,"dd"),Monthly_Pay_Model!$C$9:$C$39,0),4),INDEX(Monthly_Pay_Model!$A$9:$D$40,MATCH(TEXT(A369,"dd"),Monthly_Pay_Model!$C$9:$C$39,0),4)),IF(VLOOKUP(A366,Calendar!$A$1:$R$1377,18,0)=5,SUM(INDEX(Monthly_Pay_Model!$A$9:$D$40,MATCH(TEXT(A366,"dd"),Monthly_Pay_Model!$C$9:$C$39,0),4),INDEX(Monthly_Pay_Model!$A$9:$D$40,MATCH(TEXT(A367,"dd"),Monthly_Pay_Model!$C$9:$C$39,0),4),INDEX(Monthly_Pay_Model!$A$9:$D$40,MATCH(TEXT(A368,"dd"),Monthly_Pay_Model!$C$9:$C$39,0),4),INDEX(Monthly_Pay_Model!$A$9:$D$40,MATCH(TEXT(A369,"dd"),Monthly_Pay_Model!$C$9:$C$39,0),4),INDEX(Monthly_Pay_Model!$A$9:$D$40,MATCH(TEXT(A370,"dd"),Monthly_Pay_Model!$C$9:$C$39,0),4)),))))))</f>
        <v>0</v>
      </c>
      <c r="J366" s="33">
        <f>IF(C366="Yes",Monthly_Pay_Model!$D$2,0)
+IF(Calendar!N366="Yes",Monthly_Pay_Model!$D$3,0)
+IF(D366="Yes",Monthly_Pay_Model!$D$4,0)
+IF(E366="Yes",Monthly_Pay_Model!$D$5,0)</f>
        <v>0.12416000000000001</v>
      </c>
      <c r="K366" s="27">
        <f>IF(VLOOKUP($A366,Calendar!$A$1:$R$1377,18,0)=0,0,IF(VLOOKUP($A366,Calendar!$A$1:$R$1377,18,0)=1,IFERROR(INDEX(Weekly_Model!$D$2:$D$9,MATCH(F366,Weekly_Model!$A$2:$A$9,0)),0),IF(VLOOKUP($A366,Calendar!$A$1:$R$1377,18,0)=2,SUM(IFERROR(INDEX(Weekly_Model!$D$2:$D$9,MATCH(F366,Weekly_Model!$A$2:$A$9,0)),0),IFERROR(INDEX(Weekly_Model!$D$2:$D$9,MATCH(F367,Weekly_Model!$A$2:$A$9,0)),0)),IF(VLOOKUP($A366,Calendar!$A$1:$R$1377,18,0)=3,SUM(IFERROR(INDEX(Weekly_Model!$D$2:$D$9,MATCH(F366,Weekly_Model!$A$2:$A$9,0)),0),IFERROR(INDEX(Weekly_Model!$D$2:$D$9,MATCH(F367,Weekly_Model!$A$2:$A$9,0)),0),IFERROR(INDEX(Weekly_Model!$D$2:$D$9,MATCH(F368,Weekly_Model!$A$2:$A$9,0)),0)),IF(VLOOKUP($A366,Calendar!$A$1:$R$1377,18,0)=4,SUM(IFERROR(INDEX(Weekly_Model!$D$2:$D$9,MATCH(F366,Weekly_Model!$A$2:$A$9,0)),0),IFERROR(INDEX(Weekly_Model!$D$2:$D$9,MATCH(F367,Weekly_Model!$A$2:$A$9,0)),0),IFERROR(INDEX(Weekly_Model!$D$2:$D$9,MATCH(F368,Weekly_Model!$A$2:$A$9,0)),0),IFERROR(INDEX(Weekly_Model!$D$2:$D$9,MATCH(F369,Weekly_Model!$A$2:$A$9,0)),0)),IF(VLOOKUP($A366,Calendar!$A$1:$R$1377,18,0)=5,SUM(IFERROR(INDEX(Weekly_Model!$D$2:$D$9,MATCH(F366,Weekly_Model!$A$2:$A$9,0)),0),IFERROR(INDEX(Weekly_Model!$D$2:$D$9,MATCH(F367,Weekly_Model!$A$2:$A$9,0)),0),IFERROR(INDEX(Weekly_Model!$D$2:$D$9,MATCH(F368,Weekly_Model!$A$2:$A$9,0)),0),IFERROR(INDEX(Weekly_Model!$D$2:$D$9,MATCH(F369,Weekly_Model!$A$2:$A$9,0)),0),IFERROR(INDEX(Weekly_Model!$D$2:$D$9,MATCH(F370,Weekly_Model!$A$2:$A$9,0)),0)),0))))))</f>
        <v>0</v>
      </c>
      <c r="L366" s="27">
        <f>IF(VLOOKUP($A366,Calendar!$A$1:$R$1377,18,0)=0,0,IF(VLOOKUP($A366,Calendar!$A$1:$R$1377,18,0)=1,IFERROR(INDEX(Fortnightly_Model!$D$2:$D$15,MATCH(G366,Fortnightly_Model!$B$2:$B$15,0)),0),IF(VLOOKUP($A366,Calendar!$A$1:$R$1377,18,0)=2,SUM(IFERROR(INDEX(Fortnightly_Model!$D$2:$D$15,MATCH(G366,Fortnightly_Model!$B$2:$B$15,0)),0),IFERROR(INDEX(Fortnightly_Model!$D$2:$D$15,MATCH(G367,Fortnightly_Model!$B$2:$B$15,0)),0)),IF(VLOOKUP($A366,Calendar!$A$1:$R$1377,18,0)=3,SUM(IFERROR(INDEX(Fortnightly_Model!$D$2:$D$15,MATCH(G366,Fortnightly_Model!$B$2:$B$15,0)),0),IFERROR(INDEX(Fortnightly_Model!$D$2:$D$15,MATCH(G367,Fortnightly_Model!$B$2:$B$15,0)),0),IFERROR(INDEX(Fortnightly_Model!$D$2:$D$15,MATCH(G368,Fortnightly_Model!$B$2:$B$15,0)),0)),IF(VLOOKUP($A366,Calendar!$A$1:$R$1377,18,0)=4,SUM(IFERROR(INDEX(Fortnightly_Model!$D$2:$D$15,MATCH(G366,Fortnightly_Model!$B$2:$B$15,0)),0),IFERROR(INDEX(Fortnightly_Model!$D$2:$D$15,MATCH(G367,Fortnightly_Model!$B$2:$B$15,0)),0),IFERROR(INDEX(Fortnightly_Model!$D$2:$D$15,MATCH(G368,Fortnightly_Model!$B$2:$B$15,0)),0),IFERROR(INDEX(Fortnightly_Model!$D$2:$D$15,MATCH(G369,Fortnightly_Model!$B$2:$B$15,0)),0)),IF(VLOOKUP($A366,Calendar!$A$1:$R$1377,18,0)=5,SUM(IFERROR(INDEX(Fortnightly_Model!$D$2:$D$15,MATCH(G366,Fortnightly_Model!$B$2:$B$15,0)),0),IFERROR(INDEX(Fortnightly_Model!$D$2:$D$15,MATCH(G367,Fortnightly_Model!$B$2:$B$15,0)),0),IFERROR(INDEX(Fortnightly_Model!$D$2:$D$15,MATCH(G368,Fortnightly_Model!$B$2:$B$15,0)),0),IFERROR(INDEX(Fortnightly_Model!$D$2:$D$15,MATCH(G369,Fortnightly_Model!$B$2:$B$15,0)),0),IFERROR(INDEX(Fortnightly_Model!$D$2:$D$15,MATCH(G370,Fortnightly_Model!$B$2:$B$15,0)),0)),0))))))</f>
        <v>0</v>
      </c>
      <c r="M366" s="27">
        <f>IF(VLOOKUP($A366,Calendar!$A$1:$R$1377,18,0)=0,0,IF(VLOOKUP($A366,Calendar!$A$1:$R$1377,18,0)=1,IFERROR(INDEX(FourWeekly_Model!$D$2:$D$29,MATCH(H366,FourWeekly_Model!$B$2:$B$29,0)),0),IF(VLOOKUP($A366,Calendar!$A$1:$R$1377,18,0)=2,SUM(IFERROR(INDEX(FourWeekly_Model!$D$2:$D$29,MATCH(H366,FourWeekly_Model!$B$2:$B$29,0)),0),IFERROR(INDEX(FourWeekly_Model!$D$2:$D$29,MATCH(H367,FourWeekly_Model!$B$2:$B$29,0)),0)),IF(VLOOKUP($A366,Calendar!$A$1:$R$1377,18,0)=3,SUM(IFERROR(INDEX(FourWeekly_Model!$D$2:$D$29,MATCH(H366,FourWeekly_Model!$B$2:$B$29,0)),0),IFERROR(INDEX(FourWeekly_Model!$D$2:$D$29,MATCH(H367,FourWeekly_Model!$B$2:$B$29,0)),0),IFERROR(INDEX(FourWeekly_Model!$D$2:$D$29,MATCH(H368,FourWeekly_Model!$B$2:$B$29,0)),0)),IF(VLOOKUP($A366,Calendar!$A$1:$R$1377,18,0)=4,SUM(IFERROR(INDEX(FourWeekly_Model!$D$2:$D$29,MATCH(H366,FourWeekly_Model!$B$2:$B$29,0)),0),IFERROR(INDEX(FourWeekly_Model!$D$2:$D$29,MATCH(H367,FourWeekly_Model!$B$2:$B$29,0)),0),IFERROR(INDEX(FourWeekly_Model!$D$2:$D$29,MATCH(H368,FourWeekly_Model!$B$2:$B$29,0)),0),IFERROR(INDEX(FourWeekly_Model!$D$2:$D$29,MATCH(H369,FourWeekly_Model!$B$2:$B$29,0)),0)),IF(VLOOKUP($A366,Calendar!$A$1:$R$1377,18,0)=5,SUM(IFERROR(INDEX(FourWeekly_Model!$D$2:$D$29,MATCH(H366,FourWeekly_Model!$B$2:$B$29,0)),0),IFERROR(INDEX(FourWeekly_Model!$D$2:$D$29,MATCH(H367,FourWeekly_Model!$B$2:$B$29,0)),0),IFERROR(INDEX(FourWeekly_Model!$D$2:$D$29,MATCH(H368,FourWeekly_Model!$B$2:$B$29,0)),0),IFERROR(INDEX(FourWeekly_Model!$D$2:$D$29,MATCH(H369,FourWeekly_Model!$B$2:$B$29,0)),0),IFERROR(INDEX(FourWeekly_Model!$D$2:$D$29,MATCH(H370,FourWeekly_Model!$B$2:$B$29,0)),0)),0))))))</f>
        <v>0</v>
      </c>
      <c r="N366" s="27">
        <f>SUM(I366:M366)</f>
        <v>0.12416000000000001</v>
      </c>
      <c r="O366" s="28">
        <f>Population_Data!$B$8*N366</f>
        <v>3762048</v>
      </c>
      <c r="P366" s="27">
        <f>IF(VLOOKUP($A366,Calendar!$A$1:$R$1377,18,0)=0,0,IF(VLOOKUP($A366,Calendar!$A$1:$R$1377,18,0)=1,IFERROR(INDEX(Pension_Model!$D$2:$D$29,MATCH(H366,Pension_Model!$B$2:$B$29,0)),0),IF(VLOOKUP($A366,Calendar!$A$1:$R$1377,18,0)=2,SUM(IFERROR(INDEX(Pension_Model!$D$2:$D$29,MATCH(H366,Pension_Model!$B$2:$B$29,0)),0),IFERROR(INDEX(Pension_Model!$D$2:$D$29,MATCH(H367,Pension_Model!$B$2:$B$29,0)),0)),IF(VLOOKUP($A366,Calendar!$A$1:$R$1377,18,0)=3,SUM(IFERROR(INDEX(Pension_Model!$D$2:$D$29,MATCH(H366,Pension_Model!$B$2:$B$29,0)),0),IFERROR(INDEX(Pension_Model!$D$2:$D$29,MATCH(H367,Pension_Model!$B$2:$B$29,0)),0),IFERROR(INDEX(Pension_Model!$D$2:$D$29,MATCH(H368,Pension_Model!$B$2:$B$29,0)),0)),IF(VLOOKUP($A366,Calendar!$A$1:$R$1377,18,0)=4,SUM(IFERROR(INDEX(Pension_Model!$D$2:$D$29,MATCH(H366,Pension_Model!$B$2:$B$29,0)),0),IFERROR(INDEX(Pension_Model!$D$2:$D$29,MATCH(H367,Pension_Model!$B$2:$B$29,0)),0),IFERROR(INDEX(Pension_Model!$D$2:$D$29,MATCH(H368,Pension_Model!$B$2:$B$29,0)),0),IFERROR(INDEX(Pension_Model!$D$2:$D$29,MATCH(H369,Pension_Model!$B$2:$B$29,0)),0)),IF(VLOOKUP($A366,Calendar!$A$1:$R$1377,18,0)=5,SUM(IFERROR(INDEX(Pension_Model!$D$2:$D$29,MATCH(H366,Pension_Model!$B$2:$B$29,0)),0),IFERROR(INDEX(Pension_Model!$D$2:$D$29,MATCH(H367,Pension_Model!$B$2:$B$29,0)),0),IFERROR(INDEX(Pension_Model!$D$2:$D$29,MATCH(H368,Pension_Model!$B$2:$B$29,0)),0),IFERROR(INDEX(Pension_Model!$D$2:$D$29,MATCH(H369,Pension_Model!$B$2:$B$29,0)),0),IFERROR(INDEX(Pension_Model!$D$2:$D$29,MATCH(H370,Pension_Model!$B$2:$B$29,0)),0)),0))))))</f>
        <v>0</v>
      </c>
      <c r="Q366" s="28">
        <f>Population_Data!$B$15*P366</f>
        <v>0</v>
      </c>
      <c r="S366">
        <f t="shared" si="5"/>
        <v>3762048</v>
      </c>
      <c r="U366" s="33">
        <f>S366/Population_Data!$B$19</f>
        <v>6.8153043478260872E-2</v>
      </c>
    </row>
    <row r="367" spans="1:21">
      <c r="A367" s="25">
        <f>Calendar!A367</f>
        <v>46600</v>
      </c>
      <c r="B367" t="str">
        <f>Calendar!L367</f>
        <v>No</v>
      </c>
      <c r="C367" t="str">
        <f>Calendar!O367</f>
        <v>No</v>
      </c>
      <c r="D367" t="str">
        <f>Calendar!P367</f>
        <v>No</v>
      </c>
      <c r="E367" t="str">
        <f>Calendar!Q367</f>
        <v>No</v>
      </c>
      <c r="F367" t="str">
        <f>Calendar!I367</f>
        <v>Sunday</v>
      </c>
      <c r="G367">
        <f>Calendar!S367</f>
        <v>8</v>
      </c>
      <c r="H367">
        <f>Calendar!T367</f>
        <v>8</v>
      </c>
      <c r="I367" s="27">
        <f>IF(VLOOKUP(A367,Calendar!$A$1:$R$1377,18,0)=0,0,IF(VLOOKUP(A367,Calendar!$A$1:$R$1377,18,0)=1,INDEX(Monthly_Pay_Model!$A$9:$D$40,MATCH(TEXT(A367,"dd"),Monthly_Pay_Model!$C$9:$C$39,0),4),IF(VLOOKUP(A367,Calendar!$A$1:$R$1377,18,0)=2,SUM(INDEX(Monthly_Pay_Model!$A$9:$D$40,MATCH(TEXT(A367,"dd"),Monthly_Pay_Model!$C$9:$C$39,0),4),INDEX(Monthly_Pay_Model!$A$9:$D$40,MATCH(TEXT(A368,"dd"),Monthly_Pay_Model!$C$9:$C$39,0),4)),IF(VLOOKUP(A367,Calendar!$A$1:$R$1377,18,0)=3,SUM(INDEX(Monthly_Pay_Model!$A$9:$D$40,MATCH(TEXT(A367,"dd"),Monthly_Pay_Model!$C$9:$C$39,0),4),INDEX(Monthly_Pay_Model!$A$9:$D$40,MATCH(TEXT(A368,"dd"),Monthly_Pay_Model!$C$9:$C$39,0),4),INDEX(Monthly_Pay_Model!$A$9:$D$40,MATCH(TEXT(A369,"dd"),Monthly_Pay_Model!$C$9:$C$39,0),4)),IF(VLOOKUP(A367,Calendar!$A$1:$R$1377,18,0)=4,SUM(INDEX(Monthly_Pay_Model!$A$9:$D$40,MATCH(TEXT(A367,"dd"),Monthly_Pay_Model!$C$9:$C$39,0),4),INDEX(Monthly_Pay_Model!$A$9:$D$40,MATCH(TEXT(A368,"dd"),Monthly_Pay_Model!$C$9:$C$39,0),4),INDEX(Monthly_Pay_Model!$A$9:$D$40,MATCH(TEXT(A369,"dd"),Monthly_Pay_Model!$C$9:$C$39,0),4),INDEX(Monthly_Pay_Model!$A$9:$D$40,MATCH(TEXT(A370,"dd"),Monthly_Pay_Model!$C$9:$C$39,0),4)),IF(VLOOKUP(A367,Calendar!$A$1:$R$1377,18,0)=5,SUM(INDEX(Monthly_Pay_Model!$A$9:$D$40,MATCH(TEXT(A367,"dd"),Monthly_Pay_Model!$C$9:$C$39,0),4),INDEX(Monthly_Pay_Model!$A$9:$D$40,MATCH(TEXT(A368,"dd"),Monthly_Pay_Model!$C$9:$C$39,0),4),INDEX(Monthly_Pay_Model!$A$9:$D$40,MATCH(TEXT(A369,"dd"),Monthly_Pay_Model!$C$9:$C$39,0),4),INDEX(Monthly_Pay_Model!$A$9:$D$40,MATCH(TEXT(A370,"dd"),Monthly_Pay_Model!$C$9:$C$39,0),4),INDEX(Monthly_Pay_Model!$A$9:$D$40,MATCH(TEXT(A371,"dd"),Monthly_Pay_Model!$C$9:$C$39,0),4)),))))))</f>
        <v>0</v>
      </c>
      <c r="J367" s="33">
        <f>IF(C367="Yes",Monthly_Pay_Model!$D$2,0)
+IF(Calendar!N367="Yes",Monthly_Pay_Model!$D$3,0)
+IF(D367="Yes",Monthly_Pay_Model!$D$4,0)
+IF(E367="Yes",Monthly_Pay_Model!$D$5,0)</f>
        <v>0</v>
      </c>
      <c r="K367" s="27">
        <f>IF(VLOOKUP($A367,Calendar!$A$1:$R$1377,18,0)=0,0,IF(VLOOKUP($A367,Calendar!$A$1:$R$1377,18,0)=1,IFERROR(INDEX(Weekly_Model!$D$2:$D$9,MATCH(F367,Weekly_Model!$A$2:$A$9,0)),0),IF(VLOOKUP($A367,Calendar!$A$1:$R$1377,18,0)=2,SUM(IFERROR(INDEX(Weekly_Model!$D$2:$D$9,MATCH(F367,Weekly_Model!$A$2:$A$9,0)),0),IFERROR(INDEX(Weekly_Model!$D$2:$D$9,MATCH(F368,Weekly_Model!$A$2:$A$9,0)),0)),IF(VLOOKUP($A367,Calendar!$A$1:$R$1377,18,0)=3,SUM(IFERROR(INDEX(Weekly_Model!$D$2:$D$9,MATCH(F367,Weekly_Model!$A$2:$A$9,0)),0),IFERROR(INDEX(Weekly_Model!$D$2:$D$9,MATCH(F368,Weekly_Model!$A$2:$A$9,0)),0),IFERROR(INDEX(Weekly_Model!$D$2:$D$9,MATCH(F369,Weekly_Model!$A$2:$A$9,0)),0)),IF(VLOOKUP($A367,Calendar!$A$1:$R$1377,18,0)=4,SUM(IFERROR(INDEX(Weekly_Model!$D$2:$D$9,MATCH(F367,Weekly_Model!$A$2:$A$9,0)),0),IFERROR(INDEX(Weekly_Model!$D$2:$D$9,MATCH(F368,Weekly_Model!$A$2:$A$9,0)),0),IFERROR(INDEX(Weekly_Model!$D$2:$D$9,MATCH(F369,Weekly_Model!$A$2:$A$9,0)),0),IFERROR(INDEX(Weekly_Model!$D$2:$D$9,MATCH(F370,Weekly_Model!$A$2:$A$9,0)),0)),IF(VLOOKUP($A367,Calendar!$A$1:$R$1377,18,0)=5,SUM(IFERROR(INDEX(Weekly_Model!$D$2:$D$9,MATCH(F367,Weekly_Model!$A$2:$A$9,0)),0),IFERROR(INDEX(Weekly_Model!$D$2:$D$9,MATCH(F368,Weekly_Model!$A$2:$A$9,0)),0),IFERROR(INDEX(Weekly_Model!$D$2:$D$9,MATCH(F369,Weekly_Model!$A$2:$A$9,0)),0),IFERROR(INDEX(Weekly_Model!$D$2:$D$9,MATCH(F370,Weekly_Model!$A$2:$A$9,0)),0),IFERROR(INDEX(Weekly_Model!$D$2:$D$9,MATCH(F371,Weekly_Model!$A$2:$A$9,0)),0)),0))))))</f>
        <v>0</v>
      </c>
      <c r="L367" s="27">
        <f>IF(VLOOKUP($A367,Calendar!$A$1:$R$1377,18,0)=0,0,IF(VLOOKUP($A367,Calendar!$A$1:$R$1377,18,0)=1,IFERROR(INDEX(Fortnightly_Model!$D$2:$D$15,MATCH(G367,Fortnightly_Model!$B$2:$B$15,0)),0),IF(VLOOKUP($A367,Calendar!$A$1:$R$1377,18,0)=2,SUM(IFERROR(INDEX(Fortnightly_Model!$D$2:$D$15,MATCH(G367,Fortnightly_Model!$B$2:$B$15,0)),0),IFERROR(INDEX(Fortnightly_Model!$D$2:$D$15,MATCH(G368,Fortnightly_Model!$B$2:$B$15,0)),0)),IF(VLOOKUP($A367,Calendar!$A$1:$R$1377,18,0)=3,SUM(IFERROR(INDEX(Fortnightly_Model!$D$2:$D$15,MATCH(G367,Fortnightly_Model!$B$2:$B$15,0)),0),IFERROR(INDEX(Fortnightly_Model!$D$2:$D$15,MATCH(G368,Fortnightly_Model!$B$2:$B$15,0)),0),IFERROR(INDEX(Fortnightly_Model!$D$2:$D$15,MATCH(G369,Fortnightly_Model!$B$2:$B$15,0)),0)),IF(VLOOKUP($A367,Calendar!$A$1:$R$1377,18,0)=4,SUM(IFERROR(INDEX(Fortnightly_Model!$D$2:$D$15,MATCH(G367,Fortnightly_Model!$B$2:$B$15,0)),0),IFERROR(INDEX(Fortnightly_Model!$D$2:$D$15,MATCH(G368,Fortnightly_Model!$B$2:$B$15,0)),0),IFERROR(INDEX(Fortnightly_Model!$D$2:$D$15,MATCH(G369,Fortnightly_Model!$B$2:$B$15,0)),0),IFERROR(INDEX(Fortnightly_Model!$D$2:$D$15,MATCH(G370,Fortnightly_Model!$B$2:$B$15,0)),0)),IF(VLOOKUP($A367,Calendar!$A$1:$R$1377,18,0)=5,SUM(IFERROR(INDEX(Fortnightly_Model!$D$2:$D$15,MATCH(G367,Fortnightly_Model!$B$2:$B$15,0)),0),IFERROR(INDEX(Fortnightly_Model!$D$2:$D$15,MATCH(G368,Fortnightly_Model!$B$2:$B$15,0)),0),IFERROR(INDEX(Fortnightly_Model!$D$2:$D$15,MATCH(G369,Fortnightly_Model!$B$2:$B$15,0)),0),IFERROR(INDEX(Fortnightly_Model!$D$2:$D$15,MATCH(G370,Fortnightly_Model!$B$2:$B$15,0)),0),IFERROR(INDEX(Fortnightly_Model!$D$2:$D$15,MATCH(G371,Fortnightly_Model!$B$2:$B$15,0)),0)),0))))))</f>
        <v>0</v>
      </c>
      <c r="M367" s="27">
        <f>IF(VLOOKUP($A367,Calendar!$A$1:$R$1377,18,0)=0,0,IF(VLOOKUP($A367,Calendar!$A$1:$R$1377,18,0)=1,IFERROR(INDEX(FourWeekly_Model!$D$2:$D$29,MATCH(H367,FourWeekly_Model!$B$2:$B$29,0)),0),IF(VLOOKUP($A367,Calendar!$A$1:$R$1377,18,0)=2,SUM(IFERROR(INDEX(FourWeekly_Model!$D$2:$D$29,MATCH(H367,FourWeekly_Model!$B$2:$B$29,0)),0),IFERROR(INDEX(FourWeekly_Model!$D$2:$D$29,MATCH(H368,FourWeekly_Model!$B$2:$B$29,0)),0)),IF(VLOOKUP($A367,Calendar!$A$1:$R$1377,18,0)=3,SUM(IFERROR(INDEX(FourWeekly_Model!$D$2:$D$29,MATCH(H367,FourWeekly_Model!$B$2:$B$29,0)),0),IFERROR(INDEX(FourWeekly_Model!$D$2:$D$29,MATCH(H368,FourWeekly_Model!$B$2:$B$29,0)),0),IFERROR(INDEX(FourWeekly_Model!$D$2:$D$29,MATCH(H369,FourWeekly_Model!$B$2:$B$29,0)),0)),IF(VLOOKUP($A367,Calendar!$A$1:$R$1377,18,0)=4,SUM(IFERROR(INDEX(FourWeekly_Model!$D$2:$D$29,MATCH(H367,FourWeekly_Model!$B$2:$B$29,0)),0),IFERROR(INDEX(FourWeekly_Model!$D$2:$D$29,MATCH(H368,FourWeekly_Model!$B$2:$B$29,0)),0),IFERROR(INDEX(FourWeekly_Model!$D$2:$D$29,MATCH(H369,FourWeekly_Model!$B$2:$B$29,0)),0),IFERROR(INDEX(FourWeekly_Model!$D$2:$D$29,MATCH(H370,FourWeekly_Model!$B$2:$B$29,0)),0)),IF(VLOOKUP($A367,Calendar!$A$1:$R$1377,18,0)=5,SUM(IFERROR(INDEX(FourWeekly_Model!$D$2:$D$29,MATCH(H367,FourWeekly_Model!$B$2:$B$29,0)),0),IFERROR(INDEX(FourWeekly_Model!$D$2:$D$29,MATCH(H368,FourWeekly_Model!$B$2:$B$29,0)),0),IFERROR(INDEX(FourWeekly_Model!$D$2:$D$29,MATCH(H369,FourWeekly_Model!$B$2:$B$29,0)),0),IFERROR(INDEX(FourWeekly_Model!$D$2:$D$29,MATCH(H370,FourWeekly_Model!$B$2:$B$29,0)),0),IFERROR(INDEX(FourWeekly_Model!$D$2:$D$29,MATCH(H371,FourWeekly_Model!$B$2:$B$29,0)),0)),0))))))</f>
        <v>0</v>
      </c>
      <c r="N367" s="27">
        <f>SUM(I367:M367)</f>
        <v>0</v>
      </c>
      <c r="O367" s="28">
        <f>Population_Data!$B$8*N367</f>
        <v>0</v>
      </c>
      <c r="P367" s="27">
        <f>IF(VLOOKUP($A367,Calendar!$A$1:$R$1377,18,0)=0,0,IF(VLOOKUP($A367,Calendar!$A$1:$R$1377,18,0)=1,IFERROR(INDEX(Pension_Model!$D$2:$D$29,MATCH(H367,Pension_Model!$B$2:$B$29,0)),0),IF(VLOOKUP($A367,Calendar!$A$1:$R$1377,18,0)=2,SUM(IFERROR(INDEX(Pension_Model!$D$2:$D$29,MATCH(H367,Pension_Model!$B$2:$B$29,0)),0),IFERROR(INDEX(Pension_Model!$D$2:$D$29,MATCH(H368,Pension_Model!$B$2:$B$29,0)),0)),IF(VLOOKUP($A367,Calendar!$A$1:$R$1377,18,0)=3,SUM(IFERROR(INDEX(Pension_Model!$D$2:$D$29,MATCH(H367,Pension_Model!$B$2:$B$29,0)),0),IFERROR(INDEX(Pension_Model!$D$2:$D$29,MATCH(H368,Pension_Model!$B$2:$B$29,0)),0),IFERROR(INDEX(Pension_Model!$D$2:$D$29,MATCH(H369,Pension_Model!$B$2:$B$29,0)),0)),IF(VLOOKUP($A367,Calendar!$A$1:$R$1377,18,0)=4,SUM(IFERROR(INDEX(Pension_Model!$D$2:$D$29,MATCH(H367,Pension_Model!$B$2:$B$29,0)),0),IFERROR(INDEX(Pension_Model!$D$2:$D$29,MATCH(H368,Pension_Model!$B$2:$B$29,0)),0),IFERROR(INDEX(Pension_Model!$D$2:$D$29,MATCH(H369,Pension_Model!$B$2:$B$29,0)),0),IFERROR(INDEX(Pension_Model!$D$2:$D$29,MATCH(H370,Pension_Model!$B$2:$B$29,0)),0)),IF(VLOOKUP($A367,Calendar!$A$1:$R$1377,18,0)=5,SUM(IFERROR(INDEX(Pension_Model!$D$2:$D$29,MATCH(H367,Pension_Model!$B$2:$B$29,0)),0),IFERROR(INDEX(Pension_Model!$D$2:$D$29,MATCH(H368,Pension_Model!$B$2:$B$29,0)),0),IFERROR(INDEX(Pension_Model!$D$2:$D$29,MATCH(H369,Pension_Model!$B$2:$B$29,0)),0),IFERROR(INDEX(Pension_Model!$D$2:$D$29,MATCH(H370,Pension_Model!$B$2:$B$29,0)),0),IFERROR(INDEX(Pension_Model!$D$2:$D$29,MATCH(H371,Pension_Model!$B$2:$B$29,0)),0)),0))))))</f>
        <v>0</v>
      </c>
      <c r="Q367" s="28">
        <f>Population_Data!$B$15*P367</f>
        <v>0</v>
      </c>
      <c r="S367">
        <f t="shared" si="5"/>
        <v>0</v>
      </c>
      <c r="U367" s="33">
        <f>S367/Population_Data!$B$19</f>
        <v>0</v>
      </c>
    </row>
    <row r="368" spans="1:21">
      <c r="A368" s="25">
        <f>Calendar!A368</f>
        <v>46601</v>
      </c>
      <c r="B368" t="str">
        <f>Calendar!L368</f>
        <v>Yes</v>
      </c>
      <c r="C368" t="str">
        <f>Calendar!O368</f>
        <v>No</v>
      </c>
      <c r="D368" t="str">
        <f>Calendar!P368</f>
        <v>No</v>
      </c>
      <c r="E368" t="str">
        <f>Calendar!Q368</f>
        <v>No</v>
      </c>
      <c r="F368" t="str">
        <f>Calendar!I368</f>
        <v>Monday</v>
      </c>
      <c r="G368">
        <f>Calendar!S368</f>
        <v>9</v>
      </c>
      <c r="H368">
        <f>Calendar!T368</f>
        <v>9</v>
      </c>
      <c r="I368" s="27">
        <f>IF(VLOOKUP(A368,Calendar!$A$1:$R$1377,18,0)=0,0,IF(VLOOKUP(A368,Calendar!$A$1:$R$1377,18,0)=1,INDEX(Monthly_Pay_Model!$A$9:$D$40,MATCH(TEXT(A368,"dd"),Monthly_Pay_Model!$C$9:$C$39,0),4),IF(VLOOKUP(A368,Calendar!$A$1:$R$1377,18,0)=2,SUM(INDEX(Monthly_Pay_Model!$A$9:$D$40,MATCH(TEXT(A368,"dd"),Monthly_Pay_Model!$C$9:$C$39,0),4),INDEX(Monthly_Pay_Model!$A$9:$D$40,MATCH(TEXT(A369,"dd"),Monthly_Pay_Model!$C$9:$C$39,0),4)),IF(VLOOKUP(A368,Calendar!$A$1:$R$1377,18,0)=3,SUM(INDEX(Monthly_Pay_Model!$A$9:$D$40,MATCH(TEXT(A368,"dd"),Monthly_Pay_Model!$C$9:$C$39,0),4),INDEX(Monthly_Pay_Model!$A$9:$D$40,MATCH(TEXT(A369,"dd"),Monthly_Pay_Model!$C$9:$C$39,0),4),INDEX(Monthly_Pay_Model!$A$9:$D$40,MATCH(TEXT(A370,"dd"),Monthly_Pay_Model!$C$9:$C$39,0),4)),IF(VLOOKUP(A368,Calendar!$A$1:$R$1377,18,0)=4,SUM(INDEX(Monthly_Pay_Model!$A$9:$D$40,MATCH(TEXT(A368,"dd"),Monthly_Pay_Model!$C$9:$C$39,0),4),INDEX(Monthly_Pay_Model!$A$9:$D$40,MATCH(TEXT(A369,"dd"),Monthly_Pay_Model!$C$9:$C$39,0),4),INDEX(Monthly_Pay_Model!$A$9:$D$40,MATCH(TEXT(A370,"dd"),Monthly_Pay_Model!$C$9:$C$39,0),4),INDEX(Monthly_Pay_Model!$A$9:$D$40,MATCH(TEXT(A371,"dd"),Monthly_Pay_Model!$C$9:$C$39,0),4)),IF(VLOOKUP(A368,Calendar!$A$1:$R$1377,18,0)=5,SUM(INDEX(Monthly_Pay_Model!$A$9:$D$40,MATCH(TEXT(A368,"dd"),Monthly_Pay_Model!$C$9:$C$39,0),4),INDEX(Monthly_Pay_Model!$A$9:$D$40,MATCH(TEXT(A369,"dd"),Monthly_Pay_Model!$C$9:$C$39,0),4),INDEX(Monthly_Pay_Model!$A$9:$D$40,MATCH(TEXT(A370,"dd"),Monthly_Pay_Model!$C$9:$C$39,0),4),INDEX(Monthly_Pay_Model!$A$9:$D$40,MATCH(TEXT(A371,"dd"),Monthly_Pay_Model!$C$9:$C$39,0),4),INDEX(Monthly_Pay_Model!$A$9:$D$40,MATCH(TEXT(A372,"dd"),Monthly_Pay_Model!$C$9:$C$39,0),4)),))))))</f>
        <v>8.1256544502617792E-4</v>
      </c>
      <c r="J368" s="33">
        <f>IF(C368="Yes",Monthly_Pay_Model!$D$2,0)
+IF(Calendar!N368="Yes",Monthly_Pay_Model!$D$3,0)
+IF(D368="Yes",Monthly_Pay_Model!$D$4,0)
+IF(E368="Yes",Monthly_Pay_Model!$D$5,0)</f>
        <v>0</v>
      </c>
      <c r="K368" s="27">
        <f>IF(VLOOKUP($A368,Calendar!$A$1:$R$1377,18,0)=0,0,IF(VLOOKUP($A368,Calendar!$A$1:$R$1377,18,0)=1,IFERROR(INDEX(Weekly_Model!$D$2:$D$9,MATCH(F368,Weekly_Model!$A$2:$A$9,0)),0),IF(VLOOKUP($A368,Calendar!$A$1:$R$1377,18,0)=2,SUM(IFERROR(INDEX(Weekly_Model!$D$2:$D$9,MATCH(F368,Weekly_Model!$A$2:$A$9,0)),0),IFERROR(INDEX(Weekly_Model!$D$2:$D$9,MATCH(F369,Weekly_Model!$A$2:$A$9,0)),0)),IF(VLOOKUP($A368,Calendar!$A$1:$R$1377,18,0)=3,SUM(IFERROR(INDEX(Weekly_Model!$D$2:$D$9,MATCH(F368,Weekly_Model!$A$2:$A$9,0)),0),IFERROR(INDEX(Weekly_Model!$D$2:$D$9,MATCH(F369,Weekly_Model!$A$2:$A$9,0)),0),IFERROR(INDEX(Weekly_Model!$D$2:$D$9,MATCH(F370,Weekly_Model!$A$2:$A$9,0)),0)),IF(VLOOKUP($A368,Calendar!$A$1:$R$1377,18,0)=4,SUM(IFERROR(INDEX(Weekly_Model!$D$2:$D$9,MATCH(F368,Weekly_Model!$A$2:$A$9,0)),0),IFERROR(INDEX(Weekly_Model!$D$2:$D$9,MATCH(F369,Weekly_Model!$A$2:$A$9,0)),0),IFERROR(INDEX(Weekly_Model!$D$2:$D$9,MATCH(F370,Weekly_Model!$A$2:$A$9,0)),0),IFERROR(INDEX(Weekly_Model!$D$2:$D$9,MATCH(F371,Weekly_Model!$A$2:$A$9,0)),0)),IF(VLOOKUP($A368,Calendar!$A$1:$R$1377,18,0)=5,SUM(IFERROR(INDEX(Weekly_Model!$D$2:$D$9,MATCH(F368,Weekly_Model!$A$2:$A$9,0)),0),IFERROR(INDEX(Weekly_Model!$D$2:$D$9,MATCH(F369,Weekly_Model!$A$2:$A$9,0)),0),IFERROR(INDEX(Weekly_Model!$D$2:$D$9,MATCH(F370,Weekly_Model!$A$2:$A$9,0)),0),IFERROR(INDEX(Weekly_Model!$D$2:$D$9,MATCH(F371,Weekly_Model!$A$2:$A$9,0)),0),IFERROR(INDEX(Weekly_Model!$D$2:$D$9,MATCH(F372,Weekly_Model!$A$2:$A$9,0)),0)),0))))))</f>
        <v>2.3200000000000002E-2</v>
      </c>
      <c r="L368" s="27">
        <f>IF(VLOOKUP($A368,Calendar!$A$1:$R$1377,18,0)=0,0,IF(VLOOKUP($A368,Calendar!$A$1:$R$1377,18,0)=1,IFERROR(INDEX(Fortnightly_Model!$D$2:$D$15,MATCH(G368,Fortnightly_Model!$B$2:$B$15,0)),0),IF(VLOOKUP($A368,Calendar!$A$1:$R$1377,18,0)=2,SUM(IFERROR(INDEX(Fortnightly_Model!$D$2:$D$15,MATCH(G368,Fortnightly_Model!$B$2:$B$15,0)),0),IFERROR(INDEX(Fortnightly_Model!$D$2:$D$15,MATCH(G369,Fortnightly_Model!$B$2:$B$15,0)),0)),IF(VLOOKUP($A368,Calendar!$A$1:$R$1377,18,0)=3,SUM(IFERROR(INDEX(Fortnightly_Model!$D$2:$D$15,MATCH(G368,Fortnightly_Model!$B$2:$B$15,0)),0),IFERROR(INDEX(Fortnightly_Model!$D$2:$D$15,MATCH(G369,Fortnightly_Model!$B$2:$B$15,0)),0),IFERROR(INDEX(Fortnightly_Model!$D$2:$D$15,MATCH(G370,Fortnightly_Model!$B$2:$B$15,0)),0)),IF(VLOOKUP($A368,Calendar!$A$1:$R$1377,18,0)=4,SUM(IFERROR(INDEX(Fortnightly_Model!$D$2:$D$15,MATCH(G368,Fortnightly_Model!$B$2:$B$15,0)),0),IFERROR(INDEX(Fortnightly_Model!$D$2:$D$15,MATCH(G369,Fortnightly_Model!$B$2:$B$15,0)),0),IFERROR(INDEX(Fortnightly_Model!$D$2:$D$15,MATCH(G370,Fortnightly_Model!$B$2:$B$15,0)),0),IFERROR(INDEX(Fortnightly_Model!$D$2:$D$15,MATCH(G371,Fortnightly_Model!$B$2:$B$15,0)),0)),IF(VLOOKUP($A368,Calendar!$A$1:$R$1377,18,0)=5,SUM(IFERROR(INDEX(Fortnightly_Model!$D$2:$D$15,MATCH(G368,Fortnightly_Model!$B$2:$B$15,0)),0),IFERROR(INDEX(Fortnightly_Model!$D$2:$D$15,MATCH(G369,Fortnightly_Model!$B$2:$B$15,0)),0),IFERROR(INDEX(Fortnightly_Model!$D$2:$D$15,MATCH(G370,Fortnightly_Model!$B$2:$B$15,0)),0),IFERROR(INDEX(Fortnightly_Model!$D$2:$D$15,MATCH(G371,Fortnightly_Model!$B$2:$B$15,0)),0),IFERROR(INDEX(Fortnightly_Model!$D$2:$D$15,MATCH(G372,Fortnightly_Model!$B$2:$B$15,0)),0)),0))))))</f>
        <v>1.0714285499999999E-3</v>
      </c>
      <c r="M368" s="27">
        <f>IF(VLOOKUP($A368,Calendar!$A$1:$R$1377,18,0)=0,0,IF(VLOOKUP($A368,Calendar!$A$1:$R$1377,18,0)=1,IFERROR(INDEX(FourWeekly_Model!$D$2:$D$29,MATCH(H368,FourWeekly_Model!$B$2:$B$29,0)),0),IF(VLOOKUP($A368,Calendar!$A$1:$R$1377,18,0)=2,SUM(IFERROR(INDEX(FourWeekly_Model!$D$2:$D$29,MATCH(H368,FourWeekly_Model!$B$2:$B$29,0)),0),IFERROR(INDEX(FourWeekly_Model!$D$2:$D$29,MATCH(H369,FourWeekly_Model!$B$2:$B$29,0)),0)),IF(VLOOKUP($A368,Calendar!$A$1:$R$1377,18,0)=3,SUM(IFERROR(INDEX(FourWeekly_Model!$D$2:$D$29,MATCH(H368,FourWeekly_Model!$B$2:$B$29,0)),0),IFERROR(INDEX(FourWeekly_Model!$D$2:$D$29,MATCH(H369,FourWeekly_Model!$B$2:$B$29,0)),0),IFERROR(INDEX(FourWeekly_Model!$D$2:$D$29,MATCH(H370,FourWeekly_Model!$B$2:$B$29,0)),0)),IF(VLOOKUP($A368,Calendar!$A$1:$R$1377,18,0)=4,SUM(IFERROR(INDEX(FourWeekly_Model!$D$2:$D$29,MATCH(H368,FourWeekly_Model!$B$2:$B$29,0)),0),IFERROR(INDEX(FourWeekly_Model!$D$2:$D$29,MATCH(H369,FourWeekly_Model!$B$2:$B$29,0)),0),IFERROR(INDEX(FourWeekly_Model!$D$2:$D$29,MATCH(H370,FourWeekly_Model!$B$2:$B$29,0)),0),IFERROR(INDEX(FourWeekly_Model!$D$2:$D$29,MATCH(H371,FourWeekly_Model!$B$2:$B$29,0)),0)),IF(VLOOKUP($A368,Calendar!$A$1:$R$1377,18,0)=5,SUM(IFERROR(INDEX(FourWeekly_Model!$D$2:$D$29,MATCH(H368,FourWeekly_Model!$B$2:$B$29,0)),0),IFERROR(INDEX(FourWeekly_Model!$D$2:$D$29,MATCH(H369,FourWeekly_Model!$B$2:$B$29,0)),0),IFERROR(INDEX(FourWeekly_Model!$D$2:$D$29,MATCH(H370,FourWeekly_Model!$B$2:$B$29,0)),0),IFERROR(INDEX(FourWeekly_Model!$D$2:$D$29,MATCH(H371,FourWeekly_Model!$B$2:$B$29,0)),0),IFERROR(INDEX(FourWeekly_Model!$D$2:$D$29,MATCH(H372,FourWeekly_Model!$B$2:$B$29,0)),0)),0))))))</f>
        <v>3.3214289700000004E-3</v>
      </c>
      <c r="N368" s="27">
        <f>SUM(I368:M368)</f>
        <v>2.840542296502618E-2</v>
      </c>
      <c r="O368" s="28">
        <f>Population_Data!$B$8*N368</f>
        <v>860684.3158402933</v>
      </c>
      <c r="P368" s="27">
        <f>IF(VLOOKUP($A368,Calendar!$A$1:$R$1377,18,0)=0,0,IF(VLOOKUP($A368,Calendar!$A$1:$R$1377,18,0)=1,IFERROR(INDEX(Pension_Model!$D$2:$D$29,MATCH(H368,Pension_Model!$B$2:$B$29,0)),0),IF(VLOOKUP($A368,Calendar!$A$1:$R$1377,18,0)=2,SUM(IFERROR(INDEX(Pension_Model!$D$2:$D$29,MATCH(H368,Pension_Model!$B$2:$B$29,0)),0),IFERROR(INDEX(Pension_Model!$D$2:$D$29,MATCH(H369,Pension_Model!$B$2:$B$29,0)),0)),IF(VLOOKUP($A368,Calendar!$A$1:$R$1377,18,0)=3,SUM(IFERROR(INDEX(Pension_Model!$D$2:$D$29,MATCH(H368,Pension_Model!$B$2:$B$29,0)),0),IFERROR(INDEX(Pension_Model!$D$2:$D$29,MATCH(H369,Pension_Model!$B$2:$B$29,0)),0),IFERROR(INDEX(Pension_Model!$D$2:$D$29,MATCH(H370,Pension_Model!$B$2:$B$29,0)),0)),IF(VLOOKUP($A368,Calendar!$A$1:$R$1377,18,0)=4,SUM(IFERROR(INDEX(Pension_Model!$D$2:$D$29,MATCH(H368,Pension_Model!$B$2:$B$29,0)),0),IFERROR(INDEX(Pension_Model!$D$2:$D$29,MATCH(H369,Pension_Model!$B$2:$B$29,0)),0),IFERROR(INDEX(Pension_Model!$D$2:$D$29,MATCH(H370,Pension_Model!$B$2:$B$29,0)),0),IFERROR(INDEX(Pension_Model!$D$2:$D$29,MATCH(H371,Pension_Model!$B$2:$B$29,0)),0)),IF(VLOOKUP($A368,Calendar!$A$1:$R$1377,18,0)=5,SUM(IFERROR(INDEX(Pension_Model!$D$2:$D$29,MATCH(H368,Pension_Model!$B$2:$B$29,0)),0),IFERROR(INDEX(Pension_Model!$D$2:$D$29,MATCH(H369,Pension_Model!$B$2:$B$29,0)),0),IFERROR(INDEX(Pension_Model!$D$2:$D$29,MATCH(H370,Pension_Model!$B$2:$B$29,0)),0),IFERROR(INDEX(Pension_Model!$D$2:$D$29,MATCH(H371,Pension_Model!$B$2:$B$29,0)),0),IFERROR(INDEX(Pension_Model!$D$2:$D$29,MATCH(H372,Pension_Model!$B$2:$B$29,0)),0)),0))))))</f>
        <v>0.05</v>
      </c>
      <c r="Q368" s="28">
        <f>Population_Data!$B$15*P368</f>
        <v>660600</v>
      </c>
      <c r="S368">
        <f t="shared" si="5"/>
        <v>1521284.3158402932</v>
      </c>
      <c r="U368" s="33">
        <f>S368/Population_Data!$B$19</f>
        <v>2.7559498475367629E-2</v>
      </c>
    </row>
    <row r="369" spans="1:21">
      <c r="A369" s="25">
        <f>Calendar!A369</f>
        <v>46602</v>
      </c>
      <c r="B369" t="str">
        <f>Calendar!L369</f>
        <v>Yes</v>
      </c>
      <c r="C369" t="str">
        <f>Calendar!O369</f>
        <v>No</v>
      </c>
      <c r="D369" t="str">
        <f>Calendar!P369</f>
        <v>No</v>
      </c>
      <c r="E369" t="str">
        <f>Calendar!Q369</f>
        <v>No</v>
      </c>
      <c r="F369" t="str">
        <f>Calendar!I369</f>
        <v>Tuesday</v>
      </c>
      <c r="G369">
        <f>Calendar!S369</f>
        <v>10</v>
      </c>
      <c r="H369">
        <f>Calendar!T369</f>
        <v>10</v>
      </c>
      <c r="I369" s="27">
        <f>IF(VLOOKUP(A369,Calendar!$A$1:$R$1377,18,0)=0,0,IF(VLOOKUP(A369,Calendar!$A$1:$R$1377,18,0)=1,INDEX(Monthly_Pay_Model!$A$9:$D$40,MATCH(TEXT(A369,"dd"),Monthly_Pay_Model!$C$9:$C$39,0),4),IF(VLOOKUP(A369,Calendar!$A$1:$R$1377,18,0)=2,SUM(INDEX(Monthly_Pay_Model!$A$9:$D$40,MATCH(TEXT(A369,"dd"),Monthly_Pay_Model!$C$9:$C$39,0),4),INDEX(Monthly_Pay_Model!$A$9:$D$40,MATCH(TEXT(A370,"dd"),Monthly_Pay_Model!$C$9:$C$39,0),4)),IF(VLOOKUP(A369,Calendar!$A$1:$R$1377,18,0)=3,SUM(INDEX(Monthly_Pay_Model!$A$9:$D$40,MATCH(TEXT(A369,"dd"),Monthly_Pay_Model!$C$9:$C$39,0),4),INDEX(Monthly_Pay_Model!$A$9:$D$40,MATCH(TEXT(A370,"dd"),Monthly_Pay_Model!$C$9:$C$39,0),4),INDEX(Monthly_Pay_Model!$A$9:$D$40,MATCH(TEXT(A371,"dd"),Monthly_Pay_Model!$C$9:$C$39,0),4)),IF(VLOOKUP(A369,Calendar!$A$1:$R$1377,18,0)=4,SUM(INDEX(Monthly_Pay_Model!$A$9:$D$40,MATCH(TEXT(A369,"dd"),Monthly_Pay_Model!$C$9:$C$39,0),4),INDEX(Monthly_Pay_Model!$A$9:$D$40,MATCH(TEXT(A370,"dd"),Monthly_Pay_Model!$C$9:$C$39,0),4),INDEX(Monthly_Pay_Model!$A$9:$D$40,MATCH(TEXT(A371,"dd"),Monthly_Pay_Model!$C$9:$C$39,0),4),INDEX(Monthly_Pay_Model!$A$9:$D$40,MATCH(TEXT(A372,"dd"),Monthly_Pay_Model!$C$9:$C$39,0),4)),IF(VLOOKUP(A369,Calendar!$A$1:$R$1377,18,0)=5,SUM(INDEX(Monthly_Pay_Model!$A$9:$D$40,MATCH(TEXT(A369,"dd"),Monthly_Pay_Model!$C$9:$C$39,0),4),INDEX(Monthly_Pay_Model!$A$9:$D$40,MATCH(TEXT(A370,"dd"),Monthly_Pay_Model!$C$9:$C$39,0),4),INDEX(Monthly_Pay_Model!$A$9:$D$40,MATCH(TEXT(A371,"dd"),Monthly_Pay_Model!$C$9:$C$39,0),4),INDEX(Monthly_Pay_Model!$A$9:$D$40,MATCH(TEXT(A372,"dd"),Monthly_Pay_Model!$C$9:$C$39,0),4),INDEX(Monthly_Pay_Model!$A$9:$D$40,MATCH(TEXT(A373,"dd"),Monthly_Pay_Model!$C$9:$C$39,0),4)),))))))</f>
        <v>8.1256544502617792E-4</v>
      </c>
      <c r="J369" s="33">
        <f>IF(C369="Yes",Monthly_Pay_Model!$D$2,0)
+IF(Calendar!N369="Yes",Monthly_Pay_Model!$D$3,0)
+IF(D369="Yes",Monthly_Pay_Model!$D$4,0)
+IF(E369="Yes",Monthly_Pay_Model!$D$5,0)</f>
        <v>0</v>
      </c>
      <c r="K369" s="27">
        <f>IF(VLOOKUP($A369,Calendar!$A$1:$R$1377,18,0)=0,0,IF(VLOOKUP($A369,Calendar!$A$1:$R$1377,18,0)=1,IFERROR(INDEX(Weekly_Model!$D$2:$D$9,MATCH(F369,Weekly_Model!$A$2:$A$9,0)),0),IF(VLOOKUP($A369,Calendar!$A$1:$R$1377,18,0)=2,SUM(IFERROR(INDEX(Weekly_Model!$D$2:$D$9,MATCH(F369,Weekly_Model!$A$2:$A$9,0)),0),IFERROR(INDEX(Weekly_Model!$D$2:$D$9,MATCH(F370,Weekly_Model!$A$2:$A$9,0)),0)),IF(VLOOKUP($A369,Calendar!$A$1:$R$1377,18,0)=3,SUM(IFERROR(INDEX(Weekly_Model!$D$2:$D$9,MATCH(F369,Weekly_Model!$A$2:$A$9,0)),0),IFERROR(INDEX(Weekly_Model!$D$2:$D$9,MATCH(F370,Weekly_Model!$A$2:$A$9,0)),0),IFERROR(INDEX(Weekly_Model!$D$2:$D$9,MATCH(F371,Weekly_Model!$A$2:$A$9,0)),0)),IF(VLOOKUP($A369,Calendar!$A$1:$R$1377,18,0)=4,SUM(IFERROR(INDEX(Weekly_Model!$D$2:$D$9,MATCH(F369,Weekly_Model!$A$2:$A$9,0)),0),IFERROR(INDEX(Weekly_Model!$D$2:$D$9,MATCH(F370,Weekly_Model!$A$2:$A$9,0)),0),IFERROR(INDEX(Weekly_Model!$D$2:$D$9,MATCH(F371,Weekly_Model!$A$2:$A$9,0)),0),IFERROR(INDEX(Weekly_Model!$D$2:$D$9,MATCH(F372,Weekly_Model!$A$2:$A$9,0)),0)),IF(VLOOKUP($A369,Calendar!$A$1:$R$1377,18,0)=5,SUM(IFERROR(INDEX(Weekly_Model!$D$2:$D$9,MATCH(F369,Weekly_Model!$A$2:$A$9,0)),0),IFERROR(INDEX(Weekly_Model!$D$2:$D$9,MATCH(F370,Weekly_Model!$A$2:$A$9,0)),0),IFERROR(INDEX(Weekly_Model!$D$2:$D$9,MATCH(F371,Weekly_Model!$A$2:$A$9,0)),0),IFERROR(INDEX(Weekly_Model!$D$2:$D$9,MATCH(F372,Weekly_Model!$A$2:$A$9,0)),0),IFERROR(INDEX(Weekly_Model!$D$2:$D$9,MATCH(F373,Weekly_Model!$A$2:$A$9,0)),0)),0))))))</f>
        <v>2.3200000000000002E-2</v>
      </c>
      <c r="L369" s="27">
        <f>IF(VLOOKUP($A369,Calendar!$A$1:$R$1377,18,0)=0,0,IF(VLOOKUP($A369,Calendar!$A$1:$R$1377,18,0)=1,IFERROR(INDEX(Fortnightly_Model!$D$2:$D$15,MATCH(G369,Fortnightly_Model!$B$2:$B$15,0)),0),IF(VLOOKUP($A369,Calendar!$A$1:$R$1377,18,0)=2,SUM(IFERROR(INDEX(Fortnightly_Model!$D$2:$D$15,MATCH(G369,Fortnightly_Model!$B$2:$B$15,0)),0),IFERROR(INDEX(Fortnightly_Model!$D$2:$D$15,MATCH(G370,Fortnightly_Model!$B$2:$B$15,0)),0)),IF(VLOOKUP($A369,Calendar!$A$1:$R$1377,18,0)=3,SUM(IFERROR(INDEX(Fortnightly_Model!$D$2:$D$15,MATCH(G369,Fortnightly_Model!$B$2:$B$15,0)),0),IFERROR(INDEX(Fortnightly_Model!$D$2:$D$15,MATCH(G370,Fortnightly_Model!$B$2:$B$15,0)),0),IFERROR(INDEX(Fortnightly_Model!$D$2:$D$15,MATCH(G371,Fortnightly_Model!$B$2:$B$15,0)),0)),IF(VLOOKUP($A369,Calendar!$A$1:$R$1377,18,0)=4,SUM(IFERROR(INDEX(Fortnightly_Model!$D$2:$D$15,MATCH(G369,Fortnightly_Model!$B$2:$B$15,0)),0),IFERROR(INDEX(Fortnightly_Model!$D$2:$D$15,MATCH(G370,Fortnightly_Model!$B$2:$B$15,0)),0),IFERROR(INDEX(Fortnightly_Model!$D$2:$D$15,MATCH(G371,Fortnightly_Model!$B$2:$B$15,0)),0),IFERROR(INDEX(Fortnightly_Model!$D$2:$D$15,MATCH(G372,Fortnightly_Model!$B$2:$B$15,0)),0)),IF(VLOOKUP($A369,Calendar!$A$1:$R$1377,18,0)=5,SUM(IFERROR(INDEX(Fortnightly_Model!$D$2:$D$15,MATCH(G369,Fortnightly_Model!$B$2:$B$15,0)),0),IFERROR(INDEX(Fortnightly_Model!$D$2:$D$15,MATCH(G370,Fortnightly_Model!$B$2:$B$15,0)),0),IFERROR(INDEX(Fortnightly_Model!$D$2:$D$15,MATCH(G371,Fortnightly_Model!$B$2:$B$15,0)),0),IFERROR(INDEX(Fortnightly_Model!$D$2:$D$15,MATCH(G372,Fortnightly_Model!$B$2:$B$15,0)),0),IFERROR(INDEX(Fortnightly_Model!$D$2:$D$15,MATCH(G373,Fortnightly_Model!$B$2:$B$15,0)),0)),0))))))</f>
        <v>1.0714285499999999E-3</v>
      </c>
      <c r="M369" s="27">
        <f>IF(VLOOKUP($A369,Calendar!$A$1:$R$1377,18,0)=0,0,IF(VLOOKUP($A369,Calendar!$A$1:$R$1377,18,0)=1,IFERROR(INDEX(FourWeekly_Model!$D$2:$D$29,MATCH(H369,FourWeekly_Model!$B$2:$B$29,0)),0),IF(VLOOKUP($A369,Calendar!$A$1:$R$1377,18,0)=2,SUM(IFERROR(INDEX(FourWeekly_Model!$D$2:$D$29,MATCH(H369,FourWeekly_Model!$B$2:$B$29,0)),0),IFERROR(INDEX(FourWeekly_Model!$D$2:$D$29,MATCH(H370,FourWeekly_Model!$B$2:$B$29,0)),0)),IF(VLOOKUP($A369,Calendar!$A$1:$R$1377,18,0)=3,SUM(IFERROR(INDEX(FourWeekly_Model!$D$2:$D$29,MATCH(H369,FourWeekly_Model!$B$2:$B$29,0)),0),IFERROR(INDEX(FourWeekly_Model!$D$2:$D$29,MATCH(H370,FourWeekly_Model!$B$2:$B$29,0)),0),IFERROR(INDEX(FourWeekly_Model!$D$2:$D$29,MATCH(H371,FourWeekly_Model!$B$2:$B$29,0)),0)),IF(VLOOKUP($A369,Calendar!$A$1:$R$1377,18,0)=4,SUM(IFERROR(INDEX(FourWeekly_Model!$D$2:$D$29,MATCH(H369,FourWeekly_Model!$B$2:$B$29,0)),0),IFERROR(INDEX(FourWeekly_Model!$D$2:$D$29,MATCH(H370,FourWeekly_Model!$B$2:$B$29,0)),0),IFERROR(INDEX(FourWeekly_Model!$D$2:$D$29,MATCH(H371,FourWeekly_Model!$B$2:$B$29,0)),0),IFERROR(INDEX(FourWeekly_Model!$D$2:$D$29,MATCH(H372,FourWeekly_Model!$B$2:$B$29,0)),0)),IF(VLOOKUP($A369,Calendar!$A$1:$R$1377,18,0)=5,SUM(IFERROR(INDEX(FourWeekly_Model!$D$2:$D$29,MATCH(H369,FourWeekly_Model!$B$2:$B$29,0)),0),IFERROR(INDEX(FourWeekly_Model!$D$2:$D$29,MATCH(H370,FourWeekly_Model!$B$2:$B$29,0)),0),IFERROR(INDEX(FourWeekly_Model!$D$2:$D$29,MATCH(H371,FourWeekly_Model!$B$2:$B$29,0)),0),IFERROR(INDEX(FourWeekly_Model!$D$2:$D$29,MATCH(H372,FourWeekly_Model!$B$2:$B$29,0)),0),IFERROR(INDEX(FourWeekly_Model!$D$2:$D$29,MATCH(H373,FourWeekly_Model!$B$2:$B$29,0)),0)),0))))))</f>
        <v>3.3214289700000004E-3</v>
      </c>
      <c r="N369" s="27">
        <f>SUM(I369:M369)</f>
        <v>2.840542296502618E-2</v>
      </c>
      <c r="O369" s="28">
        <f>Population_Data!$B$8*N369</f>
        <v>860684.3158402933</v>
      </c>
      <c r="P369" s="27">
        <f>IF(VLOOKUP($A369,Calendar!$A$1:$R$1377,18,0)=0,0,IF(VLOOKUP($A369,Calendar!$A$1:$R$1377,18,0)=1,IFERROR(INDEX(Pension_Model!$D$2:$D$29,MATCH(H369,Pension_Model!$B$2:$B$29,0)),0),IF(VLOOKUP($A369,Calendar!$A$1:$R$1377,18,0)=2,SUM(IFERROR(INDEX(Pension_Model!$D$2:$D$29,MATCH(H369,Pension_Model!$B$2:$B$29,0)),0),IFERROR(INDEX(Pension_Model!$D$2:$D$29,MATCH(H370,Pension_Model!$B$2:$B$29,0)),0)),IF(VLOOKUP($A369,Calendar!$A$1:$R$1377,18,0)=3,SUM(IFERROR(INDEX(Pension_Model!$D$2:$D$29,MATCH(H369,Pension_Model!$B$2:$B$29,0)),0),IFERROR(INDEX(Pension_Model!$D$2:$D$29,MATCH(H370,Pension_Model!$B$2:$B$29,0)),0),IFERROR(INDEX(Pension_Model!$D$2:$D$29,MATCH(H371,Pension_Model!$B$2:$B$29,0)),0)),IF(VLOOKUP($A369,Calendar!$A$1:$R$1377,18,0)=4,SUM(IFERROR(INDEX(Pension_Model!$D$2:$D$29,MATCH(H369,Pension_Model!$B$2:$B$29,0)),0),IFERROR(INDEX(Pension_Model!$D$2:$D$29,MATCH(H370,Pension_Model!$B$2:$B$29,0)),0),IFERROR(INDEX(Pension_Model!$D$2:$D$29,MATCH(H371,Pension_Model!$B$2:$B$29,0)),0),IFERROR(INDEX(Pension_Model!$D$2:$D$29,MATCH(H372,Pension_Model!$B$2:$B$29,0)),0)),IF(VLOOKUP($A369,Calendar!$A$1:$R$1377,18,0)=5,SUM(IFERROR(INDEX(Pension_Model!$D$2:$D$29,MATCH(H369,Pension_Model!$B$2:$B$29,0)),0),IFERROR(INDEX(Pension_Model!$D$2:$D$29,MATCH(H370,Pension_Model!$B$2:$B$29,0)),0),IFERROR(INDEX(Pension_Model!$D$2:$D$29,MATCH(H371,Pension_Model!$B$2:$B$29,0)),0),IFERROR(INDEX(Pension_Model!$D$2:$D$29,MATCH(H372,Pension_Model!$B$2:$B$29,0)),0),IFERROR(INDEX(Pension_Model!$D$2:$D$29,MATCH(H373,Pension_Model!$B$2:$B$29,0)),0)),0))))))</f>
        <v>0.05</v>
      </c>
      <c r="Q369" s="28">
        <f>Population_Data!$B$15*P369</f>
        <v>660600</v>
      </c>
      <c r="S369">
        <f t="shared" si="5"/>
        <v>1521284.3158402932</v>
      </c>
      <c r="U369" s="33">
        <f>S369/Population_Data!$B$19</f>
        <v>2.7559498475367629E-2</v>
      </c>
    </row>
    <row r="370" spans="1:21">
      <c r="A370" s="25">
        <f>Calendar!A370</f>
        <v>46603</v>
      </c>
      <c r="B370" t="str">
        <f>Calendar!L370</f>
        <v>Yes</v>
      </c>
      <c r="C370" t="str">
        <f>Calendar!O370</f>
        <v>No</v>
      </c>
      <c r="D370" t="str">
        <f>Calendar!P370</f>
        <v>No</v>
      </c>
      <c r="E370" t="str">
        <f>Calendar!Q370</f>
        <v>No</v>
      </c>
      <c r="F370" t="str">
        <f>Calendar!I370</f>
        <v>Wednesday</v>
      </c>
      <c r="G370">
        <f>Calendar!S370</f>
        <v>11</v>
      </c>
      <c r="H370">
        <f>Calendar!T370</f>
        <v>11</v>
      </c>
      <c r="I370" s="27">
        <f>IF(VLOOKUP(A370,Calendar!$A$1:$R$1377,18,0)=0,0,IF(VLOOKUP(A370,Calendar!$A$1:$R$1377,18,0)=1,INDEX(Monthly_Pay_Model!$A$9:$D$40,MATCH(TEXT(A370,"dd"),Monthly_Pay_Model!$C$9:$C$39,0),4),IF(VLOOKUP(A370,Calendar!$A$1:$R$1377,18,0)=2,SUM(INDEX(Monthly_Pay_Model!$A$9:$D$40,MATCH(TEXT(A370,"dd"),Monthly_Pay_Model!$C$9:$C$39,0),4),INDEX(Monthly_Pay_Model!$A$9:$D$40,MATCH(TEXT(A371,"dd"),Monthly_Pay_Model!$C$9:$C$39,0),4)),IF(VLOOKUP(A370,Calendar!$A$1:$R$1377,18,0)=3,SUM(INDEX(Monthly_Pay_Model!$A$9:$D$40,MATCH(TEXT(A370,"dd"),Monthly_Pay_Model!$C$9:$C$39,0),4),INDEX(Monthly_Pay_Model!$A$9:$D$40,MATCH(TEXT(A371,"dd"),Monthly_Pay_Model!$C$9:$C$39,0),4),INDEX(Monthly_Pay_Model!$A$9:$D$40,MATCH(TEXT(A372,"dd"),Monthly_Pay_Model!$C$9:$C$39,0),4)),IF(VLOOKUP(A370,Calendar!$A$1:$R$1377,18,0)=4,SUM(INDEX(Monthly_Pay_Model!$A$9:$D$40,MATCH(TEXT(A370,"dd"),Monthly_Pay_Model!$C$9:$C$39,0),4),INDEX(Monthly_Pay_Model!$A$9:$D$40,MATCH(TEXT(A371,"dd"),Monthly_Pay_Model!$C$9:$C$39,0),4),INDEX(Monthly_Pay_Model!$A$9:$D$40,MATCH(TEXT(A372,"dd"),Monthly_Pay_Model!$C$9:$C$39,0),4),INDEX(Monthly_Pay_Model!$A$9:$D$40,MATCH(TEXT(A373,"dd"),Monthly_Pay_Model!$C$9:$C$39,0),4)),IF(VLOOKUP(A370,Calendar!$A$1:$R$1377,18,0)=5,SUM(INDEX(Monthly_Pay_Model!$A$9:$D$40,MATCH(TEXT(A370,"dd"),Monthly_Pay_Model!$C$9:$C$39,0),4),INDEX(Monthly_Pay_Model!$A$9:$D$40,MATCH(TEXT(A371,"dd"),Monthly_Pay_Model!$C$9:$C$39,0),4),INDEX(Monthly_Pay_Model!$A$9:$D$40,MATCH(TEXT(A372,"dd"),Monthly_Pay_Model!$C$9:$C$39,0),4),INDEX(Monthly_Pay_Model!$A$9:$D$40,MATCH(TEXT(A373,"dd"),Monthly_Pay_Model!$C$9:$C$39,0),4),INDEX(Monthly_Pay_Model!$A$9:$D$40,MATCH(TEXT(A374,"dd"),Monthly_Pay_Model!$C$9:$C$39,0),4)),))))))</f>
        <v>8.1256544502617792E-4</v>
      </c>
      <c r="J370" s="33">
        <f>IF(C370="Yes",Monthly_Pay_Model!$D$2,0)
+IF(Calendar!N370="Yes",Monthly_Pay_Model!$D$3,0)
+IF(D370="Yes",Monthly_Pay_Model!$D$4,0)
+IF(E370="Yes",Monthly_Pay_Model!$D$5,0)</f>
        <v>0</v>
      </c>
      <c r="K370" s="27">
        <f>IF(VLOOKUP($A370,Calendar!$A$1:$R$1377,18,0)=0,0,IF(VLOOKUP($A370,Calendar!$A$1:$R$1377,18,0)=1,IFERROR(INDEX(Weekly_Model!$D$2:$D$9,MATCH(F370,Weekly_Model!$A$2:$A$9,0)),0),IF(VLOOKUP($A370,Calendar!$A$1:$R$1377,18,0)=2,SUM(IFERROR(INDEX(Weekly_Model!$D$2:$D$9,MATCH(F370,Weekly_Model!$A$2:$A$9,0)),0),IFERROR(INDEX(Weekly_Model!$D$2:$D$9,MATCH(F371,Weekly_Model!$A$2:$A$9,0)),0)),IF(VLOOKUP($A370,Calendar!$A$1:$R$1377,18,0)=3,SUM(IFERROR(INDEX(Weekly_Model!$D$2:$D$9,MATCH(F370,Weekly_Model!$A$2:$A$9,0)),0),IFERROR(INDEX(Weekly_Model!$D$2:$D$9,MATCH(F371,Weekly_Model!$A$2:$A$9,0)),0),IFERROR(INDEX(Weekly_Model!$D$2:$D$9,MATCH(F372,Weekly_Model!$A$2:$A$9,0)),0)),IF(VLOOKUP($A370,Calendar!$A$1:$R$1377,18,0)=4,SUM(IFERROR(INDEX(Weekly_Model!$D$2:$D$9,MATCH(F370,Weekly_Model!$A$2:$A$9,0)),0),IFERROR(INDEX(Weekly_Model!$D$2:$D$9,MATCH(F371,Weekly_Model!$A$2:$A$9,0)),0),IFERROR(INDEX(Weekly_Model!$D$2:$D$9,MATCH(F372,Weekly_Model!$A$2:$A$9,0)),0),IFERROR(INDEX(Weekly_Model!$D$2:$D$9,MATCH(F373,Weekly_Model!$A$2:$A$9,0)),0)),IF(VLOOKUP($A370,Calendar!$A$1:$R$1377,18,0)=5,SUM(IFERROR(INDEX(Weekly_Model!$D$2:$D$9,MATCH(F370,Weekly_Model!$A$2:$A$9,0)),0),IFERROR(INDEX(Weekly_Model!$D$2:$D$9,MATCH(F371,Weekly_Model!$A$2:$A$9,0)),0),IFERROR(INDEX(Weekly_Model!$D$2:$D$9,MATCH(F372,Weekly_Model!$A$2:$A$9,0)),0),IFERROR(INDEX(Weekly_Model!$D$2:$D$9,MATCH(F373,Weekly_Model!$A$2:$A$9,0)),0),IFERROR(INDEX(Weekly_Model!$D$2:$D$9,MATCH(F374,Weekly_Model!$A$2:$A$9,0)),0)),0))))))</f>
        <v>2.3200000000000002E-2</v>
      </c>
      <c r="L370" s="27">
        <f>IF(VLOOKUP($A370,Calendar!$A$1:$R$1377,18,0)=0,0,IF(VLOOKUP($A370,Calendar!$A$1:$R$1377,18,0)=1,IFERROR(INDEX(Fortnightly_Model!$D$2:$D$15,MATCH(G370,Fortnightly_Model!$B$2:$B$15,0)),0),IF(VLOOKUP($A370,Calendar!$A$1:$R$1377,18,0)=2,SUM(IFERROR(INDEX(Fortnightly_Model!$D$2:$D$15,MATCH(G370,Fortnightly_Model!$B$2:$B$15,0)),0),IFERROR(INDEX(Fortnightly_Model!$D$2:$D$15,MATCH(G371,Fortnightly_Model!$B$2:$B$15,0)),0)),IF(VLOOKUP($A370,Calendar!$A$1:$R$1377,18,0)=3,SUM(IFERROR(INDEX(Fortnightly_Model!$D$2:$D$15,MATCH(G370,Fortnightly_Model!$B$2:$B$15,0)),0),IFERROR(INDEX(Fortnightly_Model!$D$2:$D$15,MATCH(G371,Fortnightly_Model!$B$2:$B$15,0)),0),IFERROR(INDEX(Fortnightly_Model!$D$2:$D$15,MATCH(G372,Fortnightly_Model!$B$2:$B$15,0)),0)),IF(VLOOKUP($A370,Calendar!$A$1:$R$1377,18,0)=4,SUM(IFERROR(INDEX(Fortnightly_Model!$D$2:$D$15,MATCH(G370,Fortnightly_Model!$B$2:$B$15,0)),0),IFERROR(INDEX(Fortnightly_Model!$D$2:$D$15,MATCH(G371,Fortnightly_Model!$B$2:$B$15,0)),0),IFERROR(INDEX(Fortnightly_Model!$D$2:$D$15,MATCH(G372,Fortnightly_Model!$B$2:$B$15,0)),0),IFERROR(INDEX(Fortnightly_Model!$D$2:$D$15,MATCH(G373,Fortnightly_Model!$B$2:$B$15,0)),0)),IF(VLOOKUP($A370,Calendar!$A$1:$R$1377,18,0)=5,SUM(IFERROR(INDEX(Fortnightly_Model!$D$2:$D$15,MATCH(G370,Fortnightly_Model!$B$2:$B$15,0)),0),IFERROR(INDEX(Fortnightly_Model!$D$2:$D$15,MATCH(G371,Fortnightly_Model!$B$2:$B$15,0)),0),IFERROR(INDEX(Fortnightly_Model!$D$2:$D$15,MATCH(G372,Fortnightly_Model!$B$2:$B$15,0)),0),IFERROR(INDEX(Fortnightly_Model!$D$2:$D$15,MATCH(G373,Fortnightly_Model!$B$2:$B$15,0)),0),IFERROR(INDEX(Fortnightly_Model!$D$2:$D$15,MATCH(G374,Fortnightly_Model!$B$2:$B$15,0)),0)),0))))))</f>
        <v>1.0714285499999999E-3</v>
      </c>
      <c r="M370" s="27">
        <f>IF(VLOOKUP($A370,Calendar!$A$1:$R$1377,18,0)=0,0,IF(VLOOKUP($A370,Calendar!$A$1:$R$1377,18,0)=1,IFERROR(INDEX(FourWeekly_Model!$D$2:$D$29,MATCH(H370,FourWeekly_Model!$B$2:$B$29,0)),0),IF(VLOOKUP($A370,Calendar!$A$1:$R$1377,18,0)=2,SUM(IFERROR(INDEX(FourWeekly_Model!$D$2:$D$29,MATCH(H370,FourWeekly_Model!$B$2:$B$29,0)),0),IFERROR(INDEX(FourWeekly_Model!$D$2:$D$29,MATCH(H371,FourWeekly_Model!$B$2:$B$29,0)),0)),IF(VLOOKUP($A370,Calendar!$A$1:$R$1377,18,0)=3,SUM(IFERROR(INDEX(FourWeekly_Model!$D$2:$D$29,MATCH(H370,FourWeekly_Model!$B$2:$B$29,0)),0),IFERROR(INDEX(FourWeekly_Model!$D$2:$D$29,MATCH(H371,FourWeekly_Model!$B$2:$B$29,0)),0),IFERROR(INDEX(FourWeekly_Model!$D$2:$D$29,MATCH(H372,FourWeekly_Model!$B$2:$B$29,0)),0)),IF(VLOOKUP($A370,Calendar!$A$1:$R$1377,18,0)=4,SUM(IFERROR(INDEX(FourWeekly_Model!$D$2:$D$29,MATCH(H370,FourWeekly_Model!$B$2:$B$29,0)),0),IFERROR(INDEX(FourWeekly_Model!$D$2:$D$29,MATCH(H371,FourWeekly_Model!$B$2:$B$29,0)),0),IFERROR(INDEX(FourWeekly_Model!$D$2:$D$29,MATCH(H372,FourWeekly_Model!$B$2:$B$29,0)),0),IFERROR(INDEX(FourWeekly_Model!$D$2:$D$29,MATCH(H373,FourWeekly_Model!$B$2:$B$29,0)),0)),IF(VLOOKUP($A370,Calendar!$A$1:$R$1377,18,0)=5,SUM(IFERROR(INDEX(FourWeekly_Model!$D$2:$D$29,MATCH(H370,FourWeekly_Model!$B$2:$B$29,0)),0),IFERROR(INDEX(FourWeekly_Model!$D$2:$D$29,MATCH(H371,FourWeekly_Model!$B$2:$B$29,0)),0),IFERROR(INDEX(FourWeekly_Model!$D$2:$D$29,MATCH(H372,FourWeekly_Model!$B$2:$B$29,0)),0),IFERROR(INDEX(FourWeekly_Model!$D$2:$D$29,MATCH(H373,FourWeekly_Model!$B$2:$B$29,0)),0),IFERROR(INDEX(FourWeekly_Model!$D$2:$D$29,MATCH(H374,FourWeekly_Model!$B$2:$B$29,0)),0)),0))))))</f>
        <v>3.3214289700000004E-3</v>
      </c>
      <c r="N370" s="27">
        <f>SUM(I370:M370)</f>
        <v>2.840542296502618E-2</v>
      </c>
      <c r="O370" s="28">
        <f>Population_Data!$B$8*N370</f>
        <v>860684.3158402933</v>
      </c>
      <c r="P370" s="27">
        <f>IF(VLOOKUP($A370,Calendar!$A$1:$R$1377,18,0)=0,0,IF(VLOOKUP($A370,Calendar!$A$1:$R$1377,18,0)=1,IFERROR(INDEX(Pension_Model!$D$2:$D$29,MATCH(H370,Pension_Model!$B$2:$B$29,0)),0),IF(VLOOKUP($A370,Calendar!$A$1:$R$1377,18,0)=2,SUM(IFERROR(INDEX(Pension_Model!$D$2:$D$29,MATCH(H370,Pension_Model!$B$2:$B$29,0)),0),IFERROR(INDEX(Pension_Model!$D$2:$D$29,MATCH(H371,Pension_Model!$B$2:$B$29,0)),0)),IF(VLOOKUP($A370,Calendar!$A$1:$R$1377,18,0)=3,SUM(IFERROR(INDEX(Pension_Model!$D$2:$D$29,MATCH(H370,Pension_Model!$B$2:$B$29,0)),0),IFERROR(INDEX(Pension_Model!$D$2:$D$29,MATCH(H371,Pension_Model!$B$2:$B$29,0)),0),IFERROR(INDEX(Pension_Model!$D$2:$D$29,MATCH(H372,Pension_Model!$B$2:$B$29,0)),0)),IF(VLOOKUP($A370,Calendar!$A$1:$R$1377,18,0)=4,SUM(IFERROR(INDEX(Pension_Model!$D$2:$D$29,MATCH(H370,Pension_Model!$B$2:$B$29,0)),0),IFERROR(INDEX(Pension_Model!$D$2:$D$29,MATCH(H371,Pension_Model!$B$2:$B$29,0)),0),IFERROR(INDEX(Pension_Model!$D$2:$D$29,MATCH(H372,Pension_Model!$B$2:$B$29,0)),0),IFERROR(INDEX(Pension_Model!$D$2:$D$29,MATCH(H373,Pension_Model!$B$2:$B$29,0)),0)),IF(VLOOKUP($A370,Calendar!$A$1:$R$1377,18,0)=5,SUM(IFERROR(INDEX(Pension_Model!$D$2:$D$29,MATCH(H370,Pension_Model!$B$2:$B$29,0)),0),IFERROR(INDEX(Pension_Model!$D$2:$D$29,MATCH(H371,Pension_Model!$B$2:$B$29,0)),0),IFERROR(INDEX(Pension_Model!$D$2:$D$29,MATCH(H372,Pension_Model!$B$2:$B$29,0)),0),IFERROR(INDEX(Pension_Model!$D$2:$D$29,MATCH(H373,Pension_Model!$B$2:$B$29,0)),0),IFERROR(INDEX(Pension_Model!$D$2:$D$29,MATCH(H374,Pension_Model!$B$2:$B$29,0)),0)),0))))))</f>
        <v>0.05</v>
      </c>
      <c r="Q370" s="28">
        <f>Population_Data!$B$15*P370</f>
        <v>660600</v>
      </c>
      <c r="S370">
        <f t="shared" si="5"/>
        <v>1521284.3158402932</v>
      </c>
      <c r="U370" s="33">
        <f>S370/Population_Data!$B$19</f>
        <v>2.7559498475367629E-2</v>
      </c>
    </row>
    <row r="371" spans="1:21">
      <c r="A371" s="25">
        <f>Calendar!A371</f>
        <v>46604</v>
      </c>
      <c r="B371" t="str">
        <f>Calendar!L371</f>
        <v>Yes</v>
      </c>
      <c r="C371" t="str">
        <f>Calendar!O371</f>
        <v>No</v>
      </c>
      <c r="D371" t="str">
        <f>Calendar!P371</f>
        <v>No</v>
      </c>
      <c r="E371" t="str">
        <f>Calendar!Q371</f>
        <v>No</v>
      </c>
      <c r="F371" t="str">
        <f>Calendar!I371</f>
        <v>Thursday</v>
      </c>
      <c r="G371">
        <f>Calendar!S371</f>
        <v>12</v>
      </c>
      <c r="H371">
        <f>Calendar!T371</f>
        <v>12</v>
      </c>
      <c r="I371" s="27">
        <f>IF(VLOOKUP(A371,Calendar!$A$1:$R$1377,18,0)=0,0,IF(VLOOKUP(A371,Calendar!$A$1:$R$1377,18,0)=1,INDEX(Monthly_Pay_Model!$A$9:$D$40,MATCH(TEXT(A371,"dd"),Monthly_Pay_Model!$C$9:$C$39,0),4),IF(VLOOKUP(A371,Calendar!$A$1:$R$1377,18,0)=2,SUM(INDEX(Monthly_Pay_Model!$A$9:$D$40,MATCH(TEXT(A371,"dd"),Monthly_Pay_Model!$C$9:$C$39,0),4),INDEX(Monthly_Pay_Model!$A$9:$D$40,MATCH(TEXT(A372,"dd"),Monthly_Pay_Model!$C$9:$C$39,0),4)),IF(VLOOKUP(A371,Calendar!$A$1:$R$1377,18,0)=3,SUM(INDEX(Monthly_Pay_Model!$A$9:$D$40,MATCH(TEXT(A371,"dd"),Monthly_Pay_Model!$C$9:$C$39,0),4),INDEX(Monthly_Pay_Model!$A$9:$D$40,MATCH(TEXT(A372,"dd"),Monthly_Pay_Model!$C$9:$C$39,0),4),INDEX(Monthly_Pay_Model!$A$9:$D$40,MATCH(TEXT(A373,"dd"),Monthly_Pay_Model!$C$9:$C$39,0),4)),IF(VLOOKUP(A371,Calendar!$A$1:$R$1377,18,0)=4,SUM(INDEX(Monthly_Pay_Model!$A$9:$D$40,MATCH(TEXT(A371,"dd"),Monthly_Pay_Model!$C$9:$C$39,0),4),INDEX(Monthly_Pay_Model!$A$9:$D$40,MATCH(TEXT(A372,"dd"),Monthly_Pay_Model!$C$9:$C$39,0),4),INDEX(Monthly_Pay_Model!$A$9:$D$40,MATCH(TEXT(A373,"dd"),Monthly_Pay_Model!$C$9:$C$39,0),4),INDEX(Monthly_Pay_Model!$A$9:$D$40,MATCH(TEXT(A374,"dd"),Monthly_Pay_Model!$C$9:$C$39,0),4)),IF(VLOOKUP(A371,Calendar!$A$1:$R$1377,18,0)=5,SUM(INDEX(Monthly_Pay_Model!$A$9:$D$40,MATCH(TEXT(A371,"dd"),Monthly_Pay_Model!$C$9:$C$39,0),4),INDEX(Monthly_Pay_Model!$A$9:$D$40,MATCH(TEXT(A372,"dd"),Monthly_Pay_Model!$C$9:$C$39,0),4),INDEX(Monthly_Pay_Model!$A$9:$D$40,MATCH(TEXT(A373,"dd"),Monthly_Pay_Model!$C$9:$C$39,0),4),INDEX(Monthly_Pay_Model!$A$9:$D$40,MATCH(TEXT(A374,"dd"),Monthly_Pay_Model!$C$9:$C$39,0),4),INDEX(Monthly_Pay_Model!$A$9:$D$40,MATCH(TEXT(A375,"dd"),Monthly_Pay_Model!$C$9:$C$39,0),4)),))))))</f>
        <v>7.3130890052356002E-3</v>
      </c>
      <c r="J371" s="33">
        <f>IF(C371="Yes",Monthly_Pay_Model!$D$2,0)
+IF(Calendar!N371="Yes",Monthly_Pay_Model!$D$3,0)
+IF(D371="Yes",Monthly_Pay_Model!$D$4,0)
+IF(E371="Yes",Monthly_Pay_Model!$D$5,0)</f>
        <v>0</v>
      </c>
      <c r="K371" s="27">
        <f>IF(VLOOKUP($A371,Calendar!$A$1:$R$1377,18,0)=0,0,IF(VLOOKUP($A371,Calendar!$A$1:$R$1377,18,0)=1,IFERROR(INDEX(Weekly_Model!$D$2:$D$9,MATCH(F371,Weekly_Model!$A$2:$A$9,0)),0),IF(VLOOKUP($A371,Calendar!$A$1:$R$1377,18,0)=2,SUM(IFERROR(INDEX(Weekly_Model!$D$2:$D$9,MATCH(F371,Weekly_Model!$A$2:$A$9,0)),0),IFERROR(INDEX(Weekly_Model!$D$2:$D$9,MATCH(F372,Weekly_Model!$A$2:$A$9,0)),0)),IF(VLOOKUP($A371,Calendar!$A$1:$R$1377,18,0)=3,SUM(IFERROR(INDEX(Weekly_Model!$D$2:$D$9,MATCH(F371,Weekly_Model!$A$2:$A$9,0)),0),IFERROR(INDEX(Weekly_Model!$D$2:$D$9,MATCH(F372,Weekly_Model!$A$2:$A$9,0)),0),IFERROR(INDEX(Weekly_Model!$D$2:$D$9,MATCH(F373,Weekly_Model!$A$2:$A$9,0)),0)),IF(VLOOKUP($A371,Calendar!$A$1:$R$1377,18,0)=4,SUM(IFERROR(INDEX(Weekly_Model!$D$2:$D$9,MATCH(F371,Weekly_Model!$A$2:$A$9,0)),0),IFERROR(INDEX(Weekly_Model!$D$2:$D$9,MATCH(F372,Weekly_Model!$A$2:$A$9,0)),0),IFERROR(INDEX(Weekly_Model!$D$2:$D$9,MATCH(F373,Weekly_Model!$A$2:$A$9,0)),0),IFERROR(INDEX(Weekly_Model!$D$2:$D$9,MATCH(F374,Weekly_Model!$A$2:$A$9,0)),0)),IF(VLOOKUP($A371,Calendar!$A$1:$R$1377,18,0)=5,SUM(IFERROR(INDEX(Weekly_Model!$D$2:$D$9,MATCH(F371,Weekly_Model!$A$2:$A$9,0)),0),IFERROR(INDEX(Weekly_Model!$D$2:$D$9,MATCH(F372,Weekly_Model!$A$2:$A$9,0)),0),IFERROR(INDEX(Weekly_Model!$D$2:$D$9,MATCH(F373,Weekly_Model!$A$2:$A$9,0)),0),IFERROR(INDEX(Weekly_Model!$D$2:$D$9,MATCH(F374,Weekly_Model!$A$2:$A$9,0)),0),IFERROR(INDEX(Weekly_Model!$D$2:$D$9,MATCH(F375,Weekly_Model!$A$2:$A$9,0)),0)),0))))))</f>
        <v>2.3200000000000002E-2</v>
      </c>
      <c r="L371" s="27">
        <f>IF(VLOOKUP($A371,Calendar!$A$1:$R$1377,18,0)=0,0,IF(VLOOKUP($A371,Calendar!$A$1:$R$1377,18,0)=1,IFERROR(INDEX(Fortnightly_Model!$D$2:$D$15,MATCH(G371,Fortnightly_Model!$B$2:$B$15,0)),0),IF(VLOOKUP($A371,Calendar!$A$1:$R$1377,18,0)=2,SUM(IFERROR(INDEX(Fortnightly_Model!$D$2:$D$15,MATCH(G371,Fortnightly_Model!$B$2:$B$15,0)),0),IFERROR(INDEX(Fortnightly_Model!$D$2:$D$15,MATCH(G372,Fortnightly_Model!$B$2:$B$15,0)),0)),IF(VLOOKUP($A371,Calendar!$A$1:$R$1377,18,0)=3,SUM(IFERROR(INDEX(Fortnightly_Model!$D$2:$D$15,MATCH(G371,Fortnightly_Model!$B$2:$B$15,0)),0),IFERROR(INDEX(Fortnightly_Model!$D$2:$D$15,MATCH(G372,Fortnightly_Model!$B$2:$B$15,0)),0),IFERROR(INDEX(Fortnightly_Model!$D$2:$D$15,MATCH(G373,Fortnightly_Model!$B$2:$B$15,0)),0)),IF(VLOOKUP($A371,Calendar!$A$1:$R$1377,18,0)=4,SUM(IFERROR(INDEX(Fortnightly_Model!$D$2:$D$15,MATCH(G371,Fortnightly_Model!$B$2:$B$15,0)),0),IFERROR(INDEX(Fortnightly_Model!$D$2:$D$15,MATCH(G372,Fortnightly_Model!$B$2:$B$15,0)),0),IFERROR(INDEX(Fortnightly_Model!$D$2:$D$15,MATCH(G373,Fortnightly_Model!$B$2:$B$15,0)),0),IFERROR(INDEX(Fortnightly_Model!$D$2:$D$15,MATCH(G374,Fortnightly_Model!$B$2:$B$15,0)),0)),IF(VLOOKUP($A371,Calendar!$A$1:$R$1377,18,0)=5,SUM(IFERROR(INDEX(Fortnightly_Model!$D$2:$D$15,MATCH(G371,Fortnightly_Model!$B$2:$B$15,0)),0),IFERROR(INDEX(Fortnightly_Model!$D$2:$D$15,MATCH(G372,Fortnightly_Model!$B$2:$B$15,0)),0),IFERROR(INDEX(Fortnightly_Model!$D$2:$D$15,MATCH(G373,Fortnightly_Model!$B$2:$B$15,0)),0),IFERROR(INDEX(Fortnightly_Model!$D$2:$D$15,MATCH(G374,Fortnightly_Model!$B$2:$B$15,0)),0),IFERROR(INDEX(Fortnightly_Model!$D$2:$D$15,MATCH(G375,Fortnightly_Model!$B$2:$B$15,0)),0)),0))))))</f>
        <v>1.0714285499999999E-3</v>
      </c>
      <c r="M371" s="27">
        <f>IF(VLOOKUP($A371,Calendar!$A$1:$R$1377,18,0)=0,0,IF(VLOOKUP($A371,Calendar!$A$1:$R$1377,18,0)=1,IFERROR(INDEX(FourWeekly_Model!$D$2:$D$29,MATCH(H371,FourWeekly_Model!$B$2:$B$29,0)),0),IF(VLOOKUP($A371,Calendar!$A$1:$R$1377,18,0)=2,SUM(IFERROR(INDEX(FourWeekly_Model!$D$2:$D$29,MATCH(H371,FourWeekly_Model!$B$2:$B$29,0)),0),IFERROR(INDEX(FourWeekly_Model!$D$2:$D$29,MATCH(H372,FourWeekly_Model!$B$2:$B$29,0)),0)),IF(VLOOKUP($A371,Calendar!$A$1:$R$1377,18,0)=3,SUM(IFERROR(INDEX(FourWeekly_Model!$D$2:$D$29,MATCH(H371,FourWeekly_Model!$B$2:$B$29,0)),0),IFERROR(INDEX(FourWeekly_Model!$D$2:$D$29,MATCH(H372,FourWeekly_Model!$B$2:$B$29,0)),0),IFERROR(INDEX(FourWeekly_Model!$D$2:$D$29,MATCH(H373,FourWeekly_Model!$B$2:$B$29,0)),0)),IF(VLOOKUP($A371,Calendar!$A$1:$R$1377,18,0)=4,SUM(IFERROR(INDEX(FourWeekly_Model!$D$2:$D$29,MATCH(H371,FourWeekly_Model!$B$2:$B$29,0)),0),IFERROR(INDEX(FourWeekly_Model!$D$2:$D$29,MATCH(H372,FourWeekly_Model!$B$2:$B$29,0)),0),IFERROR(INDEX(FourWeekly_Model!$D$2:$D$29,MATCH(H373,FourWeekly_Model!$B$2:$B$29,0)),0),IFERROR(INDEX(FourWeekly_Model!$D$2:$D$29,MATCH(H374,FourWeekly_Model!$B$2:$B$29,0)),0)),IF(VLOOKUP($A371,Calendar!$A$1:$R$1377,18,0)=5,SUM(IFERROR(INDEX(FourWeekly_Model!$D$2:$D$29,MATCH(H371,FourWeekly_Model!$B$2:$B$29,0)),0),IFERROR(INDEX(FourWeekly_Model!$D$2:$D$29,MATCH(H372,FourWeekly_Model!$B$2:$B$29,0)),0),IFERROR(INDEX(FourWeekly_Model!$D$2:$D$29,MATCH(H373,FourWeekly_Model!$B$2:$B$29,0)),0),IFERROR(INDEX(FourWeekly_Model!$D$2:$D$29,MATCH(H374,FourWeekly_Model!$B$2:$B$29,0)),0),IFERROR(INDEX(FourWeekly_Model!$D$2:$D$29,MATCH(H375,FourWeekly_Model!$B$2:$B$29,0)),0)),0))))))</f>
        <v>3.3214289700000004E-3</v>
      </c>
      <c r="N371" s="27">
        <f>SUM(I371:M371)</f>
        <v>3.4905946525235605E-2</v>
      </c>
      <c r="O371" s="28">
        <f>Population_Data!$B$8*N371</f>
        <v>1057650.1797146387</v>
      </c>
      <c r="P371" s="27">
        <f>IF(VLOOKUP($A371,Calendar!$A$1:$R$1377,18,0)=0,0,IF(VLOOKUP($A371,Calendar!$A$1:$R$1377,18,0)=1,IFERROR(INDEX(Pension_Model!$D$2:$D$29,MATCH(H371,Pension_Model!$B$2:$B$29,0)),0),IF(VLOOKUP($A371,Calendar!$A$1:$R$1377,18,0)=2,SUM(IFERROR(INDEX(Pension_Model!$D$2:$D$29,MATCH(H371,Pension_Model!$B$2:$B$29,0)),0),IFERROR(INDEX(Pension_Model!$D$2:$D$29,MATCH(H372,Pension_Model!$B$2:$B$29,0)),0)),IF(VLOOKUP($A371,Calendar!$A$1:$R$1377,18,0)=3,SUM(IFERROR(INDEX(Pension_Model!$D$2:$D$29,MATCH(H371,Pension_Model!$B$2:$B$29,0)),0),IFERROR(INDEX(Pension_Model!$D$2:$D$29,MATCH(H372,Pension_Model!$B$2:$B$29,0)),0),IFERROR(INDEX(Pension_Model!$D$2:$D$29,MATCH(H373,Pension_Model!$B$2:$B$29,0)),0)),IF(VLOOKUP($A371,Calendar!$A$1:$R$1377,18,0)=4,SUM(IFERROR(INDEX(Pension_Model!$D$2:$D$29,MATCH(H371,Pension_Model!$B$2:$B$29,0)),0),IFERROR(INDEX(Pension_Model!$D$2:$D$29,MATCH(H372,Pension_Model!$B$2:$B$29,0)),0),IFERROR(INDEX(Pension_Model!$D$2:$D$29,MATCH(H373,Pension_Model!$B$2:$B$29,0)),0),IFERROR(INDEX(Pension_Model!$D$2:$D$29,MATCH(H374,Pension_Model!$B$2:$B$29,0)),0)),IF(VLOOKUP($A371,Calendar!$A$1:$R$1377,18,0)=5,SUM(IFERROR(INDEX(Pension_Model!$D$2:$D$29,MATCH(H371,Pension_Model!$B$2:$B$29,0)),0),IFERROR(INDEX(Pension_Model!$D$2:$D$29,MATCH(H372,Pension_Model!$B$2:$B$29,0)),0),IFERROR(INDEX(Pension_Model!$D$2:$D$29,MATCH(H373,Pension_Model!$B$2:$B$29,0)),0),IFERROR(INDEX(Pension_Model!$D$2:$D$29,MATCH(H374,Pension_Model!$B$2:$B$29,0)),0),IFERROR(INDEX(Pension_Model!$D$2:$D$29,MATCH(H375,Pension_Model!$B$2:$B$29,0)),0)),0))))))</f>
        <v>0.05</v>
      </c>
      <c r="Q371" s="28">
        <f>Population_Data!$B$15*P371</f>
        <v>660600</v>
      </c>
      <c r="S371">
        <f t="shared" si="5"/>
        <v>1718250.1797146387</v>
      </c>
      <c r="U371" s="33">
        <f>S371/Population_Data!$B$19</f>
        <v>3.1127720647004326E-2</v>
      </c>
    </row>
    <row r="372" spans="1:21">
      <c r="A372" s="25">
        <f>Calendar!A372</f>
        <v>46605</v>
      </c>
      <c r="B372" t="str">
        <f>Calendar!L372</f>
        <v>Yes</v>
      </c>
      <c r="C372" t="str">
        <f>Calendar!O372</f>
        <v>No</v>
      </c>
      <c r="D372" t="str">
        <f>Calendar!P372</f>
        <v>No</v>
      </c>
      <c r="E372" t="str">
        <f>Calendar!Q372</f>
        <v>No</v>
      </c>
      <c r="F372" t="str">
        <f>Calendar!I372</f>
        <v>Friday</v>
      </c>
      <c r="G372">
        <f>Calendar!S372</f>
        <v>13</v>
      </c>
      <c r="H372">
        <f>Calendar!T372</f>
        <v>13</v>
      </c>
      <c r="I372" s="27">
        <f>IF(VLOOKUP(A372,Calendar!$A$1:$R$1377,18,0)=0,0,IF(VLOOKUP(A372,Calendar!$A$1:$R$1377,18,0)=1,INDEX(Monthly_Pay_Model!$A$9:$D$40,MATCH(TEXT(A372,"dd"),Monthly_Pay_Model!$C$9:$C$39,0),4),IF(VLOOKUP(A372,Calendar!$A$1:$R$1377,18,0)=2,SUM(INDEX(Monthly_Pay_Model!$A$9:$D$40,MATCH(TEXT(A372,"dd"),Monthly_Pay_Model!$C$9:$C$39,0),4),INDEX(Monthly_Pay_Model!$A$9:$D$40,MATCH(TEXT(A373,"dd"),Monthly_Pay_Model!$C$9:$C$39,0),4)),IF(VLOOKUP(A372,Calendar!$A$1:$R$1377,18,0)=3,SUM(INDEX(Monthly_Pay_Model!$A$9:$D$40,MATCH(TEXT(A372,"dd"),Monthly_Pay_Model!$C$9:$C$39,0),4),INDEX(Monthly_Pay_Model!$A$9:$D$40,MATCH(TEXT(A373,"dd"),Monthly_Pay_Model!$C$9:$C$39,0),4),INDEX(Monthly_Pay_Model!$A$9:$D$40,MATCH(TEXT(A374,"dd"),Monthly_Pay_Model!$C$9:$C$39,0),4)),IF(VLOOKUP(A372,Calendar!$A$1:$R$1377,18,0)=4,SUM(INDEX(Monthly_Pay_Model!$A$9:$D$40,MATCH(TEXT(A372,"dd"),Monthly_Pay_Model!$C$9:$C$39,0),4),INDEX(Monthly_Pay_Model!$A$9:$D$40,MATCH(TEXT(A373,"dd"),Monthly_Pay_Model!$C$9:$C$39,0),4),INDEX(Monthly_Pay_Model!$A$9:$D$40,MATCH(TEXT(A374,"dd"),Monthly_Pay_Model!$C$9:$C$39,0),4),INDEX(Monthly_Pay_Model!$A$9:$D$40,MATCH(TEXT(A375,"dd"),Monthly_Pay_Model!$C$9:$C$39,0),4)),IF(VLOOKUP(A372,Calendar!$A$1:$R$1377,18,0)=5,SUM(INDEX(Monthly_Pay_Model!$A$9:$D$40,MATCH(TEXT(A372,"dd"),Monthly_Pay_Model!$C$9:$C$39,0),4),INDEX(Monthly_Pay_Model!$A$9:$D$40,MATCH(TEXT(A373,"dd"),Monthly_Pay_Model!$C$9:$C$39,0),4),INDEX(Monthly_Pay_Model!$A$9:$D$40,MATCH(TEXT(A374,"dd"),Monthly_Pay_Model!$C$9:$C$39,0),4),INDEX(Monthly_Pay_Model!$A$9:$D$40,MATCH(TEXT(A375,"dd"),Monthly_Pay_Model!$C$9:$C$39,0),4),INDEX(Monthly_Pay_Model!$A$9:$D$40,MATCH(TEXT(A376,"dd"),Monthly_Pay_Model!$C$9:$C$39,0),4)),))))))</f>
        <v>7.3130890052356002E-3</v>
      </c>
      <c r="J372" s="33">
        <f>IF(C372="Yes",Monthly_Pay_Model!$D$2,0)
+IF(Calendar!N372="Yes",Monthly_Pay_Model!$D$3,0)
+IF(D372="Yes",Monthly_Pay_Model!$D$4,0)
+IF(E372="Yes",Monthly_Pay_Model!$D$5,0)</f>
        <v>0</v>
      </c>
      <c r="K372" s="27">
        <f>IF(VLOOKUP($A372,Calendar!$A$1:$R$1377,18,0)=0,0,IF(VLOOKUP($A372,Calendar!$A$1:$R$1377,18,0)=1,IFERROR(INDEX(Weekly_Model!$D$2:$D$9,MATCH(F372,Weekly_Model!$A$2:$A$9,0)),0),IF(VLOOKUP($A372,Calendar!$A$1:$R$1377,18,0)=2,SUM(IFERROR(INDEX(Weekly_Model!$D$2:$D$9,MATCH(F372,Weekly_Model!$A$2:$A$9,0)),0),IFERROR(INDEX(Weekly_Model!$D$2:$D$9,MATCH(F373,Weekly_Model!$A$2:$A$9,0)),0)),IF(VLOOKUP($A372,Calendar!$A$1:$R$1377,18,0)=3,SUM(IFERROR(INDEX(Weekly_Model!$D$2:$D$9,MATCH(F372,Weekly_Model!$A$2:$A$9,0)),0),IFERROR(INDEX(Weekly_Model!$D$2:$D$9,MATCH(F373,Weekly_Model!$A$2:$A$9,0)),0),IFERROR(INDEX(Weekly_Model!$D$2:$D$9,MATCH(F374,Weekly_Model!$A$2:$A$9,0)),0)),IF(VLOOKUP($A372,Calendar!$A$1:$R$1377,18,0)=4,SUM(IFERROR(INDEX(Weekly_Model!$D$2:$D$9,MATCH(F372,Weekly_Model!$A$2:$A$9,0)),0),IFERROR(INDEX(Weekly_Model!$D$2:$D$9,MATCH(F373,Weekly_Model!$A$2:$A$9,0)),0),IFERROR(INDEX(Weekly_Model!$D$2:$D$9,MATCH(F374,Weekly_Model!$A$2:$A$9,0)),0),IFERROR(INDEX(Weekly_Model!$D$2:$D$9,MATCH(F375,Weekly_Model!$A$2:$A$9,0)),0)),IF(VLOOKUP($A372,Calendar!$A$1:$R$1377,18,0)=5,SUM(IFERROR(INDEX(Weekly_Model!$D$2:$D$9,MATCH(F372,Weekly_Model!$A$2:$A$9,0)),0),IFERROR(INDEX(Weekly_Model!$D$2:$D$9,MATCH(F373,Weekly_Model!$A$2:$A$9,0)),0),IFERROR(INDEX(Weekly_Model!$D$2:$D$9,MATCH(F374,Weekly_Model!$A$2:$A$9,0)),0),IFERROR(INDEX(Weekly_Model!$D$2:$D$9,MATCH(F375,Weekly_Model!$A$2:$A$9,0)),0),IFERROR(INDEX(Weekly_Model!$D$2:$D$9,MATCH(F376,Weekly_Model!$A$2:$A$9,0)),0)),0))))))</f>
        <v>2.3200000000000002E-2</v>
      </c>
      <c r="L372" s="27">
        <f>IF(VLOOKUP($A372,Calendar!$A$1:$R$1377,18,0)=0,0,IF(VLOOKUP($A372,Calendar!$A$1:$R$1377,18,0)=1,IFERROR(INDEX(Fortnightly_Model!$D$2:$D$15,MATCH(G372,Fortnightly_Model!$B$2:$B$15,0)),0),IF(VLOOKUP($A372,Calendar!$A$1:$R$1377,18,0)=2,SUM(IFERROR(INDEX(Fortnightly_Model!$D$2:$D$15,MATCH(G372,Fortnightly_Model!$B$2:$B$15,0)),0),IFERROR(INDEX(Fortnightly_Model!$D$2:$D$15,MATCH(G373,Fortnightly_Model!$B$2:$B$15,0)),0)),IF(VLOOKUP($A372,Calendar!$A$1:$R$1377,18,0)=3,SUM(IFERROR(INDEX(Fortnightly_Model!$D$2:$D$15,MATCH(G372,Fortnightly_Model!$B$2:$B$15,0)),0),IFERROR(INDEX(Fortnightly_Model!$D$2:$D$15,MATCH(G373,Fortnightly_Model!$B$2:$B$15,0)),0),IFERROR(INDEX(Fortnightly_Model!$D$2:$D$15,MATCH(G374,Fortnightly_Model!$B$2:$B$15,0)),0)),IF(VLOOKUP($A372,Calendar!$A$1:$R$1377,18,0)=4,SUM(IFERROR(INDEX(Fortnightly_Model!$D$2:$D$15,MATCH(G372,Fortnightly_Model!$B$2:$B$15,0)),0),IFERROR(INDEX(Fortnightly_Model!$D$2:$D$15,MATCH(G373,Fortnightly_Model!$B$2:$B$15,0)),0),IFERROR(INDEX(Fortnightly_Model!$D$2:$D$15,MATCH(G374,Fortnightly_Model!$B$2:$B$15,0)),0),IFERROR(INDEX(Fortnightly_Model!$D$2:$D$15,MATCH(G375,Fortnightly_Model!$B$2:$B$15,0)),0)),IF(VLOOKUP($A372,Calendar!$A$1:$R$1377,18,0)=5,SUM(IFERROR(INDEX(Fortnightly_Model!$D$2:$D$15,MATCH(G372,Fortnightly_Model!$B$2:$B$15,0)),0),IFERROR(INDEX(Fortnightly_Model!$D$2:$D$15,MATCH(G373,Fortnightly_Model!$B$2:$B$15,0)),0),IFERROR(INDEX(Fortnightly_Model!$D$2:$D$15,MATCH(G374,Fortnightly_Model!$B$2:$B$15,0)),0),IFERROR(INDEX(Fortnightly_Model!$D$2:$D$15,MATCH(G375,Fortnightly_Model!$B$2:$B$15,0)),0),IFERROR(INDEX(Fortnightly_Model!$D$2:$D$15,MATCH(G376,Fortnightly_Model!$B$2:$B$15,0)),0)),0))))))</f>
        <v>3.2142856499999999E-3</v>
      </c>
      <c r="M372" s="27">
        <f>IF(VLOOKUP($A372,Calendar!$A$1:$R$1377,18,0)=0,0,IF(VLOOKUP($A372,Calendar!$A$1:$R$1377,18,0)=1,IFERROR(INDEX(FourWeekly_Model!$D$2:$D$29,MATCH(H372,FourWeekly_Model!$B$2:$B$29,0)),0),IF(VLOOKUP($A372,Calendar!$A$1:$R$1377,18,0)=2,SUM(IFERROR(INDEX(FourWeekly_Model!$D$2:$D$29,MATCH(H372,FourWeekly_Model!$B$2:$B$29,0)),0),IFERROR(INDEX(FourWeekly_Model!$D$2:$D$29,MATCH(H373,FourWeekly_Model!$B$2:$B$29,0)),0)),IF(VLOOKUP($A372,Calendar!$A$1:$R$1377,18,0)=3,SUM(IFERROR(INDEX(FourWeekly_Model!$D$2:$D$29,MATCH(H372,FourWeekly_Model!$B$2:$B$29,0)),0),IFERROR(INDEX(FourWeekly_Model!$D$2:$D$29,MATCH(H373,FourWeekly_Model!$B$2:$B$29,0)),0),IFERROR(INDEX(FourWeekly_Model!$D$2:$D$29,MATCH(H374,FourWeekly_Model!$B$2:$B$29,0)),0)),IF(VLOOKUP($A372,Calendar!$A$1:$R$1377,18,0)=4,SUM(IFERROR(INDEX(FourWeekly_Model!$D$2:$D$29,MATCH(H372,FourWeekly_Model!$B$2:$B$29,0)),0),IFERROR(INDEX(FourWeekly_Model!$D$2:$D$29,MATCH(H373,FourWeekly_Model!$B$2:$B$29,0)),0),IFERROR(INDEX(FourWeekly_Model!$D$2:$D$29,MATCH(H374,FourWeekly_Model!$B$2:$B$29,0)),0),IFERROR(INDEX(FourWeekly_Model!$D$2:$D$29,MATCH(H375,FourWeekly_Model!$B$2:$B$29,0)),0)),IF(VLOOKUP($A372,Calendar!$A$1:$R$1377,18,0)=5,SUM(IFERROR(INDEX(FourWeekly_Model!$D$2:$D$29,MATCH(H372,FourWeekly_Model!$B$2:$B$29,0)),0),IFERROR(INDEX(FourWeekly_Model!$D$2:$D$29,MATCH(H373,FourWeekly_Model!$B$2:$B$29,0)),0),IFERROR(INDEX(FourWeekly_Model!$D$2:$D$29,MATCH(H374,FourWeekly_Model!$B$2:$B$29,0)),0),IFERROR(INDEX(FourWeekly_Model!$D$2:$D$29,MATCH(H375,FourWeekly_Model!$B$2:$B$29,0)),0),IFERROR(INDEX(FourWeekly_Model!$D$2:$D$29,MATCH(H376,FourWeekly_Model!$B$2:$B$29,0)),0)),0))))))</f>
        <v>9.9642859800000011E-3</v>
      </c>
      <c r="N372" s="27">
        <f>SUM(I372:M372)</f>
        <v>4.3691660635235607E-2</v>
      </c>
      <c r="O372" s="28">
        <f>Population_Data!$B$8*N372</f>
        <v>1323857.3172476389</v>
      </c>
      <c r="P372" s="27">
        <f>IF(VLOOKUP($A372,Calendar!$A$1:$R$1377,18,0)=0,0,IF(VLOOKUP($A372,Calendar!$A$1:$R$1377,18,0)=1,IFERROR(INDEX(Pension_Model!$D$2:$D$29,MATCH(H372,Pension_Model!$B$2:$B$29,0)),0),IF(VLOOKUP($A372,Calendar!$A$1:$R$1377,18,0)=2,SUM(IFERROR(INDEX(Pension_Model!$D$2:$D$29,MATCH(H372,Pension_Model!$B$2:$B$29,0)),0),IFERROR(INDEX(Pension_Model!$D$2:$D$29,MATCH(H373,Pension_Model!$B$2:$B$29,0)),0)),IF(VLOOKUP($A372,Calendar!$A$1:$R$1377,18,0)=3,SUM(IFERROR(INDEX(Pension_Model!$D$2:$D$29,MATCH(H372,Pension_Model!$B$2:$B$29,0)),0),IFERROR(INDEX(Pension_Model!$D$2:$D$29,MATCH(H373,Pension_Model!$B$2:$B$29,0)),0),IFERROR(INDEX(Pension_Model!$D$2:$D$29,MATCH(H374,Pension_Model!$B$2:$B$29,0)),0)),IF(VLOOKUP($A372,Calendar!$A$1:$R$1377,18,0)=4,SUM(IFERROR(INDEX(Pension_Model!$D$2:$D$29,MATCH(H372,Pension_Model!$B$2:$B$29,0)),0),IFERROR(INDEX(Pension_Model!$D$2:$D$29,MATCH(H373,Pension_Model!$B$2:$B$29,0)),0),IFERROR(INDEX(Pension_Model!$D$2:$D$29,MATCH(H374,Pension_Model!$B$2:$B$29,0)),0),IFERROR(INDEX(Pension_Model!$D$2:$D$29,MATCH(H375,Pension_Model!$B$2:$B$29,0)),0)),IF(VLOOKUP($A372,Calendar!$A$1:$R$1377,18,0)=5,SUM(IFERROR(INDEX(Pension_Model!$D$2:$D$29,MATCH(H372,Pension_Model!$B$2:$B$29,0)),0),IFERROR(INDEX(Pension_Model!$D$2:$D$29,MATCH(H373,Pension_Model!$B$2:$B$29,0)),0),IFERROR(INDEX(Pension_Model!$D$2:$D$29,MATCH(H374,Pension_Model!$B$2:$B$29,0)),0),IFERROR(INDEX(Pension_Model!$D$2:$D$29,MATCH(H375,Pension_Model!$B$2:$B$29,0)),0),IFERROR(INDEX(Pension_Model!$D$2:$D$29,MATCH(H376,Pension_Model!$B$2:$B$29,0)),0)),0))))))</f>
        <v>0.05</v>
      </c>
      <c r="Q372" s="28">
        <f>Population_Data!$B$15*P372</f>
        <v>660600</v>
      </c>
      <c r="S372">
        <f t="shared" si="5"/>
        <v>1984457.3172476389</v>
      </c>
      <c r="U372" s="33">
        <f>S372/Population_Data!$B$19</f>
        <v>3.5950313718254329E-2</v>
      </c>
    </row>
    <row r="373" spans="1:21">
      <c r="A373" s="25">
        <f>Calendar!A373</f>
        <v>46606</v>
      </c>
      <c r="B373" t="str">
        <f>Calendar!L373</f>
        <v>No</v>
      </c>
      <c r="C373" t="str">
        <f>Calendar!O373</f>
        <v>No</v>
      </c>
      <c r="D373" t="str">
        <f>Calendar!P373</f>
        <v>No</v>
      </c>
      <c r="E373" t="str">
        <f>Calendar!Q373</f>
        <v>No</v>
      </c>
      <c r="F373" t="str">
        <f>Calendar!I373</f>
        <v>Saturday</v>
      </c>
      <c r="G373">
        <f>Calendar!S373</f>
        <v>0</v>
      </c>
      <c r="H373">
        <f>Calendar!T373</f>
        <v>14</v>
      </c>
      <c r="I373" s="27">
        <f>IF(VLOOKUP(A373,Calendar!$A$1:$R$1377,18,0)=0,0,IF(VLOOKUP(A373,Calendar!$A$1:$R$1377,18,0)=1,INDEX(Monthly_Pay_Model!$A$9:$D$40,MATCH(TEXT(A373,"dd"),Monthly_Pay_Model!$C$9:$C$39,0),4),IF(VLOOKUP(A373,Calendar!$A$1:$R$1377,18,0)=2,SUM(INDEX(Monthly_Pay_Model!$A$9:$D$40,MATCH(TEXT(A373,"dd"),Monthly_Pay_Model!$C$9:$C$39,0),4),INDEX(Monthly_Pay_Model!$A$9:$D$40,MATCH(TEXT(A374,"dd"),Monthly_Pay_Model!$C$9:$C$39,0),4)),IF(VLOOKUP(A373,Calendar!$A$1:$R$1377,18,0)=3,SUM(INDEX(Monthly_Pay_Model!$A$9:$D$40,MATCH(TEXT(A373,"dd"),Monthly_Pay_Model!$C$9:$C$39,0),4),INDEX(Monthly_Pay_Model!$A$9:$D$40,MATCH(TEXT(A374,"dd"),Monthly_Pay_Model!$C$9:$C$39,0),4),INDEX(Monthly_Pay_Model!$A$9:$D$40,MATCH(TEXT(A375,"dd"),Monthly_Pay_Model!$C$9:$C$39,0),4)),IF(VLOOKUP(A373,Calendar!$A$1:$R$1377,18,0)=4,SUM(INDEX(Monthly_Pay_Model!$A$9:$D$40,MATCH(TEXT(A373,"dd"),Monthly_Pay_Model!$C$9:$C$39,0),4),INDEX(Monthly_Pay_Model!$A$9:$D$40,MATCH(TEXT(A374,"dd"),Monthly_Pay_Model!$C$9:$C$39,0),4),INDEX(Monthly_Pay_Model!$A$9:$D$40,MATCH(TEXT(A375,"dd"),Monthly_Pay_Model!$C$9:$C$39,0),4),INDEX(Monthly_Pay_Model!$A$9:$D$40,MATCH(TEXT(A376,"dd"),Monthly_Pay_Model!$C$9:$C$39,0),4)),IF(VLOOKUP(A373,Calendar!$A$1:$R$1377,18,0)=5,SUM(INDEX(Monthly_Pay_Model!$A$9:$D$40,MATCH(TEXT(A373,"dd"),Monthly_Pay_Model!$C$9:$C$39,0),4),INDEX(Monthly_Pay_Model!$A$9:$D$40,MATCH(TEXT(A374,"dd"),Monthly_Pay_Model!$C$9:$C$39,0),4),INDEX(Monthly_Pay_Model!$A$9:$D$40,MATCH(TEXT(A375,"dd"),Monthly_Pay_Model!$C$9:$C$39,0),4),INDEX(Monthly_Pay_Model!$A$9:$D$40,MATCH(TEXT(A376,"dd"),Monthly_Pay_Model!$C$9:$C$39,0),4),INDEX(Monthly_Pay_Model!$A$9:$D$40,MATCH(TEXT(A377,"dd"),Monthly_Pay_Model!$C$9:$C$39,0),4)),))))))</f>
        <v>0</v>
      </c>
      <c r="J373" s="33">
        <f>IF(C373="Yes",Monthly_Pay_Model!$D$2,0)
+IF(Calendar!N373="Yes",Monthly_Pay_Model!$D$3,0)
+IF(D373="Yes",Monthly_Pay_Model!$D$4,0)
+IF(E373="Yes",Monthly_Pay_Model!$D$5,0)</f>
        <v>0</v>
      </c>
      <c r="K373" s="27">
        <f>IF(VLOOKUP($A373,Calendar!$A$1:$R$1377,18,0)=0,0,IF(VLOOKUP($A373,Calendar!$A$1:$R$1377,18,0)=1,IFERROR(INDEX(Weekly_Model!$D$2:$D$9,MATCH(F373,Weekly_Model!$A$2:$A$9,0)),0),IF(VLOOKUP($A373,Calendar!$A$1:$R$1377,18,0)=2,SUM(IFERROR(INDEX(Weekly_Model!$D$2:$D$9,MATCH(F373,Weekly_Model!$A$2:$A$9,0)),0),IFERROR(INDEX(Weekly_Model!$D$2:$D$9,MATCH(F374,Weekly_Model!$A$2:$A$9,0)),0)),IF(VLOOKUP($A373,Calendar!$A$1:$R$1377,18,0)=3,SUM(IFERROR(INDEX(Weekly_Model!$D$2:$D$9,MATCH(F373,Weekly_Model!$A$2:$A$9,0)),0),IFERROR(INDEX(Weekly_Model!$D$2:$D$9,MATCH(F374,Weekly_Model!$A$2:$A$9,0)),0),IFERROR(INDEX(Weekly_Model!$D$2:$D$9,MATCH(F375,Weekly_Model!$A$2:$A$9,0)),0)),IF(VLOOKUP($A373,Calendar!$A$1:$R$1377,18,0)=4,SUM(IFERROR(INDEX(Weekly_Model!$D$2:$D$9,MATCH(F373,Weekly_Model!$A$2:$A$9,0)),0),IFERROR(INDEX(Weekly_Model!$D$2:$D$9,MATCH(F374,Weekly_Model!$A$2:$A$9,0)),0),IFERROR(INDEX(Weekly_Model!$D$2:$D$9,MATCH(F375,Weekly_Model!$A$2:$A$9,0)),0),IFERROR(INDEX(Weekly_Model!$D$2:$D$9,MATCH(F376,Weekly_Model!$A$2:$A$9,0)),0)),IF(VLOOKUP($A373,Calendar!$A$1:$R$1377,18,0)=5,SUM(IFERROR(INDEX(Weekly_Model!$D$2:$D$9,MATCH(F373,Weekly_Model!$A$2:$A$9,0)),0),IFERROR(INDEX(Weekly_Model!$D$2:$D$9,MATCH(F374,Weekly_Model!$A$2:$A$9,0)),0),IFERROR(INDEX(Weekly_Model!$D$2:$D$9,MATCH(F375,Weekly_Model!$A$2:$A$9,0)),0),IFERROR(INDEX(Weekly_Model!$D$2:$D$9,MATCH(F376,Weekly_Model!$A$2:$A$9,0)),0),IFERROR(INDEX(Weekly_Model!$D$2:$D$9,MATCH(F377,Weekly_Model!$A$2:$A$9,0)),0)),0))))))</f>
        <v>0</v>
      </c>
      <c r="L373" s="27">
        <f>IF(VLOOKUP($A373,Calendar!$A$1:$R$1377,18,0)=0,0,IF(VLOOKUP($A373,Calendar!$A$1:$R$1377,18,0)=1,IFERROR(INDEX(Fortnightly_Model!$D$2:$D$15,MATCH(G373,Fortnightly_Model!$B$2:$B$15,0)),0),IF(VLOOKUP($A373,Calendar!$A$1:$R$1377,18,0)=2,SUM(IFERROR(INDEX(Fortnightly_Model!$D$2:$D$15,MATCH(G373,Fortnightly_Model!$B$2:$B$15,0)),0),IFERROR(INDEX(Fortnightly_Model!$D$2:$D$15,MATCH(G374,Fortnightly_Model!$B$2:$B$15,0)),0)),IF(VLOOKUP($A373,Calendar!$A$1:$R$1377,18,0)=3,SUM(IFERROR(INDEX(Fortnightly_Model!$D$2:$D$15,MATCH(G373,Fortnightly_Model!$B$2:$B$15,0)),0),IFERROR(INDEX(Fortnightly_Model!$D$2:$D$15,MATCH(G374,Fortnightly_Model!$B$2:$B$15,0)),0),IFERROR(INDEX(Fortnightly_Model!$D$2:$D$15,MATCH(G375,Fortnightly_Model!$B$2:$B$15,0)),0)),IF(VLOOKUP($A373,Calendar!$A$1:$R$1377,18,0)=4,SUM(IFERROR(INDEX(Fortnightly_Model!$D$2:$D$15,MATCH(G373,Fortnightly_Model!$B$2:$B$15,0)),0),IFERROR(INDEX(Fortnightly_Model!$D$2:$D$15,MATCH(G374,Fortnightly_Model!$B$2:$B$15,0)),0),IFERROR(INDEX(Fortnightly_Model!$D$2:$D$15,MATCH(G375,Fortnightly_Model!$B$2:$B$15,0)),0),IFERROR(INDEX(Fortnightly_Model!$D$2:$D$15,MATCH(G376,Fortnightly_Model!$B$2:$B$15,0)),0)),IF(VLOOKUP($A373,Calendar!$A$1:$R$1377,18,0)=5,SUM(IFERROR(INDEX(Fortnightly_Model!$D$2:$D$15,MATCH(G373,Fortnightly_Model!$B$2:$B$15,0)),0),IFERROR(INDEX(Fortnightly_Model!$D$2:$D$15,MATCH(G374,Fortnightly_Model!$B$2:$B$15,0)),0),IFERROR(INDEX(Fortnightly_Model!$D$2:$D$15,MATCH(G375,Fortnightly_Model!$B$2:$B$15,0)),0),IFERROR(INDEX(Fortnightly_Model!$D$2:$D$15,MATCH(G376,Fortnightly_Model!$B$2:$B$15,0)),0),IFERROR(INDEX(Fortnightly_Model!$D$2:$D$15,MATCH(G377,Fortnightly_Model!$B$2:$B$15,0)),0)),0))))))</f>
        <v>0</v>
      </c>
      <c r="M373" s="27">
        <f>IF(VLOOKUP($A373,Calendar!$A$1:$R$1377,18,0)=0,0,IF(VLOOKUP($A373,Calendar!$A$1:$R$1377,18,0)=1,IFERROR(INDEX(FourWeekly_Model!$D$2:$D$29,MATCH(H373,FourWeekly_Model!$B$2:$B$29,0)),0),IF(VLOOKUP($A373,Calendar!$A$1:$R$1377,18,0)=2,SUM(IFERROR(INDEX(FourWeekly_Model!$D$2:$D$29,MATCH(H373,FourWeekly_Model!$B$2:$B$29,0)),0),IFERROR(INDEX(FourWeekly_Model!$D$2:$D$29,MATCH(H374,FourWeekly_Model!$B$2:$B$29,0)),0)),IF(VLOOKUP($A373,Calendar!$A$1:$R$1377,18,0)=3,SUM(IFERROR(INDEX(FourWeekly_Model!$D$2:$D$29,MATCH(H373,FourWeekly_Model!$B$2:$B$29,0)),0),IFERROR(INDEX(FourWeekly_Model!$D$2:$D$29,MATCH(H374,FourWeekly_Model!$B$2:$B$29,0)),0),IFERROR(INDEX(FourWeekly_Model!$D$2:$D$29,MATCH(H375,FourWeekly_Model!$B$2:$B$29,0)),0)),IF(VLOOKUP($A373,Calendar!$A$1:$R$1377,18,0)=4,SUM(IFERROR(INDEX(FourWeekly_Model!$D$2:$D$29,MATCH(H373,FourWeekly_Model!$B$2:$B$29,0)),0),IFERROR(INDEX(FourWeekly_Model!$D$2:$D$29,MATCH(H374,FourWeekly_Model!$B$2:$B$29,0)),0),IFERROR(INDEX(FourWeekly_Model!$D$2:$D$29,MATCH(H375,FourWeekly_Model!$B$2:$B$29,0)),0),IFERROR(INDEX(FourWeekly_Model!$D$2:$D$29,MATCH(H376,FourWeekly_Model!$B$2:$B$29,0)),0)),IF(VLOOKUP($A373,Calendar!$A$1:$R$1377,18,0)=5,SUM(IFERROR(INDEX(FourWeekly_Model!$D$2:$D$29,MATCH(H373,FourWeekly_Model!$B$2:$B$29,0)),0),IFERROR(INDEX(FourWeekly_Model!$D$2:$D$29,MATCH(H374,FourWeekly_Model!$B$2:$B$29,0)),0),IFERROR(INDEX(FourWeekly_Model!$D$2:$D$29,MATCH(H375,FourWeekly_Model!$B$2:$B$29,0)),0),IFERROR(INDEX(FourWeekly_Model!$D$2:$D$29,MATCH(H376,FourWeekly_Model!$B$2:$B$29,0)),0),IFERROR(INDEX(FourWeekly_Model!$D$2:$D$29,MATCH(H377,FourWeekly_Model!$B$2:$B$29,0)),0)),0))))))</f>
        <v>0</v>
      </c>
      <c r="N373" s="27">
        <f>SUM(I373:M373)</f>
        <v>0</v>
      </c>
      <c r="O373" s="28">
        <f>Population_Data!$B$8*N373</f>
        <v>0</v>
      </c>
      <c r="P373" s="27">
        <f>IF(VLOOKUP($A373,Calendar!$A$1:$R$1377,18,0)=0,0,IF(VLOOKUP($A373,Calendar!$A$1:$R$1377,18,0)=1,IFERROR(INDEX(Pension_Model!$D$2:$D$29,MATCH(H373,Pension_Model!$B$2:$B$29,0)),0),IF(VLOOKUP($A373,Calendar!$A$1:$R$1377,18,0)=2,SUM(IFERROR(INDEX(Pension_Model!$D$2:$D$29,MATCH(H373,Pension_Model!$B$2:$B$29,0)),0),IFERROR(INDEX(Pension_Model!$D$2:$D$29,MATCH(H374,Pension_Model!$B$2:$B$29,0)),0)),IF(VLOOKUP($A373,Calendar!$A$1:$R$1377,18,0)=3,SUM(IFERROR(INDEX(Pension_Model!$D$2:$D$29,MATCH(H373,Pension_Model!$B$2:$B$29,0)),0),IFERROR(INDEX(Pension_Model!$D$2:$D$29,MATCH(H374,Pension_Model!$B$2:$B$29,0)),0),IFERROR(INDEX(Pension_Model!$D$2:$D$29,MATCH(H375,Pension_Model!$B$2:$B$29,0)),0)),IF(VLOOKUP($A373,Calendar!$A$1:$R$1377,18,0)=4,SUM(IFERROR(INDEX(Pension_Model!$D$2:$D$29,MATCH(H373,Pension_Model!$B$2:$B$29,0)),0),IFERROR(INDEX(Pension_Model!$D$2:$D$29,MATCH(H374,Pension_Model!$B$2:$B$29,0)),0),IFERROR(INDEX(Pension_Model!$D$2:$D$29,MATCH(H375,Pension_Model!$B$2:$B$29,0)),0),IFERROR(INDEX(Pension_Model!$D$2:$D$29,MATCH(H376,Pension_Model!$B$2:$B$29,0)),0)),IF(VLOOKUP($A373,Calendar!$A$1:$R$1377,18,0)=5,SUM(IFERROR(INDEX(Pension_Model!$D$2:$D$29,MATCH(H373,Pension_Model!$B$2:$B$29,0)),0),IFERROR(INDEX(Pension_Model!$D$2:$D$29,MATCH(H374,Pension_Model!$B$2:$B$29,0)),0),IFERROR(INDEX(Pension_Model!$D$2:$D$29,MATCH(H375,Pension_Model!$B$2:$B$29,0)),0),IFERROR(INDEX(Pension_Model!$D$2:$D$29,MATCH(H376,Pension_Model!$B$2:$B$29,0)),0),IFERROR(INDEX(Pension_Model!$D$2:$D$29,MATCH(H377,Pension_Model!$B$2:$B$29,0)),0)),0))))))</f>
        <v>0</v>
      </c>
      <c r="Q373" s="28">
        <f>Population_Data!$B$15*P373</f>
        <v>0</v>
      </c>
      <c r="S373">
        <f t="shared" si="5"/>
        <v>0</v>
      </c>
      <c r="U373" s="33">
        <f>S373/Population_Data!$B$19</f>
        <v>0</v>
      </c>
    </row>
    <row r="374" spans="1:21">
      <c r="A374" s="25">
        <f>Calendar!A374</f>
        <v>46607</v>
      </c>
      <c r="B374" t="str">
        <f>Calendar!L374</f>
        <v>No</v>
      </c>
      <c r="C374" t="str">
        <f>Calendar!O374</f>
        <v>No</v>
      </c>
      <c r="D374" t="str">
        <f>Calendar!P374</f>
        <v>No</v>
      </c>
      <c r="E374" t="str">
        <f>Calendar!Q374</f>
        <v>No</v>
      </c>
      <c r="F374" t="str">
        <f>Calendar!I374</f>
        <v>Sunday</v>
      </c>
      <c r="G374">
        <f>Calendar!S374</f>
        <v>1</v>
      </c>
      <c r="H374">
        <f>Calendar!T374</f>
        <v>15</v>
      </c>
      <c r="I374" s="27">
        <f>IF(VLOOKUP(A374,Calendar!$A$1:$R$1377,18,0)=0,0,IF(VLOOKUP(A374,Calendar!$A$1:$R$1377,18,0)=1,INDEX(Monthly_Pay_Model!$A$9:$D$40,MATCH(TEXT(A374,"dd"),Monthly_Pay_Model!$C$9:$C$39,0),4),IF(VLOOKUP(A374,Calendar!$A$1:$R$1377,18,0)=2,SUM(INDEX(Monthly_Pay_Model!$A$9:$D$40,MATCH(TEXT(A374,"dd"),Monthly_Pay_Model!$C$9:$C$39,0),4),INDEX(Monthly_Pay_Model!$A$9:$D$40,MATCH(TEXT(A375,"dd"),Monthly_Pay_Model!$C$9:$C$39,0),4)),IF(VLOOKUP(A374,Calendar!$A$1:$R$1377,18,0)=3,SUM(INDEX(Monthly_Pay_Model!$A$9:$D$40,MATCH(TEXT(A374,"dd"),Monthly_Pay_Model!$C$9:$C$39,0),4),INDEX(Monthly_Pay_Model!$A$9:$D$40,MATCH(TEXT(A375,"dd"),Monthly_Pay_Model!$C$9:$C$39,0),4),INDEX(Monthly_Pay_Model!$A$9:$D$40,MATCH(TEXT(A376,"dd"),Monthly_Pay_Model!$C$9:$C$39,0),4)),IF(VLOOKUP(A374,Calendar!$A$1:$R$1377,18,0)=4,SUM(INDEX(Monthly_Pay_Model!$A$9:$D$40,MATCH(TEXT(A374,"dd"),Monthly_Pay_Model!$C$9:$C$39,0),4),INDEX(Monthly_Pay_Model!$A$9:$D$40,MATCH(TEXT(A375,"dd"),Monthly_Pay_Model!$C$9:$C$39,0),4),INDEX(Monthly_Pay_Model!$A$9:$D$40,MATCH(TEXT(A376,"dd"),Monthly_Pay_Model!$C$9:$C$39,0),4),INDEX(Monthly_Pay_Model!$A$9:$D$40,MATCH(TEXT(A377,"dd"),Monthly_Pay_Model!$C$9:$C$39,0),4)),IF(VLOOKUP(A374,Calendar!$A$1:$R$1377,18,0)=5,SUM(INDEX(Monthly_Pay_Model!$A$9:$D$40,MATCH(TEXT(A374,"dd"),Monthly_Pay_Model!$C$9:$C$39,0),4),INDEX(Monthly_Pay_Model!$A$9:$D$40,MATCH(TEXT(A375,"dd"),Monthly_Pay_Model!$C$9:$C$39,0),4),INDEX(Monthly_Pay_Model!$A$9:$D$40,MATCH(TEXT(A376,"dd"),Monthly_Pay_Model!$C$9:$C$39,0),4),INDEX(Monthly_Pay_Model!$A$9:$D$40,MATCH(TEXT(A377,"dd"),Monthly_Pay_Model!$C$9:$C$39,0),4),INDEX(Monthly_Pay_Model!$A$9:$D$40,MATCH(TEXT(A378,"dd"),Monthly_Pay_Model!$C$9:$C$39,0),4)),))))))</f>
        <v>0</v>
      </c>
      <c r="J374" s="33">
        <f>IF(C374="Yes",Monthly_Pay_Model!$D$2,0)
+IF(Calendar!N374="Yes",Monthly_Pay_Model!$D$3,0)
+IF(D374="Yes",Monthly_Pay_Model!$D$4,0)
+IF(E374="Yes",Monthly_Pay_Model!$D$5,0)</f>
        <v>0</v>
      </c>
      <c r="K374" s="27">
        <f>IF(VLOOKUP($A374,Calendar!$A$1:$R$1377,18,0)=0,0,IF(VLOOKUP($A374,Calendar!$A$1:$R$1377,18,0)=1,IFERROR(INDEX(Weekly_Model!$D$2:$D$9,MATCH(F374,Weekly_Model!$A$2:$A$9,0)),0),IF(VLOOKUP($A374,Calendar!$A$1:$R$1377,18,0)=2,SUM(IFERROR(INDEX(Weekly_Model!$D$2:$D$9,MATCH(F374,Weekly_Model!$A$2:$A$9,0)),0),IFERROR(INDEX(Weekly_Model!$D$2:$D$9,MATCH(F375,Weekly_Model!$A$2:$A$9,0)),0)),IF(VLOOKUP($A374,Calendar!$A$1:$R$1377,18,0)=3,SUM(IFERROR(INDEX(Weekly_Model!$D$2:$D$9,MATCH(F374,Weekly_Model!$A$2:$A$9,0)),0),IFERROR(INDEX(Weekly_Model!$D$2:$D$9,MATCH(F375,Weekly_Model!$A$2:$A$9,0)),0),IFERROR(INDEX(Weekly_Model!$D$2:$D$9,MATCH(F376,Weekly_Model!$A$2:$A$9,0)),0)),IF(VLOOKUP($A374,Calendar!$A$1:$R$1377,18,0)=4,SUM(IFERROR(INDEX(Weekly_Model!$D$2:$D$9,MATCH(F374,Weekly_Model!$A$2:$A$9,0)),0),IFERROR(INDEX(Weekly_Model!$D$2:$D$9,MATCH(F375,Weekly_Model!$A$2:$A$9,0)),0),IFERROR(INDEX(Weekly_Model!$D$2:$D$9,MATCH(F376,Weekly_Model!$A$2:$A$9,0)),0),IFERROR(INDEX(Weekly_Model!$D$2:$D$9,MATCH(F377,Weekly_Model!$A$2:$A$9,0)),0)),IF(VLOOKUP($A374,Calendar!$A$1:$R$1377,18,0)=5,SUM(IFERROR(INDEX(Weekly_Model!$D$2:$D$9,MATCH(F374,Weekly_Model!$A$2:$A$9,0)),0),IFERROR(INDEX(Weekly_Model!$D$2:$D$9,MATCH(F375,Weekly_Model!$A$2:$A$9,0)),0),IFERROR(INDEX(Weekly_Model!$D$2:$D$9,MATCH(F376,Weekly_Model!$A$2:$A$9,0)),0),IFERROR(INDEX(Weekly_Model!$D$2:$D$9,MATCH(F377,Weekly_Model!$A$2:$A$9,0)),0),IFERROR(INDEX(Weekly_Model!$D$2:$D$9,MATCH(F378,Weekly_Model!$A$2:$A$9,0)),0)),0))))))</f>
        <v>0</v>
      </c>
      <c r="L374" s="27">
        <f>IF(VLOOKUP($A374,Calendar!$A$1:$R$1377,18,0)=0,0,IF(VLOOKUP($A374,Calendar!$A$1:$R$1377,18,0)=1,IFERROR(INDEX(Fortnightly_Model!$D$2:$D$15,MATCH(G374,Fortnightly_Model!$B$2:$B$15,0)),0),IF(VLOOKUP($A374,Calendar!$A$1:$R$1377,18,0)=2,SUM(IFERROR(INDEX(Fortnightly_Model!$D$2:$D$15,MATCH(G374,Fortnightly_Model!$B$2:$B$15,0)),0),IFERROR(INDEX(Fortnightly_Model!$D$2:$D$15,MATCH(G375,Fortnightly_Model!$B$2:$B$15,0)),0)),IF(VLOOKUP($A374,Calendar!$A$1:$R$1377,18,0)=3,SUM(IFERROR(INDEX(Fortnightly_Model!$D$2:$D$15,MATCH(G374,Fortnightly_Model!$B$2:$B$15,0)),0),IFERROR(INDEX(Fortnightly_Model!$D$2:$D$15,MATCH(G375,Fortnightly_Model!$B$2:$B$15,0)),0),IFERROR(INDEX(Fortnightly_Model!$D$2:$D$15,MATCH(G376,Fortnightly_Model!$B$2:$B$15,0)),0)),IF(VLOOKUP($A374,Calendar!$A$1:$R$1377,18,0)=4,SUM(IFERROR(INDEX(Fortnightly_Model!$D$2:$D$15,MATCH(G374,Fortnightly_Model!$B$2:$B$15,0)),0),IFERROR(INDEX(Fortnightly_Model!$D$2:$D$15,MATCH(G375,Fortnightly_Model!$B$2:$B$15,0)),0),IFERROR(INDEX(Fortnightly_Model!$D$2:$D$15,MATCH(G376,Fortnightly_Model!$B$2:$B$15,0)),0),IFERROR(INDEX(Fortnightly_Model!$D$2:$D$15,MATCH(G377,Fortnightly_Model!$B$2:$B$15,0)),0)),IF(VLOOKUP($A374,Calendar!$A$1:$R$1377,18,0)=5,SUM(IFERROR(INDEX(Fortnightly_Model!$D$2:$D$15,MATCH(G374,Fortnightly_Model!$B$2:$B$15,0)),0),IFERROR(INDEX(Fortnightly_Model!$D$2:$D$15,MATCH(G375,Fortnightly_Model!$B$2:$B$15,0)),0),IFERROR(INDEX(Fortnightly_Model!$D$2:$D$15,MATCH(G376,Fortnightly_Model!$B$2:$B$15,0)),0),IFERROR(INDEX(Fortnightly_Model!$D$2:$D$15,MATCH(G377,Fortnightly_Model!$B$2:$B$15,0)),0),IFERROR(INDEX(Fortnightly_Model!$D$2:$D$15,MATCH(G378,Fortnightly_Model!$B$2:$B$15,0)),0)),0))))))</f>
        <v>0</v>
      </c>
      <c r="M374" s="27">
        <f>IF(VLOOKUP($A374,Calendar!$A$1:$R$1377,18,0)=0,0,IF(VLOOKUP($A374,Calendar!$A$1:$R$1377,18,0)=1,IFERROR(INDEX(FourWeekly_Model!$D$2:$D$29,MATCH(H374,FourWeekly_Model!$B$2:$B$29,0)),0),IF(VLOOKUP($A374,Calendar!$A$1:$R$1377,18,0)=2,SUM(IFERROR(INDEX(FourWeekly_Model!$D$2:$D$29,MATCH(H374,FourWeekly_Model!$B$2:$B$29,0)),0),IFERROR(INDEX(FourWeekly_Model!$D$2:$D$29,MATCH(H375,FourWeekly_Model!$B$2:$B$29,0)),0)),IF(VLOOKUP($A374,Calendar!$A$1:$R$1377,18,0)=3,SUM(IFERROR(INDEX(FourWeekly_Model!$D$2:$D$29,MATCH(H374,FourWeekly_Model!$B$2:$B$29,0)),0),IFERROR(INDEX(FourWeekly_Model!$D$2:$D$29,MATCH(H375,FourWeekly_Model!$B$2:$B$29,0)),0),IFERROR(INDEX(FourWeekly_Model!$D$2:$D$29,MATCH(H376,FourWeekly_Model!$B$2:$B$29,0)),0)),IF(VLOOKUP($A374,Calendar!$A$1:$R$1377,18,0)=4,SUM(IFERROR(INDEX(FourWeekly_Model!$D$2:$D$29,MATCH(H374,FourWeekly_Model!$B$2:$B$29,0)),0),IFERROR(INDEX(FourWeekly_Model!$D$2:$D$29,MATCH(H375,FourWeekly_Model!$B$2:$B$29,0)),0),IFERROR(INDEX(FourWeekly_Model!$D$2:$D$29,MATCH(H376,FourWeekly_Model!$B$2:$B$29,0)),0),IFERROR(INDEX(FourWeekly_Model!$D$2:$D$29,MATCH(H377,FourWeekly_Model!$B$2:$B$29,0)),0)),IF(VLOOKUP($A374,Calendar!$A$1:$R$1377,18,0)=5,SUM(IFERROR(INDEX(FourWeekly_Model!$D$2:$D$29,MATCH(H374,FourWeekly_Model!$B$2:$B$29,0)),0),IFERROR(INDEX(FourWeekly_Model!$D$2:$D$29,MATCH(H375,FourWeekly_Model!$B$2:$B$29,0)),0),IFERROR(INDEX(FourWeekly_Model!$D$2:$D$29,MATCH(H376,FourWeekly_Model!$B$2:$B$29,0)),0),IFERROR(INDEX(FourWeekly_Model!$D$2:$D$29,MATCH(H377,FourWeekly_Model!$B$2:$B$29,0)),0),IFERROR(INDEX(FourWeekly_Model!$D$2:$D$29,MATCH(H378,FourWeekly_Model!$B$2:$B$29,0)),0)),0))))))</f>
        <v>0</v>
      </c>
      <c r="N374" s="27">
        <f>SUM(I374:M374)</f>
        <v>0</v>
      </c>
      <c r="O374" s="28">
        <f>Population_Data!$B$8*N374</f>
        <v>0</v>
      </c>
      <c r="P374" s="27">
        <f>IF(VLOOKUP($A374,Calendar!$A$1:$R$1377,18,0)=0,0,IF(VLOOKUP($A374,Calendar!$A$1:$R$1377,18,0)=1,IFERROR(INDEX(Pension_Model!$D$2:$D$29,MATCH(H374,Pension_Model!$B$2:$B$29,0)),0),IF(VLOOKUP($A374,Calendar!$A$1:$R$1377,18,0)=2,SUM(IFERROR(INDEX(Pension_Model!$D$2:$D$29,MATCH(H374,Pension_Model!$B$2:$B$29,0)),0),IFERROR(INDEX(Pension_Model!$D$2:$D$29,MATCH(H375,Pension_Model!$B$2:$B$29,0)),0)),IF(VLOOKUP($A374,Calendar!$A$1:$R$1377,18,0)=3,SUM(IFERROR(INDEX(Pension_Model!$D$2:$D$29,MATCH(H374,Pension_Model!$B$2:$B$29,0)),0),IFERROR(INDEX(Pension_Model!$D$2:$D$29,MATCH(H375,Pension_Model!$B$2:$B$29,0)),0),IFERROR(INDEX(Pension_Model!$D$2:$D$29,MATCH(H376,Pension_Model!$B$2:$B$29,0)),0)),IF(VLOOKUP($A374,Calendar!$A$1:$R$1377,18,0)=4,SUM(IFERROR(INDEX(Pension_Model!$D$2:$D$29,MATCH(H374,Pension_Model!$B$2:$B$29,0)),0),IFERROR(INDEX(Pension_Model!$D$2:$D$29,MATCH(H375,Pension_Model!$B$2:$B$29,0)),0),IFERROR(INDEX(Pension_Model!$D$2:$D$29,MATCH(H376,Pension_Model!$B$2:$B$29,0)),0),IFERROR(INDEX(Pension_Model!$D$2:$D$29,MATCH(H377,Pension_Model!$B$2:$B$29,0)),0)),IF(VLOOKUP($A374,Calendar!$A$1:$R$1377,18,0)=5,SUM(IFERROR(INDEX(Pension_Model!$D$2:$D$29,MATCH(H374,Pension_Model!$B$2:$B$29,0)),0),IFERROR(INDEX(Pension_Model!$D$2:$D$29,MATCH(H375,Pension_Model!$B$2:$B$29,0)),0),IFERROR(INDEX(Pension_Model!$D$2:$D$29,MATCH(H376,Pension_Model!$B$2:$B$29,0)),0),IFERROR(INDEX(Pension_Model!$D$2:$D$29,MATCH(H377,Pension_Model!$B$2:$B$29,0)),0),IFERROR(INDEX(Pension_Model!$D$2:$D$29,MATCH(H378,Pension_Model!$B$2:$B$29,0)),0)),0))))))</f>
        <v>0</v>
      </c>
      <c r="Q374" s="28">
        <f>Population_Data!$B$15*P374</f>
        <v>0</v>
      </c>
      <c r="S374">
        <f t="shared" si="5"/>
        <v>0</v>
      </c>
      <c r="U374" s="33">
        <f>S374/Population_Data!$B$19</f>
        <v>0</v>
      </c>
    </row>
    <row r="375" spans="1:21">
      <c r="A375" s="25">
        <f>Calendar!A375</f>
        <v>46608</v>
      </c>
      <c r="B375" t="str">
        <f>Calendar!L375</f>
        <v>Yes</v>
      </c>
      <c r="C375" t="str">
        <f>Calendar!O375</f>
        <v>No</v>
      </c>
      <c r="D375" t="str">
        <f>Calendar!P375</f>
        <v>No</v>
      </c>
      <c r="E375" t="str">
        <f>Calendar!Q375</f>
        <v>No</v>
      </c>
      <c r="F375" t="str">
        <f>Calendar!I375</f>
        <v>Monday</v>
      </c>
      <c r="G375">
        <f>Calendar!S375</f>
        <v>2</v>
      </c>
      <c r="H375">
        <f>Calendar!T375</f>
        <v>16</v>
      </c>
      <c r="I375" s="27">
        <f>IF(VLOOKUP(A375,Calendar!$A$1:$R$1377,18,0)=0,0,IF(VLOOKUP(A375,Calendar!$A$1:$R$1377,18,0)=1,INDEX(Monthly_Pay_Model!$A$9:$D$40,MATCH(TEXT(A375,"dd"),Monthly_Pay_Model!$C$9:$C$39,0),4),IF(VLOOKUP(A375,Calendar!$A$1:$R$1377,18,0)=2,SUM(INDEX(Monthly_Pay_Model!$A$9:$D$40,MATCH(TEXT(A375,"dd"),Monthly_Pay_Model!$C$9:$C$39,0),4),INDEX(Monthly_Pay_Model!$A$9:$D$40,MATCH(TEXT(A376,"dd"),Monthly_Pay_Model!$C$9:$C$39,0),4)),IF(VLOOKUP(A375,Calendar!$A$1:$R$1377,18,0)=3,SUM(INDEX(Monthly_Pay_Model!$A$9:$D$40,MATCH(TEXT(A375,"dd"),Monthly_Pay_Model!$C$9:$C$39,0),4),INDEX(Monthly_Pay_Model!$A$9:$D$40,MATCH(TEXT(A376,"dd"),Monthly_Pay_Model!$C$9:$C$39,0),4),INDEX(Monthly_Pay_Model!$A$9:$D$40,MATCH(TEXT(A377,"dd"),Monthly_Pay_Model!$C$9:$C$39,0),4)),IF(VLOOKUP(A375,Calendar!$A$1:$R$1377,18,0)=4,SUM(INDEX(Monthly_Pay_Model!$A$9:$D$40,MATCH(TEXT(A375,"dd"),Monthly_Pay_Model!$C$9:$C$39,0),4),INDEX(Monthly_Pay_Model!$A$9:$D$40,MATCH(TEXT(A376,"dd"),Monthly_Pay_Model!$C$9:$C$39,0),4),INDEX(Monthly_Pay_Model!$A$9:$D$40,MATCH(TEXT(A377,"dd"),Monthly_Pay_Model!$C$9:$C$39,0),4),INDEX(Monthly_Pay_Model!$A$9:$D$40,MATCH(TEXT(A378,"dd"),Monthly_Pay_Model!$C$9:$C$39,0),4)),IF(VLOOKUP(A375,Calendar!$A$1:$R$1377,18,0)=5,SUM(INDEX(Monthly_Pay_Model!$A$9:$D$40,MATCH(TEXT(A375,"dd"),Monthly_Pay_Model!$C$9:$C$39,0),4),INDEX(Monthly_Pay_Model!$A$9:$D$40,MATCH(TEXT(A376,"dd"),Monthly_Pay_Model!$C$9:$C$39,0),4),INDEX(Monthly_Pay_Model!$A$9:$D$40,MATCH(TEXT(A377,"dd"),Monthly_Pay_Model!$C$9:$C$39,0),4),INDEX(Monthly_Pay_Model!$A$9:$D$40,MATCH(TEXT(A378,"dd"),Monthly_Pay_Model!$C$9:$C$39,0),4),INDEX(Monthly_Pay_Model!$A$9:$D$40,MATCH(TEXT(A379,"dd"),Monthly_Pay_Model!$C$9:$C$39,0),4)),))))))</f>
        <v>8.1256544502617792E-4</v>
      </c>
      <c r="J375" s="33">
        <f>IF(C375="Yes",Monthly_Pay_Model!$D$2,0)
+IF(Calendar!N375="Yes",Monthly_Pay_Model!$D$3,0)
+IF(D375="Yes",Monthly_Pay_Model!$D$4,0)
+IF(E375="Yes",Monthly_Pay_Model!$D$5,0)</f>
        <v>0</v>
      </c>
      <c r="K375" s="27">
        <f>IF(VLOOKUP($A375,Calendar!$A$1:$R$1377,18,0)=0,0,IF(VLOOKUP($A375,Calendar!$A$1:$R$1377,18,0)=1,IFERROR(INDEX(Weekly_Model!$D$2:$D$9,MATCH(F375,Weekly_Model!$A$2:$A$9,0)),0),IF(VLOOKUP($A375,Calendar!$A$1:$R$1377,18,0)=2,SUM(IFERROR(INDEX(Weekly_Model!$D$2:$D$9,MATCH(F375,Weekly_Model!$A$2:$A$9,0)),0),IFERROR(INDEX(Weekly_Model!$D$2:$D$9,MATCH(F376,Weekly_Model!$A$2:$A$9,0)),0)),IF(VLOOKUP($A375,Calendar!$A$1:$R$1377,18,0)=3,SUM(IFERROR(INDEX(Weekly_Model!$D$2:$D$9,MATCH(F375,Weekly_Model!$A$2:$A$9,0)),0),IFERROR(INDEX(Weekly_Model!$D$2:$D$9,MATCH(F376,Weekly_Model!$A$2:$A$9,0)),0),IFERROR(INDEX(Weekly_Model!$D$2:$D$9,MATCH(F377,Weekly_Model!$A$2:$A$9,0)),0)),IF(VLOOKUP($A375,Calendar!$A$1:$R$1377,18,0)=4,SUM(IFERROR(INDEX(Weekly_Model!$D$2:$D$9,MATCH(F375,Weekly_Model!$A$2:$A$9,0)),0),IFERROR(INDEX(Weekly_Model!$D$2:$D$9,MATCH(F376,Weekly_Model!$A$2:$A$9,0)),0),IFERROR(INDEX(Weekly_Model!$D$2:$D$9,MATCH(F377,Weekly_Model!$A$2:$A$9,0)),0),IFERROR(INDEX(Weekly_Model!$D$2:$D$9,MATCH(F378,Weekly_Model!$A$2:$A$9,0)),0)),IF(VLOOKUP($A375,Calendar!$A$1:$R$1377,18,0)=5,SUM(IFERROR(INDEX(Weekly_Model!$D$2:$D$9,MATCH(F375,Weekly_Model!$A$2:$A$9,0)),0),IFERROR(INDEX(Weekly_Model!$D$2:$D$9,MATCH(F376,Weekly_Model!$A$2:$A$9,0)),0),IFERROR(INDEX(Weekly_Model!$D$2:$D$9,MATCH(F377,Weekly_Model!$A$2:$A$9,0)),0),IFERROR(INDEX(Weekly_Model!$D$2:$D$9,MATCH(F378,Weekly_Model!$A$2:$A$9,0)),0),IFERROR(INDEX(Weekly_Model!$D$2:$D$9,MATCH(F379,Weekly_Model!$A$2:$A$9,0)),0)),0))))))</f>
        <v>2.3200000000000002E-2</v>
      </c>
      <c r="L375" s="27">
        <f>IF(VLOOKUP($A375,Calendar!$A$1:$R$1377,18,0)=0,0,IF(VLOOKUP($A375,Calendar!$A$1:$R$1377,18,0)=1,IFERROR(INDEX(Fortnightly_Model!$D$2:$D$15,MATCH(G375,Fortnightly_Model!$B$2:$B$15,0)),0),IF(VLOOKUP($A375,Calendar!$A$1:$R$1377,18,0)=2,SUM(IFERROR(INDEX(Fortnightly_Model!$D$2:$D$15,MATCH(G375,Fortnightly_Model!$B$2:$B$15,0)),0),IFERROR(INDEX(Fortnightly_Model!$D$2:$D$15,MATCH(G376,Fortnightly_Model!$B$2:$B$15,0)),0)),IF(VLOOKUP($A375,Calendar!$A$1:$R$1377,18,0)=3,SUM(IFERROR(INDEX(Fortnightly_Model!$D$2:$D$15,MATCH(G375,Fortnightly_Model!$B$2:$B$15,0)),0),IFERROR(INDEX(Fortnightly_Model!$D$2:$D$15,MATCH(G376,Fortnightly_Model!$B$2:$B$15,0)),0),IFERROR(INDEX(Fortnightly_Model!$D$2:$D$15,MATCH(G377,Fortnightly_Model!$B$2:$B$15,0)),0)),IF(VLOOKUP($A375,Calendar!$A$1:$R$1377,18,0)=4,SUM(IFERROR(INDEX(Fortnightly_Model!$D$2:$D$15,MATCH(G375,Fortnightly_Model!$B$2:$B$15,0)),0),IFERROR(INDEX(Fortnightly_Model!$D$2:$D$15,MATCH(G376,Fortnightly_Model!$B$2:$B$15,0)),0),IFERROR(INDEX(Fortnightly_Model!$D$2:$D$15,MATCH(G377,Fortnightly_Model!$B$2:$B$15,0)),0),IFERROR(INDEX(Fortnightly_Model!$D$2:$D$15,MATCH(G378,Fortnightly_Model!$B$2:$B$15,0)),0)),IF(VLOOKUP($A375,Calendar!$A$1:$R$1377,18,0)=5,SUM(IFERROR(INDEX(Fortnightly_Model!$D$2:$D$15,MATCH(G375,Fortnightly_Model!$B$2:$B$15,0)),0),IFERROR(INDEX(Fortnightly_Model!$D$2:$D$15,MATCH(G376,Fortnightly_Model!$B$2:$B$15,0)),0),IFERROR(INDEX(Fortnightly_Model!$D$2:$D$15,MATCH(G377,Fortnightly_Model!$B$2:$B$15,0)),0),IFERROR(INDEX(Fortnightly_Model!$D$2:$D$15,MATCH(G378,Fortnightly_Model!$B$2:$B$15,0)),0),IFERROR(INDEX(Fortnightly_Model!$D$2:$D$15,MATCH(G379,Fortnightly_Model!$B$2:$B$15,0)),0)),0))))))</f>
        <v>1.0714285499999999E-3</v>
      </c>
      <c r="M375" s="27">
        <f>IF(VLOOKUP($A375,Calendar!$A$1:$R$1377,18,0)=0,0,IF(VLOOKUP($A375,Calendar!$A$1:$R$1377,18,0)=1,IFERROR(INDEX(FourWeekly_Model!$D$2:$D$29,MATCH(H375,FourWeekly_Model!$B$2:$B$29,0)),0),IF(VLOOKUP($A375,Calendar!$A$1:$R$1377,18,0)=2,SUM(IFERROR(INDEX(FourWeekly_Model!$D$2:$D$29,MATCH(H375,FourWeekly_Model!$B$2:$B$29,0)),0),IFERROR(INDEX(FourWeekly_Model!$D$2:$D$29,MATCH(H376,FourWeekly_Model!$B$2:$B$29,0)),0)),IF(VLOOKUP($A375,Calendar!$A$1:$R$1377,18,0)=3,SUM(IFERROR(INDEX(FourWeekly_Model!$D$2:$D$29,MATCH(H375,FourWeekly_Model!$B$2:$B$29,0)),0),IFERROR(INDEX(FourWeekly_Model!$D$2:$D$29,MATCH(H376,FourWeekly_Model!$B$2:$B$29,0)),0),IFERROR(INDEX(FourWeekly_Model!$D$2:$D$29,MATCH(H377,FourWeekly_Model!$B$2:$B$29,0)),0)),IF(VLOOKUP($A375,Calendar!$A$1:$R$1377,18,0)=4,SUM(IFERROR(INDEX(FourWeekly_Model!$D$2:$D$29,MATCH(H375,FourWeekly_Model!$B$2:$B$29,0)),0),IFERROR(INDEX(FourWeekly_Model!$D$2:$D$29,MATCH(H376,FourWeekly_Model!$B$2:$B$29,0)),0),IFERROR(INDEX(FourWeekly_Model!$D$2:$D$29,MATCH(H377,FourWeekly_Model!$B$2:$B$29,0)),0),IFERROR(INDEX(FourWeekly_Model!$D$2:$D$29,MATCH(H378,FourWeekly_Model!$B$2:$B$29,0)),0)),IF(VLOOKUP($A375,Calendar!$A$1:$R$1377,18,0)=5,SUM(IFERROR(INDEX(FourWeekly_Model!$D$2:$D$29,MATCH(H375,FourWeekly_Model!$B$2:$B$29,0)),0),IFERROR(INDEX(FourWeekly_Model!$D$2:$D$29,MATCH(H376,FourWeekly_Model!$B$2:$B$29,0)),0),IFERROR(INDEX(FourWeekly_Model!$D$2:$D$29,MATCH(H377,FourWeekly_Model!$B$2:$B$29,0)),0),IFERROR(INDEX(FourWeekly_Model!$D$2:$D$29,MATCH(H378,FourWeekly_Model!$B$2:$B$29,0)),0),IFERROR(INDEX(FourWeekly_Model!$D$2:$D$29,MATCH(H379,FourWeekly_Model!$B$2:$B$29,0)),0)),0))))))</f>
        <v>3.3214289700000004E-3</v>
      </c>
      <c r="N375" s="27">
        <f>SUM(I375:M375)</f>
        <v>2.840542296502618E-2</v>
      </c>
      <c r="O375" s="28">
        <f>Population_Data!$B$8*N375</f>
        <v>860684.3158402933</v>
      </c>
      <c r="P375" s="27">
        <f>IF(VLOOKUP($A375,Calendar!$A$1:$R$1377,18,0)=0,0,IF(VLOOKUP($A375,Calendar!$A$1:$R$1377,18,0)=1,IFERROR(INDEX(Pension_Model!$D$2:$D$29,MATCH(H375,Pension_Model!$B$2:$B$29,0)),0),IF(VLOOKUP($A375,Calendar!$A$1:$R$1377,18,0)=2,SUM(IFERROR(INDEX(Pension_Model!$D$2:$D$29,MATCH(H375,Pension_Model!$B$2:$B$29,0)),0),IFERROR(INDEX(Pension_Model!$D$2:$D$29,MATCH(H376,Pension_Model!$B$2:$B$29,0)),0)),IF(VLOOKUP($A375,Calendar!$A$1:$R$1377,18,0)=3,SUM(IFERROR(INDEX(Pension_Model!$D$2:$D$29,MATCH(H375,Pension_Model!$B$2:$B$29,0)),0),IFERROR(INDEX(Pension_Model!$D$2:$D$29,MATCH(H376,Pension_Model!$B$2:$B$29,0)),0),IFERROR(INDEX(Pension_Model!$D$2:$D$29,MATCH(H377,Pension_Model!$B$2:$B$29,0)),0)),IF(VLOOKUP($A375,Calendar!$A$1:$R$1377,18,0)=4,SUM(IFERROR(INDEX(Pension_Model!$D$2:$D$29,MATCH(H375,Pension_Model!$B$2:$B$29,0)),0),IFERROR(INDEX(Pension_Model!$D$2:$D$29,MATCH(H376,Pension_Model!$B$2:$B$29,0)),0),IFERROR(INDEX(Pension_Model!$D$2:$D$29,MATCH(H377,Pension_Model!$B$2:$B$29,0)),0),IFERROR(INDEX(Pension_Model!$D$2:$D$29,MATCH(H378,Pension_Model!$B$2:$B$29,0)),0)),IF(VLOOKUP($A375,Calendar!$A$1:$R$1377,18,0)=5,SUM(IFERROR(INDEX(Pension_Model!$D$2:$D$29,MATCH(H375,Pension_Model!$B$2:$B$29,0)),0),IFERROR(INDEX(Pension_Model!$D$2:$D$29,MATCH(H376,Pension_Model!$B$2:$B$29,0)),0),IFERROR(INDEX(Pension_Model!$D$2:$D$29,MATCH(H377,Pension_Model!$B$2:$B$29,0)),0),IFERROR(INDEX(Pension_Model!$D$2:$D$29,MATCH(H378,Pension_Model!$B$2:$B$29,0)),0),IFERROR(INDEX(Pension_Model!$D$2:$D$29,MATCH(H379,Pension_Model!$B$2:$B$29,0)),0)),0))))))</f>
        <v>0.05</v>
      </c>
      <c r="Q375" s="28">
        <f>Population_Data!$B$15*P375</f>
        <v>660600</v>
      </c>
      <c r="S375">
        <f t="shared" si="5"/>
        <v>1521284.3158402932</v>
      </c>
      <c r="U375" s="33">
        <f>S375/Population_Data!$B$19</f>
        <v>2.7559498475367629E-2</v>
      </c>
    </row>
    <row r="376" spans="1:21">
      <c r="A376" s="25">
        <f>Calendar!A376</f>
        <v>46609</v>
      </c>
      <c r="B376" t="str">
        <f>Calendar!L376</f>
        <v>Yes</v>
      </c>
      <c r="C376" t="str">
        <f>Calendar!O376</f>
        <v>No</v>
      </c>
      <c r="D376" t="str">
        <f>Calendar!P376</f>
        <v>No</v>
      </c>
      <c r="E376" t="str">
        <f>Calendar!Q376</f>
        <v>No</v>
      </c>
      <c r="F376" t="str">
        <f>Calendar!I376</f>
        <v>Tuesday</v>
      </c>
      <c r="G376">
        <f>Calendar!S376</f>
        <v>3</v>
      </c>
      <c r="H376">
        <f>Calendar!T376</f>
        <v>17</v>
      </c>
      <c r="I376" s="27">
        <f>IF(VLOOKUP(A376,Calendar!$A$1:$R$1377,18,0)=0,0,IF(VLOOKUP(A376,Calendar!$A$1:$R$1377,18,0)=1,INDEX(Monthly_Pay_Model!$A$9:$D$40,MATCH(TEXT(A376,"dd"),Monthly_Pay_Model!$C$9:$C$39,0),4),IF(VLOOKUP(A376,Calendar!$A$1:$R$1377,18,0)=2,SUM(INDEX(Monthly_Pay_Model!$A$9:$D$40,MATCH(TEXT(A376,"dd"),Monthly_Pay_Model!$C$9:$C$39,0),4),INDEX(Monthly_Pay_Model!$A$9:$D$40,MATCH(TEXT(A377,"dd"),Monthly_Pay_Model!$C$9:$C$39,0),4)),IF(VLOOKUP(A376,Calendar!$A$1:$R$1377,18,0)=3,SUM(INDEX(Monthly_Pay_Model!$A$9:$D$40,MATCH(TEXT(A376,"dd"),Monthly_Pay_Model!$C$9:$C$39,0),4),INDEX(Monthly_Pay_Model!$A$9:$D$40,MATCH(TEXT(A377,"dd"),Monthly_Pay_Model!$C$9:$C$39,0),4),INDEX(Monthly_Pay_Model!$A$9:$D$40,MATCH(TEXT(A378,"dd"),Monthly_Pay_Model!$C$9:$C$39,0),4)),IF(VLOOKUP(A376,Calendar!$A$1:$R$1377,18,0)=4,SUM(INDEX(Monthly_Pay_Model!$A$9:$D$40,MATCH(TEXT(A376,"dd"),Monthly_Pay_Model!$C$9:$C$39,0),4),INDEX(Monthly_Pay_Model!$A$9:$D$40,MATCH(TEXT(A377,"dd"),Monthly_Pay_Model!$C$9:$C$39,0),4),INDEX(Monthly_Pay_Model!$A$9:$D$40,MATCH(TEXT(A378,"dd"),Monthly_Pay_Model!$C$9:$C$39,0),4),INDEX(Monthly_Pay_Model!$A$9:$D$40,MATCH(TEXT(A379,"dd"),Monthly_Pay_Model!$C$9:$C$39,0),4)),IF(VLOOKUP(A376,Calendar!$A$1:$R$1377,18,0)=5,SUM(INDEX(Monthly_Pay_Model!$A$9:$D$40,MATCH(TEXT(A376,"dd"),Monthly_Pay_Model!$C$9:$C$39,0),4),INDEX(Monthly_Pay_Model!$A$9:$D$40,MATCH(TEXT(A377,"dd"),Monthly_Pay_Model!$C$9:$C$39,0),4),INDEX(Monthly_Pay_Model!$A$9:$D$40,MATCH(TEXT(A378,"dd"),Monthly_Pay_Model!$C$9:$C$39,0),4),INDEX(Monthly_Pay_Model!$A$9:$D$40,MATCH(TEXT(A379,"dd"),Monthly_Pay_Model!$C$9:$C$39,0),4),INDEX(Monthly_Pay_Model!$A$9:$D$40,MATCH(TEXT(A380,"dd"),Monthly_Pay_Model!$C$9:$C$39,0),4)),))))))</f>
        <v>4.8753926701570662E-3</v>
      </c>
      <c r="J376" s="33">
        <f>IF(C376="Yes",Monthly_Pay_Model!$D$2,0)
+IF(Calendar!N376="Yes",Monthly_Pay_Model!$D$3,0)
+IF(D376="Yes",Monthly_Pay_Model!$D$4,0)
+IF(E376="Yes",Monthly_Pay_Model!$D$5,0)</f>
        <v>0</v>
      </c>
      <c r="K376" s="27">
        <f>IF(VLOOKUP($A376,Calendar!$A$1:$R$1377,18,0)=0,0,IF(VLOOKUP($A376,Calendar!$A$1:$R$1377,18,0)=1,IFERROR(INDEX(Weekly_Model!$D$2:$D$9,MATCH(F376,Weekly_Model!$A$2:$A$9,0)),0),IF(VLOOKUP($A376,Calendar!$A$1:$R$1377,18,0)=2,SUM(IFERROR(INDEX(Weekly_Model!$D$2:$D$9,MATCH(F376,Weekly_Model!$A$2:$A$9,0)),0),IFERROR(INDEX(Weekly_Model!$D$2:$D$9,MATCH(F377,Weekly_Model!$A$2:$A$9,0)),0)),IF(VLOOKUP($A376,Calendar!$A$1:$R$1377,18,0)=3,SUM(IFERROR(INDEX(Weekly_Model!$D$2:$D$9,MATCH(F376,Weekly_Model!$A$2:$A$9,0)),0),IFERROR(INDEX(Weekly_Model!$D$2:$D$9,MATCH(F377,Weekly_Model!$A$2:$A$9,0)),0),IFERROR(INDEX(Weekly_Model!$D$2:$D$9,MATCH(F378,Weekly_Model!$A$2:$A$9,0)),0)),IF(VLOOKUP($A376,Calendar!$A$1:$R$1377,18,0)=4,SUM(IFERROR(INDEX(Weekly_Model!$D$2:$D$9,MATCH(F376,Weekly_Model!$A$2:$A$9,0)),0),IFERROR(INDEX(Weekly_Model!$D$2:$D$9,MATCH(F377,Weekly_Model!$A$2:$A$9,0)),0),IFERROR(INDEX(Weekly_Model!$D$2:$D$9,MATCH(F378,Weekly_Model!$A$2:$A$9,0)),0),IFERROR(INDEX(Weekly_Model!$D$2:$D$9,MATCH(F379,Weekly_Model!$A$2:$A$9,0)),0)),IF(VLOOKUP($A376,Calendar!$A$1:$R$1377,18,0)=5,SUM(IFERROR(INDEX(Weekly_Model!$D$2:$D$9,MATCH(F376,Weekly_Model!$A$2:$A$9,0)),0),IFERROR(INDEX(Weekly_Model!$D$2:$D$9,MATCH(F377,Weekly_Model!$A$2:$A$9,0)),0),IFERROR(INDEX(Weekly_Model!$D$2:$D$9,MATCH(F378,Weekly_Model!$A$2:$A$9,0)),0),IFERROR(INDEX(Weekly_Model!$D$2:$D$9,MATCH(F379,Weekly_Model!$A$2:$A$9,0)),0),IFERROR(INDEX(Weekly_Model!$D$2:$D$9,MATCH(F380,Weekly_Model!$A$2:$A$9,0)),0)),0))))))</f>
        <v>2.3200000000000002E-2</v>
      </c>
      <c r="L376" s="27">
        <f>IF(VLOOKUP($A376,Calendar!$A$1:$R$1377,18,0)=0,0,IF(VLOOKUP($A376,Calendar!$A$1:$R$1377,18,0)=1,IFERROR(INDEX(Fortnightly_Model!$D$2:$D$15,MATCH(G376,Fortnightly_Model!$B$2:$B$15,0)),0),IF(VLOOKUP($A376,Calendar!$A$1:$R$1377,18,0)=2,SUM(IFERROR(INDEX(Fortnightly_Model!$D$2:$D$15,MATCH(G376,Fortnightly_Model!$B$2:$B$15,0)),0),IFERROR(INDEX(Fortnightly_Model!$D$2:$D$15,MATCH(G377,Fortnightly_Model!$B$2:$B$15,0)),0)),IF(VLOOKUP($A376,Calendar!$A$1:$R$1377,18,0)=3,SUM(IFERROR(INDEX(Fortnightly_Model!$D$2:$D$15,MATCH(G376,Fortnightly_Model!$B$2:$B$15,0)),0),IFERROR(INDEX(Fortnightly_Model!$D$2:$D$15,MATCH(G377,Fortnightly_Model!$B$2:$B$15,0)),0),IFERROR(INDEX(Fortnightly_Model!$D$2:$D$15,MATCH(G378,Fortnightly_Model!$B$2:$B$15,0)),0)),IF(VLOOKUP($A376,Calendar!$A$1:$R$1377,18,0)=4,SUM(IFERROR(INDEX(Fortnightly_Model!$D$2:$D$15,MATCH(G376,Fortnightly_Model!$B$2:$B$15,0)),0),IFERROR(INDEX(Fortnightly_Model!$D$2:$D$15,MATCH(G377,Fortnightly_Model!$B$2:$B$15,0)),0),IFERROR(INDEX(Fortnightly_Model!$D$2:$D$15,MATCH(G378,Fortnightly_Model!$B$2:$B$15,0)),0),IFERROR(INDEX(Fortnightly_Model!$D$2:$D$15,MATCH(G379,Fortnightly_Model!$B$2:$B$15,0)),0)),IF(VLOOKUP($A376,Calendar!$A$1:$R$1377,18,0)=5,SUM(IFERROR(INDEX(Fortnightly_Model!$D$2:$D$15,MATCH(G376,Fortnightly_Model!$B$2:$B$15,0)),0),IFERROR(INDEX(Fortnightly_Model!$D$2:$D$15,MATCH(G377,Fortnightly_Model!$B$2:$B$15,0)),0),IFERROR(INDEX(Fortnightly_Model!$D$2:$D$15,MATCH(G378,Fortnightly_Model!$B$2:$B$15,0)),0),IFERROR(INDEX(Fortnightly_Model!$D$2:$D$15,MATCH(G379,Fortnightly_Model!$B$2:$B$15,0)),0),IFERROR(INDEX(Fortnightly_Model!$D$2:$D$15,MATCH(G380,Fortnightly_Model!$B$2:$B$15,0)),0)),0))))))</f>
        <v>1.0714285499999999E-3</v>
      </c>
      <c r="M376" s="27">
        <f>IF(VLOOKUP($A376,Calendar!$A$1:$R$1377,18,0)=0,0,IF(VLOOKUP($A376,Calendar!$A$1:$R$1377,18,0)=1,IFERROR(INDEX(FourWeekly_Model!$D$2:$D$29,MATCH(H376,FourWeekly_Model!$B$2:$B$29,0)),0),IF(VLOOKUP($A376,Calendar!$A$1:$R$1377,18,0)=2,SUM(IFERROR(INDEX(FourWeekly_Model!$D$2:$D$29,MATCH(H376,FourWeekly_Model!$B$2:$B$29,0)),0),IFERROR(INDEX(FourWeekly_Model!$D$2:$D$29,MATCH(H377,FourWeekly_Model!$B$2:$B$29,0)),0)),IF(VLOOKUP($A376,Calendar!$A$1:$R$1377,18,0)=3,SUM(IFERROR(INDEX(FourWeekly_Model!$D$2:$D$29,MATCH(H376,FourWeekly_Model!$B$2:$B$29,0)),0),IFERROR(INDEX(FourWeekly_Model!$D$2:$D$29,MATCH(H377,FourWeekly_Model!$B$2:$B$29,0)),0),IFERROR(INDEX(FourWeekly_Model!$D$2:$D$29,MATCH(H378,FourWeekly_Model!$B$2:$B$29,0)),0)),IF(VLOOKUP($A376,Calendar!$A$1:$R$1377,18,0)=4,SUM(IFERROR(INDEX(FourWeekly_Model!$D$2:$D$29,MATCH(H376,FourWeekly_Model!$B$2:$B$29,0)),0),IFERROR(INDEX(FourWeekly_Model!$D$2:$D$29,MATCH(H377,FourWeekly_Model!$B$2:$B$29,0)),0),IFERROR(INDEX(FourWeekly_Model!$D$2:$D$29,MATCH(H378,FourWeekly_Model!$B$2:$B$29,0)),0),IFERROR(INDEX(FourWeekly_Model!$D$2:$D$29,MATCH(H379,FourWeekly_Model!$B$2:$B$29,0)),0)),IF(VLOOKUP($A376,Calendar!$A$1:$R$1377,18,0)=5,SUM(IFERROR(INDEX(FourWeekly_Model!$D$2:$D$29,MATCH(H376,FourWeekly_Model!$B$2:$B$29,0)),0),IFERROR(INDEX(FourWeekly_Model!$D$2:$D$29,MATCH(H377,FourWeekly_Model!$B$2:$B$29,0)),0),IFERROR(INDEX(FourWeekly_Model!$D$2:$D$29,MATCH(H378,FourWeekly_Model!$B$2:$B$29,0)),0),IFERROR(INDEX(FourWeekly_Model!$D$2:$D$29,MATCH(H379,FourWeekly_Model!$B$2:$B$29,0)),0),IFERROR(INDEX(FourWeekly_Model!$D$2:$D$29,MATCH(H380,FourWeekly_Model!$B$2:$B$29,0)),0)),0))))))</f>
        <v>3.3214289700000004E-3</v>
      </c>
      <c r="N376" s="27">
        <f>SUM(I376:M376)</f>
        <v>3.2468250190157068E-2</v>
      </c>
      <c r="O376" s="28">
        <f>Population_Data!$B$8*N376</f>
        <v>983787.9807617591</v>
      </c>
      <c r="P376" s="27">
        <f>IF(VLOOKUP($A376,Calendar!$A$1:$R$1377,18,0)=0,0,IF(VLOOKUP($A376,Calendar!$A$1:$R$1377,18,0)=1,IFERROR(INDEX(Pension_Model!$D$2:$D$29,MATCH(H376,Pension_Model!$B$2:$B$29,0)),0),IF(VLOOKUP($A376,Calendar!$A$1:$R$1377,18,0)=2,SUM(IFERROR(INDEX(Pension_Model!$D$2:$D$29,MATCH(H376,Pension_Model!$B$2:$B$29,0)),0),IFERROR(INDEX(Pension_Model!$D$2:$D$29,MATCH(H377,Pension_Model!$B$2:$B$29,0)),0)),IF(VLOOKUP($A376,Calendar!$A$1:$R$1377,18,0)=3,SUM(IFERROR(INDEX(Pension_Model!$D$2:$D$29,MATCH(H376,Pension_Model!$B$2:$B$29,0)),0),IFERROR(INDEX(Pension_Model!$D$2:$D$29,MATCH(H377,Pension_Model!$B$2:$B$29,0)),0),IFERROR(INDEX(Pension_Model!$D$2:$D$29,MATCH(H378,Pension_Model!$B$2:$B$29,0)),0)),IF(VLOOKUP($A376,Calendar!$A$1:$R$1377,18,0)=4,SUM(IFERROR(INDEX(Pension_Model!$D$2:$D$29,MATCH(H376,Pension_Model!$B$2:$B$29,0)),0),IFERROR(INDEX(Pension_Model!$D$2:$D$29,MATCH(H377,Pension_Model!$B$2:$B$29,0)),0),IFERROR(INDEX(Pension_Model!$D$2:$D$29,MATCH(H378,Pension_Model!$B$2:$B$29,0)),0),IFERROR(INDEX(Pension_Model!$D$2:$D$29,MATCH(H379,Pension_Model!$B$2:$B$29,0)),0)),IF(VLOOKUP($A376,Calendar!$A$1:$R$1377,18,0)=5,SUM(IFERROR(INDEX(Pension_Model!$D$2:$D$29,MATCH(H376,Pension_Model!$B$2:$B$29,0)),0),IFERROR(INDEX(Pension_Model!$D$2:$D$29,MATCH(H377,Pension_Model!$B$2:$B$29,0)),0),IFERROR(INDEX(Pension_Model!$D$2:$D$29,MATCH(H378,Pension_Model!$B$2:$B$29,0)),0),IFERROR(INDEX(Pension_Model!$D$2:$D$29,MATCH(H379,Pension_Model!$B$2:$B$29,0)),0),IFERROR(INDEX(Pension_Model!$D$2:$D$29,MATCH(H380,Pension_Model!$B$2:$B$29,0)),0)),0))))))</f>
        <v>0.05</v>
      </c>
      <c r="Q376" s="28">
        <f>Population_Data!$B$15*P376</f>
        <v>660600</v>
      </c>
      <c r="S376">
        <f t="shared" si="5"/>
        <v>1644387.980761759</v>
      </c>
      <c r="U376" s="33">
        <f>S376/Population_Data!$B$19</f>
        <v>2.9789637332640562E-2</v>
      </c>
    </row>
    <row r="377" spans="1:21">
      <c r="A377" s="25">
        <f>Calendar!A377</f>
        <v>46610</v>
      </c>
      <c r="B377" t="str">
        <f>Calendar!L377</f>
        <v>Yes</v>
      </c>
      <c r="C377" t="str">
        <f>Calendar!O377</f>
        <v>No</v>
      </c>
      <c r="D377" t="str">
        <f>Calendar!P377</f>
        <v>No</v>
      </c>
      <c r="E377" t="str">
        <f>Calendar!Q377</f>
        <v>No</v>
      </c>
      <c r="F377" t="str">
        <f>Calendar!I377</f>
        <v>Wednesday</v>
      </c>
      <c r="G377">
        <f>Calendar!S377</f>
        <v>4</v>
      </c>
      <c r="H377">
        <f>Calendar!T377</f>
        <v>18</v>
      </c>
      <c r="I377" s="27">
        <f>IF(VLOOKUP(A377,Calendar!$A$1:$R$1377,18,0)=0,0,IF(VLOOKUP(A377,Calendar!$A$1:$R$1377,18,0)=1,INDEX(Monthly_Pay_Model!$A$9:$D$40,MATCH(TEXT(A377,"dd"),Monthly_Pay_Model!$C$9:$C$39,0),4),IF(VLOOKUP(A377,Calendar!$A$1:$R$1377,18,0)=2,SUM(INDEX(Monthly_Pay_Model!$A$9:$D$40,MATCH(TEXT(A377,"dd"),Monthly_Pay_Model!$C$9:$C$39,0),4),INDEX(Monthly_Pay_Model!$A$9:$D$40,MATCH(TEXT(A378,"dd"),Monthly_Pay_Model!$C$9:$C$39,0),4)),IF(VLOOKUP(A377,Calendar!$A$1:$R$1377,18,0)=3,SUM(INDEX(Monthly_Pay_Model!$A$9:$D$40,MATCH(TEXT(A377,"dd"),Monthly_Pay_Model!$C$9:$C$39,0),4),INDEX(Monthly_Pay_Model!$A$9:$D$40,MATCH(TEXT(A378,"dd"),Monthly_Pay_Model!$C$9:$C$39,0),4),INDEX(Monthly_Pay_Model!$A$9:$D$40,MATCH(TEXT(A379,"dd"),Monthly_Pay_Model!$C$9:$C$39,0),4)),IF(VLOOKUP(A377,Calendar!$A$1:$R$1377,18,0)=4,SUM(INDEX(Monthly_Pay_Model!$A$9:$D$40,MATCH(TEXT(A377,"dd"),Monthly_Pay_Model!$C$9:$C$39,0),4),INDEX(Monthly_Pay_Model!$A$9:$D$40,MATCH(TEXT(A378,"dd"),Monthly_Pay_Model!$C$9:$C$39,0),4),INDEX(Monthly_Pay_Model!$A$9:$D$40,MATCH(TEXT(A379,"dd"),Monthly_Pay_Model!$C$9:$C$39,0),4),INDEX(Monthly_Pay_Model!$A$9:$D$40,MATCH(TEXT(A380,"dd"),Monthly_Pay_Model!$C$9:$C$39,0),4)),IF(VLOOKUP(A377,Calendar!$A$1:$R$1377,18,0)=5,SUM(INDEX(Monthly_Pay_Model!$A$9:$D$40,MATCH(TEXT(A377,"dd"),Monthly_Pay_Model!$C$9:$C$39,0),4),INDEX(Monthly_Pay_Model!$A$9:$D$40,MATCH(TEXT(A378,"dd"),Monthly_Pay_Model!$C$9:$C$39,0),4),INDEX(Monthly_Pay_Model!$A$9:$D$40,MATCH(TEXT(A379,"dd"),Monthly_Pay_Model!$C$9:$C$39,0),4),INDEX(Monthly_Pay_Model!$A$9:$D$40,MATCH(TEXT(A380,"dd"),Monthly_Pay_Model!$C$9:$C$39,0),4),INDEX(Monthly_Pay_Model!$A$9:$D$40,MATCH(TEXT(A381,"dd"),Monthly_Pay_Model!$C$9:$C$39,0),4)),))))))</f>
        <v>8.1256544502617792E-4</v>
      </c>
      <c r="J377" s="33">
        <f>IF(C377="Yes",Monthly_Pay_Model!$D$2,0)
+IF(Calendar!N377="Yes",Monthly_Pay_Model!$D$3,0)
+IF(D377="Yes",Monthly_Pay_Model!$D$4,0)
+IF(E377="Yes",Monthly_Pay_Model!$D$5,0)</f>
        <v>0</v>
      </c>
      <c r="K377" s="27">
        <f>IF(VLOOKUP($A377,Calendar!$A$1:$R$1377,18,0)=0,0,IF(VLOOKUP($A377,Calendar!$A$1:$R$1377,18,0)=1,IFERROR(INDEX(Weekly_Model!$D$2:$D$9,MATCH(F377,Weekly_Model!$A$2:$A$9,0)),0),IF(VLOOKUP($A377,Calendar!$A$1:$R$1377,18,0)=2,SUM(IFERROR(INDEX(Weekly_Model!$D$2:$D$9,MATCH(F377,Weekly_Model!$A$2:$A$9,0)),0),IFERROR(INDEX(Weekly_Model!$D$2:$D$9,MATCH(F378,Weekly_Model!$A$2:$A$9,0)),0)),IF(VLOOKUP($A377,Calendar!$A$1:$R$1377,18,0)=3,SUM(IFERROR(INDEX(Weekly_Model!$D$2:$D$9,MATCH(F377,Weekly_Model!$A$2:$A$9,0)),0),IFERROR(INDEX(Weekly_Model!$D$2:$D$9,MATCH(F378,Weekly_Model!$A$2:$A$9,0)),0),IFERROR(INDEX(Weekly_Model!$D$2:$D$9,MATCH(F379,Weekly_Model!$A$2:$A$9,0)),0)),IF(VLOOKUP($A377,Calendar!$A$1:$R$1377,18,0)=4,SUM(IFERROR(INDEX(Weekly_Model!$D$2:$D$9,MATCH(F377,Weekly_Model!$A$2:$A$9,0)),0),IFERROR(INDEX(Weekly_Model!$D$2:$D$9,MATCH(F378,Weekly_Model!$A$2:$A$9,0)),0),IFERROR(INDEX(Weekly_Model!$D$2:$D$9,MATCH(F379,Weekly_Model!$A$2:$A$9,0)),0),IFERROR(INDEX(Weekly_Model!$D$2:$D$9,MATCH(F380,Weekly_Model!$A$2:$A$9,0)),0)),IF(VLOOKUP($A377,Calendar!$A$1:$R$1377,18,0)=5,SUM(IFERROR(INDEX(Weekly_Model!$D$2:$D$9,MATCH(F377,Weekly_Model!$A$2:$A$9,0)),0),IFERROR(INDEX(Weekly_Model!$D$2:$D$9,MATCH(F378,Weekly_Model!$A$2:$A$9,0)),0),IFERROR(INDEX(Weekly_Model!$D$2:$D$9,MATCH(F379,Weekly_Model!$A$2:$A$9,0)),0),IFERROR(INDEX(Weekly_Model!$D$2:$D$9,MATCH(F380,Weekly_Model!$A$2:$A$9,0)),0),IFERROR(INDEX(Weekly_Model!$D$2:$D$9,MATCH(F381,Weekly_Model!$A$2:$A$9,0)),0)),0))))))</f>
        <v>2.3200000000000002E-2</v>
      </c>
      <c r="L377" s="27">
        <f>IF(VLOOKUP($A377,Calendar!$A$1:$R$1377,18,0)=0,0,IF(VLOOKUP($A377,Calendar!$A$1:$R$1377,18,0)=1,IFERROR(INDEX(Fortnightly_Model!$D$2:$D$15,MATCH(G377,Fortnightly_Model!$B$2:$B$15,0)),0),IF(VLOOKUP($A377,Calendar!$A$1:$R$1377,18,0)=2,SUM(IFERROR(INDEX(Fortnightly_Model!$D$2:$D$15,MATCH(G377,Fortnightly_Model!$B$2:$B$15,0)),0),IFERROR(INDEX(Fortnightly_Model!$D$2:$D$15,MATCH(G378,Fortnightly_Model!$B$2:$B$15,0)),0)),IF(VLOOKUP($A377,Calendar!$A$1:$R$1377,18,0)=3,SUM(IFERROR(INDEX(Fortnightly_Model!$D$2:$D$15,MATCH(G377,Fortnightly_Model!$B$2:$B$15,0)),0),IFERROR(INDEX(Fortnightly_Model!$D$2:$D$15,MATCH(G378,Fortnightly_Model!$B$2:$B$15,0)),0),IFERROR(INDEX(Fortnightly_Model!$D$2:$D$15,MATCH(G379,Fortnightly_Model!$B$2:$B$15,0)),0)),IF(VLOOKUP($A377,Calendar!$A$1:$R$1377,18,0)=4,SUM(IFERROR(INDEX(Fortnightly_Model!$D$2:$D$15,MATCH(G377,Fortnightly_Model!$B$2:$B$15,0)),0),IFERROR(INDEX(Fortnightly_Model!$D$2:$D$15,MATCH(G378,Fortnightly_Model!$B$2:$B$15,0)),0),IFERROR(INDEX(Fortnightly_Model!$D$2:$D$15,MATCH(G379,Fortnightly_Model!$B$2:$B$15,0)),0),IFERROR(INDEX(Fortnightly_Model!$D$2:$D$15,MATCH(G380,Fortnightly_Model!$B$2:$B$15,0)),0)),IF(VLOOKUP($A377,Calendar!$A$1:$R$1377,18,0)=5,SUM(IFERROR(INDEX(Fortnightly_Model!$D$2:$D$15,MATCH(G377,Fortnightly_Model!$B$2:$B$15,0)),0),IFERROR(INDEX(Fortnightly_Model!$D$2:$D$15,MATCH(G378,Fortnightly_Model!$B$2:$B$15,0)),0),IFERROR(INDEX(Fortnightly_Model!$D$2:$D$15,MATCH(G379,Fortnightly_Model!$B$2:$B$15,0)),0),IFERROR(INDEX(Fortnightly_Model!$D$2:$D$15,MATCH(G380,Fortnightly_Model!$B$2:$B$15,0)),0),IFERROR(INDEX(Fortnightly_Model!$D$2:$D$15,MATCH(G381,Fortnightly_Model!$B$2:$B$15,0)),0)),0))))))</f>
        <v>1.0714285499999999E-3</v>
      </c>
      <c r="M377" s="27">
        <f>IF(VLOOKUP($A377,Calendar!$A$1:$R$1377,18,0)=0,0,IF(VLOOKUP($A377,Calendar!$A$1:$R$1377,18,0)=1,IFERROR(INDEX(FourWeekly_Model!$D$2:$D$29,MATCH(H377,FourWeekly_Model!$B$2:$B$29,0)),0),IF(VLOOKUP($A377,Calendar!$A$1:$R$1377,18,0)=2,SUM(IFERROR(INDEX(FourWeekly_Model!$D$2:$D$29,MATCH(H377,FourWeekly_Model!$B$2:$B$29,0)),0),IFERROR(INDEX(FourWeekly_Model!$D$2:$D$29,MATCH(H378,FourWeekly_Model!$B$2:$B$29,0)),0)),IF(VLOOKUP($A377,Calendar!$A$1:$R$1377,18,0)=3,SUM(IFERROR(INDEX(FourWeekly_Model!$D$2:$D$29,MATCH(H377,FourWeekly_Model!$B$2:$B$29,0)),0),IFERROR(INDEX(FourWeekly_Model!$D$2:$D$29,MATCH(H378,FourWeekly_Model!$B$2:$B$29,0)),0),IFERROR(INDEX(FourWeekly_Model!$D$2:$D$29,MATCH(H379,FourWeekly_Model!$B$2:$B$29,0)),0)),IF(VLOOKUP($A377,Calendar!$A$1:$R$1377,18,0)=4,SUM(IFERROR(INDEX(FourWeekly_Model!$D$2:$D$29,MATCH(H377,FourWeekly_Model!$B$2:$B$29,0)),0),IFERROR(INDEX(FourWeekly_Model!$D$2:$D$29,MATCH(H378,FourWeekly_Model!$B$2:$B$29,0)),0),IFERROR(INDEX(FourWeekly_Model!$D$2:$D$29,MATCH(H379,FourWeekly_Model!$B$2:$B$29,0)),0),IFERROR(INDEX(FourWeekly_Model!$D$2:$D$29,MATCH(H380,FourWeekly_Model!$B$2:$B$29,0)),0)),IF(VLOOKUP($A377,Calendar!$A$1:$R$1377,18,0)=5,SUM(IFERROR(INDEX(FourWeekly_Model!$D$2:$D$29,MATCH(H377,FourWeekly_Model!$B$2:$B$29,0)),0),IFERROR(INDEX(FourWeekly_Model!$D$2:$D$29,MATCH(H378,FourWeekly_Model!$B$2:$B$29,0)),0),IFERROR(INDEX(FourWeekly_Model!$D$2:$D$29,MATCH(H379,FourWeekly_Model!$B$2:$B$29,0)),0),IFERROR(INDEX(FourWeekly_Model!$D$2:$D$29,MATCH(H380,FourWeekly_Model!$B$2:$B$29,0)),0),IFERROR(INDEX(FourWeekly_Model!$D$2:$D$29,MATCH(H381,FourWeekly_Model!$B$2:$B$29,0)),0)),0))))))</f>
        <v>3.3214289700000004E-3</v>
      </c>
      <c r="N377" s="27">
        <f>SUM(I377:M377)</f>
        <v>2.840542296502618E-2</v>
      </c>
      <c r="O377" s="28">
        <f>Population_Data!$B$8*N377</f>
        <v>860684.3158402933</v>
      </c>
      <c r="P377" s="27">
        <f>IF(VLOOKUP($A377,Calendar!$A$1:$R$1377,18,0)=0,0,IF(VLOOKUP($A377,Calendar!$A$1:$R$1377,18,0)=1,IFERROR(INDEX(Pension_Model!$D$2:$D$29,MATCH(H377,Pension_Model!$B$2:$B$29,0)),0),IF(VLOOKUP($A377,Calendar!$A$1:$R$1377,18,0)=2,SUM(IFERROR(INDEX(Pension_Model!$D$2:$D$29,MATCH(H377,Pension_Model!$B$2:$B$29,0)),0),IFERROR(INDEX(Pension_Model!$D$2:$D$29,MATCH(H378,Pension_Model!$B$2:$B$29,0)),0)),IF(VLOOKUP($A377,Calendar!$A$1:$R$1377,18,0)=3,SUM(IFERROR(INDEX(Pension_Model!$D$2:$D$29,MATCH(H377,Pension_Model!$B$2:$B$29,0)),0),IFERROR(INDEX(Pension_Model!$D$2:$D$29,MATCH(H378,Pension_Model!$B$2:$B$29,0)),0),IFERROR(INDEX(Pension_Model!$D$2:$D$29,MATCH(H379,Pension_Model!$B$2:$B$29,0)),0)),IF(VLOOKUP($A377,Calendar!$A$1:$R$1377,18,0)=4,SUM(IFERROR(INDEX(Pension_Model!$D$2:$D$29,MATCH(H377,Pension_Model!$B$2:$B$29,0)),0),IFERROR(INDEX(Pension_Model!$D$2:$D$29,MATCH(H378,Pension_Model!$B$2:$B$29,0)),0),IFERROR(INDEX(Pension_Model!$D$2:$D$29,MATCH(H379,Pension_Model!$B$2:$B$29,0)),0),IFERROR(INDEX(Pension_Model!$D$2:$D$29,MATCH(H380,Pension_Model!$B$2:$B$29,0)),0)),IF(VLOOKUP($A377,Calendar!$A$1:$R$1377,18,0)=5,SUM(IFERROR(INDEX(Pension_Model!$D$2:$D$29,MATCH(H377,Pension_Model!$B$2:$B$29,0)),0),IFERROR(INDEX(Pension_Model!$D$2:$D$29,MATCH(H378,Pension_Model!$B$2:$B$29,0)),0),IFERROR(INDEX(Pension_Model!$D$2:$D$29,MATCH(H379,Pension_Model!$B$2:$B$29,0)),0),IFERROR(INDEX(Pension_Model!$D$2:$D$29,MATCH(H380,Pension_Model!$B$2:$B$29,0)),0),IFERROR(INDEX(Pension_Model!$D$2:$D$29,MATCH(H381,Pension_Model!$B$2:$B$29,0)),0)),0))))))</f>
        <v>0.05</v>
      </c>
      <c r="Q377" s="28">
        <f>Population_Data!$B$15*P377</f>
        <v>660600</v>
      </c>
      <c r="S377">
        <f t="shared" si="5"/>
        <v>1521284.3158402932</v>
      </c>
      <c r="U377" s="33">
        <f>S377/Population_Data!$B$19</f>
        <v>2.7559498475367629E-2</v>
      </c>
    </row>
    <row r="378" spans="1:21">
      <c r="A378" s="25">
        <f>Calendar!A378</f>
        <v>46611</v>
      </c>
      <c r="B378" t="str">
        <f>Calendar!L378</f>
        <v>Yes</v>
      </c>
      <c r="C378" t="str">
        <f>Calendar!O378</f>
        <v>No</v>
      </c>
      <c r="D378" t="str">
        <f>Calendar!P378</f>
        <v>No</v>
      </c>
      <c r="E378" t="str">
        <f>Calendar!Q378</f>
        <v>No</v>
      </c>
      <c r="F378" t="str">
        <f>Calendar!I378</f>
        <v>Thursday</v>
      </c>
      <c r="G378">
        <f>Calendar!S378</f>
        <v>5</v>
      </c>
      <c r="H378">
        <f>Calendar!T378</f>
        <v>19</v>
      </c>
      <c r="I378" s="27">
        <f>IF(VLOOKUP(A378,Calendar!$A$1:$R$1377,18,0)=0,0,IF(VLOOKUP(A378,Calendar!$A$1:$R$1377,18,0)=1,INDEX(Monthly_Pay_Model!$A$9:$D$40,MATCH(TEXT(A378,"dd"),Monthly_Pay_Model!$C$9:$C$39,0),4),IF(VLOOKUP(A378,Calendar!$A$1:$R$1377,18,0)=2,SUM(INDEX(Monthly_Pay_Model!$A$9:$D$40,MATCH(TEXT(A378,"dd"),Monthly_Pay_Model!$C$9:$C$39,0),4),INDEX(Monthly_Pay_Model!$A$9:$D$40,MATCH(TEXT(A379,"dd"),Monthly_Pay_Model!$C$9:$C$39,0),4)),IF(VLOOKUP(A378,Calendar!$A$1:$R$1377,18,0)=3,SUM(INDEX(Monthly_Pay_Model!$A$9:$D$40,MATCH(TEXT(A378,"dd"),Monthly_Pay_Model!$C$9:$C$39,0),4),INDEX(Monthly_Pay_Model!$A$9:$D$40,MATCH(TEXT(A379,"dd"),Monthly_Pay_Model!$C$9:$C$39,0),4),INDEX(Monthly_Pay_Model!$A$9:$D$40,MATCH(TEXT(A380,"dd"),Monthly_Pay_Model!$C$9:$C$39,0),4)),IF(VLOOKUP(A378,Calendar!$A$1:$R$1377,18,0)=4,SUM(INDEX(Monthly_Pay_Model!$A$9:$D$40,MATCH(TEXT(A378,"dd"),Monthly_Pay_Model!$C$9:$C$39,0),4),INDEX(Monthly_Pay_Model!$A$9:$D$40,MATCH(TEXT(A379,"dd"),Monthly_Pay_Model!$C$9:$C$39,0),4),INDEX(Monthly_Pay_Model!$A$9:$D$40,MATCH(TEXT(A380,"dd"),Monthly_Pay_Model!$C$9:$C$39,0),4),INDEX(Monthly_Pay_Model!$A$9:$D$40,MATCH(TEXT(A381,"dd"),Monthly_Pay_Model!$C$9:$C$39,0),4)),IF(VLOOKUP(A378,Calendar!$A$1:$R$1377,18,0)=5,SUM(INDEX(Monthly_Pay_Model!$A$9:$D$40,MATCH(TEXT(A378,"dd"),Monthly_Pay_Model!$C$9:$C$39,0),4),INDEX(Monthly_Pay_Model!$A$9:$D$40,MATCH(TEXT(A379,"dd"),Monthly_Pay_Model!$C$9:$C$39,0),4),INDEX(Monthly_Pay_Model!$A$9:$D$40,MATCH(TEXT(A380,"dd"),Monthly_Pay_Model!$C$9:$C$39,0),4),INDEX(Monthly_Pay_Model!$A$9:$D$40,MATCH(TEXT(A381,"dd"),Monthly_Pay_Model!$C$9:$C$39,0),4),INDEX(Monthly_Pay_Model!$A$9:$D$40,MATCH(TEXT(A382,"dd"),Monthly_Pay_Model!$C$9:$C$39,0),4)),))))))</f>
        <v>1.6251308900523558E-3</v>
      </c>
      <c r="J378" s="33">
        <f>IF(C378="Yes",Monthly_Pay_Model!$D$2,0)
+IF(Calendar!N378="Yes",Monthly_Pay_Model!$D$3,0)
+IF(D378="Yes",Monthly_Pay_Model!$D$4,0)
+IF(E378="Yes",Monthly_Pay_Model!$D$5,0)</f>
        <v>0</v>
      </c>
      <c r="K378" s="27">
        <f>IF(VLOOKUP($A378,Calendar!$A$1:$R$1377,18,0)=0,0,IF(VLOOKUP($A378,Calendar!$A$1:$R$1377,18,0)=1,IFERROR(INDEX(Weekly_Model!$D$2:$D$9,MATCH(F378,Weekly_Model!$A$2:$A$9,0)),0),IF(VLOOKUP($A378,Calendar!$A$1:$R$1377,18,0)=2,SUM(IFERROR(INDEX(Weekly_Model!$D$2:$D$9,MATCH(F378,Weekly_Model!$A$2:$A$9,0)),0),IFERROR(INDEX(Weekly_Model!$D$2:$D$9,MATCH(F379,Weekly_Model!$A$2:$A$9,0)),0)),IF(VLOOKUP($A378,Calendar!$A$1:$R$1377,18,0)=3,SUM(IFERROR(INDEX(Weekly_Model!$D$2:$D$9,MATCH(F378,Weekly_Model!$A$2:$A$9,0)),0),IFERROR(INDEX(Weekly_Model!$D$2:$D$9,MATCH(F379,Weekly_Model!$A$2:$A$9,0)),0),IFERROR(INDEX(Weekly_Model!$D$2:$D$9,MATCH(F380,Weekly_Model!$A$2:$A$9,0)),0)),IF(VLOOKUP($A378,Calendar!$A$1:$R$1377,18,0)=4,SUM(IFERROR(INDEX(Weekly_Model!$D$2:$D$9,MATCH(F378,Weekly_Model!$A$2:$A$9,0)),0),IFERROR(INDEX(Weekly_Model!$D$2:$D$9,MATCH(F379,Weekly_Model!$A$2:$A$9,0)),0),IFERROR(INDEX(Weekly_Model!$D$2:$D$9,MATCH(F380,Weekly_Model!$A$2:$A$9,0)),0),IFERROR(INDEX(Weekly_Model!$D$2:$D$9,MATCH(F381,Weekly_Model!$A$2:$A$9,0)),0)),IF(VLOOKUP($A378,Calendar!$A$1:$R$1377,18,0)=5,SUM(IFERROR(INDEX(Weekly_Model!$D$2:$D$9,MATCH(F378,Weekly_Model!$A$2:$A$9,0)),0),IFERROR(INDEX(Weekly_Model!$D$2:$D$9,MATCH(F379,Weekly_Model!$A$2:$A$9,0)),0),IFERROR(INDEX(Weekly_Model!$D$2:$D$9,MATCH(F380,Weekly_Model!$A$2:$A$9,0)),0),IFERROR(INDEX(Weekly_Model!$D$2:$D$9,MATCH(F381,Weekly_Model!$A$2:$A$9,0)),0),IFERROR(INDEX(Weekly_Model!$D$2:$D$9,MATCH(F382,Weekly_Model!$A$2:$A$9,0)),0)),0))))))</f>
        <v>2.3200000000000002E-2</v>
      </c>
      <c r="L378" s="27">
        <f>IF(VLOOKUP($A378,Calendar!$A$1:$R$1377,18,0)=0,0,IF(VLOOKUP($A378,Calendar!$A$1:$R$1377,18,0)=1,IFERROR(INDEX(Fortnightly_Model!$D$2:$D$15,MATCH(G378,Fortnightly_Model!$B$2:$B$15,0)),0),IF(VLOOKUP($A378,Calendar!$A$1:$R$1377,18,0)=2,SUM(IFERROR(INDEX(Fortnightly_Model!$D$2:$D$15,MATCH(G378,Fortnightly_Model!$B$2:$B$15,0)),0),IFERROR(INDEX(Fortnightly_Model!$D$2:$D$15,MATCH(G379,Fortnightly_Model!$B$2:$B$15,0)),0)),IF(VLOOKUP($A378,Calendar!$A$1:$R$1377,18,0)=3,SUM(IFERROR(INDEX(Fortnightly_Model!$D$2:$D$15,MATCH(G378,Fortnightly_Model!$B$2:$B$15,0)),0),IFERROR(INDEX(Fortnightly_Model!$D$2:$D$15,MATCH(G379,Fortnightly_Model!$B$2:$B$15,0)),0),IFERROR(INDEX(Fortnightly_Model!$D$2:$D$15,MATCH(G380,Fortnightly_Model!$B$2:$B$15,0)),0)),IF(VLOOKUP($A378,Calendar!$A$1:$R$1377,18,0)=4,SUM(IFERROR(INDEX(Fortnightly_Model!$D$2:$D$15,MATCH(G378,Fortnightly_Model!$B$2:$B$15,0)),0),IFERROR(INDEX(Fortnightly_Model!$D$2:$D$15,MATCH(G379,Fortnightly_Model!$B$2:$B$15,0)),0),IFERROR(INDEX(Fortnightly_Model!$D$2:$D$15,MATCH(G380,Fortnightly_Model!$B$2:$B$15,0)),0),IFERROR(INDEX(Fortnightly_Model!$D$2:$D$15,MATCH(G381,Fortnightly_Model!$B$2:$B$15,0)),0)),IF(VLOOKUP($A378,Calendar!$A$1:$R$1377,18,0)=5,SUM(IFERROR(INDEX(Fortnightly_Model!$D$2:$D$15,MATCH(G378,Fortnightly_Model!$B$2:$B$15,0)),0),IFERROR(INDEX(Fortnightly_Model!$D$2:$D$15,MATCH(G379,Fortnightly_Model!$B$2:$B$15,0)),0),IFERROR(INDEX(Fortnightly_Model!$D$2:$D$15,MATCH(G380,Fortnightly_Model!$B$2:$B$15,0)),0),IFERROR(INDEX(Fortnightly_Model!$D$2:$D$15,MATCH(G381,Fortnightly_Model!$B$2:$B$15,0)),0),IFERROR(INDEX(Fortnightly_Model!$D$2:$D$15,MATCH(G382,Fortnightly_Model!$B$2:$B$15,0)),0)),0))))))</f>
        <v>1.0714285499999999E-3</v>
      </c>
      <c r="M378" s="27">
        <f>IF(VLOOKUP($A378,Calendar!$A$1:$R$1377,18,0)=0,0,IF(VLOOKUP($A378,Calendar!$A$1:$R$1377,18,0)=1,IFERROR(INDEX(FourWeekly_Model!$D$2:$D$29,MATCH(H378,FourWeekly_Model!$B$2:$B$29,0)),0),IF(VLOOKUP($A378,Calendar!$A$1:$R$1377,18,0)=2,SUM(IFERROR(INDEX(FourWeekly_Model!$D$2:$D$29,MATCH(H378,FourWeekly_Model!$B$2:$B$29,0)),0),IFERROR(INDEX(FourWeekly_Model!$D$2:$D$29,MATCH(H379,FourWeekly_Model!$B$2:$B$29,0)),0)),IF(VLOOKUP($A378,Calendar!$A$1:$R$1377,18,0)=3,SUM(IFERROR(INDEX(FourWeekly_Model!$D$2:$D$29,MATCH(H378,FourWeekly_Model!$B$2:$B$29,0)),0),IFERROR(INDEX(FourWeekly_Model!$D$2:$D$29,MATCH(H379,FourWeekly_Model!$B$2:$B$29,0)),0),IFERROR(INDEX(FourWeekly_Model!$D$2:$D$29,MATCH(H380,FourWeekly_Model!$B$2:$B$29,0)),0)),IF(VLOOKUP($A378,Calendar!$A$1:$R$1377,18,0)=4,SUM(IFERROR(INDEX(FourWeekly_Model!$D$2:$D$29,MATCH(H378,FourWeekly_Model!$B$2:$B$29,0)),0),IFERROR(INDEX(FourWeekly_Model!$D$2:$D$29,MATCH(H379,FourWeekly_Model!$B$2:$B$29,0)),0),IFERROR(INDEX(FourWeekly_Model!$D$2:$D$29,MATCH(H380,FourWeekly_Model!$B$2:$B$29,0)),0),IFERROR(INDEX(FourWeekly_Model!$D$2:$D$29,MATCH(H381,FourWeekly_Model!$B$2:$B$29,0)),0)),IF(VLOOKUP($A378,Calendar!$A$1:$R$1377,18,0)=5,SUM(IFERROR(INDEX(FourWeekly_Model!$D$2:$D$29,MATCH(H378,FourWeekly_Model!$B$2:$B$29,0)),0),IFERROR(INDEX(FourWeekly_Model!$D$2:$D$29,MATCH(H379,FourWeekly_Model!$B$2:$B$29,0)),0),IFERROR(INDEX(FourWeekly_Model!$D$2:$D$29,MATCH(H380,FourWeekly_Model!$B$2:$B$29,0)),0),IFERROR(INDEX(FourWeekly_Model!$D$2:$D$29,MATCH(H381,FourWeekly_Model!$B$2:$B$29,0)),0),IFERROR(INDEX(FourWeekly_Model!$D$2:$D$29,MATCH(H382,FourWeekly_Model!$B$2:$B$29,0)),0)),0))))))</f>
        <v>3.3214289700000004E-3</v>
      </c>
      <c r="N378" s="27">
        <f>SUM(I378:M378)</f>
        <v>2.921798841005236E-2</v>
      </c>
      <c r="O378" s="28">
        <f>Population_Data!$B$8*N378</f>
        <v>885305.04882458656</v>
      </c>
      <c r="P378" s="27">
        <f>IF(VLOOKUP($A378,Calendar!$A$1:$R$1377,18,0)=0,0,IF(VLOOKUP($A378,Calendar!$A$1:$R$1377,18,0)=1,IFERROR(INDEX(Pension_Model!$D$2:$D$29,MATCH(H378,Pension_Model!$B$2:$B$29,0)),0),IF(VLOOKUP($A378,Calendar!$A$1:$R$1377,18,0)=2,SUM(IFERROR(INDEX(Pension_Model!$D$2:$D$29,MATCH(H378,Pension_Model!$B$2:$B$29,0)),0),IFERROR(INDEX(Pension_Model!$D$2:$D$29,MATCH(H379,Pension_Model!$B$2:$B$29,0)),0)),IF(VLOOKUP($A378,Calendar!$A$1:$R$1377,18,0)=3,SUM(IFERROR(INDEX(Pension_Model!$D$2:$D$29,MATCH(H378,Pension_Model!$B$2:$B$29,0)),0),IFERROR(INDEX(Pension_Model!$D$2:$D$29,MATCH(H379,Pension_Model!$B$2:$B$29,0)),0),IFERROR(INDEX(Pension_Model!$D$2:$D$29,MATCH(H380,Pension_Model!$B$2:$B$29,0)),0)),IF(VLOOKUP($A378,Calendar!$A$1:$R$1377,18,0)=4,SUM(IFERROR(INDEX(Pension_Model!$D$2:$D$29,MATCH(H378,Pension_Model!$B$2:$B$29,0)),0),IFERROR(INDEX(Pension_Model!$D$2:$D$29,MATCH(H379,Pension_Model!$B$2:$B$29,0)),0),IFERROR(INDEX(Pension_Model!$D$2:$D$29,MATCH(H380,Pension_Model!$B$2:$B$29,0)),0),IFERROR(INDEX(Pension_Model!$D$2:$D$29,MATCH(H381,Pension_Model!$B$2:$B$29,0)),0)),IF(VLOOKUP($A378,Calendar!$A$1:$R$1377,18,0)=5,SUM(IFERROR(INDEX(Pension_Model!$D$2:$D$29,MATCH(H378,Pension_Model!$B$2:$B$29,0)),0),IFERROR(INDEX(Pension_Model!$D$2:$D$29,MATCH(H379,Pension_Model!$B$2:$B$29,0)),0),IFERROR(INDEX(Pension_Model!$D$2:$D$29,MATCH(H380,Pension_Model!$B$2:$B$29,0)),0),IFERROR(INDEX(Pension_Model!$D$2:$D$29,MATCH(H381,Pension_Model!$B$2:$B$29,0)),0),IFERROR(INDEX(Pension_Model!$D$2:$D$29,MATCH(H382,Pension_Model!$B$2:$B$29,0)),0)),0))))))</f>
        <v>0.05</v>
      </c>
      <c r="Q378" s="28">
        <f>Population_Data!$B$15*P378</f>
        <v>660600</v>
      </c>
      <c r="S378">
        <f t="shared" si="5"/>
        <v>1545905.0488245864</v>
      </c>
      <c r="U378" s="33">
        <f>S378/Population_Data!$B$19</f>
        <v>2.8005526246822218E-2</v>
      </c>
    </row>
    <row r="379" spans="1:21">
      <c r="A379" s="25">
        <f>Calendar!A379</f>
        <v>46612</v>
      </c>
      <c r="B379" t="str">
        <f>Calendar!L379</f>
        <v>Yes</v>
      </c>
      <c r="C379" t="str">
        <f>Calendar!O379</f>
        <v>No</v>
      </c>
      <c r="D379" t="str">
        <f>Calendar!P379</f>
        <v>No</v>
      </c>
      <c r="E379" t="str">
        <f>Calendar!Q379</f>
        <v>No</v>
      </c>
      <c r="F379" t="str">
        <f>Calendar!I379</f>
        <v>Friday</v>
      </c>
      <c r="G379">
        <f>Calendar!S379</f>
        <v>6</v>
      </c>
      <c r="H379">
        <f>Calendar!T379</f>
        <v>20</v>
      </c>
      <c r="I379" s="27">
        <f>IF(VLOOKUP(A379,Calendar!$A$1:$R$1377,18,0)=0,0,IF(VLOOKUP(A379,Calendar!$A$1:$R$1377,18,0)=1,INDEX(Monthly_Pay_Model!$A$9:$D$40,MATCH(TEXT(A379,"dd"),Monthly_Pay_Model!$C$9:$C$39,0),4),IF(VLOOKUP(A379,Calendar!$A$1:$R$1377,18,0)=2,SUM(INDEX(Monthly_Pay_Model!$A$9:$D$40,MATCH(TEXT(A379,"dd"),Monthly_Pay_Model!$C$9:$C$39,0),4),INDEX(Monthly_Pay_Model!$A$9:$D$40,MATCH(TEXT(A380,"dd"),Monthly_Pay_Model!$C$9:$C$39,0),4)),IF(VLOOKUP(A379,Calendar!$A$1:$R$1377,18,0)=3,SUM(INDEX(Monthly_Pay_Model!$A$9:$D$40,MATCH(TEXT(A379,"dd"),Monthly_Pay_Model!$C$9:$C$39,0),4),INDEX(Monthly_Pay_Model!$A$9:$D$40,MATCH(TEXT(A380,"dd"),Monthly_Pay_Model!$C$9:$C$39,0),4),INDEX(Monthly_Pay_Model!$A$9:$D$40,MATCH(TEXT(A381,"dd"),Monthly_Pay_Model!$C$9:$C$39,0),4)),IF(VLOOKUP(A379,Calendar!$A$1:$R$1377,18,0)=4,SUM(INDEX(Monthly_Pay_Model!$A$9:$D$40,MATCH(TEXT(A379,"dd"),Monthly_Pay_Model!$C$9:$C$39,0),4),INDEX(Monthly_Pay_Model!$A$9:$D$40,MATCH(TEXT(A380,"dd"),Monthly_Pay_Model!$C$9:$C$39,0),4),INDEX(Monthly_Pay_Model!$A$9:$D$40,MATCH(TEXT(A381,"dd"),Monthly_Pay_Model!$C$9:$C$39,0),4),INDEX(Monthly_Pay_Model!$A$9:$D$40,MATCH(TEXT(A382,"dd"),Monthly_Pay_Model!$C$9:$C$39,0),4)),IF(VLOOKUP(A379,Calendar!$A$1:$R$1377,18,0)=5,SUM(INDEX(Monthly_Pay_Model!$A$9:$D$40,MATCH(TEXT(A379,"dd"),Monthly_Pay_Model!$C$9:$C$39,0),4),INDEX(Monthly_Pay_Model!$A$9:$D$40,MATCH(TEXT(A380,"dd"),Monthly_Pay_Model!$C$9:$C$39,0),4),INDEX(Monthly_Pay_Model!$A$9:$D$40,MATCH(TEXT(A381,"dd"),Monthly_Pay_Model!$C$9:$C$39,0),4),INDEX(Monthly_Pay_Model!$A$9:$D$40,MATCH(TEXT(A382,"dd"),Monthly_Pay_Model!$C$9:$C$39,0),4),INDEX(Monthly_Pay_Model!$A$9:$D$40,MATCH(TEXT(A383,"dd"),Monthly_Pay_Model!$C$9:$C$39,0),4)),))))))</f>
        <v>1.4626178010471202E-2</v>
      </c>
      <c r="J379" s="33">
        <f>IF(C379="Yes",Monthly_Pay_Model!$D$2,0)
+IF(Calendar!N379="Yes",Monthly_Pay_Model!$D$3,0)
+IF(D379="Yes",Monthly_Pay_Model!$D$4,0)
+IF(E379="Yes",Monthly_Pay_Model!$D$5,0)</f>
        <v>0</v>
      </c>
      <c r="K379" s="27">
        <f>IF(VLOOKUP($A379,Calendar!$A$1:$R$1377,18,0)=0,0,IF(VLOOKUP($A379,Calendar!$A$1:$R$1377,18,0)=1,IFERROR(INDEX(Weekly_Model!$D$2:$D$9,MATCH(F379,Weekly_Model!$A$2:$A$9,0)),0),IF(VLOOKUP($A379,Calendar!$A$1:$R$1377,18,0)=2,SUM(IFERROR(INDEX(Weekly_Model!$D$2:$D$9,MATCH(F379,Weekly_Model!$A$2:$A$9,0)),0),IFERROR(INDEX(Weekly_Model!$D$2:$D$9,MATCH(F380,Weekly_Model!$A$2:$A$9,0)),0)),IF(VLOOKUP($A379,Calendar!$A$1:$R$1377,18,0)=3,SUM(IFERROR(INDEX(Weekly_Model!$D$2:$D$9,MATCH(F379,Weekly_Model!$A$2:$A$9,0)),0),IFERROR(INDEX(Weekly_Model!$D$2:$D$9,MATCH(F380,Weekly_Model!$A$2:$A$9,0)),0),IFERROR(INDEX(Weekly_Model!$D$2:$D$9,MATCH(F381,Weekly_Model!$A$2:$A$9,0)),0)),IF(VLOOKUP($A379,Calendar!$A$1:$R$1377,18,0)=4,SUM(IFERROR(INDEX(Weekly_Model!$D$2:$D$9,MATCH(F379,Weekly_Model!$A$2:$A$9,0)),0),IFERROR(INDEX(Weekly_Model!$D$2:$D$9,MATCH(F380,Weekly_Model!$A$2:$A$9,0)),0),IFERROR(INDEX(Weekly_Model!$D$2:$D$9,MATCH(F381,Weekly_Model!$A$2:$A$9,0)),0),IFERROR(INDEX(Weekly_Model!$D$2:$D$9,MATCH(F382,Weekly_Model!$A$2:$A$9,0)),0)),IF(VLOOKUP($A379,Calendar!$A$1:$R$1377,18,0)=5,SUM(IFERROR(INDEX(Weekly_Model!$D$2:$D$9,MATCH(F379,Weekly_Model!$A$2:$A$9,0)),0),IFERROR(INDEX(Weekly_Model!$D$2:$D$9,MATCH(F380,Weekly_Model!$A$2:$A$9,0)),0),IFERROR(INDEX(Weekly_Model!$D$2:$D$9,MATCH(F381,Weekly_Model!$A$2:$A$9,0)),0),IFERROR(INDEX(Weekly_Model!$D$2:$D$9,MATCH(F382,Weekly_Model!$A$2:$A$9,0)),0),IFERROR(INDEX(Weekly_Model!$D$2:$D$9,MATCH(F383,Weekly_Model!$A$2:$A$9,0)),0)),0))))))</f>
        <v>2.3200000000000002E-2</v>
      </c>
      <c r="L379" s="27">
        <f>IF(VLOOKUP($A379,Calendar!$A$1:$R$1377,18,0)=0,0,IF(VLOOKUP($A379,Calendar!$A$1:$R$1377,18,0)=1,IFERROR(INDEX(Fortnightly_Model!$D$2:$D$15,MATCH(G379,Fortnightly_Model!$B$2:$B$15,0)),0),IF(VLOOKUP($A379,Calendar!$A$1:$R$1377,18,0)=2,SUM(IFERROR(INDEX(Fortnightly_Model!$D$2:$D$15,MATCH(G379,Fortnightly_Model!$B$2:$B$15,0)),0),IFERROR(INDEX(Fortnightly_Model!$D$2:$D$15,MATCH(G380,Fortnightly_Model!$B$2:$B$15,0)),0)),IF(VLOOKUP($A379,Calendar!$A$1:$R$1377,18,0)=3,SUM(IFERROR(INDEX(Fortnightly_Model!$D$2:$D$15,MATCH(G379,Fortnightly_Model!$B$2:$B$15,0)),0),IFERROR(INDEX(Fortnightly_Model!$D$2:$D$15,MATCH(G380,Fortnightly_Model!$B$2:$B$15,0)),0),IFERROR(INDEX(Fortnightly_Model!$D$2:$D$15,MATCH(G381,Fortnightly_Model!$B$2:$B$15,0)),0)),IF(VLOOKUP($A379,Calendar!$A$1:$R$1377,18,0)=4,SUM(IFERROR(INDEX(Fortnightly_Model!$D$2:$D$15,MATCH(G379,Fortnightly_Model!$B$2:$B$15,0)),0),IFERROR(INDEX(Fortnightly_Model!$D$2:$D$15,MATCH(G380,Fortnightly_Model!$B$2:$B$15,0)),0),IFERROR(INDEX(Fortnightly_Model!$D$2:$D$15,MATCH(G381,Fortnightly_Model!$B$2:$B$15,0)),0),IFERROR(INDEX(Fortnightly_Model!$D$2:$D$15,MATCH(G382,Fortnightly_Model!$B$2:$B$15,0)),0)),IF(VLOOKUP($A379,Calendar!$A$1:$R$1377,18,0)=5,SUM(IFERROR(INDEX(Fortnightly_Model!$D$2:$D$15,MATCH(G379,Fortnightly_Model!$B$2:$B$15,0)),0),IFERROR(INDEX(Fortnightly_Model!$D$2:$D$15,MATCH(G380,Fortnightly_Model!$B$2:$B$15,0)),0),IFERROR(INDEX(Fortnightly_Model!$D$2:$D$15,MATCH(G381,Fortnightly_Model!$B$2:$B$15,0)),0),IFERROR(INDEX(Fortnightly_Model!$D$2:$D$15,MATCH(G382,Fortnightly_Model!$B$2:$B$15,0)),0),IFERROR(INDEX(Fortnightly_Model!$D$2:$D$15,MATCH(G383,Fortnightly_Model!$B$2:$B$15,0)),0)),0))))))</f>
        <v>3.2142856499999999E-3</v>
      </c>
      <c r="M379" s="27">
        <f>IF(VLOOKUP($A379,Calendar!$A$1:$R$1377,18,0)=0,0,IF(VLOOKUP($A379,Calendar!$A$1:$R$1377,18,0)=1,IFERROR(INDEX(FourWeekly_Model!$D$2:$D$29,MATCH(H379,FourWeekly_Model!$B$2:$B$29,0)),0),IF(VLOOKUP($A379,Calendar!$A$1:$R$1377,18,0)=2,SUM(IFERROR(INDEX(FourWeekly_Model!$D$2:$D$29,MATCH(H379,FourWeekly_Model!$B$2:$B$29,0)),0),IFERROR(INDEX(FourWeekly_Model!$D$2:$D$29,MATCH(H380,FourWeekly_Model!$B$2:$B$29,0)),0)),IF(VLOOKUP($A379,Calendar!$A$1:$R$1377,18,0)=3,SUM(IFERROR(INDEX(FourWeekly_Model!$D$2:$D$29,MATCH(H379,FourWeekly_Model!$B$2:$B$29,0)),0),IFERROR(INDEX(FourWeekly_Model!$D$2:$D$29,MATCH(H380,FourWeekly_Model!$B$2:$B$29,0)),0),IFERROR(INDEX(FourWeekly_Model!$D$2:$D$29,MATCH(H381,FourWeekly_Model!$B$2:$B$29,0)),0)),IF(VLOOKUP($A379,Calendar!$A$1:$R$1377,18,0)=4,SUM(IFERROR(INDEX(FourWeekly_Model!$D$2:$D$29,MATCH(H379,FourWeekly_Model!$B$2:$B$29,0)),0),IFERROR(INDEX(FourWeekly_Model!$D$2:$D$29,MATCH(H380,FourWeekly_Model!$B$2:$B$29,0)),0),IFERROR(INDEX(FourWeekly_Model!$D$2:$D$29,MATCH(H381,FourWeekly_Model!$B$2:$B$29,0)),0),IFERROR(INDEX(FourWeekly_Model!$D$2:$D$29,MATCH(H382,FourWeekly_Model!$B$2:$B$29,0)),0)),IF(VLOOKUP($A379,Calendar!$A$1:$R$1377,18,0)=5,SUM(IFERROR(INDEX(FourWeekly_Model!$D$2:$D$29,MATCH(H379,FourWeekly_Model!$B$2:$B$29,0)),0),IFERROR(INDEX(FourWeekly_Model!$D$2:$D$29,MATCH(H380,FourWeekly_Model!$B$2:$B$29,0)),0),IFERROR(INDEX(FourWeekly_Model!$D$2:$D$29,MATCH(H381,FourWeekly_Model!$B$2:$B$29,0)),0),IFERROR(INDEX(FourWeekly_Model!$D$2:$D$29,MATCH(H382,FourWeekly_Model!$B$2:$B$29,0)),0),IFERROR(INDEX(FourWeekly_Model!$D$2:$D$29,MATCH(H383,FourWeekly_Model!$B$2:$B$29,0)),0)),0))))))</f>
        <v>9.9642859800000011E-3</v>
      </c>
      <c r="N379" s="27">
        <f>SUM(I379:M379)</f>
        <v>5.1004749640471206E-2</v>
      </c>
      <c r="O379" s="28">
        <f>Population_Data!$B$8*N379</f>
        <v>1545443.9141062775</v>
      </c>
      <c r="P379" s="27">
        <f>IF(VLOOKUP($A379,Calendar!$A$1:$R$1377,18,0)=0,0,IF(VLOOKUP($A379,Calendar!$A$1:$R$1377,18,0)=1,IFERROR(INDEX(Pension_Model!$D$2:$D$29,MATCH(H379,Pension_Model!$B$2:$B$29,0)),0),IF(VLOOKUP($A379,Calendar!$A$1:$R$1377,18,0)=2,SUM(IFERROR(INDEX(Pension_Model!$D$2:$D$29,MATCH(H379,Pension_Model!$B$2:$B$29,0)),0),IFERROR(INDEX(Pension_Model!$D$2:$D$29,MATCH(H380,Pension_Model!$B$2:$B$29,0)),0)),IF(VLOOKUP($A379,Calendar!$A$1:$R$1377,18,0)=3,SUM(IFERROR(INDEX(Pension_Model!$D$2:$D$29,MATCH(H379,Pension_Model!$B$2:$B$29,0)),0),IFERROR(INDEX(Pension_Model!$D$2:$D$29,MATCH(H380,Pension_Model!$B$2:$B$29,0)),0),IFERROR(INDEX(Pension_Model!$D$2:$D$29,MATCH(H381,Pension_Model!$B$2:$B$29,0)),0)),IF(VLOOKUP($A379,Calendar!$A$1:$R$1377,18,0)=4,SUM(IFERROR(INDEX(Pension_Model!$D$2:$D$29,MATCH(H379,Pension_Model!$B$2:$B$29,0)),0),IFERROR(INDEX(Pension_Model!$D$2:$D$29,MATCH(H380,Pension_Model!$B$2:$B$29,0)),0),IFERROR(INDEX(Pension_Model!$D$2:$D$29,MATCH(H381,Pension_Model!$B$2:$B$29,0)),0),IFERROR(INDEX(Pension_Model!$D$2:$D$29,MATCH(H382,Pension_Model!$B$2:$B$29,0)),0)),IF(VLOOKUP($A379,Calendar!$A$1:$R$1377,18,0)=5,SUM(IFERROR(INDEX(Pension_Model!$D$2:$D$29,MATCH(H379,Pension_Model!$B$2:$B$29,0)),0),IFERROR(INDEX(Pension_Model!$D$2:$D$29,MATCH(H380,Pension_Model!$B$2:$B$29,0)),0),IFERROR(INDEX(Pension_Model!$D$2:$D$29,MATCH(H381,Pension_Model!$B$2:$B$29,0)),0),IFERROR(INDEX(Pension_Model!$D$2:$D$29,MATCH(H382,Pension_Model!$B$2:$B$29,0)),0),IFERROR(INDEX(Pension_Model!$D$2:$D$29,MATCH(H383,Pension_Model!$B$2:$B$29,0)),0)),0))))))</f>
        <v>0.05</v>
      </c>
      <c r="Q379" s="28">
        <f>Population_Data!$B$15*P379</f>
        <v>660600</v>
      </c>
      <c r="S379">
        <f t="shared" si="5"/>
        <v>2206043.9141062777</v>
      </c>
      <c r="U379" s="33">
        <f>S379/Population_Data!$B$19</f>
        <v>3.9964563661345612E-2</v>
      </c>
    </row>
    <row r="380" spans="1:21">
      <c r="A380" s="25">
        <f>Calendar!A380</f>
        <v>46613</v>
      </c>
      <c r="B380" t="str">
        <f>Calendar!L380</f>
        <v>No</v>
      </c>
      <c r="C380" t="str">
        <f>Calendar!O380</f>
        <v>No</v>
      </c>
      <c r="D380" t="str">
        <f>Calendar!P380</f>
        <v>No</v>
      </c>
      <c r="E380" t="str">
        <f>Calendar!Q380</f>
        <v>No</v>
      </c>
      <c r="F380" t="str">
        <f>Calendar!I380</f>
        <v>Saturday</v>
      </c>
      <c r="G380">
        <f>Calendar!S380</f>
        <v>7</v>
      </c>
      <c r="H380">
        <f>Calendar!T380</f>
        <v>21</v>
      </c>
      <c r="I380" s="27">
        <f>IF(VLOOKUP(A380,Calendar!$A$1:$R$1377,18,0)=0,0,IF(VLOOKUP(A380,Calendar!$A$1:$R$1377,18,0)=1,INDEX(Monthly_Pay_Model!$A$9:$D$40,MATCH(TEXT(A380,"dd"),Monthly_Pay_Model!$C$9:$C$39,0),4),IF(VLOOKUP(A380,Calendar!$A$1:$R$1377,18,0)=2,SUM(INDEX(Monthly_Pay_Model!$A$9:$D$40,MATCH(TEXT(A380,"dd"),Monthly_Pay_Model!$C$9:$C$39,0),4),INDEX(Monthly_Pay_Model!$A$9:$D$40,MATCH(TEXT(A381,"dd"),Monthly_Pay_Model!$C$9:$C$39,0),4)),IF(VLOOKUP(A380,Calendar!$A$1:$R$1377,18,0)=3,SUM(INDEX(Monthly_Pay_Model!$A$9:$D$40,MATCH(TEXT(A380,"dd"),Monthly_Pay_Model!$C$9:$C$39,0),4),INDEX(Monthly_Pay_Model!$A$9:$D$40,MATCH(TEXT(A381,"dd"),Monthly_Pay_Model!$C$9:$C$39,0),4),INDEX(Monthly_Pay_Model!$A$9:$D$40,MATCH(TEXT(A382,"dd"),Monthly_Pay_Model!$C$9:$C$39,0),4)),IF(VLOOKUP(A380,Calendar!$A$1:$R$1377,18,0)=4,SUM(INDEX(Monthly_Pay_Model!$A$9:$D$40,MATCH(TEXT(A380,"dd"),Monthly_Pay_Model!$C$9:$C$39,0),4),INDEX(Monthly_Pay_Model!$A$9:$D$40,MATCH(TEXT(A381,"dd"),Monthly_Pay_Model!$C$9:$C$39,0),4),INDEX(Monthly_Pay_Model!$A$9:$D$40,MATCH(TEXT(A382,"dd"),Monthly_Pay_Model!$C$9:$C$39,0),4),INDEX(Monthly_Pay_Model!$A$9:$D$40,MATCH(TEXT(A383,"dd"),Monthly_Pay_Model!$C$9:$C$39,0),4)),IF(VLOOKUP(A380,Calendar!$A$1:$R$1377,18,0)=5,SUM(INDEX(Monthly_Pay_Model!$A$9:$D$40,MATCH(TEXT(A380,"dd"),Monthly_Pay_Model!$C$9:$C$39,0),4),INDEX(Monthly_Pay_Model!$A$9:$D$40,MATCH(TEXT(A381,"dd"),Monthly_Pay_Model!$C$9:$C$39,0),4),INDEX(Monthly_Pay_Model!$A$9:$D$40,MATCH(TEXT(A382,"dd"),Monthly_Pay_Model!$C$9:$C$39,0),4),INDEX(Monthly_Pay_Model!$A$9:$D$40,MATCH(TEXT(A383,"dd"),Monthly_Pay_Model!$C$9:$C$39,0),4),INDEX(Monthly_Pay_Model!$A$9:$D$40,MATCH(TEXT(A384,"dd"),Monthly_Pay_Model!$C$9:$C$39,0),4)),))))))</f>
        <v>0</v>
      </c>
      <c r="J380" s="33">
        <f>IF(C380="Yes",Monthly_Pay_Model!$D$2,0)
+IF(Calendar!N380="Yes",Monthly_Pay_Model!$D$3,0)
+IF(D380="Yes",Monthly_Pay_Model!$D$4,0)
+IF(E380="Yes",Monthly_Pay_Model!$D$5,0)</f>
        <v>0</v>
      </c>
      <c r="K380" s="27">
        <f>IF(VLOOKUP($A380,Calendar!$A$1:$R$1377,18,0)=0,0,IF(VLOOKUP($A380,Calendar!$A$1:$R$1377,18,0)=1,IFERROR(INDEX(Weekly_Model!$D$2:$D$9,MATCH(F380,Weekly_Model!$A$2:$A$9,0)),0),IF(VLOOKUP($A380,Calendar!$A$1:$R$1377,18,0)=2,SUM(IFERROR(INDEX(Weekly_Model!$D$2:$D$9,MATCH(F380,Weekly_Model!$A$2:$A$9,0)),0),IFERROR(INDEX(Weekly_Model!$D$2:$D$9,MATCH(F381,Weekly_Model!$A$2:$A$9,0)),0)),IF(VLOOKUP($A380,Calendar!$A$1:$R$1377,18,0)=3,SUM(IFERROR(INDEX(Weekly_Model!$D$2:$D$9,MATCH(F380,Weekly_Model!$A$2:$A$9,0)),0),IFERROR(INDEX(Weekly_Model!$D$2:$D$9,MATCH(F381,Weekly_Model!$A$2:$A$9,0)),0),IFERROR(INDEX(Weekly_Model!$D$2:$D$9,MATCH(F382,Weekly_Model!$A$2:$A$9,0)),0)),IF(VLOOKUP($A380,Calendar!$A$1:$R$1377,18,0)=4,SUM(IFERROR(INDEX(Weekly_Model!$D$2:$D$9,MATCH(F380,Weekly_Model!$A$2:$A$9,0)),0),IFERROR(INDEX(Weekly_Model!$D$2:$D$9,MATCH(F381,Weekly_Model!$A$2:$A$9,0)),0),IFERROR(INDEX(Weekly_Model!$D$2:$D$9,MATCH(F382,Weekly_Model!$A$2:$A$9,0)),0),IFERROR(INDEX(Weekly_Model!$D$2:$D$9,MATCH(F383,Weekly_Model!$A$2:$A$9,0)),0)),IF(VLOOKUP($A380,Calendar!$A$1:$R$1377,18,0)=5,SUM(IFERROR(INDEX(Weekly_Model!$D$2:$D$9,MATCH(F380,Weekly_Model!$A$2:$A$9,0)),0),IFERROR(INDEX(Weekly_Model!$D$2:$D$9,MATCH(F381,Weekly_Model!$A$2:$A$9,0)),0),IFERROR(INDEX(Weekly_Model!$D$2:$D$9,MATCH(F382,Weekly_Model!$A$2:$A$9,0)),0),IFERROR(INDEX(Weekly_Model!$D$2:$D$9,MATCH(F383,Weekly_Model!$A$2:$A$9,0)),0),IFERROR(INDEX(Weekly_Model!$D$2:$D$9,MATCH(F384,Weekly_Model!$A$2:$A$9,0)),0)),0))))))</f>
        <v>0</v>
      </c>
      <c r="L380" s="27">
        <f>IF(VLOOKUP($A380,Calendar!$A$1:$R$1377,18,0)=0,0,IF(VLOOKUP($A380,Calendar!$A$1:$R$1377,18,0)=1,IFERROR(INDEX(Fortnightly_Model!$D$2:$D$15,MATCH(G380,Fortnightly_Model!$B$2:$B$15,0)),0),IF(VLOOKUP($A380,Calendar!$A$1:$R$1377,18,0)=2,SUM(IFERROR(INDEX(Fortnightly_Model!$D$2:$D$15,MATCH(G380,Fortnightly_Model!$B$2:$B$15,0)),0),IFERROR(INDEX(Fortnightly_Model!$D$2:$D$15,MATCH(G381,Fortnightly_Model!$B$2:$B$15,0)),0)),IF(VLOOKUP($A380,Calendar!$A$1:$R$1377,18,0)=3,SUM(IFERROR(INDEX(Fortnightly_Model!$D$2:$D$15,MATCH(G380,Fortnightly_Model!$B$2:$B$15,0)),0),IFERROR(INDEX(Fortnightly_Model!$D$2:$D$15,MATCH(G381,Fortnightly_Model!$B$2:$B$15,0)),0),IFERROR(INDEX(Fortnightly_Model!$D$2:$D$15,MATCH(G382,Fortnightly_Model!$B$2:$B$15,0)),0)),IF(VLOOKUP($A380,Calendar!$A$1:$R$1377,18,0)=4,SUM(IFERROR(INDEX(Fortnightly_Model!$D$2:$D$15,MATCH(G380,Fortnightly_Model!$B$2:$B$15,0)),0),IFERROR(INDEX(Fortnightly_Model!$D$2:$D$15,MATCH(G381,Fortnightly_Model!$B$2:$B$15,0)),0),IFERROR(INDEX(Fortnightly_Model!$D$2:$D$15,MATCH(G382,Fortnightly_Model!$B$2:$B$15,0)),0),IFERROR(INDEX(Fortnightly_Model!$D$2:$D$15,MATCH(G383,Fortnightly_Model!$B$2:$B$15,0)),0)),IF(VLOOKUP($A380,Calendar!$A$1:$R$1377,18,0)=5,SUM(IFERROR(INDEX(Fortnightly_Model!$D$2:$D$15,MATCH(G380,Fortnightly_Model!$B$2:$B$15,0)),0),IFERROR(INDEX(Fortnightly_Model!$D$2:$D$15,MATCH(G381,Fortnightly_Model!$B$2:$B$15,0)),0),IFERROR(INDEX(Fortnightly_Model!$D$2:$D$15,MATCH(G382,Fortnightly_Model!$B$2:$B$15,0)),0),IFERROR(INDEX(Fortnightly_Model!$D$2:$D$15,MATCH(G383,Fortnightly_Model!$B$2:$B$15,0)),0),IFERROR(INDEX(Fortnightly_Model!$D$2:$D$15,MATCH(G384,Fortnightly_Model!$B$2:$B$15,0)),0)),0))))))</f>
        <v>0</v>
      </c>
      <c r="M380" s="27">
        <f>IF(VLOOKUP($A380,Calendar!$A$1:$R$1377,18,0)=0,0,IF(VLOOKUP($A380,Calendar!$A$1:$R$1377,18,0)=1,IFERROR(INDEX(FourWeekly_Model!$D$2:$D$29,MATCH(H380,FourWeekly_Model!$B$2:$B$29,0)),0),IF(VLOOKUP($A380,Calendar!$A$1:$R$1377,18,0)=2,SUM(IFERROR(INDEX(FourWeekly_Model!$D$2:$D$29,MATCH(H380,FourWeekly_Model!$B$2:$B$29,0)),0),IFERROR(INDEX(FourWeekly_Model!$D$2:$D$29,MATCH(H381,FourWeekly_Model!$B$2:$B$29,0)),0)),IF(VLOOKUP($A380,Calendar!$A$1:$R$1377,18,0)=3,SUM(IFERROR(INDEX(FourWeekly_Model!$D$2:$D$29,MATCH(H380,FourWeekly_Model!$B$2:$B$29,0)),0),IFERROR(INDEX(FourWeekly_Model!$D$2:$D$29,MATCH(H381,FourWeekly_Model!$B$2:$B$29,0)),0),IFERROR(INDEX(FourWeekly_Model!$D$2:$D$29,MATCH(H382,FourWeekly_Model!$B$2:$B$29,0)),0)),IF(VLOOKUP($A380,Calendar!$A$1:$R$1377,18,0)=4,SUM(IFERROR(INDEX(FourWeekly_Model!$D$2:$D$29,MATCH(H380,FourWeekly_Model!$B$2:$B$29,0)),0),IFERROR(INDEX(FourWeekly_Model!$D$2:$D$29,MATCH(H381,FourWeekly_Model!$B$2:$B$29,0)),0),IFERROR(INDEX(FourWeekly_Model!$D$2:$D$29,MATCH(H382,FourWeekly_Model!$B$2:$B$29,0)),0),IFERROR(INDEX(FourWeekly_Model!$D$2:$D$29,MATCH(H383,FourWeekly_Model!$B$2:$B$29,0)),0)),IF(VLOOKUP($A380,Calendar!$A$1:$R$1377,18,0)=5,SUM(IFERROR(INDEX(FourWeekly_Model!$D$2:$D$29,MATCH(H380,FourWeekly_Model!$B$2:$B$29,0)),0),IFERROR(INDEX(FourWeekly_Model!$D$2:$D$29,MATCH(H381,FourWeekly_Model!$B$2:$B$29,0)),0),IFERROR(INDEX(FourWeekly_Model!$D$2:$D$29,MATCH(H382,FourWeekly_Model!$B$2:$B$29,0)),0),IFERROR(INDEX(FourWeekly_Model!$D$2:$D$29,MATCH(H383,FourWeekly_Model!$B$2:$B$29,0)),0),IFERROR(INDEX(FourWeekly_Model!$D$2:$D$29,MATCH(H384,FourWeekly_Model!$B$2:$B$29,0)),0)),0))))))</f>
        <v>0</v>
      </c>
      <c r="N380" s="27">
        <f>SUM(I380:M380)</f>
        <v>0</v>
      </c>
      <c r="O380" s="28">
        <f>Population_Data!$B$8*N380</f>
        <v>0</v>
      </c>
      <c r="P380" s="27">
        <f>IF(VLOOKUP($A380,Calendar!$A$1:$R$1377,18,0)=0,0,IF(VLOOKUP($A380,Calendar!$A$1:$R$1377,18,0)=1,IFERROR(INDEX(Pension_Model!$D$2:$D$29,MATCH(H380,Pension_Model!$B$2:$B$29,0)),0),IF(VLOOKUP($A380,Calendar!$A$1:$R$1377,18,0)=2,SUM(IFERROR(INDEX(Pension_Model!$D$2:$D$29,MATCH(H380,Pension_Model!$B$2:$B$29,0)),0),IFERROR(INDEX(Pension_Model!$D$2:$D$29,MATCH(H381,Pension_Model!$B$2:$B$29,0)),0)),IF(VLOOKUP($A380,Calendar!$A$1:$R$1377,18,0)=3,SUM(IFERROR(INDEX(Pension_Model!$D$2:$D$29,MATCH(H380,Pension_Model!$B$2:$B$29,0)),0),IFERROR(INDEX(Pension_Model!$D$2:$D$29,MATCH(H381,Pension_Model!$B$2:$B$29,0)),0),IFERROR(INDEX(Pension_Model!$D$2:$D$29,MATCH(H382,Pension_Model!$B$2:$B$29,0)),0)),IF(VLOOKUP($A380,Calendar!$A$1:$R$1377,18,0)=4,SUM(IFERROR(INDEX(Pension_Model!$D$2:$D$29,MATCH(H380,Pension_Model!$B$2:$B$29,0)),0),IFERROR(INDEX(Pension_Model!$D$2:$D$29,MATCH(H381,Pension_Model!$B$2:$B$29,0)),0),IFERROR(INDEX(Pension_Model!$D$2:$D$29,MATCH(H382,Pension_Model!$B$2:$B$29,0)),0),IFERROR(INDEX(Pension_Model!$D$2:$D$29,MATCH(H383,Pension_Model!$B$2:$B$29,0)),0)),IF(VLOOKUP($A380,Calendar!$A$1:$R$1377,18,0)=5,SUM(IFERROR(INDEX(Pension_Model!$D$2:$D$29,MATCH(H380,Pension_Model!$B$2:$B$29,0)),0),IFERROR(INDEX(Pension_Model!$D$2:$D$29,MATCH(H381,Pension_Model!$B$2:$B$29,0)),0),IFERROR(INDEX(Pension_Model!$D$2:$D$29,MATCH(H382,Pension_Model!$B$2:$B$29,0)),0),IFERROR(INDEX(Pension_Model!$D$2:$D$29,MATCH(H383,Pension_Model!$B$2:$B$29,0)),0),IFERROR(INDEX(Pension_Model!$D$2:$D$29,MATCH(H384,Pension_Model!$B$2:$B$29,0)),0)),0))))))</f>
        <v>0</v>
      </c>
      <c r="Q380" s="28">
        <f>Population_Data!$B$15*P380</f>
        <v>0</v>
      </c>
      <c r="S380">
        <f t="shared" si="5"/>
        <v>0</v>
      </c>
      <c r="U380" s="33">
        <f>S380/Population_Data!$B$19</f>
        <v>0</v>
      </c>
    </row>
    <row r="381" spans="1:21">
      <c r="A381" s="25">
        <f>Calendar!A381</f>
        <v>46614</v>
      </c>
      <c r="B381" t="str">
        <f>Calendar!L381</f>
        <v>No</v>
      </c>
      <c r="C381" t="str">
        <f>Calendar!O381</f>
        <v>No</v>
      </c>
      <c r="D381" t="str">
        <f>Calendar!P381</f>
        <v>No</v>
      </c>
      <c r="E381" t="str">
        <f>Calendar!Q381</f>
        <v>No</v>
      </c>
      <c r="F381" t="str">
        <f>Calendar!I381</f>
        <v>Sunday</v>
      </c>
      <c r="G381">
        <f>Calendar!S381</f>
        <v>8</v>
      </c>
      <c r="H381">
        <f>Calendar!T381</f>
        <v>22</v>
      </c>
      <c r="I381" s="27">
        <f>IF(VLOOKUP(A381,Calendar!$A$1:$R$1377,18,0)=0,0,IF(VLOOKUP(A381,Calendar!$A$1:$R$1377,18,0)=1,INDEX(Monthly_Pay_Model!$A$9:$D$40,MATCH(TEXT(A381,"dd"),Monthly_Pay_Model!$C$9:$C$39,0),4),IF(VLOOKUP(A381,Calendar!$A$1:$R$1377,18,0)=2,SUM(INDEX(Monthly_Pay_Model!$A$9:$D$40,MATCH(TEXT(A381,"dd"),Monthly_Pay_Model!$C$9:$C$39,0),4),INDEX(Monthly_Pay_Model!$A$9:$D$40,MATCH(TEXT(A382,"dd"),Monthly_Pay_Model!$C$9:$C$39,0),4)),IF(VLOOKUP(A381,Calendar!$A$1:$R$1377,18,0)=3,SUM(INDEX(Monthly_Pay_Model!$A$9:$D$40,MATCH(TEXT(A381,"dd"),Monthly_Pay_Model!$C$9:$C$39,0),4),INDEX(Monthly_Pay_Model!$A$9:$D$40,MATCH(TEXT(A382,"dd"),Monthly_Pay_Model!$C$9:$C$39,0),4),INDEX(Monthly_Pay_Model!$A$9:$D$40,MATCH(TEXT(A383,"dd"),Monthly_Pay_Model!$C$9:$C$39,0),4)),IF(VLOOKUP(A381,Calendar!$A$1:$R$1377,18,0)=4,SUM(INDEX(Monthly_Pay_Model!$A$9:$D$40,MATCH(TEXT(A381,"dd"),Monthly_Pay_Model!$C$9:$C$39,0),4),INDEX(Monthly_Pay_Model!$A$9:$D$40,MATCH(TEXT(A382,"dd"),Monthly_Pay_Model!$C$9:$C$39,0),4),INDEX(Monthly_Pay_Model!$A$9:$D$40,MATCH(TEXT(A383,"dd"),Monthly_Pay_Model!$C$9:$C$39,0),4),INDEX(Monthly_Pay_Model!$A$9:$D$40,MATCH(TEXT(A384,"dd"),Monthly_Pay_Model!$C$9:$C$39,0),4)),IF(VLOOKUP(A381,Calendar!$A$1:$R$1377,18,0)=5,SUM(INDEX(Monthly_Pay_Model!$A$9:$D$40,MATCH(TEXT(A381,"dd"),Monthly_Pay_Model!$C$9:$C$39,0),4),INDEX(Monthly_Pay_Model!$A$9:$D$40,MATCH(TEXT(A382,"dd"),Monthly_Pay_Model!$C$9:$C$39,0),4),INDEX(Monthly_Pay_Model!$A$9:$D$40,MATCH(TEXT(A383,"dd"),Monthly_Pay_Model!$C$9:$C$39,0),4),INDEX(Monthly_Pay_Model!$A$9:$D$40,MATCH(TEXT(A384,"dd"),Monthly_Pay_Model!$C$9:$C$39,0),4),INDEX(Monthly_Pay_Model!$A$9:$D$40,MATCH(TEXT(A385,"dd"),Monthly_Pay_Model!$C$9:$C$39,0),4)),))))))</f>
        <v>0</v>
      </c>
      <c r="J381" s="33">
        <f>IF(C381="Yes",Monthly_Pay_Model!$D$2,0)
+IF(Calendar!N381="Yes",Monthly_Pay_Model!$D$3,0)
+IF(D381="Yes",Monthly_Pay_Model!$D$4,0)
+IF(E381="Yes",Monthly_Pay_Model!$D$5,0)</f>
        <v>0</v>
      </c>
      <c r="K381" s="27">
        <f>IF(VLOOKUP($A381,Calendar!$A$1:$R$1377,18,0)=0,0,IF(VLOOKUP($A381,Calendar!$A$1:$R$1377,18,0)=1,IFERROR(INDEX(Weekly_Model!$D$2:$D$9,MATCH(F381,Weekly_Model!$A$2:$A$9,0)),0),IF(VLOOKUP($A381,Calendar!$A$1:$R$1377,18,0)=2,SUM(IFERROR(INDEX(Weekly_Model!$D$2:$D$9,MATCH(F381,Weekly_Model!$A$2:$A$9,0)),0),IFERROR(INDEX(Weekly_Model!$D$2:$D$9,MATCH(F382,Weekly_Model!$A$2:$A$9,0)),0)),IF(VLOOKUP($A381,Calendar!$A$1:$R$1377,18,0)=3,SUM(IFERROR(INDEX(Weekly_Model!$D$2:$D$9,MATCH(F381,Weekly_Model!$A$2:$A$9,0)),0),IFERROR(INDEX(Weekly_Model!$D$2:$D$9,MATCH(F382,Weekly_Model!$A$2:$A$9,0)),0),IFERROR(INDEX(Weekly_Model!$D$2:$D$9,MATCH(F383,Weekly_Model!$A$2:$A$9,0)),0)),IF(VLOOKUP($A381,Calendar!$A$1:$R$1377,18,0)=4,SUM(IFERROR(INDEX(Weekly_Model!$D$2:$D$9,MATCH(F381,Weekly_Model!$A$2:$A$9,0)),0),IFERROR(INDEX(Weekly_Model!$D$2:$D$9,MATCH(F382,Weekly_Model!$A$2:$A$9,0)),0),IFERROR(INDEX(Weekly_Model!$D$2:$D$9,MATCH(F383,Weekly_Model!$A$2:$A$9,0)),0),IFERROR(INDEX(Weekly_Model!$D$2:$D$9,MATCH(F384,Weekly_Model!$A$2:$A$9,0)),0)),IF(VLOOKUP($A381,Calendar!$A$1:$R$1377,18,0)=5,SUM(IFERROR(INDEX(Weekly_Model!$D$2:$D$9,MATCH(F381,Weekly_Model!$A$2:$A$9,0)),0),IFERROR(INDEX(Weekly_Model!$D$2:$D$9,MATCH(F382,Weekly_Model!$A$2:$A$9,0)),0),IFERROR(INDEX(Weekly_Model!$D$2:$D$9,MATCH(F383,Weekly_Model!$A$2:$A$9,0)),0),IFERROR(INDEX(Weekly_Model!$D$2:$D$9,MATCH(F384,Weekly_Model!$A$2:$A$9,0)),0),IFERROR(INDEX(Weekly_Model!$D$2:$D$9,MATCH(F385,Weekly_Model!$A$2:$A$9,0)),0)),0))))))</f>
        <v>0</v>
      </c>
      <c r="L381" s="27">
        <f>IF(VLOOKUP($A381,Calendar!$A$1:$R$1377,18,0)=0,0,IF(VLOOKUP($A381,Calendar!$A$1:$R$1377,18,0)=1,IFERROR(INDEX(Fortnightly_Model!$D$2:$D$15,MATCH(G381,Fortnightly_Model!$B$2:$B$15,0)),0),IF(VLOOKUP($A381,Calendar!$A$1:$R$1377,18,0)=2,SUM(IFERROR(INDEX(Fortnightly_Model!$D$2:$D$15,MATCH(G381,Fortnightly_Model!$B$2:$B$15,0)),0),IFERROR(INDEX(Fortnightly_Model!$D$2:$D$15,MATCH(G382,Fortnightly_Model!$B$2:$B$15,0)),0)),IF(VLOOKUP($A381,Calendar!$A$1:$R$1377,18,0)=3,SUM(IFERROR(INDEX(Fortnightly_Model!$D$2:$D$15,MATCH(G381,Fortnightly_Model!$B$2:$B$15,0)),0),IFERROR(INDEX(Fortnightly_Model!$D$2:$D$15,MATCH(G382,Fortnightly_Model!$B$2:$B$15,0)),0),IFERROR(INDEX(Fortnightly_Model!$D$2:$D$15,MATCH(G383,Fortnightly_Model!$B$2:$B$15,0)),0)),IF(VLOOKUP($A381,Calendar!$A$1:$R$1377,18,0)=4,SUM(IFERROR(INDEX(Fortnightly_Model!$D$2:$D$15,MATCH(G381,Fortnightly_Model!$B$2:$B$15,0)),0),IFERROR(INDEX(Fortnightly_Model!$D$2:$D$15,MATCH(G382,Fortnightly_Model!$B$2:$B$15,0)),0),IFERROR(INDEX(Fortnightly_Model!$D$2:$D$15,MATCH(G383,Fortnightly_Model!$B$2:$B$15,0)),0),IFERROR(INDEX(Fortnightly_Model!$D$2:$D$15,MATCH(G384,Fortnightly_Model!$B$2:$B$15,0)),0)),IF(VLOOKUP($A381,Calendar!$A$1:$R$1377,18,0)=5,SUM(IFERROR(INDEX(Fortnightly_Model!$D$2:$D$15,MATCH(G381,Fortnightly_Model!$B$2:$B$15,0)),0),IFERROR(INDEX(Fortnightly_Model!$D$2:$D$15,MATCH(G382,Fortnightly_Model!$B$2:$B$15,0)),0),IFERROR(INDEX(Fortnightly_Model!$D$2:$D$15,MATCH(G383,Fortnightly_Model!$B$2:$B$15,0)),0),IFERROR(INDEX(Fortnightly_Model!$D$2:$D$15,MATCH(G384,Fortnightly_Model!$B$2:$B$15,0)),0),IFERROR(INDEX(Fortnightly_Model!$D$2:$D$15,MATCH(G385,Fortnightly_Model!$B$2:$B$15,0)),0)),0))))))</f>
        <v>0</v>
      </c>
      <c r="M381" s="27">
        <f>IF(VLOOKUP($A381,Calendar!$A$1:$R$1377,18,0)=0,0,IF(VLOOKUP($A381,Calendar!$A$1:$R$1377,18,0)=1,IFERROR(INDEX(FourWeekly_Model!$D$2:$D$29,MATCH(H381,FourWeekly_Model!$B$2:$B$29,0)),0),IF(VLOOKUP($A381,Calendar!$A$1:$R$1377,18,0)=2,SUM(IFERROR(INDEX(FourWeekly_Model!$D$2:$D$29,MATCH(H381,FourWeekly_Model!$B$2:$B$29,0)),0),IFERROR(INDEX(FourWeekly_Model!$D$2:$D$29,MATCH(H382,FourWeekly_Model!$B$2:$B$29,0)),0)),IF(VLOOKUP($A381,Calendar!$A$1:$R$1377,18,0)=3,SUM(IFERROR(INDEX(FourWeekly_Model!$D$2:$D$29,MATCH(H381,FourWeekly_Model!$B$2:$B$29,0)),0),IFERROR(INDEX(FourWeekly_Model!$D$2:$D$29,MATCH(H382,FourWeekly_Model!$B$2:$B$29,0)),0),IFERROR(INDEX(FourWeekly_Model!$D$2:$D$29,MATCH(H383,FourWeekly_Model!$B$2:$B$29,0)),0)),IF(VLOOKUP($A381,Calendar!$A$1:$R$1377,18,0)=4,SUM(IFERROR(INDEX(FourWeekly_Model!$D$2:$D$29,MATCH(H381,FourWeekly_Model!$B$2:$B$29,0)),0),IFERROR(INDEX(FourWeekly_Model!$D$2:$D$29,MATCH(H382,FourWeekly_Model!$B$2:$B$29,0)),0),IFERROR(INDEX(FourWeekly_Model!$D$2:$D$29,MATCH(H383,FourWeekly_Model!$B$2:$B$29,0)),0),IFERROR(INDEX(FourWeekly_Model!$D$2:$D$29,MATCH(H384,FourWeekly_Model!$B$2:$B$29,0)),0)),IF(VLOOKUP($A381,Calendar!$A$1:$R$1377,18,0)=5,SUM(IFERROR(INDEX(FourWeekly_Model!$D$2:$D$29,MATCH(H381,FourWeekly_Model!$B$2:$B$29,0)),0),IFERROR(INDEX(FourWeekly_Model!$D$2:$D$29,MATCH(H382,FourWeekly_Model!$B$2:$B$29,0)),0),IFERROR(INDEX(FourWeekly_Model!$D$2:$D$29,MATCH(H383,FourWeekly_Model!$B$2:$B$29,0)),0),IFERROR(INDEX(FourWeekly_Model!$D$2:$D$29,MATCH(H384,FourWeekly_Model!$B$2:$B$29,0)),0),IFERROR(INDEX(FourWeekly_Model!$D$2:$D$29,MATCH(H385,FourWeekly_Model!$B$2:$B$29,0)),0)),0))))))</f>
        <v>0</v>
      </c>
      <c r="N381" s="27">
        <f>SUM(I381:M381)</f>
        <v>0</v>
      </c>
      <c r="O381" s="28">
        <f>Population_Data!$B$8*N381</f>
        <v>0</v>
      </c>
      <c r="P381" s="27">
        <f>IF(VLOOKUP($A381,Calendar!$A$1:$R$1377,18,0)=0,0,IF(VLOOKUP($A381,Calendar!$A$1:$R$1377,18,0)=1,IFERROR(INDEX(Pension_Model!$D$2:$D$29,MATCH(H381,Pension_Model!$B$2:$B$29,0)),0),IF(VLOOKUP($A381,Calendar!$A$1:$R$1377,18,0)=2,SUM(IFERROR(INDEX(Pension_Model!$D$2:$D$29,MATCH(H381,Pension_Model!$B$2:$B$29,0)),0),IFERROR(INDEX(Pension_Model!$D$2:$D$29,MATCH(H382,Pension_Model!$B$2:$B$29,0)),0)),IF(VLOOKUP($A381,Calendar!$A$1:$R$1377,18,0)=3,SUM(IFERROR(INDEX(Pension_Model!$D$2:$D$29,MATCH(H381,Pension_Model!$B$2:$B$29,0)),0),IFERROR(INDEX(Pension_Model!$D$2:$D$29,MATCH(H382,Pension_Model!$B$2:$B$29,0)),0),IFERROR(INDEX(Pension_Model!$D$2:$D$29,MATCH(H383,Pension_Model!$B$2:$B$29,0)),0)),IF(VLOOKUP($A381,Calendar!$A$1:$R$1377,18,0)=4,SUM(IFERROR(INDEX(Pension_Model!$D$2:$D$29,MATCH(H381,Pension_Model!$B$2:$B$29,0)),0),IFERROR(INDEX(Pension_Model!$D$2:$D$29,MATCH(H382,Pension_Model!$B$2:$B$29,0)),0),IFERROR(INDEX(Pension_Model!$D$2:$D$29,MATCH(H383,Pension_Model!$B$2:$B$29,0)),0),IFERROR(INDEX(Pension_Model!$D$2:$D$29,MATCH(H384,Pension_Model!$B$2:$B$29,0)),0)),IF(VLOOKUP($A381,Calendar!$A$1:$R$1377,18,0)=5,SUM(IFERROR(INDEX(Pension_Model!$D$2:$D$29,MATCH(H381,Pension_Model!$B$2:$B$29,0)),0),IFERROR(INDEX(Pension_Model!$D$2:$D$29,MATCH(H382,Pension_Model!$B$2:$B$29,0)),0),IFERROR(INDEX(Pension_Model!$D$2:$D$29,MATCH(H383,Pension_Model!$B$2:$B$29,0)),0),IFERROR(INDEX(Pension_Model!$D$2:$D$29,MATCH(H384,Pension_Model!$B$2:$B$29,0)),0),IFERROR(INDEX(Pension_Model!$D$2:$D$29,MATCH(H385,Pension_Model!$B$2:$B$29,0)),0)),0))))))</f>
        <v>0</v>
      </c>
      <c r="Q381" s="28">
        <f>Population_Data!$B$15*P381</f>
        <v>0</v>
      </c>
      <c r="S381">
        <f t="shared" si="5"/>
        <v>0</v>
      </c>
      <c r="U381" s="33">
        <f>S381/Population_Data!$B$19</f>
        <v>0</v>
      </c>
    </row>
    <row r="382" spans="1:21">
      <c r="A382" s="25">
        <f>Calendar!A382</f>
        <v>46615</v>
      </c>
      <c r="B382" t="str">
        <f>Calendar!L382</f>
        <v>Yes</v>
      </c>
      <c r="C382" t="str">
        <f>Calendar!O382</f>
        <v>No</v>
      </c>
      <c r="D382" t="str">
        <f>Calendar!P382</f>
        <v>No</v>
      </c>
      <c r="E382" t="str">
        <f>Calendar!Q382</f>
        <v>No</v>
      </c>
      <c r="F382" t="str">
        <f>Calendar!I382</f>
        <v>Monday</v>
      </c>
      <c r="G382">
        <f>Calendar!S382</f>
        <v>9</v>
      </c>
      <c r="H382">
        <f>Calendar!T382</f>
        <v>23</v>
      </c>
      <c r="I382" s="27">
        <f>IF(VLOOKUP(A382,Calendar!$A$1:$R$1377,18,0)=0,0,IF(VLOOKUP(A382,Calendar!$A$1:$R$1377,18,0)=1,INDEX(Monthly_Pay_Model!$A$9:$D$40,MATCH(TEXT(A382,"dd"),Monthly_Pay_Model!$C$9:$C$39,0),4),IF(VLOOKUP(A382,Calendar!$A$1:$R$1377,18,0)=2,SUM(INDEX(Monthly_Pay_Model!$A$9:$D$40,MATCH(TEXT(A382,"dd"),Monthly_Pay_Model!$C$9:$C$39,0),4),INDEX(Monthly_Pay_Model!$A$9:$D$40,MATCH(TEXT(A383,"dd"),Monthly_Pay_Model!$C$9:$C$39,0),4)),IF(VLOOKUP(A382,Calendar!$A$1:$R$1377,18,0)=3,SUM(INDEX(Monthly_Pay_Model!$A$9:$D$40,MATCH(TEXT(A382,"dd"),Monthly_Pay_Model!$C$9:$C$39,0),4),INDEX(Monthly_Pay_Model!$A$9:$D$40,MATCH(TEXT(A383,"dd"),Monthly_Pay_Model!$C$9:$C$39,0),4),INDEX(Monthly_Pay_Model!$A$9:$D$40,MATCH(TEXT(A384,"dd"),Monthly_Pay_Model!$C$9:$C$39,0),4)),IF(VLOOKUP(A382,Calendar!$A$1:$R$1377,18,0)=4,SUM(INDEX(Monthly_Pay_Model!$A$9:$D$40,MATCH(TEXT(A382,"dd"),Monthly_Pay_Model!$C$9:$C$39,0),4),INDEX(Monthly_Pay_Model!$A$9:$D$40,MATCH(TEXT(A383,"dd"),Monthly_Pay_Model!$C$9:$C$39,0),4),INDEX(Monthly_Pay_Model!$A$9:$D$40,MATCH(TEXT(A384,"dd"),Monthly_Pay_Model!$C$9:$C$39,0),4),INDEX(Monthly_Pay_Model!$A$9:$D$40,MATCH(TEXT(A385,"dd"),Monthly_Pay_Model!$C$9:$C$39,0),4)),IF(VLOOKUP(A382,Calendar!$A$1:$R$1377,18,0)=5,SUM(INDEX(Monthly_Pay_Model!$A$9:$D$40,MATCH(TEXT(A382,"dd"),Monthly_Pay_Model!$C$9:$C$39,0),4),INDEX(Monthly_Pay_Model!$A$9:$D$40,MATCH(TEXT(A383,"dd"),Monthly_Pay_Model!$C$9:$C$39,0),4),INDEX(Monthly_Pay_Model!$A$9:$D$40,MATCH(TEXT(A384,"dd"),Monthly_Pay_Model!$C$9:$C$39,0),4),INDEX(Monthly_Pay_Model!$A$9:$D$40,MATCH(TEXT(A385,"dd"),Monthly_Pay_Model!$C$9:$C$39,0),4),INDEX(Monthly_Pay_Model!$A$9:$D$40,MATCH(TEXT(A386,"dd"),Monthly_Pay_Model!$C$9:$C$39,0),4)),))))))</f>
        <v>1.6251308900523558E-3</v>
      </c>
      <c r="J382" s="33">
        <f>IF(C382="Yes",Monthly_Pay_Model!$D$2,0)
+IF(Calendar!N382="Yes",Monthly_Pay_Model!$D$3,0)
+IF(D382="Yes",Monthly_Pay_Model!$D$4,0)
+IF(E382="Yes",Monthly_Pay_Model!$D$5,0)</f>
        <v>0</v>
      </c>
      <c r="K382" s="27">
        <f>IF(VLOOKUP($A382,Calendar!$A$1:$R$1377,18,0)=0,0,IF(VLOOKUP($A382,Calendar!$A$1:$R$1377,18,0)=1,IFERROR(INDEX(Weekly_Model!$D$2:$D$9,MATCH(F382,Weekly_Model!$A$2:$A$9,0)),0),IF(VLOOKUP($A382,Calendar!$A$1:$R$1377,18,0)=2,SUM(IFERROR(INDEX(Weekly_Model!$D$2:$D$9,MATCH(F382,Weekly_Model!$A$2:$A$9,0)),0),IFERROR(INDEX(Weekly_Model!$D$2:$D$9,MATCH(F383,Weekly_Model!$A$2:$A$9,0)),0)),IF(VLOOKUP($A382,Calendar!$A$1:$R$1377,18,0)=3,SUM(IFERROR(INDEX(Weekly_Model!$D$2:$D$9,MATCH(F382,Weekly_Model!$A$2:$A$9,0)),0),IFERROR(INDEX(Weekly_Model!$D$2:$D$9,MATCH(F383,Weekly_Model!$A$2:$A$9,0)),0),IFERROR(INDEX(Weekly_Model!$D$2:$D$9,MATCH(F384,Weekly_Model!$A$2:$A$9,0)),0)),IF(VLOOKUP($A382,Calendar!$A$1:$R$1377,18,0)=4,SUM(IFERROR(INDEX(Weekly_Model!$D$2:$D$9,MATCH(F382,Weekly_Model!$A$2:$A$9,0)),0),IFERROR(INDEX(Weekly_Model!$D$2:$D$9,MATCH(F383,Weekly_Model!$A$2:$A$9,0)),0),IFERROR(INDEX(Weekly_Model!$D$2:$D$9,MATCH(F384,Weekly_Model!$A$2:$A$9,0)),0),IFERROR(INDEX(Weekly_Model!$D$2:$D$9,MATCH(F385,Weekly_Model!$A$2:$A$9,0)),0)),IF(VLOOKUP($A382,Calendar!$A$1:$R$1377,18,0)=5,SUM(IFERROR(INDEX(Weekly_Model!$D$2:$D$9,MATCH(F382,Weekly_Model!$A$2:$A$9,0)),0),IFERROR(INDEX(Weekly_Model!$D$2:$D$9,MATCH(F383,Weekly_Model!$A$2:$A$9,0)),0),IFERROR(INDEX(Weekly_Model!$D$2:$D$9,MATCH(F384,Weekly_Model!$A$2:$A$9,0)),0),IFERROR(INDEX(Weekly_Model!$D$2:$D$9,MATCH(F385,Weekly_Model!$A$2:$A$9,0)),0),IFERROR(INDEX(Weekly_Model!$D$2:$D$9,MATCH(F386,Weekly_Model!$A$2:$A$9,0)),0)),0))))))</f>
        <v>2.3200000000000002E-2</v>
      </c>
      <c r="L382" s="27">
        <f>IF(VLOOKUP($A382,Calendar!$A$1:$R$1377,18,0)=0,0,IF(VLOOKUP($A382,Calendar!$A$1:$R$1377,18,0)=1,IFERROR(INDEX(Fortnightly_Model!$D$2:$D$15,MATCH(G382,Fortnightly_Model!$B$2:$B$15,0)),0),IF(VLOOKUP($A382,Calendar!$A$1:$R$1377,18,0)=2,SUM(IFERROR(INDEX(Fortnightly_Model!$D$2:$D$15,MATCH(G382,Fortnightly_Model!$B$2:$B$15,0)),0),IFERROR(INDEX(Fortnightly_Model!$D$2:$D$15,MATCH(G383,Fortnightly_Model!$B$2:$B$15,0)),0)),IF(VLOOKUP($A382,Calendar!$A$1:$R$1377,18,0)=3,SUM(IFERROR(INDEX(Fortnightly_Model!$D$2:$D$15,MATCH(G382,Fortnightly_Model!$B$2:$B$15,0)),0),IFERROR(INDEX(Fortnightly_Model!$D$2:$D$15,MATCH(G383,Fortnightly_Model!$B$2:$B$15,0)),0),IFERROR(INDEX(Fortnightly_Model!$D$2:$D$15,MATCH(G384,Fortnightly_Model!$B$2:$B$15,0)),0)),IF(VLOOKUP($A382,Calendar!$A$1:$R$1377,18,0)=4,SUM(IFERROR(INDEX(Fortnightly_Model!$D$2:$D$15,MATCH(G382,Fortnightly_Model!$B$2:$B$15,0)),0),IFERROR(INDEX(Fortnightly_Model!$D$2:$D$15,MATCH(G383,Fortnightly_Model!$B$2:$B$15,0)),0),IFERROR(INDEX(Fortnightly_Model!$D$2:$D$15,MATCH(G384,Fortnightly_Model!$B$2:$B$15,0)),0),IFERROR(INDEX(Fortnightly_Model!$D$2:$D$15,MATCH(G385,Fortnightly_Model!$B$2:$B$15,0)),0)),IF(VLOOKUP($A382,Calendar!$A$1:$R$1377,18,0)=5,SUM(IFERROR(INDEX(Fortnightly_Model!$D$2:$D$15,MATCH(G382,Fortnightly_Model!$B$2:$B$15,0)),0),IFERROR(INDEX(Fortnightly_Model!$D$2:$D$15,MATCH(G383,Fortnightly_Model!$B$2:$B$15,0)),0),IFERROR(INDEX(Fortnightly_Model!$D$2:$D$15,MATCH(G384,Fortnightly_Model!$B$2:$B$15,0)),0),IFERROR(INDEX(Fortnightly_Model!$D$2:$D$15,MATCH(G385,Fortnightly_Model!$B$2:$B$15,0)),0),IFERROR(INDEX(Fortnightly_Model!$D$2:$D$15,MATCH(G386,Fortnightly_Model!$B$2:$B$15,0)),0)),0))))))</f>
        <v>1.0714285499999999E-3</v>
      </c>
      <c r="M382" s="27">
        <f>IF(VLOOKUP($A382,Calendar!$A$1:$R$1377,18,0)=0,0,IF(VLOOKUP($A382,Calendar!$A$1:$R$1377,18,0)=1,IFERROR(INDEX(FourWeekly_Model!$D$2:$D$29,MATCH(H382,FourWeekly_Model!$B$2:$B$29,0)),0),IF(VLOOKUP($A382,Calendar!$A$1:$R$1377,18,0)=2,SUM(IFERROR(INDEX(FourWeekly_Model!$D$2:$D$29,MATCH(H382,FourWeekly_Model!$B$2:$B$29,0)),0),IFERROR(INDEX(FourWeekly_Model!$D$2:$D$29,MATCH(H383,FourWeekly_Model!$B$2:$B$29,0)),0)),IF(VLOOKUP($A382,Calendar!$A$1:$R$1377,18,0)=3,SUM(IFERROR(INDEX(FourWeekly_Model!$D$2:$D$29,MATCH(H382,FourWeekly_Model!$B$2:$B$29,0)),0),IFERROR(INDEX(FourWeekly_Model!$D$2:$D$29,MATCH(H383,FourWeekly_Model!$B$2:$B$29,0)),0),IFERROR(INDEX(FourWeekly_Model!$D$2:$D$29,MATCH(H384,FourWeekly_Model!$B$2:$B$29,0)),0)),IF(VLOOKUP($A382,Calendar!$A$1:$R$1377,18,0)=4,SUM(IFERROR(INDEX(FourWeekly_Model!$D$2:$D$29,MATCH(H382,FourWeekly_Model!$B$2:$B$29,0)),0),IFERROR(INDEX(FourWeekly_Model!$D$2:$D$29,MATCH(H383,FourWeekly_Model!$B$2:$B$29,0)),0),IFERROR(INDEX(FourWeekly_Model!$D$2:$D$29,MATCH(H384,FourWeekly_Model!$B$2:$B$29,0)),0),IFERROR(INDEX(FourWeekly_Model!$D$2:$D$29,MATCH(H385,FourWeekly_Model!$B$2:$B$29,0)),0)),IF(VLOOKUP($A382,Calendar!$A$1:$R$1377,18,0)=5,SUM(IFERROR(INDEX(FourWeekly_Model!$D$2:$D$29,MATCH(H382,FourWeekly_Model!$B$2:$B$29,0)),0),IFERROR(INDEX(FourWeekly_Model!$D$2:$D$29,MATCH(H383,FourWeekly_Model!$B$2:$B$29,0)),0),IFERROR(INDEX(FourWeekly_Model!$D$2:$D$29,MATCH(H384,FourWeekly_Model!$B$2:$B$29,0)),0),IFERROR(INDEX(FourWeekly_Model!$D$2:$D$29,MATCH(H385,FourWeekly_Model!$B$2:$B$29,0)),0),IFERROR(INDEX(FourWeekly_Model!$D$2:$D$29,MATCH(H386,FourWeekly_Model!$B$2:$B$29,0)),0)),0))))))</f>
        <v>3.3214289700000004E-3</v>
      </c>
      <c r="N382" s="27">
        <f>SUM(I382:M382)</f>
        <v>2.921798841005236E-2</v>
      </c>
      <c r="O382" s="28">
        <f>Population_Data!$B$8*N382</f>
        <v>885305.04882458656</v>
      </c>
      <c r="P382" s="27">
        <f>IF(VLOOKUP($A382,Calendar!$A$1:$R$1377,18,0)=0,0,IF(VLOOKUP($A382,Calendar!$A$1:$R$1377,18,0)=1,IFERROR(INDEX(Pension_Model!$D$2:$D$29,MATCH(H382,Pension_Model!$B$2:$B$29,0)),0),IF(VLOOKUP($A382,Calendar!$A$1:$R$1377,18,0)=2,SUM(IFERROR(INDEX(Pension_Model!$D$2:$D$29,MATCH(H382,Pension_Model!$B$2:$B$29,0)),0),IFERROR(INDEX(Pension_Model!$D$2:$D$29,MATCH(H383,Pension_Model!$B$2:$B$29,0)),0)),IF(VLOOKUP($A382,Calendar!$A$1:$R$1377,18,0)=3,SUM(IFERROR(INDEX(Pension_Model!$D$2:$D$29,MATCH(H382,Pension_Model!$B$2:$B$29,0)),0),IFERROR(INDEX(Pension_Model!$D$2:$D$29,MATCH(H383,Pension_Model!$B$2:$B$29,0)),0),IFERROR(INDEX(Pension_Model!$D$2:$D$29,MATCH(H384,Pension_Model!$B$2:$B$29,0)),0)),IF(VLOOKUP($A382,Calendar!$A$1:$R$1377,18,0)=4,SUM(IFERROR(INDEX(Pension_Model!$D$2:$D$29,MATCH(H382,Pension_Model!$B$2:$B$29,0)),0),IFERROR(INDEX(Pension_Model!$D$2:$D$29,MATCH(H383,Pension_Model!$B$2:$B$29,0)),0),IFERROR(INDEX(Pension_Model!$D$2:$D$29,MATCH(H384,Pension_Model!$B$2:$B$29,0)),0),IFERROR(INDEX(Pension_Model!$D$2:$D$29,MATCH(H385,Pension_Model!$B$2:$B$29,0)),0)),IF(VLOOKUP($A382,Calendar!$A$1:$R$1377,18,0)=5,SUM(IFERROR(INDEX(Pension_Model!$D$2:$D$29,MATCH(H382,Pension_Model!$B$2:$B$29,0)),0),IFERROR(INDEX(Pension_Model!$D$2:$D$29,MATCH(H383,Pension_Model!$B$2:$B$29,0)),0),IFERROR(INDEX(Pension_Model!$D$2:$D$29,MATCH(H384,Pension_Model!$B$2:$B$29,0)),0),IFERROR(INDEX(Pension_Model!$D$2:$D$29,MATCH(H385,Pension_Model!$B$2:$B$29,0)),0),IFERROR(INDEX(Pension_Model!$D$2:$D$29,MATCH(H386,Pension_Model!$B$2:$B$29,0)),0)),0))))))</f>
        <v>0.05</v>
      </c>
      <c r="Q382" s="28">
        <f>Population_Data!$B$15*P382</f>
        <v>660600</v>
      </c>
      <c r="S382">
        <f t="shared" si="5"/>
        <v>1545905.0488245864</v>
      </c>
      <c r="U382" s="33">
        <f>S382/Population_Data!$B$19</f>
        <v>2.8005526246822218E-2</v>
      </c>
    </row>
    <row r="383" spans="1:21">
      <c r="A383" s="25">
        <f>Calendar!A383</f>
        <v>46616</v>
      </c>
      <c r="B383" t="str">
        <f>Calendar!L383</f>
        <v>Yes</v>
      </c>
      <c r="C383" t="str">
        <f>Calendar!O383</f>
        <v>No</v>
      </c>
      <c r="D383" t="str">
        <f>Calendar!P383</f>
        <v>No</v>
      </c>
      <c r="E383" t="str">
        <f>Calendar!Q383</f>
        <v>No</v>
      </c>
      <c r="F383" t="str">
        <f>Calendar!I383</f>
        <v>Tuesday</v>
      </c>
      <c r="G383">
        <f>Calendar!S383</f>
        <v>10</v>
      </c>
      <c r="H383">
        <f>Calendar!T383</f>
        <v>24</v>
      </c>
      <c r="I383" s="27">
        <f>IF(VLOOKUP(A383,Calendar!$A$1:$R$1377,18,0)=0,0,IF(VLOOKUP(A383,Calendar!$A$1:$R$1377,18,0)=1,INDEX(Monthly_Pay_Model!$A$9:$D$40,MATCH(TEXT(A383,"dd"),Monthly_Pay_Model!$C$9:$C$39,0),4),IF(VLOOKUP(A383,Calendar!$A$1:$R$1377,18,0)=2,SUM(INDEX(Monthly_Pay_Model!$A$9:$D$40,MATCH(TEXT(A383,"dd"),Monthly_Pay_Model!$C$9:$C$39,0),4),INDEX(Monthly_Pay_Model!$A$9:$D$40,MATCH(TEXT(A384,"dd"),Monthly_Pay_Model!$C$9:$C$39,0),4)),IF(VLOOKUP(A383,Calendar!$A$1:$R$1377,18,0)=3,SUM(INDEX(Monthly_Pay_Model!$A$9:$D$40,MATCH(TEXT(A383,"dd"),Monthly_Pay_Model!$C$9:$C$39,0),4),INDEX(Monthly_Pay_Model!$A$9:$D$40,MATCH(TEXT(A384,"dd"),Monthly_Pay_Model!$C$9:$C$39,0),4),INDEX(Monthly_Pay_Model!$A$9:$D$40,MATCH(TEXT(A385,"dd"),Monthly_Pay_Model!$C$9:$C$39,0),4)),IF(VLOOKUP(A383,Calendar!$A$1:$R$1377,18,0)=4,SUM(INDEX(Monthly_Pay_Model!$A$9:$D$40,MATCH(TEXT(A383,"dd"),Monthly_Pay_Model!$C$9:$C$39,0),4),INDEX(Monthly_Pay_Model!$A$9:$D$40,MATCH(TEXT(A384,"dd"),Monthly_Pay_Model!$C$9:$C$39,0),4),INDEX(Monthly_Pay_Model!$A$9:$D$40,MATCH(TEXT(A385,"dd"),Monthly_Pay_Model!$C$9:$C$39,0),4),INDEX(Monthly_Pay_Model!$A$9:$D$40,MATCH(TEXT(A386,"dd"),Monthly_Pay_Model!$C$9:$C$39,0),4)),IF(VLOOKUP(A383,Calendar!$A$1:$R$1377,18,0)=5,SUM(INDEX(Monthly_Pay_Model!$A$9:$D$40,MATCH(TEXT(A383,"dd"),Monthly_Pay_Model!$C$9:$C$39,0),4),INDEX(Monthly_Pay_Model!$A$9:$D$40,MATCH(TEXT(A384,"dd"),Monthly_Pay_Model!$C$9:$C$39,0),4),INDEX(Monthly_Pay_Model!$A$9:$D$40,MATCH(TEXT(A385,"dd"),Monthly_Pay_Model!$C$9:$C$39,0),4),INDEX(Monthly_Pay_Model!$A$9:$D$40,MATCH(TEXT(A386,"dd"),Monthly_Pay_Model!$C$9:$C$39,0),4),INDEX(Monthly_Pay_Model!$A$9:$D$40,MATCH(TEXT(A387,"dd"),Monthly_Pay_Model!$C$9:$C$39,0),4)),))))))</f>
        <v>8.1256544502617792E-4</v>
      </c>
      <c r="J383" s="33">
        <f>IF(C383="Yes",Monthly_Pay_Model!$D$2,0)
+IF(Calendar!N383="Yes",Monthly_Pay_Model!$D$3,0)
+IF(D383="Yes",Monthly_Pay_Model!$D$4,0)
+IF(E383="Yes",Monthly_Pay_Model!$D$5,0)</f>
        <v>0</v>
      </c>
      <c r="K383" s="27">
        <f>IF(VLOOKUP($A383,Calendar!$A$1:$R$1377,18,0)=0,0,IF(VLOOKUP($A383,Calendar!$A$1:$R$1377,18,0)=1,IFERROR(INDEX(Weekly_Model!$D$2:$D$9,MATCH(F383,Weekly_Model!$A$2:$A$9,0)),0),IF(VLOOKUP($A383,Calendar!$A$1:$R$1377,18,0)=2,SUM(IFERROR(INDEX(Weekly_Model!$D$2:$D$9,MATCH(F383,Weekly_Model!$A$2:$A$9,0)),0),IFERROR(INDEX(Weekly_Model!$D$2:$D$9,MATCH(F384,Weekly_Model!$A$2:$A$9,0)),0)),IF(VLOOKUP($A383,Calendar!$A$1:$R$1377,18,0)=3,SUM(IFERROR(INDEX(Weekly_Model!$D$2:$D$9,MATCH(F383,Weekly_Model!$A$2:$A$9,0)),0),IFERROR(INDEX(Weekly_Model!$D$2:$D$9,MATCH(F384,Weekly_Model!$A$2:$A$9,0)),0),IFERROR(INDEX(Weekly_Model!$D$2:$D$9,MATCH(F385,Weekly_Model!$A$2:$A$9,0)),0)),IF(VLOOKUP($A383,Calendar!$A$1:$R$1377,18,0)=4,SUM(IFERROR(INDEX(Weekly_Model!$D$2:$D$9,MATCH(F383,Weekly_Model!$A$2:$A$9,0)),0),IFERROR(INDEX(Weekly_Model!$D$2:$D$9,MATCH(F384,Weekly_Model!$A$2:$A$9,0)),0),IFERROR(INDEX(Weekly_Model!$D$2:$D$9,MATCH(F385,Weekly_Model!$A$2:$A$9,0)),0),IFERROR(INDEX(Weekly_Model!$D$2:$D$9,MATCH(F386,Weekly_Model!$A$2:$A$9,0)),0)),IF(VLOOKUP($A383,Calendar!$A$1:$R$1377,18,0)=5,SUM(IFERROR(INDEX(Weekly_Model!$D$2:$D$9,MATCH(F383,Weekly_Model!$A$2:$A$9,0)),0),IFERROR(INDEX(Weekly_Model!$D$2:$D$9,MATCH(F384,Weekly_Model!$A$2:$A$9,0)),0),IFERROR(INDEX(Weekly_Model!$D$2:$D$9,MATCH(F385,Weekly_Model!$A$2:$A$9,0)),0),IFERROR(INDEX(Weekly_Model!$D$2:$D$9,MATCH(F386,Weekly_Model!$A$2:$A$9,0)),0),IFERROR(INDEX(Weekly_Model!$D$2:$D$9,MATCH(F387,Weekly_Model!$A$2:$A$9,0)),0)),0))))))</f>
        <v>2.3200000000000002E-2</v>
      </c>
      <c r="L383" s="27">
        <f>IF(VLOOKUP($A383,Calendar!$A$1:$R$1377,18,0)=0,0,IF(VLOOKUP($A383,Calendar!$A$1:$R$1377,18,0)=1,IFERROR(INDEX(Fortnightly_Model!$D$2:$D$15,MATCH(G383,Fortnightly_Model!$B$2:$B$15,0)),0),IF(VLOOKUP($A383,Calendar!$A$1:$R$1377,18,0)=2,SUM(IFERROR(INDEX(Fortnightly_Model!$D$2:$D$15,MATCH(G383,Fortnightly_Model!$B$2:$B$15,0)),0),IFERROR(INDEX(Fortnightly_Model!$D$2:$D$15,MATCH(G384,Fortnightly_Model!$B$2:$B$15,0)),0)),IF(VLOOKUP($A383,Calendar!$A$1:$R$1377,18,0)=3,SUM(IFERROR(INDEX(Fortnightly_Model!$D$2:$D$15,MATCH(G383,Fortnightly_Model!$B$2:$B$15,0)),0),IFERROR(INDEX(Fortnightly_Model!$D$2:$D$15,MATCH(G384,Fortnightly_Model!$B$2:$B$15,0)),0),IFERROR(INDEX(Fortnightly_Model!$D$2:$D$15,MATCH(G385,Fortnightly_Model!$B$2:$B$15,0)),0)),IF(VLOOKUP($A383,Calendar!$A$1:$R$1377,18,0)=4,SUM(IFERROR(INDEX(Fortnightly_Model!$D$2:$D$15,MATCH(G383,Fortnightly_Model!$B$2:$B$15,0)),0),IFERROR(INDEX(Fortnightly_Model!$D$2:$D$15,MATCH(G384,Fortnightly_Model!$B$2:$B$15,0)),0),IFERROR(INDEX(Fortnightly_Model!$D$2:$D$15,MATCH(G385,Fortnightly_Model!$B$2:$B$15,0)),0),IFERROR(INDEX(Fortnightly_Model!$D$2:$D$15,MATCH(G386,Fortnightly_Model!$B$2:$B$15,0)),0)),IF(VLOOKUP($A383,Calendar!$A$1:$R$1377,18,0)=5,SUM(IFERROR(INDEX(Fortnightly_Model!$D$2:$D$15,MATCH(G383,Fortnightly_Model!$B$2:$B$15,0)),0),IFERROR(INDEX(Fortnightly_Model!$D$2:$D$15,MATCH(G384,Fortnightly_Model!$B$2:$B$15,0)),0),IFERROR(INDEX(Fortnightly_Model!$D$2:$D$15,MATCH(G385,Fortnightly_Model!$B$2:$B$15,0)),0),IFERROR(INDEX(Fortnightly_Model!$D$2:$D$15,MATCH(G386,Fortnightly_Model!$B$2:$B$15,0)),0),IFERROR(INDEX(Fortnightly_Model!$D$2:$D$15,MATCH(G387,Fortnightly_Model!$B$2:$B$15,0)),0)),0))))))</f>
        <v>1.0714285499999999E-3</v>
      </c>
      <c r="M383" s="27">
        <f>IF(VLOOKUP($A383,Calendar!$A$1:$R$1377,18,0)=0,0,IF(VLOOKUP($A383,Calendar!$A$1:$R$1377,18,0)=1,IFERROR(INDEX(FourWeekly_Model!$D$2:$D$29,MATCH(H383,FourWeekly_Model!$B$2:$B$29,0)),0),IF(VLOOKUP($A383,Calendar!$A$1:$R$1377,18,0)=2,SUM(IFERROR(INDEX(FourWeekly_Model!$D$2:$D$29,MATCH(H383,FourWeekly_Model!$B$2:$B$29,0)),0),IFERROR(INDEX(FourWeekly_Model!$D$2:$D$29,MATCH(H384,FourWeekly_Model!$B$2:$B$29,0)),0)),IF(VLOOKUP($A383,Calendar!$A$1:$R$1377,18,0)=3,SUM(IFERROR(INDEX(FourWeekly_Model!$D$2:$D$29,MATCH(H383,FourWeekly_Model!$B$2:$B$29,0)),0),IFERROR(INDEX(FourWeekly_Model!$D$2:$D$29,MATCH(H384,FourWeekly_Model!$B$2:$B$29,0)),0),IFERROR(INDEX(FourWeekly_Model!$D$2:$D$29,MATCH(H385,FourWeekly_Model!$B$2:$B$29,0)),0)),IF(VLOOKUP($A383,Calendar!$A$1:$R$1377,18,0)=4,SUM(IFERROR(INDEX(FourWeekly_Model!$D$2:$D$29,MATCH(H383,FourWeekly_Model!$B$2:$B$29,0)),0),IFERROR(INDEX(FourWeekly_Model!$D$2:$D$29,MATCH(H384,FourWeekly_Model!$B$2:$B$29,0)),0),IFERROR(INDEX(FourWeekly_Model!$D$2:$D$29,MATCH(H385,FourWeekly_Model!$B$2:$B$29,0)),0),IFERROR(INDEX(FourWeekly_Model!$D$2:$D$29,MATCH(H386,FourWeekly_Model!$B$2:$B$29,0)),0)),IF(VLOOKUP($A383,Calendar!$A$1:$R$1377,18,0)=5,SUM(IFERROR(INDEX(FourWeekly_Model!$D$2:$D$29,MATCH(H383,FourWeekly_Model!$B$2:$B$29,0)),0),IFERROR(INDEX(FourWeekly_Model!$D$2:$D$29,MATCH(H384,FourWeekly_Model!$B$2:$B$29,0)),0),IFERROR(INDEX(FourWeekly_Model!$D$2:$D$29,MATCH(H385,FourWeekly_Model!$B$2:$B$29,0)),0),IFERROR(INDEX(FourWeekly_Model!$D$2:$D$29,MATCH(H386,FourWeekly_Model!$B$2:$B$29,0)),0),IFERROR(INDEX(FourWeekly_Model!$D$2:$D$29,MATCH(H387,FourWeekly_Model!$B$2:$B$29,0)),0)),0))))))</f>
        <v>3.3214289700000004E-3</v>
      </c>
      <c r="N383" s="27">
        <f>SUM(I383:M383)</f>
        <v>2.840542296502618E-2</v>
      </c>
      <c r="O383" s="28">
        <f>Population_Data!$B$8*N383</f>
        <v>860684.3158402933</v>
      </c>
      <c r="P383" s="27">
        <f>IF(VLOOKUP($A383,Calendar!$A$1:$R$1377,18,0)=0,0,IF(VLOOKUP($A383,Calendar!$A$1:$R$1377,18,0)=1,IFERROR(INDEX(Pension_Model!$D$2:$D$29,MATCH(H383,Pension_Model!$B$2:$B$29,0)),0),IF(VLOOKUP($A383,Calendar!$A$1:$R$1377,18,0)=2,SUM(IFERROR(INDEX(Pension_Model!$D$2:$D$29,MATCH(H383,Pension_Model!$B$2:$B$29,0)),0),IFERROR(INDEX(Pension_Model!$D$2:$D$29,MATCH(H384,Pension_Model!$B$2:$B$29,0)),0)),IF(VLOOKUP($A383,Calendar!$A$1:$R$1377,18,0)=3,SUM(IFERROR(INDEX(Pension_Model!$D$2:$D$29,MATCH(H383,Pension_Model!$B$2:$B$29,0)),0),IFERROR(INDEX(Pension_Model!$D$2:$D$29,MATCH(H384,Pension_Model!$B$2:$B$29,0)),0),IFERROR(INDEX(Pension_Model!$D$2:$D$29,MATCH(H385,Pension_Model!$B$2:$B$29,0)),0)),IF(VLOOKUP($A383,Calendar!$A$1:$R$1377,18,0)=4,SUM(IFERROR(INDEX(Pension_Model!$D$2:$D$29,MATCH(H383,Pension_Model!$B$2:$B$29,0)),0),IFERROR(INDEX(Pension_Model!$D$2:$D$29,MATCH(H384,Pension_Model!$B$2:$B$29,0)),0),IFERROR(INDEX(Pension_Model!$D$2:$D$29,MATCH(H385,Pension_Model!$B$2:$B$29,0)),0),IFERROR(INDEX(Pension_Model!$D$2:$D$29,MATCH(H386,Pension_Model!$B$2:$B$29,0)),0)),IF(VLOOKUP($A383,Calendar!$A$1:$R$1377,18,0)=5,SUM(IFERROR(INDEX(Pension_Model!$D$2:$D$29,MATCH(H383,Pension_Model!$B$2:$B$29,0)),0),IFERROR(INDEX(Pension_Model!$D$2:$D$29,MATCH(H384,Pension_Model!$B$2:$B$29,0)),0),IFERROR(INDEX(Pension_Model!$D$2:$D$29,MATCH(H385,Pension_Model!$B$2:$B$29,0)),0),IFERROR(INDEX(Pension_Model!$D$2:$D$29,MATCH(H386,Pension_Model!$B$2:$B$29,0)),0),IFERROR(INDEX(Pension_Model!$D$2:$D$29,MATCH(H387,Pension_Model!$B$2:$B$29,0)),0)),0))))))</f>
        <v>0.05</v>
      </c>
      <c r="Q383" s="28">
        <f>Population_Data!$B$15*P383</f>
        <v>660600</v>
      </c>
      <c r="S383">
        <f t="shared" si="5"/>
        <v>1521284.3158402932</v>
      </c>
      <c r="U383" s="33">
        <f>S383/Population_Data!$B$19</f>
        <v>2.7559498475367629E-2</v>
      </c>
    </row>
    <row r="384" spans="1:21">
      <c r="A384" s="25">
        <f>Calendar!A384</f>
        <v>46617</v>
      </c>
      <c r="B384" t="str">
        <f>Calendar!L384</f>
        <v>Yes</v>
      </c>
      <c r="C384" t="str">
        <f>Calendar!O384</f>
        <v>No</v>
      </c>
      <c r="D384" t="str">
        <f>Calendar!P384</f>
        <v>No</v>
      </c>
      <c r="E384" t="str">
        <f>Calendar!Q384</f>
        <v>No</v>
      </c>
      <c r="F384" t="str">
        <f>Calendar!I384</f>
        <v>Wednesday</v>
      </c>
      <c r="G384">
        <f>Calendar!S384</f>
        <v>11</v>
      </c>
      <c r="H384">
        <f>Calendar!T384</f>
        <v>25</v>
      </c>
      <c r="I384" s="27">
        <f>IF(VLOOKUP(A384,Calendar!$A$1:$R$1377,18,0)=0,0,IF(VLOOKUP(A384,Calendar!$A$1:$R$1377,18,0)=1,INDEX(Monthly_Pay_Model!$A$9:$D$40,MATCH(TEXT(A384,"dd"),Monthly_Pay_Model!$C$9:$C$39,0),4),IF(VLOOKUP(A384,Calendar!$A$1:$R$1377,18,0)=2,SUM(INDEX(Monthly_Pay_Model!$A$9:$D$40,MATCH(TEXT(A384,"dd"),Monthly_Pay_Model!$C$9:$C$39,0),4),INDEX(Monthly_Pay_Model!$A$9:$D$40,MATCH(TEXT(A385,"dd"),Monthly_Pay_Model!$C$9:$C$39,0),4)),IF(VLOOKUP(A384,Calendar!$A$1:$R$1377,18,0)=3,SUM(INDEX(Monthly_Pay_Model!$A$9:$D$40,MATCH(TEXT(A384,"dd"),Monthly_Pay_Model!$C$9:$C$39,0),4),INDEX(Monthly_Pay_Model!$A$9:$D$40,MATCH(TEXT(A385,"dd"),Monthly_Pay_Model!$C$9:$C$39,0),4),INDEX(Monthly_Pay_Model!$A$9:$D$40,MATCH(TEXT(A386,"dd"),Monthly_Pay_Model!$C$9:$C$39,0),4)),IF(VLOOKUP(A384,Calendar!$A$1:$R$1377,18,0)=4,SUM(INDEX(Monthly_Pay_Model!$A$9:$D$40,MATCH(TEXT(A384,"dd"),Monthly_Pay_Model!$C$9:$C$39,0),4),INDEX(Monthly_Pay_Model!$A$9:$D$40,MATCH(TEXT(A385,"dd"),Monthly_Pay_Model!$C$9:$C$39,0),4),INDEX(Monthly_Pay_Model!$A$9:$D$40,MATCH(TEXT(A386,"dd"),Monthly_Pay_Model!$C$9:$C$39,0),4),INDEX(Monthly_Pay_Model!$A$9:$D$40,MATCH(TEXT(A387,"dd"),Monthly_Pay_Model!$C$9:$C$39,0),4)),IF(VLOOKUP(A384,Calendar!$A$1:$R$1377,18,0)=5,SUM(INDEX(Monthly_Pay_Model!$A$9:$D$40,MATCH(TEXT(A384,"dd"),Monthly_Pay_Model!$C$9:$C$39,0),4),INDEX(Monthly_Pay_Model!$A$9:$D$40,MATCH(TEXT(A385,"dd"),Monthly_Pay_Model!$C$9:$C$39,0),4),INDEX(Monthly_Pay_Model!$A$9:$D$40,MATCH(TEXT(A386,"dd"),Monthly_Pay_Model!$C$9:$C$39,0),4),INDEX(Monthly_Pay_Model!$A$9:$D$40,MATCH(TEXT(A387,"dd"),Monthly_Pay_Model!$C$9:$C$39,0),4),INDEX(Monthly_Pay_Model!$A$9:$D$40,MATCH(TEXT(A388,"dd"),Monthly_Pay_Model!$C$9:$C$39,0),4)),))))))</f>
        <v>2.4376963350785331E-3</v>
      </c>
      <c r="J384" s="33">
        <f>IF(C384="Yes",Monthly_Pay_Model!$D$2,0)
+IF(Calendar!N384="Yes",Monthly_Pay_Model!$D$3,0)
+IF(D384="Yes",Monthly_Pay_Model!$D$4,0)
+IF(E384="Yes",Monthly_Pay_Model!$D$5,0)</f>
        <v>0</v>
      </c>
      <c r="K384" s="27">
        <f>IF(VLOOKUP($A384,Calendar!$A$1:$R$1377,18,0)=0,0,IF(VLOOKUP($A384,Calendar!$A$1:$R$1377,18,0)=1,IFERROR(INDEX(Weekly_Model!$D$2:$D$9,MATCH(F384,Weekly_Model!$A$2:$A$9,0)),0),IF(VLOOKUP($A384,Calendar!$A$1:$R$1377,18,0)=2,SUM(IFERROR(INDEX(Weekly_Model!$D$2:$D$9,MATCH(F384,Weekly_Model!$A$2:$A$9,0)),0),IFERROR(INDEX(Weekly_Model!$D$2:$D$9,MATCH(F385,Weekly_Model!$A$2:$A$9,0)),0)),IF(VLOOKUP($A384,Calendar!$A$1:$R$1377,18,0)=3,SUM(IFERROR(INDEX(Weekly_Model!$D$2:$D$9,MATCH(F384,Weekly_Model!$A$2:$A$9,0)),0),IFERROR(INDEX(Weekly_Model!$D$2:$D$9,MATCH(F385,Weekly_Model!$A$2:$A$9,0)),0),IFERROR(INDEX(Weekly_Model!$D$2:$D$9,MATCH(F386,Weekly_Model!$A$2:$A$9,0)),0)),IF(VLOOKUP($A384,Calendar!$A$1:$R$1377,18,0)=4,SUM(IFERROR(INDEX(Weekly_Model!$D$2:$D$9,MATCH(F384,Weekly_Model!$A$2:$A$9,0)),0),IFERROR(INDEX(Weekly_Model!$D$2:$D$9,MATCH(F385,Weekly_Model!$A$2:$A$9,0)),0),IFERROR(INDEX(Weekly_Model!$D$2:$D$9,MATCH(F386,Weekly_Model!$A$2:$A$9,0)),0),IFERROR(INDEX(Weekly_Model!$D$2:$D$9,MATCH(F387,Weekly_Model!$A$2:$A$9,0)),0)),IF(VLOOKUP($A384,Calendar!$A$1:$R$1377,18,0)=5,SUM(IFERROR(INDEX(Weekly_Model!$D$2:$D$9,MATCH(F384,Weekly_Model!$A$2:$A$9,0)),0),IFERROR(INDEX(Weekly_Model!$D$2:$D$9,MATCH(F385,Weekly_Model!$A$2:$A$9,0)),0),IFERROR(INDEX(Weekly_Model!$D$2:$D$9,MATCH(F386,Weekly_Model!$A$2:$A$9,0)),0),IFERROR(INDEX(Weekly_Model!$D$2:$D$9,MATCH(F387,Weekly_Model!$A$2:$A$9,0)),0),IFERROR(INDEX(Weekly_Model!$D$2:$D$9,MATCH(F388,Weekly_Model!$A$2:$A$9,0)),0)),0))))))</f>
        <v>2.3200000000000002E-2</v>
      </c>
      <c r="L384" s="27">
        <f>IF(VLOOKUP($A384,Calendar!$A$1:$R$1377,18,0)=0,0,IF(VLOOKUP($A384,Calendar!$A$1:$R$1377,18,0)=1,IFERROR(INDEX(Fortnightly_Model!$D$2:$D$15,MATCH(G384,Fortnightly_Model!$B$2:$B$15,0)),0),IF(VLOOKUP($A384,Calendar!$A$1:$R$1377,18,0)=2,SUM(IFERROR(INDEX(Fortnightly_Model!$D$2:$D$15,MATCH(G384,Fortnightly_Model!$B$2:$B$15,0)),0),IFERROR(INDEX(Fortnightly_Model!$D$2:$D$15,MATCH(G385,Fortnightly_Model!$B$2:$B$15,0)),0)),IF(VLOOKUP($A384,Calendar!$A$1:$R$1377,18,0)=3,SUM(IFERROR(INDEX(Fortnightly_Model!$D$2:$D$15,MATCH(G384,Fortnightly_Model!$B$2:$B$15,0)),0),IFERROR(INDEX(Fortnightly_Model!$D$2:$D$15,MATCH(G385,Fortnightly_Model!$B$2:$B$15,0)),0),IFERROR(INDEX(Fortnightly_Model!$D$2:$D$15,MATCH(G386,Fortnightly_Model!$B$2:$B$15,0)),0)),IF(VLOOKUP($A384,Calendar!$A$1:$R$1377,18,0)=4,SUM(IFERROR(INDEX(Fortnightly_Model!$D$2:$D$15,MATCH(G384,Fortnightly_Model!$B$2:$B$15,0)),0),IFERROR(INDEX(Fortnightly_Model!$D$2:$D$15,MATCH(G385,Fortnightly_Model!$B$2:$B$15,0)),0),IFERROR(INDEX(Fortnightly_Model!$D$2:$D$15,MATCH(G386,Fortnightly_Model!$B$2:$B$15,0)),0),IFERROR(INDEX(Fortnightly_Model!$D$2:$D$15,MATCH(G387,Fortnightly_Model!$B$2:$B$15,0)),0)),IF(VLOOKUP($A384,Calendar!$A$1:$R$1377,18,0)=5,SUM(IFERROR(INDEX(Fortnightly_Model!$D$2:$D$15,MATCH(G384,Fortnightly_Model!$B$2:$B$15,0)),0),IFERROR(INDEX(Fortnightly_Model!$D$2:$D$15,MATCH(G385,Fortnightly_Model!$B$2:$B$15,0)),0),IFERROR(INDEX(Fortnightly_Model!$D$2:$D$15,MATCH(G386,Fortnightly_Model!$B$2:$B$15,0)),0),IFERROR(INDEX(Fortnightly_Model!$D$2:$D$15,MATCH(G387,Fortnightly_Model!$B$2:$B$15,0)),0),IFERROR(INDEX(Fortnightly_Model!$D$2:$D$15,MATCH(G388,Fortnightly_Model!$B$2:$B$15,0)),0)),0))))))</f>
        <v>1.0714285499999999E-3</v>
      </c>
      <c r="M384" s="27">
        <f>IF(VLOOKUP($A384,Calendar!$A$1:$R$1377,18,0)=0,0,IF(VLOOKUP($A384,Calendar!$A$1:$R$1377,18,0)=1,IFERROR(INDEX(FourWeekly_Model!$D$2:$D$29,MATCH(H384,FourWeekly_Model!$B$2:$B$29,0)),0),IF(VLOOKUP($A384,Calendar!$A$1:$R$1377,18,0)=2,SUM(IFERROR(INDEX(FourWeekly_Model!$D$2:$D$29,MATCH(H384,FourWeekly_Model!$B$2:$B$29,0)),0),IFERROR(INDEX(FourWeekly_Model!$D$2:$D$29,MATCH(H385,FourWeekly_Model!$B$2:$B$29,0)),0)),IF(VLOOKUP($A384,Calendar!$A$1:$R$1377,18,0)=3,SUM(IFERROR(INDEX(FourWeekly_Model!$D$2:$D$29,MATCH(H384,FourWeekly_Model!$B$2:$B$29,0)),0),IFERROR(INDEX(FourWeekly_Model!$D$2:$D$29,MATCH(H385,FourWeekly_Model!$B$2:$B$29,0)),0),IFERROR(INDEX(FourWeekly_Model!$D$2:$D$29,MATCH(H386,FourWeekly_Model!$B$2:$B$29,0)),0)),IF(VLOOKUP($A384,Calendar!$A$1:$R$1377,18,0)=4,SUM(IFERROR(INDEX(FourWeekly_Model!$D$2:$D$29,MATCH(H384,FourWeekly_Model!$B$2:$B$29,0)),0),IFERROR(INDEX(FourWeekly_Model!$D$2:$D$29,MATCH(H385,FourWeekly_Model!$B$2:$B$29,0)),0),IFERROR(INDEX(FourWeekly_Model!$D$2:$D$29,MATCH(H386,FourWeekly_Model!$B$2:$B$29,0)),0),IFERROR(INDEX(FourWeekly_Model!$D$2:$D$29,MATCH(H387,FourWeekly_Model!$B$2:$B$29,0)),0)),IF(VLOOKUP($A384,Calendar!$A$1:$R$1377,18,0)=5,SUM(IFERROR(INDEX(FourWeekly_Model!$D$2:$D$29,MATCH(H384,FourWeekly_Model!$B$2:$B$29,0)),0),IFERROR(INDEX(FourWeekly_Model!$D$2:$D$29,MATCH(H385,FourWeekly_Model!$B$2:$B$29,0)),0),IFERROR(INDEX(FourWeekly_Model!$D$2:$D$29,MATCH(H386,FourWeekly_Model!$B$2:$B$29,0)),0),IFERROR(INDEX(FourWeekly_Model!$D$2:$D$29,MATCH(H387,FourWeekly_Model!$B$2:$B$29,0)),0),IFERROR(INDEX(FourWeekly_Model!$D$2:$D$29,MATCH(H388,FourWeekly_Model!$B$2:$B$29,0)),0)),0))))))</f>
        <v>3.3214289700000004E-3</v>
      </c>
      <c r="N384" s="27">
        <f>SUM(I384:M384)</f>
        <v>3.0030553855078537E-2</v>
      </c>
      <c r="O384" s="28">
        <f>Population_Data!$B$8*N384</f>
        <v>909925.78180887969</v>
      </c>
      <c r="P384" s="27">
        <f>IF(VLOOKUP($A384,Calendar!$A$1:$R$1377,18,0)=0,0,IF(VLOOKUP($A384,Calendar!$A$1:$R$1377,18,0)=1,IFERROR(INDEX(Pension_Model!$D$2:$D$29,MATCH(H384,Pension_Model!$B$2:$B$29,0)),0),IF(VLOOKUP($A384,Calendar!$A$1:$R$1377,18,0)=2,SUM(IFERROR(INDEX(Pension_Model!$D$2:$D$29,MATCH(H384,Pension_Model!$B$2:$B$29,0)),0),IFERROR(INDEX(Pension_Model!$D$2:$D$29,MATCH(H385,Pension_Model!$B$2:$B$29,0)),0)),IF(VLOOKUP($A384,Calendar!$A$1:$R$1377,18,0)=3,SUM(IFERROR(INDEX(Pension_Model!$D$2:$D$29,MATCH(H384,Pension_Model!$B$2:$B$29,0)),0),IFERROR(INDEX(Pension_Model!$D$2:$D$29,MATCH(H385,Pension_Model!$B$2:$B$29,0)),0),IFERROR(INDEX(Pension_Model!$D$2:$D$29,MATCH(H386,Pension_Model!$B$2:$B$29,0)),0)),IF(VLOOKUP($A384,Calendar!$A$1:$R$1377,18,0)=4,SUM(IFERROR(INDEX(Pension_Model!$D$2:$D$29,MATCH(H384,Pension_Model!$B$2:$B$29,0)),0),IFERROR(INDEX(Pension_Model!$D$2:$D$29,MATCH(H385,Pension_Model!$B$2:$B$29,0)),0),IFERROR(INDEX(Pension_Model!$D$2:$D$29,MATCH(H386,Pension_Model!$B$2:$B$29,0)),0),IFERROR(INDEX(Pension_Model!$D$2:$D$29,MATCH(H387,Pension_Model!$B$2:$B$29,0)),0)),IF(VLOOKUP($A384,Calendar!$A$1:$R$1377,18,0)=5,SUM(IFERROR(INDEX(Pension_Model!$D$2:$D$29,MATCH(H384,Pension_Model!$B$2:$B$29,0)),0),IFERROR(INDEX(Pension_Model!$D$2:$D$29,MATCH(H385,Pension_Model!$B$2:$B$29,0)),0),IFERROR(INDEX(Pension_Model!$D$2:$D$29,MATCH(H386,Pension_Model!$B$2:$B$29,0)),0),IFERROR(INDEX(Pension_Model!$D$2:$D$29,MATCH(H387,Pension_Model!$B$2:$B$29,0)),0),IFERROR(INDEX(Pension_Model!$D$2:$D$29,MATCH(H388,Pension_Model!$B$2:$B$29,0)),0)),0))))))</f>
        <v>0.05</v>
      </c>
      <c r="Q384" s="28">
        <f>Population_Data!$B$15*P384</f>
        <v>660600</v>
      </c>
      <c r="S384">
        <f t="shared" si="5"/>
        <v>1570525.7818088797</v>
      </c>
      <c r="U384" s="33">
        <f>S384/Population_Data!$B$19</f>
        <v>2.8451554018276808E-2</v>
      </c>
    </row>
    <row r="385" spans="1:21">
      <c r="A385" s="25">
        <f>Calendar!A385</f>
        <v>46618</v>
      </c>
      <c r="B385" t="str">
        <f>Calendar!L385</f>
        <v>Yes</v>
      </c>
      <c r="C385" t="str">
        <f>Calendar!O385</f>
        <v>No</v>
      </c>
      <c r="D385" t="str">
        <f>Calendar!P385</f>
        <v>No</v>
      </c>
      <c r="E385" t="str">
        <f>Calendar!Q385</f>
        <v>No</v>
      </c>
      <c r="F385" t="str">
        <f>Calendar!I385</f>
        <v>Thursday</v>
      </c>
      <c r="G385">
        <f>Calendar!S385</f>
        <v>12</v>
      </c>
      <c r="H385">
        <f>Calendar!T385</f>
        <v>26</v>
      </c>
      <c r="I385" s="27">
        <f>IF(VLOOKUP(A385,Calendar!$A$1:$R$1377,18,0)=0,0,IF(VLOOKUP(A385,Calendar!$A$1:$R$1377,18,0)=1,INDEX(Monthly_Pay_Model!$A$9:$D$40,MATCH(TEXT(A385,"dd"),Monthly_Pay_Model!$C$9:$C$39,0),4),IF(VLOOKUP(A385,Calendar!$A$1:$R$1377,18,0)=2,SUM(INDEX(Monthly_Pay_Model!$A$9:$D$40,MATCH(TEXT(A385,"dd"),Monthly_Pay_Model!$C$9:$C$39,0),4),INDEX(Monthly_Pay_Model!$A$9:$D$40,MATCH(TEXT(A386,"dd"),Monthly_Pay_Model!$C$9:$C$39,0),4)),IF(VLOOKUP(A385,Calendar!$A$1:$R$1377,18,0)=3,SUM(INDEX(Monthly_Pay_Model!$A$9:$D$40,MATCH(TEXT(A385,"dd"),Monthly_Pay_Model!$C$9:$C$39,0),4),INDEX(Monthly_Pay_Model!$A$9:$D$40,MATCH(TEXT(A386,"dd"),Monthly_Pay_Model!$C$9:$C$39,0),4),INDEX(Monthly_Pay_Model!$A$9:$D$40,MATCH(TEXT(A387,"dd"),Monthly_Pay_Model!$C$9:$C$39,0),4)),IF(VLOOKUP(A385,Calendar!$A$1:$R$1377,18,0)=4,SUM(INDEX(Monthly_Pay_Model!$A$9:$D$40,MATCH(TEXT(A385,"dd"),Monthly_Pay_Model!$C$9:$C$39,0),4),INDEX(Monthly_Pay_Model!$A$9:$D$40,MATCH(TEXT(A386,"dd"),Monthly_Pay_Model!$C$9:$C$39,0),4),INDEX(Monthly_Pay_Model!$A$9:$D$40,MATCH(TEXT(A387,"dd"),Monthly_Pay_Model!$C$9:$C$39,0),4),INDEX(Monthly_Pay_Model!$A$9:$D$40,MATCH(TEXT(A388,"dd"),Monthly_Pay_Model!$C$9:$C$39,0),4)),IF(VLOOKUP(A385,Calendar!$A$1:$R$1377,18,0)=5,SUM(INDEX(Monthly_Pay_Model!$A$9:$D$40,MATCH(TEXT(A385,"dd"),Monthly_Pay_Model!$C$9:$C$39,0),4),INDEX(Monthly_Pay_Model!$A$9:$D$40,MATCH(TEXT(A386,"dd"),Monthly_Pay_Model!$C$9:$C$39,0),4),INDEX(Monthly_Pay_Model!$A$9:$D$40,MATCH(TEXT(A387,"dd"),Monthly_Pay_Model!$C$9:$C$39,0),4),INDEX(Monthly_Pay_Model!$A$9:$D$40,MATCH(TEXT(A388,"dd"),Monthly_Pay_Model!$C$9:$C$39,0),4),INDEX(Monthly_Pay_Model!$A$9:$D$40,MATCH(TEXT(A389,"dd"),Monthly_Pay_Model!$C$9:$C$39,0),4)),))))))</f>
        <v>1.6251308900523558E-3</v>
      </c>
      <c r="J385" s="33">
        <f>IF(C385="Yes",Monthly_Pay_Model!$D$2,0)
+IF(Calendar!N385="Yes",Monthly_Pay_Model!$D$3,0)
+IF(D385="Yes",Monthly_Pay_Model!$D$4,0)
+IF(E385="Yes",Monthly_Pay_Model!$D$5,0)</f>
        <v>0</v>
      </c>
      <c r="K385" s="27">
        <f>IF(VLOOKUP($A385,Calendar!$A$1:$R$1377,18,0)=0,0,IF(VLOOKUP($A385,Calendar!$A$1:$R$1377,18,0)=1,IFERROR(INDEX(Weekly_Model!$D$2:$D$9,MATCH(F385,Weekly_Model!$A$2:$A$9,0)),0),IF(VLOOKUP($A385,Calendar!$A$1:$R$1377,18,0)=2,SUM(IFERROR(INDEX(Weekly_Model!$D$2:$D$9,MATCH(F385,Weekly_Model!$A$2:$A$9,0)),0),IFERROR(INDEX(Weekly_Model!$D$2:$D$9,MATCH(F386,Weekly_Model!$A$2:$A$9,0)),0)),IF(VLOOKUP($A385,Calendar!$A$1:$R$1377,18,0)=3,SUM(IFERROR(INDEX(Weekly_Model!$D$2:$D$9,MATCH(F385,Weekly_Model!$A$2:$A$9,0)),0),IFERROR(INDEX(Weekly_Model!$D$2:$D$9,MATCH(F386,Weekly_Model!$A$2:$A$9,0)),0),IFERROR(INDEX(Weekly_Model!$D$2:$D$9,MATCH(F387,Weekly_Model!$A$2:$A$9,0)),0)),IF(VLOOKUP($A385,Calendar!$A$1:$R$1377,18,0)=4,SUM(IFERROR(INDEX(Weekly_Model!$D$2:$D$9,MATCH(F385,Weekly_Model!$A$2:$A$9,0)),0),IFERROR(INDEX(Weekly_Model!$D$2:$D$9,MATCH(F386,Weekly_Model!$A$2:$A$9,0)),0),IFERROR(INDEX(Weekly_Model!$D$2:$D$9,MATCH(F387,Weekly_Model!$A$2:$A$9,0)),0),IFERROR(INDEX(Weekly_Model!$D$2:$D$9,MATCH(F388,Weekly_Model!$A$2:$A$9,0)),0)),IF(VLOOKUP($A385,Calendar!$A$1:$R$1377,18,0)=5,SUM(IFERROR(INDEX(Weekly_Model!$D$2:$D$9,MATCH(F385,Weekly_Model!$A$2:$A$9,0)),0),IFERROR(INDEX(Weekly_Model!$D$2:$D$9,MATCH(F386,Weekly_Model!$A$2:$A$9,0)),0),IFERROR(INDEX(Weekly_Model!$D$2:$D$9,MATCH(F387,Weekly_Model!$A$2:$A$9,0)),0),IFERROR(INDEX(Weekly_Model!$D$2:$D$9,MATCH(F388,Weekly_Model!$A$2:$A$9,0)),0),IFERROR(INDEX(Weekly_Model!$D$2:$D$9,MATCH(F389,Weekly_Model!$A$2:$A$9,0)),0)),0))))))</f>
        <v>2.3200000000000002E-2</v>
      </c>
      <c r="L385" s="27">
        <f>IF(VLOOKUP($A385,Calendar!$A$1:$R$1377,18,0)=0,0,IF(VLOOKUP($A385,Calendar!$A$1:$R$1377,18,0)=1,IFERROR(INDEX(Fortnightly_Model!$D$2:$D$15,MATCH(G385,Fortnightly_Model!$B$2:$B$15,0)),0),IF(VLOOKUP($A385,Calendar!$A$1:$R$1377,18,0)=2,SUM(IFERROR(INDEX(Fortnightly_Model!$D$2:$D$15,MATCH(G385,Fortnightly_Model!$B$2:$B$15,0)),0),IFERROR(INDEX(Fortnightly_Model!$D$2:$D$15,MATCH(G386,Fortnightly_Model!$B$2:$B$15,0)),0)),IF(VLOOKUP($A385,Calendar!$A$1:$R$1377,18,0)=3,SUM(IFERROR(INDEX(Fortnightly_Model!$D$2:$D$15,MATCH(G385,Fortnightly_Model!$B$2:$B$15,0)),0),IFERROR(INDEX(Fortnightly_Model!$D$2:$D$15,MATCH(G386,Fortnightly_Model!$B$2:$B$15,0)),0),IFERROR(INDEX(Fortnightly_Model!$D$2:$D$15,MATCH(G387,Fortnightly_Model!$B$2:$B$15,0)),0)),IF(VLOOKUP($A385,Calendar!$A$1:$R$1377,18,0)=4,SUM(IFERROR(INDEX(Fortnightly_Model!$D$2:$D$15,MATCH(G385,Fortnightly_Model!$B$2:$B$15,0)),0),IFERROR(INDEX(Fortnightly_Model!$D$2:$D$15,MATCH(G386,Fortnightly_Model!$B$2:$B$15,0)),0),IFERROR(INDEX(Fortnightly_Model!$D$2:$D$15,MATCH(G387,Fortnightly_Model!$B$2:$B$15,0)),0),IFERROR(INDEX(Fortnightly_Model!$D$2:$D$15,MATCH(G388,Fortnightly_Model!$B$2:$B$15,0)),0)),IF(VLOOKUP($A385,Calendar!$A$1:$R$1377,18,0)=5,SUM(IFERROR(INDEX(Fortnightly_Model!$D$2:$D$15,MATCH(G385,Fortnightly_Model!$B$2:$B$15,0)),0),IFERROR(INDEX(Fortnightly_Model!$D$2:$D$15,MATCH(G386,Fortnightly_Model!$B$2:$B$15,0)),0),IFERROR(INDEX(Fortnightly_Model!$D$2:$D$15,MATCH(G387,Fortnightly_Model!$B$2:$B$15,0)),0),IFERROR(INDEX(Fortnightly_Model!$D$2:$D$15,MATCH(G388,Fortnightly_Model!$B$2:$B$15,0)),0),IFERROR(INDEX(Fortnightly_Model!$D$2:$D$15,MATCH(G389,Fortnightly_Model!$B$2:$B$15,0)),0)),0))))))</f>
        <v>1.0714285499999999E-3</v>
      </c>
      <c r="M385" s="27">
        <f>IF(VLOOKUP($A385,Calendar!$A$1:$R$1377,18,0)=0,0,IF(VLOOKUP($A385,Calendar!$A$1:$R$1377,18,0)=1,IFERROR(INDEX(FourWeekly_Model!$D$2:$D$29,MATCH(H385,FourWeekly_Model!$B$2:$B$29,0)),0),IF(VLOOKUP($A385,Calendar!$A$1:$R$1377,18,0)=2,SUM(IFERROR(INDEX(FourWeekly_Model!$D$2:$D$29,MATCH(H385,FourWeekly_Model!$B$2:$B$29,0)),0),IFERROR(INDEX(FourWeekly_Model!$D$2:$D$29,MATCH(H386,FourWeekly_Model!$B$2:$B$29,0)),0)),IF(VLOOKUP($A385,Calendar!$A$1:$R$1377,18,0)=3,SUM(IFERROR(INDEX(FourWeekly_Model!$D$2:$D$29,MATCH(H385,FourWeekly_Model!$B$2:$B$29,0)),0),IFERROR(INDEX(FourWeekly_Model!$D$2:$D$29,MATCH(H386,FourWeekly_Model!$B$2:$B$29,0)),0),IFERROR(INDEX(FourWeekly_Model!$D$2:$D$29,MATCH(H387,FourWeekly_Model!$B$2:$B$29,0)),0)),IF(VLOOKUP($A385,Calendar!$A$1:$R$1377,18,0)=4,SUM(IFERROR(INDEX(FourWeekly_Model!$D$2:$D$29,MATCH(H385,FourWeekly_Model!$B$2:$B$29,0)),0),IFERROR(INDEX(FourWeekly_Model!$D$2:$D$29,MATCH(H386,FourWeekly_Model!$B$2:$B$29,0)),0),IFERROR(INDEX(FourWeekly_Model!$D$2:$D$29,MATCH(H387,FourWeekly_Model!$B$2:$B$29,0)),0),IFERROR(INDEX(FourWeekly_Model!$D$2:$D$29,MATCH(H388,FourWeekly_Model!$B$2:$B$29,0)),0)),IF(VLOOKUP($A385,Calendar!$A$1:$R$1377,18,0)=5,SUM(IFERROR(INDEX(FourWeekly_Model!$D$2:$D$29,MATCH(H385,FourWeekly_Model!$B$2:$B$29,0)),0),IFERROR(INDEX(FourWeekly_Model!$D$2:$D$29,MATCH(H386,FourWeekly_Model!$B$2:$B$29,0)),0),IFERROR(INDEX(FourWeekly_Model!$D$2:$D$29,MATCH(H387,FourWeekly_Model!$B$2:$B$29,0)),0),IFERROR(INDEX(FourWeekly_Model!$D$2:$D$29,MATCH(H388,FourWeekly_Model!$B$2:$B$29,0)),0),IFERROR(INDEX(FourWeekly_Model!$D$2:$D$29,MATCH(H389,FourWeekly_Model!$B$2:$B$29,0)),0)),0))))))</f>
        <v>3.3214289700000004E-3</v>
      </c>
      <c r="N385" s="27">
        <f>SUM(I385:M385)</f>
        <v>2.921798841005236E-2</v>
      </c>
      <c r="O385" s="28">
        <f>Population_Data!$B$8*N385</f>
        <v>885305.04882458656</v>
      </c>
      <c r="P385" s="27">
        <f>IF(VLOOKUP($A385,Calendar!$A$1:$R$1377,18,0)=0,0,IF(VLOOKUP($A385,Calendar!$A$1:$R$1377,18,0)=1,IFERROR(INDEX(Pension_Model!$D$2:$D$29,MATCH(H385,Pension_Model!$B$2:$B$29,0)),0),IF(VLOOKUP($A385,Calendar!$A$1:$R$1377,18,0)=2,SUM(IFERROR(INDEX(Pension_Model!$D$2:$D$29,MATCH(H385,Pension_Model!$B$2:$B$29,0)),0),IFERROR(INDEX(Pension_Model!$D$2:$D$29,MATCH(H386,Pension_Model!$B$2:$B$29,0)),0)),IF(VLOOKUP($A385,Calendar!$A$1:$R$1377,18,0)=3,SUM(IFERROR(INDEX(Pension_Model!$D$2:$D$29,MATCH(H385,Pension_Model!$B$2:$B$29,0)),0),IFERROR(INDEX(Pension_Model!$D$2:$D$29,MATCH(H386,Pension_Model!$B$2:$B$29,0)),0),IFERROR(INDEX(Pension_Model!$D$2:$D$29,MATCH(H387,Pension_Model!$B$2:$B$29,0)),0)),IF(VLOOKUP($A385,Calendar!$A$1:$R$1377,18,0)=4,SUM(IFERROR(INDEX(Pension_Model!$D$2:$D$29,MATCH(H385,Pension_Model!$B$2:$B$29,0)),0),IFERROR(INDEX(Pension_Model!$D$2:$D$29,MATCH(H386,Pension_Model!$B$2:$B$29,0)),0),IFERROR(INDEX(Pension_Model!$D$2:$D$29,MATCH(H387,Pension_Model!$B$2:$B$29,0)),0),IFERROR(INDEX(Pension_Model!$D$2:$D$29,MATCH(H388,Pension_Model!$B$2:$B$29,0)),0)),IF(VLOOKUP($A385,Calendar!$A$1:$R$1377,18,0)=5,SUM(IFERROR(INDEX(Pension_Model!$D$2:$D$29,MATCH(H385,Pension_Model!$B$2:$B$29,0)),0),IFERROR(INDEX(Pension_Model!$D$2:$D$29,MATCH(H386,Pension_Model!$B$2:$B$29,0)),0),IFERROR(INDEX(Pension_Model!$D$2:$D$29,MATCH(H387,Pension_Model!$B$2:$B$29,0)),0),IFERROR(INDEX(Pension_Model!$D$2:$D$29,MATCH(H388,Pension_Model!$B$2:$B$29,0)),0),IFERROR(INDEX(Pension_Model!$D$2:$D$29,MATCH(H389,Pension_Model!$B$2:$B$29,0)),0)),0))))))</f>
        <v>0.05</v>
      </c>
      <c r="Q385" s="28">
        <f>Population_Data!$B$15*P385</f>
        <v>660600</v>
      </c>
      <c r="S385">
        <f t="shared" si="5"/>
        <v>1545905.0488245864</v>
      </c>
      <c r="U385" s="33">
        <f>S385/Population_Data!$B$19</f>
        <v>2.8005526246822218E-2</v>
      </c>
    </row>
    <row r="386" spans="1:21">
      <c r="A386" s="25">
        <f>Calendar!A386</f>
        <v>46619</v>
      </c>
      <c r="B386" t="str">
        <f>Calendar!L386</f>
        <v>Yes</v>
      </c>
      <c r="C386" t="str">
        <f>Calendar!O386</f>
        <v>No</v>
      </c>
      <c r="D386" t="str">
        <f>Calendar!P386</f>
        <v>No</v>
      </c>
      <c r="E386" t="str">
        <f>Calendar!Q386</f>
        <v>No</v>
      </c>
      <c r="F386" t="str">
        <f>Calendar!I386</f>
        <v>Friday</v>
      </c>
      <c r="G386">
        <f>Calendar!S386</f>
        <v>13</v>
      </c>
      <c r="H386">
        <f>Calendar!T386</f>
        <v>27</v>
      </c>
      <c r="I386" s="27">
        <f>IF(VLOOKUP(A386,Calendar!$A$1:$R$1377,18,0)=0,0,IF(VLOOKUP(A386,Calendar!$A$1:$R$1377,18,0)=1,INDEX(Monthly_Pay_Model!$A$9:$D$40,MATCH(TEXT(A386,"dd"),Monthly_Pay_Model!$C$9:$C$39,0),4),IF(VLOOKUP(A386,Calendar!$A$1:$R$1377,18,0)=2,SUM(INDEX(Monthly_Pay_Model!$A$9:$D$40,MATCH(TEXT(A386,"dd"),Monthly_Pay_Model!$C$9:$C$39,0),4),INDEX(Monthly_Pay_Model!$A$9:$D$40,MATCH(TEXT(A387,"dd"),Monthly_Pay_Model!$C$9:$C$39,0),4)),IF(VLOOKUP(A386,Calendar!$A$1:$R$1377,18,0)=3,SUM(INDEX(Monthly_Pay_Model!$A$9:$D$40,MATCH(TEXT(A386,"dd"),Monthly_Pay_Model!$C$9:$C$39,0),4),INDEX(Monthly_Pay_Model!$A$9:$D$40,MATCH(TEXT(A387,"dd"),Monthly_Pay_Model!$C$9:$C$39,0),4),INDEX(Monthly_Pay_Model!$A$9:$D$40,MATCH(TEXT(A388,"dd"),Monthly_Pay_Model!$C$9:$C$39,0),4)),IF(VLOOKUP(A386,Calendar!$A$1:$R$1377,18,0)=4,SUM(INDEX(Monthly_Pay_Model!$A$9:$D$40,MATCH(TEXT(A386,"dd"),Monthly_Pay_Model!$C$9:$C$39,0),4),INDEX(Monthly_Pay_Model!$A$9:$D$40,MATCH(TEXT(A387,"dd"),Monthly_Pay_Model!$C$9:$C$39,0),4),INDEX(Monthly_Pay_Model!$A$9:$D$40,MATCH(TEXT(A388,"dd"),Monthly_Pay_Model!$C$9:$C$39,0),4),INDEX(Monthly_Pay_Model!$A$9:$D$40,MATCH(TEXT(A389,"dd"),Monthly_Pay_Model!$C$9:$C$39,0),4)),IF(VLOOKUP(A386,Calendar!$A$1:$R$1377,18,0)=5,SUM(INDEX(Monthly_Pay_Model!$A$9:$D$40,MATCH(TEXT(A386,"dd"),Monthly_Pay_Model!$C$9:$C$39,0),4),INDEX(Monthly_Pay_Model!$A$9:$D$40,MATCH(TEXT(A387,"dd"),Monthly_Pay_Model!$C$9:$C$39,0),4),INDEX(Monthly_Pay_Model!$A$9:$D$40,MATCH(TEXT(A388,"dd"),Monthly_Pay_Model!$C$9:$C$39,0),4),INDEX(Monthly_Pay_Model!$A$9:$D$40,MATCH(TEXT(A389,"dd"),Monthly_Pay_Model!$C$9:$C$39,0),4),INDEX(Monthly_Pay_Model!$A$9:$D$40,MATCH(TEXT(A390,"dd"),Monthly_Pay_Model!$C$9:$C$39,0),4)),))))))</f>
        <v>1.6251308900523558E-2</v>
      </c>
      <c r="J386" s="33">
        <f>IF(C386="Yes",Monthly_Pay_Model!$D$2,0)
+IF(Calendar!N386="Yes",Monthly_Pay_Model!$D$3,0)
+IF(D386="Yes",Monthly_Pay_Model!$D$4,0)
+IF(E386="Yes",Monthly_Pay_Model!$D$5,0)</f>
        <v>0</v>
      </c>
      <c r="K386" s="27">
        <f>IF(VLOOKUP($A386,Calendar!$A$1:$R$1377,18,0)=0,0,IF(VLOOKUP($A386,Calendar!$A$1:$R$1377,18,0)=1,IFERROR(INDEX(Weekly_Model!$D$2:$D$9,MATCH(F386,Weekly_Model!$A$2:$A$9,0)),0),IF(VLOOKUP($A386,Calendar!$A$1:$R$1377,18,0)=2,SUM(IFERROR(INDEX(Weekly_Model!$D$2:$D$9,MATCH(F386,Weekly_Model!$A$2:$A$9,0)),0),IFERROR(INDEX(Weekly_Model!$D$2:$D$9,MATCH(F387,Weekly_Model!$A$2:$A$9,0)),0)),IF(VLOOKUP($A386,Calendar!$A$1:$R$1377,18,0)=3,SUM(IFERROR(INDEX(Weekly_Model!$D$2:$D$9,MATCH(F386,Weekly_Model!$A$2:$A$9,0)),0),IFERROR(INDEX(Weekly_Model!$D$2:$D$9,MATCH(F387,Weekly_Model!$A$2:$A$9,0)),0),IFERROR(INDEX(Weekly_Model!$D$2:$D$9,MATCH(F388,Weekly_Model!$A$2:$A$9,0)),0)),IF(VLOOKUP($A386,Calendar!$A$1:$R$1377,18,0)=4,SUM(IFERROR(INDEX(Weekly_Model!$D$2:$D$9,MATCH(F386,Weekly_Model!$A$2:$A$9,0)),0),IFERROR(INDEX(Weekly_Model!$D$2:$D$9,MATCH(F387,Weekly_Model!$A$2:$A$9,0)),0),IFERROR(INDEX(Weekly_Model!$D$2:$D$9,MATCH(F388,Weekly_Model!$A$2:$A$9,0)),0),IFERROR(INDEX(Weekly_Model!$D$2:$D$9,MATCH(F389,Weekly_Model!$A$2:$A$9,0)),0)),IF(VLOOKUP($A386,Calendar!$A$1:$R$1377,18,0)=5,SUM(IFERROR(INDEX(Weekly_Model!$D$2:$D$9,MATCH(F386,Weekly_Model!$A$2:$A$9,0)),0),IFERROR(INDEX(Weekly_Model!$D$2:$D$9,MATCH(F387,Weekly_Model!$A$2:$A$9,0)),0),IFERROR(INDEX(Weekly_Model!$D$2:$D$9,MATCH(F388,Weekly_Model!$A$2:$A$9,0)),0),IFERROR(INDEX(Weekly_Model!$D$2:$D$9,MATCH(F389,Weekly_Model!$A$2:$A$9,0)),0),IFERROR(INDEX(Weekly_Model!$D$2:$D$9,MATCH(F390,Weekly_Model!$A$2:$A$9,0)),0)),0))))))</f>
        <v>2.3200000000000002E-2</v>
      </c>
      <c r="L386" s="27">
        <f>IF(VLOOKUP($A386,Calendar!$A$1:$R$1377,18,0)=0,0,IF(VLOOKUP($A386,Calendar!$A$1:$R$1377,18,0)=1,IFERROR(INDEX(Fortnightly_Model!$D$2:$D$15,MATCH(G386,Fortnightly_Model!$B$2:$B$15,0)),0),IF(VLOOKUP($A386,Calendar!$A$1:$R$1377,18,0)=2,SUM(IFERROR(INDEX(Fortnightly_Model!$D$2:$D$15,MATCH(G386,Fortnightly_Model!$B$2:$B$15,0)),0),IFERROR(INDEX(Fortnightly_Model!$D$2:$D$15,MATCH(G387,Fortnightly_Model!$B$2:$B$15,0)),0)),IF(VLOOKUP($A386,Calendar!$A$1:$R$1377,18,0)=3,SUM(IFERROR(INDEX(Fortnightly_Model!$D$2:$D$15,MATCH(G386,Fortnightly_Model!$B$2:$B$15,0)),0),IFERROR(INDEX(Fortnightly_Model!$D$2:$D$15,MATCH(G387,Fortnightly_Model!$B$2:$B$15,0)),0),IFERROR(INDEX(Fortnightly_Model!$D$2:$D$15,MATCH(G388,Fortnightly_Model!$B$2:$B$15,0)),0)),IF(VLOOKUP($A386,Calendar!$A$1:$R$1377,18,0)=4,SUM(IFERROR(INDEX(Fortnightly_Model!$D$2:$D$15,MATCH(G386,Fortnightly_Model!$B$2:$B$15,0)),0),IFERROR(INDEX(Fortnightly_Model!$D$2:$D$15,MATCH(G387,Fortnightly_Model!$B$2:$B$15,0)),0),IFERROR(INDEX(Fortnightly_Model!$D$2:$D$15,MATCH(G388,Fortnightly_Model!$B$2:$B$15,0)),0),IFERROR(INDEX(Fortnightly_Model!$D$2:$D$15,MATCH(G389,Fortnightly_Model!$B$2:$B$15,0)),0)),IF(VLOOKUP($A386,Calendar!$A$1:$R$1377,18,0)=5,SUM(IFERROR(INDEX(Fortnightly_Model!$D$2:$D$15,MATCH(G386,Fortnightly_Model!$B$2:$B$15,0)),0),IFERROR(INDEX(Fortnightly_Model!$D$2:$D$15,MATCH(G387,Fortnightly_Model!$B$2:$B$15,0)),0),IFERROR(INDEX(Fortnightly_Model!$D$2:$D$15,MATCH(G388,Fortnightly_Model!$B$2:$B$15,0)),0),IFERROR(INDEX(Fortnightly_Model!$D$2:$D$15,MATCH(G389,Fortnightly_Model!$B$2:$B$15,0)),0),IFERROR(INDEX(Fortnightly_Model!$D$2:$D$15,MATCH(G390,Fortnightly_Model!$B$2:$B$15,0)),0)),0))))))</f>
        <v>3.2142856499999999E-3</v>
      </c>
      <c r="M386" s="27">
        <f>IF(VLOOKUP($A386,Calendar!$A$1:$R$1377,18,0)=0,0,IF(VLOOKUP($A386,Calendar!$A$1:$R$1377,18,0)=1,IFERROR(INDEX(FourWeekly_Model!$D$2:$D$29,MATCH(H386,FourWeekly_Model!$B$2:$B$29,0)),0),IF(VLOOKUP($A386,Calendar!$A$1:$R$1377,18,0)=2,SUM(IFERROR(INDEX(FourWeekly_Model!$D$2:$D$29,MATCH(H386,FourWeekly_Model!$B$2:$B$29,0)),0),IFERROR(INDEX(FourWeekly_Model!$D$2:$D$29,MATCH(H387,FourWeekly_Model!$B$2:$B$29,0)),0)),IF(VLOOKUP($A386,Calendar!$A$1:$R$1377,18,0)=3,SUM(IFERROR(INDEX(FourWeekly_Model!$D$2:$D$29,MATCH(H386,FourWeekly_Model!$B$2:$B$29,0)),0),IFERROR(INDEX(FourWeekly_Model!$D$2:$D$29,MATCH(H387,FourWeekly_Model!$B$2:$B$29,0)),0),IFERROR(INDEX(FourWeekly_Model!$D$2:$D$29,MATCH(H388,FourWeekly_Model!$B$2:$B$29,0)),0)),IF(VLOOKUP($A386,Calendar!$A$1:$R$1377,18,0)=4,SUM(IFERROR(INDEX(FourWeekly_Model!$D$2:$D$29,MATCH(H386,FourWeekly_Model!$B$2:$B$29,0)),0),IFERROR(INDEX(FourWeekly_Model!$D$2:$D$29,MATCH(H387,FourWeekly_Model!$B$2:$B$29,0)),0),IFERROR(INDEX(FourWeekly_Model!$D$2:$D$29,MATCH(H388,FourWeekly_Model!$B$2:$B$29,0)),0),IFERROR(INDEX(FourWeekly_Model!$D$2:$D$29,MATCH(H389,FourWeekly_Model!$B$2:$B$29,0)),0)),IF(VLOOKUP($A386,Calendar!$A$1:$R$1377,18,0)=5,SUM(IFERROR(INDEX(FourWeekly_Model!$D$2:$D$29,MATCH(H386,FourWeekly_Model!$B$2:$B$29,0)),0),IFERROR(INDEX(FourWeekly_Model!$D$2:$D$29,MATCH(H387,FourWeekly_Model!$B$2:$B$29,0)),0),IFERROR(INDEX(FourWeekly_Model!$D$2:$D$29,MATCH(H388,FourWeekly_Model!$B$2:$B$29,0)),0),IFERROR(INDEX(FourWeekly_Model!$D$2:$D$29,MATCH(H389,FourWeekly_Model!$B$2:$B$29,0)),0),IFERROR(INDEX(FourWeekly_Model!$D$2:$D$29,MATCH(H390,FourWeekly_Model!$B$2:$B$29,0)),0)),0))))))</f>
        <v>9.9642859800000011E-3</v>
      </c>
      <c r="N386" s="27">
        <f>SUM(I386:M386)</f>
        <v>5.2629880530523566E-2</v>
      </c>
      <c r="O386" s="28">
        <f>Population_Data!$B$8*N386</f>
        <v>1594685.380074864</v>
      </c>
      <c r="P386" s="27">
        <f>IF(VLOOKUP($A386,Calendar!$A$1:$R$1377,18,0)=0,0,IF(VLOOKUP($A386,Calendar!$A$1:$R$1377,18,0)=1,IFERROR(INDEX(Pension_Model!$D$2:$D$29,MATCH(H386,Pension_Model!$B$2:$B$29,0)),0),IF(VLOOKUP($A386,Calendar!$A$1:$R$1377,18,0)=2,SUM(IFERROR(INDEX(Pension_Model!$D$2:$D$29,MATCH(H386,Pension_Model!$B$2:$B$29,0)),0),IFERROR(INDEX(Pension_Model!$D$2:$D$29,MATCH(H387,Pension_Model!$B$2:$B$29,0)),0)),IF(VLOOKUP($A386,Calendar!$A$1:$R$1377,18,0)=3,SUM(IFERROR(INDEX(Pension_Model!$D$2:$D$29,MATCH(H386,Pension_Model!$B$2:$B$29,0)),0),IFERROR(INDEX(Pension_Model!$D$2:$D$29,MATCH(H387,Pension_Model!$B$2:$B$29,0)),0),IFERROR(INDEX(Pension_Model!$D$2:$D$29,MATCH(H388,Pension_Model!$B$2:$B$29,0)),0)),IF(VLOOKUP($A386,Calendar!$A$1:$R$1377,18,0)=4,SUM(IFERROR(INDEX(Pension_Model!$D$2:$D$29,MATCH(H386,Pension_Model!$B$2:$B$29,0)),0),IFERROR(INDEX(Pension_Model!$D$2:$D$29,MATCH(H387,Pension_Model!$B$2:$B$29,0)),0),IFERROR(INDEX(Pension_Model!$D$2:$D$29,MATCH(H388,Pension_Model!$B$2:$B$29,0)),0),IFERROR(INDEX(Pension_Model!$D$2:$D$29,MATCH(H389,Pension_Model!$B$2:$B$29,0)),0)),IF(VLOOKUP($A386,Calendar!$A$1:$R$1377,18,0)=5,SUM(IFERROR(INDEX(Pension_Model!$D$2:$D$29,MATCH(H386,Pension_Model!$B$2:$B$29,0)),0),IFERROR(INDEX(Pension_Model!$D$2:$D$29,MATCH(H387,Pension_Model!$B$2:$B$29,0)),0),IFERROR(INDEX(Pension_Model!$D$2:$D$29,MATCH(H388,Pension_Model!$B$2:$B$29,0)),0),IFERROR(INDEX(Pension_Model!$D$2:$D$29,MATCH(H389,Pension_Model!$B$2:$B$29,0)),0),IFERROR(INDEX(Pension_Model!$D$2:$D$29,MATCH(H390,Pension_Model!$B$2:$B$29,0)),0)),0))))))</f>
        <v>0.05</v>
      </c>
      <c r="Q386" s="28">
        <f>Population_Data!$B$15*P386</f>
        <v>660600</v>
      </c>
      <c r="S386">
        <f t="shared" si="5"/>
        <v>2255285.3800748643</v>
      </c>
      <c r="U386" s="33">
        <f>S386/Population_Data!$B$19</f>
        <v>4.085661920425479E-2</v>
      </c>
    </row>
    <row r="387" spans="1:21">
      <c r="A387" s="25">
        <f>Calendar!A387</f>
        <v>46620</v>
      </c>
      <c r="B387" t="str">
        <f>Calendar!L387</f>
        <v>No</v>
      </c>
      <c r="C387" t="str">
        <f>Calendar!O387</f>
        <v>No</v>
      </c>
      <c r="D387" t="str">
        <f>Calendar!P387</f>
        <v>No</v>
      </c>
      <c r="E387" t="str">
        <f>Calendar!Q387</f>
        <v>No</v>
      </c>
      <c r="F387" t="str">
        <f>Calendar!I387</f>
        <v>Saturday</v>
      </c>
      <c r="G387">
        <f>Calendar!S387</f>
        <v>0</v>
      </c>
      <c r="H387">
        <f>Calendar!T387</f>
        <v>0</v>
      </c>
      <c r="I387" s="27">
        <f>IF(VLOOKUP(A387,Calendar!$A$1:$R$1377,18,0)=0,0,IF(VLOOKUP(A387,Calendar!$A$1:$R$1377,18,0)=1,INDEX(Monthly_Pay_Model!$A$9:$D$40,MATCH(TEXT(A387,"dd"),Monthly_Pay_Model!$C$9:$C$39,0),4),IF(VLOOKUP(A387,Calendar!$A$1:$R$1377,18,0)=2,SUM(INDEX(Monthly_Pay_Model!$A$9:$D$40,MATCH(TEXT(A387,"dd"),Monthly_Pay_Model!$C$9:$C$39,0),4),INDEX(Monthly_Pay_Model!$A$9:$D$40,MATCH(TEXT(A388,"dd"),Monthly_Pay_Model!$C$9:$C$39,0),4)),IF(VLOOKUP(A387,Calendar!$A$1:$R$1377,18,0)=3,SUM(INDEX(Monthly_Pay_Model!$A$9:$D$40,MATCH(TEXT(A387,"dd"),Monthly_Pay_Model!$C$9:$C$39,0),4),INDEX(Monthly_Pay_Model!$A$9:$D$40,MATCH(TEXT(A388,"dd"),Monthly_Pay_Model!$C$9:$C$39,0),4),INDEX(Monthly_Pay_Model!$A$9:$D$40,MATCH(TEXT(A389,"dd"),Monthly_Pay_Model!$C$9:$C$39,0),4)),IF(VLOOKUP(A387,Calendar!$A$1:$R$1377,18,0)=4,SUM(INDEX(Monthly_Pay_Model!$A$9:$D$40,MATCH(TEXT(A387,"dd"),Monthly_Pay_Model!$C$9:$C$39,0),4),INDEX(Monthly_Pay_Model!$A$9:$D$40,MATCH(TEXT(A388,"dd"),Monthly_Pay_Model!$C$9:$C$39,0),4),INDEX(Monthly_Pay_Model!$A$9:$D$40,MATCH(TEXT(A389,"dd"),Monthly_Pay_Model!$C$9:$C$39,0),4),INDEX(Monthly_Pay_Model!$A$9:$D$40,MATCH(TEXT(A390,"dd"),Monthly_Pay_Model!$C$9:$C$39,0),4)),IF(VLOOKUP(A387,Calendar!$A$1:$R$1377,18,0)=5,SUM(INDEX(Monthly_Pay_Model!$A$9:$D$40,MATCH(TEXT(A387,"dd"),Monthly_Pay_Model!$C$9:$C$39,0),4),INDEX(Monthly_Pay_Model!$A$9:$D$40,MATCH(TEXT(A388,"dd"),Monthly_Pay_Model!$C$9:$C$39,0),4),INDEX(Monthly_Pay_Model!$A$9:$D$40,MATCH(TEXT(A389,"dd"),Monthly_Pay_Model!$C$9:$C$39,0),4),INDEX(Monthly_Pay_Model!$A$9:$D$40,MATCH(TEXT(A390,"dd"),Monthly_Pay_Model!$C$9:$C$39,0),4),INDEX(Monthly_Pay_Model!$A$9:$D$40,MATCH(TEXT(A391,"dd"),Monthly_Pay_Model!$C$9:$C$39,0),4)),))))))</f>
        <v>0</v>
      </c>
      <c r="J387" s="33">
        <f>IF(C387="Yes",Monthly_Pay_Model!$D$2,0)
+IF(Calendar!N387="Yes",Monthly_Pay_Model!$D$3,0)
+IF(D387="Yes",Monthly_Pay_Model!$D$4,0)
+IF(E387="Yes",Monthly_Pay_Model!$D$5,0)</f>
        <v>0</v>
      </c>
      <c r="K387" s="27">
        <f>IF(VLOOKUP($A387,Calendar!$A$1:$R$1377,18,0)=0,0,IF(VLOOKUP($A387,Calendar!$A$1:$R$1377,18,0)=1,IFERROR(INDEX(Weekly_Model!$D$2:$D$9,MATCH(F387,Weekly_Model!$A$2:$A$9,0)),0),IF(VLOOKUP($A387,Calendar!$A$1:$R$1377,18,0)=2,SUM(IFERROR(INDEX(Weekly_Model!$D$2:$D$9,MATCH(F387,Weekly_Model!$A$2:$A$9,0)),0),IFERROR(INDEX(Weekly_Model!$D$2:$D$9,MATCH(F388,Weekly_Model!$A$2:$A$9,0)),0)),IF(VLOOKUP($A387,Calendar!$A$1:$R$1377,18,0)=3,SUM(IFERROR(INDEX(Weekly_Model!$D$2:$D$9,MATCH(F387,Weekly_Model!$A$2:$A$9,0)),0),IFERROR(INDEX(Weekly_Model!$D$2:$D$9,MATCH(F388,Weekly_Model!$A$2:$A$9,0)),0),IFERROR(INDEX(Weekly_Model!$D$2:$D$9,MATCH(F389,Weekly_Model!$A$2:$A$9,0)),0)),IF(VLOOKUP($A387,Calendar!$A$1:$R$1377,18,0)=4,SUM(IFERROR(INDEX(Weekly_Model!$D$2:$D$9,MATCH(F387,Weekly_Model!$A$2:$A$9,0)),0),IFERROR(INDEX(Weekly_Model!$D$2:$D$9,MATCH(F388,Weekly_Model!$A$2:$A$9,0)),0),IFERROR(INDEX(Weekly_Model!$D$2:$D$9,MATCH(F389,Weekly_Model!$A$2:$A$9,0)),0),IFERROR(INDEX(Weekly_Model!$D$2:$D$9,MATCH(F390,Weekly_Model!$A$2:$A$9,0)),0)),IF(VLOOKUP($A387,Calendar!$A$1:$R$1377,18,0)=5,SUM(IFERROR(INDEX(Weekly_Model!$D$2:$D$9,MATCH(F387,Weekly_Model!$A$2:$A$9,0)),0),IFERROR(INDEX(Weekly_Model!$D$2:$D$9,MATCH(F388,Weekly_Model!$A$2:$A$9,0)),0),IFERROR(INDEX(Weekly_Model!$D$2:$D$9,MATCH(F389,Weekly_Model!$A$2:$A$9,0)),0),IFERROR(INDEX(Weekly_Model!$D$2:$D$9,MATCH(F390,Weekly_Model!$A$2:$A$9,0)),0),IFERROR(INDEX(Weekly_Model!$D$2:$D$9,MATCH(F391,Weekly_Model!$A$2:$A$9,0)),0)),0))))))</f>
        <v>0</v>
      </c>
      <c r="L387" s="27">
        <f>IF(VLOOKUP($A387,Calendar!$A$1:$R$1377,18,0)=0,0,IF(VLOOKUP($A387,Calendar!$A$1:$R$1377,18,0)=1,IFERROR(INDEX(Fortnightly_Model!$D$2:$D$15,MATCH(G387,Fortnightly_Model!$B$2:$B$15,0)),0),IF(VLOOKUP($A387,Calendar!$A$1:$R$1377,18,0)=2,SUM(IFERROR(INDEX(Fortnightly_Model!$D$2:$D$15,MATCH(G387,Fortnightly_Model!$B$2:$B$15,0)),0),IFERROR(INDEX(Fortnightly_Model!$D$2:$D$15,MATCH(G388,Fortnightly_Model!$B$2:$B$15,0)),0)),IF(VLOOKUP($A387,Calendar!$A$1:$R$1377,18,0)=3,SUM(IFERROR(INDEX(Fortnightly_Model!$D$2:$D$15,MATCH(G387,Fortnightly_Model!$B$2:$B$15,0)),0),IFERROR(INDEX(Fortnightly_Model!$D$2:$D$15,MATCH(G388,Fortnightly_Model!$B$2:$B$15,0)),0),IFERROR(INDEX(Fortnightly_Model!$D$2:$D$15,MATCH(G389,Fortnightly_Model!$B$2:$B$15,0)),0)),IF(VLOOKUP($A387,Calendar!$A$1:$R$1377,18,0)=4,SUM(IFERROR(INDEX(Fortnightly_Model!$D$2:$D$15,MATCH(G387,Fortnightly_Model!$B$2:$B$15,0)),0),IFERROR(INDEX(Fortnightly_Model!$D$2:$D$15,MATCH(G388,Fortnightly_Model!$B$2:$B$15,0)),0),IFERROR(INDEX(Fortnightly_Model!$D$2:$D$15,MATCH(G389,Fortnightly_Model!$B$2:$B$15,0)),0),IFERROR(INDEX(Fortnightly_Model!$D$2:$D$15,MATCH(G390,Fortnightly_Model!$B$2:$B$15,0)),0)),IF(VLOOKUP($A387,Calendar!$A$1:$R$1377,18,0)=5,SUM(IFERROR(INDEX(Fortnightly_Model!$D$2:$D$15,MATCH(G387,Fortnightly_Model!$B$2:$B$15,0)),0),IFERROR(INDEX(Fortnightly_Model!$D$2:$D$15,MATCH(G388,Fortnightly_Model!$B$2:$B$15,0)),0),IFERROR(INDEX(Fortnightly_Model!$D$2:$D$15,MATCH(G389,Fortnightly_Model!$B$2:$B$15,0)),0),IFERROR(INDEX(Fortnightly_Model!$D$2:$D$15,MATCH(G390,Fortnightly_Model!$B$2:$B$15,0)),0),IFERROR(INDEX(Fortnightly_Model!$D$2:$D$15,MATCH(G391,Fortnightly_Model!$B$2:$B$15,0)),0)),0))))))</f>
        <v>0</v>
      </c>
      <c r="M387" s="27">
        <f>IF(VLOOKUP($A387,Calendar!$A$1:$R$1377,18,0)=0,0,IF(VLOOKUP($A387,Calendar!$A$1:$R$1377,18,0)=1,IFERROR(INDEX(FourWeekly_Model!$D$2:$D$29,MATCH(H387,FourWeekly_Model!$B$2:$B$29,0)),0),IF(VLOOKUP($A387,Calendar!$A$1:$R$1377,18,0)=2,SUM(IFERROR(INDEX(FourWeekly_Model!$D$2:$D$29,MATCH(H387,FourWeekly_Model!$B$2:$B$29,0)),0),IFERROR(INDEX(FourWeekly_Model!$D$2:$D$29,MATCH(H388,FourWeekly_Model!$B$2:$B$29,0)),0)),IF(VLOOKUP($A387,Calendar!$A$1:$R$1377,18,0)=3,SUM(IFERROR(INDEX(FourWeekly_Model!$D$2:$D$29,MATCH(H387,FourWeekly_Model!$B$2:$B$29,0)),0),IFERROR(INDEX(FourWeekly_Model!$D$2:$D$29,MATCH(H388,FourWeekly_Model!$B$2:$B$29,0)),0),IFERROR(INDEX(FourWeekly_Model!$D$2:$D$29,MATCH(H389,FourWeekly_Model!$B$2:$B$29,0)),0)),IF(VLOOKUP($A387,Calendar!$A$1:$R$1377,18,0)=4,SUM(IFERROR(INDEX(FourWeekly_Model!$D$2:$D$29,MATCH(H387,FourWeekly_Model!$B$2:$B$29,0)),0),IFERROR(INDEX(FourWeekly_Model!$D$2:$D$29,MATCH(H388,FourWeekly_Model!$B$2:$B$29,0)),0),IFERROR(INDEX(FourWeekly_Model!$D$2:$D$29,MATCH(H389,FourWeekly_Model!$B$2:$B$29,0)),0),IFERROR(INDEX(FourWeekly_Model!$D$2:$D$29,MATCH(H390,FourWeekly_Model!$B$2:$B$29,0)),0)),IF(VLOOKUP($A387,Calendar!$A$1:$R$1377,18,0)=5,SUM(IFERROR(INDEX(FourWeekly_Model!$D$2:$D$29,MATCH(H387,FourWeekly_Model!$B$2:$B$29,0)),0),IFERROR(INDEX(FourWeekly_Model!$D$2:$D$29,MATCH(H388,FourWeekly_Model!$B$2:$B$29,0)),0),IFERROR(INDEX(FourWeekly_Model!$D$2:$D$29,MATCH(H389,FourWeekly_Model!$B$2:$B$29,0)),0),IFERROR(INDEX(FourWeekly_Model!$D$2:$D$29,MATCH(H390,FourWeekly_Model!$B$2:$B$29,0)),0),IFERROR(INDEX(FourWeekly_Model!$D$2:$D$29,MATCH(H391,FourWeekly_Model!$B$2:$B$29,0)),0)),0))))))</f>
        <v>0</v>
      </c>
      <c r="N387" s="27">
        <f>SUM(I387:M387)</f>
        <v>0</v>
      </c>
      <c r="O387" s="28">
        <f>Population_Data!$B$8*N387</f>
        <v>0</v>
      </c>
      <c r="P387" s="27">
        <f>IF(VLOOKUP($A387,Calendar!$A$1:$R$1377,18,0)=0,0,IF(VLOOKUP($A387,Calendar!$A$1:$R$1377,18,0)=1,IFERROR(INDEX(Pension_Model!$D$2:$D$29,MATCH(H387,Pension_Model!$B$2:$B$29,0)),0),IF(VLOOKUP($A387,Calendar!$A$1:$R$1377,18,0)=2,SUM(IFERROR(INDEX(Pension_Model!$D$2:$D$29,MATCH(H387,Pension_Model!$B$2:$B$29,0)),0),IFERROR(INDEX(Pension_Model!$D$2:$D$29,MATCH(H388,Pension_Model!$B$2:$B$29,0)),0)),IF(VLOOKUP($A387,Calendar!$A$1:$R$1377,18,0)=3,SUM(IFERROR(INDEX(Pension_Model!$D$2:$D$29,MATCH(H387,Pension_Model!$B$2:$B$29,0)),0),IFERROR(INDEX(Pension_Model!$D$2:$D$29,MATCH(H388,Pension_Model!$B$2:$B$29,0)),0),IFERROR(INDEX(Pension_Model!$D$2:$D$29,MATCH(H389,Pension_Model!$B$2:$B$29,0)),0)),IF(VLOOKUP($A387,Calendar!$A$1:$R$1377,18,0)=4,SUM(IFERROR(INDEX(Pension_Model!$D$2:$D$29,MATCH(H387,Pension_Model!$B$2:$B$29,0)),0),IFERROR(INDEX(Pension_Model!$D$2:$D$29,MATCH(H388,Pension_Model!$B$2:$B$29,0)),0),IFERROR(INDEX(Pension_Model!$D$2:$D$29,MATCH(H389,Pension_Model!$B$2:$B$29,0)),0),IFERROR(INDEX(Pension_Model!$D$2:$D$29,MATCH(H390,Pension_Model!$B$2:$B$29,0)),0)),IF(VLOOKUP($A387,Calendar!$A$1:$R$1377,18,0)=5,SUM(IFERROR(INDEX(Pension_Model!$D$2:$D$29,MATCH(H387,Pension_Model!$B$2:$B$29,0)),0),IFERROR(INDEX(Pension_Model!$D$2:$D$29,MATCH(H388,Pension_Model!$B$2:$B$29,0)),0),IFERROR(INDEX(Pension_Model!$D$2:$D$29,MATCH(H389,Pension_Model!$B$2:$B$29,0)),0),IFERROR(INDEX(Pension_Model!$D$2:$D$29,MATCH(H390,Pension_Model!$B$2:$B$29,0)),0),IFERROR(INDEX(Pension_Model!$D$2:$D$29,MATCH(H391,Pension_Model!$B$2:$B$29,0)),0)),0))))))</f>
        <v>0</v>
      </c>
      <c r="Q387" s="28">
        <f>Population_Data!$B$15*P387</f>
        <v>0</v>
      </c>
      <c r="S387">
        <f t="shared" ref="S387:S450" si="6">SUM(Q387,O387)</f>
        <v>0</v>
      </c>
      <c r="U387" s="33">
        <f>S387/Population_Data!$B$19</f>
        <v>0</v>
      </c>
    </row>
    <row r="388" spans="1:21">
      <c r="A388" s="25">
        <f>Calendar!A388</f>
        <v>46621</v>
      </c>
      <c r="B388" t="str">
        <f>Calendar!L388</f>
        <v>No</v>
      </c>
      <c r="C388" t="str">
        <f>Calendar!O388</f>
        <v>No</v>
      </c>
      <c r="D388" t="str">
        <f>Calendar!P388</f>
        <v>No</v>
      </c>
      <c r="E388" t="str">
        <f>Calendar!Q388</f>
        <v>No</v>
      </c>
      <c r="F388" t="str">
        <f>Calendar!I388</f>
        <v>Sunday</v>
      </c>
      <c r="G388">
        <f>Calendar!S388</f>
        <v>1</v>
      </c>
      <c r="H388">
        <f>Calendar!T388</f>
        <v>1</v>
      </c>
      <c r="I388" s="27">
        <f>IF(VLOOKUP(A388,Calendar!$A$1:$R$1377,18,0)=0,0,IF(VLOOKUP(A388,Calendar!$A$1:$R$1377,18,0)=1,INDEX(Monthly_Pay_Model!$A$9:$D$40,MATCH(TEXT(A388,"dd"),Monthly_Pay_Model!$C$9:$C$39,0),4),IF(VLOOKUP(A388,Calendar!$A$1:$R$1377,18,0)=2,SUM(INDEX(Monthly_Pay_Model!$A$9:$D$40,MATCH(TEXT(A388,"dd"),Monthly_Pay_Model!$C$9:$C$39,0),4),INDEX(Monthly_Pay_Model!$A$9:$D$40,MATCH(TEXT(A389,"dd"),Monthly_Pay_Model!$C$9:$C$39,0),4)),IF(VLOOKUP(A388,Calendar!$A$1:$R$1377,18,0)=3,SUM(INDEX(Monthly_Pay_Model!$A$9:$D$40,MATCH(TEXT(A388,"dd"),Monthly_Pay_Model!$C$9:$C$39,0),4),INDEX(Monthly_Pay_Model!$A$9:$D$40,MATCH(TEXT(A389,"dd"),Monthly_Pay_Model!$C$9:$C$39,0),4),INDEX(Monthly_Pay_Model!$A$9:$D$40,MATCH(TEXT(A390,"dd"),Monthly_Pay_Model!$C$9:$C$39,0),4)),IF(VLOOKUP(A388,Calendar!$A$1:$R$1377,18,0)=4,SUM(INDEX(Monthly_Pay_Model!$A$9:$D$40,MATCH(TEXT(A388,"dd"),Monthly_Pay_Model!$C$9:$C$39,0),4),INDEX(Monthly_Pay_Model!$A$9:$D$40,MATCH(TEXT(A389,"dd"),Monthly_Pay_Model!$C$9:$C$39,0),4),INDEX(Monthly_Pay_Model!$A$9:$D$40,MATCH(TEXT(A390,"dd"),Monthly_Pay_Model!$C$9:$C$39,0),4),INDEX(Monthly_Pay_Model!$A$9:$D$40,MATCH(TEXT(A391,"dd"),Monthly_Pay_Model!$C$9:$C$39,0),4)),IF(VLOOKUP(A388,Calendar!$A$1:$R$1377,18,0)=5,SUM(INDEX(Monthly_Pay_Model!$A$9:$D$40,MATCH(TEXT(A388,"dd"),Monthly_Pay_Model!$C$9:$C$39,0),4),INDEX(Monthly_Pay_Model!$A$9:$D$40,MATCH(TEXT(A389,"dd"),Monthly_Pay_Model!$C$9:$C$39,0),4),INDEX(Monthly_Pay_Model!$A$9:$D$40,MATCH(TEXT(A390,"dd"),Monthly_Pay_Model!$C$9:$C$39,0),4),INDEX(Monthly_Pay_Model!$A$9:$D$40,MATCH(TEXT(A391,"dd"),Monthly_Pay_Model!$C$9:$C$39,0),4),INDEX(Monthly_Pay_Model!$A$9:$D$40,MATCH(TEXT(A392,"dd"),Monthly_Pay_Model!$C$9:$C$39,0),4)),))))))</f>
        <v>0</v>
      </c>
      <c r="J388" s="33">
        <f>IF(C388="Yes",Monthly_Pay_Model!$D$2,0)
+IF(Calendar!N388="Yes",Monthly_Pay_Model!$D$3,0)
+IF(D388="Yes",Monthly_Pay_Model!$D$4,0)
+IF(E388="Yes",Monthly_Pay_Model!$D$5,0)</f>
        <v>0</v>
      </c>
      <c r="K388" s="27">
        <f>IF(VLOOKUP($A388,Calendar!$A$1:$R$1377,18,0)=0,0,IF(VLOOKUP($A388,Calendar!$A$1:$R$1377,18,0)=1,IFERROR(INDEX(Weekly_Model!$D$2:$D$9,MATCH(F388,Weekly_Model!$A$2:$A$9,0)),0),IF(VLOOKUP($A388,Calendar!$A$1:$R$1377,18,0)=2,SUM(IFERROR(INDEX(Weekly_Model!$D$2:$D$9,MATCH(F388,Weekly_Model!$A$2:$A$9,0)),0),IFERROR(INDEX(Weekly_Model!$D$2:$D$9,MATCH(F389,Weekly_Model!$A$2:$A$9,0)),0)),IF(VLOOKUP($A388,Calendar!$A$1:$R$1377,18,0)=3,SUM(IFERROR(INDEX(Weekly_Model!$D$2:$D$9,MATCH(F388,Weekly_Model!$A$2:$A$9,0)),0),IFERROR(INDEX(Weekly_Model!$D$2:$D$9,MATCH(F389,Weekly_Model!$A$2:$A$9,0)),0),IFERROR(INDEX(Weekly_Model!$D$2:$D$9,MATCH(F390,Weekly_Model!$A$2:$A$9,0)),0)),IF(VLOOKUP($A388,Calendar!$A$1:$R$1377,18,0)=4,SUM(IFERROR(INDEX(Weekly_Model!$D$2:$D$9,MATCH(F388,Weekly_Model!$A$2:$A$9,0)),0),IFERROR(INDEX(Weekly_Model!$D$2:$D$9,MATCH(F389,Weekly_Model!$A$2:$A$9,0)),0),IFERROR(INDEX(Weekly_Model!$D$2:$D$9,MATCH(F390,Weekly_Model!$A$2:$A$9,0)),0),IFERROR(INDEX(Weekly_Model!$D$2:$D$9,MATCH(F391,Weekly_Model!$A$2:$A$9,0)),0)),IF(VLOOKUP($A388,Calendar!$A$1:$R$1377,18,0)=5,SUM(IFERROR(INDEX(Weekly_Model!$D$2:$D$9,MATCH(F388,Weekly_Model!$A$2:$A$9,0)),0),IFERROR(INDEX(Weekly_Model!$D$2:$D$9,MATCH(F389,Weekly_Model!$A$2:$A$9,0)),0),IFERROR(INDEX(Weekly_Model!$D$2:$D$9,MATCH(F390,Weekly_Model!$A$2:$A$9,0)),0),IFERROR(INDEX(Weekly_Model!$D$2:$D$9,MATCH(F391,Weekly_Model!$A$2:$A$9,0)),0),IFERROR(INDEX(Weekly_Model!$D$2:$D$9,MATCH(F392,Weekly_Model!$A$2:$A$9,0)),0)),0))))))</f>
        <v>0</v>
      </c>
      <c r="L388" s="27">
        <f>IF(VLOOKUP($A388,Calendar!$A$1:$R$1377,18,0)=0,0,IF(VLOOKUP($A388,Calendar!$A$1:$R$1377,18,0)=1,IFERROR(INDEX(Fortnightly_Model!$D$2:$D$15,MATCH(G388,Fortnightly_Model!$B$2:$B$15,0)),0),IF(VLOOKUP($A388,Calendar!$A$1:$R$1377,18,0)=2,SUM(IFERROR(INDEX(Fortnightly_Model!$D$2:$D$15,MATCH(G388,Fortnightly_Model!$B$2:$B$15,0)),0),IFERROR(INDEX(Fortnightly_Model!$D$2:$D$15,MATCH(G389,Fortnightly_Model!$B$2:$B$15,0)),0)),IF(VLOOKUP($A388,Calendar!$A$1:$R$1377,18,0)=3,SUM(IFERROR(INDEX(Fortnightly_Model!$D$2:$D$15,MATCH(G388,Fortnightly_Model!$B$2:$B$15,0)),0),IFERROR(INDEX(Fortnightly_Model!$D$2:$D$15,MATCH(G389,Fortnightly_Model!$B$2:$B$15,0)),0),IFERROR(INDEX(Fortnightly_Model!$D$2:$D$15,MATCH(G390,Fortnightly_Model!$B$2:$B$15,0)),0)),IF(VLOOKUP($A388,Calendar!$A$1:$R$1377,18,0)=4,SUM(IFERROR(INDEX(Fortnightly_Model!$D$2:$D$15,MATCH(G388,Fortnightly_Model!$B$2:$B$15,0)),0),IFERROR(INDEX(Fortnightly_Model!$D$2:$D$15,MATCH(G389,Fortnightly_Model!$B$2:$B$15,0)),0),IFERROR(INDEX(Fortnightly_Model!$D$2:$D$15,MATCH(G390,Fortnightly_Model!$B$2:$B$15,0)),0),IFERROR(INDEX(Fortnightly_Model!$D$2:$D$15,MATCH(G391,Fortnightly_Model!$B$2:$B$15,0)),0)),IF(VLOOKUP($A388,Calendar!$A$1:$R$1377,18,0)=5,SUM(IFERROR(INDEX(Fortnightly_Model!$D$2:$D$15,MATCH(G388,Fortnightly_Model!$B$2:$B$15,0)),0),IFERROR(INDEX(Fortnightly_Model!$D$2:$D$15,MATCH(G389,Fortnightly_Model!$B$2:$B$15,0)),0),IFERROR(INDEX(Fortnightly_Model!$D$2:$D$15,MATCH(G390,Fortnightly_Model!$B$2:$B$15,0)),0),IFERROR(INDEX(Fortnightly_Model!$D$2:$D$15,MATCH(G391,Fortnightly_Model!$B$2:$B$15,0)),0),IFERROR(INDEX(Fortnightly_Model!$D$2:$D$15,MATCH(G392,Fortnightly_Model!$B$2:$B$15,0)),0)),0))))))</f>
        <v>0</v>
      </c>
      <c r="M388" s="27">
        <f>IF(VLOOKUP($A388,Calendar!$A$1:$R$1377,18,0)=0,0,IF(VLOOKUP($A388,Calendar!$A$1:$R$1377,18,0)=1,IFERROR(INDEX(FourWeekly_Model!$D$2:$D$29,MATCH(H388,FourWeekly_Model!$B$2:$B$29,0)),0),IF(VLOOKUP($A388,Calendar!$A$1:$R$1377,18,0)=2,SUM(IFERROR(INDEX(FourWeekly_Model!$D$2:$D$29,MATCH(H388,FourWeekly_Model!$B$2:$B$29,0)),0),IFERROR(INDEX(FourWeekly_Model!$D$2:$D$29,MATCH(H389,FourWeekly_Model!$B$2:$B$29,0)),0)),IF(VLOOKUP($A388,Calendar!$A$1:$R$1377,18,0)=3,SUM(IFERROR(INDEX(FourWeekly_Model!$D$2:$D$29,MATCH(H388,FourWeekly_Model!$B$2:$B$29,0)),0),IFERROR(INDEX(FourWeekly_Model!$D$2:$D$29,MATCH(H389,FourWeekly_Model!$B$2:$B$29,0)),0),IFERROR(INDEX(FourWeekly_Model!$D$2:$D$29,MATCH(H390,FourWeekly_Model!$B$2:$B$29,0)),0)),IF(VLOOKUP($A388,Calendar!$A$1:$R$1377,18,0)=4,SUM(IFERROR(INDEX(FourWeekly_Model!$D$2:$D$29,MATCH(H388,FourWeekly_Model!$B$2:$B$29,0)),0),IFERROR(INDEX(FourWeekly_Model!$D$2:$D$29,MATCH(H389,FourWeekly_Model!$B$2:$B$29,0)),0),IFERROR(INDEX(FourWeekly_Model!$D$2:$D$29,MATCH(H390,FourWeekly_Model!$B$2:$B$29,0)),0),IFERROR(INDEX(FourWeekly_Model!$D$2:$D$29,MATCH(H391,FourWeekly_Model!$B$2:$B$29,0)),0)),IF(VLOOKUP($A388,Calendar!$A$1:$R$1377,18,0)=5,SUM(IFERROR(INDEX(FourWeekly_Model!$D$2:$D$29,MATCH(H388,FourWeekly_Model!$B$2:$B$29,0)),0),IFERROR(INDEX(FourWeekly_Model!$D$2:$D$29,MATCH(H389,FourWeekly_Model!$B$2:$B$29,0)),0),IFERROR(INDEX(FourWeekly_Model!$D$2:$D$29,MATCH(H390,FourWeekly_Model!$B$2:$B$29,0)),0),IFERROR(INDEX(FourWeekly_Model!$D$2:$D$29,MATCH(H391,FourWeekly_Model!$B$2:$B$29,0)),0),IFERROR(INDEX(FourWeekly_Model!$D$2:$D$29,MATCH(H392,FourWeekly_Model!$B$2:$B$29,0)),0)),0))))))</f>
        <v>0</v>
      </c>
      <c r="N388" s="27">
        <f>SUM(I388:M388)</f>
        <v>0</v>
      </c>
      <c r="O388" s="28">
        <f>Population_Data!$B$8*N388</f>
        <v>0</v>
      </c>
      <c r="P388" s="27">
        <f>IF(VLOOKUP($A388,Calendar!$A$1:$R$1377,18,0)=0,0,IF(VLOOKUP($A388,Calendar!$A$1:$R$1377,18,0)=1,IFERROR(INDEX(Pension_Model!$D$2:$D$29,MATCH(H388,Pension_Model!$B$2:$B$29,0)),0),IF(VLOOKUP($A388,Calendar!$A$1:$R$1377,18,0)=2,SUM(IFERROR(INDEX(Pension_Model!$D$2:$D$29,MATCH(H388,Pension_Model!$B$2:$B$29,0)),0),IFERROR(INDEX(Pension_Model!$D$2:$D$29,MATCH(H389,Pension_Model!$B$2:$B$29,0)),0)),IF(VLOOKUP($A388,Calendar!$A$1:$R$1377,18,0)=3,SUM(IFERROR(INDEX(Pension_Model!$D$2:$D$29,MATCH(H388,Pension_Model!$B$2:$B$29,0)),0),IFERROR(INDEX(Pension_Model!$D$2:$D$29,MATCH(H389,Pension_Model!$B$2:$B$29,0)),0),IFERROR(INDEX(Pension_Model!$D$2:$D$29,MATCH(H390,Pension_Model!$B$2:$B$29,0)),0)),IF(VLOOKUP($A388,Calendar!$A$1:$R$1377,18,0)=4,SUM(IFERROR(INDEX(Pension_Model!$D$2:$D$29,MATCH(H388,Pension_Model!$B$2:$B$29,0)),0),IFERROR(INDEX(Pension_Model!$D$2:$D$29,MATCH(H389,Pension_Model!$B$2:$B$29,0)),0),IFERROR(INDEX(Pension_Model!$D$2:$D$29,MATCH(H390,Pension_Model!$B$2:$B$29,0)),0),IFERROR(INDEX(Pension_Model!$D$2:$D$29,MATCH(H391,Pension_Model!$B$2:$B$29,0)),0)),IF(VLOOKUP($A388,Calendar!$A$1:$R$1377,18,0)=5,SUM(IFERROR(INDEX(Pension_Model!$D$2:$D$29,MATCH(H388,Pension_Model!$B$2:$B$29,0)),0),IFERROR(INDEX(Pension_Model!$D$2:$D$29,MATCH(H389,Pension_Model!$B$2:$B$29,0)),0),IFERROR(INDEX(Pension_Model!$D$2:$D$29,MATCH(H390,Pension_Model!$B$2:$B$29,0)),0),IFERROR(INDEX(Pension_Model!$D$2:$D$29,MATCH(H391,Pension_Model!$B$2:$B$29,0)),0),IFERROR(INDEX(Pension_Model!$D$2:$D$29,MATCH(H392,Pension_Model!$B$2:$B$29,0)),0)),0))))))</f>
        <v>0</v>
      </c>
      <c r="Q388" s="28">
        <f>Population_Data!$B$15*P388</f>
        <v>0</v>
      </c>
      <c r="S388">
        <f t="shared" si="6"/>
        <v>0</v>
      </c>
      <c r="U388" s="33">
        <f>S388/Population_Data!$B$19</f>
        <v>0</v>
      </c>
    </row>
    <row r="389" spans="1:21">
      <c r="A389" s="25">
        <f>Calendar!A389</f>
        <v>46622</v>
      </c>
      <c r="B389" t="str">
        <f>Calendar!L389</f>
        <v>Yes</v>
      </c>
      <c r="C389" t="str">
        <f>Calendar!O389</f>
        <v>No</v>
      </c>
      <c r="D389" t="str">
        <f>Calendar!P389</f>
        <v>No</v>
      </c>
      <c r="E389" t="str">
        <f>Calendar!Q389</f>
        <v>No</v>
      </c>
      <c r="F389" t="str">
        <f>Calendar!I389</f>
        <v>Monday</v>
      </c>
      <c r="G389">
        <f>Calendar!S389</f>
        <v>2</v>
      </c>
      <c r="H389">
        <f>Calendar!T389</f>
        <v>2</v>
      </c>
      <c r="I389" s="27">
        <f>IF(VLOOKUP(A389,Calendar!$A$1:$R$1377,18,0)=0,0,IF(VLOOKUP(A389,Calendar!$A$1:$R$1377,18,0)=1,INDEX(Monthly_Pay_Model!$A$9:$D$40,MATCH(TEXT(A389,"dd"),Monthly_Pay_Model!$C$9:$C$39,0),4),IF(VLOOKUP(A389,Calendar!$A$1:$R$1377,18,0)=2,SUM(INDEX(Monthly_Pay_Model!$A$9:$D$40,MATCH(TEXT(A389,"dd"),Monthly_Pay_Model!$C$9:$C$39,0),4),INDEX(Monthly_Pay_Model!$A$9:$D$40,MATCH(TEXT(A390,"dd"),Monthly_Pay_Model!$C$9:$C$39,0),4)),IF(VLOOKUP(A389,Calendar!$A$1:$R$1377,18,0)=3,SUM(INDEX(Monthly_Pay_Model!$A$9:$D$40,MATCH(TEXT(A389,"dd"),Monthly_Pay_Model!$C$9:$C$39,0),4),INDEX(Monthly_Pay_Model!$A$9:$D$40,MATCH(TEXT(A390,"dd"),Monthly_Pay_Model!$C$9:$C$39,0),4),INDEX(Monthly_Pay_Model!$A$9:$D$40,MATCH(TEXT(A391,"dd"),Monthly_Pay_Model!$C$9:$C$39,0),4)),IF(VLOOKUP(A389,Calendar!$A$1:$R$1377,18,0)=4,SUM(INDEX(Monthly_Pay_Model!$A$9:$D$40,MATCH(TEXT(A389,"dd"),Monthly_Pay_Model!$C$9:$C$39,0),4),INDEX(Monthly_Pay_Model!$A$9:$D$40,MATCH(TEXT(A390,"dd"),Monthly_Pay_Model!$C$9:$C$39,0),4),INDEX(Monthly_Pay_Model!$A$9:$D$40,MATCH(TEXT(A391,"dd"),Monthly_Pay_Model!$C$9:$C$39,0),4),INDEX(Monthly_Pay_Model!$A$9:$D$40,MATCH(TEXT(A392,"dd"),Monthly_Pay_Model!$C$9:$C$39,0),4)),IF(VLOOKUP(A389,Calendar!$A$1:$R$1377,18,0)=5,SUM(INDEX(Monthly_Pay_Model!$A$9:$D$40,MATCH(TEXT(A389,"dd"),Monthly_Pay_Model!$C$9:$C$39,0),4),INDEX(Monthly_Pay_Model!$A$9:$D$40,MATCH(TEXT(A390,"dd"),Monthly_Pay_Model!$C$9:$C$39,0),4),INDEX(Monthly_Pay_Model!$A$9:$D$40,MATCH(TEXT(A391,"dd"),Monthly_Pay_Model!$C$9:$C$39,0),4),INDEX(Monthly_Pay_Model!$A$9:$D$40,MATCH(TEXT(A392,"dd"),Monthly_Pay_Model!$C$9:$C$39,0),4),INDEX(Monthly_Pay_Model!$A$9:$D$40,MATCH(TEXT(A393,"dd"),Monthly_Pay_Model!$C$9:$C$39,0),4)),))))))</f>
        <v>4.0628272251308894E-3</v>
      </c>
      <c r="J389" s="33">
        <f>IF(C389="Yes",Monthly_Pay_Model!$D$2,0)
+IF(Calendar!N389="Yes",Monthly_Pay_Model!$D$3,0)
+IF(D389="Yes",Monthly_Pay_Model!$D$4,0)
+IF(E389="Yes",Monthly_Pay_Model!$D$5,0)</f>
        <v>0</v>
      </c>
      <c r="K389" s="27">
        <f>IF(VLOOKUP($A389,Calendar!$A$1:$R$1377,18,0)=0,0,IF(VLOOKUP($A389,Calendar!$A$1:$R$1377,18,0)=1,IFERROR(INDEX(Weekly_Model!$D$2:$D$9,MATCH(F389,Weekly_Model!$A$2:$A$9,0)),0),IF(VLOOKUP($A389,Calendar!$A$1:$R$1377,18,0)=2,SUM(IFERROR(INDEX(Weekly_Model!$D$2:$D$9,MATCH(F389,Weekly_Model!$A$2:$A$9,0)),0),IFERROR(INDEX(Weekly_Model!$D$2:$D$9,MATCH(F390,Weekly_Model!$A$2:$A$9,0)),0)),IF(VLOOKUP($A389,Calendar!$A$1:$R$1377,18,0)=3,SUM(IFERROR(INDEX(Weekly_Model!$D$2:$D$9,MATCH(F389,Weekly_Model!$A$2:$A$9,0)),0),IFERROR(INDEX(Weekly_Model!$D$2:$D$9,MATCH(F390,Weekly_Model!$A$2:$A$9,0)),0),IFERROR(INDEX(Weekly_Model!$D$2:$D$9,MATCH(F391,Weekly_Model!$A$2:$A$9,0)),0)),IF(VLOOKUP($A389,Calendar!$A$1:$R$1377,18,0)=4,SUM(IFERROR(INDEX(Weekly_Model!$D$2:$D$9,MATCH(F389,Weekly_Model!$A$2:$A$9,0)),0),IFERROR(INDEX(Weekly_Model!$D$2:$D$9,MATCH(F390,Weekly_Model!$A$2:$A$9,0)),0),IFERROR(INDEX(Weekly_Model!$D$2:$D$9,MATCH(F391,Weekly_Model!$A$2:$A$9,0)),0),IFERROR(INDEX(Weekly_Model!$D$2:$D$9,MATCH(F392,Weekly_Model!$A$2:$A$9,0)),0)),IF(VLOOKUP($A389,Calendar!$A$1:$R$1377,18,0)=5,SUM(IFERROR(INDEX(Weekly_Model!$D$2:$D$9,MATCH(F389,Weekly_Model!$A$2:$A$9,0)),0),IFERROR(INDEX(Weekly_Model!$D$2:$D$9,MATCH(F390,Weekly_Model!$A$2:$A$9,0)),0),IFERROR(INDEX(Weekly_Model!$D$2:$D$9,MATCH(F391,Weekly_Model!$A$2:$A$9,0)),0),IFERROR(INDEX(Weekly_Model!$D$2:$D$9,MATCH(F392,Weekly_Model!$A$2:$A$9,0)),0),IFERROR(INDEX(Weekly_Model!$D$2:$D$9,MATCH(F393,Weekly_Model!$A$2:$A$9,0)),0)),0))))))</f>
        <v>2.3200000000000002E-2</v>
      </c>
      <c r="L389" s="27">
        <f>IF(VLOOKUP($A389,Calendar!$A$1:$R$1377,18,0)=0,0,IF(VLOOKUP($A389,Calendar!$A$1:$R$1377,18,0)=1,IFERROR(INDEX(Fortnightly_Model!$D$2:$D$15,MATCH(G389,Fortnightly_Model!$B$2:$B$15,0)),0),IF(VLOOKUP($A389,Calendar!$A$1:$R$1377,18,0)=2,SUM(IFERROR(INDEX(Fortnightly_Model!$D$2:$D$15,MATCH(G389,Fortnightly_Model!$B$2:$B$15,0)),0),IFERROR(INDEX(Fortnightly_Model!$D$2:$D$15,MATCH(G390,Fortnightly_Model!$B$2:$B$15,0)),0)),IF(VLOOKUP($A389,Calendar!$A$1:$R$1377,18,0)=3,SUM(IFERROR(INDEX(Fortnightly_Model!$D$2:$D$15,MATCH(G389,Fortnightly_Model!$B$2:$B$15,0)),0),IFERROR(INDEX(Fortnightly_Model!$D$2:$D$15,MATCH(G390,Fortnightly_Model!$B$2:$B$15,0)),0),IFERROR(INDEX(Fortnightly_Model!$D$2:$D$15,MATCH(G391,Fortnightly_Model!$B$2:$B$15,0)),0)),IF(VLOOKUP($A389,Calendar!$A$1:$R$1377,18,0)=4,SUM(IFERROR(INDEX(Fortnightly_Model!$D$2:$D$15,MATCH(G389,Fortnightly_Model!$B$2:$B$15,0)),0),IFERROR(INDEX(Fortnightly_Model!$D$2:$D$15,MATCH(G390,Fortnightly_Model!$B$2:$B$15,0)),0),IFERROR(INDEX(Fortnightly_Model!$D$2:$D$15,MATCH(G391,Fortnightly_Model!$B$2:$B$15,0)),0),IFERROR(INDEX(Fortnightly_Model!$D$2:$D$15,MATCH(G392,Fortnightly_Model!$B$2:$B$15,0)),0)),IF(VLOOKUP($A389,Calendar!$A$1:$R$1377,18,0)=5,SUM(IFERROR(INDEX(Fortnightly_Model!$D$2:$D$15,MATCH(G389,Fortnightly_Model!$B$2:$B$15,0)),0),IFERROR(INDEX(Fortnightly_Model!$D$2:$D$15,MATCH(G390,Fortnightly_Model!$B$2:$B$15,0)),0),IFERROR(INDEX(Fortnightly_Model!$D$2:$D$15,MATCH(G391,Fortnightly_Model!$B$2:$B$15,0)),0),IFERROR(INDEX(Fortnightly_Model!$D$2:$D$15,MATCH(G392,Fortnightly_Model!$B$2:$B$15,0)),0),IFERROR(INDEX(Fortnightly_Model!$D$2:$D$15,MATCH(G393,Fortnightly_Model!$B$2:$B$15,0)),0)),0))))))</f>
        <v>1.0714285499999999E-3</v>
      </c>
      <c r="M389" s="27">
        <f>IF(VLOOKUP($A389,Calendar!$A$1:$R$1377,18,0)=0,0,IF(VLOOKUP($A389,Calendar!$A$1:$R$1377,18,0)=1,IFERROR(INDEX(FourWeekly_Model!$D$2:$D$29,MATCH(H389,FourWeekly_Model!$B$2:$B$29,0)),0),IF(VLOOKUP($A389,Calendar!$A$1:$R$1377,18,0)=2,SUM(IFERROR(INDEX(FourWeekly_Model!$D$2:$D$29,MATCH(H389,FourWeekly_Model!$B$2:$B$29,0)),0),IFERROR(INDEX(FourWeekly_Model!$D$2:$D$29,MATCH(H390,FourWeekly_Model!$B$2:$B$29,0)),0)),IF(VLOOKUP($A389,Calendar!$A$1:$R$1377,18,0)=3,SUM(IFERROR(INDEX(FourWeekly_Model!$D$2:$D$29,MATCH(H389,FourWeekly_Model!$B$2:$B$29,0)),0),IFERROR(INDEX(FourWeekly_Model!$D$2:$D$29,MATCH(H390,FourWeekly_Model!$B$2:$B$29,0)),0),IFERROR(INDEX(FourWeekly_Model!$D$2:$D$29,MATCH(H391,FourWeekly_Model!$B$2:$B$29,0)),0)),IF(VLOOKUP($A389,Calendar!$A$1:$R$1377,18,0)=4,SUM(IFERROR(INDEX(FourWeekly_Model!$D$2:$D$29,MATCH(H389,FourWeekly_Model!$B$2:$B$29,0)),0),IFERROR(INDEX(FourWeekly_Model!$D$2:$D$29,MATCH(H390,FourWeekly_Model!$B$2:$B$29,0)),0),IFERROR(INDEX(FourWeekly_Model!$D$2:$D$29,MATCH(H391,FourWeekly_Model!$B$2:$B$29,0)),0),IFERROR(INDEX(FourWeekly_Model!$D$2:$D$29,MATCH(H392,FourWeekly_Model!$B$2:$B$29,0)),0)),IF(VLOOKUP($A389,Calendar!$A$1:$R$1377,18,0)=5,SUM(IFERROR(INDEX(FourWeekly_Model!$D$2:$D$29,MATCH(H389,FourWeekly_Model!$B$2:$B$29,0)),0),IFERROR(INDEX(FourWeekly_Model!$D$2:$D$29,MATCH(H390,FourWeekly_Model!$B$2:$B$29,0)),0),IFERROR(INDEX(FourWeekly_Model!$D$2:$D$29,MATCH(H391,FourWeekly_Model!$B$2:$B$29,0)),0),IFERROR(INDEX(FourWeekly_Model!$D$2:$D$29,MATCH(H392,FourWeekly_Model!$B$2:$B$29,0)),0),IFERROR(INDEX(FourWeekly_Model!$D$2:$D$29,MATCH(H393,FourWeekly_Model!$B$2:$B$29,0)),0)),0))))))</f>
        <v>3.3214289700000004E-3</v>
      </c>
      <c r="N389" s="27">
        <f>SUM(I389:M389)</f>
        <v>3.1655684745130891E-2</v>
      </c>
      <c r="O389" s="28">
        <f>Population_Data!$B$8*N389</f>
        <v>959167.24777746596</v>
      </c>
      <c r="P389" s="27">
        <f>IF(VLOOKUP($A389,Calendar!$A$1:$R$1377,18,0)=0,0,IF(VLOOKUP($A389,Calendar!$A$1:$R$1377,18,0)=1,IFERROR(INDEX(Pension_Model!$D$2:$D$29,MATCH(H389,Pension_Model!$B$2:$B$29,0)),0),IF(VLOOKUP($A389,Calendar!$A$1:$R$1377,18,0)=2,SUM(IFERROR(INDEX(Pension_Model!$D$2:$D$29,MATCH(H389,Pension_Model!$B$2:$B$29,0)),0),IFERROR(INDEX(Pension_Model!$D$2:$D$29,MATCH(H390,Pension_Model!$B$2:$B$29,0)),0)),IF(VLOOKUP($A389,Calendar!$A$1:$R$1377,18,0)=3,SUM(IFERROR(INDEX(Pension_Model!$D$2:$D$29,MATCH(H389,Pension_Model!$B$2:$B$29,0)),0),IFERROR(INDEX(Pension_Model!$D$2:$D$29,MATCH(H390,Pension_Model!$B$2:$B$29,0)),0),IFERROR(INDEX(Pension_Model!$D$2:$D$29,MATCH(H391,Pension_Model!$B$2:$B$29,0)),0)),IF(VLOOKUP($A389,Calendar!$A$1:$R$1377,18,0)=4,SUM(IFERROR(INDEX(Pension_Model!$D$2:$D$29,MATCH(H389,Pension_Model!$B$2:$B$29,0)),0),IFERROR(INDEX(Pension_Model!$D$2:$D$29,MATCH(H390,Pension_Model!$B$2:$B$29,0)),0),IFERROR(INDEX(Pension_Model!$D$2:$D$29,MATCH(H391,Pension_Model!$B$2:$B$29,0)),0),IFERROR(INDEX(Pension_Model!$D$2:$D$29,MATCH(H392,Pension_Model!$B$2:$B$29,0)),0)),IF(VLOOKUP($A389,Calendar!$A$1:$R$1377,18,0)=5,SUM(IFERROR(INDEX(Pension_Model!$D$2:$D$29,MATCH(H389,Pension_Model!$B$2:$B$29,0)),0),IFERROR(INDEX(Pension_Model!$D$2:$D$29,MATCH(H390,Pension_Model!$B$2:$B$29,0)),0),IFERROR(INDEX(Pension_Model!$D$2:$D$29,MATCH(H391,Pension_Model!$B$2:$B$29,0)),0),IFERROR(INDEX(Pension_Model!$D$2:$D$29,MATCH(H392,Pension_Model!$B$2:$B$29,0)),0),IFERROR(INDEX(Pension_Model!$D$2:$D$29,MATCH(H393,Pension_Model!$B$2:$B$29,0)),0)),0))))))</f>
        <v>0.05</v>
      </c>
      <c r="Q389" s="28">
        <f>Population_Data!$B$15*P389</f>
        <v>660600</v>
      </c>
      <c r="S389">
        <f t="shared" si="6"/>
        <v>1619767.247777466</v>
      </c>
      <c r="U389" s="33">
        <f>S389/Population_Data!$B$19</f>
        <v>2.9343609561185979E-2</v>
      </c>
    </row>
    <row r="390" spans="1:21">
      <c r="A390" s="25">
        <f>Calendar!A390</f>
        <v>46623</v>
      </c>
      <c r="B390" t="str">
        <f>Calendar!L390</f>
        <v>Yes</v>
      </c>
      <c r="C390" t="str">
        <f>Calendar!O390</f>
        <v>No</v>
      </c>
      <c r="D390" t="str">
        <f>Calendar!P390</f>
        <v>No</v>
      </c>
      <c r="E390" t="str">
        <f>Calendar!Q390</f>
        <v>No</v>
      </c>
      <c r="F390" t="str">
        <f>Calendar!I390</f>
        <v>Tuesday</v>
      </c>
      <c r="G390">
        <f>Calendar!S390</f>
        <v>3</v>
      </c>
      <c r="H390">
        <f>Calendar!T390</f>
        <v>3</v>
      </c>
      <c r="I390" s="27">
        <f>IF(VLOOKUP(A390,Calendar!$A$1:$R$1377,18,0)=0,0,IF(VLOOKUP(A390,Calendar!$A$1:$R$1377,18,0)=1,INDEX(Monthly_Pay_Model!$A$9:$D$40,MATCH(TEXT(A390,"dd"),Monthly_Pay_Model!$C$9:$C$39,0),4),IF(VLOOKUP(A390,Calendar!$A$1:$R$1377,18,0)=2,SUM(INDEX(Monthly_Pay_Model!$A$9:$D$40,MATCH(TEXT(A390,"dd"),Monthly_Pay_Model!$C$9:$C$39,0),4),INDEX(Monthly_Pay_Model!$A$9:$D$40,MATCH(TEXT(A391,"dd"),Monthly_Pay_Model!$C$9:$C$39,0),4)),IF(VLOOKUP(A390,Calendar!$A$1:$R$1377,18,0)=3,SUM(INDEX(Monthly_Pay_Model!$A$9:$D$40,MATCH(TEXT(A390,"dd"),Monthly_Pay_Model!$C$9:$C$39,0),4),INDEX(Monthly_Pay_Model!$A$9:$D$40,MATCH(TEXT(A391,"dd"),Monthly_Pay_Model!$C$9:$C$39,0),4),INDEX(Monthly_Pay_Model!$A$9:$D$40,MATCH(TEXT(A392,"dd"),Monthly_Pay_Model!$C$9:$C$39,0),4)),IF(VLOOKUP(A390,Calendar!$A$1:$R$1377,18,0)=4,SUM(INDEX(Monthly_Pay_Model!$A$9:$D$40,MATCH(TEXT(A390,"dd"),Monthly_Pay_Model!$C$9:$C$39,0),4),INDEX(Monthly_Pay_Model!$A$9:$D$40,MATCH(TEXT(A391,"dd"),Monthly_Pay_Model!$C$9:$C$39,0),4),INDEX(Monthly_Pay_Model!$A$9:$D$40,MATCH(TEXT(A392,"dd"),Monthly_Pay_Model!$C$9:$C$39,0),4),INDEX(Monthly_Pay_Model!$A$9:$D$40,MATCH(TEXT(A393,"dd"),Monthly_Pay_Model!$C$9:$C$39,0),4)),IF(VLOOKUP(A390,Calendar!$A$1:$R$1377,18,0)=5,SUM(INDEX(Monthly_Pay_Model!$A$9:$D$40,MATCH(TEXT(A390,"dd"),Monthly_Pay_Model!$C$9:$C$39,0),4),INDEX(Monthly_Pay_Model!$A$9:$D$40,MATCH(TEXT(A391,"dd"),Monthly_Pay_Model!$C$9:$C$39,0),4),INDEX(Monthly_Pay_Model!$A$9:$D$40,MATCH(TEXT(A392,"dd"),Monthly_Pay_Model!$C$9:$C$39,0),4),INDEX(Monthly_Pay_Model!$A$9:$D$40,MATCH(TEXT(A393,"dd"),Monthly_Pay_Model!$C$9:$C$39,0),4),INDEX(Monthly_Pay_Model!$A$9:$D$40,MATCH(TEXT(A394,"dd"),Monthly_Pay_Model!$C$9:$C$39,0),4)),))))))</f>
        <v>7.3130890052356002E-3</v>
      </c>
      <c r="J390" s="33">
        <f>IF(C390="Yes",Monthly_Pay_Model!$D$2,0)
+IF(Calendar!N390="Yes",Monthly_Pay_Model!$D$3,0)
+IF(D390="Yes",Monthly_Pay_Model!$D$4,0)
+IF(E390="Yes",Monthly_Pay_Model!$D$5,0)</f>
        <v>0</v>
      </c>
      <c r="K390" s="27">
        <f>IF(VLOOKUP($A390,Calendar!$A$1:$R$1377,18,0)=0,0,IF(VLOOKUP($A390,Calendar!$A$1:$R$1377,18,0)=1,IFERROR(INDEX(Weekly_Model!$D$2:$D$9,MATCH(F390,Weekly_Model!$A$2:$A$9,0)),0),IF(VLOOKUP($A390,Calendar!$A$1:$R$1377,18,0)=2,SUM(IFERROR(INDEX(Weekly_Model!$D$2:$D$9,MATCH(F390,Weekly_Model!$A$2:$A$9,0)),0),IFERROR(INDEX(Weekly_Model!$D$2:$D$9,MATCH(F391,Weekly_Model!$A$2:$A$9,0)),0)),IF(VLOOKUP($A390,Calendar!$A$1:$R$1377,18,0)=3,SUM(IFERROR(INDEX(Weekly_Model!$D$2:$D$9,MATCH(F390,Weekly_Model!$A$2:$A$9,0)),0),IFERROR(INDEX(Weekly_Model!$D$2:$D$9,MATCH(F391,Weekly_Model!$A$2:$A$9,0)),0),IFERROR(INDEX(Weekly_Model!$D$2:$D$9,MATCH(F392,Weekly_Model!$A$2:$A$9,0)),0)),IF(VLOOKUP($A390,Calendar!$A$1:$R$1377,18,0)=4,SUM(IFERROR(INDEX(Weekly_Model!$D$2:$D$9,MATCH(F390,Weekly_Model!$A$2:$A$9,0)),0),IFERROR(INDEX(Weekly_Model!$D$2:$D$9,MATCH(F391,Weekly_Model!$A$2:$A$9,0)),0),IFERROR(INDEX(Weekly_Model!$D$2:$D$9,MATCH(F392,Weekly_Model!$A$2:$A$9,0)),0),IFERROR(INDEX(Weekly_Model!$D$2:$D$9,MATCH(F393,Weekly_Model!$A$2:$A$9,0)),0)),IF(VLOOKUP($A390,Calendar!$A$1:$R$1377,18,0)=5,SUM(IFERROR(INDEX(Weekly_Model!$D$2:$D$9,MATCH(F390,Weekly_Model!$A$2:$A$9,0)),0),IFERROR(INDEX(Weekly_Model!$D$2:$D$9,MATCH(F391,Weekly_Model!$A$2:$A$9,0)),0),IFERROR(INDEX(Weekly_Model!$D$2:$D$9,MATCH(F392,Weekly_Model!$A$2:$A$9,0)),0),IFERROR(INDEX(Weekly_Model!$D$2:$D$9,MATCH(F393,Weekly_Model!$A$2:$A$9,0)),0),IFERROR(INDEX(Weekly_Model!$D$2:$D$9,MATCH(F394,Weekly_Model!$A$2:$A$9,0)),0)),0))))))</f>
        <v>2.3200000000000002E-2</v>
      </c>
      <c r="L390" s="27">
        <f>IF(VLOOKUP($A390,Calendar!$A$1:$R$1377,18,0)=0,0,IF(VLOOKUP($A390,Calendar!$A$1:$R$1377,18,0)=1,IFERROR(INDEX(Fortnightly_Model!$D$2:$D$15,MATCH(G390,Fortnightly_Model!$B$2:$B$15,0)),0),IF(VLOOKUP($A390,Calendar!$A$1:$R$1377,18,0)=2,SUM(IFERROR(INDEX(Fortnightly_Model!$D$2:$D$15,MATCH(G390,Fortnightly_Model!$B$2:$B$15,0)),0),IFERROR(INDEX(Fortnightly_Model!$D$2:$D$15,MATCH(G391,Fortnightly_Model!$B$2:$B$15,0)),0)),IF(VLOOKUP($A390,Calendar!$A$1:$R$1377,18,0)=3,SUM(IFERROR(INDEX(Fortnightly_Model!$D$2:$D$15,MATCH(G390,Fortnightly_Model!$B$2:$B$15,0)),0),IFERROR(INDEX(Fortnightly_Model!$D$2:$D$15,MATCH(G391,Fortnightly_Model!$B$2:$B$15,0)),0),IFERROR(INDEX(Fortnightly_Model!$D$2:$D$15,MATCH(G392,Fortnightly_Model!$B$2:$B$15,0)),0)),IF(VLOOKUP($A390,Calendar!$A$1:$R$1377,18,0)=4,SUM(IFERROR(INDEX(Fortnightly_Model!$D$2:$D$15,MATCH(G390,Fortnightly_Model!$B$2:$B$15,0)),0),IFERROR(INDEX(Fortnightly_Model!$D$2:$D$15,MATCH(G391,Fortnightly_Model!$B$2:$B$15,0)),0),IFERROR(INDEX(Fortnightly_Model!$D$2:$D$15,MATCH(G392,Fortnightly_Model!$B$2:$B$15,0)),0),IFERROR(INDEX(Fortnightly_Model!$D$2:$D$15,MATCH(G393,Fortnightly_Model!$B$2:$B$15,0)),0)),IF(VLOOKUP($A390,Calendar!$A$1:$R$1377,18,0)=5,SUM(IFERROR(INDEX(Fortnightly_Model!$D$2:$D$15,MATCH(G390,Fortnightly_Model!$B$2:$B$15,0)),0),IFERROR(INDEX(Fortnightly_Model!$D$2:$D$15,MATCH(G391,Fortnightly_Model!$B$2:$B$15,0)),0),IFERROR(INDEX(Fortnightly_Model!$D$2:$D$15,MATCH(G392,Fortnightly_Model!$B$2:$B$15,0)),0),IFERROR(INDEX(Fortnightly_Model!$D$2:$D$15,MATCH(G393,Fortnightly_Model!$B$2:$B$15,0)),0),IFERROR(INDEX(Fortnightly_Model!$D$2:$D$15,MATCH(G394,Fortnightly_Model!$B$2:$B$15,0)),0)),0))))))</f>
        <v>1.0714285499999999E-3</v>
      </c>
      <c r="M390" s="27">
        <f>IF(VLOOKUP($A390,Calendar!$A$1:$R$1377,18,0)=0,0,IF(VLOOKUP($A390,Calendar!$A$1:$R$1377,18,0)=1,IFERROR(INDEX(FourWeekly_Model!$D$2:$D$29,MATCH(H390,FourWeekly_Model!$B$2:$B$29,0)),0),IF(VLOOKUP($A390,Calendar!$A$1:$R$1377,18,0)=2,SUM(IFERROR(INDEX(FourWeekly_Model!$D$2:$D$29,MATCH(H390,FourWeekly_Model!$B$2:$B$29,0)),0),IFERROR(INDEX(FourWeekly_Model!$D$2:$D$29,MATCH(H391,FourWeekly_Model!$B$2:$B$29,0)),0)),IF(VLOOKUP($A390,Calendar!$A$1:$R$1377,18,0)=3,SUM(IFERROR(INDEX(FourWeekly_Model!$D$2:$D$29,MATCH(H390,FourWeekly_Model!$B$2:$B$29,0)),0),IFERROR(INDEX(FourWeekly_Model!$D$2:$D$29,MATCH(H391,FourWeekly_Model!$B$2:$B$29,0)),0),IFERROR(INDEX(FourWeekly_Model!$D$2:$D$29,MATCH(H392,FourWeekly_Model!$B$2:$B$29,0)),0)),IF(VLOOKUP($A390,Calendar!$A$1:$R$1377,18,0)=4,SUM(IFERROR(INDEX(FourWeekly_Model!$D$2:$D$29,MATCH(H390,FourWeekly_Model!$B$2:$B$29,0)),0),IFERROR(INDEX(FourWeekly_Model!$D$2:$D$29,MATCH(H391,FourWeekly_Model!$B$2:$B$29,0)),0),IFERROR(INDEX(FourWeekly_Model!$D$2:$D$29,MATCH(H392,FourWeekly_Model!$B$2:$B$29,0)),0),IFERROR(INDEX(FourWeekly_Model!$D$2:$D$29,MATCH(H393,FourWeekly_Model!$B$2:$B$29,0)),0)),IF(VLOOKUP($A390,Calendar!$A$1:$R$1377,18,0)=5,SUM(IFERROR(INDEX(FourWeekly_Model!$D$2:$D$29,MATCH(H390,FourWeekly_Model!$B$2:$B$29,0)),0),IFERROR(INDEX(FourWeekly_Model!$D$2:$D$29,MATCH(H391,FourWeekly_Model!$B$2:$B$29,0)),0),IFERROR(INDEX(FourWeekly_Model!$D$2:$D$29,MATCH(H392,FourWeekly_Model!$B$2:$B$29,0)),0),IFERROR(INDEX(FourWeekly_Model!$D$2:$D$29,MATCH(H393,FourWeekly_Model!$B$2:$B$29,0)),0),IFERROR(INDEX(FourWeekly_Model!$D$2:$D$29,MATCH(H394,FourWeekly_Model!$B$2:$B$29,0)),0)),0))))))</f>
        <v>3.3214289700000004E-3</v>
      </c>
      <c r="N390" s="27">
        <f>SUM(I390:M390)</f>
        <v>3.4905946525235605E-2</v>
      </c>
      <c r="O390" s="28">
        <f>Population_Data!$B$8*N390</f>
        <v>1057650.1797146387</v>
      </c>
      <c r="P390" s="27">
        <f>IF(VLOOKUP($A390,Calendar!$A$1:$R$1377,18,0)=0,0,IF(VLOOKUP($A390,Calendar!$A$1:$R$1377,18,0)=1,IFERROR(INDEX(Pension_Model!$D$2:$D$29,MATCH(H390,Pension_Model!$B$2:$B$29,0)),0),IF(VLOOKUP($A390,Calendar!$A$1:$R$1377,18,0)=2,SUM(IFERROR(INDEX(Pension_Model!$D$2:$D$29,MATCH(H390,Pension_Model!$B$2:$B$29,0)),0),IFERROR(INDEX(Pension_Model!$D$2:$D$29,MATCH(H391,Pension_Model!$B$2:$B$29,0)),0)),IF(VLOOKUP($A390,Calendar!$A$1:$R$1377,18,0)=3,SUM(IFERROR(INDEX(Pension_Model!$D$2:$D$29,MATCH(H390,Pension_Model!$B$2:$B$29,0)),0),IFERROR(INDEX(Pension_Model!$D$2:$D$29,MATCH(H391,Pension_Model!$B$2:$B$29,0)),0),IFERROR(INDEX(Pension_Model!$D$2:$D$29,MATCH(H392,Pension_Model!$B$2:$B$29,0)),0)),IF(VLOOKUP($A390,Calendar!$A$1:$R$1377,18,0)=4,SUM(IFERROR(INDEX(Pension_Model!$D$2:$D$29,MATCH(H390,Pension_Model!$B$2:$B$29,0)),0),IFERROR(INDEX(Pension_Model!$D$2:$D$29,MATCH(H391,Pension_Model!$B$2:$B$29,0)),0),IFERROR(INDEX(Pension_Model!$D$2:$D$29,MATCH(H392,Pension_Model!$B$2:$B$29,0)),0),IFERROR(INDEX(Pension_Model!$D$2:$D$29,MATCH(H393,Pension_Model!$B$2:$B$29,0)),0)),IF(VLOOKUP($A390,Calendar!$A$1:$R$1377,18,0)=5,SUM(IFERROR(INDEX(Pension_Model!$D$2:$D$29,MATCH(H390,Pension_Model!$B$2:$B$29,0)),0),IFERROR(INDEX(Pension_Model!$D$2:$D$29,MATCH(H391,Pension_Model!$B$2:$B$29,0)),0),IFERROR(INDEX(Pension_Model!$D$2:$D$29,MATCH(H392,Pension_Model!$B$2:$B$29,0)),0),IFERROR(INDEX(Pension_Model!$D$2:$D$29,MATCH(H393,Pension_Model!$B$2:$B$29,0)),0),IFERROR(INDEX(Pension_Model!$D$2:$D$29,MATCH(H394,Pension_Model!$B$2:$B$29,0)),0)),0))))))</f>
        <v>0.05</v>
      </c>
      <c r="Q390" s="28">
        <f>Population_Data!$B$15*P390</f>
        <v>660600</v>
      </c>
      <c r="S390">
        <f t="shared" si="6"/>
        <v>1718250.1797146387</v>
      </c>
      <c r="U390" s="33">
        <f>S390/Population_Data!$B$19</f>
        <v>3.1127720647004326E-2</v>
      </c>
    </row>
    <row r="391" spans="1:21">
      <c r="A391" s="25">
        <f>Calendar!A391</f>
        <v>46624</v>
      </c>
      <c r="B391" t="str">
        <f>Calendar!L391</f>
        <v>Yes</v>
      </c>
      <c r="C391" t="str">
        <f>Calendar!O391</f>
        <v>No</v>
      </c>
      <c r="D391" t="str">
        <f>Calendar!P391</f>
        <v>No</v>
      </c>
      <c r="E391" t="str">
        <f>Calendar!Q391</f>
        <v>No</v>
      </c>
      <c r="F391" t="str">
        <f>Calendar!I391</f>
        <v>Wednesday</v>
      </c>
      <c r="G391">
        <f>Calendar!S391</f>
        <v>4</v>
      </c>
      <c r="H391">
        <f>Calendar!T391</f>
        <v>4</v>
      </c>
      <c r="I391" s="27">
        <f>IF(VLOOKUP(A391,Calendar!$A$1:$R$1377,18,0)=0,0,IF(VLOOKUP(A391,Calendar!$A$1:$R$1377,18,0)=1,INDEX(Monthly_Pay_Model!$A$9:$D$40,MATCH(TEXT(A391,"dd"),Monthly_Pay_Model!$C$9:$C$39,0),4),IF(VLOOKUP(A391,Calendar!$A$1:$R$1377,18,0)=2,SUM(INDEX(Monthly_Pay_Model!$A$9:$D$40,MATCH(TEXT(A391,"dd"),Monthly_Pay_Model!$C$9:$C$39,0),4),INDEX(Monthly_Pay_Model!$A$9:$D$40,MATCH(TEXT(A392,"dd"),Monthly_Pay_Model!$C$9:$C$39,0),4)),IF(VLOOKUP(A391,Calendar!$A$1:$R$1377,18,0)=3,SUM(INDEX(Monthly_Pay_Model!$A$9:$D$40,MATCH(TEXT(A391,"dd"),Monthly_Pay_Model!$C$9:$C$39,0),4),INDEX(Monthly_Pay_Model!$A$9:$D$40,MATCH(TEXT(A392,"dd"),Monthly_Pay_Model!$C$9:$C$39,0),4),INDEX(Monthly_Pay_Model!$A$9:$D$40,MATCH(TEXT(A393,"dd"),Monthly_Pay_Model!$C$9:$C$39,0),4)),IF(VLOOKUP(A391,Calendar!$A$1:$R$1377,18,0)=4,SUM(INDEX(Monthly_Pay_Model!$A$9:$D$40,MATCH(TEXT(A391,"dd"),Monthly_Pay_Model!$C$9:$C$39,0),4),INDEX(Monthly_Pay_Model!$A$9:$D$40,MATCH(TEXT(A392,"dd"),Monthly_Pay_Model!$C$9:$C$39,0),4),INDEX(Monthly_Pay_Model!$A$9:$D$40,MATCH(TEXT(A393,"dd"),Monthly_Pay_Model!$C$9:$C$39,0),4),INDEX(Monthly_Pay_Model!$A$9:$D$40,MATCH(TEXT(A394,"dd"),Monthly_Pay_Model!$C$9:$C$39,0),4)),IF(VLOOKUP(A391,Calendar!$A$1:$R$1377,18,0)=5,SUM(INDEX(Monthly_Pay_Model!$A$9:$D$40,MATCH(TEXT(A391,"dd"),Monthly_Pay_Model!$C$9:$C$39,0),4),INDEX(Monthly_Pay_Model!$A$9:$D$40,MATCH(TEXT(A392,"dd"),Monthly_Pay_Model!$C$9:$C$39,0),4),INDEX(Monthly_Pay_Model!$A$9:$D$40,MATCH(TEXT(A393,"dd"),Monthly_Pay_Model!$C$9:$C$39,0),4),INDEX(Monthly_Pay_Model!$A$9:$D$40,MATCH(TEXT(A394,"dd"),Monthly_Pay_Model!$C$9:$C$39,0),4),INDEX(Monthly_Pay_Model!$A$9:$D$40,MATCH(TEXT(A395,"dd"),Monthly_Pay_Model!$C$9:$C$39,0),4)),))))))</f>
        <v>2.1939267015706802E-2</v>
      </c>
      <c r="J391" s="33">
        <f>IF(C391="Yes",Monthly_Pay_Model!$D$2,0)
+IF(Calendar!N391="Yes",Monthly_Pay_Model!$D$3,0)
+IF(D391="Yes",Monthly_Pay_Model!$D$4,0)
+IF(E391="Yes",Monthly_Pay_Model!$D$5,0)</f>
        <v>0</v>
      </c>
      <c r="K391" s="27">
        <f>IF(VLOOKUP($A391,Calendar!$A$1:$R$1377,18,0)=0,0,IF(VLOOKUP($A391,Calendar!$A$1:$R$1377,18,0)=1,IFERROR(INDEX(Weekly_Model!$D$2:$D$9,MATCH(F391,Weekly_Model!$A$2:$A$9,0)),0),IF(VLOOKUP($A391,Calendar!$A$1:$R$1377,18,0)=2,SUM(IFERROR(INDEX(Weekly_Model!$D$2:$D$9,MATCH(F391,Weekly_Model!$A$2:$A$9,0)),0),IFERROR(INDEX(Weekly_Model!$D$2:$D$9,MATCH(F392,Weekly_Model!$A$2:$A$9,0)),0)),IF(VLOOKUP($A391,Calendar!$A$1:$R$1377,18,0)=3,SUM(IFERROR(INDEX(Weekly_Model!$D$2:$D$9,MATCH(F391,Weekly_Model!$A$2:$A$9,0)),0),IFERROR(INDEX(Weekly_Model!$D$2:$D$9,MATCH(F392,Weekly_Model!$A$2:$A$9,0)),0),IFERROR(INDEX(Weekly_Model!$D$2:$D$9,MATCH(F393,Weekly_Model!$A$2:$A$9,0)),0)),IF(VLOOKUP($A391,Calendar!$A$1:$R$1377,18,0)=4,SUM(IFERROR(INDEX(Weekly_Model!$D$2:$D$9,MATCH(F391,Weekly_Model!$A$2:$A$9,0)),0),IFERROR(INDEX(Weekly_Model!$D$2:$D$9,MATCH(F392,Weekly_Model!$A$2:$A$9,0)),0),IFERROR(INDEX(Weekly_Model!$D$2:$D$9,MATCH(F393,Weekly_Model!$A$2:$A$9,0)),0),IFERROR(INDEX(Weekly_Model!$D$2:$D$9,MATCH(F394,Weekly_Model!$A$2:$A$9,0)),0)),IF(VLOOKUP($A391,Calendar!$A$1:$R$1377,18,0)=5,SUM(IFERROR(INDEX(Weekly_Model!$D$2:$D$9,MATCH(F391,Weekly_Model!$A$2:$A$9,0)),0),IFERROR(INDEX(Weekly_Model!$D$2:$D$9,MATCH(F392,Weekly_Model!$A$2:$A$9,0)),0),IFERROR(INDEX(Weekly_Model!$D$2:$D$9,MATCH(F393,Weekly_Model!$A$2:$A$9,0)),0),IFERROR(INDEX(Weekly_Model!$D$2:$D$9,MATCH(F394,Weekly_Model!$A$2:$A$9,0)),0),IFERROR(INDEX(Weekly_Model!$D$2:$D$9,MATCH(F395,Weekly_Model!$A$2:$A$9,0)),0)),0))))))</f>
        <v>2.3200000000000002E-2</v>
      </c>
      <c r="L391" s="27">
        <f>IF(VLOOKUP($A391,Calendar!$A$1:$R$1377,18,0)=0,0,IF(VLOOKUP($A391,Calendar!$A$1:$R$1377,18,0)=1,IFERROR(INDEX(Fortnightly_Model!$D$2:$D$15,MATCH(G391,Fortnightly_Model!$B$2:$B$15,0)),0),IF(VLOOKUP($A391,Calendar!$A$1:$R$1377,18,0)=2,SUM(IFERROR(INDEX(Fortnightly_Model!$D$2:$D$15,MATCH(G391,Fortnightly_Model!$B$2:$B$15,0)),0),IFERROR(INDEX(Fortnightly_Model!$D$2:$D$15,MATCH(G392,Fortnightly_Model!$B$2:$B$15,0)),0)),IF(VLOOKUP($A391,Calendar!$A$1:$R$1377,18,0)=3,SUM(IFERROR(INDEX(Fortnightly_Model!$D$2:$D$15,MATCH(G391,Fortnightly_Model!$B$2:$B$15,0)),0),IFERROR(INDEX(Fortnightly_Model!$D$2:$D$15,MATCH(G392,Fortnightly_Model!$B$2:$B$15,0)),0),IFERROR(INDEX(Fortnightly_Model!$D$2:$D$15,MATCH(G393,Fortnightly_Model!$B$2:$B$15,0)),0)),IF(VLOOKUP($A391,Calendar!$A$1:$R$1377,18,0)=4,SUM(IFERROR(INDEX(Fortnightly_Model!$D$2:$D$15,MATCH(G391,Fortnightly_Model!$B$2:$B$15,0)),0),IFERROR(INDEX(Fortnightly_Model!$D$2:$D$15,MATCH(G392,Fortnightly_Model!$B$2:$B$15,0)),0),IFERROR(INDEX(Fortnightly_Model!$D$2:$D$15,MATCH(G393,Fortnightly_Model!$B$2:$B$15,0)),0),IFERROR(INDEX(Fortnightly_Model!$D$2:$D$15,MATCH(G394,Fortnightly_Model!$B$2:$B$15,0)),0)),IF(VLOOKUP($A391,Calendar!$A$1:$R$1377,18,0)=5,SUM(IFERROR(INDEX(Fortnightly_Model!$D$2:$D$15,MATCH(G391,Fortnightly_Model!$B$2:$B$15,0)),0),IFERROR(INDEX(Fortnightly_Model!$D$2:$D$15,MATCH(G392,Fortnightly_Model!$B$2:$B$15,0)),0),IFERROR(INDEX(Fortnightly_Model!$D$2:$D$15,MATCH(G393,Fortnightly_Model!$B$2:$B$15,0)),0),IFERROR(INDEX(Fortnightly_Model!$D$2:$D$15,MATCH(G394,Fortnightly_Model!$B$2:$B$15,0)),0),IFERROR(INDEX(Fortnightly_Model!$D$2:$D$15,MATCH(G395,Fortnightly_Model!$B$2:$B$15,0)),0)),0))))))</f>
        <v>1.0714285499999999E-3</v>
      </c>
      <c r="M391" s="27">
        <f>IF(VLOOKUP($A391,Calendar!$A$1:$R$1377,18,0)=0,0,IF(VLOOKUP($A391,Calendar!$A$1:$R$1377,18,0)=1,IFERROR(INDEX(FourWeekly_Model!$D$2:$D$29,MATCH(H391,FourWeekly_Model!$B$2:$B$29,0)),0),IF(VLOOKUP($A391,Calendar!$A$1:$R$1377,18,0)=2,SUM(IFERROR(INDEX(FourWeekly_Model!$D$2:$D$29,MATCH(H391,FourWeekly_Model!$B$2:$B$29,0)),0),IFERROR(INDEX(FourWeekly_Model!$D$2:$D$29,MATCH(H392,FourWeekly_Model!$B$2:$B$29,0)),0)),IF(VLOOKUP($A391,Calendar!$A$1:$R$1377,18,0)=3,SUM(IFERROR(INDEX(FourWeekly_Model!$D$2:$D$29,MATCH(H391,FourWeekly_Model!$B$2:$B$29,0)),0),IFERROR(INDEX(FourWeekly_Model!$D$2:$D$29,MATCH(H392,FourWeekly_Model!$B$2:$B$29,0)),0),IFERROR(INDEX(FourWeekly_Model!$D$2:$D$29,MATCH(H393,FourWeekly_Model!$B$2:$B$29,0)),0)),IF(VLOOKUP($A391,Calendar!$A$1:$R$1377,18,0)=4,SUM(IFERROR(INDEX(FourWeekly_Model!$D$2:$D$29,MATCH(H391,FourWeekly_Model!$B$2:$B$29,0)),0),IFERROR(INDEX(FourWeekly_Model!$D$2:$D$29,MATCH(H392,FourWeekly_Model!$B$2:$B$29,0)),0),IFERROR(INDEX(FourWeekly_Model!$D$2:$D$29,MATCH(H393,FourWeekly_Model!$B$2:$B$29,0)),0),IFERROR(INDEX(FourWeekly_Model!$D$2:$D$29,MATCH(H394,FourWeekly_Model!$B$2:$B$29,0)),0)),IF(VLOOKUP($A391,Calendar!$A$1:$R$1377,18,0)=5,SUM(IFERROR(INDEX(FourWeekly_Model!$D$2:$D$29,MATCH(H391,FourWeekly_Model!$B$2:$B$29,0)),0),IFERROR(INDEX(FourWeekly_Model!$D$2:$D$29,MATCH(H392,FourWeekly_Model!$B$2:$B$29,0)),0),IFERROR(INDEX(FourWeekly_Model!$D$2:$D$29,MATCH(H393,FourWeekly_Model!$B$2:$B$29,0)),0),IFERROR(INDEX(FourWeekly_Model!$D$2:$D$29,MATCH(H394,FourWeekly_Model!$B$2:$B$29,0)),0),IFERROR(INDEX(FourWeekly_Model!$D$2:$D$29,MATCH(H395,FourWeekly_Model!$B$2:$B$29,0)),0)),0))))))</f>
        <v>3.3214289700000004E-3</v>
      </c>
      <c r="N391" s="27">
        <f>SUM(I391:M391)</f>
        <v>4.9532124535706809E-2</v>
      </c>
      <c r="O391" s="28">
        <f>Population_Data!$B$8*N391</f>
        <v>1500823.3734319163</v>
      </c>
      <c r="P391" s="27">
        <f>IF(VLOOKUP($A391,Calendar!$A$1:$R$1377,18,0)=0,0,IF(VLOOKUP($A391,Calendar!$A$1:$R$1377,18,0)=1,IFERROR(INDEX(Pension_Model!$D$2:$D$29,MATCH(H391,Pension_Model!$B$2:$B$29,0)),0),IF(VLOOKUP($A391,Calendar!$A$1:$R$1377,18,0)=2,SUM(IFERROR(INDEX(Pension_Model!$D$2:$D$29,MATCH(H391,Pension_Model!$B$2:$B$29,0)),0),IFERROR(INDEX(Pension_Model!$D$2:$D$29,MATCH(H392,Pension_Model!$B$2:$B$29,0)),0)),IF(VLOOKUP($A391,Calendar!$A$1:$R$1377,18,0)=3,SUM(IFERROR(INDEX(Pension_Model!$D$2:$D$29,MATCH(H391,Pension_Model!$B$2:$B$29,0)),0),IFERROR(INDEX(Pension_Model!$D$2:$D$29,MATCH(H392,Pension_Model!$B$2:$B$29,0)),0),IFERROR(INDEX(Pension_Model!$D$2:$D$29,MATCH(H393,Pension_Model!$B$2:$B$29,0)),0)),IF(VLOOKUP($A391,Calendar!$A$1:$R$1377,18,0)=4,SUM(IFERROR(INDEX(Pension_Model!$D$2:$D$29,MATCH(H391,Pension_Model!$B$2:$B$29,0)),0),IFERROR(INDEX(Pension_Model!$D$2:$D$29,MATCH(H392,Pension_Model!$B$2:$B$29,0)),0),IFERROR(INDEX(Pension_Model!$D$2:$D$29,MATCH(H393,Pension_Model!$B$2:$B$29,0)),0),IFERROR(INDEX(Pension_Model!$D$2:$D$29,MATCH(H394,Pension_Model!$B$2:$B$29,0)),0)),IF(VLOOKUP($A391,Calendar!$A$1:$R$1377,18,0)=5,SUM(IFERROR(INDEX(Pension_Model!$D$2:$D$29,MATCH(H391,Pension_Model!$B$2:$B$29,0)),0),IFERROR(INDEX(Pension_Model!$D$2:$D$29,MATCH(H392,Pension_Model!$B$2:$B$29,0)),0),IFERROR(INDEX(Pension_Model!$D$2:$D$29,MATCH(H393,Pension_Model!$B$2:$B$29,0)),0),IFERROR(INDEX(Pension_Model!$D$2:$D$29,MATCH(H394,Pension_Model!$B$2:$B$29,0)),0),IFERROR(INDEX(Pension_Model!$D$2:$D$29,MATCH(H395,Pension_Model!$B$2:$B$29,0)),0)),0))))))</f>
        <v>0.05</v>
      </c>
      <c r="Q391" s="28">
        <f>Population_Data!$B$15*P391</f>
        <v>660600</v>
      </c>
      <c r="S391">
        <f t="shared" si="6"/>
        <v>2161423.3734319163</v>
      </c>
      <c r="U391" s="33">
        <f>S391/Population_Data!$B$19</f>
        <v>3.9156220533186889E-2</v>
      </c>
    </row>
    <row r="392" spans="1:21">
      <c r="A392" s="25">
        <f>Calendar!A392</f>
        <v>46625</v>
      </c>
      <c r="B392" t="str">
        <f>Calendar!L392</f>
        <v>Yes</v>
      </c>
      <c r="C392" t="str">
        <f>Calendar!O392</f>
        <v>No</v>
      </c>
      <c r="D392" t="str">
        <f>Calendar!P392</f>
        <v>No</v>
      </c>
      <c r="E392" t="str">
        <f>Calendar!Q392</f>
        <v>Yes</v>
      </c>
      <c r="F392" t="str">
        <f>Calendar!I392</f>
        <v>Thursday</v>
      </c>
      <c r="G392">
        <f>Calendar!S392</f>
        <v>5</v>
      </c>
      <c r="H392">
        <f>Calendar!T392</f>
        <v>5</v>
      </c>
      <c r="I392" s="27">
        <f>IF(VLOOKUP(A392,Calendar!$A$1:$R$1377,18,0)=0,0,IF(VLOOKUP(A392,Calendar!$A$1:$R$1377,18,0)=1,INDEX(Monthly_Pay_Model!$A$9:$D$40,MATCH(TEXT(A392,"dd"),Monthly_Pay_Model!$C$9:$C$39,0),4),IF(VLOOKUP(A392,Calendar!$A$1:$R$1377,18,0)=2,SUM(INDEX(Monthly_Pay_Model!$A$9:$D$40,MATCH(TEXT(A392,"dd"),Monthly_Pay_Model!$C$9:$C$39,0),4),INDEX(Monthly_Pay_Model!$A$9:$D$40,MATCH(TEXT(A393,"dd"),Monthly_Pay_Model!$C$9:$C$39,0),4)),IF(VLOOKUP(A392,Calendar!$A$1:$R$1377,18,0)=3,SUM(INDEX(Monthly_Pay_Model!$A$9:$D$40,MATCH(TEXT(A392,"dd"),Monthly_Pay_Model!$C$9:$C$39,0),4),INDEX(Monthly_Pay_Model!$A$9:$D$40,MATCH(TEXT(A393,"dd"),Monthly_Pay_Model!$C$9:$C$39,0),4),INDEX(Monthly_Pay_Model!$A$9:$D$40,MATCH(TEXT(A394,"dd"),Monthly_Pay_Model!$C$9:$C$39,0),4)),IF(VLOOKUP(A392,Calendar!$A$1:$R$1377,18,0)=4,SUM(INDEX(Monthly_Pay_Model!$A$9:$D$40,MATCH(TEXT(A392,"dd"),Monthly_Pay_Model!$C$9:$C$39,0),4),INDEX(Monthly_Pay_Model!$A$9:$D$40,MATCH(TEXT(A393,"dd"),Monthly_Pay_Model!$C$9:$C$39,0),4),INDEX(Monthly_Pay_Model!$A$9:$D$40,MATCH(TEXT(A394,"dd"),Monthly_Pay_Model!$C$9:$C$39,0),4),INDEX(Monthly_Pay_Model!$A$9:$D$40,MATCH(TEXT(A395,"dd"),Monthly_Pay_Model!$C$9:$C$39,0),4)),IF(VLOOKUP(A392,Calendar!$A$1:$R$1377,18,0)=5,SUM(INDEX(Monthly_Pay_Model!$A$9:$D$40,MATCH(TEXT(A392,"dd"),Monthly_Pay_Model!$C$9:$C$39,0),4),INDEX(Monthly_Pay_Model!$A$9:$D$40,MATCH(TEXT(A393,"dd"),Monthly_Pay_Model!$C$9:$C$39,0),4),INDEX(Monthly_Pay_Model!$A$9:$D$40,MATCH(TEXT(A394,"dd"),Monthly_Pay_Model!$C$9:$C$39,0),4),INDEX(Monthly_Pay_Model!$A$9:$D$40,MATCH(TEXT(A395,"dd"),Monthly_Pay_Model!$C$9:$C$39,0),4),INDEX(Monthly_Pay_Model!$A$9:$D$40,MATCH(TEXT(A396,"dd"),Monthly_Pay_Model!$C$9:$C$39,0),4)),))))))</f>
        <v>9.7507853403141324E-3</v>
      </c>
      <c r="J392" s="33">
        <f>IF(C392="Yes",Monthly_Pay_Model!$D$2,0)
+IF(Calendar!N392="Yes",Monthly_Pay_Model!$D$3,0)
+IF(D392="Yes",Monthly_Pay_Model!$D$4,0)
+IF(E392="Yes",Monthly_Pay_Model!$D$5,0)</f>
        <v>5.4320000000000007E-2</v>
      </c>
      <c r="K392" s="27">
        <f>IF(VLOOKUP($A392,Calendar!$A$1:$R$1377,18,0)=0,0,IF(VLOOKUP($A392,Calendar!$A$1:$R$1377,18,0)=1,IFERROR(INDEX(Weekly_Model!$D$2:$D$9,MATCH(F392,Weekly_Model!$A$2:$A$9,0)),0),IF(VLOOKUP($A392,Calendar!$A$1:$R$1377,18,0)=2,SUM(IFERROR(INDEX(Weekly_Model!$D$2:$D$9,MATCH(F392,Weekly_Model!$A$2:$A$9,0)),0),IFERROR(INDEX(Weekly_Model!$D$2:$D$9,MATCH(F393,Weekly_Model!$A$2:$A$9,0)),0)),IF(VLOOKUP($A392,Calendar!$A$1:$R$1377,18,0)=3,SUM(IFERROR(INDEX(Weekly_Model!$D$2:$D$9,MATCH(F392,Weekly_Model!$A$2:$A$9,0)),0),IFERROR(INDEX(Weekly_Model!$D$2:$D$9,MATCH(F393,Weekly_Model!$A$2:$A$9,0)),0),IFERROR(INDEX(Weekly_Model!$D$2:$D$9,MATCH(F394,Weekly_Model!$A$2:$A$9,0)),0)),IF(VLOOKUP($A392,Calendar!$A$1:$R$1377,18,0)=4,SUM(IFERROR(INDEX(Weekly_Model!$D$2:$D$9,MATCH(F392,Weekly_Model!$A$2:$A$9,0)),0),IFERROR(INDEX(Weekly_Model!$D$2:$D$9,MATCH(F393,Weekly_Model!$A$2:$A$9,0)),0),IFERROR(INDEX(Weekly_Model!$D$2:$D$9,MATCH(F394,Weekly_Model!$A$2:$A$9,0)),0),IFERROR(INDEX(Weekly_Model!$D$2:$D$9,MATCH(F395,Weekly_Model!$A$2:$A$9,0)),0)),IF(VLOOKUP($A392,Calendar!$A$1:$R$1377,18,0)=5,SUM(IFERROR(INDEX(Weekly_Model!$D$2:$D$9,MATCH(F392,Weekly_Model!$A$2:$A$9,0)),0),IFERROR(INDEX(Weekly_Model!$D$2:$D$9,MATCH(F393,Weekly_Model!$A$2:$A$9,0)),0),IFERROR(INDEX(Weekly_Model!$D$2:$D$9,MATCH(F394,Weekly_Model!$A$2:$A$9,0)),0),IFERROR(INDEX(Weekly_Model!$D$2:$D$9,MATCH(F395,Weekly_Model!$A$2:$A$9,0)),0),IFERROR(INDEX(Weekly_Model!$D$2:$D$9,MATCH(F396,Weekly_Model!$A$2:$A$9,0)),0)),0))))))</f>
        <v>2.3200000000000002E-2</v>
      </c>
      <c r="L392" s="27">
        <f>IF(VLOOKUP($A392,Calendar!$A$1:$R$1377,18,0)=0,0,IF(VLOOKUP($A392,Calendar!$A$1:$R$1377,18,0)=1,IFERROR(INDEX(Fortnightly_Model!$D$2:$D$15,MATCH(G392,Fortnightly_Model!$B$2:$B$15,0)),0),IF(VLOOKUP($A392,Calendar!$A$1:$R$1377,18,0)=2,SUM(IFERROR(INDEX(Fortnightly_Model!$D$2:$D$15,MATCH(G392,Fortnightly_Model!$B$2:$B$15,0)),0),IFERROR(INDEX(Fortnightly_Model!$D$2:$D$15,MATCH(G393,Fortnightly_Model!$B$2:$B$15,0)),0)),IF(VLOOKUP($A392,Calendar!$A$1:$R$1377,18,0)=3,SUM(IFERROR(INDEX(Fortnightly_Model!$D$2:$D$15,MATCH(G392,Fortnightly_Model!$B$2:$B$15,0)),0),IFERROR(INDEX(Fortnightly_Model!$D$2:$D$15,MATCH(G393,Fortnightly_Model!$B$2:$B$15,0)),0),IFERROR(INDEX(Fortnightly_Model!$D$2:$D$15,MATCH(G394,Fortnightly_Model!$B$2:$B$15,0)),0)),IF(VLOOKUP($A392,Calendar!$A$1:$R$1377,18,0)=4,SUM(IFERROR(INDEX(Fortnightly_Model!$D$2:$D$15,MATCH(G392,Fortnightly_Model!$B$2:$B$15,0)),0),IFERROR(INDEX(Fortnightly_Model!$D$2:$D$15,MATCH(G393,Fortnightly_Model!$B$2:$B$15,0)),0),IFERROR(INDEX(Fortnightly_Model!$D$2:$D$15,MATCH(G394,Fortnightly_Model!$B$2:$B$15,0)),0),IFERROR(INDEX(Fortnightly_Model!$D$2:$D$15,MATCH(G395,Fortnightly_Model!$B$2:$B$15,0)),0)),IF(VLOOKUP($A392,Calendar!$A$1:$R$1377,18,0)=5,SUM(IFERROR(INDEX(Fortnightly_Model!$D$2:$D$15,MATCH(G392,Fortnightly_Model!$B$2:$B$15,0)),0),IFERROR(INDEX(Fortnightly_Model!$D$2:$D$15,MATCH(G393,Fortnightly_Model!$B$2:$B$15,0)),0),IFERROR(INDEX(Fortnightly_Model!$D$2:$D$15,MATCH(G394,Fortnightly_Model!$B$2:$B$15,0)),0),IFERROR(INDEX(Fortnightly_Model!$D$2:$D$15,MATCH(G395,Fortnightly_Model!$B$2:$B$15,0)),0),IFERROR(INDEX(Fortnightly_Model!$D$2:$D$15,MATCH(G396,Fortnightly_Model!$B$2:$B$15,0)),0)),0))))))</f>
        <v>1.0714285499999999E-3</v>
      </c>
      <c r="M392" s="27">
        <f>IF(VLOOKUP($A392,Calendar!$A$1:$R$1377,18,0)=0,0,IF(VLOOKUP($A392,Calendar!$A$1:$R$1377,18,0)=1,IFERROR(INDEX(FourWeekly_Model!$D$2:$D$29,MATCH(H392,FourWeekly_Model!$B$2:$B$29,0)),0),IF(VLOOKUP($A392,Calendar!$A$1:$R$1377,18,0)=2,SUM(IFERROR(INDEX(FourWeekly_Model!$D$2:$D$29,MATCH(H392,FourWeekly_Model!$B$2:$B$29,0)),0),IFERROR(INDEX(FourWeekly_Model!$D$2:$D$29,MATCH(H393,FourWeekly_Model!$B$2:$B$29,0)),0)),IF(VLOOKUP($A392,Calendar!$A$1:$R$1377,18,0)=3,SUM(IFERROR(INDEX(FourWeekly_Model!$D$2:$D$29,MATCH(H392,FourWeekly_Model!$B$2:$B$29,0)),0),IFERROR(INDEX(FourWeekly_Model!$D$2:$D$29,MATCH(H393,FourWeekly_Model!$B$2:$B$29,0)),0),IFERROR(INDEX(FourWeekly_Model!$D$2:$D$29,MATCH(H394,FourWeekly_Model!$B$2:$B$29,0)),0)),IF(VLOOKUP($A392,Calendar!$A$1:$R$1377,18,0)=4,SUM(IFERROR(INDEX(FourWeekly_Model!$D$2:$D$29,MATCH(H392,FourWeekly_Model!$B$2:$B$29,0)),0),IFERROR(INDEX(FourWeekly_Model!$D$2:$D$29,MATCH(H393,FourWeekly_Model!$B$2:$B$29,0)),0),IFERROR(INDEX(FourWeekly_Model!$D$2:$D$29,MATCH(H394,FourWeekly_Model!$B$2:$B$29,0)),0),IFERROR(INDEX(FourWeekly_Model!$D$2:$D$29,MATCH(H395,FourWeekly_Model!$B$2:$B$29,0)),0)),IF(VLOOKUP($A392,Calendar!$A$1:$R$1377,18,0)=5,SUM(IFERROR(INDEX(FourWeekly_Model!$D$2:$D$29,MATCH(H392,FourWeekly_Model!$B$2:$B$29,0)),0),IFERROR(INDEX(FourWeekly_Model!$D$2:$D$29,MATCH(H393,FourWeekly_Model!$B$2:$B$29,0)),0),IFERROR(INDEX(FourWeekly_Model!$D$2:$D$29,MATCH(H394,FourWeekly_Model!$B$2:$B$29,0)),0),IFERROR(INDEX(FourWeekly_Model!$D$2:$D$29,MATCH(H395,FourWeekly_Model!$B$2:$B$29,0)),0),IFERROR(INDEX(FourWeekly_Model!$D$2:$D$29,MATCH(H396,FourWeekly_Model!$B$2:$B$29,0)),0)),0))))))</f>
        <v>3.3214289700000004E-3</v>
      </c>
      <c r="N392" s="27">
        <f>SUM(I392:M392)</f>
        <v>9.1663642860314143E-2</v>
      </c>
      <c r="O392" s="28">
        <f>Population_Data!$B$8*N392</f>
        <v>2777408.3786675185</v>
      </c>
      <c r="P392" s="27">
        <f>IF(VLOOKUP($A392,Calendar!$A$1:$R$1377,18,0)=0,0,IF(VLOOKUP($A392,Calendar!$A$1:$R$1377,18,0)=1,IFERROR(INDEX(Pension_Model!$D$2:$D$29,MATCH(H392,Pension_Model!$B$2:$B$29,0)),0),IF(VLOOKUP($A392,Calendar!$A$1:$R$1377,18,0)=2,SUM(IFERROR(INDEX(Pension_Model!$D$2:$D$29,MATCH(H392,Pension_Model!$B$2:$B$29,0)),0),IFERROR(INDEX(Pension_Model!$D$2:$D$29,MATCH(H393,Pension_Model!$B$2:$B$29,0)),0)),IF(VLOOKUP($A392,Calendar!$A$1:$R$1377,18,0)=3,SUM(IFERROR(INDEX(Pension_Model!$D$2:$D$29,MATCH(H392,Pension_Model!$B$2:$B$29,0)),0),IFERROR(INDEX(Pension_Model!$D$2:$D$29,MATCH(H393,Pension_Model!$B$2:$B$29,0)),0),IFERROR(INDEX(Pension_Model!$D$2:$D$29,MATCH(H394,Pension_Model!$B$2:$B$29,0)),0)),IF(VLOOKUP($A392,Calendar!$A$1:$R$1377,18,0)=4,SUM(IFERROR(INDEX(Pension_Model!$D$2:$D$29,MATCH(H392,Pension_Model!$B$2:$B$29,0)),0),IFERROR(INDEX(Pension_Model!$D$2:$D$29,MATCH(H393,Pension_Model!$B$2:$B$29,0)),0),IFERROR(INDEX(Pension_Model!$D$2:$D$29,MATCH(H394,Pension_Model!$B$2:$B$29,0)),0),IFERROR(INDEX(Pension_Model!$D$2:$D$29,MATCH(H395,Pension_Model!$B$2:$B$29,0)),0)),IF(VLOOKUP($A392,Calendar!$A$1:$R$1377,18,0)=5,SUM(IFERROR(INDEX(Pension_Model!$D$2:$D$29,MATCH(H392,Pension_Model!$B$2:$B$29,0)),0),IFERROR(INDEX(Pension_Model!$D$2:$D$29,MATCH(H393,Pension_Model!$B$2:$B$29,0)),0),IFERROR(INDEX(Pension_Model!$D$2:$D$29,MATCH(H394,Pension_Model!$B$2:$B$29,0)),0),IFERROR(INDEX(Pension_Model!$D$2:$D$29,MATCH(H395,Pension_Model!$B$2:$B$29,0)),0),IFERROR(INDEX(Pension_Model!$D$2:$D$29,MATCH(H396,Pension_Model!$B$2:$B$29,0)),0)),0))))))</f>
        <v>0.05</v>
      </c>
      <c r="Q392" s="28">
        <f>Population_Data!$B$15*P392</f>
        <v>660600</v>
      </c>
      <c r="S392">
        <f t="shared" si="6"/>
        <v>3438008.3786675185</v>
      </c>
      <c r="U392" s="33">
        <f>S392/Population_Data!$B$19</f>
        <v>6.228276048310722E-2</v>
      </c>
    </row>
    <row r="393" spans="1:21">
      <c r="A393" s="25">
        <f>Calendar!A393</f>
        <v>46626</v>
      </c>
      <c r="B393" t="str">
        <f>Calendar!L393</f>
        <v>Yes</v>
      </c>
      <c r="C393" t="str">
        <f>Calendar!O393</f>
        <v>No</v>
      </c>
      <c r="D393" t="str">
        <f>Calendar!P393</f>
        <v>Yes</v>
      </c>
      <c r="E393" t="str">
        <f>Calendar!Q393</f>
        <v>No</v>
      </c>
      <c r="F393" t="str">
        <f>Calendar!I393</f>
        <v>Friday</v>
      </c>
      <c r="G393">
        <f>Calendar!S393</f>
        <v>6</v>
      </c>
      <c r="H393">
        <f>Calendar!T393</f>
        <v>6</v>
      </c>
      <c r="I393" s="27">
        <f>IF(VLOOKUP(A393,Calendar!$A$1:$R$1377,18,0)=0,0,IF(VLOOKUP(A393,Calendar!$A$1:$R$1377,18,0)=1,INDEX(Monthly_Pay_Model!$A$9:$D$40,MATCH(TEXT(A393,"dd"),Monthly_Pay_Model!$C$9:$C$39,0),4),IF(VLOOKUP(A393,Calendar!$A$1:$R$1377,18,0)=2,SUM(INDEX(Monthly_Pay_Model!$A$9:$D$40,MATCH(TEXT(A393,"dd"),Monthly_Pay_Model!$C$9:$C$39,0),4),INDEX(Monthly_Pay_Model!$A$9:$D$40,MATCH(TEXT(A394,"dd"),Monthly_Pay_Model!$C$9:$C$39,0),4)),IF(VLOOKUP(A393,Calendar!$A$1:$R$1377,18,0)=3,SUM(INDEX(Monthly_Pay_Model!$A$9:$D$40,MATCH(TEXT(A393,"dd"),Monthly_Pay_Model!$C$9:$C$39,0),4),INDEX(Monthly_Pay_Model!$A$9:$D$40,MATCH(TEXT(A394,"dd"),Monthly_Pay_Model!$C$9:$C$39,0),4),INDEX(Monthly_Pay_Model!$A$9:$D$40,MATCH(TEXT(A395,"dd"),Monthly_Pay_Model!$C$9:$C$39,0),4)),IF(VLOOKUP(A393,Calendar!$A$1:$R$1377,18,0)=4,SUM(INDEX(Monthly_Pay_Model!$A$9:$D$40,MATCH(TEXT(A393,"dd"),Monthly_Pay_Model!$C$9:$C$39,0),4),INDEX(Monthly_Pay_Model!$A$9:$D$40,MATCH(TEXT(A394,"dd"),Monthly_Pay_Model!$C$9:$C$39,0),4),INDEX(Monthly_Pay_Model!$A$9:$D$40,MATCH(TEXT(A395,"dd"),Monthly_Pay_Model!$C$9:$C$39,0),4),INDEX(Monthly_Pay_Model!$A$9:$D$40,MATCH(TEXT(A396,"dd"),Monthly_Pay_Model!$C$9:$C$39,0),4)),IF(VLOOKUP(A393,Calendar!$A$1:$R$1377,18,0)=5,SUM(INDEX(Monthly_Pay_Model!$A$9:$D$40,MATCH(TEXT(A393,"dd"),Monthly_Pay_Model!$C$9:$C$39,0),4),INDEX(Monthly_Pay_Model!$A$9:$D$40,MATCH(TEXT(A394,"dd"),Monthly_Pay_Model!$C$9:$C$39,0),4),INDEX(Monthly_Pay_Model!$A$9:$D$40,MATCH(TEXT(A395,"dd"),Monthly_Pay_Model!$C$9:$C$39,0),4),INDEX(Monthly_Pay_Model!$A$9:$D$40,MATCH(TEXT(A396,"dd"),Monthly_Pay_Model!$C$9:$C$39,0),4),INDEX(Monthly_Pay_Model!$A$9:$D$40,MATCH(TEXT(A397,"dd"),Monthly_Pay_Model!$C$9:$C$39,0),4)),))))))</f>
        <v>3.9815706806282714E-2</v>
      </c>
      <c r="J393" s="33">
        <f>IF(C393="Yes",Monthly_Pay_Model!$D$2,0)
+IF(Calendar!N393="Yes",Monthly_Pay_Model!$D$3,0)
+IF(D393="Yes",Monthly_Pay_Model!$D$4,0)
+IF(E393="Yes",Monthly_Pay_Model!$D$5,0)</f>
        <v>0.1552</v>
      </c>
      <c r="K393" s="27">
        <f>IF(VLOOKUP($A393,Calendar!$A$1:$R$1377,18,0)=0,0,IF(VLOOKUP($A393,Calendar!$A$1:$R$1377,18,0)=1,IFERROR(INDEX(Weekly_Model!$D$2:$D$9,MATCH(F393,Weekly_Model!$A$2:$A$9,0)),0),IF(VLOOKUP($A393,Calendar!$A$1:$R$1377,18,0)=2,SUM(IFERROR(INDEX(Weekly_Model!$D$2:$D$9,MATCH(F393,Weekly_Model!$A$2:$A$9,0)),0),IFERROR(INDEX(Weekly_Model!$D$2:$D$9,MATCH(F394,Weekly_Model!$A$2:$A$9,0)),0)),IF(VLOOKUP($A393,Calendar!$A$1:$R$1377,18,0)=3,SUM(IFERROR(INDEX(Weekly_Model!$D$2:$D$9,MATCH(F393,Weekly_Model!$A$2:$A$9,0)),0),IFERROR(INDEX(Weekly_Model!$D$2:$D$9,MATCH(F394,Weekly_Model!$A$2:$A$9,0)),0),IFERROR(INDEX(Weekly_Model!$D$2:$D$9,MATCH(F395,Weekly_Model!$A$2:$A$9,0)),0)),IF(VLOOKUP($A393,Calendar!$A$1:$R$1377,18,0)=4,SUM(IFERROR(INDEX(Weekly_Model!$D$2:$D$9,MATCH(F393,Weekly_Model!$A$2:$A$9,0)),0),IFERROR(INDEX(Weekly_Model!$D$2:$D$9,MATCH(F394,Weekly_Model!$A$2:$A$9,0)),0),IFERROR(INDEX(Weekly_Model!$D$2:$D$9,MATCH(F395,Weekly_Model!$A$2:$A$9,0)),0),IFERROR(INDEX(Weekly_Model!$D$2:$D$9,MATCH(F396,Weekly_Model!$A$2:$A$9,0)),0)),IF(VLOOKUP($A393,Calendar!$A$1:$R$1377,18,0)=5,SUM(IFERROR(INDEX(Weekly_Model!$D$2:$D$9,MATCH(F393,Weekly_Model!$A$2:$A$9,0)),0),IFERROR(INDEX(Weekly_Model!$D$2:$D$9,MATCH(F394,Weekly_Model!$A$2:$A$9,0)),0),IFERROR(INDEX(Weekly_Model!$D$2:$D$9,MATCH(F395,Weekly_Model!$A$2:$A$9,0)),0),IFERROR(INDEX(Weekly_Model!$D$2:$D$9,MATCH(F396,Weekly_Model!$A$2:$A$9,0)),0),IFERROR(INDEX(Weekly_Model!$D$2:$D$9,MATCH(F397,Weekly_Model!$A$2:$A$9,0)),0)),0))))))</f>
        <v>4.6400000000000004E-2</v>
      </c>
      <c r="L393" s="27">
        <f>IF(VLOOKUP($A393,Calendar!$A$1:$R$1377,18,0)=0,0,IF(VLOOKUP($A393,Calendar!$A$1:$R$1377,18,0)=1,IFERROR(INDEX(Fortnightly_Model!$D$2:$D$15,MATCH(G393,Fortnightly_Model!$B$2:$B$15,0)),0),IF(VLOOKUP($A393,Calendar!$A$1:$R$1377,18,0)=2,SUM(IFERROR(INDEX(Fortnightly_Model!$D$2:$D$15,MATCH(G393,Fortnightly_Model!$B$2:$B$15,0)),0),IFERROR(INDEX(Fortnightly_Model!$D$2:$D$15,MATCH(G394,Fortnightly_Model!$B$2:$B$15,0)),0)),IF(VLOOKUP($A393,Calendar!$A$1:$R$1377,18,0)=3,SUM(IFERROR(INDEX(Fortnightly_Model!$D$2:$D$15,MATCH(G393,Fortnightly_Model!$B$2:$B$15,0)),0),IFERROR(INDEX(Fortnightly_Model!$D$2:$D$15,MATCH(G394,Fortnightly_Model!$B$2:$B$15,0)),0),IFERROR(INDEX(Fortnightly_Model!$D$2:$D$15,MATCH(G395,Fortnightly_Model!$B$2:$B$15,0)),0)),IF(VLOOKUP($A393,Calendar!$A$1:$R$1377,18,0)=4,SUM(IFERROR(INDEX(Fortnightly_Model!$D$2:$D$15,MATCH(G393,Fortnightly_Model!$B$2:$B$15,0)),0),IFERROR(INDEX(Fortnightly_Model!$D$2:$D$15,MATCH(G394,Fortnightly_Model!$B$2:$B$15,0)),0),IFERROR(INDEX(Fortnightly_Model!$D$2:$D$15,MATCH(G395,Fortnightly_Model!$B$2:$B$15,0)),0),IFERROR(INDEX(Fortnightly_Model!$D$2:$D$15,MATCH(G396,Fortnightly_Model!$B$2:$B$15,0)),0)),IF(VLOOKUP($A393,Calendar!$A$1:$R$1377,18,0)=5,SUM(IFERROR(INDEX(Fortnightly_Model!$D$2:$D$15,MATCH(G393,Fortnightly_Model!$B$2:$B$15,0)),0),IFERROR(INDEX(Fortnightly_Model!$D$2:$D$15,MATCH(G394,Fortnightly_Model!$B$2:$B$15,0)),0),IFERROR(INDEX(Fortnightly_Model!$D$2:$D$15,MATCH(G395,Fortnightly_Model!$B$2:$B$15,0)),0),IFERROR(INDEX(Fortnightly_Model!$D$2:$D$15,MATCH(G396,Fortnightly_Model!$B$2:$B$15,0)),0),IFERROR(INDEX(Fortnightly_Model!$D$2:$D$15,MATCH(G397,Fortnightly_Model!$B$2:$B$15,0)),0)),0))))))</f>
        <v>4.2857141999999996E-3</v>
      </c>
      <c r="M393" s="27">
        <f>IF(VLOOKUP($A393,Calendar!$A$1:$R$1377,18,0)=0,0,IF(VLOOKUP($A393,Calendar!$A$1:$R$1377,18,0)=1,IFERROR(INDEX(FourWeekly_Model!$D$2:$D$29,MATCH(H393,FourWeekly_Model!$B$2:$B$29,0)),0),IF(VLOOKUP($A393,Calendar!$A$1:$R$1377,18,0)=2,SUM(IFERROR(INDEX(FourWeekly_Model!$D$2:$D$29,MATCH(H393,FourWeekly_Model!$B$2:$B$29,0)),0),IFERROR(INDEX(FourWeekly_Model!$D$2:$D$29,MATCH(H394,FourWeekly_Model!$B$2:$B$29,0)),0)),IF(VLOOKUP($A393,Calendar!$A$1:$R$1377,18,0)=3,SUM(IFERROR(INDEX(FourWeekly_Model!$D$2:$D$29,MATCH(H393,FourWeekly_Model!$B$2:$B$29,0)),0),IFERROR(INDEX(FourWeekly_Model!$D$2:$D$29,MATCH(H394,FourWeekly_Model!$B$2:$B$29,0)),0),IFERROR(INDEX(FourWeekly_Model!$D$2:$D$29,MATCH(H395,FourWeekly_Model!$B$2:$B$29,0)),0)),IF(VLOOKUP($A393,Calendar!$A$1:$R$1377,18,0)=4,SUM(IFERROR(INDEX(FourWeekly_Model!$D$2:$D$29,MATCH(H393,FourWeekly_Model!$B$2:$B$29,0)),0),IFERROR(INDEX(FourWeekly_Model!$D$2:$D$29,MATCH(H394,FourWeekly_Model!$B$2:$B$29,0)),0),IFERROR(INDEX(FourWeekly_Model!$D$2:$D$29,MATCH(H395,FourWeekly_Model!$B$2:$B$29,0)),0),IFERROR(INDEX(FourWeekly_Model!$D$2:$D$29,MATCH(H396,FourWeekly_Model!$B$2:$B$29,0)),0)),IF(VLOOKUP($A393,Calendar!$A$1:$R$1377,18,0)=5,SUM(IFERROR(INDEX(FourWeekly_Model!$D$2:$D$29,MATCH(H393,FourWeekly_Model!$B$2:$B$29,0)),0),IFERROR(INDEX(FourWeekly_Model!$D$2:$D$29,MATCH(H394,FourWeekly_Model!$B$2:$B$29,0)),0),IFERROR(INDEX(FourWeekly_Model!$D$2:$D$29,MATCH(H395,FourWeekly_Model!$B$2:$B$29,0)),0),IFERROR(INDEX(FourWeekly_Model!$D$2:$D$29,MATCH(H396,FourWeekly_Model!$B$2:$B$29,0)),0),IFERROR(INDEX(FourWeekly_Model!$D$2:$D$29,MATCH(H397,FourWeekly_Model!$B$2:$B$29,0)),0)),0))))))</f>
        <v>1.3285714950000001E-2</v>
      </c>
      <c r="N393" s="27">
        <f>SUM(I393:M393)</f>
        <v>0.25898713595628275</v>
      </c>
      <c r="O393" s="28">
        <f>Population_Data!$B$8*N393</f>
        <v>7847310.2194753671</v>
      </c>
      <c r="P393" s="27">
        <f>IF(VLOOKUP($A393,Calendar!$A$1:$R$1377,18,0)=0,0,IF(VLOOKUP($A393,Calendar!$A$1:$R$1377,18,0)=1,IFERROR(INDEX(Pension_Model!$D$2:$D$29,MATCH(H393,Pension_Model!$B$2:$B$29,0)),0),IF(VLOOKUP($A393,Calendar!$A$1:$R$1377,18,0)=2,SUM(IFERROR(INDEX(Pension_Model!$D$2:$D$29,MATCH(H393,Pension_Model!$B$2:$B$29,0)),0),IFERROR(INDEX(Pension_Model!$D$2:$D$29,MATCH(H394,Pension_Model!$B$2:$B$29,0)),0)),IF(VLOOKUP($A393,Calendar!$A$1:$R$1377,18,0)=3,SUM(IFERROR(INDEX(Pension_Model!$D$2:$D$29,MATCH(H393,Pension_Model!$B$2:$B$29,0)),0),IFERROR(INDEX(Pension_Model!$D$2:$D$29,MATCH(H394,Pension_Model!$B$2:$B$29,0)),0),IFERROR(INDEX(Pension_Model!$D$2:$D$29,MATCH(H395,Pension_Model!$B$2:$B$29,0)),0)),IF(VLOOKUP($A393,Calendar!$A$1:$R$1377,18,0)=4,SUM(IFERROR(INDEX(Pension_Model!$D$2:$D$29,MATCH(H393,Pension_Model!$B$2:$B$29,0)),0),IFERROR(INDEX(Pension_Model!$D$2:$D$29,MATCH(H394,Pension_Model!$B$2:$B$29,0)),0),IFERROR(INDEX(Pension_Model!$D$2:$D$29,MATCH(H395,Pension_Model!$B$2:$B$29,0)),0),IFERROR(INDEX(Pension_Model!$D$2:$D$29,MATCH(H396,Pension_Model!$B$2:$B$29,0)),0)),IF(VLOOKUP($A393,Calendar!$A$1:$R$1377,18,0)=5,SUM(IFERROR(INDEX(Pension_Model!$D$2:$D$29,MATCH(H393,Pension_Model!$B$2:$B$29,0)),0),IFERROR(INDEX(Pension_Model!$D$2:$D$29,MATCH(H394,Pension_Model!$B$2:$B$29,0)),0),IFERROR(INDEX(Pension_Model!$D$2:$D$29,MATCH(H395,Pension_Model!$B$2:$B$29,0)),0),IFERROR(INDEX(Pension_Model!$D$2:$D$29,MATCH(H396,Pension_Model!$B$2:$B$29,0)),0),IFERROR(INDEX(Pension_Model!$D$2:$D$29,MATCH(H397,Pension_Model!$B$2:$B$29,0)),0)),0))))))</f>
        <v>0.1</v>
      </c>
      <c r="Q393" s="28">
        <f>Population_Data!$B$15*P393</f>
        <v>1321200</v>
      </c>
      <c r="S393">
        <f t="shared" si="6"/>
        <v>9168510.2194753662</v>
      </c>
      <c r="U393" s="33">
        <f>S393/Population_Data!$B$19</f>
        <v>0.16609619962817693</v>
      </c>
    </row>
    <row r="394" spans="1:21">
      <c r="A394" s="25">
        <f>Calendar!A394</f>
        <v>46627</v>
      </c>
      <c r="B394" t="str">
        <f>Calendar!L394</f>
        <v>No</v>
      </c>
      <c r="C394" t="str">
        <f>Calendar!O394</f>
        <v>No</v>
      </c>
      <c r="D394" t="str">
        <f>Calendar!P394</f>
        <v>No</v>
      </c>
      <c r="E394" t="str">
        <f>Calendar!Q394</f>
        <v>No</v>
      </c>
      <c r="F394" t="str">
        <f>Calendar!I394</f>
        <v>Saturday</v>
      </c>
      <c r="G394">
        <f>Calendar!S394</f>
        <v>7</v>
      </c>
      <c r="H394">
        <f>Calendar!T394</f>
        <v>7</v>
      </c>
      <c r="I394" s="27">
        <f>IF(VLOOKUP(A394,Calendar!$A$1:$R$1377,18,0)=0,0,IF(VLOOKUP(A394,Calendar!$A$1:$R$1377,18,0)=1,INDEX(Monthly_Pay_Model!$A$9:$D$40,MATCH(TEXT(A394,"dd"),Monthly_Pay_Model!$C$9:$C$39,0),4),IF(VLOOKUP(A394,Calendar!$A$1:$R$1377,18,0)=2,SUM(INDEX(Monthly_Pay_Model!$A$9:$D$40,MATCH(TEXT(A394,"dd"),Monthly_Pay_Model!$C$9:$C$39,0),4),INDEX(Monthly_Pay_Model!$A$9:$D$40,MATCH(TEXT(A395,"dd"),Monthly_Pay_Model!$C$9:$C$39,0),4)),IF(VLOOKUP(A394,Calendar!$A$1:$R$1377,18,0)=3,SUM(INDEX(Monthly_Pay_Model!$A$9:$D$40,MATCH(TEXT(A394,"dd"),Monthly_Pay_Model!$C$9:$C$39,0),4),INDEX(Monthly_Pay_Model!$A$9:$D$40,MATCH(TEXT(A395,"dd"),Monthly_Pay_Model!$C$9:$C$39,0),4),INDEX(Monthly_Pay_Model!$A$9:$D$40,MATCH(TEXT(A396,"dd"),Monthly_Pay_Model!$C$9:$C$39,0),4)),IF(VLOOKUP(A394,Calendar!$A$1:$R$1377,18,0)=4,SUM(INDEX(Monthly_Pay_Model!$A$9:$D$40,MATCH(TEXT(A394,"dd"),Monthly_Pay_Model!$C$9:$C$39,0),4),INDEX(Monthly_Pay_Model!$A$9:$D$40,MATCH(TEXT(A395,"dd"),Monthly_Pay_Model!$C$9:$C$39,0),4),INDEX(Monthly_Pay_Model!$A$9:$D$40,MATCH(TEXT(A396,"dd"),Monthly_Pay_Model!$C$9:$C$39,0),4),INDEX(Monthly_Pay_Model!$A$9:$D$40,MATCH(TEXT(A397,"dd"),Monthly_Pay_Model!$C$9:$C$39,0),4)),IF(VLOOKUP(A394,Calendar!$A$1:$R$1377,18,0)=5,SUM(INDEX(Monthly_Pay_Model!$A$9:$D$40,MATCH(TEXT(A394,"dd"),Monthly_Pay_Model!$C$9:$C$39,0),4),INDEX(Monthly_Pay_Model!$A$9:$D$40,MATCH(TEXT(A395,"dd"),Monthly_Pay_Model!$C$9:$C$39,0),4),INDEX(Monthly_Pay_Model!$A$9:$D$40,MATCH(TEXT(A396,"dd"),Monthly_Pay_Model!$C$9:$C$39,0),4),INDEX(Monthly_Pay_Model!$A$9:$D$40,MATCH(TEXT(A397,"dd"),Monthly_Pay_Model!$C$9:$C$39,0),4),INDEX(Monthly_Pay_Model!$A$9:$D$40,MATCH(TEXT(A398,"dd"),Monthly_Pay_Model!$C$9:$C$39,0),4)),))))))</f>
        <v>0</v>
      </c>
      <c r="J394" s="33">
        <f>IF(C394="Yes",Monthly_Pay_Model!$D$2,0)
+IF(Calendar!N394="Yes",Monthly_Pay_Model!$D$3,0)
+IF(D394="Yes",Monthly_Pay_Model!$D$4,0)
+IF(E394="Yes",Monthly_Pay_Model!$D$5,0)</f>
        <v>0</v>
      </c>
      <c r="K394" s="27">
        <f>IF(VLOOKUP($A394,Calendar!$A$1:$R$1377,18,0)=0,0,IF(VLOOKUP($A394,Calendar!$A$1:$R$1377,18,0)=1,IFERROR(INDEX(Weekly_Model!$D$2:$D$9,MATCH(F394,Weekly_Model!$A$2:$A$9,0)),0),IF(VLOOKUP($A394,Calendar!$A$1:$R$1377,18,0)=2,SUM(IFERROR(INDEX(Weekly_Model!$D$2:$D$9,MATCH(F394,Weekly_Model!$A$2:$A$9,0)),0),IFERROR(INDEX(Weekly_Model!$D$2:$D$9,MATCH(F395,Weekly_Model!$A$2:$A$9,0)),0)),IF(VLOOKUP($A394,Calendar!$A$1:$R$1377,18,0)=3,SUM(IFERROR(INDEX(Weekly_Model!$D$2:$D$9,MATCH(F394,Weekly_Model!$A$2:$A$9,0)),0),IFERROR(INDEX(Weekly_Model!$D$2:$D$9,MATCH(F395,Weekly_Model!$A$2:$A$9,0)),0),IFERROR(INDEX(Weekly_Model!$D$2:$D$9,MATCH(F396,Weekly_Model!$A$2:$A$9,0)),0)),IF(VLOOKUP($A394,Calendar!$A$1:$R$1377,18,0)=4,SUM(IFERROR(INDEX(Weekly_Model!$D$2:$D$9,MATCH(F394,Weekly_Model!$A$2:$A$9,0)),0),IFERROR(INDEX(Weekly_Model!$D$2:$D$9,MATCH(F395,Weekly_Model!$A$2:$A$9,0)),0),IFERROR(INDEX(Weekly_Model!$D$2:$D$9,MATCH(F396,Weekly_Model!$A$2:$A$9,0)),0),IFERROR(INDEX(Weekly_Model!$D$2:$D$9,MATCH(F397,Weekly_Model!$A$2:$A$9,0)),0)),IF(VLOOKUP($A394,Calendar!$A$1:$R$1377,18,0)=5,SUM(IFERROR(INDEX(Weekly_Model!$D$2:$D$9,MATCH(F394,Weekly_Model!$A$2:$A$9,0)),0),IFERROR(INDEX(Weekly_Model!$D$2:$D$9,MATCH(F395,Weekly_Model!$A$2:$A$9,0)),0),IFERROR(INDEX(Weekly_Model!$D$2:$D$9,MATCH(F396,Weekly_Model!$A$2:$A$9,0)),0),IFERROR(INDEX(Weekly_Model!$D$2:$D$9,MATCH(F397,Weekly_Model!$A$2:$A$9,0)),0),IFERROR(INDEX(Weekly_Model!$D$2:$D$9,MATCH(F398,Weekly_Model!$A$2:$A$9,0)),0)),0))))))</f>
        <v>0</v>
      </c>
      <c r="L394" s="27">
        <f>IF(VLOOKUP($A394,Calendar!$A$1:$R$1377,18,0)=0,0,IF(VLOOKUP($A394,Calendar!$A$1:$R$1377,18,0)=1,IFERROR(INDEX(Fortnightly_Model!$D$2:$D$15,MATCH(G394,Fortnightly_Model!$B$2:$B$15,0)),0),IF(VLOOKUP($A394,Calendar!$A$1:$R$1377,18,0)=2,SUM(IFERROR(INDEX(Fortnightly_Model!$D$2:$D$15,MATCH(G394,Fortnightly_Model!$B$2:$B$15,0)),0),IFERROR(INDEX(Fortnightly_Model!$D$2:$D$15,MATCH(G395,Fortnightly_Model!$B$2:$B$15,0)),0)),IF(VLOOKUP($A394,Calendar!$A$1:$R$1377,18,0)=3,SUM(IFERROR(INDEX(Fortnightly_Model!$D$2:$D$15,MATCH(G394,Fortnightly_Model!$B$2:$B$15,0)),0),IFERROR(INDEX(Fortnightly_Model!$D$2:$D$15,MATCH(G395,Fortnightly_Model!$B$2:$B$15,0)),0),IFERROR(INDEX(Fortnightly_Model!$D$2:$D$15,MATCH(G396,Fortnightly_Model!$B$2:$B$15,0)),0)),IF(VLOOKUP($A394,Calendar!$A$1:$R$1377,18,0)=4,SUM(IFERROR(INDEX(Fortnightly_Model!$D$2:$D$15,MATCH(G394,Fortnightly_Model!$B$2:$B$15,0)),0),IFERROR(INDEX(Fortnightly_Model!$D$2:$D$15,MATCH(G395,Fortnightly_Model!$B$2:$B$15,0)),0),IFERROR(INDEX(Fortnightly_Model!$D$2:$D$15,MATCH(G396,Fortnightly_Model!$B$2:$B$15,0)),0),IFERROR(INDEX(Fortnightly_Model!$D$2:$D$15,MATCH(G397,Fortnightly_Model!$B$2:$B$15,0)),0)),IF(VLOOKUP($A394,Calendar!$A$1:$R$1377,18,0)=5,SUM(IFERROR(INDEX(Fortnightly_Model!$D$2:$D$15,MATCH(G394,Fortnightly_Model!$B$2:$B$15,0)),0),IFERROR(INDEX(Fortnightly_Model!$D$2:$D$15,MATCH(G395,Fortnightly_Model!$B$2:$B$15,0)),0),IFERROR(INDEX(Fortnightly_Model!$D$2:$D$15,MATCH(G396,Fortnightly_Model!$B$2:$B$15,0)),0),IFERROR(INDEX(Fortnightly_Model!$D$2:$D$15,MATCH(G397,Fortnightly_Model!$B$2:$B$15,0)),0),IFERROR(INDEX(Fortnightly_Model!$D$2:$D$15,MATCH(G398,Fortnightly_Model!$B$2:$B$15,0)),0)),0))))))</f>
        <v>0</v>
      </c>
      <c r="M394" s="27">
        <f>IF(VLOOKUP($A394,Calendar!$A$1:$R$1377,18,0)=0,0,IF(VLOOKUP($A394,Calendar!$A$1:$R$1377,18,0)=1,IFERROR(INDEX(FourWeekly_Model!$D$2:$D$29,MATCH(H394,FourWeekly_Model!$B$2:$B$29,0)),0),IF(VLOOKUP($A394,Calendar!$A$1:$R$1377,18,0)=2,SUM(IFERROR(INDEX(FourWeekly_Model!$D$2:$D$29,MATCH(H394,FourWeekly_Model!$B$2:$B$29,0)),0),IFERROR(INDEX(FourWeekly_Model!$D$2:$D$29,MATCH(H395,FourWeekly_Model!$B$2:$B$29,0)),0)),IF(VLOOKUP($A394,Calendar!$A$1:$R$1377,18,0)=3,SUM(IFERROR(INDEX(FourWeekly_Model!$D$2:$D$29,MATCH(H394,FourWeekly_Model!$B$2:$B$29,0)),0),IFERROR(INDEX(FourWeekly_Model!$D$2:$D$29,MATCH(H395,FourWeekly_Model!$B$2:$B$29,0)),0),IFERROR(INDEX(FourWeekly_Model!$D$2:$D$29,MATCH(H396,FourWeekly_Model!$B$2:$B$29,0)),0)),IF(VLOOKUP($A394,Calendar!$A$1:$R$1377,18,0)=4,SUM(IFERROR(INDEX(FourWeekly_Model!$D$2:$D$29,MATCH(H394,FourWeekly_Model!$B$2:$B$29,0)),0),IFERROR(INDEX(FourWeekly_Model!$D$2:$D$29,MATCH(H395,FourWeekly_Model!$B$2:$B$29,0)),0),IFERROR(INDEX(FourWeekly_Model!$D$2:$D$29,MATCH(H396,FourWeekly_Model!$B$2:$B$29,0)),0),IFERROR(INDEX(FourWeekly_Model!$D$2:$D$29,MATCH(H397,FourWeekly_Model!$B$2:$B$29,0)),0)),IF(VLOOKUP($A394,Calendar!$A$1:$R$1377,18,0)=5,SUM(IFERROR(INDEX(FourWeekly_Model!$D$2:$D$29,MATCH(H394,FourWeekly_Model!$B$2:$B$29,0)),0),IFERROR(INDEX(FourWeekly_Model!$D$2:$D$29,MATCH(H395,FourWeekly_Model!$B$2:$B$29,0)),0),IFERROR(INDEX(FourWeekly_Model!$D$2:$D$29,MATCH(H396,FourWeekly_Model!$B$2:$B$29,0)),0),IFERROR(INDEX(FourWeekly_Model!$D$2:$D$29,MATCH(H397,FourWeekly_Model!$B$2:$B$29,0)),0),IFERROR(INDEX(FourWeekly_Model!$D$2:$D$29,MATCH(H398,FourWeekly_Model!$B$2:$B$29,0)),0)),0))))))</f>
        <v>0</v>
      </c>
      <c r="N394" s="27">
        <f>SUM(I394:M394)</f>
        <v>0</v>
      </c>
      <c r="O394" s="28">
        <f>Population_Data!$B$8*N394</f>
        <v>0</v>
      </c>
      <c r="P394" s="27">
        <f>IF(VLOOKUP($A394,Calendar!$A$1:$R$1377,18,0)=0,0,IF(VLOOKUP($A394,Calendar!$A$1:$R$1377,18,0)=1,IFERROR(INDEX(Pension_Model!$D$2:$D$29,MATCH(H394,Pension_Model!$B$2:$B$29,0)),0),IF(VLOOKUP($A394,Calendar!$A$1:$R$1377,18,0)=2,SUM(IFERROR(INDEX(Pension_Model!$D$2:$D$29,MATCH(H394,Pension_Model!$B$2:$B$29,0)),0),IFERROR(INDEX(Pension_Model!$D$2:$D$29,MATCH(H395,Pension_Model!$B$2:$B$29,0)),0)),IF(VLOOKUP($A394,Calendar!$A$1:$R$1377,18,0)=3,SUM(IFERROR(INDEX(Pension_Model!$D$2:$D$29,MATCH(H394,Pension_Model!$B$2:$B$29,0)),0),IFERROR(INDEX(Pension_Model!$D$2:$D$29,MATCH(H395,Pension_Model!$B$2:$B$29,0)),0),IFERROR(INDEX(Pension_Model!$D$2:$D$29,MATCH(H396,Pension_Model!$B$2:$B$29,0)),0)),IF(VLOOKUP($A394,Calendar!$A$1:$R$1377,18,0)=4,SUM(IFERROR(INDEX(Pension_Model!$D$2:$D$29,MATCH(H394,Pension_Model!$B$2:$B$29,0)),0),IFERROR(INDEX(Pension_Model!$D$2:$D$29,MATCH(H395,Pension_Model!$B$2:$B$29,0)),0),IFERROR(INDEX(Pension_Model!$D$2:$D$29,MATCH(H396,Pension_Model!$B$2:$B$29,0)),0),IFERROR(INDEX(Pension_Model!$D$2:$D$29,MATCH(H397,Pension_Model!$B$2:$B$29,0)),0)),IF(VLOOKUP($A394,Calendar!$A$1:$R$1377,18,0)=5,SUM(IFERROR(INDEX(Pension_Model!$D$2:$D$29,MATCH(H394,Pension_Model!$B$2:$B$29,0)),0),IFERROR(INDEX(Pension_Model!$D$2:$D$29,MATCH(H395,Pension_Model!$B$2:$B$29,0)),0),IFERROR(INDEX(Pension_Model!$D$2:$D$29,MATCH(H396,Pension_Model!$B$2:$B$29,0)),0),IFERROR(INDEX(Pension_Model!$D$2:$D$29,MATCH(H397,Pension_Model!$B$2:$B$29,0)),0),IFERROR(INDEX(Pension_Model!$D$2:$D$29,MATCH(H398,Pension_Model!$B$2:$B$29,0)),0)),0))))))</f>
        <v>0</v>
      </c>
      <c r="Q394" s="28">
        <f>Population_Data!$B$15*P394</f>
        <v>0</v>
      </c>
      <c r="S394">
        <f t="shared" si="6"/>
        <v>0</v>
      </c>
      <c r="U394" s="33">
        <f>S394/Population_Data!$B$19</f>
        <v>0</v>
      </c>
    </row>
    <row r="395" spans="1:21">
      <c r="A395" s="25">
        <f>Calendar!A395</f>
        <v>46628</v>
      </c>
      <c r="B395" t="str">
        <f>Calendar!L395</f>
        <v>No</v>
      </c>
      <c r="C395" t="str">
        <f>Calendar!O395</f>
        <v>No</v>
      </c>
      <c r="D395" t="str">
        <f>Calendar!P395</f>
        <v>No</v>
      </c>
      <c r="E395" t="str">
        <f>Calendar!Q395</f>
        <v>No</v>
      </c>
      <c r="F395" t="str">
        <f>Calendar!I395</f>
        <v>Sunday</v>
      </c>
      <c r="G395">
        <f>Calendar!S395</f>
        <v>8</v>
      </c>
      <c r="H395">
        <f>Calendar!T395</f>
        <v>8</v>
      </c>
      <c r="I395" s="27">
        <f>IF(VLOOKUP(A395,Calendar!$A$1:$R$1377,18,0)=0,0,IF(VLOOKUP(A395,Calendar!$A$1:$R$1377,18,0)=1,INDEX(Monthly_Pay_Model!$A$9:$D$40,MATCH(TEXT(A395,"dd"),Monthly_Pay_Model!$C$9:$C$39,0),4),IF(VLOOKUP(A395,Calendar!$A$1:$R$1377,18,0)=2,SUM(INDEX(Monthly_Pay_Model!$A$9:$D$40,MATCH(TEXT(A395,"dd"),Monthly_Pay_Model!$C$9:$C$39,0),4),INDEX(Monthly_Pay_Model!$A$9:$D$40,MATCH(TEXT(A396,"dd"),Monthly_Pay_Model!$C$9:$C$39,0),4)),IF(VLOOKUP(A395,Calendar!$A$1:$R$1377,18,0)=3,SUM(INDEX(Monthly_Pay_Model!$A$9:$D$40,MATCH(TEXT(A395,"dd"),Monthly_Pay_Model!$C$9:$C$39,0),4),INDEX(Monthly_Pay_Model!$A$9:$D$40,MATCH(TEXT(A396,"dd"),Monthly_Pay_Model!$C$9:$C$39,0),4),INDEX(Monthly_Pay_Model!$A$9:$D$40,MATCH(TEXT(A397,"dd"),Monthly_Pay_Model!$C$9:$C$39,0),4)),IF(VLOOKUP(A395,Calendar!$A$1:$R$1377,18,0)=4,SUM(INDEX(Monthly_Pay_Model!$A$9:$D$40,MATCH(TEXT(A395,"dd"),Monthly_Pay_Model!$C$9:$C$39,0),4),INDEX(Monthly_Pay_Model!$A$9:$D$40,MATCH(TEXT(A396,"dd"),Monthly_Pay_Model!$C$9:$C$39,0),4),INDEX(Monthly_Pay_Model!$A$9:$D$40,MATCH(TEXT(A397,"dd"),Monthly_Pay_Model!$C$9:$C$39,0),4),INDEX(Monthly_Pay_Model!$A$9:$D$40,MATCH(TEXT(A398,"dd"),Monthly_Pay_Model!$C$9:$C$39,0),4)),IF(VLOOKUP(A395,Calendar!$A$1:$R$1377,18,0)=5,SUM(INDEX(Monthly_Pay_Model!$A$9:$D$40,MATCH(TEXT(A395,"dd"),Monthly_Pay_Model!$C$9:$C$39,0),4),INDEX(Monthly_Pay_Model!$A$9:$D$40,MATCH(TEXT(A396,"dd"),Monthly_Pay_Model!$C$9:$C$39,0),4),INDEX(Monthly_Pay_Model!$A$9:$D$40,MATCH(TEXT(A397,"dd"),Monthly_Pay_Model!$C$9:$C$39,0),4),INDEX(Monthly_Pay_Model!$A$9:$D$40,MATCH(TEXT(A398,"dd"),Monthly_Pay_Model!$C$9:$C$39,0),4),INDEX(Monthly_Pay_Model!$A$9:$D$40,MATCH(TEXT(A399,"dd"),Monthly_Pay_Model!$C$9:$C$39,0),4)),))))))</f>
        <v>0</v>
      </c>
      <c r="J395" s="33">
        <f>IF(C395="Yes",Monthly_Pay_Model!$D$2,0)
+IF(Calendar!N395="Yes",Monthly_Pay_Model!$D$3,0)
+IF(D395="Yes",Monthly_Pay_Model!$D$4,0)
+IF(E395="Yes",Monthly_Pay_Model!$D$5,0)</f>
        <v>0</v>
      </c>
      <c r="K395" s="27">
        <f>IF(VLOOKUP($A395,Calendar!$A$1:$R$1377,18,0)=0,0,IF(VLOOKUP($A395,Calendar!$A$1:$R$1377,18,0)=1,IFERROR(INDEX(Weekly_Model!$D$2:$D$9,MATCH(F395,Weekly_Model!$A$2:$A$9,0)),0),IF(VLOOKUP($A395,Calendar!$A$1:$R$1377,18,0)=2,SUM(IFERROR(INDEX(Weekly_Model!$D$2:$D$9,MATCH(F395,Weekly_Model!$A$2:$A$9,0)),0),IFERROR(INDEX(Weekly_Model!$D$2:$D$9,MATCH(F396,Weekly_Model!$A$2:$A$9,0)),0)),IF(VLOOKUP($A395,Calendar!$A$1:$R$1377,18,0)=3,SUM(IFERROR(INDEX(Weekly_Model!$D$2:$D$9,MATCH(F395,Weekly_Model!$A$2:$A$9,0)),0),IFERROR(INDEX(Weekly_Model!$D$2:$D$9,MATCH(F396,Weekly_Model!$A$2:$A$9,0)),0),IFERROR(INDEX(Weekly_Model!$D$2:$D$9,MATCH(F397,Weekly_Model!$A$2:$A$9,0)),0)),IF(VLOOKUP($A395,Calendar!$A$1:$R$1377,18,0)=4,SUM(IFERROR(INDEX(Weekly_Model!$D$2:$D$9,MATCH(F395,Weekly_Model!$A$2:$A$9,0)),0),IFERROR(INDEX(Weekly_Model!$D$2:$D$9,MATCH(F396,Weekly_Model!$A$2:$A$9,0)),0),IFERROR(INDEX(Weekly_Model!$D$2:$D$9,MATCH(F397,Weekly_Model!$A$2:$A$9,0)),0),IFERROR(INDEX(Weekly_Model!$D$2:$D$9,MATCH(F398,Weekly_Model!$A$2:$A$9,0)),0)),IF(VLOOKUP($A395,Calendar!$A$1:$R$1377,18,0)=5,SUM(IFERROR(INDEX(Weekly_Model!$D$2:$D$9,MATCH(F395,Weekly_Model!$A$2:$A$9,0)),0),IFERROR(INDEX(Weekly_Model!$D$2:$D$9,MATCH(F396,Weekly_Model!$A$2:$A$9,0)),0),IFERROR(INDEX(Weekly_Model!$D$2:$D$9,MATCH(F397,Weekly_Model!$A$2:$A$9,0)),0),IFERROR(INDEX(Weekly_Model!$D$2:$D$9,MATCH(F398,Weekly_Model!$A$2:$A$9,0)),0),IFERROR(INDEX(Weekly_Model!$D$2:$D$9,MATCH(F399,Weekly_Model!$A$2:$A$9,0)),0)),0))))))</f>
        <v>0</v>
      </c>
      <c r="L395" s="27">
        <f>IF(VLOOKUP($A395,Calendar!$A$1:$R$1377,18,0)=0,0,IF(VLOOKUP($A395,Calendar!$A$1:$R$1377,18,0)=1,IFERROR(INDEX(Fortnightly_Model!$D$2:$D$15,MATCH(G395,Fortnightly_Model!$B$2:$B$15,0)),0),IF(VLOOKUP($A395,Calendar!$A$1:$R$1377,18,0)=2,SUM(IFERROR(INDEX(Fortnightly_Model!$D$2:$D$15,MATCH(G395,Fortnightly_Model!$B$2:$B$15,0)),0),IFERROR(INDEX(Fortnightly_Model!$D$2:$D$15,MATCH(G396,Fortnightly_Model!$B$2:$B$15,0)),0)),IF(VLOOKUP($A395,Calendar!$A$1:$R$1377,18,0)=3,SUM(IFERROR(INDEX(Fortnightly_Model!$D$2:$D$15,MATCH(G395,Fortnightly_Model!$B$2:$B$15,0)),0),IFERROR(INDEX(Fortnightly_Model!$D$2:$D$15,MATCH(G396,Fortnightly_Model!$B$2:$B$15,0)),0),IFERROR(INDEX(Fortnightly_Model!$D$2:$D$15,MATCH(G397,Fortnightly_Model!$B$2:$B$15,0)),0)),IF(VLOOKUP($A395,Calendar!$A$1:$R$1377,18,0)=4,SUM(IFERROR(INDEX(Fortnightly_Model!$D$2:$D$15,MATCH(G395,Fortnightly_Model!$B$2:$B$15,0)),0),IFERROR(INDEX(Fortnightly_Model!$D$2:$D$15,MATCH(G396,Fortnightly_Model!$B$2:$B$15,0)),0),IFERROR(INDEX(Fortnightly_Model!$D$2:$D$15,MATCH(G397,Fortnightly_Model!$B$2:$B$15,0)),0),IFERROR(INDEX(Fortnightly_Model!$D$2:$D$15,MATCH(G398,Fortnightly_Model!$B$2:$B$15,0)),0)),IF(VLOOKUP($A395,Calendar!$A$1:$R$1377,18,0)=5,SUM(IFERROR(INDEX(Fortnightly_Model!$D$2:$D$15,MATCH(G395,Fortnightly_Model!$B$2:$B$15,0)),0),IFERROR(INDEX(Fortnightly_Model!$D$2:$D$15,MATCH(G396,Fortnightly_Model!$B$2:$B$15,0)),0),IFERROR(INDEX(Fortnightly_Model!$D$2:$D$15,MATCH(G397,Fortnightly_Model!$B$2:$B$15,0)),0),IFERROR(INDEX(Fortnightly_Model!$D$2:$D$15,MATCH(G398,Fortnightly_Model!$B$2:$B$15,0)),0),IFERROR(INDEX(Fortnightly_Model!$D$2:$D$15,MATCH(G399,Fortnightly_Model!$B$2:$B$15,0)),0)),0))))))</f>
        <v>0</v>
      </c>
      <c r="M395" s="27">
        <f>IF(VLOOKUP($A395,Calendar!$A$1:$R$1377,18,0)=0,0,IF(VLOOKUP($A395,Calendar!$A$1:$R$1377,18,0)=1,IFERROR(INDEX(FourWeekly_Model!$D$2:$D$29,MATCH(H395,FourWeekly_Model!$B$2:$B$29,0)),0),IF(VLOOKUP($A395,Calendar!$A$1:$R$1377,18,0)=2,SUM(IFERROR(INDEX(FourWeekly_Model!$D$2:$D$29,MATCH(H395,FourWeekly_Model!$B$2:$B$29,0)),0),IFERROR(INDEX(FourWeekly_Model!$D$2:$D$29,MATCH(H396,FourWeekly_Model!$B$2:$B$29,0)),0)),IF(VLOOKUP($A395,Calendar!$A$1:$R$1377,18,0)=3,SUM(IFERROR(INDEX(FourWeekly_Model!$D$2:$D$29,MATCH(H395,FourWeekly_Model!$B$2:$B$29,0)),0),IFERROR(INDEX(FourWeekly_Model!$D$2:$D$29,MATCH(H396,FourWeekly_Model!$B$2:$B$29,0)),0),IFERROR(INDEX(FourWeekly_Model!$D$2:$D$29,MATCH(H397,FourWeekly_Model!$B$2:$B$29,0)),0)),IF(VLOOKUP($A395,Calendar!$A$1:$R$1377,18,0)=4,SUM(IFERROR(INDEX(FourWeekly_Model!$D$2:$D$29,MATCH(H395,FourWeekly_Model!$B$2:$B$29,0)),0),IFERROR(INDEX(FourWeekly_Model!$D$2:$D$29,MATCH(H396,FourWeekly_Model!$B$2:$B$29,0)),0),IFERROR(INDEX(FourWeekly_Model!$D$2:$D$29,MATCH(H397,FourWeekly_Model!$B$2:$B$29,0)),0),IFERROR(INDEX(FourWeekly_Model!$D$2:$D$29,MATCH(H398,FourWeekly_Model!$B$2:$B$29,0)),0)),IF(VLOOKUP($A395,Calendar!$A$1:$R$1377,18,0)=5,SUM(IFERROR(INDEX(FourWeekly_Model!$D$2:$D$29,MATCH(H395,FourWeekly_Model!$B$2:$B$29,0)),0),IFERROR(INDEX(FourWeekly_Model!$D$2:$D$29,MATCH(H396,FourWeekly_Model!$B$2:$B$29,0)),0),IFERROR(INDEX(FourWeekly_Model!$D$2:$D$29,MATCH(H397,FourWeekly_Model!$B$2:$B$29,0)),0),IFERROR(INDEX(FourWeekly_Model!$D$2:$D$29,MATCH(H398,FourWeekly_Model!$B$2:$B$29,0)),0),IFERROR(INDEX(FourWeekly_Model!$D$2:$D$29,MATCH(H399,FourWeekly_Model!$B$2:$B$29,0)),0)),0))))))</f>
        <v>0</v>
      </c>
      <c r="N395" s="27">
        <f>SUM(I395:M395)</f>
        <v>0</v>
      </c>
      <c r="O395" s="28">
        <f>Population_Data!$B$8*N395</f>
        <v>0</v>
      </c>
      <c r="P395" s="27">
        <f>IF(VLOOKUP($A395,Calendar!$A$1:$R$1377,18,0)=0,0,IF(VLOOKUP($A395,Calendar!$A$1:$R$1377,18,0)=1,IFERROR(INDEX(Pension_Model!$D$2:$D$29,MATCH(H395,Pension_Model!$B$2:$B$29,0)),0),IF(VLOOKUP($A395,Calendar!$A$1:$R$1377,18,0)=2,SUM(IFERROR(INDEX(Pension_Model!$D$2:$D$29,MATCH(H395,Pension_Model!$B$2:$B$29,0)),0),IFERROR(INDEX(Pension_Model!$D$2:$D$29,MATCH(H396,Pension_Model!$B$2:$B$29,0)),0)),IF(VLOOKUP($A395,Calendar!$A$1:$R$1377,18,0)=3,SUM(IFERROR(INDEX(Pension_Model!$D$2:$D$29,MATCH(H395,Pension_Model!$B$2:$B$29,0)),0),IFERROR(INDEX(Pension_Model!$D$2:$D$29,MATCH(H396,Pension_Model!$B$2:$B$29,0)),0),IFERROR(INDEX(Pension_Model!$D$2:$D$29,MATCH(H397,Pension_Model!$B$2:$B$29,0)),0)),IF(VLOOKUP($A395,Calendar!$A$1:$R$1377,18,0)=4,SUM(IFERROR(INDEX(Pension_Model!$D$2:$D$29,MATCH(H395,Pension_Model!$B$2:$B$29,0)),0),IFERROR(INDEX(Pension_Model!$D$2:$D$29,MATCH(H396,Pension_Model!$B$2:$B$29,0)),0),IFERROR(INDEX(Pension_Model!$D$2:$D$29,MATCH(H397,Pension_Model!$B$2:$B$29,0)),0),IFERROR(INDEX(Pension_Model!$D$2:$D$29,MATCH(H398,Pension_Model!$B$2:$B$29,0)),0)),IF(VLOOKUP($A395,Calendar!$A$1:$R$1377,18,0)=5,SUM(IFERROR(INDEX(Pension_Model!$D$2:$D$29,MATCH(H395,Pension_Model!$B$2:$B$29,0)),0),IFERROR(INDEX(Pension_Model!$D$2:$D$29,MATCH(H396,Pension_Model!$B$2:$B$29,0)),0),IFERROR(INDEX(Pension_Model!$D$2:$D$29,MATCH(H397,Pension_Model!$B$2:$B$29,0)),0),IFERROR(INDEX(Pension_Model!$D$2:$D$29,MATCH(H398,Pension_Model!$B$2:$B$29,0)),0),IFERROR(INDEX(Pension_Model!$D$2:$D$29,MATCH(H399,Pension_Model!$B$2:$B$29,0)),0)),0))))))</f>
        <v>0</v>
      </c>
      <c r="Q395" s="28">
        <f>Population_Data!$B$15*P395</f>
        <v>0</v>
      </c>
      <c r="S395">
        <f t="shared" si="6"/>
        <v>0</v>
      </c>
      <c r="U395" s="33">
        <f>S395/Population_Data!$B$19</f>
        <v>0</v>
      </c>
    </row>
    <row r="396" spans="1:21">
      <c r="A396" s="25">
        <f>Calendar!A396</f>
        <v>46629</v>
      </c>
      <c r="B396" t="str">
        <f>Calendar!L396</f>
        <v>No</v>
      </c>
      <c r="C396" t="str">
        <f>Calendar!O396</f>
        <v>No</v>
      </c>
      <c r="D396" t="str">
        <f>Calendar!P396</f>
        <v>No</v>
      </c>
      <c r="E396" t="str">
        <f>Calendar!Q396</f>
        <v>No</v>
      </c>
      <c r="F396" t="str">
        <f>Calendar!I396</f>
        <v>Monday</v>
      </c>
      <c r="G396">
        <f>Calendar!S396</f>
        <v>9</v>
      </c>
      <c r="H396">
        <f>Calendar!T396</f>
        <v>9</v>
      </c>
      <c r="I396" s="27">
        <f>IF(VLOOKUP(A396,Calendar!$A$1:$R$1377,18,0)=0,0,IF(VLOOKUP(A396,Calendar!$A$1:$R$1377,18,0)=1,INDEX(Monthly_Pay_Model!$A$9:$D$40,MATCH(TEXT(A396,"dd"),Monthly_Pay_Model!$C$9:$C$39,0),4),IF(VLOOKUP(A396,Calendar!$A$1:$R$1377,18,0)=2,SUM(INDEX(Monthly_Pay_Model!$A$9:$D$40,MATCH(TEXT(A396,"dd"),Monthly_Pay_Model!$C$9:$C$39,0),4),INDEX(Monthly_Pay_Model!$A$9:$D$40,MATCH(TEXT(A397,"dd"),Monthly_Pay_Model!$C$9:$C$39,0),4)),IF(VLOOKUP(A396,Calendar!$A$1:$R$1377,18,0)=3,SUM(INDEX(Monthly_Pay_Model!$A$9:$D$40,MATCH(TEXT(A396,"dd"),Monthly_Pay_Model!$C$9:$C$39,0),4),INDEX(Monthly_Pay_Model!$A$9:$D$40,MATCH(TEXT(A397,"dd"),Monthly_Pay_Model!$C$9:$C$39,0),4),INDEX(Monthly_Pay_Model!$A$9:$D$40,MATCH(TEXT(A398,"dd"),Monthly_Pay_Model!$C$9:$C$39,0),4)),IF(VLOOKUP(A396,Calendar!$A$1:$R$1377,18,0)=4,SUM(INDEX(Monthly_Pay_Model!$A$9:$D$40,MATCH(TEXT(A396,"dd"),Monthly_Pay_Model!$C$9:$C$39,0),4),INDEX(Monthly_Pay_Model!$A$9:$D$40,MATCH(TEXT(A397,"dd"),Monthly_Pay_Model!$C$9:$C$39,0),4),INDEX(Monthly_Pay_Model!$A$9:$D$40,MATCH(TEXT(A398,"dd"),Monthly_Pay_Model!$C$9:$C$39,0),4),INDEX(Monthly_Pay_Model!$A$9:$D$40,MATCH(TEXT(A399,"dd"),Monthly_Pay_Model!$C$9:$C$39,0),4)),IF(VLOOKUP(A396,Calendar!$A$1:$R$1377,18,0)=5,SUM(INDEX(Monthly_Pay_Model!$A$9:$D$40,MATCH(TEXT(A396,"dd"),Monthly_Pay_Model!$C$9:$C$39,0),4),INDEX(Monthly_Pay_Model!$A$9:$D$40,MATCH(TEXT(A397,"dd"),Monthly_Pay_Model!$C$9:$C$39,0),4),INDEX(Monthly_Pay_Model!$A$9:$D$40,MATCH(TEXT(A398,"dd"),Monthly_Pay_Model!$C$9:$C$39,0),4),INDEX(Monthly_Pay_Model!$A$9:$D$40,MATCH(TEXT(A399,"dd"),Monthly_Pay_Model!$C$9:$C$39,0),4),INDEX(Monthly_Pay_Model!$A$9:$D$40,MATCH(TEXT(A400,"dd"),Monthly_Pay_Model!$C$9:$C$39,0),4)),))))))</f>
        <v>0</v>
      </c>
      <c r="J396" s="33">
        <f>IF(C396="Yes",Monthly_Pay_Model!$D$2,0)
+IF(Calendar!N396="Yes",Monthly_Pay_Model!$D$3,0)
+IF(D396="Yes",Monthly_Pay_Model!$D$4,0)
+IF(E396="Yes",Monthly_Pay_Model!$D$5,0)</f>
        <v>0</v>
      </c>
      <c r="K396" s="27">
        <f>IF(VLOOKUP($A396,Calendar!$A$1:$R$1377,18,0)=0,0,IF(VLOOKUP($A396,Calendar!$A$1:$R$1377,18,0)=1,IFERROR(INDEX(Weekly_Model!$D$2:$D$9,MATCH(F396,Weekly_Model!$A$2:$A$9,0)),0),IF(VLOOKUP($A396,Calendar!$A$1:$R$1377,18,0)=2,SUM(IFERROR(INDEX(Weekly_Model!$D$2:$D$9,MATCH(F396,Weekly_Model!$A$2:$A$9,0)),0),IFERROR(INDEX(Weekly_Model!$D$2:$D$9,MATCH(F397,Weekly_Model!$A$2:$A$9,0)),0)),IF(VLOOKUP($A396,Calendar!$A$1:$R$1377,18,0)=3,SUM(IFERROR(INDEX(Weekly_Model!$D$2:$D$9,MATCH(F396,Weekly_Model!$A$2:$A$9,0)),0),IFERROR(INDEX(Weekly_Model!$D$2:$D$9,MATCH(F397,Weekly_Model!$A$2:$A$9,0)),0),IFERROR(INDEX(Weekly_Model!$D$2:$D$9,MATCH(F398,Weekly_Model!$A$2:$A$9,0)),0)),IF(VLOOKUP($A396,Calendar!$A$1:$R$1377,18,0)=4,SUM(IFERROR(INDEX(Weekly_Model!$D$2:$D$9,MATCH(F396,Weekly_Model!$A$2:$A$9,0)),0),IFERROR(INDEX(Weekly_Model!$D$2:$D$9,MATCH(F397,Weekly_Model!$A$2:$A$9,0)),0),IFERROR(INDEX(Weekly_Model!$D$2:$D$9,MATCH(F398,Weekly_Model!$A$2:$A$9,0)),0),IFERROR(INDEX(Weekly_Model!$D$2:$D$9,MATCH(F399,Weekly_Model!$A$2:$A$9,0)),0)),IF(VLOOKUP($A396,Calendar!$A$1:$R$1377,18,0)=5,SUM(IFERROR(INDEX(Weekly_Model!$D$2:$D$9,MATCH(F396,Weekly_Model!$A$2:$A$9,0)),0),IFERROR(INDEX(Weekly_Model!$D$2:$D$9,MATCH(F397,Weekly_Model!$A$2:$A$9,0)),0),IFERROR(INDEX(Weekly_Model!$D$2:$D$9,MATCH(F398,Weekly_Model!$A$2:$A$9,0)),0),IFERROR(INDEX(Weekly_Model!$D$2:$D$9,MATCH(F399,Weekly_Model!$A$2:$A$9,0)),0),IFERROR(INDEX(Weekly_Model!$D$2:$D$9,MATCH(F400,Weekly_Model!$A$2:$A$9,0)),0)),0))))))</f>
        <v>0</v>
      </c>
      <c r="L396" s="27">
        <f>IF(VLOOKUP($A396,Calendar!$A$1:$R$1377,18,0)=0,0,IF(VLOOKUP($A396,Calendar!$A$1:$R$1377,18,0)=1,IFERROR(INDEX(Fortnightly_Model!$D$2:$D$15,MATCH(G396,Fortnightly_Model!$B$2:$B$15,0)),0),IF(VLOOKUP($A396,Calendar!$A$1:$R$1377,18,0)=2,SUM(IFERROR(INDEX(Fortnightly_Model!$D$2:$D$15,MATCH(G396,Fortnightly_Model!$B$2:$B$15,0)),0),IFERROR(INDEX(Fortnightly_Model!$D$2:$D$15,MATCH(G397,Fortnightly_Model!$B$2:$B$15,0)),0)),IF(VLOOKUP($A396,Calendar!$A$1:$R$1377,18,0)=3,SUM(IFERROR(INDEX(Fortnightly_Model!$D$2:$D$15,MATCH(G396,Fortnightly_Model!$B$2:$B$15,0)),0),IFERROR(INDEX(Fortnightly_Model!$D$2:$D$15,MATCH(G397,Fortnightly_Model!$B$2:$B$15,0)),0),IFERROR(INDEX(Fortnightly_Model!$D$2:$D$15,MATCH(G398,Fortnightly_Model!$B$2:$B$15,0)),0)),IF(VLOOKUP($A396,Calendar!$A$1:$R$1377,18,0)=4,SUM(IFERROR(INDEX(Fortnightly_Model!$D$2:$D$15,MATCH(G396,Fortnightly_Model!$B$2:$B$15,0)),0),IFERROR(INDEX(Fortnightly_Model!$D$2:$D$15,MATCH(G397,Fortnightly_Model!$B$2:$B$15,0)),0),IFERROR(INDEX(Fortnightly_Model!$D$2:$D$15,MATCH(G398,Fortnightly_Model!$B$2:$B$15,0)),0),IFERROR(INDEX(Fortnightly_Model!$D$2:$D$15,MATCH(G399,Fortnightly_Model!$B$2:$B$15,0)),0)),IF(VLOOKUP($A396,Calendar!$A$1:$R$1377,18,0)=5,SUM(IFERROR(INDEX(Fortnightly_Model!$D$2:$D$15,MATCH(G396,Fortnightly_Model!$B$2:$B$15,0)),0),IFERROR(INDEX(Fortnightly_Model!$D$2:$D$15,MATCH(G397,Fortnightly_Model!$B$2:$B$15,0)),0),IFERROR(INDEX(Fortnightly_Model!$D$2:$D$15,MATCH(G398,Fortnightly_Model!$B$2:$B$15,0)),0),IFERROR(INDEX(Fortnightly_Model!$D$2:$D$15,MATCH(G399,Fortnightly_Model!$B$2:$B$15,0)),0),IFERROR(INDEX(Fortnightly_Model!$D$2:$D$15,MATCH(G400,Fortnightly_Model!$B$2:$B$15,0)),0)),0))))))</f>
        <v>0</v>
      </c>
      <c r="M396" s="27">
        <f>IF(VLOOKUP($A396,Calendar!$A$1:$R$1377,18,0)=0,0,IF(VLOOKUP($A396,Calendar!$A$1:$R$1377,18,0)=1,IFERROR(INDEX(FourWeekly_Model!$D$2:$D$29,MATCH(H396,FourWeekly_Model!$B$2:$B$29,0)),0),IF(VLOOKUP($A396,Calendar!$A$1:$R$1377,18,0)=2,SUM(IFERROR(INDEX(FourWeekly_Model!$D$2:$D$29,MATCH(H396,FourWeekly_Model!$B$2:$B$29,0)),0),IFERROR(INDEX(FourWeekly_Model!$D$2:$D$29,MATCH(H397,FourWeekly_Model!$B$2:$B$29,0)),0)),IF(VLOOKUP($A396,Calendar!$A$1:$R$1377,18,0)=3,SUM(IFERROR(INDEX(FourWeekly_Model!$D$2:$D$29,MATCH(H396,FourWeekly_Model!$B$2:$B$29,0)),0),IFERROR(INDEX(FourWeekly_Model!$D$2:$D$29,MATCH(H397,FourWeekly_Model!$B$2:$B$29,0)),0),IFERROR(INDEX(FourWeekly_Model!$D$2:$D$29,MATCH(H398,FourWeekly_Model!$B$2:$B$29,0)),0)),IF(VLOOKUP($A396,Calendar!$A$1:$R$1377,18,0)=4,SUM(IFERROR(INDEX(FourWeekly_Model!$D$2:$D$29,MATCH(H396,FourWeekly_Model!$B$2:$B$29,0)),0),IFERROR(INDEX(FourWeekly_Model!$D$2:$D$29,MATCH(H397,FourWeekly_Model!$B$2:$B$29,0)),0),IFERROR(INDEX(FourWeekly_Model!$D$2:$D$29,MATCH(H398,FourWeekly_Model!$B$2:$B$29,0)),0),IFERROR(INDEX(FourWeekly_Model!$D$2:$D$29,MATCH(H399,FourWeekly_Model!$B$2:$B$29,0)),0)),IF(VLOOKUP($A396,Calendar!$A$1:$R$1377,18,0)=5,SUM(IFERROR(INDEX(FourWeekly_Model!$D$2:$D$29,MATCH(H396,FourWeekly_Model!$B$2:$B$29,0)),0),IFERROR(INDEX(FourWeekly_Model!$D$2:$D$29,MATCH(H397,FourWeekly_Model!$B$2:$B$29,0)),0),IFERROR(INDEX(FourWeekly_Model!$D$2:$D$29,MATCH(H398,FourWeekly_Model!$B$2:$B$29,0)),0),IFERROR(INDEX(FourWeekly_Model!$D$2:$D$29,MATCH(H399,FourWeekly_Model!$B$2:$B$29,0)),0),IFERROR(INDEX(FourWeekly_Model!$D$2:$D$29,MATCH(H400,FourWeekly_Model!$B$2:$B$29,0)),0)),0))))))</f>
        <v>0</v>
      </c>
      <c r="N396" s="27">
        <f>SUM(I396:M396)</f>
        <v>0</v>
      </c>
      <c r="O396" s="28">
        <f>Population_Data!$B$8*N396</f>
        <v>0</v>
      </c>
      <c r="P396" s="27">
        <f>IF(VLOOKUP($A396,Calendar!$A$1:$R$1377,18,0)=0,0,IF(VLOOKUP($A396,Calendar!$A$1:$R$1377,18,0)=1,IFERROR(INDEX(Pension_Model!$D$2:$D$29,MATCH(H396,Pension_Model!$B$2:$B$29,0)),0),IF(VLOOKUP($A396,Calendar!$A$1:$R$1377,18,0)=2,SUM(IFERROR(INDEX(Pension_Model!$D$2:$D$29,MATCH(H396,Pension_Model!$B$2:$B$29,0)),0),IFERROR(INDEX(Pension_Model!$D$2:$D$29,MATCH(H397,Pension_Model!$B$2:$B$29,0)),0)),IF(VLOOKUP($A396,Calendar!$A$1:$R$1377,18,0)=3,SUM(IFERROR(INDEX(Pension_Model!$D$2:$D$29,MATCH(H396,Pension_Model!$B$2:$B$29,0)),0),IFERROR(INDEX(Pension_Model!$D$2:$D$29,MATCH(H397,Pension_Model!$B$2:$B$29,0)),0),IFERROR(INDEX(Pension_Model!$D$2:$D$29,MATCH(H398,Pension_Model!$B$2:$B$29,0)),0)),IF(VLOOKUP($A396,Calendar!$A$1:$R$1377,18,0)=4,SUM(IFERROR(INDEX(Pension_Model!$D$2:$D$29,MATCH(H396,Pension_Model!$B$2:$B$29,0)),0),IFERROR(INDEX(Pension_Model!$D$2:$D$29,MATCH(H397,Pension_Model!$B$2:$B$29,0)),0),IFERROR(INDEX(Pension_Model!$D$2:$D$29,MATCH(H398,Pension_Model!$B$2:$B$29,0)),0),IFERROR(INDEX(Pension_Model!$D$2:$D$29,MATCH(H399,Pension_Model!$B$2:$B$29,0)),0)),IF(VLOOKUP($A396,Calendar!$A$1:$R$1377,18,0)=5,SUM(IFERROR(INDEX(Pension_Model!$D$2:$D$29,MATCH(H396,Pension_Model!$B$2:$B$29,0)),0),IFERROR(INDEX(Pension_Model!$D$2:$D$29,MATCH(H397,Pension_Model!$B$2:$B$29,0)),0),IFERROR(INDEX(Pension_Model!$D$2:$D$29,MATCH(H398,Pension_Model!$B$2:$B$29,0)),0),IFERROR(INDEX(Pension_Model!$D$2:$D$29,MATCH(H399,Pension_Model!$B$2:$B$29,0)),0),IFERROR(INDEX(Pension_Model!$D$2:$D$29,MATCH(H400,Pension_Model!$B$2:$B$29,0)),0)),0))))))</f>
        <v>0</v>
      </c>
      <c r="Q396" s="28">
        <f>Population_Data!$B$15*P396</f>
        <v>0</v>
      </c>
      <c r="S396">
        <f t="shared" si="6"/>
        <v>0</v>
      </c>
      <c r="U396" s="33">
        <f>S396/Population_Data!$B$19</f>
        <v>0</v>
      </c>
    </row>
    <row r="397" spans="1:21">
      <c r="A397" s="25">
        <f>Calendar!A397</f>
        <v>46630</v>
      </c>
      <c r="B397" t="str">
        <f>Calendar!L397</f>
        <v>Yes</v>
      </c>
      <c r="C397" t="str">
        <f>Calendar!O397</f>
        <v>Yes</v>
      </c>
      <c r="D397" t="str">
        <f>Calendar!P397</f>
        <v>No</v>
      </c>
      <c r="E397" t="str">
        <f>Calendar!Q397</f>
        <v>No</v>
      </c>
      <c r="F397" t="str">
        <f>Calendar!I397</f>
        <v>Tuesday</v>
      </c>
      <c r="G397">
        <f>Calendar!S397</f>
        <v>10</v>
      </c>
      <c r="H397">
        <f>Calendar!T397</f>
        <v>10</v>
      </c>
      <c r="I397" s="27">
        <f>IF(VLOOKUP(A397,Calendar!$A$1:$R$1377,18,0)=0,0,IF(VLOOKUP(A397,Calendar!$A$1:$R$1377,18,0)=1,INDEX(Monthly_Pay_Model!$A$9:$D$40,MATCH(TEXT(A397,"dd"),Monthly_Pay_Model!$C$9:$C$39,0),4),IF(VLOOKUP(A397,Calendar!$A$1:$R$1377,18,0)=2,SUM(INDEX(Monthly_Pay_Model!$A$9:$D$40,MATCH(TEXT(A397,"dd"),Monthly_Pay_Model!$C$9:$C$39,0),4),INDEX(Monthly_Pay_Model!$A$9:$D$40,MATCH(TEXT(A398,"dd"),Monthly_Pay_Model!$C$9:$C$39,0),4)),IF(VLOOKUP(A397,Calendar!$A$1:$R$1377,18,0)=3,SUM(INDEX(Monthly_Pay_Model!$A$9:$D$40,MATCH(TEXT(A397,"dd"),Monthly_Pay_Model!$C$9:$C$39,0),4),INDEX(Monthly_Pay_Model!$A$9:$D$40,MATCH(TEXT(A398,"dd"),Monthly_Pay_Model!$C$9:$C$39,0),4),INDEX(Monthly_Pay_Model!$A$9:$D$40,MATCH(TEXT(A399,"dd"),Monthly_Pay_Model!$C$9:$C$39,0),4)),IF(VLOOKUP(A397,Calendar!$A$1:$R$1377,18,0)=4,SUM(INDEX(Monthly_Pay_Model!$A$9:$D$40,MATCH(TEXT(A397,"dd"),Monthly_Pay_Model!$C$9:$C$39,0),4),INDEX(Monthly_Pay_Model!$A$9:$D$40,MATCH(TEXT(A398,"dd"),Monthly_Pay_Model!$C$9:$C$39,0),4),INDEX(Monthly_Pay_Model!$A$9:$D$40,MATCH(TEXT(A399,"dd"),Monthly_Pay_Model!$C$9:$C$39,0),4),INDEX(Monthly_Pay_Model!$A$9:$D$40,MATCH(TEXT(A400,"dd"),Monthly_Pay_Model!$C$9:$C$39,0),4)),IF(VLOOKUP(A397,Calendar!$A$1:$R$1377,18,0)=5,SUM(INDEX(Monthly_Pay_Model!$A$9:$D$40,MATCH(TEXT(A397,"dd"),Monthly_Pay_Model!$C$9:$C$39,0),4),INDEX(Monthly_Pay_Model!$A$9:$D$40,MATCH(TEXT(A398,"dd"),Monthly_Pay_Model!$C$9:$C$39,0),4),INDEX(Monthly_Pay_Model!$A$9:$D$40,MATCH(TEXT(A399,"dd"),Monthly_Pay_Model!$C$9:$C$39,0),4),INDEX(Monthly_Pay_Model!$A$9:$D$40,MATCH(TEXT(A400,"dd"),Monthly_Pay_Model!$C$9:$C$39,0),4),INDEX(Monthly_Pay_Model!$A$9:$D$40,MATCH(TEXT(A401,"dd"),Monthly_Pay_Model!$C$9:$C$39,0),4)),))))))</f>
        <v>5.6879581151832457E-3</v>
      </c>
      <c r="J397" s="33">
        <f>IF(C397="Yes",Monthly_Pay_Model!$D$2,0)
+IF(Calendar!N397="Yes",Monthly_Pay_Model!$D$3,0)
+IF(D397="Yes",Monthly_Pay_Model!$D$4,0)
+IF(E397="Yes",Monthly_Pay_Model!$D$5,0)</f>
        <v>0.41127999999999998</v>
      </c>
      <c r="K397" s="27">
        <f>IF(VLOOKUP($A397,Calendar!$A$1:$R$1377,18,0)=0,0,IF(VLOOKUP($A397,Calendar!$A$1:$R$1377,18,0)=1,IFERROR(INDEX(Weekly_Model!$D$2:$D$9,MATCH(F397,Weekly_Model!$A$2:$A$9,0)),0),IF(VLOOKUP($A397,Calendar!$A$1:$R$1377,18,0)=2,SUM(IFERROR(INDEX(Weekly_Model!$D$2:$D$9,MATCH(F397,Weekly_Model!$A$2:$A$9,0)),0),IFERROR(INDEX(Weekly_Model!$D$2:$D$9,MATCH(F398,Weekly_Model!$A$2:$A$9,0)),0)),IF(VLOOKUP($A397,Calendar!$A$1:$R$1377,18,0)=3,SUM(IFERROR(INDEX(Weekly_Model!$D$2:$D$9,MATCH(F397,Weekly_Model!$A$2:$A$9,0)),0),IFERROR(INDEX(Weekly_Model!$D$2:$D$9,MATCH(F398,Weekly_Model!$A$2:$A$9,0)),0),IFERROR(INDEX(Weekly_Model!$D$2:$D$9,MATCH(F399,Weekly_Model!$A$2:$A$9,0)),0)),IF(VLOOKUP($A397,Calendar!$A$1:$R$1377,18,0)=4,SUM(IFERROR(INDEX(Weekly_Model!$D$2:$D$9,MATCH(F397,Weekly_Model!$A$2:$A$9,0)),0),IFERROR(INDEX(Weekly_Model!$D$2:$D$9,MATCH(F398,Weekly_Model!$A$2:$A$9,0)),0),IFERROR(INDEX(Weekly_Model!$D$2:$D$9,MATCH(F399,Weekly_Model!$A$2:$A$9,0)),0),IFERROR(INDEX(Weekly_Model!$D$2:$D$9,MATCH(F400,Weekly_Model!$A$2:$A$9,0)),0)),IF(VLOOKUP($A397,Calendar!$A$1:$R$1377,18,0)=5,SUM(IFERROR(INDEX(Weekly_Model!$D$2:$D$9,MATCH(F397,Weekly_Model!$A$2:$A$9,0)),0),IFERROR(INDEX(Weekly_Model!$D$2:$D$9,MATCH(F398,Weekly_Model!$A$2:$A$9,0)),0),IFERROR(INDEX(Weekly_Model!$D$2:$D$9,MATCH(F399,Weekly_Model!$A$2:$A$9,0)),0),IFERROR(INDEX(Weekly_Model!$D$2:$D$9,MATCH(F400,Weekly_Model!$A$2:$A$9,0)),0),IFERROR(INDEX(Weekly_Model!$D$2:$D$9,MATCH(F401,Weekly_Model!$A$2:$A$9,0)),0)),0))))))</f>
        <v>2.3200000000000002E-2</v>
      </c>
      <c r="L397" s="27">
        <f>IF(VLOOKUP($A397,Calendar!$A$1:$R$1377,18,0)=0,0,IF(VLOOKUP($A397,Calendar!$A$1:$R$1377,18,0)=1,IFERROR(INDEX(Fortnightly_Model!$D$2:$D$15,MATCH(G397,Fortnightly_Model!$B$2:$B$15,0)),0),IF(VLOOKUP($A397,Calendar!$A$1:$R$1377,18,0)=2,SUM(IFERROR(INDEX(Fortnightly_Model!$D$2:$D$15,MATCH(G397,Fortnightly_Model!$B$2:$B$15,0)),0),IFERROR(INDEX(Fortnightly_Model!$D$2:$D$15,MATCH(G398,Fortnightly_Model!$B$2:$B$15,0)),0)),IF(VLOOKUP($A397,Calendar!$A$1:$R$1377,18,0)=3,SUM(IFERROR(INDEX(Fortnightly_Model!$D$2:$D$15,MATCH(G397,Fortnightly_Model!$B$2:$B$15,0)),0),IFERROR(INDEX(Fortnightly_Model!$D$2:$D$15,MATCH(G398,Fortnightly_Model!$B$2:$B$15,0)),0),IFERROR(INDEX(Fortnightly_Model!$D$2:$D$15,MATCH(G399,Fortnightly_Model!$B$2:$B$15,0)),0)),IF(VLOOKUP($A397,Calendar!$A$1:$R$1377,18,0)=4,SUM(IFERROR(INDEX(Fortnightly_Model!$D$2:$D$15,MATCH(G397,Fortnightly_Model!$B$2:$B$15,0)),0),IFERROR(INDEX(Fortnightly_Model!$D$2:$D$15,MATCH(G398,Fortnightly_Model!$B$2:$B$15,0)),0),IFERROR(INDEX(Fortnightly_Model!$D$2:$D$15,MATCH(G399,Fortnightly_Model!$B$2:$B$15,0)),0),IFERROR(INDEX(Fortnightly_Model!$D$2:$D$15,MATCH(G400,Fortnightly_Model!$B$2:$B$15,0)),0)),IF(VLOOKUP($A397,Calendar!$A$1:$R$1377,18,0)=5,SUM(IFERROR(INDEX(Fortnightly_Model!$D$2:$D$15,MATCH(G397,Fortnightly_Model!$B$2:$B$15,0)),0),IFERROR(INDEX(Fortnightly_Model!$D$2:$D$15,MATCH(G398,Fortnightly_Model!$B$2:$B$15,0)),0),IFERROR(INDEX(Fortnightly_Model!$D$2:$D$15,MATCH(G399,Fortnightly_Model!$B$2:$B$15,0)),0),IFERROR(INDEX(Fortnightly_Model!$D$2:$D$15,MATCH(G400,Fortnightly_Model!$B$2:$B$15,0)),0),IFERROR(INDEX(Fortnightly_Model!$D$2:$D$15,MATCH(G401,Fortnightly_Model!$B$2:$B$15,0)),0)),0))))))</f>
        <v>1.0714285499999999E-3</v>
      </c>
      <c r="M397" s="27">
        <f>IF(VLOOKUP($A397,Calendar!$A$1:$R$1377,18,0)=0,0,IF(VLOOKUP($A397,Calendar!$A$1:$R$1377,18,0)=1,IFERROR(INDEX(FourWeekly_Model!$D$2:$D$29,MATCH(H397,FourWeekly_Model!$B$2:$B$29,0)),0),IF(VLOOKUP($A397,Calendar!$A$1:$R$1377,18,0)=2,SUM(IFERROR(INDEX(FourWeekly_Model!$D$2:$D$29,MATCH(H397,FourWeekly_Model!$B$2:$B$29,0)),0),IFERROR(INDEX(FourWeekly_Model!$D$2:$D$29,MATCH(H398,FourWeekly_Model!$B$2:$B$29,0)),0)),IF(VLOOKUP($A397,Calendar!$A$1:$R$1377,18,0)=3,SUM(IFERROR(INDEX(FourWeekly_Model!$D$2:$D$29,MATCH(H397,FourWeekly_Model!$B$2:$B$29,0)),0),IFERROR(INDEX(FourWeekly_Model!$D$2:$D$29,MATCH(H398,FourWeekly_Model!$B$2:$B$29,0)),0),IFERROR(INDEX(FourWeekly_Model!$D$2:$D$29,MATCH(H399,FourWeekly_Model!$B$2:$B$29,0)),0)),IF(VLOOKUP($A397,Calendar!$A$1:$R$1377,18,0)=4,SUM(IFERROR(INDEX(FourWeekly_Model!$D$2:$D$29,MATCH(H397,FourWeekly_Model!$B$2:$B$29,0)),0),IFERROR(INDEX(FourWeekly_Model!$D$2:$D$29,MATCH(H398,FourWeekly_Model!$B$2:$B$29,0)),0),IFERROR(INDEX(FourWeekly_Model!$D$2:$D$29,MATCH(H399,FourWeekly_Model!$B$2:$B$29,0)),0),IFERROR(INDEX(FourWeekly_Model!$D$2:$D$29,MATCH(H400,FourWeekly_Model!$B$2:$B$29,0)),0)),IF(VLOOKUP($A397,Calendar!$A$1:$R$1377,18,0)=5,SUM(IFERROR(INDEX(FourWeekly_Model!$D$2:$D$29,MATCH(H397,FourWeekly_Model!$B$2:$B$29,0)),0),IFERROR(INDEX(FourWeekly_Model!$D$2:$D$29,MATCH(H398,FourWeekly_Model!$B$2:$B$29,0)),0),IFERROR(INDEX(FourWeekly_Model!$D$2:$D$29,MATCH(H399,FourWeekly_Model!$B$2:$B$29,0)),0),IFERROR(INDEX(FourWeekly_Model!$D$2:$D$29,MATCH(H400,FourWeekly_Model!$B$2:$B$29,0)),0),IFERROR(INDEX(FourWeekly_Model!$D$2:$D$29,MATCH(H401,FourWeekly_Model!$B$2:$B$29,0)),0)),0))))))</f>
        <v>3.3214289700000004E-3</v>
      </c>
      <c r="N397" s="27">
        <f>SUM(I397:M397)</f>
        <v>0.44456081563518318</v>
      </c>
      <c r="O397" s="28">
        <f>Population_Data!$B$8*N397</f>
        <v>13470192.71374605</v>
      </c>
      <c r="P397" s="27">
        <f>IF(VLOOKUP($A397,Calendar!$A$1:$R$1377,18,0)=0,0,IF(VLOOKUP($A397,Calendar!$A$1:$R$1377,18,0)=1,IFERROR(INDEX(Pension_Model!$D$2:$D$29,MATCH(H397,Pension_Model!$B$2:$B$29,0)),0),IF(VLOOKUP($A397,Calendar!$A$1:$R$1377,18,0)=2,SUM(IFERROR(INDEX(Pension_Model!$D$2:$D$29,MATCH(H397,Pension_Model!$B$2:$B$29,0)),0),IFERROR(INDEX(Pension_Model!$D$2:$D$29,MATCH(H398,Pension_Model!$B$2:$B$29,0)),0)),IF(VLOOKUP($A397,Calendar!$A$1:$R$1377,18,0)=3,SUM(IFERROR(INDEX(Pension_Model!$D$2:$D$29,MATCH(H397,Pension_Model!$B$2:$B$29,0)),0),IFERROR(INDEX(Pension_Model!$D$2:$D$29,MATCH(H398,Pension_Model!$B$2:$B$29,0)),0),IFERROR(INDEX(Pension_Model!$D$2:$D$29,MATCH(H399,Pension_Model!$B$2:$B$29,0)),0)),IF(VLOOKUP($A397,Calendar!$A$1:$R$1377,18,0)=4,SUM(IFERROR(INDEX(Pension_Model!$D$2:$D$29,MATCH(H397,Pension_Model!$B$2:$B$29,0)),0),IFERROR(INDEX(Pension_Model!$D$2:$D$29,MATCH(H398,Pension_Model!$B$2:$B$29,0)),0),IFERROR(INDEX(Pension_Model!$D$2:$D$29,MATCH(H399,Pension_Model!$B$2:$B$29,0)),0),IFERROR(INDEX(Pension_Model!$D$2:$D$29,MATCH(H400,Pension_Model!$B$2:$B$29,0)),0)),IF(VLOOKUP($A397,Calendar!$A$1:$R$1377,18,0)=5,SUM(IFERROR(INDEX(Pension_Model!$D$2:$D$29,MATCH(H397,Pension_Model!$B$2:$B$29,0)),0),IFERROR(INDEX(Pension_Model!$D$2:$D$29,MATCH(H398,Pension_Model!$B$2:$B$29,0)),0),IFERROR(INDEX(Pension_Model!$D$2:$D$29,MATCH(H399,Pension_Model!$B$2:$B$29,0)),0),IFERROR(INDEX(Pension_Model!$D$2:$D$29,MATCH(H400,Pension_Model!$B$2:$B$29,0)),0),IFERROR(INDEX(Pension_Model!$D$2:$D$29,MATCH(H401,Pension_Model!$B$2:$B$29,0)),0)),0))))))</f>
        <v>0.05</v>
      </c>
      <c r="Q397" s="28">
        <f>Population_Data!$B$15*P397</f>
        <v>660600</v>
      </c>
      <c r="S397">
        <f t="shared" si="6"/>
        <v>14130792.71374605</v>
      </c>
      <c r="U397" s="33">
        <f>S397/Population_Data!$B$19</f>
        <v>0.25599262162583425</v>
      </c>
    </row>
    <row r="398" spans="1:21">
      <c r="A398" s="25">
        <f>Calendar!A398</f>
        <v>46631</v>
      </c>
      <c r="B398" t="str">
        <f>Calendar!L398</f>
        <v>Yes</v>
      </c>
      <c r="C398" t="str">
        <f>Calendar!O398</f>
        <v>No</v>
      </c>
      <c r="D398" t="str">
        <f>Calendar!P398</f>
        <v>No</v>
      </c>
      <c r="E398" t="str">
        <f>Calendar!Q398</f>
        <v>No</v>
      </c>
      <c r="F398" t="str">
        <f>Calendar!I398</f>
        <v>Wednesday</v>
      </c>
      <c r="G398">
        <f>Calendar!S398</f>
        <v>11</v>
      </c>
      <c r="H398">
        <f>Calendar!T398</f>
        <v>11</v>
      </c>
      <c r="I398" s="27">
        <f>IF(VLOOKUP(A398,Calendar!$A$1:$R$1377,18,0)=0,0,IF(VLOOKUP(A398,Calendar!$A$1:$R$1377,18,0)=1,INDEX(Monthly_Pay_Model!$A$9:$D$40,MATCH(TEXT(A398,"dd"),Monthly_Pay_Model!$C$9:$C$39,0),4),IF(VLOOKUP(A398,Calendar!$A$1:$R$1377,18,0)=2,SUM(INDEX(Monthly_Pay_Model!$A$9:$D$40,MATCH(TEXT(A398,"dd"),Monthly_Pay_Model!$C$9:$C$39,0),4),INDEX(Monthly_Pay_Model!$A$9:$D$40,MATCH(TEXT(A399,"dd"),Monthly_Pay_Model!$C$9:$C$39,0),4)),IF(VLOOKUP(A398,Calendar!$A$1:$R$1377,18,0)=3,SUM(INDEX(Monthly_Pay_Model!$A$9:$D$40,MATCH(TEXT(A398,"dd"),Monthly_Pay_Model!$C$9:$C$39,0),4),INDEX(Monthly_Pay_Model!$A$9:$D$40,MATCH(TEXT(A399,"dd"),Monthly_Pay_Model!$C$9:$C$39,0),4),INDEX(Monthly_Pay_Model!$A$9:$D$40,MATCH(TEXT(A400,"dd"),Monthly_Pay_Model!$C$9:$C$39,0),4)),IF(VLOOKUP(A398,Calendar!$A$1:$R$1377,18,0)=4,SUM(INDEX(Monthly_Pay_Model!$A$9:$D$40,MATCH(TEXT(A398,"dd"),Monthly_Pay_Model!$C$9:$C$39,0),4),INDEX(Monthly_Pay_Model!$A$9:$D$40,MATCH(TEXT(A399,"dd"),Monthly_Pay_Model!$C$9:$C$39,0),4),INDEX(Monthly_Pay_Model!$A$9:$D$40,MATCH(TEXT(A400,"dd"),Monthly_Pay_Model!$C$9:$C$39,0),4),INDEX(Monthly_Pay_Model!$A$9:$D$40,MATCH(TEXT(A401,"dd"),Monthly_Pay_Model!$C$9:$C$39,0),4)),IF(VLOOKUP(A398,Calendar!$A$1:$R$1377,18,0)=5,SUM(INDEX(Monthly_Pay_Model!$A$9:$D$40,MATCH(TEXT(A398,"dd"),Monthly_Pay_Model!$C$9:$C$39,0),4),INDEX(Monthly_Pay_Model!$A$9:$D$40,MATCH(TEXT(A399,"dd"),Monthly_Pay_Model!$C$9:$C$39,0),4),INDEX(Monthly_Pay_Model!$A$9:$D$40,MATCH(TEXT(A400,"dd"),Monthly_Pay_Model!$C$9:$C$39,0),4),INDEX(Monthly_Pay_Model!$A$9:$D$40,MATCH(TEXT(A401,"dd"),Monthly_Pay_Model!$C$9:$C$39,0),4),INDEX(Monthly_Pay_Model!$A$9:$D$40,MATCH(TEXT(A402,"dd"),Monthly_Pay_Model!$C$9:$C$39,0),4)),))))))</f>
        <v>4.0628272251308894E-3</v>
      </c>
      <c r="J398" s="33">
        <f>IF(C398="Yes",Monthly_Pay_Model!$D$2,0)
+IF(Calendar!N398="Yes",Monthly_Pay_Model!$D$3,0)
+IF(D398="Yes",Monthly_Pay_Model!$D$4,0)
+IF(E398="Yes",Monthly_Pay_Model!$D$5,0)</f>
        <v>0</v>
      </c>
      <c r="K398" s="27">
        <f>IF(VLOOKUP($A398,Calendar!$A$1:$R$1377,18,0)=0,0,IF(VLOOKUP($A398,Calendar!$A$1:$R$1377,18,0)=1,IFERROR(INDEX(Weekly_Model!$D$2:$D$9,MATCH(F398,Weekly_Model!$A$2:$A$9,0)),0),IF(VLOOKUP($A398,Calendar!$A$1:$R$1377,18,0)=2,SUM(IFERROR(INDEX(Weekly_Model!$D$2:$D$9,MATCH(F398,Weekly_Model!$A$2:$A$9,0)),0),IFERROR(INDEX(Weekly_Model!$D$2:$D$9,MATCH(F399,Weekly_Model!$A$2:$A$9,0)),0)),IF(VLOOKUP($A398,Calendar!$A$1:$R$1377,18,0)=3,SUM(IFERROR(INDEX(Weekly_Model!$D$2:$D$9,MATCH(F398,Weekly_Model!$A$2:$A$9,0)),0),IFERROR(INDEX(Weekly_Model!$D$2:$D$9,MATCH(F399,Weekly_Model!$A$2:$A$9,0)),0),IFERROR(INDEX(Weekly_Model!$D$2:$D$9,MATCH(F400,Weekly_Model!$A$2:$A$9,0)),0)),IF(VLOOKUP($A398,Calendar!$A$1:$R$1377,18,0)=4,SUM(IFERROR(INDEX(Weekly_Model!$D$2:$D$9,MATCH(F398,Weekly_Model!$A$2:$A$9,0)),0),IFERROR(INDEX(Weekly_Model!$D$2:$D$9,MATCH(F399,Weekly_Model!$A$2:$A$9,0)),0),IFERROR(INDEX(Weekly_Model!$D$2:$D$9,MATCH(F400,Weekly_Model!$A$2:$A$9,0)),0),IFERROR(INDEX(Weekly_Model!$D$2:$D$9,MATCH(F401,Weekly_Model!$A$2:$A$9,0)),0)),IF(VLOOKUP($A398,Calendar!$A$1:$R$1377,18,0)=5,SUM(IFERROR(INDEX(Weekly_Model!$D$2:$D$9,MATCH(F398,Weekly_Model!$A$2:$A$9,0)),0),IFERROR(INDEX(Weekly_Model!$D$2:$D$9,MATCH(F399,Weekly_Model!$A$2:$A$9,0)),0),IFERROR(INDEX(Weekly_Model!$D$2:$D$9,MATCH(F400,Weekly_Model!$A$2:$A$9,0)),0),IFERROR(INDEX(Weekly_Model!$D$2:$D$9,MATCH(F401,Weekly_Model!$A$2:$A$9,0)),0),IFERROR(INDEX(Weekly_Model!$D$2:$D$9,MATCH(F402,Weekly_Model!$A$2:$A$9,0)),0)),0))))))</f>
        <v>2.3200000000000002E-2</v>
      </c>
      <c r="L398" s="27">
        <f>IF(VLOOKUP($A398,Calendar!$A$1:$R$1377,18,0)=0,0,IF(VLOOKUP($A398,Calendar!$A$1:$R$1377,18,0)=1,IFERROR(INDEX(Fortnightly_Model!$D$2:$D$15,MATCH(G398,Fortnightly_Model!$B$2:$B$15,0)),0),IF(VLOOKUP($A398,Calendar!$A$1:$R$1377,18,0)=2,SUM(IFERROR(INDEX(Fortnightly_Model!$D$2:$D$15,MATCH(G398,Fortnightly_Model!$B$2:$B$15,0)),0),IFERROR(INDEX(Fortnightly_Model!$D$2:$D$15,MATCH(G399,Fortnightly_Model!$B$2:$B$15,0)),0)),IF(VLOOKUP($A398,Calendar!$A$1:$R$1377,18,0)=3,SUM(IFERROR(INDEX(Fortnightly_Model!$D$2:$D$15,MATCH(G398,Fortnightly_Model!$B$2:$B$15,0)),0),IFERROR(INDEX(Fortnightly_Model!$D$2:$D$15,MATCH(G399,Fortnightly_Model!$B$2:$B$15,0)),0),IFERROR(INDEX(Fortnightly_Model!$D$2:$D$15,MATCH(G400,Fortnightly_Model!$B$2:$B$15,0)),0)),IF(VLOOKUP($A398,Calendar!$A$1:$R$1377,18,0)=4,SUM(IFERROR(INDEX(Fortnightly_Model!$D$2:$D$15,MATCH(G398,Fortnightly_Model!$B$2:$B$15,0)),0),IFERROR(INDEX(Fortnightly_Model!$D$2:$D$15,MATCH(G399,Fortnightly_Model!$B$2:$B$15,0)),0),IFERROR(INDEX(Fortnightly_Model!$D$2:$D$15,MATCH(G400,Fortnightly_Model!$B$2:$B$15,0)),0),IFERROR(INDEX(Fortnightly_Model!$D$2:$D$15,MATCH(G401,Fortnightly_Model!$B$2:$B$15,0)),0)),IF(VLOOKUP($A398,Calendar!$A$1:$R$1377,18,0)=5,SUM(IFERROR(INDEX(Fortnightly_Model!$D$2:$D$15,MATCH(G398,Fortnightly_Model!$B$2:$B$15,0)),0),IFERROR(INDEX(Fortnightly_Model!$D$2:$D$15,MATCH(G399,Fortnightly_Model!$B$2:$B$15,0)),0),IFERROR(INDEX(Fortnightly_Model!$D$2:$D$15,MATCH(G400,Fortnightly_Model!$B$2:$B$15,0)),0),IFERROR(INDEX(Fortnightly_Model!$D$2:$D$15,MATCH(G401,Fortnightly_Model!$B$2:$B$15,0)),0),IFERROR(INDEX(Fortnightly_Model!$D$2:$D$15,MATCH(G402,Fortnightly_Model!$B$2:$B$15,0)),0)),0))))))</f>
        <v>1.0714285499999999E-3</v>
      </c>
      <c r="M398" s="27">
        <f>IF(VLOOKUP($A398,Calendar!$A$1:$R$1377,18,0)=0,0,IF(VLOOKUP($A398,Calendar!$A$1:$R$1377,18,0)=1,IFERROR(INDEX(FourWeekly_Model!$D$2:$D$29,MATCH(H398,FourWeekly_Model!$B$2:$B$29,0)),0),IF(VLOOKUP($A398,Calendar!$A$1:$R$1377,18,0)=2,SUM(IFERROR(INDEX(FourWeekly_Model!$D$2:$D$29,MATCH(H398,FourWeekly_Model!$B$2:$B$29,0)),0),IFERROR(INDEX(FourWeekly_Model!$D$2:$D$29,MATCH(H399,FourWeekly_Model!$B$2:$B$29,0)),0)),IF(VLOOKUP($A398,Calendar!$A$1:$R$1377,18,0)=3,SUM(IFERROR(INDEX(FourWeekly_Model!$D$2:$D$29,MATCH(H398,FourWeekly_Model!$B$2:$B$29,0)),0),IFERROR(INDEX(FourWeekly_Model!$D$2:$D$29,MATCH(H399,FourWeekly_Model!$B$2:$B$29,0)),0),IFERROR(INDEX(FourWeekly_Model!$D$2:$D$29,MATCH(H400,FourWeekly_Model!$B$2:$B$29,0)),0)),IF(VLOOKUP($A398,Calendar!$A$1:$R$1377,18,0)=4,SUM(IFERROR(INDEX(FourWeekly_Model!$D$2:$D$29,MATCH(H398,FourWeekly_Model!$B$2:$B$29,0)),0),IFERROR(INDEX(FourWeekly_Model!$D$2:$D$29,MATCH(H399,FourWeekly_Model!$B$2:$B$29,0)),0),IFERROR(INDEX(FourWeekly_Model!$D$2:$D$29,MATCH(H400,FourWeekly_Model!$B$2:$B$29,0)),0),IFERROR(INDEX(FourWeekly_Model!$D$2:$D$29,MATCH(H401,FourWeekly_Model!$B$2:$B$29,0)),0)),IF(VLOOKUP($A398,Calendar!$A$1:$R$1377,18,0)=5,SUM(IFERROR(INDEX(FourWeekly_Model!$D$2:$D$29,MATCH(H398,FourWeekly_Model!$B$2:$B$29,0)),0),IFERROR(INDEX(FourWeekly_Model!$D$2:$D$29,MATCH(H399,FourWeekly_Model!$B$2:$B$29,0)),0),IFERROR(INDEX(FourWeekly_Model!$D$2:$D$29,MATCH(H400,FourWeekly_Model!$B$2:$B$29,0)),0),IFERROR(INDEX(FourWeekly_Model!$D$2:$D$29,MATCH(H401,FourWeekly_Model!$B$2:$B$29,0)),0),IFERROR(INDEX(FourWeekly_Model!$D$2:$D$29,MATCH(H402,FourWeekly_Model!$B$2:$B$29,0)),0)),0))))))</f>
        <v>3.3214289700000004E-3</v>
      </c>
      <c r="N398" s="27">
        <f>SUM(I398:M398)</f>
        <v>3.1655684745130891E-2</v>
      </c>
      <c r="O398" s="28">
        <f>Population_Data!$B$8*N398</f>
        <v>959167.24777746596</v>
      </c>
      <c r="P398" s="27">
        <f>IF(VLOOKUP($A398,Calendar!$A$1:$R$1377,18,0)=0,0,IF(VLOOKUP($A398,Calendar!$A$1:$R$1377,18,0)=1,IFERROR(INDEX(Pension_Model!$D$2:$D$29,MATCH(H398,Pension_Model!$B$2:$B$29,0)),0),IF(VLOOKUP($A398,Calendar!$A$1:$R$1377,18,0)=2,SUM(IFERROR(INDEX(Pension_Model!$D$2:$D$29,MATCH(H398,Pension_Model!$B$2:$B$29,0)),0),IFERROR(INDEX(Pension_Model!$D$2:$D$29,MATCH(H399,Pension_Model!$B$2:$B$29,0)),0)),IF(VLOOKUP($A398,Calendar!$A$1:$R$1377,18,0)=3,SUM(IFERROR(INDEX(Pension_Model!$D$2:$D$29,MATCH(H398,Pension_Model!$B$2:$B$29,0)),0),IFERROR(INDEX(Pension_Model!$D$2:$D$29,MATCH(H399,Pension_Model!$B$2:$B$29,0)),0),IFERROR(INDEX(Pension_Model!$D$2:$D$29,MATCH(H400,Pension_Model!$B$2:$B$29,0)),0)),IF(VLOOKUP($A398,Calendar!$A$1:$R$1377,18,0)=4,SUM(IFERROR(INDEX(Pension_Model!$D$2:$D$29,MATCH(H398,Pension_Model!$B$2:$B$29,0)),0),IFERROR(INDEX(Pension_Model!$D$2:$D$29,MATCH(H399,Pension_Model!$B$2:$B$29,0)),0),IFERROR(INDEX(Pension_Model!$D$2:$D$29,MATCH(H400,Pension_Model!$B$2:$B$29,0)),0),IFERROR(INDEX(Pension_Model!$D$2:$D$29,MATCH(H401,Pension_Model!$B$2:$B$29,0)),0)),IF(VLOOKUP($A398,Calendar!$A$1:$R$1377,18,0)=5,SUM(IFERROR(INDEX(Pension_Model!$D$2:$D$29,MATCH(H398,Pension_Model!$B$2:$B$29,0)),0),IFERROR(INDEX(Pension_Model!$D$2:$D$29,MATCH(H399,Pension_Model!$B$2:$B$29,0)),0),IFERROR(INDEX(Pension_Model!$D$2:$D$29,MATCH(H400,Pension_Model!$B$2:$B$29,0)),0),IFERROR(INDEX(Pension_Model!$D$2:$D$29,MATCH(H401,Pension_Model!$B$2:$B$29,0)),0),IFERROR(INDEX(Pension_Model!$D$2:$D$29,MATCH(H402,Pension_Model!$B$2:$B$29,0)),0)),0))))))</f>
        <v>0.05</v>
      </c>
      <c r="Q398" s="28">
        <f>Population_Data!$B$15*P398</f>
        <v>660600</v>
      </c>
      <c r="S398">
        <f t="shared" si="6"/>
        <v>1619767.247777466</v>
      </c>
      <c r="U398" s="33">
        <f>S398/Population_Data!$B$19</f>
        <v>2.9343609561185979E-2</v>
      </c>
    </row>
    <row r="399" spans="1:21">
      <c r="A399" s="25">
        <f>Calendar!A399</f>
        <v>46632</v>
      </c>
      <c r="B399" t="str">
        <f>Calendar!L399</f>
        <v>Yes</v>
      </c>
      <c r="C399" t="str">
        <f>Calendar!O399</f>
        <v>No</v>
      </c>
      <c r="D399" t="str">
        <f>Calendar!P399</f>
        <v>No</v>
      </c>
      <c r="E399" t="str">
        <f>Calendar!Q399</f>
        <v>No</v>
      </c>
      <c r="F399" t="str">
        <f>Calendar!I399</f>
        <v>Thursday</v>
      </c>
      <c r="G399">
        <f>Calendar!S399</f>
        <v>12</v>
      </c>
      <c r="H399">
        <f>Calendar!T399</f>
        <v>12</v>
      </c>
      <c r="I399" s="27">
        <f>IF(VLOOKUP(A399,Calendar!$A$1:$R$1377,18,0)=0,0,IF(VLOOKUP(A399,Calendar!$A$1:$R$1377,18,0)=1,INDEX(Monthly_Pay_Model!$A$9:$D$40,MATCH(TEXT(A399,"dd"),Monthly_Pay_Model!$C$9:$C$39,0),4),IF(VLOOKUP(A399,Calendar!$A$1:$R$1377,18,0)=2,SUM(INDEX(Monthly_Pay_Model!$A$9:$D$40,MATCH(TEXT(A399,"dd"),Monthly_Pay_Model!$C$9:$C$39,0),4),INDEX(Monthly_Pay_Model!$A$9:$D$40,MATCH(TEXT(A400,"dd"),Monthly_Pay_Model!$C$9:$C$39,0),4)),IF(VLOOKUP(A399,Calendar!$A$1:$R$1377,18,0)=3,SUM(INDEX(Monthly_Pay_Model!$A$9:$D$40,MATCH(TEXT(A399,"dd"),Monthly_Pay_Model!$C$9:$C$39,0),4),INDEX(Monthly_Pay_Model!$A$9:$D$40,MATCH(TEXT(A400,"dd"),Monthly_Pay_Model!$C$9:$C$39,0),4),INDEX(Monthly_Pay_Model!$A$9:$D$40,MATCH(TEXT(A401,"dd"),Monthly_Pay_Model!$C$9:$C$39,0),4)),IF(VLOOKUP(A399,Calendar!$A$1:$R$1377,18,0)=4,SUM(INDEX(Monthly_Pay_Model!$A$9:$D$40,MATCH(TEXT(A399,"dd"),Monthly_Pay_Model!$C$9:$C$39,0),4),INDEX(Monthly_Pay_Model!$A$9:$D$40,MATCH(TEXT(A400,"dd"),Monthly_Pay_Model!$C$9:$C$39,0),4),INDEX(Monthly_Pay_Model!$A$9:$D$40,MATCH(TEXT(A401,"dd"),Monthly_Pay_Model!$C$9:$C$39,0),4),INDEX(Monthly_Pay_Model!$A$9:$D$40,MATCH(TEXT(A402,"dd"),Monthly_Pay_Model!$C$9:$C$39,0),4)),IF(VLOOKUP(A399,Calendar!$A$1:$R$1377,18,0)=5,SUM(INDEX(Monthly_Pay_Model!$A$9:$D$40,MATCH(TEXT(A399,"dd"),Monthly_Pay_Model!$C$9:$C$39,0),4),INDEX(Monthly_Pay_Model!$A$9:$D$40,MATCH(TEXT(A400,"dd"),Monthly_Pay_Model!$C$9:$C$39,0),4),INDEX(Monthly_Pay_Model!$A$9:$D$40,MATCH(TEXT(A401,"dd"),Monthly_Pay_Model!$C$9:$C$39,0),4),INDEX(Monthly_Pay_Model!$A$9:$D$40,MATCH(TEXT(A402,"dd"),Monthly_Pay_Model!$C$9:$C$39,0),4),INDEX(Monthly_Pay_Model!$A$9:$D$40,MATCH(TEXT(A403,"dd"),Monthly_Pay_Model!$C$9:$C$39,0),4)),))))))</f>
        <v>8.1256544502617792E-4</v>
      </c>
      <c r="J399" s="33">
        <f>IF(C399="Yes",Monthly_Pay_Model!$D$2,0)
+IF(Calendar!N399="Yes",Monthly_Pay_Model!$D$3,0)
+IF(D399="Yes",Monthly_Pay_Model!$D$4,0)
+IF(E399="Yes",Monthly_Pay_Model!$D$5,0)</f>
        <v>0</v>
      </c>
      <c r="K399" s="27">
        <f>IF(VLOOKUP($A399,Calendar!$A$1:$R$1377,18,0)=0,0,IF(VLOOKUP($A399,Calendar!$A$1:$R$1377,18,0)=1,IFERROR(INDEX(Weekly_Model!$D$2:$D$9,MATCH(F399,Weekly_Model!$A$2:$A$9,0)),0),IF(VLOOKUP($A399,Calendar!$A$1:$R$1377,18,0)=2,SUM(IFERROR(INDEX(Weekly_Model!$D$2:$D$9,MATCH(F399,Weekly_Model!$A$2:$A$9,0)),0),IFERROR(INDEX(Weekly_Model!$D$2:$D$9,MATCH(F400,Weekly_Model!$A$2:$A$9,0)),0)),IF(VLOOKUP($A399,Calendar!$A$1:$R$1377,18,0)=3,SUM(IFERROR(INDEX(Weekly_Model!$D$2:$D$9,MATCH(F399,Weekly_Model!$A$2:$A$9,0)),0),IFERROR(INDEX(Weekly_Model!$D$2:$D$9,MATCH(F400,Weekly_Model!$A$2:$A$9,0)),0),IFERROR(INDEX(Weekly_Model!$D$2:$D$9,MATCH(F401,Weekly_Model!$A$2:$A$9,0)),0)),IF(VLOOKUP($A399,Calendar!$A$1:$R$1377,18,0)=4,SUM(IFERROR(INDEX(Weekly_Model!$D$2:$D$9,MATCH(F399,Weekly_Model!$A$2:$A$9,0)),0),IFERROR(INDEX(Weekly_Model!$D$2:$D$9,MATCH(F400,Weekly_Model!$A$2:$A$9,0)),0),IFERROR(INDEX(Weekly_Model!$D$2:$D$9,MATCH(F401,Weekly_Model!$A$2:$A$9,0)),0),IFERROR(INDEX(Weekly_Model!$D$2:$D$9,MATCH(F402,Weekly_Model!$A$2:$A$9,0)),0)),IF(VLOOKUP($A399,Calendar!$A$1:$R$1377,18,0)=5,SUM(IFERROR(INDEX(Weekly_Model!$D$2:$D$9,MATCH(F399,Weekly_Model!$A$2:$A$9,0)),0),IFERROR(INDEX(Weekly_Model!$D$2:$D$9,MATCH(F400,Weekly_Model!$A$2:$A$9,0)),0),IFERROR(INDEX(Weekly_Model!$D$2:$D$9,MATCH(F401,Weekly_Model!$A$2:$A$9,0)),0),IFERROR(INDEX(Weekly_Model!$D$2:$D$9,MATCH(F402,Weekly_Model!$A$2:$A$9,0)),0),IFERROR(INDEX(Weekly_Model!$D$2:$D$9,MATCH(F403,Weekly_Model!$A$2:$A$9,0)),0)),0))))))</f>
        <v>2.3200000000000002E-2</v>
      </c>
      <c r="L399" s="27">
        <f>IF(VLOOKUP($A399,Calendar!$A$1:$R$1377,18,0)=0,0,IF(VLOOKUP($A399,Calendar!$A$1:$R$1377,18,0)=1,IFERROR(INDEX(Fortnightly_Model!$D$2:$D$15,MATCH(G399,Fortnightly_Model!$B$2:$B$15,0)),0),IF(VLOOKUP($A399,Calendar!$A$1:$R$1377,18,0)=2,SUM(IFERROR(INDEX(Fortnightly_Model!$D$2:$D$15,MATCH(G399,Fortnightly_Model!$B$2:$B$15,0)),0),IFERROR(INDEX(Fortnightly_Model!$D$2:$D$15,MATCH(G400,Fortnightly_Model!$B$2:$B$15,0)),0)),IF(VLOOKUP($A399,Calendar!$A$1:$R$1377,18,0)=3,SUM(IFERROR(INDEX(Fortnightly_Model!$D$2:$D$15,MATCH(G399,Fortnightly_Model!$B$2:$B$15,0)),0),IFERROR(INDEX(Fortnightly_Model!$D$2:$D$15,MATCH(G400,Fortnightly_Model!$B$2:$B$15,0)),0),IFERROR(INDEX(Fortnightly_Model!$D$2:$D$15,MATCH(G401,Fortnightly_Model!$B$2:$B$15,0)),0)),IF(VLOOKUP($A399,Calendar!$A$1:$R$1377,18,0)=4,SUM(IFERROR(INDEX(Fortnightly_Model!$D$2:$D$15,MATCH(G399,Fortnightly_Model!$B$2:$B$15,0)),0),IFERROR(INDEX(Fortnightly_Model!$D$2:$D$15,MATCH(G400,Fortnightly_Model!$B$2:$B$15,0)),0),IFERROR(INDEX(Fortnightly_Model!$D$2:$D$15,MATCH(G401,Fortnightly_Model!$B$2:$B$15,0)),0),IFERROR(INDEX(Fortnightly_Model!$D$2:$D$15,MATCH(G402,Fortnightly_Model!$B$2:$B$15,0)),0)),IF(VLOOKUP($A399,Calendar!$A$1:$R$1377,18,0)=5,SUM(IFERROR(INDEX(Fortnightly_Model!$D$2:$D$15,MATCH(G399,Fortnightly_Model!$B$2:$B$15,0)),0),IFERROR(INDEX(Fortnightly_Model!$D$2:$D$15,MATCH(G400,Fortnightly_Model!$B$2:$B$15,0)),0),IFERROR(INDEX(Fortnightly_Model!$D$2:$D$15,MATCH(G401,Fortnightly_Model!$B$2:$B$15,0)),0),IFERROR(INDEX(Fortnightly_Model!$D$2:$D$15,MATCH(G402,Fortnightly_Model!$B$2:$B$15,0)),0),IFERROR(INDEX(Fortnightly_Model!$D$2:$D$15,MATCH(G403,Fortnightly_Model!$B$2:$B$15,0)),0)),0))))))</f>
        <v>1.0714285499999999E-3</v>
      </c>
      <c r="M399" s="27">
        <f>IF(VLOOKUP($A399,Calendar!$A$1:$R$1377,18,0)=0,0,IF(VLOOKUP($A399,Calendar!$A$1:$R$1377,18,0)=1,IFERROR(INDEX(FourWeekly_Model!$D$2:$D$29,MATCH(H399,FourWeekly_Model!$B$2:$B$29,0)),0),IF(VLOOKUP($A399,Calendar!$A$1:$R$1377,18,0)=2,SUM(IFERROR(INDEX(FourWeekly_Model!$D$2:$D$29,MATCH(H399,FourWeekly_Model!$B$2:$B$29,0)),0),IFERROR(INDEX(FourWeekly_Model!$D$2:$D$29,MATCH(H400,FourWeekly_Model!$B$2:$B$29,0)),0)),IF(VLOOKUP($A399,Calendar!$A$1:$R$1377,18,0)=3,SUM(IFERROR(INDEX(FourWeekly_Model!$D$2:$D$29,MATCH(H399,FourWeekly_Model!$B$2:$B$29,0)),0),IFERROR(INDEX(FourWeekly_Model!$D$2:$D$29,MATCH(H400,FourWeekly_Model!$B$2:$B$29,0)),0),IFERROR(INDEX(FourWeekly_Model!$D$2:$D$29,MATCH(H401,FourWeekly_Model!$B$2:$B$29,0)),0)),IF(VLOOKUP($A399,Calendar!$A$1:$R$1377,18,0)=4,SUM(IFERROR(INDEX(FourWeekly_Model!$D$2:$D$29,MATCH(H399,FourWeekly_Model!$B$2:$B$29,0)),0),IFERROR(INDEX(FourWeekly_Model!$D$2:$D$29,MATCH(H400,FourWeekly_Model!$B$2:$B$29,0)),0),IFERROR(INDEX(FourWeekly_Model!$D$2:$D$29,MATCH(H401,FourWeekly_Model!$B$2:$B$29,0)),0),IFERROR(INDEX(FourWeekly_Model!$D$2:$D$29,MATCH(H402,FourWeekly_Model!$B$2:$B$29,0)),0)),IF(VLOOKUP($A399,Calendar!$A$1:$R$1377,18,0)=5,SUM(IFERROR(INDEX(FourWeekly_Model!$D$2:$D$29,MATCH(H399,FourWeekly_Model!$B$2:$B$29,0)),0),IFERROR(INDEX(FourWeekly_Model!$D$2:$D$29,MATCH(H400,FourWeekly_Model!$B$2:$B$29,0)),0),IFERROR(INDEX(FourWeekly_Model!$D$2:$D$29,MATCH(H401,FourWeekly_Model!$B$2:$B$29,0)),0),IFERROR(INDEX(FourWeekly_Model!$D$2:$D$29,MATCH(H402,FourWeekly_Model!$B$2:$B$29,0)),0),IFERROR(INDEX(FourWeekly_Model!$D$2:$D$29,MATCH(H403,FourWeekly_Model!$B$2:$B$29,0)),0)),0))))))</f>
        <v>3.3214289700000004E-3</v>
      </c>
      <c r="N399" s="27">
        <f>SUM(I399:M399)</f>
        <v>2.840542296502618E-2</v>
      </c>
      <c r="O399" s="28">
        <f>Population_Data!$B$8*N399</f>
        <v>860684.3158402933</v>
      </c>
      <c r="P399" s="27">
        <f>IF(VLOOKUP($A399,Calendar!$A$1:$R$1377,18,0)=0,0,IF(VLOOKUP($A399,Calendar!$A$1:$R$1377,18,0)=1,IFERROR(INDEX(Pension_Model!$D$2:$D$29,MATCH(H399,Pension_Model!$B$2:$B$29,0)),0),IF(VLOOKUP($A399,Calendar!$A$1:$R$1377,18,0)=2,SUM(IFERROR(INDEX(Pension_Model!$D$2:$D$29,MATCH(H399,Pension_Model!$B$2:$B$29,0)),0),IFERROR(INDEX(Pension_Model!$D$2:$D$29,MATCH(H400,Pension_Model!$B$2:$B$29,0)),0)),IF(VLOOKUP($A399,Calendar!$A$1:$R$1377,18,0)=3,SUM(IFERROR(INDEX(Pension_Model!$D$2:$D$29,MATCH(H399,Pension_Model!$B$2:$B$29,0)),0),IFERROR(INDEX(Pension_Model!$D$2:$D$29,MATCH(H400,Pension_Model!$B$2:$B$29,0)),0),IFERROR(INDEX(Pension_Model!$D$2:$D$29,MATCH(H401,Pension_Model!$B$2:$B$29,0)),0)),IF(VLOOKUP($A399,Calendar!$A$1:$R$1377,18,0)=4,SUM(IFERROR(INDEX(Pension_Model!$D$2:$D$29,MATCH(H399,Pension_Model!$B$2:$B$29,0)),0),IFERROR(INDEX(Pension_Model!$D$2:$D$29,MATCH(H400,Pension_Model!$B$2:$B$29,0)),0),IFERROR(INDEX(Pension_Model!$D$2:$D$29,MATCH(H401,Pension_Model!$B$2:$B$29,0)),0),IFERROR(INDEX(Pension_Model!$D$2:$D$29,MATCH(H402,Pension_Model!$B$2:$B$29,0)),0)),IF(VLOOKUP($A399,Calendar!$A$1:$R$1377,18,0)=5,SUM(IFERROR(INDEX(Pension_Model!$D$2:$D$29,MATCH(H399,Pension_Model!$B$2:$B$29,0)),0),IFERROR(INDEX(Pension_Model!$D$2:$D$29,MATCH(H400,Pension_Model!$B$2:$B$29,0)),0),IFERROR(INDEX(Pension_Model!$D$2:$D$29,MATCH(H401,Pension_Model!$B$2:$B$29,0)),0),IFERROR(INDEX(Pension_Model!$D$2:$D$29,MATCH(H402,Pension_Model!$B$2:$B$29,0)),0),IFERROR(INDEX(Pension_Model!$D$2:$D$29,MATCH(H403,Pension_Model!$B$2:$B$29,0)),0)),0))))))</f>
        <v>0.05</v>
      </c>
      <c r="Q399" s="28">
        <f>Population_Data!$B$15*P399</f>
        <v>660600</v>
      </c>
      <c r="S399">
        <f t="shared" si="6"/>
        <v>1521284.3158402932</v>
      </c>
      <c r="U399" s="33">
        <f>S399/Population_Data!$B$19</f>
        <v>2.7559498475367629E-2</v>
      </c>
    </row>
    <row r="400" spans="1:21">
      <c r="A400" s="25">
        <f>Calendar!A400</f>
        <v>46633</v>
      </c>
      <c r="B400" t="str">
        <f>Calendar!L400</f>
        <v>Yes</v>
      </c>
      <c r="C400" t="str">
        <f>Calendar!O400</f>
        <v>No</v>
      </c>
      <c r="D400" t="str">
        <f>Calendar!P400</f>
        <v>No</v>
      </c>
      <c r="E400" t="str">
        <f>Calendar!Q400</f>
        <v>No</v>
      </c>
      <c r="F400" t="str">
        <f>Calendar!I400</f>
        <v>Friday</v>
      </c>
      <c r="G400">
        <f>Calendar!S400</f>
        <v>13</v>
      </c>
      <c r="H400">
        <f>Calendar!T400</f>
        <v>13</v>
      </c>
      <c r="I400" s="27">
        <f>IF(VLOOKUP(A400,Calendar!$A$1:$R$1377,18,0)=0,0,IF(VLOOKUP(A400,Calendar!$A$1:$R$1377,18,0)=1,INDEX(Monthly_Pay_Model!$A$9:$D$40,MATCH(TEXT(A400,"dd"),Monthly_Pay_Model!$C$9:$C$39,0),4),IF(VLOOKUP(A400,Calendar!$A$1:$R$1377,18,0)=2,SUM(INDEX(Monthly_Pay_Model!$A$9:$D$40,MATCH(TEXT(A400,"dd"),Monthly_Pay_Model!$C$9:$C$39,0),4),INDEX(Monthly_Pay_Model!$A$9:$D$40,MATCH(TEXT(A401,"dd"),Monthly_Pay_Model!$C$9:$C$39,0),4)),IF(VLOOKUP(A400,Calendar!$A$1:$R$1377,18,0)=3,SUM(INDEX(Monthly_Pay_Model!$A$9:$D$40,MATCH(TEXT(A400,"dd"),Monthly_Pay_Model!$C$9:$C$39,0),4),INDEX(Monthly_Pay_Model!$A$9:$D$40,MATCH(TEXT(A401,"dd"),Monthly_Pay_Model!$C$9:$C$39,0),4),INDEX(Monthly_Pay_Model!$A$9:$D$40,MATCH(TEXT(A402,"dd"),Monthly_Pay_Model!$C$9:$C$39,0),4)),IF(VLOOKUP(A400,Calendar!$A$1:$R$1377,18,0)=4,SUM(INDEX(Monthly_Pay_Model!$A$9:$D$40,MATCH(TEXT(A400,"dd"),Monthly_Pay_Model!$C$9:$C$39,0),4),INDEX(Monthly_Pay_Model!$A$9:$D$40,MATCH(TEXT(A401,"dd"),Monthly_Pay_Model!$C$9:$C$39,0),4),INDEX(Monthly_Pay_Model!$A$9:$D$40,MATCH(TEXT(A402,"dd"),Monthly_Pay_Model!$C$9:$C$39,0),4),INDEX(Monthly_Pay_Model!$A$9:$D$40,MATCH(TEXT(A403,"dd"),Monthly_Pay_Model!$C$9:$C$39,0),4)),IF(VLOOKUP(A400,Calendar!$A$1:$R$1377,18,0)=5,SUM(INDEX(Monthly_Pay_Model!$A$9:$D$40,MATCH(TEXT(A400,"dd"),Monthly_Pay_Model!$C$9:$C$39,0),4),INDEX(Monthly_Pay_Model!$A$9:$D$40,MATCH(TEXT(A401,"dd"),Monthly_Pay_Model!$C$9:$C$39,0),4),INDEX(Monthly_Pay_Model!$A$9:$D$40,MATCH(TEXT(A402,"dd"),Monthly_Pay_Model!$C$9:$C$39,0),4),INDEX(Monthly_Pay_Model!$A$9:$D$40,MATCH(TEXT(A403,"dd"),Monthly_Pay_Model!$C$9:$C$39,0),4),INDEX(Monthly_Pay_Model!$A$9:$D$40,MATCH(TEXT(A404,"dd"),Monthly_Pay_Model!$C$9:$C$39,0),4)),))))))</f>
        <v>8.9382198952879556E-3</v>
      </c>
      <c r="J400" s="33">
        <f>IF(C400="Yes",Monthly_Pay_Model!$D$2,0)
+IF(Calendar!N400="Yes",Monthly_Pay_Model!$D$3,0)
+IF(D400="Yes",Monthly_Pay_Model!$D$4,0)
+IF(E400="Yes",Monthly_Pay_Model!$D$5,0)</f>
        <v>0</v>
      </c>
      <c r="K400" s="27">
        <f>IF(VLOOKUP($A400,Calendar!$A$1:$R$1377,18,0)=0,0,IF(VLOOKUP($A400,Calendar!$A$1:$R$1377,18,0)=1,IFERROR(INDEX(Weekly_Model!$D$2:$D$9,MATCH(F400,Weekly_Model!$A$2:$A$9,0)),0),IF(VLOOKUP($A400,Calendar!$A$1:$R$1377,18,0)=2,SUM(IFERROR(INDEX(Weekly_Model!$D$2:$D$9,MATCH(F400,Weekly_Model!$A$2:$A$9,0)),0),IFERROR(INDEX(Weekly_Model!$D$2:$D$9,MATCH(F401,Weekly_Model!$A$2:$A$9,0)),0)),IF(VLOOKUP($A400,Calendar!$A$1:$R$1377,18,0)=3,SUM(IFERROR(INDEX(Weekly_Model!$D$2:$D$9,MATCH(F400,Weekly_Model!$A$2:$A$9,0)),0),IFERROR(INDEX(Weekly_Model!$D$2:$D$9,MATCH(F401,Weekly_Model!$A$2:$A$9,0)),0),IFERROR(INDEX(Weekly_Model!$D$2:$D$9,MATCH(F402,Weekly_Model!$A$2:$A$9,0)),0)),IF(VLOOKUP($A400,Calendar!$A$1:$R$1377,18,0)=4,SUM(IFERROR(INDEX(Weekly_Model!$D$2:$D$9,MATCH(F400,Weekly_Model!$A$2:$A$9,0)),0),IFERROR(INDEX(Weekly_Model!$D$2:$D$9,MATCH(F401,Weekly_Model!$A$2:$A$9,0)),0),IFERROR(INDEX(Weekly_Model!$D$2:$D$9,MATCH(F402,Weekly_Model!$A$2:$A$9,0)),0),IFERROR(INDEX(Weekly_Model!$D$2:$D$9,MATCH(F403,Weekly_Model!$A$2:$A$9,0)),0)),IF(VLOOKUP($A400,Calendar!$A$1:$R$1377,18,0)=5,SUM(IFERROR(INDEX(Weekly_Model!$D$2:$D$9,MATCH(F400,Weekly_Model!$A$2:$A$9,0)),0),IFERROR(INDEX(Weekly_Model!$D$2:$D$9,MATCH(F401,Weekly_Model!$A$2:$A$9,0)),0),IFERROR(INDEX(Weekly_Model!$D$2:$D$9,MATCH(F402,Weekly_Model!$A$2:$A$9,0)),0),IFERROR(INDEX(Weekly_Model!$D$2:$D$9,MATCH(F403,Weekly_Model!$A$2:$A$9,0)),0),IFERROR(INDEX(Weekly_Model!$D$2:$D$9,MATCH(F404,Weekly_Model!$A$2:$A$9,0)),0)),0))))))</f>
        <v>2.3200000000000002E-2</v>
      </c>
      <c r="L400" s="27">
        <f>IF(VLOOKUP($A400,Calendar!$A$1:$R$1377,18,0)=0,0,IF(VLOOKUP($A400,Calendar!$A$1:$R$1377,18,0)=1,IFERROR(INDEX(Fortnightly_Model!$D$2:$D$15,MATCH(G400,Fortnightly_Model!$B$2:$B$15,0)),0),IF(VLOOKUP($A400,Calendar!$A$1:$R$1377,18,0)=2,SUM(IFERROR(INDEX(Fortnightly_Model!$D$2:$D$15,MATCH(G400,Fortnightly_Model!$B$2:$B$15,0)),0),IFERROR(INDEX(Fortnightly_Model!$D$2:$D$15,MATCH(G401,Fortnightly_Model!$B$2:$B$15,0)),0)),IF(VLOOKUP($A400,Calendar!$A$1:$R$1377,18,0)=3,SUM(IFERROR(INDEX(Fortnightly_Model!$D$2:$D$15,MATCH(G400,Fortnightly_Model!$B$2:$B$15,0)),0),IFERROR(INDEX(Fortnightly_Model!$D$2:$D$15,MATCH(G401,Fortnightly_Model!$B$2:$B$15,0)),0),IFERROR(INDEX(Fortnightly_Model!$D$2:$D$15,MATCH(G402,Fortnightly_Model!$B$2:$B$15,0)),0)),IF(VLOOKUP($A400,Calendar!$A$1:$R$1377,18,0)=4,SUM(IFERROR(INDEX(Fortnightly_Model!$D$2:$D$15,MATCH(G400,Fortnightly_Model!$B$2:$B$15,0)),0),IFERROR(INDEX(Fortnightly_Model!$D$2:$D$15,MATCH(G401,Fortnightly_Model!$B$2:$B$15,0)),0),IFERROR(INDEX(Fortnightly_Model!$D$2:$D$15,MATCH(G402,Fortnightly_Model!$B$2:$B$15,0)),0),IFERROR(INDEX(Fortnightly_Model!$D$2:$D$15,MATCH(G403,Fortnightly_Model!$B$2:$B$15,0)),0)),IF(VLOOKUP($A400,Calendar!$A$1:$R$1377,18,0)=5,SUM(IFERROR(INDEX(Fortnightly_Model!$D$2:$D$15,MATCH(G400,Fortnightly_Model!$B$2:$B$15,0)),0),IFERROR(INDEX(Fortnightly_Model!$D$2:$D$15,MATCH(G401,Fortnightly_Model!$B$2:$B$15,0)),0),IFERROR(INDEX(Fortnightly_Model!$D$2:$D$15,MATCH(G402,Fortnightly_Model!$B$2:$B$15,0)),0),IFERROR(INDEX(Fortnightly_Model!$D$2:$D$15,MATCH(G403,Fortnightly_Model!$B$2:$B$15,0)),0),IFERROR(INDEX(Fortnightly_Model!$D$2:$D$15,MATCH(G404,Fortnightly_Model!$B$2:$B$15,0)),0)),0))))))</f>
        <v>3.2142856499999999E-3</v>
      </c>
      <c r="M400" s="27">
        <f>IF(VLOOKUP($A400,Calendar!$A$1:$R$1377,18,0)=0,0,IF(VLOOKUP($A400,Calendar!$A$1:$R$1377,18,0)=1,IFERROR(INDEX(FourWeekly_Model!$D$2:$D$29,MATCH(H400,FourWeekly_Model!$B$2:$B$29,0)),0),IF(VLOOKUP($A400,Calendar!$A$1:$R$1377,18,0)=2,SUM(IFERROR(INDEX(FourWeekly_Model!$D$2:$D$29,MATCH(H400,FourWeekly_Model!$B$2:$B$29,0)),0),IFERROR(INDEX(FourWeekly_Model!$D$2:$D$29,MATCH(H401,FourWeekly_Model!$B$2:$B$29,0)),0)),IF(VLOOKUP($A400,Calendar!$A$1:$R$1377,18,0)=3,SUM(IFERROR(INDEX(FourWeekly_Model!$D$2:$D$29,MATCH(H400,FourWeekly_Model!$B$2:$B$29,0)),0),IFERROR(INDEX(FourWeekly_Model!$D$2:$D$29,MATCH(H401,FourWeekly_Model!$B$2:$B$29,0)),0),IFERROR(INDEX(FourWeekly_Model!$D$2:$D$29,MATCH(H402,FourWeekly_Model!$B$2:$B$29,0)),0)),IF(VLOOKUP($A400,Calendar!$A$1:$R$1377,18,0)=4,SUM(IFERROR(INDEX(FourWeekly_Model!$D$2:$D$29,MATCH(H400,FourWeekly_Model!$B$2:$B$29,0)),0),IFERROR(INDEX(FourWeekly_Model!$D$2:$D$29,MATCH(H401,FourWeekly_Model!$B$2:$B$29,0)),0),IFERROR(INDEX(FourWeekly_Model!$D$2:$D$29,MATCH(H402,FourWeekly_Model!$B$2:$B$29,0)),0),IFERROR(INDEX(FourWeekly_Model!$D$2:$D$29,MATCH(H403,FourWeekly_Model!$B$2:$B$29,0)),0)),IF(VLOOKUP($A400,Calendar!$A$1:$R$1377,18,0)=5,SUM(IFERROR(INDEX(FourWeekly_Model!$D$2:$D$29,MATCH(H400,FourWeekly_Model!$B$2:$B$29,0)),0),IFERROR(INDEX(FourWeekly_Model!$D$2:$D$29,MATCH(H401,FourWeekly_Model!$B$2:$B$29,0)),0),IFERROR(INDEX(FourWeekly_Model!$D$2:$D$29,MATCH(H402,FourWeekly_Model!$B$2:$B$29,0)),0),IFERROR(INDEX(FourWeekly_Model!$D$2:$D$29,MATCH(H403,FourWeekly_Model!$B$2:$B$29,0)),0),IFERROR(INDEX(FourWeekly_Model!$D$2:$D$29,MATCH(H404,FourWeekly_Model!$B$2:$B$29,0)),0)),0))))))</f>
        <v>9.9642859800000011E-3</v>
      </c>
      <c r="N400" s="27">
        <f>SUM(I400:M400)</f>
        <v>4.5316791525287961E-2</v>
      </c>
      <c r="O400" s="28">
        <f>Population_Data!$B$8*N400</f>
        <v>1373098.7832162252</v>
      </c>
      <c r="P400" s="27">
        <f>IF(VLOOKUP($A400,Calendar!$A$1:$R$1377,18,0)=0,0,IF(VLOOKUP($A400,Calendar!$A$1:$R$1377,18,0)=1,IFERROR(INDEX(Pension_Model!$D$2:$D$29,MATCH(H400,Pension_Model!$B$2:$B$29,0)),0),IF(VLOOKUP($A400,Calendar!$A$1:$R$1377,18,0)=2,SUM(IFERROR(INDEX(Pension_Model!$D$2:$D$29,MATCH(H400,Pension_Model!$B$2:$B$29,0)),0),IFERROR(INDEX(Pension_Model!$D$2:$D$29,MATCH(H401,Pension_Model!$B$2:$B$29,0)),0)),IF(VLOOKUP($A400,Calendar!$A$1:$R$1377,18,0)=3,SUM(IFERROR(INDEX(Pension_Model!$D$2:$D$29,MATCH(H400,Pension_Model!$B$2:$B$29,0)),0),IFERROR(INDEX(Pension_Model!$D$2:$D$29,MATCH(H401,Pension_Model!$B$2:$B$29,0)),0),IFERROR(INDEX(Pension_Model!$D$2:$D$29,MATCH(H402,Pension_Model!$B$2:$B$29,0)),0)),IF(VLOOKUP($A400,Calendar!$A$1:$R$1377,18,0)=4,SUM(IFERROR(INDEX(Pension_Model!$D$2:$D$29,MATCH(H400,Pension_Model!$B$2:$B$29,0)),0),IFERROR(INDEX(Pension_Model!$D$2:$D$29,MATCH(H401,Pension_Model!$B$2:$B$29,0)),0),IFERROR(INDEX(Pension_Model!$D$2:$D$29,MATCH(H402,Pension_Model!$B$2:$B$29,0)),0),IFERROR(INDEX(Pension_Model!$D$2:$D$29,MATCH(H403,Pension_Model!$B$2:$B$29,0)),0)),IF(VLOOKUP($A400,Calendar!$A$1:$R$1377,18,0)=5,SUM(IFERROR(INDEX(Pension_Model!$D$2:$D$29,MATCH(H400,Pension_Model!$B$2:$B$29,0)),0),IFERROR(INDEX(Pension_Model!$D$2:$D$29,MATCH(H401,Pension_Model!$B$2:$B$29,0)),0),IFERROR(INDEX(Pension_Model!$D$2:$D$29,MATCH(H402,Pension_Model!$B$2:$B$29,0)),0),IFERROR(INDEX(Pension_Model!$D$2:$D$29,MATCH(H403,Pension_Model!$B$2:$B$29,0)),0),IFERROR(INDEX(Pension_Model!$D$2:$D$29,MATCH(H404,Pension_Model!$B$2:$B$29,0)),0)),0))))))</f>
        <v>0.05</v>
      </c>
      <c r="Q400" s="28">
        <f>Population_Data!$B$15*P400</f>
        <v>660600</v>
      </c>
      <c r="S400">
        <f t="shared" si="6"/>
        <v>2033698.7832162252</v>
      </c>
      <c r="U400" s="33">
        <f>S400/Population_Data!$B$19</f>
        <v>3.68423692611635E-2</v>
      </c>
    </row>
    <row r="401" spans="1:21">
      <c r="A401" s="25">
        <f>Calendar!A401</f>
        <v>46634</v>
      </c>
      <c r="B401" t="str">
        <f>Calendar!L401</f>
        <v>No</v>
      </c>
      <c r="C401" t="str">
        <f>Calendar!O401</f>
        <v>No</v>
      </c>
      <c r="D401" t="str">
        <f>Calendar!P401</f>
        <v>No</v>
      </c>
      <c r="E401" t="str">
        <f>Calendar!Q401</f>
        <v>No</v>
      </c>
      <c r="F401" t="str">
        <f>Calendar!I401</f>
        <v>Saturday</v>
      </c>
      <c r="G401">
        <f>Calendar!S401</f>
        <v>0</v>
      </c>
      <c r="H401">
        <f>Calendar!T401</f>
        <v>14</v>
      </c>
      <c r="I401" s="27">
        <f>IF(VLOOKUP(A401,Calendar!$A$1:$R$1377,18,0)=0,0,IF(VLOOKUP(A401,Calendar!$A$1:$R$1377,18,0)=1,INDEX(Monthly_Pay_Model!$A$9:$D$40,MATCH(TEXT(A401,"dd"),Monthly_Pay_Model!$C$9:$C$39,0),4),IF(VLOOKUP(A401,Calendar!$A$1:$R$1377,18,0)=2,SUM(INDEX(Monthly_Pay_Model!$A$9:$D$40,MATCH(TEXT(A401,"dd"),Monthly_Pay_Model!$C$9:$C$39,0),4),INDEX(Monthly_Pay_Model!$A$9:$D$40,MATCH(TEXT(A402,"dd"),Monthly_Pay_Model!$C$9:$C$39,0),4)),IF(VLOOKUP(A401,Calendar!$A$1:$R$1377,18,0)=3,SUM(INDEX(Monthly_Pay_Model!$A$9:$D$40,MATCH(TEXT(A401,"dd"),Monthly_Pay_Model!$C$9:$C$39,0),4),INDEX(Monthly_Pay_Model!$A$9:$D$40,MATCH(TEXT(A402,"dd"),Monthly_Pay_Model!$C$9:$C$39,0),4),INDEX(Monthly_Pay_Model!$A$9:$D$40,MATCH(TEXT(A403,"dd"),Monthly_Pay_Model!$C$9:$C$39,0),4)),IF(VLOOKUP(A401,Calendar!$A$1:$R$1377,18,0)=4,SUM(INDEX(Monthly_Pay_Model!$A$9:$D$40,MATCH(TEXT(A401,"dd"),Monthly_Pay_Model!$C$9:$C$39,0),4),INDEX(Monthly_Pay_Model!$A$9:$D$40,MATCH(TEXT(A402,"dd"),Monthly_Pay_Model!$C$9:$C$39,0),4),INDEX(Monthly_Pay_Model!$A$9:$D$40,MATCH(TEXT(A403,"dd"),Monthly_Pay_Model!$C$9:$C$39,0),4),INDEX(Monthly_Pay_Model!$A$9:$D$40,MATCH(TEXT(A404,"dd"),Monthly_Pay_Model!$C$9:$C$39,0),4)),IF(VLOOKUP(A401,Calendar!$A$1:$R$1377,18,0)=5,SUM(INDEX(Monthly_Pay_Model!$A$9:$D$40,MATCH(TEXT(A401,"dd"),Monthly_Pay_Model!$C$9:$C$39,0),4),INDEX(Monthly_Pay_Model!$A$9:$D$40,MATCH(TEXT(A402,"dd"),Monthly_Pay_Model!$C$9:$C$39,0),4),INDEX(Monthly_Pay_Model!$A$9:$D$40,MATCH(TEXT(A403,"dd"),Monthly_Pay_Model!$C$9:$C$39,0),4),INDEX(Monthly_Pay_Model!$A$9:$D$40,MATCH(TEXT(A404,"dd"),Monthly_Pay_Model!$C$9:$C$39,0),4),INDEX(Monthly_Pay_Model!$A$9:$D$40,MATCH(TEXT(A405,"dd"),Monthly_Pay_Model!$C$9:$C$39,0),4)),))))))</f>
        <v>0</v>
      </c>
      <c r="J401" s="33">
        <f>IF(C401="Yes",Monthly_Pay_Model!$D$2,0)
+IF(Calendar!N401="Yes",Monthly_Pay_Model!$D$3,0)
+IF(D401="Yes",Monthly_Pay_Model!$D$4,0)
+IF(E401="Yes",Monthly_Pay_Model!$D$5,0)</f>
        <v>0</v>
      </c>
      <c r="K401" s="27">
        <f>IF(VLOOKUP($A401,Calendar!$A$1:$R$1377,18,0)=0,0,IF(VLOOKUP($A401,Calendar!$A$1:$R$1377,18,0)=1,IFERROR(INDEX(Weekly_Model!$D$2:$D$9,MATCH(F401,Weekly_Model!$A$2:$A$9,0)),0),IF(VLOOKUP($A401,Calendar!$A$1:$R$1377,18,0)=2,SUM(IFERROR(INDEX(Weekly_Model!$D$2:$D$9,MATCH(F401,Weekly_Model!$A$2:$A$9,0)),0),IFERROR(INDEX(Weekly_Model!$D$2:$D$9,MATCH(F402,Weekly_Model!$A$2:$A$9,0)),0)),IF(VLOOKUP($A401,Calendar!$A$1:$R$1377,18,0)=3,SUM(IFERROR(INDEX(Weekly_Model!$D$2:$D$9,MATCH(F401,Weekly_Model!$A$2:$A$9,0)),0),IFERROR(INDEX(Weekly_Model!$D$2:$D$9,MATCH(F402,Weekly_Model!$A$2:$A$9,0)),0),IFERROR(INDEX(Weekly_Model!$D$2:$D$9,MATCH(F403,Weekly_Model!$A$2:$A$9,0)),0)),IF(VLOOKUP($A401,Calendar!$A$1:$R$1377,18,0)=4,SUM(IFERROR(INDEX(Weekly_Model!$D$2:$D$9,MATCH(F401,Weekly_Model!$A$2:$A$9,0)),0),IFERROR(INDEX(Weekly_Model!$D$2:$D$9,MATCH(F402,Weekly_Model!$A$2:$A$9,0)),0),IFERROR(INDEX(Weekly_Model!$D$2:$D$9,MATCH(F403,Weekly_Model!$A$2:$A$9,0)),0),IFERROR(INDEX(Weekly_Model!$D$2:$D$9,MATCH(F404,Weekly_Model!$A$2:$A$9,0)),0)),IF(VLOOKUP($A401,Calendar!$A$1:$R$1377,18,0)=5,SUM(IFERROR(INDEX(Weekly_Model!$D$2:$D$9,MATCH(F401,Weekly_Model!$A$2:$A$9,0)),0),IFERROR(INDEX(Weekly_Model!$D$2:$D$9,MATCH(F402,Weekly_Model!$A$2:$A$9,0)),0),IFERROR(INDEX(Weekly_Model!$D$2:$D$9,MATCH(F403,Weekly_Model!$A$2:$A$9,0)),0),IFERROR(INDEX(Weekly_Model!$D$2:$D$9,MATCH(F404,Weekly_Model!$A$2:$A$9,0)),0),IFERROR(INDEX(Weekly_Model!$D$2:$D$9,MATCH(F405,Weekly_Model!$A$2:$A$9,0)),0)),0))))))</f>
        <v>0</v>
      </c>
      <c r="L401" s="27">
        <f>IF(VLOOKUP($A401,Calendar!$A$1:$R$1377,18,0)=0,0,IF(VLOOKUP($A401,Calendar!$A$1:$R$1377,18,0)=1,IFERROR(INDEX(Fortnightly_Model!$D$2:$D$15,MATCH(G401,Fortnightly_Model!$B$2:$B$15,0)),0),IF(VLOOKUP($A401,Calendar!$A$1:$R$1377,18,0)=2,SUM(IFERROR(INDEX(Fortnightly_Model!$D$2:$D$15,MATCH(G401,Fortnightly_Model!$B$2:$B$15,0)),0),IFERROR(INDEX(Fortnightly_Model!$D$2:$D$15,MATCH(G402,Fortnightly_Model!$B$2:$B$15,0)),0)),IF(VLOOKUP($A401,Calendar!$A$1:$R$1377,18,0)=3,SUM(IFERROR(INDEX(Fortnightly_Model!$D$2:$D$15,MATCH(G401,Fortnightly_Model!$B$2:$B$15,0)),0),IFERROR(INDEX(Fortnightly_Model!$D$2:$D$15,MATCH(G402,Fortnightly_Model!$B$2:$B$15,0)),0),IFERROR(INDEX(Fortnightly_Model!$D$2:$D$15,MATCH(G403,Fortnightly_Model!$B$2:$B$15,0)),0)),IF(VLOOKUP($A401,Calendar!$A$1:$R$1377,18,0)=4,SUM(IFERROR(INDEX(Fortnightly_Model!$D$2:$D$15,MATCH(G401,Fortnightly_Model!$B$2:$B$15,0)),0),IFERROR(INDEX(Fortnightly_Model!$D$2:$D$15,MATCH(G402,Fortnightly_Model!$B$2:$B$15,0)),0),IFERROR(INDEX(Fortnightly_Model!$D$2:$D$15,MATCH(G403,Fortnightly_Model!$B$2:$B$15,0)),0),IFERROR(INDEX(Fortnightly_Model!$D$2:$D$15,MATCH(G404,Fortnightly_Model!$B$2:$B$15,0)),0)),IF(VLOOKUP($A401,Calendar!$A$1:$R$1377,18,0)=5,SUM(IFERROR(INDEX(Fortnightly_Model!$D$2:$D$15,MATCH(G401,Fortnightly_Model!$B$2:$B$15,0)),0),IFERROR(INDEX(Fortnightly_Model!$D$2:$D$15,MATCH(G402,Fortnightly_Model!$B$2:$B$15,0)),0),IFERROR(INDEX(Fortnightly_Model!$D$2:$D$15,MATCH(G403,Fortnightly_Model!$B$2:$B$15,0)),0),IFERROR(INDEX(Fortnightly_Model!$D$2:$D$15,MATCH(G404,Fortnightly_Model!$B$2:$B$15,0)),0),IFERROR(INDEX(Fortnightly_Model!$D$2:$D$15,MATCH(G405,Fortnightly_Model!$B$2:$B$15,0)),0)),0))))))</f>
        <v>0</v>
      </c>
      <c r="M401" s="27">
        <f>IF(VLOOKUP($A401,Calendar!$A$1:$R$1377,18,0)=0,0,IF(VLOOKUP($A401,Calendar!$A$1:$R$1377,18,0)=1,IFERROR(INDEX(FourWeekly_Model!$D$2:$D$29,MATCH(H401,FourWeekly_Model!$B$2:$B$29,0)),0),IF(VLOOKUP($A401,Calendar!$A$1:$R$1377,18,0)=2,SUM(IFERROR(INDEX(FourWeekly_Model!$D$2:$D$29,MATCH(H401,FourWeekly_Model!$B$2:$B$29,0)),0),IFERROR(INDEX(FourWeekly_Model!$D$2:$D$29,MATCH(H402,FourWeekly_Model!$B$2:$B$29,0)),0)),IF(VLOOKUP($A401,Calendar!$A$1:$R$1377,18,0)=3,SUM(IFERROR(INDEX(FourWeekly_Model!$D$2:$D$29,MATCH(H401,FourWeekly_Model!$B$2:$B$29,0)),0),IFERROR(INDEX(FourWeekly_Model!$D$2:$D$29,MATCH(H402,FourWeekly_Model!$B$2:$B$29,0)),0),IFERROR(INDEX(FourWeekly_Model!$D$2:$D$29,MATCH(H403,FourWeekly_Model!$B$2:$B$29,0)),0)),IF(VLOOKUP($A401,Calendar!$A$1:$R$1377,18,0)=4,SUM(IFERROR(INDEX(FourWeekly_Model!$D$2:$D$29,MATCH(H401,FourWeekly_Model!$B$2:$B$29,0)),0),IFERROR(INDEX(FourWeekly_Model!$D$2:$D$29,MATCH(H402,FourWeekly_Model!$B$2:$B$29,0)),0),IFERROR(INDEX(FourWeekly_Model!$D$2:$D$29,MATCH(H403,FourWeekly_Model!$B$2:$B$29,0)),0),IFERROR(INDEX(FourWeekly_Model!$D$2:$D$29,MATCH(H404,FourWeekly_Model!$B$2:$B$29,0)),0)),IF(VLOOKUP($A401,Calendar!$A$1:$R$1377,18,0)=5,SUM(IFERROR(INDEX(FourWeekly_Model!$D$2:$D$29,MATCH(H401,FourWeekly_Model!$B$2:$B$29,0)),0),IFERROR(INDEX(FourWeekly_Model!$D$2:$D$29,MATCH(H402,FourWeekly_Model!$B$2:$B$29,0)),0),IFERROR(INDEX(FourWeekly_Model!$D$2:$D$29,MATCH(H403,FourWeekly_Model!$B$2:$B$29,0)),0),IFERROR(INDEX(FourWeekly_Model!$D$2:$D$29,MATCH(H404,FourWeekly_Model!$B$2:$B$29,0)),0),IFERROR(INDEX(FourWeekly_Model!$D$2:$D$29,MATCH(H405,FourWeekly_Model!$B$2:$B$29,0)),0)),0))))))</f>
        <v>0</v>
      </c>
      <c r="N401" s="27">
        <f>SUM(I401:M401)</f>
        <v>0</v>
      </c>
      <c r="O401" s="28">
        <f>Population_Data!$B$8*N401</f>
        <v>0</v>
      </c>
      <c r="P401" s="27">
        <f>IF(VLOOKUP($A401,Calendar!$A$1:$R$1377,18,0)=0,0,IF(VLOOKUP($A401,Calendar!$A$1:$R$1377,18,0)=1,IFERROR(INDEX(Pension_Model!$D$2:$D$29,MATCH(H401,Pension_Model!$B$2:$B$29,0)),0),IF(VLOOKUP($A401,Calendar!$A$1:$R$1377,18,0)=2,SUM(IFERROR(INDEX(Pension_Model!$D$2:$D$29,MATCH(H401,Pension_Model!$B$2:$B$29,0)),0),IFERROR(INDEX(Pension_Model!$D$2:$D$29,MATCH(H402,Pension_Model!$B$2:$B$29,0)),0)),IF(VLOOKUP($A401,Calendar!$A$1:$R$1377,18,0)=3,SUM(IFERROR(INDEX(Pension_Model!$D$2:$D$29,MATCH(H401,Pension_Model!$B$2:$B$29,0)),0),IFERROR(INDEX(Pension_Model!$D$2:$D$29,MATCH(H402,Pension_Model!$B$2:$B$29,0)),0),IFERROR(INDEX(Pension_Model!$D$2:$D$29,MATCH(H403,Pension_Model!$B$2:$B$29,0)),0)),IF(VLOOKUP($A401,Calendar!$A$1:$R$1377,18,0)=4,SUM(IFERROR(INDEX(Pension_Model!$D$2:$D$29,MATCH(H401,Pension_Model!$B$2:$B$29,0)),0),IFERROR(INDEX(Pension_Model!$D$2:$D$29,MATCH(H402,Pension_Model!$B$2:$B$29,0)),0),IFERROR(INDEX(Pension_Model!$D$2:$D$29,MATCH(H403,Pension_Model!$B$2:$B$29,0)),0),IFERROR(INDEX(Pension_Model!$D$2:$D$29,MATCH(H404,Pension_Model!$B$2:$B$29,0)),0)),IF(VLOOKUP($A401,Calendar!$A$1:$R$1377,18,0)=5,SUM(IFERROR(INDEX(Pension_Model!$D$2:$D$29,MATCH(H401,Pension_Model!$B$2:$B$29,0)),0),IFERROR(INDEX(Pension_Model!$D$2:$D$29,MATCH(H402,Pension_Model!$B$2:$B$29,0)),0),IFERROR(INDEX(Pension_Model!$D$2:$D$29,MATCH(H403,Pension_Model!$B$2:$B$29,0)),0),IFERROR(INDEX(Pension_Model!$D$2:$D$29,MATCH(H404,Pension_Model!$B$2:$B$29,0)),0),IFERROR(INDEX(Pension_Model!$D$2:$D$29,MATCH(H405,Pension_Model!$B$2:$B$29,0)),0)),0))))))</f>
        <v>0</v>
      </c>
      <c r="Q401" s="28">
        <f>Population_Data!$B$15*P401</f>
        <v>0</v>
      </c>
      <c r="S401">
        <f t="shared" si="6"/>
        <v>0</v>
      </c>
      <c r="U401" s="33">
        <f>S401/Population_Data!$B$19</f>
        <v>0</v>
      </c>
    </row>
    <row r="402" spans="1:21">
      <c r="A402" s="25">
        <f>Calendar!A402</f>
        <v>46635</v>
      </c>
      <c r="B402" t="str">
        <f>Calendar!L402</f>
        <v>No</v>
      </c>
      <c r="C402" t="str">
        <f>Calendar!O402</f>
        <v>No</v>
      </c>
      <c r="D402" t="str">
        <f>Calendar!P402</f>
        <v>No</v>
      </c>
      <c r="E402" t="str">
        <f>Calendar!Q402</f>
        <v>No</v>
      </c>
      <c r="F402" t="str">
        <f>Calendar!I402</f>
        <v>Sunday</v>
      </c>
      <c r="G402">
        <f>Calendar!S402</f>
        <v>1</v>
      </c>
      <c r="H402">
        <f>Calendar!T402</f>
        <v>15</v>
      </c>
      <c r="I402" s="27">
        <f>IF(VLOOKUP(A402,Calendar!$A$1:$R$1377,18,0)=0,0,IF(VLOOKUP(A402,Calendar!$A$1:$R$1377,18,0)=1,INDEX(Monthly_Pay_Model!$A$9:$D$40,MATCH(TEXT(A402,"dd"),Monthly_Pay_Model!$C$9:$C$39,0),4),IF(VLOOKUP(A402,Calendar!$A$1:$R$1377,18,0)=2,SUM(INDEX(Monthly_Pay_Model!$A$9:$D$40,MATCH(TEXT(A402,"dd"),Monthly_Pay_Model!$C$9:$C$39,0),4),INDEX(Monthly_Pay_Model!$A$9:$D$40,MATCH(TEXT(A403,"dd"),Monthly_Pay_Model!$C$9:$C$39,0),4)),IF(VLOOKUP(A402,Calendar!$A$1:$R$1377,18,0)=3,SUM(INDEX(Monthly_Pay_Model!$A$9:$D$40,MATCH(TEXT(A402,"dd"),Monthly_Pay_Model!$C$9:$C$39,0),4),INDEX(Monthly_Pay_Model!$A$9:$D$40,MATCH(TEXT(A403,"dd"),Monthly_Pay_Model!$C$9:$C$39,0),4),INDEX(Monthly_Pay_Model!$A$9:$D$40,MATCH(TEXT(A404,"dd"),Monthly_Pay_Model!$C$9:$C$39,0),4)),IF(VLOOKUP(A402,Calendar!$A$1:$R$1377,18,0)=4,SUM(INDEX(Monthly_Pay_Model!$A$9:$D$40,MATCH(TEXT(A402,"dd"),Monthly_Pay_Model!$C$9:$C$39,0),4),INDEX(Monthly_Pay_Model!$A$9:$D$40,MATCH(TEXT(A403,"dd"),Monthly_Pay_Model!$C$9:$C$39,0),4),INDEX(Monthly_Pay_Model!$A$9:$D$40,MATCH(TEXT(A404,"dd"),Monthly_Pay_Model!$C$9:$C$39,0),4),INDEX(Monthly_Pay_Model!$A$9:$D$40,MATCH(TEXT(A405,"dd"),Monthly_Pay_Model!$C$9:$C$39,0),4)),IF(VLOOKUP(A402,Calendar!$A$1:$R$1377,18,0)=5,SUM(INDEX(Monthly_Pay_Model!$A$9:$D$40,MATCH(TEXT(A402,"dd"),Monthly_Pay_Model!$C$9:$C$39,0),4),INDEX(Monthly_Pay_Model!$A$9:$D$40,MATCH(TEXT(A403,"dd"),Monthly_Pay_Model!$C$9:$C$39,0),4),INDEX(Monthly_Pay_Model!$A$9:$D$40,MATCH(TEXT(A404,"dd"),Monthly_Pay_Model!$C$9:$C$39,0),4),INDEX(Monthly_Pay_Model!$A$9:$D$40,MATCH(TEXT(A405,"dd"),Monthly_Pay_Model!$C$9:$C$39,0),4),INDEX(Monthly_Pay_Model!$A$9:$D$40,MATCH(TEXT(A406,"dd"),Monthly_Pay_Model!$C$9:$C$39,0),4)),))))))</f>
        <v>0</v>
      </c>
      <c r="J402" s="33">
        <f>IF(C402="Yes",Monthly_Pay_Model!$D$2,0)
+IF(Calendar!N402="Yes",Monthly_Pay_Model!$D$3,0)
+IF(D402="Yes",Monthly_Pay_Model!$D$4,0)
+IF(E402="Yes",Monthly_Pay_Model!$D$5,0)</f>
        <v>0</v>
      </c>
      <c r="K402" s="27">
        <f>IF(VLOOKUP($A402,Calendar!$A$1:$R$1377,18,0)=0,0,IF(VLOOKUP($A402,Calendar!$A$1:$R$1377,18,0)=1,IFERROR(INDEX(Weekly_Model!$D$2:$D$9,MATCH(F402,Weekly_Model!$A$2:$A$9,0)),0),IF(VLOOKUP($A402,Calendar!$A$1:$R$1377,18,0)=2,SUM(IFERROR(INDEX(Weekly_Model!$D$2:$D$9,MATCH(F402,Weekly_Model!$A$2:$A$9,0)),0),IFERROR(INDEX(Weekly_Model!$D$2:$D$9,MATCH(F403,Weekly_Model!$A$2:$A$9,0)),0)),IF(VLOOKUP($A402,Calendar!$A$1:$R$1377,18,0)=3,SUM(IFERROR(INDEX(Weekly_Model!$D$2:$D$9,MATCH(F402,Weekly_Model!$A$2:$A$9,0)),0),IFERROR(INDEX(Weekly_Model!$D$2:$D$9,MATCH(F403,Weekly_Model!$A$2:$A$9,0)),0),IFERROR(INDEX(Weekly_Model!$D$2:$D$9,MATCH(F404,Weekly_Model!$A$2:$A$9,0)),0)),IF(VLOOKUP($A402,Calendar!$A$1:$R$1377,18,0)=4,SUM(IFERROR(INDEX(Weekly_Model!$D$2:$D$9,MATCH(F402,Weekly_Model!$A$2:$A$9,0)),0),IFERROR(INDEX(Weekly_Model!$D$2:$D$9,MATCH(F403,Weekly_Model!$A$2:$A$9,0)),0),IFERROR(INDEX(Weekly_Model!$D$2:$D$9,MATCH(F404,Weekly_Model!$A$2:$A$9,0)),0),IFERROR(INDEX(Weekly_Model!$D$2:$D$9,MATCH(F405,Weekly_Model!$A$2:$A$9,0)),0)),IF(VLOOKUP($A402,Calendar!$A$1:$R$1377,18,0)=5,SUM(IFERROR(INDEX(Weekly_Model!$D$2:$D$9,MATCH(F402,Weekly_Model!$A$2:$A$9,0)),0),IFERROR(INDEX(Weekly_Model!$D$2:$D$9,MATCH(F403,Weekly_Model!$A$2:$A$9,0)),0),IFERROR(INDEX(Weekly_Model!$D$2:$D$9,MATCH(F404,Weekly_Model!$A$2:$A$9,0)),0),IFERROR(INDEX(Weekly_Model!$D$2:$D$9,MATCH(F405,Weekly_Model!$A$2:$A$9,0)),0),IFERROR(INDEX(Weekly_Model!$D$2:$D$9,MATCH(F406,Weekly_Model!$A$2:$A$9,0)),0)),0))))))</f>
        <v>0</v>
      </c>
      <c r="L402" s="27">
        <f>IF(VLOOKUP($A402,Calendar!$A$1:$R$1377,18,0)=0,0,IF(VLOOKUP($A402,Calendar!$A$1:$R$1377,18,0)=1,IFERROR(INDEX(Fortnightly_Model!$D$2:$D$15,MATCH(G402,Fortnightly_Model!$B$2:$B$15,0)),0),IF(VLOOKUP($A402,Calendar!$A$1:$R$1377,18,0)=2,SUM(IFERROR(INDEX(Fortnightly_Model!$D$2:$D$15,MATCH(G402,Fortnightly_Model!$B$2:$B$15,0)),0),IFERROR(INDEX(Fortnightly_Model!$D$2:$D$15,MATCH(G403,Fortnightly_Model!$B$2:$B$15,0)),0)),IF(VLOOKUP($A402,Calendar!$A$1:$R$1377,18,0)=3,SUM(IFERROR(INDEX(Fortnightly_Model!$D$2:$D$15,MATCH(G402,Fortnightly_Model!$B$2:$B$15,0)),0),IFERROR(INDEX(Fortnightly_Model!$D$2:$D$15,MATCH(G403,Fortnightly_Model!$B$2:$B$15,0)),0),IFERROR(INDEX(Fortnightly_Model!$D$2:$D$15,MATCH(G404,Fortnightly_Model!$B$2:$B$15,0)),0)),IF(VLOOKUP($A402,Calendar!$A$1:$R$1377,18,0)=4,SUM(IFERROR(INDEX(Fortnightly_Model!$D$2:$D$15,MATCH(G402,Fortnightly_Model!$B$2:$B$15,0)),0),IFERROR(INDEX(Fortnightly_Model!$D$2:$D$15,MATCH(G403,Fortnightly_Model!$B$2:$B$15,0)),0),IFERROR(INDEX(Fortnightly_Model!$D$2:$D$15,MATCH(G404,Fortnightly_Model!$B$2:$B$15,0)),0),IFERROR(INDEX(Fortnightly_Model!$D$2:$D$15,MATCH(G405,Fortnightly_Model!$B$2:$B$15,0)),0)),IF(VLOOKUP($A402,Calendar!$A$1:$R$1377,18,0)=5,SUM(IFERROR(INDEX(Fortnightly_Model!$D$2:$D$15,MATCH(G402,Fortnightly_Model!$B$2:$B$15,0)),0),IFERROR(INDEX(Fortnightly_Model!$D$2:$D$15,MATCH(G403,Fortnightly_Model!$B$2:$B$15,0)),0),IFERROR(INDEX(Fortnightly_Model!$D$2:$D$15,MATCH(G404,Fortnightly_Model!$B$2:$B$15,0)),0),IFERROR(INDEX(Fortnightly_Model!$D$2:$D$15,MATCH(G405,Fortnightly_Model!$B$2:$B$15,0)),0),IFERROR(INDEX(Fortnightly_Model!$D$2:$D$15,MATCH(G406,Fortnightly_Model!$B$2:$B$15,0)),0)),0))))))</f>
        <v>0</v>
      </c>
      <c r="M402" s="27">
        <f>IF(VLOOKUP($A402,Calendar!$A$1:$R$1377,18,0)=0,0,IF(VLOOKUP($A402,Calendar!$A$1:$R$1377,18,0)=1,IFERROR(INDEX(FourWeekly_Model!$D$2:$D$29,MATCH(H402,FourWeekly_Model!$B$2:$B$29,0)),0),IF(VLOOKUP($A402,Calendar!$A$1:$R$1377,18,0)=2,SUM(IFERROR(INDEX(FourWeekly_Model!$D$2:$D$29,MATCH(H402,FourWeekly_Model!$B$2:$B$29,0)),0),IFERROR(INDEX(FourWeekly_Model!$D$2:$D$29,MATCH(H403,FourWeekly_Model!$B$2:$B$29,0)),0)),IF(VLOOKUP($A402,Calendar!$A$1:$R$1377,18,0)=3,SUM(IFERROR(INDEX(FourWeekly_Model!$D$2:$D$29,MATCH(H402,FourWeekly_Model!$B$2:$B$29,0)),0),IFERROR(INDEX(FourWeekly_Model!$D$2:$D$29,MATCH(H403,FourWeekly_Model!$B$2:$B$29,0)),0),IFERROR(INDEX(FourWeekly_Model!$D$2:$D$29,MATCH(H404,FourWeekly_Model!$B$2:$B$29,0)),0)),IF(VLOOKUP($A402,Calendar!$A$1:$R$1377,18,0)=4,SUM(IFERROR(INDEX(FourWeekly_Model!$D$2:$D$29,MATCH(H402,FourWeekly_Model!$B$2:$B$29,0)),0),IFERROR(INDEX(FourWeekly_Model!$D$2:$D$29,MATCH(H403,FourWeekly_Model!$B$2:$B$29,0)),0),IFERROR(INDEX(FourWeekly_Model!$D$2:$D$29,MATCH(H404,FourWeekly_Model!$B$2:$B$29,0)),0),IFERROR(INDEX(FourWeekly_Model!$D$2:$D$29,MATCH(H405,FourWeekly_Model!$B$2:$B$29,0)),0)),IF(VLOOKUP($A402,Calendar!$A$1:$R$1377,18,0)=5,SUM(IFERROR(INDEX(FourWeekly_Model!$D$2:$D$29,MATCH(H402,FourWeekly_Model!$B$2:$B$29,0)),0),IFERROR(INDEX(FourWeekly_Model!$D$2:$D$29,MATCH(H403,FourWeekly_Model!$B$2:$B$29,0)),0),IFERROR(INDEX(FourWeekly_Model!$D$2:$D$29,MATCH(H404,FourWeekly_Model!$B$2:$B$29,0)),0),IFERROR(INDEX(FourWeekly_Model!$D$2:$D$29,MATCH(H405,FourWeekly_Model!$B$2:$B$29,0)),0),IFERROR(INDEX(FourWeekly_Model!$D$2:$D$29,MATCH(H406,FourWeekly_Model!$B$2:$B$29,0)),0)),0))))))</f>
        <v>0</v>
      </c>
      <c r="N402" s="27">
        <f>SUM(I402:M402)</f>
        <v>0</v>
      </c>
      <c r="O402" s="28">
        <f>Population_Data!$B$8*N402</f>
        <v>0</v>
      </c>
      <c r="P402" s="27">
        <f>IF(VLOOKUP($A402,Calendar!$A$1:$R$1377,18,0)=0,0,IF(VLOOKUP($A402,Calendar!$A$1:$R$1377,18,0)=1,IFERROR(INDEX(Pension_Model!$D$2:$D$29,MATCH(H402,Pension_Model!$B$2:$B$29,0)),0),IF(VLOOKUP($A402,Calendar!$A$1:$R$1377,18,0)=2,SUM(IFERROR(INDEX(Pension_Model!$D$2:$D$29,MATCH(H402,Pension_Model!$B$2:$B$29,0)),0),IFERROR(INDEX(Pension_Model!$D$2:$D$29,MATCH(H403,Pension_Model!$B$2:$B$29,0)),0)),IF(VLOOKUP($A402,Calendar!$A$1:$R$1377,18,0)=3,SUM(IFERROR(INDEX(Pension_Model!$D$2:$D$29,MATCH(H402,Pension_Model!$B$2:$B$29,0)),0),IFERROR(INDEX(Pension_Model!$D$2:$D$29,MATCH(H403,Pension_Model!$B$2:$B$29,0)),0),IFERROR(INDEX(Pension_Model!$D$2:$D$29,MATCH(H404,Pension_Model!$B$2:$B$29,0)),0)),IF(VLOOKUP($A402,Calendar!$A$1:$R$1377,18,0)=4,SUM(IFERROR(INDEX(Pension_Model!$D$2:$D$29,MATCH(H402,Pension_Model!$B$2:$B$29,0)),0),IFERROR(INDEX(Pension_Model!$D$2:$D$29,MATCH(H403,Pension_Model!$B$2:$B$29,0)),0),IFERROR(INDEX(Pension_Model!$D$2:$D$29,MATCH(H404,Pension_Model!$B$2:$B$29,0)),0),IFERROR(INDEX(Pension_Model!$D$2:$D$29,MATCH(H405,Pension_Model!$B$2:$B$29,0)),0)),IF(VLOOKUP($A402,Calendar!$A$1:$R$1377,18,0)=5,SUM(IFERROR(INDEX(Pension_Model!$D$2:$D$29,MATCH(H402,Pension_Model!$B$2:$B$29,0)),0),IFERROR(INDEX(Pension_Model!$D$2:$D$29,MATCH(H403,Pension_Model!$B$2:$B$29,0)),0),IFERROR(INDEX(Pension_Model!$D$2:$D$29,MATCH(H404,Pension_Model!$B$2:$B$29,0)),0),IFERROR(INDEX(Pension_Model!$D$2:$D$29,MATCH(H405,Pension_Model!$B$2:$B$29,0)),0),IFERROR(INDEX(Pension_Model!$D$2:$D$29,MATCH(H406,Pension_Model!$B$2:$B$29,0)),0)),0))))))</f>
        <v>0</v>
      </c>
      <c r="Q402" s="28">
        <f>Population_Data!$B$15*P402</f>
        <v>0</v>
      </c>
      <c r="S402">
        <f t="shared" si="6"/>
        <v>0</v>
      </c>
      <c r="U402" s="33">
        <f>S402/Population_Data!$B$19</f>
        <v>0</v>
      </c>
    </row>
    <row r="403" spans="1:21">
      <c r="A403" s="25">
        <f>Calendar!A403</f>
        <v>46636</v>
      </c>
      <c r="B403" t="str">
        <f>Calendar!L403</f>
        <v>Yes</v>
      </c>
      <c r="C403" t="str">
        <f>Calendar!O403</f>
        <v>No</v>
      </c>
      <c r="D403" t="str">
        <f>Calendar!P403</f>
        <v>No</v>
      </c>
      <c r="E403" t="str">
        <f>Calendar!Q403</f>
        <v>No</v>
      </c>
      <c r="F403" t="str">
        <f>Calendar!I403</f>
        <v>Monday</v>
      </c>
      <c r="G403">
        <f>Calendar!S403</f>
        <v>2</v>
      </c>
      <c r="H403">
        <f>Calendar!T403</f>
        <v>16</v>
      </c>
      <c r="I403" s="27">
        <f>IF(VLOOKUP(A403,Calendar!$A$1:$R$1377,18,0)=0,0,IF(VLOOKUP(A403,Calendar!$A$1:$R$1377,18,0)=1,INDEX(Monthly_Pay_Model!$A$9:$D$40,MATCH(TEXT(A403,"dd"),Monthly_Pay_Model!$C$9:$C$39,0),4),IF(VLOOKUP(A403,Calendar!$A$1:$R$1377,18,0)=2,SUM(INDEX(Monthly_Pay_Model!$A$9:$D$40,MATCH(TEXT(A403,"dd"),Monthly_Pay_Model!$C$9:$C$39,0),4),INDEX(Monthly_Pay_Model!$A$9:$D$40,MATCH(TEXT(A404,"dd"),Monthly_Pay_Model!$C$9:$C$39,0),4)),IF(VLOOKUP(A403,Calendar!$A$1:$R$1377,18,0)=3,SUM(INDEX(Monthly_Pay_Model!$A$9:$D$40,MATCH(TEXT(A403,"dd"),Monthly_Pay_Model!$C$9:$C$39,0),4),INDEX(Monthly_Pay_Model!$A$9:$D$40,MATCH(TEXT(A404,"dd"),Monthly_Pay_Model!$C$9:$C$39,0),4),INDEX(Monthly_Pay_Model!$A$9:$D$40,MATCH(TEXT(A405,"dd"),Monthly_Pay_Model!$C$9:$C$39,0),4)),IF(VLOOKUP(A403,Calendar!$A$1:$R$1377,18,0)=4,SUM(INDEX(Monthly_Pay_Model!$A$9:$D$40,MATCH(TEXT(A403,"dd"),Monthly_Pay_Model!$C$9:$C$39,0),4),INDEX(Monthly_Pay_Model!$A$9:$D$40,MATCH(TEXT(A404,"dd"),Monthly_Pay_Model!$C$9:$C$39,0),4),INDEX(Monthly_Pay_Model!$A$9:$D$40,MATCH(TEXT(A405,"dd"),Monthly_Pay_Model!$C$9:$C$39,0),4),INDEX(Monthly_Pay_Model!$A$9:$D$40,MATCH(TEXT(A406,"dd"),Monthly_Pay_Model!$C$9:$C$39,0),4)),IF(VLOOKUP(A403,Calendar!$A$1:$R$1377,18,0)=5,SUM(INDEX(Monthly_Pay_Model!$A$9:$D$40,MATCH(TEXT(A403,"dd"),Monthly_Pay_Model!$C$9:$C$39,0),4),INDEX(Monthly_Pay_Model!$A$9:$D$40,MATCH(TEXT(A404,"dd"),Monthly_Pay_Model!$C$9:$C$39,0),4),INDEX(Monthly_Pay_Model!$A$9:$D$40,MATCH(TEXT(A405,"dd"),Monthly_Pay_Model!$C$9:$C$39,0),4),INDEX(Monthly_Pay_Model!$A$9:$D$40,MATCH(TEXT(A406,"dd"),Monthly_Pay_Model!$C$9:$C$39,0),4),INDEX(Monthly_Pay_Model!$A$9:$D$40,MATCH(TEXT(A407,"dd"),Monthly_Pay_Model!$C$9:$C$39,0),4)),))))))</f>
        <v>3.2502617801047117E-3</v>
      </c>
      <c r="J403" s="33">
        <f>IF(C403="Yes",Monthly_Pay_Model!$D$2,0)
+IF(Calendar!N403="Yes",Monthly_Pay_Model!$D$3,0)
+IF(D403="Yes",Monthly_Pay_Model!$D$4,0)
+IF(E403="Yes",Monthly_Pay_Model!$D$5,0)</f>
        <v>0</v>
      </c>
      <c r="K403" s="27">
        <f>IF(VLOOKUP($A403,Calendar!$A$1:$R$1377,18,0)=0,0,IF(VLOOKUP($A403,Calendar!$A$1:$R$1377,18,0)=1,IFERROR(INDEX(Weekly_Model!$D$2:$D$9,MATCH(F403,Weekly_Model!$A$2:$A$9,0)),0),IF(VLOOKUP($A403,Calendar!$A$1:$R$1377,18,0)=2,SUM(IFERROR(INDEX(Weekly_Model!$D$2:$D$9,MATCH(F403,Weekly_Model!$A$2:$A$9,0)),0),IFERROR(INDEX(Weekly_Model!$D$2:$D$9,MATCH(F404,Weekly_Model!$A$2:$A$9,0)),0)),IF(VLOOKUP($A403,Calendar!$A$1:$R$1377,18,0)=3,SUM(IFERROR(INDEX(Weekly_Model!$D$2:$D$9,MATCH(F403,Weekly_Model!$A$2:$A$9,0)),0),IFERROR(INDEX(Weekly_Model!$D$2:$D$9,MATCH(F404,Weekly_Model!$A$2:$A$9,0)),0),IFERROR(INDEX(Weekly_Model!$D$2:$D$9,MATCH(F405,Weekly_Model!$A$2:$A$9,0)),0)),IF(VLOOKUP($A403,Calendar!$A$1:$R$1377,18,0)=4,SUM(IFERROR(INDEX(Weekly_Model!$D$2:$D$9,MATCH(F403,Weekly_Model!$A$2:$A$9,0)),0),IFERROR(INDEX(Weekly_Model!$D$2:$D$9,MATCH(F404,Weekly_Model!$A$2:$A$9,0)),0),IFERROR(INDEX(Weekly_Model!$D$2:$D$9,MATCH(F405,Weekly_Model!$A$2:$A$9,0)),0),IFERROR(INDEX(Weekly_Model!$D$2:$D$9,MATCH(F406,Weekly_Model!$A$2:$A$9,0)),0)),IF(VLOOKUP($A403,Calendar!$A$1:$R$1377,18,0)=5,SUM(IFERROR(INDEX(Weekly_Model!$D$2:$D$9,MATCH(F403,Weekly_Model!$A$2:$A$9,0)),0),IFERROR(INDEX(Weekly_Model!$D$2:$D$9,MATCH(F404,Weekly_Model!$A$2:$A$9,0)),0),IFERROR(INDEX(Weekly_Model!$D$2:$D$9,MATCH(F405,Weekly_Model!$A$2:$A$9,0)),0),IFERROR(INDEX(Weekly_Model!$D$2:$D$9,MATCH(F406,Weekly_Model!$A$2:$A$9,0)),0),IFERROR(INDEX(Weekly_Model!$D$2:$D$9,MATCH(F407,Weekly_Model!$A$2:$A$9,0)),0)),0))))))</f>
        <v>2.3200000000000002E-2</v>
      </c>
      <c r="L403" s="27">
        <f>IF(VLOOKUP($A403,Calendar!$A$1:$R$1377,18,0)=0,0,IF(VLOOKUP($A403,Calendar!$A$1:$R$1377,18,0)=1,IFERROR(INDEX(Fortnightly_Model!$D$2:$D$15,MATCH(G403,Fortnightly_Model!$B$2:$B$15,0)),0),IF(VLOOKUP($A403,Calendar!$A$1:$R$1377,18,0)=2,SUM(IFERROR(INDEX(Fortnightly_Model!$D$2:$D$15,MATCH(G403,Fortnightly_Model!$B$2:$B$15,0)),0),IFERROR(INDEX(Fortnightly_Model!$D$2:$D$15,MATCH(G404,Fortnightly_Model!$B$2:$B$15,0)),0)),IF(VLOOKUP($A403,Calendar!$A$1:$R$1377,18,0)=3,SUM(IFERROR(INDEX(Fortnightly_Model!$D$2:$D$15,MATCH(G403,Fortnightly_Model!$B$2:$B$15,0)),0),IFERROR(INDEX(Fortnightly_Model!$D$2:$D$15,MATCH(G404,Fortnightly_Model!$B$2:$B$15,0)),0),IFERROR(INDEX(Fortnightly_Model!$D$2:$D$15,MATCH(G405,Fortnightly_Model!$B$2:$B$15,0)),0)),IF(VLOOKUP($A403,Calendar!$A$1:$R$1377,18,0)=4,SUM(IFERROR(INDEX(Fortnightly_Model!$D$2:$D$15,MATCH(G403,Fortnightly_Model!$B$2:$B$15,0)),0),IFERROR(INDEX(Fortnightly_Model!$D$2:$D$15,MATCH(G404,Fortnightly_Model!$B$2:$B$15,0)),0),IFERROR(INDEX(Fortnightly_Model!$D$2:$D$15,MATCH(G405,Fortnightly_Model!$B$2:$B$15,0)),0),IFERROR(INDEX(Fortnightly_Model!$D$2:$D$15,MATCH(G406,Fortnightly_Model!$B$2:$B$15,0)),0)),IF(VLOOKUP($A403,Calendar!$A$1:$R$1377,18,0)=5,SUM(IFERROR(INDEX(Fortnightly_Model!$D$2:$D$15,MATCH(G403,Fortnightly_Model!$B$2:$B$15,0)),0),IFERROR(INDEX(Fortnightly_Model!$D$2:$D$15,MATCH(G404,Fortnightly_Model!$B$2:$B$15,0)),0),IFERROR(INDEX(Fortnightly_Model!$D$2:$D$15,MATCH(G405,Fortnightly_Model!$B$2:$B$15,0)),0),IFERROR(INDEX(Fortnightly_Model!$D$2:$D$15,MATCH(G406,Fortnightly_Model!$B$2:$B$15,0)),0),IFERROR(INDEX(Fortnightly_Model!$D$2:$D$15,MATCH(G407,Fortnightly_Model!$B$2:$B$15,0)),0)),0))))))</f>
        <v>1.0714285499999999E-3</v>
      </c>
      <c r="M403" s="27">
        <f>IF(VLOOKUP($A403,Calendar!$A$1:$R$1377,18,0)=0,0,IF(VLOOKUP($A403,Calendar!$A$1:$R$1377,18,0)=1,IFERROR(INDEX(FourWeekly_Model!$D$2:$D$29,MATCH(H403,FourWeekly_Model!$B$2:$B$29,0)),0),IF(VLOOKUP($A403,Calendar!$A$1:$R$1377,18,0)=2,SUM(IFERROR(INDEX(FourWeekly_Model!$D$2:$D$29,MATCH(H403,FourWeekly_Model!$B$2:$B$29,0)),0),IFERROR(INDEX(FourWeekly_Model!$D$2:$D$29,MATCH(H404,FourWeekly_Model!$B$2:$B$29,0)),0)),IF(VLOOKUP($A403,Calendar!$A$1:$R$1377,18,0)=3,SUM(IFERROR(INDEX(FourWeekly_Model!$D$2:$D$29,MATCH(H403,FourWeekly_Model!$B$2:$B$29,0)),0),IFERROR(INDEX(FourWeekly_Model!$D$2:$D$29,MATCH(H404,FourWeekly_Model!$B$2:$B$29,0)),0),IFERROR(INDEX(FourWeekly_Model!$D$2:$D$29,MATCH(H405,FourWeekly_Model!$B$2:$B$29,0)),0)),IF(VLOOKUP($A403,Calendar!$A$1:$R$1377,18,0)=4,SUM(IFERROR(INDEX(FourWeekly_Model!$D$2:$D$29,MATCH(H403,FourWeekly_Model!$B$2:$B$29,0)),0),IFERROR(INDEX(FourWeekly_Model!$D$2:$D$29,MATCH(H404,FourWeekly_Model!$B$2:$B$29,0)),0),IFERROR(INDEX(FourWeekly_Model!$D$2:$D$29,MATCH(H405,FourWeekly_Model!$B$2:$B$29,0)),0),IFERROR(INDEX(FourWeekly_Model!$D$2:$D$29,MATCH(H406,FourWeekly_Model!$B$2:$B$29,0)),0)),IF(VLOOKUP($A403,Calendar!$A$1:$R$1377,18,0)=5,SUM(IFERROR(INDEX(FourWeekly_Model!$D$2:$D$29,MATCH(H403,FourWeekly_Model!$B$2:$B$29,0)),0),IFERROR(INDEX(FourWeekly_Model!$D$2:$D$29,MATCH(H404,FourWeekly_Model!$B$2:$B$29,0)),0),IFERROR(INDEX(FourWeekly_Model!$D$2:$D$29,MATCH(H405,FourWeekly_Model!$B$2:$B$29,0)),0),IFERROR(INDEX(FourWeekly_Model!$D$2:$D$29,MATCH(H406,FourWeekly_Model!$B$2:$B$29,0)),0),IFERROR(INDEX(FourWeekly_Model!$D$2:$D$29,MATCH(H407,FourWeekly_Model!$B$2:$B$29,0)),0)),0))))))</f>
        <v>3.3214289700000004E-3</v>
      </c>
      <c r="N403" s="27">
        <f>SUM(I403:M403)</f>
        <v>3.0843119300104714E-2</v>
      </c>
      <c r="O403" s="28">
        <f>Population_Data!$B$8*N403</f>
        <v>934546.51479317283</v>
      </c>
      <c r="P403" s="27">
        <f>IF(VLOOKUP($A403,Calendar!$A$1:$R$1377,18,0)=0,0,IF(VLOOKUP($A403,Calendar!$A$1:$R$1377,18,0)=1,IFERROR(INDEX(Pension_Model!$D$2:$D$29,MATCH(H403,Pension_Model!$B$2:$B$29,0)),0),IF(VLOOKUP($A403,Calendar!$A$1:$R$1377,18,0)=2,SUM(IFERROR(INDEX(Pension_Model!$D$2:$D$29,MATCH(H403,Pension_Model!$B$2:$B$29,0)),0),IFERROR(INDEX(Pension_Model!$D$2:$D$29,MATCH(H404,Pension_Model!$B$2:$B$29,0)),0)),IF(VLOOKUP($A403,Calendar!$A$1:$R$1377,18,0)=3,SUM(IFERROR(INDEX(Pension_Model!$D$2:$D$29,MATCH(H403,Pension_Model!$B$2:$B$29,0)),0),IFERROR(INDEX(Pension_Model!$D$2:$D$29,MATCH(H404,Pension_Model!$B$2:$B$29,0)),0),IFERROR(INDEX(Pension_Model!$D$2:$D$29,MATCH(H405,Pension_Model!$B$2:$B$29,0)),0)),IF(VLOOKUP($A403,Calendar!$A$1:$R$1377,18,0)=4,SUM(IFERROR(INDEX(Pension_Model!$D$2:$D$29,MATCH(H403,Pension_Model!$B$2:$B$29,0)),0),IFERROR(INDEX(Pension_Model!$D$2:$D$29,MATCH(H404,Pension_Model!$B$2:$B$29,0)),0),IFERROR(INDEX(Pension_Model!$D$2:$D$29,MATCH(H405,Pension_Model!$B$2:$B$29,0)),0),IFERROR(INDEX(Pension_Model!$D$2:$D$29,MATCH(H406,Pension_Model!$B$2:$B$29,0)),0)),IF(VLOOKUP($A403,Calendar!$A$1:$R$1377,18,0)=5,SUM(IFERROR(INDEX(Pension_Model!$D$2:$D$29,MATCH(H403,Pension_Model!$B$2:$B$29,0)),0),IFERROR(INDEX(Pension_Model!$D$2:$D$29,MATCH(H404,Pension_Model!$B$2:$B$29,0)),0),IFERROR(INDEX(Pension_Model!$D$2:$D$29,MATCH(H405,Pension_Model!$B$2:$B$29,0)),0),IFERROR(INDEX(Pension_Model!$D$2:$D$29,MATCH(H406,Pension_Model!$B$2:$B$29,0)),0),IFERROR(INDEX(Pension_Model!$D$2:$D$29,MATCH(H407,Pension_Model!$B$2:$B$29,0)),0)),0))))))</f>
        <v>0.05</v>
      </c>
      <c r="Q403" s="28">
        <f>Population_Data!$B$15*P403</f>
        <v>660600</v>
      </c>
      <c r="S403">
        <f t="shared" si="6"/>
        <v>1595146.5147931729</v>
      </c>
      <c r="U403" s="33">
        <f>S403/Population_Data!$B$19</f>
        <v>2.8897581789731393E-2</v>
      </c>
    </row>
    <row r="404" spans="1:21">
      <c r="A404" s="25">
        <f>Calendar!A404</f>
        <v>46637</v>
      </c>
      <c r="B404" t="str">
        <f>Calendar!L404</f>
        <v>Yes</v>
      </c>
      <c r="C404" t="str">
        <f>Calendar!O404</f>
        <v>No</v>
      </c>
      <c r="D404" t="str">
        <f>Calendar!P404</f>
        <v>No</v>
      </c>
      <c r="E404" t="str">
        <f>Calendar!Q404</f>
        <v>No</v>
      </c>
      <c r="F404" t="str">
        <f>Calendar!I404</f>
        <v>Tuesday</v>
      </c>
      <c r="G404">
        <f>Calendar!S404</f>
        <v>3</v>
      </c>
      <c r="H404">
        <f>Calendar!T404</f>
        <v>17</v>
      </c>
      <c r="I404" s="27">
        <f>IF(VLOOKUP(A404,Calendar!$A$1:$R$1377,18,0)=0,0,IF(VLOOKUP(A404,Calendar!$A$1:$R$1377,18,0)=1,INDEX(Monthly_Pay_Model!$A$9:$D$40,MATCH(TEXT(A404,"dd"),Monthly_Pay_Model!$C$9:$C$39,0),4),IF(VLOOKUP(A404,Calendar!$A$1:$R$1377,18,0)=2,SUM(INDEX(Monthly_Pay_Model!$A$9:$D$40,MATCH(TEXT(A404,"dd"),Monthly_Pay_Model!$C$9:$C$39,0),4),INDEX(Monthly_Pay_Model!$A$9:$D$40,MATCH(TEXT(A405,"dd"),Monthly_Pay_Model!$C$9:$C$39,0),4)),IF(VLOOKUP(A404,Calendar!$A$1:$R$1377,18,0)=3,SUM(INDEX(Monthly_Pay_Model!$A$9:$D$40,MATCH(TEXT(A404,"dd"),Monthly_Pay_Model!$C$9:$C$39,0),4),INDEX(Monthly_Pay_Model!$A$9:$D$40,MATCH(TEXT(A405,"dd"),Monthly_Pay_Model!$C$9:$C$39,0),4),INDEX(Monthly_Pay_Model!$A$9:$D$40,MATCH(TEXT(A406,"dd"),Monthly_Pay_Model!$C$9:$C$39,0),4)),IF(VLOOKUP(A404,Calendar!$A$1:$R$1377,18,0)=4,SUM(INDEX(Monthly_Pay_Model!$A$9:$D$40,MATCH(TEXT(A404,"dd"),Monthly_Pay_Model!$C$9:$C$39,0),4),INDEX(Monthly_Pay_Model!$A$9:$D$40,MATCH(TEXT(A405,"dd"),Monthly_Pay_Model!$C$9:$C$39,0),4),INDEX(Monthly_Pay_Model!$A$9:$D$40,MATCH(TEXT(A406,"dd"),Monthly_Pay_Model!$C$9:$C$39,0),4),INDEX(Monthly_Pay_Model!$A$9:$D$40,MATCH(TEXT(A407,"dd"),Monthly_Pay_Model!$C$9:$C$39,0),4)),IF(VLOOKUP(A404,Calendar!$A$1:$R$1377,18,0)=5,SUM(INDEX(Monthly_Pay_Model!$A$9:$D$40,MATCH(TEXT(A404,"dd"),Monthly_Pay_Model!$C$9:$C$39,0),4),INDEX(Monthly_Pay_Model!$A$9:$D$40,MATCH(TEXT(A405,"dd"),Monthly_Pay_Model!$C$9:$C$39,0),4),INDEX(Monthly_Pay_Model!$A$9:$D$40,MATCH(TEXT(A406,"dd"),Monthly_Pay_Model!$C$9:$C$39,0),4),INDEX(Monthly_Pay_Model!$A$9:$D$40,MATCH(TEXT(A407,"dd"),Monthly_Pay_Model!$C$9:$C$39,0),4),INDEX(Monthly_Pay_Model!$A$9:$D$40,MATCH(TEXT(A408,"dd"),Monthly_Pay_Model!$C$9:$C$39,0),4)),))))))</f>
        <v>2.4376963350785331E-3</v>
      </c>
      <c r="J404" s="33">
        <f>IF(C404="Yes",Monthly_Pay_Model!$D$2,0)
+IF(Calendar!N404="Yes",Monthly_Pay_Model!$D$3,0)
+IF(D404="Yes",Monthly_Pay_Model!$D$4,0)
+IF(E404="Yes",Monthly_Pay_Model!$D$5,0)</f>
        <v>0</v>
      </c>
      <c r="K404" s="27">
        <f>IF(VLOOKUP($A404,Calendar!$A$1:$R$1377,18,0)=0,0,IF(VLOOKUP($A404,Calendar!$A$1:$R$1377,18,0)=1,IFERROR(INDEX(Weekly_Model!$D$2:$D$9,MATCH(F404,Weekly_Model!$A$2:$A$9,0)),0),IF(VLOOKUP($A404,Calendar!$A$1:$R$1377,18,0)=2,SUM(IFERROR(INDEX(Weekly_Model!$D$2:$D$9,MATCH(F404,Weekly_Model!$A$2:$A$9,0)),0),IFERROR(INDEX(Weekly_Model!$D$2:$D$9,MATCH(F405,Weekly_Model!$A$2:$A$9,0)),0)),IF(VLOOKUP($A404,Calendar!$A$1:$R$1377,18,0)=3,SUM(IFERROR(INDEX(Weekly_Model!$D$2:$D$9,MATCH(F404,Weekly_Model!$A$2:$A$9,0)),0),IFERROR(INDEX(Weekly_Model!$D$2:$D$9,MATCH(F405,Weekly_Model!$A$2:$A$9,0)),0),IFERROR(INDEX(Weekly_Model!$D$2:$D$9,MATCH(F406,Weekly_Model!$A$2:$A$9,0)),0)),IF(VLOOKUP($A404,Calendar!$A$1:$R$1377,18,0)=4,SUM(IFERROR(INDEX(Weekly_Model!$D$2:$D$9,MATCH(F404,Weekly_Model!$A$2:$A$9,0)),0),IFERROR(INDEX(Weekly_Model!$D$2:$D$9,MATCH(F405,Weekly_Model!$A$2:$A$9,0)),0),IFERROR(INDEX(Weekly_Model!$D$2:$D$9,MATCH(F406,Weekly_Model!$A$2:$A$9,0)),0),IFERROR(INDEX(Weekly_Model!$D$2:$D$9,MATCH(F407,Weekly_Model!$A$2:$A$9,0)),0)),IF(VLOOKUP($A404,Calendar!$A$1:$R$1377,18,0)=5,SUM(IFERROR(INDEX(Weekly_Model!$D$2:$D$9,MATCH(F404,Weekly_Model!$A$2:$A$9,0)),0),IFERROR(INDEX(Weekly_Model!$D$2:$D$9,MATCH(F405,Weekly_Model!$A$2:$A$9,0)),0),IFERROR(INDEX(Weekly_Model!$D$2:$D$9,MATCH(F406,Weekly_Model!$A$2:$A$9,0)),0),IFERROR(INDEX(Weekly_Model!$D$2:$D$9,MATCH(F407,Weekly_Model!$A$2:$A$9,0)),0),IFERROR(INDEX(Weekly_Model!$D$2:$D$9,MATCH(F408,Weekly_Model!$A$2:$A$9,0)),0)),0))))))</f>
        <v>2.3200000000000002E-2</v>
      </c>
      <c r="L404" s="27">
        <f>IF(VLOOKUP($A404,Calendar!$A$1:$R$1377,18,0)=0,0,IF(VLOOKUP($A404,Calendar!$A$1:$R$1377,18,0)=1,IFERROR(INDEX(Fortnightly_Model!$D$2:$D$15,MATCH(G404,Fortnightly_Model!$B$2:$B$15,0)),0),IF(VLOOKUP($A404,Calendar!$A$1:$R$1377,18,0)=2,SUM(IFERROR(INDEX(Fortnightly_Model!$D$2:$D$15,MATCH(G404,Fortnightly_Model!$B$2:$B$15,0)),0),IFERROR(INDEX(Fortnightly_Model!$D$2:$D$15,MATCH(G405,Fortnightly_Model!$B$2:$B$15,0)),0)),IF(VLOOKUP($A404,Calendar!$A$1:$R$1377,18,0)=3,SUM(IFERROR(INDEX(Fortnightly_Model!$D$2:$D$15,MATCH(G404,Fortnightly_Model!$B$2:$B$15,0)),0),IFERROR(INDEX(Fortnightly_Model!$D$2:$D$15,MATCH(G405,Fortnightly_Model!$B$2:$B$15,0)),0),IFERROR(INDEX(Fortnightly_Model!$D$2:$D$15,MATCH(G406,Fortnightly_Model!$B$2:$B$15,0)),0)),IF(VLOOKUP($A404,Calendar!$A$1:$R$1377,18,0)=4,SUM(IFERROR(INDEX(Fortnightly_Model!$D$2:$D$15,MATCH(G404,Fortnightly_Model!$B$2:$B$15,0)),0),IFERROR(INDEX(Fortnightly_Model!$D$2:$D$15,MATCH(G405,Fortnightly_Model!$B$2:$B$15,0)),0),IFERROR(INDEX(Fortnightly_Model!$D$2:$D$15,MATCH(G406,Fortnightly_Model!$B$2:$B$15,0)),0),IFERROR(INDEX(Fortnightly_Model!$D$2:$D$15,MATCH(G407,Fortnightly_Model!$B$2:$B$15,0)),0)),IF(VLOOKUP($A404,Calendar!$A$1:$R$1377,18,0)=5,SUM(IFERROR(INDEX(Fortnightly_Model!$D$2:$D$15,MATCH(G404,Fortnightly_Model!$B$2:$B$15,0)),0),IFERROR(INDEX(Fortnightly_Model!$D$2:$D$15,MATCH(G405,Fortnightly_Model!$B$2:$B$15,0)),0),IFERROR(INDEX(Fortnightly_Model!$D$2:$D$15,MATCH(G406,Fortnightly_Model!$B$2:$B$15,0)),0),IFERROR(INDEX(Fortnightly_Model!$D$2:$D$15,MATCH(G407,Fortnightly_Model!$B$2:$B$15,0)),0),IFERROR(INDEX(Fortnightly_Model!$D$2:$D$15,MATCH(G408,Fortnightly_Model!$B$2:$B$15,0)),0)),0))))))</f>
        <v>1.0714285499999999E-3</v>
      </c>
      <c r="M404" s="27">
        <f>IF(VLOOKUP($A404,Calendar!$A$1:$R$1377,18,0)=0,0,IF(VLOOKUP($A404,Calendar!$A$1:$R$1377,18,0)=1,IFERROR(INDEX(FourWeekly_Model!$D$2:$D$29,MATCH(H404,FourWeekly_Model!$B$2:$B$29,0)),0),IF(VLOOKUP($A404,Calendar!$A$1:$R$1377,18,0)=2,SUM(IFERROR(INDEX(FourWeekly_Model!$D$2:$D$29,MATCH(H404,FourWeekly_Model!$B$2:$B$29,0)),0),IFERROR(INDEX(FourWeekly_Model!$D$2:$D$29,MATCH(H405,FourWeekly_Model!$B$2:$B$29,0)),0)),IF(VLOOKUP($A404,Calendar!$A$1:$R$1377,18,0)=3,SUM(IFERROR(INDEX(FourWeekly_Model!$D$2:$D$29,MATCH(H404,FourWeekly_Model!$B$2:$B$29,0)),0),IFERROR(INDEX(FourWeekly_Model!$D$2:$D$29,MATCH(H405,FourWeekly_Model!$B$2:$B$29,0)),0),IFERROR(INDEX(FourWeekly_Model!$D$2:$D$29,MATCH(H406,FourWeekly_Model!$B$2:$B$29,0)),0)),IF(VLOOKUP($A404,Calendar!$A$1:$R$1377,18,0)=4,SUM(IFERROR(INDEX(FourWeekly_Model!$D$2:$D$29,MATCH(H404,FourWeekly_Model!$B$2:$B$29,0)),0),IFERROR(INDEX(FourWeekly_Model!$D$2:$D$29,MATCH(H405,FourWeekly_Model!$B$2:$B$29,0)),0),IFERROR(INDEX(FourWeekly_Model!$D$2:$D$29,MATCH(H406,FourWeekly_Model!$B$2:$B$29,0)),0),IFERROR(INDEX(FourWeekly_Model!$D$2:$D$29,MATCH(H407,FourWeekly_Model!$B$2:$B$29,0)),0)),IF(VLOOKUP($A404,Calendar!$A$1:$R$1377,18,0)=5,SUM(IFERROR(INDEX(FourWeekly_Model!$D$2:$D$29,MATCH(H404,FourWeekly_Model!$B$2:$B$29,0)),0),IFERROR(INDEX(FourWeekly_Model!$D$2:$D$29,MATCH(H405,FourWeekly_Model!$B$2:$B$29,0)),0),IFERROR(INDEX(FourWeekly_Model!$D$2:$D$29,MATCH(H406,FourWeekly_Model!$B$2:$B$29,0)),0),IFERROR(INDEX(FourWeekly_Model!$D$2:$D$29,MATCH(H407,FourWeekly_Model!$B$2:$B$29,0)),0),IFERROR(INDEX(FourWeekly_Model!$D$2:$D$29,MATCH(H408,FourWeekly_Model!$B$2:$B$29,0)),0)),0))))))</f>
        <v>3.3214289700000004E-3</v>
      </c>
      <c r="N404" s="27">
        <f>SUM(I404:M404)</f>
        <v>3.0030553855078537E-2</v>
      </c>
      <c r="O404" s="28">
        <f>Population_Data!$B$8*N404</f>
        <v>909925.78180887969</v>
      </c>
      <c r="P404" s="27">
        <f>IF(VLOOKUP($A404,Calendar!$A$1:$R$1377,18,0)=0,0,IF(VLOOKUP($A404,Calendar!$A$1:$R$1377,18,0)=1,IFERROR(INDEX(Pension_Model!$D$2:$D$29,MATCH(H404,Pension_Model!$B$2:$B$29,0)),0),IF(VLOOKUP($A404,Calendar!$A$1:$R$1377,18,0)=2,SUM(IFERROR(INDEX(Pension_Model!$D$2:$D$29,MATCH(H404,Pension_Model!$B$2:$B$29,0)),0),IFERROR(INDEX(Pension_Model!$D$2:$D$29,MATCH(H405,Pension_Model!$B$2:$B$29,0)),0)),IF(VLOOKUP($A404,Calendar!$A$1:$R$1377,18,0)=3,SUM(IFERROR(INDEX(Pension_Model!$D$2:$D$29,MATCH(H404,Pension_Model!$B$2:$B$29,0)),0),IFERROR(INDEX(Pension_Model!$D$2:$D$29,MATCH(H405,Pension_Model!$B$2:$B$29,0)),0),IFERROR(INDEX(Pension_Model!$D$2:$D$29,MATCH(H406,Pension_Model!$B$2:$B$29,0)),0)),IF(VLOOKUP($A404,Calendar!$A$1:$R$1377,18,0)=4,SUM(IFERROR(INDEX(Pension_Model!$D$2:$D$29,MATCH(H404,Pension_Model!$B$2:$B$29,0)),0),IFERROR(INDEX(Pension_Model!$D$2:$D$29,MATCH(H405,Pension_Model!$B$2:$B$29,0)),0),IFERROR(INDEX(Pension_Model!$D$2:$D$29,MATCH(H406,Pension_Model!$B$2:$B$29,0)),0),IFERROR(INDEX(Pension_Model!$D$2:$D$29,MATCH(H407,Pension_Model!$B$2:$B$29,0)),0)),IF(VLOOKUP($A404,Calendar!$A$1:$R$1377,18,0)=5,SUM(IFERROR(INDEX(Pension_Model!$D$2:$D$29,MATCH(H404,Pension_Model!$B$2:$B$29,0)),0),IFERROR(INDEX(Pension_Model!$D$2:$D$29,MATCH(H405,Pension_Model!$B$2:$B$29,0)),0),IFERROR(INDEX(Pension_Model!$D$2:$D$29,MATCH(H406,Pension_Model!$B$2:$B$29,0)),0),IFERROR(INDEX(Pension_Model!$D$2:$D$29,MATCH(H407,Pension_Model!$B$2:$B$29,0)),0),IFERROR(INDEX(Pension_Model!$D$2:$D$29,MATCH(H408,Pension_Model!$B$2:$B$29,0)),0)),0))))))</f>
        <v>0.05</v>
      </c>
      <c r="Q404" s="28">
        <f>Population_Data!$B$15*P404</f>
        <v>660600</v>
      </c>
      <c r="S404">
        <f t="shared" si="6"/>
        <v>1570525.7818088797</v>
      </c>
      <c r="U404" s="33">
        <f>S404/Population_Data!$B$19</f>
        <v>2.8451554018276808E-2</v>
      </c>
    </row>
    <row r="405" spans="1:21">
      <c r="A405" s="25">
        <f>Calendar!A405</f>
        <v>46638</v>
      </c>
      <c r="B405" t="str">
        <f>Calendar!L405</f>
        <v>Yes</v>
      </c>
      <c r="C405" t="str">
        <f>Calendar!O405</f>
        <v>No</v>
      </c>
      <c r="D405" t="str">
        <f>Calendar!P405</f>
        <v>No</v>
      </c>
      <c r="E405" t="str">
        <f>Calendar!Q405</f>
        <v>No</v>
      </c>
      <c r="F405" t="str">
        <f>Calendar!I405</f>
        <v>Wednesday</v>
      </c>
      <c r="G405">
        <f>Calendar!S405</f>
        <v>4</v>
      </c>
      <c r="H405">
        <f>Calendar!T405</f>
        <v>18</v>
      </c>
      <c r="I405" s="27">
        <f>IF(VLOOKUP(A405,Calendar!$A$1:$R$1377,18,0)=0,0,IF(VLOOKUP(A405,Calendar!$A$1:$R$1377,18,0)=1,INDEX(Monthly_Pay_Model!$A$9:$D$40,MATCH(TEXT(A405,"dd"),Monthly_Pay_Model!$C$9:$C$39,0),4),IF(VLOOKUP(A405,Calendar!$A$1:$R$1377,18,0)=2,SUM(INDEX(Monthly_Pay_Model!$A$9:$D$40,MATCH(TEXT(A405,"dd"),Monthly_Pay_Model!$C$9:$C$39,0),4),INDEX(Monthly_Pay_Model!$A$9:$D$40,MATCH(TEXT(A406,"dd"),Monthly_Pay_Model!$C$9:$C$39,0),4)),IF(VLOOKUP(A405,Calendar!$A$1:$R$1377,18,0)=3,SUM(INDEX(Monthly_Pay_Model!$A$9:$D$40,MATCH(TEXT(A405,"dd"),Monthly_Pay_Model!$C$9:$C$39,0),4),INDEX(Monthly_Pay_Model!$A$9:$D$40,MATCH(TEXT(A406,"dd"),Monthly_Pay_Model!$C$9:$C$39,0),4),INDEX(Monthly_Pay_Model!$A$9:$D$40,MATCH(TEXT(A407,"dd"),Monthly_Pay_Model!$C$9:$C$39,0),4)),IF(VLOOKUP(A405,Calendar!$A$1:$R$1377,18,0)=4,SUM(INDEX(Monthly_Pay_Model!$A$9:$D$40,MATCH(TEXT(A405,"dd"),Monthly_Pay_Model!$C$9:$C$39,0),4),INDEX(Monthly_Pay_Model!$A$9:$D$40,MATCH(TEXT(A406,"dd"),Monthly_Pay_Model!$C$9:$C$39,0),4),INDEX(Monthly_Pay_Model!$A$9:$D$40,MATCH(TEXT(A407,"dd"),Monthly_Pay_Model!$C$9:$C$39,0),4),INDEX(Monthly_Pay_Model!$A$9:$D$40,MATCH(TEXT(A408,"dd"),Monthly_Pay_Model!$C$9:$C$39,0),4)),IF(VLOOKUP(A405,Calendar!$A$1:$R$1377,18,0)=5,SUM(INDEX(Monthly_Pay_Model!$A$9:$D$40,MATCH(TEXT(A405,"dd"),Monthly_Pay_Model!$C$9:$C$39,0),4),INDEX(Monthly_Pay_Model!$A$9:$D$40,MATCH(TEXT(A406,"dd"),Monthly_Pay_Model!$C$9:$C$39,0),4),INDEX(Monthly_Pay_Model!$A$9:$D$40,MATCH(TEXT(A407,"dd"),Monthly_Pay_Model!$C$9:$C$39,0),4),INDEX(Monthly_Pay_Model!$A$9:$D$40,MATCH(TEXT(A408,"dd"),Monthly_Pay_Model!$C$9:$C$39,0),4),INDEX(Monthly_Pay_Model!$A$9:$D$40,MATCH(TEXT(A409,"dd"),Monthly_Pay_Model!$C$9:$C$39,0),4)),))))))</f>
        <v>1.6251308900523558E-3</v>
      </c>
      <c r="J405" s="33">
        <f>IF(C405="Yes",Monthly_Pay_Model!$D$2,0)
+IF(Calendar!N405="Yes",Monthly_Pay_Model!$D$3,0)
+IF(D405="Yes",Monthly_Pay_Model!$D$4,0)
+IF(E405="Yes",Monthly_Pay_Model!$D$5,0)</f>
        <v>0</v>
      </c>
      <c r="K405" s="27">
        <f>IF(VLOOKUP($A405,Calendar!$A$1:$R$1377,18,0)=0,0,IF(VLOOKUP($A405,Calendar!$A$1:$R$1377,18,0)=1,IFERROR(INDEX(Weekly_Model!$D$2:$D$9,MATCH(F405,Weekly_Model!$A$2:$A$9,0)),0),IF(VLOOKUP($A405,Calendar!$A$1:$R$1377,18,0)=2,SUM(IFERROR(INDEX(Weekly_Model!$D$2:$D$9,MATCH(F405,Weekly_Model!$A$2:$A$9,0)),0),IFERROR(INDEX(Weekly_Model!$D$2:$D$9,MATCH(F406,Weekly_Model!$A$2:$A$9,0)),0)),IF(VLOOKUP($A405,Calendar!$A$1:$R$1377,18,0)=3,SUM(IFERROR(INDEX(Weekly_Model!$D$2:$D$9,MATCH(F405,Weekly_Model!$A$2:$A$9,0)),0),IFERROR(INDEX(Weekly_Model!$D$2:$D$9,MATCH(F406,Weekly_Model!$A$2:$A$9,0)),0),IFERROR(INDEX(Weekly_Model!$D$2:$D$9,MATCH(F407,Weekly_Model!$A$2:$A$9,0)),0)),IF(VLOOKUP($A405,Calendar!$A$1:$R$1377,18,0)=4,SUM(IFERROR(INDEX(Weekly_Model!$D$2:$D$9,MATCH(F405,Weekly_Model!$A$2:$A$9,0)),0),IFERROR(INDEX(Weekly_Model!$D$2:$D$9,MATCH(F406,Weekly_Model!$A$2:$A$9,0)),0),IFERROR(INDEX(Weekly_Model!$D$2:$D$9,MATCH(F407,Weekly_Model!$A$2:$A$9,0)),0),IFERROR(INDEX(Weekly_Model!$D$2:$D$9,MATCH(F408,Weekly_Model!$A$2:$A$9,0)),0)),IF(VLOOKUP($A405,Calendar!$A$1:$R$1377,18,0)=5,SUM(IFERROR(INDEX(Weekly_Model!$D$2:$D$9,MATCH(F405,Weekly_Model!$A$2:$A$9,0)),0),IFERROR(INDEX(Weekly_Model!$D$2:$D$9,MATCH(F406,Weekly_Model!$A$2:$A$9,0)),0),IFERROR(INDEX(Weekly_Model!$D$2:$D$9,MATCH(F407,Weekly_Model!$A$2:$A$9,0)),0),IFERROR(INDEX(Weekly_Model!$D$2:$D$9,MATCH(F408,Weekly_Model!$A$2:$A$9,0)),0),IFERROR(INDEX(Weekly_Model!$D$2:$D$9,MATCH(F409,Weekly_Model!$A$2:$A$9,0)),0)),0))))))</f>
        <v>2.3200000000000002E-2</v>
      </c>
      <c r="L405" s="27">
        <f>IF(VLOOKUP($A405,Calendar!$A$1:$R$1377,18,0)=0,0,IF(VLOOKUP($A405,Calendar!$A$1:$R$1377,18,0)=1,IFERROR(INDEX(Fortnightly_Model!$D$2:$D$15,MATCH(G405,Fortnightly_Model!$B$2:$B$15,0)),0),IF(VLOOKUP($A405,Calendar!$A$1:$R$1377,18,0)=2,SUM(IFERROR(INDEX(Fortnightly_Model!$D$2:$D$15,MATCH(G405,Fortnightly_Model!$B$2:$B$15,0)),0),IFERROR(INDEX(Fortnightly_Model!$D$2:$D$15,MATCH(G406,Fortnightly_Model!$B$2:$B$15,0)),0)),IF(VLOOKUP($A405,Calendar!$A$1:$R$1377,18,0)=3,SUM(IFERROR(INDEX(Fortnightly_Model!$D$2:$D$15,MATCH(G405,Fortnightly_Model!$B$2:$B$15,0)),0),IFERROR(INDEX(Fortnightly_Model!$D$2:$D$15,MATCH(G406,Fortnightly_Model!$B$2:$B$15,0)),0),IFERROR(INDEX(Fortnightly_Model!$D$2:$D$15,MATCH(G407,Fortnightly_Model!$B$2:$B$15,0)),0)),IF(VLOOKUP($A405,Calendar!$A$1:$R$1377,18,0)=4,SUM(IFERROR(INDEX(Fortnightly_Model!$D$2:$D$15,MATCH(G405,Fortnightly_Model!$B$2:$B$15,0)),0),IFERROR(INDEX(Fortnightly_Model!$D$2:$D$15,MATCH(G406,Fortnightly_Model!$B$2:$B$15,0)),0),IFERROR(INDEX(Fortnightly_Model!$D$2:$D$15,MATCH(G407,Fortnightly_Model!$B$2:$B$15,0)),0),IFERROR(INDEX(Fortnightly_Model!$D$2:$D$15,MATCH(G408,Fortnightly_Model!$B$2:$B$15,0)),0)),IF(VLOOKUP($A405,Calendar!$A$1:$R$1377,18,0)=5,SUM(IFERROR(INDEX(Fortnightly_Model!$D$2:$D$15,MATCH(G405,Fortnightly_Model!$B$2:$B$15,0)),0),IFERROR(INDEX(Fortnightly_Model!$D$2:$D$15,MATCH(G406,Fortnightly_Model!$B$2:$B$15,0)),0),IFERROR(INDEX(Fortnightly_Model!$D$2:$D$15,MATCH(G407,Fortnightly_Model!$B$2:$B$15,0)),0),IFERROR(INDEX(Fortnightly_Model!$D$2:$D$15,MATCH(G408,Fortnightly_Model!$B$2:$B$15,0)),0),IFERROR(INDEX(Fortnightly_Model!$D$2:$D$15,MATCH(G409,Fortnightly_Model!$B$2:$B$15,0)),0)),0))))))</f>
        <v>1.0714285499999999E-3</v>
      </c>
      <c r="M405" s="27">
        <f>IF(VLOOKUP($A405,Calendar!$A$1:$R$1377,18,0)=0,0,IF(VLOOKUP($A405,Calendar!$A$1:$R$1377,18,0)=1,IFERROR(INDEX(FourWeekly_Model!$D$2:$D$29,MATCH(H405,FourWeekly_Model!$B$2:$B$29,0)),0),IF(VLOOKUP($A405,Calendar!$A$1:$R$1377,18,0)=2,SUM(IFERROR(INDEX(FourWeekly_Model!$D$2:$D$29,MATCH(H405,FourWeekly_Model!$B$2:$B$29,0)),0),IFERROR(INDEX(FourWeekly_Model!$D$2:$D$29,MATCH(H406,FourWeekly_Model!$B$2:$B$29,0)),0)),IF(VLOOKUP($A405,Calendar!$A$1:$R$1377,18,0)=3,SUM(IFERROR(INDEX(FourWeekly_Model!$D$2:$D$29,MATCH(H405,FourWeekly_Model!$B$2:$B$29,0)),0),IFERROR(INDEX(FourWeekly_Model!$D$2:$D$29,MATCH(H406,FourWeekly_Model!$B$2:$B$29,0)),0),IFERROR(INDEX(FourWeekly_Model!$D$2:$D$29,MATCH(H407,FourWeekly_Model!$B$2:$B$29,0)),0)),IF(VLOOKUP($A405,Calendar!$A$1:$R$1377,18,0)=4,SUM(IFERROR(INDEX(FourWeekly_Model!$D$2:$D$29,MATCH(H405,FourWeekly_Model!$B$2:$B$29,0)),0),IFERROR(INDEX(FourWeekly_Model!$D$2:$D$29,MATCH(H406,FourWeekly_Model!$B$2:$B$29,0)),0),IFERROR(INDEX(FourWeekly_Model!$D$2:$D$29,MATCH(H407,FourWeekly_Model!$B$2:$B$29,0)),0),IFERROR(INDEX(FourWeekly_Model!$D$2:$D$29,MATCH(H408,FourWeekly_Model!$B$2:$B$29,0)),0)),IF(VLOOKUP($A405,Calendar!$A$1:$R$1377,18,0)=5,SUM(IFERROR(INDEX(FourWeekly_Model!$D$2:$D$29,MATCH(H405,FourWeekly_Model!$B$2:$B$29,0)),0),IFERROR(INDEX(FourWeekly_Model!$D$2:$D$29,MATCH(H406,FourWeekly_Model!$B$2:$B$29,0)),0),IFERROR(INDEX(FourWeekly_Model!$D$2:$D$29,MATCH(H407,FourWeekly_Model!$B$2:$B$29,0)),0),IFERROR(INDEX(FourWeekly_Model!$D$2:$D$29,MATCH(H408,FourWeekly_Model!$B$2:$B$29,0)),0),IFERROR(INDEX(FourWeekly_Model!$D$2:$D$29,MATCH(H409,FourWeekly_Model!$B$2:$B$29,0)),0)),0))))))</f>
        <v>3.3214289700000004E-3</v>
      </c>
      <c r="N405" s="27">
        <f>SUM(I405:M405)</f>
        <v>2.921798841005236E-2</v>
      </c>
      <c r="O405" s="28">
        <f>Population_Data!$B$8*N405</f>
        <v>885305.04882458656</v>
      </c>
      <c r="P405" s="27">
        <f>IF(VLOOKUP($A405,Calendar!$A$1:$R$1377,18,0)=0,0,IF(VLOOKUP($A405,Calendar!$A$1:$R$1377,18,0)=1,IFERROR(INDEX(Pension_Model!$D$2:$D$29,MATCH(H405,Pension_Model!$B$2:$B$29,0)),0),IF(VLOOKUP($A405,Calendar!$A$1:$R$1377,18,0)=2,SUM(IFERROR(INDEX(Pension_Model!$D$2:$D$29,MATCH(H405,Pension_Model!$B$2:$B$29,0)),0),IFERROR(INDEX(Pension_Model!$D$2:$D$29,MATCH(H406,Pension_Model!$B$2:$B$29,0)),0)),IF(VLOOKUP($A405,Calendar!$A$1:$R$1377,18,0)=3,SUM(IFERROR(INDEX(Pension_Model!$D$2:$D$29,MATCH(H405,Pension_Model!$B$2:$B$29,0)),0),IFERROR(INDEX(Pension_Model!$D$2:$D$29,MATCH(H406,Pension_Model!$B$2:$B$29,0)),0),IFERROR(INDEX(Pension_Model!$D$2:$D$29,MATCH(H407,Pension_Model!$B$2:$B$29,0)),0)),IF(VLOOKUP($A405,Calendar!$A$1:$R$1377,18,0)=4,SUM(IFERROR(INDEX(Pension_Model!$D$2:$D$29,MATCH(H405,Pension_Model!$B$2:$B$29,0)),0),IFERROR(INDEX(Pension_Model!$D$2:$D$29,MATCH(H406,Pension_Model!$B$2:$B$29,0)),0),IFERROR(INDEX(Pension_Model!$D$2:$D$29,MATCH(H407,Pension_Model!$B$2:$B$29,0)),0),IFERROR(INDEX(Pension_Model!$D$2:$D$29,MATCH(H408,Pension_Model!$B$2:$B$29,0)),0)),IF(VLOOKUP($A405,Calendar!$A$1:$R$1377,18,0)=5,SUM(IFERROR(INDEX(Pension_Model!$D$2:$D$29,MATCH(H405,Pension_Model!$B$2:$B$29,0)),0),IFERROR(INDEX(Pension_Model!$D$2:$D$29,MATCH(H406,Pension_Model!$B$2:$B$29,0)),0),IFERROR(INDEX(Pension_Model!$D$2:$D$29,MATCH(H407,Pension_Model!$B$2:$B$29,0)),0),IFERROR(INDEX(Pension_Model!$D$2:$D$29,MATCH(H408,Pension_Model!$B$2:$B$29,0)),0),IFERROR(INDEX(Pension_Model!$D$2:$D$29,MATCH(H409,Pension_Model!$B$2:$B$29,0)),0)),0))))))</f>
        <v>0.05</v>
      </c>
      <c r="Q405" s="28">
        <f>Population_Data!$B$15*P405</f>
        <v>660600</v>
      </c>
      <c r="S405">
        <f t="shared" si="6"/>
        <v>1545905.0488245864</v>
      </c>
      <c r="U405" s="33">
        <f>S405/Population_Data!$B$19</f>
        <v>2.8005526246822218E-2</v>
      </c>
    </row>
    <row r="406" spans="1:21">
      <c r="A406" s="25">
        <f>Calendar!A406</f>
        <v>46639</v>
      </c>
      <c r="B406" t="str">
        <f>Calendar!L406</f>
        <v>Yes</v>
      </c>
      <c r="C406" t="str">
        <f>Calendar!O406</f>
        <v>No</v>
      </c>
      <c r="D406" t="str">
        <f>Calendar!P406</f>
        <v>No</v>
      </c>
      <c r="E406" t="str">
        <f>Calendar!Q406</f>
        <v>No</v>
      </c>
      <c r="F406" t="str">
        <f>Calendar!I406</f>
        <v>Thursday</v>
      </c>
      <c r="G406">
        <f>Calendar!S406</f>
        <v>5</v>
      </c>
      <c r="H406">
        <f>Calendar!T406</f>
        <v>19</v>
      </c>
      <c r="I406" s="27">
        <f>IF(VLOOKUP(A406,Calendar!$A$1:$R$1377,18,0)=0,0,IF(VLOOKUP(A406,Calendar!$A$1:$R$1377,18,0)=1,INDEX(Monthly_Pay_Model!$A$9:$D$40,MATCH(TEXT(A406,"dd"),Monthly_Pay_Model!$C$9:$C$39,0),4),IF(VLOOKUP(A406,Calendar!$A$1:$R$1377,18,0)=2,SUM(INDEX(Monthly_Pay_Model!$A$9:$D$40,MATCH(TEXT(A406,"dd"),Monthly_Pay_Model!$C$9:$C$39,0),4),INDEX(Monthly_Pay_Model!$A$9:$D$40,MATCH(TEXT(A407,"dd"),Monthly_Pay_Model!$C$9:$C$39,0),4)),IF(VLOOKUP(A406,Calendar!$A$1:$R$1377,18,0)=3,SUM(INDEX(Monthly_Pay_Model!$A$9:$D$40,MATCH(TEXT(A406,"dd"),Monthly_Pay_Model!$C$9:$C$39,0),4),INDEX(Monthly_Pay_Model!$A$9:$D$40,MATCH(TEXT(A407,"dd"),Monthly_Pay_Model!$C$9:$C$39,0),4),INDEX(Monthly_Pay_Model!$A$9:$D$40,MATCH(TEXT(A408,"dd"),Monthly_Pay_Model!$C$9:$C$39,0),4)),IF(VLOOKUP(A406,Calendar!$A$1:$R$1377,18,0)=4,SUM(INDEX(Monthly_Pay_Model!$A$9:$D$40,MATCH(TEXT(A406,"dd"),Monthly_Pay_Model!$C$9:$C$39,0),4),INDEX(Monthly_Pay_Model!$A$9:$D$40,MATCH(TEXT(A407,"dd"),Monthly_Pay_Model!$C$9:$C$39,0),4),INDEX(Monthly_Pay_Model!$A$9:$D$40,MATCH(TEXT(A408,"dd"),Monthly_Pay_Model!$C$9:$C$39,0),4),INDEX(Monthly_Pay_Model!$A$9:$D$40,MATCH(TEXT(A409,"dd"),Monthly_Pay_Model!$C$9:$C$39,0),4)),IF(VLOOKUP(A406,Calendar!$A$1:$R$1377,18,0)=5,SUM(INDEX(Monthly_Pay_Model!$A$9:$D$40,MATCH(TEXT(A406,"dd"),Monthly_Pay_Model!$C$9:$C$39,0),4),INDEX(Monthly_Pay_Model!$A$9:$D$40,MATCH(TEXT(A407,"dd"),Monthly_Pay_Model!$C$9:$C$39,0),4),INDEX(Monthly_Pay_Model!$A$9:$D$40,MATCH(TEXT(A408,"dd"),Monthly_Pay_Model!$C$9:$C$39,0),4),INDEX(Monthly_Pay_Model!$A$9:$D$40,MATCH(TEXT(A409,"dd"),Monthly_Pay_Model!$C$9:$C$39,0),4),INDEX(Monthly_Pay_Model!$A$9:$D$40,MATCH(TEXT(A410,"dd"),Monthly_Pay_Model!$C$9:$C$39,0),4)),))))))</f>
        <v>8.1256544502617792E-4</v>
      </c>
      <c r="J406" s="33">
        <f>IF(C406="Yes",Monthly_Pay_Model!$D$2,0)
+IF(Calendar!N406="Yes",Monthly_Pay_Model!$D$3,0)
+IF(D406="Yes",Monthly_Pay_Model!$D$4,0)
+IF(E406="Yes",Monthly_Pay_Model!$D$5,0)</f>
        <v>0</v>
      </c>
      <c r="K406" s="27">
        <f>IF(VLOOKUP($A406,Calendar!$A$1:$R$1377,18,0)=0,0,IF(VLOOKUP($A406,Calendar!$A$1:$R$1377,18,0)=1,IFERROR(INDEX(Weekly_Model!$D$2:$D$9,MATCH(F406,Weekly_Model!$A$2:$A$9,0)),0),IF(VLOOKUP($A406,Calendar!$A$1:$R$1377,18,0)=2,SUM(IFERROR(INDEX(Weekly_Model!$D$2:$D$9,MATCH(F406,Weekly_Model!$A$2:$A$9,0)),0),IFERROR(INDEX(Weekly_Model!$D$2:$D$9,MATCH(F407,Weekly_Model!$A$2:$A$9,0)),0)),IF(VLOOKUP($A406,Calendar!$A$1:$R$1377,18,0)=3,SUM(IFERROR(INDEX(Weekly_Model!$D$2:$D$9,MATCH(F406,Weekly_Model!$A$2:$A$9,0)),0),IFERROR(INDEX(Weekly_Model!$D$2:$D$9,MATCH(F407,Weekly_Model!$A$2:$A$9,0)),0),IFERROR(INDEX(Weekly_Model!$D$2:$D$9,MATCH(F408,Weekly_Model!$A$2:$A$9,0)),0)),IF(VLOOKUP($A406,Calendar!$A$1:$R$1377,18,0)=4,SUM(IFERROR(INDEX(Weekly_Model!$D$2:$D$9,MATCH(F406,Weekly_Model!$A$2:$A$9,0)),0),IFERROR(INDEX(Weekly_Model!$D$2:$D$9,MATCH(F407,Weekly_Model!$A$2:$A$9,0)),0),IFERROR(INDEX(Weekly_Model!$D$2:$D$9,MATCH(F408,Weekly_Model!$A$2:$A$9,0)),0),IFERROR(INDEX(Weekly_Model!$D$2:$D$9,MATCH(F409,Weekly_Model!$A$2:$A$9,0)),0)),IF(VLOOKUP($A406,Calendar!$A$1:$R$1377,18,0)=5,SUM(IFERROR(INDEX(Weekly_Model!$D$2:$D$9,MATCH(F406,Weekly_Model!$A$2:$A$9,0)),0),IFERROR(INDEX(Weekly_Model!$D$2:$D$9,MATCH(F407,Weekly_Model!$A$2:$A$9,0)),0),IFERROR(INDEX(Weekly_Model!$D$2:$D$9,MATCH(F408,Weekly_Model!$A$2:$A$9,0)),0),IFERROR(INDEX(Weekly_Model!$D$2:$D$9,MATCH(F409,Weekly_Model!$A$2:$A$9,0)),0),IFERROR(INDEX(Weekly_Model!$D$2:$D$9,MATCH(F410,Weekly_Model!$A$2:$A$9,0)),0)),0))))))</f>
        <v>2.3200000000000002E-2</v>
      </c>
      <c r="L406" s="27">
        <f>IF(VLOOKUP($A406,Calendar!$A$1:$R$1377,18,0)=0,0,IF(VLOOKUP($A406,Calendar!$A$1:$R$1377,18,0)=1,IFERROR(INDEX(Fortnightly_Model!$D$2:$D$15,MATCH(G406,Fortnightly_Model!$B$2:$B$15,0)),0),IF(VLOOKUP($A406,Calendar!$A$1:$R$1377,18,0)=2,SUM(IFERROR(INDEX(Fortnightly_Model!$D$2:$D$15,MATCH(G406,Fortnightly_Model!$B$2:$B$15,0)),0),IFERROR(INDEX(Fortnightly_Model!$D$2:$D$15,MATCH(G407,Fortnightly_Model!$B$2:$B$15,0)),0)),IF(VLOOKUP($A406,Calendar!$A$1:$R$1377,18,0)=3,SUM(IFERROR(INDEX(Fortnightly_Model!$D$2:$D$15,MATCH(G406,Fortnightly_Model!$B$2:$B$15,0)),0),IFERROR(INDEX(Fortnightly_Model!$D$2:$D$15,MATCH(G407,Fortnightly_Model!$B$2:$B$15,0)),0),IFERROR(INDEX(Fortnightly_Model!$D$2:$D$15,MATCH(G408,Fortnightly_Model!$B$2:$B$15,0)),0)),IF(VLOOKUP($A406,Calendar!$A$1:$R$1377,18,0)=4,SUM(IFERROR(INDEX(Fortnightly_Model!$D$2:$D$15,MATCH(G406,Fortnightly_Model!$B$2:$B$15,0)),0),IFERROR(INDEX(Fortnightly_Model!$D$2:$D$15,MATCH(G407,Fortnightly_Model!$B$2:$B$15,0)),0),IFERROR(INDEX(Fortnightly_Model!$D$2:$D$15,MATCH(G408,Fortnightly_Model!$B$2:$B$15,0)),0),IFERROR(INDEX(Fortnightly_Model!$D$2:$D$15,MATCH(G409,Fortnightly_Model!$B$2:$B$15,0)),0)),IF(VLOOKUP($A406,Calendar!$A$1:$R$1377,18,0)=5,SUM(IFERROR(INDEX(Fortnightly_Model!$D$2:$D$15,MATCH(G406,Fortnightly_Model!$B$2:$B$15,0)),0),IFERROR(INDEX(Fortnightly_Model!$D$2:$D$15,MATCH(G407,Fortnightly_Model!$B$2:$B$15,0)),0),IFERROR(INDEX(Fortnightly_Model!$D$2:$D$15,MATCH(G408,Fortnightly_Model!$B$2:$B$15,0)),0),IFERROR(INDEX(Fortnightly_Model!$D$2:$D$15,MATCH(G409,Fortnightly_Model!$B$2:$B$15,0)),0),IFERROR(INDEX(Fortnightly_Model!$D$2:$D$15,MATCH(G410,Fortnightly_Model!$B$2:$B$15,0)),0)),0))))))</f>
        <v>1.0714285499999999E-3</v>
      </c>
      <c r="M406" s="27">
        <f>IF(VLOOKUP($A406,Calendar!$A$1:$R$1377,18,0)=0,0,IF(VLOOKUP($A406,Calendar!$A$1:$R$1377,18,0)=1,IFERROR(INDEX(FourWeekly_Model!$D$2:$D$29,MATCH(H406,FourWeekly_Model!$B$2:$B$29,0)),0),IF(VLOOKUP($A406,Calendar!$A$1:$R$1377,18,0)=2,SUM(IFERROR(INDEX(FourWeekly_Model!$D$2:$D$29,MATCH(H406,FourWeekly_Model!$B$2:$B$29,0)),0),IFERROR(INDEX(FourWeekly_Model!$D$2:$D$29,MATCH(H407,FourWeekly_Model!$B$2:$B$29,0)),0)),IF(VLOOKUP($A406,Calendar!$A$1:$R$1377,18,0)=3,SUM(IFERROR(INDEX(FourWeekly_Model!$D$2:$D$29,MATCH(H406,FourWeekly_Model!$B$2:$B$29,0)),0),IFERROR(INDEX(FourWeekly_Model!$D$2:$D$29,MATCH(H407,FourWeekly_Model!$B$2:$B$29,0)),0),IFERROR(INDEX(FourWeekly_Model!$D$2:$D$29,MATCH(H408,FourWeekly_Model!$B$2:$B$29,0)),0)),IF(VLOOKUP($A406,Calendar!$A$1:$R$1377,18,0)=4,SUM(IFERROR(INDEX(FourWeekly_Model!$D$2:$D$29,MATCH(H406,FourWeekly_Model!$B$2:$B$29,0)),0),IFERROR(INDEX(FourWeekly_Model!$D$2:$D$29,MATCH(H407,FourWeekly_Model!$B$2:$B$29,0)),0),IFERROR(INDEX(FourWeekly_Model!$D$2:$D$29,MATCH(H408,FourWeekly_Model!$B$2:$B$29,0)),0),IFERROR(INDEX(FourWeekly_Model!$D$2:$D$29,MATCH(H409,FourWeekly_Model!$B$2:$B$29,0)),0)),IF(VLOOKUP($A406,Calendar!$A$1:$R$1377,18,0)=5,SUM(IFERROR(INDEX(FourWeekly_Model!$D$2:$D$29,MATCH(H406,FourWeekly_Model!$B$2:$B$29,0)),0),IFERROR(INDEX(FourWeekly_Model!$D$2:$D$29,MATCH(H407,FourWeekly_Model!$B$2:$B$29,0)),0),IFERROR(INDEX(FourWeekly_Model!$D$2:$D$29,MATCH(H408,FourWeekly_Model!$B$2:$B$29,0)),0),IFERROR(INDEX(FourWeekly_Model!$D$2:$D$29,MATCH(H409,FourWeekly_Model!$B$2:$B$29,0)),0),IFERROR(INDEX(FourWeekly_Model!$D$2:$D$29,MATCH(H410,FourWeekly_Model!$B$2:$B$29,0)),0)),0))))))</f>
        <v>3.3214289700000004E-3</v>
      </c>
      <c r="N406" s="27">
        <f>SUM(I406:M406)</f>
        <v>2.840542296502618E-2</v>
      </c>
      <c r="O406" s="28">
        <f>Population_Data!$B$8*N406</f>
        <v>860684.3158402933</v>
      </c>
      <c r="P406" s="27">
        <f>IF(VLOOKUP($A406,Calendar!$A$1:$R$1377,18,0)=0,0,IF(VLOOKUP($A406,Calendar!$A$1:$R$1377,18,0)=1,IFERROR(INDEX(Pension_Model!$D$2:$D$29,MATCH(H406,Pension_Model!$B$2:$B$29,0)),0),IF(VLOOKUP($A406,Calendar!$A$1:$R$1377,18,0)=2,SUM(IFERROR(INDEX(Pension_Model!$D$2:$D$29,MATCH(H406,Pension_Model!$B$2:$B$29,0)),0),IFERROR(INDEX(Pension_Model!$D$2:$D$29,MATCH(H407,Pension_Model!$B$2:$B$29,0)),0)),IF(VLOOKUP($A406,Calendar!$A$1:$R$1377,18,0)=3,SUM(IFERROR(INDEX(Pension_Model!$D$2:$D$29,MATCH(H406,Pension_Model!$B$2:$B$29,0)),0),IFERROR(INDEX(Pension_Model!$D$2:$D$29,MATCH(H407,Pension_Model!$B$2:$B$29,0)),0),IFERROR(INDEX(Pension_Model!$D$2:$D$29,MATCH(H408,Pension_Model!$B$2:$B$29,0)),0)),IF(VLOOKUP($A406,Calendar!$A$1:$R$1377,18,0)=4,SUM(IFERROR(INDEX(Pension_Model!$D$2:$D$29,MATCH(H406,Pension_Model!$B$2:$B$29,0)),0),IFERROR(INDEX(Pension_Model!$D$2:$D$29,MATCH(H407,Pension_Model!$B$2:$B$29,0)),0),IFERROR(INDEX(Pension_Model!$D$2:$D$29,MATCH(H408,Pension_Model!$B$2:$B$29,0)),0),IFERROR(INDEX(Pension_Model!$D$2:$D$29,MATCH(H409,Pension_Model!$B$2:$B$29,0)),0)),IF(VLOOKUP($A406,Calendar!$A$1:$R$1377,18,0)=5,SUM(IFERROR(INDEX(Pension_Model!$D$2:$D$29,MATCH(H406,Pension_Model!$B$2:$B$29,0)),0),IFERROR(INDEX(Pension_Model!$D$2:$D$29,MATCH(H407,Pension_Model!$B$2:$B$29,0)),0),IFERROR(INDEX(Pension_Model!$D$2:$D$29,MATCH(H408,Pension_Model!$B$2:$B$29,0)),0),IFERROR(INDEX(Pension_Model!$D$2:$D$29,MATCH(H409,Pension_Model!$B$2:$B$29,0)),0),IFERROR(INDEX(Pension_Model!$D$2:$D$29,MATCH(H410,Pension_Model!$B$2:$B$29,0)),0)),0))))))</f>
        <v>0.05</v>
      </c>
      <c r="Q406" s="28">
        <f>Population_Data!$B$15*P406</f>
        <v>660600</v>
      </c>
      <c r="S406">
        <f t="shared" si="6"/>
        <v>1521284.3158402932</v>
      </c>
      <c r="U406" s="33">
        <f>S406/Population_Data!$B$19</f>
        <v>2.7559498475367629E-2</v>
      </c>
    </row>
    <row r="407" spans="1:21">
      <c r="A407" s="25">
        <f>Calendar!A407</f>
        <v>46640</v>
      </c>
      <c r="B407" t="str">
        <f>Calendar!L407</f>
        <v>Yes</v>
      </c>
      <c r="C407" t="str">
        <f>Calendar!O407</f>
        <v>No</v>
      </c>
      <c r="D407" t="str">
        <f>Calendar!P407</f>
        <v>No</v>
      </c>
      <c r="E407" t="str">
        <f>Calendar!Q407</f>
        <v>No</v>
      </c>
      <c r="F407" t="str">
        <f>Calendar!I407</f>
        <v>Friday</v>
      </c>
      <c r="G407">
        <f>Calendar!S407</f>
        <v>6</v>
      </c>
      <c r="H407">
        <f>Calendar!T407</f>
        <v>20</v>
      </c>
      <c r="I407" s="27">
        <f>IF(VLOOKUP(A407,Calendar!$A$1:$R$1377,18,0)=0,0,IF(VLOOKUP(A407,Calendar!$A$1:$R$1377,18,0)=1,INDEX(Monthly_Pay_Model!$A$9:$D$40,MATCH(TEXT(A407,"dd"),Monthly_Pay_Model!$C$9:$C$39,0),4),IF(VLOOKUP(A407,Calendar!$A$1:$R$1377,18,0)=2,SUM(INDEX(Monthly_Pay_Model!$A$9:$D$40,MATCH(TEXT(A407,"dd"),Monthly_Pay_Model!$C$9:$C$39,0),4),INDEX(Monthly_Pay_Model!$A$9:$D$40,MATCH(TEXT(A408,"dd"),Monthly_Pay_Model!$C$9:$C$39,0),4)),IF(VLOOKUP(A407,Calendar!$A$1:$R$1377,18,0)=3,SUM(INDEX(Monthly_Pay_Model!$A$9:$D$40,MATCH(TEXT(A407,"dd"),Monthly_Pay_Model!$C$9:$C$39,0),4),INDEX(Monthly_Pay_Model!$A$9:$D$40,MATCH(TEXT(A408,"dd"),Monthly_Pay_Model!$C$9:$C$39,0),4),INDEX(Monthly_Pay_Model!$A$9:$D$40,MATCH(TEXT(A409,"dd"),Monthly_Pay_Model!$C$9:$C$39,0),4)),IF(VLOOKUP(A407,Calendar!$A$1:$R$1377,18,0)=4,SUM(INDEX(Monthly_Pay_Model!$A$9:$D$40,MATCH(TEXT(A407,"dd"),Monthly_Pay_Model!$C$9:$C$39,0),4),INDEX(Monthly_Pay_Model!$A$9:$D$40,MATCH(TEXT(A408,"dd"),Monthly_Pay_Model!$C$9:$C$39,0),4),INDEX(Monthly_Pay_Model!$A$9:$D$40,MATCH(TEXT(A409,"dd"),Monthly_Pay_Model!$C$9:$C$39,0),4),INDEX(Monthly_Pay_Model!$A$9:$D$40,MATCH(TEXT(A410,"dd"),Monthly_Pay_Model!$C$9:$C$39,0),4)),IF(VLOOKUP(A407,Calendar!$A$1:$R$1377,18,0)=5,SUM(INDEX(Monthly_Pay_Model!$A$9:$D$40,MATCH(TEXT(A407,"dd"),Monthly_Pay_Model!$C$9:$C$39,0),4),INDEX(Monthly_Pay_Model!$A$9:$D$40,MATCH(TEXT(A408,"dd"),Monthly_Pay_Model!$C$9:$C$39,0),4),INDEX(Monthly_Pay_Model!$A$9:$D$40,MATCH(TEXT(A409,"dd"),Monthly_Pay_Model!$C$9:$C$39,0),4),INDEX(Monthly_Pay_Model!$A$9:$D$40,MATCH(TEXT(A410,"dd"),Monthly_Pay_Model!$C$9:$C$39,0),4),INDEX(Monthly_Pay_Model!$A$9:$D$40,MATCH(TEXT(A411,"dd"),Monthly_Pay_Model!$C$9:$C$39,0),4)),))))))</f>
        <v>7.3130890052356002E-3</v>
      </c>
      <c r="J407" s="33">
        <f>IF(C407="Yes",Monthly_Pay_Model!$D$2,0)
+IF(Calendar!N407="Yes",Monthly_Pay_Model!$D$3,0)
+IF(D407="Yes",Monthly_Pay_Model!$D$4,0)
+IF(E407="Yes",Monthly_Pay_Model!$D$5,0)</f>
        <v>0</v>
      </c>
      <c r="K407" s="27">
        <f>IF(VLOOKUP($A407,Calendar!$A$1:$R$1377,18,0)=0,0,IF(VLOOKUP($A407,Calendar!$A$1:$R$1377,18,0)=1,IFERROR(INDEX(Weekly_Model!$D$2:$D$9,MATCH(F407,Weekly_Model!$A$2:$A$9,0)),0),IF(VLOOKUP($A407,Calendar!$A$1:$R$1377,18,0)=2,SUM(IFERROR(INDEX(Weekly_Model!$D$2:$D$9,MATCH(F407,Weekly_Model!$A$2:$A$9,0)),0),IFERROR(INDEX(Weekly_Model!$D$2:$D$9,MATCH(F408,Weekly_Model!$A$2:$A$9,0)),0)),IF(VLOOKUP($A407,Calendar!$A$1:$R$1377,18,0)=3,SUM(IFERROR(INDEX(Weekly_Model!$D$2:$D$9,MATCH(F407,Weekly_Model!$A$2:$A$9,0)),0),IFERROR(INDEX(Weekly_Model!$D$2:$D$9,MATCH(F408,Weekly_Model!$A$2:$A$9,0)),0),IFERROR(INDEX(Weekly_Model!$D$2:$D$9,MATCH(F409,Weekly_Model!$A$2:$A$9,0)),0)),IF(VLOOKUP($A407,Calendar!$A$1:$R$1377,18,0)=4,SUM(IFERROR(INDEX(Weekly_Model!$D$2:$D$9,MATCH(F407,Weekly_Model!$A$2:$A$9,0)),0),IFERROR(INDEX(Weekly_Model!$D$2:$D$9,MATCH(F408,Weekly_Model!$A$2:$A$9,0)),0),IFERROR(INDEX(Weekly_Model!$D$2:$D$9,MATCH(F409,Weekly_Model!$A$2:$A$9,0)),0),IFERROR(INDEX(Weekly_Model!$D$2:$D$9,MATCH(F410,Weekly_Model!$A$2:$A$9,0)),0)),IF(VLOOKUP($A407,Calendar!$A$1:$R$1377,18,0)=5,SUM(IFERROR(INDEX(Weekly_Model!$D$2:$D$9,MATCH(F407,Weekly_Model!$A$2:$A$9,0)),0),IFERROR(INDEX(Weekly_Model!$D$2:$D$9,MATCH(F408,Weekly_Model!$A$2:$A$9,0)),0),IFERROR(INDEX(Weekly_Model!$D$2:$D$9,MATCH(F409,Weekly_Model!$A$2:$A$9,0)),0),IFERROR(INDEX(Weekly_Model!$D$2:$D$9,MATCH(F410,Weekly_Model!$A$2:$A$9,0)),0),IFERROR(INDEX(Weekly_Model!$D$2:$D$9,MATCH(F411,Weekly_Model!$A$2:$A$9,0)),0)),0))))))</f>
        <v>2.3200000000000002E-2</v>
      </c>
      <c r="L407" s="27">
        <f>IF(VLOOKUP($A407,Calendar!$A$1:$R$1377,18,0)=0,0,IF(VLOOKUP($A407,Calendar!$A$1:$R$1377,18,0)=1,IFERROR(INDEX(Fortnightly_Model!$D$2:$D$15,MATCH(G407,Fortnightly_Model!$B$2:$B$15,0)),0),IF(VLOOKUP($A407,Calendar!$A$1:$R$1377,18,0)=2,SUM(IFERROR(INDEX(Fortnightly_Model!$D$2:$D$15,MATCH(G407,Fortnightly_Model!$B$2:$B$15,0)),0),IFERROR(INDEX(Fortnightly_Model!$D$2:$D$15,MATCH(G408,Fortnightly_Model!$B$2:$B$15,0)),0)),IF(VLOOKUP($A407,Calendar!$A$1:$R$1377,18,0)=3,SUM(IFERROR(INDEX(Fortnightly_Model!$D$2:$D$15,MATCH(G407,Fortnightly_Model!$B$2:$B$15,0)),0),IFERROR(INDEX(Fortnightly_Model!$D$2:$D$15,MATCH(G408,Fortnightly_Model!$B$2:$B$15,0)),0),IFERROR(INDEX(Fortnightly_Model!$D$2:$D$15,MATCH(G409,Fortnightly_Model!$B$2:$B$15,0)),0)),IF(VLOOKUP($A407,Calendar!$A$1:$R$1377,18,0)=4,SUM(IFERROR(INDEX(Fortnightly_Model!$D$2:$D$15,MATCH(G407,Fortnightly_Model!$B$2:$B$15,0)),0),IFERROR(INDEX(Fortnightly_Model!$D$2:$D$15,MATCH(G408,Fortnightly_Model!$B$2:$B$15,0)),0),IFERROR(INDEX(Fortnightly_Model!$D$2:$D$15,MATCH(G409,Fortnightly_Model!$B$2:$B$15,0)),0),IFERROR(INDEX(Fortnightly_Model!$D$2:$D$15,MATCH(G410,Fortnightly_Model!$B$2:$B$15,0)),0)),IF(VLOOKUP($A407,Calendar!$A$1:$R$1377,18,0)=5,SUM(IFERROR(INDEX(Fortnightly_Model!$D$2:$D$15,MATCH(G407,Fortnightly_Model!$B$2:$B$15,0)),0),IFERROR(INDEX(Fortnightly_Model!$D$2:$D$15,MATCH(G408,Fortnightly_Model!$B$2:$B$15,0)),0),IFERROR(INDEX(Fortnightly_Model!$D$2:$D$15,MATCH(G409,Fortnightly_Model!$B$2:$B$15,0)),0),IFERROR(INDEX(Fortnightly_Model!$D$2:$D$15,MATCH(G410,Fortnightly_Model!$B$2:$B$15,0)),0),IFERROR(INDEX(Fortnightly_Model!$D$2:$D$15,MATCH(G411,Fortnightly_Model!$B$2:$B$15,0)),0)),0))))))</f>
        <v>3.2142856499999999E-3</v>
      </c>
      <c r="M407" s="27">
        <f>IF(VLOOKUP($A407,Calendar!$A$1:$R$1377,18,0)=0,0,IF(VLOOKUP($A407,Calendar!$A$1:$R$1377,18,0)=1,IFERROR(INDEX(FourWeekly_Model!$D$2:$D$29,MATCH(H407,FourWeekly_Model!$B$2:$B$29,0)),0),IF(VLOOKUP($A407,Calendar!$A$1:$R$1377,18,0)=2,SUM(IFERROR(INDEX(FourWeekly_Model!$D$2:$D$29,MATCH(H407,FourWeekly_Model!$B$2:$B$29,0)),0),IFERROR(INDEX(FourWeekly_Model!$D$2:$D$29,MATCH(H408,FourWeekly_Model!$B$2:$B$29,0)),0)),IF(VLOOKUP($A407,Calendar!$A$1:$R$1377,18,0)=3,SUM(IFERROR(INDEX(FourWeekly_Model!$D$2:$D$29,MATCH(H407,FourWeekly_Model!$B$2:$B$29,0)),0),IFERROR(INDEX(FourWeekly_Model!$D$2:$D$29,MATCH(H408,FourWeekly_Model!$B$2:$B$29,0)),0),IFERROR(INDEX(FourWeekly_Model!$D$2:$D$29,MATCH(H409,FourWeekly_Model!$B$2:$B$29,0)),0)),IF(VLOOKUP($A407,Calendar!$A$1:$R$1377,18,0)=4,SUM(IFERROR(INDEX(FourWeekly_Model!$D$2:$D$29,MATCH(H407,FourWeekly_Model!$B$2:$B$29,0)),0),IFERROR(INDEX(FourWeekly_Model!$D$2:$D$29,MATCH(H408,FourWeekly_Model!$B$2:$B$29,0)),0),IFERROR(INDEX(FourWeekly_Model!$D$2:$D$29,MATCH(H409,FourWeekly_Model!$B$2:$B$29,0)),0),IFERROR(INDEX(FourWeekly_Model!$D$2:$D$29,MATCH(H410,FourWeekly_Model!$B$2:$B$29,0)),0)),IF(VLOOKUP($A407,Calendar!$A$1:$R$1377,18,0)=5,SUM(IFERROR(INDEX(FourWeekly_Model!$D$2:$D$29,MATCH(H407,FourWeekly_Model!$B$2:$B$29,0)),0),IFERROR(INDEX(FourWeekly_Model!$D$2:$D$29,MATCH(H408,FourWeekly_Model!$B$2:$B$29,0)),0),IFERROR(INDEX(FourWeekly_Model!$D$2:$D$29,MATCH(H409,FourWeekly_Model!$B$2:$B$29,0)),0),IFERROR(INDEX(FourWeekly_Model!$D$2:$D$29,MATCH(H410,FourWeekly_Model!$B$2:$B$29,0)),0),IFERROR(INDEX(FourWeekly_Model!$D$2:$D$29,MATCH(H411,FourWeekly_Model!$B$2:$B$29,0)),0)),0))))))</f>
        <v>9.9642859800000011E-3</v>
      </c>
      <c r="N407" s="27">
        <f>SUM(I407:M407)</f>
        <v>4.3691660635235607E-2</v>
      </c>
      <c r="O407" s="28">
        <f>Population_Data!$B$8*N407</f>
        <v>1323857.3172476389</v>
      </c>
      <c r="P407" s="27">
        <f>IF(VLOOKUP($A407,Calendar!$A$1:$R$1377,18,0)=0,0,IF(VLOOKUP($A407,Calendar!$A$1:$R$1377,18,0)=1,IFERROR(INDEX(Pension_Model!$D$2:$D$29,MATCH(H407,Pension_Model!$B$2:$B$29,0)),0),IF(VLOOKUP($A407,Calendar!$A$1:$R$1377,18,0)=2,SUM(IFERROR(INDEX(Pension_Model!$D$2:$D$29,MATCH(H407,Pension_Model!$B$2:$B$29,0)),0),IFERROR(INDEX(Pension_Model!$D$2:$D$29,MATCH(H408,Pension_Model!$B$2:$B$29,0)),0)),IF(VLOOKUP($A407,Calendar!$A$1:$R$1377,18,0)=3,SUM(IFERROR(INDEX(Pension_Model!$D$2:$D$29,MATCH(H407,Pension_Model!$B$2:$B$29,0)),0),IFERROR(INDEX(Pension_Model!$D$2:$D$29,MATCH(H408,Pension_Model!$B$2:$B$29,0)),0),IFERROR(INDEX(Pension_Model!$D$2:$D$29,MATCH(H409,Pension_Model!$B$2:$B$29,0)),0)),IF(VLOOKUP($A407,Calendar!$A$1:$R$1377,18,0)=4,SUM(IFERROR(INDEX(Pension_Model!$D$2:$D$29,MATCH(H407,Pension_Model!$B$2:$B$29,0)),0),IFERROR(INDEX(Pension_Model!$D$2:$D$29,MATCH(H408,Pension_Model!$B$2:$B$29,0)),0),IFERROR(INDEX(Pension_Model!$D$2:$D$29,MATCH(H409,Pension_Model!$B$2:$B$29,0)),0),IFERROR(INDEX(Pension_Model!$D$2:$D$29,MATCH(H410,Pension_Model!$B$2:$B$29,0)),0)),IF(VLOOKUP($A407,Calendar!$A$1:$R$1377,18,0)=5,SUM(IFERROR(INDEX(Pension_Model!$D$2:$D$29,MATCH(H407,Pension_Model!$B$2:$B$29,0)),0),IFERROR(INDEX(Pension_Model!$D$2:$D$29,MATCH(H408,Pension_Model!$B$2:$B$29,0)),0),IFERROR(INDEX(Pension_Model!$D$2:$D$29,MATCH(H409,Pension_Model!$B$2:$B$29,0)),0),IFERROR(INDEX(Pension_Model!$D$2:$D$29,MATCH(H410,Pension_Model!$B$2:$B$29,0)),0),IFERROR(INDEX(Pension_Model!$D$2:$D$29,MATCH(H411,Pension_Model!$B$2:$B$29,0)),0)),0))))))</f>
        <v>0.05</v>
      </c>
      <c r="Q407" s="28">
        <f>Population_Data!$B$15*P407</f>
        <v>660600</v>
      </c>
      <c r="S407">
        <f t="shared" si="6"/>
        <v>1984457.3172476389</v>
      </c>
      <c r="U407" s="33">
        <f>S407/Population_Data!$B$19</f>
        <v>3.5950313718254329E-2</v>
      </c>
    </row>
    <row r="408" spans="1:21">
      <c r="A408" s="25">
        <f>Calendar!A408</f>
        <v>46641</v>
      </c>
      <c r="B408" t="str">
        <f>Calendar!L408</f>
        <v>No</v>
      </c>
      <c r="C408" t="str">
        <f>Calendar!O408</f>
        <v>No</v>
      </c>
      <c r="D408" t="str">
        <f>Calendar!P408</f>
        <v>No</v>
      </c>
      <c r="E408" t="str">
        <f>Calendar!Q408</f>
        <v>No</v>
      </c>
      <c r="F408" t="str">
        <f>Calendar!I408</f>
        <v>Saturday</v>
      </c>
      <c r="G408">
        <f>Calendar!S408</f>
        <v>7</v>
      </c>
      <c r="H408">
        <f>Calendar!T408</f>
        <v>21</v>
      </c>
      <c r="I408" s="27">
        <f>IF(VLOOKUP(A408,Calendar!$A$1:$R$1377,18,0)=0,0,IF(VLOOKUP(A408,Calendar!$A$1:$R$1377,18,0)=1,INDEX(Monthly_Pay_Model!$A$9:$D$40,MATCH(TEXT(A408,"dd"),Monthly_Pay_Model!$C$9:$C$39,0),4),IF(VLOOKUP(A408,Calendar!$A$1:$R$1377,18,0)=2,SUM(INDEX(Monthly_Pay_Model!$A$9:$D$40,MATCH(TEXT(A408,"dd"),Monthly_Pay_Model!$C$9:$C$39,0),4),INDEX(Monthly_Pay_Model!$A$9:$D$40,MATCH(TEXT(A409,"dd"),Monthly_Pay_Model!$C$9:$C$39,0),4)),IF(VLOOKUP(A408,Calendar!$A$1:$R$1377,18,0)=3,SUM(INDEX(Monthly_Pay_Model!$A$9:$D$40,MATCH(TEXT(A408,"dd"),Monthly_Pay_Model!$C$9:$C$39,0),4),INDEX(Monthly_Pay_Model!$A$9:$D$40,MATCH(TEXT(A409,"dd"),Monthly_Pay_Model!$C$9:$C$39,0),4),INDEX(Monthly_Pay_Model!$A$9:$D$40,MATCH(TEXT(A410,"dd"),Monthly_Pay_Model!$C$9:$C$39,0),4)),IF(VLOOKUP(A408,Calendar!$A$1:$R$1377,18,0)=4,SUM(INDEX(Monthly_Pay_Model!$A$9:$D$40,MATCH(TEXT(A408,"dd"),Monthly_Pay_Model!$C$9:$C$39,0),4),INDEX(Monthly_Pay_Model!$A$9:$D$40,MATCH(TEXT(A409,"dd"),Monthly_Pay_Model!$C$9:$C$39,0),4),INDEX(Monthly_Pay_Model!$A$9:$D$40,MATCH(TEXT(A410,"dd"),Monthly_Pay_Model!$C$9:$C$39,0),4),INDEX(Monthly_Pay_Model!$A$9:$D$40,MATCH(TEXT(A411,"dd"),Monthly_Pay_Model!$C$9:$C$39,0),4)),IF(VLOOKUP(A408,Calendar!$A$1:$R$1377,18,0)=5,SUM(INDEX(Monthly_Pay_Model!$A$9:$D$40,MATCH(TEXT(A408,"dd"),Monthly_Pay_Model!$C$9:$C$39,0),4),INDEX(Monthly_Pay_Model!$A$9:$D$40,MATCH(TEXT(A409,"dd"),Monthly_Pay_Model!$C$9:$C$39,0),4),INDEX(Monthly_Pay_Model!$A$9:$D$40,MATCH(TEXT(A410,"dd"),Monthly_Pay_Model!$C$9:$C$39,0),4),INDEX(Monthly_Pay_Model!$A$9:$D$40,MATCH(TEXT(A411,"dd"),Monthly_Pay_Model!$C$9:$C$39,0),4),INDEX(Monthly_Pay_Model!$A$9:$D$40,MATCH(TEXT(A412,"dd"),Monthly_Pay_Model!$C$9:$C$39,0),4)),))))))</f>
        <v>0</v>
      </c>
      <c r="J408" s="33">
        <f>IF(C408="Yes",Monthly_Pay_Model!$D$2,0)
+IF(Calendar!N408="Yes",Monthly_Pay_Model!$D$3,0)
+IF(D408="Yes",Monthly_Pay_Model!$D$4,0)
+IF(E408="Yes",Monthly_Pay_Model!$D$5,0)</f>
        <v>0</v>
      </c>
      <c r="K408" s="27">
        <f>IF(VLOOKUP($A408,Calendar!$A$1:$R$1377,18,0)=0,0,IF(VLOOKUP($A408,Calendar!$A$1:$R$1377,18,0)=1,IFERROR(INDEX(Weekly_Model!$D$2:$D$9,MATCH(F408,Weekly_Model!$A$2:$A$9,0)),0),IF(VLOOKUP($A408,Calendar!$A$1:$R$1377,18,0)=2,SUM(IFERROR(INDEX(Weekly_Model!$D$2:$D$9,MATCH(F408,Weekly_Model!$A$2:$A$9,0)),0),IFERROR(INDEX(Weekly_Model!$D$2:$D$9,MATCH(F409,Weekly_Model!$A$2:$A$9,0)),0)),IF(VLOOKUP($A408,Calendar!$A$1:$R$1377,18,0)=3,SUM(IFERROR(INDEX(Weekly_Model!$D$2:$D$9,MATCH(F408,Weekly_Model!$A$2:$A$9,0)),0),IFERROR(INDEX(Weekly_Model!$D$2:$D$9,MATCH(F409,Weekly_Model!$A$2:$A$9,0)),0),IFERROR(INDEX(Weekly_Model!$D$2:$D$9,MATCH(F410,Weekly_Model!$A$2:$A$9,0)),0)),IF(VLOOKUP($A408,Calendar!$A$1:$R$1377,18,0)=4,SUM(IFERROR(INDEX(Weekly_Model!$D$2:$D$9,MATCH(F408,Weekly_Model!$A$2:$A$9,0)),0),IFERROR(INDEX(Weekly_Model!$D$2:$D$9,MATCH(F409,Weekly_Model!$A$2:$A$9,0)),0),IFERROR(INDEX(Weekly_Model!$D$2:$D$9,MATCH(F410,Weekly_Model!$A$2:$A$9,0)),0),IFERROR(INDEX(Weekly_Model!$D$2:$D$9,MATCH(F411,Weekly_Model!$A$2:$A$9,0)),0)),IF(VLOOKUP($A408,Calendar!$A$1:$R$1377,18,0)=5,SUM(IFERROR(INDEX(Weekly_Model!$D$2:$D$9,MATCH(F408,Weekly_Model!$A$2:$A$9,0)),0),IFERROR(INDEX(Weekly_Model!$D$2:$D$9,MATCH(F409,Weekly_Model!$A$2:$A$9,0)),0),IFERROR(INDEX(Weekly_Model!$D$2:$D$9,MATCH(F410,Weekly_Model!$A$2:$A$9,0)),0),IFERROR(INDEX(Weekly_Model!$D$2:$D$9,MATCH(F411,Weekly_Model!$A$2:$A$9,0)),0),IFERROR(INDEX(Weekly_Model!$D$2:$D$9,MATCH(F412,Weekly_Model!$A$2:$A$9,0)),0)),0))))))</f>
        <v>0</v>
      </c>
      <c r="L408" s="27">
        <f>IF(VLOOKUP($A408,Calendar!$A$1:$R$1377,18,0)=0,0,IF(VLOOKUP($A408,Calendar!$A$1:$R$1377,18,0)=1,IFERROR(INDEX(Fortnightly_Model!$D$2:$D$15,MATCH(G408,Fortnightly_Model!$B$2:$B$15,0)),0),IF(VLOOKUP($A408,Calendar!$A$1:$R$1377,18,0)=2,SUM(IFERROR(INDEX(Fortnightly_Model!$D$2:$D$15,MATCH(G408,Fortnightly_Model!$B$2:$B$15,0)),0),IFERROR(INDEX(Fortnightly_Model!$D$2:$D$15,MATCH(G409,Fortnightly_Model!$B$2:$B$15,0)),0)),IF(VLOOKUP($A408,Calendar!$A$1:$R$1377,18,0)=3,SUM(IFERROR(INDEX(Fortnightly_Model!$D$2:$D$15,MATCH(G408,Fortnightly_Model!$B$2:$B$15,0)),0),IFERROR(INDEX(Fortnightly_Model!$D$2:$D$15,MATCH(G409,Fortnightly_Model!$B$2:$B$15,0)),0),IFERROR(INDEX(Fortnightly_Model!$D$2:$D$15,MATCH(G410,Fortnightly_Model!$B$2:$B$15,0)),0)),IF(VLOOKUP($A408,Calendar!$A$1:$R$1377,18,0)=4,SUM(IFERROR(INDEX(Fortnightly_Model!$D$2:$D$15,MATCH(G408,Fortnightly_Model!$B$2:$B$15,0)),0),IFERROR(INDEX(Fortnightly_Model!$D$2:$D$15,MATCH(G409,Fortnightly_Model!$B$2:$B$15,0)),0),IFERROR(INDEX(Fortnightly_Model!$D$2:$D$15,MATCH(G410,Fortnightly_Model!$B$2:$B$15,0)),0),IFERROR(INDEX(Fortnightly_Model!$D$2:$D$15,MATCH(G411,Fortnightly_Model!$B$2:$B$15,0)),0)),IF(VLOOKUP($A408,Calendar!$A$1:$R$1377,18,0)=5,SUM(IFERROR(INDEX(Fortnightly_Model!$D$2:$D$15,MATCH(G408,Fortnightly_Model!$B$2:$B$15,0)),0),IFERROR(INDEX(Fortnightly_Model!$D$2:$D$15,MATCH(G409,Fortnightly_Model!$B$2:$B$15,0)),0),IFERROR(INDEX(Fortnightly_Model!$D$2:$D$15,MATCH(G410,Fortnightly_Model!$B$2:$B$15,0)),0),IFERROR(INDEX(Fortnightly_Model!$D$2:$D$15,MATCH(G411,Fortnightly_Model!$B$2:$B$15,0)),0),IFERROR(INDEX(Fortnightly_Model!$D$2:$D$15,MATCH(G412,Fortnightly_Model!$B$2:$B$15,0)),0)),0))))))</f>
        <v>0</v>
      </c>
      <c r="M408" s="27">
        <f>IF(VLOOKUP($A408,Calendar!$A$1:$R$1377,18,0)=0,0,IF(VLOOKUP($A408,Calendar!$A$1:$R$1377,18,0)=1,IFERROR(INDEX(FourWeekly_Model!$D$2:$D$29,MATCH(H408,FourWeekly_Model!$B$2:$B$29,0)),0),IF(VLOOKUP($A408,Calendar!$A$1:$R$1377,18,0)=2,SUM(IFERROR(INDEX(FourWeekly_Model!$D$2:$D$29,MATCH(H408,FourWeekly_Model!$B$2:$B$29,0)),0),IFERROR(INDEX(FourWeekly_Model!$D$2:$D$29,MATCH(H409,FourWeekly_Model!$B$2:$B$29,0)),0)),IF(VLOOKUP($A408,Calendar!$A$1:$R$1377,18,0)=3,SUM(IFERROR(INDEX(FourWeekly_Model!$D$2:$D$29,MATCH(H408,FourWeekly_Model!$B$2:$B$29,0)),0),IFERROR(INDEX(FourWeekly_Model!$D$2:$D$29,MATCH(H409,FourWeekly_Model!$B$2:$B$29,0)),0),IFERROR(INDEX(FourWeekly_Model!$D$2:$D$29,MATCH(H410,FourWeekly_Model!$B$2:$B$29,0)),0)),IF(VLOOKUP($A408,Calendar!$A$1:$R$1377,18,0)=4,SUM(IFERROR(INDEX(FourWeekly_Model!$D$2:$D$29,MATCH(H408,FourWeekly_Model!$B$2:$B$29,0)),0),IFERROR(INDEX(FourWeekly_Model!$D$2:$D$29,MATCH(H409,FourWeekly_Model!$B$2:$B$29,0)),0),IFERROR(INDEX(FourWeekly_Model!$D$2:$D$29,MATCH(H410,FourWeekly_Model!$B$2:$B$29,0)),0),IFERROR(INDEX(FourWeekly_Model!$D$2:$D$29,MATCH(H411,FourWeekly_Model!$B$2:$B$29,0)),0)),IF(VLOOKUP($A408,Calendar!$A$1:$R$1377,18,0)=5,SUM(IFERROR(INDEX(FourWeekly_Model!$D$2:$D$29,MATCH(H408,FourWeekly_Model!$B$2:$B$29,0)),0),IFERROR(INDEX(FourWeekly_Model!$D$2:$D$29,MATCH(H409,FourWeekly_Model!$B$2:$B$29,0)),0),IFERROR(INDEX(FourWeekly_Model!$D$2:$D$29,MATCH(H410,FourWeekly_Model!$B$2:$B$29,0)),0),IFERROR(INDEX(FourWeekly_Model!$D$2:$D$29,MATCH(H411,FourWeekly_Model!$B$2:$B$29,0)),0),IFERROR(INDEX(FourWeekly_Model!$D$2:$D$29,MATCH(H412,FourWeekly_Model!$B$2:$B$29,0)),0)),0))))))</f>
        <v>0</v>
      </c>
      <c r="N408" s="27">
        <f>SUM(I408:M408)</f>
        <v>0</v>
      </c>
      <c r="O408" s="28">
        <f>Population_Data!$B$8*N408</f>
        <v>0</v>
      </c>
      <c r="P408" s="27">
        <f>IF(VLOOKUP($A408,Calendar!$A$1:$R$1377,18,0)=0,0,IF(VLOOKUP($A408,Calendar!$A$1:$R$1377,18,0)=1,IFERROR(INDEX(Pension_Model!$D$2:$D$29,MATCH(H408,Pension_Model!$B$2:$B$29,0)),0),IF(VLOOKUP($A408,Calendar!$A$1:$R$1377,18,0)=2,SUM(IFERROR(INDEX(Pension_Model!$D$2:$D$29,MATCH(H408,Pension_Model!$B$2:$B$29,0)),0),IFERROR(INDEX(Pension_Model!$D$2:$D$29,MATCH(H409,Pension_Model!$B$2:$B$29,0)),0)),IF(VLOOKUP($A408,Calendar!$A$1:$R$1377,18,0)=3,SUM(IFERROR(INDEX(Pension_Model!$D$2:$D$29,MATCH(H408,Pension_Model!$B$2:$B$29,0)),0),IFERROR(INDEX(Pension_Model!$D$2:$D$29,MATCH(H409,Pension_Model!$B$2:$B$29,0)),0),IFERROR(INDEX(Pension_Model!$D$2:$D$29,MATCH(H410,Pension_Model!$B$2:$B$29,0)),0)),IF(VLOOKUP($A408,Calendar!$A$1:$R$1377,18,0)=4,SUM(IFERROR(INDEX(Pension_Model!$D$2:$D$29,MATCH(H408,Pension_Model!$B$2:$B$29,0)),0),IFERROR(INDEX(Pension_Model!$D$2:$D$29,MATCH(H409,Pension_Model!$B$2:$B$29,0)),0),IFERROR(INDEX(Pension_Model!$D$2:$D$29,MATCH(H410,Pension_Model!$B$2:$B$29,0)),0),IFERROR(INDEX(Pension_Model!$D$2:$D$29,MATCH(H411,Pension_Model!$B$2:$B$29,0)),0)),IF(VLOOKUP($A408,Calendar!$A$1:$R$1377,18,0)=5,SUM(IFERROR(INDEX(Pension_Model!$D$2:$D$29,MATCH(H408,Pension_Model!$B$2:$B$29,0)),0),IFERROR(INDEX(Pension_Model!$D$2:$D$29,MATCH(H409,Pension_Model!$B$2:$B$29,0)),0),IFERROR(INDEX(Pension_Model!$D$2:$D$29,MATCH(H410,Pension_Model!$B$2:$B$29,0)),0),IFERROR(INDEX(Pension_Model!$D$2:$D$29,MATCH(H411,Pension_Model!$B$2:$B$29,0)),0),IFERROR(INDEX(Pension_Model!$D$2:$D$29,MATCH(H412,Pension_Model!$B$2:$B$29,0)),0)),0))))))</f>
        <v>0</v>
      </c>
      <c r="Q408" s="28">
        <f>Population_Data!$B$15*P408</f>
        <v>0</v>
      </c>
      <c r="S408">
        <f t="shared" si="6"/>
        <v>0</v>
      </c>
      <c r="U408" s="33">
        <f>S408/Population_Data!$B$19</f>
        <v>0</v>
      </c>
    </row>
    <row r="409" spans="1:21">
      <c r="A409" s="25">
        <f>Calendar!A409</f>
        <v>46642</v>
      </c>
      <c r="B409" t="str">
        <f>Calendar!L409</f>
        <v>No</v>
      </c>
      <c r="C409" t="str">
        <f>Calendar!O409</f>
        <v>No</v>
      </c>
      <c r="D409" t="str">
        <f>Calendar!P409</f>
        <v>No</v>
      </c>
      <c r="E409" t="str">
        <f>Calendar!Q409</f>
        <v>No</v>
      </c>
      <c r="F409" t="str">
        <f>Calendar!I409</f>
        <v>Sunday</v>
      </c>
      <c r="G409">
        <f>Calendar!S409</f>
        <v>8</v>
      </c>
      <c r="H409">
        <f>Calendar!T409</f>
        <v>22</v>
      </c>
      <c r="I409" s="27">
        <f>IF(VLOOKUP(A409,Calendar!$A$1:$R$1377,18,0)=0,0,IF(VLOOKUP(A409,Calendar!$A$1:$R$1377,18,0)=1,INDEX(Monthly_Pay_Model!$A$9:$D$40,MATCH(TEXT(A409,"dd"),Monthly_Pay_Model!$C$9:$C$39,0),4),IF(VLOOKUP(A409,Calendar!$A$1:$R$1377,18,0)=2,SUM(INDEX(Monthly_Pay_Model!$A$9:$D$40,MATCH(TEXT(A409,"dd"),Monthly_Pay_Model!$C$9:$C$39,0),4),INDEX(Monthly_Pay_Model!$A$9:$D$40,MATCH(TEXT(A410,"dd"),Monthly_Pay_Model!$C$9:$C$39,0),4)),IF(VLOOKUP(A409,Calendar!$A$1:$R$1377,18,0)=3,SUM(INDEX(Monthly_Pay_Model!$A$9:$D$40,MATCH(TEXT(A409,"dd"),Monthly_Pay_Model!$C$9:$C$39,0),4),INDEX(Monthly_Pay_Model!$A$9:$D$40,MATCH(TEXT(A410,"dd"),Monthly_Pay_Model!$C$9:$C$39,0),4),INDEX(Monthly_Pay_Model!$A$9:$D$40,MATCH(TEXT(A411,"dd"),Monthly_Pay_Model!$C$9:$C$39,0),4)),IF(VLOOKUP(A409,Calendar!$A$1:$R$1377,18,0)=4,SUM(INDEX(Monthly_Pay_Model!$A$9:$D$40,MATCH(TEXT(A409,"dd"),Monthly_Pay_Model!$C$9:$C$39,0),4),INDEX(Monthly_Pay_Model!$A$9:$D$40,MATCH(TEXT(A410,"dd"),Monthly_Pay_Model!$C$9:$C$39,0),4),INDEX(Monthly_Pay_Model!$A$9:$D$40,MATCH(TEXT(A411,"dd"),Monthly_Pay_Model!$C$9:$C$39,0),4),INDEX(Monthly_Pay_Model!$A$9:$D$40,MATCH(TEXT(A412,"dd"),Monthly_Pay_Model!$C$9:$C$39,0),4)),IF(VLOOKUP(A409,Calendar!$A$1:$R$1377,18,0)=5,SUM(INDEX(Monthly_Pay_Model!$A$9:$D$40,MATCH(TEXT(A409,"dd"),Monthly_Pay_Model!$C$9:$C$39,0),4),INDEX(Monthly_Pay_Model!$A$9:$D$40,MATCH(TEXT(A410,"dd"),Monthly_Pay_Model!$C$9:$C$39,0),4),INDEX(Monthly_Pay_Model!$A$9:$D$40,MATCH(TEXT(A411,"dd"),Monthly_Pay_Model!$C$9:$C$39,0),4),INDEX(Monthly_Pay_Model!$A$9:$D$40,MATCH(TEXT(A412,"dd"),Monthly_Pay_Model!$C$9:$C$39,0),4),INDEX(Monthly_Pay_Model!$A$9:$D$40,MATCH(TEXT(A413,"dd"),Monthly_Pay_Model!$C$9:$C$39,0),4)),))))))</f>
        <v>0</v>
      </c>
      <c r="J409" s="33">
        <f>IF(C409="Yes",Monthly_Pay_Model!$D$2,0)
+IF(Calendar!N409="Yes",Monthly_Pay_Model!$D$3,0)
+IF(D409="Yes",Monthly_Pay_Model!$D$4,0)
+IF(E409="Yes",Monthly_Pay_Model!$D$5,0)</f>
        <v>0</v>
      </c>
      <c r="K409" s="27">
        <f>IF(VLOOKUP($A409,Calendar!$A$1:$R$1377,18,0)=0,0,IF(VLOOKUP($A409,Calendar!$A$1:$R$1377,18,0)=1,IFERROR(INDEX(Weekly_Model!$D$2:$D$9,MATCH(F409,Weekly_Model!$A$2:$A$9,0)),0),IF(VLOOKUP($A409,Calendar!$A$1:$R$1377,18,0)=2,SUM(IFERROR(INDEX(Weekly_Model!$D$2:$D$9,MATCH(F409,Weekly_Model!$A$2:$A$9,0)),0),IFERROR(INDEX(Weekly_Model!$D$2:$D$9,MATCH(F410,Weekly_Model!$A$2:$A$9,0)),0)),IF(VLOOKUP($A409,Calendar!$A$1:$R$1377,18,0)=3,SUM(IFERROR(INDEX(Weekly_Model!$D$2:$D$9,MATCH(F409,Weekly_Model!$A$2:$A$9,0)),0),IFERROR(INDEX(Weekly_Model!$D$2:$D$9,MATCH(F410,Weekly_Model!$A$2:$A$9,0)),0),IFERROR(INDEX(Weekly_Model!$D$2:$D$9,MATCH(F411,Weekly_Model!$A$2:$A$9,0)),0)),IF(VLOOKUP($A409,Calendar!$A$1:$R$1377,18,0)=4,SUM(IFERROR(INDEX(Weekly_Model!$D$2:$D$9,MATCH(F409,Weekly_Model!$A$2:$A$9,0)),0),IFERROR(INDEX(Weekly_Model!$D$2:$D$9,MATCH(F410,Weekly_Model!$A$2:$A$9,0)),0),IFERROR(INDEX(Weekly_Model!$D$2:$D$9,MATCH(F411,Weekly_Model!$A$2:$A$9,0)),0),IFERROR(INDEX(Weekly_Model!$D$2:$D$9,MATCH(F412,Weekly_Model!$A$2:$A$9,0)),0)),IF(VLOOKUP($A409,Calendar!$A$1:$R$1377,18,0)=5,SUM(IFERROR(INDEX(Weekly_Model!$D$2:$D$9,MATCH(F409,Weekly_Model!$A$2:$A$9,0)),0),IFERROR(INDEX(Weekly_Model!$D$2:$D$9,MATCH(F410,Weekly_Model!$A$2:$A$9,0)),0),IFERROR(INDEX(Weekly_Model!$D$2:$D$9,MATCH(F411,Weekly_Model!$A$2:$A$9,0)),0),IFERROR(INDEX(Weekly_Model!$D$2:$D$9,MATCH(F412,Weekly_Model!$A$2:$A$9,0)),0),IFERROR(INDEX(Weekly_Model!$D$2:$D$9,MATCH(F413,Weekly_Model!$A$2:$A$9,0)),0)),0))))))</f>
        <v>0</v>
      </c>
      <c r="L409" s="27">
        <f>IF(VLOOKUP($A409,Calendar!$A$1:$R$1377,18,0)=0,0,IF(VLOOKUP($A409,Calendar!$A$1:$R$1377,18,0)=1,IFERROR(INDEX(Fortnightly_Model!$D$2:$D$15,MATCH(G409,Fortnightly_Model!$B$2:$B$15,0)),0),IF(VLOOKUP($A409,Calendar!$A$1:$R$1377,18,0)=2,SUM(IFERROR(INDEX(Fortnightly_Model!$D$2:$D$15,MATCH(G409,Fortnightly_Model!$B$2:$B$15,0)),0),IFERROR(INDEX(Fortnightly_Model!$D$2:$D$15,MATCH(G410,Fortnightly_Model!$B$2:$B$15,0)),0)),IF(VLOOKUP($A409,Calendar!$A$1:$R$1377,18,0)=3,SUM(IFERROR(INDEX(Fortnightly_Model!$D$2:$D$15,MATCH(G409,Fortnightly_Model!$B$2:$B$15,0)),0),IFERROR(INDEX(Fortnightly_Model!$D$2:$D$15,MATCH(G410,Fortnightly_Model!$B$2:$B$15,0)),0),IFERROR(INDEX(Fortnightly_Model!$D$2:$D$15,MATCH(G411,Fortnightly_Model!$B$2:$B$15,0)),0)),IF(VLOOKUP($A409,Calendar!$A$1:$R$1377,18,0)=4,SUM(IFERROR(INDEX(Fortnightly_Model!$D$2:$D$15,MATCH(G409,Fortnightly_Model!$B$2:$B$15,0)),0),IFERROR(INDEX(Fortnightly_Model!$D$2:$D$15,MATCH(G410,Fortnightly_Model!$B$2:$B$15,0)),0),IFERROR(INDEX(Fortnightly_Model!$D$2:$D$15,MATCH(G411,Fortnightly_Model!$B$2:$B$15,0)),0),IFERROR(INDEX(Fortnightly_Model!$D$2:$D$15,MATCH(G412,Fortnightly_Model!$B$2:$B$15,0)),0)),IF(VLOOKUP($A409,Calendar!$A$1:$R$1377,18,0)=5,SUM(IFERROR(INDEX(Fortnightly_Model!$D$2:$D$15,MATCH(G409,Fortnightly_Model!$B$2:$B$15,0)),0),IFERROR(INDEX(Fortnightly_Model!$D$2:$D$15,MATCH(G410,Fortnightly_Model!$B$2:$B$15,0)),0),IFERROR(INDEX(Fortnightly_Model!$D$2:$D$15,MATCH(G411,Fortnightly_Model!$B$2:$B$15,0)),0),IFERROR(INDEX(Fortnightly_Model!$D$2:$D$15,MATCH(G412,Fortnightly_Model!$B$2:$B$15,0)),0),IFERROR(INDEX(Fortnightly_Model!$D$2:$D$15,MATCH(G413,Fortnightly_Model!$B$2:$B$15,0)),0)),0))))))</f>
        <v>0</v>
      </c>
      <c r="M409" s="27">
        <f>IF(VLOOKUP($A409,Calendar!$A$1:$R$1377,18,0)=0,0,IF(VLOOKUP($A409,Calendar!$A$1:$R$1377,18,0)=1,IFERROR(INDEX(FourWeekly_Model!$D$2:$D$29,MATCH(H409,FourWeekly_Model!$B$2:$B$29,0)),0),IF(VLOOKUP($A409,Calendar!$A$1:$R$1377,18,0)=2,SUM(IFERROR(INDEX(FourWeekly_Model!$D$2:$D$29,MATCH(H409,FourWeekly_Model!$B$2:$B$29,0)),0),IFERROR(INDEX(FourWeekly_Model!$D$2:$D$29,MATCH(H410,FourWeekly_Model!$B$2:$B$29,0)),0)),IF(VLOOKUP($A409,Calendar!$A$1:$R$1377,18,0)=3,SUM(IFERROR(INDEX(FourWeekly_Model!$D$2:$D$29,MATCH(H409,FourWeekly_Model!$B$2:$B$29,0)),0),IFERROR(INDEX(FourWeekly_Model!$D$2:$D$29,MATCH(H410,FourWeekly_Model!$B$2:$B$29,0)),0),IFERROR(INDEX(FourWeekly_Model!$D$2:$D$29,MATCH(H411,FourWeekly_Model!$B$2:$B$29,0)),0)),IF(VLOOKUP($A409,Calendar!$A$1:$R$1377,18,0)=4,SUM(IFERROR(INDEX(FourWeekly_Model!$D$2:$D$29,MATCH(H409,FourWeekly_Model!$B$2:$B$29,0)),0),IFERROR(INDEX(FourWeekly_Model!$D$2:$D$29,MATCH(H410,FourWeekly_Model!$B$2:$B$29,0)),0),IFERROR(INDEX(FourWeekly_Model!$D$2:$D$29,MATCH(H411,FourWeekly_Model!$B$2:$B$29,0)),0),IFERROR(INDEX(FourWeekly_Model!$D$2:$D$29,MATCH(H412,FourWeekly_Model!$B$2:$B$29,0)),0)),IF(VLOOKUP($A409,Calendar!$A$1:$R$1377,18,0)=5,SUM(IFERROR(INDEX(FourWeekly_Model!$D$2:$D$29,MATCH(H409,FourWeekly_Model!$B$2:$B$29,0)),0),IFERROR(INDEX(FourWeekly_Model!$D$2:$D$29,MATCH(H410,FourWeekly_Model!$B$2:$B$29,0)),0),IFERROR(INDEX(FourWeekly_Model!$D$2:$D$29,MATCH(H411,FourWeekly_Model!$B$2:$B$29,0)),0),IFERROR(INDEX(FourWeekly_Model!$D$2:$D$29,MATCH(H412,FourWeekly_Model!$B$2:$B$29,0)),0),IFERROR(INDEX(FourWeekly_Model!$D$2:$D$29,MATCH(H413,FourWeekly_Model!$B$2:$B$29,0)),0)),0))))))</f>
        <v>0</v>
      </c>
      <c r="N409" s="27">
        <f>SUM(I409:M409)</f>
        <v>0</v>
      </c>
      <c r="O409" s="28">
        <f>Population_Data!$B$8*N409</f>
        <v>0</v>
      </c>
      <c r="P409" s="27">
        <f>IF(VLOOKUP($A409,Calendar!$A$1:$R$1377,18,0)=0,0,IF(VLOOKUP($A409,Calendar!$A$1:$R$1377,18,0)=1,IFERROR(INDEX(Pension_Model!$D$2:$D$29,MATCH(H409,Pension_Model!$B$2:$B$29,0)),0),IF(VLOOKUP($A409,Calendar!$A$1:$R$1377,18,0)=2,SUM(IFERROR(INDEX(Pension_Model!$D$2:$D$29,MATCH(H409,Pension_Model!$B$2:$B$29,0)),0),IFERROR(INDEX(Pension_Model!$D$2:$D$29,MATCH(H410,Pension_Model!$B$2:$B$29,0)),0)),IF(VLOOKUP($A409,Calendar!$A$1:$R$1377,18,0)=3,SUM(IFERROR(INDEX(Pension_Model!$D$2:$D$29,MATCH(H409,Pension_Model!$B$2:$B$29,0)),0),IFERROR(INDEX(Pension_Model!$D$2:$D$29,MATCH(H410,Pension_Model!$B$2:$B$29,0)),0),IFERROR(INDEX(Pension_Model!$D$2:$D$29,MATCH(H411,Pension_Model!$B$2:$B$29,0)),0)),IF(VLOOKUP($A409,Calendar!$A$1:$R$1377,18,0)=4,SUM(IFERROR(INDEX(Pension_Model!$D$2:$D$29,MATCH(H409,Pension_Model!$B$2:$B$29,0)),0),IFERROR(INDEX(Pension_Model!$D$2:$D$29,MATCH(H410,Pension_Model!$B$2:$B$29,0)),0),IFERROR(INDEX(Pension_Model!$D$2:$D$29,MATCH(H411,Pension_Model!$B$2:$B$29,0)),0),IFERROR(INDEX(Pension_Model!$D$2:$D$29,MATCH(H412,Pension_Model!$B$2:$B$29,0)),0)),IF(VLOOKUP($A409,Calendar!$A$1:$R$1377,18,0)=5,SUM(IFERROR(INDEX(Pension_Model!$D$2:$D$29,MATCH(H409,Pension_Model!$B$2:$B$29,0)),0),IFERROR(INDEX(Pension_Model!$D$2:$D$29,MATCH(H410,Pension_Model!$B$2:$B$29,0)),0),IFERROR(INDEX(Pension_Model!$D$2:$D$29,MATCH(H411,Pension_Model!$B$2:$B$29,0)),0),IFERROR(INDEX(Pension_Model!$D$2:$D$29,MATCH(H412,Pension_Model!$B$2:$B$29,0)),0),IFERROR(INDEX(Pension_Model!$D$2:$D$29,MATCH(H413,Pension_Model!$B$2:$B$29,0)),0)),0))))))</f>
        <v>0</v>
      </c>
      <c r="Q409" s="28">
        <f>Population_Data!$B$15*P409</f>
        <v>0</v>
      </c>
      <c r="S409">
        <f t="shared" si="6"/>
        <v>0</v>
      </c>
      <c r="U409" s="33">
        <f>S409/Population_Data!$B$19</f>
        <v>0</v>
      </c>
    </row>
    <row r="410" spans="1:21">
      <c r="A410" s="25">
        <f>Calendar!A410</f>
        <v>46643</v>
      </c>
      <c r="B410" t="str">
        <f>Calendar!L410</f>
        <v>Yes</v>
      </c>
      <c r="C410" t="str">
        <f>Calendar!O410</f>
        <v>No</v>
      </c>
      <c r="D410" t="str">
        <f>Calendar!P410</f>
        <v>No</v>
      </c>
      <c r="E410" t="str">
        <f>Calendar!Q410</f>
        <v>No</v>
      </c>
      <c r="F410" t="str">
        <f>Calendar!I410</f>
        <v>Monday</v>
      </c>
      <c r="G410">
        <f>Calendar!S410</f>
        <v>9</v>
      </c>
      <c r="H410">
        <f>Calendar!T410</f>
        <v>23</v>
      </c>
      <c r="I410" s="27">
        <f>IF(VLOOKUP(A410,Calendar!$A$1:$R$1377,18,0)=0,0,IF(VLOOKUP(A410,Calendar!$A$1:$R$1377,18,0)=1,INDEX(Monthly_Pay_Model!$A$9:$D$40,MATCH(TEXT(A410,"dd"),Monthly_Pay_Model!$C$9:$C$39,0),4),IF(VLOOKUP(A410,Calendar!$A$1:$R$1377,18,0)=2,SUM(INDEX(Monthly_Pay_Model!$A$9:$D$40,MATCH(TEXT(A410,"dd"),Monthly_Pay_Model!$C$9:$C$39,0),4),INDEX(Monthly_Pay_Model!$A$9:$D$40,MATCH(TEXT(A411,"dd"),Monthly_Pay_Model!$C$9:$C$39,0),4)),IF(VLOOKUP(A410,Calendar!$A$1:$R$1377,18,0)=3,SUM(INDEX(Monthly_Pay_Model!$A$9:$D$40,MATCH(TEXT(A410,"dd"),Monthly_Pay_Model!$C$9:$C$39,0),4),INDEX(Monthly_Pay_Model!$A$9:$D$40,MATCH(TEXT(A411,"dd"),Monthly_Pay_Model!$C$9:$C$39,0),4),INDEX(Monthly_Pay_Model!$A$9:$D$40,MATCH(TEXT(A412,"dd"),Monthly_Pay_Model!$C$9:$C$39,0),4)),IF(VLOOKUP(A410,Calendar!$A$1:$R$1377,18,0)=4,SUM(INDEX(Monthly_Pay_Model!$A$9:$D$40,MATCH(TEXT(A410,"dd"),Monthly_Pay_Model!$C$9:$C$39,0),4),INDEX(Monthly_Pay_Model!$A$9:$D$40,MATCH(TEXT(A411,"dd"),Monthly_Pay_Model!$C$9:$C$39,0),4),INDEX(Monthly_Pay_Model!$A$9:$D$40,MATCH(TEXT(A412,"dd"),Monthly_Pay_Model!$C$9:$C$39,0),4),INDEX(Monthly_Pay_Model!$A$9:$D$40,MATCH(TEXT(A413,"dd"),Monthly_Pay_Model!$C$9:$C$39,0),4)),IF(VLOOKUP(A410,Calendar!$A$1:$R$1377,18,0)=5,SUM(INDEX(Monthly_Pay_Model!$A$9:$D$40,MATCH(TEXT(A410,"dd"),Monthly_Pay_Model!$C$9:$C$39,0),4),INDEX(Monthly_Pay_Model!$A$9:$D$40,MATCH(TEXT(A411,"dd"),Monthly_Pay_Model!$C$9:$C$39,0),4),INDEX(Monthly_Pay_Model!$A$9:$D$40,MATCH(TEXT(A412,"dd"),Monthly_Pay_Model!$C$9:$C$39,0),4),INDEX(Monthly_Pay_Model!$A$9:$D$40,MATCH(TEXT(A413,"dd"),Monthly_Pay_Model!$C$9:$C$39,0),4),INDEX(Monthly_Pay_Model!$A$9:$D$40,MATCH(TEXT(A414,"dd"),Monthly_Pay_Model!$C$9:$C$39,0),4)),))))))</f>
        <v>8.1256544502617792E-4</v>
      </c>
      <c r="J410" s="33">
        <f>IF(C410="Yes",Monthly_Pay_Model!$D$2,0)
+IF(Calendar!N410="Yes",Monthly_Pay_Model!$D$3,0)
+IF(D410="Yes",Monthly_Pay_Model!$D$4,0)
+IF(E410="Yes",Monthly_Pay_Model!$D$5,0)</f>
        <v>0</v>
      </c>
      <c r="K410" s="27">
        <f>IF(VLOOKUP($A410,Calendar!$A$1:$R$1377,18,0)=0,0,IF(VLOOKUP($A410,Calendar!$A$1:$R$1377,18,0)=1,IFERROR(INDEX(Weekly_Model!$D$2:$D$9,MATCH(F410,Weekly_Model!$A$2:$A$9,0)),0),IF(VLOOKUP($A410,Calendar!$A$1:$R$1377,18,0)=2,SUM(IFERROR(INDEX(Weekly_Model!$D$2:$D$9,MATCH(F410,Weekly_Model!$A$2:$A$9,0)),0),IFERROR(INDEX(Weekly_Model!$D$2:$D$9,MATCH(F411,Weekly_Model!$A$2:$A$9,0)),0)),IF(VLOOKUP($A410,Calendar!$A$1:$R$1377,18,0)=3,SUM(IFERROR(INDEX(Weekly_Model!$D$2:$D$9,MATCH(F410,Weekly_Model!$A$2:$A$9,0)),0),IFERROR(INDEX(Weekly_Model!$D$2:$D$9,MATCH(F411,Weekly_Model!$A$2:$A$9,0)),0),IFERROR(INDEX(Weekly_Model!$D$2:$D$9,MATCH(F412,Weekly_Model!$A$2:$A$9,0)),0)),IF(VLOOKUP($A410,Calendar!$A$1:$R$1377,18,0)=4,SUM(IFERROR(INDEX(Weekly_Model!$D$2:$D$9,MATCH(F410,Weekly_Model!$A$2:$A$9,0)),0),IFERROR(INDEX(Weekly_Model!$D$2:$D$9,MATCH(F411,Weekly_Model!$A$2:$A$9,0)),0),IFERROR(INDEX(Weekly_Model!$D$2:$D$9,MATCH(F412,Weekly_Model!$A$2:$A$9,0)),0),IFERROR(INDEX(Weekly_Model!$D$2:$D$9,MATCH(F413,Weekly_Model!$A$2:$A$9,0)),0)),IF(VLOOKUP($A410,Calendar!$A$1:$R$1377,18,0)=5,SUM(IFERROR(INDEX(Weekly_Model!$D$2:$D$9,MATCH(F410,Weekly_Model!$A$2:$A$9,0)),0),IFERROR(INDEX(Weekly_Model!$D$2:$D$9,MATCH(F411,Weekly_Model!$A$2:$A$9,0)),0),IFERROR(INDEX(Weekly_Model!$D$2:$D$9,MATCH(F412,Weekly_Model!$A$2:$A$9,0)),0),IFERROR(INDEX(Weekly_Model!$D$2:$D$9,MATCH(F413,Weekly_Model!$A$2:$A$9,0)),0),IFERROR(INDEX(Weekly_Model!$D$2:$D$9,MATCH(F414,Weekly_Model!$A$2:$A$9,0)),0)),0))))))</f>
        <v>2.3200000000000002E-2</v>
      </c>
      <c r="L410" s="27">
        <f>IF(VLOOKUP($A410,Calendar!$A$1:$R$1377,18,0)=0,0,IF(VLOOKUP($A410,Calendar!$A$1:$R$1377,18,0)=1,IFERROR(INDEX(Fortnightly_Model!$D$2:$D$15,MATCH(G410,Fortnightly_Model!$B$2:$B$15,0)),0),IF(VLOOKUP($A410,Calendar!$A$1:$R$1377,18,0)=2,SUM(IFERROR(INDEX(Fortnightly_Model!$D$2:$D$15,MATCH(G410,Fortnightly_Model!$B$2:$B$15,0)),0),IFERROR(INDEX(Fortnightly_Model!$D$2:$D$15,MATCH(G411,Fortnightly_Model!$B$2:$B$15,0)),0)),IF(VLOOKUP($A410,Calendar!$A$1:$R$1377,18,0)=3,SUM(IFERROR(INDEX(Fortnightly_Model!$D$2:$D$15,MATCH(G410,Fortnightly_Model!$B$2:$B$15,0)),0),IFERROR(INDEX(Fortnightly_Model!$D$2:$D$15,MATCH(G411,Fortnightly_Model!$B$2:$B$15,0)),0),IFERROR(INDEX(Fortnightly_Model!$D$2:$D$15,MATCH(G412,Fortnightly_Model!$B$2:$B$15,0)),0)),IF(VLOOKUP($A410,Calendar!$A$1:$R$1377,18,0)=4,SUM(IFERROR(INDEX(Fortnightly_Model!$D$2:$D$15,MATCH(G410,Fortnightly_Model!$B$2:$B$15,0)),0),IFERROR(INDEX(Fortnightly_Model!$D$2:$D$15,MATCH(G411,Fortnightly_Model!$B$2:$B$15,0)),0),IFERROR(INDEX(Fortnightly_Model!$D$2:$D$15,MATCH(G412,Fortnightly_Model!$B$2:$B$15,0)),0),IFERROR(INDEX(Fortnightly_Model!$D$2:$D$15,MATCH(G413,Fortnightly_Model!$B$2:$B$15,0)),0)),IF(VLOOKUP($A410,Calendar!$A$1:$R$1377,18,0)=5,SUM(IFERROR(INDEX(Fortnightly_Model!$D$2:$D$15,MATCH(G410,Fortnightly_Model!$B$2:$B$15,0)),0),IFERROR(INDEX(Fortnightly_Model!$D$2:$D$15,MATCH(G411,Fortnightly_Model!$B$2:$B$15,0)),0),IFERROR(INDEX(Fortnightly_Model!$D$2:$D$15,MATCH(G412,Fortnightly_Model!$B$2:$B$15,0)),0),IFERROR(INDEX(Fortnightly_Model!$D$2:$D$15,MATCH(G413,Fortnightly_Model!$B$2:$B$15,0)),0),IFERROR(INDEX(Fortnightly_Model!$D$2:$D$15,MATCH(G414,Fortnightly_Model!$B$2:$B$15,0)),0)),0))))))</f>
        <v>1.0714285499999999E-3</v>
      </c>
      <c r="M410" s="27">
        <f>IF(VLOOKUP($A410,Calendar!$A$1:$R$1377,18,0)=0,0,IF(VLOOKUP($A410,Calendar!$A$1:$R$1377,18,0)=1,IFERROR(INDEX(FourWeekly_Model!$D$2:$D$29,MATCH(H410,FourWeekly_Model!$B$2:$B$29,0)),0),IF(VLOOKUP($A410,Calendar!$A$1:$R$1377,18,0)=2,SUM(IFERROR(INDEX(FourWeekly_Model!$D$2:$D$29,MATCH(H410,FourWeekly_Model!$B$2:$B$29,0)),0),IFERROR(INDEX(FourWeekly_Model!$D$2:$D$29,MATCH(H411,FourWeekly_Model!$B$2:$B$29,0)),0)),IF(VLOOKUP($A410,Calendar!$A$1:$R$1377,18,0)=3,SUM(IFERROR(INDEX(FourWeekly_Model!$D$2:$D$29,MATCH(H410,FourWeekly_Model!$B$2:$B$29,0)),0),IFERROR(INDEX(FourWeekly_Model!$D$2:$D$29,MATCH(H411,FourWeekly_Model!$B$2:$B$29,0)),0),IFERROR(INDEX(FourWeekly_Model!$D$2:$D$29,MATCH(H412,FourWeekly_Model!$B$2:$B$29,0)),0)),IF(VLOOKUP($A410,Calendar!$A$1:$R$1377,18,0)=4,SUM(IFERROR(INDEX(FourWeekly_Model!$D$2:$D$29,MATCH(H410,FourWeekly_Model!$B$2:$B$29,0)),0),IFERROR(INDEX(FourWeekly_Model!$D$2:$D$29,MATCH(H411,FourWeekly_Model!$B$2:$B$29,0)),0),IFERROR(INDEX(FourWeekly_Model!$D$2:$D$29,MATCH(H412,FourWeekly_Model!$B$2:$B$29,0)),0),IFERROR(INDEX(FourWeekly_Model!$D$2:$D$29,MATCH(H413,FourWeekly_Model!$B$2:$B$29,0)),0)),IF(VLOOKUP($A410,Calendar!$A$1:$R$1377,18,0)=5,SUM(IFERROR(INDEX(FourWeekly_Model!$D$2:$D$29,MATCH(H410,FourWeekly_Model!$B$2:$B$29,0)),0),IFERROR(INDEX(FourWeekly_Model!$D$2:$D$29,MATCH(H411,FourWeekly_Model!$B$2:$B$29,0)),0),IFERROR(INDEX(FourWeekly_Model!$D$2:$D$29,MATCH(H412,FourWeekly_Model!$B$2:$B$29,0)),0),IFERROR(INDEX(FourWeekly_Model!$D$2:$D$29,MATCH(H413,FourWeekly_Model!$B$2:$B$29,0)),0),IFERROR(INDEX(FourWeekly_Model!$D$2:$D$29,MATCH(H414,FourWeekly_Model!$B$2:$B$29,0)),0)),0))))))</f>
        <v>3.3214289700000004E-3</v>
      </c>
      <c r="N410" s="27">
        <f>SUM(I410:M410)</f>
        <v>2.840542296502618E-2</v>
      </c>
      <c r="O410" s="28">
        <f>Population_Data!$B$8*N410</f>
        <v>860684.3158402933</v>
      </c>
      <c r="P410" s="27">
        <f>IF(VLOOKUP($A410,Calendar!$A$1:$R$1377,18,0)=0,0,IF(VLOOKUP($A410,Calendar!$A$1:$R$1377,18,0)=1,IFERROR(INDEX(Pension_Model!$D$2:$D$29,MATCH(H410,Pension_Model!$B$2:$B$29,0)),0),IF(VLOOKUP($A410,Calendar!$A$1:$R$1377,18,0)=2,SUM(IFERROR(INDEX(Pension_Model!$D$2:$D$29,MATCH(H410,Pension_Model!$B$2:$B$29,0)),0),IFERROR(INDEX(Pension_Model!$D$2:$D$29,MATCH(H411,Pension_Model!$B$2:$B$29,0)),0)),IF(VLOOKUP($A410,Calendar!$A$1:$R$1377,18,0)=3,SUM(IFERROR(INDEX(Pension_Model!$D$2:$D$29,MATCH(H410,Pension_Model!$B$2:$B$29,0)),0),IFERROR(INDEX(Pension_Model!$D$2:$D$29,MATCH(H411,Pension_Model!$B$2:$B$29,0)),0),IFERROR(INDEX(Pension_Model!$D$2:$D$29,MATCH(H412,Pension_Model!$B$2:$B$29,0)),0)),IF(VLOOKUP($A410,Calendar!$A$1:$R$1377,18,0)=4,SUM(IFERROR(INDEX(Pension_Model!$D$2:$D$29,MATCH(H410,Pension_Model!$B$2:$B$29,0)),0),IFERROR(INDEX(Pension_Model!$D$2:$D$29,MATCH(H411,Pension_Model!$B$2:$B$29,0)),0),IFERROR(INDEX(Pension_Model!$D$2:$D$29,MATCH(H412,Pension_Model!$B$2:$B$29,0)),0),IFERROR(INDEX(Pension_Model!$D$2:$D$29,MATCH(H413,Pension_Model!$B$2:$B$29,0)),0)),IF(VLOOKUP($A410,Calendar!$A$1:$R$1377,18,0)=5,SUM(IFERROR(INDEX(Pension_Model!$D$2:$D$29,MATCH(H410,Pension_Model!$B$2:$B$29,0)),0),IFERROR(INDEX(Pension_Model!$D$2:$D$29,MATCH(H411,Pension_Model!$B$2:$B$29,0)),0),IFERROR(INDEX(Pension_Model!$D$2:$D$29,MATCH(H412,Pension_Model!$B$2:$B$29,0)),0),IFERROR(INDEX(Pension_Model!$D$2:$D$29,MATCH(H413,Pension_Model!$B$2:$B$29,0)),0),IFERROR(INDEX(Pension_Model!$D$2:$D$29,MATCH(H414,Pension_Model!$B$2:$B$29,0)),0)),0))))))</f>
        <v>0.05</v>
      </c>
      <c r="Q410" s="28">
        <f>Population_Data!$B$15*P410</f>
        <v>660600</v>
      </c>
      <c r="S410">
        <f t="shared" si="6"/>
        <v>1521284.3158402932</v>
      </c>
      <c r="U410" s="33">
        <f>S410/Population_Data!$B$19</f>
        <v>2.7559498475367629E-2</v>
      </c>
    </row>
    <row r="411" spans="1:21">
      <c r="A411" s="25">
        <f>Calendar!A411</f>
        <v>46644</v>
      </c>
      <c r="B411" t="str">
        <f>Calendar!L411</f>
        <v>Yes</v>
      </c>
      <c r="C411" t="str">
        <f>Calendar!O411</f>
        <v>No</v>
      </c>
      <c r="D411" t="str">
        <f>Calendar!P411</f>
        <v>No</v>
      </c>
      <c r="E411" t="str">
        <f>Calendar!Q411</f>
        <v>No</v>
      </c>
      <c r="F411" t="str">
        <f>Calendar!I411</f>
        <v>Tuesday</v>
      </c>
      <c r="G411">
        <f>Calendar!S411</f>
        <v>10</v>
      </c>
      <c r="H411">
        <f>Calendar!T411</f>
        <v>24</v>
      </c>
      <c r="I411" s="27">
        <f>IF(VLOOKUP(A411,Calendar!$A$1:$R$1377,18,0)=0,0,IF(VLOOKUP(A411,Calendar!$A$1:$R$1377,18,0)=1,INDEX(Monthly_Pay_Model!$A$9:$D$40,MATCH(TEXT(A411,"dd"),Monthly_Pay_Model!$C$9:$C$39,0),4),IF(VLOOKUP(A411,Calendar!$A$1:$R$1377,18,0)=2,SUM(INDEX(Monthly_Pay_Model!$A$9:$D$40,MATCH(TEXT(A411,"dd"),Monthly_Pay_Model!$C$9:$C$39,0),4),INDEX(Monthly_Pay_Model!$A$9:$D$40,MATCH(TEXT(A412,"dd"),Monthly_Pay_Model!$C$9:$C$39,0),4)),IF(VLOOKUP(A411,Calendar!$A$1:$R$1377,18,0)=3,SUM(INDEX(Monthly_Pay_Model!$A$9:$D$40,MATCH(TEXT(A411,"dd"),Monthly_Pay_Model!$C$9:$C$39,0),4),INDEX(Monthly_Pay_Model!$A$9:$D$40,MATCH(TEXT(A412,"dd"),Monthly_Pay_Model!$C$9:$C$39,0),4),INDEX(Monthly_Pay_Model!$A$9:$D$40,MATCH(TEXT(A413,"dd"),Monthly_Pay_Model!$C$9:$C$39,0),4)),IF(VLOOKUP(A411,Calendar!$A$1:$R$1377,18,0)=4,SUM(INDEX(Monthly_Pay_Model!$A$9:$D$40,MATCH(TEXT(A411,"dd"),Monthly_Pay_Model!$C$9:$C$39,0),4),INDEX(Monthly_Pay_Model!$A$9:$D$40,MATCH(TEXT(A412,"dd"),Monthly_Pay_Model!$C$9:$C$39,0),4),INDEX(Monthly_Pay_Model!$A$9:$D$40,MATCH(TEXT(A413,"dd"),Monthly_Pay_Model!$C$9:$C$39,0),4),INDEX(Monthly_Pay_Model!$A$9:$D$40,MATCH(TEXT(A414,"dd"),Monthly_Pay_Model!$C$9:$C$39,0),4)),IF(VLOOKUP(A411,Calendar!$A$1:$R$1377,18,0)=5,SUM(INDEX(Monthly_Pay_Model!$A$9:$D$40,MATCH(TEXT(A411,"dd"),Monthly_Pay_Model!$C$9:$C$39,0),4),INDEX(Monthly_Pay_Model!$A$9:$D$40,MATCH(TEXT(A412,"dd"),Monthly_Pay_Model!$C$9:$C$39,0),4),INDEX(Monthly_Pay_Model!$A$9:$D$40,MATCH(TEXT(A413,"dd"),Monthly_Pay_Model!$C$9:$C$39,0),4),INDEX(Monthly_Pay_Model!$A$9:$D$40,MATCH(TEXT(A414,"dd"),Monthly_Pay_Model!$C$9:$C$39,0),4),INDEX(Monthly_Pay_Model!$A$9:$D$40,MATCH(TEXT(A415,"dd"),Monthly_Pay_Model!$C$9:$C$39,0),4)),))))))</f>
        <v>8.1256544502617792E-4</v>
      </c>
      <c r="J411" s="33">
        <f>IF(C411="Yes",Monthly_Pay_Model!$D$2,0)
+IF(Calendar!N411="Yes",Monthly_Pay_Model!$D$3,0)
+IF(D411="Yes",Monthly_Pay_Model!$D$4,0)
+IF(E411="Yes",Monthly_Pay_Model!$D$5,0)</f>
        <v>0</v>
      </c>
      <c r="K411" s="27">
        <f>IF(VLOOKUP($A411,Calendar!$A$1:$R$1377,18,0)=0,0,IF(VLOOKUP($A411,Calendar!$A$1:$R$1377,18,0)=1,IFERROR(INDEX(Weekly_Model!$D$2:$D$9,MATCH(F411,Weekly_Model!$A$2:$A$9,0)),0),IF(VLOOKUP($A411,Calendar!$A$1:$R$1377,18,0)=2,SUM(IFERROR(INDEX(Weekly_Model!$D$2:$D$9,MATCH(F411,Weekly_Model!$A$2:$A$9,0)),0),IFERROR(INDEX(Weekly_Model!$D$2:$D$9,MATCH(F412,Weekly_Model!$A$2:$A$9,0)),0)),IF(VLOOKUP($A411,Calendar!$A$1:$R$1377,18,0)=3,SUM(IFERROR(INDEX(Weekly_Model!$D$2:$D$9,MATCH(F411,Weekly_Model!$A$2:$A$9,0)),0),IFERROR(INDEX(Weekly_Model!$D$2:$D$9,MATCH(F412,Weekly_Model!$A$2:$A$9,0)),0),IFERROR(INDEX(Weekly_Model!$D$2:$D$9,MATCH(F413,Weekly_Model!$A$2:$A$9,0)),0)),IF(VLOOKUP($A411,Calendar!$A$1:$R$1377,18,0)=4,SUM(IFERROR(INDEX(Weekly_Model!$D$2:$D$9,MATCH(F411,Weekly_Model!$A$2:$A$9,0)),0),IFERROR(INDEX(Weekly_Model!$D$2:$D$9,MATCH(F412,Weekly_Model!$A$2:$A$9,0)),0),IFERROR(INDEX(Weekly_Model!$D$2:$D$9,MATCH(F413,Weekly_Model!$A$2:$A$9,0)),0),IFERROR(INDEX(Weekly_Model!$D$2:$D$9,MATCH(F414,Weekly_Model!$A$2:$A$9,0)),0)),IF(VLOOKUP($A411,Calendar!$A$1:$R$1377,18,0)=5,SUM(IFERROR(INDEX(Weekly_Model!$D$2:$D$9,MATCH(F411,Weekly_Model!$A$2:$A$9,0)),0),IFERROR(INDEX(Weekly_Model!$D$2:$D$9,MATCH(F412,Weekly_Model!$A$2:$A$9,0)),0),IFERROR(INDEX(Weekly_Model!$D$2:$D$9,MATCH(F413,Weekly_Model!$A$2:$A$9,0)),0),IFERROR(INDEX(Weekly_Model!$D$2:$D$9,MATCH(F414,Weekly_Model!$A$2:$A$9,0)),0),IFERROR(INDEX(Weekly_Model!$D$2:$D$9,MATCH(F415,Weekly_Model!$A$2:$A$9,0)),0)),0))))))</f>
        <v>2.3200000000000002E-2</v>
      </c>
      <c r="L411" s="27">
        <f>IF(VLOOKUP($A411,Calendar!$A$1:$R$1377,18,0)=0,0,IF(VLOOKUP($A411,Calendar!$A$1:$R$1377,18,0)=1,IFERROR(INDEX(Fortnightly_Model!$D$2:$D$15,MATCH(G411,Fortnightly_Model!$B$2:$B$15,0)),0),IF(VLOOKUP($A411,Calendar!$A$1:$R$1377,18,0)=2,SUM(IFERROR(INDEX(Fortnightly_Model!$D$2:$D$15,MATCH(G411,Fortnightly_Model!$B$2:$B$15,0)),0),IFERROR(INDEX(Fortnightly_Model!$D$2:$D$15,MATCH(G412,Fortnightly_Model!$B$2:$B$15,0)),0)),IF(VLOOKUP($A411,Calendar!$A$1:$R$1377,18,0)=3,SUM(IFERROR(INDEX(Fortnightly_Model!$D$2:$D$15,MATCH(G411,Fortnightly_Model!$B$2:$B$15,0)),0),IFERROR(INDEX(Fortnightly_Model!$D$2:$D$15,MATCH(G412,Fortnightly_Model!$B$2:$B$15,0)),0),IFERROR(INDEX(Fortnightly_Model!$D$2:$D$15,MATCH(G413,Fortnightly_Model!$B$2:$B$15,0)),0)),IF(VLOOKUP($A411,Calendar!$A$1:$R$1377,18,0)=4,SUM(IFERROR(INDEX(Fortnightly_Model!$D$2:$D$15,MATCH(G411,Fortnightly_Model!$B$2:$B$15,0)),0),IFERROR(INDEX(Fortnightly_Model!$D$2:$D$15,MATCH(G412,Fortnightly_Model!$B$2:$B$15,0)),0),IFERROR(INDEX(Fortnightly_Model!$D$2:$D$15,MATCH(G413,Fortnightly_Model!$B$2:$B$15,0)),0),IFERROR(INDEX(Fortnightly_Model!$D$2:$D$15,MATCH(G414,Fortnightly_Model!$B$2:$B$15,0)),0)),IF(VLOOKUP($A411,Calendar!$A$1:$R$1377,18,0)=5,SUM(IFERROR(INDEX(Fortnightly_Model!$D$2:$D$15,MATCH(G411,Fortnightly_Model!$B$2:$B$15,0)),0),IFERROR(INDEX(Fortnightly_Model!$D$2:$D$15,MATCH(G412,Fortnightly_Model!$B$2:$B$15,0)),0),IFERROR(INDEX(Fortnightly_Model!$D$2:$D$15,MATCH(G413,Fortnightly_Model!$B$2:$B$15,0)),0),IFERROR(INDEX(Fortnightly_Model!$D$2:$D$15,MATCH(G414,Fortnightly_Model!$B$2:$B$15,0)),0),IFERROR(INDEX(Fortnightly_Model!$D$2:$D$15,MATCH(G415,Fortnightly_Model!$B$2:$B$15,0)),0)),0))))))</f>
        <v>1.0714285499999999E-3</v>
      </c>
      <c r="M411" s="27">
        <f>IF(VLOOKUP($A411,Calendar!$A$1:$R$1377,18,0)=0,0,IF(VLOOKUP($A411,Calendar!$A$1:$R$1377,18,0)=1,IFERROR(INDEX(FourWeekly_Model!$D$2:$D$29,MATCH(H411,FourWeekly_Model!$B$2:$B$29,0)),0),IF(VLOOKUP($A411,Calendar!$A$1:$R$1377,18,0)=2,SUM(IFERROR(INDEX(FourWeekly_Model!$D$2:$D$29,MATCH(H411,FourWeekly_Model!$B$2:$B$29,0)),0),IFERROR(INDEX(FourWeekly_Model!$D$2:$D$29,MATCH(H412,FourWeekly_Model!$B$2:$B$29,0)),0)),IF(VLOOKUP($A411,Calendar!$A$1:$R$1377,18,0)=3,SUM(IFERROR(INDEX(FourWeekly_Model!$D$2:$D$29,MATCH(H411,FourWeekly_Model!$B$2:$B$29,0)),0),IFERROR(INDEX(FourWeekly_Model!$D$2:$D$29,MATCH(H412,FourWeekly_Model!$B$2:$B$29,0)),0),IFERROR(INDEX(FourWeekly_Model!$D$2:$D$29,MATCH(H413,FourWeekly_Model!$B$2:$B$29,0)),0)),IF(VLOOKUP($A411,Calendar!$A$1:$R$1377,18,0)=4,SUM(IFERROR(INDEX(FourWeekly_Model!$D$2:$D$29,MATCH(H411,FourWeekly_Model!$B$2:$B$29,0)),0),IFERROR(INDEX(FourWeekly_Model!$D$2:$D$29,MATCH(H412,FourWeekly_Model!$B$2:$B$29,0)),0),IFERROR(INDEX(FourWeekly_Model!$D$2:$D$29,MATCH(H413,FourWeekly_Model!$B$2:$B$29,0)),0),IFERROR(INDEX(FourWeekly_Model!$D$2:$D$29,MATCH(H414,FourWeekly_Model!$B$2:$B$29,0)),0)),IF(VLOOKUP($A411,Calendar!$A$1:$R$1377,18,0)=5,SUM(IFERROR(INDEX(FourWeekly_Model!$D$2:$D$29,MATCH(H411,FourWeekly_Model!$B$2:$B$29,0)),0),IFERROR(INDEX(FourWeekly_Model!$D$2:$D$29,MATCH(H412,FourWeekly_Model!$B$2:$B$29,0)),0),IFERROR(INDEX(FourWeekly_Model!$D$2:$D$29,MATCH(H413,FourWeekly_Model!$B$2:$B$29,0)),0),IFERROR(INDEX(FourWeekly_Model!$D$2:$D$29,MATCH(H414,FourWeekly_Model!$B$2:$B$29,0)),0),IFERROR(INDEX(FourWeekly_Model!$D$2:$D$29,MATCH(H415,FourWeekly_Model!$B$2:$B$29,0)),0)),0))))))</f>
        <v>3.3214289700000004E-3</v>
      </c>
      <c r="N411" s="27">
        <f>SUM(I411:M411)</f>
        <v>2.840542296502618E-2</v>
      </c>
      <c r="O411" s="28">
        <f>Population_Data!$B$8*N411</f>
        <v>860684.3158402933</v>
      </c>
      <c r="P411" s="27">
        <f>IF(VLOOKUP($A411,Calendar!$A$1:$R$1377,18,0)=0,0,IF(VLOOKUP($A411,Calendar!$A$1:$R$1377,18,0)=1,IFERROR(INDEX(Pension_Model!$D$2:$D$29,MATCH(H411,Pension_Model!$B$2:$B$29,0)),0),IF(VLOOKUP($A411,Calendar!$A$1:$R$1377,18,0)=2,SUM(IFERROR(INDEX(Pension_Model!$D$2:$D$29,MATCH(H411,Pension_Model!$B$2:$B$29,0)),0),IFERROR(INDEX(Pension_Model!$D$2:$D$29,MATCH(H412,Pension_Model!$B$2:$B$29,0)),0)),IF(VLOOKUP($A411,Calendar!$A$1:$R$1377,18,0)=3,SUM(IFERROR(INDEX(Pension_Model!$D$2:$D$29,MATCH(H411,Pension_Model!$B$2:$B$29,0)),0),IFERROR(INDEX(Pension_Model!$D$2:$D$29,MATCH(H412,Pension_Model!$B$2:$B$29,0)),0),IFERROR(INDEX(Pension_Model!$D$2:$D$29,MATCH(H413,Pension_Model!$B$2:$B$29,0)),0)),IF(VLOOKUP($A411,Calendar!$A$1:$R$1377,18,0)=4,SUM(IFERROR(INDEX(Pension_Model!$D$2:$D$29,MATCH(H411,Pension_Model!$B$2:$B$29,0)),0),IFERROR(INDEX(Pension_Model!$D$2:$D$29,MATCH(H412,Pension_Model!$B$2:$B$29,0)),0),IFERROR(INDEX(Pension_Model!$D$2:$D$29,MATCH(H413,Pension_Model!$B$2:$B$29,0)),0),IFERROR(INDEX(Pension_Model!$D$2:$D$29,MATCH(H414,Pension_Model!$B$2:$B$29,0)),0)),IF(VLOOKUP($A411,Calendar!$A$1:$R$1377,18,0)=5,SUM(IFERROR(INDEX(Pension_Model!$D$2:$D$29,MATCH(H411,Pension_Model!$B$2:$B$29,0)),0),IFERROR(INDEX(Pension_Model!$D$2:$D$29,MATCH(H412,Pension_Model!$B$2:$B$29,0)),0),IFERROR(INDEX(Pension_Model!$D$2:$D$29,MATCH(H413,Pension_Model!$B$2:$B$29,0)),0),IFERROR(INDEX(Pension_Model!$D$2:$D$29,MATCH(H414,Pension_Model!$B$2:$B$29,0)),0),IFERROR(INDEX(Pension_Model!$D$2:$D$29,MATCH(H415,Pension_Model!$B$2:$B$29,0)),0)),0))))))</f>
        <v>0.05</v>
      </c>
      <c r="Q411" s="28">
        <f>Population_Data!$B$15*P411</f>
        <v>660600</v>
      </c>
      <c r="S411">
        <f t="shared" si="6"/>
        <v>1521284.3158402932</v>
      </c>
      <c r="U411" s="33">
        <f>S411/Population_Data!$B$19</f>
        <v>2.7559498475367629E-2</v>
      </c>
    </row>
    <row r="412" spans="1:21">
      <c r="A412" s="25">
        <f>Calendar!A412</f>
        <v>46645</v>
      </c>
      <c r="B412" t="str">
        <f>Calendar!L412</f>
        <v>Yes</v>
      </c>
      <c r="C412" t="str">
        <f>Calendar!O412</f>
        <v>No</v>
      </c>
      <c r="D412" t="str">
        <f>Calendar!P412</f>
        <v>No</v>
      </c>
      <c r="E412" t="str">
        <f>Calendar!Q412</f>
        <v>No</v>
      </c>
      <c r="F412" t="str">
        <f>Calendar!I412</f>
        <v>Wednesday</v>
      </c>
      <c r="G412">
        <f>Calendar!S412</f>
        <v>11</v>
      </c>
      <c r="H412">
        <f>Calendar!T412</f>
        <v>25</v>
      </c>
      <c r="I412" s="27">
        <f>IF(VLOOKUP(A412,Calendar!$A$1:$R$1377,18,0)=0,0,IF(VLOOKUP(A412,Calendar!$A$1:$R$1377,18,0)=1,INDEX(Monthly_Pay_Model!$A$9:$D$40,MATCH(TEXT(A412,"dd"),Monthly_Pay_Model!$C$9:$C$39,0),4),IF(VLOOKUP(A412,Calendar!$A$1:$R$1377,18,0)=2,SUM(INDEX(Monthly_Pay_Model!$A$9:$D$40,MATCH(TEXT(A412,"dd"),Monthly_Pay_Model!$C$9:$C$39,0),4),INDEX(Monthly_Pay_Model!$A$9:$D$40,MATCH(TEXT(A413,"dd"),Monthly_Pay_Model!$C$9:$C$39,0),4)),IF(VLOOKUP(A412,Calendar!$A$1:$R$1377,18,0)=3,SUM(INDEX(Monthly_Pay_Model!$A$9:$D$40,MATCH(TEXT(A412,"dd"),Monthly_Pay_Model!$C$9:$C$39,0),4),INDEX(Monthly_Pay_Model!$A$9:$D$40,MATCH(TEXT(A413,"dd"),Monthly_Pay_Model!$C$9:$C$39,0),4),INDEX(Monthly_Pay_Model!$A$9:$D$40,MATCH(TEXT(A414,"dd"),Monthly_Pay_Model!$C$9:$C$39,0),4)),IF(VLOOKUP(A412,Calendar!$A$1:$R$1377,18,0)=4,SUM(INDEX(Monthly_Pay_Model!$A$9:$D$40,MATCH(TEXT(A412,"dd"),Monthly_Pay_Model!$C$9:$C$39,0),4),INDEX(Monthly_Pay_Model!$A$9:$D$40,MATCH(TEXT(A413,"dd"),Monthly_Pay_Model!$C$9:$C$39,0),4),INDEX(Monthly_Pay_Model!$A$9:$D$40,MATCH(TEXT(A414,"dd"),Monthly_Pay_Model!$C$9:$C$39,0),4),INDEX(Monthly_Pay_Model!$A$9:$D$40,MATCH(TEXT(A415,"dd"),Monthly_Pay_Model!$C$9:$C$39,0),4)),IF(VLOOKUP(A412,Calendar!$A$1:$R$1377,18,0)=5,SUM(INDEX(Monthly_Pay_Model!$A$9:$D$40,MATCH(TEXT(A412,"dd"),Monthly_Pay_Model!$C$9:$C$39,0),4),INDEX(Monthly_Pay_Model!$A$9:$D$40,MATCH(TEXT(A413,"dd"),Monthly_Pay_Model!$C$9:$C$39,0),4),INDEX(Monthly_Pay_Model!$A$9:$D$40,MATCH(TEXT(A414,"dd"),Monthly_Pay_Model!$C$9:$C$39,0),4),INDEX(Monthly_Pay_Model!$A$9:$D$40,MATCH(TEXT(A415,"dd"),Monthly_Pay_Model!$C$9:$C$39,0),4),INDEX(Monthly_Pay_Model!$A$9:$D$40,MATCH(TEXT(A416,"dd"),Monthly_Pay_Model!$C$9:$C$39,0),4)),))))))</f>
        <v>1.3001047120418847E-2</v>
      </c>
      <c r="J412" s="33">
        <f>IF(C412="Yes",Monthly_Pay_Model!$D$2,0)
+IF(Calendar!N412="Yes",Monthly_Pay_Model!$D$3,0)
+IF(D412="Yes",Monthly_Pay_Model!$D$4,0)
+IF(E412="Yes",Monthly_Pay_Model!$D$5,0)</f>
        <v>0</v>
      </c>
      <c r="K412" s="27">
        <f>IF(VLOOKUP($A412,Calendar!$A$1:$R$1377,18,0)=0,0,IF(VLOOKUP($A412,Calendar!$A$1:$R$1377,18,0)=1,IFERROR(INDEX(Weekly_Model!$D$2:$D$9,MATCH(F412,Weekly_Model!$A$2:$A$9,0)),0),IF(VLOOKUP($A412,Calendar!$A$1:$R$1377,18,0)=2,SUM(IFERROR(INDEX(Weekly_Model!$D$2:$D$9,MATCH(F412,Weekly_Model!$A$2:$A$9,0)),0),IFERROR(INDEX(Weekly_Model!$D$2:$D$9,MATCH(F413,Weekly_Model!$A$2:$A$9,0)),0)),IF(VLOOKUP($A412,Calendar!$A$1:$R$1377,18,0)=3,SUM(IFERROR(INDEX(Weekly_Model!$D$2:$D$9,MATCH(F412,Weekly_Model!$A$2:$A$9,0)),0),IFERROR(INDEX(Weekly_Model!$D$2:$D$9,MATCH(F413,Weekly_Model!$A$2:$A$9,0)),0),IFERROR(INDEX(Weekly_Model!$D$2:$D$9,MATCH(F414,Weekly_Model!$A$2:$A$9,0)),0)),IF(VLOOKUP($A412,Calendar!$A$1:$R$1377,18,0)=4,SUM(IFERROR(INDEX(Weekly_Model!$D$2:$D$9,MATCH(F412,Weekly_Model!$A$2:$A$9,0)),0),IFERROR(INDEX(Weekly_Model!$D$2:$D$9,MATCH(F413,Weekly_Model!$A$2:$A$9,0)),0),IFERROR(INDEX(Weekly_Model!$D$2:$D$9,MATCH(F414,Weekly_Model!$A$2:$A$9,0)),0),IFERROR(INDEX(Weekly_Model!$D$2:$D$9,MATCH(F415,Weekly_Model!$A$2:$A$9,0)),0)),IF(VLOOKUP($A412,Calendar!$A$1:$R$1377,18,0)=5,SUM(IFERROR(INDEX(Weekly_Model!$D$2:$D$9,MATCH(F412,Weekly_Model!$A$2:$A$9,0)),0),IFERROR(INDEX(Weekly_Model!$D$2:$D$9,MATCH(F413,Weekly_Model!$A$2:$A$9,0)),0),IFERROR(INDEX(Weekly_Model!$D$2:$D$9,MATCH(F414,Weekly_Model!$A$2:$A$9,0)),0),IFERROR(INDEX(Weekly_Model!$D$2:$D$9,MATCH(F415,Weekly_Model!$A$2:$A$9,0)),0),IFERROR(INDEX(Weekly_Model!$D$2:$D$9,MATCH(F416,Weekly_Model!$A$2:$A$9,0)),0)),0))))))</f>
        <v>2.3200000000000002E-2</v>
      </c>
      <c r="L412" s="27">
        <f>IF(VLOOKUP($A412,Calendar!$A$1:$R$1377,18,0)=0,0,IF(VLOOKUP($A412,Calendar!$A$1:$R$1377,18,0)=1,IFERROR(INDEX(Fortnightly_Model!$D$2:$D$15,MATCH(G412,Fortnightly_Model!$B$2:$B$15,0)),0),IF(VLOOKUP($A412,Calendar!$A$1:$R$1377,18,0)=2,SUM(IFERROR(INDEX(Fortnightly_Model!$D$2:$D$15,MATCH(G412,Fortnightly_Model!$B$2:$B$15,0)),0),IFERROR(INDEX(Fortnightly_Model!$D$2:$D$15,MATCH(G413,Fortnightly_Model!$B$2:$B$15,0)),0)),IF(VLOOKUP($A412,Calendar!$A$1:$R$1377,18,0)=3,SUM(IFERROR(INDEX(Fortnightly_Model!$D$2:$D$15,MATCH(G412,Fortnightly_Model!$B$2:$B$15,0)),0),IFERROR(INDEX(Fortnightly_Model!$D$2:$D$15,MATCH(G413,Fortnightly_Model!$B$2:$B$15,0)),0),IFERROR(INDEX(Fortnightly_Model!$D$2:$D$15,MATCH(G414,Fortnightly_Model!$B$2:$B$15,0)),0)),IF(VLOOKUP($A412,Calendar!$A$1:$R$1377,18,0)=4,SUM(IFERROR(INDEX(Fortnightly_Model!$D$2:$D$15,MATCH(G412,Fortnightly_Model!$B$2:$B$15,0)),0),IFERROR(INDEX(Fortnightly_Model!$D$2:$D$15,MATCH(G413,Fortnightly_Model!$B$2:$B$15,0)),0),IFERROR(INDEX(Fortnightly_Model!$D$2:$D$15,MATCH(G414,Fortnightly_Model!$B$2:$B$15,0)),0),IFERROR(INDEX(Fortnightly_Model!$D$2:$D$15,MATCH(G415,Fortnightly_Model!$B$2:$B$15,0)),0)),IF(VLOOKUP($A412,Calendar!$A$1:$R$1377,18,0)=5,SUM(IFERROR(INDEX(Fortnightly_Model!$D$2:$D$15,MATCH(G412,Fortnightly_Model!$B$2:$B$15,0)),0),IFERROR(INDEX(Fortnightly_Model!$D$2:$D$15,MATCH(G413,Fortnightly_Model!$B$2:$B$15,0)),0),IFERROR(INDEX(Fortnightly_Model!$D$2:$D$15,MATCH(G414,Fortnightly_Model!$B$2:$B$15,0)),0),IFERROR(INDEX(Fortnightly_Model!$D$2:$D$15,MATCH(G415,Fortnightly_Model!$B$2:$B$15,0)),0),IFERROR(INDEX(Fortnightly_Model!$D$2:$D$15,MATCH(G416,Fortnightly_Model!$B$2:$B$15,0)),0)),0))))))</f>
        <v>1.0714285499999999E-3</v>
      </c>
      <c r="M412" s="27">
        <f>IF(VLOOKUP($A412,Calendar!$A$1:$R$1377,18,0)=0,0,IF(VLOOKUP($A412,Calendar!$A$1:$R$1377,18,0)=1,IFERROR(INDEX(FourWeekly_Model!$D$2:$D$29,MATCH(H412,FourWeekly_Model!$B$2:$B$29,0)),0),IF(VLOOKUP($A412,Calendar!$A$1:$R$1377,18,0)=2,SUM(IFERROR(INDEX(FourWeekly_Model!$D$2:$D$29,MATCH(H412,FourWeekly_Model!$B$2:$B$29,0)),0),IFERROR(INDEX(FourWeekly_Model!$D$2:$D$29,MATCH(H413,FourWeekly_Model!$B$2:$B$29,0)),0)),IF(VLOOKUP($A412,Calendar!$A$1:$R$1377,18,0)=3,SUM(IFERROR(INDEX(FourWeekly_Model!$D$2:$D$29,MATCH(H412,FourWeekly_Model!$B$2:$B$29,0)),0),IFERROR(INDEX(FourWeekly_Model!$D$2:$D$29,MATCH(H413,FourWeekly_Model!$B$2:$B$29,0)),0),IFERROR(INDEX(FourWeekly_Model!$D$2:$D$29,MATCH(H414,FourWeekly_Model!$B$2:$B$29,0)),0)),IF(VLOOKUP($A412,Calendar!$A$1:$R$1377,18,0)=4,SUM(IFERROR(INDEX(FourWeekly_Model!$D$2:$D$29,MATCH(H412,FourWeekly_Model!$B$2:$B$29,0)),0),IFERROR(INDEX(FourWeekly_Model!$D$2:$D$29,MATCH(H413,FourWeekly_Model!$B$2:$B$29,0)),0),IFERROR(INDEX(FourWeekly_Model!$D$2:$D$29,MATCH(H414,FourWeekly_Model!$B$2:$B$29,0)),0),IFERROR(INDEX(FourWeekly_Model!$D$2:$D$29,MATCH(H415,FourWeekly_Model!$B$2:$B$29,0)),0)),IF(VLOOKUP($A412,Calendar!$A$1:$R$1377,18,0)=5,SUM(IFERROR(INDEX(FourWeekly_Model!$D$2:$D$29,MATCH(H412,FourWeekly_Model!$B$2:$B$29,0)),0),IFERROR(INDEX(FourWeekly_Model!$D$2:$D$29,MATCH(H413,FourWeekly_Model!$B$2:$B$29,0)),0),IFERROR(INDEX(FourWeekly_Model!$D$2:$D$29,MATCH(H414,FourWeekly_Model!$B$2:$B$29,0)),0),IFERROR(INDEX(FourWeekly_Model!$D$2:$D$29,MATCH(H415,FourWeekly_Model!$B$2:$B$29,0)),0),IFERROR(INDEX(FourWeekly_Model!$D$2:$D$29,MATCH(H416,FourWeekly_Model!$B$2:$B$29,0)),0)),0))))))</f>
        <v>3.3214289700000004E-3</v>
      </c>
      <c r="N412" s="27">
        <f>SUM(I412:M412)</f>
        <v>4.059390464041885E-2</v>
      </c>
      <c r="O412" s="28">
        <f>Population_Data!$B$8*N412</f>
        <v>1229995.310604691</v>
      </c>
      <c r="P412" s="27">
        <f>IF(VLOOKUP($A412,Calendar!$A$1:$R$1377,18,0)=0,0,IF(VLOOKUP($A412,Calendar!$A$1:$R$1377,18,0)=1,IFERROR(INDEX(Pension_Model!$D$2:$D$29,MATCH(H412,Pension_Model!$B$2:$B$29,0)),0),IF(VLOOKUP($A412,Calendar!$A$1:$R$1377,18,0)=2,SUM(IFERROR(INDEX(Pension_Model!$D$2:$D$29,MATCH(H412,Pension_Model!$B$2:$B$29,0)),0),IFERROR(INDEX(Pension_Model!$D$2:$D$29,MATCH(H413,Pension_Model!$B$2:$B$29,0)),0)),IF(VLOOKUP($A412,Calendar!$A$1:$R$1377,18,0)=3,SUM(IFERROR(INDEX(Pension_Model!$D$2:$D$29,MATCH(H412,Pension_Model!$B$2:$B$29,0)),0),IFERROR(INDEX(Pension_Model!$D$2:$D$29,MATCH(H413,Pension_Model!$B$2:$B$29,0)),0),IFERROR(INDEX(Pension_Model!$D$2:$D$29,MATCH(H414,Pension_Model!$B$2:$B$29,0)),0)),IF(VLOOKUP($A412,Calendar!$A$1:$R$1377,18,0)=4,SUM(IFERROR(INDEX(Pension_Model!$D$2:$D$29,MATCH(H412,Pension_Model!$B$2:$B$29,0)),0),IFERROR(INDEX(Pension_Model!$D$2:$D$29,MATCH(H413,Pension_Model!$B$2:$B$29,0)),0),IFERROR(INDEX(Pension_Model!$D$2:$D$29,MATCH(H414,Pension_Model!$B$2:$B$29,0)),0),IFERROR(INDEX(Pension_Model!$D$2:$D$29,MATCH(H415,Pension_Model!$B$2:$B$29,0)),0)),IF(VLOOKUP($A412,Calendar!$A$1:$R$1377,18,0)=5,SUM(IFERROR(INDEX(Pension_Model!$D$2:$D$29,MATCH(H412,Pension_Model!$B$2:$B$29,0)),0),IFERROR(INDEX(Pension_Model!$D$2:$D$29,MATCH(H413,Pension_Model!$B$2:$B$29,0)),0),IFERROR(INDEX(Pension_Model!$D$2:$D$29,MATCH(H414,Pension_Model!$B$2:$B$29,0)),0),IFERROR(INDEX(Pension_Model!$D$2:$D$29,MATCH(H415,Pension_Model!$B$2:$B$29,0)),0),IFERROR(INDEX(Pension_Model!$D$2:$D$29,MATCH(H416,Pension_Model!$B$2:$B$29,0)),0)),0))))))</f>
        <v>0.05</v>
      </c>
      <c r="Q412" s="28">
        <f>Population_Data!$B$15*P412</f>
        <v>660600</v>
      </c>
      <c r="S412">
        <f t="shared" si="6"/>
        <v>1890595.310604691</v>
      </c>
      <c r="U412" s="33">
        <f>S412/Population_Data!$B$19</f>
        <v>3.4249915047186434E-2</v>
      </c>
    </row>
    <row r="413" spans="1:21">
      <c r="A413" s="25">
        <f>Calendar!A413</f>
        <v>46646</v>
      </c>
      <c r="B413" t="str">
        <f>Calendar!L413</f>
        <v>Yes</v>
      </c>
      <c r="C413" t="str">
        <f>Calendar!O413</f>
        <v>No</v>
      </c>
      <c r="D413" t="str">
        <f>Calendar!P413</f>
        <v>No</v>
      </c>
      <c r="E413" t="str">
        <f>Calendar!Q413</f>
        <v>No</v>
      </c>
      <c r="F413" t="str">
        <f>Calendar!I413</f>
        <v>Thursday</v>
      </c>
      <c r="G413">
        <f>Calendar!S413</f>
        <v>12</v>
      </c>
      <c r="H413">
        <f>Calendar!T413</f>
        <v>26</v>
      </c>
      <c r="I413" s="27">
        <f>IF(VLOOKUP(A413,Calendar!$A$1:$R$1377,18,0)=0,0,IF(VLOOKUP(A413,Calendar!$A$1:$R$1377,18,0)=1,INDEX(Monthly_Pay_Model!$A$9:$D$40,MATCH(TEXT(A413,"dd"),Monthly_Pay_Model!$C$9:$C$39,0),4),IF(VLOOKUP(A413,Calendar!$A$1:$R$1377,18,0)=2,SUM(INDEX(Monthly_Pay_Model!$A$9:$D$40,MATCH(TEXT(A413,"dd"),Monthly_Pay_Model!$C$9:$C$39,0),4),INDEX(Monthly_Pay_Model!$A$9:$D$40,MATCH(TEXT(A414,"dd"),Monthly_Pay_Model!$C$9:$C$39,0),4)),IF(VLOOKUP(A413,Calendar!$A$1:$R$1377,18,0)=3,SUM(INDEX(Monthly_Pay_Model!$A$9:$D$40,MATCH(TEXT(A413,"dd"),Monthly_Pay_Model!$C$9:$C$39,0),4),INDEX(Monthly_Pay_Model!$A$9:$D$40,MATCH(TEXT(A414,"dd"),Monthly_Pay_Model!$C$9:$C$39,0),4),INDEX(Monthly_Pay_Model!$A$9:$D$40,MATCH(TEXT(A415,"dd"),Monthly_Pay_Model!$C$9:$C$39,0),4)),IF(VLOOKUP(A413,Calendar!$A$1:$R$1377,18,0)=4,SUM(INDEX(Monthly_Pay_Model!$A$9:$D$40,MATCH(TEXT(A413,"dd"),Monthly_Pay_Model!$C$9:$C$39,0),4),INDEX(Monthly_Pay_Model!$A$9:$D$40,MATCH(TEXT(A414,"dd"),Monthly_Pay_Model!$C$9:$C$39,0),4),INDEX(Monthly_Pay_Model!$A$9:$D$40,MATCH(TEXT(A415,"dd"),Monthly_Pay_Model!$C$9:$C$39,0),4),INDEX(Monthly_Pay_Model!$A$9:$D$40,MATCH(TEXT(A416,"dd"),Monthly_Pay_Model!$C$9:$C$39,0),4)),IF(VLOOKUP(A413,Calendar!$A$1:$R$1377,18,0)=5,SUM(INDEX(Monthly_Pay_Model!$A$9:$D$40,MATCH(TEXT(A413,"dd"),Monthly_Pay_Model!$C$9:$C$39,0),4),INDEX(Monthly_Pay_Model!$A$9:$D$40,MATCH(TEXT(A414,"dd"),Monthly_Pay_Model!$C$9:$C$39,0),4),INDEX(Monthly_Pay_Model!$A$9:$D$40,MATCH(TEXT(A415,"dd"),Monthly_Pay_Model!$C$9:$C$39,0),4),INDEX(Monthly_Pay_Model!$A$9:$D$40,MATCH(TEXT(A416,"dd"),Monthly_Pay_Model!$C$9:$C$39,0),4),INDEX(Monthly_Pay_Model!$A$9:$D$40,MATCH(TEXT(A417,"dd"),Monthly_Pay_Model!$C$9:$C$39,0),4)),))))))</f>
        <v>1.6251308900523558E-3</v>
      </c>
      <c r="J413" s="33">
        <f>IF(C413="Yes",Monthly_Pay_Model!$D$2,0)
+IF(Calendar!N413="Yes",Monthly_Pay_Model!$D$3,0)
+IF(D413="Yes",Monthly_Pay_Model!$D$4,0)
+IF(E413="Yes",Monthly_Pay_Model!$D$5,0)</f>
        <v>0</v>
      </c>
      <c r="K413" s="27">
        <f>IF(VLOOKUP($A413,Calendar!$A$1:$R$1377,18,0)=0,0,IF(VLOOKUP($A413,Calendar!$A$1:$R$1377,18,0)=1,IFERROR(INDEX(Weekly_Model!$D$2:$D$9,MATCH(F413,Weekly_Model!$A$2:$A$9,0)),0),IF(VLOOKUP($A413,Calendar!$A$1:$R$1377,18,0)=2,SUM(IFERROR(INDEX(Weekly_Model!$D$2:$D$9,MATCH(F413,Weekly_Model!$A$2:$A$9,0)),0),IFERROR(INDEX(Weekly_Model!$D$2:$D$9,MATCH(F414,Weekly_Model!$A$2:$A$9,0)),0)),IF(VLOOKUP($A413,Calendar!$A$1:$R$1377,18,0)=3,SUM(IFERROR(INDEX(Weekly_Model!$D$2:$D$9,MATCH(F413,Weekly_Model!$A$2:$A$9,0)),0),IFERROR(INDEX(Weekly_Model!$D$2:$D$9,MATCH(F414,Weekly_Model!$A$2:$A$9,0)),0),IFERROR(INDEX(Weekly_Model!$D$2:$D$9,MATCH(F415,Weekly_Model!$A$2:$A$9,0)),0)),IF(VLOOKUP($A413,Calendar!$A$1:$R$1377,18,0)=4,SUM(IFERROR(INDEX(Weekly_Model!$D$2:$D$9,MATCH(F413,Weekly_Model!$A$2:$A$9,0)),0),IFERROR(INDEX(Weekly_Model!$D$2:$D$9,MATCH(F414,Weekly_Model!$A$2:$A$9,0)),0),IFERROR(INDEX(Weekly_Model!$D$2:$D$9,MATCH(F415,Weekly_Model!$A$2:$A$9,0)),0),IFERROR(INDEX(Weekly_Model!$D$2:$D$9,MATCH(F416,Weekly_Model!$A$2:$A$9,0)),0)),IF(VLOOKUP($A413,Calendar!$A$1:$R$1377,18,0)=5,SUM(IFERROR(INDEX(Weekly_Model!$D$2:$D$9,MATCH(F413,Weekly_Model!$A$2:$A$9,0)),0),IFERROR(INDEX(Weekly_Model!$D$2:$D$9,MATCH(F414,Weekly_Model!$A$2:$A$9,0)),0),IFERROR(INDEX(Weekly_Model!$D$2:$D$9,MATCH(F415,Weekly_Model!$A$2:$A$9,0)),0),IFERROR(INDEX(Weekly_Model!$D$2:$D$9,MATCH(F416,Weekly_Model!$A$2:$A$9,0)),0),IFERROR(INDEX(Weekly_Model!$D$2:$D$9,MATCH(F417,Weekly_Model!$A$2:$A$9,0)),0)),0))))))</f>
        <v>2.3200000000000002E-2</v>
      </c>
      <c r="L413" s="27">
        <f>IF(VLOOKUP($A413,Calendar!$A$1:$R$1377,18,0)=0,0,IF(VLOOKUP($A413,Calendar!$A$1:$R$1377,18,0)=1,IFERROR(INDEX(Fortnightly_Model!$D$2:$D$15,MATCH(G413,Fortnightly_Model!$B$2:$B$15,0)),0),IF(VLOOKUP($A413,Calendar!$A$1:$R$1377,18,0)=2,SUM(IFERROR(INDEX(Fortnightly_Model!$D$2:$D$15,MATCH(G413,Fortnightly_Model!$B$2:$B$15,0)),0),IFERROR(INDEX(Fortnightly_Model!$D$2:$D$15,MATCH(G414,Fortnightly_Model!$B$2:$B$15,0)),0)),IF(VLOOKUP($A413,Calendar!$A$1:$R$1377,18,0)=3,SUM(IFERROR(INDEX(Fortnightly_Model!$D$2:$D$15,MATCH(G413,Fortnightly_Model!$B$2:$B$15,0)),0),IFERROR(INDEX(Fortnightly_Model!$D$2:$D$15,MATCH(G414,Fortnightly_Model!$B$2:$B$15,0)),0),IFERROR(INDEX(Fortnightly_Model!$D$2:$D$15,MATCH(G415,Fortnightly_Model!$B$2:$B$15,0)),0)),IF(VLOOKUP($A413,Calendar!$A$1:$R$1377,18,0)=4,SUM(IFERROR(INDEX(Fortnightly_Model!$D$2:$D$15,MATCH(G413,Fortnightly_Model!$B$2:$B$15,0)),0),IFERROR(INDEX(Fortnightly_Model!$D$2:$D$15,MATCH(G414,Fortnightly_Model!$B$2:$B$15,0)),0),IFERROR(INDEX(Fortnightly_Model!$D$2:$D$15,MATCH(G415,Fortnightly_Model!$B$2:$B$15,0)),0),IFERROR(INDEX(Fortnightly_Model!$D$2:$D$15,MATCH(G416,Fortnightly_Model!$B$2:$B$15,0)),0)),IF(VLOOKUP($A413,Calendar!$A$1:$R$1377,18,0)=5,SUM(IFERROR(INDEX(Fortnightly_Model!$D$2:$D$15,MATCH(G413,Fortnightly_Model!$B$2:$B$15,0)),0),IFERROR(INDEX(Fortnightly_Model!$D$2:$D$15,MATCH(G414,Fortnightly_Model!$B$2:$B$15,0)),0),IFERROR(INDEX(Fortnightly_Model!$D$2:$D$15,MATCH(G415,Fortnightly_Model!$B$2:$B$15,0)),0),IFERROR(INDEX(Fortnightly_Model!$D$2:$D$15,MATCH(G416,Fortnightly_Model!$B$2:$B$15,0)),0),IFERROR(INDEX(Fortnightly_Model!$D$2:$D$15,MATCH(G417,Fortnightly_Model!$B$2:$B$15,0)),0)),0))))))</f>
        <v>1.0714285499999999E-3</v>
      </c>
      <c r="M413" s="27">
        <f>IF(VLOOKUP($A413,Calendar!$A$1:$R$1377,18,0)=0,0,IF(VLOOKUP($A413,Calendar!$A$1:$R$1377,18,0)=1,IFERROR(INDEX(FourWeekly_Model!$D$2:$D$29,MATCH(H413,FourWeekly_Model!$B$2:$B$29,0)),0),IF(VLOOKUP($A413,Calendar!$A$1:$R$1377,18,0)=2,SUM(IFERROR(INDEX(FourWeekly_Model!$D$2:$D$29,MATCH(H413,FourWeekly_Model!$B$2:$B$29,0)),0),IFERROR(INDEX(FourWeekly_Model!$D$2:$D$29,MATCH(H414,FourWeekly_Model!$B$2:$B$29,0)),0)),IF(VLOOKUP($A413,Calendar!$A$1:$R$1377,18,0)=3,SUM(IFERROR(INDEX(FourWeekly_Model!$D$2:$D$29,MATCH(H413,FourWeekly_Model!$B$2:$B$29,0)),0),IFERROR(INDEX(FourWeekly_Model!$D$2:$D$29,MATCH(H414,FourWeekly_Model!$B$2:$B$29,0)),0),IFERROR(INDEX(FourWeekly_Model!$D$2:$D$29,MATCH(H415,FourWeekly_Model!$B$2:$B$29,0)),0)),IF(VLOOKUP($A413,Calendar!$A$1:$R$1377,18,0)=4,SUM(IFERROR(INDEX(FourWeekly_Model!$D$2:$D$29,MATCH(H413,FourWeekly_Model!$B$2:$B$29,0)),0),IFERROR(INDEX(FourWeekly_Model!$D$2:$D$29,MATCH(H414,FourWeekly_Model!$B$2:$B$29,0)),0),IFERROR(INDEX(FourWeekly_Model!$D$2:$D$29,MATCH(H415,FourWeekly_Model!$B$2:$B$29,0)),0),IFERROR(INDEX(FourWeekly_Model!$D$2:$D$29,MATCH(H416,FourWeekly_Model!$B$2:$B$29,0)),0)),IF(VLOOKUP($A413,Calendar!$A$1:$R$1377,18,0)=5,SUM(IFERROR(INDEX(FourWeekly_Model!$D$2:$D$29,MATCH(H413,FourWeekly_Model!$B$2:$B$29,0)),0),IFERROR(INDEX(FourWeekly_Model!$D$2:$D$29,MATCH(H414,FourWeekly_Model!$B$2:$B$29,0)),0),IFERROR(INDEX(FourWeekly_Model!$D$2:$D$29,MATCH(H415,FourWeekly_Model!$B$2:$B$29,0)),0),IFERROR(INDEX(FourWeekly_Model!$D$2:$D$29,MATCH(H416,FourWeekly_Model!$B$2:$B$29,0)),0),IFERROR(INDEX(FourWeekly_Model!$D$2:$D$29,MATCH(H417,FourWeekly_Model!$B$2:$B$29,0)),0)),0))))))</f>
        <v>3.3214289700000004E-3</v>
      </c>
      <c r="N413" s="27">
        <f>SUM(I413:M413)</f>
        <v>2.921798841005236E-2</v>
      </c>
      <c r="O413" s="28">
        <f>Population_Data!$B$8*N413</f>
        <v>885305.04882458656</v>
      </c>
      <c r="P413" s="27">
        <f>IF(VLOOKUP($A413,Calendar!$A$1:$R$1377,18,0)=0,0,IF(VLOOKUP($A413,Calendar!$A$1:$R$1377,18,0)=1,IFERROR(INDEX(Pension_Model!$D$2:$D$29,MATCH(H413,Pension_Model!$B$2:$B$29,0)),0),IF(VLOOKUP($A413,Calendar!$A$1:$R$1377,18,0)=2,SUM(IFERROR(INDEX(Pension_Model!$D$2:$D$29,MATCH(H413,Pension_Model!$B$2:$B$29,0)),0),IFERROR(INDEX(Pension_Model!$D$2:$D$29,MATCH(H414,Pension_Model!$B$2:$B$29,0)),0)),IF(VLOOKUP($A413,Calendar!$A$1:$R$1377,18,0)=3,SUM(IFERROR(INDEX(Pension_Model!$D$2:$D$29,MATCH(H413,Pension_Model!$B$2:$B$29,0)),0),IFERROR(INDEX(Pension_Model!$D$2:$D$29,MATCH(H414,Pension_Model!$B$2:$B$29,0)),0),IFERROR(INDEX(Pension_Model!$D$2:$D$29,MATCH(H415,Pension_Model!$B$2:$B$29,0)),0)),IF(VLOOKUP($A413,Calendar!$A$1:$R$1377,18,0)=4,SUM(IFERROR(INDEX(Pension_Model!$D$2:$D$29,MATCH(H413,Pension_Model!$B$2:$B$29,0)),0),IFERROR(INDEX(Pension_Model!$D$2:$D$29,MATCH(H414,Pension_Model!$B$2:$B$29,0)),0),IFERROR(INDEX(Pension_Model!$D$2:$D$29,MATCH(H415,Pension_Model!$B$2:$B$29,0)),0),IFERROR(INDEX(Pension_Model!$D$2:$D$29,MATCH(H416,Pension_Model!$B$2:$B$29,0)),0)),IF(VLOOKUP($A413,Calendar!$A$1:$R$1377,18,0)=5,SUM(IFERROR(INDEX(Pension_Model!$D$2:$D$29,MATCH(H413,Pension_Model!$B$2:$B$29,0)),0),IFERROR(INDEX(Pension_Model!$D$2:$D$29,MATCH(H414,Pension_Model!$B$2:$B$29,0)),0),IFERROR(INDEX(Pension_Model!$D$2:$D$29,MATCH(H415,Pension_Model!$B$2:$B$29,0)),0),IFERROR(INDEX(Pension_Model!$D$2:$D$29,MATCH(H416,Pension_Model!$B$2:$B$29,0)),0),IFERROR(INDEX(Pension_Model!$D$2:$D$29,MATCH(H417,Pension_Model!$B$2:$B$29,0)),0)),0))))))</f>
        <v>0.05</v>
      </c>
      <c r="Q413" s="28">
        <f>Population_Data!$B$15*P413</f>
        <v>660600</v>
      </c>
      <c r="S413">
        <f t="shared" si="6"/>
        <v>1545905.0488245864</v>
      </c>
      <c r="U413" s="33">
        <f>S413/Population_Data!$B$19</f>
        <v>2.8005526246822218E-2</v>
      </c>
    </row>
    <row r="414" spans="1:21">
      <c r="A414" s="25">
        <f>Calendar!A414</f>
        <v>46647</v>
      </c>
      <c r="B414" t="str">
        <f>Calendar!L414</f>
        <v>Yes</v>
      </c>
      <c r="C414" t="str">
        <f>Calendar!O414</f>
        <v>No</v>
      </c>
      <c r="D414" t="str">
        <f>Calendar!P414</f>
        <v>No</v>
      </c>
      <c r="E414" t="str">
        <f>Calendar!Q414</f>
        <v>No</v>
      </c>
      <c r="F414" t="str">
        <f>Calendar!I414</f>
        <v>Friday</v>
      </c>
      <c r="G414">
        <f>Calendar!S414</f>
        <v>13</v>
      </c>
      <c r="H414">
        <f>Calendar!T414</f>
        <v>27</v>
      </c>
      <c r="I414" s="27">
        <f>IF(VLOOKUP(A414,Calendar!$A$1:$R$1377,18,0)=0,0,IF(VLOOKUP(A414,Calendar!$A$1:$R$1377,18,0)=1,INDEX(Monthly_Pay_Model!$A$9:$D$40,MATCH(TEXT(A414,"dd"),Monthly_Pay_Model!$C$9:$C$39,0),4),IF(VLOOKUP(A414,Calendar!$A$1:$R$1377,18,0)=2,SUM(INDEX(Monthly_Pay_Model!$A$9:$D$40,MATCH(TEXT(A414,"dd"),Monthly_Pay_Model!$C$9:$C$39,0),4),INDEX(Monthly_Pay_Model!$A$9:$D$40,MATCH(TEXT(A415,"dd"),Monthly_Pay_Model!$C$9:$C$39,0),4)),IF(VLOOKUP(A414,Calendar!$A$1:$R$1377,18,0)=3,SUM(INDEX(Monthly_Pay_Model!$A$9:$D$40,MATCH(TEXT(A414,"dd"),Monthly_Pay_Model!$C$9:$C$39,0),4),INDEX(Monthly_Pay_Model!$A$9:$D$40,MATCH(TEXT(A415,"dd"),Monthly_Pay_Model!$C$9:$C$39,0),4),INDEX(Monthly_Pay_Model!$A$9:$D$40,MATCH(TEXT(A416,"dd"),Monthly_Pay_Model!$C$9:$C$39,0),4)),IF(VLOOKUP(A414,Calendar!$A$1:$R$1377,18,0)=4,SUM(INDEX(Monthly_Pay_Model!$A$9:$D$40,MATCH(TEXT(A414,"dd"),Monthly_Pay_Model!$C$9:$C$39,0),4),INDEX(Monthly_Pay_Model!$A$9:$D$40,MATCH(TEXT(A415,"dd"),Monthly_Pay_Model!$C$9:$C$39,0),4),INDEX(Monthly_Pay_Model!$A$9:$D$40,MATCH(TEXT(A416,"dd"),Monthly_Pay_Model!$C$9:$C$39,0),4),INDEX(Monthly_Pay_Model!$A$9:$D$40,MATCH(TEXT(A417,"dd"),Monthly_Pay_Model!$C$9:$C$39,0),4)),IF(VLOOKUP(A414,Calendar!$A$1:$R$1377,18,0)=5,SUM(INDEX(Monthly_Pay_Model!$A$9:$D$40,MATCH(TEXT(A414,"dd"),Monthly_Pay_Model!$C$9:$C$39,0),4),INDEX(Monthly_Pay_Model!$A$9:$D$40,MATCH(TEXT(A415,"dd"),Monthly_Pay_Model!$C$9:$C$39,0),4),INDEX(Monthly_Pay_Model!$A$9:$D$40,MATCH(TEXT(A416,"dd"),Monthly_Pay_Model!$C$9:$C$39,0),4),INDEX(Monthly_Pay_Model!$A$9:$D$40,MATCH(TEXT(A417,"dd"),Monthly_Pay_Model!$C$9:$C$39,0),4),INDEX(Monthly_Pay_Model!$A$9:$D$40,MATCH(TEXT(A418,"dd"),Monthly_Pay_Model!$C$9:$C$39,0),4)),))))))</f>
        <v>4.8753926701570662E-3</v>
      </c>
      <c r="J414" s="33">
        <f>IF(C414="Yes",Monthly_Pay_Model!$D$2,0)
+IF(Calendar!N414="Yes",Monthly_Pay_Model!$D$3,0)
+IF(D414="Yes",Monthly_Pay_Model!$D$4,0)
+IF(E414="Yes",Monthly_Pay_Model!$D$5,0)</f>
        <v>0</v>
      </c>
      <c r="K414" s="27">
        <f>IF(VLOOKUP($A414,Calendar!$A$1:$R$1377,18,0)=0,0,IF(VLOOKUP($A414,Calendar!$A$1:$R$1377,18,0)=1,IFERROR(INDEX(Weekly_Model!$D$2:$D$9,MATCH(F414,Weekly_Model!$A$2:$A$9,0)),0),IF(VLOOKUP($A414,Calendar!$A$1:$R$1377,18,0)=2,SUM(IFERROR(INDEX(Weekly_Model!$D$2:$D$9,MATCH(F414,Weekly_Model!$A$2:$A$9,0)),0),IFERROR(INDEX(Weekly_Model!$D$2:$D$9,MATCH(F415,Weekly_Model!$A$2:$A$9,0)),0)),IF(VLOOKUP($A414,Calendar!$A$1:$R$1377,18,0)=3,SUM(IFERROR(INDEX(Weekly_Model!$D$2:$D$9,MATCH(F414,Weekly_Model!$A$2:$A$9,0)),0),IFERROR(INDEX(Weekly_Model!$D$2:$D$9,MATCH(F415,Weekly_Model!$A$2:$A$9,0)),0),IFERROR(INDEX(Weekly_Model!$D$2:$D$9,MATCH(F416,Weekly_Model!$A$2:$A$9,0)),0)),IF(VLOOKUP($A414,Calendar!$A$1:$R$1377,18,0)=4,SUM(IFERROR(INDEX(Weekly_Model!$D$2:$D$9,MATCH(F414,Weekly_Model!$A$2:$A$9,0)),0),IFERROR(INDEX(Weekly_Model!$D$2:$D$9,MATCH(F415,Weekly_Model!$A$2:$A$9,0)),0),IFERROR(INDEX(Weekly_Model!$D$2:$D$9,MATCH(F416,Weekly_Model!$A$2:$A$9,0)),0),IFERROR(INDEX(Weekly_Model!$D$2:$D$9,MATCH(F417,Weekly_Model!$A$2:$A$9,0)),0)),IF(VLOOKUP($A414,Calendar!$A$1:$R$1377,18,0)=5,SUM(IFERROR(INDEX(Weekly_Model!$D$2:$D$9,MATCH(F414,Weekly_Model!$A$2:$A$9,0)),0),IFERROR(INDEX(Weekly_Model!$D$2:$D$9,MATCH(F415,Weekly_Model!$A$2:$A$9,0)),0),IFERROR(INDEX(Weekly_Model!$D$2:$D$9,MATCH(F416,Weekly_Model!$A$2:$A$9,0)),0),IFERROR(INDEX(Weekly_Model!$D$2:$D$9,MATCH(F417,Weekly_Model!$A$2:$A$9,0)),0),IFERROR(INDEX(Weekly_Model!$D$2:$D$9,MATCH(F418,Weekly_Model!$A$2:$A$9,0)),0)),0))))))</f>
        <v>2.3200000000000002E-2</v>
      </c>
      <c r="L414" s="27">
        <f>IF(VLOOKUP($A414,Calendar!$A$1:$R$1377,18,0)=0,0,IF(VLOOKUP($A414,Calendar!$A$1:$R$1377,18,0)=1,IFERROR(INDEX(Fortnightly_Model!$D$2:$D$15,MATCH(G414,Fortnightly_Model!$B$2:$B$15,0)),0),IF(VLOOKUP($A414,Calendar!$A$1:$R$1377,18,0)=2,SUM(IFERROR(INDEX(Fortnightly_Model!$D$2:$D$15,MATCH(G414,Fortnightly_Model!$B$2:$B$15,0)),0),IFERROR(INDEX(Fortnightly_Model!$D$2:$D$15,MATCH(G415,Fortnightly_Model!$B$2:$B$15,0)),0)),IF(VLOOKUP($A414,Calendar!$A$1:$R$1377,18,0)=3,SUM(IFERROR(INDEX(Fortnightly_Model!$D$2:$D$15,MATCH(G414,Fortnightly_Model!$B$2:$B$15,0)),0),IFERROR(INDEX(Fortnightly_Model!$D$2:$D$15,MATCH(G415,Fortnightly_Model!$B$2:$B$15,0)),0),IFERROR(INDEX(Fortnightly_Model!$D$2:$D$15,MATCH(G416,Fortnightly_Model!$B$2:$B$15,0)),0)),IF(VLOOKUP($A414,Calendar!$A$1:$R$1377,18,0)=4,SUM(IFERROR(INDEX(Fortnightly_Model!$D$2:$D$15,MATCH(G414,Fortnightly_Model!$B$2:$B$15,0)),0),IFERROR(INDEX(Fortnightly_Model!$D$2:$D$15,MATCH(G415,Fortnightly_Model!$B$2:$B$15,0)),0),IFERROR(INDEX(Fortnightly_Model!$D$2:$D$15,MATCH(G416,Fortnightly_Model!$B$2:$B$15,0)),0),IFERROR(INDEX(Fortnightly_Model!$D$2:$D$15,MATCH(G417,Fortnightly_Model!$B$2:$B$15,0)),0)),IF(VLOOKUP($A414,Calendar!$A$1:$R$1377,18,0)=5,SUM(IFERROR(INDEX(Fortnightly_Model!$D$2:$D$15,MATCH(G414,Fortnightly_Model!$B$2:$B$15,0)),0),IFERROR(INDEX(Fortnightly_Model!$D$2:$D$15,MATCH(G415,Fortnightly_Model!$B$2:$B$15,0)),0),IFERROR(INDEX(Fortnightly_Model!$D$2:$D$15,MATCH(G416,Fortnightly_Model!$B$2:$B$15,0)),0),IFERROR(INDEX(Fortnightly_Model!$D$2:$D$15,MATCH(G417,Fortnightly_Model!$B$2:$B$15,0)),0),IFERROR(INDEX(Fortnightly_Model!$D$2:$D$15,MATCH(G418,Fortnightly_Model!$B$2:$B$15,0)),0)),0))))))</f>
        <v>3.2142856499999999E-3</v>
      </c>
      <c r="M414" s="27">
        <f>IF(VLOOKUP($A414,Calendar!$A$1:$R$1377,18,0)=0,0,IF(VLOOKUP($A414,Calendar!$A$1:$R$1377,18,0)=1,IFERROR(INDEX(FourWeekly_Model!$D$2:$D$29,MATCH(H414,FourWeekly_Model!$B$2:$B$29,0)),0),IF(VLOOKUP($A414,Calendar!$A$1:$R$1377,18,0)=2,SUM(IFERROR(INDEX(FourWeekly_Model!$D$2:$D$29,MATCH(H414,FourWeekly_Model!$B$2:$B$29,0)),0),IFERROR(INDEX(FourWeekly_Model!$D$2:$D$29,MATCH(H415,FourWeekly_Model!$B$2:$B$29,0)),0)),IF(VLOOKUP($A414,Calendar!$A$1:$R$1377,18,0)=3,SUM(IFERROR(INDEX(FourWeekly_Model!$D$2:$D$29,MATCH(H414,FourWeekly_Model!$B$2:$B$29,0)),0),IFERROR(INDEX(FourWeekly_Model!$D$2:$D$29,MATCH(H415,FourWeekly_Model!$B$2:$B$29,0)),0),IFERROR(INDEX(FourWeekly_Model!$D$2:$D$29,MATCH(H416,FourWeekly_Model!$B$2:$B$29,0)),0)),IF(VLOOKUP($A414,Calendar!$A$1:$R$1377,18,0)=4,SUM(IFERROR(INDEX(FourWeekly_Model!$D$2:$D$29,MATCH(H414,FourWeekly_Model!$B$2:$B$29,0)),0),IFERROR(INDEX(FourWeekly_Model!$D$2:$D$29,MATCH(H415,FourWeekly_Model!$B$2:$B$29,0)),0),IFERROR(INDEX(FourWeekly_Model!$D$2:$D$29,MATCH(H416,FourWeekly_Model!$B$2:$B$29,0)),0),IFERROR(INDEX(FourWeekly_Model!$D$2:$D$29,MATCH(H417,FourWeekly_Model!$B$2:$B$29,0)),0)),IF(VLOOKUP($A414,Calendar!$A$1:$R$1377,18,0)=5,SUM(IFERROR(INDEX(FourWeekly_Model!$D$2:$D$29,MATCH(H414,FourWeekly_Model!$B$2:$B$29,0)),0),IFERROR(INDEX(FourWeekly_Model!$D$2:$D$29,MATCH(H415,FourWeekly_Model!$B$2:$B$29,0)),0),IFERROR(INDEX(FourWeekly_Model!$D$2:$D$29,MATCH(H416,FourWeekly_Model!$B$2:$B$29,0)),0),IFERROR(INDEX(FourWeekly_Model!$D$2:$D$29,MATCH(H417,FourWeekly_Model!$B$2:$B$29,0)),0),IFERROR(INDEX(FourWeekly_Model!$D$2:$D$29,MATCH(H418,FourWeekly_Model!$B$2:$B$29,0)),0)),0))))))</f>
        <v>9.9642859800000011E-3</v>
      </c>
      <c r="N414" s="27">
        <f>SUM(I414:M414)</f>
        <v>4.125396430015707E-2</v>
      </c>
      <c r="O414" s="28">
        <f>Population_Data!$B$8*N414</f>
        <v>1249995.1182947592</v>
      </c>
      <c r="P414" s="27">
        <f>IF(VLOOKUP($A414,Calendar!$A$1:$R$1377,18,0)=0,0,IF(VLOOKUP($A414,Calendar!$A$1:$R$1377,18,0)=1,IFERROR(INDEX(Pension_Model!$D$2:$D$29,MATCH(H414,Pension_Model!$B$2:$B$29,0)),0),IF(VLOOKUP($A414,Calendar!$A$1:$R$1377,18,0)=2,SUM(IFERROR(INDEX(Pension_Model!$D$2:$D$29,MATCH(H414,Pension_Model!$B$2:$B$29,0)),0),IFERROR(INDEX(Pension_Model!$D$2:$D$29,MATCH(H415,Pension_Model!$B$2:$B$29,0)),0)),IF(VLOOKUP($A414,Calendar!$A$1:$R$1377,18,0)=3,SUM(IFERROR(INDEX(Pension_Model!$D$2:$D$29,MATCH(H414,Pension_Model!$B$2:$B$29,0)),0),IFERROR(INDEX(Pension_Model!$D$2:$D$29,MATCH(H415,Pension_Model!$B$2:$B$29,0)),0),IFERROR(INDEX(Pension_Model!$D$2:$D$29,MATCH(H416,Pension_Model!$B$2:$B$29,0)),0)),IF(VLOOKUP($A414,Calendar!$A$1:$R$1377,18,0)=4,SUM(IFERROR(INDEX(Pension_Model!$D$2:$D$29,MATCH(H414,Pension_Model!$B$2:$B$29,0)),0),IFERROR(INDEX(Pension_Model!$D$2:$D$29,MATCH(H415,Pension_Model!$B$2:$B$29,0)),0),IFERROR(INDEX(Pension_Model!$D$2:$D$29,MATCH(H416,Pension_Model!$B$2:$B$29,0)),0),IFERROR(INDEX(Pension_Model!$D$2:$D$29,MATCH(H417,Pension_Model!$B$2:$B$29,0)),0)),IF(VLOOKUP($A414,Calendar!$A$1:$R$1377,18,0)=5,SUM(IFERROR(INDEX(Pension_Model!$D$2:$D$29,MATCH(H414,Pension_Model!$B$2:$B$29,0)),0),IFERROR(INDEX(Pension_Model!$D$2:$D$29,MATCH(H415,Pension_Model!$B$2:$B$29,0)),0),IFERROR(INDEX(Pension_Model!$D$2:$D$29,MATCH(H416,Pension_Model!$B$2:$B$29,0)),0),IFERROR(INDEX(Pension_Model!$D$2:$D$29,MATCH(H417,Pension_Model!$B$2:$B$29,0)),0),IFERROR(INDEX(Pension_Model!$D$2:$D$29,MATCH(H418,Pension_Model!$B$2:$B$29,0)),0)),0))))))</f>
        <v>0.05</v>
      </c>
      <c r="Q414" s="28">
        <f>Population_Data!$B$15*P414</f>
        <v>660600</v>
      </c>
      <c r="S414">
        <f t="shared" si="6"/>
        <v>1910595.1182947592</v>
      </c>
      <c r="U414" s="33">
        <f>S414/Population_Data!$B$19</f>
        <v>3.4612230403890568E-2</v>
      </c>
    </row>
    <row r="415" spans="1:21">
      <c r="A415" s="25">
        <f>Calendar!A415</f>
        <v>46648</v>
      </c>
      <c r="B415" t="str">
        <f>Calendar!L415</f>
        <v>No</v>
      </c>
      <c r="C415" t="str">
        <f>Calendar!O415</f>
        <v>No</v>
      </c>
      <c r="D415" t="str">
        <f>Calendar!P415</f>
        <v>No</v>
      </c>
      <c r="E415" t="str">
        <f>Calendar!Q415</f>
        <v>No</v>
      </c>
      <c r="F415" t="str">
        <f>Calendar!I415</f>
        <v>Saturday</v>
      </c>
      <c r="G415">
        <f>Calendar!S415</f>
        <v>0</v>
      </c>
      <c r="H415">
        <f>Calendar!T415</f>
        <v>0</v>
      </c>
      <c r="I415" s="27">
        <f>IF(VLOOKUP(A415,Calendar!$A$1:$R$1377,18,0)=0,0,IF(VLOOKUP(A415,Calendar!$A$1:$R$1377,18,0)=1,INDEX(Monthly_Pay_Model!$A$9:$D$40,MATCH(TEXT(A415,"dd"),Monthly_Pay_Model!$C$9:$C$39,0),4),IF(VLOOKUP(A415,Calendar!$A$1:$R$1377,18,0)=2,SUM(INDEX(Monthly_Pay_Model!$A$9:$D$40,MATCH(TEXT(A415,"dd"),Monthly_Pay_Model!$C$9:$C$39,0),4),INDEX(Monthly_Pay_Model!$A$9:$D$40,MATCH(TEXT(A416,"dd"),Monthly_Pay_Model!$C$9:$C$39,0),4)),IF(VLOOKUP(A415,Calendar!$A$1:$R$1377,18,0)=3,SUM(INDEX(Monthly_Pay_Model!$A$9:$D$40,MATCH(TEXT(A415,"dd"),Monthly_Pay_Model!$C$9:$C$39,0),4),INDEX(Monthly_Pay_Model!$A$9:$D$40,MATCH(TEXT(A416,"dd"),Monthly_Pay_Model!$C$9:$C$39,0),4),INDEX(Monthly_Pay_Model!$A$9:$D$40,MATCH(TEXT(A417,"dd"),Monthly_Pay_Model!$C$9:$C$39,0),4)),IF(VLOOKUP(A415,Calendar!$A$1:$R$1377,18,0)=4,SUM(INDEX(Monthly_Pay_Model!$A$9:$D$40,MATCH(TEXT(A415,"dd"),Monthly_Pay_Model!$C$9:$C$39,0),4),INDEX(Monthly_Pay_Model!$A$9:$D$40,MATCH(TEXT(A416,"dd"),Monthly_Pay_Model!$C$9:$C$39,0),4),INDEX(Monthly_Pay_Model!$A$9:$D$40,MATCH(TEXT(A417,"dd"),Monthly_Pay_Model!$C$9:$C$39,0),4),INDEX(Monthly_Pay_Model!$A$9:$D$40,MATCH(TEXT(A418,"dd"),Monthly_Pay_Model!$C$9:$C$39,0),4)),IF(VLOOKUP(A415,Calendar!$A$1:$R$1377,18,0)=5,SUM(INDEX(Monthly_Pay_Model!$A$9:$D$40,MATCH(TEXT(A415,"dd"),Monthly_Pay_Model!$C$9:$C$39,0),4),INDEX(Monthly_Pay_Model!$A$9:$D$40,MATCH(TEXT(A416,"dd"),Monthly_Pay_Model!$C$9:$C$39,0),4),INDEX(Monthly_Pay_Model!$A$9:$D$40,MATCH(TEXT(A417,"dd"),Monthly_Pay_Model!$C$9:$C$39,0),4),INDEX(Monthly_Pay_Model!$A$9:$D$40,MATCH(TEXT(A418,"dd"),Monthly_Pay_Model!$C$9:$C$39,0),4),INDEX(Monthly_Pay_Model!$A$9:$D$40,MATCH(TEXT(A419,"dd"),Monthly_Pay_Model!$C$9:$C$39,0),4)),))))))</f>
        <v>0</v>
      </c>
      <c r="J415" s="33">
        <f>IF(C415="Yes",Monthly_Pay_Model!$D$2,0)
+IF(Calendar!N415="Yes",Monthly_Pay_Model!$D$3,0)
+IF(D415="Yes",Monthly_Pay_Model!$D$4,0)
+IF(E415="Yes",Monthly_Pay_Model!$D$5,0)</f>
        <v>0</v>
      </c>
      <c r="K415" s="27">
        <f>IF(VLOOKUP($A415,Calendar!$A$1:$R$1377,18,0)=0,0,IF(VLOOKUP($A415,Calendar!$A$1:$R$1377,18,0)=1,IFERROR(INDEX(Weekly_Model!$D$2:$D$9,MATCH(F415,Weekly_Model!$A$2:$A$9,0)),0),IF(VLOOKUP($A415,Calendar!$A$1:$R$1377,18,0)=2,SUM(IFERROR(INDEX(Weekly_Model!$D$2:$D$9,MATCH(F415,Weekly_Model!$A$2:$A$9,0)),0),IFERROR(INDEX(Weekly_Model!$D$2:$D$9,MATCH(F416,Weekly_Model!$A$2:$A$9,0)),0)),IF(VLOOKUP($A415,Calendar!$A$1:$R$1377,18,0)=3,SUM(IFERROR(INDEX(Weekly_Model!$D$2:$D$9,MATCH(F415,Weekly_Model!$A$2:$A$9,0)),0),IFERROR(INDEX(Weekly_Model!$D$2:$D$9,MATCH(F416,Weekly_Model!$A$2:$A$9,0)),0),IFERROR(INDEX(Weekly_Model!$D$2:$D$9,MATCH(F417,Weekly_Model!$A$2:$A$9,0)),0)),IF(VLOOKUP($A415,Calendar!$A$1:$R$1377,18,0)=4,SUM(IFERROR(INDEX(Weekly_Model!$D$2:$D$9,MATCH(F415,Weekly_Model!$A$2:$A$9,0)),0),IFERROR(INDEX(Weekly_Model!$D$2:$D$9,MATCH(F416,Weekly_Model!$A$2:$A$9,0)),0),IFERROR(INDEX(Weekly_Model!$D$2:$D$9,MATCH(F417,Weekly_Model!$A$2:$A$9,0)),0),IFERROR(INDEX(Weekly_Model!$D$2:$D$9,MATCH(F418,Weekly_Model!$A$2:$A$9,0)),0)),IF(VLOOKUP($A415,Calendar!$A$1:$R$1377,18,0)=5,SUM(IFERROR(INDEX(Weekly_Model!$D$2:$D$9,MATCH(F415,Weekly_Model!$A$2:$A$9,0)),0),IFERROR(INDEX(Weekly_Model!$D$2:$D$9,MATCH(F416,Weekly_Model!$A$2:$A$9,0)),0),IFERROR(INDEX(Weekly_Model!$D$2:$D$9,MATCH(F417,Weekly_Model!$A$2:$A$9,0)),0),IFERROR(INDEX(Weekly_Model!$D$2:$D$9,MATCH(F418,Weekly_Model!$A$2:$A$9,0)),0),IFERROR(INDEX(Weekly_Model!$D$2:$D$9,MATCH(F419,Weekly_Model!$A$2:$A$9,0)),0)),0))))))</f>
        <v>0</v>
      </c>
      <c r="L415" s="27">
        <f>IF(VLOOKUP($A415,Calendar!$A$1:$R$1377,18,0)=0,0,IF(VLOOKUP($A415,Calendar!$A$1:$R$1377,18,0)=1,IFERROR(INDEX(Fortnightly_Model!$D$2:$D$15,MATCH(G415,Fortnightly_Model!$B$2:$B$15,0)),0),IF(VLOOKUP($A415,Calendar!$A$1:$R$1377,18,0)=2,SUM(IFERROR(INDEX(Fortnightly_Model!$D$2:$D$15,MATCH(G415,Fortnightly_Model!$B$2:$B$15,0)),0),IFERROR(INDEX(Fortnightly_Model!$D$2:$D$15,MATCH(G416,Fortnightly_Model!$B$2:$B$15,0)),0)),IF(VLOOKUP($A415,Calendar!$A$1:$R$1377,18,0)=3,SUM(IFERROR(INDEX(Fortnightly_Model!$D$2:$D$15,MATCH(G415,Fortnightly_Model!$B$2:$B$15,0)),0),IFERROR(INDEX(Fortnightly_Model!$D$2:$D$15,MATCH(G416,Fortnightly_Model!$B$2:$B$15,0)),0),IFERROR(INDEX(Fortnightly_Model!$D$2:$D$15,MATCH(G417,Fortnightly_Model!$B$2:$B$15,0)),0)),IF(VLOOKUP($A415,Calendar!$A$1:$R$1377,18,0)=4,SUM(IFERROR(INDEX(Fortnightly_Model!$D$2:$D$15,MATCH(G415,Fortnightly_Model!$B$2:$B$15,0)),0),IFERROR(INDEX(Fortnightly_Model!$D$2:$D$15,MATCH(G416,Fortnightly_Model!$B$2:$B$15,0)),0),IFERROR(INDEX(Fortnightly_Model!$D$2:$D$15,MATCH(G417,Fortnightly_Model!$B$2:$B$15,0)),0),IFERROR(INDEX(Fortnightly_Model!$D$2:$D$15,MATCH(G418,Fortnightly_Model!$B$2:$B$15,0)),0)),IF(VLOOKUP($A415,Calendar!$A$1:$R$1377,18,0)=5,SUM(IFERROR(INDEX(Fortnightly_Model!$D$2:$D$15,MATCH(G415,Fortnightly_Model!$B$2:$B$15,0)),0),IFERROR(INDEX(Fortnightly_Model!$D$2:$D$15,MATCH(G416,Fortnightly_Model!$B$2:$B$15,0)),0),IFERROR(INDEX(Fortnightly_Model!$D$2:$D$15,MATCH(G417,Fortnightly_Model!$B$2:$B$15,0)),0),IFERROR(INDEX(Fortnightly_Model!$D$2:$D$15,MATCH(G418,Fortnightly_Model!$B$2:$B$15,0)),0),IFERROR(INDEX(Fortnightly_Model!$D$2:$D$15,MATCH(G419,Fortnightly_Model!$B$2:$B$15,0)),0)),0))))))</f>
        <v>0</v>
      </c>
      <c r="M415" s="27">
        <f>IF(VLOOKUP($A415,Calendar!$A$1:$R$1377,18,0)=0,0,IF(VLOOKUP($A415,Calendar!$A$1:$R$1377,18,0)=1,IFERROR(INDEX(FourWeekly_Model!$D$2:$D$29,MATCH(H415,FourWeekly_Model!$B$2:$B$29,0)),0),IF(VLOOKUP($A415,Calendar!$A$1:$R$1377,18,0)=2,SUM(IFERROR(INDEX(FourWeekly_Model!$D$2:$D$29,MATCH(H415,FourWeekly_Model!$B$2:$B$29,0)),0),IFERROR(INDEX(FourWeekly_Model!$D$2:$D$29,MATCH(H416,FourWeekly_Model!$B$2:$B$29,0)),0)),IF(VLOOKUP($A415,Calendar!$A$1:$R$1377,18,0)=3,SUM(IFERROR(INDEX(FourWeekly_Model!$D$2:$D$29,MATCH(H415,FourWeekly_Model!$B$2:$B$29,0)),0),IFERROR(INDEX(FourWeekly_Model!$D$2:$D$29,MATCH(H416,FourWeekly_Model!$B$2:$B$29,0)),0),IFERROR(INDEX(FourWeekly_Model!$D$2:$D$29,MATCH(H417,FourWeekly_Model!$B$2:$B$29,0)),0)),IF(VLOOKUP($A415,Calendar!$A$1:$R$1377,18,0)=4,SUM(IFERROR(INDEX(FourWeekly_Model!$D$2:$D$29,MATCH(H415,FourWeekly_Model!$B$2:$B$29,0)),0),IFERROR(INDEX(FourWeekly_Model!$D$2:$D$29,MATCH(H416,FourWeekly_Model!$B$2:$B$29,0)),0),IFERROR(INDEX(FourWeekly_Model!$D$2:$D$29,MATCH(H417,FourWeekly_Model!$B$2:$B$29,0)),0),IFERROR(INDEX(FourWeekly_Model!$D$2:$D$29,MATCH(H418,FourWeekly_Model!$B$2:$B$29,0)),0)),IF(VLOOKUP($A415,Calendar!$A$1:$R$1377,18,0)=5,SUM(IFERROR(INDEX(FourWeekly_Model!$D$2:$D$29,MATCH(H415,FourWeekly_Model!$B$2:$B$29,0)),0),IFERROR(INDEX(FourWeekly_Model!$D$2:$D$29,MATCH(H416,FourWeekly_Model!$B$2:$B$29,0)),0),IFERROR(INDEX(FourWeekly_Model!$D$2:$D$29,MATCH(H417,FourWeekly_Model!$B$2:$B$29,0)),0),IFERROR(INDEX(FourWeekly_Model!$D$2:$D$29,MATCH(H418,FourWeekly_Model!$B$2:$B$29,0)),0),IFERROR(INDEX(FourWeekly_Model!$D$2:$D$29,MATCH(H419,FourWeekly_Model!$B$2:$B$29,0)),0)),0))))))</f>
        <v>0</v>
      </c>
      <c r="N415" s="27">
        <f>SUM(I415:M415)</f>
        <v>0</v>
      </c>
      <c r="O415" s="28">
        <f>Population_Data!$B$8*N415</f>
        <v>0</v>
      </c>
      <c r="P415" s="27">
        <f>IF(VLOOKUP($A415,Calendar!$A$1:$R$1377,18,0)=0,0,IF(VLOOKUP($A415,Calendar!$A$1:$R$1377,18,0)=1,IFERROR(INDEX(Pension_Model!$D$2:$D$29,MATCH(H415,Pension_Model!$B$2:$B$29,0)),0),IF(VLOOKUP($A415,Calendar!$A$1:$R$1377,18,0)=2,SUM(IFERROR(INDEX(Pension_Model!$D$2:$D$29,MATCH(H415,Pension_Model!$B$2:$B$29,0)),0),IFERROR(INDEX(Pension_Model!$D$2:$D$29,MATCH(H416,Pension_Model!$B$2:$B$29,0)),0)),IF(VLOOKUP($A415,Calendar!$A$1:$R$1377,18,0)=3,SUM(IFERROR(INDEX(Pension_Model!$D$2:$D$29,MATCH(H415,Pension_Model!$B$2:$B$29,0)),0),IFERROR(INDEX(Pension_Model!$D$2:$D$29,MATCH(H416,Pension_Model!$B$2:$B$29,0)),0),IFERROR(INDEX(Pension_Model!$D$2:$D$29,MATCH(H417,Pension_Model!$B$2:$B$29,0)),0)),IF(VLOOKUP($A415,Calendar!$A$1:$R$1377,18,0)=4,SUM(IFERROR(INDEX(Pension_Model!$D$2:$D$29,MATCH(H415,Pension_Model!$B$2:$B$29,0)),0),IFERROR(INDEX(Pension_Model!$D$2:$D$29,MATCH(H416,Pension_Model!$B$2:$B$29,0)),0),IFERROR(INDEX(Pension_Model!$D$2:$D$29,MATCH(H417,Pension_Model!$B$2:$B$29,0)),0),IFERROR(INDEX(Pension_Model!$D$2:$D$29,MATCH(H418,Pension_Model!$B$2:$B$29,0)),0)),IF(VLOOKUP($A415,Calendar!$A$1:$R$1377,18,0)=5,SUM(IFERROR(INDEX(Pension_Model!$D$2:$D$29,MATCH(H415,Pension_Model!$B$2:$B$29,0)),0),IFERROR(INDEX(Pension_Model!$D$2:$D$29,MATCH(H416,Pension_Model!$B$2:$B$29,0)),0),IFERROR(INDEX(Pension_Model!$D$2:$D$29,MATCH(H417,Pension_Model!$B$2:$B$29,0)),0),IFERROR(INDEX(Pension_Model!$D$2:$D$29,MATCH(H418,Pension_Model!$B$2:$B$29,0)),0),IFERROR(INDEX(Pension_Model!$D$2:$D$29,MATCH(H419,Pension_Model!$B$2:$B$29,0)),0)),0))))))</f>
        <v>0</v>
      </c>
      <c r="Q415" s="28">
        <f>Population_Data!$B$15*P415</f>
        <v>0</v>
      </c>
      <c r="S415">
        <f t="shared" si="6"/>
        <v>0</v>
      </c>
      <c r="U415" s="33">
        <f>S415/Population_Data!$B$19</f>
        <v>0</v>
      </c>
    </row>
    <row r="416" spans="1:21">
      <c r="A416" s="25">
        <f>Calendar!A416</f>
        <v>46649</v>
      </c>
      <c r="B416" t="str">
        <f>Calendar!L416</f>
        <v>No</v>
      </c>
      <c r="C416" t="str">
        <f>Calendar!O416</f>
        <v>No</v>
      </c>
      <c r="D416" t="str">
        <f>Calendar!P416</f>
        <v>No</v>
      </c>
      <c r="E416" t="str">
        <f>Calendar!Q416</f>
        <v>No</v>
      </c>
      <c r="F416" t="str">
        <f>Calendar!I416</f>
        <v>Sunday</v>
      </c>
      <c r="G416">
        <f>Calendar!S416</f>
        <v>1</v>
      </c>
      <c r="H416">
        <f>Calendar!T416</f>
        <v>1</v>
      </c>
      <c r="I416" s="27">
        <f>IF(VLOOKUP(A416,Calendar!$A$1:$R$1377,18,0)=0,0,IF(VLOOKUP(A416,Calendar!$A$1:$R$1377,18,0)=1,INDEX(Monthly_Pay_Model!$A$9:$D$40,MATCH(TEXT(A416,"dd"),Monthly_Pay_Model!$C$9:$C$39,0),4),IF(VLOOKUP(A416,Calendar!$A$1:$R$1377,18,0)=2,SUM(INDEX(Monthly_Pay_Model!$A$9:$D$40,MATCH(TEXT(A416,"dd"),Monthly_Pay_Model!$C$9:$C$39,0),4),INDEX(Monthly_Pay_Model!$A$9:$D$40,MATCH(TEXT(A417,"dd"),Monthly_Pay_Model!$C$9:$C$39,0),4)),IF(VLOOKUP(A416,Calendar!$A$1:$R$1377,18,0)=3,SUM(INDEX(Monthly_Pay_Model!$A$9:$D$40,MATCH(TEXT(A416,"dd"),Monthly_Pay_Model!$C$9:$C$39,0),4),INDEX(Monthly_Pay_Model!$A$9:$D$40,MATCH(TEXT(A417,"dd"),Monthly_Pay_Model!$C$9:$C$39,0),4),INDEX(Monthly_Pay_Model!$A$9:$D$40,MATCH(TEXT(A418,"dd"),Monthly_Pay_Model!$C$9:$C$39,0),4)),IF(VLOOKUP(A416,Calendar!$A$1:$R$1377,18,0)=4,SUM(INDEX(Monthly_Pay_Model!$A$9:$D$40,MATCH(TEXT(A416,"dd"),Monthly_Pay_Model!$C$9:$C$39,0),4),INDEX(Monthly_Pay_Model!$A$9:$D$40,MATCH(TEXT(A417,"dd"),Monthly_Pay_Model!$C$9:$C$39,0),4),INDEX(Monthly_Pay_Model!$A$9:$D$40,MATCH(TEXT(A418,"dd"),Monthly_Pay_Model!$C$9:$C$39,0),4),INDEX(Monthly_Pay_Model!$A$9:$D$40,MATCH(TEXT(A419,"dd"),Monthly_Pay_Model!$C$9:$C$39,0),4)),IF(VLOOKUP(A416,Calendar!$A$1:$R$1377,18,0)=5,SUM(INDEX(Monthly_Pay_Model!$A$9:$D$40,MATCH(TEXT(A416,"dd"),Monthly_Pay_Model!$C$9:$C$39,0),4),INDEX(Monthly_Pay_Model!$A$9:$D$40,MATCH(TEXT(A417,"dd"),Monthly_Pay_Model!$C$9:$C$39,0),4),INDEX(Monthly_Pay_Model!$A$9:$D$40,MATCH(TEXT(A418,"dd"),Monthly_Pay_Model!$C$9:$C$39,0),4),INDEX(Monthly_Pay_Model!$A$9:$D$40,MATCH(TEXT(A419,"dd"),Monthly_Pay_Model!$C$9:$C$39,0),4),INDEX(Monthly_Pay_Model!$A$9:$D$40,MATCH(TEXT(A420,"dd"),Monthly_Pay_Model!$C$9:$C$39,0),4)),))))))</f>
        <v>0</v>
      </c>
      <c r="J416" s="33">
        <f>IF(C416="Yes",Monthly_Pay_Model!$D$2,0)
+IF(Calendar!N416="Yes",Monthly_Pay_Model!$D$3,0)
+IF(D416="Yes",Monthly_Pay_Model!$D$4,0)
+IF(E416="Yes",Monthly_Pay_Model!$D$5,0)</f>
        <v>0</v>
      </c>
      <c r="K416" s="27">
        <f>IF(VLOOKUP($A416,Calendar!$A$1:$R$1377,18,0)=0,0,IF(VLOOKUP($A416,Calendar!$A$1:$R$1377,18,0)=1,IFERROR(INDEX(Weekly_Model!$D$2:$D$9,MATCH(F416,Weekly_Model!$A$2:$A$9,0)),0),IF(VLOOKUP($A416,Calendar!$A$1:$R$1377,18,0)=2,SUM(IFERROR(INDEX(Weekly_Model!$D$2:$D$9,MATCH(F416,Weekly_Model!$A$2:$A$9,0)),0),IFERROR(INDEX(Weekly_Model!$D$2:$D$9,MATCH(F417,Weekly_Model!$A$2:$A$9,0)),0)),IF(VLOOKUP($A416,Calendar!$A$1:$R$1377,18,0)=3,SUM(IFERROR(INDEX(Weekly_Model!$D$2:$D$9,MATCH(F416,Weekly_Model!$A$2:$A$9,0)),0),IFERROR(INDEX(Weekly_Model!$D$2:$D$9,MATCH(F417,Weekly_Model!$A$2:$A$9,0)),0),IFERROR(INDEX(Weekly_Model!$D$2:$D$9,MATCH(F418,Weekly_Model!$A$2:$A$9,0)),0)),IF(VLOOKUP($A416,Calendar!$A$1:$R$1377,18,0)=4,SUM(IFERROR(INDEX(Weekly_Model!$D$2:$D$9,MATCH(F416,Weekly_Model!$A$2:$A$9,0)),0),IFERROR(INDEX(Weekly_Model!$D$2:$D$9,MATCH(F417,Weekly_Model!$A$2:$A$9,0)),0),IFERROR(INDEX(Weekly_Model!$D$2:$D$9,MATCH(F418,Weekly_Model!$A$2:$A$9,0)),0),IFERROR(INDEX(Weekly_Model!$D$2:$D$9,MATCH(F419,Weekly_Model!$A$2:$A$9,0)),0)),IF(VLOOKUP($A416,Calendar!$A$1:$R$1377,18,0)=5,SUM(IFERROR(INDEX(Weekly_Model!$D$2:$D$9,MATCH(F416,Weekly_Model!$A$2:$A$9,0)),0),IFERROR(INDEX(Weekly_Model!$D$2:$D$9,MATCH(F417,Weekly_Model!$A$2:$A$9,0)),0),IFERROR(INDEX(Weekly_Model!$D$2:$D$9,MATCH(F418,Weekly_Model!$A$2:$A$9,0)),0),IFERROR(INDEX(Weekly_Model!$D$2:$D$9,MATCH(F419,Weekly_Model!$A$2:$A$9,0)),0),IFERROR(INDEX(Weekly_Model!$D$2:$D$9,MATCH(F420,Weekly_Model!$A$2:$A$9,0)),0)),0))))))</f>
        <v>0</v>
      </c>
      <c r="L416" s="27">
        <f>IF(VLOOKUP($A416,Calendar!$A$1:$R$1377,18,0)=0,0,IF(VLOOKUP($A416,Calendar!$A$1:$R$1377,18,0)=1,IFERROR(INDEX(Fortnightly_Model!$D$2:$D$15,MATCH(G416,Fortnightly_Model!$B$2:$B$15,0)),0),IF(VLOOKUP($A416,Calendar!$A$1:$R$1377,18,0)=2,SUM(IFERROR(INDEX(Fortnightly_Model!$D$2:$D$15,MATCH(G416,Fortnightly_Model!$B$2:$B$15,0)),0),IFERROR(INDEX(Fortnightly_Model!$D$2:$D$15,MATCH(G417,Fortnightly_Model!$B$2:$B$15,0)),0)),IF(VLOOKUP($A416,Calendar!$A$1:$R$1377,18,0)=3,SUM(IFERROR(INDEX(Fortnightly_Model!$D$2:$D$15,MATCH(G416,Fortnightly_Model!$B$2:$B$15,0)),0),IFERROR(INDEX(Fortnightly_Model!$D$2:$D$15,MATCH(G417,Fortnightly_Model!$B$2:$B$15,0)),0),IFERROR(INDEX(Fortnightly_Model!$D$2:$D$15,MATCH(G418,Fortnightly_Model!$B$2:$B$15,0)),0)),IF(VLOOKUP($A416,Calendar!$A$1:$R$1377,18,0)=4,SUM(IFERROR(INDEX(Fortnightly_Model!$D$2:$D$15,MATCH(G416,Fortnightly_Model!$B$2:$B$15,0)),0),IFERROR(INDEX(Fortnightly_Model!$D$2:$D$15,MATCH(G417,Fortnightly_Model!$B$2:$B$15,0)),0),IFERROR(INDEX(Fortnightly_Model!$D$2:$D$15,MATCH(G418,Fortnightly_Model!$B$2:$B$15,0)),0),IFERROR(INDEX(Fortnightly_Model!$D$2:$D$15,MATCH(G419,Fortnightly_Model!$B$2:$B$15,0)),0)),IF(VLOOKUP($A416,Calendar!$A$1:$R$1377,18,0)=5,SUM(IFERROR(INDEX(Fortnightly_Model!$D$2:$D$15,MATCH(G416,Fortnightly_Model!$B$2:$B$15,0)),0),IFERROR(INDEX(Fortnightly_Model!$D$2:$D$15,MATCH(G417,Fortnightly_Model!$B$2:$B$15,0)),0),IFERROR(INDEX(Fortnightly_Model!$D$2:$D$15,MATCH(G418,Fortnightly_Model!$B$2:$B$15,0)),0),IFERROR(INDEX(Fortnightly_Model!$D$2:$D$15,MATCH(G419,Fortnightly_Model!$B$2:$B$15,0)),0),IFERROR(INDEX(Fortnightly_Model!$D$2:$D$15,MATCH(G420,Fortnightly_Model!$B$2:$B$15,0)),0)),0))))))</f>
        <v>0</v>
      </c>
      <c r="M416" s="27">
        <f>IF(VLOOKUP($A416,Calendar!$A$1:$R$1377,18,0)=0,0,IF(VLOOKUP($A416,Calendar!$A$1:$R$1377,18,0)=1,IFERROR(INDEX(FourWeekly_Model!$D$2:$D$29,MATCH(H416,FourWeekly_Model!$B$2:$B$29,0)),0),IF(VLOOKUP($A416,Calendar!$A$1:$R$1377,18,0)=2,SUM(IFERROR(INDEX(FourWeekly_Model!$D$2:$D$29,MATCH(H416,FourWeekly_Model!$B$2:$B$29,0)),0),IFERROR(INDEX(FourWeekly_Model!$D$2:$D$29,MATCH(H417,FourWeekly_Model!$B$2:$B$29,0)),0)),IF(VLOOKUP($A416,Calendar!$A$1:$R$1377,18,0)=3,SUM(IFERROR(INDEX(FourWeekly_Model!$D$2:$D$29,MATCH(H416,FourWeekly_Model!$B$2:$B$29,0)),0),IFERROR(INDEX(FourWeekly_Model!$D$2:$D$29,MATCH(H417,FourWeekly_Model!$B$2:$B$29,0)),0),IFERROR(INDEX(FourWeekly_Model!$D$2:$D$29,MATCH(H418,FourWeekly_Model!$B$2:$B$29,0)),0)),IF(VLOOKUP($A416,Calendar!$A$1:$R$1377,18,0)=4,SUM(IFERROR(INDEX(FourWeekly_Model!$D$2:$D$29,MATCH(H416,FourWeekly_Model!$B$2:$B$29,0)),0),IFERROR(INDEX(FourWeekly_Model!$D$2:$D$29,MATCH(H417,FourWeekly_Model!$B$2:$B$29,0)),0),IFERROR(INDEX(FourWeekly_Model!$D$2:$D$29,MATCH(H418,FourWeekly_Model!$B$2:$B$29,0)),0),IFERROR(INDEX(FourWeekly_Model!$D$2:$D$29,MATCH(H419,FourWeekly_Model!$B$2:$B$29,0)),0)),IF(VLOOKUP($A416,Calendar!$A$1:$R$1377,18,0)=5,SUM(IFERROR(INDEX(FourWeekly_Model!$D$2:$D$29,MATCH(H416,FourWeekly_Model!$B$2:$B$29,0)),0),IFERROR(INDEX(FourWeekly_Model!$D$2:$D$29,MATCH(H417,FourWeekly_Model!$B$2:$B$29,0)),0),IFERROR(INDEX(FourWeekly_Model!$D$2:$D$29,MATCH(H418,FourWeekly_Model!$B$2:$B$29,0)),0),IFERROR(INDEX(FourWeekly_Model!$D$2:$D$29,MATCH(H419,FourWeekly_Model!$B$2:$B$29,0)),0),IFERROR(INDEX(FourWeekly_Model!$D$2:$D$29,MATCH(H420,FourWeekly_Model!$B$2:$B$29,0)),0)),0))))))</f>
        <v>0</v>
      </c>
      <c r="N416" s="27">
        <f>SUM(I416:M416)</f>
        <v>0</v>
      </c>
      <c r="O416" s="28">
        <f>Population_Data!$B$8*N416</f>
        <v>0</v>
      </c>
      <c r="P416" s="27">
        <f>IF(VLOOKUP($A416,Calendar!$A$1:$R$1377,18,0)=0,0,IF(VLOOKUP($A416,Calendar!$A$1:$R$1377,18,0)=1,IFERROR(INDEX(Pension_Model!$D$2:$D$29,MATCH(H416,Pension_Model!$B$2:$B$29,0)),0),IF(VLOOKUP($A416,Calendar!$A$1:$R$1377,18,0)=2,SUM(IFERROR(INDEX(Pension_Model!$D$2:$D$29,MATCH(H416,Pension_Model!$B$2:$B$29,0)),0),IFERROR(INDEX(Pension_Model!$D$2:$D$29,MATCH(H417,Pension_Model!$B$2:$B$29,0)),0)),IF(VLOOKUP($A416,Calendar!$A$1:$R$1377,18,0)=3,SUM(IFERROR(INDEX(Pension_Model!$D$2:$D$29,MATCH(H416,Pension_Model!$B$2:$B$29,0)),0),IFERROR(INDEX(Pension_Model!$D$2:$D$29,MATCH(H417,Pension_Model!$B$2:$B$29,0)),0),IFERROR(INDEX(Pension_Model!$D$2:$D$29,MATCH(H418,Pension_Model!$B$2:$B$29,0)),0)),IF(VLOOKUP($A416,Calendar!$A$1:$R$1377,18,0)=4,SUM(IFERROR(INDEX(Pension_Model!$D$2:$D$29,MATCH(H416,Pension_Model!$B$2:$B$29,0)),0),IFERROR(INDEX(Pension_Model!$D$2:$D$29,MATCH(H417,Pension_Model!$B$2:$B$29,0)),0),IFERROR(INDEX(Pension_Model!$D$2:$D$29,MATCH(H418,Pension_Model!$B$2:$B$29,0)),0),IFERROR(INDEX(Pension_Model!$D$2:$D$29,MATCH(H419,Pension_Model!$B$2:$B$29,0)),0)),IF(VLOOKUP($A416,Calendar!$A$1:$R$1377,18,0)=5,SUM(IFERROR(INDEX(Pension_Model!$D$2:$D$29,MATCH(H416,Pension_Model!$B$2:$B$29,0)),0),IFERROR(INDEX(Pension_Model!$D$2:$D$29,MATCH(H417,Pension_Model!$B$2:$B$29,0)),0),IFERROR(INDEX(Pension_Model!$D$2:$D$29,MATCH(H418,Pension_Model!$B$2:$B$29,0)),0),IFERROR(INDEX(Pension_Model!$D$2:$D$29,MATCH(H419,Pension_Model!$B$2:$B$29,0)),0),IFERROR(INDEX(Pension_Model!$D$2:$D$29,MATCH(H420,Pension_Model!$B$2:$B$29,0)),0)),0))))))</f>
        <v>0</v>
      </c>
      <c r="Q416" s="28">
        <f>Population_Data!$B$15*P416</f>
        <v>0</v>
      </c>
      <c r="S416">
        <f t="shared" si="6"/>
        <v>0</v>
      </c>
      <c r="U416" s="33">
        <f>S416/Population_Data!$B$19</f>
        <v>0</v>
      </c>
    </row>
    <row r="417" spans="1:21">
      <c r="A417" s="25">
        <f>Calendar!A417</f>
        <v>46650</v>
      </c>
      <c r="B417" t="str">
        <f>Calendar!L417</f>
        <v>Yes</v>
      </c>
      <c r="C417" t="str">
        <f>Calendar!O417</f>
        <v>No</v>
      </c>
      <c r="D417" t="str">
        <f>Calendar!P417</f>
        <v>No</v>
      </c>
      <c r="E417" t="str">
        <f>Calendar!Q417</f>
        <v>No</v>
      </c>
      <c r="F417" t="str">
        <f>Calendar!I417</f>
        <v>Monday</v>
      </c>
      <c r="G417">
        <f>Calendar!S417</f>
        <v>2</v>
      </c>
      <c r="H417">
        <f>Calendar!T417</f>
        <v>2</v>
      </c>
      <c r="I417" s="27">
        <f>IF(VLOOKUP(A417,Calendar!$A$1:$R$1377,18,0)=0,0,IF(VLOOKUP(A417,Calendar!$A$1:$R$1377,18,0)=1,INDEX(Monthly_Pay_Model!$A$9:$D$40,MATCH(TEXT(A417,"dd"),Monthly_Pay_Model!$C$9:$C$39,0),4),IF(VLOOKUP(A417,Calendar!$A$1:$R$1377,18,0)=2,SUM(INDEX(Monthly_Pay_Model!$A$9:$D$40,MATCH(TEXT(A417,"dd"),Monthly_Pay_Model!$C$9:$C$39,0),4),INDEX(Monthly_Pay_Model!$A$9:$D$40,MATCH(TEXT(A418,"dd"),Monthly_Pay_Model!$C$9:$C$39,0),4)),IF(VLOOKUP(A417,Calendar!$A$1:$R$1377,18,0)=3,SUM(INDEX(Monthly_Pay_Model!$A$9:$D$40,MATCH(TEXT(A417,"dd"),Monthly_Pay_Model!$C$9:$C$39,0),4),INDEX(Monthly_Pay_Model!$A$9:$D$40,MATCH(TEXT(A418,"dd"),Monthly_Pay_Model!$C$9:$C$39,0),4),INDEX(Monthly_Pay_Model!$A$9:$D$40,MATCH(TEXT(A419,"dd"),Monthly_Pay_Model!$C$9:$C$39,0),4)),IF(VLOOKUP(A417,Calendar!$A$1:$R$1377,18,0)=4,SUM(INDEX(Monthly_Pay_Model!$A$9:$D$40,MATCH(TEXT(A417,"dd"),Monthly_Pay_Model!$C$9:$C$39,0),4),INDEX(Monthly_Pay_Model!$A$9:$D$40,MATCH(TEXT(A418,"dd"),Monthly_Pay_Model!$C$9:$C$39,0),4),INDEX(Monthly_Pay_Model!$A$9:$D$40,MATCH(TEXT(A419,"dd"),Monthly_Pay_Model!$C$9:$C$39,0),4),INDEX(Monthly_Pay_Model!$A$9:$D$40,MATCH(TEXT(A420,"dd"),Monthly_Pay_Model!$C$9:$C$39,0),4)),IF(VLOOKUP(A417,Calendar!$A$1:$R$1377,18,0)=5,SUM(INDEX(Monthly_Pay_Model!$A$9:$D$40,MATCH(TEXT(A417,"dd"),Monthly_Pay_Model!$C$9:$C$39,0),4),INDEX(Monthly_Pay_Model!$A$9:$D$40,MATCH(TEXT(A418,"dd"),Monthly_Pay_Model!$C$9:$C$39,0),4),INDEX(Monthly_Pay_Model!$A$9:$D$40,MATCH(TEXT(A419,"dd"),Monthly_Pay_Model!$C$9:$C$39,0),4),INDEX(Monthly_Pay_Model!$A$9:$D$40,MATCH(TEXT(A420,"dd"),Monthly_Pay_Model!$C$9:$C$39,0),4),INDEX(Monthly_Pay_Model!$A$9:$D$40,MATCH(TEXT(A421,"dd"),Monthly_Pay_Model!$C$9:$C$39,0),4)),))))))</f>
        <v>8.1256544502617788E-3</v>
      </c>
      <c r="J417" s="33">
        <f>IF(C417="Yes",Monthly_Pay_Model!$D$2,0)
+IF(Calendar!N417="Yes",Monthly_Pay_Model!$D$3,0)
+IF(D417="Yes",Monthly_Pay_Model!$D$4,0)
+IF(E417="Yes",Monthly_Pay_Model!$D$5,0)</f>
        <v>0</v>
      </c>
      <c r="K417" s="27">
        <f>IF(VLOOKUP($A417,Calendar!$A$1:$R$1377,18,0)=0,0,IF(VLOOKUP($A417,Calendar!$A$1:$R$1377,18,0)=1,IFERROR(INDEX(Weekly_Model!$D$2:$D$9,MATCH(F417,Weekly_Model!$A$2:$A$9,0)),0),IF(VLOOKUP($A417,Calendar!$A$1:$R$1377,18,0)=2,SUM(IFERROR(INDEX(Weekly_Model!$D$2:$D$9,MATCH(F417,Weekly_Model!$A$2:$A$9,0)),0),IFERROR(INDEX(Weekly_Model!$D$2:$D$9,MATCH(F418,Weekly_Model!$A$2:$A$9,0)),0)),IF(VLOOKUP($A417,Calendar!$A$1:$R$1377,18,0)=3,SUM(IFERROR(INDEX(Weekly_Model!$D$2:$D$9,MATCH(F417,Weekly_Model!$A$2:$A$9,0)),0),IFERROR(INDEX(Weekly_Model!$D$2:$D$9,MATCH(F418,Weekly_Model!$A$2:$A$9,0)),0),IFERROR(INDEX(Weekly_Model!$D$2:$D$9,MATCH(F419,Weekly_Model!$A$2:$A$9,0)),0)),IF(VLOOKUP($A417,Calendar!$A$1:$R$1377,18,0)=4,SUM(IFERROR(INDEX(Weekly_Model!$D$2:$D$9,MATCH(F417,Weekly_Model!$A$2:$A$9,0)),0),IFERROR(INDEX(Weekly_Model!$D$2:$D$9,MATCH(F418,Weekly_Model!$A$2:$A$9,0)),0),IFERROR(INDEX(Weekly_Model!$D$2:$D$9,MATCH(F419,Weekly_Model!$A$2:$A$9,0)),0),IFERROR(INDEX(Weekly_Model!$D$2:$D$9,MATCH(F420,Weekly_Model!$A$2:$A$9,0)),0)),IF(VLOOKUP($A417,Calendar!$A$1:$R$1377,18,0)=5,SUM(IFERROR(INDEX(Weekly_Model!$D$2:$D$9,MATCH(F417,Weekly_Model!$A$2:$A$9,0)),0),IFERROR(INDEX(Weekly_Model!$D$2:$D$9,MATCH(F418,Weekly_Model!$A$2:$A$9,0)),0),IFERROR(INDEX(Weekly_Model!$D$2:$D$9,MATCH(F419,Weekly_Model!$A$2:$A$9,0)),0),IFERROR(INDEX(Weekly_Model!$D$2:$D$9,MATCH(F420,Weekly_Model!$A$2:$A$9,0)),0),IFERROR(INDEX(Weekly_Model!$D$2:$D$9,MATCH(F421,Weekly_Model!$A$2:$A$9,0)),0)),0))))))</f>
        <v>2.3200000000000002E-2</v>
      </c>
      <c r="L417" s="27">
        <f>IF(VLOOKUP($A417,Calendar!$A$1:$R$1377,18,0)=0,0,IF(VLOOKUP($A417,Calendar!$A$1:$R$1377,18,0)=1,IFERROR(INDEX(Fortnightly_Model!$D$2:$D$15,MATCH(G417,Fortnightly_Model!$B$2:$B$15,0)),0),IF(VLOOKUP($A417,Calendar!$A$1:$R$1377,18,0)=2,SUM(IFERROR(INDEX(Fortnightly_Model!$D$2:$D$15,MATCH(G417,Fortnightly_Model!$B$2:$B$15,0)),0),IFERROR(INDEX(Fortnightly_Model!$D$2:$D$15,MATCH(G418,Fortnightly_Model!$B$2:$B$15,0)),0)),IF(VLOOKUP($A417,Calendar!$A$1:$R$1377,18,0)=3,SUM(IFERROR(INDEX(Fortnightly_Model!$D$2:$D$15,MATCH(G417,Fortnightly_Model!$B$2:$B$15,0)),0),IFERROR(INDEX(Fortnightly_Model!$D$2:$D$15,MATCH(G418,Fortnightly_Model!$B$2:$B$15,0)),0),IFERROR(INDEX(Fortnightly_Model!$D$2:$D$15,MATCH(G419,Fortnightly_Model!$B$2:$B$15,0)),0)),IF(VLOOKUP($A417,Calendar!$A$1:$R$1377,18,0)=4,SUM(IFERROR(INDEX(Fortnightly_Model!$D$2:$D$15,MATCH(G417,Fortnightly_Model!$B$2:$B$15,0)),0),IFERROR(INDEX(Fortnightly_Model!$D$2:$D$15,MATCH(G418,Fortnightly_Model!$B$2:$B$15,0)),0),IFERROR(INDEX(Fortnightly_Model!$D$2:$D$15,MATCH(G419,Fortnightly_Model!$B$2:$B$15,0)),0),IFERROR(INDEX(Fortnightly_Model!$D$2:$D$15,MATCH(G420,Fortnightly_Model!$B$2:$B$15,0)),0)),IF(VLOOKUP($A417,Calendar!$A$1:$R$1377,18,0)=5,SUM(IFERROR(INDEX(Fortnightly_Model!$D$2:$D$15,MATCH(G417,Fortnightly_Model!$B$2:$B$15,0)),0),IFERROR(INDEX(Fortnightly_Model!$D$2:$D$15,MATCH(G418,Fortnightly_Model!$B$2:$B$15,0)),0),IFERROR(INDEX(Fortnightly_Model!$D$2:$D$15,MATCH(G419,Fortnightly_Model!$B$2:$B$15,0)),0),IFERROR(INDEX(Fortnightly_Model!$D$2:$D$15,MATCH(G420,Fortnightly_Model!$B$2:$B$15,0)),0),IFERROR(INDEX(Fortnightly_Model!$D$2:$D$15,MATCH(G421,Fortnightly_Model!$B$2:$B$15,0)),0)),0))))))</f>
        <v>1.0714285499999999E-3</v>
      </c>
      <c r="M417" s="27">
        <f>IF(VLOOKUP($A417,Calendar!$A$1:$R$1377,18,0)=0,0,IF(VLOOKUP($A417,Calendar!$A$1:$R$1377,18,0)=1,IFERROR(INDEX(FourWeekly_Model!$D$2:$D$29,MATCH(H417,FourWeekly_Model!$B$2:$B$29,0)),0),IF(VLOOKUP($A417,Calendar!$A$1:$R$1377,18,0)=2,SUM(IFERROR(INDEX(FourWeekly_Model!$D$2:$D$29,MATCH(H417,FourWeekly_Model!$B$2:$B$29,0)),0),IFERROR(INDEX(FourWeekly_Model!$D$2:$D$29,MATCH(H418,FourWeekly_Model!$B$2:$B$29,0)),0)),IF(VLOOKUP($A417,Calendar!$A$1:$R$1377,18,0)=3,SUM(IFERROR(INDEX(FourWeekly_Model!$D$2:$D$29,MATCH(H417,FourWeekly_Model!$B$2:$B$29,0)),0),IFERROR(INDEX(FourWeekly_Model!$D$2:$D$29,MATCH(H418,FourWeekly_Model!$B$2:$B$29,0)),0),IFERROR(INDEX(FourWeekly_Model!$D$2:$D$29,MATCH(H419,FourWeekly_Model!$B$2:$B$29,0)),0)),IF(VLOOKUP($A417,Calendar!$A$1:$R$1377,18,0)=4,SUM(IFERROR(INDEX(FourWeekly_Model!$D$2:$D$29,MATCH(H417,FourWeekly_Model!$B$2:$B$29,0)),0),IFERROR(INDEX(FourWeekly_Model!$D$2:$D$29,MATCH(H418,FourWeekly_Model!$B$2:$B$29,0)),0),IFERROR(INDEX(FourWeekly_Model!$D$2:$D$29,MATCH(H419,FourWeekly_Model!$B$2:$B$29,0)),0),IFERROR(INDEX(FourWeekly_Model!$D$2:$D$29,MATCH(H420,FourWeekly_Model!$B$2:$B$29,0)),0)),IF(VLOOKUP($A417,Calendar!$A$1:$R$1377,18,0)=5,SUM(IFERROR(INDEX(FourWeekly_Model!$D$2:$D$29,MATCH(H417,FourWeekly_Model!$B$2:$B$29,0)),0),IFERROR(INDEX(FourWeekly_Model!$D$2:$D$29,MATCH(H418,FourWeekly_Model!$B$2:$B$29,0)),0),IFERROR(INDEX(FourWeekly_Model!$D$2:$D$29,MATCH(H419,FourWeekly_Model!$B$2:$B$29,0)),0),IFERROR(INDEX(FourWeekly_Model!$D$2:$D$29,MATCH(H420,FourWeekly_Model!$B$2:$B$29,0)),0),IFERROR(INDEX(FourWeekly_Model!$D$2:$D$29,MATCH(H421,FourWeekly_Model!$B$2:$B$29,0)),0)),0))))))</f>
        <v>3.3214289700000004E-3</v>
      </c>
      <c r="N417" s="27">
        <f>SUM(I417:M417)</f>
        <v>3.5718511970261782E-2</v>
      </c>
      <c r="O417" s="28">
        <f>Population_Data!$B$8*N417</f>
        <v>1082270.912698932</v>
      </c>
      <c r="P417" s="27">
        <f>IF(VLOOKUP($A417,Calendar!$A$1:$R$1377,18,0)=0,0,IF(VLOOKUP($A417,Calendar!$A$1:$R$1377,18,0)=1,IFERROR(INDEX(Pension_Model!$D$2:$D$29,MATCH(H417,Pension_Model!$B$2:$B$29,0)),0),IF(VLOOKUP($A417,Calendar!$A$1:$R$1377,18,0)=2,SUM(IFERROR(INDEX(Pension_Model!$D$2:$D$29,MATCH(H417,Pension_Model!$B$2:$B$29,0)),0),IFERROR(INDEX(Pension_Model!$D$2:$D$29,MATCH(H418,Pension_Model!$B$2:$B$29,0)),0)),IF(VLOOKUP($A417,Calendar!$A$1:$R$1377,18,0)=3,SUM(IFERROR(INDEX(Pension_Model!$D$2:$D$29,MATCH(H417,Pension_Model!$B$2:$B$29,0)),0),IFERROR(INDEX(Pension_Model!$D$2:$D$29,MATCH(H418,Pension_Model!$B$2:$B$29,0)),0),IFERROR(INDEX(Pension_Model!$D$2:$D$29,MATCH(H419,Pension_Model!$B$2:$B$29,0)),0)),IF(VLOOKUP($A417,Calendar!$A$1:$R$1377,18,0)=4,SUM(IFERROR(INDEX(Pension_Model!$D$2:$D$29,MATCH(H417,Pension_Model!$B$2:$B$29,0)),0),IFERROR(INDEX(Pension_Model!$D$2:$D$29,MATCH(H418,Pension_Model!$B$2:$B$29,0)),0),IFERROR(INDEX(Pension_Model!$D$2:$D$29,MATCH(H419,Pension_Model!$B$2:$B$29,0)),0),IFERROR(INDEX(Pension_Model!$D$2:$D$29,MATCH(H420,Pension_Model!$B$2:$B$29,0)),0)),IF(VLOOKUP($A417,Calendar!$A$1:$R$1377,18,0)=5,SUM(IFERROR(INDEX(Pension_Model!$D$2:$D$29,MATCH(H417,Pension_Model!$B$2:$B$29,0)),0),IFERROR(INDEX(Pension_Model!$D$2:$D$29,MATCH(H418,Pension_Model!$B$2:$B$29,0)),0),IFERROR(INDEX(Pension_Model!$D$2:$D$29,MATCH(H419,Pension_Model!$B$2:$B$29,0)),0),IFERROR(INDEX(Pension_Model!$D$2:$D$29,MATCH(H420,Pension_Model!$B$2:$B$29,0)),0),IFERROR(INDEX(Pension_Model!$D$2:$D$29,MATCH(H421,Pension_Model!$B$2:$B$29,0)),0)),0))))))</f>
        <v>0.05</v>
      </c>
      <c r="Q417" s="28">
        <f>Population_Data!$B$15*P417</f>
        <v>660600</v>
      </c>
      <c r="S417">
        <f t="shared" si="6"/>
        <v>1742870.912698932</v>
      </c>
      <c r="U417" s="33">
        <f>S417/Population_Data!$B$19</f>
        <v>3.1573748418458912E-2</v>
      </c>
    </row>
    <row r="418" spans="1:21">
      <c r="A418" s="25">
        <f>Calendar!A418</f>
        <v>46651</v>
      </c>
      <c r="B418" t="str">
        <f>Calendar!L418</f>
        <v>Yes</v>
      </c>
      <c r="C418" t="str">
        <f>Calendar!O418</f>
        <v>No</v>
      </c>
      <c r="D418" t="str">
        <f>Calendar!P418</f>
        <v>No</v>
      </c>
      <c r="E418" t="str">
        <f>Calendar!Q418</f>
        <v>No</v>
      </c>
      <c r="F418" t="str">
        <f>Calendar!I418</f>
        <v>Tuesday</v>
      </c>
      <c r="G418">
        <f>Calendar!S418</f>
        <v>3</v>
      </c>
      <c r="H418">
        <f>Calendar!T418</f>
        <v>3</v>
      </c>
      <c r="I418" s="27">
        <f>IF(VLOOKUP(A418,Calendar!$A$1:$R$1377,18,0)=0,0,IF(VLOOKUP(A418,Calendar!$A$1:$R$1377,18,0)=1,INDEX(Monthly_Pay_Model!$A$9:$D$40,MATCH(TEXT(A418,"dd"),Monthly_Pay_Model!$C$9:$C$39,0),4),IF(VLOOKUP(A418,Calendar!$A$1:$R$1377,18,0)=2,SUM(INDEX(Monthly_Pay_Model!$A$9:$D$40,MATCH(TEXT(A418,"dd"),Monthly_Pay_Model!$C$9:$C$39,0),4),INDEX(Monthly_Pay_Model!$A$9:$D$40,MATCH(TEXT(A419,"dd"),Monthly_Pay_Model!$C$9:$C$39,0),4)),IF(VLOOKUP(A418,Calendar!$A$1:$R$1377,18,0)=3,SUM(INDEX(Monthly_Pay_Model!$A$9:$D$40,MATCH(TEXT(A418,"dd"),Monthly_Pay_Model!$C$9:$C$39,0),4),INDEX(Monthly_Pay_Model!$A$9:$D$40,MATCH(TEXT(A419,"dd"),Monthly_Pay_Model!$C$9:$C$39,0),4),INDEX(Monthly_Pay_Model!$A$9:$D$40,MATCH(TEXT(A420,"dd"),Monthly_Pay_Model!$C$9:$C$39,0),4)),IF(VLOOKUP(A418,Calendar!$A$1:$R$1377,18,0)=4,SUM(INDEX(Monthly_Pay_Model!$A$9:$D$40,MATCH(TEXT(A418,"dd"),Monthly_Pay_Model!$C$9:$C$39,0),4),INDEX(Monthly_Pay_Model!$A$9:$D$40,MATCH(TEXT(A419,"dd"),Monthly_Pay_Model!$C$9:$C$39,0),4),INDEX(Monthly_Pay_Model!$A$9:$D$40,MATCH(TEXT(A420,"dd"),Monthly_Pay_Model!$C$9:$C$39,0),4),INDEX(Monthly_Pay_Model!$A$9:$D$40,MATCH(TEXT(A421,"dd"),Monthly_Pay_Model!$C$9:$C$39,0),4)),IF(VLOOKUP(A418,Calendar!$A$1:$R$1377,18,0)=5,SUM(INDEX(Monthly_Pay_Model!$A$9:$D$40,MATCH(TEXT(A418,"dd"),Monthly_Pay_Model!$C$9:$C$39,0),4),INDEX(Monthly_Pay_Model!$A$9:$D$40,MATCH(TEXT(A419,"dd"),Monthly_Pay_Model!$C$9:$C$39,0),4),INDEX(Monthly_Pay_Model!$A$9:$D$40,MATCH(TEXT(A420,"dd"),Monthly_Pay_Model!$C$9:$C$39,0),4),INDEX(Monthly_Pay_Model!$A$9:$D$40,MATCH(TEXT(A421,"dd"),Monthly_Pay_Model!$C$9:$C$39,0),4),INDEX(Monthly_Pay_Model!$A$9:$D$40,MATCH(TEXT(A422,"dd"),Monthly_Pay_Model!$C$9:$C$39,0),4)),))))))</f>
        <v>4.8753926701570662E-3</v>
      </c>
      <c r="J418" s="33">
        <f>IF(C418="Yes",Monthly_Pay_Model!$D$2,0)
+IF(Calendar!N418="Yes",Monthly_Pay_Model!$D$3,0)
+IF(D418="Yes",Monthly_Pay_Model!$D$4,0)
+IF(E418="Yes",Monthly_Pay_Model!$D$5,0)</f>
        <v>0</v>
      </c>
      <c r="K418" s="27">
        <f>IF(VLOOKUP($A418,Calendar!$A$1:$R$1377,18,0)=0,0,IF(VLOOKUP($A418,Calendar!$A$1:$R$1377,18,0)=1,IFERROR(INDEX(Weekly_Model!$D$2:$D$9,MATCH(F418,Weekly_Model!$A$2:$A$9,0)),0),IF(VLOOKUP($A418,Calendar!$A$1:$R$1377,18,0)=2,SUM(IFERROR(INDEX(Weekly_Model!$D$2:$D$9,MATCH(F418,Weekly_Model!$A$2:$A$9,0)),0),IFERROR(INDEX(Weekly_Model!$D$2:$D$9,MATCH(F419,Weekly_Model!$A$2:$A$9,0)),0)),IF(VLOOKUP($A418,Calendar!$A$1:$R$1377,18,0)=3,SUM(IFERROR(INDEX(Weekly_Model!$D$2:$D$9,MATCH(F418,Weekly_Model!$A$2:$A$9,0)),0),IFERROR(INDEX(Weekly_Model!$D$2:$D$9,MATCH(F419,Weekly_Model!$A$2:$A$9,0)),0),IFERROR(INDEX(Weekly_Model!$D$2:$D$9,MATCH(F420,Weekly_Model!$A$2:$A$9,0)),0)),IF(VLOOKUP($A418,Calendar!$A$1:$R$1377,18,0)=4,SUM(IFERROR(INDEX(Weekly_Model!$D$2:$D$9,MATCH(F418,Weekly_Model!$A$2:$A$9,0)),0),IFERROR(INDEX(Weekly_Model!$D$2:$D$9,MATCH(F419,Weekly_Model!$A$2:$A$9,0)),0),IFERROR(INDEX(Weekly_Model!$D$2:$D$9,MATCH(F420,Weekly_Model!$A$2:$A$9,0)),0),IFERROR(INDEX(Weekly_Model!$D$2:$D$9,MATCH(F421,Weekly_Model!$A$2:$A$9,0)),0)),IF(VLOOKUP($A418,Calendar!$A$1:$R$1377,18,0)=5,SUM(IFERROR(INDEX(Weekly_Model!$D$2:$D$9,MATCH(F418,Weekly_Model!$A$2:$A$9,0)),0),IFERROR(INDEX(Weekly_Model!$D$2:$D$9,MATCH(F419,Weekly_Model!$A$2:$A$9,0)),0),IFERROR(INDEX(Weekly_Model!$D$2:$D$9,MATCH(F420,Weekly_Model!$A$2:$A$9,0)),0),IFERROR(INDEX(Weekly_Model!$D$2:$D$9,MATCH(F421,Weekly_Model!$A$2:$A$9,0)),0),IFERROR(INDEX(Weekly_Model!$D$2:$D$9,MATCH(F422,Weekly_Model!$A$2:$A$9,0)),0)),0))))))</f>
        <v>2.3200000000000002E-2</v>
      </c>
      <c r="L418" s="27">
        <f>IF(VLOOKUP($A418,Calendar!$A$1:$R$1377,18,0)=0,0,IF(VLOOKUP($A418,Calendar!$A$1:$R$1377,18,0)=1,IFERROR(INDEX(Fortnightly_Model!$D$2:$D$15,MATCH(G418,Fortnightly_Model!$B$2:$B$15,0)),0),IF(VLOOKUP($A418,Calendar!$A$1:$R$1377,18,0)=2,SUM(IFERROR(INDEX(Fortnightly_Model!$D$2:$D$15,MATCH(G418,Fortnightly_Model!$B$2:$B$15,0)),0),IFERROR(INDEX(Fortnightly_Model!$D$2:$D$15,MATCH(G419,Fortnightly_Model!$B$2:$B$15,0)),0)),IF(VLOOKUP($A418,Calendar!$A$1:$R$1377,18,0)=3,SUM(IFERROR(INDEX(Fortnightly_Model!$D$2:$D$15,MATCH(G418,Fortnightly_Model!$B$2:$B$15,0)),0),IFERROR(INDEX(Fortnightly_Model!$D$2:$D$15,MATCH(G419,Fortnightly_Model!$B$2:$B$15,0)),0),IFERROR(INDEX(Fortnightly_Model!$D$2:$D$15,MATCH(G420,Fortnightly_Model!$B$2:$B$15,0)),0)),IF(VLOOKUP($A418,Calendar!$A$1:$R$1377,18,0)=4,SUM(IFERROR(INDEX(Fortnightly_Model!$D$2:$D$15,MATCH(G418,Fortnightly_Model!$B$2:$B$15,0)),0),IFERROR(INDEX(Fortnightly_Model!$D$2:$D$15,MATCH(G419,Fortnightly_Model!$B$2:$B$15,0)),0),IFERROR(INDEX(Fortnightly_Model!$D$2:$D$15,MATCH(G420,Fortnightly_Model!$B$2:$B$15,0)),0),IFERROR(INDEX(Fortnightly_Model!$D$2:$D$15,MATCH(G421,Fortnightly_Model!$B$2:$B$15,0)),0)),IF(VLOOKUP($A418,Calendar!$A$1:$R$1377,18,0)=5,SUM(IFERROR(INDEX(Fortnightly_Model!$D$2:$D$15,MATCH(G418,Fortnightly_Model!$B$2:$B$15,0)),0),IFERROR(INDEX(Fortnightly_Model!$D$2:$D$15,MATCH(G419,Fortnightly_Model!$B$2:$B$15,0)),0),IFERROR(INDEX(Fortnightly_Model!$D$2:$D$15,MATCH(G420,Fortnightly_Model!$B$2:$B$15,0)),0),IFERROR(INDEX(Fortnightly_Model!$D$2:$D$15,MATCH(G421,Fortnightly_Model!$B$2:$B$15,0)),0),IFERROR(INDEX(Fortnightly_Model!$D$2:$D$15,MATCH(G422,Fortnightly_Model!$B$2:$B$15,0)),0)),0))))))</f>
        <v>1.0714285499999999E-3</v>
      </c>
      <c r="M418" s="27">
        <f>IF(VLOOKUP($A418,Calendar!$A$1:$R$1377,18,0)=0,0,IF(VLOOKUP($A418,Calendar!$A$1:$R$1377,18,0)=1,IFERROR(INDEX(FourWeekly_Model!$D$2:$D$29,MATCH(H418,FourWeekly_Model!$B$2:$B$29,0)),0),IF(VLOOKUP($A418,Calendar!$A$1:$R$1377,18,0)=2,SUM(IFERROR(INDEX(FourWeekly_Model!$D$2:$D$29,MATCH(H418,FourWeekly_Model!$B$2:$B$29,0)),0),IFERROR(INDEX(FourWeekly_Model!$D$2:$D$29,MATCH(H419,FourWeekly_Model!$B$2:$B$29,0)),0)),IF(VLOOKUP($A418,Calendar!$A$1:$R$1377,18,0)=3,SUM(IFERROR(INDEX(FourWeekly_Model!$D$2:$D$29,MATCH(H418,FourWeekly_Model!$B$2:$B$29,0)),0),IFERROR(INDEX(FourWeekly_Model!$D$2:$D$29,MATCH(H419,FourWeekly_Model!$B$2:$B$29,0)),0),IFERROR(INDEX(FourWeekly_Model!$D$2:$D$29,MATCH(H420,FourWeekly_Model!$B$2:$B$29,0)),0)),IF(VLOOKUP($A418,Calendar!$A$1:$R$1377,18,0)=4,SUM(IFERROR(INDEX(FourWeekly_Model!$D$2:$D$29,MATCH(H418,FourWeekly_Model!$B$2:$B$29,0)),0),IFERROR(INDEX(FourWeekly_Model!$D$2:$D$29,MATCH(H419,FourWeekly_Model!$B$2:$B$29,0)),0),IFERROR(INDEX(FourWeekly_Model!$D$2:$D$29,MATCH(H420,FourWeekly_Model!$B$2:$B$29,0)),0),IFERROR(INDEX(FourWeekly_Model!$D$2:$D$29,MATCH(H421,FourWeekly_Model!$B$2:$B$29,0)),0)),IF(VLOOKUP($A418,Calendar!$A$1:$R$1377,18,0)=5,SUM(IFERROR(INDEX(FourWeekly_Model!$D$2:$D$29,MATCH(H418,FourWeekly_Model!$B$2:$B$29,0)),0),IFERROR(INDEX(FourWeekly_Model!$D$2:$D$29,MATCH(H419,FourWeekly_Model!$B$2:$B$29,0)),0),IFERROR(INDEX(FourWeekly_Model!$D$2:$D$29,MATCH(H420,FourWeekly_Model!$B$2:$B$29,0)),0),IFERROR(INDEX(FourWeekly_Model!$D$2:$D$29,MATCH(H421,FourWeekly_Model!$B$2:$B$29,0)),0),IFERROR(INDEX(FourWeekly_Model!$D$2:$D$29,MATCH(H422,FourWeekly_Model!$B$2:$B$29,0)),0)),0))))))</f>
        <v>3.3214289700000004E-3</v>
      </c>
      <c r="N418" s="27">
        <f>SUM(I418:M418)</f>
        <v>3.2468250190157068E-2</v>
      </c>
      <c r="O418" s="28">
        <f>Population_Data!$B$8*N418</f>
        <v>983787.9807617591</v>
      </c>
      <c r="P418" s="27">
        <f>IF(VLOOKUP($A418,Calendar!$A$1:$R$1377,18,0)=0,0,IF(VLOOKUP($A418,Calendar!$A$1:$R$1377,18,0)=1,IFERROR(INDEX(Pension_Model!$D$2:$D$29,MATCH(H418,Pension_Model!$B$2:$B$29,0)),0),IF(VLOOKUP($A418,Calendar!$A$1:$R$1377,18,0)=2,SUM(IFERROR(INDEX(Pension_Model!$D$2:$D$29,MATCH(H418,Pension_Model!$B$2:$B$29,0)),0),IFERROR(INDEX(Pension_Model!$D$2:$D$29,MATCH(H419,Pension_Model!$B$2:$B$29,0)),0)),IF(VLOOKUP($A418,Calendar!$A$1:$R$1377,18,0)=3,SUM(IFERROR(INDEX(Pension_Model!$D$2:$D$29,MATCH(H418,Pension_Model!$B$2:$B$29,0)),0),IFERROR(INDEX(Pension_Model!$D$2:$D$29,MATCH(H419,Pension_Model!$B$2:$B$29,0)),0),IFERROR(INDEX(Pension_Model!$D$2:$D$29,MATCH(H420,Pension_Model!$B$2:$B$29,0)),0)),IF(VLOOKUP($A418,Calendar!$A$1:$R$1377,18,0)=4,SUM(IFERROR(INDEX(Pension_Model!$D$2:$D$29,MATCH(H418,Pension_Model!$B$2:$B$29,0)),0),IFERROR(INDEX(Pension_Model!$D$2:$D$29,MATCH(H419,Pension_Model!$B$2:$B$29,0)),0),IFERROR(INDEX(Pension_Model!$D$2:$D$29,MATCH(H420,Pension_Model!$B$2:$B$29,0)),0),IFERROR(INDEX(Pension_Model!$D$2:$D$29,MATCH(H421,Pension_Model!$B$2:$B$29,0)),0)),IF(VLOOKUP($A418,Calendar!$A$1:$R$1377,18,0)=5,SUM(IFERROR(INDEX(Pension_Model!$D$2:$D$29,MATCH(H418,Pension_Model!$B$2:$B$29,0)),0),IFERROR(INDEX(Pension_Model!$D$2:$D$29,MATCH(H419,Pension_Model!$B$2:$B$29,0)),0),IFERROR(INDEX(Pension_Model!$D$2:$D$29,MATCH(H420,Pension_Model!$B$2:$B$29,0)),0),IFERROR(INDEX(Pension_Model!$D$2:$D$29,MATCH(H421,Pension_Model!$B$2:$B$29,0)),0),IFERROR(INDEX(Pension_Model!$D$2:$D$29,MATCH(H422,Pension_Model!$B$2:$B$29,0)),0)),0))))))</f>
        <v>0.05</v>
      </c>
      <c r="Q418" s="28">
        <f>Population_Data!$B$15*P418</f>
        <v>660600</v>
      </c>
      <c r="S418">
        <f t="shared" si="6"/>
        <v>1644387.980761759</v>
      </c>
      <c r="U418" s="33">
        <f>S418/Population_Data!$B$19</f>
        <v>2.9789637332640562E-2</v>
      </c>
    </row>
    <row r="419" spans="1:21">
      <c r="A419" s="25">
        <f>Calendar!A419</f>
        <v>46652</v>
      </c>
      <c r="B419" t="str">
        <f>Calendar!L419</f>
        <v>Yes</v>
      </c>
      <c r="C419" t="str">
        <f>Calendar!O419</f>
        <v>No</v>
      </c>
      <c r="D419" t="str">
        <f>Calendar!P419</f>
        <v>No</v>
      </c>
      <c r="E419" t="str">
        <f>Calendar!Q419</f>
        <v>No</v>
      </c>
      <c r="F419" t="str">
        <f>Calendar!I419</f>
        <v>Wednesday</v>
      </c>
      <c r="G419">
        <f>Calendar!S419</f>
        <v>4</v>
      </c>
      <c r="H419">
        <f>Calendar!T419</f>
        <v>4</v>
      </c>
      <c r="I419" s="27">
        <f>IF(VLOOKUP(A419,Calendar!$A$1:$R$1377,18,0)=0,0,IF(VLOOKUP(A419,Calendar!$A$1:$R$1377,18,0)=1,INDEX(Monthly_Pay_Model!$A$9:$D$40,MATCH(TEXT(A419,"dd"),Monthly_Pay_Model!$C$9:$C$39,0),4),IF(VLOOKUP(A419,Calendar!$A$1:$R$1377,18,0)=2,SUM(INDEX(Monthly_Pay_Model!$A$9:$D$40,MATCH(TEXT(A419,"dd"),Monthly_Pay_Model!$C$9:$C$39,0),4),INDEX(Monthly_Pay_Model!$A$9:$D$40,MATCH(TEXT(A420,"dd"),Monthly_Pay_Model!$C$9:$C$39,0),4)),IF(VLOOKUP(A419,Calendar!$A$1:$R$1377,18,0)=3,SUM(INDEX(Monthly_Pay_Model!$A$9:$D$40,MATCH(TEXT(A419,"dd"),Monthly_Pay_Model!$C$9:$C$39,0),4),INDEX(Monthly_Pay_Model!$A$9:$D$40,MATCH(TEXT(A420,"dd"),Monthly_Pay_Model!$C$9:$C$39,0),4),INDEX(Monthly_Pay_Model!$A$9:$D$40,MATCH(TEXT(A421,"dd"),Monthly_Pay_Model!$C$9:$C$39,0),4)),IF(VLOOKUP(A419,Calendar!$A$1:$R$1377,18,0)=4,SUM(INDEX(Monthly_Pay_Model!$A$9:$D$40,MATCH(TEXT(A419,"dd"),Monthly_Pay_Model!$C$9:$C$39,0),4),INDEX(Monthly_Pay_Model!$A$9:$D$40,MATCH(TEXT(A420,"dd"),Monthly_Pay_Model!$C$9:$C$39,0),4),INDEX(Monthly_Pay_Model!$A$9:$D$40,MATCH(TEXT(A421,"dd"),Monthly_Pay_Model!$C$9:$C$39,0),4),INDEX(Monthly_Pay_Model!$A$9:$D$40,MATCH(TEXT(A422,"dd"),Monthly_Pay_Model!$C$9:$C$39,0),4)),IF(VLOOKUP(A419,Calendar!$A$1:$R$1377,18,0)=5,SUM(INDEX(Monthly_Pay_Model!$A$9:$D$40,MATCH(TEXT(A419,"dd"),Monthly_Pay_Model!$C$9:$C$39,0),4),INDEX(Monthly_Pay_Model!$A$9:$D$40,MATCH(TEXT(A420,"dd"),Monthly_Pay_Model!$C$9:$C$39,0),4),INDEX(Monthly_Pay_Model!$A$9:$D$40,MATCH(TEXT(A421,"dd"),Monthly_Pay_Model!$C$9:$C$39,0),4),INDEX(Monthly_Pay_Model!$A$9:$D$40,MATCH(TEXT(A422,"dd"),Monthly_Pay_Model!$C$9:$C$39,0),4),INDEX(Monthly_Pay_Model!$A$9:$D$40,MATCH(TEXT(A423,"dd"),Monthly_Pay_Model!$C$9:$C$39,0),4)),))))))</f>
        <v>3.2502617801047117E-3</v>
      </c>
      <c r="J419" s="33">
        <f>IF(C419="Yes",Monthly_Pay_Model!$D$2,0)
+IF(Calendar!N419="Yes",Monthly_Pay_Model!$D$3,0)
+IF(D419="Yes",Monthly_Pay_Model!$D$4,0)
+IF(E419="Yes",Monthly_Pay_Model!$D$5,0)</f>
        <v>0</v>
      </c>
      <c r="K419" s="27">
        <f>IF(VLOOKUP($A419,Calendar!$A$1:$R$1377,18,0)=0,0,IF(VLOOKUP($A419,Calendar!$A$1:$R$1377,18,0)=1,IFERROR(INDEX(Weekly_Model!$D$2:$D$9,MATCH(F419,Weekly_Model!$A$2:$A$9,0)),0),IF(VLOOKUP($A419,Calendar!$A$1:$R$1377,18,0)=2,SUM(IFERROR(INDEX(Weekly_Model!$D$2:$D$9,MATCH(F419,Weekly_Model!$A$2:$A$9,0)),0),IFERROR(INDEX(Weekly_Model!$D$2:$D$9,MATCH(F420,Weekly_Model!$A$2:$A$9,0)),0)),IF(VLOOKUP($A419,Calendar!$A$1:$R$1377,18,0)=3,SUM(IFERROR(INDEX(Weekly_Model!$D$2:$D$9,MATCH(F419,Weekly_Model!$A$2:$A$9,0)),0),IFERROR(INDEX(Weekly_Model!$D$2:$D$9,MATCH(F420,Weekly_Model!$A$2:$A$9,0)),0),IFERROR(INDEX(Weekly_Model!$D$2:$D$9,MATCH(F421,Weekly_Model!$A$2:$A$9,0)),0)),IF(VLOOKUP($A419,Calendar!$A$1:$R$1377,18,0)=4,SUM(IFERROR(INDEX(Weekly_Model!$D$2:$D$9,MATCH(F419,Weekly_Model!$A$2:$A$9,0)),0),IFERROR(INDEX(Weekly_Model!$D$2:$D$9,MATCH(F420,Weekly_Model!$A$2:$A$9,0)),0),IFERROR(INDEX(Weekly_Model!$D$2:$D$9,MATCH(F421,Weekly_Model!$A$2:$A$9,0)),0),IFERROR(INDEX(Weekly_Model!$D$2:$D$9,MATCH(F422,Weekly_Model!$A$2:$A$9,0)),0)),IF(VLOOKUP($A419,Calendar!$A$1:$R$1377,18,0)=5,SUM(IFERROR(INDEX(Weekly_Model!$D$2:$D$9,MATCH(F419,Weekly_Model!$A$2:$A$9,0)),0),IFERROR(INDEX(Weekly_Model!$D$2:$D$9,MATCH(F420,Weekly_Model!$A$2:$A$9,0)),0),IFERROR(INDEX(Weekly_Model!$D$2:$D$9,MATCH(F421,Weekly_Model!$A$2:$A$9,0)),0),IFERROR(INDEX(Weekly_Model!$D$2:$D$9,MATCH(F422,Weekly_Model!$A$2:$A$9,0)),0),IFERROR(INDEX(Weekly_Model!$D$2:$D$9,MATCH(F423,Weekly_Model!$A$2:$A$9,0)),0)),0))))))</f>
        <v>2.3200000000000002E-2</v>
      </c>
      <c r="L419" s="27">
        <f>IF(VLOOKUP($A419,Calendar!$A$1:$R$1377,18,0)=0,0,IF(VLOOKUP($A419,Calendar!$A$1:$R$1377,18,0)=1,IFERROR(INDEX(Fortnightly_Model!$D$2:$D$15,MATCH(G419,Fortnightly_Model!$B$2:$B$15,0)),0),IF(VLOOKUP($A419,Calendar!$A$1:$R$1377,18,0)=2,SUM(IFERROR(INDEX(Fortnightly_Model!$D$2:$D$15,MATCH(G419,Fortnightly_Model!$B$2:$B$15,0)),0),IFERROR(INDEX(Fortnightly_Model!$D$2:$D$15,MATCH(G420,Fortnightly_Model!$B$2:$B$15,0)),0)),IF(VLOOKUP($A419,Calendar!$A$1:$R$1377,18,0)=3,SUM(IFERROR(INDEX(Fortnightly_Model!$D$2:$D$15,MATCH(G419,Fortnightly_Model!$B$2:$B$15,0)),0),IFERROR(INDEX(Fortnightly_Model!$D$2:$D$15,MATCH(G420,Fortnightly_Model!$B$2:$B$15,0)),0),IFERROR(INDEX(Fortnightly_Model!$D$2:$D$15,MATCH(G421,Fortnightly_Model!$B$2:$B$15,0)),0)),IF(VLOOKUP($A419,Calendar!$A$1:$R$1377,18,0)=4,SUM(IFERROR(INDEX(Fortnightly_Model!$D$2:$D$15,MATCH(G419,Fortnightly_Model!$B$2:$B$15,0)),0),IFERROR(INDEX(Fortnightly_Model!$D$2:$D$15,MATCH(G420,Fortnightly_Model!$B$2:$B$15,0)),0),IFERROR(INDEX(Fortnightly_Model!$D$2:$D$15,MATCH(G421,Fortnightly_Model!$B$2:$B$15,0)),0),IFERROR(INDEX(Fortnightly_Model!$D$2:$D$15,MATCH(G422,Fortnightly_Model!$B$2:$B$15,0)),0)),IF(VLOOKUP($A419,Calendar!$A$1:$R$1377,18,0)=5,SUM(IFERROR(INDEX(Fortnightly_Model!$D$2:$D$15,MATCH(G419,Fortnightly_Model!$B$2:$B$15,0)),0),IFERROR(INDEX(Fortnightly_Model!$D$2:$D$15,MATCH(G420,Fortnightly_Model!$B$2:$B$15,0)),0),IFERROR(INDEX(Fortnightly_Model!$D$2:$D$15,MATCH(G421,Fortnightly_Model!$B$2:$B$15,0)),0),IFERROR(INDEX(Fortnightly_Model!$D$2:$D$15,MATCH(G422,Fortnightly_Model!$B$2:$B$15,0)),0),IFERROR(INDEX(Fortnightly_Model!$D$2:$D$15,MATCH(G423,Fortnightly_Model!$B$2:$B$15,0)),0)),0))))))</f>
        <v>1.0714285499999999E-3</v>
      </c>
      <c r="M419" s="27">
        <f>IF(VLOOKUP($A419,Calendar!$A$1:$R$1377,18,0)=0,0,IF(VLOOKUP($A419,Calendar!$A$1:$R$1377,18,0)=1,IFERROR(INDEX(FourWeekly_Model!$D$2:$D$29,MATCH(H419,FourWeekly_Model!$B$2:$B$29,0)),0),IF(VLOOKUP($A419,Calendar!$A$1:$R$1377,18,0)=2,SUM(IFERROR(INDEX(FourWeekly_Model!$D$2:$D$29,MATCH(H419,FourWeekly_Model!$B$2:$B$29,0)),0),IFERROR(INDEX(FourWeekly_Model!$D$2:$D$29,MATCH(H420,FourWeekly_Model!$B$2:$B$29,0)),0)),IF(VLOOKUP($A419,Calendar!$A$1:$R$1377,18,0)=3,SUM(IFERROR(INDEX(FourWeekly_Model!$D$2:$D$29,MATCH(H419,FourWeekly_Model!$B$2:$B$29,0)),0),IFERROR(INDEX(FourWeekly_Model!$D$2:$D$29,MATCH(H420,FourWeekly_Model!$B$2:$B$29,0)),0),IFERROR(INDEX(FourWeekly_Model!$D$2:$D$29,MATCH(H421,FourWeekly_Model!$B$2:$B$29,0)),0)),IF(VLOOKUP($A419,Calendar!$A$1:$R$1377,18,0)=4,SUM(IFERROR(INDEX(FourWeekly_Model!$D$2:$D$29,MATCH(H419,FourWeekly_Model!$B$2:$B$29,0)),0),IFERROR(INDEX(FourWeekly_Model!$D$2:$D$29,MATCH(H420,FourWeekly_Model!$B$2:$B$29,0)),0),IFERROR(INDEX(FourWeekly_Model!$D$2:$D$29,MATCH(H421,FourWeekly_Model!$B$2:$B$29,0)),0),IFERROR(INDEX(FourWeekly_Model!$D$2:$D$29,MATCH(H422,FourWeekly_Model!$B$2:$B$29,0)),0)),IF(VLOOKUP($A419,Calendar!$A$1:$R$1377,18,0)=5,SUM(IFERROR(INDEX(FourWeekly_Model!$D$2:$D$29,MATCH(H419,FourWeekly_Model!$B$2:$B$29,0)),0),IFERROR(INDEX(FourWeekly_Model!$D$2:$D$29,MATCH(H420,FourWeekly_Model!$B$2:$B$29,0)),0),IFERROR(INDEX(FourWeekly_Model!$D$2:$D$29,MATCH(H421,FourWeekly_Model!$B$2:$B$29,0)),0),IFERROR(INDEX(FourWeekly_Model!$D$2:$D$29,MATCH(H422,FourWeekly_Model!$B$2:$B$29,0)),0),IFERROR(INDEX(FourWeekly_Model!$D$2:$D$29,MATCH(H423,FourWeekly_Model!$B$2:$B$29,0)),0)),0))))))</f>
        <v>3.3214289700000004E-3</v>
      </c>
      <c r="N419" s="27">
        <f>SUM(I419:M419)</f>
        <v>3.0843119300104714E-2</v>
      </c>
      <c r="O419" s="28">
        <f>Population_Data!$B$8*N419</f>
        <v>934546.51479317283</v>
      </c>
      <c r="P419" s="27">
        <f>IF(VLOOKUP($A419,Calendar!$A$1:$R$1377,18,0)=0,0,IF(VLOOKUP($A419,Calendar!$A$1:$R$1377,18,0)=1,IFERROR(INDEX(Pension_Model!$D$2:$D$29,MATCH(H419,Pension_Model!$B$2:$B$29,0)),0),IF(VLOOKUP($A419,Calendar!$A$1:$R$1377,18,0)=2,SUM(IFERROR(INDEX(Pension_Model!$D$2:$D$29,MATCH(H419,Pension_Model!$B$2:$B$29,0)),0),IFERROR(INDEX(Pension_Model!$D$2:$D$29,MATCH(H420,Pension_Model!$B$2:$B$29,0)),0)),IF(VLOOKUP($A419,Calendar!$A$1:$R$1377,18,0)=3,SUM(IFERROR(INDEX(Pension_Model!$D$2:$D$29,MATCH(H419,Pension_Model!$B$2:$B$29,0)),0),IFERROR(INDEX(Pension_Model!$D$2:$D$29,MATCH(H420,Pension_Model!$B$2:$B$29,0)),0),IFERROR(INDEX(Pension_Model!$D$2:$D$29,MATCH(H421,Pension_Model!$B$2:$B$29,0)),0)),IF(VLOOKUP($A419,Calendar!$A$1:$R$1377,18,0)=4,SUM(IFERROR(INDEX(Pension_Model!$D$2:$D$29,MATCH(H419,Pension_Model!$B$2:$B$29,0)),0),IFERROR(INDEX(Pension_Model!$D$2:$D$29,MATCH(H420,Pension_Model!$B$2:$B$29,0)),0),IFERROR(INDEX(Pension_Model!$D$2:$D$29,MATCH(H421,Pension_Model!$B$2:$B$29,0)),0),IFERROR(INDEX(Pension_Model!$D$2:$D$29,MATCH(H422,Pension_Model!$B$2:$B$29,0)),0)),IF(VLOOKUP($A419,Calendar!$A$1:$R$1377,18,0)=5,SUM(IFERROR(INDEX(Pension_Model!$D$2:$D$29,MATCH(H419,Pension_Model!$B$2:$B$29,0)),0),IFERROR(INDEX(Pension_Model!$D$2:$D$29,MATCH(H420,Pension_Model!$B$2:$B$29,0)),0),IFERROR(INDEX(Pension_Model!$D$2:$D$29,MATCH(H421,Pension_Model!$B$2:$B$29,0)),0),IFERROR(INDEX(Pension_Model!$D$2:$D$29,MATCH(H422,Pension_Model!$B$2:$B$29,0)),0),IFERROR(INDEX(Pension_Model!$D$2:$D$29,MATCH(H423,Pension_Model!$B$2:$B$29,0)),0)),0))))))</f>
        <v>0.05</v>
      </c>
      <c r="Q419" s="28">
        <f>Population_Data!$B$15*P419</f>
        <v>660600</v>
      </c>
      <c r="S419">
        <f t="shared" si="6"/>
        <v>1595146.5147931729</v>
      </c>
      <c r="U419" s="33">
        <f>S419/Population_Data!$B$19</f>
        <v>2.8897581789731393E-2</v>
      </c>
    </row>
    <row r="420" spans="1:21">
      <c r="A420" s="25">
        <f>Calendar!A420</f>
        <v>46653</v>
      </c>
      <c r="B420" t="str">
        <f>Calendar!L420</f>
        <v>Yes</v>
      </c>
      <c r="C420" t="str">
        <f>Calendar!O420</f>
        <v>No</v>
      </c>
      <c r="D420" t="str">
        <f>Calendar!P420</f>
        <v>No</v>
      </c>
      <c r="E420" t="str">
        <f>Calendar!Q420</f>
        <v>No</v>
      </c>
      <c r="F420" t="str">
        <f>Calendar!I420</f>
        <v>Thursday</v>
      </c>
      <c r="G420">
        <f>Calendar!S420</f>
        <v>5</v>
      </c>
      <c r="H420">
        <f>Calendar!T420</f>
        <v>5</v>
      </c>
      <c r="I420" s="27">
        <f>IF(VLOOKUP(A420,Calendar!$A$1:$R$1377,18,0)=0,0,IF(VLOOKUP(A420,Calendar!$A$1:$R$1377,18,0)=1,INDEX(Monthly_Pay_Model!$A$9:$D$40,MATCH(TEXT(A420,"dd"),Monthly_Pay_Model!$C$9:$C$39,0),4),IF(VLOOKUP(A420,Calendar!$A$1:$R$1377,18,0)=2,SUM(INDEX(Monthly_Pay_Model!$A$9:$D$40,MATCH(TEXT(A420,"dd"),Monthly_Pay_Model!$C$9:$C$39,0),4),INDEX(Monthly_Pay_Model!$A$9:$D$40,MATCH(TEXT(A421,"dd"),Monthly_Pay_Model!$C$9:$C$39,0),4)),IF(VLOOKUP(A420,Calendar!$A$1:$R$1377,18,0)=3,SUM(INDEX(Monthly_Pay_Model!$A$9:$D$40,MATCH(TEXT(A420,"dd"),Monthly_Pay_Model!$C$9:$C$39,0),4),INDEX(Monthly_Pay_Model!$A$9:$D$40,MATCH(TEXT(A421,"dd"),Monthly_Pay_Model!$C$9:$C$39,0),4),INDEX(Monthly_Pay_Model!$A$9:$D$40,MATCH(TEXT(A422,"dd"),Monthly_Pay_Model!$C$9:$C$39,0),4)),IF(VLOOKUP(A420,Calendar!$A$1:$R$1377,18,0)=4,SUM(INDEX(Monthly_Pay_Model!$A$9:$D$40,MATCH(TEXT(A420,"dd"),Monthly_Pay_Model!$C$9:$C$39,0),4),INDEX(Monthly_Pay_Model!$A$9:$D$40,MATCH(TEXT(A421,"dd"),Monthly_Pay_Model!$C$9:$C$39,0),4),INDEX(Monthly_Pay_Model!$A$9:$D$40,MATCH(TEXT(A422,"dd"),Monthly_Pay_Model!$C$9:$C$39,0),4),INDEX(Monthly_Pay_Model!$A$9:$D$40,MATCH(TEXT(A423,"dd"),Monthly_Pay_Model!$C$9:$C$39,0),4)),IF(VLOOKUP(A420,Calendar!$A$1:$R$1377,18,0)=5,SUM(INDEX(Monthly_Pay_Model!$A$9:$D$40,MATCH(TEXT(A420,"dd"),Monthly_Pay_Model!$C$9:$C$39,0),4),INDEX(Monthly_Pay_Model!$A$9:$D$40,MATCH(TEXT(A421,"dd"),Monthly_Pay_Model!$C$9:$C$39,0),4),INDEX(Monthly_Pay_Model!$A$9:$D$40,MATCH(TEXT(A422,"dd"),Monthly_Pay_Model!$C$9:$C$39,0),4),INDEX(Monthly_Pay_Model!$A$9:$D$40,MATCH(TEXT(A423,"dd"),Monthly_Pay_Model!$C$9:$C$39,0),4),INDEX(Monthly_Pay_Model!$A$9:$D$40,MATCH(TEXT(A424,"dd"),Monthly_Pay_Model!$C$9:$C$39,0),4)),))))))</f>
        <v>4.0628272251308894E-3</v>
      </c>
      <c r="J420" s="33">
        <f>IF(C420="Yes",Monthly_Pay_Model!$D$2,0)
+IF(Calendar!N420="Yes",Monthly_Pay_Model!$D$3,0)
+IF(D420="Yes",Monthly_Pay_Model!$D$4,0)
+IF(E420="Yes",Monthly_Pay_Model!$D$5,0)</f>
        <v>0</v>
      </c>
      <c r="K420" s="27">
        <f>IF(VLOOKUP($A420,Calendar!$A$1:$R$1377,18,0)=0,0,IF(VLOOKUP($A420,Calendar!$A$1:$R$1377,18,0)=1,IFERROR(INDEX(Weekly_Model!$D$2:$D$9,MATCH(F420,Weekly_Model!$A$2:$A$9,0)),0),IF(VLOOKUP($A420,Calendar!$A$1:$R$1377,18,0)=2,SUM(IFERROR(INDEX(Weekly_Model!$D$2:$D$9,MATCH(F420,Weekly_Model!$A$2:$A$9,0)),0),IFERROR(INDEX(Weekly_Model!$D$2:$D$9,MATCH(F421,Weekly_Model!$A$2:$A$9,0)),0)),IF(VLOOKUP($A420,Calendar!$A$1:$R$1377,18,0)=3,SUM(IFERROR(INDEX(Weekly_Model!$D$2:$D$9,MATCH(F420,Weekly_Model!$A$2:$A$9,0)),0),IFERROR(INDEX(Weekly_Model!$D$2:$D$9,MATCH(F421,Weekly_Model!$A$2:$A$9,0)),0),IFERROR(INDEX(Weekly_Model!$D$2:$D$9,MATCH(F422,Weekly_Model!$A$2:$A$9,0)),0)),IF(VLOOKUP($A420,Calendar!$A$1:$R$1377,18,0)=4,SUM(IFERROR(INDEX(Weekly_Model!$D$2:$D$9,MATCH(F420,Weekly_Model!$A$2:$A$9,0)),0),IFERROR(INDEX(Weekly_Model!$D$2:$D$9,MATCH(F421,Weekly_Model!$A$2:$A$9,0)),0),IFERROR(INDEX(Weekly_Model!$D$2:$D$9,MATCH(F422,Weekly_Model!$A$2:$A$9,0)),0),IFERROR(INDEX(Weekly_Model!$D$2:$D$9,MATCH(F423,Weekly_Model!$A$2:$A$9,0)),0)),IF(VLOOKUP($A420,Calendar!$A$1:$R$1377,18,0)=5,SUM(IFERROR(INDEX(Weekly_Model!$D$2:$D$9,MATCH(F420,Weekly_Model!$A$2:$A$9,0)),0),IFERROR(INDEX(Weekly_Model!$D$2:$D$9,MATCH(F421,Weekly_Model!$A$2:$A$9,0)),0),IFERROR(INDEX(Weekly_Model!$D$2:$D$9,MATCH(F422,Weekly_Model!$A$2:$A$9,0)),0),IFERROR(INDEX(Weekly_Model!$D$2:$D$9,MATCH(F423,Weekly_Model!$A$2:$A$9,0)),0),IFERROR(INDEX(Weekly_Model!$D$2:$D$9,MATCH(F424,Weekly_Model!$A$2:$A$9,0)),0)),0))))))</f>
        <v>2.3200000000000002E-2</v>
      </c>
      <c r="L420" s="27">
        <f>IF(VLOOKUP($A420,Calendar!$A$1:$R$1377,18,0)=0,0,IF(VLOOKUP($A420,Calendar!$A$1:$R$1377,18,0)=1,IFERROR(INDEX(Fortnightly_Model!$D$2:$D$15,MATCH(G420,Fortnightly_Model!$B$2:$B$15,0)),0),IF(VLOOKUP($A420,Calendar!$A$1:$R$1377,18,0)=2,SUM(IFERROR(INDEX(Fortnightly_Model!$D$2:$D$15,MATCH(G420,Fortnightly_Model!$B$2:$B$15,0)),0),IFERROR(INDEX(Fortnightly_Model!$D$2:$D$15,MATCH(G421,Fortnightly_Model!$B$2:$B$15,0)),0)),IF(VLOOKUP($A420,Calendar!$A$1:$R$1377,18,0)=3,SUM(IFERROR(INDEX(Fortnightly_Model!$D$2:$D$15,MATCH(G420,Fortnightly_Model!$B$2:$B$15,0)),0),IFERROR(INDEX(Fortnightly_Model!$D$2:$D$15,MATCH(G421,Fortnightly_Model!$B$2:$B$15,0)),0),IFERROR(INDEX(Fortnightly_Model!$D$2:$D$15,MATCH(G422,Fortnightly_Model!$B$2:$B$15,0)),0)),IF(VLOOKUP($A420,Calendar!$A$1:$R$1377,18,0)=4,SUM(IFERROR(INDEX(Fortnightly_Model!$D$2:$D$15,MATCH(G420,Fortnightly_Model!$B$2:$B$15,0)),0),IFERROR(INDEX(Fortnightly_Model!$D$2:$D$15,MATCH(G421,Fortnightly_Model!$B$2:$B$15,0)),0),IFERROR(INDEX(Fortnightly_Model!$D$2:$D$15,MATCH(G422,Fortnightly_Model!$B$2:$B$15,0)),0),IFERROR(INDEX(Fortnightly_Model!$D$2:$D$15,MATCH(G423,Fortnightly_Model!$B$2:$B$15,0)),0)),IF(VLOOKUP($A420,Calendar!$A$1:$R$1377,18,0)=5,SUM(IFERROR(INDEX(Fortnightly_Model!$D$2:$D$15,MATCH(G420,Fortnightly_Model!$B$2:$B$15,0)),0),IFERROR(INDEX(Fortnightly_Model!$D$2:$D$15,MATCH(G421,Fortnightly_Model!$B$2:$B$15,0)),0),IFERROR(INDEX(Fortnightly_Model!$D$2:$D$15,MATCH(G422,Fortnightly_Model!$B$2:$B$15,0)),0),IFERROR(INDEX(Fortnightly_Model!$D$2:$D$15,MATCH(G423,Fortnightly_Model!$B$2:$B$15,0)),0),IFERROR(INDEX(Fortnightly_Model!$D$2:$D$15,MATCH(G424,Fortnightly_Model!$B$2:$B$15,0)),0)),0))))))</f>
        <v>1.0714285499999999E-3</v>
      </c>
      <c r="M420" s="27">
        <f>IF(VLOOKUP($A420,Calendar!$A$1:$R$1377,18,0)=0,0,IF(VLOOKUP($A420,Calendar!$A$1:$R$1377,18,0)=1,IFERROR(INDEX(FourWeekly_Model!$D$2:$D$29,MATCH(H420,FourWeekly_Model!$B$2:$B$29,0)),0),IF(VLOOKUP($A420,Calendar!$A$1:$R$1377,18,0)=2,SUM(IFERROR(INDEX(FourWeekly_Model!$D$2:$D$29,MATCH(H420,FourWeekly_Model!$B$2:$B$29,0)),0),IFERROR(INDEX(FourWeekly_Model!$D$2:$D$29,MATCH(H421,FourWeekly_Model!$B$2:$B$29,0)),0)),IF(VLOOKUP($A420,Calendar!$A$1:$R$1377,18,0)=3,SUM(IFERROR(INDEX(FourWeekly_Model!$D$2:$D$29,MATCH(H420,FourWeekly_Model!$B$2:$B$29,0)),0),IFERROR(INDEX(FourWeekly_Model!$D$2:$D$29,MATCH(H421,FourWeekly_Model!$B$2:$B$29,0)),0),IFERROR(INDEX(FourWeekly_Model!$D$2:$D$29,MATCH(H422,FourWeekly_Model!$B$2:$B$29,0)),0)),IF(VLOOKUP($A420,Calendar!$A$1:$R$1377,18,0)=4,SUM(IFERROR(INDEX(FourWeekly_Model!$D$2:$D$29,MATCH(H420,FourWeekly_Model!$B$2:$B$29,0)),0),IFERROR(INDEX(FourWeekly_Model!$D$2:$D$29,MATCH(H421,FourWeekly_Model!$B$2:$B$29,0)),0),IFERROR(INDEX(FourWeekly_Model!$D$2:$D$29,MATCH(H422,FourWeekly_Model!$B$2:$B$29,0)),0),IFERROR(INDEX(FourWeekly_Model!$D$2:$D$29,MATCH(H423,FourWeekly_Model!$B$2:$B$29,0)),0)),IF(VLOOKUP($A420,Calendar!$A$1:$R$1377,18,0)=5,SUM(IFERROR(INDEX(FourWeekly_Model!$D$2:$D$29,MATCH(H420,FourWeekly_Model!$B$2:$B$29,0)),0),IFERROR(INDEX(FourWeekly_Model!$D$2:$D$29,MATCH(H421,FourWeekly_Model!$B$2:$B$29,0)),0),IFERROR(INDEX(FourWeekly_Model!$D$2:$D$29,MATCH(H422,FourWeekly_Model!$B$2:$B$29,0)),0),IFERROR(INDEX(FourWeekly_Model!$D$2:$D$29,MATCH(H423,FourWeekly_Model!$B$2:$B$29,0)),0),IFERROR(INDEX(FourWeekly_Model!$D$2:$D$29,MATCH(H424,FourWeekly_Model!$B$2:$B$29,0)),0)),0))))))</f>
        <v>3.3214289700000004E-3</v>
      </c>
      <c r="N420" s="27">
        <f>SUM(I420:M420)</f>
        <v>3.1655684745130891E-2</v>
      </c>
      <c r="O420" s="28">
        <f>Population_Data!$B$8*N420</f>
        <v>959167.24777746596</v>
      </c>
      <c r="P420" s="27">
        <f>IF(VLOOKUP($A420,Calendar!$A$1:$R$1377,18,0)=0,0,IF(VLOOKUP($A420,Calendar!$A$1:$R$1377,18,0)=1,IFERROR(INDEX(Pension_Model!$D$2:$D$29,MATCH(H420,Pension_Model!$B$2:$B$29,0)),0),IF(VLOOKUP($A420,Calendar!$A$1:$R$1377,18,0)=2,SUM(IFERROR(INDEX(Pension_Model!$D$2:$D$29,MATCH(H420,Pension_Model!$B$2:$B$29,0)),0),IFERROR(INDEX(Pension_Model!$D$2:$D$29,MATCH(H421,Pension_Model!$B$2:$B$29,0)),0)),IF(VLOOKUP($A420,Calendar!$A$1:$R$1377,18,0)=3,SUM(IFERROR(INDEX(Pension_Model!$D$2:$D$29,MATCH(H420,Pension_Model!$B$2:$B$29,0)),0),IFERROR(INDEX(Pension_Model!$D$2:$D$29,MATCH(H421,Pension_Model!$B$2:$B$29,0)),0),IFERROR(INDEX(Pension_Model!$D$2:$D$29,MATCH(H422,Pension_Model!$B$2:$B$29,0)),0)),IF(VLOOKUP($A420,Calendar!$A$1:$R$1377,18,0)=4,SUM(IFERROR(INDEX(Pension_Model!$D$2:$D$29,MATCH(H420,Pension_Model!$B$2:$B$29,0)),0),IFERROR(INDEX(Pension_Model!$D$2:$D$29,MATCH(H421,Pension_Model!$B$2:$B$29,0)),0),IFERROR(INDEX(Pension_Model!$D$2:$D$29,MATCH(H422,Pension_Model!$B$2:$B$29,0)),0),IFERROR(INDEX(Pension_Model!$D$2:$D$29,MATCH(H423,Pension_Model!$B$2:$B$29,0)),0)),IF(VLOOKUP($A420,Calendar!$A$1:$R$1377,18,0)=5,SUM(IFERROR(INDEX(Pension_Model!$D$2:$D$29,MATCH(H420,Pension_Model!$B$2:$B$29,0)),0),IFERROR(INDEX(Pension_Model!$D$2:$D$29,MATCH(H421,Pension_Model!$B$2:$B$29,0)),0),IFERROR(INDEX(Pension_Model!$D$2:$D$29,MATCH(H422,Pension_Model!$B$2:$B$29,0)),0),IFERROR(INDEX(Pension_Model!$D$2:$D$29,MATCH(H423,Pension_Model!$B$2:$B$29,0)),0),IFERROR(INDEX(Pension_Model!$D$2:$D$29,MATCH(H424,Pension_Model!$B$2:$B$29,0)),0)),0))))))</f>
        <v>0.05</v>
      </c>
      <c r="Q420" s="28">
        <f>Population_Data!$B$15*P420</f>
        <v>660600</v>
      </c>
      <c r="S420">
        <f t="shared" si="6"/>
        <v>1619767.247777466</v>
      </c>
      <c r="U420" s="33">
        <f>S420/Population_Data!$B$19</f>
        <v>2.9343609561185979E-2</v>
      </c>
    </row>
    <row r="421" spans="1:21">
      <c r="A421" s="25">
        <f>Calendar!A421</f>
        <v>46654</v>
      </c>
      <c r="B421" t="str">
        <f>Calendar!L421</f>
        <v>Yes</v>
      </c>
      <c r="C421" t="str">
        <f>Calendar!O421</f>
        <v>No</v>
      </c>
      <c r="D421" t="str">
        <f>Calendar!P421</f>
        <v>Yes</v>
      </c>
      <c r="E421" t="str">
        <f>Calendar!Q421</f>
        <v>No</v>
      </c>
      <c r="F421" t="str">
        <f>Calendar!I421</f>
        <v>Friday</v>
      </c>
      <c r="G421">
        <f>Calendar!S421</f>
        <v>6</v>
      </c>
      <c r="H421">
        <f>Calendar!T421</f>
        <v>6</v>
      </c>
      <c r="I421" s="27">
        <f>IF(VLOOKUP(A421,Calendar!$A$1:$R$1377,18,0)=0,0,IF(VLOOKUP(A421,Calendar!$A$1:$R$1377,18,0)=1,INDEX(Monthly_Pay_Model!$A$9:$D$40,MATCH(TEXT(A421,"dd"),Monthly_Pay_Model!$C$9:$C$39,0),4),IF(VLOOKUP(A421,Calendar!$A$1:$R$1377,18,0)=2,SUM(INDEX(Monthly_Pay_Model!$A$9:$D$40,MATCH(TEXT(A421,"dd"),Monthly_Pay_Model!$C$9:$C$39,0),4),INDEX(Monthly_Pay_Model!$A$9:$D$40,MATCH(TEXT(A422,"dd"),Monthly_Pay_Model!$C$9:$C$39,0),4)),IF(VLOOKUP(A421,Calendar!$A$1:$R$1377,18,0)=3,SUM(INDEX(Monthly_Pay_Model!$A$9:$D$40,MATCH(TEXT(A421,"dd"),Monthly_Pay_Model!$C$9:$C$39,0),4),INDEX(Monthly_Pay_Model!$A$9:$D$40,MATCH(TEXT(A422,"dd"),Monthly_Pay_Model!$C$9:$C$39,0),4),INDEX(Monthly_Pay_Model!$A$9:$D$40,MATCH(TEXT(A423,"dd"),Monthly_Pay_Model!$C$9:$C$39,0),4)),IF(VLOOKUP(A421,Calendar!$A$1:$R$1377,18,0)=4,SUM(INDEX(Monthly_Pay_Model!$A$9:$D$40,MATCH(TEXT(A421,"dd"),Monthly_Pay_Model!$C$9:$C$39,0),4),INDEX(Monthly_Pay_Model!$A$9:$D$40,MATCH(TEXT(A422,"dd"),Monthly_Pay_Model!$C$9:$C$39,0),4),INDEX(Monthly_Pay_Model!$A$9:$D$40,MATCH(TEXT(A423,"dd"),Monthly_Pay_Model!$C$9:$C$39,0),4),INDEX(Monthly_Pay_Model!$A$9:$D$40,MATCH(TEXT(A424,"dd"),Monthly_Pay_Model!$C$9:$C$39,0),4)),IF(VLOOKUP(A421,Calendar!$A$1:$R$1377,18,0)=5,SUM(INDEX(Monthly_Pay_Model!$A$9:$D$40,MATCH(TEXT(A421,"dd"),Monthly_Pay_Model!$C$9:$C$39,0),4),INDEX(Monthly_Pay_Model!$A$9:$D$40,MATCH(TEXT(A422,"dd"),Monthly_Pay_Model!$C$9:$C$39,0),4),INDEX(Monthly_Pay_Model!$A$9:$D$40,MATCH(TEXT(A423,"dd"),Monthly_Pay_Model!$C$9:$C$39,0),4),INDEX(Monthly_Pay_Model!$A$9:$D$40,MATCH(TEXT(A424,"dd"),Monthly_Pay_Model!$C$9:$C$39,0),4),INDEX(Monthly_Pay_Model!$A$9:$D$40,MATCH(TEXT(A425,"dd"),Monthly_Pay_Model!$C$9:$C$39,0),4)),))))))</f>
        <v>3.900314136125653E-2</v>
      </c>
      <c r="J421" s="33">
        <f>IF(C421="Yes",Monthly_Pay_Model!$D$2,0)
+IF(Calendar!N421="Yes",Monthly_Pay_Model!$D$3,0)
+IF(D421="Yes",Monthly_Pay_Model!$D$4,0)
+IF(E421="Yes",Monthly_Pay_Model!$D$5,0)</f>
        <v>0.1552</v>
      </c>
      <c r="K421" s="27">
        <f>IF(VLOOKUP($A421,Calendar!$A$1:$R$1377,18,0)=0,0,IF(VLOOKUP($A421,Calendar!$A$1:$R$1377,18,0)=1,IFERROR(INDEX(Weekly_Model!$D$2:$D$9,MATCH(F421,Weekly_Model!$A$2:$A$9,0)),0),IF(VLOOKUP($A421,Calendar!$A$1:$R$1377,18,0)=2,SUM(IFERROR(INDEX(Weekly_Model!$D$2:$D$9,MATCH(F421,Weekly_Model!$A$2:$A$9,0)),0),IFERROR(INDEX(Weekly_Model!$D$2:$D$9,MATCH(F422,Weekly_Model!$A$2:$A$9,0)),0)),IF(VLOOKUP($A421,Calendar!$A$1:$R$1377,18,0)=3,SUM(IFERROR(INDEX(Weekly_Model!$D$2:$D$9,MATCH(F421,Weekly_Model!$A$2:$A$9,0)),0),IFERROR(INDEX(Weekly_Model!$D$2:$D$9,MATCH(F422,Weekly_Model!$A$2:$A$9,0)),0),IFERROR(INDEX(Weekly_Model!$D$2:$D$9,MATCH(F423,Weekly_Model!$A$2:$A$9,0)),0)),IF(VLOOKUP($A421,Calendar!$A$1:$R$1377,18,0)=4,SUM(IFERROR(INDEX(Weekly_Model!$D$2:$D$9,MATCH(F421,Weekly_Model!$A$2:$A$9,0)),0),IFERROR(INDEX(Weekly_Model!$D$2:$D$9,MATCH(F422,Weekly_Model!$A$2:$A$9,0)),0),IFERROR(INDEX(Weekly_Model!$D$2:$D$9,MATCH(F423,Weekly_Model!$A$2:$A$9,0)),0),IFERROR(INDEX(Weekly_Model!$D$2:$D$9,MATCH(F424,Weekly_Model!$A$2:$A$9,0)),0)),IF(VLOOKUP($A421,Calendar!$A$1:$R$1377,18,0)=5,SUM(IFERROR(INDEX(Weekly_Model!$D$2:$D$9,MATCH(F421,Weekly_Model!$A$2:$A$9,0)),0),IFERROR(INDEX(Weekly_Model!$D$2:$D$9,MATCH(F422,Weekly_Model!$A$2:$A$9,0)),0),IFERROR(INDEX(Weekly_Model!$D$2:$D$9,MATCH(F423,Weekly_Model!$A$2:$A$9,0)),0),IFERROR(INDEX(Weekly_Model!$D$2:$D$9,MATCH(F424,Weekly_Model!$A$2:$A$9,0)),0),IFERROR(INDEX(Weekly_Model!$D$2:$D$9,MATCH(F425,Weekly_Model!$A$2:$A$9,0)),0)),0))))))</f>
        <v>2.3200000000000002E-2</v>
      </c>
      <c r="L421" s="27">
        <f>IF(VLOOKUP($A421,Calendar!$A$1:$R$1377,18,0)=0,0,IF(VLOOKUP($A421,Calendar!$A$1:$R$1377,18,0)=1,IFERROR(INDEX(Fortnightly_Model!$D$2:$D$15,MATCH(G421,Fortnightly_Model!$B$2:$B$15,0)),0),IF(VLOOKUP($A421,Calendar!$A$1:$R$1377,18,0)=2,SUM(IFERROR(INDEX(Fortnightly_Model!$D$2:$D$15,MATCH(G421,Fortnightly_Model!$B$2:$B$15,0)),0),IFERROR(INDEX(Fortnightly_Model!$D$2:$D$15,MATCH(G422,Fortnightly_Model!$B$2:$B$15,0)),0)),IF(VLOOKUP($A421,Calendar!$A$1:$R$1377,18,0)=3,SUM(IFERROR(INDEX(Fortnightly_Model!$D$2:$D$15,MATCH(G421,Fortnightly_Model!$B$2:$B$15,0)),0),IFERROR(INDEX(Fortnightly_Model!$D$2:$D$15,MATCH(G422,Fortnightly_Model!$B$2:$B$15,0)),0),IFERROR(INDEX(Fortnightly_Model!$D$2:$D$15,MATCH(G423,Fortnightly_Model!$B$2:$B$15,0)),0)),IF(VLOOKUP($A421,Calendar!$A$1:$R$1377,18,0)=4,SUM(IFERROR(INDEX(Fortnightly_Model!$D$2:$D$15,MATCH(G421,Fortnightly_Model!$B$2:$B$15,0)),0),IFERROR(INDEX(Fortnightly_Model!$D$2:$D$15,MATCH(G422,Fortnightly_Model!$B$2:$B$15,0)),0),IFERROR(INDEX(Fortnightly_Model!$D$2:$D$15,MATCH(G423,Fortnightly_Model!$B$2:$B$15,0)),0),IFERROR(INDEX(Fortnightly_Model!$D$2:$D$15,MATCH(G424,Fortnightly_Model!$B$2:$B$15,0)),0)),IF(VLOOKUP($A421,Calendar!$A$1:$R$1377,18,0)=5,SUM(IFERROR(INDEX(Fortnightly_Model!$D$2:$D$15,MATCH(G421,Fortnightly_Model!$B$2:$B$15,0)),0),IFERROR(INDEX(Fortnightly_Model!$D$2:$D$15,MATCH(G422,Fortnightly_Model!$B$2:$B$15,0)),0),IFERROR(INDEX(Fortnightly_Model!$D$2:$D$15,MATCH(G423,Fortnightly_Model!$B$2:$B$15,0)),0),IFERROR(INDEX(Fortnightly_Model!$D$2:$D$15,MATCH(G424,Fortnightly_Model!$B$2:$B$15,0)),0),IFERROR(INDEX(Fortnightly_Model!$D$2:$D$15,MATCH(G425,Fortnightly_Model!$B$2:$B$15,0)),0)),0))))))</f>
        <v>3.2142856499999999E-3</v>
      </c>
      <c r="M421" s="27">
        <f>IF(VLOOKUP($A421,Calendar!$A$1:$R$1377,18,0)=0,0,IF(VLOOKUP($A421,Calendar!$A$1:$R$1377,18,0)=1,IFERROR(INDEX(FourWeekly_Model!$D$2:$D$29,MATCH(H421,FourWeekly_Model!$B$2:$B$29,0)),0),IF(VLOOKUP($A421,Calendar!$A$1:$R$1377,18,0)=2,SUM(IFERROR(INDEX(FourWeekly_Model!$D$2:$D$29,MATCH(H421,FourWeekly_Model!$B$2:$B$29,0)),0),IFERROR(INDEX(FourWeekly_Model!$D$2:$D$29,MATCH(H422,FourWeekly_Model!$B$2:$B$29,0)),0)),IF(VLOOKUP($A421,Calendar!$A$1:$R$1377,18,0)=3,SUM(IFERROR(INDEX(FourWeekly_Model!$D$2:$D$29,MATCH(H421,FourWeekly_Model!$B$2:$B$29,0)),0),IFERROR(INDEX(FourWeekly_Model!$D$2:$D$29,MATCH(H422,FourWeekly_Model!$B$2:$B$29,0)),0),IFERROR(INDEX(FourWeekly_Model!$D$2:$D$29,MATCH(H423,FourWeekly_Model!$B$2:$B$29,0)),0)),IF(VLOOKUP($A421,Calendar!$A$1:$R$1377,18,0)=4,SUM(IFERROR(INDEX(FourWeekly_Model!$D$2:$D$29,MATCH(H421,FourWeekly_Model!$B$2:$B$29,0)),0),IFERROR(INDEX(FourWeekly_Model!$D$2:$D$29,MATCH(H422,FourWeekly_Model!$B$2:$B$29,0)),0),IFERROR(INDEX(FourWeekly_Model!$D$2:$D$29,MATCH(H423,FourWeekly_Model!$B$2:$B$29,0)),0),IFERROR(INDEX(FourWeekly_Model!$D$2:$D$29,MATCH(H424,FourWeekly_Model!$B$2:$B$29,0)),0)),IF(VLOOKUP($A421,Calendar!$A$1:$R$1377,18,0)=5,SUM(IFERROR(INDEX(FourWeekly_Model!$D$2:$D$29,MATCH(H421,FourWeekly_Model!$B$2:$B$29,0)),0),IFERROR(INDEX(FourWeekly_Model!$D$2:$D$29,MATCH(H422,FourWeekly_Model!$B$2:$B$29,0)),0),IFERROR(INDEX(FourWeekly_Model!$D$2:$D$29,MATCH(H423,FourWeekly_Model!$B$2:$B$29,0)),0),IFERROR(INDEX(FourWeekly_Model!$D$2:$D$29,MATCH(H424,FourWeekly_Model!$B$2:$B$29,0)),0),IFERROR(INDEX(FourWeekly_Model!$D$2:$D$29,MATCH(H425,FourWeekly_Model!$B$2:$B$29,0)),0)),0))))))</f>
        <v>9.9642859800000011E-3</v>
      </c>
      <c r="N421" s="27">
        <f>SUM(I421:M421)</f>
        <v>0.23058171299125657</v>
      </c>
      <c r="O421" s="28">
        <f>Population_Data!$B$8*N421</f>
        <v>6986625.9036350744</v>
      </c>
      <c r="P421" s="27">
        <f>IF(VLOOKUP($A421,Calendar!$A$1:$R$1377,18,0)=0,0,IF(VLOOKUP($A421,Calendar!$A$1:$R$1377,18,0)=1,IFERROR(INDEX(Pension_Model!$D$2:$D$29,MATCH(H421,Pension_Model!$B$2:$B$29,0)),0),IF(VLOOKUP($A421,Calendar!$A$1:$R$1377,18,0)=2,SUM(IFERROR(INDEX(Pension_Model!$D$2:$D$29,MATCH(H421,Pension_Model!$B$2:$B$29,0)),0),IFERROR(INDEX(Pension_Model!$D$2:$D$29,MATCH(H422,Pension_Model!$B$2:$B$29,0)),0)),IF(VLOOKUP($A421,Calendar!$A$1:$R$1377,18,0)=3,SUM(IFERROR(INDEX(Pension_Model!$D$2:$D$29,MATCH(H421,Pension_Model!$B$2:$B$29,0)),0),IFERROR(INDEX(Pension_Model!$D$2:$D$29,MATCH(H422,Pension_Model!$B$2:$B$29,0)),0),IFERROR(INDEX(Pension_Model!$D$2:$D$29,MATCH(H423,Pension_Model!$B$2:$B$29,0)),0)),IF(VLOOKUP($A421,Calendar!$A$1:$R$1377,18,0)=4,SUM(IFERROR(INDEX(Pension_Model!$D$2:$D$29,MATCH(H421,Pension_Model!$B$2:$B$29,0)),0),IFERROR(INDEX(Pension_Model!$D$2:$D$29,MATCH(H422,Pension_Model!$B$2:$B$29,0)),0),IFERROR(INDEX(Pension_Model!$D$2:$D$29,MATCH(H423,Pension_Model!$B$2:$B$29,0)),0),IFERROR(INDEX(Pension_Model!$D$2:$D$29,MATCH(H424,Pension_Model!$B$2:$B$29,0)),0)),IF(VLOOKUP($A421,Calendar!$A$1:$R$1377,18,0)=5,SUM(IFERROR(INDEX(Pension_Model!$D$2:$D$29,MATCH(H421,Pension_Model!$B$2:$B$29,0)),0),IFERROR(INDEX(Pension_Model!$D$2:$D$29,MATCH(H422,Pension_Model!$B$2:$B$29,0)),0),IFERROR(INDEX(Pension_Model!$D$2:$D$29,MATCH(H423,Pension_Model!$B$2:$B$29,0)),0),IFERROR(INDEX(Pension_Model!$D$2:$D$29,MATCH(H424,Pension_Model!$B$2:$B$29,0)),0),IFERROR(INDEX(Pension_Model!$D$2:$D$29,MATCH(H425,Pension_Model!$B$2:$B$29,0)),0)),0))))))</f>
        <v>0.05</v>
      </c>
      <c r="Q421" s="28">
        <f>Population_Data!$B$15*P421</f>
        <v>660600</v>
      </c>
      <c r="S421">
        <f t="shared" si="6"/>
        <v>7647225.9036350744</v>
      </c>
      <c r="U421" s="33">
        <f>S421/Population_Data!$B$19</f>
        <v>0.13853670115280931</v>
      </c>
    </row>
    <row r="422" spans="1:21">
      <c r="A422" s="25">
        <f>Calendar!A422</f>
        <v>46655</v>
      </c>
      <c r="B422" t="str">
        <f>Calendar!L422</f>
        <v>No</v>
      </c>
      <c r="C422" t="str">
        <f>Calendar!O422</f>
        <v>No</v>
      </c>
      <c r="D422" t="str">
        <f>Calendar!P422</f>
        <v>No</v>
      </c>
      <c r="E422" t="str">
        <f>Calendar!Q422</f>
        <v>No</v>
      </c>
      <c r="F422" t="str">
        <f>Calendar!I422</f>
        <v>Saturday</v>
      </c>
      <c r="G422">
        <f>Calendar!S422</f>
        <v>7</v>
      </c>
      <c r="H422">
        <f>Calendar!T422</f>
        <v>7</v>
      </c>
      <c r="I422" s="27">
        <f>IF(VLOOKUP(A422,Calendar!$A$1:$R$1377,18,0)=0,0,IF(VLOOKUP(A422,Calendar!$A$1:$R$1377,18,0)=1,INDEX(Monthly_Pay_Model!$A$9:$D$40,MATCH(TEXT(A422,"dd"),Monthly_Pay_Model!$C$9:$C$39,0),4),IF(VLOOKUP(A422,Calendar!$A$1:$R$1377,18,0)=2,SUM(INDEX(Monthly_Pay_Model!$A$9:$D$40,MATCH(TEXT(A422,"dd"),Monthly_Pay_Model!$C$9:$C$39,0),4),INDEX(Monthly_Pay_Model!$A$9:$D$40,MATCH(TEXT(A423,"dd"),Monthly_Pay_Model!$C$9:$C$39,0),4)),IF(VLOOKUP(A422,Calendar!$A$1:$R$1377,18,0)=3,SUM(INDEX(Monthly_Pay_Model!$A$9:$D$40,MATCH(TEXT(A422,"dd"),Monthly_Pay_Model!$C$9:$C$39,0),4),INDEX(Monthly_Pay_Model!$A$9:$D$40,MATCH(TEXT(A423,"dd"),Monthly_Pay_Model!$C$9:$C$39,0),4),INDEX(Monthly_Pay_Model!$A$9:$D$40,MATCH(TEXT(A424,"dd"),Monthly_Pay_Model!$C$9:$C$39,0),4)),IF(VLOOKUP(A422,Calendar!$A$1:$R$1377,18,0)=4,SUM(INDEX(Monthly_Pay_Model!$A$9:$D$40,MATCH(TEXT(A422,"dd"),Monthly_Pay_Model!$C$9:$C$39,0),4),INDEX(Monthly_Pay_Model!$A$9:$D$40,MATCH(TEXT(A423,"dd"),Monthly_Pay_Model!$C$9:$C$39,0),4),INDEX(Monthly_Pay_Model!$A$9:$D$40,MATCH(TEXT(A424,"dd"),Monthly_Pay_Model!$C$9:$C$39,0),4),INDEX(Monthly_Pay_Model!$A$9:$D$40,MATCH(TEXT(A425,"dd"),Monthly_Pay_Model!$C$9:$C$39,0),4)),IF(VLOOKUP(A422,Calendar!$A$1:$R$1377,18,0)=5,SUM(INDEX(Monthly_Pay_Model!$A$9:$D$40,MATCH(TEXT(A422,"dd"),Monthly_Pay_Model!$C$9:$C$39,0),4),INDEX(Monthly_Pay_Model!$A$9:$D$40,MATCH(TEXT(A423,"dd"),Monthly_Pay_Model!$C$9:$C$39,0),4),INDEX(Monthly_Pay_Model!$A$9:$D$40,MATCH(TEXT(A424,"dd"),Monthly_Pay_Model!$C$9:$C$39,0),4),INDEX(Monthly_Pay_Model!$A$9:$D$40,MATCH(TEXT(A425,"dd"),Monthly_Pay_Model!$C$9:$C$39,0),4),INDEX(Monthly_Pay_Model!$A$9:$D$40,MATCH(TEXT(A426,"dd"),Monthly_Pay_Model!$C$9:$C$39,0),4)),))))))</f>
        <v>0</v>
      </c>
      <c r="J422" s="33">
        <f>IF(C422="Yes",Monthly_Pay_Model!$D$2,0)
+IF(Calendar!N422="Yes",Monthly_Pay_Model!$D$3,0)
+IF(D422="Yes",Monthly_Pay_Model!$D$4,0)
+IF(E422="Yes",Monthly_Pay_Model!$D$5,0)</f>
        <v>0</v>
      </c>
      <c r="K422" s="27">
        <f>IF(VLOOKUP($A422,Calendar!$A$1:$R$1377,18,0)=0,0,IF(VLOOKUP($A422,Calendar!$A$1:$R$1377,18,0)=1,IFERROR(INDEX(Weekly_Model!$D$2:$D$9,MATCH(F422,Weekly_Model!$A$2:$A$9,0)),0),IF(VLOOKUP($A422,Calendar!$A$1:$R$1377,18,0)=2,SUM(IFERROR(INDEX(Weekly_Model!$D$2:$D$9,MATCH(F422,Weekly_Model!$A$2:$A$9,0)),0),IFERROR(INDEX(Weekly_Model!$D$2:$D$9,MATCH(F423,Weekly_Model!$A$2:$A$9,0)),0)),IF(VLOOKUP($A422,Calendar!$A$1:$R$1377,18,0)=3,SUM(IFERROR(INDEX(Weekly_Model!$D$2:$D$9,MATCH(F422,Weekly_Model!$A$2:$A$9,0)),0),IFERROR(INDEX(Weekly_Model!$D$2:$D$9,MATCH(F423,Weekly_Model!$A$2:$A$9,0)),0),IFERROR(INDEX(Weekly_Model!$D$2:$D$9,MATCH(F424,Weekly_Model!$A$2:$A$9,0)),0)),IF(VLOOKUP($A422,Calendar!$A$1:$R$1377,18,0)=4,SUM(IFERROR(INDEX(Weekly_Model!$D$2:$D$9,MATCH(F422,Weekly_Model!$A$2:$A$9,0)),0),IFERROR(INDEX(Weekly_Model!$D$2:$D$9,MATCH(F423,Weekly_Model!$A$2:$A$9,0)),0),IFERROR(INDEX(Weekly_Model!$D$2:$D$9,MATCH(F424,Weekly_Model!$A$2:$A$9,0)),0),IFERROR(INDEX(Weekly_Model!$D$2:$D$9,MATCH(F425,Weekly_Model!$A$2:$A$9,0)),0)),IF(VLOOKUP($A422,Calendar!$A$1:$R$1377,18,0)=5,SUM(IFERROR(INDEX(Weekly_Model!$D$2:$D$9,MATCH(F422,Weekly_Model!$A$2:$A$9,0)),0),IFERROR(INDEX(Weekly_Model!$D$2:$D$9,MATCH(F423,Weekly_Model!$A$2:$A$9,0)),0),IFERROR(INDEX(Weekly_Model!$D$2:$D$9,MATCH(F424,Weekly_Model!$A$2:$A$9,0)),0),IFERROR(INDEX(Weekly_Model!$D$2:$D$9,MATCH(F425,Weekly_Model!$A$2:$A$9,0)),0),IFERROR(INDEX(Weekly_Model!$D$2:$D$9,MATCH(F426,Weekly_Model!$A$2:$A$9,0)),0)),0))))))</f>
        <v>0</v>
      </c>
      <c r="L422" s="27">
        <f>IF(VLOOKUP($A422,Calendar!$A$1:$R$1377,18,0)=0,0,IF(VLOOKUP($A422,Calendar!$A$1:$R$1377,18,0)=1,IFERROR(INDEX(Fortnightly_Model!$D$2:$D$15,MATCH(G422,Fortnightly_Model!$B$2:$B$15,0)),0),IF(VLOOKUP($A422,Calendar!$A$1:$R$1377,18,0)=2,SUM(IFERROR(INDEX(Fortnightly_Model!$D$2:$D$15,MATCH(G422,Fortnightly_Model!$B$2:$B$15,0)),0),IFERROR(INDEX(Fortnightly_Model!$D$2:$D$15,MATCH(G423,Fortnightly_Model!$B$2:$B$15,0)),0)),IF(VLOOKUP($A422,Calendar!$A$1:$R$1377,18,0)=3,SUM(IFERROR(INDEX(Fortnightly_Model!$D$2:$D$15,MATCH(G422,Fortnightly_Model!$B$2:$B$15,0)),0),IFERROR(INDEX(Fortnightly_Model!$D$2:$D$15,MATCH(G423,Fortnightly_Model!$B$2:$B$15,0)),0),IFERROR(INDEX(Fortnightly_Model!$D$2:$D$15,MATCH(G424,Fortnightly_Model!$B$2:$B$15,0)),0)),IF(VLOOKUP($A422,Calendar!$A$1:$R$1377,18,0)=4,SUM(IFERROR(INDEX(Fortnightly_Model!$D$2:$D$15,MATCH(G422,Fortnightly_Model!$B$2:$B$15,0)),0),IFERROR(INDEX(Fortnightly_Model!$D$2:$D$15,MATCH(G423,Fortnightly_Model!$B$2:$B$15,0)),0),IFERROR(INDEX(Fortnightly_Model!$D$2:$D$15,MATCH(G424,Fortnightly_Model!$B$2:$B$15,0)),0),IFERROR(INDEX(Fortnightly_Model!$D$2:$D$15,MATCH(G425,Fortnightly_Model!$B$2:$B$15,0)),0)),IF(VLOOKUP($A422,Calendar!$A$1:$R$1377,18,0)=5,SUM(IFERROR(INDEX(Fortnightly_Model!$D$2:$D$15,MATCH(G422,Fortnightly_Model!$B$2:$B$15,0)),0),IFERROR(INDEX(Fortnightly_Model!$D$2:$D$15,MATCH(G423,Fortnightly_Model!$B$2:$B$15,0)),0),IFERROR(INDEX(Fortnightly_Model!$D$2:$D$15,MATCH(G424,Fortnightly_Model!$B$2:$B$15,0)),0),IFERROR(INDEX(Fortnightly_Model!$D$2:$D$15,MATCH(G425,Fortnightly_Model!$B$2:$B$15,0)),0),IFERROR(INDEX(Fortnightly_Model!$D$2:$D$15,MATCH(G426,Fortnightly_Model!$B$2:$B$15,0)),0)),0))))))</f>
        <v>0</v>
      </c>
      <c r="M422" s="27">
        <f>IF(VLOOKUP($A422,Calendar!$A$1:$R$1377,18,0)=0,0,IF(VLOOKUP($A422,Calendar!$A$1:$R$1377,18,0)=1,IFERROR(INDEX(FourWeekly_Model!$D$2:$D$29,MATCH(H422,FourWeekly_Model!$B$2:$B$29,0)),0),IF(VLOOKUP($A422,Calendar!$A$1:$R$1377,18,0)=2,SUM(IFERROR(INDEX(FourWeekly_Model!$D$2:$D$29,MATCH(H422,FourWeekly_Model!$B$2:$B$29,0)),0),IFERROR(INDEX(FourWeekly_Model!$D$2:$D$29,MATCH(H423,FourWeekly_Model!$B$2:$B$29,0)),0)),IF(VLOOKUP($A422,Calendar!$A$1:$R$1377,18,0)=3,SUM(IFERROR(INDEX(FourWeekly_Model!$D$2:$D$29,MATCH(H422,FourWeekly_Model!$B$2:$B$29,0)),0),IFERROR(INDEX(FourWeekly_Model!$D$2:$D$29,MATCH(H423,FourWeekly_Model!$B$2:$B$29,0)),0),IFERROR(INDEX(FourWeekly_Model!$D$2:$D$29,MATCH(H424,FourWeekly_Model!$B$2:$B$29,0)),0)),IF(VLOOKUP($A422,Calendar!$A$1:$R$1377,18,0)=4,SUM(IFERROR(INDEX(FourWeekly_Model!$D$2:$D$29,MATCH(H422,FourWeekly_Model!$B$2:$B$29,0)),0),IFERROR(INDEX(FourWeekly_Model!$D$2:$D$29,MATCH(H423,FourWeekly_Model!$B$2:$B$29,0)),0),IFERROR(INDEX(FourWeekly_Model!$D$2:$D$29,MATCH(H424,FourWeekly_Model!$B$2:$B$29,0)),0),IFERROR(INDEX(FourWeekly_Model!$D$2:$D$29,MATCH(H425,FourWeekly_Model!$B$2:$B$29,0)),0)),IF(VLOOKUP($A422,Calendar!$A$1:$R$1377,18,0)=5,SUM(IFERROR(INDEX(FourWeekly_Model!$D$2:$D$29,MATCH(H422,FourWeekly_Model!$B$2:$B$29,0)),0),IFERROR(INDEX(FourWeekly_Model!$D$2:$D$29,MATCH(H423,FourWeekly_Model!$B$2:$B$29,0)),0),IFERROR(INDEX(FourWeekly_Model!$D$2:$D$29,MATCH(H424,FourWeekly_Model!$B$2:$B$29,0)),0),IFERROR(INDEX(FourWeekly_Model!$D$2:$D$29,MATCH(H425,FourWeekly_Model!$B$2:$B$29,0)),0),IFERROR(INDEX(FourWeekly_Model!$D$2:$D$29,MATCH(H426,FourWeekly_Model!$B$2:$B$29,0)),0)),0))))))</f>
        <v>0</v>
      </c>
      <c r="N422" s="27">
        <f>SUM(I422:M422)</f>
        <v>0</v>
      </c>
      <c r="O422" s="28">
        <f>Population_Data!$B$8*N422</f>
        <v>0</v>
      </c>
      <c r="P422" s="27">
        <f>IF(VLOOKUP($A422,Calendar!$A$1:$R$1377,18,0)=0,0,IF(VLOOKUP($A422,Calendar!$A$1:$R$1377,18,0)=1,IFERROR(INDEX(Pension_Model!$D$2:$D$29,MATCH(H422,Pension_Model!$B$2:$B$29,0)),0),IF(VLOOKUP($A422,Calendar!$A$1:$R$1377,18,0)=2,SUM(IFERROR(INDEX(Pension_Model!$D$2:$D$29,MATCH(H422,Pension_Model!$B$2:$B$29,0)),0),IFERROR(INDEX(Pension_Model!$D$2:$D$29,MATCH(H423,Pension_Model!$B$2:$B$29,0)),0)),IF(VLOOKUP($A422,Calendar!$A$1:$R$1377,18,0)=3,SUM(IFERROR(INDEX(Pension_Model!$D$2:$D$29,MATCH(H422,Pension_Model!$B$2:$B$29,0)),0),IFERROR(INDEX(Pension_Model!$D$2:$D$29,MATCH(H423,Pension_Model!$B$2:$B$29,0)),0),IFERROR(INDEX(Pension_Model!$D$2:$D$29,MATCH(H424,Pension_Model!$B$2:$B$29,0)),0)),IF(VLOOKUP($A422,Calendar!$A$1:$R$1377,18,0)=4,SUM(IFERROR(INDEX(Pension_Model!$D$2:$D$29,MATCH(H422,Pension_Model!$B$2:$B$29,0)),0),IFERROR(INDEX(Pension_Model!$D$2:$D$29,MATCH(H423,Pension_Model!$B$2:$B$29,0)),0),IFERROR(INDEX(Pension_Model!$D$2:$D$29,MATCH(H424,Pension_Model!$B$2:$B$29,0)),0),IFERROR(INDEX(Pension_Model!$D$2:$D$29,MATCH(H425,Pension_Model!$B$2:$B$29,0)),0)),IF(VLOOKUP($A422,Calendar!$A$1:$R$1377,18,0)=5,SUM(IFERROR(INDEX(Pension_Model!$D$2:$D$29,MATCH(H422,Pension_Model!$B$2:$B$29,0)),0),IFERROR(INDEX(Pension_Model!$D$2:$D$29,MATCH(H423,Pension_Model!$B$2:$B$29,0)),0),IFERROR(INDEX(Pension_Model!$D$2:$D$29,MATCH(H424,Pension_Model!$B$2:$B$29,0)),0),IFERROR(INDEX(Pension_Model!$D$2:$D$29,MATCH(H425,Pension_Model!$B$2:$B$29,0)),0),IFERROR(INDEX(Pension_Model!$D$2:$D$29,MATCH(H426,Pension_Model!$B$2:$B$29,0)),0)),0))))))</f>
        <v>0</v>
      </c>
      <c r="Q422" s="28">
        <f>Population_Data!$B$15*P422</f>
        <v>0</v>
      </c>
      <c r="S422">
        <f t="shared" si="6"/>
        <v>0</v>
      </c>
      <c r="U422" s="33">
        <f>S422/Population_Data!$B$19</f>
        <v>0</v>
      </c>
    </row>
    <row r="423" spans="1:21">
      <c r="A423" s="25">
        <f>Calendar!A423</f>
        <v>46656</v>
      </c>
      <c r="B423" t="str">
        <f>Calendar!L423</f>
        <v>No</v>
      </c>
      <c r="C423" t="str">
        <f>Calendar!O423</f>
        <v>No</v>
      </c>
      <c r="D423" t="str">
        <f>Calendar!P423</f>
        <v>No</v>
      </c>
      <c r="E423" t="str">
        <f>Calendar!Q423</f>
        <v>No</v>
      </c>
      <c r="F423" t="str">
        <f>Calendar!I423</f>
        <v>Sunday</v>
      </c>
      <c r="G423">
        <f>Calendar!S423</f>
        <v>8</v>
      </c>
      <c r="H423">
        <f>Calendar!T423</f>
        <v>8</v>
      </c>
      <c r="I423" s="27">
        <f>IF(VLOOKUP(A423,Calendar!$A$1:$R$1377,18,0)=0,0,IF(VLOOKUP(A423,Calendar!$A$1:$R$1377,18,0)=1,INDEX(Monthly_Pay_Model!$A$9:$D$40,MATCH(TEXT(A423,"dd"),Monthly_Pay_Model!$C$9:$C$39,0),4),IF(VLOOKUP(A423,Calendar!$A$1:$R$1377,18,0)=2,SUM(INDEX(Monthly_Pay_Model!$A$9:$D$40,MATCH(TEXT(A423,"dd"),Monthly_Pay_Model!$C$9:$C$39,0),4),INDEX(Monthly_Pay_Model!$A$9:$D$40,MATCH(TEXT(A424,"dd"),Monthly_Pay_Model!$C$9:$C$39,0),4)),IF(VLOOKUP(A423,Calendar!$A$1:$R$1377,18,0)=3,SUM(INDEX(Monthly_Pay_Model!$A$9:$D$40,MATCH(TEXT(A423,"dd"),Monthly_Pay_Model!$C$9:$C$39,0),4),INDEX(Monthly_Pay_Model!$A$9:$D$40,MATCH(TEXT(A424,"dd"),Monthly_Pay_Model!$C$9:$C$39,0),4),INDEX(Monthly_Pay_Model!$A$9:$D$40,MATCH(TEXT(A425,"dd"),Monthly_Pay_Model!$C$9:$C$39,0),4)),IF(VLOOKUP(A423,Calendar!$A$1:$R$1377,18,0)=4,SUM(INDEX(Monthly_Pay_Model!$A$9:$D$40,MATCH(TEXT(A423,"dd"),Monthly_Pay_Model!$C$9:$C$39,0),4),INDEX(Monthly_Pay_Model!$A$9:$D$40,MATCH(TEXT(A424,"dd"),Monthly_Pay_Model!$C$9:$C$39,0),4),INDEX(Monthly_Pay_Model!$A$9:$D$40,MATCH(TEXT(A425,"dd"),Monthly_Pay_Model!$C$9:$C$39,0),4),INDEX(Monthly_Pay_Model!$A$9:$D$40,MATCH(TEXT(A426,"dd"),Monthly_Pay_Model!$C$9:$C$39,0),4)),IF(VLOOKUP(A423,Calendar!$A$1:$R$1377,18,0)=5,SUM(INDEX(Monthly_Pay_Model!$A$9:$D$40,MATCH(TEXT(A423,"dd"),Monthly_Pay_Model!$C$9:$C$39,0),4),INDEX(Monthly_Pay_Model!$A$9:$D$40,MATCH(TEXT(A424,"dd"),Monthly_Pay_Model!$C$9:$C$39,0),4),INDEX(Monthly_Pay_Model!$A$9:$D$40,MATCH(TEXT(A425,"dd"),Monthly_Pay_Model!$C$9:$C$39,0),4),INDEX(Monthly_Pay_Model!$A$9:$D$40,MATCH(TEXT(A426,"dd"),Monthly_Pay_Model!$C$9:$C$39,0),4),INDEX(Monthly_Pay_Model!$A$9:$D$40,MATCH(TEXT(A427,"dd"),Monthly_Pay_Model!$C$9:$C$39,0),4)),))))))</f>
        <v>0</v>
      </c>
      <c r="J423" s="33">
        <f>IF(C423="Yes",Monthly_Pay_Model!$D$2,0)
+IF(Calendar!N423="Yes",Monthly_Pay_Model!$D$3,0)
+IF(D423="Yes",Monthly_Pay_Model!$D$4,0)
+IF(E423="Yes",Monthly_Pay_Model!$D$5,0)</f>
        <v>0</v>
      </c>
      <c r="K423" s="27">
        <f>IF(VLOOKUP($A423,Calendar!$A$1:$R$1377,18,0)=0,0,IF(VLOOKUP($A423,Calendar!$A$1:$R$1377,18,0)=1,IFERROR(INDEX(Weekly_Model!$D$2:$D$9,MATCH(F423,Weekly_Model!$A$2:$A$9,0)),0),IF(VLOOKUP($A423,Calendar!$A$1:$R$1377,18,0)=2,SUM(IFERROR(INDEX(Weekly_Model!$D$2:$D$9,MATCH(F423,Weekly_Model!$A$2:$A$9,0)),0),IFERROR(INDEX(Weekly_Model!$D$2:$D$9,MATCH(F424,Weekly_Model!$A$2:$A$9,0)),0)),IF(VLOOKUP($A423,Calendar!$A$1:$R$1377,18,0)=3,SUM(IFERROR(INDEX(Weekly_Model!$D$2:$D$9,MATCH(F423,Weekly_Model!$A$2:$A$9,0)),0),IFERROR(INDEX(Weekly_Model!$D$2:$D$9,MATCH(F424,Weekly_Model!$A$2:$A$9,0)),0),IFERROR(INDEX(Weekly_Model!$D$2:$D$9,MATCH(F425,Weekly_Model!$A$2:$A$9,0)),0)),IF(VLOOKUP($A423,Calendar!$A$1:$R$1377,18,0)=4,SUM(IFERROR(INDEX(Weekly_Model!$D$2:$D$9,MATCH(F423,Weekly_Model!$A$2:$A$9,0)),0),IFERROR(INDEX(Weekly_Model!$D$2:$D$9,MATCH(F424,Weekly_Model!$A$2:$A$9,0)),0),IFERROR(INDEX(Weekly_Model!$D$2:$D$9,MATCH(F425,Weekly_Model!$A$2:$A$9,0)),0),IFERROR(INDEX(Weekly_Model!$D$2:$D$9,MATCH(F426,Weekly_Model!$A$2:$A$9,0)),0)),IF(VLOOKUP($A423,Calendar!$A$1:$R$1377,18,0)=5,SUM(IFERROR(INDEX(Weekly_Model!$D$2:$D$9,MATCH(F423,Weekly_Model!$A$2:$A$9,0)),0),IFERROR(INDEX(Weekly_Model!$D$2:$D$9,MATCH(F424,Weekly_Model!$A$2:$A$9,0)),0),IFERROR(INDEX(Weekly_Model!$D$2:$D$9,MATCH(F425,Weekly_Model!$A$2:$A$9,0)),0),IFERROR(INDEX(Weekly_Model!$D$2:$D$9,MATCH(F426,Weekly_Model!$A$2:$A$9,0)),0),IFERROR(INDEX(Weekly_Model!$D$2:$D$9,MATCH(F427,Weekly_Model!$A$2:$A$9,0)),0)),0))))))</f>
        <v>0</v>
      </c>
      <c r="L423" s="27">
        <f>IF(VLOOKUP($A423,Calendar!$A$1:$R$1377,18,0)=0,0,IF(VLOOKUP($A423,Calendar!$A$1:$R$1377,18,0)=1,IFERROR(INDEX(Fortnightly_Model!$D$2:$D$15,MATCH(G423,Fortnightly_Model!$B$2:$B$15,0)),0),IF(VLOOKUP($A423,Calendar!$A$1:$R$1377,18,0)=2,SUM(IFERROR(INDEX(Fortnightly_Model!$D$2:$D$15,MATCH(G423,Fortnightly_Model!$B$2:$B$15,0)),0),IFERROR(INDEX(Fortnightly_Model!$D$2:$D$15,MATCH(G424,Fortnightly_Model!$B$2:$B$15,0)),0)),IF(VLOOKUP($A423,Calendar!$A$1:$R$1377,18,0)=3,SUM(IFERROR(INDEX(Fortnightly_Model!$D$2:$D$15,MATCH(G423,Fortnightly_Model!$B$2:$B$15,0)),0),IFERROR(INDEX(Fortnightly_Model!$D$2:$D$15,MATCH(G424,Fortnightly_Model!$B$2:$B$15,0)),0),IFERROR(INDEX(Fortnightly_Model!$D$2:$D$15,MATCH(G425,Fortnightly_Model!$B$2:$B$15,0)),0)),IF(VLOOKUP($A423,Calendar!$A$1:$R$1377,18,0)=4,SUM(IFERROR(INDEX(Fortnightly_Model!$D$2:$D$15,MATCH(G423,Fortnightly_Model!$B$2:$B$15,0)),0),IFERROR(INDEX(Fortnightly_Model!$D$2:$D$15,MATCH(G424,Fortnightly_Model!$B$2:$B$15,0)),0),IFERROR(INDEX(Fortnightly_Model!$D$2:$D$15,MATCH(G425,Fortnightly_Model!$B$2:$B$15,0)),0),IFERROR(INDEX(Fortnightly_Model!$D$2:$D$15,MATCH(G426,Fortnightly_Model!$B$2:$B$15,0)),0)),IF(VLOOKUP($A423,Calendar!$A$1:$R$1377,18,0)=5,SUM(IFERROR(INDEX(Fortnightly_Model!$D$2:$D$15,MATCH(G423,Fortnightly_Model!$B$2:$B$15,0)),0),IFERROR(INDEX(Fortnightly_Model!$D$2:$D$15,MATCH(G424,Fortnightly_Model!$B$2:$B$15,0)),0),IFERROR(INDEX(Fortnightly_Model!$D$2:$D$15,MATCH(G425,Fortnightly_Model!$B$2:$B$15,0)),0),IFERROR(INDEX(Fortnightly_Model!$D$2:$D$15,MATCH(G426,Fortnightly_Model!$B$2:$B$15,0)),0),IFERROR(INDEX(Fortnightly_Model!$D$2:$D$15,MATCH(G427,Fortnightly_Model!$B$2:$B$15,0)),0)),0))))))</f>
        <v>0</v>
      </c>
      <c r="M423" s="27">
        <f>IF(VLOOKUP($A423,Calendar!$A$1:$R$1377,18,0)=0,0,IF(VLOOKUP($A423,Calendar!$A$1:$R$1377,18,0)=1,IFERROR(INDEX(FourWeekly_Model!$D$2:$D$29,MATCH(H423,FourWeekly_Model!$B$2:$B$29,0)),0),IF(VLOOKUP($A423,Calendar!$A$1:$R$1377,18,0)=2,SUM(IFERROR(INDEX(FourWeekly_Model!$D$2:$D$29,MATCH(H423,FourWeekly_Model!$B$2:$B$29,0)),0),IFERROR(INDEX(FourWeekly_Model!$D$2:$D$29,MATCH(H424,FourWeekly_Model!$B$2:$B$29,0)),0)),IF(VLOOKUP($A423,Calendar!$A$1:$R$1377,18,0)=3,SUM(IFERROR(INDEX(FourWeekly_Model!$D$2:$D$29,MATCH(H423,FourWeekly_Model!$B$2:$B$29,0)),0),IFERROR(INDEX(FourWeekly_Model!$D$2:$D$29,MATCH(H424,FourWeekly_Model!$B$2:$B$29,0)),0),IFERROR(INDEX(FourWeekly_Model!$D$2:$D$29,MATCH(H425,FourWeekly_Model!$B$2:$B$29,0)),0)),IF(VLOOKUP($A423,Calendar!$A$1:$R$1377,18,0)=4,SUM(IFERROR(INDEX(FourWeekly_Model!$D$2:$D$29,MATCH(H423,FourWeekly_Model!$B$2:$B$29,0)),0),IFERROR(INDEX(FourWeekly_Model!$D$2:$D$29,MATCH(H424,FourWeekly_Model!$B$2:$B$29,0)),0),IFERROR(INDEX(FourWeekly_Model!$D$2:$D$29,MATCH(H425,FourWeekly_Model!$B$2:$B$29,0)),0),IFERROR(INDEX(FourWeekly_Model!$D$2:$D$29,MATCH(H426,FourWeekly_Model!$B$2:$B$29,0)),0)),IF(VLOOKUP($A423,Calendar!$A$1:$R$1377,18,0)=5,SUM(IFERROR(INDEX(FourWeekly_Model!$D$2:$D$29,MATCH(H423,FourWeekly_Model!$B$2:$B$29,0)),0),IFERROR(INDEX(FourWeekly_Model!$D$2:$D$29,MATCH(H424,FourWeekly_Model!$B$2:$B$29,0)),0),IFERROR(INDEX(FourWeekly_Model!$D$2:$D$29,MATCH(H425,FourWeekly_Model!$B$2:$B$29,0)),0),IFERROR(INDEX(FourWeekly_Model!$D$2:$D$29,MATCH(H426,FourWeekly_Model!$B$2:$B$29,0)),0),IFERROR(INDEX(FourWeekly_Model!$D$2:$D$29,MATCH(H427,FourWeekly_Model!$B$2:$B$29,0)),0)),0))))))</f>
        <v>0</v>
      </c>
      <c r="N423" s="27">
        <f>SUM(I423:M423)</f>
        <v>0</v>
      </c>
      <c r="O423" s="28">
        <f>Population_Data!$B$8*N423</f>
        <v>0</v>
      </c>
      <c r="P423" s="27">
        <f>IF(VLOOKUP($A423,Calendar!$A$1:$R$1377,18,0)=0,0,IF(VLOOKUP($A423,Calendar!$A$1:$R$1377,18,0)=1,IFERROR(INDEX(Pension_Model!$D$2:$D$29,MATCH(H423,Pension_Model!$B$2:$B$29,0)),0),IF(VLOOKUP($A423,Calendar!$A$1:$R$1377,18,0)=2,SUM(IFERROR(INDEX(Pension_Model!$D$2:$D$29,MATCH(H423,Pension_Model!$B$2:$B$29,0)),0),IFERROR(INDEX(Pension_Model!$D$2:$D$29,MATCH(H424,Pension_Model!$B$2:$B$29,0)),0)),IF(VLOOKUP($A423,Calendar!$A$1:$R$1377,18,0)=3,SUM(IFERROR(INDEX(Pension_Model!$D$2:$D$29,MATCH(H423,Pension_Model!$B$2:$B$29,0)),0),IFERROR(INDEX(Pension_Model!$D$2:$D$29,MATCH(H424,Pension_Model!$B$2:$B$29,0)),0),IFERROR(INDEX(Pension_Model!$D$2:$D$29,MATCH(H425,Pension_Model!$B$2:$B$29,0)),0)),IF(VLOOKUP($A423,Calendar!$A$1:$R$1377,18,0)=4,SUM(IFERROR(INDEX(Pension_Model!$D$2:$D$29,MATCH(H423,Pension_Model!$B$2:$B$29,0)),0),IFERROR(INDEX(Pension_Model!$D$2:$D$29,MATCH(H424,Pension_Model!$B$2:$B$29,0)),0),IFERROR(INDEX(Pension_Model!$D$2:$D$29,MATCH(H425,Pension_Model!$B$2:$B$29,0)),0),IFERROR(INDEX(Pension_Model!$D$2:$D$29,MATCH(H426,Pension_Model!$B$2:$B$29,0)),0)),IF(VLOOKUP($A423,Calendar!$A$1:$R$1377,18,0)=5,SUM(IFERROR(INDEX(Pension_Model!$D$2:$D$29,MATCH(H423,Pension_Model!$B$2:$B$29,0)),0),IFERROR(INDEX(Pension_Model!$D$2:$D$29,MATCH(H424,Pension_Model!$B$2:$B$29,0)),0),IFERROR(INDEX(Pension_Model!$D$2:$D$29,MATCH(H425,Pension_Model!$B$2:$B$29,0)),0),IFERROR(INDEX(Pension_Model!$D$2:$D$29,MATCH(H426,Pension_Model!$B$2:$B$29,0)),0),IFERROR(INDEX(Pension_Model!$D$2:$D$29,MATCH(H427,Pension_Model!$B$2:$B$29,0)),0)),0))))))</f>
        <v>0</v>
      </c>
      <c r="Q423" s="28">
        <f>Population_Data!$B$15*P423</f>
        <v>0</v>
      </c>
      <c r="S423">
        <f t="shared" si="6"/>
        <v>0</v>
      </c>
      <c r="U423" s="33">
        <f>S423/Population_Data!$B$19</f>
        <v>0</v>
      </c>
    </row>
    <row r="424" spans="1:21">
      <c r="A424" s="25">
        <f>Calendar!A424</f>
        <v>46657</v>
      </c>
      <c r="B424" t="str">
        <f>Calendar!L424</f>
        <v>Yes</v>
      </c>
      <c r="C424" t="str">
        <f>Calendar!O424</f>
        <v>No</v>
      </c>
      <c r="D424" t="str">
        <f>Calendar!P424</f>
        <v>No</v>
      </c>
      <c r="E424" t="str">
        <f>Calendar!Q424</f>
        <v>No</v>
      </c>
      <c r="F424" t="str">
        <f>Calendar!I424</f>
        <v>Monday</v>
      </c>
      <c r="G424">
        <f>Calendar!S424</f>
        <v>9</v>
      </c>
      <c r="H424">
        <f>Calendar!T424</f>
        <v>9</v>
      </c>
      <c r="I424" s="27">
        <f>IF(VLOOKUP(A424,Calendar!$A$1:$R$1377,18,0)=0,0,IF(VLOOKUP(A424,Calendar!$A$1:$R$1377,18,0)=1,INDEX(Monthly_Pay_Model!$A$9:$D$40,MATCH(TEXT(A424,"dd"),Monthly_Pay_Model!$C$9:$C$39,0),4),IF(VLOOKUP(A424,Calendar!$A$1:$R$1377,18,0)=2,SUM(INDEX(Monthly_Pay_Model!$A$9:$D$40,MATCH(TEXT(A424,"dd"),Monthly_Pay_Model!$C$9:$C$39,0),4),INDEX(Monthly_Pay_Model!$A$9:$D$40,MATCH(TEXT(A425,"dd"),Monthly_Pay_Model!$C$9:$C$39,0),4)),IF(VLOOKUP(A424,Calendar!$A$1:$R$1377,18,0)=3,SUM(INDEX(Monthly_Pay_Model!$A$9:$D$40,MATCH(TEXT(A424,"dd"),Monthly_Pay_Model!$C$9:$C$39,0),4),INDEX(Monthly_Pay_Model!$A$9:$D$40,MATCH(TEXT(A425,"dd"),Monthly_Pay_Model!$C$9:$C$39,0),4),INDEX(Monthly_Pay_Model!$A$9:$D$40,MATCH(TEXT(A426,"dd"),Monthly_Pay_Model!$C$9:$C$39,0),4)),IF(VLOOKUP(A424,Calendar!$A$1:$R$1377,18,0)=4,SUM(INDEX(Monthly_Pay_Model!$A$9:$D$40,MATCH(TEXT(A424,"dd"),Monthly_Pay_Model!$C$9:$C$39,0),4),INDEX(Monthly_Pay_Model!$A$9:$D$40,MATCH(TEXT(A425,"dd"),Monthly_Pay_Model!$C$9:$C$39,0),4),INDEX(Monthly_Pay_Model!$A$9:$D$40,MATCH(TEXT(A426,"dd"),Monthly_Pay_Model!$C$9:$C$39,0),4),INDEX(Monthly_Pay_Model!$A$9:$D$40,MATCH(TEXT(A427,"dd"),Monthly_Pay_Model!$C$9:$C$39,0),4)),IF(VLOOKUP(A424,Calendar!$A$1:$R$1377,18,0)=5,SUM(INDEX(Monthly_Pay_Model!$A$9:$D$40,MATCH(TEXT(A424,"dd"),Monthly_Pay_Model!$C$9:$C$39,0),4),INDEX(Monthly_Pay_Model!$A$9:$D$40,MATCH(TEXT(A425,"dd"),Monthly_Pay_Model!$C$9:$C$39,0),4),INDEX(Monthly_Pay_Model!$A$9:$D$40,MATCH(TEXT(A426,"dd"),Monthly_Pay_Model!$C$9:$C$39,0),4),INDEX(Monthly_Pay_Model!$A$9:$D$40,MATCH(TEXT(A427,"dd"),Monthly_Pay_Model!$C$9:$C$39,0),4),INDEX(Monthly_Pay_Model!$A$9:$D$40,MATCH(TEXT(A428,"dd"),Monthly_Pay_Model!$C$9:$C$39,0),4)),))))))</f>
        <v>9.7507853403141324E-3</v>
      </c>
      <c r="J424" s="33">
        <f>IF(C424="Yes",Monthly_Pay_Model!$D$2,0)
+IF(Calendar!N424="Yes",Monthly_Pay_Model!$D$3,0)
+IF(D424="Yes",Monthly_Pay_Model!$D$4,0)
+IF(E424="Yes",Monthly_Pay_Model!$D$5,0)</f>
        <v>0</v>
      </c>
      <c r="K424" s="27">
        <f>IF(VLOOKUP($A424,Calendar!$A$1:$R$1377,18,0)=0,0,IF(VLOOKUP($A424,Calendar!$A$1:$R$1377,18,0)=1,IFERROR(INDEX(Weekly_Model!$D$2:$D$9,MATCH(F424,Weekly_Model!$A$2:$A$9,0)),0),IF(VLOOKUP($A424,Calendar!$A$1:$R$1377,18,0)=2,SUM(IFERROR(INDEX(Weekly_Model!$D$2:$D$9,MATCH(F424,Weekly_Model!$A$2:$A$9,0)),0),IFERROR(INDEX(Weekly_Model!$D$2:$D$9,MATCH(F425,Weekly_Model!$A$2:$A$9,0)),0)),IF(VLOOKUP($A424,Calendar!$A$1:$R$1377,18,0)=3,SUM(IFERROR(INDEX(Weekly_Model!$D$2:$D$9,MATCH(F424,Weekly_Model!$A$2:$A$9,0)),0),IFERROR(INDEX(Weekly_Model!$D$2:$D$9,MATCH(F425,Weekly_Model!$A$2:$A$9,0)),0),IFERROR(INDEX(Weekly_Model!$D$2:$D$9,MATCH(F426,Weekly_Model!$A$2:$A$9,0)),0)),IF(VLOOKUP($A424,Calendar!$A$1:$R$1377,18,0)=4,SUM(IFERROR(INDEX(Weekly_Model!$D$2:$D$9,MATCH(F424,Weekly_Model!$A$2:$A$9,0)),0),IFERROR(INDEX(Weekly_Model!$D$2:$D$9,MATCH(F425,Weekly_Model!$A$2:$A$9,0)),0),IFERROR(INDEX(Weekly_Model!$D$2:$D$9,MATCH(F426,Weekly_Model!$A$2:$A$9,0)),0),IFERROR(INDEX(Weekly_Model!$D$2:$D$9,MATCH(F427,Weekly_Model!$A$2:$A$9,0)),0)),IF(VLOOKUP($A424,Calendar!$A$1:$R$1377,18,0)=5,SUM(IFERROR(INDEX(Weekly_Model!$D$2:$D$9,MATCH(F424,Weekly_Model!$A$2:$A$9,0)),0),IFERROR(INDEX(Weekly_Model!$D$2:$D$9,MATCH(F425,Weekly_Model!$A$2:$A$9,0)),0),IFERROR(INDEX(Weekly_Model!$D$2:$D$9,MATCH(F426,Weekly_Model!$A$2:$A$9,0)),0),IFERROR(INDEX(Weekly_Model!$D$2:$D$9,MATCH(F427,Weekly_Model!$A$2:$A$9,0)),0),IFERROR(INDEX(Weekly_Model!$D$2:$D$9,MATCH(F428,Weekly_Model!$A$2:$A$9,0)),0)),0))))))</f>
        <v>2.3200000000000002E-2</v>
      </c>
      <c r="L424" s="27">
        <f>IF(VLOOKUP($A424,Calendar!$A$1:$R$1377,18,0)=0,0,IF(VLOOKUP($A424,Calendar!$A$1:$R$1377,18,0)=1,IFERROR(INDEX(Fortnightly_Model!$D$2:$D$15,MATCH(G424,Fortnightly_Model!$B$2:$B$15,0)),0),IF(VLOOKUP($A424,Calendar!$A$1:$R$1377,18,0)=2,SUM(IFERROR(INDEX(Fortnightly_Model!$D$2:$D$15,MATCH(G424,Fortnightly_Model!$B$2:$B$15,0)),0),IFERROR(INDEX(Fortnightly_Model!$D$2:$D$15,MATCH(G425,Fortnightly_Model!$B$2:$B$15,0)),0)),IF(VLOOKUP($A424,Calendar!$A$1:$R$1377,18,0)=3,SUM(IFERROR(INDEX(Fortnightly_Model!$D$2:$D$15,MATCH(G424,Fortnightly_Model!$B$2:$B$15,0)),0),IFERROR(INDEX(Fortnightly_Model!$D$2:$D$15,MATCH(G425,Fortnightly_Model!$B$2:$B$15,0)),0),IFERROR(INDEX(Fortnightly_Model!$D$2:$D$15,MATCH(G426,Fortnightly_Model!$B$2:$B$15,0)),0)),IF(VLOOKUP($A424,Calendar!$A$1:$R$1377,18,0)=4,SUM(IFERROR(INDEX(Fortnightly_Model!$D$2:$D$15,MATCH(G424,Fortnightly_Model!$B$2:$B$15,0)),0),IFERROR(INDEX(Fortnightly_Model!$D$2:$D$15,MATCH(G425,Fortnightly_Model!$B$2:$B$15,0)),0),IFERROR(INDEX(Fortnightly_Model!$D$2:$D$15,MATCH(G426,Fortnightly_Model!$B$2:$B$15,0)),0),IFERROR(INDEX(Fortnightly_Model!$D$2:$D$15,MATCH(G427,Fortnightly_Model!$B$2:$B$15,0)),0)),IF(VLOOKUP($A424,Calendar!$A$1:$R$1377,18,0)=5,SUM(IFERROR(INDEX(Fortnightly_Model!$D$2:$D$15,MATCH(G424,Fortnightly_Model!$B$2:$B$15,0)),0),IFERROR(INDEX(Fortnightly_Model!$D$2:$D$15,MATCH(G425,Fortnightly_Model!$B$2:$B$15,0)),0),IFERROR(INDEX(Fortnightly_Model!$D$2:$D$15,MATCH(G426,Fortnightly_Model!$B$2:$B$15,0)),0),IFERROR(INDEX(Fortnightly_Model!$D$2:$D$15,MATCH(G427,Fortnightly_Model!$B$2:$B$15,0)),0),IFERROR(INDEX(Fortnightly_Model!$D$2:$D$15,MATCH(G428,Fortnightly_Model!$B$2:$B$15,0)),0)),0))))))</f>
        <v>1.0714285499999999E-3</v>
      </c>
      <c r="M424" s="27">
        <f>IF(VLOOKUP($A424,Calendar!$A$1:$R$1377,18,0)=0,0,IF(VLOOKUP($A424,Calendar!$A$1:$R$1377,18,0)=1,IFERROR(INDEX(FourWeekly_Model!$D$2:$D$29,MATCH(H424,FourWeekly_Model!$B$2:$B$29,0)),0),IF(VLOOKUP($A424,Calendar!$A$1:$R$1377,18,0)=2,SUM(IFERROR(INDEX(FourWeekly_Model!$D$2:$D$29,MATCH(H424,FourWeekly_Model!$B$2:$B$29,0)),0),IFERROR(INDEX(FourWeekly_Model!$D$2:$D$29,MATCH(H425,FourWeekly_Model!$B$2:$B$29,0)),0)),IF(VLOOKUP($A424,Calendar!$A$1:$R$1377,18,0)=3,SUM(IFERROR(INDEX(FourWeekly_Model!$D$2:$D$29,MATCH(H424,FourWeekly_Model!$B$2:$B$29,0)),0),IFERROR(INDEX(FourWeekly_Model!$D$2:$D$29,MATCH(H425,FourWeekly_Model!$B$2:$B$29,0)),0),IFERROR(INDEX(FourWeekly_Model!$D$2:$D$29,MATCH(H426,FourWeekly_Model!$B$2:$B$29,0)),0)),IF(VLOOKUP($A424,Calendar!$A$1:$R$1377,18,0)=4,SUM(IFERROR(INDEX(FourWeekly_Model!$D$2:$D$29,MATCH(H424,FourWeekly_Model!$B$2:$B$29,0)),0),IFERROR(INDEX(FourWeekly_Model!$D$2:$D$29,MATCH(H425,FourWeekly_Model!$B$2:$B$29,0)),0),IFERROR(INDEX(FourWeekly_Model!$D$2:$D$29,MATCH(H426,FourWeekly_Model!$B$2:$B$29,0)),0),IFERROR(INDEX(FourWeekly_Model!$D$2:$D$29,MATCH(H427,FourWeekly_Model!$B$2:$B$29,0)),0)),IF(VLOOKUP($A424,Calendar!$A$1:$R$1377,18,0)=5,SUM(IFERROR(INDEX(FourWeekly_Model!$D$2:$D$29,MATCH(H424,FourWeekly_Model!$B$2:$B$29,0)),0),IFERROR(INDEX(FourWeekly_Model!$D$2:$D$29,MATCH(H425,FourWeekly_Model!$B$2:$B$29,0)),0),IFERROR(INDEX(FourWeekly_Model!$D$2:$D$29,MATCH(H426,FourWeekly_Model!$B$2:$B$29,0)),0),IFERROR(INDEX(FourWeekly_Model!$D$2:$D$29,MATCH(H427,FourWeekly_Model!$B$2:$B$29,0)),0),IFERROR(INDEX(FourWeekly_Model!$D$2:$D$29,MATCH(H428,FourWeekly_Model!$B$2:$B$29,0)),0)),0))))))</f>
        <v>3.3214289700000004E-3</v>
      </c>
      <c r="N424" s="27">
        <f>SUM(I424:M424)</f>
        <v>3.7343642860314136E-2</v>
      </c>
      <c r="O424" s="28">
        <f>Population_Data!$B$8*N424</f>
        <v>1131512.3786675183</v>
      </c>
      <c r="P424" s="27">
        <f>IF(VLOOKUP($A424,Calendar!$A$1:$R$1377,18,0)=0,0,IF(VLOOKUP($A424,Calendar!$A$1:$R$1377,18,0)=1,IFERROR(INDEX(Pension_Model!$D$2:$D$29,MATCH(H424,Pension_Model!$B$2:$B$29,0)),0),IF(VLOOKUP($A424,Calendar!$A$1:$R$1377,18,0)=2,SUM(IFERROR(INDEX(Pension_Model!$D$2:$D$29,MATCH(H424,Pension_Model!$B$2:$B$29,0)),0),IFERROR(INDEX(Pension_Model!$D$2:$D$29,MATCH(H425,Pension_Model!$B$2:$B$29,0)),0)),IF(VLOOKUP($A424,Calendar!$A$1:$R$1377,18,0)=3,SUM(IFERROR(INDEX(Pension_Model!$D$2:$D$29,MATCH(H424,Pension_Model!$B$2:$B$29,0)),0),IFERROR(INDEX(Pension_Model!$D$2:$D$29,MATCH(H425,Pension_Model!$B$2:$B$29,0)),0),IFERROR(INDEX(Pension_Model!$D$2:$D$29,MATCH(H426,Pension_Model!$B$2:$B$29,0)),0)),IF(VLOOKUP($A424,Calendar!$A$1:$R$1377,18,0)=4,SUM(IFERROR(INDEX(Pension_Model!$D$2:$D$29,MATCH(H424,Pension_Model!$B$2:$B$29,0)),0),IFERROR(INDEX(Pension_Model!$D$2:$D$29,MATCH(H425,Pension_Model!$B$2:$B$29,0)),0),IFERROR(INDEX(Pension_Model!$D$2:$D$29,MATCH(H426,Pension_Model!$B$2:$B$29,0)),0),IFERROR(INDEX(Pension_Model!$D$2:$D$29,MATCH(H427,Pension_Model!$B$2:$B$29,0)),0)),IF(VLOOKUP($A424,Calendar!$A$1:$R$1377,18,0)=5,SUM(IFERROR(INDEX(Pension_Model!$D$2:$D$29,MATCH(H424,Pension_Model!$B$2:$B$29,0)),0),IFERROR(INDEX(Pension_Model!$D$2:$D$29,MATCH(H425,Pension_Model!$B$2:$B$29,0)),0),IFERROR(INDEX(Pension_Model!$D$2:$D$29,MATCH(H426,Pension_Model!$B$2:$B$29,0)),0),IFERROR(INDEX(Pension_Model!$D$2:$D$29,MATCH(H427,Pension_Model!$B$2:$B$29,0)),0),IFERROR(INDEX(Pension_Model!$D$2:$D$29,MATCH(H428,Pension_Model!$B$2:$B$29,0)),0)),0))))))</f>
        <v>0.05</v>
      </c>
      <c r="Q424" s="28">
        <f>Population_Data!$B$15*P424</f>
        <v>660600</v>
      </c>
      <c r="S424">
        <f t="shared" si="6"/>
        <v>1792112.3786675183</v>
      </c>
      <c r="U424" s="33">
        <f>S424/Population_Data!$B$19</f>
        <v>3.2465803961368084E-2</v>
      </c>
    </row>
    <row r="425" spans="1:21">
      <c r="A425" s="25">
        <f>Calendar!A425</f>
        <v>46658</v>
      </c>
      <c r="B425" t="str">
        <f>Calendar!L425</f>
        <v>Yes</v>
      </c>
      <c r="C425" t="str">
        <f>Calendar!O425</f>
        <v>No</v>
      </c>
      <c r="D425" t="str">
        <f>Calendar!P425</f>
        <v>No</v>
      </c>
      <c r="E425" t="str">
        <f>Calendar!Q425</f>
        <v>No</v>
      </c>
      <c r="F425" t="str">
        <f>Calendar!I425</f>
        <v>Tuesday</v>
      </c>
      <c r="G425">
        <f>Calendar!S425</f>
        <v>10</v>
      </c>
      <c r="H425">
        <f>Calendar!T425</f>
        <v>10</v>
      </c>
      <c r="I425" s="27">
        <f>IF(VLOOKUP(A425,Calendar!$A$1:$R$1377,18,0)=0,0,IF(VLOOKUP(A425,Calendar!$A$1:$R$1377,18,0)=1,INDEX(Monthly_Pay_Model!$A$9:$D$40,MATCH(TEXT(A425,"dd"),Monthly_Pay_Model!$C$9:$C$39,0),4),IF(VLOOKUP(A425,Calendar!$A$1:$R$1377,18,0)=2,SUM(INDEX(Monthly_Pay_Model!$A$9:$D$40,MATCH(TEXT(A425,"dd"),Monthly_Pay_Model!$C$9:$C$39,0),4),INDEX(Monthly_Pay_Model!$A$9:$D$40,MATCH(TEXT(A426,"dd"),Monthly_Pay_Model!$C$9:$C$39,0),4)),IF(VLOOKUP(A425,Calendar!$A$1:$R$1377,18,0)=3,SUM(INDEX(Monthly_Pay_Model!$A$9:$D$40,MATCH(TEXT(A425,"dd"),Monthly_Pay_Model!$C$9:$C$39,0),4),INDEX(Monthly_Pay_Model!$A$9:$D$40,MATCH(TEXT(A426,"dd"),Monthly_Pay_Model!$C$9:$C$39,0),4),INDEX(Monthly_Pay_Model!$A$9:$D$40,MATCH(TEXT(A427,"dd"),Monthly_Pay_Model!$C$9:$C$39,0),4)),IF(VLOOKUP(A425,Calendar!$A$1:$R$1377,18,0)=4,SUM(INDEX(Monthly_Pay_Model!$A$9:$D$40,MATCH(TEXT(A425,"dd"),Monthly_Pay_Model!$C$9:$C$39,0),4),INDEX(Monthly_Pay_Model!$A$9:$D$40,MATCH(TEXT(A426,"dd"),Monthly_Pay_Model!$C$9:$C$39,0),4),INDEX(Monthly_Pay_Model!$A$9:$D$40,MATCH(TEXT(A427,"dd"),Monthly_Pay_Model!$C$9:$C$39,0),4),INDEX(Monthly_Pay_Model!$A$9:$D$40,MATCH(TEXT(A428,"dd"),Monthly_Pay_Model!$C$9:$C$39,0),4)),IF(VLOOKUP(A425,Calendar!$A$1:$R$1377,18,0)=5,SUM(INDEX(Monthly_Pay_Model!$A$9:$D$40,MATCH(TEXT(A425,"dd"),Monthly_Pay_Model!$C$9:$C$39,0),4),INDEX(Monthly_Pay_Model!$A$9:$D$40,MATCH(TEXT(A426,"dd"),Monthly_Pay_Model!$C$9:$C$39,0),4),INDEX(Monthly_Pay_Model!$A$9:$D$40,MATCH(TEXT(A427,"dd"),Monthly_Pay_Model!$C$9:$C$39,0),4),INDEX(Monthly_Pay_Model!$A$9:$D$40,MATCH(TEXT(A428,"dd"),Monthly_Pay_Model!$C$9:$C$39,0),4),INDEX(Monthly_Pay_Model!$A$9:$D$40,MATCH(TEXT(A429,"dd"),Monthly_Pay_Model!$C$9:$C$39,0),4)),))))))</f>
        <v>2.1126701570680625E-2</v>
      </c>
      <c r="J425" s="33">
        <f>IF(C425="Yes",Monthly_Pay_Model!$D$2,0)
+IF(Calendar!N425="Yes",Monthly_Pay_Model!$D$3,0)
+IF(D425="Yes",Monthly_Pay_Model!$D$4,0)
+IF(E425="Yes",Monthly_Pay_Model!$D$5,0)</f>
        <v>0</v>
      </c>
      <c r="K425" s="27">
        <f>IF(VLOOKUP($A425,Calendar!$A$1:$R$1377,18,0)=0,0,IF(VLOOKUP($A425,Calendar!$A$1:$R$1377,18,0)=1,IFERROR(INDEX(Weekly_Model!$D$2:$D$9,MATCH(F425,Weekly_Model!$A$2:$A$9,0)),0),IF(VLOOKUP($A425,Calendar!$A$1:$R$1377,18,0)=2,SUM(IFERROR(INDEX(Weekly_Model!$D$2:$D$9,MATCH(F425,Weekly_Model!$A$2:$A$9,0)),0),IFERROR(INDEX(Weekly_Model!$D$2:$D$9,MATCH(F426,Weekly_Model!$A$2:$A$9,0)),0)),IF(VLOOKUP($A425,Calendar!$A$1:$R$1377,18,0)=3,SUM(IFERROR(INDEX(Weekly_Model!$D$2:$D$9,MATCH(F425,Weekly_Model!$A$2:$A$9,0)),0),IFERROR(INDEX(Weekly_Model!$D$2:$D$9,MATCH(F426,Weekly_Model!$A$2:$A$9,0)),0),IFERROR(INDEX(Weekly_Model!$D$2:$D$9,MATCH(F427,Weekly_Model!$A$2:$A$9,0)),0)),IF(VLOOKUP($A425,Calendar!$A$1:$R$1377,18,0)=4,SUM(IFERROR(INDEX(Weekly_Model!$D$2:$D$9,MATCH(F425,Weekly_Model!$A$2:$A$9,0)),0),IFERROR(INDEX(Weekly_Model!$D$2:$D$9,MATCH(F426,Weekly_Model!$A$2:$A$9,0)),0),IFERROR(INDEX(Weekly_Model!$D$2:$D$9,MATCH(F427,Weekly_Model!$A$2:$A$9,0)),0),IFERROR(INDEX(Weekly_Model!$D$2:$D$9,MATCH(F428,Weekly_Model!$A$2:$A$9,0)),0)),IF(VLOOKUP($A425,Calendar!$A$1:$R$1377,18,0)=5,SUM(IFERROR(INDEX(Weekly_Model!$D$2:$D$9,MATCH(F425,Weekly_Model!$A$2:$A$9,0)),0),IFERROR(INDEX(Weekly_Model!$D$2:$D$9,MATCH(F426,Weekly_Model!$A$2:$A$9,0)),0),IFERROR(INDEX(Weekly_Model!$D$2:$D$9,MATCH(F427,Weekly_Model!$A$2:$A$9,0)),0),IFERROR(INDEX(Weekly_Model!$D$2:$D$9,MATCH(F428,Weekly_Model!$A$2:$A$9,0)),0),IFERROR(INDEX(Weekly_Model!$D$2:$D$9,MATCH(F429,Weekly_Model!$A$2:$A$9,0)),0)),0))))))</f>
        <v>2.3200000000000002E-2</v>
      </c>
      <c r="L425" s="27">
        <f>IF(VLOOKUP($A425,Calendar!$A$1:$R$1377,18,0)=0,0,IF(VLOOKUP($A425,Calendar!$A$1:$R$1377,18,0)=1,IFERROR(INDEX(Fortnightly_Model!$D$2:$D$15,MATCH(G425,Fortnightly_Model!$B$2:$B$15,0)),0),IF(VLOOKUP($A425,Calendar!$A$1:$R$1377,18,0)=2,SUM(IFERROR(INDEX(Fortnightly_Model!$D$2:$D$15,MATCH(G425,Fortnightly_Model!$B$2:$B$15,0)),0),IFERROR(INDEX(Fortnightly_Model!$D$2:$D$15,MATCH(G426,Fortnightly_Model!$B$2:$B$15,0)),0)),IF(VLOOKUP($A425,Calendar!$A$1:$R$1377,18,0)=3,SUM(IFERROR(INDEX(Fortnightly_Model!$D$2:$D$15,MATCH(G425,Fortnightly_Model!$B$2:$B$15,0)),0),IFERROR(INDEX(Fortnightly_Model!$D$2:$D$15,MATCH(G426,Fortnightly_Model!$B$2:$B$15,0)),0),IFERROR(INDEX(Fortnightly_Model!$D$2:$D$15,MATCH(G427,Fortnightly_Model!$B$2:$B$15,0)),0)),IF(VLOOKUP($A425,Calendar!$A$1:$R$1377,18,0)=4,SUM(IFERROR(INDEX(Fortnightly_Model!$D$2:$D$15,MATCH(G425,Fortnightly_Model!$B$2:$B$15,0)),0),IFERROR(INDEX(Fortnightly_Model!$D$2:$D$15,MATCH(G426,Fortnightly_Model!$B$2:$B$15,0)),0),IFERROR(INDEX(Fortnightly_Model!$D$2:$D$15,MATCH(G427,Fortnightly_Model!$B$2:$B$15,0)),0),IFERROR(INDEX(Fortnightly_Model!$D$2:$D$15,MATCH(G428,Fortnightly_Model!$B$2:$B$15,0)),0)),IF(VLOOKUP($A425,Calendar!$A$1:$R$1377,18,0)=5,SUM(IFERROR(INDEX(Fortnightly_Model!$D$2:$D$15,MATCH(G425,Fortnightly_Model!$B$2:$B$15,0)),0),IFERROR(INDEX(Fortnightly_Model!$D$2:$D$15,MATCH(G426,Fortnightly_Model!$B$2:$B$15,0)),0),IFERROR(INDEX(Fortnightly_Model!$D$2:$D$15,MATCH(G427,Fortnightly_Model!$B$2:$B$15,0)),0),IFERROR(INDEX(Fortnightly_Model!$D$2:$D$15,MATCH(G428,Fortnightly_Model!$B$2:$B$15,0)),0),IFERROR(INDEX(Fortnightly_Model!$D$2:$D$15,MATCH(G429,Fortnightly_Model!$B$2:$B$15,0)),0)),0))))))</f>
        <v>1.0714285499999999E-3</v>
      </c>
      <c r="M425" s="27">
        <f>IF(VLOOKUP($A425,Calendar!$A$1:$R$1377,18,0)=0,0,IF(VLOOKUP($A425,Calendar!$A$1:$R$1377,18,0)=1,IFERROR(INDEX(FourWeekly_Model!$D$2:$D$29,MATCH(H425,FourWeekly_Model!$B$2:$B$29,0)),0),IF(VLOOKUP($A425,Calendar!$A$1:$R$1377,18,0)=2,SUM(IFERROR(INDEX(FourWeekly_Model!$D$2:$D$29,MATCH(H425,FourWeekly_Model!$B$2:$B$29,0)),0),IFERROR(INDEX(FourWeekly_Model!$D$2:$D$29,MATCH(H426,FourWeekly_Model!$B$2:$B$29,0)),0)),IF(VLOOKUP($A425,Calendar!$A$1:$R$1377,18,0)=3,SUM(IFERROR(INDEX(FourWeekly_Model!$D$2:$D$29,MATCH(H425,FourWeekly_Model!$B$2:$B$29,0)),0),IFERROR(INDEX(FourWeekly_Model!$D$2:$D$29,MATCH(H426,FourWeekly_Model!$B$2:$B$29,0)),0),IFERROR(INDEX(FourWeekly_Model!$D$2:$D$29,MATCH(H427,FourWeekly_Model!$B$2:$B$29,0)),0)),IF(VLOOKUP($A425,Calendar!$A$1:$R$1377,18,0)=4,SUM(IFERROR(INDEX(FourWeekly_Model!$D$2:$D$29,MATCH(H425,FourWeekly_Model!$B$2:$B$29,0)),0),IFERROR(INDEX(FourWeekly_Model!$D$2:$D$29,MATCH(H426,FourWeekly_Model!$B$2:$B$29,0)),0),IFERROR(INDEX(FourWeekly_Model!$D$2:$D$29,MATCH(H427,FourWeekly_Model!$B$2:$B$29,0)),0),IFERROR(INDEX(FourWeekly_Model!$D$2:$D$29,MATCH(H428,FourWeekly_Model!$B$2:$B$29,0)),0)),IF(VLOOKUP($A425,Calendar!$A$1:$R$1377,18,0)=5,SUM(IFERROR(INDEX(FourWeekly_Model!$D$2:$D$29,MATCH(H425,FourWeekly_Model!$B$2:$B$29,0)),0),IFERROR(INDEX(FourWeekly_Model!$D$2:$D$29,MATCH(H426,FourWeekly_Model!$B$2:$B$29,0)),0),IFERROR(INDEX(FourWeekly_Model!$D$2:$D$29,MATCH(H427,FourWeekly_Model!$B$2:$B$29,0)),0),IFERROR(INDEX(FourWeekly_Model!$D$2:$D$29,MATCH(H428,FourWeekly_Model!$B$2:$B$29,0)),0),IFERROR(INDEX(FourWeekly_Model!$D$2:$D$29,MATCH(H429,FourWeekly_Model!$B$2:$B$29,0)),0)),0))))))</f>
        <v>3.3214289700000004E-3</v>
      </c>
      <c r="N425" s="27">
        <f>SUM(I425:M425)</f>
        <v>4.8719559090680625E-2</v>
      </c>
      <c r="O425" s="28">
        <f>Population_Data!$B$8*N425</f>
        <v>1476202.6404476229</v>
      </c>
      <c r="P425" s="27">
        <f>IF(VLOOKUP($A425,Calendar!$A$1:$R$1377,18,0)=0,0,IF(VLOOKUP($A425,Calendar!$A$1:$R$1377,18,0)=1,IFERROR(INDEX(Pension_Model!$D$2:$D$29,MATCH(H425,Pension_Model!$B$2:$B$29,0)),0),IF(VLOOKUP($A425,Calendar!$A$1:$R$1377,18,0)=2,SUM(IFERROR(INDEX(Pension_Model!$D$2:$D$29,MATCH(H425,Pension_Model!$B$2:$B$29,0)),0),IFERROR(INDEX(Pension_Model!$D$2:$D$29,MATCH(H426,Pension_Model!$B$2:$B$29,0)),0)),IF(VLOOKUP($A425,Calendar!$A$1:$R$1377,18,0)=3,SUM(IFERROR(INDEX(Pension_Model!$D$2:$D$29,MATCH(H425,Pension_Model!$B$2:$B$29,0)),0),IFERROR(INDEX(Pension_Model!$D$2:$D$29,MATCH(H426,Pension_Model!$B$2:$B$29,0)),0),IFERROR(INDEX(Pension_Model!$D$2:$D$29,MATCH(H427,Pension_Model!$B$2:$B$29,0)),0)),IF(VLOOKUP($A425,Calendar!$A$1:$R$1377,18,0)=4,SUM(IFERROR(INDEX(Pension_Model!$D$2:$D$29,MATCH(H425,Pension_Model!$B$2:$B$29,0)),0),IFERROR(INDEX(Pension_Model!$D$2:$D$29,MATCH(H426,Pension_Model!$B$2:$B$29,0)),0),IFERROR(INDEX(Pension_Model!$D$2:$D$29,MATCH(H427,Pension_Model!$B$2:$B$29,0)),0),IFERROR(INDEX(Pension_Model!$D$2:$D$29,MATCH(H428,Pension_Model!$B$2:$B$29,0)),0)),IF(VLOOKUP($A425,Calendar!$A$1:$R$1377,18,0)=5,SUM(IFERROR(INDEX(Pension_Model!$D$2:$D$29,MATCH(H425,Pension_Model!$B$2:$B$29,0)),0),IFERROR(INDEX(Pension_Model!$D$2:$D$29,MATCH(H426,Pension_Model!$B$2:$B$29,0)),0),IFERROR(INDEX(Pension_Model!$D$2:$D$29,MATCH(H427,Pension_Model!$B$2:$B$29,0)),0),IFERROR(INDEX(Pension_Model!$D$2:$D$29,MATCH(H428,Pension_Model!$B$2:$B$29,0)),0),IFERROR(INDEX(Pension_Model!$D$2:$D$29,MATCH(H429,Pension_Model!$B$2:$B$29,0)),0)),0))))))</f>
        <v>0.05</v>
      </c>
      <c r="Q425" s="28">
        <f>Population_Data!$B$15*P425</f>
        <v>660600</v>
      </c>
      <c r="S425">
        <f t="shared" si="6"/>
        <v>2136802.6404476231</v>
      </c>
      <c r="U425" s="33">
        <f>S425/Population_Data!$B$19</f>
        <v>3.87101927617323E-2</v>
      </c>
    </row>
    <row r="426" spans="1:21">
      <c r="A426" s="25">
        <f>Calendar!A426</f>
        <v>46659</v>
      </c>
      <c r="B426" t="str">
        <f>Calendar!L426</f>
        <v>Yes</v>
      </c>
      <c r="C426" t="str">
        <f>Calendar!O426</f>
        <v>No</v>
      </c>
      <c r="D426" t="str">
        <f>Calendar!P426</f>
        <v>No</v>
      </c>
      <c r="E426" t="str">
        <f>Calendar!Q426</f>
        <v>No</v>
      </c>
      <c r="F426" t="str">
        <f>Calendar!I426</f>
        <v>Wednesday</v>
      </c>
      <c r="G426">
        <f>Calendar!S426</f>
        <v>11</v>
      </c>
      <c r="H426">
        <f>Calendar!T426</f>
        <v>11</v>
      </c>
      <c r="I426" s="27">
        <f>IF(VLOOKUP(A426,Calendar!$A$1:$R$1377,18,0)=0,0,IF(VLOOKUP(A426,Calendar!$A$1:$R$1377,18,0)=1,INDEX(Monthly_Pay_Model!$A$9:$D$40,MATCH(TEXT(A426,"dd"),Monthly_Pay_Model!$C$9:$C$39,0),4),IF(VLOOKUP(A426,Calendar!$A$1:$R$1377,18,0)=2,SUM(INDEX(Monthly_Pay_Model!$A$9:$D$40,MATCH(TEXT(A426,"dd"),Monthly_Pay_Model!$C$9:$C$39,0),4),INDEX(Monthly_Pay_Model!$A$9:$D$40,MATCH(TEXT(A427,"dd"),Monthly_Pay_Model!$C$9:$C$39,0),4)),IF(VLOOKUP(A426,Calendar!$A$1:$R$1377,18,0)=3,SUM(INDEX(Monthly_Pay_Model!$A$9:$D$40,MATCH(TEXT(A426,"dd"),Monthly_Pay_Model!$C$9:$C$39,0),4),INDEX(Monthly_Pay_Model!$A$9:$D$40,MATCH(TEXT(A427,"dd"),Monthly_Pay_Model!$C$9:$C$39,0),4),INDEX(Monthly_Pay_Model!$A$9:$D$40,MATCH(TEXT(A428,"dd"),Monthly_Pay_Model!$C$9:$C$39,0),4)),IF(VLOOKUP(A426,Calendar!$A$1:$R$1377,18,0)=4,SUM(INDEX(Monthly_Pay_Model!$A$9:$D$40,MATCH(TEXT(A426,"dd"),Monthly_Pay_Model!$C$9:$C$39,0),4),INDEX(Monthly_Pay_Model!$A$9:$D$40,MATCH(TEXT(A427,"dd"),Monthly_Pay_Model!$C$9:$C$39,0),4),INDEX(Monthly_Pay_Model!$A$9:$D$40,MATCH(TEXT(A428,"dd"),Monthly_Pay_Model!$C$9:$C$39,0),4),INDEX(Monthly_Pay_Model!$A$9:$D$40,MATCH(TEXT(A429,"dd"),Monthly_Pay_Model!$C$9:$C$39,0),4)),IF(VLOOKUP(A426,Calendar!$A$1:$R$1377,18,0)=5,SUM(INDEX(Monthly_Pay_Model!$A$9:$D$40,MATCH(TEXT(A426,"dd"),Monthly_Pay_Model!$C$9:$C$39,0),4),INDEX(Monthly_Pay_Model!$A$9:$D$40,MATCH(TEXT(A427,"dd"),Monthly_Pay_Model!$C$9:$C$39,0),4),INDEX(Monthly_Pay_Model!$A$9:$D$40,MATCH(TEXT(A428,"dd"),Monthly_Pay_Model!$C$9:$C$39,0),4),INDEX(Monthly_Pay_Model!$A$9:$D$40,MATCH(TEXT(A429,"dd"),Monthly_Pay_Model!$C$9:$C$39,0),4),INDEX(Monthly_Pay_Model!$A$9:$D$40,MATCH(TEXT(A430,"dd"),Monthly_Pay_Model!$C$9:$C$39,0),4)),))))))</f>
        <v>4.0628272251308894E-3</v>
      </c>
      <c r="J426" s="33">
        <f>IF(C426="Yes",Monthly_Pay_Model!$D$2,0)
+IF(Calendar!N426="Yes",Monthly_Pay_Model!$D$3,0)
+IF(D426="Yes",Monthly_Pay_Model!$D$4,0)
+IF(E426="Yes",Monthly_Pay_Model!$D$5,0)</f>
        <v>0</v>
      </c>
      <c r="K426" s="27">
        <f>IF(VLOOKUP($A426,Calendar!$A$1:$R$1377,18,0)=0,0,IF(VLOOKUP($A426,Calendar!$A$1:$R$1377,18,0)=1,IFERROR(INDEX(Weekly_Model!$D$2:$D$9,MATCH(F426,Weekly_Model!$A$2:$A$9,0)),0),IF(VLOOKUP($A426,Calendar!$A$1:$R$1377,18,0)=2,SUM(IFERROR(INDEX(Weekly_Model!$D$2:$D$9,MATCH(F426,Weekly_Model!$A$2:$A$9,0)),0),IFERROR(INDEX(Weekly_Model!$D$2:$D$9,MATCH(F427,Weekly_Model!$A$2:$A$9,0)),0)),IF(VLOOKUP($A426,Calendar!$A$1:$R$1377,18,0)=3,SUM(IFERROR(INDEX(Weekly_Model!$D$2:$D$9,MATCH(F426,Weekly_Model!$A$2:$A$9,0)),0),IFERROR(INDEX(Weekly_Model!$D$2:$D$9,MATCH(F427,Weekly_Model!$A$2:$A$9,0)),0),IFERROR(INDEX(Weekly_Model!$D$2:$D$9,MATCH(F428,Weekly_Model!$A$2:$A$9,0)),0)),IF(VLOOKUP($A426,Calendar!$A$1:$R$1377,18,0)=4,SUM(IFERROR(INDEX(Weekly_Model!$D$2:$D$9,MATCH(F426,Weekly_Model!$A$2:$A$9,0)),0),IFERROR(INDEX(Weekly_Model!$D$2:$D$9,MATCH(F427,Weekly_Model!$A$2:$A$9,0)),0),IFERROR(INDEX(Weekly_Model!$D$2:$D$9,MATCH(F428,Weekly_Model!$A$2:$A$9,0)),0),IFERROR(INDEX(Weekly_Model!$D$2:$D$9,MATCH(F429,Weekly_Model!$A$2:$A$9,0)),0)),IF(VLOOKUP($A426,Calendar!$A$1:$R$1377,18,0)=5,SUM(IFERROR(INDEX(Weekly_Model!$D$2:$D$9,MATCH(F426,Weekly_Model!$A$2:$A$9,0)),0),IFERROR(INDEX(Weekly_Model!$D$2:$D$9,MATCH(F427,Weekly_Model!$A$2:$A$9,0)),0),IFERROR(INDEX(Weekly_Model!$D$2:$D$9,MATCH(F428,Weekly_Model!$A$2:$A$9,0)),0),IFERROR(INDEX(Weekly_Model!$D$2:$D$9,MATCH(F429,Weekly_Model!$A$2:$A$9,0)),0),IFERROR(INDEX(Weekly_Model!$D$2:$D$9,MATCH(F430,Weekly_Model!$A$2:$A$9,0)),0)),0))))))</f>
        <v>2.3200000000000002E-2</v>
      </c>
      <c r="L426" s="27">
        <f>IF(VLOOKUP($A426,Calendar!$A$1:$R$1377,18,0)=0,0,IF(VLOOKUP($A426,Calendar!$A$1:$R$1377,18,0)=1,IFERROR(INDEX(Fortnightly_Model!$D$2:$D$15,MATCH(G426,Fortnightly_Model!$B$2:$B$15,0)),0),IF(VLOOKUP($A426,Calendar!$A$1:$R$1377,18,0)=2,SUM(IFERROR(INDEX(Fortnightly_Model!$D$2:$D$15,MATCH(G426,Fortnightly_Model!$B$2:$B$15,0)),0),IFERROR(INDEX(Fortnightly_Model!$D$2:$D$15,MATCH(G427,Fortnightly_Model!$B$2:$B$15,0)),0)),IF(VLOOKUP($A426,Calendar!$A$1:$R$1377,18,0)=3,SUM(IFERROR(INDEX(Fortnightly_Model!$D$2:$D$15,MATCH(G426,Fortnightly_Model!$B$2:$B$15,0)),0),IFERROR(INDEX(Fortnightly_Model!$D$2:$D$15,MATCH(G427,Fortnightly_Model!$B$2:$B$15,0)),0),IFERROR(INDEX(Fortnightly_Model!$D$2:$D$15,MATCH(G428,Fortnightly_Model!$B$2:$B$15,0)),0)),IF(VLOOKUP($A426,Calendar!$A$1:$R$1377,18,0)=4,SUM(IFERROR(INDEX(Fortnightly_Model!$D$2:$D$15,MATCH(G426,Fortnightly_Model!$B$2:$B$15,0)),0),IFERROR(INDEX(Fortnightly_Model!$D$2:$D$15,MATCH(G427,Fortnightly_Model!$B$2:$B$15,0)),0),IFERROR(INDEX(Fortnightly_Model!$D$2:$D$15,MATCH(G428,Fortnightly_Model!$B$2:$B$15,0)),0),IFERROR(INDEX(Fortnightly_Model!$D$2:$D$15,MATCH(G429,Fortnightly_Model!$B$2:$B$15,0)),0)),IF(VLOOKUP($A426,Calendar!$A$1:$R$1377,18,0)=5,SUM(IFERROR(INDEX(Fortnightly_Model!$D$2:$D$15,MATCH(G426,Fortnightly_Model!$B$2:$B$15,0)),0),IFERROR(INDEX(Fortnightly_Model!$D$2:$D$15,MATCH(G427,Fortnightly_Model!$B$2:$B$15,0)),0),IFERROR(INDEX(Fortnightly_Model!$D$2:$D$15,MATCH(G428,Fortnightly_Model!$B$2:$B$15,0)),0),IFERROR(INDEX(Fortnightly_Model!$D$2:$D$15,MATCH(G429,Fortnightly_Model!$B$2:$B$15,0)),0),IFERROR(INDEX(Fortnightly_Model!$D$2:$D$15,MATCH(G430,Fortnightly_Model!$B$2:$B$15,0)),0)),0))))))</f>
        <v>1.0714285499999999E-3</v>
      </c>
      <c r="M426" s="27">
        <f>IF(VLOOKUP($A426,Calendar!$A$1:$R$1377,18,0)=0,0,IF(VLOOKUP($A426,Calendar!$A$1:$R$1377,18,0)=1,IFERROR(INDEX(FourWeekly_Model!$D$2:$D$29,MATCH(H426,FourWeekly_Model!$B$2:$B$29,0)),0),IF(VLOOKUP($A426,Calendar!$A$1:$R$1377,18,0)=2,SUM(IFERROR(INDEX(FourWeekly_Model!$D$2:$D$29,MATCH(H426,FourWeekly_Model!$B$2:$B$29,0)),0),IFERROR(INDEX(FourWeekly_Model!$D$2:$D$29,MATCH(H427,FourWeekly_Model!$B$2:$B$29,0)),0)),IF(VLOOKUP($A426,Calendar!$A$1:$R$1377,18,0)=3,SUM(IFERROR(INDEX(FourWeekly_Model!$D$2:$D$29,MATCH(H426,FourWeekly_Model!$B$2:$B$29,0)),0),IFERROR(INDEX(FourWeekly_Model!$D$2:$D$29,MATCH(H427,FourWeekly_Model!$B$2:$B$29,0)),0),IFERROR(INDEX(FourWeekly_Model!$D$2:$D$29,MATCH(H428,FourWeekly_Model!$B$2:$B$29,0)),0)),IF(VLOOKUP($A426,Calendar!$A$1:$R$1377,18,0)=4,SUM(IFERROR(INDEX(FourWeekly_Model!$D$2:$D$29,MATCH(H426,FourWeekly_Model!$B$2:$B$29,0)),0),IFERROR(INDEX(FourWeekly_Model!$D$2:$D$29,MATCH(H427,FourWeekly_Model!$B$2:$B$29,0)),0),IFERROR(INDEX(FourWeekly_Model!$D$2:$D$29,MATCH(H428,FourWeekly_Model!$B$2:$B$29,0)),0),IFERROR(INDEX(FourWeekly_Model!$D$2:$D$29,MATCH(H429,FourWeekly_Model!$B$2:$B$29,0)),0)),IF(VLOOKUP($A426,Calendar!$A$1:$R$1377,18,0)=5,SUM(IFERROR(INDEX(FourWeekly_Model!$D$2:$D$29,MATCH(H426,FourWeekly_Model!$B$2:$B$29,0)),0),IFERROR(INDEX(FourWeekly_Model!$D$2:$D$29,MATCH(H427,FourWeekly_Model!$B$2:$B$29,0)),0),IFERROR(INDEX(FourWeekly_Model!$D$2:$D$29,MATCH(H428,FourWeekly_Model!$B$2:$B$29,0)),0),IFERROR(INDEX(FourWeekly_Model!$D$2:$D$29,MATCH(H429,FourWeekly_Model!$B$2:$B$29,0)),0),IFERROR(INDEX(FourWeekly_Model!$D$2:$D$29,MATCH(H430,FourWeekly_Model!$B$2:$B$29,0)),0)),0))))))</f>
        <v>3.3214289700000004E-3</v>
      </c>
      <c r="N426" s="27">
        <f>SUM(I426:M426)</f>
        <v>3.1655684745130891E-2</v>
      </c>
      <c r="O426" s="28">
        <f>Population_Data!$B$8*N426</f>
        <v>959167.24777746596</v>
      </c>
      <c r="P426" s="27">
        <f>IF(VLOOKUP($A426,Calendar!$A$1:$R$1377,18,0)=0,0,IF(VLOOKUP($A426,Calendar!$A$1:$R$1377,18,0)=1,IFERROR(INDEX(Pension_Model!$D$2:$D$29,MATCH(H426,Pension_Model!$B$2:$B$29,0)),0),IF(VLOOKUP($A426,Calendar!$A$1:$R$1377,18,0)=2,SUM(IFERROR(INDEX(Pension_Model!$D$2:$D$29,MATCH(H426,Pension_Model!$B$2:$B$29,0)),0),IFERROR(INDEX(Pension_Model!$D$2:$D$29,MATCH(H427,Pension_Model!$B$2:$B$29,0)),0)),IF(VLOOKUP($A426,Calendar!$A$1:$R$1377,18,0)=3,SUM(IFERROR(INDEX(Pension_Model!$D$2:$D$29,MATCH(H426,Pension_Model!$B$2:$B$29,0)),0),IFERROR(INDEX(Pension_Model!$D$2:$D$29,MATCH(H427,Pension_Model!$B$2:$B$29,0)),0),IFERROR(INDEX(Pension_Model!$D$2:$D$29,MATCH(H428,Pension_Model!$B$2:$B$29,0)),0)),IF(VLOOKUP($A426,Calendar!$A$1:$R$1377,18,0)=4,SUM(IFERROR(INDEX(Pension_Model!$D$2:$D$29,MATCH(H426,Pension_Model!$B$2:$B$29,0)),0),IFERROR(INDEX(Pension_Model!$D$2:$D$29,MATCH(H427,Pension_Model!$B$2:$B$29,0)),0),IFERROR(INDEX(Pension_Model!$D$2:$D$29,MATCH(H428,Pension_Model!$B$2:$B$29,0)),0),IFERROR(INDEX(Pension_Model!$D$2:$D$29,MATCH(H429,Pension_Model!$B$2:$B$29,0)),0)),IF(VLOOKUP($A426,Calendar!$A$1:$R$1377,18,0)=5,SUM(IFERROR(INDEX(Pension_Model!$D$2:$D$29,MATCH(H426,Pension_Model!$B$2:$B$29,0)),0),IFERROR(INDEX(Pension_Model!$D$2:$D$29,MATCH(H427,Pension_Model!$B$2:$B$29,0)),0),IFERROR(INDEX(Pension_Model!$D$2:$D$29,MATCH(H428,Pension_Model!$B$2:$B$29,0)),0),IFERROR(INDEX(Pension_Model!$D$2:$D$29,MATCH(H429,Pension_Model!$B$2:$B$29,0)),0),IFERROR(INDEX(Pension_Model!$D$2:$D$29,MATCH(H430,Pension_Model!$B$2:$B$29,0)),0)),0))))))</f>
        <v>0.05</v>
      </c>
      <c r="Q426" s="28">
        <f>Population_Data!$B$15*P426</f>
        <v>660600</v>
      </c>
      <c r="S426">
        <f t="shared" si="6"/>
        <v>1619767.247777466</v>
      </c>
      <c r="U426" s="33">
        <f>S426/Population_Data!$B$19</f>
        <v>2.9343609561185979E-2</v>
      </c>
    </row>
    <row r="427" spans="1:21">
      <c r="A427" s="25">
        <f>Calendar!A427</f>
        <v>46660</v>
      </c>
      <c r="B427" t="str">
        <f>Calendar!L427</f>
        <v>Yes</v>
      </c>
      <c r="C427" t="str">
        <f>Calendar!O427</f>
        <v>Yes</v>
      </c>
      <c r="D427" t="str">
        <f>Calendar!P427</f>
        <v>No</v>
      </c>
      <c r="E427" t="str">
        <f>Calendar!Q427</f>
        <v>Yes</v>
      </c>
      <c r="F427" t="str">
        <f>Calendar!I427</f>
        <v>Thursday</v>
      </c>
      <c r="G427">
        <f>Calendar!S427</f>
        <v>12</v>
      </c>
      <c r="H427">
        <f>Calendar!T427</f>
        <v>12</v>
      </c>
      <c r="I427" s="27">
        <f>IF(VLOOKUP(A427,Calendar!$A$1:$R$1377,18,0)=0,0,IF(VLOOKUP(A427,Calendar!$A$1:$R$1377,18,0)=1,INDEX(Monthly_Pay_Model!$A$9:$D$40,MATCH(TEXT(A427,"dd"),Monthly_Pay_Model!$C$9:$C$39,0),4),IF(VLOOKUP(A427,Calendar!$A$1:$R$1377,18,0)=2,SUM(INDEX(Monthly_Pay_Model!$A$9:$D$40,MATCH(TEXT(A427,"dd"),Monthly_Pay_Model!$C$9:$C$39,0),4),INDEX(Monthly_Pay_Model!$A$9:$D$40,MATCH(TEXT(A428,"dd"),Monthly_Pay_Model!$C$9:$C$39,0),4)),IF(VLOOKUP(A427,Calendar!$A$1:$R$1377,18,0)=3,SUM(INDEX(Monthly_Pay_Model!$A$9:$D$40,MATCH(TEXT(A427,"dd"),Monthly_Pay_Model!$C$9:$C$39,0),4),INDEX(Monthly_Pay_Model!$A$9:$D$40,MATCH(TEXT(A428,"dd"),Monthly_Pay_Model!$C$9:$C$39,0),4),INDEX(Monthly_Pay_Model!$A$9:$D$40,MATCH(TEXT(A429,"dd"),Monthly_Pay_Model!$C$9:$C$39,0),4)),IF(VLOOKUP(A427,Calendar!$A$1:$R$1377,18,0)=4,SUM(INDEX(Monthly_Pay_Model!$A$9:$D$40,MATCH(TEXT(A427,"dd"),Monthly_Pay_Model!$C$9:$C$39,0),4),INDEX(Monthly_Pay_Model!$A$9:$D$40,MATCH(TEXT(A428,"dd"),Monthly_Pay_Model!$C$9:$C$39,0),4),INDEX(Monthly_Pay_Model!$A$9:$D$40,MATCH(TEXT(A429,"dd"),Monthly_Pay_Model!$C$9:$C$39,0),4),INDEX(Monthly_Pay_Model!$A$9:$D$40,MATCH(TEXT(A430,"dd"),Monthly_Pay_Model!$C$9:$C$39,0),4)),IF(VLOOKUP(A427,Calendar!$A$1:$R$1377,18,0)=5,SUM(INDEX(Monthly_Pay_Model!$A$9:$D$40,MATCH(TEXT(A427,"dd"),Monthly_Pay_Model!$C$9:$C$39,0),4),INDEX(Monthly_Pay_Model!$A$9:$D$40,MATCH(TEXT(A428,"dd"),Monthly_Pay_Model!$C$9:$C$39,0),4),INDEX(Monthly_Pay_Model!$A$9:$D$40,MATCH(TEXT(A429,"dd"),Monthly_Pay_Model!$C$9:$C$39,0),4),INDEX(Monthly_Pay_Model!$A$9:$D$40,MATCH(TEXT(A430,"dd"),Monthly_Pay_Model!$C$9:$C$39,0),4),INDEX(Monthly_Pay_Model!$A$9:$D$40,MATCH(TEXT(A431,"dd"),Monthly_Pay_Model!$C$9:$C$39,0),4)),))))))</f>
        <v>4.8753926701570662E-3</v>
      </c>
      <c r="J427" s="33">
        <f>IF(C427="Yes",Monthly_Pay_Model!$D$2,0)
+IF(Calendar!N427="Yes",Monthly_Pay_Model!$D$3,0)
+IF(D427="Yes",Monthly_Pay_Model!$D$4,0)
+IF(E427="Yes",Monthly_Pay_Model!$D$5,0)</f>
        <v>0.46560000000000001</v>
      </c>
      <c r="K427" s="27">
        <f>IF(VLOOKUP($A427,Calendar!$A$1:$R$1377,18,0)=0,0,IF(VLOOKUP($A427,Calendar!$A$1:$R$1377,18,0)=1,IFERROR(INDEX(Weekly_Model!$D$2:$D$9,MATCH(F427,Weekly_Model!$A$2:$A$9,0)),0),IF(VLOOKUP($A427,Calendar!$A$1:$R$1377,18,0)=2,SUM(IFERROR(INDEX(Weekly_Model!$D$2:$D$9,MATCH(F427,Weekly_Model!$A$2:$A$9,0)),0),IFERROR(INDEX(Weekly_Model!$D$2:$D$9,MATCH(F428,Weekly_Model!$A$2:$A$9,0)),0)),IF(VLOOKUP($A427,Calendar!$A$1:$R$1377,18,0)=3,SUM(IFERROR(INDEX(Weekly_Model!$D$2:$D$9,MATCH(F427,Weekly_Model!$A$2:$A$9,0)),0),IFERROR(INDEX(Weekly_Model!$D$2:$D$9,MATCH(F428,Weekly_Model!$A$2:$A$9,0)),0),IFERROR(INDEX(Weekly_Model!$D$2:$D$9,MATCH(F429,Weekly_Model!$A$2:$A$9,0)),0)),IF(VLOOKUP($A427,Calendar!$A$1:$R$1377,18,0)=4,SUM(IFERROR(INDEX(Weekly_Model!$D$2:$D$9,MATCH(F427,Weekly_Model!$A$2:$A$9,0)),0),IFERROR(INDEX(Weekly_Model!$D$2:$D$9,MATCH(F428,Weekly_Model!$A$2:$A$9,0)),0),IFERROR(INDEX(Weekly_Model!$D$2:$D$9,MATCH(F429,Weekly_Model!$A$2:$A$9,0)),0),IFERROR(INDEX(Weekly_Model!$D$2:$D$9,MATCH(F430,Weekly_Model!$A$2:$A$9,0)),0)),IF(VLOOKUP($A427,Calendar!$A$1:$R$1377,18,0)=5,SUM(IFERROR(INDEX(Weekly_Model!$D$2:$D$9,MATCH(F427,Weekly_Model!$A$2:$A$9,0)),0),IFERROR(INDEX(Weekly_Model!$D$2:$D$9,MATCH(F428,Weekly_Model!$A$2:$A$9,0)),0),IFERROR(INDEX(Weekly_Model!$D$2:$D$9,MATCH(F429,Weekly_Model!$A$2:$A$9,0)),0),IFERROR(INDEX(Weekly_Model!$D$2:$D$9,MATCH(F430,Weekly_Model!$A$2:$A$9,0)),0),IFERROR(INDEX(Weekly_Model!$D$2:$D$9,MATCH(F431,Weekly_Model!$A$2:$A$9,0)),0)),0))))))</f>
        <v>2.3200000000000002E-2</v>
      </c>
      <c r="L427" s="27">
        <f>IF(VLOOKUP($A427,Calendar!$A$1:$R$1377,18,0)=0,0,IF(VLOOKUP($A427,Calendar!$A$1:$R$1377,18,0)=1,IFERROR(INDEX(Fortnightly_Model!$D$2:$D$15,MATCH(G427,Fortnightly_Model!$B$2:$B$15,0)),0),IF(VLOOKUP($A427,Calendar!$A$1:$R$1377,18,0)=2,SUM(IFERROR(INDEX(Fortnightly_Model!$D$2:$D$15,MATCH(G427,Fortnightly_Model!$B$2:$B$15,0)),0),IFERROR(INDEX(Fortnightly_Model!$D$2:$D$15,MATCH(G428,Fortnightly_Model!$B$2:$B$15,0)),0)),IF(VLOOKUP($A427,Calendar!$A$1:$R$1377,18,0)=3,SUM(IFERROR(INDEX(Fortnightly_Model!$D$2:$D$15,MATCH(G427,Fortnightly_Model!$B$2:$B$15,0)),0),IFERROR(INDEX(Fortnightly_Model!$D$2:$D$15,MATCH(G428,Fortnightly_Model!$B$2:$B$15,0)),0),IFERROR(INDEX(Fortnightly_Model!$D$2:$D$15,MATCH(G429,Fortnightly_Model!$B$2:$B$15,0)),0)),IF(VLOOKUP($A427,Calendar!$A$1:$R$1377,18,0)=4,SUM(IFERROR(INDEX(Fortnightly_Model!$D$2:$D$15,MATCH(G427,Fortnightly_Model!$B$2:$B$15,0)),0),IFERROR(INDEX(Fortnightly_Model!$D$2:$D$15,MATCH(G428,Fortnightly_Model!$B$2:$B$15,0)),0),IFERROR(INDEX(Fortnightly_Model!$D$2:$D$15,MATCH(G429,Fortnightly_Model!$B$2:$B$15,0)),0),IFERROR(INDEX(Fortnightly_Model!$D$2:$D$15,MATCH(G430,Fortnightly_Model!$B$2:$B$15,0)),0)),IF(VLOOKUP($A427,Calendar!$A$1:$R$1377,18,0)=5,SUM(IFERROR(INDEX(Fortnightly_Model!$D$2:$D$15,MATCH(G427,Fortnightly_Model!$B$2:$B$15,0)),0),IFERROR(INDEX(Fortnightly_Model!$D$2:$D$15,MATCH(G428,Fortnightly_Model!$B$2:$B$15,0)),0),IFERROR(INDEX(Fortnightly_Model!$D$2:$D$15,MATCH(G429,Fortnightly_Model!$B$2:$B$15,0)),0),IFERROR(INDEX(Fortnightly_Model!$D$2:$D$15,MATCH(G430,Fortnightly_Model!$B$2:$B$15,0)),0),IFERROR(INDEX(Fortnightly_Model!$D$2:$D$15,MATCH(G431,Fortnightly_Model!$B$2:$B$15,0)),0)),0))))))</f>
        <v>1.0714285499999999E-3</v>
      </c>
      <c r="M427" s="27">
        <f>IF(VLOOKUP($A427,Calendar!$A$1:$R$1377,18,0)=0,0,IF(VLOOKUP($A427,Calendar!$A$1:$R$1377,18,0)=1,IFERROR(INDEX(FourWeekly_Model!$D$2:$D$29,MATCH(H427,FourWeekly_Model!$B$2:$B$29,0)),0),IF(VLOOKUP($A427,Calendar!$A$1:$R$1377,18,0)=2,SUM(IFERROR(INDEX(FourWeekly_Model!$D$2:$D$29,MATCH(H427,FourWeekly_Model!$B$2:$B$29,0)),0),IFERROR(INDEX(FourWeekly_Model!$D$2:$D$29,MATCH(H428,FourWeekly_Model!$B$2:$B$29,0)),0)),IF(VLOOKUP($A427,Calendar!$A$1:$R$1377,18,0)=3,SUM(IFERROR(INDEX(FourWeekly_Model!$D$2:$D$29,MATCH(H427,FourWeekly_Model!$B$2:$B$29,0)),0),IFERROR(INDEX(FourWeekly_Model!$D$2:$D$29,MATCH(H428,FourWeekly_Model!$B$2:$B$29,0)),0),IFERROR(INDEX(FourWeekly_Model!$D$2:$D$29,MATCH(H429,FourWeekly_Model!$B$2:$B$29,0)),0)),IF(VLOOKUP($A427,Calendar!$A$1:$R$1377,18,0)=4,SUM(IFERROR(INDEX(FourWeekly_Model!$D$2:$D$29,MATCH(H427,FourWeekly_Model!$B$2:$B$29,0)),0),IFERROR(INDEX(FourWeekly_Model!$D$2:$D$29,MATCH(H428,FourWeekly_Model!$B$2:$B$29,0)),0),IFERROR(INDEX(FourWeekly_Model!$D$2:$D$29,MATCH(H429,FourWeekly_Model!$B$2:$B$29,0)),0),IFERROR(INDEX(FourWeekly_Model!$D$2:$D$29,MATCH(H430,FourWeekly_Model!$B$2:$B$29,0)),0)),IF(VLOOKUP($A427,Calendar!$A$1:$R$1377,18,0)=5,SUM(IFERROR(INDEX(FourWeekly_Model!$D$2:$D$29,MATCH(H427,FourWeekly_Model!$B$2:$B$29,0)),0),IFERROR(INDEX(FourWeekly_Model!$D$2:$D$29,MATCH(H428,FourWeekly_Model!$B$2:$B$29,0)),0),IFERROR(INDEX(FourWeekly_Model!$D$2:$D$29,MATCH(H429,FourWeekly_Model!$B$2:$B$29,0)),0),IFERROR(INDEX(FourWeekly_Model!$D$2:$D$29,MATCH(H430,FourWeekly_Model!$B$2:$B$29,0)),0),IFERROR(INDEX(FourWeekly_Model!$D$2:$D$29,MATCH(H431,FourWeekly_Model!$B$2:$B$29,0)),0)),0))))))</f>
        <v>3.3214289700000004E-3</v>
      </c>
      <c r="N427" s="27">
        <f>SUM(I427:M427)</f>
        <v>0.49806825019015705</v>
      </c>
      <c r="O427" s="28">
        <f>Population_Data!$B$8*N427</f>
        <v>15091467.980761759</v>
      </c>
      <c r="P427" s="27">
        <f>IF(VLOOKUP($A427,Calendar!$A$1:$R$1377,18,0)=0,0,IF(VLOOKUP($A427,Calendar!$A$1:$R$1377,18,0)=1,IFERROR(INDEX(Pension_Model!$D$2:$D$29,MATCH(H427,Pension_Model!$B$2:$B$29,0)),0),IF(VLOOKUP($A427,Calendar!$A$1:$R$1377,18,0)=2,SUM(IFERROR(INDEX(Pension_Model!$D$2:$D$29,MATCH(H427,Pension_Model!$B$2:$B$29,0)),0),IFERROR(INDEX(Pension_Model!$D$2:$D$29,MATCH(H428,Pension_Model!$B$2:$B$29,0)),0)),IF(VLOOKUP($A427,Calendar!$A$1:$R$1377,18,0)=3,SUM(IFERROR(INDEX(Pension_Model!$D$2:$D$29,MATCH(H427,Pension_Model!$B$2:$B$29,0)),0),IFERROR(INDEX(Pension_Model!$D$2:$D$29,MATCH(H428,Pension_Model!$B$2:$B$29,0)),0),IFERROR(INDEX(Pension_Model!$D$2:$D$29,MATCH(H429,Pension_Model!$B$2:$B$29,0)),0)),IF(VLOOKUP($A427,Calendar!$A$1:$R$1377,18,0)=4,SUM(IFERROR(INDEX(Pension_Model!$D$2:$D$29,MATCH(H427,Pension_Model!$B$2:$B$29,0)),0),IFERROR(INDEX(Pension_Model!$D$2:$D$29,MATCH(H428,Pension_Model!$B$2:$B$29,0)),0),IFERROR(INDEX(Pension_Model!$D$2:$D$29,MATCH(H429,Pension_Model!$B$2:$B$29,0)),0),IFERROR(INDEX(Pension_Model!$D$2:$D$29,MATCH(H430,Pension_Model!$B$2:$B$29,0)),0)),IF(VLOOKUP($A427,Calendar!$A$1:$R$1377,18,0)=5,SUM(IFERROR(INDEX(Pension_Model!$D$2:$D$29,MATCH(H427,Pension_Model!$B$2:$B$29,0)),0),IFERROR(INDEX(Pension_Model!$D$2:$D$29,MATCH(H428,Pension_Model!$B$2:$B$29,0)),0),IFERROR(INDEX(Pension_Model!$D$2:$D$29,MATCH(H429,Pension_Model!$B$2:$B$29,0)),0),IFERROR(INDEX(Pension_Model!$D$2:$D$29,MATCH(H430,Pension_Model!$B$2:$B$29,0)),0),IFERROR(INDEX(Pension_Model!$D$2:$D$29,MATCH(H431,Pension_Model!$B$2:$B$29,0)),0)),0))))))</f>
        <v>0.05</v>
      </c>
      <c r="Q427" s="28">
        <f>Population_Data!$B$15*P427</f>
        <v>660600</v>
      </c>
      <c r="S427">
        <f t="shared" si="6"/>
        <v>15752067.980761759</v>
      </c>
      <c r="U427" s="33">
        <f>S427/Population_Data!$B$19</f>
        <v>0.28536355037611882</v>
      </c>
    </row>
    <row r="428" spans="1:21">
      <c r="A428" s="25">
        <f>Calendar!A428</f>
        <v>46661</v>
      </c>
      <c r="B428" t="str">
        <f>Calendar!L428</f>
        <v>Yes</v>
      </c>
      <c r="C428" t="str">
        <f>Calendar!O428</f>
        <v>No</v>
      </c>
      <c r="D428" t="str">
        <f>Calendar!P428</f>
        <v>No</v>
      </c>
      <c r="E428" t="str">
        <f>Calendar!Q428</f>
        <v>No</v>
      </c>
      <c r="F428" t="str">
        <f>Calendar!I428</f>
        <v>Friday</v>
      </c>
      <c r="G428">
        <f>Calendar!S428</f>
        <v>13</v>
      </c>
      <c r="H428">
        <f>Calendar!T428</f>
        <v>13</v>
      </c>
      <c r="I428" s="27">
        <f>IF(VLOOKUP(A428,Calendar!$A$1:$R$1377,18,0)=0,0,IF(VLOOKUP(A428,Calendar!$A$1:$R$1377,18,0)=1,INDEX(Monthly_Pay_Model!$A$9:$D$40,MATCH(TEXT(A428,"dd"),Monthly_Pay_Model!$C$9:$C$39,0),4),IF(VLOOKUP(A428,Calendar!$A$1:$R$1377,18,0)=2,SUM(INDEX(Monthly_Pay_Model!$A$9:$D$40,MATCH(TEXT(A428,"dd"),Monthly_Pay_Model!$C$9:$C$39,0),4),INDEX(Monthly_Pay_Model!$A$9:$D$40,MATCH(TEXT(A429,"dd"),Monthly_Pay_Model!$C$9:$C$39,0),4)),IF(VLOOKUP(A428,Calendar!$A$1:$R$1377,18,0)=3,SUM(INDEX(Monthly_Pay_Model!$A$9:$D$40,MATCH(TEXT(A428,"dd"),Monthly_Pay_Model!$C$9:$C$39,0),4),INDEX(Monthly_Pay_Model!$A$9:$D$40,MATCH(TEXT(A429,"dd"),Monthly_Pay_Model!$C$9:$C$39,0),4),INDEX(Monthly_Pay_Model!$A$9:$D$40,MATCH(TEXT(A430,"dd"),Monthly_Pay_Model!$C$9:$C$39,0),4)),IF(VLOOKUP(A428,Calendar!$A$1:$R$1377,18,0)=4,SUM(INDEX(Monthly_Pay_Model!$A$9:$D$40,MATCH(TEXT(A428,"dd"),Monthly_Pay_Model!$C$9:$C$39,0),4),INDEX(Monthly_Pay_Model!$A$9:$D$40,MATCH(TEXT(A429,"dd"),Monthly_Pay_Model!$C$9:$C$39,0),4),INDEX(Monthly_Pay_Model!$A$9:$D$40,MATCH(TEXT(A430,"dd"),Monthly_Pay_Model!$C$9:$C$39,0),4),INDEX(Monthly_Pay_Model!$A$9:$D$40,MATCH(TEXT(A431,"dd"),Monthly_Pay_Model!$C$9:$C$39,0),4)),IF(VLOOKUP(A428,Calendar!$A$1:$R$1377,18,0)=5,SUM(INDEX(Monthly_Pay_Model!$A$9:$D$40,MATCH(TEXT(A428,"dd"),Monthly_Pay_Model!$C$9:$C$39,0),4),INDEX(Monthly_Pay_Model!$A$9:$D$40,MATCH(TEXT(A429,"dd"),Monthly_Pay_Model!$C$9:$C$39,0),4),INDEX(Monthly_Pay_Model!$A$9:$D$40,MATCH(TEXT(A430,"dd"),Monthly_Pay_Model!$C$9:$C$39,0),4),INDEX(Monthly_Pay_Model!$A$9:$D$40,MATCH(TEXT(A431,"dd"),Monthly_Pay_Model!$C$9:$C$39,0),4),INDEX(Monthly_Pay_Model!$A$9:$D$40,MATCH(TEXT(A432,"dd"),Monthly_Pay_Model!$C$9:$C$39,0),4)),))))))</f>
        <v>5.6879581151832448E-3</v>
      </c>
      <c r="J428" s="33">
        <f>IF(C428="Yes",Monthly_Pay_Model!$D$2,0)
+IF(Calendar!N428="Yes",Monthly_Pay_Model!$D$3,0)
+IF(D428="Yes",Monthly_Pay_Model!$D$4,0)
+IF(E428="Yes",Monthly_Pay_Model!$D$5,0)</f>
        <v>0</v>
      </c>
      <c r="K428" s="27">
        <f>IF(VLOOKUP($A428,Calendar!$A$1:$R$1377,18,0)=0,0,IF(VLOOKUP($A428,Calendar!$A$1:$R$1377,18,0)=1,IFERROR(INDEX(Weekly_Model!$D$2:$D$9,MATCH(F428,Weekly_Model!$A$2:$A$9,0)),0),IF(VLOOKUP($A428,Calendar!$A$1:$R$1377,18,0)=2,SUM(IFERROR(INDEX(Weekly_Model!$D$2:$D$9,MATCH(F428,Weekly_Model!$A$2:$A$9,0)),0),IFERROR(INDEX(Weekly_Model!$D$2:$D$9,MATCH(F429,Weekly_Model!$A$2:$A$9,0)),0)),IF(VLOOKUP($A428,Calendar!$A$1:$R$1377,18,0)=3,SUM(IFERROR(INDEX(Weekly_Model!$D$2:$D$9,MATCH(F428,Weekly_Model!$A$2:$A$9,0)),0),IFERROR(INDEX(Weekly_Model!$D$2:$D$9,MATCH(F429,Weekly_Model!$A$2:$A$9,0)),0),IFERROR(INDEX(Weekly_Model!$D$2:$D$9,MATCH(F430,Weekly_Model!$A$2:$A$9,0)),0)),IF(VLOOKUP($A428,Calendar!$A$1:$R$1377,18,0)=4,SUM(IFERROR(INDEX(Weekly_Model!$D$2:$D$9,MATCH(F428,Weekly_Model!$A$2:$A$9,0)),0),IFERROR(INDEX(Weekly_Model!$D$2:$D$9,MATCH(F429,Weekly_Model!$A$2:$A$9,0)),0),IFERROR(INDEX(Weekly_Model!$D$2:$D$9,MATCH(F430,Weekly_Model!$A$2:$A$9,0)),0),IFERROR(INDEX(Weekly_Model!$D$2:$D$9,MATCH(F431,Weekly_Model!$A$2:$A$9,0)),0)),IF(VLOOKUP($A428,Calendar!$A$1:$R$1377,18,0)=5,SUM(IFERROR(INDEX(Weekly_Model!$D$2:$D$9,MATCH(F428,Weekly_Model!$A$2:$A$9,0)),0),IFERROR(INDEX(Weekly_Model!$D$2:$D$9,MATCH(F429,Weekly_Model!$A$2:$A$9,0)),0),IFERROR(INDEX(Weekly_Model!$D$2:$D$9,MATCH(F430,Weekly_Model!$A$2:$A$9,0)),0),IFERROR(INDEX(Weekly_Model!$D$2:$D$9,MATCH(F431,Weekly_Model!$A$2:$A$9,0)),0),IFERROR(INDEX(Weekly_Model!$D$2:$D$9,MATCH(F432,Weekly_Model!$A$2:$A$9,0)),0)),0))))))</f>
        <v>2.3200000000000002E-2</v>
      </c>
      <c r="L428" s="27">
        <f>IF(VLOOKUP($A428,Calendar!$A$1:$R$1377,18,0)=0,0,IF(VLOOKUP($A428,Calendar!$A$1:$R$1377,18,0)=1,IFERROR(INDEX(Fortnightly_Model!$D$2:$D$15,MATCH(G428,Fortnightly_Model!$B$2:$B$15,0)),0),IF(VLOOKUP($A428,Calendar!$A$1:$R$1377,18,0)=2,SUM(IFERROR(INDEX(Fortnightly_Model!$D$2:$D$15,MATCH(G428,Fortnightly_Model!$B$2:$B$15,0)),0),IFERROR(INDEX(Fortnightly_Model!$D$2:$D$15,MATCH(G429,Fortnightly_Model!$B$2:$B$15,0)),0)),IF(VLOOKUP($A428,Calendar!$A$1:$R$1377,18,0)=3,SUM(IFERROR(INDEX(Fortnightly_Model!$D$2:$D$15,MATCH(G428,Fortnightly_Model!$B$2:$B$15,0)),0),IFERROR(INDEX(Fortnightly_Model!$D$2:$D$15,MATCH(G429,Fortnightly_Model!$B$2:$B$15,0)),0),IFERROR(INDEX(Fortnightly_Model!$D$2:$D$15,MATCH(G430,Fortnightly_Model!$B$2:$B$15,0)),0)),IF(VLOOKUP($A428,Calendar!$A$1:$R$1377,18,0)=4,SUM(IFERROR(INDEX(Fortnightly_Model!$D$2:$D$15,MATCH(G428,Fortnightly_Model!$B$2:$B$15,0)),0),IFERROR(INDEX(Fortnightly_Model!$D$2:$D$15,MATCH(G429,Fortnightly_Model!$B$2:$B$15,0)),0),IFERROR(INDEX(Fortnightly_Model!$D$2:$D$15,MATCH(G430,Fortnightly_Model!$B$2:$B$15,0)),0),IFERROR(INDEX(Fortnightly_Model!$D$2:$D$15,MATCH(G431,Fortnightly_Model!$B$2:$B$15,0)),0)),IF(VLOOKUP($A428,Calendar!$A$1:$R$1377,18,0)=5,SUM(IFERROR(INDEX(Fortnightly_Model!$D$2:$D$15,MATCH(G428,Fortnightly_Model!$B$2:$B$15,0)),0),IFERROR(INDEX(Fortnightly_Model!$D$2:$D$15,MATCH(G429,Fortnightly_Model!$B$2:$B$15,0)),0),IFERROR(INDEX(Fortnightly_Model!$D$2:$D$15,MATCH(G430,Fortnightly_Model!$B$2:$B$15,0)),0),IFERROR(INDEX(Fortnightly_Model!$D$2:$D$15,MATCH(G431,Fortnightly_Model!$B$2:$B$15,0)),0),IFERROR(INDEX(Fortnightly_Model!$D$2:$D$15,MATCH(G432,Fortnightly_Model!$B$2:$B$15,0)),0)),0))))))</f>
        <v>3.2142856499999999E-3</v>
      </c>
      <c r="M428" s="27">
        <f>IF(VLOOKUP($A428,Calendar!$A$1:$R$1377,18,0)=0,0,IF(VLOOKUP($A428,Calendar!$A$1:$R$1377,18,0)=1,IFERROR(INDEX(FourWeekly_Model!$D$2:$D$29,MATCH(H428,FourWeekly_Model!$B$2:$B$29,0)),0),IF(VLOOKUP($A428,Calendar!$A$1:$R$1377,18,0)=2,SUM(IFERROR(INDEX(FourWeekly_Model!$D$2:$D$29,MATCH(H428,FourWeekly_Model!$B$2:$B$29,0)),0),IFERROR(INDEX(FourWeekly_Model!$D$2:$D$29,MATCH(H429,FourWeekly_Model!$B$2:$B$29,0)),0)),IF(VLOOKUP($A428,Calendar!$A$1:$R$1377,18,0)=3,SUM(IFERROR(INDEX(FourWeekly_Model!$D$2:$D$29,MATCH(H428,FourWeekly_Model!$B$2:$B$29,0)),0),IFERROR(INDEX(FourWeekly_Model!$D$2:$D$29,MATCH(H429,FourWeekly_Model!$B$2:$B$29,0)),0),IFERROR(INDEX(FourWeekly_Model!$D$2:$D$29,MATCH(H430,FourWeekly_Model!$B$2:$B$29,0)),0)),IF(VLOOKUP($A428,Calendar!$A$1:$R$1377,18,0)=4,SUM(IFERROR(INDEX(FourWeekly_Model!$D$2:$D$29,MATCH(H428,FourWeekly_Model!$B$2:$B$29,0)),0),IFERROR(INDEX(FourWeekly_Model!$D$2:$D$29,MATCH(H429,FourWeekly_Model!$B$2:$B$29,0)),0),IFERROR(INDEX(FourWeekly_Model!$D$2:$D$29,MATCH(H430,FourWeekly_Model!$B$2:$B$29,0)),0),IFERROR(INDEX(FourWeekly_Model!$D$2:$D$29,MATCH(H431,FourWeekly_Model!$B$2:$B$29,0)),0)),IF(VLOOKUP($A428,Calendar!$A$1:$R$1377,18,0)=5,SUM(IFERROR(INDEX(FourWeekly_Model!$D$2:$D$29,MATCH(H428,FourWeekly_Model!$B$2:$B$29,0)),0),IFERROR(INDEX(FourWeekly_Model!$D$2:$D$29,MATCH(H429,FourWeekly_Model!$B$2:$B$29,0)),0),IFERROR(INDEX(FourWeekly_Model!$D$2:$D$29,MATCH(H430,FourWeekly_Model!$B$2:$B$29,0)),0),IFERROR(INDEX(FourWeekly_Model!$D$2:$D$29,MATCH(H431,FourWeekly_Model!$B$2:$B$29,0)),0),IFERROR(INDEX(FourWeekly_Model!$D$2:$D$29,MATCH(H432,FourWeekly_Model!$B$2:$B$29,0)),0)),0))))))</f>
        <v>9.9642859800000011E-3</v>
      </c>
      <c r="N428" s="27">
        <f>SUM(I428:M428)</f>
        <v>4.2066529745183247E-2</v>
      </c>
      <c r="O428" s="28">
        <f>Population_Data!$B$8*N428</f>
        <v>1274615.8512790524</v>
      </c>
      <c r="P428" s="27">
        <f>IF(VLOOKUP($A428,Calendar!$A$1:$R$1377,18,0)=0,0,IF(VLOOKUP($A428,Calendar!$A$1:$R$1377,18,0)=1,IFERROR(INDEX(Pension_Model!$D$2:$D$29,MATCH(H428,Pension_Model!$B$2:$B$29,0)),0),IF(VLOOKUP($A428,Calendar!$A$1:$R$1377,18,0)=2,SUM(IFERROR(INDEX(Pension_Model!$D$2:$D$29,MATCH(H428,Pension_Model!$B$2:$B$29,0)),0),IFERROR(INDEX(Pension_Model!$D$2:$D$29,MATCH(H429,Pension_Model!$B$2:$B$29,0)),0)),IF(VLOOKUP($A428,Calendar!$A$1:$R$1377,18,0)=3,SUM(IFERROR(INDEX(Pension_Model!$D$2:$D$29,MATCH(H428,Pension_Model!$B$2:$B$29,0)),0),IFERROR(INDEX(Pension_Model!$D$2:$D$29,MATCH(H429,Pension_Model!$B$2:$B$29,0)),0),IFERROR(INDEX(Pension_Model!$D$2:$D$29,MATCH(H430,Pension_Model!$B$2:$B$29,0)),0)),IF(VLOOKUP($A428,Calendar!$A$1:$R$1377,18,0)=4,SUM(IFERROR(INDEX(Pension_Model!$D$2:$D$29,MATCH(H428,Pension_Model!$B$2:$B$29,0)),0),IFERROR(INDEX(Pension_Model!$D$2:$D$29,MATCH(H429,Pension_Model!$B$2:$B$29,0)),0),IFERROR(INDEX(Pension_Model!$D$2:$D$29,MATCH(H430,Pension_Model!$B$2:$B$29,0)),0),IFERROR(INDEX(Pension_Model!$D$2:$D$29,MATCH(H431,Pension_Model!$B$2:$B$29,0)),0)),IF(VLOOKUP($A428,Calendar!$A$1:$R$1377,18,0)=5,SUM(IFERROR(INDEX(Pension_Model!$D$2:$D$29,MATCH(H428,Pension_Model!$B$2:$B$29,0)),0),IFERROR(INDEX(Pension_Model!$D$2:$D$29,MATCH(H429,Pension_Model!$B$2:$B$29,0)),0),IFERROR(INDEX(Pension_Model!$D$2:$D$29,MATCH(H430,Pension_Model!$B$2:$B$29,0)),0),IFERROR(INDEX(Pension_Model!$D$2:$D$29,MATCH(H431,Pension_Model!$B$2:$B$29,0)),0),IFERROR(INDEX(Pension_Model!$D$2:$D$29,MATCH(H432,Pension_Model!$B$2:$B$29,0)),0)),0))))))</f>
        <v>0.05</v>
      </c>
      <c r="Q428" s="28">
        <f>Population_Data!$B$15*P428</f>
        <v>660600</v>
      </c>
      <c r="S428">
        <f t="shared" si="6"/>
        <v>1935215.8512790524</v>
      </c>
      <c r="U428" s="33">
        <f>S428/Population_Data!$B$19</f>
        <v>3.505825817534515E-2</v>
      </c>
    </row>
    <row r="429" spans="1:21">
      <c r="A429" s="25">
        <f>Calendar!A429</f>
        <v>46662</v>
      </c>
      <c r="B429" t="str">
        <f>Calendar!L429</f>
        <v>No</v>
      </c>
      <c r="C429" t="str">
        <f>Calendar!O429</f>
        <v>No</v>
      </c>
      <c r="D429" t="str">
        <f>Calendar!P429</f>
        <v>No</v>
      </c>
      <c r="E429" t="str">
        <f>Calendar!Q429</f>
        <v>No</v>
      </c>
      <c r="F429" t="str">
        <f>Calendar!I429</f>
        <v>Saturday</v>
      </c>
      <c r="G429">
        <f>Calendar!S429</f>
        <v>0</v>
      </c>
      <c r="H429">
        <f>Calendar!T429</f>
        <v>14</v>
      </c>
      <c r="I429" s="27">
        <f>IF(VLOOKUP(A429,Calendar!$A$1:$R$1377,18,0)=0,0,IF(VLOOKUP(A429,Calendar!$A$1:$R$1377,18,0)=1,INDEX(Monthly_Pay_Model!$A$9:$D$40,MATCH(TEXT(A429,"dd"),Monthly_Pay_Model!$C$9:$C$39,0),4),IF(VLOOKUP(A429,Calendar!$A$1:$R$1377,18,0)=2,SUM(INDEX(Monthly_Pay_Model!$A$9:$D$40,MATCH(TEXT(A429,"dd"),Monthly_Pay_Model!$C$9:$C$39,0),4),INDEX(Monthly_Pay_Model!$A$9:$D$40,MATCH(TEXT(A430,"dd"),Monthly_Pay_Model!$C$9:$C$39,0),4)),IF(VLOOKUP(A429,Calendar!$A$1:$R$1377,18,0)=3,SUM(INDEX(Monthly_Pay_Model!$A$9:$D$40,MATCH(TEXT(A429,"dd"),Monthly_Pay_Model!$C$9:$C$39,0),4),INDEX(Monthly_Pay_Model!$A$9:$D$40,MATCH(TEXT(A430,"dd"),Monthly_Pay_Model!$C$9:$C$39,0),4),INDEX(Monthly_Pay_Model!$A$9:$D$40,MATCH(TEXT(A431,"dd"),Monthly_Pay_Model!$C$9:$C$39,0),4)),IF(VLOOKUP(A429,Calendar!$A$1:$R$1377,18,0)=4,SUM(INDEX(Monthly_Pay_Model!$A$9:$D$40,MATCH(TEXT(A429,"dd"),Monthly_Pay_Model!$C$9:$C$39,0),4),INDEX(Monthly_Pay_Model!$A$9:$D$40,MATCH(TEXT(A430,"dd"),Monthly_Pay_Model!$C$9:$C$39,0),4),INDEX(Monthly_Pay_Model!$A$9:$D$40,MATCH(TEXT(A431,"dd"),Monthly_Pay_Model!$C$9:$C$39,0),4),INDEX(Monthly_Pay_Model!$A$9:$D$40,MATCH(TEXT(A432,"dd"),Monthly_Pay_Model!$C$9:$C$39,0),4)),IF(VLOOKUP(A429,Calendar!$A$1:$R$1377,18,0)=5,SUM(INDEX(Monthly_Pay_Model!$A$9:$D$40,MATCH(TEXT(A429,"dd"),Monthly_Pay_Model!$C$9:$C$39,0),4),INDEX(Monthly_Pay_Model!$A$9:$D$40,MATCH(TEXT(A430,"dd"),Monthly_Pay_Model!$C$9:$C$39,0),4),INDEX(Monthly_Pay_Model!$A$9:$D$40,MATCH(TEXT(A431,"dd"),Monthly_Pay_Model!$C$9:$C$39,0),4),INDEX(Monthly_Pay_Model!$A$9:$D$40,MATCH(TEXT(A432,"dd"),Monthly_Pay_Model!$C$9:$C$39,0),4),INDEX(Monthly_Pay_Model!$A$9:$D$40,MATCH(TEXT(A433,"dd"),Monthly_Pay_Model!$C$9:$C$39,0),4)),))))))</f>
        <v>0</v>
      </c>
      <c r="J429" s="33">
        <f>IF(C429="Yes",Monthly_Pay_Model!$D$2,0)
+IF(Calendar!N429="Yes",Monthly_Pay_Model!$D$3,0)
+IF(D429="Yes",Monthly_Pay_Model!$D$4,0)
+IF(E429="Yes",Monthly_Pay_Model!$D$5,0)</f>
        <v>0</v>
      </c>
      <c r="K429" s="27">
        <f>IF(VLOOKUP($A429,Calendar!$A$1:$R$1377,18,0)=0,0,IF(VLOOKUP($A429,Calendar!$A$1:$R$1377,18,0)=1,IFERROR(INDEX(Weekly_Model!$D$2:$D$9,MATCH(F429,Weekly_Model!$A$2:$A$9,0)),0),IF(VLOOKUP($A429,Calendar!$A$1:$R$1377,18,0)=2,SUM(IFERROR(INDEX(Weekly_Model!$D$2:$D$9,MATCH(F429,Weekly_Model!$A$2:$A$9,0)),0),IFERROR(INDEX(Weekly_Model!$D$2:$D$9,MATCH(F430,Weekly_Model!$A$2:$A$9,0)),0)),IF(VLOOKUP($A429,Calendar!$A$1:$R$1377,18,0)=3,SUM(IFERROR(INDEX(Weekly_Model!$D$2:$D$9,MATCH(F429,Weekly_Model!$A$2:$A$9,0)),0),IFERROR(INDEX(Weekly_Model!$D$2:$D$9,MATCH(F430,Weekly_Model!$A$2:$A$9,0)),0),IFERROR(INDEX(Weekly_Model!$D$2:$D$9,MATCH(F431,Weekly_Model!$A$2:$A$9,0)),0)),IF(VLOOKUP($A429,Calendar!$A$1:$R$1377,18,0)=4,SUM(IFERROR(INDEX(Weekly_Model!$D$2:$D$9,MATCH(F429,Weekly_Model!$A$2:$A$9,0)),0),IFERROR(INDEX(Weekly_Model!$D$2:$D$9,MATCH(F430,Weekly_Model!$A$2:$A$9,0)),0),IFERROR(INDEX(Weekly_Model!$D$2:$D$9,MATCH(F431,Weekly_Model!$A$2:$A$9,0)),0),IFERROR(INDEX(Weekly_Model!$D$2:$D$9,MATCH(F432,Weekly_Model!$A$2:$A$9,0)),0)),IF(VLOOKUP($A429,Calendar!$A$1:$R$1377,18,0)=5,SUM(IFERROR(INDEX(Weekly_Model!$D$2:$D$9,MATCH(F429,Weekly_Model!$A$2:$A$9,0)),0),IFERROR(INDEX(Weekly_Model!$D$2:$D$9,MATCH(F430,Weekly_Model!$A$2:$A$9,0)),0),IFERROR(INDEX(Weekly_Model!$D$2:$D$9,MATCH(F431,Weekly_Model!$A$2:$A$9,0)),0),IFERROR(INDEX(Weekly_Model!$D$2:$D$9,MATCH(F432,Weekly_Model!$A$2:$A$9,0)),0),IFERROR(INDEX(Weekly_Model!$D$2:$D$9,MATCH(F433,Weekly_Model!$A$2:$A$9,0)),0)),0))))))</f>
        <v>0</v>
      </c>
      <c r="L429" s="27">
        <f>IF(VLOOKUP($A429,Calendar!$A$1:$R$1377,18,0)=0,0,IF(VLOOKUP($A429,Calendar!$A$1:$R$1377,18,0)=1,IFERROR(INDEX(Fortnightly_Model!$D$2:$D$15,MATCH(G429,Fortnightly_Model!$B$2:$B$15,0)),0),IF(VLOOKUP($A429,Calendar!$A$1:$R$1377,18,0)=2,SUM(IFERROR(INDEX(Fortnightly_Model!$D$2:$D$15,MATCH(G429,Fortnightly_Model!$B$2:$B$15,0)),0),IFERROR(INDEX(Fortnightly_Model!$D$2:$D$15,MATCH(G430,Fortnightly_Model!$B$2:$B$15,0)),0)),IF(VLOOKUP($A429,Calendar!$A$1:$R$1377,18,0)=3,SUM(IFERROR(INDEX(Fortnightly_Model!$D$2:$D$15,MATCH(G429,Fortnightly_Model!$B$2:$B$15,0)),0),IFERROR(INDEX(Fortnightly_Model!$D$2:$D$15,MATCH(G430,Fortnightly_Model!$B$2:$B$15,0)),0),IFERROR(INDEX(Fortnightly_Model!$D$2:$D$15,MATCH(G431,Fortnightly_Model!$B$2:$B$15,0)),0)),IF(VLOOKUP($A429,Calendar!$A$1:$R$1377,18,0)=4,SUM(IFERROR(INDEX(Fortnightly_Model!$D$2:$D$15,MATCH(G429,Fortnightly_Model!$B$2:$B$15,0)),0),IFERROR(INDEX(Fortnightly_Model!$D$2:$D$15,MATCH(G430,Fortnightly_Model!$B$2:$B$15,0)),0),IFERROR(INDEX(Fortnightly_Model!$D$2:$D$15,MATCH(G431,Fortnightly_Model!$B$2:$B$15,0)),0),IFERROR(INDEX(Fortnightly_Model!$D$2:$D$15,MATCH(G432,Fortnightly_Model!$B$2:$B$15,0)),0)),IF(VLOOKUP($A429,Calendar!$A$1:$R$1377,18,0)=5,SUM(IFERROR(INDEX(Fortnightly_Model!$D$2:$D$15,MATCH(G429,Fortnightly_Model!$B$2:$B$15,0)),0),IFERROR(INDEX(Fortnightly_Model!$D$2:$D$15,MATCH(G430,Fortnightly_Model!$B$2:$B$15,0)),0),IFERROR(INDEX(Fortnightly_Model!$D$2:$D$15,MATCH(G431,Fortnightly_Model!$B$2:$B$15,0)),0),IFERROR(INDEX(Fortnightly_Model!$D$2:$D$15,MATCH(G432,Fortnightly_Model!$B$2:$B$15,0)),0),IFERROR(INDEX(Fortnightly_Model!$D$2:$D$15,MATCH(G433,Fortnightly_Model!$B$2:$B$15,0)),0)),0))))))</f>
        <v>0</v>
      </c>
      <c r="M429" s="27">
        <f>IF(VLOOKUP($A429,Calendar!$A$1:$R$1377,18,0)=0,0,IF(VLOOKUP($A429,Calendar!$A$1:$R$1377,18,0)=1,IFERROR(INDEX(FourWeekly_Model!$D$2:$D$29,MATCH(H429,FourWeekly_Model!$B$2:$B$29,0)),0),IF(VLOOKUP($A429,Calendar!$A$1:$R$1377,18,0)=2,SUM(IFERROR(INDEX(FourWeekly_Model!$D$2:$D$29,MATCH(H429,FourWeekly_Model!$B$2:$B$29,0)),0),IFERROR(INDEX(FourWeekly_Model!$D$2:$D$29,MATCH(H430,FourWeekly_Model!$B$2:$B$29,0)),0)),IF(VLOOKUP($A429,Calendar!$A$1:$R$1377,18,0)=3,SUM(IFERROR(INDEX(FourWeekly_Model!$D$2:$D$29,MATCH(H429,FourWeekly_Model!$B$2:$B$29,0)),0),IFERROR(INDEX(FourWeekly_Model!$D$2:$D$29,MATCH(H430,FourWeekly_Model!$B$2:$B$29,0)),0),IFERROR(INDEX(FourWeekly_Model!$D$2:$D$29,MATCH(H431,FourWeekly_Model!$B$2:$B$29,0)),0)),IF(VLOOKUP($A429,Calendar!$A$1:$R$1377,18,0)=4,SUM(IFERROR(INDEX(FourWeekly_Model!$D$2:$D$29,MATCH(H429,FourWeekly_Model!$B$2:$B$29,0)),0),IFERROR(INDEX(FourWeekly_Model!$D$2:$D$29,MATCH(H430,FourWeekly_Model!$B$2:$B$29,0)),0),IFERROR(INDEX(FourWeekly_Model!$D$2:$D$29,MATCH(H431,FourWeekly_Model!$B$2:$B$29,0)),0),IFERROR(INDEX(FourWeekly_Model!$D$2:$D$29,MATCH(H432,FourWeekly_Model!$B$2:$B$29,0)),0)),IF(VLOOKUP($A429,Calendar!$A$1:$R$1377,18,0)=5,SUM(IFERROR(INDEX(FourWeekly_Model!$D$2:$D$29,MATCH(H429,FourWeekly_Model!$B$2:$B$29,0)),0),IFERROR(INDEX(FourWeekly_Model!$D$2:$D$29,MATCH(H430,FourWeekly_Model!$B$2:$B$29,0)),0),IFERROR(INDEX(FourWeekly_Model!$D$2:$D$29,MATCH(H431,FourWeekly_Model!$B$2:$B$29,0)),0),IFERROR(INDEX(FourWeekly_Model!$D$2:$D$29,MATCH(H432,FourWeekly_Model!$B$2:$B$29,0)),0),IFERROR(INDEX(FourWeekly_Model!$D$2:$D$29,MATCH(H433,FourWeekly_Model!$B$2:$B$29,0)),0)),0))))))</f>
        <v>0</v>
      </c>
      <c r="N429" s="27">
        <f>SUM(I429:M429)</f>
        <v>0</v>
      </c>
      <c r="O429" s="28">
        <f>Population_Data!$B$8*N429</f>
        <v>0</v>
      </c>
      <c r="P429" s="27">
        <f>IF(VLOOKUP($A429,Calendar!$A$1:$R$1377,18,0)=0,0,IF(VLOOKUP($A429,Calendar!$A$1:$R$1377,18,0)=1,IFERROR(INDEX(Pension_Model!$D$2:$D$29,MATCH(H429,Pension_Model!$B$2:$B$29,0)),0),IF(VLOOKUP($A429,Calendar!$A$1:$R$1377,18,0)=2,SUM(IFERROR(INDEX(Pension_Model!$D$2:$D$29,MATCH(H429,Pension_Model!$B$2:$B$29,0)),0),IFERROR(INDEX(Pension_Model!$D$2:$D$29,MATCH(H430,Pension_Model!$B$2:$B$29,0)),0)),IF(VLOOKUP($A429,Calendar!$A$1:$R$1377,18,0)=3,SUM(IFERROR(INDEX(Pension_Model!$D$2:$D$29,MATCH(H429,Pension_Model!$B$2:$B$29,0)),0),IFERROR(INDEX(Pension_Model!$D$2:$D$29,MATCH(H430,Pension_Model!$B$2:$B$29,0)),0),IFERROR(INDEX(Pension_Model!$D$2:$D$29,MATCH(H431,Pension_Model!$B$2:$B$29,0)),0)),IF(VLOOKUP($A429,Calendar!$A$1:$R$1377,18,0)=4,SUM(IFERROR(INDEX(Pension_Model!$D$2:$D$29,MATCH(H429,Pension_Model!$B$2:$B$29,0)),0),IFERROR(INDEX(Pension_Model!$D$2:$D$29,MATCH(H430,Pension_Model!$B$2:$B$29,0)),0),IFERROR(INDEX(Pension_Model!$D$2:$D$29,MATCH(H431,Pension_Model!$B$2:$B$29,0)),0),IFERROR(INDEX(Pension_Model!$D$2:$D$29,MATCH(H432,Pension_Model!$B$2:$B$29,0)),0)),IF(VLOOKUP($A429,Calendar!$A$1:$R$1377,18,0)=5,SUM(IFERROR(INDEX(Pension_Model!$D$2:$D$29,MATCH(H429,Pension_Model!$B$2:$B$29,0)),0),IFERROR(INDEX(Pension_Model!$D$2:$D$29,MATCH(H430,Pension_Model!$B$2:$B$29,0)),0),IFERROR(INDEX(Pension_Model!$D$2:$D$29,MATCH(H431,Pension_Model!$B$2:$B$29,0)),0),IFERROR(INDEX(Pension_Model!$D$2:$D$29,MATCH(H432,Pension_Model!$B$2:$B$29,0)),0),IFERROR(INDEX(Pension_Model!$D$2:$D$29,MATCH(H433,Pension_Model!$B$2:$B$29,0)),0)),0))))))</f>
        <v>0</v>
      </c>
      <c r="Q429" s="28">
        <f>Population_Data!$B$15*P429</f>
        <v>0</v>
      </c>
      <c r="S429">
        <f t="shared" si="6"/>
        <v>0</v>
      </c>
      <c r="U429" s="33">
        <f>S429/Population_Data!$B$19</f>
        <v>0</v>
      </c>
    </row>
    <row r="430" spans="1:21">
      <c r="A430" s="25">
        <f>Calendar!A430</f>
        <v>46663</v>
      </c>
      <c r="B430" t="str">
        <f>Calendar!L430</f>
        <v>No</v>
      </c>
      <c r="C430" t="str">
        <f>Calendar!O430</f>
        <v>No</v>
      </c>
      <c r="D430" t="str">
        <f>Calendar!P430</f>
        <v>No</v>
      </c>
      <c r="E430" t="str">
        <f>Calendar!Q430</f>
        <v>No</v>
      </c>
      <c r="F430" t="str">
        <f>Calendar!I430</f>
        <v>Sunday</v>
      </c>
      <c r="G430">
        <f>Calendar!S430</f>
        <v>1</v>
      </c>
      <c r="H430">
        <f>Calendar!T430</f>
        <v>15</v>
      </c>
      <c r="I430" s="27">
        <f>IF(VLOOKUP(A430,Calendar!$A$1:$R$1377,18,0)=0,0,IF(VLOOKUP(A430,Calendar!$A$1:$R$1377,18,0)=1,INDEX(Monthly_Pay_Model!$A$9:$D$40,MATCH(TEXT(A430,"dd"),Monthly_Pay_Model!$C$9:$C$39,0),4),IF(VLOOKUP(A430,Calendar!$A$1:$R$1377,18,0)=2,SUM(INDEX(Monthly_Pay_Model!$A$9:$D$40,MATCH(TEXT(A430,"dd"),Monthly_Pay_Model!$C$9:$C$39,0),4),INDEX(Monthly_Pay_Model!$A$9:$D$40,MATCH(TEXT(A431,"dd"),Monthly_Pay_Model!$C$9:$C$39,0),4)),IF(VLOOKUP(A430,Calendar!$A$1:$R$1377,18,0)=3,SUM(INDEX(Monthly_Pay_Model!$A$9:$D$40,MATCH(TEXT(A430,"dd"),Monthly_Pay_Model!$C$9:$C$39,0),4),INDEX(Monthly_Pay_Model!$A$9:$D$40,MATCH(TEXT(A431,"dd"),Monthly_Pay_Model!$C$9:$C$39,0),4),INDEX(Monthly_Pay_Model!$A$9:$D$40,MATCH(TEXT(A432,"dd"),Monthly_Pay_Model!$C$9:$C$39,0),4)),IF(VLOOKUP(A430,Calendar!$A$1:$R$1377,18,0)=4,SUM(INDEX(Monthly_Pay_Model!$A$9:$D$40,MATCH(TEXT(A430,"dd"),Monthly_Pay_Model!$C$9:$C$39,0),4),INDEX(Monthly_Pay_Model!$A$9:$D$40,MATCH(TEXT(A431,"dd"),Monthly_Pay_Model!$C$9:$C$39,0),4),INDEX(Monthly_Pay_Model!$A$9:$D$40,MATCH(TEXT(A432,"dd"),Monthly_Pay_Model!$C$9:$C$39,0),4),INDEX(Monthly_Pay_Model!$A$9:$D$40,MATCH(TEXT(A433,"dd"),Monthly_Pay_Model!$C$9:$C$39,0),4)),IF(VLOOKUP(A430,Calendar!$A$1:$R$1377,18,0)=5,SUM(INDEX(Monthly_Pay_Model!$A$9:$D$40,MATCH(TEXT(A430,"dd"),Monthly_Pay_Model!$C$9:$C$39,0),4),INDEX(Monthly_Pay_Model!$A$9:$D$40,MATCH(TEXT(A431,"dd"),Monthly_Pay_Model!$C$9:$C$39,0),4),INDEX(Monthly_Pay_Model!$A$9:$D$40,MATCH(TEXT(A432,"dd"),Monthly_Pay_Model!$C$9:$C$39,0),4),INDEX(Monthly_Pay_Model!$A$9:$D$40,MATCH(TEXT(A433,"dd"),Monthly_Pay_Model!$C$9:$C$39,0),4),INDEX(Monthly_Pay_Model!$A$9:$D$40,MATCH(TEXT(A434,"dd"),Monthly_Pay_Model!$C$9:$C$39,0),4)),))))))</f>
        <v>0</v>
      </c>
      <c r="J430" s="33">
        <f>IF(C430="Yes",Monthly_Pay_Model!$D$2,0)
+IF(Calendar!N430="Yes",Monthly_Pay_Model!$D$3,0)
+IF(D430="Yes",Monthly_Pay_Model!$D$4,0)
+IF(E430="Yes",Monthly_Pay_Model!$D$5,0)</f>
        <v>0</v>
      </c>
      <c r="K430" s="27">
        <f>IF(VLOOKUP($A430,Calendar!$A$1:$R$1377,18,0)=0,0,IF(VLOOKUP($A430,Calendar!$A$1:$R$1377,18,0)=1,IFERROR(INDEX(Weekly_Model!$D$2:$D$9,MATCH(F430,Weekly_Model!$A$2:$A$9,0)),0),IF(VLOOKUP($A430,Calendar!$A$1:$R$1377,18,0)=2,SUM(IFERROR(INDEX(Weekly_Model!$D$2:$D$9,MATCH(F430,Weekly_Model!$A$2:$A$9,0)),0),IFERROR(INDEX(Weekly_Model!$D$2:$D$9,MATCH(F431,Weekly_Model!$A$2:$A$9,0)),0)),IF(VLOOKUP($A430,Calendar!$A$1:$R$1377,18,0)=3,SUM(IFERROR(INDEX(Weekly_Model!$D$2:$D$9,MATCH(F430,Weekly_Model!$A$2:$A$9,0)),0),IFERROR(INDEX(Weekly_Model!$D$2:$D$9,MATCH(F431,Weekly_Model!$A$2:$A$9,0)),0),IFERROR(INDEX(Weekly_Model!$D$2:$D$9,MATCH(F432,Weekly_Model!$A$2:$A$9,0)),0)),IF(VLOOKUP($A430,Calendar!$A$1:$R$1377,18,0)=4,SUM(IFERROR(INDEX(Weekly_Model!$D$2:$D$9,MATCH(F430,Weekly_Model!$A$2:$A$9,0)),0),IFERROR(INDEX(Weekly_Model!$D$2:$D$9,MATCH(F431,Weekly_Model!$A$2:$A$9,0)),0),IFERROR(INDEX(Weekly_Model!$D$2:$D$9,MATCH(F432,Weekly_Model!$A$2:$A$9,0)),0),IFERROR(INDEX(Weekly_Model!$D$2:$D$9,MATCH(F433,Weekly_Model!$A$2:$A$9,0)),0)),IF(VLOOKUP($A430,Calendar!$A$1:$R$1377,18,0)=5,SUM(IFERROR(INDEX(Weekly_Model!$D$2:$D$9,MATCH(F430,Weekly_Model!$A$2:$A$9,0)),0),IFERROR(INDEX(Weekly_Model!$D$2:$D$9,MATCH(F431,Weekly_Model!$A$2:$A$9,0)),0),IFERROR(INDEX(Weekly_Model!$D$2:$D$9,MATCH(F432,Weekly_Model!$A$2:$A$9,0)),0),IFERROR(INDEX(Weekly_Model!$D$2:$D$9,MATCH(F433,Weekly_Model!$A$2:$A$9,0)),0),IFERROR(INDEX(Weekly_Model!$D$2:$D$9,MATCH(F434,Weekly_Model!$A$2:$A$9,0)),0)),0))))))</f>
        <v>0</v>
      </c>
      <c r="L430" s="27">
        <f>IF(VLOOKUP($A430,Calendar!$A$1:$R$1377,18,0)=0,0,IF(VLOOKUP($A430,Calendar!$A$1:$R$1377,18,0)=1,IFERROR(INDEX(Fortnightly_Model!$D$2:$D$15,MATCH(G430,Fortnightly_Model!$B$2:$B$15,0)),0),IF(VLOOKUP($A430,Calendar!$A$1:$R$1377,18,0)=2,SUM(IFERROR(INDEX(Fortnightly_Model!$D$2:$D$15,MATCH(G430,Fortnightly_Model!$B$2:$B$15,0)),0),IFERROR(INDEX(Fortnightly_Model!$D$2:$D$15,MATCH(G431,Fortnightly_Model!$B$2:$B$15,0)),0)),IF(VLOOKUP($A430,Calendar!$A$1:$R$1377,18,0)=3,SUM(IFERROR(INDEX(Fortnightly_Model!$D$2:$D$15,MATCH(G430,Fortnightly_Model!$B$2:$B$15,0)),0),IFERROR(INDEX(Fortnightly_Model!$D$2:$D$15,MATCH(G431,Fortnightly_Model!$B$2:$B$15,0)),0),IFERROR(INDEX(Fortnightly_Model!$D$2:$D$15,MATCH(G432,Fortnightly_Model!$B$2:$B$15,0)),0)),IF(VLOOKUP($A430,Calendar!$A$1:$R$1377,18,0)=4,SUM(IFERROR(INDEX(Fortnightly_Model!$D$2:$D$15,MATCH(G430,Fortnightly_Model!$B$2:$B$15,0)),0),IFERROR(INDEX(Fortnightly_Model!$D$2:$D$15,MATCH(G431,Fortnightly_Model!$B$2:$B$15,0)),0),IFERROR(INDEX(Fortnightly_Model!$D$2:$D$15,MATCH(G432,Fortnightly_Model!$B$2:$B$15,0)),0),IFERROR(INDEX(Fortnightly_Model!$D$2:$D$15,MATCH(G433,Fortnightly_Model!$B$2:$B$15,0)),0)),IF(VLOOKUP($A430,Calendar!$A$1:$R$1377,18,0)=5,SUM(IFERROR(INDEX(Fortnightly_Model!$D$2:$D$15,MATCH(G430,Fortnightly_Model!$B$2:$B$15,0)),0),IFERROR(INDEX(Fortnightly_Model!$D$2:$D$15,MATCH(G431,Fortnightly_Model!$B$2:$B$15,0)),0),IFERROR(INDEX(Fortnightly_Model!$D$2:$D$15,MATCH(G432,Fortnightly_Model!$B$2:$B$15,0)),0),IFERROR(INDEX(Fortnightly_Model!$D$2:$D$15,MATCH(G433,Fortnightly_Model!$B$2:$B$15,0)),0),IFERROR(INDEX(Fortnightly_Model!$D$2:$D$15,MATCH(G434,Fortnightly_Model!$B$2:$B$15,0)),0)),0))))))</f>
        <v>0</v>
      </c>
      <c r="M430" s="27">
        <f>IF(VLOOKUP($A430,Calendar!$A$1:$R$1377,18,0)=0,0,IF(VLOOKUP($A430,Calendar!$A$1:$R$1377,18,0)=1,IFERROR(INDEX(FourWeekly_Model!$D$2:$D$29,MATCH(H430,FourWeekly_Model!$B$2:$B$29,0)),0),IF(VLOOKUP($A430,Calendar!$A$1:$R$1377,18,0)=2,SUM(IFERROR(INDEX(FourWeekly_Model!$D$2:$D$29,MATCH(H430,FourWeekly_Model!$B$2:$B$29,0)),0),IFERROR(INDEX(FourWeekly_Model!$D$2:$D$29,MATCH(H431,FourWeekly_Model!$B$2:$B$29,0)),0)),IF(VLOOKUP($A430,Calendar!$A$1:$R$1377,18,0)=3,SUM(IFERROR(INDEX(FourWeekly_Model!$D$2:$D$29,MATCH(H430,FourWeekly_Model!$B$2:$B$29,0)),0),IFERROR(INDEX(FourWeekly_Model!$D$2:$D$29,MATCH(H431,FourWeekly_Model!$B$2:$B$29,0)),0),IFERROR(INDEX(FourWeekly_Model!$D$2:$D$29,MATCH(H432,FourWeekly_Model!$B$2:$B$29,0)),0)),IF(VLOOKUP($A430,Calendar!$A$1:$R$1377,18,0)=4,SUM(IFERROR(INDEX(FourWeekly_Model!$D$2:$D$29,MATCH(H430,FourWeekly_Model!$B$2:$B$29,0)),0),IFERROR(INDEX(FourWeekly_Model!$D$2:$D$29,MATCH(H431,FourWeekly_Model!$B$2:$B$29,0)),0),IFERROR(INDEX(FourWeekly_Model!$D$2:$D$29,MATCH(H432,FourWeekly_Model!$B$2:$B$29,0)),0),IFERROR(INDEX(FourWeekly_Model!$D$2:$D$29,MATCH(H433,FourWeekly_Model!$B$2:$B$29,0)),0)),IF(VLOOKUP($A430,Calendar!$A$1:$R$1377,18,0)=5,SUM(IFERROR(INDEX(FourWeekly_Model!$D$2:$D$29,MATCH(H430,FourWeekly_Model!$B$2:$B$29,0)),0),IFERROR(INDEX(FourWeekly_Model!$D$2:$D$29,MATCH(H431,FourWeekly_Model!$B$2:$B$29,0)),0),IFERROR(INDEX(FourWeekly_Model!$D$2:$D$29,MATCH(H432,FourWeekly_Model!$B$2:$B$29,0)),0),IFERROR(INDEX(FourWeekly_Model!$D$2:$D$29,MATCH(H433,FourWeekly_Model!$B$2:$B$29,0)),0),IFERROR(INDEX(FourWeekly_Model!$D$2:$D$29,MATCH(H434,FourWeekly_Model!$B$2:$B$29,0)),0)),0))))))</f>
        <v>0</v>
      </c>
      <c r="N430" s="27">
        <f>SUM(I430:M430)</f>
        <v>0</v>
      </c>
      <c r="O430" s="28">
        <f>Population_Data!$B$8*N430</f>
        <v>0</v>
      </c>
      <c r="P430" s="27">
        <f>IF(VLOOKUP($A430,Calendar!$A$1:$R$1377,18,0)=0,0,IF(VLOOKUP($A430,Calendar!$A$1:$R$1377,18,0)=1,IFERROR(INDEX(Pension_Model!$D$2:$D$29,MATCH(H430,Pension_Model!$B$2:$B$29,0)),0),IF(VLOOKUP($A430,Calendar!$A$1:$R$1377,18,0)=2,SUM(IFERROR(INDEX(Pension_Model!$D$2:$D$29,MATCH(H430,Pension_Model!$B$2:$B$29,0)),0),IFERROR(INDEX(Pension_Model!$D$2:$D$29,MATCH(H431,Pension_Model!$B$2:$B$29,0)),0)),IF(VLOOKUP($A430,Calendar!$A$1:$R$1377,18,0)=3,SUM(IFERROR(INDEX(Pension_Model!$D$2:$D$29,MATCH(H430,Pension_Model!$B$2:$B$29,0)),0),IFERROR(INDEX(Pension_Model!$D$2:$D$29,MATCH(H431,Pension_Model!$B$2:$B$29,0)),0),IFERROR(INDEX(Pension_Model!$D$2:$D$29,MATCH(H432,Pension_Model!$B$2:$B$29,0)),0)),IF(VLOOKUP($A430,Calendar!$A$1:$R$1377,18,0)=4,SUM(IFERROR(INDEX(Pension_Model!$D$2:$D$29,MATCH(H430,Pension_Model!$B$2:$B$29,0)),0),IFERROR(INDEX(Pension_Model!$D$2:$D$29,MATCH(H431,Pension_Model!$B$2:$B$29,0)),0),IFERROR(INDEX(Pension_Model!$D$2:$D$29,MATCH(H432,Pension_Model!$B$2:$B$29,0)),0),IFERROR(INDEX(Pension_Model!$D$2:$D$29,MATCH(H433,Pension_Model!$B$2:$B$29,0)),0)),IF(VLOOKUP($A430,Calendar!$A$1:$R$1377,18,0)=5,SUM(IFERROR(INDEX(Pension_Model!$D$2:$D$29,MATCH(H430,Pension_Model!$B$2:$B$29,0)),0),IFERROR(INDEX(Pension_Model!$D$2:$D$29,MATCH(H431,Pension_Model!$B$2:$B$29,0)),0),IFERROR(INDEX(Pension_Model!$D$2:$D$29,MATCH(H432,Pension_Model!$B$2:$B$29,0)),0),IFERROR(INDEX(Pension_Model!$D$2:$D$29,MATCH(H433,Pension_Model!$B$2:$B$29,0)),0),IFERROR(INDEX(Pension_Model!$D$2:$D$29,MATCH(H434,Pension_Model!$B$2:$B$29,0)),0)),0))))))</f>
        <v>0</v>
      </c>
      <c r="Q430" s="28">
        <f>Population_Data!$B$15*P430</f>
        <v>0</v>
      </c>
      <c r="S430">
        <f t="shared" si="6"/>
        <v>0</v>
      </c>
      <c r="U430" s="33">
        <f>S430/Population_Data!$B$19</f>
        <v>0</v>
      </c>
    </row>
    <row r="431" spans="1:21">
      <c r="A431" s="25">
        <f>Calendar!A431</f>
        <v>46664</v>
      </c>
      <c r="B431" t="str">
        <f>Calendar!L431</f>
        <v>Yes</v>
      </c>
      <c r="C431" t="str">
        <f>Calendar!O431</f>
        <v>No</v>
      </c>
      <c r="D431" t="str">
        <f>Calendar!P431</f>
        <v>No</v>
      </c>
      <c r="E431" t="str">
        <f>Calendar!Q431</f>
        <v>No</v>
      </c>
      <c r="F431" t="str">
        <f>Calendar!I431</f>
        <v>Monday</v>
      </c>
      <c r="G431">
        <f>Calendar!S431</f>
        <v>2</v>
      </c>
      <c r="H431">
        <f>Calendar!T431</f>
        <v>16</v>
      </c>
      <c r="I431" s="27">
        <f>IF(VLOOKUP(A431,Calendar!$A$1:$R$1377,18,0)=0,0,IF(VLOOKUP(A431,Calendar!$A$1:$R$1377,18,0)=1,INDEX(Monthly_Pay_Model!$A$9:$D$40,MATCH(TEXT(A431,"dd"),Monthly_Pay_Model!$C$9:$C$39,0),4),IF(VLOOKUP(A431,Calendar!$A$1:$R$1377,18,0)=2,SUM(INDEX(Monthly_Pay_Model!$A$9:$D$40,MATCH(TEXT(A431,"dd"),Monthly_Pay_Model!$C$9:$C$39,0),4),INDEX(Monthly_Pay_Model!$A$9:$D$40,MATCH(TEXT(A432,"dd"),Monthly_Pay_Model!$C$9:$C$39,0),4)),IF(VLOOKUP(A431,Calendar!$A$1:$R$1377,18,0)=3,SUM(INDEX(Monthly_Pay_Model!$A$9:$D$40,MATCH(TEXT(A431,"dd"),Monthly_Pay_Model!$C$9:$C$39,0),4),INDEX(Monthly_Pay_Model!$A$9:$D$40,MATCH(TEXT(A432,"dd"),Monthly_Pay_Model!$C$9:$C$39,0),4),INDEX(Monthly_Pay_Model!$A$9:$D$40,MATCH(TEXT(A433,"dd"),Monthly_Pay_Model!$C$9:$C$39,0),4)),IF(VLOOKUP(A431,Calendar!$A$1:$R$1377,18,0)=4,SUM(INDEX(Monthly_Pay_Model!$A$9:$D$40,MATCH(TEXT(A431,"dd"),Monthly_Pay_Model!$C$9:$C$39,0),4),INDEX(Monthly_Pay_Model!$A$9:$D$40,MATCH(TEXT(A432,"dd"),Monthly_Pay_Model!$C$9:$C$39,0),4),INDEX(Monthly_Pay_Model!$A$9:$D$40,MATCH(TEXT(A433,"dd"),Monthly_Pay_Model!$C$9:$C$39,0),4),INDEX(Monthly_Pay_Model!$A$9:$D$40,MATCH(TEXT(A434,"dd"),Monthly_Pay_Model!$C$9:$C$39,0),4)),IF(VLOOKUP(A431,Calendar!$A$1:$R$1377,18,0)=5,SUM(INDEX(Monthly_Pay_Model!$A$9:$D$40,MATCH(TEXT(A431,"dd"),Monthly_Pay_Model!$C$9:$C$39,0),4),INDEX(Monthly_Pay_Model!$A$9:$D$40,MATCH(TEXT(A432,"dd"),Monthly_Pay_Model!$C$9:$C$39,0),4),INDEX(Monthly_Pay_Model!$A$9:$D$40,MATCH(TEXT(A433,"dd"),Monthly_Pay_Model!$C$9:$C$39,0),4),INDEX(Monthly_Pay_Model!$A$9:$D$40,MATCH(TEXT(A434,"dd"),Monthly_Pay_Model!$C$9:$C$39,0),4),INDEX(Monthly_Pay_Model!$A$9:$D$40,MATCH(TEXT(A435,"dd"),Monthly_Pay_Model!$C$9:$C$39,0),4)),))))))</f>
        <v>8.1256544502617792E-4</v>
      </c>
      <c r="J431" s="33">
        <f>IF(C431="Yes",Monthly_Pay_Model!$D$2,0)
+IF(Calendar!N431="Yes",Monthly_Pay_Model!$D$3,0)
+IF(D431="Yes",Monthly_Pay_Model!$D$4,0)
+IF(E431="Yes",Monthly_Pay_Model!$D$5,0)</f>
        <v>0</v>
      </c>
      <c r="K431" s="27">
        <f>IF(VLOOKUP($A431,Calendar!$A$1:$R$1377,18,0)=0,0,IF(VLOOKUP($A431,Calendar!$A$1:$R$1377,18,0)=1,IFERROR(INDEX(Weekly_Model!$D$2:$D$9,MATCH(F431,Weekly_Model!$A$2:$A$9,0)),0),IF(VLOOKUP($A431,Calendar!$A$1:$R$1377,18,0)=2,SUM(IFERROR(INDEX(Weekly_Model!$D$2:$D$9,MATCH(F431,Weekly_Model!$A$2:$A$9,0)),0),IFERROR(INDEX(Weekly_Model!$D$2:$D$9,MATCH(F432,Weekly_Model!$A$2:$A$9,0)),0)),IF(VLOOKUP($A431,Calendar!$A$1:$R$1377,18,0)=3,SUM(IFERROR(INDEX(Weekly_Model!$D$2:$D$9,MATCH(F431,Weekly_Model!$A$2:$A$9,0)),0),IFERROR(INDEX(Weekly_Model!$D$2:$D$9,MATCH(F432,Weekly_Model!$A$2:$A$9,0)),0),IFERROR(INDEX(Weekly_Model!$D$2:$D$9,MATCH(F433,Weekly_Model!$A$2:$A$9,0)),0)),IF(VLOOKUP($A431,Calendar!$A$1:$R$1377,18,0)=4,SUM(IFERROR(INDEX(Weekly_Model!$D$2:$D$9,MATCH(F431,Weekly_Model!$A$2:$A$9,0)),0),IFERROR(INDEX(Weekly_Model!$D$2:$D$9,MATCH(F432,Weekly_Model!$A$2:$A$9,0)),0),IFERROR(INDEX(Weekly_Model!$D$2:$D$9,MATCH(F433,Weekly_Model!$A$2:$A$9,0)),0),IFERROR(INDEX(Weekly_Model!$D$2:$D$9,MATCH(F434,Weekly_Model!$A$2:$A$9,0)),0)),IF(VLOOKUP($A431,Calendar!$A$1:$R$1377,18,0)=5,SUM(IFERROR(INDEX(Weekly_Model!$D$2:$D$9,MATCH(F431,Weekly_Model!$A$2:$A$9,0)),0),IFERROR(INDEX(Weekly_Model!$D$2:$D$9,MATCH(F432,Weekly_Model!$A$2:$A$9,0)),0),IFERROR(INDEX(Weekly_Model!$D$2:$D$9,MATCH(F433,Weekly_Model!$A$2:$A$9,0)),0),IFERROR(INDEX(Weekly_Model!$D$2:$D$9,MATCH(F434,Weekly_Model!$A$2:$A$9,0)),0),IFERROR(INDEX(Weekly_Model!$D$2:$D$9,MATCH(F435,Weekly_Model!$A$2:$A$9,0)),0)),0))))))</f>
        <v>2.3200000000000002E-2</v>
      </c>
      <c r="L431" s="27">
        <f>IF(VLOOKUP($A431,Calendar!$A$1:$R$1377,18,0)=0,0,IF(VLOOKUP($A431,Calendar!$A$1:$R$1377,18,0)=1,IFERROR(INDEX(Fortnightly_Model!$D$2:$D$15,MATCH(G431,Fortnightly_Model!$B$2:$B$15,0)),0),IF(VLOOKUP($A431,Calendar!$A$1:$R$1377,18,0)=2,SUM(IFERROR(INDEX(Fortnightly_Model!$D$2:$D$15,MATCH(G431,Fortnightly_Model!$B$2:$B$15,0)),0),IFERROR(INDEX(Fortnightly_Model!$D$2:$D$15,MATCH(G432,Fortnightly_Model!$B$2:$B$15,0)),0)),IF(VLOOKUP($A431,Calendar!$A$1:$R$1377,18,0)=3,SUM(IFERROR(INDEX(Fortnightly_Model!$D$2:$D$15,MATCH(G431,Fortnightly_Model!$B$2:$B$15,0)),0),IFERROR(INDEX(Fortnightly_Model!$D$2:$D$15,MATCH(G432,Fortnightly_Model!$B$2:$B$15,0)),0),IFERROR(INDEX(Fortnightly_Model!$D$2:$D$15,MATCH(G433,Fortnightly_Model!$B$2:$B$15,0)),0)),IF(VLOOKUP($A431,Calendar!$A$1:$R$1377,18,0)=4,SUM(IFERROR(INDEX(Fortnightly_Model!$D$2:$D$15,MATCH(G431,Fortnightly_Model!$B$2:$B$15,0)),0),IFERROR(INDEX(Fortnightly_Model!$D$2:$D$15,MATCH(G432,Fortnightly_Model!$B$2:$B$15,0)),0),IFERROR(INDEX(Fortnightly_Model!$D$2:$D$15,MATCH(G433,Fortnightly_Model!$B$2:$B$15,0)),0),IFERROR(INDEX(Fortnightly_Model!$D$2:$D$15,MATCH(G434,Fortnightly_Model!$B$2:$B$15,0)),0)),IF(VLOOKUP($A431,Calendar!$A$1:$R$1377,18,0)=5,SUM(IFERROR(INDEX(Fortnightly_Model!$D$2:$D$15,MATCH(G431,Fortnightly_Model!$B$2:$B$15,0)),0),IFERROR(INDEX(Fortnightly_Model!$D$2:$D$15,MATCH(G432,Fortnightly_Model!$B$2:$B$15,0)),0),IFERROR(INDEX(Fortnightly_Model!$D$2:$D$15,MATCH(G433,Fortnightly_Model!$B$2:$B$15,0)),0),IFERROR(INDEX(Fortnightly_Model!$D$2:$D$15,MATCH(G434,Fortnightly_Model!$B$2:$B$15,0)),0),IFERROR(INDEX(Fortnightly_Model!$D$2:$D$15,MATCH(G435,Fortnightly_Model!$B$2:$B$15,0)),0)),0))))))</f>
        <v>1.0714285499999999E-3</v>
      </c>
      <c r="M431" s="27">
        <f>IF(VLOOKUP($A431,Calendar!$A$1:$R$1377,18,0)=0,0,IF(VLOOKUP($A431,Calendar!$A$1:$R$1377,18,0)=1,IFERROR(INDEX(FourWeekly_Model!$D$2:$D$29,MATCH(H431,FourWeekly_Model!$B$2:$B$29,0)),0),IF(VLOOKUP($A431,Calendar!$A$1:$R$1377,18,0)=2,SUM(IFERROR(INDEX(FourWeekly_Model!$D$2:$D$29,MATCH(H431,FourWeekly_Model!$B$2:$B$29,0)),0),IFERROR(INDEX(FourWeekly_Model!$D$2:$D$29,MATCH(H432,FourWeekly_Model!$B$2:$B$29,0)),0)),IF(VLOOKUP($A431,Calendar!$A$1:$R$1377,18,0)=3,SUM(IFERROR(INDEX(FourWeekly_Model!$D$2:$D$29,MATCH(H431,FourWeekly_Model!$B$2:$B$29,0)),0),IFERROR(INDEX(FourWeekly_Model!$D$2:$D$29,MATCH(H432,FourWeekly_Model!$B$2:$B$29,0)),0),IFERROR(INDEX(FourWeekly_Model!$D$2:$D$29,MATCH(H433,FourWeekly_Model!$B$2:$B$29,0)),0)),IF(VLOOKUP($A431,Calendar!$A$1:$R$1377,18,0)=4,SUM(IFERROR(INDEX(FourWeekly_Model!$D$2:$D$29,MATCH(H431,FourWeekly_Model!$B$2:$B$29,0)),0),IFERROR(INDEX(FourWeekly_Model!$D$2:$D$29,MATCH(H432,FourWeekly_Model!$B$2:$B$29,0)),0),IFERROR(INDEX(FourWeekly_Model!$D$2:$D$29,MATCH(H433,FourWeekly_Model!$B$2:$B$29,0)),0),IFERROR(INDEX(FourWeekly_Model!$D$2:$D$29,MATCH(H434,FourWeekly_Model!$B$2:$B$29,0)),0)),IF(VLOOKUP($A431,Calendar!$A$1:$R$1377,18,0)=5,SUM(IFERROR(INDEX(FourWeekly_Model!$D$2:$D$29,MATCH(H431,FourWeekly_Model!$B$2:$B$29,0)),0),IFERROR(INDEX(FourWeekly_Model!$D$2:$D$29,MATCH(H432,FourWeekly_Model!$B$2:$B$29,0)),0),IFERROR(INDEX(FourWeekly_Model!$D$2:$D$29,MATCH(H433,FourWeekly_Model!$B$2:$B$29,0)),0),IFERROR(INDEX(FourWeekly_Model!$D$2:$D$29,MATCH(H434,FourWeekly_Model!$B$2:$B$29,0)),0),IFERROR(INDEX(FourWeekly_Model!$D$2:$D$29,MATCH(H435,FourWeekly_Model!$B$2:$B$29,0)),0)),0))))))</f>
        <v>3.3214289700000004E-3</v>
      </c>
      <c r="N431" s="27">
        <f>SUM(I431:M431)</f>
        <v>2.840542296502618E-2</v>
      </c>
      <c r="O431" s="28">
        <f>Population_Data!$B$8*N431</f>
        <v>860684.3158402933</v>
      </c>
      <c r="P431" s="27">
        <f>IF(VLOOKUP($A431,Calendar!$A$1:$R$1377,18,0)=0,0,IF(VLOOKUP($A431,Calendar!$A$1:$R$1377,18,0)=1,IFERROR(INDEX(Pension_Model!$D$2:$D$29,MATCH(H431,Pension_Model!$B$2:$B$29,0)),0),IF(VLOOKUP($A431,Calendar!$A$1:$R$1377,18,0)=2,SUM(IFERROR(INDEX(Pension_Model!$D$2:$D$29,MATCH(H431,Pension_Model!$B$2:$B$29,0)),0),IFERROR(INDEX(Pension_Model!$D$2:$D$29,MATCH(H432,Pension_Model!$B$2:$B$29,0)),0)),IF(VLOOKUP($A431,Calendar!$A$1:$R$1377,18,0)=3,SUM(IFERROR(INDEX(Pension_Model!$D$2:$D$29,MATCH(H431,Pension_Model!$B$2:$B$29,0)),0),IFERROR(INDEX(Pension_Model!$D$2:$D$29,MATCH(H432,Pension_Model!$B$2:$B$29,0)),0),IFERROR(INDEX(Pension_Model!$D$2:$D$29,MATCH(H433,Pension_Model!$B$2:$B$29,0)),0)),IF(VLOOKUP($A431,Calendar!$A$1:$R$1377,18,0)=4,SUM(IFERROR(INDEX(Pension_Model!$D$2:$D$29,MATCH(H431,Pension_Model!$B$2:$B$29,0)),0),IFERROR(INDEX(Pension_Model!$D$2:$D$29,MATCH(H432,Pension_Model!$B$2:$B$29,0)),0),IFERROR(INDEX(Pension_Model!$D$2:$D$29,MATCH(H433,Pension_Model!$B$2:$B$29,0)),0),IFERROR(INDEX(Pension_Model!$D$2:$D$29,MATCH(H434,Pension_Model!$B$2:$B$29,0)),0)),IF(VLOOKUP($A431,Calendar!$A$1:$R$1377,18,0)=5,SUM(IFERROR(INDEX(Pension_Model!$D$2:$D$29,MATCH(H431,Pension_Model!$B$2:$B$29,0)),0),IFERROR(INDEX(Pension_Model!$D$2:$D$29,MATCH(H432,Pension_Model!$B$2:$B$29,0)),0),IFERROR(INDEX(Pension_Model!$D$2:$D$29,MATCH(H433,Pension_Model!$B$2:$B$29,0)),0),IFERROR(INDEX(Pension_Model!$D$2:$D$29,MATCH(H434,Pension_Model!$B$2:$B$29,0)),0),IFERROR(INDEX(Pension_Model!$D$2:$D$29,MATCH(H435,Pension_Model!$B$2:$B$29,0)),0)),0))))))</f>
        <v>0.05</v>
      </c>
      <c r="Q431" s="28">
        <f>Population_Data!$B$15*P431</f>
        <v>660600</v>
      </c>
      <c r="S431">
        <f t="shared" si="6"/>
        <v>1521284.3158402932</v>
      </c>
      <c r="U431" s="33">
        <f>S431/Population_Data!$B$19</f>
        <v>2.7559498475367629E-2</v>
      </c>
    </row>
    <row r="432" spans="1:21">
      <c r="A432" s="25">
        <f>Calendar!A432</f>
        <v>46665</v>
      </c>
      <c r="B432" t="str">
        <f>Calendar!L432</f>
        <v>Yes</v>
      </c>
      <c r="C432" t="str">
        <f>Calendar!O432</f>
        <v>No</v>
      </c>
      <c r="D432" t="str">
        <f>Calendar!P432</f>
        <v>No</v>
      </c>
      <c r="E432" t="str">
        <f>Calendar!Q432</f>
        <v>No</v>
      </c>
      <c r="F432" t="str">
        <f>Calendar!I432</f>
        <v>Tuesday</v>
      </c>
      <c r="G432">
        <f>Calendar!S432</f>
        <v>3</v>
      </c>
      <c r="H432">
        <f>Calendar!T432</f>
        <v>17</v>
      </c>
      <c r="I432" s="27">
        <f>IF(VLOOKUP(A432,Calendar!$A$1:$R$1377,18,0)=0,0,IF(VLOOKUP(A432,Calendar!$A$1:$R$1377,18,0)=1,INDEX(Monthly_Pay_Model!$A$9:$D$40,MATCH(TEXT(A432,"dd"),Monthly_Pay_Model!$C$9:$C$39,0),4),IF(VLOOKUP(A432,Calendar!$A$1:$R$1377,18,0)=2,SUM(INDEX(Monthly_Pay_Model!$A$9:$D$40,MATCH(TEXT(A432,"dd"),Monthly_Pay_Model!$C$9:$C$39,0),4),INDEX(Monthly_Pay_Model!$A$9:$D$40,MATCH(TEXT(A433,"dd"),Monthly_Pay_Model!$C$9:$C$39,0),4)),IF(VLOOKUP(A432,Calendar!$A$1:$R$1377,18,0)=3,SUM(INDEX(Monthly_Pay_Model!$A$9:$D$40,MATCH(TEXT(A432,"dd"),Monthly_Pay_Model!$C$9:$C$39,0),4),INDEX(Monthly_Pay_Model!$A$9:$D$40,MATCH(TEXT(A433,"dd"),Monthly_Pay_Model!$C$9:$C$39,0),4),INDEX(Monthly_Pay_Model!$A$9:$D$40,MATCH(TEXT(A434,"dd"),Monthly_Pay_Model!$C$9:$C$39,0),4)),IF(VLOOKUP(A432,Calendar!$A$1:$R$1377,18,0)=4,SUM(INDEX(Monthly_Pay_Model!$A$9:$D$40,MATCH(TEXT(A432,"dd"),Monthly_Pay_Model!$C$9:$C$39,0),4),INDEX(Monthly_Pay_Model!$A$9:$D$40,MATCH(TEXT(A433,"dd"),Monthly_Pay_Model!$C$9:$C$39,0),4),INDEX(Monthly_Pay_Model!$A$9:$D$40,MATCH(TEXT(A434,"dd"),Monthly_Pay_Model!$C$9:$C$39,0),4),INDEX(Monthly_Pay_Model!$A$9:$D$40,MATCH(TEXT(A435,"dd"),Monthly_Pay_Model!$C$9:$C$39,0),4)),IF(VLOOKUP(A432,Calendar!$A$1:$R$1377,18,0)=5,SUM(INDEX(Monthly_Pay_Model!$A$9:$D$40,MATCH(TEXT(A432,"dd"),Monthly_Pay_Model!$C$9:$C$39,0),4),INDEX(Monthly_Pay_Model!$A$9:$D$40,MATCH(TEXT(A433,"dd"),Monthly_Pay_Model!$C$9:$C$39,0),4),INDEX(Monthly_Pay_Model!$A$9:$D$40,MATCH(TEXT(A434,"dd"),Monthly_Pay_Model!$C$9:$C$39,0),4),INDEX(Monthly_Pay_Model!$A$9:$D$40,MATCH(TEXT(A435,"dd"),Monthly_Pay_Model!$C$9:$C$39,0),4),INDEX(Monthly_Pay_Model!$A$9:$D$40,MATCH(TEXT(A436,"dd"),Monthly_Pay_Model!$C$9:$C$39,0),4)),))))))</f>
        <v>7.3130890052356002E-3</v>
      </c>
      <c r="J432" s="33">
        <f>IF(C432="Yes",Monthly_Pay_Model!$D$2,0)
+IF(Calendar!N432="Yes",Monthly_Pay_Model!$D$3,0)
+IF(D432="Yes",Monthly_Pay_Model!$D$4,0)
+IF(E432="Yes",Monthly_Pay_Model!$D$5,0)</f>
        <v>0</v>
      </c>
      <c r="K432" s="27">
        <f>IF(VLOOKUP($A432,Calendar!$A$1:$R$1377,18,0)=0,0,IF(VLOOKUP($A432,Calendar!$A$1:$R$1377,18,0)=1,IFERROR(INDEX(Weekly_Model!$D$2:$D$9,MATCH(F432,Weekly_Model!$A$2:$A$9,0)),0),IF(VLOOKUP($A432,Calendar!$A$1:$R$1377,18,0)=2,SUM(IFERROR(INDEX(Weekly_Model!$D$2:$D$9,MATCH(F432,Weekly_Model!$A$2:$A$9,0)),0),IFERROR(INDEX(Weekly_Model!$D$2:$D$9,MATCH(F433,Weekly_Model!$A$2:$A$9,0)),0)),IF(VLOOKUP($A432,Calendar!$A$1:$R$1377,18,0)=3,SUM(IFERROR(INDEX(Weekly_Model!$D$2:$D$9,MATCH(F432,Weekly_Model!$A$2:$A$9,0)),0),IFERROR(INDEX(Weekly_Model!$D$2:$D$9,MATCH(F433,Weekly_Model!$A$2:$A$9,0)),0),IFERROR(INDEX(Weekly_Model!$D$2:$D$9,MATCH(F434,Weekly_Model!$A$2:$A$9,0)),0)),IF(VLOOKUP($A432,Calendar!$A$1:$R$1377,18,0)=4,SUM(IFERROR(INDEX(Weekly_Model!$D$2:$D$9,MATCH(F432,Weekly_Model!$A$2:$A$9,0)),0),IFERROR(INDEX(Weekly_Model!$D$2:$D$9,MATCH(F433,Weekly_Model!$A$2:$A$9,0)),0),IFERROR(INDEX(Weekly_Model!$D$2:$D$9,MATCH(F434,Weekly_Model!$A$2:$A$9,0)),0),IFERROR(INDEX(Weekly_Model!$D$2:$D$9,MATCH(F435,Weekly_Model!$A$2:$A$9,0)),0)),IF(VLOOKUP($A432,Calendar!$A$1:$R$1377,18,0)=5,SUM(IFERROR(INDEX(Weekly_Model!$D$2:$D$9,MATCH(F432,Weekly_Model!$A$2:$A$9,0)),0),IFERROR(INDEX(Weekly_Model!$D$2:$D$9,MATCH(F433,Weekly_Model!$A$2:$A$9,0)),0),IFERROR(INDEX(Weekly_Model!$D$2:$D$9,MATCH(F434,Weekly_Model!$A$2:$A$9,0)),0),IFERROR(INDEX(Weekly_Model!$D$2:$D$9,MATCH(F435,Weekly_Model!$A$2:$A$9,0)),0),IFERROR(INDEX(Weekly_Model!$D$2:$D$9,MATCH(F436,Weekly_Model!$A$2:$A$9,0)),0)),0))))))</f>
        <v>2.3200000000000002E-2</v>
      </c>
      <c r="L432" s="27">
        <f>IF(VLOOKUP($A432,Calendar!$A$1:$R$1377,18,0)=0,0,IF(VLOOKUP($A432,Calendar!$A$1:$R$1377,18,0)=1,IFERROR(INDEX(Fortnightly_Model!$D$2:$D$15,MATCH(G432,Fortnightly_Model!$B$2:$B$15,0)),0),IF(VLOOKUP($A432,Calendar!$A$1:$R$1377,18,0)=2,SUM(IFERROR(INDEX(Fortnightly_Model!$D$2:$D$15,MATCH(G432,Fortnightly_Model!$B$2:$B$15,0)),0),IFERROR(INDEX(Fortnightly_Model!$D$2:$D$15,MATCH(G433,Fortnightly_Model!$B$2:$B$15,0)),0)),IF(VLOOKUP($A432,Calendar!$A$1:$R$1377,18,0)=3,SUM(IFERROR(INDEX(Fortnightly_Model!$D$2:$D$15,MATCH(G432,Fortnightly_Model!$B$2:$B$15,0)),0),IFERROR(INDEX(Fortnightly_Model!$D$2:$D$15,MATCH(G433,Fortnightly_Model!$B$2:$B$15,0)),0),IFERROR(INDEX(Fortnightly_Model!$D$2:$D$15,MATCH(G434,Fortnightly_Model!$B$2:$B$15,0)),0)),IF(VLOOKUP($A432,Calendar!$A$1:$R$1377,18,0)=4,SUM(IFERROR(INDEX(Fortnightly_Model!$D$2:$D$15,MATCH(G432,Fortnightly_Model!$B$2:$B$15,0)),0),IFERROR(INDEX(Fortnightly_Model!$D$2:$D$15,MATCH(G433,Fortnightly_Model!$B$2:$B$15,0)),0),IFERROR(INDEX(Fortnightly_Model!$D$2:$D$15,MATCH(G434,Fortnightly_Model!$B$2:$B$15,0)),0),IFERROR(INDEX(Fortnightly_Model!$D$2:$D$15,MATCH(G435,Fortnightly_Model!$B$2:$B$15,0)),0)),IF(VLOOKUP($A432,Calendar!$A$1:$R$1377,18,0)=5,SUM(IFERROR(INDEX(Fortnightly_Model!$D$2:$D$15,MATCH(G432,Fortnightly_Model!$B$2:$B$15,0)),0),IFERROR(INDEX(Fortnightly_Model!$D$2:$D$15,MATCH(G433,Fortnightly_Model!$B$2:$B$15,0)),0),IFERROR(INDEX(Fortnightly_Model!$D$2:$D$15,MATCH(G434,Fortnightly_Model!$B$2:$B$15,0)),0),IFERROR(INDEX(Fortnightly_Model!$D$2:$D$15,MATCH(G435,Fortnightly_Model!$B$2:$B$15,0)),0),IFERROR(INDEX(Fortnightly_Model!$D$2:$D$15,MATCH(G436,Fortnightly_Model!$B$2:$B$15,0)),0)),0))))))</f>
        <v>1.0714285499999999E-3</v>
      </c>
      <c r="M432" s="27">
        <f>IF(VLOOKUP($A432,Calendar!$A$1:$R$1377,18,0)=0,0,IF(VLOOKUP($A432,Calendar!$A$1:$R$1377,18,0)=1,IFERROR(INDEX(FourWeekly_Model!$D$2:$D$29,MATCH(H432,FourWeekly_Model!$B$2:$B$29,0)),0),IF(VLOOKUP($A432,Calendar!$A$1:$R$1377,18,0)=2,SUM(IFERROR(INDEX(FourWeekly_Model!$D$2:$D$29,MATCH(H432,FourWeekly_Model!$B$2:$B$29,0)),0),IFERROR(INDEX(FourWeekly_Model!$D$2:$D$29,MATCH(H433,FourWeekly_Model!$B$2:$B$29,0)),0)),IF(VLOOKUP($A432,Calendar!$A$1:$R$1377,18,0)=3,SUM(IFERROR(INDEX(FourWeekly_Model!$D$2:$D$29,MATCH(H432,FourWeekly_Model!$B$2:$B$29,0)),0),IFERROR(INDEX(FourWeekly_Model!$D$2:$D$29,MATCH(H433,FourWeekly_Model!$B$2:$B$29,0)),0),IFERROR(INDEX(FourWeekly_Model!$D$2:$D$29,MATCH(H434,FourWeekly_Model!$B$2:$B$29,0)),0)),IF(VLOOKUP($A432,Calendar!$A$1:$R$1377,18,0)=4,SUM(IFERROR(INDEX(FourWeekly_Model!$D$2:$D$29,MATCH(H432,FourWeekly_Model!$B$2:$B$29,0)),0),IFERROR(INDEX(FourWeekly_Model!$D$2:$D$29,MATCH(H433,FourWeekly_Model!$B$2:$B$29,0)),0),IFERROR(INDEX(FourWeekly_Model!$D$2:$D$29,MATCH(H434,FourWeekly_Model!$B$2:$B$29,0)),0),IFERROR(INDEX(FourWeekly_Model!$D$2:$D$29,MATCH(H435,FourWeekly_Model!$B$2:$B$29,0)),0)),IF(VLOOKUP($A432,Calendar!$A$1:$R$1377,18,0)=5,SUM(IFERROR(INDEX(FourWeekly_Model!$D$2:$D$29,MATCH(H432,FourWeekly_Model!$B$2:$B$29,0)),0),IFERROR(INDEX(FourWeekly_Model!$D$2:$D$29,MATCH(H433,FourWeekly_Model!$B$2:$B$29,0)),0),IFERROR(INDEX(FourWeekly_Model!$D$2:$D$29,MATCH(H434,FourWeekly_Model!$B$2:$B$29,0)),0),IFERROR(INDEX(FourWeekly_Model!$D$2:$D$29,MATCH(H435,FourWeekly_Model!$B$2:$B$29,0)),0),IFERROR(INDEX(FourWeekly_Model!$D$2:$D$29,MATCH(H436,FourWeekly_Model!$B$2:$B$29,0)),0)),0))))))</f>
        <v>3.3214289700000004E-3</v>
      </c>
      <c r="N432" s="27">
        <f>SUM(I432:M432)</f>
        <v>3.4905946525235605E-2</v>
      </c>
      <c r="O432" s="28">
        <f>Population_Data!$B$8*N432</f>
        <v>1057650.1797146387</v>
      </c>
      <c r="P432" s="27">
        <f>IF(VLOOKUP($A432,Calendar!$A$1:$R$1377,18,0)=0,0,IF(VLOOKUP($A432,Calendar!$A$1:$R$1377,18,0)=1,IFERROR(INDEX(Pension_Model!$D$2:$D$29,MATCH(H432,Pension_Model!$B$2:$B$29,0)),0),IF(VLOOKUP($A432,Calendar!$A$1:$R$1377,18,0)=2,SUM(IFERROR(INDEX(Pension_Model!$D$2:$D$29,MATCH(H432,Pension_Model!$B$2:$B$29,0)),0),IFERROR(INDEX(Pension_Model!$D$2:$D$29,MATCH(H433,Pension_Model!$B$2:$B$29,0)),0)),IF(VLOOKUP($A432,Calendar!$A$1:$R$1377,18,0)=3,SUM(IFERROR(INDEX(Pension_Model!$D$2:$D$29,MATCH(H432,Pension_Model!$B$2:$B$29,0)),0),IFERROR(INDEX(Pension_Model!$D$2:$D$29,MATCH(H433,Pension_Model!$B$2:$B$29,0)),0),IFERROR(INDEX(Pension_Model!$D$2:$D$29,MATCH(H434,Pension_Model!$B$2:$B$29,0)),0)),IF(VLOOKUP($A432,Calendar!$A$1:$R$1377,18,0)=4,SUM(IFERROR(INDEX(Pension_Model!$D$2:$D$29,MATCH(H432,Pension_Model!$B$2:$B$29,0)),0),IFERROR(INDEX(Pension_Model!$D$2:$D$29,MATCH(H433,Pension_Model!$B$2:$B$29,0)),0),IFERROR(INDEX(Pension_Model!$D$2:$D$29,MATCH(H434,Pension_Model!$B$2:$B$29,0)),0),IFERROR(INDEX(Pension_Model!$D$2:$D$29,MATCH(H435,Pension_Model!$B$2:$B$29,0)),0)),IF(VLOOKUP($A432,Calendar!$A$1:$R$1377,18,0)=5,SUM(IFERROR(INDEX(Pension_Model!$D$2:$D$29,MATCH(H432,Pension_Model!$B$2:$B$29,0)),0),IFERROR(INDEX(Pension_Model!$D$2:$D$29,MATCH(H433,Pension_Model!$B$2:$B$29,0)),0),IFERROR(INDEX(Pension_Model!$D$2:$D$29,MATCH(H434,Pension_Model!$B$2:$B$29,0)),0),IFERROR(INDEX(Pension_Model!$D$2:$D$29,MATCH(H435,Pension_Model!$B$2:$B$29,0)),0),IFERROR(INDEX(Pension_Model!$D$2:$D$29,MATCH(H436,Pension_Model!$B$2:$B$29,0)),0)),0))))))</f>
        <v>0.05</v>
      </c>
      <c r="Q432" s="28">
        <f>Population_Data!$B$15*P432</f>
        <v>660600</v>
      </c>
      <c r="S432">
        <f t="shared" si="6"/>
        <v>1718250.1797146387</v>
      </c>
      <c r="U432" s="33">
        <f>S432/Population_Data!$B$19</f>
        <v>3.1127720647004326E-2</v>
      </c>
    </row>
    <row r="433" spans="1:21">
      <c r="A433" s="25">
        <f>Calendar!A433</f>
        <v>46666</v>
      </c>
      <c r="B433" t="str">
        <f>Calendar!L433</f>
        <v>Yes</v>
      </c>
      <c r="C433" t="str">
        <f>Calendar!O433</f>
        <v>No</v>
      </c>
      <c r="D433" t="str">
        <f>Calendar!P433</f>
        <v>No</v>
      </c>
      <c r="E433" t="str">
        <f>Calendar!Q433</f>
        <v>No</v>
      </c>
      <c r="F433" t="str">
        <f>Calendar!I433</f>
        <v>Wednesday</v>
      </c>
      <c r="G433">
        <f>Calendar!S433</f>
        <v>4</v>
      </c>
      <c r="H433">
        <f>Calendar!T433</f>
        <v>18</v>
      </c>
      <c r="I433" s="27">
        <f>IF(VLOOKUP(A433,Calendar!$A$1:$R$1377,18,0)=0,0,IF(VLOOKUP(A433,Calendar!$A$1:$R$1377,18,0)=1,INDEX(Monthly_Pay_Model!$A$9:$D$40,MATCH(TEXT(A433,"dd"),Monthly_Pay_Model!$C$9:$C$39,0),4),IF(VLOOKUP(A433,Calendar!$A$1:$R$1377,18,0)=2,SUM(INDEX(Monthly_Pay_Model!$A$9:$D$40,MATCH(TEXT(A433,"dd"),Monthly_Pay_Model!$C$9:$C$39,0),4),INDEX(Monthly_Pay_Model!$A$9:$D$40,MATCH(TEXT(A434,"dd"),Monthly_Pay_Model!$C$9:$C$39,0),4)),IF(VLOOKUP(A433,Calendar!$A$1:$R$1377,18,0)=3,SUM(INDEX(Monthly_Pay_Model!$A$9:$D$40,MATCH(TEXT(A433,"dd"),Monthly_Pay_Model!$C$9:$C$39,0),4),INDEX(Monthly_Pay_Model!$A$9:$D$40,MATCH(TEXT(A434,"dd"),Monthly_Pay_Model!$C$9:$C$39,0),4),INDEX(Monthly_Pay_Model!$A$9:$D$40,MATCH(TEXT(A435,"dd"),Monthly_Pay_Model!$C$9:$C$39,0),4)),IF(VLOOKUP(A433,Calendar!$A$1:$R$1377,18,0)=4,SUM(INDEX(Monthly_Pay_Model!$A$9:$D$40,MATCH(TEXT(A433,"dd"),Monthly_Pay_Model!$C$9:$C$39,0),4),INDEX(Monthly_Pay_Model!$A$9:$D$40,MATCH(TEXT(A434,"dd"),Monthly_Pay_Model!$C$9:$C$39,0),4),INDEX(Monthly_Pay_Model!$A$9:$D$40,MATCH(TEXT(A435,"dd"),Monthly_Pay_Model!$C$9:$C$39,0),4),INDEX(Monthly_Pay_Model!$A$9:$D$40,MATCH(TEXT(A436,"dd"),Monthly_Pay_Model!$C$9:$C$39,0),4)),IF(VLOOKUP(A433,Calendar!$A$1:$R$1377,18,0)=5,SUM(INDEX(Monthly_Pay_Model!$A$9:$D$40,MATCH(TEXT(A433,"dd"),Monthly_Pay_Model!$C$9:$C$39,0),4),INDEX(Monthly_Pay_Model!$A$9:$D$40,MATCH(TEXT(A434,"dd"),Monthly_Pay_Model!$C$9:$C$39,0),4),INDEX(Monthly_Pay_Model!$A$9:$D$40,MATCH(TEXT(A435,"dd"),Monthly_Pay_Model!$C$9:$C$39,0),4),INDEX(Monthly_Pay_Model!$A$9:$D$40,MATCH(TEXT(A436,"dd"),Monthly_Pay_Model!$C$9:$C$39,0),4),INDEX(Monthly_Pay_Model!$A$9:$D$40,MATCH(TEXT(A437,"dd"),Monthly_Pay_Model!$C$9:$C$39,0),4)),))))))</f>
        <v>3.2502617801047117E-3</v>
      </c>
      <c r="J433" s="33">
        <f>IF(C433="Yes",Monthly_Pay_Model!$D$2,0)
+IF(Calendar!N433="Yes",Monthly_Pay_Model!$D$3,0)
+IF(D433="Yes",Monthly_Pay_Model!$D$4,0)
+IF(E433="Yes",Monthly_Pay_Model!$D$5,0)</f>
        <v>0</v>
      </c>
      <c r="K433" s="27">
        <f>IF(VLOOKUP($A433,Calendar!$A$1:$R$1377,18,0)=0,0,IF(VLOOKUP($A433,Calendar!$A$1:$R$1377,18,0)=1,IFERROR(INDEX(Weekly_Model!$D$2:$D$9,MATCH(F433,Weekly_Model!$A$2:$A$9,0)),0),IF(VLOOKUP($A433,Calendar!$A$1:$R$1377,18,0)=2,SUM(IFERROR(INDEX(Weekly_Model!$D$2:$D$9,MATCH(F433,Weekly_Model!$A$2:$A$9,0)),0),IFERROR(INDEX(Weekly_Model!$D$2:$D$9,MATCH(F434,Weekly_Model!$A$2:$A$9,0)),0)),IF(VLOOKUP($A433,Calendar!$A$1:$R$1377,18,0)=3,SUM(IFERROR(INDEX(Weekly_Model!$D$2:$D$9,MATCH(F433,Weekly_Model!$A$2:$A$9,0)),0),IFERROR(INDEX(Weekly_Model!$D$2:$D$9,MATCH(F434,Weekly_Model!$A$2:$A$9,0)),0),IFERROR(INDEX(Weekly_Model!$D$2:$D$9,MATCH(F435,Weekly_Model!$A$2:$A$9,0)),0)),IF(VLOOKUP($A433,Calendar!$A$1:$R$1377,18,0)=4,SUM(IFERROR(INDEX(Weekly_Model!$D$2:$D$9,MATCH(F433,Weekly_Model!$A$2:$A$9,0)),0),IFERROR(INDEX(Weekly_Model!$D$2:$D$9,MATCH(F434,Weekly_Model!$A$2:$A$9,0)),0),IFERROR(INDEX(Weekly_Model!$D$2:$D$9,MATCH(F435,Weekly_Model!$A$2:$A$9,0)),0),IFERROR(INDEX(Weekly_Model!$D$2:$D$9,MATCH(F436,Weekly_Model!$A$2:$A$9,0)),0)),IF(VLOOKUP($A433,Calendar!$A$1:$R$1377,18,0)=5,SUM(IFERROR(INDEX(Weekly_Model!$D$2:$D$9,MATCH(F433,Weekly_Model!$A$2:$A$9,0)),0),IFERROR(INDEX(Weekly_Model!$D$2:$D$9,MATCH(F434,Weekly_Model!$A$2:$A$9,0)),0),IFERROR(INDEX(Weekly_Model!$D$2:$D$9,MATCH(F435,Weekly_Model!$A$2:$A$9,0)),0),IFERROR(INDEX(Weekly_Model!$D$2:$D$9,MATCH(F436,Weekly_Model!$A$2:$A$9,0)),0),IFERROR(INDEX(Weekly_Model!$D$2:$D$9,MATCH(F437,Weekly_Model!$A$2:$A$9,0)),0)),0))))))</f>
        <v>2.3200000000000002E-2</v>
      </c>
      <c r="L433" s="27">
        <f>IF(VLOOKUP($A433,Calendar!$A$1:$R$1377,18,0)=0,0,IF(VLOOKUP($A433,Calendar!$A$1:$R$1377,18,0)=1,IFERROR(INDEX(Fortnightly_Model!$D$2:$D$15,MATCH(G433,Fortnightly_Model!$B$2:$B$15,0)),0),IF(VLOOKUP($A433,Calendar!$A$1:$R$1377,18,0)=2,SUM(IFERROR(INDEX(Fortnightly_Model!$D$2:$D$15,MATCH(G433,Fortnightly_Model!$B$2:$B$15,0)),0),IFERROR(INDEX(Fortnightly_Model!$D$2:$D$15,MATCH(G434,Fortnightly_Model!$B$2:$B$15,0)),0)),IF(VLOOKUP($A433,Calendar!$A$1:$R$1377,18,0)=3,SUM(IFERROR(INDEX(Fortnightly_Model!$D$2:$D$15,MATCH(G433,Fortnightly_Model!$B$2:$B$15,0)),0),IFERROR(INDEX(Fortnightly_Model!$D$2:$D$15,MATCH(G434,Fortnightly_Model!$B$2:$B$15,0)),0),IFERROR(INDEX(Fortnightly_Model!$D$2:$D$15,MATCH(G435,Fortnightly_Model!$B$2:$B$15,0)),0)),IF(VLOOKUP($A433,Calendar!$A$1:$R$1377,18,0)=4,SUM(IFERROR(INDEX(Fortnightly_Model!$D$2:$D$15,MATCH(G433,Fortnightly_Model!$B$2:$B$15,0)),0),IFERROR(INDEX(Fortnightly_Model!$D$2:$D$15,MATCH(G434,Fortnightly_Model!$B$2:$B$15,0)),0),IFERROR(INDEX(Fortnightly_Model!$D$2:$D$15,MATCH(G435,Fortnightly_Model!$B$2:$B$15,0)),0),IFERROR(INDEX(Fortnightly_Model!$D$2:$D$15,MATCH(G436,Fortnightly_Model!$B$2:$B$15,0)),0)),IF(VLOOKUP($A433,Calendar!$A$1:$R$1377,18,0)=5,SUM(IFERROR(INDEX(Fortnightly_Model!$D$2:$D$15,MATCH(G433,Fortnightly_Model!$B$2:$B$15,0)),0),IFERROR(INDEX(Fortnightly_Model!$D$2:$D$15,MATCH(G434,Fortnightly_Model!$B$2:$B$15,0)),0),IFERROR(INDEX(Fortnightly_Model!$D$2:$D$15,MATCH(G435,Fortnightly_Model!$B$2:$B$15,0)),0),IFERROR(INDEX(Fortnightly_Model!$D$2:$D$15,MATCH(G436,Fortnightly_Model!$B$2:$B$15,0)),0),IFERROR(INDEX(Fortnightly_Model!$D$2:$D$15,MATCH(G437,Fortnightly_Model!$B$2:$B$15,0)),0)),0))))))</f>
        <v>1.0714285499999999E-3</v>
      </c>
      <c r="M433" s="27">
        <f>IF(VLOOKUP($A433,Calendar!$A$1:$R$1377,18,0)=0,0,IF(VLOOKUP($A433,Calendar!$A$1:$R$1377,18,0)=1,IFERROR(INDEX(FourWeekly_Model!$D$2:$D$29,MATCH(H433,FourWeekly_Model!$B$2:$B$29,0)),0),IF(VLOOKUP($A433,Calendar!$A$1:$R$1377,18,0)=2,SUM(IFERROR(INDEX(FourWeekly_Model!$D$2:$D$29,MATCH(H433,FourWeekly_Model!$B$2:$B$29,0)),0),IFERROR(INDEX(FourWeekly_Model!$D$2:$D$29,MATCH(H434,FourWeekly_Model!$B$2:$B$29,0)),0)),IF(VLOOKUP($A433,Calendar!$A$1:$R$1377,18,0)=3,SUM(IFERROR(INDEX(FourWeekly_Model!$D$2:$D$29,MATCH(H433,FourWeekly_Model!$B$2:$B$29,0)),0),IFERROR(INDEX(FourWeekly_Model!$D$2:$D$29,MATCH(H434,FourWeekly_Model!$B$2:$B$29,0)),0),IFERROR(INDEX(FourWeekly_Model!$D$2:$D$29,MATCH(H435,FourWeekly_Model!$B$2:$B$29,0)),0)),IF(VLOOKUP($A433,Calendar!$A$1:$R$1377,18,0)=4,SUM(IFERROR(INDEX(FourWeekly_Model!$D$2:$D$29,MATCH(H433,FourWeekly_Model!$B$2:$B$29,0)),0),IFERROR(INDEX(FourWeekly_Model!$D$2:$D$29,MATCH(H434,FourWeekly_Model!$B$2:$B$29,0)),0),IFERROR(INDEX(FourWeekly_Model!$D$2:$D$29,MATCH(H435,FourWeekly_Model!$B$2:$B$29,0)),0),IFERROR(INDEX(FourWeekly_Model!$D$2:$D$29,MATCH(H436,FourWeekly_Model!$B$2:$B$29,0)),0)),IF(VLOOKUP($A433,Calendar!$A$1:$R$1377,18,0)=5,SUM(IFERROR(INDEX(FourWeekly_Model!$D$2:$D$29,MATCH(H433,FourWeekly_Model!$B$2:$B$29,0)),0),IFERROR(INDEX(FourWeekly_Model!$D$2:$D$29,MATCH(H434,FourWeekly_Model!$B$2:$B$29,0)),0),IFERROR(INDEX(FourWeekly_Model!$D$2:$D$29,MATCH(H435,FourWeekly_Model!$B$2:$B$29,0)),0),IFERROR(INDEX(FourWeekly_Model!$D$2:$D$29,MATCH(H436,FourWeekly_Model!$B$2:$B$29,0)),0),IFERROR(INDEX(FourWeekly_Model!$D$2:$D$29,MATCH(H437,FourWeekly_Model!$B$2:$B$29,0)),0)),0))))))</f>
        <v>3.3214289700000004E-3</v>
      </c>
      <c r="N433" s="27">
        <f>SUM(I433:M433)</f>
        <v>3.0843119300104714E-2</v>
      </c>
      <c r="O433" s="28">
        <f>Population_Data!$B$8*N433</f>
        <v>934546.51479317283</v>
      </c>
      <c r="P433" s="27">
        <f>IF(VLOOKUP($A433,Calendar!$A$1:$R$1377,18,0)=0,0,IF(VLOOKUP($A433,Calendar!$A$1:$R$1377,18,0)=1,IFERROR(INDEX(Pension_Model!$D$2:$D$29,MATCH(H433,Pension_Model!$B$2:$B$29,0)),0),IF(VLOOKUP($A433,Calendar!$A$1:$R$1377,18,0)=2,SUM(IFERROR(INDEX(Pension_Model!$D$2:$D$29,MATCH(H433,Pension_Model!$B$2:$B$29,0)),0),IFERROR(INDEX(Pension_Model!$D$2:$D$29,MATCH(H434,Pension_Model!$B$2:$B$29,0)),0)),IF(VLOOKUP($A433,Calendar!$A$1:$R$1377,18,0)=3,SUM(IFERROR(INDEX(Pension_Model!$D$2:$D$29,MATCH(H433,Pension_Model!$B$2:$B$29,0)),0),IFERROR(INDEX(Pension_Model!$D$2:$D$29,MATCH(H434,Pension_Model!$B$2:$B$29,0)),0),IFERROR(INDEX(Pension_Model!$D$2:$D$29,MATCH(H435,Pension_Model!$B$2:$B$29,0)),0)),IF(VLOOKUP($A433,Calendar!$A$1:$R$1377,18,0)=4,SUM(IFERROR(INDEX(Pension_Model!$D$2:$D$29,MATCH(H433,Pension_Model!$B$2:$B$29,0)),0),IFERROR(INDEX(Pension_Model!$D$2:$D$29,MATCH(H434,Pension_Model!$B$2:$B$29,0)),0),IFERROR(INDEX(Pension_Model!$D$2:$D$29,MATCH(H435,Pension_Model!$B$2:$B$29,0)),0),IFERROR(INDEX(Pension_Model!$D$2:$D$29,MATCH(H436,Pension_Model!$B$2:$B$29,0)),0)),IF(VLOOKUP($A433,Calendar!$A$1:$R$1377,18,0)=5,SUM(IFERROR(INDEX(Pension_Model!$D$2:$D$29,MATCH(H433,Pension_Model!$B$2:$B$29,0)),0),IFERROR(INDEX(Pension_Model!$D$2:$D$29,MATCH(H434,Pension_Model!$B$2:$B$29,0)),0),IFERROR(INDEX(Pension_Model!$D$2:$D$29,MATCH(H435,Pension_Model!$B$2:$B$29,0)),0),IFERROR(INDEX(Pension_Model!$D$2:$D$29,MATCH(H436,Pension_Model!$B$2:$B$29,0)),0),IFERROR(INDEX(Pension_Model!$D$2:$D$29,MATCH(H437,Pension_Model!$B$2:$B$29,0)),0)),0))))))</f>
        <v>0.05</v>
      </c>
      <c r="Q433" s="28">
        <f>Population_Data!$B$15*P433</f>
        <v>660600</v>
      </c>
      <c r="S433">
        <f t="shared" si="6"/>
        <v>1595146.5147931729</v>
      </c>
      <c r="U433" s="33">
        <f>S433/Population_Data!$B$19</f>
        <v>2.8897581789731393E-2</v>
      </c>
    </row>
    <row r="434" spans="1:21">
      <c r="A434" s="25">
        <f>Calendar!A434</f>
        <v>46667</v>
      </c>
      <c r="B434" t="str">
        <f>Calendar!L434</f>
        <v>Yes</v>
      </c>
      <c r="C434" t="str">
        <f>Calendar!O434</f>
        <v>No</v>
      </c>
      <c r="D434" t="str">
        <f>Calendar!P434</f>
        <v>No</v>
      </c>
      <c r="E434" t="str">
        <f>Calendar!Q434</f>
        <v>No</v>
      </c>
      <c r="F434" t="str">
        <f>Calendar!I434</f>
        <v>Thursday</v>
      </c>
      <c r="G434">
        <f>Calendar!S434</f>
        <v>5</v>
      </c>
      <c r="H434">
        <f>Calendar!T434</f>
        <v>19</v>
      </c>
      <c r="I434" s="27">
        <f>IF(VLOOKUP(A434,Calendar!$A$1:$R$1377,18,0)=0,0,IF(VLOOKUP(A434,Calendar!$A$1:$R$1377,18,0)=1,INDEX(Monthly_Pay_Model!$A$9:$D$40,MATCH(TEXT(A434,"dd"),Monthly_Pay_Model!$C$9:$C$39,0),4),IF(VLOOKUP(A434,Calendar!$A$1:$R$1377,18,0)=2,SUM(INDEX(Monthly_Pay_Model!$A$9:$D$40,MATCH(TEXT(A434,"dd"),Monthly_Pay_Model!$C$9:$C$39,0),4),INDEX(Monthly_Pay_Model!$A$9:$D$40,MATCH(TEXT(A435,"dd"),Monthly_Pay_Model!$C$9:$C$39,0),4)),IF(VLOOKUP(A434,Calendar!$A$1:$R$1377,18,0)=3,SUM(INDEX(Monthly_Pay_Model!$A$9:$D$40,MATCH(TEXT(A434,"dd"),Monthly_Pay_Model!$C$9:$C$39,0),4),INDEX(Monthly_Pay_Model!$A$9:$D$40,MATCH(TEXT(A435,"dd"),Monthly_Pay_Model!$C$9:$C$39,0),4),INDEX(Monthly_Pay_Model!$A$9:$D$40,MATCH(TEXT(A436,"dd"),Monthly_Pay_Model!$C$9:$C$39,0),4)),IF(VLOOKUP(A434,Calendar!$A$1:$R$1377,18,0)=4,SUM(INDEX(Monthly_Pay_Model!$A$9:$D$40,MATCH(TEXT(A434,"dd"),Monthly_Pay_Model!$C$9:$C$39,0),4),INDEX(Monthly_Pay_Model!$A$9:$D$40,MATCH(TEXT(A435,"dd"),Monthly_Pay_Model!$C$9:$C$39,0),4),INDEX(Monthly_Pay_Model!$A$9:$D$40,MATCH(TEXT(A436,"dd"),Monthly_Pay_Model!$C$9:$C$39,0),4),INDEX(Monthly_Pay_Model!$A$9:$D$40,MATCH(TEXT(A437,"dd"),Monthly_Pay_Model!$C$9:$C$39,0),4)),IF(VLOOKUP(A434,Calendar!$A$1:$R$1377,18,0)=5,SUM(INDEX(Monthly_Pay_Model!$A$9:$D$40,MATCH(TEXT(A434,"dd"),Monthly_Pay_Model!$C$9:$C$39,0),4),INDEX(Monthly_Pay_Model!$A$9:$D$40,MATCH(TEXT(A435,"dd"),Monthly_Pay_Model!$C$9:$C$39,0),4),INDEX(Monthly_Pay_Model!$A$9:$D$40,MATCH(TEXT(A436,"dd"),Monthly_Pay_Model!$C$9:$C$39,0),4),INDEX(Monthly_Pay_Model!$A$9:$D$40,MATCH(TEXT(A437,"dd"),Monthly_Pay_Model!$C$9:$C$39,0),4),INDEX(Monthly_Pay_Model!$A$9:$D$40,MATCH(TEXT(A438,"dd"),Monthly_Pay_Model!$C$9:$C$39,0),4)),))))))</f>
        <v>2.4376963350785331E-3</v>
      </c>
      <c r="J434" s="33">
        <f>IF(C434="Yes",Monthly_Pay_Model!$D$2,0)
+IF(Calendar!N434="Yes",Monthly_Pay_Model!$D$3,0)
+IF(D434="Yes",Monthly_Pay_Model!$D$4,0)
+IF(E434="Yes",Monthly_Pay_Model!$D$5,0)</f>
        <v>0</v>
      </c>
      <c r="K434" s="27">
        <f>IF(VLOOKUP($A434,Calendar!$A$1:$R$1377,18,0)=0,0,IF(VLOOKUP($A434,Calendar!$A$1:$R$1377,18,0)=1,IFERROR(INDEX(Weekly_Model!$D$2:$D$9,MATCH(F434,Weekly_Model!$A$2:$A$9,0)),0),IF(VLOOKUP($A434,Calendar!$A$1:$R$1377,18,0)=2,SUM(IFERROR(INDEX(Weekly_Model!$D$2:$D$9,MATCH(F434,Weekly_Model!$A$2:$A$9,0)),0),IFERROR(INDEX(Weekly_Model!$D$2:$D$9,MATCH(F435,Weekly_Model!$A$2:$A$9,0)),0)),IF(VLOOKUP($A434,Calendar!$A$1:$R$1377,18,0)=3,SUM(IFERROR(INDEX(Weekly_Model!$D$2:$D$9,MATCH(F434,Weekly_Model!$A$2:$A$9,0)),0),IFERROR(INDEX(Weekly_Model!$D$2:$D$9,MATCH(F435,Weekly_Model!$A$2:$A$9,0)),0),IFERROR(INDEX(Weekly_Model!$D$2:$D$9,MATCH(F436,Weekly_Model!$A$2:$A$9,0)),0)),IF(VLOOKUP($A434,Calendar!$A$1:$R$1377,18,0)=4,SUM(IFERROR(INDEX(Weekly_Model!$D$2:$D$9,MATCH(F434,Weekly_Model!$A$2:$A$9,0)),0),IFERROR(INDEX(Weekly_Model!$D$2:$D$9,MATCH(F435,Weekly_Model!$A$2:$A$9,0)),0),IFERROR(INDEX(Weekly_Model!$D$2:$D$9,MATCH(F436,Weekly_Model!$A$2:$A$9,0)),0),IFERROR(INDEX(Weekly_Model!$D$2:$D$9,MATCH(F437,Weekly_Model!$A$2:$A$9,0)),0)),IF(VLOOKUP($A434,Calendar!$A$1:$R$1377,18,0)=5,SUM(IFERROR(INDEX(Weekly_Model!$D$2:$D$9,MATCH(F434,Weekly_Model!$A$2:$A$9,0)),0),IFERROR(INDEX(Weekly_Model!$D$2:$D$9,MATCH(F435,Weekly_Model!$A$2:$A$9,0)),0),IFERROR(INDEX(Weekly_Model!$D$2:$D$9,MATCH(F436,Weekly_Model!$A$2:$A$9,0)),0),IFERROR(INDEX(Weekly_Model!$D$2:$D$9,MATCH(F437,Weekly_Model!$A$2:$A$9,0)),0),IFERROR(INDEX(Weekly_Model!$D$2:$D$9,MATCH(F438,Weekly_Model!$A$2:$A$9,0)),0)),0))))))</f>
        <v>2.3200000000000002E-2</v>
      </c>
      <c r="L434" s="27">
        <f>IF(VLOOKUP($A434,Calendar!$A$1:$R$1377,18,0)=0,0,IF(VLOOKUP($A434,Calendar!$A$1:$R$1377,18,0)=1,IFERROR(INDEX(Fortnightly_Model!$D$2:$D$15,MATCH(G434,Fortnightly_Model!$B$2:$B$15,0)),0),IF(VLOOKUP($A434,Calendar!$A$1:$R$1377,18,0)=2,SUM(IFERROR(INDEX(Fortnightly_Model!$D$2:$D$15,MATCH(G434,Fortnightly_Model!$B$2:$B$15,0)),0),IFERROR(INDEX(Fortnightly_Model!$D$2:$D$15,MATCH(G435,Fortnightly_Model!$B$2:$B$15,0)),0)),IF(VLOOKUP($A434,Calendar!$A$1:$R$1377,18,0)=3,SUM(IFERROR(INDEX(Fortnightly_Model!$D$2:$D$15,MATCH(G434,Fortnightly_Model!$B$2:$B$15,0)),0),IFERROR(INDEX(Fortnightly_Model!$D$2:$D$15,MATCH(G435,Fortnightly_Model!$B$2:$B$15,0)),0),IFERROR(INDEX(Fortnightly_Model!$D$2:$D$15,MATCH(G436,Fortnightly_Model!$B$2:$B$15,0)),0)),IF(VLOOKUP($A434,Calendar!$A$1:$R$1377,18,0)=4,SUM(IFERROR(INDEX(Fortnightly_Model!$D$2:$D$15,MATCH(G434,Fortnightly_Model!$B$2:$B$15,0)),0),IFERROR(INDEX(Fortnightly_Model!$D$2:$D$15,MATCH(G435,Fortnightly_Model!$B$2:$B$15,0)),0),IFERROR(INDEX(Fortnightly_Model!$D$2:$D$15,MATCH(G436,Fortnightly_Model!$B$2:$B$15,0)),0),IFERROR(INDEX(Fortnightly_Model!$D$2:$D$15,MATCH(G437,Fortnightly_Model!$B$2:$B$15,0)),0)),IF(VLOOKUP($A434,Calendar!$A$1:$R$1377,18,0)=5,SUM(IFERROR(INDEX(Fortnightly_Model!$D$2:$D$15,MATCH(G434,Fortnightly_Model!$B$2:$B$15,0)),0),IFERROR(INDEX(Fortnightly_Model!$D$2:$D$15,MATCH(G435,Fortnightly_Model!$B$2:$B$15,0)),0),IFERROR(INDEX(Fortnightly_Model!$D$2:$D$15,MATCH(G436,Fortnightly_Model!$B$2:$B$15,0)),0),IFERROR(INDEX(Fortnightly_Model!$D$2:$D$15,MATCH(G437,Fortnightly_Model!$B$2:$B$15,0)),0),IFERROR(INDEX(Fortnightly_Model!$D$2:$D$15,MATCH(G438,Fortnightly_Model!$B$2:$B$15,0)),0)),0))))))</f>
        <v>1.0714285499999999E-3</v>
      </c>
      <c r="M434" s="27">
        <f>IF(VLOOKUP($A434,Calendar!$A$1:$R$1377,18,0)=0,0,IF(VLOOKUP($A434,Calendar!$A$1:$R$1377,18,0)=1,IFERROR(INDEX(FourWeekly_Model!$D$2:$D$29,MATCH(H434,FourWeekly_Model!$B$2:$B$29,0)),0),IF(VLOOKUP($A434,Calendar!$A$1:$R$1377,18,0)=2,SUM(IFERROR(INDEX(FourWeekly_Model!$D$2:$D$29,MATCH(H434,FourWeekly_Model!$B$2:$B$29,0)),0),IFERROR(INDEX(FourWeekly_Model!$D$2:$D$29,MATCH(H435,FourWeekly_Model!$B$2:$B$29,0)),0)),IF(VLOOKUP($A434,Calendar!$A$1:$R$1377,18,0)=3,SUM(IFERROR(INDEX(FourWeekly_Model!$D$2:$D$29,MATCH(H434,FourWeekly_Model!$B$2:$B$29,0)),0),IFERROR(INDEX(FourWeekly_Model!$D$2:$D$29,MATCH(H435,FourWeekly_Model!$B$2:$B$29,0)),0),IFERROR(INDEX(FourWeekly_Model!$D$2:$D$29,MATCH(H436,FourWeekly_Model!$B$2:$B$29,0)),0)),IF(VLOOKUP($A434,Calendar!$A$1:$R$1377,18,0)=4,SUM(IFERROR(INDEX(FourWeekly_Model!$D$2:$D$29,MATCH(H434,FourWeekly_Model!$B$2:$B$29,0)),0),IFERROR(INDEX(FourWeekly_Model!$D$2:$D$29,MATCH(H435,FourWeekly_Model!$B$2:$B$29,0)),0),IFERROR(INDEX(FourWeekly_Model!$D$2:$D$29,MATCH(H436,FourWeekly_Model!$B$2:$B$29,0)),0),IFERROR(INDEX(FourWeekly_Model!$D$2:$D$29,MATCH(H437,FourWeekly_Model!$B$2:$B$29,0)),0)),IF(VLOOKUP($A434,Calendar!$A$1:$R$1377,18,0)=5,SUM(IFERROR(INDEX(FourWeekly_Model!$D$2:$D$29,MATCH(H434,FourWeekly_Model!$B$2:$B$29,0)),0),IFERROR(INDEX(FourWeekly_Model!$D$2:$D$29,MATCH(H435,FourWeekly_Model!$B$2:$B$29,0)),0),IFERROR(INDEX(FourWeekly_Model!$D$2:$D$29,MATCH(H436,FourWeekly_Model!$B$2:$B$29,0)),0),IFERROR(INDEX(FourWeekly_Model!$D$2:$D$29,MATCH(H437,FourWeekly_Model!$B$2:$B$29,0)),0),IFERROR(INDEX(FourWeekly_Model!$D$2:$D$29,MATCH(H438,FourWeekly_Model!$B$2:$B$29,0)),0)),0))))))</f>
        <v>3.3214289700000004E-3</v>
      </c>
      <c r="N434" s="27">
        <f>SUM(I434:M434)</f>
        <v>3.0030553855078537E-2</v>
      </c>
      <c r="O434" s="28">
        <f>Population_Data!$B$8*N434</f>
        <v>909925.78180887969</v>
      </c>
      <c r="P434" s="27">
        <f>IF(VLOOKUP($A434,Calendar!$A$1:$R$1377,18,0)=0,0,IF(VLOOKUP($A434,Calendar!$A$1:$R$1377,18,0)=1,IFERROR(INDEX(Pension_Model!$D$2:$D$29,MATCH(H434,Pension_Model!$B$2:$B$29,0)),0),IF(VLOOKUP($A434,Calendar!$A$1:$R$1377,18,0)=2,SUM(IFERROR(INDEX(Pension_Model!$D$2:$D$29,MATCH(H434,Pension_Model!$B$2:$B$29,0)),0),IFERROR(INDEX(Pension_Model!$D$2:$D$29,MATCH(H435,Pension_Model!$B$2:$B$29,0)),0)),IF(VLOOKUP($A434,Calendar!$A$1:$R$1377,18,0)=3,SUM(IFERROR(INDEX(Pension_Model!$D$2:$D$29,MATCH(H434,Pension_Model!$B$2:$B$29,0)),0),IFERROR(INDEX(Pension_Model!$D$2:$D$29,MATCH(H435,Pension_Model!$B$2:$B$29,0)),0),IFERROR(INDEX(Pension_Model!$D$2:$D$29,MATCH(H436,Pension_Model!$B$2:$B$29,0)),0)),IF(VLOOKUP($A434,Calendar!$A$1:$R$1377,18,0)=4,SUM(IFERROR(INDEX(Pension_Model!$D$2:$D$29,MATCH(H434,Pension_Model!$B$2:$B$29,0)),0),IFERROR(INDEX(Pension_Model!$D$2:$D$29,MATCH(H435,Pension_Model!$B$2:$B$29,0)),0),IFERROR(INDEX(Pension_Model!$D$2:$D$29,MATCH(H436,Pension_Model!$B$2:$B$29,0)),0),IFERROR(INDEX(Pension_Model!$D$2:$D$29,MATCH(H437,Pension_Model!$B$2:$B$29,0)),0)),IF(VLOOKUP($A434,Calendar!$A$1:$R$1377,18,0)=5,SUM(IFERROR(INDEX(Pension_Model!$D$2:$D$29,MATCH(H434,Pension_Model!$B$2:$B$29,0)),0),IFERROR(INDEX(Pension_Model!$D$2:$D$29,MATCH(H435,Pension_Model!$B$2:$B$29,0)),0),IFERROR(INDEX(Pension_Model!$D$2:$D$29,MATCH(H436,Pension_Model!$B$2:$B$29,0)),0),IFERROR(INDEX(Pension_Model!$D$2:$D$29,MATCH(H437,Pension_Model!$B$2:$B$29,0)),0),IFERROR(INDEX(Pension_Model!$D$2:$D$29,MATCH(H438,Pension_Model!$B$2:$B$29,0)),0)),0))))))</f>
        <v>0.05</v>
      </c>
      <c r="Q434" s="28">
        <f>Population_Data!$B$15*P434</f>
        <v>660600</v>
      </c>
      <c r="S434">
        <f t="shared" si="6"/>
        <v>1570525.7818088797</v>
      </c>
      <c r="U434" s="33">
        <f>S434/Population_Data!$B$19</f>
        <v>2.8451554018276808E-2</v>
      </c>
    </row>
    <row r="435" spans="1:21">
      <c r="A435" s="25">
        <f>Calendar!A435</f>
        <v>46668</v>
      </c>
      <c r="B435" t="str">
        <f>Calendar!L435</f>
        <v>Yes</v>
      </c>
      <c r="C435" t="str">
        <f>Calendar!O435</f>
        <v>No</v>
      </c>
      <c r="D435" t="str">
        <f>Calendar!P435</f>
        <v>No</v>
      </c>
      <c r="E435" t="str">
        <f>Calendar!Q435</f>
        <v>No</v>
      </c>
      <c r="F435" t="str">
        <f>Calendar!I435</f>
        <v>Friday</v>
      </c>
      <c r="G435">
        <f>Calendar!S435</f>
        <v>6</v>
      </c>
      <c r="H435">
        <f>Calendar!T435</f>
        <v>20</v>
      </c>
      <c r="I435" s="27">
        <f>IF(VLOOKUP(A435,Calendar!$A$1:$R$1377,18,0)=0,0,IF(VLOOKUP(A435,Calendar!$A$1:$R$1377,18,0)=1,INDEX(Monthly_Pay_Model!$A$9:$D$40,MATCH(TEXT(A435,"dd"),Monthly_Pay_Model!$C$9:$C$39,0),4),IF(VLOOKUP(A435,Calendar!$A$1:$R$1377,18,0)=2,SUM(INDEX(Monthly_Pay_Model!$A$9:$D$40,MATCH(TEXT(A435,"dd"),Monthly_Pay_Model!$C$9:$C$39,0),4),INDEX(Monthly_Pay_Model!$A$9:$D$40,MATCH(TEXT(A436,"dd"),Monthly_Pay_Model!$C$9:$C$39,0),4)),IF(VLOOKUP(A435,Calendar!$A$1:$R$1377,18,0)=3,SUM(INDEX(Monthly_Pay_Model!$A$9:$D$40,MATCH(TEXT(A435,"dd"),Monthly_Pay_Model!$C$9:$C$39,0),4),INDEX(Monthly_Pay_Model!$A$9:$D$40,MATCH(TEXT(A436,"dd"),Monthly_Pay_Model!$C$9:$C$39,0),4),INDEX(Monthly_Pay_Model!$A$9:$D$40,MATCH(TEXT(A437,"dd"),Monthly_Pay_Model!$C$9:$C$39,0),4)),IF(VLOOKUP(A435,Calendar!$A$1:$R$1377,18,0)=4,SUM(INDEX(Monthly_Pay_Model!$A$9:$D$40,MATCH(TEXT(A435,"dd"),Monthly_Pay_Model!$C$9:$C$39,0),4),INDEX(Monthly_Pay_Model!$A$9:$D$40,MATCH(TEXT(A436,"dd"),Monthly_Pay_Model!$C$9:$C$39,0),4),INDEX(Monthly_Pay_Model!$A$9:$D$40,MATCH(TEXT(A437,"dd"),Monthly_Pay_Model!$C$9:$C$39,0),4),INDEX(Monthly_Pay_Model!$A$9:$D$40,MATCH(TEXT(A438,"dd"),Monthly_Pay_Model!$C$9:$C$39,0),4)),IF(VLOOKUP(A435,Calendar!$A$1:$R$1377,18,0)=5,SUM(INDEX(Monthly_Pay_Model!$A$9:$D$40,MATCH(TEXT(A435,"dd"),Monthly_Pay_Model!$C$9:$C$39,0),4),INDEX(Monthly_Pay_Model!$A$9:$D$40,MATCH(TEXT(A436,"dd"),Monthly_Pay_Model!$C$9:$C$39,0),4),INDEX(Monthly_Pay_Model!$A$9:$D$40,MATCH(TEXT(A437,"dd"),Monthly_Pay_Model!$C$9:$C$39,0),4),INDEX(Monthly_Pay_Model!$A$9:$D$40,MATCH(TEXT(A438,"dd"),Monthly_Pay_Model!$C$9:$C$39,0),4),INDEX(Monthly_Pay_Model!$A$9:$D$40,MATCH(TEXT(A439,"dd"),Monthly_Pay_Model!$C$9:$C$39,0),4)),))))))</f>
        <v>7.3130890052356002E-3</v>
      </c>
      <c r="J435" s="33">
        <f>IF(C435="Yes",Monthly_Pay_Model!$D$2,0)
+IF(Calendar!N435="Yes",Monthly_Pay_Model!$D$3,0)
+IF(D435="Yes",Monthly_Pay_Model!$D$4,0)
+IF(E435="Yes",Monthly_Pay_Model!$D$5,0)</f>
        <v>0</v>
      </c>
      <c r="K435" s="27">
        <f>IF(VLOOKUP($A435,Calendar!$A$1:$R$1377,18,0)=0,0,IF(VLOOKUP($A435,Calendar!$A$1:$R$1377,18,0)=1,IFERROR(INDEX(Weekly_Model!$D$2:$D$9,MATCH(F435,Weekly_Model!$A$2:$A$9,0)),0),IF(VLOOKUP($A435,Calendar!$A$1:$R$1377,18,0)=2,SUM(IFERROR(INDEX(Weekly_Model!$D$2:$D$9,MATCH(F435,Weekly_Model!$A$2:$A$9,0)),0),IFERROR(INDEX(Weekly_Model!$D$2:$D$9,MATCH(F436,Weekly_Model!$A$2:$A$9,0)),0)),IF(VLOOKUP($A435,Calendar!$A$1:$R$1377,18,0)=3,SUM(IFERROR(INDEX(Weekly_Model!$D$2:$D$9,MATCH(F435,Weekly_Model!$A$2:$A$9,0)),0),IFERROR(INDEX(Weekly_Model!$D$2:$D$9,MATCH(F436,Weekly_Model!$A$2:$A$9,0)),0),IFERROR(INDEX(Weekly_Model!$D$2:$D$9,MATCH(F437,Weekly_Model!$A$2:$A$9,0)),0)),IF(VLOOKUP($A435,Calendar!$A$1:$R$1377,18,0)=4,SUM(IFERROR(INDEX(Weekly_Model!$D$2:$D$9,MATCH(F435,Weekly_Model!$A$2:$A$9,0)),0),IFERROR(INDEX(Weekly_Model!$D$2:$D$9,MATCH(F436,Weekly_Model!$A$2:$A$9,0)),0),IFERROR(INDEX(Weekly_Model!$D$2:$D$9,MATCH(F437,Weekly_Model!$A$2:$A$9,0)),0),IFERROR(INDEX(Weekly_Model!$D$2:$D$9,MATCH(F438,Weekly_Model!$A$2:$A$9,0)),0)),IF(VLOOKUP($A435,Calendar!$A$1:$R$1377,18,0)=5,SUM(IFERROR(INDEX(Weekly_Model!$D$2:$D$9,MATCH(F435,Weekly_Model!$A$2:$A$9,0)),0),IFERROR(INDEX(Weekly_Model!$D$2:$D$9,MATCH(F436,Weekly_Model!$A$2:$A$9,0)),0),IFERROR(INDEX(Weekly_Model!$D$2:$D$9,MATCH(F437,Weekly_Model!$A$2:$A$9,0)),0),IFERROR(INDEX(Weekly_Model!$D$2:$D$9,MATCH(F438,Weekly_Model!$A$2:$A$9,0)),0),IFERROR(INDEX(Weekly_Model!$D$2:$D$9,MATCH(F439,Weekly_Model!$A$2:$A$9,0)),0)),0))))))</f>
        <v>2.3200000000000002E-2</v>
      </c>
      <c r="L435" s="27">
        <f>IF(VLOOKUP($A435,Calendar!$A$1:$R$1377,18,0)=0,0,IF(VLOOKUP($A435,Calendar!$A$1:$R$1377,18,0)=1,IFERROR(INDEX(Fortnightly_Model!$D$2:$D$15,MATCH(G435,Fortnightly_Model!$B$2:$B$15,0)),0),IF(VLOOKUP($A435,Calendar!$A$1:$R$1377,18,0)=2,SUM(IFERROR(INDEX(Fortnightly_Model!$D$2:$D$15,MATCH(G435,Fortnightly_Model!$B$2:$B$15,0)),0),IFERROR(INDEX(Fortnightly_Model!$D$2:$D$15,MATCH(G436,Fortnightly_Model!$B$2:$B$15,0)),0)),IF(VLOOKUP($A435,Calendar!$A$1:$R$1377,18,0)=3,SUM(IFERROR(INDEX(Fortnightly_Model!$D$2:$D$15,MATCH(G435,Fortnightly_Model!$B$2:$B$15,0)),0),IFERROR(INDEX(Fortnightly_Model!$D$2:$D$15,MATCH(G436,Fortnightly_Model!$B$2:$B$15,0)),0),IFERROR(INDEX(Fortnightly_Model!$D$2:$D$15,MATCH(G437,Fortnightly_Model!$B$2:$B$15,0)),0)),IF(VLOOKUP($A435,Calendar!$A$1:$R$1377,18,0)=4,SUM(IFERROR(INDEX(Fortnightly_Model!$D$2:$D$15,MATCH(G435,Fortnightly_Model!$B$2:$B$15,0)),0),IFERROR(INDEX(Fortnightly_Model!$D$2:$D$15,MATCH(G436,Fortnightly_Model!$B$2:$B$15,0)),0),IFERROR(INDEX(Fortnightly_Model!$D$2:$D$15,MATCH(G437,Fortnightly_Model!$B$2:$B$15,0)),0),IFERROR(INDEX(Fortnightly_Model!$D$2:$D$15,MATCH(G438,Fortnightly_Model!$B$2:$B$15,0)),0)),IF(VLOOKUP($A435,Calendar!$A$1:$R$1377,18,0)=5,SUM(IFERROR(INDEX(Fortnightly_Model!$D$2:$D$15,MATCH(G435,Fortnightly_Model!$B$2:$B$15,0)),0),IFERROR(INDEX(Fortnightly_Model!$D$2:$D$15,MATCH(G436,Fortnightly_Model!$B$2:$B$15,0)),0),IFERROR(INDEX(Fortnightly_Model!$D$2:$D$15,MATCH(G437,Fortnightly_Model!$B$2:$B$15,0)),0),IFERROR(INDEX(Fortnightly_Model!$D$2:$D$15,MATCH(G438,Fortnightly_Model!$B$2:$B$15,0)),0),IFERROR(INDEX(Fortnightly_Model!$D$2:$D$15,MATCH(G439,Fortnightly_Model!$B$2:$B$15,0)),0)),0))))))</f>
        <v>3.2142856499999999E-3</v>
      </c>
      <c r="M435" s="27">
        <f>IF(VLOOKUP($A435,Calendar!$A$1:$R$1377,18,0)=0,0,IF(VLOOKUP($A435,Calendar!$A$1:$R$1377,18,0)=1,IFERROR(INDEX(FourWeekly_Model!$D$2:$D$29,MATCH(H435,FourWeekly_Model!$B$2:$B$29,0)),0),IF(VLOOKUP($A435,Calendar!$A$1:$R$1377,18,0)=2,SUM(IFERROR(INDEX(FourWeekly_Model!$D$2:$D$29,MATCH(H435,FourWeekly_Model!$B$2:$B$29,0)),0),IFERROR(INDEX(FourWeekly_Model!$D$2:$D$29,MATCH(H436,FourWeekly_Model!$B$2:$B$29,0)),0)),IF(VLOOKUP($A435,Calendar!$A$1:$R$1377,18,0)=3,SUM(IFERROR(INDEX(FourWeekly_Model!$D$2:$D$29,MATCH(H435,FourWeekly_Model!$B$2:$B$29,0)),0),IFERROR(INDEX(FourWeekly_Model!$D$2:$D$29,MATCH(H436,FourWeekly_Model!$B$2:$B$29,0)),0),IFERROR(INDEX(FourWeekly_Model!$D$2:$D$29,MATCH(H437,FourWeekly_Model!$B$2:$B$29,0)),0)),IF(VLOOKUP($A435,Calendar!$A$1:$R$1377,18,0)=4,SUM(IFERROR(INDEX(FourWeekly_Model!$D$2:$D$29,MATCH(H435,FourWeekly_Model!$B$2:$B$29,0)),0),IFERROR(INDEX(FourWeekly_Model!$D$2:$D$29,MATCH(H436,FourWeekly_Model!$B$2:$B$29,0)),0),IFERROR(INDEX(FourWeekly_Model!$D$2:$D$29,MATCH(H437,FourWeekly_Model!$B$2:$B$29,0)),0),IFERROR(INDEX(FourWeekly_Model!$D$2:$D$29,MATCH(H438,FourWeekly_Model!$B$2:$B$29,0)),0)),IF(VLOOKUP($A435,Calendar!$A$1:$R$1377,18,0)=5,SUM(IFERROR(INDEX(FourWeekly_Model!$D$2:$D$29,MATCH(H435,FourWeekly_Model!$B$2:$B$29,0)),0),IFERROR(INDEX(FourWeekly_Model!$D$2:$D$29,MATCH(H436,FourWeekly_Model!$B$2:$B$29,0)),0),IFERROR(INDEX(FourWeekly_Model!$D$2:$D$29,MATCH(H437,FourWeekly_Model!$B$2:$B$29,0)),0),IFERROR(INDEX(FourWeekly_Model!$D$2:$D$29,MATCH(H438,FourWeekly_Model!$B$2:$B$29,0)),0),IFERROR(INDEX(FourWeekly_Model!$D$2:$D$29,MATCH(H439,FourWeekly_Model!$B$2:$B$29,0)),0)),0))))))</f>
        <v>9.9642859800000011E-3</v>
      </c>
      <c r="N435" s="27">
        <f>SUM(I435:M435)</f>
        <v>4.3691660635235607E-2</v>
      </c>
      <c r="O435" s="28">
        <f>Population_Data!$B$8*N435</f>
        <v>1323857.3172476389</v>
      </c>
      <c r="P435" s="27">
        <f>IF(VLOOKUP($A435,Calendar!$A$1:$R$1377,18,0)=0,0,IF(VLOOKUP($A435,Calendar!$A$1:$R$1377,18,0)=1,IFERROR(INDEX(Pension_Model!$D$2:$D$29,MATCH(H435,Pension_Model!$B$2:$B$29,0)),0),IF(VLOOKUP($A435,Calendar!$A$1:$R$1377,18,0)=2,SUM(IFERROR(INDEX(Pension_Model!$D$2:$D$29,MATCH(H435,Pension_Model!$B$2:$B$29,0)),0),IFERROR(INDEX(Pension_Model!$D$2:$D$29,MATCH(H436,Pension_Model!$B$2:$B$29,0)),0)),IF(VLOOKUP($A435,Calendar!$A$1:$R$1377,18,0)=3,SUM(IFERROR(INDEX(Pension_Model!$D$2:$D$29,MATCH(H435,Pension_Model!$B$2:$B$29,0)),0),IFERROR(INDEX(Pension_Model!$D$2:$D$29,MATCH(H436,Pension_Model!$B$2:$B$29,0)),0),IFERROR(INDEX(Pension_Model!$D$2:$D$29,MATCH(H437,Pension_Model!$B$2:$B$29,0)),0)),IF(VLOOKUP($A435,Calendar!$A$1:$R$1377,18,0)=4,SUM(IFERROR(INDEX(Pension_Model!$D$2:$D$29,MATCH(H435,Pension_Model!$B$2:$B$29,0)),0),IFERROR(INDEX(Pension_Model!$D$2:$D$29,MATCH(H436,Pension_Model!$B$2:$B$29,0)),0),IFERROR(INDEX(Pension_Model!$D$2:$D$29,MATCH(H437,Pension_Model!$B$2:$B$29,0)),0),IFERROR(INDEX(Pension_Model!$D$2:$D$29,MATCH(H438,Pension_Model!$B$2:$B$29,0)),0)),IF(VLOOKUP($A435,Calendar!$A$1:$R$1377,18,0)=5,SUM(IFERROR(INDEX(Pension_Model!$D$2:$D$29,MATCH(H435,Pension_Model!$B$2:$B$29,0)),0),IFERROR(INDEX(Pension_Model!$D$2:$D$29,MATCH(H436,Pension_Model!$B$2:$B$29,0)),0),IFERROR(INDEX(Pension_Model!$D$2:$D$29,MATCH(H437,Pension_Model!$B$2:$B$29,0)),0),IFERROR(INDEX(Pension_Model!$D$2:$D$29,MATCH(H438,Pension_Model!$B$2:$B$29,0)),0),IFERROR(INDEX(Pension_Model!$D$2:$D$29,MATCH(H439,Pension_Model!$B$2:$B$29,0)),0)),0))))))</f>
        <v>0.05</v>
      </c>
      <c r="Q435" s="28">
        <f>Population_Data!$B$15*P435</f>
        <v>660600</v>
      </c>
      <c r="S435">
        <f t="shared" si="6"/>
        <v>1984457.3172476389</v>
      </c>
      <c r="U435" s="33">
        <f>S435/Population_Data!$B$19</f>
        <v>3.5950313718254329E-2</v>
      </c>
    </row>
    <row r="436" spans="1:21">
      <c r="A436" s="25">
        <f>Calendar!A436</f>
        <v>46669</v>
      </c>
      <c r="B436" t="str">
        <f>Calendar!L436</f>
        <v>No</v>
      </c>
      <c r="C436" t="str">
        <f>Calendar!O436</f>
        <v>No</v>
      </c>
      <c r="D436" t="str">
        <f>Calendar!P436</f>
        <v>No</v>
      </c>
      <c r="E436" t="str">
        <f>Calendar!Q436</f>
        <v>No</v>
      </c>
      <c r="F436" t="str">
        <f>Calendar!I436</f>
        <v>Saturday</v>
      </c>
      <c r="G436">
        <f>Calendar!S436</f>
        <v>7</v>
      </c>
      <c r="H436">
        <f>Calendar!T436</f>
        <v>21</v>
      </c>
      <c r="I436" s="27">
        <f>IF(VLOOKUP(A436,Calendar!$A$1:$R$1377,18,0)=0,0,IF(VLOOKUP(A436,Calendar!$A$1:$R$1377,18,0)=1,INDEX(Monthly_Pay_Model!$A$9:$D$40,MATCH(TEXT(A436,"dd"),Monthly_Pay_Model!$C$9:$C$39,0),4),IF(VLOOKUP(A436,Calendar!$A$1:$R$1377,18,0)=2,SUM(INDEX(Monthly_Pay_Model!$A$9:$D$40,MATCH(TEXT(A436,"dd"),Monthly_Pay_Model!$C$9:$C$39,0),4),INDEX(Monthly_Pay_Model!$A$9:$D$40,MATCH(TEXT(A437,"dd"),Monthly_Pay_Model!$C$9:$C$39,0),4)),IF(VLOOKUP(A436,Calendar!$A$1:$R$1377,18,0)=3,SUM(INDEX(Monthly_Pay_Model!$A$9:$D$40,MATCH(TEXT(A436,"dd"),Monthly_Pay_Model!$C$9:$C$39,0),4),INDEX(Monthly_Pay_Model!$A$9:$D$40,MATCH(TEXT(A437,"dd"),Monthly_Pay_Model!$C$9:$C$39,0),4),INDEX(Monthly_Pay_Model!$A$9:$D$40,MATCH(TEXT(A438,"dd"),Monthly_Pay_Model!$C$9:$C$39,0),4)),IF(VLOOKUP(A436,Calendar!$A$1:$R$1377,18,0)=4,SUM(INDEX(Monthly_Pay_Model!$A$9:$D$40,MATCH(TEXT(A436,"dd"),Monthly_Pay_Model!$C$9:$C$39,0),4),INDEX(Monthly_Pay_Model!$A$9:$D$40,MATCH(TEXT(A437,"dd"),Monthly_Pay_Model!$C$9:$C$39,0),4),INDEX(Monthly_Pay_Model!$A$9:$D$40,MATCH(TEXT(A438,"dd"),Monthly_Pay_Model!$C$9:$C$39,0),4),INDEX(Monthly_Pay_Model!$A$9:$D$40,MATCH(TEXT(A439,"dd"),Monthly_Pay_Model!$C$9:$C$39,0),4)),IF(VLOOKUP(A436,Calendar!$A$1:$R$1377,18,0)=5,SUM(INDEX(Monthly_Pay_Model!$A$9:$D$40,MATCH(TEXT(A436,"dd"),Monthly_Pay_Model!$C$9:$C$39,0),4),INDEX(Monthly_Pay_Model!$A$9:$D$40,MATCH(TEXT(A437,"dd"),Monthly_Pay_Model!$C$9:$C$39,0),4),INDEX(Monthly_Pay_Model!$A$9:$D$40,MATCH(TEXT(A438,"dd"),Monthly_Pay_Model!$C$9:$C$39,0),4),INDEX(Monthly_Pay_Model!$A$9:$D$40,MATCH(TEXT(A439,"dd"),Monthly_Pay_Model!$C$9:$C$39,0),4),INDEX(Monthly_Pay_Model!$A$9:$D$40,MATCH(TEXT(A440,"dd"),Monthly_Pay_Model!$C$9:$C$39,0),4)),))))))</f>
        <v>0</v>
      </c>
      <c r="J436" s="33">
        <f>IF(C436="Yes",Monthly_Pay_Model!$D$2,0)
+IF(Calendar!N436="Yes",Monthly_Pay_Model!$D$3,0)
+IF(D436="Yes",Monthly_Pay_Model!$D$4,0)
+IF(E436="Yes",Monthly_Pay_Model!$D$5,0)</f>
        <v>0</v>
      </c>
      <c r="K436" s="27">
        <f>IF(VLOOKUP($A436,Calendar!$A$1:$R$1377,18,0)=0,0,IF(VLOOKUP($A436,Calendar!$A$1:$R$1377,18,0)=1,IFERROR(INDEX(Weekly_Model!$D$2:$D$9,MATCH(F436,Weekly_Model!$A$2:$A$9,0)),0),IF(VLOOKUP($A436,Calendar!$A$1:$R$1377,18,0)=2,SUM(IFERROR(INDEX(Weekly_Model!$D$2:$D$9,MATCH(F436,Weekly_Model!$A$2:$A$9,0)),0),IFERROR(INDEX(Weekly_Model!$D$2:$D$9,MATCH(F437,Weekly_Model!$A$2:$A$9,0)),0)),IF(VLOOKUP($A436,Calendar!$A$1:$R$1377,18,0)=3,SUM(IFERROR(INDEX(Weekly_Model!$D$2:$D$9,MATCH(F436,Weekly_Model!$A$2:$A$9,0)),0),IFERROR(INDEX(Weekly_Model!$D$2:$D$9,MATCH(F437,Weekly_Model!$A$2:$A$9,0)),0),IFERROR(INDEX(Weekly_Model!$D$2:$D$9,MATCH(F438,Weekly_Model!$A$2:$A$9,0)),0)),IF(VLOOKUP($A436,Calendar!$A$1:$R$1377,18,0)=4,SUM(IFERROR(INDEX(Weekly_Model!$D$2:$D$9,MATCH(F436,Weekly_Model!$A$2:$A$9,0)),0),IFERROR(INDEX(Weekly_Model!$D$2:$D$9,MATCH(F437,Weekly_Model!$A$2:$A$9,0)),0),IFERROR(INDEX(Weekly_Model!$D$2:$D$9,MATCH(F438,Weekly_Model!$A$2:$A$9,0)),0),IFERROR(INDEX(Weekly_Model!$D$2:$D$9,MATCH(F439,Weekly_Model!$A$2:$A$9,0)),0)),IF(VLOOKUP($A436,Calendar!$A$1:$R$1377,18,0)=5,SUM(IFERROR(INDEX(Weekly_Model!$D$2:$D$9,MATCH(F436,Weekly_Model!$A$2:$A$9,0)),0),IFERROR(INDEX(Weekly_Model!$D$2:$D$9,MATCH(F437,Weekly_Model!$A$2:$A$9,0)),0),IFERROR(INDEX(Weekly_Model!$D$2:$D$9,MATCH(F438,Weekly_Model!$A$2:$A$9,0)),0),IFERROR(INDEX(Weekly_Model!$D$2:$D$9,MATCH(F439,Weekly_Model!$A$2:$A$9,0)),0),IFERROR(INDEX(Weekly_Model!$D$2:$D$9,MATCH(F440,Weekly_Model!$A$2:$A$9,0)),0)),0))))))</f>
        <v>0</v>
      </c>
      <c r="L436" s="27">
        <f>IF(VLOOKUP($A436,Calendar!$A$1:$R$1377,18,0)=0,0,IF(VLOOKUP($A436,Calendar!$A$1:$R$1377,18,0)=1,IFERROR(INDEX(Fortnightly_Model!$D$2:$D$15,MATCH(G436,Fortnightly_Model!$B$2:$B$15,0)),0),IF(VLOOKUP($A436,Calendar!$A$1:$R$1377,18,0)=2,SUM(IFERROR(INDEX(Fortnightly_Model!$D$2:$D$15,MATCH(G436,Fortnightly_Model!$B$2:$B$15,0)),0),IFERROR(INDEX(Fortnightly_Model!$D$2:$D$15,MATCH(G437,Fortnightly_Model!$B$2:$B$15,0)),0)),IF(VLOOKUP($A436,Calendar!$A$1:$R$1377,18,0)=3,SUM(IFERROR(INDEX(Fortnightly_Model!$D$2:$D$15,MATCH(G436,Fortnightly_Model!$B$2:$B$15,0)),0),IFERROR(INDEX(Fortnightly_Model!$D$2:$D$15,MATCH(G437,Fortnightly_Model!$B$2:$B$15,0)),0),IFERROR(INDEX(Fortnightly_Model!$D$2:$D$15,MATCH(G438,Fortnightly_Model!$B$2:$B$15,0)),0)),IF(VLOOKUP($A436,Calendar!$A$1:$R$1377,18,0)=4,SUM(IFERROR(INDEX(Fortnightly_Model!$D$2:$D$15,MATCH(G436,Fortnightly_Model!$B$2:$B$15,0)),0),IFERROR(INDEX(Fortnightly_Model!$D$2:$D$15,MATCH(G437,Fortnightly_Model!$B$2:$B$15,0)),0),IFERROR(INDEX(Fortnightly_Model!$D$2:$D$15,MATCH(G438,Fortnightly_Model!$B$2:$B$15,0)),0),IFERROR(INDEX(Fortnightly_Model!$D$2:$D$15,MATCH(G439,Fortnightly_Model!$B$2:$B$15,0)),0)),IF(VLOOKUP($A436,Calendar!$A$1:$R$1377,18,0)=5,SUM(IFERROR(INDEX(Fortnightly_Model!$D$2:$D$15,MATCH(G436,Fortnightly_Model!$B$2:$B$15,0)),0),IFERROR(INDEX(Fortnightly_Model!$D$2:$D$15,MATCH(G437,Fortnightly_Model!$B$2:$B$15,0)),0),IFERROR(INDEX(Fortnightly_Model!$D$2:$D$15,MATCH(G438,Fortnightly_Model!$B$2:$B$15,0)),0),IFERROR(INDEX(Fortnightly_Model!$D$2:$D$15,MATCH(G439,Fortnightly_Model!$B$2:$B$15,0)),0),IFERROR(INDEX(Fortnightly_Model!$D$2:$D$15,MATCH(G440,Fortnightly_Model!$B$2:$B$15,0)),0)),0))))))</f>
        <v>0</v>
      </c>
      <c r="M436" s="27">
        <f>IF(VLOOKUP($A436,Calendar!$A$1:$R$1377,18,0)=0,0,IF(VLOOKUP($A436,Calendar!$A$1:$R$1377,18,0)=1,IFERROR(INDEX(FourWeekly_Model!$D$2:$D$29,MATCH(H436,FourWeekly_Model!$B$2:$B$29,0)),0),IF(VLOOKUP($A436,Calendar!$A$1:$R$1377,18,0)=2,SUM(IFERROR(INDEX(FourWeekly_Model!$D$2:$D$29,MATCH(H436,FourWeekly_Model!$B$2:$B$29,0)),0),IFERROR(INDEX(FourWeekly_Model!$D$2:$D$29,MATCH(H437,FourWeekly_Model!$B$2:$B$29,0)),0)),IF(VLOOKUP($A436,Calendar!$A$1:$R$1377,18,0)=3,SUM(IFERROR(INDEX(FourWeekly_Model!$D$2:$D$29,MATCH(H436,FourWeekly_Model!$B$2:$B$29,0)),0),IFERROR(INDEX(FourWeekly_Model!$D$2:$D$29,MATCH(H437,FourWeekly_Model!$B$2:$B$29,0)),0),IFERROR(INDEX(FourWeekly_Model!$D$2:$D$29,MATCH(H438,FourWeekly_Model!$B$2:$B$29,0)),0)),IF(VLOOKUP($A436,Calendar!$A$1:$R$1377,18,0)=4,SUM(IFERROR(INDEX(FourWeekly_Model!$D$2:$D$29,MATCH(H436,FourWeekly_Model!$B$2:$B$29,0)),0),IFERROR(INDEX(FourWeekly_Model!$D$2:$D$29,MATCH(H437,FourWeekly_Model!$B$2:$B$29,0)),0),IFERROR(INDEX(FourWeekly_Model!$D$2:$D$29,MATCH(H438,FourWeekly_Model!$B$2:$B$29,0)),0),IFERROR(INDEX(FourWeekly_Model!$D$2:$D$29,MATCH(H439,FourWeekly_Model!$B$2:$B$29,0)),0)),IF(VLOOKUP($A436,Calendar!$A$1:$R$1377,18,0)=5,SUM(IFERROR(INDEX(FourWeekly_Model!$D$2:$D$29,MATCH(H436,FourWeekly_Model!$B$2:$B$29,0)),0),IFERROR(INDEX(FourWeekly_Model!$D$2:$D$29,MATCH(H437,FourWeekly_Model!$B$2:$B$29,0)),0),IFERROR(INDEX(FourWeekly_Model!$D$2:$D$29,MATCH(H438,FourWeekly_Model!$B$2:$B$29,0)),0),IFERROR(INDEX(FourWeekly_Model!$D$2:$D$29,MATCH(H439,FourWeekly_Model!$B$2:$B$29,0)),0),IFERROR(INDEX(FourWeekly_Model!$D$2:$D$29,MATCH(H440,FourWeekly_Model!$B$2:$B$29,0)),0)),0))))))</f>
        <v>0</v>
      </c>
      <c r="N436" s="27">
        <f>SUM(I436:M436)</f>
        <v>0</v>
      </c>
      <c r="O436" s="28">
        <f>Population_Data!$B$8*N436</f>
        <v>0</v>
      </c>
      <c r="P436" s="27">
        <f>IF(VLOOKUP($A436,Calendar!$A$1:$R$1377,18,0)=0,0,IF(VLOOKUP($A436,Calendar!$A$1:$R$1377,18,0)=1,IFERROR(INDEX(Pension_Model!$D$2:$D$29,MATCH(H436,Pension_Model!$B$2:$B$29,0)),0),IF(VLOOKUP($A436,Calendar!$A$1:$R$1377,18,0)=2,SUM(IFERROR(INDEX(Pension_Model!$D$2:$D$29,MATCH(H436,Pension_Model!$B$2:$B$29,0)),0),IFERROR(INDEX(Pension_Model!$D$2:$D$29,MATCH(H437,Pension_Model!$B$2:$B$29,0)),0)),IF(VLOOKUP($A436,Calendar!$A$1:$R$1377,18,0)=3,SUM(IFERROR(INDEX(Pension_Model!$D$2:$D$29,MATCH(H436,Pension_Model!$B$2:$B$29,0)),0),IFERROR(INDEX(Pension_Model!$D$2:$D$29,MATCH(H437,Pension_Model!$B$2:$B$29,0)),0),IFERROR(INDEX(Pension_Model!$D$2:$D$29,MATCH(H438,Pension_Model!$B$2:$B$29,0)),0)),IF(VLOOKUP($A436,Calendar!$A$1:$R$1377,18,0)=4,SUM(IFERROR(INDEX(Pension_Model!$D$2:$D$29,MATCH(H436,Pension_Model!$B$2:$B$29,0)),0),IFERROR(INDEX(Pension_Model!$D$2:$D$29,MATCH(H437,Pension_Model!$B$2:$B$29,0)),0),IFERROR(INDEX(Pension_Model!$D$2:$D$29,MATCH(H438,Pension_Model!$B$2:$B$29,0)),0),IFERROR(INDEX(Pension_Model!$D$2:$D$29,MATCH(H439,Pension_Model!$B$2:$B$29,0)),0)),IF(VLOOKUP($A436,Calendar!$A$1:$R$1377,18,0)=5,SUM(IFERROR(INDEX(Pension_Model!$D$2:$D$29,MATCH(H436,Pension_Model!$B$2:$B$29,0)),0),IFERROR(INDEX(Pension_Model!$D$2:$D$29,MATCH(H437,Pension_Model!$B$2:$B$29,0)),0),IFERROR(INDEX(Pension_Model!$D$2:$D$29,MATCH(H438,Pension_Model!$B$2:$B$29,0)),0),IFERROR(INDEX(Pension_Model!$D$2:$D$29,MATCH(H439,Pension_Model!$B$2:$B$29,0)),0),IFERROR(INDEX(Pension_Model!$D$2:$D$29,MATCH(H440,Pension_Model!$B$2:$B$29,0)),0)),0))))))</f>
        <v>0</v>
      </c>
      <c r="Q436" s="28">
        <f>Population_Data!$B$15*P436</f>
        <v>0</v>
      </c>
      <c r="S436">
        <f t="shared" si="6"/>
        <v>0</v>
      </c>
      <c r="U436" s="33">
        <f>S436/Population_Data!$B$19</f>
        <v>0</v>
      </c>
    </row>
    <row r="437" spans="1:21">
      <c r="A437" s="25">
        <f>Calendar!A437</f>
        <v>46670</v>
      </c>
      <c r="B437" t="str">
        <f>Calendar!L437</f>
        <v>No</v>
      </c>
      <c r="C437" t="str">
        <f>Calendar!O437</f>
        <v>No</v>
      </c>
      <c r="D437" t="str">
        <f>Calendar!P437</f>
        <v>No</v>
      </c>
      <c r="E437" t="str">
        <f>Calendar!Q437</f>
        <v>No</v>
      </c>
      <c r="F437" t="str">
        <f>Calendar!I437</f>
        <v>Sunday</v>
      </c>
      <c r="G437">
        <f>Calendar!S437</f>
        <v>8</v>
      </c>
      <c r="H437">
        <f>Calendar!T437</f>
        <v>22</v>
      </c>
      <c r="I437" s="27">
        <f>IF(VLOOKUP(A437,Calendar!$A$1:$R$1377,18,0)=0,0,IF(VLOOKUP(A437,Calendar!$A$1:$R$1377,18,0)=1,INDEX(Monthly_Pay_Model!$A$9:$D$40,MATCH(TEXT(A437,"dd"),Monthly_Pay_Model!$C$9:$C$39,0),4),IF(VLOOKUP(A437,Calendar!$A$1:$R$1377,18,0)=2,SUM(INDEX(Monthly_Pay_Model!$A$9:$D$40,MATCH(TEXT(A437,"dd"),Monthly_Pay_Model!$C$9:$C$39,0),4),INDEX(Monthly_Pay_Model!$A$9:$D$40,MATCH(TEXT(A438,"dd"),Monthly_Pay_Model!$C$9:$C$39,0),4)),IF(VLOOKUP(A437,Calendar!$A$1:$R$1377,18,0)=3,SUM(INDEX(Monthly_Pay_Model!$A$9:$D$40,MATCH(TEXT(A437,"dd"),Monthly_Pay_Model!$C$9:$C$39,0),4),INDEX(Monthly_Pay_Model!$A$9:$D$40,MATCH(TEXT(A438,"dd"),Monthly_Pay_Model!$C$9:$C$39,0),4),INDEX(Monthly_Pay_Model!$A$9:$D$40,MATCH(TEXT(A439,"dd"),Monthly_Pay_Model!$C$9:$C$39,0),4)),IF(VLOOKUP(A437,Calendar!$A$1:$R$1377,18,0)=4,SUM(INDEX(Monthly_Pay_Model!$A$9:$D$40,MATCH(TEXT(A437,"dd"),Monthly_Pay_Model!$C$9:$C$39,0),4),INDEX(Monthly_Pay_Model!$A$9:$D$40,MATCH(TEXT(A438,"dd"),Monthly_Pay_Model!$C$9:$C$39,0),4),INDEX(Monthly_Pay_Model!$A$9:$D$40,MATCH(TEXT(A439,"dd"),Monthly_Pay_Model!$C$9:$C$39,0),4),INDEX(Monthly_Pay_Model!$A$9:$D$40,MATCH(TEXT(A440,"dd"),Monthly_Pay_Model!$C$9:$C$39,0),4)),IF(VLOOKUP(A437,Calendar!$A$1:$R$1377,18,0)=5,SUM(INDEX(Monthly_Pay_Model!$A$9:$D$40,MATCH(TEXT(A437,"dd"),Monthly_Pay_Model!$C$9:$C$39,0),4),INDEX(Monthly_Pay_Model!$A$9:$D$40,MATCH(TEXT(A438,"dd"),Monthly_Pay_Model!$C$9:$C$39,0),4),INDEX(Monthly_Pay_Model!$A$9:$D$40,MATCH(TEXT(A439,"dd"),Monthly_Pay_Model!$C$9:$C$39,0),4),INDEX(Monthly_Pay_Model!$A$9:$D$40,MATCH(TEXT(A440,"dd"),Monthly_Pay_Model!$C$9:$C$39,0),4),INDEX(Monthly_Pay_Model!$A$9:$D$40,MATCH(TEXT(A441,"dd"),Monthly_Pay_Model!$C$9:$C$39,0),4)),))))))</f>
        <v>0</v>
      </c>
      <c r="J437" s="33">
        <f>IF(C437="Yes",Monthly_Pay_Model!$D$2,0)
+IF(Calendar!N437="Yes",Monthly_Pay_Model!$D$3,0)
+IF(D437="Yes",Monthly_Pay_Model!$D$4,0)
+IF(E437="Yes",Monthly_Pay_Model!$D$5,0)</f>
        <v>0</v>
      </c>
      <c r="K437" s="27">
        <f>IF(VLOOKUP($A437,Calendar!$A$1:$R$1377,18,0)=0,0,IF(VLOOKUP($A437,Calendar!$A$1:$R$1377,18,0)=1,IFERROR(INDEX(Weekly_Model!$D$2:$D$9,MATCH(F437,Weekly_Model!$A$2:$A$9,0)),0),IF(VLOOKUP($A437,Calendar!$A$1:$R$1377,18,0)=2,SUM(IFERROR(INDEX(Weekly_Model!$D$2:$D$9,MATCH(F437,Weekly_Model!$A$2:$A$9,0)),0),IFERROR(INDEX(Weekly_Model!$D$2:$D$9,MATCH(F438,Weekly_Model!$A$2:$A$9,0)),0)),IF(VLOOKUP($A437,Calendar!$A$1:$R$1377,18,0)=3,SUM(IFERROR(INDEX(Weekly_Model!$D$2:$D$9,MATCH(F437,Weekly_Model!$A$2:$A$9,0)),0),IFERROR(INDEX(Weekly_Model!$D$2:$D$9,MATCH(F438,Weekly_Model!$A$2:$A$9,0)),0),IFERROR(INDEX(Weekly_Model!$D$2:$D$9,MATCH(F439,Weekly_Model!$A$2:$A$9,0)),0)),IF(VLOOKUP($A437,Calendar!$A$1:$R$1377,18,0)=4,SUM(IFERROR(INDEX(Weekly_Model!$D$2:$D$9,MATCH(F437,Weekly_Model!$A$2:$A$9,0)),0),IFERROR(INDEX(Weekly_Model!$D$2:$D$9,MATCH(F438,Weekly_Model!$A$2:$A$9,0)),0),IFERROR(INDEX(Weekly_Model!$D$2:$D$9,MATCH(F439,Weekly_Model!$A$2:$A$9,0)),0),IFERROR(INDEX(Weekly_Model!$D$2:$D$9,MATCH(F440,Weekly_Model!$A$2:$A$9,0)),0)),IF(VLOOKUP($A437,Calendar!$A$1:$R$1377,18,0)=5,SUM(IFERROR(INDEX(Weekly_Model!$D$2:$D$9,MATCH(F437,Weekly_Model!$A$2:$A$9,0)),0),IFERROR(INDEX(Weekly_Model!$D$2:$D$9,MATCH(F438,Weekly_Model!$A$2:$A$9,0)),0),IFERROR(INDEX(Weekly_Model!$D$2:$D$9,MATCH(F439,Weekly_Model!$A$2:$A$9,0)),0),IFERROR(INDEX(Weekly_Model!$D$2:$D$9,MATCH(F440,Weekly_Model!$A$2:$A$9,0)),0),IFERROR(INDEX(Weekly_Model!$D$2:$D$9,MATCH(F441,Weekly_Model!$A$2:$A$9,0)),0)),0))))))</f>
        <v>0</v>
      </c>
      <c r="L437" s="27">
        <f>IF(VLOOKUP($A437,Calendar!$A$1:$R$1377,18,0)=0,0,IF(VLOOKUP($A437,Calendar!$A$1:$R$1377,18,0)=1,IFERROR(INDEX(Fortnightly_Model!$D$2:$D$15,MATCH(G437,Fortnightly_Model!$B$2:$B$15,0)),0),IF(VLOOKUP($A437,Calendar!$A$1:$R$1377,18,0)=2,SUM(IFERROR(INDEX(Fortnightly_Model!$D$2:$D$15,MATCH(G437,Fortnightly_Model!$B$2:$B$15,0)),0),IFERROR(INDEX(Fortnightly_Model!$D$2:$D$15,MATCH(G438,Fortnightly_Model!$B$2:$B$15,0)),0)),IF(VLOOKUP($A437,Calendar!$A$1:$R$1377,18,0)=3,SUM(IFERROR(INDEX(Fortnightly_Model!$D$2:$D$15,MATCH(G437,Fortnightly_Model!$B$2:$B$15,0)),0),IFERROR(INDEX(Fortnightly_Model!$D$2:$D$15,MATCH(G438,Fortnightly_Model!$B$2:$B$15,0)),0),IFERROR(INDEX(Fortnightly_Model!$D$2:$D$15,MATCH(G439,Fortnightly_Model!$B$2:$B$15,0)),0)),IF(VLOOKUP($A437,Calendar!$A$1:$R$1377,18,0)=4,SUM(IFERROR(INDEX(Fortnightly_Model!$D$2:$D$15,MATCH(G437,Fortnightly_Model!$B$2:$B$15,0)),0),IFERROR(INDEX(Fortnightly_Model!$D$2:$D$15,MATCH(G438,Fortnightly_Model!$B$2:$B$15,0)),0),IFERROR(INDEX(Fortnightly_Model!$D$2:$D$15,MATCH(G439,Fortnightly_Model!$B$2:$B$15,0)),0),IFERROR(INDEX(Fortnightly_Model!$D$2:$D$15,MATCH(G440,Fortnightly_Model!$B$2:$B$15,0)),0)),IF(VLOOKUP($A437,Calendar!$A$1:$R$1377,18,0)=5,SUM(IFERROR(INDEX(Fortnightly_Model!$D$2:$D$15,MATCH(G437,Fortnightly_Model!$B$2:$B$15,0)),0),IFERROR(INDEX(Fortnightly_Model!$D$2:$D$15,MATCH(G438,Fortnightly_Model!$B$2:$B$15,0)),0),IFERROR(INDEX(Fortnightly_Model!$D$2:$D$15,MATCH(G439,Fortnightly_Model!$B$2:$B$15,0)),0),IFERROR(INDEX(Fortnightly_Model!$D$2:$D$15,MATCH(G440,Fortnightly_Model!$B$2:$B$15,0)),0),IFERROR(INDEX(Fortnightly_Model!$D$2:$D$15,MATCH(G441,Fortnightly_Model!$B$2:$B$15,0)),0)),0))))))</f>
        <v>0</v>
      </c>
      <c r="M437" s="27">
        <f>IF(VLOOKUP($A437,Calendar!$A$1:$R$1377,18,0)=0,0,IF(VLOOKUP($A437,Calendar!$A$1:$R$1377,18,0)=1,IFERROR(INDEX(FourWeekly_Model!$D$2:$D$29,MATCH(H437,FourWeekly_Model!$B$2:$B$29,0)),0),IF(VLOOKUP($A437,Calendar!$A$1:$R$1377,18,0)=2,SUM(IFERROR(INDEX(FourWeekly_Model!$D$2:$D$29,MATCH(H437,FourWeekly_Model!$B$2:$B$29,0)),0),IFERROR(INDEX(FourWeekly_Model!$D$2:$D$29,MATCH(H438,FourWeekly_Model!$B$2:$B$29,0)),0)),IF(VLOOKUP($A437,Calendar!$A$1:$R$1377,18,0)=3,SUM(IFERROR(INDEX(FourWeekly_Model!$D$2:$D$29,MATCH(H437,FourWeekly_Model!$B$2:$B$29,0)),0),IFERROR(INDEX(FourWeekly_Model!$D$2:$D$29,MATCH(H438,FourWeekly_Model!$B$2:$B$29,0)),0),IFERROR(INDEX(FourWeekly_Model!$D$2:$D$29,MATCH(H439,FourWeekly_Model!$B$2:$B$29,0)),0)),IF(VLOOKUP($A437,Calendar!$A$1:$R$1377,18,0)=4,SUM(IFERROR(INDEX(FourWeekly_Model!$D$2:$D$29,MATCH(H437,FourWeekly_Model!$B$2:$B$29,0)),0),IFERROR(INDEX(FourWeekly_Model!$D$2:$D$29,MATCH(H438,FourWeekly_Model!$B$2:$B$29,0)),0),IFERROR(INDEX(FourWeekly_Model!$D$2:$D$29,MATCH(H439,FourWeekly_Model!$B$2:$B$29,0)),0),IFERROR(INDEX(FourWeekly_Model!$D$2:$D$29,MATCH(H440,FourWeekly_Model!$B$2:$B$29,0)),0)),IF(VLOOKUP($A437,Calendar!$A$1:$R$1377,18,0)=5,SUM(IFERROR(INDEX(FourWeekly_Model!$D$2:$D$29,MATCH(H437,FourWeekly_Model!$B$2:$B$29,0)),0),IFERROR(INDEX(FourWeekly_Model!$D$2:$D$29,MATCH(H438,FourWeekly_Model!$B$2:$B$29,0)),0),IFERROR(INDEX(FourWeekly_Model!$D$2:$D$29,MATCH(H439,FourWeekly_Model!$B$2:$B$29,0)),0),IFERROR(INDEX(FourWeekly_Model!$D$2:$D$29,MATCH(H440,FourWeekly_Model!$B$2:$B$29,0)),0),IFERROR(INDEX(FourWeekly_Model!$D$2:$D$29,MATCH(H441,FourWeekly_Model!$B$2:$B$29,0)),0)),0))))))</f>
        <v>0</v>
      </c>
      <c r="N437" s="27">
        <f>SUM(I437:M437)</f>
        <v>0</v>
      </c>
      <c r="O437" s="28">
        <f>Population_Data!$B$8*N437</f>
        <v>0</v>
      </c>
      <c r="P437" s="27">
        <f>IF(VLOOKUP($A437,Calendar!$A$1:$R$1377,18,0)=0,0,IF(VLOOKUP($A437,Calendar!$A$1:$R$1377,18,0)=1,IFERROR(INDEX(Pension_Model!$D$2:$D$29,MATCH(H437,Pension_Model!$B$2:$B$29,0)),0),IF(VLOOKUP($A437,Calendar!$A$1:$R$1377,18,0)=2,SUM(IFERROR(INDEX(Pension_Model!$D$2:$D$29,MATCH(H437,Pension_Model!$B$2:$B$29,0)),0),IFERROR(INDEX(Pension_Model!$D$2:$D$29,MATCH(H438,Pension_Model!$B$2:$B$29,0)),0)),IF(VLOOKUP($A437,Calendar!$A$1:$R$1377,18,0)=3,SUM(IFERROR(INDEX(Pension_Model!$D$2:$D$29,MATCH(H437,Pension_Model!$B$2:$B$29,0)),0),IFERROR(INDEX(Pension_Model!$D$2:$D$29,MATCH(H438,Pension_Model!$B$2:$B$29,0)),0),IFERROR(INDEX(Pension_Model!$D$2:$D$29,MATCH(H439,Pension_Model!$B$2:$B$29,0)),0)),IF(VLOOKUP($A437,Calendar!$A$1:$R$1377,18,0)=4,SUM(IFERROR(INDEX(Pension_Model!$D$2:$D$29,MATCH(H437,Pension_Model!$B$2:$B$29,0)),0),IFERROR(INDEX(Pension_Model!$D$2:$D$29,MATCH(H438,Pension_Model!$B$2:$B$29,0)),0),IFERROR(INDEX(Pension_Model!$D$2:$D$29,MATCH(H439,Pension_Model!$B$2:$B$29,0)),0),IFERROR(INDEX(Pension_Model!$D$2:$D$29,MATCH(H440,Pension_Model!$B$2:$B$29,0)),0)),IF(VLOOKUP($A437,Calendar!$A$1:$R$1377,18,0)=5,SUM(IFERROR(INDEX(Pension_Model!$D$2:$D$29,MATCH(H437,Pension_Model!$B$2:$B$29,0)),0),IFERROR(INDEX(Pension_Model!$D$2:$D$29,MATCH(H438,Pension_Model!$B$2:$B$29,0)),0),IFERROR(INDEX(Pension_Model!$D$2:$D$29,MATCH(H439,Pension_Model!$B$2:$B$29,0)),0),IFERROR(INDEX(Pension_Model!$D$2:$D$29,MATCH(H440,Pension_Model!$B$2:$B$29,0)),0),IFERROR(INDEX(Pension_Model!$D$2:$D$29,MATCH(H441,Pension_Model!$B$2:$B$29,0)),0)),0))))))</f>
        <v>0</v>
      </c>
      <c r="Q437" s="28">
        <f>Population_Data!$B$15*P437</f>
        <v>0</v>
      </c>
      <c r="S437">
        <f t="shared" si="6"/>
        <v>0</v>
      </c>
      <c r="U437" s="33">
        <f>S437/Population_Data!$B$19</f>
        <v>0</v>
      </c>
    </row>
    <row r="438" spans="1:21">
      <c r="A438" s="25">
        <f>Calendar!A438</f>
        <v>46671</v>
      </c>
      <c r="B438" t="str">
        <f>Calendar!L438</f>
        <v>Yes</v>
      </c>
      <c r="C438" t="str">
        <f>Calendar!O438</f>
        <v>No</v>
      </c>
      <c r="D438" t="str">
        <f>Calendar!P438</f>
        <v>No</v>
      </c>
      <c r="E438" t="str">
        <f>Calendar!Q438</f>
        <v>No</v>
      </c>
      <c r="F438" t="str">
        <f>Calendar!I438</f>
        <v>Monday</v>
      </c>
      <c r="G438">
        <f>Calendar!S438</f>
        <v>9</v>
      </c>
      <c r="H438">
        <f>Calendar!T438</f>
        <v>23</v>
      </c>
      <c r="I438" s="27">
        <f>IF(VLOOKUP(A438,Calendar!$A$1:$R$1377,18,0)=0,0,IF(VLOOKUP(A438,Calendar!$A$1:$R$1377,18,0)=1,INDEX(Monthly_Pay_Model!$A$9:$D$40,MATCH(TEXT(A438,"dd"),Monthly_Pay_Model!$C$9:$C$39,0),4),IF(VLOOKUP(A438,Calendar!$A$1:$R$1377,18,0)=2,SUM(INDEX(Monthly_Pay_Model!$A$9:$D$40,MATCH(TEXT(A438,"dd"),Monthly_Pay_Model!$C$9:$C$39,0),4),INDEX(Monthly_Pay_Model!$A$9:$D$40,MATCH(TEXT(A439,"dd"),Monthly_Pay_Model!$C$9:$C$39,0),4)),IF(VLOOKUP(A438,Calendar!$A$1:$R$1377,18,0)=3,SUM(INDEX(Monthly_Pay_Model!$A$9:$D$40,MATCH(TEXT(A438,"dd"),Monthly_Pay_Model!$C$9:$C$39,0),4),INDEX(Monthly_Pay_Model!$A$9:$D$40,MATCH(TEXT(A439,"dd"),Monthly_Pay_Model!$C$9:$C$39,0),4),INDEX(Monthly_Pay_Model!$A$9:$D$40,MATCH(TEXT(A440,"dd"),Monthly_Pay_Model!$C$9:$C$39,0),4)),IF(VLOOKUP(A438,Calendar!$A$1:$R$1377,18,0)=4,SUM(INDEX(Monthly_Pay_Model!$A$9:$D$40,MATCH(TEXT(A438,"dd"),Monthly_Pay_Model!$C$9:$C$39,0),4),INDEX(Monthly_Pay_Model!$A$9:$D$40,MATCH(TEXT(A439,"dd"),Monthly_Pay_Model!$C$9:$C$39,0),4),INDEX(Monthly_Pay_Model!$A$9:$D$40,MATCH(TEXT(A440,"dd"),Monthly_Pay_Model!$C$9:$C$39,0),4),INDEX(Monthly_Pay_Model!$A$9:$D$40,MATCH(TEXT(A441,"dd"),Monthly_Pay_Model!$C$9:$C$39,0),4)),IF(VLOOKUP(A438,Calendar!$A$1:$R$1377,18,0)=5,SUM(INDEX(Monthly_Pay_Model!$A$9:$D$40,MATCH(TEXT(A438,"dd"),Monthly_Pay_Model!$C$9:$C$39,0),4),INDEX(Monthly_Pay_Model!$A$9:$D$40,MATCH(TEXT(A439,"dd"),Monthly_Pay_Model!$C$9:$C$39,0),4),INDEX(Monthly_Pay_Model!$A$9:$D$40,MATCH(TEXT(A440,"dd"),Monthly_Pay_Model!$C$9:$C$39,0),4),INDEX(Monthly_Pay_Model!$A$9:$D$40,MATCH(TEXT(A441,"dd"),Monthly_Pay_Model!$C$9:$C$39,0),4),INDEX(Monthly_Pay_Model!$A$9:$D$40,MATCH(TEXT(A442,"dd"),Monthly_Pay_Model!$C$9:$C$39,0),4)),))))))</f>
        <v>8.1256544502617792E-4</v>
      </c>
      <c r="J438" s="33">
        <f>IF(C438="Yes",Monthly_Pay_Model!$D$2,0)
+IF(Calendar!N438="Yes",Monthly_Pay_Model!$D$3,0)
+IF(D438="Yes",Monthly_Pay_Model!$D$4,0)
+IF(E438="Yes",Monthly_Pay_Model!$D$5,0)</f>
        <v>0</v>
      </c>
      <c r="K438" s="27">
        <f>IF(VLOOKUP($A438,Calendar!$A$1:$R$1377,18,0)=0,0,IF(VLOOKUP($A438,Calendar!$A$1:$R$1377,18,0)=1,IFERROR(INDEX(Weekly_Model!$D$2:$D$9,MATCH(F438,Weekly_Model!$A$2:$A$9,0)),0),IF(VLOOKUP($A438,Calendar!$A$1:$R$1377,18,0)=2,SUM(IFERROR(INDEX(Weekly_Model!$D$2:$D$9,MATCH(F438,Weekly_Model!$A$2:$A$9,0)),0),IFERROR(INDEX(Weekly_Model!$D$2:$D$9,MATCH(F439,Weekly_Model!$A$2:$A$9,0)),0)),IF(VLOOKUP($A438,Calendar!$A$1:$R$1377,18,0)=3,SUM(IFERROR(INDEX(Weekly_Model!$D$2:$D$9,MATCH(F438,Weekly_Model!$A$2:$A$9,0)),0),IFERROR(INDEX(Weekly_Model!$D$2:$D$9,MATCH(F439,Weekly_Model!$A$2:$A$9,0)),0),IFERROR(INDEX(Weekly_Model!$D$2:$D$9,MATCH(F440,Weekly_Model!$A$2:$A$9,0)),0)),IF(VLOOKUP($A438,Calendar!$A$1:$R$1377,18,0)=4,SUM(IFERROR(INDEX(Weekly_Model!$D$2:$D$9,MATCH(F438,Weekly_Model!$A$2:$A$9,0)),0),IFERROR(INDEX(Weekly_Model!$D$2:$D$9,MATCH(F439,Weekly_Model!$A$2:$A$9,0)),0),IFERROR(INDEX(Weekly_Model!$D$2:$D$9,MATCH(F440,Weekly_Model!$A$2:$A$9,0)),0),IFERROR(INDEX(Weekly_Model!$D$2:$D$9,MATCH(F441,Weekly_Model!$A$2:$A$9,0)),0)),IF(VLOOKUP($A438,Calendar!$A$1:$R$1377,18,0)=5,SUM(IFERROR(INDEX(Weekly_Model!$D$2:$D$9,MATCH(F438,Weekly_Model!$A$2:$A$9,0)),0),IFERROR(INDEX(Weekly_Model!$D$2:$D$9,MATCH(F439,Weekly_Model!$A$2:$A$9,0)),0),IFERROR(INDEX(Weekly_Model!$D$2:$D$9,MATCH(F440,Weekly_Model!$A$2:$A$9,0)),0),IFERROR(INDEX(Weekly_Model!$D$2:$D$9,MATCH(F441,Weekly_Model!$A$2:$A$9,0)),0),IFERROR(INDEX(Weekly_Model!$D$2:$D$9,MATCH(F442,Weekly_Model!$A$2:$A$9,0)),0)),0))))))</f>
        <v>2.3200000000000002E-2</v>
      </c>
      <c r="L438" s="27">
        <f>IF(VLOOKUP($A438,Calendar!$A$1:$R$1377,18,0)=0,0,IF(VLOOKUP($A438,Calendar!$A$1:$R$1377,18,0)=1,IFERROR(INDEX(Fortnightly_Model!$D$2:$D$15,MATCH(G438,Fortnightly_Model!$B$2:$B$15,0)),0),IF(VLOOKUP($A438,Calendar!$A$1:$R$1377,18,0)=2,SUM(IFERROR(INDEX(Fortnightly_Model!$D$2:$D$15,MATCH(G438,Fortnightly_Model!$B$2:$B$15,0)),0),IFERROR(INDEX(Fortnightly_Model!$D$2:$D$15,MATCH(G439,Fortnightly_Model!$B$2:$B$15,0)),0)),IF(VLOOKUP($A438,Calendar!$A$1:$R$1377,18,0)=3,SUM(IFERROR(INDEX(Fortnightly_Model!$D$2:$D$15,MATCH(G438,Fortnightly_Model!$B$2:$B$15,0)),0),IFERROR(INDEX(Fortnightly_Model!$D$2:$D$15,MATCH(G439,Fortnightly_Model!$B$2:$B$15,0)),0),IFERROR(INDEX(Fortnightly_Model!$D$2:$D$15,MATCH(G440,Fortnightly_Model!$B$2:$B$15,0)),0)),IF(VLOOKUP($A438,Calendar!$A$1:$R$1377,18,0)=4,SUM(IFERROR(INDEX(Fortnightly_Model!$D$2:$D$15,MATCH(G438,Fortnightly_Model!$B$2:$B$15,0)),0),IFERROR(INDEX(Fortnightly_Model!$D$2:$D$15,MATCH(G439,Fortnightly_Model!$B$2:$B$15,0)),0),IFERROR(INDEX(Fortnightly_Model!$D$2:$D$15,MATCH(G440,Fortnightly_Model!$B$2:$B$15,0)),0),IFERROR(INDEX(Fortnightly_Model!$D$2:$D$15,MATCH(G441,Fortnightly_Model!$B$2:$B$15,0)),0)),IF(VLOOKUP($A438,Calendar!$A$1:$R$1377,18,0)=5,SUM(IFERROR(INDEX(Fortnightly_Model!$D$2:$D$15,MATCH(G438,Fortnightly_Model!$B$2:$B$15,0)),0),IFERROR(INDEX(Fortnightly_Model!$D$2:$D$15,MATCH(G439,Fortnightly_Model!$B$2:$B$15,0)),0),IFERROR(INDEX(Fortnightly_Model!$D$2:$D$15,MATCH(G440,Fortnightly_Model!$B$2:$B$15,0)),0),IFERROR(INDEX(Fortnightly_Model!$D$2:$D$15,MATCH(G441,Fortnightly_Model!$B$2:$B$15,0)),0),IFERROR(INDEX(Fortnightly_Model!$D$2:$D$15,MATCH(G442,Fortnightly_Model!$B$2:$B$15,0)),0)),0))))))</f>
        <v>1.0714285499999999E-3</v>
      </c>
      <c r="M438" s="27">
        <f>IF(VLOOKUP($A438,Calendar!$A$1:$R$1377,18,0)=0,0,IF(VLOOKUP($A438,Calendar!$A$1:$R$1377,18,0)=1,IFERROR(INDEX(FourWeekly_Model!$D$2:$D$29,MATCH(H438,FourWeekly_Model!$B$2:$B$29,0)),0),IF(VLOOKUP($A438,Calendar!$A$1:$R$1377,18,0)=2,SUM(IFERROR(INDEX(FourWeekly_Model!$D$2:$D$29,MATCH(H438,FourWeekly_Model!$B$2:$B$29,0)),0),IFERROR(INDEX(FourWeekly_Model!$D$2:$D$29,MATCH(H439,FourWeekly_Model!$B$2:$B$29,0)),0)),IF(VLOOKUP($A438,Calendar!$A$1:$R$1377,18,0)=3,SUM(IFERROR(INDEX(FourWeekly_Model!$D$2:$D$29,MATCH(H438,FourWeekly_Model!$B$2:$B$29,0)),0),IFERROR(INDEX(FourWeekly_Model!$D$2:$D$29,MATCH(H439,FourWeekly_Model!$B$2:$B$29,0)),0),IFERROR(INDEX(FourWeekly_Model!$D$2:$D$29,MATCH(H440,FourWeekly_Model!$B$2:$B$29,0)),0)),IF(VLOOKUP($A438,Calendar!$A$1:$R$1377,18,0)=4,SUM(IFERROR(INDEX(FourWeekly_Model!$D$2:$D$29,MATCH(H438,FourWeekly_Model!$B$2:$B$29,0)),0),IFERROR(INDEX(FourWeekly_Model!$D$2:$D$29,MATCH(H439,FourWeekly_Model!$B$2:$B$29,0)),0),IFERROR(INDEX(FourWeekly_Model!$D$2:$D$29,MATCH(H440,FourWeekly_Model!$B$2:$B$29,0)),0),IFERROR(INDEX(FourWeekly_Model!$D$2:$D$29,MATCH(H441,FourWeekly_Model!$B$2:$B$29,0)),0)),IF(VLOOKUP($A438,Calendar!$A$1:$R$1377,18,0)=5,SUM(IFERROR(INDEX(FourWeekly_Model!$D$2:$D$29,MATCH(H438,FourWeekly_Model!$B$2:$B$29,0)),0),IFERROR(INDEX(FourWeekly_Model!$D$2:$D$29,MATCH(H439,FourWeekly_Model!$B$2:$B$29,0)),0),IFERROR(INDEX(FourWeekly_Model!$D$2:$D$29,MATCH(H440,FourWeekly_Model!$B$2:$B$29,0)),0),IFERROR(INDEX(FourWeekly_Model!$D$2:$D$29,MATCH(H441,FourWeekly_Model!$B$2:$B$29,0)),0),IFERROR(INDEX(FourWeekly_Model!$D$2:$D$29,MATCH(H442,FourWeekly_Model!$B$2:$B$29,0)),0)),0))))))</f>
        <v>3.3214289700000004E-3</v>
      </c>
      <c r="N438" s="27">
        <f>SUM(I438:M438)</f>
        <v>2.840542296502618E-2</v>
      </c>
      <c r="O438" s="28">
        <f>Population_Data!$B$8*N438</f>
        <v>860684.3158402933</v>
      </c>
      <c r="P438" s="27">
        <f>IF(VLOOKUP($A438,Calendar!$A$1:$R$1377,18,0)=0,0,IF(VLOOKUP($A438,Calendar!$A$1:$R$1377,18,0)=1,IFERROR(INDEX(Pension_Model!$D$2:$D$29,MATCH(H438,Pension_Model!$B$2:$B$29,0)),0),IF(VLOOKUP($A438,Calendar!$A$1:$R$1377,18,0)=2,SUM(IFERROR(INDEX(Pension_Model!$D$2:$D$29,MATCH(H438,Pension_Model!$B$2:$B$29,0)),0),IFERROR(INDEX(Pension_Model!$D$2:$D$29,MATCH(H439,Pension_Model!$B$2:$B$29,0)),0)),IF(VLOOKUP($A438,Calendar!$A$1:$R$1377,18,0)=3,SUM(IFERROR(INDEX(Pension_Model!$D$2:$D$29,MATCH(H438,Pension_Model!$B$2:$B$29,0)),0),IFERROR(INDEX(Pension_Model!$D$2:$D$29,MATCH(H439,Pension_Model!$B$2:$B$29,0)),0),IFERROR(INDEX(Pension_Model!$D$2:$D$29,MATCH(H440,Pension_Model!$B$2:$B$29,0)),0)),IF(VLOOKUP($A438,Calendar!$A$1:$R$1377,18,0)=4,SUM(IFERROR(INDEX(Pension_Model!$D$2:$D$29,MATCH(H438,Pension_Model!$B$2:$B$29,0)),0),IFERROR(INDEX(Pension_Model!$D$2:$D$29,MATCH(H439,Pension_Model!$B$2:$B$29,0)),0),IFERROR(INDEX(Pension_Model!$D$2:$D$29,MATCH(H440,Pension_Model!$B$2:$B$29,0)),0),IFERROR(INDEX(Pension_Model!$D$2:$D$29,MATCH(H441,Pension_Model!$B$2:$B$29,0)),0)),IF(VLOOKUP($A438,Calendar!$A$1:$R$1377,18,0)=5,SUM(IFERROR(INDEX(Pension_Model!$D$2:$D$29,MATCH(H438,Pension_Model!$B$2:$B$29,0)),0),IFERROR(INDEX(Pension_Model!$D$2:$D$29,MATCH(H439,Pension_Model!$B$2:$B$29,0)),0),IFERROR(INDEX(Pension_Model!$D$2:$D$29,MATCH(H440,Pension_Model!$B$2:$B$29,0)),0),IFERROR(INDEX(Pension_Model!$D$2:$D$29,MATCH(H441,Pension_Model!$B$2:$B$29,0)),0),IFERROR(INDEX(Pension_Model!$D$2:$D$29,MATCH(H442,Pension_Model!$B$2:$B$29,0)),0)),0))))))</f>
        <v>0.05</v>
      </c>
      <c r="Q438" s="28">
        <f>Population_Data!$B$15*P438</f>
        <v>660600</v>
      </c>
      <c r="S438">
        <f t="shared" si="6"/>
        <v>1521284.3158402932</v>
      </c>
      <c r="U438" s="33">
        <f>S438/Population_Data!$B$19</f>
        <v>2.7559498475367629E-2</v>
      </c>
    </row>
    <row r="439" spans="1:21">
      <c r="A439" s="25">
        <f>Calendar!A439</f>
        <v>46672</v>
      </c>
      <c r="B439" t="str">
        <f>Calendar!L439</f>
        <v>Yes</v>
      </c>
      <c r="C439" t="str">
        <f>Calendar!O439</f>
        <v>No</v>
      </c>
      <c r="D439" t="str">
        <f>Calendar!P439</f>
        <v>No</v>
      </c>
      <c r="E439" t="str">
        <f>Calendar!Q439</f>
        <v>No</v>
      </c>
      <c r="F439" t="str">
        <f>Calendar!I439</f>
        <v>Tuesday</v>
      </c>
      <c r="G439">
        <f>Calendar!S439</f>
        <v>10</v>
      </c>
      <c r="H439">
        <f>Calendar!T439</f>
        <v>24</v>
      </c>
      <c r="I439" s="27">
        <f>IF(VLOOKUP(A439,Calendar!$A$1:$R$1377,18,0)=0,0,IF(VLOOKUP(A439,Calendar!$A$1:$R$1377,18,0)=1,INDEX(Monthly_Pay_Model!$A$9:$D$40,MATCH(TEXT(A439,"dd"),Monthly_Pay_Model!$C$9:$C$39,0),4),IF(VLOOKUP(A439,Calendar!$A$1:$R$1377,18,0)=2,SUM(INDEX(Monthly_Pay_Model!$A$9:$D$40,MATCH(TEXT(A439,"dd"),Monthly_Pay_Model!$C$9:$C$39,0),4),INDEX(Monthly_Pay_Model!$A$9:$D$40,MATCH(TEXT(A440,"dd"),Monthly_Pay_Model!$C$9:$C$39,0),4)),IF(VLOOKUP(A439,Calendar!$A$1:$R$1377,18,0)=3,SUM(INDEX(Monthly_Pay_Model!$A$9:$D$40,MATCH(TEXT(A439,"dd"),Monthly_Pay_Model!$C$9:$C$39,0),4),INDEX(Monthly_Pay_Model!$A$9:$D$40,MATCH(TEXT(A440,"dd"),Monthly_Pay_Model!$C$9:$C$39,0),4),INDEX(Monthly_Pay_Model!$A$9:$D$40,MATCH(TEXT(A441,"dd"),Monthly_Pay_Model!$C$9:$C$39,0),4)),IF(VLOOKUP(A439,Calendar!$A$1:$R$1377,18,0)=4,SUM(INDEX(Monthly_Pay_Model!$A$9:$D$40,MATCH(TEXT(A439,"dd"),Monthly_Pay_Model!$C$9:$C$39,0),4),INDEX(Monthly_Pay_Model!$A$9:$D$40,MATCH(TEXT(A440,"dd"),Monthly_Pay_Model!$C$9:$C$39,0),4),INDEX(Monthly_Pay_Model!$A$9:$D$40,MATCH(TEXT(A441,"dd"),Monthly_Pay_Model!$C$9:$C$39,0),4),INDEX(Monthly_Pay_Model!$A$9:$D$40,MATCH(TEXT(A442,"dd"),Monthly_Pay_Model!$C$9:$C$39,0),4)),IF(VLOOKUP(A439,Calendar!$A$1:$R$1377,18,0)=5,SUM(INDEX(Monthly_Pay_Model!$A$9:$D$40,MATCH(TEXT(A439,"dd"),Monthly_Pay_Model!$C$9:$C$39,0),4),INDEX(Monthly_Pay_Model!$A$9:$D$40,MATCH(TEXT(A440,"dd"),Monthly_Pay_Model!$C$9:$C$39,0),4),INDEX(Monthly_Pay_Model!$A$9:$D$40,MATCH(TEXT(A441,"dd"),Monthly_Pay_Model!$C$9:$C$39,0),4),INDEX(Monthly_Pay_Model!$A$9:$D$40,MATCH(TEXT(A442,"dd"),Monthly_Pay_Model!$C$9:$C$39,0),4),INDEX(Monthly_Pay_Model!$A$9:$D$40,MATCH(TEXT(A443,"dd"),Monthly_Pay_Model!$C$9:$C$39,0),4)),))))))</f>
        <v>1.6251308900523558E-3</v>
      </c>
      <c r="J439" s="33">
        <f>IF(C439="Yes",Monthly_Pay_Model!$D$2,0)
+IF(Calendar!N439="Yes",Monthly_Pay_Model!$D$3,0)
+IF(D439="Yes",Monthly_Pay_Model!$D$4,0)
+IF(E439="Yes",Monthly_Pay_Model!$D$5,0)</f>
        <v>0</v>
      </c>
      <c r="K439" s="27">
        <f>IF(VLOOKUP($A439,Calendar!$A$1:$R$1377,18,0)=0,0,IF(VLOOKUP($A439,Calendar!$A$1:$R$1377,18,0)=1,IFERROR(INDEX(Weekly_Model!$D$2:$D$9,MATCH(F439,Weekly_Model!$A$2:$A$9,0)),0),IF(VLOOKUP($A439,Calendar!$A$1:$R$1377,18,0)=2,SUM(IFERROR(INDEX(Weekly_Model!$D$2:$D$9,MATCH(F439,Weekly_Model!$A$2:$A$9,0)),0),IFERROR(INDEX(Weekly_Model!$D$2:$D$9,MATCH(F440,Weekly_Model!$A$2:$A$9,0)),0)),IF(VLOOKUP($A439,Calendar!$A$1:$R$1377,18,0)=3,SUM(IFERROR(INDEX(Weekly_Model!$D$2:$D$9,MATCH(F439,Weekly_Model!$A$2:$A$9,0)),0),IFERROR(INDEX(Weekly_Model!$D$2:$D$9,MATCH(F440,Weekly_Model!$A$2:$A$9,0)),0),IFERROR(INDEX(Weekly_Model!$D$2:$D$9,MATCH(F441,Weekly_Model!$A$2:$A$9,0)),0)),IF(VLOOKUP($A439,Calendar!$A$1:$R$1377,18,0)=4,SUM(IFERROR(INDEX(Weekly_Model!$D$2:$D$9,MATCH(F439,Weekly_Model!$A$2:$A$9,0)),0),IFERROR(INDEX(Weekly_Model!$D$2:$D$9,MATCH(F440,Weekly_Model!$A$2:$A$9,0)),0),IFERROR(INDEX(Weekly_Model!$D$2:$D$9,MATCH(F441,Weekly_Model!$A$2:$A$9,0)),0),IFERROR(INDEX(Weekly_Model!$D$2:$D$9,MATCH(F442,Weekly_Model!$A$2:$A$9,0)),0)),IF(VLOOKUP($A439,Calendar!$A$1:$R$1377,18,0)=5,SUM(IFERROR(INDEX(Weekly_Model!$D$2:$D$9,MATCH(F439,Weekly_Model!$A$2:$A$9,0)),0),IFERROR(INDEX(Weekly_Model!$D$2:$D$9,MATCH(F440,Weekly_Model!$A$2:$A$9,0)),0),IFERROR(INDEX(Weekly_Model!$D$2:$D$9,MATCH(F441,Weekly_Model!$A$2:$A$9,0)),0),IFERROR(INDEX(Weekly_Model!$D$2:$D$9,MATCH(F442,Weekly_Model!$A$2:$A$9,0)),0),IFERROR(INDEX(Weekly_Model!$D$2:$D$9,MATCH(F443,Weekly_Model!$A$2:$A$9,0)),0)),0))))))</f>
        <v>2.3200000000000002E-2</v>
      </c>
      <c r="L439" s="27">
        <f>IF(VLOOKUP($A439,Calendar!$A$1:$R$1377,18,0)=0,0,IF(VLOOKUP($A439,Calendar!$A$1:$R$1377,18,0)=1,IFERROR(INDEX(Fortnightly_Model!$D$2:$D$15,MATCH(G439,Fortnightly_Model!$B$2:$B$15,0)),0),IF(VLOOKUP($A439,Calendar!$A$1:$R$1377,18,0)=2,SUM(IFERROR(INDEX(Fortnightly_Model!$D$2:$D$15,MATCH(G439,Fortnightly_Model!$B$2:$B$15,0)),0),IFERROR(INDEX(Fortnightly_Model!$D$2:$D$15,MATCH(G440,Fortnightly_Model!$B$2:$B$15,0)),0)),IF(VLOOKUP($A439,Calendar!$A$1:$R$1377,18,0)=3,SUM(IFERROR(INDEX(Fortnightly_Model!$D$2:$D$15,MATCH(G439,Fortnightly_Model!$B$2:$B$15,0)),0),IFERROR(INDEX(Fortnightly_Model!$D$2:$D$15,MATCH(G440,Fortnightly_Model!$B$2:$B$15,0)),0),IFERROR(INDEX(Fortnightly_Model!$D$2:$D$15,MATCH(G441,Fortnightly_Model!$B$2:$B$15,0)),0)),IF(VLOOKUP($A439,Calendar!$A$1:$R$1377,18,0)=4,SUM(IFERROR(INDEX(Fortnightly_Model!$D$2:$D$15,MATCH(G439,Fortnightly_Model!$B$2:$B$15,0)),0),IFERROR(INDEX(Fortnightly_Model!$D$2:$D$15,MATCH(G440,Fortnightly_Model!$B$2:$B$15,0)),0),IFERROR(INDEX(Fortnightly_Model!$D$2:$D$15,MATCH(G441,Fortnightly_Model!$B$2:$B$15,0)),0),IFERROR(INDEX(Fortnightly_Model!$D$2:$D$15,MATCH(G442,Fortnightly_Model!$B$2:$B$15,0)),0)),IF(VLOOKUP($A439,Calendar!$A$1:$R$1377,18,0)=5,SUM(IFERROR(INDEX(Fortnightly_Model!$D$2:$D$15,MATCH(G439,Fortnightly_Model!$B$2:$B$15,0)),0),IFERROR(INDEX(Fortnightly_Model!$D$2:$D$15,MATCH(G440,Fortnightly_Model!$B$2:$B$15,0)),0),IFERROR(INDEX(Fortnightly_Model!$D$2:$D$15,MATCH(G441,Fortnightly_Model!$B$2:$B$15,0)),0),IFERROR(INDEX(Fortnightly_Model!$D$2:$D$15,MATCH(G442,Fortnightly_Model!$B$2:$B$15,0)),0),IFERROR(INDEX(Fortnightly_Model!$D$2:$D$15,MATCH(G443,Fortnightly_Model!$B$2:$B$15,0)),0)),0))))))</f>
        <v>1.0714285499999999E-3</v>
      </c>
      <c r="M439" s="27">
        <f>IF(VLOOKUP($A439,Calendar!$A$1:$R$1377,18,0)=0,0,IF(VLOOKUP($A439,Calendar!$A$1:$R$1377,18,0)=1,IFERROR(INDEX(FourWeekly_Model!$D$2:$D$29,MATCH(H439,FourWeekly_Model!$B$2:$B$29,0)),0),IF(VLOOKUP($A439,Calendar!$A$1:$R$1377,18,0)=2,SUM(IFERROR(INDEX(FourWeekly_Model!$D$2:$D$29,MATCH(H439,FourWeekly_Model!$B$2:$B$29,0)),0),IFERROR(INDEX(FourWeekly_Model!$D$2:$D$29,MATCH(H440,FourWeekly_Model!$B$2:$B$29,0)),0)),IF(VLOOKUP($A439,Calendar!$A$1:$R$1377,18,0)=3,SUM(IFERROR(INDEX(FourWeekly_Model!$D$2:$D$29,MATCH(H439,FourWeekly_Model!$B$2:$B$29,0)),0),IFERROR(INDEX(FourWeekly_Model!$D$2:$D$29,MATCH(H440,FourWeekly_Model!$B$2:$B$29,0)),0),IFERROR(INDEX(FourWeekly_Model!$D$2:$D$29,MATCH(H441,FourWeekly_Model!$B$2:$B$29,0)),0)),IF(VLOOKUP($A439,Calendar!$A$1:$R$1377,18,0)=4,SUM(IFERROR(INDEX(FourWeekly_Model!$D$2:$D$29,MATCH(H439,FourWeekly_Model!$B$2:$B$29,0)),0),IFERROR(INDEX(FourWeekly_Model!$D$2:$D$29,MATCH(H440,FourWeekly_Model!$B$2:$B$29,0)),0),IFERROR(INDEX(FourWeekly_Model!$D$2:$D$29,MATCH(H441,FourWeekly_Model!$B$2:$B$29,0)),0),IFERROR(INDEX(FourWeekly_Model!$D$2:$D$29,MATCH(H442,FourWeekly_Model!$B$2:$B$29,0)),0)),IF(VLOOKUP($A439,Calendar!$A$1:$R$1377,18,0)=5,SUM(IFERROR(INDEX(FourWeekly_Model!$D$2:$D$29,MATCH(H439,FourWeekly_Model!$B$2:$B$29,0)),0),IFERROR(INDEX(FourWeekly_Model!$D$2:$D$29,MATCH(H440,FourWeekly_Model!$B$2:$B$29,0)),0),IFERROR(INDEX(FourWeekly_Model!$D$2:$D$29,MATCH(H441,FourWeekly_Model!$B$2:$B$29,0)),0),IFERROR(INDEX(FourWeekly_Model!$D$2:$D$29,MATCH(H442,FourWeekly_Model!$B$2:$B$29,0)),0),IFERROR(INDEX(FourWeekly_Model!$D$2:$D$29,MATCH(H443,FourWeekly_Model!$B$2:$B$29,0)),0)),0))))))</f>
        <v>3.3214289700000004E-3</v>
      </c>
      <c r="N439" s="27">
        <f>SUM(I439:M439)</f>
        <v>2.921798841005236E-2</v>
      </c>
      <c r="O439" s="28">
        <f>Population_Data!$B$8*N439</f>
        <v>885305.04882458656</v>
      </c>
      <c r="P439" s="27">
        <f>IF(VLOOKUP($A439,Calendar!$A$1:$R$1377,18,0)=0,0,IF(VLOOKUP($A439,Calendar!$A$1:$R$1377,18,0)=1,IFERROR(INDEX(Pension_Model!$D$2:$D$29,MATCH(H439,Pension_Model!$B$2:$B$29,0)),0),IF(VLOOKUP($A439,Calendar!$A$1:$R$1377,18,0)=2,SUM(IFERROR(INDEX(Pension_Model!$D$2:$D$29,MATCH(H439,Pension_Model!$B$2:$B$29,0)),0),IFERROR(INDEX(Pension_Model!$D$2:$D$29,MATCH(H440,Pension_Model!$B$2:$B$29,0)),0)),IF(VLOOKUP($A439,Calendar!$A$1:$R$1377,18,0)=3,SUM(IFERROR(INDEX(Pension_Model!$D$2:$D$29,MATCH(H439,Pension_Model!$B$2:$B$29,0)),0),IFERROR(INDEX(Pension_Model!$D$2:$D$29,MATCH(H440,Pension_Model!$B$2:$B$29,0)),0),IFERROR(INDEX(Pension_Model!$D$2:$D$29,MATCH(H441,Pension_Model!$B$2:$B$29,0)),0)),IF(VLOOKUP($A439,Calendar!$A$1:$R$1377,18,0)=4,SUM(IFERROR(INDEX(Pension_Model!$D$2:$D$29,MATCH(H439,Pension_Model!$B$2:$B$29,0)),0),IFERROR(INDEX(Pension_Model!$D$2:$D$29,MATCH(H440,Pension_Model!$B$2:$B$29,0)),0),IFERROR(INDEX(Pension_Model!$D$2:$D$29,MATCH(H441,Pension_Model!$B$2:$B$29,0)),0),IFERROR(INDEX(Pension_Model!$D$2:$D$29,MATCH(H442,Pension_Model!$B$2:$B$29,0)),0)),IF(VLOOKUP($A439,Calendar!$A$1:$R$1377,18,0)=5,SUM(IFERROR(INDEX(Pension_Model!$D$2:$D$29,MATCH(H439,Pension_Model!$B$2:$B$29,0)),0),IFERROR(INDEX(Pension_Model!$D$2:$D$29,MATCH(H440,Pension_Model!$B$2:$B$29,0)),0),IFERROR(INDEX(Pension_Model!$D$2:$D$29,MATCH(H441,Pension_Model!$B$2:$B$29,0)),0),IFERROR(INDEX(Pension_Model!$D$2:$D$29,MATCH(H442,Pension_Model!$B$2:$B$29,0)),0),IFERROR(INDEX(Pension_Model!$D$2:$D$29,MATCH(H443,Pension_Model!$B$2:$B$29,0)),0)),0))))))</f>
        <v>0.05</v>
      </c>
      <c r="Q439" s="28">
        <f>Population_Data!$B$15*P439</f>
        <v>660600</v>
      </c>
      <c r="S439">
        <f t="shared" si="6"/>
        <v>1545905.0488245864</v>
      </c>
      <c r="U439" s="33">
        <f>S439/Population_Data!$B$19</f>
        <v>2.8005526246822218E-2</v>
      </c>
    </row>
    <row r="440" spans="1:21">
      <c r="A440" s="25">
        <f>Calendar!A440</f>
        <v>46673</v>
      </c>
      <c r="B440" t="str">
        <f>Calendar!L440</f>
        <v>Yes</v>
      </c>
      <c r="C440" t="str">
        <f>Calendar!O440</f>
        <v>No</v>
      </c>
      <c r="D440" t="str">
        <f>Calendar!P440</f>
        <v>No</v>
      </c>
      <c r="E440" t="str">
        <f>Calendar!Q440</f>
        <v>No</v>
      </c>
      <c r="F440" t="str">
        <f>Calendar!I440</f>
        <v>Wednesday</v>
      </c>
      <c r="G440">
        <f>Calendar!S440</f>
        <v>11</v>
      </c>
      <c r="H440">
        <f>Calendar!T440</f>
        <v>25</v>
      </c>
      <c r="I440" s="27">
        <f>IF(VLOOKUP(A440,Calendar!$A$1:$R$1377,18,0)=0,0,IF(VLOOKUP(A440,Calendar!$A$1:$R$1377,18,0)=1,INDEX(Monthly_Pay_Model!$A$9:$D$40,MATCH(TEXT(A440,"dd"),Monthly_Pay_Model!$C$9:$C$39,0),4),IF(VLOOKUP(A440,Calendar!$A$1:$R$1377,18,0)=2,SUM(INDEX(Monthly_Pay_Model!$A$9:$D$40,MATCH(TEXT(A440,"dd"),Monthly_Pay_Model!$C$9:$C$39,0),4),INDEX(Monthly_Pay_Model!$A$9:$D$40,MATCH(TEXT(A441,"dd"),Monthly_Pay_Model!$C$9:$C$39,0),4)),IF(VLOOKUP(A440,Calendar!$A$1:$R$1377,18,0)=3,SUM(INDEX(Monthly_Pay_Model!$A$9:$D$40,MATCH(TEXT(A440,"dd"),Monthly_Pay_Model!$C$9:$C$39,0),4),INDEX(Monthly_Pay_Model!$A$9:$D$40,MATCH(TEXT(A441,"dd"),Monthly_Pay_Model!$C$9:$C$39,0),4),INDEX(Monthly_Pay_Model!$A$9:$D$40,MATCH(TEXT(A442,"dd"),Monthly_Pay_Model!$C$9:$C$39,0),4)),IF(VLOOKUP(A440,Calendar!$A$1:$R$1377,18,0)=4,SUM(INDEX(Monthly_Pay_Model!$A$9:$D$40,MATCH(TEXT(A440,"dd"),Monthly_Pay_Model!$C$9:$C$39,0),4),INDEX(Monthly_Pay_Model!$A$9:$D$40,MATCH(TEXT(A441,"dd"),Monthly_Pay_Model!$C$9:$C$39,0),4),INDEX(Monthly_Pay_Model!$A$9:$D$40,MATCH(TEXT(A442,"dd"),Monthly_Pay_Model!$C$9:$C$39,0),4),INDEX(Monthly_Pay_Model!$A$9:$D$40,MATCH(TEXT(A443,"dd"),Monthly_Pay_Model!$C$9:$C$39,0),4)),IF(VLOOKUP(A440,Calendar!$A$1:$R$1377,18,0)=5,SUM(INDEX(Monthly_Pay_Model!$A$9:$D$40,MATCH(TEXT(A440,"dd"),Monthly_Pay_Model!$C$9:$C$39,0),4),INDEX(Monthly_Pay_Model!$A$9:$D$40,MATCH(TEXT(A441,"dd"),Monthly_Pay_Model!$C$9:$C$39,0),4),INDEX(Monthly_Pay_Model!$A$9:$D$40,MATCH(TEXT(A442,"dd"),Monthly_Pay_Model!$C$9:$C$39,0),4),INDEX(Monthly_Pay_Model!$A$9:$D$40,MATCH(TEXT(A443,"dd"),Monthly_Pay_Model!$C$9:$C$39,0),4),INDEX(Monthly_Pay_Model!$A$9:$D$40,MATCH(TEXT(A444,"dd"),Monthly_Pay_Model!$C$9:$C$39,0),4)),))))))</f>
        <v>8.1256544502617792E-4</v>
      </c>
      <c r="J440" s="33">
        <f>IF(C440="Yes",Monthly_Pay_Model!$D$2,0)
+IF(Calendar!N440="Yes",Monthly_Pay_Model!$D$3,0)
+IF(D440="Yes",Monthly_Pay_Model!$D$4,0)
+IF(E440="Yes",Monthly_Pay_Model!$D$5,0)</f>
        <v>0</v>
      </c>
      <c r="K440" s="27">
        <f>IF(VLOOKUP($A440,Calendar!$A$1:$R$1377,18,0)=0,0,IF(VLOOKUP($A440,Calendar!$A$1:$R$1377,18,0)=1,IFERROR(INDEX(Weekly_Model!$D$2:$D$9,MATCH(F440,Weekly_Model!$A$2:$A$9,0)),0),IF(VLOOKUP($A440,Calendar!$A$1:$R$1377,18,0)=2,SUM(IFERROR(INDEX(Weekly_Model!$D$2:$D$9,MATCH(F440,Weekly_Model!$A$2:$A$9,0)),0),IFERROR(INDEX(Weekly_Model!$D$2:$D$9,MATCH(F441,Weekly_Model!$A$2:$A$9,0)),0)),IF(VLOOKUP($A440,Calendar!$A$1:$R$1377,18,0)=3,SUM(IFERROR(INDEX(Weekly_Model!$D$2:$D$9,MATCH(F440,Weekly_Model!$A$2:$A$9,0)),0),IFERROR(INDEX(Weekly_Model!$D$2:$D$9,MATCH(F441,Weekly_Model!$A$2:$A$9,0)),0),IFERROR(INDEX(Weekly_Model!$D$2:$D$9,MATCH(F442,Weekly_Model!$A$2:$A$9,0)),0)),IF(VLOOKUP($A440,Calendar!$A$1:$R$1377,18,0)=4,SUM(IFERROR(INDEX(Weekly_Model!$D$2:$D$9,MATCH(F440,Weekly_Model!$A$2:$A$9,0)),0),IFERROR(INDEX(Weekly_Model!$D$2:$D$9,MATCH(F441,Weekly_Model!$A$2:$A$9,0)),0),IFERROR(INDEX(Weekly_Model!$D$2:$D$9,MATCH(F442,Weekly_Model!$A$2:$A$9,0)),0),IFERROR(INDEX(Weekly_Model!$D$2:$D$9,MATCH(F443,Weekly_Model!$A$2:$A$9,0)),0)),IF(VLOOKUP($A440,Calendar!$A$1:$R$1377,18,0)=5,SUM(IFERROR(INDEX(Weekly_Model!$D$2:$D$9,MATCH(F440,Weekly_Model!$A$2:$A$9,0)),0),IFERROR(INDEX(Weekly_Model!$D$2:$D$9,MATCH(F441,Weekly_Model!$A$2:$A$9,0)),0),IFERROR(INDEX(Weekly_Model!$D$2:$D$9,MATCH(F442,Weekly_Model!$A$2:$A$9,0)),0),IFERROR(INDEX(Weekly_Model!$D$2:$D$9,MATCH(F443,Weekly_Model!$A$2:$A$9,0)),0),IFERROR(INDEX(Weekly_Model!$D$2:$D$9,MATCH(F444,Weekly_Model!$A$2:$A$9,0)),0)),0))))))</f>
        <v>2.3200000000000002E-2</v>
      </c>
      <c r="L440" s="27">
        <f>IF(VLOOKUP($A440,Calendar!$A$1:$R$1377,18,0)=0,0,IF(VLOOKUP($A440,Calendar!$A$1:$R$1377,18,0)=1,IFERROR(INDEX(Fortnightly_Model!$D$2:$D$15,MATCH(G440,Fortnightly_Model!$B$2:$B$15,0)),0),IF(VLOOKUP($A440,Calendar!$A$1:$R$1377,18,0)=2,SUM(IFERROR(INDEX(Fortnightly_Model!$D$2:$D$15,MATCH(G440,Fortnightly_Model!$B$2:$B$15,0)),0),IFERROR(INDEX(Fortnightly_Model!$D$2:$D$15,MATCH(G441,Fortnightly_Model!$B$2:$B$15,0)),0)),IF(VLOOKUP($A440,Calendar!$A$1:$R$1377,18,0)=3,SUM(IFERROR(INDEX(Fortnightly_Model!$D$2:$D$15,MATCH(G440,Fortnightly_Model!$B$2:$B$15,0)),0),IFERROR(INDEX(Fortnightly_Model!$D$2:$D$15,MATCH(G441,Fortnightly_Model!$B$2:$B$15,0)),0),IFERROR(INDEX(Fortnightly_Model!$D$2:$D$15,MATCH(G442,Fortnightly_Model!$B$2:$B$15,0)),0)),IF(VLOOKUP($A440,Calendar!$A$1:$R$1377,18,0)=4,SUM(IFERROR(INDEX(Fortnightly_Model!$D$2:$D$15,MATCH(G440,Fortnightly_Model!$B$2:$B$15,0)),0),IFERROR(INDEX(Fortnightly_Model!$D$2:$D$15,MATCH(G441,Fortnightly_Model!$B$2:$B$15,0)),0),IFERROR(INDEX(Fortnightly_Model!$D$2:$D$15,MATCH(G442,Fortnightly_Model!$B$2:$B$15,0)),0),IFERROR(INDEX(Fortnightly_Model!$D$2:$D$15,MATCH(G443,Fortnightly_Model!$B$2:$B$15,0)),0)),IF(VLOOKUP($A440,Calendar!$A$1:$R$1377,18,0)=5,SUM(IFERROR(INDEX(Fortnightly_Model!$D$2:$D$15,MATCH(G440,Fortnightly_Model!$B$2:$B$15,0)),0),IFERROR(INDEX(Fortnightly_Model!$D$2:$D$15,MATCH(G441,Fortnightly_Model!$B$2:$B$15,0)),0),IFERROR(INDEX(Fortnightly_Model!$D$2:$D$15,MATCH(G442,Fortnightly_Model!$B$2:$B$15,0)),0),IFERROR(INDEX(Fortnightly_Model!$D$2:$D$15,MATCH(G443,Fortnightly_Model!$B$2:$B$15,0)),0),IFERROR(INDEX(Fortnightly_Model!$D$2:$D$15,MATCH(G444,Fortnightly_Model!$B$2:$B$15,0)),0)),0))))))</f>
        <v>1.0714285499999999E-3</v>
      </c>
      <c r="M440" s="27">
        <f>IF(VLOOKUP($A440,Calendar!$A$1:$R$1377,18,0)=0,0,IF(VLOOKUP($A440,Calendar!$A$1:$R$1377,18,0)=1,IFERROR(INDEX(FourWeekly_Model!$D$2:$D$29,MATCH(H440,FourWeekly_Model!$B$2:$B$29,0)),0),IF(VLOOKUP($A440,Calendar!$A$1:$R$1377,18,0)=2,SUM(IFERROR(INDEX(FourWeekly_Model!$D$2:$D$29,MATCH(H440,FourWeekly_Model!$B$2:$B$29,0)),0),IFERROR(INDEX(FourWeekly_Model!$D$2:$D$29,MATCH(H441,FourWeekly_Model!$B$2:$B$29,0)),0)),IF(VLOOKUP($A440,Calendar!$A$1:$R$1377,18,0)=3,SUM(IFERROR(INDEX(FourWeekly_Model!$D$2:$D$29,MATCH(H440,FourWeekly_Model!$B$2:$B$29,0)),0),IFERROR(INDEX(FourWeekly_Model!$D$2:$D$29,MATCH(H441,FourWeekly_Model!$B$2:$B$29,0)),0),IFERROR(INDEX(FourWeekly_Model!$D$2:$D$29,MATCH(H442,FourWeekly_Model!$B$2:$B$29,0)),0)),IF(VLOOKUP($A440,Calendar!$A$1:$R$1377,18,0)=4,SUM(IFERROR(INDEX(FourWeekly_Model!$D$2:$D$29,MATCH(H440,FourWeekly_Model!$B$2:$B$29,0)),0),IFERROR(INDEX(FourWeekly_Model!$D$2:$D$29,MATCH(H441,FourWeekly_Model!$B$2:$B$29,0)),0),IFERROR(INDEX(FourWeekly_Model!$D$2:$D$29,MATCH(H442,FourWeekly_Model!$B$2:$B$29,0)),0),IFERROR(INDEX(FourWeekly_Model!$D$2:$D$29,MATCH(H443,FourWeekly_Model!$B$2:$B$29,0)),0)),IF(VLOOKUP($A440,Calendar!$A$1:$R$1377,18,0)=5,SUM(IFERROR(INDEX(FourWeekly_Model!$D$2:$D$29,MATCH(H440,FourWeekly_Model!$B$2:$B$29,0)),0),IFERROR(INDEX(FourWeekly_Model!$D$2:$D$29,MATCH(H441,FourWeekly_Model!$B$2:$B$29,0)),0),IFERROR(INDEX(FourWeekly_Model!$D$2:$D$29,MATCH(H442,FourWeekly_Model!$B$2:$B$29,0)),0),IFERROR(INDEX(FourWeekly_Model!$D$2:$D$29,MATCH(H443,FourWeekly_Model!$B$2:$B$29,0)),0),IFERROR(INDEX(FourWeekly_Model!$D$2:$D$29,MATCH(H444,FourWeekly_Model!$B$2:$B$29,0)),0)),0))))))</f>
        <v>3.3214289700000004E-3</v>
      </c>
      <c r="N440" s="27">
        <f>SUM(I440:M440)</f>
        <v>2.840542296502618E-2</v>
      </c>
      <c r="O440" s="28">
        <f>Population_Data!$B$8*N440</f>
        <v>860684.3158402933</v>
      </c>
      <c r="P440" s="27">
        <f>IF(VLOOKUP($A440,Calendar!$A$1:$R$1377,18,0)=0,0,IF(VLOOKUP($A440,Calendar!$A$1:$R$1377,18,0)=1,IFERROR(INDEX(Pension_Model!$D$2:$D$29,MATCH(H440,Pension_Model!$B$2:$B$29,0)),0),IF(VLOOKUP($A440,Calendar!$A$1:$R$1377,18,0)=2,SUM(IFERROR(INDEX(Pension_Model!$D$2:$D$29,MATCH(H440,Pension_Model!$B$2:$B$29,0)),0),IFERROR(INDEX(Pension_Model!$D$2:$D$29,MATCH(H441,Pension_Model!$B$2:$B$29,0)),0)),IF(VLOOKUP($A440,Calendar!$A$1:$R$1377,18,0)=3,SUM(IFERROR(INDEX(Pension_Model!$D$2:$D$29,MATCH(H440,Pension_Model!$B$2:$B$29,0)),0),IFERROR(INDEX(Pension_Model!$D$2:$D$29,MATCH(H441,Pension_Model!$B$2:$B$29,0)),0),IFERROR(INDEX(Pension_Model!$D$2:$D$29,MATCH(H442,Pension_Model!$B$2:$B$29,0)),0)),IF(VLOOKUP($A440,Calendar!$A$1:$R$1377,18,0)=4,SUM(IFERROR(INDEX(Pension_Model!$D$2:$D$29,MATCH(H440,Pension_Model!$B$2:$B$29,0)),0),IFERROR(INDEX(Pension_Model!$D$2:$D$29,MATCH(H441,Pension_Model!$B$2:$B$29,0)),0),IFERROR(INDEX(Pension_Model!$D$2:$D$29,MATCH(H442,Pension_Model!$B$2:$B$29,0)),0),IFERROR(INDEX(Pension_Model!$D$2:$D$29,MATCH(H443,Pension_Model!$B$2:$B$29,0)),0)),IF(VLOOKUP($A440,Calendar!$A$1:$R$1377,18,0)=5,SUM(IFERROR(INDEX(Pension_Model!$D$2:$D$29,MATCH(H440,Pension_Model!$B$2:$B$29,0)),0),IFERROR(INDEX(Pension_Model!$D$2:$D$29,MATCH(H441,Pension_Model!$B$2:$B$29,0)),0),IFERROR(INDEX(Pension_Model!$D$2:$D$29,MATCH(H442,Pension_Model!$B$2:$B$29,0)),0),IFERROR(INDEX(Pension_Model!$D$2:$D$29,MATCH(H443,Pension_Model!$B$2:$B$29,0)),0),IFERROR(INDEX(Pension_Model!$D$2:$D$29,MATCH(H444,Pension_Model!$B$2:$B$29,0)),0)),0))))))</f>
        <v>0.05</v>
      </c>
      <c r="Q440" s="28">
        <f>Population_Data!$B$15*P440</f>
        <v>660600</v>
      </c>
      <c r="S440">
        <f t="shared" si="6"/>
        <v>1521284.3158402932</v>
      </c>
      <c r="U440" s="33">
        <f>S440/Population_Data!$B$19</f>
        <v>2.7559498475367629E-2</v>
      </c>
    </row>
    <row r="441" spans="1:21">
      <c r="A441" s="25">
        <f>Calendar!A441</f>
        <v>46674</v>
      </c>
      <c r="B441" t="str">
        <f>Calendar!L441</f>
        <v>Yes</v>
      </c>
      <c r="C441" t="str">
        <f>Calendar!O441</f>
        <v>No</v>
      </c>
      <c r="D441" t="str">
        <f>Calendar!P441</f>
        <v>No</v>
      </c>
      <c r="E441" t="str">
        <f>Calendar!Q441</f>
        <v>No</v>
      </c>
      <c r="F441" t="str">
        <f>Calendar!I441</f>
        <v>Thursday</v>
      </c>
      <c r="G441">
        <f>Calendar!S441</f>
        <v>12</v>
      </c>
      <c r="H441">
        <f>Calendar!T441</f>
        <v>26</v>
      </c>
      <c r="I441" s="27">
        <f>IF(VLOOKUP(A441,Calendar!$A$1:$R$1377,18,0)=0,0,IF(VLOOKUP(A441,Calendar!$A$1:$R$1377,18,0)=1,INDEX(Monthly_Pay_Model!$A$9:$D$40,MATCH(TEXT(A441,"dd"),Monthly_Pay_Model!$C$9:$C$39,0),4),IF(VLOOKUP(A441,Calendar!$A$1:$R$1377,18,0)=2,SUM(INDEX(Monthly_Pay_Model!$A$9:$D$40,MATCH(TEXT(A441,"dd"),Monthly_Pay_Model!$C$9:$C$39,0),4),INDEX(Monthly_Pay_Model!$A$9:$D$40,MATCH(TEXT(A442,"dd"),Monthly_Pay_Model!$C$9:$C$39,0),4)),IF(VLOOKUP(A441,Calendar!$A$1:$R$1377,18,0)=3,SUM(INDEX(Monthly_Pay_Model!$A$9:$D$40,MATCH(TEXT(A441,"dd"),Monthly_Pay_Model!$C$9:$C$39,0),4),INDEX(Monthly_Pay_Model!$A$9:$D$40,MATCH(TEXT(A442,"dd"),Monthly_Pay_Model!$C$9:$C$39,0),4),INDEX(Monthly_Pay_Model!$A$9:$D$40,MATCH(TEXT(A443,"dd"),Monthly_Pay_Model!$C$9:$C$39,0),4)),IF(VLOOKUP(A441,Calendar!$A$1:$R$1377,18,0)=4,SUM(INDEX(Monthly_Pay_Model!$A$9:$D$40,MATCH(TEXT(A441,"dd"),Monthly_Pay_Model!$C$9:$C$39,0),4),INDEX(Monthly_Pay_Model!$A$9:$D$40,MATCH(TEXT(A442,"dd"),Monthly_Pay_Model!$C$9:$C$39,0),4),INDEX(Monthly_Pay_Model!$A$9:$D$40,MATCH(TEXT(A443,"dd"),Monthly_Pay_Model!$C$9:$C$39,0),4),INDEX(Monthly_Pay_Model!$A$9:$D$40,MATCH(TEXT(A444,"dd"),Monthly_Pay_Model!$C$9:$C$39,0),4)),IF(VLOOKUP(A441,Calendar!$A$1:$R$1377,18,0)=5,SUM(INDEX(Monthly_Pay_Model!$A$9:$D$40,MATCH(TEXT(A441,"dd"),Monthly_Pay_Model!$C$9:$C$39,0),4),INDEX(Monthly_Pay_Model!$A$9:$D$40,MATCH(TEXT(A442,"dd"),Monthly_Pay_Model!$C$9:$C$39,0),4),INDEX(Monthly_Pay_Model!$A$9:$D$40,MATCH(TEXT(A443,"dd"),Monthly_Pay_Model!$C$9:$C$39,0),4),INDEX(Monthly_Pay_Model!$A$9:$D$40,MATCH(TEXT(A444,"dd"),Monthly_Pay_Model!$C$9:$C$39,0),4),INDEX(Monthly_Pay_Model!$A$9:$D$40,MATCH(TEXT(A445,"dd"),Monthly_Pay_Model!$C$9:$C$39,0),4)),))))))</f>
        <v>8.1256544502617792E-4</v>
      </c>
      <c r="J441" s="33">
        <f>IF(C441="Yes",Monthly_Pay_Model!$D$2,0)
+IF(Calendar!N441="Yes",Monthly_Pay_Model!$D$3,0)
+IF(D441="Yes",Monthly_Pay_Model!$D$4,0)
+IF(E441="Yes",Monthly_Pay_Model!$D$5,0)</f>
        <v>0</v>
      </c>
      <c r="K441" s="27">
        <f>IF(VLOOKUP($A441,Calendar!$A$1:$R$1377,18,0)=0,0,IF(VLOOKUP($A441,Calendar!$A$1:$R$1377,18,0)=1,IFERROR(INDEX(Weekly_Model!$D$2:$D$9,MATCH(F441,Weekly_Model!$A$2:$A$9,0)),0),IF(VLOOKUP($A441,Calendar!$A$1:$R$1377,18,0)=2,SUM(IFERROR(INDEX(Weekly_Model!$D$2:$D$9,MATCH(F441,Weekly_Model!$A$2:$A$9,0)),0),IFERROR(INDEX(Weekly_Model!$D$2:$D$9,MATCH(F442,Weekly_Model!$A$2:$A$9,0)),0)),IF(VLOOKUP($A441,Calendar!$A$1:$R$1377,18,0)=3,SUM(IFERROR(INDEX(Weekly_Model!$D$2:$D$9,MATCH(F441,Weekly_Model!$A$2:$A$9,0)),0),IFERROR(INDEX(Weekly_Model!$D$2:$D$9,MATCH(F442,Weekly_Model!$A$2:$A$9,0)),0),IFERROR(INDEX(Weekly_Model!$D$2:$D$9,MATCH(F443,Weekly_Model!$A$2:$A$9,0)),0)),IF(VLOOKUP($A441,Calendar!$A$1:$R$1377,18,0)=4,SUM(IFERROR(INDEX(Weekly_Model!$D$2:$D$9,MATCH(F441,Weekly_Model!$A$2:$A$9,0)),0),IFERROR(INDEX(Weekly_Model!$D$2:$D$9,MATCH(F442,Weekly_Model!$A$2:$A$9,0)),0),IFERROR(INDEX(Weekly_Model!$D$2:$D$9,MATCH(F443,Weekly_Model!$A$2:$A$9,0)),0),IFERROR(INDEX(Weekly_Model!$D$2:$D$9,MATCH(F444,Weekly_Model!$A$2:$A$9,0)),0)),IF(VLOOKUP($A441,Calendar!$A$1:$R$1377,18,0)=5,SUM(IFERROR(INDEX(Weekly_Model!$D$2:$D$9,MATCH(F441,Weekly_Model!$A$2:$A$9,0)),0),IFERROR(INDEX(Weekly_Model!$D$2:$D$9,MATCH(F442,Weekly_Model!$A$2:$A$9,0)),0),IFERROR(INDEX(Weekly_Model!$D$2:$D$9,MATCH(F443,Weekly_Model!$A$2:$A$9,0)),0),IFERROR(INDEX(Weekly_Model!$D$2:$D$9,MATCH(F444,Weekly_Model!$A$2:$A$9,0)),0),IFERROR(INDEX(Weekly_Model!$D$2:$D$9,MATCH(F445,Weekly_Model!$A$2:$A$9,0)),0)),0))))))</f>
        <v>2.3200000000000002E-2</v>
      </c>
      <c r="L441" s="27">
        <f>IF(VLOOKUP($A441,Calendar!$A$1:$R$1377,18,0)=0,0,IF(VLOOKUP($A441,Calendar!$A$1:$R$1377,18,0)=1,IFERROR(INDEX(Fortnightly_Model!$D$2:$D$15,MATCH(G441,Fortnightly_Model!$B$2:$B$15,0)),0),IF(VLOOKUP($A441,Calendar!$A$1:$R$1377,18,0)=2,SUM(IFERROR(INDEX(Fortnightly_Model!$D$2:$D$15,MATCH(G441,Fortnightly_Model!$B$2:$B$15,0)),0),IFERROR(INDEX(Fortnightly_Model!$D$2:$D$15,MATCH(G442,Fortnightly_Model!$B$2:$B$15,0)),0)),IF(VLOOKUP($A441,Calendar!$A$1:$R$1377,18,0)=3,SUM(IFERROR(INDEX(Fortnightly_Model!$D$2:$D$15,MATCH(G441,Fortnightly_Model!$B$2:$B$15,0)),0),IFERROR(INDEX(Fortnightly_Model!$D$2:$D$15,MATCH(G442,Fortnightly_Model!$B$2:$B$15,0)),0),IFERROR(INDEX(Fortnightly_Model!$D$2:$D$15,MATCH(G443,Fortnightly_Model!$B$2:$B$15,0)),0)),IF(VLOOKUP($A441,Calendar!$A$1:$R$1377,18,0)=4,SUM(IFERROR(INDEX(Fortnightly_Model!$D$2:$D$15,MATCH(G441,Fortnightly_Model!$B$2:$B$15,0)),0),IFERROR(INDEX(Fortnightly_Model!$D$2:$D$15,MATCH(G442,Fortnightly_Model!$B$2:$B$15,0)),0),IFERROR(INDEX(Fortnightly_Model!$D$2:$D$15,MATCH(G443,Fortnightly_Model!$B$2:$B$15,0)),0),IFERROR(INDEX(Fortnightly_Model!$D$2:$D$15,MATCH(G444,Fortnightly_Model!$B$2:$B$15,0)),0)),IF(VLOOKUP($A441,Calendar!$A$1:$R$1377,18,0)=5,SUM(IFERROR(INDEX(Fortnightly_Model!$D$2:$D$15,MATCH(G441,Fortnightly_Model!$B$2:$B$15,0)),0),IFERROR(INDEX(Fortnightly_Model!$D$2:$D$15,MATCH(G442,Fortnightly_Model!$B$2:$B$15,0)),0),IFERROR(INDEX(Fortnightly_Model!$D$2:$D$15,MATCH(G443,Fortnightly_Model!$B$2:$B$15,0)),0),IFERROR(INDEX(Fortnightly_Model!$D$2:$D$15,MATCH(G444,Fortnightly_Model!$B$2:$B$15,0)),0),IFERROR(INDEX(Fortnightly_Model!$D$2:$D$15,MATCH(G445,Fortnightly_Model!$B$2:$B$15,0)),0)),0))))))</f>
        <v>1.0714285499999999E-3</v>
      </c>
      <c r="M441" s="27">
        <f>IF(VLOOKUP($A441,Calendar!$A$1:$R$1377,18,0)=0,0,IF(VLOOKUP($A441,Calendar!$A$1:$R$1377,18,0)=1,IFERROR(INDEX(FourWeekly_Model!$D$2:$D$29,MATCH(H441,FourWeekly_Model!$B$2:$B$29,0)),0),IF(VLOOKUP($A441,Calendar!$A$1:$R$1377,18,0)=2,SUM(IFERROR(INDEX(FourWeekly_Model!$D$2:$D$29,MATCH(H441,FourWeekly_Model!$B$2:$B$29,0)),0),IFERROR(INDEX(FourWeekly_Model!$D$2:$D$29,MATCH(H442,FourWeekly_Model!$B$2:$B$29,0)),0)),IF(VLOOKUP($A441,Calendar!$A$1:$R$1377,18,0)=3,SUM(IFERROR(INDEX(FourWeekly_Model!$D$2:$D$29,MATCH(H441,FourWeekly_Model!$B$2:$B$29,0)),0),IFERROR(INDEX(FourWeekly_Model!$D$2:$D$29,MATCH(H442,FourWeekly_Model!$B$2:$B$29,0)),0),IFERROR(INDEX(FourWeekly_Model!$D$2:$D$29,MATCH(H443,FourWeekly_Model!$B$2:$B$29,0)),0)),IF(VLOOKUP($A441,Calendar!$A$1:$R$1377,18,0)=4,SUM(IFERROR(INDEX(FourWeekly_Model!$D$2:$D$29,MATCH(H441,FourWeekly_Model!$B$2:$B$29,0)),0),IFERROR(INDEX(FourWeekly_Model!$D$2:$D$29,MATCH(H442,FourWeekly_Model!$B$2:$B$29,0)),0),IFERROR(INDEX(FourWeekly_Model!$D$2:$D$29,MATCH(H443,FourWeekly_Model!$B$2:$B$29,0)),0),IFERROR(INDEX(FourWeekly_Model!$D$2:$D$29,MATCH(H444,FourWeekly_Model!$B$2:$B$29,0)),0)),IF(VLOOKUP($A441,Calendar!$A$1:$R$1377,18,0)=5,SUM(IFERROR(INDEX(FourWeekly_Model!$D$2:$D$29,MATCH(H441,FourWeekly_Model!$B$2:$B$29,0)),0),IFERROR(INDEX(FourWeekly_Model!$D$2:$D$29,MATCH(H442,FourWeekly_Model!$B$2:$B$29,0)),0),IFERROR(INDEX(FourWeekly_Model!$D$2:$D$29,MATCH(H443,FourWeekly_Model!$B$2:$B$29,0)),0),IFERROR(INDEX(FourWeekly_Model!$D$2:$D$29,MATCH(H444,FourWeekly_Model!$B$2:$B$29,0)),0),IFERROR(INDEX(FourWeekly_Model!$D$2:$D$29,MATCH(H445,FourWeekly_Model!$B$2:$B$29,0)),0)),0))))))</f>
        <v>3.3214289700000004E-3</v>
      </c>
      <c r="N441" s="27">
        <f>SUM(I441:M441)</f>
        <v>2.840542296502618E-2</v>
      </c>
      <c r="O441" s="28">
        <f>Population_Data!$B$8*N441</f>
        <v>860684.3158402933</v>
      </c>
      <c r="P441" s="27">
        <f>IF(VLOOKUP($A441,Calendar!$A$1:$R$1377,18,0)=0,0,IF(VLOOKUP($A441,Calendar!$A$1:$R$1377,18,0)=1,IFERROR(INDEX(Pension_Model!$D$2:$D$29,MATCH(H441,Pension_Model!$B$2:$B$29,0)),0),IF(VLOOKUP($A441,Calendar!$A$1:$R$1377,18,0)=2,SUM(IFERROR(INDEX(Pension_Model!$D$2:$D$29,MATCH(H441,Pension_Model!$B$2:$B$29,0)),0),IFERROR(INDEX(Pension_Model!$D$2:$D$29,MATCH(H442,Pension_Model!$B$2:$B$29,0)),0)),IF(VLOOKUP($A441,Calendar!$A$1:$R$1377,18,0)=3,SUM(IFERROR(INDEX(Pension_Model!$D$2:$D$29,MATCH(H441,Pension_Model!$B$2:$B$29,0)),0),IFERROR(INDEX(Pension_Model!$D$2:$D$29,MATCH(H442,Pension_Model!$B$2:$B$29,0)),0),IFERROR(INDEX(Pension_Model!$D$2:$D$29,MATCH(H443,Pension_Model!$B$2:$B$29,0)),0)),IF(VLOOKUP($A441,Calendar!$A$1:$R$1377,18,0)=4,SUM(IFERROR(INDEX(Pension_Model!$D$2:$D$29,MATCH(H441,Pension_Model!$B$2:$B$29,0)),0),IFERROR(INDEX(Pension_Model!$D$2:$D$29,MATCH(H442,Pension_Model!$B$2:$B$29,0)),0),IFERROR(INDEX(Pension_Model!$D$2:$D$29,MATCH(H443,Pension_Model!$B$2:$B$29,0)),0),IFERROR(INDEX(Pension_Model!$D$2:$D$29,MATCH(H444,Pension_Model!$B$2:$B$29,0)),0)),IF(VLOOKUP($A441,Calendar!$A$1:$R$1377,18,0)=5,SUM(IFERROR(INDEX(Pension_Model!$D$2:$D$29,MATCH(H441,Pension_Model!$B$2:$B$29,0)),0),IFERROR(INDEX(Pension_Model!$D$2:$D$29,MATCH(H442,Pension_Model!$B$2:$B$29,0)),0),IFERROR(INDEX(Pension_Model!$D$2:$D$29,MATCH(H443,Pension_Model!$B$2:$B$29,0)),0),IFERROR(INDEX(Pension_Model!$D$2:$D$29,MATCH(H444,Pension_Model!$B$2:$B$29,0)),0),IFERROR(INDEX(Pension_Model!$D$2:$D$29,MATCH(H445,Pension_Model!$B$2:$B$29,0)),0)),0))))))</f>
        <v>0.05</v>
      </c>
      <c r="Q441" s="28">
        <f>Population_Data!$B$15*P441</f>
        <v>660600</v>
      </c>
      <c r="S441">
        <f t="shared" si="6"/>
        <v>1521284.3158402932</v>
      </c>
      <c r="U441" s="33">
        <f>S441/Population_Data!$B$19</f>
        <v>2.7559498475367629E-2</v>
      </c>
    </row>
    <row r="442" spans="1:21">
      <c r="A442" s="25">
        <f>Calendar!A442</f>
        <v>46675</v>
      </c>
      <c r="B442" t="str">
        <f>Calendar!L442</f>
        <v>Yes</v>
      </c>
      <c r="C442" t="str">
        <f>Calendar!O442</f>
        <v>No</v>
      </c>
      <c r="D442" t="str">
        <f>Calendar!P442</f>
        <v>No</v>
      </c>
      <c r="E442" t="str">
        <f>Calendar!Q442</f>
        <v>No</v>
      </c>
      <c r="F442" t="str">
        <f>Calendar!I442</f>
        <v>Friday</v>
      </c>
      <c r="G442">
        <f>Calendar!S442</f>
        <v>13</v>
      </c>
      <c r="H442">
        <f>Calendar!T442</f>
        <v>27</v>
      </c>
      <c r="I442" s="27">
        <f>IF(VLOOKUP(A442,Calendar!$A$1:$R$1377,18,0)=0,0,IF(VLOOKUP(A442,Calendar!$A$1:$R$1377,18,0)=1,INDEX(Monthly_Pay_Model!$A$9:$D$40,MATCH(TEXT(A442,"dd"),Monthly_Pay_Model!$C$9:$C$39,0),4),IF(VLOOKUP(A442,Calendar!$A$1:$R$1377,18,0)=2,SUM(INDEX(Monthly_Pay_Model!$A$9:$D$40,MATCH(TEXT(A442,"dd"),Monthly_Pay_Model!$C$9:$C$39,0),4),INDEX(Monthly_Pay_Model!$A$9:$D$40,MATCH(TEXT(A443,"dd"),Monthly_Pay_Model!$C$9:$C$39,0),4)),IF(VLOOKUP(A442,Calendar!$A$1:$R$1377,18,0)=3,SUM(INDEX(Monthly_Pay_Model!$A$9:$D$40,MATCH(TEXT(A442,"dd"),Monthly_Pay_Model!$C$9:$C$39,0),4),INDEX(Monthly_Pay_Model!$A$9:$D$40,MATCH(TEXT(A443,"dd"),Monthly_Pay_Model!$C$9:$C$39,0),4),INDEX(Monthly_Pay_Model!$A$9:$D$40,MATCH(TEXT(A444,"dd"),Monthly_Pay_Model!$C$9:$C$39,0),4)),IF(VLOOKUP(A442,Calendar!$A$1:$R$1377,18,0)=4,SUM(INDEX(Monthly_Pay_Model!$A$9:$D$40,MATCH(TEXT(A442,"dd"),Monthly_Pay_Model!$C$9:$C$39,0),4),INDEX(Monthly_Pay_Model!$A$9:$D$40,MATCH(TEXT(A443,"dd"),Monthly_Pay_Model!$C$9:$C$39,0),4),INDEX(Monthly_Pay_Model!$A$9:$D$40,MATCH(TEXT(A444,"dd"),Monthly_Pay_Model!$C$9:$C$39,0),4),INDEX(Monthly_Pay_Model!$A$9:$D$40,MATCH(TEXT(A445,"dd"),Monthly_Pay_Model!$C$9:$C$39,0),4)),IF(VLOOKUP(A442,Calendar!$A$1:$R$1377,18,0)=5,SUM(INDEX(Monthly_Pay_Model!$A$9:$D$40,MATCH(TEXT(A442,"dd"),Monthly_Pay_Model!$C$9:$C$39,0),4),INDEX(Monthly_Pay_Model!$A$9:$D$40,MATCH(TEXT(A443,"dd"),Monthly_Pay_Model!$C$9:$C$39,0),4),INDEX(Monthly_Pay_Model!$A$9:$D$40,MATCH(TEXT(A444,"dd"),Monthly_Pay_Model!$C$9:$C$39,0),4),INDEX(Monthly_Pay_Model!$A$9:$D$40,MATCH(TEXT(A445,"dd"),Monthly_Pay_Model!$C$9:$C$39,0),4),INDEX(Monthly_Pay_Model!$A$9:$D$40,MATCH(TEXT(A446,"dd"),Monthly_Pay_Model!$C$9:$C$39,0),4)),))))))</f>
        <v>1.5438743455497381E-2</v>
      </c>
      <c r="J442" s="33">
        <f>IF(C442="Yes",Monthly_Pay_Model!$D$2,0)
+IF(Calendar!N442="Yes",Monthly_Pay_Model!$D$3,0)
+IF(D442="Yes",Monthly_Pay_Model!$D$4,0)
+IF(E442="Yes",Monthly_Pay_Model!$D$5,0)</f>
        <v>0</v>
      </c>
      <c r="K442" s="27">
        <f>IF(VLOOKUP($A442,Calendar!$A$1:$R$1377,18,0)=0,0,IF(VLOOKUP($A442,Calendar!$A$1:$R$1377,18,0)=1,IFERROR(INDEX(Weekly_Model!$D$2:$D$9,MATCH(F442,Weekly_Model!$A$2:$A$9,0)),0),IF(VLOOKUP($A442,Calendar!$A$1:$R$1377,18,0)=2,SUM(IFERROR(INDEX(Weekly_Model!$D$2:$D$9,MATCH(F442,Weekly_Model!$A$2:$A$9,0)),0),IFERROR(INDEX(Weekly_Model!$D$2:$D$9,MATCH(F443,Weekly_Model!$A$2:$A$9,0)),0)),IF(VLOOKUP($A442,Calendar!$A$1:$R$1377,18,0)=3,SUM(IFERROR(INDEX(Weekly_Model!$D$2:$D$9,MATCH(F442,Weekly_Model!$A$2:$A$9,0)),0),IFERROR(INDEX(Weekly_Model!$D$2:$D$9,MATCH(F443,Weekly_Model!$A$2:$A$9,0)),0),IFERROR(INDEX(Weekly_Model!$D$2:$D$9,MATCH(F444,Weekly_Model!$A$2:$A$9,0)),0)),IF(VLOOKUP($A442,Calendar!$A$1:$R$1377,18,0)=4,SUM(IFERROR(INDEX(Weekly_Model!$D$2:$D$9,MATCH(F442,Weekly_Model!$A$2:$A$9,0)),0),IFERROR(INDEX(Weekly_Model!$D$2:$D$9,MATCH(F443,Weekly_Model!$A$2:$A$9,0)),0),IFERROR(INDEX(Weekly_Model!$D$2:$D$9,MATCH(F444,Weekly_Model!$A$2:$A$9,0)),0),IFERROR(INDEX(Weekly_Model!$D$2:$D$9,MATCH(F445,Weekly_Model!$A$2:$A$9,0)),0)),IF(VLOOKUP($A442,Calendar!$A$1:$R$1377,18,0)=5,SUM(IFERROR(INDEX(Weekly_Model!$D$2:$D$9,MATCH(F442,Weekly_Model!$A$2:$A$9,0)),0),IFERROR(INDEX(Weekly_Model!$D$2:$D$9,MATCH(F443,Weekly_Model!$A$2:$A$9,0)),0),IFERROR(INDEX(Weekly_Model!$D$2:$D$9,MATCH(F444,Weekly_Model!$A$2:$A$9,0)),0),IFERROR(INDEX(Weekly_Model!$D$2:$D$9,MATCH(F445,Weekly_Model!$A$2:$A$9,0)),0),IFERROR(INDEX(Weekly_Model!$D$2:$D$9,MATCH(F446,Weekly_Model!$A$2:$A$9,0)),0)),0))))))</f>
        <v>2.3200000000000002E-2</v>
      </c>
      <c r="L442" s="27">
        <f>IF(VLOOKUP($A442,Calendar!$A$1:$R$1377,18,0)=0,0,IF(VLOOKUP($A442,Calendar!$A$1:$R$1377,18,0)=1,IFERROR(INDEX(Fortnightly_Model!$D$2:$D$15,MATCH(G442,Fortnightly_Model!$B$2:$B$15,0)),0),IF(VLOOKUP($A442,Calendar!$A$1:$R$1377,18,0)=2,SUM(IFERROR(INDEX(Fortnightly_Model!$D$2:$D$15,MATCH(G442,Fortnightly_Model!$B$2:$B$15,0)),0),IFERROR(INDEX(Fortnightly_Model!$D$2:$D$15,MATCH(G443,Fortnightly_Model!$B$2:$B$15,0)),0)),IF(VLOOKUP($A442,Calendar!$A$1:$R$1377,18,0)=3,SUM(IFERROR(INDEX(Fortnightly_Model!$D$2:$D$15,MATCH(G442,Fortnightly_Model!$B$2:$B$15,0)),0),IFERROR(INDEX(Fortnightly_Model!$D$2:$D$15,MATCH(G443,Fortnightly_Model!$B$2:$B$15,0)),0),IFERROR(INDEX(Fortnightly_Model!$D$2:$D$15,MATCH(G444,Fortnightly_Model!$B$2:$B$15,0)),0)),IF(VLOOKUP($A442,Calendar!$A$1:$R$1377,18,0)=4,SUM(IFERROR(INDEX(Fortnightly_Model!$D$2:$D$15,MATCH(G442,Fortnightly_Model!$B$2:$B$15,0)),0),IFERROR(INDEX(Fortnightly_Model!$D$2:$D$15,MATCH(G443,Fortnightly_Model!$B$2:$B$15,0)),0),IFERROR(INDEX(Fortnightly_Model!$D$2:$D$15,MATCH(G444,Fortnightly_Model!$B$2:$B$15,0)),0),IFERROR(INDEX(Fortnightly_Model!$D$2:$D$15,MATCH(G445,Fortnightly_Model!$B$2:$B$15,0)),0)),IF(VLOOKUP($A442,Calendar!$A$1:$R$1377,18,0)=5,SUM(IFERROR(INDEX(Fortnightly_Model!$D$2:$D$15,MATCH(G442,Fortnightly_Model!$B$2:$B$15,0)),0),IFERROR(INDEX(Fortnightly_Model!$D$2:$D$15,MATCH(G443,Fortnightly_Model!$B$2:$B$15,0)),0),IFERROR(INDEX(Fortnightly_Model!$D$2:$D$15,MATCH(G444,Fortnightly_Model!$B$2:$B$15,0)),0),IFERROR(INDEX(Fortnightly_Model!$D$2:$D$15,MATCH(G445,Fortnightly_Model!$B$2:$B$15,0)),0),IFERROR(INDEX(Fortnightly_Model!$D$2:$D$15,MATCH(G446,Fortnightly_Model!$B$2:$B$15,0)),0)),0))))))</f>
        <v>3.2142856499999999E-3</v>
      </c>
      <c r="M442" s="27">
        <f>IF(VLOOKUP($A442,Calendar!$A$1:$R$1377,18,0)=0,0,IF(VLOOKUP($A442,Calendar!$A$1:$R$1377,18,0)=1,IFERROR(INDEX(FourWeekly_Model!$D$2:$D$29,MATCH(H442,FourWeekly_Model!$B$2:$B$29,0)),0),IF(VLOOKUP($A442,Calendar!$A$1:$R$1377,18,0)=2,SUM(IFERROR(INDEX(FourWeekly_Model!$D$2:$D$29,MATCH(H442,FourWeekly_Model!$B$2:$B$29,0)),0),IFERROR(INDEX(FourWeekly_Model!$D$2:$D$29,MATCH(H443,FourWeekly_Model!$B$2:$B$29,0)),0)),IF(VLOOKUP($A442,Calendar!$A$1:$R$1377,18,0)=3,SUM(IFERROR(INDEX(FourWeekly_Model!$D$2:$D$29,MATCH(H442,FourWeekly_Model!$B$2:$B$29,0)),0),IFERROR(INDEX(FourWeekly_Model!$D$2:$D$29,MATCH(H443,FourWeekly_Model!$B$2:$B$29,0)),0),IFERROR(INDEX(FourWeekly_Model!$D$2:$D$29,MATCH(H444,FourWeekly_Model!$B$2:$B$29,0)),0)),IF(VLOOKUP($A442,Calendar!$A$1:$R$1377,18,0)=4,SUM(IFERROR(INDEX(FourWeekly_Model!$D$2:$D$29,MATCH(H442,FourWeekly_Model!$B$2:$B$29,0)),0),IFERROR(INDEX(FourWeekly_Model!$D$2:$D$29,MATCH(H443,FourWeekly_Model!$B$2:$B$29,0)),0),IFERROR(INDEX(FourWeekly_Model!$D$2:$D$29,MATCH(H444,FourWeekly_Model!$B$2:$B$29,0)),0),IFERROR(INDEX(FourWeekly_Model!$D$2:$D$29,MATCH(H445,FourWeekly_Model!$B$2:$B$29,0)),0)),IF(VLOOKUP($A442,Calendar!$A$1:$R$1377,18,0)=5,SUM(IFERROR(INDEX(FourWeekly_Model!$D$2:$D$29,MATCH(H442,FourWeekly_Model!$B$2:$B$29,0)),0),IFERROR(INDEX(FourWeekly_Model!$D$2:$D$29,MATCH(H443,FourWeekly_Model!$B$2:$B$29,0)),0),IFERROR(INDEX(FourWeekly_Model!$D$2:$D$29,MATCH(H444,FourWeekly_Model!$B$2:$B$29,0)),0),IFERROR(INDEX(FourWeekly_Model!$D$2:$D$29,MATCH(H445,FourWeekly_Model!$B$2:$B$29,0)),0),IFERROR(INDEX(FourWeekly_Model!$D$2:$D$29,MATCH(H446,FourWeekly_Model!$B$2:$B$29,0)),0)),0))))))</f>
        <v>9.9642859800000011E-3</v>
      </c>
      <c r="N442" s="27">
        <f>SUM(I442:M442)</f>
        <v>5.1817315085497383E-2</v>
      </c>
      <c r="O442" s="28">
        <f>Population_Data!$B$8*N442</f>
        <v>1570064.6470905708</v>
      </c>
      <c r="P442" s="27">
        <f>IF(VLOOKUP($A442,Calendar!$A$1:$R$1377,18,0)=0,0,IF(VLOOKUP($A442,Calendar!$A$1:$R$1377,18,0)=1,IFERROR(INDEX(Pension_Model!$D$2:$D$29,MATCH(H442,Pension_Model!$B$2:$B$29,0)),0),IF(VLOOKUP($A442,Calendar!$A$1:$R$1377,18,0)=2,SUM(IFERROR(INDEX(Pension_Model!$D$2:$D$29,MATCH(H442,Pension_Model!$B$2:$B$29,0)),0),IFERROR(INDEX(Pension_Model!$D$2:$D$29,MATCH(H443,Pension_Model!$B$2:$B$29,0)),0)),IF(VLOOKUP($A442,Calendar!$A$1:$R$1377,18,0)=3,SUM(IFERROR(INDEX(Pension_Model!$D$2:$D$29,MATCH(H442,Pension_Model!$B$2:$B$29,0)),0),IFERROR(INDEX(Pension_Model!$D$2:$D$29,MATCH(H443,Pension_Model!$B$2:$B$29,0)),0),IFERROR(INDEX(Pension_Model!$D$2:$D$29,MATCH(H444,Pension_Model!$B$2:$B$29,0)),0)),IF(VLOOKUP($A442,Calendar!$A$1:$R$1377,18,0)=4,SUM(IFERROR(INDEX(Pension_Model!$D$2:$D$29,MATCH(H442,Pension_Model!$B$2:$B$29,0)),0),IFERROR(INDEX(Pension_Model!$D$2:$D$29,MATCH(H443,Pension_Model!$B$2:$B$29,0)),0),IFERROR(INDEX(Pension_Model!$D$2:$D$29,MATCH(H444,Pension_Model!$B$2:$B$29,0)),0),IFERROR(INDEX(Pension_Model!$D$2:$D$29,MATCH(H445,Pension_Model!$B$2:$B$29,0)),0)),IF(VLOOKUP($A442,Calendar!$A$1:$R$1377,18,0)=5,SUM(IFERROR(INDEX(Pension_Model!$D$2:$D$29,MATCH(H442,Pension_Model!$B$2:$B$29,0)),0),IFERROR(INDEX(Pension_Model!$D$2:$D$29,MATCH(H443,Pension_Model!$B$2:$B$29,0)),0),IFERROR(INDEX(Pension_Model!$D$2:$D$29,MATCH(H444,Pension_Model!$B$2:$B$29,0)),0),IFERROR(INDEX(Pension_Model!$D$2:$D$29,MATCH(H445,Pension_Model!$B$2:$B$29,0)),0),IFERROR(INDEX(Pension_Model!$D$2:$D$29,MATCH(H446,Pension_Model!$B$2:$B$29,0)),0)),0))))))</f>
        <v>0.05</v>
      </c>
      <c r="Q442" s="28">
        <f>Population_Data!$B$15*P442</f>
        <v>660600</v>
      </c>
      <c r="S442">
        <f t="shared" si="6"/>
        <v>2230664.647090571</v>
      </c>
      <c r="U442" s="33">
        <f>S442/Population_Data!$B$19</f>
        <v>4.0410591432800201E-2</v>
      </c>
    </row>
    <row r="443" spans="1:21">
      <c r="A443" s="25">
        <f>Calendar!A443</f>
        <v>46676</v>
      </c>
      <c r="B443" t="str">
        <f>Calendar!L443</f>
        <v>No</v>
      </c>
      <c r="C443" t="str">
        <f>Calendar!O443</f>
        <v>No</v>
      </c>
      <c r="D443" t="str">
        <f>Calendar!P443</f>
        <v>No</v>
      </c>
      <c r="E443" t="str">
        <f>Calendar!Q443</f>
        <v>No</v>
      </c>
      <c r="F443" t="str">
        <f>Calendar!I443</f>
        <v>Saturday</v>
      </c>
      <c r="G443">
        <f>Calendar!S443</f>
        <v>0</v>
      </c>
      <c r="H443">
        <f>Calendar!T443</f>
        <v>0</v>
      </c>
      <c r="I443" s="27">
        <f>IF(VLOOKUP(A443,Calendar!$A$1:$R$1377,18,0)=0,0,IF(VLOOKUP(A443,Calendar!$A$1:$R$1377,18,0)=1,INDEX(Monthly_Pay_Model!$A$9:$D$40,MATCH(TEXT(A443,"dd"),Monthly_Pay_Model!$C$9:$C$39,0),4),IF(VLOOKUP(A443,Calendar!$A$1:$R$1377,18,0)=2,SUM(INDEX(Monthly_Pay_Model!$A$9:$D$40,MATCH(TEXT(A443,"dd"),Monthly_Pay_Model!$C$9:$C$39,0),4),INDEX(Monthly_Pay_Model!$A$9:$D$40,MATCH(TEXT(A444,"dd"),Monthly_Pay_Model!$C$9:$C$39,0),4)),IF(VLOOKUP(A443,Calendar!$A$1:$R$1377,18,0)=3,SUM(INDEX(Monthly_Pay_Model!$A$9:$D$40,MATCH(TEXT(A443,"dd"),Monthly_Pay_Model!$C$9:$C$39,0),4),INDEX(Monthly_Pay_Model!$A$9:$D$40,MATCH(TEXT(A444,"dd"),Monthly_Pay_Model!$C$9:$C$39,0),4),INDEX(Monthly_Pay_Model!$A$9:$D$40,MATCH(TEXT(A445,"dd"),Monthly_Pay_Model!$C$9:$C$39,0),4)),IF(VLOOKUP(A443,Calendar!$A$1:$R$1377,18,0)=4,SUM(INDEX(Monthly_Pay_Model!$A$9:$D$40,MATCH(TEXT(A443,"dd"),Monthly_Pay_Model!$C$9:$C$39,0),4),INDEX(Monthly_Pay_Model!$A$9:$D$40,MATCH(TEXT(A444,"dd"),Monthly_Pay_Model!$C$9:$C$39,0),4),INDEX(Monthly_Pay_Model!$A$9:$D$40,MATCH(TEXT(A445,"dd"),Monthly_Pay_Model!$C$9:$C$39,0),4),INDEX(Monthly_Pay_Model!$A$9:$D$40,MATCH(TEXT(A446,"dd"),Monthly_Pay_Model!$C$9:$C$39,0),4)),IF(VLOOKUP(A443,Calendar!$A$1:$R$1377,18,0)=5,SUM(INDEX(Monthly_Pay_Model!$A$9:$D$40,MATCH(TEXT(A443,"dd"),Monthly_Pay_Model!$C$9:$C$39,0),4),INDEX(Monthly_Pay_Model!$A$9:$D$40,MATCH(TEXT(A444,"dd"),Monthly_Pay_Model!$C$9:$C$39,0),4),INDEX(Monthly_Pay_Model!$A$9:$D$40,MATCH(TEXT(A445,"dd"),Monthly_Pay_Model!$C$9:$C$39,0),4),INDEX(Monthly_Pay_Model!$A$9:$D$40,MATCH(TEXT(A446,"dd"),Monthly_Pay_Model!$C$9:$C$39,0),4),INDEX(Monthly_Pay_Model!$A$9:$D$40,MATCH(TEXT(A447,"dd"),Monthly_Pay_Model!$C$9:$C$39,0),4)),))))))</f>
        <v>0</v>
      </c>
      <c r="J443" s="33">
        <f>IF(C443="Yes",Monthly_Pay_Model!$D$2,0)
+IF(Calendar!N443="Yes",Monthly_Pay_Model!$D$3,0)
+IF(D443="Yes",Monthly_Pay_Model!$D$4,0)
+IF(E443="Yes",Monthly_Pay_Model!$D$5,0)</f>
        <v>0</v>
      </c>
      <c r="K443" s="27">
        <f>IF(VLOOKUP($A443,Calendar!$A$1:$R$1377,18,0)=0,0,IF(VLOOKUP($A443,Calendar!$A$1:$R$1377,18,0)=1,IFERROR(INDEX(Weekly_Model!$D$2:$D$9,MATCH(F443,Weekly_Model!$A$2:$A$9,0)),0),IF(VLOOKUP($A443,Calendar!$A$1:$R$1377,18,0)=2,SUM(IFERROR(INDEX(Weekly_Model!$D$2:$D$9,MATCH(F443,Weekly_Model!$A$2:$A$9,0)),0),IFERROR(INDEX(Weekly_Model!$D$2:$D$9,MATCH(F444,Weekly_Model!$A$2:$A$9,0)),0)),IF(VLOOKUP($A443,Calendar!$A$1:$R$1377,18,0)=3,SUM(IFERROR(INDEX(Weekly_Model!$D$2:$D$9,MATCH(F443,Weekly_Model!$A$2:$A$9,0)),0),IFERROR(INDEX(Weekly_Model!$D$2:$D$9,MATCH(F444,Weekly_Model!$A$2:$A$9,0)),0),IFERROR(INDEX(Weekly_Model!$D$2:$D$9,MATCH(F445,Weekly_Model!$A$2:$A$9,0)),0)),IF(VLOOKUP($A443,Calendar!$A$1:$R$1377,18,0)=4,SUM(IFERROR(INDEX(Weekly_Model!$D$2:$D$9,MATCH(F443,Weekly_Model!$A$2:$A$9,0)),0),IFERROR(INDEX(Weekly_Model!$D$2:$D$9,MATCH(F444,Weekly_Model!$A$2:$A$9,0)),0),IFERROR(INDEX(Weekly_Model!$D$2:$D$9,MATCH(F445,Weekly_Model!$A$2:$A$9,0)),0),IFERROR(INDEX(Weekly_Model!$D$2:$D$9,MATCH(F446,Weekly_Model!$A$2:$A$9,0)),0)),IF(VLOOKUP($A443,Calendar!$A$1:$R$1377,18,0)=5,SUM(IFERROR(INDEX(Weekly_Model!$D$2:$D$9,MATCH(F443,Weekly_Model!$A$2:$A$9,0)),0),IFERROR(INDEX(Weekly_Model!$D$2:$D$9,MATCH(F444,Weekly_Model!$A$2:$A$9,0)),0),IFERROR(INDEX(Weekly_Model!$D$2:$D$9,MATCH(F445,Weekly_Model!$A$2:$A$9,0)),0),IFERROR(INDEX(Weekly_Model!$D$2:$D$9,MATCH(F446,Weekly_Model!$A$2:$A$9,0)),0),IFERROR(INDEX(Weekly_Model!$D$2:$D$9,MATCH(F447,Weekly_Model!$A$2:$A$9,0)),0)),0))))))</f>
        <v>0</v>
      </c>
      <c r="L443" s="27">
        <f>IF(VLOOKUP($A443,Calendar!$A$1:$R$1377,18,0)=0,0,IF(VLOOKUP($A443,Calendar!$A$1:$R$1377,18,0)=1,IFERROR(INDEX(Fortnightly_Model!$D$2:$D$15,MATCH(G443,Fortnightly_Model!$B$2:$B$15,0)),0),IF(VLOOKUP($A443,Calendar!$A$1:$R$1377,18,0)=2,SUM(IFERROR(INDEX(Fortnightly_Model!$D$2:$D$15,MATCH(G443,Fortnightly_Model!$B$2:$B$15,0)),0),IFERROR(INDEX(Fortnightly_Model!$D$2:$D$15,MATCH(G444,Fortnightly_Model!$B$2:$B$15,0)),0)),IF(VLOOKUP($A443,Calendar!$A$1:$R$1377,18,0)=3,SUM(IFERROR(INDEX(Fortnightly_Model!$D$2:$D$15,MATCH(G443,Fortnightly_Model!$B$2:$B$15,0)),0),IFERROR(INDEX(Fortnightly_Model!$D$2:$D$15,MATCH(G444,Fortnightly_Model!$B$2:$B$15,0)),0),IFERROR(INDEX(Fortnightly_Model!$D$2:$D$15,MATCH(G445,Fortnightly_Model!$B$2:$B$15,0)),0)),IF(VLOOKUP($A443,Calendar!$A$1:$R$1377,18,0)=4,SUM(IFERROR(INDEX(Fortnightly_Model!$D$2:$D$15,MATCH(G443,Fortnightly_Model!$B$2:$B$15,0)),0),IFERROR(INDEX(Fortnightly_Model!$D$2:$D$15,MATCH(G444,Fortnightly_Model!$B$2:$B$15,0)),0),IFERROR(INDEX(Fortnightly_Model!$D$2:$D$15,MATCH(G445,Fortnightly_Model!$B$2:$B$15,0)),0),IFERROR(INDEX(Fortnightly_Model!$D$2:$D$15,MATCH(G446,Fortnightly_Model!$B$2:$B$15,0)),0)),IF(VLOOKUP($A443,Calendar!$A$1:$R$1377,18,0)=5,SUM(IFERROR(INDEX(Fortnightly_Model!$D$2:$D$15,MATCH(G443,Fortnightly_Model!$B$2:$B$15,0)),0),IFERROR(INDEX(Fortnightly_Model!$D$2:$D$15,MATCH(G444,Fortnightly_Model!$B$2:$B$15,0)),0),IFERROR(INDEX(Fortnightly_Model!$D$2:$D$15,MATCH(G445,Fortnightly_Model!$B$2:$B$15,0)),0),IFERROR(INDEX(Fortnightly_Model!$D$2:$D$15,MATCH(G446,Fortnightly_Model!$B$2:$B$15,0)),0),IFERROR(INDEX(Fortnightly_Model!$D$2:$D$15,MATCH(G447,Fortnightly_Model!$B$2:$B$15,0)),0)),0))))))</f>
        <v>0</v>
      </c>
      <c r="M443" s="27">
        <f>IF(VLOOKUP($A443,Calendar!$A$1:$R$1377,18,0)=0,0,IF(VLOOKUP($A443,Calendar!$A$1:$R$1377,18,0)=1,IFERROR(INDEX(FourWeekly_Model!$D$2:$D$29,MATCH(H443,FourWeekly_Model!$B$2:$B$29,0)),0),IF(VLOOKUP($A443,Calendar!$A$1:$R$1377,18,0)=2,SUM(IFERROR(INDEX(FourWeekly_Model!$D$2:$D$29,MATCH(H443,FourWeekly_Model!$B$2:$B$29,0)),0),IFERROR(INDEX(FourWeekly_Model!$D$2:$D$29,MATCH(H444,FourWeekly_Model!$B$2:$B$29,0)),0)),IF(VLOOKUP($A443,Calendar!$A$1:$R$1377,18,0)=3,SUM(IFERROR(INDEX(FourWeekly_Model!$D$2:$D$29,MATCH(H443,FourWeekly_Model!$B$2:$B$29,0)),0),IFERROR(INDEX(FourWeekly_Model!$D$2:$D$29,MATCH(H444,FourWeekly_Model!$B$2:$B$29,0)),0),IFERROR(INDEX(FourWeekly_Model!$D$2:$D$29,MATCH(H445,FourWeekly_Model!$B$2:$B$29,0)),0)),IF(VLOOKUP($A443,Calendar!$A$1:$R$1377,18,0)=4,SUM(IFERROR(INDEX(FourWeekly_Model!$D$2:$D$29,MATCH(H443,FourWeekly_Model!$B$2:$B$29,0)),0),IFERROR(INDEX(FourWeekly_Model!$D$2:$D$29,MATCH(H444,FourWeekly_Model!$B$2:$B$29,0)),0),IFERROR(INDEX(FourWeekly_Model!$D$2:$D$29,MATCH(H445,FourWeekly_Model!$B$2:$B$29,0)),0),IFERROR(INDEX(FourWeekly_Model!$D$2:$D$29,MATCH(H446,FourWeekly_Model!$B$2:$B$29,0)),0)),IF(VLOOKUP($A443,Calendar!$A$1:$R$1377,18,0)=5,SUM(IFERROR(INDEX(FourWeekly_Model!$D$2:$D$29,MATCH(H443,FourWeekly_Model!$B$2:$B$29,0)),0),IFERROR(INDEX(FourWeekly_Model!$D$2:$D$29,MATCH(H444,FourWeekly_Model!$B$2:$B$29,0)),0),IFERROR(INDEX(FourWeekly_Model!$D$2:$D$29,MATCH(H445,FourWeekly_Model!$B$2:$B$29,0)),0),IFERROR(INDEX(FourWeekly_Model!$D$2:$D$29,MATCH(H446,FourWeekly_Model!$B$2:$B$29,0)),0),IFERROR(INDEX(FourWeekly_Model!$D$2:$D$29,MATCH(H447,FourWeekly_Model!$B$2:$B$29,0)),0)),0))))))</f>
        <v>0</v>
      </c>
      <c r="N443" s="27">
        <f>SUM(I443:M443)</f>
        <v>0</v>
      </c>
      <c r="O443" s="28">
        <f>Population_Data!$B$8*N443</f>
        <v>0</v>
      </c>
      <c r="P443" s="27">
        <f>IF(VLOOKUP($A443,Calendar!$A$1:$R$1377,18,0)=0,0,IF(VLOOKUP($A443,Calendar!$A$1:$R$1377,18,0)=1,IFERROR(INDEX(Pension_Model!$D$2:$D$29,MATCH(H443,Pension_Model!$B$2:$B$29,0)),0),IF(VLOOKUP($A443,Calendar!$A$1:$R$1377,18,0)=2,SUM(IFERROR(INDEX(Pension_Model!$D$2:$D$29,MATCH(H443,Pension_Model!$B$2:$B$29,0)),0),IFERROR(INDEX(Pension_Model!$D$2:$D$29,MATCH(H444,Pension_Model!$B$2:$B$29,0)),0)),IF(VLOOKUP($A443,Calendar!$A$1:$R$1377,18,0)=3,SUM(IFERROR(INDEX(Pension_Model!$D$2:$D$29,MATCH(H443,Pension_Model!$B$2:$B$29,0)),0),IFERROR(INDEX(Pension_Model!$D$2:$D$29,MATCH(H444,Pension_Model!$B$2:$B$29,0)),0),IFERROR(INDEX(Pension_Model!$D$2:$D$29,MATCH(H445,Pension_Model!$B$2:$B$29,0)),0)),IF(VLOOKUP($A443,Calendar!$A$1:$R$1377,18,0)=4,SUM(IFERROR(INDEX(Pension_Model!$D$2:$D$29,MATCH(H443,Pension_Model!$B$2:$B$29,0)),0),IFERROR(INDEX(Pension_Model!$D$2:$D$29,MATCH(H444,Pension_Model!$B$2:$B$29,0)),0),IFERROR(INDEX(Pension_Model!$D$2:$D$29,MATCH(H445,Pension_Model!$B$2:$B$29,0)),0),IFERROR(INDEX(Pension_Model!$D$2:$D$29,MATCH(H446,Pension_Model!$B$2:$B$29,0)),0)),IF(VLOOKUP($A443,Calendar!$A$1:$R$1377,18,0)=5,SUM(IFERROR(INDEX(Pension_Model!$D$2:$D$29,MATCH(H443,Pension_Model!$B$2:$B$29,0)),0),IFERROR(INDEX(Pension_Model!$D$2:$D$29,MATCH(H444,Pension_Model!$B$2:$B$29,0)),0),IFERROR(INDEX(Pension_Model!$D$2:$D$29,MATCH(H445,Pension_Model!$B$2:$B$29,0)),0),IFERROR(INDEX(Pension_Model!$D$2:$D$29,MATCH(H446,Pension_Model!$B$2:$B$29,0)),0),IFERROR(INDEX(Pension_Model!$D$2:$D$29,MATCH(H447,Pension_Model!$B$2:$B$29,0)),0)),0))))))</f>
        <v>0</v>
      </c>
      <c r="Q443" s="28">
        <f>Population_Data!$B$15*P443</f>
        <v>0</v>
      </c>
      <c r="S443">
        <f t="shared" si="6"/>
        <v>0</v>
      </c>
      <c r="U443" s="33">
        <f>S443/Population_Data!$B$19</f>
        <v>0</v>
      </c>
    </row>
    <row r="444" spans="1:21">
      <c r="A444" s="25">
        <f>Calendar!A444</f>
        <v>46677</v>
      </c>
      <c r="B444" t="str">
        <f>Calendar!L444</f>
        <v>No</v>
      </c>
      <c r="C444" t="str">
        <f>Calendar!O444</f>
        <v>No</v>
      </c>
      <c r="D444" t="str">
        <f>Calendar!P444</f>
        <v>No</v>
      </c>
      <c r="E444" t="str">
        <f>Calendar!Q444</f>
        <v>No</v>
      </c>
      <c r="F444" t="str">
        <f>Calendar!I444</f>
        <v>Sunday</v>
      </c>
      <c r="G444">
        <f>Calendar!S444</f>
        <v>1</v>
      </c>
      <c r="H444">
        <f>Calendar!T444</f>
        <v>1</v>
      </c>
      <c r="I444" s="27">
        <f>IF(VLOOKUP(A444,Calendar!$A$1:$R$1377,18,0)=0,0,IF(VLOOKUP(A444,Calendar!$A$1:$R$1377,18,0)=1,INDEX(Monthly_Pay_Model!$A$9:$D$40,MATCH(TEXT(A444,"dd"),Monthly_Pay_Model!$C$9:$C$39,0),4),IF(VLOOKUP(A444,Calendar!$A$1:$R$1377,18,0)=2,SUM(INDEX(Monthly_Pay_Model!$A$9:$D$40,MATCH(TEXT(A444,"dd"),Monthly_Pay_Model!$C$9:$C$39,0),4),INDEX(Monthly_Pay_Model!$A$9:$D$40,MATCH(TEXT(A445,"dd"),Monthly_Pay_Model!$C$9:$C$39,0),4)),IF(VLOOKUP(A444,Calendar!$A$1:$R$1377,18,0)=3,SUM(INDEX(Monthly_Pay_Model!$A$9:$D$40,MATCH(TEXT(A444,"dd"),Monthly_Pay_Model!$C$9:$C$39,0),4),INDEX(Monthly_Pay_Model!$A$9:$D$40,MATCH(TEXT(A445,"dd"),Monthly_Pay_Model!$C$9:$C$39,0),4),INDEX(Monthly_Pay_Model!$A$9:$D$40,MATCH(TEXT(A446,"dd"),Monthly_Pay_Model!$C$9:$C$39,0),4)),IF(VLOOKUP(A444,Calendar!$A$1:$R$1377,18,0)=4,SUM(INDEX(Monthly_Pay_Model!$A$9:$D$40,MATCH(TEXT(A444,"dd"),Monthly_Pay_Model!$C$9:$C$39,0),4),INDEX(Monthly_Pay_Model!$A$9:$D$40,MATCH(TEXT(A445,"dd"),Monthly_Pay_Model!$C$9:$C$39,0),4),INDEX(Monthly_Pay_Model!$A$9:$D$40,MATCH(TEXT(A446,"dd"),Monthly_Pay_Model!$C$9:$C$39,0),4),INDEX(Monthly_Pay_Model!$A$9:$D$40,MATCH(TEXT(A447,"dd"),Monthly_Pay_Model!$C$9:$C$39,0),4)),IF(VLOOKUP(A444,Calendar!$A$1:$R$1377,18,0)=5,SUM(INDEX(Monthly_Pay_Model!$A$9:$D$40,MATCH(TEXT(A444,"dd"),Monthly_Pay_Model!$C$9:$C$39,0),4),INDEX(Monthly_Pay_Model!$A$9:$D$40,MATCH(TEXT(A445,"dd"),Monthly_Pay_Model!$C$9:$C$39,0),4),INDEX(Monthly_Pay_Model!$A$9:$D$40,MATCH(TEXT(A446,"dd"),Monthly_Pay_Model!$C$9:$C$39,0),4),INDEX(Monthly_Pay_Model!$A$9:$D$40,MATCH(TEXT(A447,"dd"),Monthly_Pay_Model!$C$9:$C$39,0),4),INDEX(Monthly_Pay_Model!$A$9:$D$40,MATCH(TEXT(A448,"dd"),Monthly_Pay_Model!$C$9:$C$39,0),4)),))))))</f>
        <v>0</v>
      </c>
      <c r="J444" s="33">
        <f>IF(C444="Yes",Monthly_Pay_Model!$D$2,0)
+IF(Calendar!N444="Yes",Monthly_Pay_Model!$D$3,0)
+IF(D444="Yes",Monthly_Pay_Model!$D$4,0)
+IF(E444="Yes",Monthly_Pay_Model!$D$5,0)</f>
        <v>0</v>
      </c>
      <c r="K444" s="27">
        <f>IF(VLOOKUP($A444,Calendar!$A$1:$R$1377,18,0)=0,0,IF(VLOOKUP($A444,Calendar!$A$1:$R$1377,18,0)=1,IFERROR(INDEX(Weekly_Model!$D$2:$D$9,MATCH(F444,Weekly_Model!$A$2:$A$9,0)),0),IF(VLOOKUP($A444,Calendar!$A$1:$R$1377,18,0)=2,SUM(IFERROR(INDEX(Weekly_Model!$D$2:$D$9,MATCH(F444,Weekly_Model!$A$2:$A$9,0)),0),IFERROR(INDEX(Weekly_Model!$D$2:$D$9,MATCH(F445,Weekly_Model!$A$2:$A$9,0)),0)),IF(VLOOKUP($A444,Calendar!$A$1:$R$1377,18,0)=3,SUM(IFERROR(INDEX(Weekly_Model!$D$2:$D$9,MATCH(F444,Weekly_Model!$A$2:$A$9,0)),0),IFERROR(INDEX(Weekly_Model!$D$2:$D$9,MATCH(F445,Weekly_Model!$A$2:$A$9,0)),0),IFERROR(INDEX(Weekly_Model!$D$2:$D$9,MATCH(F446,Weekly_Model!$A$2:$A$9,0)),0)),IF(VLOOKUP($A444,Calendar!$A$1:$R$1377,18,0)=4,SUM(IFERROR(INDEX(Weekly_Model!$D$2:$D$9,MATCH(F444,Weekly_Model!$A$2:$A$9,0)),0),IFERROR(INDEX(Weekly_Model!$D$2:$D$9,MATCH(F445,Weekly_Model!$A$2:$A$9,0)),0),IFERROR(INDEX(Weekly_Model!$D$2:$D$9,MATCH(F446,Weekly_Model!$A$2:$A$9,0)),0),IFERROR(INDEX(Weekly_Model!$D$2:$D$9,MATCH(F447,Weekly_Model!$A$2:$A$9,0)),0)),IF(VLOOKUP($A444,Calendar!$A$1:$R$1377,18,0)=5,SUM(IFERROR(INDEX(Weekly_Model!$D$2:$D$9,MATCH(F444,Weekly_Model!$A$2:$A$9,0)),0),IFERROR(INDEX(Weekly_Model!$D$2:$D$9,MATCH(F445,Weekly_Model!$A$2:$A$9,0)),0),IFERROR(INDEX(Weekly_Model!$D$2:$D$9,MATCH(F446,Weekly_Model!$A$2:$A$9,0)),0),IFERROR(INDEX(Weekly_Model!$D$2:$D$9,MATCH(F447,Weekly_Model!$A$2:$A$9,0)),0),IFERROR(INDEX(Weekly_Model!$D$2:$D$9,MATCH(F448,Weekly_Model!$A$2:$A$9,0)),0)),0))))))</f>
        <v>0</v>
      </c>
      <c r="L444" s="27">
        <f>IF(VLOOKUP($A444,Calendar!$A$1:$R$1377,18,0)=0,0,IF(VLOOKUP($A444,Calendar!$A$1:$R$1377,18,0)=1,IFERROR(INDEX(Fortnightly_Model!$D$2:$D$15,MATCH(G444,Fortnightly_Model!$B$2:$B$15,0)),0),IF(VLOOKUP($A444,Calendar!$A$1:$R$1377,18,0)=2,SUM(IFERROR(INDEX(Fortnightly_Model!$D$2:$D$15,MATCH(G444,Fortnightly_Model!$B$2:$B$15,0)),0),IFERROR(INDEX(Fortnightly_Model!$D$2:$D$15,MATCH(G445,Fortnightly_Model!$B$2:$B$15,0)),0)),IF(VLOOKUP($A444,Calendar!$A$1:$R$1377,18,0)=3,SUM(IFERROR(INDEX(Fortnightly_Model!$D$2:$D$15,MATCH(G444,Fortnightly_Model!$B$2:$B$15,0)),0),IFERROR(INDEX(Fortnightly_Model!$D$2:$D$15,MATCH(G445,Fortnightly_Model!$B$2:$B$15,0)),0),IFERROR(INDEX(Fortnightly_Model!$D$2:$D$15,MATCH(G446,Fortnightly_Model!$B$2:$B$15,0)),0)),IF(VLOOKUP($A444,Calendar!$A$1:$R$1377,18,0)=4,SUM(IFERROR(INDEX(Fortnightly_Model!$D$2:$D$15,MATCH(G444,Fortnightly_Model!$B$2:$B$15,0)),0),IFERROR(INDEX(Fortnightly_Model!$D$2:$D$15,MATCH(G445,Fortnightly_Model!$B$2:$B$15,0)),0),IFERROR(INDEX(Fortnightly_Model!$D$2:$D$15,MATCH(G446,Fortnightly_Model!$B$2:$B$15,0)),0),IFERROR(INDEX(Fortnightly_Model!$D$2:$D$15,MATCH(G447,Fortnightly_Model!$B$2:$B$15,0)),0)),IF(VLOOKUP($A444,Calendar!$A$1:$R$1377,18,0)=5,SUM(IFERROR(INDEX(Fortnightly_Model!$D$2:$D$15,MATCH(G444,Fortnightly_Model!$B$2:$B$15,0)),0),IFERROR(INDEX(Fortnightly_Model!$D$2:$D$15,MATCH(G445,Fortnightly_Model!$B$2:$B$15,0)),0),IFERROR(INDEX(Fortnightly_Model!$D$2:$D$15,MATCH(G446,Fortnightly_Model!$B$2:$B$15,0)),0),IFERROR(INDEX(Fortnightly_Model!$D$2:$D$15,MATCH(G447,Fortnightly_Model!$B$2:$B$15,0)),0),IFERROR(INDEX(Fortnightly_Model!$D$2:$D$15,MATCH(G448,Fortnightly_Model!$B$2:$B$15,0)),0)),0))))))</f>
        <v>0</v>
      </c>
      <c r="M444" s="27">
        <f>IF(VLOOKUP($A444,Calendar!$A$1:$R$1377,18,0)=0,0,IF(VLOOKUP($A444,Calendar!$A$1:$R$1377,18,0)=1,IFERROR(INDEX(FourWeekly_Model!$D$2:$D$29,MATCH(H444,FourWeekly_Model!$B$2:$B$29,0)),0),IF(VLOOKUP($A444,Calendar!$A$1:$R$1377,18,0)=2,SUM(IFERROR(INDEX(FourWeekly_Model!$D$2:$D$29,MATCH(H444,FourWeekly_Model!$B$2:$B$29,0)),0),IFERROR(INDEX(FourWeekly_Model!$D$2:$D$29,MATCH(H445,FourWeekly_Model!$B$2:$B$29,0)),0)),IF(VLOOKUP($A444,Calendar!$A$1:$R$1377,18,0)=3,SUM(IFERROR(INDEX(FourWeekly_Model!$D$2:$D$29,MATCH(H444,FourWeekly_Model!$B$2:$B$29,0)),0),IFERROR(INDEX(FourWeekly_Model!$D$2:$D$29,MATCH(H445,FourWeekly_Model!$B$2:$B$29,0)),0),IFERROR(INDEX(FourWeekly_Model!$D$2:$D$29,MATCH(H446,FourWeekly_Model!$B$2:$B$29,0)),0)),IF(VLOOKUP($A444,Calendar!$A$1:$R$1377,18,0)=4,SUM(IFERROR(INDEX(FourWeekly_Model!$D$2:$D$29,MATCH(H444,FourWeekly_Model!$B$2:$B$29,0)),0),IFERROR(INDEX(FourWeekly_Model!$D$2:$D$29,MATCH(H445,FourWeekly_Model!$B$2:$B$29,0)),0),IFERROR(INDEX(FourWeekly_Model!$D$2:$D$29,MATCH(H446,FourWeekly_Model!$B$2:$B$29,0)),0),IFERROR(INDEX(FourWeekly_Model!$D$2:$D$29,MATCH(H447,FourWeekly_Model!$B$2:$B$29,0)),0)),IF(VLOOKUP($A444,Calendar!$A$1:$R$1377,18,0)=5,SUM(IFERROR(INDEX(FourWeekly_Model!$D$2:$D$29,MATCH(H444,FourWeekly_Model!$B$2:$B$29,0)),0),IFERROR(INDEX(FourWeekly_Model!$D$2:$D$29,MATCH(H445,FourWeekly_Model!$B$2:$B$29,0)),0),IFERROR(INDEX(FourWeekly_Model!$D$2:$D$29,MATCH(H446,FourWeekly_Model!$B$2:$B$29,0)),0),IFERROR(INDEX(FourWeekly_Model!$D$2:$D$29,MATCH(H447,FourWeekly_Model!$B$2:$B$29,0)),0),IFERROR(INDEX(FourWeekly_Model!$D$2:$D$29,MATCH(H448,FourWeekly_Model!$B$2:$B$29,0)),0)),0))))))</f>
        <v>0</v>
      </c>
      <c r="N444" s="27">
        <f>SUM(I444:M444)</f>
        <v>0</v>
      </c>
      <c r="O444" s="28">
        <f>Population_Data!$B$8*N444</f>
        <v>0</v>
      </c>
      <c r="P444" s="27">
        <f>IF(VLOOKUP($A444,Calendar!$A$1:$R$1377,18,0)=0,0,IF(VLOOKUP($A444,Calendar!$A$1:$R$1377,18,0)=1,IFERROR(INDEX(Pension_Model!$D$2:$D$29,MATCH(H444,Pension_Model!$B$2:$B$29,0)),0),IF(VLOOKUP($A444,Calendar!$A$1:$R$1377,18,0)=2,SUM(IFERROR(INDEX(Pension_Model!$D$2:$D$29,MATCH(H444,Pension_Model!$B$2:$B$29,0)),0),IFERROR(INDEX(Pension_Model!$D$2:$D$29,MATCH(H445,Pension_Model!$B$2:$B$29,0)),0)),IF(VLOOKUP($A444,Calendar!$A$1:$R$1377,18,0)=3,SUM(IFERROR(INDEX(Pension_Model!$D$2:$D$29,MATCH(H444,Pension_Model!$B$2:$B$29,0)),0),IFERROR(INDEX(Pension_Model!$D$2:$D$29,MATCH(H445,Pension_Model!$B$2:$B$29,0)),0),IFERROR(INDEX(Pension_Model!$D$2:$D$29,MATCH(H446,Pension_Model!$B$2:$B$29,0)),0)),IF(VLOOKUP($A444,Calendar!$A$1:$R$1377,18,0)=4,SUM(IFERROR(INDEX(Pension_Model!$D$2:$D$29,MATCH(H444,Pension_Model!$B$2:$B$29,0)),0),IFERROR(INDEX(Pension_Model!$D$2:$D$29,MATCH(H445,Pension_Model!$B$2:$B$29,0)),0),IFERROR(INDEX(Pension_Model!$D$2:$D$29,MATCH(H446,Pension_Model!$B$2:$B$29,0)),0),IFERROR(INDEX(Pension_Model!$D$2:$D$29,MATCH(H447,Pension_Model!$B$2:$B$29,0)),0)),IF(VLOOKUP($A444,Calendar!$A$1:$R$1377,18,0)=5,SUM(IFERROR(INDEX(Pension_Model!$D$2:$D$29,MATCH(H444,Pension_Model!$B$2:$B$29,0)),0),IFERROR(INDEX(Pension_Model!$D$2:$D$29,MATCH(H445,Pension_Model!$B$2:$B$29,0)),0),IFERROR(INDEX(Pension_Model!$D$2:$D$29,MATCH(H446,Pension_Model!$B$2:$B$29,0)),0),IFERROR(INDEX(Pension_Model!$D$2:$D$29,MATCH(H447,Pension_Model!$B$2:$B$29,0)),0),IFERROR(INDEX(Pension_Model!$D$2:$D$29,MATCH(H448,Pension_Model!$B$2:$B$29,0)),0)),0))))))</f>
        <v>0</v>
      </c>
      <c r="Q444" s="28">
        <f>Population_Data!$B$15*P444</f>
        <v>0</v>
      </c>
      <c r="S444">
        <f t="shared" si="6"/>
        <v>0</v>
      </c>
      <c r="U444" s="33">
        <f>S444/Population_Data!$B$19</f>
        <v>0</v>
      </c>
    </row>
    <row r="445" spans="1:21">
      <c r="A445" s="25">
        <f>Calendar!A445</f>
        <v>46678</v>
      </c>
      <c r="B445" t="str">
        <f>Calendar!L445</f>
        <v>Yes</v>
      </c>
      <c r="C445" t="str">
        <f>Calendar!O445</f>
        <v>No</v>
      </c>
      <c r="D445" t="str">
        <f>Calendar!P445</f>
        <v>No</v>
      </c>
      <c r="E445" t="str">
        <f>Calendar!Q445</f>
        <v>No</v>
      </c>
      <c r="F445" t="str">
        <f>Calendar!I445</f>
        <v>Monday</v>
      </c>
      <c r="G445">
        <f>Calendar!S445</f>
        <v>2</v>
      </c>
      <c r="H445">
        <f>Calendar!T445</f>
        <v>2</v>
      </c>
      <c r="I445" s="27">
        <f>IF(VLOOKUP(A445,Calendar!$A$1:$R$1377,18,0)=0,0,IF(VLOOKUP(A445,Calendar!$A$1:$R$1377,18,0)=1,INDEX(Monthly_Pay_Model!$A$9:$D$40,MATCH(TEXT(A445,"dd"),Monthly_Pay_Model!$C$9:$C$39,0),4),IF(VLOOKUP(A445,Calendar!$A$1:$R$1377,18,0)=2,SUM(INDEX(Monthly_Pay_Model!$A$9:$D$40,MATCH(TEXT(A445,"dd"),Monthly_Pay_Model!$C$9:$C$39,0),4),INDEX(Monthly_Pay_Model!$A$9:$D$40,MATCH(TEXT(A446,"dd"),Monthly_Pay_Model!$C$9:$C$39,0),4)),IF(VLOOKUP(A445,Calendar!$A$1:$R$1377,18,0)=3,SUM(INDEX(Monthly_Pay_Model!$A$9:$D$40,MATCH(TEXT(A445,"dd"),Monthly_Pay_Model!$C$9:$C$39,0),4),INDEX(Monthly_Pay_Model!$A$9:$D$40,MATCH(TEXT(A446,"dd"),Monthly_Pay_Model!$C$9:$C$39,0),4),INDEX(Monthly_Pay_Model!$A$9:$D$40,MATCH(TEXT(A447,"dd"),Monthly_Pay_Model!$C$9:$C$39,0),4)),IF(VLOOKUP(A445,Calendar!$A$1:$R$1377,18,0)=4,SUM(INDEX(Monthly_Pay_Model!$A$9:$D$40,MATCH(TEXT(A445,"dd"),Monthly_Pay_Model!$C$9:$C$39,0),4),INDEX(Monthly_Pay_Model!$A$9:$D$40,MATCH(TEXT(A446,"dd"),Monthly_Pay_Model!$C$9:$C$39,0),4),INDEX(Monthly_Pay_Model!$A$9:$D$40,MATCH(TEXT(A447,"dd"),Monthly_Pay_Model!$C$9:$C$39,0),4),INDEX(Monthly_Pay_Model!$A$9:$D$40,MATCH(TEXT(A448,"dd"),Monthly_Pay_Model!$C$9:$C$39,0),4)),IF(VLOOKUP(A445,Calendar!$A$1:$R$1377,18,0)=5,SUM(INDEX(Monthly_Pay_Model!$A$9:$D$40,MATCH(TEXT(A445,"dd"),Monthly_Pay_Model!$C$9:$C$39,0),4),INDEX(Monthly_Pay_Model!$A$9:$D$40,MATCH(TEXT(A446,"dd"),Monthly_Pay_Model!$C$9:$C$39,0),4),INDEX(Monthly_Pay_Model!$A$9:$D$40,MATCH(TEXT(A447,"dd"),Monthly_Pay_Model!$C$9:$C$39,0),4),INDEX(Monthly_Pay_Model!$A$9:$D$40,MATCH(TEXT(A448,"dd"),Monthly_Pay_Model!$C$9:$C$39,0),4),INDEX(Monthly_Pay_Model!$A$9:$D$40,MATCH(TEXT(A449,"dd"),Monthly_Pay_Model!$C$9:$C$39,0),4)),))))))</f>
        <v>2.4376963350785331E-3</v>
      </c>
      <c r="J445" s="33">
        <f>IF(C445="Yes",Monthly_Pay_Model!$D$2,0)
+IF(Calendar!N445="Yes",Monthly_Pay_Model!$D$3,0)
+IF(D445="Yes",Monthly_Pay_Model!$D$4,0)
+IF(E445="Yes",Monthly_Pay_Model!$D$5,0)</f>
        <v>0</v>
      </c>
      <c r="K445" s="27">
        <f>IF(VLOOKUP($A445,Calendar!$A$1:$R$1377,18,0)=0,0,IF(VLOOKUP($A445,Calendar!$A$1:$R$1377,18,0)=1,IFERROR(INDEX(Weekly_Model!$D$2:$D$9,MATCH(F445,Weekly_Model!$A$2:$A$9,0)),0),IF(VLOOKUP($A445,Calendar!$A$1:$R$1377,18,0)=2,SUM(IFERROR(INDEX(Weekly_Model!$D$2:$D$9,MATCH(F445,Weekly_Model!$A$2:$A$9,0)),0),IFERROR(INDEX(Weekly_Model!$D$2:$D$9,MATCH(F446,Weekly_Model!$A$2:$A$9,0)),0)),IF(VLOOKUP($A445,Calendar!$A$1:$R$1377,18,0)=3,SUM(IFERROR(INDEX(Weekly_Model!$D$2:$D$9,MATCH(F445,Weekly_Model!$A$2:$A$9,0)),0),IFERROR(INDEX(Weekly_Model!$D$2:$D$9,MATCH(F446,Weekly_Model!$A$2:$A$9,0)),0),IFERROR(INDEX(Weekly_Model!$D$2:$D$9,MATCH(F447,Weekly_Model!$A$2:$A$9,0)),0)),IF(VLOOKUP($A445,Calendar!$A$1:$R$1377,18,0)=4,SUM(IFERROR(INDEX(Weekly_Model!$D$2:$D$9,MATCH(F445,Weekly_Model!$A$2:$A$9,0)),0),IFERROR(INDEX(Weekly_Model!$D$2:$D$9,MATCH(F446,Weekly_Model!$A$2:$A$9,0)),0),IFERROR(INDEX(Weekly_Model!$D$2:$D$9,MATCH(F447,Weekly_Model!$A$2:$A$9,0)),0),IFERROR(INDEX(Weekly_Model!$D$2:$D$9,MATCH(F448,Weekly_Model!$A$2:$A$9,0)),0)),IF(VLOOKUP($A445,Calendar!$A$1:$R$1377,18,0)=5,SUM(IFERROR(INDEX(Weekly_Model!$D$2:$D$9,MATCH(F445,Weekly_Model!$A$2:$A$9,0)),0),IFERROR(INDEX(Weekly_Model!$D$2:$D$9,MATCH(F446,Weekly_Model!$A$2:$A$9,0)),0),IFERROR(INDEX(Weekly_Model!$D$2:$D$9,MATCH(F447,Weekly_Model!$A$2:$A$9,0)),0),IFERROR(INDEX(Weekly_Model!$D$2:$D$9,MATCH(F448,Weekly_Model!$A$2:$A$9,0)),0),IFERROR(INDEX(Weekly_Model!$D$2:$D$9,MATCH(F449,Weekly_Model!$A$2:$A$9,0)),0)),0))))))</f>
        <v>2.3200000000000002E-2</v>
      </c>
      <c r="L445" s="27">
        <f>IF(VLOOKUP($A445,Calendar!$A$1:$R$1377,18,0)=0,0,IF(VLOOKUP($A445,Calendar!$A$1:$R$1377,18,0)=1,IFERROR(INDEX(Fortnightly_Model!$D$2:$D$15,MATCH(G445,Fortnightly_Model!$B$2:$B$15,0)),0),IF(VLOOKUP($A445,Calendar!$A$1:$R$1377,18,0)=2,SUM(IFERROR(INDEX(Fortnightly_Model!$D$2:$D$15,MATCH(G445,Fortnightly_Model!$B$2:$B$15,0)),0),IFERROR(INDEX(Fortnightly_Model!$D$2:$D$15,MATCH(G446,Fortnightly_Model!$B$2:$B$15,0)),0)),IF(VLOOKUP($A445,Calendar!$A$1:$R$1377,18,0)=3,SUM(IFERROR(INDEX(Fortnightly_Model!$D$2:$D$15,MATCH(G445,Fortnightly_Model!$B$2:$B$15,0)),0),IFERROR(INDEX(Fortnightly_Model!$D$2:$D$15,MATCH(G446,Fortnightly_Model!$B$2:$B$15,0)),0),IFERROR(INDEX(Fortnightly_Model!$D$2:$D$15,MATCH(G447,Fortnightly_Model!$B$2:$B$15,0)),0)),IF(VLOOKUP($A445,Calendar!$A$1:$R$1377,18,0)=4,SUM(IFERROR(INDEX(Fortnightly_Model!$D$2:$D$15,MATCH(G445,Fortnightly_Model!$B$2:$B$15,0)),0),IFERROR(INDEX(Fortnightly_Model!$D$2:$D$15,MATCH(G446,Fortnightly_Model!$B$2:$B$15,0)),0),IFERROR(INDEX(Fortnightly_Model!$D$2:$D$15,MATCH(G447,Fortnightly_Model!$B$2:$B$15,0)),0),IFERROR(INDEX(Fortnightly_Model!$D$2:$D$15,MATCH(G448,Fortnightly_Model!$B$2:$B$15,0)),0)),IF(VLOOKUP($A445,Calendar!$A$1:$R$1377,18,0)=5,SUM(IFERROR(INDEX(Fortnightly_Model!$D$2:$D$15,MATCH(G445,Fortnightly_Model!$B$2:$B$15,0)),0),IFERROR(INDEX(Fortnightly_Model!$D$2:$D$15,MATCH(G446,Fortnightly_Model!$B$2:$B$15,0)),0),IFERROR(INDEX(Fortnightly_Model!$D$2:$D$15,MATCH(G447,Fortnightly_Model!$B$2:$B$15,0)),0),IFERROR(INDEX(Fortnightly_Model!$D$2:$D$15,MATCH(G448,Fortnightly_Model!$B$2:$B$15,0)),0),IFERROR(INDEX(Fortnightly_Model!$D$2:$D$15,MATCH(G449,Fortnightly_Model!$B$2:$B$15,0)),0)),0))))))</f>
        <v>1.0714285499999999E-3</v>
      </c>
      <c r="M445" s="27">
        <f>IF(VLOOKUP($A445,Calendar!$A$1:$R$1377,18,0)=0,0,IF(VLOOKUP($A445,Calendar!$A$1:$R$1377,18,0)=1,IFERROR(INDEX(FourWeekly_Model!$D$2:$D$29,MATCH(H445,FourWeekly_Model!$B$2:$B$29,0)),0),IF(VLOOKUP($A445,Calendar!$A$1:$R$1377,18,0)=2,SUM(IFERROR(INDEX(FourWeekly_Model!$D$2:$D$29,MATCH(H445,FourWeekly_Model!$B$2:$B$29,0)),0),IFERROR(INDEX(FourWeekly_Model!$D$2:$D$29,MATCH(H446,FourWeekly_Model!$B$2:$B$29,0)),0)),IF(VLOOKUP($A445,Calendar!$A$1:$R$1377,18,0)=3,SUM(IFERROR(INDEX(FourWeekly_Model!$D$2:$D$29,MATCH(H445,FourWeekly_Model!$B$2:$B$29,0)),0),IFERROR(INDEX(FourWeekly_Model!$D$2:$D$29,MATCH(H446,FourWeekly_Model!$B$2:$B$29,0)),0),IFERROR(INDEX(FourWeekly_Model!$D$2:$D$29,MATCH(H447,FourWeekly_Model!$B$2:$B$29,0)),0)),IF(VLOOKUP($A445,Calendar!$A$1:$R$1377,18,0)=4,SUM(IFERROR(INDEX(FourWeekly_Model!$D$2:$D$29,MATCH(H445,FourWeekly_Model!$B$2:$B$29,0)),0),IFERROR(INDEX(FourWeekly_Model!$D$2:$D$29,MATCH(H446,FourWeekly_Model!$B$2:$B$29,0)),0),IFERROR(INDEX(FourWeekly_Model!$D$2:$D$29,MATCH(H447,FourWeekly_Model!$B$2:$B$29,0)),0),IFERROR(INDEX(FourWeekly_Model!$D$2:$D$29,MATCH(H448,FourWeekly_Model!$B$2:$B$29,0)),0)),IF(VLOOKUP($A445,Calendar!$A$1:$R$1377,18,0)=5,SUM(IFERROR(INDEX(FourWeekly_Model!$D$2:$D$29,MATCH(H445,FourWeekly_Model!$B$2:$B$29,0)),0),IFERROR(INDEX(FourWeekly_Model!$D$2:$D$29,MATCH(H446,FourWeekly_Model!$B$2:$B$29,0)),0),IFERROR(INDEX(FourWeekly_Model!$D$2:$D$29,MATCH(H447,FourWeekly_Model!$B$2:$B$29,0)),0),IFERROR(INDEX(FourWeekly_Model!$D$2:$D$29,MATCH(H448,FourWeekly_Model!$B$2:$B$29,0)),0),IFERROR(INDEX(FourWeekly_Model!$D$2:$D$29,MATCH(H449,FourWeekly_Model!$B$2:$B$29,0)),0)),0))))))</f>
        <v>3.3214289700000004E-3</v>
      </c>
      <c r="N445" s="27">
        <f>SUM(I445:M445)</f>
        <v>3.0030553855078537E-2</v>
      </c>
      <c r="O445" s="28">
        <f>Population_Data!$B$8*N445</f>
        <v>909925.78180887969</v>
      </c>
      <c r="P445" s="27">
        <f>IF(VLOOKUP($A445,Calendar!$A$1:$R$1377,18,0)=0,0,IF(VLOOKUP($A445,Calendar!$A$1:$R$1377,18,0)=1,IFERROR(INDEX(Pension_Model!$D$2:$D$29,MATCH(H445,Pension_Model!$B$2:$B$29,0)),0),IF(VLOOKUP($A445,Calendar!$A$1:$R$1377,18,0)=2,SUM(IFERROR(INDEX(Pension_Model!$D$2:$D$29,MATCH(H445,Pension_Model!$B$2:$B$29,0)),0),IFERROR(INDEX(Pension_Model!$D$2:$D$29,MATCH(H446,Pension_Model!$B$2:$B$29,0)),0)),IF(VLOOKUP($A445,Calendar!$A$1:$R$1377,18,0)=3,SUM(IFERROR(INDEX(Pension_Model!$D$2:$D$29,MATCH(H445,Pension_Model!$B$2:$B$29,0)),0),IFERROR(INDEX(Pension_Model!$D$2:$D$29,MATCH(H446,Pension_Model!$B$2:$B$29,0)),0),IFERROR(INDEX(Pension_Model!$D$2:$D$29,MATCH(H447,Pension_Model!$B$2:$B$29,0)),0)),IF(VLOOKUP($A445,Calendar!$A$1:$R$1377,18,0)=4,SUM(IFERROR(INDEX(Pension_Model!$D$2:$D$29,MATCH(H445,Pension_Model!$B$2:$B$29,0)),0),IFERROR(INDEX(Pension_Model!$D$2:$D$29,MATCH(H446,Pension_Model!$B$2:$B$29,0)),0),IFERROR(INDEX(Pension_Model!$D$2:$D$29,MATCH(H447,Pension_Model!$B$2:$B$29,0)),0),IFERROR(INDEX(Pension_Model!$D$2:$D$29,MATCH(H448,Pension_Model!$B$2:$B$29,0)),0)),IF(VLOOKUP($A445,Calendar!$A$1:$R$1377,18,0)=5,SUM(IFERROR(INDEX(Pension_Model!$D$2:$D$29,MATCH(H445,Pension_Model!$B$2:$B$29,0)),0),IFERROR(INDEX(Pension_Model!$D$2:$D$29,MATCH(H446,Pension_Model!$B$2:$B$29,0)),0),IFERROR(INDEX(Pension_Model!$D$2:$D$29,MATCH(H447,Pension_Model!$B$2:$B$29,0)),0),IFERROR(INDEX(Pension_Model!$D$2:$D$29,MATCH(H448,Pension_Model!$B$2:$B$29,0)),0),IFERROR(INDEX(Pension_Model!$D$2:$D$29,MATCH(H449,Pension_Model!$B$2:$B$29,0)),0)),0))))))</f>
        <v>0.05</v>
      </c>
      <c r="Q445" s="28">
        <f>Population_Data!$B$15*P445</f>
        <v>660600</v>
      </c>
      <c r="S445">
        <f t="shared" si="6"/>
        <v>1570525.7818088797</v>
      </c>
      <c r="U445" s="33">
        <f>S445/Population_Data!$B$19</f>
        <v>2.8451554018276808E-2</v>
      </c>
    </row>
    <row r="446" spans="1:21">
      <c r="A446" s="25">
        <f>Calendar!A446</f>
        <v>46679</v>
      </c>
      <c r="B446" t="str">
        <f>Calendar!L446</f>
        <v>Yes</v>
      </c>
      <c r="C446" t="str">
        <f>Calendar!O446</f>
        <v>No</v>
      </c>
      <c r="D446" t="str">
        <f>Calendar!P446</f>
        <v>No</v>
      </c>
      <c r="E446" t="str">
        <f>Calendar!Q446</f>
        <v>No</v>
      </c>
      <c r="F446" t="str">
        <f>Calendar!I446</f>
        <v>Tuesday</v>
      </c>
      <c r="G446">
        <f>Calendar!S446</f>
        <v>3</v>
      </c>
      <c r="H446">
        <f>Calendar!T446</f>
        <v>3</v>
      </c>
      <c r="I446" s="27">
        <f>IF(VLOOKUP(A446,Calendar!$A$1:$R$1377,18,0)=0,0,IF(VLOOKUP(A446,Calendar!$A$1:$R$1377,18,0)=1,INDEX(Monthly_Pay_Model!$A$9:$D$40,MATCH(TEXT(A446,"dd"),Monthly_Pay_Model!$C$9:$C$39,0),4),IF(VLOOKUP(A446,Calendar!$A$1:$R$1377,18,0)=2,SUM(INDEX(Monthly_Pay_Model!$A$9:$D$40,MATCH(TEXT(A446,"dd"),Monthly_Pay_Model!$C$9:$C$39,0),4),INDEX(Monthly_Pay_Model!$A$9:$D$40,MATCH(TEXT(A447,"dd"),Monthly_Pay_Model!$C$9:$C$39,0),4)),IF(VLOOKUP(A446,Calendar!$A$1:$R$1377,18,0)=3,SUM(INDEX(Monthly_Pay_Model!$A$9:$D$40,MATCH(TEXT(A446,"dd"),Monthly_Pay_Model!$C$9:$C$39,0),4),INDEX(Monthly_Pay_Model!$A$9:$D$40,MATCH(TEXT(A447,"dd"),Monthly_Pay_Model!$C$9:$C$39,0),4),INDEX(Monthly_Pay_Model!$A$9:$D$40,MATCH(TEXT(A448,"dd"),Monthly_Pay_Model!$C$9:$C$39,0),4)),IF(VLOOKUP(A446,Calendar!$A$1:$R$1377,18,0)=4,SUM(INDEX(Monthly_Pay_Model!$A$9:$D$40,MATCH(TEXT(A446,"dd"),Monthly_Pay_Model!$C$9:$C$39,0),4),INDEX(Monthly_Pay_Model!$A$9:$D$40,MATCH(TEXT(A447,"dd"),Monthly_Pay_Model!$C$9:$C$39,0),4),INDEX(Monthly_Pay_Model!$A$9:$D$40,MATCH(TEXT(A448,"dd"),Monthly_Pay_Model!$C$9:$C$39,0),4),INDEX(Monthly_Pay_Model!$A$9:$D$40,MATCH(TEXT(A449,"dd"),Monthly_Pay_Model!$C$9:$C$39,0),4)),IF(VLOOKUP(A446,Calendar!$A$1:$R$1377,18,0)=5,SUM(INDEX(Monthly_Pay_Model!$A$9:$D$40,MATCH(TEXT(A446,"dd"),Monthly_Pay_Model!$C$9:$C$39,0),4),INDEX(Monthly_Pay_Model!$A$9:$D$40,MATCH(TEXT(A447,"dd"),Monthly_Pay_Model!$C$9:$C$39,0),4),INDEX(Monthly_Pay_Model!$A$9:$D$40,MATCH(TEXT(A448,"dd"),Monthly_Pay_Model!$C$9:$C$39,0),4),INDEX(Monthly_Pay_Model!$A$9:$D$40,MATCH(TEXT(A449,"dd"),Monthly_Pay_Model!$C$9:$C$39,0),4),INDEX(Monthly_Pay_Model!$A$9:$D$40,MATCH(TEXT(A450,"dd"),Monthly_Pay_Model!$C$9:$C$39,0),4)),))))))</f>
        <v>1.6251308900523558E-3</v>
      </c>
      <c r="J446" s="33">
        <f>IF(C446="Yes",Monthly_Pay_Model!$D$2,0)
+IF(Calendar!N446="Yes",Monthly_Pay_Model!$D$3,0)
+IF(D446="Yes",Monthly_Pay_Model!$D$4,0)
+IF(E446="Yes",Monthly_Pay_Model!$D$5,0)</f>
        <v>0</v>
      </c>
      <c r="K446" s="27">
        <f>IF(VLOOKUP($A446,Calendar!$A$1:$R$1377,18,0)=0,0,IF(VLOOKUP($A446,Calendar!$A$1:$R$1377,18,0)=1,IFERROR(INDEX(Weekly_Model!$D$2:$D$9,MATCH(F446,Weekly_Model!$A$2:$A$9,0)),0),IF(VLOOKUP($A446,Calendar!$A$1:$R$1377,18,0)=2,SUM(IFERROR(INDEX(Weekly_Model!$D$2:$D$9,MATCH(F446,Weekly_Model!$A$2:$A$9,0)),0),IFERROR(INDEX(Weekly_Model!$D$2:$D$9,MATCH(F447,Weekly_Model!$A$2:$A$9,0)),0)),IF(VLOOKUP($A446,Calendar!$A$1:$R$1377,18,0)=3,SUM(IFERROR(INDEX(Weekly_Model!$D$2:$D$9,MATCH(F446,Weekly_Model!$A$2:$A$9,0)),0),IFERROR(INDEX(Weekly_Model!$D$2:$D$9,MATCH(F447,Weekly_Model!$A$2:$A$9,0)),0),IFERROR(INDEX(Weekly_Model!$D$2:$D$9,MATCH(F448,Weekly_Model!$A$2:$A$9,0)),0)),IF(VLOOKUP($A446,Calendar!$A$1:$R$1377,18,0)=4,SUM(IFERROR(INDEX(Weekly_Model!$D$2:$D$9,MATCH(F446,Weekly_Model!$A$2:$A$9,0)),0),IFERROR(INDEX(Weekly_Model!$D$2:$D$9,MATCH(F447,Weekly_Model!$A$2:$A$9,0)),0),IFERROR(INDEX(Weekly_Model!$D$2:$D$9,MATCH(F448,Weekly_Model!$A$2:$A$9,0)),0),IFERROR(INDEX(Weekly_Model!$D$2:$D$9,MATCH(F449,Weekly_Model!$A$2:$A$9,0)),0)),IF(VLOOKUP($A446,Calendar!$A$1:$R$1377,18,0)=5,SUM(IFERROR(INDEX(Weekly_Model!$D$2:$D$9,MATCH(F446,Weekly_Model!$A$2:$A$9,0)),0),IFERROR(INDEX(Weekly_Model!$D$2:$D$9,MATCH(F447,Weekly_Model!$A$2:$A$9,0)),0),IFERROR(INDEX(Weekly_Model!$D$2:$D$9,MATCH(F448,Weekly_Model!$A$2:$A$9,0)),0),IFERROR(INDEX(Weekly_Model!$D$2:$D$9,MATCH(F449,Weekly_Model!$A$2:$A$9,0)),0),IFERROR(INDEX(Weekly_Model!$D$2:$D$9,MATCH(F450,Weekly_Model!$A$2:$A$9,0)),0)),0))))))</f>
        <v>2.3200000000000002E-2</v>
      </c>
      <c r="L446" s="27">
        <f>IF(VLOOKUP($A446,Calendar!$A$1:$R$1377,18,0)=0,0,IF(VLOOKUP($A446,Calendar!$A$1:$R$1377,18,0)=1,IFERROR(INDEX(Fortnightly_Model!$D$2:$D$15,MATCH(G446,Fortnightly_Model!$B$2:$B$15,0)),0),IF(VLOOKUP($A446,Calendar!$A$1:$R$1377,18,0)=2,SUM(IFERROR(INDEX(Fortnightly_Model!$D$2:$D$15,MATCH(G446,Fortnightly_Model!$B$2:$B$15,0)),0),IFERROR(INDEX(Fortnightly_Model!$D$2:$D$15,MATCH(G447,Fortnightly_Model!$B$2:$B$15,0)),0)),IF(VLOOKUP($A446,Calendar!$A$1:$R$1377,18,0)=3,SUM(IFERROR(INDEX(Fortnightly_Model!$D$2:$D$15,MATCH(G446,Fortnightly_Model!$B$2:$B$15,0)),0),IFERROR(INDEX(Fortnightly_Model!$D$2:$D$15,MATCH(G447,Fortnightly_Model!$B$2:$B$15,0)),0),IFERROR(INDEX(Fortnightly_Model!$D$2:$D$15,MATCH(G448,Fortnightly_Model!$B$2:$B$15,0)),0)),IF(VLOOKUP($A446,Calendar!$A$1:$R$1377,18,0)=4,SUM(IFERROR(INDEX(Fortnightly_Model!$D$2:$D$15,MATCH(G446,Fortnightly_Model!$B$2:$B$15,0)),0),IFERROR(INDEX(Fortnightly_Model!$D$2:$D$15,MATCH(G447,Fortnightly_Model!$B$2:$B$15,0)),0),IFERROR(INDEX(Fortnightly_Model!$D$2:$D$15,MATCH(G448,Fortnightly_Model!$B$2:$B$15,0)),0),IFERROR(INDEX(Fortnightly_Model!$D$2:$D$15,MATCH(G449,Fortnightly_Model!$B$2:$B$15,0)),0)),IF(VLOOKUP($A446,Calendar!$A$1:$R$1377,18,0)=5,SUM(IFERROR(INDEX(Fortnightly_Model!$D$2:$D$15,MATCH(G446,Fortnightly_Model!$B$2:$B$15,0)),0),IFERROR(INDEX(Fortnightly_Model!$D$2:$D$15,MATCH(G447,Fortnightly_Model!$B$2:$B$15,0)),0),IFERROR(INDEX(Fortnightly_Model!$D$2:$D$15,MATCH(G448,Fortnightly_Model!$B$2:$B$15,0)),0),IFERROR(INDEX(Fortnightly_Model!$D$2:$D$15,MATCH(G449,Fortnightly_Model!$B$2:$B$15,0)),0),IFERROR(INDEX(Fortnightly_Model!$D$2:$D$15,MATCH(G450,Fortnightly_Model!$B$2:$B$15,0)),0)),0))))))</f>
        <v>1.0714285499999999E-3</v>
      </c>
      <c r="M446" s="27">
        <f>IF(VLOOKUP($A446,Calendar!$A$1:$R$1377,18,0)=0,0,IF(VLOOKUP($A446,Calendar!$A$1:$R$1377,18,0)=1,IFERROR(INDEX(FourWeekly_Model!$D$2:$D$29,MATCH(H446,FourWeekly_Model!$B$2:$B$29,0)),0),IF(VLOOKUP($A446,Calendar!$A$1:$R$1377,18,0)=2,SUM(IFERROR(INDEX(FourWeekly_Model!$D$2:$D$29,MATCH(H446,FourWeekly_Model!$B$2:$B$29,0)),0),IFERROR(INDEX(FourWeekly_Model!$D$2:$D$29,MATCH(H447,FourWeekly_Model!$B$2:$B$29,0)),0)),IF(VLOOKUP($A446,Calendar!$A$1:$R$1377,18,0)=3,SUM(IFERROR(INDEX(FourWeekly_Model!$D$2:$D$29,MATCH(H446,FourWeekly_Model!$B$2:$B$29,0)),0),IFERROR(INDEX(FourWeekly_Model!$D$2:$D$29,MATCH(H447,FourWeekly_Model!$B$2:$B$29,0)),0),IFERROR(INDEX(FourWeekly_Model!$D$2:$D$29,MATCH(H448,FourWeekly_Model!$B$2:$B$29,0)),0)),IF(VLOOKUP($A446,Calendar!$A$1:$R$1377,18,0)=4,SUM(IFERROR(INDEX(FourWeekly_Model!$D$2:$D$29,MATCH(H446,FourWeekly_Model!$B$2:$B$29,0)),0),IFERROR(INDEX(FourWeekly_Model!$D$2:$D$29,MATCH(H447,FourWeekly_Model!$B$2:$B$29,0)),0),IFERROR(INDEX(FourWeekly_Model!$D$2:$D$29,MATCH(H448,FourWeekly_Model!$B$2:$B$29,0)),0),IFERROR(INDEX(FourWeekly_Model!$D$2:$D$29,MATCH(H449,FourWeekly_Model!$B$2:$B$29,0)),0)),IF(VLOOKUP($A446,Calendar!$A$1:$R$1377,18,0)=5,SUM(IFERROR(INDEX(FourWeekly_Model!$D$2:$D$29,MATCH(H446,FourWeekly_Model!$B$2:$B$29,0)),0),IFERROR(INDEX(FourWeekly_Model!$D$2:$D$29,MATCH(H447,FourWeekly_Model!$B$2:$B$29,0)),0),IFERROR(INDEX(FourWeekly_Model!$D$2:$D$29,MATCH(H448,FourWeekly_Model!$B$2:$B$29,0)),0),IFERROR(INDEX(FourWeekly_Model!$D$2:$D$29,MATCH(H449,FourWeekly_Model!$B$2:$B$29,0)),0),IFERROR(INDEX(FourWeekly_Model!$D$2:$D$29,MATCH(H450,FourWeekly_Model!$B$2:$B$29,0)),0)),0))))))</f>
        <v>3.3214289700000004E-3</v>
      </c>
      <c r="N446" s="27">
        <f>SUM(I446:M446)</f>
        <v>2.921798841005236E-2</v>
      </c>
      <c r="O446" s="28">
        <f>Population_Data!$B$8*N446</f>
        <v>885305.04882458656</v>
      </c>
      <c r="P446" s="27">
        <f>IF(VLOOKUP($A446,Calendar!$A$1:$R$1377,18,0)=0,0,IF(VLOOKUP($A446,Calendar!$A$1:$R$1377,18,0)=1,IFERROR(INDEX(Pension_Model!$D$2:$D$29,MATCH(H446,Pension_Model!$B$2:$B$29,0)),0),IF(VLOOKUP($A446,Calendar!$A$1:$R$1377,18,0)=2,SUM(IFERROR(INDEX(Pension_Model!$D$2:$D$29,MATCH(H446,Pension_Model!$B$2:$B$29,0)),0),IFERROR(INDEX(Pension_Model!$D$2:$D$29,MATCH(H447,Pension_Model!$B$2:$B$29,0)),0)),IF(VLOOKUP($A446,Calendar!$A$1:$R$1377,18,0)=3,SUM(IFERROR(INDEX(Pension_Model!$D$2:$D$29,MATCH(H446,Pension_Model!$B$2:$B$29,0)),0),IFERROR(INDEX(Pension_Model!$D$2:$D$29,MATCH(H447,Pension_Model!$B$2:$B$29,0)),0),IFERROR(INDEX(Pension_Model!$D$2:$D$29,MATCH(H448,Pension_Model!$B$2:$B$29,0)),0)),IF(VLOOKUP($A446,Calendar!$A$1:$R$1377,18,0)=4,SUM(IFERROR(INDEX(Pension_Model!$D$2:$D$29,MATCH(H446,Pension_Model!$B$2:$B$29,0)),0),IFERROR(INDEX(Pension_Model!$D$2:$D$29,MATCH(H447,Pension_Model!$B$2:$B$29,0)),0),IFERROR(INDEX(Pension_Model!$D$2:$D$29,MATCH(H448,Pension_Model!$B$2:$B$29,0)),0),IFERROR(INDEX(Pension_Model!$D$2:$D$29,MATCH(H449,Pension_Model!$B$2:$B$29,0)),0)),IF(VLOOKUP($A446,Calendar!$A$1:$R$1377,18,0)=5,SUM(IFERROR(INDEX(Pension_Model!$D$2:$D$29,MATCH(H446,Pension_Model!$B$2:$B$29,0)),0),IFERROR(INDEX(Pension_Model!$D$2:$D$29,MATCH(H447,Pension_Model!$B$2:$B$29,0)),0),IFERROR(INDEX(Pension_Model!$D$2:$D$29,MATCH(H448,Pension_Model!$B$2:$B$29,0)),0),IFERROR(INDEX(Pension_Model!$D$2:$D$29,MATCH(H449,Pension_Model!$B$2:$B$29,0)),0),IFERROR(INDEX(Pension_Model!$D$2:$D$29,MATCH(H450,Pension_Model!$B$2:$B$29,0)),0)),0))))))</f>
        <v>0.05</v>
      </c>
      <c r="Q446" s="28">
        <f>Population_Data!$B$15*P446</f>
        <v>660600</v>
      </c>
      <c r="S446">
        <f t="shared" si="6"/>
        <v>1545905.0488245864</v>
      </c>
      <c r="U446" s="33">
        <f>S446/Population_Data!$B$19</f>
        <v>2.8005526246822218E-2</v>
      </c>
    </row>
    <row r="447" spans="1:21">
      <c r="A447" s="25">
        <f>Calendar!A447</f>
        <v>46680</v>
      </c>
      <c r="B447" t="str">
        <f>Calendar!L447</f>
        <v>Yes</v>
      </c>
      <c r="C447" t="str">
        <f>Calendar!O447</f>
        <v>No</v>
      </c>
      <c r="D447" t="str">
        <f>Calendar!P447</f>
        <v>No</v>
      </c>
      <c r="E447" t="str">
        <f>Calendar!Q447</f>
        <v>No</v>
      </c>
      <c r="F447" t="str">
        <f>Calendar!I447</f>
        <v>Wednesday</v>
      </c>
      <c r="G447">
        <f>Calendar!S447</f>
        <v>4</v>
      </c>
      <c r="H447">
        <f>Calendar!T447</f>
        <v>4</v>
      </c>
      <c r="I447" s="27">
        <f>IF(VLOOKUP(A447,Calendar!$A$1:$R$1377,18,0)=0,0,IF(VLOOKUP(A447,Calendar!$A$1:$R$1377,18,0)=1,INDEX(Monthly_Pay_Model!$A$9:$D$40,MATCH(TEXT(A447,"dd"),Monthly_Pay_Model!$C$9:$C$39,0),4),IF(VLOOKUP(A447,Calendar!$A$1:$R$1377,18,0)=2,SUM(INDEX(Monthly_Pay_Model!$A$9:$D$40,MATCH(TEXT(A447,"dd"),Monthly_Pay_Model!$C$9:$C$39,0),4),INDEX(Monthly_Pay_Model!$A$9:$D$40,MATCH(TEXT(A448,"dd"),Monthly_Pay_Model!$C$9:$C$39,0),4)),IF(VLOOKUP(A447,Calendar!$A$1:$R$1377,18,0)=3,SUM(INDEX(Monthly_Pay_Model!$A$9:$D$40,MATCH(TEXT(A447,"dd"),Monthly_Pay_Model!$C$9:$C$39,0),4),INDEX(Monthly_Pay_Model!$A$9:$D$40,MATCH(TEXT(A448,"dd"),Monthly_Pay_Model!$C$9:$C$39,0),4),INDEX(Monthly_Pay_Model!$A$9:$D$40,MATCH(TEXT(A449,"dd"),Monthly_Pay_Model!$C$9:$C$39,0),4)),IF(VLOOKUP(A447,Calendar!$A$1:$R$1377,18,0)=4,SUM(INDEX(Monthly_Pay_Model!$A$9:$D$40,MATCH(TEXT(A447,"dd"),Monthly_Pay_Model!$C$9:$C$39,0),4),INDEX(Monthly_Pay_Model!$A$9:$D$40,MATCH(TEXT(A448,"dd"),Monthly_Pay_Model!$C$9:$C$39,0),4),INDEX(Monthly_Pay_Model!$A$9:$D$40,MATCH(TEXT(A449,"dd"),Monthly_Pay_Model!$C$9:$C$39,0),4),INDEX(Monthly_Pay_Model!$A$9:$D$40,MATCH(TEXT(A450,"dd"),Monthly_Pay_Model!$C$9:$C$39,0),4)),IF(VLOOKUP(A447,Calendar!$A$1:$R$1377,18,0)=5,SUM(INDEX(Monthly_Pay_Model!$A$9:$D$40,MATCH(TEXT(A447,"dd"),Monthly_Pay_Model!$C$9:$C$39,0),4),INDEX(Monthly_Pay_Model!$A$9:$D$40,MATCH(TEXT(A448,"dd"),Monthly_Pay_Model!$C$9:$C$39,0),4),INDEX(Monthly_Pay_Model!$A$9:$D$40,MATCH(TEXT(A449,"dd"),Monthly_Pay_Model!$C$9:$C$39,0),4),INDEX(Monthly_Pay_Model!$A$9:$D$40,MATCH(TEXT(A450,"dd"),Monthly_Pay_Model!$C$9:$C$39,0),4),INDEX(Monthly_Pay_Model!$A$9:$D$40,MATCH(TEXT(A451,"dd"),Monthly_Pay_Model!$C$9:$C$39,0),4)),))))))</f>
        <v>8.1256544502617788E-3</v>
      </c>
      <c r="J447" s="33">
        <f>IF(C447="Yes",Monthly_Pay_Model!$D$2,0)
+IF(Calendar!N447="Yes",Monthly_Pay_Model!$D$3,0)
+IF(D447="Yes",Monthly_Pay_Model!$D$4,0)
+IF(E447="Yes",Monthly_Pay_Model!$D$5,0)</f>
        <v>0</v>
      </c>
      <c r="K447" s="27">
        <f>IF(VLOOKUP($A447,Calendar!$A$1:$R$1377,18,0)=0,0,IF(VLOOKUP($A447,Calendar!$A$1:$R$1377,18,0)=1,IFERROR(INDEX(Weekly_Model!$D$2:$D$9,MATCH(F447,Weekly_Model!$A$2:$A$9,0)),0),IF(VLOOKUP($A447,Calendar!$A$1:$R$1377,18,0)=2,SUM(IFERROR(INDEX(Weekly_Model!$D$2:$D$9,MATCH(F447,Weekly_Model!$A$2:$A$9,0)),0),IFERROR(INDEX(Weekly_Model!$D$2:$D$9,MATCH(F448,Weekly_Model!$A$2:$A$9,0)),0)),IF(VLOOKUP($A447,Calendar!$A$1:$R$1377,18,0)=3,SUM(IFERROR(INDEX(Weekly_Model!$D$2:$D$9,MATCH(F447,Weekly_Model!$A$2:$A$9,0)),0),IFERROR(INDEX(Weekly_Model!$D$2:$D$9,MATCH(F448,Weekly_Model!$A$2:$A$9,0)),0),IFERROR(INDEX(Weekly_Model!$D$2:$D$9,MATCH(F449,Weekly_Model!$A$2:$A$9,0)),0)),IF(VLOOKUP($A447,Calendar!$A$1:$R$1377,18,0)=4,SUM(IFERROR(INDEX(Weekly_Model!$D$2:$D$9,MATCH(F447,Weekly_Model!$A$2:$A$9,0)),0),IFERROR(INDEX(Weekly_Model!$D$2:$D$9,MATCH(F448,Weekly_Model!$A$2:$A$9,0)),0),IFERROR(INDEX(Weekly_Model!$D$2:$D$9,MATCH(F449,Weekly_Model!$A$2:$A$9,0)),0),IFERROR(INDEX(Weekly_Model!$D$2:$D$9,MATCH(F450,Weekly_Model!$A$2:$A$9,0)),0)),IF(VLOOKUP($A447,Calendar!$A$1:$R$1377,18,0)=5,SUM(IFERROR(INDEX(Weekly_Model!$D$2:$D$9,MATCH(F447,Weekly_Model!$A$2:$A$9,0)),0),IFERROR(INDEX(Weekly_Model!$D$2:$D$9,MATCH(F448,Weekly_Model!$A$2:$A$9,0)),0),IFERROR(INDEX(Weekly_Model!$D$2:$D$9,MATCH(F449,Weekly_Model!$A$2:$A$9,0)),0),IFERROR(INDEX(Weekly_Model!$D$2:$D$9,MATCH(F450,Weekly_Model!$A$2:$A$9,0)),0),IFERROR(INDEX(Weekly_Model!$D$2:$D$9,MATCH(F451,Weekly_Model!$A$2:$A$9,0)),0)),0))))))</f>
        <v>2.3200000000000002E-2</v>
      </c>
      <c r="L447" s="27">
        <f>IF(VLOOKUP($A447,Calendar!$A$1:$R$1377,18,0)=0,0,IF(VLOOKUP($A447,Calendar!$A$1:$R$1377,18,0)=1,IFERROR(INDEX(Fortnightly_Model!$D$2:$D$15,MATCH(G447,Fortnightly_Model!$B$2:$B$15,0)),0),IF(VLOOKUP($A447,Calendar!$A$1:$R$1377,18,0)=2,SUM(IFERROR(INDEX(Fortnightly_Model!$D$2:$D$15,MATCH(G447,Fortnightly_Model!$B$2:$B$15,0)),0),IFERROR(INDEX(Fortnightly_Model!$D$2:$D$15,MATCH(G448,Fortnightly_Model!$B$2:$B$15,0)),0)),IF(VLOOKUP($A447,Calendar!$A$1:$R$1377,18,0)=3,SUM(IFERROR(INDEX(Fortnightly_Model!$D$2:$D$15,MATCH(G447,Fortnightly_Model!$B$2:$B$15,0)),0),IFERROR(INDEX(Fortnightly_Model!$D$2:$D$15,MATCH(G448,Fortnightly_Model!$B$2:$B$15,0)),0),IFERROR(INDEX(Fortnightly_Model!$D$2:$D$15,MATCH(G449,Fortnightly_Model!$B$2:$B$15,0)),0)),IF(VLOOKUP($A447,Calendar!$A$1:$R$1377,18,0)=4,SUM(IFERROR(INDEX(Fortnightly_Model!$D$2:$D$15,MATCH(G447,Fortnightly_Model!$B$2:$B$15,0)),0),IFERROR(INDEX(Fortnightly_Model!$D$2:$D$15,MATCH(G448,Fortnightly_Model!$B$2:$B$15,0)),0),IFERROR(INDEX(Fortnightly_Model!$D$2:$D$15,MATCH(G449,Fortnightly_Model!$B$2:$B$15,0)),0),IFERROR(INDEX(Fortnightly_Model!$D$2:$D$15,MATCH(G450,Fortnightly_Model!$B$2:$B$15,0)),0)),IF(VLOOKUP($A447,Calendar!$A$1:$R$1377,18,0)=5,SUM(IFERROR(INDEX(Fortnightly_Model!$D$2:$D$15,MATCH(G447,Fortnightly_Model!$B$2:$B$15,0)),0),IFERROR(INDEX(Fortnightly_Model!$D$2:$D$15,MATCH(G448,Fortnightly_Model!$B$2:$B$15,0)),0),IFERROR(INDEX(Fortnightly_Model!$D$2:$D$15,MATCH(G449,Fortnightly_Model!$B$2:$B$15,0)),0),IFERROR(INDEX(Fortnightly_Model!$D$2:$D$15,MATCH(G450,Fortnightly_Model!$B$2:$B$15,0)),0),IFERROR(INDEX(Fortnightly_Model!$D$2:$D$15,MATCH(G451,Fortnightly_Model!$B$2:$B$15,0)),0)),0))))))</f>
        <v>1.0714285499999999E-3</v>
      </c>
      <c r="M447" s="27">
        <f>IF(VLOOKUP($A447,Calendar!$A$1:$R$1377,18,0)=0,0,IF(VLOOKUP($A447,Calendar!$A$1:$R$1377,18,0)=1,IFERROR(INDEX(FourWeekly_Model!$D$2:$D$29,MATCH(H447,FourWeekly_Model!$B$2:$B$29,0)),0),IF(VLOOKUP($A447,Calendar!$A$1:$R$1377,18,0)=2,SUM(IFERROR(INDEX(FourWeekly_Model!$D$2:$D$29,MATCH(H447,FourWeekly_Model!$B$2:$B$29,0)),0),IFERROR(INDEX(FourWeekly_Model!$D$2:$D$29,MATCH(H448,FourWeekly_Model!$B$2:$B$29,0)),0)),IF(VLOOKUP($A447,Calendar!$A$1:$R$1377,18,0)=3,SUM(IFERROR(INDEX(FourWeekly_Model!$D$2:$D$29,MATCH(H447,FourWeekly_Model!$B$2:$B$29,0)),0),IFERROR(INDEX(FourWeekly_Model!$D$2:$D$29,MATCH(H448,FourWeekly_Model!$B$2:$B$29,0)),0),IFERROR(INDEX(FourWeekly_Model!$D$2:$D$29,MATCH(H449,FourWeekly_Model!$B$2:$B$29,0)),0)),IF(VLOOKUP($A447,Calendar!$A$1:$R$1377,18,0)=4,SUM(IFERROR(INDEX(FourWeekly_Model!$D$2:$D$29,MATCH(H447,FourWeekly_Model!$B$2:$B$29,0)),0),IFERROR(INDEX(FourWeekly_Model!$D$2:$D$29,MATCH(H448,FourWeekly_Model!$B$2:$B$29,0)),0),IFERROR(INDEX(FourWeekly_Model!$D$2:$D$29,MATCH(H449,FourWeekly_Model!$B$2:$B$29,0)),0),IFERROR(INDEX(FourWeekly_Model!$D$2:$D$29,MATCH(H450,FourWeekly_Model!$B$2:$B$29,0)),0)),IF(VLOOKUP($A447,Calendar!$A$1:$R$1377,18,0)=5,SUM(IFERROR(INDEX(FourWeekly_Model!$D$2:$D$29,MATCH(H447,FourWeekly_Model!$B$2:$B$29,0)),0),IFERROR(INDEX(FourWeekly_Model!$D$2:$D$29,MATCH(H448,FourWeekly_Model!$B$2:$B$29,0)),0),IFERROR(INDEX(FourWeekly_Model!$D$2:$D$29,MATCH(H449,FourWeekly_Model!$B$2:$B$29,0)),0),IFERROR(INDEX(FourWeekly_Model!$D$2:$D$29,MATCH(H450,FourWeekly_Model!$B$2:$B$29,0)),0),IFERROR(INDEX(FourWeekly_Model!$D$2:$D$29,MATCH(H451,FourWeekly_Model!$B$2:$B$29,0)),0)),0))))))</f>
        <v>3.3214289700000004E-3</v>
      </c>
      <c r="N447" s="27">
        <f>SUM(I447:M447)</f>
        <v>3.5718511970261782E-2</v>
      </c>
      <c r="O447" s="28">
        <f>Population_Data!$B$8*N447</f>
        <v>1082270.912698932</v>
      </c>
      <c r="P447" s="27">
        <f>IF(VLOOKUP($A447,Calendar!$A$1:$R$1377,18,0)=0,0,IF(VLOOKUP($A447,Calendar!$A$1:$R$1377,18,0)=1,IFERROR(INDEX(Pension_Model!$D$2:$D$29,MATCH(H447,Pension_Model!$B$2:$B$29,0)),0),IF(VLOOKUP($A447,Calendar!$A$1:$R$1377,18,0)=2,SUM(IFERROR(INDEX(Pension_Model!$D$2:$D$29,MATCH(H447,Pension_Model!$B$2:$B$29,0)),0),IFERROR(INDEX(Pension_Model!$D$2:$D$29,MATCH(H448,Pension_Model!$B$2:$B$29,0)),0)),IF(VLOOKUP($A447,Calendar!$A$1:$R$1377,18,0)=3,SUM(IFERROR(INDEX(Pension_Model!$D$2:$D$29,MATCH(H447,Pension_Model!$B$2:$B$29,0)),0),IFERROR(INDEX(Pension_Model!$D$2:$D$29,MATCH(H448,Pension_Model!$B$2:$B$29,0)),0),IFERROR(INDEX(Pension_Model!$D$2:$D$29,MATCH(H449,Pension_Model!$B$2:$B$29,0)),0)),IF(VLOOKUP($A447,Calendar!$A$1:$R$1377,18,0)=4,SUM(IFERROR(INDEX(Pension_Model!$D$2:$D$29,MATCH(H447,Pension_Model!$B$2:$B$29,0)),0),IFERROR(INDEX(Pension_Model!$D$2:$D$29,MATCH(H448,Pension_Model!$B$2:$B$29,0)),0),IFERROR(INDEX(Pension_Model!$D$2:$D$29,MATCH(H449,Pension_Model!$B$2:$B$29,0)),0),IFERROR(INDEX(Pension_Model!$D$2:$D$29,MATCH(H450,Pension_Model!$B$2:$B$29,0)),0)),IF(VLOOKUP($A447,Calendar!$A$1:$R$1377,18,0)=5,SUM(IFERROR(INDEX(Pension_Model!$D$2:$D$29,MATCH(H447,Pension_Model!$B$2:$B$29,0)),0),IFERROR(INDEX(Pension_Model!$D$2:$D$29,MATCH(H448,Pension_Model!$B$2:$B$29,0)),0),IFERROR(INDEX(Pension_Model!$D$2:$D$29,MATCH(H449,Pension_Model!$B$2:$B$29,0)),0),IFERROR(INDEX(Pension_Model!$D$2:$D$29,MATCH(H450,Pension_Model!$B$2:$B$29,0)),0),IFERROR(INDEX(Pension_Model!$D$2:$D$29,MATCH(H451,Pension_Model!$B$2:$B$29,0)),0)),0))))))</f>
        <v>0.05</v>
      </c>
      <c r="Q447" s="28">
        <f>Population_Data!$B$15*P447</f>
        <v>660600</v>
      </c>
      <c r="S447">
        <f t="shared" si="6"/>
        <v>1742870.912698932</v>
      </c>
      <c r="U447" s="33">
        <f>S447/Population_Data!$B$19</f>
        <v>3.1573748418458912E-2</v>
      </c>
    </row>
    <row r="448" spans="1:21">
      <c r="A448" s="25">
        <f>Calendar!A448</f>
        <v>46681</v>
      </c>
      <c r="B448" t="str">
        <f>Calendar!L448</f>
        <v>Yes</v>
      </c>
      <c r="C448" t="str">
        <f>Calendar!O448</f>
        <v>No</v>
      </c>
      <c r="D448" t="str">
        <f>Calendar!P448</f>
        <v>No</v>
      </c>
      <c r="E448" t="str">
        <f>Calendar!Q448</f>
        <v>No</v>
      </c>
      <c r="F448" t="str">
        <f>Calendar!I448</f>
        <v>Thursday</v>
      </c>
      <c r="G448">
        <f>Calendar!S448</f>
        <v>5</v>
      </c>
      <c r="H448">
        <f>Calendar!T448</f>
        <v>5</v>
      </c>
      <c r="I448" s="27">
        <f>IF(VLOOKUP(A448,Calendar!$A$1:$R$1377,18,0)=0,0,IF(VLOOKUP(A448,Calendar!$A$1:$R$1377,18,0)=1,INDEX(Monthly_Pay_Model!$A$9:$D$40,MATCH(TEXT(A448,"dd"),Monthly_Pay_Model!$C$9:$C$39,0),4),IF(VLOOKUP(A448,Calendar!$A$1:$R$1377,18,0)=2,SUM(INDEX(Monthly_Pay_Model!$A$9:$D$40,MATCH(TEXT(A448,"dd"),Monthly_Pay_Model!$C$9:$C$39,0),4),INDEX(Monthly_Pay_Model!$A$9:$D$40,MATCH(TEXT(A449,"dd"),Monthly_Pay_Model!$C$9:$C$39,0),4)),IF(VLOOKUP(A448,Calendar!$A$1:$R$1377,18,0)=3,SUM(INDEX(Monthly_Pay_Model!$A$9:$D$40,MATCH(TEXT(A448,"dd"),Monthly_Pay_Model!$C$9:$C$39,0),4),INDEX(Monthly_Pay_Model!$A$9:$D$40,MATCH(TEXT(A449,"dd"),Monthly_Pay_Model!$C$9:$C$39,0),4),INDEX(Monthly_Pay_Model!$A$9:$D$40,MATCH(TEXT(A450,"dd"),Monthly_Pay_Model!$C$9:$C$39,0),4)),IF(VLOOKUP(A448,Calendar!$A$1:$R$1377,18,0)=4,SUM(INDEX(Monthly_Pay_Model!$A$9:$D$40,MATCH(TEXT(A448,"dd"),Monthly_Pay_Model!$C$9:$C$39,0),4),INDEX(Monthly_Pay_Model!$A$9:$D$40,MATCH(TEXT(A449,"dd"),Monthly_Pay_Model!$C$9:$C$39,0),4),INDEX(Monthly_Pay_Model!$A$9:$D$40,MATCH(TEXT(A450,"dd"),Monthly_Pay_Model!$C$9:$C$39,0),4),INDEX(Monthly_Pay_Model!$A$9:$D$40,MATCH(TEXT(A451,"dd"),Monthly_Pay_Model!$C$9:$C$39,0),4)),IF(VLOOKUP(A448,Calendar!$A$1:$R$1377,18,0)=5,SUM(INDEX(Monthly_Pay_Model!$A$9:$D$40,MATCH(TEXT(A448,"dd"),Monthly_Pay_Model!$C$9:$C$39,0),4),INDEX(Monthly_Pay_Model!$A$9:$D$40,MATCH(TEXT(A449,"dd"),Monthly_Pay_Model!$C$9:$C$39,0),4),INDEX(Monthly_Pay_Model!$A$9:$D$40,MATCH(TEXT(A450,"dd"),Monthly_Pay_Model!$C$9:$C$39,0),4),INDEX(Monthly_Pay_Model!$A$9:$D$40,MATCH(TEXT(A451,"dd"),Monthly_Pay_Model!$C$9:$C$39,0),4),INDEX(Monthly_Pay_Model!$A$9:$D$40,MATCH(TEXT(A452,"dd"),Monthly_Pay_Model!$C$9:$C$39,0),4)),))))))</f>
        <v>4.8753926701570662E-3</v>
      </c>
      <c r="J448" s="33">
        <f>IF(C448="Yes",Monthly_Pay_Model!$D$2,0)
+IF(Calendar!N448="Yes",Monthly_Pay_Model!$D$3,0)
+IF(D448="Yes",Monthly_Pay_Model!$D$4,0)
+IF(E448="Yes",Monthly_Pay_Model!$D$5,0)</f>
        <v>0</v>
      </c>
      <c r="K448" s="27">
        <f>IF(VLOOKUP($A448,Calendar!$A$1:$R$1377,18,0)=0,0,IF(VLOOKUP($A448,Calendar!$A$1:$R$1377,18,0)=1,IFERROR(INDEX(Weekly_Model!$D$2:$D$9,MATCH(F448,Weekly_Model!$A$2:$A$9,0)),0),IF(VLOOKUP($A448,Calendar!$A$1:$R$1377,18,0)=2,SUM(IFERROR(INDEX(Weekly_Model!$D$2:$D$9,MATCH(F448,Weekly_Model!$A$2:$A$9,0)),0),IFERROR(INDEX(Weekly_Model!$D$2:$D$9,MATCH(F449,Weekly_Model!$A$2:$A$9,0)),0)),IF(VLOOKUP($A448,Calendar!$A$1:$R$1377,18,0)=3,SUM(IFERROR(INDEX(Weekly_Model!$D$2:$D$9,MATCH(F448,Weekly_Model!$A$2:$A$9,0)),0),IFERROR(INDEX(Weekly_Model!$D$2:$D$9,MATCH(F449,Weekly_Model!$A$2:$A$9,0)),0),IFERROR(INDEX(Weekly_Model!$D$2:$D$9,MATCH(F450,Weekly_Model!$A$2:$A$9,0)),0)),IF(VLOOKUP($A448,Calendar!$A$1:$R$1377,18,0)=4,SUM(IFERROR(INDEX(Weekly_Model!$D$2:$D$9,MATCH(F448,Weekly_Model!$A$2:$A$9,0)),0),IFERROR(INDEX(Weekly_Model!$D$2:$D$9,MATCH(F449,Weekly_Model!$A$2:$A$9,0)),0),IFERROR(INDEX(Weekly_Model!$D$2:$D$9,MATCH(F450,Weekly_Model!$A$2:$A$9,0)),0),IFERROR(INDEX(Weekly_Model!$D$2:$D$9,MATCH(F451,Weekly_Model!$A$2:$A$9,0)),0)),IF(VLOOKUP($A448,Calendar!$A$1:$R$1377,18,0)=5,SUM(IFERROR(INDEX(Weekly_Model!$D$2:$D$9,MATCH(F448,Weekly_Model!$A$2:$A$9,0)),0),IFERROR(INDEX(Weekly_Model!$D$2:$D$9,MATCH(F449,Weekly_Model!$A$2:$A$9,0)),0),IFERROR(INDEX(Weekly_Model!$D$2:$D$9,MATCH(F450,Weekly_Model!$A$2:$A$9,0)),0),IFERROR(INDEX(Weekly_Model!$D$2:$D$9,MATCH(F451,Weekly_Model!$A$2:$A$9,0)),0),IFERROR(INDEX(Weekly_Model!$D$2:$D$9,MATCH(F452,Weekly_Model!$A$2:$A$9,0)),0)),0))))))</f>
        <v>2.3200000000000002E-2</v>
      </c>
      <c r="L448" s="27">
        <f>IF(VLOOKUP($A448,Calendar!$A$1:$R$1377,18,0)=0,0,IF(VLOOKUP($A448,Calendar!$A$1:$R$1377,18,0)=1,IFERROR(INDEX(Fortnightly_Model!$D$2:$D$15,MATCH(G448,Fortnightly_Model!$B$2:$B$15,0)),0),IF(VLOOKUP($A448,Calendar!$A$1:$R$1377,18,0)=2,SUM(IFERROR(INDEX(Fortnightly_Model!$D$2:$D$15,MATCH(G448,Fortnightly_Model!$B$2:$B$15,0)),0),IFERROR(INDEX(Fortnightly_Model!$D$2:$D$15,MATCH(G449,Fortnightly_Model!$B$2:$B$15,0)),0)),IF(VLOOKUP($A448,Calendar!$A$1:$R$1377,18,0)=3,SUM(IFERROR(INDEX(Fortnightly_Model!$D$2:$D$15,MATCH(G448,Fortnightly_Model!$B$2:$B$15,0)),0),IFERROR(INDEX(Fortnightly_Model!$D$2:$D$15,MATCH(G449,Fortnightly_Model!$B$2:$B$15,0)),0),IFERROR(INDEX(Fortnightly_Model!$D$2:$D$15,MATCH(G450,Fortnightly_Model!$B$2:$B$15,0)),0)),IF(VLOOKUP($A448,Calendar!$A$1:$R$1377,18,0)=4,SUM(IFERROR(INDEX(Fortnightly_Model!$D$2:$D$15,MATCH(G448,Fortnightly_Model!$B$2:$B$15,0)),0),IFERROR(INDEX(Fortnightly_Model!$D$2:$D$15,MATCH(G449,Fortnightly_Model!$B$2:$B$15,0)),0),IFERROR(INDEX(Fortnightly_Model!$D$2:$D$15,MATCH(G450,Fortnightly_Model!$B$2:$B$15,0)),0),IFERROR(INDEX(Fortnightly_Model!$D$2:$D$15,MATCH(G451,Fortnightly_Model!$B$2:$B$15,0)),0)),IF(VLOOKUP($A448,Calendar!$A$1:$R$1377,18,0)=5,SUM(IFERROR(INDEX(Fortnightly_Model!$D$2:$D$15,MATCH(G448,Fortnightly_Model!$B$2:$B$15,0)),0),IFERROR(INDEX(Fortnightly_Model!$D$2:$D$15,MATCH(G449,Fortnightly_Model!$B$2:$B$15,0)),0),IFERROR(INDEX(Fortnightly_Model!$D$2:$D$15,MATCH(G450,Fortnightly_Model!$B$2:$B$15,0)),0),IFERROR(INDEX(Fortnightly_Model!$D$2:$D$15,MATCH(G451,Fortnightly_Model!$B$2:$B$15,0)),0),IFERROR(INDEX(Fortnightly_Model!$D$2:$D$15,MATCH(G452,Fortnightly_Model!$B$2:$B$15,0)),0)),0))))))</f>
        <v>1.0714285499999999E-3</v>
      </c>
      <c r="M448" s="27">
        <f>IF(VLOOKUP($A448,Calendar!$A$1:$R$1377,18,0)=0,0,IF(VLOOKUP($A448,Calendar!$A$1:$R$1377,18,0)=1,IFERROR(INDEX(FourWeekly_Model!$D$2:$D$29,MATCH(H448,FourWeekly_Model!$B$2:$B$29,0)),0),IF(VLOOKUP($A448,Calendar!$A$1:$R$1377,18,0)=2,SUM(IFERROR(INDEX(FourWeekly_Model!$D$2:$D$29,MATCH(H448,FourWeekly_Model!$B$2:$B$29,0)),0),IFERROR(INDEX(FourWeekly_Model!$D$2:$D$29,MATCH(H449,FourWeekly_Model!$B$2:$B$29,0)),0)),IF(VLOOKUP($A448,Calendar!$A$1:$R$1377,18,0)=3,SUM(IFERROR(INDEX(FourWeekly_Model!$D$2:$D$29,MATCH(H448,FourWeekly_Model!$B$2:$B$29,0)),0),IFERROR(INDEX(FourWeekly_Model!$D$2:$D$29,MATCH(H449,FourWeekly_Model!$B$2:$B$29,0)),0),IFERROR(INDEX(FourWeekly_Model!$D$2:$D$29,MATCH(H450,FourWeekly_Model!$B$2:$B$29,0)),0)),IF(VLOOKUP($A448,Calendar!$A$1:$R$1377,18,0)=4,SUM(IFERROR(INDEX(FourWeekly_Model!$D$2:$D$29,MATCH(H448,FourWeekly_Model!$B$2:$B$29,0)),0),IFERROR(INDEX(FourWeekly_Model!$D$2:$D$29,MATCH(H449,FourWeekly_Model!$B$2:$B$29,0)),0),IFERROR(INDEX(FourWeekly_Model!$D$2:$D$29,MATCH(H450,FourWeekly_Model!$B$2:$B$29,0)),0),IFERROR(INDEX(FourWeekly_Model!$D$2:$D$29,MATCH(H451,FourWeekly_Model!$B$2:$B$29,0)),0)),IF(VLOOKUP($A448,Calendar!$A$1:$R$1377,18,0)=5,SUM(IFERROR(INDEX(FourWeekly_Model!$D$2:$D$29,MATCH(H448,FourWeekly_Model!$B$2:$B$29,0)),0),IFERROR(INDEX(FourWeekly_Model!$D$2:$D$29,MATCH(H449,FourWeekly_Model!$B$2:$B$29,0)),0),IFERROR(INDEX(FourWeekly_Model!$D$2:$D$29,MATCH(H450,FourWeekly_Model!$B$2:$B$29,0)),0),IFERROR(INDEX(FourWeekly_Model!$D$2:$D$29,MATCH(H451,FourWeekly_Model!$B$2:$B$29,0)),0),IFERROR(INDEX(FourWeekly_Model!$D$2:$D$29,MATCH(H452,FourWeekly_Model!$B$2:$B$29,0)),0)),0))))))</f>
        <v>3.3214289700000004E-3</v>
      </c>
      <c r="N448" s="27">
        <f>SUM(I448:M448)</f>
        <v>3.2468250190157068E-2</v>
      </c>
      <c r="O448" s="28">
        <f>Population_Data!$B$8*N448</f>
        <v>983787.9807617591</v>
      </c>
      <c r="P448" s="27">
        <f>IF(VLOOKUP($A448,Calendar!$A$1:$R$1377,18,0)=0,0,IF(VLOOKUP($A448,Calendar!$A$1:$R$1377,18,0)=1,IFERROR(INDEX(Pension_Model!$D$2:$D$29,MATCH(H448,Pension_Model!$B$2:$B$29,0)),0),IF(VLOOKUP($A448,Calendar!$A$1:$R$1377,18,0)=2,SUM(IFERROR(INDEX(Pension_Model!$D$2:$D$29,MATCH(H448,Pension_Model!$B$2:$B$29,0)),0),IFERROR(INDEX(Pension_Model!$D$2:$D$29,MATCH(H449,Pension_Model!$B$2:$B$29,0)),0)),IF(VLOOKUP($A448,Calendar!$A$1:$R$1377,18,0)=3,SUM(IFERROR(INDEX(Pension_Model!$D$2:$D$29,MATCH(H448,Pension_Model!$B$2:$B$29,0)),0),IFERROR(INDEX(Pension_Model!$D$2:$D$29,MATCH(H449,Pension_Model!$B$2:$B$29,0)),0),IFERROR(INDEX(Pension_Model!$D$2:$D$29,MATCH(H450,Pension_Model!$B$2:$B$29,0)),0)),IF(VLOOKUP($A448,Calendar!$A$1:$R$1377,18,0)=4,SUM(IFERROR(INDEX(Pension_Model!$D$2:$D$29,MATCH(H448,Pension_Model!$B$2:$B$29,0)),0),IFERROR(INDEX(Pension_Model!$D$2:$D$29,MATCH(H449,Pension_Model!$B$2:$B$29,0)),0),IFERROR(INDEX(Pension_Model!$D$2:$D$29,MATCH(H450,Pension_Model!$B$2:$B$29,0)),0),IFERROR(INDEX(Pension_Model!$D$2:$D$29,MATCH(H451,Pension_Model!$B$2:$B$29,0)),0)),IF(VLOOKUP($A448,Calendar!$A$1:$R$1377,18,0)=5,SUM(IFERROR(INDEX(Pension_Model!$D$2:$D$29,MATCH(H448,Pension_Model!$B$2:$B$29,0)),0),IFERROR(INDEX(Pension_Model!$D$2:$D$29,MATCH(H449,Pension_Model!$B$2:$B$29,0)),0),IFERROR(INDEX(Pension_Model!$D$2:$D$29,MATCH(H450,Pension_Model!$B$2:$B$29,0)),0),IFERROR(INDEX(Pension_Model!$D$2:$D$29,MATCH(H451,Pension_Model!$B$2:$B$29,0)),0),IFERROR(INDEX(Pension_Model!$D$2:$D$29,MATCH(H452,Pension_Model!$B$2:$B$29,0)),0)),0))))))</f>
        <v>0.05</v>
      </c>
      <c r="Q448" s="28">
        <f>Population_Data!$B$15*P448</f>
        <v>660600</v>
      </c>
      <c r="S448">
        <f t="shared" si="6"/>
        <v>1644387.980761759</v>
      </c>
      <c r="U448" s="33">
        <f>S448/Population_Data!$B$19</f>
        <v>2.9789637332640562E-2</v>
      </c>
    </row>
    <row r="449" spans="1:21">
      <c r="A449" s="25">
        <f>Calendar!A449</f>
        <v>46682</v>
      </c>
      <c r="B449" t="str">
        <f>Calendar!L449</f>
        <v>Yes</v>
      </c>
      <c r="C449" t="str">
        <f>Calendar!O449</f>
        <v>No</v>
      </c>
      <c r="D449" t="str">
        <f>Calendar!P449</f>
        <v>No</v>
      </c>
      <c r="E449" t="str">
        <f>Calendar!Q449</f>
        <v>No</v>
      </c>
      <c r="F449" t="str">
        <f>Calendar!I449</f>
        <v>Friday</v>
      </c>
      <c r="G449">
        <f>Calendar!S449</f>
        <v>6</v>
      </c>
      <c r="H449">
        <f>Calendar!T449</f>
        <v>6</v>
      </c>
      <c r="I449" s="27">
        <f>IF(VLOOKUP(A449,Calendar!$A$1:$R$1377,18,0)=0,0,IF(VLOOKUP(A449,Calendar!$A$1:$R$1377,18,0)=1,INDEX(Monthly_Pay_Model!$A$9:$D$40,MATCH(TEXT(A449,"dd"),Monthly_Pay_Model!$C$9:$C$39,0),4),IF(VLOOKUP(A449,Calendar!$A$1:$R$1377,18,0)=2,SUM(INDEX(Monthly_Pay_Model!$A$9:$D$40,MATCH(TEXT(A449,"dd"),Monthly_Pay_Model!$C$9:$C$39,0),4),INDEX(Monthly_Pay_Model!$A$9:$D$40,MATCH(TEXT(A450,"dd"),Monthly_Pay_Model!$C$9:$C$39,0),4)),IF(VLOOKUP(A449,Calendar!$A$1:$R$1377,18,0)=3,SUM(INDEX(Monthly_Pay_Model!$A$9:$D$40,MATCH(TEXT(A449,"dd"),Monthly_Pay_Model!$C$9:$C$39,0),4),INDEX(Monthly_Pay_Model!$A$9:$D$40,MATCH(TEXT(A450,"dd"),Monthly_Pay_Model!$C$9:$C$39,0),4),INDEX(Monthly_Pay_Model!$A$9:$D$40,MATCH(TEXT(A451,"dd"),Monthly_Pay_Model!$C$9:$C$39,0),4)),IF(VLOOKUP(A449,Calendar!$A$1:$R$1377,18,0)=4,SUM(INDEX(Monthly_Pay_Model!$A$9:$D$40,MATCH(TEXT(A449,"dd"),Monthly_Pay_Model!$C$9:$C$39,0),4),INDEX(Monthly_Pay_Model!$A$9:$D$40,MATCH(TEXT(A450,"dd"),Monthly_Pay_Model!$C$9:$C$39,0),4),INDEX(Monthly_Pay_Model!$A$9:$D$40,MATCH(TEXT(A451,"dd"),Monthly_Pay_Model!$C$9:$C$39,0),4),INDEX(Monthly_Pay_Model!$A$9:$D$40,MATCH(TEXT(A452,"dd"),Monthly_Pay_Model!$C$9:$C$39,0),4)),IF(VLOOKUP(A449,Calendar!$A$1:$R$1377,18,0)=5,SUM(INDEX(Monthly_Pay_Model!$A$9:$D$40,MATCH(TEXT(A449,"dd"),Monthly_Pay_Model!$C$9:$C$39,0),4),INDEX(Monthly_Pay_Model!$A$9:$D$40,MATCH(TEXT(A450,"dd"),Monthly_Pay_Model!$C$9:$C$39,0),4),INDEX(Monthly_Pay_Model!$A$9:$D$40,MATCH(TEXT(A451,"dd"),Monthly_Pay_Model!$C$9:$C$39,0),4),INDEX(Monthly_Pay_Model!$A$9:$D$40,MATCH(TEXT(A452,"dd"),Monthly_Pay_Model!$C$9:$C$39,0),4),INDEX(Monthly_Pay_Model!$A$9:$D$40,MATCH(TEXT(A453,"dd"),Monthly_Pay_Model!$C$9:$C$39,0),4)),))))))</f>
        <v>1.46261780104712E-2</v>
      </c>
      <c r="J449" s="33">
        <f>IF(C449="Yes",Monthly_Pay_Model!$D$2,0)
+IF(Calendar!N449="Yes",Monthly_Pay_Model!$D$3,0)
+IF(D449="Yes",Monthly_Pay_Model!$D$4,0)
+IF(E449="Yes",Monthly_Pay_Model!$D$5,0)</f>
        <v>0</v>
      </c>
      <c r="K449" s="27">
        <f>IF(VLOOKUP($A449,Calendar!$A$1:$R$1377,18,0)=0,0,IF(VLOOKUP($A449,Calendar!$A$1:$R$1377,18,0)=1,IFERROR(INDEX(Weekly_Model!$D$2:$D$9,MATCH(F449,Weekly_Model!$A$2:$A$9,0)),0),IF(VLOOKUP($A449,Calendar!$A$1:$R$1377,18,0)=2,SUM(IFERROR(INDEX(Weekly_Model!$D$2:$D$9,MATCH(F449,Weekly_Model!$A$2:$A$9,0)),0),IFERROR(INDEX(Weekly_Model!$D$2:$D$9,MATCH(F450,Weekly_Model!$A$2:$A$9,0)),0)),IF(VLOOKUP($A449,Calendar!$A$1:$R$1377,18,0)=3,SUM(IFERROR(INDEX(Weekly_Model!$D$2:$D$9,MATCH(F449,Weekly_Model!$A$2:$A$9,0)),0),IFERROR(INDEX(Weekly_Model!$D$2:$D$9,MATCH(F450,Weekly_Model!$A$2:$A$9,0)),0),IFERROR(INDEX(Weekly_Model!$D$2:$D$9,MATCH(F451,Weekly_Model!$A$2:$A$9,0)),0)),IF(VLOOKUP($A449,Calendar!$A$1:$R$1377,18,0)=4,SUM(IFERROR(INDEX(Weekly_Model!$D$2:$D$9,MATCH(F449,Weekly_Model!$A$2:$A$9,0)),0),IFERROR(INDEX(Weekly_Model!$D$2:$D$9,MATCH(F450,Weekly_Model!$A$2:$A$9,0)),0),IFERROR(INDEX(Weekly_Model!$D$2:$D$9,MATCH(F451,Weekly_Model!$A$2:$A$9,0)),0),IFERROR(INDEX(Weekly_Model!$D$2:$D$9,MATCH(F452,Weekly_Model!$A$2:$A$9,0)),0)),IF(VLOOKUP($A449,Calendar!$A$1:$R$1377,18,0)=5,SUM(IFERROR(INDEX(Weekly_Model!$D$2:$D$9,MATCH(F449,Weekly_Model!$A$2:$A$9,0)),0),IFERROR(INDEX(Weekly_Model!$D$2:$D$9,MATCH(F450,Weekly_Model!$A$2:$A$9,0)),0),IFERROR(INDEX(Weekly_Model!$D$2:$D$9,MATCH(F451,Weekly_Model!$A$2:$A$9,0)),0),IFERROR(INDEX(Weekly_Model!$D$2:$D$9,MATCH(F452,Weekly_Model!$A$2:$A$9,0)),0),IFERROR(INDEX(Weekly_Model!$D$2:$D$9,MATCH(F453,Weekly_Model!$A$2:$A$9,0)),0)),0))))))</f>
        <v>2.3200000000000002E-2</v>
      </c>
      <c r="L449" s="27">
        <f>IF(VLOOKUP($A449,Calendar!$A$1:$R$1377,18,0)=0,0,IF(VLOOKUP($A449,Calendar!$A$1:$R$1377,18,0)=1,IFERROR(INDEX(Fortnightly_Model!$D$2:$D$15,MATCH(G449,Fortnightly_Model!$B$2:$B$15,0)),0),IF(VLOOKUP($A449,Calendar!$A$1:$R$1377,18,0)=2,SUM(IFERROR(INDEX(Fortnightly_Model!$D$2:$D$15,MATCH(G449,Fortnightly_Model!$B$2:$B$15,0)),0),IFERROR(INDEX(Fortnightly_Model!$D$2:$D$15,MATCH(G450,Fortnightly_Model!$B$2:$B$15,0)),0)),IF(VLOOKUP($A449,Calendar!$A$1:$R$1377,18,0)=3,SUM(IFERROR(INDEX(Fortnightly_Model!$D$2:$D$15,MATCH(G449,Fortnightly_Model!$B$2:$B$15,0)),0),IFERROR(INDEX(Fortnightly_Model!$D$2:$D$15,MATCH(G450,Fortnightly_Model!$B$2:$B$15,0)),0),IFERROR(INDEX(Fortnightly_Model!$D$2:$D$15,MATCH(G451,Fortnightly_Model!$B$2:$B$15,0)),0)),IF(VLOOKUP($A449,Calendar!$A$1:$R$1377,18,0)=4,SUM(IFERROR(INDEX(Fortnightly_Model!$D$2:$D$15,MATCH(G449,Fortnightly_Model!$B$2:$B$15,0)),0),IFERROR(INDEX(Fortnightly_Model!$D$2:$D$15,MATCH(G450,Fortnightly_Model!$B$2:$B$15,0)),0),IFERROR(INDEX(Fortnightly_Model!$D$2:$D$15,MATCH(G451,Fortnightly_Model!$B$2:$B$15,0)),0),IFERROR(INDEX(Fortnightly_Model!$D$2:$D$15,MATCH(G452,Fortnightly_Model!$B$2:$B$15,0)),0)),IF(VLOOKUP($A449,Calendar!$A$1:$R$1377,18,0)=5,SUM(IFERROR(INDEX(Fortnightly_Model!$D$2:$D$15,MATCH(G449,Fortnightly_Model!$B$2:$B$15,0)),0),IFERROR(INDEX(Fortnightly_Model!$D$2:$D$15,MATCH(G450,Fortnightly_Model!$B$2:$B$15,0)),0),IFERROR(INDEX(Fortnightly_Model!$D$2:$D$15,MATCH(G451,Fortnightly_Model!$B$2:$B$15,0)),0),IFERROR(INDEX(Fortnightly_Model!$D$2:$D$15,MATCH(G452,Fortnightly_Model!$B$2:$B$15,0)),0),IFERROR(INDEX(Fortnightly_Model!$D$2:$D$15,MATCH(G453,Fortnightly_Model!$B$2:$B$15,0)),0)),0))))))</f>
        <v>3.2142856499999999E-3</v>
      </c>
      <c r="M449" s="27">
        <f>IF(VLOOKUP($A449,Calendar!$A$1:$R$1377,18,0)=0,0,IF(VLOOKUP($A449,Calendar!$A$1:$R$1377,18,0)=1,IFERROR(INDEX(FourWeekly_Model!$D$2:$D$29,MATCH(H449,FourWeekly_Model!$B$2:$B$29,0)),0),IF(VLOOKUP($A449,Calendar!$A$1:$R$1377,18,0)=2,SUM(IFERROR(INDEX(FourWeekly_Model!$D$2:$D$29,MATCH(H449,FourWeekly_Model!$B$2:$B$29,0)),0),IFERROR(INDEX(FourWeekly_Model!$D$2:$D$29,MATCH(H450,FourWeekly_Model!$B$2:$B$29,0)),0)),IF(VLOOKUP($A449,Calendar!$A$1:$R$1377,18,0)=3,SUM(IFERROR(INDEX(FourWeekly_Model!$D$2:$D$29,MATCH(H449,FourWeekly_Model!$B$2:$B$29,0)),0),IFERROR(INDEX(FourWeekly_Model!$D$2:$D$29,MATCH(H450,FourWeekly_Model!$B$2:$B$29,0)),0),IFERROR(INDEX(FourWeekly_Model!$D$2:$D$29,MATCH(H451,FourWeekly_Model!$B$2:$B$29,0)),0)),IF(VLOOKUP($A449,Calendar!$A$1:$R$1377,18,0)=4,SUM(IFERROR(INDEX(FourWeekly_Model!$D$2:$D$29,MATCH(H449,FourWeekly_Model!$B$2:$B$29,0)),0),IFERROR(INDEX(FourWeekly_Model!$D$2:$D$29,MATCH(H450,FourWeekly_Model!$B$2:$B$29,0)),0),IFERROR(INDEX(FourWeekly_Model!$D$2:$D$29,MATCH(H451,FourWeekly_Model!$B$2:$B$29,0)),0),IFERROR(INDEX(FourWeekly_Model!$D$2:$D$29,MATCH(H452,FourWeekly_Model!$B$2:$B$29,0)),0)),IF(VLOOKUP($A449,Calendar!$A$1:$R$1377,18,0)=5,SUM(IFERROR(INDEX(FourWeekly_Model!$D$2:$D$29,MATCH(H449,FourWeekly_Model!$B$2:$B$29,0)),0),IFERROR(INDEX(FourWeekly_Model!$D$2:$D$29,MATCH(H450,FourWeekly_Model!$B$2:$B$29,0)),0),IFERROR(INDEX(FourWeekly_Model!$D$2:$D$29,MATCH(H451,FourWeekly_Model!$B$2:$B$29,0)),0),IFERROR(INDEX(FourWeekly_Model!$D$2:$D$29,MATCH(H452,FourWeekly_Model!$B$2:$B$29,0)),0),IFERROR(INDEX(FourWeekly_Model!$D$2:$D$29,MATCH(H453,FourWeekly_Model!$B$2:$B$29,0)),0)),0))))))</f>
        <v>9.9642859800000011E-3</v>
      </c>
      <c r="N449" s="27">
        <f>SUM(I449:M449)</f>
        <v>5.1004749640471206E-2</v>
      </c>
      <c r="O449" s="28">
        <f>Population_Data!$B$8*N449</f>
        <v>1545443.9141062775</v>
      </c>
      <c r="P449" s="27">
        <f>IF(VLOOKUP($A449,Calendar!$A$1:$R$1377,18,0)=0,0,IF(VLOOKUP($A449,Calendar!$A$1:$R$1377,18,0)=1,IFERROR(INDEX(Pension_Model!$D$2:$D$29,MATCH(H449,Pension_Model!$B$2:$B$29,0)),0),IF(VLOOKUP($A449,Calendar!$A$1:$R$1377,18,0)=2,SUM(IFERROR(INDEX(Pension_Model!$D$2:$D$29,MATCH(H449,Pension_Model!$B$2:$B$29,0)),0),IFERROR(INDEX(Pension_Model!$D$2:$D$29,MATCH(H450,Pension_Model!$B$2:$B$29,0)),0)),IF(VLOOKUP($A449,Calendar!$A$1:$R$1377,18,0)=3,SUM(IFERROR(INDEX(Pension_Model!$D$2:$D$29,MATCH(H449,Pension_Model!$B$2:$B$29,0)),0),IFERROR(INDEX(Pension_Model!$D$2:$D$29,MATCH(H450,Pension_Model!$B$2:$B$29,0)),0),IFERROR(INDEX(Pension_Model!$D$2:$D$29,MATCH(H451,Pension_Model!$B$2:$B$29,0)),0)),IF(VLOOKUP($A449,Calendar!$A$1:$R$1377,18,0)=4,SUM(IFERROR(INDEX(Pension_Model!$D$2:$D$29,MATCH(H449,Pension_Model!$B$2:$B$29,0)),0),IFERROR(INDEX(Pension_Model!$D$2:$D$29,MATCH(H450,Pension_Model!$B$2:$B$29,0)),0),IFERROR(INDEX(Pension_Model!$D$2:$D$29,MATCH(H451,Pension_Model!$B$2:$B$29,0)),0),IFERROR(INDEX(Pension_Model!$D$2:$D$29,MATCH(H452,Pension_Model!$B$2:$B$29,0)),0)),IF(VLOOKUP($A449,Calendar!$A$1:$R$1377,18,0)=5,SUM(IFERROR(INDEX(Pension_Model!$D$2:$D$29,MATCH(H449,Pension_Model!$B$2:$B$29,0)),0),IFERROR(INDEX(Pension_Model!$D$2:$D$29,MATCH(H450,Pension_Model!$B$2:$B$29,0)),0),IFERROR(INDEX(Pension_Model!$D$2:$D$29,MATCH(H451,Pension_Model!$B$2:$B$29,0)),0),IFERROR(INDEX(Pension_Model!$D$2:$D$29,MATCH(H452,Pension_Model!$B$2:$B$29,0)),0),IFERROR(INDEX(Pension_Model!$D$2:$D$29,MATCH(H453,Pension_Model!$B$2:$B$29,0)),0)),0))))))</f>
        <v>0.05</v>
      </c>
      <c r="Q449" s="28">
        <f>Population_Data!$B$15*P449</f>
        <v>660600</v>
      </c>
      <c r="S449">
        <f t="shared" si="6"/>
        <v>2206043.9141062777</v>
      </c>
      <c r="U449" s="33">
        <f>S449/Population_Data!$B$19</f>
        <v>3.9964563661345612E-2</v>
      </c>
    </row>
    <row r="450" spans="1:21">
      <c r="A450" s="25">
        <f>Calendar!A450</f>
        <v>46683</v>
      </c>
      <c r="B450" t="str">
        <f>Calendar!L450</f>
        <v>No</v>
      </c>
      <c r="C450" t="str">
        <f>Calendar!O450</f>
        <v>No</v>
      </c>
      <c r="D450" t="str">
        <f>Calendar!P450</f>
        <v>No</v>
      </c>
      <c r="E450" t="str">
        <f>Calendar!Q450</f>
        <v>No</v>
      </c>
      <c r="F450" t="str">
        <f>Calendar!I450</f>
        <v>Saturday</v>
      </c>
      <c r="G450">
        <f>Calendar!S450</f>
        <v>7</v>
      </c>
      <c r="H450">
        <f>Calendar!T450</f>
        <v>7</v>
      </c>
      <c r="I450" s="27">
        <f>IF(VLOOKUP(A450,Calendar!$A$1:$R$1377,18,0)=0,0,IF(VLOOKUP(A450,Calendar!$A$1:$R$1377,18,0)=1,INDEX(Monthly_Pay_Model!$A$9:$D$40,MATCH(TEXT(A450,"dd"),Monthly_Pay_Model!$C$9:$C$39,0),4),IF(VLOOKUP(A450,Calendar!$A$1:$R$1377,18,0)=2,SUM(INDEX(Monthly_Pay_Model!$A$9:$D$40,MATCH(TEXT(A450,"dd"),Monthly_Pay_Model!$C$9:$C$39,0),4),INDEX(Monthly_Pay_Model!$A$9:$D$40,MATCH(TEXT(A451,"dd"),Monthly_Pay_Model!$C$9:$C$39,0),4)),IF(VLOOKUP(A450,Calendar!$A$1:$R$1377,18,0)=3,SUM(INDEX(Monthly_Pay_Model!$A$9:$D$40,MATCH(TEXT(A450,"dd"),Monthly_Pay_Model!$C$9:$C$39,0),4),INDEX(Monthly_Pay_Model!$A$9:$D$40,MATCH(TEXT(A451,"dd"),Monthly_Pay_Model!$C$9:$C$39,0),4),INDEX(Monthly_Pay_Model!$A$9:$D$40,MATCH(TEXT(A452,"dd"),Monthly_Pay_Model!$C$9:$C$39,0),4)),IF(VLOOKUP(A450,Calendar!$A$1:$R$1377,18,0)=4,SUM(INDEX(Monthly_Pay_Model!$A$9:$D$40,MATCH(TEXT(A450,"dd"),Monthly_Pay_Model!$C$9:$C$39,0),4),INDEX(Monthly_Pay_Model!$A$9:$D$40,MATCH(TEXT(A451,"dd"),Monthly_Pay_Model!$C$9:$C$39,0),4),INDEX(Monthly_Pay_Model!$A$9:$D$40,MATCH(TEXT(A452,"dd"),Monthly_Pay_Model!$C$9:$C$39,0),4),INDEX(Monthly_Pay_Model!$A$9:$D$40,MATCH(TEXT(A453,"dd"),Monthly_Pay_Model!$C$9:$C$39,0),4)),IF(VLOOKUP(A450,Calendar!$A$1:$R$1377,18,0)=5,SUM(INDEX(Monthly_Pay_Model!$A$9:$D$40,MATCH(TEXT(A450,"dd"),Monthly_Pay_Model!$C$9:$C$39,0),4),INDEX(Monthly_Pay_Model!$A$9:$D$40,MATCH(TEXT(A451,"dd"),Monthly_Pay_Model!$C$9:$C$39,0),4),INDEX(Monthly_Pay_Model!$A$9:$D$40,MATCH(TEXT(A452,"dd"),Monthly_Pay_Model!$C$9:$C$39,0),4),INDEX(Monthly_Pay_Model!$A$9:$D$40,MATCH(TEXT(A453,"dd"),Monthly_Pay_Model!$C$9:$C$39,0),4),INDEX(Monthly_Pay_Model!$A$9:$D$40,MATCH(TEXT(A454,"dd"),Monthly_Pay_Model!$C$9:$C$39,0),4)),))))))</f>
        <v>0</v>
      </c>
      <c r="J450" s="33">
        <f>IF(C450="Yes",Monthly_Pay_Model!$D$2,0)
+IF(Calendar!N450="Yes",Monthly_Pay_Model!$D$3,0)
+IF(D450="Yes",Monthly_Pay_Model!$D$4,0)
+IF(E450="Yes",Monthly_Pay_Model!$D$5,0)</f>
        <v>0</v>
      </c>
      <c r="K450" s="27">
        <f>IF(VLOOKUP($A450,Calendar!$A$1:$R$1377,18,0)=0,0,IF(VLOOKUP($A450,Calendar!$A$1:$R$1377,18,0)=1,IFERROR(INDEX(Weekly_Model!$D$2:$D$9,MATCH(F450,Weekly_Model!$A$2:$A$9,0)),0),IF(VLOOKUP($A450,Calendar!$A$1:$R$1377,18,0)=2,SUM(IFERROR(INDEX(Weekly_Model!$D$2:$D$9,MATCH(F450,Weekly_Model!$A$2:$A$9,0)),0),IFERROR(INDEX(Weekly_Model!$D$2:$D$9,MATCH(F451,Weekly_Model!$A$2:$A$9,0)),0)),IF(VLOOKUP($A450,Calendar!$A$1:$R$1377,18,0)=3,SUM(IFERROR(INDEX(Weekly_Model!$D$2:$D$9,MATCH(F450,Weekly_Model!$A$2:$A$9,0)),0),IFERROR(INDEX(Weekly_Model!$D$2:$D$9,MATCH(F451,Weekly_Model!$A$2:$A$9,0)),0),IFERROR(INDEX(Weekly_Model!$D$2:$D$9,MATCH(F452,Weekly_Model!$A$2:$A$9,0)),0)),IF(VLOOKUP($A450,Calendar!$A$1:$R$1377,18,0)=4,SUM(IFERROR(INDEX(Weekly_Model!$D$2:$D$9,MATCH(F450,Weekly_Model!$A$2:$A$9,0)),0),IFERROR(INDEX(Weekly_Model!$D$2:$D$9,MATCH(F451,Weekly_Model!$A$2:$A$9,0)),0),IFERROR(INDEX(Weekly_Model!$D$2:$D$9,MATCH(F452,Weekly_Model!$A$2:$A$9,0)),0),IFERROR(INDEX(Weekly_Model!$D$2:$D$9,MATCH(F453,Weekly_Model!$A$2:$A$9,0)),0)),IF(VLOOKUP($A450,Calendar!$A$1:$R$1377,18,0)=5,SUM(IFERROR(INDEX(Weekly_Model!$D$2:$D$9,MATCH(F450,Weekly_Model!$A$2:$A$9,0)),0),IFERROR(INDEX(Weekly_Model!$D$2:$D$9,MATCH(F451,Weekly_Model!$A$2:$A$9,0)),0),IFERROR(INDEX(Weekly_Model!$D$2:$D$9,MATCH(F452,Weekly_Model!$A$2:$A$9,0)),0),IFERROR(INDEX(Weekly_Model!$D$2:$D$9,MATCH(F453,Weekly_Model!$A$2:$A$9,0)),0),IFERROR(INDEX(Weekly_Model!$D$2:$D$9,MATCH(F454,Weekly_Model!$A$2:$A$9,0)),0)),0))))))</f>
        <v>0</v>
      </c>
      <c r="L450" s="27">
        <f>IF(VLOOKUP($A450,Calendar!$A$1:$R$1377,18,0)=0,0,IF(VLOOKUP($A450,Calendar!$A$1:$R$1377,18,0)=1,IFERROR(INDEX(Fortnightly_Model!$D$2:$D$15,MATCH(G450,Fortnightly_Model!$B$2:$B$15,0)),0),IF(VLOOKUP($A450,Calendar!$A$1:$R$1377,18,0)=2,SUM(IFERROR(INDEX(Fortnightly_Model!$D$2:$D$15,MATCH(G450,Fortnightly_Model!$B$2:$B$15,0)),0),IFERROR(INDEX(Fortnightly_Model!$D$2:$D$15,MATCH(G451,Fortnightly_Model!$B$2:$B$15,0)),0)),IF(VLOOKUP($A450,Calendar!$A$1:$R$1377,18,0)=3,SUM(IFERROR(INDEX(Fortnightly_Model!$D$2:$D$15,MATCH(G450,Fortnightly_Model!$B$2:$B$15,0)),0),IFERROR(INDEX(Fortnightly_Model!$D$2:$D$15,MATCH(G451,Fortnightly_Model!$B$2:$B$15,0)),0),IFERROR(INDEX(Fortnightly_Model!$D$2:$D$15,MATCH(G452,Fortnightly_Model!$B$2:$B$15,0)),0)),IF(VLOOKUP($A450,Calendar!$A$1:$R$1377,18,0)=4,SUM(IFERROR(INDEX(Fortnightly_Model!$D$2:$D$15,MATCH(G450,Fortnightly_Model!$B$2:$B$15,0)),0),IFERROR(INDEX(Fortnightly_Model!$D$2:$D$15,MATCH(G451,Fortnightly_Model!$B$2:$B$15,0)),0),IFERROR(INDEX(Fortnightly_Model!$D$2:$D$15,MATCH(G452,Fortnightly_Model!$B$2:$B$15,0)),0),IFERROR(INDEX(Fortnightly_Model!$D$2:$D$15,MATCH(G453,Fortnightly_Model!$B$2:$B$15,0)),0)),IF(VLOOKUP($A450,Calendar!$A$1:$R$1377,18,0)=5,SUM(IFERROR(INDEX(Fortnightly_Model!$D$2:$D$15,MATCH(G450,Fortnightly_Model!$B$2:$B$15,0)),0),IFERROR(INDEX(Fortnightly_Model!$D$2:$D$15,MATCH(G451,Fortnightly_Model!$B$2:$B$15,0)),0),IFERROR(INDEX(Fortnightly_Model!$D$2:$D$15,MATCH(G452,Fortnightly_Model!$B$2:$B$15,0)),0),IFERROR(INDEX(Fortnightly_Model!$D$2:$D$15,MATCH(G453,Fortnightly_Model!$B$2:$B$15,0)),0),IFERROR(INDEX(Fortnightly_Model!$D$2:$D$15,MATCH(G454,Fortnightly_Model!$B$2:$B$15,0)),0)),0))))))</f>
        <v>0</v>
      </c>
      <c r="M450" s="27">
        <f>IF(VLOOKUP($A450,Calendar!$A$1:$R$1377,18,0)=0,0,IF(VLOOKUP($A450,Calendar!$A$1:$R$1377,18,0)=1,IFERROR(INDEX(FourWeekly_Model!$D$2:$D$29,MATCH(H450,FourWeekly_Model!$B$2:$B$29,0)),0),IF(VLOOKUP($A450,Calendar!$A$1:$R$1377,18,0)=2,SUM(IFERROR(INDEX(FourWeekly_Model!$D$2:$D$29,MATCH(H450,FourWeekly_Model!$B$2:$B$29,0)),0),IFERROR(INDEX(FourWeekly_Model!$D$2:$D$29,MATCH(H451,FourWeekly_Model!$B$2:$B$29,0)),0)),IF(VLOOKUP($A450,Calendar!$A$1:$R$1377,18,0)=3,SUM(IFERROR(INDEX(FourWeekly_Model!$D$2:$D$29,MATCH(H450,FourWeekly_Model!$B$2:$B$29,0)),0),IFERROR(INDEX(FourWeekly_Model!$D$2:$D$29,MATCH(H451,FourWeekly_Model!$B$2:$B$29,0)),0),IFERROR(INDEX(FourWeekly_Model!$D$2:$D$29,MATCH(H452,FourWeekly_Model!$B$2:$B$29,0)),0)),IF(VLOOKUP($A450,Calendar!$A$1:$R$1377,18,0)=4,SUM(IFERROR(INDEX(FourWeekly_Model!$D$2:$D$29,MATCH(H450,FourWeekly_Model!$B$2:$B$29,0)),0),IFERROR(INDEX(FourWeekly_Model!$D$2:$D$29,MATCH(H451,FourWeekly_Model!$B$2:$B$29,0)),0),IFERROR(INDEX(FourWeekly_Model!$D$2:$D$29,MATCH(H452,FourWeekly_Model!$B$2:$B$29,0)),0),IFERROR(INDEX(FourWeekly_Model!$D$2:$D$29,MATCH(H453,FourWeekly_Model!$B$2:$B$29,0)),0)),IF(VLOOKUP($A450,Calendar!$A$1:$R$1377,18,0)=5,SUM(IFERROR(INDEX(FourWeekly_Model!$D$2:$D$29,MATCH(H450,FourWeekly_Model!$B$2:$B$29,0)),0),IFERROR(INDEX(FourWeekly_Model!$D$2:$D$29,MATCH(H451,FourWeekly_Model!$B$2:$B$29,0)),0),IFERROR(INDEX(FourWeekly_Model!$D$2:$D$29,MATCH(H452,FourWeekly_Model!$B$2:$B$29,0)),0),IFERROR(INDEX(FourWeekly_Model!$D$2:$D$29,MATCH(H453,FourWeekly_Model!$B$2:$B$29,0)),0),IFERROR(INDEX(FourWeekly_Model!$D$2:$D$29,MATCH(H454,FourWeekly_Model!$B$2:$B$29,0)),0)),0))))))</f>
        <v>0</v>
      </c>
      <c r="N450" s="27">
        <f>SUM(I450:M450)</f>
        <v>0</v>
      </c>
      <c r="O450" s="28">
        <f>Population_Data!$B$8*N450</f>
        <v>0</v>
      </c>
      <c r="P450" s="27">
        <f>IF(VLOOKUP($A450,Calendar!$A$1:$R$1377,18,0)=0,0,IF(VLOOKUP($A450,Calendar!$A$1:$R$1377,18,0)=1,IFERROR(INDEX(Pension_Model!$D$2:$D$29,MATCH(H450,Pension_Model!$B$2:$B$29,0)),0),IF(VLOOKUP($A450,Calendar!$A$1:$R$1377,18,0)=2,SUM(IFERROR(INDEX(Pension_Model!$D$2:$D$29,MATCH(H450,Pension_Model!$B$2:$B$29,0)),0),IFERROR(INDEX(Pension_Model!$D$2:$D$29,MATCH(H451,Pension_Model!$B$2:$B$29,0)),0)),IF(VLOOKUP($A450,Calendar!$A$1:$R$1377,18,0)=3,SUM(IFERROR(INDEX(Pension_Model!$D$2:$D$29,MATCH(H450,Pension_Model!$B$2:$B$29,0)),0),IFERROR(INDEX(Pension_Model!$D$2:$D$29,MATCH(H451,Pension_Model!$B$2:$B$29,0)),0),IFERROR(INDEX(Pension_Model!$D$2:$D$29,MATCH(H452,Pension_Model!$B$2:$B$29,0)),0)),IF(VLOOKUP($A450,Calendar!$A$1:$R$1377,18,0)=4,SUM(IFERROR(INDEX(Pension_Model!$D$2:$D$29,MATCH(H450,Pension_Model!$B$2:$B$29,0)),0),IFERROR(INDEX(Pension_Model!$D$2:$D$29,MATCH(H451,Pension_Model!$B$2:$B$29,0)),0),IFERROR(INDEX(Pension_Model!$D$2:$D$29,MATCH(H452,Pension_Model!$B$2:$B$29,0)),0),IFERROR(INDEX(Pension_Model!$D$2:$D$29,MATCH(H453,Pension_Model!$B$2:$B$29,0)),0)),IF(VLOOKUP($A450,Calendar!$A$1:$R$1377,18,0)=5,SUM(IFERROR(INDEX(Pension_Model!$D$2:$D$29,MATCH(H450,Pension_Model!$B$2:$B$29,0)),0),IFERROR(INDEX(Pension_Model!$D$2:$D$29,MATCH(H451,Pension_Model!$B$2:$B$29,0)),0),IFERROR(INDEX(Pension_Model!$D$2:$D$29,MATCH(H452,Pension_Model!$B$2:$B$29,0)),0),IFERROR(INDEX(Pension_Model!$D$2:$D$29,MATCH(H453,Pension_Model!$B$2:$B$29,0)),0),IFERROR(INDEX(Pension_Model!$D$2:$D$29,MATCH(H454,Pension_Model!$B$2:$B$29,0)),0)),0))))))</f>
        <v>0</v>
      </c>
      <c r="Q450" s="28">
        <f>Population_Data!$B$15*P450</f>
        <v>0</v>
      </c>
      <c r="S450">
        <f t="shared" si="6"/>
        <v>0</v>
      </c>
      <c r="U450" s="33">
        <f>S450/Population_Data!$B$19</f>
        <v>0</v>
      </c>
    </row>
    <row r="451" spans="1:21">
      <c r="A451" s="25">
        <f>Calendar!A451</f>
        <v>46684</v>
      </c>
      <c r="B451" t="str">
        <f>Calendar!L451</f>
        <v>No</v>
      </c>
      <c r="C451" t="str">
        <f>Calendar!O451</f>
        <v>No</v>
      </c>
      <c r="D451" t="str">
        <f>Calendar!P451</f>
        <v>No</v>
      </c>
      <c r="E451" t="str">
        <f>Calendar!Q451</f>
        <v>No</v>
      </c>
      <c r="F451" t="str">
        <f>Calendar!I451</f>
        <v>Sunday</v>
      </c>
      <c r="G451">
        <f>Calendar!S451</f>
        <v>8</v>
      </c>
      <c r="H451">
        <f>Calendar!T451</f>
        <v>8</v>
      </c>
      <c r="I451" s="27">
        <f>IF(VLOOKUP(A451,Calendar!$A$1:$R$1377,18,0)=0,0,IF(VLOOKUP(A451,Calendar!$A$1:$R$1377,18,0)=1,INDEX(Monthly_Pay_Model!$A$9:$D$40,MATCH(TEXT(A451,"dd"),Monthly_Pay_Model!$C$9:$C$39,0),4),IF(VLOOKUP(A451,Calendar!$A$1:$R$1377,18,0)=2,SUM(INDEX(Monthly_Pay_Model!$A$9:$D$40,MATCH(TEXT(A451,"dd"),Monthly_Pay_Model!$C$9:$C$39,0),4),INDEX(Monthly_Pay_Model!$A$9:$D$40,MATCH(TEXT(A452,"dd"),Monthly_Pay_Model!$C$9:$C$39,0),4)),IF(VLOOKUP(A451,Calendar!$A$1:$R$1377,18,0)=3,SUM(INDEX(Monthly_Pay_Model!$A$9:$D$40,MATCH(TEXT(A451,"dd"),Monthly_Pay_Model!$C$9:$C$39,0),4),INDEX(Monthly_Pay_Model!$A$9:$D$40,MATCH(TEXT(A452,"dd"),Monthly_Pay_Model!$C$9:$C$39,0),4),INDEX(Monthly_Pay_Model!$A$9:$D$40,MATCH(TEXT(A453,"dd"),Monthly_Pay_Model!$C$9:$C$39,0),4)),IF(VLOOKUP(A451,Calendar!$A$1:$R$1377,18,0)=4,SUM(INDEX(Monthly_Pay_Model!$A$9:$D$40,MATCH(TEXT(A451,"dd"),Monthly_Pay_Model!$C$9:$C$39,0),4),INDEX(Monthly_Pay_Model!$A$9:$D$40,MATCH(TEXT(A452,"dd"),Monthly_Pay_Model!$C$9:$C$39,0),4),INDEX(Monthly_Pay_Model!$A$9:$D$40,MATCH(TEXT(A453,"dd"),Monthly_Pay_Model!$C$9:$C$39,0),4),INDEX(Monthly_Pay_Model!$A$9:$D$40,MATCH(TEXT(A454,"dd"),Monthly_Pay_Model!$C$9:$C$39,0),4)),IF(VLOOKUP(A451,Calendar!$A$1:$R$1377,18,0)=5,SUM(INDEX(Monthly_Pay_Model!$A$9:$D$40,MATCH(TEXT(A451,"dd"),Monthly_Pay_Model!$C$9:$C$39,0),4),INDEX(Monthly_Pay_Model!$A$9:$D$40,MATCH(TEXT(A452,"dd"),Monthly_Pay_Model!$C$9:$C$39,0),4),INDEX(Monthly_Pay_Model!$A$9:$D$40,MATCH(TEXT(A453,"dd"),Monthly_Pay_Model!$C$9:$C$39,0),4),INDEX(Monthly_Pay_Model!$A$9:$D$40,MATCH(TEXT(A454,"dd"),Monthly_Pay_Model!$C$9:$C$39,0),4),INDEX(Monthly_Pay_Model!$A$9:$D$40,MATCH(TEXT(A455,"dd"),Monthly_Pay_Model!$C$9:$C$39,0),4)),))))))</f>
        <v>0</v>
      </c>
      <c r="J451" s="33">
        <f>IF(C451="Yes",Monthly_Pay_Model!$D$2,0)
+IF(Calendar!N451="Yes",Monthly_Pay_Model!$D$3,0)
+IF(D451="Yes",Monthly_Pay_Model!$D$4,0)
+IF(E451="Yes",Monthly_Pay_Model!$D$5,0)</f>
        <v>0</v>
      </c>
      <c r="K451" s="27">
        <f>IF(VLOOKUP($A451,Calendar!$A$1:$R$1377,18,0)=0,0,IF(VLOOKUP($A451,Calendar!$A$1:$R$1377,18,0)=1,IFERROR(INDEX(Weekly_Model!$D$2:$D$9,MATCH(F451,Weekly_Model!$A$2:$A$9,0)),0),IF(VLOOKUP($A451,Calendar!$A$1:$R$1377,18,0)=2,SUM(IFERROR(INDEX(Weekly_Model!$D$2:$D$9,MATCH(F451,Weekly_Model!$A$2:$A$9,0)),0),IFERROR(INDEX(Weekly_Model!$D$2:$D$9,MATCH(F452,Weekly_Model!$A$2:$A$9,0)),0)),IF(VLOOKUP($A451,Calendar!$A$1:$R$1377,18,0)=3,SUM(IFERROR(INDEX(Weekly_Model!$D$2:$D$9,MATCH(F451,Weekly_Model!$A$2:$A$9,0)),0),IFERROR(INDEX(Weekly_Model!$D$2:$D$9,MATCH(F452,Weekly_Model!$A$2:$A$9,0)),0),IFERROR(INDEX(Weekly_Model!$D$2:$D$9,MATCH(F453,Weekly_Model!$A$2:$A$9,0)),0)),IF(VLOOKUP($A451,Calendar!$A$1:$R$1377,18,0)=4,SUM(IFERROR(INDEX(Weekly_Model!$D$2:$D$9,MATCH(F451,Weekly_Model!$A$2:$A$9,0)),0),IFERROR(INDEX(Weekly_Model!$D$2:$D$9,MATCH(F452,Weekly_Model!$A$2:$A$9,0)),0),IFERROR(INDEX(Weekly_Model!$D$2:$D$9,MATCH(F453,Weekly_Model!$A$2:$A$9,0)),0),IFERROR(INDEX(Weekly_Model!$D$2:$D$9,MATCH(F454,Weekly_Model!$A$2:$A$9,0)),0)),IF(VLOOKUP($A451,Calendar!$A$1:$R$1377,18,0)=5,SUM(IFERROR(INDEX(Weekly_Model!$D$2:$D$9,MATCH(F451,Weekly_Model!$A$2:$A$9,0)),0),IFERROR(INDEX(Weekly_Model!$D$2:$D$9,MATCH(F452,Weekly_Model!$A$2:$A$9,0)),0),IFERROR(INDEX(Weekly_Model!$D$2:$D$9,MATCH(F453,Weekly_Model!$A$2:$A$9,0)),0),IFERROR(INDEX(Weekly_Model!$D$2:$D$9,MATCH(F454,Weekly_Model!$A$2:$A$9,0)),0),IFERROR(INDEX(Weekly_Model!$D$2:$D$9,MATCH(F455,Weekly_Model!$A$2:$A$9,0)),0)),0))))))</f>
        <v>0</v>
      </c>
      <c r="L451" s="27">
        <f>IF(VLOOKUP($A451,Calendar!$A$1:$R$1377,18,0)=0,0,IF(VLOOKUP($A451,Calendar!$A$1:$R$1377,18,0)=1,IFERROR(INDEX(Fortnightly_Model!$D$2:$D$15,MATCH(G451,Fortnightly_Model!$B$2:$B$15,0)),0),IF(VLOOKUP($A451,Calendar!$A$1:$R$1377,18,0)=2,SUM(IFERROR(INDEX(Fortnightly_Model!$D$2:$D$15,MATCH(G451,Fortnightly_Model!$B$2:$B$15,0)),0),IFERROR(INDEX(Fortnightly_Model!$D$2:$D$15,MATCH(G452,Fortnightly_Model!$B$2:$B$15,0)),0)),IF(VLOOKUP($A451,Calendar!$A$1:$R$1377,18,0)=3,SUM(IFERROR(INDEX(Fortnightly_Model!$D$2:$D$15,MATCH(G451,Fortnightly_Model!$B$2:$B$15,0)),0),IFERROR(INDEX(Fortnightly_Model!$D$2:$D$15,MATCH(G452,Fortnightly_Model!$B$2:$B$15,0)),0),IFERROR(INDEX(Fortnightly_Model!$D$2:$D$15,MATCH(G453,Fortnightly_Model!$B$2:$B$15,0)),0)),IF(VLOOKUP($A451,Calendar!$A$1:$R$1377,18,0)=4,SUM(IFERROR(INDEX(Fortnightly_Model!$D$2:$D$15,MATCH(G451,Fortnightly_Model!$B$2:$B$15,0)),0),IFERROR(INDEX(Fortnightly_Model!$D$2:$D$15,MATCH(G452,Fortnightly_Model!$B$2:$B$15,0)),0),IFERROR(INDEX(Fortnightly_Model!$D$2:$D$15,MATCH(G453,Fortnightly_Model!$B$2:$B$15,0)),0),IFERROR(INDEX(Fortnightly_Model!$D$2:$D$15,MATCH(G454,Fortnightly_Model!$B$2:$B$15,0)),0)),IF(VLOOKUP($A451,Calendar!$A$1:$R$1377,18,0)=5,SUM(IFERROR(INDEX(Fortnightly_Model!$D$2:$D$15,MATCH(G451,Fortnightly_Model!$B$2:$B$15,0)),0),IFERROR(INDEX(Fortnightly_Model!$D$2:$D$15,MATCH(G452,Fortnightly_Model!$B$2:$B$15,0)),0),IFERROR(INDEX(Fortnightly_Model!$D$2:$D$15,MATCH(G453,Fortnightly_Model!$B$2:$B$15,0)),0),IFERROR(INDEX(Fortnightly_Model!$D$2:$D$15,MATCH(G454,Fortnightly_Model!$B$2:$B$15,0)),0),IFERROR(INDEX(Fortnightly_Model!$D$2:$D$15,MATCH(G455,Fortnightly_Model!$B$2:$B$15,0)),0)),0))))))</f>
        <v>0</v>
      </c>
      <c r="M451" s="27">
        <f>IF(VLOOKUP($A451,Calendar!$A$1:$R$1377,18,0)=0,0,IF(VLOOKUP($A451,Calendar!$A$1:$R$1377,18,0)=1,IFERROR(INDEX(FourWeekly_Model!$D$2:$D$29,MATCH(H451,FourWeekly_Model!$B$2:$B$29,0)),0),IF(VLOOKUP($A451,Calendar!$A$1:$R$1377,18,0)=2,SUM(IFERROR(INDEX(FourWeekly_Model!$D$2:$D$29,MATCH(H451,FourWeekly_Model!$B$2:$B$29,0)),0),IFERROR(INDEX(FourWeekly_Model!$D$2:$D$29,MATCH(H452,FourWeekly_Model!$B$2:$B$29,0)),0)),IF(VLOOKUP($A451,Calendar!$A$1:$R$1377,18,0)=3,SUM(IFERROR(INDEX(FourWeekly_Model!$D$2:$D$29,MATCH(H451,FourWeekly_Model!$B$2:$B$29,0)),0),IFERROR(INDEX(FourWeekly_Model!$D$2:$D$29,MATCH(H452,FourWeekly_Model!$B$2:$B$29,0)),0),IFERROR(INDEX(FourWeekly_Model!$D$2:$D$29,MATCH(H453,FourWeekly_Model!$B$2:$B$29,0)),0)),IF(VLOOKUP($A451,Calendar!$A$1:$R$1377,18,0)=4,SUM(IFERROR(INDEX(FourWeekly_Model!$D$2:$D$29,MATCH(H451,FourWeekly_Model!$B$2:$B$29,0)),0),IFERROR(INDEX(FourWeekly_Model!$D$2:$D$29,MATCH(H452,FourWeekly_Model!$B$2:$B$29,0)),0),IFERROR(INDEX(FourWeekly_Model!$D$2:$D$29,MATCH(H453,FourWeekly_Model!$B$2:$B$29,0)),0),IFERROR(INDEX(FourWeekly_Model!$D$2:$D$29,MATCH(H454,FourWeekly_Model!$B$2:$B$29,0)),0)),IF(VLOOKUP($A451,Calendar!$A$1:$R$1377,18,0)=5,SUM(IFERROR(INDEX(FourWeekly_Model!$D$2:$D$29,MATCH(H451,FourWeekly_Model!$B$2:$B$29,0)),0),IFERROR(INDEX(FourWeekly_Model!$D$2:$D$29,MATCH(H452,FourWeekly_Model!$B$2:$B$29,0)),0),IFERROR(INDEX(FourWeekly_Model!$D$2:$D$29,MATCH(H453,FourWeekly_Model!$B$2:$B$29,0)),0),IFERROR(INDEX(FourWeekly_Model!$D$2:$D$29,MATCH(H454,FourWeekly_Model!$B$2:$B$29,0)),0),IFERROR(INDEX(FourWeekly_Model!$D$2:$D$29,MATCH(H455,FourWeekly_Model!$B$2:$B$29,0)),0)),0))))))</f>
        <v>0</v>
      </c>
      <c r="N451" s="27">
        <f>SUM(I451:M451)</f>
        <v>0</v>
      </c>
      <c r="O451" s="28">
        <f>Population_Data!$B$8*N451</f>
        <v>0</v>
      </c>
      <c r="P451" s="27">
        <f>IF(VLOOKUP($A451,Calendar!$A$1:$R$1377,18,0)=0,0,IF(VLOOKUP($A451,Calendar!$A$1:$R$1377,18,0)=1,IFERROR(INDEX(Pension_Model!$D$2:$D$29,MATCH(H451,Pension_Model!$B$2:$B$29,0)),0),IF(VLOOKUP($A451,Calendar!$A$1:$R$1377,18,0)=2,SUM(IFERROR(INDEX(Pension_Model!$D$2:$D$29,MATCH(H451,Pension_Model!$B$2:$B$29,0)),0),IFERROR(INDEX(Pension_Model!$D$2:$D$29,MATCH(H452,Pension_Model!$B$2:$B$29,0)),0)),IF(VLOOKUP($A451,Calendar!$A$1:$R$1377,18,0)=3,SUM(IFERROR(INDEX(Pension_Model!$D$2:$D$29,MATCH(H451,Pension_Model!$B$2:$B$29,0)),0),IFERROR(INDEX(Pension_Model!$D$2:$D$29,MATCH(H452,Pension_Model!$B$2:$B$29,0)),0),IFERROR(INDEX(Pension_Model!$D$2:$D$29,MATCH(H453,Pension_Model!$B$2:$B$29,0)),0)),IF(VLOOKUP($A451,Calendar!$A$1:$R$1377,18,0)=4,SUM(IFERROR(INDEX(Pension_Model!$D$2:$D$29,MATCH(H451,Pension_Model!$B$2:$B$29,0)),0),IFERROR(INDEX(Pension_Model!$D$2:$D$29,MATCH(H452,Pension_Model!$B$2:$B$29,0)),0),IFERROR(INDEX(Pension_Model!$D$2:$D$29,MATCH(H453,Pension_Model!$B$2:$B$29,0)),0),IFERROR(INDEX(Pension_Model!$D$2:$D$29,MATCH(H454,Pension_Model!$B$2:$B$29,0)),0)),IF(VLOOKUP($A451,Calendar!$A$1:$R$1377,18,0)=5,SUM(IFERROR(INDEX(Pension_Model!$D$2:$D$29,MATCH(H451,Pension_Model!$B$2:$B$29,0)),0),IFERROR(INDEX(Pension_Model!$D$2:$D$29,MATCH(H452,Pension_Model!$B$2:$B$29,0)),0),IFERROR(INDEX(Pension_Model!$D$2:$D$29,MATCH(H453,Pension_Model!$B$2:$B$29,0)),0),IFERROR(INDEX(Pension_Model!$D$2:$D$29,MATCH(H454,Pension_Model!$B$2:$B$29,0)),0),IFERROR(INDEX(Pension_Model!$D$2:$D$29,MATCH(H455,Pension_Model!$B$2:$B$29,0)),0)),0))))))</f>
        <v>0</v>
      </c>
      <c r="Q451" s="28">
        <f>Population_Data!$B$15*P451</f>
        <v>0</v>
      </c>
      <c r="S451">
        <f t="shared" ref="S451:S514" si="7">SUM(Q451,O451)</f>
        <v>0</v>
      </c>
      <c r="U451" s="33">
        <f>S451/Population_Data!$B$19</f>
        <v>0</v>
      </c>
    </row>
    <row r="452" spans="1:21">
      <c r="A452" s="25">
        <f>Calendar!A452</f>
        <v>46685</v>
      </c>
      <c r="B452" t="str">
        <f>Calendar!L452</f>
        <v>Yes</v>
      </c>
      <c r="C452" t="str">
        <f>Calendar!O452</f>
        <v>No</v>
      </c>
      <c r="D452" t="str">
        <f>Calendar!P452</f>
        <v>No</v>
      </c>
      <c r="E452" t="str">
        <f>Calendar!Q452</f>
        <v>No</v>
      </c>
      <c r="F452" t="str">
        <f>Calendar!I452</f>
        <v>Monday</v>
      </c>
      <c r="G452">
        <f>Calendar!S452</f>
        <v>9</v>
      </c>
      <c r="H452">
        <f>Calendar!T452</f>
        <v>9</v>
      </c>
      <c r="I452" s="27">
        <f>IF(VLOOKUP(A452,Calendar!$A$1:$R$1377,18,0)=0,0,IF(VLOOKUP(A452,Calendar!$A$1:$R$1377,18,0)=1,INDEX(Monthly_Pay_Model!$A$9:$D$40,MATCH(TEXT(A452,"dd"),Monthly_Pay_Model!$C$9:$C$39,0),4),IF(VLOOKUP(A452,Calendar!$A$1:$R$1377,18,0)=2,SUM(INDEX(Monthly_Pay_Model!$A$9:$D$40,MATCH(TEXT(A452,"dd"),Monthly_Pay_Model!$C$9:$C$39,0),4),INDEX(Monthly_Pay_Model!$A$9:$D$40,MATCH(TEXT(A453,"dd"),Monthly_Pay_Model!$C$9:$C$39,0),4)),IF(VLOOKUP(A452,Calendar!$A$1:$R$1377,18,0)=3,SUM(INDEX(Monthly_Pay_Model!$A$9:$D$40,MATCH(TEXT(A452,"dd"),Monthly_Pay_Model!$C$9:$C$39,0),4),INDEX(Monthly_Pay_Model!$A$9:$D$40,MATCH(TEXT(A453,"dd"),Monthly_Pay_Model!$C$9:$C$39,0),4),INDEX(Monthly_Pay_Model!$A$9:$D$40,MATCH(TEXT(A454,"dd"),Monthly_Pay_Model!$C$9:$C$39,0),4)),IF(VLOOKUP(A452,Calendar!$A$1:$R$1377,18,0)=4,SUM(INDEX(Monthly_Pay_Model!$A$9:$D$40,MATCH(TEXT(A452,"dd"),Monthly_Pay_Model!$C$9:$C$39,0),4),INDEX(Monthly_Pay_Model!$A$9:$D$40,MATCH(TEXT(A453,"dd"),Monthly_Pay_Model!$C$9:$C$39,0),4),INDEX(Monthly_Pay_Model!$A$9:$D$40,MATCH(TEXT(A454,"dd"),Monthly_Pay_Model!$C$9:$C$39,0),4),INDEX(Monthly_Pay_Model!$A$9:$D$40,MATCH(TEXT(A455,"dd"),Monthly_Pay_Model!$C$9:$C$39,0),4)),IF(VLOOKUP(A452,Calendar!$A$1:$R$1377,18,0)=5,SUM(INDEX(Monthly_Pay_Model!$A$9:$D$40,MATCH(TEXT(A452,"dd"),Monthly_Pay_Model!$C$9:$C$39,0),4),INDEX(Monthly_Pay_Model!$A$9:$D$40,MATCH(TEXT(A453,"dd"),Monthly_Pay_Model!$C$9:$C$39,0),4),INDEX(Monthly_Pay_Model!$A$9:$D$40,MATCH(TEXT(A454,"dd"),Monthly_Pay_Model!$C$9:$C$39,0),4),INDEX(Monthly_Pay_Model!$A$9:$D$40,MATCH(TEXT(A455,"dd"),Monthly_Pay_Model!$C$9:$C$39,0),4),INDEX(Monthly_Pay_Model!$A$9:$D$40,MATCH(TEXT(A456,"dd"),Monthly_Pay_Model!$C$9:$C$39,0),4)),))))))</f>
        <v>2.1939267015706802E-2</v>
      </c>
      <c r="J452" s="33">
        <f>IF(C452="Yes",Monthly_Pay_Model!$D$2,0)
+IF(Calendar!N452="Yes",Monthly_Pay_Model!$D$3,0)
+IF(D452="Yes",Monthly_Pay_Model!$D$4,0)
+IF(E452="Yes",Monthly_Pay_Model!$D$5,0)</f>
        <v>0</v>
      </c>
      <c r="K452" s="27">
        <f>IF(VLOOKUP($A452,Calendar!$A$1:$R$1377,18,0)=0,0,IF(VLOOKUP($A452,Calendar!$A$1:$R$1377,18,0)=1,IFERROR(INDEX(Weekly_Model!$D$2:$D$9,MATCH(F452,Weekly_Model!$A$2:$A$9,0)),0),IF(VLOOKUP($A452,Calendar!$A$1:$R$1377,18,0)=2,SUM(IFERROR(INDEX(Weekly_Model!$D$2:$D$9,MATCH(F452,Weekly_Model!$A$2:$A$9,0)),0),IFERROR(INDEX(Weekly_Model!$D$2:$D$9,MATCH(F453,Weekly_Model!$A$2:$A$9,0)),0)),IF(VLOOKUP($A452,Calendar!$A$1:$R$1377,18,0)=3,SUM(IFERROR(INDEX(Weekly_Model!$D$2:$D$9,MATCH(F452,Weekly_Model!$A$2:$A$9,0)),0),IFERROR(INDEX(Weekly_Model!$D$2:$D$9,MATCH(F453,Weekly_Model!$A$2:$A$9,0)),0),IFERROR(INDEX(Weekly_Model!$D$2:$D$9,MATCH(F454,Weekly_Model!$A$2:$A$9,0)),0)),IF(VLOOKUP($A452,Calendar!$A$1:$R$1377,18,0)=4,SUM(IFERROR(INDEX(Weekly_Model!$D$2:$D$9,MATCH(F452,Weekly_Model!$A$2:$A$9,0)),0),IFERROR(INDEX(Weekly_Model!$D$2:$D$9,MATCH(F453,Weekly_Model!$A$2:$A$9,0)),0),IFERROR(INDEX(Weekly_Model!$D$2:$D$9,MATCH(F454,Weekly_Model!$A$2:$A$9,0)),0),IFERROR(INDEX(Weekly_Model!$D$2:$D$9,MATCH(F455,Weekly_Model!$A$2:$A$9,0)),0)),IF(VLOOKUP($A452,Calendar!$A$1:$R$1377,18,0)=5,SUM(IFERROR(INDEX(Weekly_Model!$D$2:$D$9,MATCH(F452,Weekly_Model!$A$2:$A$9,0)),0),IFERROR(INDEX(Weekly_Model!$D$2:$D$9,MATCH(F453,Weekly_Model!$A$2:$A$9,0)),0),IFERROR(INDEX(Weekly_Model!$D$2:$D$9,MATCH(F454,Weekly_Model!$A$2:$A$9,0)),0),IFERROR(INDEX(Weekly_Model!$D$2:$D$9,MATCH(F455,Weekly_Model!$A$2:$A$9,0)),0),IFERROR(INDEX(Weekly_Model!$D$2:$D$9,MATCH(F456,Weekly_Model!$A$2:$A$9,0)),0)),0))))))</f>
        <v>2.3200000000000002E-2</v>
      </c>
      <c r="L452" s="27">
        <f>IF(VLOOKUP($A452,Calendar!$A$1:$R$1377,18,0)=0,0,IF(VLOOKUP($A452,Calendar!$A$1:$R$1377,18,0)=1,IFERROR(INDEX(Fortnightly_Model!$D$2:$D$15,MATCH(G452,Fortnightly_Model!$B$2:$B$15,0)),0),IF(VLOOKUP($A452,Calendar!$A$1:$R$1377,18,0)=2,SUM(IFERROR(INDEX(Fortnightly_Model!$D$2:$D$15,MATCH(G452,Fortnightly_Model!$B$2:$B$15,0)),0),IFERROR(INDEX(Fortnightly_Model!$D$2:$D$15,MATCH(G453,Fortnightly_Model!$B$2:$B$15,0)),0)),IF(VLOOKUP($A452,Calendar!$A$1:$R$1377,18,0)=3,SUM(IFERROR(INDEX(Fortnightly_Model!$D$2:$D$15,MATCH(G452,Fortnightly_Model!$B$2:$B$15,0)),0),IFERROR(INDEX(Fortnightly_Model!$D$2:$D$15,MATCH(G453,Fortnightly_Model!$B$2:$B$15,0)),0),IFERROR(INDEX(Fortnightly_Model!$D$2:$D$15,MATCH(G454,Fortnightly_Model!$B$2:$B$15,0)),0)),IF(VLOOKUP($A452,Calendar!$A$1:$R$1377,18,0)=4,SUM(IFERROR(INDEX(Fortnightly_Model!$D$2:$D$15,MATCH(G452,Fortnightly_Model!$B$2:$B$15,0)),0),IFERROR(INDEX(Fortnightly_Model!$D$2:$D$15,MATCH(G453,Fortnightly_Model!$B$2:$B$15,0)),0),IFERROR(INDEX(Fortnightly_Model!$D$2:$D$15,MATCH(G454,Fortnightly_Model!$B$2:$B$15,0)),0),IFERROR(INDEX(Fortnightly_Model!$D$2:$D$15,MATCH(G455,Fortnightly_Model!$B$2:$B$15,0)),0)),IF(VLOOKUP($A452,Calendar!$A$1:$R$1377,18,0)=5,SUM(IFERROR(INDEX(Fortnightly_Model!$D$2:$D$15,MATCH(G452,Fortnightly_Model!$B$2:$B$15,0)),0),IFERROR(INDEX(Fortnightly_Model!$D$2:$D$15,MATCH(G453,Fortnightly_Model!$B$2:$B$15,0)),0),IFERROR(INDEX(Fortnightly_Model!$D$2:$D$15,MATCH(G454,Fortnightly_Model!$B$2:$B$15,0)),0),IFERROR(INDEX(Fortnightly_Model!$D$2:$D$15,MATCH(G455,Fortnightly_Model!$B$2:$B$15,0)),0),IFERROR(INDEX(Fortnightly_Model!$D$2:$D$15,MATCH(G456,Fortnightly_Model!$B$2:$B$15,0)),0)),0))))))</f>
        <v>1.0714285499999999E-3</v>
      </c>
      <c r="M452" s="27">
        <f>IF(VLOOKUP($A452,Calendar!$A$1:$R$1377,18,0)=0,0,IF(VLOOKUP($A452,Calendar!$A$1:$R$1377,18,0)=1,IFERROR(INDEX(FourWeekly_Model!$D$2:$D$29,MATCH(H452,FourWeekly_Model!$B$2:$B$29,0)),0),IF(VLOOKUP($A452,Calendar!$A$1:$R$1377,18,0)=2,SUM(IFERROR(INDEX(FourWeekly_Model!$D$2:$D$29,MATCH(H452,FourWeekly_Model!$B$2:$B$29,0)),0),IFERROR(INDEX(FourWeekly_Model!$D$2:$D$29,MATCH(H453,FourWeekly_Model!$B$2:$B$29,0)),0)),IF(VLOOKUP($A452,Calendar!$A$1:$R$1377,18,0)=3,SUM(IFERROR(INDEX(FourWeekly_Model!$D$2:$D$29,MATCH(H452,FourWeekly_Model!$B$2:$B$29,0)),0),IFERROR(INDEX(FourWeekly_Model!$D$2:$D$29,MATCH(H453,FourWeekly_Model!$B$2:$B$29,0)),0),IFERROR(INDEX(FourWeekly_Model!$D$2:$D$29,MATCH(H454,FourWeekly_Model!$B$2:$B$29,0)),0)),IF(VLOOKUP($A452,Calendar!$A$1:$R$1377,18,0)=4,SUM(IFERROR(INDEX(FourWeekly_Model!$D$2:$D$29,MATCH(H452,FourWeekly_Model!$B$2:$B$29,0)),0),IFERROR(INDEX(FourWeekly_Model!$D$2:$D$29,MATCH(H453,FourWeekly_Model!$B$2:$B$29,0)),0),IFERROR(INDEX(FourWeekly_Model!$D$2:$D$29,MATCH(H454,FourWeekly_Model!$B$2:$B$29,0)),0),IFERROR(INDEX(FourWeekly_Model!$D$2:$D$29,MATCH(H455,FourWeekly_Model!$B$2:$B$29,0)),0)),IF(VLOOKUP($A452,Calendar!$A$1:$R$1377,18,0)=5,SUM(IFERROR(INDEX(FourWeekly_Model!$D$2:$D$29,MATCH(H452,FourWeekly_Model!$B$2:$B$29,0)),0),IFERROR(INDEX(FourWeekly_Model!$D$2:$D$29,MATCH(H453,FourWeekly_Model!$B$2:$B$29,0)),0),IFERROR(INDEX(FourWeekly_Model!$D$2:$D$29,MATCH(H454,FourWeekly_Model!$B$2:$B$29,0)),0),IFERROR(INDEX(FourWeekly_Model!$D$2:$D$29,MATCH(H455,FourWeekly_Model!$B$2:$B$29,0)),0),IFERROR(INDEX(FourWeekly_Model!$D$2:$D$29,MATCH(H456,FourWeekly_Model!$B$2:$B$29,0)),0)),0))))))</f>
        <v>3.3214289700000004E-3</v>
      </c>
      <c r="N452" s="27">
        <f>SUM(I452:M452)</f>
        <v>4.9532124535706809E-2</v>
      </c>
      <c r="O452" s="28">
        <f>Population_Data!$B$8*N452</f>
        <v>1500823.3734319163</v>
      </c>
      <c r="P452" s="27">
        <f>IF(VLOOKUP($A452,Calendar!$A$1:$R$1377,18,0)=0,0,IF(VLOOKUP($A452,Calendar!$A$1:$R$1377,18,0)=1,IFERROR(INDEX(Pension_Model!$D$2:$D$29,MATCH(H452,Pension_Model!$B$2:$B$29,0)),0),IF(VLOOKUP($A452,Calendar!$A$1:$R$1377,18,0)=2,SUM(IFERROR(INDEX(Pension_Model!$D$2:$D$29,MATCH(H452,Pension_Model!$B$2:$B$29,0)),0),IFERROR(INDEX(Pension_Model!$D$2:$D$29,MATCH(H453,Pension_Model!$B$2:$B$29,0)),0)),IF(VLOOKUP($A452,Calendar!$A$1:$R$1377,18,0)=3,SUM(IFERROR(INDEX(Pension_Model!$D$2:$D$29,MATCH(H452,Pension_Model!$B$2:$B$29,0)),0),IFERROR(INDEX(Pension_Model!$D$2:$D$29,MATCH(H453,Pension_Model!$B$2:$B$29,0)),0),IFERROR(INDEX(Pension_Model!$D$2:$D$29,MATCH(H454,Pension_Model!$B$2:$B$29,0)),0)),IF(VLOOKUP($A452,Calendar!$A$1:$R$1377,18,0)=4,SUM(IFERROR(INDEX(Pension_Model!$D$2:$D$29,MATCH(H452,Pension_Model!$B$2:$B$29,0)),0),IFERROR(INDEX(Pension_Model!$D$2:$D$29,MATCH(H453,Pension_Model!$B$2:$B$29,0)),0),IFERROR(INDEX(Pension_Model!$D$2:$D$29,MATCH(H454,Pension_Model!$B$2:$B$29,0)),0),IFERROR(INDEX(Pension_Model!$D$2:$D$29,MATCH(H455,Pension_Model!$B$2:$B$29,0)),0)),IF(VLOOKUP($A452,Calendar!$A$1:$R$1377,18,0)=5,SUM(IFERROR(INDEX(Pension_Model!$D$2:$D$29,MATCH(H452,Pension_Model!$B$2:$B$29,0)),0),IFERROR(INDEX(Pension_Model!$D$2:$D$29,MATCH(H453,Pension_Model!$B$2:$B$29,0)),0),IFERROR(INDEX(Pension_Model!$D$2:$D$29,MATCH(H454,Pension_Model!$B$2:$B$29,0)),0),IFERROR(INDEX(Pension_Model!$D$2:$D$29,MATCH(H455,Pension_Model!$B$2:$B$29,0)),0),IFERROR(INDEX(Pension_Model!$D$2:$D$29,MATCH(H456,Pension_Model!$B$2:$B$29,0)),0)),0))))))</f>
        <v>0.05</v>
      </c>
      <c r="Q452" s="28">
        <f>Population_Data!$B$15*P452</f>
        <v>660600</v>
      </c>
      <c r="S452">
        <f t="shared" si="7"/>
        <v>2161423.3734319163</v>
      </c>
      <c r="U452" s="33">
        <f>S452/Population_Data!$B$19</f>
        <v>3.9156220533186889E-2</v>
      </c>
    </row>
    <row r="453" spans="1:21">
      <c r="A453" s="25">
        <f>Calendar!A453</f>
        <v>46686</v>
      </c>
      <c r="B453" t="str">
        <f>Calendar!L453</f>
        <v>Yes</v>
      </c>
      <c r="C453" t="str">
        <f>Calendar!O453</f>
        <v>No</v>
      </c>
      <c r="D453" t="str">
        <f>Calendar!P453</f>
        <v>No</v>
      </c>
      <c r="E453" t="str">
        <f>Calendar!Q453</f>
        <v>No</v>
      </c>
      <c r="F453" t="str">
        <f>Calendar!I453</f>
        <v>Tuesday</v>
      </c>
      <c r="G453">
        <f>Calendar!S453</f>
        <v>10</v>
      </c>
      <c r="H453">
        <f>Calendar!T453</f>
        <v>10</v>
      </c>
      <c r="I453" s="27">
        <f>IF(VLOOKUP(A453,Calendar!$A$1:$R$1377,18,0)=0,0,IF(VLOOKUP(A453,Calendar!$A$1:$R$1377,18,0)=1,INDEX(Monthly_Pay_Model!$A$9:$D$40,MATCH(TEXT(A453,"dd"),Monthly_Pay_Model!$C$9:$C$39,0),4),IF(VLOOKUP(A453,Calendar!$A$1:$R$1377,18,0)=2,SUM(INDEX(Monthly_Pay_Model!$A$9:$D$40,MATCH(TEXT(A453,"dd"),Monthly_Pay_Model!$C$9:$C$39,0),4),INDEX(Monthly_Pay_Model!$A$9:$D$40,MATCH(TEXT(A454,"dd"),Monthly_Pay_Model!$C$9:$C$39,0),4)),IF(VLOOKUP(A453,Calendar!$A$1:$R$1377,18,0)=3,SUM(INDEX(Monthly_Pay_Model!$A$9:$D$40,MATCH(TEXT(A453,"dd"),Monthly_Pay_Model!$C$9:$C$39,0),4),INDEX(Monthly_Pay_Model!$A$9:$D$40,MATCH(TEXT(A454,"dd"),Monthly_Pay_Model!$C$9:$C$39,0),4),INDEX(Monthly_Pay_Model!$A$9:$D$40,MATCH(TEXT(A455,"dd"),Monthly_Pay_Model!$C$9:$C$39,0),4)),IF(VLOOKUP(A453,Calendar!$A$1:$R$1377,18,0)=4,SUM(INDEX(Monthly_Pay_Model!$A$9:$D$40,MATCH(TEXT(A453,"dd"),Monthly_Pay_Model!$C$9:$C$39,0),4),INDEX(Monthly_Pay_Model!$A$9:$D$40,MATCH(TEXT(A454,"dd"),Monthly_Pay_Model!$C$9:$C$39,0),4),INDEX(Monthly_Pay_Model!$A$9:$D$40,MATCH(TEXT(A455,"dd"),Monthly_Pay_Model!$C$9:$C$39,0),4),INDEX(Monthly_Pay_Model!$A$9:$D$40,MATCH(TEXT(A456,"dd"),Monthly_Pay_Model!$C$9:$C$39,0),4)),IF(VLOOKUP(A453,Calendar!$A$1:$R$1377,18,0)=5,SUM(INDEX(Monthly_Pay_Model!$A$9:$D$40,MATCH(TEXT(A453,"dd"),Monthly_Pay_Model!$C$9:$C$39,0),4),INDEX(Monthly_Pay_Model!$A$9:$D$40,MATCH(TEXT(A454,"dd"),Monthly_Pay_Model!$C$9:$C$39,0),4),INDEX(Monthly_Pay_Model!$A$9:$D$40,MATCH(TEXT(A455,"dd"),Monthly_Pay_Model!$C$9:$C$39,0),4),INDEX(Monthly_Pay_Model!$A$9:$D$40,MATCH(TEXT(A456,"dd"),Monthly_Pay_Model!$C$9:$C$39,0),4),INDEX(Monthly_Pay_Model!$A$9:$D$40,MATCH(TEXT(A457,"dd"),Monthly_Pay_Model!$C$9:$C$39,0),4)),))))))</f>
        <v>9.7507853403141324E-3</v>
      </c>
      <c r="J453" s="33">
        <f>IF(C453="Yes",Monthly_Pay_Model!$D$2,0)
+IF(Calendar!N453="Yes",Monthly_Pay_Model!$D$3,0)
+IF(D453="Yes",Monthly_Pay_Model!$D$4,0)
+IF(E453="Yes",Monthly_Pay_Model!$D$5,0)</f>
        <v>0</v>
      </c>
      <c r="K453" s="27">
        <f>IF(VLOOKUP($A453,Calendar!$A$1:$R$1377,18,0)=0,0,IF(VLOOKUP($A453,Calendar!$A$1:$R$1377,18,0)=1,IFERROR(INDEX(Weekly_Model!$D$2:$D$9,MATCH(F453,Weekly_Model!$A$2:$A$9,0)),0),IF(VLOOKUP($A453,Calendar!$A$1:$R$1377,18,0)=2,SUM(IFERROR(INDEX(Weekly_Model!$D$2:$D$9,MATCH(F453,Weekly_Model!$A$2:$A$9,0)),0),IFERROR(INDEX(Weekly_Model!$D$2:$D$9,MATCH(F454,Weekly_Model!$A$2:$A$9,0)),0)),IF(VLOOKUP($A453,Calendar!$A$1:$R$1377,18,0)=3,SUM(IFERROR(INDEX(Weekly_Model!$D$2:$D$9,MATCH(F453,Weekly_Model!$A$2:$A$9,0)),0),IFERROR(INDEX(Weekly_Model!$D$2:$D$9,MATCH(F454,Weekly_Model!$A$2:$A$9,0)),0),IFERROR(INDEX(Weekly_Model!$D$2:$D$9,MATCH(F455,Weekly_Model!$A$2:$A$9,0)),0)),IF(VLOOKUP($A453,Calendar!$A$1:$R$1377,18,0)=4,SUM(IFERROR(INDEX(Weekly_Model!$D$2:$D$9,MATCH(F453,Weekly_Model!$A$2:$A$9,0)),0),IFERROR(INDEX(Weekly_Model!$D$2:$D$9,MATCH(F454,Weekly_Model!$A$2:$A$9,0)),0),IFERROR(INDEX(Weekly_Model!$D$2:$D$9,MATCH(F455,Weekly_Model!$A$2:$A$9,0)),0),IFERROR(INDEX(Weekly_Model!$D$2:$D$9,MATCH(F456,Weekly_Model!$A$2:$A$9,0)),0)),IF(VLOOKUP($A453,Calendar!$A$1:$R$1377,18,0)=5,SUM(IFERROR(INDEX(Weekly_Model!$D$2:$D$9,MATCH(F453,Weekly_Model!$A$2:$A$9,0)),0),IFERROR(INDEX(Weekly_Model!$D$2:$D$9,MATCH(F454,Weekly_Model!$A$2:$A$9,0)),0),IFERROR(INDEX(Weekly_Model!$D$2:$D$9,MATCH(F455,Weekly_Model!$A$2:$A$9,0)),0),IFERROR(INDEX(Weekly_Model!$D$2:$D$9,MATCH(F456,Weekly_Model!$A$2:$A$9,0)),0),IFERROR(INDEX(Weekly_Model!$D$2:$D$9,MATCH(F457,Weekly_Model!$A$2:$A$9,0)),0)),0))))))</f>
        <v>2.3200000000000002E-2</v>
      </c>
      <c r="L453" s="27">
        <f>IF(VLOOKUP($A453,Calendar!$A$1:$R$1377,18,0)=0,0,IF(VLOOKUP($A453,Calendar!$A$1:$R$1377,18,0)=1,IFERROR(INDEX(Fortnightly_Model!$D$2:$D$15,MATCH(G453,Fortnightly_Model!$B$2:$B$15,0)),0),IF(VLOOKUP($A453,Calendar!$A$1:$R$1377,18,0)=2,SUM(IFERROR(INDEX(Fortnightly_Model!$D$2:$D$15,MATCH(G453,Fortnightly_Model!$B$2:$B$15,0)),0),IFERROR(INDEX(Fortnightly_Model!$D$2:$D$15,MATCH(G454,Fortnightly_Model!$B$2:$B$15,0)),0)),IF(VLOOKUP($A453,Calendar!$A$1:$R$1377,18,0)=3,SUM(IFERROR(INDEX(Fortnightly_Model!$D$2:$D$15,MATCH(G453,Fortnightly_Model!$B$2:$B$15,0)),0),IFERROR(INDEX(Fortnightly_Model!$D$2:$D$15,MATCH(G454,Fortnightly_Model!$B$2:$B$15,0)),0),IFERROR(INDEX(Fortnightly_Model!$D$2:$D$15,MATCH(G455,Fortnightly_Model!$B$2:$B$15,0)),0)),IF(VLOOKUP($A453,Calendar!$A$1:$R$1377,18,0)=4,SUM(IFERROR(INDEX(Fortnightly_Model!$D$2:$D$15,MATCH(G453,Fortnightly_Model!$B$2:$B$15,0)),0),IFERROR(INDEX(Fortnightly_Model!$D$2:$D$15,MATCH(G454,Fortnightly_Model!$B$2:$B$15,0)),0),IFERROR(INDEX(Fortnightly_Model!$D$2:$D$15,MATCH(G455,Fortnightly_Model!$B$2:$B$15,0)),0),IFERROR(INDEX(Fortnightly_Model!$D$2:$D$15,MATCH(G456,Fortnightly_Model!$B$2:$B$15,0)),0)),IF(VLOOKUP($A453,Calendar!$A$1:$R$1377,18,0)=5,SUM(IFERROR(INDEX(Fortnightly_Model!$D$2:$D$15,MATCH(G453,Fortnightly_Model!$B$2:$B$15,0)),0),IFERROR(INDEX(Fortnightly_Model!$D$2:$D$15,MATCH(G454,Fortnightly_Model!$B$2:$B$15,0)),0),IFERROR(INDEX(Fortnightly_Model!$D$2:$D$15,MATCH(G455,Fortnightly_Model!$B$2:$B$15,0)),0),IFERROR(INDEX(Fortnightly_Model!$D$2:$D$15,MATCH(G456,Fortnightly_Model!$B$2:$B$15,0)),0),IFERROR(INDEX(Fortnightly_Model!$D$2:$D$15,MATCH(G457,Fortnightly_Model!$B$2:$B$15,0)),0)),0))))))</f>
        <v>1.0714285499999999E-3</v>
      </c>
      <c r="M453" s="27">
        <f>IF(VLOOKUP($A453,Calendar!$A$1:$R$1377,18,0)=0,0,IF(VLOOKUP($A453,Calendar!$A$1:$R$1377,18,0)=1,IFERROR(INDEX(FourWeekly_Model!$D$2:$D$29,MATCH(H453,FourWeekly_Model!$B$2:$B$29,0)),0),IF(VLOOKUP($A453,Calendar!$A$1:$R$1377,18,0)=2,SUM(IFERROR(INDEX(FourWeekly_Model!$D$2:$D$29,MATCH(H453,FourWeekly_Model!$B$2:$B$29,0)),0),IFERROR(INDEX(FourWeekly_Model!$D$2:$D$29,MATCH(H454,FourWeekly_Model!$B$2:$B$29,0)),0)),IF(VLOOKUP($A453,Calendar!$A$1:$R$1377,18,0)=3,SUM(IFERROR(INDEX(FourWeekly_Model!$D$2:$D$29,MATCH(H453,FourWeekly_Model!$B$2:$B$29,0)),0),IFERROR(INDEX(FourWeekly_Model!$D$2:$D$29,MATCH(H454,FourWeekly_Model!$B$2:$B$29,0)),0),IFERROR(INDEX(FourWeekly_Model!$D$2:$D$29,MATCH(H455,FourWeekly_Model!$B$2:$B$29,0)),0)),IF(VLOOKUP($A453,Calendar!$A$1:$R$1377,18,0)=4,SUM(IFERROR(INDEX(FourWeekly_Model!$D$2:$D$29,MATCH(H453,FourWeekly_Model!$B$2:$B$29,0)),0),IFERROR(INDEX(FourWeekly_Model!$D$2:$D$29,MATCH(H454,FourWeekly_Model!$B$2:$B$29,0)),0),IFERROR(INDEX(FourWeekly_Model!$D$2:$D$29,MATCH(H455,FourWeekly_Model!$B$2:$B$29,0)),0),IFERROR(INDEX(FourWeekly_Model!$D$2:$D$29,MATCH(H456,FourWeekly_Model!$B$2:$B$29,0)),0)),IF(VLOOKUP($A453,Calendar!$A$1:$R$1377,18,0)=5,SUM(IFERROR(INDEX(FourWeekly_Model!$D$2:$D$29,MATCH(H453,FourWeekly_Model!$B$2:$B$29,0)),0),IFERROR(INDEX(FourWeekly_Model!$D$2:$D$29,MATCH(H454,FourWeekly_Model!$B$2:$B$29,0)),0),IFERROR(INDEX(FourWeekly_Model!$D$2:$D$29,MATCH(H455,FourWeekly_Model!$B$2:$B$29,0)),0),IFERROR(INDEX(FourWeekly_Model!$D$2:$D$29,MATCH(H456,FourWeekly_Model!$B$2:$B$29,0)),0),IFERROR(INDEX(FourWeekly_Model!$D$2:$D$29,MATCH(H457,FourWeekly_Model!$B$2:$B$29,0)),0)),0))))))</f>
        <v>3.3214289700000004E-3</v>
      </c>
      <c r="N453" s="27">
        <f>SUM(I453:M453)</f>
        <v>3.7343642860314136E-2</v>
      </c>
      <c r="O453" s="28">
        <f>Population_Data!$B$8*N453</f>
        <v>1131512.3786675183</v>
      </c>
      <c r="P453" s="27">
        <f>IF(VLOOKUP($A453,Calendar!$A$1:$R$1377,18,0)=0,0,IF(VLOOKUP($A453,Calendar!$A$1:$R$1377,18,0)=1,IFERROR(INDEX(Pension_Model!$D$2:$D$29,MATCH(H453,Pension_Model!$B$2:$B$29,0)),0),IF(VLOOKUP($A453,Calendar!$A$1:$R$1377,18,0)=2,SUM(IFERROR(INDEX(Pension_Model!$D$2:$D$29,MATCH(H453,Pension_Model!$B$2:$B$29,0)),0),IFERROR(INDEX(Pension_Model!$D$2:$D$29,MATCH(H454,Pension_Model!$B$2:$B$29,0)),0)),IF(VLOOKUP($A453,Calendar!$A$1:$R$1377,18,0)=3,SUM(IFERROR(INDEX(Pension_Model!$D$2:$D$29,MATCH(H453,Pension_Model!$B$2:$B$29,0)),0),IFERROR(INDEX(Pension_Model!$D$2:$D$29,MATCH(H454,Pension_Model!$B$2:$B$29,0)),0),IFERROR(INDEX(Pension_Model!$D$2:$D$29,MATCH(H455,Pension_Model!$B$2:$B$29,0)),0)),IF(VLOOKUP($A453,Calendar!$A$1:$R$1377,18,0)=4,SUM(IFERROR(INDEX(Pension_Model!$D$2:$D$29,MATCH(H453,Pension_Model!$B$2:$B$29,0)),0),IFERROR(INDEX(Pension_Model!$D$2:$D$29,MATCH(H454,Pension_Model!$B$2:$B$29,0)),0),IFERROR(INDEX(Pension_Model!$D$2:$D$29,MATCH(H455,Pension_Model!$B$2:$B$29,0)),0),IFERROR(INDEX(Pension_Model!$D$2:$D$29,MATCH(H456,Pension_Model!$B$2:$B$29,0)),0)),IF(VLOOKUP($A453,Calendar!$A$1:$R$1377,18,0)=5,SUM(IFERROR(INDEX(Pension_Model!$D$2:$D$29,MATCH(H453,Pension_Model!$B$2:$B$29,0)),0),IFERROR(INDEX(Pension_Model!$D$2:$D$29,MATCH(H454,Pension_Model!$B$2:$B$29,0)),0),IFERROR(INDEX(Pension_Model!$D$2:$D$29,MATCH(H455,Pension_Model!$B$2:$B$29,0)),0),IFERROR(INDEX(Pension_Model!$D$2:$D$29,MATCH(H456,Pension_Model!$B$2:$B$29,0)),0),IFERROR(INDEX(Pension_Model!$D$2:$D$29,MATCH(H457,Pension_Model!$B$2:$B$29,0)),0)),0))))))</f>
        <v>0.05</v>
      </c>
      <c r="Q453" s="28">
        <f>Population_Data!$B$15*P453</f>
        <v>660600</v>
      </c>
      <c r="S453">
        <f t="shared" si="7"/>
        <v>1792112.3786675183</v>
      </c>
      <c r="U453" s="33">
        <f>S453/Population_Data!$B$19</f>
        <v>3.2465803961368084E-2</v>
      </c>
    </row>
    <row r="454" spans="1:21">
      <c r="A454" s="25">
        <f>Calendar!A454</f>
        <v>46687</v>
      </c>
      <c r="B454" t="str">
        <f>Calendar!L454</f>
        <v>Yes</v>
      </c>
      <c r="C454" t="str">
        <f>Calendar!O454</f>
        <v>No</v>
      </c>
      <c r="D454" t="str">
        <f>Calendar!P454</f>
        <v>No</v>
      </c>
      <c r="E454" t="str">
        <f>Calendar!Q454</f>
        <v>No</v>
      </c>
      <c r="F454" t="str">
        <f>Calendar!I454</f>
        <v>Wednesday</v>
      </c>
      <c r="G454">
        <f>Calendar!S454</f>
        <v>11</v>
      </c>
      <c r="H454">
        <f>Calendar!T454</f>
        <v>11</v>
      </c>
      <c r="I454" s="27">
        <f>IF(VLOOKUP(A454,Calendar!$A$1:$R$1377,18,0)=0,0,IF(VLOOKUP(A454,Calendar!$A$1:$R$1377,18,0)=1,INDEX(Monthly_Pay_Model!$A$9:$D$40,MATCH(TEXT(A454,"dd"),Monthly_Pay_Model!$C$9:$C$39,0),4),IF(VLOOKUP(A454,Calendar!$A$1:$R$1377,18,0)=2,SUM(INDEX(Monthly_Pay_Model!$A$9:$D$40,MATCH(TEXT(A454,"dd"),Monthly_Pay_Model!$C$9:$C$39,0),4),INDEX(Monthly_Pay_Model!$A$9:$D$40,MATCH(TEXT(A455,"dd"),Monthly_Pay_Model!$C$9:$C$39,0),4)),IF(VLOOKUP(A454,Calendar!$A$1:$R$1377,18,0)=3,SUM(INDEX(Monthly_Pay_Model!$A$9:$D$40,MATCH(TEXT(A454,"dd"),Monthly_Pay_Model!$C$9:$C$39,0),4),INDEX(Monthly_Pay_Model!$A$9:$D$40,MATCH(TEXT(A455,"dd"),Monthly_Pay_Model!$C$9:$C$39,0),4),INDEX(Monthly_Pay_Model!$A$9:$D$40,MATCH(TEXT(A456,"dd"),Monthly_Pay_Model!$C$9:$C$39,0),4)),IF(VLOOKUP(A454,Calendar!$A$1:$R$1377,18,0)=4,SUM(INDEX(Monthly_Pay_Model!$A$9:$D$40,MATCH(TEXT(A454,"dd"),Monthly_Pay_Model!$C$9:$C$39,0),4),INDEX(Monthly_Pay_Model!$A$9:$D$40,MATCH(TEXT(A455,"dd"),Monthly_Pay_Model!$C$9:$C$39,0),4),INDEX(Monthly_Pay_Model!$A$9:$D$40,MATCH(TEXT(A456,"dd"),Monthly_Pay_Model!$C$9:$C$39,0),4),INDEX(Monthly_Pay_Model!$A$9:$D$40,MATCH(TEXT(A457,"dd"),Monthly_Pay_Model!$C$9:$C$39,0),4)),IF(VLOOKUP(A454,Calendar!$A$1:$R$1377,18,0)=5,SUM(INDEX(Monthly_Pay_Model!$A$9:$D$40,MATCH(TEXT(A454,"dd"),Monthly_Pay_Model!$C$9:$C$39,0),4),INDEX(Monthly_Pay_Model!$A$9:$D$40,MATCH(TEXT(A455,"dd"),Monthly_Pay_Model!$C$9:$C$39,0),4),INDEX(Monthly_Pay_Model!$A$9:$D$40,MATCH(TEXT(A456,"dd"),Monthly_Pay_Model!$C$9:$C$39,0),4),INDEX(Monthly_Pay_Model!$A$9:$D$40,MATCH(TEXT(A457,"dd"),Monthly_Pay_Model!$C$9:$C$39,0),4),INDEX(Monthly_Pay_Model!$A$9:$D$40,MATCH(TEXT(A458,"dd"),Monthly_Pay_Model!$C$9:$C$39,0),4)),))))))</f>
        <v>9.7507853403141324E-3</v>
      </c>
      <c r="J454" s="33">
        <f>IF(C454="Yes",Monthly_Pay_Model!$D$2,0)
+IF(Calendar!N454="Yes",Monthly_Pay_Model!$D$3,0)
+IF(D454="Yes",Monthly_Pay_Model!$D$4,0)
+IF(E454="Yes",Monthly_Pay_Model!$D$5,0)</f>
        <v>0</v>
      </c>
      <c r="K454" s="27">
        <f>IF(VLOOKUP($A454,Calendar!$A$1:$R$1377,18,0)=0,0,IF(VLOOKUP($A454,Calendar!$A$1:$R$1377,18,0)=1,IFERROR(INDEX(Weekly_Model!$D$2:$D$9,MATCH(F454,Weekly_Model!$A$2:$A$9,0)),0),IF(VLOOKUP($A454,Calendar!$A$1:$R$1377,18,0)=2,SUM(IFERROR(INDEX(Weekly_Model!$D$2:$D$9,MATCH(F454,Weekly_Model!$A$2:$A$9,0)),0),IFERROR(INDEX(Weekly_Model!$D$2:$D$9,MATCH(F455,Weekly_Model!$A$2:$A$9,0)),0)),IF(VLOOKUP($A454,Calendar!$A$1:$R$1377,18,0)=3,SUM(IFERROR(INDEX(Weekly_Model!$D$2:$D$9,MATCH(F454,Weekly_Model!$A$2:$A$9,0)),0),IFERROR(INDEX(Weekly_Model!$D$2:$D$9,MATCH(F455,Weekly_Model!$A$2:$A$9,0)),0),IFERROR(INDEX(Weekly_Model!$D$2:$D$9,MATCH(F456,Weekly_Model!$A$2:$A$9,0)),0)),IF(VLOOKUP($A454,Calendar!$A$1:$R$1377,18,0)=4,SUM(IFERROR(INDEX(Weekly_Model!$D$2:$D$9,MATCH(F454,Weekly_Model!$A$2:$A$9,0)),0),IFERROR(INDEX(Weekly_Model!$D$2:$D$9,MATCH(F455,Weekly_Model!$A$2:$A$9,0)),0),IFERROR(INDEX(Weekly_Model!$D$2:$D$9,MATCH(F456,Weekly_Model!$A$2:$A$9,0)),0),IFERROR(INDEX(Weekly_Model!$D$2:$D$9,MATCH(F457,Weekly_Model!$A$2:$A$9,0)),0)),IF(VLOOKUP($A454,Calendar!$A$1:$R$1377,18,0)=5,SUM(IFERROR(INDEX(Weekly_Model!$D$2:$D$9,MATCH(F454,Weekly_Model!$A$2:$A$9,0)),0),IFERROR(INDEX(Weekly_Model!$D$2:$D$9,MATCH(F455,Weekly_Model!$A$2:$A$9,0)),0),IFERROR(INDEX(Weekly_Model!$D$2:$D$9,MATCH(F456,Weekly_Model!$A$2:$A$9,0)),0),IFERROR(INDEX(Weekly_Model!$D$2:$D$9,MATCH(F457,Weekly_Model!$A$2:$A$9,0)),0),IFERROR(INDEX(Weekly_Model!$D$2:$D$9,MATCH(F458,Weekly_Model!$A$2:$A$9,0)),0)),0))))))</f>
        <v>2.3200000000000002E-2</v>
      </c>
      <c r="L454" s="27">
        <f>IF(VLOOKUP($A454,Calendar!$A$1:$R$1377,18,0)=0,0,IF(VLOOKUP($A454,Calendar!$A$1:$R$1377,18,0)=1,IFERROR(INDEX(Fortnightly_Model!$D$2:$D$15,MATCH(G454,Fortnightly_Model!$B$2:$B$15,0)),0),IF(VLOOKUP($A454,Calendar!$A$1:$R$1377,18,0)=2,SUM(IFERROR(INDEX(Fortnightly_Model!$D$2:$D$15,MATCH(G454,Fortnightly_Model!$B$2:$B$15,0)),0),IFERROR(INDEX(Fortnightly_Model!$D$2:$D$15,MATCH(G455,Fortnightly_Model!$B$2:$B$15,0)),0)),IF(VLOOKUP($A454,Calendar!$A$1:$R$1377,18,0)=3,SUM(IFERROR(INDEX(Fortnightly_Model!$D$2:$D$15,MATCH(G454,Fortnightly_Model!$B$2:$B$15,0)),0),IFERROR(INDEX(Fortnightly_Model!$D$2:$D$15,MATCH(G455,Fortnightly_Model!$B$2:$B$15,0)),0),IFERROR(INDEX(Fortnightly_Model!$D$2:$D$15,MATCH(G456,Fortnightly_Model!$B$2:$B$15,0)),0)),IF(VLOOKUP($A454,Calendar!$A$1:$R$1377,18,0)=4,SUM(IFERROR(INDEX(Fortnightly_Model!$D$2:$D$15,MATCH(G454,Fortnightly_Model!$B$2:$B$15,0)),0),IFERROR(INDEX(Fortnightly_Model!$D$2:$D$15,MATCH(G455,Fortnightly_Model!$B$2:$B$15,0)),0),IFERROR(INDEX(Fortnightly_Model!$D$2:$D$15,MATCH(G456,Fortnightly_Model!$B$2:$B$15,0)),0),IFERROR(INDEX(Fortnightly_Model!$D$2:$D$15,MATCH(G457,Fortnightly_Model!$B$2:$B$15,0)),0)),IF(VLOOKUP($A454,Calendar!$A$1:$R$1377,18,0)=5,SUM(IFERROR(INDEX(Fortnightly_Model!$D$2:$D$15,MATCH(G454,Fortnightly_Model!$B$2:$B$15,0)),0),IFERROR(INDEX(Fortnightly_Model!$D$2:$D$15,MATCH(G455,Fortnightly_Model!$B$2:$B$15,0)),0),IFERROR(INDEX(Fortnightly_Model!$D$2:$D$15,MATCH(G456,Fortnightly_Model!$B$2:$B$15,0)),0),IFERROR(INDEX(Fortnightly_Model!$D$2:$D$15,MATCH(G457,Fortnightly_Model!$B$2:$B$15,0)),0),IFERROR(INDEX(Fortnightly_Model!$D$2:$D$15,MATCH(G458,Fortnightly_Model!$B$2:$B$15,0)),0)),0))))))</f>
        <v>1.0714285499999999E-3</v>
      </c>
      <c r="M454" s="27">
        <f>IF(VLOOKUP($A454,Calendar!$A$1:$R$1377,18,0)=0,0,IF(VLOOKUP($A454,Calendar!$A$1:$R$1377,18,0)=1,IFERROR(INDEX(FourWeekly_Model!$D$2:$D$29,MATCH(H454,FourWeekly_Model!$B$2:$B$29,0)),0),IF(VLOOKUP($A454,Calendar!$A$1:$R$1377,18,0)=2,SUM(IFERROR(INDEX(FourWeekly_Model!$D$2:$D$29,MATCH(H454,FourWeekly_Model!$B$2:$B$29,0)),0),IFERROR(INDEX(FourWeekly_Model!$D$2:$D$29,MATCH(H455,FourWeekly_Model!$B$2:$B$29,0)),0)),IF(VLOOKUP($A454,Calendar!$A$1:$R$1377,18,0)=3,SUM(IFERROR(INDEX(FourWeekly_Model!$D$2:$D$29,MATCH(H454,FourWeekly_Model!$B$2:$B$29,0)),0),IFERROR(INDEX(FourWeekly_Model!$D$2:$D$29,MATCH(H455,FourWeekly_Model!$B$2:$B$29,0)),0),IFERROR(INDEX(FourWeekly_Model!$D$2:$D$29,MATCH(H456,FourWeekly_Model!$B$2:$B$29,0)),0)),IF(VLOOKUP($A454,Calendar!$A$1:$R$1377,18,0)=4,SUM(IFERROR(INDEX(FourWeekly_Model!$D$2:$D$29,MATCH(H454,FourWeekly_Model!$B$2:$B$29,0)),0),IFERROR(INDEX(FourWeekly_Model!$D$2:$D$29,MATCH(H455,FourWeekly_Model!$B$2:$B$29,0)),0),IFERROR(INDEX(FourWeekly_Model!$D$2:$D$29,MATCH(H456,FourWeekly_Model!$B$2:$B$29,0)),0),IFERROR(INDEX(FourWeekly_Model!$D$2:$D$29,MATCH(H457,FourWeekly_Model!$B$2:$B$29,0)),0)),IF(VLOOKUP($A454,Calendar!$A$1:$R$1377,18,0)=5,SUM(IFERROR(INDEX(FourWeekly_Model!$D$2:$D$29,MATCH(H454,FourWeekly_Model!$B$2:$B$29,0)),0),IFERROR(INDEX(FourWeekly_Model!$D$2:$D$29,MATCH(H455,FourWeekly_Model!$B$2:$B$29,0)),0),IFERROR(INDEX(FourWeekly_Model!$D$2:$D$29,MATCH(H456,FourWeekly_Model!$B$2:$B$29,0)),0),IFERROR(INDEX(FourWeekly_Model!$D$2:$D$29,MATCH(H457,FourWeekly_Model!$B$2:$B$29,0)),0),IFERROR(INDEX(FourWeekly_Model!$D$2:$D$29,MATCH(H458,FourWeekly_Model!$B$2:$B$29,0)),0)),0))))))</f>
        <v>3.3214289700000004E-3</v>
      </c>
      <c r="N454" s="27">
        <f>SUM(I454:M454)</f>
        <v>3.7343642860314136E-2</v>
      </c>
      <c r="O454" s="28">
        <f>Population_Data!$B$8*N454</f>
        <v>1131512.3786675183</v>
      </c>
      <c r="P454" s="27">
        <f>IF(VLOOKUP($A454,Calendar!$A$1:$R$1377,18,0)=0,0,IF(VLOOKUP($A454,Calendar!$A$1:$R$1377,18,0)=1,IFERROR(INDEX(Pension_Model!$D$2:$D$29,MATCH(H454,Pension_Model!$B$2:$B$29,0)),0),IF(VLOOKUP($A454,Calendar!$A$1:$R$1377,18,0)=2,SUM(IFERROR(INDEX(Pension_Model!$D$2:$D$29,MATCH(H454,Pension_Model!$B$2:$B$29,0)),0),IFERROR(INDEX(Pension_Model!$D$2:$D$29,MATCH(H455,Pension_Model!$B$2:$B$29,0)),0)),IF(VLOOKUP($A454,Calendar!$A$1:$R$1377,18,0)=3,SUM(IFERROR(INDEX(Pension_Model!$D$2:$D$29,MATCH(H454,Pension_Model!$B$2:$B$29,0)),0),IFERROR(INDEX(Pension_Model!$D$2:$D$29,MATCH(H455,Pension_Model!$B$2:$B$29,0)),0),IFERROR(INDEX(Pension_Model!$D$2:$D$29,MATCH(H456,Pension_Model!$B$2:$B$29,0)),0)),IF(VLOOKUP($A454,Calendar!$A$1:$R$1377,18,0)=4,SUM(IFERROR(INDEX(Pension_Model!$D$2:$D$29,MATCH(H454,Pension_Model!$B$2:$B$29,0)),0),IFERROR(INDEX(Pension_Model!$D$2:$D$29,MATCH(H455,Pension_Model!$B$2:$B$29,0)),0),IFERROR(INDEX(Pension_Model!$D$2:$D$29,MATCH(H456,Pension_Model!$B$2:$B$29,0)),0),IFERROR(INDEX(Pension_Model!$D$2:$D$29,MATCH(H457,Pension_Model!$B$2:$B$29,0)),0)),IF(VLOOKUP($A454,Calendar!$A$1:$R$1377,18,0)=5,SUM(IFERROR(INDEX(Pension_Model!$D$2:$D$29,MATCH(H454,Pension_Model!$B$2:$B$29,0)),0),IFERROR(INDEX(Pension_Model!$D$2:$D$29,MATCH(H455,Pension_Model!$B$2:$B$29,0)),0),IFERROR(INDEX(Pension_Model!$D$2:$D$29,MATCH(H456,Pension_Model!$B$2:$B$29,0)),0),IFERROR(INDEX(Pension_Model!$D$2:$D$29,MATCH(H457,Pension_Model!$B$2:$B$29,0)),0),IFERROR(INDEX(Pension_Model!$D$2:$D$29,MATCH(H458,Pension_Model!$B$2:$B$29,0)),0)),0))))))</f>
        <v>0.05</v>
      </c>
      <c r="Q454" s="28">
        <f>Population_Data!$B$15*P454</f>
        <v>660600</v>
      </c>
      <c r="S454">
        <f t="shared" si="7"/>
        <v>1792112.3786675183</v>
      </c>
      <c r="U454" s="33">
        <f>S454/Population_Data!$B$19</f>
        <v>3.2465803961368084E-2</v>
      </c>
    </row>
    <row r="455" spans="1:21">
      <c r="A455" s="25">
        <f>Calendar!A455</f>
        <v>46688</v>
      </c>
      <c r="B455" t="str">
        <f>Calendar!L455</f>
        <v>Yes</v>
      </c>
      <c r="C455" t="str">
        <f>Calendar!O455</f>
        <v>No</v>
      </c>
      <c r="D455" t="str">
        <f>Calendar!P455</f>
        <v>No</v>
      </c>
      <c r="E455" t="str">
        <f>Calendar!Q455</f>
        <v>Yes</v>
      </c>
      <c r="F455" t="str">
        <f>Calendar!I455</f>
        <v>Thursday</v>
      </c>
      <c r="G455">
        <f>Calendar!S455</f>
        <v>12</v>
      </c>
      <c r="H455">
        <f>Calendar!T455</f>
        <v>12</v>
      </c>
      <c r="I455" s="27">
        <f>IF(VLOOKUP(A455,Calendar!$A$1:$R$1377,18,0)=0,0,IF(VLOOKUP(A455,Calendar!$A$1:$R$1377,18,0)=1,INDEX(Monthly_Pay_Model!$A$9:$D$40,MATCH(TEXT(A455,"dd"),Monthly_Pay_Model!$C$9:$C$39,0),4),IF(VLOOKUP(A455,Calendar!$A$1:$R$1377,18,0)=2,SUM(INDEX(Monthly_Pay_Model!$A$9:$D$40,MATCH(TEXT(A455,"dd"),Monthly_Pay_Model!$C$9:$C$39,0),4),INDEX(Monthly_Pay_Model!$A$9:$D$40,MATCH(TEXT(A456,"dd"),Monthly_Pay_Model!$C$9:$C$39,0),4)),IF(VLOOKUP(A455,Calendar!$A$1:$R$1377,18,0)=3,SUM(INDEX(Monthly_Pay_Model!$A$9:$D$40,MATCH(TEXT(A455,"dd"),Monthly_Pay_Model!$C$9:$C$39,0),4),INDEX(Monthly_Pay_Model!$A$9:$D$40,MATCH(TEXT(A456,"dd"),Monthly_Pay_Model!$C$9:$C$39,0),4),INDEX(Monthly_Pay_Model!$A$9:$D$40,MATCH(TEXT(A457,"dd"),Monthly_Pay_Model!$C$9:$C$39,0),4)),IF(VLOOKUP(A455,Calendar!$A$1:$R$1377,18,0)=4,SUM(INDEX(Monthly_Pay_Model!$A$9:$D$40,MATCH(TEXT(A455,"dd"),Monthly_Pay_Model!$C$9:$C$39,0),4),INDEX(Monthly_Pay_Model!$A$9:$D$40,MATCH(TEXT(A456,"dd"),Monthly_Pay_Model!$C$9:$C$39,0),4),INDEX(Monthly_Pay_Model!$A$9:$D$40,MATCH(TEXT(A457,"dd"),Monthly_Pay_Model!$C$9:$C$39,0),4),INDEX(Monthly_Pay_Model!$A$9:$D$40,MATCH(TEXT(A458,"dd"),Monthly_Pay_Model!$C$9:$C$39,0),4)),IF(VLOOKUP(A455,Calendar!$A$1:$R$1377,18,0)=5,SUM(INDEX(Monthly_Pay_Model!$A$9:$D$40,MATCH(TEXT(A455,"dd"),Monthly_Pay_Model!$C$9:$C$39,0),4),INDEX(Monthly_Pay_Model!$A$9:$D$40,MATCH(TEXT(A456,"dd"),Monthly_Pay_Model!$C$9:$C$39,0),4),INDEX(Monthly_Pay_Model!$A$9:$D$40,MATCH(TEXT(A457,"dd"),Monthly_Pay_Model!$C$9:$C$39,0),4),INDEX(Monthly_Pay_Model!$A$9:$D$40,MATCH(TEXT(A458,"dd"),Monthly_Pay_Model!$C$9:$C$39,0),4),INDEX(Monthly_Pay_Model!$A$9:$D$40,MATCH(TEXT(A459,"dd"),Monthly_Pay_Model!$C$9:$C$39,0),4)),))))))</f>
        <v>2.1126701570680625E-2</v>
      </c>
      <c r="J455" s="33">
        <f>IF(C455="Yes",Monthly_Pay_Model!$D$2,0)
+IF(Calendar!N455="Yes",Monthly_Pay_Model!$D$3,0)
+IF(D455="Yes",Monthly_Pay_Model!$D$4,0)
+IF(E455="Yes",Monthly_Pay_Model!$D$5,0)</f>
        <v>5.4320000000000007E-2</v>
      </c>
      <c r="K455" s="27">
        <f>IF(VLOOKUP($A455,Calendar!$A$1:$R$1377,18,0)=0,0,IF(VLOOKUP($A455,Calendar!$A$1:$R$1377,18,0)=1,IFERROR(INDEX(Weekly_Model!$D$2:$D$9,MATCH(F455,Weekly_Model!$A$2:$A$9,0)),0),IF(VLOOKUP($A455,Calendar!$A$1:$R$1377,18,0)=2,SUM(IFERROR(INDEX(Weekly_Model!$D$2:$D$9,MATCH(F455,Weekly_Model!$A$2:$A$9,0)),0),IFERROR(INDEX(Weekly_Model!$D$2:$D$9,MATCH(F456,Weekly_Model!$A$2:$A$9,0)),0)),IF(VLOOKUP($A455,Calendar!$A$1:$R$1377,18,0)=3,SUM(IFERROR(INDEX(Weekly_Model!$D$2:$D$9,MATCH(F455,Weekly_Model!$A$2:$A$9,0)),0),IFERROR(INDEX(Weekly_Model!$D$2:$D$9,MATCH(F456,Weekly_Model!$A$2:$A$9,0)),0),IFERROR(INDEX(Weekly_Model!$D$2:$D$9,MATCH(F457,Weekly_Model!$A$2:$A$9,0)),0)),IF(VLOOKUP($A455,Calendar!$A$1:$R$1377,18,0)=4,SUM(IFERROR(INDEX(Weekly_Model!$D$2:$D$9,MATCH(F455,Weekly_Model!$A$2:$A$9,0)),0),IFERROR(INDEX(Weekly_Model!$D$2:$D$9,MATCH(F456,Weekly_Model!$A$2:$A$9,0)),0),IFERROR(INDEX(Weekly_Model!$D$2:$D$9,MATCH(F457,Weekly_Model!$A$2:$A$9,0)),0),IFERROR(INDEX(Weekly_Model!$D$2:$D$9,MATCH(F458,Weekly_Model!$A$2:$A$9,0)),0)),IF(VLOOKUP($A455,Calendar!$A$1:$R$1377,18,0)=5,SUM(IFERROR(INDEX(Weekly_Model!$D$2:$D$9,MATCH(F455,Weekly_Model!$A$2:$A$9,0)),0),IFERROR(INDEX(Weekly_Model!$D$2:$D$9,MATCH(F456,Weekly_Model!$A$2:$A$9,0)),0),IFERROR(INDEX(Weekly_Model!$D$2:$D$9,MATCH(F457,Weekly_Model!$A$2:$A$9,0)),0),IFERROR(INDEX(Weekly_Model!$D$2:$D$9,MATCH(F458,Weekly_Model!$A$2:$A$9,0)),0),IFERROR(INDEX(Weekly_Model!$D$2:$D$9,MATCH(F459,Weekly_Model!$A$2:$A$9,0)),0)),0))))))</f>
        <v>2.3200000000000002E-2</v>
      </c>
      <c r="L455" s="27">
        <f>IF(VLOOKUP($A455,Calendar!$A$1:$R$1377,18,0)=0,0,IF(VLOOKUP($A455,Calendar!$A$1:$R$1377,18,0)=1,IFERROR(INDEX(Fortnightly_Model!$D$2:$D$15,MATCH(G455,Fortnightly_Model!$B$2:$B$15,0)),0),IF(VLOOKUP($A455,Calendar!$A$1:$R$1377,18,0)=2,SUM(IFERROR(INDEX(Fortnightly_Model!$D$2:$D$15,MATCH(G455,Fortnightly_Model!$B$2:$B$15,0)),0),IFERROR(INDEX(Fortnightly_Model!$D$2:$D$15,MATCH(G456,Fortnightly_Model!$B$2:$B$15,0)),0)),IF(VLOOKUP($A455,Calendar!$A$1:$R$1377,18,0)=3,SUM(IFERROR(INDEX(Fortnightly_Model!$D$2:$D$15,MATCH(G455,Fortnightly_Model!$B$2:$B$15,0)),0),IFERROR(INDEX(Fortnightly_Model!$D$2:$D$15,MATCH(G456,Fortnightly_Model!$B$2:$B$15,0)),0),IFERROR(INDEX(Fortnightly_Model!$D$2:$D$15,MATCH(G457,Fortnightly_Model!$B$2:$B$15,0)),0)),IF(VLOOKUP($A455,Calendar!$A$1:$R$1377,18,0)=4,SUM(IFERROR(INDEX(Fortnightly_Model!$D$2:$D$15,MATCH(G455,Fortnightly_Model!$B$2:$B$15,0)),0),IFERROR(INDEX(Fortnightly_Model!$D$2:$D$15,MATCH(G456,Fortnightly_Model!$B$2:$B$15,0)),0),IFERROR(INDEX(Fortnightly_Model!$D$2:$D$15,MATCH(G457,Fortnightly_Model!$B$2:$B$15,0)),0),IFERROR(INDEX(Fortnightly_Model!$D$2:$D$15,MATCH(G458,Fortnightly_Model!$B$2:$B$15,0)),0)),IF(VLOOKUP($A455,Calendar!$A$1:$R$1377,18,0)=5,SUM(IFERROR(INDEX(Fortnightly_Model!$D$2:$D$15,MATCH(G455,Fortnightly_Model!$B$2:$B$15,0)),0),IFERROR(INDEX(Fortnightly_Model!$D$2:$D$15,MATCH(G456,Fortnightly_Model!$B$2:$B$15,0)),0),IFERROR(INDEX(Fortnightly_Model!$D$2:$D$15,MATCH(G457,Fortnightly_Model!$B$2:$B$15,0)),0),IFERROR(INDEX(Fortnightly_Model!$D$2:$D$15,MATCH(G458,Fortnightly_Model!$B$2:$B$15,0)),0),IFERROR(INDEX(Fortnightly_Model!$D$2:$D$15,MATCH(G459,Fortnightly_Model!$B$2:$B$15,0)),0)),0))))))</f>
        <v>1.0714285499999999E-3</v>
      </c>
      <c r="M455" s="27">
        <f>IF(VLOOKUP($A455,Calendar!$A$1:$R$1377,18,0)=0,0,IF(VLOOKUP($A455,Calendar!$A$1:$R$1377,18,0)=1,IFERROR(INDEX(FourWeekly_Model!$D$2:$D$29,MATCH(H455,FourWeekly_Model!$B$2:$B$29,0)),0),IF(VLOOKUP($A455,Calendar!$A$1:$R$1377,18,0)=2,SUM(IFERROR(INDEX(FourWeekly_Model!$D$2:$D$29,MATCH(H455,FourWeekly_Model!$B$2:$B$29,0)),0),IFERROR(INDEX(FourWeekly_Model!$D$2:$D$29,MATCH(H456,FourWeekly_Model!$B$2:$B$29,0)),0)),IF(VLOOKUP($A455,Calendar!$A$1:$R$1377,18,0)=3,SUM(IFERROR(INDEX(FourWeekly_Model!$D$2:$D$29,MATCH(H455,FourWeekly_Model!$B$2:$B$29,0)),0),IFERROR(INDEX(FourWeekly_Model!$D$2:$D$29,MATCH(H456,FourWeekly_Model!$B$2:$B$29,0)),0),IFERROR(INDEX(FourWeekly_Model!$D$2:$D$29,MATCH(H457,FourWeekly_Model!$B$2:$B$29,0)),0)),IF(VLOOKUP($A455,Calendar!$A$1:$R$1377,18,0)=4,SUM(IFERROR(INDEX(FourWeekly_Model!$D$2:$D$29,MATCH(H455,FourWeekly_Model!$B$2:$B$29,0)),0),IFERROR(INDEX(FourWeekly_Model!$D$2:$D$29,MATCH(H456,FourWeekly_Model!$B$2:$B$29,0)),0),IFERROR(INDEX(FourWeekly_Model!$D$2:$D$29,MATCH(H457,FourWeekly_Model!$B$2:$B$29,0)),0),IFERROR(INDEX(FourWeekly_Model!$D$2:$D$29,MATCH(H458,FourWeekly_Model!$B$2:$B$29,0)),0)),IF(VLOOKUP($A455,Calendar!$A$1:$R$1377,18,0)=5,SUM(IFERROR(INDEX(FourWeekly_Model!$D$2:$D$29,MATCH(H455,FourWeekly_Model!$B$2:$B$29,0)),0),IFERROR(INDEX(FourWeekly_Model!$D$2:$D$29,MATCH(H456,FourWeekly_Model!$B$2:$B$29,0)),0),IFERROR(INDEX(FourWeekly_Model!$D$2:$D$29,MATCH(H457,FourWeekly_Model!$B$2:$B$29,0)),0),IFERROR(INDEX(FourWeekly_Model!$D$2:$D$29,MATCH(H458,FourWeekly_Model!$B$2:$B$29,0)),0),IFERROR(INDEX(FourWeekly_Model!$D$2:$D$29,MATCH(H459,FourWeekly_Model!$B$2:$B$29,0)),0)),0))))))</f>
        <v>3.3214289700000004E-3</v>
      </c>
      <c r="N455" s="27">
        <f>SUM(I455:M455)</f>
        <v>0.10303955909068063</v>
      </c>
      <c r="O455" s="28">
        <f>Population_Data!$B$8*N455</f>
        <v>3122098.6404476231</v>
      </c>
      <c r="P455" s="27">
        <f>IF(VLOOKUP($A455,Calendar!$A$1:$R$1377,18,0)=0,0,IF(VLOOKUP($A455,Calendar!$A$1:$R$1377,18,0)=1,IFERROR(INDEX(Pension_Model!$D$2:$D$29,MATCH(H455,Pension_Model!$B$2:$B$29,0)),0),IF(VLOOKUP($A455,Calendar!$A$1:$R$1377,18,0)=2,SUM(IFERROR(INDEX(Pension_Model!$D$2:$D$29,MATCH(H455,Pension_Model!$B$2:$B$29,0)),0),IFERROR(INDEX(Pension_Model!$D$2:$D$29,MATCH(H456,Pension_Model!$B$2:$B$29,0)),0)),IF(VLOOKUP($A455,Calendar!$A$1:$R$1377,18,0)=3,SUM(IFERROR(INDEX(Pension_Model!$D$2:$D$29,MATCH(H455,Pension_Model!$B$2:$B$29,0)),0),IFERROR(INDEX(Pension_Model!$D$2:$D$29,MATCH(H456,Pension_Model!$B$2:$B$29,0)),0),IFERROR(INDEX(Pension_Model!$D$2:$D$29,MATCH(H457,Pension_Model!$B$2:$B$29,0)),0)),IF(VLOOKUP($A455,Calendar!$A$1:$R$1377,18,0)=4,SUM(IFERROR(INDEX(Pension_Model!$D$2:$D$29,MATCH(H455,Pension_Model!$B$2:$B$29,0)),0),IFERROR(INDEX(Pension_Model!$D$2:$D$29,MATCH(H456,Pension_Model!$B$2:$B$29,0)),0),IFERROR(INDEX(Pension_Model!$D$2:$D$29,MATCH(H457,Pension_Model!$B$2:$B$29,0)),0),IFERROR(INDEX(Pension_Model!$D$2:$D$29,MATCH(H458,Pension_Model!$B$2:$B$29,0)),0)),IF(VLOOKUP($A455,Calendar!$A$1:$R$1377,18,0)=5,SUM(IFERROR(INDEX(Pension_Model!$D$2:$D$29,MATCH(H455,Pension_Model!$B$2:$B$29,0)),0),IFERROR(INDEX(Pension_Model!$D$2:$D$29,MATCH(H456,Pension_Model!$B$2:$B$29,0)),0),IFERROR(INDEX(Pension_Model!$D$2:$D$29,MATCH(H457,Pension_Model!$B$2:$B$29,0)),0),IFERROR(INDEX(Pension_Model!$D$2:$D$29,MATCH(H458,Pension_Model!$B$2:$B$29,0)),0),IFERROR(INDEX(Pension_Model!$D$2:$D$29,MATCH(H459,Pension_Model!$B$2:$B$29,0)),0)),0))))))</f>
        <v>0.05</v>
      </c>
      <c r="Q455" s="28">
        <f>Population_Data!$B$15*P455</f>
        <v>660600</v>
      </c>
      <c r="S455">
        <f t="shared" si="7"/>
        <v>3782698.6404476231</v>
      </c>
      <c r="U455" s="33">
        <f>S455/Population_Data!$B$19</f>
        <v>6.8527149283471436E-2</v>
      </c>
    </row>
    <row r="456" spans="1:21">
      <c r="A456" s="25">
        <f>Calendar!A456</f>
        <v>46689</v>
      </c>
      <c r="B456" t="str">
        <f>Calendar!L456</f>
        <v>Yes</v>
      </c>
      <c r="C456" t="str">
        <f>Calendar!O456</f>
        <v>Yes</v>
      </c>
      <c r="D456" t="str">
        <f>Calendar!P456</f>
        <v>Yes</v>
      </c>
      <c r="E456" t="str">
        <f>Calendar!Q456</f>
        <v>No</v>
      </c>
      <c r="F456" t="str">
        <f>Calendar!I456</f>
        <v>Friday</v>
      </c>
      <c r="G456">
        <f>Calendar!S456</f>
        <v>13</v>
      </c>
      <c r="H456">
        <f>Calendar!T456</f>
        <v>13</v>
      </c>
      <c r="I456" s="27">
        <f>IF(VLOOKUP(A456,Calendar!$A$1:$R$1377,18,0)=0,0,IF(VLOOKUP(A456,Calendar!$A$1:$R$1377,18,0)=1,INDEX(Monthly_Pay_Model!$A$9:$D$40,MATCH(TEXT(A456,"dd"),Monthly_Pay_Model!$C$9:$C$39,0),4),IF(VLOOKUP(A456,Calendar!$A$1:$R$1377,18,0)=2,SUM(INDEX(Monthly_Pay_Model!$A$9:$D$40,MATCH(TEXT(A456,"dd"),Monthly_Pay_Model!$C$9:$C$39,0),4),INDEX(Monthly_Pay_Model!$A$9:$D$40,MATCH(TEXT(A457,"dd"),Monthly_Pay_Model!$C$9:$C$39,0),4)),IF(VLOOKUP(A456,Calendar!$A$1:$R$1377,18,0)=3,SUM(INDEX(Monthly_Pay_Model!$A$9:$D$40,MATCH(TEXT(A456,"dd"),Monthly_Pay_Model!$C$9:$C$39,0),4),INDEX(Monthly_Pay_Model!$A$9:$D$40,MATCH(TEXT(A457,"dd"),Monthly_Pay_Model!$C$9:$C$39,0),4),INDEX(Monthly_Pay_Model!$A$9:$D$40,MATCH(TEXT(A458,"dd"),Monthly_Pay_Model!$C$9:$C$39,0),4)),IF(VLOOKUP(A456,Calendar!$A$1:$R$1377,18,0)=4,SUM(INDEX(Monthly_Pay_Model!$A$9:$D$40,MATCH(TEXT(A456,"dd"),Monthly_Pay_Model!$C$9:$C$39,0),4),INDEX(Monthly_Pay_Model!$A$9:$D$40,MATCH(TEXT(A457,"dd"),Monthly_Pay_Model!$C$9:$C$39,0),4),INDEX(Monthly_Pay_Model!$A$9:$D$40,MATCH(TEXT(A458,"dd"),Monthly_Pay_Model!$C$9:$C$39,0),4),INDEX(Monthly_Pay_Model!$A$9:$D$40,MATCH(TEXT(A459,"dd"),Monthly_Pay_Model!$C$9:$C$39,0),4)),IF(VLOOKUP(A456,Calendar!$A$1:$R$1377,18,0)=5,SUM(INDEX(Monthly_Pay_Model!$A$9:$D$40,MATCH(TEXT(A456,"dd"),Monthly_Pay_Model!$C$9:$C$39,0),4),INDEX(Monthly_Pay_Model!$A$9:$D$40,MATCH(TEXT(A457,"dd"),Monthly_Pay_Model!$C$9:$C$39,0),4),INDEX(Monthly_Pay_Model!$A$9:$D$40,MATCH(TEXT(A458,"dd"),Monthly_Pay_Model!$C$9:$C$39,0),4),INDEX(Monthly_Pay_Model!$A$9:$D$40,MATCH(TEXT(A459,"dd"),Monthly_Pay_Model!$C$9:$C$39,0),4),INDEX(Monthly_Pay_Model!$A$9:$D$40,MATCH(TEXT(A460,"dd"),Monthly_Pay_Model!$C$9:$C$39,0),4)),))))))</f>
        <v>1.46261780104712E-2</v>
      </c>
      <c r="J456" s="33">
        <f>IF(C456="Yes",Monthly_Pay_Model!$D$2,0)
+IF(Calendar!N456="Yes",Monthly_Pay_Model!$D$3,0)
+IF(D456="Yes",Monthly_Pay_Model!$D$4,0)
+IF(E456="Yes",Monthly_Pay_Model!$D$5,0)</f>
        <v>0.44231999999999999</v>
      </c>
      <c r="K456" s="27">
        <f>IF(VLOOKUP($A456,Calendar!$A$1:$R$1377,18,0)=0,0,IF(VLOOKUP($A456,Calendar!$A$1:$R$1377,18,0)=1,IFERROR(INDEX(Weekly_Model!$D$2:$D$9,MATCH(F456,Weekly_Model!$A$2:$A$9,0)),0),IF(VLOOKUP($A456,Calendar!$A$1:$R$1377,18,0)=2,SUM(IFERROR(INDEX(Weekly_Model!$D$2:$D$9,MATCH(F456,Weekly_Model!$A$2:$A$9,0)),0),IFERROR(INDEX(Weekly_Model!$D$2:$D$9,MATCH(F457,Weekly_Model!$A$2:$A$9,0)),0)),IF(VLOOKUP($A456,Calendar!$A$1:$R$1377,18,0)=3,SUM(IFERROR(INDEX(Weekly_Model!$D$2:$D$9,MATCH(F456,Weekly_Model!$A$2:$A$9,0)),0),IFERROR(INDEX(Weekly_Model!$D$2:$D$9,MATCH(F457,Weekly_Model!$A$2:$A$9,0)),0),IFERROR(INDEX(Weekly_Model!$D$2:$D$9,MATCH(F458,Weekly_Model!$A$2:$A$9,0)),0)),IF(VLOOKUP($A456,Calendar!$A$1:$R$1377,18,0)=4,SUM(IFERROR(INDEX(Weekly_Model!$D$2:$D$9,MATCH(F456,Weekly_Model!$A$2:$A$9,0)),0),IFERROR(INDEX(Weekly_Model!$D$2:$D$9,MATCH(F457,Weekly_Model!$A$2:$A$9,0)),0),IFERROR(INDEX(Weekly_Model!$D$2:$D$9,MATCH(F458,Weekly_Model!$A$2:$A$9,0)),0),IFERROR(INDEX(Weekly_Model!$D$2:$D$9,MATCH(F459,Weekly_Model!$A$2:$A$9,0)),0)),IF(VLOOKUP($A456,Calendar!$A$1:$R$1377,18,0)=5,SUM(IFERROR(INDEX(Weekly_Model!$D$2:$D$9,MATCH(F456,Weekly_Model!$A$2:$A$9,0)),0),IFERROR(INDEX(Weekly_Model!$D$2:$D$9,MATCH(F457,Weekly_Model!$A$2:$A$9,0)),0),IFERROR(INDEX(Weekly_Model!$D$2:$D$9,MATCH(F458,Weekly_Model!$A$2:$A$9,0)),0),IFERROR(INDEX(Weekly_Model!$D$2:$D$9,MATCH(F459,Weekly_Model!$A$2:$A$9,0)),0),IFERROR(INDEX(Weekly_Model!$D$2:$D$9,MATCH(F460,Weekly_Model!$A$2:$A$9,0)),0)),0))))))</f>
        <v>2.3200000000000002E-2</v>
      </c>
      <c r="L456" s="27">
        <f>IF(VLOOKUP($A456,Calendar!$A$1:$R$1377,18,0)=0,0,IF(VLOOKUP($A456,Calendar!$A$1:$R$1377,18,0)=1,IFERROR(INDEX(Fortnightly_Model!$D$2:$D$15,MATCH(G456,Fortnightly_Model!$B$2:$B$15,0)),0),IF(VLOOKUP($A456,Calendar!$A$1:$R$1377,18,0)=2,SUM(IFERROR(INDEX(Fortnightly_Model!$D$2:$D$15,MATCH(G456,Fortnightly_Model!$B$2:$B$15,0)),0),IFERROR(INDEX(Fortnightly_Model!$D$2:$D$15,MATCH(G457,Fortnightly_Model!$B$2:$B$15,0)),0)),IF(VLOOKUP($A456,Calendar!$A$1:$R$1377,18,0)=3,SUM(IFERROR(INDEX(Fortnightly_Model!$D$2:$D$15,MATCH(G456,Fortnightly_Model!$B$2:$B$15,0)),0),IFERROR(INDEX(Fortnightly_Model!$D$2:$D$15,MATCH(G457,Fortnightly_Model!$B$2:$B$15,0)),0),IFERROR(INDEX(Fortnightly_Model!$D$2:$D$15,MATCH(G458,Fortnightly_Model!$B$2:$B$15,0)),0)),IF(VLOOKUP($A456,Calendar!$A$1:$R$1377,18,0)=4,SUM(IFERROR(INDEX(Fortnightly_Model!$D$2:$D$15,MATCH(G456,Fortnightly_Model!$B$2:$B$15,0)),0),IFERROR(INDEX(Fortnightly_Model!$D$2:$D$15,MATCH(G457,Fortnightly_Model!$B$2:$B$15,0)),0),IFERROR(INDEX(Fortnightly_Model!$D$2:$D$15,MATCH(G458,Fortnightly_Model!$B$2:$B$15,0)),0),IFERROR(INDEX(Fortnightly_Model!$D$2:$D$15,MATCH(G459,Fortnightly_Model!$B$2:$B$15,0)),0)),IF(VLOOKUP($A456,Calendar!$A$1:$R$1377,18,0)=5,SUM(IFERROR(INDEX(Fortnightly_Model!$D$2:$D$15,MATCH(G456,Fortnightly_Model!$B$2:$B$15,0)),0),IFERROR(INDEX(Fortnightly_Model!$D$2:$D$15,MATCH(G457,Fortnightly_Model!$B$2:$B$15,0)),0),IFERROR(INDEX(Fortnightly_Model!$D$2:$D$15,MATCH(G458,Fortnightly_Model!$B$2:$B$15,0)),0),IFERROR(INDEX(Fortnightly_Model!$D$2:$D$15,MATCH(G459,Fortnightly_Model!$B$2:$B$15,0)),0),IFERROR(INDEX(Fortnightly_Model!$D$2:$D$15,MATCH(G460,Fortnightly_Model!$B$2:$B$15,0)),0)),0))))))</f>
        <v>3.2142856499999999E-3</v>
      </c>
      <c r="M456" s="27">
        <f>IF(VLOOKUP($A456,Calendar!$A$1:$R$1377,18,0)=0,0,IF(VLOOKUP($A456,Calendar!$A$1:$R$1377,18,0)=1,IFERROR(INDEX(FourWeekly_Model!$D$2:$D$29,MATCH(H456,FourWeekly_Model!$B$2:$B$29,0)),0),IF(VLOOKUP($A456,Calendar!$A$1:$R$1377,18,0)=2,SUM(IFERROR(INDEX(FourWeekly_Model!$D$2:$D$29,MATCH(H456,FourWeekly_Model!$B$2:$B$29,0)),0),IFERROR(INDEX(FourWeekly_Model!$D$2:$D$29,MATCH(H457,FourWeekly_Model!$B$2:$B$29,0)),0)),IF(VLOOKUP($A456,Calendar!$A$1:$R$1377,18,0)=3,SUM(IFERROR(INDEX(FourWeekly_Model!$D$2:$D$29,MATCH(H456,FourWeekly_Model!$B$2:$B$29,0)),0),IFERROR(INDEX(FourWeekly_Model!$D$2:$D$29,MATCH(H457,FourWeekly_Model!$B$2:$B$29,0)),0),IFERROR(INDEX(FourWeekly_Model!$D$2:$D$29,MATCH(H458,FourWeekly_Model!$B$2:$B$29,0)),0)),IF(VLOOKUP($A456,Calendar!$A$1:$R$1377,18,0)=4,SUM(IFERROR(INDEX(FourWeekly_Model!$D$2:$D$29,MATCH(H456,FourWeekly_Model!$B$2:$B$29,0)),0),IFERROR(INDEX(FourWeekly_Model!$D$2:$D$29,MATCH(H457,FourWeekly_Model!$B$2:$B$29,0)),0),IFERROR(INDEX(FourWeekly_Model!$D$2:$D$29,MATCH(H458,FourWeekly_Model!$B$2:$B$29,0)),0),IFERROR(INDEX(FourWeekly_Model!$D$2:$D$29,MATCH(H459,FourWeekly_Model!$B$2:$B$29,0)),0)),IF(VLOOKUP($A456,Calendar!$A$1:$R$1377,18,0)=5,SUM(IFERROR(INDEX(FourWeekly_Model!$D$2:$D$29,MATCH(H456,FourWeekly_Model!$B$2:$B$29,0)),0),IFERROR(INDEX(FourWeekly_Model!$D$2:$D$29,MATCH(H457,FourWeekly_Model!$B$2:$B$29,0)),0),IFERROR(INDEX(FourWeekly_Model!$D$2:$D$29,MATCH(H458,FourWeekly_Model!$B$2:$B$29,0)),0),IFERROR(INDEX(FourWeekly_Model!$D$2:$D$29,MATCH(H459,FourWeekly_Model!$B$2:$B$29,0)),0),IFERROR(INDEX(FourWeekly_Model!$D$2:$D$29,MATCH(H460,FourWeekly_Model!$B$2:$B$29,0)),0)),0))))))</f>
        <v>9.9642859800000011E-3</v>
      </c>
      <c r="N456" s="27">
        <f>SUM(I456:M456)</f>
        <v>0.49332474964047118</v>
      </c>
      <c r="O456" s="28">
        <f>Population_Data!$B$8*N456</f>
        <v>14947739.914106278</v>
      </c>
      <c r="P456" s="27">
        <f>IF(VLOOKUP($A456,Calendar!$A$1:$R$1377,18,0)=0,0,IF(VLOOKUP($A456,Calendar!$A$1:$R$1377,18,0)=1,IFERROR(INDEX(Pension_Model!$D$2:$D$29,MATCH(H456,Pension_Model!$B$2:$B$29,0)),0),IF(VLOOKUP($A456,Calendar!$A$1:$R$1377,18,0)=2,SUM(IFERROR(INDEX(Pension_Model!$D$2:$D$29,MATCH(H456,Pension_Model!$B$2:$B$29,0)),0),IFERROR(INDEX(Pension_Model!$D$2:$D$29,MATCH(H457,Pension_Model!$B$2:$B$29,0)),0)),IF(VLOOKUP($A456,Calendar!$A$1:$R$1377,18,0)=3,SUM(IFERROR(INDEX(Pension_Model!$D$2:$D$29,MATCH(H456,Pension_Model!$B$2:$B$29,0)),0),IFERROR(INDEX(Pension_Model!$D$2:$D$29,MATCH(H457,Pension_Model!$B$2:$B$29,0)),0),IFERROR(INDEX(Pension_Model!$D$2:$D$29,MATCH(H458,Pension_Model!$B$2:$B$29,0)),0)),IF(VLOOKUP($A456,Calendar!$A$1:$R$1377,18,0)=4,SUM(IFERROR(INDEX(Pension_Model!$D$2:$D$29,MATCH(H456,Pension_Model!$B$2:$B$29,0)),0),IFERROR(INDEX(Pension_Model!$D$2:$D$29,MATCH(H457,Pension_Model!$B$2:$B$29,0)),0),IFERROR(INDEX(Pension_Model!$D$2:$D$29,MATCH(H458,Pension_Model!$B$2:$B$29,0)),0),IFERROR(INDEX(Pension_Model!$D$2:$D$29,MATCH(H459,Pension_Model!$B$2:$B$29,0)),0)),IF(VLOOKUP($A456,Calendar!$A$1:$R$1377,18,0)=5,SUM(IFERROR(INDEX(Pension_Model!$D$2:$D$29,MATCH(H456,Pension_Model!$B$2:$B$29,0)),0),IFERROR(INDEX(Pension_Model!$D$2:$D$29,MATCH(H457,Pension_Model!$B$2:$B$29,0)),0),IFERROR(INDEX(Pension_Model!$D$2:$D$29,MATCH(H458,Pension_Model!$B$2:$B$29,0)),0),IFERROR(INDEX(Pension_Model!$D$2:$D$29,MATCH(H459,Pension_Model!$B$2:$B$29,0)),0),IFERROR(INDEX(Pension_Model!$D$2:$D$29,MATCH(H460,Pension_Model!$B$2:$B$29,0)),0)),0))))))</f>
        <v>0.05</v>
      </c>
      <c r="Q456" s="28">
        <f>Population_Data!$B$15*P456</f>
        <v>660600</v>
      </c>
      <c r="S456">
        <f t="shared" si="7"/>
        <v>15608339.914106278</v>
      </c>
      <c r="U456" s="33">
        <f>S456/Population_Data!$B$19</f>
        <v>0.28275978105264998</v>
      </c>
    </row>
    <row r="457" spans="1:21">
      <c r="A457" s="25">
        <f>Calendar!A457</f>
        <v>46690</v>
      </c>
      <c r="B457" t="str">
        <f>Calendar!L457</f>
        <v>No</v>
      </c>
      <c r="C457" t="str">
        <f>Calendar!O457</f>
        <v>No</v>
      </c>
      <c r="D457" t="str">
        <f>Calendar!P457</f>
        <v>No</v>
      </c>
      <c r="E457" t="str">
        <f>Calendar!Q457</f>
        <v>No</v>
      </c>
      <c r="F457" t="str">
        <f>Calendar!I457</f>
        <v>Saturday</v>
      </c>
      <c r="G457">
        <f>Calendar!S457</f>
        <v>0</v>
      </c>
      <c r="H457">
        <f>Calendar!T457</f>
        <v>14</v>
      </c>
      <c r="I457" s="27">
        <f>IF(VLOOKUP(A457,Calendar!$A$1:$R$1377,18,0)=0,0,IF(VLOOKUP(A457,Calendar!$A$1:$R$1377,18,0)=1,INDEX(Monthly_Pay_Model!$A$9:$D$40,MATCH(TEXT(A457,"dd"),Monthly_Pay_Model!$C$9:$C$39,0),4),IF(VLOOKUP(A457,Calendar!$A$1:$R$1377,18,0)=2,SUM(INDEX(Monthly_Pay_Model!$A$9:$D$40,MATCH(TEXT(A457,"dd"),Monthly_Pay_Model!$C$9:$C$39,0),4),INDEX(Monthly_Pay_Model!$A$9:$D$40,MATCH(TEXT(A458,"dd"),Monthly_Pay_Model!$C$9:$C$39,0),4)),IF(VLOOKUP(A457,Calendar!$A$1:$R$1377,18,0)=3,SUM(INDEX(Monthly_Pay_Model!$A$9:$D$40,MATCH(TEXT(A457,"dd"),Monthly_Pay_Model!$C$9:$C$39,0),4),INDEX(Monthly_Pay_Model!$A$9:$D$40,MATCH(TEXT(A458,"dd"),Monthly_Pay_Model!$C$9:$C$39,0),4),INDEX(Monthly_Pay_Model!$A$9:$D$40,MATCH(TEXT(A459,"dd"),Monthly_Pay_Model!$C$9:$C$39,0),4)),IF(VLOOKUP(A457,Calendar!$A$1:$R$1377,18,0)=4,SUM(INDEX(Monthly_Pay_Model!$A$9:$D$40,MATCH(TEXT(A457,"dd"),Monthly_Pay_Model!$C$9:$C$39,0),4),INDEX(Monthly_Pay_Model!$A$9:$D$40,MATCH(TEXT(A458,"dd"),Monthly_Pay_Model!$C$9:$C$39,0),4),INDEX(Monthly_Pay_Model!$A$9:$D$40,MATCH(TEXT(A459,"dd"),Monthly_Pay_Model!$C$9:$C$39,0),4),INDEX(Monthly_Pay_Model!$A$9:$D$40,MATCH(TEXT(A460,"dd"),Monthly_Pay_Model!$C$9:$C$39,0),4)),IF(VLOOKUP(A457,Calendar!$A$1:$R$1377,18,0)=5,SUM(INDEX(Monthly_Pay_Model!$A$9:$D$40,MATCH(TEXT(A457,"dd"),Monthly_Pay_Model!$C$9:$C$39,0),4),INDEX(Monthly_Pay_Model!$A$9:$D$40,MATCH(TEXT(A458,"dd"),Monthly_Pay_Model!$C$9:$C$39,0),4),INDEX(Monthly_Pay_Model!$A$9:$D$40,MATCH(TEXT(A459,"dd"),Monthly_Pay_Model!$C$9:$C$39,0),4),INDEX(Monthly_Pay_Model!$A$9:$D$40,MATCH(TEXT(A460,"dd"),Monthly_Pay_Model!$C$9:$C$39,0),4),INDEX(Monthly_Pay_Model!$A$9:$D$40,MATCH(TEXT(A461,"dd"),Monthly_Pay_Model!$C$9:$C$39,0),4)),))))))</f>
        <v>0</v>
      </c>
      <c r="J457" s="33">
        <f>IF(C457="Yes",Monthly_Pay_Model!$D$2,0)
+IF(Calendar!N457="Yes",Monthly_Pay_Model!$D$3,0)
+IF(D457="Yes",Monthly_Pay_Model!$D$4,0)
+IF(E457="Yes",Monthly_Pay_Model!$D$5,0)</f>
        <v>0</v>
      </c>
      <c r="K457" s="27">
        <f>IF(VLOOKUP($A457,Calendar!$A$1:$R$1377,18,0)=0,0,IF(VLOOKUP($A457,Calendar!$A$1:$R$1377,18,0)=1,IFERROR(INDEX(Weekly_Model!$D$2:$D$9,MATCH(F457,Weekly_Model!$A$2:$A$9,0)),0),IF(VLOOKUP($A457,Calendar!$A$1:$R$1377,18,0)=2,SUM(IFERROR(INDEX(Weekly_Model!$D$2:$D$9,MATCH(F457,Weekly_Model!$A$2:$A$9,0)),0),IFERROR(INDEX(Weekly_Model!$D$2:$D$9,MATCH(F458,Weekly_Model!$A$2:$A$9,0)),0)),IF(VLOOKUP($A457,Calendar!$A$1:$R$1377,18,0)=3,SUM(IFERROR(INDEX(Weekly_Model!$D$2:$D$9,MATCH(F457,Weekly_Model!$A$2:$A$9,0)),0),IFERROR(INDEX(Weekly_Model!$D$2:$D$9,MATCH(F458,Weekly_Model!$A$2:$A$9,0)),0),IFERROR(INDEX(Weekly_Model!$D$2:$D$9,MATCH(F459,Weekly_Model!$A$2:$A$9,0)),0)),IF(VLOOKUP($A457,Calendar!$A$1:$R$1377,18,0)=4,SUM(IFERROR(INDEX(Weekly_Model!$D$2:$D$9,MATCH(F457,Weekly_Model!$A$2:$A$9,0)),0),IFERROR(INDEX(Weekly_Model!$D$2:$D$9,MATCH(F458,Weekly_Model!$A$2:$A$9,0)),0),IFERROR(INDEX(Weekly_Model!$D$2:$D$9,MATCH(F459,Weekly_Model!$A$2:$A$9,0)),0),IFERROR(INDEX(Weekly_Model!$D$2:$D$9,MATCH(F460,Weekly_Model!$A$2:$A$9,0)),0)),IF(VLOOKUP($A457,Calendar!$A$1:$R$1377,18,0)=5,SUM(IFERROR(INDEX(Weekly_Model!$D$2:$D$9,MATCH(F457,Weekly_Model!$A$2:$A$9,0)),0),IFERROR(INDEX(Weekly_Model!$D$2:$D$9,MATCH(F458,Weekly_Model!$A$2:$A$9,0)),0),IFERROR(INDEX(Weekly_Model!$D$2:$D$9,MATCH(F459,Weekly_Model!$A$2:$A$9,0)),0),IFERROR(INDEX(Weekly_Model!$D$2:$D$9,MATCH(F460,Weekly_Model!$A$2:$A$9,0)),0),IFERROR(INDEX(Weekly_Model!$D$2:$D$9,MATCH(F461,Weekly_Model!$A$2:$A$9,0)),0)),0))))))</f>
        <v>0</v>
      </c>
      <c r="L457" s="27">
        <f>IF(VLOOKUP($A457,Calendar!$A$1:$R$1377,18,0)=0,0,IF(VLOOKUP($A457,Calendar!$A$1:$R$1377,18,0)=1,IFERROR(INDEX(Fortnightly_Model!$D$2:$D$15,MATCH(G457,Fortnightly_Model!$B$2:$B$15,0)),0),IF(VLOOKUP($A457,Calendar!$A$1:$R$1377,18,0)=2,SUM(IFERROR(INDEX(Fortnightly_Model!$D$2:$D$15,MATCH(G457,Fortnightly_Model!$B$2:$B$15,0)),0),IFERROR(INDEX(Fortnightly_Model!$D$2:$D$15,MATCH(G458,Fortnightly_Model!$B$2:$B$15,0)),0)),IF(VLOOKUP($A457,Calendar!$A$1:$R$1377,18,0)=3,SUM(IFERROR(INDEX(Fortnightly_Model!$D$2:$D$15,MATCH(G457,Fortnightly_Model!$B$2:$B$15,0)),0),IFERROR(INDEX(Fortnightly_Model!$D$2:$D$15,MATCH(G458,Fortnightly_Model!$B$2:$B$15,0)),0),IFERROR(INDEX(Fortnightly_Model!$D$2:$D$15,MATCH(G459,Fortnightly_Model!$B$2:$B$15,0)),0)),IF(VLOOKUP($A457,Calendar!$A$1:$R$1377,18,0)=4,SUM(IFERROR(INDEX(Fortnightly_Model!$D$2:$D$15,MATCH(G457,Fortnightly_Model!$B$2:$B$15,0)),0),IFERROR(INDEX(Fortnightly_Model!$D$2:$D$15,MATCH(G458,Fortnightly_Model!$B$2:$B$15,0)),0),IFERROR(INDEX(Fortnightly_Model!$D$2:$D$15,MATCH(G459,Fortnightly_Model!$B$2:$B$15,0)),0),IFERROR(INDEX(Fortnightly_Model!$D$2:$D$15,MATCH(G460,Fortnightly_Model!$B$2:$B$15,0)),0)),IF(VLOOKUP($A457,Calendar!$A$1:$R$1377,18,0)=5,SUM(IFERROR(INDEX(Fortnightly_Model!$D$2:$D$15,MATCH(G457,Fortnightly_Model!$B$2:$B$15,0)),0),IFERROR(INDEX(Fortnightly_Model!$D$2:$D$15,MATCH(G458,Fortnightly_Model!$B$2:$B$15,0)),0),IFERROR(INDEX(Fortnightly_Model!$D$2:$D$15,MATCH(G459,Fortnightly_Model!$B$2:$B$15,0)),0),IFERROR(INDEX(Fortnightly_Model!$D$2:$D$15,MATCH(G460,Fortnightly_Model!$B$2:$B$15,0)),0),IFERROR(INDEX(Fortnightly_Model!$D$2:$D$15,MATCH(G461,Fortnightly_Model!$B$2:$B$15,0)),0)),0))))))</f>
        <v>0</v>
      </c>
      <c r="M457" s="27">
        <f>IF(VLOOKUP($A457,Calendar!$A$1:$R$1377,18,0)=0,0,IF(VLOOKUP($A457,Calendar!$A$1:$R$1377,18,0)=1,IFERROR(INDEX(FourWeekly_Model!$D$2:$D$29,MATCH(H457,FourWeekly_Model!$B$2:$B$29,0)),0),IF(VLOOKUP($A457,Calendar!$A$1:$R$1377,18,0)=2,SUM(IFERROR(INDEX(FourWeekly_Model!$D$2:$D$29,MATCH(H457,FourWeekly_Model!$B$2:$B$29,0)),0),IFERROR(INDEX(FourWeekly_Model!$D$2:$D$29,MATCH(H458,FourWeekly_Model!$B$2:$B$29,0)),0)),IF(VLOOKUP($A457,Calendar!$A$1:$R$1377,18,0)=3,SUM(IFERROR(INDEX(FourWeekly_Model!$D$2:$D$29,MATCH(H457,FourWeekly_Model!$B$2:$B$29,0)),0),IFERROR(INDEX(FourWeekly_Model!$D$2:$D$29,MATCH(H458,FourWeekly_Model!$B$2:$B$29,0)),0),IFERROR(INDEX(FourWeekly_Model!$D$2:$D$29,MATCH(H459,FourWeekly_Model!$B$2:$B$29,0)),0)),IF(VLOOKUP($A457,Calendar!$A$1:$R$1377,18,0)=4,SUM(IFERROR(INDEX(FourWeekly_Model!$D$2:$D$29,MATCH(H457,FourWeekly_Model!$B$2:$B$29,0)),0),IFERROR(INDEX(FourWeekly_Model!$D$2:$D$29,MATCH(H458,FourWeekly_Model!$B$2:$B$29,0)),0),IFERROR(INDEX(FourWeekly_Model!$D$2:$D$29,MATCH(H459,FourWeekly_Model!$B$2:$B$29,0)),0),IFERROR(INDEX(FourWeekly_Model!$D$2:$D$29,MATCH(H460,FourWeekly_Model!$B$2:$B$29,0)),0)),IF(VLOOKUP($A457,Calendar!$A$1:$R$1377,18,0)=5,SUM(IFERROR(INDEX(FourWeekly_Model!$D$2:$D$29,MATCH(H457,FourWeekly_Model!$B$2:$B$29,0)),0),IFERROR(INDEX(FourWeekly_Model!$D$2:$D$29,MATCH(H458,FourWeekly_Model!$B$2:$B$29,0)),0),IFERROR(INDEX(FourWeekly_Model!$D$2:$D$29,MATCH(H459,FourWeekly_Model!$B$2:$B$29,0)),0),IFERROR(INDEX(FourWeekly_Model!$D$2:$D$29,MATCH(H460,FourWeekly_Model!$B$2:$B$29,0)),0),IFERROR(INDEX(FourWeekly_Model!$D$2:$D$29,MATCH(H461,FourWeekly_Model!$B$2:$B$29,0)),0)),0))))))</f>
        <v>0</v>
      </c>
      <c r="N457" s="27">
        <f>SUM(I457:M457)</f>
        <v>0</v>
      </c>
      <c r="O457" s="28">
        <f>Population_Data!$B$8*N457</f>
        <v>0</v>
      </c>
      <c r="P457" s="27">
        <f>IF(VLOOKUP($A457,Calendar!$A$1:$R$1377,18,0)=0,0,IF(VLOOKUP($A457,Calendar!$A$1:$R$1377,18,0)=1,IFERROR(INDEX(Pension_Model!$D$2:$D$29,MATCH(H457,Pension_Model!$B$2:$B$29,0)),0),IF(VLOOKUP($A457,Calendar!$A$1:$R$1377,18,0)=2,SUM(IFERROR(INDEX(Pension_Model!$D$2:$D$29,MATCH(H457,Pension_Model!$B$2:$B$29,0)),0),IFERROR(INDEX(Pension_Model!$D$2:$D$29,MATCH(H458,Pension_Model!$B$2:$B$29,0)),0)),IF(VLOOKUP($A457,Calendar!$A$1:$R$1377,18,0)=3,SUM(IFERROR(INDEX(Pension_Model!$D$2:$D$29,MATCH(H457,Pension_Model!$B$2:$B$29,0)),0),IFERROR(INDEX(Pension_Model!$D$2:$D$29,MATCH(H458,Pension_Model!$B$2:$B$29,0)),0),IFERROR(INDEX(Pension_Model!$D$2:$D$29,MATCH(H459,Pension_Model!$B$2:$B$29,0)),0)),IF(VLOOKUP($A457,Calendar!$A$1:$R$1377,18,0)=4,SUM(IFERROR(INDEX(Pension_Model!$D$2:$D$29,MATCH(H457,Pension_Model!$B$2:$B$29,0)),0),IFERROR(INDEX(Pension_Model!$D$2:$D$29,MATCH(H458,Pension_Model!$B$2:$B$29,0)),0),IFERROR(INDEX(Pension_Model!$D$2:$D$29,MATCH(H459,Pension_Model!$B$2:$B$29,0)),0),IFERROR(INDEX(Pension_Model!$D$2:$D$29,MATCH(H460,Pension_Model!$B$2:$B$29,0)),0)),IF(VLOOKUP($A457,Calendar!$A$1:$R$1377,18,0)=5,SUM(IFERROR(INDEX(Pension_Model!$D$2:$D$29,MATCH(H457,Pension_Model!$B$2:$B$29,0)),0),IFERROR(INDEX(Pension_Model!$D$2:$D$29,MATCH(H458,Pension_Model!$B$2:$B$29,0)),0),IFERROR(INDEX(Pension_Model!$D$2:$D$29,MATCH(H459,Pension_Model!$B$2:$B$29,0)),0),IFERROR(INDEX(Pension_Model!$D$2:$D$29,MATCH(H460,Pension_Model!$B$2:$B$29,0)),0),IFERROR(INDEX(Pension_Model!$D$2:$D$29,MATCH(H461,Pension_Model!$B$2:$B$29,0)),0)),0))))))</f>
        <v>0</v>
      </c>
      <c r="Q457" s="28">
        <f>Population_Data!$B$15*P457</f>
        <v>0</v>
      </c>
      <c r="S457">
        <f t="shared" si="7"/>
        <v>0</v>
      </c>
      <c r="U457" s="33">
        <f>S457/Population_Data!$B$19</f>
        <v>0</v>
      </c>
    </row>
    <row r="458" spans="1:21">
      <c r="A458" s="25">
        <f>Calendar!A458</f>
        <v>46691</v>
      </c>
      <c r="B458" t="str">
        <f>Calendar!L458</f>
        <v>No</v>
      </c>
      <c r="C458" t="str">
        <f>Calendar!O458</f>
        <v>No</v>
      </c>
      <c r="D458" t="str">
        <f>Calendar!P458</f>
        <v>No</v>
      </c>
      <c r="E458" t="str">
        <f>Calendar!Q458</f>
        <v>No</v>
      </c>
      <c r="F458" t="str">
        <f>Calendar!I458</f>
        <v>Sunday</v>
      </c>
      <c r="G458">
        <f>Calendar!S458</f>
        <v>1</v>
      </c>
      <c r="H458">
        <f>Calendar!T458</f>
        <v>15</v>
      </c>
      <c r="I458" s="27">
        <f>IF(VLOOKUP(A458,Calendar!$A$1:$R$1377,18,0)=0,0,IF(VLOOKUP(A458,Calendar!$A$1:$R$1377,18,0)=1,INDEX(Monthly_Pay_Model!$A$9:$D$40,MATCH(TEXT(A458,"dd"),Monthly_Pay_Model!$C$9:$C$39,0),4),IF(VLOOKUP(A458,Calendar!$A$1:$R$1377,18,0)=2,SUM(INDEX(Monthly_Pay_Model!$A$9:$D$40,MATCH(TEXT(A458,"dd"),Monthly_Pay_Model!$C$9:$C$39,0),4),INDEX(Monthly_Pay_Model!$A$9:$D$40,MATCH(TEXT(A459,"dd"),Monthly_Pay_Model!$C$9:$C$39,0),4)),IF(VLOOKUP(A458,Calendar!$A$1:$R$1377,18,0)=3,SUM(INDEX(Monthly_Pay_Model!$A$9:$D$40,MATCH(TEXT(A458,"dd"),Monthly_Pay_Model!$C$9:$C$39,0),4),INDEX(Monthly_Pay_Model!$A$9:$D$40,MATCH(TEXT(A459,"dd"),Monthly_Pay_Model!$C$9:$C$39,0),4),INDEX(Monthly_Pay_Model!$A$9:$D$40,MATCH(TEXT(A460,"dd"),Monthly_Pay_Model!$C$9:$C$39,0),4)),IF(VLOOKUP(A458,Calendar!$A$1:$R$1377,18,0)=4,SUM(INDEX(Monthly_Pay_Model!$A$9:$D$40,MATCH(TEXT(A458,"dd"),Monthly_Pay_Model!$C$9:$C$39,0),4),INDEX(Monthly_Pay_Model!$A$9:$D$40,MATCH(TEXT(A459,"dd"),Monthly_Pay_Model!$C$9:$C$39,0),4),INDEX(Monthly_Pay_Model!$A$9:$D$40,MATCH(TEXT(A460,"dd"),Monthly_Pay_Model!$C$9:$C$39,0),4),INDEX(Monthly_Pay_Model!$A$9:$D$40,MATCH(TEXT(A461,"dd"),Monthly_Pay_Model!$C$9:$C$39,0),4)),IF(VLOOKUP(A458,Calendar!$A$1:$R$1377,18,0)=5,SUM(INDEX(Monthly_Pay_Model!$A$9:$D$40,MATCH(TEXT(A458,"dd"),Monthly_Pay_Model!$C$9:$C$39,0),4),INDEX(Monthly_Pay_Model!$A$9:$D$40,MATCH(TEXT(A459,"dd"),Monthly_Pay_Model!$C$9:$C$39,0),4),INDEX(Monthly_Pay_Model!$A$9:$D$40,MATCH(TEXT(A460,"dd"),Monthly_Pay_Model!$C$9:$C$39,0),4),INDEX(Monthly_Pay_Model!$A$9:$D$40,MATCH(TEXT(A461,"dd"),Monthly_Pay_Model!$C$9:$C$39,0),4),INDEX(Monthly_Pay_Model!$A$9:$D$40,MATCH(TEXT(A462,"dd"),Monthly_Pay_Model!$C$9:$C$39,0),4)),))))))</f>
        <v>0</v>
      </c>
      <c r="J458" s="33">
        <f>IF(C458="Yes",Monthly_Pay_Model!$D$2,0)
+IF(Calendar!N458="Yes",Monthly_Pay_Model!$D$3,0)
+IF(D458="Yes",Monthly_Pay_Model!$D$4,0)
+IF(E458="Yes",Monthly_Pay_Model!$D$5,0)</f>
        <v>0.12416000000000001</v>
      </c>
      <c r="K458" s="27">
        <f>IF(VLOOKUP($A458,Calendar!$A$1:$R$1377,18,0)=0,0,IF(VLOOKUP($A458,Calendar!$A$1:$R$1377,18,0)=1,IFERROR(INDEX(Weekly_Model!$D$2:$D$9,MATCH(F458,Weekly_Model!$A$2:$A$9,0)),0),IF(VLOOKUP($A458,Calendar!$A$1:$R$1377,18,0)=2,SUM(IFERROR(INDEX(Weekly_Model!$D$2:$D$9,MATCH(F458,Weekly_Model!$A$2:$A$9,0)),0),IFERROR(INDEX(Weekly_Model!$D$2:$D$9,MATCH(F459,Weekly_Model!$A$2:$A$9,0)),0)),IF(VLOOKUP($A458,Calendar!$A$1:$R$1377,18,0)=3,SUM(IFERROR(INDEX(Weekly_Model!$D$2:$D$9,MATCH(F458,Weekly_Model!$A$2:$A$9,0)),0),IFERROR(INDEX(Weekly_Model!$D$2:$D$9,MATCH(F459,Weekly_Model!$A$2:$A$9,0)),0),IFERROR(INDEX(Weekly_Model!$D$2:$D$9,MATCH(F460,Weekly_Model!$A$2:$A$9,0)),0)),IF(VLOOKUP($A458,Calendar!$A$1:$R$1377,18,0)=4,SUM(IFERROR(INDEX(Weekly_Model!$D$2:$D$9,MATCH(F458,Weekly_Model!$A$2:$A$9,0)),0),IFERROR(INDEX(Weekly_Model!$D$2:$D$9,MATCH(F459,Weekly_Model!$A$2:$A$9,0)),0),IFERROR(INDEX(Weekly_Model!$D$2:$D$9,MATCH(F460,Weekly_Model!$A$2:$A$9,0)),0),IFERROR(INDEX(Weekly_Model!$D$2:$D$9,MATCH(F461,Weekly_Model!$A$2:$A$9,0)),0)),IF(VLOOKUP($A458,Calendar!$A$1:$R$1377,18,0)=5,SUM(IFERROR(INDEX(Weekly_Model!$D$2:$D$9,MATCH(F458,Weekly_Model!$A$2:$A$9,0)),0),IFERROR(INDEX(Weekly_Model!$D$2:$D$9,MATCH(F459,Weekly_Model!$A$2:$A$9,0)),0),IFERROR(INDEX(Weekly_Model!$D$2:$D$9,MATCH(F460,Weekly_Model!$A$2:$A$9,0)),0),IFERROR(INDEX(Weekly_Model!$D$2:$D$9,MATCH(F461,Weekly_Model!$A$2:$A$9,0)),0),IFERROR(INDEX(Weekly_Model!$D$2:$D$9,MATCH(F462,Weekly_Model!$A$2:$A$9,0)),0)),0))))))</f>
        <v>0</v>
      </c>
      <c r="L458" s="27">
        <f>IF(VLOOKUP($A458,Calendar!$A$1:$R$1377,18,0)=0,0,IF(VLOOKUP($A458,Calendar!$A$1:$R$1377,18,0)=1,IFERROR(INDEX(Fortnightly_Model!$D$2:$D$15,MATCH(G458,Fortnightly_Model!$B$2:$B$15,0)),0),IF(VLOOKUP($A458,Calendar!$A$1:$R$1377,18,0)=2,SUM(IFERROR(INDEX(Fortnightly_Model!$D$2:$D$15,MATCH(G458,Fortnightly_Model!$B$2:$B$15,0)),0),IFERROR(INDEX(Fortnightly_Model!$D$2:$D$15,MATCH(G459,Fortnightly_Model!$B$2:$B$15,0)),0)),IF(VLOOKUP($A458,Calendar!$A$1:$R$1377,18,0)=3,SUM(IFERROR(INDEX(Fortnightly_Model!$D$2:$D$15,MATCH(G458,Fortnightly_Model!$B$2:$B$15,0)),0),IFERROR(INDEX(Fortnightly_Model!$D$2:$D$15,MATCH(G459,Fortnightly_Model!$B$2:$B$15,0)),0),IFERROR(INDEX(Fortnightly_Model!$D$2:$D$15,MATCH(G460,Fortnightly_Model!$B$2:$B$15,0)),0)),IF(VLOOKUP($A458,Calendar!$A$1:$R$1377,18,0)=4,SUM(IFERROR(INDEX(Fortnightly_Model!$D$2:$D$15,MATCH(G458,Fortnightly_Model!$B$2:$B$15,0)),0),IFERROR(INDEX(Fortnightly_Model!$D$2:$D$15,MATCH(G459,Fortnightly_Model!$B$2:$B$15,0)),0),IFERROR(INDEX(Fortnightly_Model!$D$2:$D$15,MATCH(G460,Fortnightly_Model!$B$2:$B$15,0)),0),IFERROR(INDEX(Fortnightly_Model!$D$2:$D$15,MATCH(G461,Fortnightly_Model!$B$2:$B$15,0)),0)),IF(VLOOKUP($A458,Calendar!$A$1:$R$1377,18,0)=5,SUM(IFERROR(INDEX(Fortnightly_Model!$D$2:$D$15,MATCH(G458,Fortnightly_Model!$B$2:$B$15,0)),0),IFERROR(INDEX(Fortnightly_Model!$D$2:$D$15,MATCH(G459,Fortnightly_Model!$B$2:$B$15,0)),0),IFERROR(INDEX(Fortnightly_Model!$D$2:$D$15,MATCH(G460,Fortnightly_Model!$B$2:$B$15,0)),0),IFERROR(INDEX(Fortnightly_Model!$D$2:$D$15,MATCH(G461,Fortnightly_Model!$B$2:$B$15,0)),0),IFERROR(INDEX(Fortnightly_Model!$D$2:$D$15,MATCH(G462,Fortnightly_Model!$B$2:$B$15,0)),0)),0))))))</f>
        <v>0</v>
      </c>
      <c r="M458" s="27">
        <f>IF(VLOOKUP($A458,Calendar!$A$1:$R$1377,18,0)=0,0,IF(VLOOKUP($A458,Calendar!$A$1:$R$1377,18,0)=1,IFERROR(INDEX(FourWeekly_Model!$D$2:$D$29,MATCH(H458,FourWeekly_Model!$B$2:$B$29,0)),0),IF(VLOOKUP($A458,Calendar!$A$1:$R$1377,18,0)=2,SUM(IFERROR(INDEX(FourWeekly_Model!$D$2:$D$29,MATCH(H458,FourWeekly_Model!$B$2:$B$29,0)),0),IFERROR(INDEX(FourWeekly_Model!$D$2:$D$29,MATCH(H459,FourWeekly_Model!$B$2:$B$29,0)),0)),IF(VLOOKUP($A458,Calendar!$A$1:$R$1377,18,0)=3,SUM(IFERROR(INDEX(FourWeekly_Model!$D$2:$D$29,MATCH(H458,FourWeekly_Model!$B$2:$B$29,0)),0),IFERROR(INDEX(FourWeekly_Model!$D$2:$D$29,MATCH(H459,FourWeekly_Model!$B$2:$B$29,0)),0),IFERROR(INDEX(FourWeekly_Model!$D$2:$D$29,MATCH(H460,FourWeekly_Model!$B$2:$B$29,0)),0)),IF(VLOOKUP($A458,Calendar!$A$1:$R$1377,18,0)=4,SUM(IFERROR(INDEX(FourWeekly_Model!$D$2:$D$29,MATCH(H458,FourWeekly_Model!$B$2:$B$29,0)),0),IFERROR(INDEX(FourWeekly_Model!$D$2:$D$29,MATCH(H459,FourWeekly_Model!$B$2:$B$29,0)),0),IFERROR(INDEX(FourWeekly_Model!$D$2:$D$29,MATCH(H460,FourWeekly_Model!$B$2:$B$29,0)),0),IFERROR(INDEX(FourWeekly_Model!$D$2:$D$29,MATCH(H461,FourWeekly_Model!$B$2:$B$29,0)),0)),IF(VLOOKUP($A458,Calendar!$A$1:$R$1377,18,0)=5,SUM(IFERROR(INDEX(FourWeekly_Model!$D$2:$D$29,MATCH(H458,FourWeekly_Model!$B$2:$B$29,0)),0),IFERROR(INDEX(FourWeekly_Model!$D$2:$D$29,MATCH(H459,FourWeekly_Model!$B$2:$B$29,0)),0),IFERROR(INDEX(FourWeekly_Model!$D$2:$D$29,MATCH(H460,FourWeekly_Model!$B$2:$B$29,0)),0),IFERROR(INDEX(FourWeekly_Model!$D$2:$D$29,MATCH(H461,FourWeekly_Model!$B$2:$B$29,0)),0),IFERROR(INDEX(FourWeekly_Model!$D$2:$D$29,MATCH(H462,FourWeekly_Model!$B$2:$B$29,0)),0)),0))))))</f>
        <v>0</v>
      </c>
      <c r="N458" s="27">
        <f>SUM(I458:M458)</f>
        <v>0.12416000000000001</v>
      </c>
      <c r="O458" s="28">
        <f>Population_Data!$B$8*N458</f>
        <v>3762048</v>
      </c>
      <c r="P458" s="27">
        <f>IF(VLOOKUP($A458,Calendar!$A$1:$R$1377,18,0)=0,0,IF(VLOOKUP($A458,Calendar!$A$1:$R$1377,18,0)=1,IFERROR(INDEX(Pension_Model!$D$2:$D$29,MATCH(H458,Pension_Model!$B$2:$B$29,0)),0),IF(VLOOKUP($A458,Calendar!$A$1:$R$1377,18,0)=2,SUM(IFERROR(INDEX(Pension_Model!$D$2:$D$29,MATCH(H458,Pension_Model!$B$2:$B$29,0)),0),IFERROR(INDEX(Pension_Model!$D$2:$D$29,MATCH(H459,Pension_Model!$B$2:$B$29,0)),0)),IF(VLOOKUP($A458,Calendar!$A$1:$R$1377,18,0)=3,SUM(IFERROR(INDEX(Pension_Model!$D$2:$D$29,MATCH(H458,Pension_Model!$B$2:$B$29,0)),0),IFERROR(INDEX(Pension_Model!$D$2:$D$29,MATCH(H459,Pension_Model!$B$2:$B$29,0)),0),IFERROR(INDEX(Pension_Model!$D$2:$D$29,MATCH(H460,Pension_Model!$B$2:$B$29,0)),0)),IF(VLOOKUP($A458,Calendar!$A$1:$R$1377,18,0)=4,SUM(IFERROR(INDEX(Pension_Model!$D$2:$D$29,MATCH(H458,Pension_Model!$B$2:$B$29,0)),0),IFERROR(INDEX(Pension_Model!$D$2:$D$29,MATCH(H459,Pension_Model!$B$2:$B$29,0)),0),IFERROR(INDEX(Pension_Model!$D$2:$D$29,MATCH(H460,Pension_Model!$B$2:$B$29,0)),0),IFERROR(INDEX(Pension_Model!$D$2:$D$29,MATCH(H461,Pension_Model!$B$2:$B$29,0)),0)),IF(VLOOKUP($A458,Calendar!$A$1:$R$1377,18,0)=5,SUM(IFERROR(INDEX(Pension_Model!$D$2:$D$29,MATCH(H458,Pension_Model!$B$2:$B$29,0)),0),IFERROR(INDEX(Pension_Model!$D$2:$D$29,MATCH(H459,Pension_Model!$B$2:$B$29,0)),0),IFERROR(INDEX(Pension_Model!$D$2:$D$29,MATCH(H460,Pension_Model!$B$2:$B$29,0)),0),IFERROR(INDEX(Pension_Model!$D$2:$D$29,MATCH(H461,Pension_Model!$B$2:$B$29,0)),0),IFERROR(INDEX(Pension_Model!$D$2:$D$29,MATCH(H462,Pension_Model!$B$2:$B$29,0)),0)),0))))))</f>
        <v>0</v>
      </c>
      <c r="Q458" s="28">
        <f>Population_Data!$B$15*P458</f>
        <v>0</v>
      </c>
      <c r="S458">
        <f t="shared" si="7"/>
        <v>3762048</v>
      </c>
      <c r="U458" s="33">
        <f>S458/Population_Data!$B$19</f>
        <v>6.8153043478260872E-2</v>
      </c>
    </row>
    <row r="459" spans="1:21">
      <c r="A459" s="25">
        <f>Calendar!A459</f>
        <v>46692</v>
      </c>
      <c r="B459" t="str">
        <f>Calendar!L459</f>
        <v>Yes</v>
      </c>
      <c r="C459" t="str">
        <f>Calendar!O459</f>
        <v>No</v>
      </c>
      <c r="D459" t="str">
        <f>Calendar!P459</f>
        <v>No</v>
      </c>
      <c r="E459" t="str">
        <f>Calendar!Q459</f>
        <v>No</v>
      </c>
      <c r="F459" t="str">
        <f>Calendar!I459</f>
        <v>Monday</v>
      </c>
      <c r="G459">
        <f>Calendar!S459</f>
        <v>2</v>
      </c>
      <c r="H459">
        <f>Calendar!T459</f>
        <v>16</v>
      </c>
      <c r="I459" s="27">
        <f>IF(VLOOKUP(A459,Calendar!$A$1:$R$1377,18,0)=0,0,IF(VLOOKUP(A459,Calendar!$A$1:$R$1377,18,0)=1,INDEX(Monthly_Pay_Model!$A$9:$D$40,MATCH(TEXT(A459,"dd"),Monthly_Pay_Model!$C$9:$C$39,0),4),IF(VLOOKUP(A459,Calendar!$A$1:$R$1377,18,0)=2,SUM(INDEX(Monthly_Pay_Model!$A$9:$D$40,MATCH(TEXT(A459,"dd"),Monthly_Pay_Model!$C$9:$C$39,0),4),INDEX(Monthly_Pay_Model!$A$9:$D$40,MATCH(TEXT(A460,"dd"),Monthly_Pay_Model!$C$9:$C$39,0),4)),IF(VLOOKUP(A459,Calendar!$A$1:$R$1377,18,0)=3,SUM(INDEX(Monthly_Pay_Model!$A$9:$D$40,MATCH(TEXT(A459,"dd"),Monthly_Pay_Model!$C$9:$C$39,0),4),INDEX(Monthly_Pay_Model!$A$9:$D$40,MATCH(TEXT(A460,"dd"),Monthly_Pay_Model!$C$9:$C$39,0),4),INDEX(Monthly_Pay_Model!$A$9:$D$40,MATCH(TEXT(A461,"dd"),Monthly_Pay_Model!$C$9:$C$39,0),4)),IF(VLOOKUP(A459,Calendar!$A$1:$R$1377,18,0)=4,SUM(INDEX(Monthly_Pay_Model!$A$9:$D$40,MATCH(TEXT(A459,"dd"),Monthly_Pay_Model!$C$9:$C$39,0),4),INDEX(Monthly_Pay_Model!$A$9:$D$40,MATCH(TEXT(A460,"dd"),Monthly_Pay_Model!$C$9:$C$39,0),4),INDEX(Monthly_Pay_Model!$A$9:$D$40,MATCH(TEXT(A461,"dd"),Monthly_Pay_Model!$C$9:$C$39,0),4),INDEX(Monthly_Pay_Model!$A$9:$D$40,MATCH(TEXT(A462,"dd"),Monthly_Pay_Model!$C$9:$C$39,0),4)),IF(VLOOKUP(A459,Calendar!$A$1:$R$1377,18,0)=5,SUM(INDEX(Monthly_Pay_Model!$A$9:$D$40,MATCH(TEXT(A459,"dd"),Monthly_Pay_Model!$C$9:$C$39,0),4),INDEX(Monthly_Pay_Model!$A$9:$D$40,MATCH(TEXT(A460,"dd"),Monthly_Pay_Model!$C$9:$C$39,0),4),INDEX(Monthly_Pay_Model!$A$9:$D$40,MATCH(TEXT(A461,"dd"),Monthly_Pay_Model!$C$9:$C$39,0),4),INDEX(Monthly_Pay_Model!$A$9:$D$40,MATCH(TEXT(A462,"dd"),Monthly_Pay_Model!$C$9:$C$39,0),4),INDEX(Monthly_Pay_Model!$A$9:$D$40,MATCH(TEXT(A463,"dd"),Monthly_Pay_Model!$C$9:$C$39,0),4)),))))))</f>
        <v>4.0628272251308894E-3</v>
      </c>
      <c r="J459" s="33">
        <f>IF(C459="Yes",Monthly_Pay_Model!$D$2,0)
+IF(Calendar!N459="Yes",Monthly_Pay_Model!$D$3,0)
+IF(D459="Yes",Monthly_Pay_Model!$D$4,0)
+IF(E459="Yes",Monthly_Pay_Model!$D$5,0)</f>
        <v>0</v>
      </c>
      <c r="K459" s="27">
        <f>IF(VLOOKUP($A459,Calendar!$A$1:$R$1377,18,0)=0,0,IF(VLOOKUP($A459,Calendar!$A$1:$R$1377,18,0)=1,IFERROR(INDEX(Weekly_Model!$D$2:$D$9,MATCH(F459,Weekly_Model!$A$2:$A$9,0)),0),IF(VLOOKUP($A459,Calendar!$A$1:$R$1377,18,0)=2,SUM(IFERROR(INDEX(Weekly_Model!$D$2:$D$9,MATCH(F459,Weekly_Model!$A$2:$A$9,0)),0),IFERROR(INDEX(Weekly_Model!$D$2:$D$9,MATCH(F460,Weekly_Model!$A$2:$A$9,0)),0)),IF(VLOOKUP($A459,Calendar!$A$1:$R$1377,18,0)=3,SUM(IFERROR(INDEX(Weekly_Model!$D$2:$D$9,MATCH(F459,Weekly_Model!$A$2:$A$9,0)),0),IFERROR(INDEX(Weekly_Model!$D$2:$D$9,MATCH(F460,Weekly_Model!$A$2:$A$9,0)),0),IFERROR(INDEX(Weekly_Model!$D$2:$D$9,MATCH(F461,Weekly_Model!$A$2:$A$9,0)),0)),IF(VLOOKUP($A459,Calendar!$A$1:$R$1377,18,0)=4,SUM(IFERROR(INDEX(Weekly_Model!$D$2:$D$9,MATCH(F459,Weekly_Model!$A$2:$A$9,0)),0),IFERROR(INDEX(Weekly_Model!$D$2:$D$9,MATCH(F460,Weekly_Model!$A$2:$A$9,0)),0),IFERROR(INDEX(Weekly_Model!$D$2:$D$9,MATCH(F461,Weekly_Model!$A$2:$A$9,0)),0),IFERROR(INDEX(Weekly_Model!$D$2:$D$9,MATCH(F462,Weekly_Model!$A$2:$A$9,0)),0)),IF(VLOOKUP($A459,Calendar!$A$1:$R$1377,18,0)=5,SUM(IFERROR(INDEX(Weekly_Model!$D$2:$D$9,MATCH(F459,Weekly_Model!$A$2:$A$9,0)),0),IFERROR(INDEX(Weekly_Model!$D$2:$D$9,MATCH(F460,Weekly_Model!$A$2:$A$9,0)),0),IFERROR(INDEX(Weekly_Model!$D$2:$D$9,MATCH(F461,Weekly_Model!$A$2:$A$9,0)),0),IFERROR(INDEX(Weekly_Model!$D$2:$D$9,MATCH(F462,Weekly_Model!$A$2:$A$9,0)),0),IFERROR(INDEX(Weekly_Model!$D$2:$D$9,MATCH(F463,Weekly_Model!$A$2:$A$9,0)),0)),0))))))</f>
        <v>2.3200000000000002E-2</v>
      </c>
      <c r="L459" s="27">
        <f>IF(VLOOKUP($A459,Calendar!$A$1:$R$1377,18,0)=0,0,IF(VLOOKUP($A459,Calendar!$A$1:$R$1377,18,0)=1,IFERROR(INDEX(Fortnightly_Model!$D$2:$D$15,MATCH(G459,Fortnightly_Model!$B$2:$B$15,0)),0),IF(VLOOKUP($A459,Calendar!$A$1:$R$1377,18,0)=2,SUM(IFERROR(INDEX(Fortnightly_Model!$D$2:$D$15,MATCH(G459,Fortnightly_Model!$B$2:$B$15,0)),0),IFERROR(INDEX(Fortnightly_Model!$D$2:$D$15,MATCH(G460,Fortnightly_Model!$B$2:$B$15,0)),0)),IF(VLOOKUP($A459,Calendar!$A$1:$R$1377,18,0)=3,SUM(IFERROR(INDEX(Fortnightly_Model!$D$2:$D$15,MATCH(G459,Fortnightly_Model!$B$2:$B$15,0)),0),IFERROR(INDEX(Fortnightly_Model!$D$2:$D$15,MATCH(G460,Fortnightly_Model!$B$2:$B$15,0)),0),IFERROR(INDEX(Fortnightly_Model!$D$2:$D$15,MATCH(G461,Fortnightly_Model!$B$2:$B$15,0)),0)),IF(VLOOKUP($A459,Calendar!$A$1:$R$1377,18,0)=4,SUM(IFERROR(INDEX(Fortnightly_Model!$D$2:$D$15,MATCH(G459,Fortnightly_Model!$B$2:$B$15,0)),0),IFERROR(INDEX(Fortnightly_Model!$D$2:$D$15,MATCH(G460,Fortnightly_Model!$B$2:$B$15,0)),0),IFERROR(INDEX(Fortnightly_Model!$D$2:$D$15,MATCH(G461,Fortnightly_Model!$B$2:$B$15,0)),0),IFERROR(INDEX(Fortnightly_Model!$D$2:$D$15,MATCH(G462,Fortnightly_Model!$B$2:$B$15,0)),0)),IF(VLOOKUP($A459,Calendar!$A$1:$R$1377,18,0)=5,SUM(IFERROR(INDEX(Fortnightly_Model!$D$2:$D$15,MATCH(G459,Fortnightly_Model!$B$2:$B$15,0)),0),IFERROR(INDEX(Fortnightly_Model!$D$2:$D$15,MATCH(G460,Fortnightly_Model!$B$2:$B$15,0)),0),IFERROR(INDEX(Fortnightly_Model!$D$2:$D$15,MATCH(G461,Fortnightly_Model!$B$2:$B$15,0)),0),IFERROR(INDEX(Fortnightly_Model!$D$2:$D$15,MATCH(G462,Fortnightly_Model!$B$2:$B$15,0)),0),IFERROR(INDEX(Fortnightly_Model!$D$2:$D$15,MATCH(G463,Fortnightly_Model!$B$2:$B$15,0)),0)),0))))))</f>
        <v>1.0714285499999999E-3</v>
      </c>
      <c r="M459" s="27">
        <f>IF(VLOOKUP($A459,Calendar!$A$1:$R$1377,18,0)=0,0,IF(VLOOKUP($A459,Calendar!$A$1:$R$1377,18,0)=1,IFERROR(INDEX(FourWeekly_Model!$D$2:$D$29,MATCH(H459,FourWeekly_Model!$B$2:$B$29,0)),0),IF(VLOOKUP($A459,Calendar!$A$1:$R$1377,18,0)=2,SUM(IFERROR(INDEX(FourWeekly_Model!$D$2:$D$29,MATCH(H459,FourWeekly_Model!$B$2:$B$29,0)),0),IFERROR(INDEX(FourWeekly_Model!$D$2:$D$29,MATCH(H460,FourWeekly_Model!$B$2:$B$29,0)),0)),IF(VLOOKUP($A459,Calendar!$A$1:$R$1377,18,0)=3,SUM(IFERROR(INDEX(FourWeekly_Model!$D$2:$D$29,MATCH(H459,FourWeekly_Model!$B$2:$B$29,0)),0),IFERROR(INDEX(FourWeekly_Model!$D$2:$D$29,MATCH(H460,FourWeekly_Model!$B$2:$B$29,0)),0),IFERROR(INDEX(FourWeekly_Model!$D$2:$D$29,MATCH(H461,FourWeekly_Model!$B$2:$B$29,0)),0)),IF(VLOOKUP($A459,Calendar!$A$1:$R$1377,18,0)=4,SUM(IFERROR(INDEX(FourWeekly_Model!$D$2:$D$29,MATCH(H459,FourWeekly_Model!$B$2:$B$29,0)),0),IFERROR(INDEX(FourWeekly_Model!$D$2:$D$29,MATCH(H460,FourWeekly_Model!$B$2:$B$29,0)),0),IFERROR(INDEX(FourWeekly_Model!$D$2:$D$29,MATCH(H461,FourWeekly_Model!$B$2:$B$29,0)),0),IFERROR(INDEX(FourWeekly_Model!$D$2:$D$29,MATCH(H462,FourWeekly_Model!$B$2:$B$29,0)),0)),IF(VLOOKUP($A459,Calendar!$A$1:$R$1377,18,0)=5,SUM(IFERROR(INDEX(FourWeekly_Model!$D$2:$D$29,MATCH(H459,FourWeekly_Model!$B$2:$B$29,0)),0),IFERROR(INDEX(FourWeekly_Model!$D$2:$D$29,MATCH(H460,FourWeekly_Model!$B$2:$B$29,0)),0),IFERROR(INDEX(FourWeekly_Model!$D$2:$D$29,MATCH(H461,FourWeekly_Model!$B$2:$B$29,0)),0),IFERROR(INDEX(FourWeekly_Model!$D$2:$D$29,MATCH(H462,FourWeekly_Model!$B$2:$B$29,0)),0),IFERROR(INDEX(FourWeekly_Model!$D$2:$D$29,MATCH(H463,FourWeekly_Model!$B$2:$B$29,0)),0)),0))))))</f>
        <v>3.3214289700000004E-3</v>
      </c>
      <c r="N459" s="27">
        <f>SUM(I459:M459)</f>
        <v>3.1655684745130891E-2</v>
      </c>
      <c r="O459" s="28">
        <f>Population_Data!$B$8*N459</f>
        <v>959167.24777746596</v>
      </c>
      <c r="P459" s="27">
        <f>IF(VLOOKUP($A459,Calendar!$A$1:$R$1377,18,0)=0,0,IF(VLOOKUP($A459,Calendar!$A$1:$R$1377,18,0)=1,IFERROR(INDEX(Pension_Model!$D$2:$D$29,MATCH(H459,Pension_Model!$B$2:$B$29,0)),0),IF(VLOOKUP($A459,Calendar!$A$1:$R$1377,18,0)=2,SUM(IFERROR(INDEX(Pension_Model!$D$2:$D$29,MATCH(H459,Pension_Model!$B$2:$B$29,0)),0),IFERROR(INDEX(Pension_Model!$D$2:$D$29,MATCH(H460,Pension_Model!$B$2:$B$29,0)),0)),IF(VLOOKUP($A459,Calendar!$A$1:$R$1377,18,0)=3,SUM(IFERROR(INDEX(Pension_Model!$D$2:$D$29,MATCH(H459,Pension_Model!$B$2:$B$29,0)),0),IFERROR(INDEX(Pension_Model!$D$2:$D$29,MATCH(H460,Pension_Model!$B$2:$B$29,0)),0),IFERROR(INDEX(Pension_Model!$D$2:$D$29,MATCH(H461,Pension_Model!$B$2:$B$29,0)),0)),IF(VLOOKUP($A459,Calendar!$A$1:$R$1377,18,0)=4,SUM(IFERROR(INDEX(Pension_Model!$D$2:$D$29,MATCH(H459,Pension_Model!$B$2:$B$29,0)),0),IFERROR(INDEX(Pension_Model!$D$2:$D$29,MATCH(H460,Pension_Model!$B$2:$B$29,0)),0),IFERROR(INDEX(Pension_Model!$D$2:$D$29,MATCH(H461,Pension_Model!$B$2:$B$29,0)),0),IFERROR(INDEX(Pension_Model!$D$2:$D$29,MATCH(H462,Pension_Model!$B$2:$B$29,0)),0)),IF(VLOOKUP($A459,Calendar!$A$1:$R$1377,18,0)=5,SUM(IFERROR(INDEX(Pension_Model!$D$2:$D$29,MATCH(H459,Pension_Model!$B$2:$B$29,0)),0),IFERROR(INDEX(Pension_Model!$D$2:$D$29,MATCH(H460,Pension_Model!$B$2:$B$29,0)),0),IFERROR(INDEX(Pension_Model!$D$2:$D$29,MATCH(H461,Pension_Model!$B$2:$B$29,0)),0),IFERROR(INDEX(Pension_Model!$D$2:$D$29,MATCH(H462,Pension_Model!$B$2:$B$29,0)),0),IFERROR(INDEX(Pension_Model!$D$2:$D$29,MATCH(H463,Pension_Model!$B$2:$B$29,0)),0)),0))))))</f>
        <v>0.05</v>
      </c>
      <c r="Q459" s="28">
        <f>Population_Data!$B$15*P459</f>
        <v>660600</v>
      </c>
      <c r="S459">
        <f t="shared" si="7"/>
        <v>1619767.247777466</v>
      </c>
      <c r="U459" s="33">
        <f>S459/Population_Data!$B$19</f>
        <v>2.9343609561185979E-2</v>
      </c>
    </row>
    <row r="460" spans="1:21">
      <c r="A460" s="25">
        <f>Calendar!A460</f>
        <v>46693</v>
      </c>
      <c r="B460" t="str">
        <f>Calendar!L460</f>
        <v>Yes</v>
      </c>
      <c r="C460" t="str">
        <f>Calendar!O460</f>
        <v>No</v>
      </c>
      <c r="D460" t="str">
        <f>Calendar!P460</f>
        <v>No</v>
      </c>
      <c r="E460" t="str">
        <f>Calendar!Q460</f>
        <v>No</v>
      </c>
      <c r="F460" t="str">
        <f>Calendar!I460</f>
        <v>Tuesday</v>
      </c>
      <c r="G460">
        <f>Calendar!S460</f>
        <v>3</v>
      </c>
      <c r="H460">
        <f>Calendar!T460</f>
        <v>17</v>
      </c>
      <c r="I460" s="27">
        <f>IF(VLOOKUP(A460,Calendar!$A$1:$R$1377,18,0)=0,0,IF(VLOOKUP(A460,Calendar!$A$1:$R$1377,18,0)=1,INDEX(Monthly_Pay_Model!$A$9:$D$40,MATCH(TEXT(A460,"dd"),Monthly_Pay_Model!$C$9:$C$39,0),4),IF(VLOOKUP(A460,Calendar!$A$1:$R$1377,18,0)=2,SUM(INDEX(Monthly_Pay_Model!$A$9:$D$40,MATCH(TEXT(A460,"dd"),Monthly_Pay_Model!$C$9:$C$39,0),4),INDEX(Monthly_Pay_Model!$A$9:$D$40,MATCH(TEXT(A461,"dd"),Monthly_Pay_Model!$C$9:$C$39,0),4)),IF(VLOOKUP(A460,Calendar!$A$1:$R$1377,18,0)=3,SUM(INDEX(Monthly_Pay_Model!$A$9:$D$40,MATCH(TEXT(A460,"dd"),Monthly_Pay_Model!$C$9:$C$39,0),4),INDEX(Monthly_Pay_Model!$A$9:$D$40,MATCH(TEXT(A461,"dd"),Monthly_Pay_Model!$C$9:$C$39,0),4),INDEX(Monthly_Pay_Model!$A$9:$D$40,MATCH(TEXT(A462,"dd"),Monthly_Pay_Model!$C$9:$C$39,0),4)),IF(VLOOKUP(A460,Calendar!$A$1:$R$1377,18,0)=4,SUM(INDEX(Monthly_Pay_Model!$A$9:$D$40,MATCH(TEXT(A460,"dd"),Monthly_Pay_Model!$C$9:$C$39,0),4),INDEX(Monthly_Pay_Model!$A$9:$D$40,MATCH(TEXT(A461,"dd"),Monthly_Pay_Model!$C$9:$C$39,0),4),INDEX(Monthly_Pay_Model!$A$9:$D$40,MATCH(TEXT(A462,"dd"),Monthly_Pay_Model!$C$9:$C$39,0),4),INDEX(Monthly_Pay_Model!$A$9:$D$40,MATCH(TEXT(A463,"dd"),Monthly_Pay_Model!$C$9:$C$39,0),4)),IF(VLOOKUP(A460,Calendar!$A$1:$R$1377,18,0)=5,SUM(INDEX(Monthly_Pay_Model!$A$9:$D$40,MATCH(TEXT(A460,"dd"),Monthly_Pay_Model!$C$9:$C$39,0),4),INDEX(Monthly_Pay_Model!$A$9:$D$40,MATCH(TEXT(A461,"dd"),Monthly_Pay_Model!$C$9:$C$39,0),4),INDEX(Monthly_Pay_Model!$A$9:$D$40,MATCH(TEXT(A462,"dd"),Monthly_Pay_Model!$C$9:$C$39,0),4),INDEX(Monthly_Pay_Model!$A$9:$D$40,MATCH(TEXT(A463,"dd"),Monthly_Pay_Model!$C$9:$C$39,0),4),INDEX(Monthly_Pay_Model!$A$9:$D$40,MATCH(TEXT(A464,"dd"),Monthly_Pay_Model!$C$9:$C$39,0),4)),))))))</f>
        <v>8.1256544502617792E-4</v>
      </c>
      <c r="J460" s="33">
        <f>IF(C460="Yes",Monthly_Pay_Model!$D$2,0)
+IF(Calendar!N460="Yes",Monthly_Pay_Model!$D$3,0)
+IF(D460="Yes",Monthly_Pay_Model!$D$4,0)
+IF(E460="Yes",Monthly_Pay_Model!$D$5,0)</f>
        <v>0</v>
      </c>
      <c r="K460" s="27">
        <f>IF(VLOOKUP($A460,Calendar!$A$1:$R$1377,18,0)=0,0,IF(VLOOKUP($A460,Calendar!$A$1:$R$1377,18,0)=1,IFERROR(INDEX(Weekly_Model!$D$2:$D$9,MATCH(F460,Weekly_Model!$A$2:$A$9,0)),0),IF(VLOOKUP($A460,Calendar!$A$1:$R$1377,18,0)=2,SUM(IFERROR(INDEX(Weekly_Model!$D$2:$D$9,MATCH(F460,Weekly_Model!$A$2:$A$9,0)),0),IFERROR(INDEX(Weekly_Model!$D$2:$D$9,MATCH(F461,Weekly_Model!$A$2:$A$9,0)),0)),IF(VLOOKUP($A460,Calendar!$A$1:$R$1377,18,0)=3,SUM(IFERROR(INDEX(Weekly_Model!$D$2:$D$9,MATCH(F460,Weekly_Model!$A$2:$A$9,0)),0),IFERROR(INDEX(Weekly_Model!$D$2:$D$9,MATCH(F461,Weekly_Model!$A$2:$A$9,0)),0),IFERROR(INDEX(Weekly_Model!$D$2:$D$9,MATCH(F462,Weekly_Model!$A$2:$A$9,0)),0)),IF(VLOOKUP($A460,Calendar!$A$1:$R$1377,18,0)=4,SUM(IFERROR(INDEX(Weekly_Model!$D$2:$D$9,MATCH(F460,Weekly_Model!$A$2:$A$9,0)),0),IFERROR(INDEX(Weekly_Model!$D$2:$D$9,MATCH(F461,Weekly_Model!$A$2:$A$9,0)),0),IFERROR(INDEX(Weekly_Model!$D$2:$D$9,MATCH(F462,Weekly_Model!$A$2:$A$9,0)),0),IFERROR(INDEX(Weekly_Model!$D$2:$D$9,MATCH(F463,Weekly_Model!$A$2:$A$9,0)),0)),IF(VLOOKUP($A460,Calendar!$A$1:$R$1377,18,0)=5,SUM(IFERROR(INDEX(Weekly_Model!$D$2:$D$9,MATCH(F460,Weekly_Model!$A$2:$A$9,0)),0),IFERROR(INDEX(Weekly_Model!$D$2:$D$9,MATCH(F461,Weekly_Model!$A$2:$A$9,0)),0),IFERROR(INDEX(Weekly_Model!$D$2:$D$9,MATCH(F462,Weekly_Model!$A$2:$A$9,0)),0),IFERROR(INDEX(Weekly_Model!$D$2:$D$9,MATCH(F463,Weekly_Model!$A$2:$A$9,0)),0),IFERROR(INDEX(Weekly_Model!$D$2:$D$9,MATCH(F464,Weekly_Model!$A$2:$A$9,0)),0)),0))))))</f>
        <v>2.3200000000000002E-2</v>
      </c>
      <c r="L460" s="27">
        <f>IF(VLOOKUP($A460,Calendar!$A$1:$R$1377,18,0)=0,0,IF(VLOOKUP($A460,Calendar!$A$1:$R$1377,18,0)=1,IFERROR(INDEX(Fortnightly_Model!$D$2:$D$15,MATCH(G460,Fortnightly_Model!$B$2:$B$15,0)),0),IF(VLOOKUP($A460,Calendar!$A$1:$R$1377,18,0)=2,SUM(IFERROR(INDEX(Fortnightly_Model!$D$2:$D$15,MATCH(G460,Fortnightly_Model!$B$2:$B$15,0)),0),IFERROR(INDEX(Fortnightly_Model!$D$2:$D$15,MATCH(G461,Fortnightly_Model!$B$2:$B$15,0)),0)),IF(VLOOKUP($A460,Calendar!$A$1:$R$1377,18,0)=3,SUM(IFERROR(INDEX(Fortnightly_Model!$D$2:$D$15,MATCH(G460,Fortnightly_Model!$B$2:$B$15,0)),0),IFERROR(INDEX(Fortnightly_Model!$D$2:$D$15,MATCH(G461,Fortnightly_Model!$B$2:$B$15,0)),0),IFERROR(INDEX(Fortnightly_Model!$D$2:$D$15,MATCH(G462,Fortnightly_Model!$B$2:$B$15,0)),0)),IF(VLOOKUP($A460,Calendar!$A$1:$R$1377,18,0)=4,SUM(IFERROR(INDEX(Fortnightly_Model!$D$2:$D$15,MATCH(G460,Fortnightly_Model!$B$2:$B$15,0)),0),IFERROR(INDEX(Fortnightly_Model!$D$2:$D$15,MATCH(G461,Fortnightly_Model!$B$2:$B$15,0)),0),IFERROR(INDEX(Fortnightly_Model!$D$2:$D$15,MATCH(G462,Fortnightly_Model!$B$2:$B$15,0)),0),IFERROR(INDEX(Fortnightly_Model!$D$2:$D$15,MATCH(G463,Fortnightly_Model!$B$2:$B$15,0)),0)),IF(VLOOKUP($A460,Calendar!$A$1:$R$1377,18,0)=5,SUM(IFERROR(INDEX(Fortnightly_Model!$D$2:$D$15,MATCH(G460,Fortnightly_Model!$B$2:$B$15,0)),0),IFERROR(INDEX(Fortnightly_Model!$D$2:$D$15,MATCH(G461,Fortnightly_Model!$B$2:$B$15,0)),0),IFERROR(INDEX(Fortnightly_Model!$D$2:$D$15,MATCH(G462,Fortnightly_Model!$B$2:$B$15,0)),0),IFERROR(INDEX(Fortnightly_Model!$D$2:$D$15,MATCH(G463,Fortnightly_Model!$B$2:$B$15,0)),0),IFERROR(INDEX(Fortnightly_Model!$D$2:$D$15,MATCH(G464,Fortnightly_Model!$B$2:$B$15,0)),0)),0))))))</f>
        <v>1.0714285499999999E-3</v>
      </c>
      <c r="M460" s="27">
        <f>IF(VLOOKUP($A460,Calendar!$A$1:$R$1377,18,0)=0,0,IF(VLOOKUP($A460,Calendar!$A$1:$R$1377,18,0)=1,IFERROR(INDEX(FourWeekly_Model!$D$2:$D$29,MATCH(H460,FourWeekly_Model!$B$2:$B$29,0)),0),IF(VLOOKUP($A460,Calendar!$A$1:$R$1377,18,0)=2,SUM(IFERROR(INDEX(FourWeekly_Model!$D$2:$D$29,MATCH(H460,FourWeekly_Model!$B$2:$B$29,0)),0),IFERROR(INDEX(FourWeekly_Model!$D$2:$D$29,MATCH(H461,FourWeekly_Model!$B$2:$B$29,0)),0)),IF(VLOOKUP($A460,Calendar!$A$1:$R$1377,18,0)=3,SUM(IFERROR(INDEX(FourWeekly_Model!$D$2:$D$29,MATCH(H460,FourWeekly_Model!$B$2:$B$29,0)),0),IFERROR(INDEX(FourWeekly_Model!$D$2:$D$29,MATCH(H461,FourWeekly_Model!$B$2:$B$29,0)),0),IFERROR(INDEX(FourWeekly_Model!$D$2:$D$29,MATCH(H462,FourWeekly_Model!$B$2:$B$29,0)),0)),IF(VLOOKUP($A460,Calendar!$A$1:$R$1377,18,0)=4,SUM(IFERROR(INDEX(FourWeekly_Model!$D$2:$D$29,MATCH(H460,FourWeekly_Model!$B$2:$B$29,0)),0),IFERROR(INDEX(FourWeekly_Model!$D$2:$D$29,MATCH(H461,FourWeekly_Model!$B$2:$B$29,0)),0),IFERROR(INDEX(FourWeekly_Model!$D$2:$D$29,MATCH(H462,FourWeekly_Model!$B$2:$B$29,0)),0),IFERROR(INDEX(FourWeekly_Model!$D$2:$D$29,MATCH(H463,FourWeekly_Model!$B$2:$B$29,0)),0)),IF(VLOOKUP($A460,Calendar!$A$1:$R$1377,18,0)=5,SUM(IFERROR(INDEX(FourWeekly_Model!$D$2:$D$29,MATCH(H460,FourWeekly_Model!$B$2:$B$29,0)),0),IFERROR(INDEX(FourWeekly_Model!$D$2:$D$29,MATCH(H461,FourWeekly_Model!$B$2:$B$29,0)),0),IFERROR(INDEX(FourWeekly_Model!$D$2:$D$29,MATCH(H462,FourWeekly_Model!$B$2:$B$29,0)),0),IFERROR(INDEX(FourWeekly_Model!$D$2:$D$29,MATCH(H463,FourWeekly_Model!$B$2:$B$29,0)),0),IFERROR(INDEX(FourWeekly_Model!$D$2:$D$29,MATCH(H464,FourWeekly_Model!$B$2:$B$29,0)),0)),0))))))</f>
        <v>3.3214289700000004E-3</v>
      </c>
      <c r="N460" s="27">
        <f>SUM(I460:M460)</f>
        <v>2.840542296502618E-2</v>
      </c>
      <c r="O460" s="28">
        <f>Population_Data!$B$8*N460</f>
        <v>860684.3158402933</v>
      </c>
      <c r="P460" s="27">
        <f>IF(VLOOKUP($A460,Calendar!$A$1:$R$1377,18,0)=0,0,IF(VLOOKUP($A460,Calendar!$A$1:$R$1377,18,0)=1,IFERROR(INDEX(Pension_Model!$D$2:$D$29,MATCH(H460,Pension_Model!$B$2:$B$29,0)),0),IF(VLOOKUP($A460,Calendar!$A$1:$R$1377,18,0)=2,SUM(IFERROR(INDEX(Pension_Model!$D$2:$D$29,MATCH(H460,Pension_Model!$B$2:$B$29,0)),0),IFERROR(INDEX(Pension_Model!$D$2:$D$29,MATCH(H461,Pension_Model!$B$2:$B$29,0)),0)),IF(VLOOKUP($A460,Calendar!$A$1:$R$1377,18,0)=3,SUM(IFERROR(INDEX(Pension_Model!$D$2:$D$29,MATCH(H460,Pension_Model!$B$2:$B$29,0)),0),IFERROR(INDEX(Pension_Model!$D$2:$D$29,MATCH(H461,Pension_Model!$B$2:$B$29,0)),0),IFERROR(INDEX(Pension_Model!$D$2:$D$29,MATCH(H462,Pension_Model!$B$2:$B$29,0)),0)),IF(VLOOKUP($A460,Calendar!$A$1:$R$1377,18,0)=4,SUM(IFERROR(INDEX(Pension_Model!$D$2:$D$29,MATCH(H460,Pension_Model!$B$2:$B$29,0)),0),IFERROR(INDEX(Pension_Model!$D$2:$D$29,MATCH(H461,Pension_Model!$B$2:$B$29,0)),0),IFERROR(INDEX(Pension_Model!$D$2:$D$29,MATCH(H462,Pension_Model!$B$2:$B$29,0)),0),IFERROR(INDEX(Pension_Model!$D$2:$D$29,MATCH(H463,Pension_Model!$B$2:$B$29,0)),0)),IF(VLOOKUP($A460,Calendar!$A$1:$R$1377,18,0)=5,SUM(IFERROR(INDEX(Pension_Model!$D$2:$D$29,MATCH(H460,Pension_Model!$B$2:$B$29,0)),0),IFERROR(INDEX(Pension_Model!$D$2:$D$29,MATCH(H461,Pension_Model!$B$2:$B$29,0)),0),IFERROR(INDEX(Pension_Model!$D$2:$D$29,MATCH(H462,Pension_Model!$B$2:$B$29,0)),0),IFERROR(INDEX(Pension_Model!$D$2:$D$29,MATCH(H463,Pension_Model!$B$2:$B$29,0)),0),IFERROR(INDEX(Pension_Model!$D$2:$D$29,MATCH(H464,Pension_Model!$B$2:$B$29,0)),0)),0))))))</f>
        <v>0.05</v>
      </c>
      <c r="Q460" s="28">
        <f>Population_Data!$B$15*P460</f>
        <v>660600</v>
      </c>
      <c r="S460">
        <f t="shared" si="7"/>
        <v>1521284.3158402932</v>
      </c>
      <c r="U460" s="33">
        <f>S460/Population_Data!$B$19</f>
        <v>2.7559498475367629E-2</v>
      </c>
    </row>
    <row r="461" spans="1:21">
      <c r="A461" s="25">
        <f>Calendar!A461</f>
        <v>46694</v>
      </c>
      <c r="B461" t="str">
        <f>Calendar!L461</f>
        <v>Yes</v>
      </c>
      <c r="C461" t="str">
        <f>Calendar!O461</f>
        <v>No</v>
      </c>
      <c r="D461" t="str">
        <f>Calendar!P461</f>
        <v>No</v>
      </c>
      <c r="E461" t="str">
        <f>Calendar!Q461</f>
        <v>No</v>
      </c>
      <c r="F461" t="str">
        <f>Calendar!I461</f>
        <v>Wednesday</v>
      </c>
      <c r="G461">
        <f>Calendar!S461</f>
        <v>4</v>
      </c>
      <c r="H461">
        <f>Calendar!T461</f>
        <v>18</v>
      </c>
      <c r="I461" s="27">
        <f>IF(VLOOKUP(A461,Calendar!$A$1:$R$1377,18,0)=0,0,IF(VLOOKUP(A461,Calendar!$A$1:$R$1377,18,0)=1,INDEX(Monthly_Pay_Model!$A$9:$D$40,MATCH(TEXT(A461,"dd"),Monthly_Pay_Model!$C$9:$C$39,0),4),IF(VLOOKUP(A461,Calendar!$A$1:$R$1377,18,0)=2,SUM(INDEX(Monthly_Pay_Model!$A$9:$D$40,MATCH(TEXT(A461,"dd"),Monthly_Pay_Model!$C$9:$C$39,0),4),INDEX(Monthly_Pay_Model!$A$9:$D$40,MATCH(TEXT(A462,"dd"),Monthly_Pay_Model!$C$9:$C$39,0),4)),IF(VLOOKUP(A461,Calendar!$A$1:$R$1377,18,0)=3,SUM(INDEX(Monthly_Pay_Model!$A$9:$D$40,MATCH(TEXT(A461,"dd"),Monthly_Pay_Model!$C$9:$C$39,0),4),INDEX(Monthly_Pay_Model!$A$9:$D$40,MATCH(TEXT(A462,"dd"),Monthly_Pay_Model!$C$9:$C$39,0),4),INDEX(Monthly_Pay_Model!$A$9:$D$40,MATCH(TEXT(A463,"dd"),Monthly_Pay_Model!$C$9:$C$39,0),4)),IF(VLOOKUP(A461,Calendar!$A$1:$R$1377,18,0)=4,SUM(INDEX(Monthly_Pay_Model!$A$9:$D$40,MATCH(TEXT(A461,"dd"),Monthly_Pay_Model!$C$9:$C$39,0),4),INDEX(Monthly_Pay_Model!$A$9:$D$40,MATCH(TEXT(A462,"dd"),Monthly_Pay_Model!$C$9:$C$39,0),4),INDEX(Monthly_Pay_Model!$A$9:$D$40,MATCH(TEXT(A463,"dd"),Monthly_Pay_Model!$C$9:$C$39,0),4),INDEX(Monthly_Pay_Model!$A$9:$D$40,MATCH(TEXT(A464,"dd"),Monthly_Pay_Model!$C$9:$C$39,0),4)),IF(VLOOKUP(A461,Calendar!$A$1:$R$1377,18,0)=5,SUM(INDEX(Monthly_Pay_Model!$A$9:$D$40,MATCH(TEXT(A461,"dd"),Monthly_Pay_Model!$C$9:$C$39,0),4),INDEX(Monthly_Pay_Model!$A$9:$D$40,MATCH(TEXT(A462,"dd"),Monthly_Pay_Model!$C$9:$C$39,0),4),INDEX(Monthly_Pay_Model!$A$9:$D$40,MATCH(TEXT(A463,"dd"),Monthly_Pay_Model!$C$9:$C$39,0),4),INDEX(Monthly_Pay_Model!$A$9:$D$40,MATCH(TEXT(A464,"dd"),Monthly_Pay_Model!$C$9:$C$39,0),4),INDEX(Monthly_Pay_Model!$A$9:$D$40,MATCH(TEXT(A465,"dd"),Monthly_Pay_Model!$C$9:$C$39,0),4)),))))))</f>
        <v>8.1256544502617792E-4</v>
      </c>
      <c r="J461" s="33">
        <f>IF(C461="Yes",Monthly_Pay_Model!$D$2,0)
+IF(Calendar!N461="Yes",Monthly_Pay_Model!$D$3,0)
+IF(D461="Yes",Monthly_Pay_Model!$D$4,0)
+IF(E461="Yes",Monthly_Pay_Model!$D$5,0)</f>
        <v>0</v>
      </c>
      <c r="K461" s="27">
        <f>IF(VLOOKUP($A461,Calendar!$A$1:$R$1377,18,0)=0,0,IF(VLOOKUP($A461,Calendar!$A$1:$R$1377,18,0)=1,IFERROR(INDEX(Weekly_Model!$D$2:$D$9,MATCH(F461,Weekly_Model!$A$2:$A$9,0)),0),IF(VLOOKUP($A461,Calendar!$A$1:$R$1377,18,0)=2,SUM(IFERROR(INDEX(Weekly_Model!$D$2:$D$9,MATCH(F461,Weekly_Model!$A$2:$A$9,0)),0),IFERROR(INDEX(Weekly_Model!$D$2:$D$9,MATCH(F462,Weekly_Model!$A$2:$A$9,0)),0)),IF(VLOOKUP($A461,Calendar!$A$1:$R$1377,18,0)=3,SUM(IFERROR(INDEX(Weekly_Model!$D$2:$D$9,MATCH(F461,Weekly_Model!$A$2:$A$9,0)),0),IFERROR(INDEX(Weekly_Model!$D$2:$D$9,MATCH(F462,Weekly_Model!$A$2:$A$9,0)),0),IFERROR(INDEX(Weekly_Model!$D$2:$D$9,MATCH(F463,Weekly_Model!$A$2:$A$9,0)),0)),IF(VLOOKUP($A461,Calendar!$A$1:$R$1377,18,0)=4,SUM(IFERROR(INDEX(Weekly_Model!$D$2:$D$9,MATCH(F461,Weekly_Model!$A$2:$A$9,0)),0),IFERROR(INDEX(Weekly_Model!$D$2:$D$9,MATCH(F462,Weekly_Model!$A$2:$A$9,0)),0),IFERROR(INDEX(Weekly_Model!$D$2:$D$9,MATCH(F463,Weekly_Model!$A$2:$A$9,0)),0),IFERROR(INDEX(Weekly_Model!$D$2:$D$9,MATCH(F464,Weekly_Model!$A$2:$A$9,0)),0)),IF(VLOOKUP($A461,Calendar!$A$1:$R$1377,18,0)=5,SUM(IFERROR(INDEX(Weekly_Model!$D$2:$D$9,MATCH(F461,Weekly_Model!$A$2:$A$9,0)),0),IFERROR(INDEX(Weekly_Model!$D$2:$D$9,MATCH(F462,Weekly_Model!$A$2:$A$9,0)),0),IFERROR(INDEX(Weekly_Model!$D$2:$D$9,MATCH(F463,Weekly_Model!$A$2:$A$9,0)),0),IFERROR(INDEX(Weekly_Model!$D$2:$D$9,MATCH(F464,Weekly_Model!$A$2:$A$9,0)),0),IFERROR(INDEX(Weekly_Model!$D$2:$D$9,MATCH(F465,Weekly_Model!$A$2:$A$9,0)),0)),0))))))</f>
        <v>2.3200000000000002E-2</v>
      </c>
      <c r="L461" s="27">
        <f>IF(VLOOKUP($A461,Calendar!$A$1:$R$1377,18,0)=0,0,IF(VLOOKUP($A461,Calendar!$A$1:$R$1377,18,0)=1,IFERROR(INDEX(Fortnightly_Model!$D$2:$D$15,MATCH(G461,Fortnightly_Model!$B$2:$B$15,0)),0),IF(VLOOKUP($A461,Calendar!$A$1:$R$1377,18,0)=2,SUM(IFERROR(INDEX(Fortnightly_Model!$D$2:$D$15,MATCH(G461,Fortnightly_Model!$B$2:$B$15,0)),0),IFERROR(INDEX(Fortnightly_Model!$D$2:$D$15,MATCH(G462,Fortnightly_Model!$B$2:$B$15,0)),0)),IF(VLOOKUP($A461,Calendar!$A$1:$R$1377,18,0)=3,SUM(IFERROR(INDEX(Fortnightly_Model!$D$2:$D$15,MATCH(G461,Fortnightly_Model!$B$2:$B$15,0)),0),IFERROR(INDEX(Fortnightly_Model!$D$2:$D$15,MATCH(G462,Fortnightly_Model!$B$2:$B$15,0)),0),IFERROR(INDEX(Fortnightly_Model!$D$2:$D$15,MATCH(G463,Fortnightly_Model!$B$2:$B$15,0)),0)),IF(VLOOKUP($A461,Calendar!$A$1:$R$1377,18,0)=4,SUM(IFERROR(INDEX(Fortnightly_Model!$D$2:$D$15,MATCH(G461,Fortnightly_Model!$B$2:$B$15,0)),0),IFERROR(INDEX(Fortnightly_Model!$D$2:$D$15,MATCH(G462,Fortnightly_Model!$B$2:$B$15,0)),0),IFERROR(INDEX(Fortnightly_Model!$D$2:$D$15,MATCH(G463,Fortnightly_Model!$B$2:$B$15,0)),0),IFERROR(INDEX(Fortnightly_Model!$D$2:$D$15,MATCH(G464,Fortnightly_Model!$B$2:$B$15,0)),0)),IF(VLOOKUP($A461,Calendar!$A$1:$R$1377,18,0)=5,SUM(IFERROR(INDEX(Fortnightly_Model!$D$2:$D$15,MATCH(G461,Fortnightly_Model!$B$2:$B$15,0)),0),IFERROR(INDEX(Fortnightly_Model!$D$2:$D$15,MATCH(G462,Fortnightly_Model!$B$2:$B$15,0)),0),IFERROR(INDEX(Fortnightly_Model!$D$2:$D$15,MATCH(G463,Fortnightly_Model!$B$2:$B$15,0)),0),IFERROR(INDEX(Fortnightly_Model!$D$2:$D$15,MATCH(G464,Fortnightly_Model!$B$2:$B$15,0)),0),IFERROR(INDEX(Fortnightly_Model!$D$2:$D$15,MATCH(G465,Fortnightly_Model!$B$2:$B$15,0)),0)),0))))))</f>
        <v>1.0714285499999999E-3</v>
      </c>
      <c r="M461" s="27">
        <f>IF(VLOOKUP($A461,Calendar!$A$1:$R$1377,18,0)=0,0,IF(VLOOKUP($A461,Calendar!$A$1:$R$1377,18,0)=1,IFERROR(INDEX(FourWeekly_Model!$D$2:$D$29,MATCH(H461,FourWeekly_Model!$B$2:$B$29,0)),0),IF(VLOOKUP($A461,Calendar!$A$1:$R$1377,18,0)=2,SUM(IFERROR(INDEX(FourWeekly_Model!$D$2:$D$29,MATCH(H461,FourWeekly_Model!$B$2:$B$29,0)),0),IFERROR(INDEX(FourWeekly_Model!$D$2:$D$29,MATCH(H462,FourWeekly_Model!$B$2:$B$29,0)),0)),IF(VLOOKUP($A461,Calendar!$A$1:$R$1377,18,0)=3,SUM(IFERROR(INDEX(FourWeekly_Model!$D$2:$D$29,MATCH(H461,FourWeekly_Model!$B$2:$B$29,0)),0),IFERROR(INDEX(FourWeekly_Model!$D$2:$D$29,MATCH(H462,FourWeekly_Model!$B$2:$B$29,0)),0),IFERROR(INDEX(FourWeekly_Model!$D$2:$D$29,MATCH(H463,FourWeekly_Model!$B$2:$B$29,0)),0)),IF(VLOOKUP($A461,Calendar!$A$1:$R$1377,18,0)=4,SUM(IFERROR(INDEX(FourWeekly_Model!$D$2:$D$29,MATCH(H461,FourWeekly_Model!$B$2:$B$29,0)),0),IFERROR(INDEX(FourWeekly_Model!$D$2:$D$29,MATCH(H462,FourWeekly_Model!$B$2:$B$29,0)),0),IFERROR(INDEX(FourWeekly_Model!$D$2:$D$29,MATCH(H463,FourWeekly_Model!$B$2:$B$29,0)),0),IFERROR(INDEX(FourWeekly_Model!$D$2:$D$29,MATCH(H464,FourWeekly_Model!$B$2:$B$29,0)),0)),IF(VLOOKUP($A461,Calendar!$A$1:$R$1377,18,0)=5,SUM(IFERROR(INDEX(FourWeekly_Model!$D$2:$D$29,MATCH(H461,FourWeekly_Model!$B$2:$B$29,0)),0),IFERROR(INDEX(FourWeekly_Model!$D$2:$D$29,MATCH(H462,FourWeekly_Model!$B$2:$B$29,0)),0),IFERROR(INDEX(FourWeekly_Model!$D$2:$D$29,MATCH(H463,FourWeekly_Model!$B$2:$B$29,0)),0),IFERROR(INDEX(FourWeekly_Model!$D$2:$D$29,MATCH(H464,FourWeekly_Model!$B$2:$B$29,0)),0),IFERROR(INDEX(FourWeekly_Model!$D$2:$D$29,MATCH(H465,FourWeekly_Model!$B$2:$B$29,0)),0)),0))))))</f>
        <v>3.3214289700000004E-3</v>
      </c>
      <c r="N461" s="27">
        <f>SUM(I461:M461)</f>
        <v>2.840542296502618E-2</v>
      </c>
      <c r="O461" s="28">
        <f>Population_Data!$B$8*N461</f>
        <v>860684.3158402933</v>
      </c>
      <c r="P461" s="27">
        <f>IF(VLOOKUP($A461,Calendar!$A$1:$R$1377,18,0)=0,0,IF(VLOOKUP($A461,Calendar!$A$1:$R$1377,18,0)=1,IFERROR(INDEX(Pension_Model!$D$2:$D$29,MATCH(H461,Pension_Model!$B$2:$B$29,0)),0),IF(VLOOKUP($A461,Calendar!$A$1:$R$1377,18,0)=2,SUM(IFERROR(INDEX(Pension_Model!$D$2:$D$29,MATCH(H461,Pension_Model!$B$2:$B$29,0)),0),IFERROR(INDEX(Pension_Model!$D$2:$D$29,MATCH(H462,Pension_Model!$B$2:$B$29,0)),0)),IF(VLOOKUP($A461,Calendar!$A$1:$R$1377,18,0)=3,SUM(IFERROR(INDEX(Pension_Model!$D$2:$D$29,MATCH(H461,Pension_Model!$B$2:$B$29,0)),0),IFERROR(INDEX(Pension_Model!$D$2:$D$29,MATCH(H462,Pension_Model!$B$2:$B$29,0)),0),IFERROR(INDEX(Pension_Model!$D$2:$D$29,MATCH(H463,Pension_Model!$B$2:$B$29,0)),0)),IF(VLOOKUP($A461,Calendar!$A$1:$R$1377,18,0)=4,SUM(IFERROR(INDEX(Pension_Model!$D$2:$D$29,MATCH(H461,Pension_Model!$B$2:$B$29,0)),0),IFERROR(INDEX(Pension_Model!$D$2:$D$29,MATCH(H462,Pension_Model!$B$2:$B$29,0)),0),IFERROR(INDEX(Pension_Model!$D$2:$D$29,MATCH(H463,Pension_Model!$B$2:$B$29,0)),0),IFERROR(INDEX(Pension_Model!$D$2:$D$29,MATCH(H464,Pension_Model!$B$2:$B$29,0)),0)),IF(VLOOKUP($A461,Calendar!$A$1:$R$1377,18,0)=5,SUM(IFERROR(INDEX(Pension_Model!$D$2:$D$29,MATCH(H461,Pension_Model!$B$2:$B$29,0)),0),IFERROR(INDEX(Pension_Model!$D$2:$D$29,MATCH(H462,Pension_Model!$B$2:$B$29,0)),0),IFERROR(INDEX(Pension_Model!$D$2:$D$29,MATCH(H463,Pension_Model!$B$2:$B$29,0)),0),IFERROR(INDEX(Pension_Model!$D$2:$D$29,MATCH(H464,Pension_Model!$B$2:$B$29,0)),0),IFERROR(INDEX(Pension_Model!$D$2:$D$29,MATCH(H465,Pension_Model!$B$2:$B$29,0)),0)),0))))))</f>
        <v>0.05</v>
      </c>
      <c r="Q461" s="28">
        <f>Population_Data!$B$15*P461</f>
        <v>660600</v>
      </c>
      <c r="S461">
        <f t="shared" si="7"/>
        <v>1521284.3158402932</v>
      </c>
      <c r="U461" s="33">
        <f>S461/Population_Data!$B$19</f>
        <v>2.7559498475367629E-2</v>
      </c>
    </row>
    <row r="462" spans="1:21">
      <c r="A462" s="25">
        <f>Calendar!A462</f>
        <v>46695</v>
      </c>
      <c r="B462" t="str">
        <f>Calendar!L462</f>
        <v>Yes</v>
      </c>
      <c r="C462" t="str">
        <f>Calendar!O462</f>
        <v>No</v>
      </c>
      <c r="D462" t="str">
        <f>Calendar!P462</f>
        <v>No</v>
      </c>
      <c r="E462" t="str">
        <f>Calendar!Q462</f>
        <v>No</v>
      </c>
      <c r="F462" t="str">
        <f>Calendar!I462</f>
        <v>Thursday</v>
      </c>
      <c r="G462">
        <f>Calendar!S462</f>
        <v>5</v>
      </c>
      <c r="H462">
        <f>Calendar!T462</f>
        <v>19</v>
      </c>
      <c r="I462" s="27">
        <f>IF(VLOOKUP(A462,Calendar!$A$1:$R$1377,18,0)=0,0,IF(VLOOKUP(A462,Calendar!$A$1:$R$1377,18,0)=1,INDEX(Monthly_Pay_Model!$A$9:$D$40,MATCH(TEXT(A462,"dd"),Monthly_Pay_Model!$C$9:$C$39,0),4),IF(VLOOKUP(A462,Calendar!$A$1:$R$1377,18,0)=2,SUM(INDEX(Monthly_Pay_Model!$A$9:$D$40,MATCH(TEXT(A462,"dd"),Monthly_Pay_Model!$C$9:$C$39,0),4),INDEX(Monthly_Pay_Model!$A$9:$D$40,MATCH(TEXT(A463,"dd"),Monthly_Pay_Model!$C$9:$C$39,0),4)),IF(VLOOKUP(A462,Calendar!$A$1:$R$1377,18,0)=3,SUM(INDEX(Monthly_Pay_Model!$A$9:$D$40,MATCH(TEXT(A462,"dd"),Monthly_Pay_Model!$C$9:$C$39,0),4),INDEX(Monthly_Pay_Model!$A$9:$D$40,MATCH(TEXT(A463,"dd"),Monthly_Pay_Model!$C$9:$C$39,0),4),INDEX(Monthly_Pay_Model!$A$9:$D$40,MATCH(TEXT(A464,"dd"),Monthly_Pay_Model!$C$9:$C$39,0),4)),IF(VLOOKUP(A462,Calendar!$A$1:$R$1377,18,0)=4,SUM(INDEX(Monthly_Pay_Model!$A$9:$D$40,MATCH(TEXT(A462,"dd"),Monthly_Pay_Model!$C$9:$C$39,0),4),INDEX(Monthly_Pay_Model!$A$9:$D$40,MATCH(TEXT(A463,"dd"),Monthly_Pay_Model!$C$9:$C$39,0),4),INDEX(Monthly_Pay_Model!$A$9:$D$40,MATCH(TEXT(A464,"dd"),Monthly_Pay_Model!$C$9:$C$39,0),4),INDEX(Monthly_Pay_Model!$A$9:$D$40,MATCH(TEXT(A465,"dd"),Monthly_Pay_Model!$C$9:$C$39,0),4)),IF(VLOOKUP(A462,Calendar!$A$1:$R$1377,18,0)=5,SUM(INDEX(Monthly_Pay_Model!$A$9:$D$40,MATCH(TEXT(A462,"dd"),Monthly_Pay_Model!$C$9:$C$39,0),4),INDEX(Monthly_Pay_Model!$A$9:$D$40,MATCH(TEXT(A463,"dd"),Monthly_Pay_Model!$C$9:$C$39,0),4),INDEX(Monthly_Pay_Model!$A$9:$D$40,MATCH(TEXT(A464,"dd"),Monthly_Pay_Model!$C$9:$C$39,0),4),INDEX(Monthly_Pay_Model!$A$9:$D$40,MATCH(TEXT(A465,"dd"),Monthly_Pay_Model!$C$9:$C$39,0),4),INDEX(Monthly_Pay_Model!$A$9:$D$40,MATCH(TEXT(A466,"dd"),Monthly_Pay_Model!$C$9:$C$39,0),4)),))))))</f>
        <v>8.1256544502617792E-4</v>
      </c>
      <c r="J462" s="33">
        <f>IF(C462="Yes",Monthly_Pay_Model!$D$2,0)
+IF(Calendar!N462="Yes",Monthly_Pay_Model!$D$3,0)
+IF(D462="Yes",Monthly_Pay_Model!$D$4,0)
+IF(E462="Yes",Monthly_Pay_Model!$D$5,0)</f>
        <v>0</v>
      </c>
      <c r="K462" s="27">
        <f>IF(VLOOKUP($A462,Calendar!$A$1:$R$1377,18,0)=0,0,IF(VLOOKUP($A462,Calendar!$A$1:$R$1377,18,0)=1,IFERROR(INDEX(Weekly_Model!$D$2:$D$9,MATCH(F462,Weekly_Model!$A$2:$A$9,0)),0),IF(VLOOKUP($A462,Calendar!$A$1:$R$1377,18,0)=2,SUM(IFERROR(INDEX(Weekly_Model!$D$2:$D$9,MATCH(F462,Weekly_Model!$A$2:$A$9,0)),0),IFERROR(INDEX(Weekly_Model!$D$2:$D$9,MATCH(F463,Weekly_Model!$A$2:$A$9,0)),0)),IF(VLOOKUP($A462,Calendar!$A$1:$R$1377,18,0)=3,SUM(IFERROR(INDEX(Weekly_Model!$D$2:$D$9,MATCH(F462,Weekly_Model!$A$2:$A$9,0)),0),IFERROR(INDEX(Weekly_Model!$D$2:$D$9,MATCH(F463,Weekly_Model!$A$2:$A$9,0)),0),IFERROR(INDEX(Weekly_Model!$D$2:$D$9,MATCH(F464,Weekly_Model!$A$2:$A$9,0)),0)),IF(VLOOKUP($A462,Calendar!$A$1:$R$1377,18,0)=4,SUM(IFERROR(INDEX(Weekly_Model!$D$2:$D$9,MATCH(F462,Weekly_Model!$A$2:$A$9,0)),0),IFERROR(INDEX(Weekly_Model!$D$2:$D$9,MATCH(F463,Weekly_Model!$A$2:$A$9,0)),0),IFERROR(INDEX(Weekly_Model!$D$2:$D$9,MATCH(F464,Weekly_Model!$A$2:$A$9,0)),0),IFERROR(INDEX(Weekly_Model!$D$2:$D$9,MATCH(F465,Weekly_Model!$A$2:$A$9,0)),0)),IF(VLOOKUP($A462,Calendar!$A$1:$R$1377,18,0)=5,SUM(IFERROR(INDEX(Weekly_Model!$D$2:$D$9,MATCH(F462,Weekly_Model!$A$2:$A$9,0)),0),IFERROR(INDEX(Weekly_Model!$D$2:$D$9,MATCH(F463,Weekly_Model!$A$2:$A$9,0)),0),IFERROR(INDEX(Weekly_Model!$D$2:$D$9,MATCH(F464,Weekly_Model!$A$2:$A$9,0)),0),IFERROR(INDEX(Weekly_Model!$D$2:$D$9,MATCH(F465,Weekly_Model!$A$2:$A$9,0)),0),IFERROR(INDEX(Weekly_Model!$D$2:$D$9,MATCH(F466,Weekly_Model!$A$2:$A$9,0)),0)),0))))))</f>
        <v>2.3200000000000002E-2</v>
      </c>
      <c r="L462" s="27">
        <f>IF(VLOOKUP($A462,Calendar!$A$1:$R$1377,18,0)=0,0,IF(VLOOKUP($A462,Calendar!$A$1:$R$1377,18,0)=1,IFERROR(INDEX(Fortnightly_Model!$D$2:$D$15,MATCH(G462,Fortnightly_Model!$B$2:$B$15,0)),0),IF(VLOOKUP($A462,Calendar!$A$1:$R$1377,18,0)=2,SUM(IFERROR(INDEX(Fortnightly_Model!$D$2:$D$15,MATCH(G462,Fortnightly_Model!$B$2:$B$15,0)),0),IFERROR(INDEX(Fortnightly_Model!$D$2:$D$15,MATCH(G463,Fortnightly_Model!$B$2:$B$15,0)),0)),IF(VLOOKUP($A462,Calendar!$A$1:$R$1377,18,0)=3,SUM(IFERROR(INDEX(Fortnightly_Model!$D$2:$D$15,MATCH(G462,Fortnightly_Model!$B$2:$B$15,0)),0),IFERROR(INDEX(Fortnightly_Model!$D$2:$D$15,MATCH(G463,Fortnightly_Model!$B$2:$B$15,0)),0),IFERROR(INDEX(Fortnightly_Model!$D$2:$D$15,MATCH(G464,Fortnightly_Model!$B$2:$B$15,0)),0)),IF(VLOOKUP($A462,Calendar!$A$1:$R$1377,18,0)=4,SUM(IFERROR(INDEX(Fortnightly_Model!$D$2:$D$15,MATCH(G462,Fortnightly_Model!$B$2:$B$15,0)),0),IFERROR(INDEX(Fortnightly_Model!$D$2:$D$15,MATCH(G463,Fortnightly_Model!$B$2:$B$15,0)),0),IFERROR(INDEX(Fortnightly_Model!$D$2:$D$15,MATCH(G464,Fortnightly_Model!$B$2:$B$15,0)),0),IFERROR(INDEX(Fortnightly_Model!$D$2:$D$15,MATCH(G465,Fortnightly_Model!$B$2:$B$15,0)),0)),IF(VLOOKUP($A462,Calendar!$A$1:$R$1377,18,0)=5,SUM(IFERROR(INDEX(Fortnightly_Model!$D$2:$D$15,MATCH(G462,Fortnightly_Model!$B$2:$B$15,0)),0),IFERROR(INDEX(Fortnightly_Model!$D$2:$D$15,MATCH(G463,Fortnightly_Model!$B$2:$B$15,0)),0),IFERROR(INDEX(Fortnightly_Model!$D$2:$D$15,MATCH(G464,Fortnightly_Model!$B$2:$B$15,0)),0),IFERROR(INDEX(Fortnightly_Model!$D$2:$D$15,MATCH(G465,Fortnightly_Model!$B$2:$B$15,0)),0),IFERROR(INDEX(Fortnightly_Model!$D$2:$D$15,MATCH(G466,Fortnightly_Model!$B$2:$B$15,0)),0)),0))))))</f>
        <v>1.0714285499999999E-3</v>
      </c>
      <c r="M462" s="27">
        <f>IF(VLOOKUP($A462,Calendar!$A$1:$R$1377,18,0)=0,0,IF(VLOOKUP($A462,Calendar!$A$1:$R$1377,18,0)=1,IFERROR(INDEX(FourWeekly_Model!$D$2:$D$29,MATCH(H462,FourWeekly_Model!$B$2:$B$29,0)),0),IF(VLOOKUP($A462,Calendar!$A$1:$R$1377,18,0)=2,SUM(IFERROR(INDEX(FourWeekly_Model!$D$2:$D$29,MATCH(H462,FourWeekly_Model!$B$2:$B$29,0)),0),IFERROR(INDEX(FourWeekly_Model!$D$2:$D$29,MATCH(H463,FourWeekly_Model!$B$2:$B$29,0)),0)),IF(VLOOKUP($A462,Calendar!$A$1:$R$1377,18,0)=3,SUM(IFERROR(INDEX(FourWeekly_Model!$D$2:$D$29,MATCH(H462,FourWeekly_Model!$B$2:$B$29,0)),0),IFERROR(INDEX(FourWeekly_Model!$D$2:$D$29,MATCH(H463,FourWeekly_Model!$B$2:$B$29,0)),0),IFERROR(INDEX(FourWeekly_Model!$D$2:$D$29,MATCH(H464,FourWeekly_Model!$B$2:$B$29,0)),0)),IF(VLOOKUP($A462,Calendar!$A$1:$R$1377,18,0)=4,SUM(IFERROR(INDEX(FourWeekly_Model!$D$2:$D$29,MATCH(H462,FourWeekly_Model!$B$2:$B$29,0)),0),IFERROR(INDEX(FourWeekly_Model!$D$2:$D$29,MATCH(H463,FourWeekly_Model!$B$2:$B$29,0)),0),IFERROR(INDEX(FourWeekly_Model!$D$2:$D$29,MATCH(H464,FourWeekly_Model!$B$2:$B$29,0)),0),IFERROR(INDEX(FourWeekly_Model!$D$2:$D$29,MATCH(H465,FourWeekly_Model!$B$2:$B$29,0)),0)),IF(VLOOKUP($A462,Calendar!$A$1:$R$1377,18,0)=5,SUM(IFERROR(INDEX(FourWeekly_Model!$D$2:$D$29,MATCH(H462,FourWeekly_Model!$B$2:$B$29,0)),0),IFERROR(INDEX(FourWeekly_Model!$D$2:$D$29,MATCH(H463,FourWeekly_Model!$B$2:$B$29,0)),0),IFERROR(INDEX(FourWeekly_Model!$D$2:$D$29,MATCH(H464,FourWeekly_Model!$B$2:$B$29,0)),0),IFERROR(INDEX(FourWeekly_Model!$D$2:$D$29,MATCH(H465,FourWeekly_Model!$B$2:$B$29,0)),0),IFERROR(INDEX(FourWeekly_Model!$D$2:$D$29,MATCH(H466,FourWeekly_Model!$B$2:$B$29,0)),0)),0))))))</f>
        <v>3.3214289700000004E-3</v>
      </c>
      <c r="N462" s="27">
        <f>SUM(I462:M462)</f>
        <v>2.840542296502618E-2</v>
      </c>
      <c r="O462" s="28">
        <f>Population_Data!$B$8*N462</f>
        <v>860684.3158402933</v>
      </c>
      <c r="P462" s="27">
        <f>IF(VLOOKUP($A462,Calendar!$A$1:$R$1377,18,0)=0,0,IF(VLOOKUP($A462,Calendar!$A$1:$R$1377,18,0)=1,IFERROR(INDEX(Pension_Model!$D$2:$D$29,MATCH(H462,Pension_Model!$B$2:$B$29,0)),0),IF(VLOOKUP($A462,Calendar!$A$1:$R$1377,18,0)=2,SUM(IFERROR(INDEX(Pension_Model!$D$2:$D$29,MATCH(H462,Pension_Model!$B$2:$B$29,0)),0),IFERROR(INDEX(Pension_Model!$D$2:$D$29,MATCH(H463,Pension_Model!$B$2:$B$29,0)),0)),IF(VLOOKUP($A462,Calendar!$A$1:$R$1377,18,0)=3,SUM(IFERROR(INDEX(Pension_Model!$D$2:$D$29,MATCH(H462,Pension_Model!$B$2:$B$29,0)),0),IFERROR(INDEX(Pension_Model!$D$2:$D$29,MATCH(H463,Pension_Model!$B$2:$B$29,0)),0),IFERROR(INDEX(Pension_Model!$D$2:$D$29,MATCH(H464,Pension_Model!$B$2:$B$29,0)),0)),IF(VLOOKUP($A462,Calendar!$A$1:$R$1377,18,0)=4,SUM(IFERROR(INDEX(Pension_Model!$D$2:$D$29,MATCH(H462,Pension_Model!$B$2:$B$29,0)),0),IFERROR(INDEX(Pension_Model!$D$2:$D$29,MATCH(H463,Pension_Model!$B$2:$B$29,0)),0),IFERROR(INDEX(Pension_Model!$D$2:$D$29,MATCH(H464,Pension_Model!$B$2:$B$29,0)),0),IFERROR(INDEX(Pension_Model!$D$2:$D$29,MATCH(H465,Pension_Model!$B$2:$B$29,0)),0)),IF(VLOOKUP($A462,Calendar!$A$1:$R$1377,18,0)=5,SUM(IFERROR(INDEX(Pension_Model!$D$2:$D$29,MATCH(H462,Pension_Model!$B$2:$B$29,0)),0),IFERROR(INDEX(Pension_Model!$D$2:$D$29,MATCH(H463,Pension_Model!$B$2:$B$29,0)),0),IFERROR(INDEX(Pension_Model!$D$2:$D$29,MATCH(H464,Pension_Model!$B$2:$B$29,0)),0),IFERROR(INDEX(Pension_Model!$D$2:$D$29,MATCH(H465,Pension_Model!$B$2:$B$29,0)),0),IFERROR(INDEX(Pension_Model!$D$2:$D$29,MATCH(H466,Pension_Model!$B$2:$B$29,0)),0)),0))))))</f>
        <v>0.05</v>
      </c>
      <c r="Q462" s="28">
        <f>Population_Data!$B$15*P462</f>
        <v>660600</v>
      </c>
      <c r="S462">
        <f t="shared" si="7"/>
        <v>1521284.3158402932</v>
      </c>
      <c r="U462" s="33">
        <f>S462/Population_Data!$B$19</f>
        <v>2.7559498475367629E-2</v>
      </c>
    </row>
    <row r="463" spans="1:21">
      <c r="A463" s="25">
        <f>Calendar!A463</f>
        <v>46696</v>
      </c>
      <c r="B463" t="str">
        <f>Calendar!L463</f>
        <v>Yes</v>
      </c>
      <c r="C463" t="str">
        <f>Calendar!O463</f>
        <v>No</v>
      </c>
      <c r="D463" t="str">
        <f>Calendar!P463</f>
        <v>No</v>
      </c>
      <c r="E463" t="str">
        <f>Calendar!Q463</f>
        <v>No</v>
      </c>
      <c r="F463" t="str">
        <f>Calendar!I463</f>
        <v>Friday</v>
      </c>
      <c r="G463">
        <f>Calendar!S463</f>
        <v>6</v>
      </c>
      <c r="H463">
        <f>Calendar!T463</f>
        <v>20</v>
      </c>
      <c r="I463" s="27">
        <f>IF(VLOOKUP(A463,Calendar!$A$1:$R$1377,18,0)=0,0,IF(VLOOKUP(A463,Calendar!$A$1:$R$1377,18,0)=1,INDEX(Monthly_Pay_Model!$A$9:$D$40,MATCH(TEXT(A463,"dd"),Monthly_Pay_Model!$C$9:$C$39,0),4),IF(VLOOKUP(A463,Calendar!$A$1:$R$1377,18,0)=2,SUM(INDEX(Monthly_Pay_Model!$A$9:$D$40,MATCH(TEXT(A463,"dd"),Monthly_Pay_Model!$C$9:$C$39,0),4),INDEX(Monthly_Pay_Model!$A$9:$D$40,MATCH(TEXT(A464,"dd"),Monthly_Pay_Model!$C$9:$C$39,0),4)),IF(VLOOKUP(A463,Calendar!$A$1:$R$1377,18,0)=3,SUM(INDEX(Monthly_Pay_Model!$A$9:$D$40,MATCH(TEXT(A463,"dd"),Monthly_Pay_Model!$C$9:$C$39,0),4),INDEX(Monthly_Pay_Model!$A$9:$D$40,MATCH(TEXT(A464,"dd"),Monthly_Pay_Model!$C$9:$C$39,0),4),INDEX(Monthly_Pay_Model!$A$9:$D$40,MATCH(TEXT(A465,"dd"),Monthly_Pay_Model!$C$9:$C$39,0),4)),IF(VLOOKUP(A463,Calendar!$A$1:$R$1377,18,0)=4,SUM(INDEX(Monthly_Pay_Model!$A$9:$D$40,MATCH(TEXT(A463,"dd"),Monthly_Pay_Model!$C$9:$C$39,0),4),INDEX(Monthly_Pay_Model!$A$9:$D$40,MATCH(TEXT(A464,"dd"),Monthly_Pay_Model!$C$9:$C$39,0),4),INDEX(Monthly_Pay_Model!$A$9:$D$40,MATCH(TEXT(A465,"dd"),Monthly_Pay_Model!$C$9:$C$39,0),4),INDEX(Monthly_Pay_Model!$A$9:$D$40,MATCH(TEXT(A466,"dd"),Monthly_Pay_Model!$C$9:$C$39,0),4)),IF(VLOOKUP(A463,Calendar!$A$1:$R$1377,18,0)=5,SUM(INDEX(Monthly_Pay_Model!$A$9:$D$40,MATCH(TEXT(A463,"dd"),Monthly_Pay_Model!$C$9:$C$39,0),4),INDEX(Monthly_Pay_Model!$A$9:$D$40,MATCH(TEXT(A464,"dd"),Monthly_Pay_Model!$C$9:$C$39,0),4),INDEX(Monthly_Pay_Model!$A$9:$D$40,MATCH(TEXT(A465,"dd"),Monthly_Pay_Model!$C$9:$C$39,0),4),INDEX(Monthly_Pay_Model!$A$9:$D$40,MATCH(TEXT(A466,"dd"),Monthly_Pay_Model!$C$9:$C$39,0),4),INDEX(Monthly_Pay_Model!$A$9:$D$40,MATCH(TEXT(A467,"dd"),Monthly_Pay_Model!$C$9:$C$39,0),4)),))))))</f>
        <v>1.3001047120418847E-2</v>
      </c>
      <c r="J463" s="33">
        <f>IF(C463="Yes",Monthly_Pay_Model!$D$2,0)
+IF(Calendar!N463="Yes",Monthly_Pay_Model!$D$3,0)
+IF(D463="Yes",Monthly_Pay_Model!$D$4,0)
+IF(E463="Yes",Monthly_Pay_Model!$D$5,0)</f>
        <v>0</v>
      </c>
      <c r="K463" s="27">
        <f>IF(VLOOKUP($A463,Calendar!$A$1:$R$1377,18,0)=0,0,IF(VLOOKUP($A463,Calendar!$A$1:$R$1377,18,0)=1,IFERROR(INDEX(Weekly_Model!$D$2:$D$9,MATCH(F463,Weekly_Model!$A$2:$A$9,0)),0),IF(VLOOKUP($A463,Calendar!$A$1:$R$1377,18,0)=2,SUM(IFERROR(INDEX(Weekly_Model!$D$2:$D$9,MATCH(F463,Weekly_Model!$A$2:$A$9,0)),0),IFERROR(INDEX(Weekly_Model!$D$2:$D$9,MATCH(F464,Weekly_Model!$A$2:$A$9,0)),0)),IF(VLOOKUP($A463,Calendar!$A$1:$R$1377,18,0)=3,SUM(IFERROR(INDEX(Weekly_Model!$D$2:$D$9,MATCH(F463,Weekly_Model!$A$2:$A$9,0)),0),IFERROR(INDEX(Weekly_Model!$D$2:$D$9,MATCH(F464,Weekly_Model!$A$2:$A$9,0)),0),IFERROR(INDEX(Weekly_Model!$D$2:$D$9,MATCH(F465,Weekly_Model!$A$2:$A$9,0)),0)),IF(VLOOKUP($A463,Calendar!$A$1:$R$1377,18,0)=4,SUM(IFERROR(INDEX(Weekly_Model!$D$2:$D$9,MATCH(F463,Weekly_Model!$A$2:$A$9,0)),0),IFERROR(INDEX(Weekly_Model!$D$2:$D$9,MATCH(F464,Weekly_Model!$A$2:$A$9,0)),0),IFERROR(INDEX(Weekly_Model!$D$2:$D$9,MATCH(F465,Weekly_Model!$A$2:$A$9,0)),0),IFERROR(INDEX(Weekly_Model!$D$2:$D$9,MATCH(F466,Weekly_Model!$A$2:$A$9,0)),0)),IF(VLOOKUP($A463,Calendar!$A$1:$R$1377,18,0)=5,SUM(IFERROR(INDEX(Weekly_Model!$D$2:$D$9,MATCH(F463,Weekly_Model!$A$2:$A$9,0)),0),IFERROR(INDEX(Weekly_Model!$D$2:$D$9,MATCH(F464,Weekly_Model!$A$2:$A$9,0)),0),IFERROR(INDEX(Weekly_Model!$D$2:$D$9,MATCH(F465,Weekly_Model!$A$2:$A$9,0)),0),IFERROR(INDEX(Weekly_Model!$D$2:$D$9,MATCH(F466,Weekly_Model!$A$2:$A$9,0)),0),IFERROR(INDEX(Weekly_Model!$D$2:$D$9,MATCH(F467,Weekly_Model!$A$2:$A$9,0)),0)),0))))))</f>
        <v>2.3200000000000002E-2</v>
      </c>
      <c r="L463" s="27">
        <f>IF(VLOOKUP($A463,Calendar!$A$1:$R$1377,18,0)=0,0,IF(VLOOKUP($A463,Calendar!$A$1:$R$1377,18,0)=1,IFERROR(INDEX(Fortnightly_Model!$D$2:$D$15,MATCH(G463,Fortnightly_Model!$B$2:$B$15,0)),0),IF(VLOOKUP($A463,Calendar!$A$1:$R$1377,18,0)=2,SUM(IFERROR(INDEX(Fortnightly_Model!$D$2:$D$15,MATCH(G463,Fortnightly_Model!$B$2:$B$15,0)),0),IFERROR(INDEX(Fortnightly_Model!$D$2:$D$15,MATCH(G464,Fortnightly_Model!$B$2:$B$15,0)),0)),IF(VLOOKUP($A463,Calendar!$A$1:$R$1377,18,0)=3,SUM(IFERROR(INDEX(Fortnightly_Model!$D$2:$D$15,MATCH(G463,Fortnightly_Model!$B$2:$B$15,0)),0),IFERROR(INDEX(Fortnightly_Model!$D$2:$D$15,MATCH(G464,Fortnightly_Model!$B$2:$B$15,0)),0),IFERROR(INDEX(Fortnightly_Model!$D$2:$D$15,MATCH(G465,Fortnightly_Model!$B$2:$B$15,0)),0)),IF(VLOOKUP($A463,Calendar!$A$1:$R$1377,18,0)=4,SUM(IFERROR(INDEX(Fortnightly_Model!$D$2:$D$15,MATCH(G463,Fortnightly_Model!$B$2:$B$15,0)),0),IFERROR(INDEX(Fortnightly_Model!$D$2:$D$15,MATCH(G464,Fortnightly_Model!$B$2:$B$15,0)),0),IFERROR(INDEX(Fortnightly_Model!$D$2:$D$15,MATCH(G465,Fortnightly_Model!$B$2:$B$15,0)),0),IFERROR(INDEX(Fortnightly_Model!$D$2:$D$15,MATCH(G466,Fortnightly_Model!$B$2:$B$15,0)),0)),IF(VLOOKUP($A463,Calendar!$A$1:$R$1377,18,0)=5,SUM(IFERROR(INDEX(Fortnightly_Model!$D$2:$D$15,MATCH(G463,Fortnightly_Model!$B$2:$B$15,0)),0),IFERROR(INDEX(Fortnightly_Model!$D$2:$D$15,MATCH(G464,Fortnightly_Model!$B$2:$B$15,0)),0),IFERROR(INDEX(Fortnightly_Model!$D$2:$D$15,MATCH(G465,Fortnightly_Model!$B$2:$B$15,0)),0),IFERROR(INDEX(Fortnightly_Model!$D$2:$D$15,MATCH(G466,Fortnightly_Model!$B$2:$B$15,0)),0),IFERROR(INDEX(Fortnightly_Model!$D$2:$D$15,MATCH(G467,Fortnightly_Model!$B$2:$B$15,0)),0)),0))))))</f>
        <v>3.2142856499999999E-3</v>
      </c>
      <c r="M463" s="27">
        <f>IF(VLOOKUP($A463,Calendar!$A$1:$R$1377,18,0)=0,0,IF(VLOOKUP($A463,Calendar!$A$1:$R$1377,18,0)=1,IFERROR(INDEX(FourWeekly_Model!$D$2:$D$29,MATCH(H463,FourWeekly_Model!$B$2:$B$29,0)),0),IF(VLOOKUP($A463,Calendar!$A$1:$R$1377,18,0)=2,SUM(IFERROR(INDEX(FourWeekly_Model!$D$2:$D$29,MATCH(H463,FourWeekly_Model!$B$2:$B$29,0)),0),IFERROR(INDEX(FourWeekly_Model!$D$2:$D$29,MATCH(H464,FourWeekly_Model!$B$2:$B$29,0)),0)),IF(VLOOKUP($A463,Calendar!$A$1:$R$1377,18,0)=3,SUM(IFERROR(INDEX(FourWeekly_Model!$D$2:$D$29,MATCH(H463,FourWeekly_Model!$B$2:$B$29,0)),0),IFERROR(INDEX(FourWeekly_Model!$D$2:$D$29,MATCH(H464,FourWeekly_Model!$B$2:$B$29,0)),0),IFERROR(INDEX(FourWeekly_Model!$D$2:$D$29,MATCH(H465,FourWeekly_Model!$B$2:$B$29,0)),0)),IF(VLOOKUP($A463,Calendar!$A$1:$R$1377,18,0)=4,SUM(IFERROR(INDEX(FourWeekly_Model!$D$2:$D$29,MATCH(H463,FourWeekly_Model!$B$2:$B$29,0)),0),IFERROR(INDEX(FourWeekly_Model!$D$2:$D$29,MATCH(H464,FourWeekly_Model!$B$2:$B$29,0)),0),IFERROR(INDEX(FourWeekly_Model!$D$2:$D$29,MATCH(H465,FourWeekly_Model!$B$2:$B$29,0)),0),IFERROR(INDEX(FourWeekly_Model!$D$2:$D$29,MATCH(H466,FourWeekly_Model!$B$2:$B$29,0)),0)),IF(VLOOKUP($A463,Calendar!$A$1:$R$1377,18,0)=5,SUM(IFERROR(INDEX(FourWeekly_Model!$D$2:$D$29,MATCH(H463,FourWeekly_Model!$B$2:$B$29,0)),0),IFERROR(INDEX(FourWeekly_Model!$D$2:$D$29,MATCH(H464,FourWeekly_Model!$B$2:$B$29,0)),0),IFERROR(INDEX(FourWeekly_Model!$D$2:$D$29,MATCH(H465,FourWeekly_Model!$B$2:$B$29,0)),0),IFERROR(INDEX(FourWeekly_Model!$D$2:$D$29,MATCH(H466,FourWeekly_Model!$B$2:$B$29,0)),0),IFERROR(INDEX(FourWeekly_Model!$D$2:$D$29,MATCH(H467,FourWeekly_Model!$B$2:$B$29,0)),0)),0))))))</f>
        <v>9.9642859800000011E-3</v>
      </c>
      <c r="N463" s="27">
        <f>SUM(I463:M463)</f>
        <v>4.9379618750418852E-2</v>
      </c>
      <c r="O463" s="28">
        <f>Population_Data!$B$8*N463</f>
        <v>1496202.4481376912</v>
      </c>
      <c r="P463" s="27">
        <f>IF(VLOOKUP($A463,Calendar!$A$1:$R$1377,18,0)=0,0,IF(VLOOKUP($A463,Calendar!$A$1:$R$1377,18,0)=1,IFERROR(INDEX(Pension_Model!$D$2:$D$29,MATCH(H463,Pension_Model!$B$2:$B$29,0)),0),IF(VLOOKUP($A463,Calendar!$A$1:$R$1377,18,0)=2,SUM(IFERROR(INDEX(Pension_Model!$D$2:$D$29,MATCH(H463,Pension_Model!$B$2:$B$29,0)),0),IFERROR(INDEX(Pension_Model!$D$2:$D$29,MATCH(H464,Pension_Model!$B$2:$B$29,0)),0)),IF(VLOOKUP($A463,Calendar!$A$1:$R$1377,18,0)=3,SUM(IFERROR(INDEX(Pension_Model!$D$2:$D$29,MATCH(H463,Pension_Model!$B$2:$B$29,0)),0),IFERROR(INDEX(Pension_Model!$D$2:$D$29,MATCH(H464,Pension_Model!$B$2:$B$29,0)),0),IFERROR(INDEX(Pension_Model!$D$2:$D$29,MATCH(H465,Pension_Model!$B$2:$B$29,0)),0)),IF(VLOOKUP($A463,Calendar!$A$1:$R$1377,18,0)=4,SUM(IFERROR(INDEX(Pension_Model!$D$2:$D$29,MATCH(H463,Pension_Model!$B$2:$B$29,0)),0),IFERROR(INDEX(Pension_Model!$D$2:$D$29,MATCH(H464,Pension_Model!$B$2:$B$29,0)),0),IFERROR(INDEX(Pension_Model!$D$2:$D$29,MATCH(H465,Pension_Model!$B$2:$B$29,0)),0),IFERROR(INDEX(Pension_Model!$D$2:$D$29,MATCH(H466,Pension_Model!$B$2:$B$29,0)),0)),IF(VLOOKUP($A463,Calendar!$A$1:$R$1377,18,0)=5,SUM(IFERROR(INDEX(Pension_Model!$D$2:$D$29,MATCH(H463,Pension_Model!$B$2:$B$29,0)),0),IFERROR(INDEX(Pension_Model!$D$2:$D$29,MATCH(H464,Pension_Model!$B$2:$B$29,0)),0),IFERROR(INDEX(Pension_Model!$D$2:$D$29,MATCH(H465,Pension_Model!$B$2:$B$29,0)),0),IFERROR(INDEX(Pension_Model!$D$2:$D$29,MATCH(H466,Pension_Model!$B$2:$B$29,0)),0),IFERROR(INDEX(Pension_Model!$D$2:$D$29,MATCH(H467,Pension_Model!$B$2:$B$29,0)),0)),0))))))</f>
        <v>0.05</v>
      </c>
      <c r="Q463" s="28">
        <f>Population_Data!$B$15*P463</f>
        <v>660600</v>
      </c>
      <c r="S463">
        <f t="shared" si="7"/>
        <v>2156802.4481376912</v>
      </c>
      <c r="U463" s="33">
        <f>S463/Population_Data!$B$19</f>
        <v>3.9072508118436433E-2</v>
      </c>
    </row>
    <row r="464" spans="1:21">
      <c r="A464" s="25">
        <f>Calendar!A464</f>
        <v>46697</v>
      </c>
      <c r="B464" t="str">
        <f>Calendar!L464</f>
        <v>No</v>
      </c>
      <c r="C464" t="str">
        <f>Calendar!O464</f>
        <v>No</v>
      </c>
      <c r="D464" t="str">
        <f>Calendar!P464</f>
        <v>No</v>
      </c>
      <c r="E464" t="str">
        <f>Calendar!Q464</f>
        <v>No</v>
      </c>
      <c r="F464" t="str">
        <f>Calendar!I464</f>
        <v>Saturday</v>
      </c>
      <c r="G464">
        <f>Calendar!S464</f>
        <v>7</v>
      </c>
      <c r="H464">
        <f>Calendar!T464</f>
        <v>21</v>
      </c>
      <c r="I464" s="27">
        <f>IF(VLOOKUP(A464,Calendar!$A$1:$R$1377,18,0)=0,0,IF(VLOOKUP(A464,Calendar!$A$1:$R$1377,18,0)=1,INDEX(Monthly_Pay_Model!$A$9:$D$40,MATCH(TEXT(A464,"dd"),Monthly_Pay_Model!$C$9:$C$39,0),4),IF(VLOOKUP(A464,Calendar!$A$1:$R$1377,18,0)=2,SUM(INDEX(Monthly_Pay_Model!$A$9:$D$40,MATCH(TEXT(A464,"dd"),Monthly_Pay_Model!$C$9:$C$39,0),4),INDEX(Monthly_Pay_Model!$A$9:$D$40,MATCH(TEXT(A465,"dd"),Monthly_Pay_Model!$C$9:$C$39,0),4)),IF(VLOOKUP(A464,Calendar!$A$1:$R$1377,18,0)=3,SUM(INDEX(Monthly_Pay_Model!$A$9:$D$40,MATCH(TEXT(A464,"dd"),Monthly_Pay_Model!$C$9:$C$39,0),4),INDEX(Monthly_Pay_Model!$A$9:$D$40,MATCH(TEXT(A465,"dd"),Monthly_Pay_Model!$C$9:$C$39,0),4),INDEX(Monthly_Pay_Model!$A$9:$D$40,MATCH(TEXT(A466,"dd"),Monthly_Pay_Model!$C$9:$C$39,0),4)),IF(VLOOKUP(A464,Calendar!$A$1:$R$1377,18,0)=4,SUM(INDEX(Monthly_Pay_Model!$A$9:$D$40,MATCH(TEXT(A464,"dd"),Monthly_Pay_Model!$C$9:$C$39,0),4),INDEX(Monthly_Pay_Model!$A$9:$D$40,MATCH(TEXT(A465,"dd"),Monthly_Pay_Model!$C$9:$C$39,0),4),INDEX(Monthly_Pay_Model!$A$9:$D$40,MATCH(TEXT(A466,"dd"),Monthly_Pay_Model!$C$9:$C$39,0),4),INDEX(Monthly_Pay_Model!$A$9:$D$40,MATCH(TEXT(A467,"dd"),Monthly_Pay_Model!$C$9:$C$39,0),4)),IF(VLOOKUP(A464,Calendar!$A$1:$R$1377,18,0)=5,SUM(INDEX(Monthly_Pay_Model!$A$9:$D$40,MATCH(TEXT(A464,"dd"),Monthly_Pay_Model!$C$9:$C$39,0),4),INDEX(Monthly_Pay_Model!$A$9:$D$40,MATCH(TEXT(A465,"dd"),Monthly_Pay_Model!$C$9:$C$39,0),4),INDEX(Monthly_Pay_Model!$A$9:$D$40,MATCH(TEXT(A466,"dd"),Monthly_Pay_Model!$C$9:$C$39,0),4),INDEX(Monthly_Pay_Model!$A$9:$D$40,MATCH(TEXT(A467,"dd"),Monthly_Pay_Model!$C$9:$C$39,0),4),INDEX(Monthly_Pay_Model!$A$9:$D$40,MATCH(TEXT(A468,"dd"),Monthly_Pay_Model!$C$9:$C$39,0),4)),))))))</f>
        <v>0</v>
      </c>
      <c r="J464" s="33">
        <f>IF(C464="Yes",Monthly_Pay_Model!$D$2,0)
+IF(Calendar!N464="Yes",Monthly_Pay_Model!$D$3,0)
+IF(D464="Yes",Monthly_Pay_Model!$D$4,0)
+IF(E464="Yes",Monthly_Pay_Model!$D$5,0)</f>
        <v>0</v>
      </c>
      <c r="K464" s="27">
        <f>IF(VLOOKUP($A464,Calendar!$A$1:$R$1377,18,0)=0,0,IF(VLOOKUP($A464,Calendar!$A$1:$R$1377,18,0)=1,IFERROR(INDEX(Weekly_Model!$D$2:$D$9,MATCH(F464,Weekly_Model!$A$2:$A$9,0)),0),IF(VLOOKUP($A464,Calendar!$A$1:$R$1377,18,0)=2,SUM(IFERROR(INDEX(Weekly_Model!$D$2:$D$9,MATCH(F464,Weekly_Model!$A$2:$A$9,0)),0),IFERROR(INDEX(Weekly_Model!$D$2:$D$9,MATCH(F465,Weekly_Model!$A$2:$A$9,0)),0)),IF(VLOOKUP($A464,Calendar!$A$1:$R$1377,18,0)=3,SUM(IFERROR(INDEX(Weekly_Model!$D$2:$D$9,MATCH(F464,Weekly_Model!$A$2:$A$9,0)),0),IFERROR(INDEX(Weekly_Model!$D$2:$D$9,MATCH(F465,Weekly_Model!$A$2:$A$9,0)),0),IFERROR(INDEX(Weekly_Model!$D$2:$D$9,MATCH(F466,Weekly_Model!$A$2:$A$9,0)),0)),IF(VLOOKUP($A464,Calendar!$A$1:$R$1377,18,0)=4,SUM(IFERROR(INDEX(Weekly_Model!$D$2:$D$9,MATCH(F464,Weekly_Model!$A$2:$A$9,0)),0),IFERROR(INDEX(Weekly_Model!$D$2:$D$9,MATCH(F465,Weekly_Model!$A$2:$A$9,0)),0),IFERROR(INDEX(Weekly_Model!$D$2:$D$9,MATCH(F466,Weekly_Model!$A$2:$A$9,0)),0),IFERROR(INDEX(Weekly_Model!$D$2:$D$9,MATCH(F467,Weekly_Model!$A$2:$A$9,0)),0)),IF(VLOOKUP($A464,Calendar!$A$1:$R$1377,18,0)=5,SUM(IFERROR(INDEX(Weekly_Model!$D$2:$D$9,MATCH(F464,Weekly_Model!$A$2:$A$9,0)),0),IFERROR(INDEX(Weekly_Model!$D$2:$D$9,MATCH(F465,Weekly_Model!$A$2:$A$9,0)),0),IFERROR(INDEX(Weekly_Model!$D$2:$D$9,MATCH(F466,Weekly_Model!$A$2:$A$9,0)),0),IFERROR(INDEX(Weekly_Model!$D$2:$D$9,MATCH(F467,Weekly_Model!$A$2:$A$9,0)),0),IFERROR(INDEX(Weekly_Model!$D$2:$D$9,MATCH(F468,Weekly_Model!$A$2:$A$9,0)),0)),0))))))</f>
        <v>0</v>
      </c>
      <c r="L464" s="27">
        <f>IF(VLOOKUP($A464,Calendar!$A$1:$R$1377,18,0)=0,0,IF(VLOOKUP($A464,Calendar!$A$1:$R$1377,18,0)=1,IFERROR(INDEX(Fortnightly_Model!$D$2:$D$15,MATCH(G464,Fortnightly_Model!$B$2:$B$15,0)),0),IF(VLOOKUP($A464,Calendar!$A$1:$R$1377,18,0)=2,SUM(IFERROR(INDEX(Fortnightly_Model!$D$2:$D$15,MATCH(G464,Fortnightly_Model!$B$2:$B$15,0)),0),IFERROR(INDEX(Fortnightly_Model!$D$2:$D$15,MATCH(G465,Fortnightly_Model!$B$2:$B$15,0)),0)),IF(VLOOKUP($A464,Calendar!$A$1:$R$1377,18,0)=3,SUM(IFERROR(INDEX(Fortnightly_Model!$D$2:$D$15,MATCH(G464,Fortnightly_Model!$B$2:$B$15,0)),0),IFERROR(INDEX(Fortnightly_Model!$D$2:$D$15,MATCH(G465,Fortnightly_Model!$B$2:$B$15,0)),0),IFERROR(INDEX(Fortnightly_Model!$D$2:$D$15,MATCH(G466,Fortnightly_Model!$B$2:$B$15,0)),0)),IF(VLOOKUP($A464,Calendar!$A$1:$R$1377,18,0)=4,SUM(IFERROR(INDEX(Fortnightly_Model!$D$2:$D$15,MATCH(G464,Fortnightly_Model!$B$2:$B$15,0)),0),IFERROR(INDEX(Fortnightly_Model!$D$2:$D$15,MATCH(G465,Fortnightly_Model!$B$2:$B$15,0)),0),IFERROR(INDEX(Fortnightly_Model!$D$2:$D$15,MATCH(G466,Fortnightly_Model!$B$2:$B$15,0)),0),IFERROR(INDEX(Fortnightly_Model!$D$2:$D$15,MATCH(G467,Fortnightly_Model!$B$2:$B$15,0)),0)),IF(VLOOKUP($A464,Calendar!$A$1:$R$1377,18,0)=5,SUM(IFERROR(INDEX(Fortnightly_Model!$D$2:$D$15,MATCH(G464,Fortnightly_Model!$B$2:$B$15,0)),0),IFERROR(INDEX(Fortnightly_Model!$D$2:$D$15,MATCH(G465,Fortnightly_Model!$B$2:$B$15,0)),0),IFERROR(INDEX(Fortnightly_Model!$D$2:$D$15,MATCH(G466,Fortnightly_Model!$B$2:$B$15,0)),0),IFERROR(INDEX(Fortnightly_Model!$D$2:$D$15,MATCH(G467,Fortnightly_Model!$B$2:$B$15,0)),0),IFERROR(INDEX(Fortnightly_Model!$D$2:$D$15,MATCH(G468,Fortnightly_Model!$B$2:$B$15,0)),0)),0))))))</f>
        <v>0</v>
      </c>
      <c r="M464" s="27">
        <f>IF(VLOOKUP($A464,Calendar!$A$1:$R$1377,18,0)=0,0,IF(VLOOKUP($A464,Calendar!$A$1:$R$1377,18,0)=1,IFERROR(INDEX(FourWeekly_Model!$D$2:$D$29,MATCH(H464,FourWeekly_Model!$B$2:$B$29,0)),0),IF(VLOOKUP($A464,Calendar!$A$1:$R$1377,18,0)=2,SUM(IFERROR(INDEX(FourWeekly_Model!$D$2:$D$29,MATCH(H464,FourWeekly_Model!$B$2:$B$29,0)),0),IFERROR(INDEX(FourWeekly_Model!$D$2:$D$29,MATCH(H465,FourWeekly_Model!$B$2:$B$29,0)),0)),IF(VLOOKUP($A464,Calendar!$A$1:$R$1377,18,0)=3,SUM(IFERROR(INDEX(FourWeekly_Model!$D$2:$D$29,MATCH(H464,FourWeekly_Model!$B$2:$B$29,0)),0),IFERROR(INDEX(FourWeekly_Model!$D$2:$D$29,MATCH(H465,FourWeekly_Model!$B$2:$B$29,0)),0),IFERROR(INDEX(FourWeekly_Model!$D$2:$D$29,MATCH(H466,FourWeekly_Model!$B$2:$B$29,0)),0)),IF(VLOOKUP($A464,Calendar!$A$1:$R$1377,18,0)=4,SUM(IFERROR(INDEX(FourWeekly_Model!$D$2:$D$29,MATCH(H464,FourWeekly_Model!$B$2:$B$29,0)),0),IFERROR(INDEX(FourWeekly_Model!$D$2:$D$29,MATCH(H465,FourWeekly_Model!$B$2:$B$29,0)),0),IFERROR(INDEX(FourWeekly_Model!$D$2:$D$29,MATCH(H466,FourWeekly_Model!$B$2:$B$29,0)),0),IFERROR(INDEX(FourWeekly_Model!$D$2:$D$29,MATCH(H467,FourWeekly_Model!$B$2:$B$29,0)),0)),IF(VLOOKUP($A464,Calendar!$A$1:$R$1377,18,0)=5,SUM(IFERROR(INDEX(FourWeekly_Model!$D$2:$D$29,MATCH(H464,FourWeekly_Model!$B$2:$B$29,0)),0),IFERROR(INDEX(FourWeekly_Model!$D$2:$D$29,MATCH(H465,FourWeekly_Model!$B$2:$B$29,0)),0),IFERROR(INDEX(FourWeekly_Model!$D$2:$D$29,MATCH(H466,FourWeekly_Model!$B$2:$B$29,0)),0),IFERROR(INDEX(FourWeekly_Model!$D$2:$D$29,MATCH(H467,FourWeekly_Model!$B$2:$B$29,0)),0),IFERROR(INDEX(FourWeekly_Model!$D$2:$D$29,MATCH(H468,FourWeekly_Model!$B$2:$B$29,0)),0)),0))))))</f>
        <v>0</v>
      </c>
      <c r="N464" s="27">
        <f>SUM(I464:M464)</f>
        <v>0</v>
      </c>
      <c r="O464" s="28">
        <f>Population_Data!$B$8*N464</f>
        <v>0</v>
      </c>
      <c r="P464" s="27">
        <f>IF(VLOOKUP($A464,Calendar!$A$1:$R$1377,18,0)=0,0,IF(VLOOKUP($A464,Calendar!$A$1:$R$1377,18,0)=1,IFERROR(INDEX(Pension_Model!$D$2:$D$29,MATCH(H464,Pension_Model!$B$2:$B$29,0)),0),IF(VLOOKUP($A464,Calendar!$A$1:$R$1377,18,0)=2,SUM(IFERROR(INDEX(Pension_Model!$D$2:$D$29,MATCH(H464,Pension_Model!$B$2:$B$29,0)),0),IFERROR(INDEX(Pension_Model!$D$2:$D$29,MATCH(H465,Pension_Model!$B$2:$B$29,0)),0)),IF(VLOOKUP($A464,Calendar!$A$1:$R$1377,18,0)=3,SUM(IFERROR(INDEX(Pension_Model!$D$2:$D$29,MATCH(H464,Pension_Model!$B$2:$B$29,0)),0),IFERROR(INDEX(Pension_Model!$D$2:$D$29,MATCH(H465,Pension_Model!$B$2:$B$29,0)),0),IFERROR(INDEX(Pension_Model!$D$2:$D$29,MATCH(H466,Pension_Model!$B$2:$B$29,0)),0)),IF(VLOOKUP($A464,Calendar!$A$1:$R$1377,18,0)=4,SUM(IFERROR(INDEX(Pension_Model!$D$2:$D$29,MATCH(H464,Pension_Model!$B$2:$B$29,0)),0),IFERROR(INDEX(Pension_Model!$D$2:$D$29,MATCH(H465,Pension_Model!$B$2:$B$29,0)),0),IFERROR(INDEX(Pension_Model!$D$2:$D$29,MATCH(H466,Pension_Model!$B$2:$B$29,0)),0),IFERROR(INDEX(Pension_Model!$D$2:$D$29,MATCH(H467,Pension_Model!$B$2:$B$29,0)),0)),IF(VLOOKUP($A464,Calendar!$A$1:$R$1377,18,0)=5,SUM(IFERROR(INDEX(Pension_Model!$D$2:$D$29,MATCH(H464,Pension_Model!$B$2:$B$29,0)),0),IFERROR(INDEX(Pension_Model!$D$2:$D$29,MATCH(H465,Pension_Model!$B$2:$B$29,0)),0),IFERROR(INDEX(Pension_Model!$D$2:$D$29,MATCH(H466,Pension_Model!$B$2:$B$29,0)),0),IFERROR(INDEX(Pension_Model!$D$2:$D$29,MATCH(H467,Pension_Model!$B$2:$B$29,0)),0),IFERROR(INDEX(Pension_Model!$D$2:$D$29,MATCH(H468,Pension_Model!$B$2:$B$29,0)),0)),0))))))</f>
        <v>0</v>
      </c>
      <c r="Q464" s="28">
        <f>Population_Data!$B$15*P464</f>
        <v>0</v>
      </c>
      <c r="S464">
        <f t="shared" si="7"/>
        <v>0</v>
      </c>
      <c r="U464" s="33">
        <f>S464/Population_Data!$B$19</f>
        <v>0</v>
      </c>
    </row>
    <row r="465" spans="1:21">
      <c r="A465" s="25">
        <f>Calendar!A465</f>
        <v>46698</v>
      </c>
      <c r="B465" t="str">
        <f>Calendar!L465</f>
        <v>No</v>
      </c>
      <c r="C465" t="str">
        <f>Calendar!O465</f>
        <v>No</v>
      </c>
      <c r="D465" t="str">
        <f>Calendar!P465</f>
        <v>No</v>
      </c>
      <c r="E465" t="str">
        <f>Calendar!Q465</f>
        <v>No</v>
      </c>
      <c r="F465" t="str">
        <f>Calendar!I465</f>
        <v>Sunday</v>
      </c>
      <c r="G465">
        <f>Calendar!S465</f>
        <v>8</v>
      </c>
      <c r="H465">
        <f>Calendar!T465</f>
        <v>22</v>
      </c>
      <c r="I465" s="27">
        <f>IF(VLOOKUP(A465,Calendar!$A$1:$R$1377,18,0)=0,0,IF(VLOOKUP(A465,Calendar!$A$1:$R$1377,18,0)=1,INDEX(Monthly_Pay_Model!$A$9:$D$40,MATCH(TEXT(A465,"dd"),Monthly_Pay_Model!$C$9:$C$39,0),4),IF(VLOOKUP(A465,Calendar!$A$1:$R$1377,18,0)=2,SUM(INDEX(Monthly_Pay_Model!$A$9:$D$40,MATCH(TEXT(A465,"dd"),Monthly_Pay_Model!$C$9:$C$39,0),4),INDEX(Monthly_Pay_Model!$A$9:$D$40,MATCH(TEXT(A466,"dd"),Monthly_Pay_Model!$C$9:$C$39,0),4)),IF(VLOOKUP(A465,Calendar!$A$1:$R$1377,18,0)=3,SUM(INDEX(Monthly_Pay_Model!$A$9:$D$40,MATCH(TEXT(A465,"dd"),Monthly_Pay_Model!$C$9:$C$39,0),4),INDEX(Monthly_Pay_Model!$A$9:$D$40,MATCH(TEXT(A466,"dd"),Monthly_Pay_Model!$C$9:$C$39,0),4),INDEX(Monthly_Pay_Model!$A$9:$D$40,MATCH(TEXT(A467,"dd"),Monthly_Pay_Model!$C$9:$C$39,0),4)),IF(VLOOKUP(A465,Calendar!$A$1:$R$1377,18,0)=4,SUM(INDEX(Monthly_Pay_Model!$A$9:$D$40,MATCH(TEXT(A465,"dd"),Monthly_Pay_Model!$C$9:$C$39,0),4),INDEX(Monthly_Pay_Model!$A$9:$D$40,MATCH(TEXT(A466,"dd"),Monthly_Pay_Model!$C$9:$C$39,0),4),INDEX(Monthly_Pay_Model!$A$9:$D$40,MATCH(TEXT(A467,"dd"),Monthly_Pay_Model!$C$9:$C$39,0),4),INDEX(Monthly_Pay_Model!$A$9:$D$40,MATCH(TEXT(A468,"dd"),Monthly_Pay_Model!$C$9:$C$39,0),4)),IF(VLOOKUP(A465,Calendar!$A$1:$R$1377,18,0)=5,SUM(INDEX(Monthly_Pay_Model!$A$9:$D$40,MATCH(TEXT(A465,"dd"),Monthly_Pay_Model!$C$9:$C$39,0),4),INDEX(Monthly_Pay_Model!$A$9:$D$40,MATCH(TEXT(A466,"dd"),Monthly_Pay_Model!$C$9:$C$39,0),4),INDEX(Monthly_Pay_Model!$A$9:$D$40,MATCH(TEXT(A467,"dd"),Monthly_Pay_Model!$C$9:$C$39,0),4),INDEX(Monthly_Pay_Model!$A$9:$D$40,MATCH(TEXT(A468,"dd"),Monthly_Pay_Model!$C$9:$C$39,0),4),INDEX(Monthly_Pay_Model!$A$9:$D$40,MATCH(TEXT(A469,"dd"),Monthly_Pay_Model!$C$9:$C$39,0),4)),))))))</f>
        <v>0</v>
      </c>
      <c r="J465" s="33">
        <f>IF(C465="Yes",Monthly_Pay_Model!$D$2,0)
+IF(Calendar!N465="Yes",Monthly_Pay_Model!$D$3,0)
+IF(D465="Yes",Monthly_Pay_Model!$D$4,0)
+IF(E465="Yes",Monthly_Pay_Model!$D$5,0)</f>
        <v>0</v>
      </c>
      <c r="K465" s="27">
        <f>IF(VLOOKUP($A465,Calendar!$A$1:$R$1377,18,0)=0,0,IF(VLOOKUP($A465,Calendar!$A$1:$R$1377,18,0)=1,IFERROR(INDEX(Weekly_Model!$D$2:$D$9,MATCH(F465,Weekly_Model!$A$2:$A$9,0)),0),IF(VLOOKUP($A465,Calendar!$A$1:$R$1377,18,0)=2,SUM(IFERROR(INDEX(Weekly_Model!$D$2:$D$9,MATCH(F465,Weekly_Model!$A$2:$A$9,0)),0),IFERROR(INDEX(Weekly_Model!$D$2:$D$9,MATCH(F466,Weekly_Model!$A$2:$A$9,0)),0)),IF(VLOOKUP($A465,Calendar!$A$1:$R$1377,18,0)=3,SUM(IFERROR(INDEX(Weekly_Model!$D$2:$D$9,MATCH(F465,Weekly_Model!$A$2:$A$9,0)),0),IFERROR(INDEX(Weekly_Model!$D$2:$D$9,MATCH(F466,Weekly_Model!$A$2:$A$9,0)),0),IFERROR(INDEX(Weekly_Model!$D$2:$D$9,MATCH(F467,Weekly_Model!$A$2:$A$9,0)),0)),IF(VLOOKUP($A465,Calendar!$A$1:$R$1377,18,0)=4,SUM(IFERROR(INDEX(Weekly_Model!$D$2:$D$9,MATCH(F465,Weekly_Model!$A$2:$A$9,0)),0),IFERROR(INDEX(Weekly_Model!$D$2:$D$9,MATCH(F466,Weekly_Model!$A$2:$A$9,0)),0),IFERROR(INDEX(Weekly_Model!$D$2:$D$9,MATCH(F467,Weekly_Model!$A$2:$A$9,0)),0),IFERROR(INDEX(Weekly_Model!$D$2:$D$9,MATCH(F468,Weekly_Model!$A$2:$A$9,0)),0)),IF(VLOOKUP($A465,Calendar!$A$1:$R$1377,18,0)=5,SUM(IFERROR(INDEX(Weekly_Model!$D$2:$D$9,MATCH(F465,Weekly_Model!$A$2:$A$9,0)),0),IFERROR(INDEX(Weekly_Model!$D$2:$D$9,MATCH(F466,Weekly_Model!$A$2:$A$9,0)),0),IFERROR(INDEX(Weekly_Model!$D$2:$D$9,MATCH(F467,Weekly_Model!$A$2:$A$9,0)),0),IFERROR(INDEX(Weekly_Model!$D$2:$D$9,MATCH(F468,Weekly_Model!$A$2:$A$9,0)),0),IFERROR(INDEX(Weekly_Model!$D$2:$D$9,MATCH(F469,Weekly_Model!$A$2:$A$9,0)),0)),0))))))</f>
        <v>0</v>
      </c>
      <c r="L465" s="27">
        <f>IF(VLOOKUP($A465,Calendar!$A$1:$R$1377,18,0)=0,0,IF(VLOOKUP($A465,Calendar!$A$1:$R$1377,18,0)=1,IFERROR(INDEX(Fortnightly_Model!$D$2:$D$15,MATCH(G465,Fortnightly_Model!$B$2:$B$15,0)),0),IF(VLOOKUP($A465,Calendar!$A$1:$R$1377,18,0)=2,SUM(IFERROR(INDEX(Fortnightly_Model!$D$2:$D$15,MATCH(G465,Fortnightly_Model!$B$2:$B$15,0)),0),IFERROR(INDEX(Fortnightly_Model!$D$2:$D$15,MATCH(G466,Fortnightly_Model!$B$2:$B$15,0)),0)),IF(VLOOKUP($A465,Calendar!$A$1:$R$1377,18,0)=3,SUM(IFERROR(INDEX(Fortnightly_Model!$D$2:$D$15,MATCH(G465,Fortnightly_Model!$B$2:$B$15,0)),0),IFERROR(INDEX(Fortnightly_Model!$D$2:$D$15,MATCH(G466,Fortnightly_Model!$B$2:$B$15,0)),0),IFERROR(INDEX(Fortnightly_Model!$D$2:$D$15,MATCH(G467,Fortnightly_Model!$B$2:$B$15,0)),0)),IF(VLOOKUP($A465,Calendar!$A$1:$R$1377,18,0)=4,SUM(IFERROR(INDEX(Fortnightly_Model!$D$2:$D$15,MATCH(G465,Fortnightly_Model!$B$2:$B$15,0)),0),IFERROR(INDEX(Fortnightly_Model!$D$2:$D$15,MATCH(G466,Fortnightly_Model!$B$2:$B$15,0)),0),IFERROR(INDEX(Fortnightly_Model!$D$2:$D$15,MATCH(G467,Fortnightly_Model!$B$2:$B$15,0)),0),IFERROR(INDEX(Fortnightly_Model!$D$2:$D$15,MATCH(G468,Fortnightly_Model!$B$2:$B$15,0)),0)),IF(VLOOKUP($A465,Calendar!$A$1:$R$1377,18,0)=5,SUM(IFERROR(INDEX(Fortnightly_Model!$D$2:$D$15,MATCH(G465,Fortnightly_Model!$B$2:$B$15,0)),0),IFERROR(INDEX(Fortnightly_Model!$D$2:$D$15,MATCH(G466,Fortnightly_Model!$B$2:$B$15,0)),0),IFERROR(INDEX(Fortnightly_Model!$D$2:$D$15,MATCH(G467,Fortnightly_Model!$B$2:$B$15,0)),0),IFERROR(INDEX(Fortnightly_Model!$D$2:$D$15,MATCH(G468,Fortnightly_Model!$B$2:$B$15,0)),0),IFERROR(INDEX(Fortnightly_Model!$D$2:$D$15,MATCH(G469,Fortnightly_Model!$B$2:$B$15,0)),0)),0))))))</f>
        <v>0</v>
      </c>
      <c r="M465" s="27">
        <f>IF(VLOOKUP($A465,Calendar!$A$1:$R$1377,18,0)=0,0,IF(VLOOKUP($A465,Calendar!$A$1:$R$1377,18,0)=1,IFERROR(INDEX(FourWeekly_Model!$D$2:$D$29,MATCH(H465,FourWeekly_Model!$B$2:$B$29,0)),0),IF(VLOOKUP($A465,Calendar!$A$1:$R$1377,18,0)=2,SUM(IFERROR(INDEX(FourWeekly_Model!$D$2:$D$29,MATCH(H465,FourWeekly_Model!$B$2:$B$29,0)),0),IFERROR(INDEX(FourWeekly_Model!$D$2:$D$29,MATCH(H466,FourWeekly_Model!$B$2:$B$29,0)),0)),IF(VLOOKUP($A465,Calendar!$A$1:$R$1377,18,0)=3,SUM(IFERROR(INDEX(FourWeekly_Model!$D$2:$D$29,MATCH(H465,FourWeekly_Model!$B$2:$B$29,0)),0),IFERROR(INDEX(FourWeekly_Model!$D$2:$D$29,MATCH(H466,FourWeekly_Model!$B$2:$B$29,0)),0),IFERROR(INDEX(FourWeekly_Model!$D$2:$D$29,MATCH(H467,FourWeekly_Model!$B$2:$B$29,0)),0)),IF(VLOOKUP($A465,Calendar!$A$1:$R$1377,18,0)=4,SUM(IFERROR(INDEX(FourWeekly_Model!$D$2:$D$29,MATCH(H465,FourWeekly_Model!$B$2:$B$29,0)),0),IFERROR(INDEX(FourWeekly_Model!$D$2:$D$29,MATCH(H466,FourWeekly_Model!$B$2:$B$29,0)),0),IFERROR(INDEX(FourWeekly_Model!$D$2:$D$29,MATCH(H467,FourWeekly_Model!$B$2:$B$29,0)),0),IFERROR(INDEX(FourWeekly_Model!$D$2:$D$29,MATCH(H468,FourWeekly_Model!$B$2:$B$29,0)),0)),IF(VLOOKUP($A465,Calendar!$A$1:$R$1377,18,0)=5,SUM(IFERROR(INDEX(FourWeekly_Model!$D$2:$D$29,MATCH(H465,FourWeekly_Model!$B$2:$B$29,0)),0),IFERROR(INDEX(FourWeekly_Model!$D$2:$D$29,MATCH(H466,FourWeekly_Model!$B$2:$B$29,0)),0),IFERROR(INDEX(FourWeekly_Model!$D$2:$D$29,MATCH(H467,FourWeekly_Model!$B$2:$B$29,0)),0),IFERROR(INDEX(FourWeekly_Model!$D$2:$D$29,MATCH(H468,FourWeekly_Model!$B$2:$B$29,0)),0),IFERROR(INDEX(FourWeekly_Model!$D$2:$D$29,MATCH(H469,FourWeekly_Model!$B$2:$B$29,0)),0)),0))))))</f>
        <v>0</v>
      </c>
      <c r="N465" s="27">
        <f>SUM(I465:M465)</f>
        <v>0</v>
      </c>
      <c r="O465" s="28">
        <f>Population_Data!$B$8*N465</f>
        <v>0</v>
      </c>
      <c r="P465" s="27">
        <f>IF(VLOOKUP($A465,Calendar!$A$1:$R$1377,18,0)=0,0,IF(VLOOKUP($A465,Calendar!$A$1:$R$1377,18,0)=1,IFERROR(INDEX(Pension_Model!$D$2:$D$29,MATCH(H465,Pension_Model!$B$2:$B$29,0)),0),IF(VLOOKUP($A465,Calendar!$A$1:$R$1377,18,0)=2,SUM(IFERROR(INDEX(Pension_Model!$D$2:$D$29,MATCH(H465,Pension_Model!$B$2:$B$29,0)),0),IFERROR(INDEX(Pension_Model!$D$2:$D$29,MATCH(H466,Pension_Model!$B$2:$B$29,0)),0)),IF(VLOOKUP($A465,Calendar!$A$1:$R$1377,18,0)=3,SUM(IFERROR(INDEX(Pension_Model!$D$2:$D$29,MATCH(H465,Pension_Model!$B$2:$B$29,0)),0),IFERROR(INDEX(Pension_Model!$D$2:$D$29,MATCH(H466,Pension_Model!$B$2:$B$29,0)),0),IFERROR(INDEX(Pension_Model!$D$2:$D$29,MATCH(H467,Pension_Model!$B$2:$B$29,0)),0)),IF(VLOOKUP($A465,Calendar!$A$1:$R$1377,18,0)=4,SUM(IFERROR(INDEX(Pension_Model!$D$2:$D$29,MATCH(H465,Pension_Model!$B$2:$B$29,0)),0),IFERROR(INDEX(Pension_Model!$D$2:$D$29,MATCH(H466,Pension_Model!$B$2:$B$29,0)),0),IFERROR(INDEX(Pension_Model!$D$2:$D$29,MATCH(H467,Pension_Model!$B$2:$B$29,0)),0),IFERROR(INDEX(Pension_Model!$D$2:$D$29,MATCH(H468,Pension_Model!$B$2:$B$29,0)),0)),IF(VLOOKUP($A465,Calendar!$A$1:$R$1377,18,0)=5,SUM(IFERROR(INDEX(Pension_Model!$D$2:$D$29,MATCH(H465,Pension_Model!$B$2:$B$29,0)),0),IFERROR(INDEX(Pension_Model!$D$2:$D$29,MATCH(H466,Pension_Model!$B$2:$B$29,0)),0),IFERROR(INDEX(Pension_Model!$D$2:$D$29,MATCH(H467,Pension_Model!$B$2:$B$29,0)),0),IFERROR(INDEX(Pension_Model!$D$2:$D$29,MATCH(H468,Pension_Model!$B$2:$B$29,0)),0),IFERROR(INDEX(Pension_Model!$D$2:$D$29,MATCH(H469,Pension_Model!$B$2:$B$29,0)),0)),0))))))</f>
        <v>0</v>
      </c>
      <c r="Q465" s="28">
        <f>Population_Data!$B$15*P465</f>
        <v>0</v>
      </c>
      <c r="S465">
        <f t="shared" si="7"/>
        <v>0</v>
      </c>
      <c r="U465" s="33">
        <f>S465/Population_Data!$B$19</f>
        <v>0</v>
      </c>
    </row>
    <row r="466" spans="1:21">
      <c r="A466" s="25">
        <f>Calendar!A466</f>
        <v>46699</v>
      </c>
      <c r="B466" t="str">
        <f>Calendar!L466</f>
        <v>Yes</v>
      </c>
      <c r="C466" t="str">
        <f>Calendar!O466</f>
        <v>No</v>
      </c>
      <c r="D466" t="str">
        <f>Calendar!P466</f>
        <v>No</v>
      </c>
      <c r="E466" t="str">
        <f>Calendar!Q466</f>
        <v>No</v>
      </c>
      <c r="F466" t="str">
        <f>Calendar!I466</f>
        <v>Monday</v>
      </c>
      <c r="G466">
        <f>Calendar!S466</f>
        <v>9</v>
      </c>
      <c r="H466">
        <f>Calendar!T466</f>
        <v>23</v>
      </c>
      <c r="I466" s="27">
        <f>IF(VLOOKUP(A466,Calendar!$A$1:$R$1377,18,0)=0,0,IF(VLOOKUP(A466,Calendar!$A$1:$R$1377,18,0)=1,INDEX(Monthly_Pay_Model!$A$9:$D$40,MATCH(TEXT(A466,"dd"),Monthly_Pay_Model!$C$9:$C$39,0),4),IF(VLOOKUP(A466,Calendar!$A$1:$R$1377,18,0)=2,SUM(INDEX(Monthly_Pay_Model!$A$9:$D$40,MATCH(TEXT(A466,"dd"),Monthly_Pay_Model!$C$9:$C$39,0),4),INDEX(Monthly_Pay_Model!$A$9:$D$40,MATCH(TEXT(A467,"dd"),Monthly_Pay_Model!$C$9:$C$39,0),4)),IF(VLOOKUP(A466,Calendar!$A$1:$R$1377,18,0)=3,SUM(INDEX(Monthly_Pay_Model!$A$9:$D$40,MATCH(TEXT(A466,"dd"),Monthly_Pay_Model!$C$9:$C$39,0),4),INDEX(Monthly_Pay_Model!$A$9:$D$40,MATCH(TEXT(A467,"dd"),Monthly_Pay_Model!$C$9:$C$39,0),4),INDEX(Monthly_Pay_Model!$A$9:$D$40,MATCH(TEXT(A468,"dd"),Monthly_Pay_Model!$C$9:$C$39,0),4)),IF(VLOOKUP(A466,Calendar!$A$1:$R$1377,18,0)=4,SUM(INDEX(Monthly_Pay_Model!$A$9:$D$40,MATCH(TEXT(A466,"dd"),Monthly_Pay_Model!$C$9:$C$39,0),4),INDEX(Monthly_Pay_Model!$A$9:$D$40,MATCH(TEXT(A467,"dd"),Monthly_Pay_Model!$C$9:$C$39,0),4),INDEX(Monthly_Pay_Model!$A$9:$D$40,MATCH(TEXT(A468,"dd"),Monthly_Pay_Model!$C$9:$C$39,0),4),INDEX(Monthly_Pay_Model!$A$9:$D$40,MATCH(TEXT(A469,"dd"),Monthly_Pay_Model!$C$9:$C$39,0),4)),IF(VLOOKUP(A466,Calendar!$A$1:$R$1377,18,0)=5,SUM(INDEX(Monthly_Pay_Model!$A$9:$D$40,MATCH(TEXT(A466,"dd"),Monthly_Pay_Model!$C$9:$C$39,0),4),INDEX(Monthly_Pay_Model!$A$9:$D$40,MATCH(TEXT(A467,"dd"),Monthly_Pay_Model!$C$9:$C$39,0),4),INDEX(Monthly_Pay_Model!$A$9:$D$40,MATCH(TEXT(A468,"dd"),Monthly_Pay_Model!$C$9:$C$39,0),4),INDEX(Monthly_Pay_Model!$A$9:$D$40,MATCH(TEXT(A469,"dd"),Monthly_Pay_Model!$C$9:$C$39,0),4),INDEX(Monthly_Pay_Model!$A$9:$D$40,MATCH(TEXT(A470,"dd"),Monthly_Pay_Model!$C$9:$C$39,0),4)),))))))</f>
        <v>1.6251308900523558E-3</v>
      </c>
      <c r="J466" s="33">
        <f>IF(C466="Yes",Monthly_Pay_Model!$D$2,0)
+IF(Calendar!N466="Yes",Monthly_Pay_Model!$D$3,0)
+IF(D466="Yes",Monthly_Pay_Model!$D$4,0)
+IF(E466="Yes",Monthly_Pay_Model!$D$5,0)</f>
        <v>0</v>
      </c>
      <c r="K466" s="27">
        <f>IF(VLOOKUP($A466,Calendar!$A$1:$R$1377,18,0)=0,0,IF(VLOOKUP($A466,Calendar!$A$1:$R$1377,18,0)=1,IFERROR(INDEX(Weekly_Model!$D$2:$D$9,MATCH(F466,Weekly_Model!$A$2:$A$9,0)),0),IF(VLOOKUP($A466,Calendar!$A$1:$R$1377,18,0)=2,SUM(IFERROR(INDEX(Weekly_Model!$D$2:$D$9,MATCH(F466,Weekly_Model!$A$2:$A$9,0)),0),IFERROR(INDEX(Weekly_Model!$D$2:$D$9,MATCH(F467,Weekly_Model!$A$2:$A$9,0)),0)),IF(VLOOKUP($A466,Calendar!$A$1:$R$1377,18,0)=3,SUM(IFERROR(INDEX(Weekly_Model!$D$2:$D$9,MATCH(F466,Weekly_Model!$A$2:$A$9,0)),0),IFERROR(INDEX(Weekly_Model!$D$2:$D$9,MATCH(F467,Weekly_Model!$A$2:$A$9,0)),0),IFERROR(INDEX(Weekly_Model!$D$2:$D$9,MATCH(F468,Weekly_Model!$A$2:$A$9,0)),0)),IF(VLOOKUP($A466,Calendar!$A$1:$R$1377,18,0)=4,SUM(IFERROR(INDEX(Weekly_Model!$D$2:$D$9,MATCH(F466,Weekly_Model!$A$2:$A$9,0)),0),IFERROR(INDEX(Weekly_Model!$D$2:$D$9,MATCH(F467,Weekly_Model!$A$2:$A$9,0)),0),IFERROR(INDEX(Weekly_Model!$D$2:$D$9,MATCH(F468,Weekly_Model!$A$2:$A$9,0)),0),IFERROR(INDEX(Weekly_Model!$D$2:$D$9,MATCH(F469,Weekly_Model!$A$2:$A$9,0)),0)),IF(VLOOKUP($A466,Calendar!$A$1:$R$1377,18,0)=5,SUM(IFERROR(INDEX(Weekly_Model!$D$2:$D$9,MATCH(F466,Weekly_Model!$A$2:$A$9,0)),0),IFERROR(INDEX(Weekly_Model!$D$2:$D$9,MATCH(F467,Weekly_Model!$A$2:$A$9,0)),0),IFERROR(INDEX(Weekly_Model!$D$2:$D$9,MATCH(F468,Weekly_Model!$A$2:$A$9,0)),0),IFERROR(INDEX(Weekly_Model!$D$2:$D$9,MATCH(F469,Weekly_Model!$A$2:$A$9,0)),0),IFERROR(INDEX(Weekly_Model!$D$2:$D$9,MATCH(F470,Weekly_Model!$A$2:$A$9,0)),0)),0))))))</f>
        <v>2.3200000000000002E-2</v>
      </c>
      <c r="L466" s="27">
        <f>IF(VLOOKUP($A466,Calendar!$A$1:$R$1377,18,0)=0,0,IF(VLOOKUP($A466,Calendar!$A$1:$R$1377,18,0)=1,IFERROR(INDEX(Fortnightly_Model!$D$2:$D$15,MATCH(G466,Fortnightly_Model!$B$2:$B$15,0)),0),IF(VLOOKUP($A466,Calendar!$A$1:$R$1377,18,0)=2,SUM(IFERROR(INDEX(Fortnightly_Model!$D$2:$D$15,MATCH(G466,Fortnightly_Model!$B$2:$B$15,0)),0),IFERROR(INDEX(Fortnightly_Model!$D$2:$D$15,MATCH(G467,Fortnightly_Model!$B$2:$B$15,0)),0)),IF(VLOOKUP($A466,Calendar!$A$1:$R$1377,18,0)=3,SUM(IFERROR(INDEX(Fortnightly_Model!$D$2:$D$15,MATCH(G466,Fortnightly_Model!$B$2:$B$15,0)),0),IFERROR(INDEX(Fortnightly_Model!$D$2:$D$15,MATCH(G467,Fortnightly_Model!$B$2:$B$15,0)),0),IFERROR(INDEX(Fortnightly_Model!$D$2:$D$15,MATCH(G468,Fortnightly_Model!$B$2:$B$15,0)),0)),IF(VLOOKUP($A466,Calendar!$A$1:$R$1377,18,0)=4,SUM(IFERROR(INDEX(Fortnightly_Model!$D$2:$D$15,MATCH(G466,Fortnightly_Model!$B$2:$B$15,0)),0),IFERROR(INDEX(Fortnightly_Model!$D$2:$D$15,MATCH(G467,Fortnightly_Model!$B$2:$B$15,0)),0),IFERROR(INDEX(Fortnightly_Model!$D$2:$D$15,MATCH(G468,Fortnightly_Model!$B$2:$B$15,0)),0),IFERROR(INDEX(Fortnightly_Model!$D$2:$D$15,MATCH(G469,Fortnightly_Model!$B$2:$B$15,0)),0)),IF(VLOOKUP($A466,Calendar!$A$1:$R$1377,18,0)=5,SUM(IFERROR(INDEX(Fortnightly_Model!$D$2:$D$15,MATCH(G466,Fortnightly_Model!$B$2:$B$15,0)),0),IFERROR(INDEX(Fortnightly_Model!$D$2:$D$15,MATCH(G467,Fortnightly_Model!$B$2:$B$15,0)),0),IFERROR(INDEX(Fortnightly_Model!$D$2:$D$15,MATCH(G468,Fortnightly_Model!$B$2:$B$15,0)),0),IFERROR(INDEX(Fortnightly_Model!$D$2:$D$15,MATCH(G469,Fortnightly_Model!$B$2:$B$15,0)),0),IFERROR(INDEX(Fortnightly_Model!$D$2:$D$15,MATCH(G470,Fortnightly_Model!$B$2:$B$15,0)),0)),0))))))</f>
        <v>1.0714285499999999E-3</v>
      </c>
      <c r="M466" s="27">
        <f>IF(VLOOKUP($A466,Calendar!$A$1:$R$1377,18,0)=0,0,IF(VLOOKUP($A466,Calendar!$A$1:$R$1377,18,0)=1,IFERROR(INDEX(FourWeekly_Model!$D$2:$D$29,MATCH(H466,FourWeekly_Model!$B$2:$B$29,0)),0),IF(VLOOKUP($A466,Calendar!$A$1:$R$1377,18,0)=2,SUM(IFERROR(INDEX(FourWeekly_Model!$D$2:$D$29,MATCH(H466,FourWeekly_Model!$B$2:$B$29,0)),0),IFERROR(INDEX(FourWeekly_Model!$D$2:$D$29,MATCH(H467,FourWeekly_Model!$B$2:$B$29,0)),0)),IF(VLOOKUP($A466,Calendar!$A$1:$R$1377,18,0)=3,SUM(IFERROR(INDEX(FourWeekly_Model!$D$2:$D$29,MATCH(H466,FourWeekly_Model!$B$2:$B$29,0)),0),IFERROR(INDEX(FourWeekly_Model!$D$2:$D$29,MATCH(H467,FourWeekly_Model!$B$2:$B$29,0)),0),IFERROR(INDEX(FourWeekly_Model!$D$2:$D$29,MATCH(H468,FourWeekly_Model!$B$2:$B$29,0)),0)),IF(VLOOKUP($A466,Calendar!$A$1:$R$1377,18,0)=4,SUM(IFERROR(INDEX(FourWeekly_Model!$D$2:$D$29,MATCH(H466,FourWeekly_Model!$B$2:$B$29,0)),0),IFERROR(INDEX(FourWeekly_Model!$D$2:$D$29,MATCH(H467,FourWeekly_Model!$B$2:$B$29,0)),0),IFERROR(INDEX(FourWeekly_Model!$D$2:$D$29,MATCH(H468,FourWeekly_Model!$B$2:$B$29,0)),0),IFERROR(INDEX(FourWeekly_Model!$D$2:$D$29,MATCH(H469,FourWeekly_Model!$B$2:$B$29,0)),0)),IF(VLOOKUP($A466,Calendar!$A$1:$R$1377,18,0)=5,SUM(IFERROR(INDEX(FourWeekly_Model!$D$2:$D$29,MATCH(H466,FourWeekly_Model!$B$2:$B$29,0)),0),IFERROR(INDEX(FourWeekly_Model!$D$2:$D$29,MATCH(H467,FourWeekly_Model!$B$2:$B$29,0)),0),IFERROR(INDEX(FourWeekly_Model!$D$2:$D$29,MATCH(H468,FourWeekly_Model!$B$2:$B$29,0)),0),IFERROR(INDEX(FourWeekly_Model!$D$2:$D$29,MATCH(H469,FourWeekly_Model!$B$2:$B$29,0)),0),IFERROR(INDEX(FourWeekly_Model!$D$2:$D$29,MATCH(H470,FourWeekly_Model!$B$2:$B$29,0)),0)),0))))))</f>
        <v>3.3214289700000004E-3</v>
      </c>
      <c r="N466" s="27">
        <f>SUM(I466:M466)</f>
        <v>2.921798841005236E-2</v>
      </c>
      <c r="O466" s="28">
        <f>Population_Data!$B$8*N466</f>
        <v>885305.04882458656</v>
      </c>
      <c r="P466" s="27">
        <f>IF(VLOOKUP($A466,Calendar!$A$1:$R$1377,18,0)=0,0,IF(VLOOKUP($A466,Calendar!$A$1:$R$1377,18,0)=1,IFERROR(INDEX(Pension_Model!$D$2:$D$29,MATCH(H466,Pension_Model!$B$2:$B$29,0)),0),IF(VLOOKUP($A466,Calendar!$A$1:$R$1377,18,0)=2,SUM(IFERROR(INDEX(Pension_Model!$D$2:$D$29,MATCH(H466,Pension_Model!$B$2:$B$29,0)),0),IFERROR(INDEX(Pension_Model!$D$2:$D$29,MATCH(H467,Pension_Model!$B$2:$B$29,0)),0)),IF(VLOOKUP($A466,Calendar!$A$1:$R$1377,18,0)=3,SUM(IFERROR(INDEX(Pension_Model!$D$2:$D$29,MATCH(H466,Pension_Model!$B$2:$B$29,0)),0),IFERROR(INDEX(Pension_Model!$D$2:$D$29,MATCH(H467,Pension_Model!$B$2:$B$29,0)),0),IFERROR(INDEX(Pension_Model!$D$2:$D$29,MATCH(H468,Pension_Model!$B$2:$B$29,0)),0)),IF(VLOOKUP($A466,Calendar!$A$1:$R$1377,18,0)=4,SUM(IFERROR(INDEX(Pension_Model!$D$2:$D$29,MATCH(H466,Pension_Model!$B$2:$B$29,0)),0),IFERROR(INDEX(Pension_Model!$D$2:$D$29,MATCH(H467,Pension_Model!$B$2:$B$29,0)),0),IFERROR(INDEX(Pension_Model!$D$2:$D$29,MATCH(H468,Pension_Model!$B$2:$B$29,0)),0),IFERROR(INDEX(Pension_Model!$D$2:$D$29,MATCH(H469,Pension_Model!$B$2:$B$29,0)),0)),IF(VLOOKUP($A466,Calendar!$A$1:$R$1377,18,0)=5,SUM(IFERROR(INDEX(Pension_Model!$D$2:$D$29,MATCH(H466,Pension_Model!$B$2:$B$29,0)),0),IFERROR(INDEX(Pension_Model!$D$2:$D$29,MATCH(H467,Pension_Model!$B$2:$B$29,0)),0),IFERROR(INDEX(Pension_Model!$D$2:$D$29,MATCH(H468,Pension_Model!$B$2:$B$29,0)),0),IFERROR(INDEX(Pension_Model!$D$2:$D$29,MATCH(H469,Pension_Model!$B$2:$B$29,0)),0),IFERROR(INDEX(Pension_Model!$D$2:$D$29,MATCH(H470,Pension_Model!$B$2:$B$29,0)),0)),0))))))</f>
        <v>0.05</v>
      </c>
      <c r="Q466" s="28">
        <f>Population_Data!$B$15*P466</f>
        <v>660600</v>
      </c>
      <c r="S466">
        <f t="shared" si="7"/>
        <v>1545905.0488245864</v>
      </c>
      <c r="U466" s="33">
        <f>S466/Population_Data!$B$19</f>
        <v>2.8005526246822218E-2</v>
      </c>
    </row>
    <row r="467" spans="1:21">
      <c r="A467" s="25">
        <f>Calendar!A467</f>
        <v>46700</v>
      </c>
      <c r="B467" t="str">
        <f>Calendar!L467</f>
        <v>Yes</v>
      </c>
      <c r="C467" t="str">
        <f>Calendar!O467</f>
        <v>No</v>
      </c>
      <c r="D467" t="str">
        <f>Calendar!P467</f>
        <v>No</v>
      </c>
      <c r="E467" t="str">
        <f>Calendar!Q467</f>
        <v>No</v>
      </c>
      <c r="F467" t="str">
        <f>Calendar!I467</f>
        <v>Tuesday</v>
      </c>
      <c r="G467">
        <f>Calendar!S467</f>
        <v>10</v>
      </c>
      <c r="H467">
        <f>Calendar!T467</f>
        <v>24</v>
      </c>
      <c r="I467" s="27">
        <f>IF(VLOOKUP(A467,Calendar!$A$1:$R$1377,18,0)=0,0,IF(VLOOKUP(A467,Calendar!$A$1:$R$1377,18,0)=1,INDEX(Monthly_Pay_Model!$A$9:$D$40,MATCH(TEXT(A467,"dd"),Monthly_Pay_Model!$C$9:$C$39,0),4),IF(VLOOKUP(A467,Calendar!$A$1:$R$1377,18,0)=2,SUM(INDEX(Monthly_Pay_Model!$A$9:$D$40,MATCH(TEXT(A467,"dd"),Monthly_Pay_Model!$C$9:$C$39,0),4),INDEX(Monthly_Pay_Model!$A$9:$D$40,MATCH(TEXT(A468,"dd"),Monthly_Pay_Model!$C$9:$C$39,0),4)),IF(VLOOKUP(A467,Calendar!$A$1:$R$1377,18,0)=3,SUM(INDEX(Monthly_Pay_Model!$A$9:$D$40,MATCH(TEXT(A467,"dd"),Monthly_Pay_Model!$C$9:$C$39,0),4),INDEX(Monthly_Pay_Model!$A$9:$D$40,MATCH(TEXT(A468,"dd"),Monthly_Pay_Model!$C$9:$C$39,0),4),INDEX(Monthly_Pay_Model!$A$9:$D$40,MATCH(TEXT(A469,"dd"),Monthly_Pay_Model!$C$9:$C$39,0),4)),IF(VLOOKUP(A467,Calendar!$A$1:$R$1377,18,0)=4,SUM(INDEX(Monthly_Pay_Model!$A$9:$D$40,MATCH(TEXT(A467,"dd"),Monthly_Pay_Model!$C$9:$C$39,0),4),INDEX(Monthly_Pay_Model!$A$9:$D$40,MATCH(TEXT(A468,"dd"),Monthly_Pay_Model!$C$9:$C$39,0),4),INDEX(Monthly_Pay_Model!$A$9:$D$40,MATCH(TEXT(A469,"dd"),Monthly_Pay_Model!$C$9:$C$39,0),4),INDEX(Monthly_Pay_Model!$A$9:$D$40,MATCH(TEXT(A470,"dd"),Monthly_Pay_Model!$C$9:$C$39,0),4)),IF(VLOOKUP(A467,Calendar!$A$1:$R$1377,18,0)=5,SUM(INDEX(Monthly_Pay_Model!$A$9:$D$40,MATCH(TEXT(A467,"dd"),Monthly_Pay_Model!$C$9:$C$39,0),4),INDEX(Monthly_Pay_Model!$A$9:$D$40,MATCH(TEXT(A468,"dd"),Monthly_Pay_Model!$C$9:$C$39,0),4),INDEX(Monthly_Pay_Model!$A$9:$D$40,MATCH(TEXT(A469,"dd"),Monthly_Pay_Model!$C$9:$C$39,0),4),INDEX(Monthly_Pay_Model!$A$9:$D$40,MATCH(TEXT(A470,"dd"),Monthly_Pay_Model!$C$9:$C$39,0),4),INDEX(Monthly_Pay_Model!$A$9:$D$40,MATCH(TEXT(A471,"dd"),Monthly_Pay_Model!$C$9:$C$39,0),4)),))))))</f>
        <v>8.1256544502617792E-4</v>
      </c>
      <c r="J467" s="33">
        <f>IF(C467="Yes",Monthly_Pay_Model!$D$2,0)
+IF(Calendar!N467="Yes",Monthly_Pay_Model!$D$3,0)
+IF(D467="Yes",Monthly_Pay_Model!$D$4,0)
+IF(E467="Yes",Monthly_Pay_Model!$D$5,0)</f>
        <v>0</v>
      </c>
      <c r="K467" s="27">
        <f>IF(VLOOKUP($A467,Calendar!$A$1:$R$1377,18,0)=0,0,IF(VLOOKUP($A467,Calendar!$A$1:$R$1377,18,0)=1,IFERROR(INDEX(Weekly_Model!$D$2:$D$9,MATCH(F467,Weekly_Model!$A$2:$A$9,0)),0),IF(VLOOKUP($A467,Calendar!$A$1:$R$1377,18,0)=2,SUM(IFERROR(INDEX(Weekly_Model!$D$2:$D$9,MATCH(F467,Weekly_Model!$A$2:$A$9,0)),0),IFERROR(INDEX(Weekly_Model!$D$2:$D$9,MATCH(F468,Weekly_Model!$A$2:$A$9,0)),0)),IF(VLOOKUP($A467,Calendar!$A$1:$R$1377,18,0)=3,SUM(IFERROR(INDEX(Weekly_Model!$D$2:$D$9,MATCH(F467,Weekly_Model!$A$2:$A$9,0)),0),IFERROR(INDEX(Weekly_Model!$D$2:$D$9,MATCH(F468,Weekly_Model!$A$2:$A$9,0)),0),IFERROR(INDEX(Weekly_Model!$D$2:$D$9,MATCH(F469,Weekly_Model!$A$2:$A$9,0)),0)),IF(VLOOKUP($A467,Calendar!$A$1:$R$1377,18,0)=4,SUM(IFERROR(INDEX(Weekly_Model!$D$2:$D$9,MATCH(F467,Weekly_Model!$A$2:$A$9,0)),0),IFERROR(INDEX(Weekly_Model!$D$2:$D$9,MATCH(F468,Weekly_Model!$A$2:$A$9,0)),0),IFERROR(INDEX(Weekly_Model!$D$2:$D$9,MATCH(F469,Weekly_Model!$A$2:$A$9,0)),0),IFERROR(INDEX(Weekly_Model!$D$2:$D$9,MATCH(F470,Weekly_Model!$A$2:$A$9,0)),0)),IF(VLOOKUP($A467,Calendar!$A$1:$R$1377,18,0)=5,SUM(IFERROR(INDEX(Weekly_Model!$D$2:$D$9,MATCH(F467,Weekly_Model!$A$2:$A$9,0)),0),IFERROR(INDEX(Weekly_Model!$D$2:$D$9,MATCH(F468,Weekly_Model!$A$2:$A$9,0)),0),IFERROR(INDEX(Weekly_Model!$D$2:$D$9,MATCH(F469,Weekly_Model!$A$2:$A$9,0)),0),IFERROR(INDEX(Weekly_Model!$D$2:$D$9,MATCH(F470,Weekly_Model!$A$2:$A$9,0)),0),IFERROR(INDEX(Weekly_Model!$D$2:$D$9,MATCH(F471,Weekly_Model!$A$2:$A$9,0)),0)),0))))))</f>
        <v>2.3200000000000002E-2</v>
      </c>
      <c r="L467" s="27">
        <f>IF(VLOOKUP($A467,Calendar!$A$1:$R$1377,18,0)=0,0,IF(VLOOKUP($A467,Calendar!$A$1:$R$1377,18,0)=1,IFERROR(INDEX(Fortnightly_Model!$D$2:$D$15,MATCH(G467,Fortnightly_Model!$B$2:$B$15,0)),0),IF(VLOOKUP($A467,Calendar!$A$1:$R$1377,18,0)=2,SUM(IFERROR(INDEX(Fortnightly_Model!$D$2:$D$15,MATCH(G467,Fortnightly_Model!$B$2:$B$15,0)),0),IFERROR(INDEX(Fortnightly_Model!$D$2:$D$15,MATCH(G468,Fortnightly_Model!$B$2:$B$15,0)),0)),IF(VLOOKUP($A467,Calendar!$A$1:$R$1377,18,0)=3,SUM(IFERROR(INDEX(Fortnightly_Model!$D$2:$D$15,MATCH(G467,Fortnightly_Model!$B$2:$B$15,0)),0),IFERROR(INDEX(Fortnightly_Model!$D$2:$D$15,MATCH(G468,Fortnightly_Model!$B$2:$B$15,0)),0),IFERROR(INDEX(Fortnightly_Model!$D$2:$D$15,MATCH(G469,Fortnightly_Model!$B$2:$B$15,0)),0)),IF(VLOOKUP($A467,Calendar!$A$1:$R$1377,18,0)=4,SUM(IFERROR(INDEX(Fortnightly_Model!$D$2:$D$15,MATCH(G467,Fortnightly_Model!$B$2:$B$15,0)),0),IFERROR(INDEX(Fortnightly_Model!$D$2:$D$15,MATCH(G468,Fortnightly_Model!$B$2:$B$15,0)),0),IFERROR(INDEX(Fortnightly_Model!$D$2:$D$15,MATCH(G469,Fortnightly_Model!$B$2:$B$15,0)),0),IFERROR(INDEX(Fortnightly_Model!$D$2:$D$15,MATCH(G470,Fortnightly_Model!$B$2:$B$15,0)),0)),IF(VLOOKUP($A467,Calendar!$A$1:$R$1377,18,0)=5,SUM(IFERROR(INDEX(Fortnightly_Model!$D$2:$D$15,MATCH(G467,Fortnightly_Model!$B$2:$B$15,0)),0),IFERROR(INDEX(Fortnightly_Model!$D$2:$D$15,MATCH(G468,Fortnightly_Model!$B$2:$B$15,0)),0),IFERROR(INDEX(Fortnightly_Model!$D$2:$D$15,MATCH(G469,Fortnightly_Model!$B$2:$B$15,0)),0),IFERROR(INDEX(Fortnightly_Model!$D$2:$D$15,MATCH(G470,Fortnightly_Model!$B$2:$B$15,0)),0),IFERROR(INDEX(Fortnightly_Model!$D$2:$D$15,MATCH(G471,Fortnightly_Model!$B$2:$B$15,0)),0)),0))))))</f>
        <v>1.0714285499999999E-3</v>
      </c>
      <c r="M467" s="27">
        <f>IF(VLOOKUP($A467,Calendar!$A$1:$R$1377,18,0)=0,0,IF(VLOOKUP($A467,Calendar!$A$1:$R$1377,18,0)=1,IFERROR(INDEX(FourWeekly_Model!$D$2:$D$29,MATCH(H467,FourWeekly_Model!$B$2:$B$29,0)),0),IF(VLOOKUP($A467,Calendar!$A$1:$R$1377,18,0)=2,SUM(IFERROR(INDEX(FourWeekly_Model!$D$2:$D$29,MATCH(H467,FourWeekly_Model!$B$2:$B$29,0)),0),IFERROR(INDEX(FourWeekly_Model!$D$2:$D$29,MATCH(H468,FourWeekly_Model!$B$2:$B$29,0)),0)),IF(VLOOKUP($A467,Calendar!$A$1:$R$1377,18,0)=3,SUM(IFERROR(INDEX(FourWeekly_Model!$D$2:$D$29,MATCH(H467,FourWeekly_Model!$B$2:$B$29,0)),0),IFERROR(INDEX(FourWeekly_Model!$D$2:$D$29,MATCH(H468,FourWeekly_Model!$B$2:$B$29,0)),0),IFERROR(INDEX(FourWeekly_Model!$D$2:$D$29,MATCH(H469,FourWeekly_Model!$B$2:$B$29,0)),0)),IF(VLOOKUP($A467,Calendar!$A$1:$R$1377,18,0)=4,SUM(IFERROR(INDEX(FourWeekly_Model!$D$2:$D$29,MATCH(H467,FourWeekly_Model!$B$2:$B$29,0)),0),IFERROR(INDEX(FourWeekly_Model!$D$2:$D$29,MATCH(H468,FourWeekly_Model!$B$2:$B$29,0)),0),IFERROR(INDEX(FourWeekly_Model!$D$2:$D$29,MATCH(H469,FourWeekly_Model!$B$2:$B$29,0)),0),IFERROR(INDEX(FourWeekly_Model!$D$2:$D$29,MATCH(H470,FourWeekly_Model!$B$2:$B$29,0)),0)),IF(VLOOKUP($A467,Calendar!$A$1:$R$1377,18,0)=5,SUM(IFERROR(INDEX(FourWeekly_Model!$D$2:$D$29,MATCH(H467,FourWeekly_Model!$B$2:$B$29,0)),0),IFERROR(INDEX(FourWeekly_Model!$D$2:$D$29,MATCH(H468,FourWeekly_Model!$B$2:$B$29,0)),0),IFERROR(INDEX(FourWeekly_Model!$D$2:$D$29,MATCH(H469,FourWeekly_Model!$B$2:$B$29,0)),0),IFERROR(INDEX(FourWeekly_Model!$D$2:$D$29,MATCH(H470,FourWeekly_Model!$B$2:$B$29,0)),0),IFERROR(INDEX(FourWeekly_Model!$D$2:$D$29,MATCH(H471,FourWeekly_Model!$B$2:$B$29,0)),0)),0))))))</f>
        <v>3.3214289700000004E-3</v>
      </c>
      <c r="N467" s="27">
        <f>SUM(I467:M467)</f>
        <v>2.840542296502618E-2</v>
      </c>
      <c r="O467" s="28">
        <f>Population_Data!$B$8*N467</f>
        <v>860684.3158402933</v>
      </c>
      <c r="P467" s="27">
        <f>IF(VLOOKUP($A467,Calendar!$A$1:$R$1377,18,0)=0,0,IF(VLOOKUP($A467,Calendar!$A$1:$R$1377,18,0)=1,IFERROR(INDEX(Pension_Model!$D$2:$D$29,MATCH(H467,Pension_Model!$B$2:$B$29,0)),0),IF(VLOOKUP($A467,Calendar!$A$1:$R$1377,18,0)=2,SUM(IFERROR(INDEX(Pension_Model!$D$2:$D$29,MATCH(H467,Pension_Model!$B$2:$B$29,0)),0),IFERROR(INDEX(Pension_Model!$D$2:$D$29,MATCH(H468,Pension_Model!$B$2:$B$29,0)),0)),IF(VLOOKUP($A467,Calendar!$A$1:$R$1377,18,0)=3,SUM(IFERROR(INDEX(Pension_Model!$D$2:$D$29,MATCH(H467,Pension_Model!$B$2:$B$29,0)),0),IFERROR(INDEX(Pension_Model!$D$2:$D$29,MATCH(H468,Pension_Model!$B$2:$B$29,0)),0),IFERROR(INDEX(Pension_Model!$D$2:$D$29,MATCH(H469,Pension_Model!$B$2:$B$29,0)),0)),IF(VLOOKUP($A467,Calendar!$A$1:$R$1377,18,0)=4,SUM(IFERROR(INDEX(Pension_Model!$D$2:$D$29,MATCH(H467,Pension_Model!$B$2:$B$29,0)),0),IFERROR(INDEX(Pension_Model!$D$2:$D$29,MATCH(H468,Pension_Model!$B$2:$B$29,0)),0),IFERROR(INDEX(Pension_Model!$D$2:$D$29,MATCH(H469,Pension_Model!$B$2:$B$29,0)),0),IFERROR(INDEX(Pension_Model!$D$2:$D$29,MATCH(H470,Pension_Model!$B$2:$B$29,0)),0)),IF(VLOOKUP($A467,Calendar!$A$1:$R$1377,18,0)=5,SUM(IFERROR(INDEX(Pension_Model!$D$2:$D$29,MATCH(H467,Pension_Model!$B$2:$B$29,0)),0),IFERROR(INDEX(Pension_Model!$D$2:$D$29,MATCH(H468,Pension_Model!$B$2:$B$29,0)),0),IFERROR(INDEX(Pension_Model!$D$2:$D$29,MATCH(H469,Pension_Model!$B$2:$B$29,0)),0),IFERROR(INDEX(Pension_Model!$D$2:$D$29,MATCH(H470,Pension_Model!$B$2:$B$29,0)),0),IFERROR(INDEX(Pension_Model!$D$2:$D$29,MATCH(H471,Pension_Model!$B$2:$B$29,0)),0)),0))))))</f>
        <v>0.05</v>
      </c>
      <c r="Q467" s="28">
        <f>Population_Data!$B$15*P467</f>
        <v>660600</v>
      </c>
      <c r="S467">
        <f t="shared" si="7"/>
        <v>1521284.3158402932</v>
      </c>
      <c r="U467" s="33">
        <f>S467/Population_Data!$B$19</f>
        <v>2.7559498475367629E-2</v>
      </c>
    </row>
    <row r="468" spans="1:21">
      <c r="A468" s="25">
        <f>Calendar!A468</f>
        <v>46701</v>
      </c>
      <c r="B468" t="str">
        <f>Calendar!L468</f>
        <v>Yes</v>
      </c>
      <c r="C468" t="str">
        <f>Calendar!O468</f>
        <v>No</v>
      </c>
      <c r="D468" t="str">
        <f>Calendar!P468</f>
        <v>No</v>
      </c>
      <c r="E468" t="str">
        <f>Calendar!Q468</f>
        <v>No</v>
      </c>
      <c r="F468" t="str">
        <f>Calendar!I468</f>
        <v>Wednesday</v>
      </c>
      <c r="G468">
        <f>Calendar!S468</f>
        <v>11</v>
      </c>
      <c r="H468">
        <f>Calendar!T468</f>
        <v>25</v>
      </c>
      <c r="I468" s="27">
        <f>IF(VLOOKUP(A468,Calendar!$A$1:$R$1377,18,0)=0,0,IF(VLOOKUP(A468,Calendar!$A$1:$R$1377,18,0)=1,INDEX(Monthly_Pay_Model!$A$9:$D$40,MATCH(TEXT(A468,"dd"),Monthly_Pay_Model!$C$9:$C$39,0),4),IF(VLOOKUP(A468,Calendar!$A$1:$R$1377,18,0)=2,SUM(INDEX(Monthly_Pay_Model!$A$9:$D$40,MATCH(TEXT(A468,"dd"),Monthly_Pay_Model!$C$9:$C$39,0),4),INDEX(Monthly_Pay_Model!$A$9:$D$40,MATCH(TEXT(A469,"dd"),Monthly_Pay_Model!$C$9:$C$39,0),4)),IF(VLOOKUP(A468,Calendar!$A$1:$R$1377,18,0)=3,SUM(INDEX(Monthly_Pay_Model!$A$9:$D$40,MATCH(TEXT(A468,"dd"),Monthly_Pay_Model!$C$9:$C$39,0),4),INDEX(Monthly_Pay_Model!$A$9:$D$40,MATCH(TEXT(A469,"dd"),Monthly_Pay_Model!$C$9:$C$39,0),4),INDEX(Monthly_Pay_Model!$A$9:$D$40,MATCH(TEXT(A470,"dd"),Monthly_Pay_Model!$C$9:$C$39,0),4)),IF(VLOOKUP(A468,Calendar!$A$1:$R$1377,18,0)=4,SUM(INDEX(Monthly_Pay_Model!$A$9:$D$40,MATCH(TEXT(A468,"dd"),Monthly_Pay_Model!$C$9:$C$39,0),4),INDEX(Monthly_Pay_Model!$A$9:$D$40,MATCH(TEXT(A469,"dd"),Monthly_Pay_Model!$C$9:$C$39,0),4),INDEX(Monthly_Pay_Model!$A$9:$D$40,MATCH(TEXT(A470,"dd"),Monthly_Pay_Model!$C$9:$C$39,0),4),INDEX(Monthly_Pay_Model!$A$9:$D$40,MATCH(TEXT(A471,"dd"),Monthly_Pay_Model!$C$9:$C$39,0),4)),IF(VLOOKUP(A468,Calendar!$A$1:$R$1377,18,0)=5,SUM(INDEX(Monthly_Pay_Model!$A$9:$D$40,MATCH(TEXT(A468,"dd"),Monthly_Pay_Model!$C$9:$C$39,0),4),INDEX(Monthly_Pay_Model!$A$9:$D$40,MATCH(TEXT(A469,"dd"),Monthly_Pay_Model!$C$9:$C$39,0),4),INDEX(Monthly_Pay_Model!$A$9:$D$40,MATCH(TEXT(A470,"dd"),Monthly_Pay_Model!$C$9:$C$39,0),4),INDEX(Monthly_Pay_Model!$A$9:$D$40,MATCH(TEXT(A471,"dd"),Monthly_Pay_Model!$C$9:$C$39,0),4),INDEX(Monthly_Pay_Model!$A$9:$D$40,MATCH(TEXT(A472,"dd"),Monthly_Pay_Model!$C$9:$C$39,0),4)),))))))</f>
        <v>4.8753926701570662E-3</v>
      </c>
      <c r="J468" s="33">
        <f>IF(C468="Yes",Monthly_Pay_Model!$D$2,0)
+IF(Calendar!N468="Yes",Monthly_Pay_Model!$D$3,0)
+IF(D468="Yes",Monthly_Pay_Model!$D$4,0)
+IF(E468="Yes",Monthly_Pay_Model!$D$5,0)</f>
        <v>0</v>
      </c>
      <c r="K468" s="27">
        <f>IF(VLOOKUP($A468,Calendar!$A$1:$R$1377,18,0)=0,0,IF(VLOOKUP($A468,Calendar!$A$1:$R$1377,18,0)=1,IFERROR(INDEX(Weekly_Model!$D$2:$D$9,MATCH(F468,Weekly_Model!$A$2:$A$9,0)),0),IF(VLOOKUP($A468,Calendar!$A$1:$R$1377,18,0)=2,SUM(IFERROR(INDEX(Weekly_Model!$D$2:$D$9,MATCH(F468,Weekly_Model!$A$2:$A$9,0)),0),IFERROR(INDEX(Weekly_Model!$D$2:$D$9,MATCH(F469,Weekly_Model!$A$2:$A$9,0)),0)),IF(VLOOKUP($A468,Calendar!$A$1:$R$1377,18,0)=3,SUM(IFERROR(INDEX(Weekly_Model!$D$2:$D$9,MATCH(F468,Weekly_Model!$A$2:$A$9,0)),0),IFERROR(INDEX(Weekly_Model!$D$2:$D$9,MATCH(F469,Weekly_Model!$A$2:$A$9,0)),0),IFERROR(INDEX(Weekly_Model!$D$2:$D$9,MATCH(F470,Weekly_Model!$A$2:$A$9,0)),0)),IF(VLOOKUP($A468,Calendar!$A$1:$R$1377,18,0)=4,SUM(IFERROR(INDEX(Weekly_Model!$D$2:$D$9,MATCH(F468,Weekly_Model!$A$2:$A$9,0)),0),IFERROR(INDEX(Weekly_Model!$D$2:$D$9,MATCH(F469,Weekly_Model!$A$2:$A$9,0)),0),IFERROR(INDEX(Weekly_Model!$D$2:$D$9,MATCH(F470,Weekly_Model!$A$2:$A$9,0)),0),IFERROR(INDEX(Weekly_Model!$D$2:$D$9,MATCH(F471,Weekly_Model!$A$2:$A$9,0)),0)),IF(VLOOKUP($A468,Calendar!$A$1:$R$1377,18,0)=5,SUM(IFERROR(INDEX(Weekly_Model!$D$2:$D$9,MATCH(F468,Weekly_Model!$A$2:$A$9,0)),0),IFERROR(INDEX(Weekly_Model!$D$2:$D$9,MATCH(F469,Weekly_Model!$A$2:$A$9,0)),0),IFERROR(INDEX(Weekly_Model!$D$2:$D$9,MATCH(F470,Weekly_Model!$A$2:$A$9,0)),0),IFERROR(INDEX(Weekly_Model!$D$2:$D$9,MATCH(F471,Weekly_Model!$A$2:$A$9,0)),0),IFERROR(INDEX(Weekly_Model!$D$2:$D$9,MATCH(F472,Weekly_Model!$A$2:$A$9,0)),0)),0))))))</f>
        <v>2.3200000000000002E-2</v>
      </c>
      <c r="L468" s="27">
        <f>IF(VLOOKUP($A468,Calendar!$A$1:$R$1377,18,0)=0,0,IF(VLOOKUP($A468,Calendar!$A$1:$R$1377,18,0)=1,IFERROR(INDEX(Fortnightly_Model!$D$2:$D$15,MATCH(G468,Fortnightly_Model!$B$2:$B$15,0)),0),IF(VLOOKUP($A468,Calendar!$A$1:$R$1377,18,0)=2,SUM(IFERROR(INDEX(Fortnightly_Model!$D$2:$D$15,MATCH(G468,Fortnightly_Model!$B$2:$B$15,0)),0),IFERROR(INDEX(Fortnightly_Model!$D$2:$D$15,MATCH(G469,Fortnightly_Model!$B$2:$B$15,0)),0)),IF(VLOOKUP($A468,Calendar!$A$1:$R$1377,18,0)=3,SUM(IFERROR(INDEX(Fortnightly_Model!$D$2:$D$15,MATCH(G468,Fortnightly_Model!$B$2:$B$15,0)),0),IFERROR(INDEX(Fortnightly_Model!$D$2:$D$15,MATCH(G469,Fortnightly_Model!$B$2:$B$15,0)),0),IFERROR(INDEX(Fortnightly_Model!$D$2:$D$15,MATCH(G470,Fortnightly_Model!$B$2:$B$15,0)),0)),IF(VLOOKUP($A468,Calendar!$A$1:$R$1377,18,0)=4,SUM(IFERROR(INDEX(Fortnightly_Model!$D$2:$D$15,MATCH(G468,Fortnightly_Model!$B$2:$B$15,0)),0),IFERROR(INDEX(Fortnightly_Model!$D$2:$D$15,MATCH(G469,Fortnightly_Model!$B$2:$B$15,0)),0),IFERROR(INDEX(Fortnightly_Model!$D$2:$D$15,MATCH(G470,Fortnightly_Model!$B$2:$B$15,0)),0),IFERROR(INDEX(Fortnightly_Model!$D$2:$D$15,MATCH(G471,Fortnightly_Model!$B$2:$B$15,0)),0)),IF(VLOOKUP($A468,Calendar!$A$1:$R$1377,18,0)=5,SUM(IFERROR(INDEX(Fortnightly_Model!$D$2:$D$15,MATCH(G468,Fortnightly_Model!$B$2:$B$15,0)),0),IFERROR(INDEX(Fortnightly_Model!$D$2:$D$15,MATCH(G469,Fortnightly_Model!$B$2:$B$15,0)),0),IFERROR(INDEX(Fortnightly_Model!$D$2:$D$15,MATCH(G470,Fortnightly_Model!$B$2:$B$15,0)),0),IFERROR(INDEX(Fortnightly_Model!$D$2:$D$15,MATCH(G471,Fortnightly_Model!$B$2:$B$15,0)),0),IFERROR(INDEX(Fortnightly_Model!$D$2:$D$15,MATCH(G472,Fortnightly_Model!$B$2:$B$15,0)),0)),0))))))</f>
        <v>1.0714285499999999E-3</v>
      </c>
      <c r="M468" s="27">
        <f>IF(VLOOKUP($A468,Calendar!$A$1:$R$1377,18,0)=0,0,IF(VLOOKUP($A468,Calendar!$A$1:$R$1377,18,0)=1,IFERROR(INDEX(FourWeekly_Model!$D$2:$D$29,MATCH(H468,FourWeekly_Model!$B$2:$B$29,0)),0),IF(VLOOKUP($A468,Calendar!$A$1:$R$1377,18,0)=2,SUM(IFERROR(INDEX(FourWeekly_Model!$D$2:$D$29,MATCH(H468,FourWeekly_Model!$B$2:$B$29,0)),0),IFERROR(INDEX(FourWeekly_Model!$D$2:$D$29,MATCH(H469,FourWeekly_Model!$B$2:$B$29,0)),0)),IF(VLOOKUP($A468,Calendar!$A$1:$R$1377,18,0)=3,SUM(IFERROR(INDEX(FourWeekly_Model!$D$2:$D$29,MATCH(H468,FourWeekly_Model!$B$2:$B$29,0)),0),IFERROR(INDEX(FourWeekly_Model!$D$2:$D$29,MATCH(H469,FourWeekly_Model!$B$2:$B$29,0)),0),IFERROR(INDEX(FourWeekly_Model!$D$2:$D$29,MATCH(H470,FourWeekly_Model!$B$2:$B$29,0)),0)),IF(VLOOKUP($A468,Calendar!$A$1:$R$1377,18,0)=4,SUM(IFERROR(INDEX(FourWeekly_Model!$D$2:$D$29,MATCH(H468,FourWeekly_Model!$B$2:$B$29,0)),0),IFERROR(INDEX(FourWeekly_Model!$D$2:$D$29,MATCH(H469,FourWeekly_Model!$B$2:$B$29,0)),0),IFERROR(INDEX(FourWeekly_Model!$D$2:$D$29,MATCH(H470,FourWeekly_Model!$B$2:$B$29,0)),0),IFERROR(INDEX(FourWeekly_Model!$D$2:$D$29,MATCH(H471,FourWeekly_Model!$B$2:$B$29,0)),0)),IF(VLOOKUP($A468,Calendar!$A$1:$R$1377,18,0)=5,SUM(IFERROR(INDEX(FourWeekly_Model!$D$2:$D$29,MATCH(H468,FourWeekly_Model!$B$2:$B$29,0)),0),IFERROR(INDEX(FourWeekly_Model!$D$2:$D$29,MATCH(H469,FourWeekly_Model!$B$2:$B$29,0)),0),IFERROR(INDEX(FourWeekly_Model!$D$2:$D$29,MATCH(H470,FourWeekly_Model!$B$2:$B$29,0)),0),IFERROR(INDEX(FourWeekly_Model!$D$2:$D$29,MATCH(H471,FourWeekly_Model!$B$2:$B$29,0)),0),IFERROR(INDEX(FourWeekly_Model!$D$2:$D$29,MATCH(H472,FourWeekly_Model!$B$2:$B$29,0)),0)),0))))))</f>
        <v>3.3214289700000004E-3</v>
      </c>
      <c r="N468" s="27">
        <f>SUM(I468:M468)</f>
        <v>3.2468250190157068E-2</v>
      </c>
      <c r="O468" s="28">
        <f>Population_Data!$B$8*N468</f>
        <v>983787.9807617591</v>
      </c>
      <c r="P468" s="27">
        <f>IF(VLOOKUP($A468,Calendar!$A$1:$R$1377,18,0)=0,0,IF(VLOOKUP($A468,Calendar!$A$1:$R$1377,18,0)=1,IFERROR(INDEX(Pension_Model!$D$2:$D$29,MATCH(H468,Pension_Model!$B$2:$B$29,0)),0),IF(VLOOKUP($A468,Calendar!$A$1:$R$1377,18,0)=2,SUM(IFERROR(INDEX(Pension_Model!$D$2:$D$29,MATCH(H468,Pension_Model!$B$2:$B$29,0)),0),IFERROR(INDEX(Pension_Model!$D$2:$D$29,MATCH(H469,Pension_Model!$B$2:$B$29,0)),0)),IF(VLOOKUP($A468,Calendar!$A$1:$R$1377,18,0)=3,SUM(IFERROR(INDEX(Pension_Model!$D$2:$D$29,MATCH(H468,Pension_Model!$B$2:$B$29,0)),0),IFERROR(INDEX(Pension_Model!$D$2:$D$29,MATCH(H469,Pension_Model!$B$2:$B$29,0)),0),IFERROR(INDEX(Pension_Model!$D$2:$D$29,MATCH(H470,Pension_Model!$B$2:$B$29,0)),0)),IF(VLOOKUP($A468,Calendar!$A$1:$R$1377,18,0)=4,SUM(IFERROR(INDEX(Pension_Model!$D$2:$D$29,MATCH(H468,Pension_Model!$B$2:$B$29,0)),0),IFERROR(INDEX(Pension_Model!$D$2:$D$29,MATCH(H469,Pension_Model!$B$2:$B$29,0)),0),IFERROR(INDEX(Pension_Model!$D$2:$D$29,MATCH(H470,Pension_Model!$B$2:$B$29,0)),0),IFERROR(INDEX(Pension_Model!$D$2:$D$29,MATCH(H471,Pension_Model!$B$2:$B$29,0)),0)),IF(VLOOKUP($A468,Calendar!$A$1:$R$1377,18,0)=5,SUM(IFERROR(INDEX(Pension_Model!$D$2:$D$29,MATCH(H468,Pension_Model!$B$2:$B$29,0)),0),IFERROR(INDEX(Pension_Model!$D$2:$D$29,MATCH(H469,Pension_Model!$B$2:$B$29,0)),0),IFERROR(INDEX(Pension_Model!$D$2:$D$29,MATCH(H470,Pension_Model!$B$2:$B$29,0)),0),IFERROR(INDEX(Pension_Model!$D$2:$D$29,MATCH(H471,Pension_Model!$B$2:$B$29,0)),0),IFERROR(INDEX(Pension_Model!$D$2:$D$29,MATCH(H472,Pension_Model!$B$2:$B$29,0)),0)),0))))))</f>
        <v>0.05</v>
      </c>
      <c r="Q468" s="28">
        <f>Population_Data!$B$15*P468</f>
        <v>660600</v>
      </c>
      <c r="S468">
        <f t="shared" si="7"/>
        <v>1644387.980761759</v>
      </c>
      <c r="U468" s="33">
        <f>S468/Population_Data!$B$19</f>
        <v>2.9789637332640562E-2</v>
      </c>
    </row>
    <row r="469" spans="1:21">
      <c r="A469" s="25">
        <f>Calendar!A469</f>
        <v>46702</v>
      </c>
      <c r="B469" t="str">
        <f>Calendar!L469</f>
        <v>Yes</v>
      </c>
      <c r="C469" t="str">
        <f>Calendar!O469</f>
        <v>No</v>
      </c>
      <c r="D469" t="str">
        <f>Calendar!P469</f>
        <v>No</v>
      </c>
      <c r="E469" t="str">
        <f>Calendar!Q469</f>
        <v>No</v>
      </c>
      <c r="F469" t="str">
        <f>Calendar!I469</f>
        <v>Thursday</v>
      </c>
      <c r="G469">
        <f>Calendar!S469</f>
        <v>12</v>
      </c>
      <c r="H469">
        <f>Calendar!T469</f>
        <v>26</v>
      </c>
      <c r="I469" s="27">
        <f>IF(VLOOKUP(A469,Calendar!$A$1:$R$1377,18,0)=0,0,IF(VLOOKUP(A469,Calendar!$A$1:$R$1377,18,0)=1,INDEX(Monthly_Pay_Model!$A$9:$D$40,MATCH(TEXT(A469,"dd"),Monthly_Pay_Model!$C$9:$C$39,0),4),IF(VLOOKUP(A469,Calendar!$A$1:$R$1377,18,0)=2,SUM(INDEX(Monthly_Pay_Model!$A$9:$D$40,MATCH(TEXT(A469,"dd"),Monthly_Pay_Model!$C$9:$C$39,0),4),INDEX(Monthly_Pay_Model!$A$9:$D$40,MATCH(TEXT(A470,"dd"),Monthly_Pay_Model!$C$9:$C$39,0),4)),IF(VLOOKUP(A469,Calendar!$A$1:$R$1377,18,0)=3,SUM(INDEX(Monthly_Pay_Model!$A$9:$D$40,MATCH(TEXT(A469,"dd"),Monthly_Pay_Model!$C$9:$C$39,0),4),INDEX(Monthly_Pay_Model!$A$9:$D$40,MATCH(TEXT(A470,"dd"),Monthly_Pay_Model!$C$9:$C$39,0),4),INDEX(Monthly_Pay_Model!$A$9:$D$40,MATCH(TEXT(A471,"dd"),Monthly_Pay_Model!$C$9:$C$39,0),4)),IF(VLOOKUP(A469,Calendar!$A$1:$R$1377,18,0)=4,SUM(INDEX(Monthly_Pay_Model!$A$9:$D$40,MATCH(TEXT(A469,"dd"),Monthly_Pay_Model!$C$9:$C$39,0),4),INDEX(Monthly_Pay_Model!$A$9:$D$40,MATCH(TEXT(A470,"dd"),Monthly_Pay_Model!$C$9:$C$39,0),4),INDEX(Monthly_Pay_Model!$A$9:$D$40,MATCH(TEXT(A471,"dd"),Monthly_Pay_Model!$C$9:$C$39,0),4),INDEX(Monthly_Pay_Model!$A$9:$D$40,MATCH(TEXT(A472,"dd"),Monthly_Pay_Model!$C$9:$C$39,0),4)),IF(VLOOKUP(A469,Calendar!$A$1:$R$1377,18,0)=5,SUM(INDEX(Monthly_Pay_Model!$A$9:$D$40,MATCH(TEXT(A469,"dd"),Monthly_Pay_Model!$C$9:$C$39,0),4),INDEX(Monthly_Pay_Model!$A$9:$D$40,MATCH(TEXT(A470,"dd"),Monthly_Pay_Model!$C$9:$C$39,0),4),INDEX(Monthly_Pay_Model!$A$9:$D$40,MATCH(TEXT(A471,"dd"),Monthly_Pay_Model!$C$9:$C$39,0),4),INDEX(Monthly_Pay_Model!$A$9:$D$40,MATCH(TEXT(A472,"dd"),Monthly_Pay_Model!$C$9:$C$39,0),4),INDEX(Monthly_Pay_Model!$A$9:$D$40,MATCH(TEXT(A473,"dd"),Monthly_Pay_Model!$C$9:$C$39,0),4)),))))))</f>
        <v>8.1256544502617792E-4</v>
      </c>
      <c r="J469" s="33">
        <f>IF(C469="Yes",Monthly_Pay_Model!$D$2,0)
+IF(Calendar!N469="Yes",Monthly_Pay_Model!$D$3,0)
+IF(D469="Yes",Monthly_Pay_Model!$D$4,0)
+IF(E469="Yes",Monthly_Pay_Model!$D$5,0)</f>
        <v>0</v>
      </c>
      <c r="K469" s="27">
        <f>IF(VLOOKUP($A469,Calendar!$A$1:$R$1377,18,0)=0,0,IF(VLOOKUP($A469,Calendar!$A$1:$R$1377,18,0)=1,IFERROR(INDEX(Weekly_Model!$D$2:$D$9,MATCH(F469,Weekly_Model!$A$2:$A$9,0)),0),IF(VLOOKUP($A469,Calendar!$A$1:$R$1377,18,0)=2,SUM(IFERROR(INDEX(Weekly_Model!$D$2:$D$9,MATCH(F469,Weekly_Model!$A$2:$A$9,0)),0),IFERROR(INDEX(Weekly_Model!$D$2:$D$9,MATCH(F470,Weekly_Model!$A$2:$A$9,0)),0)),IF(VLOOKUP($A469,Calendar!$A$1:$R$1377,18,0)=3,SUM(IFERROR(INDEX(Weekly_Model!$D$2:$D$9,MATCH(F469,Weekly_Model!$A$2:$A$9,0)),0),IFERROR(INDEX(Weekly_Model!$D$2:$D$9,MATCH(F470,Weekly_Model!$A$2:$A$9,0)),0),IFERROR(INDEX(Weekly_Model!$D$2:$D$9,MATCH(F471,Weekly_Model!$A$2:$A$9,0)),0)),IF(VLOOKUP($A469,Calendar!$A$1:$R$1377,18,0)=4,SUM(IFERROR(INDEX(Weekly_Model!$D$2:$D$9,MATCH(F469,Weekly_Model!$A$2:$A$9,0)),0),IFERROR(INDEX(Weekly_Model!$D$2:$D$9,MATCH(F470,Weekly_Model!$A$2:$A$9,0)),0),IFERROR(INDEX(Weekly_Model!$D$2:$D$9,MATCH(F471,Weekly_Model!$A$2:$A$9,0)),0),IFERROR(INDEX(Weekly_Model!$D$2:$D$9,MATCH(F472,Weekly_Model!$A$2:$A$9,0)),0)),IF(VLOOKUP($A469,Calendar!$A$1:$R$1377,18,0)=5,SUM(IFERROR(INDEX(Weekly_Model!$D$2:$D$9,MATCH(F469,Weekly_Model!$A$2:$A$9,0)),0),IFERROR(INDEX(Weekly_Model!$D$2:$D$9,MATCH(F470,Weekly_Model!$A$2:$A$9,0)),0),IFERROR(INDEX(Weekly_Model!$D$2:$D$9,MATCH(F471,Weekly_Model!$A$2:$A$9,0)),0),IFERROR(INDEX(Weekly_Model!$D$2:$D$9,MATCH(F472,Weekly_Model!$A$2:$A$9,0)),0),IFERROR(INDEX(Weekly_Model!$D$2:$D$9,MATCH(F473,Weekly_Model!$A$2:$A$9,0)),0)),0))))))</f>
        <v>2.3200000000000002E-2</v>
      </c>
      <c r="L469" s="27">
        <f>IF(VLOOKUP($A469,Calendar!$A$1:$R$1377,18,0)=0,0,IF(VLOOKUP($A469,Calendar!$A$1:$R$1377,18,0)=1,IFERROR(INDEX(Fortnightly_Model!$D$2:$D$15,MATCH(G469,Fortnightly_Model!$B$2:$B$15,0)),0),IF(VLOOKUP($A469,Calendar!$A$1:$R$1377,18,0)=2,SUM(IFERROR(INDEX(Fortnightly_Model!$D$2:$D$15,MATCH(G469,Fortnightly_Model!$B$2:$B$15,0)),0),IFERROR(INDEX(Fortnightly_Model!$D$2:$D$15,MATCH(G470,Fortnightly_Model!$B$2:$B$15,0)),0)),IF(VLOOKUP($A469,Calendar!$A$1:$R$1377,18,0)=3,SUM(IFERROR(INDEX(Fortnightly_Model!$D$2:$D$15,MATCH(G469,Fortnightly_Model!$B$2:$B$15,0)),0),IFERROR(INDEX(Fortnightly_Model!$D$2:$D$15,MATCH(G470,Fortnightly_Model!$B$2:$B$15,0)),0),IFERROR(INDEX(Fortnightly_Model!$D$2:$D$15,MATCH(G471,Fortnightly_Model!$B$2:$B$15,0)),0)),IF(VLOOKUP($A469,Calendar!$A$1:$R$1377,18,0)=4,SUM(IFERROR(INDEX(Fortnightly_Model!$D$2:$D$15,MATCH(G469,Fortnightly_Model!$B$2:$B$15,0)),0),IFERROR(INDEX(Fortnightly_Model!$D$2:$D$15,MATCH(G470,Fortnightly_Model!$B$2:$B$15,0)),0),IFERROR(INDEX(Fortnightly_Model!$D$2:$D$15,MATCH(G471,Fortnightly_Model!$B$2:$B$15,0)),0),IFERROR(INDEX(Fortnightly_Model!$D$2:$D$15,MATCH(G472,Fortnightly_Model!$B$2:$B$15,0)),0)),IF(VLOOKUP($A469,Calendar!$A$1:$R$1377,18,0)=5,SUM(IFERROR(INDEX(Fortnightly_Model!$D$2:$D$15,MATCH(G469,Fortnightly_Model!$B$2:$B$15,0)),0),IFERROR(INDEX(Fortnightly_Model!$D$2:$D$15,MATCH(G470,Fortnightly_Model!$B$2:$B$15,0)),0),IFERROR(INDEX(Fortnightly_Model!$D$2:$D$15,MATCH(G471,Fortnightly_Model!$B$2:$B$15,0)),0),IFERROR(INDEX(Fortnightly_Model!$D$2:$D$15,MATCH(G472,Fortnightly_Model!$B$2:$B$15,0)),0),IFERROR(INDEX(Fortnightly_Model!$D$2:$D$15,MATCH(G473,Fortnightly_Model!$B$2:$B$15,0)),0)),0))))))</f>
        <v>1.0714285499999999E-3</v>
      </c>
      <c r="M469" s="27">
        <f>IF(VLOOKUP($A469,Calendar!$A$1:$R$1377,18,0)=0,0,IF(VLOOKUP($A469,Calendar!$A$1:$R$1377,18,0)=1,IFERROR(INDEX(FourWeekly_Model!$D$2:$D$29,MATCH(H469,FourWeekly_Model!$B$2:$B$29,0)),0),IF(VLOOKUP($A469,Calendar!$A$1:$R$1377,18,0)=2,SUM(IFERROR(INDEX(FourWeekly_Model!$D$2:$D$29,MATCH(H469,FourWeekly_Model!$B$2:$B$29,0)),0),IFERROR(INDEX(FourWeekly_Model!$D$2:$D$29,MATCH(H470,FourWeekly_Model!$B$2:$B$29,0)),0)),IF(VLOOKUP($A469,Calendar!$A$1:$R$1377,18,0)=3,SUM(IFERROR(INDEX(FourWeekly_Model!$D$2:$D$29,MATCH(H469,FourWeekly_Model!$B$2:$B$29,0)),0),IFERROR(INDEX(FourWeekly_Model!$D$2:$D$29,MATCH(H470,FourWeekly_Model!$B$2:$B$29,0)),0),IFERROR(INDEX(FourWeekly_Model!$D$2:$D$29,MATCH(H471,FourWeekly_Model!$B$2:$B$29,0)),0)),IF(VLOOKUP($A469,Calendar!$A$1:$R$1377,18,0)=4,SUM(IFERROR(INDEX(FourWeekly_Model!$D$2:$D$29,MATCH(H469,FourWeekly_Model!$B$2:$B$29,0)),0),IFERROR(INDEX(FourWeekly_Model!$D$2:$D$29,MATCH(H470,FourWeekly_Model!$B$2:$B$29,0)),0),IFERROR(INDEX(FourWeekly_Model!$D$2:$D$29,MATCH(H471,FourWeekly_Model!$B$2:$B$29,0)),0),IFERROR(INDEX(FourWeekly_Model!$D$2:$D$29,MATCH(H472,FourWeekly_Model!$B$2:$B$29,0)),0)),IF(VLOOKUP($A469,Calendar!$A$1:$R$1377,18,0)=5,SUM(IFERROR(INDEX(FourWeekly_Model!$D$2:$D$29,MATCH(H469,FourWeekly_Model!$B$2:$B$29,0)),0),IFERROR(INDEX(FourWeekly_Model!$D$2:$D$29,MATCH(H470,FourWeekly_Model!$B$2:$B$29,0)),0),IFERROR(INDEX(FourWeekly_Model!$D$2:$D$29,MATCH(H471,FourWeekly_Model!$B$2:$B$29,0)),0),IFERROR(INDEX(FourWeekly_Model!$D$2:$D$29,MATCH(H472,FourWeekly_Model!$B$2:$B$29,0)),0),IFERROR(INDEX(FourWeekly_Model!$D$2:$D$29,MATCH(H473,FourWeekly_Model!$B$2:$B$29,0)),0)),0))))))</f>
        <v>3.3214289700000004E-3</v>
      </c>
      <c r="N469" s="27">
        <f>SUM(I469:M469)</f>
        <v>2.840542296502618E-2</v>
      </c>
      <c r="O469" s="28">
        <f>Population_Data!$B$8*N469</f>
        <v>860684.3158402933</v>
      </c>
      <c r="P469" s="27">
        <f>IF(VLOOKUP($A469,Calendar!$A$1:$R$1377,18,0)=0,0,IF(VLOOKUP($A469,Calendar!$A$1:$R$1377,18,0)=1,IFERROR(INDEX(Pension_Model!$D$2:$D$29,MATCH(H469,Pension_Model!$B$2:$B$29,0)),0),IF(VLOOKUP($A469,Calendar!$A$1:$R$1377,18,0)=2,SUM(IFERROR(INDEX(Pension_Model!$D$2:$D$29,MATCH(H469,Pension_Model!$B$2:$B$29,0)),0),IFERROR(INDEX(Pension_Model!$D$2:$D$29,MATCH(H470,Pension_Model!$B$2:$B$29,0)),0)),IF(VLOOKUP($A469,Calendar!$A$1:$R$1377,18,0)=3,SUM(IFERROR(INDEX(Pension_Model!$D$2:$D$29,MATCH(H469,Pension_Model!$B$2:$B$29,0)),0),IFERROR(INDEX(Pension_Model!$D$2:$D$29,MATCH(H470,Pension_Model!$B$2:$B$29,0)),0),IFERROR(INDEX(Pension_Model!$D$2:$D$29,MATCH(H471,Pension_Model!$B$2:$B$29,0)),0)),IF(VLOOKUP($A469,Calendar!$A$1:$R$1377,18,0)=4,SUM(IFERROR(INDEX(Pension_Model!$D$2:$D$29,MATCH(H469,Pension_Model!$B$2:$B$29,0)),0),IFERROR(INDEX(Pension_Model!$D$2:$D$29,MATCH(H470,Pension_Model!$B$2:$B$29,0)),0),IFERROR(INDEX(Pension_Model!$D$2:$D$29,MATCH(H471,Pension_Model!$B$2:$B$29,0)),0),IFERROR(INDEX(Pension_Model!$D$2:$D$29,MATCH(H472,Pension_Model!$B$2:$B$29,0)),0)),IF(VLOOKUP($A469,Calendar!$A$1:$R$1377,18,0)=5,SUM(IFERROR(INDEX(Pension_Model!$D$2:$D$29,MATCH(H469,Pension_Model!$B$2:$B$29,0)),0),IFERROR(INDEX(Pension_Model!$D$2:$D$29,MATCH(H470,Pension_Model!$B$2:$B$29,0)),0),IFERROR(INDEX(Pension_Model!$D$2:$D$29,MATCH(H471,Pension_Model!$B$2:$B$29,0)),0),IFERROR(INDEX(Pension_Model!$D$2:$D$29,MATCH(H472,Pension_Model!$B$2:$B$29,0)),0),IFERROR(INDEX(Pension_Model!$D$2:$D$29,MATCH(H473,Pension_Model!$B$2:$B$29,0)),0)),0))))))</f>
        <v>0.05</v>
      </c>
      <c r="Q469" s="28">
        <f>Population_Data!$B$15*P469</f>
        <v>660600</v>
      </c>
      <c r="S469">
        <f t="shared" si="7"/>
        <v>1521284.3158402932</v>
      </c>
      <c r="U469" s="33">
        <f>S469/Population_Data!$B$19</f>
        <v>2.7559498475367629E-2</v>
      </c>
    </row>
    <row r="470" spans="1:21">
      <c r="A470" s="25">
        <f>Calendar!A470</f>
        <v>46703</v>
      </c>
      <c r="B470" t="str">
        <f>Calendar!L470</f>
        <v>Yes</v>
      </c>
      <c r="C470" t="str">
        <f>Calendar!O470</f>
        <v>No</v>
      </c>
      <c r="D470" t="str">
        <f>Calendar!P470</f>
        <v>No</v>
      </c>
      <c r="E470" t="str">
        <f>Calendar!Q470</f>
        <v>No</v>
      </c>
      <c r="F470" t="str">
        <f>Calendar!I470</f>
        <v>Friday</v>
      </c>
      <c r="G470">
        <f>Calendar!S470</f>
        <v>13</v>
      </c>
      <c r="H470">
        <f>Calendar!T470</f>
        <v>27</v>
      </c>
      <c r="I470" s="27">
        <f>IF(VLOOKUP(A470,Calendar!$A$1:$R$1377,18,0)=0,0,IF(VLOOKUP(A470,Calendar!$A$1:$R$1377,18,0)=1,INDEX(Monthly_Pay_Model!$A$9:$D$40,MATCH(TEXT(A470,"dd"),Monthly_Pay_Model!$C$9:$C$39,0),4),IF(VLOOKUP(A470,Calendar!$A$1:$R$1377,18,0)=2,SUM(INDEX(Monthly_Pay_Model!$A$9:$D$40,MATCH(TEXT(A470,"dd"),Monthly_Pay_Model!$C$9:$C$39,0),4),INDEX(Monthly_Pay_Model!$A$9:$D$40,MATCH(TEXT(A471,"dd"),Monthly_Pay_Model!$C$9:$C$39,0),4)),IF(VLOOKUP(A470,Calendar!$A$1:$R$1377,18,0)=3,SUM(INDEX(Monthly_Pay_Model!$A$9:$D$40,MATCH(TEXT(A470,"dd"),Monthly_Pay_Model!$C$9:$C$39,0),4),INDEX(Monthly_Pay_Model!$A$9:$D$40,MATCH(TEXT(A471,"dd"),Monthly_Pay_Model!$C$9:$C$39,0),4),INDEX(Monthly_Pay_Model!$A$9:$D$40,MATCH(TEXT(A472,"dd"),Monthly_Pay_Model!$C$9:$C$39,0),4)),IF(VLOOKUP(A470,Calendar!$A$1:$R$1377,18,0)=4,SUM(INDEX(Monthly_Pay_Model!$A$9:$D$40,MATCH(TEXT(A470,"dd"),Monthly_Pay_Model!$C$9:$C$39,0),4),INDEX(Monthly_Pay_Model!$A$9:$D$40,MATCH(TEXT(A471,"dd"),Monthly_Pay_Model!$C$9:$C$39,0),4),INDEX(Monthly_Pay_Model!$A$9:$D$40,MATCH(TEXT(A472,"dd"),Monthly_Pay_Model!$C$9:$C$39,0),4),INDEX(Monthly_Pay_Model!$A$9:$D$40,MATCH(TEXT(A473,"dd"),Monthly_Pay_Model!$C$9:$C$39,0),4)),IF(VLOOKUP(A470,Calendar!$A$1:$R$1377,18,0)=5,SUM(INDEX(Monthly_Pay_Model!$A$9:$D$40,MATCH(TEXT(A470,"dd"),Monthly_Pay_Model!$C$9:$C$39,0),4),INDEX(Monthly_Pay_Model!$A$9:$D$40,MATCH(TEXT(A471,"dd"),Monthly_Pay_Model!$C$9:$C$39,0),4),INDEX(Monthly_Pay_Model!$A$9:$D$40,MATCH(TEXT(A472,"dd"),Monthly_Pay_Model!$C$9:$C$39,0),4),INDEX(Monthly_Pay_Model!$A$9:$D$40,MATCH(TEXT(A473,"dd"),Monthly_Pay_Model!$C$9:$C$39,0),4),INDEX(Monthly_Pay_Model!$A$9:$D$40,MATCH(TEXT(A474,"dd"),Monthly_Pay_Model!$C$9:$C$39,0),4)),))))))</f>
        <v>3.2502617801047117E-3</v>
      </c>
      <c r="J470" s="33">
        <f>IF(C470="Yes",Monthly_Pay_Model!$D$2,0)
+IF(Calendar!N470="Yes",Monthly_Pay_Model!$D$3,0)
+IF(D470="Yes",Monthly_Pay_Model!$D$4,0)
+IF(E470="Yes",Monthly_Pay_Model!$D$5,0)</f>
        <v>0</v>
      </c>
      <c r="K470" s="27">
        <f>IF(VLOOKUP($A470,Calendar!$A$1:$R$1377,18,0)=0,0,IF(VLOOKUP($A470,Calendar!$A$1:$R$1377,18,0)=1,IFERROR(INDEX(Weekly_Model!$D$2:$D$9,MATCH(F470,Weekly_Model!$A$2:$A$9,0)),0),IF(VLOOKUP($A470,Calendar!$A$1:$R$1377,18,0)=2,SUM(IFERROR(INDEX(Weekly_Model!$D$2:$D$9,MATCH(F470,Weekly_Model!$A$2:$A$9,0)),0),IFERROR(INDEX(Weekly_Model!$D$2:$D$9,MATCH(F471,Weekly_Model!$A$2:$A$9,0)),0)),IF(VLOOKUP($A470,Calendar!$A$1:$R$1377,18,0)=3,SUM(IFERROR(INDEX(Weekly_Model!$D$2:$D$9,MATCH(F470,Weekly_Model!$A$2:$A$9,0)),0),IFERROR(INDEX(Weekly_Model!$D$2:$D$9,MATCH(F471,Weekly_Model!$A$2:$A$9,0)),0),IFERROR(INDEX(Weekly_Model!$D$2:$D$9,MATCH(F472,Weekly_Model!$A$2:$A$9,0)),0)),IF(VLOOKUP($A470,Calendar!$A$1:$R$1377,18,0)=4,SUM(IFERROR(INDEX(Weekly_Model!$D$2:$D$9,MATCH(F470,Weekly_Model!$A$2:$A$9,0)),0),IFERROR(INDEX(Weekly_Model!$D$2:$D$9,MATCH(F471,Weekly_Model!$A$2:$A$9,0)),0),IFERROR(INDEX(Weekly_Model!$D$2:$D$9,MATCH(F472,Weekly_Model!$A$2:$A$9,0)),0),IFERROR(INDEX(Weekly_Model!$D$2:$D$9,MATCH(F473,Weekly_Model!$A$2:$A$9,0)),0)),IF(VLOOKUP($A470,Calendar!$A$1:$R$1377,18,0)=5,SUM(IFERROR(INDEX(Weekly_Model!$D$2:$D$9,MATCH(F470,Weekly_Model!$A$2:$A$9,0)),0),IFERROR(INDEX(Weekly_Model!$D$2:$D$9,MATCH(F471,Weekly_Model!$A$2:$A$9,0)),0),IFERROR(INDEX(Weekly_Model!$D$2:$D$9,MATCH(F472,Weekly_Model!$A$2:$A$9,0)),0),IFERROR(INDEX(Weekly_Model!$D$2:$D$9,MATCH(F473,Weekly_Model!$A$2:$A$9,0)),0),IFERROR(INDEX(Weekly_Model!$D$2:$D$9,MATCH(F474,Weekly_Model!$A$2:$A$9,0)),0)),0))))))</f>
        <v>2.3200000000000002E-2</v>
      </c>
      <c r="L470" s="27">
        <f>IF(VLOOKUP($A470,Calendar!$A$1:$R$1377,18,0)=0,0,IF(VLOOKUP($A470,Calendar!$A$1:$R$1377,18,0)=1,IFERROR(INDEX(Fortnightly_Model!$D$2:$D$15,MATCH(G470,Fortnightly_Model!$B$2:$B$15,0)),0),IF(VLOOKUP($A470,Calendar!$A$1:$R$1377,18,0)=2,SUM(IFERROR(INDEX(Fortnightly_Model!$D$2:$D$15,MATCH(G470,Fortnightly_Model!$B$2:$B$15,0)),0),IFERROR(INDEX(Fortnightly_Model!$D$2:$D$15,MATCH(G471,Fortnightly_Model!$B$2:$B$15,0)),0)),IF(VLOOKUP($A470,Calendar!$A$1:$R$1377,18,0)=3,SUM(IFERROR(INDEX(Fortnightly_Model!$D$2:$D$15,MATCH(G470,Fortnightly_Model!$B$2:$B$15,0)),0),IFERROR(INDEX(Fortnightly_Model!$D$2:$D$15,MATCH(G471,Fortnightly_Model!$B$2:$B$15,0)),0),IFERROR(INDEX(Fortnightly_Model!$D$2:$D$15,MATCH(G472,Fortnightly_Model!$B$2:$B$15,0)),0)),IF(VLOOKUP($A470,Calendar!$A$1:$R$1377,18,0)=4,SUM(IFERROR(INDEX(Fortnightly_Model!$D$2:$D$15,MATCH(G470,Fortnightly_Model!$B$2:$B$15,0)),0),IFERROR(INDEX(Fortnightly_Model!$D$2:$D$15,MATCH(G471,Fortnightly_Model!$B$2:$B$15,0)),0),IFERROR(INDEX(Fortnightly_Model!$D$2:$D$15,MATCH(G472,Fortnightly_Model!$B$2:$B$15,0)),0),IFERROR(INDEX(Fortnightly_Model!$D$2:$D$15,MATCH(G473,Fortnightly_Model!$B$2:$B$15,0)),0)),IF(VLOOKUP($A470,Calendar!$A$1:$R$1377,18,0)=5,SUM(IFERROR(INDEX(Fortnightly_Model!$D$2:$D$15,MATCH(G470,Fortnightly_Model!$B$2:$B$15,0)),0),IFERROR(INDEX(Fortnightly_Model!$D$2:$D$15,MATCH(G471,Fortnightly_Model!$B$2:$B$15,0)),0),IFERROR(INDEX(Fortnightly_Model!$D$2:$D$15,MATCH(G472,Fortnightly_Model!$B$2:$B$15,0)),0),IFERROR(INDEX(Fortnightly_Model!$D$2:$D$15,MATCH(G473,Fortnightly_Model!$B$2:$B$15,0)),0),IFERROR(INDEX(Fortnightly_Model!$D$2:$D$15,MATCH(G474,Fortnightly_Model!$B$2:$B$15,0)),0)),0))))))</f>
        <v>3.2142856499999999E-3</v>
      </c>
      <c r="M470" s="27">
        <f>IF(VLOOKUP($A470,Calendar!$A$1:$R$1377,18,0)=0,0,IF(VLOOKUP($A470,Calendar!$A$1:$R$1377,18,0)=1,IFERROR(INDEX(FourWeekly_Model!$D$2:$D$29,MATCH(H470,FourWeekly_Model!$B$2:$B$29,0)),0),IF(VLOOKUP($A470,Calendar!$A$1:$R$1377,18,0)=2,SUM(IFERROR(INDEX(FourWeekly_Model!$D$2:$D$29,MATCH(H470,FourWeekly_Model!$B$2:$B$29,0)),0),IFERROR(INDEX(FourWeekly_Model!$D$2:$D$29,MATCH(H471,FourWeekly_Model!$B$2:$B$29,0)),0)),IF(VLOOKUP($A470,Calendar!$A$1:$R$1377,18,0)=3,SUM(IFERROR(INDEX(FourWeekly_Model!$D$2:$D$29,MATCH(H470,FourWeekly_Model!$B$2:$B$29,0)),0),IFERROR(INDEX(FourWeekly_Model!$D$2:$D$29,MATCH(H471,FourWeekly_Model!$B$2:$B$29,0)),0),IFERROR(INDEX(FourWeekly_Model!$D$2:$D$29,MATCH(H472,FourWeekly_Model!$B$2:$B$29,0)),0)),IF(VLOOKUP($A470,Calendar!$A$1:$R$1377,18,0)=4,SUM(IFERROR(INDEX(FourWeekly_Model!$D$2:$D$29,MATCH(H470,FourWeekly_Model!$B$2:$B$29,0)),0),IFERROR(INDEX(FourWeekly_Model!$D$2:$D$29,MATCH(H471,FourWeekly_Model!$B$2:$B$29,0)),0),IFERROR(INDEX(FourWeekly_Model!$D$2:$D$29,MATCH(H472,FourWeekly_Model!$B$2:$B$29,0)),0),IFERROR(INDEX(FourWeekly_Model!$D$2:$D$29,MATCH(H473,FourWeekly_Model!$B$2:$B$29,0)),0)),IF(VLOOKUP($A470,Calendar!$A$1:$R$1377,18,0)=5,SUM(IFERROR(INDEX(FourWeekly_Model!$D$2:$D$29,MATCH(H470,FourWeekly_Model!$B$2:$B$29,0)),0),IFERROR(INDEX(FourWeekly_Model!$D$2:$D$29,MATCH(H471,FourWeekly_Model!$B$2:$B$29,0)),0),IFERROR(INDEX(FourWeekly_Model!$D$2:$D$29,MATCH(H472,FourWeekly_Model!$B$2:$B$29,0)),0),IFERROR(INDEX(FourWeekly_Model!$D$2:$D$29,MATCH(H473,FourWeekly_Model!$B$2:$B$29,0)),0),IFERROR(INDEX(FourWeekly_Model!$D$2:$D$29,MATCH(H474,FourWeekly_Model!$B$2:$B$29,0)),0)),0))))))</f>
        <v>9.9642859800000011E-3</v>
      </c>
      <c r="N470" s="27">
        <f>SUM(I470:M470)</f>
        <v>3.9628833410104716E-2</v>
      </c>
      <c r="O470" s="28">
        <f>Population_Data!$B$8*N470</f>
        <v>1200753.6523261729</v>
      </c>
      <c r="P470" s="27">
        <f>IF(VLOOKUP($A470,Calendar!$A$1:$R$1377,18,0)=0,0,IF(VLOOKUP($A470,Calendar!$A$1:$R$1377,18,0)=1,IFERROR(INDEX(Pension_Model!$D$2:$D$29,MATCH(H470,Pension_Model!$B$2:$B$29,0)),0),IF(VLOOKUP($A470,Calendar!$A$1:$R$1377,18,0)=2,SUM(IFERROR(INDEX(Pension_Model!$D$2:$D$29,MATCH(H470,Pension_Model!$B$2:$B$29,0)),0),IFERROR(INDEX(Pension_Model!$D$2:$D$29,MATCH(H471,Pension_Model!$B$2:$B$29,0)),0)),IF(VLOOKUP($A470,Calendar!$A$1:$R$1377,18,0)=3,SUM(IFERROR(INDEX(Pension_Model!$D$2:$D$29,MATCH(H470,Pension_Model!$B$2:$B$29,0)),0),IFERROR(INDEX(Pension_Model!$D$2:$D$29,MATCH(H471,Pension_Model!$B$2:$B$29,0)),0),IFERROR(INDEX(Pension_Model!$D$2:$D$29,MATCH(H472,Pension_Model!$B$2:$B$29,0)),0)),IF(VLOOKUP($A470,Calendar!$A$1:$R$1377,18,0)=4,SUM(IFERROR(INDEX(Pension_Model!$D$2:$D$29,MATCH(H470,Pension_Model!$B$2:$B$29,0)),0),IFERROR(INDEX(Pension_Model!$D$2:$D$29,MATCH(H471,Pension_Model!$B$2:$B$29,0)),0),IFERROR(INDEX(Pension_Model!$D$2:$D$29,MATCH(H472,Pension_Model!$B$2:$B$29,0)),0),IFERROR(INDEX(Pension_Model!$D$2:$D$29,MATCH(H473,Pension_Model!$B$2:$B$29,0)),0)),IF(VLOOKUP($A470,Calendar!$A$1:$R$1377,18,0)=5,SUM(IFERROR(INDEX(Pension_Model!$D$2:$D$29,MATCH(H470,Pension_Model!$B$2:$B$29,0)),0),IFERROR(INDEX(Pension_Model!$D$2:$D$29,MATCH(H471,Pension_Model!$B$2:$B$29,0)),0),IFERROR(INDEX(Pension_Model!$D$2:$D$29,MATCH(H472,Pension_Model!$B$2:$B$29,0)),0),IFERROR(INDEX(Pension_Model!$D$2:$D$29,MATCH(H473,Pension_Model!$B$2:$B$29,0)),0),IFERROR(INDEX(Pension_Model!$D$2:$D$29,MATCH(H474,Pension_Model!$B$2:$B$29,0)),0)),0))))))</f>
        <v>0.05</v>
      </c>
      <c r="Q470" s="28">
        <f>Population_Data!$B$15*P470</f>
        <v>660600</v>
      </c>
      <c r="S470">
        <f t="shared" si="7"/>
        <v>1861353.6523261729</v>
      </c>
      <c r="U470" s="33">
        <f>S470/Population_Data!$B$19</f>
        <v>3.3720174860981396E-2</v>
      </c>
    </row>
    <row r="471" spans="1:21">
      <c r="A471" s="25">
        <f>Calendar!A471</f>
        <v>46704</v>
      </c>
      <c r="B471" t="str">
        <f>Calendar!L471</f>
        <v>No</v>
      </c>
      <c r="C471" t="str">
        <f>Calendar!O471</f>
        <v>No</v>
      </c>
      <c r="D471" t="str">
        <f>Calendar!P471</f>
        <v>No</v>
      </c>
      <c r="E471" t="str">
        <f>Calendar!Q471</f>
        <v>No</v>
      </c>
      <c r="F471" t="str">
        <f>Calendar!I471</f>
        <v>Saturday</v>
      </c>
      <c r="G471">
        <f>Calendar!S471</f>
        <v>0</v>
      </c>
      <c r="H471">
        <f>Calendar!T471</f>
        <v>0</v>
      </c>
      <c r="I471" s="27">
        <f>IF(VLOOKUP(A471,Calendar!$A$1:$R$1377,18,0)=0,0,IF(VLOOKUP(A471,Calendar!$A$1:$R$1377,18,0)=1,INDEX(Monthly_Pay_Model!$A$9:$D$40,MATCH(TEXT(A471,"dd"),Monthly_Pay_Model!$C$9:$C$39,0),4),IF(VLOOKUP(A471,Calendar!$A$1:$R$1377,18,0)=2,SUM(INDEX(Monthly_Pay_Model!$A$9:$D$40,MATCH(TEXT(A471,"dd"),Monthly_Pay_Model!$C$9:$C$39,0),4),INDEX(Monthly_Pay_Model!$A$9:$D$40,MATCH(TEXT(A472,"dd"),Monthly_Pay_Model!$C$9:$C$39,0),4)),IF(VLOOKUP(A471,Calendar!$A$1:$R$1377,18,0)=3,SUM(INDEX(Monthly_Pay_Model!$A$9:$D$40,MATCH(TEXT(A471,"dd"),Monthly_Pay_Model!$C$9:$C$39,0),4),INDEX(Monthly_Pay_Model!$A$9:$D$40,MATCH(TEXT(A472,"dd"),Monthly_Pay_Model!$C$9:$C$39,0),4),INDEX(Monthly_Pay_Model!$A$9:$D$40,MATCH(TEXT(A473,"dd"),Monthly_Pay_Model!$C$9:$C$39,0),4)),IF(VLOOKUP(A471,Calendar!$A$1:$R$1377,18,0)=4,SUM(INDEX(Monthly_Pay_Model!$A$9:$D$40,MATCH(TEXT(A471,"dd"),Monthly_Pay_Model!$C$9:$C$39,0),4),INDEX(Monthly_Pay_Model!$A$9:$D$40,MATCH(TEXT(A472,"dd"),Monthly_Pay_Model!$C$9:$C$39,0),4),INDEX(Monthly_Pay_Model!$A$9:$D$40,MATCH(TEXT(A473,"dd"),Monthly_Pay_Model!$C$9:$C$39,0),4),INDEX(Monthly_Pay_Model!$A$9:$D$40,MATCH(TEXT(A474,"dd"),Monthly_Pay_Model!$C$9:$C$39,0),4)),IF(VLOOKUP(A471,Calendar!$A$1:$R$1377,18,0)=5,SUM(INDEX(Monthly_Pay_Model!$A$9:$D$40,MATCH(TEXT(A471,"dd"),Monthly_Pay_Model!$C$9:$C$39,0),4),INDEX(Monthly_Pay_Model!$A$9:$D$40,MATCH(TEXT(A472,"dd"),Monthly_Pay_Model!$C$9:$C$39,0),4),INDEX(Monthly_Pay_Model!$A$9:$D$40,MATCH(TEXT(A473,"dd"),Monthly_Pay_Model!$C$9:$C$39,0),4),INDEX(Monthly_Pay_Model!$A$9:$D$40,MATCH(TEXT(A474,"dd"),Monthly_Pay_Model!$C$9:$C$39,0),4),INDEX(Monthly_Pay_Model!$A$9:$D$40,MATCH(TEXT(A475,"dd"),Monthly_Pay_Model!$C$9:$C$39,0),4)),))))))</f>
        <v>0</v>
      </c>
      <c r="J471" s="33">
        <f>IF(C471="Yes",Monthly_Pay_Model!$D$2,0)
+IF(Calendar!N471="Yes",Monthly_Pay_Model!$D$3,0)
+IF(D471="Yes",Monthly_Pay_Model!$D$4,0)
+IF(E471="Yes",Monthly_Pay_Model!$D$5,0)</f>
        <v>0</v>
      </c>
      <c r="K471" s="27">
        <f>IF(VLOOKUP($A471,Calendar!$A$1:$R$1377,18,0)=0,0,IF(VLOOKUP($A471,Calendar!$A$1:$R$1377,18,0)=1,IFERROR(INDEX(Weekly_Model!$D$2:$D$9,MATCH(F471,Weekly_Model!$A$2:$A$9,0)),0),IF(VLOOKUP($A471,Calendar!$A$1:$R$1377,18,0)=2,SUM(IFERROR(INDEX(Weekly_Model!$D$2:$D$9,MATCH(F471,Weekly_Model!$A$2:$A$9,0)),0),IFERROR(INDEX(Weekly_Model!$D$2:$D$9,MATCH(F472,Weekly_Model!$A$2:$A$9,0)),0)),IF(VLOOKUP($A471,Calendar!$A$1:$R$1377,18,0)=3,SUM(IFERROR(INDEX(Weekly_Model!$D$2:$D$9,MATCH(F471,Weekly_Model!$A$2:$A$9,0)),0),IFERROR(INDEX(Weekly_Model!$D$2:$D$9,MATCH(F472,Weekly_Model!$A$2:$A$9,0)),0),IFERROR(INDEX(Weekly_Model!$D$2:$D$9,MATCH(F473,Weekly_Model!$A$2:$A$9,0)),0)),IF(VLOOKUP($A471,Calendar!$A$1:$R$1377,18,0)=4,SUM(IFERROR(INDEX(Weekly_Model!$D$2:$D$9,MATCH(F471,Weekly_Model!$A$2:$A$9,0)),0),IFERROR(INDEX(Weekly_Model!$D$2:$D$9,MATCH(F472,Weekly_Model!$A$2:$A$9,0)),0),IFERROR(INDEX(Weekly_Model!$D$2:$D$9,MATCH(F473,Weekly_Model!$A$2:$A$9,0)),0),IFERROR(INDEX(Weekly_Model!$D$2:$D$9,MATCH(F474,Weekly_Model!$A$2:$A$9,0)),0)),IF(VLOOKUP($A471,Calendar!$A$1:$R$1377,18,0)=5,SUM(IFERROR(INDEX(Weekly_Model!$D$2:$D$9,MATCH(F471,Weekly_Model!$A$2:$A$9,0)),0),IFERROR(INDEX(Weekly_Model!$D$2:$D$9,MATCH(F472,Weekly_Model!$A$2:$A$9,0)),0),IFERROR(INDEX(Weekly_Model!$D$2:$D$9,MATCH(F473,Weekly_Model!$A$2:$A$9,0)),0),IFERROR(INDEX(Weekly_Model!$D$2:$D$9,MATCH(F474,Weekly_Model!$A$2:$A$9,0)),0),IFERROR(INDEX(Weekly_Model!$D$2:$D$9,MATCH(F475,Weekly_Model!$A$2:$A$9,0)),0)),0))))))</f>
        <v>0</v>
      </c>
      <c r="L471" s="27">
        <f>IF(VLOOKUP($A471,Calendar!$A$1:$R$1377,18,0)=0,0,IF(VLOOKUP($A471,Calendar!$A$1:$R$1377,18,0)=1,IFERROR(INDEX(Fortnightly_Model!$D$2:$D$15,MATCH(G471,Fortnightly_Model!$B$2:$B$15,0)),0),IF(VLOOKUP($A471,Calendar!$A$1:$R$1377,18,0)=2,SUM(IFERROR(INDEX(Fortnightly_Model!$D$2:$D$15,MATCH(G471,Fortnightly_Model!$B$2:$B$15,0)),0),IFERROR(INDEX(Fortnightly_Model!$D$2:$D$15,MATCH(G472,Fortnightly_Model!$B$2:$B$15,0)),0)),IF(VLOOKUP($A471,Calendar!$A$1:$R$1377,18,0)=3,SUM(IFERROR(INDEX(Fortnightly_Model!$D$2:$D$15,MATCH(G471,Fortnightly_Model!$B$2:$B$15,0)),0),IFERROR(INDEX(Fortnightly_Model!$D$2:$D$15,MATCH(G472,Fortnightly_Model!$B$2:$B$15,0)),0),IFERROR(INDEX(Fortnightly_Model!$D$2:$D$15,MATCH(G473,Fortnightly_Model!$B$2:$B$15,0)),0)),IF(VLOOKUP($A471,Calendar!$A$1:$R$1377,18,0)=4,SUM(IFERROR(INDEX(Fortnightly_Model!$D$2:$D$15,MATCH(G471,Fortnightly_Model!$B$2:$B$15,0)),0),IFERROR(INDEX(Fortnightly_Model!$D$2:$D$15,MATCH(G472,Fortnightly_Model!$B$2:$B$15,0)),0),IFERROR(INDEX(Fortnightly_Model!$D$2:$D$15,MATCH(G473,Fortnightly_Model!$B$2:$B$15,0)),0),IFERROR(INDEX(Fortnightly_Model!$D$2:$D$15,MATCH(G474,Fortnightly_Model!$B$2:$B$15,0)),0)),IF(VLOOKUP($A471,Calendar!$A$1:$R$1377,18,0)=5,SUM(IFERROR(INDEX(Fortnightly_Model!$D$2:$D$15,MATCH(G471,Fortnightly_Model!$B$2:$B$15,0)),0),IFERROR(INDEX(Fortnightly_Model!$D$2:$D$15,MATCH(G472,Fortnightly_Model!$B$2:$B$15,0)),0),IFERROR(INDEX(Fortnightly_Model!$D$2:$D$15,MATCH(G473,Fortnightly_Model!$B$2:$B$15,0)),0),IFERROR(INDEX(Fortnightly_Model!$D$2:$D$15,MATCH(G474,Fortnightly_Model!$B$2:$B$15,0)),0),IFERROR(INDEX(Fortnightly_Model!$D$2:$D$15,MATCH(G475,Fortnightly_Model!$B$2:$B$15,0)),0)),0))))))</f>
        <v>0</v>
      </c>
      <c r="M471" s="27">
        <f>IF(VLOOKUP($A471,Calendar!$A$1:$R$1377,18,0)=0,0,IF(VLOOKUP($A471,Calendar!$A$1:$R$1377,18,0)=1,IFERROR(INDEX(FourWeekly_Model!$D$2:$D$29,MATCH(H471,FourWeekly_Model!$B$2:$B$29,0)),0),IF(VLOOKUP($A471,Calendar!$A$1:$R$1377,18,0)=2,SUM(IFERROR(INDEX(FourWeekly_Model!$D$2:$D$29,MATCH(H471,FourWeekly_Model!$B$2:$B$29,0)),0),IFERROR(INDEX(FourWeekly_Model!$D$2:$D$29,MATCH(H472,FourWeekly_Model!$B$2:$B$29,0)),0)),IF(VLOOKUP($A471,Calendar!$A$1:$R$1377,18,0)=3,SUM(IFERROR(INDEX(FourWeekly_Model!$D$2:$D$29,MATCH(H471,FourWeekly_Model!$B$2:$B$29,0)),0),IFERROR(INDEX(FourWeekly_Model!$D$2:$D$29,MATCH(H472,FourWeekly_Model!$B$2:$B$29,0)),0),IFERROR(INDEX(FourWeekly_Model!$D$2:$D$29,MATCH(H473,FourWeekly_Model!$B$2:$B$29,0)),0)),IF(VLOOKUP($A471,Calendar!$A$1:$R$1377,18,0)=4,SUM(IFERROR(INDEX(FourWeekly_Model!$D$2:$D$29,MATCH(H471,FourWeekly_Model!$B$2:$B$29,0)),0),IFERROR(INDEX(FourWeekly_Model!$D$2:$D$29,MATCH(H472,FourWeekly_Model!$B$2:$B$29,0)),0),IFERROR(INDEX(FourWeekly_Model!$D$2:$D$29,MATCH(H473,FourWeekly_Model!$B$2:$B$29,0)),0),IFERROR(INDEX(FourWeekly_Model!$D$2:$D$29,MATCH(H474,FourWeekly_Model!$B$2:$B$29,0)),0)),IF(VLOOKUP($A471,Calendar!$A$1:$R$1377,18,0)=5,SUM(IFERROR(INDEX(FourWeekly_Model!$D$2:$D$29,MATCH(H471,FourWeekly_Model!$B$2:$B$29,0)),0),IFERROR(INDEX(FourWeekly_Model!$D$2:$D$29,MATCH(H472,FourWeekly_Model!$B$2:$B$29,0)),0),IFERROR(INDEX(FourWeekly_Model!$D$2:$D$29,MATCH(H473,FourWeekly_Model!$B$2:$B$29,0)),0),IFERROR(INDEX(FourWeekly_Model!$D$2:$D$29,MATCH(H474,FourWeekly_Model!$B$2:$B$29,0)),0),IFERROR(INDEX(FourWeekly_Model!$D$2:$D$29,MATCH(H475,FourWeekly_Model!$B$2:$B$29,0)),0)),0))))))</f>
        <v>0</v>
      </c>
      <c r="N471" s="27">
        <f>SUM(I471:M471)</f>
        <v>0</v>
      </c>
      <c r="O471" s="28">
        <f>Population_Data!$B$8*N471</f>
        <v>0</v>
      </c>
      <c r="P471" s="27">
        <f>IF(VLOOKUP($A471,Calendar!$A$1:$R$1377,18,0)=0,0,IF(VLOOKUP($A471,Calendar!$A$1:$R$1377,18,0)=1,IFERROR(INDEX(Pension_Model!$D$2:$D$29,MATCH(H471,Pension_Model!$B$2:$B$29,0)),0),IF(VLOOKUP($A471,Calendar!$A$1:$R$1377,18,0)=2,SUM(IFERROR(INDEX(Pension_Model!$D$2:$D$29,MATCH(H471,Pension_Model!$B$2:$B$29,0)),0),IFERROR(INDEX(Pension_Model!$D$2:$D$29,MATCH(H472,Pension_Model!$B$2:$B$29,0)),0)),IF(VLOOKUP($A471,Calendar!$A$1:$R$1377,18,0)=3,SUM(IFERROR(INDEX(Pension_Model!$D$2:$D$29,MATCH(H471,Pension_Model!$B$2:$B$29,0)),0),IFERROR(INDEX(Pension_Model!$D$2:$D$29,MATCH(H472,Pension_Model!$B$2:$B$29,0)),0),IFERROR(INDEX(Pension_Model!$D$2:$D$29,MATCH(H473,Pension_Model!$B$2:$B$29,0)),0)),IF(VLOOKUP($A471,Calendar!$A$1:$R$1377,18,0)=4,SUM(IFERROR(INDEX(Pension_Model!$D$2:$D$29,MATCH(H471,Pension_Model!$B$2:$B$29,0)),0),IFERROR(INDEX(Pension_Model!$D$2:$D$29,MATCH(H472,Pension_Model!$B$2:$B$29,0)),0),IFERROR(INDEX(Pension_Model!$D$2:$D$29,MATCH(H473,Pension_Model!$B$2:$B$29,0)),0),IFERROR(INDEX(Pension_Model!$D$2:$D$29,MATCH(H474,Pension_Model!$B$2:$B$29,0)),0)),IF(VLOOKUP($A471,Calendar!$A$1:$R$1377,18,0)=5,SUM(IFERROR(INDEX(Pension_Model!$D$2:$D$29,MATCH(H471,Pension_Model!$B$2:$B$29,0)),0),IFERROR(INDEX(Pension_Model!$D$2:$D$29,MATCH(H472,Pension_Model!$B$2:$B$29,0)),0),IFERROR(INDEX(Pension_Model!$D$2:$D$29,MATCH(H473,Pension_Model!$B$2:$B$29,0)),0),IFERROR(INDEX(Pension_Model!$D$2:$D$29,MATCH(H474,Pension_Model!$B$2:$B$29,0)),0),IFERROR(INDEX(Pension_Model!$D$2:$D$29,MATCH(H475,Pension_Model!$B$2:$B$29,0)),0)),0))))))</f>
        <v>0</v>
      </c>
      <c r="Q471" s="28">
        <f>Population_Data!$B$15*P471</f>
        <v>0</v>
      </c>
      <c r="S471">
        <f t="shared" si="7"/>
        <v>0</v>
      </c>
      <c r="U471" s="33">
        <f>S471/Population_Data!$B$19</f>
        <v>0</v>
      </c>
    </row>
    <row r="472" spans="1:21">
      <c r="A472" s="25">
        <f>Calendar!A472</f>
        <v>46705</v>
      </c>
      <c r="B472" t="str">
        <f>Calendar!L472</f>
        <v>No</v>
      </c>
      <c r="C472" t="str">
        <f>Calendar!O472</f>
        <v>No</v>
      </c>
      <c r="D472" t="str">
        <f>Calendar!P472</f>
        <v>No</v>
      </c>
      <c r="E472" t="str">
        <f>Calendar!Q472</f>
        <v>No</v>
      </c>
      <c r="F472" t="str">
        <f>Calendar!I472</f>
        <v>Sunday</v>
      </c>
      <c r="G472">
        <f>Calendar!S472</f>
        <v>1</v>
      </c>
      <c r="H472">
        <f>Calendar!T472</f>
        <v>1</v>
      </c>
      <c r="I472" s="27">
        <f>IF(VLOOKUP(A472,Calendar!$A$1:$R$1377,18,0)=0,0,IF(VLOOKUP(A472,Calendar!$A$1:$R$1377,18,0)=1,INDEX(Monthly_Pay_Model!$A$9:$D$40,MATCH(TEXT(A472,"dd"),Monthly_Pay_Model!$C$9:$C$39,0),4),IF(VLOOKUP(A472,Calendar!$A$1:$R$1377,18,0)=2,SUM(INDEX(Monthly_Pay_Model!$A$9:$D$40,MATCH(TEXT(A472,"dd"),Monthly_Pay_Model!$C$9:$C$39,0),4),INDEX(Monthly_Pay_Model!$A$9:$D$40,MATCH(TEXT(A473,"dd"),Monthly_Pay_Model!$C$9:$C$39,0),4)),IF(VLOOKUP(A472,Calendar!$A$1:$R$1377,18,0)=3,SUM(INDEX(Monthly_Pay_Model!$A$9:$D$40,MATCH(TEXT(A472,"dd"),Monthly_Pay_Model!$C$9:$C$39,0),4),INDEX(Monthly_Pay_Model!$A$9:$D$40,MATCH(TEXT(A473,"dd"),Monthly_Pay_Model!$C$9:$C$39,0),4),INDEX(Monthly_Pay_Model!$A$9:$D$40,MATCH(TEXT(A474,"dd"),Monthly_Pay_Model!$C$9:$C$39,0),4)),IF(VLOOKUP(A472,Calendar!$A$1:$R$1377,18,0)=4,SUM(INDEX(Monthly_Pay_Model!$A$9:$D$40,MATCH(TEXT(A472,"dd"),Monthly_Pay_Model!$C$9:$C$39,0),4),INDEX(Monthly_Pay_Model!$A$9:$D$40,MATCH(TEXT(A473,"dd"),Monthly_Pay_Model!$C$9:$C$39,0),4),INDEX(Monthly_Pay_Model!$A$9:$D$40,MATCH(TEXT(A474,"dd"),Monthly_Pay_Model!$C$9:$C$39,0),4),INDEX(Monthly_Pay_Model!$A$9:$D$40,MATCH(TEXT(A475,"dd"),Monthly_Pay_Model!$C$9:$C$39,0),4)),IF(VLOOKUP(A472,Calendar!$A$1:$R$1377,18,0)=5,SUM(INDEX(Monthly_Pay_Model!$A$9:$D$40,MATCH(TEXT(A472,"dd"),Monthly_Pay_Model!$C$9:$C$39,0),4),INDEX(Monthly_Pay_Model!$A$9:$D$40,MATCH(TEXT(A473,"dd"),Monthly_Pay_Model!$C$9:$C$39,0),4),INDEX(Monthly_Pay_Model!$A$9:$D$40,MATCH(TEXT(A474,"dd"),Monthly_Pay_Model!$C$9:$C$39,0),4),INDEX(Monthly_Pay_Model!$A$9:$D$40,MATCH(TEXT(A475,"dd"),Monthly_Pay_Model!$C$9:$C$39,0),4),INDEX(Monthly_Pay_Model!$A$9:$D$40,MATCH(TEXT(A476,"dd"),Monthly_Pay_Model!$C$9:$C$39,0),4)),))))))</f>
        <v>0</v>
      </c>
      <c r="J472" s="33">
        <f>IF(C472="Yes",Monthly_Pay_Model!$D$2,0)
+IF(Calendar!N472="Yes",Monthly_Pay_Model!$D$3,0)
+IF(D472="Yes",Monthly_Pay_Model!$D$4,0)
+IF(E472="Yes",Monthly_Pay_Model!$D$5,0)</f>
        <v>0</v>
      </c>
      <c r="K472" s="27">
        <f>IF(VLOOKUP($A472,Calendar!$A$1:$R$1377,18,0)=0,0,IF(VLOOKUP($A472,Calendar!$A$1:$R$1377,18,0)=1,IFERROR(INDEX(Weekly_Model!$D$2:$D$9,MATCH(F472,Weekly_Model!$A$2:$A$9,0)),0),IF(VLOOKUP($A472,Calendar!$A$1:$R$1377,18,0)=2,SUM(IFERROR(INDEX(Weekly_Model!$D$2:$D$9,MATCH(F472,Weekly_Model!$A$2:$A$9,0)),0),IFERROR(INDEX(Weekly_Model!$D$2:$D$9,MATCH(F473,Weekly_Model!$A$2:$A$9,0)),0)),IF(VLOOKUP($A472,Calendar!$A$1:$R$1377,18,0)=3,SUM(IFERROR(INDEX(Weekly_Model!$D$2:$D$9,MATCH(F472,Weekly_Model!$A$2:$A$9,0)),0),IFERROR(INDEX(Weekly_Model!$D$2:$D$9,MATCH(F473,Weekly_Model!$A$2:$A$9,0)),0),IFERROR(INDEX(Weekly_Model!$D$2:$D$9,MATCH(F474,Weekly_Model!$A$2:$A$9,0)),0)),IF(VLOOKUP($A472,Calendar!$A$1:$R$1377,18,0)=4,SUM(IFERROR(INDEX(Weekly_Model!$D$2:$D$9,MATCH(F472,Weekly_Model!$A$2:$A$9,0)),0),IFERROR(INDEX(Weekly_Model!$D$2:$D$9,MATCH(F473,Weekly_Model!$A$2:$A$9,0)),0),IFERROR(INDEX(Weekly_Model!$D$2:$D$9,MATCH(F474,Weekly_Model!$A$2:$A$9,0)),0),IFERROR(INDEX(Weekly_Model!$D$2:$D$9,MATCH(F475,Weekly_Model!$A$2:$A$9,0)),0)),IF(VLOOKUP($A472,Calendar!$A$1:$R$1377,18,0)=5,SUM(IFERROR(INDEX(Weekly_Model!$D$2:$D$9,MATCH(F472,Weekly_Model!$A$2:$A$9,0)),0),IFERROR(INDEX(Weekly_Model!$D$2:$D$9,MATCH(F473,Weekly_Model!$A$2:$A$9,0)),0),IFERROR(INDEX(Weekly_Model!$D$2:$D$9,MATCH(F474,Weekly_Model!$A$2:$A$9,0)),0),IFERROR(INDEX(Weekly_Model!$D$2:$D$9,MATCH(F475,Weekly_Model!$A$2:$A$9,0)),0),IFERROR(INDEX(Weekly_Model!$D$2:$D$9,MATCH(F476,Weekly_Model!$A$2:$A$9,0)),0)),0))))))</f>
        <v>0</v>
      </c>
      <c r="L472" s="27">
        <f>IF(VLOOKUP($A472,Calendar!$A$1:$R$1377,18,0)=0,0,IF(VLOOKUP($A472,Calendar!$A$1:$R$1377,18,0)=1,IFERROR(INDEX(Fortnightly_Model!$D$2:$D$15,MATCH(G472,Fortnightly_Model!$B$2:$B$15,0)),0),IF(VLOOKUP($A472,Calendar!$A$1:$R$1377,18,0)=2,SUM(IFERROR(INDEX(Fortnightly_Model!$D$2:$D$15,MATCH(G472,Fortnightly_Model!$B$2:$B$15,0)),0),IFERROR(INDEX(Fortnightly_Model!$D$2:$D$15,MATCH(G473,Fortnightly_Model!$B$2:$B$15,0)),0)),IF(VLOOKUP($A472,Calendar!$A$1:$R$1377,18,0)=3,SUM(IFERROR(INDEX(Fortnightly_Model!$D$2:$D$15,MATCH(G472,Fortnightly_Model!$B$2:$B$15,0)),0),IFERROR(INDEX(Fortnightly_Model!$D$2:$D$15,MATCH(G473,Fortnightly_Model!$B$2:$B$15,0)),0),IFERROR(INDEX(Fortnightly_Model!$D$2:$D$15,MATCH(G474,Fortnightly_Model!$B$2:$B$15,0)),0)),IF(VLOOKUP($A472,Calendar!$A$1:$R$1377,18,0)=4,SUM(IFERROR(INDEX(Fortnightly_Model!$D$2:$D$15,MATCH(G472,Fortnightly_Model!$B$2:$B$15,0)),0),IFERROR(INDEX(Fortnightly_Model!$D$2:$D$15,MATCH(G473,Fortnightly_Model!$B$2:$B$15,0)),0),IFERROR(INDEX(Fortnightly_Model!$D$2:$D$15,MATCH(G474,Fortnightly_Model!$B$2:$B$15,0)),0),IFERROR(INDEX(Fortnightly_Model!$D$2:$D$15,MATCH(G475,Fortnightly_Model!$B$2:$B$15,0)),0)),IF(VLOOKUP($A472,Calendar!$A$1:$R$1377,18,0)=5,SUM(IFERROR(INDEX(Fortnightly_Model!$D$2:$D$15,MATCH(G472,Fortnightly_Model!$B$2:$B$15,0)),0),IFERROR(INDEX(Fortnightly_Model!$D$2:$D$15,MATCH(G473,Fortnightly_Model!$B$2:$B$15,0)),0),IFERROR(INDEX(Fortnightly_Model!$D$2:$D$15,MATCH(G474,Fortnightly_Model!$B$2:$B$15,0)),0),IFERROR(INDEX(Fortnightly_Model!$D$2:$D$15,MATCH(G475,Fortnightly_Model!$B$2:$B$15,0)),0),IFERROR(INDEX(Fortnightly_Model!$D$2:$D$15,MATCH(G476,Fortnightly_Model!$B$2:$B$15,0)),0)),0))))))</f>
        <v>0</v>
      </c>
      <c r="M472" s="27">
        <f>IF(VLOOKUP($A472,Calendar!$A$1:$R$1377,18,0)=0,0,IF(VLOOKUP($A472,Calendar!$A$1:$R$1377,18,0)=1,IFERROR(INDEX(FourWeekly_Model!$D$2:$D$29,MATCH(H472,FourWeekly_Model!$B$2:$B$29,0)),0),IF(VLOOKUP($A472,Calendar!$A$1:$R$1377,18,0)=2,SUM(IFERROR(INDEX(FourWeekly_Model!$D$2:$D$29,MATCH(H472,FourWeekly_Model!$B$2:$B$29,0)),0),IFERROR(INDEX(FourWeekly_Model!$D$2:$D$29,MATCH(H473,FourWeekly_Model!$B$2:$B$29,0)),0)),IF(VLOOKUP($A472,Calendar!$A$1:$R$1377,18,0)=3,SUM(IFERROR(INDEX(FourWeekly_Model!$D$2:$D$29,MATCH(H472,FourWeekly_Model!$B$2:$B$29,0)),0),IFERROR(INDEX(FourWeekly_Model!$D$2:$D$29,MATCH(H473,FourWeekly_Model!$B$2:$B$29,0)),0),IFERROR(INDEX(FourWeekly_Model!$D$2:$D$29,MATCH(H474,FourWeekly_Model!$B$2:$B$29,0)),0)),IF(VLOOKUP($A472,Calendar!$A$1:$R$1377,18,0)=4,SUM(IFERROR(INDEX(FourWeekly_Model!$D$2:$D$29,MATCH(H472,FourWeekly_Model!$B$2:$B$29,0)),0),IFERROR(INDEX(FourWeekly_Model!$D$2:$D$29,MATCH(H473,FourWeekly_Model!$B$2:$B$29,0)),0),IFERROR(INDEX(FourWeekly_Model!$D$2:$D$29,MATCH(H474,FourWeekly_Model!$B$2:$B$29,0)),0),IFERROR(INDEX(FourWeekly_Model!$D$2:$D$29,MATCH(H475,FourWeekly_Model!$B$2:$B$29,0)),0)),IF(VLOOKUP($A472,Calendar!$A$1:$R$1377,18,0)=5,SUM(IFERROR(INDEX(FourWeekly_Model!$D$2:$D$29,MATCH(H472,FourWeekly_Model!$B$2:$B$29,0)),0),IFERROR(INDEX(FourWeekly_Model!$D$2:$D$29,MATCH(H473,FourWeekly_Model!$B$2:$B$29,0)),0),IFERROR(INDEX(FourWeekly_Model!$D$2:$D$29,MATCH(H474,FourWeekly_Model!$B$2:$B$29,0)),0),IFERROR(INDEX(FourWeekly_Model!$D$2:$D$29,MATCH(H475,FourWeekly_Model!$B$2:$B$29,0)),0),IFERROR(INDEX(FourWeekly_Model!$D$2:$D$29,MATCH(H476,FourWeekly_Model!$B$2:$B$29,0)),0)),0))))))</f>
        <v>0</v>
      </c>
      <c r="N472" s="27">
        <f>SUM(I472:M472)</f>
        <v>0</v>
      </c>
      <c r="O472" s="28">
        <f>Population_Data!$B$8*N472</f>
        <v>0</v>
      </c>
      <c r="P472" s="27">
        <f>IF(VLOOKUP($A472,Calendar!$A$1:$R$1377,18,0)=0,0,IF(VLOOKUP($A472,Calendar!$A$1:$R$1377,18,0)=1,IFERROR(INDEX(Pension_Model!$D$2:$D$29,MATCH(H472,Pension_Model!$B$2:$B$29,0)),0),IF(VLOOKUP($A472,Calendar!$A$1:$R$1377,18,0)=2,SUM(IFERROR(INDEX(Pension_Model!$D$2:$D$29,MATCH(H472,Pension_Model!$B$2:$B$29,0)),0),IFERROR(INDEX(Pension_Model!$D$2:$D$29,MATCH(H473,Pension_Model!$B$2:$B$29,0)),0)),IF(VLOOKUP($A472,Calendar!$A$1:$R$1377,18,0)=3,SUM(IFERROR(INDEX(Pension_Model!$D$2:$D$29,MATCH(H472,Pension_Model!$B$2:$B$29,0)),0),IFERROR(INDEX(Pension_Model!$D$2:$D$29,MATCH(H473,Pension_Model!$B$2:$B$29,0)),0),IFERROR(INDEX(Pension_Model!$D$2:$D$29,MATCH(H474,Pension_Model!$B$2:$B$29,0)),0)),IF(VLOOKUP($A472,Calendar!$A$1:$R$1377,18,0)=4,SUM(IFERROR(INDEX(Pension_Model!$D$2:$D$29,MATCH(H472,Pension_Model!$B$2:$B$29,0)),0),IFERROR(INDEX(Pension_Model!$D$2:$D$29,MATCH(H473,Pension_Model!$B$2:$B$29,0)),0),IFERROR(INDEX(Pension_Model!$D$2:$D$29,MATCH(H474,Pension_Model!$B$2:$B$29,0)),0),IFERROR(INDEX(Pension_Model!$D$2:$D$29,MATCH(H475,Pension_Model!$B$2:$B$29,0)),0)),IF(VLOOKUP($A472,Calendar!$A$1:$R$1377,18,0)=5,SUM(IFERROR(INDEX(Pension_Model!$D$2:$D$29,MATCH(H472,Pension_Model!$B$2:$B$29,0)),0),IFERROR(INDEX(Pension_Model!$D$2:$D$29,MATCH(H473,Pension_Model!$B$2:$B$29,0)),0),IFERROR(INDEX(Pension_Model!$D$2:$D$29,MATCH(H474,Pension_Model!$B$2:$B$29,0)),0),IFERROR(INDEX(Pension_Model!$D$2:$D$29,MATCH(H475,Pension_Model!$B$2:$B$29,0)),0),IFERROR(INDEX(Pension_Model!$D$2:$D$29,MATCH(H476,Pension_Model!$B$2:$B$29,0)),0)),0))))))</f>
        <v>0</v>
      </c>
      <c r="Q472" s="28">
        <f>Population_Data!$B$15*P472</f>
        <v>0</v>
      </c>
      <c r="S472">
        <f t="shared" si="7"/>
        <v>0</v>
      </c>
      <c r="U472" s="33">
        <f>S472/Population_Data!$B$19</f>
        <v>0</v>
      </c>
    </row>
    <row r="473" spans="1:21">
      <c r="A473" s="25">
        <f>Calendar!A473</f>
        <v>46706</v>
      </c>
      <c r="B473" t="str">
        <f>Calendar!L473</f>
        <v>Yes</v>
      </c>
      <c r="C473" t="str">
        <f>Calendar!O473</f>
        <v>No</v>
      </c>
      <c r="D473" t="str">
        <f>Calendar!P473</f>
        <v>No</v>
      </c>
      <c r="E473" t="str">
        <f>Calendar!Q473</f>
        <v>No</v>
      </c>
      <c r="F473" t="str">
        <f>Calendar!I473</f>
        <v>Monday</v>
      </c>
      <c r="G473">
        <f>Calendar!S473</f>
        <v>2</v>
      </c>
      <c r="H473">
        <f>Calendar!T473</f>
        <v>2</v>
      </c>
      <c r="I473" s="27">
        <f>IF(VLOOKUP(A473,Calendar!$A$1:$R$1377,18,0)=0,0,IF(VLOOKUP(A473,Calendar!$A$1:$R$1377,18,0)=1,INDEX(Monthly_Pay_Model!$A$9:$D$40,MATCH(TEXT(A473,"dd"),Monthly_Pay_Model!$C$9:$C$39,0),4),IF(VLOOKUP(A473,Calendar!$A$1:$R$1377,18,0)=2,SUM(INDEX(Monthly_Pay_Model!$A$9:$D$40,MATCH(TEXT(A473,"dd"),Monthly_Pay_Model!$C$9:$C$39,0),4),INDEX(Monthly_Pay_Model!$A$9:$D$40,MATCH(TEXT(A474,"dd"),Monthly_Pay_Model!$C$9:$C$39,0),4)),IF(VLOOKUP(A473,Calendar!$A$1:$R$1377,18,0)=3,SUM(INDEX(Monthly_Pay_Model!$A$9:$D$40,MATCH(TEXT(A473,"dd"),Monthly_Pay_Model!$C$9:$C$39,0),4),INDEX(Monthly_Pay_Model!$A$9:$D$40,MATCH(TEXT(A474,"dd"),Monthly_Pay_Model!$C$9:$C$39,0),4),INDEX(Monthly_Pay_Model!$A$9:$D$40,MATCH(TEXT(A475,"dd"),Monthly_Pay_Model!$C$9:$C$39,0),4)),IF(VLOOKUP(A473,Calendar!$A$1:$R$1377,18,0)=4,SUM(INDEX(Monthly_Pay_Model!$A$9:$D$40,MATCH(TEXT(A473,"dd"),Monthly_Pay_Model!$C$9:$C$39,0),4),INDEX(Monthly_Pay_Model!$A$9:$D$40,MATCH(TEXT(A474,"dd"),Monthly_Pay_Model!$C$9:$C$39,0),4),INDEX(Monthly_Pay_Model!$A$9:$D$40,MATCH(TEXT(A475,"dd"),Monthly_Pay_Model!$C$9:$C$39,0),4),INDEX(Monthly_Pay_Model!$A$9:$D$40,MATCH(TEXT(A476,"dd"),Monthly_Pay_Model!$C$9:$C$39,0),4)),IF(VLOOKUP(A473,Calendar!$A$1:$R$1377,18,0)=5,SUM(INDEX(Monthly_Pay_Model!$A$9:$D$40,MATCH(TEXT(A473,"dd"),Monthly_Pay_Model!$C$9:$C$39,0),4),INDEX(Monthly_Pay_Model!$A$9:$D$40,MATCH(TEXT(A474,"dd"),Monthly_Pay_Model!$C$9:$C$39,0),4),INDEX(Monthly_Pay_Model!$A$9:$D$40,MATCH(TEXT(A475,"dd"),Monthly_Pay_Model!$C$9:$C$39,0),4),INDEX(Monthly_Pay_Model!$A$9:$D$40,MATCH(TEXT(A476,"dd"),Monthly_Pay_Model!$C$9:$C$39,0),4),INDEX(Monthly_Pay_Model!$A$9:$D$40,MATCH(TEXT(A477,"dd"),Monthly_Pay_Model!$C$9:$C$39,0),4)),))))))</f>
        <v>1.3001047120418847E-2</v>
      </c>
      <c r="J473" s="33">
        <f>IF(C473="Yes",Monthly_Pay_Model!$D$2,0)
+IF(Calendar!N473="Yes",Monthly_Pay_Model!$D$3,0)
+IF(D473="Yes",Monthly_Pay_Model!$D$4,0)
+IF(E473="Yes",Monthly_Pay_Model!$D$5,0)</f>
        <v>0</v>
      </c>
      <c r="K473" s="27">
        <f>IF(VLOOKUP($A473,Calendar!$A$1:$R$1377,18,0)=0,0,IF(VLOOKUP($A473,Calendar!$A$1:$R$1377,18,0)=1,IFERROR(INDEX(Weekly_Model!$D$2:$D$9,MATCH(F473,Weekly_Model!$A$2:$A$9,0)),0),IF(VLOOKUP($A473,Calendar!$A$1:$R$1377,18,0)=2,SUM(IFERROR(INDEX(Weekly_Model!$D$2:$D$9,MATCH(F473,Weekly_Model!$A$2:$A$9,0)),0),IFERROR(INDEX(Weekly_Model!$D$2:$D$9,MATCH(F474,Weekly_Model!$A$2:$A$9,0)),0)),IF(VLOOKUP($A473,Calendar!$A$1:$R$1377,18,0)=3,SUM(IFERROR(INDEX(Weekly_Model!$D$2:$D$9,MATCH(F473,Weekly_Model!$A$2:$A$9,0)),0),IFERROR(INDEX(Weekly_Model!$D$2:$D$9,MATCH(F474,Weekly_Model!$A$2:$A$9,0)),0),IFERROR(INDEX(Weekly_Model!$D$2:$D$9,MATCH(F475,Weekly_Model!$A$2:$A$9,0)),0)),IF(VLOOKUP($A473,Calendar!$A$1:$R$1377,18,0)=4,SUM(IFERROR(INDEX(Weekly_Model!$D$2:$D$9,MATCH(F473,Weekly_Model!$A$2:$A$9,0)),0),IFERROR(INDEX(Weekly_Model!$D$2:$D$9,MATCH(F474,Weekly_Model!$A$2:$A$9,0)),0),IFERROR(INDEX(Weekly_Model!$D$2:$D$9,MATCH(F475,Weekly_Model!$A$2:$A$9,0)),0),IFERROR(INDEX(Weekly_Model!$D$2:$D$9,MATCH(F476,Weekly_Model!$A$2:$A$9,0)),0)),IF(VLOOKUP($A473,Calendar!$A$1:$R$1377,18,0)=5,SUM(IFERROR(INDEX(Weekly_Model!$D$2:$D$9,MATCH(F473,Weekly_Model!$A$2:$A$9,0)),0),IFERROR(INDEX(Weekly_Model!$D$2:$D$9,MATCH(F474,Weekly_Model!$A$2:$A$9,0)),0),IFERROR(INDEX(Weekly_Model!$D$2:$D$9,MATCH(F475,Weekly_Model!$A$2:$A$9,0)),0),IFERROR(INDEX(Weekly_Model!$D$2:$D$9,MATCH(F476,Weekly_Model!$A$2:$A$9,0)),0),IFERROR(INDEX(Weekly_Model!$D$2:$D$9,MATCH(F477,Weekly_Model!$A$2:$A$9,0)),0)),0))))))</f>
        <v>2.3200000000000002E-2</v>
      </c>
      <c r="L473" s="27">
        <f>IF(VLOOKUP($A473,Calendar!$A$1:$R$1377,18,0)=0,0,IF(VLOOKUP($A473,Calendar!$A$1:$R$1377,18,0)=1,IFERROR(INDEX(Fortnightly_Model!$D$2:$D$15,MATCH(G473,Fortnightly_Model!$B$2:$B$15,0)),0),IF(VLOOKUP($A473,Calendar!$A$1:$R$1377,18,0)=2,SUM(IFERROR(INDEX(Fortnightly_Model!$D$2:$D$15,MATCH(G473,Fortnightly_Model!$B$2:$B$15,0)),0),IFERROR(INDEX(Fortnightly_Model!$D$2:$D$15,MATCH(G474,Fortnightly_Model!$B$2:$B$15,0)),0)),IF(VLOOKUP($A473,Calendar!$A$1:$R$1377,18,0)=3,SUM(IFERROR(INDEX(Fortnightly_Model!$D$2:$D$15,MATCH(G473,Fortnightly_Model!$B$2:$B$15,0)),0),IFERROR(INDEX(Fortnightly_Model!$D$2:$D$15,MATCH(G474,Fortnightly_Model!$B$2:$B$15,0)),0),IFERROR(INDEX(Fortnightly_Model!$D$2:$D$15,MATCH(G475,Fortnightly_Model!$B$2:$B$15,0)),0)),IF(VLOOKUP($A473,Calendar!$A$1:$R$1377,18,0)=4,SUM(IFERROR(INDEX(Fortnightly_Model!$D$2:$D$15,MATCH(G473,Fortnightly_Model!$B$2:$B$15,0)),0),IFERROR(INDEX(Fortnightly_Model!$D$2:$D$15,MATCH(G474,Fortnightly_Model!$B$2:$B$15,0)),0),IFERROR(INDEX(Fortnightly_Model!$D$2:$D$15,MATCH(G475,Fortnightly_Model!$B$2:$B$15,0)),0),IFERROR(INDEX(Fortnightly_Model!$D$2:$D$15,MATCH(G476,Fortnightly_Model!$B$2:$B$15,0)),0)),IF(VLOOKUP($A473,Calendar!$A$1:$R$1377,18,0)=5,SUM(IFERROR(INDEX(Fortnightly_Model!$D$2:$D$15,MATCH(G473,Fortnightly_Model!$B$2:$B$15,0)),0),IFERROR(INDEX(Fortnightly_Model!$D$2:$D$15,MATCH(G474,Fortnightly_Model!$B$2:$B$15,0)),0),IFERROR(INDEX(Fortnightly_Model!$D$2:$D$15,MATCH(G475,Fortnightly_Model!$B$2:$B$15,0)),0),IFERROR(INDEX(Fortnightly_Model!$D$2:$D$15,MATCH(G476,Fortnightly_Model!$B$2:$B$15,0)),0),IFERROR(INDEX(Fortnightly_Model!$D$2:$D$15,MATCH(G477,Fortnightly_Model!$B$2:$B$15,0)),0)),0))))))</f>
        <v>1.0714285499999999E-3</v>
      </c>
      <c r="M473" s="27">
        <f>IF(VLOOKUP($A473,Calendar!$A$1:$R$1377,18,0)=0,0,IF(VLOOKUP($A473,Calendar!$A$1:$R$1377,18,0)=1,IFERROR(INDEX(FourWeekly_Model!$D$2:$D$29,MATCH(H473,FourWeekly_Model!$B$2:$B$29,0)),0),IF(VLOOKUP($A473,Calendar!$A$1:$R$1377,18,0)=2,SUM(IFERROR(INDEX(FourWeekly_Model!$D$2:$D$29,MATCH(H473,FourWeekly_Model!$B$2:$B$29,0)),0),IFERROR(INDEX(FourWeekly_Model!$D$2:$D$29,MATCH(H474,FourWeekly_Model!$B$2:$B$29,0)),0)),IF(VLOOKUP($A473,Calendar!$A$1:$R$1377,18,0)=3,SUM(IFERROR(INDEX(FourWeekly_Model!$D$2:$D$29,MATCH(H473,FourWeekly_Model!$B$2:$B$29,0)),0),IFERROR(INDEX(FourWeekly_Model!$D$2:$D$29,MATCH(H474,FourWeekly_Model!$B$2:$B$29,0)),0),IFERROR(INDEX(FourWeekly_Model!$D$2:$D$29,MATCH(H475,FourWeekly_Model!$B$2:$B$29,0)),0)),IF(VLOOKUP($A473,Calendar!$A$1:$R$1377,18,0)=4,SUM(IFERROR(INDEX(FourWeekly_Model!$D$2:$D$29,MATCH(H473,FourWeekly_Model!$B$2:$B$29,0)),0),IFERROR(INDEX(FourWeekly_Model!$D$2:$D$29,MATCH(H474,FourWeekly_Model!$B$2:$B$29,0)),0),IFERROR(INDEX(FourWeekly_Model!$D$2:$D$29,MATCH(H475,FourWeekly_Model!$B$2:$B$29,0)),0),IFERROR(INDEX(FourWeekly_Model!$D$2:$D$29,MATCH(H476,FourWeekly_Model!$B$2:$B$29,0)),0)),IF(VLOOKUP($A473,Calendar!$A$1:$R$1377,18,0)=5,SUM(IFERROR(INDEX(FourWeekly_Model!$D$2:$D$29,MATCH(H473,FourWeekly_Model!$B$2:$B$29,0)),0),IFERROR(INDEX(FourWeekly_Model!$D$2:$D$29,MATCH(H474,FourWeekly_Model!$B$2:$B$29,0)),0),IFERROR(INDEX(FourWeekly_Model!$D$2:$D$29,MATCH(H475,FourWeekly_Model!$B$2:$B$29,0)),0),IFERROR(INDEX(FourWeekly_Model!$D$2:$D$29,MATCH(H476,FourWeekly_Model!$B$2:$B$29,0)),0),IFERROR(INDEX(FourWeekly_Model!$D$2:$D$29,MATCH(H477,FourWeekly_Model!$B$2:$B$29,0)),0)),0))))))</f>
        <v>3.3214289700000004E-3</v>
      </c>
      <c r="N473" s="27">
        <f>SUM(I473:M473)</f>
        <v>4.059390464041885E-2</v>
      </c>
      <c r="O473" s="28">
        <f>Population_Data!$B$8*N473</f>
        <v>1229995.310604691</v>
      </c>
      <c r="P473" s="27">
        <f>IF(VLOOKUP($A473,Calendar!$A$1:$R$1377,18,0)=0,0,IF(VLOOKUP($A473,Calendar!$A$1:$R$1377,18,0)=1,IFERROR(INDEX(Pension_Model!$D$2:$D$29,MATCH(H473,Pension_Model!$B$2:$B$29,0)),0),IF(VLOOKUP($A473,Calendar!$A$1:$R$1377,18,0)=2,SUM(IFERROR(INDEX(Pension_Model!$D$2:$D$29,MATCH(H473,Pension_Model!$B$2:$B$29,0)),0),IFERROR(INDEX(Pension_Model!$D$2:$D$29,MATCH(H474,Pension_Model!$B$2:$B$29,0)),0)),IF(VLOOKUP($A473,Calendar!$A$1:$R$1377,18,0)=3,SUM(IFERROR(INDEX(Pension_Model!$D$2:$D$29,MATCH(H473,Pension_Model!$B$2:$B$29,0)),0),IFERROR(INDEX(Pension_Model!$D$2:$D$29,MATCH(H474,Pension_Model!$B$2:$B$29,0)),0),IFERROR(INDEX(Pension_Model!$D$2:$D$29,MATCH(H475,Pension_Model!$B$2:$B$29,0)),0)),IF(VLOOKUP($A473,Calendar!$A$1:$R$1377,18,0)=4,SUM(IFERROR(INDEX(Pension_Model!$D$2:$D$29,MATCH(H473,Pension_Model!$B$2:$B$29,0)),0),IFERROR(INDEX(Pension_Model!$D$2:$D$29,MATCH(H474,Pension_Model!$B$2:$B$29,0)),0),IFERROR(INDEX(Pension_Model!$D$2:$D$29,MATCH(H475,Pension_Model!$B$2:$B$29,0)),0),IFERROR(INDEX(Pension_Model!$D$2:$D$29,MATCH(H476,Pension_Model!$B$2:$B$29,0)),0)),IF(VLOOKUP($A473,Calendar!$A$1:$R$1377,18,0)=5,SUM(IFERROR(INDEX(Pension_Model!$D$2:$D$29,MATCH(H473,Pension_Model!$B$2:$B$29,0)),0),IFERROR(INDEX(Pension_Model!$D$2:$D$29,MATCH(H474,Pension_Model!$B$2:$B$29,0)),0),IFERROR(INDEX(Pension_Model!$D$2:$D$29,MATCH(H475,Pension_Model!$B$2:$B$29,0)),0),IFERROR(INDEX(Pension_Model!$D$2:$D$29,MATCH(H476,Pension_Model!$B$2:$B$29,0)),0),IFERROR(INDEX(Pension_Model!$D$2:$D$29,MATCH(H477,Pension_Model!$B$2:$B$29,0)),0)),0))))))</f>
        <v>0.05</v>
      </c>
      <c r="Q473" s="28">
        <f>Population_Data!$B$15*P473</f>
        <v>660600</v>
      </c>
      <c r="S473">
        <f t="shared" si="7"/>
        <v>1890595.310604691</v>
      </c>
      <c r="U473" s="33">
        <f>S473/Population_Data!$B$19</f>
        <v>3.4249915047186434E-2</v>
      </c>
    </row>
    <row r="474" spans="1:21">
      <c r="A474" s="25">
        <f>Calendar!A474</f>
        <v>46707</v>
      </c>
      <c r="B474" t="str">
        <f>Calendar!L474</f>
        <v>Yes</v>
      </c>
      <c r="C474" t="str">
        <f>Calendar!O474</f>
        <v>No</v>
      </c>
      <c r="D474" t="str">
        <f>Calendar!P474</f>
        <v>No</v>
      </c>
      <c r="E474" t="str">
        <f>Calendar!Q474</f>
        <v>No</v>
      </c>
      <c r="F474" t="str">
        <f>Calendar!I474</f>
        <v>Tuesday</v>
      </c>
      <c r="G474">
        <f>Calendar!S474</f>
        <v>3</v>
      </c>
      <c r="H474">
        <f>Calendar!T474</f>
        <v>3</v>
      </c>
      <c r="I474" s="27">
        <f>IF(VLOOKUP(A474,Calendar!$A$1:$R$1377,18,0)=0,0,IF(VLOOKUP(A474,Calendar!$A$1:$R$1377,18,0)=1,INDEX(Monthly_Pay_Model!$A$9:$D$40,MATCH(TEXT(A474,"dd"),Monthly_Pay_Model!$C$9:$C$39,0),4),IF(VLOOKUP(A474,Calendar!$A$1:$R$1377,18,0)=2,SUM(INDEX(Monthly_Pay_Model!$A$9:$D$40,MATCH(TEXT(A474,"dd"),Monthly_Pay_Model!$C$9:$C$39,0),4),INDEX(Monthly_Pay_Model!$A$9:$D$40,MATCH(TEXT(A475,"dd"),Monthly_Pay_Model!$C$9:$C$39,0),4)),IF(VLOOKUP(A474,Calendar!$A$1:$R$1377,18,0)=3,SUM(INDEX(Monthly_Pay_Model!$A$9:$D$40,MATCH(TEXT(A474,"dd"),Monthly_Pay_Model!$C$9:$C$39,0),4),INDEX(Monthly_Pay_Model!$A$9:$D$40,MATCH(TEXT(A475,"dd"),Monthly_Pay_Model!$C$9:$C$39,0),4),INDEX(Monthly_Pay_Model!$A$9:$D$40,MATCH(TEXT(A476,"dd"),Monthly_Pay_Model!$C$9:$C$39,0),4)),IF(VLOOKUP(A474,Calendar!$A$1:$R$1377,18,0)=4,SUM(INDEX(Monthly_Pay_Model!$A$9:$D$40,MATCH(TEXT(A474,"dd"),Monthly_Pay_Model!$C$9:$C$39,0),4),INDEX(Monthly_Pay_Model!$A$9:$D$40,MATCH(TEXT(A475,"dd"),Monthly_Pay_Model!$C$9:$C$39,0),4),INDEX(Monthly_Pay_Model!$A$9:$D$40,MATCH(TEXT(A476,"dd"),Monthly_Pay_Model!$C$9:$C$39,0),4),INDEX(Monthly_Pay_Model!$A$9:$D$40,MATCH(TEXT(A477,"dd"),Monthly_Pay_Model!$C$9:$C$39,0),4)),IF(VLOOKUP(A474,Calendar!$A$1:$R$1377,18,0)=5,SUM(INDEX(Monthly_Pay_Model!$A$9:$D$40,MATCH(TEXT(A474,"dd"),Monthly_Pay_Model!$C$9:$C$39,0),4),INDEX(Monthly_Pay_Model!$A$9:$D$40,MATCH(TEXT(A475,"dd"),Monthly_Pay_Model!$C$9:$C$39,0),4),INDEX(Monthly_Pay_Model!$A$9:$D$40,MATCH(TEXT(A476,"dd"),Monthly_Pay_Model!$C$9:$C$39,0),4),INDEX(Monthly_Pay_Model!$A$9:$D$40,MATCH(TEXT(A477,"dd"),Monthly_Pay_Model!$C$9:$C$39,0),4),INDEX(Monthly_Pay_Model!$A$9:$D$40,MATCH(TEXT(A478,"dd"),Monthly_Pay_Model!$C$9:$C$39,0),4)),))))))</f>
        <v>1.6251308900523558E-3</v>
      </c>
      <c r="J474" s="33">
        <f>IF(C474="Yes",Monthly_Pay_Model!$D$2,0)
+IF(Calendar!N474="Yes",Monthly_Pay_Model!$D$3,0)
+IF(D474="Yes",Monthly_Pay_Model!$D$4,0)
+IF(E474="Yes",Monthly_Pay_Model!$D$5,0)</f>
        <v>0</v>
      </c>
      <c r="K474" s="27">
        <f>IF(VLOOKUP($A474,Calendar!$A$1:$R$1377,18,0)=0,0,IF(VLOOKUP($A474,Calendar!$A$1:$R$1377,18,0)=1,IFERROR(INDEX(Weekly_Model!$D$2:$D$9,MATCH(F474,Weekly_Model!$A$2:$A$9,0)),0),IF(VLOOKUP($A474,Calendar!$A$1:$R$1377,18,0)=2,SUM(IFERROR(INDEX(Weekly_Model!$D$2:$D$9,MATCH(F474,Weekly_Model!$A$2:$A$9,0)),0),IFERROR(INDEX(Weekly_Model!$D$2:$D$9,MATCH(F475,Weekly_Model!$A$2:$A$9,0)),0)),IF(VLOOKUP($A474,Calendar!$A$1:$R$1377,18,0)=3,SUM(IFERROR(INDEX(Weekly_Model!$D$2:$D$9,MATCH(F474,Weekly_Model!$A$2:$A$9,0)),0),IFERROR(INDEX(Weekly_Model!$D$2:$D$9,MATCH(F475,Weekly_Model!$A$2:$A$9,0)),0),IFERROR(INDEX(Weekly_Model!$D$2:$D$9,MATCH(F476,Weekly_Model!$A$2:$A$9,0)),0)),IF(VLOOKUP($A474,Calendar!$A$1:$R$1377,18,0)=4,SUM(IFERROR(INDEX(Weekly_Model!$D$2:$D$9,MATCH(F474,Weekly_Model!$A$2:$A$9,0)),0),IFERROR(INDEX(Weekly_Model!$D$2:$D$9,MATCH(F475,Weekly_Model!$A$2:$A$9,0)),0),IFERROR(INDEX(Weekly_Model!$D$2:$D$9,MATCH(F476,Weekly_Model!$A$2:$A$9,0)),0),IFERROR(INDEX(Weekly_Model!$D$2:$D$9,MATCH(F477,Weekly_Model!$A$2:$A$9,0)),0)),IF(VLOOKUP($A474,Calendar!$A$1:$R$1377,18,0)=5,SUM(IFERROR(INDEX(Weekly_Model!$D$2:$D$9,MATCH(F474,Weekly_Model!$A$2:$A$9,0)),0),IFERROR(INDEX(Weekly_Model!$D$2:$D$9,MATCH(F475,Weekly_Model!$A$2:$A$9,0)),0),IFERROR(INDEX(Weekly_Model!$D$2:$D$9,MATCH(F476,Weekly_Model!$A$2:$A$9,0)),0),IFERROR(INDEX(Weekly_Model!$D$2:$D$9,MATCH(F477,Weekly_Model!$A$2:$A$9,0)),0),IFERROR(INDEX(Weekly_Model!$D$2:$D$9,MATCH(F478,Weekly_Model!$A$2:$A$9,0)),0)),0))))))</f>
        <v>2.3200000000000002E-2</v>
      </c>
      <c r="L474" s="27">
        <f>IF(VLOOKUP($A474,Calendar!$A$1:$R$1377,18,0)=0,0,IF(VLOOKUP($A474,Calendar!$A$1:$R$1377,18,0)=1,IFERROR(INDEX(Fortnightly_Model!$D$2:$D$15,MATCH(G474,Fortnightly_Model!$B$2:$B$15,0)),0),IF(VLOOKUP($A474,Calendar!$A$1:$R$1377,18,0)=2,SUM(IFERROR(INDEX(Fortnightly_Model!$D$2:$D$15,MATCH(G474,Fortnightly_Model!$B$2:$B$15,0)),0),IFERROR(INDEX(Fortnightly_Model!$D$2:$D$15,MATCH(G475,Fortnightly_Model!$B$2:$B$15,0)),0)),IF(VLOOKUP($A474,Calendar!$A$1:$R$1377,18,0)=3,SUM(IFERROR(INDEX(Fortnightly_Model!$D$2:$D$15,MATCH(G474,Fortnightly_Model!$B$2:$B$15,0)),0),IFERROR(INDEX(Fortnightly_Model!$D$2:$D$15,MATCH(G475,Fortnightly_Model!$B$2:$B$15,0)),0),IFERROR(INDEX(Fortnightly_Model!$D$2:$D$15,MATCH(G476,Fortnightly_Model!$B$2:$B$15,0)),0)),IF(VLOOKUP($A474,Calendar!$A$1:$R$1377,18,0)=4,SUM(IFERROR(INDEX(Fortnightly_Model!$D$2:$D$15,MATCH(G474,Fortnightly_Model!$B$2:$B$15,0)),0),IFERROR(INDEX(Fortnightly_Model!$D$2:$D$15,MATCH(G475,Fortnightly_Model!$B$2:$B$15,0)),0),IFERROR(INDEX(Fortnightly_Model!$D$2:$D$15,MATCH(G476,Fortnightly_Model!$B$2:$B$15,0)),0),IFERROR(INDEX(Fortnightly_Model!$D$2:$D$15,MATCH(G477,Fortnightly_Model!$B$2:$B$15,0)),0)),IF(VLOOKUP($A474,Calendar!$A$1:$R$1377,18,0)=5,SUM(IFERROR(INDEX(Fortnightly_Model!$D$2:$D$15,MATCH(G474,Fortnightly_Model!$B$2:$B$15,0)),0),IFERROR(INDEX(Fortnightly_Model!$D$2:$D$15,MATCH(G475,Fortnightly_Model!$B$2:$B$15,0)),0),IFERROR(INDEX(Fortnightly_Model!$D$2:$D$15,MATCH(G476,Fortnightly_Model!$B$2:$B$15,0)),0),IFERROR(INDEX(Fortnightly_Model!$D$2:$D$15,MATCH(G477,Fortnightly_Model!$B$2:$B$15,0)),0),IFERROR(INDEX(Fortnightly_Model!$D$2:$D$15,MATCH(G478,Fortnightly_Model!$B$2:$B$15,0)),0)),0))))))</f>
        <v>1.0714285499999999E-3</v>
      </c>
      <c r="M474" s="27">
        <f>IF(VLOOKUP($A474,Calendar!$A$1:$R$1377,18,0)=0,0,IF(VLOOKUP($A474,Calendar!$A$1:$R$1377,18,0)=1,IFERROR(INDEX(FourWeekly_Model!$D$2:$D$29,MATCH(H474,FourWeekly_Model!$B$2:$B$29,0)),0),IF(VLOOKUP($A474,Calendar!$A$1:$R$1377,18,0)=2,SUM(IFERROR(INDEX(FourWeekly_Model!$D$2:$D$29,MATCH(H474,FourWeekly_Model!$B$2:$B$29,0)),0),IFERROR(INDEX(FourWeekly_Model!$D$2:$D$29,MATCH(H475,FourWeekly_Model!$B$2:$B$29,0)),0)),IF(VLOOKUP($A474,Calendar!$A$1:$R$1377,18,0)=3,SUM(IFERROR(INDEX(FourWeekly_Model!$D$2:$D$29,MATCH(H474,FourWeekly_Model!$B$2:$B$29,0)),0),IFERROR(INDEX(FourWeekly_Model!$D$2:$D$29,MATCH(H475,FourWeekly_Model!$B$2:$B$29,0)),0),IFERROR(INDEX(FourWeekly_Model!$D$2:$D$29,MATCH(H476,FourWeekly_Model!$B$2:$B$29,0)),0)),IF(VLOOKUP($A474,Calendar!$A$1:$R$1377,18,0)=4,SUM(IFERROR(INDEX(FourWeekly_Model!$D$2:$D$29,MATCH(H474,FourWeekly_Model!$B$2:$B$29,0)),0),IFERROR(INDEX(FourWeekly_Model!$D$2:$D$29,MATCH(H475,FourWeekly_Model!$B$2:$B$29,0)),0),IFERROR(INDEX(FourWeekly_Model!$D$2:$D$29,MATCH(H476,FourWeekly_Model!$B$2:$B$29,0)),0),IFERROR(INDEX(FourWeekly_Model!$D$2:$D$29,MATCH(H477,FourWeekly_Model!$B$2:$B$29,0)),0)),IF(VLOOKUP($A474,Calendar!$A$1:$R$1377,18,0)=5,SUM(IFERROR(INDEX(FourWeekly_Model!$D$2:$D$29,MATCH(H474,FourWeekly_Model!$B$2:$B$29,0)),0),IFERROR(INDEX(FourWeekly_Model!$D$2:$D$29,MATCH(H475,FourWeekly_Model!$B$2:$B$29,0)),0),IFERROR(INDEX(FourWeekly_Model!$D$2:$D$29,MATCH(H476,FourWeekly_Model!$B$2:$B$29,0)),0),IFERROR(INDEX(FourWeekly_Model!$D$2:$D$29,MATCH(H477,FourWeekly_Model!$B$2:$B$29,0)),0),IFERROR(INDEX(FourWeekly_Model!$D$2:$D$29,MATCH(H478,FourWeekly_Model!$B$2:$B$29,0)),0)),0))))))</f>
        <v>3.3214289700000004E-3</v>
      </c>
      <c r="N474" s="27">
        <f>SUM(I474:M474)</f>
        <v>2.921798841005236E-2</v>
      </c>
      <c r="O474" s="28">
        <f>Population_Data!$B$8*N474</f>
        <v>885305.04882458656</v>
      </c>
      <c r="P474" s="27">
        <f>IF(VLOOKUP($A474,Calendar!$A$1:$R$1377,18,0)=0,0,IF(VLOOKUP($A474,Calendar!$A$1:$R$1377,18,0)=1,IFERROR(INDEX(Pension_Model!$D$2:$D$29,MATCH(H474,Pension_Model!$B$2:$B$29,0)),0),IF(VLOOKUP($A474,Calendar!$A$1:$R$1377,18,0)=2,SUM(IFERROR(INDEX(Pension_Model!$D$2:$D$29,MATCH(H474,Pension_Model!$B$2:$B$29,0)),0),IFERROR(INDEX(Pension_Model!$D$2:$D$29,MATCH(H475,Pension_Model!$B$2:$B$29,0)),0)),IF(VLOOKUP($A474,Calendar!$A$1:$R$1377,18,0)=3,SUM(IFERROR(INDEX(Pension_Model!$D$2:$D$29,MATCH(H474,Pension_Model!$B$2:$B$29,0)),0),IFERROR(INDEX(Pension_Model!$D$2:$D$29,MATCH(H475,Pension_Model!$B$2:$B$29,0)),0),IFERROR(INDEX(Pension_Model!$D$2:$D$29,MATCH(H476,Pension_Model!$B$2:$B$29,0)),0)),IF(VLOOKUP($A474,Calendar!$A$1:$R$1377,18,0)=4,SUM(IFERROR(INDEX(Pension_Model!$D$2:$D$29,MATCH(H474,Pension_Model!$B$2:$B$29,0)),0),IFERROR(INDEX(Pension_Model!$D$2:$D$29,MATCH(H475,Pension_Model!$B$2:$B$29,0)),0),IFERROR(INDEX(Pension_Model!$D$2:$D$29,MATCH(H476,Pension_Model!$B$2:$B$29,0)),0),IFERROR(INDEX(Pension_Model!$D$2:$D$29,MATCH(H477,Pension_Model!$B$2:$B$29,0)),0)),IF(VLOOKUP($A474,Calendar!$A$1:$R$1377,18,0)=5,SUM(IFERROR(INDEX(Pension_Model!$D$2:$D$29,MATCH(H474,Pension_Model!$B$2:$B$29,0)),0),IFERROR(INDEX(Pension_Model!$D$2:$D$29,MATCH(H475,Pension_Model!$B$2:$B$29,0)),0),IFERROR(INDEX(Pension_Model!$D$2:$D$29,MATCH(H476,Pension_Model!$B$2:$B$29,0)),0),IFERROR(INDEX(Pension_Model!$D$2:$D$29,MATCH(H477,Pension_Model!$B$2:$B$29,0)),0),IFERROR(INDEX(Pension_Model!$D$2:$D$29,MATCH(H478,Pension_Model!$B$2:$B$29,0)),0)),0))))))</f>
        <v>0.05</v>
      </c>
      <c r="Q474" s="28">
        <f>Population_Data!$B$15*P474</f>
        <v>660600</v>
      </c>
      <c r="S474">
        <f t="shared" si="7"/>
        <v>1545905.0488245864</v>
      </c>
      <c r="U474" s="33">
        <f>S474/Population_Data!$B$19</f>
        <v>2.8005526246822218E-2</v>
      </c>
    </row>
    <row r="475" spans="1:21">
      <c r="A475" s="25">
        <f>Calendar!A475</f>
        <v>46708</v>
      </c>
      <c r="B475" t="str">
        <f>Calendar!L475</f>
        <v>Yes</v>
      </c>
      <c r="C475" t="str">
        <f>Calendar!O475</f>
        <v>No</v>
      </c>
      <c r="D475" t="str">
        <f>Calendar!P475</f>
        <v>No</v>
      </c>
      <c r="E475" t="str">
        <f>Calendar!Q475</f>
        <v>No</v>
      </c>
      <c r="F475" t="str">
        <f>Calendar!I475</f>
        <v>Wednesday</v>
      </c>
      <c r="G475">
        <f>Calendar!S475</f>
        <v>4</v>
      </c>
      <c r="H475">
        <f>Calendar!T475</f>
        <v>4</v>
      </c>
      <c r="I475" s="27">
        <f>IF(VLOOKUP(A475,Calendar!$A$1:$R$1377,18,0)=0,0,IF(VLOOKUP(A475,Calendar!$A$1:$R$1377,18,0)=1,INDEX(Monthly_Pay_Model!$A$9:$D$40,MATCH(TEXT(A475,"dd"),Monthly_Pay_Model!$C$9:$C$39,0),4),IF(VLOOKUP(A475,Calendar!$A$1:$R$1377,18,0)=2,SUM(INDEX(Monthly_Pay_Model!$A$9:$D$40,MATCH(TEXT(A475,"dd"),Monthly_Pay_Model!$C$9:$C$39,0),4),INDEX(Monthly_Pay_Model!$A$9:$D$40,MATCH(TEXT(A476,"dd"),Monthly_Pay_Model!$C$9:$C$39,0),4)),IF(VLOOKUP(A475,Calendar!$A$1:$R$1377,18,0)=3,SUM(INDEX(Monthly_Pay_Model!$A$9:$D$40,MATCH(TEXT(A475,"dd"),Monthly_Pay_Model!$C$9:$C$39,0),4),INDEX(Monthly_Pay_Model!$A$9:$D$40,MATCH(TEXT(A476,"dd"),Monthly_Pay_Model!$C$9:$C$39,0),4),INDEX(Monthly_Pay_Model!$A$9:$D$40,MATCH(TEXT(A477,"dd"),Monthly_Pay_Model!$C$9:$C$39,0),4)),IF(VLOOKUP(A475,Calendar!$A$1:$R$1377,18,0)=4,SUM(INDEX(Monthly_Pay_Model!$A$9:$D$40,MATCH(TEXT(A475,"dd"),Monthly_Pay_Model!$C$9:$C$39,0),4),INDEX(Monthly_Pay_Model!$A$9:$D$40,MATCH(TEXT(A476,"dd"),Monthly_Pay_Model!$C$9:$C$39,0),4),INDEX(Monthly_Pay_Model!$A$9:$D$40,MATCH(TEXT(A477,"dd"),Monthly_Pay_Model!$C$9:$C$39,0),4),INDEX(Monthly_Pay_Model!$A$9:$D$40,MATCH(TEXT(A478,"dd"),Monthly_Pay_Model!$C$9:$C$39,0),4)),IF(VLOOKUP(A475,Calendar!$A$1:$R$1377,18,0)=5,SUM(INDEX(Monthly_Pay_Model!$A$9:$D$40,MATCH(TEXT(A475,"dd"),Monthly_Pay_Model!$C$9:$C$39,0),4),INDEX(Monthly_Pay_Model!$A$9:$D$40,MATCH(TEXT(A476,"dd"),Monthly_Pay_Model!$C$9:$C$39,0),4),INDEX(Monthly_Pay_Model!$A$9:$D$40,MATCH(TEXT(A477,"dd"),Monthly_Pay_Model!$C$9:$C$39,0),4),INDEX(Monthly_Pay_Model!$A$9:$D$40,MATCH(TEXT(A478,"dd"),Monthly_Pay_Model!$C$9:$C$39,0),4),INDEX(Monthly_Pay_Model!$A$9:$D$40,MATCH(TEXT(A479,"dd"),Monthly_Pay_Model!$C$9:$C$39,0),4)),))))))</f>
        <v>8.1256544502617792E-4</v>
      </c>
      <c r="J475" s="33">
        <f>IF(C475="Yes",Monthly_Pay_Model!$D$2,0)
+IF(Calendar!N475="Yes",Monthly_Pay_Model!$D$3,0)
+IF(D475="Yes",Monthly_Pay_Model!$D$4,0)
+IF(E475="Yes",Monthly_Pay_Model!$D$5,0)</f>
        <v>0</v>
      </c>
      <c r="K475" s="27">
        <f>IF(VLOOKUP($A475,Calendar!$A$1:$R$1377,18,0)=0,0,IF(VLOOKUP($A475,Calendar!$A$1:$R$1377,18,0)=1,IFERROR(INDEX(Weekly_Model!$D$2:$D$9,MATCH(F475,Weekly_Model!$A$2:$A$9,0)),0),IF(VLOOKUP($A475,Calendar!$A$1:$R$1377,18,0)=2,SUM(IFERROR(INDEX(Weekly_Model!$D$2:$D$9,MATCH(F475,Weekly_Model!$A$2:$A$9,0)),0),IFERROR(INDEX(Weekly_Model!$D$2:$D$9,MATCH(F476,Weekly_Model!$A$2:$A$9,0)),0)),IF(VLOOKUP($A475,Calendar!$A$1:$R$1377,18,0)=3,SUM(IFERROR(INDEX(Weekly_Model!$D$2:$D$9,MATCH(F475,Weekly_Model!$A$2:$A$9,0)),0),IFERROR(INDEX(Weekly_Model!$D$2:$D$9,MATCH(F476,Weekly_Model!$A$2:$A$9,0)),0),IFERROR(INDEX(Weekly_Model!$D$2:$D$9,MATCH(F477,Weekly_Model!$A$2:$A$9,0)),0)),IF(VLOOKUP($A475,Calendar!$A$1:$R$1377,18,0)=4,SUM(IFERROR(INDEX(Weekly_Model!$D$2:$D$9,MATCH(F475,Weekly_Model!$A$2:$A$9,0)),0),IFERROR(INDEX(Weekly_Model!$D$2:$D$9,MATCH(F476,Weekly_Model!$A$2:$A$9,0)),0),IFERROR(INDEX(Weekly_Model!$D$2:$D$9,MATCH(F477,Weekly_Model!$A$2:$A$9,0)),0),IFERROR(INDEX(Weekly_Model!$D$2:$D$9,MATCH(F478,Weekly_Model!$A$2:$A$9,0)),0)),IF(VLOOKUP($A475,Calendar!$A$1:$R$1377,18,0)=5,SUM(IFERROR(INDEX(Weekly_Model!$D$2:$D$9,MATCH(F475,Weekly_Model!$A$2:$A$9,0)),0),IFERROR(INDEX(Weekly_Model!$D$2:$D$9,MATCH(F476,Weekly_Model!$A$2:$A$9,0)),0),IFERROR(INDEX(Weekly_Model!$D$2:$D$9,MATCH(F477,Weekly_Model!$A$2:$A$9,0)),0),IFERROR(INDEX(Weekly_Model!$D$2:$D$9,MATCH(F478,Weekly_Model!$A$2:$A$9,0)),0),IFERROR(INDEX(Weekly_Model!$D$2:$D$9,MATCH(F479,Weekly_Model!$A$2:$A$9,0)),0)),0))))))</f>
        <v>2.3200000000000002E-2</v>
      </c>
      <c r="L475" s="27">
        <f>IF(VLOOKUP($A475,Calendar!$A$1:$R$1377,18,0)=0,0,IF(VLOOKUP($A475,Calendar!$A$1:$R$1377,18,0)=1,IFERROR(INDEX(Fortnightly_Model!$D$2:$D$15,MATCH(G475,Fortnightly_Model!$B$2:$B$15,0)),0),IF(VLOOKUP($A475,Calendar!$A$1:$R$1377,18,0)=2,SUM(IFERROR(INDEX(Fortnightly_Model!$D$2:$D$15,MATCH(G475,Fortnightly_Model!$B$2:$B$15,0)),0),IFERROR(INDEX(Fortnightly_Model!$D$2:$D$15,MATCH(G476,Fortnightly_Model!$B$2:$B$15,0)),0)),IF(VLOOKUP($A475,Calendar!$A$1:$R$1377,18,0)=3,SUM(IFERROR(INDEX(Fortnightly_Model!$D$2:$D$15,MATCH(G475,Fortnightly_Model!$B$2:$B$15,0)),0),IFERROR(INDEX(Fortnightly_Model!$D$2:$D$15,MATCH(G476,Fortnightly_Model!$B$2:$B$15,0)),0),IFERROR(INDEX(Fortnightly_Model!$D$2:$D$15,MATCH(G477,Fortnightly_Model!$B$2:$B$15,0)),0)),IF(VLOOKUP($A475,Calendar!$A$1:$R$1377,18,0)=4,SUM(IFERROR(INDEX(Fortnightly_Model!$D$2:$D$15,MATCH(G475,Fortnightly_Model!$B$2:$B$15,0)),0),IFERROR(INDEX(Fortnightly_Model!$D$2:$D$15,MATCH(G476,Fortnightly_Model!$B$2:$B$15,0)),0),IFERROR(INDEX(Fortnightly_Model!$D$2:$D$15,MATCH(G477,Fortnightly_Model!$B$2:$B$15,0)),0),IFERROR(INDEX(Fortnightly_Model!$D$2:$D$15,MATCH(G478,Fortnightly_Model!$B$2:$B$15,0)),0)),IF(VLOOKUP($A475,Calendar!$A$1:$R$1377,18,0)=5,SUM(IFERROR(INDEX(Fortnightly_Model!$D$2:$D$15,MATCH(G475,Fortnightly_Model!$B$2:$B$15,0)),0),IFERROR(INDEX(Fortnightly_Model!$D$2:$D$15,MATCH(G476,Fortnightly_Model!$B$2:$B$15,0)),0),IFERROR(INDEX(Fortnightly_Model!$D$2:$D$15,MATCH(G477,Fortnightly_Model!$B$2:$B$15,0)),0),IFERROR(INDEX(Fortnightly_Model!$D$2:$D$15,MATCH(G478,Fortnightly_Model!$B$2:$B$15,0)),0),IFERROR(INDEX(Fortnightly_Model!$D$2:$D$15,MATCH(G479,Fortnightly_Model!$B$2:$B$15,0)),0)),0))))))</f>
        <v>1.0714285499999999E-3</v>
      </c>
      <c r="M475" s="27">
        <f>IF(VLOOKUP($A475,Calendar!$A$1:$R$1377,18,0)=0,0,IF(VLOOKUP($A475,Calendar!$A$1:$R$1377,18,0)=1,IFERROR(INDEX(FourWeekly_Model!$D$2:$D$29,MATCH(H475,FourWeekly_Model!$B$2:$B$29,0)),0),IF(VLOOKUP($A475,Calendar!$A$1:$R$1377,18,0)=2,SUM(IFERROR(INDEX(FourWeekly_Model!$D$2:$D$29,MATCH(H475,FourWeekly_Model!$B$2:$B$29,0)),0),IFERROR(INDEX(FourWeekly_Model!$D$2:$D$29,MATCH(H476,FourWeekly_Model!$B$2:$B$29,0)),0)),IF(VLOOKUP($A475,Calendar!$A$1:$R$1377,18,0)=3,SUM(IFERROR(INDEX(FourWeekly_Model!$D$2:$D$29,MATCH(H475,FourWeekly_Model!$B$2:$B$29,0)),0),IFERROR(INDEX(FourWeekly_Model!$D$2:$D$29,MATCH(H476,FourWeekly_Model!$B$2:$B$29,0)),0),IFERROR(INDEX(FourWeekly_Model!$D$2:$D$29,MATCH(H477,FourWeekly_Model!$B$2:$B$29,0)),0)),IF(VLOOKUP($A475,Calendar!$A$1:$R$1377,18,0)=4,SUM(IFERROR(INDEX(FourWeekly_Model!$D$2:$D$29,MATCH(H475,FourWeekly_Model!$B$2:$B$29,0)),0),IFERROR(INDEX(FourWeekly_Model!$D$2:$D$29,MATCH(H476,FourWeekly_Model!$B$2:$B$29,0)),0),IFERROR(INDEX(FourWeekly_Model!$D$2:$D$29,MATCH(H477,FourWeekly_Model!$B$2:$B$29,0)),0),IFERROR(INDEX(FourWeekly_Model!$D$2:$D$29,MATCH(H478,FourWeekly_Model!$B$2:$B$29,0)),0)),IF(VLOOKUP($A475,Calendar!$A$1:$R$1377,18,0)=5,SUM(IFERROR(INDEX(FourWeekly_Model!$D$2:$D$29,MATCH(H475,FourWeekly_Model!$B$2:$B$29,0)),0),IFERROR(INDEX(FourWeekly_Model!$D$2:$D$29,MATCH(H476,FourWeekly_Model!$B$2:$B$29,0)),0),IFERROR(INDEX(FourWeekly_Model!$D$2:$D$29,MATCH(H477,FourWeekly_Model!$B$2:$B$29,0)),0),IFERROR(INDEX(FourWeekly_Model!$D$2:$D$29,MATCH(H478,FourWeekly_Model!$B$2:$B$29,0)),0),IFERROR(INDEX(FourWeekly_Model!$D$2:$D$29,MATCH(H479,FourWeekly_Model!$B$2:$B$29,0)),0)),0))))))</f>
        <v>3.3214289700000004E-3</v>
      </c>
      <c r="N475" s="27">
        <f>SUM(I475:M475)</f>
        <v>2.840542296502618E-2</v>
      </c>
      <c r="O475" s="28">
        <f>Population_Data!$B$8*N475</f>
        <v>860684.3158402933</v>
      </c>
      <c r="P475" s="27">
        <f>IF(VLOOKUP($A475,Calendar!$A$1:$R$1377,18,0)=0,0,IF(VLOOKUP($A475,Calendar!$A$1:$R$1377,18,0)=1,IFERROR(INDEX(Pension_Model!$D$2:$D$29,MATCH(H475,Pension_Model!$B$2:$B$29,0)),0),IF(VLOOKUP($A475,Calendar!$A$1:$R$1377,18,0)=2,SUM(IFERROR(INDEX(Pension_Model!$D$2:$D$29,MATCH(H475,Pension_Model!$B$2:$B$29,0)),0),IFERROR(INDEX(Pension_Model!$D$2:$D$29,MATCH(H476,Pension_Model!$B$2:$B$29,0)),0)),IF(VLOOKUP($A475,Calendar!$A$1:$R$1377,18,0)=3,SUM(IFERROR(INDEX(Pension_Model!$D$2:$D$29,MATCH(H475,Pension_Model!$B$2:$B$29,0)),0),IFERROR(INDEX(Pension_Model!$D$2:$D$29,MATCH(H476,Pension_Model!$B$2:$B$29,0)),0),IFERROR(INDEX(Pension_Model!$D$2:$D$29,MATCH(H477,Pension_Model!$B$2:$B$29,0)),0)),IF(VLOOKUP($A475,Calendar!$A$1:$R$1377,18,0)=4,SUM(IFERROR(INDEX(Pension_Model!$D$2:$D$29,MATCH(H475,Pension_Model!$B$2:$B$29,0)),0),IFERROR(INDEX(Pension_Model!$D$2:$D$29,MATCH(H476,Pension_Model!$B$2:$B$29,0)),0),IFERROR(INDEX(Pension_Model!$D$2:$D$29,MATCH(H477,Pension_Model!$B$2:$B$29,0)),0),IFERROR(INDEX(Pension_Model!$D$2:$D$29,MATCH(H478,Pension_Model!$B$2:$B$29,0)),0)),IF(VLOOKUP($A475,Calendar!$A$1:$R$1377,18,0)=5,SUM(IFERROR(INDEX(Pension_Model!$D$2:$D$29,MATCH(H475,Pension_Model!$B$2:$B$29,0)),0),IFERROR(INDEX(Pension_Model!$D$2:$D$29,MATCH(H476,Pension_Model!$B$2:$B$29,0)),0),IFERROR(INDEX(Pension_Model!$D$2:$D$29,MATCH(H477,Pension_Model!$B$2:$B$29,0)),0),IFERROR(INDEX(Pension_Model!$D$2:$D$29,MATCH(H478,Pension_Model!$B$2:$B$29,0)),0),IFERROR(INDEX(Pension_Model!$D$2:$D$29,MATCH(H479,Pension_Model!$B$2:$B$29,0)),0)),0))))))</f>
        <v>0.05</v>
      </c>
      <c r="Q475" s="28">
        <f>Population_Data!$B$15*P475</f>
        <v>660600</v>
      </c>
      <c r="S475">
        <f t="shared" si="7"/>
        <v>1521284.3158402932</v>
      </c>
      <c r="U475" s="33">
        <f>S475/Population_Data!$B$19</f>
        <v>2.7559498475367629E-2</v>
      </c>
    </row>
    <row r="476" spans="1:21">
      <c r="A476" s="25">
        <f>Calendar!A476</f>
        <v>46709</v>
      </c>
      <c r="B476" t="str">
        <f>Calendar!L476</f>
        <v>Yes</v>
      </c>
      <c r="C476" t="str">
        <f>Calendar!O476</f>
        <v>No</v>
      </c>
      <c r="D476" t="str">
        <f>Calendar!P476</f>
        <v>No</v>
      </c>
      <c r="E476" t="str">
        <f>Calendar!Q476</f>
        <v>No</v>
      </c>
      <c r="F476" t="str">
        <f>Calendar!I476</f>
        <v>Thursday</v>
      </c>
      <c r="G476">
        <f>Calendar!S476</f>
        <v>5</v>
      </c>
      <c r="H476">
        <f>Calendar!T476</f>
        <v>5</v>
      </c>
      <c r="I476" s="27">
        <f>IF(VLOOKUP(A476,Calendar!$A$1:$R$1377,18,0)=0,0,IF(VLOOKUP(A476,Calendar!$A$1:$R$1377,18,0)=1,INDEX(Monthly_Pay_Model!$A$9:$D$40,MATCH(TEXT(A476,"dd"),Monthly_Pay_Model!$C$9:$C$39,0),4),IF(VLOOKUP(A476,Calendar!$A$1:$R$1377,18,0)=2,SUM(INDEX(Monthly_Pay_Model!$A$9:$D$40,MATCH(TEXT(A476,"dd"),Monthly_Pay_Model!$C$9:$C$39,0),4),INDEX(Monthly_Pay_Model!$A$9:$D$40,MATCH(TEXT(A477,"dd"),Monthly_Pay_Model!$C$9:$C$39,0),4)),IF(VLOOKUP(A476,Calendar!$A$1:$R$1377,18,0)=3,SUM(INDEX(Monthly_Pay_Model!$A$9:$D$40,MATCH(TEXT(A476,"dd"),Monthly_Pay_Model!$C$9:$C$39,0),4),INDEX(Monthly_Pay_Model!$A$9:$D$40,MATCH(TEXT(A477,"dd"),Monthly_Pay_Model!$C$9:$C$39,0),4),INDEX(Monthly_Pay_Model!$A$9:$D$40,MATCH(TEXT(A478,"dd"),Monthly_Pay_Model!$C$9:$C$39,0),4)),IF(VLOOKUP(A476,Calendar!$A$1:$R$1377,18,0)=4,SUM(INDEX(Monthly_Pay_Model!$A$9:$D$40,MATCH(TEXT(A476,"dd"),Monthly_Pay_Model!$C$9:$C$39,0),4),INDEX(Monthly_Pay_Model!$A$9:$D$40,MATCH(TEXT(A477,"dd"),Monthly_Pay_Model!$C$9:$C$39,0),4),INDEX(Monthly_Pay_Model!$A$9:$D$40,MATCH(TEXT(A478,"dd"),Monthly_Pay_Model!$C$9:$C$39,0),4),INDEX(Monthly_Pay_Model!$A$9:$D$40,MATCH(TEXT(A479,"dd"),Monthly_Pay_Model!$C$9:$C$39,0),4)),IF(VLOOKUP(A476,Calendar!$A$1:$R$1377,18,0)=5,SUM(INDEX(Monthly_Pay_Model!$A$9:$D$40,MATCH(TEXT(A476,"dd"),Monthly_Pay_Model!$C$9:$C$39,0),4),INDEX(Monthly_Pay_Model!$A$9:$D$40,MATCH(TEXT(A477,"dd"),Monthly_Pay_Model!$C$9:$C$39,0),4),INDEX(Monthly_Pay_Model!$A$9:$D$40,MATCH(TEXT(A478,"dd"),Monthly_Pay_Model!$C$9:$C$39,0),4),INDEX(Monthly_Pay_Model!$A$9:$D$40,MATCH(TEXT(A479,"dd"),Monthly_Pay_Model!$C$9:$C$39,0),4),INDEX(Monthly_Pay_Model!$A$9:$D$40,MATCH(TEXT(A480,"dd"),Monthly_Pay_Model!$C$9:$C$39,0),4)),))))))</f>
        <v>2.4376963350785331E-3</v>
      </c>
      <c r="J476" s="33">
        <f>IF(C476="Yes",Monthly_Pay_Model!$D$2,0)
+IF(Calendar!N476="Yes",Monthly_Pay_Model!$D$3,0)
+IF(D476="Yes",Monthly_Pay_Model!$D$4,0)
+IF(E476="Yes",Monthly_Pay_Model!$D$5,0)</f>
        <v>0</v>
      </c>
      <c r="K476" s="27">
        <f>IF(VLOOKUP($A476,Calendar!$A$1:$R$1377,18,0)=0,0,IF(VLOOKUP($A476,Calendar!$A$1:$R$1377,18,0)=1,IFERROR(INDEX(Weekly_Model!$D$2:$D$9,MATCH(F476,Weekly_Model!$A$2:$A$9,0)),0),IF(VLOOKUP($A476,Calendar!$A$1:$R$1377,18,0)=2,SUM(IFERROR(INDEX(Weekly_Model!$D$2:$D$9,MATCH(F476,Weekly_Model!$A$2:$A$9,0)),0),IFERROR(INDEX(Weekly_Model!$D$2:$D$9,MATCH(F477,Weekly_Model!$A$2:$A$9,0)),0)),IF(VLOOKUP($A476,Calendar!$A$1:$R$1377,18,0)=3,SUM(IFERROR(INDEX(Weekly_Model!$D$2:$D$9,MATCH(F476,Weekly_Model!$A$2:$A$9,0)),0),IFERROR(INDEX(Weekly_Model!$D$2:$D$9,MATCH(F477,Weekly_Model!$A$2:$A$9,0)),0),IFERROR(INDEX(Weekly_Model!$D$2:$D$9,MATCH(F478,Weekly_Model!$A$2:$A$9,0)),0)),IF(VLOOKUP($A476,Calendar!$A$1:$R$1377,18,0)=4,SUM(IFERROR(INDEX(Weekly_Model!$D$2:$D$9,MATCH(F476,Weekly_Model!$A$2:$A$9,0)),0),IFERROR(INDEX(Weekly_Model!$D$2:$D$9,MATCH(F477,Weekly_Model!$A$2:$A$9,0)),0),IFERROR(INDEX(Weekly_Model!$D$2:$D$9,MATCH(F478,Weekly_Model!$A$2:$A$9,0)),0),IFERROR(INDEX(Weekly_Model!$D$2:$D$9,MATCH(F479,Weekly_Model!$A$2:$A$9,0)),0)),IF(VLOOKUP($A476,Calendar!$A$1:$R$1377,18,0)=5,SUM(IFERROR(INDEX(Weekly_Model!$D$2:$D$9,MATCH(F476,Weekly_Model!$A$2:$A$9,0)),0),IFERROR(INDEX(Weekly_Model!$D$2:$D$9,MATCH(F477,Weekly_Model!$A$2:$A$9,0)),0),IFERROR(INDEX(Weekly_Model!$D$2:$D$9,MATCH(F478,Weekly_Model!$A$2:$A$9,0)),0),IFERROR(INDEX(Weekly_Model!$D$2:$D$9,MATCH(F479,Weekly_Model!$A$2:$A$9,0)),0),IFERROR(INDEX(Weekly_Model!$D$2:$D$9,MATCH(F480,Weekly_Model!$A$2:$A$9,0)),0)),0))))))</f>
        <v>2.3200000000000002E-2</v>
      </c>
      <c r="L476" s="27">
        <f>IF(VLOOKUP($A476,Calendar!$A$1:$R$1377,18,0)=0,0,IF(VLOOKUP($A476,Calendar!$A$1:$R$1377,18,0)=1,IFERROR(INDEX(Fortnightly_Model!$D$2:$D$15,MATCH(G476,Fortnightly_Model!$B$2:$B$15,0)),0),IF(VLOOKUP($A476,Calendar!$A$1:$R$1377,18,0)=2,SUM(IFERROR(INDEX(Fortnightly_Model!$D$2:$D$15,MATCH(G476,Fortnightly_Model!$B$2:$B$15,0)),0),IFERROR(INDEX(Fortnightly_Model!$D$2:$D$15,MATCH(G477,Fortnightly_Model!$B$2:$B$15,0)),0)),IF(VLOOKUP($A476,Calendar!$A$1:$R$1377,18,0)=3,SUM(IFERROR(INDEX(Fortnightly_Model!$D$2:$D$15,MATCH(G476,Fortnightly_Model!$B$2:$B$15,0)),0),IFERROR(INDEX(Fortnightly_Model!$D$2:$D$15,MATCH(G477,Fortnightly_Model!$B$2:$B$15,0)),0),IFERROR(INDEX(Fortnightly_Model!$D$2:$D$15,MATCH(G478,Fortnightly_Model!$B$2:$B$15,0)),0)),IF(VLOOKUP($A476,Calendar!$A$1:$R$1377,18,0)=4,SUM(IFERROR(INDEX(Fortnightly_Model!$D$2:$D$15,MATCH(G476,Fortnightly_Model!$B$2:$B$15,0)),0),IFERROR(INDEX(Fortnightly_Model!$D$2:$D$15,MATCH(G477,Fortnightly_Model!$B$2:$B$15,0)),0),IFERROR(INDEX(Fortnightly_Model!$D$2:$D$15,MATCH(G478,Fortnightly_Model!$B$2:$B$15,0)),0),IFERROR(INDEX(Fortnightly_Model!$D$2:$D$15,MATCH(G479,Fortnightly_Model!$B$2:$B$15,0)),0)),IF(VLOOKUP($A476,Calendar!$A$1:$R$1377,18,0)=5,SUM(IFERROR(INDEX(Fortnightly_Model!$D$2:$D$15,MATCH(G476,Fortnightly_Model!$B$2:$B$15,0)),0),IFERROR(INDEX(Fortnightly_Model!$D$2:$D$15,MATCH(G477,Fortnightly_Model!$B$2:$B$15,0)),0),IFERROR(INDEX(Fortnightly_Model!$D$2:$D$15,MATCH(G478,Fortnightly_Model!$B$2:$B$15,0)),0),IFERROR(INDEX(Fortnightly_Model!$D$2:$D$15,MATCH(G479,Fortnightly_Model!$B$2:$B$15,0)),0),IFERROR(INDEX(Fortnightly_Model!$D$2:$D$15,MATCH(G480,Fortnightly_Model!$B$2:$B$15,0)),0)),0))))))</f>
        <v>1.0714285499999999E-3</v>
      </c>
      <c r="M476" s="27">
        <f>IF(VLOOKUP($A476,Calendar!$A$1:$R$1377,18,0)=0,0,IF(VLOOKUP($A476,Calendar!$A$1:$R$1377,18,0)=1,IFERROR(INDEX(FourWeekly_Model!$D$2:$D$29,MATCH(H476,FourWeekly_Model!$B$2:$B$29,0)),0),IF(VLOOKUP($A476,Calendar!$A$1:$R$1377,18,0)=2,SUM(IFERROR(INDEX(FourWeekly_Model!$D$2:$D$29,MATCH(H476,FourWeekly_Model!$B$2:$B$29,0)),0),IFERROR(INDEX(FourWeekly_Model!$D$2:$D$29,MATCH(H477,FourWeekly_Model!$B$2:$B$29,0)),0)),IF(VLOOKUP($A476,Calendar!$A$1:$R$1377,18,0)=3,SUM(IFERROR(INDEX(FourWeekly_Model!$D$2:$D$29,MATCH(H476,FourWeekly_Model!$B$2:$B$29,0)),0),IFERROR(INDEX(FourWeekly_Model!$D$2:$D$29,MATCH(H477,FourWeekly_Model!$B$2:$B$29,0)),0),IFERROR(INDEX(FourWeekly_Model!$D$2:$D$29,MATCH(H478,FourWeekly_Model!$B$2:$B$29,0)),0)),IF(VLOOKUP($A476,Calendar!$A$1:$R$1377,18,0)=4,SUM(IFERROR(INDEX(FourWeekly_Model!$D$2:$D$29,MATCH(H476,FourWeekly_Model!$B$2:$B$29,0)),0),IFERROR(INDEX(FourWeekly_Model!$D$2:$D$29,MATCH(H477,FourWeekly_Model!$B$2:$B$29,0)),0),IFERROR(INDEX(FourWeekly_Model!$D$2:$D$29,MATCH(H478,FourWeekly_Model!$B$2:$B$29,0)),0),IFERROR(INDEX(FourWeekly_Model!$D$2:$D$29,MATCH(H479,FourWeekly_Model!$B$2:$B$29,0)),0)),IF(VLOOKUP($A476,Calendar!$A$1:$R$1377,18,0)=5,SUM(IFERROR(INDEX(FourWeekly_Model!$D$2:$D$29,MATCH(H476,FourWeekly_Model!$B$2:$B$29,0)),0),IFERROR(INDEX(FourWeekly_Model!$D$2:$D$29,MATCH(H477,FourWeekly_Model!$B$2:$B$29,0)),0),IFERROR(INDEX(FourWeekly_Model!$D$2:$D$29,MATCH(H478,FourWeekly_Model!$B$2:$B$29,0)),0),IFERROR(INDEX(FourWeekly_Model!$D$2:$D$29,MATCH(H479,FourWeekly_Model!$B$2:$B$29,0)),0),IFERROR(INDEX(FourWeekly_Model!$D$2:$D$29,MATCH(H480,FourWeekly_Model!$B$2:$B$29,0)),0)),0))))))</f>
        <v>3.3214289700000004E-3</v>
      </c>
      <c r="N476" s="27">
        <f>SUM(I476:M476)</f>
        <v>3.0030553855078537E-2</v>
      </c>
      <c r="O476" s="28">
        <f>Population_Data!$B$8*N476</f>
        <v>909925.78180887969</v>
      </c>
      <c r="P476" s="27">
        <f>IF(VLOOKUP($A476,Calendar!$A$1:$R$1377,18,0)=0,0,IF(VLOOKUP($A476,Calendar!$A$1:$R$1377,18,0)=1,IFERROR(INDEX(Pension_Model!$D$2:$D$29,MATCH(H476,Pension_Model!$B$2:$B$29,0)),0),IF(VLOOKUP($A476,Calendar!$A$1:$R$1377,18,0)=2,SUM(IFERROR(INDEX(Pension_Model!$D$2:$D$29,MATCH(H476,Pension_Model!$B$2:$B$29,0)),0),IFERROR(INDEX(Pension_Model!$D$2:$D$29,MATCH(H477,Pension_Model!$B$2:$B$29,0)),0)),IF(VLOOKUP($A476,Calendar!$A$1:$R$1377,18,0)=3,SUM(IFERROR(INDEX(Pension_Model!$D$2:$D$29,MATCH(H476,Pension_Model!$B$2:$B$29,0)),0),IFERROR(INDEX(Pension_Model!$D$2:$D$29,MATCH(H477,Pension_Model!$B$2:$B$29,0)),0),IFERROR(INDEX(Pension_Model!$D$2:$D$29,MATCH(H478,Pension_Model!$B$2:$B$29,0)),0)),IF(VLOOKUP($A476,Calendar!$A$1:$R$1377,18,0)=4,SUM(IFERROR(INDEX(Pension_Model!$D$2:$D$29,MATCH(H476,Pension_Model!$B$2:$B$29,0)),0),IFERROR(INDEX(Pension_Model!$D$2:$D$29,MATCH(H477,Pension_Model!$B$2:$B$29,0)),0),IFERROR(INDEX(Pension_Model!$D$2:$D$29,MATCH(H478,Pension_Model!$B$2:$B$29,0)),0),IFERROR(INDEX(Pension_Model!$D$2:$D$29,MATCH(H479,Pension_Model!$B$2:$B$29,0)),0)),IF(VLOOKUP($A476,Calendar!$A$1:$R$1377,18,0)=5,SUM(IFERROR(INDEX(Pension_Model!$D$2:$D$29,MATCH(H476,Pension_Model!$B$2:$B$29,0)),0),IFERROR(INDEX(Pension_Model!$D$2:$D$29,MATCH(H477,Pension_Model!$B$2:$B$29,0)),0),IFERROR(INDEX(Pension_Model!$D$2:$D$29,MATCH(H478,Pension_Model!$B$2:$B$29,0)),0),IFERROR(INDEX(Pension_Model!$D$2:$D$29,MATCH(H479,Pension_Model!$B$2:$B$29,0)),0),IFERROR(INDEX(Pension_Model!$D$2:$D$29,MATCH(H480,Pension_Model!$B$2:$B$29,0)),0)),0))))))</f>
        <v>0.05</v>
      </c>
      <c r="Q476" s="28">
        <f>Population_Data!$B$15*P476</f>
        <v>660600</v>
      </c>
      <c r="S476">
        <f t="shared" si="7"/>
        <v>1570525.7818088797</v>
      </c>
      <c r="U476" s="33">
        <f>S476/Population_Data!$B$19</f>
        <v>2.8451554018276808E-2</v>
      </c>
    </row>
    <row r="477" spans="1:21">
      <c r="A477" s="25">
        <f>Calendar!A477</f>
        <v>46710</v>
      </c>
      <c r="B477" t="str">
        <f>Calendar!L477</f>
        <v>Yes</v>
      </c>
      <c r="C477" t="str">
        <f>Calendar!O477</f>
        <v>No</v>
      </c>
      <c r="D477" t="str">
        <f>Calendar!P477</f>
        <v>No</v>
      </c>
      <c r="E477" t="str">
        <f>Calendar!Q477</f>
        <v>No</v>
      </c>
      <c r="F477" t="str">
        <f>Calendar!I477</f>
        <v>Friday</v>
      </c>
      <c r="G477">
        <f>Calendar!S477</f>
        <v>6</v>
      </c>
      <c r="H477">
        <f>Calendar!T477</f>
        <v>6</v>
      </c>
      <c r="I477" s="27">
        <f>IF(VLOOKUP(A477,Calendar!$A$1:$R$1377,18,0)=0,0,IF(VLOOKUP(A477,Calendar!$A$1:$R$1377,18,0)=1,INDEX(Monthly_Pay_Model!$A$9:$D$40,MATCH(TEXT(A477,"dd"),Monthly_Pay_Model!$C$9:$C$39,0),4),IF(VLOOKUP(A477,Calendar!$A$1:$R$1377,18,0)=2,SUM(INDEX(Monthly_Pay_Model!$A$9:$D$40,MATCH(TEXT(A477,"dd"),Monthly_Pay_Model!$C$9:$C$39,0),4),INDEX(Monthly_Pay_Model!$A$9:$D$40,MATCH(TEXT(A478,"dd"),Monthly_Pay_Model!$C$9:$C$39,0),4)),IF(VLOOKUP(A477,Calendar!$A$1:$R$1377,18,0)=3,SUM(INDEX(Monthly_Pay_Model!$A$9:$D$40,MATCH(TEXT(A477,"dd"),Monthly_Pay_Model!$C$9:$C$39,0),4),INDEX(Monthly_Pay_Model!$A$9:$D$40,MATCH(TEXT(A478,"dd"),Monthly_Pay_Model!$C$9:$C$39,0),4),INDEX(Monthly_Pay_Model!$A$9:$D$40,MATCH(TEXT(A479,"dd"),Monthly_Pay_Model!$C$9:$C$39,0),4)),IF(VLOOKUP(A477,Calendar!$A$1:$R$1377,18,0)=4,SUM(INDEX(Monthly_Pay_Model!$A$9:$D$40,MATCH(TEXT(A477,"dd"),Monthly_Pay_Model!$C$9:$C$39,0),4),INDEX(Monthly_Pay_Model!$A$9:$D$40,MATCH(TEXT(A478,"dd"),Monthly_Pay_Model!$C$9:$C$39,0),4),INDEX(Monthly_Pay_Model!$A$9:$D$40,MATCH(TEXT(A479,"dd"),Monthly_Pay_Model!$C$9:$C$39,0),4),INDEX(Monthly_Pay_Model!$A$9:$D$40,MATCH(TEXT(A480,"dd"),Monthly_Pay_Model!$C$9:$C$39,0),4)),IF(VLOOKUP(A477,Calendar!$A$1:$R$1377,18,0)=5,SUM(INDEX(Monthly_Pay_Model!$A$9:$D$40,MATCH(TEXT(A477,"dd"),Monthly_Pay_Model!$C$9:$C$39,0),4),INDEX(Monthly_Pay_Model!$A$9:$D$40,MATCH(TEXT(A478,"dd"),Monthly_Pay_Model!$C$9:$C$39,0),4),INDEX(Monthly_Pay_Model!$A$9:$D$40,MATCH(TEXT(A479,"dd"),Monthly_Pay_Model!$C$9:$C$39,0),4),INDEX(Monthly_Pay_Model!$A$9:$D$40,MATCH(TEXT(A480,"dd"),Monthly_Pay_Model!$C$9:$C$39,0),4),INDEX(Monthly_Pay_Model!$A$9:$D$40,MATCH(TEXT(A481,"dd"),Monthly_Pay_Model!$C$9:$C$39,0),4)),))))))</f>
        <v>1.46261780104712E-2</v>
      </c>
      <c r="J477" s="33">
        <f>IF(C477="Yes",Monthly_Pay_Model!$D$2,0)
+IF(Calendar!N477="Yes",Monthly_Pay_Model!$D$3,0)
+IF(D477="Yes",Monthly_Pay_Model!$D$4,0)
+IF(E477="Yes",Monthly_Pay_Model!$D$5,0)</f>
        <v>0</v>
      </c>
      <c r="K477" s="27">
        <f>IF(VLOOKUP($A477,Calendar!$A$1:$R$1377,18,0)=0,0,IF(VLOOKUP($A477,Calendar!$A$1:$R$1377,18,0)=1,IFERROR(INDEX(Weekly_Model!$D$2:$D$9,MATCH(F477,Weekly_Model!$A$2:$A$9,0)),0),IF(VLOOKUP($A477,Calendar!$A$1:$R$1377,18,0)=2,SUM(IFERROR(INDEX(Weekly_Model!$D$2:$D$9,MATCH(F477,Weekly_Model!$A$2:$A$9,0)),0),IFERROR(INDEX(Weekly_Model!$D$2:$D$9,MATCH(F478,Weekly_Model!$A$2:$A$9,0)),0)),IF(VLOOKUP($A477,Calendar!$A$1:$R$1377,18,0)=3,SUM(IFERROR(INDEX(Weekly_Model!$D$2:$D$9,MATCH(F477,Weekly_Model!$A$2:$A$9,0)),0),IFERROR(INDEX(Weekly_Model!$D$2:$D$9,MATCH(F478,Weekly_Model!$A$2:$A$9,0)),0),IFERROR(INDEX(Weekly_Model!$D$2:$D$9,MATCH(F479,Weekly_Model!$A$2:$A$9,0)),0)),IF(VLOOKUP($A477,Calendar!$A$1:$R$1377,18,0)=4,SUM(IFERROR(INDEX(Weekly_Model!$D$2:$D$9,MATCH(F477,Weekly_Model!$A$2:$A$9,0)),0),IFERROR(INDEX(Weekly_Model!$D$2:$D$9,MATCH(F478,Weekly_Model!$A$2:$A$9,0)),0),IFERROR(INDEX(Weekly_Model!$D$2:$D$9,MATCH(F479,Weekly_Model!$A$2:$A$9,0)),0),IFERROR(INDEX(Weekly_Model!$D$2:$D$9,MATCH(F480,Weekly_Model!$A$2:$A$9,0)),0)),IF(VLOOKUP($A477,Calendar!$A$1:$R$1377,18,0)=5,SUM(IFERROR(INDEX(Weekly_Model!$D$2:$D$9,MATCH(F477,Weekly_Model!$A$2:$A$9,0)),0),IFERROR(INDEX(Weekly_Model!$D$2:$D$9,MATCH(F478,Weekly_Model!$A$2:$A$9,0)),0),IFERROR(INDEX(Weekly_Model!$D$2:$D$9,MATCH(F479,Weekly_Model!$A$2:$A$9,0)),0),IFERROR(INDEX(Weekly_Model!$D$2:$D$9,MATCH(F480,Weekly_Model!$A$2:$A$9,0)),0),IFERROR(INDEX(Weekly_Model!$D$2:$D$9,MATCH(F481,Weekly_Model!$A$2:$A$9,0)),0)),0))))))</f>
        <v>2.3200000000000002E-2</v>
      </c>
      <c r="L477" s="27">
        <f>IF(VLOOKUP($A477,Calendar!$A$1:$R$1377,18,0)=0,0,IF(VLOOKUP($A477,Calendar!$A$1:$R$1377,18,0)=1,IFERROR(INDEX(Fortnightly_Model!$D$2:$D$15,MATCH(G477,Fortnightly_Model!$B$2:$B$15,0)),0),IF(VLOOKUP($A477,Calendar!$A$1:$R$1377,18,0)=2,SUM(IFERROR(INDEX(Fortnightly_Model!$D$2:$D$15,MATCH(G477,Fortnightly_Model!$B$2:$B$15,0)),0),IFERROR(INDEX(Fortnightly_Model!$D$2:$D$15,MATCH(G478,Fortnightly_Model!$B$2:$B$15,0)),0)),IF(VLOOKUP($A477,Calendar!$A$1:$R$1377,18,0)=3,SUM(IFERROR(INDEX(Fortnightly_Model!$D$2:$D$15,MATCH(G477,Fortnightly_Model!$B$2:$B$15,0)),0),IFERROR(INDEX(Fortnightly_Model!$D$2:$D$15,MATCH(G478,Fortnightly_Model!$B$2:$B$15,0)),0),IFERROR(INDEX(Fortnightly_Model!$D$2:$D$15,MATCH(G479,Fortnightly_Model!$B$2:$B$15,0)),0)),IF(VLOOKUP($A477,Calendar!$A$1:$R$1377,18,0)=4,SUM(IFERROR(INDEX(Fortnightly_Model!$D$2:$D$15,MATCH(G477,Fortnightly_Model!$B$2:$B$15,0)),0),IFERROR(INDEX(Fortnightly_Model!$D$2:$D$15,MATCH(G478,Fortnightly_Model!$B$2:$B$15,0)),0),IFERROR(INDEX(Fortnightly_Model!$D$2:$D$15,MATCH(G479,Fortnightly_Model!$B$2:$B$15,0)),0),IFERROR(INDEX(Fortnightly_Model!$D$2:$D$15,MATCH(G480,Fortnightly_Model!$B$2:$B$15,0)),0)),IF(VLOOKUP($A477,Calendar!$A$1:$R$1377,18,0)=5,SUM(IFERROR(INDEX(Fortnightly_Model!$D$2:$D$15,MATCH(G477,Fortnightly_Model!$B$2:$B$15,0)),0),IFERROR(INDEX(Fortnightly_Model!$D$2:$D$15,MATCH(G478,Fortnightly_Model!$B$2:$B$15,0)),0),IFERROR(INDEX(Fortnightly_Model!$D$2:$D$15,MATCH(G479,Fortnightly_Model!$B$2:$B$15,0)),0),IFERROR(INDEX(Fortnightly_Model!$D$2:$D$15,MATCH(G480,Fortnightly_Model!$B$2:$B$15,0)),0),IFERROR(INDEX(Fortnightly_Model!$D$2:$D$15,MATCH(G481,Fortnightly_Model!$B$2:$B$15,0)),0)),0))))))</f>
        <v>3.2142856499999999E-3</v>
      </c>
      <c r="M477" s="27">
        <f>IF(VLOOKUP($A477,Calendar!$A$1:$R$1377,18,0)=0,0,IF(VLOOKUP($A477,Calendar!$A$1:$R$1377,18,0)=1,IFERROR(INDEX(FourWeekly_Model!$D$2:$D$29,MATCH(H477,FourWeekly_Model!$B$2:$B$29,0)),0),IF(VLOOKUP($A477,Calendar!$A$1:$R$1377,18,0)=2,SUM(IFERROR(INDEX(FourWeekly_Model!$D$2:$D$29,MATCH(H477,FourWeekly_Model!$B$2:$B$29,0)),0),IFERROR(INDEX(FourWeekly_Model!$D$2:$D$29,MATCH(H478,FourWeekly_Model!$B$2:$B$29,0)),0)),IF(VLOOKUP($A477,Calendar!$A$1:$R$1377,18,0)=3,SUM(IFERROR(INDEX(FourWeekly_Model!$D$2:$D$29,MATCH(H477,FourWeekly_Model!$B$2:$B$29,0)),0),IFERROR(INDEX(FourWeekly_Model!$D$2:$D$29,MATCH(H478,FourWeekly_Model!$B$2:$B$29,0)),0),IFERROR(INDEX(FourWeekly_Model!$D$2:$D$29,MATCH(H479,FourWeekly_Model!$B$2:$B$29,0)),0)),IF(VLOOKUP($A477,Calendar!$A$1:$R$1377,18,0)=4,SUM(IFERROR(INDEX(FourWeekly_Model!$D$2:$D$29,MATCH(H477,FourWeekly_Model!$B$2:$B$29,0)),0),IFERROR(INDEX(FourWeekly_Model!$D$2:$D$29,MATCH(H478,FourWeekly_Model!$B$2:$B$29,0)),0),IFERROR(INDEX(FourWeekly_Model!$D$2:$D$29,MATCH(H479,FourWeekly_Model!$B$2:$B$29,0)),0),IFERROR(INDEX(FourWeekly_Model!$D$2:$D$29,MATCH(H480,FourWeekly_Model!$B$2:$B$29,0)),0)),IF(VLOOKUP($A477,Calendar!$A$1:$R$1377,18,0)=5,SUM(IFERROR(INDEX(FourWeekly_Model!$D$2:$D$29,MATCH(H477,FourWeekly_Model!$B$2:$B$29,0)),0),IFERROR(INDEX(FourWeekly_Model!$D$2:$D$29,MATCH(H478,FourWeekly_Model!$B$2:$B$29,0)),0),IFERROR(INDEX(FourWeekly_Model!$D$2:$D$29,MATCH(H479,FourWeekly_Model!$B$2:$B$29,0)),0),IFERROR(INDEX(FourWeekly_Model!$D$2:$D$29,MATCH(H480,FourWeekly_Model!$B$2:$B$29,0)),0),IFERROR(INDEX(FourWeekly_Model!$D$2:$D$29,MATCH(H481,FourWeekly_Model!$B$2:$B$29,0)),0)),0))))))</f>
        <v>9.9642859800000011E-3</v>
      </c>
      <c r="N477" s="27">
        <f>SUM(I477:M477)</f>
        <v>5.1004749640471206E-2</v>
      </c>
      <c r="O477" s="28">
        <f>Population_Data!$B$8*N477</f>
        <v>1545443.9141062775</v>
      </c>
      <c r="P477" s="27">
        <f>IF(VLOOKUP($A477,Calendar!$A$1:$R$1377,18,0)=0,0,IF(VLOOKUP($A477,Calendar!$A$1:$R$1377,18,0)=1,IFERROR(INDEX(Pension_Model!$D$2:$D$29,MATCH(H477,Pension_Model!$B$2:$B$29,0)),0),IF(VLOOKUP($A477,Calendar!$A$1:$R$1377,18,0)=2,SUM(IFERROR(INDEX(Pension_Model!$D$2:$D$29,MATCH(H477,Pension_Model!$B$2:$B$29,0)),0),IFERROR(INDEX(Pension_Model!$D$2:$D$29,MATCH(H478,Pension_Model!$B$2:$B$29,0)),0)),IF(VLOOKUP($A477,Calendar!$A$1:$R$1377,18,0)=3,SUM(IFERROR(INDEX(Pension_Model!$D$2:$D$29,MATCH(H477,Pension_Model!$B$2:$B$29,0)),0),IFERROR(INDEX(Pension_Model!$D$2:$D$29,MATCH(H478,Pension_Model!$B$2:$B$29,0)),0),IFERROR(INDEX(Pension_Model!$D$2:$D$29,MATCH(H479,Pension_Model!$B$2:$B$29,0)),0)),IF(VLOOKUP($A477,Calendar!$A$1:$R$1377,18,0)=4,SUM(IFERROR(INDEX(Pension_Model!$D$2:$D$29,MATCH(H477,Pension_Model!$B$2:$B$29,0)),0),IFERROR(INDEX(Pension_Model!$D$2:$D$29,MATCH(H478,Pension_Model!$B$2:$B$29,0)),0),IFERROR(INDEX(Pension_Model!$D$2:$D$29,MATCH(H479,Pension_Model!$B$2:$B$29,0)),0),IFERROR(INDEX(Pension_Model!$D$2:$D$29,MATCH(H480,Pension_Model!$B$2:$B$29,0)),0)),IF(VLOOKUP($A477,Calendar!$A$1:$R$1377,18,0)=5,SUM(IFERROR(INDEX(Pension_Model!$D$2:$D$29,MATCH(H477,Pension_Model!$B$2:$B$29,0)),0),IFERROR(INDEX(Pension_Model!$D$2:$D$29,MATCH(H478,Pension_Model!$B$2:$B$29,0)),0),IFERROR(INDEX(Pension_Model!$D$2:$D$29,MATCH(H479,Pension_Model!$B$2:$B$29,0)),0),IFERROR(INDEX(Pension_Model!$D$2:$D$29,MATCH(H480,Pension_Model!$B$2:$B$29,0)),0),IFERROR(INDEX(Pension_Model!$D$2:$D$29,MATCH(H481,Pension_Model!$B$2:$B$29,0)),0)),0))))))</f>
        <v>0.05</v>
      </c>
      <c r="Q477" s="28">
        <f>Population_Data!$B$15*P477</f>
        <v>660600</v>
      </c>
      <c r="S477">
        <f t="shared" si="7"/>
        <v>2206043.9141062777</v>
      </c>
      <c r="U477" s="33">
        <f>S477/Population_Data!$B$19</f>
        <v>3.9964563661345612E-2</v>
      </c>
    </row>
    <row r="478" spans="1:21">
      <c r="A478" s="25">
        <f>Calendar!A478</f>
        <v>46711</v>
      </c>
      <c r="B478" t="str">
        <f>Calendar!L478</f>
        <v>No</v>
      </c>
      <c r="C478" t="str">
        <f>Calendar!O478</f>
        <v>No</v>
      </c>
      <c r="D478" t="str">
        <f>Calendar!P478</f>
        <v>No</v>
      </c>
      <c r="E478" t="str">
        <f>Calendar!Q478</f>
        <v>No</v>
      </c>
      <c r="F478" t="str">
        <f>Calendar!I478</f>
        <v>Saturday</v>
      </c>
      <c r="G478">
        <f>Calendar!S478</f>
        <v>7</v>
      </c>
      <c r="H478">
        <f>Calendar!T478</f>
        <v>7</v>
      </c>
      <c r="I478" s="27">
        <f>IF(VLOOKUP(A478,Calendar!$A$1:$R$1377,18,0)=0,0,IF(VLOOKUP(A478,Calendar!$A$1:$R$1377,18,0)=1,INDEX(Monthly_Pay_Model!$A$9:$D$40,MATCH(TEXT(A478,"dd"),Monthly_Pay_Model!$C$9:$C$39,0),4),IF(VLOOKUP(A478,Calendar!$A$1:$R$1377,18,0)=2,SUM(INDEX(Monthly_Pay_Model!$A$9:$D$40,MATCH(TEXT(A478,"dd"),Monthly_Pay_Model!$C$9:$C$39,0),4),INDEX(Monthly_Pay_Model!$A$9:$D$40,MATCH(TEXT(A479,"dd"),Monthly_Pay_Model!$C$9:$C$39,0),4)),IF(VLOOKUP(A478,Calendar!$A$1:$R$1377,18,0)=3,SUM(INDEX(Monthly_Pay_Model!$A$9:$D$40,MATCH(TEXT(A478,"dd"),Monthly_Pay_Model!$C$9:$C$39,0),4),INDEX(Monthly_Pay_Model!$A$9:$D$40,MATCH(TEXT(A479,"dd"),Monthly_Pay_Model!$C$9:$C$39,0),4),INDEX(Monthly_Pay_Model!$A$9:$D$40,MATCH(TEXT(A480,"dd"),Monthly_Pay_Model!$C$9:$C$39,0),4)),IF(VLOOKUP(A478,Calendar!$A$1:$R$1377,18,0)=4,SUM(INDEX(Monthly_Pay_Model!$A$9:$D$40,MATCH(TEXT(A478,"dd"),Monthly_Pay_Model!$C$9:$C$39,0),4),INDEX(Monthly_Pay_Model!$A$9:$D$40,MATCH(TEXT(A479,"dd"),Monthly_Pay_Model!$C$9:$C$39,0),4),INDEX(Monthly_Pay_Model!$A$9:$D$40,MATCH(TEXT(A480,"dd"),Monthly_Pay_Model!$C$9:$C$39,0),4),INDEX(Monthly_Pay_Model!$A$9:$D$40,MATCH(TEXT(A481,"dd"),Monthly_Pay_Model!$C$9:$C$39,0),4)),IF(VLOOKUP(A478,Calendar!$A$1:$R$1377,18,0)=5,SUM(INDEX(Monthly_Pay_Model!$A$9:$D$40,MATCH(TEXT(A478,"dd"),Monthly_Pay_Model!$C$9:$C$39,0),4),INDEX(Monthly_Pay_Model!$A$9:$D$40,MATCH(TEXT(A479,"dd"),Monthly_Pay_Model!$C$9:$C$39,0),4),INDEX(Monthly_Pay_Model!$A$9:$D$40,MATCH(TEXT(A480,"dd"),Monthly_Pay_Model!$C$9:$C$39,0),4),INDEX(Monthly_Pay_Model!$A$9:$D$40,MATCH(TEXT(A481,"dd"),Monthly_Pay_Model!$C$9:$C$39,0),4),INDEX(Monthly_Pay_Model!$A$9:$D$40,MATCH(TEXT(A482,"dd"),Monthly_Pay_Model!$C$9:$C$39,0),4)),))))))</f>
        <v>0</v>
      </c>
      <c r="J478" s="33">
        <f>IF(C478="Yes",Monthly_Pay_Model!$D$2,0)
+IF(Calendar!N478="Yes",Monthly_Pay_Model!$D$3,0)
+IF(D478="Yes",Monthly_Pay_Model!$D$4,0)
+IF(E478="Yes",Monthly_Pay_Model!$D$5,0)</f>
        <v>0</v>
      </c>
      <c r="K478" s="27">
        <f>IF(VLOOKUP($A478,Calendar!$A$1:$R$1377,18,0)=0,0,IF(VLOOKUP($A478,Calendar!$A$1:$R$1377,18,0)=1,IFERROR(INDEX(Weekly_Model!$D$2:$D$9,MATCH(F478,Weekly_Model!$A$2:$A$9,0)),0),IF(VLOOKUP($A478,Calendar!$A$1:$R$1377,18,0)=2,SUM(IFERROR(INDEX(Weekly_Model!$D$2:$D$9,MATCH(F478,Weekly_Model!$A$2:$A$9,0)),0),IFERROR(INDEX(Weekly_Model!$D$2:$D$9,MATCH(F479,Weekly_Model!$A$2:$A$9,0)),0)),IF(VLOOKUP($A478,Calendar!$A$1:$R$1377,18,0)=3,SUM(IFERROR(INDEX(Weekly_Model!$D$2:$D$9,MATCH(F478,Weekly_Model!$A$2:$A$9,0)),0),IFERROR(INDEX(Weekly_Model!$D$2:$D$9,MATCH(F479,Weekly_Model!$A$2:$A$9,0)),0),IFERROR(INDEX(Weekly_Model!$D$2:$D$9,MATCH(F480,Weekly_Model!$A$2:$A$9,0)),0)),IF(VLOOKUP($A478,Calendar!$A$1:$R$1377,18,0)=4,SUM(IFERROR(INDEX(Weekly_Model!$D$2:$D$9,MATCH(F478,Weekly_Model!$A$2:$A$9,0)),0),IFERROR(INDEX(Weekly_Model!$D$2:$D$9,MATCH(F479,Weekly_Model!$A$2:$A$9,0)),0),IFERROR(INDEX(Weekly_Model!$D$2:$D$9,MATCH(F480,Weekly_Model!$A$2:$A$9,0)),0),IFERROR(INDEX(Weekly_Model!$D$2:$D$9,MATCH(F481,Weekly_Model!$A$2:$A$9,0)),0)),IF(VLOOKUP($A478,Calendar!$A$1:$R$1377,18,0)=5,SUM(IFERROR(INDEX(Weekly_Model!$D$2:$D$9,MATCH(F478,Weekly_Model!$A$2:$A$9,0)),0),IFERROR(INDEX(Weekly_Model!$D$2:$D$9,MATCH(F479,Weekly_Model!$A$2:$A$9,0)),0),IFERROR(INDEX(Weekly_Model!$D$2:$D$9,MATCH(F480,Weekly_Model!$A$2:$A$9,0)),0),IFERROR(INDEX(Weekly_Model!$D$2:$D$9,MATCH(F481,Weekly_Model!$A$2:$A$9,0)),0),IFERROR(INDEX(Weekly_Model!$D$2:$D$9,MATCH(F482,Weekly_Model!$A$2:$A$9,0)),0)),0))))))</f>
        <v>0</v>
      </c>
      <c r="L478" s="27">
        <f>IF(VLOOKUP($A478,Calendar!$A$1:$R$1377,18,0)=0,0,IF(VLOOKUP($A478,Calendar!$A$1:$R$1377,18,0)=1,IFERROR(INDEX(Fortnightly_Model!$D$2:$D$15,MATCH(G478,Fortnightly_Model!$B$2:$B$15,0)),0),IF(VLOOKUP($A478,Calendar!$A$1:$R$1377,18,0)=2,SUM(IFERROR(INDEX(Fortnightly_Model!$D$2:$D$15,MATCH(G478,Fortnightly_Model!$B$2:$B$15,0)),0),IFERROR(INDEX(Fortnightly_Model!$D$2:$D$15,MATCH(G479,Fortnightly_Model!$B$2:$B$15,0)),0)),IF(VLOOKUP($A478,Calendar!$A$1:$R$1377,18,0)=3,SUM(IFERROR(INDEX(Fortnightly_Model!$D$2:$D$15,MATCH(G478,Fortnightly_Model!$B$2:$B$15,0)),0),IFERROR(INDEX(Fortnightly_Model!$D$2:$D$15,MATCH(G479,Fortnightly_Model!$B$2:$B$15,0)),0),IFERROR(INDEX(Fortnightly_Model!$D$2:$D$15,MATCH(G480,Fortnightly_Model!$B$2:$B$15,0)),0)),IF(VLOOKUP($A478,Calendar!$A$1:$R$1377,18,0)=4,SUM(IFERROR(INDEX(Fortnightly_Model!$D$2:$D$15,MATCH(G478,Fortnightly_Model!$B$2:$B$15,0)),0),IFERROR(INDEX(Fortnightly_Model!$D$2:$D$15,MATCH(G479,Fortnightly_Model!$B$2:$B$15,0)),0),IFERROR(INDEX(Fortnightly_Model!$D$2:$D$15,MATCH(G480,Fortnightly_Model!$B$2:$B$15,0)),0),IFERROR(INDEX(Fortnightly_Model!$D$2:$D$15,MATCH(G481,Fortnightly_Model!$B$2:$B$15,0)),0)),IF(VLOOKUP($A478,Calendar!$A$1:$R$1377,18,0)=5,SUM(IFERROR(INDEX(Fortnightly_Model!$D$2:$D$15,MATCH(G478,Fortnightly_Model!$B$2:$B$15,0)),0),IFERROR(INDEX(Fortnightly_Model!$D$2:$D$15,MATCH(G479,Fortnightly_Model!$B$2:$B$15,0)),0),IFERROR(INDEX(Fortnightly_Model!$D$2:$D$15,MATCH(G480,Fortnightly_Model!$B$2:$B$15,0)),0),IFERROR(INDEX(Fortnightly_Model!$D$2:$D$15,MATCH(G481,Fortnightly_Model!$B$2:$B$15,0)),0),IFERROR(INDEX(Fortnightly_Model!$D$2:$D$15,MATCH(G482,Fortnightly_Model!$B$2:$B$15,0)),0)),0))))))</f>
        <v>0</v>
      </c>
      <c r="M478" s="27">
        <f>IF(VLOOKUP($A478,Calendar!$A$1:$R$1377,18,0)=0,0,IF(VLOOKUP($A478,Calendar!$A$1:$R$1377,18,0)=1,IFERROR(INDEX(FourWeekly_Model!$D$2:$D$29,MATCH(H478,FourWeekly_Model!$B$2:$B$29,0)),0),IF(VLOOKUP($A478,Calendar!$A$1:$R$1377,18,0)=2,SUM(IFERROR(INDEX(FourWeekly_Model!$D$2:$D$29,MATCH(H478,FourWeekly_Model!$B$2:$B$29,0)),0),IFERROR(INDEX(FourWeekly_Model!$D$2:$D$29,MATCH(H479,FourWeekly_Model!$B$2:$B$29,0)),0)),IF(VLOOKUP($A478,Calendar!$A$1:$R$1377,18,0)=3,SUM(IFERROR(INDEX(FourWeekly_Model!$D$2:$D$29,MATCH(H478,FourWeekly_Model!$B$2:$B$29,0)),0),IFERROR(INDEX(FourWeekly_Model!$D$2:$D$29,MATCH(H479,FourWeekly_Model!$B$2:$B$29,0)),0),IFERROR(INDEX(FourWeekly_Model!$D$2:$D$29,MATCH(H480,FourWeekly_Model!$B$2:$B$29,0)),0)),IF(VLOOKUP($A478,Calendar!$A$1:$R$1377,18,0)=4,SUM(IFERROR(INDEX(FourWeekly_Model!$D$2:$D$29,MATCH(H478,FourWeekly_Model!$B$2:$B$29,0)),0),IFERROR(INDEX(FourWeekly_Model!$D$2:$D$29,MATCH(H479,FourWeekly_Model!$B$2:$B$29,0)),0),IFERROR(INDEX(FourWeekly_Model!$D$2:$D$29,MATCH(H480,FourWeekly_Model!$B$2:$B$29,0)),0),IFERROR(INDEX(FourWeekly_Model!$D$2:$D$29,MATCH(H481,FourWeekly_Model!$B$2:$B$29,0)),0)),IF(VLOOKUP($A478,Calendar!$A$1:$R$1377,18,0)=5,SUM(IFERROR(INDEX(FourWeekly_Model!$D$2:$D$29,MATCH(H478,FourWeekly_Model!$B$2:$B$29,0)),0),IFERROR(INDEX(FourWeekly_Model!$D$2:$D$29,MATCH(H479,FourWeekly_Model!$B$2:$B$29,0)),0),IFERROR(INDEX(FourWeekly_Model!$D$2:$D$29,MATCH(H480,FourWeekly_Model!$B$2:$B$29,0)),0),IFERROR(INDEX(FourWeekly_Model!$D$2:$D$29,MATCH(H481,FourWeekly_Model!$B$2:$B$29,0)),0),IFERROR(INDEX(FourWeekly_Model!$D$2:$D$29,MATCH(H482,FourWeekly_Model!$B$2:$B$29,0)),0)),0))))))</f>
        <v>0</v>
      </c>
      <c r="N478" s="27">
        <f>SUM(I478:M478)</f>
        <v>0</v>
      </c>
      <c r="O478" s="28">
        <f>Population_Data!$B$8*N478</f>
        <v>0</v>
      </c>
      <c r="P478" s="27">
        <f>IF(VLOOKUP($A478,Calendar!$A$1:$R$1377,18,0)=0,0,IF(VLOOKUP($A478,Calendar!$A$1:$R$1377,18,0)=1,IFERROR(INDEX(Pension_Model!$D$2:$D$29,MATCH(H478,Pension_Model!$B$2:$B$29,0)),0),IF(VLOOKUP($A478,Calendar!$A$1:$R$1377,18,0)=2,SUM(IFERROR(INDEX(Pension_Model!$D$2:$D$29,MATCH(H478,Pension_Model!$B$2:$B$29,0)),0),IFERROR(INDEX(Pension_Model!$D$2:$D$29,MATCH(H479,Pension_Model!$B$2:$B$29,0)),0)),IF(VLOOKUP($A478,Calendar!$A$1:$R$1377,18,0)=3,SUM(IFERROR(INDEX(Pension_Model!$D$2:$D$29,MATCH(H478,Pension_Model!$B$2:$B$29,0)),0),IFERROR(INDEX(Pension_Model!$D$2:$D$29,MATCH(H479,Pension_Model!$B$2:$B$29,0)),0),IFERROR(INDEX(Pension_Model!$D$2:$D$29,MATCH(H480,Pension_Model!$B$2:$B$29,0)),0)),IF(VLOOKUP($A478,Calendar!$A$1:$R$1377,18,0)=4,SUM(IFERROR(INDEX(Pension_Model!$D$2:$D$29,MATCH(H478,Pension_Model!$B$2:$B$29,0)),0),IFERROR(INDEX(Pension_Model!$D$2:$D$29,MATCH(H479,Pension_Model!$B$2:$B$29,0)),0),IFERROR(INDEX(Pension_Model!$D$2:$D$29,MATCH(H480,Pension_Model!$B$2:$B$29,0)),0),IFERROR(INDEX(Pension_Model!$D$2:$D$29,MATCH(H481,Pension_Model!$B$2:$B$29,0)),0)),IF(VLOOKUP($A478,Calendar!$A$1:$R$1377,18,0)=5,SUM(IFERROR(INDEX(Pension_Model!$D$2:$D$29,MATCH(H478,Pension_Model!$B$2:$B$29,0)),0),IFERROR(INDEX(Pension_Model!$D$2:$D$29,MATCH(H479,Pension_Model!$B$2:$B$29,0)),0),IFERROR(INDEX(Pension_Model!$D$2:$D$29,MATCH(H480,Pension_Model!$B$2:$B$29,0)),0),IFERROR(INDEX(Pension_Model!$D$2:$D$29,MATCH(H481,Pension_Model!$B$2:$B$29,0)),0),IFERROR(INDEX(Pension_Model!$D$2:$D$29,MATCH(H482,Pension_Model!$B$2:$B$29,0)),0)),0))))))</f>
        <v>0</v>
      </c>
      <c r="Q478" s="28">
        <f>Population_Data!$B$15*P478</f>
        <v>0</v>
      </c>
      <c r="S478">
        <f t="shared" si="7"/>
        <v>0</v>
      </c>
      <c r="U478" s="33">
        <f>S478/Population_Data!$B$19</f>
        <v>0</v>
      </c>
    </row>
    <row r="479" spans="1:21">
      <c r="A479" s="25">
        <f>Calendar!A479</f>
        <v>46712</v>
      </c>
      <c r="B479" t="str">
        <f>Calendar!L479</f>
        <v>No</v>
      </c>
      <c r="C479" t="str">
        <f>Calendar!O479</f>
        <v>No</v>
      </c>
      <c r="D479" t="str">
        <f>Calendar!P479</f>
        <v>No</v>
      </c>
      <c r="E479" t="str">
        <f>Calendar!Q479</f>
        <v>No</v>
      </c>
      <c r="F479" t="str">
        <f>Calendar!I479</f>
        <v>Sunday</v>
      </c>
      <c r="G479">
        <f>Calendar!S479</f>
        <v>8</v>
      </c>
      <c r="H479">
        <f>Calendar!T479</f>
        <v>8</v>
      </c>
      <c r="I479" s="27">
        <f>IF(VLOOKUP(A479,Calendar!$A$1:$R$1377,18,0)=0,0,IF(VLOOKUP(A479,Calendar!$A$1:$R$1377,18,0)=1,INDEX(Monthly_Pay_Model!$A$9:$D$40,MATCH(TEXT(A479,"dd"),Monthly_Pay_Model!$C$9:$C$39,0),4),IF(VLOOKUP(A479,Calendar!$A$1:$R$1377,18,0)=2,SUM(INDEX(Monthly_Pay_Model!$A$9:$D$40,MATCH(TEXT(A479,"dd"),Monthly_Pay_Model!$C$9:$C$39,0),4),INDEX(Monthly_Pay_Model!$A$9:$D$40,MATCH(TEXT(A480,"dd"),Monthly_Pay_Model!$C$9:$C$39,0),4)),IF(VLOOKUP(A479,Calendar!$A$1:$R$1377,18,0)=3,SUM(INDEX(Monthly_Pay_Model!$A$9:$D$40,MATCH(TEXT(A479,"dd"),Monthly_Pay_Model!$C$9:$C$39,0),4),INDEX(Monthly_Pay_Model!$A$9:$D$40,MATCH(TEXT(A480,"dd"),Monthly_Pay_Model!$C$9:$C$39,0),4),INDEX(Monthly_Pay_Model!$A$9:$D$40,MATCH(TEXT(A481,"dd"),Monthly_Pay_Model!$C$9:$C$39,0),4)),IF(VLOOKUP(A479,Calendar!$A$1:$R$1377,18,0)=4,SUM(INDEX(Monthly_Pay_Model!$A$9:$D$40,MATCH(TEXT(A479,"dd"),Monthly_Pay_Model!$C$9:$C$39,0),4),INDEX(Monthly_Pay_Model!$A$9:$D$40,MATCH(TEXT(A480,"dd"),Monthly_Pay_Model!$C$9:$C$39,0),4),INDEX(Monthly_Pay_Model!$A$9:$D$40,MATCH(TEXT(A481,"dd"),Monthly_Pay_Model!$C$9:$C$39,0),4),INDEX(Monthly_Pay_Model!$A$9:$D$40,MATCH(TEXT(A482,"dd"),Monthly_Pay_Model!$C$9:$C$39,0),4)),IF(VLOOKUP(A479,Calendar!$A$1:$R$1377,18,0)=5,SUM(INDEX(Monthly_Pay_Model!$A$9:$D$40,MATCH(TEXT(A479,"dd"),Monthly_Pay_Model!$C$9:$C$39,0),4),INDEX(Monthly_Pay_Model!$A$9:$D$40,MATCH(TEXT(A480,"dd"),Monthly_Pay_Model!$C$9:$C$39,0),4),INDEX(Monthly_Pay_Model!$A$9:$D$40,MATCH(TEXT(A481,"dd"),Monthly_Pay_Model!$C$9:$C$39,0),4),INDEX(Monthly_Pay_Model!$A$9:$D$40,MATCH(TEXT(A482,"dd"),Monthly_Pay_Model!$C$9:$C$39,0),4),INDEX(Monthly_Pay_Model!$A$9:$D$40,MATCH(TEXT(A483,"dd"),Monthly_Pay_Model!$C$9:$C$39,0),4)),))))))</f>
        <v>0</v>
      </c>
      <c r="J479" s="33">
        <f>IF(C479="Yes",Monthly_Pay_Model!$D$2,0)
+IF(Calendar!N479="Yes",Monthly_Pay_Model!$D$3,0)
+IF(D479="Yes",Monthly_Pay_Model!$D$4,0)
+IF(E479="Yes",Monthly_Pay_Model!$D$5,0)</f>
        <v>0</v>
      </c>
      <c r="K479" s="27">
        <f>IF(VLOOKUP($A479,Calendar!$A$1:$R$1377,18,0)=0,0,IF(VLOOKUP($A479,Calendar!$A$1:$R$1377,18,0)=1,IFERROR(INDEX(Weekly_Model!$D$2:$D$9,MATCH(F479,Weekly_Model!$A$2:$A$9,0)),0),IF(VLOOKUP($A479,Calendar!$A$1:$R$1377,18,0)=2,SUM(IFERROR(INDEX(Weekly_Model!$D$2:$D$9,MATCH(F479,Weekly_Model!$A$2:$A$9,0)),0),IFERROR(INDEX(Weekly_Model!$D$2:$D$9,MATCH(F480,Weekly_Model!$A$2:$A$9,0)),0)),IF(VLOOKUP($A479,Calendar!$A$1:$R$1377,18,0)=3,SUM(IFERROR(INDEX(Weekly_Model!$D$2:$D$9,MATCH(F479,Weekly_Model!$A$2:$A$9,0)),0),IFERROR(INDEX(Weekly_Model!$D$2:$D$9,MATCH(F480,Weekly_Model!$A$2:$A$9,0)),0),IFERROR(INDEX(Weekly_Model!$D$2:$D$9,MATCH(F481,Weekly_Model!$A$2:$A$9,0)),0)),IF(VLOOKUP($A479,Calendar!$A$1:$R$1377,18,0)=4,SUM(IFERROR(INDEX(Weekly_Model!$D$2:$D$9,MATCH(F479,Weekly_Model!$A$2:$A$9,0)),0),IFERROR(INDEX(Weekly_Model!$D$2:$D$9,MATCH(F480,Weekly_Model!$A$2:$A$9,0)),0),IFERROR(INDEX(Weekly_Model!$D$2:$D$9,MATCH(F481,Weekly_Model!$A$2:$A$9,0)),0),IFERROR(INDEX(Weekly_Model!$D$2:$D$9,MATCH(F482,Weekly_Model!$A$2:$A$9,0)),0)),IF(VLOOKUP($A479,Calendar!$A$1:$R$1377,18,0)=5,SUM(IFERROR(INDEX(Weekly_Model!$D$2:$D$9,MATCH(F479,Weekly_Model!$A$2:$A$9,0)),0),IFERROR(INDEX(Weekly_Model!$D$2:$D$9,MATCH(F480,Weekly_Model!$A$2:$A$9,0)),0),IFERROR(INDEX(Weekly_Model!$D$2:$D$9,MATCH(F481,Weekly_Model!$A$2:$A$9,0)),0),IFERROR(INDEX(Weekly_Model!$D$2:$D$9,MATCH(F482,Weekly_Model!$A$2:$A$9,0)),0),IFERROR(INDEX(Weekly_Model!$D$2:$D$9,MATCH(F483,Weekly_Model!$A$2:$A$9,0)),0)),0))))))</f>
        <v>0</v>
      </c>
      <c r="L479" s="27">
        <f>IF(VLOOKUP($A479,Calendar!$A$1:$R$1377,18,0)=0,0,IF(VLOOKUP($A479,Calendar!$A$1:$R$1377,18,0)=1,IFERROR(INDEX(Fortnightly_Model!$D$2:$D$15,MATCH(G479,Fortnightly_Model!$B$2:$B$15,0)),0),IF(VLOOKUP($A479,Calendar!$A$1:$R$1377,18,0)=2,SUM(IFERROR(INDEX(Fortnightly_Model!$D$2:$D$15,MATCH(G479,Fortnightly_Model!$B$2:$B$15,0)),0),IFERROR(INDEX(Fortnightly_Model!$D$2:$D$15,MATCH(G480,Fortnightly_Model!$B$2:$B$15,0)),0)),IF(VLOOKUP($A479,Calendar!$A$1:$R$1377,18,0)=3,SUM(IFERROR(INDEX(Fortnightly_Model!$D$2:$D$15,MATCH(G479,Fortnightly_Model!$B$2:$B$15,0)),0),IFERROR(INDEX(Fortnightly_Model!$D$2:$D$15,MATCH(G480,Fortnightly_Model!$B$2:$B$15,0)),0),IFERROR(INDEX(Fortnightly_Model!$D$2:$D$15,MATCH(G481,Fortnightly_Model!$B$2:$B$15,0)),0)),IF(VLOOKUP($A479,Calendar!$A$1:$R$1377,18,0)=4,SUM(IFERROR(INDEX(Fortnightly_Model!$D$2:$D$15,MATCH(G479,Fortnightly_Model!$B$2:$B$15,0)),0),IFERROR(INDEX(Fortnightly_Model!$D$2:$D$15,MATCH(G480,Fortnightly_Model!$B$2:$B$15,0)),0),IFERROR(INDEX(Fortnightly_Model!$D$2:$D$15,MATCH(G481,Fortnightly_Model!$B$2:$B$15,0)),0),IFERROR(INDEX(Fortnightly_Model!$D$2:$D$15,MATCH(G482,Fortnightly_Model!$B$2:$B$15,0)),0)),IF(VLOOKUP($A479,Calendar!$A$1:$R$1377,18,0)=5,SUM(IFERROR(INDEX(Fortnightly_Model!$D$2:$D$15,MATCH(G479,Fortnightly_Model!$B$2:$B$15,0)),0),IFERROR(INDEX(Fortnightly_Model!$D$2:$D$15,MATCH(G480,Fortnightly_Model!$B$2:$B$15,0)),0),IFERROR(INDEX(Fortnightly_Model!$D$2:$D$15,MATCH(G481,Fortnightly_Model!$B$2:$B$15,0)),0),IFERROR(INDEX(Fortnightly_Model!$D$2:$D$15,MATCH(G482,Fortnightly_Model!$B$2:$B$15,0)),0),IFERROR(INDEX(Fortnightly_Model!$D$2:$D$15,MATCH(G483,Fortnightly_Model!$B$2:$B$15,0)),0)),0))))))</f>
        <v>0</v>
      </c>
      <c r="M479" s="27">
        <f>IF(VLOOKUP($A479,Calendar!$A$1:$R$1377,18,0)=0,0,IF(VLOOKUP($A479,Calendar!$A$1:$R$1377,18,0)=1,IFERROR(INDEX(FourWeekly_Model!$D$2:$D$29,MATCH(H479,FourWeekly_Model!$B$2:$B$29,0)),0),IF(VLOOKUP($A479,Calendar!$A$1:$R$1377,18,0)=2,SUM(IFERROR(INDEX(FourWeekly_Model!$D$2:$D$29,MATCH(H479,FourWeekly_Model!$B$2:$B$29,0)),0),IFERROR(INDEX(FourWeekly_Model!$D$2:$D$29,MATCH(H480,FourWeekly_Model!$B$2:$B$29,0)),0)),IF(VLOOKUP($A479,Calendar!$A$1:$R$1377,18,0)=3,SUM(IFERROR(INDEX(FourWeekly_Model!$D$2:$D$29,MATCH(H479,FourWeekly_Model!$B$2:$B$29,0)),0),IFERROR(INDEX(FourWeekly_Model!$D$2:$D$29,MATCH(H480,FourWeekly_Model!$B$2:$B$29,0)),0),IFERROR(INDEX(FourWeekly_Model!$D$2:$D$29,MATCH(H481,FourWeekly_Model!$B$2:$B$29,0)),0)),IF(VLOOKUP($A479,Calendar!$A$1:$R$1377,18,0)=4,SUM(IFERROR(INDEX(FourWeekly_Model!$D$2:$D$29,MATCH(H479,FourWeekly_Model!$B$2:$B$29,0)),0),IFERROR(INDEX(FourWeekly_Model!$D$2:$D$29,MATCH(H480,FourWeekly_Model!$B$2:$B$29,0)),0),IFERROR(INDEX(FourWeekly_Model!$D$2:$D$29,MATCH(H481,FourWeekly_Model!$B$2:$B$29,0)),0),IFERROR(INDEX(FourWeekly_Model!$D$2:$D$29,MATCH(H482,FourWeekly_Model!$B$2:$B$29,0)),0)),IF(VLOOKUP($A479,Calendar!$A$1:$R$1377,18,0)=5,SUM(IFERROR(INDEX(FourWeekly_Model!$D$2:$D$29,MATCH(H479,FourWeekly_Model!$B$2:$B$29,0)),0),IFERROR(INDEX(FourWeekly_Model!$D$2:$D$29,MATCH(H480,FourWeekly_Model!$B$2:$B$29,0)),0),IFERROR(INDEX(FourWeekly_Model!$D$2:$D$29,MATCH(H481,FourWeekly_Model!$B$2:$B$29,0)),0),IFERROR(INDEX(FourWeekly_Model!$D$2:$D$29,MATCH(H482,FourWeekly_Model!$B$2:$B$29,0)),0),IFERROR(INDEX(FourWeekly_Model!$D$2:$D$29,MATCH(H483,FourWeekly_Model!$B$2:$B$29,0)),0)),0))))))</f>
        <v>0</v>
      </c>
      <c r="N479" s="27">
        <f>SUM(I479:M479)</f>
        <v>0</v>
      </c>
      <c r="O479" s="28">
        <f>Population_Data!$B$8*N479</f>
        <v>0</v>
      </c>
      <c r="P479" s="27">
        <f>IF(VLOOKUP($A479,Calendar!$A$1:$R$1377,18,0)=0,0,IF(VLOOKUP($A479,Calendar!$A$1:$R$1377,18,0)=1,IFERROR(INDEX(Pension_Model!$D$2:$D$29,MATCH(H479,Pension_Model!$B$2:$B$29,0)),0),IF(VLOOKUP($A479,Calendar!$A$1:$R$1377,18,0)=2,SUM(IFERROR(INDEX(Pension_Model!$D$2:$D$29,MATCH(H479,Pension_Model!$B$2:$B$29,0)),0),IFERROR(INDEX(Pension_Model!$D$2:$D$29,MATCH(H480,Pension_Model!$B$2:$B$29,0)),0)),IF(VLOOKUP($A479,Calendar!$A$1:$R$1377,18,0)=3,SUM(IFERROR(INDEX(Pension_Model!$D$2:$D$29,MATCH(H479,Pension_Model!$B$2:$B$29,0)),0),IFERROR(INDEX(Pension_Model!$D$2:$D$29,MATCH(H480,Pension_Model!$B$2:$B$29,0)),0),IFERROR(INDEX(Pension_Model!$D$2:$D$29,MATCH(H481,Pension_Model!$B$2:$B$29,0)),0)),IF(VLOOKUP($A479,Calendar!$A$1:$R$1377,18,0)=4,SUM(IFERROR(INDEX(Pension_Model!$D$2:$D$29,MATCH(H479,Pension_Model!$B$2:$B$29,0)),0),IFERROR(INDEX(Pension_Model!$D$2:$D$29,MATCH(H480,Pension_Model!$B$2:$B$29,0)),0),IFERROR(INDEX(Pension_Model!$D$2:$D$29,MATCH(H481,Pension_Model!$B$2:$B$29,0)),0),IFERROR(INDEX(Pension_Model!$D$2:$D$29,MATCH(H482,Pension_Model!$B$2:$B$29,0)),0)),IF(VLOOKUP($A479,Calendar!$A$1:$R$1377,18,0)=5,SUM(IFERROR(INDEX(Pension_Model!$D$2:$D$29,MATCH(H479,Pension_Model!$B$2:$B$29,0)),0),IFERROR(INDEX(Pension_Model!$D$2:$D$29,MATCH(H480,Pension_Model!$B$2:$B$29,0)),0),IFERROR(INDEX(Pension_Model!$D$2:$D$29,MATCH(H481,Pension_Model!$B$2:$B$29,0)),0),IFERROR(INDEX(Pension_Model!$D$2:$D$29,MATCH(H482,Pension_Model!$B$2:$B$29,0)),0),IFERROR(INDEX(Pension_Model!$D$2:$D$29,MATCH(H483,Pension_Model!$B$2:$B$29,0)),0)),0))))))</f>
        <v>0</v>
      </c>
      <c r="Q479" s="28">
        <f>Population_Data!$B$15*P479</f>
        <v>0</v>
      </c>
      <c r="S479">
        <f t="shared" si="7"/>
        <v>0</v>
      </c>
      <c r="U479" s="33">
        <f>S479/Population_Data!$B$19</f>
        <v>0</v>
      </c>
    </row>
    <row r="480" spans="1:21">
      <c r="A480" s="25">
        <f>Calendar!A480</f>
        <v>46713</v>
      </c>
      <c r="B480" t="str">
        <f>Calendar!L480</f>
        <v>Yes</v>
      </c>
      <c r="C480" t="str">
        <f>Calendar!O480</f>
        <v>No</v>
      </c>
      <c r="D480" t="str">
        <f>Calendar!P480</f>
        <v>No</v>
      </c>
      <c r="E480" t="str">
        <f>Calendar!Q480</f>
        <v>No</v>
      </c>
      <c r="F480" t="str">
        <f>Calendar!I480</f>
        <v>Monday</v>
      </c>
      <c r="G480">
        <f>Calendar!S480</f>
        <v>9</v>
      </c>
      <c r="H480">
        <f>Calendar!T480</f>
        <v>9</v>
      </c>
      <c r="I480" s="27">
        <f>IF(VLOOKUP(A480,Calendar!$A$1:$R$1377,18,0)=0,0,IF(VLOOKUP(A480,Calendar!$A$1:$R$1377,18,0)=1,INDEX(Monthly_Pay_Model!$A$9:$D$40,MATCH(TEXT(A480,"dd"),Monthly_Pay_Model!$C$9:$C$39,0),4),IF(VLOOKUP(A480,Calendar!$A$1:$R$1377,18,0)=2,SUM(INDEX(Monthly_Pay_Model!$A$9:$D$40,MATCH(TEXT(A480,"dd"),Monthly_Pay_Model!$C$9:$C$39,0),4),INDEX(Monthly_Pay_Model!$A$9:$D$40,MATCH(TEXT(A481,"dd"),Monthly_Pay_Model!$C$9:$C$39,0),4)),IF(VLOOKUP(A480,Calendar!$A$1:$R$1377,18,0)=3,SUM(INDEX(Monthly_Pay_Model!$A$9:$D$40,MATCH(TEXT(A480,"dd"),Monthly_Pay_Model!$C$9:$C$39,0),4),INDEX(Monthly_Pay_Model!$A$9:$D$40,MATCH(TEXT(A481,"dd"),Monthly_Pay_Model!$C$9:$C$39,0),4),INDEX(Monthly_Pay_Model!$A$9:$D$40,MATCH(TEXT(A482,"dd"),Monthly_Pay_Model!$C$9:$C$39,0),4)),IF(VLOOKUP(A480,Calendar!$A$1:$R$1377,18,0)=4,SUM(INDEX(Monthly_Pay_Model!$A$9:$D$40,MATCH(TEXT(A480,"dd"),Monthly_Pay_Model!$C$9:$C$39,0),4),INDEX(Monthly_Pay_Model!$A$9:$D$40,MATCH(TEXT(A481,"dd"),Monthly_Pay_Model!$C$9:$C$39,0),4),INDEX(Monthly_Pay_Model!$A$9:$D$40,MATCH(TEXT(A482,"dd"),Monthly_Pay_Model!$C$9:$C$39,0),4),INDEX(Monthly_Pay_Model!$A$9:$D$40,MATCH(TEXT(A483,"dd"),Monthly_Pay_Model!$C$9:$C$39,0),4)),IF(VLOOKUP(A480,Calendar!$A$1:$R$1377,18,0)=5,SUM(INDEX(Monthly_Pay_Model!$A$9:$D$40,MATCH(TEXT(A480,"dd"),Monthly_Pay_Model!$C$9:$C$39,0),4),INDEX(Monthly_Pay_Model!$A$9:$D$40,MATCH(TEXT(A481,"dd"),Monthly_Pay_Model!$C$9:$C$39,0),4),INDEX(Monthly_Pay_Model!$A$9:$D$40,MATCH(TEXT(A482,"dd"),Monthly_Pay_Model!$C$9:$C$39,0),4),INDEX(Monthly_Pay_Model!$A$9:$D$40,MATCH(TEXT(A483,"dd"),Monthly_Pay_Model!$C$9:$C$39,0),4),INDEX(Monthly_Pay_Model!$A$9:$D$40,MATCH(TEXT(A484,"dd"),Monthly_Pay_Model!$C$9:$C$39,0),4)),))))))</f>
        <v>3.2502617801047117E-3</v>
      </c>
      <c r="J480" s="33">
        <f>IF(C480="Yes",Monthly_Pay_Model!$D$2,0)
+IF(Calendar!N480="Yes",Monthly_Pay_Model!$D$3,0)
+IF(D480="Yes",Monthly_Pay_Model!$D$4,0)
+IF(E480="Yes",Monthly_Pay_Model!$D$5,0)</f>
        <v>0</v>
      </c>
      <c r="K480" s="27">
        <f>IF(VLOOKUP($A480,Calendar!$A$1:$R$1377,18,0)=0,0,IF(VLOOKUP($A480,Calendar!$A$1:$R$1377,18,0)=1,IFERROR(INDEX(Weekly_Model!$D$2:$D$9,MATCH(F480,Weekly_Model!$A$2:$A$9,0)),0),IF(VLOOKUP($A480,Calendar!$A$1:$R$1377,18,0)=2,SUM(IFERROR(INDEX(Weekly_Model!$D$2:$D$9,MATCH(F480,Weekly_Model!$A$2:$A$9,0)),0),IFERROR(INDEX(Weekly_Model!$D$2:$D$9,MATCH(F481,Weekly_Model!$A$2:$A$9,0)),0)),IF(VLOOKUP($A480,Calendar!$A$1:$R$1377,18,0)=3,SUM(IFERROR(INDEX(Weekly_Model!$D$2:$D$9,MATCH(F480,Weekly_Model!$A$2:$A$9,0)),0),IFERROR(INDEX(Weekly_Model!$D$2:$D$9,MATCH(F481,Weekly_Model!$A$2:$A$9,0)),0),IFERROR(INDEX(Weekly_Model!$D$2:$D$9,MATCH(F482,Weekly_Model!$A$2:$A$9,0)),0)),IF(VLOOKUP($A480,Calendar!$A$1:$R$1377,18,0)=4,SUM(IFERROR(INDEX(Weekly_Model!$D$2:$D$9,MATCH(F480,Weekly_Model!$A$2:$A$9,0)),0),IFERROR(INDEX(Weekly_Model!$D$2:$D$9,MATCH(F481,Weekly_Model!$A$2:$A$9,0)),0),IFERROR(INDEX(Weekly_Model!$D$2:$D$9,MATCH(F482,Weekly_Model!$A$2:$A$9,0)),0),IFERROR(INDEX(Weekly_Model!$D$2:$D$9,MATCH(F483,Weekly_Model!$A$2:$A$9,0)),0)),IF(VLOOKUP($A480,Calendar!$A$1:$R$1377,18,0)=5,SUM(IFERROR(INDEX(Weekly_Model!$D$2:$D$9,MATCH(F480,Weekly_Model!$A$2:$A$9,0)),0),IFERROR(INDEX(Weekly_Model!$D$2:$D$9,MATCH(F481,Weekly_Model!$A$2:$A$9,0)),0),IFERROR(INDEX(Weekly_Model!$D$2:$D$9,MATCH(F482,Weekly_Model!$A$2:$A$9,0)),0),IFERROR(INDEX(Weekly_Model!$D$2:$D$9,MATCH(F483,Weekly_Model!$A$2:$A$9,0)),0),IFERROR(INDEX(Weekly_Model!$D$2:$D$9,MATCH(F484,Weekly_Model!$A$2:$A$9,0)),0)),0))))))</f>
        <v>2.3200000000000002E-2</v>
      </c>
      <c r="L480" s="27">
        <f>IF(VLOOKUP($A480,Calendar!$A$1:$R$1377,18,0)=0,0,IF(VLOOKUP($A480,Calendar!$A$1:$R$1377,18,0)=1,IFERROR(INDEX(Fortnightly_Model!$D$2:$D$15,MATCH(G480,Fortnightly_Model!$B$2:$B$15,0)),0),IF(VLOOKUP($A480,Calendar!$A$1:$R$1377,18,0)=2,SUM(IFERROR(INDEX(Fortnightly_Model!$D$2:$D$15,MATCH(G480,Fortnightly_Model!$B$2:$B$15,0)),0),IFERROR(INDEX(Fortnightly_Model!$D$2:$D$15,MATCH(G481,Fortnightly_Model!$B$2:$B$15,0)),0)),IF(VLOOKUP($A480,Calendar!$A$1:$R$1377,18,0)=3,SUM(IFERROR(INDEX(Fortnightly_Model!$D$2:$D$15,MATCH(G480,Fortnightly_Model!$B$2:$B$15,0)),0),IFERROR(INDEX(Fortnightly_Model!$D$2:$D$15,MATCH(G481,Fortnightly_Model!$B$2:$B$15,0)),0),IFERROR(INDEX(Fortnightly_Model!$D$2:$D$15,MATCH(G482,Fortnightly_Model!$B$2:$B$15,0)),0)),IF(VLOOKUP($A480,Calendar!$A$1:$R$1377,18,0)=4,SUM(IFERROR(INDEX(Fortnightly_Model!$D$2:$D$15,MATCH(G480,Fortnightly_Model!$B$2:$B$15,0)),0),IFERROR(INDEX(Fortnightly_Model!$D$2:$D$15,MATCH(G481,Fortnightly_Model!$B$2:$B$15,0)),0),IFERROR(INDEX(Fortnightly_Model!$D$2:$D$15,MATCH(G482,Fortnightly_Model!$B$2:$B$15,0)),0),IFERROR(INDEX(Fortnightly_Model!$D$2:$D$15,MATCH(G483,Fortnightly_Model!$B$2:$B$15,0)),0)),IF(VLOOKUP($A480,Calendar!$A$1:$R$1377,18,0)=5,SUM(IFERROR(INDEX(Fortnightly_Model!$D$2:$D$15,MATCH(G480,Fortnightly_Model!$B$2:$B$15,0)),0),IFERROR(INDEX(Fortnightly_Model!$D$2:$D$15,MATCH(G481,Fortnightly_Model!$B$2:$B$15,0)),0),IFERROR(INDEX(Fortnightly_Model!$D$2:$D$15,MATCH(G482,Fortnightly_Model!$B$2:$B$15,0)),0),IFERROR(INDEX(Fortnightly_Model!$D$2:$D$15,MATCH(G483,Fortnightly_Model!$B$2:$B$15,0)),0),IFERROR(INDEX(Fortnightly_Model!$D$2:$D$15,MATCH(G484,Fortnightly_Model!$B$2:$B$15,0)),0)),0))))))</f>
        <v>1.0714285499999999E-3</v>
      </c>
      <c r="M480" s="27">
        <f>IF(VLOOKUP($A480,Calendar!$A$1:$R$1377,18,0)=0,0,IF(VLOOKUP($A480,Calendar!$A$1:$R$1377,18,0)=1,IFERROR(INDEX(FourWeekly_Model!$D$2:$D$29,MATCH(H480,FourWeekly_Model!$B$2:$B$29,0)),0),IF(VLOOKUP($A480,Calendar!$A$1:$R$1377,18,0)=2,SUM(IFERROR(INDEX(FourWeekly_Model!$D$2:$D$29,MATCH(H480,FourWeekly_Model!$B$2:$B$29,0)),0),IFERROR(INDEX(FourWeekly_Model!$D$2:$D$29,MATCH(H481,FourWeekly_Model!$B$2:$B$29,0)),0)),IF(VLOOKUP($A480,Calendar!$A$1:$R$1377,18,0)=3,SUM(IFERROR(INDEX(FourWeekly_Model!$D$2:$D$29,MATCH(H480,FourWeekly_Model!$B$2:$B$29,0)),0),IFERROR(INDEX(FourWeekly_Model!$D$2:$D$29,MATCH(H481,FourWeekly_Model!$B$2:$B$29,0)),0),IFERROR(INDEX(FourWeekly_Model!$D$2:$D$29,MATCH(H482,FourWeekly_Model!$B$2:$B$29,0)),0)),IF(VLOOKUP($A480,Calendar!$A$1:$R$1377,18,0)=4,SUM(IFERROR(INDEX(FourWeekly_Model!$D$2:$D$29,MATCH(H480,FourWeekly_Model!$B$2:$B$29,0)),0),IFERROR(INDEX(FourWeekly_Model!$D$2:$D$29,MATCH(H481,FourWeekly_Model!$B$2:$B$29,0)),0),IFERROR(INDEX(FourWeekly_Model!$D$2:$D$29,MATCH(H482,FourWeekly_Model!$B$2:$B$29,0)),0),IFERROR(INDEX(FourWeekly_Model!$D$2:$D$29,MATCH(H483,FourWeekly_Model!$B$2:$B$29,0)),0)),IF(VLOOKUP($A480,Calendar!$A$1:$R$1377,18,0)=5,SUM(IFERROR(INDEX(FourWeekly_Model!$D$2:$D$29,MATCH(H480,FourWeekly_Model!$B$2:$B$29,0)),0),IFERROR(INDEX(FourWeekly_Model!$D$2:$D$29,MATCH(H481,FourWeekly_Model!$B$2:$B$29,0)),0),IFERROR(INDEX(FourWeekly_Model!$D$2:$D$29,MATCH(H482,FourWeekly_Model!$B$2:$B$29,0)),0),IFERROR(INDEX(FourWeekly_Model!$D$2:$D$29,MATCH(H483,FourWeekly_Model!$B$2:$B$29,0)),0),IFERROR(INDEX(FourWeekly_Model!$D$2:$D$29,MATCH(H484,FourWeekly_Model!$B$2:$B$29,0)),0)),0))))))</f>
        <v>3.3214289700000004E-3</v>
      </c>
      <c r="N480" s="27">
        <f>SUM(I480:M480)</f>
        <v>3.0843119300104714E-2</v>
      </c>
      <c r="O480" s="28">
        <f>Population_Data!$B$8*N480</f>
        <v>934546.51479317283</v>
      </c>
      <c r="P480" s="27">
        <f>IF(VLOOKUP($A480,Calendar!$A$1:$R$1377,18,0)=0,0,IF(VLOOKUP($A480,Calendar!$A$1:$R$1377,18,0)=1,IFERROR(INDEX(Pension_Model!$D$2:$D$29,MATCH(H480,Pension_Model!$B$2:$B$29,0)),0),IF(VLOOKUP($A480,Calendar!$A$1:$R$1377,18,0)=2,SUM(IFERROR(INDEX(Pension_Model!$D$2:$D$29,MATCH(H480,Pension_Model!$B$2:$B$29,0)),0),IFERROR(INDEX(Pension_Model!$D$2:$D$29,MATCH(H481,Pension_Model!$B$2:$B$29,0)),0)),IF(VLOOKUP($A480,Calendar!$A$1:$R$1377,18,0)=3,SUM(IFERROR(INDEX(Pension_Model!$D$2:$D$29,MATCH(H480,Pension_Model!$B$2:$B$29,0)),0),IFERROR(INDEX(Pension_Model!$D$2:$D$29,MATCH(H481,Pension_Model!$B$2:$B$29,0)),0),IFERROR(INDEX(Pension_Model!$D$2:$D$29,MATCH(H482,Pension_Model!$B$2:$B$29,0)),0)),IF(VLOOKUP($A480,Calendar!$A$1:$R$1377,18,0)=4,SUM(IFERROR(INDEX(Pension_Model!$D$2:$D$29,MATCH(H480,Pension_Model!$B$2:$B$29,0)),0),IFERROR(INDEX(Pension_Model!$D$2:$D$29,MATCH(H481,Pension_Model!$B$2:$B$29,0)),0),IFERROR(INDEX(Pension_Model!$D$2:$D$29,MATCH(H482,Pension_Model!$B$2:$B$29,0)),0),IFERROR(INDEX(Pension_Model!$D$2:$D$29,MATCH(H483,Pension_Model!$B$2:$B$29,0)),0)),IF(VLOOKUP($A480,Calendar!$A$1:$R$1377,18,0)=5,SUM(IFERROR(INDEX(Pension_Model!$D$2:$D$29,MATCH(H480,Pension_Model!$B$2:$B$29,0)),0),IFERROR(INDEX(Pension_Model!$D$2:$D$29,MATCH(H481,Pension_Model!$B$2:$B$29,0)),0),IFERROR(INDEX(Pension_Model!$D$2:$D$29,MATCH(H482,Pension_Model!$B$2:$B$29,0)),0),IFERROR(INDEX(Pension_Model!$D$2:$D$29,MATCH(H483,Pension_Model!$B$2:$B$29,0)),0),IFERROR(INDEX(Pension_Model!$D$2:$D$29,MATCH(H484,Pension_Model!$B$2:$B$29,0)),0)),0))))))</f>
        <v>0.05</v>
      </c>
      <c r="Q480" s="28">
        <f>Population_Data!$B$15*P480</f>
        <v>660600</v>
      </c>
      <c r="S480">
        <f t="shared" si="7"/>
        <v>1595146.5147931729</v>
      </c>
      <c r="U480" s="33">
        <f>S480/Population_Data!$B$19</f>
        <v>2.8897581789731393E-2</v>
      </c>
    </row>
    <row r="481" spans="1:21">
      <c r="A481" s="25">
        <f>Calendar!A481</f>
        <v>46714</v>
      </c>
      <c r="B481" t="str">
        <f>Calendar!L481</f>
        <v>Yes</v>
      </c>
      <c r="C481" t="str">
        <f>Calendar!O481</f>
        <v>No</v>
      </c>
      <c r="D481" t="str">
        <f>Calendar!P481</f>
        <v>No</v>
      </c>
      <c r="E481" t="str">
        <f>Calendar!Q481</f>
        <v>No</v>
      </c>
      <c r="F481" t="str">
        <f>Calendar!I481</f>
        <v>Tuesday</v>
      </c>
      <c r="G481">
        <f>Calendar!S481</f>
        <v>10</v>
      </c>
      <c r="H481">
        <f>Calendar!T481</f>
        <v>10</v>
      </c>
      <c r="I481" s="27">
        <f>IF(VLOOKUP(A481,Calendar!$A$1:$R$1377,18,0)=0,0,IF(VLOOKUP(A481,Calendar!$A$1:$R$1377,18,0)=1,INDEX(Monthly_Pay_Model!$A$9:$D$40,MATCH(TEXT(A481,"dd"),Monthly_Pay_Model!$C$9:$C$39,0),4),IF(VLOOKUP(A481,Calendar!$A$1:$R$1377,18,0)=2,SUM(INDEX(Monthly_Pay_Model!$A$9:$D$40,MATCH(TEXT(A481,"dd"),Monthly_Pay_Model!$C$9:$C$39,0),4),INDEX(Monthly_Pay_Model!$A$9:$D$40,MATCH(TEXT(A482,"dd"),Monthly_Pay_Model!$C$9:$C$39,0),4)),IF(VLOOKUP(A481,Calendar!$A$1:$R$1377,18,0)=3,SUM(INDEX(Monthly_Pay_Model!$A$9:$D$40,MATCH(TEXT(A481,"dd"),Monthly_Pay_Model!$C$9:$C$39,0),4),INDEX(Monthly_Pay_Model!$A$9:$D$40,MATCH(TEXT(A482,"dd"),Monthly_Pay_Model!$C$9:$C$39,0),4),INDEX(Monthly_Pay_Model!$A$9:$D$40,MATCH(TEXT(A483,"dd"),Monthly_Pay_Model!$C$9:$C$39,0),4)),IF(VLOOKUP(A481,Calendar!$A$1:$R$1377,18,0)=4,SUM(INDEX(Monthly_Pay_Model!$A$9:$D$40,MATCH(TEXT(A481,"dd"),Monthly_Pay_Model!$C$9:$C$39,0),4),INDEX(Monthly_Pay_Model!$A$9:$D$40,MATCH(TEXT(A482,"dd"),Monthly_Pay_Model!$C$9:$C$39,0),4),INDEX(Monthly_Pay_Model!$A$9:$D$40,MATCH(TEXT(A483,"dd"),Monthly_Pay_Model!$C$9:$C$39,0),4),INDEX(Monthly_Pay_Model!$A$9:$D$40,MATCH(TEXT(A484,"dd"),Monthly_Pay_Model!$C$9:$C$39,0),4)),IF(VLOOKUP(A481,Calendar!$A$1:$R$1377,18,0)=5,SUM(INDEX(Monthly_Pay_Model!$A$9:$D$40,MATCH(TEXT(A481,"dd"),Monthly_Pay_Model!$C$9:$C$39,0),4),INDEX(Monthly_Pay_Model!$A$9:$D$40,MATCH(TEXT(A482,"dd"),Monthly_Pay_Model!$C$9:$C$39,0),4),INDEX(Monthly_Pay_Model!$A$9:$D$40,MATCH(TEXT(A483,"dd"),Monthly_Pay_Model!$C$9:$C$39,0),4),INDEX(Monthly_Pay_Model!$A$9:$D$40,MATCH(TEXT(A484,"dd"),Monthly_Pay_Model!$C$9:$C$39,0),4),INDEX(Monthly_Pay_Model!$A$9:$D$40,MATCH(TEXT(A485,"dd"),Monthly_Pay_Model!$C$9:$C$39,0),4)),))))))</f>
        <v>4.0628272251308894E-3</v>
      </c>
      <c r="J481" s="33">
        <f>IF(C481="Yes",Monthly_Pay_Model!$D$2,0)
+IF(Calendar!N481="Yes",Monthly_Pay_Model!$D$3,0)
+IF(D481="Yes",Monthly_Pay_Model!$D$4,0)
+IF(E481="Yes",Monthly_Pay_Model!$D$5,0)</f>
        <v>0</v>
      </c>
      <c r="K481" s="27">
        <f>IF(VLOOKUP($A481,Calendar!$A$1:$R$1377,18,0)=0,0,IF(VLOOKUP($A481,Calendar!$A$1:$R$1377,18,0)=1,IFERROR(INDEX(Weekly_Model!$D$2:$D$9,MATCH(F481,Weekly_Model!$A$2:$A$9,0)),0),IF(VLOOKUP($A481,Calendar!$A$1:$R$1377,18,0)=2,SUM(IFERROR(INDEX(Weekly_Model!$D$2:$D$9,MATCH(F481,Weekly_Model!$A$2:$A$9,0)),0),IFERROR(INDEX(Weekly_Model!$D$2:$D$9,MATCH(F482,Weekly_Model!$A$2:$A$9,0)),0)),IF(VLOOKUP($A481,Calendar!$A$1:$R$1377,18,0)=3,SUM(IFERROR(INDEX(Weekly_Model!$D$2:$D$9,MATCH(F481,Weekly_Model!$A$2:$A$9,0)),0),IFERROR(INDEX(Weekly_Model!$D$2:$D$9,MATCH(F482,Weekly_Model!$A$2:$A$9,0)),0),IFERROR(INDEX(Weekly_Model!$D$2:$D$9,MATCH(F483,Weekly_Model!$A$2:$A$9,0)),0)),IF(VLOOKUP($A481,Calendar!$A$1:$R$1377,18,0)=4,SUM(IFERROR(INDEX(Weekly_Model!$D$2:$D$9,MATCH(F481,Weekly_Model!$A$2:$A$9,0)),0),IFERROR(INDEX(Weekly_Model!$D$2:$D$9,MATCH(F482,Weekly_Model!$A$2:$A$9,0)),0),IFERROR(INDEX(Weekly_Model!$D$2:$D$9,MATCH(F483,Weekly_Model!$A$2:$A$9,0)),0),IFERROR(INDEX(Weekly_Model!$D$2:$D$9,MATCH(F484,Weekly_Model!$A$2:$A$9,0)),0)),IF(VLOOKUP($A481,Calendar!$A$1:$R$1377,18,0)=5,SUM(IFERROR(INDEX(Weekly_Model!$D$2:$D$9,MATCH(F481,Weekly_Model!$A$2:$A$9,0)),0),IFERROR(INDEX(Weekly_Model!$D$2:$D$9,MATCH(F482,Weekly_Model!$A$2:$A$9,0)),0),IFERROR(INDEX(Weekly_Model!$D$2:$D$9,MATCH(F483,Weekly_Model!$A$2:$A$9,0)),0),IFERROR(INDEX(Weekly_Model!$D$2:$D$9,MATCH(F484,Weekly_Model!$A$2:$A$9,0)),0),IFERROR(INDEX(Weekly_Model!$D$2:$D$9,MATCH(F485,Weekly_Model!$A$2:$A$9,0)),0)),0))))))</f>
        <v>2.3200000000000002E-2</v>
      </c>
      <c r="L481" s="27">
        <f>IF(VLOOKUP($A481,Calendar!$A$1:$R$1377,18,0)=0,0,IF(VLOOKUP($A481,Calendar!$A$1:$R$1377,18,0)=1,IFERROR(INDEX(Fortnightly_Model!$D$2:$D$15,MATCH(G481,Fortnightly_Model!$B$2:$B$15,0)),0),IF(VLOOKUP($A481,Calendar!$A$1:$R$1377,18,0)=2,SUM(IFERROR(INDEX(Fortnightly_Model!$D$2:$D$15,MATCH(G481,Fortnightly_Model!$B$2:$B$15,0)),0),IFERROR(INDEX(Fortnightly_Model!$D$2:$D$15,MATCH(G482,Fortnightly_Model!$B$2:$B$15,0)),0)),IF(VLOOKUP($A481,Calendar!$A$1:$R$1377,18,0)=3,SUM(IFERROR(INDEX(Fortnightly_Model!$D$2:$D$15,MATCH(G481,Fortnightly_Model!$B$2:$B$15,0)),0),IFERROR(INDEX(Fortnightly_Model!$D$2:$D$15,MATCH(G482,Fortnightly_Model!$B$2:$B$15,0)),0),IFERROR(INDEX(Fortnightly_Model!$D$2:$D$15,MATCH(G483,Fortnightly_Model!$B$2:$B$15,0)),0)),IF(VLOOKUP($A481,Calendar!$A$1:$R$1377,18,0)=4,SUM(IFERROR(INDEX(Fortnightly_Model!$D$2:$D$15,MATCH(G481,Fortnightly_Model!$B$2:$B$15,0)),0),IFERROR(INDEX(Fortnightly_Model!$D$2:$D$15,MATCH(G482,Fortnightly_Model!$B$2:$B$15,0)),0),IFERROR(INDEX(Fortnightly_Model!$D$2:$D$15,MATCH(G483,Fortnightly_Model!$B$2:$B$15,0)),0),IFERROR(INDEX(Fortnightly_Model!$D$2:$D$15,MATCH(G484,Fortnightly_Model!$B$2:$B$15,0)),0)),IF(VLOOKUP($A481,Calendar!$A$1:$R$1377,18,0)=5,SUM(IFERROR(INDEX(Fortnightly_Model!$D$2:$D$15,MATCH(G481,Fortnightly_Model!$B$2:$B$15,0)),0),IFERROR(INDEX(Fortnightly_Model!$D$2:$D$15,MATCH(G482,Fortnightly_Model!$B$2:$B$15,0)),0),IFERROR(INDEX(Fortnightly_Model!$D$2:$D$15,MATCH(G483,Fortnightly_Model!$B$2:$B$15,0)),0),IFERROR(INDEX(Fortnightly_Model!$D$2:$D$15,MATCH(G484,Fortnightly_Model!$B$2:$B$15,0)),0),IFERROR(INDEX(Fortnightly_Model!$D$2:$D$15,MATCH(G485,Fortnightly_Model!$B$2:$B$15,0)),0)),0))))))</f>
        <v>1.0714285499999999E-3</v>
      </c>
      <c r="M481" s="27">
        <f>IF(VLOOKUP($A481,Calendar!$A$1:$R$1377,18,0)=0,0,IF(VLOOKUP($A481,Calendar!$A$1:$R$1377,18,0)=1,IFERROR(INDEX(FourWeekly_Model!$D$2:$D$29,MATCH(H481,FourWeekly_Model!$B$2:$B$29,0)),0),IF(VLOOKUP($A481,Calendar!$A$1:$R$1377,18,0)=2,SUM(IFERROR(INDEX(FourWeekly_Model!$D$2:$D$29,MATCH(H481,FourWeekly_Model!$B$2:$B$29,0)),0),IFERROR(INDEX(FourWeekly_Model!$D$2:$D$29,MATCH(H482,FourWeekly_Model!$B$2:$B$29,0)),0)),IF(VLOOKUP($A481,Calendar!$A$1:$R$1377,18,0)=3,SUM(IFERROR(INDEX(FourWeekly_Model!$D$2:$D$29,MATCH(H481,FourWeekly_Model!$B$2:$B$29,0)),0),IFERROR(INDEX(FourWeekly_Model!$D$2:$D$29,MATCH(H482,FourWeekly_Model!$B$2:$B$29,0)),0),IFERROR(INDEX(FourWeekly_Model!$D$2:$D$29,MATCH(H483,FourWeekly_Model!$B$2:$B$29,0)),0)),IF(VLOOKUP($A481,Calendar!$A$1:$R$1377,18,0)=4,SUM(IFERROR(INDEX(FourWeekly_Model!$D$2:$D$29,MATCH(H481,FourWeekly_Model!$B$2:$B$29,0)),0),IFERROR(INDEX(FourWeekly_Model!$D$2:$D$29,MATCH(H482,FourWeekly_Model!$B$2:$B$29,0)),0),IFERROR(INDEX(FourWeekly_Model!$D$2:$D$29,MATCH(H483,FourWeekly_Model!$B$2:$B$29,0)),0),IFERROR(INDEX(FourWeekly_Model!$D$2:$D$29,MATCH(H484,FourWeekly_Model!$B$2:$B$29,0)),0)),IF(VLOOKUP($A481,Calendar!$A$1:$R$1377,18,0)=5,SUM(IFERROR(INDEX(FourWeekly_Model!$D$2:$D$29,MATCH(H481,FourWeekly_Model!$B$2:$B$29,0)),0),IFERROR(INDEX(FourWeekly_Model!$D$2:$D$29,MATCH(H482,FourWeekly_Model!$B$2:$B$29,0)),0),IFERROR(INDEX(FourWeekly_Model!$D$2:$D$29,MATCH(H483,FourWeekly_Model!$B$2:$B$29,0)),0),IFERROR(INDEX(FourWeekly_Model!$D$2:$D$29,MATCH(H484,FourWeekly_Model!$B$2:$B$29,0)),0),IFERROR(INDEX(FourWeekly_Model!$D$2:$D$29,MATCH(H485,FourWeekly_Model!$B$2:$B$29,0)),0)),0))))))</f>
        <v>3.3214289700000004E-3</v>
      </c>
      <c r="N481" s="27">
        <f>SUM(I481:M481)</f>
        <v>3.1655684745130891E-2</v>
      </c>
      <c r="O481" s="28">
        <f>Population_Data!$B$8*N481</f>
        <v>959167.24777746596</v>
      </c>
      <c r="P481" s="27">
        <f>IF(VLOOKUP($A481,Calendar!$A$1:$R$1377,18,0)=0,0,IF(VLOOKUP($A481,Calendar!$A$1:$R$1377,18,0)=1,IFERROR(INDEX(Pension_Model!$D$2:$D$29,MATCH(H481,Pension_Model!$B$2:$B$29,0)),0),IF(VLOOKUP($A481,Calendar!$A$1:$R$1377,18,0)=2,SUM(IFERROR(INDEX(Pension_Model!$D$2:$D$29,MATCH(H481,Pension_Model!$B$2:$B$29,0)),0),IFERROR(INDEX(Pension_Model!$D$2:$D$29,MATCH(H482,Pension_Model!$B$2:$B$29,0)),0)),IF(VLOOKUP($A481,Calendar!$A$1:$R$1377,18,0)=3,SUM(IFERROR(INDEX(Pension_Model!$D$2:$D$29,MATCH(H481,Pension_Model!$B$2:$B$29,0)),0),IFERROR(INDEX(Pension_Model!$D$2:$D$29,MATCH(H482,Pension_Model!$B$2:$B$29,0)),0),IFERROR(INDEX(Pension_Model!$D$2:$D$29,MATCH(H483,Pension_Model!$B$2:$B$29,0)),0)),IF(VLOOKUP($A481,Calendar!$A$1:$R$1377,18,0)=4,SUM(IFERROR(INDEX(Pension_Model!$D$2:$D$29,MATCH(H481,Pension_Model!$B$2:$B$29,0)),0),IFERROR(INDEX(Pension_Model!$D$2:$D$29,MATCH(H482,Pension_Model!$B$2:$B$29,0)),0),IFERROR(INDEX(Pension_Model!$D$2:$D$29,MATCH(H483,Pension_Model!$B$2:$B$29,0)),0),IFERROR(INDEX(Pension_Model!$D$2:$D$29,MATCH(H484,Pension_Model!$B$2:$B$29,0)),0)),IF(VLOOKUP($A481,Calendar!$A$1:$R$1377,18,0)=5,SUM(IFERROR(INDEX(Pension_Model!$D$2:$D$29,MATCH(H481,Pension_Model!$B$2:$B$29,0)),0),IFERROR(INDEX(Pension_Model!$D$2:$D$29,MATCH(H482,Pension_Model!$B$2:$B$29,0)),0),IFERROR(INDEX(Pension_Model!$D$2:$D$29,MATCH(H483,Pension_Model!$B$2:$B$29,0)),0),IFERROR(INDEX(Pension_Model!$D$2:$D$29,MATCH(H484,Pension_Model!$B$2:$B$29,0)),0),IFERROR(INDEX(Pension_Model!$D$2:$D$29,MATCH(H485,Pension_Model!$B$2:$B$29,0)),0)),0))))))</f>
        <v>0.05</v>
      </c>
      <c r="Q481" s="28">
        <f>Population_Data!$B$15*P481</f>
        <v>660600</v>
      </c>
      <c r="S481">
        <f t="shared" si="7"/>
        <v>1619767.247777466</v>
      </c>
      <c r="U481" s="33">
        <f>S481/Population_Data!$B$19</f>
        <v>2.9343609561185979E-2</v>
      </c>
    </row>
    <row r="482" spans="1:21">
      <c r="A482" s="25">
        <f>Calendar!A482</f>
        <v>46715</v>
      </c>
      <c r="B482" t="str">
        <f>Calendar!L482</f>
        <v>Yes</v>
      </c>
      <c r="C482" t="str">
        <f>Calendar!O482</f>
        <v>No</v>
      </c>
      <c r="D482" t="str">
        <f>Calendar!P482</f>
        <v>No</v>
      </c>
      <c r="E482" t="str">
        <f>Calendar!Q482</f>
        <v>No</v>
      </c>
      <c r="F482" t="str">
        <f>Calendar!I482</f>
        <v>Wednesday</v>
      </c>
      <c r="G482">
        <f>Calendar!S482</f>
        <v>11</v>
      </c>
      <c r="H482">
        <f>Calendar!T482</f>
        <v>11</v>
      </c>
      <c r="I482" s="27">
        <f>IF(VLOOKUP(A482,Calendar!$A$1:$R$1377,18,0)=0,0,IF(VLOOKUP(A482,Calendar!$A$1:$R$1377,18,0)=1,INDEX(Monthly_Pay_Model!$A$9:$D$40,MATCH(TEXT(A482,"dd"),Monthly_Pay_Model!$C$9:$C$39,0),4),IF(VLOOKUP(A482,Calendar!$A$1:$R$1377,18,0)=2,SUM(INDEX(Monthly_Pay_Model!$A$9:$D$40,MATCH(TEXT(A482,"dd"),Monthly_Pay_Model!$C$9:$C$39,0),4),INDEX(Monthly_Pay_Model!$A$9:$D$40,MATCH(TEXT(A483,"dd"),Monthly_Pay_Model!$C$9:$C$39,0),4)),IF(VLOOKUP(A482,Calendar!$A$1:$R$1377,18,0)=3,SUM(INDEX(Monthly_Pay_Model!$A$9:$D$40,MATCH(TEXT(A482,"dd"),Monthly_Pay_Model!$C$9:$C$39,0),4),INDEX(Monthly_Pay_Model!$A$9:$D$40,MATCH(TEXT(A483,"dd"),Monthly_Pay_Model!$C$9:$C$39,0),4),INDEX(Monthly_Pay_Model!$A$9:$D$40,MATCH(TEXT(A484,"dd"),Monthly_Pay_Model!$C$9:$C$39,0),4)),IF(VLOOKUP(A482,Calendar!$A$1:$R$1377,18,0)=4,SUM(INDEX(Monthly_Pay_Model!$A$9:$D$40,MATCH(TEXT(A482,"dd"),Monthly_Pay_Model!$C$9:$C$39,0),4),INDEX(Monthly_Pay_Model!$A$9:$D$40,MATCH(TEXT(A483,"dd"),Monthly_Pay_Model!$C$9:$C$39,0),4),INDEX(Monthly_Pay_Model!$A$9:$D$40,MATCH(TEXT(A484,"dd"),Monthly_Pay_Model!$C$9:$C$39,0),4),INDEX(Monthly_Pay_Model!$A$9:$D$40,MATCH(TEXT(A485,"dd"),Monthly_Pay_Model!$C$9:$C$39,0),4)),IF(VLOOKUP(A482,Calendar!$A$1:$R$1377,18,0)=5,SUM(INDEX(Monthly_Pay_Model!$A$9:$D$40,MATCH(TEXT(A482,"dd"),Monthly_Pay_Model!$C$9:$C$39,0),4),INDEX(Monthly_Pay_Model!$A$9:$D$40,MATCH(TEXT(A483,"dd"),Monthly_Pay_Model!$C$9:$C$39,0),4),INDEX(Monthly_Pay_Model!$A$9:$D$40,MATCH(TEXT(A484,"dd"),Monthly_Pay_Model!$C$9:$C$39,0),4),INDEX(Monthly_Pay_Model!$A$9:$D$40,MATCH(TEXT(A485,"dd"),Monthly_Pay_Model!$C$9:$C$39,0),4),INDEX(Monthly_Pay_Model!$A$9:$D$40,MATCH(TEXT(A486,"dd"),Monthly_Pay_Model!$C$9:$C$39,0),4)),))))))</f>
        <v>7.3130890052356002E-3</v>
      </c>
      <c r="J482" s="33">
        <f>IF(C482="Yes",Monthly_Pay_Model!$D$2,0)
+IF(Calendar!N482="Yes",Monthly_Pay_Model!$D$3,0)
+IF(D482="Yes",Monthly_Pay_Model!$D$4,0)
+IF(E482="Yes",Monthly_Pay_Model!$D$5,0)</f>
        <v>0</v>
      </c>
      <c r="K482" s="27">
        <f>IF(VLOOKUP($A482,Calendar!$A$1:$R$1377,18,0)=0,0,IF(VLOOKUP($A482,Calendar!$A$1:$R$1377,18,0)=1,IFERROR(INDEX(Weekly_Model!$D$2:$D$9,MATCH(F482,Weekly_Model!$A$2:$A$9,0)),0),IF(VLOOKUP($A482,Calendar!$A$1:$R$1377,18,0)=2,SUM(IFERROR(INDEX(Weekly_Model!$D$2:$D$9,MATCH(F482,Weekly_Model!$A$2:$A$9,0)),0),IFERROR(INDEX(Weekly_Model!$D$2:$D$9,MATCH(F483,Weekly_Model!$A$2:$A$9,0)),0)),IF(VLOOKUP($A482,Calendar!$A$1:$R$1377,18,0)=3,SUM(IFERROR(INDEX(Weekly_Model!$D$2:$D$9,MATCH(F482,Weekly_Model!$A$2:$A$9,0)),0),IFERROR(INDEX(Weekly_Model!$D$2:$D$9,MATCH(F483,Weekly_Model!$A$2:$A$9,0)),0),IFERROR(INDEX(Weekly_Model!$D$2:$D$9,MATCH(F484,Weekly_Model!$A$2:$A$9,0)),0)),IF(VLOOKUP($A482,Calendar!$A$1:$R$1377,18,0)=4,SUM(IFERROR(INDEX(Weekly_Model!$D$2:$D$9,MATCH(F482,Weekly_Model!$A$2:$A$9,0)),0),IFERROR(INDEX(Weekly_Model!$D$2:$D$9,MATCH(F483,Weekly_Model!$A$2:$A$9,0)),0),IFERROR(INDEX(Weekly_Model!$D$2:$D$9,MATCH(F484,Weekly_Model!$A$2:$A$9,0)),0),IFERROR(INDEX(Weekly_Model!$D$2:$D$9,MATCH(F485,Weekly_Model!$A$2:$A$9,0)),0)),IF(VLOOKUP($A482,Calendar!$A$1:$R$1377,18,0)=5,SUM(IFERROR(INDEX(Weekly_Model!$D$2:$D$9,MATCH(F482,Weekly_Model!$A$2:$A$9,0)),0),IFERROR(INDEX(Weekly_Model!$D$2:$D$9,MATCH(F483,Weekly_Model!$A$2:$A$9,0)),0),IFERROR(INDEX(Weekly_Model!$D$2:$D$9,MATCH(F484,Weekly_Model!$A$2:$A$9,0)),0),IFERROR(INDEX(Weekly_Model!$D$2:$D$9,MATCH(F485,Weekly_Model!$A$2:$A$9,0)),0),IFERROR(INDEX(Weekly_Model!$D$2:$D$9,MATCH(F486,Weekly_Model!$A$2:$A$9,0)),0)),0))))))</f>
        <v>2.3200000000000002E-2</v>
      </c>
      <c r="L482" s="27">
        <f>IF(VLOOKUP($A482,Calendar!$A$1:$R$1377,18,0)=0,0,IF(VLOOKUP($A482,Calendar!$A$1:$R$1377,18,0)=1,IFERROR(INDEX(Fortnightly_Model!$D$2:$D$15,MATCH(G482,Fortnightly_Model!$B$2:$B$15,0)),0),IF(VLOOKUP($A482,Calendar!$A$1:$R$1377,18,0)=2,SUM(IFERROR(INDEX(Fortnightly_Model!$D$2:$D$15,MATCH(G482,Fortnightly_Model!$B$2:$B$15,0)),0),IFERROR(INDEX(Fortnightly_Model!$D$2:$D$15,MATCH(G483,Fortnightly_Model!$B$2:$B$15,0)),0)),IF(VLOOKUP($A482,Calendar!$A$1:$R$1377,18,0)=3,SUM(IFERROR(INDEX(Fortnightly_Model!$D$2:$D$15,MATCH(G482,Fortnightly_Model!$B$2:$B$15,0)),0),IFERROR(INDEX(Fortnightly_Model!$D$2:$D$15,MATCH(G483,Fortnightly_Model!$B$2:$B$15,0)),0),IFERROR(INDEX(Fortnightly_Model!$D$2:$D$15,MATCH(G484,Fortnightly_Model!$B$2:$B$15,0)),0)),IF(VLOOKUP($A482,Calendar!$A$1:$R$1377,18,0)=4,SUM(IFERROR(INDEX(Fortnightly_Model!$D$2:$D$15,MATCH(G482,Fortnightly_Model!$B$2:$B$15,0)),0),IFERROR(INDEX(Fortnightly_Model!$D$2:$D$15,MATCH(G483,Fortnightly_Model!$B$2:$B$15,0)),0),IFERROR(INDEX(Fortnightly_Model!$D$2:$D$15,MATCH(G484,Fortnightly_Model!$B$2:$B$15,0)),0),IFERROR(INDEX(Fortnightly_Model!$D$2:$D$15,MATCH(G485,Fortnightly_Model!$B$2:$B$15,0)),0)),IF(VLOOKUP($A482,Calendar!$A$1:$R$1377,18,0)=5,SUM(IFERROR(INDEX(Fortnightly_Model!$D$2:$D$15,MATCH(G482,Fortnightly_Model!$B$2:$B$15,0)),0),IFERROR(INDEX(Fortnightly_Model!$D$2:$D$15,MATCH(G483,Fortnightly_Model!$B$2:$B$15,0)),0),IFERROR(INDEX(Fortnightly_Model!$D$2:$D$15,MATCH(G484,Fortnightly_Model!$B$2:$B$15,0)),0),IFERROR(INDEX(Fortnightly_Model!$D$2:$D$15,MATCH(G485,Fortnightly_Model!$B$2:$B$15,0)),0),IFERROR(INDEX(Fortnightly_Model!$D$2:$D$15,MATCH(G486,Fortnightly_Model!$B$2:$B$15,0)),0)),0))))))</f>
        <v>1.0714285499999999E-3</v>
      </c>
      <c r="M482" s="27">
        <f>IF(VLOOKUP($A482,Calendar!$A$1:$R$1377,18,0)=0,0,IF(VLOOKUP($A482,Calendar!$A$1:$R$1377,18,0)=1,IFERROR(INDEX(FourWeekly_Model!$D$2:$D$29,MATCH(H482,FourWeekly_Model!$B$2:$B$29,0)),0),IF(VLOOKUP($A482,Calendar!$A$1:$R$1377,18,0)=2,SUM(IFERROR(INDEX(FourWeekly_Model!$D$2:$D$29,MATCH(H482,FourWeekly_Model!$B$2:$B$29,0)),0),IFERROR(INDEX(FourWeekly_Model!$D$2:$D$29,MATCH(H483,FourWeekly_Model!$B$2:$B$29,0)),0)),IF(VLOOKUP($A482,Calendar!$A$1:$R$1377,18,0)=3,SUM(IFERROR(INDEX(FourWeekly_Model!$D$2:$D$29,MATCH(H482,FourWeekly_Model!$B$2:$B$29,0)),0),IFERROR(INDEX(FourWeekly_Model!$D$2:$D$29,MATCH(H483,FourWeekly_Model!$B$2:$B$29,0)),0),IFERROR(INDEX(FourWeekly_Model!$D$2:$D$29,MATCH(H484,FourWeekly_Model!$B$2:$B$29,0)),0)),IF(VLOOKUP($A482,Calendar!$A$1:$R$1377,18,0)=4,SUM(IFERROR(INDEX(FourWeekly_Model!$D$2:$D$29,MATCH(H482,FourWeekly_Model!$B$2:$B$29,0)),0),IFERROR(INDEX(FourWeekly_Model!$D$2:$D$29,MATCH(H483,FourWeekly_Model!$B$2:$B$29,0)),0),IFERROR(INDEX(FourWeekly_Model!$D$2:$D$29,MATCH(H484,FourWeekly_Model!$B$2:$B$29,0)),0),IFERROR(INDEX(FourWeekly_Model!$D$2:$D$29,MATCH(H485,FourWeekly_Model!$B$2:$B$29,0)),0)),IF(VLOOKUP($A482,Calendar!$A$1:$R$1377,18,0)=5,SUM(IFERROR(INDEX(FourWeekly_Model!$D$2:$D$29,MATCH(H482,FourWeekly_Model!$B$2:$B$29,0)),0),IFERROR(INDEX(FourWeekly_Model!$D$2:$D$29,MATCH(H483,FourWeekly_Model!$B$2:$B$29,0)),0),IFERROR(INDEX(FourWeekly_Model!$D$2:$D$29,MATCH(H484,FourWeekly_Model!$B$2:$B$29,0)),0),IFERROR(INDEX(FourWeekly_Model!$D$2:$D$29,MATCH(H485,FourWeekly_Model!$B$2:$B$29,0)),0),IFERROR(INDEX(FourWeekly_Model!$D$2:$D$29,MATCH(H486,FourWeekly_Model!$B$2:$B$29,0)),0)),0))))))</f>
        <v>3.3214289700000004E-3</v>
      </c>
      <c r="N482" s="27">
        <f>SUM(I482:M482)</f>
        <v>3.4905946525235605E-2</v>
      </c>
      <c r="O482" s="28">
        <f>Population_Data!$B$8*N482</f>
        <v>1057650.1797146387</v>
      </c>
      <c r="P482" s="27">
        <f>IF(VLOOKUP($A482,Calendar!$A$1:$R$1377,18,0)=0,0,IF(VLOOKUP($A482,Calendar!$A$1:$R$1377,18,0)=1,IFERROR(INDEX(Pension_Model!$D$2:$D$29,MATCH(H482,Pension_Model!$B$2:$B$29,0)),0),IF(VLOOKUP($A482,Calendar!$A$1:$R$1377,18,0)=2,SUM(IFERROR(INDEX(Pension_Model!$D$2:$D$29,MATCH(H482,Pension_Model!$B$2:$B$29,0)),0),IFERROR(INDEX(Pension_Model!$D$2:$D$29,MATCH(H483,Pension_Model!$B$2:$B$29,0)),0)),IF(VLOOKUP($A482,Calendar!$A$1:$R$1377,18,0)=3,SUM(IFERROR(INDEX(Pension_Model!$D$2:$D$29,MATCH(H482,Pension_Model!$B$2:$B$29,0)),0),IFERROR(INDEX(Pension_Model!$D$2:$D$29,MATCH(H483,Pension_Model!$B$2:$B$29,0)),0),IFERROR(INDEX(Pension_Model!$D$2:$D$29,MATCH(H484,Pension_Model!$B$2:$B$29,0)),0)),IF(VLOOKUP($A482,Calendar!$A$1:$R$1377,18,0)=4,SUM(IFERROR(INDEX(Pension_Model!$D$2:$D$29,MATCH(H482,Pension_Model!$B$2:$B$29,0)),0),IFERROR(INDEX(Pension_Model!$D$2:$D$29,MATCH(H483,Pension_Model!$B$2:$B$29,0)),0),IFERROR(INDEX(Pension_Model!$D$2:$D$29,MATCH(H484,Pension_Model!$B$2:$B$29,0)),0),IFERROR(INDEX(Pension_Model!$D$2:$D$29,MATCH(H485,Pension_Model!$B$2:$B$29,0)),0)),IF(VLOOKUP($A482,Calendar!$A$1:$R$1377,18,0)=5,SUM(IFERROR(INDEX(Pension_Model!$D$2:$D$29,MATCH(H482,Pension_Model!$B$2:$B$29,0)),0),IFERROR(INDEX(Pension_Model!$D$2:$D$29,MATCH(H483,Pension_Model!$B$2:$B$29,0)),0),IFERROR(INDEX(Pension_Model!$D$2:$D$29,MATCH(H484,Pension_Model!$B$2:$B$29,0)),0),IFERROR(INDEX(Pension_Model!$D$2:$D$29,MATCH(H485,Pension_Model!$B$2:$B$29,0)),0),IFERROR(INDEX(Pension_Model!$D$2:$D$29,MATCH(H486,Pension_Model!$B$2:$B$29,0)),0)),0))))))</f>
        <v>0.05</v>
      </c>
      <c r="Q482" s="28">
        <f>Population_Data!$B$15*P482</f>
        <v>660600</v>
      </c>
      <c r="S482">
        <f t="shared" si="7"/>
        <v>1718250.1797146387</v>
      </c>
      <c r="U482" s="33">
        <f>S482/Population_Data!$B$19</f>
        <v>3.1127720647004326E-2</v>
      </c>
    </row>
    <row r="483" spans="1:21">
      <c r="A483" s="25">
        <f>Calendar!A483</f>
        <v>46716</v>
      </c>
      <c r="B483" t="str">
        <f>Calendar!L483</f>
        <v>Yes</v>
      </c>
      <c r="C483" t="str">
        <f>Calendar!O483</f>
        <v>No</v>
      </c>
      <c r="D483" t="str">
        <f>Calendar!P483</f>
        <v>No</v>
      </c>
      <c r="E483" t="str">
        <f>Calendar!Q483</f>
        <v>Yes</v>
      </c>
      <c r="F483" t="str">
        <f>Calendar!I483</f>
        <v>Thursday</v>
      </c>
      <c r="G483">
        <f>Calendar!S483</f>
        <v>12</v>
      </c>
      <c r="H483">
        <f>Calendar!T483</f>
        <v>12</v>
      </c>
      <c r="I483" s="27">
        <f>IF(VLOOKUP(A483,Calendar!$A$1:$R$1377,18,0)=0,0,IF(VLOOKUP(A483,Calendar!$A$1:$R$1377,18,0)=1,INDEX(Monthly_Pay_Model!$A$9:$D$40,MATCH(TEXT(A483,"dd"),Monthly_Pay_Model!$C$9:$C$39,0),4),IF(VLOOKUP(A483,Calendar!$A$1:$R$1377,18,0)=2,SUM(INDEX(Monthly_Pay_Model!$A$9:$D$40,MATCH(TEXT(A483,"dd"),Monthly_Pay_Model!$C$9:$C$39,0),4),INDEX(Monthly_Pay_Model!$A$9:$D$40,MATCH(TEXT(A484,"dd"),Monthly_Pay_Model!$C$9:$C$39,0),4)),IF(VLOOKUP(A483,Calendar!$A$1:$R$1377,18,0)=3,SUM(INDEX(Monthly_Pay_Model!$A$9:$D$40,MATCH(TEXT(A483,"dd"),Monthly_Pay_Model!$C$9:$C$39,0),4),INDEX(Monthly_Pay_Model!$A$9:$D$40,MATCH(TEXT(A484,"dd"),Monthly_Pay_Model!$C$9:$C$39,0),4),INDEX(Monthly_Pay_Model!$A$9:$D$40,MATCH(TEXT(A485,"dd"),Monthly_Pay_Model!$C$9:$C$39,0),4)),IF(VLOOKUP(A483,Calendar!$A$1:$R$1377,18,0)=4,SUM(INDEX(Monthly_Pay_Model!$A$9:$D$40,MATCH(TEXT(A483,"dd"),Monthly_Pay_Model!$C$9:$C$39,0),4),INDEX(Monthly_Pay_Model!$A$9:$D$40,MATCH(TEXT(A484,"dd"),Monthly_Pay_Model!$C$9:$C$39,0),4),INDEX(Monthly_Pay_Model!$A$9:$D$40,MATCH(TEXT(A485,"dd"),Monthly_Pay_Model!$C$9:$C$39,0),4),INDEX(Monthly_Pay_Model!$A$9:$D$40,MATCH(TEXT(A486,"dd"),Monthly_Pay_Model!$C$9:$C$39,0),4)),IF(VLOOKUP(A483,Calendar!$A$1:$R$1377,18,0)=5,SUM(INDEX(Monthly_Pay_Model!$A$9:$D$40,MATCH(TEXT(A483,"dd"),Monthly_Pay_Model!$C$9:$C$39,0),4),INDEX(Monthly_Pay_Model!$A$9:$D$40,MATCH(TEXT(A484,"dd"),Monthly_Pay_Model!$C$9:$C$39,0),4),INDEX(Monthly_Pay_Model!$A$9:$D$40,MATCH(TEXT(A485,"dd"),Monthly_Pay_Model!$C$9:$C$39,0),4),INDEX(Monthly_Pay_Model!$A$9:$D$40,MATCH(TEXT(A486,"dd"),Monthly_Pay_Model!$C$9:$C$39,0),4),INDEX(Monthly_Pay_Model!$A$9:$D$40,MATCH(TEXT(A487,"dd"),Monthly_Pay_Model!$C$9:$C$39,0),4)),))))))</f>
        <v>2.1939267015706802E-2</v>
      </c>
      <c r="J483" s="33">
        <f>IF(C483="Yes",Monthly_Pay_Model!$D$2,0)
+IF(Calendar!N483="Yes",Monthly_Pay_Model!$D$3,0)
+IF(D483="Yes",Monthly_Pay_Model!$D$4,0)
+IF(E483="Yes",Monthly_Pay_Model!$D$5,0)</f>
        <v>5.4320000000000007E-2</v>
      </c>
      <c r="K483" s="27">
        <f>IF(VLOOKUP($A483,Calendar!$A$1:$R$1377,18,0)=0,0,IF(VLOOKUP($A483,Calendar!$A$1:$R$1377,18,0)=1,IFERROR(INDEX(Weekly_Model!$D$2:$D$9,MATCH(F483,Weekly_Model!$A$2:$A$9,0)),0),IF(VLOOKUP($A483,Calendar!$A$1:$R$1377,18,0)=2,SUM(IFERROR(INDEX(Weekly_Model!$D$2:$D$9,MATCH(F483,Weekly_Model!$A$2:$A$9,0)),0),IFERROR(INDEX(Weekly_Model!$D$2:$D$9,MATCH(F484,Weekly_Model!$A$2:$A$9,0)),0)),IF(VLOOKUP($A483,Calendar!$A$1:$R$1377,18,0)=3,SUM(IFERROR(INDEX(Weekly_Model!$D$2:$D$9,MATCH(F483,Weekly_Model!$A$2:$A$9,0)),0),IFERROR(INDEX(Weekly_Model!$D$2:$D$9,MATCH(F484,Weekly_Model!$A$2:$A$9,0)),0),IFERROR(INDEX(Weekly_Model!$D$2:$D$9,MATCH(F485,Weekly_Model!$A$2:$A$9,0)),0)),IF(VLOOKUP($A483,Calendar!$A$1:$R$1377,18,0)=4,SUM(IFERROR(INDEX(Weekly_Model!$D$2:$D$9,MATCH(F483,Weekly_Model!$A$2:$A$9,0)),0),IFERROR(INDEX(Weekly_Model!$D$2:$D$9,MATCH(F484,Weekly_Model!$A$2:$A$9,0)),0),IFERROR(INDEX(Weekly_Model!$D$2:$D$9,MATCH(F485,Weekly_Model!$A$2:$A$9,0)),0),IFERROR(INDEX(Weekly_Model!$D$2:$D$9,MATCH(F486,Weekly_Model!$A$2:$A$9,0)),0)),IF(VLOOKUP($A483,Calendar!$A$1:$R$1377,18,0)=5,SUM(IFERROR(INDEX(Weekly_Model!$D$2:$D$9,MATCH(F483,Weekly_Model!$A$2:$A$9,0)),0),IFERROR(INDEX(Weekly_Model!$D$2:$D$9,MATCH(F484,Weekly_Model!$A$2:$A$9,0)),0),IFERROR(INDEX(Weekly_Model!$D$2:$D$9,MATCH(F485,Weekly_Model!$A$2:$A$9,0)),0),IFERROR(INDEX(Weekly_Model!$D$2:$D$9,MATCH(F486,Weekly_Model!$A$2:$A$9,0)),0),IFERROR(INDEX(Weekly_Model!$D$2:$D$9,MATCH(F487,Weekly_Model!$A$2:$A$9,0)),0)),0))))))</f>
        <v>2.3200000000000002E-2</v>
      </c>
      <c r="L483" s="27">
        <f>IF(VLOOKUP($A483,Calendar!$A$1:$R$1377,18,0)=0,0,IF(VLOOKUP($A483,Calendar!$A$1:$R$1377,18,0)=1,IFERROR(INDEX(Fortnightly_Model!$D$2:$D$15,MATCH(G483,Fortnightly_Model!$B$2:$B$15,0)),0),IF(VLOOKUP($A483,Calendar!$A$1:$R$1377,18,0)=2,SUM(IFERROR(INDEX(Fortnightly_Model!$D$2:$D$15,MATCH(G483,Fortnightly_Model!$B$2:$B$15,0)),0),IFERROR(INDEX(Fortnightly_Model!$D$2:$D$15,MATCH(G484,Fortnightly_Model!$B$2:$B$15,0)),0)),IF(VLOOKUP($A483,Calendar!$A$1:$R$1377,18,0)=3,SUM(IFERROR(INDEX(Fortnightly_Model!$D$2:$D$15,MATCH(G483,Fortnightly_Model!$B$2:$B$15,0)),0),IFERROR(INDEX(Fortnightly_Model!$D$2:$D$15,MATCH(G484,Fortnightly_Model!$B$2:$B$15,0)),0),IFERROR(INDEX(Fortnightly_Model!$D$2:$D$15,MATCH(G485,Fortnightly_Model!$B$2:$B$15,0)),0)),IF(VLOOKUP($A483,Calendar!$A$1:$R$1377,18,0)=4,SUM(IFERROR(INDEX(Fortnightly_Model!$D$2:$D$15,MATCH(G483,Fortnightly_Model!$B$2:$B$15,0)),0),IFERROR(INDEX(Fortnightly_Model!$D$2:$D$15,MATCH(G484,Fortnightly_Model!$B$2:$B$15,0)),0),IFERROR(INDEX(Fortnightly_Model!$D$2:$D$15,MATCH(G485,Fortnightly_Model!$B$2:$B$15,0)),0),IFERROR(INDEX(Fortnightly_Model!$D$2:$D$15,MATCH(G486,Fortnightly_Model!$B$2:$B$15,0)),0)),IF(VLOOKUP($A483,Calendar!$A$1:$R$1377,18,0)=5,SUM(IFERROR(INDEX(Fortnightly_Model!$D$2:$D$15,MATCH(G483,Fortnightly_Model!$B$2:$B$15,0)),0),IFERROR(INDEX(Fortnightly_Model!$D$2:$D$15,MATCH(G484,Fortnightly_Model!$B$2:$B$15,0)),0),IFERROR(INDEX(Fortnightly_Model!$D$2:$D$15,MATCH(G485,Fortnightly_Model!$B$2:$B$15,0)),0),IFERROR(INDEX(Fortnightly_Model!$D$2:$D$15,MATCH(G486,Fortnightly_Model!$B$2:$B$15,0)),0),IFERROR(INDEX(Fortnightly_Model!$D$2:$D$15,MATCH(G487,Fortnightly_Model!$B$2:$B$15,0)),0)),0))))))</f>
        <v>1.0714285499999999E-3</v>
      </c>
      <c r="M483" s="27">
        <f>IF(VLOOKUP($A483,Calendar!$A$1:$R$1377,18,0)=0,0,IF(VLOOKUP($A483,Calendar!$A$1:$R$1377,18,0)=1,IFERROR(INDEX(FourWeekly_Model!$D$2:$D$29,MATCH(H483,FourWeekly_Model!$B$2:$B$29,0)),0),IF(VLOOKUP($A483,Calendar!$A$1:$R$1377,18,0)=2,SUM(IFERROR(INDEX(FourWeekly_Model!$D$2:$D$29,MATCH(H483,FourWeekly_Model!$B$2:$B$29,0)),0),IFERROR(INDEX(FourWeekly_Model!$D$2:$D$29,MATCH(H484,FourWeekly_Model!$B$2:$B$29,0)),0)),IF(VLOOKUP($A483,Calendar!$A$1:$R$1377,18,0)=3,SUM(IFERROR(INDEX(FourWeekly_Model!$D$2:$D$29,MATCH(H483,FourWeekly_Model!$B$2:$B$29,0)),0),IFERROR(INDEX(FourWeekly_Model!$D$2:$D$29,MATCH(H484,FourWeekly_Model!$B$2:$B$29,0)),0),IFERROR(INDEX(FourWeekly_Model!$D$2:$D$29,MATCH(H485,FourWeekly_Model!$B$2:$B$29,0)),0)),IF(VLOOKUP($A483,Calendar!$A$1:$R$1377,18,0)=4,SUM(IFERROR(INDEX(FourWeekly_Model!$D$2:$D$29,MATCH(H483,FourWeekly_Model!$B$2:$B$29,0)),0),IFERROR(INDEX(FourWeekly_Model!$D$2:$D$29,MATCH(H484,FourWeekly_Model!$B$2:$B$29,0)),0),IFERROR(INDEX(FourWeekly_Model!$D$2:$D$29,MATCH(H485,FourWeekly_Model!$B$2:$B$29,0)),0),IFERROR(INDEX(FourWeekly_Model!$D$2:$D$29,MATCH(H486,FourWeekly_Model!$B$2:$B$29,0)),0)),IF(VLOOKUP($A483,Calendar!$A$1:$R$1377,18,0)=5,SUM(IFERROR(INDEX(FourWeekly_Model!$D$2:$D$29,MATCH(H483,FourWeekly_Model!$B$2:$B$29,0)),0),IFERROR(INDEX(FourWeekly_Model!$D$2:$D$29,MATCH(H484,FourWeekly_Model!$B$2:$B$29,0)),0),IFERROR(INDEX(FourWeekly_Model!$D$2:$D$29,MATCH(H485,FourWeekly_Model!$B$2:$B$29,0)),0),IFERROR(INDEX(FourWeekly_Model!$D$2:$D$29,MATCH(H486,FourWeekly_Model!$B$2:$B$29,0)),0),IFERROR(INDEX(FourWeekly_Model!$D$2:$D$29,MATCH(H487,FourWeekly_Model!$B$2:$B$29,0)),0)),0))))))</f>
        <v>3.3214289700000004E-3</v>
      </c>
      <c r="N483" s="27">
        <f>SUM(I483:M483)</f>
        <v>0.10385212453570682</v>
      </c>
      <c r="O483" s="28">
        <f>Population_Data!$B$8*N483</f>
        <v>3146719.3734319163</v>
      </c>
      <c r="P483" s="27">
        <f>IF(VLOOKUP($A483,Calendar!$A$1:$R$1377,18,0)=0,0,IF(VLOOKUP($A483,Calendar!$A$1:$R$1377,18,0)=1,IFERROR(INDEX(Pension_Model!$D$2:$D$29,MATCH(H483,Pension_Model!$B$2:$B$29,0)),0),IF(VLOOKUP($A483,Calendar!$A$1:$R$1377,18,0)=2,SUM(IFERROR(INDEX(Pension_Model!$D$2:$D$29,MATCH(H483,Pension_Model!$B$2:$B$29,0)),0),IFERROR(INDEX(Pension_Model!$D$2:$D$29,MATCH(H484,Pension_Model!$B$2:$B$29,0)),0)),IF(VLOOKUP($A483,Calendar!$A$1:$R$1377,18,0)=3,SUM(IFERROR(INDEX(Pension_Model!$D$2:$D$29,MATCH(H483,Pension_Model!$B$2:$B$29,0)),0),IFERROR(INDEX(Pension_Model!$D$2:$D$29,MATCH(H484,Pension_Model!$B$2:$B$29,0)),0),IFERROR(INDEX(Pension_Model!$D$2:$D$29,MATCH(H485,Pension_Model!$B$2:$B$29,0)),0)),IF(VLOOKUP($A483,Calendar!$A$1:$R$1377,18,0)=4,SUM(IFERROR(INDEX(Pension_Model!$D$2:$D$29,MATCH(H483,Pension_Model!$B$2:$B$29,0)),0),IFERROR(INDEX(Pension_Model!$D$2:$D$29,MATCH(H484,Pension_Model!$B$2:$B$29,0)),0),IFERROR(INDEX(Pension_Model!$D$2:$D$29,MATCH(H485,Pension_Model!$B$2:$B$29,0)),0),IFERROR(INDEX(Pension_Model!$D$2:$D$29,MATCH(H486,Pension_Model!$B$2:$B$29,0)),0)),IF(VLOOKUP($A483,Calendar!$A$1:$R$1377,18,0)=5,SUM(IFERROR(INDEX(Pension_Model!$D$2:$D$29,MATCH(H483,Pension_Model!$B$2:$B$29,0)),0),IFERROR(INDEX(Pension_Model!$D$2:$D$29,MATCH(H484,Pension_Model!$B$2:$B$29,0)),0),IFERROR(INDEX(Pension_Model!$D$2:$D$29,MATCH(H485,Pension_Model!$B$2:$B$29,0)),0),IFERROR(INDEX(Pension_Model!$D$2:$D$29,MATCH(H486,Pension_Model!$B$2:$B$29,0)),0),IFERROR(INDEX(Pension_Model!$D$2:$D$29,MATCH(H487,Pension_Model!$B$2:$B$29,0)),0)),0))))))</f>
        <v>0.05</v>
      </c>
      <c r="Q483" s="28">
        <f>Population_Data!$B$15*P483</f>
        <v>660600</v>
      </c>
      <c r="S483">
        <f t="shared" si="7"/>
        <v>3807319.3734319163</v>
      </c>
      <c r="U483" s="33">
        <f>S483/Population_Data!$B$19</f>
        <v>6.8973177054926019E-2</v>
      </c>
    </row>
    <row r="484" spans="1:21">
      <c r="A484" s="25">
        <f>Calendar!A484</f>
        <v>46717</v>
      </c>
      <c r="B484" t="str">
        <f>Calendar!L484</f>
        <v>Yes</v>
      </c>
      <c r="C484" t="str">
        <f>Calendar!O484</f>
        <v>No</v>
      </c>
      <c r="D484" t="str">
        <f>Calendar!P484</f>
        <v>Yes</v>
      </c>
      <c r="E484" t="str">
        <f>Calendar!Q484</f>
        <v>No</v>
      </c>
      <c r="F484" t="str">
        <f>Calendar!I484</f>
        <v>Friday</v>
      </c>
      <c r="G484">
        <f>Calendar!S484</f>
        <v>13</v>
      </c>
      <c r="H484">
        <f>Calendar!T484</f>
        <v>13</v>
      </c>
      <c r="I484" s="27">
        <f>IF(VLOOKUP(A484,Calendar!$A$1:$R$1377,18,0)=0,0,IF(VLOOKUP(A484,Calendar!$A$1:$R$1377,18,0)=1,INDEX(Monthly_Pay_Model!$A$9:$D$40,MATCH(TEXT(A484,"dd"),Monthly_Pay_Model!$C$9:$C$39,0),4),IF(VLOOKUP(A484,Calendar!$A$1:$R$1377,18,0)=2,SUM(INDEX(Monthly_Pay_Model!$A$9:$D$40,MATCH(TEXT(A484,"dd"),Monthly_Pay_Model!$C$9:$C$39,0),4),INDEX(Monthly_Pay_Model!$A$9:$D$40,MATCH(TEXT(A485,"dd"),Monthly_Pay_Model!$C$9:$C$39,0),4)),IF(VLOOKUP(A484,Calendar!$A$1:$R$1377,18,0)=3,SUM(INDEX(Monthly_Pay_Model!$A$9:$D$40,MATCH(TEXT(A484,"dd"),Monthly_Pay_Model!$C$9:$C$39,0),4),INDEX(Monthly_Pay_Model!$A$9:$D$40,MATCH(TEXT(A485,"dd"),Monthly_Pay_Model!$C$9:$C$39,0),4),INDEX(Monthly_Pay_Model!$A$9:$D$40,MATCH(TEXT(A486,"dd"),Monthly_Pay_Model!$C$9:$C$39,0),4)),IF(VLOOKUP(A484,Calendar!$A$1:$R$1377,18,0)=4,SUM(INDEX(Monthly_Pay_Model!$A$9:$D$40,MATCH(TEXT(A484,"dd"),Monthly_Pay_Model!$C$9:$C$39,0),4),INDEX(Monthly_Pay_Model!$A$9:$D$40,MATCH(TEXT(A485,"dd"),Monthly_Pay_Model!$C$9:$C$39,0),4),INDEX(Monthly_Pay_Model!$A$9:$D$40,MATCH(TEXT(A486,"dd"),Monthly_Pay_Model!$C$9:$C$39,0),4),INDEX(Monthly_Pay_Model!$A$9:$D$40,MATCH(TEXT(A487,"dd"),Monthly_Pay_Model!$C$9:$C$39,0),4)),IF(VLOOKUP(A484,Calendar!$A$1:$R$1377,18,0)=5,SUM(INDEX(Monthly_Pay_Model!$A$9:$D$40,MATCH(TEXT(A484,"dd"),Monthly_Pay_Model!$C$9:$C$39,0),4),INDEX(Monthly_Pay_Model!$A$9:$D$40,MATCH(TEXT(A485,"dd"),Monthly_Pay_Model!$C$9:$C$39,0),4),INDEX(Monthly_Pay_Model!$A$9:$D$40,MATCH(TEXT(A486,"dd"),Monthly_Pay_Model!$C$9:$C$39,0),4),INDEX(Monthly_Pay_Model!$A$9:$D$40,MATCH(TEXT(A487,"dd"),Monthly_Pay_Model!$C$9:$C$39,0),4),INDEX(Monthly_Pay_Model!$A$9:$D$40,MATCH(TEXT(A488,"dd"),Monthly_Pay_Model!$C$9:$C$39,0),4)),))))))</f>
        <v>4.062827225130889E-2</v>
      </c>
      <c r="J484" s="33">
        <f>IF(C484="Yes",Monthly_Pay_Model!$D$2,0)
+IF(Calendar!N484="Yes",Monthly_Pay_Model!$D$3,0)
+IF(D484="Yes",Monthly_Pay_Model!$D$4,0)
+IF(E484="Yes",Monthly_Pay_Model!$D$5,0)</f>
        <v>0.1552</v>
      </c>
      <c r="K484" s="27">
        <f>IF(VLOOKUP($A484,Calendar!$A$1:$R$1377,18,0)=0,0,IF(VLOOKUP($A484,Calendar!$A$1:$R$1377,18,0)=1,IFERROR(INDEX(Weekly_Model!$D$2:$D$9,MATCH(F484,Weekly_Model!$A$2:$A$9,0)),0),IF(VLOOKUP($A484,Calendar!$A$1:$R$1377,18,0)=2,SUM(IFERROR(INDEX(Weekly_Model!$D$2:$D$9,MATCH(F484,Weekly_Model!$A$2:$A$9,0)),0),IFERROR(INDEX(Weekly_Model!$D$2:$D$9,MATCH(F485,Weekly_Model!$A$2:$A$9,0)),0)),IF(VLOOKUP($A484,Calendar!$A$1:$R$1377,18,0)=3,SUM(IFERROR(INDEX(Weekly_Model!$D$2:$D$9,MATCH(F484,Weekly_Model!$A$2:$A$9,0)),0),IFERROR(INDEX(Weekly_Model!$D$2:$D$9,MATCH(F485,Weekly_Model!$A$2:$A$9,0)),0),IFERROR(INDEX(Weekly_Model!$D$2:$D$9,MATCH(F486,Weekly_Model!$A$2:$A$9,0)),0)),IF(VLOOKUP($A484,Calendar!$A$1:$R$1377,18,0)=4,SUM(IFERROR(INDEX(Weekly_Model!$D$2:$D$9,MATCH(F484,Weekly_Model!$A$2:$A$9,0)),0),IFERROR(INDEX(Weekly_Model!$D$2:$D$9,MATCH(F485,Weekly_Model!$A$2:$A$9,0)),0),IFERROR(INDEX(Weekly_Model!$D$2:$D$9,MATCH(F486,Weekly_Model!$A$2:$A$9,0)),0),IFERROR(INDEX(Weekly_Model!$D$2:$D$9,MATCH(F487,Weekly_Model!$A$2:$A$9,0)),0)),IF(VLOOKUP($A484,Calendar!$A$1:$R$1377,18,0)=5,SUM(IFERROR(INDEX(Weekly_Model!$D$2:$D$9,MATCH(F484,Weekly_Model!$A$2:$A$9,0)),0),IFERROR(INDEX(Weekly_Model!$D$2:$D$9,MATCH(F485,Weekly_Model!$A$2:$A$9,0)),0),IFERROR(INDEX(Weekly_Model!$D$2:$D$9,MATCH(F486,Weekly_Model!$A$2:$A$9,0)),0),IFERROR(INDEX(Weekly_Model!$D$2:$D$9,MATCH(F487,Weekly_Model!$A$2:$A$9,0)),0),IFERROR(INDEX(Weekly_Model!$D$2:$D$9,MATCH(F488,Weekly_Model!$A$2:$A$9,0)),0)),0))))))</f>
        <v>2.3200000000000002E-2</v>
      </c>
      <c r="L484" s="27">
        <f>IF(VLOOKUP($A484,Calendar!$A$1:$R$1377,18,0)=0,0,IF(VLOOKUP($A484,Calendar!$A$1:$R$1377,18,0)=1,IFERROR(INDEX(Fortnightly_Model!$D$2:$D$15,MATCH(G484,Fortnightly_Model!$B$2:$B$15,0)),0),IF(VLOOKUP($A484,Calendar!$A$1:$R$1377,18,0)=2,SUM(IFERROR(INDEX(Fortnightly_Model!$D$2:$D$15,MATCH(G484,Fortnightly_Model!$B$2:$B$15,0)),0),IFERROR(INDEX(Fortnightly_Model!$D$2:$D$15,MATCH(G485,Fortnightly_Model!$B$2:$B$15,0)),0)),IF(VLOOKUP($A484,Calendar!$A$1:$R$1377,18,0)=3,SUM(IFERROR(INDEX(Fortnightly_Model!$D$2:$D$15,MATCH(G484,Fortnightly_Model!$B$2:$B$15,0)),0),IFERROR(INDEX(Fortnightly_Model!$D$2:$D$15,MATCH(G485,Fortnightly_Model!$B$2:$B$15,0)),0),IFERROR(INDEX(Fortnightly_Model!$D$2:$D$15,MATCH(G486,Fortnightly_Model!$B$2:$B$15,0)),0)),IF(VLOOKUP($A484,Calendar!$A$1:$R$1377,18,0)=4,SUM(IFERROR(INDEX(Fortnightly_Model!$D$2:$D$15,MATCH(G484,Fortnightly_Model!$B$2:$B$15,0)),0),IFERROR(INDEX(Fortnightly_Model!$D$2:$D$15,MATCH(G485,Fortnightly_Model!$B$2:$B$15,0)),0),IFERROR(INDEX(Fortnightly_Model!$D$2:$D$15,MATCH(G486,Fortnightly_Model!$B$2:$B$15,0)),0),IFERROR(INDEX(Fortnightly_Model!$D$2:$D$15,MATCH(G487,Fortnightly_Model!$B$2:$B$15,0)),0)),IF(VLOOKUP($A484,Calendar!$A$1:$R$1377,18,0)=5,SUM(IFERROR(INDEX(Fortnightly_Model!$D$2:$D$15,MATCH(G484,Fortnightly_Model!$B$2:$B$15,0)),0),IFERROR(INDEX(Fortnightly_Model!$D$2:$D$15,MATCH(G485,Fortnightly_Model!$B$2:$B$15,0)),0),IFERROR(INDEX(Fortnightly_Model!$D$2:$D$15,MATCH(G486,Fortnightly_Model!$B$2:$B$15,0)),0),IFERROR(INDEX(Fortnightly_Model!$D$2:$D$15,MATCH(G487,Fortnightly_Model!$B$2:$B$15,0)),0),IFERROR(INDEX(Fortnightly_Model!$D$2:$D$15,MATCH(G488,Fortnightly_Model!$B$2:$B$15,0)),0)),0))))))</f>
        <v>3.2142856499999999E-3</v>
      </c>
      <c r="M484" s="27">
        <f>IF(VLOOKUP($A484,Calendar!$A$1:$R$1377,18,0)=0,0,IF(VLOOKUP($A484,Calendar!$A$1:$R$1377,18,0)=1,IFERROR(INDEX(FourWeekly_Model!$D$2:$D$29,MATCH(H484,FourWeekly_Model!$B$2:$B$29,0)),0),IF(VLOOKUP($A484,Calendar!$A$1:$R$1377,18,0)=2,SUM(IFERROR(INDEX(FourWeekly_Model!$D$2:$D$29,MATCH(H484,FourWeekly_Model!$B$2:$B$29,0)),0),IFERROR(INDEX(FourWeekly_Model!$D$2:$D$29,MATCH(H485,FourWeekly_Model!$B$2:$B$29,0)),0)),IF(VLOOKUP($A484,Calendar!$A$1:$R$1377,18,0)=3,SUM(IFERROR(INDEX(FourWeekly_Model!$D$2:$D$29,MATCH(H484,FourWeekly_Model!$B$2:$B$29,0)),0),IFERROR(INDEX(FourWeekly_Model!$D$2:$D$29,MATCH(H485,FourWeekly_Model!$B$2:$B$29,0)),0),IFERROR(INDEX(FourWeekly_Model!$D$2:$D$29,MATCH(H486,FourWeekly_Model!$B$2:$B$29,0)),0)),IF(VLOOKUP($A484,Calendar!$A$1:$R$1377,18,0)=4,SUM(IFERROR(INDEX(FourWeekly_Model!$D$2:$D$29,MATCH(H484,FourWeekly_Model!$B$2:$B$29,0)),0),IFERROR(INDEX(FourWeekly_Model!$D$2:$D$29,MATCH(H485,FourWeekly_Model!$B$2:$B$29,0)),0),IFERROR(INDEX(FourWeekly_Model!$D$2:$D$29,MATCH(H486,FourWeekly_Model!$B$2:$B$29,0)),0),IFERROR(INDEX(FourWeekly_Model!$D$2:$D$29,MATCH(H487,FourWeekly_Model!$B$2:$B$29,0)),0)),IF(VLOOKUP($A484,Calendar!$A$1:$R$1377,18,0)=5,SUM(IFERROR(INDEX(FourWeekly_Model!$D$2:$D$29,MATCH(H484,FourWeekly_Model!$B$2:$B$29,0)),0),IFERROR(INDEX(FourWeekly_Model!$D$2:$D$29,MATCH(H485,FourWeekly_Model!$B$2:$B$29,0)),0),IFERROR(INDEX(FourWeekly_Model!$D$2:$D$29,MATCH(H486,FourWeekly_Model!$B$2:$B$29,0)),0),IFERROR(INDEX(FourWeekly_Model!$D$2:$D$29,MATCH(H487,FourWeekly_Model!$B$2:$B$29,0)),0),IFERROR(INDEX(FourWeekly_Model!$D$2:$D$29,MATCH(H488,FourWeekly_Model!$B$2:$B$29,0)),0)),0))))))</f>
        <v>9.9642859800000011E-3</v>
      </c>
      <c r="N484" s="27">
        <f>SUM(I484:M484)</f>
        <v>0.23220684388130891</v>
      </c>
      <c r="O484" s="28">
        <f>Population_Data!$B$8*N484</f>
        <v>7035867.36960366</v>
      </c>
      <c r="P484" s="27">
        <f>IF(VLOOKUP($A484,Calendar!$A$1:$R$1377,18,0)=0,0,IF(VLOOKUP($A484,Calendar!$A$1:$R$1377,18,0)=1,IFERROR(INDEX(Pension_Model!$D$2:$D$29,MATCH(H484,Pension_Model!$B$2:$B$29,0)),0),IF(VLOOKUP($A484,Calendar!$A$1:$R$1377,18,0)=2,SUM(IFERROR(INDEX(Pension_Model!$D$2:$D$29,MATCH(H484,Pension_Model!$B$2:$B$29,0)),0),IFERROR(INDEX(Pension_Model!$D$2:$D$29,MATCH(H485,Pension_Model!$B$2:$B$29,0)),0)),IF(VLOOKUP($A484,Calendar!$A$1:$R$1377,18,0)=3,SUM(IFERROR(INDEX(Pension_Model!$D$2:$D$29,MATCH(H484,Pension_Model!$B$2:$B$29,0)),0),IFERROR(INDEX(Pension_Model!$D$2:$D$29,MATCH(H485,Pension_Model!$B$2:$B$29,0)),0),IFERROR(INDEX(Pension_Model!$D$2:$D$29,MATCH(H486,Pension_Model!$B$2:$B$29,0)),0)),IF(VLOOKUP($A484,Calendar!$A$1:$R$1377,18,0)=4,SUM(IFERROR(INDEX(Pension_Model!$D$2:$D$29,MATCH(H484,Pension_Model!$B$2:$B$29,0)),0),IFERROR(INDEX(Pension_Model!$D$2:$D$29,MATCH(H485,Pension_Model!$B$2:$B$29,0)),0),IFERROR(INDEX(Pension_Model!$D$2:$D$29,MATCH(H486,Pension_Model!$B$2:$B$29,0)),0),IFERROR(INDEX(Pension_Model!$D$2:$D$29,MATCH(H487,Pension_Model!$B$2:$B$29,0)),0)),IF(VLOOKUP($A484,Calendar!$A$1:$R$1377,18,0)=5,SUM(IFERROR(INDEX(Pension_Model!$D$2:$D$29,MATCH(H484,Pension_Model!$B$2:$B$29,0)),0),IFERROR(INDEX(Pension_Model!$D$2:$D$29,MATCH(H485,Pension_Model!$B$2:$B$29,0)),0),IFERROR(INDEX(Pension_Model!$D$2:$D$29,MATCH(H486,Pension_Model!$B$2:$B$29,0)),0),IFERROR(INDEX(Pension_Model!$D$2:$D$29,MATCH(H487,Pension_Model!$B$2:$B$29,0)),0),IFERROR(INDEX(Pension_Model!$D$2:$D$29,MATCH(H488,Pension_Model!$B$2:$B$29,0)),0)),0))))))</f>
        <v>0.05</v>
      </c>
      <c r="Q484" s="28">
        <f>Population_Data!$B$15*P484</f>
        <v>660600</v>
      </c>
      <c r="S484">
        <f t="shared" si="7"/>
        <v>7696467.36960366</v>
      </c>
      <c r="U484" s="33">
        <f>S484/Population_Data!$B$19</f>
        <v>0.13942875669571847</v>
      </c>
    </row>
    <row r="485" spans="1:21">
      <c r="A485" s="25">
        <f>Calendar!A485</f>
        <v>46718</v>
      </c>
      <c r="B485" t="str">
        <f>Calendar!L485</f>
        <v>No</v>
      </c>
      <c r="C485" t="str">
        <f>Calendar!O485</f>
        <v>No</v>
      </c>
      <c r="D485" t="str">
        <f>Calendar!P485</f>
        <v>No</v>
      </c>
      <c r="E485" t="str">
        <f>Calendar!Q485</f>
        <v>No</v>
      </c>
      <c r="F485" t="str">
        <f>Calendar!I485</f>
        <v>Saturday</v>
      </c>
      <c r="G485">
        <f>Calendar!S485</f>
        <v>0</v>
      </c>
      <c r="H485">
        <f>Calendar!T485</f>
        <v>14</v>
      </c>
      <c r="I485" s="27">
        <f>IF(VLOOKUP(A485,Calendar!$A$1:$R$1377,18,0)=0,0,IF(VLOOKUP(A485,Calendar!$A$1:$R$1377,18,0)=1,INDEX(Monthly_Pay_Model!$A$9:$D$40,MATCH(TEXT(A485,"dd"),Monthly_Pay_Model!$C$9:$C$39,0),4),IF(VLOOKUP(A485,Calendar!$A$1:$R$1377,18,0)=2,SUM(INDEX(Monthly_Pay_Model!$A$9:$D$40,MATCH(TEXT(A485,"dd"),Monthly_Pay_Model!$C$9:$C$39,0),4),INDEX(Monthly_Pay_Model!$A$9:$D$40,MATCH(TEXT(A486,"dd"),Monthly_Pay_Model!$C$9:$C$39,0),4)),IF(VLOOKUP(A485,Calendar!$A$1:$R$1377,18,0)=3,SUM(INDEX(Monthly_Pay_Model!$A$9:$D$40,MATCH(TEXT(A485,"dd"),Monthly_Pay_Model!$C$9:$C$39,0),4),INDEX(Monthly_Pay_Model!$A$9:$D$40,MATCH(TEXT(A486,"dd"),Monthly_Pay_Model!$C$9:$C$39,0),4),INDEX(Monthly_Pay_Model!$A$9:$D$40,MATCH(TEXT(A487,"dd"),Monthly_Pay_Model!$C$9:$C$39,0),4)),IF(VLOOKUP(A485,Calendar!$A$1:$R$1377,18,0)=4,SUM(INDEX(Monthly_Pay_Model!$A$9:$D$40,MATCH(TEXT(A485,"dd"),Monthly_Pay_Model!$C$9:$C$39,0),4),INDEX(Monthly_Pay_Model!$A$9:$D$40,MATCH(TEXT(A486,"dd"),Monthly_Pay_Model!$C$9:$C$39,0),4),INDEX(Monthly_Pay_Model!$A$9:$D$40,MATCH(TEXT(A487,"dd"),Monthly_Pay_Model!$C$9:$C$39,0),4),INDEX(Monthly_Pay_Model!$A$9:$D$40,MATCH(TEXT(A488,"dd"),Monthly_Pay_Model!$C$9:$C$39,0),4)),IF(VLOOKUP(A485,Calendar!$A$1:$R$1377,18,0)=5,SUM(INDEX(Monthly_Pay_Model!$A$9:$D$40,MATCH(TEXT(A485,"dd"),Monthly_Pay_Model!$C$9:$C$39,0),4),INDEX(Monthly_Pay_Model!$A$9:$D$40,MATCH(TEXT(A486,"dd"),Monthly_Pay_Model!$C$9:$C$39,0),4),INDEX(Monthly_Pay_Model!$A$9:$D$40,MATCH(TEXT(A487,"dd"),Monthly_Pay_Model!$C$9:$C$39,0),4),INDEX(Monthly_Pay_Model!$A$9:$D$40,MATCH(TEXT(A488,"dd"),Monthly_Pay_Model!$C$9:$C$39,0),4),INDEX(Monthly_Pay_Model!$A$9:$D$40,MATCH(TEXT(A489,"dd"),Monthly_Pay_Model!$C$9:$C$39,0),4)),))))))</f>
        <v>0</v>
      </c>
      <c r="J485" s="33">
        <f>IF(C485="Yes",Monthly_Pay_Model!$D$2,0)
+IF(Calendar!N485="Yes",Monthly_Pay_Model!$D$3,0)
+IF(D485="Yes",Monthly_Pay_Model!$D$4,0)
+IF(E485="Yes",Monthly_Pay_Model!$D$5,0)</f>
        <v>0</v>
      </c>
      <c r="K485" s="27">
        <f>IF(VLOOKUP($A485,Calendar!$A$1:$R$1377,18,0)=0,0,IF(VLOOKUP($A485,Calendar!$A$1:$R$1377,18,0)=1,IFERROR(INDEX(Weekly_Model!$D$2:$D$9,MATCH(F485,Weekly_Model!$A$2:$A$9,0)),0),IF(VLOOKUP($A485,Calendar!$A$1:$R$1377,18,0)=2,SUM(IFERROR(INDEX(Weekly_Model!$D$2:$D$9,MATCH(F485,Weekly_Model!$A$2:$A$9,0)),0),IFERROR(INDEX(Weekly_Model!$D$2:$D$9,MATCH(F486,Weekly_Model!$A$2:$A$9,0)),0)),IF(VLOOKUP($A485,Calendar!$A$1:$R$1377,18,0)=3,SUM(IFERROR(INDEX(Weekly_Model!$D$2:$D$9,MATCH(F485,Weekly_Model!$A$2:$A$9,0)),0),IFERROR(INDEX(Weekly_Model!$D$2:$D$9,MATCH(F486,Weekly_Model!$A$2:$A$9,0)),0),IFERROR(INDEX(Weekly_Model!$D$2:$D$9,MATCH(F487,Weekly_Model!$A$2:$A$9,0)),0)),IF(VLOOKUP($A485,Calendar!$A$1:$R$1377,18,0)=4,SUM(IFERROR(INDEX(Weekly_Model!$D$2:$D$9,MATCH(F485,Weekly_Model!$A$2:$A$9,0)),0),IFERROR(INDEX(Weekly_Model!$D$2:$D$9,MATCH(F486,Weekly_Model!$A$2:$A$9,0)),0),IFERROR(INDEX(Weekly_Model!$D$2:$D$9,MATCH(F487,Weekly_Model!$A$2:$A$9,0)),0),IFERROR(INDEX(Weekly_Model!$D$2:$D$9,MATCH(F488,Weekly_Model!$A$2:$A$9,0)),0)),IF(VLOOKUP($A485,Calendar!$A$1:$R$1377,18,0)=5,SUM(IFERROR(INDEX(Weekly_Model!$D$2:$D$9,MATCH(F485,Weekly_Model!$A$2:$A$9,0)),0),IFERROR(INDEX(Weekly_Model!$D$2:$D$9,MATCH(F486,Weekly_Model!$A$2:$A$9,0)),0),IFERROR(INDEX(Weekly_Model!$D$2:$D$9,MATCH(F487,Weekly_Model!$A$2:$A$9,0)),0),IFERROR(INDEX(Weekly_Model!$D$2:$D$9,MATCH(F488,Weekly_Model!$A$2:$A$9,0)),0),IFERROR(INDEX(Weekly_Model!$D$2:$D$9,MATCH(F489,Weekly_Model!$A$2:$A$9,0)),0)),0))))))</f>
        <v>0</v>
      </c>
      <c r="L485" s="27">
        <f>IF(VLOOKUP($A485,Calendar!$A$1:$R$1377,18,0)=0,0,IF(VLOOKUP($A485,Calendar!$A$1:$R$1377,18,0)=1,IFERROR(INDEX(Fortnightly_Model!$D$2:$D$15,MATCH(G485,Fortnightly_Model!$B$2:$B$15,0)),0),IF(VLOOKUP($A485,Calendar!$A$1:$R$1377,18,0)=2,SUM(IFERROR(INDEX(Fortnightly_Model!$D$2:$D$15,MATCH(G485,Fortnightly_Model!$B$2:$B$15,0)),0),IFERROR(INDEX(Fortnightly_Model!$D$2:$D$15,MATCH(G486,Fortnightly_Model!$B$2:$B$15,0)),0)),IF(VLOOKUP($A485,Calendar!$A$1:$R$1377,18,0)=3,SUM(IFERROR(INDEX(Fortnightly_Model!$D$2:$D$15,MATCH(G485,Fortnightly_Model!$B$2:$B$15,0)),0),IFERROR(INDEX(Fortnightly_Model!$D$2:$D$15,MATCH(G486,Fortnightly_Model!$B$2:$B$15,0)),0),IFERROR(INDEX(Fortnightly_Model!$D$2:$D$15,MATCH(G487,Fortnightly_Model!$B$2:$B$15,0)),0)),IF(VLOOKUP($A485,Calendar!$A$1:$R$1377,18,0)=4,SUM(IFERROR(INDEX(Fortnightly_Model!$D$2:$D$15,MATCH(G485,Fortnightly_Model!$B$2:$B$15,0)),0),IFERROR(INDEX(Fortnightly_Model!$D$2:$D$15,MATCH(G486,Fortnightly_Model!$B$2:$B$15,0)),0),IFERROR(INDEX(Fortnightly_Model!$D$2:$D$15,MATCH(G487,Fortnightly_Model!$B$2:$B$15,0)),0),IFERROR(INDEX(Fortnightly_Model!$D$2:$D$15,MATCH(G488,Fortnightly_Model!$B$2:$B$15,0)),0)),IF(VLOOKUP($A485,Calendar!$A$1:$R$1377,18,0)=5,SUM(IFERROR(INDEX(Fortnightly_Model!$D$2:$D$15,MATCH(G485,Fortnightly_Model!$B$2:$B$15,0)),0),IFERROR(INDEX(Fortnightly_Model!$D$2:$D$15,MATCH(G486,Fortnightly_Model!$B$2:$B$15,0)),0),IFERROR(INDEX(Fortnightly_Model!$D$2:$D$15,MATCH(G487,Fortnightly_Model!$B$2:$B$15,0)),0),IFERROR(INDEX(Fortnightly_Model!$D$2:$D$15,MATCH(G488,Fortnightly_Model!$B$2:$B$15,0)),0),IFERROR(INDEX(Fortnightly_Model!$D$2:$D$15,MATCH(G489,Fortnightly_Model!$B$2:$B$15,0)),0)),0))))))</f>
        <v>0</v>
      </c>
      <c r="M485" s="27">
        <f>IF(VLOOKUP($A485,Calendar!$A$1:$R$1377,18,0)=0,0,IF(VLOOKUP($A485,Calendar!$A$1:$R$1377,18,0)=1,IFERROR(INDEX(FourWeekly_Model!$D$2:$D$29,MATCH(H485,FourWeekly_Model!$B$2:$B$29,0)),0),IF(VLOOKUP($A485,Calendar!$A$1:$R$1377,18,0)=2,SUM(IFERROR(INDEX(FourWeekly_Model!$D$2:$D$29,MATCH(H485,FourWeekly_Model!$B$2:$B$29,0)),0),IFERROR(INDEX(FourWeekly_Model!$D$2:$D$29,MATCH(H486,FourWeekly_Model!$B$2:$B$29,0)),0)),IF(VLOOKUP($A485,Calendar!$A$1:$R$1377,18,0)=3,SUM(IFERROR(INDEX(FourWeekly_Model!$D$2:$D$29,MATCH(H485,FourWeekly_Model!$B$2:$B$29,0)),0),IFERROR(INDEX(FourWeekly_Model!$D$2:$D$29,MATCH(H486,FourWeekly_Model!$B$2:$B$29,0)),0),IFERROR(INDEX(FourWeekly_Model!$D$2:$D$29,MATCH(H487,FourWeekly_Model!$B$2:$B$29,0)),0)),IF(VLOOKUP($A485,Calendar!$A$1:$R$1377,18,0)=4,SUM(IFERROR(INDEX(FourWeekly_Model!$D$2:$D$29,MATCH(H485,FourWeekly_Model!$B$2:$B$29,0)),0),IFERROR(INDEX(FourWeekly_Model!$D$2:$D$29,MATCH(H486,FourWeekly_Model!$B$2:$B$29,0)),0),IFERROR(INDEX(FourWeekly_Model!$D$2:$D$29,MATCH(H487,FourWeekly_Model!$B$2:$B$29,0)),0),IFERROR(INDEX(FourWeekly_Model!$D$2:$D$29,MATCH(H488,FourWeekly_Model!$B$2:$B$29,0)),0)),IF(VLOOKUP($A485,Calendar!$A$1:$R$1377,18,0)=5,SUM(IFERROR(INDEX(FourWeekly_Model!$D$2:$D$29,MATCH(H485,FourWeekly_Model!$B$2:$B$29,0)),0),IFERROR(INDEX(FourWeekly_Model!$D$2:$D$29,MATCH(H486,FourWeekly_Model!$B$2:$B$29,0)),0),IFERROR(INDEX(FourWeekly_Model!$D$2:$D$29,MATCH(H487,FourWeekly_Model!$B$2:$B$29,0)),0),IFERROR(INDEX(FourWeekly_Model!$D$2:$D$29,MATCH(H488,FourWeekly_Model!$B$2:$B$29,0)),0),IFERROR(INDEX(FourWeekly_Model!$D$2:$D$29,MATCH(H489,FourWeekly_Model!$B$2:$B$29,0)),0)),0))))))</f>
        <v>0</v>
      </c>
      <c r="N485" s="27">
        <f>SUM(I485:M485)</f>
        <v>0</v>
      </c>
      <c r="O485" s="28">
        <f>Population_Data!$B$8*N485</f>
        <v>0</v>
      </c>
      <c r="P485" s="27">
        <f>IF(VLOOKUP($A485,Calendar!$A$1:$R$1377,18,0)=0,0,IF(VLOOKUP($A485,Calendar!$A$1:$R$1377,18,0)=1,IFERROR(INDEX(Pension_Model!$D$2:$D$29,MATCH(H485,Pension_Model!$B$2:$B$29,0)),0),IF(VLOOKUP($A485,Calendar!$A$1:$R$1377,18,0)=2,SUM(IFERROR(INDEX(Pension_Model!$D$2:$D$29,MATCH(H485,Pension_Model!$B$2:$B$29,0)),0),IFERROR(INDEX(Pension_Model!$D$2:$D$29,MATCH(H486,Pension_Model!$B$2:$B$29,0)),0)),IF(VLOOKUP($A485,Calendar!$A$1:$R$1377,18,0)=3,SUM(IFERROR(INDEX(Pension_Model!$D$2:$D$29,MATCH(H485,Pension_Model!$B$2:$B$29,0)),0),IFERROR(INDEX(Pension_Model!$D$2:$D$29,MATCH(H486,Pension_Model!$B$2:$B$29,0)),0),IFERROR(INDEX(Pension_Model!$D$2:$D$29,MATCH(H487,Pension_Model!$B$2:$B$29,0)),0)),IF(VLOOKUP($A485,Calendar!$A$1:$R$1377,18,0)=4,SUM(IFERROR(INDEX(Pension_Model!$D$2:$D$29,MATCH(H485,Pension_Model!$B$2:$B$29,0)),0),IFERROR(INDEX(Pension_Model!$D$2:$D$29,MATCH(H486,Pension_Model!$B$2:$B$29,0)),0),IFERROR(INDEX(Pension_Model!$D$2:$D$29,MATCH(H487,Pension_Model!$B$2:$B$29,0)),0),IFERROR(INDEX(Pension_Model!$D$2:$D$29,MATCH(H488,Pension_Model!$B$2:$B$29,0)),0)),IF(VLOOKUP($A485,Calendar!$A$1:$R$1377,18,0)=5,SUM(IFERROR(INDEX(Pension_Model!$D$2:$D$29,MATCH(H485,Pension_Model!$B$2:$B$29,0)),0),IFERROR(INDEX(Pension_Model!$D$2:$D$29,MATCH(H486,Pension_Model!$B$2:$B$29,0)),0),IFERROR(INDEX(Pension_Model!$D$2:$D$29,MATCH(H487,Pension_Model!$B$2:$B$29,0)),0),IFERROR(INDEX(Pension_Model!$D$2:$D$29,MATCH(H488,Pension_Model!$B$2:$B$29,0)),0),IFERROR(INDEX(Pension_Model!$D$2:$D$29,MATCH(H489,Pension_Model!$B$2:$B$29,0)),0)),0))))))</f>
        <v>0</v>
      </c>
      <c r="Q485" s="28">
        <f>Population_Data!$B$15*P485</f>
        <v>0</v>
      </c>
      <c r="S485">
        <f t="shared" si="7"/>
        <v>0</v>
      </c>
      <c r="U485" s="33">
        <f>S485/Population_Data!$B$19</f>
        <v>0</v>
      </c>
    </row>
    <row r="486" spans="1:21">
      <c r="A486" s="25">
        <f>Calendar!A486</f>
        <v>46719</v>
      </c>
      <c r="B486" t="str">
        <f>Calendar!L486</f>
        <v>No</v>
      </c>
      <c r="C486" t="str">
        <f>Calendar!O486</f>
        <v>No</v>
      </c>
      <c r="D486" t="str">
        <f>Calendar!P486</f>
        <v>No</v>
      </c>
      <c r="E486" t="str">
        <f>Calendar!Q486</f>
        <v>No</v>
      </c>
      <c r="F486" t="str">
        <f>Calendar!I486</f>
        <v>Sunday</v>
      </c>
      <c r="G486">
        <f>Calendar!S486</f>
        <v>1</v>
      </c>
      <c r="H486">
        <f>Calendar!T486</f>
        <v>15</v>
      </c>
      <c r="I486" s="27">
        <f>IF(VLOOKUP(A486,Calendar!$A$1:$R$1377,18,0)=0,0,IF(VLOOKUP(A486,Calendar!$A$1:$R$1377,18,0)=1,INDEX(Monthly_Pay_Model!$A$9:$D$40,MATCH(TEXT(A486,"dd"),Monthly_Pay_Model!$C$9:$C$39,0),4),IF(VLOOKUP(A486,Calendar!$A$1:$R$1377,18,0)=2,SUM(INDEX(Monthly_Pay_Model!$A$9:$D$40,MATCH(TEXT(A486,"dd"),Monthly_Pay_Model!$C$9:$C$39,0),4),INDEX(Monthly_Pay_Model!$A$9:$D$40,MATCH(TEXT(A487,"dd"),Monthly_Pay_Model!$C$9:$C$39,0),4)),IF(VLOOKUP(A486,Calendar!$A$1:$R$1377,18,0)=3,SUM(INDEX(Monthly_Pay_Model!$A$9:$D$40,MATCH(TEXT(A486,"dd"),Monthly_Pay_Model!$C$9:$C$39,0),4),INDEX(Monthly_Pay_Model!$A$9:$D$40,MATCH(TEXT(A487,"dd"),Monthly_Pay_Model!$C$9:$C$39,0),4),INDEX(Monthly_Pay_Model!$A$9:$D$40,MATCH(TEXT(A488,"dd"),Monthly_Pay_Model!$C$9:$C$39,0),4)),IF(VLOOKUP(A486,Calendar!$A$1:$R$1377,18,0)=4,SUM(INDEX(Monthly_Pay_Model!$A$9:$D$40,MATCH(TEXT(A486,"dd"),Monthly_Pay_Model!$C$9:$C$39,0),4),INDEX(Monthly_Pay_Model!$A$9:$D$40,MATCH(TEXT(A487,"dd"),Monthly_Pay_Model!$C$9:$C$39,0),4),INDEX(Monthly_Pay_Model!$A$9:$D$40,MATCH(TEXT(A488,"dd"),Monthly_Pay_Model!$C$9:$C$39,0),4),INDEX(Monthly_Pay_Model!$A$9:$D$40,MATCH(TEXT(A489,"dd"),Monthly_Pay_Model!$C$9:$C$39,0),4)),IF(VLOOKUP(A486,Calendar!$A$1:$R$1377,18,0)=5,SUM(INDEX(Monthly_Pay_Model!$A$9:$D$40,MATCH(TEXT(A486,"dd"),Monthly_Pay_Model!$C$9:$C$39,0),4),INDEX(Monthly_Pay_Model!$A$9:$D$40,MATCH(TEXT(A487,"dd"),Monthly_Pay_Model!$C$9:$C$39,0),4),INDEX(Monthly_Pay_Model!$A$9:$D$40,MATCH(TEXT(A488,"dd"),Monthly_Pay_Model!$C$9:$C$39,0),4),INDEX(Monthly_Pay_Model!$A$9:$D$40,MATCH(TEXT(A489,"dd"),Monthly_Pay_Model!$C$9:$C$39,0),4),INDEX(Monthly_Pay_Model!$A$9:$D$40,MATCH(TEXT(A490,"dd"),Monthly_Pay_Model!$C$9:$C$39,0),4)),))))))</f>
        <v>0</v>
      </c>
      <c r="J486" s="33">
        <f>IF(C486="Yes",Monthly_Pay_Model!$D$2,0)
+IF(Calendar!N486="Yes",Monthly_Pay_Model!$D$3,0)
+IF(D486="Yes",Monthly_Pay_Model!$D$4,0)
+IF(E486="Yes",Monthly_Pay_Model!$D$5,0)</f>
        <v>0</v>
      </c>
      <c r="K486" s="27">
        <f>IF(VLOOKUP($A486,Calendar!$A$1:$R$1377,18,0)=0,0,IF(VLOOKUP($A486,Calendar!$A$1:$R$1377,18,0)=1,IFERROR(INDEX(Weekly_Model!$D$2:$D$9,MATCH(F486,Weekly_Model!$A$2:$A$9,0)),0),IF(VLOOKUP($A486,Calendar!$A$1:$R$1377,18,0)=2,SUM(IFERROR(INDEX(Weekly_Model!$D$2:$D$9,MATCH(F486,Weekly_Model!$A$2:$A$9,0)),0),IFERROR(INDEX(Weekly_Model!$D$2:$D$9,MATCH(F487,Weekly_Model!$A$2:$A$9,0)),0)),IF(VLOOKUP($A486,Calendar!$A$1:$R$1377,18,0)=3,SUM(IFERROR(INDEX(Weekly_Model!$D$2:$D$9,MATCH(F486,Weekly_Model!$A$2:$A$9,0)),0),IFERROR(INDEX(Weekly_Model!$D$2:$D$9,MATCH(F487,Weekly_Model!$A$2:$A$9,0)),0),IFERROR(INDEX(Weekly_Model!$D$2:$D$9,MATCH(F488,Weekly_Model!$A$2:$A$9,0)),0)),IF(VLOOKUP($A486,Calendar!$A$1:$R$1377,18,0)=4,SUM(IFERROR(INDEX(Weekly_Model!$D$2:$D$9,MATCH(F486,Weekly_Model!$A$2:$A$9,0)),0),IFERROR(INDEX(Weekly_Model!$D$2:$D$9,MATCH(F487,Weekly_Model!$A$2:$A$9,0)),0),IFERROR(INDEX(Weekly_Model!$D$2:$D$9,MATCH(F488,Weekly_Model!$A$2:$A$9,0)),0),IFERROR(INDEX(Weekly_Model!$D$2:$D$9,MATCH(F489,Weekly_Model!$A$2:$A$9,0)),0)),IF(VLOOKUP($A486,Calendar!$A$1:$R$1377,18,0)=5,SUM(IFERROR(INDEX(Weekly_Model!$D$2:$D$9,MATCH(F486,Weekly_Model!$A$2:$A$9,0)),0),IFERROR(INDEX(Weekly_Model!$D$2:$D$9,MATCH(F487,Weekly_Model!$A$2:$A$9,0)),0),IFERROR(INDEX(Weekly_Model!$D$2:$D$9,MATCH(F488,Weekly_Model!$A$2:$A$9,0)),0),IFERROR(INDEX(Weekly_Model!$D$2:$D$9,MATCH(F489,Weekly_Model!$A$2:$A$9,0)),0),IFERROR(INDEX(Weekly_Model!$D$2:$D$9,MATCH(F490,Weekly_Model!$A$2:$A$9,0)),0)),0))))))</f>
        <v>0</v>
      </c>
      <c r="L486" s="27">
        <f>IF(VLOOKUP($A486,Calendar!$A$1:$R$1377,18,0)=0,0,IF(VLOOKUP($A486,Calendar!$A$1:$R$1377,18,0)=1,IFERROR(INDEX(Fortnightly_Model!$D$2:$D$15,MATCH(G486,Fortnightly_Model!$B$2:$B$15,0)),0),IF(VLOOKUP($A486,Calendar!$A$1:$R$1377,18,0)=2,SUM(IFERROR(INDEX(Fortnightly_Model!$D$2:$D$15,MATCH(G486,Fortnightly_Model!$B$2:$B$15,0)),0),IFERROR(INDEX(Fortnightly_Model!$D$2:$D$15,MATCH(G487,Fortnightly_Model!$B$2:$B$15,0)),0)),IF(VLOOKUP($A486,Calendar!$A$1:$R$1377,18,0)=3,SUM(IFERROR(INDEX(Fortnightly_Model!$D$2:$D$15,MATCH(G486,Fortnightly_Model!$B$2:$B$15,0)),0),IFERROR(INDEX(Fortnightly_Model!$D$2:$D$15,MATCH(G487,Fortnightly_Model!$B$2:$B$15,0)),0),IFERROR(INDEX(Fortnightly_Model!$D$2:$D$15,MATCH(G488,Fortnightly_Model!$B$2:$B$15,0)),0)),IF(VLOOKUP($A486,Calendar!$A$1:$R$1377,18,0)=4,SUM(IFERROR(INDEX(Fortnightly_Model!$D$2:$D$15,MATCH(G486,Fortnightly_Model!$B$2:$B$15,0)),0),IFERROR(INDEX(Fortnightly_Model!$D$2:$D$15,MATCH(G487,Fortnightly_Model!$B$2:$B$15,0)),0),IFERROR(INDEX(Fortnightly_Model!$D$2:$D$15,MATCH(G488,Fortnightly_Model!$B$2:$B$15,0)),0),IFERROR(INDEX(Fortnightly_Model!$D$2:$D$15,MATCH(G489,Fortnightly_Model!$B$2:$B$15,0)),0)),IF(VLOOKUP($A486,Calendar!$A$1:$R$1377,18,0)=5,SUM(IFERROR(INDEX(Fortnightly_Model!$D$2:$D$15,MATCH(G486,Fortnightly_Model!$B$2:$B$15,0)),0),IFERROR(INDEX(Fortnightly_Model!$D$2:$D$15,MATCH(G487,Fortnightly_Model!$B$2:$B$15,0)),0),IFERROR(INDEX(Fortnightly_Model!$D$2:$D$15,MATCH(G488,Fortnightly_Model!$B$2:$B$15,0)),0),IFERROR(INDEX(Fortnightly_Model!$D$2:$D$15,MATCH(G489,Fortnightly_Model!$B$2:$B$15,0)),0),IFERROR(INDEX(Fortnightly_Model!$D$2:$D$15,MATCH(G490,Fortnightly_Model!$B$2:$B$15,0)),0)),0))))))</f>
        <v>0</v>
      </c>
      <c r="M486" s="27">
        <f>IF(VLOOKUP($A486,Calendar!$A$1:$R$1377,18,0)=0,0,IF(VLOOKUP($A486,Calendar!$A$1:$R$1377,18,0)=1,IFERROR(INDEX(FourWeekly_Model!$D$2:$D$29,MATCH(H486,FourWeekly_Model!$B$2:$B$29,0)),0),IF(VLOOKUP($A486,Calendar!$A$1:$R$1377,18,0)=2,SUM(IFERROR(INDEX(FourWeekly_Model!$D$2:$D$29,MATCH(H486,FourWeekly_Model!$B$2:$B$29,0)),0),IFERROR(INDEX(FourWeekly_Model!$D$2:$D$29,MATCH(H487,FourWeekly_Model!$B$2:$B$29,0)),0)),IF(VLOOKUP($A486,Calendar!$A$1:$R$1377,18,0)=3,SUM(IFERROR(INDEX(FourWeekly_Model!$D$2:$D$29,MATCH(H486,FourWeekly_Model!$B$2:$B$29,0)),0),IFERROR(INDEX(FourWeekly_Model!$D$2:$D$29,MATCH(H487,FourWeekly_Model!$B$2:$B$29,0)),0),IFERROR(INDEX(FourWeekly_Model!$D$2:$D$29,MATCH(H488,FourWeekly_Model!$B$2:$B$29,0)),0)),IF(VLOOKUP($A486,Calendar!$A$1:$R$1377,18,0)=4,SUM(IFERROR(INDEX(FourWeekly_Model!$D$2:$D$29,MATCH(H486,FourWeekly_Model!$B$2:$B$29,0)),0),IFERROR(INDEX(FourWeekly_Model!$D$2:$D$29,MATCH(H487,FourWeekly_Model!$B$2:$B$29,0)),0),IFERROR(INDEX(FourWeekly_Model!$D$2:$D$29,MATCH(H488,FourWeekly_Model!$B$2:$B$29,0)),0),IFERROR(INDEX(FourWeekly_Model!$D$2:$D$29,MATCH(H489,FourWeekly_Model!$B$2:$B$29,0)),0)),IF(VLOOKUP($A486,Calendar!$A$1:$R$1377,18,0)=5,SUM(IFERROR(INDEX(FourWeekly_Model!$D$2:$D$29,MATCH(H486,FourWeekly_Model!$B$2:$B$29,0)),0),IFERROR(INDEX(FourWeekly_Model!$D$2:$D$29,MATCH(H487,FourWeekly_Model!$B$2:$B$29,0)),0),IFERROR(INDEX(FourWeekly_Model!$D$2:$D$29,MATCH(H488,FourWeekly_Model!$B$2:$B$29,0)),0),IFERROR(INDEX(FourWeekly_Model!$D$2:$D$29,MATCH(H489,FourWeekly_Model!$B$2:$B$29,0)),0),IFERROR(INDEX(FourWeekly_Model!$D$2:$D$29,MATCH(H490,FourWeekly_Model!$B$2:$B$29,0)),0)),0))))))</f>
        <v>0</v>
      </c>
      <c r="N486" s="27">
        <f>SUM(I486:M486)</f>
        <v>0</v>
      </c>
      <c r="O486" s="28">
        <f>Population_Data!$B$8*N486</f>
        <v>0</v>
      </c>
      <c r="P486" s="27">
        <f>IF(VLOOKUP($A486,Calendar!$A$1:$R$1377,18,0)=0,0,IF(VLOOKUP($A486,Calendar!$A$1:$R$1377,18,0)=1,IFERROR(INDEX(Pension_Model!$D$2:$D$29,MATCH(H486,Pension_Model!$B$2:$B$29,0)),0),IF(VLOOKUP($A486,Calendar!$A$1:$R$1377,18,0)=2,SUM(IFERROR(INDEX(Pension_Model!$D$2:$D$29,MATCH(H486,Pension_Model!$B$2:$B$29,0)),0),IFERROR(INDEX(Pension_Model!$D$2:$D$29,MATCH(H487,Pension_Model!$B$2:$B$29,0)),0)),IF(VLOOKUP($A486,Calendar!$A$1:$R$1377,18,0)=3,SUM(IFERROR(INDEX(Pension_Model!$D$2:$D$29,MATCH(H486,Pension_Model!$B$2:$B$29,0)),0),IFERROR(INDEX(Pension_Model!$D$2:$D$29,MATCH(H487,Pension_Model!$B$2:$B$29,0)),0),IFERROR(INDEX(Pension_Model!$D$2:$D$29,MATCH(H488,Pension_Model!$B$2:$B$29,0)),0)),IF(VLOOKUP($A486,Calendar!$A$1:$R$1377,18,0)=4,SUM(IFERROR(INDEX(Pension_Model!$D$2:$D$29,MATCH(H486,Pension_Model!$B$2:$B$29,0)),0),IFERROR(INDEX(Pension_Model!$D$2:$D$29,MATCH(H487,Pension_Model!$B$2:$B$29,0)),0),IFERROR(INDEX(Pension_Model!$D$2:$D$29,MATCH(H488,Pension_Model!$B$2:$B$29,0)),0),IFERROR(INDEX(Pension_Model!$D$2:$D$29,MATCH(H489,Pension_Model!$B$2:$B$29,0)),0)),IF(VLOOKUP($A486,Calendar!$A$1:$R$1377,18,0)=5,SUM(IFERROR(INDEX(Pension_Model!$D$2:$D$29,MATCH(H486,Pension_Model!$B$2:$B$29,0)),0),IFERROR(INDEX(Pension_Model!$D$2:$D$29,MATCH(H487,Pension_Model!$B$2:$B$29,0)),0),IFERROR(INDEX(Pension_Model!$D$2:$D$29,MATCH(H488,Pension_Model!$B$2:$B$29,0)),0),IFERROR(INDEX(Pension_Model!$D$2:$D$29,MATCH(H489,Pension_Model!$B$2:$B$29,0)),0),IFERROR(INDEX(Pension_Model!$D$2:$D$29,MATCH(H490,Pension_Model!$B$2:$B$29,0)),0)),0))))))</f>
        <v>0</v>
      </c>
      <c r="Q486" s="28">
        <f>Population_Data!$B$15*P486</f>
        <v>0</v>
      </c>
      <c r="S486">
        <f t="shared" si="7"/>
        <v>0</v>
      </c>
      <c r="U486" s="33">
        <f>S486/Population_Data!$B$19</f>
        <v>0</v>
      </c>
    </row>
    <row r="487" spans="1:21">
      <c r="A487" s="25">
        <f>Calendar!A487</f>
        <v>46720</v>
      </c>
      <c r="B487" t="str">
        <f>Calendar!L487</f>
        <v>Yes</v>
      </c>
      <c r="C487" t="str">
        <f>Calendar!O487</f>
        <v>No</v>
      </c>
      <c r="D487" t="str">
        <f>Calendar!P487</f>
        <v>No</v>
      </c>
      <c r="E487" t="str">
        <f>Calendar!Q487</f>
        <v>No</v>
      </c>
      <c r="F487" t="str">
        <f>Calendar!I487</f>
        <v>Monday</v>
      </c>
      <c r="G487">
        <f>Calendar!S487</f>
        <v>2</v>
      </c>
      <c r="H487">
        <f>Calendar!T487</f>
        <v>16</v>
      </c>
      <c r="I487" s="27">
        <f>IF(VLOOKUP(A487,Calendar!$A$1:$R$1377,18,0)=0,0,IF(VLOOKUP(A487,Calendar!$A$1:$R$1377,18,0)=1,INDEX(Monthly_Pay_Model!$A$9:$D$40,MATCH(TEXT(A487,"dd"),Monthly_Pay_Model!$C$9:$C$39,0),4),IF(VLOOKUP(A487,Calendar!$A$1:$R$1377,18,0)=2,SUM(INDEX(Monthly_Pay_Model!$A$9:$D$40,MATCH(TEXT(A487,"dd"),Monthly_Pay_Model!$C$9:$C$39,0),4),INDEX(Monthly_Pay_Model!$A$9:$D$40,MATCH(TEXT(A488,"dd"),Monthly_Pay_Model!$C$9:$C$39,0),4)),IF(VLOOKUP(A487,Calendar!$A$1:$R$1377,18,0)=3,SUM(INDEX(Monthly_Pay_Model!$A$9:$D$40,MATCH(TEXT(A487,"dd"),Monthly_Pay_Model!$C$9:$C$39,0),4),INDEX(Monthly_Pay_Model!$A$9:$D$40,MATCH(TEXT(A488,"dd"),Monthly_Pay_Model!$C$9:$C$39,0),4),INDEX(Monthly_Pay_Model!$A$9:$D$40,MATCH(TEXT(A489,"dd"),Monthly_Pay_Model!$C$9:$C$39,0),4)),IF(VLOOKUP(A487,Calendar!$A$1:$R$1377,18,0)=4,SUM(INDEX(Monthly_Pay_Model!$A$9:$D$40,MATCH(TEXT(A487,"dd"),Monthly_Pay_Model!$C$9:$C$39,0),4),INDEX(Monthly_Pay_Model!$A$9:$D$40,MATCH(TEXT(A488,"dd"),Monthly_Pay_Model!$C$9:$C$39,0),4),INDEX(Monthly_Pay_Model!$A$9:$D$40,MATCH(TEXT(A489,"dd"),Monthly_Pay_Model!$C$9:$C$39,0),4),INDEX(Monthly_Pay_Model!$A$9:$D$40,MATCH(TEXT(A490,"dd"),Monthly_Pay_Model!$C$9:$C$39,0),4)),IF(VLOOKUP(A487,Calendar!$A$1:$R$1377,18,0)=5,SUM(INDEX(Monthly_Pay_Model!$A$9:$D$40,MATCH(TEXT(A487,"dd"),Monthly_Pay_Model!$C$9:$C$39,0),4),INDEX(Monthly_Pay_Model!$A$9:$D$40,MATCH(TEXT(A488,"dd"),Monthly_Pay_Model!$C$9:$C$39,0),4),INDEX(Monthly_Pay_Model!$A$9:$D$40,MATCH(TEXT(A489,"dd"),Monthly_Pay_Model!$C$9:$C$39,0),4),INDEX(Monthly_Pay_Model!$A$9:$D$40,MATCH(TEXT(A490,"dd"),Monthly_Pay_Model!$C$9:$C$39,0),4),INDEX(Monthly_Pay_Model!$A$9:$D$40,MATCH(TEXT(A491,"dd"),Monthly_Pay_Model!$C$9:$C$39,0),4)),))))))</f>
        <v>4.0628272251308894E-3</v>
      </c>
      <c r="J487" s="33">
        <f>IF(C487="Yes",Monthly_Pay_Model!$D$2,0)
+IF(Calendar!N487="Yes",Monthly_Pay_Model!$D$3,0)
+IF(D487="Yes",Monthly_Pay_Model!$D$4,0)
+IF(E487="Yes",Monthly_Pay_Model!$D$5,0)</f>
        <v>0</v>
      </c>
      <c r="K487" s="27">
        <f>IF(VLOOKUP($A487,Calendar!$A$1:$R$1377,18,0)=0,0,IF(VLOOKUP($A487,Calendar!$A$1:$R$1377,18,0)=1,IFERROR(INDEX(Weekly_Model!$D$2:$D$9,MATCH(F487,Weekly_Model!$A$2:$A$9,0)),0),IF(VLOOKUP($A487,Calendar!$A$1:$R$1377,18,0)=2,SUM(IFERROR(INDEX(Weekly_Model!$D$2:$D$9,MATCH(F487,Weekly_Model!$A$2:$A$9,0)),0),IFERROR(INDEX(Weekly_Model!$D$2:$D$9,MATCH(F488,Weekly_Model!$A$2:$A$9,0)),0)),IF(VLOOKUP($A487,Calendar!$A$1:$R$1377,18,0)=3,SUM(IFERROR(INDEX(Weekly_Model!$D$2:$D$9,MATCH(F487,Weekly_Model!$A$2:$A$9,0)),0),IFERROR(INDEX(Weekly_Model!$D$2:$D$9,MATCH(F488,Weekly_Model!$A$2:$A$9,0)),0),IFERROR(INDEX(Weekly_Model!$D$2:$D$9,MATCH(F489,Weekly_Model!$A$2:$A$9,0)),0)),IF(VLOOKUP($A487,Calendar!$A$1:$R$1377,18,0)=4,SUM(IFERROR(INDEX(Weekly_Model!$D$2:$D$9,MATCH(F487,Weekly_Model!$A$2:$A$9,0)),0),IFERROR(INDEX(Weekly_Model!$D$2:$D$9,MATCH(F488,Weekly_Model!$A$2:$A$9,0)),0),IFERROR(INDEX(Weekly_Model!$D$2:$D$9,MATCH(F489,Weekly_Model!$A$2:$A$9,0)),0),IFERROR(INDEX(Weekly_Model!$D$2:$D$9,MATCH(F490,Weekly_Model!$A$2:$A$9,0)),0)),IF(VLOOKUP($A487,Calendar!$A$1:$R$1377,18,0)=5,SUM(IFERROR(INDEX(Weekly_Model!$D$2:$D$9,MATCH(F487,Weekly_Model!$A$2:$A$9,0)),0),IFERROR(INDEX(Weekly_Model!$D$2:$D$9,MATCH(F488,Weekly_Model!$A$2:$A$9,0)),0),IFERROR(INDEX(Weekly_Model!$D$2:$D$9,MATCH(F489,Weekly_Model!$A$2:$A$9,0)),0),IFERROR(INDEX(Weekly_Model!$D$2:$D$9,MATCH(F490,Weekly_Model!$A$2:$A$9,0)),0),IFERROR(INDEX(Weekly_Model!$D$2:$D$9,MATCH(F491,Weekly_Model!$A$2:$A$9,0)),0)),0))))))</f>
        <v>2.3200000000000002E-2</v>
      </c>
      <c r="L487" s="27">
        <f>IF(VLOOKUP($A487,Calendar!$A$1:$R$1377,18,0)=0,0,IF(VLOOKUP($A487,Calendar!$A$1:$R$1377,18,0)=1,IFERROR(INDEX(Fortnightly_Model!$D$2:$D$15,MATCH(G487,Fortnightly_Model!$B$2:$B$15,0)),0),IF(VLOOKUP($A487,Calendar!$A$1:$R$1377,18,0)=2,SUM(IFERROR(INDEX(Fortnightly_Model!$D$2:$D$15,MATCH(G487,Fortnightly_Model!$B$2:$B$15,0)),0),IFERROR(INDEX(Fortnightly_Model!$D$2:$D$15,MATCH(G488,Fortnightly_Model!$B$2:$B$15,0)),0)),IF(VLOOKUP($A487,Calendar!$A$1:$R$1377,18,0)=3,SUM(IFERROR(INDEX(Fortnightly_Model!$D$2:$D$15,MATCH(G487,Fortnightly_Model!$B$2:$B$15,0)),0),IFERROR(INDEX(Fortnightly_Model!$D$2:$D$15,MATCH(G488,Fortnightly_Model!$B$2:$B$15,0)),0),IFERROR(INDEX(Fortnightly_Model!$D$2:$D$15,MATCH(G489,Fortnightly_Model!$B$2:$B$15,0)),0)),IF(VLOOKUP($A487,Calendar!$A$1:$R$1377,18,0)=4,SUM(IFERROR(INDEX(Fortnightly_Model!$D$2:$D$15,MATCH(G487,Fortnightly_Model!$B$2:$B$15,0)),0),IFERROR(INDEX(Fortnightly_Model!$D$2:$D$15,MATCH(G488,Fortnightly_Model!$B$2:$B$15,0)),0),IFERROR(INDEX(Fortnightly_Model!$D$2:$D$15,MATCH(G489,Fortnightly_Model!$B$2:$B$15,0)),0),IFERROR(INDEX(Fortnightly_Model!$D$2:$D$15,MATCH(G490,Fortnightly_Model!$B$2:$B$15,0)),0)),IF(VLOOKUP($A487,Calendar!$A$1:$R$1377,18,0)=5,SUM(IFERROR(INDEX(Fortnightly_Model!$D$2:$D$15,MATCH(G487,Fortnightly_Model!$B$2:$B$15,0)),0),IFERROR(INDEX(Fortnightly_Model!$D$2:$D$15,MATCH(G488,Fortnightly_Model!$B$2:$B$15,0)),0),IFERROR(INDEX(Fortnightly_Model!$D$2:$D$15,MATCH(G489,Fortnightly_Model!$B$2:$B$15,0)),0),IFERROR(INDEX(Fortnightly_Model!$D$2:$D$15,MATCH(G490,Fortnightly_Model!$B$2:$B$15,0)),0),IFERROR(INDEX(Fortnightly_Model!$D$2:$D$15,MATCH(G491,Fortnightly_Model!$B$2:$B$15,0)),0)),0))))))</f>
        <v>1.0714285499999999E-3</v>
      </c>
      <c r="M487" s="27">
        <f>IF(VLOOKUP($A487,Calendar!$A$1:$R$1377,18,0)=0,0,IF(VLOOKUP($A487,Calendar!$A$1:$R$1377,18,0)=1,IFERROR(INDEX(FourWeekly_Model!$D$2:$D$29,MATCH(H487,FourWeekly_Model!$B$2:$B$29,0)),0),IF(VLOOKUP($A487,Calendar!$A$1:$R$1377,18,0)=2,SUM(IFERROR(INDEX(FourWeekly_Model!$D$2:$D$29,MATCH(H487,FourWeekly_Model!$B$2:$B$29,0)),0),IFERROR(INDEX(FourWeekly_Model!$D$2:$D$29,MATCH(H488,FourWeekly_Model!$B$2:$B$29,0)),0)),IF(VLOOKUP($A487,Calendar!$A$1:$R$1377,18,0)=3,SUM(IFERROR(INDEX(FourWeekly_Model!$D$2:$D$29,MATCH(H487,FourWeekly_Model!$B$2:$B$29,0)),0),IFERROR(INDEX(FourWeekly_Model!$D$2:$D$29,MATCH(H488,FourWeekly_Model!$B$2:$B$29,0)),0),IFERROR(INDEX(FourWeekly_Model!$D$2:$D$29,MATCH(H489,FourWeekly_Model!$B$2:$B$29,0)),0)),IF(VLOOKUP($A487,Calendar!$A$1:$R$1377,18,0)=4,SUM(IFERROR(INDEX(FourWeekly_Model!$D$2:$D$29,MATCH(H487,FourWeekly_Model!$B$2:$B$29,0)),0),IFERROR(INDEX(FourWeekly_Model!$D$2:$D$29,MATCH(H488,FourWeekly_Model!$B$2:$B$29,0)),0),IFERROR(INDEX(FourWeekly_Model!$D$2:$D$29,MATCH(H489,FourWeekly_Model!$B$2:$B$29,0)),0),IFERROR(INDEX(FourWeekly_Model!$D$2:$D$29,MATCH(H490,FourWeekly_Model!$B$2:$B$29,0)),0)),IF(VLOOKUP($A487,Calendar!$A$1:$R$1377,18,0)=5,SUM(IFERROR(INDEX(FourWeekly_Model!$D$2:$D$29,MATCH(H487,FourWeekly_Model!$B$2:$B$29,0)),0),IFERROR(INDEX(FourWeekly_Model!$D$2:$D$29,MATCH(H488,FourWeekly_Model!$B$2:$B$29,0)),0),IFERROR(INDEX(FourWeekly_Model!$D$2:$D$29,MATCH(H489,FourWeekly_Model!$B$2:$B$29,0)),0),IFERROR(INDEX(FourWeekly_Model!$D$2:$D$29,MATCH(H490,FourWeekly_Model!$B$2:$B$29,0)),0),IFERROR(INDEX(FourWeekly_Model!$D$2:$D$29,MATCH(H491,FourWeekly_Model!$B$2:$B$29,0)),0)),0))))))</f>
        <v>3.3214289700000004E-3</v>
      </c>
      <c r="N487" s="27">
        <f>SUM(I487:M487)</f>
        <v>3.1655684745130891E-2</v>
      </c>
      <c r="O487" s="28">
        <f>Population_Data!$B$8*N487</f>
        <v>959167.24777746596</v>
      </c>
      <c r="P487" s="27">
        <f>IF(VLOOKUP($A487,Calendar!$A$1:$R$1377,18,0)=0,0,IF(VLOOKUP($A487,Calendar!$A$1:$R$1377,18,0)=1,IFERROR(INDEX(Pension_Model!$D$2:$D$29,MATCH(H487,Pension_Model!$B$2:$B$29,0)),0),IF(VLOOKUP($A487,Calendar!$A$1:$R$1377,18,0)=2,SUM(IFERROR(INDEX(Pension_Model!$D$2:$D$29,MATCH(H487,Pension_Model!$B$2:$B$29,0)),0),IFERROR(INDEX(Pension_Model!$D$2:$D$29,MATCH(H488,Pension_Model!$B$2:$B$29,0)),0)),IF(VLOOKUP($A487,Calendar!$A$1:$R$1377,18,0)=3,SUM(IFERROR(INDEX(Pension_Model!$D$2:$D$29,MATCH(H487,Pension_Model!$B$2:$B$29,0)),0),IFERROR(INDEX(Pension_Model!$D$2:$D$29,MATCH(H488,Pension_Model!$B$2:$B$29,0)),0),IFERROR(INDEX(Pension_Model!$D$2:$D$29,MATCH(H489,Pension_Model!$B$2:$B$29,0)),0)),IF(VLOOKUP($A487,Calendar!$A$1:$R$1377,18,0)=4,SUM(IFERROR(INDEX(Pension_Model!$D$2:$D$29,MATCH(H487,Pension_Model!$B$2:$B$29,0)),0),IFERROR(INDEX(Pension_Model!$D$2:$D$29,MATCH(H488,Pension_Model!$B$2:$B$29,0)),0),IFERROR(INDEX(Pension_Model!$D$2:$D$29,MATCH(H489,Pension_Model!$B$2:$B$29,0)),0),IFERROR(INDEX(Pension_Model!$D$2:$D$29,MATCH(H490,Pension_Model!$B$2:$B$29,0)),0)),IF(VLOOKUP($A487,Calendar!$A$1:$R$1377,18,0)=5,SUM(IFERROR(INDEX(Pension_Model!$D$2:$D$29,MATCH(H487,Pension_Model!$B$2:$B$29,0)),0),IFERROR(INDEX(Pension_Model!$D$2:$D$29,MATCH(H488,Pension_Model!$B$2:$B$29,0)),0),IFERROR(INDEX(Pension_Model!$D$2:$D$29,MATCH(H489,Pension_Model!$B$2:$B$29,0)),0),IFERROR(INDEX(Pension_Model!$D$2:$D$29,MATCH(H490,Pension_Model!$B$2:$B$29,0)),0),IFERROR(INDEX(Pension_Model!$D$2:$D$29,MATCH(H491,Pension_Model!$B$2:$B$29,0)),0)),0))))))</f>
        <v>0.05</v>
      </c>
      <c r="Q487" s="28">
        <f>Population_Data!$B$15*P487</f>
        <v>660600</v>
      </c>
      <c r="S487">
        <f t="shared" si="7"/>
        <v>1619767.247777466</v>
      </c>
      <c r="U487" s="33">
        <f>S487/Population_Data!$B$19</f>
        <v>2.9343609561185979E-2</v>
      </c>
    </row>
    <row r="488" spans="1:21">
      <c r="A488" s="25">
        <f>Calendar!A488</f>
        <v>46721</v>
      </c>
      <c r="B488" t="str">
        <f>Calendar!L488</f>
        <v>Yes</v>
      </c>
      <c r="C488" t="str">
        <f>Calendar!O488</f>
        <v>Yes</v>
      </c>
      <c r="D488" t="str">
        <f>Calendar!P488</f>
        <v>No</v>
      </c>
      <c r="E488" t="str">
        <f>Calendar!Q488</f>
        <v>No</v>
      </c>
      <c r="F488" t="str">
        <f>Calendar!I488</f>
        <v>Tuesday</v>
      </c>
      <c r="G488">
        <f>Calendar!S488</f>
        <v>3</v>
      </c>
      <c r="H488">
        <f>Calendar!T488</f>
        <v>17</v>
      </c>
      <c r="I488" s="27">
        <f>IF(VLOOKUP(A488,Calendar!$A$1:$R$1377,18,0)=0,0,IF(VLOOKUP(A488,Calendar!$A$1:$R$1377,18,0)=1,INDEX(Monthly_Pay_Model!$A$9:$D$40,MATCH(TEXT(A488,"dd"),Monthly_Pay_Model!$C$9:$C$39,0),4),IF(VLOOKUP(A488,Calendar!$A$1:$R$1377,18,0)=2,SUM(INDEX(Monthly_Pay_Model!$A$9:$D$40,MATCH(TEXT(A488,"dd"),Monthly_Pay_Model!$C$9:$C$39,0),4),INDEX(Monthly_Pay_Model!$A$9:$D$40,MATCH(TEXT(A489,"dd"),Monthly_Pay_Model!$C$9:$C$39,0),4)),IF(VLOOKUP(A488,Calendar!$A$1:$R$1377,18,0)=3,SUM(INDEX(Monthly_Pay_Model!$A$9:$D$40,MATCH(TEXT(A488,"dd"),Monthly_Pay_Model!$C$9:$C$39,0),4),INDEX(Monthly_Pay_Model!$A$9:$D$40,MATCH(TEXT(A489,"dd"),Monthly_Pay_Model!$C$9:$C$39,0),4),INDEX(Monthly_Pay_Model!$A$9:$D$40,MATCH(TEXT(A490,"dd"),Monthly_Pay_Model!$C$9:$C$39,0),4)),IF(VLOOKUP(A488,Calendar!$A$1:$R$1377,18,0)=4,SUM(INDEX(Monthly_Pay_Model!$A$9:$D$40,MATCH(TEXT(A488,"dd"),Monthly_Pay_Model!$C$9:$C$39,0),4),INDEX(Monthly_Pay_Model!$A$9:$D$40,MATCH(TEXT(A489,"dd"),Monthly_Pay_Model!$C$9:$C$39,0),4),INDEX(Monthly_Pay_Model!$A$9:$D$40,MATCH(TEXT(A490,"dd"),Monthly_Pay_Model!$C$9:$C$39,0),4),INDEX(Monthly_Pay_Model!$A$9:$D$40,MATCH(TEXT(A491,"dd"),Monthly_Pay_Model!$C$9:$C$39,0),4)),IF(VLOOKUP(A488,Calendar!$A$1:$R$1377,18,0)=5,SUM(INDEX(Monthly_Pay_Model!$A$9:$D$40,MATCH(TEXT(A488,"dd"),Monthly_Pay_Model!$C$9:$C$39,0),4),INDEX(Monthly_Pay_Model!$A$9:$D$40,MATCH(TEXT(A489,"dd"),Monthly_Pay_Model!$C$9:$C$39,0),4),INDEX(Monthly_Pay_Model!$A$9:$D$40,MATCH(TEXT(A490,"dd"),Monthly_Pay_Model!$C$9:$C$39,0),4),INDEX(Monthly_Pay_Model!$A$9:$D$40,MATCH(TEXT(A491,"dd"),Monthly_Pay_Model!$C$9:$C$39,0),4),INDEX(Monthly_Pay_Model!$A$9:$D$40,MATCH(TEXT(A492,"dd"),Monthly_Pay_Model!$C$9:$C$39,0),4)),))))))</f>
        <v>4.8753926701570662E-3</v>
      </c>
      <c r="J488" s="33">
        <f>IF(C488="Yes",Monthly_Pay_Model!$D$2,0)
+IF(Calendar!N488="Yes",Monthly_Pay_Model!$D$3,0)
+IF(D488="Yes",Monthly_Pay_Model!$D$4,0)
+IF(E488="Yes",Monthly_Pay_Model!$D$5,0)</f>
        <v>0.41127999999999998</v>
      </c>
      <c r="K488" s="27">
        <f>IF(VLOOKUP($A488,Calendar!$A$1:$R$1377,18,0)=0,0,IF(VLOOKUP($A488,Calendar!$A$1:$R$1377,18,0)=1,IFERROR(INDEX(Weekly_Model!$D$2:$D$9,MATCH(F488,Weekly_Model!$A$2:$A$9,0)),0),IF(VLOOKUP($A488,Calendar!$A$1:$R$1377,18,0)=2,SUM(IFERROR(INDEX(Weekly_Model!$D$2:$D$9,MATCH(F488,Weekly_Model!$A$2:$A$9,0)),0),IFERROR(INDEX(Weekly_Model!$D$2:$D$9,MATCH(F489,Weekly_Model!$A$2:$A$9,0)),0)),IF(VLOOKUP($A488,Calendar!$A$1:$R$1377,18,0)=3,SUM(IFERROR(INDEX(Weekly_Model!$D$2:$D$9,MATCH(F488,Weekly_Model!$A$2:$A$9,0)),0),IFERROR(INDEX(Weekly_Model!$D$2:$D$9,MATCH(F489,Weekly_Model!$A$2:$A$9,0)),0),IFERROR(INDEX(Weekly_Model!$D$2:$D$9,MATCH(F490,Weekly_Model!$A$2:$A$9,0)),0)),IF(VLOOKUP($A488,Calendar!$A$1:$R$1377,18,0)=4,SUM(IFERROR(INDEX(Weekly_Model!$D$2:$D$9,MATCH(F488,Weekly_Model!$A$2:$A$9,0)),0),IFERROR(INDEX(Weekly_Model!$D$2:$D$9,MATCH(F489,Weekly_Model!$A$2:$A$9,0)),0),IFERROR(INDEX(Weekly_Model!$D$2:$D$9,MATCH(F490,Weekly_Model!$A$2:$A$9,0)),0),IFERROR(INDEX(Weekly_Model!$D$2:$D$9,MATCH(F491,Weekly_Model!$A$2:$A$9,0)),0)),IF(VLOOKUP($A488,Calendar!$A$1:$R$1377,18,0)=5,SUM(IFERROR(INDEX(Weekly_Model!$D$2:$D$9,MATCH(F488,Weekly_Model!$A$2:$A$9,0)),0),IFERROR(INDEX(Weekly_Model!$D$2:$D$9,MATCH(F489,Weekly_Model!$A$2:$A$9,0)),0),IFERROR(INDEX(Weekly_Model!$D$2:$D$9,MATCH(F490,Weekly_Model!$A$2:$A$9,0)),0),IFERROR(INDEX(Weekly_Model!$D$2:$D$9,MATCH(F491,Weekly_Model!$A$2:$A$9,0)),0),IFERROR(INDEX(Weekly_Model!$D$2:$D$9,MATCH(F492,Weekly_Model!$A$2:$A$9,0)),0)),0))))))</f>
        <v>2.3200000000000002E-2</v>
      </c>
      <c r="L488" s="27">
        <f>IF(VLOOKUP($A488,Calendar!$A$1:$R$1377,18,0)=0,0,IF(VLOOKUP($A488,Calendar!$A$1:$R$1377,18,0)=1,IFERROR(INDEX(Fortnightly_Model!$D$2:$D$15,MATCH(G488,Fortnightly_Model!$B$2:$B$15,0)),0),IF(VLOOKUP($A488,Calendar!$A$1:$R$1377,18,0)=2,SUM(IFERROR(INDEX(Fortnightly_Model!$D$2:$D$15,MATCH(G488,Fortnightly_Model!$B$2:$B$15,0)),0),IFERROR(INDEX(Fortnightly_Model!$D$2:$D$15,MATCH(G489,Fortnightly_Model!$B$2:$B$15,0)),0)),IF(VLOOKUP($A488,Calendar!$A$1:$R$1377,18,0)=3,SUM(IFERROR(INDEX(Fortnightly_Model!$D$2:$D$15,MATCH(G488,Fortnightly_Model!$B$2:$B$15,0)),0),IFERROR(INDEX(Fortnightly_Model!$D$2:$D$15,MATCH(G489,Fortnightly_Model!$B$2:$B$15,0)),0),IFERROR(INDEX(Fortnightly_Model!$D$2:$D$15,MATCH(G490,Fortnightly_Model!$B$2:$B$15,0)),0)),IF(VLOOKUP($A488,Calendar!$A$1:$R$1377,18,0)=4,SUM(IFERROR(INDEX(Fortnightly_Model!$D$2:$D$15,MATCH(G488,Fortnightly_Model!$B$2:$B$15,0)),0),IFERROR(INDEX(Fortnightly_Model!$D$2:$D$15,MATCH(G489,Fortnightly_Model!$B$2:$B$15,0)),0),IFERROR(INDEX(Fortnightly_Model!$D$2:$D$15,MATCH(G490,Fortnightly_Model!$B$2:$B$15,0)),0),IFERROR(INDEX(Fortnightly_Model!$D$2:$D$15,MATCH(G491,Fortnightly_Model!$B$2:$B$15,0)),0)),IF(VLOOKUP($A488,Calendar!$A$1:$R$1377,18,0)=5,SUM(IFERROR(INDEX(Fortnightly_Model!$D$2:$D$15,MATCH(G488,Fortnightly_Model!$B$2:$B$15,0)),0),IFERROR(INDEX(Fortnightly_Model!$D$2:$D$15,MATCH(G489,Fortnightly_Model!$B$2:$B$15,0)),0),IFERROR(INDEX(Fortnightly_Model!$D$2:$D$15,MATCH(G490,Fortnightly_Model!$B$2:$B$15,0)),0),IFERROR(INDEX(Fortnightly_Model!$D$2:$D$15,MATCH(G491,Fortnightly_Model!$B$2:$B$15,0)),0),IFERROR(INDEX(Fortnightly_Model!$D$2:$D$15,MATCH(G492,Fortnightly_Model!$B$2:$B$15,0)),0)),0))))))</f>
        <v>1.0714285499999999E-3</v>
      </c>
      <c r="M488" s="27">
        <f>IF(VLOOKUP($A488,Calendar!$A$1:$R$1377,18,0)=0,0,IF(VLOOKUP($A488,Calendar!$A$1:$R$1377,18,0)=1,IFERROR(INDEX(FourWeekly_Model!$D$2:$D$29,MATCH(H488,FourWeekly_Model!$B$2:$B$29,0)),0),IF(VLOOKUP($A488,Calendar!$A$1:$R$1377,18,0)=2,SUM(IFERROR(INDEX(FourWeekly_Model!$D$2:$D$29,MATCH(H488,FourWeekly_Model!$B$2:$B$29,0)),0),IFERROR(INDEX(FourWeekly_Model!$D$2:$D$29,MATCH(H489,FourWeekly_Model!$B$2:$B$29,0)),0)),IF(VLOOKUP($A488,Calendar!$A$1:$R$1377,18,0)=3,SUM(IFERROR(INDEX(FourWeekly_Model!$D$2:$D$29,MATCH(H488,FourWeekly_Model!$B$2:$B$29,0)),0),IFERROR(INDEX(FourWeekly_Model!$D$2:$D$29,MATCH(H489,FourWeekly_Model!$B$2:$B$29,0)),0),IFERROR(INDEX(FourWeekly_Model!$D$2:$D$29,MATCH(H490,FourWeekly_Model!$B$2:$B$29,0)),0)),IF(VLOOKUP($A488,Calendar!$A$1:$R$1377,18,0)=4,SUM(IFERROR(INDEX(FourWeekly_Model!$D$2:$D$29,MATCH(H488,FourWeekly_Model!$B$2:$B$29,0)),0),IFERROR(INDEX(FourWeekly_Model!$D$2:$D$29,MATCH(H489,FourWeekly_Model!$B$2:$B$29,0)),0),IFERROR(INDEX(FourWeekly_Model!$D$2:$D$29,MATCH(H490,FourWeekly_Model!$B$2:$B$29,0)),0),IFERROR(INDEX(FourWeekly_Model!$D$2:$D$29,MATCH(H491,FourWeekly_Model!$B$2:$B$29,0)),0)),IF(VLOOKUP($A488,Calendar!$A$1:$R$1377,18,0)=5,SUM(IFERROR(INDEX(FourWeekly_Model!$D$2:$D$29,MATCH(H488,FourWeekly_Model!$B$2:$B$29,0)),0),IFERROR(INDEX(FourWeekly_Model!$D$2:$D$29,MATCH(H489,FourWeekly_Model!$B$2:$B$29,0)),0),IFERROR(INDEX(FourWeekly_Model!$D$2:$D$29,MATCH(H490,FourWeekly_Model!$B$2:$B$29,0)),0),IFERROR(INDEX(FourWeekly_Model!$D$2:$D$29,MATCH(H491,FourWeekly_Model!$B$2:$B$29,0)),0),IFERROR(INDEX(FourWeekly_Model!$D$2:$D$29,MATCH(H492,FourWeekly_Model!$B$2:$B$29,0)),0)),0))))))</f>
        <v>3.3214289700000004E-3</v>
      </c>
      <c r="N488" s="27">
        <f>SUM(I488:M488)</f>
        <v>0.44374825019015701</v>
      </c>
      <c r="O488" s="28">
        <f>Population_Data!$B$8*N488</f>
        <v>13445571.980761757</v>
      </c>
      <c r="P488" s="27">
        <f>IF(VLOOKUP($A488,Calendar!$A$1:$R$1377,18,0)=0,0,IF(VLOOKUP($A488,Calendar!$A$1:$R$1377,18,0)=1,IFERROR(INDEX(Pension_Model!$D$2:$D$29,MATCH(H488,Pension_Model!$B$2:$B$29,0)),0),IF(VLOOKUP($A488,Calendar!$A$1:$R$1377,18,0)=2,SUM(IFERROR(INDEX(Pension_Model!$D$2:$D$29,MATCH(H488,Pension_Model!$B$2:$B$29,0)),0),IFERROR(INDEX(Pension_Model!$D$2:$D$29,MATCH(H489,Pension_Model!$B$2:$B$29,0)),0)),IF(VLOOKUP($A488,Calendar!$A$1:$R$1377,18,0)=3,SUM(IFERROR(INDEX(Pension_Model!$D$2:$D$29,MATCH(H488,Pension_Model!$B$2:$B$29,0)),0),IFERROR(INDEX(Pension_Model!$D$2:$D$29,MATCH(H489,Pension_Model!$B$2:$B$29,0)),0),IFERROR(INDEX(Pension_Model!$D$2:$D$29,MATCH(H490,Pension_Model!$B$2:$B$29,0)),0)),IF(VLOOKUP($A488,Calendar!$A$1:$R$1377,18,0)=4,SUM(IFERROR(INDEX(Pension_Model!$D$2:$D$29,MATCH(H488,Pension_Model!$B$2:$B$29,0)),0),IFERROR(INDEX(Pension_Model!$D$2:$D$29,MATCH(H489,Pension_Model!$B$2:$B$29,0)),0),IFERROR(INDEX(Pension_Model!$D$2:$D$29,MATCH(H490,Pension_Model!$B$2:$B$29,0)),0),IFERROR(INDEX(Pension_Model!$D$2:$D$29,MATCH(H491,Pension_Model!$B$2:$B$29,0)),0)),IF(VLOOKUP($A488,Calendar!$A$1:$R$1377,18,0)=5,SUM(IFERROR(INDEX(Pension_Model!$D$2:$D$29,MATCH(H488,Pension_Model!$B$2:$B$29,0)),0),IFERROR(INDEX(Pension_Model!$D$2:$D$29,MATCH(H489,Pension_Model!$B$2:$B$29,0)),0),IFERROR(INDEX(Pension_Model!$D$2:$D$29,MATCH(H490,Pension_Model!$B$2:$B$29,0)),0),IFERROR(INDEX(Pension_Model!$D$2:$D$29,MATCH(H491,Pension_Model!$B$2:$B$29,0)),0),IFERROR(INDEX(Pension_Model!$D$2:$D$29,MATCH(H492,Pension_Model!$B$2:$B$29,0)),0)),0))))))</f>
        <v>0.05</v>
      </c>
      <c r="Q488" s="28">
        <f>Population_Data!$B$15*P488</f>
        <v>660600</v>
      </c>
      <c r="S488">
        <f t="shared" si="7"/>
        <v>14106171.980761757</v>
      </c>
      <c r="U488" s="33">
        <f>S488/Population_Data!$B$19</f>
        <v>0.25554659385437967</v>
      </c>
    </row>
    <row r="489" spans="1:21">
      <c r="A489" s="25">
        <f>Calendar!A489</f>
        <v>46722</v>
      </c>
      <c r="B489" t="str">
        <f>Calendar!L489</f>
        <v>Yes</v>
      </c>
      <c r="C489" t="str">
        <f>Calendar!O489</f>
        <v>No</v>
      </c>
      <c r="D489" t="str">
        <f>Calendar!P489</f>
        <v>No</v>
      </c>
      <c r="E489" t="str">
        <f>Calendar!Q489</f>
        <v>No</v>
      </c>
      <c r="F489" t="str">
        <f>Calendar!I489</f>
        <v>Wednesday</v>
      </c>
      <c r="G489">
        <f>Calendar!S489</f>
        <v>4</v>
      </c>
      <c r="H489">
        <f>Calendar!T489</f>
        <v>18</v>
      </c>
      <c r="I489" s="27">
        <f>IF(VLOOKUP(A489,Calendar!$A$1:$R$1377,18,0)=0,0,IF(VLOOKUP(A489,Calendar!$A$1:$R$1377,18,0)=1,INDEX(Monthly_Pay_Model!$A$9:$D$40,MATCH(TEXT(A489,"dd"),Monthly_Pay_Model!$C$9:$C$39,0),4),IF(VLOOKUP(A489,Calendar!$A$1:$R$1377,18,0)=2,SUM(INDEX(Monthly_Pay_Model!$A$9:$D$40,MATCH(TEXT(A489,"dd"),Monthly_Pay_Model!$C$9:$C$39,0),4),INDEX(Monthly_Pay_Model!$A$9:$D$40,MATCH(TEXT(A490,"dd"),Monthly_Pay_Model!$C$9:$C$39,0),4)),IF(VLOOKUP(A489,Calendar!$A$1:$R$1377,18,0)=3,SUM(INDEX(Monthly_Pay_Model!$A$9:$D$40,MATCH(TEXT(A489,"dd"),Monthly_Pay_Model!$C$9:$C$39,0),4),INDEX(Monthly_Pay_Model!$A$9:$D$40,MATCH(TEXT(A490,"dd"),Monthly_Pay_Model!$C$9:$C$39,0),4),INDEX(Monthly_Pay_Model!$A$9:$D$40,MATCH(TEXT(A491,"dd"),Monthly_Pay_Model!$C$9:$C$39,0),4)),IF(VLOOKUP(A489,Calendar!$A$1:$R$1377,18,0)=4,SUM(INDEX(Monthly_Pay_Model!$A$9:$D$40,MATCH(TEXT(A489,"dd"),Monthly_Pay_Model!$C$9:$C$39,0),4),INDEX(Monthly_Pay_Model!$A$9:$D$40,MATCH(TEXT(A490,"dd"),Monthly_Pay_Model!$C$9:$C$39,0),4),INDEX(Monthly_Pay_Model!$A$9:$D$40,MATCH(TEXT(A491,"dd"),Monthly_Pay_Model!$C$9:$C$39,0),4),INDEX(Monthly_Pay_Model!$A$9:$D$40,MATCH(TEXT(A492,"dd"),Monthly_Pay_Model!$C$9:$C$39,0),4)),IF(VLOOKUP(A489,Calendar!$A$1:$R$1377,18,0)=5,SUM(INDEX(Monthly_Pay_Model!$A$9:$D$40,MATCH(TEXT(A489,"dd"),Monthly_Pay_Model!$C$9:$C$39,0),4),INDEX(Monthly_Pay_Model!$A$9:$D$40,MATCH(TEXT(A490,"dd"),Monthly_Pay_Model!$C$9:$C$39,0),4),INDEX(Monthly_Pay_Model!$A$9:$D$40,MATCH(TEXT(A491,"dd"),Monthly_Pay_Model!$C$9:$C$39,0),4),INDEX(Monthly_Pay_Model!$A$9:$D$40,MATCH(TEXT(A492,"dd"),Monthly_Pay_Model!$C$9:$C$39,0),4),INDEX(Monthly_Pay_Model!$A$9:$D$40,MATCH(TEXT(A493,"dd"),Monthly_Pay_Model!$C$9:$C$39,0),4)),))))))</f>
        <v>4.0628272251308894E-3</v>
      </c>
      <c r="J489" s="33">
        <f>IF(C489="Yes",Monthly_Pay_Model!$D$2,0)
+IF(Calendar!N489="Yes",Monthly_Pay_Model!$D$3,0)
+IF(D489="Yes",Monthly_Pay_Model!$D$4,0)
+IF(E489="Yes",Monthly_Pay_Model!$D$5,0)</f>
        <v>0</v>
      </c>
      <c r="K489" s="27">
        <f>IF(VLOOKUP($A489,Calendar!$A$1:$R$1377,18,0)=0,0,IF(VLOOKUP($A489,Calendar!$A$1:$R$1377,18,0)=1,IFERROR(INDEX(Weekly_Model!$D$2:$D$9,MATCH(F489,Weekly_Model!$A$2:$A$9,0)),0),IF(VLOOKUP($A489,Calendar!$A$1:$R$1377,18,0)=2,SUM(IFERROR(INDEX(Weekly_Model!$D$2:$D$9,MATCH(F489,Weekly_Model!$A$2:$A$9,0)),0),IFERROR(INDEX(Weekly_Model!$D$2:$D$9,MATCH(F490,Weekly_Model!$A$2:$A$9,0)),0)),IF(VLOOKUP($A489,Calendar!$A$1:$R$1377,18,0)=3,SUM(IFERROR(INDEX(Weekly_Model!$D$2:$D$9,MATCH(F489,Weekly_Model!$A$2:$A$9,0)),0),IFERROR(INDEX(Weekly_Model!$D$2:$D$9,MATCH(F490,Weekly_Model!$A$2:$A$9,0)),0),IFERROR(INDEX(Weekly_Model!$D$2:$D$9,MATCH(F491,Weekly_Model!$A$2:$A$9,0)),0)),IF(VLOOKUP($A489,Calendar!$A$1:$R$1377,18,0)=4,SUM(IFERROR(INDEX(Weekly_Model!$D$2:$D$9,MATCH(F489,Weekly_Model!$A$2:$A$9,0)),0),IFERROR(INDEX(Weekly_Model!$D$2:$D$9,MATCH(F490,Weekly_Model!$A$2:$A$9,0)),0),IFERROR(INDEX(Weekly_Model!$D$2:$D$9,MATCH(F491,Weekly_Model!$A$2:$A$9,0)),0),IFERROR(INDEX(Weekly_Model!$D$2:$D$9,MATCH(F492,Weekly_Model!$A$2:$A$9,0)),0)),IF(VLOOKUP($A489,Calendar!$A$1:$R$1377,18,0)=5,SUM(IFERROR(INDEX(Weekly_Model!$D$2:$D$9,MATCH(F489,Weekly_Model!$A$2:$A$9,0)),0),IFERROR(INDEX(Weekly_Model!$D$2:$D$9,MATCH(F490,Weekly_Model!$A$2:$A$9,0)),0),IFERROR(INDEX(Weekly_Model!$D$2:$D$9,MATCH(F491,Weekly_Model!$A$2:$A$9,0)),0),IFERROR(INDEX(Weekly_Model!$D$2:$D$9,MATCH(F492,Weekly_Model!$A$2:$A$9,0)),0),IFERROR(INDEX(Weekly_Model!$D$2:$D$9,MATCH(F493,Weekly_Model!$A$2:$A$9,0)),0)),0))))))</f>
        <v>2.3200000000000002E-2</v>
      </c>
      <c r="L489" s="27">
        <f>IF(VLOOKUP($A489,Calendar!$A$1:$R$1377,18,0)=0,0,IF(VLOOKUP($A489,Calendar!$A$1:$R$1377,18,0)=1,IFERROR(INDEX(Fortnightly_Model!$D$2:$D$15,MATCH(G489,Fortnightly_Model!$B$2:$B$15,0)),0),IF(VLOOKUP($A489,Calendar!$A$1:$R$1377,18,0)=2,SUM(IFERROR(INDEX(Fortnightly_Model!$D$2:$D$15,MATCH(G489,Fortnightly_Model!$B$2:$B$15,0)),0),IFERROR(INDEX(Fortnightly_Model!$D$2:$D$15,MATCH(G490,Fortnightly_Model!$B$2:$B$15,0)),0)),IF(VLOOKUP($A489,Calendar!$A$1:$R$1377,18,0)=3,SUM(IFERROR(INDEX(Fortnightly_Model!$D$2:$D$15,MATCH(G489,Fortnightly_Model!$B$2:$B$15,0)),0),IFERROR(INDEX(Fortnightly_Model!$D$2:$D$15,MATCH(G490,Fortnightly_Model!$B$2:$B$15,0)),0),IFERROR(INDEX(Fortnightly_Model!$D$2:$D$15,MATCH(G491,Fortnightly_Model!$B$2:$B$15,0)),0)),IF(VLOOKUP($A489,Calendar!$A$1:$R$1377,18,0)=4,SUM(IFERROR(INDEX(Fortnightly_Model!$D$2:$D$15,MATCH(G489,Fortnightly_Model!$B$2:$B$15,0)),0),IFERROR(INDEX(Fortnightly_Model!$D$2:$D$15,MATCH(G490,Fortnightly_Model!$B$2:$B$15,0)),0),IFERROR(INDEX(Fortnightly_Model!$D$2:$D$15,MATCH(G491,Fortnightly_Model!$B$2:$B$15,0)),0),IFERROR(INDEX(Fortnightly_Model!$D$2:$D$15,MATCH(G492,Fortnightly_Model!$B$2:$B$15,0)),0)),IF(VLOOKUP($A489,Calendar!$A$1:$R$1377,18,0)=5,SUM(IFERROR(INDEX(Fortnightly_Model!$D$2:$D$15,MATCH(G489,Fortnightly_Model!$B$2:$B$15,0)),0),IFERROR(INDEX(Fortnightly_Model!$D$2:$D$15,MATCH(G490,Fortnightly_Model!$B$2:$B$15,0)),0),IFERROR(INDEX(Fortnightly_Model!$D$2:$D$15,MATCH(G491,Fortnightly_Model!$B$2:$B$15,0)),0),IFERROR(INDEX(Fortnightly_Model!$D$2:$D$15,MATCH(G492,Fortnightly_Model!$B$2:$B$15,0)),0),IFERROR(INDEX(Fortnightly_Model!$D$2:$D$15,MATCH(G493,Fortnightly_Model!$B$2:$B$15,0)),0)),0))))))</f>
        <v>1.0714285499999999E-3</v>
      </c>
      <c r="M489" s="27">
        <f>IF(VLOOKUP($A489,Calendar!$A$1:$R$1377,18,0)=0,0,IF(VLOOKUP($A489,Calendar!$A$1:$R$1377,18,0)=1,IFERROR(INDEX(FourWeekly_Model!$D$2:$D$29,MATCH(H489,FourWeekly_Model!$B$2:$B$29,0)),0),IF(VLOOKUP($A489,Calendar!$A$1:$R$1377,18,0)=2,SUM(IFERROR(INDEX(FourWeekly_Model!$D$2:$D$29,MATCH(H489,FourWeekly_Model!$B$2:$B$29,0)),0),IFERROR(INDEX(FourWeekly_Model!$D$2:$D$29,MATCH(H490,FourWeekly_Model!$B$2:$B$29,0)),0)),IF(VLOOKUP($A489,Calendar!$A$1:$R$1377,18,0)=3,SUM(IFERROR(INDEX(FourWeekly_Model!$D$2:$D$29,MATCH(H489,FourWeekly_Model!$B$2:$B$29,0)),0),IFERROR(INDEX(FourWeekly_Model!$D$2:$D$29,MATCH(H490,FourWeekly_Model!$B$2:$B$29,0)),0),IFERROR(INDEX(FourWeekly_Model!$D$2:$D$29,MATCH(H491,FourWeekly_Model!$B$2:$B$29,0)),0)),IF(VLOOKUP($A489,Calendar!$A$1:$R$1377,18,0)=4,SUM(IFERROR(INDEX(FourWeekly_Model!$D$2:$D$29,MATCH(H489,FourWeekly_Model!$B$2:$B$29,0)),0),IFERROR(INDEX(FourWeekly_Model!$D$2:$D$29,MATCH(H490,FourWeekly_Model!$B$2:$B$29,0)),0),IFERROR(INDEX(FourWeekly_Model!$D$2:$D$29,MATCH(H491,FourWeekly_Model!$B$2:$B$29,0)),0),IFERROR(INDEX(FourWeekly_Model!$D$2:$D$29,MATCH(H492,FourWeekly_Model!$B$2:$B$29,0)),0)),IF(VLOOKUP($A489,Calendar!$A$1:$R$1377,18,0)=5,SUM(IFERROR(INDEX(FourWeekly_Model!$D$2:$D$29,MATCH(H489,FourWeekly_Model!$B$2:$B$29,0)),0),IFERROR(INDEX(FourWeekly_Model!$D$2:$D$29,MATCH(H490,FourWeekly_Model!$B$2:$B$29,0)),0),IFERROR(INDEX(FourWeekly_Model!$D$2:$D$29,MATCH(H491,FourWeekly_Model!$B$2:$B$29,0)),0),IFERROR(INDEX(FourWeekly_Model!$D$2:$D$29,MATCH(H492,FourWeekly_Model!$B$2:$B$29,0)),0),IFERROR(INDEX(FourWeekly_Model!$D$2:$D$29,MATCH(H493,FourWeekly_Model!$B$2:$B$29,0)),0)),0))))))</f>
        <v>3.3214289700000004E-3</v>
      </c>
      <c r="N489" s="27">
        <f>SUM(I489:M489)</f>
        <v>3.1655684745130891E-2</v>
      </c>
      <c r="O489" s="28">
        <f>Population_Data!$B$8*N489</f>
        <v>959167.24777746596</v>
      </c>
      <c r="P489" s="27">
        <f>IF(VLOOKUP($A489,Calendar!$A$1:$R$1377,18,0)=0,0,IF(VLOOKUP($A489,Calendar!$A$1:$R$1377,18,0)=1,IFERROR(INDEX(Pension_Model!$D$2:$D$29,MATCH(H489,Pension_Model!$B$2:$B$29,0)),0),IF(VLOOKUP($A489,Calendar!$A$1:$R$1377,18,0)=2,SUM(IFERROR(INDEX(Pension_Model!$D$2:$D$29,MATCH(H489,Pension_Model!$B$2:$B$29,0)),0),IFERROR(INDEX(Pension_Model!$D$2:$D$29,MATCH(H490,Pension_Model!$B$2:$B$29,0)),0)),IF(VLOOKUP($A489,Calendar!$A$1:$R$1377,18,0)=3,SUM(IFERROR(INDEX(Pension_Model!$D$2:$D$29,MATCH(H489,Pension_Model!$B$2:$B$29,0)),0),IFERROR(INDEX(Pension_Model!$D$2:$D$29,MATCH(H490,Pension_Model!$B$2:$B$29,0)),0),IFERROR(INDEX(Pension_Model!$D$2:$D$29,MATCH(H491,Pension_Model!$B$2:$B$29,0)),0)),IF(VLOOKUP($A489,Calendar!$A$1:$R$1377,18,0)=4,SUM(IFERROR(INDEX(Pension_Model!$D$2:$D$29,MATCH(H489,Pension_Model!$B$2:$B$29,0)),0),IFERROR(INDEX(Pension_Model!$D$2:$D$29,MATCH(H490,Pension_Model!$B$2:$B$29,0)),0),IFERROR(INDEX(Pension_Model!$D$2:$D$29,MATCH(H491,Pension_Model!$B$2:$B$29,0)),0),IFERROR(INDEX(Pension_Model!$D$2:$D$29,MATCH(H492,Pension_Model!$B$2:$B$29,0)),0)),IF(VLOOKUP($A489,Calendar!$A$1:$R$1377,18,0)=5,SUM(IFERROR(INDEX(Pension_Model!$D$2:$D$29,MATCH(H489,Pension_Model!$B$2:$B$29,0)),0),IFERROR(INDEX(Pension_Model!$D$2:$D$29,MATCH(H490,Pension_Model!$B$2:$B$29,0)),0),IFERROR(INDEX(Pension_Model!$D$2:$D$29,MATCH(H491,Pension_Model!$B$2:$B$29,0)),0),IFERROR(INDEX(Pension_Model!$D$2:$D$29,MATCH(H492,Pension_Model!$B$2:$B$29,0)),0),IFERROR(INDEX(Pension_Model!$D$2:$D$29,MATCH(H493,Pension_Model!$B$2:$B$29,0)),0)),0))))))</f>
        <v>0.05</v>
      </c>
      <c r="Q489" s="28">
        <f>Population_Data!$B$15*P489</f>
        <v>660600</v>
      </c>
      <c r="S489">
        <f t="shared" si="7"/>
        <v>1619767.247777466</v>
      </c>
      <c r="U489" s="33">
        <f>S489/Population_Data!$B$19</f>
        <v>2.9343609561185979E-2</v>
      </c>
    </row>
    <row r="490" spans="1:21">
      <c r="A490" s="25">
        <f>Calendar!A490</f>
        <v>46723</v>
      </c>
      <c r="B490" t="str">
        <f>Calendar!L490</f>
        <v>Yes</v>
      </c>
      <c r="C490" t="str">
        <f>Calendar!O490</f>
        <v>No</v>
      </c>
      <c r="D490" t="str">
        <f>Calendar!P490</f>
        <v>No</v>
      </c>
      <c r="E490" t="str">
        <f>Calendar!Q490</f>
        <v>No</v>
      </c>
      <c r="F490" t="str">
        <f>Calendar!I490</f>
        <v>Thursday</v>
      </c>
      <c r="G490">
        <f>Calendar!S490</f>
        <v>5</v>
      </c>
      <c r="H490">
        <f>Calendar!T490</f>
        <v>19</v>
      </c>
      <c r="I490" s="27">
        <f>IF(VLOOKUP(A490,Calendar!$A$1:$R$1377,18,0)=0,0,IF(VLOOKUP(A490,Calendar!$A$1:$R$1377,18,0)=1,INDEX(Monthly_Pay_Model!$A$9:$D$40,MATCH(TEXT(A490,"dd"),Monthly_Pay_Model!$C$9:$C$39,0),4),IF(VLOOKUP(A490,Calendar!$A$1:$R$1377,18,0)=2,SUM(INDEX(Monthly_Pay_Model!$A$9:$D$40,MATCH(TEXT(A490,"dd"),Monthly_Pay_Model!$C$9:$C$39,0),4),INDEX(Monthly_Pay_Model!$A$9:$D$40,MATCH(TEXT(A491,"dd"),Monthly_Pay_Model!$C$9:$C$39,0),4)),IF(VLOOKUP(A490,Calendar!$A$1:$R$1377,18,0)=3,SUM(INDEX(Monthly_Pay_Model!$A$9:$D$40,MATCH(TEXT(A490,"dd"),Monthly_Pay_Model!$C$9:$C$39,0),4),INDEX(Monthly_Pay_Model!$A$9:$D$40,MATCH(TEXT(A491,"dd"),Monthly_Pay_Model!$C$9:$C$39,0),4),INDEX(Monthly_Pay_Model!$A$9:$D$40,MATCH(TEXT(A492,"dd"),Monthly_Pay_Model!$C$9:$C$39,0),4)),IF(VLOOKUP(A490,Calendar!$A$1:$R$1377,18,0)=4,SUM(INDEX(Monthly_Pay_Model!$A$9:$D$40,MATCH(TEXT(A490,"dd"),Monthly_Pay_Model!$C$9:$C$39,0),4),INDEX(Monthly_Pay_Model!$A$9:$D$40,MATCH(TEXT(A491,"dd"),Monthly_Pay_Model!$C$9:$C$39,0),4),INDEX(Monthly_Pay_Model!$A$9:$D$40,MATCH(TEXT(A492,"dd"),Monthly_Pay_Model!$C$9:$C$39,0),4),INDEX(Monthly_Pay_Model!$A$9:$D$40,MATCH(TEXT(A493,"dd"),Monthly_Pay_Model!$C$9:$C$39,0),4)),IF(VLOOKUP(A490,Calendar!$A$1:$R$1377,18,0)=5,SUM(INDEX(Monthly_Pay_Model!$A$9:$D$40,MATCH(TEXT(A490,"dd"),Monthly_Pay_Model!$C$9:$C$39,0),4),INDEX(Monthly_Pay_Model!$A$9:$D$40,MATCH(TEXT(A491,"dd"),Monthly_Pay_Model!$C$9:$C$39,0),4),INDEX(Monthly_Pay_Model!$A$9:$D$40,MATCH(TEXT(A492,"dd"),Monthly_Pay_Model!$C$9:$C$39,0),4),INDEX(Monthly_Pay_Model!$A$9:$D$40,MATCH(TEXT(A493,"dd"),Monthly_Pay_Model!$C$9:$C$39,0),4),INDEX(Monthly_Pay_Model!$A$9:$D$40,MATCH(TEXT(A494,"dd"),Monthly_Pay_Model!$C$9:$C$39,0),4)),))))))</f>
        <v>8.1256544502617792E-4</v>
      </c>
      <c r="J490" s="33">
        <f>IF(C490="Yes",Monthly_Pay_Model!$D$2,0)
+IF(Calendar!N490="Yes",Monthly_Pay_Model!$D$3,0)
+IF(D490="Yes",Monthly_Pay_Model!$D$4,0)
+IF(E490="Yes",Monthly_Pay_Model!$D$5,0)</f>
        <v>0</v>
      </c>
      <c r="K490" s="27">
        <f>IF(VLOOKUP($A490,Calendar!$A$1:$R$1377,18,0)=0,0,IF(VLOOKUP($A490,Calendar!$A$1:$R$1377,18,0)=1,IFERROR(INDEX(Weekly_Model!$D$2:$D$9,MATCH(F490,Weekly_Model!$A$2:$A$9,0)),0),IF(VLOOKUP($A490,Calendar!$A$1:$R$1377,18,0)=2,SUM(IFERROR(INDEX(Weekly_Model!$D$2:$D$9,MATCH(F490,Weekly_Model!$A$2:$A$9,0)),0),IFERROR(INDEX(Weekly_Model!$D$2:$D$9,MATCH(F491,Weekly_Model!$A$2:$A$9,0)),0)),IF(VLOOKUP($A490,Calendar!$A$1:$R$1377,18,0)=3,SUM(IFERROR(INDEX(Weekly_Model!$D$2:$D$9,MATCH(F490,Weekly_Model!$A$2:$A$9,0)),0),IFERROR(INDEX(Weekly_Model!$D$2:$D$9,MATCH(F491,Weekly_Model!$A$2:$A$9,0)),0),IFERROR(INDEX(Weekly_Model!$D$2:$D$9,MATCH(F492,Weekly_Model!$A$2:$A$9,0)),0)),IF(VLOOKUP($A490,Calendar!$A$1:$R$1377,18,0)=4,SUM(IFERROR(INDEX(Weekly_Model!$D$2:$D$9,MATCH(F490,Weekly_Model!$A$2:$A$9,0)),0),IFERROR(INDEX(Weekly_Model!$D$2:$D$9,MATCH(F491,Weekly_Model!$A$2:$A$9,0)),0),IFERROR(INDEX(Weekly_Model!$D$2:$D$9,MATCH(F492,Weekly_Model!$A$2:$A$9,0)),0),IFERROR(INDEX(Weekly_Model!$D$2:$D$9,MATCH(F493,Weekly_Model!$A$2:$A$9,0)),0)),IF(VLOOKUP($A490,Calendar!$A$1:$R$1377,18,0)=5,SUM(IFERROR(INDEX(Weekly_Model!$D$2:$D$9,MATCH(F490,Weekly_Model!$A$2:$A$9,0)),0),IFERROR(INDEX(Weekly_Model!$D$2:$D$9,MATCH(F491,Weekly_Model!$A$2:$A$9,0)),0),IFERROR(INDEX(Weekly_Model!$D$2:$D$9,MATCH(F492,Weekly_Model!$A$2:$A$9,0)),0),IFERROR(INDEX(Weekly_Model!$D$2:$D$9,MATCH(F493,Weekly_Model!$A$2:$A$9,0)),0),IFERROR(INDEX(Weekly_Model!$D$2:$D$9,MATCH(F494,Weekly_Model!$A$2:$A$9,0)),0)),0))))))</f>
        <v>2.3200000000000002E-2</v>
      </c>
      <c r="L490" s="27">
        <f>IF(VLOOKUP($A490,Calendar!$A$1:$R$1377,18,0)=0,0,IF(VLOOKUP($A490,Calendar!$A$1:$R$1377,18,0)=1,IFERROR(INDEX(Fortnightly_Model!$D$2:$D$15,MATCH(G490,Fortnightly_Model!$B$2:$B$15,0)),0),IF(VLOOKUP($A490,Calendar!$A$1:$R$1377,18,0)=2,SUM(IFERROR(INDEX(Fortnightly_Model!$D$2:$D$15,MATCH(G490,Fortnightly_Model!$B$2:$B$15,0)),0),IFERROR(INDEX(Fortnightly_Model!$D$2:$D$15,MATCH(G491,Fortnightly_Model!$B$2:$B$15,0)),0)),IF(VLOOKUP($A490,Calendar!$A$1:$R$1377,18,0)=3,SUM(IFERROR(INDEX(Fortnightly_Model!$D$2:$D$15,MATCH(G490,Fortnightly_Model!$B$2:$B$15,0)),0),IFERROR(INDEX(Fortnightly_Model!$D$2:$D$15,MATCH(G491,Fortnightly_Model!$B$2:$B$15,0)),0),IFERROR(INDEX(Fortnightly_Model!$D$2:$D$15,MATCH(G492,Fortnightly_Model!$B$2:$B$15,0)),0)),IF(VLOOKUP($A490,Calendar!$A$1:$R$1377,18,0)=4,SUM(IFERROR(INDEX(Fortnightly_Model!$D$2:$D$15,MATCH(G490,Fortnightly_Model!$B$2:$B$15,0)),0),IFERROR(INDEX(Fortnightly_Model!$D$2:$D$15,MATCH(G491,Fortnightly_Model!$B$2:$B$15,0)),0),IFERROR(INDEX(Fortnightly_Model!$D$2:$D$15,MATCH(G492,Fortnightly_Model!$B$2:$B$15,0)),0),IFERROR(INDEX(Fortnightly_Model!$D$2:$D$15,MATCH(G493,Fortnightly_Model!$B$2:$B$15,0)),0)),IF(VLOOKUP($A490,Calendar!$A$1:$R$1377,18,0)=5,SUM(IFERROR(INDEX(Fortnightly_Model!$D$2:$D$15,MATCH(G490,Fortnightly_Model!$B$2:$B$15,0)),0),IFERROR(INDEX(Fortnightly_Model!$D$2:$D$15,MATCH(G491,Fortnightly_Model!$B$2:$B$15,0)),0),IFERROR(INDEX(Fortnightly_Model!$D$2:$D$15,MATCH(G492,Fortnightly_Model!$B$2:$B$15,0)),0),IFERROR(INDEX(Fortnightly_Model!$D$2:$D$15,MATCH(G493,Fortnightly_Model!$B$2:$B$15,0)),0),IFERROR(INDEX(Fortnightly_Model!$D$2:$D$15,MATCH(G494,Fortnightly_Model!$B$2:$B$15,0)),0)),0))))))</f>
        <v>1.0714285499999999E-3</v>
      </c>
      <c r="M490" s="27">
        <f>IF(VLOOKUP($A490,Calendar!$A$1:$R$1377,18,0)=0,0,IF(VLOOKUP($A490,Calendar!$A$1:$R$1377,18,0)=1,IFERROR(INDEX(FourWeekly_Model!$D$2:$D$29,MATCH(H490,FourWeekly_Model!$B$2:$B$29,0)),0),IF(VLOOKUP($A490,Calendar!$A$1:$R$1377,18,0)=2,SUM(IFERROR(INDEX(FourWeekly_Model!$D$2:$D$29,MATCH(H490,FourWeekly_Model!$B$2:$B$29,0)),0),IFERROR(INDEX(FourWeekly_Model!$D$2:$D$29,MATCH(H491,FourWeekly_Model!$B$2:$B$29,0)),0)),IF(VLOOKUP($A490,Calendar!$A$1:$R$1377,18,0)=3,SUM(IFERROR(INDEX(FourWeekly_Model!$D$2:$D$29,MATCH(H490,FourWeekly_Model!$B$2:$B$29,0)),0),IFERROR(INDEX(FourWeekly_Model!$D$2:$D$29,MATCH(H491,FourWeekly_Model!$B$2:$B$29,0)),0),IFERROR(INDEX(FourWeekly_Model!$D$2:$D$29,MATCH(H492,FourWeekly_Model!$B$2:$B$29,0)),0)),IF(VLOOKUP($A490,Calendar!$A$1:$R$1377,18,0)=4,SUM(IFERROR(INDEX(FourWeekly_Model!$D$2:$D$29,MATCH(H490,FourWeekly_Model!$B$2:$B$29,0)),0),IFERROR(INDEX(FourWeekly_Model!$D$2:$D$29,MATCH(H491,FourWeekly_Model!$B$2:$B$29,0)),0),IFERROR(INDEX(FourWeekly_Model!$D$2:$D$29,MATCH(H492,FourWeekly_Model!$B$2:$B$29,0)),0),IFERROR(INDEX(FourWeekly_Model!$D$2:$D$29,MATCH(H493,FourWeekly_Model!$B$2:$B$29,0)),0)),IF(VLOOKUP($A490,Calendar!$A$1:$R$1377,18,0)=5,SUM(IFERROR(INDEX(FourWeekly_Model!$D$2:$D$29,MATCH(H490,FourWeekly_Model!$B$2:$B$29,0)),0),IFERROR(INDEX(FourWeekly_Model!$D$2:$D$29,MATCH(H491,FourWeekly_Model!$B$2:$B$29,0)),0),IFERROR(INDEX(FourWeekly_Model!$D$2:$D$29,MATCH(H492,FourWeekly_Model!$B$2:$B$29,0)),0),IFERROR(INDEX(FourWeekly_Model!$D$2:$D$29,MATCH(H493,FourWeekly_Model!$B$2:$B$29,0)),0),IFERROR(INDEX(FourWeekly_Model!$D$2:$D$29,MATCH(H494,FourWeekly_Model!$B$2:$B$29,0)),0)),0))))))</f>
        <v>3.3214289700000004E-3</v>
      </c>
      <c r="N490" s="27">
        <f>SUM(I490:M490)</f>
        <v>2.840542296502618E-2</v>
      </c>
      <c r="O490" s="28">
        <f>Population_Data!$B$8*N490</f>
        <v>860684.3158402933</v>
      </c>
      <c r="P490" s="27">
        <f>IF(VLOOKUP($A490,Calendar!$A$1:$R$1377,18,0)=0,0,IF(VLOOKUP($A490,Calendar!$A$1:$R$1377,18,0)=1,IFERROR(INDEX(Pension_Model!$D$2:$D$29,MATCH(H490,Pension_Model!$B$2:$B$29,0)),0),IF(VLOOKUP($A490,Calendar!$A$1:$R$1377,18,0)=2,SUM(IFERROR(INDEX(Pension_Model!$D$2:$D$29,MATCH(H490,Pension_Model!$B$2:$B$29,0)),0),IFERROR(INDEX(Pension_Model!$D$2:$D$29,MATCH(H491,Pension_Model!$B$2:$B$29,0)),0)),IF(VLOOKUP($A490,Calendar!$A$1:$R$1377,18,0)=3,SUM(IFERROR(INDEX(Pension_Model!$D$2:$D$29,MATCH(H490,Pension_Model!$B$2:$B$29,0)),0),IFERROR(INDEX(Pension_Model!$D$2:$D$29,MATCH(H491,Pension_Model!$B$2:$B$29,0)),0),IFERROR(INDEX(Pension_Model!$D$2:$D$29,MATCH(H492,Pension_Model!$B$2:$B$29,0)),0)),IF(VLOOKUP($A490,Calendar!$A$1:$R$1377,18,0)=4,SUM(IFERROR(INDEX(Pension_Model!$D$2:$D$29,MATCH(H490,Pension_Model!$B$2:$B$29,0)),0),IFERROR(INDEX(Pension_Model!$D$2:$D$29,MATCH(H491,Pension_Model!$B$2:$B$29,0)),0),IFERROR(INDEX(Pension_Model!$D$2:$D$29,MATCH(H492,Pension_Model!$B$2:$B$29,0)),0),IFERROR(INDEX(Pension_Model!$D$2:$D$29,MATCH(H493,Pension_Model!$B$2:$B$29,0)),0)),IF(VLOOKUP($A490,Calendar!$A$1:$R$1377,18,0)=5,SUM(IFERROR(INDEX(Pension_Model!$D$2:$D$29,MATCH(H490,Pension_Model!$B$2:$B$29,0)),0),IFERROR(INDEX(Pension_Model!$D$2:$D$29,MATCH(H491,Pension_Model!$B$2:$B$29,0)),0),IFERROR(INDEX(Pension_Model!$D$2:$D$29,MATCH(H492,Pension_Model!$B$2:$B$29,0)),0),IFERROR(INDEX(Pension_Model!$D$2:$D$29,MATCH(H493,Pension_Model!$B$2:$B$29,0)),0),IFERROR(INDEX(Pension_Model!$D$2:$D$29,MATCH(H494,Pension_Model!$B$2:$B$29,0)),0)),0))))))</f>
        <v>0.05</v>
      </c>
      <c r="Q490" s="28">
        <f>Population_Data!$B$15*P490</f>
        <v>660600</v>
      </c>
      <c r="S490">
        <f t="shared" si="7"/>
        <v>1521284.3158402932</v>
      </c>
      <c r="U490" s="33">
        <f>S490/Population_Data!$B$19</f>
        <v>2.7559498475367629E-2</v>
      </c>
    </row>
    <row r="491" spans="1:21">
      <c r="A491" s="25">
        <f>Calendar!A491</f>
        <v>46724</v>
      </c>
      <c r="B491" t="str">
        <f>Calendar!L491</f>
        <v>Yes</v>
      </c>
      <c r="C491" t="str">
        <f>Calendar!O491</f>
        <v>No</v>
      </c>
      <c r="D491" t="str">
        <f>Calendar!P491</f>
        <v>No</v>
      </c>
      <c r="E491" t="str">
        <f>Calendar!Q491</f>
        <v>No</v>
      </c>
      <c r="F491" t="str">
        <f>Calendar!I491</f>
        <v>Friday</v>
      </c>
      <c r="G491">
        <f>Calendar!S491</f>
        <v>6</v>
      </c>
      <c r="H491">
        <f>Calendar!T491</f>
        <v>20</v>
      </c>
      <c r="I491" s="27">
        <f>IF(VLOOKUP(A491,Calendar!$A$1:$R$1377,18,0)=0,0,IF(VLOOKUP(A491,Calendar!$A$1:$R$1377,18,0)=1,INDEX(Monthly_Pay_Model!$A$9:$D$40,MATCH(TEXT(A491,"dd"),Monthly_Pay_Model!$C$9:$C$39,0),4),IF(VLOOKUP(A491,Calendar!$A$1:$R$1377,18,0)=2,SUM(INDEX(Monthly_Pay_Model!$A$9:$D$40,MATCH(TEXT(A491,"dd"),Monthly_Pay_Model!$C$9:$C$39,0),4),INDEX(Monthly_Pay_Model!$A$9:$D$40,MATCH(TEXT(A492,"dd"),Monthly_Pay_Model!$C$9:$C$39,0),4)),IF(VLOOKUP(A491,Calendar!$A$1:$R$1377,18,0)=3,SUM(INDEX(Monthly_Pay_Model!$A$9:$D$40,MATCH(TEXT(A491,"dd"),Monthly_Pay_Model!$C$9:$C$39,0),4),INDEX(Monthly_Pay_Model!$A$9:$D$40,MATCH(TEXT(A492,"dd"),Monthly_Pay_Model!$C$9:$C$39,0),4),INDEX(Monthly_Pay_Model!$A$9:$D$40,MATCH(TEXT(A493,"dd"),Monthly_Pay_Model!$C$9:$C$39,0),4)),IF(VLOOKUP(A491,Calendar!$A$1:$R$1377,18,0)=4,SUM(INDEX(Monthly_Pay_Model!$A$9:$D$40,MATCH(TEXT(A491,"dd"),Monthly_Pay_Model!$C$9:$C$39,0),4),INDEX(Monthly_Pay_Model!$A$9:$D$40,MATCH(TEXT(A492,"dd"),Monthly_Pay_Model!$C$9:$C$39,0),4),INDEX(Monthly_Pay_Model!$A$9:$D$40,MATCH(TEXT(A493,"dd"),Monthly_Pay_Model!$C$9:$C$39,0),4),INDEX(Monthly_Pay_Model!$A$9:$D$40,MATCH(TEXT(A494,"dd"),Monthly_Pay_Model!$C$9:$C$39,0),4)),IF(VLOOKUP(A491,Calendar!$A$1:$R$1377,18,0)=5,SUM(INDEX(Monthly_Pay_Model!$A$9:$D$40,MATCH(TEXT(A491,"dd"),Monthly_Pay_Model!$C$9:$C$39,0),4),INDEX(Monthly_Pay_Model!$A$9:$D$40,MATCH(TEXT(A492,"dd"),Monthly_Pay_Model!$C$9:$C$39,0),4),INDEX(Monthly_Pay_Model!$A$9:$D$40,MATCH(TEXT(A493,"dd"),Monthly_Pay_Model!$C$9:$C$39,0),4),INDEX(Monthly_Pay_Model!$A$9:$D$40,MATCH(TEXT(A494,"dd"),Monthly_Pay_Model!$C$9:$C$39,0),4),INDEX(Monthly_Pay_Model!$A$9:$D$40,MATCH(TEXT(A495,"dd"),Monthly_Pay_Model!$C$9:$C$39,0),4)),))))))</f>
        <v>8.9382198952879556E-3</v>
      </c>
      <c r="J491" s="33">
        <f>IF(C491="Yes",Monthly_Pay_Model!$D$2,0)
+IF(Calendar!N491="Yes",Monthly_Pay_Model!$D$3,0)
+IF(D491="Yes",Monthly_Pay_Model!$D$4,0)
+IF(E491="Yes",Monthly_Pay_Model!$D$5,0)</f>
        <v>0</v>
      </c>
      <c r="K491" s="27">
        <f>IF(VLOOKUP($A491,Calendar!$A$1:$R$1377,18,0)=0,0,IF(VLOOKUP($A491,Calendar!$A$1:$R$1377,18,0)=1,IFERROR(INDEX(Weekly_Model!$D$2:$D$9,MATCH(F491,Weekly_Model!$A$2:$A$9,0)),0),IF(VLOOKUP($A491,Calendar!$A$1:$R$1377,18,0)=2,SUM(IFERROR(INDEX(Weekly_Model!$D$2:$D$9,MATCH(F491,Weekly_Model!$A$2:$A$9,0)),0),IFERROR(INDEX(Weekly_Model!$D$2:$D$9,MATCH(F492,Weekly_Model!$A$2:$A$9,0)),0)),IF(VLOOKUP($A491,Calendar!$A$1:$R$1377,18,0)=3,SUM(IFERROR(INDEX(Weekly_Model!$D$2:$D$9,MATCH(F491,Weekly_Model!$A$2:$A$9,0)),0),IFERROR(INDEX(Weekly_Model!$D$2:$D$9,MATCH(F492,Weekly_Model!$A$2:$A$9,0)),0),IFERROR(INDEX(Weekly_Model!$D$2:$D$9,MATCH(F493,Weekly_Model!$A$2:$A$9,0)),0)),IF(VLOOKUP($A491,Calendar!$A$1:$R$1377,18,0)=4,SUM(IFERROR(INDEX(Weekly_Model!$D$2:$D$9,MATCH(F491,Weekly_Model!$A$2:$A$9,0)),0),IFERROR(INDEX(Weekly_Model!$D$2:$D$9,MATCH(F492,Weekly_Model!$A$2:$A$9,0)),0),IFERROR(INDEX(Weekly_Model!$D$2:$D$9,MATCH(F493,Weekly_Model!$A$2:$A$9,0)),0),IFERROR(INDEX(Weekly_Model!$D$2:$D$9,MATCH(F494,Weekly_Model!$A$2:$A$9,0)),0)),IF(VLOOKUP($A491,Calendar!$A$1:$R$1377,18,0)=5,SUM(IFERROR(INDEX(Weekly_Model!$D$2:$D$9,MATCH(F491,Weekly_Model!$A$2:$A$9,0)),0),IFERROR(INDEX(Weekly_Model!$D$2:$D$9,MATCH(F492,Weekly_Model!$A$2:$A$9,0)),0),IFERROR(INDEX(Weekly_Model!$D$2:$D$9,MATCH(F493,Weekly_Model!$A$2:$A$9,0)),0),IFERROR(INDEX(Weekly_Model!$D$2:$D$9,MATCH(F494,Weekly_Model!$A$2:$A$9,0)),0),IFERROR(INDEX(Weekly_Model!$D$2:$D$9,MATCH(F495,Weekly_Model!$A$2:$A$9,0)),0)),0))))))</f>
        <v>2.3200000000000002E-2</v>
      </c>
      <c r="L491" s="27">
        <f>IF(VLOOKUP($A491,Calendar!$A$1:$R$1377,18,0)=0,0,IF(VLOOKUP($A491,Calendar!$A$1:$R$1377,18,0)=1,IFERROR(INDEX(Fortnightly_Model!$D$2:$D$15,MATCH(G491,Fortnightly_Model!$B$2:$B$15,0)),0),IF(VLOOKUP($A491,Calendar!$A$1:$R$1377,18,0)=2,SUM(IFERROR(INDEX(Fortnightly_Model!$D$2:$D$15,MATCH(G491,Fortnightly_Model!$B$2:$B$15,0)),0),IFERROR(INDEX(Fortnightly_Model!$D$2:$D$15,MATCH(G492,Fortnightly_Model!$B$2:$B$15,0)),0)),IF(VLOOKUP($A491,Calendar!$A$1:$R$1377,18,0)=3,SUM(IFERROR(INDEX(Fortnightly_Model!$D$2:$D$15,MATCH(G491,Fortnightly_Model!$B$2:$B$15,0)),0),IFERROR(INDEX(Fortnightly_Model!$D$2:$D$15,MATCH(G492,Fortnightly_Model!$B$2:$B$15,0)),0),IFERROR(INDEX(Fortnightly_Model!$D$2:$D$15,MATCH(G493,Fortnightly_Model!$B$2:$B$15,0)),0)),IF(VLOOKUP($A491,Calendar!$A$1:$R$1377,18,0)=4,SUM(IFERROR(INDEX(Fortnightly_Model!$D$2:$D$15,MATCH(G491,Fortnightly_Model!$B$2:$B$15,0)),0),IFERROR(INDEX(Fortnightly_Model!$D$2:$D$15,MATCH(G492,Fortnightly_Model!$B$2:$B$15,0)),0),IFERROR(INDEX(Fortnightly_Model!$D$2:$D$15,MATCH(G493,Fortnightly_Model!$B$2:$B$15,0)),0),IFERROR(INDEX(Fortnightly_Model!$D$2:$D$15,MATCH(G494,Fortnightly_Model!$B$2:$B$15,0)),0)),IF(VLOOKUP($A491,Calendar!$A$1:$R$1377,18,0)=5,SUM(IFERROR(INDEX(Fortnightly_Model!$D$2:$D$15,MATCH(G491,Fortnightly_Model!$B$2:$B$15,0)),0),IFERROR(INDEX(Fortnightly_Model!$D$2:$D$15,MATCH(G492,Fortnightly_Model!$B$2:$B$15,0)),0),IFERROR(INDEX(Fortnightly_Model!$D$2:$D$15,MATCH(G493,Fortnightly_Model!$B$2:$B$15,0)),0),IFERROR(INDEX(Fortnightly_Model!$D$2:$D$15,MATCH(G494,Fortnightly_Model!$B$2:$B$15,0)),0),IFERROR(INDEX(Fortnightly_Model!$D$2:$D$15,MATCH(G495,Fortnightly_Model!$B$2:$B$15,0)),0)),0))))))</f>
        <v>3.2142856499999999E-3</v>
      </c>
      <c r="M491" s="27">
        <f>IF(VLOOKUP($A491,Calendar!$A$1:$R$1377,18,0)=0,0,IF(VLOOKUP($A491,Calendar!$A$1:$R$1377,18,0)=1,IFERROR(INDEX(FourWeekly_Model!$D$2:$D$29,MATCH(H491,FourWeekly_Model!$B$2:$B$29,0)),0),IF(VLOOKUP($A491,Calendar!$A$1:$R$1377,18,0)=2,SUM(IFERROR(INDEX(FourWeekly_Model!$D$2:$D$29,MATCH(H491,FourWeekly_Model!$B$2:$B$29,0)),0),IFERROR(INDEX(FourWeekly_Model!$D$2:$D$29,MATCH(H492,FourWeekly_Model!$B$2:$B$29,0)),0)),IF(VLOOKUP($A491,Calendar!$A$1:$R$1377,18,0)=3,SUM(IFERROR(INDEX(FourWeekly_Model!$D$2:$D$29,MATCH(H491,FourWeekly_Model!$B$2:$B$29,0)),0),IFERROR(INDEX(FourWeekly_Model!$D$2:$D$29,MATCH(H492,FourWeekly_Model!$B$2:$B$29,0)),0),IFERROR(INDEX(FourWeekly_Model!$D$2:$D$29,MATCH(H493,FourWeekly_Model!$B$2:$B$29,0)),0)),IF(VLOOKUP($A491,Calendar!$A$1:$R$1377,18,0)=4,SUM(IFERROR(INDEX(FourWeekly_Model!$D$2:$D$29,MATCH(H491,FourWeekly_Model!$B$2:$B$29,0)),0),IFERROR(INDEX(FourWeekly_Model!$D$2:$D$29,MATCH(H492,FourWeekly_Model!$B$2:$B$29,0)),0),IFERROR(INDEX(FourWeekly_Model!$D$2:$D$29,MATCH(H493,FourWeekly_Model!$B$2:$B$29,0)),0),IFERROR(INDEX(FourWeekly_Model!$D$2:$D$29,MATCH(H494,FourWeekly_Model!$B$2:$B$29,0)),0)),IF(VLOOKUP($A491,Calendar!$A$1:$R$1377,18,0)=5,SUM(IFERROR(INDEX(FourWeekly_Model!$D$2:$D$29,MATCH(H491,FourWeekly_Model!$B$2:$B$29,0)),0),IFERROR(INDEX(FourWeekly_Model!$D$2:$D$29,MATCH(H492,FourWeekly_Model!$B$2:$B$29,0)),0),IFERROR(INDEX(FourWeekly_Model!$D$2:$D$29,MATCH(H493,FourWeekly_Model!$B$2:$B$29,0)),0),IFERROR(INDEX(FourWeekly_Model!$D$2:$D$29,MATCH(H494,FourWeekly_Model!$B$2:$B$29,0)),0),IFERROR(INDEX(FourWeekly_Model!$D$2:$D$29,MATCH(H495,FourWeekly_Model!$B$2:$B$29,0)),0)),0))))))</f>
        <v>9.9642859800000011E-3</v>
      </c>
      <c r="N491" s="27">
        <f>SUM(I491:M491)</f>
        <v>4.5316791525287961E-2</v>
      </c>
      <c r="O491" s="28">
        <f>Population_Data!$B$8*N491</f>
        <v>1373098.7832162252</v>
      </c>
      <c r="P491" s="27">
        <f>IF(VLOOKUP($A491,Calendar!$A$1:$R$1377,18,0)=0,0,IF(VLOOKUP($A491,Calendar!$A$1:$R$1377,18,0)=1,IFERROR(INDEX(Pension_Model!$D$2:$D$29,MATCH(H491,Pension_Model!$B$2:$B$29,0)),0),IF(VLOOKUP($A491,Calendar!$A$1:$R$1377,18,0)=2,SUM(IFERROR(INDEX(Pension_Model!$D$2:$D$29,MATCH(H491,Pension_Model!$B$2:$B$29,0)),0),IFERROR(INDEX(Pension_Model!$D$2:$D$29,MATCH(H492,Pension_Model!$B$2:$B$29,0)),0)),IF(VLOOKUP($A491,Calendar!$A$1:$R$1377,18,0)=3,SUM(IFERROR(INDEX(Pension_Model!$D$2:$D$29,MATCH(H491,Pension_Model!$B$2:$B$29,0)),0),IFERROR(INDEX(Pension_Model!$D$2:$D$29,MATCH(H492,Pension_Model!$B$2:$B$29,0)),0),IFERROR(INDEX(Pension_Model!$D$2:$D$29,MATCH(H493,Pension_Model!$B$2:$B$29,0)),0)),IF(VLOOKUP($A491,Calendar!$A$1:$R$1377,18,0)=4,SUM(IFERROR(INDEX(Pension_Model!$D$2:$D$29,MATCH(H491,Pension_Model!$B$2:$B$29,0)),0),IFERROR(INDEX(Pension_Model!$D$2:$D$29,MATCH(H492,Pension_Model!$B$2:$B$29,0)),0),IFERROR(INDEX(Pension_Model!$D$2:$D$29,MATCH(H493,Pension_Model!$B$2:$B$29,0)),0),IFERROR(INDEX(Pension_Model!$D$2:$D$29,MATCH(H494,Pension_Model!$B$2:$B$29,0)),0)),IF(VLOOKUP($A491,Calendar!$A$1:$R$1377,18,0)=5,SUM(IFERROR(INDEX(Pension_Model!$D$2:$D$29,MATCH(H491,Pension_Model!$B$2:$B$29,0)),0),IFERROR(INDEX(Pension_Model!$D$2:$D$29,MATCH(H492,Pension_Model!$B$2:$B$29,0)),0),IFERROR(INDEX(Pension_Model!$D$2:$D$29,MATCH(H493,Pension_Model!$B$2:$B$29,0)),0),IFERROR(INDEX(Pension_Model!$D$2:$D$29,MATCH(H494,Pension_Model!$B$2:$B$29,0)),0),IFERROR(INDEX(Pension_Model!$D$2:$D$29,MATCH(H495,Pension_Model!$B$2:$B$29,0)),0)),0))))))</f>
        <v>0.05</v>
      </c>
      <c r="Q491" s="28">
        <f>Population_Data!$B$15*P491</f>
        <v>660600</v>
      </c>
      <c r="S491">
        <f t="shared" si="7"/>
        <v>2033698.7832162252</v>
      </c>
      <c r="U491" s="33">
        <f>S491/Population_Data!$B$19</f>
        <v>3.68423692611635E-2</v>
      </c>
    </row>
    <row r="492" spans="1:21">
      <c r="A492" s="25">
        <f>Calendar!A492</f>
        <v>46725</v>
      </c>
      <c r="B492" t="str">
        <f>Calendar!L492</f>
        <v>No</v>
      </c>
      <c r="C492" t="str">
        <f>Calendar!O492</f>
        <v>No</v>
      </c>
      <c r="D492" t="str">
        <f>Calendar!P492</f>
        <v>No</v>
      </c>
      <c r="E492" t="str">
        <f>Calendar!Q492</f>
        <v>No</v>
      </c>
      <c r="F492" t="str">
        <f>Calendar!I492</f>
        <v>Saturday</v>
      </c>
      <c r="G492">
        <f>Calendar!S492</f>
        <v>7</v>
      </c>
      <c r="H492">
        <f>Calendar!T492</f>
        <v>21</v>
      </c>
      <c r="I492" s="27">
        <f>IF(VLOOKUP(A492,Calendar!$A$1:$R$1377,18,0)=0,0,IF(VLOOKUP(A492,Calendar!$A$1:$R$1377,18,0)=1,INDEX(Monthly_Pay_Model!$A$9:$D$40,MATCH(TEXT(A492,"dd"),Monthly_Pay_Model!$C$9:$C$39,0),4),IF(VLOOKUP(A492,Calendar!$A$1:$R$1377,18,0)=2,SUM(INDEX(Monthly_Pay_Model!$A$9:$D$40,MATCH(TEXT(A492,"dd"),Monthly_Pay_Model!$C$9:$C$39,0),4),INDEX(Monthly_Pay_Model!$A$9:$D$40,MATCH(TEXT(A493,"dd"),Monthly_Pay_Model!$C$9:$C$39,0),4)),IF(VLOOKUP(A492,Calendar!$A$1:$R$1377,18,0)=3,SUM(INDEX(Monthly_Pay_Model!$A$9:$D$40,MATCH(TEXT(A492,"dd"),Monthly_Pay_Model!$C$9:$C$39,0),4),INDEX(Monthly_Pay_Model!$A$9:$D$40,MATCH(TEXT(A493,"dd"),Monthly_Pay_Model!$C$9:$C$39,0),4),INDEX(Monthly_Pay_Model!$A$9:$D$40,MATCH(TEXT(A494,"dd"),Monthly_Pay_Model!$C$9:$C$39,0),4)),IF(VLOOKUP(A492,Calendar!$A$1:$R$1377,18,0)=4,SUM(INDEX(Monthly_Pay_Model!$A$9:$D$40,MATCH(TEXT(A492,"dd"),Monthly_Pay_Model!$C$9:$C$39,0),4),INDEX(Monthly_Pay_Model!$A$9:$D$40,MATCH(TEXT(A493,"dd"),Monthly_Pay_Model!$C$9:$C$39,0),4),INDEX(Monthly_Pay_Model!$A$9:$D$40,MATCH(TEXT(A494,"dd"),Monthly_Pay_Model!$C$9:$C$39,0),4),INDEX(Monthly_Pay_Model!$A$9:$D$40,MATCH(TEXT(A495,"dd"),Monthly_Pay_Model!$C$9:$C$39,0),4)),IF(VLOOKUP(A492,Calendar!$A$1:$R$1377,18,0)=5,SUM(INDEX(Monthly_Pay_Model!$A$9:$D$40,MATCH(TEXT(A492,"dd"),Monthly_Pay_Model!$C$9:$C$39,0),4),INDEX(Monthly_Pay_Model!$A$9:$D$40,MATCH(TEXT(A493,"dd"),Monthly_Pay_Model!$C$9:$C$39,0),4),INDEX(Monthly_Pay_Model!$A$9:$D$40,MATCH(TEXT(A494,"dd"),Monthly_Pay_Model!$C$9:$C$39,0),4),INDEX(Monthly_Pay_Model!$A$9:$D$40,MATCH(TEXT(A495,"dd"),Monthly_Pay_Model!$C$9:$C$39,0),4),INDEX(Monthly_Pay_Model!$A$9:$D$40,MATCH(TEXT(A496,"dd"),Monthly_Pay_Model!$C$9:$C$39,0),4)),))))))</f>
        <v>0</v>
      </c>
      <c r="J492" s="33">
        <f>IF(C492="Yes",Monthly_Pay_Model!$D$2,0)
+IF(Calendar!N492="Yes",Monthly_Pay_Model!$D$3,0)
+IF(D492="Yes",Monthly_Pay_Model!$D$4,0)
+IF(E492="Yes",Monthly_Pay_Model!$D$5,0)</f>
        <v>0</v>
      </c>
      <c r="K492" s="27">
        <f>IF(VLOOKUP($A492,Calendar!$A$1:$R$1377,18,0)=0,0,IF(VLOOKUP($A492,Calendar!$A$1:$R$1377,18,0)=1,IFERROR(INDEX(Weekly_Model!$D$2:$D$9,MATCH(F492,Weekly_Model!$A$2:$A$9,0)),0),IF(VLOOKUP($A492,Calendar!$A$1:$R$1377,18,0)=2,SUM(IFERROR(INDEX(Weekly_Model!$D$2:$D$9,MATCH(F492,Weekly_Model!$A$2:$A$9,0)),0),IFERROR(INDEX(Weekly_Model!$D$2:$D$9,MATCH(F493,Weekly_Model!$A$2:$A$9,0)),0)),IF(VLOOKUP($A492,Calendar!$A$1:$R$1377,18,0)=3,SUM(IFERROR(INDEX(Weekly_Model!$D$2:$D$9,MATCH(F492,Weekly_Model!$A$2:$A$9,0)),0),IFERROR(INDEX(Weekly_Model!$D$2:$D$9,MATCH(F493,Weekly_Model!$A$2:$A$9,0)),0),IFERROR(INDEX(Weekly_Model!$D$2:$D$9,MATCH(F494,Weekly_Model!$A$2:$A$9,0)),0)),IF(VLOOKUP($A492,Calendar!$A$1:$R$1377,18,0)=4,SUM(IFERROR(INDEX(Weekly_Model!$D$2:$D$9,MATCH(F492,Weekly_Model!$A$2:$A$9,0)),0),IFERROR(INDEX(Weekly_Model!$D$2:$D$9,MATCH(F493,Weekly_Model!$A$2:$A$9,0)),0),IFERROR(INDEX(Weekly_Model!$D$2:$D$9,MATCH(F494,Weekly_Model!$A$2:$A$9,0)),0),IFERROR(INDEX(Weekly_Model!$D$2:$D$9,MATCH(F495,Weekly_Model!$A$2:$A$9,0)),0)),IF(VLOOKUP($A492,Calendar!$A$1:$R$1377,18,0)=5,SUM(IFERROR(INDEX(Weekly_Model!$D$2:$D$9,MATCH(F492,Weekly_Model!$A$2:$A$9,0)),0),IFERROR(INDEX(Weekly_Model!$D$2:$D$9,MATCH(F493,Weekly_Model!$A$2:$A$9,0)),0),IFERROR(INDEX(Weekly_Model!$D$2:$D$9,MATCH(F494,Weekly_Model!$A$2:$A$9,0)),0),IFERROR(INDEX(Weekly_Model!$D$2:$D$9,MATCH(F495,Weekly_Model!$A$2:$A$9,0)),0),IFERROR(INDEX(Weekly_Model!$D$2:$D$9,MATCH(F496,Weekly_Model!$A$2:$A$9,0)),0)),0))))))</f>
        <v>0</v>
      </c>
      <c r="L492" s="27">
        <f>IF(VLOOKUP($A492,Calendar!$A$1:$R$1377,18,0)=0,0,IF(VLOOKUP($A492,Calendar!$A$1:$R$1377,18,0)=1,IFERROR(INDEX(Fortnightly_Model!$D$2:$D$15,MATCH(G492,Fortnightly_Model!$B$2:$B$15,0)),0),IF(VLOOKUP($A492,Calendar!$A$1:$R$1377,18,0)=2,SUM(IFERROR(INDEX(Fortnightly_Model!$D$2:$D$15,MATCH(G492,Fortnightly_Model!$B$2:$B$15,0)),0),IFERROR(INDEX(Fortnightly_Model!$D$2:$D$15,MATCH(G493,Fortnightly_Model!$B$2:$B$15,0)),0)),IF(VLOOKUP($A492,Calendar!$A$1:$R$1377,18,0)=3,SUM(IFERROR(INDEX(Fortnightly_Model!$D$2:$D$15,MATCH(G492,Fortnightly_Model!$B$2:$B$15,0)),0),IFERROR(INDEX(Fortnightly_Model!$D$2:$D$15,MATCH(G493,Fortnightly_Model!$B$2:$B$15,0)),0),IFERROR(INDEX(Fortnightly_Model!$D$2:$D$15,MATCH(G494,Fortnightly_Model!$B$2:$B$15,0)),0)),IF(VLOOKUP($A492,Calendar!$A$1:$R$1377,18,0)=4,SUM(IFERROR(INDEX(Fortnightly_Model!$D$2:$D$15,MATCH(G492,Fortnightly_Model!$B$2:$B$15,0)),0),IFERROR(INDEX(Fortnightly_Model!$D$2:$D$15,MATCH(G493,Fortnightly_Model!$B$2:$B$15,0)),0),IFERROR(INDEX(Fortnightly_Model!$D$2:$D$15,MATCH(G494,Fortnightly_Model!$B$2:$B$15,0)),0),IFERROR(INDEX(Fortnightly_Model!$D$2:$D$15,MATCH(G495,Fortnightly_Model!$B$2:$B$15,0)),0)),IF(VLOOKUP($A492,Calendar!$A$1:$R$1377,18,0)=5,SUM(IFERROR(INDEX(Fortnightly_Model!$D$2:$D$15,MATCH(G492,Fortnightly_Model!$B$2:$B$15,0)),0),IFERROR(INDEX(Fortnightly_Model!$D$2:$D$15,MATCH(G493,Fortnightly_Model!$B$2:$B$15,0)),0),IFERROR(INDEX(Fortnightly_Model!$D$2:$D$15,MATCH(G494,Fortnightly_Model!$B$2:$B$15,0)),0),IFERROR(INDEX(Fortnightly_Model!$D$2:$D$15,MATCH(G495,Fortnightly_Model!$B$2:$B$15,0)),0),IFERROR(INDEX(Fortnightly_Model!$D$2:$D$15,MATCH(G496,Fortnightly_Model!$B$2:$B$15,0)),0)),0))))))</f>
        <v>0</v>
      </c>
      <c r="M492" s="27">
        <f>IF(VLOOKUP($A492,Calendar!$A$1:$R$1377,18,0)=0,0,IF(VLOOKUP($A492,Calendar!$A$1:$R$1377,18,0)=1,IFERROR(INDEX(FourWeekly_Model!$D$2:$D$29,MATCH(H492,FourWeekly_Model!$B$2:$B$29,0)),0),IF(VLOOKUP($A492,Calendar!$A$1:$R$1377,18,0)=2,SUM(IFERROR(INDEX(FourWeekly_Model!$D$2:$D$29,MATCH(H492,FourWeekly_Model!$B$2:$B$29,0)),0),IFERROR(INDEX(FourWeekly_Model!$D$2:$D$29,MATCH(H493,FourWeekly_Model!$B$2:$B$29,0)),0)),IF(VLOOKUP($A492,Calendar!$A$1:$R$1377,18,0)=3,SUM(IFERROR(INDEX(FourWeekly_Model!$D$2:$D$29,MATCH(H492,FourWeekly_Model!$B$2:$B$29,0)),0),IFERROR(INDEX(FourWeekly_Model!$D$2:$D$29,MATCH(H493,FourWeekly_Model!$B$2:$B$29,0)),0),IFERROR(INDEX(FourWeekly_Model!$D$2:$D$29,MATCH(H494,FourWeekly_Model!$B$2:$B$29,0)),0)),IF(VLOOKUP($A492,Calendar!$A$1:$R$1377,18,0)=4,SUM(IFERROR(INDEX(FourWeekly_Model!$D$2:$D$29,MATCH(H492,FourWeekly_Model!$B$2:$B$29,0)),0),IFERROR(INDEX(FourWeekly_Model!$D$2:$D$29,MATCH(H493,FourWeekly_Model!$B$2:$B$29,0)),0),IFERROR(INDEX(FourWeekly_Model!$D$2:$D$29,MATCH(H494,FourWeekly_Model!$B$2:$B$29,0)),0),IFERROR(INDEX(FourWeekly_Model!$D$2:$D$29,MATCH(H495,FourWeekly_Model!$B$2:$B$29,0)),0)),IF(VLOOKUP($A492,Calendar!$A$1:$R$1377,18,0)=5,SUM(IFERROR(INDEX(FourWeekly_Model!$D$2:$D$29,MATCH(H492,FourWeekly_Model!$B$2:$B$29,0)),0),IFERROR(INDEX(FourWeekly_Model!$D$2:$D$29,MATCH(H493,FourWeekly_Model!$B$2:$B$29,0)),0),IFERROR(INDEX(FourWeekly_Model!$D$2:$D$29,MATCH(H494,FourWeekly_Model!$B$2:$B$29,0)),0),IFERROR(INDEX(FourWeekly_Model!$D$2:$D$29,MATCH(H495,FourWeekly_Model!$B$2:$B$29,0)),0),IFERROR(INDEX(FourWeekly_Model!$D$2:$D$29,MATCH(H496,FourWeekly_Model!$B$2:$B$29,0)),0)),0))))))</f>
        <v>0</v>
      </c>
      <c r="N492" s="27">
        <f>SUM(I492:M492)</f>
        <v>0</v>
      </c>
      <c r="O492" s="28">
        <f>Population_Data!$B$8*N492</f>
        <v>0</v>
      </c>
      <c r="P492" s="27">
        <f>IF(VLOOKUP($A492,Calendar!$A$1:$R$1377,18,0)=0,0,IF(VLOOKUP($A492,Calendar!$A$1:$R$1377,18,0)=1,IFERROR(INDEX(Pension_Model!$D$2:$D$29,MATCH(H492,Pension_Model!$B$2:$B$29,0)),0),IF(VLOOKUP($A492,Calendar!$A$1:$R$1377,18,0)=2,SUM(IFERROR(INDEX(Pension_Model!$D$2:$D$29,MATCH(H492,Pension_Model!$B$2:$B$29,0)),0),IFERROR(INDEX(Pension_Model!$D$2:$D$29,MATCH(H493,Pension_Model!$B$2:$B$29,0)),0)),IF(VLOOKUP($A492,Calendar!$A$1:$R$1377,18,0)=3,SUM(IFERROR(INDEX(Pension_Model!$D$2:$D$29,MATCH(H492,Pension_Model!$B$2:$B$29,0)),0),IFERROR(INDEX(Pension_Model!$D$2:$D$29,MATCH(H493,Pension_Model!$B$2:$B$29,0)),0),IFERROR(INDEX(Pension_Model!$D$2:$D$29,MATCH(H494,Pension_Model!$B$2:$B$29,0)),0)),IF(VLOOKUP($A492,Calendar!$A$1:$R$1377,18,0)=4,SUM(IFERROR(INDEX(Pension_Model!$D$2:$D$29,MATCH(H492,Pension_Model!$B$2:$B$29,0)),0),IFERROR(INDEX(Pension_Model!$D$2:$D$29,MATCH(H493,Pension_Model!$B$2:$B$29,0)),0),IFERROR(INDEX(Pension_Model!$D$2:$D$29,MATCH(H494,Pension_Model!$B$2:$B$29,0)),0),IFERROR(INDEX(Pension_Model!$D$2:$D$29,MATCH(H495,Pension_Model!$B$2:$B$29,0)),0)),IF(VLOOKUP($A492,Calendar!$A$1:$R$1377,18,0)=5,SUM(IFERROR(INDEX(Pension_Model!$D$2:$D$29,MATCH(H492,Pension_Model!$B$2:$B$29,0)),0),IFERROR(INDEX(Pension_Model!$D$2:$D$29,MATCH(H493,Pension_Model!$B$2:$B$29,0)),0),IFERROR(INDEX(Pension_Model!$D$2:$D$29,MATCH(H494,Pension_Model!$B$2:$B$29,0)),0),IFERROR(INDEX(Pension_Model!$D$2:$D$29,MATCH(H495,Pension_Model!$B$2:$B$29,0)),0),IFERROR(INDEX(Pension_Model!$D$2:$D$29,MATCH(H496,Pension_Model!$B$2:$B$29,0)),0)),0))))))</f>
        <v>0</v>
      </c>
      <c r="Q492" s="28">
        <f>Population_Data!$B$15*P492</f>
        <v>0</v>
      </c>
      <c r="S492">
        <f t="shared" si="7"/>
        <v>0</v>
      </c>
      <c r="U492" s="33">
        <f>S492/Population_Data!$B$19</f>
        <v>0</v>
      </c>
    </row>
    <row r="493" spans="1:21">
      <c r="A493" s="25">
        <f>Calendar!A493</f>
        <v>46726</v>
      </c>
      <c r="B493" t="str">
        <f>Calendar!L493</f>
        <v>No</v>
      </c>
      <c r="C493" t="str">
        <f>Calendar!O493</f>
        <v>No</v>
      </c>
      <c r="D493" t="str">
        <f>Calendar!P493</f>
        <v>No</v>
      </c>
      <c r="E493" t="str">
        <f>Calendar!Q493</f>
        <v>No</v>
      </c>
      <c r="F493" t="str">
        <f>Calendar!I493</f>
        <v>Sunday</v>
      </c>
      <c r="G493">
        <f>Calendar!S493</f>
        <v>8</v>
      </c>
      <c r="H493">
        <f>Calendar!T493</f>
        <v>22</v>
      </c>
      <c r="I493" s="27">
        <f>IF(VLOOKUP(A493,Calendar!$A$1:$R$1377,18,0)=0,0,IF(VLOOKUP(A493,Calendar!$A$1:$R$1377,18,0)=1,INDEX(Monthly_Pay_Model!$A$9:$D$40,MATCH(TEXT(A493,"dd"),Monthly_Pay_Model!$C$9:$C$39,0),4),IF(VLOOKUP(A493,Calendar!$A$1:$R$1377,18,0)=2,SUM(INDEX(Monthly_Pay_Model!$A$9:$D$40,MATCH(TEXT(A493,"dd"),Monthly_Pay_Model!$C$9:$C$39,0),4),INDEX(Monthly_Pay_Model!$A$9:$D$40,MATCH(TEXT(A494,"dd"),Monthly_Pay_Model!$C$9:$C$39,0),4)),IF(VLOOKUP(A493,Calendar!$A$1:$R$1377,18,0)=3,SUM(INDEX(Monthly_Pay_Model!$A$9:$D$40,MATCH(TEXT(A493,"dd"),Monthly_Pay_Model!$C$9:$C$39,0),4),INDEX(Monthly_Pay_Model!$A$9:$D$40,MATCH(TEXT(A494,"dd"),Monthly_Pay_Model!$C$9:$C$39,0),4),INDEX(Monthly_Pay_Model!$A$9:$D$40,MATCH(TEXT(A495,"dd"),Monthly_Pay_Model!$C$9:$C$39,0),4)),IF(VLOOKUP(A493,Calendar!$A$1:$R$1377,18,0)=4,SUM(INDEX(Monthly_Pay_Model!$A$9:$D$40,MATCH(TEXT(A493,"dd"),Monthly_Pay_Model!$C$9:$C$39,0),4),INDEX(Monthly_Pay_Model!$A$9:$D$40,MATCH(TEXT(A494,"dd"),Monthly_Pay_Model!$C$9:$C$39,0),4),INDEX(Monthly_Pay_Model!$A$9:$D$40,MATCH(TEXT(A495,"dd"),Monthly_Pay_Model!$C$9:$C$39,0),4),INDEX(Monthly_Pay_Model!$A$9:$D$40,MATCH(TEXT(A496,"dd"),Monthly_Pay_Model!$C$9:$C$39,0),4)),IF(VLOOKUP(A493,Calendar!$A$1:$R$1377,18,0)=5,SUM(INDEX(Monthly_Pay_Model!$A$9:$D$40,MATCH(TEXT(A493,"dd"),Monthly_Pay_Model!$C$9:$C$39,0),4),INDEX(Monthly_Pay_Model!$A$9:$D$40,MATCH(TEXT(A494,"dd"),Monthly_Pay_Model!$C$9:$C$39,0),4),INDEX(Monthly_Pay_Model!$A$9:$D$40,MATCH(TEXT(A495,"dd"),Monthly_Pay_Model!$C$9:$C$39,0),4),INDEX(Monthly_Pay_Model!$A$9:$D$40,MATCH(TEXT(A496,"dd"),Monthly_Pay_Model!$C$9:$C$39,0),4),INDEX(Monthly_Pay_Model!$A$9:$D$40,MATCH(TEXT(A497,"dd"),Monthly_Pay_Model!$C$9:$C$39,0),4)),))))))</f>
        <v>0</v>
      </c>
      <c r="J493" s="33">
        <f>IF(C493="Yes",Monthly_Pay_Model!$D$2,0)
+IF(Calendar!N493="Yes",Monthly_Pay_Model!$D$3,0)
+IF(D493="Yes",Monthly_Pay_Model!$D$4,0)
+IF(E493="Yes",Monthly_Pay_Model!$D$5,0)</f>
        <v>0</v>
      </c>
      <c r="K493" s="27">
        <f>IF(VLOOKUP($A493,Calendar!$A$1:$R$1377,18,0)=0,0,IF(VLOOKUP($A493,Calendar!$A$1:$R$1377,18,0)=1,IFERROR(INDEX(Weekly_Model!$D$2:$D$9,MATCH(F493,Weekly_Model!$A$2:$A$9,0)),0),IF(VLOOKUP($A493,Calendar!$A$1:$R$1377,18,0)=2,SUM(IFERROR(INDEX(Weekly_Model!$D$2:$D$9,MATCH(F493,Weekly_Model!$A$2:$A$9,0)),0),IFERROR(INDEX(Weekly_Model!$D$2:$D$9,MATCH(F494,Weekly_Model!$A$2:$A$9,0)),0)),IF(VLOOKUP($A493,Calendar!$A$1:$R$1377,18,0)=3,SUM(IFERROR(INDEX(Weekly_Model!$D$2:$D$9,MATCH(F493,Weekly_Model!$A$2:$A$9,0)),0),IFERROR(INDEX(Weekly_Model!$D$2:$D$9,MATCH(F494,Weekly_Model!$A$2:$A$9,0)),0),IFERROR(INDEX(Weekly_Model!$D$2:$D$9,MATCH(F495,Weekly_Model!$A$2:$A$9,0)),0)),IF(VLOOKUP($A493,Calendar!$A$1:$R$1377,18,0)=4,SUM(IFERROR(INDEX(Weekly_Model!$D$2:$D$9,MATCH(F493,Weekly_Model!$A$2:$A$9,0)),0),IFERROR(INDEX(Weekly_Model!$D$2:$D$9,MATCH(F494,Weekly_Model!$A$2:$A$9,0)),0),IFERROR(INDEX(Weekly_Model!$D$2:$D$9,MATCH(F495,Weekly_Model!$A$2:$A$9,0)),0),IFERROR(INDEX(Weekly_Model!$D$2:$D$9,MATCH(F496,Weekly_Model!$A$2:$A$9,0)),0)),IF(VLOOKUP($A493,Calendar!$A$1:$R$1377,18,0)=5,SUM(IFERROR(INDEX(Weekly_Model!$D$2:$D$9,MATCH(F493,Weekly_Model!$A$2:$A$9,0)),0),IFERROR(INDEX(Weekly_Model!$D$2:$D$9,MATCH(F494,Weekly_Model!$A$2:$A$9,0)),0),IFERROR(INDEX(Weekly_Model!$D$2:$D$9,MATCH(F495,Weekly_Model!$A$2:$A$9,0)),0),IFERROR(INDEX(Weekly_Model!$D$2:$D$9,MATCH(F496,Weekly_Model!$A$2:$A$9,0)),0),IFERROR(INDEX(Weekly_Model!$D$2:$D$9,MATCH(F497,Weekly_Model!$A$2:$A$9,0)),0)),0))))))</f>
        <v>0</v>
      </c>
      <c r="L493" s="27">
        <f>IF(VLOOKUP($A493,Calendar!$A$1:$R$1377,18,0)=0,0,IF(VLOOKUP($A493,Calendar!$A$1:$R$1377,18,0)=1,IFERROR(INDEX(Fortnightly_Model!$D$2:$D$15,MATCH(G493,Fortnightly_Model!$B$2:$B$15,0)),0),IF(VLOOKUP($A493,Calendar!$A$1:$R$1377,18,0)=2,SUM(IFERROR(INDEX(Fortnightly_Model!$D$2:$D$15,MATCH(G493,Fortnightly_Model!$B$2:$B$15,0)),0),IFERROR(INDEX(Fortnightly_Model!$D$2:$D$15,MATCH(G494,Fortnightly_Model!$B$2:$B$15,0)),0)),IF(VLOOKUP($A493,Calendar!$A$1:$R$1377,18,0)=3,SUM(IFERROR(INDEX(Fortnightly_Model!$D$2:$D$15,MATCH(G493,Fortnightly_Model!$B$2:$B$15,0)),0),IFERROR(INDEX(Fortnightly_Model!$D$2:$D$15,MATCH(G494,Fortnightly_Model!$B$2:$B$15,0)),0),IFERROR(INDEX(Fortnightly_Model!$D$2:$D$15,MATCH(G495,Fortnightly_Model!$B$2:$B$15,0)),0)),IF(VLOOKUP($A493,Calendar!$A$1:$R$1377,18,0)=4,SUM(IFERROR(INDEX(Fortnightly_Model!$D$2:$D$15,MATCH(G493,Fortnightly_Model!$B$2:$B$15,0)),0),IFERROR(INDEX(Fortnightly_Model!$D$2:$D$15,MATCH(G494,Fortnightly_Model!$B$2:$B$15,0)),0),IFERROR(INDEX(Fortnightly_Model!$D$2:$D$15,MATCH(G495,Fortnightly_Model!$B$2:$B$15,0)),0),IFERROR(INDEX(Fortnightly_Model!$D$2:$D$15,MATCH(G496,Fortnightly_Model!$B$2:$B$15,0)),0)),IF(VLOOKUP($A493,Calendar!$A$1:$R$1377,18,0)=5,SUM(IFERROR(INDEX(Fortnightly_Model!$D$2:$D$15,MATCH(G493,Fortnightly_Model!$B$2:$B$15,0)),0),IFERROR(INDEX(Fortnightly_Model!$D$2:$D$15,MATCH(G494,Fortnightly_Model!$B$2:$B$15,0)),0),IFERROR(INDEX(Fortnightly_Model!$D$2:$D$15,MATCH(G495,Fortnightly_Model!$B$2:$B$15,0)),0),IFERROR(INDEX(Fortnightly_Model!$D$2:$D$15,MATCH(G496,Fortnightly_Model!$B$2:$B$15,0)),0),IFERROR(INDEX(Fortnightly_Model!$D$2:$D$15,MATCH(G497,Fortnightly_Model!$B$2:$B$15,0)),0)),0))))))</f>
        <v>0</v>
      </c>
      <c r="M493" s="27">
        <f>IF(VLOOKUP($A493,Calendar!$A$1:$R$1377,18,0)=0,0,IF(VLOOKUP($A493,Calendar!$A$1:$R$1377,18,0)=1,IFERROR(INDEX(FourWeekly_Model!$D$2:$D$29,MATCH(H493,FourWeekly_Model!$B$2:$B$29,0)),0),IF(VLOOKUP($A493,Calendar!$A$1:$R$1377,18,0)=2,SUM(IFERROR(INDEX(FourWeekly_Model!$D$2:$D$29,MATCH(H493,FourWeekly_Model!$B$2:$B$29,0)),0),IFERROR(INDEX(FourWeekly_Model!$D$2:$D$29,MATCH(H494,FourWeekly_Model!$B$2:$B$29,0)),0)),IF(VLOOKUP($A493,Calendar!$A$1:$R$1377,18,0)=3,SUM(IFERROR(INDEX(FourWeekly_Model!$D$2:$D$29,MATCH(H493,FourWeekly_Model!$B$2:$B$29,0)),0),IFERROR(INDEX(FourWeekly_Model!$D$2:$D$29,MATCH(H494,FourWeekly_Model!$B$2:$B$29,0)),0),IFERROR(INDEX(FourWeekly_Model!$D$2:$D$29,MATCH(H495,FourWeekly_Model!$B$2:$B$29,0)),0)),IF(VLOOKUP($A493,Calendar!$A$1:$R$1377,18,0)=4,SUM(IFERROR(INDEX(FourWeekly_Model!$D$2:$D$29,MATCH(H493,FourWeekly_Model!$B$2:$B$29,0)),0),IFERROR(INDEX(FourWeekly_Model!$D$2:$D$29,MATCH(H494,FourWeekly_Model!$B$2:$B$29,0)),0),IFERROR(INDEX(FourWeekly_Model!$D$2:$D$29,MATCH(H495,FourWeekly_Model!$B$2:$B$29,0)),0),IFERROR(INDEX(FourWeekly_Model!$D$2:$D$29,MATCH(H496,FourWeekly_Model!$B$2:$B$29,0)),0)),IF(VLOOKUP($A493,Calendar!$A$1:$R$1377,18,0)=5,SUM(IFERROR(INDEX(FourWeekly_Model!$D$2:$D$29,MATCH(H493,FourWeekly_Model!$B$2:$B$29,0)),0),IFERROR(INDEX(FourWeekly_Model!$D$2:$D$29,MATCH(H494,FourWeekly_Model!$B$2:$B$29,0)),0),IFERROR(INDEX(FourWeekly_Model!$D$2:$D$29,MATCH(H495,FourWeekly_Model!$B$2:$B$29,0)),0),IFERROR(INDEX(FourWeekly_Model!$D$2:$D$29,MATCH(H496,FourWeekly_Model!$B$2:$B$29,0)),0),IFERROR(INDEX(FourWeekly_Model!$D$2:$D$29,MATCH(H497,FourWeekly_Model!$B$2:$B$29,0)),0)),0))))))</f>
        <v>0</v>
      </c>
      <c r="N493" s="27">
        <f>SUM(I493:M493)</f>
        <v>0</v>
      </c>
      <c r="O493" s="28">
        <f>Population_Data!$B$8*N493</f>
        <v>0</v>
      </c>
      <c r="P493" s="27">
        <f>IF(VLOOKUP($A493,Calendar!$A$1:$R$1377,18,0)=0,0,IF(VLOOKUP($A493,Calendar!$A$1:$R$1377,18,0)=1,IFERROR(INDEX(Pension_Model!$D$2:$D$29,MATCH(H493,Pension_Model!$B$2:$B$29,0)),0),IF(VLOOKUP($A493,Calendar!$A$1:$R$1377,18,0)=2,SUM(IFERROR(INDEX(Pension_Model!$D$2:$D$29,MATCH(H493,Pension_Model!$B$2:$B$29,0)),0),IFERROR(INDEX(Pension_Model!$D$2:$D$29,MATCH(H494,Pension_Model!$B$2:$B$29,0)),0)),IF(VLOOKUP($A493,Calendar!$A$1:$R$1377,18,0)=3,SUM(IFERROR(INDEX(Pension_Model!$D$2:$D$29,MATCH(H493,Pension_Model!$B$2:$B$29,0)),0),IFERROR(INDEX(Pension_Model!$D$2:$D$29,MATCH(H494,Pension_Model!$B$2:$B$29,0)),0),IFERROR(INDEX(Pension_Model!$D$2:$D$29,MATCH(H495,Pension_Model!$B$2:$B$29,0)),0)),IF(VLOOKUP($A493,Calendar!$A$1:$R$1377,18,0)=4,SUM(IFERROR(INDEX(Pension_Model!$D$2:$D$29,MATCH(H493,Pension_Model!$B$2:$B$29,0)),0),IFERROR(INDEX(Pension_Model!$D$2:$D$29,MATCH(H494,Pension_Model!$B$2:$B$29,0)),0),IFERROR(INDEX(Pension_Model!$D$2:$D$29,MATCH(H495,Pension_Model!$B$2:$B$29,0)),0),IFERROR(INDEX(Pension_Model!$D$2:$D$29,MATCH(H496,Pension_Model!$B$2:$B$29,0)),0)),IF(VLOOKUP($A493,Calendar!$A$1:$R$1377,18,0)=5,SUM(IFERROR(INDEX(Pension_Model!$D$2:$D$29,MATCH(H493,Pension_Model!$B$2:$B$29,0)),0),IFERROR(INDEX(Pension_Model!$D$2:$D$29,MATCH(H494,Pension_Model!$B$2:$B$29,0)),0),IFERROR(INDEX(Pension_Model!$D$2:$D$29,MATCH(H495,Pension_Model!$B$2:$B$29,0)),0),IFERROR(INDEX(Pension_Model!$D$2:$D$29,MATCH(H496,Pension_Model!$B$2:$B$29,0)),0),IFERROR(INDEX(Pension_Model!$D$2:$D$29,MATCH(H497,Pension_Model!$B$2:$B$29,0)),0)),0))))))</f>
        <v>0</v>
      </c>
      <c r="Q493" s="28">
        <f>Population_Data!$B$15*P493</f>
        <v>0</v>
      </c>
      <c r="S493">
        <f t="shared" si="7"/>
        <v>0</v>
      </c>
      <c r="U493" s="33">
        <f>S493/Population_Data!$B$19</f>
        <v>0</v>
      </c>
    </row>
    <row r="494" spans="1:21">
      <c r="A494" s="25">
        <f>Calendar!A494</f>
        <v>46727</v>
      </c>
      <c r="B494" t="str">
        <f>Calendar!L494</f>
        <v>Yes</v>
      </c>
      <c r="C494" t="str">
        <f>Calendar!O494</f>
        <v>No</v>
      </c>
      <c r="D494" t="str">
        <f>Calendar!P494</f>
        <v>No</v>
      </c>
      <c r="E494" t="str">
        <f>Calendar!Q494</f>
        <v>No</v>
      </c>
      <c r="F494" t="str">
        <f>Calendar!I494</f>
        <v>Monday</v>
      </c>
      <c r="G494">
        <f>Calendar!S494</f>
        <v>9</v>
      </c>
      <c r="H494">
        <f>Calendar!T494</f>
        <v>23</v>
      </c>
      <c r="I494" s="27">
        <f>IF(VLOOKUP(A494,Calendar!$A$1:$R$1377,18,0)=0,0,IF(VLOOKUP(A494,Calendar!$A$1:$R$1377,18,0)=1,INDEX(Monthly_Pay_Model!$A$9:$D$40,MATCH(TEXT(A494,"dd"),Monthly_Pay_Model!$C$9:$C$39,0),4),IF(VLOOKUP(A494,Calendar!$A$1:$R$1377,18,0)=2,SUM(INDEX(Monthly_Pay_Model!$A$9:$D$40,MATCH(TEXT(A494,"dd"),Monthly_Pay_Model!$C$9:$C$39,0),4),INDEX(Monthly_Pay_Model!$A$9:$D$40,MATCH(TEXT(A495,"dd"),Monthly_Pay_Model!$C$9:$C$39,0),4)),IF(VLOOKUP(A494,Calendar!$A$1:$R$1377,18,0)=3,SUM(INDEX(Monthly_Pay_Model!$A$9:$D$40,MATCH(TEXT(A494,"dd"),Monthly_Pay_Model!$C$9:$C$39,0),4),INDEX(Monthly_Pay_Model!$A$9:$D$40,MATCH(TEXT(A495,"dd"),Monthly_Pay_Model!$C$9:$C$39,0),4),INDEX(Monthly_Pay_Model!$A$9:$D$40,MATCH(TEXT(A496,"dd"),Monthly_Pay_Model!$C$9:$C$39,0),4)),IF(VLOOKUP(A494,Calendar!$A$1:$R$1377,18,0)=4,SUM(INDEX(Monthly_Pay_Model!$A$9:$D$40,MATCH(TEXT(A494,"dd"),Monthly_Pay_Model!$C$9:$C$39,0),4),INDEX(Monthly_Pay_Model!$A$9:$D$40,MATCH(TEXT(A495,"dd"),Monthly_Pay_Model!$C$9:$C$39,0),4),INDEX(Monthly_Pay_Model!$A$9:$D$40,MATCH(TEXT(A496,"dd"),Monthly_Pay_Model!$C$9:$C$39,0),4),INDEX(Monthly_Pay_Model!$A$9:$D$40,MATCH(TEXT(A497,"dd"),Monthly_Pay_Model!$C$9:$C$39,0),4)),IF(VLOOKUP(A494,Calendar!$A$1:$R$1377,18,0)=5,SUM(INDEX(Monthly_Pay_Model!$A$9:$D$40,MATCH(TEXT(A494,"dd"),Monthly_Pay_Model!$C$9:$C$39,0),4),INDEX(Monthly_Pay_Model!$A$9:$D$40,MATCH(TEXT(A495,"dd"),Monthly_Pay_Model!$C$9:$C$39,0),4),INDEX(Monthly_Pay_Model!$A$9:$D$40,MATCH(TEXT(A496,"dd"),Monthly_Pay_Model!$C$9:$C$39,0),4),INDEX(Monthly_Pay_Model!$A$9:$D$40,MATCH(TEXT(A497,"dd"),Monthly_Pay_Model!$C$9:$C$39,0),4),INDEX(Monthly_Pay_Model!$A$9:$D$40,MATCH(TEXT(A498,"dd"),Monthly_Pay_Model!$C$9:$C$39,0),4)),))))))</f>
        <v>3.2502617801047117E-3</v>
      </c>
      <c r="J494" s="33">
        <f>IF(C494="Yes",Monthly_Pay_Model!$D$2,0)
+IF(Calendar!N494="Yes",Monthly_Pay_Model!$D$3,0)
+IF(D494="Yes",Monthly_Pay_Model!$D$4,0)
+IF(E494="Yes",Monthly_Pay_Model!$D$5,0)</f>
        <v>0</v>
      </c>
      <c r="K494" s="27">
        <f>IF(VLOOKUP($A494,Calendar!$A$1:$R$1377,18,0)=0,0,IF(VLOOKUP($A494,Calendar!$A$1:$R$1377,18,0)=1,IFERROR(INDEX(Weekly_Model!$D$2:$D$9,MATCH(F494,Weekly_Model!$A$2:$A$9,0)),0),IF(VLOOKUP($A494,Calendar!$A$1:$R$1377,18,0)=2,SUM(IFERROR(INDEX(Weekly_Model!$D$2:$D$9,MATCH(F494,Weekly_Model!$A$2:$A$9,0)),0),IFERROR(INDEX(Weekly_Model!$D$2:$D$9,MATCH(F495,Weekly_Model!$A$2:$A$9,0)),0)),IF(VLOOKUP($A494,Calendar!$A$1:$R$1377,18,0)=3,SUM(IFERROR(INDEX(Weekly_Model!$D$2:$D$9,MATCH(F494,Weekly_Model!$A$2:$A$9,0)),0),IFERROR(INDEX(Weekly_Model!$D$2:$D$9,MATCH(F495,Weekly_Model!$A$2:$A$9,0)),0),IFERROR(INDEX(Weekly_Model!$D$2:$D$9,MATCH(F496,Weekly_Model!$A$2:$A$9,0)),0)),IF(VLOOKUP($A494,Calendar!$A$1:$R$1377,18,0)=4,SUM(IFERROR(INDEX(Weekly_Model!$D$2:$D$9,MATCH(F494,Weekly_Model!$A$2:$A$9,0)),0),IFERROR(INDEX(Weekly_Model!$D$2:$D$9,MATCH(F495,Weekly_Model!$A$2:$A$9,0)),0),IFERROR(INDEX(Weekly_Model!$D$2:$D$9,MATCH(F496,Weekly_Model!$A$2:$A$9,0)),0),IFERROR(INDEX(Weekly_Model!$D$2:$D$9,MATCH(F497,Weekly_Model!$A$2:$A$9,0)),0)),IF(VLOOKUP($A494,Calendar!$A$1:$R$1377,18,0)=5,SUM(IFERROR(INDEX(Weekly_Model!$D$2:$D$9,MATCH(F494,Weekly_Model!$A$2:$A$9,0)),0),IFERROR(INDEX(Weekly_Model!$D$2:$D$9,MATCH(F495,Weekly_Model!$A$2:$A$9,0)),0),IFERROR(INDEX(Weekly_Model!$D$2:$D$9,MATCH(F496,Weekly_Model!$A$2:$A$9,0)),0),IFERROR(INDEX(Weekly_Model!$D$2:$D$9,MATCH(F497,Weekly_Model!$A$2:$A$9,0)),0),IFERROR(INDEX(Weekly_Model!$D$2:$D$9,MATCH(F498,Weekly_Model!$A$2:$A$9,0)),0)),0))))))</f>
        <v>2.3200000000000002E-2</v>
      </c>
      <c r="L494" s="27">
        <f>IF(VLOOKUP($A494,Calendar!$A$1:$R$1377,18,0)=0,0,IF(VLOOKUP($A494,Calendar!$A$1:$R$1377,18,0)=1,IFERROR(INDEX(Fortnightly_Model!$D$2:$D$15,MATCH(G494,Fortnightly_Model!$B$2:$B$15,0)),0),IF(VLOOKUP($A494,Calendar!$A$1:$R$1377,18,0)=2,SUM(IFERROR(INDEX(Fortnightly_Model!$D$2:$D$15,MATCH(G494,Fortnightly_Model!$B$2:$B$15,0)),0),IFERROR(INDEX(Fortnightly_Model!$D$2:$D$15,MATCH(G495,Fortnightly_Model!$B$2:$B$15,0)),0)),IF(VLOOKUP($A494,Calendar!$A$1:$R$1377,18,0)=3,SUM(IFERROR(INDEX(Fortnightly_Model!$D$2:$D$15,MATCH(G494,Fortnightly_Model!$B$2:$B$15,0)),0),IFERROR(INDEX(Fortnightly_Model!$D$2:$D$15,MATCH(G495,Fortnightly_Model!$B$2:$B$15,0)),0),IFERROR(INDEX(Fortnightly_Model!$D$2:$D$15,MATCH(G496,Fortnightly_Model!$B$2:$B$15,0)),0)),IF(VLOOKUP($A494,Calendar!$A$1:$R$1377,18,0)=4,SUM(IFERROR(INDEX(Fortnightly_Model!$D$2:$D$15,MATCH(G494,Fortnightly_Model!$B$2:$B$15,0)),0),IFERROR(INDEX(Fortnightly_Model!$D$2:$D$15,MATCH(G495,Fortnightly_Model!$B$2:$B$15,0)),0),IFERROR(INDEX(Fortnightly_Model!$D$2:$D$15,MATCH(G496,Fortnightly_Model!$B$2:$B$15,0)),0),IFERROR(INDEX(Fortnightly_Model!$D$2:$D$15,MATCH(G497,Fortnightly_Model!$B$2:$B$15,0)),0)),IF(VLOOKUP($A494,Calendar!$A$1:$R$1377,18,0)=5,SUM(IFERROR(INDEX(Fortnightly_Model!$D$2:$D$15,MATCH(G494,Fortnightly_Model!$B$2:$B$15,0)),0),IFERROR(INDEX(Fortnightly_Model!$D$2:$D$15,MATCH(G495,Fortnightly_Model!$B$2:$B$15,0)),0),IFERROR(INDEX(Fortnightly_Model!$D$2:$D$15,MATCH(G496,Fortnightly_Model!$B$2:$B$15,0)),0),IFERROR(INDEX(Fortnightly_Model!$D$2:$D$15,MATCH(G497,Fortnightly_Model!$B$2:$B$15,0)),0),IFERROR(INDEX(Fortnightly_Model!$D$2:$D$15,MATCH(G498,Fortnightly_Model!$B$2:$B$15,0)),0)),0))))))</f>
        <v>1.0714285499999999E-3</v>
      </c>
      <c r="M494" s="27">
        <f>IF(VLOOKUP($A494,Calendar!$A$1:$R$1377,18,0)=0,0,IF(VLOOKUP($A494,Calendar!$A$1:$R$1377,18,0)=1,IFERROR(INDEX(FourWeekly_Model!$D$2:$D$29,MATCH(H494,FourWeekly_Model!$B$2:$B$29,0)),0),IF(VLOOKUP($A494,Calendar!$A$1:$R$1377,18,0)=2,SUM(IFERROR(INDEX(FourWeekly_Model!$D$2:$D$29,MATCH(H494,FourWeekly_Model!$B$2:$B$29,0)),0),IFERROR(INDEX(FourWeekly_Model!$D$2:$D$29,MATCH(H495,FourWeekly_Model!$B$2:$B$29,0)),0)),IF(VLOOKUP($A494,Calendar!$A$1:$R$1377,18,0)=3,SUM(IFERROR(INDEX(FourWeekly_Model!$D$2:$D$29,MATCH(H494,FourWeekly_Model!$B$2:$B$29,0)),0),IFERROR(INDEX(FourWeekly_Model!$D$2:$D$29,MATCH(H495,FourWeekly_Model!$B$2:$B$29,0)),0),IFERROR(INDEX(FourWeekly_Model!$D$2:$D$29,MATCH(H496,FourWeekly_Model!$B$2:$B$29,0)),0)),IF(VLOOKUP($A494,Calendar!$A$1:$R$1377,18,0)=4,SUM(IFERROR(INDEX(FourWeekly_Model!$D$2:$D$29,MATCH(H494,FourWeekly_Model!$B$2:$B$29,0)),0),IFERROR(INDEX(FourWeekly_Model!$D$2:$D$29,MATCH(H495,FourWeekly_Model!$B$2:$B$29,0)),0),IFERROR(INDEX(FourWeekly_Model!$D$2:$D$29,MATCH(H496,FourWeekly_Model!$B$2:$B$29,0)),0),IFERROR(INDEX(FourWeekly_Model!$D$2:$D$29,MATCH(H497,FourWeekly_Model!$B$2:$B$29,0)),0)),IF(VLOOKUP($A494,Calendar!$A$1:$R$1377,18,0)=5,SUM(IFERROR(INDEX(FourWeekly_Model!$D$2:$D$29,MATCH(H494,FourWeekly_Model!$B$2:$B$29,0)),0),IFERROR(INDEX(FourWeekly_Model!$D$2:$D$29,MATCH(H495,FourWeekly_Model!$B$2:$B$29,0)),0),IFERROR(INDEX(FourWeekly_Model!$D$2:$D$29,MATCH(H496,FourWeekly_Model!$B$2:$B$29,0)),0),IFERROR(INDEX(FourWeekly_Model!$D$2:$D$29,MATCH(H497,FourWeekly_Model!$B$2:$B$29,0)),0),IFERROR(INDEX(FourWeekly_Model!$D$2:$D$29,MATCH(H498,FourWeekly_Model!$B$2:$B$29,0)),0)),0))))))</f>
        <v>3.3214289700000004E-3</v>
      </c>
      <c r="N494" s="27">
        <f>SUM(I494:M494)</f>
        <v>3.0843119300104714E-2</v>
      </c>
      <c r="O494" s="28">
        <f>Population_Data!$B$8*N494</f>
        <v>934546.51479317283</v>
      </c>
      <c r="P494" s="27">
        <f>IF(VLOOKUP($A494,Calendar!$A$1:$R$1377,18,0)=0,0,IF(VLOOKUP($A494,Calendar!$A$1:$R$1377,18,0)=1,IFERROR(INDEX(Pension_Model!$D$2:$D$29,MATCH(H494,Pension_Model!$B$2:$B$29,0)),0),IF(VLOOKUP($A494,Calendar!$A$1:$R$1377,18,0)=2,SUM(IFERROR(INDEX(Pension_Model!$D$2:$D$29,MATCH(H494,Pension_Model!$B$2:$B$29,0)),0),IFERROR(INDEX(Pension_Model!$D$2:$D$29,MATCH(H495,Pension_Model!$B$2:$B$29,0)),0)),IF(VLOOKUP($A494,Calendar!$A$1:$R$1377,18,0)=3,SUM(IFERROR(INDEX(Pension_Model!$D$2:$D$29,MATCH(H494,Pension_Model!$B$2:$B$29,0)),0),IFERROR(INDEX(Pension_Model!$D$2:$D$29,MATCH(H495,Pension_Model!$B$2:$B$29,0)),0),IFERROR(INDEX(Pension_Model!$D$2:$D$29,MATCH(H496,Pension_Model!$B$2:$B$29,0)),0)),IF(VLOOKUP($A494,Calendar!$A$1:$R$1377,18,0)=4,SUM(IFERROR(INDEX(Pension_Model!$D$2:$D$29,MATCH(H494,Pension_Model!$B$2:$B$29,0)),0),IFERROR(INDEX(Pension_Model!$D$2:$D$29,MATCH(H495,Pension_Model!$B$2:$B$29,0)),0),IFERROR(INDEX(Pension_Model!$D$2:$D$29,MATCH(H496,Pension_Model!$B$2:$B$29,0)),0),IFERROR(INDEX(Pension_Model!$D$2:$D$29,MATCH(H497,Pension_Model!$B$2:$B$29,0)),0)),IF(VLOOKUP($A494,Calendar!$A$1:$R$1377,18,0)=5,SUM(IFERROR(INDEX(Pension_Model!$D$2:$D$29,MATCH(H494,Pension_Model!$B$2:$B$29,0)),0),IFERROR(INDEX(Pension_Model!$D$2:$D$29,MATCH(H495,Pension_Model!$B$2:$B$29,0)),0),IFERROR(INDEX(Pension_Model!$D$2:$D$29,MATCH(H496,Pension_Model!$B$2:$B$29,0)),0),IFERROR(INDEX(Pension_Model!$D$2:$D$29,MATCH(H497,Pension_Model!$B$2:$B$29,0)),0),IFERROR(INDEX(Pension_Model!$D$2:$D$29,MATCH(H498,Pension_Model!$B$2:$B$29,0)),0)),0))))))</f>
        <v>0.05</v>
      </c>
      <c r="Q494" s="28">
        <f>Population_Data!$B$15*P494</f>
        <v>660600</v>
      </c>
      <c r="S494">
        <f t="shared" si="7"/>
        <v>1595146.5147931729</v>
      </c>
      <c r="U494" s="33">
        <f>S494/Population_Data!$B$19</f>
        <v>2.8897581789731393E-2</v>
      </c>
    </row>
    <row r="495" spans="1:21">
      <c r="A495" s="25">
        <f>Calendar!A495</f>
        <v>46728</v>
      </c>
      <c r="B495" t="str">
        <f>Calendar!L495</f>
        <v>Yes</v>
      </c>
      <c r="C495" t="str">
        <f>Calendar!O495</f>
        <v>No</v>
      </c>
      <c r="D495" t="str">
        <f>Calendar!P495</f>
        <v>No</v>
      </c>
      <c r="E495" t="str">
        <f>Calendar!Q495</f>
        <v>No</v>
      </c>
      <c r="F495" t="str">
        <f>Calendar!I495</f>
        <v>Tuesday</v>
      </c>
      <c r="G495">
        <f>Calendar!S495</f>
        <v>10</v>
      </c>
      <c r="H495">
        <f>Calendar!T495</f>
        <v>24</v>
      </c>
      <c r="I495" s="27">
        <f>IF(VLOOKUP(A495,Calendar!$A$1:$R$1377,18,0)=0,0,IF(VLOOKUP(A495,Calendar!$A$1:$R$1377,18,0)=1,INDEX(Monthly_Pay_Model!$A$9:$D$40,MATCH(TEXT(A495,"dd"),Monthly_Pay_Model!$C$9:$C$39,0),4),IF(VLOOKUP(A495,Calendar!$A$1:$R$1377,18,0)=2,SUM(INDEX(Monthly_Pay_Model!$A$9:$D$40,MATCH(TEXT(A495,"dd"),Monthly_Pay_Model!$C$9:$C$39,0),4),INDEX(Monthly_Pay_Model!$A$9:$D$40,MATCH(TEXT(A496,"dd"),Monthly_Pay_Model!$C$9:$C$39,0),4)),IF(VLOOKUP(A495,Calendar!$A$1:$R$1377,18,0)=3,SUM(INDEX(Monthly_Pay_Model!$A$9:$D$40,MATCH(TEXT(A495,"dd"),Monthly_Pay_Model!$C$9:$C$39,0),4),INDEX(Monthly_Pay_Model!$A$9:$D$40,MATCH(TEXT(A496,"dd"),Monthly_Pay_Model!$C$9:$C$39,0),4),INDEX(Monthly_Pay_Model!$A$9:$D$40,MATCH(TEXT(A497,"dd"),Monthly_Pay_Model!$C$9:$C$39,0),4)),IF(VLOOKUP(A495,Calendar!$A$1:$R$1377,18,0)=4,SUM(INDEX(Monthly_Pay_Model!$A$9:$D$40,MATCH(TEXT(A495,"dd"),Monthly_Pay_Model!$C$9:$C$39,0),4),INDEX(Monthly_Pay_Model!$A$9:$D$40,MATCH(TEXT(A496,"dd"),Monthly_Pay_Model!$C$9:$C$39,0),4),INDEX(Monthly_Pay_Model!$A$9:$D$40,MATCH(TEXT(A497,"dd"),Monthly_Pay_Model!$C$9:$C$39,0),4),INDEX(Monthly_Pay_Model!$A$9:$D$40,MATCH(TEXT(A498,"dd"),Monthly_Pay_Model!$C$9:$C$39,0),4)),IF(VLOOKUP(A495,Calendar!$A$1:$R$1377,18,0)=5,SUM(INDEX(Monthly_Pay_Model!$A$9:$D$40,MATCH(TEXT(A495,"dd"),Monthly_Pay_Model!$C$9:$C$39,0),4),INDEX(Monthly_Pay_Model!$A$9:$D$40,MATCH(TEXT(A496,"dd"),Monthly_Pay_Model!$C$9:$C$39,0),4),INDEX(Monthly_Pay_Model!$A$9:$D$40,MATCH(TEXT(A497,"dd"),Monthly_Pay_Model!$C$9:$C$39,0),4),INDEX(Monthly_Pay_Model!$A$9:$D$40,MATCH(TEXT(A498,"dd"),Monthly_Pay_Model!$C$9:$C$39,0),4),INDEX(Monthly_Pay_Model!$A$9:$D$40,MATCH(TEXT(A499,"dd"),Monthly_Pay_Model!$C$9:$C$39,0),4)),))))))</f>
        <v>2.4376963350785331E-3</v>
      </c>
      <c r="J495" s="33">
        <f>IF(C495="Yes",Monthly_Pay_Model!$D$2,0)
+IF(Calendar!N495="Yes",Monthly_Pay_Model!$D$3,0)
+IF(D495="Yes",Monthly_Pay_Model!$D$4,0)
+IF(E495="Yes",Monthly_Pay_Model!$D$5,0)</f>
        <v>0</v>
      </c>
      <c r="K495" s="27">
        <f>IF(VLOOKUP($A495,Calendar!$A$1:$R$1377,18,0)=0,0,IF(VLOOKUP($A495,Calendar!$A$1:$R$1377,18,0)=1,IFERROR(INDEX(Weekly_Model!$D$2:$D$9,MATCH(F495,Weekly_Model!$A$2:$A$9,0)),0),IF(VLOOKUP($A495,Calendar!$A$1:$R$1377,18,0)=2,SUM(IFERROR(INDEX(Weekly_Model!$D$2:$D$9,MATCH(F495,Weekly_Model!$A$2:$A$9,0)),0),IFERROR(INDEX(Weekly_Model!$D$2:$D$9,MATCH(F496,Weekly_Model!$A$2:$A$9,0)),0)),IF(VLOOKUP($A495,Calendar!$A$1:$R$1377,18,0)=3,SUM(IFERROR(INDEX(Weekly_Model!$D$2:$D$9,MATCH(F495,Weekly_Model!$A$2:$A$9,0)),0),IFERROR(INDEX(Weekly_Model!$D$2:$D$9,MATCH(F496,Weekly_Model!$A$2:$A$9,0)),0),IFERROR(INDEX(Weekly_Model!$D$2:$D$9,MATCH(F497,Weekly_Model!$A$2:$A$9,0)),0)),IF(VLOOKUP($A495,Calendar!$A$1:$R$1377,18,0)=4,SUM(IFERROR(INDEX(Weekly_Model!$D$2:$D$9,MATCH(F495,Weekly_Model!$A$2:$A$9,0)),0),IFERROR(INDEX(Weekly_Model!$D$2:$D$9,MATCH(F496,Weekly_Model!$A$2:$A$9,0)),0),IFERROR(INDEX(Weekly_Model!$D$2:$D$9,MATCH(F497,Weekly_Model!$A$2:$A$9,0)),0),IFERROR(INDEX(Weekly_Model!$D$2:$D$9,MATCH(F498,Weekly_Model!$A$2:$A$9,0)),0)),IF(VLOOKUP($A495,Calendar!$A$1:$R$1377,18,0)=5,SUM(IFERROR(INDEX(Weekly_Model!$D$2:$D$9,MATCH(F495,Weekly_Model!$A$2:$A$9,0)),0),IFERROR(INDEX(Weekly_Model!$D$2:$D$9,MATCH(F496,Weekly_Model!$A$2:$A$9,0)),0),IFERROR(INDEX(Weekly_Model!$D$2:$D$9,MATCH(F497,Weekly_Model!$A$2:$A$9,0)),0),IFERROR(INDEX(Weekly_Model!$D$2:$D$9,MATCH(F498,Weekly_Model!$A$2:$A$9,0)),0),IFERROR(INDEX(Weekly_Model!$D$2:$D$9,MATCH(F499,Weekly_Model!$A$2:$A$9,0)),0)),0))))))</f>
        <v>2.3200000000000002E-2</v>
      </c>
      <c r="L495" s="27">
        <f>IF(VLOOKUP($A495,Calendar!$A$1:$R$1377,18,0)=0,0,IF(VLOOKUP($A495,Calendar!$A$1:$R$1377,18,0)=1,IFERROR(INDEX(Fortnightly_Model!$D$2:$D$15,MATCH(G495,Fortnightly_Model!$B$2:$B$15,0)),0),IF(VLOOKUP($A495,Calendar!$A$1:$R$1377,18,0)=2,SUM(IFERROR(INDEX(Fortnightly_Model!$D$2:$D$15,MATCH(G495,Fortnightly_Model!$B$2:$B$15,0)),0),IFERROR(INDEX(Fortnightly_Model!$D$2:$D$15,MATCH(G496,Fortnightly_Model!$B$2:$B$15,0)),0)),IF(VLOOKUP($A495,Calendar!$A$1:$R$1377,18,0)=3,SUM(IFERROR(INDEX(Fortnightly_Model!$D$2:$D$15,MATCH(G495,Fortnightly_Model!$B$2:$B$15,0)),0),IFERROR(INDEX(Fortnightly_Model!$D$2:$D$15,MATCH(G496,Fortnightly_Model!$B$2:$B$15,0)),0),IFERROR(INDEX(Fortnightly_Model!$D$2:$D$15,MATCH(G497,Fortnightly_Model!$B$2:$B$15,0)),0)),IF(VLOOKUP($A495,Calendar!$A$1:$R$1377,18,0)=4,SUM(IFERROR(INDEX(Fortnightly_Model!$D$2:$D$15,MATCH(G495,Fortnightly_Model!$B$2:$B$15,0)),0),IFERROR(INDEX(Fortnightly_Model!$D$2:$D$15,MATCH(G496,Fortnightly_Model!$B$2:$B$15,0)),0),IFERROR(INDEX(Fortnightly_Model!$D$2:$D$15,MATCH(G497,Fortnightly_Model!$B$2:$B$15,0)),0),IFERROR(INDEX(Fortnightly_Model!$D$2:$D$15,MATCH(G498,Fortnightly_Model!$B$2:$B$15,0)),0)),IF(VLOOKUP($A495,Calendar!$A$1:$R$1377,18,0)=5,SUM(IFERROR(INDEX(Fortnightly_Model!$D$2:$D$15,MATCH(G495,Fortnightly_Model!$B$2:$B$15,0)),0),IFERROR(INDEX(Fortnightly_Model!$D$2:$D$15,MATCH(G496,Fortnightly_Model!$B$2:$B$15,0)),0),IFERROR(INDEX(Fortnightly_Model!$D$2:$D$15,MATCH(G497,Fortnightly_Model!$B$2:$B$15,0)),0),IFERROR(INDEX(Fortnightly_Model!$D$2:$D$15,MATCH(G498,Fortnightly_Model!$B$2:$B$15,0)),0),IFERROR(INDEX(Fortnightly_Model!$D$2:$D$15,MATCH(G499,Fortnightly_Model!$B$2:$B$15,0)),0)),0))))))</f>
        <v>1.0714285499999999E-3</v>
      </c>
      <c r="M495" s="27">
        <f>IF(VLOOKUP($A495,Calendar!$A$1:$R$1377,18,0)=0,0,IF(VLOOKUP($A495,Calendar!$A$1:$R$1377,18,0)=1,IFERROR(INDEX(FourWeekly_Model!$D$2:$D$29,MATCH(H495,FourWeekly_Model!$B$2:$B$29,0)),0),IF(VLOOKUP($A495,Calendar!$A$1:$R$1377,18,0)=2,SUM(IFERROR(INDEX(FourWeekly_Model!$D$2:$D$29,MATCH(H495,FourWeekly_Model!$B$2:$B$29,0)),0),IFERROR(INDEX(FourWeekly_Model!$D$2:$D$29,MATCH(H496,FourWeekly_Model!$B$2:$B$29,0)),0)),IF(VLOOKUP($A495,Calendar!$A$1:$R$1377,18,0)=3,SUM(IFERROR(INDEX(FourWeekly_Model!$D$2:$D$29,MATCH(H495,FourWeekly_Model!$B$2:$B$29,0)),0),IFERROR(INDEX(FourWeekly_Model!$D$2:$D$29,MATCH(H496,FourWeekly_Model!$B$2:$B$29,0)),0),IFERROR(INDEX(FourWeekly_Model!$D$2:$D$29,MATCH(H497,FourWeekly_Model!$B$2:$B$29,0)),0)),IF(VLOOKUP($A495,Calendar!$A$1:$R$1377,18,0)=4,SUM(IFERROR(INDEX(FourWeekly_Model!$D$2:$D$29,MATCH(H495,FourWeekly_Model!$B$2:$B$29,0)),0),IFERROR(INDEX(FourWeekly_Model!$D$2:$D$29,MATCH(H496,FourWeekly_Model!$B$2:$B$29,0)),0),IFERROR(INDEX(FourWeekly_Model!$D$2:$D$29,MATCH(H497,FourWeekly_Model!$B$2:$B$29,0)),0),IFERROR(INDEX(FourWeekly_Model!$D$2:$D$29,MATCH(H498,FourWeekly_Model!$B$2:$B$29,0)),0)),IF(VLOOKUP($A495,Calendar!$A$1:$R$1377,18,0)=5,SUM(IFERROR(INDEX(FourWeekly_Model!$D$2:$D$29,MATCH(H495,FourWeekly_Model!$B$2:$B$29,0)),0),IFERROR(INDEX(FourWeekly_Model!$D$2:$D$29,MATCH(H496,FourWeekly_Model!$B$2:$B$29,0)),0),IFERROR(INDEX(FourWeekly_Model!$D$2:$D$29,MATCH(H497,FourWeekly_Model!$B$2:$B$29,0)),0),IFERROR(INDEX(FourWeekly_Model!$D$2:$D$29,MATCH(H498,FourWeekly_Model!$B$2:$B$29,0)),0),IFERROR(INDEX(FourWeekly_Model!$D$2:$D$29,MATCH(H499,FourWeekly_Model!$B$2:$B$29,0)),0)),0))))))</f>
        <v>3.3214289700000004E-3</v>
      </c>
      <c r="N495" s="27">
        <f>SUM(I495:M495)</f>
        <v>3.0030553855078537E-2</v>
      </c>
      <c r="O495" s="28">
        <f>Population_Data!$B$8*N495</f>
        <v>909925.78180887969</v>
      </c>
      <c r="P495" s="27">
        <f>IF(VLOOKUP($A495,Calendar!$A$1:$R$1377,18,0)=0,0,IF(VLOOKUP($A495,Calendar!$A$1:$R$1377,18,0)=1,IFERROR(INDEX(Pension_Model!$D$2:$D$29,MATCH(H495,Pension_Model!$B$2:$B$29,0)),0),IF(VLOOKUP($A495,Calendar!$A$1:$R$1377,18,0)=2,SUM(IFERROR(INDEX(Pension_Model!$D$2:$D$29,MATCH(H495,Pension_Model!$B$2:$B$29,0)),0),IFERROR(INDEX(Pension_Model!$D$2:$D$29,MATCH(H496,Pension_Model!$B$2:$B$29,0)),0)),IF(VLOOKUP($A495,Calendar!$A$1:$R$1377,18,0)=3,SUM(IFERROR(INDEX(Pension_Model!$D$2:$D$29,MATCH(H495,Pension_Model!$B$2:$B$29,0)),0),IFERROR(INDEX(Pension_Model!$D$2:$D$29,MATCH(H496,Pension_Model!$B$2:$B$29,0)),0),IFERROR(INDEX(Pension_Model!$D$2:$D$29,MATCH(H497,Pension_Model!$B$2:$B$29,0)),0)),IF(VLOOKUP($A495,Calendar!$A$1:$R$1377,18,0)=4,SUM(IFERROR(INDEX(Pension_Model!$D$2:$D$29,MATCH(H495,Pension_Model!$B$2:$B$29,0)),0),IFERROR(INDEX(Pension_Model!$D$2:$D$29,MATCH(H496,Pension_Model!$B$2:$B$29,0)),0),IFERROR(INDEX(Pension_Model!$D$2:$D$29,MATCH(H497,Pension_Model!$B$2:$B$29,0)),0),IFERROR(INDEX(Pension_Model!$D$2:$D$29,MATCH(H498,Pension_Model!$B$2:$B$29,0)),0)),IF(VLOOKUP($A495,Calendar!$A$1:$R$1377,18,0)=5,SUM(IFERROR(INDEX(Pension_Model!$D$2:$D$29,MATCH(H495,Pension_Model!$B$2:$B$29,0)),0),IFERROR(INDEX(Pension_Model!$D$2:$D$29,MATCH(H496,Pension_Model!$B$2:$B$29,0)),0),IFERROR(INDEX(Pension_Model!$D$2:$D$29,MATCH(H497,Pension_Model!$B$2:$B$29,0)),0),IFERROR(INDEX(Pension_Model!$D$2:$D$29,MATCH(H498,Pension_Model!$B$2:$B$29,0)),0),IFERROR(INDEX(Pension_Model!$D$2:$D$29,MATCH(H499,Pension_Model!$B$2:$B$29,0)),0)),0))))))</f>
        <v>0.05</v>
      </c>
      <c r="Q495" s="28">
        <f>Population_Data!$B$15*P495</f>
        <v>660600</v>
      </c>
      <c r="S495">
        <f t="shared" si="7"/>
        <v>1570525.7818088797</v>
      </c>
      <c r="U495" s="33">
        <f>S495/Population_Data!$B$19</f>
        <v>2.8451554018276808E-2</v>
      </c>
    </row>
    <row r="496" spans="1:21">
      <c r="A496" s="25">
        <f>Calendar!A496</f>
        <v>46729</v>
      </c>
      <c r="B496" t="str">
        <f>Calendar!L496</f>
        <v>Yes</v>
      </c>
      <c r="C496" t="str">
        <f>Calendar!O496</f>
        <v>No</v>
      </c>
      <c r="D496" t="str">
        <f>Calendar!P496</f>
        <v>No</v>
      </c>
      <c r="E496" t="str">
        <f>Calendar!Q496</f>
        <v>No</v>
      </c>
      <c r="F496" t="str">
        <f>Calendar!I496</f>
        <v>Wednesday</v>
      </c>
      <c r="G496">
        <f>Calendar!S496</f>
        <v>11</v>
      </c>
      <c r="H496">
        <f>Calendar!T496</f>
        <v>25</v>
      </c>
      <c r="I496" s="27">
        <f>IF(VLOOKUP(A496,Calendar!$A$1:$R$1377,18,0)=0,0,IF(VLOOKUP(A496,Calendar!$A$1:$R$1377,18,0)=1,INDEX(Monthly_Pay_Model!$A$9:$D$40,MATCH(TEXT(A496,"dd"),Monthly_Pay_Model!$C$9:$C$39,0),4),IF(VLOOKUP(A496,Calendar!$A$1:$R$1377,18,0)=2,SUM(INDEX(Monthly_Pay_Model!$A$9:$D$40,MATCH(TEXT(A496,"dd"),Monthly_Pay_Model!$C$9:$C$39,0),4),INDEX(Monthly_Pay_Model!$A$9:$D$40,MATCH(TEXT(A497,"dd"),Monthly_Pay_Model!$C$9:$C$39,0),4)),IF(VLOOKUP(A496,Calendar!$A$1:$R$1377,18,0)=3,SUM(INDEX(Monthly_Pay_Model!$A$9:$D$40,MATCH(TEXT(A496,"dd"),Monthly_Pay_Model!$C$9:$C$39,0),4),INDEX(Monthly_Pay_Model!$A$9:$D$40,MATCH(TEXT(A497,"dd"),Monthly_Pay_Model!$C$9:$C$39,0),4),INDEX(Monthly_Pay_Model!$A$9:$D$40,MATCH(TEXT(A498,"dd"),Monthly_Pay_Model!$C$9:$C$39,0),4)),IF(VLOOKUP(A496,Calendar!$A$1:$R$1377,18,0)=4,SUM(INDEX(Monthly_Pay_Model!$A$9:$D$40,MATCH(TEXT(A496,"dd"),Monthly_Pay_Model!$C$9:$C$39,0),4),INDEX(Monthly_Pay_Model!$A$9:$D$40,MATCH(TEXT(A497,"dd"),Monthly_Pay_Model!$C$9:$C$39,0),4),INDEX(Monthly_Pay_Model!$A$9:$D$40,MATCH(TEXT(A498,"dd"),Monthly_Pay_Model!$C$9:$C$39,0),4),INDEX(Monthly_Pay_Model!$A$9:$D$40,MATCH(TEXT(A499,"dd"),Monthly_Pay_Model!$C$9:$C$39,0),4)),IF(VLOOKUP(A496,Calendar!$A$1:$R$1377,18,0)=5,SUM(INDEX(Monthly_Pay_Model!$A$9:$D$40,MATCH(TEXT(A496,"dd"),Monthly_Pay_Model!$C$9:$C$39,0),4),INDEX(Monthly_Pay_Model!$A$9:$D$40,MATCH(TEXT(A497,"dd"),Monthly_Pay_Model!$C$9:$C$39,0),4),INDEX(Monthly_Pay_Model!$A$9:$D$40,MATCH(TEXT(A498,"dd"),Monthly_Pay_Model!$C$9:$C$39,0),4),INDEX(Monthly_Pay_Model!$A$9:$D$40,MATCH(TEXT(A499,"dd"),Monthly_Pay_Model!$C$9:$C$39,0),4),INDEX(Monthly_Pay_Model!$A$9:$D$40,MATCH(TEXT(A500,"dd"),Monthly_Pay_Model!$C$9:$C$39,0),4)),))))))</f>
        <v>1.6251308900523558E-3</v>
      </c>
      <c r="J496" s="33">
        <f>IF(C496="Yes",Monthly_Pay_Model!$D$2,0)
+IF(Calendar!N496="Yes",Monthly_Pay_Model!$D$3,0)
+IF(D496="Yes",Monthly_Pay_Model!$D$4,0)
+IF(E496="Yes",Monthly_Pay_Model!$D$5,0)</f>
        <v>0</v>
      </c>
      <c r="K496" s="27">
        <f>IF(VLOOKUP($A496,Calendar!$A$1:$R$1377,18,0)=0,0,IF(VLOOKUP($A496,Calendar!$A$1:$R$1377,18,0)=1,IFERROR(INDEX(Weekly_Model!$D$2:$D$9,MATCH(F496,Weekly_Model!$A$2:$A$9,0)),0),IF(VLOOKUP($A496,Calendar!$A$1:$R$1377,18,0)=2,SUM(IFERROR(INDEX(Weekly_Model!$D$2:$D$9,MATCH(F496,Weekly_Model!$A$2:$A$9,0)),0),IFERROR(INDEX(Weekly_Model!$D$2:$D$9,MATCH(F497,Weekly_Model!$A$2:$A$9,0)),0)),IF(VLOOKUP($A496,Calendar!$A$1:$R$1377,18,0)=3,SUM(IFERROR(INDEX(Weekly_Model!$D$2:$D$9,MATCH(F496,Weekly_Model!$A$2:$A$9,0)),0),IFERROR(INDEX(Weekly_Model!$D$2:$D$9,MATCH(F497,Weekly_Model!$A$2:$A$9,0)),0),IFERROR(INDEX(Weekly_Model!$D$2:$D$9,MATCH(F498,Weekly_Model!$A$2:$A$9,0)),0)),IF(VLOOKUP($A496,Calendar!$A$1:$R$1377,18,0)=4,SUM(IFERROR(INDEX(Weekly_Model!$D$2:$D$9,MATCH(F496,Weekly_Model!$A$2:$A$9,0)),0),IFERROR(INDEX(Weekly_Model!$D$2:$D$9,MATCH(F497,Weekly_Model!$A$2:$A$9,0)),0),IFERROR(INDEX(Weekly_Model!$D$2:$D$9,MATCH(F498,Weekly_Model!$A$2:$A$9,0)),0),IFERROR(INDEX(Weekly_Model!$D$2:$D$9,MATCH(F499,Weekly_Model!$A$2:$A$9,0)),0)),IF(VLOOKUP($A496,Calendar!$A$1:$R$1377,18,0)=5,SUM(IFERROR(INDEX(Weekly_Model!$D$2:$D$9,MATCH(F496,Weekly_Model!$A$2:$A$9,0)),0),IFERROR(INDEX(Weekly_Model!$D$2:$D$9,MATCH(F497,Weekly_Model!$A$2:$A$9,0)),0),IFERROR(INDEX(Weekly_Model!$D$2:$D$9,MATCH(F498,Weekly_Model!$A$2:$A$9,0)),0),IFERROR(INDEX(Weekly_Model!$D$2:$D$9,MATCH(F499,Weekly_Model!$A$2:$A$9,0)),0),IFERROR(INDEX(Weekly_Model!$D$2:$D$9,MATCH(F500,Weekly_Model!$A$2:$A$9,0)),0)),0))))))</f>
        <v>2.3200000000000002E-2</v>
      </c>
      <c r="L496" s="27">
        <f>IF(VLOOKUP($A496,Calendar!$A$1:$R$1377,18,0)=0,0,IF(VLOOKUP($A496,Calendar!$A$1:$R$1377,18,0)=1,IFERROR(INDEX(Fortnightly_Model!$D$2:$D$15,MATCH(G496,Fortnightly_Model!$B$2:$B$15,0)),0),IF(VLOOKUP($A496,Calendar!$A$1:$R$1377,18,0)=2,SUM(IFERROR(INDEX(Fortnightly_Model!$D$2:$D$15,MATCH(G496,Fortnightly_Model!$B$2:$B$15,0)),0),IFERROR(INDEX(Fortnightly_Model!$D$2:$D$15,MATCH(G497,Fortnightly_Model!$B$2:$B$15,0)),0)),IF(VLOOKUP($A496,Calendar!$A$1:$R$1377,18,0)=3,SUM(IFERROR(INDEX(Fortnightly_Model!$D$2:$D$15,MATCH(G496,Fortnightly_Model!$B$2:$B$15,0)),0),IFERROR(INDEX(Fortnightly_Model!$D$2:$D$15,MATCH(G497,Fortnightly_Model!$B$2:$B$15,0)),0),IFERROR(INDEX(Fortnightly_Model!$D$2:$D$15,MATCH(G498,Fortnightly_Model!$B$2:$B$15,0)),0)),IF(VLOOKUP($A496,Calendar!$A$1:$R$1377,18,0)=4,SUM(IFERROR(INDEX(Fortnightly_Model!$D$2:$D$15,MATCH(G496,Fortnightly_Model!$B$2:$B$15,0)),0),IFERROR(INDEX(Fortnightly_Model!$D$2:$D$15,MATCH(G497,Fortnightly_Model!$B$2:$B$15,0)),0),IFERROR(INDEX(Fortnightly_Model!$D$2:$D$15,MATCH(G498,Fortnightly_Model!$B$2:$B$15,0)),0),IFERROR(INDEX(Fortnightly_Model!$D$2:$D$15,MATCH(G499,Fortnightly_Model!$B$2:$B$15,0)),0)),IF(VLOOKUP($A496,Calendar!$A$1:$R$1377,18,0)=5,SUM(IFERROR(INDEX(Fortnightly_Model!$D$2:$D$15,MATCH(G496,Fortnightly_Model!$B$2:$B$15,0)),0),IFERROR(INDEX(Fortnightly_Model!$D$2:$D$15,MATCH(G497,Fortnightly_Model!$B$2:$B$15,0)),0),IFERROR(INDEX(Fortnightly_Model!$D$2:$D$15,MATCH(G498,Fortnightly_Model!$B$2:$B$15,0)),0),IFERROR(INDEX(Fortnightly_Model!$D$2:$D$15,MATCH(G499,Fortnightly_Model!$B$2:$B$15,0)),0),IFERROR(INDEX(Fortnightly_Model!$D$2:$D$15,MATCH(G500,Fortnightly_Model!$B$2:$B$15,0)),0)),0))))))</f>
        <v>1.0714285499999999E-3</v>
      </c>
      <c r="M496" s="27">
        <f>IF(VLOOKUP($A496,Calendar!$A$1:$R$1377,18,0)=0,0,IF(VLOOKUP($A496,Calendar!$A$1:$R$1377,18,0)=1,IFERROR(INDEX(FourWeekly_Model!$D$2:$D$29,MATCH(H496,FourWeekly_Model!$B$2:$B$29,0)),0),IF(VLOOKUP($A496,Calendar!$A$1:$R$1377,18,0)=2,SUM(IFERROR(INDEX(FourWeekly_Model!$D$2:$D$29,MATCH(H496,FourWeekly_Model!$B$2:$B$29,0)),0),IFERROR(INDEX(FourWeekly_Model!$D$2:$D$29,MATCH(H497,FourWeekly_Model!$B$2:$B$29,0)),0)),IF(VLOOKUP($A496,Calendar!$A$1:$R$1377,18,0)=3,SUM(IFERROR(INDEX(FourWeekly_Model!$D$2:$D$29,MATCH(H496,FourWeekly_Model!$B$2:$B$29,0)),0),IFERROR(INDEX(FourWeekly_Model!$D$2:$D$29,MATCH(H497,FourWeekly_Model!$B$2:$B$29,0)),0),IFERROR(INDEX(FourWeekly_Model!$D$2:$D$29,MATCH(H498,FourWeekly_Model!$B$2:$B$29,0)),0)),IF(VLOOKUP($A496,Calendar!$A$1:$R$1377,18,0)=4,SUM(IFERROR(INDEX(FourWeekly_Model!$D$2:$D$29,MATCH(H496,FourWeekly_Model!$B$2:$B$29,0)),0),IFERROR(INDEX(FourWeekly_Model!$D$2:$D$29,MATCH(H497,FourWeekly_Model!$B$2:$B$29,0)),0),IFERROR(INDEX(FourWeekly_Model!$D$2:$D$29,MATCH(H498,FourWeekly_Model!$B$2:$B$29,0)),0),IFERROR(INDEX(FourWeekly_Model!$D$2:$D$29,MATCH(H499,FourWeekly_Model!$B$2:$B$29,0)),0)),IF(VLOOKUP($A496,Calendar!$A$1:$R$1377,18,0)=5,SUM(IFERROR(INDEX(FourWeekly_Model!$D$2:$D$29,MATCH(H496,FourWeekly_Model!$B$2:$B$29,0)),0),IFERROR(INDEX(FourWeekly_Model!$D$2:$D$29,MATCH(H497,FourWeekly_Model!$B$2:$B$29,0)),0),IFERROR(INDEX(FourWeekly_Model!$D$2:$D$29,MATCH(H498,FourWeekly_Model!$B$2:$B$29,0)),0),IFERROR(INDEX(FourWeekly_Model!$D$2:$D$29,MATCH(H499,FourWeekly_Model!$B$2:$B$29,0)),0),IFERROR(INDEX(FourWeekly_Model!$D$2:$D$29,MATCH(H500,FourWeekly_Model!$B$2:$B$29,0)),0)),0))))))</f>
        <v>3.3214289700000004E-3</v>
      </c>
      <c r="N496" s="27">
        <f>SUM(I496:M496)</f>
        <v>2.921798841005236E-2</v>
      </c>
      <c r="O496" s="28">
        <f>Population_Data!$B$8*N496</f>
        <v>885305.04882458656</v>
      </c>
      <c r="P496" s="27">
        <f>IF(VLOOKUP($A496,Calendar!$A$1:$R$1377,18,0)=0,0,IF(VLOOKUP($A496,Calendar!$A$1:$R$1377,18,0)=1,IFERROR(INDEX(Pension_Model!$D$2:$D$29,MATCH(H496,Pension_Model!$B$2:$B$29,0)),0),IF(VLOOKUP($A496,Calendar!$A$1:$R$1377,18,0)=2,SUM(IFERROR(INDEX(Pension_Model!$D$2:$D$29,MATCH(H496,Pension_Model!$B$2:$B$29,0)),0),IFERROR(INDEX(Pension_Model!$D$2:$D$29,MATCH(H497,Pension_Model!$B$2:$B$29,0)),0)),IF(VLOOKUP($A496,Calendar!$A$1:$R$1377,18,0)=3,SUM(IFERROR(INDEX(Pension_Model!$D$2:$D$29,MATCH(H496,Pension_Model!$B$2:$B$29,0)),0),IFERROR(INDEX(Pension_Model!$D$2:$D$29,MATCH(H497,Pension_Model!$B$2:$B$29,0)),0),IFERROR(INDEX(Pension_Model!$D$2:$D$29,MATCH(H498,Pension_Model!$B$2:$B$29,0)),0)),IF(VLOOKUP($A496,Calendar!$A$1:$R$1377,18,0)=4,SUM(IFERROR(INDEX(Pension_Model!$D$2:$D$29,MATCH(H496,Pension_Model!$B$2:$B$29,0)),0),IFERROR(INDEX(Pension_Model!$D$2:$D$29,MATCH(H497,Pension_Model!$B$2:$B$29,0)),0),IFERROR(INDEX(Pension_Model!$D$2:$D$29,MATCH(H498,Pension_Model!$B$2:$B$29,0)),0),IFERROR(INDEX(Pension_Model!$D$2:$D$29,MATCH(H499,Pension_Model!$B$2:$B$29,0)),0)),IF(VLOOKUP($A496,Calendar!$A$1:$R$1377,18,0)=5,SUM(IFERROR(INDEX(Pension_Model!$D$2:$D$29,MATCH(H496,Pension_Model!$B$2:$B$29,0)),0),IFERROR(INDEX(Pension_Model!$D$2:$D$29,MATCH(H497,Pension_Model!$B$2:$B$29,0)),0),IFERROR(INDEX(Pension_Model!$D$2:$D$29,MATCH(H498,Pension_Model!$B$2:$B$29,0)),0),IFERROR(INDEX(Pension_Model!$D$2:$D$29,MATCH(H499,Pension_Model!$B$2:$B$29,0)),0),IFERROR(INDEX(Pension_Model!$D$2:$D$29,MATCH(H500,Pension_Model!$B$2:$B$29,0)),0)),0))))))</f>
        <v>0.05</v>
      </c>
      <c r="Q496" s="28">
        <f>Population_Data!$B$15*P496</f>
        <v>660600</v>
      </c>
      <c r="S496">
        <f t="shared" si="7"/>
        <v>1545905.0488245864</v>
      </c>
      <c r="U496" s="33">
        <f>S496/Population_Data!$B$19</f>
        <v>2.8005526246822218E-2</v>
      </c>
    </row>
    <row r="497" spans="1:21">
      <c r="A497" s="25">
        <f>Calendar!A497</f>
        <v>46730</v>
      </c>
      <c r="B497" t="str">
        <f>Calendar!L497</f>
        <v>Yes</v>
      </c>
      <c r="C497" t="str">
        <f>Calendar!O497</f>
        <v>No</v>
      </c>
      <c r="D497" t="str">
        <f>Calendar!P497</f>
        <v>No</v>
      </c>
      <c r="E497" t="str">
        <f>Calendar!Q497</f>
        <v>No</v>
      </c>
      <c r="F497" t="str">
        <f>Calendar!I497</f>
        <v>Thursday</v>
      </c>
      <c r="G497">
        <f>Calendar!S497</f>
        <v>12</v>
      </c>
      <c r="H497">
        <f>Calendar!T497</f>
        <v>26</v>
      </c>
      <c r="I497" s="27">
        <f>IF(VLOOKUP(A497,Calendar!$A$1:$R$1377,18,0)=0,0,IF(VLOOKUP(A497,Calendar!$A$1:$R$1377,18,0)=1,INDEX(Monthly_Pay_Model!$A$9:$D$40,MATCH(TEXT(A497,"dd"),Monthly_Pay_Model!$C$9:$C$39,0),4),IF(VLOOKUP(A497,Calendar!$A$1:$R$1377,18,0)=2,SUM(INDEX(Monthly_Pay_Model!$A$9:$D$40,MATCH(TEXT(A497,"dd"),Monthly_Pay_Model!$C$9:$C$39,0),4),INDEX(Monthly_Pay_Model!$A$9:$D$40,MATCH(TEXT(A498,"dd"),Monthly_Pay_Model!$C$9:$C$39,0),4)),IF(VLOOKUP(A497,Calendar!$A$1:$R$1377,18,0)=3,SUM(INDEX(Monthly_Pay_Model!$A$9:$D$40,MATCH(TEXT(A497,"dd"),Monthly_Pay_Model!$C$9:$C$39,0),4),INDEX(Monthly_Pay_Model!$A$9:$D$40,MATCH(TEXT(A498,"dd"),Monthly_Pay_Model!$C$9:$C$39,0),4),INDEX(Monthly_Pay_Model!$A$9:$D$40,MATCH(TEXT(A499,"dd"),Monthly_Pay_Model!$C$9:$C$39,0),4)),IF(VLOOKUP(A497,Calendar!$A$1:$R$1377,18,0)=4,SUM(INDEX(Monthly_Pay_Model!$A$9:$D$40,MATCH(TEXT(A497,"dd"),Monthly_Pay_Model!$C$9:$C$39,0),4),INDEX(Monthly_Pay_Model!$A$9:$D$40,MATCH(TEXT(A498,"dd"),Monthly_Pay_Model!$C$9:$C$39,0),4),INDEX(Monthly_Pay_Model!$A$9:$D$40,MATCH(TEXT(A499,"dd"),Monthly_Pay_Model!$C$9:$C$39,0),4),INDEX(Monthly_Pay_Model!$A$9:$D$40,MATCH(TEXT(A500,"dd"),Monthly_Pay_Model!$C$9:$C$39,0),4)),IF(VLOOKUP(A497,Calendar!$A$1:$R$1377,18,0)=5,SUM(INDEX(Monthly_Pay_Model!$A$9:$D$40,MATCH(TEXT(A497,"dd"),Monthly_Pay_Model!$C$9:$C$39,0),4),INDEX(Monthly_Pay_Model!$A$9:$D$40,MATCH(TEXT(A498,"dd"),Monthly_Pay_Model!$C$9:$C$39,0),4),INDEX(Monthly_Pay_Model!$A$9:$D$40,MATCH(TEXT(A499,"dd"),Monthly_Pay_Model!$C$9:$C$39,0),4),INDEX(Monthly_Pay_Model!$A$9:$D$40,MATCH(TEXT(A500,"dd"),Monthly_Pay_Model!$C$9:$C$39,0),4),INDEX(Monthly_Pay_Model!$A$9:$D$40,MATCH(TEXT(A501,"dd"),Monthly_Pay_Model!$C$9:$C$39,0),4)),))))))</f>
        <v>8.1256544502617792E-4</v>
      </c>
      <c r="J497" s="33">
        <f>IF(C497="Yes",Monthly_Pay_Model!$D$2,0)
+IF(Calendar!N497="Yes",Monthly_Pay_Model!$D$3,0)
+IF(D497="Yes",Monthly_Pay_Model!$D$4,0)
+IF(E497="Yes",Monthly_Pay_Model!$D$5,0)</f>
        <v>0</v>
      </c>
      <c r="K497" s="27">
        <f>IF(VLOOKUP($A497,Calendar!$A$1:$R$1377,18,0)=0,0,IF(VLOOKUP($A497,Calendar!$A$1:$R$1377,18,0)=1,IFERROR(INDEX(Weekly_Model!$D$2:$D$9,MATCH(F497,Weekly_Model!$A$2:$A$9,0)),0),IF(VLOOKUP($A497,Calendar!$A$1:$R$1377,18,0)=2,SUM(IFERROR(INDEX(Weekly_Model!$D$2:$D$9,MATCH(F497,Weekly_Model!$A$2:$A$9,0)),0),IFERROR(INDEX(Weekly_Model!$D$2:$D$9,MATCH(F498,Weekly_Model!$A$2:$A$9,0)),0)),IF(VLOOKUP($A497,Calendar!$A$1:$R$1377,18,0)=3,SUM(IFERROR(INDEX(Weekly_Model!$D$2:$D$9,MATCH(F497,Weekly_Model!$A$2:$A$9,0)),0),IFERROR(INDEX(Weekly_Model!$D$2:$D$9,MATCH(F498,Weekly_Model!$A$2:$A$9,0)),0),IFERROR(INDEX(Weekly_Model!$D$2:$D$9,MATCH(F499,Weekly_Model!$A$2:$A$9,0)),0)),IF(VLOOKUP($A497,Calendar!$A$1:$R$1377,18,0)=4,SUM(IFERROR(INDEX(Weekly_Model!$D$2:$D$9,MATCH(F497,Weekly_Model!$A$2:$A$9,0)),0),IFERROR(INDEX(Weekly_Model!$D$2:$D$9,MATCH(F498,Weekly_Model!$A$2:$A$9,0)),0),IFERROR(INDEX(Weekly_Model!$D$2:$D$9,MATCH(F499,Weekly_Model!$A$2:$A$9,0)),0),IFERROR(INDEX(Weekly_Model!$D$2:$D$9,MATCH(F500,Weekly_Model!$A$2:$A$9,0)),0)),IF(VLOOKUP($A497,Calendar!$A$1:$R$1377,18,0)=5,SUM(IFERROR(INDEX(Weekly_Model!$D$2:$D$9,MATCH(F497,Weekly_Model!$A$2:$A$9,0)),0),IFERROR(INDEX(Weekly_Model!$D$2:$D$9,MATCH(F498,Weekly_Model!$A$2:$A$9,0)),0),IFERROR(INDEX(Weekly_Model!$D$2:$D$9,MATCH(F499,Weekly_Model!$A$2:$A$9,0)),0),IFERROR(INDEX(Weekly_Model!$D$2:$D$9,MATCH(F500,Weekly_Model!$A$2:$A$9,0)),0),IFERROR(INDEX(Weekly_Model!$D$2:$D$9,MATCH(F501,Weekly_Model!$A$2:$A$9,0)),0)),0))))))</f>
        <v>2.3200000000000002E-2</v>
      </c>
      <c r="L497" s="27">
        <f>IF(VLOOKUP($A497,Calendar!$A$1:$R$1377,18,0)=0,0,IF(VLOOKUP($A497,Calendar!$A$1:$R$1377,18,0)=1,IFERROR(INDEX(Fortnightly_Model!$D$2:$D$15,MATCH(G497,Fortnightly_Model!$B$2:$B$15,0)),0),IF(VLOOKUP($A497,Calendar!$A$1:$R$1377,18,0)=2,SUM(IFERROR(INDEX(Fortnightly_Model!$D$2:$D$15,MATCH(G497,Fortnightly_Model!$B$2:$B$15,0)),0),IFERROR(INDEX(Fortnightly_Model!$D$2:$D$15,MATCH(G498,Fortnightly_Model!$B$2:$B$15,0)),0)),IF(VLOOKUP($A497,Calendar!$A$1:$R$1377,18,0)=3,SUM(IFERROR(INDEX(Fortnightly_Model!$D$2:$D$15,MATCH(G497,Fortnightly_Model!$B$2:$B$15,0)),0),IFERROR(INDEX(Fortnightly_Model!$D$2:$D$15,MATCH(G498,Fortnightly_Model!$B$2:$B$15,0)),0),IFERROR(INDEX(Fortnightly_Model!$D$2:$D$15,MATCH(G499,Fortnightly_Model!$B$2:$B$15,0)),0)),IF(VLOOKUP($A497,Calendar!$A$1:$R$1377,18,0)=4,SUM(IFERROR(INDEX(Fortnightly_Model!$D$2:$D$15,MATCH(G497,Fortnightly_Model!$B$2:$B$15,0)),0),IFERROR(INDEX(Fortnightly_Model!$D$2:$D$15,MATCH(G498,Fortnightly_Model!$B$2:$B$15,0)),0),IFERROR(INDEX(Fortnightly_Model!$D$2:$D$15,MATCH(G499,Fortnightly_Model!$B$2:$B$15,0)),0),IFERROR(INDEX(Fortnightly_Model!$D$2:$D$15,MATCH(G500,Fortnightly_Model!$B$2:$B$15,0)),0)),IF(VLOOKUP($A497,Calendar!$A$1:$R$1377,18,0)=5,SUM(IFERROR(INDEX(Fortnightly_Model!$D$2:$D$15,MATCH(G497,Fortnightly_Model!$B$2:$B$15,0)),0),IFERROR(INDEX(Fortnightly_Model!$D$2:$D$15,MATCH(G498,Fortnightly_Model!$B$2:$B$15,0)),0),IFERROR(INDEX(Fortnightly_Model!$D$2:$D$15,MATCH(G499,Fortnightly_Model!$B$2:$B$15,0)),0),IFERROR(INDEX(Fortnightly_Model!$D$2:$D$15,MATCH(G500,Fortnightly_Model!$B$2:$B$15,0)),0),IFERROR(INDEX(Fortnightly_Model!$D$2:$D$15,MATCH(G501,Fortnightly_Model!$B$2:$B$15,0)),0)),0))))))</f>
        <v>1.0714285499999999E-3</v>
      </c>
      <c r="M497" s="27">
        <f>IF(VLOOKUP($A497,Calendar!$A$1:$R$1377,18,0)=0,0,IF(VLOOKUP($A497,Calendar!$A$1:$R$1377,18,0)=1,IFERROR(INDEX(FourWeekly_Model!$D$2:$D$29,MATCH(H497,FourWeekly_Model!$B$2:$B$29,0)),0),IF(VLOOKUP($A497,Calendar!$A$1:$R$1377,18,0)=2,SUM(IFERROR(INDEX(FourWeekly_Model!$D$2:$D$29,MATCH(H497,FourWeekly_Model!$B$2:$B$29,0)),0),IFERROR(INDEX(FourWeekly_Model!$D$2:$D$29,MATCH(H498,FourWeekly_Model!$B$2:$B$29,0)),0)),IF(VLOOKUP($A497,Calendar!$A$1:$R$1377,18,0)=3,SUM(IFERROR(INDEX(FourWeekly_Model!$D$2:$D$29,MATCH(H497,FourWeekly_Model!$B$2:$B$29,0)),0),IFERROR(INDEX(FourWeekly_Model!$D$2:$D$29,MATCH(H498,FourWeekly_Model!$B$2:$B$29,0)),0),IFERROR(INDEX(FourWeekly_Model!$D$2:$D$29,MATCH(H499,FourWeekly_Model!$B$2:$B$29,0)),0)),IF(VLOOKUP($A497,Calendar!$A$1:$R$1377,18,0)=4,SUM(IFERROR(INDEX(FourWeekly_Model!$D$2:$D$29,MATCH(H497,FourWeekly_Model!$B$2:$B$29,0)),0),IFERROR(INDEX(FourWeekly_Model!$D$2:$D$29,MATCH(H498,FourWeekly_Model!$B$2:$B$29,0)),0),IFERROR(INDEX(FourWeekly_Model!$D$2:$D$29,MATCH(H499,FourWeekly_Model!$B$2:$B$29,0)),0),IFERROR(INDEX(FourWeekly_Model!$D$2:$D$29,MATCH(H500,FourWeekly_Model!$B$2:$B$29,0)),0)),IF(VLOOKUP($A497,Calendar!$A$1:$R$1377,18,0)=5,SUM(IFERROR(INDEX(FourWeekly_Model!$D$2:$D$29,MATCH(H497,FourWeekly_Model!$B$2:$B$29,0)),0),IFERROR(INDEX(FourWeekly_Model!$D$2:$D$29,MATCH(H498,FourWeekly_Model!$B$2:$B$29,0)),0),IFERROR(INDEX(FourWeekly_Model!$D$2:$D$29,MATCH(H499,FourWeekly_Model!$B$2:$B$29,0)),0),IFERROR(INDEX(FourWeekly_Model!$D$2:$D$29,MATCH(H500,FourWeekly_Model!$B$2:$B$29,0)),0),IFERROR(INDEX(FourWeekly_Model!$D$2:$D$29,MATCH(H501,FourWeekly_Model!$B$2:$B$29,0)),0)),0))))))</f>
        <v>3.3214289700000004E-3</v>
      </c>
      <c r="N497" s="27">
        <f>SUM(I497:M497)</f>
        <v>2.840542296502618E-2</v>
      </c>
      <c r="O497" s="28">
        <f>Population_Data!$B$8*N497</f>
        <v>860684.3158402933</v>
      </c>
      <c r="P497" s="27">
        <f>IF(VLOOKUP($A497,Calendar!$A$1:$R$1377,18,0)=0,0,IF(VLOOKUP($A497,Calendar!$A$1:$R$1377,18,0)=1,IFERROR(INDEX(Pension_Model!$D$2:$D$29,MATCH(H497,Pension_Model!$B$2:$B$29,0)),0),IF(VLOOKUP($A497,Calendar!$A$1:$R$1377,18,0)=2,SUM(IFERROR(INDEX(Pension_Model!$D$2:$D$29,MATCH(H497,Pension_Model!$B$2:$B$29,0)),0),IFERROR(INDEX(Pension_Model!$D$2:$D$29,MATCH(H498,Pension_Model!$B$2:$B$29,0)),0)),IF(VLOOKUP($A497,Calendar!$A$1:$R$1377,18,0)=3,SUM(IFERROR(INDEX(Pension_Model!$D$2:$D$29,MATCH(H497,Pension_Model!$B$2:$B$29,0)),0),IFERROR(INDEX(Pension_Model!$D$2:$D$29,MATCH(H498,Pension_Model!$B$2:$B$29,0)),0),IFERROR(INDEX(Pension_Model!$D$2:$D$29,MATCH(H499,Pension_Model!$B$2:$B$29,0)),0)),IF(VLOOKUP($A497,Calendar!$A$1:$R$1377,18,0)=4,SUM(IFERROR(INDEX(Pension_Model!$D$2:$D$29,MATCH(H497,Pension_Model!$B$2:$B$29,0)),0),IFERROR(INDEX(Pension_Model!$D$2:$D$29,MATCH(H498,Pension_Model!$B$2:$B$29,0)),0),IFERROR(INDEX(Pension_Model!$D$2:$D$29,MATCH(H499,Pension_Model!$B$2:$B$29,0)),0),IFERROR(INDEX(Pension_Model!$D$2:$D$29,MATCH(H500,Pension_Model!$B$2:$B$29,0)),0)),IF(VLOOKUP($A497,Calendar!$A$1:$R$1377,18,0)=5,SUM(IFERROR(INDEX(Pension_Model!$D$2:$D$29,MATCH(H497,Pension_Model!$B$2:$B$29,0)),0),IFERROR(INDEX(Pension_Model!$D$2:$D$29,MATCH(H498,Pension_Model!$B$2:$B$29,0)),0),IFERROR(INDEX(Pension_Model!$D$2:$D$29,MATCH(H499,Pension_Model!$B$2:$B$29,0)),0),IFERROR(INDEX(Pension_Model!$D$2:$D$29,MATCH(H500,Pension_Model!$B$2:$B$29,0)),0),IFERROR(INDEX(Pension_Model!$D$2:$D$29,MATCH(H501,Pension_Model!$B$2:$B$29,0)),0)),0))))))</f>
        <v>0.05</v>
      </c>
      <c r="Q497" s="28">
        <f>Population_Data!$B$15*P497</f>
        <v>660600</v>
      </c>
      <c r="S497">
        <f t="shared" si="7"/>
        <v>1521284.3158402932</v>
      </c>
      <c r="U497" s="33">
        <f>S497/Population_Data!$B$19</f>
        <v>2.7559498475367629E-2</v>
      </c>
    </row>
    <row r="498" spans="1:21">
      <c r="A498" s="25">
        <f>Calendar!A498</f>
        <v>46731</v>
      </c>
      <c r="B498" t="str">
        <f>Calendar!L498</f>
        <v>Yes</v>
      </c>
      <c r="C498" t="str">
        <f>Calendar!O498</f>
        <v>No</v>
      </c>
      <c r="D498" t="str">
        <f>Calendar!P498</f>
        <v>No</v>
      </c>
      <c r="E498" t="str">
        <f>Calendar!Q498</f>
        <v>No</v>
      </c>
      <c r="F498" t="str">
        <f>Calendar!I498</f>
        <v>Friday</v>
      </c>
      <c r="G498">
        <f>Calendar!S498</f>
        <v>13</v>
      </c>
      <c r="H498">
        <f>Calendar!T498</f>
        <v>27</v>
      </c>
      <c r="I498" s="27">
        <f>IF(VLOOKUP(A498,Calendar!$A$1:$R$1377,18,0)=0,0,IF(VLOOKUP(A498,Calendar!$A$1:$R$1377,18,0)=1,INDEX(Monthly_Pay_Model!$A$9:$D$40,MATCH(TEXT(A498,"dd"),Monthly_Pay_Model!$C$9:$C$39,0),4),IF(VLOOKUP(A498,Calendar!$A$1:$R$1377,18,0)=2,SUM(INDEX(Monthly_Pay_Model!$A$9:$D$40,MATCH(TEXT(A498,"dd"),Monthly_Pay_Model!$C$9:$C$39,0),4),INDEX(Monthly_Pay_Model!$A$9:$D$40,MATCH(TEXT(A499,"dd"),Monthly_Pay_Model!$C$9:$C$39,0),4)),IF(VLOOKUP(A498,Calendar!$A$1:$R$1377,18,0)=3,SUM(INDEX(Monthly_Pay_Model!$A$9:$D$40,MATCH(TEXT(A498,"dd"),Monthly_Pay_Model!$C$9:$C$39,0),4),INDEX(Monthly_Pay_Model!$A$9:$D$40,MATCH(TEXT(A499,"dd"),Monthly_Pay_Model!$C$9:$C$39,0),4),INDEX(Monthly_Pay_Model!$A$9:$D$40,MATCH(TEXT(A500,"dd"),Monthly_Pay_Model!$C$9:$C$39,0),4)),IF(VLOOKUP(A498,Calendar!$A$1:$R$1377,18,0)=4,SUM(INDEX(Monthly_Pay_Model!$A$9:$D$40,MATCH(TEXT(A498,"dd"),Monthly_Pay_Model!$C$9:$C$39,0),4),INDEX(Monthly_Pay_Model!$A$9:$D$40,MATCH(TEXT(A499,"dd"),Monthly_Pay_Model!$C$9:$C$39,0),4),INDEX(Monthly_Pay_Model!$A$9:$D$40,MATCH(TEXT(A500,"dd"),Monthly_Pay_Model!$C$9:$C$39,0),4),INDEX(Monthly_Pay_Model!$A$9:$D$40,MATCH(TEXT(A501,"dd"),Monthly_Pay_Model!$C$9:$C$39,0),4)),IF(VLOOKUP(A498,Calendar!$A$1:$R$1377,18,0)=5,SUM(INDEX(Monthly_Pay_Model!$A$9:$D$40,MATCH(TEXT(A498,"dd"),Monthly_Pay_Model!$C$9:$C$39,0),4),INDEX(Monthly_Pay_Model!$A$9:$D$40,MATCH(TEXT(A499,"dd"),Monthly_Pay_Model!$C$9:$C$39,0),4),INDEX(Monthly_Pay_Model!$A$9:$D$40,MATCH(TEXT(A500,"dd"),Monthly_Pay_Model!$C$9:$C$39,0),4),INDEX(Monthly_Pay_Model!$A$9:$D$40,MATCH(TEXT(A501,"dd"),Monthly_Pay_Model!$C$9:$C$39,0),4),INDEX(Monthly_Pay_Model!$A$9:$D$40,MATCH(TEXT(A502,"dd"),Monthly_Pay_Model!$C$9:$C$39,0),4)),))))))</f>
        <v>7.3130890052356002E-3</v>
      </c>
      <c r="J498" s="33">
        <f>IF(C498="Yes",Monthly_Pay_Model!$D$2,0)
+IF(Calendar!N498="Yes",Monthly_Pay_Model!$D$3,0)
+IF(D498="Yes",Monthly_Pay_Model!$D$4,0)
+IF(E498="Yes",Monthly_Pay_Model!$D$5,0)</f>
        <v>0</v>
      </c>
      <c r="K498" s="27">
        <f>IF(VLOOKUP($A498,Calendar!$A$1:$R$1377,18,0)=0,0,IF(VLOOKUP($A498,Calendar!$A$1:$R$1377,18,0)=1,IFERROR(INDEX(Weekly_Model!$D$2:$D$9,MATCH(F498,Weekly_Model!$A$2:$A$9,0)),0),IF(VLOOKUP($A498,Calendar!$A$1:$R$1377,18,0)=2,SUM(IFERROR(INDEX(Weekly_Model!$D$2:$D$9,MATCH(F498,Weekly_Model!$A$2:$A$9,0)),0),IFERROR(INDEX(Weekly_Model!$D$2:$D$9,MATCH(F499,Weekly_Model!$A$2:$A$9,0)),0)),IF(VLOOKUP($A498,Calendar!$A$1:$R$1377,18,0)=3,SUM(IFERROR(INDEX(Weekly_Model!$D$2:$D$9,MATCH(F498,Weekly_Model!$A$2:$A$9,0)),0),IFERROR(INDEX(Weekly_Model!$D$2:$D$9,MATCH(F499,Weekly_Model!$A$2:$A$9,0)),0),IFERROR(INDEX(Weekly_Model!$D$2:$D$9,MATCH(F500,Weekly_Model!$A$2:$A$9,0)),0)),IF(VLOOKUP($A498,Calendar!$A$1:$R$1377,18,0)=4,SUM(IFERROR(INDEX(Weekly_Model!$D$2:$D$9,MATCH(F498,Weekly_Model!$A$2:$A$9,0)),0),IFERROR(INDEX(Weekly_Model!$D$2:$D$9,MATCH(F499,Weekly_Model!$A$2:$A$9,0)),0),IFERROR(INDEX(Weekly_Model!$D$2:$D$9,MATCH(F500,Weekly_Model!$A$2:$A$9,0)),0),IFERROR(INDEX(Weekly_Model!$D$2:$D$9,MATCH(F501,Weekly_Model!$A$2:$A$9,0)),0)),IF(VLOOKUP($A498,Calendar!$A$1:$R$1377,18,0)=5,SUM(IFERROR(INDEX(Weekly_Model!$D$2:$D$9,MATCH(F498,Weekly_Model!$A$2:$A$9,0)),0),IFERROR(INDEX(Weekly_Model!$D$2:$D$9,MATCH(F499,Weekly_Model!$A$2:$A$9,0)),0),IFERROR(INDEX(Weekly_Model!$D$2:$D$9,MATCH(F500,Weekly_Model!$A$2:$A$9,0)),0),IFERROR(INDEX(Weekly_Model!$D$2:$D$9,MATCH(F501,Weekly_Model!$A$2:$A$9,0)),0),IFERROR(INDEX(Weekly_Model!$D$2:$D$9,MATCH(F502,Weekly_Model!$A$2:$A$9,0)),0)),0))))))</f>
        <v>2.3200000000000002E-2</v>
      </c>
      <c r="L498" s="27">
        <f>IF(VLOOKUP($A498,Calendar!$A$1:$R$1377,18,0)=0,0,IF(VLOOKUP($A498,Calendar!$A$1:$R$1377,18,0)=1,IFERROR(INDEX(Fortnightly_Model!$D$2:$D$15,MATCH(G498,Fortnightly_Model!$B$2:$B$15,0)),0),IF(VLOOKUP($A498,Calendar!$A$1:$R$1377,18,0)=2,SUM(IFERROR(INDEX(Fortnightly_Model!$D$2:$D$15,MATCH(G498,Fortnightly_Model!$B$2:$B$15,0)),0),IFERROR(INDEX(Fortnightly_Model!$D$2:$D$15,MATCH(G499,Fortnightly_Model!$B$2:$B$15,0)),0)),IF(VLOOKUP($A498,Calendar!$A$1:$R$1377,18,0)=3,SUM(IFERROR(INDEX(Fortnightly_Model!$D$2:$D$15,MATCH(G498,Fortnightly_Model!$B$2:$B$15,0)),0),IFERROR(INDEX(Fortnightly_Model!$D$2:$D$15,MATCH(G499,Fortnightly_Model!$B$2:$B$15,0)),0),IFERROR(INDEX(Fortnightly_Model!$D$2:$D$15,MATCH(G500,Fortnightly_Model!$B$2:$B$15,0)),0)),IF(VLOOKUP($A498,Calendar!$A$1:$R$1377,18,0)=4,SUM(IFERROR(INDEX(Fortnightly_Model!$D$2:$D$15,MATCH(G498,Fortnightly_Model!$B$2:$B$15,0)),0),IFERROR(INDEX(Fortnightly_Model!$D$2:$D$15,MATCH(G499,Fortnightly_Model!$B$2:$B$15,0)),0),IFERROR(INDEX(Fortnightly_Model!$D$2:$D$15,MATCH(G500,Fortnightly_Model!$B$2:$B$15,0)),0),IFERROR(INDEX(Fortnightly_Model!$D$2:$D$15,MATCH(G501,Fortnightly_Model!$B$2:$B$15,0)),0)),IF(VLOOKUP($A498,Calendar!$A$1:$R$1377,18,0)=5,SUM(IFERROR(INDEX(Fortnightly_Model!$D$2:$D$15,MATCH(G498,Fortnightly_Model!$B$2:$B$15,0)),0),IFERROR(INDEX(Fortnightly_Model!$D$2:$D$15,MATCH(G499,Fortnightly_Model!$B$2:$B$15,0)),0),IFERROR(INDEX(Fortnightly_Model!$D$2:$D$15,MATCH(G500,Fortnightly_Model!$B$2:$B$15,0)),0),IFERROR(INDEX(Fortnightly_Model!$D$2:$D$15,MATCH(G501,Fortnightly_Model!$B$2:$B$15,0)),0),IFERROR(INDEX(Fortnightly_Model!$D$2:$D$15,MATCH(G502,Fortnightly_Model!$B$2:$B$15,0)),0)),0))))))</f>
        <v>3.2142856499999999E-3</v>
      </c>
      <c r="M498" s="27">
        <f>IF(VLOOKUP($A498,Calendar!$A$1:$R$1377,18,0)=0,0,IF(VLOOKUP($A498,Calendar!$A$1:$R$1377,18,0)=1,IFERROR(INDEX(FourWeekly_Model!$D$2:$D$29,MATCH(H498,FourWeekly_Model!$B$2:$B$29,0)),0),IF(VLOOKUP($A498,Calendar!$A$1:$R$1377,18,0)=2,SUM(IFERROR(INDEX(FourWeekly_Model!$D$2:$D$29,MATCH(H498,FourWeekly_Model!$B$2:$B$29,0)),0),IFERROR(INDEX(FourWeekly_Model!$D$2:$D$29,MATCH(H499,FourWeekly_Model!$B$2:$B$29,0)),0)),IF(VLOOKUP($A498,Calendar!$A$1:$R$1377,18,0)=3,SUM(IFERROR(INDEX(FourWeekly_Model!$D$2:$D$29,MATCH(H498,FourWeekly_Model!$B$2:$B$29,0)),0),IFERROR(INDEX(FourWeekly_Model!$D$2:$D$29,MATCH(H499,FourWeekly_Model!$B$2:$B$29,0)),0),IFERROR(INDEX(FourWeekly_Model!$D$2:$D$29,MATCH(H500,FourWeekly_Model!$B$2:$B$29,0)),0)),IF(VLOOKUP($A498,Calendar!$A$1:$R$1377,18,0)=4,SUM(IFERROR(INDEX(FourWeekly_Model!$D$2:$D$29,MATCH(H498,FourWeekly_Model!$B$2:$B$29,0)),0),IFERROR(INDEX(FourWeekly_Model!$D$2:$D$29,MATCH(H499,FourWeekly_Model!$B$2:$B$29,0)),0),IFERROR(INDEX(FourWeekly_Model!$D$2:$D$29,MATCH(H500,FourWeekly_Model!$B$2:$B$29,0)),0),IFERROR(INDEX(FourWeekly_Model!$D$2:$D$29,MATCH(H501,FourWeekly_Model!$B$2:$B$29,0)),0)),IF(VLOOKUP($A498,Calendar!$A$1:$R$1377,18,0)=5,SUM(IFERROR(INDEX(FourWeekly_Model!$D$2:$D$29,MATCH(H498,FourWeekly_Model!$B$2:$B$29,0)),0),IFERROR(INDEX(FourWeekly_Model!$D$2:$D$29,MATCH(H499,FourWeekly_Model!$B$2:$B$29,0)),0),IFERROR(INDEX(FourWeekly_Model!$D$2:$D$29,MATCH(H500,FourWeekly_Model!$B$2:$B$29,0)),0),IFERROR(INDEX(FourWeekly_Model!$D$2:$D$29,MATCH(H501,FourWeekly_Model!$B$2:$B$29,0)),0),IFERROR(INDEX(FourWeekly_Model!$D$2:$D$29,MATCH(H502,FourWeekly_Model!$B$2:$B$29,0)),0)),0))))))</f>
        <v>9.9642859800000011E-3</v>
      </c>
      <c r="N498" s="27">
        <f>SUM(I498:M498)</f>
        <v>4.3691660635235607E-2</v>
      </c>
      <c r="O498" s="28">
        <f>Population_Data!$B$8*N498</f>
        <v>1323857.3172476389</v>
      </c>
      <c r="P498" s="27">
        <f>IF(VLOOKUP($A498,Calendar!$A$1:$R$1377,18,0)=0,0,IF(VLOOKUP($A498,Calendar!$A$1:$R$1377,18,0)=1,IFERROR(INDEX(Pension_Model!$D$2:$D$29,MATCH(H498,Pension_Model!$B$2:$B$29,0)),0),IF(VLOOKUP($A498,Calendar!$A$1:$R$1377,18,0)=2,SUM(IFERROR(INDEX(Pension_Model!$D$2:$D$29,MATCH(H498,Pension_Model!$B$2:$B$29,0)),0),IFERROR(INDEX(Pension_Model!$D$2:$D$29,MATCH(H499,Pension_Model!$B$2:$B$29,0)),0)),IF(VLOOKUP($A498,Calendar!$A$1:$R$1377,18,0)=3,SUM(IFERROR(INDEX(Pension_Model!$D$2:$D$29,MATCH(H498,Pension_Model!$B$2:$B$29,0)),0),IFERROR(INDEX(Pension_Model!$D$2:$D$29,MATCH(H499,Pension_Model!$B$2:$B$29,0)),0),IFERROR(INDEX(Pension_Model!$D$2:$D$29,MATCH(H500,Pension_Model!$B$2:$B$29,0)),0)),IF(VLOOKUP($A498,Calendar!$A$1:$R$1377,18,0)=4,SUM(IFERROR(INDEX(Pension_Model!$D$2:$D$29,MATCH(H498,Pension_Model!$B$2:$B$29,0)),0),IFERROR(INDEX(Pension_Model!$D$2:$D$29,MATCH(H499,Pension_Model!$B$2:$B$29,0)),0),IFERROR(INDEX(Pension_Model!$D$2:$D$29,MATCH(H500,Pension_Model!$B$2:$B$29,0)),0),IFERROR(INDEX(Pension_Model!$D$2:$D$29,MATCH(H501,Pension_Model!$B$2:$B$29,0)),0)),IF(VLOOKUP($A498,Calendar!$A$1:$R$1377,18,0)=5,SUM(IFERROR(INDEX(Pension_Model!$D$2:$D$29,MATCH(H498,Pension_Model!$B$2:$B$29,0)),0),IFERROR(INDEX(Pension_Model!$D$2:$D$29,MATCH(H499,Pension_Model!$B$2:$B$29,0)),0),IFERROR(INDEX(Pension_Model!$D$2:$D$29,MATCH(H500,Pension_Model!$B$2:$B$29,0)),0),IFERROR(INDEX(Pension_Model!$D$2:$D$29,MATCH(H501,Pension_Model!$B$2:$B$29,0)),0),IFERROR(INDEX(Pension_Model!$D$2:$D$29,MATCH(H502,Pension_Model!$B$2:$B$29,0)),0)),0))))))</f>
        <v>0.05</v>
      </c>
      <c r="Q498" s="28">
        <f>Population_Data!$B$15*P498</f>
        <v>660600</v>
      </c>
      <c r="S498">
        <f t="shared" si="7"/>
        <v>1984457.3172476389</v>
      </c>
      <c r="U498" s="33">
        <f>S498/Population_Data!$B$19</f>
        <v>3.5950313718254329E-2</v>
      </c>
    </row>
    <row r="499" spans="1:21">
      <c r="A499" s="25">
        <f>Calendar!A499</f>
        <v>46732</v>
      </c>
      <c r="B499" t="str">
        <f>Calendar!L499</f>
        <v>No</v>
      </c>
      <c r="C499" t="str">
        <f>Calendar!O499</f>
        <v>No</v>
      </c>
      <c r="D499" t="str">
        <f>Calendar!P499</f>
        <v>No</v>
      </c>
      <c r="E499" t="str">
        <f>Calendar!Q499</f>
        <v>No</v>
      </c>
      <c r="F499" t="str">
        <f>Calendar!I499</f>
        <v>Saturday</v>
      </c>
      <c r="G499">
        <f>Calendar!S499</f>
        <v>0</v>
      </c>
      <c r="H499">
        <f>Calendar!T499</f>
        <v>0</v>
      </c>
      <c r="I499" s="27">
        <f>IF(VLOOKUP(A499,Calendar!$A$1:$R$1377,18,0)=0,0,IF(VLOOKUP(A499,Calendar!$A$1:$R$1377,18,0)=1,INDEX(Monthly_Pay_Model!$A$9:$D$40,MATCH(TEXT(A499,"dd"),Monthly_Pay_Model!$C$9:$C$39,0),4),IF(VLOOKUP(A499,Calendar!$A$1:$R$1377,18,0)=2,SUM(INDEX(Monthly_Pay_Model!$A$9:$D$40,MATCH(TEXT(A499,"dd"),Monthly_Pay_Model!$C$9:$C$39,0),4),INDEX(Monthly_Pay_Model!$A$9:$D$40,MATCH(TEXT(A500,"dd"),Monthly_Pay_Model!$C$9:$C$39,0),4)),IF(VLOOKUP(A499,Calendar!$A$1:$R$1377,18,0)=3,SUM(INDEX(Monthly_Pay_Model!$A$9:$D$40,MATCH(TEXT(A499,"dd"),Monthly_Pay_Model!$C$9:$C$39,0),4),INDEX(Monthly_Pay_Model!$A$9:$D$40,MATCH(TEXT(A500,"dd"),Monthly_Pay_Model!$C$9:$C$39,0),4),INDEX(Monthly_Pay_Model!$A$9:$D$40,MATCH(TEXT(A501,"dd"),Monthly_Pay_Model!$C$9:$C$39,0),4)),IF(VLOOKUP(A499,Calendar!$A$1:$R$1377,18,0)=4,SUM(INDEX(Monthly_Pay_Model!$A$9:$D$40,MATCH(TEXT(A499,"dd"),Monthly_Pay_Model!$C$9:$C$39,0),4),INDEX(Monthly_Pay_Model!$A$9:$D$40,MATCH(TEXT(A500,"dd"),Monthly_Pay_Model!$C$9:$C$39,0),4),INDEX(Monthly_Pay_Model!$A$9:$D$40,MATCH(TEXT(A501,"dd"),Monthly_Pay_Model!$C$9:$C$39,0),4),INDEX(Monthly_Pay_Model!$A$9:$D$40,MATCH(TEXT(A502,"dd"),Monthly_Pay_Model!$C$9:$C$39,0),4)),IF(VLOOKUP(A499,Calendar!$A$1:$R$1377,18,0)=5,SUM(INDEX(Monthly_Pay_Model!$A$9:$D$40,MATCH(TEXT(A499,"dd"),Monthly_Pay_Model!$C$9:$C$39,0),4),INDEX(Monthly_Pay_Model!$A$9:$D$40,MATCH(TEXT(A500,"dd"),Monthly_Pay_Model!$C$9:$C$39,0),4),INDEX(Monthly_Pay_Model!$A$9:$D$40,MATCH(TEXT(A501,"dd"),Monthly_Pay_Model!$C$9:$C$39,0),4),INDEX(Monthly_Pay_Model!$A$9:$D$40,MATCH(TEXT(A502,"dd"),Monthly_Pay_Model!$C$9:$C$39,0),4),INDEX(Monthly_Pay_Model!$A$9:$D$40,MATCH(TEXT(A503,"dd"),Monthly_Pay_Model!$C$9:$C$39,0),4)),))))))</f>
        <v>0</v>
      </c>
      <c r="J499" s="33">
        <f>IF(C499="Yes",Monthly_Pay_Model!$D$2,0)
+IF(Calendar!N499="Yes",Monthly_Pay_Model!$D$3,0)
+IF(D499="Yes",Monthly_Pay_Model!$D$4,0)
+IF(E499="Yes",Monthly_Pay_Model!$D$5,0)</f>
        <v>0</v>
      </c>
      <c r="K499" s="27">
        <f>IF(VLOOKUP($A499,Calendar!$A$1:$R$1377,18,0)=0,0,IF(VLOOKUP($A499,Calendar!$A$1:$R$1377,18,0)=1,IFERROR(INDEX(Weekly_Model!$D$2:$D$9,MATCH(F499,Weekly_Model!$A$2:$A$9,0)),0),IF(VLOOKUP($A499,Calendar!$A$1:$R$1377,18,0)=2,SUM(IFERROR(INDEX(Weekly_Model!$D$2:$D$9,MATCH(F499,Weekly_Model!$A$2:$A$9,0)),0),IFERROR(INDEX(Weekly_Model!$D$2:$D$9,MATCH(F500,Weekly_Model!$A$2:$A$9,0)),0)),IF(VLOOKUP($A499,Calendar!$A$1:$R$1377,18,0)=3,SUM(IFERROR(INDEX(Weekly_Model!$D$2:$D$9,MATCH(F499,Weekly_Model!$A$2:$A$9,0)),0),IFERROR(INDEX(Weekly_Model!$D$2:$D$9,MATCH(F500,Weekly_Model!$A$2:$A$9,0)),0),IFERROR(INDEX(Weekly_Model!$D$2:$D$9,MATCH(F501,Weekly_Model!$A$2:$A$9,0)),0)),IF(VLOOKUP($A499,Calendar!$A$1:$R$1377,18,0)=4,SUM(IFERROR(INDEX(Weekly_Model!$D$2:$D$9,MATCH(F499,Weekly_Model!$A$2:$A$9,0)),0),IFERROR(INDEX(Weekly_Model!$D$2:$D$9,MATCH(F500,Weekly_Model!$A$2:$A$9,0)),0),IFERROR(INDEX(Weekly_Model!$D$2:$D$9,MATCH(F501,Weekly_Model!$A$2:$A$9,0)),0),IFERROR(INDEX(Weekly_Model!$D$2:$D$9,MATCH(F502,Weekly_Model!$A$2:$A$9,0)),0)),IF(VLOOKUP($A499,Calendar!$A$1:$R$1377,18,0)=5,SUM(IFERROR(INDEX(Weekly_Model!$D$2:$D$9,MATCH(F499,Weekly_Model!$A$2:$A$9,0)),0),IFERROR(INDEX(Weekly_Model!$D$2:$D$9,MATCH(F500,Weekly_Model!$A$2:$A$9,0)),0),IFERROR(INDEX(Weekly_Model!$D$2:$D$9,MATCH(F501,Weekly_Model!$A$2:$A$9,0)),0),IFERROR(INDEX(Weekly_Model!$D$2:$D$9,MATCH(F502,Weekly_Model!$A$2:$A$9,0)),0),IFERROR(INDEX(Weekly_Model!$D$2:$D$9,MATCH(F503,Weekly_Model!$A$2:$A$9,0)),0)),0))))))</f>
        <v>0</v>
      </c>
      <c r="L499" s="27">
        <f>IF(VLOOKUP($A499,Calendar!$A$1:$R$1377,18,0)=0,0,IF(VLOOKUP($A499,Calendar!$A$1:$R$1377,18,0)=1,IFERROR(INDEX(Fortnightly_Model!$D$2:$D$15,MATCH(G499,Fortnightly_Model!$B$2:$B$15,0)),0),IF(VLOOKUP($A499,Calendar!$A$1:$R$1377,18,0)=2,SUM(IFERROR(INDEX(Fortnightly_Model!$D$2:$D$15,MATCH(G499,Fortnightly_Model!$B$2:$B$15,0)),0),IFERROR(INDEX(Fortnightly_Model!$D$2:$D$15,MATCH(G500,Fortnightly_Model!$B$2:$B$15,0)),0)),IF(VLOOKUP($A499,Calendar!$A$1:$R$1377,18,0)=3,SUM(IFERROR(INDEX(Fortnightly_Model!$D$2:$D$15,MATCH(G499,Fortnightly_Model!$B$2:$B$15,0)),0),IFERROR(INDEX(Fortnightly_Model!$D$2:$D$15,MATCH(G500,Fortnightly_Model!$B$2:$B$15,0)),0),IFERROR(INDEX(Fortnightly_Model!$D$2:$D$15,MATCH(G501,Fortnightly_Model!$B$2:$B$15,0)),0)),IF(VLOOKUP($A499,Calendar!$A$1:$R$1377,18,0)=4,SUM(IFERROR(INDEX(Fortnightly_Model!$D$2:$D$15,MATCH(G499,Fortnightly_Model!$B$2:$B$15,0)),0),IFERROR(INDEX(Fortnightly_Model!$D$2:$D$15,MATCH(G500,Fortnightly_Model!$B$2:$B$15,0)),0),IFERROR(INDEX(Fortnightly_Model!$D$2:$D$15,MATCH(G501,Fortnightly_Model!$B$2:$B$15,0)),0),IFERROR(INDEX(Fortnightly_Model!$D$2:$D$15,MATCH(G502,Fortnightly_Model!$B$2:$B$15,0)),0)),IF(VLOOKUP($A499,Calendar!$A$1:$R$1377,18,0)=5,SUM(IFERROR(INDEX(Fortnightly_Model!$D$2:$D$15,MATCH(G499,Fortnightly_Model!$B$2:$B$15,0)),0),IFERROR(INDEX(Fortnightly_Model!$D$2:$D$15,MATCH(G500,Fortnightly_Model!$B$2:$B$15,0)),0),IFERROR(INDEX(Fortnightly_Model!$D$2:$D$15,MATCH(G501,Fortnightly_Model!$B$2:$B$15,0)),0),IFERROR(INDEX(Fortnightly_Model!$D$2:$D$15,MATCH(G502,Fortnightly_Model!$B$2:$B$15,0)),0),IFERROR(INDEX(Fortnightly_Model!$D$2:$D$15,MATCH(G503,Fortnightly_Model!$B$2:$B$15,0)),0)),0))))))</f>
        <v>0</v>
      </c>
      <c r="M499" s="27">
        <f>IF(VLOOKUP($A499,Calendar!$A$1:$R$1377,18,0)=0,0,IF(VLOOKUP($A499,Calendar!$A$1:$R$1377,18,0)=1,IFERROR(INDEX(FourWeekly_Model!$D$2:$D$29,MATCH(H499,FourWeekly_Model!$B$2:$B$29,0)),0),IF(VLOOKUP($A499,Calendar!$A$1:$R$1377,18,0)=2,SUM(IFERROR(INDEX(FourWeekly_Model!$D$2:$D$29,MATCH(H499,FourWeekly_Model!$B$2:$B$29,0)),0),IFERROR(INDEX(FourWeekly_Model!$D$2:$D$29,MATCH(H500,FourWeekly_Model!$B$2:$B$29,0)),0)),IF(VLOOKUP($A499,Calendar!$A$1:$R$1377,18,0)=3,SUM(IFERROR(INDEX(FourWeekly_Model!$D$2:$D$29,MATCH(H499,FourWeekly_Model!$B$2:$B$29,0)),0),IFERROR(INDEX(FourWeekly_Model!$D$2:$D$29,MATCH(H500,FourWeekly_Model!$B$2:$B$29,0)),0),IFERROR(INDEX(FourWeekly_Model!$D$2:$D$29,MATCH(H501,FourWeekly_Model!$B$2:$B$29,0)),0)),IF(VLOOKUP($A499,Calendar!$A$1:$R$1377,18,0)=4,SUM(IFERROR(INDEX(FourWeekly_Model!$D$2:$D$29,MATCH(H499,FourWeekly_Model!$B$2:$B$29,0)),0),IFERROR(INDEX(FourWeekly_Model!$D$2:$D$29,MATCH(H500,FourWeekly_Model!$B$2:$B$29,0)),0),IFERROR(INDEX(FourWeekly_Model!$D$2:$D$29,MATCH(H501,FourWeekly_Model!$B$2:$B$29,0)),0),IFERROR(INDEX(FourWeekly_Model!$D$2:$D$29,MATCH(H502,FourWeekly_Model!$B$2:$B$29,0)),0)),IF(VLOOKUP($A499,Calendar!$A$1:$R$1377,18,0)=5,SUM(IFERROR(INDEX(FourWeekly_Model!$D$2:$D$29,MATCH(H499,FourWeekly_Model!$B$2:$B$29,0)),0),IFERROR(INDEX(FourWeekly_Model!$D$2:$D$29,MATCH(H500,FourWeekly_Model!$B$2:$B$29,0)),0),IFERROR(INDEX(FourWeekly_Model!$D$2:$D$29,MATCH(H501,FourWeekly_Model!$B$2:$B$29,0)),0),IFERROR(INDEX(FourWeekly_Model!$D$2:$D$29,MATCH(H502,FourWeekly_Model!$B$2:$B$29,0)),0),IFERROR(INDEX(FourWeekly_Model!$D$2:$D$29,MATCH(H503,FourWeekly_Model!$B$2:$B$29,0)),0)),0))))))</f>
        <v>0</v>
      </c>
      <c r="N499" s="27">
        <f>SUM(I499:M499)</f>
        <v>0</v>
      </c>
      <c r="O499" s="28">
        <f>Population_Data!$B$8*N499</f>
        <v>0</v>
      </c>
      <c r="P499" s="27">
        <f>IF(VLOOKUP($A499,Calendar!$A$1:$R$1377,18,0)=0,0,IF(VLOOKUP($A499,Calendar!$A$1:$R$1377,18,0)=1,IFERROR(INDEX(Pension_Model!$D$2:$D$29,MATCH(H499,Pension_Model!$B$2:$B$29,0)),0),IF(VLOOKUP($A499,Calendar!$A$1:$R$1377,18,0)=2,SUM(IFERROR(INDEX(Pension_Model!$D$2:$D$29,MATCH(H499,Pension_Model!$B$2:$B$29,0)),0),IFERROR(INDEX(Pension_Model!$D$2:$D$29,MATCH(H500,Pension_Model!$B$2:$B$29,0)),0)),IF(VLOOKUP($A499,Calendar!$A$1:$R$1377,18,0)=3,SUM(IFERROR(INDEX(Pension_Model!$D$2:$D$29,MATCH(H499,Pension_Model!$B$2:$B$29,0)),0),IFERROR(INDEX(Pension_Model!$D$2:$D$29,MATCH(H500,Pension_Model!$B$2:$B$29,0)),0),IFERROR(INDEX(Pension_Model!$D$2:$D$29,MATCH(H501,Pension_Model!$B$2:$B$29,0)),0)),IF(VLOOKUP($A499,Calendar!$A$1:$R$1377,18,0)=4,SUM(IFERROR(INDEX(Pension_Model!$D$2:$D$29,MATCH(H499,Pension_Model!$B$2:$B$29,0)),0),IFERROR(INDEX(Pension_Model!$D$2:$D$29,MATCH(H500,Pension_Model!$B$2:$B$29,0)),0),IFERROR(INDEX(Pension_Model!$D$2:$D$29,MATCH(H501,Pension_Model!$B$2:$B$29,0)),0),IFERROR(INDEX(Pension_Model!$D$2:$D$29,MATCH(H502,Pension_Model!$B$2:$B$29,0)),0)),IF(VLOOKUP($A499,Calendar!$A$1:$R$1377,18,0)=5,SUM(IFERROR(INDEX(Pension_Model!$D$2:$D$29,MATCH(H499,Pension_Model!$B$2:$B$29,0)),0),IFERROR(INDEX(Pension_Model!$D$2:$D$29,MATCH(H500,Pension_Model!$B$2:$B$29,0)),0),IFERROR(INDEX(Pension_Model!$D$2:$D$29,MATCH(H501,Pension_Model!$B$2:$B$29,0)),0),IFERROR(INDEX(Pension_Model!$D$2:$D$29,MATCH(H502,Pension_Model!$B$2:$B$29,0)),0),IFERROR(INDEX(Pension_Model!$D$2:$D$29,MATCH(H503,Pension_Model!$B$2:$B$29,0)),0)),0))))))</f>
        <v>0</v>
      </c>
      <c r="Q499" s="28">
        <f>Population_Data!$B$15*P499</f>
        <v>0</v>
      </c>
      <c r="S499">
        <f t="shared" si="7"/>
        <v>0</v>
      </c>
      <c r="U499" s="33">
        <f>S499/Population_Data!$B$19</f>
        <v>0</v>
      </c>
    </row>
    <row r="500" spans="1:21">
      <c r="A500" s="25">
        <f>Calendar!A500</f>
        <v>46733</v>
      </c>
      <c r="B500" t="str">
        <f>Calendar!L500</f>
        <v>No</v>
      </c>
      <c r="C500" t="str">
        <f>Calendar!O500</f>
        <v>No</v>
      </c>
      <c r="D500" t="str">
        <f>Calendar!P500</f>
        <v>No</v>
      </c>
      <c r="E500" t="str">
        <f>Calendar!Q500</f>
        <v>No</v>
      </c>
      <c r="F500" t="str">
        <f>Calendar!I500</f>
        <v>Sunday</v>
      </c>
      <c r="G500">
        <f>Calendar!S500</f>
        <v>1</v>
      </c>
      <c r="H500">
        <f>Calendar!T500</f>
        <v>1</v>
      </c>
      <c r="I500" s="27">
        <f>IF(VLOOKUP(A500,Calendar!$A$1:$R$1377,18,0)=0,0,IF(VLOOKUP(A500,Calendar!$A$1:$R$1377,18,0)=1,INDEX(Monthly_Pay_Model!$A$9:$D$40,MATCH(TEXT(A500,"dd"),Monthly_Pay_Model!$C$9:$C$39,0),4),IF(VLOOKUP(A500,Calendar!$A$1:$R$1377,18,0)=2,SUM(INDEX(Monthly_Pay_Model!$A$9:$D$40,MATCH(TEXT(A500,"dd"),Monthly_Pay_Model!$C$9:$C$39,0),4),INDEX(Monthly_Pay_Model!$A$9:$D$40,MATCH(TEXT(A501,"dd"),Monthly_Pay_Model!$C$9:$C$39,0),4)),IF(VLOOKUP(A500,Calendar!$A$1:$R$1377,18,0)=3,SUM(INDEX(Monthly_Pay_Model!$A$9:$D$40,MATCH(TEXT(A500,"dd"),Monthly_Pay_Model!$C$9:$C$39,0),4),INDEX(Monthly_Pay_Model!$A$9:$D$40,MATCH(TEXT(A501,"dd"),Monthly_Pay_Model!$C$9:$C$39,0),4),INDEX(Monthly_Pay_Model!$A$9:$D$40,MATCH(TEXT(A502,"dd"),Monthly_Pay_Model!$C$9:$C$39,0),4)),IF(VLOOKUP(A500,Calendar!$A$1:$R$1377,18,0)=4,SUM(INDEX(Monthly_Pay_Model!$A$9:$D$40,MATCH(TEXT(A500,"dd"),Monthly_Pay_Model!$C$9:$C$39,0),4),INDEX(Monthly_Pay_Model!$A$9:$D$40,MATCH(TEXT(A501,"dd"),Monthly_Pay_Model!$C$9:$C$39,0),4),INDEX(Monthly_Pay_Model!$A$9:$D$40,MATCH(TEXT(A502,"dd"),Monthly_Pay_Model!$C$9:$C$39,0),4),INDEX(Monthly_Pay_Model!$A$9:$D$40,MATCH(TEXT(A503,"dd"),Monthly_Pay_Model!$C$9:$C$39,0),4)),IF(VLOOKUP(A500,Calendar!$A$1:$R$1377,18,0)=5,SUM(INDEX(Monthly_Pay_Model!$A$9:$D$40,MATCH(TEXT(A500,"dd"),Monthly_Pay_Model!$C$9:$C$39,0),4),INDEX(Monthly_Pay_Model!$A$9:$D$40,MATCH(TEXT(A501,"dd"),Monthly_Pay_Model!$C$9:$C$39,0),4),INDEX(Monthly_Pay_Model!$A$9:$D$40,MATCH(TEXT(A502,"dd"),Monthly_Pay_Model!$C$9:$C$39,0),4),INDEX(Monthly_Pay_Model!$A$9:$D$40,MATCH(TEXT(A503,"dd"),Monthly_Pay_Model!$C$9:$C$39,0),4),INDEX(Monthly_Pay_Model!$A$9:$D$40,MATCH(TEXT(A504,"dd"),Monthly_Pay_Model!$C$9:$C$39,0),4)),))))))</f>
        <v>0</v>
      </c>
      <c r="J500" s="33">
        <f>IF(C500="Yes",Monthly_Pay_Model!$D$2,0)
+IF(Calendar!N500="Yes",Monthly_Pay_Model!$D$3,0)
+IF(D500="Yes",Monthly_Pay_Model!$D$4,0)
+IF(E500="Yes",Monthly_Pay_Model!$D$5,0)</f>
        <v>0</v>
      </c>
      <c r="K500" s="27">
        <f>IF(VLOOKUP($A500,Calendar!$A$1:$R$1377,18,0)=0,0,IF(VLOOKUP($A500,Calendar!$A$1:$R$1377,18,0)=1,IFERROR(INDEX(Weekly_Model!$D$2:$D$9,MATCH(F500,Weekly_Model!$A$2:$A$9,0)),0),IF(VLOOKUP($A500,Calendar!$A$1:$R$1377,18,0)=2,SUM(IFERROR(INDEX(Weekly_Model!$D$2:$D$9,MATCH(F500,Weekly_Model!$A$2:$A$9,0)),0),IFERROR(INDEX(Weekly_Model!$D$2:$D$9,MATCH(F501,Weekly_Model!$A$2:$A$9,0)),0)),IF(VLOOKUP($A500,Calendar!$A$1:$R$1377,18,0)=3,SUM(IFERROR(INDEX(Weekly_Model!$D$2:$D$9,MATCH(F500,Weekly_Model!$A$2:$A$9,0)),0),IFERROR(INDEX(Weekly_Model!$D$2:$D$9,MATCH(F501,Weekly_Model!$A$2:$A$9,0)),0),IFERROR(INDEX(Weekly_Model!$D$2:$D$9,MATCH(F502,Weekly_Model!$A$2:$A$9,0)),0)),IF(VLOOKUP($A500,Calendar!$A$1:$R$1377,18,0)=4,SUM(IFERROR(INDEX(Weekly_Model!$D$2:$D$9,MATCH(F500,Weekly_Model!$A$2:$A$9,0)),0),IFERROR(INDEX(Weekly_Model!$D$2:$D$9,MATCH(F501,Weekly_Model!$A$2:$A$9,0)),0),IFERROR(INDEX(Weekly_Model!$D$2:$D$9,MATCH(F502,Weekly_Model!$A$2:$A$9,0)),0),IFERROR(INDEX(Weekly_Model!$D$2:$D$9,MATCH(F503,Weekly_Model!$A$2:$A$9,0)),0)),IF(VLOOKUP($A500,Calendar!$A$1:$R$1377,18,0)=5,SUM(IFERROR(INDEX(Weekly_Model!$D$2:$D$9,MATCH(F500,Weekly_Model!$A$2:$A$9,0)),0),IFERROR(INDEX(Weekly_Model!$D$2:$D$9,MATCH(F501,Weekly_Model!$A$2:$A$9,0)),0),IFERROR(INDEX(Weekly_Model!$D$2:$D$9,MATCH(F502,Weekly_Model!$A$2:$A$9,0)),0),IFERROR(INDEX(Weekly_Model!$D$2:$D$9,MATCH(F503,Weekly_Model!$A$2:$A$9,0)),0),IFERROR(INDEX(Weekly_Model!$D$2:$D$9,MATCH(F504,Weekly_Model!$A$2:$A$9,0)),0)),0))))))</f>
        <v>0</v>
      </c>
      <c r="L500" s="27">
        <f>IF(VLOOKUP($A500,Calendar!$A$1:$R$1377,18,0)=0,0,IF(VLOOKUP($A500,Calendar!$A$1:$R$1377,18,0)=1,IFERROR(INDEX(Fortnightly_Model!$D$2:$D$15,MATCH(G500,Fortnightly_Model!$B$2:$B$15,0)),0),IF(VLOOKUP($A500,Calendar!$A$1:$R$1377,18,0)=2,SUM(IFERROR(INDEX(Fortnightly_Model!$D$2:$D$15,MATCH(G500,Fortnightly_Model!$B$2:$B$15,0)),0),IFERROR(INDEX(Fortnightly_Model!$D$2:$D$15,MATCH(G501,Fortnightly_Model!$B$2:$B$15,0)),0)),IF(VLOOKUP($A500,Calendar!$A$1:$R$1377,18,0)=3,SUM(IFERROR(INDEX(Fortnightly_Model!$D$2:$D$15,MATCH(G500,Fortnightly_Model!$B$2:$B$15,0)),0),IFERROR(INDEX(Fortnightly_Model!$D$2:$D$15,MATCH(G501,Fortnightly_Model!$B$2:$B$15,0)),0),IFERROR(INDEX(Fortnightly_Model!$D$2:$D$15,MATCH(G502,Fortnightly_Model!$B$2:$B$15,0)),0)),IF(VLOOKUP($A500,Calendar!$A$1:$R$1377,18,0)=4,SUM(IFERROR(INDEX(Fortnightly_Model!$D$2:$D$15,MATCH(G500,Fortnightly_Model!$B$2:$B$15,0)),0),IFERROR(INDEX(Fortnightly_Model!$D$2:$D$15,MATCH(G501,Fortnightly_Model!$B$2:$B$15,0)),0),IFERROR(INDEX(Fortnightly_Model!$D$2:$D$15,MATCH(G502,Fortnightly_Model!$B$2:$B$15,0)),0),IFERROR(INDEX(Fortnightly_Model!$D$2:$D$15,MATCH(G503,Fortnightly_Model!$B$2:$B$15,0)),0)),IF(VLOOKUP($A500,Calendar!$A$1:$R$1377,18,0)=5,SUM(IFERROR(INDEX(Fortnightly_Model!$D$2:$D$15,MATCH(G500,Fortnightly_Model!$B$2:$B$15,0)),0),IFERROR(INDEX(Fortnightly_Model!$D$2:$D$15,MATCH(G501,Fortnightly_Model!$B$2:$B$15,0)),0),IFERROR(INDEX(Fortnightly_Model!$D$2:$D$15,MATCH(G502,Fortnightly_Model!$B$2:$B$15,0)),0),IFERROR(INDEX(Fortnightly_Model!$D$2:$D$15,MATCH(G503,Fortnightly_Model!$B$2:$B$15,0)),0),IFERROR(INDEX(Fortnightly_Model!$D$2:$D$15,MATCH(G504,Fortnightly_Model!$B$2:$B$15,0)),0)),0))))))</f>
        <v>0</v>
      </c>
      <c r="M500" s="27">
        <f>IF(VLOOKUP($A500,Calendar!$A$1:$R$1377,18,0)=0,0,IF(VLOOKUP($A500,Calendar!$A$1:$R$1377,18,0)=1,IFERROR(INDEX(FourWeekly_Model!$D$2:$D$29,MATCH(H500,FourWeekly_Model!$B$2:$B$29,0)),0),IF(VLOOKUP($A500,Calendar!$A$1:$R$1377,18,0)=2,SUM(IFERROR(INDEX(FourWeekly_Model!$D$2:$D$29,MATCH(H500,FourWeekly_Model!$B$2:$B$29,0)),0),IFERROR(INDEX(FourWeekly_Model!$D$2:$D$29,MATCH(H501,FourWeekly_Model!$B$2:$B$29,0)),0)),IF(VLOOKUP($A500,Calendar!$A$1:$R$1377,18,0)=3,SUM(IFERROR(INDEX(FourWeekly_Model!$D$2:$D$29,MATCH(H500,FourWeekly_Model!$B$2:$B$29,0)),0),IFERROR(INDEX(FourWeekly_Model!$D$2:$D$29,MATCH(H501,FourWeekly_Model!$B$2:$B$29,0)),0),IFERROR(INDEX(FourWeekly_Model!$D$2:$D$29,MATCH(H502,FourWeekly_Model!$B$2:$B$29,0)),0)),IF(VLOOKUP($A500,Calendar!$A$1:$R$1377,18,0)=4,SUM(IFERROR(INDEX(FourWeekly_Model!$D$2:$D$29,MATCH(H500,FourWeekly_Model!$B$2:$B$29,0)),0),IFERROR(INDEX(FourWeekly_Model!$D$2:$D$29,MATCH(H501,FourWeekly_Model!$B$2:$B$29,0)),0),IFERROR(INDEX(FourWeekly_Model!$D$2:$D$29,MATCH(H502,FourWeekly_Model!$B$2:$B$29,0)),0),IFERROR(INDEX(FourWeekly_Model!$D$2:$D$29,MATCH(H503,FourWeekly_Model!$B$2:$B$29,0)),0)),IF(VLOOKUP($A500,Calendar!$A$1:$R$1377,18,0)=5,SUM(IFERROR(INDEX(FourWeekly_Model!$D$2:$D$29,MATCH(H500,FourWeekly_Model!$B$2:$B$29,0)),0),IFERROR(INDEX(FourWeekly_Model!$D$2:$D$29,MATCH(H501,FourWeekly_Model!$B$2:$B$29,0)),0),IFERROR(INDEX(FourWeekly_Model!$D$2:$D$29,MATCH(H502,FourWeekly_Model!$B$2:$B$29,0)),0),IFERROR(INDEX(FourWeekly_Model!$D$2:$D$29,MATCH(H503,FourWeekly_Model!$B$2:$B$29,0)),0),IFERROR(INDEX(FourWeekly_Model!$D$2:$D$29,MATCH(H504,FourWeekly_Model!$B$2:$B$29,0)),0)),0))))))</f>
        <v>0</v>
      </c>
      <c r="N500" s="27">
        <f>SUM(I500:M500)</f>
        <v>0</v>
      </c>
      <c r="O500" s="28">
        <f>Population_Data!$B$8*N500</f>
        <v>0</v>
      </c>
      <c r="P500" s="27">
        <f>IF(VLOOKUP($A500,Calendar!$A$1:$R$1377,18,0)=0,0,IF(VLOOKUP($A500,Calendar!$A$1:$R$1377,18,0)=1,IFERROR(INDEX(Pension_Model!$D$2:$D$29,MATCH(H500,Pension_Model!$B$2:$B$29,0)),0),IF(VLOOKUP($A500,Calendar!$A$1:$R$1377,18,0)=2,SUM(IFERROR(INDEX(Pension_Model!$D$2:$D$29,MATCH(H500,Pension_Model!$B$2:$B$29,0)),0),IFERROR(INDEX(Pension_Model!$D$2:$D$29,MATCH(H501,Pension_Model!$B$2:$B$29,0)),0)),IF(VLOOKUP($A500,Calendar!$A$1:$R$1377,18,0)=3,SUM(IFERROR(INDEX(Pension_Model!$D$2:$D$29,MATCH(H500,Pension_Model!$B$2:$B$29,0)),0),IFERROR(INDEX(Pension_Model!$D$2:$D$29,MATCH(H501,Pension_Model!$B$2:$B$29,0)),0),IFERROR(INDEX(Pension_Model!$D$2:$D$29,MATCH(H502,Pension_Model!$B$2:$B$29,0)),0)),IF(VLOOKUP($A500,Calendar!$A$1:$R$1377,18,0)=4,SUM(IFERROR(INDEX(Pension_Model!$D$2:$D$29,MATCH(H500,Pension_Model!$B$2:$B$29,0)),0),IFERROR(INDEX(Pension_Model!$D$2:$D$29,MATCH(H501,Pension_Model!$B$2:$B$29,0)),0),IFERROR(INDEX(Pension_Model!$D$2:$D$29,MATCH(H502,Pension_Model!$B$2:$B$29,0)),0),IFERROR(INDEX(Pension_Model!$D$2:$D$29,MATCH(H503,Pension_Model!$B$2:$B$29,0)),0)),IF(VLOOKUP($A500,Calendar!$A$1:$R$1377,18,0)=5,SUM(IFERROR(INDEX(Pension_Model!$D$2:$D$29,MATCH(H500,Pension_Model!$B$2:$B$29,0)),0),IFERROR(INDEX(Pension_Model!$D$2:$D$29,MATCH(H501,Pension_Model!$B$2:$B$29,0)),0),IFERROR(INDEX(Pension_Model!$D$2:$D$29,MATCH(H502,Pension_Model!$B$2:$B$29,0)),0),IFERROR(INDEX(Pension_Model!$D$2:$D$29,MATCH(H503,Pension_Model!$B$2:$B$29,0)),0),IFERROR(INDEX(Pension_Model!$D$2:$D$29,MATCH(H504,Pension_Model!$B$2:$B$29,0)),0)),0))))))</f>
        <v>0</v>
      </c>
      <c r="Q500" s="28">
        <f>Population_Data!$B$15*P500</f>
        <v>0</v>
      </c>
      <c r="S500">
        <f t="shared" si="7"/>
        <v>0</v>
      </c>
      <c r="U500" s="33">
        <f>S500/Population_Data!$B$19</f>
        <v>0</v>
      </c>
    </row>
    <row r="501" spans="1:21">
      <c r="A501" s="25">
        <f>Calendar!A501</f>
        <v>46734</v>
      </c>
      <c r="B501" t="str">
        <f>Calendar!L501</f>
        <v>Yes</v>
      </c>
      <c r="C501" t="str">
        <f>Calendar!O501</f>
        <v>No</v>
      </c>
      <c r="D501" t="str">
        <f>Calendar!P501</f>
        <v>No</v>
      </c>
      <c r="E501" t="str">
        <f>Calendar!Q501</f>
        <v>No</v>
      </c>
      <c r="F501" t="str">
        <f>Calendar!I501</f>
        <v>Monday</v>
      </c>
      <c r="G501">
        <f>Calendar!S501</f>
        <v>2</v>
      </c>
      <c r="H501">
        <f>Calendar!T501</f>
        <v>2</v>
      </c>
      <c r="I501" s="27">
        <f>IF(VLOOKUP(A501,Calendar!$A$1:$R$1377,18,0)=0,0,IF(VLOOKUP(A501,Calendar!$A$1:$R$1377,18,0)=1,INDEX(Monthly_Pay_Model!$A$9:$D$40,MATCH(TEXT(A501,"dd"),Monthly_Pay_Model!$C$9:$C$39,0),4),IF(VLOOKUP(A501,Calendar!$A$1:$R$1377,18,0)=2,SUM(INDEX(Monthly_Pay_Model!$A$9:$D$40,MATCH(TEXT(A501,"dd"),Monthly_Pay_Model!$C$9:$C$39,0),4),INDEX(Monthly_Pay_Model!$A$9:$D$40,MATCH(TEXT(A502,"dd"),Monthly_Pay_Model!$C$9:$C$39,0),4)),IF(VLOOKUP(A501,Calendar!$A$1:$R$1377,18,0)=3,SUM(INDEX(Monthly_Pay_Model!$A$9:$D$40,MATCH(TEXT(A501,"dd"),Monthly_Pay_Model!$C$9:$C$39,0),4),INDEX(Monthly_Pay_Model!$A$9:$D$40,MATCH(TEXT(A502,"dd"),Monthly_Pay_Model!$C$9:$C$39,0),4),INDEX(Monthly_Pay_Model!$A$9:$D$40,MATCH(TEXT(A503,"dd"),Monthly_Pay_Model!$C$9:$C$39,0),4)),IF(VLOOKUP(A501,Calendar!$A$1:$R$1377,18,0)=4,SUM(INDEX(Monthly_Pay_Model!$A$9:$D$40,MATCH(TEXT(A501,"dd"),Monthly_Pay_Model!$C$9:$C$39,0),4),INDEX(Monthly_Pay_Model!$A$9:$D$40,MATCH(TEXT(A502,"dd"),Monthly_Pay_Model!$C$9:$C$39,0),4),INDEX(Monthly_Pay_Model!$A$9:$D$40,MATCH(TEXT(A503,"dd"),Monthly_Pay_Model!$C$9:$C$39,0),4),INDEX(Monthly_Pay_Model!$A$9:$D$40,MATCH(TEXT(A504,"dd"),Monthly_Pay_Model!$C$9:$C$39,0),4)),IF(VLOOKUP(A501,Calendar!$A$1:$R$1377,18,0)=5,SUM(INDEX(Monthly_Pay_Model!$A$9:$D$40,MATCH(TEXT(A501,"dd"),Monthly_Pay_Model!$C$9:$C$39,0),4),INDEX(Monthly_Pay_Model!$A$9:$D$40,MATCH(TEXT(A502,"dd"),Monthly_Pay_Model!$C$9:$C$39,0),4),INDEX(Monthly_Pay_Model!$A$9:$D$40,MATCH(TEXT(A503,"dd"),Monthly_Pay_Model!$C$9:$C$39,0),4),INDEX(Monthly_Pay_Model!$A$9:$D$40,MATCH(TEXT(A504,"dd"),Monthly_Pay_Model!$C$9:$C$39,0),4),INDEX(Monthly_Pay_Model!$A$9:$D$40,MATCH(TEXT(A505,"dd"),Monthly_Pay_Model!$C$9:$C$39,0),4)),))))))</f>
        <v>8.1256544502617792E-4</v>
      </c>
      <c r="J501" s="33">
        <f>IF(C501="Yes",Monthly_Pay_Model!$D$2,0)
+IF(Calendar!N501="Yes",Monthly_Pay_Model!$D$3,0)
+IF(D501="Yes",Monthly_Pay_Model!$D$4,0)
+IF(E501="Yes",Monthly_Pay_Model!$D$5,0)</f>
        <v>0</v>
      </c>
      <c r="K501" s="27">
        <f>IF(VLOOKUP($A501,Calendar!$A$1:$R$1377,18,0)=0,0,IF(VLOOKUP($A501,Calendar!$A$1:$R$1377,18,0)=1,IFERROR(INDEX(Weekly_Model!$D$2:$D$9,MATCH(F501,Weekly_Model!$A$2:$A$9,0)),0),IF(VLOOKUP($A501,Calendar!$A$1:$R$1377,18,0)=2,SUM(IFERROR(INDEX(Weekly_Model!$D$2:$D$9,MATCH(F501,Weekly_Model!$A$2:$A$9,0)),0),IFERROR(INDEX(Weekly_Model!$D$2:$D$9,MATCH(F502,Weekly_Model!$A$2:$A$9,0)),0)),IF(VLOOKUP($A501,Calendar!$A$1:$R$1377,18,0)=3,SUM(IFERROR(INDEX(Weekly_Model!$D$2:$D$9,MATCH(F501,Weekly_Model!$A$2:$A$9,0)),0),IFERROR(INDEX(Weekly_Model!$D$2:$D$9,MATCH(F502,Weekly_Model!$A$2:$A$9,0)),0),IFERROR(INDEX(Weekly_Model!$D$2:$D$9,MATCH(F503,Weekly_Model!$A$2:$A$9,0)),0)),IF(VLOOKUP($A501,Calendar!$A$1:$R$1377,18,0)=4,SUM(IFERROR(INDEX(Weekly_Model!$D$2:$D$9,MATCH(F501,Weekly_Model!$A$2:$A$9,0)),0),IFERROR(INDEX(Weekly_Model!$D$2:$D$9,MATCH(F502,Weekly_Model!$A$2:$A$9,0)),0),IFERROR(INDEX(Weekly_Model!$D$2:$D$9,MATCH(F503,Weekly_Model!$A$2:$A$9,0)),0),IFERROR(INDEX(Weekly_Model!$D$2:$D$9,MATCH(F504,Weekly_Model!$A$2:$A$9,0)),0)),IF(VLOOKUP($A501,Calendar!$A$1:$R$1377,18,0)=5,SUM(IFERROR(INDEX(Weekly_Model!$D$2:$D$9,MATCH(F501,Weekly_Model!$A$2:$A$9,0)),0),IFERROR(INDEX(Weekly_Model!$D$2:$D$9,MATCH(F502,Weekly_Model!$A$2:$A$9,0)),0),IFERROR(INDEX(Weekly_Model!$D$2:$D$9,MATCH(F503,Weekly_Model!$A$2:$A$9,0)),0),IFERROR(INDEX(Weekly_Model!$D$2:$D$9,MATCH(F504,Weekly_Model!$A$2:$A$9,0)),0),IFERROR(INDEX(Weekly_Model!$D$2:$D$9,MATCH(F505,Weekly_Model!$A$2:$A$9,0)),0)),0))))))</f>
        <v>2.3200000000000002E-2</v>
      </c>
      <c r="L501" s="27">
        <f>IF(VLOOKUP($A501,Calendar!$A$1:$R$1377,18,0)=0,0,IF(VLOOKUP($A501,Calendar!$A$1:$R$1377,18,0)=1,IFERROR(INDEX(Fortnightly_Model!$D$2:$D$15,MATCH(G501,Fortnightly_Model!$B$2:$B$15,0)),0),IF(VLOOKUP($A501,Calendar!$A$1:$R$1377,18,0)=2,SUM(IFERROR(INDEX(Fortnightly_Model!$D$2:$D$15,MATCH(G501,Fortnightly_Model!$B$2:$B$15,0)),0),IFERROR(INDEX(Fortnightly_Model!$D$2:$D$15,MATCH(G502,Fortnightly_Model!$B$2:$B$15,0)),0)),IF(VLOOKUP($A501,Calendar!$A$1:$R$1377,18,0)=3,SUM(IFERROR(INDEX(Fortnightly_Model!$D$2:$D$15,MATCH(G501,Fortnightly_Model!$B$2:$B$15,0)),0),IFERROR(INDEX(Fortnightly_Model!$D$2:$D$15,MATCH(G502,Fortnightly_Model!$B$2:$B$15,0)),0),IFERROR(INDEX(Fortnightly_Model!$D$2:$D$15,MATCH(G503,Fortnightly_Model!$B$2:$B$15,0)),0)),IF(VLOOKUP($A501,Calendar!$A$1:$R$1377,18,0)=4,SUM(IFERROR(INDEX(Fortnightly_Model!$D$2:$D$15,MATCH(G501,Fortnightly_Model!$B$2:$B$15,0)),0),IFERROR(INDEX(Fortnightly_Model!$D$2:$D$15,MATCH(G502,Fortnightly_Model!$B$2:$B$15,0)),0),IFERROR(INDEX(Fortnightly_Model!$D$2:$D$15,MATCH(G503,Fortnightly_Model!$B$2:$B$15,0)),0),IFERROR(INDEX(Fortnightly_Model!$D$2:$D$15,MATCH(G504,Fortnightly_Model!$B$2:$B$15,0)),0)),IF(VLOOKUP($A501,Calendar!$A$1:$R$1377,18,0)=5,SUM(IFERROR(INDEX(Fortnightly_Model!$D$2:$D$15,MATCH(G501,Fortnightly_Model!$B$2:$B$15,0)),0),IFERROR(INDEX(Fortnightly_Model!$D$2:$D$15,MATCH(G502,Fortnightly_Model!$B$2:$B$15,0)),0),IFERROR(INDEX(Fortnightly_Model!$D$2:$D$15,MATCH(G503,Fortnightly_Model!$B$2:$B$15,0)),0),IFERROR(INDEX(Fortnightly_Model!$D$2:$D$15,MATCH(G504,Fortnightly_Model!$B$2:$B$15,0)),0),IFERROR(INDEX(Fortnightly_Model!$D$2:$D$15,MATCH(G505,Fortnightly_Model!$B$2:$B$15,0)),0)),0))))))</f>
        <v>1.0714285499999999E-3</v>
      </c>
      <c r="M501" s="27">
        <f>IF(VLOOKUP($A501,Calendar!$A$1:$R$1377,18,0)=0,0,IF(VLOOKUP($A501,Calendar!$A$1:$R$1377,18,0)=1,IFERROR(INDEX(FourWeekly_Model!$D$2:$D$29,MATCH(H501,FourWeekly_Model!$B$2:$B$29,0)),0),IF(VLOOKUP($A501,Calendar!$A$1:$R$1377,18,0)=2,SUM(IFERROR(INDEX(FourWeekly_Model!$D$2:$D$29,MATCH(H501,FourWeekly_Model!$B$2:$B$29,0)),0),IFERROR(INDEX(FourWeekly_Model!$D$2:$D$29,MATCH(H502,FourWeekly_Model!$B$2:$B$29,0)),0)),IF(VLOOKUP($A501,Calendar!$A$1:$R$1377,18,0)=3,SUM(IFERROR(INDEX(FourWeekly_Model!$D$2:$D$29,MATCH(H501,FourWeekly_Model!$B$2:$B$29,0)),0),IFERROR(INDEX(FourWeekly_Model!$D$2:$D$29,MATCH(H502,FourWeekly_Model!$B$2:$B$29,0)),0),IFERROR(INDEX(FourWeekly_Model!$D$2:$D$29,MATCH(H503,FourWeekly_Model!$B$2:$B$29,0)),0)),IF(VLOOKUP($A501,Calendar!$A$1:$R$1377,18,0)=4,SUM(IFERROR(INDEX(FourWeekly_Model!$D$2:$D$29,MATCH(H501,FourWeekly_Model!$B$2:$B$29,0)),0),IFERROR(INDEX(FourWeekly_Model!$D$2:$D$29,MATCH(H502,FourWeekly_Model!$B$2:$B$29,0)),0),IFERROR(INDEX(FourWeekly_Model!$D$2:$D$29,MATCH(H503,FourWeekly_Model!$B$2:$B$29,0)),0),IFERROR(INDEX(FourWeekly_Model!$D$2:$D$29,MATCH(H504,FourWeekly_Model!$B$2:$B$29,0)),0)),IF(VLOOKUP($A501,Calendar!$A$1:$R$1377,18,0)=5,SUM(IFERROR(INDEX(FourWeekly_Model!$D$2:$D$29,MATCH(H501,FourWeekly_Model!$B$2:$B$29,0)),0),IFERROR(INDEX(FourWeekly_Model!$D$2:$D$29,MATCH(H502,FourWeekly_Model!$B$2:$B$29,0)),0),IFERROR(INDEX(FourWeekly_Model!$D$2:$D$29,MATCH(H503,FourWeekly_Model!$B$2:$B$29,0)),0),IFERROR(INDEX(FourWeekly_Model!$D$2:$D$29,MATCH(H504,FourWeekly_Model!$B$2:$B$29,0)),0),IFERROR(INDEX(FourWeekly_Model!$D$2:$D$29,MATCH(H505,FourWeekly_Model!$B$2:$B$29,0)),0)),0))))))</f>
        <v>3.3214289700000004E-3</v>
      </c>
      <c r="N501" s="27">
        <f>SUM(I501:M501)</f>
        <v>2.840542296502618E-2</v>
      </c>
      <c r="O501" s="28">
        <f>Population_Data!$B$8*N501</f>
        <v>860684.3158402933</v>
      </c>
      <c r="P501" s="27">
        <f>IF(VLOOKUP($A501,Calendar!$A$1:$R$1377,18,0)=0,0,IF(VLOOKUP($A501,Calendar!$A$1:$R$1377,18,0)=1,IFERROR(INDEX(Pension_Model!$D$2:$D$29,MATCH(H501,Pension_Model!$B$2:$B$29,0)),0),IF(VLOOKUP($A501,Calendar!$A$1:$R$1377,18,0)=2,SUM(IFERROR(INDEX(Pension_Model!$D$2:$D$29,MATCH(H501,Pension_Model!$B$2:$B$29,0)),0),IFERROR(INDEX(Pension_Model!$D$2:$D$29,MATCH(H502,Pension_Model!$B$2:$B$29,0)),0)),IF(VLOOKUP($A501,Calendar!$A$1:$R$1377,18,0)=3,SUM(IFERROR(INDEX(Pension_Model!$D$2:$D$29,MATCH(H501,Pension_Model!$B$2:$B$29,0)),0),IFERROR(INDEX(Pension_Model!$D$2:$D$29,MATCH(H502,Pension_Model!$B$2:$B$29,0)),0),IFERROR(INDEX(Pension_Model!$D$2:$D$29,MATCH(H503,Pension_Model!$B$2:$B$29,0)),0)),IF(VLOOKUP($A501,Calendar!$A$1:$R$1377,18,0)=4,SUM(IFERROR(INDEX(Pension_Model!$D$2:$D$29,MATCH(H501,Pension_Model!$B$2:$B$29,0)),0),IFERROR(INDEX(Pension_Model!$D$2:$D$29,MATCH(H502,Pension_Model!$B$2:$B$29,0)),0),IFERROR(INDEX(Pension_Model!$D$2:$D$29,MATCH(H503,Pension_Model!$B$2:$B$29,0)),0),IFERROR(INDEX(Pension_Model!$D$2:$D$29,MATCH(H504,Pension_Model!$B$2:$B$29,0)),0)),IF(VLOOKUP($A501,Calendar!$A$1:$R$1377,18,0)=5,SUM(IFERROR(INDEX(Pension_Model!$D$2:$D$29,MATCH(H501,Pension_Model!$B$2:$B$29,0)),0),IFERROR(INDEX(Pension_Model!$D$2:$D$29,MATCH(H502,Pension_Model!$B$2:$B$29,0)),0),IFERROR(INDEX(Pension_Model!$D$2:$D$29,MATCH(H503,Pension_Model!$B$2:$B$29,0)),0),IFERROR(INDEX(Pension_Model!$D$2:$D$29,MATCH(H504,Pension_Model!$B$2:$B$29,0)),0),IFERROR(INDEX(Pension_Model!$D$2:$D$29,MATCH(H505,Pension_Model!$B$2:$B$29,0)),0)),0))))))</f>
        <v>0.05</v>
      </c>
      <c r="Q501" s="28">
        <f>Population_Data!$B$15*P501</f>
        <v>660600</v>
      </c>
      <c r="S501">
        <f t="shared" si="7"/>
        <v>1521284.3158402932</v>
      </c>
      <c r="U501" s="33">
        <f>S501/Population_Data!$B$19</f>
        <v>2.7559498475367629E-2</v>
      </c>
    </row>
    <row r="502" spans="1:21">
      <c r="A502" s="25">
        <f>Calendar!A502</f>
        <v>46735</v>
      </c>
      <c r="B502" t="str">
        <f>Calendar!L502</f>
        <v>Yes</v>
      </c>
      <c r="C502" t="str">
        <f>Calendar!O502</f>
        <v>No</v>
      </c>
      <c r="D502" t="str">
        <f>Calendar!P502</f>
        <v>No</v>
      </c>
      <c r="E502" t="str">
        <f>Calendar!Q502</f>
        <v>No</v>
      </c>
      <c r="F502" t="str">
        <f>Calendar!I502</f>
        <v>Tuesday</v>
      </c>
      <c r="G502">
        <f>Calendar!S502</f>
        <v>3</v>
      </c>
      <c r="H502">
        <f>Calendar!T502</f>
        <v>3</v>
      </c>
      <c r="I502" s="27">
        <f>IF(VLOOKUP(A502,Calendar!$A$1:$R$1377,18,0)=0,0,IF(VLOOKUP(A502,Calendar!$A$1:$R$1377,18,0)=1,INDEX(Monthly_Pay_Model!$A$9:$D$40,MATCH(TEXT(A502,"dd"),Monthly_Pay_Model!$C$9:$C$39,0),4),IF(VLOOKUP(A502,Calendar!$A$1:$R$1377,18,0)=2,SUM(INDEX(Monthly_Pay_Model!$A$9:$D$40,MATCH(TEXT(A502,"dd"),Monthly_Pay_Model!$C$9:$C$39,0),4),INDEX(Monthly_Pay_Model!$A$9:$D$40,MATCH(TEXT(A503,"dd"),Monthly_Pay_Model!$C$9:$C$39,0),4)),IF(VLOOKUP(A502,Calendar!$A$1:$R$1377,18,0)=3,SUM(INDEX(Monthly_Pay_Model!$A$9:$D$40,MATCH(TEXT(A502,"dd"),Monthly_Pay_Model!$C$9:$C$39,0),4),INDEX(Monthly_Pay_Model!$A$9:$D$40,MATCH(TEXT(A503,"dd"),Monthly_Pay_Model!$C$9:$C$39,0),4),INDEX(Monthly_Pay_Model!$A$9:$D$40,MATCH(TEXT(A504,"dd"),Monthly_Pay_Model!$C$9:$C$39,0),4)),IF(VLOOKUP(A502,Calendar!$A$1:$R$1377,18,0)=4,SUM(INDEX(Monthly_Pay_Model!$A$9:$D$40,MATCH(TEXT(A502,"dd"),Monthly_Pay_Model!$C$9:$C$39,0),4),INDEX(Monthly_Pay_Model!$A$9:$D$40,MATCH(TEXT(A503,"dd"),Monthly_Pay_Model!$C$9:$C$39,0),4),INDEX(Monthly_Pay_Model!$A$9:$D$40,MATCH(TEXT(A504,"dd"),Monthly_Pay_Model!$C$9:$C$39,0),4),INDEX(Monthly_Pay_Model!$A$9:$D$40,MATCH(TEXT(A505,"dd"),Monthly_Pay_Model!$C$9:$C$39,0),4)),IF(VLOOKUP(A502,Calendar!$A$1:$R$1377,18,0)=5,SUM(INDEX(Monthly_Pay_Model!$A$9:$D$40,MATCH(TEXT(A502,"dd"),Monthly_Pay_Model!$C$9:$C$39,0),4),INDEX(Monthly_Pay_Model!$A$9:$D$40,MATCH(TEXT(A503,"dd"),Monthly_Pay_Model!$C$9:$C$39,0),4),INDEX(Monthly_Pay_Model!$A$9:$D$40,MATCH(TEXT(A504,"dd"),Monthly_Pay_Model!$C$9:$C$39,0),4),INDEX(Monthly_Pay_Model!$A$9:$D$40,MATCH(TEXT(A505,"dd"),Monthly_Pay_Model!$C$9:$C$39,0),4),INDEX(Monthly_Pay_Model!$A$9:$D$40,MATCH(TEXT(A506,"dd"),Monthly_Pay_Model!$C$9:$C$39,0),4)),))))))</f>
        <v>8.1256544502617792E-4</v>
      </c>
      <c r="J502" s="33">
        <f>IF(C502="Yes",Monthly_Pay_Model!$D$2,0)
+IF(Calendar!N502="Yes",Monthly_Pay_Model!$D$3,0)
+IF(D502="Yes",Monthly_Pay_Model!$D$4,0)
+IF(E502="Yes",Monthly_Pay_Model!$D$5,0)</f>
        <v>0</v>
      </c>
      <c r="K502" s="27">
        <f>IF(VLOOKUP($A502,Calendar!$A$1:$R$1377,18,0)=0,0,IF(VLOOKUP($A502,Calendar!$A$1:$R$1377,18,0)=1,IFERROR(INDEX(Weekly_Model!$D$2:$D$9,MATCH(F502,Weekly_Model!$A$2:$A$9,0)),0),IF(VLOOKUP($A502,Calendar!$A$1:$R$1377,18,0)=2,SUM(IFERROR(INDEX(Weekly_Model!$D$2:$D$9,MATCH(F502,Weekly_Model!$A$2:$A$9,0)),0),IFERROR(INDEX(Weekly_Model!$D$2:$D$9,MATCH(F503,Weekly_Model!$A$2:$A$9,0)),0)),IF(VLOOKUP($A502,Calendar!$A$1:$R$1377,18,0)=3,SUM(IFERROR(INDEX(Weekly_Model!$D$2:$D$9,MATCH(F502,Weekly_Model!$A$2:$A$9,0)),0),IFERROR(INDEX(Weekly_Model!$D$2:$D$9,MATCH(F503,Weekly_Model!$A$2:$A$9,0)),0),IFERROR(INDEX(Weekly_Model!$D$2:$D$9,MATCH(F504,Weekly_Model!$A$2:$A$9,0)),0)),IF(VLOOKUP($A502,Calendar!$A$1:$R$1377,18,0)=4,SUM(IFERROR(INDEX(Weekly_Model!$D$2:$D$9,MATCH(F502,Weekly_Model!$A$2:$A$9,0)),0),IFERROR(INDEX(Weekly_Model!$D$2:$D$9,MATCH(F503,Weekly_Model!$A$2:$A$9,0)),0),IFERROR(INDEX(Weekly_Model!$D$2:$D$9,MATCH(F504,Weekly_Model!$A$2:$A$9,0)),0),IFERROR(INDEX(Weekly_Model!$D$2:$D$9,MATCH(F505,Weekly_Model!$A$2:$A$9,0)),0)),IF(VLOOKUP($A502,Calendar!$A$1:$R$1377,18,0)=5,SUM(IFERROR(INDEX(Weekly_Model!$D$2:$D$9,MATCH(F502,Weekly_Model!$A$2:$A$9,0)),0),IFERROR(INDEX(Weekly_Model!$D$2:$D$9,MATCH(F503,Weekly_Model!$A$2:$A$9,0)),0),IFERROR(INDEX(Weekly_Model!$D$2:$D$9,MATCH(F504,Weekly_Model!$A$2:$A$9,0)),0),IFERROR(INDEX(Weekly_Model!$D$2:$D$9,MATCH(F505,Weekly_Model!$A$2:$A$9,0)),0),IFERROR(INDEX(Weekly_Model!$D$2:$D$9,MATCH(F506,Weekly_Model!$A$2:$A$9,0)),0)),0))))))</f>
        <v>2.3200000000000002E-2</v>
      </c>
      <c r="L502" s="27">
        <f>IF(VLOOKUP($A502,Calendar!$A$1:$R$1377,18,0)=0,0,IF(VLOOKUP($A502,Calendar!$A$1:$R$1377,18,0)=1,IFERROR(INDEX(Fortnightly_Model!$D$2:$D$15,MATCH(G502,Fortnightly_Model!$B$2:$B$15,0)),0),IF(VLOOKUP($A502,Calendar!$A$1:$R$1377,18,0)=2,SUM(IFERROR(INDEX(Fortnightly_Model!$D$2:$D$15,MATCH(G502,Fortnightly_Model!$B$2:$B$15,0)),0),IFERROR(INDEX(Fortnightly_Model!$D$2:$D$15,MATCH(G503,Fortnightly_Model!$B$2:$B$15,0)),0)),IF(VLOOKUP($A502,Calendar!$A$1:$R$1377,18,0)=3,SUM(IFERROR(INDEX(Fortnightly_Model!$D$2:$D$15,MATCH(G502,Fortnightly_Model!$B$2:$B$15,0)),0),IFERROR(INDEX(Fortnightly_Model!$D$2:$D$15,MATCH(G503,Fortnightly_Model!$B$2:$B$15,0)),0),IFERROR(INDEX(Fortnightly_Model!$D$2:$D$15,MATCH(G504,Fortnightly_Model!$B$2:$B$15,0)),0)),IF(VLOOKUP($A502,Calendar!$A$1:$R$1377,18,0)=4,SUM(IFERROR(INDEX(Fortnightly_Model!$D$2:$D$15,MATCH(G502,Fortnightly_Model!$B$2:$B$15,0)),0),IFERROR(INDEX(Fortnightly_Model!$D$2:$D$15,MATCH(G503,Fortnightly_Model!$B$2:$B$15,0)),0),IFERROR(INDEX(Fortnightly_Model!$D$2:$D$15,MATCH(G504,Fortnightly_Model!$B$2:$B$15,0)),0),IFERROR(INDEX(Fortnightly_Model!$D$2:$D$15,MATCH(G505,Fortnightly_Model!$B$2:$B$15,0)),0)),IF(VLOOKUP($A502,Calendar!$A$1:$R$1377,18,0)=5,SUM(IFERROR(INDEX(Fortnightly_Model!$D$2:$D$15,MATCH(G502,Fortnightly_Model!$B$2:$B$15,0)),0),IFERROR(INDEX(Fortnightly_Model!$D$2:$D$15,MATCH(G503,Fortnightly_Model!$B$2:$B$15,0)),0),IFERROR(INDEX(Fortnightly_Model!$D$2:$D$15,MATCH(G504,Fortnightly_Model!$B$2:$B$15,0)),0),IFERROR(INDEX(Fortnightly_Model!$D$2:$D$15,MATCH(G505,Fortnightly_Model!$B$2:$B$15,0)),0),IFERROR(INDEX(Fortnightly_Model!$D$2:$D$15,MATCH(G506,Fortnightly_Model!$B$2:$B$15,0)),0)),0))))))</f>
        <v>1.0714285499999999E-3</v>
      </c>
      <c r="M502" s="27">
        <f>IF(VLOOKUP($A502,Calendar!$A$1:$R$1377,18,0)=0,0,IF(VLOOKUP($A502,Calendar!$A$1:$R$1377,18,0)=1,IFERROR(INDEX(FourWeekly_Model!$D$2:$D$29,MATCH(H502,FourWeekly_Model!$B$2:$B$29,0)),0),IF(VLOOKUP($A502,Calendar!$A$1:$R$1377,18,0)=2,SUM(IFERROR(INDEX(FourWeekly_Model!$D$2:$D$29,MATCH(H502,FourWeekly_Model!$B$2:$B$29,0)),0),IFERROR(INDEX(FourWeekly_Model!$D$2:$D$29,MATCH(H503,FourWeekly_Model!$B$2:$B$29,0)),0)),IF(VLOOKUP($A502,Calendar!$A$1:$R$1377,18,0)=3,SUM(IFERROR(INDEX(FourWeekly_Model!$D$2:$D$29,MATCH(H502,FourWeekly_Model!$B$2:$B$29,0)),0),IFERROR(INDEX(FourWeekly_Model!$D$2:$D$29,MATCH(H503,FourWeekly_Model!$B$2:$B$29,0)),0),IFERROR(INDEX(FourWeekly_Model!$D$2:$D$29,MATCH(H504,FourWeekly_Model!$B$2:$B$29,0)),0)),IF(VLOOKUP($A502,Calendar!$A$1:$R$1377,18,0)=4,SUM(IFERROR(INDEX(FourWeekly_Model!$D$2:$D$29,MATCH(H502,FourWeekly_Model!$B$2:$B$29,0)),0),IFERROR(INDEX(FourWeekly_Model!$D$2:$D$29,MATCH(H503,FourWeekly_Model!$B$2:$B$29,0)),0),IFERROR(INDEX(FourWeekly_Model!$D$2:$D$29,MATCH(H504,FourWeekly_Model!$B$2:$B$29,0)),0),IFERROR(INDEX(FourWeekly_Model!$D$2:$D$29,MATCH(H505,FourWeekly_Model!$B$2:$B$29,0)),0)),IF(VLOOKUP($A502,Calendar!$A$1:$R$1377,18,0)=5,SUM(IFERROR(INDEX(FourWeekly_Model!$D$2:$D$29,MATCH(H502,FourWeekly_Model!$B$2:$B$29,0)),0),IFERROR(INDEX(FourWeekly_Model!$D$2:$D$29,MATCH(H503,FourWeekly_Model!$B$2:$B$29,0)),0),IFERROR(INDEX(FourWeekly_Model!$D$2:$D$29,MATCH(H504,FourWeekly_Model!$B$2:$B$29,0)),0),IFERROR(INDEX(FourWeekly_Model!$D$2:$D$29,MATCH(H505,FourWeekly_Model!$B$2:$B$29,0)),0),IFERROR(INDEX(FourWeekly_Model!$D$2:$D$29,MATCH(H506,FourWeekly_Model!$B$2:$B$29,0)),0)),0))))))</f>
        <v>3.3214289700000004E-3</v>
      </c>
      <c r="N502" s="27">
        <f>SUM(I502:M502)</f>
        <v>2.840542296502618E-2</v>
      </c>
      <c r="O502" s="28">
        <f>Population_Data!$B$8*N502</f>
        <v>860684.3158402933</v>
      </c>
      <c r="P502" s="27">
        <f>IF(VLOOKUP($A502,Calendar!$A$1:$R$1377,18,0)=0,0,IF(VLOOKUP($A502,Calendar!$A$1:$R$1377,18,0)=1,IFERROR(INDEX(Pension_Model!$D$2:$D$29,MATCH(H502,Pension_Model!$B$2:$B$29,0)),0),IF(VLOOKUP($A502,Calendar!$A$1:$R$1377,18,0)=2,SUM(IFERROR(INDEX(Pension_Model!$D$2:$D$29,MATCH(H502,Pension_Model!$B$2:$B$29,0)),0),IFERROR(INDEX(Pension_Model!$D$2:$D$29,MATCH(H503,Pension_Model!$B$2:$B$29,0)),0)),IF(VLOOKUP($A502,Calendar!$A$1:$R$1377,18,0)=3,SUM(IFERROR(INDEX(Pension_Model!$D$2:$D$29,MATCH(H502,Pension_Model!$B$2:$B$29,0)),0),IFERROR(INDEX(Pension_Model!$D$2:$D$29,MATCH(H503,Pension_Model!$B$2:$B$29,0)),0),IFERROR(INDEX(Pension_Model!$D$2:$D$29,MATCH(H504,Pension_Model!$B$2:$B$29,0)),0)),IF(VLOOKUP($A502,Calendar!$A$1:$R$1377,18,0)=4,SUM(IFERROR(INDEX(Pension_Model!$D$2:$D$29,MATCH(H502,Pension_Model!$B$2:$B$29,0)),0),IFERROR(INDEX(Pension_Model!$D$2:$D$29,MATCH(H503,Pension_Model!$B$2:$B$29,0)),0),IFERROR(INDEX(Pension_Model!$D$2:$D$29,MATCH(H504,Pension_Model!$B$2:$B$29,0)),0),IFERROR(INDEX(Pension_Model!$D$2:$D$29,MATCH(H505,Pension_Model!$B$2:$B$29,0)),0)),IF(VLOOKUP($A502,Calendar!$A$1:$R$1377,18,0)=5,SUM(IFERROR(INDEX(Pension_Model!$D$2:$D$29,MATCH(H502,Pension_Model!$B$2:$B$29,0)),0),IFERROR(INDEX(Pension_Model!$D$2:$D$29,MATCH(H503,Pension_Model!$B$2:$B$29,0)),0),IFERROR(INDEX(Pension_Model!$D$2:$D$29,MATCH(H504,Pension_Model!$B$2:$B$29,0)),0),IFERROR(INDEX(Pension_Model!$D$2:$D$29,MATCH(H505,Pension_Model!$B$2:$B$29,0)),0),IFERROR(INDEX(Pension_Model!$D$2:$D$29,MATCH(H506,Pension_Model!$B$2:$B$29,0)),0)),0))))))</f>
        <v>0.05</v>
      </c>
      <c r="Q502" s="28">
        <f>Population_Data!$B$15*P502</f>
        <v>660600</v>
      </c>
      <c r="S502">
        <f t="shared" si="7"/>
        <v>1521284.3158402932</v>
      </c>
      <c r="U502" s="33">
        <f>S502/Population_Data!$B$19</f>
        <v>2.7559498475367629E-2</v>
      </c>
    </row>
    <row r="503" spans="1:21">
      <c r="A503" s="25">
        <f>Calendar!A503</f>
        <v>46736</v>
      </c>
      <c r="B503" t="str">
        <f>Calendar!L503</f>
        <v>Yes</v>
      </c>
      <c r="C503" t="str">
        <f>Calendar!O503</f>
        <v>No</v>
      </c>
      <c r="D503" t="str">
        <f>Calendar!P503</f>
        <v>No</v>
      </c>
      <c r="E503" t="str">
        <f>Calendar!Q503</f>
        <v>No</v>
      </c>
      <c r="F503" t="str">
        <f>Calendar!I503</f>
        <v>Wednesday</v>
      </c>
      <c r="G503">
        <f>Calendar!S503</f>
        <v>4</v>
      </c>
      <c r="H503">
        <f>Calendar!T503</f>
        <v>4</v>
      </c>
      <c r="I503" s="27">
        <f>IF(VLOOKUP(A503,Calendar!$A$1:$R$1377,18,0)=0,0,IF(VLOOKUP(A503,Calendar!$A$1:$R$1377,18,0)=1,INDEX(Monthly_Pay_Model!$A$9:$D$40,MATCH(TEXT(A503,"dd"),Monthly_Pay_Model!$C$9:$C$39,0),4),IF(VLOOKUP(A503,Calendar!$A$1:$R$1377,18,0)=2,SUM(INDEX(Monthly_Pay_Model!$A$9:$D$40,MATCH(TEXT(A503,"dd"),Monthly_Pay_Model!$C$9:$C$39,0),4),INDEX(Monthly_Pay_Model!$A$9:$D$40,MATCH(TEXT(A504,"dd"),Monthly_Pay_Model!$C$9:$C$39,0),4)),IF(VLOOKUP(A503,Calendar!$A$1:$R$1377,18,0)=3,SUM(INDEX(Monthly_Pay_Model!$A$9:$D$40,MATCH(TEXT(A503,"dd"),Monthly_Pay_Model!$C$9:$C$39,0),4),INDEX(Monthly_Pay_Model!$A$9:$D$40,MATCH(TEXT(A504,"dd"),Monthly_Pay_Model!$C$9:$C$39,0),4),INDEX(Monthly_Pay_Model!$A$9:$D$40,MATCH(TEXT(A505,"dd"),Monthly_Pay_Model!$C$9:$C$39,0),4)),IF(VLOOKUP(A503,Calendar!$A$1:$R$1377,18,0)=4,SUM(INDEX(Monthly_Pay_Model!$A$9:$D$40,MATCH(TEXT(A503,"dd"),Monthly_Pay_Model!$C$9:$C$39,0),4),INDEX(Monthly_Pay_Model!$A$9:$D$40,MATCH(TEXT(A504,"dd"),Monthly_Pay_Model!$C$9:$C$39,0),4),INDEX(Monthly_Pay_Model!$A$9:$D$40,MATCH(TEXT(A505,"dd"),Monthly_Pay_Model!$C$9:$C$39,0),4),INDEX(Monthly_Pay_Model!$A$9:$D$40,MATCH(TEXT(A506,"dd"),Monthly_Pay_Model!$C$9:$C$39,0),4)),IF(VLOOKUP(A503,Calendar!$A$1:$R$1377,18,0)=5,SUM(INDEX(Monthly_Pay_Model!$A$9:$D$40,MATCH(TEXT(A503,"dd"),Monthly_Pay_Model!$C$9:$C$39,0),4),INDEX(Monthly_Pay_Model!$A$9:$D$40,MATCH(TEXT(A504,"dd"),Monthly_Pay_Model!$C$9:$C$39,0),4),INDEX(Monthly_Pay_Model!$A$9:$D$40,MATCH(TEXT(A505,"dd"),Monthly_Pay_Model!$C$9:$C$39,0),4),INDEX(Monthly_Pay_Model!$A$9:$D$40,MATCH(TEXT(A506,"dd"),Monthly_Pay_Model!$C$9:$C$39,0),4),INDEX(Monthly_Pay_Model!$A$9:$D$40,MATCH(TEXT(A507,"dd"),Monthly_Pay_Model!$C$9:$C$39,0),4)),))))))</f>
        <v>1.3001047120418847E-2</v>
      </c>
      <c r="J503" s="33">
        <f>IF(C503="Yes",Monthly_Pay_Model!$D$2,0)
+IF(Calendar!N503="Yes",Monthly_Pay_Model!$D$3,0)
+IF(D503="Yes",Monthly_Pay_Model!$D$4,0)
+IF(E503="Yes",Monthly_Pay_Model!$D$5,0)</f>
        <v>0</v>
      </c>
      <c r="K503" s="27">
        <f>IF(VLOOKUP($A503,Calendar!$A$1:$R$1377,18,0)=0,0,IF(VLOOKUP($A503,Calendar!$A$1:$R$1377,18,0)=1,IFERROR(INDEX(Weekly_Model!$D$2:$D$9,MATCH(F503,Weekly_Model!$A$2:$A$9,0)),0),IF(VLOOKUP($A503,Calendar!$A$1:$R$1377,18,0)=2,SUM(IFERROR(INDEX(Weekly_Model!$D$2:$D$9,MATCH(F503,Weekly_Model!$A$2:$A$9,0)),0),IFERROR(INDEX(Weekly_Model!$D$2:$D$9,MATCH(F504,Weekly_Model!$A$2:$A$9,0)),0)),IF(VLOOKUP($A503,Calendar!$A$1:$R$1377,18,0)=3,SUM(IFERROR(INDEX(Weekly_Model!$D$2:$D$9,MATCH(F503,Weekly_Model!$A$2:$A$9,0)),0),IFERROR(INDEX(Weekly_Model!$D$2:$D$9,MATCH(F504,Weekly_Model!$A$2:$A$9,0)),0),IFERROR(INDEX(Weekly_Model!$D$2:$D$9,MATCH(F505,Weekly_Model!$A$2:$A$9,0)),0)),IF(VLOOKUP($A503,Calendar!$A$1:$R$1377,18,0)=4,SUM(IFERROR(INDEX(Weekly_Model!$D$2:$D$9,MATCH(F503,Weekly_Model!$A$2:$A$9,0)),0),IFERROR(INDEX(Weekly_Model!$D$2:$D$9,MATCH(F504,Weekly_Model!$A$2:$A$9,0)),0),IFERROR(INDEX(Weekly_Model!$D$2:$D$9,MATCH(F505,Weekly_Model!$A$2:$A$9,0)),0),IFERROR(INDEX(Weekly_Model!$D$2:$D$9,MATCH(F506,Weekly_Model!$A$2:$A$9,0)),0)),IF(VLOOKUP($A503,Calendar!$A$1:$R$1377,18,0)=5,SUM(IFERROR(INDEX(Weekly_Model!$D$2:$D$9,MATCH(F503,Weekly_Model!$A$2:$A$9,0)),0),IFERROR(INDEX(Weekly_Model!$D$2:$D$9,MATCH(F504,Weekly_Model!$A$2:$A$9,0)),0),IFERROR(INDEX(Weekly_Model!$D$2:$D$9,MATCH(F505,Weekly_Model!$A$2:$A$9,0)),0),IFERROR(INDEX(Weekly_Model!$D$2:$D$9,MATCH(F506,Weekly_Model!$A$2:$A$9,0)),0),IFERROR(INDEX(Weekly_Model!$D$2:$D$9,MATCH(F507,Weekly_Model!$A$2:$A$9,0)),0)),0))))))</f>
        <v>2.3200000000000002E-2</v>
      </c>
      <c r="L503" s="27">
        <f>IF(VLOOKUP($A503,Calendar!$A$1:$R$1377,18,0)=0,0,IF(VLOOKUP($A503,Calendar!$A$1:$R$1377,18,0)=1,IFERROR(INDEX(Fortnightly_Model!$D$2:$D$15,MATCH(G503,Fortnightly_Model!$B$2:$B$15,0)),0),IF(VLOOKUP($A503,Calendar!$A$1:$R$1377,18,0)=2,SUM(IFERROR(INDEX(Fortnightly_Model!$D$2:$D$15,MATCH(G503,Fortnightly_Model!$B$2:$B$15,0)),0),IFERROR(INDEX(Fortnightly_Model!$D$2:$D$15,MATCH(G504,Fortnightly_Model!$B$2:$B$15,0)),0)),IF(VLOOKUP($A503,Calendar!$A$1:$R$1377,18,0)=3,SUM(IFERROR(INDEX(Fortnightly_Model!$D$2:$D$15,MATCH(G503,Fortnightly_Model!$B$2:$B$15,0)),0),IFERROR(INDEX(Fortnightly_Model!$D$2:$D$15,MATCH(G504,Fortnightly_Model!$B$2:$B$15,0)),0),IFERROR(INDEX(Fortnightly_Model!$D$2:$D$15,MATCH(G505,Fortnightly_Model!$B$2:$B$15,0)),0)),IF(VLOOKUP($A503,Calendar!$A$1:$R$1377,18,0)=4,SUM(IFERROR(INDEX(Fortnightly_Model!$D$2:$D$15,MATCH(G503,Fortnightly_Model!$B$2:$B$15,0)),0),IFERROR(INDEX(Fortnightly_Model!$D$2:$D$15,MATCH(G504,Fortnightly_Model!$B$2:$B$15,0)),0),IFERROR(INDEX(Fortnightly_Model!$D$2:$D$15,MATCH(G505,Fortnightly_Model!$B$2:$B$15,0)),0),IFERROR(INDEX(Fortnightly_Model!$D$2:$D$15,MATCH(G506,Fortnightly_Model!$B$2:$B$15,0)),0)),IF(VLOOKUP($A503,Calendar!$A$1:$R$1377,18,0)=5,SUM(IFERROR(INDEX(Fortnightly_Model!$D$2:$D$15,MATCH(G503,Fortnightly_Model!$B$2:$B$15,0)),0),IFERROR(INDEX(Fortnightly_Model!$D$2:$D$15,MATCH(G504,Fortnightly_Model!$B$2:$B$15,0)),0),IFERROR(INDEX(Fortnightly_Model!$D$2:$D$15,MATCH(G505,Fortnightly_Model!$B$2:$B$15,0)),0),IFERROR(INDEX(Fortnightly_Model!$D$2:$D$15,MATCH(G506,Fortnightly_Model!$B$2:$B$15,0)),0),IFERROR(INDEX(Fortnightly_Model!$D$2:$D$15,MATCH(G507,Fortnightly_Model!$B$2:$B$15,0)),0)),0))))))</f>
        <v>1.0714285499999999E-3</v>
      </c>
      <c r="M503" s="27">
        <f>IF(VLOOKUP($A503,Calendar!$A$1:$R$1377,18,0)=0,0,IF(VLOOKUP($A503,Calendar!$A$1:$R$1377,18,0)=1,IFERROR(INDEX(FourWeekly_Model!$D$2:$D$29,MATCH(H503,FourWeekly_Model!$B$2:$B$29,0)),0),IF(VLOOKUP($A503,Calendar!$A$1:$R$1377,18,0)=2,SUM(IFERROR(INDEX(FourWeekly_Model!$D$2:$D$29,MATCH(H503,FourWeekly_Model!$B$2:$B$29,0)),0),IFERROR(INDEX(FourWeekly_Model!$D$2:$D$29,MATCH(H504,FourWeekly_Model!$B$2:$B$29,0)),0)),IF(VLOOKUP($A503,Calendar!$A$1:$R$1377,18,0)=3,SUM(IFERROR(INDEX(FourWeekly_Model!$D$2:$D$29,MATCH(H503,FourWeekly_Model!$B$2:$B$29,0)),0),IFERROR(INDEX(FourWeekly_Model!$D$2:$D$29,MATCH(H504,FourWeekly_Model!$B$2:$B$29,0)),0),IFERROR(INDEX(FourWeekly_Model!$D$2:$D$29,MATCH(H505,FourWeekly_Model!$B$2:$B$29,0)),0)),IF(VLOOKUP($A503,Calendar!$A$1:$R$1377,18,0)=4,SUM(IFERROR(INDEX(FourWeekly_Model!$D$2:$D$29,MATCH(H503,FourWeekly_Model!$B$2:$B$29,0)),0),IFERROR(INDEX(FourWeekly_Model!$D$2:$D$29,MATCH(H504,FourWeekly_Model!$B$2:$B$29,0)),0),IFERROR(INDEX(FourWeekly_Model!$D$2:$D$29,MATCH(H505,FourWeekly_Model!$B$2:$B$29,0)),0),IFERROR(INDEX(FourWeekly_Model!$D$2:$D$29,MATCH(H506,FourWeekly_Model!$B$2:$B$29,0)),0)),IF(VLOOKUP($A503,Calendar!$A$1:$R$1377,18,0)=5,SUM(IFERROR(INDEX(FourWeekly_Model!$D$2:$D$29,MATCH(H503,FourWeekly_Model!$B$2:$B$29,0)),0),IFERROR(INDEX(FourWeekly_Model!$D$2:$D$29,MATCH(H504,FourWeekly_Model!$B$2:$B$29,0)),0),IFERROR(INDEX(FourWeekly_Model!$D$2:$D$29,MATCH(H505,FourWeekly_Model!$B$2:$B$29,0)),0),IFERROR(INDEX(FourWeekly_Model!$D$2:$D$29,MATCH(H506,FourWeekly_Model!$B$2:$B$29,0)),0),IFERROR(INDEX(FourWeekly_Model!$D$2:$D$29,MATCH(H507,FourWeekly_Model!$B$2:$B$29,0)),0)),0))))))</f>
        <v>3.3214289700000004E-3</v>
      </c>
      <c r="N503" s="27">
        <f>SUM(I503:M503)</f>
        <v>4.059390464041885E-2</v>
      </c>
      <c r="O503" s="28">
        <f>Population_Data!$B$8*N503</f>
        <v>1229995.310604691</v>
      </c>
      <c r="P503" s="27">
        <f>IF(VLOOKUP($A503,Calendar!$A$1:$R$1377,18,0)=0,0,IF(VLOOKUP($A503,Calendar!$A$1:$R$1377,18,0)=1,IFERROR(INDEX(Pension_Model!$D$2:$D$29,MATCH(H503,Pension_Model!$B$2:$B$29,0)),0),IF(VLOOKUP($A503,Calendar!$A$1:$R$1377,18,0)=2,SUM(IFERROR(INDEX(Pension_Model!$D$2:$D$29,MATCH(H503,Pension_Model!$B$2:$B$29,0)),0),IFERROR(INDEX(Pension_Model!$D$2:$D$29,MATCH(H504,Pension_Model!$B$2:$B$29,0)),0)),IF(VLOOKUP($A503,Calendar!$A$1:$R$1377,18,0)=3,SUM(IFERROR(INDEX(Pension_Model!$D$2:$D$29,MATCH(H503,Pension_Model!$B$2:$B$29,0)),0),IFERROR(INDEX(Pension_Model!$D$2:$D$29,MATCH(H504,Pension_Model!$B$2:$B$29,0)),0),IFERROR(INDEX(Pension_Model!$D$2:$D$29,MATCH(H505,Pension_Model!$B$2:$B$29,0)),0)),IF(VLOOKUP($A503,Calendar!$A$1:$R$1377,18,0)=4,SUM(IFERROR(INDEX(Pension_Model!$D$2:$D$29,MATCH(H503,Pension_Model!$B$2:$B$29,0)),0),IFERROR(INDEX(Pension_Model!$D$2:$D$29,MATCH(H504,Pension_Model!$B$2:$B$29,0)),0),IFERROR(INDEX(Pension_Model!$D$2:$D$29,MATCH(H505,Pension_Model!$B$2:$B$29,0)),0),IFERROR(INDEX(Pension_Model!$D$2:$D$29,MATCH(H506,Pension_Model!$B$2:$B$29,0)),0)),IF(VLOOKUP($A503,Calendar!$A$1:$R$1377,18,0)=5,SUM(IFERROR(INDEX(Pension_Model!$D$2:$D$29,MATCH(H503,Pension_Model!$B$2:$B$29,0)),0),IFERROR(INDEX(Pension_Model!$D$2:$D$29,MATCH(H504,Pension_Model!$B$2:$B$29,0)),0),IFERROR(INDEX(Pension_Model!$D$2:$D$29,MATCH(H505,Pension_Model!$B$2:$B$29,0)),0),IFERROR(INDEX(Pension_Model!$D$2:$D$29,MATCH(H506,Pension_Model!$B$2:$B$29,0)),0),IFERROR(INDEX(Pension_Model!$D$2:$D$29,MATCH(H507,Pension_Model!$B$2:$B$29,0)),0)),0))))))</f>
        <v>0.05</v>
      </c>
      <c r="Q503" s="28">
        <f>Population_Data!$B$15*P503</f>
        <v>660600</v>
      </c>
      <c r="S503">
        <f t="shared" si="7"/>
        <v>1890595.310604691</v>
      </c>
      <c r="U503" s="33">
        <f>S503/Population_Data!$B$19</f>
        <v>3.4249915047186434E-2</v>
      </c>
    </row>
    <row r="504" spans="1:21">
      <c r="A504" s="25">
        <f>Calendar!A504</f>
        <v>46737</v>
      </c>
      <c r="B504" t="str">
        <f>Calendar!L504</f>
        <v>Yes</v>
      </c>
      <c r="C504" t="str">
        <f>Calendar!O504</f>
        <v>No</v>
      </c>
      <c r="D504" t="str">
        <f>Calendar!P504</f>
        <v>No</v>
      </c>
      <c r="E504" t="str">
        <f>Calendar!Q504</f>
        <v>No</v>
      </c>
      <c r="F504" t="str">
        <f>Calendar!I504</f>
        <v>Thursday</v>
      </c>
      <c r="G504">
        <f>Calendar!S504</f>
        <v>5</v>
      </c>
      <c r="H504">
        <f>Calendar!T504</f>
        <v>5</v>
      </c>
      <c r="I504" s="27">
        <f>IF(VLOOKUP(A504,Calendar!$A$1:$R$1377,18,0)=0,0,IF(VLOOKUP(A504,Calendar!$A$1:$R$1377,18,0)=1,INDEX(Monthly_Pay_Model!$A$9:$D$40,MATCH(TEXT(A504,"dd"),Monthly_Pay_Model!$C$9:$C$39,0),4),IF(VLOOKUP(A504,Calendar!$A$1:$R$1377,18,0)=2,SUM(INDEX(Monthly_Pay_Model!$A$9:$D$40,MATCH(TEXT(A504,"dd"),Monthly_Pay_Model!$C$9:$C$39,0),4),INDEX(Monthly_Pay_Model!$A$9:$D$40,MATCH(TEXT(A505,"dd"),Monthly_Pay_Model!$C$9:$C$39,0),4)),IF(VLOOKUP(A504,Calendar!$A$1:$R$1377,18,0)=3,SUM(INDEX(Monthly_Pay_Model!$A$9:$D$40,MATCH(TEXT(A504,"dd"),Monthly_Pay_Model!$C$9:$C$39,0),4),INDEX(Monthly_Pay_Model!$A$9:$D$40,MATCH(TEXT(A505,"dd"),Monthly_Pay_Model!$C$9:$C$39,0),4),INDEX(Monthly_Pay_Model!$A$9:$D$40,MATCH(TEXT(A506,"dd"),Monthly_Pay_Model!$C$9:$C$39,0),4)),IF(VLOOKUP(A504,Calendar!$A$1:$R$1377,18,0)=4,SUM(INDEX(Monthly_Pay_Model!$A$9:$D$40,MATCH(TEXT(A504,"dd"),Monthly_Pay_Model!$C$9:$C$39,0),4),INDEX(Monthly_Pay_Model!$A$9:$D$40,MATCH(TEXT(A505,"dd"),Monthly_Pay_Model!$C$9:$C$39,0),4),INDEX(Monthly_Pay_Model!$A$9:$D$40,MATCH(TEXT(A506,"dd"),Monthly_Pay_Model!$C$9:$C$39,0),4),INDEX(Monthly_Pay_Model!$A$9:$D$40,MATCH(TEXT(A507,"dd"),Monthly_Pay_Model!$C$9:$C$39,0),4)),IF(VLOOKUP(A504,Calendar!$A$1:$R$1377,18,0)=5,SUM(INDEX(Monthly_Pay_Model!$A$9:$D$40,MATCH(TEXT(A504,"dd"),Monthly_Pay_Model!$C$9:$C$39,0),4),INDEX(Monthly_Pay_Model!$A$9:$D$40,MATCH(TEXT(A505,"dd"),Monthly_Pay_Model!$C$9:$C$39,0),4),INDEX(Monthly_Pay_Model!$A$9:$D$40,MATCH(TEXT(A506,"dd"),Monthly_Pay_Model!$C$9:$C$39,0),4),INDEX(Monthly_Pay_Model!$A$9:$D$40,MATCH(TEXT(A507,"dd"),Monthly_Pay_Model!$C$9:$C$39,0),4),INDEX(Monthly_Pay_Model!$A$9:$D$40,MATCH(TEXT(A508,"dd"),Monthly_Pay_Model!$C$9:$C$39,0),4)),))))))</f>
        <v>1.6251308900523558E-3</v>
      </c>
      <c r="J504" s="33">
        <f>IF(C504="Yes",Monthly_Pay_Model!$D$2,0)
+IF(Calendar!N504="Yes",Monthly_Pay_Model!$D$3,0)
+IF(D504="Yes",Monthly_Pay_Model!$D$4,0)
+IF(E504="Yes",Monthly_Pay_Model!$D$5,0)</f>
        <v>0</v>
      </c>
      <c r="K504" s="27">
        <f>IF(VLOOKUP($A504,Calendar!$A$1:$R$1377,18,0)=0,0,IF(VLOOKUP($A504,Calendar!$A$1:$R$1377,18,0)=1,IFERROR(INDEX(Weekly_Model!$D$2:$D$9,MATCH(F504,Weekly_Model!$A$2:$A$9,0)),0),IF(VLOOKUP($A504,Calendar!$A$1:$R$1377,18,0)=2,SUM(IFERROR(INDEX(Weekly_Model!$D$2:$D$9,MATCH(F504,Weekly_Model!$A$2:$A$9,0)),0),IFERROR(INDEX(Weekly_Model!$D$2:$D$9,MATCH(F505,Weekly_Model!$A$2:$A$9,0)),0)),IF(VLOOKUP($A504,Calendar!$A$1:$R$1377,18,0)=3,SUM(IFERROR(INDEX(Weekly_Model!$D$2:$D$9,MATCH(F504,Weekly_Model!$A$2:$A$9,0)),0),IFERROR(INDEX(Weekly_Model!$D$2:$D$9,MATCH(F505,Weekly_Model!$A$2:$A$9,0)),0),IFERROR(INDEX(Weekly_Model!$D$2:$D$9,MATCH(F506,Weekly_Model!$A$2:$A$9,0)),0)),IF(VLOOKUP($A504,Calendar!$A$1:$R$1377,18,0)=4,SUM(IFERROR(INDEX(Weekly_Model!$D$2:$D$9,MATCH(F504,Weekly_Model!$A$2:$A$9,0)),0),IFERROR(INDEX(Weekly_Model!$D$2:$D$9,MATCH(F505,Weekly_Model!$A$2:$A$9,0)),0),IFERROR(INDEX(Weekly_Model!$D$2:$D$9,MATCH(F506,Weekly_Model!$A$2:$A$9,0)),0),IFERROR(INDEX(Weekly_Model!$D$2:$D$9,MATCH(F507,Weekly_Model!$A$2:$A$9,0)),0)),IF(VLOOKUP($A504,Calendar!$A$1:$R$1377,18,0)=5,SUM(IFERROR(INDEX(Weekly_Model!$D$2:$D$9,MATCH(F504,Weekly_Model!$A$2:$A$9,0)),0),IFERROR(INDEX(Weekly_Model!$D$2:$D$9,MATCH(F505,Weekly_Model!$A$2:$A$9,0)),0),IFERROR(INDEX(Weekly_Model!$D$2:$D$9,MATCH(F506,Weekly_Model!$A$2:$A$9,0)),0),IFERROR(INDEX(Weekly_Model!$D$2:$D$9,MATCH(F507,Weekly_Model!$A$2:$A$9,0)),0),IFERROR(INDEX(Weekly_Model!$D$2:$D$9,MATCH(F508,Weekly_Model!$A$2:$A$9,0)),0)),0))))))</f>
        <v>2.3200000000000002E-2</v>
      </c>
      <c r="L504" s="27">
        <f>IF(VLOOKUP($A504,Calendar!$A$1:$R$1377,18,0)=0,0,IF(VLOOKUP($A504,Calendar!$A$1:$R$1377,18,0)=1,IFERROR(INDEX(Fortnightly_Model!$D$2:$D$15,MATCH(G504,Fortnightly_Model!$B$2:$B$15,0)),0),IF(VLOOKUP($A504,Calendar!$A$1:$R$1377,18,0)=2,SUM(IFERROR(INDEX(Fortnightly_Model!$D$2:$D$15,MATCH(G504,Fortnightly_Model!$B$2:$B$15,0)),0),IFERROR(INDEX(Fortnightly_Model!$D$2:$D$15,MATCH(G505,Fortnightly_Model!$B$2:$B$15,0)),0)),IF(VLOOKUP($A504,Calendar!$A$1:$R$1377,18,0)=3,SUM(IFERROR(INDEX(Fortnightly_Model!$D$2:$D$15,MATCH(G504,Fortnightly_Model!$B$2:$B$15,0)),0),IFERROR(INDEX(Fortnightly_Model!$D$2:$D$15,MATCH(G505,Fortnightly_Model!$B$2:$B$15,0)),0),IFERROR(INDEX(Fortnightly_Model!$D$2:$D$15,MATCH(G506,Fortnightly_Model!$B$2:$B$15,0)),0)),IF(VLOOKUP($A504,Calendar!$A$1:$R$1377,18,0)=4,SUM(IFERROR(INDEX(Fortnightly_Model!$D$2:$D$15,MATCH(G504,Fortnightly_Model!$B$2:$B$15,0)),0),IFERROR(INDEX(Fortnightly_Model!$D$2:$D$15,MATCH(G505,Fortnightly_Model!$B$2:$B$15,0)),0),IFERROR(INDEX(Fortnightly_Model!$D$2:$D$15,MATCH(G506,Fortnightly_Model!$B$2:$B$15,0)),0),IFERROR(INDEX(Fortnightly_Model!$D$2:$D$15,MATCH(G507,Fortnightly_Model!$B$2:$B$15,0)),0)),IF(VLOOKUP($A504,Calendar!$A$1:$R$1377,18,0)=5,SUM(IFERROR(INDEX(Fortnightly_Model!$D$2:$D$15,MATCH(G504,Fortnightly_Model!$B$2:$B$15,0)),0),IFERROR(INDEX(Fortnightly_Model!$D$2:$D$15,MATCH(G505,Fortnightly_Model!$B$2:$B$15,0)),0),IFERROR(INDEX(Fortnightly_Model!$D$2:$D$15,MATCH(G506,Fortnightly_Model!$B$2:$B$15,0)),0),IFERROR(INDEX(Fortnightly_Model!$D$2:$D$15,MATCH(G507,Fortnightly_Model!$B$2:$B$15,0)),0),IFERROR(INDEX(Fortnightly_Model!$D$2:$D$15,MATCH(G508,Fortnightly_Model!$B$2:$B$15,0)),0)),0))))))</f>
        <v>1.0714285499999999E-3</v>
      </c>
      <c r="M504" s="27">
        <f>IF(VLOOKUP($A504,Calendar!$A$1:$R$1377,18,0)=0,0,IF(VLOOKUP($A504,Calendar!$A$1:$R$1377,18,0)=1,IFERROR(INDEX(FourWeekly_Model!$D$2:$D$29,MATCH(H504,FourWeekly_Model!$B$2:$B$29,0)),0),IF(VLOOKUP($A504,Calendar!$A$1:$R$1377,18,0)=2,SUM(IFERROR(INDEX(FourWeekly_Model!$D$2:$D$29,MATCH(H504,FourWeekly_Model!$B$2:$B$29,0)),0),IFERROR(INDEX(FourWeekly_Model!$D$2:$D$29,MATCH(H505,FourWeekly_Model!$B$2:$B$29,0)),0)),IF(VLOOKUP($A504,Calendar!$A$1:$R$1377,18,0)=3,SUM(IFERROR(INDEX(FourWeekly_Model!$D$2:$D$29,MATCH(H504,FourWeekly_Model!$B$2:$B$29,0)),0),IFERROR(INDEX(FourWeekly_Model!$D$2:$D$29,MATCH(H505,FourWeekly_Model!$B$2:$B$29,0)),0),IFERROR(INDEX(FourWeekly_Model!$D$2:$D$29,MATCH(H506,FourWeekly_Model!$B$2:$B$29,0)),0)),IF(VLOOKUP($A504,Calendar!$A$1:$R$1377,18,0)=4,SUM(IFERROR(INDEX(FourWeekly_Model!$D$2:$D$29,MATCH(H504,FourWeekly_Model!$B$2:$B$29,0)),0),IFERROR(INDEX(FourWeekly_Model!$D$2:$D$29,MATCH(H505,FourWeekly_Model!$B$2:$B$29,0)),0),IFERROR(INDEX(FourWeekly_Model!$D$2:$D$29,MATCH(H506,FourWeekly_Model!$B$2:$B$29,0)),0),IFERROR(INDEX(FourWeekly_Model!$D$2:$D$29,MATCH(H507,FourWeekly_Model!$B$2:$B$29,0)),0)),IF(VLOOKUP($A504,Calendar!$A$1:$R$1377,18,0)=5,SUM(IFERROR(INDEX(FourWeekly_Model!$D$2:$D$29,MATCH(H504,FourWeekly_Model!$B$2:$B$29,0)),0),IFERROR(INDEX(FourWeekly_Model!$D$2:$D$29,MATCH(H505,FourWeekly_Model!$B$2:$B$29,0)),0),IFERROR(INDEX(FourWeekly_Model!$D$2:$D$29,MATCH(H506,FourWeekly_Model!$B$2:$B$29,0)),0),IFERROR(INDEX(FourWeekly_Model!$D$2:$D$29,MATCH(H507,FourWeekly_Model!$B$2:$B$29,0)),0),IFERROR(INDEX(FourWeekly_Model!$D$2:$D$29,MATCH(H508,FourWeekly_Model!$B$2:$B$29,0)),0)),0))))))</f>
        <v>3.3214289700000004E-3</v>
      </c>
      <c r="N504" s="27">
        <f>SUM(I504:M504)</f>
        <v>2.921798841005236E-2</v>
      </c>
      <c r="O504" s="28">
        <f>Population_Data!$B$8*N504</f>
        <v>885305.04882458656</v>
      </c>
      <c r="P504" s="27">
        <f>IF(VLOOKUP($A504,Calendar!$A$1:$R$1377,18,0)=0,0,IF(VLOOKUP($A504,Calendar!$A$1:$R$1377,18,0)=1,IFERROR(INDEX(Pension_Model!$D$2:$D$29,MATCH(H504,Pension_Model!$B$2:$B$29,0)),0),IF(VLOOKUP($A504,Calendar!$A$1:$R$1377,18,0)=2,SUM(IFERROR(INDEX(Pension_Model!$D$2:$D$29,MATCH(H504,Pension_Model!$B$2:$B$29,0)),0),IFERROR(INDEX(Pension_Model!$D$2:$D$29,MATCH(H505,Pension_Model!$B$2:$B$29,0)),0)),IF(VLOOKUP($A504,Calendar!$A$1:$R$1377,18,0)=3,SUM(IFERROR(INDEX(Pension_Model!$D$2:$D$29,MATCH(H504,Pension_Model!$B$2:$B$29,0)),0),IFERROR(INDEX(Pension_Model!$D$2:$D$29,MATCH(H505,Pension_Model!$B$2:$B$29,0)),0),IFERROR(INDEX(Pension_Model!$D$2:$D$29,MATCH(H506,Pension_Model!$B$2:$B$29,0)),0)),IF(VLOOKUP($A504,Calendar!$A$1:$R$1377,18,0)=4,SUM(IFERROR(INDEX(Pension_Model!$D$2:$D$29,MATCH(H504,Pension_Model!$B$2:$B$29,0)),0),IFERROR(INDEX(Pension_Model!$D$2:$D$29,MATCH(H505,Pension_Model!$B$2:$B$29,0)),0),IFERROR(INDEX(Pension_Model!$D$2:$D$29,MATCH(H506,Pension_Model!$B$2:$B$29,0)),0),IFERROR(INDEX(Pension_Model!$D$2:$D$29,MATCH(H507,Pension_Model!$B$2:$B$29,0)),0)),IF(VLOOKUP($A504,Calendar!$A$1:$R$1377,18,0)=5,SUM(IFERROR(INDEX(Pension_Model!$D$2:$D$29,MATCH(H504,Pension_Model!$B$2:$B$29,0)),0),IFERROR(INDEX(Pension_Model!$D$2:$D$29,MATCH(H505,Pension_Model!$B$2:$B$29,0)),0),IFERROR(INDEX(Pension_Model!$D$2:$D$29,MATCH(H506,Pension_Model!$B$2:$B$29,0)),0),IFERROR(INDEX(Pension_Model!$D$2:$D$29,MATCH(H507,Pension_Model!$B$2:$B$29,0)),0),IFERROR(INDEX(Pension_Model!$D$2:$D$29,MATCH(H508,Pension_Model!$B$2:$B$29,0)),0)),0))))))</f>
        <v>0.05</v>
      </c>
      <c r="Q504" s="28">
        <f>Population_Data!$B$15*P504</f>
        <v>660600</v>
      </c>
      <c r="S504">
        <f t="shared" si="7"/>
        <v>1545905.0488245864</v>
      </c>
      <c r="U504" s="33">
        <f>S504/Population_Data!$B$19</f>
        <v>2.8005526246822218E-2</v>
      </c>
    </row>
    <row r="505" spans="1:21">
      <c r="A505" s="25">
        <f>Calendar!A505</f>
        <v>46738</v>
      </c>
      <c r="B505" t="str">
        <f>Calendar!L505</f>
        <v>Yes</v>
      </c>
      <c r="C505" t="str">
        <f>Calendar!O505</f>
        <v>No</v>
      </c>
      <c r="D505" t="str">
        <f>Calendar!P505</f>
        <v>No</v>
      </c>
      <c r="E505" t="str">
        <f>Calendar!Q505</f>
        <v>No</v>
      </c>
      <c r="F505" t="str">
        <f>Calendar!I505</f>
        <v>Friday</v>
      </c>
      <c r="G505">
        <f>Calendar!S505</f>
        <v>6</v>
      </c>
      <c r="H505">
        <f>Calendar!T505</f>
        <v>6</v>
      </c>
      <c r="I505" s="27">
        <f>IF(VLOOKUP(A505,Calendar!$A$1:$R$1377,18,0)=0,0,IF(VLOOKUP(A505,Calendar!$A$1:$R$1377,18,0)=1,INDEX(Monthly_Pay_Model!$A$9:$D$40,MATCH(TEXT(A505,"dd"),Monthly_Pay_Model!$C$9:$C$39,0),4),IF(VLOOKUP(A505,Calendar!$A$1:$R$1377,18,0)=2,SUM(INDEX(Monthly_Pay_Model!$A$9:$D$40,MATCH(TEXT(A505,"dd"),Monthly_Pay_Model!$C$9:$C$39,0),4),INDEX(Monthly_Pay_Model!$A$9:$D$40,MATCH(TEXT(A506,"dd"),Monthly_Pay_Model!$C$9:$C$39,0),4)),IF(VLOOKUP(A505,Calendar!$A$1:$R$1377,18,0)=3,SUM(INDEX(Monthly_Pay_Model!$A$9:$D$40,MATCH(TEXT(A505,"dd"),Monthly_Pay_Model!$C$9:$C$39,0),4),INDEX(Monthly_Pay_Model!$A$9:$D$40,MATCH(TEXT(A506,"dd"),Monthly_Pay_Model!$C$9:$C$39,0),4),INDEX(Monthly_Pay_Model!$A$9:$D$40,MATCH(TEXT(A507,"dd"),Monthly_Pay_Model!$C$9:$C$39,0),4)),IF(VLOOKUP(A505,Calendar!$A$1:$R$1377,18,0)=4,SUM(INDEX(Monthly_Pay_Model!$A$9:$D$40,MATCH(TEXT(A505,"dd"),Monthly_Pay_Model!$C$9:$C$39,0),4),INDEX(Monthly_Pay_Model!$A$9:$D$40,MATCH(TEXT(A506,"dd"),Monthly_Pay_Model!$C$9:$C$39,0),4),INDEX(Monthly_Pay_Model!$A$9:$D$40,MATCH(TEXT(A507,"dd"),Monthly_Pay_Model!$C$9:$C$39,0),4),INDEX(Monthly_Pay_Model!$A$9:$D$40,MATCH(TEXT(A508,"dd"),Monthly_Pay_Model!$C$9:$C$39,0),4)),IF(VLOOKUP(A505,Calendar!$A$1:$R$1377,18,0)=5,SUM(INDEX(Monthly_Pay_Model!$A$9:$D$40,MATCH(TEXT(A505,"dd"),Monthly_Pay_Model!$C$9:$C$39,0),4),INDEX(Monthly_Pay_Model!$A$9:$D$40,MATCH(TEXT(A506,"dd"),Monthly_Pay_Model!$C$9:$C$39,0),4),INDEX(Monthly_Pay_Model!$A$9:$D$40,MATCH(TEXT(A507,"dd"),Monthly_Pay_Model!$C$9:$C$39,0),4),INDEX(Monthly_Pay_Model!$A$9:$D$40,MATCH(TEXT(A508,"dd"),Monthly_Pay_Model!$C$9:$C$39,0),4),INDEX(Monthly_Pay_Model!$A$9:$D$40,MATCH(TEXT(A509,"dd"),Monthly_Pay_Model!$C$9:$C$39,0),4)),))))))</f>
        <v>4.8753926701570662E-3</v>
      </c>
      <c r="J505" s="33">
        <f>IF(C505="Yes",Monthly_Pay_Model!$D$2,0)
+IF(Calendar!N505="Yes",Monthly_Pay_Model!$D$3,0)
+IF(D505="Yes",Monthly_Pay_Model!$D$4,0)
+IF(E505="Yes",Monthly_Pay_Model!$D$5,0)</f>
        <v>0</v>
      </c>
      <c r="K505" s="27">
        <f>IF(VLOOKUP($A505,Calendar!$A$1:$R$1377,18,0)=0,0,IF(VLOOKUP($A505,Calendar!$A$1:$R$1377,18,0)=1,IFERROR(INDEX(Weekly_Model!$D$2:$D$9,MATCH(F505,Weekly_Model!$A$2:$A$9,0)),0),IF(VLOOKUP($A505,Calendar!$A$1:$R$1377,18,0)=2,SUM(IFERROR(INDEX(Weekly_Model!$D$2:$D$9,MATCH(F505,Weekly_Model!$A$2:$A$9,0)),0),IFERROR(INDEX(Weekly_Model!$D$2:$D$9,MATCH(F506,Weekly_Model!$A$2:$A$9,0)),0)),IF(VLOOKUP($A505,Calendar!$A$1:$R$1377,18,0)=3,SUM(IFERROR(INDEX(Weekly_Model!$D$2:$D$9,MATCH(F505,Weekly_Model!$A$2:$A$9,0)),0),IFERROR(INDEX(Weekly_Model!$D$2:$D$9,MATCH(F506,Weekly_Model!$A$2:$A$9,0)),0),IFERROR(INDEX(Weekly_Model!$D$2:$D$9,MATCH(F507,Weekly_Model!$A$2:$A$9,0)),0)),IF(VLOOKUP($A505,Calendar!$A$1:$R$1377,18,0)=4,SUM(IFERROR(INDEX(Weekly_Model!$D$2:$D$9,MATCH(F505,Weekly_Model!$A$2:$A$9,0)),0),IFERROR(INDEX(Weekly_Model!$D$2:$D$9,MATCH(F506,Weekly_Model!$A$2:$A$9,0)),0),IFERROR(INDEX(Weekly_Model!$D$2:$D$9,MATCH(F507,Weekly_Model!$A$2:$A$9,0)),0),IFERROR(INDEX(Weekly_Model!$D$2:$D$9,MATCH(F508,Weekly_Model!$A$2:$A$9,0)),0)),IF(VLOOKUP($A505,Calendar!$A$1:$R$1377,18,0)=5,SUM(IFERROR(INDEX(Weekly_Model!$D$2:$D$9,MATCH(F505,Weekly_Model!$A$2:$A$9,0)),0),IFERROR(INDEX(Weekly_Model!$D$2:$D$9,MATCH(F506,Weekly_Model!$A$2:$A$9,0)),0),IFERROR(INDEX(Weekly_Model!$D$2:$D$9,MATCH(F507,Weekly_Model!$A$2:$A$9,0)),0),IFERROR(INDEX(Weekly_Model!$D$2:$D$9,MATCH(F508,Weekly_Model!$A$2:$A$9,0)),0),IFERROR(INDEX(Weekly_Model!$D$2:$D$9,MATCH(F509,Weekly_Model!$A$2:$A$9,0)),0)),0))))))</f>
        <v>2.3200000000000002E-2</v>
      </c>
      <c r="L505" s="27">
        <f>IF(VLOOKUP($A505,Calendar!$A$1:$R$1377,18,0)=0,0,IF(VLOOKUP($A505,Calendar!$A$1:$R$1377,18,0)=1,IFERROR(INDEX(Fortnightly_Model!$D$2:$D$15,MATCH(G505,Fortnightly_Model!$B$2:$B$15,0)),0),IF(VLOOKUP($A505,Calendar!$A$1:$R$1377,18,0)=2,SUM(IFERROR(INDEX(Fortnightly_Model!$D$2:$D$15,MATCH(G505,Fortnightly_Model!$B$2:$B$15,0)),0),IFERROR(INDEX(Fortnightly_Model!$D$2:$D$15,MATCH(G506,Fortnightly_Model!$B$2:$B$15,0)),0)),IF(VLOOKUP($A505,Calendar!$A$1:$R$1377,18,0)=3,SUM(IFERROR(INDEX(Fortnightly_Model!$D$2:$D$15,MATCH(G505,Fortnightly_Model!$B$2:$B$15,0)),0),IFERROR(INDEX(Fortnightly_Model!$D$2:$D$15,MATCH(G506,Fortnightly_Model!$B$2:$B$15,0)),0),IFERROR(INDEX(Fortnightly_Model!$D$2:$D$15,MATCH(G507,Fortnightly_Model!$B$2:$B$15,0)),0)),IF(VLOOKUP($A505,Calendar!$A$1:$R$1377,18,0)=4,SUM(IFERROR(INDEX(Fortnightly_Model!$D$2:$D$15,MATCH(G505,Fortnightly_Model!$B$2:$B$15,0)),0),IFERROR(INDEX(Fortnightly_Model!$D$2:$D$15,MATCH(G506,Fortnightly_Model!$B$2:$B$15,0)),0),IFERROR(INDEX(Fortnightly_Model!$D$2:$D$15,MATCH(G507,Fortnightly_Model!$B$2:$B$15,0)),0),IFERROR(INDEX(Fortnightly_Model!$D$2:$D$15,MATCH(G508,Fortnightly_Model!$B$2:$B$15,0)),0)),IF(VLOOKUP($A505,Calendar!$A$1:$R$1377,18,0)=5,SUM(IFERROR(INDEX(Fortnightly_Model!$D$2:$D$15,MATCH(G505,Fortnightly_Model!$B$2:$B$15,0)),0),IFERROR(INDEX(Fortnightly_Model!$D$2:$D$15,MATCH(G506,Fortnightly_Model!$B$2:$B$15,0)),0),IFERROR(INDEX(Fortnightly_Model!$D$2:$D$15,MATCH(G507,Fortnightly_Model!$B$2:$B$15,0)),0),IFERROR(INDEX(Fortnightly_Model!$D$2:$D$15,MATCH(G508,Fortnightly_Model!$B$2:$B$15,0)),0),IFERROR(INDEX(Fortnightly_Model!$D$2:$D$15,MATCH(G509,Fortnightly_Model!$B$2:$B$15,0)),0)),0))))))</f>
        <v>3.2142856499999999E-3</v>
      </c>
      <c r="M505" s="27">
        <f>IF(VLOOKUP($A505,Calendar!$A$1:$R$1377,18,0)=0,0,IF(VLOOKUP($A505,Calendar!$A$1:$R$1377,18,0)=1,IFERROR(INDEX(FourWeekly_Model!$D$2:$D$29,MATCH(H505,FourWeekly_Model!$B$2:$B$29,0)),0),IF(VLOOKUP($A505,Calendar!$A$1:$R$1377,18,0)=2,SUM(IFERROR(INDEX(FourWeekly_Model!$D$2:$D$29,MATCH(H505,FourWeekly_Model!$B$2:$B$29,0)),0),IFERROR(INDEX(FourWeekly_Model!$D$2:$D$29,MATCH(H506,FourWeekly_Model!$B$2:$B$29,0)),0)),IF(VLOOKUP($A505,Calendar!$A$1:$R$1377,18,0)=3,SUM(IFERROR(INDEX(FourWeekly_Model!$D$2:$D$29,MATCH(H505,FourWeekly_Model!$B$2:$B$29,0)),0),IFERROR(INDEX(FourWeekly_Model!$D$2:$D$29,MATCH(H506,FourWeekly_Model!$B$2:$B$29,0)),0),IFERROR(INDEX(FourWeekly_Model!$D$2:$D$29,MATCH(H507,FourWeekly_Model!$B$2:$B$29,0)),0)),IF(VLOOKUP($A505,Calendar!$A$1:$R$1377,18,0)=4,SUM(IFERROR(INDEX(FourWeekly_Model!$D$2:$D$29,MATCH(H505,FourWeekly_Model!$B$2:$B$29,0)),0),IFERROR(INDEX(FourWeekly_Model!$D$2:$D$29,MATCH(H506,FourWeekly_Model!$B$2:$B$29,0)),0),IFERROR(INDEX(FourWeekly_Model!$D$2:$D$29,MATCH(H507,FourWeekly_Model!$B$2:$B$29,0)),0),IFERROR(INDEX(FourWeekly_Model!$D$2:$D$29,MATCH(H508,FourWeekly_Model!$B$2:$B$29,0)),0)),IF(VLOOKUP($A505,Calendar!$A$1:$R$1377,18,0)=5,SUM(IFERROR(INDEX(FourWeekly_Model!$D$2:$D$29,MATCH(H505,FourWeekly_Model!$B$2:$B$29,0)),0),IFERROR(INDEX(FourWeekly_Model!$D$2:$D$29,MATCH(H506,FourWeekly_Model!$B$2:$B$29,0)),0),IFERROR(INDEX(FourWeekly_Model!$D$2:$D$29,MATCH(H507,FourWeekly_Model!$B$2:$B$29,0)),0),IFERROR(INDEX(FourWeekly_Model!$D$2:$D$29,MATCH(H508,FourWeekly_Model!$B$2:$B$29,0)),0),IFERROR(INDEX(FourWeekly_Model!$D$2:$D$29,MATCH(H509,FourWeekly_Model!$B$2:$B$29,0)),0)),0))))))</f>
        <v>9.9642859800000011E-3</v>
      </c>
      <c r="N505" s="27">
        <f>SUM(I505:M505)</f>
        <v>4.125396430015707E-2</v>
      </c>
      <c r="O505" s="28">
        <f>Population_Data!$B$8*N505</f>
        <v>1249995.1182947592</v>
      </c>
      <c r="P505" s="27">
        <f>IF(VLOOKUP($A505,Calendar!$A$1:$R$1377,18,0)=0,0,IF(VLOOKUP($A505,Calendar!$A$1:$R$1377,18,0)=1,IFERROR(INDEX(Pension_Model!$D$2:$D$29,MATCH(H505,Pension_Model!$B$2:$B$29,0)),0),IF(VLOOKUP($A505,Calendar!$A$1:$R$1377,18,0)=2,SUM(IFERROR(INDEX(Pension_Model!$D$2:$D$29,MATCH(H505,Pension_Model!$B$2:$B$29,0)),0),IFERROR(INDEX(Pension_Model!$D$2:$D$29,MATCH(H506,Pension_Model!$B$2:$B$29,0)),0)),IF(VLOOKUP($A505,Calendar!$A$1:$R$1377,18,0)=3,SUM(IFERROR(INDEX(Pension_Model!$D$2:$D$29,MATCH(H505,Pension_Model!$B$2:$B$29,0)),0),IFERROR(INDEX(Pension_Model!$D$2:$D$29,MATCH(H506,Pension_Model!$B$2:$B$29,0)),0),IFERROR(INDEX(Pension_Model!$D$2:$D$29,MATCH(H507,Pension_Model!$B$2:$B$29,0)),0)),IF(VLOOKUP($A505,Calendar!$A$1:$R$1377,18,0)=4,SUM(IFERROR(INDEX(Pension_Model!$D$2:$D$29,MATCH(H505,Pension_Model!$B$2:$B$29,0)),0),IFERROR(INDEX(Pension_Model!$D$2:$D$29,MATCH(H506,Pension_Model!$B$2:$B$29,0)),0),IFERROR(INDEX(Pension_Model!$D$2:$D$29,MATCH(H507,Pension_Model!$B$2:$B$29,0)),0),IFERROR(INDEX(Pension_Model!$D$2:$D$29,MATCH(H508,Pension_Model!$B$2:$B$29,0)),0)),IF(VLOOKUP($A505,Calendar!$A$1:$R$1377,18,0)=5,SUM(IFERROR(INDEX(Pension_Model!$D$2:$D$29,MATCH(H505,Pension_Model!$B$2:$B$29,0)),0),IFERROR(INDEX(Pension_Model!$D$2:$D$29,MATCH(H506,Pension_Model!$B$2:$B$29,0)),0),IFERROR(INDEX(Pension_Model!$D$2:$D$29,MATCH(H507,Pension_Model!$B$2:$B$29,0)),0),IFERROR(INDEX(Pension_Model!$D$2:$D$29,MATCH(H508,Pension_Model!$B$2:$B$29,0)),0),IFERROR(INDEX(Pension_Model!$D$2:$D$29,MATCH(H509,Pension_Model!$B$2:$B$29,0)),0)),0))))))</f>
        <v>0.05</v>
      </c>
      <c r="Q505" s="28">
        <f>Population_Data!$B$15*P505</f>
        <v>660600</v>
      </c>
      <c r="S505">
        <f t="shared" si="7"/>
        <v>1910595.1182947592</v>
      </c>
      <c r="U505" s="33">
        <f>S505/Population_Data!$B$19</f>
        <v>3.4612230403890568E-2</v>
      </c>
    </row>
    <row r="506" spans="1:21">
      <c r="A506" s="25">
        <f>Calendar!A506</f>
        <v>46739</v>
      </c>
      <c r="B506" t="str">
        <f>Calendar!L506</f>
        <v>No</v>
      </c>
      <c r="C506" t="str">
        <f>Calendar!O506</f>
        <v>No</v>
      </c>
      <c r="D506" t="str">
        <f>Calendar!P506</f>
        <v>No</v>
      </c>
      <c r="E506" t="str">
        <f>Calendar!Q506</f>
        <v>No</v>
      </c>
      <c r="F506" t="str">
        <f>Calendar!I506</f>
        <v>Saturday</v>
      </c>
      <c r="G506">
        <f>Calendar!S506</f>
        <v>7</v>
      </c>
      <c r="H506">
        <f>Calendar!T506</f>
        <v>7</v>
      </c>
      <c r="I506" s="27">
        <f>IF(VLOOKUP(A506,Calendar!$A$1:$R$1377,18,0)=0,0,IF(VLOOKUP(A506,Calendar!$A$1:$R$1377,18,0)=1,INDEX(Monthly_Pay_Model!$A$9:$D$40,MATCH(TEXT(A506,"dd"),Monthly_Pay_Model!$C$9:$C$39,0),4),IF(VLOOKUP(A506,Calendar!$A$1:$R$1377,18,0)=2,SUM(INDEX(Monthly_Pay_Model!$A$9:$D$40,MATCH(TEXT(A506,"dd"),Monthly_Pay_Model!$C$9:$C$39,0),4),INDEX(Monthly_Pay_Model!$A$9:$D$40,MATCH(TEXT(A507,"dd"),Monthly_Pay_Model!$C$9:$C$39,0),4)),IF(VLOOKUP(A506,Calendar!$A$1:$R$1377,18,0)=3,SUM(INDEX(Monthly_Pay_Model!$A$9:$D$40,MATCH(TEXT(A506,"dd"),Monthly_Pay_Model!$C$9:$C$39,0),4),INDEX(Monthly_Pay_Model!$A$9:$D$40,MATCH(TEXT(A507,"dd"),Monthly_Pay_Model!$C$9:$C$39,0),4),INDEX(Monthly_Pay_Model!$A$9:$D$40,MATCH(TEXT(A508,"dd"),Monthly_Pay_Model!$C$9:$C$39,0),4)),IF(VLOOKUP(A506,Calendar!$A$1:$R$1377,18,0)=4,SUM(INDEX(Monthly_Pay_Model!$A$9:$D$40,MATCH(TEXT(A506,"dd"),Monthly_Pay_Model!$C$9:$C$39,0),4),INDEX(Monthly_Pay_Model!$A$9:$D$40,MATCH(TEXT(A507,"dd"),Monthly_Pay_Model!$C$9:$C$39,0),4),INDEX(Monthly_Pay_Model!$A$9:$D$40,MATCH(TEXT(A508,"dd"),Monthly_Pay_Model!$C$9:$C$39,0),4),INDEX(Monthly_Pay_Model!$A$9:$D$40,MATCH(TEXT(A509,"dd"),Monthly_Pay_Model!$C$9:$C$39,0),4)),IF(VLOOKUP(A506,Calendar!$A$1:$R$1377,18,0)=5,SUM(INDEX(Monthly_Pay_Model!$A$9:$D$40,MATCH(TEXT(A506,"dd"),Monthly_Pay_Model!$C$9:$C$39,0),4),INDEX(Monthly_Pay_Model!$A$9:$D$40,MATCH(TEXT(A507,"dd"),Monthly_Pay_Model!$C$9:$C$39,0),4),INDEX(Monthly_Pay_Model!$A$9:$D$40,MATCH(TEXT(A508,"dd"),Monthly_Pay_Model!$C$9:$C$39,0),4),INDEX(Monthly_Pay_Model!$A$9:$D$40,MATCH(TEXT(A509,"dd"),Monthly_Pay_Model!$C$9:$C$39,0),4),INDEX(Monthly_Pay_Model!$A$9:$D$40,MATCH(TEXT(A510,"dd"),Monthly_Pay_Model!$C$9:$C$39,0),4)),))))))</f>
        <v>0</v>
      </c>
      <c r="J506" s="33">
        <f>IF(C506="Yes",Monthly_Pay_Model!$D$2,0)
+IF(Calendar!N506="Yes",Monthly_Pay_Model!$D$3,0)
+IF(D506="Yes",Monthly_Pay_Model!$D$4,0)
+IF(E506="Yes",Monthly_Pay_Model!$D$5,0)</f>
        <v>0</v>
      </c>
      <c r="K506" s="27">
        <f>IF(VLOOKUP($A506,Calendar!$A$1:$R$1377,18,0)=0,0,IF(VLOOKUP($A506,Calendar!$A$1:$R$1377,18,0)=1,IFERROR(INDEX(Weekly_Model!$D$2:$D$9,MATCH(F506,Weekly_Model!$A$2:$A$9,0)),0),IF(VLOOKUP($A506,Calendar!$A$1:$R$1377,18,0)=2,SUM(IFERROR(INDEX(Weekly_Model!$D$2:$D$9,MATCH(F506,Weekly_Model!$A$2:$A$9,0)),0),IFERROR(INDEX(Weekly_Model!$D$2:$D$9,MATCH(F507,Weekly_Model!$A$2:$A$9,0)),0)),IF(VLOOKUP($A506,Calendar!$A$1:$R$1377,18,0)=3,SUM(IFERROR(INDEX(Weekly_Model!$D$2:$D$9,MATCH(F506,Weekly_Model!$A$2:$A$9,0)),0),IFERROR(INDEX(Weekly_Model!$D$2:$D$9,MATCH(F507,Weekly_Model!$A$2:$A$9,0)),0),IFERROR(INDEX(Weekly_Model!$D$2:$D$9,MATCH(F508,Weekly_Model!$A$2:$A$9,0)),0)),IF(VLOOKUP($A506,Calendar!$A$1:$R$1377,18,0)=4,SUM(IFERROR(INDEX(Weekly_Model!$D$2:$D$9,MATCH(F506,Weekly_Model!$A$2:$A$9,0)),0),IFERROR(INDEX(Weekly_Model!$D$2:$D$9,MATCH(F507,Weekly_Model!$A$2:$A$9,0)),0),IFERROR(INDEX(Weekly_Model!$D$2:$D$9,MATCH(F508,Weekly_Model!$A$2:$A$9,0)),0),IFERROR(INDEX(Weekly_Model!$D$2:$D$9,MATCH(F509,Weekly_Model!$A$2:$A$9,0)),0)),IF(VLOOKUP($A506,Calendar!$A$1:$R$1377,18,0)=5,SUM(IFERROR(INDEX(Weekly_Model!$D$2:$D$9,MATCH(F506,Weekly_Model!$A$2:$A$9,0)),0),IFERROR(INDEX(Weekly_Model!$D$2:$D$9,MATCH(F507,Weekly_Model!$A$2:$A$9,0)),0),IFERROR(INDEX(Weekly_Model!$D$2:$D$9,MATCH(F508,Weekly_Model!$A$2:$A$9,0)),0),IFERROR(INDEX(Weekly_Model!$D$2:$D$9,MATCH(F509,Weekly_Model!$A$2:$A$9,0)),0),IFERROR(INDEX(Weekly_Model!$D$2:$D$9,MATCH(F510,Weekly_Model!$A$2:$A$9,0)),0)),0))))))</f>
        <v>0</v>
      </c>
      <c r="L506" s="27">
        <f>IF(VLOOKUP($A506,Calendar!$A$1:$R$1377,18,0)=0,0,IF(VLOOKUP($A506,Calendar!$A$1:$R$1377,18,0)=1,IFERROR(INDEX(Fortnightly_Model!$D$2:$D$15,MATCH(G506,Fortnightly_Model!$B$2:$B$15,0)),0),IF(VLOOKUP($A506,Calendar!$A$1:$R$1377,18,0)=2,SUM(IFERROR(INDEX(Fortnightly_Model!$D$2:$D$15,MATCH(G506,Fortnightly_Model!$B$2:$B$15,0)),0),IFERROR(INDEX(Fortnightly_Model!$D$2:$D$15,MATCH(G507,Fortnightly_Model!$B$2:$B$15,0)),0)),IF(VLOOKUP($A506,Calendar!$A$1:$R$1377,18,0)=3,SUM(IFERROR(INDEX(Fortnightly_Model!$D$2:$D$15,MATCH(G506,Fortnightly_Model!$B$2:$B$15,0)),0),IFERROR(INDEX(Fortnightly_Model!$D$2:$D$15,MATCH(G507,Fortnightly_Model!$B$2:$B$15,0)),0),IFERROR(INDEX(Fortnightly_Model!$D$2:$D$15,MATCH(G508,Fortnightly_Model!$B$2:$B$15,0)),0)),IF(VLOOKUP($A506,Calendar!$A$1:$R$1377,18,0)=4,SUM(IFERROR(INDEX(Fortnightly_Model!$D$2:$D$15,MATCH(G506,Fortnightly_Model!$B$2:$B$15,0)),0),IFERROR(INDEX(Fortnightly_Model!$D$2:$D$15,MATCH(G507,Fortnightly_Model!$B$2:$B$15,0)),0),IFERROR(INDEX(Fortnightly_Model!$D$2:$D$15,MATCH(G508,Fortnightly_Model!$B$2:$B$15,0)),0),IFERROR(INDEX(Fortnightly_Model!$D$2:$D$15,MATCH(G509,Fortnightly_Model!$B$2:$B$15,0)),0)),IF(VLOOKUP($A506,Calendar!$A$1:$R$1377,18,0)=5,SUM(IFERROR(INDEX(Fortnightly_Model!$D$2:$D$15,MATCH(G506,Fortnightly_Model!$B$2:$B$15,0)),0),IFERROR(INDEX(Fortnightly_Model!$D$2:$D$15,MATCH(G507,Fortnightly_Model!$B$2:$B$15,0)),0),IFERROR(INDEX(Fortnightly_Model!$D$2:$D$15,MATCH(G508,Fortnightly_Model!$B$2:$B$15,0)),0),IFERROR(INDEX(Fortnightly_Model!$D$2:$D$15,MATCH(G509,Fortnightly_Model!$B$2:$B$15,0)),0),IFERROR(INDEX(Fortnightly_Model!$D$2:$D$15,MATCH(G510,Fortnightly_Model!$B$2:$B$15,0)),0)),0))))))</f>
        <v>0</v>
      </c>
      <c r="M506" s="27">
        <f>IF(VLOOKUP($A506,Calendar!$A$1:$R$1377,18,0)=0,0,IF(VLOOKUP($A506,Calendar!$A$1:$R$1377,18,0)=1,IFERROR(INDEX(FourWeekly_Model!$D$2:$D$29,MATCH(H506,FourWeekly_Model!$B$2:$B$29,0)),0),IF(VLOOKUP($A506,Calendar!$A$1:$R$1377,18,0)=2,SUM(IFERROR(INDEX(FourWeekly_Model!$D$2:$D$29,MATCH(H506,FourWeekly_Model!$B$2:$B$29,0)),0),IFERROR(INDEX(FourWeekly_Model!$D$2:$D$29,MATCH(H507,FourWeekly_Model!$B$2:$B$29,0)),0)),IF(VLOOKUP($A506,Calendar!$A$1:$R$1377,18,0)=3,SUM(IFERROR(INDEX(FourWeekly_Model!$D$2:$D$29,MATCH(H506,FourWeekly_Model!$B$2:$B$29,0)),0),IFERROR(INDEX(FourWeekly_Model!$D$2:$D$29,MATCH(H507,FourWeekly_Model!$B$2:$B$29,0)),0),IFERROR(INDEX(FourWeekly_Model!$D$2:$D$29,MATCH(H508,FourWeekly_Model!$B$2:$B$29,0)),0)),IF(VLOOKUP($A506,Calendar!$A$1:$R$1377,18,0)=4,SUM(IFERROR(INDEX(FourWeekly_Model!$D$2:$D$29,MATCH(H506,FourWeekly_Model!$B$2:$B$29,0)),0),IFERROR(INDEX(FourWeekly_Model!$D$2:$D$29,MATCH(H507,FourWeekly_Model!$B$2:$B$29,0)),0),IFERROR(INDEX(FourWeekly_Model!$D$2:$D$29,MATCH(H508,FourWeekly_Model!$B$2:$B$29,0)),0),IFERROR(INDEX(FourWeekly_Model!$D$2:$D$29,MATCH(H509,FourWeekly_Model!$B$2:$B$29,0)),0)),IF(VLOOKUP($A506,Calendar!$A$1:$R$1377,18,0)=5,SUM(IFERROR(INDEX(FourWeekly_Model!$D$2:$D$29,MATCH(H506,FourWeekly_Model!$B$2:$B$29,0)),0),IFERROR(INDEX(FourWeekly_Model!$D$2:$D$29,MATCH(H507,FourWeekly_Model!$B$2:$B$29,0)),0),IFERROR(INDEX(FourWeekly_Model!$D$2:$D$29,MATCH(H508,FourWeekly_Model!$B$2:$B$29,0)),0),IFERROR(INDEX(FourWeekly_Model!$D$2:$D$29,MATCH(H509,FourWeekly_Model!$B$2:$B$29,0)),0),IFERROR(INDEX(FourWeekly_Model!$D$2:$D$29,MATCH(H510,FourWeekly_Model!$B$2:$B$29,0)),0)),0))))))</f>
        <v>0</v>
      </c>
      <c r="N506" s="27">
        <f>SUM(I506:M506)</f>
        <v>0</v>
      </c>
      <c r="O506" s="28">
        <f>Population_Data!$B$8*N506</f>
        <v>0</v>
      </c>
      <c r="P506" s="27">
        <f>IF(VLOOKUP($A506,Calendar!$A$1:$R$1377,18,0)=0,0,IF(VLOOKUP($A506,Calendar!$A$1:$R$1377,18,0)=1,IFERROR(INDEX(Pension_Model!$D$2:$D$29,MATCH(H506,Pension_Model!$B$2:$B$29,0)),0),IF(VLOOKUP($A506,Calendar!$A$1:$R$1377,18,0)=2,SUM(IFERROR(INDEX(Pension_Model!$D$2:$D$29,MATCH(H506,Pension_Model!$B$2:$B$29,0)),0),IFERROR(INDEX(Pension_Model!$D$2:$D$29,MATCH(H507,Pension_Model!$B$2:$B$29,0)),0)),IF(VLOOKUP($A506,Calendar!$A$1:$R$1377,18,0)=3,SUM(IFERROR(INDEX(Pension_Model!$D$2:$D$29,MATCH(H506,Pension_Model!$B$2:$B$29,0)),0),IFERROR(INDEX(Pension_Model!$D$2:$D$29,MATCH(H507,Pension_Model!$B$2:$B$29,0)),0),IFERROR(INDEX(Pension_Model!$D$2:$D$29,MATCH(H508,Pension_Model!$B$2:$B$29,0)),0)),IF(VLOOKUP($A506,Calendar!$A$1:$R$1377,18,0)=4,SUM(IFERROR(INDEX(Pension_Model!$D$2:$D$29,MATCH(H506,Pension_Model!$B$2:$B$29,0)),0),IFERROR(INDEX(Pension_Model!$D$2:$D$29,MATCH(H507,Pension_Model!$B$2:$B$29,0)),0),IFERROR(INDEX(Pension_Model!$D$2:$D$29,MATCH(H508,Pension_Model!$B$2:$B$29,0)),0),IFERROR(INDEX(Pension_Model!$D$2:$D$29,MATCH(H509,Pension_Model!$B$2:$B$29,0)),0)),IF(VLOOKUP($A506,Calendar!$A$1:$R$1377,18,0)=5,SUM(IFERROR(INDEX(Pension_Model!$D$2:$D$29,MATCH(H506,Pension_Model!$B$2:$B$29,0)),0),IFERROR(INDEX(Pension_Model!$D$2:$D$29,MATCH(H507,Pension_Model!$B$2:$B$29,0)),0),IFERROR(INDEX(Pension_Model!$D$2:$D$29,MATCH(H508,Pension_Model!$B$2:$B$29,0)),0),IFERROR(INDEX(Pension_Model!$D$2:$D$29,MATCH(H509,Pension_Model!$B$2:$B$29,0)),0),IFERROR(INDEX(Pension_Model!$D$2:$D$29,MATCH(H510,Pension_Model!$B$2:$B$29,0)),0)),0))))))</f>
        <v>0</v>
      </c>
      <c r="Q506" s="28">
        <f>Population_Data!$B$15*P506</f>
        <v>0</v>
      </c>
      <c r="S506">
        <f t="shared" si="7"/>
        <v>0</v>
      </c>
      <c r="U506" s="33">
        <f>S506/Population_Data!$B$19</f>
        <v>0</v>
      </c>
    </row>
    <row r="507" spans="1:21">
      <c r="A507" s="25">
        <f>Calendar!A507</f>
        <v>46740</v>
      </c>
      <c r="B507" t="str">
        <f>Calendar!L507</f>
        <v>No</v>
      </c>
      <c r="C507" t="str">
        <f>Calendar!O507</f>
        <v>No</v>
      </c>
      <c r="D507" t="str">
        <f>Calendar!P507</f>
        <v>No</v>
      </c>
      <c r="E507" t="str">
        <f>Calendar!Q507</f>
        <v>No</v>
      </c>
      <c r="F507" t="str">
        <f>Calendar!I507</f>
        <v>Sunday</v>
      </c>
      <c r="G507">
        <f>Calendar!S507</f>
        <v>8</v>
      </c>
      <c r="H507">
        <f>Calendar!T507</f>
        <v>8</v>
      </c>
      <c r="I507" s="27">
        <f>IF(VLOOKUP(A507,Calendar!$A$1:$R$1377,18,0)=0,0,IF(VLOOKUP(A507,Calendar!$A$1:$R$1377,18,0)=1,INDEX(Monthly_Pay_Model!$A$9:$D$40,MATCH(TEXT(A507,"dd"),Monthly_Pay_Model!$C$9:$C$39,0),4),IF(VLOOKUP(A507,Calendar!$A$1:$R$1377,18,0)=2,SUM(INDEX(Monthly_Pay_Model!$A$9:$D$40,MATCH(TEXT(A507,"dd"),Monthly_Pay_Model!$C$9:$C$39,0),4),INDEX(Monthly_Pay_Model!$A$9:$D$40,MATCH(TEXT(A508,"dd"),Monthly_Pay_Model!$C$9:$C$39,0),4)),IF(VLOOKUP(A507,Calendar!$A$1:$R$1377,18,0)=3,SUM(INDEX(Monthly_Pay_Model!$A$9:$D$40,MATCH(TEXT(A507,"dd"),Monthly_Pay_Model!$C$9:$C$39,0),4),INDEX(Monthly_Pay_Model!$A$9:$D$40,MATCH(TEXT(A508,"dd"),Monthly_Pay_Model!$C$9:$C$39,0),4),INDEX(Monthly_Pay_Model!$A$9:$D$40,MATCH(TEXT(A509,"dd"),Monthly_Pay_Model!$C$9:$C$39,0),4)),IF(VLOOKUP(A507,Calendar!$A$1:$R$1377,18,0)=4,SUM(INDEX(Monthly_Pay_Model!$A$9:$D$40,MATCH(TEXT(A507,"dd"),Monthly_Pay_Model!$C$9:$C$39,0),4),INDEX(Monthly_Pay_Model!$A$9:$D$40,MATCH(TEXT(A508,"dd"),Monthly_Pay_Model!$C$9:$C$39,0),4),INDEX(Monthly_Pay_Model!$A$9:$D$40,MATCH(TEXT(A509,"dd"),Monthly_Pay_Model!$C$9:$C$39,0),4),INDEX(Monthly_Pay_Model!$A$9:$D$40,MATCH(TEXT(A510,"dd"),Monthly_Pay_Model!$C$9:$C$39,0),4)),IF(VLOOKUP(A507,Calendar!$A$1:$R$1377,18,0)=5,SUM(INDEX(Monthly_Pay_Model!$A$9:$D$40,MATCH(TEXT(A507,"dd"),Monthly_Pay_Model!$C$9:$C$39,0),4),INDEX(Monthly_Pay_Model!$A$9:$D$40,MATCH(TEXT(A508,"dd"),Monthly_Pay_Model!$C$9:$C$39,0),4),INDEX(Monthly_Pay_Model!$A$9:$D$40,MATCH(TEXT(A509,"dd"),Monthly_Pay_Model!$C$9:$C$39,0),4),INDEX(Monthly_Pay_Model!$A$9:$D$40,MATCH(TEXT(A510,"dd"),Monthly_Pay_Model!$C$9:$C$39,0),4),INDEX(Monthly_Pay_Model!$A$9:$D$40,MATCH(TEXT(A511,"dd"),Monthly_Pay_Model!$C$9:$C$39,0),4)),))))))</f>
        <v>0</v>
      </c>
      <c r="J507" s="33">
        <f>IF(C507="Yes",Monthly_Pay_Model!$D$2,0)
+IF(Calendar!N507="Yes",Monthly_Pay_Model!$D$3,0)
+IF(D507="Yes",Monthly_Pay_Model!$D$4,0)
+IF(E507="Yes",Monthly_Pay_Model!$D$5,0)</f>
        <v>0</v>
      </c>
      <c r="K507" s="27">
        <f>IF(VLOOKUP($A507,Calendar!$A$1:$R$1377,18,0)=0,0,IF(VLOOKUP($A507,Calendar!$A$1:$R$1377,18,0)=1,IFERROR(INDEX(Weekly_Model!$D$2:$D$9,MATCH(F507,Weekly_Model!$A$2:$A$9,0)),0),IF(VLOOKUP($A507,Calendar!$A$1:$R$1377,18,0)=2,SUM(IFERROR(INDEX(Weekly_Model!$D$2:$D$9,MATCH(F507,Weekly_Model!$A$2:$A$9,0)),0),IFERROR(INDEX(Weekly_Model!$D$2:$D$9,MATCH(F508,Weekly_Model!$A$2:$A$9,0)),0)),IF(VLOOKUP($A507,Calendar!$A$1:$R$1377,18,0)=3,SUM(IFERROR(INDEX(Weekly_Model!$D$2:$D$9,MATCH(F507,Weekly_Model!$A$2:$A$9,0)),0),IFERROR(INDEX(Weekly_Model!$D$2:$D$9,MATCH(F508,Weekly_Model!$A$2:$A$9,0)),0),IFERROR(INDEX(Weekly_Model!$D$2:$D$9,MATCH(F509,Weekly_Model!$A$2:$A$9,0)),0)),IF(VLOOKUP($A507,Calendar!$A$1:$R$1377,18,0)=4,SUM(IFERROR(INDEX(Weekly_Model!$D$2:$D$9,MATCH(F507,Weekly_Model!$A$2:$A$9,0)),0),IFERROR(INDEX(Weekly_Model!$D$2:$D$9,MATCH(F508,Weekly_Model!$A$2:$A$9,0)),0),IFERROR(INDEX(Weekly_Model!$D$2:$D$9,MATCH(F509,Weekly_Model!$A$2:$A$9,0)),0),IFERROR(INDEX(Weekly_Model!$D$2:$D$9,MATCH(F510,Weekly_Model!$A$2:$A$9,0)),0)),IF(VLOOKUP($A507,Calendar!$A$1:$R$1377,18,0)=5,SUM(IFERROR(INDEX(Weekly_Model!$D$2:$D$9,MATCH(F507,Weekly_Model!$A$2:$A$9,0)),0),IFERROR(INDEX(Weekly_Model!$D$2:$D$9,MATCH(F508,Weekly_Model!$A$2:$A$9,0)),0),IFERROR(INDEX(Weekly_Model!$D$2:$D$9,MATCH(F509,Weekly_Model!$A$2:$A$9,0)),0),IFERROR(INDEX(Weekly_Model!$D$2:$D$9,MATCH(F510,Weekly_Model!$A$2:$A$9,0)),0),IFERROR(INDEX(Weekly_Model!$D$2:$D$9,MATCH(F511,Weekly_Model!$A$2:$A$9,0)),0)),0))))))</f>
        <v>0</v>
      </c>
      <c r="L507" s="27">
        <f>IF(VLOOKUP($A507,Calendar!$A$1:$R$1377,18,0)=0,0,IF(VLOOKUP($A507,Calendar!$A$1:$R$1377,18,0)=1,IFERROR(INDEX(Fortnightly_Model!$D$2:$D$15,MATCH(G507,Fortnightly_Model!$B$2:$B$15,0)),0),IF(VLOOKUP($A507,Calendar!$A$1:$R$1377,18,0)=2,SUM(IFERROR(INDEX(Fortnightly_Model!$D$2:$D$15,MATCH(G507,Fortnightly_Model!$B$2:$B$15,0)),0),IFERROR(INDEX(Fortnightly_Model!$D$2:$D$15,MATCH(G508,Fortnightly_Model!$B$2:$B$15,0)),0)),IF(VLOOKUP($A507,Calendar!$A$1:$R$1377,18,0)=3,SUM(IFERROR(INDEX(Fortnightly_Model!$D$2:$D$15,MATCH(G507,Fortnightly_Model!$B$2:$B$15,0)),0),IFERROR(INDEX(Fortnightly_Model!$D$2:$D$15,MATCH(G508,Fortnightly_Model!$B$2:$B$15,0)),0),IFERROR(INDEX(Fortnightly_Model!$D$2:$D$15,MATCH(G509,Fortnightly_Model!$B$2:$B$15,0)),0)),IF(VLOOKUP($A507,Calendar!$A$1:$R$1377,18,0)=4,SUM(IFERROR(INDEX(Fortnightly_Model!$D$2:$D$15,MATCH(G507,Fortnightly_Model!$B$2:$B$15,0)),0),IFERROR(INDEX(Fortnightly_Model!$D$2:$D$15,MATCH(G508,Fortnightly_Model!$B$2:$B$15,0)),0),IFERROR(INDEX(Fortnightly_Model!$D$2:$D$15,MATCH(G509,Fortnightly_Model!$B$2:$B$15,0)),0),IFERROR(INDEX(Fortnightly_Model!$D$2:$D$15,MATCH(G510,Fortnightly_Model!$B$2:$B$15,0)),0)),IF(VLOOKUP($A507,Calendar!$A$1:$R$1377,18,0)=5,SUM(IFERROR(INDEX(Fortnightly_Model!$D$2:$D$15,MATCH(G507,Fortnightly_Model!$B$2:$B$15,0)),0),IFERROR(INDEX(Fortnightly_Model!$D$2:$D$15,MATCH(G508,Fortnightly_Model!$B$2:$B$15,0)),0),IFERROR(INDEX(Fortnightly_Model!$D$2:$D$15,MATCH(G509,Fortnightly_Model!$B$2:$B$15,0)),0),IFERROR(INDEX(Fortnightly_Model!$D$2:$D$15,MATCH(G510,Fortnightly_Model!$B$2:$B$15,0)),0),IFERROR(INDEX(Fortnightly_Model!$D$2:$D$15,MATCH(G511,Fortnightly_Model!$B$2:$B$15,0)),0)),0))))))</f>
        <v>0</v>
      </c>
      <c r="M507" s="27">
        <f>IF(VLOOKUP($A507,Calendar!$A$1:$R$1377,18,0)=0,0,IF(VLOOKUP($A507,Calendar!$A$1:$R$1377,18,0)=1,IFERROR(INDEX(FourWeekly_Model!$D$2:$D$29,MATCH(H507,FourWeekly_Model!$B$2:$B$29,0)),0),IF(VLOOKUP($A507,Calendar!$A$1:$R$1377,18,0)=2,SUM(IFERROR(INDEX(FourWeekly_Model!$D$2:$D$29,MATCH(H507,FourWeekly_Model!$B$2:$B$29,0)),0),IFERROR(INDEX(FourWeekly_Model!$D$2:$D$29,MATCH(H508,FourWeekly_Model!$B$2:$B$29,0)),0)),IF(VLOOKUP($A507,Calendar!$A$1:$R$1377,18,0)=3,SUM(IFERROR(INDEX(FourWeekly_Model!$D$2:$D$29,MATCH(H507,FourWeekly_Model!$B$2:$B$29,0)),0),IFERROR(INDEX(FourWeekly_Model!$D$2:$D$29,MATCH(H508,FourWeekly_Model!$B$2:$B$29,0)),0),IFERROR(INDEX(FourWeekly_Model!$D$2:$D$29,MATCH(H509,FourWeekly_Model!$B$2:$B$29,0)),0)),IF(VLOOKUP($A507,Calendar!$A$1:$R$1377,18,0)=4,SUM(IFERROR(INDEX(FourWeekly_Model!$D$2:$D$29,MATCH(H507,FourWeekly_Model!$B$2:$B$29,0)),0),IFERROR(INDEX(FourWeekly_Model!$D$2:$D$29,MATCH(H508,FourWeekly_Model!$B$2:$B$29,0)),0),IFERROR(INDEX(FourWeekly_Model!$D$2:$D$29,MATCH(H509,FourWeekly_Model!$B$2:$B$29,0)),0),IFERROR(INDEX(FourWeekly_Model!$D$2:$D$29,MATCH(H510,FourWeekly_Model!$B$2:$B$29,0)),0)),IF(VLOOKUP($A507,Calendar!$A$1:$R$1377,18,0)=5,SUM(IFERROR(INDEX(FourWeekly_Model!$D$2:$D$29,MATCH(H507,FourWeekly_Model!$B$2:$B$29,0)),0),IFERROR(INDEX(FourWeekly_Model!$D$2:$D$29,MATCH(H508,FourWeekly_Model!$B$2:$B$29,0)),0),IFERROR(INDEX(FourWeekly_Model!$D$2:$D$29,MATCH(H509,FourWeekly_Model!$B$2:$B$29,0)),0),IFERROR(INDEX(FourWeekly_Model!$D$2:$D$29,MATCH(H510,FourWeekly_Model!$B$2:$B$29,0)),0),IFERROR(INDEX(FourWeekly_Model!$D$2:$D$29,MATCH(H511,FourWeekly_Model!$B$2:$B$29,0)),0)),0))))))</f>
        <v>0</v>
      </c>
      <c r="N507" s="27">
        <f>SUM(I507:M507)</f>
        <v>0</v>
      </c>
      <c r="O507" s="28">
        <f>Population_Data!$B$8*N507</f>
        <v>0</v>
      </c>
      <c r="P507" s="27">
        <f>IF(VLOOKUP($A507,Calendar!$A$1:$R$1377,18,0)=0,0,IF(VLOOKUP($A507,Calendar!$A$1:$R$1377,18,0)=1,IFERROR(INDEX(Pension_Model!$D$2:$D$29,MATCH(H507,Pension_Model!$B$2:$B$29,0)),0),IF(VLOOKUP($A507,Calendar!$A$1:$R$1377,18,0)=2,SUM(IFERROR(INDEX(Pension_Model!$D$2:$D$29,MATCH(H507,Pension_Model!$B$2:$B$29,0)),0),IFERROR(INDEX(Pension_Model!$D$2:$D$29,MATCH(H508,Pension_Model!$B$2:$B$29,0)),0)),IF(VLOOKUP($A507,Calendar!$A$1:$R$1377,18,0)=3,SUM(IFERROR(INDEX(Pension_Model!$D$2:$D$29,MATCH(H507,Pension_Model!$B$2:$B$29,0)),0),IFERROR(INDEX(Pension_Model!$D$2:$D$29,MATCH(H508,Pension_Model!$B$2:$B$29,0)),0),IFERROR(INDEX(Pension_Model!$D$2:$D$29,MATCH(H509,Pension_Model!$B$2:$B$29,0)),0)),IF(VLOOKUP($A507,Calendar!$A$1:$R$1377,18,0)=4,SUM(IFERROR(INDEX(Pension_Model!$D$2:$D$29,MATCH(H507,Pension_Model!$B$2:$B$29,0)),0),IFERROR(INDEX(Pension_Model!$D$2:$D$29,MATCH(H508,Pension_Model!$B$2:$B$29,0)),0),IFERROR(INDEX(Pension_Model!$D$2:$D$29,MATCH(H509,Pension_Model!$B$2:$B$29,0)),0),IFERROR(INDEX(Pension_Model!$D$2:$D$29,MATCH(H510,Pension_Model!$B$2:$B$29,0)),0)),IF(VLOOKUP($A507,Calendar!$A$1:$R$1377,18,0)=5,SUM(IFERROR(INDEX(Pension_Model!$D$2:$D$29,MATCH(H507,Pension_Model!$B$2:$B$29,0)),0),IFERROR(INDEX(Pension_Model!$D$2:$D$29,MATCH(H508,Pension_Model!$B$2:$B$29,0)),0),IFERROR(INDEX(Pension_Model!$D$2:$D$29,MATCH(H509,Pension_Model!$B$2:$B$29,0)),0),IFERROR(INDEX(Pension_Model!$D$2:$D$29,MATCH(H510,Pension_Model!$B$2:$B$29,0)),0),IFERROR(INDEX(Pension_Model!$D$2:$D$29,MATCH(H511,Pension_Model!$B$2:$B$29,0)),0)),0))))))</f>
        <v>0</v>
      </c>
      <c r="Q507" s="28">
        <f>Population_Data!$B$15*P507</f>
        <v>0</v>
      </c>
      <c r="S507">
        <f t="shared" si="7"/>
        <v>0</v>
      </c>
      <c r="U507" s="33">
        <f>S507/Population_Data!$B$19</f>
        <v>0</v>
      </c>
    </row>
    <row r="508" spans="1:21">
      <c r="A508" s="25">
        <f>Calendar!A508</f>
        <v>46741</v>
      </c>
      <c r="B508" t="str">
        <f>Calendar!L508</f>
        <v>Yes</v>
      </c>
      <c r="C508" t="str">
        <f>Calendar!O508</f>
        <v>No</v>
      </c>
      <c r="D508" t="str">
        <f>Calendar!P508</f>
        <v>No</v>
      </c>
      <c r="E508" t="str">
        <f>Calendar!Q508</f>
        <v>No</v>
      </c>
      <c r="F508" t="str">
        <f>Calendar!I508</f>
        <v>Monday</v>
      </c>
      <c r="G508">
        <f>Calendar!S508</f>
        <v>9</v>
      </c>
      <c r="H508">
        <f>Calendar!T508</f>
        <v>9</v>
      </c>
      <c r="I508" s="27">
        <f>IF(VLOOKUP(A508,Calendar!$A$1:$R$1377,18,0)=0,0,IF(VLOOKUP(A508,Calendar!$A$1:$R$1377,18,0)=1,INDEX(Monthly_Pay_Model!$A$9:$D$40,MATCH(TEXT(A508,"dd"),Monthly_Pay_Model!$C$9:$C$39,0),4),IF(VLOOKUP(A508,Calendar!$A$1:$R$1377,18,0)=2,SUM(INDEX(Monthly_Pay_Model!$A$9:$D$40,MATCH(TEXT(A508,"dd"),Monthly_Pay_Model!$C$9:$C$39,0),4),INDEX(Monthly_Pay_Model!$A$9:$D$40,MATCH(TEXT(A509,"dd"),Monthly_Pay_Model!$C$9:$C$39,0),4)),IF(VLOOKUP(A508,Calendar!$A$1:$R$1377,18,0)=3,SUM(INDEX(Monthly_Pay_Model!$A$9:$D$40,MATCH(TEXT(A508,"dd"),Monthly_Pay_Model!$C$9:$C$39,0),4),INDEX(Monthly_Pay_Model!$A$9:$D$40,MATCH(TEXT(A509,"dd"),Monthly_Pay_Model!$C$9:$C$39,0),4),INDEX(Monthly_Pay_Model!$A$9:$D$40,MATCH(TEXT(A510,"dd"),Monthly_Pay_Model!$C$9:$C$39,0),4)),IF(VLOOKUP(A508,Calendar!$A$1:$R$1377,18,0)=4,SUM(INDEX(Monthly_Pay_Model!$A$9:$D$40,MATCH(TEXT(A508,"dd"),Monthly_Pay_Model!$C$9:$C$39,0),4),INDEX(Monthly_Pay_Model!$A$9:$D$40,MATCH(TEXT(A509,"dd"),Monthly_Pay_Model!$C$9:$C$39,0),4),INDEX(Monthly_Pay_Model!$A$9:$D$40,MATCH(TEXT(A510,"dd"),Monthly_Pay_Model!$C$9:$C$39,0),4),INDEX(Monthly_Pay_Model!$A$9:$D$40,MATCH(TEXT(A511,"dd"),Monthly_Pay_Model!$C$9:$C$39,0),4)),IF(VLOOKUP(A508,Calendar!$A$1:$R$1377,18,0)=5,SUM(INDEX(Monthly_Pay_Model!$A$9:$D$40,MATCH(TEXT(A508,"dd"),Monthly_Pay_Model!$C$9:$C$39,0),4),INDEX(Monthly_Pay_Model!$A$9:$D$40,MATCH(TEXT(A509,"dd"),Monthly_Pay_Model!$C$9:$C$39,0),4),INDEX(Monthly_Pay_Model!$A$9:$D$40,MATCH(TEXT(A510,"dd"),Monthly_Pay_Model!$C$9:$C$39,0),4),INDEX(Monthly_Pay_Model!$A$9:$D$40,MATCH(TEXT(A511,"dd"),Monthly_Pay_Model!$C$9:$C$39,0),4),INDEX(Monthly_Pay_Model!$A$9:$D$40,MATCH(TEXT(A512,"dd"),Monthly_Pay_Model!$C$9:$C$39,0),4)),))))))</f>
        <v>8.1256544502617788E-3</v>
      </c>
      <c r="J508" s="33">
        <f>IF(C508="Yes",Monthly_Pay_Model!$D$2,0)
+IF(Calendar!N508="Yes",Monthly_Pay_Model!$D$3,0)
+IF(D508="Yes",Monthly_Pay_Model!$D$4,0)
+IF(E508="Yes",Monthly_Pay_Model!$D$5,0)</f>
        <v>0</v>
      </c>
      <c r="K508" s="27">
        <f>IF(VLOOKUP($A508,Calendar!$A$1:$R$1377,18,0)=0,0,IF(VLOOKUP($A508,Calendar!$A$1:$R$1377,18,0)=1,IFERROR(INDEX(Weekly_Model!$D$2:$D$9,MATCH(F508,Weekly_Model!$A$2:$A$9,0)),0),IF(VLOOKUP($A508,Calendar!$A$1:$R$1377,18,0)=2,SUM(IFERROR(INDEX(Weekly_Model!$D$2:$D$9,MATCH(F508,Weekly_Model!$A$2:$A$9,0)),0),IFERROR(INDEX(Weekly_Model!$D$2:$D$9,MATCH(F509,Weekly_Model!$A$2:$A$9,0)),0)),IF(VLOOKUP($A508,Calendar!$A$1:$R$1377,18,0)=3,SUM(IFERROR(INDEX(Weekly_Model!$D$2:$D$9,MATCH(F508,Weekly_Model!$A$2:$A$9,0)),0),IFERROR(INDEX(Weekly_Model!$D$2:$D$9,MATCH(F509,Weekly_Model!$A$2:$A$9,0)),0),IFERROR(INDEX(Weekly_Model!$D$2:$D$9,MATCH(F510,Weekly_Model!$A$2:$A$9,0)),0)),IF(VLOOKUP($A508,Calendar!$A$1:$R$1377,18,0)=4,SUM(IFERROR(INDEX(Weekly_Model!$D$2:$D$9,MATCH(F508,Weekly_Model!$A$2:$A$9,0)),0),IFERROR(INDEX(Weekly_Model!$D$2:$D$9,MATCH(F509,Weekly_Model!$A$2:$A$9,0)),0),IFERROR(INDEX(Weekly_Model!$D$2:$D$9,MATCH(F510,Weekly_Model!$A$2:$A$9,0)),0),IFERROR(INDEX(Weekly_Model!$D$2:$D$9,MATCH(F511,Weekly_Model!$A$2:$A$9,0)),0)),IF(VLOOKUP($A508,Calendar!$A$1:$R$1377,18,0)=5,SUM(IFERROR(INDEX(Weekly_Model!$D$2:$D$9,MATCH(F508,Weekly_Model!$A$2:$A$9,0)),0),IFERROR(INDEX(Weekly_Model!$D$2:$D$9,MATCH(F509,Weekly_Model!$A$2:$A$9,0)),0),IFERROR(INDEX(Weekly_Model!$D$2:$D$9,MATCH(F510,Weekly_Model!$A$2:$A$9,0)),0),IFERROR(INDEX(Weekly_Model!$D$2:$D$9,MATCH(F511,Weekly_Model!$A$2:$A$9,0)),0),IFERROR(INDEX(Weekly_Model!$D$2:$D$9,MATCH(F512,Weekly_Model!$A$2:$A$9,0)),0)),0))))))</f>
        <v>2.3200000000000002E-2</v>
      </c>
      <c r="L508" s="27">
        <f>IF(VLOOKUP($A508,Calendar!$A$1:$R$1377,18,0)=0,0,IF(VLOOKUP($A508,Calendar!$A$1:$R$1377,18,0)=1,IFERROR(INDEX(Fortnightly_Model!$D$2:$D$15,MATCH(G508,Fortnightly_Model!$B$2:$B$15,0)),0),IF(VLOOKUP($A508,Calendar!$A$1:$R$1377,18,0)=2,SUM(IFERROR(INDEX(Fortnightly_Model!$D$2:$D$15,MATCH(G508,Fortnightly_Model!$B$2:$B$15,0)),0),IFERROR(INDEX(Fortnightly_Model!$D$2:$D$15,MATCH(G509,Fortnightly_Model!$B$2:$B$15,0)),0)),IF(VLOOKUP($A508,Calendar!$A$1:$R$1377,18,0)=3,SUM(IFERROR(INDEX(Fortnightly_Model!$D$2:$D$15,MATCH(G508,Fortnightly_Model!$B$2:$B$15,0)),0),IFERROR(INDEX(Fortnightly_Model!$D$2:$D$15,MATCH(G509,Fortnightly_Model!$B$2:$B$15,0)),0),IFERROR(INDEX(Fortnightly_Model!$D$2:$D$15,MATCH(G510,Fortnightly_Model!$B$2:$B$15,0)),0)),IF(VLOOKUP($A508,Calendar!$A$1:$R$1377,18,0)=4,SUM(IFERROR(INDEX(Fortnightly_Model!$D$2:$D$15,MATCH(G508,Fortnightly_Model!$B$2:$B$15,0)),0),IFERROR(INDEX(Fortnightly_Model!$D$2:$D$15,MATCH(G509,Fortnightly_Model!$B$2:$B$15,0)),0),IFERROR(INDEX(Fortnightly_Model!$D$2:$D$15,MATCH(G510,Fortnightly_Model!$B$2:$B$15,0)),0),IFERROR(INDEX(Fortnightly_Model!$D$2:$D$15,MATCH(G511,Fortnightly_Model!$B$2:$B$15,0)),0)),IF(VLOOKUP($A508,Calendar!$A$1:$R$1377,18,0)=5,SUM(IFERROR(INDEX(Fortnightly_Model!$D$2:$D$15,MATCH(G508,Fortnightly_Model!$B$2:$B$15,0)),0),IFERROR(INDEX(Fortnightly_Model!$D$2:$D$15,MATCH(G509,Fortnightly_Model!$B$2:$B$15,0)),0),IFERROR(INDEX(Fortnightly_Model!$D$2:$D$15,MATCH(G510,Fortnightly_Model!$B$2:$B$15,0)),0),IFERROR(INDEX(Fortnightly_Model!$D$2:$D$15,MATCH(G511,Fortnightly_Model!$B$2:$B$15,0)),0),IFERROR(INDEX(Fortnightly_Model!$D$2:$D$15,MATCH(G512,Fortnightly_Model!$B$2:$B$15,0)),0)),0))))))</f>
        <v>1.0714285499999999E-3</v>
      </c>
      <c r="M508" s="27">
        <f>IF(VLOOKUP($A508,Calendar!$A$1:$R$1377,18,0)=0,0,IF(VLOOKUP($A508,Calendar!$A$1:$R$1377,18,0)=1,IFERROR(INDEX(FourWeekly_Model!$D$2:$D$29,MATCH(H508,FourWeekly_Model!$B$2:$B$29,0)),0),IF(VLOOKUP($A508,Calendar!$A$1:$R$1377,18,0)=2,SUM(IFERROR(INDEX(FourWeekly_Model!$D$2:$D$29,MATCH(H508,FourWeekly_Model!$B$2:$B$29,0)),0),IFERROR(INDEX(FourWeekly_Model!$D$2:$D$29,MATCH(H509,FourWeekly_Model!$B$2:$B$29,0)),0)),IF(VLOOKUP($A508,Calendar!$A$1:$R$1377,18,0)=3,SUM(IFERROR(INDEX(FourWeekly_Model!$D$2:$D$29,MATCH(H508,FourWeekly_Model!$B$2:$B$29,0)),0),IFERROR(INDEX(FourWeekly_Model!$D$2:$D$29,MATCH(H509,FourWeekly_Model!$B$2:$B$29,0)),0),IFERROR(INDEX(FourWeekly_Model!$D$2:$D$29,MATCH(H510,FourWeekly_Model!$B$2:$B$29,0)),0)),IF(VLOOKUP($A508,Calendar!$A$1:$R$1377,18,0)=4,SUM(IFERROR(INDEX(FourWeekly_Model!$D$2:$D$29,MATCH(H508,FourWeekly_Model!$B$2:$B$29,0)),0),IFERROR(INDEX(FourWeekly_Model!$D$2:$D$29,MATCH(H509,FourWeekly_Model!$B$2:$B$29,0)),0),IFERROR(INDEX(FourWeekly_Model!$D$2:$D$29,MATCH(H510,FourWeekly_Model!$B$2:$B$29,0)),0),IFERROR(INDEX(FourWeekly_Model!$D$2:$D$29,MATCH(H511,FourWeekly_Model!$B$2:$B$29,0)),0)),IF(VLOOKUP($A508,Calendar!$A$1:$R$1377,18,0)=5,SUM(IFERROR(INDEX(FourWeekly_Model!$D$2:$D$29,MATCH(H508,FourWeekly_Model!$B$2:$B$29,0)),0),IFERROR(INDEX(FourWeekly_Model!$D$2:$D$29,MATCH(H509,FourWeekly_Model!$B$2:$B$29,0)),0),IFERROR(INDEX(FourWeekly_Model!$D$2:$D$29,MATCH(H510,FourWeekly_Model!$B$2:$B$29,0)),0),IFERROR(INDEX(FourWeekly_Model!$D$2:$D$29,MATCH(H511,FourWeekly_Model!$B$2:$B$29,0)),0),IFERROR(INDEX(FourWeekly_Model!$D$2:$D$29,MATCH(H512,FourWeekly_Model!$B$2:$B$29,0)),0)),0))))))</f>
        <v>3.3214289700000004E-3</v>
      </c>
      <c r="N508" s="27">
        <f>SUM(I508:M508)</f>
        <v>3.5718511970261782E-2</v>
      </c>
      <c r="O508" s="28">
        <f>Population_Data!$B$8*N508</f>
        <v>1082270.912698932</v>
      </c>
      <c r="P508" s="27">
        <f>IF(VLOOKUP($A508,Calendar!$A$1:$R$1377,18,0)=0,0,IF(VLOOKUP($A508,Calendar!$A$1:$R$1377,18,0)=1,IFERROR(INDEX(Pension_Model!$D$2:$D$29,MATCH(H508,Pension_Model!$B$2:$B$29,0)),0),IF(VLOOKUP($A508,Calendar!$A$1:$R$1377,18,0)=2,SUM(IFERROR(INDEX(Pension_Model!$D$2:$D$29,MATCH(H508,Pension_Model!$B$2:$B$29,0)),0),IFERROR(INDEX(Pension_Model!$D$2:$D$29,MATCH(H509,Pension_Model!$B$2:$B$29,0)),0)),IF(VLOOKUP($A508,Calendar!$A$1:$R$1377,18,0)=3,SUM(IFERROR(INDEX(Pension_Model!$D$2:$D$29,MATCH(H508,Pension_Model!$B$2:$B$29,0)),0),IFERROR(INDEX(Pension_Model!$D$2:$D$29,MATCH(H509,Pension_Model!$B$2:$B$29,0)),0),IFERROR(INDEX(Pension_Model!$D$2:$D$29,MATCH(H510,Pension_Model!$B$2:$B$29,0)),0)),IF(VLOOKUP($A508,Calendar!$A$1:$R$1377,18,0)=4,SUM(IFERROR(INDEX(Pension_Model!$D$2:$D$29,MATCH(H508,Pension_Model!$B$2:$B$29,0)),0),IFERROR(INDEX(Pension_Model!$D$2:$D$29,MATCH(H509,Pension_Model!$B$2:$B$29,0)),0),IFERROR(INDEX(Pension_Model!$D$2:$D$29,MATCH(H510,Pension_Model!$B$2:$B$29,0)),0),IFERROR(INDEX(Pension_Model!$D$2:$D$29,MATCH(H511,Pension_Model!$B$2:$B$29,0)),0)),IF(VLOOKUP($A508,Calendar!$A$1:$R$1377,18,0)=5,SUM(IFERROR(INDEX(Pension_Model!$D$2:$D$29,MATCH(H508,Pension_Model!$B$2:$B$29,0)),0),IFERROR(INDEX(Pension_Model!$D$2:$D$29,MATCH(H509,Pension_Model!$B$2:$B$29,0)),0),IFERROR(INDEX(Pension_Model!$D$2:$D$29,MATCH(H510,Pension_Model!$B$2:$B$29,0)),0),IFERROR(INDEX(Pension_Model!$D$2:$D$29,MATCH(H511,Pension_Model!$B$2:$B$29,0)),0),IFERROR(INDEX(Pension_Model!$D$2:$D$29,MATCH(H512,Pension_Model!$B$2:$B$29,0)),0)),0))))))</f>
        <v>0.05</v>
      </c>
      <c r="Q508" s="28">
        <f>Population_Data!$B$15*P508</f>
        <v>660600</v>
      </c>
      <c r="S508">
        <f t="shared" si="7"/>
        <v>1742870.912698932</v>
      </c>
      <c r="U508" s="33">
        <f>S508/Population_Data!$B$19</f>
        <v>3.1573748418458912E-2</v>
      </c>
    </row>
    <row r="509" spans="1:21">
      <c r="A509" s="25">
        <f>Calendar!A509</f>
        <v>46742</v>
      </c>
      <c r="B509" t="str">
        <f>Calendar!L509</f>
        <v>Yes</v>
      </c>
      <c r="C509" t="str">
        <f>Calendar!O509</f>
        <v>No</v>
      </c>
      <c r="D509" t="str">
        <f>Calendar!P509</f>
        <v>No</v>
      </c>
      <c r="E509" t="str">
        <f>Calendar!Q509</f>
        <v>No</v>
      </c>
      <c r="F509" t="str">
        <f>Calendar!I509</f>
        <v>Tuesday</v>
      </c>
      <c r="G509">
        <f>Calendar!S509</f>
        <v>10</v>
      </c>
      <c r="H509">
        <f>Calendar!T509</f>
        <v>10</v>
      </c>
      <c r="I509" s="27">
        <f>IF(VLOOKUP(A509,Calendar!$A$1:$R$1377,18,0)=0,0,IF(VLOOKUP(A509,Calendar!$A$1:$R$1377,18,0)=1,INDEX(Monthly_Pay_Model!$A$9:$D$40,MATCH(TEXT(A509,"dd"),Monthly_Pay_Model!$C$9:$C$39,0),4),IF(VLOOKUP(A509,Calendar!$A$1:$R$1377,18,0)=2,SUM(INDEX(Monthly_Pay_Model!$A$9:$D$40,MATCH(TEXT(A509,"dd"),Monthly_Pay_Model!$C$9:$C$39,0),4),INDEX(Monthly_Pay_Model!$A$9:$D$40,MATCH(TEXT(A510,"dd"),Monthly_Pay_Model!$C$9:$C$39,0),4)),IF(VLOOKUP(A509,Calendar!$A$1:$R$1377,18,0)=3,SUM(INDEX(Monthly_Pay_Model!$A$9:$D$40,MATCH(TEXT(A509,"dd"),Monthly_Pay_Model!$C$9:$C$39,0),4),INDEX(Monthly_Pay_Model!$A$9:$D$40,MATCH(TEXT(A510,"dd"),Monthly_Pay_Model!$C$9:$C$39,0),4),INDEX(Monthly_Pay_Model!$A$9:$D$40,MATCH(TEXT(A511,"dd"),Monthly_Pay_Model!$C$9:$C$39,0),4)),IF(VLOOKUP(A509,Calendar!$A$1:$R$1377,18,0)=4,SUM(INDEX(Monthly_Pay_Model!$A$9:$D$40,MATCH(TEXT(A509,"dd"),Monthly_Pay_Model!$C$9:$C$39,0),4),INDEX(Monthly_Pay_Model!$A$9:$D$40,MATCH(TEXT(A510,"dd"),Monthly_Pay_Model!$C$9:$C$39,0),4),INDEX(Monthly_Pay_Model!$A$9:$D$40,MATCH(TEXT(A511,"dd"),Monthly_Pay_Model!$C$9:$C$39,0),4),INDEX(Monthly_Pay_Model!$A$9:$D$40,MATCH(TEXT(A512,"dd"),Monthly_Pay_Model!$C$9:$C$39,0),4)),IF(VLOOKUP(A509,Calendar!$A$1:$R$1377,18,0)=5,SUM(INDEX(Monthly_Pay_Model!$A$9:$D$40,MATCH(TEXT(A509,"dd"),Monthly_Pay_Model!$C$9:$C$39,0),4),INDEX(Monthly_Pay_Model!$A$9:$D$40,MATCH(TEXT(A510,"dd"),Monthly_Pay_Model!$C$9:$C$39,0),4),INDEX(Monthly_Pay_Model!$A$9:$D$40,MATCH(TEXT(A511,"dd"),Monthly_Pay_Model!$C$9:$C$39,0),4),INDEX(Monthly_Pay_Model!$A$9:$D$40,MATCH(TEXT(A512,"dd"),Monthly_Pay_Model!$C$9:$C$39,0),4),INDEX(Monthly_Pay_Model!$A$9:$D$40,MATCH(TEXT(A513,"dd"),Monthly_Pay_Model!$C$9:$C$39,0),4)),))))))</f>
        <v>4.8753926701570662E-3</v>
      </c>
      <c r="J509" s="33">
        <f>IF(C509="Yes",Monthly_Pay_Model!$D$2,0)
+IF(Calendar!N509="Yes",Monthly_Pay_Model!$D$3,0)
+IF(D509="Yes",Monthly_Pay_Model!$D$4,0)
+IF(E509="Yes",Monthly_Pay_Model!$D$5,0)</f>
        <v>0</v>
      </c>
      <c r="K509" s="27">
        <f>IF(VLOOKUP($A509,Calendar!$A$1:$R$1377,18,0)=0,0,IF(VLOOKUP($A509,Calendar!$A$1:$R$1377,18,0)=1,IFERROR(INDEX(Weekly_Model!$D$2:$D$9,MATCH(F509,Weekly_Model!$A$2:$A$9,0)),0),IF(VLOOKUP($A509,Calendar!$A$1:$R$1377,18,0)=2,SUM(IFERROR(INDEX(Weekly_Model!$D$2:$D$9,MATCH(F509,Weekly_Model!$A$2:$A$9,0)),0),IFERROR(INDEX(Weekly_Model!$D$2:$D$9,MATCH(F510,Weekly_Model!$A$2:$A$9,0)),0)),IF(VLOOKUP($A509,Calendar!$A$1:$R$1377,18,0)=3,SUM(IFERROR(INDEX(Weekly_Model!$D$2:$D$9,MATCH(F509,Weekly_Model!$A$2:$A$9,0)),0),IFERROR(INDEX(Weekly_Model!$D$2:$D$9,MATCH(F510,Weekly_Model!$A$2:$A$9,0)),0),IFERROR(INDEX(Weekly_Model!$D$2:$D$9,MATCH(F511,Weekly_Model!$A$2:$A$9,0)),0)),IF(VLOOKUP($A509,Calendar!$A$1:$R$1377,18,0)=4,SUM(IFERROR(INDEX(Weekly_Model!$D$2:$D$9,MATCH(F509,Weekly_Model!$A$2:$A$9,0)),0),IFERROR(INDEX(Weekly_Model!$D$2:$D$9,MATCH(F510,Weekly_Model!$A$2:$A$9,0)),0),IFERROR(INDEX(Weekly_Model!$D$2:$D$9,MATCH(F511,Weekly_Model!$A$2:$A$9,0)),0),IFERROR(INDEX(Weekly_Model!$D$2:$D$9,MATCH(F512,Weekly_Model!$A$2:$A$9,0)),0)),IF(VLOOKUP($A509,Calendar!$A$1:$R$1377,18,0)=5,SUM(IFERROR(INDEX(Weekly_Model!$D$2:$D$9,MATCH(F509,Weekly_Model!$A$2:$A$9,0)),0),IFERROR(INDEX(Weekly_Model!$D$2:$D$9,MATCH(F510,Weekly_Model!$A$2:$A$9,0)),0),IFERROR(INDEX(Weekly_Model!$D$2:$D$9,MATCH(F511,Weekly_Model!$A$2:$A$9,0)),0),IFERROR(INDEX(Weekly_Model!$D$2:$D$9,MATCH(F512,Weekly_Model!$A$2:$A$9,0)),0),IFERROR(INDEX(Weekly_Model!$D$2:$D$9,MATCH(F513,Weekly_Model!$A$2:$A$9,0)),0)),0))))))</f>
        <v>2.3200000000000002E-2</v>
      </c>
      <c r="L509" s="27">
        <f>IF(VLOOKUP($A509,Calendar!$A$1:$R$1377,18,0)=0,0,IF(VLOOKUP($A509,Calendar!$A$1:$R$1377,18,0)=1,IFERROR(INDEX(Fortnightly_Model!$D$2:$D$15,MATCH(G509,Fortnightly_Model!$B$2:$B$15,0)),0),IF(VLOOKUP($A509,Calendar!$A$1:$R$1377,18,0)=2,SUM(IFERROR(INDEX(Fortnightly_Model!$D$2:$D$15,MATCH(G509,Fortnightly_Model!$B$2:$B$15,0)),0),IFERROR(INDEX(Fortnightly_Model!$D$2:$D$15,MATCH(G510,Fortnightly_Model!$B$2:$B$15,0)),0)),IF(VLOOKUP($A509,Calendar!$A$1:$R$1377,18,0)=3,SUM(IFERROR(INDEX(Fortnightly_Model!$D$2:$D$15,MATCH(G509,Fortnightly_Model!$B$2:$B$15,0)),0),IFERROR(INDEX(Fortnightly_Model!$D$2:$D$15,MATCH(G510,Fortnightly_Model!$B$2:$B$15,0)),0),IFERROR(INDEX(Fortnightly_Model!$D$2:$D$15,MATCH(G511,Fortnightly_Model!$B$2:$B$15,0)),0)),IF(VLOOKUP($A509,Calendar!$A$1:$R$1377,18,0)=4,SUM(IFERROR(INDEX(Fortnightly_Model!$D$2:$D$15,MATCH(G509,Fortnightly_Model!$B$2:$B$15,0)),0),IFERROR(INDEX(Fortnightly_Model!$D$2:$D$15,MATCH(G510,Fortnightly_Model!$B$2:$B$15,0)),0),IFERROR(INDEX(Fortnightly_Model!$D$2:$D$15,MATCH(G511,Fortnightly_Model!$B$2:$B$15,0)),0),IFERROR(INDEX(Fortnightly_Model!$D$2:$D$15,MATCH(G512,Fortnightly_Model!$B$2:$B$15,0)),0)),IF(VLOOKUP($A509,Calendar!$A$1:$R$1377,18,0)=5,SUM(IFERROR(INDEX(Fortnightly_Model!$D$2:$D$15,MATCH(G509,Fortnightly_Model!$B$2:$B$15,0)),0),IFERROR(INDEX(Fortnightly_Model!$D$2:$D$15,MATCH(G510,Fortnightly_Model!$B$2:$B$15,0)),0),IFERROR(INDEX(Fortnightly_Model!$D$2:$D$15,MATCH(G511,Fortnightly_Model!$B$2:$B$15,0)),0),IFERROR(INDEX(Fortnightly_Model!$D$2:$D$15,MATCH(G512,Fortnightly_Model!$B$2:$B$15,0)),0),IFERROR(INDEX(Fortnightly_Model!$D$2:$D$15,MATCH(G513,Fortnightly_Model!$B$2:$B$15,0)),0)),0))))))</f>
        <v>1.0714285499999999E-3</v>
      </c>
      <c r="M509" s="27">
        <f>IF(VLOOKUP($A509,Calendar!$A$1:$R$1377,18,0)=0,0,IF(VLOOKUP($A509,Calendar!$A$1:$R$1377,18,0)=1,IFERROR(INDEX(FourWeekly_Model!$D$2:$D$29,MATCH(H509,FourWeekly_Model!$B$2:$B$29,0)),0),IF(VLOOKUP($A509,Calendar!$A$1:$R$1377,18,0)=2,SUM(IFERROR(INDEX(FourWeekly_Model!$D$2:$D$29,MATCH(H509,FourWeekly_Model!$B$2:$B$29,0)),0),IFERROR(INDEX(FourWeekly_Model!$D$2:$D$29,MATCH(H510,FourWeekly_Model!$B$2:$B$29,0)),0)),IF(VLOOKUP($A509,Calendar!$A$1:$R$1377,18,0)=3,SUM(IFERROR(INDEX(FourWeekly_Model!$D$2:$D$29,MATCH(H509,FourWeekly_Model!$B$2:$B$29,0)),0),IFERROR(INDEX(FourWeekly_Model!$D$2:$D$29,MATCH(H510,FourWeekly_Model!$B$2:$B$29,0)),0),IFERROR(INDEX(FourWeekly_Model!$D$2:$D$29,MATCH(H511,FourWeekly_Model!$B$2:$B$29,0)),0)),IF(VLOOKUP($A509,Calendar!$A$1:$R$1377,18,0)=4,SUM(IFERROR(INDEX(FourWeekly_Model!$D$2:$D$29,MATCH(H509,FourWeekly_Model!$B$2:$B$29,0)),0),IFERROR(INDEX(FourWeekly_Model!$D$2:$D$29,MATCH(H510,FourWeekly_Model!$B$2:$B$29,0)),0),IFERROR(INDEX(FourWeekly_Model!$D$2:$D$29,MATCH(H511,FourWeekly_Model!$B$2:$B$29,0)),0),IFERROR(INDEX(FourWeekly_Model!$D$2:$D$29,MATCH(H512,FourWeekly_Model!$B$2:$B$29,0)),0)),IF(VLOOKUP($A509,Calendar!$A$1:$R$1377,18,0)=5,SUM(IFERROR(INDEX(FourWeekly_Model!$D$2:$D$29,MATCH(H509,FourWeekly_Model!$B$2:$B$29,0)),0),IFERROR(INDEX(FourWeekly_Model!$D$2:$D$29,MATCH(H510,FourWeekly_Model!$B$2:$B$29,0)),0),IFERROR(INDEX(FourWeekly_Model!$D$2:$D$29,MATCH(H511,FourWeekly_Model!$B$2:$B$29,0)),0),IFERROR(INDEX(FourWeekly_Model!$D$2:$D$29,MATCH(H512,FourWeekly_Model!$B$2:$B$29,0)),0),IFERROR(INDEX(FourWeekly_Model!$D$2:$D$29,MATCH(H513,FourWeekly_Model!$B$2:$B$29,0)),0)),0))))))</f>
        <v>3.3214289700000004E-3</v>
      </c>
      <c r="N509" s="27">
        <f>SUM(I509:M509)</f>
        <v>3.2468250190157068E-2</v>
      </c>
      <c r="O509" s="28">
        <f>Population_Data!$B$8*N509</f>
        <v>983787.9807617591</v>
      </c>
      <c r="P509" s="27">
        <f>IF(VLOOKUP($A509,Calendar!$A$1:$R$1377,18,0)=0,0,IF(VLOOKUP($A509,Calendar!$A$1:$R$1377,18,0)=1,IFERROR(INDEX(Pension_Model!$D$2:$D$29,MATCH(H509,Pension_Model!$B$2:$B$29,0)),0),IF(VLOOKUP($A509,Calendar!$A$1:$R$1377,18,0)=2,SUM(IFERROR(INDEX(Pension_Model!$D$2:$D$29,MATCH(H509,Pension_Model!$B$2:$B$29,0)),0),IFERROR(INDEX(Pension_Model!$D$2:$D$29,MATCH(H510,Pension_Model!$B$2:$B$29,0)),0)),IF(VLOOKUP($A509,Calendar!$A$1:$R$1377,18,0)=3,SUM(IFERROR(INDEX(Pension_Model!$D$2:$D$29,MATCH(H509,Pension_Model!$B$2:$B$29,0)),0),IFERROR(INDEX(Pension_Model!$D$2:$D$29,MATCH(H510,Pension_Model!$B$2:$B$29,0)),0),IFERROR(INDEX(Pension_Model!$D$2:$D$29,MATCH(H511,Pension_Model!$B$2:$B$29,0)),0)),IF(VLOOKUP($A509,Calendar!$A$1:$R$1377,18,0)=4,SUM(IFERROR(INDEX(Pension_Model!$D$2:$D$29,MATCH(H509,Pension_Model!$B$2:$B$29,0)),0),IFERROR(INDEX(Pension_Model!$D$2:$D$29,MATCH(H510,Pension_Model!$B$2:$B$29,0)),0),IFERROR(INDEX(Pension_Model!$D$2:$D$29,MATCH(H511,Pension_Model!$B$2:$B$29,0)),0),IFERROR(INDEX(Pension_Model!$D$2:$D$29,MATCH(H512,Pension_Model!$B$2:$B$29,0)),0)),IF(VLOOKUP($A509,Calendar!$A$1:$R$1377,18,0)=5,SUM(IFERROR(INDEX(Pension_Model!$D$2:$D$29,MATCH(H509,Pension_Model!$B$2:$B$29,0)),0),IFERROR(INDEX(Pension_Model!$D$2:$D$29,MATCH(H510,Pension_Model!$B$2:$B$29,0)),0),IFERROR(INDEX(Pension_Model!$D$2:$D$29,MATCH(H511,Pension_Model!$B$2:$B$29,0)),0),IFERROR(INDEX(Pension_Model!$D$2:$D$29,MATCH(H512,Pension_Model!$B$2:$B$29,0)),0),IFERROR(INDEX(Pension_Model!$D$2:$D$29,MATCH(H513,Pension_Model!$B$2:$B$29,0)),0)),0))))))</f>
        <v>0.05</v>
      </c>
      <c r="Q509" s="28">
        <f>Population_Data!$B$15*P509</f>
        <v>660600</v>
      </c>
      <c r="S509">
        <f t="shared" si="7"/>
        <v>1644387.980761759</v>
      </c>
      <c r="U509" s="33">
        <f>S509/Population_Data!$B$19</f>
        <v>2.9789637332640562E-2</v>
      </c>
    </row>
    <row r="510" spans="1:21">
      <c r="A510" s="25">
        <f>Calendar!A510</f>
        <v>46743</v>
      </c>
      <c r="B510" t="str">
        <f>Calendar!L510</f>
        <v>Yes</v>
      </c>
      <c r="C510" t="str">
        <f>Calendar!O510</f>
        <v>No</v>
      </c>
      <c r="D510" t="str">
        <f>Calendar!P510</f>
        <v>No</v>
      </c>
      <c r="E510" t="str">
        <f>Calendar!Q510</f>
        <v>No</v>
      </c>
      <c r="F510" t="str">
        <f>Calendar!I510</f>
        <v>Wednesday</v>
      </c>
      <c r="G510">
        <f>Calendar!S510</f>
        <v>11</v>
      </c>
      <c r="H510">
        <f>Calendar!T510</f>
        <v>11</v>
      </c>
      <c r="I510" s="27">
        <f>IF(VLOOKUP(A510,Calendar!$A$1:$R$1377,18,0)=0,0,IF(VLOOKUP(A510,Calendar!$A$1:$R$1377,18,0)=1,INDEX(Monthly_Pay_Model!$A$9:$D$40,MATCH(TEXT(A510,"dd"),Monthly_Pay_Model!$C$9:$C$39,0),4),IF(VLOOKUP(A510,Calendar!$A$1:$R$1377,18,0)=2,SUM(INDEX(Monthly_Pay_Model!$A$9:$D$40,MATCH(TEXT(A510,"dd"),Monthly_Pay_Model!$C$9:$C$39,0),4),INDEX(Monthly_Pay_Model!$A$9:$D$40,MATCH(TEXT(A511,"dd"),Monthly_Pay_Model!$C$9:$C$39,0),4)),IF(VLOOKUP(A510,Calendar!$A$1:$R$1377,18,0)=3,SUM(INDEX(Monthly_Pay_Model!$A$9:$D$40,MATCH(TEXT(A510,"dd"),Monthly_Pay_Model!$C$9:$C$39,0),4),INDEX(Monthly_Pay_Model!$A$9:$D$40,MATCH(TEXT(A511,"dd"),Monthly_Pay_Model!$C$9:$C$39,0),4),INDEX(Monthly_Pay_Model!$A$9:$D$40,MATCH(TEXT(A512,"dd"),Monthly_Pay_Model!$C$9:$C$39,0),4)),IF(VLOOKUP(A510,Calendar!$A$1:$R$1377,18,0)=4,SUM(INDEX(Monthly_Pay_Model!$A$9:$D$40,MATCH(TEXT(A510,"dd"),Monthly_Pay_Model!$C$9:$C$39,0),4),INDEX(Monthly_Pay_Model!$A$9:$D$40,MATCH(TEXT(A511,"dd"),Monthly_Pay_Model!$C$9:$C$39,0),4),INDEX(Monthly_Pay_Model!$A$9:$D$40,MATCH(TEXT(A512,"dd"),Monthly_Pay_Model!$C$9:$C$39,0),4),INDEX(Monthly_Pay_Model!$A$9:$D$40,MATCH(TEXT(A513,"dd"),Monthly_Pay_Model!$C$9:$C$39,0),4)),IF(VLOOKUP(A510,Calendar!$A$1:$R$1377,18,0)=5,SUM(INDEX(Monthly_Pay_Model!$A$9:$D$40,MATCH(TEXT(A510,"dd"),Monthly_Pay_Model!$C$9:$C$39,0),4),INDEX(Monthly_Pay_Model!$A$9:$D$40,MATCH(TEXT(A511,"dd"),Monthly_Pay_Model!$C$9:$C$39,0),4),INDEX(Monthly_Pay_Model!$A$9:$D$40,MATCH(TEXT(A512,"dd"),Monthly_Pay_Model!$C$9:$C$39,0),4),INDEX(Monthly_Pay_Model!$A$9:$D$40,MATCH(TEXT(A513,"dd"),Monthly_Pay_Model!$C$9:$C$39,0),4),INDEX(Monthly_Pay_Model!$A$9:$D$40,MATCH(TEXT(A514,"dd"),Monthly_Pay_Model!$C$9:$C$39,0),4)),))))))</f>
        <v>3.2502617801047117E-3</v>
      </c>
      <c r="J510" s="33">
        <f>IF(C510="Yes",Monthly_Pay_Model!$D$2,0)
+IF(Calendar!N510="Yes",Monthly_Pay_Model!$D$3,0)
+IF(D510="Yes",Monthly_Pay_Model!$D$4,0)
+IF(E510="Yes",Monthly_Pay_Model!$D$5,0)</f>
        <v>0</v>
      </c>
      <c r="K510" s="27">
        <f>IF(VLOOKUP($A510,Calendar!$A$1:$R$1377,18,0)=0,0,IF(VLOOKUP($A510,Calendar!$A$1:$R$1377,18,0)=1,IFERROR(INDEX(Weekly_Model!$D$2:$D$9,MATCH(F510,Weekly_Model!$A$2:$A$9,0)),0),IF(VLOOKUP($A510,Calendar!$A$1:$R$1377,18,0)=2,SUM(IFERROR(INDEX(Weekly_Model!$D$2:$D$9,MATCH(F510,Weekly_Model!$A$2:$A$9,0)),0),IFERROR(INDEX(Weekly_Model!$D$2:$D$9,MATCH(F511,Weekly_Model!$A$2:$A$9,0)),0)),IF(VLOOKUP($A510,Calendar!$A$1:$R$1377,18,0)=3,SUM(IFERROR(INDEX(Weekly_Model!$D$2:$D$9,MATCH(F510,Weekly_Model!$A$2:$A$9,0)),0),IFERROR(INDEX(Weekly_Model!$D$2:$D$9,MATCH(F511,Weekly_Model!$A$2:$A$9,0)),0),IFERROR(INDEX(Weekly_Model!$D$2:$D$9,MATCH(F512,Weekly_Model!$A$2:$A$9,0)),0)),IF(VLOOKUP($A510,Calendar!$A$1:$R$1377,18,0)=4,SUM(IFERROR(INDEX(Weekly_Model!$D$2:$D$9,MATCH(F510,Weekly_Model!$A$2:$A$9,0)),0),IFERROR(INDEX(Weekly_Model!$D$2:$D$9,MATCH(F511,Weekly_Model!$A$2:$A$9,0)),0),IFERROR(INDEX(Weekly_Model!$D$2:$D$9,MATCH(F512,Weekly_Model!$A$2:$A$9,0)),0),IFERROR(INDEX(Weekly_Model!$D$2:$D$9,MATCH(F513,Weekly_Model!$A$2:$A$9,0)),0)),IF(VLOOKUP($A510,Calendar!$A$1:$R$1377,18,0)=5,SUM(IFERROR(INDEX(Weekly_Model!$D$2:$D$9,MATCH(F510,Weekly_Model!$A$2:$A$9,0)),0),IFERROR(INDEX(Weekly_Model!$D$2:$D$9,MATCH(F511,Weekly_Model!$A$2:$A$9,0)),0),IFERROR(INDEX(Weekly_Model!$D$2:$D$9,MATCH(F512,Weekly_Model!$A$2:$A$9,0)),0),IFERROR(INDEX(Weekly_Model!$D$2:$D$9,MATCH(F513,Weekly_Model!$A$2:$A$9,0)),0),IFERROR(INDEX(Weekly_Model!$D$2:$D$9,MATCH(F514,Weekly_Model!$A$2:$A$9,0)),0)),0))))))</f>
        <v>2.3200000000000002E-2</v>
      </c>
      <c r="L510" s="27">
        <f>IF(VLOOKUP($A510,Calendar!$A$1:$R$1377,18,0)=0,0,IF(VLOOKUP($A510,Calendar!$A$1:$R$1377,18,0)=1,IFERROR(INDEX(Fortnightly_Model!$D$2:$D$15,MATCH(G510,Fortnightly_Model!$B$2:$B$15,0)),0),IF(VLOOKUP($A510,Calendar!$A$1:$R$1377,18,0)=2,SUM(IFERROR(INDEX(Fortnightly_Model!$D$2:$D$15,MATCH(G510,Fortnightly_Model!$B$2:$B$15,0)),0),IFERROR(INDEX(Fortnightly_Model!$D$2:$D$15,MATCH(G511,Fortnightly_Model!$B$2:$B$15,0)),0)),IF(VLOOKUP($A510,Calendar!$A$1:$R$1377,18,0)=3,SUM(IFERROR(INDEX(Fortnightly_Model!$D$2:$D$15,MATCH(G510,Fortnightly_Model!$B$2:$B$15,0)),0),IFERROR(INDEX(Fortnightly_Model!$D$2:$D$15,MATCH(G511,Fortnightly_Model!$B$2:$B$15,0)),0),IFERROR(INDEX(Fortnightly_Model!$D$2:$D$15,MATCH(G512,Fortnightly_Model!$B$2:$B$15,0)),0)),IF(VLOOKUP($A510,Calendar!$A$1:$R$1377,18,0)=4,SUM(IFERROR(INDEX(Fortnightly_Model!$D$2:$D$15,MATCH(G510,Fortnightly_Model!$B$2:$B$15,0)),0),IFERROR(INDEX(Fortnightly_Model!$D$2:$D$15,MATCH(G511,Fortnightly_Model!$B$2:$B$15,0)),0),IFERROR(INDEX(Fortnightly_Model!$D$2:$D$15,MATCH(G512,Fortnightly_Model!$B$2:$B$15,0)),0),IFERROR(INDEX(Fortnightly_Model!$D$2:$D$15,MATCH(G513,Fortnightly_Model!$B$2:$B$15,0)),0)),IF(VLOOKUP($A510,Calendar!$A$1:$R$1377,18,0)=5,SUM(IFERROR(INDEX(Fortnightly_Model!$D$2:$D$15,MATCH(G510,Fortnightly_Model!$B$2:$B$15,0)),0),IFERROR(INDEX(Fortnightly_Model!$D$2:$D$15,MATCH(G511,Fortnightly_Model!$B$2:$B$15,0)),0),IFERROR(INDEX(Fortnightly_Model!$D$2:$D$15,MATCH(G512,Fortnightly_Model!$B$2:$B$15,0)),0),IFERROR(INDEX(Fortnightly_Model!$D$2:$D$15,MATCH(G513,Fortnightly_Model!$B$2:$B$15,0)),0),IFERROR(INDEX(Fortnightly_Model!$D$2:$D$15,MATCH(G514,Fortnightly_Model!$B$2:$B$15,0)),0)),0))))))</f>
        <v>1.0714285499999999E-3</v>
      </c>
      <c r="M510" s="27">
        <f>IF(VLOOKUP($A510,Calendar!$A$1:$R$1377,18,0)=0,0,IF(VLOOKUP($A510,Calendar!$A$1:$R$1377,18,0)=1,IFERROR(INDEX(FourWeekly_Model!$D$2:$D$29,MATCH(H510,FourWeekly_Model!$B$2:$B$29,0)),0),IF(VLOOKUP($A510,Calendar!$A$1:$R$1377,18,0)=2,SUM(IFERROR(INDEX(FourWeekly_Model!$D$2:$D$29,MATCH(H510,FourWeekly_Model!$B$2:$B$29,0)),0),IFERROR(INDEX(FourWeekly_Model!$D$2:$D$29,MATCH(H511,FourWeekly_Model!$B$2:$B$29,0)),0)),IF(VLOOKUP($A510,Calendar!$A$1:$R$1377,18,0)=3,SUM(IFERROR(INDEX(FourWeekly_Model!$D$2:$D$29,MATCH(H510,FourWeekly_Model!$B$2:$B$29,0)),0),IFERROR(INDEX(FourWeekly_Model!$D$2:$D$29,MATCH(H511,FourWeekly_Model!$B$2:$B$29,0)),0),IFERROR(INDEX(FourWeekly_Model!$D$2:$D$29,MATCH(H512,FourWeekly_Model!$B$2:$B$29,0)),0)),IF(VLOOKUP($A510,Calendar!$A$1:$R$1377,18,0)=4,SUM(IFERROR(INDEX(FourWeekly_Model!$D$2:$D$29,MATCH(H510,FourWeekly_Model!$B$2:$B$29,0)),0),IFERROR(INDEX(FourWeekly_Model!$D$2:$D$29,MATCH(H511,FourWeekly_Model!$B$2:$B$29,0)),0),IFERROR(INDEX(FourWeekly_Model!$D$2:$D$29,MATCH(H512,FourWeekly_Model!$B$2:$B$29,0)),0),IFERROR(INDEX(FourWeekly_Model!$D$2:$D$29,MATCH(H513,FourWeekly_Model!$B$2:$B$29,0)),0)),IF(VLOOKUP($A510,Calendar!$A$1:$R$1377,18,0)=5,SUM(IFERROR(INDEX(FourWeekly_Model!$D$2:$D$29,MATCH(H510,FourWeekly_Model!$B$2:$B$29,0)),0),IFERROR(INDEX(FourWeekly_Model!$D$2:$D$29,MATCH(H511,FourWeekly_Model!$B$2:$B$29,0)),0),IFERROR(INDEX(FourWeekly_Model!$D$2:$D$29,MATCH(H512,FourWeekly_Model!$B$2:$B$29,0)),0),IFERROR(INDEX(FourWeekly_Model!$D$2:$D$29,MATCH(H513,FourWeekly_Model!$B$2:$B$29,0)),0),IFERROR(INDEX(FourWeekly_Model!$D$2:$D$29,MATCH(H514,FourWeekly_Model!$B$2:$B$29,0)),0)),0))))))</f>
        <v>3.3214289700000004E-3</v>
      </c>
      <c r="N510" s="27">
        <f>SUM(I510:M510)</f>
        <v>3.0843119300104714E-2</v>
      </c>
      <c r="O510" s="28">
        <f>Population_Data!$B$8*N510</f>
        <v>934546.51479317283</v>
      </c>
      <c r="P510" s="27">
        <f>IF(VLOOKUP($A510,Calendar!$A$1:$R$1377,18,0)=0,0,IF(VLOOKUP($A510,Calendar!$A$1:$R$1377,18,0)=1,IFERROR(INDEX(Pension_Model!$D$2:$D$29,MATCH(H510,Pension_Model!$B$2:$B$29,0)),0),IF(VLOOKUP($A510,Calendar!$A$1:$R$1377,18,0)=2,SUM(IFERROR(INDEX(Pension_Model!$D$2:$D$29,MATCH(H510,Pension_Model!$B$2:$B$29,0)),0),IFERROR(INDEX(Pension_Model!$D$2:$D$29,MATCH(H511,Pension_Model!$B$2:$B$29,0)),0)),IF(VLOOKUP($A510,Calendar!$A$1:$R$1377,18,0)=3,SUM(IFERROR(INDEX(Pension_Model!$D$2:$D$29,MATCH(H510,Pension_Model!$B$2:$B$29,0)),0),IFERROR(INDEX(Pension_Model!$D$2:$D$29,MATCH(H511,Pension_Model!$B$2:$B$29,0)),0),IFERROR(INDEX(Pension_Model!$D$2:$D$29,MATCH(H512,Pension_Model!$B$2:$B$29,0)),0)),IF(VLOOKUP($A510,Calendar!$A$1:$R$1377,18,0)=4,SUM(IFERROR(INDEX(Pension_Model!$D$2:$D$29,MATCH(H510,Pension_Model!$B$2:$B$29,0)),0),IFERROR(INDEX(Pension_Model!$D$2:$D$29,MATCH(H511,Pension_Model!$B$2:$B$29,0)),0),IFERROR(INDEX(Pension_Model!$D$2:$D$29,MATCH(H512,Pension_Model!$B$2:$B$29,0)),0),IFERROR(INDEX(Pension_Model!$D$2:$D$29,MATCH(H513,Pension_Model!$B$2:$B$29,0)),0)),IF(VLOOKUP($A510,Calendar!$A$1:$R$1377,18,0)=5,SUM(IFERROR(INDEX(Pension_Model!$D$2:$D$29,MATCH(H510,Pension_Model!$B$2:$B$29,0)),0),IFERROR(INDEX(Pension_Model!$D$2:$D$29,MATCH(H511,Pension_Model!$B$2:$B$29,0)),0),IFERROR(INDEX(Pension_Model!$D$2:$D$29,MATCH(H512,Pension_Model!$B$2:$B$29,0)),0),IFERROR(INDEX(Pension_Model!$D$2:$D$29,MATCH(H513,Pension_Model!$B$2:$B$29,0)),0),IFERROR(INDEX(Pension_Model!$D$2:$D$29,MATCH(H514,Pension_Model!$B$2:$B$29,0)),0)),0))))))</f>
        <v>0.05</v>
      </c>
      <c r="Q510" s="28">
        <f>Population_Data!$B$15*P510</f>
        <v>660600</v>
      </c>
      <c r="S510">
        <f t="shared" si="7"/>
        <v>1595146.5147931729</v>
      </c>
      <c r="U510" s="33">
        <f>S510/Population_Data!$B$19</f>
        <v>2.8897581789731393E-2</v>
      </c>
    </row>
    <row r="511" spans="1:21">
      <c r="A511" s="25">
        <f>Calendar!A511</f>
        <v>46744</v>
      </c>
      <c r="B511" t="str">
        <f>Calendar!L511</f>
        <v>Yes</v>
      </c>
      <c r="C511" t="str">
        <f>Calendar!O511</f>
        <v>No</v>
      </c>
      <c r="D511" t="str">
        <f>Calendar!P511</f>
        <v>No</v>
      </c>
      <c r="E511" t="str">
        <f>Calendar!Q511</f>
        <v>No</v>
      </c>
      <c r="F511" t="str">
        <f>Calendar!I511</f>
        <v>Thursday</v>
      </c>
      <c r="G511">
        <f>Calendar!S511</f>
        <v>12</v>
      </c>
      <c r="H511">
        <f>Calendar!T511</f>
        <v>12</v>
      </c>
      <c r="I511" s="27">
        <f>IF(VLOOKUP(A511,Calendar!$A$1:$R$1377,18,0)=0,0,IF(VLOOKUP(A511,Calendar!$A$1:$R$1377,18,0)=1,INDEX(Monthly_Pay_Model!$A$9:$D$40,MATCH(TEXT(A511,"dd"),Monthly_Pay_Model!$C$9:$C$39,0),4),IF(VLOOKUP(A511,Calendar!$A$1:$R$1377,18,0)=2,SUM(INDEX(Monthly_Pay_Model!$A$9:$D$40,MATCH(TEXT(A511,"dd"),Monthly_Pay_Model!$C$9:$C$39,0),4),INDEX(Monthly_Pay_Model!$A$9:$D$40,MATCH(TEXT(A512,"dd"),Monthly_Pay_Model!$C$9:$C$39,0),4)),IF(VLOOKUP(A511,Calendar!$A$1:$R$1377,18,0)=3,SUM(INDEX(Monthly_Pay_Model!$A$9:$D$40,MATCH(TEXT(A511,"dd"),Monthly_Pay_Model!$C$9:$C$39,0),4),INDEX(Monthly_Pay_Model!$A$9:$D$40,MATCH(TEXT(A512,"dd"),Monthly_Pay_Model!$C$9:$C$39,0),4),INDEX(Monthly_Pay_Model!$A$9:$D$40,MATCH(TEXT(A513,"dd"),Monthly_Pay_Model!$C$9:$C$39,0),4)),IF(VLOOKUP(A511,Calendar!$A$1:$R$1377,18,0)=4,SUM(INDEX(Monthly_Pay_Model!$A$9:$D$40,MATCH(TEXT(A511,"dd"),Monthly_Pay_Model!$C$9:$C$39,0),4),INDEX(Monthly_Pay_Model!$A$9:$D$40,MATCH(TEXT(A512,"dd"),Monthly_Pay_Model!$C$9:$C$39,0),4),INDEX(Monthly_Pay_Model!$A$9:$D$40,MATCH(TEXT(A513,"dd"),Monthly_Pay_Model!$C$9:$C$39,0),4),INDEX(Monthly_Pay_Model!$A$9:$D$40,MATCH(TEXT(A514,"dd"),Monthly_Pay_Model!$C$9:$C$39,0),4)),IF(VLOOKUP(A511,Calendar!$A$1:$R$1377,18,0)=5,SUM(INDEX(Monthly_Pay_Model!$A$9:$D$40,MATCH(TEXT(A511,"dd"),Monthly_Pay_Model!$C$9:$C$39,0),4),INDEX(Monthly_Pay_Model!$A$9:$D$40,MATCH(TEXT(A512,"dd"),Monthly_Pay_Model!$C$9:$C$39,0),4),INDEX(Monthly_Pay_Model!$A$9:$D$40,MATCH(TEXT(A513,"dd"),Monthly_Pay_Model!$C$9:$C$39,0),4),INDEX(Monthly_Pay_Model!$A$9:$D$40,MATCH(TEXT(A514,"dd"),Monthly_Pay_Model!$C$9:$C$39,0),4),INDEX(Monthly_Pay_Model!$A$9:$D$40,MATCH(TEXT(A515,"dd"),Monthly_Pay_Model!$C$9:$C$39,0),4)),))))))</f>
        <v>4.0628272251308894E-3</v>
      </c>
      <c r="J511" s="33">
        <f>IF(C511="Yes",Monthly_Pay_Model!$D$2,0)
+IF(Calendar!N511="Yes",Monthly_Pay_Model!$D$3,0)
+IF(D511="Yes",Monthly_Pay_Model!$D$4,0)
+IF(E511="Yes",Monthly_Pay_Model!$D$5,0)</f>
        <v>0</v>
      </c>
      <c r="K511" s="27">
        <f>IF(VLOOKUP($A511,Calendar!$A$1:$R$1377,18,0)=0,0,IF(VLOOKUP($A511,Calendar!$A$1:$R$1377,18,0)=1,IFERROR(INDEX(Weekly_Model!$D$2:$D$9,MATCH(F511,Weekly_Model!$A$2:$A$9,0)),0),IF(VLOOKUP($A511,Calendar!$A$1:$R$1377,18,0)=2,SUM(IFERROR(INDEX(Weekly_Model!$D$2:$D$9,MATCH(F511,Weekly_Model!$A$2:$A$9,0)),0),IFERROR(INDEX(Weekly_Model!$D$2:$D$9,MATCH(F512,Weekly_Model!$A$2:$A$9,0)),0)),IF(VLOOKUP($A511,Calendar!$A$1:$R$1377,18,0)=3,SUM(IFERROR(INDEX(Weekly_Model!$D$2:$D$9,MATCH(F511,Weekly_Model!$A$2:$A$9,0)),0),IFERROR(INDEX(Weekly_Model!$D$2:$D$9,MATCH(F512,Weekly_Model!$A$2:$A$9,0)),0),IFERROR(INDEX(Weekly_Model!$D$2:$D$9,MATCH(F513,Weekly_Model!$A$2:$A$9,0)),0)),IF(VLOOKUP($A511,Calendar!$A$1:$R$1377,18,0)=4,SUM(IFERROR(INDEX(Weekly_Model!$D$2:$D$9,MATCH(F511,Weekly_Model!$A$2:$A$9,0)),0),IFERROR(INDEX(Weekly_Model!$D$2:$D$9,MATCH(F512,Weekly_Model!$A$2:$A$9,0)),0),IFERROR(INDEX(Weekly_Model!$D$2:$D$9,MATCH(F513,Weekly_Model!$A$2:$A$9,0)),0),IFERROR(INDEX(Weekly_Model!$D$2:$D$9,MATCH(F514,Weekly_Model!$A$2:$A$9,0)),0)),IF(VLOOKUP($A511,Calendar!$A$1:$R$1377,18,0)=5,SUM(IFERROR(INDEX(Weekly_Model!$D$2:$D$9,MATCH(F511,Weekly_Model!$A$2:$A$9,0)),0),IFERROR(INDEX(Weekly_Model!$D$2:$D$9,MATCH(F512,Weekly_Model!$A$2:$A$9,0)),0),IFERROR(INDEX(Weekly_Model!$D$2:$D$9,MATCH(F513,Weekly_Model!$A$2:$A$9,0)),0),IFERROR(INDEX(Weekly_Model!$D$2:$D$9,MATCH(F514,Weekly_Model!$A$2:$A$9,0)),0),IFERROR(INDEX(Weekly_Model!$D$2:$D$9,MATCH(F515,Weekly_Model!$A$2:$A$9,0)),0)),0))))))</f>
        <v>2.3200000000000002E-2</v>
      </c>
      <c r="L511" s="27">
        <f>IF(VLOOKUP($A511,Calendar!$A$1:$R$1377,18,0)=0,0,IF(VLOOKUP($A511,Calendar!$A$1:$R$1377,18,0)=1,IFERROR(INDEX(Fortnightly_Model!$D$2:$D$15,MATCH(G511,Fortnightly_Model!$B$2:$B$15,0)),0),IF(VLOOKUP($A511,Calendar!$A$1:$R$1377,18,0)=2,SUM(IFERROR(INDEX(Fortnightly_Model!$D$2:$D$15,MATCH(G511,Fortnightly_Model!$B$2:$B$15,0)),0),IFERROR(INDEX(Fortnightly_Model!$D$2:$D$15,MATCH(G512,Fortnightly_Model!$B$2:$B$15,0)),0)),IF(VLOOKUP($A511,Calendar!$A$1:$R$1377,18,0)=3,SUM(IFERROR(INDEX(Fortnightly_Model!$D$2:$D$15,MATCH(G511,Fortnightly_Model!$B$2:$B$15,0)),0),IFERROR(INDEX(Fortnightly_Model!$D$2:$D$15,MATCH(G512,Fortnightly_Model!$B$2:$B$15,0)),0),IFERROR(INDEX(Fortnightly_Model!$D$2:$D$15,MATCH(G513,Fortnightly_Model!$B$2:$B$15,0)),0)),IF(VLOOKUP($A511,Calendar!$A$1:$R$1377,18,0)=4,SUM(IFERROR(INDEX(Fortnightly_Model!$D$2:$D$15,MATCH(G511,Fortnightly_Model!$B$2:$B$15,0)),0),IFERROR(INDEX(Fortnightly_Model!$D$2:$D$15,MATCH(G512,Fortnightly_Model!$B$2:$B$15,0)),0),IFERROR(INDEX(Fortnightly_Model!$D$2:$D$15,MATCH(G513,Fortnightly_Model!$B$2:$B$15,0)),0),IFERROR(INDEX(Fortnightly_Model!$D$2:$D$15,MATCH(G514,Fortnightly_Model!$B$2:$B$15,0)),0)),IF(VLOOKUP($A511,Calendar!$A$1:$R$1377,18,0)=5,SUM(IFERROR(INDEX(Fortnightly_Model!$D$2:$D$15,MATCH(G511,Fortnightly_Model!$B$2:$B$15,0)),0),IFERROR(INDEX(Fortnightly_Model!$D$2:$D$15,MATCH(G512,Fortnightly_Model!$B$2:$B$15,0)),0),IFERROR(INDEX(Fortnightly_Model!$D$2:$D$15,MATCH(G513,Fortnightly_Model!$B$2:$B$15,0)),0),IFERROR(INDEX(Fortnightly_Model!$D$2:$D$15,MATCH(G514,Fortnightly_Model!$B$2:$B$15,0)),0),IFERROR(INDEX(Fortnightly_Model!$D$2:$D$15,MATCH(G515,Fortnightly_Model!$B$2:$B$15,0)),0)),0))))))</f>
        <v>1.0714285499999999E-3</v>
      </c>
      <c r="M511" s="27">
        <f>IF(VLOOKUP($A511,Calendar!$A$1:$R$1377,18,0)=0,0,IF(VLOOKUP($A511,Calendar!$A$1:$R$1377,18,0)=1,IFERROR(INDEX(FourWeekly_Model!$D$2:$D$29,MATCH(H511,FourWeekly_Model!$B$2:$B$29,0)),0),IF(VLOOKUP($A511,Calendar!$A$1:$R$1377,18,0)=2,SUM(IFERROR(INDEX(FourWeekly_Model!$D$2:$D$29,MATCH(H511,FourWeekly_Model!$B$2:$B$29,0)),0),IFERROR(INDEX(FourWeekly_Model!$D$2:$D$29,MATCH(H512,FourWeekly_Model!$B$2:$B$29,0)),0)),IF(VLOOKUP($A511,Calendar!$A$1:$R$1377,18,0)=3,SUM(IFERROR(INDEX(FourWeekly_Model!$D$2:$D$29,MATCH(H511,FourWeekly_Model!$B$2:$B$29,0)),0),IFERROR(INDEX(FourWeekly_Model!$D$2:$D$29,MATCH(H512,FourWeekly_Model!$B$2:$B$29,0)),0),IFERROR(INDEX(FourWeekly_Model!$D$2:$D$29,MATCH(H513,FourWeekly_Model!$B$2:$B$29,0)),0)),IF(VLOOKUP($A511,Calendar!$A$1:$R$1377,18,0)=4,SUM(IFERROR(INDEX(FourWeekly_Model!$D$2:$D$29,MATCH(H511,FourWeekly_Model!$B$2:$B$29,0)),0),IFERROR(INDEX(FourWeekly_Model!$D$2:$D$29,MATCH(H512,FourWeekly_Model!$B$2:$B$29,0)),0),IFERROR(INDEX(FourWeekly_Model!$D$2:$D$29,MATCH(H513,FourWeekly_Model!$B$2:$B$29,0)),0),IFERROR(INDEX(FourWeekly_Model!$D$2:$D$29,MATCH(H514,FourWeekly_Model!$B$2:$B$29,0)),0)),IF(VLOOKUP($A511,Calendar!$A$1:$R$1377,18,0)=5,SUM(IFERROR(INDEX(FourWeekly_Model!$D$2:$D$29,MATCH(H511,FourWeekly_Model!$B$2:$B$29,0)),0),IFERROR(INDEX(FourWeekly_Model!$D$2:$D$29,MATCH(H512,FourWeekly_Model!$B$2:$B$29,0)),0),IFERROR(INDEX(FourWeekly_Model!$D$2:$D$29,MATCH(H513,FourWeekly_Model!$B$2:$B$29,0)),0),IFERROR(INDEX(FourWeekly_Model!$D$2:$D$29,MATCH(H514,FourWeekly_Model!$B$2:$B$29,0)),0),IFERROR(INDEX(FourWeekly_Model!$D$2:$D$29,MATCH(H515,FourWeekly_Model!$B$2:$B$29,0)),0)),0))))))</f>
        <v>3.3214289700000004E-3</v>
      </c>
      <c r="N511" s="27">
        <f>SUM(I511:M511)</f>
        <v>3.1655684745130891E-2</v>
      </c>
      <c r="O511" s="28">
        <f>Population_Data!$B$8*N511</f>
        <v>959167.24777746596</v>
      </c>
      <c r="P511" s="27">
        <f>IF(VLOOKUP($A511,Calendar!$A$1:$R$1377,18,0)=0,0,IF(VLOOKUP($A511,Calendar!$A$1:$R$1377,18,0)=1,IFERROR(INDEX(Pension_Model!$D$2:$D$29,MATCH(H511,Pension_Model!$B$2:$B$29,0)),0),IF(VLOOKUP($A511,Calendar!$A$1:$R$1377,18,0)=2,SUM(IFERROR(INDEX(Pension_Model!$D$2:$D$29,MATCH(H511,Pension_Model!$B$2:$B$29,0)),0),IFERROR(INDEX(Pension_Model!$D$2:$D$29,MATCH(H512,Pension_Model!$B$2:$B$29,0)),0)),IF(VLOOKUP($A511,Calendar!$A$1:$R$1377,18,0)=3,SUM(IFERROR(INDEX(Pension_Model!$D$2:$D$29,MATCH(H511,Pension_Model!$B$2:$B$29,0)),0),IFERROR(INDEX(Pension_Model!$D$2:$D$29,MATCH(H512,Pension_Model!$B$2:$B$29,0)),0),IFERROR(INDEX(Pension_Model!$D$2:$D$29,MATCH(H513,Pension_Model!$B$2:$B$29,0)),0)),IF(VLOOKUP($A511,Calendar!$A$1:$R$1377,18,0)=4,SUM(IFERROR(INDEX(Pension_Model!$D$2:$D$29,MATCH(H511,Pension_Model!$B$2:$B$29,0)),0),IFERROR(INDEX(Pension_Model!$D$2:$D$29,MATCH(H512,Pension_Model!$B$2:$B$29,0)),0),IFERROR(INDEX(Pension_Model!$D$2:$D$29,MATCH(H513,Pension_Model!$B$2:$B$29,0)),0),IFERROR(INDEX(Pension_Model!$D$2:$D$29,MATCH(H514,Pension_Model!$B$2:$B$29,0)),0)),IF(VLOOKUP($A511,Calendar!$A$1:$R$1377,18,0)=5,SUM(IFERROR(INDEX(Pension_Model!$D$2:$D$29,MATCH(H511,Pension_Model!$B$2:$B$29,0)),0),IFERROR(INDEX(Pension_Model!$D$2:$D$29,MATCH(H512,Pension_Model!$B$2:$B$29,0)),0),IFERROR(INDEX(Pension_Model!$D$2:$D$29,MATCH(H513,Pension_Model!$B$2:$B$29,0)),0),IFERROR(INDEX(Pension_Model!$D$2:$D$29,MATCH(H514,Pension_Model!$B$2:$B$29,0)),0),IFERROR(INDEX(Pension_Model!$D$2:$D$29,MATCH(H515,Pension_Model!$B$2:$B$29,0)),0)),0))))))</f>
        <v>0.05</v>
      </c>
      <c r="Q511" s="28">
        <f>Population_Data!$B$15*P511</f>
        <v>660600</v>
      </c>
      <c r="S511">
        <f t="shared" si="7"/>
        <v>1619767.247777466</v>
      </c>
      <c r="U511" s="33">
        <f>S511/Population_Data!$B$19</f>
        <v>2.9343609561185979E-2</v>
      </c>
    </row>
    <row r="512" spans="1:21">
      <c r="A512" s="25">
        <f>Calendar!A512</f>
        <v>46745</v>
      </c>
      <c r="B512" t="str">
        <f>Calendar!L512</f>
        <v>Yes</v>
      </c>
      <c r="C512" t="str">
        <f>Calendar!O512</f>
        <v>No</v>
      </c>
      <c r="D512" t="str">
        <f>Calendar!P512</f>
        <v>No</v>
      </c>
      <c r="E512" t="str">
        <f>Calendar!Q512</f>
        <v>No</v>
      </c>
      <c r="F512" t="str">
        <f>Calendar!I512</f>
        <v>Friday</v>
      </c>
      <c r="G512">
        <f>Calendar!S512</f>
        <v>13</v>
      </c>
      <c r="H512">
        <f>Calendar!T512</f>
        <v>13</v>
      </c>
      <c r="I512" s="27">
        <f>IF(VLOOKUP(A512,Calendar!$A$1:$R$1377,18,0)=0,0,IF(VLOOKUP(A512,Calendar!$A$1:$R$1377,18,0)=1,INDEX(Monthly_Pay_Model!$A$9:$D$40,MATCH(TEXT(A512,"dd"),Monthly_Pay_Model!$C$9:$C$39,0),4),IF(VLOOKUP(A512,Calendar!$A$1:$R$1377,18,0)=2,SUM(INDEX(Monthly_Pay_Model!$A$9:$D$40,MATCH(TEXT(A512,"dd"),Monthly_Pay_Model!$C$9:$C$39,0),4),INDEX(Monthly_Pay_Model!$A$9:$D$40,MATCH(TEXT(A513,"dd"),Monthly_Pay_Model!$C$9:$C$39,0),4)),IF(VLOOKUP(A512,Calendar!$A$1:$R$1377,18,0)=3,SUM(INDEX(Monthly_Pay_Model!$A$9:$D$40,MATCH(TEXT(A512,"dd"),Monthly_Pay_Model!$C$9:$C$39,0),4),INDEX(Monthly_Pay_Model!$A$9:$D$40,MATCH(TEXT(A513,"dd"),Monthly_Pay_Model!$C$9:$C$39,0),4),INDEX(Monthly_Pay_Model!$A$9:$D$40,MATCH(TEXT(A514,"dd"),Monthly_Pay_Model!$C$9:$C$39,0),4)),IF(VLOOKUP(A512,Calendar!$A$1:$R$1377,18,0)=4,SUM(INDEX(Monthly_Pay_Model!$A$9:$D$40,MATCH(TEXT(A512,"dd"),Monthly_Pay_Model!$C$9:$C$39,0),4),INDEX(Monthly_Pay_Model!$A$9:$D$40,MATCH(TEXT(A513,"dd"),Monthly_Pay_Model!$C$9:$C$39,0),4),INDEX(Monthly_Pay_Model!$A$9:$D$40,MATCH(TEXT(A514,"dd"),Monthly_Pay_Model!$C$9:$C$39,0),4),INDEX(Monthly_Pay_Model!$A$9:$D$40,MATCH(TEXT(A515,"dd"),Monthly_Pay_Model!$C$9:$C$39,0),4)),IF(VLOOKUP(A512,Calendar!$A$1:$R$1377,18,0)=5,SUM(INDEX(Monthly_Pay_Model!$A$9:$D$40,MATCH(TEXT(A512,"dd"),Monthly_Pay_Model!$C$9:$C$39,0),4),INDEX(Monthly_Pay_Model!$A$9:$D$40,MATCH(TEXT(A513,"dd"),Monthly_Pay_Model!$C$9:$C$39,0),4),INDEX(Monthly_Pay_Model!$A$9:$D$40,MATCH(TEXT(A514,"dd"),Monthly_Pay_Model!$C$9:$C$39,0),4),INDEX(Monthly_Pay_Model!$A$9:$D$40,MATCH(TEXT(A515,"dd"),Monthly_Pay_Model!$C$9:$C$39,0),4),INDEX(Monthly_Pay_Model!$A$9:$D$40,MATCH(TEXT(A516,"dd"),Monthly_Pay_Model!$C$9:$C$39,0),4)),))))))</f>
        <v>6.9880628272251291E-2</v>
      </c>
      <c r="J512" s="33">
        <f>IF(C512="Yes",Monthly_Pay_Model!$D$2,0)
+IF(Calendar!N512="Yes",Monthly_Pay_Model!$D$3,0)
+IF(D512="Yes",Monthly_Pay_Model!$D$4,0)
+IF(E512="Yes",Monthly_Pay_Model!$D$5,0)</f>
        <v>0</v>
      </c>
      <c r="K512" s="27">
        <f>IF(VLOOKUP($A512,Calendar!$A$1:$R$1377,18,0)=0,0,IF(VLOOKUP($A512,Calendar!$A$1:$R$1377,18,0)=1,IFERROR(INDEX(Weekly_Model!$D$2:$D$9,MATCH(F512,Weekly_Model!$A$2:$A$9,0)),0),IF(VLOOKUP($A512,Calendar!$A$1:$R$1377,18,0)=2,SUM(IFERROR(INDEX(Weekly_Model!$D$2:$D$9,MATCH(F512,Weekly_Model!$A$2:$A$9,0)),0),IFERROR(INDEX(Weekly_Model!$D$2:$D$9,MATCH(F513,Weekly_Model!$A$2:$A$9,0)),0)),IF(VLOOKUP($A512,Calendar!$A$1:$R$1377,18,0)=3,SUM(IFERROR(INDEX(Weekly_Model!$D$2:$D$9,MATCH(F512,Weekly_Model!$A$2:$A$9,0)),0),IFERROR(INDEX(Weekly_Model!$D$2:$D$9,MATCH(F513,Weekly_Model!$A$2:$A$9,0)),0),IFERROR(INDEX(Weekly_Model!$D$2:$D$9,MATCH(F514,Weekly_Model!$A$2:$A$9,0)),0)),IF(VLOOKUP($A512,Calendar!$A$1:$R$1377,18,0)=4,SUM(IFERROR(INDEX(Weekly_Model!$D$2:$D$9,MATCH(F512,Weekly_Model!$A$2:$A$9,0)),0),IFERROR(INDEX(Weekly_Model!$D$2:$D$9,MATCH(F513,Weekly_Model!$A$2:$A$9,0)),0),IFERROR(INDEX(Weekly_Model!$D$2:$D$9,MATCH(F514,Weekly_Model!$A$2:$A$9,0)),0),IFERROR(INDEX(Weekly_Model!$D$2:$D$9,MATCH(F515,Weekly_Model!$A$2:$A$9,0)),0)),IF(VLOOKUP($A512,Calendar!$A$1:$R$1377,18,0)=5,SUM(IFERROR(INDEX(Weekly_Model!$D$2:$D$9,MATCH(F512,Weekly_Model!$A$2:$A$9,0)),0),IFERROR(INDEX(Weekly_Model!$D$2:$D$9,MATCH(F513,Weekly_Model!$A$2:$A$9,0)),0),IFERROR(INDEX(Weekly_Model!$D$2:$D$9,MATCH(F514,Weekly_Model!$A$2:$A$9,0)),0),IFERROR(INDEX(Weekly_Model!$D$2:$D$9,MATCH(F515,Weekly_Model!$A$2:$A$9,0)),0),IFERROR(INDEX(Weekly_Model!$D$2:$D$9,MATCH(F516,Weekly_Model!$A$2:$A$9,0)),0)),0))))))</f>
        <v>6.9600000000000009E-2</v>
      </c>
      <c r="L512" s="27">
        <f>IF(VLOOKUP($A512,Calendar!$A$1:$R$1377,18,0)=0,0,IF(VLOOKUP($A512,Calendar!$A$1:$R$1377,18,0)=1,IFERROR(INDEX(Fortnightly_Model!$D$2:$D$15,MATCH(G512,Fortnightly_Model!$B$2:$B$15,0)),0),IF(VLOOKUP($A512,Calendar!$A$1:$R$1377,18,0)=2,SUM(IFERROR(INDEX(Fortnightly_Model!$D$2:$D$15,MATCH(G512,Fortnightly_Model!$B$2:$B$15,0)),0),IFERROR(INDEX(Fortnightly_Model!$D$2:$D$15,MATCH(G513,Fortnightly_Model!$B$2:$B$15,0)),0)),IF(VLOOKUP($A512,Calendar!$A$1:$R$1377,18,0)=3,SUM(IFERROR(INDEX(Fortnightly_Model!$D$2:$D$15,MATCH(G512,Fortnightly_Model!$B$2:$B$15,0)),0),IFERROR(INDEX(Fortnightly_Model!$D$2:$D$15,MATCH(G513,Fortnightly_Model!$B$2:$B$15,0)),0),IFERROR(INDEX(Fortnightly_Model!$D$2:$D$15,MATCH(G514,Fortnightly_Model!$B$2:$B$15,0)),0)),IF(VLOOKUP($A512,Calendar!$A$1:$R$1377,18,0)=4,SUM(IFERROR(INDEX(Fortnightly_Model!$D$2:$D$15,MATCH(G512,Fortnightly_Model!$B$2:$B$15,0)),0),IFERROR(INDEX(Fortnightly_Model!$D$2:$D$15,MATCH(G513,Fortnightly_Model!$B$2:$B$15,0)),0),IFERROR(INDEX(Fortnightly_Model!$D$2:$D$15,MATCH(G514,Fortnightly_Model!$B$2:$B$15,0)),0),IFERROR(INDEX(Fortnightly_Model!$D$2:$D$15,MATCH(G515,Fortnightly_Model!$B$2:$B$15,0)),0)),IF(VLOOKUP($A512,Calendar!$A$1:$R$1377,18,0)=5,SUM(IFERROR(INDEX(Fortnightly_Model!$D$2:$D$15,MATCH(G512,Fortnightly_Model!$B$2:$B$15,0)),0),IFERROR(INDEX(Fortnightly_Model!$D$2:$D$15,MATCH(G513,Fortnightly_Model!$B$2:$B$15,0)),0),IFERROR(INDEX(Fortnightly_Model!$D$2:$D$15,MATCH(G514,Fortnightly_Model!$B$2:$B$15,0)),0),IFERROR(INDEX(Fortnightly_Model!$D$2:$D$15,MATCH(G515,Fortnightly_Model!$B$2:$B$15,0)),0),IFERROR(INDEX(Fortnightly_Model!$D$2:$D$15,MATCH(G516,Fortnightly_Model!$B$2:$B$15,0)),0)),0))))))</f>
        <v>5.3571427499999992E-3</v>
      </c>
      <c r="M512" s="27">
        <f>IF(VLOOKUP($A512,Calendar!$A$1:$R$1377,18,0)=0,0,IF(VLOOKUP($A512,Calendar!$A$1:$R$1377,18,0)=1,IFERROR(INDEX(FourWeekly_Model!$D$2:$D$29,MATCH(H512,FourWeekly_Model!$B$2:$B$29,0)),0),IF(VLOOKUP($A512,Calendar!$A$1:$R$1377,18,0)=2,SUM(IFERROR(INDEX(FourWeekly_Model!$D$2:$D$29,MATCH(H512,FourWeekly_Model!$B$2:$B$29,0)),0),IFERROR(INDEX(FourWeekly_Model!$D$2:$D$29,MATCH(H513,FourWeekly_Model!$B$2:$B$29,0)),0)),IF(VLOOKUP($A512,Calendar!$A$1:$R$1377,18,0)=3,SUM(IFERROR(INDEX(FourWeekly_Model!$D$2:$D$29,MATCH(H512,FourWeekly_Model!$B$2:$B$29,0)),0),IFERROR(INDEX(FourWeekly_Model!$D$2:$D$29,MATCH(H513,FourWeekly_Model!$B$2:$B$29,0)),0),IFERROR(INDEX(FourWeekly_Model!$D$2:$D$29,MATCH(H514,FourWeekly_Model!$B$2:$B$29,0)),0)),IF(VLOOKUP($A512,Calendar!$A$1:$R$1377,18,0)=4,SUM(IFERROR(INDEX(FourWeekly_Model!$D$2:$D$29,MATCH(H512,FourWeekly_Model!$B$2:$B$29,0)),0),IFERROR(INDEX(FourWeekly_Model!$D$2:$D$29,MATCH(H513,FourWeekly_Model!$B$2:$B$29,0)),0),IFERROR(INDEX(FourWeekly_Model!$D$2:$D$29,MATCH(H514,FourWeekly_Model!$B$2:$B$29,0)),0),IFERROR(INDEX(FourWeekly_Model!$D$2:$D$29,MATCH(H515,FourWeekly_Model!$B$2:$B$29,0)),0)),IF(VLOOKUP($A512,Calendar!$A$1:$R$1377,18,0)=5,SUM(IFERROR(INDEX(FourWeekly_Model!$D$2:$D$29,MATCH(H512,FourWeekly_Model!$B$2:$B$29,0)),0),IFERROR(INDEX(FourWeekly_Model!$D$2:$D$29,MATCH(H513,FourWeekly_Model!$B$2:$B$29,0)),0),IFERROR(INDEX(FourWeekly_Model!$D$2:$D$29,MATCH(H514,FourWeekly_Model!$B$2:$B$29,0)),0),IFERROR(INDEX(FourWeekly_Model!$D$2:$D$29,MATCH(H515,FourWeekly_Model!$B$2:$B$29,0)),0),IFERROR(INDEX(FourWeekly_Model!$D$2:$D$29,MATCH(H516,FourWeekly_Model!$B$2:$B$29,0)),0)),0))))))</f>
        <v>1.6607143920000001E-2</v>
      </c>
      <c r="N512" s="27">
        <f>SUM(I512:M512)</f>
        <v>0.1614449149422513</v>
      </c>
      <c r="O512" s="28">
        <f>Population_Data!$B$8*N512</f>
        <v>4891780.9227502141</v>
      </c>
      <c r="P512" s="27">
        <f>IF(VLOOKUP($A512,Calendar!$A$1:$R$1377,18,0)=0,0,IF(VLOOKUP($A512,Calendar!$A$1:$R$1377,18,0)=1,IFERROR(INDEX(Pension_Model!$D$2:$D$29,MATCH(H512,Pension_Model!$B$2:$B$29,0)),0),IF(VLOOKUP($A512,Calendar!$A$1:$R$1377,18,0)=2,SUM(IFERROR(INDEX(Pension_Model!$D$2:$D$29,MATCH(H512,Pension_Model!$B$2:$B$29,0)),0),IFERROR(INDEX(Pension_Model!$D$2:$D$29,MATCH(H513,Pension_Model!$B$2:$B$29,0)),0)),IF(VLOOKUP($A512,Calendar!$A$1:$R$1377,18,0)=3,SUM(IFERROR(INDEX(Pension_Model!$D$2:$D$29,MATCH(H512,Pension_Model!$B$2:$B$29,0)),0),IFERROR(INDEX(Pension_Model!$D$2:$D$29,MATCH(H513,Pension_Model!$B$2:$B$29,0)),0),IFERROR(INDEX(Pension_Model!$D$2:$D$29,MATCH(H514,Pension_Model!$B$2:$B$29,0)),0)),IF(VLOOKUP($A512,Calendar!$A$1:$R$1377,18,0)=4,SUM(IFERROR(INDEX(Pension_Model!$D$2:$D$29,MATCH(H512,Pension_Model!$B$2:$B$29,0)),0),IFERROR(INDEX(Pension_Model!$D$2:$D$29,MATCH(H513,Pension_Model!$B$2:$B$29,0)),0),IFERROR(INDEX(Pension_Model!$D$2:$D$29,MATCH(H514,Pension_Model!$B$2:$B$29,0)),0),IFERROR(INDEX(Pension_Model!$D$2:$D$29,MATCH(H515,Pension_Model!$B$2:$B$29,0)),0)),IF(VLOOKUP($A512,Calendar!$A$1:$R$1377,18,0)=5,SUM(IFERROR(INDEX(Pension_Model!$D$2:$D$29,MATCH(H512,Pension_Model!$B$2:$B$29,0)),0),IFERROR(INDEX(Pension_Model!$D$2:$D$29,MATCH(H513,Pension_Model!$B$2:$B$29,0)),0),IFERROR(INDEX(Pension_Model!$D$2:$D$29,MATCH(H514,Pension_Model!$B$2:$B$29,0)),0),IFERROR(INDEX(Pension_Model!$D$2:$D$29,MATCH(H515,Pension_Model!$B$2:$B$29,0)),0),IFERROR(INDEX(Pension_Model!$D$2:$D$29,MATCH(H516,Pension_Model!$B$2:$B$29,0)),0)),0))))))</f>
        <v>0.15000000000000002</v>
      </c>
      <c r="Q512" s="28">
        <f>Population_Data!$B$15*P512</f>
        <v>1981800.0000000002</v>
      </c>
      <c r="S512">
        <f t="shared" si="7"/>
        <v>6873580.9227502141</v>
      </c>
      <c r="U512" s="33">
        <f>S512/Population_Data!$B$19</f>
        <v>0.12452139352808358</v>
      </c>
    </row>
    <row r="513" spans="1:21">
      <c r="A513" s="25">
        <f>Calendar!A513</f>
        <v>46746</v>
      </c>
      <c r="B513" t="str">
        <f>Calendar!L513</f>
        <v>No</v>
      </c>
      <c r="C513" t="str">
        <f>Calendar!O513</f>
        <v>No</v>
      </c>
      <c r="D513" t="str">
        <f>Calendar!P513</f>
        <v>No</v>
      </c>
      <c r="E513" t="str">
        <f>Calendar!Q513</f>
        <v>No</v>
      </c>
      <c r="F513" t="str">
        <f>Calendar!I513</f>
        <v>Saturday</v>
      </c>
      <c r="G513">
        <f>Calendar!S513</f>
        <v>0</v>
      </c>
      <c r="H513">
        <f>Calendar!T513</f>
        <v>14</v>
      </c>
      <c r="I513" s="27">
        <f>IF(VLOOKUP(A513,Calendar!$A$1:$R$1377,18,0)=0,0,IF(VLOOKUP(A513,Calendar!$A$1:$R$1377,18,0)=1,INDEX(Monthly_Pay_Model!$A$9:$D$40,MATCH(TEXT(A513,"dd"),Monthly_Pay_Model!$C$9:$C$39,0),4),IF(VLOOKUP(A513,Calendar!$A$1:$R$1377,18,0)=2,SUM(INDEX(Monthly_Pay_Model!$A$9:$D$40,MATCH(TEXT(A513,"dd"),Monthly_Pay_Model!$C$9:$C$39,0),4),INDEX(Monthly_Pay_Model!$A$9:$D$40,MATCH(TEXT(A514,"dd"),Monthly_Pay_Model!$C$9:$C$39,0),4)),IF(VLOOKUP(A513,Calendar!$A$1:$R$1377,18,0)=3,SUM(INDEX(Monthly_Pay_Model!$A$9:$D$40,MATCH(TEXT(A513,"dd"),Monthly_Pay_Model!$C$9:$C$39,0),4),INDEX(Monthly_Pay_Model!$A$9:$D$40,MATCH(TEXT(A514,"dd"),Monthly_Pay_Model!$C$9:$C$39,0),4),INDEX(Monthly_Pay_Model!$A$9:$D$40,MATCH(TEXT(A515,"dd"),Monthly_Pay_Model!$C$9:$C$39,0),4)),IF(VLOOKUP(A513,Calendar!$A$1:$R$1377,18,0)=4,SUM(INDEX(Monthly_Pay_Model!$A$9:$D$40,MATCH(TEXT(A513,"dd"),Monthly_Pay_Model!$C$9:$C$39,0),4),INDEX(Monthly_Pay_Model!$A$9:$D$40,MATCH(TEXT(A514,"dd"),Monthly_Pay_Model!$C$9:$C$39,0),4),INDEX(Monthly_Pay_Model!$A$9:$D$40,MATCH(TEXT(A515,"dd"),Monthly_Pay_Model!$C$9:$C$39,0),4),INDEX(Monthly_Pay_Model!$A$9:$D$40,MATCH(TEXT(A516,"dd"),Monthly_Pay_Model!$C$9:$C$39,0),4)),IF(VLOOKUP(A513,Calendar!$A$1:$R$1377,18,0)=5,SUM(INDEX(Monthly_Pay_Model!$A$9:$D$40,MATCH(TEXT(A513,"dd"),Monthly_Pay_Model!$C$9:$C$39,0),4),INDEX(Monthly_Pay_Model!$A$9:$D$40,MATCH(TEXT(A514,"dd"),Monthly_Pay_Model!$C$9:$C$39,0),4),INDEX(Monthly_Pay_Model!$A$9:$D$40,MATCH(TEXT(A515,"dd"),Monthly_Pay_Model!$C$9:$C$39,0),4),INDEX(Monthly_Pay_Model!$A$9:$D$40,MATCH(TEXT(A516,"dd"),Monthly_Pay_Model!$C$9:$C$39,0),4),INDEX(Monthly_Pay_Model!$A$9:$D$40,MATCH(TEXT(A517,"dd"),Monthly_Pay_Model!$C$9:$C$39,0),4)),))))))</f>
        <v>0</v>
      </c>
      <c r="J513" s="33">
        <f>IF(C513="Yes",Monthly_Pay_Model!$D$2,0)
+IF(Calendar!N513="Yes",Monthly_Pay_Model!$D$3,0)
+IF(D513="Yes",Monthly_Pay_Model!$D$4,0)
+IF(E513="Yes",Monthly_Pay_Model!$D$5,0)</f>
        <v>0</v>
      </c>
      <c r="K513" s="27">
        <f>IF(VLOOKUP($A513,Calendar!$A$1:$R$1377,18,0)=0,0,IF(VLOOKUP($A513,Calendar!$A$1:$R$1377,18,0)=1,IFERROR(INDEX(Weekly_Model!$D$2:$D$9,MATCH(F513,Weekly_Model!$A$2:$A$9,0)),0),IF(VLOOKUP($A513,Calendar!$A$1:$R$1377,18,0)=2,SUM(IFERROR(INDEX(Weekly_Model!$D$2:$D$9,MATCH(F513,Weekly_Model!$A$2:$A$9,0)),0),IFERROR(INDEX(Weekly_Model!$D$2:$D$9,MATCH(F514,Weekly_Model!$A$2:$A$9,0)),0)),IF(VLOOKUP($A513,Calendar!$A$1:$R$1377,18,0)=3,SUM(IFERROR(INDEX(Weekly_Model!$D$2:$D$9,MATCH(F513,Weekly_Model!$A$2:$A$9,0)),0),IFERROR(INDEX(Weekly_Model!$D$2:$D$9,MATCH(F514,Weekly_Model!$A$2:$A$9,0)),0),IFERROR(INDEX(Weekly_Model!$D$2:$D$9,MATCH(F515,Weekly_Model!$A$2:$A$9,0)),0)),IF(VLOOKUP($A513,Calendar!$A$1:$R$1377,18,0)=4,SUM(IFERROR(INDEX(Weekly_Model!$D$2:$D$9,MATCH(F513,Weekly_Model!$A$2:$A$9,0)),0),IFERROR(INDEX(Weekly_Model!$D$2:$D$9,MATCH(F514,Weekly_Model!$A$2:$A$9,0)),0),IFERROR(INDEX(Weekly_Model!$D$2:$D$9,MATCH(F515,Weekly_Model!$A$2:$A$9,0)),0),IFERROR(INDEX(Weekly_Model!$D$2:$D$9,MATCH(F516,Weekly_Model!$A$2:$A$9,0)),0)),IF(VLOOKUP($A513,Calendar!$A$1:$R$1377,18,0)=5,SUM(IFERROR(INDEX(Weekly_Model!$D$2:$D$9,MATCH(F513,Weekly_Model!$A$2:$A$9,0)),0),IFERROR(INDEX(Weekly_Model!$D$2:$D$9,MATCH(F514,Weekly_Model!$A$2:$A$9,0)),0),IFERROR(INDEX(Weekly_Model!$D$2:$D$9,MATCH(F515,Weekly_Model!$A$2:$A$9,0)),0),IFERROR(INDEX(Weekly_Model!$D$2:$D$9,MATCH(F516,Weekly_Model!$A$2:$A$9,0)),0),IFERROR(INDEX(Weekly_Model!$D$2:$D$9,MATCH(F517,Weekly_Model!$A$2:$A$9,0)),0)),0))))))</f>
        <v>0</v>
      </c>
      <c r="L513" s="27">
        <f>IF(VLOOKUP($A513,Calendar!$A$1:$R$1377,18,0)=0,0,IF(VLOOKUP($A513,Calendar!$A$1:$R$1377,18,0)=1,IFERROR(INDEX(Fortnightly_Model!$D$2:$D$15,MATCH(G513,Fortnightly_Model!$B$2:$B$15,0)),0),IF(VLOOKUP($A513,Calendar!$A$1:$R$1377,18,0)=2,SUM(IFERROR(INDEX(Fortnightly_Model!$D$2:$D$15,MATCH(G513,Fortnightly_Model!$B$2:$B$15,0)),0),IFERROR(INDEX(Fortnightly_Model!$D$2:$D$15,MATCH(G514,Fortnightly_Model!$B$2:$B$15,0)),0)),IF(VLOOKUP($A513,Calendar!$A$1:$R$1377,18,0)=3,SUM(IFERROR(INDEX(Fortnightly_Model!$D$2:$D$15,MATCH(G513,Fortnightly_Model!$B$2:$B$15,0)),0),IFERROR(INDEX(Fortnightly_Model!$D$2:$D$15,MATCH(G514,Fortnightly_Model!$B$2:$B$15,0)),0),IFERROR(INDEX(Fortnightly_Model!$D$2:$D$15,MATCH(G515,Fortnightly_Model!$B$2:$B$15,0)),0)),IF(VLOOKUP($A513,Calendar!$A$1:$R$1377,18,0)=4,SUM(IFERROR(INDEX(Fortnightly_Model!$D$2:$D$15,MATCH(G513,Fortnightly_Model!$B$2:$B$15,0)),0),IFERROR(INDEX(Fortnightly_Model!$D$2:$D$15,MATCH(G514,Fortnightly_Model!$B$2:$B$15,0)),0),IFERROR(INDEX(Fortnightly_Model!$D$2:$D$15,MATCH(G515,Fortnightly_Model!$B$2:$B$15,0)),0),IFERROR(INDEX(Fortnightly_Model!$D$2:$D$15,MATCH(G516,Fortnightly_Model!$B$2:$B$15,0)),0)),IF(VLOOKUP($A513,Calendar!$A$1:$R$1377,18,0)=5,SUM(IFERROR(INDEX(Fortnightly_Model!$D$2:$D$15,MATCH(G513,Fortnightly_Model!$B$2:$B$15,0)),0),IFERROR(INDEX(Fortnightly_Model!$D$2:$D$15,MATCH(G514,Fortnightly_Model!$B$2:$B$15,0)),0),IFERROR(INDEX(Fortnightly_Model!$D$2:$D$15,MATCH(G515,Fortnightly_Model!$B$2:$B$15,0)),0),IFERROR(INDEX(Fortnightly_Model!$D$2:$D$15,MATCH(G516,Fortnightly_Model!$B$2:$B$15,0)),0),IFERROR(INDEX(Fortnightly_Model!$D$2:$D$15,MATCH(G517,Fortnightly_Model!$B$2:$B$15,0)),0)),0))))))</f>
        <v>0</v>
      </c>
      <c r="M513" s="27">
        <f>IF(VLOOKUP($A513,Calendar!$A$1:$R$1377,18,0)=0,0,IF(VLOOKUP($A513,Calendar!$A$1:$R$1377,18,0)=1,IFERROR(INDEX(FourWeekly_Model!$D$2:$D$29,MATCH(H513,FourWeekly_Model!$B$2:$B$29,0)),0),IF(VLOOKUP($A513,Calendar!$A$1:$R$1377,18,0)=2,SUM(IFERROR(INDEX(FourWeekly_Model!$D$2:$D$29,MATCH(H513,FourWeekly_Model!$B$2:$B$29,0)),0),IFERROR(INDEX(FourWeekly_Model!$D$2:$D$29,MATCH(H514,FourWeekly_Model!$B$2:$B$29,0)),0)),IF(VLOOKUP($A513,Calendar!$A$1:$R$1377,18,0)=3,SUM(IFERROR(INDEX(FourWeekly_Model!$D$2:$D$29,MATCH(H513,FourWeekly_Model!$B$2:$B$29,0)),0),IFERROR(INDEX(FourWeekly_Model!$D$2:$D$29,MATCH(H514,FourWeekly_Model!$B$2:$B$29,0)),0),IFERROR(INDEX(FourWeekly_Model!$D$2:$D$29,MATCH(H515,FourWeekly_Model!$B$2:$B$29,0)),0)),IF(VLOOKUP($A513,Calendar!$A$1:$R$1377,18,0)=4,SUM(IFERROR(INDEX(FourWeekly_Model!$D$2:$D$29,MATCH(H513,FourWeekly_Model!$B$2:$B$29,0)),0),IFERROR(INDEX(FourWeekly_Model!$D$2:$D$29,MATCH(H514,FourWeekly_Model!$B$2:$B$29,0)),0),IFERROR(INDEX(FourWeekly_Model!$D$2:$D$29,MATCH(H515,FourWeekly_Model!$B$2:$B$29,0)),0),IFERROR(INDEX(FourWeekly_Model!$D$2:$D$29,MATCH(H516,FourWeekly_Model!$B$2:$B$29,0)),0)),IF(VLOOKUP($A513,Calendar!$A$1:$R$1377,18,0)=5,SUM(IFERROR(INDEX(FourWeekly_Model!$D$2:$D$29,MATCH(H513,FourWeekly_Model!$B$2:$B$29,0)),0),IFERROR(INDEX(FourWeekly_Model!$D$2:$D$29,MATCH(H514,FourWeekly_Model!$B$2:$B$29,0)),0),IFERROR(INDEX(FourWeekly_Model!$D$2:$D$29,MATCH(H515,FourWeekly_Model!$B$2:$B$29,0)),0),IFERROR(INDEX(FourWeekly_Model!$D$2:$D$29,MATCH(H516,FourWeekly_Model!$B$2:$B$29,0)),0),IFERROR(INDEX(FourWeekly_Model!$D$2:$D$29,MATCH(H517,FourWeekly_Model!$B$2:$B$29,0)),0)),0))))))</f>
        <v>0</v>
      </c>
      <c r="N513" s="27">
        <f>SUM(I513:M513)</f>
        <v>0</v>
      </c>
      <c r="O513" s="28">
        <f>Population_Data!$B$8*N513</f>
        <v>0</v>
      </c>
      <c r="P513" s="27">
        <f>IF(VLOOKUP($A513,Calendar!$A$1:$R$1377,18,0)=0,0,IF(VLOOKUP($A513,Calendar!$A$1:$R$1377,18,0)=1,IFERROR(INDEX(Pension_Model!$D$2:$D$29,MATCH(H513,Pension_Model!$B$2:$B$29,0)),0),IF(VLOOKUP($A513,Calendar!$A$1:$R$1377,18,0)=2,SUM(IFERROR(INDEX(Pension_Model!$D$2:$D$29,MATCH(H513,Pension_Model!$B$2:$B$29,0)),0),IFERROR(INDEX(Pension_Model!$D$2:$D$29,MATCH(H514,Pension_Model!$B$2:$B$29,0)),0)),IF(VLOOKUP($A513,Calendar!$A$1:$R$1377,18,0)=3,SUM(IFERROR(INDEX(Pension_Model!$D$2:$D$29,MATCH(H513,Pension_Model!$B$2:$B$29,0)),0),IFERROR(INDEX(Pension_Model!$D$2:$D$29,MATCH(H514,Pension_Model!$B$2:$B$29,0)),0),IFERROR(INDEX(Pension_Model!$D$2:$D$29,MATCH(H515,Pension_Model!$B$2:$B$29,0)),0)),IF(VLOOKUP($A513,Calendar!$A$1:$R$1377,18,0)=4,SUM(IFERROR(INDEX(Pension_Model!$D$2:$D$29,MATCH(H513,Pension_Model!$B$2:$B$29,0)),0),IFERROR(INDEX(Pension_Model!$D$2:$D$29,MATCH(H514,Pension_Model!$B$2:$B$29,0)),0),IFERROR(INDEX(Pension_Model!$D$2:$D$29,MATCH(H515,Pension_Model!$B$2:$B$29,0)),0),IFERROR(INDEX(Pension_Model!$D$2:$D$29,MATCH(H516,Pension_Model!$B$2:$B$29,0)),0)),IF(VLOOKUP($A513,Calendar!$A$1:$R$1377,18,0)=5,SUM(IFERROR(INDEX(Pension_Model!$D$2:$D$29,MATCH(H513,Pension_Model!$B$2:$B$29,0)),0),IFERROR(INDEX(Pension_Model!$D$2:$D$29,MATCH(H514,Pension_Model!$B$2:$B$29,0)),0),IFERROR(INDEX(Pension_Model!$D$2:$D$29,MATCH(H515,Pension_Model!$B$2:$B$29,0)),0),IFERROR(INDEX(Pension_Model!$D$2:$D$29,MATCH(H516,Pension_Model!$B$2:$B$29,0)),0),IFERROR(INDEX(Pension_Model!$D$2:$D$29,MATCH(H517,Pension_Model!$B$2:$B$29,0)),0)),0))))))</f>
        <v>0</v>
      </c>
      <c r="Q513" s="28">
        <f>Population_Data!$B$15*P513</f>
        <v>0</v>
      </c>
      <c r="S513">
        <f t="shared" si="7"/>
        <v>0</v>
      </c>
      <c r="U513" s="33">
        <f>S513/Population_Data!$B$19</f>
        <v>0</v>
      </c>
    </row>
    <row r="514" spans="1:21">
      <c r="A514" s="25">
        <f>Calendar!A514</f>
        <v>46747</v>
      </c>
      <c r="B514" t="str">
        <f>Calendar!L514</f>
        <v>No</v>
      </c>
      <c r="C514" t="str">
        <f>Calendar!O514</f>
        <v>No</v>
      </c>
      <c r="D514" t="str">
        <f>Calendar!P514</f>
        <v>No</v>
      </c>
      <c r="E514" t="str">
        <f>Calendar!Q514</f>
        <v>No</v>
      </c>
      <c r="F514" t="str">
        <f>Calendar!I514</f>
        <v>Sunday</v>
      </c>
      <c r="G514">
        <f>Calendar!S514</f>
        <v>1</v>
      </c>
      <c r="H514">
        <f>Calendar!T514</f>
        <v>15</v>
      </c>
      <c r="I514" s="27">
        <f>IF(VLOOKUP(A514,Calendar!$A$1:$R$1377,18,0)=0,0,IF(VLOOKUP(A514,Calendar!$A$1:$R$1377,18,0)=1,INDEX(Monthly_Pay_Model!$A$9:$D$40,MATCH(TEXT(A514,"dd"),Monthly_Pay_Model!$C$9:$C$39,0),4),IF(VLOOKUP(A514,Calendar!$A$1:$R$1377,18,0)=2,SUM(INDEX(Monthly_Pay_Model!$A$9:$D$40,MATCH(TEXT(A514,"dd"),Monthly_Pay_Model!$C$9:$C$39,0),4),INDEX(Monthly_Pay_Model!$A$9:$D$40,MATCH(TEXT(A515,"dd"),Monthly_Pay_Model!$C$9:$C$39,0),4)),IF(VLOOKUP(A514,Calendar!$A$1:$R$1377,18,0)=3,SUM(INDEX(Monthly_Pay_Model!$A$9:$D$40,MATCH(TEXT(A514,"dd"),Monthly_Pay_Model!$C$9:$C$39,0),4),INDEX(Monthly_Pay_Model!$A$9:$D$40,MATCH(TEXT(A515,"dd"),Monthly_Pay_Model!$C$9:$C$39,0),4),INDEX(Monthly_Pay_Model!$A$9:$D$40,MATCH(TEXT(A516,"dd"),Monthly_Pay_Model!$C$9:$C$39,0),4)),IF(VLOOKUP(A514,Calendar!$A$1:$R$1377,18,0)=4,SUM(INDEX(Monthly_Pay_Model!$A$9:$D$40,MATCH(TEXT(A514,"dd"),Monthly_Pay_Model!$C$9:$C$39,0),4),INDEX(Monthly_Pay_Model!$A$9:$D$40,MATCH(TEXT(A515,"dd"),Monthly_Pay_Model!$C$9:$C$39,0),4),INDEX(Monthly_Pay_Model!$A$9:$D$40,MATCH(TEXT(A516,"dd"),Monthly_Pay_Model!$C$9:$C$39,0),4),INDEX(Monthly_Pay_Model!$A$9:$D$40,MATCH(TEXT(A517,"dd"),Monthly_Pay_Model!$C$9:$C$39,0),4)),IF(VLOOKUP(A514,Calendar!$A$1:$R$1377,18,0)=5,SUM(INDEX(Monthly_Pay_Model!$A$9:$D$40,MATCH(TEXT(A514,"dd"),Monthly_Pay_Model!$C$9:$C$39,0),4),INDEX(Monthly_Pay_Model!$A$9:$D$40,MATCH(TEXT(A515,"dd"),Monthly_Pay_Model!$C$9:$C$39,0),4),INDEX(Monthly_Pay_Model!$A$9:$D$40,MATCH(TEXT(A516,"dd"),Monthly_Pay_Model!$C$9:$C$39,0),4),INDEX(Monthly_Pay_Model!$A$9:$D$40,MATCH(TEXT(A517,"dd"),Monthly_Pay_Model!$C$9:$C$39,0),4),INDEX(Monthly_Pay_Model!$A$9:$D$40,MATCH(TEXT(A518,"dd"),Monthly_Pay_Model!$C$9:$C$39,0),4)),))))))</f>
        <v>0</v>
      </c>
      <c r="J514" s="33">
        <f>IF(C514="Yes",Monthly_Pay_Model!$D$2,0)
+IF(Calendar!N514="Yes",Monthly_Pay_Model!$D$3,0)
+IF(D514="Yes",Monthly_Pay_Model!$D$4,0)
+IF(E514="Yes",Monthly_Pay_Model!$D$5,0)</f>
        <v>0</v>
      </c>
      <c r="K514" s="27">
        <f>IF(VLOOKUP($A514,Calendar!$A$1:$R$1377,18,0)=0,0,IF(VLOOKUP($A514,Calendar!$A$1:$R$1377,18,0)=1,IFERROR(INDEX(Weekly_Model!$D$2:$D$9,MATCH(F514,Weekly_Model!$A$2:$A$9,0)),0),IF(VLOOKUP($A514,Calendar!$A$1:$R$1377,18,0)=2,SUM(IFERROR(INDEX(Weekly_Model!$D$2:$D$9,MATCH(F514,Weekly_Model!$A$2:$A$9,0)),0),IFERROR(INDEX(Weekly_Model!$D$2:$D$9,MATCH(F515,Weekly_Model!$A$2:$A$9,0)),0)),IF(VLOOKUP($A514,Calendar!$A$1:$R$1377,18,0)=3,SUM(IFERROR(INDEX(Weekly_Model!$D$2:$D$9,MATCH(F514,Weekly_Model!$A$2:$A$9,0)),0),IFERROR(INDEX(Weekly_Model!$D$2:$D$9,MATCH(F515,Weekly_Model!$A$2:$A$9,0)),0),IFERROR(INDEX(Weekly_Model!$D$2:$D$9,MATCH(F516,Weekly_Model!$A$2:$A$9,0)),0)),IF(VLOOKUP($A514,Calendar!$A$1:$R$1377,18,0)=4,SUM(IFERROR(INDEX(Weekly_Model!$D$2:$D$9,MATCH(F514,Weekly_Model!$A$2:$A$9,0)),0),IFERROR(INDEX(Weekly_Model!$D$2:$D$9,MATCH(F515,Weekly_Model!$A$2:$A$9,0)),0),IFERROR(INDEX(Weekly_Model!$D$2:$D$9,MATCH(F516,Weekly_Model!$A$2:$A$9,0)),0),IFERROR(INDEX(Weekly_Model!$D$2:$D$9,MATCH(F517,Weekly_Model!$A$2:$A$9,0)),0)),IF(VLOOKUP($A514,Calendar!$A$1:$R$1377,18,0)=5,SUM(IFERROR(INDEX(Weekly_Model!$D$2:$D$9,MATCH(F514,Weekly_Model!$A$2:$A$9,0)),0),IFERROR(INDEX(Weekly_Model!$D$2:$D$9,MATCH(F515,Weekly_Model!$A$2:$A$9,0)),0),IFERROR(INDEX(Weekly_Model!$D$2:$D$9,MATCH(F516,Weekly_Model!$A$2:$A$9,0)),0),IFERROR(INDEX(Weekly_Model!$D$2:$D$9,MATCH(F517,Weekly_Model!$A$2:$A$9,0)),0),IFERROR(INDEX(Weekly_Model!$D$2:$D$9,MATCH(F518,Weekly_Model!$A$2:$A$9,0)),0)),0))))))</f>
        <v>0</v>
      </c>
      <c r="L514" s="27">
        <f>IF(VLOOKUP($A514,Calendar!$A$1:$R$1377,18,0)=0,0,IF(VLOOKUP($A514,Calendar!$A$1:$R$1377,18,0)=1,IFERROR(INDEX(Fortnightly_Model!$D$2:$D$15,MATCH(G514,Fortnightly_Model!$B$2:$B$15,0)),0),IF(VLOOKUP($A514,Calendar!$A$1:$R$1377,18,0)=2,SUM(IFERROR(INDEX(Fortnightly_Model!$D$2:$D$15,MATCH(G514,Fortnightly_Model!$B$2:$B$15,0)),0),IFERROR(INDEX(Fortnightly_Model!$D$2:$D$15,MATCH(G515,Fortnightly_Model!$B$2:$B$15,0)),0)),IF(VLOOKUP($A514,Calendar!$A$1:$R$1377,18,0)=3,SUM(IFERROR(INDEX(Fortnightly_Model!$D$2:$D$15,MATCH(G514,Fortnightly_Model!$B$2:$B$15,0)),0),IFERROR(INDEX(Fortnightly_Model!$D$2:$D$15,MATCH(G515,Fortnightly_Model!$B$2:$B$15,0)),0),IFERROR(INDEX(Fortnightly_Model!$D$2:$D$15,MATCH(G516,Fortnightly_Model!$B$2:$B$15,0)),0)),IF(VLOOKUP($A514,Calendar!$A$1:$R$1377,18,0)=4,SUM(IFERROR(INDEX(Fortnightly_Model!$D$2:$D$15,MATCH(G514,Fortnightly_Model!$B$2:$B$15,0)),0),IFERROR(INDEX(Fortnightly_Model!$D$2:$D$15,MATCH(G515,Fortnightly_Model!$B$2:$B$15,0)),0),IFERROR(INDEX(Fortnightly_Model!$D$2:$D$15,MATCH(G516,Fortnightly_Model!$B$2:$B$15,0)),0),IFERROR(INDEX(Fortnightly_Model!$D$2:$D$15,MATCH(G517,Fortnightly_Model!$B$2:$B$15,0)),0)),IF(VLOOKUP($A514,Calendar!$A$1:$R$1377,18,0)=5,SUM(IFERROR(INDEX(Fortnightly_Model!$D$2:$D$15,MATCH(G514,Fortnightly_Model!$B$2:$B$15,0)),0),IFERROR(INDEX(Fortnightly_Model!$D$2:$D$15,MATCH(G515,Fortnightly_Model!$B$2:$B$15,0)),0),IFERROR(INDEX(Fortnightly_Model!$D$2:$D$15,MATCH(G516,Fortnightly_Model!$B$2:$B$15,0)),0),IFERROR(INDEX(Fortnightly_Model!$D$2:$D$15,MATCH(G517,Fortnightly_Model!$B$2:$B$15,0)),0),IFERROR(INDEX(Fortnightly_Model!$D$2:$D$15,MATCH(G518,Fortnightly_Model!$B$2:$B$15,0)),0)),0))))))</f>
        <v>0</v>
      </c>
      <c r="M514" s="27">
        <f>IF(VLOOKUP($A514,Calendar!$A$1:$R$1377,18,0)=0,0,IF(VLOOKUP($A514,Calendar!$A$1:$R$1377,18,0)=1,IFERROR(INDEX(FourWeekly_Model!$D$2:$D$29,MATCH(H514,FourWeekly_Model!$B$2:$B$29,0)),0),IF(VLOOKUP($A514,Calendar!$A$1:$R$1377,18,0)=2,SUM(IFERROR(INDEX(FourWeekly_Model!$D$2:$D$29,MATCH(H514,FourWeekly_Model!$B$2:$B$29,0)),0),IFERROR(INDEX(FourWeekly_Model!$D$2:$D$29,MATCH(H515,FourWeekly_Model!$B$2:$B$29,0)),0)),IF(VLOOKUP($A514,Calendar!$A$1:$R$1377,18,0)=3,SUM(IFERROR(INDEX(FourWeekly_Model!$D$2:$D$29,MATCH(H514,FourWeekly_Model!$B$2:$B$29,0)),0),IFERROR(INDEX(FourWeekly_Model!$D$2:$D$29,MATCH(H515,FourWeekly_Model!$B$2:$B$29,0)),0),IFERROR(INDEX(FourWeekly_Model!$D$2:$D$29,MATCH(H516,FourWeekly_Model!$B$2:$B$29,0)),0)),IF(VLOOKUP($A514,Calendar!$A$1:$R$1377,18,0)=4,SUM(IFERROR(INDEX(FourWeekly_Model!$D$2:$D$29,MATCH(H514,FourWeekly_Model!$B$2:$B$29,0)),0),IFERROR(INDEX(FourWeekly_Model!$D$2:$D$29,MATCH(H515,FourWeekly_Model!$B$2:$B$29,0)),0),IFERROR(INDEX(FourWeekly_Model!$D$2:$D$29,MATCH(H516,FourWeekly_Model!$B$2:$B$29,0)),0),IFERROR(INDEX(FourWeekly_Model!$D$2:$D$29,MATCH(H517,FourWeekly_Model!$B$2:$B$29,0)),0)),IF(VLOOKUP($A514,Calendar!$A$1:$R$1377,18,0)=5,SUM(IFERROR(INDEX(FourWeekly_Model!$D$2:$D$29,MATCH(H514,FourWeekly_Model!$B$2:$B$29,0)),0),IFERROR(INDEX(FourWeekly_Model!$D$2:$D$29,MATCH(H515,FourWeekly_Model!$B$2:$B$29,0)),0),IFERROR(INDEX(FourWeekly_Model!$D$2:$D$29,MATCH(H516,FourWeekly_Model!$B$2:$B$29,0)),0),IFERROR(INDEX(FourWeekly_Model!$D$2:$D$29,MATCH(H517,FourWeekly_Model!$B$2:$B$29,0)),0),IFERROR(INDEX(FourWeekly_Model!$D$2:$D$29,MATCH(H518,FourWeekly_Model!$B$2:$B$29,0)),0)),0))))))</f>
        <v>0</v>
      </c>
      <c r="N514" s="27">
        <f>SUM(I514:M514)</f>
        <v>0</v>
      </c>
      <c r="O514" s="28">
        <f>Population_Data!$B$8*N514</f>
        <v>0</v>
      </c>
      <c r="P514" s="27">
        <f>IF(VLOOKUP($A514,Calendar!$A$1:$R$1377,18,0)=0,0,IF(VLOOKUP($A514,Calendar!$A$1:$R$1377,18,0)=1,IFERROR(INDEX(Pension_Model!$D$2:$D$29,MATCH(H514,Pension_Model!$B$2:$B$29,0)),0),IF(VLOOKUP($A514,Calendar!$A$1:$R$1377,18,0)=2,SUM(IFERROR(INDEX(Pension_Model!$D$2:$D$29,MATCH(H514,Pension_Model!$B$2:$B$29,0)),0),IFERROR(INDEX(Pension_Model!$D$2:$D$29,MATCH(H515,Pension_Model!$B$2:$B$29,0)),0)),IF(VLOOKUP($A514,Calendar!$A$1:$R$1377,18,0)=3,SUM(IFERROR(INDEX(Pension_Model!$D$2:$D$29,MATCH(H514,Pension_Model!$B$2:$B$29,0)),0),IFERROR(INDEX(Pension_Model!$D$2:$D$29,MATCH(H515,Pension_Model!$B$2:$B$29,0)),0),IFERROR(INDEX(Pension_Model!$D$2:$D$29,MATCH(H516,Pension_Model!$B$2:$B$29,0)),0)),IF(VLOOKUP($A514,Calendar!$A$1:$R$1377,18,0)=4,SUM(IFERROR(INDEX(Pension_Model!$D$2:$D$29,MATCH(H514,Pension_Model!$B$2:$B$29,0)),0),IFERROR(INDEX(Pension_Model!$D$2:$D$29,MATCH(H515,Pension_Model!$B$2:$B$29,0)),0),IFERROR(INDEX(Pension_Model!$D$2:$D$29,MATCH(H516,Pension_Model!$B$2:$B$29,0)),0),IFERROR(INDEX(Pension_Model!$D$2:$D$29,MATCH(H517,Pension_Model!$B$2:$B$29,0)),0)),IF(VLOOKUP($A514,Calendar!$A$1:$R$1377,18,0)=5,SUM(IFERROR(INDEX(Pension_Model!$D$2:$D$29,MATCH(H514,Pension_Model!$B$2:$B$29,0)),0),IFERROR(INDEX(Pension_Model!$D$2:$D$29,MATCH(H515,Pension_Model!$B$2:$B$29,0)),0),IFERROR(INDEX(Pension_Model!$D$2:$D$29,MATCH(H516,Pension_Model!$B$2:$B$29,0)),0),IFERROR(INDEX(Pension_Model!$D$2:$D$29,MATCH(H517,Pension_Model!$B$2:$B$29,0)),0),IFERROR(INDEX(Pension_Model!$D$2:$D$29,MATCH(H518,Pension_Model!$B$2:$B$29,0)),0)),0))))))</f>
        <v>0</v>
      </c>
      <c r="Q514" s="28">
        <f>Population_Data!$B$15*P514</f>
        <v>0</v>
      </c>
      <c r="S514">
        <f t="shared" si="7"/>
        <v>0</v>
      </c>
      <c r="U514" s="33">
        <f>S514/Population_Data!$B$19</f>
        <v>0</v>
      </c>
    </row>
    <row r="515" spans="1:21">
      <c r="A515" s="25">
        <f>Calendar!A515</f>
        <v>46748</v>
      </c>
      <c r="B515" t="str">
        <f>Calendar!L515</f>
        <v>No</v>
      </c>
      <c r="C515" t="str">
        <f>Calendar!O515</f>
        <v>No</v>
      </c>
      <c r="D515" t="str">
        <f>Calendar!P515</f>
        <v>No</v>
      </c>
      <c r="E515" t="str">
        <f>Calendar!Q515</f>
        <v>No</v>
      </c>
      <c r="F515" t="str">
        <f>Calendar!I515</f>
        <v>Monday</v>
      </c>
      <c r="G515">
        <f>Calendar!S515</f>
        <v>2</v>
      </c>
      <c r="H515">
        <f>Calendar!T515</f>
        <v>16</v>
      </c>
      <c r="I515" s="27">
        <f>IF(VLOOKUP(A515,Calendar!$A$1:$R$1377,18,0)=0,0,IF(VLOOKUP(A515,Calendar!$A$1:$R$1377,18,0)=1,INDEX(Monthly_Pay_Model!$A$9:$D$40,MATCH(TEXT(A515,"dd"),Monthly_Pay_Model!$C$9:$C$39,0),4),IF(VLOOKUP(A515,Calendar!$A$1:$R$1377,18,0)=2,SUM(INDEX(Monthly_Pay_Model!$A$9:$D$40,MATCH(TEXT(A515,"dd"),Monthly_Pay_Model!$C$9:$C$39,0),4),INDEX(Monthly_Pay_Model!$A$9:$D$40,MATCH(TEXT(A516,"dd"),Monthly_Pay_Model!$C$9:$C$39,0),4)),IF(VLOOKUP(A515,Calendar!$A$1:$R$1377,18,0)=3,SUM(INDEX(Monthly_Pay_Model!$A$9:$D$40,MATCH(TEXT(A515,"dd"),Monthly_Pay_Model!$C$9:$C$39,0),4),INDEX(Monthly_Pay_Model!$A$9:$D$40,MATCH(TEXT(A516,"dd"),Monthly_Pay_Model!$C$9:$C$39,0),4),INDEX(Monthly_Pay_Model!$A$9:$D$40,MATCH(TEXT(A517,"dd"),Monthly_Pay_Model!$C$9:$C$39,0),4)),IF(VLOOKUP(A515,Calendar!$A$1:$R$1377,18,0)=4,SUM(INDEX(Monthly_Pay_Model!$A$9:$D$40,MATCH(TEXT(A515,"dd"),Monthly_Pay_Model!$C$9:$C$39,0),4),INDEX(Monthly_Pay_Model!$A$9:$D$40,MATCH(TEXT(A516,"dd"),Monthly_Pay_Model!$C$9:$C$39,0),4),INDEX(Monthly_Pay_Model!$A$9:$D$40,MATCH(TEXT(A517,"dd"),Monthly_Pay_Model!$C$9:$C$39,0),4),INDEX(Monthly_Pay_Model!$A$9:$D$40,MATCH(TEXT(A518,"dd"),Monthly_Pay_Model!$C$9:$C$39,0),4)),IF(VLOOKUP(A515,Calendar!$A$1:$R$1377,18,0)=5,SUM(INDEX(Monthly_Pay_Model!$A$9:$D$40,MATCH(TEXT(A515,"dd"),Monthly_Pay_Model!$C$9:$C$39,0),4),INDEX(Monthly_Pay_Model!$A$9:$D$40,MATCH(TEXT(A516,"dd"),Monthly_Pay_Model!$C$9:$C$39,0),4),INDEX(Monthly_Pay_Model!$A$9:$D$40,MATCH(TEXT(A517,"dd"),Monthly_Pay_Model!$C$9:$C$39,0),4),INDEX(Monthly_Pay_Model!$A$9:$D$40,MATCH(TEXT(A518,"dd"),Monthly_Pay_Model!$C$9:$C$39,0),4),INDEX(Monthly_Pay_Model!$A$9:$D$40,MATCH(TEXT(A519,"dd"),Monthly_Pay_Model!$C$9:$C$39,0),4)),))))))</f>
        <v>0</v>
      </c>
      <c r="J515" s="33">
        <f>IF(C515="Yes",Monthly_Pay_Model!$D$2,0)
+IF(Calendar!N515="Yes",Monthly_Pay_Model!$D$3,0)
+IF(D515="Yes",Monthly_Pay_Model!$D$4,0)
+IF(E515="Yes",Monthly_Pay_Model!$D$5,0)</f>
        <v>0</v>
      </c>
      <c r="K515" s="27">
        <f>IF(VLOOKUP($A515,Calendar!$A$1:$R$1377,18,0)=0,0,IF(VLOOKUP($A515,Calendar!$A$1:$R$1377,18,0)=1,IFERROR(INDEX(Weekly_Model!$D$2:$D$9,MATCH(F515,Weekly_Model!$A$2:$A$9,0)),0),IF(VLOOKUP($A515,Calendar!$A$1:$R$1377,18,0)=2,SUM(IFERROR(INDEX(Weekly_Model!$D$2:$D$9,MATCH(F515,Weekly_Model!$A$2:$A$9,0)),0),IFERROR(INDEX(Weekly_Model!$D$2:$D$9,MATCH(F516,Weekly_Model!$A$2:$A$9,0)),0)),IF(VLOOKUP($A515,Calendar!$A$1:$R$1377,18,0)=3,SUM(IFERROR(INDEX(Weekly_Model!$D$2:$D$9,MATCH(F515,Weekly_Model!$A$2:$A$9,0)),0),IFERROR(INDEX(Weekly_Model!$D$2:$D$9,MATCH(F516,Weekly_Model!$A$2:$A$9,0)),0),IFERROR(INDEX(Weekly_Model!$D$2:$D$9,MATCH(F517,Weekly_Model!$A$2:$A$9,0)),0)),IF(VLOOKUP($A515,Calendar!$A$1:$R$1377,18,0)=4,SUM(IFERROR(INDEX(Weekly_Model!$D$2:$D$9,MATCH(F515,Weekly_Model!$A$2:$A$9,0)),0),IFERROR(INDEX(Weekly_Model!$D$2:$D$9,MATCH(F516,Weekly_Model!$A$2:$A$9,0)),0),IFERROR(INDEX(Weekly_Model!$D$2:$D$9,MATCH(F517,Weekly_Model!$A$2:$A$9,0)),0),IFERROR(INDEX(Weekly_Model!$D$2:$D$9,MATCH(F518,Weekly_Model!$A$2:$A$9,0)),0)),IF(VLOOKUP($A515,Calendar!$A$1:$R$1377,18,0)=5,SUM(IFERROR(INDEX(Weekly_Model!$D$2:$D$9,MATCH(F515,Weekly_Model!$A$2:$A$9,0)),0),IFERROR(INDEX(Weekly_Model!$D$2:$D$9,MATCH(F516,Weekly_Model!$A$2:$A$9,0)),0),IFERROR(INDEX(Weekly_Model!$D$2:$D$9,MATCH(F517,Weekly_Model!$A$2:$A$9,0)),0),IFERROR(INDEX(Weekly_Model!$D$2:$D$9,MATCH(F518,Weekly_Model!$A$2:$A$9,0)),0),IFERROR(INDEX(Weekly_Model!$D$2:$D$9,MATCH(F519,Weekly_Model!$A$2:$A$9,0)),0)),0))))))</f>
        <v>0</v>
      </c>
      <c r="L515" s="27">
        <f>IF(VLOOKUP($A515,Calendar!$A$1:$R$1377,18,0)=0,0,IF(VLOOKUP($A515,Calendar!$A$1:$R$1377,18,0)=1,IFERROR(INDEX(Fortnightly_Model!$D$2:$D$15,MATCH(G515,Fortnightly_Model!$B$2:$B$15,0)),0),IF(VLOOKUP($A515,Calendar!$A$1:$R$1377,18,0)=2,SUM(IFERROR(INDEX(Fortnightly_Model!$D$2:$D$15,MATCH(G515,Fortnightly_Model!$B$2:$B$15,0)),0),IFERROR(INDEX(Fortnightly_Model!$D$2:$D$15,MATCH(G516,Fortnightly_Model!$B$2:$B$15,0)),0)),IF(VLOOKUP($A515,Calendar!$A$1:$R$1377,18,0)=3,SUM(IFERROR(INDEX(Fortnightly_Model!$D$2:$D$15,MATCH(G515,Fortnightly_Model!$B$2:$B$15,0)),0),IFERROR(INDEX(Fortnightly_Model!$D$2:$D$15,MATCH(G516,Fortnightly_Model!$B$2:$B$15,0)),0),IFERROR(INDEX(Fortnightly_Model!$D$2:$D$15,MATCH(G517,Fortnightly_Model!$B$2:$B$15,0)),0)),IF(VLOOKUP($A515,Calendar!$A$1:$R$1377,18,0)=4,SUM(IFERROR(INDEX(Fortnightly_Model!$D$2:$D$15,MATCH(G515,Fortnightly_Model!$B$2:$B$15,0)),0),IFERROR(INDEX(Fortnightly_Model!$D$2:$D$15,MATCH(G516,Fortnightly_Model!$B$2:$B$15,0)),0),IFERROR(INDEX(Fortnightly_Model!$D$2:$D$15,MATCH(G517,Fortnightly_Model!$B$2:$B$15,0)),0),IFERROR(INDEX(Fortnightly_Model!$D$2:$D$15,MATCH(G518,Fortnightly_Model!$B$2:$B$15,0)),0)),IF(VLOOKUP($A515,Calendar!$A$1:$R$1377,18,0)=5,SUM(IFERROR(INDEX(Fortnightly_Model!$D$2:$D$15,MATCH(G515,Fortnightly_Model!$B$2:$B$15,0)),0),IFERROR(INDEX(Fortnightly_Model!$D$2:$D$15,MATCH(G516,Fortnightly_Model!$B$2:$B$15,0)),0),IFERROR(INDEX(Fortnightly_Model!$D$2:$D$15,MATCH(G517,Fortnightly_Model!$B$2:$B$15,0)),0),IFERROR(INDEX(Fortnightly_Model!$D$2:$D$15,MATCH(G518,Fortnightly_Model!$B$2:$B$15,0)),0),IFERROR(INDEX(Fortnightly_Model!$D$2:$D$15,MATCH(G519,Fortnightly_Model!$B$2:$B$15,0)),0)),0))))))</f>
        <v>0</v>
      </c>
      <c r="M515" s="27">
        <f>IF(VLOOKUP($A515,Calendar!$A$1:$R$1377,18,0)=0,0,IF(VLOOKUP($A515,Calendar!$A$1:$R$1377,18,0)=1,IFERROR(INDEX(FourWeekly_Model!$D$2:$D$29,MATCH(H515,FourWeekly_Model!$B$2:$B$29,0)),0),IF(VLOOKUP($A515,Calendar!$A$1:$R$1377,18,0)=2,SUM(IFERROR(INDEX(FourWeekly_Model!$D$2:$D$29,MATCH(H515,FourWeekly_Model!$B$2:$B$29,0)),0),IFERROR(INDEX(FourWeekly_Model!$D$2:$D$29,MATCH(H516,FourWeekly_Model!$B$2:$B$29,0)),0)),IF(VLOOKUP($A515,Calendar!$A$1:$R$1377,18,0)=3,SUM(IFERROR(INDEX(FourWeekly_Model!$D$2:$D$29,MATCH(H515,FourWeekly_Model!$B$2:$B$29,0)),0),IFERROR(INDEX(FourWeekly_Model!$D$2:$D$29,MATCH(H516,FourWeekly_Model!$B$2:$B$29,0)),0),IFERROR(INDEX(FourWeekly_Model!$D$2:$D$29,MATCH(H517,FourWeekly_Model!$B$2:$B$29,0)),0)),IF(VLOOKUP($A515,Calendar!$A$1:$R$1377,18,0)=4,SUM(IFERROR(INDEX(FourWeekly_Model!$D$2:$D$29,MATCH(H515,FourWeekly_Model!$B$2:$B$29,0)),0),IFERROR(INDEX(FourWeekly_Model!$D$2:$D$29,MATCH(H516,FourWeekly_Model!$B$2:$B$29,0)),0),IFERROR(INDEX(FourWeekly_Model!$D$2:$D$29,MATCH(H517,FourWeekly_Model!$B$2:$B$29,0)),0),IFERROR(INDEX(FourWeekly_Model!$D$2:$D$29,MATCH(H518,FourWeekly_Model!$B$2:$B$29,0)),0)),IF(VLOOKUP($A515,Calendar!$A$1:$R$1377,18,0)=5,SUM(IFERROR(INDEX(FourWeekly_Model!$D$2:$D$29,MATCH(H515,FourWeekly_Model!$B$2:$B$29,0)),0),IFERROR(INDEX(FourWeekly_Model!$D$2:$D$29,MATCH(H516,FourWeekly_Model!$B$2:$B$29,0)),0),IFERROR(INDEX(FourWeekly_Model!$D$2:$D$29,MATCH(H517,FourWeekly_Model!$B$2:$B$29,0)),0),IFERROR(INDEX(FourWeekly_Model!$D$2:$D$29,MATCH(H518,FourWeekly_Model!$B$2:$B$29,0)),0),IFERROR(INDEX(FourWeekly_Model!$D$2:$D$29,MATCH(H519,FourWeekly_Model!$B$2:$B$29,0)),0)),0))))))</f>
        <v>0</v>
      </c>
      <c r="N515" s="27">
        <f>SUM(I515:M515)</f>
        <v>0</v>
      </c>
      <c r="O515" s="28">
        <f>Population_Data!$B$8*N515</f>
        <v>0</v>
      </c>
      <c r="P515" s="27">
        <f>IF(VLOOKUP($A515,Calendar!$A$1:$R$1377,18,0)=0,0,IF(VLOOKUP($A515,Calendar!$A$1:$R$1377,18,0)=1,IFERROR(INDEX(Pension_Model!$D$2:$D$29,MATCH(H515,Pension_Model!$B$2:$B$29,0)),0),IF(VLOOKUP($A515,Calendar!$A$1:$R$1377,18,0)=2,SUM(IFERROR(INDEX(Pension_Model!$D$2:$D$29,MATCH(H515,Pension_Model!$B$2:$B$29,0)),0),IFERROR(INDEX(Pension_Model!$D$2:$D$29,MATCH(H516,Pension_Model!$B$2:$B$29,0)),0)),IF(VLOOKUP($A515,Calendar!$A$1:$R$1377,18,0)=3,SUM(IFERROR(INDEX(Pension_Model!$D$2:$D$29,MATCH(H515,Pension_Model!$B$2:$B$29,0)),0),IFERROR(INDEX(Pension_Model!$D$2:$D$29,MATCH(H516,Pension_Model!$B$2:$B$29,0)),0),IFERROR(INDEX(Pension_Model!$D$2:$D$29,MATCH(H517,Pension_Model!$B$2:$B$29,0)),0)),IF(VLOOKUP($A515,Calendar!$A$1:$R$1377,18,0)=4,SUM(IFERROR(INDEX(Pension_Model!$D$2:$D$29,MATCH(H515,Pension_Model!$B$2:$B$29,0)),0),IFERROR(INDEX(Pension_Model!$D$2:$D$29,MATCH(H516,Pension_Model!$B$2:$B$29,0)),0),IFERROR(INDEX(Pension_Model!$D$2:$D$29,MATCH(H517,Pension_Model!$B$2:$B$29,0)),0),IFERROR(INDEX(Pension_Model!$D$2:$D$29,MATCH(H518,Pension_Model!$B$2:$B$29,0)),0)),IF(VLOOKUP($A515,Calendar!$A$1:$R$1377,18,0)=5,SUM(IFERROR(INDEX(Pension_Model!$D$2:$D$29,MATCH(H515,Pension_Model!$B$2:$B$29,0)),0),IFERROR(INDEX(Pension_Model!$D$2:$D$29,MATCH(H516,Pension_Model!$B$2:$B$29,0)),0),IFERROR(INDEX(Pension_Model!$D$2:$D$29,MATCH(H517,Pension_Model!$B$2:$B$29,0)),0),IFERROR(INDEX(Pension_Model!$D$2:$D$29,MATCH(H518,Pension_Model!$B$2:$B$29,0)),0),IFERROR(INDEX(Pension_Model!$D$2:$D$29,MATCH(H519,Pension_Model!$B$2:$B$29,0)),0)),0))))))</f>
        <v>0</v>
      </c>
      <c r="Q515" s="28">
        <f>Population_Data!$B$15*P515</f>
        <v>0</v>
      </c>
      <c r="S515">
        <f t="shared" ref="S515:S532" si="8">SUM(Q515,O515)</f>
        <v>0</v>
      </c>
      <c r="U515" s="33">
        <f>S515/Population_Data!$B$19</f>
        <v>0</v>
      </c>
    </row>
    <row r="516" spans="1:21">
      <c r="A516" s="25">
        <f>Calendar!A516</f>
        <v>46749</v>
      </c>
      <c r="B516" t="str">
        <f>Calendar!L516</f>
        <v>No</v>
      </c>
      <c r="C516" t="str">
        <f>Calendar!O516</f>
        <v>No</v>
      </c>
      <c r="D516" t="str">
        <f>Calendar!P516</f>
        <v>No</v>
      </c>
      <c r="E516" t="str">
        <f>Calendar!Q516</f>
        <v>No</v>
      </c>
      <c r="F516" t="str">
        <f>Calendar!I516</f>
        <v>Tuesday</v>
      </c>
      <c r="G516">
        <f>Calendar!S516</f>
        <v>3</v>
      </c>
      <c r="H516">
        <f>Calendar!T516</f>
        <v>17</v>
      </c>
      <c r="I516" s="27">
        <f>IF(VLOOKUP(A516,Calendar!$A$1:$R$1377,18,0)=0,0,IF(VLOOKUP(A516,Calendar!$A$1:$R$1377,18,0)=1,INDEX(Monthly_Pay_Model!$A$9:$D$40,MATCH(TEXT(A516,"dd"),Monthly_Pay_Model!$C$9:$C$39,0),4),IF(VLOOKUP(A516,Calendar!$A$1:$R$1377,18,0)=2,SUM(INDEX(Monthly_Pay_Model!$A$9:$D$40,MATCH(TEXT(A516,"dd"),Monthly_Pay_Model!$C$9:$C$39,0),4),INDEX(Monthly_Pay_Model!$A$9:$D$40,MATCH(TEXT(A517,"dd"),Monthly_Pay_Model!$C$9:$C$39,0),4)),IF(VLOOKUP(A516,Calendar!$A$1:$R$1377,18,0)=3,SUM(INDEX(Monthly_Pay_Model!$A$9:$D$40,MATCH(TEXT(A516,"dd"),Monthly_Pay_Model!$C$9:$C$39,0),4),INDEX(Monthly_Pay_Model!$A$9:$D$40,MATCH(TEXT(A517,"dd"),Monthly_Pay_Model!$C$9:$C$39,0),4),INDEX(Monthly_Pay_Model!$A$9:$D$40,MATCH(TEXT(A518,"dd"),Monthly_Pay_Model!$C$9:$C$39,0),4)),IF(VLOOKUP(A516,Calendar!$A$1:$R$1377,18,0)=4,SUM(INDEX(Monthly_Pay_Model!$A$9:$D$40,MATCH(TEXT(A516,"dd"),Monthly_Pay_Model!$C$9:$C$39,0),4),INDEX(Monthly_Pay_Model!$A$9:$D$40,MATCH(TEXT(A517,"dd"),Monthly_Pay_Model!$C$9:$C$39,0),4),INDEX(Monthly_Pay_Model!$A$9:$D$40,MATCH(TEXT(A518,"dd"),Monthly_Pay_Model!$C$9:$C$39,0),4),INDEX(Monthly_Pay_Model!$A$9:$D$40,MATCH(TEXT(A519,"dd"),Monthly_Pay_Model!$C$9:$C$39,0),4)),IF(VLOOKUP(A516,Calendar!$A$1:$R$1377,18,0)=5,SUM(INDEX(Monthly_Pay_Model!$A$9:$D$40,MATCH(TEXT(A516,"dd"),Monthly_Pay_Model!$C$9:$C$39,0),4),INDEX(Monthly_Pay_Model!$A$9:$D$40,MATCH(TEXT(A517,"dd"),Monthly_Pay_Model!$C$9:$C$39,0),4),INDEX(Monthly_Pay_Model!$A$9:$D$40,MATCH(TEXT(A518,"dd"),Monthly_Pay_Model!$C$9:$C$39,0),4),INDEX(Monthly_Pay_Model!$A$9:$D$40,MATCH(TEXT(A519,"dd"),Monthly_Pay_Model!$C$9:$C$39,0),4),INDEX(Monthly_Pay_Model!$A$9:$D$40,MATCH(TEXT(A520,"dd"),Monthly_Pay_Model!$C$9:$C$39,0),4)),))))))</f>
        <v>0</v>
      </c>
      <c r="J516" s="33">
        <f>IF(C516="Yes",Monthly_Pay_Model!$D$2,0)
+IF(Calendar!N516="Yes",Monthly_Pay_Model!$D$3,0)
+IF(D516="Yes",Monthly_Pay_Model!$D$4,0)
+IF(E516="Yes",Monthly_Pay_Model!$D$5,0)</f>
        <v>0</v>
      </c>
      <c r="K516" s="27">
        <f>IF(VLOOKUP($A516,Calendar!$A$1:$R$1377,18,0)=0,0,IF(VLOOKUP($A516,Calendar!$A$1:$R$1377,18,0)=1,IFERROR(INDEX(Weekly_Model!$D$2:$D$9,MATCH(F516,Weekly_Model!$A$2:$A$9,0)),0),IF(VLOOKUP($A516,Calendar!$A$1:$R$1377,18,0)=2,SUM(IFERROR(INDEX(Weekly_Model!$D$2:$D$9,MATCH(F516,Weekly_Model!$A$2:$A$9,0)),0),IFERROR(INDEX(Weekly_Model!$D$2:$D$9,MATCH(F517,Weekly_Model!$A$2:$A$9,0)),0)),IF(VLOOKUP($A516,Calendar!$A$1:$R$1377,18,0)=3,SUM(IFERROR(INDEX(Weekly_Model!$D$2:$D$9,MATCH(F516,Weekly_Model!$A$2:$A$9,0)),0),IFERROR(INDEX(Weekly_Model!$D$2:$D$9,MATCH(F517,Weekly_Model!$A$2:$A$9,0)),0),IFERROR(INDEX(Weekly_Model!$D$2:$D$9,MATCH(F518,Weekly_Model!$A$2:$A$9,0)),0)),IF(VLOOKUP($A516,Calendar!$A$1:$R$1377,18,0)=4,SUM(IFERROR(INDEX(Weekly_Model!$D$2:$D$9,MATCH(F516,Weekly_Model!$A$2:$A$9,0)),0),IFERROR(INDEX(Weekly_Model!$D$2:$D$9,MATCH(F517,Weekly_Model!$A$2:$A$9,0)),0),IFERROR(INDEX(Weekly_Model!$D$2:$D$9,MATCH(F518,Weekly_Model!$A$2:$A$9,0)),0),IFERROR(INDEX(Weekly_Model!$D$2:$D$9,MATCH(F519,Weekly_Model!$A$2:$A$9,0)),0)),IF(VLOOKUP($A516,Calendar!$A$1:$R$1377,18,0)=5,SUM(IFERROR(INDEX(Weekly_Model!$D$2:$D$9,MATCH(F516,Weekly_Model!$A$2:$A$9,0)),0),IFERROR(INDEX(Weekly_Model!$D$2:$D$9,MATCH(F517,Weekly_Model!$A$2:$A$9,0)),0),IFERROR(INDEX(Weekly_Model!$D$2:$D$9,MATCH(F518,Weekly_Model!$A$2:$A$9,0)),0),IFERROR(INDEX(Weekly_Model!$D$2:$D$9,MATCH(F519,Weekly_Model!$A$2:$A$9,0)),0),IFERROR(INDEX(Weekly_Model!$D$2:$D$9,MATCH(F520,Weekly_Model!$A$2:$A$9,0)),0)),0))))))</f>
        <v>0</v>
      </c>
      <c r="L516" s="27">
        <f>IF(VLOOKUP($A516,Calendar!$A$1:$R$1377,18,0)=0,0,IF(VLOOKUP($A516,Calendar!$A$1:$R$1377,18,0)=1,IFERROR(INDEX(Fortnightly_Model!$D$2:$D$15,MATCH(G516,Fortnightly_Model!$B$2:$B$15,0)),0),IF(VLOOKUP($A516,Calendar!$A$1:$R$1377,18,0)=2,SUM(IFERROR(INDEX(Fortnightly_Model!$D$2:$D$15,MATCH(G516,Fortnightly_Model!$B$2:$B$15,0)),0),IFERROR(INDEX(Fortnightly_Model!$D$2:$D$15,MATCH(G517,Fortnightly_Model!$B$2:$B$15,0)),0)),IF(VLOOKUP($A516,Calendar!$A$1:$R$1377,18,0)=3,SUM(IFERROR(INDEX(Fortnightly_Model!$D$2:$D$15,MATCH(G516,Fortnightly_Model!$B$2:$B$15,0)),0),IFERROR(INDEX(Fortnightly_Model!$D$2:$D$15,MATCH(G517,Fortnightly_Model!$B$2:$B$15,0)),0),IFERROR(INDEX(Fortnightly_Model!$D$2:$D$15,MATCH(G518,Fortnightly_Model!$B$2:$B$15,0)),0)),IF(VLOOKUP($A516,Calendar!$A$1:$R$1377,18,0)=4,SUM(IFERROR(INDEX(Fortnightly_Model!$D$2:$D$15,MATCH(G516,Fortnightly_Model!$B$2:$B$15,0)),0),IFERROR(INDEX(Fortnightly_Model!$D$2:$D$15,MATCH(G517,Fortnightly_Model!$B$2:$B$15,0)),0),IFERROR(INDEX(Fortnightly_Model!$D$2:$D$15,MATCH(G518,Fortnightly_Model!$B$2:$B$15,0)),0),IFERROR(INDEX(Fortnightly_Model!$D$2:$D$15,MATCH(G519,Fortnightly_Model!$B$2:$B$15,0)),0)),IF(VLOOKUP($A516,Calendar!$A$1:$R$1377,18,0)=5,SUM(IFERROR(INDEX(Fortnightly_Model!$D$2:$D$15,MATCH(G516,Fortnightly_Model!$B$2:$B$15,0)),0),IFERROR(INDEX(Fortnightly_Model!$D$2:$D$15,MATCH(G517,Fortnightly_Model!$B$2:$B$15,0)),0),IFERROR(INDEX(Fortnightly_Model!$D$2:$D$15,MATCH(G518,Fortnightly_Model!$B$2:$B$15,0)),0),IFERROR(INDEX(Fortnightly_Model!$D$2:$D$15,MATCH(G519,Fortnightly_Model!$B$2:$B$15,0)),0),IFERROR(INDEX(Fortnightly_Model!$D$2:$D$15,MATCH(G520,Fortnightly_Model!$B$2:$B$15,0)),0)),0))))))</f>
        <v>0</v>
      </c>
      <c r="M516" s="27">
        <f>IF(VLOOKUP($A516,Calendar!$A$1:$R$1377,18,0)=0,0,IF(VLOOKUP($A516,Calendar!$A$1:$R$1377,18,0)=1,IFERROR(INDEX(FourWeekly_Model!$D$2:$D$29,MATCH(H516,FourWeekly_Model!$B$2:$B$29,0)),0),IF(VLOOKUP($A516,Calendar!$A$1:$R$1377,18,0)=2,SUM(IFERROR(INDEX(FourWeekly_Model!$D$2:$D$29,MATCH(H516,FourWeekly_Model!$B$2:$B$29,0)),0),IFERROR(INDEX(FourWeekly_Model!$D$2:$D$29,MATCH(H517,FourWeekly_Model!$B$2:$B$29,0)),0)),IF(VLOOKUP($A516,Calendar!$A$1:$R$1377,18,0)=3,SUM(IFERROR(INDEX(FourWeekly_Model!$D$2:$D$29,MATCH(H516,FourWeekly_Model!$B$2:$B$29,0)),0),IFERROR(INDEX(FourWeekly_Model!$D$2:$D$29,MATCH(H517,FourWeekly_Model!$B$2:$B$29,0)),0),IFERROR(INDEX(FourWeekly_Model!$D$2:$D$29,MATCH(H518,FourWeekly_Model!$B$2:$B$29,0)),0)),IF(VLOOKUP($A516,Calendar!$A$1:$R$1377,18,0)=4,SUM(IFERROR(INDEX(FourWeekly_Model!$D$2:$D$29,MATCH(H516,FourWeekly_Model!$B$2:$B$29,0)),0),IFERROR(INDEX(FourWeekly_Model!$D$2:$D$29,MATCH(H517,FourWeekly_Model!$B$2:$B$29,0)),0),IFERROR(INDEX(FourWeekly_Model!$D$2:$D$29,MATCH(H518,FourWeekly_Model!$B$2:$B$29,0)),0),IFERROR(INDEX(FourWeekly_Model!$D$2:$D$29,MATCH(H519,FourWeekly_Model!$B$2:$B$29,0)),0)),IF(VLOOKUP($A516,Calendar!$A$1:$R$1377,18,0)=5,SUM(IFERROR(INDEX(FourWeekly_Model!$D$2:$D$29,MATCH(H516,FourWeekly_Model!$B$2:$B$29,0)),0),IFERROR(INDEX(FourWeekly_Model!$D$2:$D$29,MATCH(H517,FourWeekly_Model!$B$2:$B$29,0)),0),IFERROR(INDEX(FourWeekly_Model!$D$2:$D$29,MATCH(H518,FourWeekly_Model!$B$2:$B$29,0)),0),IFERROR(INDEX(FourWeekly_Model!$D$2:$D$29,MATCH(H519,FourWeekly_Model!$B$2:$B$29,0)),0),IFERROR(INDEX(FourWeekly_Model!$D$2:$D$29,MATCH(H520,FourWeekly_Model!$B$2:$B$29,0)),0)),0))))))</f>
        <v>0</v>
      </c>
      <c r="N516" s="27">
        <f>SUM(I516:M516)</f>
        <v>0</v>
      </c>
      <c r="O516" s="28">
        <f>Population_Data!$B$8*N516</f>
        <v>0</v>
      </c>
      <c r="P516" s="27">
        <f>IF(VLOOKUP($A516,Calendar!$A$1:$R$1377,18,0)=0,0,IF(VLOOKUP($A516,Calendar!$A$1:$R$1377,18,0)=1,IFERROR(INDEX(Pension_Model!$D$2:$D$29,MATCH(H516,Pension_Model!$B$2:$B$29,0)),0),IF(VLOOKUP($A516,Calendar!$A$1:$R$1377,18,0)=2,SUM(IFERROR(INDEX(Pension_Model!$D$2:$D$29,MATCH(H516,Pension_Model!$B$2:$B$29,0)),0),IFERROR(INDEX(Pension_Model!$D$2:$D$29,MATCH(H517,Pension_Model!$B$2:$B$29,0)),0)),IF(VLOOKUP($A516,Calendar!$A$1:$R$1377,18,0)=3,SUM(IFERROR(INDEX(Pension_Model!$D$2:$D$29,MATCH(H516,Pension_Model!$B$2:$B$29,0)),0),IFERROR(INDEX(Pension_Model!$D$2:$D$29,MATCH(H517,Pension_Model!$B$2:$B$29,0)),0),IFERROR(INDEX(Pension_Model!$D$2:$D$29,MATCH(H518,Pension_Model!$B$2:$B$29,0)),0)),IF(VLOOKUP($A516,Calendar!$A$1:$R$1377,18,0)=4,SUM(IFERROR(INDEX(Pension_Model!$D$2:$D$29,MATCH(H516,Pension_Model!$B$2:$B$29,0)),0),IFERROR(INDEX(Pension_Model!$D$2:$D$29,MATCH(H517,Pension_Model!$B$2:$B$29,0)),0),IFERROR(INDEX(Pension_Model!$D$2:$D$29,MATCH(H518,Pension_Model!$B$2:$B$29,0)),0),IFERROR(INDEX(Pension_Model!$D$2:$D$29,MATCH(H519,Pension_Model!$B$2:$B$29,0)),0)),IF(VLOOKUP($A516,Calendar!$A$1:$R$1377,18,0)=5,SUM(IFERROR(INDEX(Pension_Model!$D$2:$D$29,MATCH(H516,Pension_Model!$B$2:$B$29,0)),0),IFERROR(INDEX(Pension_Model!$D$2:$D$29,MATCH(H517,Pension_Model!$B$2:$B$29,0)),0),IFERROR(INDEX(Pension_Model!$D$2:$D$29,MATCH(H518,Pension_Model!$B$2:$B$29,0)),0),IFERROR(INDEX(Pension_Model!$D$2:$D$29,MATCH(H519,Pension_Model!$B$2:$B$29,0)),0),IFERROR(INDEX(Pension_Model!$D$2:$D$29,MATCH(H520,Pension_Model!$B$2:$B$29,0)),0)),0))))))</f>
        <v>0</v>
      </c>
      <c r="Q516" s="28">
        <f>Population_Data!$B$15*P516</f>
        <v>0</v>
      </c>
      <c r="S516">
        <f t="shared" si="8"/>
        <v>0</v>
      </c>
      <c r="U516" s="33">
        <f>S516/Population_Data!$B$19</f>
        <v>0</v>
      </c>
    </row>
    <row r="517" spans="1:21">
      <c r="A517" s="25">
        <f>Calendar!A517</f>
        <v>46750</v>
      </c>
      <c r="B517" t="str">
        <f>Calendar!L517</f>
        <v>Yes</v>
      </c>
      <c r="C517" t="str">
        <f>Calendar!O517</f>
        <v>No</v>
      </c>
      <c r="D517" t="str">
        <f>Calendar!P517</f>
        <v>No</v>
      </c>
      <c r="E517" t="str">
        <f>Calendar!Q517</f>
        <v>No</v>
      </c>
      <c r="F517" t="str">
        <f>Calendar!I517</f>
        <v>Wednesday</v>
      </c>
      <c r="G517">
        <f>Calendar!S517</f>
        <v>4</v>
      </c>
      <c r="H517">
        <f>Calendar!T517</f>
        <v>18</v>
      </c>
      <c r="I517" s="27">
        <f>IF(VLOOKUP(A517,Calendar!$A$1:$R$1377,18,0)=0,0,IF(VLOOKUP(A517,Calendar!$A$1:$R$1377,18,0)=1,INDEX(Monthly_Pay_Model!$A$9:$D$40,MATCH(TEXT(A517,"dd"),Monthly_Pay_Model!$C$9:$C$39,0),4),IF(VLOOKUP(A517,Calendar!$A$1:$R$1377,18,0)=2,SUM(INDEX(Monthly_Pay_Model!$A$9:$D$40,MATCH(TEXT(A517,"dd"),Monthly_Pay_Model!$C$9:$C$39,0),4),INDEX(Monthly_Pay_Model!$A$9:$D$40,MATCH(TEXT(A518,"dd"),Monthly_Pay_Model!$C$9:$C$39,0),4)),IF(VLOOKUP(A517,Calendar!$A$1:$R$1377,18,0)=3,SUM(INDEX(Monthly_Pay_Model!$A$9:$D$40,MATCH(TEXT(A517,"dd"),Monthly_Pay_Model!$C$9:$C$39,0),4),INDEX(Monthly_Pay_Model!$A$9:$D$40,MATCH(TEXT(A518,"dd"),Monthly_Pay_Model!$C$9:$C$39,0),4),INDEX(Monthly_Pay_Model!$A$9:$D$40,MATCH(TEXT(A519,"dd"),Monthly_Pay_Model!$C$9:$C$39,0),4)),IF(VLOOKUP(A517,Calendar!$A$1:$R$1377,18,0)=4,SUM(INDEX(Monthly_Pay_Model!$A$9:$D$40,MATCH(TEXT(A517,"dd"),Monthly_Pay_Model!$C$9:$C$39,0),4),INDEX(Monthly_Pay_Model!$A$9:$D$40,MATCH(TEXT(A518,"dd"),Monthly_Pay_Model!$C$9:$C$39,0),4),INDEX(Monthly_Pay_Model!$A$9:$D$40,MATCH(TEXT(A519,"dd"),Monthly_Pay_Model!$C$9:$C$39,0),4),INDEX(Monthly_Pay_Model!$A$9:$D$40,MATCH(TEXT(A520,"dd"),Monthly_Pay_Model!$C$9:$C$39,0),4)),IF(VLOOKUP(A517,Calendar!$A$1:$R$1377,18,0)=5,SUM(INDEX(Monthly_Pay_Model!$A$9:$D$40,MATCH(TEXT(A517,"dd"),Monthly_Pay_Model!$C$9:$C$39,0),4),INDEX(Monthly_Pay_Model!$A$9:$D$40,MATCH(TEXT(A518,"dd"),Monthly_Pay_Model!$C$9:$C$39,0),4),INDEX(Monthly_Pay_Model!$A$9:$D$40,MATCH(TEXT(A519,"dd"),Monthly_Pay_Model!$C$9:$C$39,0),4),INDEX(Monthly_Pay_Model!$A$9:$D$40,MATCH(TEXT(A520,"dd"),Monthly_Pay_Model!$C$9:$C$39,0),4),INDEX(Monthly_Pay_Model!$A$9:$D$40,MATCH(TEXT(A521,"dd"),Monthly_Pay_Model!$C$9:$C$39,0),4)),))))))</f>
        <v>4.0628272251308894E-3</v>
      </c>
      <c r="J517" s="33">
        <f>IF(C517="Yes",Monthly_Pay_Model!$D$2,0)
+IF(Calendar!N517="Yes",Monthly_Pay_Model!$D$3,0)
+IF(D517="Yes",Monthly_Pay_Model!$D$4,0)
+IF(E517="Yes",Monthly_Pay_Model!$D$5,0)</f>
        <v>0</v>
      </c>
      <c r="K517" s="27">
        <f>IF(VLOOKUP($A517,Calendar!$A$1:$R$1377,18,0)=0,0,IF(VLOOKUP($A517,Calendar!$A$1:$R$1377,18,0)=1,IFERROR(INDEX(Weekly_Model!$D$2:$D$9,MATCH(F517,Weekly_Model!$A$2:$A$9,0)),0),IF(VLOOKUP($A517,Calendar!$A$1:$R$1377,18,0)=2,SUM(IFERROR(INDEX(Weekly_Model!$D$2:$D$9,MATCH(F517,Weekly_Model!$A$2:$A$9,0)),0),IFERROR(INDEX(Weekly_Model!$D$2:$D$9,MATCH(F518,Weekly_Model!$A$2:$A$9,0)),0)),IF(VLOOKUP($A517,Calendar!$A$1:$R$1377,18,0)=3,SUM(IFERROR(INDEX(Weekly_Model!$D$2:$D$9,MATCH(F517,Weekly_Model!$A$2:$A$9,0)),0),IFERROR(INDEX(Weekly_Model!$D$2:$D$9,MATCH(F518,Weekly_Model!$A$2:$A$9,0)),0),IFERROR(INDEX(Weekly_Model!$D$2:$D$9,MATCH(F519,Weekly_Model!$A$2:$A$9,0)),0)),IF(VLOOKUP($A517,Calendar!$A$1:$R$1377,18,0)=4,SUM(IFERROR(INDEX(Weekly_Model!$D$2:$D$9,MATCH(F517,Weekly_Model!$A$2:$A$9,0)),0),IFERROR(INDEX(Weekly_Model!$D$2:$D$9,MATCH(F518,Weekly_Model!$A$2:$A$9,0)),0),IFERROR(INDEX(Weekly_Model!$D$2:$D$9,MATCH(F519,Weekly_Model!$A$2:$A$9,0)),0),IFERROR(INDEX(Weekly_Model!$D$2:$D$9,MATCH(F520,Weekly_Model!$A$2:$A$9,0)),0)),IF(VLOOKUP($A517,Calendar!$A$1:$R$1377,18,0)=5,SUM(IFERROR(INDEX(Weekly_Model!$D$2:$D$9,MATCH(F517,Weekly_Model!$A$2:$A$9,0)),0),IFERROR(INDEX(Weekly_Model!$D$2:$D$9,MATCH(F518,Weekly_Model!$A$2:$A$9,0)),0),IFERROR(INDEX(Weekly_Model!$D$2:$D$9,MATCH(F519,Weekly_Model!$A$2:$A$9,0)),0),IFERROR(INDEX(Weekly_Model!$D$2:$D$9,MATCH(F520,Weekly_Model!$A$2:$A$9,0)),0),IFERROR(INDEX(Weekly_Model!$D$2:$D$9,MATCH(F521,Weekly_Model!$A$2:$A$9,0)),0)),0))))))</f>
        <v>2.3200000000000002E-2</v>
      </c>
      <c r="L517" s="27">
        <f>IF(VLOOKUP($A517,Calendar!$A$1:$R$1377,18,0)=0,0,IF(VLOOKUP($A517,Calendar!$A$1:$R$1377,18,0)=1,IFERROR(INDEX(Fortnightly_Model!$D$2:$D$15,MATCH(G517,Fortnightly_Model!$B$2:$B$15,0)),0),IF(VLOOKUP($A517,Calendar!$A$1:$R$1377,18,0)=2,SUM(IFERROR(INDEX(Fortnightly_Model!$D$2:$D$15,MATCH(G517,Fortnightly_Model!$B$2:$B$15,0)),0),IFERROR(INDEX(Fortnightly_Model!$D$2:$D$15,MATCH(G518,Fortnightly_Model!$B$2:$B$15,0)),0)),IF(VLOOKUP($A517,Calendar!$A$1:$R$1377,18,0)=3,SUM(IFERROR(INDEX(Fortnightly_Model!$D$2:$D$15,MATCH(G517,Fortnightly_Model!$B$2:$B$15,0)),0),IFERROR(INDEX(Fortnightly_Model!$D$2:$D$15,MATCH(G518,Fortnightly_Model!$B$2:$B$15,0)),0),IFERROR(INDEX(Fortnightly_Model!$D$2:$D$15,MATCH(G519,Fortnightly_Model!$B$2:$B$15,0)),0)),IF(VLOOKUP($A517,Calendar!$A$1:$R$1377,18,0)=4,SUM(IFERROR(INDEX(Fortnightly_Model!$D$2:$D$15,MATCH(G517,Fortnightly_Model!$B$2:$B$15,0)),0),IFERROR(INDEX(Fortnightly_Model!$D$2:$D$15,MATCH(G518,Fortnightly_Model!$B$2:$B$15,0)),0),IFERROR(INDEX(Fortnightly_Model!$D$2:$D$15,MATCH(G519,Fortnightly_Model!$B$2:$B$15,0)),0),IFERROR(INDEX(Fortnightly_Model!$D$2:$D$15,MATCH(G520,Fortnightly_Model!$B$2:$B$15,0)),0)),IF(VLOOKUP($A517,Calendar!$A$1:$R$1377,18,0)=5,SUM(IFERROR(INDEX(Fortnightly_Model!$D$2:$D$15,MATCH(G517,Fortnightly_Model!$B$2:$B$15,0)),0),IFERROR(INDEX(Fortnightly_Model!$D$2:$D$15,MATCH(G518,Fortnightly_Model!$B$2:$B$15,0)),0),IFERROR(INDEX(Fortnightly_Model!$D$2:$D$15,MATCH(G519,Fortnightly_Model!$B$2:$B$15,0)),0),IFERROR(INDEX(Fortnightly_Model!$D$2:$D$15,MATCH(G520,Fortnightly_Model!$B$2:$B$15,0)),0),IFERROR(INDEX(Fortnightly_Model!$D$2:$D$15,MATCH(G521,Fortnightly_Model!$B$2:$B$15,0)),0)),0))))))</f>
        <v>1.0714285499999999E-3</v>
      </c>
      <c r="M517" s="27">
        <f>IF(VLOOKUP($A517,Calendar!$A$1:$R$1377,18,0)=0,0,IF(VLOOKUP($A517,Calendar!$A$1:$R$1377,18,0)=1,IFERROR(INDEX(FourWeekly_Model!$D$2:$D$29,MATCH(H517,FourWeekly_Model!$B$2:$B$29,0)),0),IF(VLOOKUP($A517,Calendar!$A$1:$R$1377,18,0)=2,SUM(IFERROR(INDEX(FourWeekly_Model!$D$2:$D$29,MATCH(H517,FourWeekly_Model!$B$2:$B$29,0)),0),IFERROR(INDEX(FourWeekly_Model!$D$2:$D$29,MATCH(H518,FourWeekly_Model!$B$2:$B$29,0)),0)),IF(VLOOKUP($A517,Calendar!$A$1:$R$1377,18,0)=3,SUM(IFERROR(INDEX(FourWeekly_Model!$D$2:$D$29,MATCH(H517,FourWeekly_Model!$B$2:$B$29,0)),0),IFERROR(INDEX(FourWeekly_Model!$D$2:$D$29,MATCH(H518,FourWeekly_Model!$B$2:$B$29,0)),0),IFERROR(INDEX(FourWeekly_Model!$D$2:$D$29,MATCH(H519,FourWeekly_Model!$B$2:$B$29,0)),0)),IF(VLOOKUP($A517,Calendar!$A$1:$R$1377,18,0)=4,SUM(IFERROR(INDEX(FourWeekly_Model!$D$2:$D$29,MATCH(H517,FourWeekly_Model!$B$2:$B$29,0)),0),IFERROR(INDEX(FourWeekly_Model!$D$2:$D$29,MATCH(H518,FourWeekly_Model!$B$2:$B$29,0)),0),IFERROR(INDEX(FourWeekly_Model!$D$2:$D$29,MATCH(H519,FourWeekly_Model!$B$2:$B$29,0)),0),IFERROR(INDEX(FourWeekly_Model!$D$2:$D$29,MATCH(H520,FourWeekly_Model!$B$2:$B$29,0)),0)),IF(VLOOKUP($A517,Calendar!$A$1:$R$1377,18,0)=5,SUM(IFERROR(INDEX(FourWeekly_Model!$D$2:$D$29,MATCH(H517,FourWeekly_Model!$B$2:$B$29,0)),0),IFERROR(INDEX(FourWeekly_Model!$D$2:$D$29,MATCH(H518,FourWeekly_Model!$B$2:$B$29,0)),0),IFERROR(INDEX(FourWeekly_Model!$D$2:$D$29,MATCH(H519,FourWeekly_Model!$B$2:$B$29,0)),0),IFERROR(INDEX(FourWeekly_Model!$D$2:$D$29,MATCH(H520,FourWeekly_Model!$B$2:$B$29,0)),0),IFERROR(INDEX(FourWeekly_Model!$D$2:$D$29,MATCH(H521,FourWeekly_Model!$B$2:$B$29,0)),0)),0))))))</f>
        <v>3.3214289700000004E-3</v>
      </c>
      <c r="N517" s="27">
        <f>SUM(I517:M517)</f>
        <v>3.1655684745130891E-2</v>
      </c>
      <c r="O517" s="28">
        <f>Population_Data!$B$8*N517</f>
        <v>959167.24777746596</v>
      </c>
      <c r="P517" s="27">
        <f>IF(VLOOKUP($A517,Calendar!$A$1:$R$1377,18,0)=0,0,IF(VLOOKUP($A517,Calendar!$A$1:$R$1377,18,0)=1,IFERROR(INDEX(Pension_Model!$D$2:$D$29,MATCH(H517,Pension_Model!$B$2:$B$29,0)),0),IF(VLOOKUP($A517,Calendar!$A$1:$R$1377,18,0)=2,SUM(IFERROR(INDEX(Pension_Model!$D$2:$D$29,MATCH(H517,Pension_Model!$B$2:$B$29,0)),0),IFERROR(INDEX(Pension_Model!$D$2:$D$29,MATCH(H518,Pension_Model!$B$2:$B$29,0)),0)),IF(VLOOKUP($A517,Calendar!$A$1:$R$1377,18,0)=3,SUM(IFERROR(INDEX(Pension_Model!$D$2:$D$29,MATCH(H517,Pension_Model!$B$2:$B$29,0)),0),IFERROR(INDEX(Pension_Model!$D$2:$D$29,MATCH(H518,Pension_Model!$B$2:$B$29,0)),0),IFERROR(INDEX(Pension_Model!$D$2:$D$29,MATCH(H519,Pension_Model!$B$2:$B$29,0)),0)),IF(VLOOKUP($A517,Calendar!$A$1:$R$1377,18,0)=4,SUM(IFERROR(INDEX(Pension_Model!$D$2:$D$29,MATCH(H517,Pension_Model!$B$2:$B$29,0)),0),IFERROR(INDEX(Pension_Model!$D$2:$D$29,MATCH(H518,Pension_Model!$B$2:$B$29,0)),0),IFERROR(INDEX(Pension_Model!$D$2:$D$29,MATCH(H519,Pension_Model!$B$2:$B$29,0)),0),IFERROR(INDEX(Pension_Model!$D$2:$D$29,MATCH(H520,Pension_Model!$B$2:$B$29,0)),0)),IF(VLOOKUP($A517,Calendar!$A$1:$R$1377,18,0)=5,SUM(IFERROR(INDEX(Pension_Model!$D$2:$D$29,MATCH(H517,Pension_Model!$B$2:$B$29,0)),0),IFERROR(INDEX(Pension_Model!$D$2:$D$29,MATCH(H518,Pension_Model!$B$2:$B$29,0)),0),IFERROR(INDEX(Pension_Model!$D$2:$D$29,MATCH(H519,Pension_Model!$B$2:$B$29,0)),0),IFERROR(INDEX(Pension_Model!$D$2:$D$29,MATCH(H520,Pension_Model!$B$2:$B$29,0)),0),IFERROR(INDEX(Pension_Model!$D$2:$D$29,MATCH(H521,Pension_Model!$B$2:$B$29,0)),0)),0))))))</f>
        <v>0.05</v>
      </c>
      <c r="Q517" s="28">
        <f>Population_Data!$B$15*P517</f>
        <v>660600</v>
      </c>
      <c r="S517">
        <f t="shared" si="8"/>
        <v>1619767.247777466</v>
      </c>
      <c r="U517" s="33">
        <f>S517/Population_Data!$B$19</f>
        <v>2.9343609561185979E-2</v>
      </c>
    </row>
    <row r="518" spans="1:21">
      <c r="A518" s="25">
        <f>Calendar!A518</f>
        <v>46751</v>
      </c>
      <c r="B518" t="str">
        <f>Calendar!L518</f>
        <v>Yes</v>
      </c>
      <c r="C518" t="str">
        <f>Calendar!O518</f>
        <v>No</v>
      </c>
      <c r="D518" t="str">
        <f>Calendar!P518</f>
        <v>No</v>
      </c>
      <c r="E518" t="str">
        <f>Calendar!Q518</f>
        <v>Yes</v>
      </c>
      <c r="F518" t="str">
        <f>Calendar!I518</f>
        <v>Thursday</v>
      </c>
      <c r="G518">
        <f>Calendar!S518</f>
        <v>5</v>
      </c>
      <c r="H518">
        <f>Calendar!T518</f>
        <v>19</v>
      </c>
      <c r="I518" s="27">
        <f>IF(VLOOKUP(A518,Calendar!$A$1:$R$1377,18,0)=0,0,IF(VLOOKUP(A518,Calendar!$A$1:$R$1377,18,0)=1,INDEX(Monthly_Pay_Model!$A$9:$D$40,MATCH(TEXT(A518,"dd"),Monthly_Pay_Model!$C$9:$C$39,0),4),IF(VLOOKUP(A518,Calendar!$A$1:$R$1377,18,0)=2,SUM(INDEX(Monthly_Pay_Model!$A$9:$D$40,MATCH(TEXT(A518,"dd"),Monthly_Pay_Model!$C$9:$C$39,0),4),INDEX(Monthly_Pay_Model!$A$9:$D$40,MATCH(TEXT(A519,"dd"),Monthly_Pay_Model!$C$9:$C$39,0),4)),IF(VLOOKUP(A518,Calendar!$A$1:$R$1377,18,0)=3,SUM(INDEX(Monthly_Pay_Model!$A$9:$D$40,MATCH(TEXT(A518,"dd"),Monthly_Pay_Model!$C$9:$C$39,0),4),INDEX(Monthly_Pay_Model!$A$9:$D$40,MATCH(TEXT(A519,"dd"),Monthly_Pay_Model!$C$9:$C$39,0),4),INDEX(Monthly_Pay_Model!$A$9:$D$40,MATCH(TEXT(A520,"dd"),Monthly_Pay_Model!$C$9:$C$39,0),4)),IF(VLOOKUP(A518,Calendar!$A$1:$R$1377,18,0)=4,SUM(INDEX(Monthly_Pay_Model!$A$9:$D$40,MATCH(TEXT(A518,"dd"),Monthly_Pay_Model!$C$9:$C$39,0),4),INDEX(Monthly_Pay_Model!$A$9:$D$40,MATCH(TEXT(A519,"dd"),Monthly_Pay_Model!$C$9:$C$39,0),4),INDEX(Monthly_Pay_Model!$A$9:$D$40,MATCH(TEXT(A520,"dd"),Monthly_Pay_Model!$C$9:$C$39,0),4),INDEX(Monthly_Pay_Model!$A$9:$D$40,MATCH(TEXT(A521,"dd"),Monthly_Pay_Model!$C$9:$C$39,0),4)),IF(VLOOKUP(A518,Calendar!$A$1:$R$1377,18,0)=5,SUM(INDEX(Monthly_Pay_Model!$A$9:$D$40,MATCH(TEXT(A518,"dd"),Monthly_Pay_Model!$C$9:$C$39,0),4),INDEX(Monthly_Pay_Model!$A$9:$D$40,MATCH(TEXT(A519,"dd"),Monthly_Pay_Model!$C$9:$C$39,0),4),INDEX(Monthly_Pay_Model!$A$9:$D$40,MATCH(TEXT(A520,"dd"),Monthly_Pay_Model!$C$9:$C$39,0),4),INDEX(Monthly_Pay_Model!$A$9:$D$40,MATCH(TEXT(A521,"dd"),Monthly_Pay_Model!$C$9:$C$39,0),4),INDEX(Monthly_Pay_Model!$A$9:$D$40,MATCH(TEXT(A522,"dd"),Monthly_Pay_Model!$C$9:$C$39,0),4)),))))))</f>
        <v>4.8753926701570662E-3</v>
      </c>
      <c r="J518" s="33">
        <f>IF(C518="Yes",Monthly_Pay_Model!$D$2,0)
+IF(Calendar!N518="Yes",Monthly_Pay_Model!$D$3,0)
+IF(D518="Yes",Monthly_Pay_Model!$D$4,0)
+IF(E518="Yes",Monthly_Pay_Model!$D$5,0)</f>
        <v>5.4320000000000007E-2</v>
      </c>
      <c r="K518" s="27">
        <f>IF(VLOOKUP($A518,Calendar!$A$1:$R$1377,18,0)=0,0,IF(VLOOKUP($A518,Calendar!$A$1:$R$1377,18,0)=1,IFERROR(INDEX(Weekly_Model!$D$2:$D$9,MATCH(F518,Weekly_Model!$A$2:$A$9,0)),0),IF(VLOOKUP($A518,Calendar!$A$1:$R$1377,18,0)=2,SUM(IFERROR(INDEX(Weekly_Model!$D$2:$D$9,MATCH(F518,Weekly_Model!$A$2:$A$9,0)),0),IFERROR(INDEX(Weekly_Model!$D$2:$D$9,MATCH(F519,Weekly_Model!$A$2:$A$9,0)),0)),IF(VLOOKUP($A518,Calendar!$A$1:$R$1377,18,0)=3,SUM(IFERROR(INDEX(Weekly_Model!$D$2:$D$9,MATCH(F518,Weekly_Model!$A$2:$A$9,0)),0),IFERROR(INDEX(Weekly_Model!$D$2:$D$9,MATCH(F519,Weekly_Model!$A$2:$A$9,0)),0),IFERROR(INDEX(Weekly_Model!$D$2:$D$9,MATCH(F520,Weekly_Model!$A$2:$A$9,0)),0)),IF(VLOOKUP($A518,Calendar!$A$1:$R$1377,18,0)=4,SUM(IFERROR(INDEX(Weekly_Model!$D$2:$D$9,MATCH(F518,Weekly_Model!$A$2:$A$9,0)),0),IFERROR(INDEX(Weekly_Model!$D$2:$D$9,MATCH(F519,Weekly_Model!$A$2:$A$9,0)),0),IFERROR(INDEX(Weekly_Model!$D$2:$D$9,MATCH(F520,Weekly_Model!$A$2:$A$9,0)),0),IFERROR(INDEX(Weekly_Model!$D$2:$D$9,MATCH(F521,Weekly_Model!$A$2:$A$9,0)),0)),IF(VLOOKUP($A518,Calendar!$A$1:$R$1377,18,0)=5,SUM(IFERROR(INDEX(Weekly_Model!$D$2:$D$9,MATCH(F518,Weekly_Model!$A$2:$A$9,0)),0),IFERROR(INDEX(Weekly_Model!$D$2:$D$9,MATCH(F519,Weekly_Model!$A$2:$A$9,0)),0),IFERROR(INDEX(Weekly_Model!$D$2:$D$9,MATCH(F520,Weekly_Model!$A$2:$A$9,0)),0),IFERROR(INDEX(Weekly_Model!$D$2:$D$9,MATCH(F521,Weekly_Model!$A$2:$A$9,0)),0),IFERROR(INDEX(Weekly_Model!$D$2:$D$9,MATCH(F522,Weekly_Model!$A$2:$A$9,0)),0)),0))))))</f>
        <v>2.3200000000000002E-2</v>
      </c>
      <c r="L518" s="27">
        <f>IF(VLOOKUP($A518,Calendar!$A$1:$R$1377,18,0)=0,0,IF(VLOOKUP($A518,Calendar!$A$1:$R$1377,18,0)=1,IFERROR(INDEX(Fortnightly_Model!$D$2:$D$15,MATCH(G518,Fortnightly_Model!$B$2:$B$15,0)),0),IF(VLOOKUP($A518,Calendar!$A$1:$R$1377,18,0)=2,SUM(IFERROR(INDEX(Fortnightly_Model!$D$2:$D$15,MATCH(G518,Fortnightly_Model!$B$2:$B$15,0)),0),IFERROR(INDEX(Fortnightly_Model!$D$2:$D$15,MATCH(G519,Fortnightly_Model!$B$2:$B$15,0)),0)),IF(VLOOKUP($A518,Calendar!$A$1:$R$1377,18,0)=3,SUM(IFERROR(INDEX(Fortnightly_Model!$D$2:$D$15,MATCH(G518,Fortnightly_Model!$B$2:$B$15,0)),0),IFERROR(INDEX(Fortnightly_Model!$D$2:$D$15,MATCH(G519,Fortnightly_Model!$B$2:$B$15,0)),0),IFERROR(INDEX(Fortnightly_Model!$D$2:$D$15,MATCH(G520,Fortnightly_Model!$B$2:$B$15,0)),0)),IF(VLOOKUP($A518,Calendar!$A$1:$R$1377,18,0)=4,SUM(IFERROR(INDEX(Fortnightly_Model!$D$2:$D$15,MATCH(G518,Fortnightly_Model!$B$2:$B$15,0)),0),IFERROR(INDEX(Fortnightly_Model!$D$2:$D$15,MATCH(G519,Fortnightly_Model!$B$2:$B$15,0)),0),IFERROR(INDEX(Fortnightly_Model!$D$2:$D$15,MATCH(G520,Fortnightly_Model!$B$2:$B$15,0)),0),IFERROR(INDEX(Fortnightly_Model!$D$2:$D$15,MATCH(G521,Fortnightly_Model!$B$2:$B$15,0)),0)),IF(VLOOKUP($A518,Calendar!$A$1:$R$1377,18,0)=5,SUM(IFERROR(INDEX(Fortnightly_Model!$D$2:$D$15,MATCH(G518,Fortnightly_Model!$B$2:$B$15,0)),0),IFERROR(INDEX(Fortnightly_Model!$D$2:$D$15,MATCH(G519,Fortnightly_Model!$B$2:$B$15,0)),0),IFERROR(INDEX(Fortnightly_Model!$D$2:$D$15,MATCH(G520,Fortnightly_Model!$B$2:$B$15,0)),0),IFERROR(INDEX(Fortnightly_Model!$D$2:$D$15,MATCH(G521,Fortnightly_Model!$B$2:$B$15,0)),0),IFERROR(INDEX(Fortnightly_Model!$D$2:$D$15,MATCH(G522,Fortnightly_Model!$B$2:$B$15,0)),0)),0))))))</f>
        <v>1.0714285499999999E-3</v>
      </c>
      <c r="M518" s="27">
        <f>IF(VLOOKUP($A518,Calendar!$A$1:$R$1377,18,0)=0,0,IF(VLOOKUP($A518,Calendar!$A$1:$R$1377,18,0)=1,IFERROR(INDEX(FourWeekly_Model!$D$2:$D$29,MATCH(H518,FourWeekly_Model!$B$2:$B$29,0)),0),IF(VLOOKUP($A518,Calendar!$A$1:$R$1377,18,0)=2,SUM(IFERROR(INDEX(FourWeekly_Model!$D$2:$D$29,MATCH(H518,FourWeekly_Model!$B$2:$B$29,0)),0),IFERROR(INDEX(FourWeekly_Model!$D$2:$D$29,MATCH(H519,FourWeekly_Model!$B$2:$B$29,0)),0)),IF(VLOOKUP($A518,Calendar!$A$1:$R$1377,18,0)=3,SUM(IFERROR(INDEX(FourWeekly_Model!$D$2:$D$29,MATCH(H518,FourWeekly_Model!$B$2:$B$29,0)),0),IFERROR(INDEX(FourWeekly_Model!$D$2:$D$29,MATCH(H519,FourWeekly_Model!$B$2:$B$29,0)),0),IFERROR(INDEX(FourWeekly_Model!$D$2:$D$29,MATCH(H520,FourWeekly_Model!$B$2:$B$29,0)),0)),IF(VLOOKUP($A518,Calendar!$A$1:$R$1377,18,0)=4,SUM(IFERROR(INDEX(FourWeekly_Model!$D$2:$D$29,MATCH(H518,FourWeekly_Model!$B$2:$B$29,0)),0),IFERROR(INDEX(FourWeekly_Model!$D$2:$D$29,MATCH(H519,FourWeekly_Model!$B$2:$B$29,0)),0),IFERROR(INDEX(FourWeekly_Model!$D$2:$D$29,MATCH(H520,FourWeekly_Model!$B$2:$B$29,0)),0),IFERROR(INDEX(FourWeekly_Model!$D$2:$D$29,MATCH(H521,FourWeekly_Model!$B$2:$B$29,0)),0)),IF(VLOOKUP($A518,Calendar!$A$1:$R$1377,18,0)=5,SUM(IFERROR(INDEX(FourWeekly_Model!$D$2:$D$29,MATCH(H518,FourWeekly_Model!$B$2:$B$29,0)),0),IFERROR(INDEX(FourWeekly_Model!$D$2:$D$29,MATCH(H519,FourWeekly_Model!$B$2:$B$29,0)),0),IFERROR(INDEX(FourWeekly_Model!$D$2:$D$29,MATCH(H520,FourWeekly_Model!$B$2:$B$29,0)),0),IFERROR(INDEX(FourWeekly_Model!$D$2:$D$29,MATCH(H521,FourWeekly_Model!$B$2:$B$29,0)),0),IFERROR(INDEX(FourWeekly_Model!$D$2:$D$29,MATCH(H522,FourWeekly_Model!$B$2:$B$29,0)),0)),0))))))</f>
        <v>3.3214289700000004E-3</v>
      </c>
      <c r="N518" s="27">
        <f>SUM(I518:M518)</f>
        <v>8.6788250190157082E-2</v>
      </c>
      <c r="O518" s="28">
        <f>Population_Data!$B$8*N518</f>
        <v>2629683.9807617594</v>
      </c>
      <c r="P518" s="27">
        <f>IF(VLOOKUP($A518,Calendar!$A$1:$R$1377,18,0)=0,0,IF(VLOOKUP($A518,Calendar!$A$1:$R$1377,18,0)=1,IFERROR(INDEX(Pension_Model!$D$2:$D$29,MATCH(H518,Pension_Model!$B$2:$B$29,0)),0),IF(VLOOKUP($A518,Calendar!$A$1:$R$1377,18,0)=2,SUM(IFERROR(INDEX(Pension_Model!$D$2:$D$29,MATCH(H518,Pension_Model!$B$2:$B$29,0)),0),IFERROR(INDEX(Pension_Model!$D$2:$D$29,MATCH(H519,Pension_Model!$B$2:$B$29,0)),0)),IF(VLOOKUP($A518,Calendar!$A$1:$R$1377,18,0)=3,SUM(IFERROR(INDEX(Pension_Model!$D$2:$D$29,MATCH(H518,Pension_Model!$B$2:$B$29,0)),0),IFERROR(INDEX(Pension_Model!$D$2:$D$29,MATCH(H519,Pension_Model!$B$2:$B$29,0)),0),IFERROR(INDEX(Pension_Model!$D$2:$D$29,MATCH(H520,Pension_Model!$B$2:$B$29,0)),0)),IF(VLOOKUP($A518,Calendar!$A$1:$R$1377,18,0)=4,SUM(IFERROR(INDEX(Pension_Model!$D$2:$D$29,MATCH(H518,Pension_Model!$B$2:$B$29,0)),0),IFERROR(INDEX(Pension_Model!$D$2:$D$29,MATCH(H519,Pension_Model!$B$2:$B$29,0)),0),IFERROR(INDEX(Pension_Model!$D$2:$D$29,MATCH(H520,Pension_Model!$B$2:$B$29,0)),0),IFERROR(INDEX(Pension_Model!$D$2:$D$29,MATCH(H521,Pension_Model!$B$2:$B$29,0)),0)),IF(VLOOKUP($A518,Calendar!$A$1:$R$1377,18,0)=5,SUM(IFERROR(INDEX(Pension_Model!$D$2:$D$29,MATCH(H518,Pension_Model!$B$2:$B$29,0)),0),IFERROR(INDEX(Pension_Model!$D$2:$D$29,MATCH(H519,Pension_Model!$B$2:$B$29,0)),0),IFERROR(INDEX(Pension_Model!$D$2:$D$29,MATCH(H520,Pension_Model!$B$2:$B$29,0)),0),IFERROR(INDEX(Pension_Model!$D$2:$D$29,MATCH(H521,Pension_Model!$B$2:$B$29,0)),0),IFERROR(INDEX(Pension_Model!$D$2:$D$29,MATCH(H522,Pension_Model!$B$2:$B$29,0)),0)),0))))))</f>
        <v>0.05</v>
      </c>
      <c r="Q518" s="28">
        <f>Population_Data!$B$15*P518</f>
        <v>660600</v>
      </c>
      <c r="S518">
        <f t="shared" si="8"/>
        <v>3290283.9807617594</v>
      </c>
      <c r="U518" s="33">
        <f>S518/Population_Data!$B$19</f>
        <v>5.9606593854379698E-2</v>
      </c>
    </row>
    <row r="519" spans="1:21">
      <c r="A519" s="25">
        <f>Calendar!A519</f>
        <v>46752</v>
      </c>
      <c r="B519" t="str">
        <f>Calendar!L519</f>
        <v>Yes</v>
      </c>
      <c r="C519" t="str">
        <f>Calendar!O519</f>
        <v>Yes</v>
      </c>
      <c r="D519" t="str">
        <f>Calendar!P519</f>
        <v>Yes</v>
      </c>
      <c r="E519" t="str">
        <f>Calendar!Q519</f>
        <v>No</v>
      </c>
      <c r="F519" t="str">
        <f>Calendar!I519</f>
        <v>Friday</v>
      </c>
      <c r="G519">
        <f>Calendar!S519</f>
        <v>6</v>
      </c>
      <c r="H519">
        <f>Calendar!T519</f>
        <v>20</v>
      </c>
      <c r="I519" s="27">
        <f>IF(VLOOKUP(A519,Calendar!$A$1:$R$1377,18,0)=0,0,IF(VLOOKUP(A519,Calendar!$A$1:$R$1377,18,0)=1,INDEX(Monthly_Pay_Model!$A$9:$D$40,MATCH(TEXT(A519,"dd"),Monthly_Pay_Model!$C$9:$C$39,0),4),IF(VLOOKUP(A519,Calendar!$A$1:$R$1377,18,0)=2,SUM(INDEX(Monthly_Pay_Model!$A$9:$D$40,MATCH(TEXT(A519,"dd"),Monthly_Pay_Model!$C$9:$C$39,0),4),INDEX(Monthly_Pay_Model!$A$9:$D$40,MATCH(TEXT(A520,"dd"),Monthly_Pay_Model!$C$9:$C$39,0),4)),IF(VLOOKUP(A519,Calendar!$A$1:$R$1377,18,0)=3,SUM(INDEX(Monthly_Pay_Model!$A$9:$D$40,MATCH(TEXT(A519,"dd"),Monthly_Pay_Model!$C$9:$C$39,0),4),INDEX(Monthly_Pay_Model!$A$9:$D$40,MATCH(TEXT(A520,"dd"),Monthly_Pay_Model!$C$9:$C$39,0),4),INDEX(Monthly_Pay_Model!$A$9:$D$40,MATCH(TEXT(A521,"dd"),Monthly_Pay_Model!$C$9:$C$39,0),4)),IF(VLOOKUP(A519,Calendar!$A$1:$R$1377,18,0)=4,SUM(INDEX(Monthly_Pay_Model!$A$9:$D$40,MATCH(TEXT(A519,"dd"),Monthly_Pay_Model!$C$9:$C$39,0),4),INDEX(Monthly_Pay_Model!$A$9:$D$40,MATCH(TEXT(A520,"dd"),Monthly_Pay_Model!$C$9:$C$39,0),4),INDEX(Monthly_Pay_Model!$A$9:$D$40,MATCH(TEXT(A521,"dd"),Monthly_Pay_Model!$C$9:$C$39,0),4),INDEX(Monthly_Pay_Model!$A$9:$D$40,MATCH(TEXT(A522,"dd"),Monthly_Pay_Model!$C$9:$C$39,0),4)),IF(VLOOKUP(A519,Calendar!$A$1:$R$1377,18,0)=5,SUM(INDEX(Monthly_Pay_Model!$A$9:$D$40,MATCH(TEXT(A519,"dd"),Monthly_Pay_Model!$C$9:$C$39,0),4),INDEX(Monthly_Pay_Model!$A$9:$D$40,MATCH(TEXT(A520,"dd"),Monthly_Pay_Model!$C$9:$C$39,0),4),INDEX(Monthly_Pay_Model!$A$9:$D$40,MATCH(TEXT(A521,"dd"),Monthly_Pay_Model!$C$9:$C$39,0),4),INDEX(Monthly_Pay_Model!$A$9:$D$40,MATCH(TEXT(A522,"dd"),Monthly_Pay_Model!$C$9:$C$39,0),4),INDEX(Monthly_Pay_Model!$A$9:$D$40,MATCH(TEXT(A523,"dd"),Monthly_Pay_Model!$C$9:$C$39,0),4)),))))))</f>
        <v>1.1375916230366493E-2</v>
      </c>
      <c r="J519" s="33">
        <f>IF(C519="Yes",Monthly_Pay_Model!$D$2,0)
+IF(Calendar!N519="Yes",Monthly_Pay_Model!$D$3,0)
+IF(D519="Yes",Monthly_Pay_Model!$D$4,0)
+IF(E519="Yes",Monthly_Pay_Model!$D$5,0)</f>
        <v>0.56647999999999998</v>
      </c>
      <c r="K519" s="27">
        <f>IF(VLOOKUP($A519,Calendar!$A$1:$R$1377,18,0)=0,0,IF(VLOOKUP($A519,Calendar!$A$1:$R$1377,18,0)=1,IFERROR(INDEX(Weekly_Model!$D$2:$D$9,MATCH(F519,Weekly_Model!$A$2:$A$9,0)),0),IF(VLOOKUP($A519,Calendar!$A$1:$R$1377,18,0)=2,SUM(IFERROR(INDEX(Weekly_Model!$D$2:$D$9,MATCH(F519,Weekly_Model!$A$2:$A$9,0)),0),IFERROR(INDEX(Weekly_Model!$D$2:$D$9,MATCH(F520,Weekly_Model!$A$2:$A$9,0)),0)),IF(VLOOKUP($A519,Calendar!$A$1:$R$1377,18,0)=3,SUM(IFERROR(INDEX(Weekly_Model!$D$2:$D$9,MATCH(F519,Weekly_Model!$A$2:$A$9,0)),0),IFERROR(INDEX(Weekly_Model!$D$2:$D$9,MATCH(F520,Weekly_Model!$A$2:$A$9,0)),0),IFERROR(INDEX(Weekly_Model!$D$2:$D$9,MATCH(F521,Weekly_Model!$A$2:$A$9,0)),0)),IF(VLOOKUP($A519,Calendar!$A$1:$R$1377,18,0)=4,SUM(IFERROR(INDEX(Weekly_Model!$D$2:$D$9,MATCH(F519,Weekly_Model!$A$2:$A$9,0)),0),IFERROR(INDEX(Weekly_Model!$D$2:$D$9,MATCH(F520,Weekly_Model!$A$2:$A$9,0)),0),IFERROR(INDEX(Weekly_Model!$D$2:$D$9,MATCH(F521,Weekly_Model!$A$2:$A$9,0)),0),IFERROR(INDEX(Weekly_Model!$D$2:$D$9,MATCH(F522,Weekly_Model!$A$2:$A$9,0)),0)),IF(VLOOKUP($A519,Calendar!$A$1:$R$1377,18,0)=5,SUM(IFERROR(INDEX(Weekly_Model!$D$2:$D$9,MATCH(F519,Weekly_Model!$A$2:$A$9,0)),0),IFERROR(INDEX(Weekly_Model!$D$2:$D$9,MATCH(F520,Weekly_Model!$A$2:$A$9,0)),0),IFERROR(INDEX(Weekly_Model!$D$2:$D$9,MATCH(F521,Weekly_Model!$A$2:$A$9,0)),0),IFERROR(INDEX(Weekly_Model!$D$2:$D$9,MATCH(F522,Weekly_Model!$A$2:$A$9,0)),0),IFERROR(INDEX(Weekly_Model!$D$2:$D$9,MATCH(F523,Weekly_Model!$A$2:$A$9,0)),0)),0))))))</f>
        <v>4.6400000000000004E-2</v>
      </c>
      <c r="L519" s="27">
        <f>IF(VLOOKUP($A519,Calendar!$A$1:$R$1377,18,0)=0,0,IF(VLOOKUP($A519,Calendar!$A$1:$R$1377,18,0)=1,IFERROR(INDEX(Fortnightly_Model!$D$2:$D$15,MATCH(G519,Fortnightly_Model!$B$2:$B$15,0)),0),IF(VLOOKUP($A519,Calendar!$A$1:$R$1377,18,0)=2,SUM(IFERROR(INDEX(Fortnightly_Model!$D$2:$D$15,MATCH(G519,Fortnightly_Model!$B$2:$B$15,0)),0),IFERROR(INDEX(Fortnightly_Model!$D$2:$D$15,MATCH(G520,Fortnightly_Model!$B$2:$B$15,0)),0)),IF(VLOOKUP($A519,Calendar!$A$1:$R$1377,18,0)=3,SUM(IFERROR(INDEX(Fortnightly_Model!$D$2:$D$15,MATCH(G519,Fortnightly_Model!$B$2:$B$15,0)),0),IFERROR(INDEX(Fortnightly_Model!$D$2:$D$15,MATCH(G520,Fortnightly_Model!$B$2:$B$15,0)),0),IFERROR(INDEX(Fortnightly_Model!$D$2:$D$15,MATCH(G521,Fortnightly_Model!$B$2:$B$15,0)),0)),IF(VLOOKUP($A519,Calendar!$A$1:$R$1377,18,0)=4,SUM(IFERROR(INDEX(Fortnightly_Model!$D$2:$D$15,MATCH(G519,Fortnightly_Model!$B$2:$B$15,0)),0),IFERROR(INDEX(Fortnightly_Model!$D$2:$D$15,MATCH(G520,Fortnightly_Model!$B$2:$B$15,0)),0),IFERROR(INDEX(Fortnightly_Model!$D$2:$D$15,MATCH(G521,Fortnightly_Model!$B$2:$B$15,0)),0),IFERROR(INDEX(Fortnightly_Model!$D$2:$D$15,MATCH(G522,Fortnightly_Model!$B$2:$B$15,0)),0)),IF(VLOOKUP($A519,Calendar!$A$1:$R$1377,18,0)=5,SUM(IFERROR(INDEX(Fortnightly_Model!$D$2:$D$15,MATCH(G519,Fortnightly_Model!$B$2:$B$15,0)),0),IFERROR(INDEX(Fortnightly_Model!$D$2:$D$15,MATCH(G520,Fortnightly_Model!$B$2:$B$15,0)),0),IFERROR(INDEX(Fortnightly_Model!$D$2:$D$15,MATCH(G521,Fortnightly_Model!$B$2:$B$15,0)),0),IFERROR(INDEX(Fortnightly_Model!$D$2:$D$15,MATCH(G522,Fortnightly_Model!$B$2:$B$15,0)),0),IFERROR(INDEX(Fortnightly_Model!$D$2:$D$15,MATCH(G523,Fortnightly_Model!$B$2:$B$15,0)),0)),0))))))</f>
        <v>4.2857141999999996E-3</v>
      </c>
      <c r="M519" s="27">
        <f>IF(VLOOKUP($A519,Calendar!$A$1:$R$1377,18,0)=0,0,IF(VLOOKUP($A519,Calendar!$A$1:$R$1377,18,0)=1,IFERROR(INDEX(FourWeekly_Model!$D$2:$D$29,MATCH(H519,FourWeekly_Model!$B$2:$B$29,0)),0),IF(VLOOKUP($A519,Calendar!$A$1:$R$1377,18,0)=2,SUM(IFERROR(INDEX(FourWeekly_Model!$D$2:$D$29,MATCH(H519,FourWeekly_Model!$B$2:$B$29,0)),0),IFERROR(INDEX(FourWeekly_Model!$D$2:$D$29,MATCH(H520,FourWeekly_Model!$B$2:$B$29,0)),0)),IF(VLOOKUP($A519,Calendar!$A$1:$R$1377,18,0)=3,SUM(IFERROR(INDEX(FourWeekly_Model!$D$2:$D$29,MATCH(H519,FourWeekly_Model!$B$2:$B$29,0)),0),IFERROR(INDEX(FourWeekly_Model!$D$2:$D$29,MATCH(H520,FourWeekly_Model!$B$2:$B$29,0)),0),IFERROR(INDEX(FourWeekly_Model!$D$2:$D$29,MATCH(H521,FourWeekly_Model!$B$2:$B$29,0)),0)),IF(VLOOKUP($A519,Calendar!$A$1:$R$1377,18,0)=4,SUM(IFERROR(INDEX(FourWeekly_Model!$D$2:$D$29,MATCH(H519,FourWeekly_Model!$B$2:$B$29,0)),0),IFERROR(INDEX(FourWeekly_Model!$D$2:$D$29,MATCH(H520,FourWeekly_Model!$B$2:$B$29,0)),0),IFERROR(INDEX(FourWeekly_Model!$D$2:$D$29,MATCH(H521,FourWeekly_Model!$B$2:$B$29,0)),0),IFERROR(INDEX(FourWeekly_Model!$D$2:$D$29,MATCH(H522,FourWeekly_Model!$B$2:$B$29,0)),0)),IF(VLOOKUP($A519,Calendar!$A$1:$R$1377,18,0)=5,SUM(IFERROR(INDEX(FourWeekly_Model!$D$2:$D$29,MATCH(H519,FourWeekly_Model!$B$2:$B$29,0)),0),IFERROR(INDEX(FourWeekly_Model!$D$2:$D$29,MATCH(H520,FourWeekly_Model!$B$2:$B$29,0)),0),IFERROR(INDEX(FourWeekly_Model!$D$2:$D$29,MATCH(H521,FourWeekly_Model!$B$2:$B$29,0)),0),IFERROR(INDEX(FourWeekly_Model!$D$2:$D$29,MATCH(H522,FourWeekly_Model!$B$2:$B$29,0)),0),IFERROR(INDEX(FourWeekly_Model!$D$2:$D$29,MATCH(H523,FourWeekly_Model!$B$2:$B$29,0)),0)),0))))))</f>
        <v>1.3285714950000001E-2</v>
      </c>
      <c r="N519" s="27">
        <f>SUM(I519:M519)</f>
        <v>0.64182734538036645</v>
      </c>
      <c r="O519" s="28">
        <f>Population_Data!$B$8*N519</f>
        <v>19447368.565025102</v>
      </c>
      <c r="P519" s="27">
        <f>IF(VLOOKUP($A519,Calendar!$A$1:$R$1377,18,0)=0,0,IF(VLOOKUP($A519,Calendar!$A$1:$R$1377,18,0)=1,IFERROR(INDEX(Pension_Model!$D$2:$D$29,MATCH(H519,Pension_Model!$B$2:$B$29,0)),0),IF(VLOOKUP($A519,Calendar!$A$1:$R$1377,18,0)=2,SUM(IFERROR(INDEX(Pension_Model!$D$2:$D$29,MATCH(H519,Pension_Model!$B$2:$B$29,0)),0),IFERROR(INDEX(Pension_Model!$D$2:$D$29,MATCH(H520,Pension_Model!$B$2:$B$29,0)),0)),IF(VLOOKUP($A519,Calendar!$A$1:$R$1377,18,0)=3,SUM(IFERROR(INDEX(Pension_Model!$D$2:$D$29,MATCH(H519,Pension_Model!$B$2:$B$29,0)),0),IFERROR(INDEX(Pension_Model!$D$2:$D$29,MATCH(H520,Pension_Model!$B$2:$B$29,0)),0),IFERROR(INDEX(Pension_Model!$D$2:$D$29,MATCH(H521,Pension_Model!$B$2:$B$29,0)),0)),IF(VLOOKUP($A519,Calendar!$A$1:$R$1377,18,0)=4,SUM(IFERROR(INDEX(Pension_Model!$D$2:$D$29,MATCH(H519,Pension_Model!$B$2:$B$29,0)),0),IFERROR(INDEX(Pension_Model!$D$2:$D$29,MATCH(H520,Pension_Model!$B$2:$B$29,0)),0),IFERROR(INDEX(Pension_Model!$D$2:$D$29,MATCH(H521,Pension_Model!$B$2:$B$29,0)),0),IFERROR(INDEX(Pension_Model!$D$2:$D$29,MATCH(H522,Pension_Model!$B$2:$B$29,0)),0)),IF(VLOOKUP($A519,Calendar!$A$1:$R$1377,18,0)=5,SUM(IFERROR(INDEX(Pension_Model!$D$2:$D$29,MATCH(H519,Pension_Model!$B$2:$B$29,0)),0),IFERROR(INDEX(Pension_Model!$D$2:$D$29,MATCH(H520,Pension_Model!$B$2:$B$29,0)),0),IFERROR(INDEX(Pension_Model!$D$2:$D$29,MATCH(H521,Pension_Model!$B$2:$B$29,0)),0),IFERROR(INDEX(Pension_Model!$D$2:$D$29,MATCH(H522,Pension_Model!$B$2:$B$29,0)),0),IFERROR(INDEX(Pension_Model!$D$2:$D$29,MATCH(H523,Pension_Model!$B$2:$B$29,0)),0)),0))))))</f>
        <v>0.1</v>
      </c>
      <c r="Q519" s="28">
        <f>Population_Data!$B$15*P519</f>
        <v>1321200</v>
      </c>
      <c r="S519">
        <f t="shared" si="8"/>
        <v>20768568.565025102</v>
      </c>
      <c r="U519" s="33">
        <f>S519/Population_Data!$B$19</f>
        <v>0.37624218414900545</v>
      </c>
    </row>
    <row r="520" spans="1:21">
      <c r="A520" s="25">
        <f>Calendar!A520</f>
        <v>46753</v>
      </c>
      <c r="B520" t="str">
        <f>Calendar!L520</f>
        <v>No</v>
      </c>
      <c r="C520" t="str">
        <f>Calendar!O520</f>
        <v>No</v>
      </c>
      <c r="D520" t="str">
        <f>Calendar!P520</f>
        <v>No</v>
      </c>
      <c r="E520" t="str">
        <f>Calendar!Q520</f>
        <v>No</v>
      </c>
      <c r="F520" t="str">
        <f>Calendar!I520</f>
        <v>Saturday</v>
      </c>
      <c r="G520">
        <f>Calendar!S520</f>
        <v>7</v>
      </c>
      <c r="H520">
        <f>Calendar!T520</f>
        <v>21</v>
      </c>
      <c r="I520" s="27">
        <f>IF(VLOOKUP(A520,Calendar!$A$1:$R$1377,18,0)=0,0,IF(VLOOKUP(A520,Calendar!$A$1:$R$1377,18,0)=1,INDEX(Monthly_Pay_Model!$A$9:$D$40,MATCH(TEXT(A520,"dd"),Monthly_Pay_Model!$C$9:$C$39,0),4),IF(VLOOKUP(A520,Calendar!$A$1:$R$1377,18,0)=2,SUM(INDEX(Monthly_Pay_Model!$A$9:$D$40,MATCH(TEXT(A520,"dd"),Monthly_Pay_Model!$C$9:$C$39,0),4),INDEX(Monthly_Pay_Model!$A$9:$D$40,MATCH(TEXT(A521,"dd"),Monthly_Pay_Model!$C$9:$C$39,0),4)),IF(VLOOKUP(A520,Calendar!$A$1:$R$1377,18,0)=3,SUM(INDEX(Monthly_Pay_Model!$A$9:$D$40,MATCH(TEXT(A520,"dd"),Monthly_Pay_Model!$C$9:$C$39,0),4),INDEX(Monthly_Pay_Model!$A$9:$D$40,MATCH(TEXT(A521,"dd"),Monthly_Pay_Model!$C$9:$C$39,0),4),INDEX(Monthly_Pay_Model!$A$9:$D$40,MATCH(TEXT(A522,"dd"),Monthly_Pay_Model!$C$9:$C$39,0),4)),IF(VLOOKUP(A520,Calendar!$A$1:$R$1377,18,0)=4,SUM(INDEX(Monthly_Pay_Model!$A$9:$D$40,MATCH(TEXT(A520,"dd"),Monthly_Pay_Model!$C$9:$C$39,0),4),INDEX(Monthly_Pay_Model!$A$9:$D$40,MATCH(TEXT(A521,"dd"),Monthly_Pay_Model!$C$9:$C$39,0),4),INDEX(Monthly_Pay_Model!$A$9:$D$40,MATCH(TEXT(A522,"dd"),Monthly_Pay_Model!$C$9:$C$39,0),4),INDEX(Monthly_Pay_Model!$A$9:$D$40,MATCH(TEXT(A523,"dd"),Monthly_Pay_Model!$C$9:$C$39,0),4)),IF(VLOOKUP(A520,Calendar!$A$1:$R$1377,18,0)=5,SUM(INDEX(Monthly_Pay_Model!$A$9:$D$40,MATCH(TEXT(A520,"dd"),Monthly_Pay_Model!$C$9:$C$39,0),4),INDEX(Monthly_Pay_Model!$A$9:$D$40,MATCH(TEXT(A521,"dd"),Monthly_Pay_Model!$C$9:$C$39,0),4),INDEX(Monthly_Pay_Model!$A$9:$D$40,MATCH(TEXT(A522,"dd"),Monthly_Pay_Model!$C$9:$C$39,0),4),INDEX(Monthly_Pay_Model!$A$9:$D$40,MATCH(TEXT(A523,"dd"),Monthly_Pay_Model!$C$9:$C$39,0),4),INDEX(Monthly_Pay_Model!$A$9:$D$40,MATCH(TEXT(A524,"dd"),Monthly_Pay_Model!$C$9:$C$39,0),4)),))))))</f>
        <v>0</v>
      </c>
      <c r="J520" s="33">
        <f>IF(C520="Yes",Monthly_Pay_Model!$D$2,0)
+IF(Calendar!N520="Yes",Monthly_Pay_Model!$D$3,0)
+IF(D520="Yes",Monthly_Pay_Model!$D$4,0)
+IF(E520="Yes",Monthly_Pay_Model!$D$5,0)</f>
        <v>0</v>
      </c>
      <c r="K520" s="27">
        <f>IF(VLOOKUP($A520,Calendar!$A$1:$R$1377,18,0)=0,0,IF(VLOOKUP($A520,Calendar!$A$1:$R$1377,18,0)=1,IFERROR(INDEX(Weekly_Model!$D$2:$D$9,MATCH(F520,Weekly_Model!$A$2:$A$9,0)),0),IF(VLOOKUP($A520,Calendar!$A$1:$R$1377,18,0)=2,SUM(IFERROR(INDEX(Weekly_Model!$D$2:$D$9,MATCH(F520,Weekly_Model!$A$2:$A$9,0)),0),IFERROR(INDEX(Weekly_Model!$D$2:$D$9,MATCH(F521,Weekly_Model!$A$2:$A$9,0)),0)),IF(VLOOKUP($A520,Calendar!$A$1:$R$1377,18,0)=3,SUM(IFERROR(INDEX(Weekly_Model!$D$2:$D$9,MATCH(F520,Weekly_Model!$A$2:$A$9,0)),0),IFERROR(INDEX(Weekly_Model!$D$2:$D$9,MATCH(F521,Weekly_Model!$A$2:$A$9,0)),0),IFERROR(INDEX(Weekly_Model!$D$2:$D$9,MATCH(F522,Weekly_Model!$A$2:$A$9,0)),0)),IF(VLOOKUP($A520,Calendar!$A$1:$R$1377,18,0)=4,SUM(IFERROR(INDEX(Weekly_Model!$D$2:$D$9,MATCH(F520,Weekly_Model!$A$2:$A$9,0)),0),IFERROR(INDEX(Weekly_Model!$D$2:$D$9,MATCH(F521,Weekly_Model!$A$2:$A$9,0)),0),IFERROR(INDEX(Weekly_Model!$D$2:$D$9,MATCH(F522,Weekly_Model!$A$2:$A$9,0)),0),IFERROR(INDEX(Weekly_Model!$D$2:$D$9,MATCH(F523,Weekly_Model!$A$2:$A$9,0)),0)),IF(VLOOKUP($A520,Calendar!$A$1:$R$1377,18,0)=5,SUM(IFERROR(INDEX(Weekly_Model!$D$2:$D$9,MATCH(F520,Weekly_Model!$A$2:$A$9,0)),0),IFERROR(INDEX(Weekly_Model!$D$2:$D$9,MATCH(F521,Weekly_Model!$A$2:$A$9,0)),0),IFERROR(INDEX(Weekly_Model!$D$2:$D$9,MATCH(F522,Weekly_Model!$A$2:$A$9,0)),0),IFERROR(INDEX(Weekly_Model!$D$2:$D$9,MATCH(F523,Weekly_Model!$A$2:$A$9,0)),0),IFERROR(INDEX(Weekly_Model!$D$2:$D$9,MATCH(F524,Weekly_Model!$A$2:$A$9,0)),0)),0))))))</f>
        <v>0</v>
      </c>
      <c r="L520" s="27">
        <f>IF(VLOOKUP($A520,Calendar!$A$1:$R$1377,18,0)=0,0,IF(VLOOKUP($A520,Calendar!$A$1:$R$1377,18,0)=1,IFERROR(INDEX(Fortnightly_Model!$D$2:$D$15,MATCH(G520,Fortnightly_Model!$B$2:$B$15,0)),0),IF(VLOOKUP($A520,Calendar!$A$1:$R$1377,18,0)=2,SUM(IFERROR(INDEX(Fortnightly_Model!$D$2:$D$15,MATCH(G520,Fortnightly_Model!$B$2:$B$15,0)),0),IFERROR(INDEX(Fortnightly_Model!$D$2:$D$15,MATCH(G521,Fortnightly_Model!$B$2:$B$15,0)),0)),IF(VLOOKUP($A520,Calendar!$A$1:$R$1377,18,0)=3,SUM(IFERROR(INDEX(Fortnightly_Model!$D$2:$D$15,MATCH(G520,Fortnightly_Model!$B$2:$B$15,0)),0),IFERROR(INDEX(Fortnightly_Model!$D$2:$D$15,MATCH(G521,Fortnightly_Model!$B$2:$B$15,0)),0),IFERROR(INDEX(Fortnightly_Model!$D$2:$D$15,MATCH(G522,Fortnightly_Model!$B$2:$B$15,0)),0)),IF(VLOOKUP($A520,Calendar!$A$1:$R$1377,18,0)=4,SUM(IFERROR(INDEX(Fortnightly_Model!$D$2:$D$15,MATCH(G520,Fortnightly_Model!$B$2:$B$15,0)),0),IFERROR(INDEX(Fortnightly_Model!$D$2:$D$15,MATCH(G521,Fortnightly_Model!$B$2:$B$15,0)),0),IFERROR(INDEX(Fortnightly_Model!$D$2:$D$15,MATCH(G522,Fortnightly_Model!$B$2:$B$15,0)),0),IFERROR(INDEX(Fortnightly_Model!$D$2:$D$15,MATCH(G523,Fortnightly_Model!$B$2:$B$15,0)),0)),IF(VLOOKUP($A520,Calendar!$A$1:$R$1377,18,0)=5,SUM(IFERROR(INDEX(Fortnightly_Model!$D$2:$D$15,MATCH(G520,Fortnightly_Model!$B$2:$B$15,0)),0),IFERROR(INDEX(Fortnightly_Model!$D$2:$D$15,MATCH(G521,Fortnightly_Model!$B$2:$B$15,0)),0),IFERROR(INDEX(Fortnightly_Model!$D$2:$D$15,MATCH(G522,Fortnightly_Model!$B$2:$B$15,0)),0),IFERROR(INDEX(Fortnightly_Model!$D$2:$D$15,MATCH(G523,Fortnightly_Model!$B$2:$B$15,0)),0),IFERROR(INDEX(Fortnightly_Model!$D$2:$D$15,MATCH(G524,Fortnightly_Model!$B$2:$B$15,0)),0)),0))))))</f>
        <v>0</v>
      </c>
      <c r="M520" s="27">
        <f>IF(VLOOKUP($A520,Calendar!$A$1:$R$1377,18,0)=0,0,IF(VLOOKUP($A520,Calendar!$A$1:$R$1377,18,0)=1,IFERROR(INDEX(FourWeekly_Model!$D$2:$D$29,MATCH(H520,FourWeekly_Model!$B$2:$B$29,0)),0),IF(VLOOKUP($A520,Calendar!$A$1:$R$1377,18,0)=2,SUM(IFERROR(INDEX(FourWeekly_Model!$D$2:$D$29,MATCH(H520,FourWeekly_Model!$B$2:$B$29,0)),0),IFERROR(INDEX(FourWeekly_Model!$D$2:$D$29,MATCH(H521,FourWeekly_Model!$B$2:$B$29,0)),0)),IF(VLOOKUP($A520,Calendar!$A$1:$R$1377,18,0)=3,SUM(IFERROR(INDEX(FourWeekly_Model!$D$2:$D$29,MATCH(H520,FourWeekly_Model!$B$2:$B$29,0)),0),IFERROR(INDEX(FourWeekly_Model!$D$2:$D$29,MATCH(H521,FourWeekly_Model!$B$2:$B$29,0)),0),IFERROR(INDEX(FourWeekly_Model!$D$2:$D$29,MATCH(H522,FourWeekly_Model!$B$2:$B$29,0)),0)),IF(VLOOKUP($A520,Calendar!$A$1:$R$1377,18,0)=4,SUM(IFERROR(INDEX(FourWeekly_Model!$D$2:$D$29,MATCH(H520,FourWeekly_Model!$B$2:$B$29,0)),0),IFERROR(INDEX(FourWeekly_Model!$D$2:$D$29,MATCH(H521,FourWeekly_Model!$B$2:$B$29,0)),0),IFERROR(INDEX(FourWeekly_Model!$D$2:$D$29,MATCH(H522,FourWeekly_Model!$B$2:$B$29,0)),0),IFERROR(INDEX(FourWeekly_Model!$D$2:$D$29,MATCH(H523,FourWeekly_Model!$B$2:$B$29,0)),0)),IF(VLOOKUP($A520,Calendar!$A$1:$R$1377,18,0)=5,SUM(IFERROR(INDEX(FourWeekly_Model!$D$2:$D$29,MATCH(H520,FourWeekly_Model!$B$2:$B$29,0)),0),IFERROR(INDEX(FourWeekly_Model!$D$2:$D$29,MATCH(H521,FourWeekly_Model!$B$2:$B$29,0)),0),IFERROR(INDEX(FourWeekly_Model!$D$2:$D$29,MATCH(H522,FourWeekly_Model!$B$2:$B$29,0)),0),IFERROR(INDEX(FourWeekly_Model!$D$2:$D$29,MATCH(H523,FourWeekly_Model!$B$2:$B$29,0)),0),IFERROR(INDEX(FourWeekly_Model!$D$2:$D$29,MATCH(H524,FourWeekly_Model!$B$2:$B$29,0)),0)),0))))))</f>
        <v>0</v>
      </c>
      <c r="N520" s="27">
        <f>SUM(I520:M520)</f>
        <v>0</v>
      </c>
      <c r="O520" s="28">
        <f>Population_Data!$B$8*N520</f>
        <v>0</v>
      </c>
      <c r="P520" s="27">
        <f>IF(VLOOKUP($A520,Calendar!$A$1:$R$1377,18,0)=0,0,IF(VLOOKUP($A520,Calendar!$A$1:$R$1377,18,0)=1,IFERROR(INDEX(Pension_Model!$D$2:$D$29,MATCH(H520,Pension_Model!$B$2:$B$29,0)),0),IF(VLOOKUP($A520,Calendar!$A$1:$R$1377,18,0)=2,SUM(IFERROR(INDEX(Pension_Model!$D$2:$D$29,MATCH(H520,Pension_Model!$B$2:$B$29,0)),0),IFERROR(INDEX(Pension_Model!$D$2:$D$29,MATCH(H521,Pension_Model!$B$2:$B$29,0)),0)),IF(VLOOKUP($A520,Calendar!$A$1:$R$1377,18,0)=3,SUM(IFERROR(INDEX(Pension_Model!$D$2:$D$29,MATCH(H520,Pension_Model!$B$2:$B$29,0)),0),IFERROR(INDEX(Pension_Model!$D$2:$D$29,MATCH(H521,Pension_Model!$B$2:$B$29,0)),0),IFERROR(INDEX(Pension_Model!$D$2:$D$29,MATCH(H522,Pension_Model!$B$2:$B$29,0)),0)),IF(VLOOKUP($A520,Calendar!$A$1:$R$1377,18,0)=4,SUM(IFERROR(INDEX(Pension_Model!$D$2:$D$29,MATCH(H520,Pension_Model!$B$2:$B$29,0)),0),IFERROR(INDEX(Pension_Model!$D$2:$D$29,MATCH(H521,Pension_Model!$B$2:$B$29,0)),0),IFERROR(INDEX(Pension_Model!$D$2:$D$29,MATCH(H522,Pension_Model!$B$2:$B$29,0)),0),IFERROR(INDEX(Pension_Model!$D$2:$D$29,MATCH(H523,Pension_Model!$B$2:$B$29,0)),0)),IF(VLOOKUP($A520,Calendar!$A$1:$R$1377,18,0)=5,SUM(IFERROR(INDEX(Pension_Model!$D$2:$D$29,MATCH(H520,Pension_Model!$B$2:$B$29,0)),0),IFERROR(INDEX(Pension_Model!$D$2:$D$29,MATCH(H521,Pension_Model!$B$2:$B$29,0)),0),IFERROR(INDEX(Pension_Model!$D$2:$D$29,MATCH(H522,Pension_Model!$B$2:$B$29,0)),0),IFERROR(INDEX(Pension_Model!$D$2:$D$29,MATCH(H523,Pension_Model!$B$2:$B$29,0)),0),IFERROR(INDEX(Pension_Model!$D$2:$D$29,MATCH(H524,Pension_Model!$B$2:$B$29,0)),0)),0))))))</f>
        <v>0</v>
      </c>
      <c r="Q520" s="28">
        <f>Population_Data!$B$15*P520</f>
        <v>0</v>
      </c>
      <c r="S520">
        <f t="shared" si="8"/>
        <v>0</v>
      </c>
      <c r="U520" s="33">
        <f>S520/Population_Data!$B$19</f>
        <v>0</v>
      </c>
    </row>
    <row r="521" spans="1:21">
      <c r="A521" s="25">
        <f>Calendar!A521</f>
        <v>46754</v>
      </c>
      <c r="B521" t="str">
        <f>Calendar!L521</f>
        <v>No</v>
      </c>
      <c r="C521" t="str">
        <f>Calendar!O521</f>
        <v>No</v>
      </c>
      <c r="D521" t="str">
        <f>Calendar!P521</f>
        <v>No</v>
      </c>
      <c r="E521" t="str">
        <f>Calendar!Q521</f>
        <v>No</v>
      </c>
      <c r="F521" t="str">
        <f>Calendar!I521</f>
        <v>Sunday</v>
      </c>
      <c r="G521">
        <f>Calendar!S521</f>
        <v>8</v>
      </c>
      <c r="H521">
        <f>Calendar!T521</f>
        <v>22</v>
      </c>
      <c r="I521" s="27">
        <f>IF(VLOOKUP(A521,Calendar!$A$1:$R$1377,18,0)=0,0,IF(VLOOKUP(A521,Calendar!$A$1:$R$1377,18,0)=1,INDEX(Monthly_Pay_Model!$A$9:$D$40,MATCH(TEXT(A521,"dd"),Monthly_Pay_Model!$C$9:$C$39,0),4),IF(VLOOKUP(A521,Calendar!$A$1:$R$1377,18,0)=2,SUM(INDEX(Monthly_Pay_Model!$A$9:$D$40,MATCH(TEXT(A521,"dd"),Monthly_Pay_Model!$C$9:$C$39,0),4),INDEX(Monthly_Pay_Model!$A$9:$D$40,MATCH(TEXT(A522,"dd"),Monthly_Pay_Model!$C$9:$C$39,0),4)),IF(VLOOKUP(A521,Calendar!$A$1:$R$1377,18,0)=3,SUM(INDEX(Monthly_Pay_Model!$A$9:$D$40,MATCH(TEXT(A521,"dd"),Monthly_Pay_Model!$C$9:$C$39,0),4),INDEX(Monthly_Pay_Model!$A$9:$D$40,MATCH(TEXT(A522,"dd"),Monthly_Pay_Model!$C$9:$C$39,0),4),INDEX(Monthly_Pay_Model!$A$9:$D$40,MATCH(TEXT(A523,"dd"),Monthly_Pay_Model!$C$9:$C$39,0),4)),IF(VLOOKUP(A521,Calendar!$A$1:$R$1377,18,0)=4,SUM(INDEX(Monthly_Pay_Model!$A$9:$D$40,MATCH(TEXT(A521,"dd"),Monthly_Pay_Model!$C$9:$C$39,0),4),INDEX(Monthly_Pay_Model!$A$9:$D$40,MATCH(TEXT(A522,"dd"),Monthly_Pay_Model!$C$9:$C$39,0),4),INDEX(Monthly_Pay_Model!$A$9:$D$40,MATCH(TEXT(A523,"dd"),Monthly_Pay_Model!$C$9:$C$39,0),4),INDEX(Monthly_Pay_Model!$A$9:$D$40,MATCH(TEXT(A524,"dd"),Monthly_Pay_Model!$C$9:$C$39,0),4)),IF(VLOOKUP(A521,Calendar!$A$1:$R$1377,18,0)=5,SUM(INDEX(Monthly_Pay_Model!$A$9:$D$40,MATCH(TEXT(A521,"dd"),Monthly_Pay_Model!$C$9:$C$39,0),4),INDEX(Monthly_Pay_Model!$A$9:$D$40,MATCH(TEXT(A522,"dd"),Monthly_Pay_Model!$C$9:$C$39,0),4),INDEX(Monthly_Pay_Model!$A$9:$D$40,MATCH(TEXT(A523,"dd"),Monthly_Pay_Model!$C$9:$C$39,0),4),INDEX(Monthly_Pay_Model!$A$9:$D$40,MATCH(TEXT(A524,"dd"),Monthly_Pay_Model!$C$9:$C$39,0),4),INDEX(Monthly_Pay_Model!$A$9:$D$40,MATCH(TEXT(A525,"dd"),Monthly_Pay_Model!$C$9:$C$39,0),4)),))))))</f>
        <v>0</v>
      </c>
      <c r="J521" s="33">
        <f>IF(C521="Yes",Monthly_Pay_Model!$D$2,0)
+IF(Calendar!N521="Yes",Monthly_Pay_Model!$D$3,0)
+IF(D521="Yes",Monthly_Pay_Model!$D$4,0)
+IF(E521="Yes",Monthly_Pay_Model!$D$5,0)</f>
        <v>0</v>
      </c>
      <c r="K521" s="27">
        <f>IF(VLOOKUP($A521,Calendar!$A$1:$R$1377,18,0)=0,0,IF(VLOOKUP($A521,Calendar!$A$1:$R$1377,18,0)=1,IFERROR(INDEX(Weekly_Model!$D$2:$D$9,MATCH(F521,Weekly_Model!$A$2:$A$9,0)),0),IF(VLOOKUP($A521,Calendar!$A$1:$R$1377,18,0)=2,SUM(IFERROR(INDEX(Weekly_Model!$D$2:$D$9,MATCH(F521,Weekly_Model!$A$2:$A$9,0)),0),IFERROR(INDEX(Weekly_Model!$D$2:$D$9,MATCH(F522,Weekly_Model!$A$2:$A$9,0)),0)),IF(VLOOKUP($A521,Calendar!$A$1:$R$1377,18,0)=3,SUM(IFERROR(INDEX(Weekly_Model!$D$2:$D$9,MATCH(F521,Weekly_Model!$A$2:$A$9,0)),0),IFERROR(INDEX(Weekly_Model!$D$2:$D$9,MATCH(F522,Weekly_Model!$A$2:$A$9,0)),0),IFERROR(INDEX(Weekly_Model!$D$2:$D$9,MATCH(F523,Weekly_Model!$A$2:$A$9,0)),0)),IF(VLOOKUP($A521,Calendar!$A$1:$R$1377,18,0)=4,SUM(IFERROR(INDEX(Weekly_Model!$D$2:$D$9,MATCH(F521,Weekly_Model!$A$2:$A$9,0)),0),IFERROR(INDEX(Weekly_Model!$D$2:$D$9,MATCH(F522,Weekly_Model!$A$2:$A$9,0)),0),IFERROR(INDEX(Weekly_Model!$D$2:$D$9,MATCH(F523,Weekly_Model!$A$2:$A$9,0)),0),IFERROR(INDEX(Weekly_Model!$D$2:$D$9,MATCH(F524,Weekly_Model!$A$2:$A$9,0)),0)),IF(VLOOKUP($A521,Calendar!$A$1:$R$1377,18,0)=5,SUM(IFERROR(INDEX(Weekly_Model!$D$2:$D$9,MATCH(F521,Weekly_Model!$A$2:$A$9,0)),0),IFERROR(INDEX(Weekly_Model!$D$2:$D$9,MATCH(F522,Weekly_Model!$A$2:$A$9,0)),0),IFERROR(INDEX(Weekly_Model!$D$2:$D$9,MATCH(F523,Weekly_Model!$A$2:$A$9,0)),0),IFERROR(INDEX(Weekly_Model!$D$2:$D$9,MATCH(F524,Weekly_Model!$A$2:$A$9,0)),0),IFERROR(INDEX(Weekly_Model!$D$2:$D$9,MATCH(F525,Weekly_Model!$A$2:$A$9,0)),0)),0))))))</f>
        <v>0</v>
      </c>
      <c r="L521" s="27">
        <f>IF(VLOOKUP($A521,Calendar!$A$1:$R$1377,18,0)=0,0,IF(VLOOKUP($A521,Calendar!$A$1:$R$1377,18,0)=1,IFERROR(INDEX(Fortnightly_Model!$D$2:$D$15,MATCH(G521,Fortnightly_Model!$B$2:$B$15,0)),0),IF(VLOOKUP($A521,Calendar!$A$1:$R$1377,18,0)=2,SUM(IFERROR(INDEX(Fortnightly_Model!$D$2:$D$15,MATCH(G521,Fortnightly_Model!$B$2:$B$15,0)),0),IFERROR(INDEX(Fortnightly_Model!$D$2:$D$15,MATCH(G522,Fortnightly_Model!$B$2:$B$15,0)),0)),IF(VLOOKUP($A521,Calendar!$A$1:$R$1377,18,0)=3,SUM(IFERROR(INDEX(Fortnightly_Model!$D$2:$D$15,MATCH(G521,Fortnightly_Model!$B$2:$B$15,0)),0),IFERROR(INDEX(Fortnightly_Model!$D$2:$D$15,MATCH(G522,Fortnightly_Model!$B$2:$B$15,0)),0),IFERROR(INDEX(Fortnightly_Model!$D$2:$D$15,MATCH(G523,Fortnightly_Model!$B$2:$B$15,0)),0)),IF(VLOOKUP($A521,Calendar!$A$1:$R$1377,18,0)=4,SUM(IFERROR(INDEX(Fortnightly_Model!$D$2:$D$15,MATCH(G521,Fortnightly_Model!$B$2:$B$15,0)),0),IFERROR(INDEX(Fortnightly_Model!$D$2:$D$15,MATCH(G522,Fortnightly_Model!$B$2:$B$15,0)),0),IFERROR(INDEX(Fortnightly_Model!$D$2:$D$15,MATCH(G523,Fortnightly_Model!$B$2:$B$15,0)),0),IFERROR(INDEX(Fortnightly_Model!$D$2:$D$15,MATCH(G524,Fortnightly_Model!$B$2:$B$15,0)),0)),IF(VLOOKUP($A521,Calendar!$A$1:$R$1377,18,0)=5,SUM(IFERROR(INDEX(Fortnightly_Model!$D$2:$D$15,MATCH(G521,Fortnightly_Model!$B$2:$B$15,0)),0),IFERROR(INDEX(Fortnightly_Model!$D$2:$D$15,MATCH(G522,Fortnightly_Model!$B$2:$B$15,0)),0),IFERROR(INDEX(Fortnightly_Model!$D$2:$D$15,MATCH(G523,Fortnightly_Model!$B$2:$B$15,0)),0),IFERROR(INDEX(Fortnightly_Model!$D$2:$D$15,MATCH(G524,Fortnightly_Model!$B$2:$B$15,0)),0),IFERROR(INDEX(Fortnightly_Model!$D$2:$D$15,MATCH(G525,Fortnightly_Model!$B$2:$B$15,0)),0)),0))))))</f>
        <v>0</v>
      </c>
      <c r="M521" s="27">
        <f>IF(VLOOKUP($A521,Calendar!$A$1:$R$1377,18,0)=0,0,IF(VLOOKUP($A521,Calendar!$A$1:$R$1377,18,0)=1,IFERROR(INDEX(FourWeekly_Model!$D$2:$D$29,MATCH(H521,FourWeekly_Model!$B$2:$B$29,0)),0),IF(VLOOKUP($A521,Calendar!$A$1:$R$1377,18,0)=2,SUM(IFERROR(INDEX(FourWeekly_Model!$D$2:$D$29,MATCH(H521,FourWeekly_Model!$B$2:$B$29,0)),0),IFERROR(INDEX(FourWeekly_Model!$D$2:$D$29,MATCH(H522,FourWeekly_Model!$B$2:$B$29,0)),0)),IF(VLOOKUP($A521,Calendar!$A$1:$R$1377,18,0)=3,SUM(IFERROR(INDEX(FourWeekly_Model!$D$2:$D$29,MATCH(H521,FourWeekly_Model!$B$2:$B$29,0)),0),IFERROR(INDEX(FourWeekly_Model!$D$2:$D$29,MATCH(H522,FourWeekly_Model!$B$2:$B$29,0)),0),IFERROR(INDEX(FourWeekly_Model!$D$2:$D$29,MATCH(H523,FourWeekly_Model!$B$2:$B$29,0)),0)),IF(VLOOKUP($A521,Calendar!$A$1:$R$1377,18,0)=4,SUM(IFERROR(INDEX(FourWeekly_Model!$D$2:$D$29,MATCH(H521,FourWeekly_Model!$B$2:$B$29,0)),0),IFERROR(INDEX(FourWeekly_Model!$D$2:$D$29,MATCH(H522,FourWeekly_Model!$B$2:$B$29,0)),0),IFERROR(INDEX(FourWeekly_Model!$D$2:$D$29,MATCH(H523,FourWeekly_Model!$B$2:$B$29,0)),0),IFERROR(INDEX(FourWeekly_Model!$D$2:$D$29,MATCH(H524,FourWeekly_Model!$B$2:$B$29,0)),0)),IF(VLOOKUP($A521,Calendar!$A$1:$R$1377,18,0)=5,SUM(IFERROR(INDEX(FourWeekly_Model!$D$2:$D$29,MATCH(H521,FourWeekly_Model!$B$2:$B$29,0)),0),IFERROR(INDEX(FourWeekly_Model!$D$2:$D$29,MATCH(H522,FourWeekly_Model!$B$2:$B$29,0)),0),IFERROR(INDEX(FourWeekly_Model!$D$2:$D$29,MATCH(H523,FourWeekly_Model!$B$2:$B$29,0)),0),IFERROR(INDEX(FourWeekly_Model!$D$2:$D$29,MATCH(H524,FourWeekly_Model!$B$2:$B$29,0)),0),IFERROR(INDEX(FourWeekly_Model!$D$2:$D$29,MATCH(H525,FourWeekly_Model!$B$2:$B$29,0)),0)),0))))))</f>
        <v>0</v>
      </c>
      <c r="N521" s="27">
        <f>SUM(I521:M521)</f>
        <v>0</v>
      </c>
      <c r="O521" s="28">
        <f>Population_Data!$B$8*N521</f>
        <v>0</v>
      </c>
      <c r="P521" s="27">
        <f>IF(VLOOKUP($A521,Calendar!$A$1:$R$1377,18,0)=0,0,IF(VLOOKUP($A521,Calendar!$A$1:$R$1377,18,0)=1,IFERROR(INDEX(Pension_Model!$D$2:$D$29,MATCH(H521,Pension_Model!$B$2:$B$29,0)),0),IF(VLOOKUP($A521,Calendar!$A$1:$R$1377,18,0)=2,SUM(IFERROR(INDEX(Pension_Model!$D$2:$D$29,MATCH(H521,Pension_Model!$B$2:$B$29,0)),0),IFERROR(INDEX(Pension_Model!$D$2:$D$29,MATCH(H522,Pension_Model!$B$2:$B$29,0)),0)),IF(VLOOKUP($A521,Calendar!$A$1:$R$1377,18,0)=3,SUM(IFERROR(INDEX(Pension_Model!$D$2:$D$29,MATCH(H521,Pension_Model!$B$2:$B$29,0)),0),IFERROR(INDEX(Pension_Model!$D$2:$D$29,MATCH(H522,Pension_Model!$B$2:$B$29,0)),0),IFERROR(INDEX(Pension_Model!$D$2:$D$29,MATCH(H523,Pension_Model!$B$2:$B$29,0)),0)),IF(VLOOKUP($A521,Calendar!$A$1:$R$1377,18,0)=4,SUM(IFERROR(INDEX(Pension_Model!$D$2:$D$29,MATCH(H521,Pension_Model!$B$2:$B$29,0)),0),IFERROR(INDEX(Pension_Model!$D$2:$D$29,MATCH(H522,Pension_Model!$B$2:$B$29,0)),0),IFERROR(INDEX(Pension_Model!$D$2:$D$29,MATCH(H523,Pension_Model!$B$2:$B$29,0)),0),IFERROR(INDEX(Pension_Model!$D$2:$D$29,MATCH(H524,Pension_Model!$B$2:$B$29,0)),0)),IF(VLOOKUP($A521,Calendar!$A$1:$R$1377,18,0)=5,SUM(IFERROR(INDEX(Pension_Model!$D$2:$D$29,MATCH(H521,Pension_Model!$B$2:$B$29,0)),0),IFERROR(INDEX(Pension_Model!$D$2:$D$29,MATCH(H522,Pension_Model!$B$2:$B$29,0)),0),IFERROR(INDEX(Pension_Model!$D$2:$D$29,MATCH(H523,Pension_Model!$B$2:$B$29,0)),0),IFERROR(INDEX(Pension_Model!$D$2:$D$29,MATCH(H524,Pension_Model!$B$2:$B$29,0)),0),IFERROR(INDEX(Pension_Model!$D$2:$D$29,MATCH(H525,Pension_Model!$B$2:$B$29,0)),0)),0))))))</f>
        <v>0</v>
      </c>
      <c r="Q521" s="28">
        <f>Population_Data!$B$15*P521</f>
        <v>0</v>
      </c>
      <c r="S521">
        <f t="shared" si="8"/>
        <v>0</v>
      </c>
      <c r="U521" s="33">
        <f>S521/Population_Data!$B$19</f>
        <v>0</v>
      </c>
    </row>
    <row r="522" spans="1:21">
      <c r="A522" s="25">
        <f>Calendar!A522</f>
        <v>46755</v>
      </c>
      <c r="B522" t="str">
        <f>Calendar!L522</f>
        <v>No</v>
      </c>
      <c r="C522" t="str">
        <f>Calendar!O522</f>
        <v>No</v>
      </c>
      <c r="D522" t="str">
        <f>Calendar!P522</f>
        <v>No</v>
      </c>
      <c r="E522" t="str">
        <f>Calendar!Q522</f>
        <v>No</v>
      </c>
      <c r="F522" t="str">
        <f>Calendar!I522</f>
        <v>Monday</v>
      </c>
      <c r="G522">
        <f>Calendar!S522</f>
        <v>9</v>
      </c>
      <c r="H522">
        <f>Calendar!T522</f>
        <v>23</v>
      </c>
      <c r="I522" s="27">
        <f>IF(VLOOKUP(A522,Calendar!$A$1:$R$1377,18,0)=0,0,IF(VLOOKUP(A522,Calendar!$A$1:$R$1377,18,0)=1,INDEX(Monthly_Pay_Model!$A$9:$D$40,MATCH(TEXT(A522,"dd"),Monthly_Pay_Model!$C$9:$C$39,0),4),IF(VLOOKUP(A522,Calendar!$A$1:$R$1377,18,0)=2,SUM(INDEX(Monthly_Pay_Model!$A$9:$D$40,MATCH(TEXT(A522,"dd"),Monthly_Pay_Model!$C$9:$C$39,0),4),INDEX(Monthly_Pay_Model!$A$9:$D$40,MATCH(TEXT(A523,"dd"),Monthly_Pay_Model!$C$9:$C$39,0),4)),IF(VLOOKUP(A522,Calendar!$A$1:$R$1377,18,0)=3,SUM(INDEX(Monthly_Pay_Model!$A$9:$D$40,MATCH(TEXT(A522,"dd"),Monthly_Pay_Model!$C$9:$C$39,0),4),INDEX(Monthly_Pay_Model!$A$9:$D$40,MATCH(TEXT(A523,"dd"),Monthly_Pay_Model!$C$9:$C$39,0),4),INDEX(Monthly_Pay_Model!$A$9:$D$40,MATCH(TEXT(A524,"dd"),Monthly_Pay_Model!$C$9:$C$39,0),4)),IF(VLOOKUP(A522,Calendar!$A$1:$R$1377,18,0)=4,SUM(INDEX(Monthly_Pay_Model!$A$9:$D$40,MATCH(TEXT(A522,"dd"),Monthly_Pay_Model!$C$9:$C$39,0),4),INDEX(Monthly_Pay_Model!$A$9:$D$40,MATCH(TEXT(A523,"dd"),Monthly_Pay_Model!$C$9:$C$39,0),4),INDEX(Monthly_Pay_Model!$A$9:$D$40,MATCH(TEXT(A524,"dd"),Monthly_Pay_Model!$C$9:$C$39,0),4),INDEX(Monthly_Pay_Model!$A$9:$D$40,MATCH(TEXT(A525,"dd"),Monthly_Pay_Model!$C$9:$C$39,0),4)),IF(VLOOKUP(A522,Calendar!$A$1:$R$1377,18,0)=5,SUM(INDEX(Monthly_Pay_Model!$A$9:$D$40,MATCH(TEXT(A522,"dd"),Monthly_Pay_Model!$C$9:$C$39,0),4),INDEX(Monthly_Pay_Model!$A$9:$D$40,MATCH(TEXT(A523,"dd"),Monthly_Pay_Model!$C$9:$C$39,0),4),INDEX(Monthly_Pay_Model!$A$9:$D$40,MATCH(TEXT(A524,"dd"),Monthly_Pay_Model!$C$9:$C$39,0),4),INDEX(Monthly_Pay_Model!$A$9:$D$40,MATCH(TEXT(A525,"dd"),Monthly_Pay_Model!$C$9:$C$39,0),4),INDEX(Monthly_Pay_Model!$A$9:$D$40,MATCH(TEXT(A526,"dd"),Monthly_Pay_Model!$C$9:$C$39,0),4)),))))))</f>
        <v>0</v>
      </c>
      <c r="J522" s="33">
        <f>IF(C522="Yes",Monthly_Pay_Model!$D$2,0)
+IF(Calendar!N522="Yes",Monthly_Pay_Model!$D$3,0)
+IF(D522="Yes",Monthly_Pay_Model!$D$4,0)
+IF(E522="Yes",Monthly_Pay_Model!$D$5,0)</f>
        <v>0</v>
      </c>
      <c r="K522" s="27">
        <f>IF(VLOOKUP($A522,Calendar!$A$1:$R$1377,18,0)=0,0,IF(VLOOKUP($A522,Calendar!$A$1:$R$1377,18,0)=1,IFERROR(INDEX(Weekly_Model!$D$2:$D$9,MATCH(F522,Weekly_Model!$A$2:$A$9,0)),0),IF(VLOOKUP($A522,Calendar!$A$1:$R$1377,18,0)=2,SUM(IFERROR(INDEX(Weekly_Model!$D$2:$D$9,MATCH(F522,Weekly_Model!$A$2:$A$9,0)),0),IFERROR(INDEX(Weekly_Model!$D$2:$D$9,MATCH(F523,Weekly_Model!$A$2:$A$9,0)),0)),IF(VLOOKUP($A522,Calendar!$A$1:$R$1377,18,0)=3,SUM(IFERROR(INDEX(Weekly_Model!$D$2:$D$9,MATCH(F522,Weekly_Model!$A$2:$A$9,0)),0),IFERROR(INDEX(Weekly_Model!$D$2:$D$9,MATCH(F523,Weekly_Model!$A$2:$A$9,0)),0),IFERROR(INDEX(Weekly_Model!$D$2:$D$9,MATCH(F524,Weekly_Model!$A$2:$A$9,0)),0)),IF(VLOOKUP($A522,Calendar!$A$1:$R$1377,18,0)=4,SUM(IFERROR(INDEX(Weekly_Model!$D$2:$D$9,MATCH(F522,Weekly_Model!$A$2:$A$9,0)),0),IFERROR(INDEX(Weekly_Model!$D$2:$D$9,MATCH(F523,Weekly_Model!$A$2:$A$9,0)),0),IFERROR(INDEX(Weekly_Model!$D$2:$D$9,MATCH(F524,Weekly_Model!$A$2:$A$9,0)),0),IFERROR(INDEX(Weekly_Model!$D$2:$D$9,MATCH(F525,Weekly_Model!$A$2:$A$9,0)),0)),IF(VLOOKUP($A522,Calendar!$A$1:$R$1377,18,0)=5,SUM(IFERROR(INDEX(Weekly_Model!$D$2:$D$9,MATCH(F522,Weekly_Model!$A$2:$A$9,0)),0),IFERROR(INDEX(Weekly_Model!$D$2:$D$9,MATCH(F523,Weekly_Model!$A$2:$A$9,0)),0),IFERROR(INDEX(Weekly_Model!$D$2:$D$9,MATCH(F524,Weekly_Model!$A$2:$A$9,0)),0),IFERROR(INDEX(Weekly_Model!$D$2:$D$9,MATCH(F525,Weekly_Model!$A$2:$A$9,0)),0),IFERROR(INDEX(Weekly_Model!$D$2:$D$9,MATCH(F526,Weekly_Model!$A$2:$A$9,0)),0)),0))))))</f>
        <v>0</v>
      </c>
      <c r="L522" s="27">
        <f>IF(VLOOKUP($A522,Calendar!$A$1:$R$1377,18,0)=0,0,IF(VLOOKUP($A522,Calendar!$A$1:$R$1377,18,0)=1,IFERROR(INDEX(Fortnightly_Model!$D$2:$D$15,MATCH(G522,Fortnightly_Model!$B$2:$B$15,0)),0),IF(VLOOKUP($A522,Calendar!$A$1:$R$1377,18,0)=2,SUM(IFERROR(INDEX(Fortnightly_Model!$D$2:$D$15,MATCH(G522,Fortnightly_Model!$B$2:$B$15,0)),0),IFERROR(INDEX(Fortnightly_Model!$D$2:$D$15,MATCH(G523,Fortnightly_Model!$B$2:$B$15,0)),0)),IF(VLOOKUP($A522,Calendar!$A$1:$R$1377,18,0)=3,SUM(IFERROR(INDEX(Fortnightly_Model!$D$2:$D$15,MATCH(G522,Fortnightly_Model!$B$2:$B$15,0)),0),IFERROR(INDEX(Fortnightly_Model!$D$2:$D$15,MATCH(G523,Fortnightly_Model!$B$2:$B$15,0)),0),IFERROR(INDEX(Fortnightly_Model!$D$2:$D$15,MATCH(G524,Fortnightly_Model!$B$2:$B$15,0)),0)),IF(VLOOKUP($A522,Calendar!$A$1:$R$1377,18,0)=4,SUM(IFERROR(INDEX(Fortnightly_Model!$D$2:$D$15,MATCH(G522,Fortnightly_Model!$B$2:$B$15,0)),0),IFERROR(INDEX(Fortnightly_Model!$D$2:$D$15,MATCH(G523,Fortnightly_Model!$B$2:$B$15,0)),0),IFERROR(INDEX(Fortnightly_Model!$D$2:$D$15,MATCH(G524,Fortnightly_Model!$B$2:$B$15,0)),0),IFERROR(INDEX(Fortnightly_Model!$D$2:$D$15,MATCH(G525,Fortnightly_Model!$B$2:$B$15,0)),0)),IF(VLOOKUP($A522,Calendar!$A$1:$R$1377,18,0)=5,SUM(IFERROR(INDEX(Fortnightly_Model!$D$2:$D$15,MATCH(G522,Fortnightly_Model!$B$2:$B$15,0)),0),IFERROR(INDEX(Fortnightly_Model!$D$2:$D$15,MATCH(G523,Fortnightly_Model!$B$2:$B$15,0)),0),IFERROR(INDEX(Fortnightly_Model!$D$2:$D$15,MATCH(G524,Fortnightly_Model!$B$2:$B$15,0)),0),IFERROR(INDEX(Fortnightly_Model!$D$2:$D$15,MATCH(G525,Fortnightly_Model!$B$2:$B$15,0)),0),IFERROR(INDEX(Fortnightly_Model!$D$2:$D$15,MATCH(G526,Fortnightly_Model!$B$2:$B$15,0)),0)),0))))))</f>
        <v>0</v>
      </c>
      <c r="M522" s="27">
        <f>IF(VLOOKUP($A522,Calendar!$A$1:$R$1377,18,0)=0,0,IF(VLOOKUP($A522,Calendar!$A$1:$R$1377,18,0)=1,IFERROR(INDEX(FourWeekly_Model!$D$2:$D$29,MATCH(H522,FourWeekly_Model!$B$2:$B$29,0)),0),IF(VLOOKUP($A522,Calendar!$A$1:$R$1377,18,0)=2,SUM(IFERROR(INDEX(FourWeekly_Model!$D$2:$D$29,MATCH(H522,FourWeekly_Model!$B$2:$B$29,0)),0),IFERROR(INDEX(FourWeekly_Model!$D$2:$D$29,MATCH(H523,FourWeekly_Model!$B$2:$B$29,0)),0)),IF(VLOOKUP($A522,Calendar!$A$1:$R$1377,18,0)=3,SUM(IFERROR(INDEX(FourWeekly_Model!$D$2:$D$29,MATCH(H522,FourWeekly_Model!$B$2:$B$29,0)),0),IFERROR(INDEX(FourWeekly_Model!$D$2:$D$29,MATCH(H523,FourWeekly_Model!$B$2:$B$29,0)),0),IFERROR(INDEX(FourWeekly_Model!$D$2:$D$29,MATCH(H524,FourWeekly_Model!$B$2:$B$29,0)),0)),IF(VLOOKUP($A522,Calendar!$A$1:$R$1377,18,0)=4,SUM(IFERROR(INDEX(FourWeekly_Model!$D$2:$D$29,MATCH(H522,FourWeekly_Model!$B$2:$B$29,0)),0),IFERROR(INDEX(FourWeekly_Model!$D$2:$D$29,MATCH(H523,FourWeekly_Model!$B$2:$B$29,0)),0),IFERROR(INDEX(FourWeekly_Model!$D$2:$D$29,MATCH(H524,FourWeekly_Model!$B$2:$B$29,0)),0),IFERROR(INDEX(FourWeekly_Model!$D$2:$D$29,MATCH(H525,FourWeekly_Model!$B$2:$B$29,0)),0)),IF(VLOOKUP($A522,Calendar!$A$1:$R$1377,18,0)=5,SUM(IFERROR(INDEX(FourWeekly_Model!$D$2:$D$29,MATCH(H522,FourWeekly_Model!$B$2:$B$29,0)),0),IFERROR(INDEX(FourWeekly_Model!$D$2:$D$29,MATCH(H523,FourWeekly_Model!$B$2:$B$29,0)),0),IFERROR(INDEX(FourWeekly_Model!$D$2:$D$29,MATCH(H524,FourWeekly_Model!$B$2:$B$29,0)),0),IFERROR(INDEX(FourWeekly_Model!$D$2:$D$29,MATCH(H525,FourWeekly_Model!$B$2:$B$29,0)),0),IFERROR(INDEX(FourWeekly_Model!$D$2:$D$29,MATCH(H526,FourWeekly_Model!$B$2:$B$29,0)),0)),0))))))</f>
        <v>0</v>
      </c>
      <c r="N522" s="27">
        <f>SUM(I522:M522)</f>
        <v>0</v>
      </c>
      <c r="O522" s="28">
        <f>Population_Data!$B$8*N522</f>
        <v>0</v>
      </c>
      <c r="P522" s="27">
        <f>IF(VLOOKUP($A522,Calendar!$A$1:$R$1377,18,0)=0,0,IF(VLOOKUP($A522,Calendar!$A$1:$R$1377,18,0)=1,IFERROR(INDEX(Pension_Model!$D$2:$D$29,MATCH(H522,Pension_Model!$B$2:$B$29,0)),0),IF(VLOOKUP($A522,Calendar!$A$1:$R$1377,18,0)=2,SUM(IFERROR(INDEX(Pension_Model!$D$2:$D$29,MATCH(H522,Pension_Model!$B$2:$B$29,0)),0),IFERROR(INDEX(Pension_Model!$D$2:$D$29,MATCH(H523,Pension_Model!$B$2:$B$29,0)),0)),IF(VLOOKUP($A522,Calendar!$A$1:$R$1377,18,0)=3,SUM(IFERROR(INDEX(Pension_Model!$D$2:$D$29,MATCH(H522,Pension_Model!$B$2:$B$29,0)),0),IFERROR(INDEX(Pension_Model!$D$2:$D$29,MATCH(H523,Pension_Model!$B$2:$B$29,0)),0),IFERROR(INDEX(Pension_Model!$D$2:$D$29,MATCH(H524,Pension_Model!$B$2:$B$29,0)),0)),IF(VLOOKUP($A522,Calendar!$A$1:$R$1377,18,0)=4,SUM(IFERROR(INDEX(Pension_Model!$D$2:$D$29,MATCH(H522,Pension_Model!$B$2:$B$29,0)),0),IFERROR(INDEX(Pension_Model!$D$2:$D$29,MATCH(H523,Pension_Model!$B$2:$B$29,0)),0),IFERROR(INDEX(Pension_Model!$D$2:$D$29,MATCH(H524,Pension_Model!$B$2:$B$29,0)),0),IFERROR(INDEX(Pension_Model!$D$2:$D$29,MATCH(H525,Pension_Model!$B$2:$B$29,0)),0)),IF(VLOOKUP($A522,Calendar!$A$1:$R$1377,18,0)=5,SUM(IFERROR(INDEX(Pension_Model!$D$2:$D$29,MATCH(H522,Pension_Model!$B$2:$B$29,0)),0),IFERROR(INDEX(Pension_Model!$D$2:$D$29,MATCH(H523,Pension_Model!$B$2:$B$29,0)),0),IFERROR(INDEX(Pension_Model!$D$2:$D$29,MATCH(H524,Pension_Model!$B$2:$B$29,0)),0),IFERROR(INDEX(Pension_Model!$D$2:$D$29,MATCH(H525,Pension_Model!$B$2:$B$29,0)),0),IFERROR(INDEX(Pension_Model!$D$2:$D$29,MATCH(H526,Pension_Model!$B$2:$B$29,0)),0)),0))))))</f>
        <v>0</v>
      </c>
      <c r="Q522" s="28">
        <f>Population_Data!$B$15*P522</f>
        <v>0</v>
      </c>
      <c r="S522">
        <f t="shared" si="8"/>
        <v>0</v>
      </c>
      <c r="U522" s="33">
        <f>S522/Population_Data!$B$19</f>
        <v>0</v>
      </c>
    </row>
    <row r="523" spans="1:21">
      <c r="A523" s="25">
        <f>Calendar!A523</f>
        <v>46756</v>
      </c>
      <c r="B523" t="str">
        <f>Calendar!L523</f>
        <v>Yes</v>
      </c>
      <c r="C523" t="str">
        <f>Calendar!O523</f>
        <v>No</v>
      </c>
      <c r="D523" t="str">
        <f>Calendar!P523</f>
        <v>No</v>
      </c>
      <c r="E523" t="str">
        <f>Calendar!Q523</f>
        <v>No</v>
      </c>
      <c r="F523" t="str">
        <f>Calendar!I523</f>
        <v>Tuesday</v>
      </c>
      <c r="G523">
        <f>Calendar!S523</f>
        <v>10</v>
      </c>
      <c r="H523">
        <f>Calendar!T523</f>
        <v>24</v>
      </c>
      <c r="I523" s="27">
        <f>IF(VLOOKUP(A523,Calendar!$A$1:$R$1377,18,0)=0,0,IF(VLOOKUP(A523,Calendar!$A$1:$R$1377,18,0)=1,INDEX(Monthly_Pay_Model!$A$9:$D$40,MATCH(TEXT(A523,"dd"),Monthly_Pay_Model!$C$9:$C$39,0),4),IF(VLOOKUP(A523,Calendar!$A$1:$R$1377,18,0)=2,SUM(INDEX(Monthly_Pay_Model!$A$9:$D$40,MATCH(TEXT(A523,"dd"),Monthly_Pay_Model!$C$9:$C$39,0),4),INDEX(Monthly_Pay_Model!$A$9:$D$40,MATCH(TEXT(A524,"dd"),Monthly_Pay_Model!$C$9:$C$39,0),4)),IF(VLOOKUP(A523,Calendar!$A$1:$R$1377,18,0)=3,SUM(INDEX(Monthly_Pay_Model!$A$9:$D$40,MATCH(TEXT(A523,"dd"),Monthly_Pay_Model!$C$9:$C$39,0),4),INDEX(Monthly_Pay_Model!$A$9:$D$40,MATCH(TEXT(A524,"dd"),Monthly_Pay_Model!$C$9:$C$39,0),4),INDEX(Monthly_Pay_Model!$A$9:$D$40,MATCH(TEXT(A525,"dd"),Monthly_Pay_Model!$C$9:$C$39,0),4)),IF(VLOOKUP(A523,Calendar!$A$1:$R$1377,18,0)=4,SUM(INDEX(Monthly_Pay_Model!$A$9:$D$40,MATCH(TEXT(A523,"dd"),Monthly_Pay_Model!$C$9:$C$39,0),4),INDEX(Monthly_Pay_Model!$A$9:$D$40,MATCH(TEXT(A524,"dd"),Monthly_Pay_Model!$C$9:$C$39,0),4),INDEX(Monthly_Pay_Model!$A$9:$D$40,MATCH(TEXT(A525,"dd"),Monthly_Pay_Model!$C$9:$C$39,0),4),INDEX(Monthly_Pay_Model!$A$9:$D$40,MATCH(TEXT(A526,"dd"),Monthly_Pay_Model!$C$9:$C$39,0),4)),IF(VLOOKUP(A523,Calendar!$A$1:$R$1377,18,0)=5,SUM(INDEX(Monthly_Pay_Model!$A$9:$D$40,MATCH(TEXT(A523,"dd"),Monthly_Pay_Model!$C$9:$C$39,0),4),INDEX(Monthly_Pay_Model!$A$9:$D$40,MATCH(TEXT(A524,"dd"),Monthly_Pay_Model!$C$9:$C$39,0),4),INDEX(Monthly_Pay_Model!$A$9:$D$40,MATCH(TEXT(A525,"dd"),Monthly_Pay_Model!$C$9:$C$39,0),4),INDEX(Monthly_Pay_Model!$A$9:$D$40,MATCH(TEXT(A526,"dd"),Monthly_Pay_Model!$C$9:$C$39,0),4),INDEX(Monthly_Pay_Model!$A$9:$D$40,MATCH(TEXT(A527,"dd"),Monthly_Pay_Model!$C$9:$C$39,0),4)),))))))</f>
        <v>8.1256544502617792E-4</v>
      </c>
      <c r="J523" s="33">
        <f>IF(C523="Yes",Monthly_Pay_Model!$D$2,0)
+IF(Calendar!N523="Yes",Monthly_Pay_Model!$D$3,0)
+IF(D523="Yes",Monthly_Pay_Model!$D$4,0)
+IF(E523="Yes",Monthly_Pay_Model!$D$5,0)</f>
        <v>0</v>
      </c>
      <c r="K523" s="27">
        <f>IF(VLOOKUP($A523,Calendar!$A$1:$R$1377,18,0)=0,0,IF(VLOOKUP($A523,Calendar!$A$1:$R$1377,18,0)=1,IFERROR(INDEX(Weekly_Model!$D$2:$D$9,MATCH(F523,Weekly_Model!$A$2:$A$9,0)),0),IF(VLOOKUP($A523,Calendar!$A$1:$R$1377,18,0)=2,SUM(IFERROR(INDEX(Weekly_Model!$D$2:$D$9,MATCH(F523,Weekly_Model!$A$2:$A$9,0)),0),IFERROR(INDEX(Weekly_Model!$D$2:$D$9,MATCH(F524,Weekly_Model!$A$2:$A$9,0)),0)),IF(VLOOKUP($A523,Calendar!$A$1:$R$1377,18,0)=3,SUM(IFERROR(INDEX(Weekly_Model!$D$2:$D$9,MATCH(F523,Weekly_Model!$A$2:$A$9,0)),0),IFERROR(INDEX(Weekly_Model!$D$2:$D$9,MATCH(F524,Weekly_Model!$A$2:$A$9,0)),0),IFERROR(INDEX(Weekly_Model!$D$2:$D$9,MATCH(F525,Weekly_Model!$A$2:$A$9,0)),0)),IF(VLOOKUP($A523,Calendar!$A$1:$R$1377,18,0)=4,SUM(IFERROR(INDEX(Weekly_Model!$D$2:$D$9,MATCH(F523,Weekly_Model!$A$2:$A$9,0)),0),IFERROR(INDEX(Weekly_Model!$D$2:$D$9,MATCH(F524,Weekly_Model!$A$2:$A$9,0)),0),IFERROR(INDEX(Weekly_Model!$D$2:$D$9,MATCH(F525,Weekly_Model!$A$2:$A$9,0)),0),IFERROR(INDEX(Weekly_Model!$D$2:$D$9,MATCH(F526,Weekly_Model!$A$2:$A$9,0)),0)),IF(VLOOKUP($A523,Calendar!$A$1:$R$1377,18,0)=5,SUM(IFERROR(INDEX(Weekly_Model!$D$2:$D$9,MATCH(F523,Weekly_Model!$A$2:$A$9,0)),0),IFERROR(INDEX(Weekly_Model!$D$2:$D$9,MATCH(F524,Weekly_Model!$A$2:$A$9,0)),0),IFERROR(INDEX(Weekly_Model!$D$2:$D$9,MATCH(F525,Weekly_Model!$A$2:$A$9,0)),0),IFERROR(INDEX(Weekly_Model!$D$2:$D$9,MATCH(F526,Weekly_Model!$A$2:$A$9,0)),0),IFERROR(INDEX(Weekly_Model!$D$2:$D$9,MATCH(F527,Weekly_Model!$A$2:$A$9,0)),0)),0))))))</f>
        <v>2.3200000000000002E-2</v>
      </c>
      <c r="L523" s="27">
        <f>IF(VLOOKUP($A523,Calendar!$A$1:$R$1377,18,0)=0,0,IF(VLOOKUP($A523,Calendar!$A$1:$R$1377,18,0)=1,IFERROR(INDEX(Fortnightly_Model!$D$2:$D$15,MATCH(G523,Fortnightly_Model!$B$2:$B$15,0)),0),IF(VLOOKUP($A523,Calendar!$A$1:$R$1377,18,0)=2,SUM(IFERROR(INDEX(Fortnightly_Model!$D$2:$D$15,MATCH(G523,Fortnightly_Model!$B$2:$B$15,0)),0),IFERROR(INDEX(Fortnightly_Model!$D$2:$D$15,MATCH(G524,Fortnightly_Model!$B$2:$B$15,0)),0)),IF(VLOOKUP($A523,Calendar!$A$1:$R$1377,18,0)=3,SUM(IFERROR(INDEX(Fortnightly_Model!$D$2:$D$15,MATCH(G523,Fortnightly_Model!$B$2:$B$15,0)),0),IFERROR(INDEX(Fortnightly_Model!$D$2:$D$15,MATCH(G524,Fortnightly_Model!$B$2:$B$15,0)),0),IFERROR(INDEX(Fortnightly_Model!$D$2:$D$15,MATCH(G525,Fortnightly_Model!$B$2:$B$15,0)),0)),IF(VLOOKUP($A523,Calendar!$A$1:$R$1377,18,0)=4,SUM(IFERROR(INDEX(Fortnightly_Model!$D$2:$D$15,MATCH(G523,Fortnightly_Model!$B$2:$B$15,0)),0),IFERROR(INDEX(Fortnightly_Model!$D$2:$D$15,MATCH(G524,Fortnightly_Model!$B$2:$B$15,0)),0),IFERROR(INDEX(Fortnightly_Model!$D$2:$D$15,MATCH(G525,Fortnightly_Model!$B$2:$B$15,0)),0),IFERROR(INDEX(Fortnightly_Model!$D$2:$D$15,MATCH(G526,Fortnightly_Model!$B$2:$B$15,0)),0)),IF(VLOOKUP($A523,Calendar!$A$1:$R$1377,18,0)=5,SUM(IFERROR(INDEX(Fortnightly_Model!$D$2:$D$15,MATCH(G523,Fortnightly_Model!$B$2:$B$15,0)),0),IFERROR(INDEX(Fortnightly_Model!$D$2:$D$15,MATCH(G524,Fortnightly_Model!$B$2:$B$15,0)),0),IFERROR(INDEX(Fortnightly_Model!$D$2:$D$15,MATCH(G525,Fortnightly_Model!$B$2:$B$15,0)),0),IFERROR(INDEX(Fortnightly_Model!$D$2:$D$15,MATCH(G526,Fortnightly_Model!$B$2:$B$15,0)),0),IFERROR(INDEX(Fortnightly_Model!$D$2:$D$15,MATCH(G527,Fortnightly_Model!$B$2:$B$15,0)),0)),0))))))</f>
        <v>1.0714285499999999E-3</v>
      </c>
      <c r="M523" s="27">
        <f>IF(VLOOKUP($A523,Calendar!$A$1:$R$1377,18,0)=0,0,IF(VLOOKUP($A523,Calendar!$A$1:$R$1377,18,0)=1,IFERROR(INDEX(FourWeekly_Model!$D$2:$D$29,MATCH(H523,FourWeekly_Model!$B$2:$B$29,0)),0),IF(VLOOKUP($A523,Calendar!$A$1:$R$1377,18,0)=2,SUM(IFERROR(INDEX(FourWeekly_Model!$D$2:$D$29,MATCH(H523,FourWeekly_Model!$B$2:$B$29,0)),0),IFERROR(INDEX(FourWeekly_Model!$D$2:$D$29,MATCH(H524,FourWeekly_Model!$B$2:$B$29,0)),0)),IF(VLOOKUP($A523,Calendar!$A$1:$R$1377,18,0)=3,SUM(IFERROR(INDEX(FourWeekly_Model!$D$2:$D$29,MATCH(H523,FourWeekly_Model!$B$2:$B$29,0)),0),IFERROR(INDEX(FourWeekly_Model!$D$2:$D$29,MATCH(H524,FourWeekly_Model!$B$2:$B$29,0)),0),IFERROR(INDEX(FourWeekly_Model!$D$2:$D$29,MATCH(H525,FourWeekly_Model!$B$2:$B$29,0)),0)),IF(VLOOKUP($A523,Calendar!$A$1:$R$1377,18,0)=4,SUM(IFERROR(INDEX(FourWeekly_Model!$D$2:$D$29,MATCH(H523,FourWeekly_Model!$B$2:$B$29,0)),0),IFERROR(INDEX(FourWeekly_Model!$D$2:$D$29,MATCH(H524,FourWeekly_Model!$B$2:$B$29,0)),0),IFERROR(INDEX(FourWeekly_Model!$D$2:$D$29,MATCH(H525,FourWeekly_Model!$B$2:$B$29,0)),0),IFERROR(INDEX(FourWeekly_Model!$D$2:$D$29,MATCH(H526,FourWeekly_Model!$B$2:$B$29,0)),0)),IF(VLOOKUP($A523,Calendar!$A$1:$R$1377,18,0)=5,SUM(IFERROR(INDEX(FourWeekly_Model!$D$2:$D$29,MATCH(H523,FourWeekly_Model!$B$2:$B$29,0)),0),IFERROR(INDEX(FourWeekly_Model!$D$2:$D$29,MATCH(H524,FourWeekly_Model!$B$2:$B$29,0)),0),IFERROR(INDEX(FourWeekly_Model!$D$2:$D$29,MATCH(H525,FourWeekly_Model!$B$2:$B$29,0)),0),IFERROR(INDEX(FourWeekly_Model!$D$2:$D$29,MATCH(H526,FourWeekly_Model!$B$2:$B$29,0)),0),IFERROR(INDEX(FourWeekly_Model!$D$2:$D$29,MATCH(H527,FourWeekly_Model!$B$2:$B$29,0)),0)),0))))))</f>
        <v>3.3214289700000004E-3</v>
      </c>
      <c r="N523" s="27">
        <f>SUM(I523:M523)</f>
        <v>2.840542296502618E-2</v>
      </c>
      <c r="O523" s="28">
        <f>Population_Data!$B$8*N523</f>
        <v>860684.3158402933</v>
      </c>
      <c r="P523" s="27">
        <f>IF(VLOOKUP($A523,Calendar!$A$1:$R$1377,18,0)=0,0,IF(VLOOKUP($A523,Calendar!$A$1:$R$1377,18,0)=1,IFERROR(INDEX(Pension_Model!$D$2:$D$29,MATCH(H523,Pension_Model!$B$2:$B$29,0)),0),IF(VLOOKUP($A523,Calendar!$A$1:$R$1377,18,0)=2,SUM(IFERROR(INDEX(Pension_Model!$D$2:$D$29,MATCH(H523,Pension_Model!$B$2:$B$29,0)),0),IFERROR(INDEX(Pension_Model!$D$2:$D$29,MATCH(H524,Pension_Model!$B$2:$B$29,0)),0)),IF(VLOOKUP($A523,Calendar!$A$1:$R$1377,18,0)=3,SUM(IFERROR(INDEX(Pension_Model!$D$2:$D$29,MATCH(H523,Pension_Model!$B$2:$B$29,0)),0),IFERROR(INDEX(Pension_Model!$D$2:$D$29,MATCH(H524,Pension_Model!$B$2:$B$29,0)),0),IFERROR(INDEX(Pension_Model!$D$2:$D$29,MATCH(H525,Pension_Model!$B$2:$B$29,0)),0)),IF(VLOOKUP($A523,Calendar!$A$1:$R$1377,18,0)=4,SUM(IFERROR(INDEX(Pension_Model!$D$2:$D$29,MATCH(H523,Pension_Model!$B$2:$B$29,0)),0),IFERROR(INDEX(Pension_Model!$D$2:$D$29,MATCH(H524,Pension_Model!$B$2:$B$29,0)),0),IFERROR(INDEX(Pension_Model!$D$2:$D$29,MATCH(H525,Pension_Model!$B$2:$B$29,0)),0),IFERROR(INDEX(Pension_Model!$D$2:$D$29,MATCH(H526,Pension_Model!$B$2:$B$29,0)),0)),IF(VLOOKUP($A523,Calendar!$A$1:$R$1377,18,0)=5,SUM(IFERROR(INDEX(Pension_Model!$D$2:$D$29,MATCH(H523,Pension_Model!$B$2:$B$29,0)),0),IFERROR(INDEX(Pension_Model!$D$2:$D$29,MATCH(H524,Pension_Model!$B$2:$B$29,0)),0),IFERROR(INDEX(Pension_Model!$D$2:$D$29,MATCH(H525,Pension_Model!$B$2:$B$29,0)),0),IFERROR(INDEX(Pension_Model!$D$2:$D$29,MATCH(H526,Pension_Model!$B$2:$B$29,0)),0),IFERROR(INDEX(Pension_Model!$D$2:$D$29,MATCH(H527,Pension_Model!$B$2:$B$29,0)),0)),0))))))</f>
        <v>0.05</v>
      </c>
      <c r="Q523" s="28">
        <f>Population_Data!$B$15*P523</f>
        <v>660600</v>
      </c>
      <c r="S523">
        <f t="shared" si="8"/>
        <v>1521284.3158402932</v>
      </c>
      <c r="U523" s="33">
        <f>S523/Population_Data!$B$19</f>
        <v>2.7559498475367629E-2</v>
      </c>
    </row>
    <row r="524" spans="1:21">
      <c r="A524" s="25">
        <f>Calendar!A524</f>
        <v>46757</v>
      </c>
      <c r="B524" t="str">
        <f>Calendar!L524</f>
        <v>Yes</v>
      </c>
      <c r="C524" t="str">
        <f>Calendar!O524</f>
        <v>No</v>
      </c>
      <c r="D524" t="str">
        <f>Calendar!P524</f>
        <v>No</v>
      </c>
      <c r="E524" t="str">
        <f>Calendar!Q524</f>
        <v>No</v>
      </c>
      <c r="F524" t="str">
        <f>Calendar!I524</f>
        <v>Wednesday</v>
      </c>
      <c r="G524">
        <f>Calendar!S524</f>
        <v>11</v>
      </c>
      <c r="H524">
        <f>Calendar!T524</f>
        <v>25</v>
      </c>
      <c r="I524" s="27">
        <f>IF(VLOOKUP(A524,Calendar!$A$1:$R$1377,18,0)=0,0,IF(VLOOKUP(A524,Calendar!$A$1:$R$1377,18,0)=1,INDEX(Monthly_Pay_Model!$A$9:$D$40,MATCH(TEXT(A524,"dd"),Monthly_Pay_Model!$C$9:$C$39,0),4),IF(VLOOKUP(A524,Calendar!$A$1:$R$1377,18,0)=2,SUM(INDEX(Monthly_Pay_Model!$A$9:$D$40,MATCH(TEXT(A524,"dd"),Monthly_Pay_Model!$C$9:$C$39,0),4),INDEX(Monthly_Pay_Model!$A$9:$D$40,MATCH(TEXT(A525,"dd"),Monthly_Pay_Model!$C$9:$C$39,0),4)),IF(VLOOKUP(A524,Calendar!$A$1:$R$1377,18,0)=3,SUM(INDEX(Monthly_Pay_Model!$A$9:$D$40,MATCH(TEXT(A524,"dd"),Monthly_Pay_Model!$C$9:$C$39,0),4),INDEX(Monthly_Pay_Model!$A$9:$D$40,MATCH(TEXT(A525,"dd"),Monthly_Pay_Model!$C$9:$C$39,0),4),INDEX(Monthly_Pay_Model!$A$9:$D$40,MATCH(TEXT(A526,"dd"),Monthly_Pay_Model!$C$9:$C$39,0),4)),IF(VLOOKUP(A524,Calendar!$A$1:$R$1377,18,0)=4,SUM(INDEX(Monthly_Pay_Model!$A$9:$D$40,MATCH(TEXT(A524,"dd"),Monthly_Pay_Model!$C$9:$C$39,0),4),INDEX(Monthly_Pay_Model!$A$9:$D$40,MATCH(TEXT(A525,"dd"),Monthly_Pay_Model!$C$9:$C$39,0),4),INDEX(Monthly_Pay_Model!$A$9:$D$40,MATCH(TEXT(A526,"dd"),Monthly_Pay_Model!$C$9:$C$39,0),4),INDEX(Monthly_Pay_Model!$A$9:$D$40,MATCH(TEXT(A527,"dd"),Monthly_Pay_Model!$C$9:$C$39,0),4)),IF(VLOOKUP(A524,Calendar!$A$1:$R$1377,18,0)=5,SUM(INDEX(Monthly_Pay_Model!$A$9:$D$40,MATCH(TEXT(A524,"dd"),Monthly_Pay_Model!$C$9:$C$39,0),4),INDEX(Monthly_Pay_Model!$A$9:$D$40,MATCH(TEXT(A525,"dd"),Monthly_Pay_Model!$C$9:$C$39,0),4),INDEX(Monthly_Pay_Model!$A$9:$D$40,MATCH(TEXT(A526,"dd"),Monthly_Pay_Model!$C$9:$C$39,0),4),INDEX(Monthly_Pay_Model!$A$9:$D$40,MATCH(TEXT(A527,"dd"),Monthly_Pay_Model!$C$9:$C$39,0),4),INDEX(Monthly_Pay_Model!$A$9:$D$40,MATCH(TEXT(A528,"dd"),Monthly_Pay_Model!$C$9:$C$39,0),4)),))))))</f>
        <v>7.3130890052356002E-3</v>
      </c>
      <c r="J524" s="33">
        <f>IF(C524="Yes",Monthly_Pay_Model!$D$2,0)
+IF(Calendar!N524="Yes",Monthly_Pay_Model!$D$3,0)
+IF(D524="Yes",Monthly_Pay_Model!$D$4,0)
+IF(E524="Yes",Monthly_Pay_Model!$D$5,0)</f>
        <v>0</v>
      </c>
      <c r="K524" s="27">
        <f>IF(VLOOKUP($A524,Calendar!$A$1:$R$1377,18,0)=0,0,IF(VLOOKUP($A524,Calendar!$A$1:$R$1377,18,0)=1,IFERROR(INDEX(Weekly_Model!$D$2:$D$9,MATCH(F524,Weekly_Model!$A$2:$A$9,0)),0),IF(VLOOKUP($A524,Calendar!$A$1:$R$1377,18,0)=2,SUM(IFERROR(INDEX(Weekly_Model!$D$2:$D$9,MATCH(F524,Weekly_Model!$A$2:$A$9,0)),0),IFERROR(INDEX(Weekly_Model!$D$2:$D$9,MATCH(F525,Weekly_Model!$A$2:$A$9,0)),0)),IF(VLOOKUP($A524,Calendar!$A$1:$R$1377,18,0)=3,SUM(IFERROR(INDEX(Weekly_Model!$D$2:$D$9,MATCH(F524,Weekly_Model!$A$2:$A$9,0)),0),IFERROR(INDEX(Weekly_Model!$D$2:$D$9,MATCH(F525,Weekly_Model!$A$2:$A$9,0)),0),IFERROR(INDEX(Weekly_Model!$D$2:$D$9,MATCH(F526,Weekly_Model!$A$2:$A$9,0)),0)),IF(VLOOKUP($A524,Calendar!$A$1:$R$1377,18,0)=4,SUM(IFERROR(INDEX(Weekly_Model!$D$2:$D$9,MATCH(F524,Weekly_Model!$A$2:$A$9,0)),0),IFERROR(INDEX(Weekly_Model!$D$2:$D$9,MATCH(F525,Weekly_Model!$A$2:$A$9,0)),0),IFERROR(INDEX(Weekly_Model!$D$2:$D$9,MATCH(F526,Weekly_Model!$A$2:$A$9,0)),0),IFERROR(INDEX(Weekly_Model!$D$2:$D$9,MATCH(F527,Weekly_Model!$A$2:$A$9,0)),0)),IF(VLOOKUP($A524,Calendar!$A$1:$R$1377,18,0)=5,SUM(IFERROR(INDEX(Weekly_Model!$D$2:$D$9,MATCH(F524,Weekly_Model!$A$2:$A$9,0)),0),IFERROR(INDEX(Weekly_Model!$D$2:$D$9,MATCH(F525,Weekly_Model!$A$2:$A$9,0)),0),IFERROR(INDEX(Weekly_Model!$D$2:$D$9,MATCH(F526,Weekly_Model!$A$2:$A$9,0)),0),IFERROR(INDEX(Weekly_Model!$D$2:$D$9,MATCH(F527,Weekly_Model!$A$2:$A$9,0)),0),IFERROR(INDEX(Weekly_Model!$D$2:$D$9,MATCH(F528,Weekly_Model!$A$2:$A$9,0)),0)),0))))))</f>
        <v>2.3200000000000002E-2</v>
      </c>
      <c r="L524" s="27">
        <f>IF(VLOOKUP($A524,Calendar!$A$1:$R$1377,18,0)=0,0,IF(VLOOKUP($A524,Calendar!$A$1:$R$1377,18,0)=1,IFERROR(INDEX(Fortnightly_Model!$D$2:$D$15,MATCH(G524,Fortnightly_Model!$B$2:$B$15,0)),0),IF(VLOOKUP($A524,Calendar!$A$1:$R$1377,18,0)=2,SUM(IFERROR(INDEX(Fortnightly_Model!$D$2:$D$15,MATCH(G524,Fortnightly_Model!$B$2:$B$15,0)),0),IFERROR(INDEX(Fortnightly_Model!$D$2:$D$15,MATCH(G525,Fortnightly_Model!$B$2:$B$15,0)),0)),IF(VLOOKUP($A524,Calendar!$A$1:$R$1377,18,0)=3,SUM(IFERROR(INDEX(Fortnightly_Model!$D$2:$D$15,MATCH(G524,Fortnightly_Model!$B$2:$B$15,0)),0),IFERROR(INDEX(Fortnightly_Model!$D$2:$D$15,MATCH(G525,Fortnightly_Model!$B$2:$B$15,0)),0),IFERROR(INDEX(Fortnightly_Model!$D$2:$D$15,MATCH(G526,Fortnightly_Model!$B$2:$B$15,0)),0)),IF(VLOOKUP($A524,Calendar!$A$1:$R$1377,18,0)=4,SUM(IFERROR(INDEX(Fortnightly_Model!$D$2:$D$15,MATCH(G524,Fortnightly_Model!$B$2:$B$15,0)),0),IFERROR(INDEX(Fortnightly_Model!$D$2:$D$15,MATCH(G525,Fortnightly_Model!$B$2:$B$15,0)),0),IFERROR(INDEX(Fortnightly_Model!$D$2:$D$15,MATCH(G526,Fortnightly_Model!$B$2:$B$15,0)),0),IFERROR(INDEX(Fortnightly_Model!$D$2:$D$15,MATCH(G527,Fortnightly_Model!$B$2:$B$15,0)),0)),IF(VLOOKUP($A524,Calendar!$A$1:$R$1377,18,0)=5,SUM(IFERROR(INDEX(Fortnightly_Model!$D$2:$D$15,MATCH(G524,Fortnightly_Model!$B$2:$B$15,0)),0),IFERROR(INDEX(Fortnightly_Model!$D$2:$D$15,MATCH(G525,Fortnightly_Model!$B$2:$B$15,0)),0),IFERROR(INDEX(Fortnightly_Model!$D$2:$D$15,MATCH(G526,Fortnightly_Model!$B$2:$B$15,0)),0),IFERROR(INDEX(Fortnightly_Model!$D$2:$D$15,MATCH(G527,Fortnightly_Model!$B$2:$B$15,0)),0),IFERROR(INDEX(Fortnightly_Model!$D$2:$D$15,MATCH(G528,Fortnightly_Model!$B$2:$B$15,0)),0)),0))))))</f>
        <v>1.0714285499999999E-3</v>
      </c>
      <c r="M524" s="27">
        <f>IF(VLOOKUP($A524,Calendar!$A$1:$R$1377,18,0)=0,0,IF(VLOOKUP($A524,Calendar!$A$1:$R$1377,18,0)=1,IFERROR(INDEX(FourWeekly_Model!$D$2:$D$29,MATCH(H524,FourWeekly_Model!$B$2:$B$29,0)),0),IF(VLOOKUP($A524,Calendar!$A$1:$R$1377,18,0)=2,SUM(IFERROR(INDEX(FourWeekly_Model!$D$2:$D$29,MATCH(H524,FourWeekly_Model!$B$2:$B$29,0)),0),IFERROR(INDEX(FourWeekly_Model!$D$2:$D$29,MATCH(H525,FourWeekly_Model!$B$2:$B$29,0)),0)),IF(VLOOKUP($A524,Calendar!$A$1:$R$1377,18,0)=3,SUM(IFERROR(INDEX(FourWeekly_Model!$D$2:$D$29,MATCH(H524,FourWeekly_Model!$B$2:$B$29,0)),0),IFERROR(INDEX(FourWeekly_Model!$D$2:$D$29,MATCH(H525,FourWeekly_Model!$B$2:$B$29,0)),0),IFERROR(INDEX(FourWeekly_Model!$D$2:$D$29,MATCH(H526,FourWeekly_Model!$B$2:$B$29,0)),0)),IF(VLOOKUP($A524,Calendar!$A$1:$R$1377,18,0)=4,SUM(IFERROR(INDEX(FourWeekly_Model!$D$2:$D$29,MATCH(H524,FourWeekly_Model!$B$2:$B$29,0)),0),IFERROR(INDEX(FourWeekly_Model!$D$2:$D$29,MATCH(H525,FourWeekly_Model!$B$2:$B$29,0)),0),IFERROR(INDEX(FourWeekly_Model!$D$2:$D$29,MATCH(H526,FourWeekly_Model!$B$2:$B$29,0)),0),IFERROR(INDEX(FourWeekly_Model!$D$2:$D$29,MATCH(H527,FourWeekly_Model!$B$2:$B$29,0)),0)),IF(VLOOKUP($A524,Calendar!$A$1:$R$1377,18,0)=5,SUM(IFERROR(INDEX(FourWeekly_Model!$D$2:$D$29,MATCH(H524,FourWeekly_Model!$B$2:$B$29,0)),0),IFERROR(INDEX(FourWeekly_Model!$D$2:$D$29,MATCH(H525,FourWeekly_Model!$B$2:$B$29,0)),0),IFERROR(INDEX(FourWeekly_Model!$D$2:$D$29,MATCH(H526,FourWeekly_Model!$B$2:$B$29,0)),0),IFERROR(INDEX(FourWeekly_Model!$D$2:$D$29,MATCH(H527,FourWeekly_Model!$B$2:$B$29,0)),0),IFERROR(INDEX(FourWeekly_Model!$D$2:$D$29,MATCH(H528,FourWeekly_Model!$B$2:$B$29,0)),0)),0))))))</f>
        <v>3.3214289700000004E-3</v>
      </c>
      <c r="N524" s="27">
        <f>SUM(I524:M524)</f>
        <v>3.4905946525235605E-2</v>
      </c>
      <c r="O524" s="28">
        <f>Population_Data!$B$8*N524</f>
        <v>1057650.1797146387</v>
      </c>
      <c r="P524" s="27">
        <f>IF(VLOOKUP($A524,Calendar!$A$1:$R$1377,18,0)=0,0,IF(VLOOKUP($A524,Calendar!$A$1:$R$1377,18,0)=1,IFERROR(INDEX(Pension_Model!$D$2:$D$29,MATCH(H524,Pension_Model!$B$2:$B$29,0)),0),IF(VLOOKUP($A524,Calendar!$A$1:$R$1377,18,0)=2,SUM(IFERROR(INDEX(Pension_Model!$D$2:$D$29,MATCH(H524,Pension_Model!$B$2:$B$29,0)),0),IFERROR(INDEX(Pension_Model!$D$2:$D$29,MATCH(H525,Pension_Model!$B$2:$B$29,0)),0)),IF(VLOOKUP($A524,Calendar!$A$1:$R$1377,18,0)=3,SUM(IFERROR(INDEX(Pension_Model!$D$2:$D$29,MATCH(H524,Pension_Model!$B$2:$B$29,0)),0),IFERROR(INDEX(Pension_Model!$D$2:$D$29,MATCH(H525,Pension_Model!$B$2:$B$29,0)),0),IFERROR(INDEX(Pension_Model!$D$2:$D$29,MATCH(H526,Pension_Model!$B$2:$B$29,0)),0)),IF(VLOOKUP($A524,Calendar!$A$1:$R$1377,18,0)=4,SUM(IFERROR(INDEX(Pension_Model!$D$2:$D$29,MATCH(H524,Pension_Model!$B$2:$B$29,0)),0),IFERROR(INDEX(Pension_Model!$D$2:$D$29,MATCH(H525,Pension_Model!$B$2:$B$29,0)),0),IFERROR(INDEX(Pension_Model!$D$2:$D$29,MATCH(H526,Pension_Model!$B$2:$B$29,0)),0),IFERROR(INDEX(Pension_Model!$D$2:$D$29,MATCH(H527,Pension_Model!$B$2:$B$29,0)),0)),IF(VLOOKUP($A524,Calendar!$A$1:$R$1377,18,0)=5,SUM(IFERROR(INDEX(Pension_Model!$D$2:$D$29,MATCH(H524,Pension_Model!$B$2:$B$29,0)),0),IFERROR(INDEX(Pension_Model!$D$2:$D$29,MATCH(H525,Pension_Model!$B$2:$B$29,0)),0),IFERROR(INDEX(Pension_Model!$D$2:$D$29,MATCH(H526,Pension_Model!$B$2:$B$29,0)),0),IFERROR(INDEX(Pension_Model!$D$2:$D$29,MATCH(H527,Pension_Model!$B$2:$B$29,0)),0),IFERROR(INDEX(Pension_Model!$D$2:$D$29,MATCH(H528,Pension_Model!$B$2:$B$29,0)),0)),0))))))</f>
        <v>0.05</v>
      </c>
      <c r="Q524" s="28">
        <f>Population_Data!$B$15*P524</f>
        <v>660600</v>
      </c>
      <c r="S524">
        <f t="shared" si="8"/>
        <v>1718250.1797146387</v>
      </c>
      <c r="U524" s="33">
        <f>S524/Population_Data!$B$19</f>
        <v>3.1127720647004326E-2</v>
      </c>
    </row>
    <row r="525" spans="1:21">
      <c r="A525" s="25">
        <f>Calendar!A525</f>
        <v>46758</v>
      </c>
      <c r="B525" t="str">
        <f>Calendar!L525</f>
        <v>Yes</v>
      </c>
      <c r="C525" t="str">
        <f>Calendar!O525</f>
        <v>No</v>
      </c>
      <c r="D525" t="str">
        <f>Calendar!P525</f>
        <v>No</v>
      </c>
      <c r="E525" t="str">
        <f>Calendar!Q525</f>
        <v>No</v>
      </c>
      <c r="F525" t="str">
        <f>Calendar!I525</f>
        <v>Thursday</v>
      </c>
      <c r="G525">
        <f>Calendar!S525</f>
        <v>12</v>
      </c>
      <c r="H525">
        <f>Calendar!T525</f>
        <v>26</v>
      </c>
      <c r="I525" s="27">
        <f>IF(VLOOKUP(A525,Calendar!$A$1:$R$1377,18,0)=0,0,IF(VLOOKUP(A525,Calendar!$A$1:$R$1377,18,0)=1,INDEX(Monthly_Pay_Model!$A$9:$D$40,MATCH(TEXT(A525,"dd"),Monthly_Pay_Model!$C$9:$C$39,0),4),IF(VLOOKUP(A525,Calendar!$A$1:$R$1377,18,0)=2,SUM(INDEX(Monthly_Pay_Model!$A$9:$D$40,MATCH(TEXT(A525,"dd"),Monthly_Pay_Model!$C$9:$C$39,0),4),INDEX(Monthly_Pay_Model!$A$9:$D$40,MATCH(TEXT(A526,"dd"),Monthly_Pay_Model!$C$9:$C$39,0),4)),IF(VLOOKUP(A525,Calendar!$A$1:$R$1377,18,0)=3,SUM(INDEX(Monthly_Pay_Model!$A$9:$D$40,MATCH(TEXT(A525,"dd"),Monthly_Pay_Model!$C$9:$C$39,0),4),INDEX(Monthly_Pay_Model!$A$9:$D$40,MATCH(TEXT(A526,"dd"),Monthly_Pay_Model!$C$9:$C$39,0),4),INDEX(Monthly_Pay_Model!$A$9:$D$40,MATCH(TEXT(A527,"dd"),Monthly_Pay_Model!$C$9:$C$39,0),4)),IF(VLOOKUP(A525,Calendar!$A$1:$R$1377,18,0)=4,SUM(INDEX(Monthly_Pay_Model!$A$9:$D$40,MATCH(TEXT(A525,"dd"),Monthly_Pay_Model!$C$9:$C$39,0),4),INDEX(Monthly_Pay_Model!$A$9:$D$40,MATCH(TEXT(A526,"dd"),Monthly_Pay_Model!$C$9:$C$39,0),4),INDEX(Monthly_Pay_Model!$A$9:$D$40,MATCH(TEXT(A527,"dd"),Monthly_Pay_Model!$C$9:$C$39,0),4),INDEX(Monthly_Pay_Model!$A$9:$D$40,MATCH(TEXT(A528,"dd"),Monthly_Pay_Model!$C$9:$C$39,0),4)),IF(VLOOKUP(A525,Calendar!$A$1:$R$1377,18,0)=5,SUM(INDEX(Monthly_Pay_Model!$A$9:$D$40,MATCH(TEXT(A525,"dd"),Monthly_Pay_Model!$C$9:$C$39,0),4),INDEX(Monthly_Pay_Model!$A$9:$D$40,MATCH(TEXT(A526,"dd"),Monthly_Pay_Model!$C$9:$C$39,0),4),INDEX(Monthly_Pay_Model!$A$9:$D$40,MATCH(TEXT(A527,"dd"),Monthly_Pay_Model!$C$9:$C$39,0),4),INDEX(Monthly_Pay_Model!$A$9:$D$40,MATCH(TEXT(A528,"dd"),Monthly_Pay_Model!$C$9:$C$39,0),4),INDEX(Monthly_Pay_Model!$A$9:$D$40,MATCH(TEXT(A529,"dd"),Monthly_Pay_Model!$C$9:$C$39,0),4)),))))))</f>
        <v>3.2502617801047117E-3</v>
      </c>
      <c r="J525" s="33">
        <f>IF(C525="Yes",Monthly_Pay_Model!$D$2,0)
+IF(Calendar!N525="Yes",Monthly_Pay_Model!$D$3,0)
+IF(D525="Yes",Monthly_Pay_Model!$D$4,0)
+IF(E525="Yes",Monthly_Pay_Model!$D$5,0)</f>
        <v>0</v>
      </c>
      <c r="K525" s="27">
        <f>IF(VLOOKUP($A525,Calendar!$A$1:$R$1377,18,0)=0,0,IF(VLOOKUP($A525,Calendar!$A$1:$R$1377,18,0)=1,IFERROR(INDEX(Weekly_Model!$D$2:$D$9,MATCH(F525,Weekly_Model!$A$2:$A$9,0)),0),IF(VLOOKUP($A525,Calendar!$A$1:$R$1377,18,0)=2,SUM(IFERROR(INDEX(Weekly_Model!$D$2:$D$9,MATCH(F525,Weekly_Model!$A$2:$A$9,0)),0),IFERROR(INDEX(Weekly_Model!$D$2:$D$9,MATCH(F526,Weekly_Model!$A$2:$A$9,0)),0)),IF(VLOOKUP($A525,Calendar!$A$1:$R$1377,18,0)=3,SUM(IFERROR(INDEX(Weekly_Model!$D$2:$D$9,MATCH(F525,Weekly_Model!$A$2:$A$9,0)),0),IFERROR(INDEX(Weekly_Model!$D$2:$D$9,MATCH(F526,Weekly_Model!$A$2:$A$9,0)),0),IFERROR(INDEX(Weekly_Model!$D$2:$D$9,MATCH(F527,Weekly_Model!$A$2:$A$9,0)),0)),IF(VLOOKUP($A525,Calendar!$A$1:$R$1377,18,0)=4,SUM(IFERROR(INDEX(Weekly_Model!$D$2:$D$9,MATCH(F525,Weekly_Model!$A$2:$A$9,0)),0),IFERROR(INDEX(Weekly_Model!$D$2:$D$9,MATCH(F526,Weekly_Model!$A$2:$A$9,0)),0),IFERROR(INDEX(Weekly_Model!$D$2:$D$9,MATCH(F527,Weekly_Model!$A$2:$A$9,0)),0),IFERROR(INDEX(Weekly_Model!$D$2:$D$9,MATCH(F528,Weekly_Model!$A$2:$A$9,0)),0)),IF(VLOOKUP($A525,Calendar!$A$1:$R$1377,18,0)=5,SUM(IFERROR(INDEX(Weekly_Model!$D$2:$D$9,MATCH(F525,Weekly_Model!$A$2:$A$9,0)),0),IFERROR(INDEX(Weekly_Model!$D$2:$D$9,MATCH(F526,Weekly_Model!$A$2:$A$9,0)),0),IFERROR(INDEX(Weekly_Model!$D$2:$D$9,MATCH(F527,Weekly_Model!$A$2:$A$9,0)),0),IFERROR(INDEX(Weekly_Model!$D$2:$D$9,MATCH(F528,Weekly_Model!$A$2:$A$9,0)),0),IFERROR(INDEX(Weekly_Model!$D$2:$D$9,MATCH(F529,Weekly_Model!$A$2:$A$9,0)),0)),0))))))</f>
        <v>2.3200000000000002E-2</v>
      </c>
      <c r="L525" s="27">
        <f>IF(VLOOKUP($A525,Calendar!$A$1:$R$1377,18,0)=0,0,IF(VLOOKUP($A525,Calendar!$A$1:$R$1377,18,0)=1,IFERROR(INDEX(Fortnightly_Model!$D$2:$D$15,MATCH(G525,Fortnightly_Model!$B$2:$B$15,0)),0),IF(VLOOKUP($A525,Calendar!$A$1:$R$1377,18,0)=2,SUM(IFERROR(INDEX(Fortnightly_Model!$D$2:$D$15,MATCH(G525,Fortnightly_Model!$B$2:$B$15,0)),0),IFERROR(INDEX(Fortnightly_Model!$D$2:$D$15,MATCH(G526,Fortnightly_Model!$B$2:$B$15,0)),0)),IF(VLOOKUP($A525,Calendar!$A$1:$R$1377,18,0)=3,SUM(IFERROR(INDEX(Fortnightly_Model!$D$2:$D$15,MATCH(G525,Fortnightly_Model!$B$2:$B$15,0)),0),IFERROR(INDEX(Fortnightly_Model!$D$2:$D$15,MATCH(G526,Fortnightly_Model!$B$2:$B$15,0)),0),IFERROR(INDEX(Fortnightly_Model!$D$2:$D$15,MATCH(G527,Fortnightly_Model!$B$2:$B$15,0)),0)),IF(VLOOKUP($A525,Calendar!$A$1:$R$1377,18,0)=4,SUM(IFERROR(INDEX(Fortnightly_Model!$D$2:$D$15,MATCH(G525,Fortnightly_Model!$B$2:$B$15,0)),0),IFERROR(INDEX(Fortnightly_Model!$D$2:$D$15,MATCH(G526,Fortnightly_Model!$B$2:$B$15,0)),0),IFERROR(INDEX(Fortnightly_Model!$D$2:$D$15,MATCH(G527,Fortnightly_Model!$B$2:$B$15,0)),0),IFERROR(INDEX(Fortnightly_Model!$D$2:$D$15,MATCH(G528,Fortnightly_Model!$B$2:$B$15,0)),0)),IF(VLOOKUP($A525,Calendar!$A$1:$R$1377,18,0)=5,SUM(IFERROR(INDEX(Fortnightly_Model!$D$2:$D$15,MATCH(G525,Fortnightly_Model!$B$2:$B$15,0)),0),IFERROR(INDEX(Fortnightly_Model!$D$2:$D$15,MATCH(G526,Fortnightly_Model!$B$2:$B$15,0)),0),IFERROR(INDEX(Fortnightly_Model!$D$2:$D$15,MATCH(G527,Fortnightly_Model!$B$2:$B$15,0)),0),IFERROR(INDEX(Fortnightly_Model!$D$2:$D$15,MATCH(G528,Fortnightly_Model!$B$2:$B$15,0)),0),IFERROR(INDEX(Fortnightly_Model!$D$2:$D$15,MATCH(G529,Fortnightly_Model!$B$2:$B$15,0)),0)),0))))))</f>
        <v>1.0714285499999999E-3</v>
      </c>
      <c r="M525" s="27">
        <f>IF(VLOOKUP($A525,Calendar!$A$1:$R$1377,18,0)=0,0,IF(VLOOKUP($A525,Calendar!$A$1:$R$1377,18,0)=1,IFERROR(INDEX(FourWeekly_Model!$D$2:$D$29,MATCH(H525,FourWeekly_Model!$B$2:$B$29,0)),0),IF(VLOOKUP($A525,Calendar!$A$1:$R$1377,18,0)=2,SUM(IFERROR(INDEX(FourWeekly_Model!$D$2:$D$29,MATCH(H525,FourWeekly_Model!$B$2:$B$29,0)),0),IFERROR(INDEX(FourWeekly_Model!$D$2:$D$29,MATCH(H526,FourWeekly_Model!$B$2:$B$29,0)),0)),IF(VLOOKUP($A525,Calendar!$A$1:$R$1377,18,0)=3,SUM(IFERROR(INDEX(FourWeekly_Model!$D$2:$D$29,MATCH(H525,FourWeekly_Model!$B$2:$B$29,0)),0),IFERROR(INDEX(FourWeekly_Model!$D$2:$D$29,MATCH(H526,FourWeekly_Model!$B$2:$B$29,0)),0),IFERROR(INDEX(FourWeekly_Model!$D$2:$D$29,MATCH(H527,FourWeekly_Model!$B$2:$B$29,0)),0)),IF(VLOOKUP($A525,Calendar!$A$1:$R$1377,18,0)=4,SUM(IFERROR(INDEX(FourWeekly_Model!$D$2:$D$29,MATCH(H525,FourWeekly_Model!$B$2:$B$29,0)),0),IFERROR(INDEX(FourWeekly_Model!$D$2:$D$29,MATCH(H526,FourWeekly_Model!$B$2:$B$29,0)),0),IFERROR(INDEX(FourWeekly_Model!$D$2:$D$29,MATCH(H527,FourWeekly_Model!$B$2:$B$29,0)),0),IFERROR(INDEX(FourWeekly_Model!$D$2:$D$29,MATCH(H528,FourWeekly_Model!$B$2:$B$29,0)),0)),IF(VLOOKUP($A525,Calendar!$A$1:$R$1377,18,0)=5,SUM(IFERROR(INDEX(FourWeekly_Model!$D$2:$D$29,MATCH(H525,FourWeekly_Model!$B$2:$B$29,0)),0),IFERROR(INDEX(FourWeekly_Model!$D$2:$D$29,MATCH(H526,FourWeekly_Model!$B$2:$B$29,0)),0),IFERROR(INDEX(FourWeekly_Model!$D$2:$D$29,MATCH(H527,FourWeekly_Model!$B$2:$B$29,0)),0),IFERROR(INDEX(FourWeekly_Model!$D$2:$D$29,MATCH(H528,FourWeekly_Model!$B$2:$B$29,0)),0),IFERROR(INDEX(FourWeekly_Model!$D$2:$D$29,MATCH(H529,FourWeekly_Model!$B$2:$B$29,0)),0)),0))))))</f>
        <v>3.3214289700000004E-3</v>
      </c>
      <c r="N525" s="27">
        <f>SUM(I525:M525)</f>
        <v>3.0843119300104714E-2</v>
      </c>
      <c r="O525" s="28">
        <f>Population_Data!$B$8*N525</f>
        <v>934546.51479317283</v>
      </c>
      <c r="P525" s="27">
        <f>IF(VLOOKUP($A525,Calendar!$A$1:$R$1377,18,0)=0,0,IF(VLOOKUP($A525,Calendar!$A$1:$R$1377,18,0)=1,IFERROR(INDEX(Pension_Model!$D$2:$D$29,MATCH(H525,Pension_Model!$B$2:$B$29,0)),0),IF(VLOOKUP($A525,Calendar!$A$1:$R$1377,18,0)=2,SUM(IFERROR(INDEX(Pension_Model!$D$2:$D$29,MATCH(H525,Pension_Model!$B$2:$B$29,0)),0),IFERROR(INDEX(Pension_Model!$D$2:$D$29,MATCH(H526,Pension_Model!$B$2:$B$29,0)),0)),IF(VLOOKUP($A525,Calendar!$A$1:$R$1377,18,0)=3,SUM(IFERROR(INDEX(Pension_Model!$D$2:$D$29,MATCH(H525,Pension_Model!$B$2:$B$29,0)),0),IFERROR(INDEX(Pension_Model!$D$2:$D$29,MATCH(H526,Pension_Model!$B$2:$B$29,0)),0),IFERROR(INDEX(Pension_Model!$D$2:$D$29,MATCH(H527,Pension_Model!$B$2:$B$29,0)),0)),IF(VLOOKUP($A525,Calendar!$A$1:$R$1377,18,0)=4,SUM(IFERROR(INDEX(Pension_Model!$D$2:$D$29,MATCH(H525,Pension_Model!$B$2:$B$29,0)),0),IFERROR(INDEX(Pension_Model!$D$2:$D$29,MATCH(H526,Pension_Model!$B$2:$B$29,0)),0),IFERROR(INDEX(Pension_Model!$D$2:$D$29,MATCH(H527,Pension_Model!$B$2:$B$29,0)),0),IFERROR(INDEX(Pension_Model!$D$2:$D$29,MATCH(H528,Pension_Model!$B$2:$B$29,0)),0)),IF(VLOOKUP($A525,Calendar!$A$1:$R$1377,18,0)=5,SUM(IFERROR(INDEX(Pension_Model!$D$2:$D$29,MATCH(H525,Pension_Model!$B$2:$B$29,0)),0),IFERROR(INDEX(Pension_Model!$D$2:$D$29,MATCH(H526,Pension_Model!$B$2:$B$29,0)),0),IFERROR(INDEX(Pension_Model!$D$2:$D$29,MATCH(H527,Pension_Model!$B$2:$B$29,0)),0),IFERROR(INDEX(Pension_Model!$D$2:$D$29,MATCH(H528,Pension_Model!$B$2:$B$29,0)),0),IFERROR(INDEX(Pension_Model!$D$2:$D$29,MATCH(H529,Pension_Model!$B$2:$B$29,0)),0)),0))))))</f>
        <v>0.05</v>
      </c>
      <c r="Q525" s="28">
        <f>Population_Data!$B$15*P525</f>
        <v>660600</v>
      </c>
      <c r="S525">
        <f t="shared" si="8"/>
        <v>1595146.5147931729</v>
      </c>
      <c r="U525" s="33">
        <f>S525/Population_Data!$B$19</f>
        <v>2.8897581789731393E-2</v>
      </c>
    </row>
    <row r="526" spans="1:21">
      <c r="A526" s="25">
        <f>Calendar!A526</f>
        <v>46759</v>
      </c>
      <c r="B526" t="str">
        <f>Calendar!L526</f>
        <v>Yes</v>
      </c>
      <c r="C526" t="str">
        <f>Calendar!O526</f>
        <v>No</v>
      </c>
      <c r="D526" t="str">
        <f>Calendar!P526</f>
        <v>No</v>
      </c>
      <c r="E526" t="str">
        <f>Calendar!Q526</f>
        <v>No</v>
      </c>
      <c r="F526" t="str">
        <f>Calendar!I526</f>
        <v>Friday</v>
      </c>
      <c r="G526">
        <f>Calendar!S526</f>
        <v>13</v>
      </c>
      <c r="H526">
        <f>Calendar!T526</f>
        <v>27</v>
      </c>
      <c r="I526" s="27">
        <f>IF(VLOOKUP(A526,Calendar!$A$1:$R$1377,18,0)=0,0,IF(VLOOKUP(A526,Calendar!$A$1:$R$1377,18,0)=1,INDEX(Monthly_Pay_Model!$A$9:$D$40,MATCH(TEXT(A526,"dd"),Monthly_Pay_Model!$C$9:$C$39,0),4),IF(VLOOKUP(A526,Calendar!$A$1:$R$1377,18,0)=2,SUM(INDEX(Monthly_Pay_Model!$A$9:$D$40,MATCH(TEXT(A526,"dd"),Monthly_Pay_Model!$C$9:$C$39,0),4),INDEX(Monthly_Pay_Model!$A$9:$D$40,MATCH(TEXT(A527,"dd"),Monthly_Pay_Model!$C$9:$C$39,0),4)),IF(VLOOKUP(A526,Calendar!$A$1:$R$1377,18,0)=3,SUM(INDEX(Monthly_Pay_Model!$A$9:$D$40,MATCH(TEXT(A526,"dd"),Monthly_Pay_Model!$C$9:$C$39,0),4),INDEX(Monthly_Pay_Model!$A$9:$D$40,MATCH(TEXT(A527,"dd"),Monthly_Pay_Model!$C$9:$C$39,0),4),INDEX(Monthly_Pay_Model!$A$9:$D$40,MATCH(TEXT(A528,"dd"),Monthly_Pay_Model!$C$9:$C$39,0),4)),IF(VLOOKUP(A526,Calendar!$A$1:$R$1377,18,0)=4,SUM(INDEX(Monthly_Pay_Model!$A$9:$D$40,MATCH(TEXT(A526,"dd"),Monthly_Pay_Model!$C$9:$C$39,0),4),INDEX(Monthly_Pay_Model!$A$9:$D$40,MATCH(TEXT(A527,"dd"),Monthly_Pay_Model!$C$9:$C$39,0),4),INDEX(Monthly_Pay_Model!$A$9:$D$40,MATCH(TEXT(A528,"dd"),Monthly_Pay_Model!$C$9:$C$39,0),4),INDEX(Monthly_Pay_Model!$A$9:$D$40,MATCH(TEXT(A529,"dd"),Monthly_Pay_Model!$C$9:$C$39,0),4)),IF(VLOOKUP(A526,Calendar!$A$1:$R$1377,18,0)=5,SUM(INDEX(Monthly_Pay_Model!$A$9:$D$40,MATCH(TEXT(A526,"dd"),Monthly_Pay_Model!$C$9:$C$39,0),4),INDEX(Monthly_Pay_Model!$A$9:$D$40,MATCH(TEXT(A527,"dd"),Monthly_Pay_Model!$C$9:$C$39,0),4),INDEX(Monthly_Pay_Model!$A$9:$D$40,MATCH(TEXT(A528,"dd"),Monthly_Pay_Model!$C$9:$C$39,0),4),INDEX(Monthly_Pay_Model!$A$9:$D$40,MATCH(TEXT(A529,"dd"),Monthly_Pay_Model!$C$9:$C$39,0),4),INDEX(Monthly_Pay_Model!$A$9:$D$40,MATCH(TEXT(A530,"dd"),Monthly_Pay_Model!$C$9:$C$39,0),4)),))))))</f>
        <v>4.8753926701570671E-3</v>
      </c>
      <c r="J526" s="33">
        <f>IF(C526="Yes",Monthly_Pay_Model!$D$2,0)
+IF(Calendar!N526="Yes",Monthly_Pay_Model!$D$3,0)
+IF(D526="Yes",Monthly_Pay_Model!$D$4,0)
+IF(E526="Yes",Monthly_Pay_Model!$D$5,0)</f>
        <v>0</v>
      </c>
      <c r="K526" s="27">
        <f>IF(VLOOKUP($A526,Calendar!$A$1:$R$1377,18,0)=0,0,IF(VLOOKUP($A526,Calendar!$A$1:$R$1377,18,0)=1,IFERROR(INDEX(Weekly_Model!$D$2:$D$9,MATCH(F526,Weekly_Model!$A$2:$A$9,0)),0),IF(VLOOKUP($A526,Calendar!$A$1:$R$1377,18,0)=2,SUM(IFERROR(INDEX(Weekly_Model!$D$2:$D$9,MATCH(F526,Weekly_Model!$A$2:$A$9,0)),0),IFERROR(INDEX(Weekly_Model!$D$2:$D$9,MATCH(F527,Weekly_Model!$A$2:$A$9,0)),0)),IF(VLOOKUP($A526,Calendar!$A$1:$R$1377,18,0)=3,SUM(IFERROR(INDEX(Weekly_Model!$D$2:$D$9,MATCH(F526,Weekly_Model!$A$2:$A$9,0)),0),IFERROR(INDEX(Weekly_Model!$D$2:$D$9,MATCH(F527,Weekly_Model!$A$2:$A$9,0)),0),IFERROR(INDEX(Weekly_Model!$D$2:$D$9,MATCH(F528,Weekly_Model!$A$2:$A$9,0)),0)),IF(VLOOKUP($A526,Calendar!$A$1:$R$1377,18,0)=4,SUM(IFERROR(INDEX(Weekly_Model!$D$2:$D$9,MATCH(F526,Weekly_Model!$A$2:$A$9,0)),0),IFERROR(INDEX(Weekly_Model!$D$2:$D$9,MATCH(F527,Weekly_Model!$A$2:$A$9,0)),0),IFERROR(INDEX(Weekly_Model!$D$2:$D$9,MATCH(F528,Weekly_Model!$A$2:$A$9,0)),0),IFERROR(INDEX(Weekly_Model!$D$2:$D$9,MATCH(F529,Weekly_Model!$A$2:$A$9,0)),0)),IF(VLOOKUP($A526,Calendar!$A$1:$R$1377,18,0)=5,SUM(IFERROR(INDEX(Weekly_Model!$D$2:$D$9,MATCH(F526,Weekly_Model!$A$2:$A$9,0)),0),IFERROR(INDEX(Weekly_Model!$D$2:$D$9,MATCH(F527,Weekly_Model!$A$2:$A$9,0)),0),IFERROR(INDEX(Weekly_Model!$D$2:$D$9,MATCH(F528,Weekly_Model!$A$2:$A$9,0)),0),IFERROR(INDEX(Weekly_Model!$D$2:$D$9,MATCH(F529,Weekly_Model!$A$2:$A$9,0)),0),IFERROR(INDEX(Weekly_Model!$D$2:$D$9,MATCH(F530,Weekly_Model!$A$2:$A$9,0)),0)),0))))))</f>
        <v>2.3200000000000002E-2</v>
      </c>
      <c r="L526" s="27">
        <f>IF(VLOOKUP($A526,Calendar!$A$1:$R$1377,18,0)=0,0,IF(VLOOKUP($A526,Calendar!$A$1:$R$1377,18,0)=1,IFERROR(INDEX(Fortnightly_Model!$D$2:$D$15,MATCH(G526,Fortnightly_Model!$B$2:$B$15,0)),0),IF(VLOOKUP($A526,Calendar!$A$1:$R$1377,18,0)=2,SUM(IFERROR(INDEX(Fortnightly_Model!$D$2:$D$15,MATCH(G526,Fortnightly_Model!$B$2:$B$15,0)),0),IFERROR(INDEX(Fortnightly_Model!$D$2:$D$15,MATCH(G527,Fortnightly_Model!$B$2:$B$15,0)),0)),IF(VLOOKUP($A526,Calendar!$A$1:$R$1377,18,0)=3,SUM(IFERROR(INDEX(Fortnightly_Model!$D$2:$D$15,MATCH(G526,Fortnightly_Model!$B$2:$B$15,0)),0),IFERROR(INDEX(Fortnightly_Model!$D$2:$D$15,MATCH(G527,Fortnightly_Model!$B$2:$B$15,0)),0),IFERROR(INDEX(Fortnightly_Model!$D$2:$D$15,MATCH(G528,Fortnightly_Model!$B$2:$B$15,0)),0)),IF(VLOOKUP($A526,Calendar!$A$1:$R$1377,18,0)=4,SUM(IFERROR(INDEX(Fortnightly_Model!$D$2:$D$15,MATCH(G526,Fortnightly_Model!$B$2:$B$15,0)),0),IFERROR(INDEX(Fortnightly_Model!$D$2:$D$15,MATCH(G527,Fortnightly_Model!$B$2:$B$15,0)),0),IFERROR(INDEX(Fortnightly_Model!$D$2:$D$15,MATCH(G528,Fortnightly_Model!$B$2:$B$15,0)),0),IFERROR(INDEX(Fortnightly_Model!$D$2:$D$15,MATCH(G529,Fortnightly_Model!$B$2:$B$15,0)),0)),IF(VLOOKUP($A526,Calendar!$A$1:$R$1377,18,0)=5,SUM(IFERROR(INDEX(Fortnightly_Model!$D$2:$D$15,MATCH(G526,Fortnightly_Model!$B$2:$B$15,0)),0),IFERROR(INDEX(Fortnightly_Model!$D$2:$D$15,MATCH(G527,Fortnightly_Model!$B$2:$B$15,0)),0),IFERROR(INDEX(Fortnightly_Model!$D$2:$D$15,MATCH(G528,Fortnightly_Model!$B$2:$B$15,0)),0),IFERROR(INDEX(Fortnightly_Model!$D$2:$D$15,MATCH(G529,Fortnightly_Model!$B$2:$B$15,0)),0),IFERROR(INDEX(Fortnightly_Model!$D$2:$D$15,MATCH(G530,Fortnightly_Model!$B$2:$B$15,0)),0)),0))))))</f>
        <v>3.2142856499999999E-3</v>
      </c>
      <c r="M526" s="27">
        <f>IF(VLOOKUP($A526,Calendar!$A$1:$R$1377,18,0)=0,0,IF(VLOOKUP($A526,Calendar!$A$1:$R$1377,18,0)=1,IFERROR(INDEX(FourWeekly_Model!$D$2:$D$29,MATCH(H526,FourWeekly_Model!$B$2:$B$29,0)),0),IF(VLOOKUP($A526,Calendar!$A$1:$R$1377,18,0)=2,SUM(IFERROR(INDEX(FourWeekly_Model!$D$2:$D$29,MATCH(H526,FourWeekly_Model!$B$2:$B$29,0)),0),IFERROR(INDEX(FourWeekly_Model!$D$2:$D$29,MATCH(H527,FourWeekly_Model!$B$2:$B$29,0)),0)),IF(VLOOKUP($A526,Calendar!$A$1:$R$1377,18,0)=3,SUM(IFERROR(INDEX(FourWeekly_Model!$D$2:$D$29,MATCH(H526,FourWeekly_Model!$B$2:$B$29,0)),0),IFERROR(INDEX(FourWeekly_Model!$D$2:$D$29,MATCH(H527,FourWeekly_Model!$B$2:$B$29,0)),0),IFERROR(INDEX(FourWeekly_Model!$D$2:$D$29,MATCH(H528,FourWeekly_Model!$B$2:$B$29,0)),0)),IF(VLOOKUP($A526,Calendar!$A$1:$R$1377,18,0)=4,SUM(IFERROR(INDEX(FourWeekly_Model!$D$2:$D$29,MATCH(H526,FourWeekly_Model!$B$2:$B$29,0)),0),IFERROR(INDEX(FourWeekly_Model!$D$2:$D$29,MATCH(H527,FourWeekly_Model!$B$2:$B$29,0)),0),IFERROR(INDEX(FourWeekly_Model!$D$2:$D$29,MATCH(H528,FourWeekly_Model!$B$2:$B$29,0)),0),IFERROR(INDEX(FourWeekly_Model!$D$2:$D$29,MATCH(H529,FourWeekly_Model!$B$2:$B$29,0)),0)),IF(VLOOKUP($A526,Calendar!$A$1:$R$1377,18,0)=5,SUM(IFERROR(INDEX(FourWeekly_Model!$D$2:$D$29,MATCH(H526,FourWeekly_Model!$B$2:$B$29,0)),0),IFERROR(INDEX(FourWeekly_Model!$D$2:$D$29,MATCH(H527,FourWeekly_Model!$B$2:$B$29,0)),0),IFERROR(INDEX(FourWeekly_Model!$D$2:$D$29,MATCH(H528,FourWeekly_Model!$B$2:$B$29,0)),0),IFERROR(INDEX(FourWeekly_Model!$D$2:$D$29,MATCH(H529,FourWeekly_Model!$B$2:$B$29,0)),0),IFERROR(INDEX(FourWeekly_Model!$D$2:$D$29,MATCH(H530,FourWeekly_Model!$B$2:$B$29,0)),0)),0))))))</f>
        <v>9.9642859800000011E-3</v>
      </c>
      <c r="N526" s="27">
        <f>SUM(I526:M526)</f>
        <v>4.125396430015707E-2</v>
      </c>
      <c r="O526" s="28">
        <f>Population_Data!$B$8*N526</f>
        <v>1249995.1182947592</v>
      </c>
      <c r="P526" s="27">
        <f>IF(VLOOKUP($A526,Calendar!$A$1:$R$1377,18,0)=0,0,IF(VLOOKUP($A526,Calendar!$A$1:$R$1377,18,0)=1,IFERROR(INDEX(Pension_Model!$D$2:$D$29,MATCH(H526,Pension_Model!$B$2:$B$29,0)),0),IF(VLOOKUP($A526,Calendar!$A$1:$R$1377,18,0)=2,SUM(IFERROR(INDEX(Pension_Model!$D$2:$D$29,MATCH(H526,Pension_Model!$B$2:$B$29,0)),0),IFERROR(INDEX(Pension_Model!$D$2:$D$29,MATCH(H527,Pension_Model!$B$2:$B$29,0)),0)),IF(VLOOKUP($A526,Calendar!$A$1:$R$1377,18,0)=3,SUM(IFERROR(INDEX(Pension_Model!$D$2:$D$29,MATCH(H526,Pension_Model!$B$2:$B$29,0)),0),IFERROR(INDEX(Pension_Model!$D$2:$D$29,MATCH(H527,Pension_Model!$B$2:$B$29,0)),0),IFERROR(INDEX(Pension_Model!$D$2:$D$29,MATCH(H528,Pension_Model!$B$2:$B$29,0)),0)),IF(VLOOKUP($A526,Calendar!$A$1:$R$1377,18,0)=4,SUM(IFERROR(INDEX(Pension_Model!$D$2:$D$29,MATCH(H526,Pension_Model!$B$2:$B$29,0)),0),IFERROR(INDEX(Pension_Model!$D$2:$D$29,MATCH(H527,Pension_Model!$B$2:$B$29,0)),0),IFERROR(INDEX(Pension_Model!$D$2:$D$29,MATCH(H528,Pension_Model!$B$2:$B$29,0)),0),IFERROR(INDEX(Pension_Model!$D$2:$D$29,MATCH(H529,Pension_Model!$B$2:$B$29,0)),0)),IF(VLOOKUP($A526,Calendar!$A$1:$R$1377,18,0)=5,SUM(IFERROR(INDEX(Pension_Model!$D$2:$D$29,MATCH(H526,Pension_Model!$B$2:$B$29,0)),0),IFERROR(INDEX(Pension_Model!$D$2:$D$29,MATCH(H527,Pension_Model!$B$2:$B$29,0)),0),IFERROR(INDEX(Pension_Model!$D$2:$D$29,MATCH(H528,Pension_Model!$B$2:$B$29,0)),0),IFERROR(INDEX(Pension_Model!$D$2:$D$29,MATCH(H529,Pension_Model!$B$2:$B$29,0)),0),IFERROR(INDEX(Pension_Model!$D$2:$D$29,MATCH(H530,Pension_Model!$B$2:$B$29,0)),0)),0))))))</f>
        <v>0.05</v>
      </c>
      <c r="Q526" s="28">
        <f>Population_Data!$B$15*P526</f>
        <v>660600</v>
      </c>
      <c r="S526">
        <f t="shared" si="8"/>
        <v>1910595.1182947592</v>
      </c>
      <c r="U526" s="33">
        <f>S526/Population_Data!$B$19</f>
        <v>3.4612230403890568E-2</v>
      </c>
    </row>
    <row r="527" spans="1:21">
      <c r="A527" s="25">
        <f>Calendar!A527</f>
        <v>46760</v>
      </c>
      <c r="B527" t="str">
        <f>Calendar!L527</f>
        <v>No</v>
      </c>
      <c r="C527" t="str">
        <f>Calendar!O527</f>
        <v>No</v>
      </c>
      <c r="D527" t="str">
        <f>Calendar!P527</f>
        <v>No</v>
      </c>
      <c r="E527" t="str">
        <f>Calendar!Q527</f>
        <v>No</v>
      </c>
      <c r="F527" t="str">
        <f>Calendar!I527</f>
        <v>Saturday</v>
      </c>
      <c r="G527">
        <f>Calendar!S527</f>
        <v>0</v>
      </c>
      <c r="H527">
        <f>Calendar!T527</f>
        <v>0</v>
      </c>
      <c r="I527" s="27">
        <f>IF(VLOOKUP(A527,Calendar!$A$1:$R$1377,18,0)=0,0,IF(VLOOKUP(A527,Calendar!$A$1:$R$1377,18,0)=1,INDEX(Monthly_Pay_Model!$A$9:$D$40,MATCH(TEXT(A527,"dd"),Monthly_Pay_Model!$C$9:$C$39,0),4),IF(VLOOKUP(A527,Calendar!$A$1:$R$1377,18,0)=2,SUM(INDEX(Monthly_Pay_Model!$A$9:$D$40,MATCH(TEXT(A527,"dd"),Monthly_Pay_Model!$C$9:$C$39,0),4),INDEX(Monthly_Pay_Model!$A$9:$D$40,MATCH(TEXT(A528,"dd"),Monthly_Pay_Model!$C$9:$C$39,0),4)),IF(VLOOKUP(A527,Calendar!$A$1:$R$1377,18,0)=3,SUM(INDEX(Monthly_Pay_Model!$A$9:$D$40,MATCH(TEXT(A527,"dd"),Monthly_Pay_Model!$C$9:$C$39,0),4),INDEX(Monthly_Pay_Model!$A$9:$D$40,MATCH(TEXT(A528,"dd"),Monthly_Pay_Model!$C$9:$C$39,0),4),INDEX(Monthly_Pay_Model!$A$9:$D$40,MATCH(TEXT(A529,"dd"),Monthly_Pay_Model!$C$9:$C$39,0),4)),IF(VLOOKUP(A527,Calendar!$A$1:$R$1377,18,0)=4,SUM(INDEX(Monthly_Pay_Model!$A$9:$D$40,MATCH(TEXT(A527,"dd"),Monthly_Pay_Model!$C$9:$C$39,0),4),INDEX(Monthly_Pay_Model!$A$9:$D$40,MATCH(TEXT(A528,"dd"),Monthly_Pay_Model!$C$9:$C$39,0),4),INDEX(Monthly_Pay_Model!$A$9:$D$40,MATCH(TEXT(A529,"dd"),Monthly_Pay_Model!$C$9:$C$39,0),4),INDEX(Monthly_Pay_Model!$A$9:$D$40,MATCH(TEXT(A530,"dd"),Monthly_Pay_Model!$C$9:$C$39,0),4)),IF(VLOOKUP(A527,Calendar!$A$1:$R$1377,18,0)=5,SUM(INDEX(Monthly_Pay_Model!$A$9:$D$40,MATCH(TEXT(A527,"dd"),Monthly_Pay_Model!$C$9:$C$39,0),4),INDEX(Monthly_Pay_Model!$A$9:$D$40,MATCH(TEXT(A528,"dd"),Monthly_Pay_Model!$C$9:$C$39,0),4),INDEX(Monthly_Pay_Model!$A$9:$D$40,MATCH(TEXT(A529,"dd"),Monthly_Pay_Model!$C$9:$C$39,0),4),INDEX(Monthly_Pay_Model!$A$9:$D$40,MATCH(TEXT(A530,"dd"),Monthly_Pay_Model!$C$9:$C$39,0),4),INDEX(Monthly_Pay_Model!$A$9:$D$40,MATCH(TEXT(A531,"dd"),Monthly_Pay_Model!$C$9:$C$39,0),4)),))))))</f>
        <v>0</v>
      </c>
      <c r="J527" s="33">
        <f>IF(C527="Yes",Monthly_Pay_Model!$D$2,0)
+IF(Calendar!N527="Yes",Monthly_Pay_Model!$D$3,0)
+IF(D527="Yes",Monthly_Pay_Model!$D$4,0)
+IF(E527="Yes",Monthly_Pay_Model!$D$5,0)</f>
        <v>0</v>
      </c>
      <c r="K527" s="27">
        <f>IF(VLOOKUP($A527,Calendar!$A$1:$R$1377,18,0)=0,0,IF(VLOOKUP($A527,Calendar!$A$1:$R$1377,18,0)=1,IFERROR(INDEX(Weekly_Model!$D$2:$D$9,MATCH(F527,Weekly_Model!$A$2:$A$9,0)),0),IF(VLOOKUP($A527,Calendar!$A$1:$R$1377,18,0)=2,SUM(IFERROR(INDEX(Weekly_Model!$D$2:$D$9,MATCH(F527,Weekly_Model!$A$2:$A$9,0)),0),IFERROR(INDEX(Weekly_Model!$D$2:$D$9,MATCH(F528,Weekly_Model!$A$2:$A$9,0)),0)),IF(VLOOKUP($A527,Calendar!$A$1:$R$1377,18,0)=3,SUM(IFERROR(INDEX(Weekly_Model!$D$2:$D$9,MATCH(F527,Weekly_Model!$A$2:$A$9,0)),0),IFERROR(INDEX(Weekly_Model!$D$2:$D$9,MATCH(F528,Weekly_Model!$A$2:$A$9,0)),0),IFERROR(INDEX(Weekly_Model!$D$2:$D$9,MATCH(F529,Weekly_Model!$A$2:$A$9,0)),0)),IF(VLOOKUP($A527,Calendar!$A$1:$R$1377,18,0)=4,SUM(IFERROR(INDEX(Weekly_Model!$D$2:$D$9,MATCH(F527,Weekly_Model!$A$2:$A$9,0)),0),IFERROR(INDEX(Weekly_Model!$D$2:$D$9,MATCH(F528,Weekly_Model!$A$2:$A$9,0)),0),IFERROR(INDEX(Weekly_Model!$D$2:$D$9,MATCH(F529,Weekly_Model!$A$2:$A$9,0)),0),IFERROR(INDEX(Weekly_Model!$D$2:$D$9,MATCH(F530,Weekly_Model!$A$2:$A$9,0)),0)),IF(VLOOKUP($A527,Calendar!$A$1:$R$1377,18,0)=5,SUM(IFERROR(INDEX(Weekly_Model!$D$2:$D$9,MATCH(F527,Weekly_Model!$A$2:$A$9,0)),0),IFERROR(INDEX(Weekly_Model!$D$2:$D$9,MATCH(F528,Weekly_Model!$A$2:$A$9,0)),0),IFERROR(INDEX(Weekly_Model!$D$2:$D$9,MATCH(F529,Weekly_Model!$A$2:$A$9,0)),0),IFERROR(INDEX(Weekly_Model!$D$2:$D$9,MATCH(F530,Weekly_Model!$A$2:$A$9,0)),0),IFERROR(INDEX(Weekly_Model!$D$2:$D$9,MATCH(F531,Weekly_Model!$A$2:$A$9,0)),0)),0))))))</f>
        <v>0</v>
      </c>
      <c r="L527" s="27">
        <f>IF(VLOOKUP($A527,Calendar!$A$1:$R$1377,18,0)=0,0,IF(VLOOKUP($A527,Calendar!$A$1:$R$1377,18,0)=1,IFERROR(INDEX(Fortnightly_Model!$D$2:$D$15,MATCH(G527,Fortnightly_Model!$B$2:$B$15,0)),0),IF(VLOOKUP($A527,Calendar!$A$1:$R$1377,18,0)=2,SUM(IFERROR(INDEX(Fortnightly_Model!$D$2:$D$15,MATCH(G527,Fortnightly_Model!$B$2:$B$15,0)),0),IFERROR(INDEX(Fortnightly_Model!$D$2:$D$15,MATCH(G528,Fortnightly_Model!$B$2:$B$15,0)),0)),IF(VLOOKUP($A527,Calendar!$A$1:$R$1377,18,0)=3,SUM(IFERROR(INDEX(Fortnightly_Model!$D$2:$D$15,MATCH(G527,Fortnightly_Model!$B$2:$B$15,0)),0),IFERROR(INDEX(Fortnightly_Model!$D$2:$D$15,MATCH(G528,Fortnightly_Model!$B$2:$B$15,0)),0),IFERROR(INDEX(Fortnightly_Model!$D$2:$D$15,MATCH(G529,Fortnightly_Model!$B$2:$B$15,0)),0)),IF(VLOOKUP($A527,Calendar!$A$1:$R$1377,18,0)=4,SUM(IFERROR(INDEX(Fortnightly_Model!$D$2:$D$15,MATCH(G527,Fortnightly_Model!$B$2:$B$15,0)),0),IFERROR(INDEX(Fortnightly_Model!$D$2:$D$15,MATCH(G528,Fortnightly_Model!$B$2:$B$15,0)),0),IFERROR(INDEX(Fortnightly_Model!$D$2:$D$15,MATCH(G529,Fortnightly_Model!$B$2:$B$15,0)),0),IFERROR(INDEX(Fortnightly_Model!$D$2:$D$15,MATCH(G530,Fortnightly_Model!$B$2:$B$15,0)),0)),IF(VLOOKUP($A527,Calendar!$A$1:$R$1377,18,0)=5,SUM(IFERROR(INDEX(Fortnightly_Model!$D$2:$D$15,MATCH(G527,Fortnightly_Model!$B$2:$B$15,0)),0),IFERROR(INDEX(Fortnightly_Model!$D$2:$D$15,MATCH(G528,Fortnightly_Model!$B$2:$B$15,0)),0),IFERROR(INDEX(Fortnightly_Model!$D$2:$D$15,MATCH(G529,Fortnightly_Model!$B$2:$B$15,0)),0),IFERROR(INDEX(Fortnightly_Model!$D$2:$D$15,MATCH(G530,Fortnightly_Model!$B$2:$B$15,0)),0),IFERROR(INDEX(Fortnightly_Model!$D$2:$D$15,MATCH(G531,Fortnightly_Model!$B$2:$B$15,0)),0)),0))))))</f>
        <v>0</v>
      </c>
      <c r="M527" s="27">
        <f>IF(VLOOKUP($A527,Calendar!$A$1:$R$1377,18,0)=0,0,IF(VLOOKUP($A527,Calendar!$A$1:$R$1377,18,0)=1,IFERROR(INDEX(FourWeekly_Model!$D$2:$D$29,MATCH(H527,FourWeekly_Model!$B$2:$B$29,0)),0),IF(VLOOKUP($A527,Calendar!$A$1:$R$1377,18,0)=2,SUM(IFERROR(INDEX(FourWeekly_Model!$D$2:$D$29,MATCH(H527,FourWeekly_Model!$B$2:$B$29,0)),0),IFERROR(INDEX(FourWeekly_Model!$D$2:$D$29,MATCH(H528,FourWeekly_Model!$B$2:$B$29,0)),0)),IF(VLOOKUP($A527,Calendar!$A$1:$R$1377,18,0)=3,SUM(IFERROR(INDEX(FourWeekly_Model!$D$2:$D$29,MATCH(H527,FourWeekly_Model!$B$2:$B$29,0)),0),IFERROR(INDEX(FourWeekly_Model!$D$2:$D$29,MATCH(H528,FourWeekly_Model!$B$2:$B$29,0)),0),IFERROR(INDEX(FourWeekly_Model!$D$2:$D$29,MATCH(H529,FourWeekly_Model!$B$2:$B$29,0)),0)),IF(VLOOKUP($A527,Calendar!$A$1:$R$1377,18,0)=4,SUM(IFERROR(INDEX(FourWeekly_Model!$D$2:$D$29,MATCH(H527,FourWeekly_Model!$B$2:$B$29,0)),0),IFERROR(INDEX(FourWeekly_Model!$D$2:$D$29,MATCH(H528,FourWeekly_Model!$B$2:$B$29,0)),0),IFERROR(INDEX(FourWeekly_Model!$D$2:$D$29,MATCH(H529,FourWeekly_Model!$B$2:$B$29,0)),0),IFERROR(INDEX(FourWeekly_Model!$D$2:$D$29,MATCH(H530,FourWeekly_Model!$B$2:$B$29,0)),0)),IF(VLOOKUP($A527,Calendar!$A$1:$R$1377,18,0)=5,SUM(IFERROR(INDEX(FourWeekly_Model!$D$2:$D$29,MATCH(H527,FourWeekly_Model!$B$2:$B$29,0)),0),IFERROR(INDEX(FourWeekly_Model!$D$2:$D$29,MATCH(H528,FourWeekly_Model!$B$2:$B$29,0)),0),IFERROR(INDEX(FourWeekly_Model!$D$2:$D$29,MATCH(H529,FourWeekly_Model!$B$2:$B$29,0)),0),IFERROR(INDEX(FourWeekly_Model!$D$2:$D$29,MATCH(H530,FourWeekly_Model!$B$2:$B$29,0)),0),IFERROR(INDEX(FourWeekly_Model!$D$2:$D$29,MATCH(H531,FourWeekly_Model!$B$2:$B$29,0)),0)),0))))))</f>
        <v>0</v>
      </c>
      <c r="N527" s="27">
        <f>SUM(I527:M527)</f>
        <v>0</v>
      </c>
      <c r="O527" s="28">
        <f>Population_Data!$B$8*N527</f>
        <v>0</v>
      </c>
      <c r="P527" s="27">
        <f>IF(VLOOKUP($A527,Calendar!$A$1:$R$1377,18,0)=0,0,IF(VLOOKUP($A527,Calendar!$A$1:$R$1377,18,0)=1,IFERROR(INDEX(Pension_Model!$D$2:$D$29,MATCH(H527,Pension_Model!$B$2:$B$29,0)),0),IF(VLOOKUP($A527,Calendar!$A$1:$R$1377,18,0)=2,SUM(IFERROR(INDEX(Pension_Model!$D$2:$D$29,MATCH(H527,Pension_Model!$B$2:$B$29,0)),0),IFERROR(INDEX(Pension_Model!$D$2:$D$29,MATCH(H528,Pension_Model!$B$2:$B$29,0)),0)),IF(VLOOKUP($A527,Calendar!$A$1:$R$1377,18,0)=3,SUM(IFERROR(INDEX(Pension_Model!$D$2:$D$29,MATCH(H527,Pension_Model!$B$2:$B$29,0)),0),IFERROR(INDEX(Pension_Model!$D$2:$D$29,MATCH(H528,Pension_Model!$B$2:$B$29,0)),0),IFERROR(INDEX(Pension_Model!$D$2:$D$29,MATCH(H529,Pension_Model!$B$2:$B$29,0)),0)),IF(VLOOKUP($A527,Calendar!$A$1:$R$1377,18,0)=4,SUM(IFERROR(INDEX(Pension_Model!$D$2:$D$29,MATCH(H527,Pension_Model!$B$2:$B$29,0)),0),IFERROR(INDEX(Pension_Model!$D$2:$D$29,MATCH(H528,Pension_Model!$B$2:$B$29,0)),0),IFERROR(INDEX(Pension_Model!$D$2:$D$29,MATCH(H529,Pension_Model!$B$2:$B$29,0)),0),IFERROR(INDEX(Pension_Model!$D$2:$D$29,MATCH(H530,Pension_Model!$B$2:$B$29,0)),0)),IF(VLOOKUP($A527,Calendar!$A$1:$R$1377,18,0)=5,SUM(IFERROR(INDEX(Pension_Model!$D$2:$D$29,MATCH(H527,Pension_Model!$B$2:$B$29,0)),0),IFERROR(INDEX(Pension_Model!$D$2:$D$29,MATCH(H528,Pension_Model!$B$2:$B$29,0)),0),IFERROR(INDEX(Pension_Model!$D$2:$D$29,MATCH(H529,Pension_Model!$B$2:$B$29,0)),0),IFERROR(INDEX(Pension_Model!$D$2:$D$29,MATCH(H530,Pension_Model!$B$2:$B$29,0)),0),IFERROR(INDEX(Pension_Model!$D$2:$D$29,MATCH(H531,Pension_Model!$B$2:$B$29,0)),0)),0))))))</f>
        <v>0</v>
      </c>
      <c r="Q527" s="28">
        <f>Population_Data!$B$15*P527</f>
        <v>0</v>
      </c>
      <c r="S527">
        <f t="shared" si="8"/>
        <v>0</v>
      </c>
      <c r="U527" s="33">
        <f>S527/Population_Data!$B$19</f>
        <v>0</v>
      </c>
    </row>
    <row r="528" spans="1:21">
      <c r="A528" s="25">
        <f>Calendar!A528</f>
        <v>46761</v>
      </c>
      <c r="B528" t="str">
        <f>Calendar!L528</f>
        <v>No</v>
      </c>
      <c r="C528" t="str">
        <f>Calendar!O528</f>
        <v>No</v>
      </c>
      <c r="D528" t="str">
        <f>Calendar!P528</f>
        <v>No</v>
      </c>
      <c r="E528" t="str">
        <f>Calendar!Q528</f>
        <v>No</v>
      </c>
      <c r="F528" t="str">
        <f>Calendar!I528</f>
        <v>Sunday</v>
      </c>
      <c r="G528">
        <f>Calendar!S528</f>
        <v>1</v>
      </c>
      <c r="H528">
        <f>Calendar!T528</f>
        <v>1</v>
      </c>
      <c r="I528" s="27">
        <f>IF(VLOOKUP(A528,Calendar!$A$1:$R$1377,18,0)=0,0,IF(VLOOKUP(A528,Calendar!$A$1:$R$1377,18,0)=1,INDEX(Monthly_Pay_Model!$A$9:$D$40,MATCH(TEXT(A528,"dd"),Monthly_Pay_Model!$C$9:$C$39,0),4),IF(VLOOKUP(A528,Calendar!$A$1:$R$1377,18,0)=2,SUM(INDEX(Monthly_Pay_Model!$A$9:$D$40,MATCH(TEXT(A528,"dd"),Monthly_Pay_Model!$C$9:$C$39,0),4),INDEX(Monthly_Pay_Model!$A$9:$D$40,MATCH(TEXT(A529,"dd"),Monthly_Pay_Model!$C$9:$C$39,0),4)),IF(VLOOKUP(A528,Calendar!$A$1:$R$1377,18,0)=3,SUM(INDEX(Monthly_Pay_Model!$A$9:$D$40,MATCH(TEXT(A528,"dd"),Monthly_Pay_Model!$C$9:$C$39,0),4),INDEX(Monthly_Pay_Model!$A$9:$D$40,MATCH(TEXT(A529,"dd"),Monthly_Pay_Model!$C$9:$C$39,0),4),INDEX(Monthly_Pay_Model!$A$9:$D$40,MATCH(TEXT(A530,"dd"),Monthly_Pay_Model!$C$9:$C$39,0),4)),IF(VLOOKUP(A528,Calendar!$A$1:$R$1377,18,0)=4,SUM(INDEX(Monthly_Pay_Model!$A$9:$D$40,MATCH(TEXT(A528,"dd"),Monthly_Pay_Model!$C$9:$C$39,0),4),INDEX(Monthly_Pay_Model!$A$9:$D$40,MATCH(TEXT(A529,"dd"),Monthly_Pay_Model!$C$9:$C$39,0),4),INDEX(Monthly_Pay_Model!$A$9:$D$40,MATCH(TEXT(A530,"dd"),Monthly_Pay_Model!$C$9:$C$39,0),4),INDEX(Monthly_Pay_Model!$A$9:$D$40,MATCH(TEXT(A531,"dd"),Monthly_Pay_Model!$C$9:$C$39,0),4)),IF(VLOOKUP(A528,Calendar!$A$1:$R$1377,18,0)=5,SUM(INDEX(Monthly_Pay_Model!$A$9:$D$40,MATCH(TEXT(A528,"dd"),Monthly_Pay_Model!$C$9:$C$39,0),4),INDEX(Monthly_Pay_Model!$A$9:$D$40,MATCH(TEXT(A529,"dd"),Monthly_Pay_Model!$C$9:$C$39,0),4),INDEX(Monthly_Pay_Model!$A$9:$D$40,MATCH(TEXT(A530,"dd"),Monthly_Pay_Model!$C$9:$C$39,0),4),INDEX(Monthly_Pay_Model!$A$9:$D$40,MATCH(TEXT(A531,"dd"),Monthly_Pay_Model!$C$9:$C$39,0),4),INDEX(Monthly_Pay_Model!$A$9:$D$40,MATCH(TEXT(A532,"dd"),Monthly_Pay_Model!$C$9:$C$39,0),4)),))))))</f>
        <v>0</v>
      </c>
      <c r="J528" s="33">
        <f>IF(C528="Yes",Monthly_Pay_Model!$D$2,0)
+IF(Calendar!N528="Yes",Monthly_Pay_Model!$D$3,0)
+IF(D528="Yes",Monthly_Pay_Model!$D$4,0)
+IF(E528="Yes",Monthly_Pay_Model!$D$5,0)</f>
        <v>0</v>
      </c>
      <c r="K528" s="27">
        <f>IF(VLOOKUP($A528,Calendar!$A$1:$R$1377,18,0)=0,0,IF(VLOOKUP($A528,Calendar!$A$1:$R$1377,18,0)=1,IFERROR(INDEX(Weekly_Model!$D$2:$D$9,MATCH(F528,Weekly_Model!$A$2:$A$9,0)),0),IF(VLOOKUP($A528,Calendar!$A$1:$R$1377,18,0)=2,SUM(IFERROR(INDEX(Weekly_Model!$D$2:$D$9,MATCH(F528,Weekly_Model!$A$2:$A$9,0)),0),IFERROR(INDEX(Weekly_Model!$D$2:$D$9,MATCH(F529,Weekly_Model!$A$2:$A$9,0)),0)),IF(VLOOKUP($A528,Calendar!$A$1:$R$1377,18,0)=3,SUM(IFERROR(INDEX(Weekly_Model!$D$2:$D$9,MATCH(F528,Weekly_Model!$A$2:$A$9,0)),0),IFERROR(INDEX(Weekly_Model!$D$2:$D$9,MATCH(F529,Weekly_Model!$A$2:$A$9,0)),0),IFERROR(INDEX(Weekly_Model!$D$2:$D$9,MATCH(F530,Weekly_Model!$A$2:$A$9,0)),0)),IF(VLOOKUP($A528,Calendar!$A$1:$R$1377,18,0)=4,SUM(IFERROR(INDEX(Weekly_Model!$D$2:$D$9,MATCH(F528,Weekly_Model!$A$2:$A$9,0)),0),IFERROR(INDEX(Weekly_Model!$D$2:$D$9,MATCH(F529,Weekly_Model!$A$2:$A$9,0)),0),IFERROR(INDEX(Weekly_Model!$D$2:$D$9,MATCH(F530,Weekly_Model!$A$2:$A$9,0)),0),IFERROR(INDEX(Weekly_Model!$D$2:$D$9,MATCH(F531,Weekly_Model!$A$2:$A$9,0)),0)),IF(VLOOKUP($A528,Calendar!$A$1:$R$1377,18,0)=5,SUM(IFERROR(INDEX(Weekly_Model!$D$2:$D$9,MATCH(F528,Weekly_Model!$A$2:$A$9,0)),0),IFERROR(INDEX(Weekly_Model!$D$2:$D$9,MATCH(F529,Weekly_Model!$A$2:$A$9,0)),0),IFERROR(INDEX(Weekly_Model!$D$2:$D$9,MATCH(F530,Weekly_Model!$A$2:$A$9,0)),0),IFERROR(INDEX(Weekly_Model!$D$2:$D$9,MATCH(F531,Weekly_Model!$A$2:$A$9,0)),0),IFERROR(INDEX(Weekly_Model!$D$2:$D$9,MATCH(F532,Weekly_Model!$A$2:$A$9,0)),0)),0))))))</f>
        <v>0</v>
      </c>
      <c r="L528" s="27">
        <f>IF(VLOOKUP($A528,Calendar!$A$1:$R$1377,18,0)=0,0,IF(VLOOKUP($A528,Calendar!$A$1:$R$1377,18,0)=1,IFERROR(INDEX(Fortnightly_Model!$D$2:$D$15,MATCH(G528,Fortnightly_Model!$B$2:$B$15,0)),0),IF(VLOOKUP($A528,Calendar!$A$1:$R$1377,18,0)=2,SUM(IFERROR(INDEX(Fortnightly_Model!$D$2:$D$15,MATCH(G528,Fortnightly_Model!$B$2:$B$15,0)),0),IFERROR(INDEX(Fortnightly_Model!$D$2:$D$15,MATCH(G529,Fortnightly_Model!$B$2:$B$15,0)),0)),IF(VLOOKUP($A528,Calendar!$A$1:$R$1377,18,0)=3,SUM(IFERROR(INDEX(Fortnightly_Model!$D$2:$D$15,MATCH(G528,Fortnightly_Model!$B$2:$B$15,0)),0),IFERROR(INDEX(Fortnightly_Model!$D$2:$D$15,MATCH(G529,Fortnightly_Model!$B$2:$B$15,0)),0),IFERROR(INDEX(Fortnightly_Model!$D$2:$D$15,MATCH(G530,Fortnightly_Model!$B$2:$B$15,0)),0)),IF(VLOOKUP($A528,Calendar!$A$1:$R$1377,18,0)=4,SUM(IFERROR(INDEX(Fortnightly_Model!$D$2:$D$15,MATCH(G528,Fortnightly_Model!$B$2:$B$15,0)),0),IFERROR(INDEX(Fortnightly_Model!$D$2:$D$15,MATCH(G529,Fortnightly_Model!$B$2:$B$15,0)),0),IFERROR(INDEX(Fortnightly_Model!$D$2:$D$15,MATCH(G530,Fortnightly_Model!$B$2:$B$15,0)),0),IFERROR(INDEX(Fortnightly_Model!$D$2:$D$15,MATCH(G531,Fortnightly_Model!$B$2:$B$15,0)),0)),IF(VLOOKUP($A528,Calendar!$A$1:$R$1377,18,0)=5,SUM(IFERROR(INDEX(Fortnightly_Model!$D$2:$D$15,MATCH(G528,Fortnightly_Model!$B$2:$B$15,0)),0),IFERROR(INDEX(Fortnightly_Model!$D$2:$D$15,MATCH(G529,Fortnightly_Model!$B$2:$B$15,0)),0),IFERROR(INDEX(Fortnightly_Model!$D$2:$D$15,MATCH(G530,Fortnightly_Model!$B$2:$B$15,0)),0),IFERROR(INDEX(Fortnightly_Model!$D$2:$D$15,MATCH(G531,Fortnightly_Model!$B$2:$B$15,0)),0),IFERROR(INDEX(Fortnightly_Model!$D$2:$D$15,MATCH(G532,Fortnightly_Model!$B$2:$B$15,0)),0)),0))))))</f>
        <v>0</v>
      </c>
      <c r="M528" s="27">
        <f>IF(VLOOKUP($A528,Calendar!$A$1:$R$1377,18,0)=0,0,IF(VLOOKUP($A528,Calendar!$A$1:$R$1377,18,0)=1,IFERROR(INDEX(FourWeekly_Model!$D$2:$D$29,MATCH(H528,FourWeekly_Model!$B$2:$B$29,0)),0),IF(VLOOKUP($A528,Calendar!$A$1:$R$1377,18,0)=2,SUM(IFERROR(INDEX(FourWeekly_Model!$D$2:$D$29,MATCH(H528,FourWeekly_Model!$B$2:$B$29,0)),0),IFERROR(INDEX(FourWeekly_Model!$D$2:$D$29,MATCH(H529,FourWeekly_Model!$B$2:$B$29,0)),0)),IF(VLOOKUP($A528,Calendar!$A$1:$R$1377,18,0)=3,SUM(IFERROR(INDEX(FourWeekly_Model!$D$2:$D$29,MATCH(H528,FourWeekly_Model!$B$2:$B$29,0)),0),IFERROR(INDEX(FourWeekly_Model!$D$2:$D$29,MATCH(H529,FourWeekly_Model!$B$2:$B$29,0)),0),IFERROR(INDEX(FourWeekly_Model!$D$2:$D$29,MATCH(H530,FourWeekly_Model!$B$2:$B$29,0)),0)),IF(VLOOKUP($A528,Calendar!$A$1:$R$1377,18,0)=4,SUM(IFERROR(INDEX(FourWeekly_Model!$D$2:$D$29,MATCH(H528,FourWeekly_Model!$B$2:$B$29,0)),0),IFERROR(INDEX(FourWeekly_Model!$D$2:$D$29,MATCH(H529,FourWeekly_Model!$B$2:$B$29,0)),0),IFERROR(INDEX(FourWeekly_Model!$D$2:$D$29,MATCH(H530,FourWeekly_Model!$B$2:$B$29,0)),0),IFERROR(INDEX(FourWeekly_Model!$D$2:$D$29,MATCH(H531,FourWeekly_Model!$B$2:$B$29,0)),0)),IF(VLOOKUP($A528,Calendar!$A$1:$R$1377,18,0)=5,SUM(IFERROR(INDEX(FourWeekly_Model!$D$2:$D$29,MATCH(H528,FourWeekly_Model!$B$2:$B$29,0)),0),IFERROR(INDEX(FourWeekly_Model!$D$2:$D$29,MATCH(H529,FourWeekly_Model!$B$2:$B$29,0)),0),IFERROR(INDEX(FourWeekly_Model!$D$2:$D$29,MATCH(H530,FourWeekly_Model!$B$2:$B$29,0)),0),IFERROR(INDEX(FourWeekly_Model!$D$2:$D$29,MATCH(H531,FourWeekly_Model!$B$2:$B$29,0)),0),IFERROR(INDEX(FourWeekly_Model!$D$2:$D$29,MATCH(H532,FourWeekly_Model!$B$2:$B$29,0)),0)),0))))))</f>
        <v>0</v>
      </c>
      <c r="N528" s="27">
        <f>SUM(I528:M528)</f>
        <v>0</v>
      </c>
      <c r="O528" s="28">
        <f>Population_Data!$B$8*N528</f>
        <v>0</v>
      </c>
      <c r="P528" s="27">
        <f>IF(VLOOKUP($A528,Calendar!$A$1:$R$1377,18,0)=0,0,IF(VLOOKUP($A528,Calendar!$A$1:$R$1377,18,0)=1,IFERROR(INDEX(Pension_Model!$D$2:$D$29,MATCH(H528,Pension_Model!$B$2:$B$29,0)),0),IF(VLOOKUP($A528,Calendar!$A$1:$R$1377,18,0)=2,SUM(IFERROR(INDEX(Pension_Model!$D$2:$D$29,MATCH(H528,Pension_Model!$B$2:$B$29,0)),0),IFERROR(INDEX(Pension_Model!$D$2:$D$29,MATCH(H529,Pension_Model!$B$2:$B$29,0)),0)),IF(VLOOKUP($A528,Calendar!$A$1:$R$1377,18,0)=3,SUM(IFERROR(INDEX(Pension_Model!$D$2:$D$29,MATCH(H528,Pension_Model!$B$2:$B$29,0)),0),IFERROR(INDEX(Pension_Model!$D$2:$D$29,MATCH(H529,Pension_Model!$B$2:$B$29,0)),0),IFERROR(INDEX(Pension_Model!$D$2:$D$29,MATCH(H530,Pension_Model!$B$2:$B$29,0)),0)),IF(VLOOKUP($A528,Calendar!$A$1:$R$1377,18,0)=4,SUM(IFERROR(INDEX(Pension_Model!$D$2:$D$29,MATCH(H528,Pension_Model!$B$2:$B$29,0)),0),IFERROR(INDEX(Pension_Model!$D$2:$D$29,MATCH(H529,Pension_Model!$B$2:$B$29,0)),0),IFERROR(INDEX(Pension_Model!$D$2:$D$29,MATCH(H530,Pension_Model!$B$2:$B$29,0)),0),IFERROR(INDEX(Pension_Model!$D$2:$D$29,MATCH(H531,Pension_Model!$B$2:$B$29,0)),0)),IF(VLOOKUP($A528,Calendar!$A$1:$R$1377,18,0)=5,SUM(IFERROR(INDEX(Pension_Model!$D$2:$D$29,MATCH(H528,Pension_Model!$B$2:$B$29,0)),0),IFERROR(INDEX(Pension_Model!$D$2:$D$29,MATCH(H529,Pension_Model!$B$2:$B$29,0)),0),IFERROR(INDEX(Pension_Model!$D$2:$D$29,MATCH(H530,Pension_Model!$B$2:$B$29,0)),0),IFERROR(INDEX(Pension_Model!$D$2:$D$29,MATCH(H531,Pension_Model!$B$2:$B$29,0)),0),IFERROR(INDEX(Pension_Model!$D$2:$D$29,MATCH(H532,Pension_Model!$B$2:$B$29,0)),0)),0))))))</f>
        <v>0</v>
      </c>
      <c r="Q528" s="28">
        <f>Population_Data!$B$15*P528</f>
        <v>0</v>
      </c>
      <c r="S528">
        <f t="shared" si="8"/>
        <v>0</v>
      </c>
      <c r="U528" s="33">
        <f>S528/Population_Data!$B$19</f>
        <v>0</v>
      </c>
    </row>
    <row r="529" spans="1:21">
      <c r="A529" s="25">
        <f>Calendar!A529</f>
        <v>46762</v>
      </c>
      <c r="B529" t="str">
        <f>Calendar!L529</f>
        <v>Yes</v>
      </c>
      <c r="C529" t="str">
        <f>Calendar!O529</f>
        <v>No</v>
      </c>
      <c r="D529" t="str">
        <f>Calendar!P529</f>
        <v>No</v>
      </c>
      <c r="E529" t="str">
        <f>Calendar!Q529</f>
        <v>No</v>
      </c>
      <c r="F529" t="str">
        <f>Calendar!I529</f>
        <v>Monday</v>
      </c>
      <c r="G529">
        <f>Calendar!S529</f>
        <v>2</v>
      </c>
      <c r="H529">
        <f>Calendar!T529</f>
        <v>2</v>
      </c>
      <c r="I529" s="27">
        <f>IF(VLOOKUP(A529,Calendar!$A$1:$R$1377,18,0)=0,0,IF(VLOOKUP(A529,Calendar!$A$1:$R$1377,18,0)=1,INDEX(Monthly_Pay_Model!$A$9:$D$40,MATCH(TEXT(A529,"dd"),Monthly_Pay_Model!$C$9:$C$39,0),4),IF(VLOOKUP(A529,Calendar!$A$1:$R$1377,18,0)=2,SUM(INDEX(Monthly_Pay_Model!$A$9:$D$40,MATCH(TEXT(A529,"dd"),Monthly_Pay_Model!$C$9:$C$39,0),4),INDEX(Monthly_Pay_Model!$A$9:$D$40,MATCH(TEXT(A530,"dd"),Monthly_Pay_Model!$C$9:$C$39,0),4)),IF(VLOOKUP(A529,Calendar!$A$1:$R$1377,18,0)=3,SUM(INDEX(Monthly_Pay_Model!$A$9:$D$40,MATCH(TEXT(A529,"dd"),Monthly_Pay_Model!$C$9:$C$39,0),4),INDEX(Monthly_Pay_Model!$A$9:$D$40,MATCH(TEXT(A530,"dd"),Monthly_Pay_Model!$C$9:$C$39,0),4),INDEX(Monthly_Pay_Model!$A$9:$D$40,MATCH(TEXT(A531,"dd"),Monthly_Pay_Model!$C$9:$C$39,0),4)),IF(VLOOKUP(A529,Calendar!$A$1:$R$1377,18,0)=4,SUM(INDEX(Monthly_Pay_Model!$A$9:$D$40,MATCH(TEXT(A529,"dd"),Monthly_Pay_Model!$C$9:$C$39,0),4),INDEX(Monthly_Pay_Model!$A$9:$D$40,MATCH(TEXT(A530,"dd"),Monthly_Pay_Model!$C$9:$C$39,0),4),INDEX(Monthly_Pay_Model!$A$9:$D$40,MATCH(TEXT(A531,"dd"),Monthly_Pay_Model!$C$9:$C$39,0),4),INDEX(Monthly_Pay_Model!$A$9:$D$40,MATCH(TEXT(A532,"dd"),Monthly_Pay_Model!$C$9:$C$39,0),4)),IF(VLOOKUP(A529,Calendar!$A$1:$R$1377,18,0)=5,SUM(INDEX(Monthly_Pay_Model!$A$9:$D$40,MATCH(TEXT(A529,"dd"),Monthly_Pay_Model!$C$9:$C$39,0),4),INDEX(Monthly_Pay_Model!$A$9:$D$40,MATCH(TEXT(A530,"dd"),Monthly_Pay_Model!$C$9:$C$39,0),4),INDEX(Monthly_Pay_Model!$A$9:$D$40,MATCH(TEXT(A531,"dd"),Monthly_Pay_Model!$C$9:$C$39,0),4),INDEX(Monthly_Pay_Model!$A$9:$D$40,MATCH(TEXT(A532,"dd"),Monthly_Pay_Model!$C$9:$C$39,0),4),INDEX(Monthly_Pay_Model!$A$9:$D$40,MATCH(TEXT(A533,"dd"),Monthly_Pay_Model!$C$9:$C$39,0),4)),))))))</f>
        <v>4.8753926701570662E-3</v>
      </c>
      <c r="J529" s="33">
        <f>IF(C529="Yes",Monthly_Pay_Model!$D$2,0)
+IF(Calendar!N529="Yes",Monthly_Pay_Model!$D$3,0)
+IF(D529="Yes",Monthly_Pay_Model!$D$4,0)
+IF(E529="Yes",Monthly_Pay_Model!$D$5,0)</f>
        <v>0</v>
      </c>
      <c r="K529" s="27">
        <f>IF(VLOOKUP($A529,Calendar!$A$1:$R$1377,18,0)=0,0,IF(VLOOKUP($A529,Calendar!$A$1:$R$1377,18,0)=1,IFERROR(INDEX(Weekly_Model!$D$2:$D$9,MATCH(F529,Weekly_Model!$A$2:$A$9,0)),0),IF(VLOOKUP($A529,Calendar!$A$1:$R$1377,18,0)=2,SUM(IFERROR(INDEX(Weekly_Model!$D$2:$D$9,MATCH(F529,Weekly_Model!$A$2:$A$9,0)),0),IFERROR(INDEX(Weekly_Model!$D$2:$D$9,MATCH(F530,Weekly_Model!$A$2:$A$9,0)),0)),IF(VLOOKUP($A529,Calendar!$A$1:$R$1377,18,0)=3,SUM(IFERROR(INDEX(Weekly_Model!$D$2:$D$9,MATCH(F529,Weekly_Model!$A$2:$A$9,0)),0),IFERROR(INDEX(Weekly_Model!$D$2:$D$9,MATCH(F530,Weekly_Model!$A$2:$A$9,0)),0),IFERROR(INDEX(Weekly_Model!$D$2:$D$9,MATCH(F531,Weekly_Model!$A$2:$A$9,0)),0)),IF(VLOOKUP($A529,Calendar!$A$1:$R$1377,18,0)=4,SUM(IFERROR(INDEX(Weekly_Model!$D$2:$D$9,MATCH(F529,Weekly_Model!$A$2:$A$9,0)),0),IFERROR(INDEX(Weekly_Model!$D$2:$D$9,MATCH(F530,Weekly_Model!$A$2:$A$9,0)),0),IFERROR(INDEX(Weekly_Model!$D$2:$D$9,MATCH(F531,Weekly_Model!$A$2:$A$9,0)),0),IFERROR(INDEX(Weekly_Model!$D$2:$D$9,MATCH(F532,Weekly_Model!$A$2:$A$9,0)),0)),IF(VLOOKUP($A529,Calendar!$A$1:$R$1377,18,0)=5,SUM(IFERROR(INDEX(Weekly_Model!$D$2:$D$9,MATCH(F529,Weekly_Model!$A$2:$A$9,0)),0),IFERROR(INDEX(Weekly_Model!$D$2:$D$9,MATCH(F530,Weekly_Model!$A$2:$A$9,0)),0),IFERROR(INDEX(Weekly_Model!$D$2:$D$9,MATCH(F531,Weekly_Model!$A$2:$A$9,0)),0),IFERROR(INDEX(Weekly_Model!$D$2:$D$9,MATCH(F532,Weekly_Model!$A$2:$A$9,0)),0),IFERROR(INDEX(Weekly_Model!$D$2:$D$9,MATCH(F533,Weekly_Model!$A$2:$A$9,0)),0)),0))))))</f>
        <v>2.3200000000000002E-2</v>
      </c>
      <c r="L529" s="27">
        <f>IF(VLOOKUP($A529,Calendar!$A$1:$R$1377,18,0)=0,0,IF(VLOOKUP($A529,Calendar!$A$1:$R$1377,18,0)=1,IFERROR(INDEX(Fortnightly_Model!$D$2:$D$15,MATCH(G529,Fortnightly_Model!$B$2:$B$15,0)),0),IF(VLOOKUP($A529,Calendar!$A$1:$R$1377,18,0)=2,SUM(IFERROR(INDEX(Fortnightly_Model!$D$2:$D$15,MATCH(G529,Fortnightly_Model!$B$2:$B$15,0)),0),IFERROR(INDEX(Fortnightly_Model!$D$2:$D$15,MATCH(G530,Fortnightly_Model!$B$2:$B$15,0)),0)),IF(VLOOKUP($A529,Calendar!$A$1:$R$1377,18,0)=3,SUM(IFERROR(INDEX(Fortnightly_Model!$D$2:$D$15,MATCH(G529,Fortnightly_Model!$B$2:$B$15,0)),0),IFERROR(INDEX(Fortnightly_Model!$D$2:$D$15,MATCH(G530,Fortnightly_Model!$B$2:$B$15,0)),0),IFERROR(INDEX(Fortnightly_Model!$D$2:$D$15,MATCH(G531,Fortnightly_Model!$B$2:$B$15,0)),0)),IF(VLOOKUP($A529,Calendar!$A$1:$R$1377,18,0)=4,SUM(IFERROR(INDEX(Fortnightly_Model!$D$2:$D$15,MATCH(G529,Fortnightly_Model!$B$2:$B$15,0)),0),IFERROR(INDEX(Fortnightly_Model!$D$2:$D$15,MATCH(G530,Fortnightly_Model!$B$2:$B$15,0)),0),IFERROR(INDEX(Fortnightly_Model!$D$2:$D$15,MATCH(G531,Fortnightly_Model!$B$2:$B$15,0)),0),IFERROR(INDEX(Fortnightly_Model!$D$2:$D$15,MATCH(G532,Fortnightly_Model!$B$2:$B$15,0)),0)),IF(VLOOKUP($A529,Calendar!$A$1:$R$1377,18,0)=5,SUM(IFERROR(INDEX(Fortnightly_Model!$D$2:$D$15,MATCH(G529,Fortnightly_Model!$B$2:$B$15,0)),0),IFERROR(INDEX(Fortnightly_Model!$D$2:$D$15,MATCH(G530,Fortnightly_Model!$B$2:$B$15,0)),0),IFERROR(INDEX(Fortnightly_Model!$D$2:$D$15,MATCH(G531,Fortnightly_Model!$B$2:$B$15,0)),0),IFERROR(INDEX(Fortnightly_Model!$D$2:$D$15,MATCH(G532,Fortnightly_Model!$B$2:$B$15,0)),0),IFERROR(INDEX(Fortnightly_Model!$D$2:$D$15,MATCH(G533,Fortnightly_Model!$B$2:$B$15,0)),0)),0))))))</f>
        <v>1.0714285499999999E-3</v>
      </c>
      <c r="M529" s="27">
        <f>IF(VLOOKUP($A529,Calendar!$A$1:$R$1377,18,0)=0,0,IF(VLOOKUP($A529,Calendar!$A$1:$R$1377,18,0)=1,IFERROR(INDEX(FourWeekly_Model!$D$2:$D$29,MATCH(H529,FourWeekly_Model!$B$2:$B$29,0)),0),IF(VLOOKUP($A529,Calendar!$A$1:$R$1377,18,0)=2,SUM(IFERROR(INDEX(FourWeekly_Model!$D$2:$D$29,MATCH(H529,FourWeekly_Model!$B$2:$B$29,0)),0),IFERROR(INDEX(FourWeekly_Model!$D$2:$D$29,MATCH(H530,FourWeekly_Model!$B$2:$B$29,0)),0)),IF(VLOOKUP($A529,Calendar!$A$1:$R$1377,18,0)=3,SUM(IFERROR(INDEX(FourWeekly_Model!$D$2:$D$29,MATCH(H529,FourWeekly_Model!$B$2:$B$29,0)),0),IFERROR(INDEX(FourWeekly_Model!$D$2:$D$29,MATCH(H530,FourWeekly_Model!$B$2:$B$29,0)),0),IFERROR(INDEX(FourWeekly_Model!$D$2:$D$29,MATCH(H531,FourWeekly_Model!$B$2:$B$29,0)),0)),IF(VLOOKUP($A529,Calendar!$A$1:$R$1377,18,0)=4,SUM(IFERROR(INDEX(FourWeekly_Model!$D$2:$D$29,MATCH(H529,FourWeekly_Model!$B$2:$B$29,0)),0),IFERROR(INDEX(FourWeekly_Model!$D$2:$D$29,MATCH(H530,FourWeekly_Model!$B$2:$B$29,0)),0),IFERROR(INDEX(FourWeekly_Model!$D$2:$D$29,MATCH(H531,FourWeekly_Model!$B$2:$B$29,0)),0),IFERROR(INDEX(FourWeekly_Model!$D$2:$D$29,MATCH(H532,FourWeekly_Model!$B$2:$B$29,0)),0)),IF(VLOOKUP($A529,Calendar!$A$1:$R$1377,18,0)=5,SUM(IFERROR(INDEX(FourWeekly_Model!$D$2:$D$29,MATCH(H529,FourWeekly_Model!$B$2:$B$29,0)),0),IFERROR(INDEX(FourWeekly_Model!$D$2:$D$29,MATCH(H530,FourWeekly_Model!$B$2:$B$29,0)),0),IFERROR(INDEX(FourWeekly_Model!$D$2:$D$29,MATCH(H531,FourWeekly_Model!$B$2:$B$29,0)),0),IFERROR(INDEX(FourWeekly_Model!$D$2:$D$29,MATCH(H532,FourWeekly_Model!$B$2:$B$29,0)),0),IFERROR(INDEX(FourWeekly_Model!$D$2:$D$29,MATCH(H533,FourWeekly_Model!$B$2:$B$29,0)),0)),0))))))</f>
        <v>3.3214289700000004E-3</v>
      </c>
      <c r="N529" s="27">
        <f>SUM(I529:M529)</f>
        <v>3.2468250190157068E-2</v>
      </c>
      <c r="O529" s="28">
        <f>Population_Data!$B$8*N529</f>
        <v>983787.9807617591</v>
      </c>
      <c r="P529" s="27">
        <f>IF(VLOOKUP($A529,Calendar!$A$1:$R$1377,18,0)=0,0,IF(VLOOKUP($A529,Calendar!$A$1:$R$1377,18,0)=1,IFERROR(INDEX(Pension_Model!$D$2:$D$29,MATCH(H529,Pension_Model!$B$2:$B$29,0)),0),IF(VLOOKUP($A529,Calendar!$A$1:$R$1377,18,0)=2,SUM(IFERROR(INDEX(Pension_Model!$D$2:$D$29,MATCH(H529,Pension_Model!$B$2:$B$29,0)),0),IFERROR(INDEX(Pension_Model!$D$2:$D$29,MATCH(H530,Pension_Model!$B$2:$B$29,0)),0)),IF(VLOOKUP($A529,Calendar!$A$1:$R$1377,18,0)=3,SUM(IFERROR(INDEX(Pension_Model!$D$2:$D$29,MATCH(H529,Pension_Model!$B$2:$B$29,0)),0),IFERROR(INDEX(Pension_Model!$D$2:$D$29,MATCH(H530,Pension_Model!$B$2:$B$29,0)),0),IFERROR(INDEX(Pension_Model!$D$2:$D$29,MATCH(H531,Pension_Model!$B$2:$B$29,0)),0)),IF(VLOOKUP($A529,Calendar!$A$1:$R$1377,18,0)=4,SUM(IFERROR(INDEX(Pension_Model!$D$2:$D$29,MATCH(H529,Pension_Model!$B$2:$B$29,0)),0),IFERROR(INDEX(Pension_Model!$D$2:$D$29,MATCH(H530,Pension_Model!$B$2:$B$29,0)),0),IFERROR(INDEX(Pension_Model!$D$2:$D$29,MATCH(H531,Pension_Model!$B$2:$B$29,0)),0),IFERROR(INDEX(Pension_Model!$D$2:$D$29,MATCH(H532,Pension_Model!$B$2:$B$29,0)),0)),IF(VLOOKUP($A529,Calendar!$A$1:$R$1377,18,0)=5,SUM(IFERROR(INDEX(Pension_Model!$D$2:$D$29,MATCH(H529,Pension_Model!$B$2:$B$29,0)),0),IFERROR(INDEX(Pension_Model!$D$2:$D$29,MATCH(H530,Pension_Model!$B$2:$B$29,0)),0),IFERROR(INDEX(Pension_Model!$D$2:$D$29,MATCH(H531,Pension_Model!$B$2:$B$29,0)),0),IFERROR(INDEX(Pension_Model!$D$2:$D$29,MATCH(H532,Pension_Model!$B$2:$B$29,0)),0),IFERROR(INDEX(Pension_Model!$D$2:$D$29,MATCH(H533,Pension_Model!$B$2:$B$29,0)),0)),0))))))</f>
        <v>0.05</v>
      </c>
      <c r="Q529" s="28">
        <f>Population_Data!$B$15*P529</f>
        <v>660600</v>
      </c>
      <c r="S529">
        <f t="shared" si="8"/>
        <v>1644387.980761759</v>
      </c>
      <c r="U529" s="33">
        <f>S529/Population_Data!$B$19</f>
        <v>2.9789637332640562E-2</v>
      </c>
    </row>
    <row r="530" spans="1:21">
      <c r="A530" s="25">
        <f>Calendar!A530</f>
        <v>46763</v>
      </c>
      <c r="B530" t="str">
        <f>Calendar!L530</f>
        <v>Yes</v>
      </c>
      <c r="C530" t="str">
        <f>Calendar!O530</f>
        <v>No</v>
      </c>
      <c r="D530" t="str">
        <f>Calendar!P530</f>
        <v>No</v>
      </c>
      <c r="E530" t="str">
        <f>Calendar!Q530</f>
        <v>No</v>
      </c>
      <c r="F530" t="str">
        <f>Calendar!I530</f>
        <v>Tuesday</v>
      </c>
      <c r="G530">
        <f>Calendar!S530</f>
        <v>3</v>
      </c>
      <c r="H530">
        <f>Calendar!T530</f>
        <v>3</v>
      </c>
      <c r="I530" s="27">
        <f>IF(VLOOKUP(A530,Calendar!$A$1:$R$1377,18,0)=0,0,IF(VLOOKUP(A530,Calendar!$A$1:$R$1377,18,0)=1,INDEX(Monthly_Pay_Model!$A$9:$D$40,MATCH(TEXT(A530,"dd"),Monthly_Pay_Model!$C$9:$C$39,0),4),IF(VLOOKUP(A530,Calendar!$A$1:$R$1377,18,0)=2,SUM(INDEX(Monthly_Pay_Model!$A$9:$D$40,MATCH(TEXT(A530,"dd"),Monthly_Pay_Model!$C$9:$C$39,0),4),INDEX(Monthly_Pay_Model!$A$9:$D$40,MATCH(TEXT(A531,"dd"),Monthly_Pay_Model!$C$9:$C$39,0),4)),IF(VLOOKUP(A530,Calendar!$A$1:$R$1377,18,0)=3,SUM(INDEX(Monthly_Pay_Model!$A$9:$D$40,MATCH(TEXT(A530,"dd"),Monthly_Pay_Model!$C$9:$C$39,0),4),INDEX(Monthly_Pay_Model!$A$9:$D$40,MATCH(TEXT(A531,"dd"),Monthly_Pay_Model!$C$9:$C$39,0),4),INDEX(Monthly_Pay_Model!$A$9:$D$40,MATCH(TEXT(A532,"dd"),Monthly_Pay_Model!$C$9:$C$39,0),4)),IF(VLOOKUP(A530,Calendar!$A$1:$R$1377,18,0)=4,SUM(INDEX(Monthly_Pay_Model!$A$9:$D$40,MATCH(TEXT(A530,"dd"),Monthly_Pay_Model!$C$9:$C$39,0),4),INDEX(Monthly_Pay_Model!$A$9:$D$40,MATCH(TEXT(A531,"dd"),Monthly_Pay_Model!$C$9:$C$39,0),4),INDEX(Monthly_Pay_Model!$A$9:$D$40,MATCH(TEXT(A532,"dd"),Monthly_Pay_Model!$C$9:$C$39,0),4),INDEX(Monthly_Pay_Model!$A$9:$D$40,MATCH(TEXT(A533,"dd"),Monthly_Pay_Model!$C$9:$C$39,0),4)),IF(VLOOKUP(A530,Calendar!$A$1:$R$1377,18,0)=5,SUM(INDEX(Monthly_Pay_Model!$A$9:$D$40,MATCH(TEXT(A530,"dd"),Monthly_Pay_Model!$C$9:$C$39,0),4),INDEX(Monthly_Pay_Model!$A$9:$D$40,MATCH(TEXT(A531,"dd"),Monthly_Pay_Model!$C$9:$C$39,0),4),INDEX(Monthly_Pay_Model!$A$9:$D$40,MATCH(TEXT(A532,"dd"),Monthly_Pay_Model!$C$9:$C$39,0),4),INDEX(Monthly_Pay_Model!$A$9:$D$40,MATCH(TEXT(A533,"dd"),Monthly_Pay_Model!$C$9:$C$39,0),4),INDEX(Monthly_Pay_Model!$A$9:$D$40,MATCH(TEXT(A534,"dd"),Monthly_Pay_Model!$C$9:$C$39,0),4)),))))))</f>
        <v>8.1256544502617792E-4</v>
      </c>
      <c r="J530" s="33">
        <f>IF(C530="Yes",Monthly_Pay_Model!$D$2,0)
+IF(Calendar!N530="Yes",Monthly_Pay_Model!$D$3,0)
+IF(D530="Yes",Monthly_Pay_Model!$D$4,0)
+IF(E530="Yes",Monthly_Pay_Model!$D$5,0)</f>
        <v>0</v>
      </c>
      <c r="K530" s="27">
        <f>IF(VLOOKUP($A530,Calendar!$A$1:$R$1377,18,0)=0,0,IF(VLOOKUP($A530,Calendar!$A$1:$R$1377,18,0)=1,IFERROR(INDEX(Weekly_Model!$D$2:$D$9,MATCH(F530,Weekly_Model!$A$2:$A$9,0)),0),IF(VLOOKUP($A530,Calendar!$A$1:$R$1377,18,0)=2,SUM(IFERROR(INDEX(Weekly_Model!$D$2:$D$9,MATCH(F530,Weekly_Model!$A$2:$A$9,0)),0),IFERROR(INDEX(Weekly_Model!$D$2:$D$9,MATCH(F531,Weekly_Model!$A$2:$A$9,0)),0)),IF(VLOOKUP($A530,Calendar!$A$1:$R$1377,18,0)=3,SUM(IFERROR(INDEX(Weekly_Model!$D$2:$D$9,MATCH(F530,Weekly_Model!$A$2:$A$9,0)),0),IFERROR(INDEX(Weekly_Model!$D$2:$D$9,MATCH(F531,Weekly_Model!$A$2:$A$9,0)),0),IFERROR(INDEX(Weekly_Model!$D$2:$D$9,MATCH(F532,Weekly_Model!$A$2:$A$9,0)),0)),IF(VLOOKUP($A530,Calendar!$A$1:$R$1377,18,0)=4,SUM(IFERROR(INDEX(Weekly_Model!$D$2:$D$9,MATCH(F530,Weekly_Model!$A$2:$A$9,0)),0),IFERROR(INDEX(Weekly_Model!$D$2:$D$9,MATCH(F531,Weekly_Model!$A$2:$A$9,0)),0),IFERROR(INDEX(Weekly_Model!$D$2:$D$9,MATCH(F532,Weekly_Model!$A$2:$A$9,0)),0),IFERROR(INDEX(Weekly_Model!$D$2:$D$9,MATCH(F533,Weekly_Model!$A$2:$A$9,0)),0)),IF(VLOOKUP($A530,Calendar!$A$1:$R$1377,18,0)=5,SUM(IFERROR(INDEX(Weekly_Model!$D$2:$D$9,MATCH(F530,Weekly_Model!$A$2:$A$9,0)),0),IFERROR(INDEX(Weekly_Model!$D$2:$D$9,MATCH(F531,Weekly_Model!$A$2:$A$9,0)),0),IFERROR(INDEX(Weekly_Model!$D$2:$D$9,MATCH(F532,Weekly_Model!$A$2:$A$9,0)),0),IFERROR(INDEX(Weekly_Model!$D$2:$D$9,MATCH(F533,Weekly_Model!$A$2:$A$9,0)),0),IFERROR(INDEX(Weekly_Model!$D$2:$D$9,MATCH(F534,Weekly_Model!$A$2:$A$9,0)),0)),0))))))</f>
        <v>2.3200000000000002E-2</v>
      </c>
      <c r="L530" s="27">
        <f>IF(VLOOKUP($A530,Calendar!$A$1:$R$1377,18,0)=0,0,IF(VLOOKUP($A530,Calendar!$A$1:$R$1377,18,0)=1,IFERROR(INDEX(Fortnightly_Model!$D$2:$D$15,MATCH(G530,Fortnightly_Model!$B$2:$B$15,0)),0),IF(VLOOKUP($A530,Calendar!$A$1:$R$1377,18,0)=2,SUM(IFERROR(INDEX(Fortnightly_Model!$D$2:$D$15,MATCH(G530,Fortnightly_Model!$B$2:$B$15,0)),0),IFERROR(INDEX(Fortnightly_Model!$D$2:$D$15,MATCH(G531,Fortnightly_Model!$B$2:$B$15,0)),0)),IF(VLOOKUP($A530,Calendar!$A$1:$R$1377,18,0)=3,SUM(IFERROR(INDEX(Fortnightly_Model!$D$2:$D$15,MATCH(G530,Fortnightly_Model!$B$2:$B$15,0)),0),IFERROR(INDEX(Fortnightly_Model!$D$2:$D$15,MATCH(G531,Fortnightly_Model!$B$2:$B$15,0)),0),IFERROR(INDEX(Fortnightly_Model!$D$2:$D$15,MATCH(G532,Fortnightly_Model!$B$2:$B$15,0)),0)),IF(VLOOKUP($A530,Calendar!$A$1:$R$1377,18,0)=4,SUM(IFERROR(INDEX(Fortnightly_Model!$D$2:$D$15,MATCH(G530,Fortnightly_Model!$B$2:$B$15,0)),0),IFERROR(INDEX(Fortnightly_Model!$D$2:$D$15,MATCH(G531,Fortnightly_Model!$B$2:$B$15,0)),0),IFERROR(INDEX(Fortnightly_Model!$D$2:$D$15,MATCH(G532,Fortnightly_Model!$B$2:$B$15,0)),0),IFERROR(INDEX(Fortnightly_Model!$D$2:$D$15,MATCH(G533,Fortnightly_Model!$B$2:$B$15,0)),0)),IF(VLOOKUP($A530,Calendar!$A$1:$R$1377,18,0)=5,SUM(IFERROR(INDEX(Fortnightly_Model!$D$2:$D$15,MATCH(G530,Fortnightly_Model!$B$2:$B$15,0)),0),IFERROR(INDEX(Fortnightly_Model!$D$2:$D$15,MATCH(G531,Fortnightly_Model!$B$2:$B$15,0)),0),IFERROR(INDEX(Fortnightly_Model!$D$2:$D$15,MATCH(G532,Fortnightly_Model!$B$2:$B$15,0)),0),IFERROR(INDEX(Fortnightly_Model!$D$2:$D$15,MATCH(G533,Fortnightly_Model!$B$2:$B$15,0)),0),IFERROR(INDEX(Fortnightly_Model!$D$2:$D$15,MATCH(G534,Fortnightly_Model!$B$2:$B$15,0)),0)),0))))))</f>
        <v>1.0714285499999999E-3</v>
      </c>
      <c r="M530" s="27">
        <f>IF(VLOOKUP($A530,Calendar!$A$1:$R$1377,18,0)=0,0,IF(VLOOKUP($A530,Calendar!$A$1:$R$1377,18,0)=1,IFERROR(INDEX(FourWeekly_Model!$D$2:$D$29,MATCH(H530,FourWeekly_Model!$B$2:$B$29,0)),0),IF(VLOOKUP($A530,Calendar!$A$1:$R$1377,18,0)=2,SUM(IFERROR(INDEX(FourWeekly_Model!$D$2:$D$29,MATCH(H530,FourWeekly_Model!$B$2:$B$29,0)),0),IFERROR(INDEX(FourWeekly_Model!$D$2:$D$29,MATCH(H531,FourWeekly_Model!$B$2:$B$29,0)),0)),IF(VLOOKUP($A530,Calendar!$A$1:$R$1377,18,0)=3,SUM(IFERROR(INDEX(FourWeekly_Model!$D$2:$D$29,MATCH(H530,FourWeekly_Model!$B$2:$B$29,0)),0),IFERROR(INDEX(FourWeekly_Model!$D$2:$D$29,MATCH(H531,FourWeekly_Model!$B$2:$B$29,0)),0),IFERROR(INDEX(FourWeekly_Model!$D$2:$D$29,MATCH(H532,FourWeekly_Model!$B$2:$B$29,0)),0)),IF(VLOOKUP($A530,Calendar!$A$1:$R$1377,18,0)=4,SUM(IFERROR(INDEX(FourWeekly_Model!$D$2:$D$29,MATCH(H530,FourWeekly_Model!$B$2:$B$29,0)),0),IFERROR(INDEX(FourWeekly_Model!$D$2:$D$29,MATCH(H531,FourWeekly_Model!$B$2:$B$29,0)),0),IFERROR(INDEX(FourWeekly_Model!$D$2:$D$29,MATCH(H532,FourWeekly_Model!$B$2:$B$29,0)),0),IFERROR(INDEX(FourWeekly_Model!$D$2:$D$29,MATCH(H533,FourWeekly_Model!$B$2:$B$29,0)),0)),IF(VLOOKUP($A530,Calendar!$A$1:$R$1377,18,0)=5,SUM(IFERROR(INDEX(FourWeekly_Model!$D$2:$D$29,MATCH(H530,FourWeekly_Model!$B$2:$B$29,0)),0),IFERROR(INDEX(FourWeekly_Model!$D$2:$D$29,MATCH(H531,FourWeekly_Model!$B$2:$B$29,0)),0),IFERROR(INDEX(FourWeekly_Model!$D$2:$D$29,MATCH(H532,FourWeekly_Model!$B$2:$B$29,0)),0),IFERROR(INDEX(FourWeekly_Model!$D$2:$D$29,MATCH(H533,FourWeekly_Model!$B$2:$B$29,0)),0),IFERROR(INDEX(FourWeekly_Model!$D$2:$D$29,MATCH(H534,FourWeekly_Model!$B$2:$B$29,0)),0)),0))))))</f>
        <v>3.3214289700000004E-3</v>
      </c>
      <c r="N530" s="27">
        <f>SUM(I530:M530)</f>
        <v>2.840542296502618E-2</v>
      </c>
      <c r="O530" s="28">
        <f>Population_Data!$B$8*N530</f>
        <v>860684.3158402933</v>
      </c>
      <c r="P530" s="27">
        <f>IF(VLOOKUP($A530,Calendar!$A$1:$R$1377,18,0)=0,0,IF(VLOOKUP($A530,Calendar!$A$1:$R$1377,18,0)=1,IFERROR(INDEX(Pension_Model!$D$2:$D$29,MATCH(H530,Pension_Model!$B$2:$B$29,0)),0),IF(VLOOKUP($A530,Calendar!$A$1:$R$1377,18,0)=2,SUM(IFERROR(INDEX(Pension_Model!$D$2:$D$29,MATCH(H530,Pension_Model!$B$2:$B$29,0)),0),IFERROR(INDEX(Pension_Model!$D$2:$D$29,MATCH(H531,Pension_Model!$B$2:$B$29,0)),0)),IF(VLOOKUP($A530,Calendar!$A$1:$R$1377,18,0)=3,SUM(IFERROR(INDEX(Pension_Model!$D$2:$D$29,MATCH(H530,Pension_Model!$B$2:$B$29,0)),0),IFERROR(INDEX(Pension_Model!$D$2:$D$29,MATCH(H531,Pension_Model!$B$2:$B$29,0)),0),IFERROR(INDEX(Pension_Model!$D$2:$D$29,MATCH(H532,Pension_Model!$B$2:$B$29,0)),0)),IF(VLOOKUP($A530,Calendar!$A$1:$R$1377,18,0)=4,SUM(IFERROR(INDEX(Pension_Model!$D$2:$D$29,MATCH(H530,Pension_Model!$B$2:$B$29,0)),0),IFERROR(INDEX(Pension_Model!$D$2:$D$29,MATCH(H531,Pension_Model!$B$2:$B$29,0)),0),IFERROR(INDEX(Pension_Model!$D$2:$D$29,MATCH(H532,Pension_Model!$B$2:$B$29,0)),0),IFERROR(INDEX(Pension_Model!$D$2:$D$29,MATCH(H533,Pension_Model!$B$2:$B$29,0)),0)),IF(VLOOKUP($A530,Calendar!$A$1:$R$1377,18,0)=5,SUM(IFERROR(INDEX(Pension_Model!$D$2:$D$29,MATCH(H530,Pension_Model!$B$2:$B$29,0)),0),IFERROR(INDEX(Pension_Model!$D$2:$D$29,MATCH(H531,Pension_Model!$B$2:$B$29,0)),0),IFERROR(INDEX(Pension_Model!$D$2:$D$29,MATCH(H532,Pension_Model!$B$2:$B$29,0)),0),IFERROR(INDEX(Pension_Model!$D$2:$D$29,MATCH(H533,Pension_Model!$B$2:$B$29,0)),0),IFERROR(INDEX(Pension_Model!$D$2:$D$29,MATCH(H534,Pension_Model!$B$2:$B$29,0)),0)),0))))))</f>
        <v>0.05</v>
      </c>
      <c r="Q530" s="28">
        <f>Population_Data!$B$15*P530</f>
        <v>660600</v>
      </c>
      <c r="S530">
        <f t="shared" si="8"/>
        <v>1521284.3158402932</v>
      </c>
      <c r="U530" s="33">
        <f>S530/Population_Data!$B$19</f>
        <v>2.7559498475367629E-2</v>
      </c>
    </row>
    <row r="531" spans="1:21">
      <c r="A531" s="25">
        <f>Calendar!A531</f>
        <v>46764</v>
      </c>
      <c r="B531" t="str">
        <f>Calendar!L531</f>
        <v>Yes</v>
      </c>
      <c r="C531" t="str">
        <f>Calendar!O531</f>
        <v>No</v>
      </c>
      <c r="D531" t="str">
        <f>Calendar!P531</f>
        <v>No</v>
      </c>
      <c r="E531" t="str">
        <f>Calendar!Q531</f>
        <v>No</v>
      </c>
      <c r="F531" t="str">
        <f>Calendar!I531</f>
        <v>Wednesday</v>
      </c>
      <c r="G531">
        <f>Calendar!S531</f>
        <v>4</v>
      </c>
      <c r="H531">
        <f>Calendar!T531</f>
        <v>4</v>
      </c>
      <c r="I531" s="27">
        <f>IF(VLOOKUP(A531,Calendar!$A$1:$R$1377,18,0)=0,0,IF(VLOOKUP(A531,Calendar!$A$1:$R$1377,18,0)=1,INDEX(Monthly_Pay_Model!$A$9:$D$40,MATCH(TEXT(A531,"dd"),Monthly_Pay_Model!$C$9:$C$39,0),4),IF(VLOOKUP(A531,Calendar!$A$1:$R$1377,18,0)=2,SUM(INDEX(Monthly_Pay_Model!$A$9:$D$40,MATCH(TEXT(A531,"dd"),Monthly_Pay_Model!$C$9:$C$39,0),4),INDEX(Monthly_Pay_Model!$A$9:$D$40,MATCH(TEXT(A532,"dd"),Monthly_Pay_Model!$C$9:$C$39,0),4)),IF(VLOOKUP(A531,Calendar!$A$1:$R$1377,18,0)=3,SUM(INDEX(Monthly_Pay_Model!$A$9:$D$40,MATCH(TEXT(A531,"dd"),Monthly_Pay_Model!$C$9:$C$39,0),4),INDEX(Monthly_Pay_Model!$A$9:$D$40,MATCH(TEXT(A532,"dd"),Monthly_Pay_Model!$C$9:$C$39,0),4),INDEX(Monthly_Pay_Model!$A$9:$D$40,MATCH(TEXT(A533,"dd"),Monthly_Pay_Model!$C$9:$C$39,0),4)),IF(VLOOKUP(A531,Calendar!$A$1:$R$1377,18,0)=4,SUM(INDEX(Monthly_Pay_Model!$A$9:$D$40,MATCH(TEXT(A531,"dd"),Monthly_Pay_Model!$C$9:$C$39,0),4),INDEX(Monthly_Pay_Model!$A$9:$D$40,MATCH(TEXT(A532,"dd"),Monthly_Pay_Model!$C$9:$C$39,0),4),INDEX(Monthly_Pay_Model!$A$9:$D$40,MATCH(TEXT(A533,"dd"),Monthly_Pay_Model!$C$9:$C$39,0),4),INDEX(Monthly_Pay_Model!$A$9:$D$40,MATCH(TEXT(A534,"dd"),Monthly_Pay_Model!$C$9:$C$39,0),4)),IF(VLOOKUP(A531,Calendar!$A$1:$R$1377,18,0)=5,SUM(INDEX(Monthly_Pay_Model!$A$9:$D$40,MATCH(TEXT(A531,"dd"),Monthly_Pay_Model!$C$9:$C$39,0),4),INDEX(Monthly_Pay_Model!$A$9:$D$40,MATCH(TEXT(A532,"dd"),Monthly_Pay_Model!$C$9:$C$39,0),4),INDEX(Monthly_Pay_Model!$A$9:$D$40,MATCH(TEXT(A533,"dd"),Monthly_Pay_Model!$C$9:$C$39,0),4),INDEX(Monthly_Pay_Model!$A$9:$D$40,MATCH(TEXT(A534,"dd"),Monthly_Pay_Model!$C$9:$C$39,0),4),INDEX(Monthly_Pay_Model!$A$9:$D$40,MATCH(TEXT(A535,"dd"),Monthly_Pay_Model!$C$9:$C$39,0),4)),))))))</f>
        <v>1.6251308900523558E-3</v>
      </c>
      <c r="J531" s="33">
        <f>IF(C531="Yes",Monthly_Pay_Model!$D$2,0)
+IF(Calendar!N531="Yes",Monthly_Pay_Model!$D$3,0)
+IF(D531="Yes",Monthly_Pay_Model!$D$4,0)
+IF(E531="Yes",Monthly_Pay_Model!$D$5,0)</f>
        <v>0</v>
      </c>
      <c r="K531" s="27">
        <f>IF(VLOOKUP($A531,Calendar!$A$1:$R$1377,18,0)=0,0,IF(VLOOKUP($A531,Calendar!$A$1:$R$1377,18,0)=1,IFERROR(INDEX(Weekly_Model!$D$2:$D$9,MATCH(F531,Weekly_Model!$A$2:$A$9,0)),0),IF(VLOOKUP($A531,Calendar!$A$1:$R$1377,18,0)=2,SUM(IFERROR(INDEX(Weekly_Model!$D$2:$D$9,MATCH(F531,Weekly_Model!$A$2:$A$9,0)),0),IFERROR(INDEX(Weekly_Model!$D$2:$D$9,MATCH(F532,Weekly_Model!$A$2:$A$9,0)),0)),IF(VLOOKUP($A531,Calendar!$A$1:$R$1377,18,0)=3,SUM(IFERROR(INDEX(Weekly_Model!$D$2:$D$9,MATCH(F531,Weekly_Model!$A$2:$A$9,0)),0),IFERROR(INDEX(Weekly_Model!$D$2:$D$9,MATCH(F532,Weekly_Model!$A$2:$A$9,0)),0),IFERROR(INDEX(Weekly_Model!$D$2:$D$9,MATCH(F533,Weekly_Model!$A$2:$A$9,0)),0)),IF(VLOOKUP($A531,Calendar!$A$1:$R$1377,18,0)=4,SUM(IFERROR(INDEX(Weekly_Model!$D$2:$D$9,MATCH(F531,Weekly_Model!$A$2:$A$9,0)),0),IFERROR(INDEX(Weekly_Model!$D$2:$D$9,MATCH(F532,Weekly_Model!$A$2:$A$9,0)),0),IFERROR(INDEX(Weekly_Model!$D$2:$D$9,MATCH(F533,Weekly_Model!$A$2:$A$9,0)),0),IFERROR(INDEX(Weekly_Model!$D$2:$D$9,MATCH(F534,Weekly_Model!$A$2:$A$9,0)),0)),IF(VLOOKUP($A531,Calendar!$A$1:$R$1377,18,0)=5,SUM(IFERROR(INDEX(Weekly_Model!$D$2:$D$9,MATCH(F531,Weekly_Model!$A$2:$A$9,0)),0),IFERROR(INDEX(Weekly_Model!$D$2:$D$9,MATCH(F532,Weekly_Model!$A$2:$A$9,0)),0),IFERROR(INDEX(Weekly_Model!$D$2:$D$9,MATCH(F533,Weekly_Model!$A$2:$A$9,0)),0),IFERROR(INDEX(Weekly_Model!$D$2:$D$9,MATCH(F534,Weekly_Model!$A$2:$A$9,0)),0),IFERROR(INDEX(Weekly_Model!$D$2:$D$9,MATCH(F535,Weekly_Model!$A$2:$A$9,0)),0)),0))))))</f>
        <v>2.3200000000000002E-2</v>
      </c>
      <c r="L531" s="27">
        <f>IF(VLOOKUP($A531,Calendar!$A$1:$R$1377,18,0)=0,0,IF(VLOOKUP($A531,Calendar!$A$1:$R$1377,18,0)=1,IFERROR(INDEX(Fortnightly_Model!$D$2:$D$15,MATCH(G531,Fortnightly_Model!$B$2:$B$15,0)),0),IF(VLOOKUP($A531,Calendar!$A$1:$R$1377,18,0)=2,SUM(IFERROR(INDEX(Fortnightly_Model!$D$2:$D$15,MATCH(G531,Fortnightly_Model!$B$2:$B$15,0)),0),IFERROR(INDEX(Fortnightly_Model!$D$2:$D$15,MATCH(G532,Fortnightly_Model!$B$2:$B$15,0)),0)),IF(VLOOKUP($A531,Calendar!$A$1:$R$1377,18,0)=3,SUM(IFERROR(INDEX(Fortnightly_Model!$D$2:$D$15,MATCH(G531,Fortnightly_Model!$B$2:$B$15,0)),0),IFERROR(INDEX(Fortnightly_Model!$D$2:$D$15,MATCH(G532,Fortnightly_Model!$B$2:$B$15,0)),0),IFERROR(INDEX(Fortnightly_Model!$D$2:$D$15,MATCH(G533,Fortnightly_Model!$B$2:$B$15,0)),0)),IF(VLOOKUP($A531,Calendar!$A$1:$R$1377,18,0)=4,SUM(IFERROR(INDEX(Fortnightly_Model!$D$2:$D$15,MATCH(G531,Fortnightly_Model!$B$2:$B$15,0)),0),IFERROR(INDEX(Fortnightly_Model!$D$2:$D$15,MATCH(G532,Fortnightly_Model!$B$2:$B$15,0)),0),IFERROR(INDEX(Fortnightly_Model!$D$2:$D$15,MATCH(G533,Fortnightly_Model!$B$2:$B$15,0)),0),IFERROR(INDEX(Fortnightly_Model!$D$2:$D$15,MATCH(G534,Fortnightly_Model!$B$2:$B$15,0)),0)),IF(VLOOKUP($A531,Calendar!$A$1:$R$1377,18,0)=5,SUM(IFERROR(INDEX(Fortnightly_Model!$D$2:$D$15,MATCH(G531,Fortnightly_Model!$B$2:$B$15,0)),0),IFERROR(INDEX(Fortnightly_Model!$D$2:$D$15,MATCH(G532,Fortnightly_Model!$B$2:$B$15,0)),0),IFERROR(INDEX(Fortnightly_Model!$D$2:$D$15,MATCH(G533,Fortnightly_Model!$B$2:$B$15,0)),0),IFERROR(INDEX(Fortnightly_Model!$D$2:$D$15,MATCH(G534,Fortnightly_Model!$B$2:$B$15,0)),0),IFERROR(INDEX(Fortnightly_Model!$D$2:$D$15,MATCH(G535,Fortnightly_Model!$B$2:$B$15,0)),0)),0))))))</f>
        <v>1.0714285499999999E-3</v>
      </c>
      <c r="M531" s="27">
        <f>IF(VLOOKUP($A531,Calendar!$A$1:$R$1377,18,0)=0,0,IF(VLOOKUP($A531,Calendar!$A$1:$R$1377,18,0)=1,IFERROR(INDEX(FourWeekly_Model!$D$2:$D$29,MATCH(H531,FourWeekly_Model!$B$2:$B$29,0)),0),IF(VLOOKUP($A531,Calendar!$A$1:$R$1377,18,0)=2,SUM(IFERROR(INDEX(FourWeekly_Model!$D$2:$D$29,MATCH(H531,FourWeekly_Model!$B$2:$B$29,0)),0),IFERROR(INDEX(FourWeekly_Model!$D$2:$D$29,MATCH(H532,FourWeekly_Model!$B$2:$B$29,0)),0)),IF(VLOOKUP($A531,Calendar!$A$1:$R$1377,18,0)=3,SUM(IFERROR(INDEX(FourWeekly_Model!$D$2:$D$29,MATCH(H531,FourWeekly_Model!$B$2:$B$29,0)),0),IFERROR(INDEX(FourWeekly_Model!$D$2:$D$29,MATCH(H532,FourWeekly_Model!$B$2:$B$29,0)),0),IFERROR(INDEX(FourWeekly_Model!$D$2:$D$29,MATCH(H533,FourWeekly_Model!$B$2:$B$29,0)),0)),IF(VLOOKUP($A531,Calendar!$A$1:$R$1377,18,0)=4,SUM(IFERROR(INDEX(FourWeekly_Model!$D$2:$D$29,MATCH(H531,FourWeekly_Model!$B$2:$B$29,0)),0),IFERROR(INDEX(FourWeekly_Model!$D$2:$D$29,MATCH(H532,FourWeekly_Model!$B$2:$B$29,0)),0),IFERROR(INDEX(FourWeekly_Model!$D$2:$D$29,MATCH(H533,FourWeekly_Model!$B$2:$B$29,0)),0),IFERROR(INDEX(FourWeekly_Model!$D$2:$D$29,MATCH(H534,FourWeekly_Model!$B$2:$B$29,0)),0)),IF(VLOOKUP($A531,Calendar!$A$1:$R$1377,18,0)=5,SUM(IFERROR(INDEX(FourWeekly_Model!$D$2:$D$29,MATCH(H531,FourWeekly_Model!$B$2:$B$29,0)),0),IFERROR(INDEX(FourWeekly_Model!$D$2:$D$29,MATCH(H532,FourWeekly_Model!$B$2:$B$29,0)),0),IFERROR(INDEX(FourWeekly_Model!$D$2:$D$29,MATCH(H533,FourWeekly_Model!$B$2:$B$29,0)),0),IFERROR(INDEX(FourWeekly_Model!$D$2:$D$29,MATCH(H534,FourWeekly_Model!$B$2:$B$29,0)),0),IFERROR(INDEX(FourWeekly_Model!$D$2:$D$29,MATCH(H535,FourWeekly_Model!$B$2:$B$29,0)),0)),0))))))</f>
        <v>3.3214289700000004E-3</v>
      </c>
      <c r="N531" s="27">
        <f>SUM(I531:M531)</f>
        <v>2.921798841005236E-2</v>
      </c>
      <c r="O531" s="28">
        <f>Population_Data!$B$8*N531</f>
        <v>885305.04882458656</v>
      </c>
      <c r="P531" s="27">
        <f>IF(VLOOKUP($A531,Calendar!$A$1:$R$1377,18,0)=0,0,IF(VLOOKUP($A531,Calendar!$A$1:$R$1377,18,0)=1,IFERROR(INDEX(Pension_Model!$D$2:$D$29,MATCH(H531,Pension_Model!$B$2:$B$29,0)),0),IF(VLOOKUP($A531,Calendar!$A$1:$R$1377,18,0)=2,SUM(IFERROR(INDEX(Pension_Model!$D$2:$D$29,MATCH(H531,Pension_Model!$B$2:$B$29,0)),0),IFERROR(INDEX(Pension_Model!$D$2:$D$29,MATCH(H532,Pension_Model!$B$2:$B$29,0)),0)),IF(VLOOKUP($A531,Calendar!$A$1:$R$1377,18,0)=3,SUM(IFERROR(INDEX(Pension_Model!$D$2:$D$29,MATCH(H531,Pension_Model!$B$2:$B$29,0)),0),IFERROR(INDEX(Pension_Model!$D$2:$D$29,MATCH(H532,Pension_Model!$B$2:$B$29,0)),0),IFERROR(INDEX(Pension_Model!$D$2:$D$29,MATCH(H533,Pension_Model!$B$2:$B$29,0)),0)),IF(VLOOKUP($A531,Calendar!$A$1:$R$1377,18,0)=4,SUM(IFERROR(INDEX(Pension_Model!$D$2:$D$29,MATCH(H531,Pension_Model!$B$2:$B$29,0)),0),IFERROR(INDEX(Pension_Model!$D$2:$D$29,MATCH(H532,Pension_Model!$B$2:$B$29,0)),0),IFERROR(INDEX(Pension_Model!$D$2:$D$29,MATCH(H533,Pension_Model!$B$2:$B$29,0)),0),IFERROR(INDEX(Pension_Model!$D$2:$D$29,MATCH(H534,Pension_Model!$B$2:$B$29,0)),0)),IF(VLOOKUP($A531,Calendar!$A$1:$R$1377,18,0)=5,SUM(IFERROR(INDEX(Pension_Model!$D$2:$D$29,MATCH(H531,Pension_Model!$B$2:$B$29,0)),0),IFERROR(INDEX(Pension_Model!$D$2:$D$29,MATCH(H532,Pension_Model!$B$2:$B$29,0)),0),IFERROR(INDEX(Pension_Model!$D$2:$D$29,MATCH(H533,Pension_Model!$B$2:$B$29,0)),0),IFERROR(INDEX(Pension_Model!$D$2:$D$29,MATCH(H534,Pension_Model!$B$2:$B$29,0)),0),IFERROR(INDEX(Pension_Model!$D$2:$D$29,MATCH(H535,Pension_Model!$B$2:$B$29,0)),0)),0))))))</f>
        <v>0.05</v>
      </c>
      <c r="Q531" s="28">
        <f>Population_Data!$B$15*P531</f>
        <v>660600</v>
      </c>
      <c r="S531">
        <f t="shared" si="8"/>
        <v>1545905.0488245864</v>
      </c>
      <c r="U531" s="33">
        <f>S531/Population_Data!$B$19</f>
        <v>2.8005526246822218E-2</v>
      </c>
    </row>
    <row r="532" spans="1:21">
      <c r="A532" s="25">
        <f>Calendar!A532</f>
        <v>46765</v>
      </c>
      <c r="B532" t="str">
        <f>Calendar!L532</f>
        <v>Yes</v>
      </c>
      <c r="C532" t="str">
        <f>Calendar!O532</f>
        <v>No</v>
      </c>
      <c r="D532" t="str">
        <f>Calendar!P532</f>
        <v>No</v>
      </c>
      <c r="E532" t="str">
        <f>Calendar!Q532</f>
        <v>No</v>
      </c>
      <c r="F532" t="str">
        <f>Calendar!I532</f>
        <v>Thursday</v>
      </c>
      <c r="G532">
        <f>Calendar!S532</f>
        <v>5</v>
      </c>
      <c r="H532">
        <f>Calendar!T532</f>
        <v>5</v>
      </c>
      <c r="I532" s="27">
        <f>IF(VLOOKUP(A532,Calendar!$A$1:$R$1377,18,0)=0,0,IF(VLOOKUP(A532,Calendar!$A$1:$R$1377,18,0)=1,INDEX(Monthly_Pay_Model!$A$9:$D$40,MATCH(TEXT(A532,"dd"),Monthly_Pay_Model!$C$9:$C$39,0),4),IF(VLOOKUP(A532,Calendar!$A$1:$R$1377,18,0)=2,SUM(INDEX(Monthly_Pay_Model!$A$9:$D$40,MATCH(TEXT(A532,"dd"),Monthly_Pay_Model!$C$9:$C$39,0),4),INDEX(Monthly_Pay_Model!$A$9:$D$40,MATCH(TEXT(A533,"dd"),Monthly_Pay_Model!$C$9:$C$39,0),4)),IF(VLOOKUP(A532,Calendar!$A$1:$R$1377,18,0)=3,SUM(INDEX(Monthly_Pay_Model!$A$9:$D$40,MATCH(TEXT(A532,"dd"),Monthly_Pay_Model!$C$9:$C$39,0),4),INDEX(Monthly_Pay_Model!$A$9:$D$40,MATCH(TEXT(A533,"dd"),Monthly_Pay_Model!$C$9:$C$39,0),4),INDEX(Monthly_Pay_Model!$A$9:$D$40,MATCH(TEXT(A534,"dd"),Monthly_Pay_Model!$C$9:$C$39,0),4)),IF(VLOOKUP(A532,Calendar!$A$1:$R$1377,18,0)=4,SUM(INDEX(Monthly_Pay_Model!$A$9:$D$40,MATCH(TEXT(A532,"dd"),Monthly_Pay_Model!$C$9:$C$39,0),4),INDEX(Monthly_Pay_Model!$A$9:$D$40,MATCH(TEXT(A533,"dd"),Monthly_Pay_Model!$C$9:$C$39,0),4),INDEX(Monthly_Pay_Model!$A$9:$D$40,MATCH(TEXT(A534,"dd"),Monthly_Pay_Model!$C$9:$C$39,0),4),INDEX(Monthly_Pay_Model!$A$9:$D$40,MATCH(TEXT(A535,"dd"),Monthly_Pay_Model!$C$9:$C$39,0),4)),IF(VLOOKUP(A532,Calendar!$A$1:$R$1377,18,0)=5,SUM(INDEX(Monthly_Pay_Model!$A$9:$D$40,MATCH(TEXT(A532,"dd"),Monthly_Pay_Model!$C$9:$C$39,0),4),INDEX(Monthly_Pay_Model!$A$9:$D$40,MATCH(TEXT(A533,"dd"),Monthly_Pay_Model!$C$9:$C$39,0),4),INDEX(Monthly_Pay_Model!$A$9:$D$40,MATCH(TEXT(A534,"dd"),Monthly_Pay_Model!$C$9:$C$39,0),4),INDEX(Monthly_Pay_Model!$A$9:$D$40,MATCH(TEXT(A535,"dd"),Monthly_Pay_Model!$C$9:$C$39,0),4),INDEX(Monthly_Pay_Model!$A$9:$D$40,MATCH(TEXT(A536,"dd"),Monthly_Pay_Model!$C$9:$C$39,0),4)),))))))</f>
        <v>8.1256544502617792E-4</v>
      </c>
      <c r="J532" s="33">
        <f>IF(C532="Yes",Monthly_Pay_Model!$D$2,0)
+IF(Calendar!N532="Yes",Monthly_Pay_Model!$D$3,0)
+IF(D532="Yes",Monthly_Pay_Model!$D$4,0)
+IF(E532="Yes",Monthly_Pay_Model!$D$5,0)</f>
        <v>0</v>
      </c>
      <c r="K532" s="27">
        <f>IF(VLOOKUP($A532,Calendar!$A$1:$R$1377,18,0)=0,0,IF(VLOOKUP($A532,Calendar!$A$1:$R$1377,18,0)=1,IFERROR(INDEX(Weekly_Model!$D$2:$D$9,MATCH(F532,Weekly_Model!$A$2:$A$9,0)),0),IF(VLOOKUP($A532,Calendar!$A$1:$R$1377,18,0)=2,SUM(IFERROR(INDEX(Weekly_Model!$D$2:$D$9,MATCH(F532,Weekly_Model!$A$2:$A$9,0)),0),IFERROR(INDEX(Weekly_Model!$D$2:$D$9,MATCH(F533,Weekly_Model!$A$2:$A$9,0)),0)),IF(VLOOKUP($A532,Calendar!$A$1:$R$1377,18,0)=3,SUM(IFERROR(INDEX(Weekly_Model!$D$2:$D$9,MATCH(F532,Weekly_Model!$A$2:$A$9,0)),0),IFERROR(INDEX(Weekly_Model!$D$2:$D$9,MATCH(F533,Weekly_Model!$A$2:$A$9,0)),0),IFERROR(INDEX(Weekly_Model!$D$2:$D$9,MATCH(F534,Weekly_Model!$A$2:$A$9,0)),0)),IF(VLOOKUP($A532,Calendar!$A$1:$R$1377,18,0)=4,SUM(IFERROR(INDEX(Weekly_Model!$D$2:$D$9,MATCH(F532,Weekly_Model!$A$2:$A$9,0)),0),IFERROR(INDEX(Weekly_Model!$D$2:$D$9,MATCH(F533,Weekly_Model!$A$2:$A$9,0)),0),IFERROR(INDEX(Weekly_Model!$D$2:$D$9,MATCH(F534,Weekly_Model!$A$2:$A$9,0)),0),IFERROR(INDEX(Weekly_Model!$D$2:$D$9,MATCH(F535,Weekly_Model!$A$2:$A$9,0)),0)),IF(VLOOKUP($A532,Calendar!$A$1:$R$1377,18,0)=5,SUM(IFERROR(INDEX(Weekly_Model!$D$2:$D$9,MATCH(F532,Weekly_Model!$A$2:$A$9,0)),0),IFERROR(INDEX(Weekly_Model!$D$2:$D$9,MATCH(F533,Weekly_Model!$A$2:$A$9,0)),0),IFERROR(INDEX(Weekly_Model!$D$2:$D$9,MATCH(F534,Weekly_Model!$A$2:$A$9,0)),0),IFERROR(INDEX(Weekly_Model!$D$2:$D$9,MATCH(F535,Weekly_Model!$A$2:$A$9,0)),0),IFERROR(INDEX(Weekly_Model!$D$2:$D$9,MATCH(F536,Weekly_Model!$A$2:$A$9,0)),0)),0))))))</f>
        <v>2.3200000000000002E-2</v>
      </c>
      <c r="L532" s="27">
        <f>IF(VLOOKUP($A532,Calendar!$A$1:$R$1377,18,0)=0,0,IF(VLOOKUP($A532,Calendar!$A$1:$R$1377,18,0)=1,IFERROR(INDEX(Fortnightly_Model!$D$2:$D$15,MATCH(G532,Fortnightly_Model!$B$2:$B$15,0)),0),IF(VLOOKUP($A532,Calendar!$A$1:$R$1377,18,0)=2,SUM(IFERROR(INDEX(Fortnightly_Model!$D$2:$D$15,MATCH(G532,Fortnightly_Model!$B$2:$B$15,0)),0),IFERROR(INDEX(Fortnightly_Model!$D$2:$D$15,MATCH(G533,Fortnightly_Model!$B$2:$B$15,0)),0)),IF(VLOOKUP($A532,Calendar!$A$1:$R$1377,18,0)=3,SUM(IFERROR(INDEX(Fortnightly_Model!$D$2:$D$15,MATCH(G532,Fortnightly_Model!$B$2:$B$15,0)),0),IFERROR(INDEX(Fortnightly_Model!$D$2:$D$15,MATCH(G533,Fortnightly_Model!$B$2:$B$15,0)),0),IFERROR(INDEX(Fortnightly_Model!$D$2:$D$15,MATCH(G534,Fortnightly_Model!$B$2:$B$15,0)),0)),IF(VLOOKUP($A532,Calendar!$A$1:$R$1377,18,0)=4,SUM(IFERROR(INDEX(Fortnightly_Model!$D$2:$D$15,MATCH(G532,Fortnightly_Model!$B$2:$B$15,0)),0),IFERROR(INDEX(Fortnightly_Model!$D$2:$D$15,MATCH(G533,Fortnightly_Model!$B$2:$B$15,0)),0),IFERROR(INDEX(Fortnightly_Model!$D$2:$D$15,MATCH(G534,Fortnightly_Model!$B$2:$B$15,0)),0),IFERROR(INDEX(Fortnightly_Model!$D$2:$D$15,MATCH(G535,Fortnightly_Model!$B$2:$B$15,0)),0)),IF(VLOOKUP($A532,Calendar!$A$1:$R$1377,18,0)=5,SUM(IFERROR(INDEX(Fortnightly_Model!$D$2:$D$15,MATCH(G532,Fortnightly_Model!$B$2:$B$15,0)),0),IFERROR(INDEX(Fortnightly_Model!$D$2:$D$15,MATCH(G533,Fortnightly_Model!$B$2:$B$15,0)),0),IFERROR(INDEX(Fortnightly_Model!$D$2:$D$15,MATCH(G534,Fortnightly_Model!$B$2:$B$15,0)),0),IFERROR(INDEX(Fortnightly_Model!$D$2:$D$15,MATCH(G535,Fortnightly_Model!$B$2:$B$15,0)),0),IFERROR(INDEX(Fortnightly_Model!$D$2:$D$15,MATCH(G536,Fortnightly_Model!$B$2:$B$15,0)),0)),0))))))</f>
        <v>1.0714285499999999E-3</v>
      </c>
      <c r="M532" s="27">
        <f>IF(VLOOKUP($A532,Calendar!$A$1:$R$1377,18,0)=0,0,IF(VLOOKUP($A532,Calendar!$A$1:$R$1377,18,0)=1,IFERROR(INDEX(FourWeekly_Model!$D$2:$D$29,MATCH(H532,FourWeekly_Model!$B$2:$B$29,0)),0),IF(VLOOKUP($A532,Calendar!$A$1:$R$1377,18,0)=2,SUM(IFERROR(INDEX(FourWeekly_Model!$D$2:$D$29,MATCH(H532,FourWeekly_Model!$B$2:$B$29,0)),0),IFERROR(INDEX(FourWeekly_Model!$D$2:$D$29,MATCH(H533,FourWeekly_Model!$B$2:$B$29,0)),0)),IF(VLOOKUP($A532,Calendar!$A$1:$R$1377,18,0)=3,SUM(IFERROR(INDEX(FourWeekly_Model!$D$2:$D$29,MATCH(H532,FourWeekly_Model!$B$2:$B$29,0)),0),IFERROR(INDEX(FourWeekly_Model!$D$2:$D$29,MATCH(H533,FourWeekly_Model!$B$2:$B$29,0)),0),IFERROR(INDEX(FourWeekly_Model!$D$2:$D$29,MATCH(H534,FourWeekly_Model!$B$2:$B$29,0)),0)),IF(VLOOKUP($A532,Calendar!$A$1:$R$1377,18,0)=4,SUM(IFERROR(INDEX(FourWeekly_Model!$D$2:$D$29,MATCH(H532,FourWeekly_Model!$B$2:$B$29,0)),0),IFERROR(INDEX(FourWeekly_Model!$D$2:$D$29,MATCH(H533,FourWeekly_Model!$B$2:$B$29,0)),0),IFERROR(INDEX(FourWeekly_Model!$D$2:$D$29,MATCH(H534,FourWeekly_Model!$B$2:$B$29,0)),0),IFERROR(INDEX(FourWeekly_Model!$D$2:$D$29,MATCH(H535,FourWeekly_Model!$B$2:$B$29,0)),0)),IF(VLOOKUP($A532,Calendar!$A$1:$R$1377,18,0)=5,SUM(IFERROR(INDEX(FourWeekly_Model!$D$2:$D$29,MATCH(H532,FourWeekly_Model!$B$2:$B$29,0)),0),IFERROR(INDEX(FourWeekly_Model!$D$2:$D$29,MATCH(H533,FourWeekly_Model!$B$2:$B$29,0)),0),IFERROR(INDEX(FourWeekly_Model!$D$2:$D$29,MATCH(H534,FourWeekly_Model!$B$2:$B$29,0)),0),IFERROR(INDEX(FourWeekly_Model!$D$2:$D$29,MATCH(H535,FourWeekly_Model!$B$2:$B$29,0)),0),IFERROR(INDEX(FourWeekly_Model!$D$2:$D$29,MATCH(H536,FourWeekly_Model!$B$2:$B$29,0)),0)),0))))))</f>
        <v>3.3214289700000004E-3</v>
      </c>
      <c r="N532" s="27">
        <f>SUM(I532:M532)</f>
        <v>2.840542296502618E-2</v>
      </c>
      <c r="O532" s="28">
        <f>Population_Data!$B$8*N532</f>
        <v>860684.3158402933</v>
      </c>
      <c r="P532" s="27">
        <f>IF(VLOOKUP($A532,Calendar!$A$1:$R$1377,18,0)=0,0,IF(VLOOKUP($A532,Calendar!$A$1:$R$1377,18,0)=1,IFERROR(INDEX(Pension_Model!$D$2:$D$29,MATCH(H532,Pension_Model!$B$2:$B$29,0)),0),IF(VLOOKUP($A532,Calendar!$A$1:$R$1377,18,0)=2,SUM(IFERROR(INDEX(Pension_Model!$D$2:$D$29,MATCH(H532,Pension_Model!$B$2:$B$29,0)),0),IFERROR(INDEX(Pension_Model!$D$2:$D$29,MATCH(H533,Pension_Model!$B$2:$B$29,0)),0)),IF(VLOOKUP($A532,Calendar!$A$1:$R$1377,18,0)=3,SUM(IFERROR(INDEX(Pension_Model!$D$2:$D$29,MATCH(H532,Pension_Model!$B$2:$B$29,0)),0),IFERROR(INDEX(Pension_Model!$D$2:$D$29,MATCH(H533,Pension_Model!$B$2:$B$29,0)),0),IFERROR(INDEX(Pension_Model!$D$2:$D$29,MATCH(H534,Pension_Model!$B$2:$B$29,0)),0)),IF(VLOOKUP($A532,Calendar!$A$1:$R$1377,18,0)=4,SUM(IFERROR(INDEX(Pension_Model!$D$2:$D$29,MATCH(H532,Pension_Model!$B$2:$B$29,0)),0),IFERROR(INDEX(Pension_Model!$D$2:$D$29,MATCH(H533,Pension_Model!$B$2:$B$29,0)),0),IFERROR(INDEX(Pension_Model!$D$2:$D$29,MATCH(H534,Pension_Model!$B$2:$B$29,0)),0),IFERROR(INDEX(Pension_Model!$D$2:$D$29,MATCH(H535,Pension_Model!$B$2:$B$29,0)),0)),IF(VLOOKUP($A532,Calendar!$A$1:$R$1377,18,0)=5,SUM(IFERROR(INDEX(Pension_Model!$D$2:$D$29,MATCH(H532,Pension_Model!$B$2:$B$29,0)),0),IFERROR(INDEX(Pension_Model!$D$2:$D$29,MATCH(H533,Pension_Model!$B$2:$B$29,0)),0),IFERROR(INDEX(Pension_Model!$D$2:$D$29,MATCH(H534,Pension_Model!$B$2:$B$29,0)),0),IFERROR(INDEX(Pension_Model!$D$2:$D$29,MATCH(H535,Pension_Model!$B$2:$B$29,0)),0),IFERROR(INDEX(Pension_Model!$D$2:$D$29,MATCH(H536,Pension_Model!$B$2:$B$29,0)),0)),0))))))</f>
        <v>0.05</v>
      </c>
      <c r="Q532" s="28">
        <f>Population_Data!$B$15*P532</f>
        <v>660600</v>
      </c>
      <c r="S532">
        <f t="shared" si="8"/>
        <v>1521284.3158402932</v>
      </c>
      <c r="U532" s="33">
        <f>S532/Population_Data!$B$19</f>
        <v>2.7559498475367629E-2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"/>
  <sheetViews>
    <sheetView workbookViewId="0">
      <selection activeCell="G5" sqref="G5"/>
    </sheetView>
  </sheetViews>
  <sheetFormatPr defaultRowHeight="14.4"/>
  <sheetData>
    <row r="1" spans="1:5">
      <c r="A1" s="2" t="s">
        <v>115</v>
      </c>
      <c r="B1" s="2" t="s">
        <v>234</v>
      </c>
      <c r="C1" s="2" t="s">
        <v>235</v>
      </c>
      <c r="D1" s="2" t="s">
        <v>236</v>
      </c>
      <c r="E1" s="2" t="s">
        <v>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"/>
  <sheetViews>
    <sheetView workbookViewId="0"/>
  </sheetViews>
  <sheetFormatPr defaultRowHeight="14.4"/>
  <sheetData>
    <row r="1" spans="1:4">
      <c r="A1" s="2" t="s">
        <v>237</v>
      </c>
      <c r="B1" s="2" t="s">
        <v>86</v>
      </c>
      <c r="C1" s="2" t="s">
        <v>238</v>
      </c>
      <c r="D1" s="2" t="s">
        <v>239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defaultRowHeight="14.4"/>
  <sheetData>
    <row r="1" spans="1:3">
      <c r="A1" s="2" t="s">
        <v>240</v>
      </c>
      <c r="B1" s="2" t="s">
        <v>241</v>
      </c>
      <c r="C1" s="2" t="s">
        <v>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"/>
  <sheetViews>
    <sheetView workbookViewId="0"/>
  </sheetViews>
  <sheetFormatPr defaultRowHeight="14.4"/>
  <sheetData>
    <row r="1" spans="1:3">
      <c r="A1" s="2" t="s">
        <v>242</v>
      </c>
      <c r="B1" s="2" t="s">
        <v>243</v>
      </c>
      <c r="C1" s="2" t="s">
        <v>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"/>
  <sheetViews>
    <sheetView workbookViewId="0"/>
  </sheetViews>
  <sheetFormatPr defaultRowHeight="14.4"/>
  <sheetData>
    <row r="1" spans="1:4">
      <c r="A1" s="2" t="s">
        <v>244</v>
      </c>
      <c r="B1" s="2" t="s">
        <v>245</v>
      </c>
      <c r="C1" s="2" t="s">
        <v>246</v>
      </c>
      <c r="D1" s="2" t="s">
        <v>247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"/>
  <sheetViews>
    <sheetView workbookViewId="0"/>
  </sheetViews>
  <sheetFormatPr defaultRowHeight="14.4"/>
  <sheetData>
    <row r="1" spans="1:4">
      <c r="A1" s="2" t="s">
        <v>248</v>
      </c>
      <c r="B1" s="2" t="s">
        <v>249</v>
      </c>
      <c r="C1" s="2" t="s">
        <v>250</v>
      </c>
      <c r="D1" s="2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Sources</vt:lpstr>
      <vt:lpstr>Supbase</vt:lpstr>
      <vt:lpstr>Population_Data</vt:lpstr>
      <vt:lpstr>Monthly_Pay_Model</vt:lpstr>
      <vt:lpstr>Weekly_Model</vt:lpstr>
      <vt:lpstr>Fortnightly_Model</vt:lpstr>
      <vt:lpstr>FourWeekly_Model</vt:lpstr>
      <vt:lpstr>Pension_Model</vt:lpstr>
      <vt:lpstr>Bank_Holidays</vt:lpstr>
      <vt:lpstr>Calendar</vt:lpstr>
      <vt:lpstr>Daily_Calculations</vt:lpstr>
      <vt:lpstr>Sensitivity</vt:lpstr>
      <vt:lpstr>Validation</vt:lpstr>
      <vt:lpstr>Charts</vt:lpstr>
      <vt:lpstr>Named_Ranges</vt:lpstr>
      <vt:lpstr>Formula_Spec</vt:lpstr>
      <vt:lpstr>Data_Lineage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Patricia Burley</cp:lastModifiedBy>
  <dcterms:created xsi:type="dcterms:W3CDTF">2026-07-24T11:53:30Z</dcterms:created>
  <dcterms:modified xsi:type="dcterms:W3CDTF">2026-08-07T11:07:49Z</dcterms:modified>
</cp:coreProperties>
</file>